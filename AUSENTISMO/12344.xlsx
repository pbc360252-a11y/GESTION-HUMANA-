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G:\SIG\GESTION HUMANA\REGISTROS\AUSENTISMO\2026\"/>
    </mc:Choice>
  </mc:AlternateContent>
  <xr:revisionPtr revIDLastSave="0" documentId="13_ncr:1_{9B882B82-238E-411F-B81B-1A56EF16883D}" xr6:coauthVersionLast="47" xr6:coauthVersionMax="47" xr10:uidLastSave="{00000000-0000-0000-0000-000000000000}"/>
  <bookViews>
    <workbookView xWindow="-120" yWindow="-120" windowWidth="29040" windowHeight="15720" tabRatio="872" xr2:uid="{00000000-000D-0000-FFFF-FFFF00000000}"/>
  </bookViews>
  <sheets>
    <sheet name="REG AUSENTISMO MED" sheetId="42" r:id="rId1"/>
    <sheet name="OTRO AUSENTISMO" sheetId="33" r:id="rId2"/>
    <sheet name="DIAS AUSENTISMO MEDICO" sheetId="36" state="hidden" r:id="rId3"/>
    <sheet name="Código del Diagnóstico" sheetId="24" state="hidden" r:id="rId4"/>
    <sheet name="INFORME INDICADOR" sheetId="41" state="hidden" r:id="rId5"/>
    <sheet name="CODIGOS" sheetId="29" state="hidden" r:id="rId6"/>
    <sheet name="INF. OTRO AUSENTISMO" sheetId="40" state="hidden" r:id="rId7"/>
    <sheet name="LISTA" sheetId="34" state="hidden" r:id="rId8"/>
  </sheets>
  <definedNames>
    <definedName name="_xlnm._FilterDatabase" localSheetId="1" hidden="1">'OTRO AUSENTISMO'!$A$1:$Q$2267</definedName>
    <definedName name="_xlnm.Print_Area" localSheetId="2">'DIAS AUSENTISMO MEDICO'!$B$1:$I$21</definedName>
    <definedName name="_xlnm.Print_Area" localSheetId="1">'OTRO AUSENTISMO'!$A$1:$K$1</definedName>
    <definedName name="CIE">CODIGOS!$A$2:$B$317</definedName>
    <definedName name="CODIGO_DIAGNOSTICO">CODIGOS!$A$1:$B$12427</definedName>
    <definedName name="REGISTRO_MEDICO">Tabla2[#All]</definedName>
    <definedName name="_xlnm.Print_Titles" localSheetId="1">'OTRO AUSENTISMO'!$1:$1</definedName>
  </definedNames>
  <calcPr calcId="191029" fullCalcOnLoad="1"/>
  <pivotCaches>
    <pivotCache cacheId="3" r:id="rId12"/>
    <pivotCache cacheId="4" r:id="rId13"/>
    <pivotCache cacheId="5"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Diana West</author>
  </authors>
  <commentList>
    <comment ref="H1" authorId="0" shapeId="0" xr:uid="{00000000-0006-0000-0100-000001000000}">
      <text>
        <r>
          <rPr>
            <b/>
            <sz val="9"/>
            <color indexed="81"/>
            <rFont val="Tahoma"/>
            <family val="2"/>
          </rPr>
          <t>usuario:</t>
        </r>
        <r>
          <rPr>
            <sz val="9"/>
            <color indexed="81"/>
            <rFont val="Tahoma"/>
            <family val="2"/>
          </rPr>
          <t xml:space="preserve">
DA: DESCANSO ANUAL
SP: SUSPENSION
LR:LICENCIA REMUNERADA
L.N.R:LICENCIA NO REMUNERADA
L.L:LEY DE LUTO
ACT: ACCIDENTE DE TRANSITO</t>
        </r>
      </text>
    </comment>
    <comment ref="B1551" authorId="1" shapeId="0" xr:uid="{78C3C635-1666-43A6-8DF8-DEEE61025EFD}">
      <text>
        <r>
          <rPr>
            <b/>
            <sz val="9"/>
            <color indexed="81"/>
            <rFont val="Tahoma"/>
            <family val="2"/>
          </rPr>
          <t>Diana West: Reintegro</t>
        </r>
        <r>
          <rPr>
            <sz val="9"/>
            <color indexed="81"/>
            <rFont val="Tahoma"/>
            <family val="2"/>
          </rPr>
          <t xml:space="preserve">
</t>
        </r>
      </text>
    </comment>
  </commentList>
</comments>
</file>

<file path=xl/sharedStrings.xml><?xml version="1.0" encoding="utf-8"?>
<sst xmlns="http://schemas.openxmlformats.org/spreadsheetml/2006/main" count="79563" uniqueCount="26602">
  <si>
    <t>ENERO</t>
  </si>
  <si>
    <t>FEBRERO</t>
  </si>
  <si>
    <t>MARZO</t>
  </si>
  <si>
    <t>ABRIL</t>
  </si>
  <si>
    <t>MAYO</t>
  </si>
  <si>
    <t>JUNIO</t>
  </si>
  <si>
    <t>JULIO</t>
  </si>
  <si>
    <t>AGOSTO</t>
  </si>
  <si>
    <t>SEPTIEMBRE</t>
  </si>
  <si>
    <t>OCTUBRE</t>
  </si>
  <si>
    <t>NOVIEMBRE</t>
  </si>
  <si>
    <t>DICIEMBRE</t>
  </si>
  <si>
    <t>MES DEL EVENTO</t>
  </si>
  <si>
    <t>CARGO</t>
  </si>
  <si>
    <t>OBSERVACIONES</t>
  </si>
  <si>
    <t>TIPO DE EVENTO</t>
  </si>
  <si>
    <t>ÁREAS</t>
  </si>
  <si>
    <t>A</t>
  </si>
  <si>
    <t>B</t>
  </si>
  <si>
    <t>C</t>
  </si>
  <si>
    <t>D</t>
  </si>
  <si>
    <t>E</t>
  </si>
  <si>
    <t>F</t>
  </si>
  <si>
    <t>G</t>
  </si>
  <si>
    <t>H</t>
  </si>
  <si>
    <t>I</t>
  </si>
  <si>
    <t>J</t>
  </si>
  <si>
    <t>OTRAS ÁREAS</t>
  </si>
  <si>
    <t>CLASIFICACION ESTADISTICA INTERNACIONAL DE ENFERMEDADES Y PROBLEMAS RELACIONADOS CON LA SALUD. DECIMA REVISION. - CIE 10- CODIGOS Y DESCRIPCION A TRES Y CUATRO DIGITOS.</t>
  </si>
  <si>
    <t>COD_4</t>
  </si>
  <si>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</si>
  <si>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</si>
  <si>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</si>
  <si>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</si>
  <si>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</si>
  <si>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</si>
  <si>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</si>
  <si>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</si>
  <si>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</si>
  <si>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</si>
  <si>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</si>
  <si>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</si>
  <si>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</si>
  <si>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</si>
  <si>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</si>
  <si>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</si>
  <si>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</si>
  <si>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</si>
  <si>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</si>
  <si>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</si>
  <si>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</si>
  <si>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</si>
  <si>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</si>
  <si>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</si>
  <si>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</si>
  <si>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</si>
  <si>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</si>
  <si>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</si>
  <si>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</si>
  <si>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</si>
  <si>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</si>
  <si>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</si>
  <si>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</si>
  <si>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</si>
  <si>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</si>
  <si>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</si>
  <si>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</si>
  <si>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</si>
  <si>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</si>
  <si>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</si>
  <si>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</si>
  <si>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A065†</t>
  </si>
  <si>
    <t>A066†</t>
  </si>
  <si>
    <t>A067</t>
  </si>
  <si>
    <t>A068</t>
  </si>
  <si>
    <t>A069</t>
  </si>
  <si>
    <t>A070</t>
  </si>
  <si>
    <t>A071</t>
  </si>
  <si>
    <t>A072</t>
  </si>
  <si>
    <t>A073</t>
  </si>
  <si>
    <t>A078</t>
  </si>
  <si>
    <t>A079</t>
  </si>
  <si>
    <t>A080</t>
  </si>
  <si>
    <t>A081</t>
  </si>
  <si>
    <t>A082</t>
  </si>
  <si>
    <t>A083</t>
  </si>
  <si>
    <t>A084</t>
  </si>
  <si>
    <t>A085</t>
  </si>
  <si>
    <t>A09</t>
  </si>
  <si>
    <t>A150</t>
  </si>
  <si>
    <t>A151</t>
  </si>
  <si>
    <t>A152</t>
  </si>
  <si>
    <t>A153</t>
  </si>
  <si>
    <t>A154</t>
  </si>
  <si>
    <t>A155</t>
  </si>
  <si>
    <t>A156</t>
  </si>
  <si>
    <t>A157</t>
  </si>
  <si>
    <t>A158</t>
  </si>
  <si>
    <t>A159</t>
  </si>
  <si>
    <t>A160</t>
  </si>
  <si>
    <t>A161</t>
  </si>
  <si>
    <t>A162</t>
  </si>
  <si>
    <t>A163</t>
  </si>
  <si>
    <t>A164</t>
  </si>
  <si>
    <t>A165</t>
  </si>
  <si>
    <t>A167</t>
  </si>
  <si>
    <t>A168</t>
  </si>
  <si>
    <t>A169</t>
  </si>
  <si>
    <t>A170†</t>
  </si>
  <si>
    <t>A171†</t>
  </si>
  <si>
    <t>A178†</t>
  </si>
  <si>
    <t>A179†</t>
  </si>
  <si>
    <t>A180†</t>
  </si>
  <si>
    <t>A181</t>
  </si>
  <si>
    <t>A182</t>
  </si>
  <si>
    <t>A183</t>
  </si>
  <si>
    <t>A184</t>
  </si>
  <si>
    <t>A185</t>
  </si>
  <si>
    <t>A186</t>
  </si>
  <si>
    <t>A187†</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</si>
  <si>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</si>
  <si>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</si>
  <si>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</si>
  <si>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</si>
  <si>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</si>
  <si>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</si>
  <si>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</si>
  <si>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</si>
  <si>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</si>
  <si>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</si>
  <si>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</si>
  <si>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</si>
  <si>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</si>
  <si>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</si>
  <si>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</si>
  <si>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</si>
  <si>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</si>
  <si>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</si>
  <si>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</si>
  <si>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</si>
  <si>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</si>
  <si>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</si>
  <si>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</si>
  <si>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</si>
  <si>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</si>
  <si>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</si>
  <si>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</si>
  <si>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</si>
  <si>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</si>
  <si>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</si>
  <si>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</si>
  <si>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</si>
  <si>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</si>
  <si>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</si>
  <si>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</si>
  <si>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</si>
  <si>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</si>
  <si>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</si>
  <si>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</si>
  <si>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</si>
  <si>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</si>
  <si>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</si>
  <si>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</si>
  <si>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</si>
  <si>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</si>
  <si>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</si>
  <si>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</si>
  <si>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</si>
  <si>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</si>
  <si>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</si>
  <si>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</si>
  <si>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</si>
  <si>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</si>
  <si>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</si>
  <si>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</si>
  <si>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</si>
  <si>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</si>
  <si>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</si>
  <si>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</si>
  <si>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</si>
  <si>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</si>
  <si>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</si>
  <si>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</si>
  <si>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</si>
  <si>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</si>
  <si>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A321†</t>
  </si>
  <si>
    <t>A327</t>
  </si>
  <si>
    <t>A328</t>
  </si>
  <si>
    <t>A329</t>
  </si>
  <si>
    <t>A33</t>
  </si>
  <si>
    <t>A34</t>
  </si>
  <si>
    <t>A35</t>
  </si>
  <si>
    <t>A360</t>
  </si>
  <si>
    <t>A361</t>
  </si>
  <si>
    <t>A362</t>
  </si>
  <si>
    <t>A363</t>
  </si>
  <si>
    <t>A368</t>
  </si>
  <si>
    <t>A369</t>
  </si>
  <si>
    <t>A370</t>
  </si>
  <si>
    <t>A371</t>
  </si>
  <si>
    <t>A378</t>
  </si>
  <si>
    <t>A379</t>
  </si>
  <si>
    <t>A38</t>
  </si>
  <si>
    <t>A390†</t>
  </si>
  <si>
    <t>A391†</t>
  </si>
  <si>
    <t>A392</t>
  </si>
  <si>
    <t>A393</t>
  </si>
  <si>
    <t>A394</t>
  </si>
  <si>
    <t>A395†</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</si>
  <si>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</si>
  <si>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</si>
  <si>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</si>
  <si>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</si>
  <si>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</si>
  <si>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</si>
  <si>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</si>
  <si>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</si>
  <si>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</si>
  <si>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</si>
  <si>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</si>
  <si>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</si>
  <si>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</si>
  <si>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</si>
  <si>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</si>
  <si>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</si>
  <si>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</si>
  <si>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</si>
  <si>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</si>
  <si>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</si>
  <si>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</si>
  <si>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</si>
  <si>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</si>
  <si>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</si>
  <si>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</si>
  <si>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</si>
  <si>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</si>
  <si>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</si>
  <si>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</si>
  <si>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</si>
  <si>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</si>
  <si>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</si>
  <si>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</si>
  <si>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</si>
  <si>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</si>
  <si>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</si>
  <si>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</si>
  <si>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</si>
  <si>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</si>
  <si>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</si>
  <si>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</si>
  <si>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</si>
  <si>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</si>
  <si>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</si>
  <si>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</si>
  <si>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</si>
  <si>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</si>
  <si>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</si>
  <si>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</si>
  <si>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</si>
  <si>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</si>
  <si>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</si>
  <si>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</si>
  <si>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</si>
  <si>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</si>
  <si>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</si>
  <si>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</si>
  <si>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</si>
  <si>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</si>
  <si>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A520†</t>
  </si>
  <si>
    <t>A521</t>
  </si>
  <si>
    <t>A522</t>
  </si>
  <si>
    <t>A523</t>
  </si>
  <si>
    <t>A527</t>
  </si>
  <si>
    <t>A528</t>
  </si>
  <si>
    <t>A529</t>
  </si>
  <si>
    <t>A530</t>
  </si>
  <si>
    <t>A539</t>
  </si>
  <si>
    <t>A540</t>
  </si>
  <si>
    <t>A541</t>
  </si>
  <si>
    <t>A542†</t>
  </si>
  <si>
    <t>A543</t>
  </si>
  <si>
    <t>A544†</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</si>
  <si>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</si>
  <si>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</si>
  <si>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</si>
  <si>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</si>
  <si>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</si>
  <si>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</si>
  <si>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</si>
  <si>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</si>
  <si>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</si>
  <si>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</si>
  <si>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</si>
  <si>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</si>
  <si>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</si>
  <si>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</si>
  <si>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</si>
  <si>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</si>
  <si>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</si>
  <si>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</si>
  <si>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</si>
  <si>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</si>
  <si>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</si>
  <si>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</si>
  <si>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</si>
  <si>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</si>
  <si>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</si>
  <si>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</si>
  <si>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</si>
  <si>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</si>
  <si>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</si>
  <si>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</si>
  <si>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</si>
  <si>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</si>
  <si>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</si>
  <si>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</si>
  <si>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</si>
  <si>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</si>
  <si>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</si>
  <si>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</si>
  <si>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</si>
  <si>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</si>
  <si>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</si>
  <si>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</si>
  <si>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</si>
  <si>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</si>
  <si>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</si>
  <si>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</si>
  <si>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</si>
  <si>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</si>
  <si>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</si>
  <si>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</si>
  <si>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A740†</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</si>
  <si>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</si>
  <si>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</si>
  <si>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</si>
  <si>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</si>
  <si>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</si>
  <si>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</si>
  <si>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</si>
  <si>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</si>
  <si>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</si>
  <si>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</si>
  <si>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</si>
  <si>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</si>
  <si>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</si>
  <si>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</si>
  <si>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</si>
  <si>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</si>
  <si>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</si>
  <si>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</si>
  <si>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</si>
  <si>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</si>
  <si>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</si>
  <si>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</si>
  <si>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</si>
  <si>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</si>
  <si>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</si>
  <si>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</si>
  <si>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</si>
  <si>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</si>
  <si>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</si>
  <si>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</si>
  <si>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</si>
  <si>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</si>
  <si>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</si>
  <si>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</si>
  <si>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</si>
  <si>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</si>
  <si>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</si>
  <si>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</si>
  <si>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</si>
  <si>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</si>
  <si>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</si>
  <si>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</si>
  <si>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</si>
  <si>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</si>
  <si>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</si>
  <si>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A850†</t>
  </si>
  <si>
    <t>A851†</t>
  </si>
  <si>
    <t>A852</t>
  </si>
  <si>
    <t>A858</t>
  </si>
  <si>
    <t>A86</t>
  </si>
  <si>
    <t>A870†</t>
  </si>
  <si>
    <t>A871†</t>
  </si>
  <si>
    <t>A872</t>
  </si>
  <si>
    <t>A878</t>
  </si>
  <si>
    <t>A879</t>
  </si>
  <si>
    <t>A880</t>
  </si>
  <si>
    <t>A881</t>
  </si>
  <si>
    <t>A888</t>
  </si>
  <si>
    <t>A89</t>
  </si>
  <si>
    <t>A90</t>
  </si>
  <si>
    <t>A91</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</si>
  <si>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</si>
  <si>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</si>
  <si>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</si>
  <si>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</si>
  <si>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</si>
  <si>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</si>
  <si>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</si>
  <si>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</si>
  <si>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</si>
  <si>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</si>
  <si>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</si>
  <si>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</si>
  <si>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</si>
  <si>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</si>
  <si>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</si>
  <si>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</si>
  <si>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</si>
  <si>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</si>
  <si>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</si>
  <si>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</si>
  <si>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</si>
  <si>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</si>
  <si>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</si>
  <si>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</si>
  <si>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</si>
  <si>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</si>
  <si>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</si>
  <si>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</si>
  <si>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</si>
  <si>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</si>
  <si>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</si>
  <si>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B003†</t>
  </si>
  <si>
    <t>B004†</t>
  </si>
  <si>
    <t>B005</t>
  </si>
  <si>
    <t>B007</t>
  </si>
  <si>
    <t>B008</t>
  </si>
  <si>
    <t>B009</t>
  </si>
  <si>
    <t>B010†</t>
  </si>
  <si>
    <t>B011†</t>
  </si>
  <si>
    <t>B012†</t>
  </si>
  <si>
    <t>B018</t>
  </si>
  <si>
    <t>B019</t>
  </si>
  <si>
    <t>B020†</t>
  </si>
  <si>
    <t>B021†</t>
  </si>
  <si>
    <t>B022†</t>
  </si>
  <si>
    <t>B023</t>
  </si>
  <si>
    <t>B027</t>
  </si>
  <si>
    <t>B028</t>
  </si>
  <si>
    <t>B029</t>
  </si>
  <si>
    <t>B03</t>
  </si>
  <si>
    <t>B04</t>
  </si>
  <si>
    <t>B050†</t>
  </si>
  <si>
    <t>B051†</t>
  </si>
  <si>
    <t>B052†</t>
  </si>
  <si>
    <t>B053†</t>
  </si>
  <si>
    <t>B054</t>
  </si>
  <si>
    <t>B058</t>
  </si>
  <si>
    <t>B059</t>
  </si>
  <si>
    <t>B060†</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</si>
  <si>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</si>
  <si>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</si>
  <si>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</si>
  <si>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</si>
  <si>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</si>
  <si>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</si>
  <si>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</si>
  <si>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</si>
  <si>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</si>
  <si>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</si>
  <si>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</si>
  <si>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</si>
  <si>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</si>
  <si>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</si>
  <si>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</si>
  <si>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</si>
  <si>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</si>
  <si>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</si>
  <si>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</si>
  <si>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</si>
  <si>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</si>
  <si>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</si>
  <si>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</si>
  <si>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</si>
  <si>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</si>
  <si>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</si>
  <si>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</si>
  <si>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</si>
  <si>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</si>
  <si>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</si>
  <si>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</si>
  <si>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</si>
  <si>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</si>
  <si>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</si>
  <si>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</si>
  <si>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</si>
  <si>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</si>
  <si>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</si>
  <si>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</si>
  <si>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</si>
  <si>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</si>
  <si>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</si>
  <si>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</si>
  <si>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</si>
  <si>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</si>
  <si>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</si>
  <si>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</si>
  <si>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</si>
  <si>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</si>
  <si>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</si>
  <si>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</si>
  <si>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</si>
  <si>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</si>
  <si>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</si>
  <si>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B250†</t>
  </si>
  <si>
    <t>B251†</t>
  </si>
  <si>
    <t>B252†</t>
  </si>
  <si>
    <t>B258</t>
  </si>
  <si>
    <t>B259</t>
  </si>
  <si>
    <t>B260†</t>
  </si>
  <si>
    <t>B261†</t>
  </si>
  <si>
    <t>B262†</t>
  </si>
  <si>
    <t>B263†</t>
  </si>
  <si>
    <t>B268</t>
  </si>
  <si>
    <t>B269</t>
  </si>
  <si>
    <t>B270</t>
  </si>
  <si>
    <t>B271</t>
  </si>
  <si>
    <t>B278</t>
  </si>
  <si>
    <t>B279</t>
  </si>
  <si>
    <t>B300†</t>
  </si>
  <si>
    <t>B301†</t>
  </si>
  <si>
    <t>B302</t>
  </si>
  <si>
    <t>B303†</t>
  </si>
  <si>
    <t>B308†</t>
  </si>
  <si>
    <t>B309</t>
  </si>
  <si>
    <t>B330</t>
  </si>
  <si>
    <t>B331</t>
  </si>
  <si>
    <t>B332</t>
  </si>
  <si>
    <t>B333</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</si>
  <si>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</si>
  <si>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</si>
  <si>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</si>
  <si>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</si>
  <si>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</si>
  <si>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</si>
  <si>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</si>
  <si>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</si>
  <si>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</si>
  <si>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</si>
  <si>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</si>
  <si>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</si>
  <si>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</si>
  <si>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</si>
  <si>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</si>
  <si>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</si>
  <si>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</si>
  <si>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</si>
  <si>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</si>
  <si>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</si>
  <si>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</si>
  <si>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</si>
  <si>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</si>
  <si>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</si>
  <si>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</si>
  <si>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</si>
  <si>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B373†</t>
  </si>
  <si>
    <t>B374</t>
  </si>
  <si>
    <t>B375†</t>
  </si>
  <si>
    <t>B376†</t>
  </si>
  <si>
    <t>B377</t>
  </si>
  <si>
    <t>B378</t>
  </si>
  <si>
    <t>B379</t>
  </si>
  <si>
    <t>B380</t>
  </si>
  <si>
    <t>B381</t>
  </si>
  <si>
    <t>B382</t>
  </si>
  <si>
    <t>B383</t>
  </si>
  <si>
    <t>B384†</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</si>
  <si>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</si>
  <si>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</si>
  <si>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</si>
  <si>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</si>
  <si>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</si>
  <si>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</si>
  <si>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</si>
  <si>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</si>
  <si>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</si>
  <si>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</si>
  <si>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</si>
  <si>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</si>
  <si>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</si>
  <si>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</si>
  <si>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</si>
  <si>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</si>
  <si>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</si>
  <si>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</si>
  <si>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</si>
  <si>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</si>
  <si>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</si>
  <si>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B420†</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</si>
  <si>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</si>
  <si>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</si>
  <si>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</si>
  <si>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</si>
  <si>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</si>
  <si>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</si>
  <si>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</si>
  <si>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</si>
  <si>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</si>
  <si>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</si>
  <si>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</si>
  <si>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</si>
  <si>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</si>
  <si>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</si>
  <si>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</si>
  <si>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</si>
  <si>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</si>
  <si>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</si>
  <si>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</si>
  <si>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</si>
  <si>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</si>
  <si>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</si>
  <si>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</si>
  <si>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</si>
  <si>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</si>
  <si>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</si>
  <si>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</si>
  <si>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</si>
  <si>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</si>
  <si>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</si>
  <si>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</si>
  <si>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</si>
  <si>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</si>
  <si>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</si>
  <si>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</si>
  <si>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</si>
  <si>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</si>
  <si>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</si>
  <si>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</si>
  <si>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</si>
  <si>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</si>
  <si>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</si>
  <si>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</si>
  <si>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</si>
  <si>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</si>
  <si>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</si>
  <si>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</si>
  <si>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</si>
  <si>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</si>
  <si>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</si>
  <si>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</si>
  <si>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</si>
  <si>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</si>
  <si>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</si>
  <si>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</si>
  <si>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</si>
  <si>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</si>
  <si>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</si>
  <si>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</si>
  <si>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</si>
  <si>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</si>
  <si>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B570†</t>
  </si>
  <si>
    <t>B571</t>
  </si>
  <si>
    <t>B572</t>
  </si>
  <si>
    <t>B573</t>
  </si>
  <si>
    <t>B574</t>
  </si>
  <si>
    <t>B575</t>
  </si>
  <si>
    <t>B580†</t>
  </si>
  <si>
    <t>B581†</t>
  </si>
  <si>
    <t>B582†</t>
  </si>
  <si>
    <t>B583†</t>
  </si>
  <si>
    <t>B588</t>
  </si>
  <si>
    <t>B589</t>
  </si>
  <si>
    <t>B59†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</si>
  <si>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</si>
  <si>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</si>
  <si>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</si>
  <si>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</si>
  <si>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</si>
  <si>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</si>
  <si>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</si>
  <si>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</si>
  <si>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</si>
  <si>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</si>
  <si>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</si>
  <si>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</si>
  <si>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</si>
  <si>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</si>
  <si>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</si>
  <si>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</si>
  <si>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</si>
  <si>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</si>
  <si>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</si>
  <si>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</si>
  <si>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</si>
  <si>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</si>
  <si>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</si>
  <si>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</si>
  <si>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</si>
  <si>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</si>
  <si>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</si>
  <si>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</si>
  <si>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</si>
  <si>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</si>
  <si>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</si>
  <si>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</si>
  <si>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</si>
  <si>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</si>
  <si>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</si>
  <si>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</si>
  <si>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</si>
  <si>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</si>
  <si>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</si>
  <si>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</si>
  <si>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</si>
  <si>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</si>
  <si>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</si>
  <si>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</si>
  <si>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</si>
  <si>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</si>
  <si>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</si>
  <si>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</si>
  <si>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</si>
  <si>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</si>
  <si>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</si>
  <si>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</si>
  <si>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</si>
  <si>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</si>
  <si>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</si>
  <si>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</si>
  <si>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</si>
  <si>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</si>
  <si>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</si>
  <si>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</si>
  <si>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</si>
  <si>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</si>
  <si>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</si>
  <si>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</si>
  <si>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</si>
  <si>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</si>
  <si>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</si>
  <si>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</si>
  <si>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</si>
  <si>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</si>
  <si>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</si>
  <si>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</si>
  <si>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</si>
  <si>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</si>
  <si>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</si>
  <si>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</si>
  <si>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</si>
  <si>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</si>
  <si>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</si>
  <si>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</si>
  <si>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</si>
  <si>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</si>
  <si>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</si>
  <si>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</si>
  <si>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</si>
  <si>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</si>
  <si>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</si>
  <si>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</si>
  <si>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</si>
  <si>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</si>
  <si>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</si>
  <si>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</si>
  <si>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</si>
  <si>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</si>
  <si>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</si>
  <si>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</si>
  <si>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</si>
  <si>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</si>
  <si>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</si>
  <si>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</si>
  <si>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</si>
  <si>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</si>
  <si>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</si>
  <si>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</si>
  <si>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</si>
  <si>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</si>
  <si>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</si>
  <si>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</si>
  <si>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</si>
  <si>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</si>
  <si>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</si>
  <si>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</si>
  <si>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</si>
  <si>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</si>
  <si>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</si>
  <si>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</si>
  <si>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</si>
  <si>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</si>
  <si>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</si>
  <si>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</si>
  <si>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</si>
  <si>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</si>
  <si>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</si>
  <si>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</si>
  <si>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</si>
  <si>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</si>
  <si>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</si>
  <si>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</si>
  <si>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</si>
  <si>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</si>
  <si>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</si>
  <si>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</si>
  <si>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</si>
  <si>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</si>
  <si>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</si>
  <si>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</si>
  <si>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</si>
  <si>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</si>
  <si>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</si>
  <si>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</si>
  <si>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</si>
  <si>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</si>
  <si>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</si>
  <si>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</si>
  <si>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</si>
  <si>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</si>
  <si>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</si>
  <si>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</si>
  <si>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</si>
  <si>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</si>
  <si>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</si>
  <si>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</si>
  <si>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</si>
  <si>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</si>
  <si>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</si>
  <si>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</si>
  <si>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</si>
  <si>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</si>
  <si>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</si>
  <si>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</si>
  <si>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</si>
  <si>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</si>
  <si>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</si>
  <si>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</si>
  <si>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</si>
  <si>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</si>
  <si>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</si>
  <si>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</si>
  <si>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</si>
  <si>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</si>
  <si>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</si>
  <si>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</si>
  <si>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</si>
  <si>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</si>
  <si>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</si>
  <si>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</si>
  <si>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</si>
  <si>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</si>
  <si>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</si>
  <si>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</si>
  <si>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</si>
  <si>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</si>
  <si>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</si>
  <si>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</si>
  <si>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</si>
  <si>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</si>
  <si>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</si>
  <si>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</si>
  <si>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</si>
  <si>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</si>
  <si>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</si>
  <si>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</si>
  <si>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</si>
  <si>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</si>
  <si>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</si>
  <si>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</si>
  <si>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</si>
  <si>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</si>
  <si>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</si>
  <si>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</si>
  <si>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</si>
  <si>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</si>
  <si>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</si>
  <si>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</si>
  <si>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</si>
  <si>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</si>
  <si>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</si>
  <si>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</si>
  <si>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</si>
  <si>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</si>
  <si>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</si>
  <si>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</si>
  <si>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</si>
  <si>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</si>
  <si>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</si>
  <si>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</si>
  <si>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</si>
  <si>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</si>
  <si>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</si>
  <si>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</si>
  <si>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</si>
  <si>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</si>
  <si>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</si>
  <si>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</si>
  <si>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</si>
  <si>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</si>
  <si>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</si>
  <si>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</si>
  <si>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</si>
  <si>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</si>
  <si>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</si>
  <si>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</si>
  <si>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</si>
  <si>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</si>
  <si>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</si>
  <si>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</si>
  <si>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</si>
  <si>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</si>
  <si>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</si>
  <si>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</si>
  <si>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</si>
  <si>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</si>
  <si>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</si>
  <si>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</si>
  <si>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</si>
  <si>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</si>
  <si>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</si>
  <si>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</si>
  <si>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</si>
  <si>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</si>
  <si>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</si>
  <si>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</si>
  <si>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</si>
  <si>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</si>
  <si>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</si>
  <si>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</si>
  <si>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</si>
  <si>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</si>
  <si>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</si>
  <si>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</si>
  <si>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</si>
  <si>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</si>
  <si>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</si>
  <si>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</si>
  <si>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</si>
  <si>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</si>
  <si>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</si>
  <si>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</si>
  <si>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</si>
  <si>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</si>
  <si>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</si>
  <si>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</si>
  <si>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</si>
  <si>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</si>
  <si>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</si>
  <si>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</si>
  <si>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</si>
  <si>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</si>
  <si>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</si>
  <si>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</si>
  <si>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</si>
  <si>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</si>
  <si>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</si>
  <si>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</si>
  <si>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</si>
  <si>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</si>
  <si>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</si>
  <si>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</si>
  <si>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</si>
  <si>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</si>
  <si>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</si>
  <si>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</si>
  <si>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</si>
  <si>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</si>
  <si>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</si>
  <si>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</si>
  <si>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</si>
  <si>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</si>
  <si>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</si>
  <si>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</si>
  <si>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</si>
  <si>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</si>
  <si>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</si>
  <si>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</si>
  <si>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</si>
  <si>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</si>
  <si>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</si>
  <si>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</si>
  <si>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</si>
  <si>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</si>
  <si>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</si>
  <si>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</si>
  <si>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</si>
  <si>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</si>
  <si>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</si>
  <si>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</si>
  <si>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</si>
  <si>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</si>
  <si>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</si>
  <si>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</si>
  <si>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</si>
  <si>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</si>
  <si>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</si>
  <si>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</si>
  <si>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</si>
  <si>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</si>
  <si>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</si>
  <si>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</si>
  <si>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</si>
  <si>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</si>
  <si>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</si>
  <si>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</si>
  <si>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</si>
  <si>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</si>
  <si>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</si>
  <si>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</si>
  <si>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</si>
  <si>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</si>
  <si>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</si>
  <si>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</si>
  <si>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</si>
  <si>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</si>
  <si>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</si>
  <si>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</si>
  <si>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</si>
  <si>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</si>
  <si>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</si>
  <si>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</si>
  <si>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</si>
  <si>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</si>
  <si>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</si>
  <si>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</si>
  <si>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</si>
  <si>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</si>
  <si>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</si>
  <si>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</si>
  <si>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</si>
  <si>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</si>
  <si>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</si>
  <si>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</si>
  <si>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</si>
  <si>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</si>
  <si>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</si>
  <si>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</si>
  <si>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</si>
  <si>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</si>
  <si>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</si>
  <si>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</si>
  <si>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</si>
  <si>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</si>
  <si>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</si>
  <si>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</si>
  <si>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</si>
  <si>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</si>
  <si>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</si>
  <si>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</si>
  <si>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</si>
  <si>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</si>
  <si>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</si>
  <si>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</si>
  <si>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</si>
  <si>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</si>
  <si>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</si>
  <si>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</si>
  <si>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</si>
  <si>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</si>
  <si>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</si>
  <si>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</si>
  <si>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</si>
  <si>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</si>
  <si>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</si>
  <si>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</si>
  <si>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</si>
  <si>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</si>
  <si>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</si>
  <si>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</si>
  <si>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</si>
  <si>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</si>
  <si>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</si>
  <si>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</si>
  <si>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</si>
  <si>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</si>
  <si>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</si>
  <si>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</si>
  <si>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</si>
  <si>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</si>
  <si>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</si>
  <si>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</si>
  <si>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</si>
  <si>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</si>
  <si>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</si>
  <si>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</si>
  <si>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</si>
  <si>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</si>
  <si>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</si>
  <si>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</si>
  <si>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</si>
  <si>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</si>
  <si>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</si>
  <si>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</si>
  <si>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</si>
  <si>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</si>
  <si>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</si>
  <si>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</si>
  <si>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</si>
  <si>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</si>
  <si>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</si>
  <si>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</si>
  <si>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</si>
  <si>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</si>
  <si>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</si>
  <si>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</si>
  <si>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</si>
  <si>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</si>
  <si>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</si>
  <si>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</si>
  <si>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</si>
  <si>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</si>
  <si>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</si>
  <si>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</si>
  <si>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</si>
  <si>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</si>
  <si>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</si>
  <si>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</si>
  <si>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</si>
  <si>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</si>
  <si>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</si>
  <si>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</si>
  <si>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</si>
  <si>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</si>
  <si>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</si>
  <si>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</si>
  <si>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</si>
  <si>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</si>
  <si>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</si>
  <si>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</si>
  <si>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</si>
  <si>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</si>
  <si>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</si>
  <si>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</si>
  <si>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</si>
  <si>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</si>
  <si>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</si>
  <si>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</si>
  <si>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</si>
  <si>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</si>
  <si>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</si>
  <si>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</si>
  <si>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</si>
  <si>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</si>
  <si>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</si>
  <si>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</si>
  <si>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</si>
  <si>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</si>
  <si>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</si>
  <si>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</si>
  <si>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</si>
  <si>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</si>
  <si>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</si>
  <si>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</si>
  <si>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</si>
  <si>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</si>
  <si>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</si>
  <si>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</si>
  <si>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</si>
  <si>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</si>
  <si>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</si>
  <si>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</si>
  <si>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</si>
  <si>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</si>
  <si>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</si>
  <si>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</si>
  <si>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</si>
  <si>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</si>
  <si>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</si>
  <si>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</si>
  <si>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</si>
  <si>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</si>
  <si>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</si>
  <si>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</si>
  <si>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</si>
  <si>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</si>
  <si>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</si>
  <si>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</si>
  <si>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</si>
  <si>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</si>
  <si>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</si>
  <si>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</si>
  <si>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</si>
  <si>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</si>
  <si>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C80</t>
  </si>
  <si>
    <t>C810</t>
  </si>
  <si>
    <t>C811</t>
  </si>
  <si>
    <t>C812</t>
  </si>
  <si>
    <t>C813</t>
  </si>
  <si>
    <t>C817</t>
  </si>
  <si>
    <t>C819</t>
  </si>
  <si>
    <t>C820</t>
  </si>
  <si>
    <t>C821</t>
  </si>
  <si>
    <t>C822</t>
  </si>
  <si>
    <t>C827</t>
  </si>
  <si>
    <t>C829</t>
  </si>
  <si>
    <t>C830</t>
  </si>
  <si>
    <t>C831</t>
  </si>
  <si>
    <t>C832</t>
  </si>
  <si>
    <t>C833</t>
  </si>
  <si>
    <t>C834</t>
  </si>
  <si>
    <t>C835</t>
  </si>
  <si>
    <t>C836</t>
  </si>
  <si>
    <t>C837</t>
  </si>
  <si>
    <t>C838</t>
  </si>
  <si>
    <t>C839</t>
  </si>
  <si>
    <t>C840</t>
  </si>
  <si>
    <t>C841</t>
  </si>
  <si>
    <t>C842</t>
  </si>
  <si>
    <t>C843</t>
  </si>
  <si>
    <t>C844</t>
  </si>
  <si>
    <t>C845</t>
  </si>
  <si>
    <t>C850</t>
  </si>
  <si>
    <t>C851</t>
  </si>
  <si>
    <t>C857</t>
  </si>
  <si>
    <t>C859</t>
  </si>
  <si>
    <t>C880</t>
  </si>
  <si>
    <t>C881</t>
  </si>
  <si>
    <t>C882</t>
  </si>
  <si>
    <t>C883</t>
  </si>
  <si>
    <t>C887</t>
  </si>
  <si>
    <t>C889</t>
  </si>
  <si>
    <t>C900</t>
  </si>
  <si>
    <t>C901</t>
  </si>
  <si>
    <t>C902</t>
  </si>
  <si>
    <t>C910</t>
  </si>
  <si>
    <t>C911</t>
  </si>
  <si>
    <t>C912</t>
  </si>
  <si>
    <t>C913</t>
  </si>
  <si>
    <t>C914</t>
  </si>
  <si>
    <t>C915</t>
  </si>
  <si>
    <t>C917</t>
  </si>
  <si>
    <t>C919</t>
  </si>
  <si>
    <t>C920</t>
  </si>
  <si>
    <t>C921</t>
  </si>
  <si>
    <t>C922</t>
  </si>
  <si>
    <t>C923</t>
  </si>
  <si>
    <t>C924</t>
  </si>
  <si>
    <t>C925</t>
  </si>
  <si>
    <t>C927</t>
  </si>
  <si>
    <t>C929</t>
  </si>
  <si>
    <t>C930</t>
  </si>
  <si>
    <t>C931</t>
  </si>
  <si>
    <t>C932</t>
  </si>
  <si>
    <t>C937</t>
  </si>
  <si>
    <t>C939</t>
  </si>
  <si>
    <t>C940</t>
  </si>
  <si>
    <t>C941</t>
  </si>
  <si>
    <t>C942</t>
  </si>
  <si>
    <t>C943</t>
  </si>
  <si>
    <t>C944</t>
  </si>
  <si>
    <t>C945</t>
  </si>
  <si>
    <t>C947</t>
  </si>
  <si>
    <t>C950</t>
  </si>
  <si>
    <t>C951</t>
  </si>
  <si>
    <t>C952</t>
  </si>
  <si>
    <t>C957</t>
  </si>
  <si>
    <t>C959</t>
  </si>
  <si>
    <t>C960</t>
  </si>
  <si>
    <t>C961</t>
  </si>
  <si>
    <t>C962</t>
  </si>
  <si>
    <t>C963</t>
  </si>
  <si>
    <t>C967</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</si>
  <si>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</si>
  <si>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</si>
  <si>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</si>
  <si>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</si>
  <si>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</si>
  <si>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</si>
  <si>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</si>
  <si>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</si>
  <si>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</si>
  <si>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</si>
  <si>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</si>
  <si>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</si>
  <si>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</si>
  <si>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</si>
  <si>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</si>
  <si>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</si>
  <si>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</si>
  <si>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</si>
  <si>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</si>
  <si>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</si>
  <si>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</si>
  <si>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</si>
  <si>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</si>
  <si>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</si>
  <si>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</si>
  <si>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</si>
  <si>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</si>
  <si>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</si>
  <si>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</si>
  <si>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</si>
  <si>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</si>
  <si>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</si>
  <si>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</si>
  <si>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</si>
  <si>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</si>
  <si>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</si>
  <si>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</si>
  <si>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</si>
  <si>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</si>
  <si>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</si>
  <si>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</si>
  <si>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</si>
  <si>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</si>
  <si>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</si>
  <si>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</si>
  <si>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</si>
  <si>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</si>
  <si>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</si>
  <si>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</si>
  <si>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</si>
  <si>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</si>
  <si>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</si>
  <si>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</si>
  <si>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</si>
  <si>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</si>
  <si>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</si>
  <si>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</si>
  <si>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</si>
  <si>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</si>
  <si>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</si>
  <si>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</si>
  <si>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</si>
  <si>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</si>
  <si>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</si>
  <si>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</si>
  <si>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</si>
  <si>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</si>
  <si>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</si>
  <si>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</si>
  <si>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</si>
  <si>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</si>
  <si>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</si>
  <si>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</si>
  <si>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</si>
  <si>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</si>
  <si>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</si>
  <si>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</si>
  <si>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</si>
  <si>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</si>
  <si>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</si>
  <si>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</si>
  <si>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</si>
  <si>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</si>
  <si>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</si>
  <si>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</si>
  <si>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</si>
  <si>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</si>
  <si>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</si>
  <si>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</si>
  <si>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</si>
  <si>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</si>
  <si>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</si>
  <si>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</si>
  <si>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</si>
  <si>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</si>
  <si>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</si>
  <si>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</si>
  <si>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</si>
  <si>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</si>
  <si>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</si>
  <si>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</si>
  <si>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</si>
  <si>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</si>
  <si>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</si>
  <si>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</si>
  <si>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</si>
  <si>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</si>
  <si>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</si>
  <si>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</si>
  <si>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</si>
  <si>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</si>
  <si>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</si>
  <si>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</si>
  <si>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</si>
  <si>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</si>
  <si>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</si>
  <si>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</si>
  <si>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</si>
  <si>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</si>
  <si>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</si>
  <si>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</si>
  <si>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</si>
  <si>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</si>
  <si>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</si>
  <si>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</si>
  <si>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</si>
  <si>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</si>
  <si>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</si>
  <si>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</si>
  <si>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</si>
  <si>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</si>
  <si>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</si>
  <si>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</si>
  <si>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</si>
  <si>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</si>
  <si>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</si>
  <si>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</si>
  <si>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</si>
  <si>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</si>
  <si>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</si>
  <si>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</si>
  <si>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</si>
  <si>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</si>
  <si>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</si>
  <si>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</si>
  <si>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</si>
  <si>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</si>
  <si>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</si>
  <si>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</si>
  <si>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</si>
  <si>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</si>
  <si>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</si>
  <si>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</si>
  <si>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</si>
  <si>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</si>
  <si>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</si>
  <si>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</si>
  <si>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</si>
  <si>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</si>
  <si>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</si>
  <si>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</si>
  <si>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</si>
  <si>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</si>
  <si>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</si>
  <si>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</si>
  <si>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</si>
  <si>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</si>
  <si>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</si>
  <si>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</si>
  <si>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</si>
  <si>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</si>
  <si>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</si>
  <si>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</si>
  <si>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</si>
  <si>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</si>
  <si>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</si>
  <si>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</si>
  <si>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</si>
  <si>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</si>
  <si>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</si>
  <si>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</si>
  <si>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</si>
  <si>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</si>
  <si>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</si>
  <si>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</si>
  <si>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</si>
  <si>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</si>
  <si>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</si>
  <si>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</si>
  <si>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</si>
  <si>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</si>
  <si>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</si>
  <si>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</si>
  <si>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</si>
  <si>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</si>
  <si>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</si>
  <si>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</si>
  <si>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</si>
  <si>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</si>
  <si>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</si>
  <si>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</si>
  <si>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</si>
  <si>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</si>
  <si>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</si>
  <si>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</si>
  <si>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</si>
  <si>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</si>
  <si>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</si>
  <si>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</si>
  <si>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</si>
  <si>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</si>
  <si>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</si>
  <si>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</si>
  <si>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</si>
  <si>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</si>
  <si>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</si>
  <si>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</si>
  <si>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</si>
  <si>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</si>
  <si>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</si>
  <si>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</si>
  <si>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</si>
  <si>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</si>
  <si>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</si>
  <si>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</si>
  <si>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</si>
  <si>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</si>
  <si>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</si>
  <si>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</si>
  <si>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</si>
  <si>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</si>
  <si>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</si>
  <si>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</si>
  <si>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</si>
  <si>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</si>
  <si>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</si>
  <si>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</si>
  <si>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</si>
  <si>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</si>
  <si>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</si>
  <si>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</si>
  <si>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</si>
  <si>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</si>
  <si>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</si>
  <si>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</si>
  <si>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</si>
  <si>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</si>
  <si>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</si>
  <si>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</si>
  <si>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</si>
  <si>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</si>
  <si>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</si>
  <si>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</si>
  <si>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</si>
  <si>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</si>
  <si>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</si>
  <si>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</si>
  <si>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</si>
  <si>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</si>
  <si>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</si>
  <si>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</si>
  <si>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</si>
  <si>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</si>
  <si>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</si>
  <si>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</si>
  <si>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</si>
  <si>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</si>
  <si>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</si>
  <si>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</si>
  <si>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</si>
  <si>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</si>
  <si>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D463</t>
  </si>
  <si>
    <t>D464</t>
  </si>
  <si>
    <t>D467</t>
  </si>
  <si>
    <t>D469</t>
  </si>
  <si>
    <t>D470</t>
  </si>
  <si>
    <t>D471</t>
  </si>
  <si>
    <t>D472</t>
  </si>
  <si>
    <t>D473</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</si>
  <si>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</si>
  <si>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</si>
  <si>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</si>
  <si>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</si>
  <si>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</si>
  <si>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</si>
  <si>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</si>
  <si>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</si>
  <si>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</si>
  <si>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</si>
  <si>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</si>
  <si>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</si>
  <si>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</si>
  <si>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</si>
  <si>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</si>
  <si>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</si>
  <si>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</si>
  <si>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</si>
  <si>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</si>
  <si>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</si>
  <si>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</si>
  <si>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</si>
  <si>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</si>
  <si>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</si>
  <si>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</si>
  <si>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</si>
  <si>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</si>
  <si>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</si>
  <si>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</si>
  <si>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</si>
  <si>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</si>
  <si>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</si>
  <si>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</si>
  <si>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</si>
  <si>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</si>
  <si>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</si>
  <si>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</si>
  <si>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</si>
  <si>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</si>
  <si>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</si>
  <si>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</si>
  <si>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</si>
  <si>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</si>
  <si>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</si>
  <si>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</si>
  <si>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</si>
  <si>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</si>
  <si>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</si>
  <si>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</si>
  <si>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</si>
  <si>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</si>
  <si>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</si>
  <si>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</si>
  <si>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</si>
  <si>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</si>
  <si>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</si>
  <si>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</si>
  <si>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</si>
  <si>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</si>
  <si>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</si>
  <si>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</si>
  <si>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</si>
  <si>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</si>
  <si>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</si>
  <si>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</si>
  <si>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</si>
  <si>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</si>
  <si>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</si>
  <si>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</si>
  <si>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</si>
  <si>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</si>
  <si>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</si>
  <si>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</si>
  <si>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D630*</t>
  </si>
  <si>
    <t>D638*</t>
  </si>
  <si>
    <t>D640</t>
  </si>
  <si>
    <t>D641</t>
  </si>
  <si>
    <t>D642</t>
  </si>
  <si>
    <t>D643</t>
  </si>
  <si>
    <t>D644</t>
  </si>
  <si>
    <t>D648</t>
  </si>
  <si>
    <t>D649</t>
  </si>
  <si>
    <t>D65</t>
  </si>
  <si>
    <t>D66</t>
  </si>
  <si>
    <t>D67</t>
  </si>
  <si>
    <t>D680</t>
  </si>
  <si>
    <t>D681</t>
  </si>
  <si>
    <t>D682</t>
  </si>
  <si>
    <t>D683</t>
  </si>
  <si>
    <t>D684</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</si>
  <si>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</si>
  <si>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</si>
  <si>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</si>
  <si>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</si>
  <si>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</si>
  <si>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</si>
  <si>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</si>
  <si>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</si>
  <si>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</si>
  <si>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</si>
  <si>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</si>
  <si>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</si>
  <si>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</si>
  <si>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</si>
  <si>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</si>
  <si>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</si>
  <si>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</si>
  <si>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</si>
  <si>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</si>
  <si>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</si>
  <si>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</si>
  <si>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</si>
  <si>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</si>
  <si>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</si>
  <si>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</si>
  <si>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</si>
  <si>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</si>
  <si>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</si>
  <si>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</si>
  <si>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</si>
  <si>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D752</t>
  </si>
  <si>
    <t>D758</t>
  </si>
  <si>
    <t>D759</t>
  </si>
  <si>
    <t>D760</t>
  </si>
  <si>
    <t>D761</t>
  </si>
  <si>
    <t>D762</t>
  </si>
  <si>
    <t>D763</t>
  </si>
  <si>
    <t>D77*</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</si>
  <si>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</si>
  <si>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</si>
  <si>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</si>
  <si>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</si>
  <si>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</si>
  <si>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</si>
  <si>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</si>
  <si>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</si>
  <si>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</si>
  <si>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</si>
  <si>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</si>
  <si>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</si>
  <si>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</si>
  <si>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</si>
  <si>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</si>
  <si>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</si>
  <si>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</si>
  <si>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</si>
  <si>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</si>
  <si>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</si>
  <si>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</si>
  <si>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</si>
  <si>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</si>
  <si>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</si>
  <si>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</si>
  <si>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</si>
  <si>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</si>
  <si>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</si>
  <si>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</si>
  <si>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</si>
  <si>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</si>
  <si>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</si>
  <si>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</si>
  <si>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</si>
  <si>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</si>
  <si>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</si>
  <si>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</si>
  <si>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</si>
  <si>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</si>
  <si>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</si>
  <si>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</si>
  <si>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</si>
  <si>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</si>
  <si>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</si>
  <si>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</si>
  <si>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</si>
  <si>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</si>
  <si>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</si>
  <si>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</si>
  <si>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</si>
  <si>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</si>
  <si>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</si>
  <si>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</si>
  <si>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</si>
  <si>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</si>
  <si>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</si>
  <si>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</si>
  <si>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</si>
  <si>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</si>
  <si>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</si>
  <si>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</si>
  <si>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</si>
  <si>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</si>
  <si>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</si>
  <si>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</si>
  <si>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</si>
  <si>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</si>
  <si>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</si>
  <si>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</si>
  <si>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</si>
  <si>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</si>
  <si>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</si>
  <si>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</si>
  <si>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</si>
  <si>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</si>
  <si>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</si>
  <si>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</si>
  <si>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</si>
  <si>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</si>
  <si>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</si>
  <si>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</si>
  <si>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</si>
  <si>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</si>
  <si>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</si>
  <si>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</si>
  <si>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</si>
  <si>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</si>
  <si>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</si>
  <si>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</si>
  <si>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</si>
  <si>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</si>
  <si>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</si>
  <si>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</si>
  <si>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</si>
  <si>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</si>
  <si>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</si>
  <si>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</si>
  <si>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</si>
  <si>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</si>
  <si>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</si>
  <si>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</si>
  <si>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</si>
  <si>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</si>
  <si>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</si>
  <si>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</si>
  <si>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</si>
  <si>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</si>
  <si>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</si>
  <si>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</si>
  <si>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</si>
  <si>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</si>
  <si>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</si>
  <si>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</si>
  <si>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</si>
  <si>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</si>
  <si>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</si>
  <si>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</si>
  <si>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</si>
  <si>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</si>
  <si>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</si>
  <si>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</si>
  <si>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</si>
  <si>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</si>
  <si>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</si>
  <si>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</si>
  <si>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</si>
  <si>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</si>
  <si>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</si>
  <si>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</si>
  <si>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</si>
  <si>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</si>
  <si>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</si>
  <si>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</si>
  <si>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</si>
  <si>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</si>
  <si>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</si>
  <si>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</si>
  <si>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</si>
  <si>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</si>
  <si>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</si>
  <si>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</si>
  <si>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</si>
  <si>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</si>
  <si>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</si>
  <si>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</si>
  <si>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</si>
  <si>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</si>
  <si>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</si>
  <si>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</si>
  <si>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</si>
  <si>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</si>
  <si>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</si>
  <si>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</si>
  <si>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</si>
  <si>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</si>
  <si>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</si>
  <si>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</si>
  <si>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</si>
  <si>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</si>
  <si>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</si>
  <si>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</si>
  <si>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</si>
  <si>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</si>
  <si>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</si>
  <si>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</si>
  <si>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</si>
  <si>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</si>
  <si>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</si>
  <si>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</si>
  <si>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</si>
  <si>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</si>
  <si>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</si>
  <si>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</si>
  <si>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</si>
  <si>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</si>
  <si>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</si>
  <si>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</si>
  <si>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</si>
  <si>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</si>
  <si>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</si>
  <si>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</si>
  <si>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</si>
  <si>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</si>
  <si>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</si>
  <si>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</si>
  <si>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</si>
  <si>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</si>
  <si>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</si>
  <si>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</si>
  <si>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</si>
  <si>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</si>
  <si>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</si>
  <si>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</si>
  <si>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</si>
  <si>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</si>
  <si>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</si>
  <si>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</si>
  <si>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</si>
  <si>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</si>
  <si>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</si>
  <si>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</si>
  <si>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</si>
  <si>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</si>
  <si>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</si>
  <si>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</si>
  <si>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</si>
  <si>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</si>
  <si>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</si>
  <si>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</si>
  <si>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</si>
  <si>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</si>
  <si>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</si>
  <si>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</si>
  <si>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</si>
  <si>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</si>
  <si>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</si>
  <si>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</si>
  <si>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</si>
  <si>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</si>
  <si>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E350*</t>
  </si>
  <si>
    <t>E351*</t>
  </si>
  <si>
    <t>E358*</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</si>
  <si>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</si>
  <si>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</si>
  <si>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</si>
  <si>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</si>
  <si>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</si>
  <si>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</si>
  <si>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</si>
  <si>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</si>
  <si>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</si>
  <si>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</si>
  <si>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</si>
  <si>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</si>
  <si>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</si>
  <si>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</si>
  <si>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</si>
  <si>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</si>
  <si>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</si>
  <si>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</si>
  <si>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</si>
  <si>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</si>
  <si>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</si>
  <si>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</si>
  <si>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</si>
  <si>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</si>
  <si>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</si>
  <si>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</si>
  <si>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</si>
  <si>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</si>
  <si>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</si>
  <si>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</si>
  <si>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</si>
  <si>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</si>
  <si>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</si>
  <si>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</si>
  <si>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</si>
  <si>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</si>
  <si>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</si>
  <si>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</si>
  <si>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</si>
  <si>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</si>
  <si>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</si>
  <si>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</si>
  <si>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</si>
  <si>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</si>
  <si>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</si>
  <si>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</si>
  <si>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</si>
  <si>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</si>
  <si>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</si>
  <si>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</si>
  <si>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</si>
  <si>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</si>
  <si>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</si>
  <si>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</si>
  <si>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</si>
  <si>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</si>
  <si>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</si>
  <si>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</si>
  <si>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</si>
  <si>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</si>
  <si>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</si>
  <si>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</si>
  <si>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</si>
  <si>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</si>
  <si>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</si>
  <si>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</si>
  <si>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</si>
  <si>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</si>
  <si>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</si>
  <si>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</si>
  <si>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</si>
  <si>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</si>
  <si>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</si>
  <si>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</si>
  <si>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</si>
  <si>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</si>
  <si>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</si>
  <si>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</si>
  <si>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</si>
  <si>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</si>
  <si>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</si>
  <si>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</si>
  <si>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</si>
  <si>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</si>
  <si>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</si>
  <si>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</si>
  <si>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</si>
  <si>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</si>
  <si>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</si>
  <si>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</si>
  <si>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</si>
  <si>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</si>
  <si>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</si>
  <si>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</si>
  <si>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</si>
  <si>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</si>
  <si>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</si>
  <si>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</si>
  <si>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</si>
  <si>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</si>
  <si>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</si>
  <si>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</si>
  <si>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</si>
  <si>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</si>
  <si>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</si>
  <si>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</si>
  <si>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</si>
  <si>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</si>
  <si>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</si>
  <si>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</si>
  <si>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</si>
  <si>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</si>
  <si>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</si>
  <si>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</si>
  <si>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</si>
  <si>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</si>
  <si>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</si>
  <si>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</si>
  <si>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</si>
  <si>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</si>
  <si>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</si>
  <si>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</si>
  <si>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</si>
  <si>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</si>
  <si>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</si>
  <si>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</si>
  <si>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</si>
  <si>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</si>
  <si>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</si>
  <si>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</si>
  <si>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</si>
  <si>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</si>
  <si>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</si>
  <si>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</si>
  <si>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</si>
  <si>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</si>
  <si>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</si>
  <si>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</si>
  <si>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</si>
  <si>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</si>
  <si>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</si>
  <si>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</si>
  <si>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</si>
  <si>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</si>
  <si>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</si>
  <si>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</si>
  <si>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</si>
  <si>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</si>
  <si>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</si>
  <si>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</si>
  <si>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</si>
  <si>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</si>
  <si>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</si>
  <si>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</si>
  <si>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</si>
  <si>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</si>
  <si>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</si>
  <si>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</si>
  <si>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</si>
  <si>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</si>
  <si>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</si>
  <si>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</si>
  <si>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</si>
  <si>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</si>
  <si>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</si>
  <si>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</si>
  <si>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</si>
  <si>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</si>
  <si>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E888</t>
  </si>
  <si>
    <t>E889</t>
  </si>
  <si>
    <t>E890</t>
  </si>
  <si>
    <t>E891</t>
  </si>
  <si>
    <t>E892</t>
  </si>
  <si>
    <t>E893</t>
  </si>
  <si>
    <t>E894</t>
  </si>
  <si>
    <t>E895</t>
  </si>
  <si>
    <t>E896</t>
  </si>
  <si>
    <t>E898</t>
  </si>
  <si>
    <t>E899</t>
  </si>
  <si>
    <t>E90*</t>
  </si>
  <si>
    <t>F000*</t>
  </si>
  <si>
    <t>F001*</t>
  </si>
  <si>
    <t>F002*</t>
  </si>
  <si>
    <t>F009*</t>
  </si>
  <si>
    <t>F010</t>
  </si>
  <si>
    <t>F011</t>
  </si>
  <si>
    <t>F012</t>
  </si>
  <si>
    <t>F013</t>
  </si>
  <si>
    <t>F018</t>
  </si>
  <si>
    <t>F019</t>
  </si>
  <si>
    <t>F020*</t>
  </si>
  <si>
    <t>F021*</t>
  </si>
  <si>
    <t>F022*</t>
  </si>
  <si>
    <t>F023*</t>
  </si>
  <si>
    <t>F024*</t>
  </si>
  <si>
    <t>F028*</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</si>
  <si>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</si>
  <si>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</si>
  <si>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</si>
  <si>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</si>
  <si>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</si>
  <si>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</si>
  <si>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</si>
  <si>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</si>
  <si>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</si>
  <si>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</si>
  <si>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</si>
  <si>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</si>
  <si>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</si>
  <si>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</si>
  <si>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</si>
  <si>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</si>
  <si>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</si>
  <si>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</si>
  <si>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</si>
  <si>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</si>
  <si>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</si>
  <si>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</si>
  <si>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</si>
  <si>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</si>
  <si>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</si>
  <si>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</si>
  <si>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</si>
  <si>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</si>
  <si>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</si>
  <si>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</si>
  <si>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</si>
  <si>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</si>
  <si>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</si>
  <si>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</si>
  <si>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</si>
  <si>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</si>
  <si>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</si>
  <si>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</si>
  <si>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</si>
  <si>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</si>
  <si>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</si>
  <si>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</si>
  <si>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</si>
  <si>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</si>
  <si>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</si>
  <si>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</si>
  <si>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</si>
  <si>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</si>
  <si>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</si>
  <si>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</si>
  <si>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</si>
  <si>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</si>
  <si>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</si>
  <si>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</si>
  <si>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</si>
  <si>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</si>
  <si>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</si>
  <si>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</si>
  <si>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</si>
  <si>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</si>
  <si>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</si>
  <si>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</si>
  <si>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</si>
  <si>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</si>
  <si>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</si>
  <si>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</si>
  <si>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</si>
  <si>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</si>
  <si>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</si>
  <si>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</si>
  <si>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</si>
  <si>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</si>
  <si>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</si>
  <si>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</si>
  <si>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</si>
  <si>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</si>
  <si>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</si>
  <si>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</si>
  <si>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</si>
  <si>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</si>
  <si>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</si>
  <si>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</si>
  <si>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</si>
  <si>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</si>
  <si>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</si>
  <si>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</si>
  <si>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</si>
  <si>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</si>
  <si>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</si>
  <si>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</si>
  <si>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</si>
  <si>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</si>
  <si>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</si>
  <si>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</si>
  <si>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</si>
  <si>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</si>
  <si>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</si>
  <si>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</si>
  <si>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</si>
  <si>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</si>
  <si>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</si>
  <si>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</si>
  <si>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</si>
  <si>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</si>
  <si>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</si>
  <si>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</si>
  <si>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</si>
  <si>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</si>
  <si>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</si>
  <si>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</si>
  <si>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</si>
  <si>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</si>
  <si>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</si>
  <si>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</si>
  <si>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</si>
  <si>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</si>
  <si>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</si>
  <si>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</si>
  <si>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</si>
  <si>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</si>
  <si>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</si>
  <si>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</si>
  <si>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</si>
  <si>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</si>
  <si>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</si>
  <si>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</si>
  <si>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</si>
  <si>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</si>
  <si>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</si>
  <si>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</si>
  <si>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</si>
  <si>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</si>
  <si>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</si>
  <si>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</si>
  <si>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</si>
  <si>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</si>
  <si>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</si>
  <si>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</si>
  <si>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</si>
  <si>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</si>
  <si>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</si>
  <si>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</si>
  <si>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</si>
  <si>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</si>
  <si>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</si>
  <si>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</si>
  <si>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</si>
  <si>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</si>
  <si>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</si>
  <si>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</si>
  <si>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</si>
  <si>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</si>
  <si>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</si>
  <si>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</si>
  <si>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</si>
  <si>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</si>
  <si>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</si>
  <si>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</si>
  <si>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</si>
  <si>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</si>
  <si>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</si>
  <si>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</si>
  <si>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</si>
  <si>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</si>
  <si>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</si>
  <si>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</si>
  <si>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</si>
  <si>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</si>
  <si>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</si>
  <si>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</si>
  <si>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</si>
  <si>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</si>
  <si>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</si>
  <si>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</si>
  <si>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</si>
  <si>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</si>
  <si>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</si>
  <si>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</si>
  <si>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</si>
  <si>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</si>
  <si>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</si>
  <si>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</si>
  <si>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</si>
  <si>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</si>
  <si>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</si>
  <si>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</si>
  <si>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</si>
  <si>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</si>
  <si>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</si>
  <si>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</si>
  <si>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</si>
  <si>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</si>
  <si>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</si>
  <si>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</si>
  <si>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</si>
  <si>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</si>
  <si>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</si>
  <si>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</si>
  <si>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</si>
  <si>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</si>
  <si>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</si>
  <si>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</si>
  <si>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</si>
  <si>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</si>
  <si>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</si>
  <si>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</si>
  <si>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</si>
  <si>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</si>
  <si>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</si>
  <si>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</si>
  <si>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</si>
  <si>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</si>
  <si>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</si>
  <si>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</si>
  <si>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</si>
  <si>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</si>
  <si>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</si>
  <si>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</si>
  <si>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</si>
  <si>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</si>
  <si>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</si>
  <si>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</si>
  <si>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</si>
  <si>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</si>
  <si>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</si>
  <si>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</si>
  <si>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</si>
  <si>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</si>
  <si>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</si>
  <si>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</si>
  <si>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</si>
  <si>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</si>
  <si>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</si>
  <si>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</si>
  <si>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</si>
  <si>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</si>
  <si>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</si>
  <si>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</si>
  <si>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</si>
  <si>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</si>
  <si>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</si>
  <si>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</si>
  <si>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</si>
  <si>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</si>
  <si>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</si>
  <si>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</si>
  <si>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</si>
  <si>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</si>
  <si>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</si>
  <si>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</si>
  <si>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</si>
  <si>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</si>
  <si>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</si>
  <si>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</si>
  <si>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</si>
  <si>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</si>
  <si>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</si>
  <si>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</si>
  <si>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</si>
  <si>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</si>
  <si>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</si>
  <si>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</si>
  <si>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</si>
  <si>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</si>
  <si>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</si>
  <si>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</si>
  <si>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</si>
  <si>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</si>
  <si>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</si>
  <si>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</si>
  <si>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</si>
  <si>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</si>
  <si>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</si>
  <si>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</si>
  <si>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</si>
  <si>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</si>
  <si>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</si>
  <si>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</si>
  <si>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</si>
  <si>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</si>
  <si>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</si>
  <si>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</si>
  <si>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</si>
  <si>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</si>
  <si>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</si>
  <si>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</si>
  <si>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</si>
  <si>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</si>
  <si>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</si>
  <si>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</si>
  <si>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</si>
  <si>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</si>
  <si>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</si>
  <si>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</si>
  <si>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</si>
  <si>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</si>
  <si>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</si>
  <si>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</si>
  <si>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</si>
  <si>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</si>
  <si>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</si>
  <si>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</si>
  <si>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</si>
  <si>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</si>
  <si>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</si>
  <si>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</si>
  <si>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</si>
  <si>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</si>
  <si>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</si>
  <si>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</si>
  <si>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</si>
  <si>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</si>
  <si>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</si>
  <si>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</si>
  <si>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</si>
  <si>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</si>
  <si>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</si>
  <si>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</si>
  <si>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</si>
  <si>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</si>
  <si>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</si>
  <si>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</si>
  <si>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</si>
  <si>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</si>
  <si>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</si>
  <si>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</si>
  <si>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</si>
  <si>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</si>
  <si>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</si>
  <si>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</si>
  <si>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</si>
  <si>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</si>
  <si>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</si>
  <si>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</si>
  <si>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</si>
  <si>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</si>
  <si>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</si>
  <si>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</si>
  <si>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</si>
  <si>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</si>
  <si>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</si>
  <si>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</si>
  <si>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</si>
  <si>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</si>
  <si>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</si>
  <si>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</si>
  <si>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</si>
  <si>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</si>
  <si>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</si>
  <si>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</si>
  <si>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</si>
  <si>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</si>
  <si>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</si>
  <si>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</si>
  <si>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</si>
  <si>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</si>
  <si>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</si>
  <si>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</si>
  <si>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</si>
  <si>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</si>
  <si>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</si>
  <si>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</si>
  <si>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</si>
  <si>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</si>
  <si>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</si>
  <si>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</si>
  <si>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</si>
  <si>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</si>
  <si>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</si>
  <si>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</si>
  <si>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</si>
  <si>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</si>
  <si>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</si>
  <si>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</si>
  <si>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</si>
  <si>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</si>
  <si>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</si>
  <si>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</si>
  <si>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</si>
  <si>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</si>
  <si>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</si>
  <si>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</si>
  <si>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</si>
  <si>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</si>
  <si>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</si>
  <si>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</si>
  <si>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</si>
  <si>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</si>
  <si>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</si>
  <si>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</si>
  <si>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</si>
  <si>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</si>
  <si>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</si>
  <si>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</si>
  <si>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</si>
  <si>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</si>
  <si>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</si>
  <si>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G01*</t>
  </si>
  <si>
    <t>G020*</t>
  </si>
  <si>
    <t>G021*</t>
  </si>
  <si>
    <t>G028*</t>
  </si>
  <si>
    <t>G030</t>
  </si>
  <si>
    <t>G031</t>
  </si>
  <si>
    <t>G032</t>
  </si>
  <si>
    <t>G038</t>
  </si>
  <si>
    <t>G039</t>
  </si>
  <si>
    <t>G040</t>
  </si>
  <si>
    <t>G041</t>
  </si>
  <si>
    <t>G042</t>
  </si>
  <si>
    <t>G048</t>
  </si>
  <si>
    <t>G049</t>
  </si>
  <si>
    <t>G050*</t>
  </si>
  <si>
    <t>G051*</t>
  </si>
  <si>
    <t>G052*</t>
  </si>
  <si>
    <t>G058*</t>
  </si>
  <si>
    <t>G060</t>
  </si>
  <si>
    <t>G061</t>
  </si>
  <si>
    <t>G062</t>
  </si>
  <si>
    <t>G07*</t>
  </si>
  <si>
    <t>G08</t>
  </si>
  <si>
    <t>G09</t>
  </si>
  <si>
    <t>G10</t>
  </si>
  <si>
    <t>G110</t>
  </si>
  <si>
    <t>G111</t>
  </si>
  <si>
    <t>G112</t>
  </si>
  <si>
    <t>G113</t>
  </si>
  <si>
    <t>G114</t>
  </si>
  <si>
    <t>G118</t>
  </si>
  <si>
    <t>G119</t>
  </si>
  <si>
    <t>G120</t>
  </si>
  <si>
    <t>G121</t>
  </si>
  <si>
    <t>G122</t>
  </si>
  <si>
    <t>G128</t>
  </si>
  <si>
    <t>G129</t>
  </si>
  <si>
    <t>G130*</t>
  </si>
  <si>
    <t>G131*</t>
  </si>
  <si>
    <t>G132*</t>
  </si>
  <si>
    <t>G138*</t>
  </si>
  <si>
    <t>G20</t>
  </si>
  <si>
    <t>G210</t>
  </si>
  <si>
    <t>G211</t>
  </si>
  <si>
    <t>G212</t>
  </si>
  <si>
    <t>G213</t>
  </si>
  <si>
    <t>G218</t>
  </si>
  <si>
    <t>G219</t>
  </si>
  <si>
    <t>G22*</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</si>
  <si>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</si>
  <si>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</si>
  <si>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</si>
  <si>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</si>
  <si>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</si>
  <si>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</si>
  <si>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</si>
  <si>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</si>
  <si>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</si>
  <si>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</si>
  <si>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</si>
  <si>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</si>
  <si>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</si>
  <si>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</si>
  <si>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</si>
  <si>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</si>
  <si>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</si>
  <si>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</si>
  <si>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</si>
  <si>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</si>
  <si>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</si>
  <si>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</si>
  <si>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G26*</t>
  </si>
  <si>
    <t>G300</t>
  </si>
  <si>
    <t>G301</t>
  </si>
  <si>
    <t>G308</t>
  </si>
  <si>
    <t>G309</t>
  </si>
  <si>
    <t>G310</t>
  </si>
  <si>
    <t>G311</t>
  </si>
  <si>
    <t>G312</t>
  </si>
  <si>
    <t>G318</t>
  </si>
  <si>
    <t>G319</t>
  </si>
  <si>
    <t>G320*</t>
  </si>
  <si>
    <t>G328*</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</si>
  <si>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</si>
  <si>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</si>
  <si>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</si>
  <si>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</si>
  <si>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</si>
  <si>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</si>
  <si>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</si>
  <si>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</si>
  <si>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</si>
  <si>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</si>
  <si>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</si>
  <si>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</si>
  <si>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</si>
  <si>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</si>
  <si>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</si>
  <si>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</si>
  <si>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</si>
  <si>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</si>
  <si>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</si>
  <si>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</si>
  <si>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</si>
  <si>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</si>
  <si>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</si>
  <si>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</si>
  <si>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</si>
  <si>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</si>
  <si>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</si>
  <si>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</si>
  <si>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</si>
  <si>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</si>
  <si>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</si>
  <si>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</si>
  <si>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</si>
  <si>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</si>
  <si>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</si>
  <si>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</si>
  <si>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</si>
  <si>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</si>
  <si>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</si>
  <si>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</si>
  <si>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</si>
  <si>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</si>
  <si>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</si>
  <si>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</si>
  <si>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</si>
  <si>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</si>
  <si>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</si>
  <si>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G460*</t>
  </si>
  <si>
    <t>G461*</t>
  </si>
  <si>
    <t>G462*</t>
  </si>
  <si>
    <t>G463*</t>
  </si>
  <si>
    <t>G464*</t>
  </si>
  <si>
    <t>G465*</t>
  </si>
  <si>
    <t>G466*</t>
  </si>
  <si>
    <t>G467*</t>
  </si>
  <si>
    <t>G468*</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</si>
  <si>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</si>
  <si>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</si>
  <si>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</si>
  <si>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</si>
  <si>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</si>
  <si>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</si>
  <si>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</si>
  <si>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</si>
  <si>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</si>
  <si>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</si>
  <si>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</si>
  <si>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</si>
  <si>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</si>
  <si>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</si>
  <si>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</si>
  <si>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</si>
  <si>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</si>
  <si>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</si>
  <si>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</si>
  <si>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</si>
  <si>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</si>
  <si>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</si>
  <si>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</si>
  <si>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</si>
  <si>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</si>
  <si>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G530*</t>
  </si>
  <si>
    <t>G531*</t>
  </si>
  <si>
    <t>G532*</t>
  </si>
  <si>
    <t>G533*</t>
  </si>
  <si>
    <t>G538*</t>
  </si>
  <si>
    <t>G540</t>
  </si>
  <si>
    <t>G541</t>
  </si>
  <si>
    <t>G542</t>
  </si>
  <si>
    <t>G543</t>
  </si>
  <si>
    <t>G544</t>
  </si>
  <si>
    <t>G545</t>
  </si>
  <si>
    <t>G546</t>
  </si>
  <si>
    <t>G547</t>
  </si>
  <si>
    <t>G548</t>
  </si>
  <si>
    <t>G549</t>
  </si>
  <si>
    <t>G550*</t>
  </si>
  <si>
    <t>G551*</t>
  </si>
  <si>
    <t>G552*</t>
  </si>
  <si>
    <t>G553*</t>
  </si>
  <si>
    <t>G558*</t>
  </si>
  <si>
    <t>G560</t>
  </si>
  <si>
    <t>G561</t>
  </si>
  <si>
    <t>G562</t>
  </si>
  <si>
    <t>G563</t>
  </si>
  <si>
    <t>G564</t>
  </si>
  <si>
    <t>G568</t>
  </si>
  <si>
    <t>G569</t>
  </si>
  <si>
    <t>G570</t>
  </si>
  <si>
    <t>G571</t>
  </si>
  <si>
    <t>G572</t>
  </si>
  <si>
    <t>G573</t>
  </si>
  <si>
    <t>G574</t>
  </si>
  <si>
    <t>G575</t>
  </si>
  <si>
    <t>G576</t>
  </si>
  <si>
    <t>G578</t>
  </si>
  <si>
    <t>G579</t>
  </si>
  <si>
    <t>G580</t>
  </si>
  <si>
    <t>G587</t>
  </si>
  <si>
    <t>G588</t>
  </si>
  <si>
    <t>G589</t>
  </si>
  <si>
    <t>G590*</t>
  </si>
  <si>
    <t>G598*</t>
  </si>
  <si>
    <t>G600</t>
  </si>
  <si>
    <t>G601</t>
  </si>
  <si>
    <t>G602</t>
  </si>
  <si>
    <t>G603</t>
  </si>
  <si>
    <t>G608</t>
  </si>
  <si>
    <t>G609</t>
  </si>
  <si>
    <t>G610</t>
  </si>
  <si>
    <t>G611</t>
  </si>
  <si>
    <t>G618</t>
  </si>
  <si>
    <t>G619</t>
  </si>
  <si>
    <t>G620</t>
  </si>
  <si>
    <t>G621</t>
  </si>
  <si>
    <t>G622</t>
  </si>
  <si>
    <t>G628</t>
  </si>
  <si>
    <t>G629</t>
  </si>
  <si>
    <t>G630*</t>
  </si>
  <si>
    <t>G631*</t>
  </si>
  <si>
    <t>G632*</t>
  </si>
  <si>
    <t>G633*</t>
  </si>
  <si>
    <t>G634*</t>
  </si>
  <si>
    <t>G635*</t>
  </si>
  <si>
    <t>G636*</t>
  </si>
  <si>
    <t>G638*</t>
  </si>
  <si>
    <t>G64</t>
  </si>
  <si>
    <t>G700</t>
  </si>
  <si>
    <t>G701</t>
  </si>
  <si>
    <t>G702</t>
  </si>
  <si>
    <t>G708</t>
  </si>
  <si>
    <t>G709</t>
  </si>
  <si>
    <t>G710</t>
  </si>
  <si>
    <t>G711</t>
  </si>
  <si>
    <t>G712</t>
  </si>
  <si>
    <t>G713</t>
  </si>
  <si>
    <t>G718</t>
  </si>
  <si>
    <t>G719</t>
  </si>
  <si>
    <t>G720</t>
  </si>
  <si>
    <t>G721</t>
  </si>
  <si>
    <t>G722</t>
  </si>
  <si>
    <t>G723</t>
  </si>
  <si>
    <t>G724</t>
  </si>
  <si>
    <t>G728</t>
  </si>
  <si>
    <t>G729</t>
  </si>
  <si>
    <t>G730*</t>
  </si>
  <si>
    <t>G731*</t>
  </si>
  <si>
    <t>G732*</t>
  </si>
  <si>
    <t>G733*</t>
  </si>
  <si>
    <t>G734*</t>
  </si>
  <si>
    <t>G735*</t>
  </si>
  <si>
    <t>G736*</t>
  </si>
  <si>
    <t>G737*</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</si>
  <si>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</si>
  <si>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</si>
  <si>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</si>
  <si>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</si>
  <si>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</si>
  <si>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</si>
  <si>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</si>
  <si>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</si>
  <si>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</si>
  <si>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</si>
  <si>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</si>
  <si>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</si>
  <si>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</si>
  <si>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</si>
  <si>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</si>
  <si>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</si>
  <si>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</si>
  <si>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</si>
  <si>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</si>
  <si>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</si>
  <si>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</si>
  <si>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</si>
  <si>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</si>
  <si>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</si>
  <si>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</si>
  <si>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</si>
  <si>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G903</t>
  </si>
  <si>
    <t>G908</t>
  </si>
  <si>
    <t>G909</t>
  </si>
  <si>
    <t>G910</t>
  </si>
  <si>
    <t>G911</t>
  </si>
  <si>
    <t>G912</t>
  </si>
  <si>
    <t>G913</t>
  </si>
  <si>
    <t>G918</t>
  </si>
  <si>
    <t>G919</t>
  </si>
  <si>
    <t>G92</t>
  </si>
  <si>
    <t>G930</t>
  </si>
  <si>
    <t>G931</t>
  </si>
  <si>
    <t>G932</t>
  </si>
  <si>
    <t>G933</t>
  </si>
  <si>
    <t>G934</t>
  </si>
  <si>
    <t>G935</t>
  </si>
  <si>
    <t>G936</t>
  </si>
  <si>
    <t>G937</t>
  </si>
  <si>
    <t>G938</t>
  </si>
  <si>
    <t>G939</t>
  </si>
  <si>
    <t>G940*</t>
  </si>
  <si>
    <t>G941*</t>
  </si>
  <si>
    <t>G942*</t>
  </si>
  <si>
    <t>G948*</t>
  </si>
  <si>
    <t>G950</t>
  </si>
  <si>
    <t>G951</t>
  </si>
  <si>
    <t>G952</t>
  </si>
  <si>
    <t>G958</t>
  </si>
  <si>
    <t>G959</t>
  </si>
  <si>
    <t>G960</t>
  </si>
  <si>
    <t>G961</t>
  </si>
  <si>
    <t>G968</t>
  </si>
  <si>
    <t>G969</t>
  </si>
  <si>
    <t>G970</t>
  </si>
  <si>
    <t>G971</t>
  </si>
  <si>
    <t>G972</t>
  </si>
  <si>
    <t>G978</t>
  </si>
  <si>
    <t>G979</t>
  </si>
  <si>
    <t>G98</t>
  </si>
  <si>
    <t>G990*</t>
  </si>
  <si>
    <t>G991*</t>
  </si>
  <si>
    <t>G992*</t>
  </si>
  <si>
    <t>G998*</t>
  </si>
  <si>
    <t>H000</t>
  </si>
  <si>
    <t>H001</t>
  </si>
  <si>
    <t>H010</t>
  </si>
  <si>
    <t>H011</t>
  </si>
  <si>
    <t>H018</t>
  </si>
  <si>
    <t>H019</t>
  </si>
  <si>
    <t>H020</t>
  </si>
  <si>
    <t>H021</t>
  </si>
  <si>
    <t>H022</t>
  </si>
  <si>
    <t>H023</t>
  </si>
  <si>
    <t>H024</t>
  </si>
  <si>
    <t>H025</t>
  </si>
  <si>
    <t>H026</t>
  </si>
  <si>
    <t>H027</t>
  </si>
  <si>
    <t>H028</t>
  </si>
  <si>
    <t>H029</t>
  </si>
  <si>
    <t>H030*</t>
  </si>
  <si>
    <t>H031*</t>
  </si>
  <si>
    <t>H038*</t>
  </si>
  <si>
    <t>H040</t>
  </si>
  <si>
    <t>H041</t>
  </si>
  <si>
    <t>H042</t>
  </si>
  <si>
    <t>H043</t>
  </si>
  <si>
    <t>H044</t>
  </si>
  <si>
    <t>H045</t>
  </si>
  <si>
    <t>H046</t>
  </si>
  <si>
    <t>H048</t>
  </si>
  <si>
    <t>H049</t>
  </si>
  <si>
    <t>H050</t>
  </si>
  <si>
    <t>H051</t>
  </si>
  <si>
    <t>H052</t>
  </si>
  <si>
    <t>H053</t>
  </si>
  <si>
    <t>H054</t>
  </si>
  <si>
    <t>H055</t>
  </si>
  <si>
    <t>H058</t>
  </si>
  <si>
    <t>H059</t>
  </si>
  <si>
    <t>H060*</t>
  </si>
  <si>
    <t>H061*</t>
  </si>
  <si>
    <t>H062*</t>
  </si>
  <si>
    <t>H063*</t>
  </si>
  <si>
    <t>H100</t>
  </si>
  <si>
    <t>H101</t>
  </si>
  <si>
    <t>H102</t>
  </si>
  <si>
    <t>H103</t>
  </si>
  <si>
    <t>H104</t>
  </si>
  <si>
    <t>H105</t>
  </si>
  <si>
    <t>H108</t>
  </si>
  <si>
    <t>H109</t>
  </si>
  <si>
    <t>H110</t>
  </si>
  <si>
    <t>H111</t>
  </si>
  <si>
    <t>H112</t>
  </si>
  <si>
    <t>H113</t>
  </si>
  <si>
    <t>H114</t>
  </si>
  <si>
    <t>H118</t>
  </si>
  <si>
    <t>H119</t>
  </si>
  <si>
    <t>H130*</t>
  </si>
  <si>
    <t>H131*</t>
  </si>
  <si>
    <t>H132*</t>
  </si>
  <si>
    <t>H133*</t>
  </si>
  <si>
    <t>H138*</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</si>
  <si>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</si>
  <si>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</si>
  <si>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</si>
  <si>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</si>
  <si>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</si>
  <si>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</si>
  <si>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</si>
  <si>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</si>
  <si>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</si>
  <si>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</si>
  <si>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</si>
  <si>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</si>
  <si>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</si>
  <si>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</si>
  <si>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</si>
  <si>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</si>
  <si>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</si>
  <si>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</si>
  <si>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</si>
  <si>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</si>
  <si>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</si>
  <si>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</si>
  <si>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</si>
  <si>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</si>
  <si>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</si>
  <si>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H190*</t>
  </si>
  <si>
    <t>H191*</t>
  </si>
  <si>
    <t>H192*</t>
  </si>
  <si>
    <t>H193*</t>
  </si>
  <si>
    <t>H198*</t>
  </si>
  <si>
    <t>H200</t>
  </si>
  <si>
    <t>H201</t>
  </si>
  <si>
    <t>H202</t>
  </si>
  <si>
    <t>H208</t>
  </si>
  <si>
    <t>H209</t>
  </si>
  <si>
    <t>H210</t>
  </si>
  <si>
    <t>H211</t>
  </si>
  <si>
    <t>H212</t>
  </si>
  <si>
    <t>H213</t>
  </si>
  <si>
    <t>H214</t>
  </si>
  <si>
    <t>H215</t>
  </si>
  <si>
    <t>H218</t>
  </si>
  <si>
    <t>H219</t>
  </si>
  <si>
    <t>H220*</t>
  </si>
  <si>
    <t>H221*</t>
  </si>
  <si>
    <t>H228*</t>
  </si>
  <si>
    <t>H250</t>
  </si>
  <si>
    <t>H251</t>
  </si>
  <si>
    <t>H252</t>
  </si>
  <si>
    <t>H258</t>
  </si>
  <si>
    <t>H259</t>
  </si>
  <si>
    <t>H260</t>
  </si>
  <si>
    <t>H261</t>
  </si>
  <si>
    <t>H262</t>
  </si>
  <si>
    <t>H263</t>
  </si>
  <si>
    <t>H264</t>
  </si>
  <si>
    <t>H268</t>
  </si>
  <si>
    <t>H269</t>
  </si>
  <si>
    <t>H270</t>
  </si>
  <si>
    <t>H271</t>
  </si>
  <si>
    <t>H278</t>
  </si>
  <si>
    <t>H279</t>
  </si>
  <si>
    <t>H280*</t>
  </si>
  <si>
    <t>H281*</t>
  </si>
  <si>
    <t>H282*</t>
  </si>
  <si>
    <t>H288*</t>
  </si>
  <si>
    <t>H300</t>
  </si>
  <si>
    <t>H301</t>
  </si>
  <si>
    <t>H302</t>
  </si>
  <si>
    <t>H308</t>
  </si>
  <si>
    <t>H309</t>
  </si>
  <si>
    <t>H310</t>
  </si>
  <si>
    <t>H311</t>
  </si>
  <si>
    <t>H312</t>
  </si>
  <si>
    <t>H313</t>
  </si>
  <si>
    <t>H314</t>
  </si>
  <si>
    <t>H318</t>
  </si>
  <si>
    <t>H319</t>
  </si>
  <si>
    <t>H320*</t>
  </si>
  <si>
    <t>H328*</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</si>
  <si>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</si>
  <si>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</si>
  <si>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</si>
  <si>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</si>
  <si>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</si>
  <si>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</si>
  <si>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</si>
  <si>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</si>
  <si>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</si>
  <si>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</si>
  <si>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</si>
  <si>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</si>
  <si>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</si>
  <si>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</si>
  <si>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</si>
  <si>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</si>
  <si>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</si>
  <si>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</si>
  <si>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</si>
  <si>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</si>
  <si>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</si>
  <si>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H360*</t>
  </si>
  <si>
    <t>H368*</t>
  </si>
  <si>
    <t>H400</t>
  </si>
  <si>
    <t>H401</t>
  </si>
  <si>
    <t>H402</t>
  </si>
  <si>
    <t>H403</t>
  </si>
  <si>
    <t>H404</t>
  </si>
  <si>
    <t>H405</t>
  </si>
  <si>
    <t>H406</t>
  </si>
  <si>
    <t>H408</t>
  </si>
  <si>
    <t>H409</t>
  </si>
  <si>
    <t>H420*</t>
  </si>
  <si>
    <t>H428*</t>
  </si>
  <si>
    <t>H430</t>
  </si>
  <si>
    <t>H431</t>
  </si>
  <si>
    <t>H432</t>
  </si>
  <si>
    <t>H433</t>
  </si>
  <si>
    <t>H438</t>
  </si>
  <si>
    <t>H439</t>
  </si>
  <si>
    <t>H440</t>
  </si>
  <si>
    <t>H441</t>
  </si>
  <si>
    <t>H442</t>
  </si>
  <si>
    <t>H443</t>
  </si>
  <si>
    <t>H444</t>
  </si>
  <si>
    <t>H445</t>
  </si>
  <si>
    <t>H446</t>
  </si>
  <si>
    <t>H447</t>
  </si>
  <si>
    <t>H448</t>
  </si>
  <si>
    <t>H449</t>
  </si>
  <si>
    <t>H450*</t>
  </si>
  <si>
    <t>H451*</t>
  </si>
  <si>
    <t>H458*</t>
  </si>
  <si>
    <t>H46</t>
  </si>
  <si>
    <t>H470</t>
  </si>
  <si>
    <t>H471</t>
  </si>
  <si>
    <t>H472</t>
  </si>
  <si>
    <t>H473</t>
  </si>
  <si>
    <t>H474</t>
  </si>
  <si>
    <t>H475</t>
  </si>
  <si>
    <t>H476</t>
  </si>
  <si>
    <t>H477</t>
  </si>
  <si>
    <t>H480*</t>
  </si>
  <si>
    <t>H481*</t>
  </si>
  <si>
    <t>H488*</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</si>
  <si>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</si>
  <si>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</si>
  <si>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</si>
  <si>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</si>
  <si>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</si>
  <si>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</si>
  <si>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</si>
  <si>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</si>
  <si>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</si>
  <si>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</si>
  <si>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</si>
  <si>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</si>
  <si>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</si>
  <si>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</si>
  <si>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</si>
  <si>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</si>
  <si>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</si>
  <si>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</si>
  <si>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</si>
  <si>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</si>
  <si>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</si>
  <si>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</si>
  <si>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</si>
  <si>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</si>
  <si>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</si>
  <si>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</si>
  <si>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</si>
  <si>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</si>
  <si>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</si>
  <si>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</si>
  <si>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</si>
  <si>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</si>
  <si>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</si>
  <si>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</si>
  <si>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</si>
  <si>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</si>
  <si>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</si>
  <si>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</si>
  <si>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</si>
  <si>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</si>
  <si>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</si>
  <si>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</si>
  <si>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</si>
  <si>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</si>
  <si>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</si>
  <si>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H547</t>
  </si>
  <si>
    <t>H55</t>
  </si>
  <si>
    <t>H570</t>
  </si>
  <si>
    <t>H571</t>
  </si>
  <si>
    <t>H578</t>
  </si>
  <si>
    <t>H579</t>
  </si>
  <si>
    <t>H580*</t>
  </si>
  <si>
    <t>H581*</t>
  </si>
  <si>
    <t>H588*</t>
  </si>
  <si>
    <t>H590</t>
  </si>
  <si>
    <t>H598</t>
  </si>
  <si>
    <t>H599</t>
  </si>
  <si>
    <t>H600</t>
  </si>
  <si>
    <t>H601</t>
  </si>
  <si>
    <t>H602</t>
  </si>
  <si>
    <t>H603</t>
  </si>
  <si>
    <t>H604</t>
  </si>
  <si>
    <t>H605</t>
  </si>
  <si>
    <t>H608</t>
  </si>
  <si>
    <t>H609</t>
  </si>
  <si>
    <t>H610</t>
  </si>
  <si>
    <t>H611</t>
  </si>
  <si>
    <t>H612</t>
  </si>
  <si>
    <t>H613</t>
  </si>
  <si>
    <t>H618</t>
  </si>
  <si>
    <t>H619</t>
  </si>
  <si>
    <t>H620*</t>
  </si>
  <si>
    <t>H621*</t>
  </si>
  <si>
    <t>H622*</t>
  </si>
  <si>
    <t>H623*</t>
  </si>
  <si>
    <t>H624*</t>
  </si>
  <si>
    <t>H628*</t>
  </si>
  <si>
    <t>H650</t>
  </si>
  <si>
    <t>H651</t>
  </si>
  <si>
    <t>H652</t>
  </si>
  <si>
    <t>H653</t>
  </si>
  <si>
    <t>H654</t>
  </si>
  <si>
    <t>H659</t>
  </si>
  <si>
    <t>H660</t>
  </si>
  <si>
    <t>H661</t>
  </si>
  <si>
    <t>H662</t>
  </si>
  <si>
    <t>H663</t>
  </si>
  <si>
    <t>H664</t>
  </si>
  <si>
    <t>H669</t>
  </si>
  <si>
    <t>H670*</t>
  </si>
  <si>
    <t>H671*</t>
  </si>
  <si>
    <t>H678*</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</si>
  <si>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</si>
  <si>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</si>
  <si>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</si>
  <si>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</si>
  <si>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</si>
  <si>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</si>
  <si>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</si>
  <si>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</si>
  <si>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</si>
  <si>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</si>
  <si>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</si>
  <si>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</si>
  <si>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</si>
  <si>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</si>
  <si>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</si>
  <si>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</si>
  <si>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</si>
  <si>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</si>
  <si>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</si>
  <si>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</si>
  <si>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</si>
  <si>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</si>
  <si>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</si>
  <si>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</si>
  <si>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</si>
  <si>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</si>
  <si>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</si>
  <si>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H750*</t>
  </si>
  <si>
    <t>H758*</t>
  </si>
  <si>
    <t>H800</t>
  </si>
  <si>
    <t>H801</t>
  </si>
  <si>
    <t>H802</t>
  </si>
  <si>
    <t>H808</t>
  </si>
  <si>
    <t>H809</t>
  </si>
  <si>
    <t>H810</t>
  </si>
  <si>
    <t>H811</t>
  </si>
  <si>
    <t>H812</t>
  </si>
  <si>
    <t>H813</t>
  </si>
  <si>
    <t>H814</t>
  </si>
  <si>
    <t>H818</t>
  </si>
  <si>
    <t>H819</t>
  </si>
  <si>
    <t>H82*</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</si>
  <si>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</si>
  <si>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</si>
  <si>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</si>
  <si>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</si>
  <si>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</si>
  <si>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</si>
  <si>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</si>
  <si>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</si>
  <si>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</si>
  <si>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</si>
  <si>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</si>
  <si>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</si>
  <si>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</si>
  <si>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</si>
  <si>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</si>
  <si>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</si>
  <si>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</si>
  <si>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</si>
  <si>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</si>
  <si>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</si>
  <si>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</si>
  <si>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</si>
  <si>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</si>
  <si>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</si>
  <si>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</si>
  <si>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</si>
  <si>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</si>
  <si>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</si>
  <si>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</si>
  <si>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</si>
  <si>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H940*</t>
  </si>
  <si>
    <t>H948*</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</si>
  <si>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</si>
  <si>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</si>
  <si>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</si>
  <si>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</si>
  <si>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</si>
  <si>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</si>
  <si>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</si>
  <si>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</si>
  <si>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</si>
  <si>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</si>
  <si>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</si>
  <si>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</si>
  <si>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</si>
  <si>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</si>
  <si>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</si>
  <si>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</si>
  <si>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</si>
  <si>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</si>
  <si>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</si>
  <si>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</si>
  <si>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</si>
  <si>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</si>
  <si>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</si>
  <si>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</si>
  <si>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</si>
  <si>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</si>
  <si>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</si>
  <si>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</si>
  <si>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</si>
  <si>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</si>
  <si>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</si>
  <si>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</si>
  <si>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</si>
  <si>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</si>
  <si>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</si>
  <si>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</si>
  <si>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</si>
  <si>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</si>
  <si>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</si>
  <si>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</si>
  <si>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</si>
  <si>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</si>
  <si>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</si>
  <si>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</si>
  <si>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</si>
  <si>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</si>
  <si>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</si>
  <si>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</si>
  <si>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</si>
  <si>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</si>
  <si>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</si>
  <si>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</si>
  <si>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</si>
  <si>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</si>
  <si>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</si>
  <si>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</si>
  <si>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</si>
  <si>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</si>
  <si>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</si>
  <si>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</si>
  <si>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</si>
  <si>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</si>
  <si>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</si>
  <si>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</si>
  <si>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</si>
  <si>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</si>
  <si>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</si>
  <si>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</si>
  <si>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</si>
  <si>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</si>
  <si>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</si>
  <si>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</si>
  <si>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</si>
  <si>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</si>
  <si>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</si>
  <si>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</si>
  <si>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</si>
  <si>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</si>
  <si>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</si>
  <si>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</si>
  <si>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</si>
  <si>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</si>
  <si>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</si>
  <si>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</si>
  <si>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</si>
  <si>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</si>
  <si>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</si>
  <si>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</si>
  <si>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</si>
  <si>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</si>
  <si>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</si>
  <si>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</si>
  <si>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</si>
  <si>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</si>
  <si>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</si>
  <si>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</si>
  <si>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</si>
  <si>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</si>
  <si>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</si>
  <si>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</si>
  <si>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</si>
  <si>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</si>
  <si>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</si>
  <si>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</si>
  <si>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</si>
  <si>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</si>
  <si>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</si>
  <si>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</si>
  <si>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I320*</t>
  </si>
  <si>
    <t>I321*</t>
  </si>
  <si>
    <t>I328*</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</si>
  <si>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</si>
  <si>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</si>
  <si>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</si>
  <si>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</si>
  <si>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</si>
  <si>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</si>
  <si>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</si>
  <si>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</si>
  <si>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</si>
  <si>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</si>
  <si>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</si>
  <si>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</si>
  <si>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</si>
  <si>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</si>
  <si>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</si>
  <si>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</si>
  <si>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</si>
  <si>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</si>
  <si>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</si>
  <si>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</si>
  <si>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</si>
  <si>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</si>
  <si>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</si>
  <si>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I390*</t>
  </si>
  <si>
    <t>I391*</t>
  </si>
  <si>
    <t>I392*</t>
  </si>
  <si>
    <t>I393*</t>
  </si>
  <si>
    <t>I394*</t>
  </si>
  <si>
    <t>I398*</t>
  </si>
  <si>
    <t>I400</t>
  </si>
  <si>
    <t>I401</t>
  </si>
  <si>
    <t>I408</t>
  </si>
  <si>
    <t>I409</t>
  </si>
  <si>
    <t>I410*</t>
  </si>
  <si>
    <t>I411*</t>
  </si>
  <si>
    <t>I412*</t>
  </si>
  <si>
    <t>I418*</t>
  </si>
  <si>
    <t>I420</t>
  </si>
  <si>
    <t>I421</t>
  </si>
  <si>
    <t>I422</t>
  </si>
  <si>
    <t>I423</t>
  </si>
  <si>
    <t>I424</t>
  </si>
  <si>
    <t>I425</t>
  </si>
  <si>
    <t>I426</t>
  </si>
  <si>
    <t>I427</t>
  </si>
  <si>
    <t>I428</t>
  </si>
  <si>
    <t>I429</t>
  </si>
  <si>
    <t>I430*</t>
  </si>
  <si>
    <t>I431*</t>
  </si>
  <si>
    <t>I432*</t>
  </si>
  <si>
    <t>I438*</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</si>
  <si>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</si>
  <si>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</si>
  <si>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</si>
  <si>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</si>
  <si>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</si>
  <si>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</si>
  <si>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</si>
  <si>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</si>
  <si>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</si>
  <si>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</si>
  <si>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</si>
  <si>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</si>
  <si>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</si>
  <si>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</si>
  <si>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</si>
  <si>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</si>
  <si>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</si>
  <si>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</si>
  <si>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</si>
  <si>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</si>
  <si>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</si>
  <si>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</si>
  <si>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</si>
  <si>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</si>
  <si>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</si>
  <si>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</si>
  <si>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</si>
  <si>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</si>
  <si>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</si>
  <si>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</si>
  <si>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</si>
  <si>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</si>
  <si>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</si>
  <si>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</si>
  <si>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</si>
  <si>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</si>
  <si>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</si>
  <si>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</si>
  <si>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</si>
  <si>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</si>
  <si>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</si>
  <si>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</si>
  <si>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</si>
  <si>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</si>
  <si>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</si>
  <si>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</si>
  <si>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I520*</t>
  </si>
  <si>
    <t>I521*</t>
  </si>
  <si>
    <t>I528*</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</si>
  <si>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</si>
  <si>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</si>
  <si>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</si>
  <si>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</si>
  <si>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</si>
  <si>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</si>
  <si>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</si>
  <si>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</si>
  <si>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</si>
  <si>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</si>
  <si>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</si>
  <si>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</si>
  <si>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</si>
  <si>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</si>
  <si>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</si>
  <si>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</si>
  <si>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</si>
  <si>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</si>
  <si>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</si>
  <si>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</si>
  <si>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</si>
  <si>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</si>
  <si>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</si>
  <si>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</si>
  <si>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</si>
  <si>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</si>
  <si>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</si>
  <si>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</si>
  <si>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</si>
  <si>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</si>
  <si>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</si>
  <si>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</si>
  <si>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</si>
  <si>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</si>
  <si>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</si>
  <si>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</si>
  <si>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</si>
  <si>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</si>
  <si>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</si>
  <si>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</si>
  <si>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</si>
  <si>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</si>
  <si>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</si>
  <si>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</si>
  <si>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</si>
  <si>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</si>
  <si>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</si>
  <si>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</si>
  <si>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</si>
  <si>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</si>
  <si>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</si>
  <si>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</si>
  <si>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</si>
  <si>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</si>
  <si>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</si>
  <si>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I680*</t>
  </si>
  <si>
    <t>I681*</t>
  </si>
  <si>
    <t>I682*</t>
  </si>
  <si>
    <t>I688*</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</si>
  <si>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</si>
  <si>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</si>
  <si>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</si>
  <si>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</si>
  <si>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</si>
  <si>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</si>
  <si>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</si>
  <si>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</si>
  <si>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</si>
  <si>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</si>
  <si>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</si>
  <si>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</si>
  <si>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</si>
  <si>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</si>
  <si>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</si>
  <si>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</si>
  <si>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</si>
  <si>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</si>
  <si>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</si>
  <si>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</si>
  <si>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</si>
  <si>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</si>
  <si>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</si>
  <si>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</si>
  <si>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</si>
  <si>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</si>
  <si>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</si>
  <si>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</si>
  <si>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</si>
  <si>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</si>
  <si>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</si>
  <si>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</si>
  <si>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</si>
  <si>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</si>
  <si>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</si>
  <si>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</si>
  <si>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</si>
  <si>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</si>
  <si>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</si>
  <si>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</si>
  <si>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</si>
  <si>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</si>
  <si>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</si>
  <si>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</si>
  <si>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</si>
  <si>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</si>
  <si>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</si>
  <si>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</si>
  <si>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</si>
  <si>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</si>
  <si>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</si>
  <si>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</si>
  <si>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I790*</t>
  </si>
  <si>
    <t>I791*</t>
  </si>
  <si>
    <t>I792*</t>
  </si>
  <si>
    <t>I798*</t>
  </si>
  <si>
    <t>I800</t>
  </si>
  <si>
    <t>I801</t>
  </si>
  <si>
    <t>I802</t>
  </si>
  <si>
    <t>I803</t>
  </si>
  <si>
    <t>I808</t>
  </si>
  <si>
    <t>I809</t>
  </si>
  <si>
    <t>I81</t>
  </si>
  <si>
    <t>I820</t>
  </si>
  <si>
    <t>I821</t>
  </si>
  <si>
    <t>I822</t>
  </si>
  <si>
    <t>I823</t>
  </si>
  <si>
    <t>I828</t>
  </si>
  <si>
    <t>I829</t>
  </si>
  <si>
    <t>I830</t>
  </si>
  <si>
    <t>I831</t>
  </si>
  <si>
    <t>I832</t>
  </si>
  <si>
    <t>I839</t>
  </si>
  <si>
    <t>I840</t>
  </si>
  <si>
    <t>I841</t>
  </si>
  <si>
    <t>I842</t>
  </si>
  <si>
    <t>I843</t>
  </si>
  <si>
    <t>I844</t>
  </si>
  <si>
    <t>I845</t>
  </si>
  <si>
    <t>I846</t>
  </si>
  <si>
    <t>I847</t>
  </si>
  <si>
    <t>I848</t>
  </si>
  <si>
    <t>I849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</si>
  <si>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</si>
  <si>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</si>
  <si>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</si>
  <si>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</si>
  <si>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</si>
  <si>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</si>
  <si>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</si>
  <si>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</si>
  <si>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</si>
  <si>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</si>
  <si>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</si>
  <si>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</si>
  <si>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</si>
  <si>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</si>
  <si>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</si>
  <si>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</si>
  <si>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</si>
  <si>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</si>
  <si>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</si>
  <si>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</si>
  <si>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</si>
  <si>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</si>
  <si>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</si>
  <si>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</si>
  <si>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</si>
  <si>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</si>
  <si>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</si>
  <si>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</si>
  <si>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</si>
  <si>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</si>
  <si>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</si>
  <si>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I980*</t>
  </si>
  <si>
    <t>I981*</t>
  </si>
  <si>
    <t>I982*</t>
  </si>
  <si>
    <t>I988*</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</si>
  <si>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</si>
  <si>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</si>
  <si>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</si>
  <si>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</si>
  <si>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</si>
  <si>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</si>
  <si>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</si>
  <si>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</si>
  <si>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</si>
  <si>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</si>
  <si>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</si>
  <si>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</si>
  <si>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</si>
  <si>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</si>
  <si>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</si>
  <si>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</si>
  <si>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</si>
  <si>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</si>
  <si>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</si>
  <si>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</si>
  <si>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</si>
  <si>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</si>
  <si>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</si>
  <si>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J100</t>
  </si>
  <si>
    <t>J101</t>
  </si>
  <si>
    <t>J108</t>
  </si>
  <si>
    <t>J110</t>
  </si>
  <si>
    <t>J111</t>
  </si>
  <si>
    <t>J118</t>
  </si>
  <si>
    <t>J120</t>
  </si>
  <si>
    <t>J121</t>
  </si>
  <si>
    <t>J122</t>
  </si>
  <si>
    <t>J128</t>
  </si>
  <si>
    <t>J129</t>
  </si>
  <si>
    <t>J13</t>
  </si>
  <si>
    <t>J14</t>
  </si>
  <si>
    <t>J150</t>
  </si>
  <si>
    <t>J151</t>
  </si>
  <si>
    <t>J152</t>
  </si>
  <si>
    <t>J153</t>
  </si>
  <si>
    <t>J154</t>
  </si>
  <si>
    <t>J155</t>
  </si>
  <si>
    <t>J156</t>
  </si>
  <si>
    <t>J157</t>
  </si>
  <si>
    <t>J158</t>
  </si>
  <si>
    <t>J159</t>
  </si>
  <si>
    <t>J160</t>
  </si>
  <si>
    <t>J168</t>
  </si>
  <si>
    <t>J170*</t>
  </si>
  <si>
    <t>J171*</t>
  </si>
  <si>
    <t>J172*</t>
  </si>
  <si>
    <t>J173*</t>
  </si>
  <si>
    <t>J178*</t>
  </si>
  <si>
    <t>J180</t>
  </si>
  <si>
    <t>J181</t>
  </si>
  <si>
    <t>J182</t>
  </si>
  <si>
    <t>J188</t>
  </si>
  <si>
    <t>J189</t>
  </si>
  <si>
    <t>J200</t>
  </si>
  <si>
    <t>J201</t>
  </si>
  <si>
    <t>J202</t>
  </si>
  <si>
    <t>J203</t>
  </si>
  <si>
    <t>J204</t>
  </si>
  <si>
    <t>J205</t>
  </si>
  <si>
    <t>J206</t>
  </si>
  <si>
    <t>J207</t>
  </si>
  <si>
    <t>J208</t>
  </si>
  <si>
    <t>J209</t>
  </si>
  <si>
    <t>J210</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</si>
  <si>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</si>
  <si>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</si>
  <si>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</si>
  <si>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</si>
  <si>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</si>
  <si>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</si>
  <si>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</si>
  <si>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</si>
  <si>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</si>
  <si>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</si>
  <si>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</si>
  <si>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</si>
  <si>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</si>
  <si>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</si>
  <si>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</si>
  <si>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</si>
  <si>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</si>
  <si>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</si>
  <si>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</si>
  <si>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</si>
  <si>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</si>
  <si>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</si>
  <si>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</si>
  <si>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</si>
  <si>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</si>
  <si>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</si>
  <si>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</si>
  <si>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</si>
  <si>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</si>
  <si>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</si>
  <si>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</si>
  <si>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</si>
  <si>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</si>
  <si>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</si>
  <si>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</si>
  <si>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</si>
  <si>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</si>
  <si>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</si>
  <si>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</si>
  <si>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</si>
  <si>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</si>
  <si>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</si>
  <si>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</si>
  <si>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</si>
  <si>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</si>
  <si>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</si>
  <si>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</si>
  <si>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</si>
  <si>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</si>
  <si>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</si>
  <si>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</si>
  <si>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</si>
  <si>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</si>
  <si>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</si>
  <si>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</si>
  <si>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</si>
  <si>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</si>
  <si>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</si>
  <si>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</si>
  <si>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</si>
  <si>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</si>
  <si>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</si>
  <si>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</si>
  <si>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</si>
  <si>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</si>
  <si>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</si>
  <si>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</si>
  <si>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</si>
  <si>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</si>
  <si>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</si>
  <si>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</si>
  <si>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</si>
  <si>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</si>
  <si>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</si>
  <si>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</si>
  <si>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</si>
  <si>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</si>
  <si>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</si>
  <si>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</si>
  <si>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</si>
  <si>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</si>
  <si>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</si>
  <si>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</si>
  <si>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</si>
  <si>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</si>
  <si>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</si>
  <si>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</si>
  <si>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</si>
  <si>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</si>
  <si>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</si>
  <si>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</si>
  <si>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</si>
  <si>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</si>
  <si>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</si>
  <si>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</si>
  <si>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</si>
  <si>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</si>
  <si>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</si>
  <si>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</si>
  <si>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</si>
  <si>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</si>
  <si>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</si>
  <si>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</si>
  <si>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</si>
  <si>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</si>
  <si>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</si>
  <si>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</si>
  <si>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</si>
  <si>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</si>
  <si>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</si>
  <si>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</si>
  <si>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</si>
  <si>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</si>
  <si>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</si>
  <si>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</si>
  <si>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</si>
  <si>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</si>
  <si>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</si>
  <si>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</si>
  <si>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</si>
  <si>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</si>
  <si>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</si>
  <si>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</si>
  <si>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</si>
  <si>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</si>
  <si>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</si>
  <si>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</si>
  <si>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</si>
  <si>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J91*</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</si>
  <si>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</si>
  <si>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</si>
  <si>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</si>
  <si>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</si>
  <si>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</si>
  <si>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</si>
  <si>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</si>
  <si>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</si>
  <si>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</si>
  <si>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</si>
  <si>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</si>
  <si>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</si>
  <si>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</si>
  <si>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</si>
  <si>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</si>
  <si>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</si>
  <si>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</si>
  <si>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</si>
  <si>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</si>
  <si>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</si>
  <si>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</si>
  <si>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</si>
  <si>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</si>
  <si>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</si>
  <si>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</si>
  <si>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</si>
  <si>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</si>
  <si>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</si>
  <si>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</si>
  <si>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</si>
  <si>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</si>
  <si>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J990*</t>
  </si>
  <si>
    <t>J991*</t>
  </si>
  <si>
    <t>J998*</t>
  </si>
  <si>
    <t>K000</t>
  </si>
  <si>
    <t>K001</t>
  </si>
  <si>
    <t>K002</t>
  </si>
  <si>
    <t>K003</t>
  </si>
  <si>
    <t>K004</t>
  </si>
  <si>
    <t>K005</t>
  </si>
  <si>
    <t>K006</t>
  </si>
  <si>
    <t>K007</t>
  </si>
  <si>
    <t>K008</t>
  </si>
  <si>
    <t>K009</t>
  </si>
  <si>
    <t>K010</t>
  </si>
  <si>
    <t>K011</t>
  </si>
  <si>
    <t>K020</t>
  </si>
  <si>
    <t>K021</t>
  </si>
  <si>
    <t>K022</t>
  </si>
  <si>
    <t>K023</t>
  </si>
  <si>
    <t>K024</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</si>
  <si>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</si>
  <si>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</si>
  <si>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</si>
  <si>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</si>
  <si>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</si>
  <si>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</si>
  <si>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</si>
  <si>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</si>
  <si>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</si>
  <si>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</si>
  <si>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</si>
  <si>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</si>
  <si>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</si>
  <si>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</si>
  <si>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</si>
  <si>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</si>
  <si>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</si>
  <si>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</si>
  <si>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</si>
  <si>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</si>
  <si>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</si>
  <si>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</si>
  <si>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</si>
  <si>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</si>
  <si>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</si>
  <si>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</si>
  <si>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</si>
  <si>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</si>
  <si>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</si>
  <si>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</si>
  <si>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</si>
  <si>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</si>
  <si>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</si>
  <si>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</si>
  <si>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</si>
  <si>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</si>
  <si>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</si>
  <si>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</si>
  <si>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</si>
  <si>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</si>
  <si>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</si>
  <si>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</si>
  <si>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</si>
  <si>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</si>
  <si>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</si>
  <si>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</si>
  <si>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</si>
  <si>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</si>
  <si>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</si>
  <si>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</si>
  <si>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</si>
  <si>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</si>
  <si>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</si>
  <si>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</si>
  <si>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</si>
  <si>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</si>
  <si>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</si>
  <si>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</si>
  <si>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</si>
  <si>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</si>
  <si>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</si>
  <si>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</si>
  <si>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</si>
  <si>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</si>
  <si>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</si>
  <si>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</si>
  <si>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</si>
  <si>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</si>
  <si>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</si>
  <si>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</si>
  <si>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</si>
  <si>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</si>
  <si>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</si>
  <si>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</si>
  <si>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</si>
  <si>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</si>
  <si>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</si>
  <si>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</si>
  <si>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</si>
  <si>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</si>
  <si>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</si>
  <si>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</si>
  <si>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</si>
  <si>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</si>
  <si>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</si>
  <si>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</si>
  <si>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</si>
  <si>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</si>
  <si>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</si>
  <si>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</si>
  <si>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</si>
  <si>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</si>
  <si>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</si>
  <si>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</si>
  <si>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</si>
  <si>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</si>
  <si>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</si>
  <si>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</si>
  <si>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</si>
  <si>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</si>
  <si>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K228</t>
  </si>
  <si>
    <t>K229</t>
  </si>
  <si>
    <t>K230*</t>
  </si>
  <si>
    <t>K231*</t>
  </si>
  <si>
    <t>K238*</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</si>
  <si>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</si>
  <si>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</si>
  <si>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</si>
  <si>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</si>
  <si>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</si>
  <si>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</si>
  <si>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</si>
  <si>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</si>
  <si>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</si>
  <si>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</si>
  <si>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</si>
  <si>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</si>
  <si>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</si>
  <si>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</si>
  <si>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</si>
  <si>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</si>
  <si>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</si>
  <si>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</si>
  <si>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</si>
  <si>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</si>
  <si>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</si>
  <si>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</si>
  <si>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</si>
  <si>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</si>
  <si>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</si>
  <si>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</si>
  <si>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</si>
  <si>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</si>
  <si>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</si>
  <si>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</si>
  <si>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</si>
  <si>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</si>
  <si>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</si>
  <si>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</si>
  <si>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</si>
  <si>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</si>
  <si>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</si>
  <si>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</si>
  <si>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</si>
  <si>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</si>
  <si>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</si>
  <si>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</si>
  <si>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</si>
  <si>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</si>
  <si>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</si>
  <si>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</si>
  <si>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</si>
  <si>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</si>
  <si>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</si>
  <si>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</si>
  <si>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</si>
  <si>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</si>
  <si>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</si>
  <si>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</si>
  <si>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</si>
  <si>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</si>
  <si>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</si>
  <si>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K350</t>
  </si>
  <si>
    <t>K351</t>
  </si>
  <si>
    <t>K359</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</si>
  <si>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</si>
  <si>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</si>
  <si>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</si>
  <si>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</si>
  <si>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</si>
  <si>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</si>
  <si>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</si>
  <si>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</si>
  <si>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</si>
  <si>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</si>
  <si>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</si>
  <si>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</si>
  <si>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</si>
  <si>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</si>
  <si>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</si>
  <si>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</si>
  <si>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</si>
  <si>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</si>
  <si>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</si>
  <si>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</si>
  <si>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</si>
  <si>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</si>
  <si>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</si>
  <si>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</si>
  <si>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</si>
  <si>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K439</t>
  </si>
  <si>
    <t>K440</t>
  </si>
  <si>
    <t>K441</t>
  </si>
  <si>
    <t>K449</t>
  </si>
  <si>
    <t>K450</t>
  </si>
  <si>
    <t>K451</t>
  </si>
  <si>
    <t>K458</t>
  </si>
  <si>
    <t>K460</t>
  </si>
  <si>
    <t>K461</t>
  </si>
  <si>
    <t>K469</t>
  </si>
  <si>
    <t>K500</t>
  </si>
  <si>
    <t>K501</t>
  </si>
  <si>
    <t>K508</t>
  </si>
  <si>
    <t>K509</t>
  </si>
  <si>
    <t>K510</t>
  </si>
  <si>
    <t>K511</t>
  </si>
  <si>
    <t>K512</t>
  </si>
  <si>
    <t>K513</t>
  </si>
  <si>
    <t>K514</t>
  </si>
  <si>
    <t>K515</t>
  </si>
  <si>
    <t>K518</t>
  </si>
  <si>
    <t>K519</t>
  </si>
  <si>
    <t>K520</t>
  </si>
  <si>
    <t>K521</t>
  </si>
  <si>
    <t>K522</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</si>
  <si>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</si>
  <si>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</si>
  <si>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</si>
  <si>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</si>
  <si>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</si>
  <si>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</si>
  <si>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</si>
  <si>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</si>
  <si>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</si>
  <si>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</si>
  <si>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</si>
  <si>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</si>
  <si>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</si>
  <si>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</si>
  <si>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</si>
  <si>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</si>
  <si>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</si>
  <si>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</si>
  <si>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</si>
  <si>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</si>
  <si>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</si>
  <si>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</si>
  <si>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</si>
  <si>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K580</t>
  </si>
  <si>
    <t>K589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</si>
  <si>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</si>
  <si>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</si>
  <si>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</si>
  <si>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</si>
  <si>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</si>
  <si>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</si>
  <si>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</si>
  <si>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</si>
  <si>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</si>
  <si>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</si>
  <si>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</si>
  <si>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</si>
  <si>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</si>
  <si>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</si>
  <si>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</si>
  <si>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</si>
  <si>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</si>
  <si>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</si>
  <si>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</si>
  <si>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</si>
  <si>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</si>
  <si>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</si>
  <si>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</si>
  <si>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</si>
  <si>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</si>
  <si>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</si>
  <si>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</si>
  <si>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</si>
  <si>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</si>
  <si>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</si>
  <si>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</si>
  <si>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</si>
  <si>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</si>
  <si>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</si>
  <si>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</si>
  <si>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</si>
  <si>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K650</t>
  </si>
  <si>
    <t>K658</t>
  </si>
  <si>
    <t>K659</t>
  </si>
  <si>
    <t>K660</t>
  </si>
  <si>
    <t>K661</t>
  </si>
  <si>
    <t>K668</t>
  </si>
  <si>
    <t>K669</t>
  </si>
  <si>
    <t>K670*</t>
  </si>
  <si>
    <t>K671*</t>
  </si>
  <si>
    <t>K672*</t>
  </si>
  <si>
    <t>K673*</t>
  </si>
  <si>
    <t>K678*</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</si>
  <si>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</si>
  <si>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</si>
  <si>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</si>
  <si>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</si>
  <si>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</si>
  <si>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</si>
  <si>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</si>
  <si>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</si>
  <si>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</si>
  <si>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</si>
  <si>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</si>
  <si>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</si>
  <si>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</si>
  <si>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</si>
  <si>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</si>
  <si>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</si>
  <si>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</si>
  <si>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</si>
  <si>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</si>
  <si>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</si>
  <si>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</si>
  <si>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</si>
  <si>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</si>
  <si>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</si>
  <si>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</si>
  <si>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</si>
  <si>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</si>
  <si>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</si>
  <si>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</si>
  <si>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</si>
  <si>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</si>
  <si>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</si>
  <si>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</si>
  <si>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</si>
  <si>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</si>
  <si>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</si>
  <si>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</si>
  <si>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</si>
  <si>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</si>
  <si>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</si>
  <si>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</si>
  <si>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</si>
  <si>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</si>
  <si>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</si>
  <si>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</si>
  <si>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</si>
  <si>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</si>
  <si>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</si>
  <si>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K770*</t>
  </si>
  <si>
    <t>K778*</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</si>
  <si>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</si>
  <si>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</si>
  <si>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</si>
  <si>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</si>
  <si>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</si>
  <si>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</si>
  <si>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</si>
  <si>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</si>
  <si>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</si>
  <si>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</si>
  <si>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</si>
  <si>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</si>
  <si>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</si>
  <si>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</si>
  <si>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</si>
  <si>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</si>
  <si>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</si>
  <si>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</si>
  <si>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</si>
  <si>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</si>
  <si>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</si>
  <si>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</si>
  <si>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</si>
  <si>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</si>
  <si>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</si>
  <si>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</si>
  <si>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</si>
  <si>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K860</t>
  </si>
  <si>
    <t>K861</t>
  </si>
  <si>
    <t>K862</t>
  </si>
  <si>
    <t>K863</t>
  </si>
  <si>
    <t>K868</t>
  </si>
  <si>
    <t>K869</t>
  </si>
  <si>
    <t>K870*</t>
  </si>
  <si>
    <t>K871*</t>
  </si>
  <si>
    <t>K900</t>
  </si>
  <si>
    <t>K901</t>
  </si>
  <si>
    <t>K902</t>
  </si>
  <si>
    <t>K903</t>
  </si>
  <si>
    <t>K904</t>
  </si>
  <si>
    <t>K908</t>
  </si>
  <si>
    <t>K909</t>
  </si>
  <si>
    <t>K910</t>
  </si>
  <si>
    <t>K911</t>
  </si>
  <si>
    <t>K912</t>
  </si>
  <si>
    <t>K913</t>
  </si>
  <si>
    <t>K914</t>
  </si>
  <si>
    <t>K915</t>
  </si>
  <si>
    <t>K918</t>
  </si>
  <si>
    <t>K919</t>
  </si>
  <si>
    <t>K920</t>
  </si>
  <si>
    <t>K921</t>
  </si>
  <si>
    <t>K922</t>
  </si>
  <si>
    <t>K928</t>
  </si>
  <si>
    <t>K929</t>
  </si>
  <si>
    <t>K930*</t>
  </si>
  <si>
    <t>K931*</t>
  </si>
  <si>
    <t>K938*</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</si>
  <si>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</si>
  <si>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</si>
  <si>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</si>
  <si>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</si>
  <si>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</si>
  <si>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</si>
  <si>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</si>
  <si>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</si>
  <si>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</si>
  <si>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</si>
  <si>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</si>
  <si>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</si>
  <si>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</si>
  <si>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</si>
  <si>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</si>
  <si>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</si>
  <si>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</si>
  <si>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</si>
  <si>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</si>
  <si>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</si>
  <si>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</si>
  <si>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</si>
  <si>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</si>
  <si>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</si>
  <si>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</si>
  <si>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</si>
  <si>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</si>
  <si>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</si>
  <si>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</si>
  <si>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</si>
  <si>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</si>
  <si>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</si>
  <si>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</si>
  <si>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</si>
  <si>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</si>
  <si>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</si>
  <si>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</si>
  <si>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</si>
  <si>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</si>
  <si>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</si>
  <si>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</si>
  <si>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</si>
  <si>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</si>
  <si>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</si>
  <si>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</si>
  <si>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</si>
  <si>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</si>
  <si>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</si>
  <si>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</si>
  <si>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</si>
  <si>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L14*</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</si>
  <si>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</si>
  <si>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</si>
  <si>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</si>
  <si>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</si>
  <si>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</si>
  <si>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</si>
  <si>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</si>
  <si>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</si>
  <si>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</si>
  <si>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</si>
  <si>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</si>
  <si>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</si>
  <si>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</si>
  <si>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</si>
  <si>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</si>
  <si>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</si>
  <si>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</si>
  <si>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</si>
  <si>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</si>
  <si>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</si>
  <si>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</si>
  <si>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</si>
  <si>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</si>
  <si>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</si>
  <si>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</si>
  <si>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</si>
  <si>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</si>
  <si>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</si>
  <si>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</si>
  <si>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</si>
  <si>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</si>
  <si>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</si>
  <si>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</si>
  <si>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</si>
  <si>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</si>
  <si>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</si>
  <si>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</si>
  <si>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</si>
  <si>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</si>
  <si>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</si>
  <si>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</si>
  <si>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</si>
  <si>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</si>
  <si>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</si>
  <si>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</si>
  <si>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</si>
  <si>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</si>
  <si>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</si>
  <si>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</si>
  <si>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</si>
  <si>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</si>
  <si>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</si>
  <si>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</si>
  <si>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</si>
  <si>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</si>
  <si>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</si>
  <si>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</si>
  <si>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</si>
  <si>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</si>
  <si>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</si>
  <si>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</si>
  <si>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</si>
  <si>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</si>
  <si>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</si>
  <si>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L405†</t>
  </si>
  <si>
    <t>L408</t>
  </si>
  <si>
    <t>L409</t>
  </si>
  <si>
    <t>L410</t>
  </si>
  <si>
    <t>L411</t>
  </si>
  <si>
    <t>L412</t>
  </si>
  <si>
    <t>L413</t>
  </si>
  <si>
    <t>L414</t>
  </si>
  <si>
    <t>L415</t>
  </si>
  <si>
    <t>L418</t>
  </si>
  <si>
    <t>L419</t>
  </si>
  <si>
    <t>L42</t>
  </si>
  <si>
    <t>L430</t>
  </si>
  <si>
    <t>L431</t>
  </si>
  <si>
    <t>L432</t>
  </si>
  <si>
    <t>L433</t>
  </si>
  <si>
    <t>L438</t>
  </si>
  <si>
    <t>L439</t>
  </si>
  <si>
    <t>L440</t>
  </si>
  <si>
    <t>L441</t>
  </si>
  <si>
    <t>L442</t>
  </si>
  <si>
    <t>L443</t>
  </si>
  <si>
    <t>L444</t>
  </si>
  <si>
    <t>L448</t>
  </si>
  <si>
    <t>L449</t>
  </si>
  <si>
    <t>L45*</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</si>
  <si>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</si>
  <si>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</si>
  <si>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</si>
  <si>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</si>
  <si>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</si>
  <si>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</si>
  <si>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</si>
  <si>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</si>
  <si>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</si>
  <si>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</si>
  <si>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</si>
  <si>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</si>
  <si>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</si>
  <si>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</si>
  <si>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</si>
  <si>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</si>
  <si>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</si>
  <si>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</si>
  <si>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</si>
  <si>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</si>
  <si>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</si>
  <si>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L540*</t>
  </si>
  <si>
    <t>L548*</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</si>
  <si>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</si>
  <si>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</si>
  <si>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</si>
  <si>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</si>
  <si>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</si>
  <si>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</si>
  <si>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</si>
  <si>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</si>
  <si>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</si>
  <si>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</si>
  <si>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</si>
  <si>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</si>
  <si>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</si>
  <si>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</si>
  <si>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</si>
  <si>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</si>
  <si>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</si>
  <si>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</si>
  <si>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</si>
  <si>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</si>
  <si>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</si>
  <si>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</si>
  <si>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</si>
  <si>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</si>
  <si>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</si>
  <si>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</si>
  <si>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</si>
  <si>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</si>
  <si>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</si>
  <si>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</si>
  <si>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</si>
  <si>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</si>
  <si>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</si>
  <si>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</si>
  <si>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L620*</t>
  </si>
  <si>
    <t>L628*</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</si>
  <si>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</si>
  <si>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</si>
  <si>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</si>
  <si>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</si>
  <si>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</si>
  <si>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</si>
  <si>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</si>
  <si>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</si>
  <si>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</si>
  <si>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</si>
  <si>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</si>
  <si>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</si>
  <si>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</si>
  <si>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</si>
  <si>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</si>
  <si>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</si>
  <si>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</si>
  <si>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</si>
  <si>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</si>
  <si>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</si>
  <si>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</si>
  <si>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</si>
  <si>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</si>
  <si>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</si>
  <si>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</si>
  <si>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</si>
  <si>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</si>
  <si>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</si>
  <si>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</si>
  <si>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</si>
  <si>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</si>
  <si>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</si>
  <si>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</si>
  <si>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</si>
  <si>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</si>
  <si>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</si>
  <si>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</si>
  <si>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</si>
  <si>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</si>
  <si>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</si>
  <si>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</si>
  <si>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</si>
  <si>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</si>
  <si>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</si>
  <si>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</si>
  <si>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</si>
  <si>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</si>
  <si>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</si>
  <si>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</si>
  <si>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</si>
  <si>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</si>
  <si>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</si>
  <si>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</si>
  <si>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</si>
  <si>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</si>
  <si>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</si>
  <si>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</si>
  <si>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</si>
  <si>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</si>
  <si>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</si>
  <si>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</si>
  <si>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</si>
  <si>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</si>
  <si>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</si>
  <si>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</si>
  <si>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</si>
  <si>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</si>
  <si>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</si>
  <si>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</si>
  <si>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</si>
  <si>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</si>
  <si>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</si>
  <si>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</si>
  <si>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</si>
  <si>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</si>
  <si>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</si>
  <si>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</si>
  <si>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</si>
  <si>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</si>
  <si>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</si>
  <si>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</si>
  <si>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</si>
  <si>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</si>
  <si>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</si>
  <si>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L86*</t>
  </si>
  <si>
    <t>L870</t>
  </si>
  <si>
    <t>L871</t>
  </si>
  <si>
    <t>L872</t>
  </si>
  <si>
    <t>L878</t>
  </si>
  <si>
    <t>L879</t>
  </si>
  <si>
    <t>L88</t>
  </si>
  <si>
    <t>L89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</si>
  <si>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</si>
  <si>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</si>
  <si>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</si>
  <si>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</si>
  <si>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</si>
  <si>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</si>
  <si>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</si>
  <si>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</si>
  <si>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</si>
  <si>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</si>
  <si>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</si>
  <si>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</si>
  <si>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</si>
  <si>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</si>
  <si>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</si>
  <si>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</si>
  <si>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</si>
  <si>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</si>
  <si>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</si>
  <si>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</si>
  <si>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</si>
  <si>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</si>
  <si>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</si>
  <si>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</si>
  <si>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</si>
  <si>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</si>
  <si>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</si>
  <si>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</si>
  <si>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</si>
  <si>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</si>
  <si>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</si>
  <si>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</si>
  <si>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</si>
  <si>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</si>
  <si>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</si>
  <si>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</si>
  <si>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</si>
  <si>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</si>
  <si>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</si>
  <si>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</si>
  <si>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</si>
  <si>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</si>
  <si>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</si>
  <si>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</si>
  <si>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L990*</t>
  </si>
  <si>
    <t>L998*</t>
  </si>
  <si>
    <t>M000</t>
  </si>
  <si>
    <t>M001</t>
  </si>
  <si>
    <t>M002</t>
  </si>
  <si>
    <t>M008</t>
  </si>
  <si>
    <t>M009</t>
  </si>
  <si>
    <t>M010*</t>
  </si>
  <si>
    <t>M011*</t>
  </si>
  <si>
    <t>M012*</t>
  </si>
  <si>
    <t>M013*</t>
  </si>
  <si>
    <t>M014*</t>
  </si>
  <si>
    <t>M015*</t>
  </si>
  <si>
    <t>M016*</t>
  </si>
  <si>
    <t>M018*</t>
  </si>
  <si>
    <t>M020</t>
  </si>
  <si>
    <t>M021</t>
  </si>
  <si>
    <t>M022</t>
  </si>
  <si>
    <t>M023</t>
  </si>
  <si>
    <t>M028</t>
  </si>
  <si>
    <t>M029</t>
  </si>
  <si>
    <t>M030*</t>
  </si>
  <si>
    <t>M031*</t>
  </si>
  <si>
    <t>M032*</t>
  </si>
  <si>
    <t>M036*</t>
  </si>
  <si>
    <t>M050</t>
  </si>
  <si>
    <t>M051†</t>
  </si>
  <si>
    <t>M052</t>
  </si>
  <si>
    <t>M053†</t>
  </si>
  <si>
    <t>M058</t>
  </si>
  <si>
    <t>M059</t>
  </si>
  <si>
    <t>M060</t>
  </si>
  <si>
    <t>M061</t>
  </si>
  <si>
    <t>M062</t>
  </si>
  <si>
    <t>M063</t>
  </si>
  <si>
    <t>M064</t>
  </si>
  <si>
    <t>M068</t>
  </si>
  <si>
    <t>M069</t>
  </si>
  <si>
    <t>M070*</t>
  </si>
  <si>
    <t>M071*</t>
  </si>
  <si>
    <t>M072*</t>
  </si>
  <si>
    <t>M073*</t>
  </si>
  <si>
    <t>M074*</t>
  </si>
  <si>
    <t>M075*</t>
  </si>
  <si>
    <t>M076*</t>
  </si>
  <si>
    <t>M080</t>
  </si>
  <si>
    <t>M081</t>
  </si>
  <si>
    <t>M082</t>
  </si>
  <si>
    <t>M083</t>
  </si>
  <si>
    <t>M084</t>
  </si>
  <si>
    <t>M088</t>
  </si>
  <si>
    <t>M089</t>
  </si>
  <si>
    <t>M090*</t>
  </si>
  <si>
    <t>M091*</t>
  </si>
  <si>
    <t>M092*</t>
  </si>
  <si>
    <t>M098*</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</si>
  <si>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</si>
  <si>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</si>
  <si>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</si>
  <si>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</si>
  <si>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</si>
  <si>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</si>
  <si>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</si>
  <si>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</si>
  <si>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</si>
  <si>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</si>
  <si>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</si>
  <si>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</si>
  <si>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</si>
  <si>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</si>
  <si>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</si>
  <si>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</si>
  <si>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</si>
  <si>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</si>
  <si>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</si>
  <si>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</si>
  <si>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</si>
  <si>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</si>
  <si>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M140*</t>
  </si>
  <si>
    <t>M141*</t>
  </si>
  <si>
    <t>M142*</t>
  </si>
  <si>
    <t>M143*</t>
  </si>
  <si>
    <t>M144*</t>
  </si>
  <si>
    <t>M145*</t>
  </si>
  <si>
    <t>M146*</t>
  </si>
  <si>
    <t>M148*</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</si>
  <si>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</si>
  <si>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</si>
  <si>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</si>
  <si>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</si>
  <si>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</si>
  <si>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</si>
  <si>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</si>
  <si>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</si>
  <si>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</si>
  <si>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</si>
  <si>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</si>
  <si>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</si>
  <si>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</si>
  <si>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</si>
  <si>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</si>
  <si>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</si>
  <si>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</si>
  <si>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</si>
  <si>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</si>
  <si>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</si>
  <si>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</si>
  <si>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</si>
  <si>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</si>
  <si>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</si>
  <si>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</si>
  <si>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</si>
  <si>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</si>
  <si>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</si>
  <si>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</si>
  <si>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</si>
  <si>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</si>
  <si>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</si>
  <si>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</si>
  <si>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</si>
  <si>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</si>
  <si>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</si>
  <si>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</si>
  <si>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</si>
  <si>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</si>
  <si>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</si>
  <si>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</si>
  <si>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</si>
  <si>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</si>
  <si>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</si>
  <si>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</si>
  <si>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</si>
  <si>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</si>
  <si>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</si>
  <si>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</si>
  <si>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</si>
  <si>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</si>
  <si>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</si>
  <si>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</si>
  <si>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</si>
  <si>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</si>
  <si>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</si>
  <si>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</si>
  <si>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</si>
  <si>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</si>
  <si>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</si>
  <si>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</si>
  <si>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</si>
  <si>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</si>
  <si>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</si>
  <si>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</si>
  <si>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</si>
  <si>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</si>
  <si>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</si>
  <si>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</si>
  <si>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</si>
  <si>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</si>
  <si>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</si>
  <si>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</si>
  <si>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</si>
  <si>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</si>
  <si>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</si>
  <si>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</si>
  <si>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</si>
  <si>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</si>
  <si>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</si>
  <si>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</si>
  <si>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</si>
  <si>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</si>
  <si>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</si>
  <si>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</si>
  <si>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</si>
  <si>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</si>
  <si>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</si>
  <si>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</si>
  <si>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</si>
  <si>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</si>
  <si>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</si>
  <si>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</si>
  <si>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</si>
  <si>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</si>
  <si>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</si>
  <si>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</si>
  <si>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</si>
  <si>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</si>
  <si>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</si>
  <si>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M318</t>
  </si>
  <si>
    <t>M319</t>
  </si>
  <si>
    <t>M320</t>
  </si>
  <si>
    <t>M321†</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</si>
  <si>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</si>
  <si>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</si>
  <si>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</si>
  <si>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</si>
  <si>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</si>
  <si>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</si>
  <si>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</si>
  <si>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</si>
  <si>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</si>
  <si>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</si>
  <si>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</si>
  <si>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</si>
  <si>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</si>
  <si>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</si>
  <si>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</si>
  <si>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</si>
  <si>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</si>
  <si>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</si>
  <si>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</si>
  <si>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</si>
  <si>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</si>
  <si>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M360*</t>
  </si>
  <si>
    <t>M361*</t>
  </si>
  <si>
    <t>M362*</t>
  </si>
  <si>
    <t>M363*</t>
  </si>
  <si>
    <t>M364*</t>
  </si>
  <si>
    <t>M368*</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</si>
  <si>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</si>
  <si>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</si>
  <si>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</si>
  <si>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</si>
  <si>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</si>
  <si>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</si>
  <si>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</si>
  <si>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</si>
  <si>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</si>
  <si>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</si>
  <si>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</si>
  <si>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</si>
  <si>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</si>
  <si>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</si>
  <si>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</si>
  <si>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</si>
  <si>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</si>
  <si>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</si>
  <si>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</si>
  <si>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</si>
  <si>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</si>
  <si>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</si>
  <si>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</si>
  <si>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</si>
  <si>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</si>
  <si>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</si>
  <si>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</si>
  <si>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</si>
  <si>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</si>
  <si>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</si>
  <si>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</si>
  <si>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</si>
  <si>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</si>
  <si>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</si>
  <si>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</si>
  <si>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M470†</t>
  </si>
  <si>
    <t>M471</t>
  </si>
  <si>
    <t>M472</t>
  </si>
  <si>
    <t>M478</t>
  </si>
  <si>
    <t>M479</t>
  </si>
  <si>
    <t>M480</t>
  </si>
  <si>
    <t>M481</t>
  </si>
  <si>
    <t>M482</t>
  </si>
  <si>
    <t>M483</t>
  </si>
  <si>
    <t>M484</t>
  </si>
  <si>
    <t>M485</t>
  </si>
  <si>
    <t>M488</t>
  </si>
  <si>
    <t>M489</t>
  </si>
  <si>
    <t>M490*</t>
  </si>
  <si>
    <t>M491*</t>
  </si>
  <si>
    <t>M492*</t>
  </si>
  <si>
    <t>M493*</t>
  </si>
  <si>
    <t>M494*</t>
  </si>
  <si>
    <t>M495*</t>
  </si>
  <si>
    <t>M498*</t>
  </si>
  <si>
    <t>M500†</t>
  </si>
  <si>
    <t>M501</t>
  </si>
  <si>
    <t>M502</t>
  </si>
  <si>
    <t>M503</t>
  </si>
  <si>
    <t>M508</t>
  </si>
  <si>
    <t>M509</t>
  </si>
  <si>
    <t>M510†</t>
  </si>
  <si>
    <t>M511</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</si>
  <si>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</si>
  <si>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</si>
  <si>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</si>
  <si>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</si>
  <si>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</si>
  <si>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</si>
  <si>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</si>
  <si>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</si>
  <si>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</si>
  <si>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</si>
  <si>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</si>
  <si>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</si>
  <si>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</si>
  <si>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</si>
  <si>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</si>
  <si>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</si>
  <si>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</si>
  <si>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</si>
  <si>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</si>
  <si>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</si>
  <si>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</si>
  <si>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</si>
  <si>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</si>
  <si>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</si>
  <si>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</si>
  <si>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</si>
  <si>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</si>
  <si>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</si>
  <si>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</si>
  <si>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</si>
  <si>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</si>
  <si>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</si>
  <si>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</si>
  <si>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</si>
  <si>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</si>
  <si>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</si>
  <si>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</si>
  <si>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</si>
  <si>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</si>
  <si>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</si>
  <si>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</si>
  <si>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M630*</t>
  </si>
  <si>
    <t>M631*</t>
  </si>
  <si>
    <t>M632*</t>
  </si>
  <si>
    <t>M633*</t>
  </si>
  <si>
    <t>M638*</t>
  </si>
  <si>
    <t>M650</t>
  </si>
  <si>
    <t>M651</t>
  </si>
  <si>
    <t>M652</t>
  </si>
  <si>
    <t>M653</t>
  </si>
  <si>
    <t>M654</t>
  </si>
  <si>
    <t>M658</t>
  </si>
  <si>
    <t>M659</t>
  </si>
  <si>
    <t>M660</t>
  </si>
  <si>
    <t>M661</t>
  </si>
  <si>
    <t>M662</t>
  </si>
  <si>
    <t>M663</t>
  </si>
  <si>
    <t>M664</t>
  </si>
  <si>
    <t>M665</t>
  </si>
  <si>
    <t>M670</t>
  </si>
  <si>
    <t>M671</t>
  </si>
  <si>
    <t>M672</t>
  </si>
  <si>
    <t>M673</t>
  </si>
  <si>
    <t>M674</t>
  </si>
  <si>
    <t>M678</t>
  </si>
  <si>
    <t>M679</t>
  </si>
  <si>
    <t>M680*</t>
  </si>
  <si>
    <t>M688*</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</si>
  <si>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</si>
  <si>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</si>
  <si>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</si>
  <si>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</si>
  <si>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</si>
  <si>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</si>
  <si>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</si>
  <si>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</si>
  <si>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</si>
  <si>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</si>
  <si>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</si>
  <si>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</si>
  <si>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</si>
  <si>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</si>
  <si>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</si>
  <si>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</si>
  <si>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</si>
  <si>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</si>
  <si>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</si>
  <si>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</si>
  <si>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</si>
  <si>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M723</t>
  </si>
  <si>
    <t>M724</t>
  </si>
  <si>
    <t>M725</t>
  </si>
  <si>
    <t>M728</t>
  </si>
  <si>
    <t>M729</t>
  </si>
  <si>
    <t>M730*</t>
  </si>
  <si>
    <t>M731*</t>
  </si>
  <si>
    <t>M738*</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</si>
  <si>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</si>
  <si>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</si>
  <si>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</si>
  <si>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</si>
  <si>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</si>
  <si>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</si>
  <si>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</si>
  <si>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</si>
  <si>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</si>
  <si>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</si>
  <si>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</si>
  <si>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</si>
  <si>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</si>
  <si>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</si>
  <si>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</si>
  <si>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</si>
  <si>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</si>
  <si>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</si>
  <si>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</si>
  <si>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</si>
  <si>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</si>
  <si>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</si>
  <si>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</si>
  <si>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</si>
  <si>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</si>
  <si>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</si>
  <si>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</si>
  <si>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</si>
  <si>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</si>
  <si>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</si>
  <si>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</si>
  <si>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</si>
  <si>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</si>
  <si>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M798</t>
  </si>
  <si>
    <t>M799</t>
  </si>
  <si>
    <t>M800</t>
  </si>
  <si>
    <t>M801</t>
  </si>
  <si>
    <t>M802</t>
  </si>
  <si>
    <t>M803</t>
  </si>
  <si>
    <t>M804</t>
  </si>
  <si>
    <t>M805</t>
  </si>
  <si>
    <t>M808</t>
  </si>
  <si>
    <t>M809</t>
  </si>
  <si>
    <t>M810</t>
  </si>
  <si>
    <t>M811</t>
  </si>
  <si>
    <t>M812</t>
  </si>
  <si>
    <t>M813</t>
  </si>
  <si>
    <t>M814</t>
  </si>
  <si>
    <t>M815</t>
  </si>
  <si>
    <t>M816</t>
  </si>
  <si>
    <t>M818</t>
  </si>
  <si>
    <t>M819</t>
  </si>
  <si>
    <t>M820*</t>
  </si>
  <si>
    <t>M821*</t>
  </si>
  <si>
    <t>M828*</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</si>
  <si>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</si>
  <si>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</si>
  <si>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</si>
  <si>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</si>
  <si>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</si>
  <si>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</si>
  <si>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</si>
  <si>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</si>
  <si>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</si>
  <si>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</si>
  <si>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</si>
  <si>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</si>
  <si>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</si>
  <si>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</si>
  <si>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</si>
  <si>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</si>
  <si>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</si>
  <si>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</si>
  <si>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</si>
  <si>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</si>
  <si>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</si>
  <si>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</si>
  <si>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</si>
  <si>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</si>
  <si>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</si>
  <si>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</si>
  <si>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</si>
  <si>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</si>
  <si>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</si>
  <si>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</si>
  <si>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</si>
  <si>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</si>
  <si>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</si>
  <si>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</si>
  <si>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</si>
  <si>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</si>
  <si>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</si>
  <si>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</si>
  <si>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</si>
  <si>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</si>
  <si>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</si>
  <si>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</si>
  <si>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</si>
  <si>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</si>
  <si>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</si>
  <si>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</si>
  <si>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</si>
  <si>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</si>
  <si>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</si>
  <si>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</si>
  <si>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</si>
  <si>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M900*</t>
  </si>
  <si>
    <t>M901*</t>
  </si>
  <si>
    <t>M902*</t>
  </si>
  <si>
    <t>M903*</t>
  </si>
  <si>
    <t>M904*</t>
  </si>
  <si>
    <t>M905*</t>
  </si>
  <si>
    <t>M906*</t>
  </si>
  <si>
    <t>M907*</t>
  </si>
  <si>
    <t>M908*</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</si>
  <si>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</si>
  <si>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</si>
  <si>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</si>
  <si>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</si>
  <si>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</si>
  <si>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</si>
  <si>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</si>
  <si>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</si>
  <si>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</si>
  <si>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</si>
  <si>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</si>
  <si>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</si>
  <si>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</si>
  <si>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</si>
  <si>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</si>
  <si>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</si>
  <si>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</si>
  <si>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</si>
  <si>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</si>
  <si>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</si>
  <si>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</si>
  <si>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</si>
  <si>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</si>
  <si>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</si>
  <si>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</si>
  <si>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</si>
  <si>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</si>
  <si>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</si>
  <si>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</si>
  <si>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</si>
  <si>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</si>
  <si>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</si>
  <si>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</si>
  <si>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</si>
  <si>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</si>
  <si>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</si>
  <si>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</si>
  <si>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</si>
  <si>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</si>
  <si>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</si>
  <si>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</si>
  <si>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</si>
  <si>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</si>
  <si>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</si>
  <si>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</si>
  <si>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</si>
  <si>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</si>
  <si>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</si>
  <si>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</si>
  <si>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</si>
  <si>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</si>
  <si>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</si>
  <si>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</si>
  <si>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</si>
  <si>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</si>
  <si>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</si>
  <si>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</si>
  <si>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</si>
  <si>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</si>
  <si>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</si>
  <si>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</si>
  <si>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</si>
  <si>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</si>
  <si>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</si>
  <si>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</si>
  <si>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</si>
  <si>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</si>
  <si>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</si>
  <si>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</si>
  <si>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</si>
  <si>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</si>
  <si>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</si>
  <si>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</si>
  <si>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</si>
  <si>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</si>
  <si>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</si>
  <si>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</si>
  <si>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</si>
  <si>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</si>
  <si>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</si>
  <si>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</si>
  <si>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</si>
  <si>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</si>
  <si>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</si>
  <si>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</si>
  <si>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</si>
  <si>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</si>
  <si>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</si>
  <si>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</si>
  <si>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</si>
  <si>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</si>
  <si>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</si>
  <si>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</si>
  <si>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</si>
  <si>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</si>
  <si>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</si>
  <si>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</si>
  <si>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</si>
  <si>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</si>
  <si>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</si>
  <si>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</si>
  <si>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</si>
  <si>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</si>
  <si>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</si>
  <si>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</si>
  <si>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</si>
  <si>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</si>
  <si>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</si>
  <si>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</si>
  <si>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</si>
  <si>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</si>
  <si>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</si>
  <si>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</si>
  <si>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</si>
  <si>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</si>
  <si>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</si>
  <si>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</si>
  <si>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</si>
  <si>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</si>
  <si>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</si>
  <si>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</si>
  <si>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</si>
  <si>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</si>
  <si>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</si>
  <si>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</si>
  <si>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</si>
  <si>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</si>
  <si>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</si>
  <si>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</si>
  <si>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</si>
  <si>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</si>
  <si>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</si>
  <si>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</si>
  <si>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</si>
  <si>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N080*</t>
  </si>
  <si>
    <t>N081*</t>
  </si>
  <si>
    <t>N082*</t>
  </si>
  <si>
    <t>N083*</t>
  </si>
  <si>
    <t>N084*</t>
  </si>
  <si>
    <t>N085*</t>
  </si>
  <si>
    <t>N088*</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</si>
  <si>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</si>
  <si>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</si>
  <si>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</si>
  <si>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</si>
  <si>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</si>
  <si>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</si>
  <si>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</si>
  <si>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</si>
  <si>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</si>
  <si>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</si>
  <si>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</si>
  <si>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</si>
  <si>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</si>
  <si>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</si>
  <si>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</si>
  <si>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</si>
  <si>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</si>
  <si>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</si>
  <si>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</si>
  <si>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</si>
  <si>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</si>
  <si>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</si>
  <si>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</si>
  <si>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</si>
  <si>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</si>
  <si>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N160*</t>
  </si>
  <si>
    <t>N161*</t>
  </si>
  <si>
    <t>N162*</t>
  </si>
  <si>
    <t>N163*</t>
  </si>
  <si>
    <t>N164*</t>
  </si>
  <si>
    <t>N165*</t>
  </si>
  <si>
    <t>N168*</t>
  </si>
  <si>
    <t>N170</t>
  </si>
  <si>
    <t>N171</t>
  </si>
  <si>
    <t>N172</t>
  </si>
  <si>
    <t>N178</t>
  </si>
  <si>
    <t>N179</t>
  </si>
  <si>
    <t>N180</t>
  </si>
  <si>
    <t>N188</t>
  </si>
  <si>
    <t>N189</t>
  </si>
  <si>
    <t>N19</t>
  </si>
  <si>
    <t>N200</t>
  </si>
  <si>
    <t>N201</t>
  </si>
  <si>
    <t>N202</t>
  </si>
  <si>
    <t>N209</t>
  </si>
  <si>
    <t>N210</t>
  </si>
  <si>
    <t>N211</t>
  </si>
  <si>
    <t>N218</t>
  </si>
  <si>
    <t>N219</t>
  </si>
  <si>
    <t>N220*</t>
  </si>
  <si>
    <t>N228*</t>
  </si>
  <si>
    <t>N23</t>
  </si>
  <si>
    <t>N250</t>
  </si>
  <si>
    <t>N251</t>
  </si>
  <si>
    <t>N258</t>
  </si>
  <si>
    <t>N259</t>
  </si>
  <si>
    <t>N26</t>
  </si>
  <si>
    <t>N270</t>
  </si>
  <si>
    <t>N271</t>
  </si>
  <si>
    <t>N279</t>
  </si>
  <si>
    <t>N280</t>
  </si>
  <si>
    <t>N281</t>
  </si>
  <si>
    <t>N288</t>
  </si>
  <si>
    <t>N289</t>
  </si>
  <si>
    <t>N290*</t>
  </si>
  <si>
    <t>N291*</t>
  </si>
  <si>
    <t>N298*</t>
  </si>
  <si>
    <t>N300</t>
  </si>
  <si>
    <t>N301</t>
  </si>
  <si>
    <t>N302</t>
  </si>
  <si>
    <t>N303</t>
  </si>
  <si>
    <t>N304</t>
  </si>
  <si>
    <t>N308</t>
  </si>
  <si>
    <t>N309</t>
  </si>
  <si>
    <t>N310</t>
  </si>
  <si>
    <t>N311</t>
  </si>
  <si>
    <t>N312</t>
  </si>
  <si>
    <t>N318</t>
  </si>
  <si>
    <t>N319</t>
  </si>
  <si>
    <t>N320</t>
  </si>
  <si>
    <t>N321</t>
  </si>
  <si>
    <t>N322</t>
  </si>
  <si>
    <t>N323</t>
  </si>
  <si>
    <t>N324</t>
  </si>
  <si>
    <t>N328</t>
  </si>
  <si>
    <t>N329</t>
  </si>
  <si>
    <t>N330*</t>
  </si>
  <si>
    <t>N338*</t>
  </si>
  <si>
    <t>N340</t>
  </si>
  <si>
    <t>N341</t>
  </si>
  <si>
    <t>N342</t>
  </si>
  <si>
    <t>N343</t>
  </si>
  <si>
    <t>N350</t>
  </si>
  <si>
    <t>N351</t>
  </si>
  <si>
    <t>N358</t>
  </si>
  <si>
    <t>N359</t>
  </si>
  <si>
    <t>N360</t>
  </si>
  <si>
    <t>N361</t>
  </si>
  <si>
    <t>N362</t>
  </si>
  <si>
    <t>N363</t>
  </si>
  <si>
    <t>N368</t>
  </si>
  <si>
    <t>N369</t>
  </si>
  <si>
    <t>N370*</t>
  </si>
  <si>
    <t>N378*</t>
  </si>
  <si>
    <t>N390</t>
  </si>
  <si>
    <t>N391</t>
  </si>
  <si>
    <t>N392</t>
  </si>
  <si>
    <t>N393</t>
  </si>
  <si>
    <t>N394</t>
  </si>
  <si>
    <t>N398</t>
  </si>
  <si>
    <t>N399</t>
  </si>
  <si>
    <t>N40</t>
  </si>
  <si>
    <t>N410</t>
  </si>
  <si>
    <t>N411</t>
  </si>
  <si>
    <t>N412</t>
  </si>
  <si>
    <t>N413</t>
  </si>
  <si>
    <t>N418</t>
  </si>
  <si>
    <t>N419</t>
  </si>
  <si>
    <t>N420</t>
  </si>
  <si>
    <t>N421</t>
  </si>
  <si>
    <t>N422</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</si>
  <si>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</si>
  <si>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</si>
  <si>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</si>
  <si>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</si>
  <si>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</si>
  <si>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</si>
  <si>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</si>
  <si>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</si>
  <si>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</si>
  <si>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</si>
  <si>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</si>
  <si>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</si>
  <si>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</si>
  <si>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</si>
  <si>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</si>
  <si>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</si>
  <si>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</si>
  <si>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</si>
  <si>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</si>
  <si>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</si>
  <si>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</si>
  <si>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</si>
  <si>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</si>
  <si>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</si>
  <si>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</si>
  <si>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</si>
  <si>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</si>
  <si>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</si>
  <si>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</si>
  <si>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</si>
  <si>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N510*</t>
  </si>
  <si>
    <t>N511*</t>
  </si>
  <si>
    <t>N512*</t>
  </si>
  <si>
    <t>N518*</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</si>
  <si>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</si>
  <si>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</si>
  <si>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</si>
  <si>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</si>
  <si>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</si>
  <si>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</si>
  <si>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</si>
  <si>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</si>
  <si>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</si>
  <si>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</si>
  <si>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</si>
  <si>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</si>
  <si>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</si>
  <si>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</si>
  <si>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</si>
  <si>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</si>
  <si>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</si>
  <si>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</si>
  <si>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</si>
  <si>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</si>
  <si>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</si>
  <si>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</si>
  <si>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</si>
  <si>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</si>
  <si>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</si>
  <si>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</si>
  <si>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</si>
  <si>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</si>
  <si>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</si>
  <si>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</si>
  <si>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</si>
  <si>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</si>
  <si>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</si>
  <si>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</si>
  <si>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N740*</t>
  </si>
  <si>
    <t>N741*</t>
  </si>
  <si>
    <t>N742*</t>
  </si>
  <si>
    <t>N743*</t>
  </si>
  <si>
    <t>N744*</t>
  </si>
  <si>
    <t>N748*</t>
  </si>
  <si>
    <t>N750</t>
  </si>
  <si>
    <t>N751</t>
  </si>
  <si>
    <t>N758</t>
  </si>
  <si>
    <t>N759</t>
  </si>
  <si>
    <t>N760</t>
  </si>
  <si>
    <t>N761</t>
  </si>
  <si>
    <t>N762</t>
  </si>
  <si>
    <t>N763</t>
  </si>
  <si>
    <t>N764</t>
  </si>
  <si>
    <t>N765</t>
  </si>
  <si>
    <t>N766</t>
  </si>
  <si>
    <t>N768</t>
  </si>
  <si>
    <t>N770*</t>
  </si>
  <si>
    <t>N771*</t>
  </si>
  <si>
    <t>N778*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</si>
  <si>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</si>
  <si>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</si>
  <si>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</si>
  <si>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</si>
  <si>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</si>
  <si>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</si>
  <si>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</si>
  <si>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</si>
  <si>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</si>
  <si>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</si>
  <si>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</si>
  <si>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</si>
  <si>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</si>
  <si>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</si>
  <si>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</si>
  <si>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</si>
  <si>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</si>
  <si>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</si>
  <si>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</si>
  <si>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</si>
  <si>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</si>
  <si>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</si>
  <si>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</si>
  <si>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</si>
  <si>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</si>
  <si>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</si>
  <si>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</si>
  <si>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</si>
  <si>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</si>
  <si>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</si>
  <si>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</si>
  <si>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</si>
  <si>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</si>
  <si>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</si>
  <si>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</si>
  <si>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</si>
  <si>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</si>
  <si>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</si>
  <si>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</si>
  <si>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</si>
  <si>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</si>
  <si>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</si>
  <si>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</si>
  <si>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</si>
  <si>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</si>
  <si>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</si>
  <si>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</si>
  <si>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</si>
  <si>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</si>
  <si>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</si>
  <si>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</si>
  <si>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</si>
  <si>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</si>
  <si>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</si>
  <si>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</si>
  <si>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</si>
  <si>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</si>
  <si>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</si>
  <si>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</si>
  <si>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</si>
  <si>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</si>
  <si>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</si>
  <si>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</si>
  <si>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</si>
  <si>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</si>
  <si>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</si>
  <si>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</si>
  <si>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</si>
  <si>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</si>
  <si>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</si>
  <si>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</si>
  <si>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</si>
  <si>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</si>
  <si>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</si>
  <si>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</si>
  <si>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</si>
  <si>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</si>
  <si>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</si>
  <si>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</si>
  <si>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</si>
  <si>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</si>
  <si>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</si>
  <si>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</si>
  <si>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</si>
  <si>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</si>
  <si>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</si>
  <si>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</si>
  <si>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</si>
  <si>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</si>
  <si>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</si>
  <si>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</si>
  <si>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</si>
  <si>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</si>
  <si>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</si>
  <si>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</si>
  <si>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</si>
  <si>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</si>
  <si>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</si>
  <si>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</si>
  <si>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</si>
  <si>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</si>
  <si>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</si>
  <si>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</si>
  <si>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</si>
  <si>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</si>
  <si>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</si>
  <si>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</si>
  <si>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</si>
  <si>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</si>
  <si>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</si>
  <si>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</si>
  <si>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</si>
  <si>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</si>
  <si>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</si>
  <si>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</si>
  <si>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</si>
  <si>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</si>
  <si>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</si>
  <si>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</si>
  <si>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</si>
  <si>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</si>
  <si>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</si>
  <si>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</si>
  <si>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</si>
  <si>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</si>
  <si>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</si>
  <si>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</si>
  <si>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</si>
  <si>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</si>
  <si>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</si>
  <si>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</si>
  <si>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</si>
  <si>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</si>
  <si>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</si>
  <si>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</si>
  <si>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</si>
  <si>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</si>
  <si>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</si>
  <si>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</si>
  <si>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</si>
  <si>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</si>
  <si>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</si>
  <si>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</si>
  <si>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</si>
  <si>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</si>
  <si>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</si>
  <si>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</si>
  <si>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</si>
  <si>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</si>
  <si>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</si>
  <si>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</si>
  <si>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</si>
  <si>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</si>
  <si>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</si>
  <si>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</si>
  <si>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</si>
  <si>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</si>
  <si>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</si>
  <si>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</si>
  <si>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</si>
  <si>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</si>
  <si>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</si>
  <si>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</si>
  <si>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</si>
  <si>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</si>
  <si>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</si>
  <si>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</si>
  <si>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</si>
  <si>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</si>
  <si>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</si>
  <si>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</si>
  <si>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</si>
  <si>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</si>
  <si>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</si>
  <si>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</si>
  <si>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</si>
  <si>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</si>
  <si>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</si>
  <si>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</si>
  <si>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</si>
  <si>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</si>
  <si>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</si>
  <si>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</si>
  <si>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</si>
  <si>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</si>
  <si>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</si>
  <si>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</si>
  <si>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</si>
  <si>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</si>
  <si>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</si>
  <si>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</si>
  <si>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</si>
  <si>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</si>
  <si>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</si>
  <si>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</si>
  <si>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</si>
  <si>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</si>
  <si>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</si>
  <si>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</si>
  <si>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</si>
  <si>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</si>
  <si>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</si>
  <si>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</si>
  <si>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</si>
  <si>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</si>
  <si>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</si>
  <si>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</si>
  <si>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</si>
  <si>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</si>
  <si>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</si>
  <si>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</si>
  <si>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</si>
  <si>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</si>
  <si>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</si>
  <si>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</si>
  <si>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</si>
  <si>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</si>
  <si>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</si>
  <si>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</si>
  <si>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</si>
  <si>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</si>
  <si>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</si>
  <si>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</si>
  <si>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</si>
  <si>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</si>
  <si>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</si>
  <si>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</si>
  <si>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</si>
  <si>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</si>
  <si>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</si>
  <si>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</si>
  <si>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</si>
  <si>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</si>
  <si>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</si>
  <si>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</si>
  <si>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</si>
  <si>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</si>
  <si>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</si>
  <si>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</si>
  <si>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</si>
  <si>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</si>
  <si>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</si>
  <si>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</si>
  <si>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</si>
  <si>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</si>
  <si>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</si>
  <si>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</si>
  <si>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</si>
  <si>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</si>
  <si>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</si>
  <si>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</si>
  <si>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</si>
  <si>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</si>
  <si>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</si>
  <si>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</si>
  <si>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</si>
  <si>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</si>
  <si>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</si>
  <si>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</si>
  <si>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</si>
  <si>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</si>
  <si>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</si>
  <si>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</si>
  <si>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</si>
  <si>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</si>
  <si>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</si>
  <si>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</si>
  <si>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</si>
  <si>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</si>
  <si>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</si>
  <si>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</si>
  <si>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</si>
  <si>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</si>
  <si>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</si>
  <si>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</si>
  <si>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</si>
  <si>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</si>
  <si>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</si>
  <si>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</si>
  <si>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</si>
  <si>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</si>
  <si>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</si>
  <si>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</si>
  <si>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</si>
  <si>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</si>
  <si>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</si>
  <si>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</si>
  <si>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</si>
  <si>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</si>
  <si>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</si>
  <si>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</si>
  <si>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</si>
  <si>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</si>
  <si>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</si>
  <si>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</si>
  <si>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</si>
  <si>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</si>
  <si>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</si>
  <si>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</si>
  <si>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</si>
  <si>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</si>
  <si>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</si>
  <si>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</si>
  <si>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</si>
  <si>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</si>
  <si>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</si>
  <si>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</si>
  <si>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</si>
  <si>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</si>
  <si>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</si>
  <si>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</si>
  <si>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</si>
  <si>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</si>
  <si>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</si>
  <si>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</si>
  <si>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</si>
  <si>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</si>
  <si>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</si>
  <si>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</si>
  <si>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</si>
  <si>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</si>
  <si>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</si>
  <si>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</si>
  <si>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</si>
  <si>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</si>
  <si>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</si>
  <si>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</si>
  <si>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</si>
  <si>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</si>
  <si>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</si>
  <si>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</si>
  <si>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</si>
  <si>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</si>
  <si>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</si>
  <si>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</si>
  <si>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</si>
  <si>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</si>
  <si>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</si>
  <si>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</si>
  <si>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</si>
  <si>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</si>
  <si>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</si>
  <si>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</si>
  <si>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</si>
  <si>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</si>
  <si>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</si>
  <si>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</si>
  <si>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</si>
  <si>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</si>
  <si>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</si>
  <si>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</si>
  <si>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</si>
  <si>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</si>
  <si>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</si>
  <si>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O438</t>
  </si>
  <si>
    <t>O439</t>
  </si>
  <si>
    <t>O440</t>
  </si>
  <si>
    <t>O441</t>
  </si>
  <si>
    <t>O450</t>
  </si>
  <si>
    <t>O458</t>
  </si>
  <si>
    <t>O459</t>
  </si>
  <si>
    <t>O460</t>
  </si>
  <si>
    <t>O468</t>
  </si>
  <si>
    <t>O469</t>
  </si>
  <si>
    <t>O470</t>
  </si>
  <si>
    <t>O471</t>
  </si>
  <si>
    <t>O479</t>
  </si>
  <si>
    <t>O48</t>
  </si>
  <si>
    <t>O60</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</si>
  <si>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</si>
  <si>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</si>
  <si>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</si>
  <si>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</si>
  <si>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</si>
  <si>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</si>
  <si>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</si>
  <si>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</si>
  <si>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</si>
  <si>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</si>
  <si>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</si>
  <si>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</si>
  <si>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</si>
  <si>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</si>
  <si>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</si>
  <si>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</si>
  <si>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</si>
  <si>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</si>
  <si>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</si>
  <si>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</si>
  <si>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</si>
  <si>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</si>
  <si>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</si>
  <si>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</si>
  <si>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</si>
  <si>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</si>
  <si>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</si>
  <si>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</si>
  <si>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</si>
  <si>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</si>
  <si>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</si>
  <si>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</si>
  <si>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</si>
  <si>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</si>
  <si>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</si>
  <si>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</si>
  <si>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</si>
  <si>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</si>
  <si>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</si>
  <si>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</si>
  <si>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</si>
  <si>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</si>
  <si>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</si>
  <si>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</si>
  <si>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</si>
  <si>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</si>
  <si>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</si>
  <si>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</si>
  <si>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</si>
  <si>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</si>
  <si>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</si>
  <si>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</si>
  <si>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</si>
  <si>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</si>
  <si>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</si>
  <si>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</si>
  <si>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</si>
  <si>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</si>
  <si>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</si>
  <si>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</si>
  <si>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</si>
  <si>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</si>
  <si>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</si>
  <si>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</si>
  <si>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</si>
  <si>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</si>
  <si>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</si>
  <si>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</si>
  <si>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</si>
  <si>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</si>
  <si>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</si>
  <si>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</si>
  <si>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</si>
  <si>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</si>
  <si>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</si>
  <si>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</si>
  <si>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</si>
  <si>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</si>
  <si>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</si>
  <si>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</si>
  <si>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</si>
  <si>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</si>
  <si>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</si>
  <si>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</si>
  <si>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</si>
  <si>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</si>
  <si>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</si>
  <si>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</si>
  <si>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</si>
  <si>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</si>
  <si>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</si>
  <si>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</si>
  <si>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</si>
  <si>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</si>
  <si>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</si>
  <si>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</si>
  <si>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</si>
  <si>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</si>
  <si>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</si>
  <si>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</si>
  <si>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</si>
  <si>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</si>
  <si>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</si>
  <si>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</si>
  <si>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</si>
  <si>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</si>
  <si>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</si>
  <si>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</si>
  <si>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</si>
  <si>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</si>
  <si>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</si>
  <si>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</si>
  <si>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</si>
  <si>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</si>
  <si>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</si>
  <si>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</si>
  <si>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</si>
  <si>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</si>
  <si>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</si>
  <si>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</si>
  <si>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</si>
  <si>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</si>
  <si>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</si>
  <si>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</si>
  <si>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</si>
  <si>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</si>
  <si>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</si>
  <si>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</si>
  <si>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</si>
  <si>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</si>
  <si>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</si>
  <si>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</si>
  <si>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</si>
  <si>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</si>
  <si>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</si>
  <si>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</si>
  <si>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</si>
  <si>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</si>
  <si>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</si>
  <si>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</si>
  <si>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</si>
  <si>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</si>
  <si>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</si>
  <si>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</si>
  <si>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</si>
  <si>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</si>
  <si>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</si>
  <si>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</si>
  <si>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</si>
  <si>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</si>
  <si>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</si>
  <si>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</si>
  <si>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</si>
  <si>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</si>
  <si>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</si>
  <si>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</si>
  <si>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</si>
  <si>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</si>
  <si>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</si>
  <si>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</si>
  <si>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</si>
  <si>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</si>
  <si>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</si>
  <si>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</si>
  <si>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</si>
  <si>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</si>
  <si>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</si>
  <si>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</si>
  <si>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</si>
  <si>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</si>
  <si>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</si>
  <si>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O95</t>
  </si>
  <si>
    <t>O96</t>
  </si>
  <si>
    <t>O97</t>
  </si>
  <si>
    <t>O980</t>
  </si>
  <si>
    <t>O981</t>
  </si>
  <si>
    <t>O982</t>
  </si>
  <si>
    <t>O983</t>
  </si>
  <si>
    <t>O984</t>
  </si>
  <si>
    <t>O985</t>
  </si>
  <si>
    <t>O986</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</si>
  <si>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</si>
  <si>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</si>
  <si>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</si>
  <si>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</si>
  <si>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</si>
  <si>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</si>
  <si>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</si>
  <si>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</si>
  <si>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</si>
  <si>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</si>
  <si>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</si>
  <si>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</si>
  <si>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</si>
  <si>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</si>
  <si>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</si>
  <si>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</si>
  <si>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</si>
  <si>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</si>
  <si>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</si>
  <si>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</si>
  <si>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</si>
  <si>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</si>
  <si>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</si>
  <si>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</si>
  <si>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</si>
  <si>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</si>
  <si>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</si>
  <si>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</si>
  <si>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</si>
  <si>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</si>
  <si>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</si>
  <si>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</si>
  <si>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</si>
  <si>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</si>
  <si>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</si>
  <si>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</si>
  <si>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</si>
  <si>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</si>
  <si>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</si>
  <si>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</si>
  <si>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</si>
  <si>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</si>
  <si>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</si>
  <si>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</si>
  <si>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</si>
  <si>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</si>
  <si>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</si>
  <si>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</si>
  <si>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</si>
  <si>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</si>
  <si>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</si>
  <si>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</si>
  <si>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</si>
  <si>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</si>
  <si>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</si>
  <si>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</si>
  <si>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</si>
  <si>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</si>
  <si>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</si>
  <si>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</si>
  <si>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</si>
  <si>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</si>
  <si>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</si>
  <si>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</si>
  <si>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</si>
  <si>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</si>
  <si>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</si>
  <si>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</si>
  <si>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</si>
  <si>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</si>
  <si>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</si>
  <si>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</si>
  <si>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</si>
  <si>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</si>
  <si>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</si>
  <si>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</si>
  <si>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</si>
  <si>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</si>
  <si>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</si>
  <si>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</si>
  <si>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</si>
  <si>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</si>
  <si>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</si>
  <si>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</si>
  <si>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</si>
  <si>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</si>
  <si>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</si>
  <si>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</si>
  <si>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</si>
  <si>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</si>
  <si>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</si>
  <si>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</si>
  <si>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</si>
  <si>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</si>
  <si>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</si>
  <si>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</si>
  <si>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</si>
  <si>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</si>
  <si>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</si>
  <si>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</si>
  <si>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</si>
  <si>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</si>
  <si>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</si>
  <si>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</si>
  <si>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</si>
  <si>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</si>
  <si>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</si>
  <si>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</si>
  <si>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</si>
  <si>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</si>
  <si>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</si>
  <si>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</si>
  <si>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</si>
  <si>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</si>
  <si>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</si>
  <si>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</si>
  <si>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</si>
  <si>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</si>
  <si>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</si>
  <si>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</si>
  <si>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</si>
  <si>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</si>
  <si>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</si>
  <si>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</si>
  <si>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</si>
  <si>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</si>
  <si>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</si>
  <si>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</si>
  <si>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</si>
  <si>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</si>
  <si>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</si>
  <si>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</si>
  <si>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</si>
  <si>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</si>
  <si>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</si>
  <si>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</si>
  <si>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</si>
  <si>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</si>
  <si>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</si>
  <si>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</si>
  <si>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</si>
  <si>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</si>
  <si>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</si>
  <si>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</si>
  <si>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</si>
  <si>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</si>
  <si>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</si>
  <si>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</si>
  <si>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</si>
  <si>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</si>
  <si>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</si>
  <si>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</si>
  <si>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</si>
  <si>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</si>
  <si>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</si>
  <si>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</si>
  <si>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</si>
  <si>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</si>
  <si>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</si>
  <si>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</si>
  <si>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</si>
  <si>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</si>
  <si>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</si>
  <si>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</si>
  <si>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</si>
  <si>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</si>
  <si>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</si>
  <si>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</si>
  <si>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</si>
  <si>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</si>
  <si>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</si>
  <si>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</si>
  <si>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</si>
  <si>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</si>
  <si>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</si>
  <si>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</si>
  <si>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</si>
  <si>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</si>
  <si>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</si>
  <si>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</si>
  <si>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</si>
  <si>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</si>
  <si>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</si>
  <si>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</si>
  <si>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</si>
  <si>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</si>
  <si>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</si>
  <si>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</si>
  <si>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</si>
  <si>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</si>
  <si>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</si>
  <si>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</si>
  <si>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</si>
  <si>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</si>
  <si>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</si>
  <si>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</si>
  <si>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</si>
  <si>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</si>
  <si>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</si>
  <si>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</si>
  <si>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</si>
  <si>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</si>
  <si>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</si>
  <si>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</si>
  <si>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</si>
  <si>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</si>
  <si>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</si>
  <si>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</si>
  <si>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</si>
  <si>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</si>
  <si>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</si>
  <si>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</si>
  <si>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</si>
  <si>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</si>
  <si>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</si>
  <si>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</si>
  <si>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</si>
  <si>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</si>
  <si>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</si>
  <si>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</si>
  <si>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</si>
  <si>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</si>
  <si>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</si>
  <si>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</si>
  <si>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</si>
  <si>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</si>
  <si>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</si>
  <si>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</si>
  <si>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</si>
  <si>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</si>
  <si>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</si>
  <si>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</si>
  <si>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</si>
  <si>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</si>
  <si>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</si>
  <si>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</si>
  <si>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</si>
  <si>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</si>
  <si>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</si>
  <si>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</si>
  <si>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</si>
  <si>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</si>
  <si>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</si>
  <si>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</si>
  <si>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</si>
  <si>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</si>
  <si>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</si>
  <si>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</si>
  <si>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</si>
  <si>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</si>
  <si>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</si>
  <si>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</si>
  <si>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</si>
  <si>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</si>
  <si>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</si>
  <si>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</si>
  <si>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</si>
  <si>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</si>
  <si>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</si>
  <si>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</si>
  <si>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</si>
  <si>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</si>
  <si>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</si>
  <si>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</si>
  <si>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</si>
  <si>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</si>
  <si>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</si>
  <si>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</si>
  <si>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</si>
  <si>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</si>
  <si>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</si>
  <si>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</si>
  <si>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</si>
  <si>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</si>
  <si>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</si>
  <si>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</si>
  <si>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</si>
  <si>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</si>
  <si>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</si>
  <si>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</si>
  <si>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</si>
  <si>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</si>
  <si>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</si>
  <si>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</si>
  <si>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</si>
  <si>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</si>
  <si>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P75*</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</si>
  <si>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</si>
  <si>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</si>
  <si>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</si>
  <si>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</si>
  <si>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</si>
  <si>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</si>
  <si>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</si>
  <si>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</si>
  <si>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</si>
  <si>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</si>
  <si>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</si>
  <si>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</si>
  <si>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</si>
  <si>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</si>
  <si>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</si>
  <si>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</si>
  <si>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</si>
  <si>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</si>
  <si>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</si>
  <si>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</si>
  <si>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</si>
  <si>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</si>
  <si>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</si>
  <si>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</si>
  <si>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</si>
  <si>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</si>
  <si>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</si>
  <si>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</si>
  <si>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</si>
  <si>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</si>
  <si>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</si>
  <si>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</si>
  <si>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</si>
  <si>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</si>
  <si>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</si>
  <si>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</si>
  <si>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</si>
  <si>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</si>
  <si>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</si>
  <si>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</si>
  <si>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</si>
  <si>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</si>
  <si>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</si>
  <si>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</si>
  <si>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</si>
  <si>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</si>
  <si>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</si>
  <si>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</si>
  <si>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</si>
  <si>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</si>
  <si>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</si>
  <si>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</si>
  <si>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</si>
  <si>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</si>
  <si>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</si>
  <si>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</si>
  <si>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</si>
  <si>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</si>
  <si>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</si>
  <si>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</si>
  <si>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</si>
  <si>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</si>
  <si>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</si>
  <si>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</si>
  <si>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</si>
  <si>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</si>
  <si>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</si>
  <si>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</si>
  <si>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</si>
  <si>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</si>
  <si>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</si>
  <si>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</si>
  <si>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</si>
  <si>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</si>
  <si>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</si>
  <si>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</si>
  <si>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</si>
  <si>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</si>
  <si>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</si>
  <si>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</si>
  <si>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</si>
  <si>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</si>
  <si>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</si>
  <si>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</si>
  <si>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</si>
  <si>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</si>
  <si>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</si>
  <si>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</si>
  <si>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</si>
  <si>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</si>
  <si>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</si>
  <si>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</si>
  <si>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</si>
  <si>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</si>
  <si>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</si>
  <si>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</si>
  <si>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</si>
  <si>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</si>
  <si>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</si>
  <si>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</si>
  <si>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</si>
  <si>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</si>
  <si>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</si>
  <si>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</si>
  <si>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</si>
  <si>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</si>
  <si>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</si>
  <si>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</si>
  <si>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</si>
  <si>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</si>
  <si>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</si>
  <si>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</si>
  <si>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</si>
  <si>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</si>
  <si>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</si>
  <si>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</si>
  <si>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</si>
  <si>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</si>
  <si>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</si>
  <si>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</si>
  <si>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</si>
  <si>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</si>
  <si>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</si>
  <si>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</si>
  <si>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</si>
  <si>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</si>
  <si>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</si>
  <si>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</si>
  <si>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</si>
  <si>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</si>
  <si>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</si>
  <si>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</si>
  <si>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</si>
  <si>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</si>
  <si>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</si>
  <si>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</si>
  <si>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</si>
  <si>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</si>
  <si>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</si>
  <si>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</si>
  <si>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</si>
  <si>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</si>
  <si>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</si>
  <si>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</si>
  <si>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</si>
  <si>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</si>
  <si>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</si>
  <si>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</si>
  <si>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</si>
  <si>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</si>
  <si>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</si>
  <si>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</si>
  <si>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</si>
  <si>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</si>
  <si>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</si>
  <si>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</si>
  <si>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</si>
  <si>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</si>
  <si>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</si>
  <si>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</si>
  <si>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</si>
  <si>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</si>
  <si>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</si>
  <si>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</si>
  <si>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</si>
  <si>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</si>
  <si>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</si>
  <si>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</si>
  <si>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</si>
  <si>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</si>
  <si>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</si>
  <si>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</si>
  <si>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</si>
  <si>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</si>
  <si>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</si>
  <si>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</si>
  <si>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</si>
  <si>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</si>
  <si>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</si>
  <si>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</si>
  <si>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</si>
  <si>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</si>
  <si>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</si>
  <si>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</si>
  <si>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</si>
  <si>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</si>
  <si>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</si>
  <si>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</si>
  <si>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</si>
  <si>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</si>
  <si>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</si>
  <si>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</si>
  <si>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</si>
  <si>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</si>
  <si>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</si>
  <si>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</si>
  <si>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</si>
  <si>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</si>
  <si>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</si>
  <si>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</si>
  <si>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</si>
  <si>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</si>
  <si>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</si>
  <si>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</si>
  <si>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</si>
  <si>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</si>
  <si>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</si>
  <si>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</si>
  <si>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</si>
  <si>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</si>
  <si>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</si>
  <si>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</si>
  <si>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</si>
  <si>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</si>
  <si>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</si>
  <si>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</si>
  <si>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</si>
  <si>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</si>
  <si>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</si>
  <si>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</si>
  <si>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</si>
  <si>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</si>
  <si>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</si>
  <si>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</si>
  <si>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</si>
  <si>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</si>
  <si>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</si>
  <si>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</si>
  <si>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</si>
  <si>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</si>
  <si>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</si>
  <si>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</si>
  <si>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</si>
  <si>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</si>
  <si>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</si>
  <si>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</si>
  <si>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</si>
  <si>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</si>
  <si>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</si>
  <si>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</si>
  <si>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</si>
  <si>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</si>
  <si>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</si>
  <si>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</si>
  <si>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</si>
  <si>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</si>
  <si>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</si>
  <si>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</si>
  <si>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</si>
  <si>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</si>
  <si>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</si>
  <si>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</si>
  <si>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</si>
  <si>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</si>
  <si>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</si>
  <si>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</si>
  <si>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</si>
  <si>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</si>
  <si>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</si>
  <si>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</si>
  <si>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</si>
  <si>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</si>
  <si>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</si>
  <si>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</si>
  <si>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</si>
  <si>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</si>
  <si>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</si>
  <si>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</si>
  <si>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</si>
  <si>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</si>
  <si>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</si>
  <si>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</si>
  <si>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</si>
  <si>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</si>
  <si>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</si>
  <si>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</si>
  <si>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</si>
  <si>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</si>
  <si>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</si>
  <si>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</si>
  <si>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</si>
  <si>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</si>
  <si>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</si>
  <si>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</si>
  <si>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</si>
  <si>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</si>
  <si>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</si>
  <si>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</si>
  <si>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</si>
  <si>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</si>
  <si>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</si>
  <si>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</si>
  <si>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</si>
  <si>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</si>
  <si>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</si>
  <si>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</si>
  <si>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</si>
  <si>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</si>
  <si>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</si>
  <si>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</si>
  <si>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</si>
  <si>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</si>
  <si>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</si>
  <si>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</si>
  <si>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</si>
  <si>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</si>
  <si>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</si>
  <si>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</si>
  <si>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</si>
  <si>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</si>
  <si>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</si>
  <si>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</si>
  <si>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</si>
  <si>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</si>
  <si>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</si>
  <si>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</si>
  <si>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</si>
  <si>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</si>
  <si>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</si>
  <si>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</si>
  <si>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</si>
  <si>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</si>
  <si>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</si>
  <si>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</si>
  <si>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</si>
  <si>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</si>
  <si>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</si>
  <si>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</si>
  <si>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</si>
  <si>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</si>
  <si>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</si>
  <si>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</si>
  <si>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</si>
  <si>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</si>
  <si>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</si>
  <si>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</si>
  <si>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</si>
  <si>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</si>
  <si>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</si>
  <si>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</si>
  <si>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</si>
  <si>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</si>
  <si>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</si>
  <si>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</si>
  <si>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</si>
  <si>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</si>
  <si>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</si>
  <si>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</si>
  <si>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</si>
  <si>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</si>
  <si>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</si>
  <si>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</si>
  <si>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</si>
  <si>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</si>
  <si>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</si>
  <si>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</si>
  <si>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</si>
  <si>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</si>
  <si>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</si>
  <si>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</si>
  <si>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</si>
  <si>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</si>
  <si>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</si>
  <si>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</si>
  <si>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</si>
  <si>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</si>
  <si>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</si>
  <si>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</si>
  <si>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</si>
  <si>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</si>
  <si>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</si>
  <si>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</si>
  <si>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</si>
  <si>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</si>
  <si>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</si>
  <si>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</si>
  <si>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</si>
  <si>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</si>
  <si>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</si>
  <si>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</si>
  <si>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</si>
  <si>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</si>
  <si>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</si>
  <si>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</si>
  <si>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</si>
  <si>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</si>
  <si>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</si>
  <si>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</si>
  <si>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</si>
  <si>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</si>
  <si>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</si>
  <si>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</si>
  <si>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</si>
  <si>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</si>
  <si>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</si>
  <si>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</si>
  <si>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</si>
  <si>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</si>
  <si>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</si>
  <si>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</si>
  <si>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</si>
  <si>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</si>
  <si>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</si>
  <si>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</si>
  <si>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</si>
  <si>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</si>
  <si>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</si>
  <si>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</si>
  <si>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</si>
  <si>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</si>
  <si>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</si>
  <si>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</si>
  <si>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</si>
  <si>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</si>
  <si>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</si>
  <si>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</si>
  <si>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</si>
  <si>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</si>
  <si>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</si>
  <si>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</si>
  <si>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</si>
  <si>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</si>
  <si>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</si>
  <si>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</si>
  <si>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</si>
  <si>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</si>
  <si>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</si>
  <si>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</si>
  <si>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</si>
  <si>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</si>
  <si>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</si>
  <si>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</si>
  <si>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</si>
  <si>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</si>
  <si>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</si>
  <si>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</si>
  <si>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</si>
  <si>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</si>
  <si>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</si>
  <si>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</si>
  <si>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</si>
  <si>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</si>
  <si>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</si>
  <si>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</si>
  <si>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</si>
  <si>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</si>
  <si>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</si>
  <si>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</si>
  <si>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</si>
  <si>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</si>
  <si>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</si>
  <si>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</si>
  <si>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</si>
  <si>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</si>
  <si>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</si>
  <si>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</si>
  <si>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</si>
  <si>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</si>
  <si>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</si>
  <si>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</si>
  <si>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</si>
  <si>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</si>
  <si>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</si>
  <si>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</si>
  <si>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</si>
  <si>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</si>
  <si>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</si>
  <si>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</si>
  <si>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</si>
  <si>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</si>
  <si>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</si>
  <si>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</si>
  <si>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</si>
  <si>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</si>
  <si>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</si>
  <si>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</si>
  <si>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</si>
  <si>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</si>
  <si>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</si>
  <si>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</si>
  <si>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</si>
  <si>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</si>
  <si>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</si>
  <si>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</si>
  <si>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</si>
  <si>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</si>
  <si>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</si>
  <si>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</si>
  <si>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</si>
  <si>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</si>
  <si>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</si>
  <si>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</si>
  <si>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</si>
  <si>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</si>
  <si>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</si>
  <si>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</si>
  <si>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</si>
  <si>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</si>
  <si>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</si>
  <si>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</si>
  <si>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</si>
  <si>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</si>
  <si>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</si>
  <si>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</si>
  <si>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</si>
  <si>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</si>
  <si>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</si>
  <si>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</si>
  <si>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</si>
  <si>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</si>
  <si>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</si>
  <si>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</si>
  <si>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</si>
  <si>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</si>
  <si>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</si>
  <si>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</si>
  <si>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</si>
  <si>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</si>
  <si>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</si>
  <si>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</si>
  <si>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</si>
  <si>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</si>
  <si>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</si>
  <si>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</si>
  <si>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</si>
  <si>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</si>
  <si>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</si>
  <si>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</si>
  <si>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</si>
  <si>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</si>
  <si>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</si>
  <si>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</si>
  <si>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</si>
  <si>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</si>
  <si>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</si>
  <si>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</si>
  <si>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</si>
  <si>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</si>
  <si>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</si>
  <si>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</si>
  <si>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</si>
  <si>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</si>
  <si>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</si>
  <si>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</si>
  <si>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</si>
  <si>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</si>
  <si>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</si>
  <si>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</si>
  <si>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</si>
  <si>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</si>
  <si>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</si>
  <si>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</si>
  <si>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</si>
  <si>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</si>
  <si>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</si>
  <si>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</si>
  <si>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</si>
  <si>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</si>
  <si>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</si>
  <si>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</si>
  <si>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</si>
  <si>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</si>
  <si>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</si>
  <si>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</si>
  <si>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</si>
  <si>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</si>
  <si>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</si>
  <si>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</si>
  <si>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</si>
  <si>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</si>
  <si>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</si>
  <si>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</si>
  <si>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</si>
  <si>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</si>
  <si>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</si>
  <si>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</si>
  <si>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</si>
  <si>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</si>
  <si>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</si>
  <si>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</si>
  <si>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</si>
  <si>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</si>
  <si>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</si>
  <si>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</si>
  <si>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</si>
  <si>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</si>
  <si>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</si>
  <si>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</si>
  <si>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</si>
  <si>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</si>
  <si>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</si>
  <si>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</si>
  <si>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</si>
  <si>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</si>
  <si>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</si>
  <si>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</si>
  <si>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</si>
  <si>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</si>
  <si>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</si>
  <si>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</si>
  <si>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</si>
  <si>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</si>
  <si>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</si>
  <si>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</si>
  <si>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</si>
  <si>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</si>
  <si>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</si>
  <si>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</si>
  <si>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</si>
  <si>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</si>
  <si>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</si>
  <si>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</si>
  <si>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</si>
  <si>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</si>
  <si>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</si>
  <si>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</si>
  <si>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</si>
  <si>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</si>
  <si>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</si>
  <si>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</si>
  <si>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</si>
  <si>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</si>
  <si>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</si>
  <si>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</si>
  <si>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</si>
  <si>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</si>
  <si>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</si>
  <si>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</si>
  <si>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</si>
  <si>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</si>
  <si>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</si>
  <si>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</si>
  <si>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</si>
  <si>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</si>
  <si>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</si>
  <si>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</si>
  <si>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</si>
  <si>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</si>
  <si>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</si>
  <si>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</si>
  <si>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</si>
  <si>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</si>
  <si>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</si>
  <si>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</si>
  <si>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</si>
  <si>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</si>
  <si>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</si>
  <si>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</si>
  <si>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</si>
  <si>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</si>
  <si>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</si>
  <si>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</si>
  <si>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</si>
  <si>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</si>
  <si>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</si>
  <si>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</si>
  <si>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</si>
  <si>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</si>
  <si>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</si>
  <si>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</si>
  <si>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</si>
  <si>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</si>
  <si>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</si>
  <si>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</si>
  <si>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</si>
  <si>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</si>
  <si>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</si>
  <si>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</si>
  <si>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</si>
  <si>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</si>
  <si>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</si>
  <si>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</si>
  <si>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</si>
  <si>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</si>
  <si>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</si>
  <si>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</si>
  <si>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</si>
  <si>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</si>
  <si>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</si>
  <si>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</si>
  <si>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</si>
  <si>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</si>
  <si>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</si>
  <si>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</si>
  <si>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</si>
  <si>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</si>
  <si>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</si>
  <si>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</si>
  <si>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</si>
  <si>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</si>
  <si>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</si>
  <si>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</si>
  <si>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</si>
  <si>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</si>
  <si>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</si>
  <si>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</si>
  <si>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</si>
  <si>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</si>
  <si>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</si>
  <si>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</si>
  <si>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</si>
  <si>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</si>
  <si>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</si>
  <si>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</si>
  <si>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</si>
  <si>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</si>
  <si>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</si>
  <si>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</si>
  <si>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</si>
  <si>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</si>
  <si>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</si>
  <si>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</si>
  <si>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</si>
  <si>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</si>
  <si>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</si>
  <si>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</si>
  <si>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</si>
  <si>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</si>
  <si>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</si>
  <si>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</si>
  <si>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</si>
  <si>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</si>
  <si>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</si>
  <si>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</si>
  <si>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</si>
  <si>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</si>
  <si>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</si>
  <si>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</si>
  <si>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</si>
  <si>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</si>
  <si>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</si>
  <si>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</si>
  <si>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</si>
  <si>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</si>
  <si>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</si>
  <si>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</si>
  <si>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</si>
  <si>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</si>
  <si>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</si>
  <si>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</si>
  <si>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</si>
  <si>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</si>
  <si>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</si>
  <si>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</si>
  <si>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</si>
  <si>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</si>
  <si>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</si>
  <si>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</si>
  <si>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</si>
  <si>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</si>
  <si>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</si>
  <si>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</si>
  <si>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</si>
  <si>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</si>
  <si>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</si>
  <si>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</si>
  <si>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</si>
  <si>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</si>
  <si>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</si>
  <si>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</si>
  <si>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</si>
  <si>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</si>
  <si>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</si>
  <si>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R268</t>
  </si>
  <si>
    <t>R270</t>
  </si>
  <si>
    <t>R278</t>
  </si>
  <si>
    <t>R290</t>
  </si>
  <si>
    <t>R291</t>
  </si>
  <si>
    <t>R292</t>
  </si>
  <si>
    <t>R293</t>
  </si>
  <si>
    <t>R294</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</si>
  <si>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</si>
  <si>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</si>
  <si>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</si>
  <si>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</si>
  <si>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</si>
  <si>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</si>
  <si>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</si>
  <si>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</si>
  <si>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</si>
  <si>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</si>
  <si>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</si>
  <si>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</si>
  <si>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</si>
  <si>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</si>
  <si>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</si>
  <si>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</si>
  <si>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</si>
  <si>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</si>
  <si>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</si>
  <si>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</si>
  <si>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</si>
  <si>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</si>
  <si>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</si>
  <si>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</si>
  <si>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</si>
  <si>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</si>
  <si>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</si>
  <si>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</si>
  <si>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</si>
  <si>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</si>
  <si>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</si>
  <si>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</si>
  <si>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</si>
  <si>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</si>
  <si>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</si>
  <si>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</si>
  <si>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</si>
  <si>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</si>
  <si>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</si>
  <si>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</si>
  <si>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</si>
  <si>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</si>
  <si>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</si>
  <si>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</si>
  <si>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</si>
  <si>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</si>
  <si>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</si>
  <si>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</si>
  <si>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</si>
  <si>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</si>
  <si>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</si>
  <si>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</si>
  <si>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</si>
  <si>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</si>
  <si>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</si>
  <si>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</si>
  <si>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</si>
  <si>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</si>
  <si>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</si>
  <si>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</si>
  <si>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</si>
  <si>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R500</t>
  </si>
  <si>
    <t>R501</t>
  </si>
  <si>
    <t>R509</t>
  </si>
  <si>
    <t>R51</t>
  </si>
  <si>
    <t>R520</t>
  </si>
  <si>
    <t>R521</t>
  </si>
  <si>
    <t>R522</t>
  </si>
  <si>
    <t>R529</t>
  </si>
  <si>
    <t>R53</t>
  </si>
  <si>
    <t>R54</t>
  </si>
  <si>
    <t>R55</t>
  </si>
  <si>
    <t>R560</t>
  </si>
  <si>
    <t>R568</t>
  </si>
  <si>
    <t>R570</t>
  </si>
  <si>
    <t>R571</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</si>
  <si>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</si>
  <si>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</si>
  <si>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</si>
  <si>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</si>
  <si>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</si>
  <si>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</si>
  <si>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</si>
  <si>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</si>
  <si>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</si>
  <si>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</si>
  <si>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</si>
  <si>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</si>
  <si>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</si>
  <si>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</si>
  <si>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</si>
  <si>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</si>
  <si>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</si>
  <si>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</si>
  <si>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</si>
  <si>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</si>
  <si>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</si>
  <si>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R638</t>
  </si>
  <si>
    <t>R64</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</si>
  <si>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</si>
  <si>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</si>
  <si>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</si>
  <si>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</si>
  <si>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</si>
  <si>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</si>
  <si>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</si>
  <si>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</si>
  <si>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</si>
  <si>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</si>
  <si>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</si>
  <si>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</si>
  <si>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</si>
  <si>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</si>
  <si>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</si>
  <si>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</si>
  <si>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</si>
  <si>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</si>
  <si>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</si>
  <si>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</si>
  <si>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</si>
  <si>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</si>
  <si>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</si>
  <si>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</si>
  <si>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</si>
  <si>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</si>
  <si>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</si>
  <si>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</si>
  <si>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</si>
  <si>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</si>
  <si>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</si>
  <si>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</si>
  <si>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</si>
  <si>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</si>
  <si>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</si>
  <si>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</si>
  <si>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</si>
  <si>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</si>
  <si>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</si>
  <si>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</si>
  <si>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</si>
  <si>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</si>
  <si>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</si>
  <si>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</si>
  <si>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</si>
  <si>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</si>
  <si>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</si>
  <si>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</si>
  <si>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</si>
  <si>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</si>
  <si>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</si>
  <si>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</si>
  <si>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</si>
  <si>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</si>
  <si>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</si>
  <si>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</si>
  <si>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</si>
  <si>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</si>
  <si>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</si>
  <si>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</si>
  <si>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</si>
  <si>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</si>
  <si>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</si>
  <si>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</si>
  <si>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</si>
  <si>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</si>
  <si>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</si>
  <si>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</si>
  <si>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</si>
  <si>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</si>
  <si>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</si>
  <si>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</si>
  <si>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</si>
  <si>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</si>
  <si>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</si>
  <si>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</si>
  <si>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</si>
  <si>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</si>
  <si>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</si>
  <si>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</si>
  <si>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</si>
  <si>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</si>
  <si>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</si>
  <si>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</si>
  <si>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</si>
  <si>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</si>
  <si>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</si>
  <si>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</si>
  <si>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</si>
  <si>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</si>
  <si>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</si>
  <si>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</si>
  <si>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</si>
  <si>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</si>
  <si>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</si>
  <si>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</si>
  <si>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</si>
  <si>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</si>
  <si>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</si>
  <si>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</si>
  <si>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</si>
  <si>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</si>
  <si>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</si>
  <si>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</si>
  <si>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</si>
  <si>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</si>
  <si>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</si>
  <si>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</si>
  <si>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</si>
  <si>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</si>
  <si>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</si>
  <si>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</si>
  <si>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</si>
  <si>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</si>
  <si>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</si>
  <si>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</si>
  <si>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</si>
  <si>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</si>
  <si>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</si>
  <si>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</si>
  <si>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</si>
  <si>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</si>
  <si>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</si>
  <si>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</si>
  <si>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</si>
  <si>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</si>
  <si>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</si>
  <si>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</si>
  <si>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</si>
  <si>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</si>
  <si>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</si>
  <si>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</si>
  <si>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</si>
  <si>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</si>
  <si>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</si>
  <si>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</si>
  <si>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</si>
  <si>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</si>
  <si>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</si>
  <si>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</si>
  <si>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</si>
  <si>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</si>
  <si>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</si>
  <si>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</si>
  <si>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</si>
  <si>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</si>
  <si>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</si>
  <si>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</si>
  <si>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</si>
  <si>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</si>
  <si>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</si>
  <si>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</si>
  <si>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</si>
  <si>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</si>
  <si>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</si>
  <si>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</si>
  <si>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</si>
  <si>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</si>
  <si>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</si>
  <si>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</si>
  <si>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</si>
  <si>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</si>
  <si>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</si>
  <si>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</si>
  <si>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</si>
  <si>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</si>
  <si>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</si>
  <si>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</si>
  <si>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</si>
  <si>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</si>
  <si>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</si>
  <si>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</si>
  <si>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</si>
  <si>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</si>
  <si>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</si>
  <si>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</si>
  <si>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</si>
  <si>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</si>
  <si>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</si>
  <si>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</si>
  <si>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</si>
  <si>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</si>
  <si>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</si>
  <si>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</si>
  <si>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</si>
  <si>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</si>
  <si>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</si>
  <si>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</si>
  <si>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</si>
  <si>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</si>
  <si>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</si>
  <si>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</si>
  <si>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</si>
  <si>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</si>
  <si>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</si>
  <si>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</si>
  <si>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</si>
  <si>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</si>
  <si>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</si>
  <si>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</si>
  <si>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</si>
  <si>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</si>
  <si>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</si>
  <si>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</si>
  <si>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</si>
  <si>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</si>
  <si>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</si>
  <si>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</si>
  <si>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</si>
  <si>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</si>
  <si>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</si>
  <si>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</si>
  <si>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</si>
  <si>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</si>
  <si>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</si>
  <si>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</si>
  <si>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</si>
  <si>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</si>
  <si>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</si>
  <si>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</si>
  <si>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</si>
  <si>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</si>
  <si>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</si>
  <si>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</si>
  <si>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</si>
  <si>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</si>
  <si>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</si>
  <si>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</si>
  <si>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</si>
  <si>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</si>
  <si>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</si>
  <si>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</si>
  <si>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</si>
  <si>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</si>
  <si>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</si>
  <si>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</si>
  <si>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</si>
  <si>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</si>
  <si>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</si>
  <si>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</si>
  <si>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</si>
  <si>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</si>
  <si>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</si>
  <si>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</si>
  <si>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</si>
  <si>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</si>
  <si>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</si>
  <si>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</si>
  <si>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</si>
  <si>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</si>
  <si>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</si>
  <si>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</si>
  <si>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</si>
  <si>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</si>
  <si>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</si>
  <si>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</si>
  <si>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</si>
  <si>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</si>
  <si>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</si>
  <si>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</si>
  <si>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</si>
  <si>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</si>
  <si>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</si>
  <si>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</si>
  <si>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</si>
  <si>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</si>
  <si>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</si>
  <si>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</si>
  <si>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</si>
  <si>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</si>
  <si>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</si>
  <si>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</si>
  <si>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</si>
  <si>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</si>
  <si>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</si>
  <si>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</si>
  <si>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</si>
  <si>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</si>
  <si>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</si>
  <si>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</si>
  <si>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</si>
  <si>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</si>
  <si>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</si>
  <si>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</si>
  <si>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</si>
  <si>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</si>
  <si>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</si>
  <si>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</si>
  <si>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</si>
  <si>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</si>
  <si>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</si>
  <si>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</si>
  <si>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</si>
  <si>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</si>
  <si>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</si>
  <si>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</si>
  <si>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</si>
  <si>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</si>
  <si>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</si>
  <si>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</si>
  <si>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</si>
  <si>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</si>
  <si>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</si>
  <si>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</si>
  <si>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</si>
  <si>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</si>
  <si>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</si>
  <si>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</si>
  <si>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</si>
  <si>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</si>
  <si>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</si>
  <si>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</si>
  <si>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</si>
  <si>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</si>
  <si>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</si>
  <si>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</si>
  <si>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</si>
  <si>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</si>
  <si>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</si>
  <si>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</si>
  <si>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</si>
  <si>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</si>
  <si>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</si>
  <si>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</si>
  <si>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</si>
  <si>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</si>
  <si>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</si>
  <si>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</si>
  <si>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</si>
  <si>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</si>
  <si>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</si>
  <si>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</si>
  <si>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</si>
  <si>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</si>
  <si>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</si>
  <si>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</si>
  <si>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</si>
  <si>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</si>
  <si>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</si>
  <si>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</si>
  <si>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</si>
  <si>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</si>
  <si>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</si>
  <si>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</si>
  <si>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</si>
  <si>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</si>
  <si>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</si>
  <si>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</si>
  <si>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</si>
  <si>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</si>
  <si>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</si>
  <si>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</si>
  <si>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</si>
  <si>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</si>
  <si>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</si>
  <si>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</si>
  <si>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</si>
  <si>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</si>
  <si>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</si>
  <si>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</si>
  <si>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</si>
  <si>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</si>
  <si>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</si>
  <si>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</si>
  <si>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</si>
  <si>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</si>
  <si>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</si>
  <si>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</si>
  <si>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</si>
  <si>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</si>
  <si>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</si>
  <si>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</si>
  <si>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</si>
  <si>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</si>
  <si>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</si>
  <si>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</si>
  <si>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</si>
  <si>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</si>
  <si>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</si>
  <si>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</si>
  <si>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</si>
  <si>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</si>
  <si>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</si>
  <si>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</si>
  <si>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</si>
  <si>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</si>
  <si>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</si>
  <si>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</si>
  <si>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</si>
  <si>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</si>
  <si>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</si>
  <si>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</si>
  <si>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</si>
  <si>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</si>
  <si>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</si>
  <si>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</si>
  <si>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</si>
  <si>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</si>
  <si>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</si>
  <si>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</si>
  <si>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</si>
  <si>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</si>
  <si>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</si>
  <si>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</si>
  <si>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</si>
  <si>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</si>
  <si>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</si>
  <si>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</si>
  <si>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</si>
  <si>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</si>
  <si>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</si>
  <si>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</si>
  <si>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</si>
  <si>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</si>
  <si>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</si>
  <si>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</si>
  <si>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</si>
  <si>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</si>
  <si>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</si>
  <si>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</si>
  <si>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</si>
  <si>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</si>
  <si>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</si>
  <si>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</si>
  <si>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</si>
  <si>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</si>
  <si>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</si>
  <si>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</si>
  <si>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</si>
  <si>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</si>
  <si>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</si>
  <si>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</si>
  <si>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</si>
  <si>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</si>
  <si>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</si>
  <si>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</si>
  <si>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</si>
  <si>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</si>
  <si>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</si>
  <si>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</si>
  <si>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</si>
  <si>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</si>
  <si>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</si>
  <si>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</si>
  <si>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</si>
  <si>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</si>
  <si>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</si>
  <si>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</si>
  <si>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</si>
  <si>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</si>
  <si>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</si>
  <si>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</si>
  <si>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</si>
  <si>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</si>
  <si>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</si>
  <si>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</si>
  <si>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</si>
  <si>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</si>
  <si>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</si>
  <si>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</si>
  <si>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</si>
  <si>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</si>
  <si>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</si>
  <si>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</si>
  <si>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</si>
  <si>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</si>
  <si>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</si>
  <si>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</si>
  <si>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</si>
  <si>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</si>
  <si>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</si>
  <si>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</si>
  <si>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</si>
  <si>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</si>
  <si>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</si>
  <si>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</si>
  <si>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</si>
  <si>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</si>
  <si>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</si>
  <si>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</si>
  <si>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</si>
  <si>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</si>
  <si>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</si>
  <si>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</si>
  <si>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</si>
  <si>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</si>
  <si>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</si>
  <si>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</si>
  <si>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</si>
  <si>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</si>
  <si>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</si>
  <si>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</si>
  <si>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</si>
  <si>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</si>
  <si>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</si>
  <si>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</si>
  <si>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</si>
  <si>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</si>
  <si>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</si>
  <si>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</si>
  <si>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</si>
  <si>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</si>
  <si>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</si>
  <si>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</si>
  <si>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</si>
  <si>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</si>
  <si>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</si>
  <si>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</si>
  <si>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</si>
  <si>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</si>
  <si>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</si>
  <si>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</si>
  <si>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</si>
  <si>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</si>
  <si>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</si>
  <si>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</si>
  <si>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</si>
  <si>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</si>
  <si>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</si>
  <si>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</si>
  <si>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</si>
  <si>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</si>
  <si>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</si>
  <si>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</si>
  <si>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</si>
  <si>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</si>
  <si>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</si>
  <si>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</si>
  <si>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</si>
  <si>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</si>
  <si>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</si>
  <si>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</si>
  <si>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</si>
  <si>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</si>
  <si>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</si>
  <si>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</si>
  <si>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</si>
  <si>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</si>
  <si>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</si>
  <si>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</si>
  <si>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</si>
  <si>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</si>
  <si>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</si>
  <si>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</si>
  <si>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</si>
  <si>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</si>
  <si>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</si>
  <si>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</si>
  <si>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</si>
  <si>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</si>
  <si>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</si>
  <si>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</si>
  <si>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</si>
  <si>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</si>
  <si>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</si>
  <si>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</si>
  <si>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</si>
  <si>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</si>
  <si>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</si>
  <si>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</si>
  <si>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</si>
  <si>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</si>
  <si>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</si>
  <si>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</si>
  <si>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</si>
  <si>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</si>
  <si>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</si>
  <si>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</si>
  <si>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</si>
  <si>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</si>
  <si>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</si>
  <si>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</si>
  <si>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</si>
  <si>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</si>
  <si>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</si>
  <si>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</si>
  <si>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</si>
  <si>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</si>
  <si>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</si>
  <si>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</si>
  <si>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</si>
  <si>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</si>
  <si>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</si>
  <si>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</si>
  <si>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</si>
  <si>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</si>
  <si>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</si>
  <si>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</si>
  <si>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</si>
  <si>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</si>
  <si>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</si>
  <si>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</si>
  <si>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</si>
  <si>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</si>
  <si>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</si>
  <si>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</si>
  <si>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</si>
  <si>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</si>
  <si>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</si>
  <si>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</si>
  <si>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</si>
  <si>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</si>
  <si>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</si>
  <si>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</si>
  <si>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</si>
  <si>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</si>
  <si>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</si>
  <si>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</si>
  <si>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</si>
  <si>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</si>
  <si>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</si>
  <si>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</si>
  <si>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</si>
  <si>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</si>
  <si>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</si>
  <si>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</si>
  <si>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</si>
  <si>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</si>
  <si>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</si>
  <si>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</si>
  <si>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</si>
  <si>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</si>
  <si>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</si>
  <si>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</si>
  <si>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</si>
  <si>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</si>
  <si>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</si>
  <si>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</si>
  <si>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</si>
  <si>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</si>
  <si>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</si>
  <si>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</si>
  <si>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</si>
  <si>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</si>
  <si>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</si>
  <si>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</si>
  <si>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</si>
  <si>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</si>
  <si>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</si>
  <si>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</si>
  <si>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</si>
  <si>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</si>
  <si>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</si>
  <si>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</si>
  <si>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</si>
  <si>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</si>
  <si>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</si>
  <si>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</si>
  <si>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</si>
  <si>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</si>
  <si>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</si>
  <si>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</si>
  <si>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</si>
  <si>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</si>
  <si>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</si>
  <si>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</si>
  <si>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</si>
  <si>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</si>
  <si>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</si>
  <si>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</si>
  <si>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</si>
  <si>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</si>
  <si>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</si>
  <si>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</si>
  <si>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</si>
  <si>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</si>
  <si>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</si>
  <si>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</si>
  <si>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</si>
  <si>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</si>
  <si>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</si>
  <si>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</si>
  <si>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</si>
  <si>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</si>
  <si>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</si>
  <si>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</si>
  <si>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</si>
  <si>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</si>
  <si>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</si>
  <si>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</si>
  <si>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</si>
  <si>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</si>
  <si>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</si>
  <si>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</si>
  <si>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</si>
  <si>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</si>
  <si>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</si>
  <si>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</si>
  <si>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</si>
  <si>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</si>
  <si>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</si>
  <si>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</si>
  <si>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</si>
  <si>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</si>
  <si>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</si>
  <si>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</si>
  <si>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</si>
  <si>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</si>
  <si>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</si>
  <si>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</si>
  <si>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</si>
  <si>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</si>
  <si>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</si>
  <si>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</si>
  <si>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</si>
  <si>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</si>
  <si>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</si>
  <si>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</si>
  <si>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</si>
  <si>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</si>
  <si>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</si>
  <si>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</si>
  <si>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</si>
  <si>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</si>
  <si>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</si>
  <si>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</si>
  <si>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</si>
  <si>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</si>
  <si>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</si>
  <si>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</si>
  <si>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</si>
  <si>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</si>
  <si>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</si>
  <si>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</si>
  <si>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</si>
  <si>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</si>
  <si>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</si>
  <si>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</si>
  <si>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</si>
  <si>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</si>
  <si>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</si>
  <si>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</si>
  <si>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</si>
  <si>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</si>
  <si>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</si>
  <si>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</si>
  <si>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</si>
  <si>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</si>
  <si>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</si>
  <si>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</si>
  <si>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</si>
  <si>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</si>
  <si>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</si>
  <si>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</si>
  <si>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</si>
  <si>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</si>
  <si>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</si>
  <si>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</si>
  <si>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</si>
  <si>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</si>
  <si>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</si>
  <si>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</si>
  <si>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</si>
  <si>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</si>
  <si>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</si>
  <si>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</si>
  <si>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</si>
  <si>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</si>
  <si>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</si>
  <si>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</si>
  <si>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</si>
  <si>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</si>
  <si>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</si>
  <si>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</si>
  <si>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</si>
  <si>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</si>
  <si>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</si>
  <si>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</si>
  <si>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</si>
  <si>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</si>
  <si>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</si>
  <si>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</si>
  <si>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</si>
  <si>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</si>
  <si>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</si>
  <si>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</si>
  <si>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</si>
  <si>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</si>
  <si>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</si>
  <si>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</si>
  <si>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</si>
  <si>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</si>
  <si>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</si>
  <si>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</si>
  <si>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</si>
  <si>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</si>
  <si>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</si>
  <si>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</si>
  <si>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</si>
  <si>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</si>
  <si>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</si>
  <si>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</si>
  <si>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</si>
  <si>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</si>
  <si>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</si>
  <si>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</si>
  <si>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</si>
  <si>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</si>
  <si>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</si>
  <si>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</si>
  <si>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</si>
  <si>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</si>
  <si>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</si>
  <si>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</si>
  <si>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</si>
  <si>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</si>
  <si>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</si>
  <si>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</si>
  <si>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</si>
  <si>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</si>
  <si>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</si>
  <si>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</si>
  <si>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</si>
  <si>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</si>
  <si>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</si>
  <si>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</si>
  <si>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</si>
  <si>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</si>
  <si>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</si>
  <si>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</si>
  <si>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</si>
  <si>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</si>
  <si>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</si>
  <si>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</si>
  <si>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</si>
  <si>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</si>
  <si>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</si>
  <si>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</si>
  <si>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</si>
  <si>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</si>
  <si>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</si>
  <si>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</si>
  <si>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</si>
  <si>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</si>
  <si>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</si>
  <si>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</si>
  <si>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</si>
  <si>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</si>
  <si>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</si>
  <si>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</si>
  <si>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</si>
  <si>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</si>
  <si>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</si>
  <si>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</si>
  <si>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</si>
  <si>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</si>
  <si>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</si>
  <si>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</si>
  <si>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</si>
  <si>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</si>
  <si>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</si>
  <si>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</si>
  <si>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</si>
  <si>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</si>
  <si>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</si>
  <si>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</si>
  <si>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</si>
  <si>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</si>
  <si>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</si>
  <si>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</si>
  <si>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</si>
  <si>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</si>
  <si>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</si>
  <si>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</si>
  <si>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</si>
  <si>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</si>
  <si>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</si>
  <si>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</si>
  <si>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</si>
  <si>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</si>
  <si>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</si>
  <si>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</si>
  <si>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</si>
  <si>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</si>
  <si>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</si>
  <si>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</si>
  <si>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</si>
  <si>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</si>
  <si>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</si>
  <si>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</si>
  <si>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</si>
  <si>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</si>
  <si>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</si>
  <si>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</si>
  <si>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</si>
  <si>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</si>
  <si>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</si>
  <si>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</si>
  <si>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</si>
  <si>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</si>
  <si>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</si>
  <si>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</si>
  <si>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</si>
  <si>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</si>
  <si>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</si>
  <si>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</si>
  <si>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</si>
  <si>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</si>
  <si>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</si>
  <si>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</si>
  <si>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</si>
  <si>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</si>
  <si>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</si>
  <si>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</si>
  <si>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</si>
  <si>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</si>
  <si>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</si>
  <si>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</si>
  <si>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</si>
  <si>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</si>
  <si>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</si>
  <si>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</si>
  <si>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</si>
  <si>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</si>
  <si>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</si>
  <si>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</si>
  <si>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</si>
  <si>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</si>
  <si>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</si>
  <si>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</si>
  <si>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</si>
  <si>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</si>
  <si>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</si>
  <si>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</si>
  <si>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</si>
  <si>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</si>
  <si>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</si>
  <si>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</si>
  <si>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</si>
  <si>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</si>
  <si>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</si>
  <si>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</si>
  <si>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</si>
  <si>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</si>
  <si>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</si>
  <si>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</si>
  <si>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</si>
  <si>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</si>
  <si>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</si>
  <si>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</si>
  <si>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</si>
  <si>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</si>
  <si>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</si>
  <si>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</si>
  <si>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</si>
  <si>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</si>
  <si>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</si>
  <si>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</si>
  <si>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</si>
  <si>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</si>
  <si>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</si>
  <si>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</si>
  <si>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</si>
  <si>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</si>
  <si>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</si>
  <si>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</si>
  <si>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</si>
  <si>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</si>
  <si>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</si>
  <si>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</si>
  <si>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</si>
  <si>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</si>
  <si>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</si>
  <si>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</si>
  <si>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</si>
  <si>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</si>
  <si>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</si>
  <si>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</si>
  <si>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</si>
  <si>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</si>
  <si>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</si>
  <si>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</si>
  <si>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</si>
  <si>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</si>
  <si>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</si>
  <si>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</si>
  <si>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</si>
  <si>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</si>
  <si>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</si>
  <si>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</si>
  <si>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</si>
  <si>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</si>
  <si>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</si>
  <si>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</si>
  <si>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</si>
  <si>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</si>
  <si>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</si>
  <si>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</si>
  <si>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</si>
  <si>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</si>
  <si>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</si>
  <si>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</si>
  <si>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</si>
  <si>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</si>
  <si>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</si>
  <si>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</si>
  <si>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</si>
  <si>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</si>
  <si>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</si>
  <si>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</si>
  <si>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</si>
  <si>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</si>
  <si>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</si>
  <si>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</si>
  <si>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</si>
  <si>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</si>
  <si>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</si>
  <si>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</si>
  <si>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</si>
  <si>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</si>
  <si>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</si>
  <si>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</si>
  <si>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</si>
  <si>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</si>
  <si>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</si>
  <si>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</si>
  <si>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</si>
  <si>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</si>
  <si>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</si>
  <si>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</si>
  <si>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</si>
  <si>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</si>
  <si>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</si>
  <si>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</si>
  <si>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</si>
  <si>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</si>
  <si>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</si>
  <si>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</si>
  <si>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</si>
  <si>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</si>
  <si>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</si>
  <si>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</si>
  <si>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</si>
  <si>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</si>
  <si>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</si>
  <si>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</si>
  <si>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</si>
  <si>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</si>
  <si>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</si>
  <si>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</si>
  <si>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</si>
  <si>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</si>
  <si>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</si>
  <si>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</si>
  <si>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</si>
  <si>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</si>
  <si>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</si>
  <si>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</si>
  <si>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</si>
  <si>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</si>
  <si>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</si>
  <si>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</si>
  <si>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</si>
  <si>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</si>
  <si>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</si>
  <si>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</si>
  <si>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</si>
  <si>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</si>
  <si>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</si>
  <si>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</si>
  <si>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</si>
  <si>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</si>
  <si>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</si>
  <si>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</si>
  <si>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</si>
  <si>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</si>
  <si>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</si>
  <si>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</si>
  <si>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</si>
  <si>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</si>
  <si>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</si>
  <si>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</si>
  <si>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</si>
  <si>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</si>
  <si>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</si>
  <si>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</si>
  <si>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</si>
  <si>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</si>
  <si>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</si>
  <si>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</si>
  <si>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</si>
  <si>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</si>
  <si>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</si>
  <si>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</si>
  <si>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</si>
  <si>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</si>
  <si>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</si>
  <si>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</si>
  <si>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</si>
  <si>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</si>
  <si>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</si>
  <si>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</si>
  <si>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</si>
  <si>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</si>
  <si>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</si>
  <si>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</si>
  <si>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</si>
  <si>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</si>
  <si>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</si>
  <si>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</si>
  <si>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</si>
  <si>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</si>
  <si>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</si>
  <si>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</si>
  <si>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</si>
  <si>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</si>
  <si>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</si>
  <si>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</si>
  <si>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</si>
  <si>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</si>
  <si>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</si>
  <si>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</si>
  <si>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</si>
  <si>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</si>
  <si>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</si>
  <si>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</si>
  <si>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</si>
  <si>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</si>
  <si>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</si>
  <si>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</si>
  <si>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</si>
  <si>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</si>
  <si>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</si>
  <si>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</si>
  <si>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</si>
  <si>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</si>
  <si>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</si>
  <si>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</si>
  <si>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</si>
  <si>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</si>
  <si>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</si>
  <si>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</si>
  <si>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</si>
  <si>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</si>
  <si>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</si>
  <si>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</si>
  <si>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</si>
  <si>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</si>
  <si>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</si>
  <si>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</si>
  <si>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</si>
  <si>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</si>
  <si>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</si>
  <si>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</si>
  <si>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</si>
  <si>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</si>
  <si>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</si>
  <si>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</si>
  <si>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</si>
  <si>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</si>
  <si>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</si>
  <si>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</si>
  <si>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</si>
  <si>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</si>
  <si>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</si>
  <si>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</si>
  <si>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</si>
  <si>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</si>
  <si>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</si>
  <si>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</si>
  <si>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</si>
  <si>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</si>
  <si>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</si>
  <si>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</si>
  <si>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</si>
  <si>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</si>
  <si>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</si>
  <si>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</si>
  <si>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</si>
  <si>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</si>
  <si>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</si>
  <si>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</si>
  <si>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</si>
  <si>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</si>
  <si>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</si>
  <si>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</si>
  <si>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</si>
  <si>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</si>
  <si>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</si>
  <si>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</si>
  <si>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</si>
  <si>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</si>
  <si>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</si>
  <si>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</si>
  <si>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</si>
  <si>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</si>
  <si>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</si>
  <si>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</si>
  <si>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</si>
  <si>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</si>
  <si>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</si>
  <si>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</si>
  <si>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</si>
  <si>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</si>
  <si>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</si>
  <si>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</si>
  <si>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</si>
  <si>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</si>
  <si>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</si>
  <si>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</si>
  <si>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</si>
  <si>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</si>
  <si>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</si>
  <si>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</si>
  <si>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</si>
  <si>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</si>
  <si>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</si>
  <si>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</si>
  <si>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</si>
  <si>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</si>
  <si>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</si>
  <si>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</si>
  <si>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</si>
  <si>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</si>
  <si>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</si>
  <si>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</si>
  <si>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</si>
  <si>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</si>
  <si>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</si>
  <si>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</si>
  <si>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</si>
  <si>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</si>
  <si>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</si>
  <si>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</si>
  <si>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</si>
  <si>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</si>
  <si>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</si>
  <si>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</si>
  <si>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</si>
  <si>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</si>
  <si>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</si>
  <si>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</si>
  <si>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</si>
  <si>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</si>
  <si>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</si>
  <si>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</si>
  <si>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</si>
  <si>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</si>
  <si>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</si>
  <si>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</si>
  <si>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</si>
  <si>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</si>
  <si>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</si>
  <si>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</si>
  <si>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</si>
  <si>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</si>
  <si>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</si>
  <si>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</si>
  <si>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</si>
  <si>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</si>
  <si>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</si>
  <si>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</si>
  <si>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</si>
  <si>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</si>
  <si>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</si>
  <si>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</si>
  <si>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</si>
  <si>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</si>
  <si>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</si>
  <si>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</si>
  <si>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</si>
  <si>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</si>
  <si>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</si>
  <si>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</si>
  <si>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</si>
  <si>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</si>
  <si>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</si>
  <si>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</si>
  <si>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</si>
  <si>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</si>
  <si>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</si>
  <si>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</si>
  <si>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</si>
  <si>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</si>
  <si>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</si>
  <si>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</si>
  <si>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</si>
  <si>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</si>
  <si>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</si>
  <si>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</si>
  <si>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</si>
  <si>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</si>
  <si>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</si>
  <si>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</si>
  <si>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</si>
  <si>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</si>
  <si>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</si>
  <si>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</si>
  <si>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</si>
  <si>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</si>
  <si>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</si>
  <si>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</si>
  <si>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</si>
  <si>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</si>
  <si>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</si>
  <si>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</si>
  <si>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</si>
  <si>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</si>
  <si>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</si>
  <si>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</si>
  <si>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</si>
  <si>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</si>
  <si>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</si>
  <si>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</si>
  <si>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</si>
  <si>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</si>
  <si>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</si>
  <si>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</si>
  <si>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</si>
  <si>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</si>
  <si>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</si>
  <si>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</si>
  <si>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</si>
  <si>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</si>
  <si>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</si>
  <si>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</si>
  <si>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</si>
  <si>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</si>
  <si>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</si>
  <si>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</si>
  <si>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</si>
  <si>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</si>
  <si>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</si>
  <si>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</si>
  <si>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</si>
  <si>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</si>
  <si>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</si>
  <si>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</si>
  <si>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</si>
  <si>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</si>
  <si>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</si>
  <si>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</si>
  <si>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</si>
  <si>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</si>
  <si>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</si>
  <si>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</si>
  <si>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</si>
  <si>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</si>
  <si>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</si>
  <si>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</si>
  <si>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</si>
  <si>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</si>
  <si>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</si>
  <si>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</si>
  <si>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</si>
  <si>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</si>
  <si>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</si>
  <si>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</si>
  <si>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</si>
  <si>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</si>
  <si>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</si>
  <si>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</si>
  <si>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</si>
  <si>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</si>
  <si>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</si>
  <si>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</si>
  <si>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</si>
  <si>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</si>
  <si>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</si>
  <si>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</si>
  <si>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</si>
  <si>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</si>
  <si>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</si>
  <si>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</si>
  <si>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</si>
  <si>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</si>
  <si>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</si>
  <si>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</si>
  <si>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</si>
  <si>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</si>
  <si>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</si>
  <si>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</si>
  <si>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</si>
  <si>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</si>
  <si>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</si>
  <si>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</si>
  <si>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</si>
  <si>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</si>
  <si>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</si>
  <si>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</si>
  <si>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</si>
  <si>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</si>
  <si>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</si>
  <si>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</si>
  <si>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</si>
  <si>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</si>
  <si>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</si>
  <si>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</si>
  <si>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</si>
  <si>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</si>
  <si>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</si>
  <si>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</si>
  <si>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</si>
  <si>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</si>
  <si>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</si>
  <si>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</si>
  <si>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</si>
  <si>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</si>
  <si>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</si>
  <si>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</si>
  <si>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</si>
  <si>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</si>
  <si>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</si>
  <si>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</si>
  <si>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</si>
  <si>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</si>
  <si>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</si>
  <si>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</si>
  <si>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</si>
  <si>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</si>
  <si>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</si>
  <si>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</si>
  <si>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</si>
  <si>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</si>
  <si>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</si>
  <si>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</si>
  <si>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</si>
  <si>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</si>
  <si>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</si>
  <si>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</si>
  <si>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</si>
  <si>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</si>
  <si>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</si>
  <si>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</si>
  <si>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</si>
  <si>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</si>
  <si>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</si>
  <si>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</si>
  <si>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</si>
  <si>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</si>
  <si>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</si>
  <si>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</si>
  <si>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</si>
  <si>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</si>
  <si>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</si>
  <si>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</si>
  <si>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</si>
  <si>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</si>
  <si>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</si>
  <si>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</si>
  <si>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</si>
  <si>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</si>
  <si>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</si>
  <si>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</si>
  <si>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</si>
  <si>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</si>
  <si>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</si>
  <si>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</si>
  <si>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</si>
  <si>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</si>
  <si>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</si>
  <si>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</si>
  <si>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</si>
  <si>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</si>
  <si>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</si>
  <si>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</si>
  <si>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</si>
  <si>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</si>
  <si>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</si>
  <si>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</si>
  <si>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</si>
  <si>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</si>
  <si>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</si>
  <si>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</si>
  <si>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</si>
  <si>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</si>
  <si>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</si>
  <si>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</si>
  <si>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</si>
  <si>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</si>
  <si>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</si>
  <si>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</si>
  <si>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</si>
  <si>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</si>
  <si>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</si>
  <si>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</si>
  <si>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</si>
  <si>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</si>
  <si>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</si>
  <si>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</si>
  <si>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</si>
  <si>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</si>
  <si>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</si>
  <si>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</si>
  <si>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</si>
  <si>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</si>
  <si>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</si>
  <si>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</si>
  <si>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</si>
  <si>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</si>
  <si>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</si>
  <si>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</si>
  <si>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</si>
  <si>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</si>
  <si>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</si>
  <si>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</si>
  <si>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</si>
  <si>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</si>
  <si>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</si>
  <si>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</si>
  <si>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</si>
  <si>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</si>
  <si>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</si>
  <si>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</si>
  <si>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</si>
  <si>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</si>
  <si>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</si>
  <si>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</si>
  <si>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</si>
  <si>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</si>
  <si>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</si>
  <si>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</si>
  <si>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</si>
  <si>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</si>
  <si>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</si>
  <si>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</si>
  <si>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</si>
  <si>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</si>
  <si>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</si>
  <si>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</si>
  <si>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</si>
  <si>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</si>
  <si>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</si>
  <si>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</si>
  <si>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</si>
  <si>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</si>
  <si>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</si>
  <si>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</si>
  <si>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</si>
  <si>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</si>
  <si>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</si>
  <si>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</si>
  <si>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</si>
  <si>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</si>
  <si>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</si>
  <si>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</si>
  <si>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</si>
  <si>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</si>
  <si>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</si>
  <si>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</si>
  <si>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</si>
  <si>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</si>
  <si>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</si>
  <si>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</si>
  <si>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</si>
  <si>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</si>
  <si>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</si>
  <si>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</si>
  <si>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</si>
  <si>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</si>
  <si>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</si>
  <si>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</si>
  <si>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</si>
  <si>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</si>
  <si>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</si>
  <si>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</si>
  <si>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</si>
  <si>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</si>
  <si>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</si>
  <si>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</si>
  <si>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</si>
  <si>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</si>
  <si>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</si>
  <si>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</si>
  <si>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</si>
  <si>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</si>
  <si>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</si>
  <si>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</si>
  <si>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</si>
  <si>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</si>
  <si>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</si>
  <si>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</si>
  <si>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</si>
  <si>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</si>
  <si>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</si>
  <si>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</si>
  <si>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</si>
  <si>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</si>
  <si>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</si>
  <si>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</si>
  <si>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</si>
  <si>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</si>
  <si>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</si>
  <si>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</si>
  <si>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</si>
  <si>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</si>
  <si>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</si>
  <si>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</si>
  <si>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</si>
  <si>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</si>
  <si>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</si>
  <si>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</si>
  <si>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</si>
  <si>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</si>
  <si>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</si>
  <si>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</si>
  <si>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</si>
  <si>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</si>
  <si>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</si>
  <si>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</si>
  <si>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</si>
  <si>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</si>
  <si>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</si>
  <si>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</si>
  <si>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</si>
  <si>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</si>
  <si>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</si>
  <si>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</si>
  <si>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</si>
  <si>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</si>
  <si>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</si>
  <si>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</si>
  <si>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</si>
  <si>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</si>
  <si>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</si>
  <si>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</si>
  <si>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</si>
  <si>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</si>
  <si>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</si>
  <si>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</si>
  <si>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</si>
  <si>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</si>
  <si>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</si>
  <si>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</si>
  <si>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</si>
  <si>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</si>
  <si>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</si>
  <si>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</si>
  <si>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</si>
  <si>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</si>
  <si>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</si>
  <si>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</si>
  <si>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</si>
  <si>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</si>
  <si>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</si>
  <si>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</si>
  <si>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</si>
  <si>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</si>
  <si>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</si>
  <si>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</si>
  <si>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</si>
  <si>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</si>
  <si>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</si>
  <si>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</si>
  <si>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</si>
  <si>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</si>
  <si>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</si>
  <si>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</si>
  <si>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</si>
  <si>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</si>
  <si>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</si>
  <si>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</si>
  <si>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</si>
  <si>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</si>
  <si>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</si>
  <si>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</si>
  <si>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</si>
  <si>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</si>
  <si>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</si>
  <si>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</si>
  <si>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</si>
  <si>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</si>
  <si>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</si>
  <si>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</si>
  <si>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</si>
  <si>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</si>
  <si>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</si>
  <si>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</si>
  <si>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</si>
  <si>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</si>
  <si>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</si>
  <si>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</si>
  <si>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</si>
  <si>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</si>
  <si>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</si>
  <si>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</si>
  <si>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</si>
  <si>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</si>
  <si>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</si>
  <si>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</si>
  <si>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</si>
  <si>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</si>
  <si>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</si>
  <si>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</si>
  <si>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</si>
  <si>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</si>
  <si>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</si>
  <si>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</si>
  <si>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</si>
  <si>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</si>
  <si>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</si>
  <si>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</si>
  <si>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</si>
  <si>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</si>
  <si>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</si>
  <si>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</si>
  <si>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</si>
  <si>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</si>
  <si>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</si>
  <si>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</si>
  <si>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</si>
  <si>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</si>
  <si>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</si>
  <si>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</si>
  <si>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</si>
  <si>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</si>
  <si>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</si>
  <si>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</si>
  <si>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</si>
  <si>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</si>
  <si>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</si>
  <si>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</si>
  <si>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</si>
  <si>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</si>
  <si>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</si>
  <si>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</si>
  <si>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</si>
  <si>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</si>
  <si>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</si>
  <si>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</si>
  <si>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</si>
  <si>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</si>
  <si>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</si>
  <si>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</si>
  <si>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</si>
  <si>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</si>
  <si>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</si>
  <si>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</si>
  <si>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</si>
  <si>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</si>
  <si>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</si>
  <si>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</si>
  <si>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</si>
  <si>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</si>
  <si>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</si>
  <si>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</si>
  <si>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</si>
  <si>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</si>
  <si>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</si>
  <si>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</si>
  <si>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</si>
  <si>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</si>
  <si>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</si>
  <si>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</si>
  <si>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</si>
  <si>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</si>
  <si>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</si>
  <si>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</si>
  <si>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</si>
  <si>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</si>
  <si>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</si>
  <si>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</si>
  <si>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</si>
  <si>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</si>
  <si>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</si>
  <si>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</si>
  <si>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</si>
  <si>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</si>
  <si>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</si>
  <si>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</si>
  <si>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</si>
  <si>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</si>
  <si>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</si>
  <si>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</si>
  <si>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</si>
  <si>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</si>
  <si>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</si>
  <si>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</si>
  <si>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</si>
  <si>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</si>
  <si>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</si>
  <si>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</si>
  <si>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</si>
  <si>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</si>
  <si>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</si>
  <si>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</si>
  <si>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</si>
  <si>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</si>
  <si>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</si>
  <si>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</si>
  <si>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</si>
  <si>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</si>
  <si>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</si>
  <si>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</si>
  <si>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</si>
  <si>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</si>
  <si>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</si>
  <si>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</si>
  <si>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</si>
  <si>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</si>
  <si>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</si>
  <si>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</si>
  <si>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</si>
  <si>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</si>
  <si>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</si>
  <si>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</si>
  <si>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</si>
  <si>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</si>
  <si>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</si>
  <si>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</si>
  <si>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</si>
  <si>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</si>
  <si>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</si>
  <si>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</si>
  <si>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</si>
  <si>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</si>
  <si>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</si>
  <si>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</si>
  <si>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</si>
  <si>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</si>
  <si>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</si>
  <si>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</si>
  <si>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</si>
  <si>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</si>
  <si>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</si>
  <si>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</si>
  <si>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</si>
  <si>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</si>
  <si>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</si>
  <si>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</si>
  <si>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</si>
  <si>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</si>
  <si>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</si>
  <si>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</si>
  <si>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</si>
  <si>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</si>
  <si>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</si>
  <si>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</si>
  <si>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</si>
  <si>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</si>
  <si>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</si>
  <si>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</si>
  <si>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</si>
  <si>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</si>
  <si>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</si>
  <si>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</si>
  <si>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</si>
  <si>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</si>
  <si>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</si>
  <si>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</si>
  <si>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</si>
  <si>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</si>
  <si>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</si>
  <si>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</si>
  <si>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</si>
  <si>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</si>
  <si>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</si>
  <si>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</si>
  <si>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</si>
  <si>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</si>
  <si>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</si>
  <si>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</si>
  <si>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</si>
  <si>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</si>
  <si>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</si>
  <si>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</si>
  <si>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</si>
  <si>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</si>
  <si>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</si>
  <si>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</si>
  <si>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</si>
  <si>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</si>
  <si>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</si>
  <si>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</si>
  <si>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</si>
  <si>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</si>
  <si>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</si>
  <si>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</si>
  <si>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</si>
  <si>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</si>
  <si>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</si>
  <si>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</si>
  <si>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</si>
  <si>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</si>
  <si>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</si>
  <si>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</si>
  <si>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</si>
  <si>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</si>
  <si>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</si>
  <si>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</si>
  <si>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</si>
  <si>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</si>
  <si>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</si>
  <si>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</si>
  <si>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</si>
  <si>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</si>
  <si>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</si>
  <si>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</si>
  <si>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</si>
  <si>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</si>
  <si>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</si>
  <si>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</si>
  <si>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</si>
  <si>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</si>
  <si>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</si>
  <si>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</si>
  <si>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</si>
  <si>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</si>
  <si>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</si>
  <si>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</si>
  <si>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</si>
  <si>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</si>
  <si>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</si>
  <si>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</si>
  <si>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</si>
  <si>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</si>
  <si>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</si>
  <si>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</si>
  <si>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</si>
  <si>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</si>
  <si>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</si>
  <si>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</si>
  <si>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</si>
  <si>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</si>
  <si>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</si>
  <si>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</si>
  <si>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</si>
  <si>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</si>
  <si>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</si>
  <si>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</si>
  <si>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</si>
  <si>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</si>
  <si>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</si>
  <si>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</si>
  <si>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</si>
  <si>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</si>
  <si>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</si>
  <si>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</si>
  <si>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</si>
  <si>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</si>
  <si>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</si>
  <si>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</si>
  <si>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</si>
  <si>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</si>
  <si>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</si>
  <si>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</si>
  <si>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</si>
  <si>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</si>
  <si>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</si>
  <si>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</si>
  <si>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</si>
  <si>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</si>
  <si>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</si>
  <si>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</si>
  <si>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</si>
  <si>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</si>
  <si>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</si>
  <si>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</si>
  <si>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</si>
  <si>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</si>
  <si>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</si>
  <si>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</si>
  <si>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</si>
  <si>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</si>
  <si>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</si>
  <si>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</si>
  <si>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</si>
  <si>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</si>
  <si>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</si>
  <si>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</si>
  <si>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</si>
  <si>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</si>
  <si>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</si>
  <si>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</si>
  <si>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</si>
  <si>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</si>
  <si>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</si>
  <si>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</si>
  <si>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</si>
  <si>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</si>
  <si>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</si>
  <si>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</si>
  <si>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</si>
  <si>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</si>
  <si>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</si>
  <si>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</si>
  <si>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</si>
  <si>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</si>
  <si>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</si>
  <si>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</si>
  <si>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</si>
  <si>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</si>
  <si>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</si>
  <si>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</si>
  <si>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</si>
  <si>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</si>
  <si>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</si>
  <si>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</si>
  <si>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</si>
  <si>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</si>
  <si>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</si>
  <si>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</si>
  <si>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</si>
  <si>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</si>
  <si>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</si>
  <si>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</si>
  <si>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</si>
  <si>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</si>
  <si>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</si>
  <si>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</si>
  <si>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</si>
  <si>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</si>
  <si>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</si>
  <si>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</si>
  <si>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</si>
  <si>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</si>
  <si>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</si>
  <si>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</si>
  <si>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</si>
  <si>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</si>
  <si>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</si>
  <si>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</si>
  <si>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</si>
  <si>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</si>
  <si>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</si>
  <si>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</si>
  <si>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</si>
  <si>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</si>
  <si>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</si>
  <si>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</si>
  <si>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</si>
  <si>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</si>
  <si>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</si>
  <si>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</si>
  <si>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</si>
  <si>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</si>
  <si>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</si>
  <si>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</si>
  <si>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</si>
  <si>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</si>
  <si>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</si>
  <si>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</si>
  <si>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</si>
  <si>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</si>
  <si>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</si>
  <si>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</si>
  <si>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</si>
  <si>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</si>
  <si>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</si>
  <si>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</si>
  <si>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</si>
  <si>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</si>
  <si>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</si>
  <si>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</si>
  <si>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</si>
  <si>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</si>
  <si>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</si>
  <si>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</si>
  <si>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</si>
  <si>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</si>
  <si>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</si>
  <si>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</si>
  <si>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</si>
  <si>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</si>
  <si>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</si>
  <si>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</si>
  <si>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</si>
  <si>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</si>
  <si>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</si>
  <si>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</si>
  <si>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</si>
  <si>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</si>
  <si>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</si>
  <si>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</si>
  <si>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</si>
  <si>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</si>
  <si>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</si>
  <si>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</si>
  <si>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</si>
  <si>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</si>
  <si>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</si>
  <si>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</si>
  <si>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</si>
  <si>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</si>
  <si>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</si>
  <si>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</si>
  <si>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</si>
  <si>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</si>
  <si>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</si>
  <si>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</si>
  <si>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</si>
  <si>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</si>
  <si>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</si>
  <si>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</si>
  <si>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</si>
  <si>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</si>
  <si>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</si>
  <si>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</si>
  <si>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</si>
  <si>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</si>
  <si>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</si>
  <si>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</si>
  <si>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</si>
  <si>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</si>
  <si>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</si>
  <si>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</si>
  <si>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</si>
  <si>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</si>
  <si>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</si>
  <si>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</si>
  <si>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</si>
  <si>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</si>
  <si>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</si>
  <si>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</si>
  <si>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</si>
  <si>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</si>
  <si>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</si>
  <si>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</si>
  <si>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</si>
  <si>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</si>
  <si>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</si>
  <si>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</si>
  <si>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</si>
  <si>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</si>
  <si>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</si>
  <si>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</si>
  <si>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</si>
  <si>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</si>
  <si>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</si>
  <si>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</si>
  <si>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</si>
  <si>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</si>
  <si>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</si>
  <si>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</si>
  <si>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</si>
  <si>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</si>
  <si>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</si>
  <si>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</si>
  <si>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</si>
  <si>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</si>
  <si>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</si>
  <si>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</si>
  <si>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</si>
  <si>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</si>
  <si>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</si>
  <si>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</si>
  <si>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</si>
  <si>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</si>
  <si>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</si>
  <si>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</si>
  <si>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</si>
  <si>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</si>
  <si>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</si>
  <si>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</si>
  <si>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</si>
  <si>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</si>
  <si>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</si>
  <si>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</si>
  <si>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</si>
  <si>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</si>
  <si>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</si>
  <si>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</si>
  <si>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</si>
  <si>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</si>
  <si>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</si>
  <si>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</si>
  <si>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</si>
  <si>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</si>
  <si>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</si>
  <si>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</si>
  <si>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</si>
  <si>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</si>
  <si>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</si>
  <si>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</si>
  <si>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</si>
  <si>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</si>
  <si>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</si>
  <si>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</si>
  <si>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</si>
  <si>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</si>
  <si>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</si>
  <si>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</si>
  <si>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</si>
  <si>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</si>
  <si>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</si>
  <si>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</si>
  <si>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</si>
  <si>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</si>
  <si>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</si>
  <si>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</si>
  <si>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</si>
  <si>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</si>
  <si>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</si>
  <si>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</si>
  <si>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</si>
  <si>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</si>
  <si>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</si>
  <si>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</si>
  <si>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</si>
  <si>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</si>
  <si>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</si>
  <si>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</si>
  <si>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</si>
  <si>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</si>
  <si>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</si>
  <si>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</si>
  <si>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</si>
  <si>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</si>
  <si>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</si>
  <si>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</si>
  <si>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</si>
  <si>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</si>
  <si>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</si>
  <si>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</si>
  <si>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</si>
  <si>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</si>
  <si>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</si>
  <si>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</si>
  <si>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</si>
  <si>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</si>
  <si>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</si>
  <si>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</si>
  <si>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</si>
  <si>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</si>
  <si>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</si>
  <si>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</si>
  <si>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</si>
  <si>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</si>
  <si>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</si>
  <si>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</si>
  <si>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</si>
  <si>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</si>
  <si>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</si>
  <si>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</si>
  <si>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</si>
  <si>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</si>
  <si>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</si>
  <si>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</si>
  <si>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</si>
  <si>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</si>
  <si>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</si>
  <si>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</si>
  <si>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</si>
  <si>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</si>
  <si>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</si>
  <si>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</si>
  <si>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</si>
  <si>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</si>
  <si>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</si>
  <si>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</si>
  <si>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</si>
  <si>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</si>
  <si>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</si>
  <si>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</si>
  <si>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</si>
  <si>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</si>
  <si>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</si>
  <si>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</si>
  <si>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</si>
  <si>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</si>
  <si>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</si>
  <si>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</si>
  <si>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</si>
  <si>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</si>
  <si>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</si>
  <si>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</si>
  <si>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</si>
  <si>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</si>
  <si>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</si>
  <si>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</si>
  <si>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</si>
  <si>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</si>
  <si>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</si>
  <si>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</si>
  <si>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</si>
  <si>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</si>
  <si>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</si>
  <si>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</si>
  <si>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</si>
  <si>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</si>
  <si>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</si>
  <si>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</si>
  <si>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</si>
  <si>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</si>
  <si>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</si>
  <si>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</si>
  <si>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</si>
  <si>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</si>
  <si>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</si>
  <si>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</si>
  <si>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</si>
  <si>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</si>
  <si>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</si>
  <si>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</si>
  <si>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</si>
  <si>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</si>
  <si>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</si>
  <si>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</si>
  <si>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</si>
  <si>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</si>
  <si>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</si>
  <si>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</si>
  <si>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</si>
  <si>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</si>
  <si>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</si>
  <si>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</si>
  <si>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</si>
  <si>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</si>
  <si>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</si>
  <si>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</si>
  <si>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</si>
  <si>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</si>
  <si>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</si>
  <si>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</si>
  <si>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</si>
  <si>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</si>
  <si>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</si>
  <si>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</si>
  <si>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</si>
  <si>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</si>
  <si>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</si>
  <si>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</si>
  <si>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</si>
  <si>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</si>
  <si>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</si>
  <si>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</si>
  <si>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</si>
  <si>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</si>
  <si>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</si>
  <si>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</si>
  <si>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</si>
  <si>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</si>
  <si>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</si>
  <si>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</si>
  <si>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</si>
  <si>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</si>
  <si>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</si>
  <si>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</si>
  <si>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</si>
  <si>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</si>
  <si>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</si>
  <si>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</si>
  <si>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</si>
  <si>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</si>
  <si>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</si>
  <si>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</si>
  <si>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</si>
  <si>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</si>
  <si>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</si>
  <si>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</si>
  <si>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</si>
  <si>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</si>
  <si>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</si>
  <si>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</si>
  <si>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</si>
  <si>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</si>
  <si>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</si>
  <si>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</si>
  <si>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</si>
  <si>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</si>
  <si>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</si>
  <si>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</si>
  <si>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</si>
  <si>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</si>
  <si>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</si>
  <si>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</si>
  <si>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</si>
  <si>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</si>
  <si>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</si>
  <si>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</si>
  <si>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</si>
  <si>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</si>
  <si>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</si>
  <si>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</si>
  <si>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</si>
  <si>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</si>
  <si>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</si>
  <si>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</si>
  <si>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</si>
  <si>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</si>
  <si>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</si>
  <si>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</si>
  <si>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</si>
  <si>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</si>
  <si>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</si>
  <si>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</si>
  <si>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</si>
  <si>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</si>
  <si>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</si>
  <si>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</si>
  <si>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</si>
  <si>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</si>
  <si>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</si>
  <si>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</si>
  <si>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</si>
  <si>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</si>
  <si>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</si>
  <si>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</si>
  <si>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</si>
  <si>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</si>
  <si>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</si>
  <si>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</si>
  <si>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</si>
  <si>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</si>
  <si>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</si>
  <si>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</si>
  <si>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</si>
  <si>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</si>
  <si>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</si>
  <si>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</si>
  <si>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</si>
  <si>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</si>
  <si>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</si>
  <si>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</si>
  <si>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</si>
  <si>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</si>
  <si>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</si>
  <si>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</si>
  <si>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</si>
  <si>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</si>
  <si>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</si>
  <si>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</si>
  <si>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</si>
  <si>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</si>
  <si>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</si>
  <si>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</si>
  <si>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</si>
  <si>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</si>
  <si>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</si>
  <si>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</si>
  <si>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</si>
  <si>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</si>
  <si>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</si>
  <si>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</si>
  <si>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</si>
  <si>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</si>
  <si>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</si>
  <si>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</si>
  <si>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</si>
  <si>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</si>
  <si>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</si>
  <si>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</si>
  <si>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</si>
  <si>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</si>
  <si>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</si>
  <si>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</si>
  <si>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</si>
  <si>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</si>
  <si>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</si>
  <si>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</si>
  <si>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</si>
  <si>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</si>
  <si>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</si>
  <si>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</si>
  <si>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</si>
  <si>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</si>
  <si>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</si>
  <si>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</si>
  <si>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</si>
  <si>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</si>
  <si>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</si>
  <si>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</si>
  <si>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</si>
  <si>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</si>
  <si>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</si>
  <si>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</si>
  <si>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</si>
  <si>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</si>
  <si>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</si>
  <si>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</si>
  <si>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</si>
  <si>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</si>
  <si>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</si>
  <si>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</si>
  <si>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</si>
  <si>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</si>
  <si>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</si>
  <si>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</si>
  <si>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</si>
  <si>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</si>
  <si>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</si>
  <si>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</si>
  <si>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</si>
  <si>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</si>
  <si>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</si>
  <si>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</si>
  <si>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</si>
  <si>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</si>
  <si>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</si>
  <si>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</si>
  <si>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</si>
  <si>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</si>
  <si>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</si>
  <si>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</si>
  <si>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</si>
  <si>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</si>
  <si>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</si>
  <si>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</si>
  <si>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</si>
  <si>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</si>
  <si>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</si>
  <si>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</si>
  <si>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</si>
  <si>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</si>
  <si>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</si>
  <si>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</si>
  <si>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</si>
  <si>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</si>
  <si>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</si>
  <si>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</si>
  <si>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</si>
  <si>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</si>
  <si>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</si>
  <si>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</si>
  <si>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</si>
  <si>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</si>
  <si>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</si>
  <si>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</si>
  <si>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</si>
  <si>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</si>
  <si>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</si>
  <si>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</si>
  <si>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</si>
  <si>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</si>
  <si>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</si>
  <si>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</si>
  <si>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</si>
  <si>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</si>
  <si>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</si>
  <si>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</si>
  <si>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</si>
  <si>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</si>
  <si>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</si>
  <si>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</si>
  <si>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</si>
  <si>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</si>
  <si>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</si>
  <si>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</si>
  <si>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</si>
  <si>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</si>
  <si>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</si>
  <si>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</si>
  <si>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</si>
  <si>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</si>
  <si>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</si>
  <si>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</si>
  <si>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</si>
  <si>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</si>
  <si>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</si>
  <si>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</si>
  <si>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</si>
  <si>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</si>
  <si>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</si>
  <si>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</si>
  <si>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</si>
  <si>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</si>
  <si>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</si>
  <si>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</si>
  <si>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</si>
  <si>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</si>
  <si>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</si>
  <si>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</si>
  <si>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</si>
  <si>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</si>
  <si>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</si>
  <si>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</si>
  <si>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</si>
  <si>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</si>
  <si>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</si>
  <si>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</si>
  <si>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</si>
  <si>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</si>
  <si>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</si>
  <si>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</si>
  <si>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</si>
  <si>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</si>
  <si>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</si>
  <si>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</si>
  <si>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</si>
  <si>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</si>
  <si>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</si>
  <si>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</si>
  <si>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</si>
  <si>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</si>
  <si>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</si>
  <si>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</si>
  <si>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</si>
  <si>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</si>
  <si>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</si>
  <si>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</si>
  <si>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</si>
  <si>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</si>
  <si>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</si>
  <si>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</si>
  <si>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</si>
  <si>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</si>
  <si>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</si>
  <si>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</si>
  <si>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</si>
  <si>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</si>
  <si>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</si>
  <si>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</si>
  <si>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</si>
  <si>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</si>
  <si>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</si>
  <si>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</si>
  <si>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</si>
  <si>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</si>
  <si>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</si>
  <si>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</si>
  <si>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</si>
  <si>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</si>
  <si>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</si>
  <si>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</si>
  <si>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</si>
  <si>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</si>
  <si>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</si>
  <si>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</si>
  <si>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</si>
  <si>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</si>
  <si>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</si>
  <si>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</si>
  <si>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</si>
  <si>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</si>
  <si>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</si>
  <si>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</si>
  <si>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</si>
  <si>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</si>
  <si>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</si>
  <si>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</si>
  <si>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</si>
  <si>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</si>
  <si>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</si>
  <si>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</si>
  <si>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</si>
  <si>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</si>
  <si>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</si>
  <si>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</si>
  <si>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</si>
  <si>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</si>
  <si>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</si>
  <si>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</si>
  <si>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</si>
  <si>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</si>
  <si>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</si>
  <si>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</si>
  <si>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</si>
  <si>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</si>
  <si>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</si>
  <si>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</si>
  <si>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</si>
  <si>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</si>
  <si>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</si>
  <si>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</si>
  <si>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</si>
  <si>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</si>
  <si>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</si>
  <si>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</si>
  <si>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</si>
  <si>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</si>
  <si>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</si>
  <si>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</si>
  <si>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</si>
  <si>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</si>
  <si>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</si>
  <si>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</si>
  <si>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</si>
  <si>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</si>
  <si>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</si>
  <si>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</si>
  <si>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</si>
  <si>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</si>
  <si>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</si>
  <si>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</si>
  <si>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</si>
  <si>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</si>
  <si>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</si>
  <si>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</si>
  <si>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</si>
  <si>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</si>
  <si>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</si>
  <si>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</si>
  <si>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</si>
  <si>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</si>
  <si>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</si>
  <si>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</si>
  <si>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</si>
  <si>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</si>
  <si>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</si>
  <si>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</si>
  <si>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</si>
  <si>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</si>
  <si>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</si>
  <si>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</si>
  <si>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</si>
  <si>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</si>
  <si>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</si>
  <si>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</si>
  <si>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</si>
  <si>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</si>
  <si>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</si>
  <si>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</si>
  <si>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</si>
  <si>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</si>
  <si>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</si>
  <si>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</si>
  <si>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</si>
  <si>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</si>
  <si>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</si>
  <si>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</si>
  <si>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</si>
  <si>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</si>
  <si>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</si>
  <si>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</si>
  <si>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</si>
  <si>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</si>
  <si>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</si>
  <si>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</si>
  <si>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</si>
  <si>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</si>
  <si>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</si>
  <si>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</si>
  <si>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</si>
  <si>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</si>
  <si>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</si>
  <si>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</si>
  <si>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</si>
  <si>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</si>
  <si>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</si>
  <si>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</si>
  <si>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</si>
  <si>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</si>
  <si>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</si>
  <si>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</si>
  <si>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</si>
  <si>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</si>
  <si>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</si>
  <si>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</si>
  <si>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</si>
  <si>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</si>
  <si>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</si>
  <si>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</si>
  <si>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</si>
  <si>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</si>
  <si>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</si>
  <si>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</si>
  <si>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</si>
  <si>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</si>
  <si>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</si>
  <si>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</si>
  <si>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</si>
  <si>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</si>
  <si>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</si>
  <si>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</si>
  <si>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</si>
  <si>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</si>
  <si>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</si>
  <si>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</si>
  <si>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</si>
  <si>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</si>
  <si>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</si>
  <si>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</si>
  <si>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</si>
  <si>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</si>
  <si>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</si>
  <si>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</si>
  <si>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</si>
  <si>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</si>
  <si>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</si>
  <si>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</si>
  <si>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</si>
  <si>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</si>
  <si>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</si>
  <si>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</si>
  <si>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</si>
  <si>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</si>
  <si>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</si>
  <si>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</si>
  <si>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</si>
  <si>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</si>
  <si>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</si>
  <si>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</si>
  <si>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</si>
  <si>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</si>
  <si>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</si>
  <si>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</si>
  <si>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</si>
  <si>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</si>
  <si>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</si>
  <si>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</si>
  <si>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</si>
  <si>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</si>
  <si>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</si>
  <si>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</si>
  <si>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</si>
  <si>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</si>
  <si>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</si>
  <si>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</si>
  <si>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</si>
  <si>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</si>
  <si>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</si>
  <si>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</si>
  <si>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</si>
  <si>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</si>
  <si>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</si>
  <si>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</si>
  <si>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</si>
  <si>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</si>
  <si>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</si>
  <si>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</si>
  <si>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</si>
  <si>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</si>
  <si>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</si>
  <si>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</si>
  <si>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</si>
  <si>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</si>
  <si>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</si>
  <si>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</si>
  <si>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</si>
  <si>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</si>
  <si>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</si>
  <si>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</si>
  <si>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</si>
  <si>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</si>
  <si>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</si>
  <si>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</si>
  <si>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</si>
  <si>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</si>
  <si>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</si>
  <si>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</si>
  <si>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</si>
  <si>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</si>
  <si>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</si>
  <si>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</si>
  <si>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</si>
  <si>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</si>
  <si>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</si>
  <si>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</si>
  <si>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</si>
  <si>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</si>
  <si>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</si>
  <si>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</si>
  <si>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</si>
  <si>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</si>
  <si>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</si>
  <si>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</si>
  <si>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</si>
  <si>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</si>
  <si>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</si>
  <si>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</si>
  <si>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</si>
  <si>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</si>
  <si>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</si>
  <si>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</si>
  <si>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</si>
  <si>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</si>
  <si>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</si>
  <si>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</si>
  <si>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</si>
  <si>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</si>
  <si>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</si>
  <si>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</si>
  <si>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</si>
  <si>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</si>
  <si>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</si>
  <si>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</si>
  <si>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</si>
  <si>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</si>
  <si>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</si>
  <si>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</si>
  <si>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</si>
  <si>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</si>
  <si>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</si>
  <si>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</si>
  <si>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</si>
  <si>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</si>
  <si>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</si>
  <si>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</si>
  <si>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</si>
  <si>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</si>
  <si>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</si>
  <si>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</si>
  <si>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</si>
  <si>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</si>
  <si>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</si>
  <si>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</si>
  <si>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</si>
  <si>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</si>
  <si>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</si>
  <si>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</si>
  <si>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</si>
  <si>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</si>
  <si>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</si>
  <si>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</si>
  <si>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</si>
  <si>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</si>
  <si>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</si>
  <si>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</si>
  <si>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</si>
  <si>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</si>
  <si>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</si>
  <si>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</si>
  <si>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</si>
  <si>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</si>
  <si>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</si>
  <si>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</si>
  <si>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</si>
  <si>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</si>
  <si>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</si>
  <si>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</si>
  <si>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</si>
  <si>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</si>
  <si>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</si>
  <si>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</si>
  <si>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</si>
  <si>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</si>
  <si>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</si>
  <si>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</si>
  <si>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</si>
  <si>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</si>
  <si>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</si>
  <si>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</si>
  <si>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</si>
  <si>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</si>
  <si>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</si>
  <si>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</si>
  <si>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</si>
  <si>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</si>
  <si>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</si>
  <si>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</si>
  <si>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</si>
  <si>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</si>
  <si>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</si>
  <si>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</si>
  <si>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</si>
  <si>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</si>
  <si>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</si>
  <si>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</si>
  <si>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</si>
  <si>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</si>
  <si>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</si>
  <si>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</si>
  <si>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</si>
  <si>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</si>
  <si>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</si>
  <si>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</si>
  <si>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</si>
  <si>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</si>
  <si>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</si>
  <si>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</si>
  <si>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</si>
  <si>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</si>
  <si>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</si>
  <si>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</si>
  <si>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</si>
  <si>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</si>
  <si>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</si>
  <si>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</si>
  <si>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</si>
  <si>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</si>
  <si>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</si>
  <si>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</si>
  <si>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</si>
  <si>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</si>
  <si>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</si>
  <si>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</si>
  <si>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</si>
  <si>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</si>
  <si>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</si>
  <si>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</si>
  <si>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</si>
  <si>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</si>
  <si>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</si>
  <si>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</si>
  <si>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</si>
  <si>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</si>
  <si>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</si>
  <si>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</si>
  <si>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</si>
  <si>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</si>
  <si>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</si>
  <si>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</si>
  <si>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</si>
  <si>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</si>
  <si>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</si>
  <si>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</si>
  <si>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</si>
  <si>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</si>
  <si>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</si>
  <si>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</si>
  <si>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</si>
  <si>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</si>
  <si>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</si>
  <si>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</si>
  <si>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</si>
  <si>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</si>
  <si>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</si>
  <si>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</si>
  <si>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</si>
  <si>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</si>
  <si>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</si>
  <si>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</si>
  <si>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</si>
  <si>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</si>
  <si>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</si>
  <si>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</si>
  <si>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</si>
  <si>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</si>
  <si>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</si>
  <si>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</si>
  <si>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</si>
  <si>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</si>
  <si>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</si>
  <si>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</si>
  <si>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</si>
  <si>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</si>
  <si>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</si>
  <si>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</si>
  <si>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</si>
  <si>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</si>
  <si>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</si>
  <si>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</si>
  <si>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</si>
  <si>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</si>
  <si>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</si>
  <si>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</si>
  <si>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</si>
  <si>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</si>
  <si>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</si>
  <si>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</si>
  <si>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</si>
  <si>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</si>
  <si>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</si>
  <si>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</si>
  <si>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</si>
  <si>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</si>
  <si>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</si>
  <si>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</si>
  <si>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</si>
  <si>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</si>
  <si>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</si>
  <si>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</si>
  <si>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</si>
  <si>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</si>
  <si>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</si>
  <si>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</si>
  <si>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</si>
  <si>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</si>
  <si>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</si>
  <si>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</si>
  <si>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</si>
  <si>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</si>
  <si>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</si>
  <si>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</si>
  <si>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</si>
  <si>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</si>
  <si>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</si>
  <si>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</si>
  <si>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</si>
  <si>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</si>
  <si>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</si>
  <si>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</si>
  <si>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</si>
  <si>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</si>
  <si>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</si>
  <si>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</si>
  <si>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</si>
  <si>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</si>
  <si>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</si>
  <si>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</si>
  <si>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</si>
  <si>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</si>
  <si>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</si>
  <si>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</si>
  <si>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</si>
  <si>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</si>
  <si>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</si>
  <si>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</si>
  <si>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</si>
  <si>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</si>
  <si>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</si>
  <si>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</si>
  <si>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</si>
  <si>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</si>
  <si>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</si>
  <si>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</si>
  <si>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</si>
  <si>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</si>
  <si>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</si>
  <si>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</si>
  <si>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</si>
  <si>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</si>
  <si>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</si>
  <si>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</si>
  <si>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</si>
  <si>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</si>
  <si>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</si>
  <si>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</si>
  <si>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</si>
  <si>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</si>
  <si>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</si>
  <si>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</si>
  <si>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</si>
  <si>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</si>
  <si>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</si>
  <si>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</si>
  <si>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</si>
  <si>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</si>
  <si>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</si>
  <si>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</si>
  <si>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</si>
  <si>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</si>
  <si>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</si>
  <si>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</si>
  <si>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</si>
  <si>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</si>
  <si>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</si>
  <si>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</si>
  <si>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</si>
  <si>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</si>
  <si>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</si>
  <si>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</si>
  <si>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</si>
  <si>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</si>
  <si>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</si>
  <si>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</si>
  <si>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</si>
  <si>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</si>
  <si>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</si>
  <si>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</si>
  <si>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</si>
  <si>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</si>
  <si>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</si>
  <si>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</si>
  <si>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</si>
  <si>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</si>
  <si>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</si>
  <si>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</si>
  <si>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</si>
  <si>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</si>
  <si>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</si>
  <si>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</si>
  <si>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</si>
  <si>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</si>
  <si>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</si>
  <si>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</si>
  <si>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</si>
  <si>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</si>
  <si>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</si>
  <si>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</si>
  <si>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</si>
  <si>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</si>
  <si>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</si>
  <si>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</si>
  <si>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</si>
  <si>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</si>
  <si>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</si>
  <si>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</si>
  <si>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</si>
  <si>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</si>
  <si>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</si>
  <si>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</si>
  <si>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</si>
  <si>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</si>
  <si>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</si>
  <si>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</si>
  <si>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</si>
  <si>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</si>
  <si>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</si>
  <si>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</si>
  <si>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</si>
  <si>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</si>
  <si>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</si>
  <si>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</si>
  <si>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</si>
  <si>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</si>
  <si>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</si>
  <si>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</si>
  <si>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</si>
  <si>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</si>
  <si>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</si>
  <si>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</si>
  <si>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</si>
  <si>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</si>
  <si>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</si>
  <si>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</si>
  <si>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</si>
  <si>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</si>
  <si>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</si>
  <si>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</si>
  <si>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</si>
  <si>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</si>
  <si>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</si>
  <si>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</si>
  <si>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</si>
  <si>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</si>
  <si>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</si>
  <si>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</si>
  <si>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</si>
  <si>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</si>
  <si>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</si>
  <si>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</si>
  <si>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</si>
  <si>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</si>
  <si>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</si>
  <si>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</si>
  <si>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</si>
  <si>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</si>
  <si>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</si>
  <si>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</si>
  <si>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</si>
  <si>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</si>
  <si>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</si>
  <si>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</si>
  <si>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</si>
  <si>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</si>
  <si>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</si>
  <si>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</si>
  <si>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</si>
  <si>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</si>
  <si>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</si>
  <si>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</si>
  <si>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</si>
  <si>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</si>
  <si>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</si>
  <si>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</si>
  <si>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</si>
  <si>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</si>
  <si>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</si>
  <si>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</si>
  <si>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</si>
  <si>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</si>
  <si>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</si>
  <si>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</si>
  <si>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</si>
  <si>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</si>
  <si>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</si>
  <si>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</si>
  <si>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</si>
  <si>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</si>
  <si>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</si>
  <si>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</si>
  <si>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</si>
  <si>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</si>
  <si>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</si>
  <si>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</si>
  <si>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</si>
  <si>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</si>
  <si>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</si>
  <si>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</si>
  <si>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</si>
  <si>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</si>
  <si>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</si>
  <si>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</si>
  <si>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</si>
  <si>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</si>
  <si>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</si>
  <si>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</si>
  <si>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</si>
  <si>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</si>
  <si>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</si>
  <si>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</si>
  <si>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</si>
  <si>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</si>
  <si>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</si>
  <si>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</si>
  <si>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</si>
  <si>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</si>
  <si>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</si>
  <si>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</si>
  <si>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</si>
  <si>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</si>
  <si>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</si>
  <si>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</si>
  <si>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</si>
  <si>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</si>
  <si>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</si>
  <si>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</si>
  <si>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</si>
  <si>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</si>
  <si>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</si>
  <si>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</si>
  <si>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</si>
  <si>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</si>
  <si>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</si>
  <si>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</si>
  <si>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</si>
  <si>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</si>
  <si>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</si>
  <si>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</si>
  <si>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</si>
  <si>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</si>
  <si>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</si>
  <si>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</si>
  <si>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</si>
  <si>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</si>
  <si>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</si>
  <si>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</si>
  <si>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</si>
  <si>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</si>
  <si>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</si>
  <si>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</si>
  <si>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</si>
  <si>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</si>
  <si>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</si>
  <si>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</si>
  <si>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</si>
  <si>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</si>
  <si>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</si>
  <si>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</si>
  <si>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</si>
  <si>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</si>
  <si>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</si>
  <si>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</si>
  <si>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</si>
  <si>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</si>
  <si>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</si>
  <si>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</si>
  <si>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</si>
  <si>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</si>
  <si>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</si>
  <si>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</si>
  <si>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</si>
  <si>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</si>
  <si>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</si>
  <si>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</si>
  <si>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</si>
  <si>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</si>
  <si>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</si>
  <si>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</si>
  <si>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</si>
  <si>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</si>
  <si>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</si>
  <si>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</si>
  <si>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</si>
  <si>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</si>
  <si>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</si>
  <si>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</si>
  <si>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</si>
  <si>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</si>
  <si>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</si>
  <si>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</si>
  <si>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</si>
  <si>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</si>
  <si>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</si>
  <si>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</si>
  <si>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</si>
  <si>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</si>
  <si>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</si>
  <si>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</si>
  <si>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</si>
  <si>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</si>
  <si>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</si>
  <si>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</si>
  <si>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</si>
  <si>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</si>
  <si>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</si>
  <si>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</si>
  <si>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</si>
  <si>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</si>
  <si>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</si>
  <si>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</si>
  <si>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</si>
  <si>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</si>
  <si>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</si>
  <si>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</si>
  <si>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</si>
  <si>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</si>
  <si>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</si>
  <si>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</si>
  <si>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</si>
  <si>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</si>
  <si>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</si>
  <si>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</si>
  <si>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</si>
  <si>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</si>
  <si>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</si>
  <si>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</si>
  <si>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</si>
  <si>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</si>
  <si>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</si>
  <si>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</si>
  <si>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</si>
  <si>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</si>
  <si>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</si>
  <si>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</si>
  <si>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</si>
  <si>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</si>
  <si>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</si>
  <si>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</si>
  <si>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</si>
  <si>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</si>
  <si>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</si>
  <si>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</si>
  <si>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</si>
  <si>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</si>
  <si>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</si>
  <si>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</si>
  <si>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</si>
  <si>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</si>
  <si>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</si>
  <si>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</si>
  <si>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</si>
  <si>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</si>
  <si>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</si>
  <si>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X342</t>
  </si>
  <si>
    <t>X343</t>
  </si>
  <si>
    <t>X344</t>
  </si>
  <si>
    <t>X345</t>
  </si>
  <si>
    <t>X346</t>
  </si>
  <si>
    <t>X347</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</si>
  <si>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</si>
  <si>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</si>
  <si>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</si>
  <si>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</si>
  <si>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</si>
  <si>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</si>
  <si>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</si>
  <si>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</si>
  <si>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</si>
  <si>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</si>
  <si>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</si>
  <si>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</si>
  <si>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</si>
  <si>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</si>
  <si>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</si>
  <si>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</si>
  <si>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</si>
  <si>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</si>
  <si>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</si>
  <si>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</si>
  <si>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</si>
  <si>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</si>
  <si>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</si>
  <si>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</si>
  <si>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</si>
  <si>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</si>
  <si>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</si>
  <si>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</si>
  <si>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</si>
  <si>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</si>
  <si>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</si>
  <si>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</si>
  <si>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</si>
  <si>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</si>
  <si>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</si>
  <si>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</si>
  <si>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</si>
  <si>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</si>
  <si>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</si>
  <si>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</si>
  <si>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</si>
  <si>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</si>
  <si>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</si>
  <si>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</si>
  <si>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</si>
  <si>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</si>
  <si>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</si>
  <si>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</si>
  <si>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</si>
  <si>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</si>
  <si>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</si>
  <si>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</si>
  <si>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</si>
  <si>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</si>
  <si>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</si>
  <si>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</si>
  <si>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</si>
  <si>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</si>
  <si>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</si>
  <si>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</si>
  <si>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</si>
  <si>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</si>
  <si>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</si>
  <si>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</si>
  <si>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</si>
  <si>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</si>
  <si>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</si>
  <si>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</si>
  <si>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</si>
  <si>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</si>
  <si>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</si>
  <si>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</si>
  <si>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</si>
  <si>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</si>
  <si>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</si>
  <si>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</si>
  <si>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</si>
  <si>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</si>
  <si>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</si>
  <si>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</si>
  <si>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</si>
  <si>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</si>
  <si>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</si>
  <si>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</si>
  <si>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</si>
  <si>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</si>
  <si>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</si>
  <si>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</si>
  <si>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</si>
  <si>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</si>
  <si>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</si>
  <si>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</si>
  <si>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</si>
  <si>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</si>
  <si>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</si>
  <si>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</si>
  <si>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</si>
  <si>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</si>
  <si>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</si>
  <si>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</si>
  <si>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</si>
  <si>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</si>
  <si>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</si>
  <si>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</si>
  <si>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</si>
  <si>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</si>
  <si>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</si>
  <si>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</si>
  <si>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</si>
  <si>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</si>
  <si>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</si>
  <si>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</si>
  <si>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</si>
  <si>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</si>
  <si>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</si>
  <si>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</si>
  <si>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</si>
  <si>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</si>
  <si>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</si>
  <si>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</si>
  <si>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</si>
  <si>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</si>
  <si>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</si>
  <si>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</si>
  <si>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</si>
  <si>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</si>
  <si>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</si>
  <si>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</si>
  <si>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</si>
  <si>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</si>
  <si>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</si>
  <si>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</si>
  <si>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</si>
  <si>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</si>
  <si>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</si>
  <si>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</si>
  <si>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</si>
  <si>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</si>
  <si>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</si>
  <si>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</si>
  <si>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</si>
  <si>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</si>
  <si>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</si>
  <si>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</si>
  <si>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</si>
  <si>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</si>
  <si>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</si>
  <si>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</si>
  <si>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</si>
  <si>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</si>
  <si>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</si>
  <si>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</si>
  <si>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</si>
  <si>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</si>
  <si>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</si>
  <si>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</si>
  <si>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</si>
  <si>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</si>
  <si>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</si>
  <si>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</si>
  <si>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</si>
  <si>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</si>
  <si>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</si>
  <si>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</si>
  <si>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</si>
  <si>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</si>
  <si>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</si>
  <si>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</si>
  <si>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</si>
  <si>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</si>
  <si>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</si>
  <si>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</si>
  <si>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</si>
  <si>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</si>
  <si>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</si>
  <si>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</si>
  <si>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</si>
  <si>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</si>
  <si>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</si>
  <si>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</si>
  <si>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</si>
  <si>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</si>
  <si>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</si>
  <si>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</si>
  <si>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</si>
  <si>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</si>
  <si>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</si>
  <si>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</si>
  <si>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</si>
  <si>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</si>
  <si>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</si>
  <si>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</si>
  <si>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</si>
  <si>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</si>
  <si>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</si>
  <si>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</si>
  <si>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</si>
  <si>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</si>
  <si>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</si>
  <si>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</si>
  <si>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</si>
  <si>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</si>
  <si>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</si>
  <si>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</si>
  <si>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</si>
  <si>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</si>
  <si>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</si>
  <si>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</si>
  <si>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</si>
  <si>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</si>
  <si>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</si>
  <si>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</si>
  <si>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</si>
  <si>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</si>
  <si>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</si>
  <si>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</si>
  <si>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</si>
  <si>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</si>
  <si>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</si>
  <si>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</si>
  <si>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</si>
  <si>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</si>
  <si>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</si>
  <si>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X591</t>
  </si>
  <si>
    <t>X592</t>
  </si>
  <si>
    <t>X593</t>
  </si>
  <si>
    <t>X594</t>
  </si>
  <si>
    <t>X595</t>
  </si>
  <si>
    <t>X596</t>
  </si>
  <si>
    <t>X597</t>
  </si>
  <si>
    <t>X598</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</si>
  <si>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</si>
  <si>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</si>
  <si>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</si>
  <si>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</si>
  <si>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</si>
  <si>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</si>
  <si>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</si>
  <si>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</si>
  <si>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</si>
  <si>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</si>
  <si>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</si>
  <si>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</si>
  <si>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</si>
  <si>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</si>
  <si>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</si>
  <si>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</si>
  <si>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</si>
  <si>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</si>
  <si>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</si>
  <si>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</si>
  <si>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</si>
  <si>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</si>
  <si>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</si>
  <si>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</si>
  <si>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</si>
  <si>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</si>
  <si>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</si>
  <si>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</si>
  <si>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</si>
  <si>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</si>
  <si>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</si>
  <si>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</si>
  <si>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</si>
  <si>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</si>
  <si>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</si>
  <si>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</si>
  <si>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</si>
  <si>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</si>
  <si>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</si>
  <si>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</si>
  <si>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</si>
  <si>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</si>
  <si>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</si>
  <si>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</si>
  <si>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</si>
  <si>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</si>
  <si>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</si>
  <si>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</si>
  <si>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</si>
  <si>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</si>
  <si>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</si>
  <si>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</si>
  <si>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</si>
  <si>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</si>
  <si>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</si>
  <si>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</si>
  <si>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</si>
  <si>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</si>
  <si>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</si>
  <si>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</si>
  <si>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</si>
  <si>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</si>
  <si>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</si>
  <si>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</si>
  <si>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</si>
  <si>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</si>
  <si>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</si>
  <si>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</si>
  <si>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</si>
  <si>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</si>
  <si>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</si>
  <si>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</si>
  <si>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</si>
  <si>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</si>
  <si>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</si>
  <si>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</si>
  <si>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</si>
  <si>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</si>
  <si>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</si>
  <si>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</si>
  <si>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</si>
  <si>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</si>
  <si>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</si>
  <si>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</si>
  <si>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</si>
  <si>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</si>
  <si>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</si>
  <si>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</si>
  <si>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</si>
  <si>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</si>
  <si>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</si>
  <si>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</si>
  <si>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</si>
  <si>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</si>
  <si>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</si>
  <si>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</si>
  <si>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</si>
  <si>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</si>
  <si>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</si>
  <si>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</si>
  <si>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</si>
  <si>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</si>
  <si>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</si>
  <si>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</si>
  <si>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</si>
  <si>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</si>
  <si>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</si>
  <si>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</si>
  <si>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</si>
  <si>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</si>
  <si>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</si>
  <si>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</si>
  <si>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</si>
  <si>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</si>
  <si>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</si>
  <si>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</si>
  <si>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</si>
  <si>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</si>
  <si>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</si>
  <si>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</si>
  <si>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</si>
  <si>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</si>
  <si>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</si>
  <si>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</si>
  <si>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</si>
  <si>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</si>
  <si>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</si>
  <si>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</si>
  <si>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</si>
  <si>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</si>
  <si>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</si>
  <si>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</si>
  <si>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</si>
  <si>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</si>
  <si>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</si>
  <si>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</si>
  <si>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</si>
  <si>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</si>
  <si>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</si>
  <si>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</si>
  <si>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</si>
  <si>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</si>
  <si>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</si>
  <si>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</si>
  <si>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</si>
  <si>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</si>
  <si>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</si>
  <si>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</si>
  <si>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</si>
  <si>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</si>
  <si>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</si>
  <si>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</si>
  <si>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</si>
  <si>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</si>
  <si>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</si>
  <si>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</si>
  <si>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</si>
  <si>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</si>
  <si>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</si>
  <si>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</si>
  <si>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</si>
  <si>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</si>
  <si>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</si>
  <si>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</si>
  <si>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</si>
  <si>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</si>
  <si>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</si>
  <si>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</si>
  <si>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</si>
  <si>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</si>
  <si>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</si>
  <si>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</si>
  <si>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</si>
  <si>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</si>
  <si>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</si>
  <si>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</si>
  <si>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</si>
  <si>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</si>
  <si>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</si>
  <si>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</si>
  <si>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</si>
  <si>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</si>
  <si>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</si>
  <si>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</si>
  <si>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</si>
  <si>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</si>
  <si>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</si>
  <si>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</si>
  <si>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</si>
  <si>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</si>
  <si>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</si>
  <si>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</si>
  <si>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</si>
  <si>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</si>
  <si>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</si>
  <si>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</si>
  <si>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</si>
  <si>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</si>
  <si>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</si>
  <si>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</si>
  <si>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</si>
  <si>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</si>
  <si>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</si>
  <si>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</si>
  <si>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</si>
  <si>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</si>
  <si>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</si>
  <si>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</si>
  <si>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</si>
  <si>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</si>
  <si>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</si>
  <si>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</si>
  <si>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</si>
  <si>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</si>
  <si>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</si>
  <si>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</si>
  <si>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</si>
  <si>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</si>
  <si>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</si>
  <si>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</si>
  <si>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</si>
  <si>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</si>
  <si>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</si>
  <si>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</si>
  <si>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</si>
  <si>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</si>
  <si>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</si>
  <si>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</si>
  <si>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</si>
  <si>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</si>
  <si>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</si>
  <si>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</si>
  <si>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</si>
  <si>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</si>
  <si>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</si>
  <si>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</si>
  <si>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</si>
  <si>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</si>
  <si>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</si>
  <si>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</si>
  <si>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</si>
  <si>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</si>
  <si>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</si>
  <si>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</si>
  <si>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</si>
  <si>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</si>
  <si>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</si>
  <si>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</si>
  <si>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</si>
  <si>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</si>
  <si>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</si>
  <si>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</si>
  <si>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</si>
  <si>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</si>
  <si>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</si>
  <si>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</si>
  <si>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</si>
  <si>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</si>
  <si>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</si>
  <si>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</si>
  <si>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</si>
  <si>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</si>
  <si>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</si>
  <si>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</si>
  <si>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</si>
  <si>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</si>
  <si>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</si>
  <si>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</si>
  <si>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</si>
  <si>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</si>
  <si>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</si>
  <si>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</si>
  <si>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</si>
  <si>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</si>
  <si>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</si>
  <si>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</si>
  <si>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</si>
  <si>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</si>
  <si>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</si>
  <si>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</si>
  <si>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</si>
  <si>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</si>
  <si>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</si>
  <si>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</si>
  <si>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</si>
  <si>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</si>
  <si>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</si>
  <si>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</si>
  <si>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</si>
  <si>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</si>
  <si>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</si>
  <si>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</si>
  <si>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</si>
  <si>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</si>
  <si>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</si>
  <si>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</si>
  <si>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</si>
  <si>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</si>
  <si>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</si>
  <si>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</si>
  <si>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</si>
  <si>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</si>
  <si>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</si>
  <si>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</si>
  <si>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</si>
  <si>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</si>
  <si>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</si>
  <si>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</si>
  <si>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</si>
  <si>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</si>
  <si>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</si>
  <si>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</si>
  <si>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</si>
  <si>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</si>
  <si>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</si>
  <si>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</si>
  <si>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</si>
  <si>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</si>
  <si>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</si>
  <si>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</si>
  <si>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</si>
  <si>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</si>
  <si>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</si>
  <si>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</si>
  <si>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</si>
  <si>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</si>
  <si>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</si>
  <si>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</si>
  <si>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</si>
  <si>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</si>
  <si>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</si>
  <si>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</si>
  <si>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</si>
  <si>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</si>
  <si>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</si>
  <si>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</si>
  <si>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</si>
  <si>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</si>
  <si>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</si>
  <si>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</si>
  <si>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</si>
  <si>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</si>
  <si>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</si>
  <si>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</si>
  <si>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</si>
  <si>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</si>
  <si>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</si>
  <si>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</si>
  <si>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</si>
  <si>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</si>
  <si>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</si>
  <si>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</si>
  <si>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</si>
  <si>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</si>
  <si>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</si>
  <si>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</si>
  <si>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</si>
  <si>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</si>
  <si>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</si>
  <si>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</si>
  <si>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</si>
  <si>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</si>
  <si>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</si>
  <si>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</si>
  <si>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</si>
  <si>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</si>
  <si>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</si>
  <si>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</si>
  <si>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</si>
  <si>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</si>
  <si>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</si>
  <si>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</si>
  <si>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</si>
  <si>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</si>
  <si>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</si>
  <si>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</si>
  <si>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</si>
  <si>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</si>
  <si>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</si>
  <si>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</si>
  <si>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</si>
  <si>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</si>
  <si>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</si>
  <si>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</si>
  <si>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</si>
  <si>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</si>
  <si>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</si>
  <si>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</si>
  <si>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</si>
  <si>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</si>
  <si>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</si>
  <si>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</si>
  <si>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</si>
  <si>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</si>
  <si>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</si>
  <si>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</si>
  <si>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</si>
  <si>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</si>
  <si>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</si>
  <si>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</si>
  <si>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</si>
  <si>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</si>
  <si>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</si>
  <si>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</si>
  <si>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</si>
  <si>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</si>
  <si>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</si>
  <si>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</si>
  <si>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</si>
  <si>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</si>
  <si>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</si>
  <si>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</si>
  <si>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</si>
  <si>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</si>
  <si>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</si>
  <si>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</si>
  <si>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</si>
  <si>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</si>
  <si>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</si>
  <si>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</si>
  <si>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</si>
  <si>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</si>
  <si>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</si>
  <si>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</si>
  <si>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</si>
  <si>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</si>
  <si>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</si>
  <si>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</si>
  <si>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</si>
  <si>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</si>
  <si>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</si>
  <si>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</si>
  <si>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</si>
  <si>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</si>
  <si>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</si>
  <si>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</si>
  <si>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</si>
  <si>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</si>
  <si>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</si>
  <si>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</si>
  <si>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</si>
  <si>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</si>
  <si>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</si>
  <si>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</si>
  <si>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</si>
  <si>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</si>
  <si>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</si>
  <si>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</si>
  <si>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</si>
  <si>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</si>
  <si>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</si>
  <si>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</si>
  <si>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</si>
  <si>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</si>
  <si>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</si>
  <si>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</si>
  <si>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</si>
  <si>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</si>
  <si>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</si>
  <si>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</si>
  <si>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</si>
  <si>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</si>
  <si>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</si>
  <si>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</si>
  <si>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</si>
  <si>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</si>
  <si>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</si>
  <si>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</si>
  <si>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</si>
  <si>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</si>
  <si>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</si>
  <si>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</si>
  <si>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</si>
  <si>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</si>
  <si>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</si>
  <si>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</si>
  <si>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</si>
  <si>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</si>
  <si>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</si>
  <si>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</si>
  <si>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</si>
  <si>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</si>
  <si>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</si>
  <si>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</si>
  <si>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</si>
  <si>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</si>
  <si>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</si>
  <si>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</si>
  <si>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</si>
  <si>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</si>
  <si>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</si>
  <si>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</si>
  <si>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</si>
  <si>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</si>
  <si>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</si>
  <si>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</si>
  <si>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</si>
  <si>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</si>
  <si>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</si>
  <si>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</si>
  <si>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</si>
  <si>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</si>
  <si>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</si>
  <si>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</si>
  <si>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</si>
  <si>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</si>
  <si>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</si>
  <si>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</si>
  <si>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</si>
  <si>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</si>
  <si>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</si>
  <si>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</si>
  <si>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</si>
  <si>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</si>
  <si>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</si>
  <si>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</si>
  <si>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</si>
  <si>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</si>
  <si>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</si>
  <si>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</si>
  <si>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</si>
  <si>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</si>
  <si>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</si>
  <si>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</si>
  <si>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</si>
  <si>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</si>
  <si>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</si>
  <si>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</si>
  <si>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</si>
  <si>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</si>
  <si>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</si>
  <si>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</si>
  <si>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</si>
  <si>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</si>
  <si>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</si>
  <si>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</si>
  <si>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</si>
  <si>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</si>
  <si>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</si>
  <si>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</si>
  <si>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</si>
  <si>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</si>
  <si>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</si>
  <si>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</si>
  <si>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</si>
  <si>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</si>
  <si>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</si>
  <si>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</si>
  <si>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</si>
  <si>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</si>
  <si>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</si>
  <si>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</si>
  <si>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</si>
  <si>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</si>
  <si>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</si>
  <si>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</si>
  <si>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</si>
  <si>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</si>
  <si>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</si>
  <si>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</si>
  <si>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</si>
  <si>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</si>
  <si>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</si>
  <si>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</si>
  <si>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</si>
  <si>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</si>
  <si>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</si>
  <si>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</si>
  <si>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</si>
  <si>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</si>
  <si>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</si>
  <si>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</si>
  <si>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</si>
  <si>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</si>
  <si>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</si>
  <si>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</si>
  <si>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</si>
  <si>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</si>
  <si>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</si>
  <si>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</si>
  <si>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</si>
  <si>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</si>
  <si>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</si>
  <si>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</si>
  <si>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</si>
  <si>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</si>
  <si>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</si>
  <si>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</si>
  <si>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</si>
  <si>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</si>
  <si>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</si>
  <si>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</si>
  <si>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</si>
  <si>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</si>
  <si>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</si>
  <si>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</si>
  <si>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</si>
  <si>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</si>
  <si>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</si>
  <si>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</si>
  <si>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</si>
  <si>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</si>
  <si>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</si>
  <si>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</si>
  <si>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</si>
  <si>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</si>
  <si>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</si>
  <si>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</si>
  <si>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</si>
  <si>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</si>
  <si>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</si>
  <si>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</si>
  <si>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</si>
  <si>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</si>
  <si>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</si>
  <si>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</si>
  <si>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</si>
  <si>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</si>
  <si>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</si>
  <si>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</si>
  <si>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</si>
  <si>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</si>
  <si>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</si>
  <si>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</si>
  <si>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</si>
  <si>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</si>
  <si>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</si>
  <si>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</si>
  <si>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</si>
  <si>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</si>
  <si>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</si>
  <si>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</si>
  <si>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</si>
  <si>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</si>
  <si>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</si>
  <si>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</si>
  <si>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</si>
  <si>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</si>
  <si>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</si>
  <si>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</si>
  <si>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</si>
  <si>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</si>
  <si>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</si>
  <si>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</si>
  <si>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</si>
  <si>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</si>
  <si>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</si>
  <si>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</si>
  <si>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</si>
  <si>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</si>
  <si>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</si>
  <si>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</si>
  <si>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</si>
  <si>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</si>
  <si>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</si>
  <si>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</si>
  <si>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</si>
  <si>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</si>
  <si>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</si>
  <si>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</si>
  <si>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</si>
  <si>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</si>
  <si>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</si>
  <si>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</si>
  <si>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</si>
  <si>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</si>
  <si>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</si>
  <si>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</si>
  <si>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</si>
  <si>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</si>
  <si>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</si>
  <si>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</si>
  <si>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</si>
  <si>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</si>
  <si>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</si>
  <si>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</si>
  <si>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</si>
  <si>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</si>
  <si>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</si>
  <si>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</si>
  <si>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</si>
  <si>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</si>
  <si>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</si>
  <si>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</si>
  <si>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</si>
  <si>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</si>
  <si>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</si>
  <si>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</si>
  <si>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</si>
  <si>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</si>
  <si>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</si>
  <si>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</si>
  <si>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</si>
  <si>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</si>
  <si>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</si>
  <si>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</si>
  <si>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</si>
  <si>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</si>
  <si>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</si>
  <si>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</si>
  <si>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</si>
  <si>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</si>
  <si>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</si>
  <si>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</si>
  <si>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</si>
  <si>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</si>
  <si>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</si>
  <si>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</si>
  <si>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</si>
  <si>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</si>
  <si>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</si>
  <si>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</si>
  <si>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</si>
  <si>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</si>
  <si>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</si>
  <si>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</si>
  <si>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</si>
  <si>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</si>
  <si>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</si>
  <si>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</si>
  <si>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</si>
  <si>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</si>
  <si>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</si>
  <si>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</si>
  <si>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</si>
  <si>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</si>
  <si>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</si>
  <si>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</si>
  <si>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</si>
  <si>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</si>
  <si>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</si>
  <si>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</si>
  <si>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</si>
  <si>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</si>
  <si>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</si>
  <si>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</si>
  <si>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</si>
  <si>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</si>
  <si>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</si>
  <si>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</si>
  <si>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</si>
  <si>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</si>
  <si>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</si>
  <si>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</si>
  <si>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</si>
  <si>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</si>
  <si>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</si>
  <si>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</si>
  <si>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</si>
  <si>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</si>
  <si>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</si>
  <si>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</si>
  <si>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</si>
  <si>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</si>
  <si>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</si>
  <si>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</si>
  <si>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</si>
  <si>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</si>
  <si>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</si>
  <si>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</si>
  <si>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</si>
  <si>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</si>
  <si>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</si>
  <si>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</si>
  <si>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</si>
  <si>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</si>
  <si>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</si>
  <si>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</si>
  <si>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</si>
  <si>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</si>
  <si>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</si>
  <si>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</si>
  <si>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</si>
  <si>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</si>
  <si>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</si>
  <si>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</si>
  <si>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</si>
  <si>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</si>
  <si>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</si>
  <si>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</si>
  <si>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</si>
  <si>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</si>
  <si>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</si>
  <si>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</si>
  <si>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</si>
  <si>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</si>
  <si>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</si>
  <si>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</si>
  <si>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</si>
  <si>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</si>
  <si>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</si>
  <si>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</si>
  <si>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</si>
  <si>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</si>
  <si>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</si>
  <si>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</si>
  <si>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</si>
  <si>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</si>
  <si>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</si>
  <si>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</si>
  <si>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</si>
  <si>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</si>
  <si>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</si>
  <si>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</si>
  <si>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</si>
  <si>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</si>
  <si>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</si>
  <si>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</si>
  <si>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</si>
  <si>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</si>
  <si>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</si>
  <si>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</si>
  <si>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</si>
  <si>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</si>
  <si>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</si>
  <si>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</si>
  <si>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</si>
  <si>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</si>
  <si>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</si>
  <si>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</si>
  <si>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</si>
  <si>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</si>
  <si>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</si>
  <si>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</si>
  <si>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</si>
  <si>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</si>
  <si>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</si>
  <si>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</si>
  <si>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</si>
  <si>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</si>
  <si>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</si>
  <si>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</si>
  <si>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</si>
  <si>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</si>
  <si>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</si>
  <si>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</si>
  <si>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</si>
  <si>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</si>
  <si>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</si>
  <si>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</si>
  <si>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</si>
  <si>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</si>
  <si>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</si>
  <si>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</si>
  <si>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</si>
  <si>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</si>
  <si>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</si>
  <si>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</si>
  <si>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</si>
  <si>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</si>
  <si>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</si>
  <si>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</si>
  <si>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</si>
  <si>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</si>
  <si>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</si>
  <si>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</si>
  <si>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</si>
  <si>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</si>
  <si>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</si>
  <si>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</si>
  <si>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</si>
  <si>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</si>
  <si>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</si>
  <si>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</si>
  <si>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</si>
  <si>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</si>
  <si>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</si>
  <si>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</si>
  <si>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</si>
  <si>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</si>
  <si>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</si>
  <si>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</si>
  <si>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</si>
  <si>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</si>
  <si>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</si>
  <si>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</si>
  <si>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</si>
  <si>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</si>
  <si>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</si>
  <si>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</si>
  <si>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</si>
  <si>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</si>
  <si>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</si>
  <si>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</si>
  <si>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</si>
  <si>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</si>
  <si>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</si>
  <si>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</si>
  <si>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</si>
  <si>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</si>
  <si>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</si>
  <si>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</si>
  <si>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</si>
  <si>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</si>
  <si>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</si>
  <si>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</si>
  <si>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</si>
  <si>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</si>
  <si>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</si>
  <si>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</si>
  <si>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</si>
  <si>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</si>
  <si>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</si>
  <si>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</si>
  <si>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</si>
  <si>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</si>
  <si>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</si>
  <si>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</si>
  <si>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</si>
  <si>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</si>
  <si>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</si>
  <si>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</si>
  <si>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</si>
  <si>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</si>
  <si>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</si>
  <si>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</si>
  <si>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</si>
  <si>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</si>
  <si>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</si>
  <si>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</si>
  <si>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</si>
  <si>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</si>
  <si>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</si>
  <si>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</si>
  <si>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</si>
  <si>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</si>
  <si>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</si>
  <si>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</si>
  <si>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</si>
  <si>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</si>
  <si>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</si>
  <si>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</si>
  <si>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</si>
  <si>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</si>
  <si>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</si>
  <si>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</si>
  <si>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</si>
  <si>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</si>
  <si>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</si>
  <si>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</si>
  <si>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</si>
  <si>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</si>
  <si>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</si>
  <si>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</si>
  <si>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</si>
  <si>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</si>
  <si>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</si>
  <si>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</si>
  <si>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</si>
  <si>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</si>
  <si>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</si>
  <si>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</si>
  <si>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</si>
  <si>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</si>
  <si>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</si>
  <si>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</si>
  <si>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</si>
  <si>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</si>
  <si>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</si>
  <si>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</si>
  <si>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</si>
  <si>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</si>
  <si>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</si>
  <si>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</si>
  <si>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</si>
  <si>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</si>
  <si>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</si>
  <si>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</si>
  <si>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</si>
  <si>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</si>
  <si>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</si>
  <si>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</si>
  <si>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</si>
  <si>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</si>
  <si>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</si>
  <si>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</si>
  <si>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</si>
  <si>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</si>
  <si>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</si>
  <si>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</si>
  <si>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</si>
  <si>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</si>
  <si>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</si>
  <si>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</si>
  <si>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</si>
  <si>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</si>
  <si>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</si>
  <si>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</si>
  <si>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</si>
  <si>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</si>
  <si>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</si>
  <si>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</si>
  <si>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</si>
  <si>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</si>
  <si>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</si>
  <si>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</si>
  <si>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</si>
  <si>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</si>
  <si>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</si>
  <si>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</si>
  <si>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</si>
  <si>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</si>
  <si>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</si>
  <si>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</si>
  <si>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</si>
  <si>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</si>
  <si>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</si>
  <si>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</si>
  <si>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</si>
  <si>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</si>
  <si>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</si>
  <si>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</si>
  <si>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</si>
  <si>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</si>
  <si>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</si>
  <si>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</si>
  <si>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</si>
  <si>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</si>
  <si>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</si>
  <si>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</si>
  <si>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</si>
  <si>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</si>
  <si>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</si>
  <si>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</si>
  <si>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</si>
  <si>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</si>
  <si>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</si>
  <si>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</si>
  <si>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</si>
  <si>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</si>
  <si>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</si>
  <si>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</si>
  <si>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</si>
  <si>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</si>
  <si>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</si>
  <si>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</si>
  <si>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</si>
  <si>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</si>
  <si>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</si>
  <si>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</si>
  <si>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</si>
  <si>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</si>
  <si>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</si>
  <si>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</si>
  <si>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</si>
  <si>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</si>
  <si>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</si>
  <si>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</si>
  <si>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</si>
  <si>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</si>
  <si>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</si>
  <si>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</si>
  <si>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</si>
  <si>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</si>
  <si>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</si>
  <si>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</si>
  <si>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</si>
  <si>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</si>
  <si>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</si>
  <si>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</si>
  <si>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</si>
  <si>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</si>
  <si>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</si>
  <si>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</si>
  <si>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</si>
  <si>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</si>
  <si>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</si>
  <si>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</si>
  <si>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</si>
  <si>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</si>
  <si>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</si>
  <si>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</si>
  <si>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</si>
  <si>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</si>
  <si>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</si>
  <si>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</si>
  <si>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</si>
  <si>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</si>
  <si>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</si>
  <si>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</si>
  <si>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</si>
  <si>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</si>
  <si>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</si>
  <si>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</si>
  <si>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</si>
  <si>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</si>
  <si>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</si>
  <si>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</si>
  <si>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</si>
  <si>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</si>
  <si>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</si>
  <si>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</si>
  <si>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</si>
  <si>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</si>
  <si>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</si>
  <si>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</si>
  <si>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</si>
  <si>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</si>
  <si>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</si>
  <si>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</si>
  <si>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</si>
  <si>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</si>
  <si>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</si>
  <si>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</si>
  <si>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</si>
  <si>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</si>
  <si>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</si>
  <si>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</si>
  <si>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</si>
  <si>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</si>
  <si>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</si>
  <si>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</si>
  <si>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</si>
  <si>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</si>
  <si>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</si>
  <si>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</si>
  <si>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</si>
  <si>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</si>
  <si>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</si>
  <si>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</si>
  <si>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</si>
  <si>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</si>
  <si>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</si>
  <si>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</si>
  <si>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</si>
  <si>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</si>
  <si>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</si>
  <si>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</si>
  <si>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</si>
  <si>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</si>
  <si>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</si>
  <si>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</si>
  <si>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</si>
  <si>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</si>
  <si>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</si>
  <si>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</si>
  <si>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</si>
  <si>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</si>
  <si>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</si>
  <si>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</si>
  <si>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</si>
  <si>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</si>
  <si>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</si>
  <si>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</si>
  <si>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</si>
  <si>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</si>
  <si>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</si>
  <si>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</si>
  <si>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</si>
  <si>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</si>
  <si>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</si>
  <si>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</si>
  <si>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</si>
  <si>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</si>
  <si>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</si>
  <si>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</si>
  <si>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</si>
  <si>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</si>
  <si>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</si>
  <si>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</si>
  <si>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</si>
  <si>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</si>
  <si>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</si>
  <si>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</si>
  <si>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</si>
  <si>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</si>
  <si>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</si>
  <si>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</si>
  <si>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</si>
  <si>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</si>
  <si>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</si>
  <si>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</si>
  <si>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</si>
  <si>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</si>
  <si>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</si>
  <si>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</si>
  <si>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</si>
  <si>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</si>
  <si>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</si>
  <si>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</si>
  <si>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</si>
  <si>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</si>
  <si>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</si>
  <si>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</si>
  <si>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</si>
  <si>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</si>
  <si>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</si>
  <si>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</si>
  <si>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</si>
  <si>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</si>
  <si>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</si>
  <si>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</si>
  <si>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</si>
  <si>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</si>
  <si>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</si>
  <si>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</si>
  <si>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</si>
  <si>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</si>
  <si>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</si>
  <si>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</si>
  <si>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</si>
  <si>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</si>
  <si>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</si>
  <si>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</si>
  <si>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</si>
  <si>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</si>
  <si>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</si>
  <si>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</si>
  <si>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</si>
  <si>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</si>
  <si>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</si>
  <si>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Z225</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</si>
  <si>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</si>
  <si>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</si>
  <si>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</si>
  <si>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</si>
  <si>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</si>
  <si>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</si>
  <si>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</si>
  <si>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</si>
  <si>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</si>
  <si>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</si>
  <si>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</si>
  <si>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</si>
  <si>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</si>
  <si>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</si>
  <si>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</si>
  <si>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</si>
  <si>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</si>
  <si>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</si>
  <si>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</si>
  <si>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</si>
  <si>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</si>
  <si>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</si>
  <si>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</si>
  <si>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</si>
  <si>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</si>
  <si>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</si>
  <si>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</si>
  <si>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</si>
  <si>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</si>
  <si>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</si>
  <si>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</si>
  <si>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</si>
  <si>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</si>
  <si>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</si>
  <si>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</si>
  <si>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</si>
  <si>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</si>
  <si>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</si>
  <si>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</si>
  <si>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</si>
  <si>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</si>
  <si>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</si>
  <si>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</si>
  <si>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</si>
  <si>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</si>
  <si>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</si>
  <si>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</si>
  <si>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</si>
  <si>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</si>
  <si>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</si>
  <si>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</si>
  <si>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</si>
  <si>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</si>
  <si>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</si>
  <si>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</si>
  <si>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</si>
  <si>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</si>
  <si>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</si>
  <si>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</si>
  <si>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</si>
  <si>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</si>
  <si>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</si>
  <si>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</si>
  <si>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</si>
  <si>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</si>
  <si>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</si>
  <si>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</si>
  <si>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</si>
  <si>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</si>
  <si>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</si>
  <si>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</si>
  <si>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</si>
  <si>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</si>
  <si>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</si>
  <si>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</si>
  <si>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</si>
  <si>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</si>
  <si>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</si>
  <si>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</si>
  <si>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</si>
  <si>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</si>
  <si>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</si>
  <si>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</si>
  <si>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</si>
  <si>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</si>
  <si>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</si>
  <si>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</si>
  <si>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</si>
  <si>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</si>
  <si>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</si>
  <si>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</si>
  <si>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</si>
  <si>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</si>
  <si>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</si>
  <si>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</si>
  <si>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</si>
  <si>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</si>
  <si>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</si>
  <si>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</si>
  <si>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</si>
  <si>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</si>
  <si>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</si>
  <si>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</si>
  <si>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</si>
  <si>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</si>
  <si>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</si>
  <si>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</si>
  <si>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</si>
  <si>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</si>
  <si>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</si>
  <si>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</si>
  <si>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</si>
  <si>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</si>
  <si>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</si>
  <si>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</si>
  <si>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</si>
  <si>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</si>
  <si>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</si>
  <si>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</si>
  <si>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</si>
  <si>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</si>
  <si>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</si>
  <si>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</si>
  <si>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</si>
  <si>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</si>
  <si>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</si>
  <si>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</si>
  <si>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</si>
  <si>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</si>
  <si>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</si>
  <si>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</si>
  <si>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</si>
  <si>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</si>
  <si>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</si>
  <si>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</si>
  <si>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</si>
  <si>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</si>
  <si>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</si>
  <si>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</si>
  <si>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</si>
  <si>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</si>
  <si>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</si>
  <si>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</si>
  <si>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</si>
  <si>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</si>
  <si>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</si>
  <si>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</si>
  <si>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</si>
  <si>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</si>
  <si>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</si>
  <si>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</si>
  <si>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</si>
  <si>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</si>
  <si>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</si>
  <si>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</si>
  <si>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</si>
  <si>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</si>
  <si>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</si>
  <si>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</si>
  <si>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</si>
  <si>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</si>
  <si>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</si>
  <si>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</si>
  <si>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</si>
  <si>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</si>
  <si>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</si>
  <si>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</si>
  <si>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</si>
  <si>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</si>
  <si>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</si>
  <si>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</si>
  <si>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</si>
  <si>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</si>
  <si>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</si>
  <si>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</si>
  <si>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</si>
  <si>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</si>
  <si>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</si>
  <si>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</si>
  <si>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</si>
  <si>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</si>
  <si>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</si>
  <si>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</si>
  <si>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</si>
  <si>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</si>
  <si>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</si>
  <si>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</si>
  <si>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</si>
  <si>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</si>
  <si>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</si>
  <si>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</si>
  <si>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</si>
  <si>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</si>
  <si>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</si>
  <si>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</si>
  <si>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</si>
  <si>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</si>
  <si>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</si>
  <si>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</si>
  <si>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</si>
  <si>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</si>
  <si>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</si>
  <si>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</si>
  <si>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</si>
  <si>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</si>
  <si>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</si>
  <si>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</si>
  <si>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</si>
  <si>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</si>
  <si>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</si>
  <si>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</si>
  <si>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</si>
  <si>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</si>
  <si>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</si>
  <si>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</si>
  <si>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</si>
  <si>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</si>
  <si>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</si>
  <si>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</si>
  <si>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</si>
  <si>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</si>
  <si>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</si>
  <si>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</si>
  <si>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</si>
  <si>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</si>
  <si>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</si>
  <si>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</si>
  <si>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</si>
  <si>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</si>
  <si>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</si>
  <si>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</si>
  <si>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</si>
  <si>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</si>
  <si>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</si>
  <si>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</si>
  <si>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</si>
  <si>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</si>
  <si>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</si>
  <si>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</si>
  <si>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</si>
  <si>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</si>
  <si>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</si>
  <si>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</si>
  <si>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</si>
  <si>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</si>
  <si>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</si>
  <si>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</si>
  <si>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</si>
  <si>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</si>
  <si>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</si>
  <si>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</si>
  <si>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</si>
  <si>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</si>
  <si>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</si>
  <si>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</si>
  <si>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</si>
  <si>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</si>
  <si>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</si>
  <si>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</si>
  <si>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</si>
  <si>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</si>
  <si>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</si>
  <si>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</si>
  <si>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</si>
  <si>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</si>
  <si>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</si>
  <si>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</si>
  <si>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</si>
  <si>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</si>
  <si>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</si>
  <si>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</si>
  <si>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</si>
  <si>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</si>
  <si>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</si>
  <si>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</si>
  <si>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</si>
  <si>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</si>
  <si>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</si>
  <si>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</si>
  <si>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</si>
  <si>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</si>
  <si>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</si>
  <si>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</si>
  <si>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</si>
  <si>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</si>
  <si>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</si>
  <si>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</si>
  <si>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</si>
  <si>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</si>
  <si>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</si>
  <si>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</si>
  <si>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</si>
  <si>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</si>
  <si>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</si>
  <si>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</si>
  <si>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</si>
  <si>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</si>
  <si>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</si>
  <si>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</si>
  <si>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</si>
  <si>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</si>
  <si>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</si>
  <si>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</si>
  <si>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</si>
  <si>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</si>
  <si>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</si>
  <si>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</si>
  <si>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</si>
  <si>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</si>
  <si>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</si>
  <si>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</si>
  <si>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</si>
  <si>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</si>
  <si>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</si>
  <si>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</si>
  <si>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</si>
  <si>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</si>
  <si>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</si>
  <si>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</si>
  <si>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</si>
  <si>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</si>
  <si>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</si>
  <si>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</si>
  <si>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</si>
  <si>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</si>
  <si>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</si>
  <si>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</si>
  <si>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</si>
  <si>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</si>
  <si>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</si>
  <si>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</si>
  <si>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</si>
  <si>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</si>
  <si>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</si>
  <si>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</si>
  <si>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</si>
  <si>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</si>
  <si>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</si>
  <si>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</si>
  <si>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</si>
  <si>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</si>
  <si>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</si>
  <si>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</si>
  <si>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</si>
  <si>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</si>
  <si>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</si>
  <si>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</si>
  <si>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</si>
  <si>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</si>
  <si>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</si>
  <si>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</si>
  <si>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</si>
  <si>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</si>
  <si>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</si>
  <si>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</si>
  <si>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</si>
  <si>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</si>
  <si>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</si>
  <si>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</si>
  <si>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</si>
  <si>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</si>
  <si>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</si>
  <si>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</si>
  <si>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</si>
  <si>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</si>
  <si>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</si>
  <si>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</si>
  <si>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</si>
  <si>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</si>
  <si>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</si>
  <si>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</si>
  <si>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</si>
  <si>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</si>
  <si>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</si>
  <si>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</si>
  <si>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</si>
  <si>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</si>
  <si>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</si>
  <si>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</si>
  <si>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</si>
  <si>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</si>
  <si>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</si>
  <si>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</si>
  <si>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</si>
  <si>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</si>
  <si>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</si>
  <si>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</si>
  <si>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</si>
  <si>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</si>
  <si>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</si>
  <si>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</si>
  <si>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</si>
  <si>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</si>
  <si>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</si>
  <si>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</si>
  <si>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</si>
  <si>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</si>
  <si>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</si>
  <si>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</si>
  <si>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</si>
  <si>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</si>
  <si>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</si>
  <si>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</si>
  <si>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</si>
  <si>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</si>
  <si>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</si>
  <si>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</si>
  <si>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</si>
  <si>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</si>
  <si>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</si>
  <si>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</si>
  <si>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</si>
  <si>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</si>
  <si>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</si>
  <si>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</si>
  <si>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</si>
  <si>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</si>
  <si>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</si>
  <si>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</si>
  <si>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</si>
  <si>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</si>
  <si>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</si>
  <si>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</si>
  <si>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</si>
  <si>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</si>
  <si>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</si>
  <si>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</si>
  <si>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</si>
  <si>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</si>
  <si>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</si>
  <si>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</si>
  <si>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</si>
  <si>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</si>
  <si>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</si>
  <si>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</si>
  <si>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</si>
  <si>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</si>
  <si>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</si>
  <si>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</si>
  <si>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</si>
  <si>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</si>
  <si>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</si>
  <si>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</si>
  <si>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</si>
  <si>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</si>
  <si>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</si>
  <si>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</si>
  <si>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</si>
  <si>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</si>
  <si>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</si>
  <si>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</si>
  <si>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</si>
  <si>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</si>
  <si>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</si>
  <si>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</si>
  <si>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</si>
  <si>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</si>
  <si>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</si>
  <si>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</si>
  <si>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</si>
  <si>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</si>
  <si>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</si>
  <si>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</si>
  <si>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</si>
  <si>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</si>
  <si>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</si>
  <si>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</si>
  <si>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</si>
  <si>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</si>
  <si>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</si>
  <si>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</si>
  <si>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</si>
  <si>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</si>
  <si>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</si>
  <si>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</si>
  <si>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</si>
  <si>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</si>
  <si>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</si>
  <si>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</si>
  <si>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</si>
  <si>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</si>
  <si>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</si>
  <si>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</si>
  <si>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</si>
  <si>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</si>
  <si>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</si>
  <si>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</si>
  <si>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</si>
  <si>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</si>
  <si>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</si>
  <si>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</si>
  <si>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</si>
  <si>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</si>
  <si>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</si>
  <si>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</si>
  <si>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</si>
  <si>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</si>
  <si>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</si>
  <si>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</si>
  <si>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</si>
  <si>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</si>
  <si>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</si>
  <si>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</si>
  <si>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</si>
  <si>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</si>
  <si>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</si>
  <si>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</si>
  <si>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</si>
  <si>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</si>
  <si>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</si>
  <si>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</si>
  <si>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</si>
  <si>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</si>
  <si>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</si>
  <si>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</si>
  <si>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Z998</t>
  </si>
  <si>
    <t>Z999</t>
  </si>
  <si>
    <t>PRORROGA</t>
  </si>
  <si>
    <t>NEOPLASIAS - OTRAS</t>
  </si>
  <si>
    <t>ENFERMEDADES DE LA SANGRE Y DE LOS ÓRGANOS HEMATOPOYÉTICOS Y OTROS TRASTORNOS QUE AFECTAN EL MECANISMO DE LA INMUNIDAD</t>
  </si>
  <si>
    <t>ENFERMEDADES ENDOCRINAS, NUTRICIONALES Y METABÓLICAS</t>
  </si>
  <si>
    <t>TRASTORNOS MENTALES Y DEL COMPORTAMIENTO</t>
  </si>
  <si>
    <t>ENFERMEDADES DEL SISTEMA NERVIOSO</t>
  </si>
  <si>
    <t>ENFERMEDADES DEL OJO Y SUS ANEXOS</t>
  </si>
  <si>
    <t>ENFERMEDADES DEL OÍDO Y DE LA APÓFISIS MASTOIDES</t>
  </si>
  <si>
    <t>ENFERMEDADES DEL SISTEMA CIRCULATORIO</t>
  </si>
  <si>
    <t>ENFERMEDADES DEL SISTEMA RESPIRATORIO</t>
  </si>
  <si>
    <t>ENFERMEDADES DEL APARATO DIGESTIVO</t>
  </si>
  <si>
    <t>ENFERMEDADES DE LA PIEL Y EL TEJIDO SUBCUTÁNEO</t>
  </si>
  <si>
    <t>ENFERMEDADES DEL SISTEMA OSTEOMUSCULAR Y DEL TEJIDO CONECTIVO</t>
  </si>
  <si>
    <t>ENFERMEDADES DEL APARATO GENITOURINARIO</t>
  </si>
  <si>
    <t>EMBARAZO, PARTO Y PUERPERIO</t>
  </si>
  <si>
    <t>CIERTAS AFECCIONES ORIGINADAS EN EL PERIODO PERINATAL</t>
  </si>
  <si>
    <t>MALFORMACIONES CONGÉNITAS, DEFORMIDADES Y ANOMALÍAS CROMOSÓMICAS</t>
  </si>
  <si>
    <t>SÍNTOMAS, SIGNOS Y HALLAZGOS ANORMALES CLÍNICOS Y DE LABORATORIO, NO CLASIFICADOS EN OTRA PARTE</t>
  </si>
  <si>
    <t>TRAUMATISMOS, ENVENENAMIENTOS Y ALGUNAS OTRAS CONSECUENCIAS DE CAUSA EXTERNA</t>
  </si>
  <si>
    <t>CAUSAS EXTREMAS DE MORBILIDAD Y DE MORTALIDAD</t>
  </si>
  <si>
    <t>FACTORES QUE INFLUYEN EN EL ESTADO DE SALUD Y CONTACTO CON LOS SERVICIOS DE SALUD</t>
  </si>
  <si>
    <t>DÍAS DE INCAPACIDAD</t>
  </si>
  <si>
    <t>CÓDIGO DIAGNOSTICO</t>
  </si>
  <si>
    <t>SALARIO BASE</t>
  </si>
  <si>
    <t>COSTOS ASUMIDOS A.T.</t>
  </si>
  <si>
    <t xml:space="preserve">DESCRIPCIÓN CATEGORIAS </t>
  </si>
  <si>
    <t xml:space="preserve"> DIGITACION REALIZADA POR EL DANE, PARA USO DE LOS DIFERENTES USUARIOS DEL PAIS. ESTA VERSION PUEDE PRESENTAR ERRORES DE DIGITACION, EN CASO DE QUE USTED LO(S) DETECTE, POR FAVOR COMUNICARSE CON EL GRUPO DE ESTADISTICAS VITALES DEL DANE EN BOGOTA.</t>
  </si>
  <si>
    <t>DESCRIPCIÓN DE LA CATEGORÍA DE LA CONDICIÓN DE SALUD</t>
  </si>
  <si>
    <t>CIERTAS ENFERMEDADES INFECCIOSAS Y PARASITARIAS</t>
  </si>
  <si>
    <t>COSTOS ASUMIDOS A.C. - E.G.</t>
  </si>
  <si>
    <t>Dx</t>
  </si>
  <si>
    <t>Diagnóstico</t>
  </si>
  <si>
    <t>CodGr</t>
  </si>
  <si>
    <t>CodSubgr</t>
  </si>
  <si>
    <t>COLERA DEBIDO A VIBRIO CHOLERAE O1, BIOTIPO CHOLERAE</t>
  </si>
  <si>
    <t>COLERA DEBIDO A VIBRIO CHOLERAE O1, BIOTIPO EL TOR</t>
  </si>
  <si>
    <t>FIEBRE TIFOIDEA</t>
  </si>
  <si>
    <t>FIEBRE PARATIFOIDEA A</t>
  </si>
  <si>
    <t>FIEBRE PARATIFOIDEA B</t>
  </si>
  <si>
    <t>FIEBRE PARATIFOIDEA C</t>
  </si>
  <si>
    <t>FIEBRE PARATIFOIDEA, NO ESPECIFICADA</t>
  </si>
  <si>
    <t>ENTERITIS DEBIDA A SALMONELLA</t>
  </si>
  <si>
    <t>SEPTICEMIA DEBIDA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</si>
  <si>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</si>
  <si>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</si>
  <si>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</si>
  <si>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</si>
  <si>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</si>
  <si>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</si>
  <si>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</si>
  <si>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INFECCION DEBIDA A ESCHERICHIA COLI ENTEROPATOGENA</t>
  </si>
  <si>
    <t>INFECCION DEBIDA A ESCHERICHIA COLI ENTEROTOXIGENA</t>
  </si>
  <si>
    <t>INFECCION DEBIDA A ESCHERICHIA COLI ENTEROINVASIVA</t>
  </si>
  <si>
    <t>INFECCION DEBIDA A ESCHERICHIA COLI ENTEROHEMORRAGICA</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</si>
  <si>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</si>
  <si>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</si>
  <si>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</si>
  <si>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</si>
  <si>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</si>
  <si>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INFECCION INTESTINAL BACTERIANA, NO ESPECIFICADA</t>
  </si>
  <si>
    <t>INTOXICACION ALIMENTARIA ESTAFILOCOCICA</t>
  </si>
  <si>
    <t>BOTULISMO</t>
  </si>
  <si>
    <t>INTOXICACION ALIMENTARIA DEBIDA A VIBRIO PARAHAEMOLYTICUS</t>
  </si>
  <si>
    <t>INTOXICACION ALIMENTARIA DEBIDA A BACILLUS CEREUS</t>
  </si>
  <si>
    <t>OTRAS INTOXICACIONES ALIMENTARIAS DEBIDAS A BACTERIAS ESPECIFICADAS</t>
  </si>
  <si>
    <t>INTOXICACION ALIMENTARIA BACTERIANA, NO ESPECIFICADA</t>
  </si>
  <si>
    <t>DISENTERIA AMEBIANA AGUDA</t>
  </si>
  <si>
    <t>AMEBIASIS INTESTINAL CRONICA</t>
  </si>
  <si>
    <t>COLITIS AMEBIANA NO DISENTERICA</t>
  </si>
  <si>
    <t>AMEBOMA INTESTINAL</t>
  </si>
  <si>
    <t>ABSCESO AMEBIANO DEL HIGADO</t>
  </si>
  <si>
    <t>ABSCESO AMEBIANO DEL PULMON (J99.8*)</t>
  </si>
  <si>
    <t>ABSCESO AMEBIANO DEL CEREBRO (G07*)</t>
  </si>
  <si>
    <t>AMEBIASIS CUTANEA</t>
  </si>
  <si>
    <t>INFECCION AMEBIANA DE OTRAS LOCALIZACIONES</t>
  </si>
  <si>
    <t>AMEBIASIS, NO ESPECIFICADA</t>
  </si>
  <si>
    <t>BALANTIDIASIS</t>
  </si>
  <si>
    <t>CRIPTOSPORIDIOSIS</t>
  </si>
  <si>
    <t>ISOSPORIASIS</t>
  </si>
  <si>
    <t>OTRAS ENFERMEDADES INTESTINALES ESPECIFICADAS DEBIDAS A PROTOZOARIOS</t>
  </si>
  <si>
    <t>ENFERMEDAD INTESTINAL DEBIDA A PROTOZOARIOS, NO ESPECIFICADA</t>
  </si>
  <si>
    <t>ENTERITIS DEBIDA A ROTAVIRUS</t>
  </si>
  <si>
    <t>GASTROENTEROPATIA AGUDA DEBIDA AL AGENTE DE NORWALK</t>
  </si>
  <si>
    <t>ENTERITIS DEBIDA A ADENOVIRUS</t>
  </si>
  <si>
    <t>OTRAS ENTERITIS VIRALES</t>
  </si>
  <si>
    <t>INFECCION INTESTINAL VIRAL, SIN OTRA ESPECIFICACION</t>
  </si>
  <si>
    <t>OTRAS INFECCIONES INTESTINALES ESPECIFICADAS</t>
  </si>
  <si>
    <t>DIARREA Y GASTROENTERITIS DE PRESUNTO ORIGEN INFECCIOSO</t>
  </si>
  <si>
    <t>TUBERCULOSIS DEL PULMON, CONFIRMADA UNICAMENTE POR CULTIVO</t>
  </si>
  <si>
    <t>TUBERCULOSIS DEL PULMON, CONFIRMADA HISTOLOGICAMENTE</t>
  </si>
  <si>
    <t>PLEURESIA TUBERCULOSA, CONFIRMADA BACTERIOLOGICA E HISTOLOGICAMENTE</t>
  </si>
  <si>
    <t>TUBERCULOSIS DEL PULMON, SIN EXAMEN BACTERIOLOGICO E HISTOLOGICO</t>
  </si>
  <si>
    <t>OTRAS TUBERCULOSIS RESPIRATORIAS, SIN MENCION DE CONFIRMACION</t>
  </si>
  <si>
    <t>MENINGITIS TUBERCULOSA (G01*)</t>
  </si>
  <si>
    <t>TUBERCULOMA MENINGEO (G07*)</t>
  </si>
  <si>
    <t>OTRAS TUBERCULOSIS DEL SISTEMA NERVIOSO</t>
  </si>
  <si>
    <t>TUBERCULOSIS DEL SISTEMA NERVIOSO, NO ESPECIFICADA (G99.8*)</t>
  </si>
  <si>
    <t>TUBERCULOSIS DE HUESOS Y ARTICULACIONES</t>
  </si>
  <si>
    <t>TUBERCULOSIS DEL APARATO GENITOURINARIO</t>
  </si>
  <si>
    <t>LINFADENOPATIA PERIFERICA TUBERCULOSA</t>
  </si>
  <si>
    <t>TUBERCULOSIS DE LA PIEL Y EL TEJIDO SUBCUTANEO</t>
  </si>
  <si>
    <t>TUBERCULOSIS DEL OJO</t>
  </si>
  <si>
    <t>TUBERCULOSIS DEL OIDO</t>
  </si>
  <si>
    <t>TUBERCULOSIS DE GLANDULAS SUPRARRENALES (E35.1*)</t>
  </si>
  <si>
    <t>TUBERCULOSIS DE OTROS ORGANOS ESPECIFICADOS</t>
  </si>
  <si>
    <t>TUBERCULOSIS MILIAR AGUDA DE UN SOLO SITIO ESPECIFICADO</t>
  </si>
  <si>
    <t>TUBERCULOSIS MILIAR AGUDA DE SITIOS MULTIPLES</t>
  </si>
  <si>
    <t>TUBERCULOSIS MILIAR AGUDA, NO ESPECIFICADA</t>
  </si>
  <si>
    <t>OTRAS TUBERCULOSIS MILIARES</t>
  </si>
  <si>
    <t>TUBERCULOSIS MILIAR, SIN OTRA ESPECIFICACION</t>
  </si>
  <si>
    <t>PESTE BUBONICA</t>
  </si>
  <si>
    <t>PESTE CELULOCUTANEA</t>
  </si>
  <si>
    <t>PESTE NEUMONICA</t>
  </si>
  <si>
    <t>MENINGITIS POR PESTE</t>
  </si>
  <si>
    <t>PESTE SEPTICEMICA</t>
  </si>
  <si>
    <t>OTRAS FORMAS DE PESTE</t>
  </si>
  <si>
    <t>PESTE, NO ESPECIFICADA</t>
  </si>
  <si>
    <t>TULAREMIA ULCEROGLANDULAR</t>
  </si>
  <si>
    <t>TULAREMIA OCULOGLANDULAR</t>
  </si>
  <si>
    <t>TULAREMIA PULMONAR</t>
  </si>
  <si>
    <t>TULAREMIA GASTROINTESTINAL</t>
  </si>
  <si>
    <t>TULAREMIA GENERALIZADA</t>
  </si>
  <si>
    <t>OTRAS FORMAS DE TULAREMIA</t>
  </si>
  <si>
    <t>CARBUNCO CUTANEO</t>
  </si>
  <si>
    <t>CARBUNCO PULMONAR</t>
  </si>
  <si>
    <t>CARBUNCO GASTROINTESTINAL</t>
  </si>
  <si>
    <t>CARBUNCO SEPTICEMICO</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</si>
  <si>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</si>
  <si>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</si>
  <si>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</si>
  <si>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</si>
  <si>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</si>
  <si>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</si>
  <si>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</si>
  <si>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</si>
  <si>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</si>
  <si>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</si>
  <si>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MELIOIDOSIS SUBAGUDA Y CRONICA</t>
  </si>
  <si>
    <t>OTRAS MELIOIDOSIS</t>
  </si>
  <si>
    <t>ESPIRILOSIS</t>
  </si>
  <si>
    <t>ESTREPTOBACILOSIS</t>
  </si>
  <si>
    <t>FIEBRE POR MORDEDURA DE RATA, NO ESPECIFICADA</t>
  </si>
  <si>
    <t>ERISIPELOIDE CUTANEO</t>
  </si>
  <si>
    <t>SEPTICEMIA POR ERYSIPELOTHRIX</t>
  </si>
  <si>
    <t>OTRAS FORMAS DE ERISIPELOIDE</t>
  </si>
  <si>
    <t>ERISIPELOIDE, NO ESPECIFICADA</t>
  </si>
  <si>
    <t>LEPTOSPIROSIS ICTEROHEMORRAGICA</t>
  </si>
  <si>
    <t>OTRAS FORMAS DE LEPTOSPIROSIS</t>
  </si>
  <si>
    <t>LEPTOSPIROSIS, NO ESPECIFICADA</t>
  </si>
  <si>
    <t>PASTEURELOSIS</t>
  </si>
  <si>
    <t>ENFERMEDAD POR RASGUÑO DE GATO</t>
  </si>
  <si>
    <t>YERSINIOSIS EXTRAINTESTINAL</t>
  </si>
  <si>
    <t>ENFERMEDAD ZOONOTICA BACTERIANA, SIN OTRA ESPECIFICACION</t>
  </si>
  <si>
    <t>LEPRA INDETERMINADA</t>
  </si>
  <si>
    <t>LEPRA TUBERCULOIDE</t>
  </si>
  <si>
    <t>LEPRA TUBERCULOIDE LIMITROFE</t>
  </si>
  <si>
    <t>LEPRA LIMITROFE</t>
  </si>
  <si>
    <t>LEPRA LEPROMATOSA LIMITROFE</t>
  </si>
  <si>
    <t>LEPRA LEPROMATOSA</t>
  </si>
  <si>
    <t>OTRAS FORMAS DE LEPRA</t>
  </si>
  <si>
    <t>LEPRA, NO ESPECIFICADA</t>
  </si>
  <si>
    <t>INFECCIONES POR MICOBACTERIAS PULMONARES</t>
  </si>
  <si>
    <t>INFECCION CUTANEA POR MICOBACTERIAS</t>
  </si>
  <si>
    <t>OTRAS INFECCIONES POR MICOBACTERIAS</t>
  </si>
  <si>
    <t>INFECCION POR MICOBACTERIA, NO ESPECIFICADA</t>
  </si>
  <si>
    <t>LISTERIOSIS CUTANEA</t>
  </si>
  <si>
    <t>MENINGITIS Y MENINGOENCEFALITIS LISTERIANA</t>
  </si>
  <si>
    <t>SEPTICEMIA LISTERIANA</t>
  </si>
  <si>
    <t>OTRAS FORMAS DE LISTERIOSIS</t>
  </si>
  <si>
    <t>LISTERIOSIS, NO ESPECIFICADA</t>
  </si>
  <si>
    <t>TETANOS NEONATAL</t>
  </si>
  <si>
    <t>TETANOS OBSTETRICO</t>
  </si>
  <si>
    <t>OTROS TETANOS</t>
  </si>
  <si>
    <t>DIFTERIA FARINGEA</t>
  </si>
  <si>
    <t>DIFTERIA NASOFARINGEA</t>
  </si>
  <si>
    <t>DIFTERIA LARINGEA</t>
  </si>
  <si>
    <t>DIFTERIA CUTANEA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</si>
  <si>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</si>
  <si>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</si>
  <si>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</si>
  <si>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</si>
  <si>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</si>
  <si>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</si>
  <si>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</si>
  <si>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MENINGITIS MENINGOCOCICA (G01*)</t>
  </si>
  <si>
    <t>SINDROME DE WATERHOUSE-FRIDERICHSEN (E35.1*)</t>
  </si>
  <si>
    <t>MENINGOCOCEMIA AGUDA</t>
  </si>
  <si>
    <t>MENINGOCOCEMIA CRONICA</t>
  </si>
  <si>
    <t>MENINGOCOCEMIA, NO ESPECIFICADA</t>
  </si>
  <si>
    <t>ENFERMEDAD CARDIACA DEBIDA A MENINGOCOCO</t>
  </si>
  <si>
    <t>OTRAS INFECCIONES MENINGOCOCICAS</t>
  </si>
  <si>
    <t>INFECCION MENINGOCOCICA, NO ESPECIFICADA</t>
  </si>
  <si>
    <t>SEPTICEMIA DEBIDA A ESTREPTOCOCO, GRUPO A</t>
  </si>
  <si>
    <t>SEPTICEMIA DEBIDA A ESTREPTOCOCO, GRUPO B</t>
  </si>
  <si>
    <t>SEPTICEMIA DEBIDA A ESTREPTOCOCO, GRUPO D</t>
  </si>
  <si>
    <t>SEPTICEMIA DEBIDA A STREPTOCOCCUS PNEUMONIAE</t>
  </si>
  <si>
    <t>OTRAS SEPTICEMIAS ESTREPTOCOCICAS</t>
  </si>
  <si>
    <t>SEPTICEMIA ESTREPTOCOCICA, NO ESPECIFICADA</t>
  </si>
  <si>
    <t>SEPTICEMIA DEBIDA A OTRO ESTAFILOCOCO ESPECIFICADO</t>
  </si>
  <si>
    <t>SEPTICEMIA DEBIDA A ESTAFILOCOCO NO ESPECIFICADO</t>
  </si>
  <si>
    <t>SEPTICEMIA DEBIDA A HAEMOPHILUS INFLUENZAE</t>
  </si>
  <si>
    <t>SEPTICEMIA DEBIDA A ANAEROBIOS</t>
  </si>
  <si>
    <t>SEPTICEMIA DEBIDA A OTROS ORGANISMOS GRAMNEGATIVOS</t>
  </si>
  <si>
    <t>OTRAS SEPTICEMIAS ESPECIFICADAS</t>
  </si>
  <si>
    <t>SEPTICEMIA, NO ESPECIFICADA</t>
  </si>
  <si>
    <t>ACTINOMICOSIS PULMONAR</t>
  </si>
  <si>
    <t>ACTINOMICOSIS ABDOMINAL</t>
  </si>
  <si>
    <t>ACTINOMICOSIS CERVICOFACIAL</t>
  </si>
  <si>
    <t>SEPTICEMIA ACTINOMICOTICA</t>
  </si>
  <si>
    <t>OTRAS FORMAS DE ACTINOMICOSIS</t>
  </si>
  <si>
    <t>ACTINOMICOSIS, SIN OTRA ESPECIFICACION</t>
  </si>
  <si>
    <t>NOCARDIOSIS PULMONAR</t>
  </si>
  <si>
    <t>NOCARDIOSIS CUTANEA</t>
  </si>
  <si>
    <t>OTRAS FORMAS DE NOCARDIOSIS</t>
  </si>
  <si>
    <t>BARTONELOSIS SISTEMICA</t>
  </si>
  <si>
    <t>BARTONELOSIS CUTANEA Y MUCOCUTANEA</t>
  </si>
  <si>
    <t>OTRAS FORMAS DE BARTONELOSIS</t>
  </si>
  <si>
    <t>BARTONELOSIS, NO ESPECIFICADA</t>
  </si>
  <si>
    <t>ERISIPELA</t>
  </si>
  <si>
    <t>GANGRENA GASEOSA</t>
  </si>
  <si>
    <t>ENFERMEDAD DE LOS LEGIONARIOS</t>
  </si>
  <si>
    <t>FIEBRE PURPURICA BRASILEÑA</t>
  </si>
  <si>
    <t>OTRAS ENFERMEDADES BACTERIANAS ESPECIFICADAS</t>
  </si>
  <si>
    <t>INFECCION ESTREPTOCOCICA, SIN OTRA ESPECIFICACION</t>
  </si>
  <si>
    <t>INFECCION POR HAEMOPHILUS INFLUENZAE, SIN OTRA ESPECIFICACION</t>
  </si>
  <si>
    <t>INFECCION POR MICOPLASMA, SIN OTRA ESPECIFICACION</t>
  </si>
  <si>
    <t>OTRAS INFECCIONES BACTERIANAS DE SITIO NO ESPECIFICADO</t>
  </si>
  <si>
    <t>INFECCION BACTERIANA, NO ESPECIFICADA</t>
  </si>
  <si>
    <t>SIFILIS CONGENITA PRECOZ, SINTOMATICA</t>
  </si>
  <si>
    <t>SIFILIS CONGENITA PRECOZ, LATENTE</t>
  </si>
  <si>
    <t>OCULOPATIA SIFILITICA CONGENITA TARDIA</t>
  </si>
  <si>
    <t>OTRAS FORMAS DE SIFILIS CONGENITA TARDIA, SINTOMATICA</t>
  </si>
  <si>
    <t>SIFILIS CONGENITA TARDIA, LATENTE</t>
  </si>
  <si>
    <t>SIFILIS CONGENITA TARDIA, SIN OTRA ESPECIFICACION</t>
  </si>
  <si>
    <t>SIFILIS GENITAL PRIMARIA</t>
  </si>
  <si>
    <t>SIFILIS PRIMARIA ANAL</t>
  </si>
  <si>
    <t>SIFILIS PRIMARIA EN OTROS SITIOS</t>
  </si>
  <si>
    <t>SIFILIS SECUNDARIA DE PIEL Y MEMBRANAS MUCOSAS</t>
  </si>
  <si>
    <t>OTRAS SIFILIS SECUNDARIAS</t>
  </si>
  <si>
    <t>SIFILIS PRECOZ, LATENTE</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</si>
  <si>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</si>
  <si>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</si>
  <si>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</si>
  <si>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</si>
  <si>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</si>
  <si>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</si>
  <si>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</si>
  <si>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</si>
  <si>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</si>
  <si>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OJO</t>
  </si>
  <si>
    <t>INFECCION GONOCOCICA DEL SISTEMA OSTEOMUSCULAR</t>
  </si>
  <si>
    <t>FARINGITIS GONOCOCICA</t>
  </si>
  <si>
    <t>INFECCION GONOCOCICA DEL ANO Y DEL RECTO</t>
  </si>
  <si>
    <t>OTRAS INFECCIONES GONOCOCICAS</t>
  </si>
  <si>
    <t>LINFOGRANULOMA (VENEREO) POR CLAMIDIAS</t>
  </si>
  <si>
    <t>INFECCION DEL TRACTO GENITOURINARIO INFERIOR DEBIDA A CLAMIDIAS</t>
  </si>
  <si>
    <t>INFECCION DEL ANO Y DEL RECTO DEBIDA A CLAMIDIAS</t>
  </si>
  <si>
    <t>INFECCION DE FARINGE DEBIDA A CLAMIDIAS</t>
  </si>
  <si>
    <t>CHANCRO BLANDO</t>
  </si>
  <si>
    <t>GRANULOMA INGUINAL</t>
  </si>
  <si>
    <t>TRICOMONIASIS UROGENITAL</t>
  </si>
  <si>
    <t>TRICOMONIASIS DE OTROS SITIOS</t>
  </si>
  <si>
    <t>TRICOMONIASIS, NO ESPECIFICADA</t>
  </si>
  <si>
    <t>INFECCION DE LA PIEL PERIANAL Y RECTO POR VIRUS DEL HERPES SIMPLE</t>
  </si>
  <si>
    <t>VERRUGAS (VENEREAS) ANOGENITALES</t>
  </si>
  <si>
    <t>ENFERMEDAD DE TRANSMISION SEXUAL NO ESPECIFICADA</t>
  </si>
  <si>
    <t>SIFILIS NO VENEREA</t>
  </si>
  <si>
    <t>LESIONES INICIALES DE FRAMBESIA</t>
  </si>
  <si>
    <t>LESIONES PAPILOMATOSAS MULTIPLES Y FRAMBESIA CON PASO DE CANGREJO</t>
  </si>
  <si>
    <t>OTRAS LESIONES PRECOCES DE LA PIEL EN LA FRAMBESIA</t>
  </si>
  <si>
    <t>HIPERQUERATOSIS DE FRAMBESIA</t>
  </si>
  <si>
    <t>GOMA Y ULCERAS DE FRAMBESIA</t>
  </si>
  <si>
    <t>GANGOSA</t>
  </si>
  <si>
    <t>LESIONES FRAMBESICAS DE LOS HUESOS Y DE LAS ARTICULACIONES</t>
  </si>
  <si>
    <t>OTRAS MANIFESTACIONES DE FRAMBESIA</t>
  </si>
  <si>
    <t>FRAMBESIA LATENTE</t>
  </si>
  <si>
    <t>LESIONES PRIMARIAS DE LA PINTA</t>
  </si>
  <si>
    <t>LESIONES INTERMEDIAS DE LA PINTA</t>
  </si>
  <si>
    <t>LESIONES TARDIAS DE LA PINTA</t>
  </si>
  <si>
    <t>LESIONES MIXTAS DE LA PINTA</t>
  </si>
  <si>
    <t>PINTA, NO ESPECIFICADA</t>
  </si>
  <si>
    <t>FIEBRE RECURRENTE TRANSMITIDA POR PIOJOS</t>
  </si>
  <si>
    <t>FIEBRE RECURRENTE TRANSMITIDA POR GARRAPATAS</t>
  </si>
  <si>
    <t>FIEBRE RECURRENTE, NO ESPECIFICADA</t>
  </si>
  <si>
    <t>ESTOMATITIS ULCERATIVA NECROTIZANTE</t>
  </si>
  <si>
    <t>ENFERMEDAD DE LYME</t>
  </si>
  <si>
    <t>OTRAS INFECCIONES ESPECIFICADAS POR ESPIROQUETAS</t>
  </si>
  <si>
    <t>INFECCION POR ESPIROQUETA, NO ESPECIFICADA</t>
  </si>
  <si>
    <t>INFECCION DEBIDA A CHLAMYDIA PSITTACI</t>
  </si>
  <si>
    <t>ESTADO INICIAL DE TRACOMA</t>
  </si>
  <si>
    <t>ESTADO ACTIVO DE TRACOMA</t>
  </si>
  <si>
    <t>TRACOMA, NO ESPECIFICADO</t>
  </si>
  <si>
    <t>CONJUNTIVITIS POR CLAMIDIAS (H13.1*)</t>
  </si>
  <si>
    <t>OTRAS ENFERMEDADES POR CLAMIDIAS</t>
  </si>
  <si>
    <t>INFECCION POR CLAMIDIAS, NO ESPECIFICADA</t>
  </si>
  <si>
    <t>TIFUS EPIDEMICO DEBIDO A RICKETTSIA PROWAZEKII TRANSMITIDO POR PIOJOS</t>
  </si>
  <si>
    <t>TIFUS DEBIDO A RICKETTSIA TYPHI</t>
  </si>
  <si>
    <t>TIFUS DEBIDO A RICKETTSIA TSUTSUGAMUSHI</t>
  </si>
  <si>
    <t>TIFUS, NO ESPECIFICADO</t>
  </si>
  <si>
    <t>OTRAS FIEBRES MACULOSAS</t>
  </si>
  <si>
    <t>FIEBRE MACULOSA, NO ESPECIFICADA</t>
  </si>
  <si>
    <t>FIEBRE Q</t>
  </si>
  <si>
    <t>FIEBRE DE LAS TRINCHERAS</t>
  </si>
  <si>
    <t>RICKETTSIOSIS PUSTULOSA DEBIDA A RICKETTSIA AKARI</t>
  </si>
  <si>
    <t>OTRAS RICKETTSIOSIS ESPECIFICADAS</t>
  </si>
  <si>
    <t>RICKETTSIOSIS, NO ESPECIFICADA</t>
  </si>
  <si>
    <t>POLIOMIELITIS AGUDA PARALITICA, ASOCIADA A VACUNA</t>
  </si>
  <si>
    <t>POLIOMIELITIS AGUDA PARALITICA DEBIDA A VIRUS SALVAJE IMPORTADO</t>
  </si>
  <si>
    <t>POLIOMIELITIS AGUDA PARALITICA DEBIDA A VIRUS SALVAJE AUTOCTONO</t>
  </si>
  <si>
    <t>POLIOMIELITIS AGUDA NO PARALITICA</t>
  </si>
  <si>
    <t>ENFERMEDAD DE CREUTZFELDT-JAKOB</t>
  </si>
  <si>
    <t>PANENCEFALITIS ESCLEROSANTE SUBAGUDA</t>
  </si>
  <si>
    <t>LEUCOENCEFALOPATIA MULTIFOCAL PROGRESIVA</t>
  </si>
  <si>
    <t>RABIA SELVATICA</t>
  </si>
  <si>
    <t>RABIA URBANA</t>
  </si>
  <si>
    <t>RABIA, SIN OTRA ESPECIFICACION</t>
  </si>
  <si>
    <t>ENCEFALITIS JAPONESA</t>
  </si>
  <si>
    <t>ENCEFALITIS EQUINA DEL OESTE</t>
  </si>
  <si>
    <t>ENCEFALITIS EQUINA DEL ESTE</t>
  </si>
  <si>
    <t>ENCEFALITIS DE SAN LUIS</t>
  </si>
  <si>
    <t>ENCEFALITIS AUSTRALIANA</t>
  </si>
  <si>
    <t>ENCEFALITIS DE CALIFORNIA</t>
  </si>
  <si>
    <t>ENFERMEDAD POR VIRUS ROCIO</t>
  </si>
  <si>
    <t>OTRAS ENCEFALITIS VIRALES TRANSMITIDAS POR MOSQUITOS</t>
  </si>
  <si>
    <t>ENCEFALITIS VIRAL TRANSMITIDA POR MOSQUITOS, SIN OTRA ESPECIFICACION</t>
  </si>
  <si>
    <t>ENCEFALITIS CENTROEUROPEA TRANSMITIDA POR GARRAPATAS</t>
  </si>
  <si>
    <t>OTRAS ENCEFALITIS VIRALES TRANSMITIDAS POR GARRAPATAS</t>
  </si>
  <si>
    <t>ENCEFALITIS VIRAL TRANSMITIDA POR GARRAPATAS, SIN OTRA ESPECIFICACION</t>
  </si>
  <si>
    <t>ENCEFALITIS ENTEROVIRAL (G05.1*)</t>
  </si>
  <si>
    <t>ENCEFALITIS POR ADENOVIRUS (G05.1*)</t>
  </si>
  <si>
    <t>OTRAS ENCEFALITIS VIRALES ESPECIFICADAS</t>
  </si>
  <si>
    <t>ENCEFALITIS VIRAL, NO ESPECIFICADA</t>
  </si>
  <si>
    <t>MENINGITIS ENTEROVIRAL (G02.0*)</t>
  </si>
  <si>
    <t>MENINGITIS DEBIDA A ADENOVIRUS (G02.0*)</t>
  </si>
  <si>
    <t>CORIOMENINGITIS LINFOCITICA</t>
  </si>
  <si>
    <t>OTRAS MENINGITIS VIRALES</t>
  </si>
  <si>
    <t>MENINGITIS VIRAL, SIN OTRA ESPECIFICACION</t>
  </si>
  <si>
    <t>VERTIGO EPIDEMICO</t>
  </si>
  <si>
    <t>OTRAS INFECCIONES VIRALES ESPECIFICADAS DEL SISTEMA NERVIOSO CENTRAL</t>
  </si>
  <si>
    <t>INFECCION VIRAL DEL SISTEMA NERVIOSO CENTRAL, NO ESPECIFICADA</t>
  </si>
  <si>
    <t>FIEBRE DEL DENGUE HEMORRAGICO</t>
  </si>
  <si>
    <t>ENFERMEDAD POR VIRUS CHIKUNGUNYA</t>
  </si>
  <si>
    <t>FIEBRE EQUINA VENEZOLANA</t>
  </si>
  <si>
    <t>FIEBRE DEL OESTE DEL NILO</t>
  </si>
  <si>
    <t>FIEBRE DEL VALLE DEL RIFT</t>
  </si>
  <si>
    <t>OTRAS FIEBRES VIRALES ESPECIFICADAS TRANSMITIDAS POR MOSQUITOS</t>
  </si>
  <si>
    <t>FIEBRE VIRAL TRANSMITIDA POR MOSQUITO, SIN OTRA ESPECIFICACION</t>
  </si>
  <si>
    <t>ENFERMEDAD POR VIRUS DE OROPOUCHE</t>
  </si>
  <si>
    <t>FIEBRE TRANSMITIDA POR FLEBOTOMOS</t>
  </si>
  <si>
    <t>FIEBRE DE COLORADO TRANSMITIDA POR GARRAPATAS</t>
  </si>
  <si>
    <t>FIEBRE VIRAL TRANSMITIDA POR ARTROPODOS, NO ESPECIFICADA</t>
  </si>
  <si>
    <t>FIEBRE AMARILLA SELVATICA</t>
  </si>
  <si>
    <t>FIEBRE AMARILLA URBANA</t>
  </si>
  <si>
    <t>FIEBRE AMARILLA, NO ESPECIFICADA</t>
  </si>
  <si>
    <t>FIEBRE HEMORRAGICA DE JUNIN</t>
  </si>
  <si>
    <t>FIEBRE HEMORRAGICA DE MACHUPO</t>
  </si>
  <si>
    <t>FIEBRE DE LASSA</t>
  </si>
  <si>
    <t>OTRAS FIEBRES HEMORRAGICAS POR ARENAVIRUS</t>
  </si>
  <si>
    <t>FIEBRE HEMORRAGICA POR ARENAVIRUS, SIN OTRA ESPECIFICACION</t>
  </si>
  <si>
    <t>FIEBRE HEMORRAGICA DE CRIMEA-CONGO</t>
  </si>
  <si>
    <t>FIEBRE HEMORRAGICA DE OMSK</t>
  </si>
  <si>
    <t>ENFERMEDAD DE LA SELVA DE KYASANUR</t>
  </si>
  <si>
    <t>ENFERMEDAD POR EL VIRUS DE MARBURG</t>
  </si>
  <si>
    <t>ENFERMEDAD POR EL VIRUS DE EBOLA</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</si>
  <si>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</si>
  <si>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</si>
  <si>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</si>
  <si>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</si>
  <si>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</si>
  <si>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</si>
  <si>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 (G02.0*)</t>
  </si>
  <si>
    <t>ENCEFALITIS HERPETICA (G05.1*)</t>
  </si>
  <si>
    <t>OCULOPATIA HERPETICA</t>
  </si>
  <si>
    <t>ENFERMEDAD HERPETICA DISEMINADA</t>
  </si>
  <si>
    <t>OTRAS FORMAS DE INFECCIONES HERPETICAS</t>
  </si>
  <si>
    <t>VARICELA CON OTRAS COMPLICACIONES</t>
  </si>
  <si>
    <t>VARICELA SIN COMPLICACIONES</t>
  </si>
  <si>
    <t>ENCEFALITIS DEBIDA A HERPES ZOSTER (G05.1*)</t>
  </si>
  <si>
    <t>MENINGITIS DEBIDA A HERPES ZOSTER (G02.0*)</t>
  </si>
  <si>
    <t>HERPES ZOSTER CON OTROS COMPROMISOS DEL SISTEMA NERVIOSO</t>
  </si>
  <si>
    <t>HERPES ZOSTER OCULAR</t>
  </si>
  <si>
    <t>HERPES ZOSTER DISEMINADO</t>
  </si>
  <si>
    <t>HERPES ZOSTER CON OTRAS COMPLICACIONES</t>
  </si>
  <si>
    <t>HERPES ZOSTER SIN COMPLICACIONES</t>
  </si>
  <si>
    <t>VIRUELA</t>
  </si>
  <si>
    <t>VIRUELA DE LOS MONOS</t>
  </si>
  <si>
    <t>SARAMPION COMPLICADO CON ENCEFALITIS (G05.1*)</t>
  </si>
  <si>
    <t>SARAMPION COMPLICADO CON MENINGITIS (G02.0*)</t>
  </si>
  <si>
    <t>SARAMPION COMPLICADO CON NEUMONIA (J17.1*)</t>
  </si>
  <si>
    <t>SARAMPION COMPLICADO CON OTITIS MEDIA (H67.1*)</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</si>
  <si>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</si>
  <si>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</si>
  <si>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</si>
  <si>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</si>
  <si>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</si>
  <si>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</si>
  <si>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</si>
  <si>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OTRAS INFECCIONES DEBIDAS A ORTOPOXVIRUS</t>
  </si>
  <si>
    <t>MOLUSCO CONTAGIOSO</t>
  </si>
  <si>
    <t>ESTOMATITIS VESICULAR ENTEROVIRAL CON EXANTEMA</t>
  </si>
  <si>
    <t>FARINGITIS VESICULAR ENTEROVIRICA</t>
  </si>
  <si>
    <t>HEPATITIS AGUDA TIPO A, CON COMA HEPATICO</t>
  </si>
  <si>
    <t>HEPATITIS AGUDA TIPO A, SIN COMA HEPATICO</t>
  </si>
  <si>
    <t>HEPATITIS AGUDA TIPO B, SIN AGENTE DELTA, CON COMA HEPATICO</t>
  </si>
  <si>
    <t>HEPATITIS AGUDA TIPO B, SIN AGENTE DELTA Y SIN COMA HEPATICO</t>
  </si>
  <si>
    <t>HEPATITIS AGUDA TIPO C</t>
  </si>
  <si>
    <t>HEPATITIS AGUDA TIPO E</t>
  </si>
  <si>
    <t>OTRAS HEPATITIS VIRALES AGUDAS ESPECIFICADAS</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</si>
  <si>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</si>
  <si>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</si>
  <si>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</si>
  <si>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</si>
  <si>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</si>
  <si>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t>
  </si>
  <si>
    <t>HEPATITIS VIRAL NO ESPECIFICADA SIN COMA</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</si>
  <si>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</si>
  <si>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</si>
  <si>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</si>
  <si>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</si>
  <si>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NEUMONIA POR PNEUMOCYSTIS CARINII</t>
  </si>
  <si>
    <t>ENFERMEDAD POR VIH, RESULTANTE EN INFECCIONES MULTIPLES</t>
  </si>
  <si>
    <t>ENFERMEDAD POR VIH, RESULTANTE EN SARCOMA DE KAPOSI</t>
  </si>
  <si>
    <t>ENFERMEDAD POR VIH, RESULTANTE EN LINFOMA DE BURKITT</t>
  </si>
  <si>
    <t>ENFERMEDAD POR VIH, RESULTANTE EN OTROS TIPOS DE LINFOMA NO HODGKIN</t>
  </si>
  <si>
    <t>ENFERMEDAD POR VIH, RESULTANTE EN TUMORES MALIGNOS MULTIPLES</t>
  </si>
  <si>
    <t>ENFERMEDAD POR VIH, RESULTANTE EN OTROS TUMORES MALIGNOS</t>
  </si>
  <si>
    <t>ENFERMEDAD POR VIH, RESULTANTE EN TUMORES MALIGNOS NO ESPECIFICADOS</t>
  </si>
  <si>
    <t>ENFERMEDAD POR VIH, RESULTANTE EN ENCEFALOPATIA</t>
  </si>
  <si>
    <t>ENFERMEDAD POR VIH, RESULTANTE EN NEUMONITIS LINFOIDE INTERSTICIAL</t>
  </si>
  <si>
    <t>ENFERMEDAD POR VIH, RESULTANTE EN SINDROME CAQUECTICO</t>
  </si>
  <si>
    <t>SINDROME DE INFECCION AGUDA DEBIDA A VIH</t>
  </si>
  <si>
    <t>ENFERMEDAD POR VIH, RESULTANTE EN OTRAS AFECCIONES ESPECIFICADAS</t>
  </si>
  <si>
    <t>NEUMONITIS DEBIDA A VIRUS CITOMEGALICO (J17.1*)</t>
  </si>
  <si>
    <t>OTRAS ENFERMEDADES DEBIDAS A VIRUS CITOMEGALICO</t>
  </si>
  <si>
    <t>ENFERMEDAD POR VIRUS CITOMEGALICO, NO ESPECIFICADA</t>
  </si>
  <si>
    <t>ORQUITIS POR PAROTIDITIS (N51.1*)</t>
  </si>
  <si>
    <t>MENINGITIS POR PAROTIDITIS (G02.0*)</t>
  </si>
  <si>
    <t>ENCEFALITIS POR PAROTIDITIS (G05.1*)</t>
  </si>
  <si>
    <t>PANCREATITIS POR PAROTIDITIS (K87.1*)</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</si>
  <si>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</si>
  <si>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</si>
  <si>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</si>
  <si>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</si>
  <si>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</si>
  <si>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</si>
  <si>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 (H19.2*)</t>
  </si>
  <si>
    <t>CONJUNTIVITIS DEBIDA A ADENOVIRUS (H13.1*)</t>
  </si>
  <si>
    <t>FARINGOCONJUNTIVITIS VIRAL</t>
  </si>
  <si>
    <t>CONJUNTIVITIS EPIDEMICA AGUDA HEMORRAGICA (ENTEROVIRICA) (H13.1*)</t>
  </si>
  <si>
    <t>OTRAS CONJUNTIVITIS VIRALES (H13.1*)</t>
  </si>
  <si>
    <t>CONJUNTIVITIS VIRAL, SIN OTRA ESPECIFICACION</t>
  </si>
  <si>
    <t>MIALGIA EPIDEMICA</t>
  </si>
  <si>
    <t>ENFERMEDAD DEL RIO ROSS</t>
  </si>
  <si>
    <t>CARDITIS VIRAL</t>
  </si>
  <si>
    <t>INFECCIONES DEBIDAS A RETROVIRUS, NO CLASIFICADAS EN OTRA PARTE</t>
  </si>
  <si>
    <t>OTRAS ENFERMEDADES VIRALES ESPECIFICADAS</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</si>
  <si>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</si>
  <si>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</si>
  <si>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</si>
  <si>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</si>
  <si>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</si>
  <si>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OTRAS INFECCIONES VIRALES DE SITIO NO ESPECIFICADO</t>
  </si>
  <si>
    <t>INFECCION VIRAL, NO ESPECIFICADA</t>
  </si>
  <si>
    <t>TIÑA DE LA BARBA Y DEL CUERO CABELLUDO</t>
  </si>
  <si>
    <t>TIÑA DE LAS UÑAS</t>
  </si>
  <si>
    <t>TIÑA DE LA MANO</t>
  </si>
  <si>
    <t>OTRAS DERMATOFITOSIS</t>
  </si>
  <si>
    <t>DERMATOFITOSIS, NO ESPECIFICADA</t>
  </si>
  <si>
    <t>PITIRIASIS VERSICOLOR</t>
  </si>
  <si>
    <t>TIÑA NEGRA</t>
  </si>
  <si>
    <t>PIEDRA BLANCA</t>
  </si>
  <si>
    <t>PIEDRA NEGRA</t>
  </si>
  <si>
    <t>OTRAS MICOSIS SUPERFICIALES ESPECIFICADAS</t>
  </si>
  <si>
    <t>MICOSIS SUPERFICIAL, SIN OTRA ESPECIFICACION</t>
  </si>
  <si>
    <t>ESTOMATITIS CANDIDIASICA</t>
  </si>
  <si>
    <t>CANDIDIASIS PULMONAR</t>
  </si>
  <si>
    <t>CANDIDIASIS DE LA VULVA Y DE LA VAGINA (N77.1*)</t>
  </si>
  <si>
    <t>CANDIDIASIS DE OTRAS LOCALIZACIONES UROGENITALES</t>
  </si>
  <si>
    <t>MENINGITIS DEBIDA A CANDIDA (G02.1*)</t>
  </si>
  <si>
    <t>ENDOCARDITIS DEBIDA A CANDIDA (I39.8*)</t>
  </si>
  <si>
    <t>SEPTICEMIA DEBIDA A CANDIDA</t>
  </si>
  <si>
    <t>CANDIDIASIS DE OTROS SITIOS</t>
  </si>
  <si>
    <t>CANDIDIASIS, NO ESPECIFICADA</t>
  </si>
  <si>
    <t>COCCIDIOIDOMICOSIS PULMONAR AGUDA</t>
  </si>
  <si>
    <t>COCCIDIOIDOMICOSIS PULMONAR CRONICA</t>
  </si>
  <si>
    <t>COCCIDIOIDOMICOSIS PULMONAR, SIN OTRA ESPECIFICACION</t>
  </si>
  <si>
    <t>COCCIDIOIDOMICOSIS CUTANEA</t>
  </si>
  <si>
    <t>MENINGITIS DEBIDA A COCCIDIOIDOMICOSIS (G02.1*)</t>
  </si>
  <si>
    <t>COCCIDIOIDOMICOSIS DISEMINADA</t>
  </si>
  <si>
    <t>OTRAS FORMAS DE COCCIDIOIDOMICOSIS</t>
  </si>
  <si>
    <t>COCCIDIOIDOMICOSIS, NO ESPECIFICADA</t>
  </si>
  <si>
    <t>INFECCION PULMONAR AGUDA DEBIDA A HISTOPLASMA CAPSULATUM</t>
  </si>
  <si>
    <t>INFECCION PULMONAR CRONICA DEBIDA A HISTOPLASMA CAPSULATUM</t>
  </si>
  <si>
    <t>INFECCION DISEMINADA DEBIDA A HISTOPLASMA CAPSULATUM</t>
  </si>
  <si>
    <t>INFECCION DEBIDA A HISTOPLASMA DUBOISII</t>
  </si>
  <si>
    <t>HISTOPLASMOSIS, NO ESPECIFICADA</t>
  </si>
  <si>
    <t>BLASTOMICOSIS PULMONAR AGUDA</t>
  </si>
  <si>
    <t>BLASTOMICOSIS PULMONAR CRONICA</t>
  </si>
  <si>
    <t>BLASTOMICOSIS PULMONAR, SIN OTRA ESPECIFICACION</t>
  </si>
  <si>
    <t>BLASTOMICOSIS CUTANEA</t>
  </si>
  <si>
    <t>BLASTOMICOSIS DISEMINADA</t>
  </si>
  <si>
    <t>OTRAS FORMAS DE BLASTOMICOSIS</t>
  </si>
  <si>
    <t>BLASTOMICOSIS, NO ESPECIFICADA</t>
  </si>
  <si>
    <t>PARACOCCIDIOIDOMICOSIS PULMONAR</t>
  </si>
  <si>
    <t>PARACOCCIDIOIDOMICOSIS DISEMINADA</t>
  </si>
  <si>
    <t>PARACOCCIDIOIDOMICOSIS, NO ESPECIFICADA</t>
  </si>
  <si>
    <t>ESPOROTRICOSIS PULMONAR (J99.8*)</t>
  </si>
  <si>
    <t>ESPOROTRICOSIS LINFOCUTANEA</t>
  </si>
  <si>
    <t>ESPOROTRICOSIS DISEMINADA</t>
  </si>
  <si>
    <t>OTRAS FORMAS DE ESPOROTRICOSIS</t>
  </si>
  <si>
    <t>ESPOROTRICOSIS, NO ESPECIFICADA</t>
  </si>
  <si>
    <t>CROMOMICOSIS CUTANEA</t>
  </si>
  <si>
    <t>ABSCESO CEREBRAL FEOMICOTICO</t>
  </si>
  <si>
    <t>ABSCESO Y QUISTE SUBCUTANEO FEOMICOTICO</t>
  </si>
  <si>
    <t>OTRAS FORMAS DE CROMOMICOSIS</t>
  </si>
  <si>
    <t>CROMOMICOSIS, 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</si>
  <si>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</si>
  <si>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</si>
  <si>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</si>
  <si>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</si>
  <si>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</si>
  <si>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</si>
  <si>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</si>
  <si>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</si>
  <si>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CUTANEA</t>
  </si>
  <si>
    <t>CRIPTOCOCOSIS OSEA</t>
  </si>
  <si>
    <t>CRIPTOCOCOSIS DISEMINADA</t>
  </si>
  <si>
    <t>OTRAS FORMAS DE CRIPTOCOCOSIS</t>
  </si>
  <si>
    <t>CRIPTOCOCOSIS, NO ESPECIFICADA</t>
  </si>
  <si>
    <t>MUCORMICOSIS PULMONAR</t>
  </si>
  <si>
    <t>MUCORMICOSIS RINOCEREBRAL</t>
  </si>
  <si>
    <t>MUCORMICOSIS GASTROINTESTINAL</t>
  </si>
  <si>
    <t>MUCORMICOSIS CUTANEA</t>
  </si>
  <si>
    <t>MUCORMICOSIS DISEMINADA</t>
  </si>
  <si>
    <t>MUCORMICOSIS, SIN OTRA ESPECIFICACION</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</si>
  <si>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</si>
  <si>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</si>
  <si>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</si>
  <si>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</si>
  <si>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</si>
  <si>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</si>
  <si>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</si>
  <si>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</si>
  <si>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</si>
  <si>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</si>
  <si>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</si>
  <si>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</si>
  <si>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</si>
  <si>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</si>
  <si>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</si>
  <si>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FALCIPARUM, SIN OTRA ESPECIFICACION</t>
  </si>
  <si>
    <t>PALUDISMO DEBIDO A PLASMODIUM VIVAX CON RUPTURA ESPLENICA</t>
  </si>
  <si>
    <t>PALUDISMO DEBIDO A PLASMODIUM VIVAX CON OTRAS COMPLICACIONES</t>
  </si>
  <si>
    <t>PALUDISMO DEBIDO A PLASMODIUM VIVAX, SIN COMPLICACIONES</t>
  </si>
  <si>
    <t>PALUDISMO DEBIDO A PLASMODIUM MALARIAE CON NEFROPATIA</t>
  </si>
  <si>
    <t>PALUDISMO DEBIDO A PLASMODIUM MALARIAE CON OTRAS COMPLICACIONES</t>
  </si>
  <si>
    <t>PALUDISMO DEBIDO A PLASMODIUM MALARIAE, SIN COMPLICACIONES</t>
  </si>
  <si>
    <t>PALUDISMO DEBIDO A PLASMODIOS DE LOS SIMIOS</t>
  </si>
  <si>
    <t>LEISHMANIASIS CUTANEA</t>
  </si>
  <si>
    <t>LEISHMANIASIS MUCOCUTANEA</t>
  </si>
  <si>
    <t>LEISHMANIASIS, NO ESPECIFICADA</t>
  </si>
  <si>
    <t>TRIPANOSOMIASIS GAMBIENSE</t>
  </si>
  <si>
    <t>TRIPANOSOMIASIS RHODESIENSE</t>
  </si>
  <si>
    <t>ENFERMEDAD DE CHAGAS AGUDA QUE NO AFECTA AL CORAZON</t>
  </si>
  <si>
    <t>ENFERMEDAD DE CHAGAS (CRONICA) QUE AFECTA AL SISTEMA DIGESTIVO</t>
  </si>
  <si>
    <t>ENFERMEDAD DE CHAGAS (CRONICA) QUE AFECTA AL SISTEMA NERVIOSO</t>
  </si>
  <si>
    <t>ENFERMEDAD DE CHAGAS (CRONICA) QUE AFECTA OTROS ORGANOS</t>
  </si>
  <si>
    <t>OCULOPATIA DEBIDA A TOXOPLASMA</t>
  </si>
  <si>
    <t>HEPATITIS DEBIDA A TOXOPLASMA (K77.0*)</t>
  </si>
  <si>
    <t>MENINGOENCEFALITIS DEBIDA A TOXOPLASMA (G05.2*)</t>
  </si>
  <si>
    <t>TOXOPLASMOSIS PULMONAR (J17.3*)</t>
  </si>
  <si>
    <t>TOXOPLASMOSIS CON OTRO ORGANO AFECTADO</t>
  </si>
  <si>
    <t>TOXOPLASMOSIS, NO ESPECIFICADA</t>
  </si>
  <si>
    <t>BABESIOSIS</t>
  </si>
  <si>
    <t>ACANTAMEBIASIS</t>
  </si>
  <si>
    <t>NAEGLERIASIS</t>
  </si>
  <si>
    <t>OTRAS ENFERMEDADES ESPECIFICADAS DEBIDAS A PROTOZARIOS</t>
  </si>
  <si>
    <t>ENFERMEDAD DEBIDA A PROTOZOARIOS, NO ESPECIFICADA</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</si>
  <si>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</si>
  <si>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</si>
  <si>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</si>
  <si>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</si>
  <si>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</si>
  <si>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</si>
  <si>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</si>
  <si>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</si>
  <si>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</si>
  <si>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</si>
  <si>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</si>
  <si>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INFECCION DEBIDA A TREMATODOS, NO ESPECIFICADA</t>
  </si>
  <si>
    <t>INFECCION DEL HIGADO DEBIDA A ECHINOCOCCUS GRANULOSUS</t>
  </si>
  <si>
    <t>INFECCION DEL PULMON DEBIDA A ECHINOCOCCUS GRANULOSUS</t>
  </si>
  <si>
    <t>INFECCION DE HUESO DEBIDA A ECHINOCOCCUS GRANULOSUS</t>
  </si>
  <si>
    <t>INFECCION DEBIDA A ECHINOCOCCUS GRANULOSUS, SIN OTRA ESPECIFICACION</t>
  </si>
  <si>
    <t>INFECCION DEL HIGADO DEBIDA A ECHINOCOCCUS MULTILOCULARIS</t>
  </si>
  <si>
    <t>EQUINOCOCOSIS DEL HIGADO, NO ESPECIFICADA</t>
  </si>
  <si>
    <t>EQUINOCOCOSIS, OTRA Y LA NO ESPECIFICADA</t>
  </si>
  <si>
    <t>TENIASIS DEBIDA A TAENIA SOLIUM</t>
  </si>
  <si>
    <t>INFECCION DEBIDA A TAENIA SAGINATA</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</si>
  <si>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</si>
  <si>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</si>
  <si>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</si>
  <si>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</si>
  <si>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</si>
  <si>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</si>
  <si>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</si>
  <si>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</si>
  <si>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</si>
  <si>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INFECCION DEBIDA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</si>
  <si>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</si>
  <si>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</si>
  <si>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</si>
  <si>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</si>
  <si>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</si>
  <si>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</si>
  <si>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</si>
  <si>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</si>
  <si>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</si>
  <si>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</si>
  <si>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</si>
  <si>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</si>
  <si>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</si>
  <si>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</si>
  <si>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</si>
  <si>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</si>
  <si>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</si>
  <si>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</si>
  <si>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CUTANEA</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</si>
  <si>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</si>
  <si>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</si>
  <si>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</si>
  <si>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</si>
  <si>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</si>
  <si>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</si>
  <si>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</si>
  <si>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</si>
  <si>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</si>
  <si>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</si>
  <si>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HELMINTIASIS INTESTINAL, SIN OTRA ESPECIFICACION</t>
  </si>
  <si>
    <t>PARASITOSIS INTESTINAL, SIN OTRA ESPECIFICACION</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</si>
  <si>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</si>
  <si>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</si>
  <si>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</si>
  <si>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</si>
  <si>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</si>
  <si>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</si>
  <si>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</si>
  <si>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</si>
  <si>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</si>
  <si>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PEDICULOSIS, SIN OTRA ESPECIFICACION</t>
  </si>
  <si>
    <t>PHTHIRIASIS</t>
  </si>
  <si>
    <t>PEDICULOSIS Y PHTHIRIASIS MIXTAS</t>
  </si>
  <si>
    <t>ESCABIOSIS</t>
  </si>
  <si>
    <t>MIASIS CUTANEA</t>
  </si>
  <si>
    <t>MIASIS EN HERIDAS</t>
  </si>
  <si>
    <t>MIASIS OCULAR</t>
  </si>
  <si>
    <t>MIASIS NASOFARINGEA</t>
  </si>
  <si>
    <t>MIASIS AURAL</t>
  </si>
  <si>
    <t>MIASIS DE OTROS SITIOS</t>
  </si>
  <si>
    <t>MIASIS, NO ESPECIFICADA</t>
  </si>
  <si>
    <t>OTRAS ACARIASIS</t>
  </si>
  <si>
    <t>OTRAS INFESTACIONES DEBIDAS A ARTROPODOS</t>
  </si>
  <si>
    <t>HIRUDINIASIS EXTERNA</t>
  </si>
  <si>
    <t>INFESTACION, NO ESPECIFICADA</t>
  </si>
  <si>
    <t>ENFERMEDAD PARASITARIA, NO ESPECIFICADA</t>
  </si>
  <si>
    <t>SECUELAS DE TUBERCULOSIS DEL SISTEMA NERVIOSO CENTRAL</t>
  </si>
  <si>
    <t>SECUELAS DE TUBERCULOSIS GENITOURINARIA</t>
  </si>
  <si>
    <t>SECUELAS DE TUBERCULOSIS DE HUESOS Y ARTICULACIONES</t>
  </si>
  <si>
    <t>SECUELAS DE TUBERCULOSIS DE OTROS ORGANOS ESPECIFICADOS</t>
  </si>
  <si>
    <t>SECUELAS DE POLIOMIELITIS</t>
  </si>
  <si>
    <t>SECUELAS DE LEPRA</t>
  </si>
  <si>
    <t>SECUELAS DE TRACOMA</t>
  </si>
  <si>
    <t>SECUELAS DE ENCEFALITIS VIRAL</t>
  </si>
  <si>
    <t>SECUELAS DE HEPATITIS VIRAL</t>
  </si>
  <si>
    <t>SECUELAS DE ENFERMEDADES INFECCIOSAS Y PARASITARIAS NO ESPECIFICADAS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</si>
  <si>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</si>
  <si>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</si>
  <si>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</si>
  <si>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</si>
  <si>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REOVIRUS COMO CAUSA DE ENFERMEDADES CLASIFICADAS EN OTROS CAPITULOS</t>
  </si>
  <si>
    <t>PARVOVIRUS COMO CAUSA DE ENFERMEDADES CLASIFICADAS EN OTROS CAPITULOS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</si>
  <si>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</si>
  <si>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</si>
  <si>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</si>
  <si>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</si>
  <si>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</si>
  <si>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DEL LABIO, CARA INTERNA, SIN OTRA ESPECIFICACION</t>
  </si>
  <si>
    <t>TUMOR MALIGNO DE LA COMISURA LABIAL</t>
  </si>
  <si>
    <t>LESION DE SITIOS CONTIGUOS DEL LABIO</t>
  </si>
  <si>
    <t>TUMOR MALIGNO DEL LABIO, PARTE NO ESPECIFICADA</t>
  </si>
  <si>
    <t>TUMOR MALIGNO DE LA BASE DE LA LENGUA</t>
  </si>
  <si>
    <t>TUMOR MALIGNO DE LA CARA DORSAL DE LA LENGUA</t>
  </si>
  <si>
    <t>TUMOR MALIGNO DEL BORDE DE LA LENGUA</t>
  </si>
  <si>
    <t>TUMOR MALIGNO DE LA CARA VENTRAL DE LA LENGUA</t>
  </si>
  <si>
    <t>TUMOR MALIGNO DE LA AMIGDALA LINGUAL</t>
  </si>
  <si>
    <t>LESION DE SITIOS CONTIGUOS DE LA LENGUA</t>
  </si>
  <si>
    <t>TUMOR MALIGNO DE LA LENGUA, PARTE NO ESPECIFICADA</t>
  </si>
  <si>
    <t>TUMOR MALIGNO DE LA ENCIA SUPERIOR</t>
  </si>
  <si>
    <t>TUMOR MALIGNO DE LA ENCIA INFERIOR</t>
  </si>
  <si>
    <t>TUMOR MALIGNO DE LA ENCIA, PARTE NO ESPECIFICADA</t>
  </si>
  <si>
    <t>TUMOR MALIGNO DE LA PARTE ANTERIOR DEL PISO DE LA BOCA</t>
  </si>
  <si>
    <t>TUMOR MALIGNO DE LA PARTE LATERAL DEL PISO DE LA BOCA</t>
  </si>
  <si>
    <t>LESION DE SITIOS CONTIGUOS DEL PISO DE LA BOCA</t>
  </si>
  <si>
    <t>TUMOR MALIGNO DEL PISO DE LA BOCA, PARTE NO ESPECIFICADA</t>
  </si>
  <si>
    <t>TUMOR MALIGNO DEL PALADAR DURO</t>
  </si>
  <si>
    <t>TUMOR MALIGNO DEL PALADAR BLANDO</t>
  </si>
  <si>
    <t>TUMOR MALIGNO DE LA UVULA</t>
  </si>
  <si>
    <t>LESION DE SITIOS CONTIGUOS DEL PALADAR</t>
  </si>
  <si>
    <t>TUMOR MALIGNO DEL PALADAR, PARTE NO ESPECIFICADA</t>
  </si>
  <si>
    <t>TUMOR MALIGNO DE LA MUCOSA DE LA MEJILLA</t>
  </si>
  <si>
    <t>TUMOR MALIGNO DEL VESTIBULO DE LA BOCA</t>
  </si>
  <si>
    <t>TUMOR MALIGNO DEL AREA RETROMOLAR</t>
  </si>
  <si>
    <t>TUMOR MALIGNO DE LA BOCA, PARTE NO ESPECIFICADA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</si>
  <si>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</si>
  <si>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</si>
  <si>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</si>
  <si>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</si>
  <si>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</si>
  <si>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TUMOR MALIGNO DE LA FOSA AMIGDALINA</t>
  </si>
  <si>
    <t>TUMOR MALIGNO DEL PILAR AMIGDALINO (ANTERIOR) (POSTERIOR)</t>
  </si>
  <si>
    <t>LESION DE SITIOS CONTIGUOS DE LA AMIGDALA</t>
  </si>
  <si>
    <t>TUMOR MALIGNO DE LA AMIGDALA, PARTE NO ESPECIFICADA</t>
  </si>
  <si>
    <t>TUMOR MALIGNO DE LA VALECULA</t>
  </si>
  <si>
    <t>TUMOR MALIGNO DE LA CARA ANTERIOR DE LA EPIGLOTIS</t>
  </si>
  <si>
    <t>TUMOR MALIGNO DE LA PARED LATERAL DE LA OROFARINGE</t>
  </si>
  <si>
    <t>TUMOR MALIGNO DE LA PARED POSTERIOR DE LA OROFARINGE</t>
  </si>
  <si>
    <t>TUMOR MALIGNO DE LA HENDIDURA BRANQUIAL</t>
  </si>
  <si>
    <t>LESION DE SITIOS CONTIGUOS DE LA OROFARINGE</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</si>
  <si>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</si>
  <si>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</si>
  <si>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</si>
  <si>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</si>
  <si>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</si>
  <si>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LESION DE SITIOS CONTIGUOS DE LA NASOFARINGE</t>
  </si>
  <si>
    <t>TUMOR MALIGNO DE LA NASOFARINGE, PARTE NO ESPECIFICADA</t>
  </si>
  <si>
    <t>TUMOR MALIGNO DEL SENO PIRIFORME</t>
  </si>
  <si>
    <t>TUMOR MALIGNO DE LA REGION POSTCRICOIDEA</t>
  </si>
  <si>
    <t>TUMOR MALIGNO DEL PLIEGUE ARITENOEPIGLOTICO, CARA HIPOFARINGEA</t>
  </si>
  <si>
    <t>TUMOR MALIGNO DE LA PARED POSTERIOR DE LA HIPOFARINGE</t>
  </si>
  <si>
    <t>LESION DE SITIOS CONTIGUOS DE LA HIPOFARINGE</t>
  </si>
  <si>
    <t>TUMOR MALIGNO DE LA HIPOFARINGE, PARTE NO ESPECIFICADA</t>
  </si>
  <si>
    <t>TUMOR MALIGNO DE LA FARINGE, PARTE NO ESPECIFICADA</t>
  </si>
  <si>
    <t>TUMOR MALIGNO DEL ANILLO DE WALDEYER</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</si>
  <si>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</si>
  <si>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</si>
  <si>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</si>
  <si>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</si>
  <si>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</si>
  <si>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</si>
  <si>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</si>
  <si>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</si>
  <si>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CARDIAS</t>
  </si>
  <si>
    <t>TUMOR MALIGNO DEL FUNDUS GASTRICO</t>
  </si>
  <si>
    <t>TUMOR MALIGNO DEL CUERPO DEL ESTOMAGO</t>
  </si>
  <si>
    <t>TUMOR MALIGNO DEL ANTRO PILORICO</t>
  </si>
  <si>
    <t>TUMOR MALIGNO DEL PILORO</t>
  </si>
  <si>
    <t>LESION DE SITIOS CONTIGUOS DEL ESTOMAGO</t>
  </si>
  <si>
    <t>TUMOR MALIGNO DEL ESTOMAGO, PARTE NO ESPECIFICADA</t>
  </si>
  <si>
    <t>TUMOR MALIGNO DEL DUODENO</t>
  </si>
  <si>
    <t>TUMOR MALIGNO DEL YEYUNO</t>
  </si>
  <si>
    <t>TUMOR MALIGNO DEL ILEON</t>
  </si>
  <si>
    <t>TUMOR MALIGNO DEL DIVERTICULO DE MECKEL</t>
  </si>
  <si>
    <t>TUMOR MALIGNO DEL INTESTINO DELGADO, PARTE NO ESPECIFICADA</t>
  </si>
  <si>
    <t>TUMOR MALIGNO DEL CIEGO</t>
  </si>
  <si>
    <t>TUMOR MALIGNO DEL APENDICE</t>
  </si>
  <si>
    <t>TUMOR MALIGNO DEL COLON ASCENDENTE</t>
  </si>
  <si>
    <t>TUMOR MALIGNO DEL ANGULO HEPATICO</t>
  </si>
  <si>
    <t>TUMOR MALIGNO DEL COLON TRANSVERSO</t>
  </si>
  <si>
    <t>TUMOR MALIGNO DEL ANGULO ESPLENICO</t>
  </si>
  <si>
    <t>TUMOR MALIGNO DEL COLON DESCENDENTE</t>
  </si>
  <si>
    <t>TUMOR MALIGNO DEL COLON SIGMOIDE</t>
  </si>
  <si>
    <t>LESION DE SITIOS CONTIGUOS DEL COLON</t>
  </si>
  <si>
    <t>TUMOR MALIGNO DEL COLON, PARTE NO ESPECIFICADA</t>
  </si>
  <si>
    <t>TUMOR MALIGNO DE LA UNION RECTOSIGMOIDEA</t>
  </si>
  <si>
    <t>TUMOR MALIGNO DEL RECTO</t>
  </si>
  <si>
    <t>TUMOR MALIGNO DEL ANO, PARTE NO ESPECIFICADA</t>
  </si>
  <si>
    <t>TUMOR MALIGNO DEL CONDUCTO ANAL</t>
  </si>
  <si>
    <t>TUMOR MALIGNO DE LA ZONA CLOACOGENICA</t>
  </si>
  <si>
    <t>LESION DE SITIOS CONTIGUOS DEL ANO, DEL CONDUCTO ANAL Y DEL RECTO</t>
  </si>
  <si>
    <t>CARCINOMA DE CELULAS HEPATICAS</t>
  </si>
  <si>
    <t>CARCINOMA DE VIAS BILIARES INTRAHEPATICAS</t>
  </si>
  <si>
    <t>HEPATOBLASTOMA</t>
  </si>
  <si>
    <t>ANGIOSARCOMA DEL HIGADO</t>
  </si>
  <si>
    <t>OTROS SARCOMAS DEL HIGADO</t>
  </si>
  <si>
    <t>OTROS CARCINOMAS ESPECIFICADOS DEL HIGADO</t>
  </si>
  <si>
    <t>TUMOR MALIGNO DEL HIGADO, NO ESPECIFICADO</t>
  </si>
  <si>
    <t>TUMOR MALIGNO DE LA VESICULA BILIAR</t>
  </si>
  <si>
    <t>TUMOR MALIGNO DE LA AMPOLLA DE VATER</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</si>
  <si>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</si>
  <si>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</si>
  <si>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</si>
  <si>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</si>
  <si>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</si>
  <si>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</si>
  <si>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</si>
  <si>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</si>
  <si>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</si>
  <si>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</si>
  <si>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TUMOR MALIGNO DEL INTESTINO, PARTE NO ESPECIFICADA</t>
  </si>
  <si>
    <t>TUMOR MALIGNO DEL BAZO</t>
  </si>
  <si>
    <t>LESION DE SITIOS CONTIGUOS DE LOS ORGANOS DIGESTIVOS</t>
  </si>
  <si>
    <t>TUMOR MALIGNO DE SITIOS MAL DEFINIDOS DE LOS ORGANOS DIGESTIVOS</t>
  </si>
  <si>
    <t>TUMOR MALIGNO DE LA FOSA NASAL</t>
  </si>
  <si>
    <t>TUMOR MALIGNO DEL OIDO MEDIO</t>
  </si>
  <si>
    <t>TUMOR MALIGNO DEL SENO MAXILAR</t>
  </si>
  <si>
    <t>TUMOR MALIGNO DEL SENO ETMOIDAL</t>
  </si>
  <si>
    <t>TUMOR MALIGNO DEL SENO FRONTAL</t>
  </si>
  <si>
    <t>TUMOR MALIGNO DEL SENO ESFENOIDAL</t>
  </si>
  <si>
    <t>LESION DE SITIOS CONTIGUOS DE LOS SENOS PARANASALES</t>
  </si>
  <si>
    <t>TUMOR MALIGNO DE LA GLOTIS</t>
  </si>
  <si>
    <t>TUMOR MALIGNO DE LA REGION SUPRAGLOTICA</t>
  </si>
  <si>
    <t>TUMOR MALIGNO DE LA REGION SUBGLOTICA</t>
  </si>
  <si>
    <t>TUMOR MALIGNO DEL CARTILAGO LARINGEO</t>
  </si>
  <si>
    <t>LESION DE SITIOS CONTIGUOS DE LA LARINGE</t>
  </si>
  <si>
    <t>TUMOR MALIGNO DE LA LARINGE, PARTE NO ESPECIFICADA</t>
  </si>
  <si>
    <t>TUMOR MALIGNO DE LA TRAQUEA</t>
  </si>
  <si>
    <t>TUMOR MALIGNO DEL BRONQUIO PRINCIPAL</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</si>
  <si>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</si>
  <si>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</si>
  <si>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</si>
  <si>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</si>
  <si>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</si>
  <si>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TIMO</t>
  </si>
  <si>
    <t>TUMOR MALIGNO DEL CORAZON</t>
  </si>
  <si>
    <t>TUMOR MALIGNO DEL MEDIASTINO ANTERIOR</t>
  </si>
  <si>
    <t>TUMOR MALIGNO DEL MEDIASTINO POSTERIOR</t>
  </si>
  <si>
    <t>TUMOR MALIGNO DEL MEDIASTINO, PARTE NO ESPECIFICADA</t>
  </si>
  <si>
    <t>TUMOR MALIGNO DE LA PLEURA</t>
  </si>
  <si>
    <t>LESION DE SITIOS CONTIGUOS DEL CORAZON, DEL MEDIASTINO Y DE LA PLEURA</t>
  </si>
  <si>
    <t>TUMOR MALIGNO DE SITIOS MAL DEFINIDOS DEL SISTEMA RESPIRATORIO</t>
  </si>
  <si>
    <t>TUMOR MALIGNO DEL OMOPLATO Y DE LOS HUESOS LARGOS DEL MIEMBRO SUPERIOR</t>
  </si>
  <si>
    <t>TUMOR MALIGNO DE LOS HUESOS CORTOS DEL MIEMBRO SUPERIOR</t>
  </si>
  <si>
    <t>TUMOR MALIGNO DE LOS HUESOS LARGOS DEL MIEMBRO INFERIOR</t>
  </si>
  <si>
    <t>TUMOR MALIGNO DE LOS HUESOS CORTOS DEL MIEMBRO INFERIOR</t>
  </si>
  <si>
    <t>TUMOR MALIGNO DE LOS HUESOS DEL CRANEO Y DE LA CARA</t>
  </si>
  <si>
    <t>TUMOR MALIGNO DEL HUESO DEL MAXILAR INFERIOR</t>
  </si>
  <si>
    <t>TUMOR MALIGNO DE LA COLUMNA VERTEBRAL</t>
  </si>
  <si>
    <t>TUMOR MALIGNO DE LA COSTILLA, ESTERNON Y CLAVICULA</t>
  </si>
  <si>
    <t>TUMOR MALIGNO DE LOS HUESOS DE LA PELVIS, SACRO Y COCCIX</t>
  </si>
  <si>
    <t>LESION DE SITIOS CONTIGUOS DEL HUESO Y DEL CARTILAGO ARTICULAR</t>
  </si>
  <si>
    <t>MELANOMA MALIGNO DEL LABIO</t>
  </si>
  <si>
    <t>MELANOMA MALIGNO DEL PARPADO, INCLUIDA LA COMISURA PALPEBRAL</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</si>
  <si>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</si>
  <si>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</si>
  <si>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</si>
  <si>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</si>
  <si>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</si>
  <si>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</si>
  <si>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</si>
  <si>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</si>
  <si>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</si>
  <si>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DEL PARPADO, INCLUIDA LA COMISURA PALPEBRAL</t>
  </si>
  <si>
    <t>TUMOR MALIGNO DE LA PIEL DE LA OREJA Y DEL CONDUCTO AUDITIVO EXTERNO</t>
  </si>
  <si>
    <t>TUMOR MALIGNO DE LA PIEL DEL CUERO CABELLUDO Y DEL CUELLO</t>
  </si>
  <si>
    <t>TUMOR MALIGNO DE LA PIEL DEL TRONCO</t>
  </si>
  <si>
    <t>TUMOR MALIGNO DE LA PIEL DEL MIEMBRO SUPERIOR, INCLUIDO EL HOMBRO</t>
  </si>
  <si>
    <t>TUMOR MALIGNO DE LA PIEL DEL MIEMBRO INFERIOR, INCLUIDA LA CADERA</t>
  </si>
  <si>
    <t>LESION DE SITIOS CONTIGUOS DE LA PIEL</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</si>
  <si>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</si>
  <si>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</si>
  <si>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</si>
  <si>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</si>
  <si>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</si>
  <si>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</si>
  <si>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</si>
  <si>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</si>
  <si>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</si>
  <si>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LOS GANGLIOS LINFATICOS</t>
  </si>
  <si>
    <t>SARCOMA DE KAPOSI DE OTROS SITIOS ESPECIFICADOS</t>
  </si>
  <si>
    <t>SARCOMA DE KAPOSI DE MULTIPLES ORGANOS</t>
  </si>
  <si>
    <t>SARCOMA DE KAPOSI, DE SITIO NO ESPECIFICADO</t>
  </si>
  <si>
    <t>TUMOR MALIGNO DE LOS NERVIOS PERIFERICOS DE LA CABEZA, CARA Y CUELLO</t>
  </si>
  <si>
    <t>TUMOR MALIGNO DE LOS NERVIOS PERIFERICOS DEL TORAX</t>
  </si>
  <si>
    <t>TUMOR MALIGNO DE LOS NERVIOS PERIFERICOS DEL ABDOMEN</t>
  </si>
  <si>
    <t>TUMOR MALIGNO DE LOS NERVIOS PERIFERICOS DE LA PELVIS</t>
  </si>
  <si>
    <t>TUMOR MALIGNO DEL RETROPERITONEO</t>
  </si>
  <si>
    <t>TUMOR MALIGNO DE PARTE ESPECIFICADA DEL PERITONEO</t>
  </si>
  <si>
    <t>TUMOR MALIGNO DEL PERITONEO, SIN OTRA ESPECIFICACION</t>
  </si>
  <si>
    <t>LESION DE SITIOS CONTIGUOS DEL PERITONEO Y DEL RETROPERITONEO</t>
  </si>
  <si>
    <t>TUMOR MALIGNO DEL TEJIDO CONJUNTIVO Y TEJIDO BLANDO DEL TORAX</t>
  </si>
  <si>
    <t>TUMOR MALIGNO DEL TEJIDO CONJUNTIVO Y TEJIDO BLANDO DEL ABDOMEN</t>
  </si>
  <si>
    <t>TUMOR MALIGNO DEL TEJIDO CONJUNTIVO Y TEJIDO BLANDO DE LA PELVIS</t>
  </si>
  <si>
    <t>TUMOR MALIGNO DEL PEZON Y AREOLA MAMARIA</t>
  </si>
  <si>
    <t>TUMOR MALIGNO DE LA PORCION CENTRAL DE LA MAMA</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</si>
  <si>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</si>
  <si>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</si>
  <si>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</si>
  <si>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</si>
  <si>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PROLONGACION AXILAR DE LA MAMA</t>
  </si>
  <si>
    <t>LESION DE SITIOS CONTIGUOS DE LA MAMA</t>
  </si>
  <si>
    <t>TUMOR MALIGNO DE LA MAMA, PARTE NO ESPECIFICADA</t>
  </si>
  <si>
    <t>TUMOR MALIGNO DEL LABIO MAYOR</t>
  </si>
  <si>
    <t>TUMOR MALIGNO DEL LABIO MENOR</t>
  </si>
  <si>
    <t>TUMOR MALIGNO DEL CLITORIS</t>
  </si>
  <si>
    <t>LESION DE SITIOS CONTIGUOS DE LA VULVA</t>
  </si>
  <si>
    <t>TUMOR MALIGNO DE LA VULVA, PARTE NO ESPECIFICADA</t>
  </si>
  <si>
    <t>TUMOR MALIGNO DE LA VAGINA</t>
  </si>
  <si>
    <t>TUMOR MALIGNO DEL ENDOCERVIX</t>
  </si>
  <si>
    <t>LESION DE SITIOS CONTIGUOS DEL CUELLO DEL UTERO</t>
  </si>
  <si>
    <t>TUMOR MALIGNO DEL CUELLO DEL UTERO, SIN OTRA ESPECIFICACION</t>
  </si>
  <si>
    <t>TUMOR MALIGNO DEL ISTMO UTERINO</t>
  </si>
  <si>
    <t>TUMOR MALIGNO DEL ENDOMETRIO</t>
  </si>
  <si>
    <t>TUMOR MALIGNO DEL MIOMETRIO</t>
  </si>
  <si>
    <t>TUMOR MALIGNO DEL FONDO DEL UTERO</t>
  </si>
  <si>
    <t>LESION DE SITIOS CONTIGUOS DEL CUERPO DEL UTERO</t>
  </si>
  <si>
    <t>TUMOR MALIGNO DEL CUERPO DEL UTERO, PARTE NO ESPECIFICADA</t>
  </si>
  <si>
    <t>TUMOR MALIGNO DEL UTERO, PARTE NO ESPECIFICADA</t>
  </si>
  <si>
    <t>TUMOR MALIGNO DEL OVARIO</t>
  </si>
  <si>
    <t>TUMOR MALIGNO DE LA TROMPA DE FALOPIO</t>
  </si>
  <si>
    <t>TUMOR MALIGNO DEL LIGAMENTO ANCHO</t>
  </si>
  <si>
    <t>TUMOR MALIGNO DEL LIGAMENTO REDONDO</t>
  </si>
  <si>
    <t>TUMOR MALIGNO DEL PARAMETRIO</t>
  </si>
  <si>
    <t>LESION DE SITIOS CONTIGUOS DE LOS ORGANOS GENITALES FEMENINOS</t>
  </si>
  <si>
    <t>TUMOR MALIGNO DE ORGANO GENITAL FEMENINO, PARTE NO ESPECIFICADA</t>
  </si>
  <si>
    <t>TUMOR MALIGNO DE LA PLACENTA</t>
  </si>
  <si>
    <t>TUMOR MALIGNO DEL PREPUCIO</t>
  </si>
  <si>
    <t>TUMOR MALIGNO DEL GLANDE</t>
  </si>
  <si>
    <t>TUMOR MALIGNO DEL CUERPO DEL PENE</t>
  </si>
  <si>
    <t>LESION DE SITIOS CONTIGUOS DEL PENE</t>
  </si>
  <si>
    <t>TUMOR MALIGNO DEL PENE, PARTE NO ESPECIFICADA</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</si>
  <si>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</si>
  <si>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</si>
  <si>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</si>
  <si>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</si>
  <si>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</si>
  <si>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</si>
  <si>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DEL ESCROTO</t>
  </si>
  <si>
    <t>LESION DE SITIOS CONTIGUOS DE LOS ORGANOS GENITALES MASCULINOS</t>
  </si>
  <si>
    <t>TUMOR MALIGNO DE ORGANO GENITAL MASCULINO, PARTE NO ESPECIFICADA</t>
  </si>
  <si>
    <t>TUMOR MALIGNO DEL RIÑON, EXCEPTO DE LA PELVIS RENAL</t>
  </si>
  <si>
    <t>TUMOR MALIGNO DE LA PELVIS RENAL</t>
  </si>
  <si>
    <t>TUMOR MALIGNO DEL URETER</t>
  </si>
  <si>
    <t>TUMOR MALIGNO DEL TRIGONO VESICAL</t>
  </si>
  <si>
    <t>TUMOR MALIGNO DE LA CUPULA VESICAL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</si>
  <si>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</si>
  <si>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</si>
  <si>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</si>
  <si>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</si>
  <si>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</si>
  <si>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</si>
  <si>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LESION DE SITIOS CONTIGUOS DE LA VEJIGA</t>
  </si>
  <si>
    <t>TUMOR MALIGNO DE LA VEJIGA URINARIA, PARTE NO ESPECIFICADA</t>
  </si>
  <si>
    <t>TUMOR MALIGNO DE LA URETRA</t>
  </si>
  <si>
    <t>TUMOR MALIGNO DE LAS GLANDULAS PARAURETRALES</t>
  </si>
  <si>
    <t>LESION DE SITIOS CONTIGUOS DE LOS ORGANOS URINARIOS</t>
  </si>
  <si>
    <t>TUMOR MALIGNO DE ORGANO URINARIO NO ESPECIFICADO</t>
  </si>
  <si>
    <t>TUMOR MALIGNO DE LA CONJUNTIVA</t>
  </si>
  <si>
    <t>TUMOR MALIGNO DE LA CORNEA</t>
  </si>
  <si>
    <t>TUMOR MALIGNO DE LA RETINA</t>
  </si>
  <si>
    <t>TUMOR MALIGNO DE LA COROIDES</t>
  </si>
  <si>
    <t>TUMOR MALIGNO DEL CUERPO CILIAR</t>
  </si>
  <si>
    <t>TUMOR MALIGNO DE LA GLANDULA Y CONDUCTO LAGRIMALES</t>
  </si>
  <si>
    <t>TUMOR MALIGNO DE LA ORBITA</t>
  </si>
  <si>
    <t>LESION DE SITIOS CONTIGUOS DEL OJO Y SUS ANEXOS</t>
  </si>
  <si>
    <t>TUMOR MALIGNO DEL OJO, PARTE NO ESPECIFICADA</t>
  </si>
  <si>
    <t>TUMOR MALIGNO DE LAS MENINGES CEREBRALES</t>
  </si>
  <si>
    <t>TUMOR MALIGNO DE LAS MENINGES RAQUIDEAS</t>
  </si>
  <si>
    <t>TUMOR MALIGNO DE LAS MENINGES, PARTE NO ESPECIFICADA</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</si>
  <si>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</si>
  <si>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</si>
  <si>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</si>
  <si>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</si>
  <si>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</si>
  <si>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</si>
  <si>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CEREBELO</t>
  </si>
  <si>
    <t>TUMOR MALIGNO DEL PEDUNCULO CEREBRAL</t>
  </si>
  <si>
    <t>LESION DE SITIOS CONTIGUOS DEL ENCEFALO</t>
  </si>
  <si>
    <t>TUMOR MALIGNO DEL ENCEFALO, PARTE NO ESPECIFICADA</t>
  </si>
  <si>
    <t>TUMOR MALIGNO DE LA MEDULA ESPINAL</t>
  </si>
  <si>
    <t>TUMOR MALIGNO DE LA COLA DE CABALLO</t>
  </si>
  <si>
    <t>TUMOR MALIGNO DEL NERVIO OLFATORIO</t>
  </si>
  <si>
    <t>TUMOR MALIGNO DEL NERVIO OPTICO</t>
  </si>
  <si>
    <t>TUMOR MALIGNO DEL NERVIO ACUSTICO</t>
  </si>
  <si>
    <t>TUMOR MALIGNO DE OTROS NERVIOS CRANEALES Y LOS NO ESPECIFICADOS</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</si>
  <si>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</si>
  <si>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</si>
  <si>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</si>
  <si>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</si>
  <si>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</si>
  <si>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</si>
  <si>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</si>
  <si>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</si>
  <si>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</si>
  <si>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</si>
  <si>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</si>
  <si>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PLURIGLANDULAR, NO ESPECIFICADO</t>
  </si>
  <si>
    <t>TUMOR MALIGNO DE GLANDULA ENDOCRINA NO ESPECIFICADA</t>
  </si>
  <si>
    <t>TUMOR MALIGNO DE LA CABEZA, CARA Y CUELLO</t>
  </si>
  <si>
    <t>TUMOR MALIGNO DEL TORAX</t>
  </si>
  <si>
    <t>TUMOR MALIGNO DEL ABDOMEN</t>
  </si>
  <si>
    <t>TUMOR MALIGNO DE LA PELVIS</t>
  </si>
  <si>
    <t>TUMOR MALIGNO DEL MIEMBRO SUPERIOR</t>
  </si>
  <si>
    <t>TUMOR MALIGNO DEL MIEMBRO INFERIOR</t>
  </si>
  <si>
    <t>TUMOR MALIGNO DE OTROS SITIOS MAL DEFINIDOS</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</si>
  <si>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</si>
  <si>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</si>
  <si>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</si>
  <si>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</si>
  <si>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PELVIS</t>
  </si>
  <si>
    <t>TUMOR MALIGNO DE LOS GANGLIOS LINFATICOS DE REGIONES MULTIPLES</t>
  </si>
  <si>
    <t>TUMOR MALIGNO DEL GANGLIO LINFATICO, SITIO NO ESPECIFICADO</t>
  </si>
  <si>
    <t>TUMOR MALIGNO SECUNDARIO DEL PULMON</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</si>
  <si>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</si>
  <si>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</si>
  <si>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</si>
  <si>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</si>
  <si>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</si>
  <si>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DEL HIGADO</t>
  </si>
  <si>
    <t>TUMOR MALIGNO SECUNDARIO DEL RIÑON Y DE LA PELVIS RENAL</t>
  </si>
  <si>
    <t>TUMOR MALIGNO SECUNDARIO DE LA PIEL</t>
  </si>
  <si>
    <t>TUMOR MALIGNO SECUNDARIO DEL ENCEFALO Y DE LAS MENINGES CEREBRALES</t>
  </si>
  <si>
    <t>TUMOR MALIGNO SECUNDARIO DE LOS HUESOS Y DE LA MEDULA OSEA</t>
  </si>
  <si>
    <t>TUMOR MALIGNO SECUNDARIO DEL OVARIO</t>
  </si>
  <si>
    <t>TUMOR MALIGNO SECUNDARIO DE LA GLANDULA SUPRARRENAL</t>
  </si>
  <si>
    <t>TUMOR MALIGNO SECUNDARIO DE OTROS SITIOS ESPECIFICADOS</t>
  </si>
  <si>
    <t>TUMOR MALIGNO DE SITIOS NO ESPECIFICADOS</t>
  </si>
  <si>
    <t>ENFERMEDAD DE HODGKIN CON PREDOMINIO LINFOCITICO</t>
  </si>
  <si>
    <t>ENFERMEDAD DE HODGKIN CON ESCLEROSIS NODULAR</t>
  </si>
  <si>
    <t>ENFERMEDAD DE HODGKIN CON CELULARIDAD MIXTA</t>
  </si>
  <si>
    <t>ENFERMEDAD DE HODGKIN CON DEPLECION LINFOCITICA</t>
  </si>
  <si>
    <t>OTROS TIPOS DE ENFERMEDAD DE HODGKIN</t>
  </si>
  <si>
    <t>ENFERMEDAD DE HODGKIN, NO ESPECIFICADA</t>
  </si>
  <si>
    <t>LINFOMA NO HODGKIN DE CELULAS PEQUEÑAS HENDIDAS, FOLICULAR</t>
  </si>
  <si>
    <t>LINFOMA NO HODGKIN DE CELULAS GRANDES, FOLICULAR</t>
  </si>
  <si>
    <t>OTROS TIPOS ESPECIFICADOS DE LINFOMA NO HODGKIN FOLICULAR</t>
  </si>
  <si>
    <t>LINFOMA NO HODGKIN FOLICULAR, SIN OTRA ESPECIFICACION</t>
  </si>
  <si>
    <t>LINFOMA NO HODGKIN DE CELULAS PEQUEÑAS (DIFUSO)</t>
  </si>
  <si>
    <t>LINFOMA NO HODGKIN DE CELULAS PEQUEÑAS HENDIDAS (DIFUSO)</t>
  </si>
  <si>
    <t>LINFOMA NO HODGKIN MIXTO, DE CELULAS PEQUEÑAS Y GRANDES (DIFUSO)</t>
  </si>
  <si>
    <t>LINFOMA NO HODGKIN DE CELULAS GRANDES (DIFUSO)</t>
  </si>
  <si>
    <t>LINFOMA NO HODGKIN INMUNOBLASTICO (DIFUSO)</t>
  </si>
  <si>
    <t>LINFOMA NO HODGKIN LINFOBLASTICO (DIFUSO)</t>
  </si>
  <si>
    <t>LINFOMA NO HODGKIN INDIFERENCIADO (DIFUSO)</t>
  </si>
  <si>
    <t>TUMOR DE BURKITT</t>
  </si>
  <si>
    <t>OTROS TIPOS ESPECIFICADOS DE LINFOMA NO HODGKIN DIFUSO</t>
  </si>
  <si>
    <t>LINFOMA NO HODGKIN DIFUSO, SIN OTRA ESPECIFICACION</t>
  </si>
  <si>
    <t>MICOSIS FUNGOIDE</t>
  </si>
  <si>
    <t>ENFERMEDAD DE SEZARY</t>
  </si>
  <si>
    <t>LINFOMA DE ZONA T</t>
  </si>
  <si>
    <t>LINFOMA LINFOEPITELIOIDE</t>
  </si>
  <si>
    <t>LINFOMA DE CELULAS T PERIFERICO</t>
  </si>
  <si>
    <t>LINFOSARCOMA</t>
  </si>
  <si>
    <t>LINFOMA DE CELULAS B, SIN OTRA ESPECIFICACION</t>
  </si>
  <si>
    <t>OTROS TIPOS ESPECIFICADOS DE LINFOMA NO HODGKIN</t>
  </si>
  <si>
    <t>LINFOMA NO HODGKIN, NO ESPECIFICADO</t>
  </si>
  <si>
    <t>MACROGLOBULINEMIA DE WALDENSTROM</t>
  </si>
  <si>
    <t>ENFERMEDAD DE CADENA PESADA ALFA</t>
  </si>
  <si>
    <t>ENFERMEDAD DE CADENA PESADA GAMMA</t>
  </si>
  <si>
    <t>ENFERMEDAD INMUNOPROLIFERATIVA DEL INTESTINO DELGADO</t>
  </si>
  <si>
    <t>OTRAS ENFERMEDADES INMUNOPROLIFERATIVAS MALIGNAS</t>
  </si>
  <si>
    <t>ENFERMEDAD INMUNOPROLIFERATIVA MALIGNA, SIN OTRA ESPECIFICACION</t>
  </si>
  <si>
    <t>MIELOMA MULTIPLE</t>
  </si>
  <si>
    <t>LEUCEMIA DE CELULAS PLASMATICAS</t>
  </si>
  <si>
    <t>PLASMOCITOMA, EXTRAMEDULAR</t>
  </si>
  <si>
    <t>LEUCEMIA LINFOBLASTICA AGUDA</t>
  </si>
  <si>
    <t>LEUCEMIA LINFOCITICA CRONICA</t>
  </si>
  <si>
    <t>LEUCEMIA LINFOCITICA SUBAGUDA</t>
  </si>
  <si>
    <t>LEUCEMIA PROLINFOCITICA</t>
  </si>
  <si>
    <t>LEUCEMIA DE CELULAS VELLOSAS</t>
  </si>
  <si>
    <t>LEUCEMIA DE CELULAS T ADULTAS</t>
  </si>
  <si>
    <t>OTRAS LEUCEMIAS LINFOIDES</t>
  </si>
  <si>
    <t>LEUCEMIA LINFOIDE, SIN OTRA ESPECIFICACION</t>
  </si>
  <si>
    <t>LEUCEMIA MIELOIDE AGUDA</t>
  </si>
  <si>
    <t>LEUCEMIA MIELOIDE CRONICA</t>
  </si>
  <si>
    <t>LEUCEMIA MIELOIDE SUBAGUDA</t>
  </si>
  <si>
    <t>SARCOMA MIELOIDE</t>
  </si>
  <si>
    <t>LEUCEMIA PROMIELOCITICA AGUDA</t>
  </si>
  <si>
    <t>LEUCEMIA MIELOMONOCITICA AGUDA</t>
  </si>
  <si>
    <t>OTRAS LEUCEMIAS MIELOIDES</t>
  </si>
  <si>
    <t>LEUCEMIA MIELOIDE, SIN OTRA ESPECIFICACION</t>
  </si>
  <si>
    <t>LEUCEMIA MONOCITICA AGUDA</t>
  </si>
  <si>
    <t>LEUCEMIA MONOCITICA CRONICA</t>
  </si>
  <si>
    <t>LEUCEMIA MONOCITICA SUBAGUDA</t>
  </si>
  <si>
    <t>OTRAS LEUCEMIAS MONOCITICAS</t>
  </si>
  <si>
    <t>LEUCEMIA MONOCITICA, SIN OTRA ESPECIFICACION</t>
  </si>
  <si>
    <t>ERITREMIA AGUDA Y ERITROLEUCEMIA</t>
  </si>
  <si>
    <t>ERITREMIA CRONICA</t>
  </si>
  <si>
    <t>LEUCEMIA MEGACARIOBLASTICA AGUDA</t>
  </si>
  <si>
    <t>LEUCEMIA DE MASTOCITOS</t>
  </si>
  <si>
    <t>PANMIELOSIS AGUDA</t>
  </si>
  <si>
    <t>MIELOFIBROSIS AGUDA</t>
  </si>
  <si>
    <t>OTRAS LEUCEMIAS ESPECIFICADAS</t>
  </si>
  <si>
    <t>LEUCEMIA AGUDA, CELULAS DE TIPO NO ESPECIFICADO</t>
  </si>
  <si>
    <t>LEUCEMIA CRONICA, CELULAS DE TIPO NO ESPECIFICADO</t>
  </si>
  <si>
    <t>LEUCEMIA SUBAGUDA, CELULAS DE TIPO NO ESPECIFICADO</t>
  </si>
  <si>
    <t>OTRAS LEUCEMIAS DE CELULAS DE TIPO NO ESPECIFICADO</t>
  </si>
  <si>
    <t>LEUCEMIA, NO ESPECIFICADA</t>
  </si>
  <si>
    <t>ENFERMEDAD DE LETTERER-SIWE</t>
  </si>
  <si>
    <t>HISTIOCITOSIS MALIGNA</t>
  </si>
  <si>
    <t>TUMOR MALIGNO DE MASTOCITOS</t>
  </si>
  <si>
    <t>LINFOMA HISTIOCITICO VERDADERO</t>
  </si>
  <si>
    <t>CARCINOMA IN SITU DEL LABIO, DE LA CAVIDAD BUCAL Y DE LA FARINGE</t>
  </si>
  <si>
    <t>CARCINOMA IN SITU DEL ESOFAGO</t>
  </si>
  <si>
    <t>CARCINOMA IN SITU DEL ESTOMAGO</t>
  </si>
  <si>
    <t>CARCINOMA IN SITU DEL COLON</t>
  </si>
  <si>
    <t>CARCINOMA IN SITU DE LA UNION RECTOSIGMOIDEA</t>
  </si>
  <si>
    <t>CARCINOMA IN SITU DEL RECTO</t>
  </si>
  <si>
    <t>CARCINOMA IN SITU DEL ANO Y DEL CONDUCTO ANAL</t>
  </si>
  <si>
    <t>CARCINOMA IN SITU DE OTRAS PARTES ESPECIFICADAS DE ORGANOS DIGESTIVOS</t>
  </si>
  <si>
    <t>CARCINOMA IN SITU DE ORGANOS DIGESTIVOS NO ESPECIFICADOS</t>
  </si>
  <si>
    <t>CARCINOMA IN SITU DE LA LARINGE</t>
  </si>
  <si>
    <t>CARCINOMA IN SITU DE LA TRAQUEA</t>
  </si>
  <si>
    <t>CARCINOMA IN SITU DEL BRONQUIO Y DEL PULMON</t>
  </si>
  <si>
    <t>CARCINOMA IN SITU DE OTRAS PARTES DEL SISTEMA RESPIRATORIO</t>
  </si>
  <si>
    <t>CARCINOMA IN SITU DE ORGANOS RESPIRATORIOS NO ESPECIFICADOS</t>
  </si>
  <si>
    <t>MELANOMA IN SITU DEL LABIO</t>
  </si>
  <si>
    <t>MELANOMA IN SITU DEL PARPADO Y DE LA COMISURA PALPEBRAL</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</si>
  <si>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</si>
  <si>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</si>
  <si>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</si>
  <si>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</si>
  <si>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</si>
  <si>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</si>
  <si>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</si>
  <si>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</si>
  <si>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</si>
  <si>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DEL PARPADO Y DE LA COMISURA PALPEBRAL</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</si>
  <si>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</si>
  <si>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</si>
  <si>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</si>
  <si>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</si>
  <si>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</si>
  <si>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</si>
  <si>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</si>
  <si>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</si>
  <si>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</si>
  <si>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</si>
  <si>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ENDOCERVIX</t>
  </si>
  <si>
    <t>CARCINOMA IN SITU DEL EXOCERVIX</t>
  </si>
  <si>
    <t>CARCINOMA IN SITU DE OTRAS PARTES ESPECIFICADAS DEL CUELLO DEL UTERO</t>
  </si>
  <si>
    <t>CARCINOMA IN SITU DEL CUELLO DEL UTERO, PARTE NO ESPECIFICADA</t>
  </si>
  <si>
    <t>CARCINOMA IN SITU DEL ENDOMETRIO</t>
  </si>
  <si>
    <t>CARCINOMA IN SITU DE LA VULVA</t>
  </si>
  <si>
    <t>CARCINOMA IN SITU DE LA VAGINA</t>
  </si>
  <si>
    <t>CARCINOMA IN SITU DEL PENE</t>
  </si>
  <si>
    <t>CARCINOMA IN SITU DE LA PROSTATA</t>
  </si>
  <si>
    <t>CARCINOMA IN SITU DE LA VEJIGA</t>
  </si>
  <si>
    <t>CARCINOMA IN SITU DE OTROS ORGANOS URINARIOS Y DE LOS NO ESPECIFICADOS</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</si>
  <si>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</si>
  <si>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</si>
  <si>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</si>
  <si>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</si>
  <si>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</si>
  <si>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</si>
  <si>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</si>
  <si>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LA AMIGDALA</t>
  </si>
  <si>
    <t>TUMOR BENIGNO DE OTRAS PARTES DE LA OROFARINGE</t>
  </si>
  <si>
    <t>TUMOR BENIGNO DE LA NASOFARINGE</t>
  </si>
  <si>
    <t>TUMOR BENIGNO DE LA HIPOFARINGE</t>
  </si>
  <si>
    <t>TUMOR BENIGNO DE LA FARINGE, PARTE NO ESPECIFICADA</t>
  </si>
  <si>
    <t>TUMOR BENIGNO DE LA GLANDULA PAROTIDA</t>
  </si>
  <si>
    <t>TUMOR BENIGNO DE OTRAS GLANDULAS SALIVALES MAYORES ESPECIFICADAS</t>
  </si>
  <si>
    <t>TUMOR BENIGNO DE LA GLANDULA SALIVAL MAYOR, SIN OTRA ESPECIFICACION</t>
  </si>
  <si>
    <t>TUMOR BENIGNO DEL CIEGO</t>
  </si>
  <si>
    <t>TUMOR BENIGNO DEL APENDICE</t>
  </si>
  <si>
    <t>TUMOR BENIGNO DEL COLON ASCENDENTE</t>
  </si>
  <si>
    <t>TUMOR BENIGNO DEL COLON TRANSVERSO</t>
  </si>
  <si>
    <t>TUMOR BENIGNO DEL COLON DESCENDENTE</t>
  </si>
  <si>
    <t>TUMOR BENIGNO DEL COLON SIGMOIDE</t>
  </si>
  <si>
    <t>TUMOR BENIGNO DEL COLON, PARTE NO ESPECIFICADA</t>
  </si>
  <si>
    <t>TUMOR BENIGNO DE LA UNION RECTOSIGMOIDEA</t>
  </si>
  <si>
    <t>TUMOR BENIGNO DEL RECTO</t>
  </si>
  <si>
    <t>TUMOR BENIGNO DEL CONDUCTO ANAL Y DEL ANO</t>
  </si>
  <si>
    <t>TUMOR BENIGNO DEL ESOFAGO</t>
  </si>
  <si>
    <t>TUMOR BENIGNO DEL ESTOMAGO</t>
  </si>
  <si>
    <t>TUMOR BENIGNO DEL DUODENO</t>
  </si>
  <si>
    <t>TUMOR BENIGNO DEL HIGADO</t>
  </si>
  <si>
    <t>TUMOR BENIGNO DE LAS VIAS BILIARES EXTRAHEPATICAS</t>
  </si>
  <si>
    <t>TUMOR BENIGNO DEL PANCREAS</t>
  </si>
  <si>
    <t>TUMOR BENIGNO DEL PANCREAS ENDOCRINO</t>
  </si>
  <si>
    <t>TUMOR BENIGNO DE SITIOS MAL DEFINIDOS DEL SISTEMA DIGESTIVO</t>
  </si>
  <si>
    <t>TUMOR BENIGNO DE LA LARINGE</t>
  </si>
  <si>
    <t>TUMOR BENIGNO DE LA TRAQUEA</t>
  </si>
  <si>
    <t>TUMOR BENIGNO DE LOS BRONQUIOS Y DEL PULMON</t>
  </si>
  <si>
    <t>TUMOR BENIGNO DEL SISTEMA RESPIRATORIO, SITIO NO ESPECIFICADO</t>
  </si>
  <si>
    <t>TUMOR BENIGNO DEL TIMO</t>
  </si>
  <si>
    <t>TUMOR BENIGNO DEL CORAZON</t>
  </si>
  <si>
    <t>TUMOR BENIGNO DEL MEDIASTINO</t>
  </si>
  <si>
    <t>TUMOR BENIGNO DE OTROS ORGANOS INTRATORACICOS ESPECIFICADOS</t>
  </si>
  <si>
    <t>TUMOR BENIGNO DE ORGANO INTRATORACICO NO ESPECIFICADO</t>
  </si>
  <si>
    <t>TUMOR BENIGNO DEL OMOPLATO Y HUESOS LARGOS DEL MIEMBRO SUPERIOR</t>
  </si>
  <si>
    <t>TUMOR BENIGNO DE LOS HUESOS CORTOS DEL MIEMBRO SUPERIOR</t>
  </si>
  <si>
    <t>TUMOR BENIGNO DE LOS HUESOS LARGOS DEL MIEMBRO INFERIOR</t>
  </si>
  <si>
    <t>TUMOR BENIGNO DE LOS HUESOS CORTOS DEL MIEMBRO INFERIOR</t>
  </si>
  <si>
    <t>TUMOR BENIGNO DE LOS HUESOS DEL CRANEO Y DE LA CARA</t>
  </si>
  <si>
    <t>TUMOR BENIGNO DEL MAXILAR INFERIOR</t>
  </si>
  <si>
    <t>TUMOR BENIGNO DE LA COLUMNA VERTEBRAL</t>
  </si>
  <si>
    <t>TUMOR BENIGNO DE LAS COSTILLAS, ESTERNON Y CLAVICULA</t>
  </si>
  <si>
    <t>TUMOR BENIGNO DE LOS HUESOS PELVICOS, SACRO Y COCCIX</t>
  </si>
  <si>
    <t>TUMOR BENIGNO LIPOMATOSO DE PIEL Y DE TEJIDO SUBCUTANEO DEL TRONCO</t>
  </si>
  <si>
    <t>TUMOR BENIGNO LIPOMATOSO DE PIEL Y DE TEJIDO SUBCUTANEO DE MIEMBROS</t>
  </si>
  <si>
    <t>TUMOR BENIGNO LIPOMATOSO DE LOS ORGANOS INTRATORACICOS</t>
  </si>
  <si>
    <t>TUMOR BENIGNO LIPOMATOSO DE LOS ORGANOS INTRAABDOMINALES</t>
  </si>
  <si>
    <t>TUMOR BENIGNO LIPOMATOSO DEL CORDON ESPERMATICO</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</si>
  <si>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</si>
  <si>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</si>
  <si>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</si>
  <si>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</si>
  <si>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</si>
  <si>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</si>
  <si>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</si>
  <si>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</si>
  <si>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</si>
  <si>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</si>
  <si>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NEVO MELANOCITICO DEL LABIO</t>
  </si>
  <si>
    <t>NEVO MELANOCITICO DEL PARPADO, INCLUIDA LA COMISURA PALPEBRAL</t>
  </si>
  <si>
    <t>NEVO MELANOCITICO DE LA OREJA Y DEL CONDUCTO AUDITIVO EXTERNO</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</si>
  <si>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</si>
  <si>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</si>
  <si>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</si>
  <si>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</si>
  <si>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</si>
  <si>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LABIO</t>
  </si>
  <si>
    <t>TUMOR BENIGNO DE LA PIEL DEL PARPADO, INCLUIDA LA COMISURA PALPEBRAL</t>
  </si>
  <si>
    <t>TUMOR BENIGNO DE LA PIEL DE LA OREJA Y DEL CONDUCTO AUDITIVO EXTERNO</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</si>
  <si>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</si>
  <si>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</si>
  <si>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</si>
  <si>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</si>
  <si>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</si>
  <si>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</si>
  <si>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</si>
  <si>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</si>
  <si>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</si>
  <si>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</si>
  <si>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</si>
  <si>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</si>
  <si>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</si>
  <si>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</si>
  <si>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DEL OVARIO</t>
  </si>
  <si>
    <t>TUMOR BENIGNO DE LA VULVA</t>
  </si>
  <si>
    <t>TUMOR BENIGNO DE LA VAGINA</t>
  </si>
  <si>
    <t>TUMOR BENIGNO DE LA TROMPA DE FALOPIO Y DE LOS LIGAMENTOS UTERINOS</t>
  </si>
  <si>
    <t>TUMOR BENIGNO DE ORGANO GENITAL FEMENINO, SITIO NO ESPECIFICADO</t>
  </si>
  <si>
    <t>TUMOR BENIGNO DEL PENE</t>
  </si>
  <si>
    <t>TUMOR BENIGNO DE LA PROSTATA</t>
  </si>
  <si>
    <t>TUMOR BENIGNO DE LOS TESTICULOS</t>
  </si>
  <si>
    <t>TUMOR BENIGNO DEL EPIDIDIMO</t>
  </si>
  <si>
    <t>TUMOR BENIGNO DEL ESCROTO</t>
  </si>
  <si>
    <t>TUMOR BENIGNO DE OTROS ORGANOS GENITALES MASCULINOS</t>
  </si>
  <si>
    <t>TUMOR BENIGNO DE ORGANO GENITAL MASCULINO, SITIO NO ESPECIFICADO</t>
  </si>
  <si>
    <t>TUMOR BENIGNO DEL RIÑON</t>
  </si>
  <si>
    <t>TUMOR BENIGNO DE LA PELVIS RENAL</t>
  </si>
  <si>
    <t>TUMOR BENIGNO DEL URETER</t>
  </si>
  <si>
    <t>TUMOR BENIGNO DE LA VEJIGA</t>
  </si>
  <si>
    <t>TUMOR BENIGNO DE LA URETRA</t>
  </si>
  <si>
    <t>TUMOR BENIGNO DE OTROS ORGANOS URINARIOS</t>
  </si>
  <si>
    <t>TUMOR BENIGNO DE ORGANO URINARIO NO ESPECIFICADO</t>
  </si>
  <si>
    <t>TUMOR BENIGNO DE LA CONJUNTIVA</t>
  </si>
  <si>
    <t>TUMOR BENIGNO DE LA CORNEA</t>
  </si>
  <si>
    <t>TUMOR BENIGNO DE LA RETINA</t>
  </si>
  <si>
    <t>TUMOR BENIGNO DE LA COROIDES</t>
  </si>
  <si>
    <t>TUMOR BENIGNO DEL CUERPO CILIAR</t>
  </si>
  <si>
    <t>TUMOR BENIGNO DE LAS GLANDULAS Y DE LOS CONDUCTOS LAGRIMALES</t>
  </si>
  <si>
    <t>TUMOR BENIGNO DE LA ORBITA, PARTE NO ESPECIFICADA</t>
  </si>
  <si>
    <t>TUMOR BENIGNO DEL OJO, PARTE NO ESPECIFICADA</t>
  </si>
  <si>
    <t>TUMOR BENIGNO DE LAS MENINGES CEREBRALES</t>
  </si>
  <si>
    <t>TUMOR BENIGNO DE LAS MENINGES RAQUIDEAS</t>
  </si>
  <si>
    <t>TUMOR BENIGNO DE LAS MENINGES, PARTE NO ESPECIFICADA</t>
  </si>
  <si>
    <t>TUMOR BENIGNO DEL ENCEFALO, SUPRATENTORIAL</t>
  </si>
  <si>
    <t>TUMOR BENIGNO DEL ENCEFALO, INFRATENTORIAL</t>
  </si>
  <si>
    <t>TUMOR BENIGNO DE LOS NERVIOS CRANEALES</t>
  </si>
  <si>
    <t>TUMOR BENIGNO DE LA MEDULA ESPINAL</t>
  </si>
  <si>
    <t>TUMOR BENIGNO DEL SISTEMA NERVIOSO CENTRAL, SITIO NO ESPECIFICADO</t>
  </si>
  <si>
    <t>TUMOR BENIGNO DE LA GLANDULA TIROIDES</t>
  </si>
  <si>
    <t>TUMOR BENIGNO DE LA GLANDULA SUPRARRENAL</t>
  </si>
  <si>
    <t>TUMOR BENIGNO DE LA GLANDULA PARATIROIDES</t>
  </si>
  <si>
    <t>TUMOR BENIGNO DE LA HIPOFISIS</t>
  </si>
  <si>
    <t>TUMOR BENIGNO DEL CONDUCTO CRANEOFARINGEO</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</si>
  <si>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</si>
  <si>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</si>
  <si>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</si>
  <si>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</si>
  <si>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</si>
  <si>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</si>
  <si>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OTROS SITIOS ESPECIFICADOS</t>
  </si>
  <si>
    <t>TUMOR BENIGNO DE SITIO NO ESPECIFICADO</t>
  </si>
  <si>
    <t>TUMOR DE COMPORTAMIENTO INCIERTO O DESCONOCIDO DEL ESTOMAGO</t>
  </si>
  <si>
    <t>TUMOR DE COMPORTAMIENTO INCIERTO O DESCONOCIDO DEL INTESTINO DELGADO</t>
  </si>
  <si>
    <t>TUMOR DE COMPORTAMIENTO INCIERTO O DESCONOCIDO DEL APENDICE</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</si>
  <si>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</si>
  <si>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</si>
  <si>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</si>
  <si>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</si>
  <si>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</si>
  <si>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</si>
  <si>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UTERO</t>
  </si>
  <si>
    <t>TUMOR DE COMPORTAMIENTO INCIERTO O DESCONOCIDO DEL OVARIO</t>
  </si>
  <si>
    <t>TUMOR DE COMPORTAMIENTO INCIERTO O DESCONOCIDO DE LA PLACENTA</t>
  </si>
  <si>
    <t>TUMOR DE COMPORTAMIENTO INCIERTO O DESCONOCIDO DE LA PROSTATA</t>
  </si>
  <si>
    <t>TUMOR DE COMPORTAMIENTO INCIERTO O DESCONOCIDO DEL TESTICULO</t>
  </si>
  <si>
    <t>TUMOR DE COMPORTAMIENTO INCIERTO O DESCONOCIDO DEL RIÑON</t>
  </si>
  <si>
    <t>TUMOR DE COMPORTAMIENTO INCIERTO O DESCONOCIDO DEL URETER</t>
  </si>
  <si>
    <t>TUMOR DE COMPORTAMIENTO INCIERTO O DESCONOCIDO DE LA URETRA</t>
  </si>
  <si>
    <t>TUMOR DE COMPORTAMIENTO INCIERTO O DESCONOCIDO DE LA VEJIGA</t>
  </si>
  <si>
    <t>TUMOR DE COMPORTAMIENTO INCIERTO O DESCONOCIDO DE LA MEDULA ESPINAL</t>
  </si>
  <si>
    <t>TUMOR DE COMPORTAMIENTO INCIERTO O DESCONOCIDO DE LA GLANDULA TIROIDES</t>
  </si>
  <si>
    <t>TUMOR DE COMPORTAMIENTO INCIERTO O DESCONOCIDO DE LA GLANDULA PINEAL</t>
  </si>
  <si>
    <t>TUMOR DE COMPORTAMIENTO INCIERTO O DESCONOCIDO DEL CUERPO CAROTIDEO</t>
  </si>
  <si>
    <t>POLICITEMIA VERA</t>
  </si>
  <si>
    <t>ANEMIA REFRACTARIA SIN SIDEROBLASTOS, ASI DESCRITA</t>
  </si>
  <si>
    <t>ANEMIA REFRACTARIA CON SIDEROBLASTOS</t>
  </si>
  <si>
    <t>ANEMIA REFRACTARIA CON EXCESO DE BLASTOS</t>
  </si>
  <si>
    <t>ANEMIA REFRACTARIA CON EXCESO DE BLASTOS CON TRANSFORMACION</t>
  </si>
  <si>
    <t>ANEMIA REFRACTARIA, SIN OTRA ESPECIFICACION</t>
  </si>
  <si>
    <t>OTROS SINDROMES MIELODISPLASICOS</t>
  </si>
  <si>
    <t>SINDROME MIELODISPLASICO, SIN OTRA ESPECIFICACION</t>
  </si>
  <si>
    <t>ENFERMEDAD MIELOPROLIFERATIVA CRONICA</t>
  </si>
  <si>
    <t>GAMMOPATIA MONOCLONAL</t>
  </si>
  <si>
    <t>TROMBOCITOPENIA (HEMORRAGICA) ESENCIAL</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</si>
  <si>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</si>
  <si>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</si>
  <si>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</si>
  <si>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</si>
  <si>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DISFAGIA SIDEROPENICA</t>
  </si>
  <si>
    <t>OTRAS ANEMIAS POR DEFICIENCIA DE HIERRO</t>
  </si>
  <si>
    <t>ANEMIA POR DEFICIENCIA DE HIERRO SIN OTRA ESPECIFICACION</t>
  </si>
  <si>
    <t>DEFICIENCIA DE TRASCOBALAMINA II</t>
  </si>
  <si>
    <t>OTRAS ANEMIAS POR DEFICIENCIA DIETETICA DE VITAMINA B12</t>
  </si>
  <si>
    <t>OTRAS ANEMIAS POR DEFICIENCIA DE VITAMINA B12</t>
  </si>
  <si>
    <t>ANEMIA POR DEFICIENCIA DE VITAMINA B12, SIN OTRA ESPECIFICACION</t>
  </si>
  <si>
    <t>ANEMIA POR DEFICIENCIA DIETETICA DE FOLATOS</t>
  </si>
  <si>
    <t>ANEMIA POR DEFICIENCIA DE FOLATOS INDUCIDA POR DROGAS</t>
  </si>
  <si>
    <t>OTRAS ANEMIAS POR DEFICIENCIA DE FOLATOS</t>
  </si>
  <si>
    <t>ANEMIA POR DEFICIENCIA DE FOLATOS, SIN OTRA ESPECIFICACION</t>
  </si>
  <si>
    <t>ANEMIA POR DEFICIENCIA DE PROTEINAS</t>
  </si>
  <si>
    <t>OTRAS ANEMIAS MEGALOBLASTICAS, NO CLASIFICADAS EN OTRA PARTE</t>
  </si>
  <si>
    <t>ANEMIA ESCORBUTICA</t>
  </si>
  <si>
    <t>OTRAS ANEMIAS NUTRICIONALES ESPECIFICADAS</t>
  </si>
  <si>
    <t>ANEMIA NUTRICIONAL, NO ESPECIFICADA</t>
  </si>
  <si>
    <t>ANEMIA DEBIDA A DEFICIENCIA DE GLUCOSA-6-FOSFATO DESHIDROGENASA (G6FD)</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</si>
  <si>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</si>
  <si>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</si>
  <si>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</si>
  <si>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</si>
  <si>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</si>
  <si>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ALFA TALASEMIA</t>
  </si>
  <si>
    <t>BETA TALASEMIA</t>
  </si>
  <si>
    <t>DELTA-BETA TALASEMIA</t>
  </si>
  <si>
    <t>RASGO TALASEMICO</t>
  </si>
  <si>
    <t>PERSISTENCIA HEREDITARIA DE LA HEMOGLOBINA FETAL (PHHF)</t>
  </si>
  <si>
    <t>OTRAS TALASEMIAS</t>
  </si>
  <si>
    <t>TALASEMIA, NO ESPECIFICADA</t>
  </si>
  <si>
    <t>ANEMIA FALCIFORME CON CRISIS</t>
  </si>
  <si>
    <t>ANEMIA FALCIFORME SIN CRISIS</t>
  </si>
  <si>
    <t>RASGO DREPANOCITICO</t>
  </si>
  <si>
    <t>OTROS TRASTORNOS FALCIFORMES</t>
  </si>
  <si>
    <t>ESFEROCITOSIS HEREDITARIA</t>
  </si>
  <si>
    <t>ELIPTOCITOSIS HEREDITARIA</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</si>
  <si>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</si>
  <si>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</si>
  <si>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</si>
  <si>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</si>
  <si>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</si>
  <si>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</si>
  <si>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</si>
  <si>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</si>
  <si>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DEBIDA A HEMOLISIS POR OTRAS CAUSAS EXTERNAS</t>
  </si>
  <si>
    <t>OTRAS ANEMIAS HEMOLITICAS ADQUIRIDAS</t>
  </si>
  <si>
    <t>APLASIA CRONICA ADQUIRIDA, EXCLUSIVA DE LA SERIE ROJA</t>
  </si>
  <si>
    <t>APLASIA TRANSITORIA ADQUIRIDA, EXCLUSIVA DE LA SERIE ROJA</t>
  </si>
  <si>
    <t>OTRAS APLASIAS ADQUIRIDAS, EXCLUSIVAS DE LA SERIE ROJA</t>
  </si>
  <si>
    <t>APLASIA ADQUIRIDA, EXCLUSIVA DE LA SERIE ROJA, NO ESPECIFICADA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</si>
  <si>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</si>
  <si>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</si>
  <si>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</si>
  <si>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</si>
  <si>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</si>
  <si>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</si>
  <si>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</si>
  <si>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</si>
  <si>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</si>
  <si>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</si>
  <si>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</si>
  <si>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</si>
  <si>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</si>
  <si>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OTRAS ANEMIAS ESPECIFICADAS</t>
  </si>
  <si>
    <t>ANEMIA DE TIPO NO ESPECIFICADO</t>
  </si>
  <si>
    <t>DEFICIENCIA HEREDITARIA DEL FACTOR VIII</t>
  </si>
  <si>
    <t>DEFICIENCIA HEREDITARIA DEL FACTOR IX</t>
  </si>
  <si>
    <t>ENFERMEDAD DE VON WILLEBRAND</t>
  </si>
  <si>
    <t>DEFICIENCIA HEREDITARIA DEL FACTOR XI</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</si>
  <si>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</si>
  <si>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</si>
  <si>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</si>
  <si>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</si>
  <si>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</si>
  <si>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</si>
  <si>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DEFECTOS CUALITATIVOS DE LAS PLAQUETAS</t>
  </si>
  <si>
    <t>OTRAS PURPURAS NO TROMBOCITOPENICAS</t>
  </si>
  <si>
    <t>OTRAS TROMBOCITOPENIAS PRIMARIAS</t>
  </si>
  <si>
    <t>TROMBOCITOPENIA NO ESPECIFICADA</t>
  </si>
  <si>
    <t>OTRAS AFECCIONES HEMORRAGICAS ESPECIFICADAS</t>
  </si>
  <si>
    <t>AFECCION HEMORRAGICA, NO ESPECIFICADA</t>
  </si>
  <si>
    <t>AGRANULOCITOSIS</t>
  </si>
  <si>
    <t>TRASTORNOS FUNCIONALES DE LOS POLIMORFONUCLEARES NEUTROFILOS</t>
  </si>
  <si>
    <t>ANOMALIAS GENETICAS DE LOS LEUCOCITOS</t>
  </si>
  <si>
    <t>EOSINOFILIA</t>
  </si>
  <si>
    <t>OTROS TRASTORNOS ESPECIFICADOS DE LOS LEUCOCITOS</t>
  </si>
  <si>
    <t>HIPOESPLENISMO</t>
  </si>
  <si>
    <t>HIPERESPLENISMO</t>
  </si>
  <si>
    <t>ESPLENOMEGALIA CONGESTIVA CRONICA</t>
  </si>
  <si>
    <t>ABSCESO DEL BAZO</t>
  </si>
  <si>
    <t>QUISTE DEL BAZO</t>
  </si>
  <si>
    <t>INFARTO DEL BAZO</t>
  </si>
  <si>
    <t>OTRAS ENFERMEDADES DEL BAZO</t>
  </si>
  <si>
    <t>ENFERMEDAD DEL BAZO, NO ESPECIFICADA</t>
  </si>
  <si>
    <t>METAHEMOGLOBINEMIA CONGENITA</t>
  </si>
  <si>
    <t>OTRAS METAHEMOGLOBINEMIAS</t>
  </si>
  <si>
    <t>METAHEMOGLOBINEMIA, NO ESPECIFICADA</t>
  </si>
  <si>
    <t>ERITROCITOSIS FAMILIAR</t>
  </si>
  <si>
    <t>POLICITEMIA SECUNDARIA</t>
  </si>
  <si>
    <t>TROMBOCITOSIS ESENCIAL</t>
  </si>
  <si>
    <t>LINFOHISTIOCITOSIS HEMOFAGOCITICA</t>
  </si>
  <si>
    <t>SINDROME HEMOFAGOCITICO ASOCIADO A INFECCION</t>
  </si>
  <si>
    <t>OTROS SINDROMES HISTIOCITICOS</t>
  </si>
  <si>
    <t>HIPOGAMMAGLOBULINEMIA HEREDITARIA</t>
  </si>
  <si>
    <t>HIPOGAMMAGLOBULINEMIA NO FAMILIAR</t>
  </si>
  <si>
    <t>HIPOGAMMAGLOBULINEMIA TRANSITORIA DE LA INFANCIA</t>
  </si>
  <si>
    <t>OTRAS INMUNODEFICIENCIAS CON PREDOMINIO DE DEFECTOS DE LOS ANTICUERPOS</t>
  </si>
  <si>
    <t>SINDROME DE NEZELOF</t>
  </si>
  <si>
    <t>DEFICIENCIA DE LA CLASE I DEL COMPLEJO DE HISTOCOMPATIBILIDAD MAYOR</t>
  </si>
  <si>
    <t>DEFICIENCIA DE LA CLASE II DEL COMPLEJO DE HISTOCOMPATIBILIDAD MAYOR</t>
  </si>
  <si>
    <t>OTRAS INMUNODEFICIENCIAS COMBINADAS</t>
  </si>
  <si>
    <t>INMUNODEFICIENCIA COMBINADA, NO ESPECIFICADA</t>
  </si>
  <si>
    <t>SINDROME DE WISKOTT-ALDRICH</t>
  </si>
  <si>
    <t>SINDROME DE DI GEORGE</t>
  </si>
  <si>
    <t>INMUNODEFICIENCIA ASOCIADA CON OTROS DEFECTOS MAYORES ESPECIFICADOS</t>
  </si>
  <si>
    <t>INMUNODEFICIENCIA VARIABLE COMUN CON AUTOANTICUERPOS ANTI-B O ANTI-T</t>
  </si>
  <si>
    <t>OTRAS INMUNODEFICIENCIAS VARIABLES COMUNES</t>
  </si>
  <si>
    <t>INMUNODEFICIENCIA VARIABLE COMUN, NO ESPECIFICADA</t>
  </si>
  <si>
    <t>DEFECTO DEL SISTEMA DEL COMPLEMENTO</t>
  </si>
  <si>
    <t>OTRAS INMUNODEFICIENCIAS ESPECIFICADAS</t>
  </si>
  <si>
    <t>INMUNODEFICIENCIA, NO ESPECIFICADA</t>
  </si>
  <si>
    <t>SARCOIDOSIS DEL PULMON</t>
  </si>
  <si>
    <t>SARCOIDOSIS DEL PULMON Y DE LOS GANGLIOS LINFATICOS</t>
  </si>
  <si>
    <t>SARCOIDOSIS DE LA PIEL</t>
  </si>
  <si>
    <t>SARCOIDOSIS DE OTROS SITIOS ESPECIFICADOS O DE SITIOS COMBINADOS</t>
  </si>
  <si>
    <t>SARCOIDOSIS DE SITIO NO ESPECIFICADO</t>
  </si>
  <si>
    <t>HIPERGAMMAGLOBULINEMIA POLICLONAL</t>
  </si>
  <si>
    <t>CRIOGLOBULINEMIA</t>
  </si>
  <si>
    <t>HIPERGAMMAGLOBULINEMIA, NO ESPECIFICADA</t>
  </si>
  <si>
    <t>TRASTORNO QUE AFECTA AL MECANISMO DE LA INMUNIDAD, NO ESPECIFICADO</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</si>
  <si>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</si>
  <si>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</si>
  <si>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</si>
  <si>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</si>
  <si>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</si>
  <si>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</si>
  <si>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</si>
  <si>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</si>
  <si>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</si>
  <si>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</si>
  <si>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</si>
  <si>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HIPOTIROIDISMO POSTINFECCIOSO</t>
  </si>
  <si>
    <t>ATROFIA DE TIROIDES (ADQUIRIDA)</t>
  </si>
  <si>
    <t>COMA MIXEDEMATOSO</t>
  </si>
  <si>
    <t>OTROS HIPOTIROIDISMOS ESPECIFICADOS</t>
  </si>
  <si>
    <t>HIPOTIROIDISMO, NO ESPECIFICADO</t>
  </si>
  <si>
    <t>BOCIO DIFUSO NO TOXICO</t>
  </si>
  <si>
    <t>NODULO TIROIDEO SOLITARIO NO TOXICO</t>
  </si>
  <si>
    <t>BOCIO MULTINODULAR NO TOXICO</t>
  </si>
  <si>
    <t>OTROS BOCIOS NO TOXICOS ESPECIFICADOS</t>
  </si>
  <si>
    <t>BOCIO NO TOXICO, NO ESPECIFICADO</t>
  </si>
  <si>
    <t>TIROTOXICOSIS CON BOCIO DIFUSO</t>
  </si>
  <si>
    <t>TIROTOXICOSIS CON NODULO SOLITARIO TIROIDEO TOXICO</t>
  </si>
  <si>
    <t>TIROTOXICOSIS CON BOCIO MULTINODULAR TOXICO</t>
  </si>
  <si>
    <t>TIROTOXICOSIS POR TEJIDO TIROIDEO ECTOPICO</t>
  </si>
  <si>
    <t>TIROTOXICOSIS FACTICIA</t>
  </si>
  <si>
    <t>CRISIS O TORMENTA TIROTOXICA</t>
  </si>
  <si>
    <t>OTRAS TIROTOXICOSIS</t>
  </si>
  <si>
    <t>TIROTOXICOSIS, NO ESPECIFICADA</t>
  </si>
  <si>
    <t>TIROIDITIS AGUDA</t>
  </si>
  <si>
    <t>TIROIDITIS SUBAGUDA</t>
  </si>
  <si>
    <t>TIROIDITIS CRONICA CON TIROTOXICOSIS TRANSITORIA</t>
  </si>
  <si>
    <t>TIROIDITIS AUTOINMUNE</t>
  </si>
  <si>
    <t>TIROIDITIS INDUCIDA POR DROGAS</t>
  </si>
  <si>
    <t>OTRAS TIROIDITIS CRONICAS</t>
  </si>
  <si>
    <t>TIROIDITIS, NO ESPECIFICADA</t>
  </si>
  <si>
    <t>HIPERSECRECION DE CALCITONINA</t>
  </si>
  <si>
    <t>BOCIO DISHORMOGENETICO</t>
  </si>
  <si>
    <t>OTROS TRASTORNOS ESPECIFICADOS DE LA GLANDULA TIROIDES</t>
  </si>
  <si>
    <t>TRASTORNO DE LA GLANDULA TIROIDES, NO ESPECIFICADO</t>
  </si>
  <si>
    <t>E102</t>
  </si>
  <si>
    <t>E103</t>
  </si>
  <si>
    <t>E104</t>
  </si>
  <si>
    <t>DIABETES MELLITUS ASOCIADA CON DESNUTRICION CON COMPLICACIONES RENALES</t>
  </si>
  <si>
    <t>COMA HIPOGLICEMICO NO DIABETICO</t>
  </si>
  <si>
    <t>HIPOGLICEMIA SIN COMA, INDUCIDA POR DROGAS</t>
  </si>
  <si>
    <t>OTRAS HIPOGLICEMIAS</t>
  </si>
  <si>
    <t>SECRECION EXAGERADA DEL GLUCAGON</t>
  </si>
  <si>
    <t>OTROS TRASTORNOS ESPECIFICADOS DE LA SECRECION INTERNA DEL PANCREAS</t>
  </si>
  <si>
    <t>HIPOPARATIROIDISMO IDIOPATICO</t>
  </si>
  <si>
    <t>PSEUDOHIPOPARATIROIDISMO</t>
  </si>
  <si>
    <t>OTROS TIPOS DE HIPOPARATIROIDISMO</t>
  </si>
  <si>
    <t>HIPOPARATIROIDISMO, NO ESPECIFICADO</t>
  </si>
  <si>
    <t>HIPERPARATIROIDISMO PRIMARIO</t>
  </si>
  <si>
    <t>HIPERPARATIROIDISMO SECUNDARIO NO CLASIFICADO EN OTRA PARTE</t>
  </si>
  <si>
    <t>OTROS TIPOS DE HIPERPARATIROIDISMO</t>
  </si>
  <si>
    <t>HIPERPARATIROIDISMO, SIN OTRA ESPECIFICACION</t>
  </si>
  <si>
    <t>OTROS TRASTORNOS ESPECIFICADOS DE LA GLANDULA PARATIROIDES</t>
  </si>
  <si>
    <t>TRASTORNO DE LA GLANDULA PARATIROIDES, NO ESPECIFICADO</t>
  </si>
  <si>
    <t>ACROMEGALIA Y GIGANTISMO HIPOFISARIO</t>
  </si>
  <si>
    <t>HIPERPROLACTINEMIA</t>
  </si>
  <si>
    <t>SINDROME DE SECRECION INAPROPIADA DE HORMONA ANTIDIURETICA</t>
  </si>
  <si>
    <t>OTRAS HIPERFUNCIONES DE LA GLANDULA HIPOFISIS</t>
  </si>
  <si>
    <t>HIPERFUNCION DE LA GLANDULA HIPOFISIS, NO ESPECIFICADA</t>
  </si>
  <si>
    <t>HIPOPITUITARISMO</t>
  </si>
  <si>
    <t>HIPOPITUITARISMO INDUCIDO POR DROGAS</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</si>
  <si>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</si>
  <si>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</si>
  <si>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</si>
  <si>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</si>
  <si>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</si>
  <si>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</si>
  <si>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</si>
  <si>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</si>
  <si>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</si>
  <si>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</si>
  <si>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</si>
  <si>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</si>
  <si>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</si>
  <si>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</si>
  <si>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</si>
  <si>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</si>
  <si>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</si>
  <si>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</si>
  <si>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</si>
  <si>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</si>
  <si>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</si>
  <si>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</si>
  <si>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</si>
  <si>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</si>
  <si>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</si>
  <si>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</si>
  <si>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</si>
  <si>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</si>
  <si>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</si>
  <si>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</si>
  <si>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</si>
  <si>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</si>
  <si>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</si>
  <si>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</si>
  <si>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OTRAS DISFUNCIONES TESTICULARES</t>
  </si>
  <si>
    <t>DISFUNCION TESTICULAR, NO ESPECIFICADA</t>
  </si>
  <si>
    <t>PUBERTAD RETARDADA</t>
  </si>
  <si>
    <t>PUBERTAD PRECOZ</t>
  </si>
  <si>
    <t>OTROS TRASTORNOS DE LA PUBERTAD</t>
  </si>
  <si>
    <t>TRASTORNO DE LA PUBERTAD, NO ESPECIFICADO</t>
  </si>
  <si>
    <t>HIPERFUNCION POLIGLANDULAR</t>
  </si>
  <si>
    <t>OTRAS DISFUNCIONES POLIGLANDULARES</t>
  </si>
  <si>
    <t>DISFUNCION POLIGLANDULAR, NO ESPECIFICADA</t>
  </si>
  <si>
    <t>HIPERPLASIA PERSISTENTE DEL TIMO</t>
  </si>
  <si>
    <t>ABSCESO DEL TIMO</t>
  </si>
  <si>
    <t>OTRAS ENFERMEDADES DEL TIMO</t>
  </si>
  <si>
    <t>ENFERMEDAD DEL TIMO, NO ESPECIFICADA</t>
  </si>
  <si>
    <t>SINDROME CARCINOIDE</t>
  </si>
  <si>
    <t>OTRAS HIPERSECRECIONES DE HORMONAS INTESTINALES</t>
  </si>
  <si>
    <t>SECRECION HORMONAL ECTOPICA, NO CLASIFICADA EN OTRA PARTE</t>
  </si>
  <si>
    <t>ENANISMO, NO CLASIFICADO EN OTRA PARTE</t>
  </si>
  <si>
    <t>ESTATURA ALTA CONSTITUCIONAL</t>
  </si>
  <si>
    <t>SINDROME DE RESISTENCIA ANDROGENICA</t>
  </si>
  <si>
    <t>OTROS TRASTORNOS ENDOCRINOS ESPECIFICADOS</t>
  </si>
  <si>
    <t>TRASTORNO ENDOCRINO, NO ESPECIFICADO</t>
  </si>
  <si>
    <t>KWASHIORKOR</t>
  </si>
  <si>
    <t>MARASMO NUTRICIONAL</t>
  </si>
  <si>
    <t>KWASHIORKOR MARASMATICO</t>
  </si>
  <si>
    <t>DESNUTRICION PROTEICOCALORICA SEVERA, NO ESPECIFICADA</t>
  </si>
  <si>
    <t>DESNUTRICION PROTEICOCALORICA MODERADA</t>
  </si>
  <si>
    <t>DESNUTRICION PROTEICOCALORICA LEVE</t>
  </si>
  <si>
    <t>RETARDO DEL DESARROLLO DEBIDO A DESNUTRICION PROTEICOCALORICA</t>
  </si>
  <si>
    <t>DEFICIENCIA DE VITAMINA A CON XEROSIS CONJUNTIVAL</t>
  </si>
  <si>
    <t>DEFICIENCIA DE VITAMINA A CON MANCHA DE BITOT Y XEROSIS CONJUNTIVAL</t>
  </si>
  <si>
    <t>DEFICIENCIA DE VITAMINA A CON XEROSIS CORNEAL</t>
  </si>
  <si>
    <t>DEFICIENCIA DE VITAMINA A CON ULCERACION CORNEAL Y XEROSIS</t>
  </si>
  <si>
    <t>DEFICIENCIA DE VITAMINA A CON QUERATOMALACIA</t>
  </si>
  <si>
    <t>DEFICIENCIA DE VITAMINA A CON CEGUERA NOCTURNA</t>
  </si>
  <si>
    <t>DEFICIENCIA DE VITAMINA A CON CICATRICES XEROFTALMICAS DE LA CORNEA</t>
  </si>
  <si>
    <t>OTRAS MANIFESTACIONES DE DEFICIENCIA DE VITAMINA A</t>
  </si>
  <si>
    <t>DEFICIENCIA DE VITAMINA A, NO ESPECIFICADA</t>
  </si>
  <si>
    <t>BERIBERI</t>
  </si>
  <si>
    <t>ENCEFALOPATIA DE WERNICKE</t>
  </si>
  <si>
    <t>OTRAS MANIFESTACIONES DE LA DEFICIENCIA DE TIAMINA</t>
  </si>
  <si>
    <t>DEFICIENCIA DE TIAMINA, NO ESPECIFICADA</t>
  </si>
  <si>
    <t>DEFICIENCIA DE RIBOFLAVINA</t>
  </si>
  <si>
    <t>DEFICIENCIA DE PIRIDOXINA</t>
  </si>
  <si>
    <t>DEFICIENCIA DE OTRAS VITAMINAS DEL GRUPO B</t>
  </si>
  <si>
    <t>DEFICIENCIA DE VITAMINA B, NO ESPECIFICADA</t>
  </si>
  <si>
    <t>DEFICIENCIA DE ACIDO ASCORBICO</t>
  </si>
  <si>
    <t>RAQUITISMO ACTIVO</t>
  </si>
  <si>
    <t>DEFICIENCIA DE VITAMINA D, NO ESPECIFICADA</t>
  </si>
  <si>
    <t>DEFICIENCIA DE VITAMINA E</t>
  </si>
  <si>
    <t>DEFICIENCIA DE VITAMINA K</t>
  </si>
  <si>
    <t>DEFICIENCIA DE OTRAS VITAMINAS</t>
  </si>
  <si>
    <t>DEFICIENCIA DE VITAMINA, NO ESPECIFICADA</t>
  </si>
  <si>
    <t>DEFICIENCIA DIETETICA DE CALCIO</t>
  </si>
  <si>
    <t>DEFICIENCIA DIETETICA DE SELENIO</t>
  </si>
  <si>
    <t>DEFICIENCIA DIETETICA DE ZINC</t>
  </si>
  <si>
    <t>DEFICIENCIA DE COBRE</t>
  </si>
  <si>
    <t>DEFICIENCIA DE HIERRO</t>
  </si>
  <si>
    <t>DEFICIENCIA DE MAGNESIO</t>
  </si>
  <si>
    <t>DEFICIENCIA DE MANGANESO</t>
  </si>
  <si>
    <t>DEFICIENCIA DE CROMO</t>
  </si>
  <si>
    <t>DEFICIENCIA DE MOLIBDENO</t>
  </si>
  <si>
    <t>DEFICIENCIA DE VANADIO</t>
  </si>
  <si>
    <t>DEFICIENCIA DE MULTIPLES ELEMENTOS NUTRICIONALES</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</si>
  <si>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</si>
  <si>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</si>
  <si>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</si>
  <si>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</si>
  <si>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</si>
  <si>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DESNUTRICION PROTEICOCALORICA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</si>
  <si>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</si>
  <si>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</si>
  <si>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</si>
  <si>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</si>
  <si>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</si>
  <si>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</si>
  <si>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DEBIDA A EXCESO DE CALORIAS</t>
  </si>
  <si>
    <t>OBESIDAD INDUCIDA POR DROGAS</t>
  </si>
  <si>
    <t>OBESIDAD EXTREMA CON HIPOVENTILACION ALVEOLAR</t>
  </si>
  <si>
    <t>OTROS TIPOS DE OBESIDAD</t>
  </si>
  <si>
    <t>OBESIDAD, NO ESPECIFICADA</t>
  </si>
  <si>
    <t>HIPERVITAMINOSIS A</t>
  </si>
  <si>
    <t>HIPERCAROTINEMIA</t>
  </si>
  <si>
    <t>SINDROME DE MEGAVITAMINA B6</t>
  </si>
  <si>
    <t>HIPERVITAMINOSIS D</t>
  </si>
  <si>
    <t>OTROS TIPOS DE HIPERALIMENTACION ESPECIFICADOS</t>
  </si>
  <si>
    <t>SECUELAS DE HIPERALIMENTACION</t>
  </si>
  <si>
    <t>FENILCETONURIA CLASICA</t>
  </si>
  <si>
    <t>OTRAS HIPERFENILALANINEMIAS</t>
  </si>
  <si>
    <t>TRASTORNOS DEL METABOLISMO DE LA TIROSINA</t>
  </si>
  <si>
    <t>ALBINISMO</t>
  </si>
  <si>
    <t>OTROS TRASTORNOS DEL METABOLISMO DE LOS AMINOACIDOS AROMATICOS</t>
  </si>
  <si>
    <t>ENFERMEDAD DE LA ORINA EN JARABE DE ARCE</t>
  </si>
  <si>
    <t>TRASTORNOS DEL METABOLISMO DE LOS ACIDOS GRASOS</t>
  </si>
  <si>
    <t>TRASTORNOS DEL TRANSPORTE DE LOS AMINOACIDOS</t>
  </si>
  <si>
    <t>TRASTORNOS DEL METABOLISMO DEL CICLO DE LA UREA</t>
  </si>
  <si>
    <t>TRASTORNOS DEL METABOLISMO DE LA LISINA Y LA HIDROXILISINA</t>
  </si>
  <si>
    <t>OTROS TRASTORNOS ESPECIFICADOS DEL METABOLISMO DE LOS AMINOACIDOS</t>
  </si>
  <si>
    <t>TRASTORNO DEL METABOLISMO DE LOS AMINOACIDOS, NO ESPECIFICADO</t>
  </si>
  <si>
    <t>DEFICIENCIA CONGENITA DE LACTASA</t>
  </si>
  <si>
    <t>DEFICIENCIA SECUNDARIA DE LACTASA</t>
  </si>
  <si>
    <t>OTROS TIPOS DE INTOLERANCIA A LA LACTOSA</t>
  </si>
  <si>
    <t>INTOLERANCIA A LA LACTOSA, NO ESPECIFICADA</t>
  </si>
  <si>
    <t>ENFERMEDAD DEL ALMACENAMIENTO DE GLUCOGENO</t>
  </si>
  <si>
    <t>TRASTORNOS DEL METABOLISMO DE LA FRUCTOSA</t>
  </si>
  <si>
    <t>TRASTORNO DEL METABOLISMO DE LA GALACTOSA</t>
  </si>
  <si>
    <t>OTROS TRASTORNOS DE LA ABSORCION INTESTINAL DE CARBOHIDRATOS</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</si>
  <si>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</si>
  <si>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</si>
  <si>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</si>
  <si>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</si>
  <si>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</si>
  <si>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</si>
  <si>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</si>
  <si>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OTROS TRASTORNOS DEL ALMACENAMIENTO DE LIPIDOS</t>
  </si>
  <si>
    <t>MUCOPOLISACARIDOSIS TIPO I</t>
  </si>
  <si>
    <t>MUCOPOLISACARIDOSIS TIPO II</t>
  </si>
  <si>
    <t>OTRAS MUCOPOLISACARIDOSIS</t>
  </si>
  <si>
    <t>MUCOPOLISACARIDOSIS NO ESPECIFICADA</t>
  </si>
  <si>
    <t>TRASTORNO DEL METABOLISMO DE LOS GLUCOSAMINOGLICANOS, NO ESPECIFICADO</t>
  </si>
  <si>
    <t>DEFECTOS EN LA MODIFICACION POSTRASLACIONAL DE ENZIMAS LISOSOMALES</t>
  </si>
  <si>
    <t>DEFECTOS DE LA DEGRADACION DE GLUCOPROTEINAS</t>
  </si>
  <si>
    <t>OTROS TRASTORNOS DEL METABOLISMO DE LAS GLUCOPROTEINAS</t>
  </si>
  <si>
    <t>TRASTORNO DEL METABOLISMO DE LAS GLUCOPROTEINAS, NO ESPECIFICADO</t>
  </si>
  <si>
    <t>HIPERCOLESTEROLEMIA PURA</t>
  </si>
  <si>
    <t>HIPERGLICERIDEMIA PURA</t>
  </si>
  <si>
    <t>HIPERLIPIDEMIA MIXTA</t>
  </si>
  <si>
    <t>HIPERQUILOMICRONEMIA</t>
  </si>
  <si>
    <t>OTRA HIPERLIPIDEMIA</t>
  </si>
  <si>
    <t>HIPERLIPIDEMIA NO ESPECIFICADA</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</si>
  <si>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</si>
  <si>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</si>
  <si>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</si>
  <si>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</si>
  <si>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</si>
  <si>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OTROS TRASTORNOS DEL METABOLISMO DE LAS PURINAS Y DE LAS PIRIMIDINAS</t>
  </si>
  <si>
    <t>PORFIRIA ERITROPOYETICA HEREDITARIA</t>
  </si>
  <si>
    <t>PORFIRIA CUTANEA TARDIA</t>
  </si>
  <si>
    <t>OTRAS PORFIRIAS</t>
  </si>
  <si>
    <t>DEFECTOS DE CATALASA Y PEROXIDASA</t>
  </si>
  <si>
    <t>SINDROME DE GILBERT</t>
  </si>
  <si>
    <t>SINDROME DE CRIGLER-NAJJAR</t>
  </si>
  <si>
    <t>OTROS TRASTORNOS DEL METABOLISMO DE LA BILIRRUBINA</t>
  </si>
  <si>
    <t>TRASTORNOS DEL METABOLISMO DEL COBRE</t>
  </si>
  <si>
    <t>TRASTORNOS DEL METABOLISMO DEL HIERRO</t>
  </si>
  <si>
    <t>TRASTORNOS DEL METABOLISMO DEL ZINC</t>
  </si>
  <si>
    <t>TRASTORNOS DEL METABOLISMO DEL FOSFORO</t>
  </si>
  <si>
    <t>TRASTORNOS DEL METABOLISMO DEL MAGNESIO</t>
  </si>
  <si>
    <t>TRASTORNOS DEL METABOLISMO DEL CALCIO</t>
  </si>
  <si>
    <t>OTROS TRASTORNOS DEL METABOLISMO DE LOS MINERALES</t>
  </si>
  <si>
    <t>TRASTORNO DEL METABOLISMO DE LOS MINERALES, NO ESPECIFICADO</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</si>
  <si>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</si>
  <si>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</si>
  <si>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</si>
  <si>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</si>
  <si>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</si>
  <si>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</si>
  <si>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</si>
  <si>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</si>
  <si>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OTRAS AMILOIDOSIS</t>
  </si>
  <si>
    <t>AMILOIDOSIS, NO ESPECIFICADA</t>
  </si>
  <si>
    <t>DEPLECION DEL VOLUMEN</t>
  </si>
  <si>
    <t>HIPEROSMOLARIDAD E HIPERNATREMIA</t>
  </si>
  <si>
    <t>ACIDOSIS</t>
  </si>
  <si>
    <t>ALCALOSIS</t>
  </si>
  <si>
    <t>TRASTORNOS MIXTOS DEL BALANCE ACIDO-BASICO</t>
  </si>
  <si>
    <t>HIPERPOTASEMIA</t>
  </si>
  <si>
    <t>HIPOPOTASMIA</t>
  </si>
  <si>
    <t>SOBRECARGA DE LIQUIDOS</t>
  </si>
  <si>
    <t>LIPODISTROFIA, NO CLASIFICADA EN OTRA PARTE</t>
  </si>
  <si>
    <t>LIPOMATOSIS, NO CLASIFICADA EN OTRA PARTE</t>
  </si>
  <si>
    <t>OTROS TRASTORNOS ESPECIFICADOS DEL METABOLISMO</t>
  </si>
  <si>
    <t>TRASTORNO METABOLICO, NO ESPECIFICADO</t>
  </si>
  <si>
    <t>HIPOTIROIDISMO CONSECUTIVO A PROCEDIMIENTOS</t>
  </si>
  <si>
    <t>HIPOINSULINEMIA CONSECUTIVA A PROCEDIMIENTOS</t>
  </si>
  <si>
    <t>HIPOPARATIROIDISMO CONSECUTIVO A PROCEDIMIENTOS</t>
  </si>
  <si>
    <t>HIPOPITUITARISMO CONSECUTIVO A PROCEDIMIENTOS</t>
  </si>
  <si>
    <t>INSUFICIENCIA OVARICA CONSECUTIVA A PROCEDIMIENTOS</t>
  </si>
  <si>
    <t>HIPOFUNCION TESTICULAR CONSECUTIVA A PROCEDIMIENTOS</t>
  </si>
  <si>
    <t>DEMENCIA VASCULAR DE COMIENZO AGUDO</t>
  </si>
  <si>
    <t>DEMENCIA VASCULAR POR INFARTOS MULTIPLES</t>
  </si>
  <si>
    <t>DEMENCIA VASCULAR SUBCORTICAL</t>
  </si>
  <si>
    <t>DEMENCIA VASCULAR MIXTA, CORTICAL Y SUBCORTICAL</t>
  </si>
  <si>
    <t>OTRAS DEMENCIAS VASCULARES</t>
  </si>
  <si>
    <t>DEMENCIA VASCULAR, NO ESPECIFICADA</t>
  </si>
  <si>
    <t>DELIRIO NO SUPERPUESTO A UN CUADRO DE DEMENCIA, ASI DESCRITO</t>
  </si>
  <si>
    <t>DELIRIO SUPERPUESTO A UN CUADRO DE DEMENCIA</t>
  </si>
  <si>
    <t>OTROS DELIRIOS</t>
  </si>
  <si>
    <t>DELIRIO, NO ESPECIFICADO</t>
  </si>
  <si>
    <t>ALUCINOSIS ORGANICA</t>
  </si>
  <si>
    <t>TRASTORNO CATATONICO, ORGANICO</t>
  </si>
  <si>
    <t>TRASTORNO DE ANSIEDAD, ORGANICO</t>
  </si>
  <si>
    <t>TRASTORNO DISOCIATIVO, ORGANICO</t>
  </si>
  <si>
    <t>TRASTORNO COGNOSCITIVO LEVE</t>
  </si>
  <si>
    <t>TRASTORNO DE LA PERSONALIDAD, ORGANICO</t>
  </si>
  <si>
    <t>SINDROME POSTENCEFALITICO</t>
  </si>
  <si>
    <t>SINDROME POSTCONCUSIONAL</t>
  </si>
  <si>
    <t>TRASTORNO MENTAL ORGANICO O SINTOMATICO, NO ESPECIFICADO</t>
  </si>
  <si>
    <t>ESQUIZOFRENIA PARANOIDE</t>
  </si>
  <si>
    <t>ESQUIZOFRENIA HEBEFRENICA</t>
  </si>
  <si>
    <t>ESQUIZOFRENIA CATATONICA</t>
  </si>
  <si>
    <t>ESQUIZOFRENIA INDIFERENCIADA</t>
  </si>
  <si>
    <t>DEPRESION POSTESQUIZOFRENICA</t>
  </si>
  <si>
    <t>ESQUIZOFRENIA RESIDUAL</t>
  </si>
  <si>
    <t>ESQUIZOFRENIA SIMPLE</t>
  </si>
  <si>
    <t>OTRAS ESQUIZOFRENIAS</t>
  </si>
  <si>
    <t>ESQUIZOFRENIA, NO ESPECIFICADA</t>
  </si>
  <si>
    <t>TRASTORNO ESQUIZOTIPICO</t>
  </si>
  <si>
    <t>TRASTORNO DELIRANTE</t>
  </si>
  <si>
    <t>OTROS TRASTORNOS DELIRANTES PERSISTENTES</t>
  </si>
  <si>
    <t>TRASTORNO DELIRANTE PERSISTENTE, NO ESPECIFICADO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</si>
  <si>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</si>
  <si>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</si>
  <si>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</si>
  <si>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</si>
  <si>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</si>
  <si>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DELIRANTE INDUCIDO</t>
  </si>
  <si>
    <t>TRASTORNO ESQUIZOAFECTIVO DE TIPO MANIACO</t>
  </si>
  <si>
    <t>TRASTORNO ESQUIZOAFECTIVO DE TIPO DEPRESIVO</t>
  </si>
  <si>
    <t>TRASTORNO ESQUIZOAFECTIVO DE TIPO MIXTO</t>
  </si>
  <si>
    <t>OTROS TRASTORNOS ESQUIZOAFECTIVOS</t>
  </si>
  <si>
    <t>TRASTORNO ESQUIZOAFECTIVO, NO ESPECIFICADO</t>
  </si>
  <si>
    <t>OTROS TRASTORNOS PSICOTICOS DE ORIGEN NO ORGANICO</t>
  </si>
  <si>
    <t>PSICOSIS DE ORIGEN NO ORGANICO, NO ESPECIFICADA</t>
  </si>
  <si>
    <t>MANIA SIN SINTOMAS PSICOTICOS</t>
  </si>
  <si>
    <t>MANIA CON SINTOMAS PSICOTICOS</t>
  </si>
  <si>
    <t>OTROS EPISODIOS MANIACOS</t>
  </si>
  <si>
    <t>EPISODIO MANIACO, NO ESPECIFICADO</t>
  </si>
  <si>
    <t>TRASTORNO AFECTIVO BIPOLAR, EPISODIO HIPOMANIACO PRESENTE</t>
  </si>
  <si>
    <t>TRASTORNO AFECTIVO BIPOLAR, EPISODIO MIXTO PRESENTE</t>
  </si>
  <si>
    <t>TRASTORNO AFECTIVO BIPOLAR, ACTUALMENTE EN REMISION</t>
  </si>
  <si>
    <t>OTROS TRASTORNOS AFECTIVOS BIPOLARES</t>
  </si>
  <si>
    <t>TRASTORNO AFECTIVO BIPOLAR, NO ESPECIFICADO</t>
  </si>
  <si>
    <t>EPISODIO DEPRESIVO LEVE</t>
  </si>
  <si>
    <t>EPISODIO DEPRESIVO MODERADO</t>
  </si>
  <si>
    <t>EPISODIO DEPRESIVO GRAVE SIN SINTOMAS PSICOTICOS</t>
  </si>
  <si>
    <t>EPISODIO DEPRESIVO GRAVE CON SINTOMAS PSICOTICOS</t>
  </si>
  <si>
    <t>OTROS EPISODIOS DEPRESIVOS</t>
  </si>
  <si>
    <t>EPISODIO DEPRESIVO, NO ESPECIFICADO</t>
  </si>
  <si>
    <t>TRASTORNO DEPRESIVO RECURRENTE, EPISODIO LEVE PRESENTE</t>
  </si>
  <si>
    <t>TRASTORNO DEPRESIVO RECURRENTE, EPISODIO MODERADO PRESENTE</t>
  </si>
  <si>
    <t>TRASTORNO DEPRESIVO RECURRENTE ACTUALMENTE EN REMISION</t>
  </si>
  <si>
    <t>OTROS TRASTORNOS DEPRESIVOS RECURRENTES</t>
  </si>
  <si>
    <t>TRASTORNO DEPRESIVO RECURRENTE, NO ESPECIFICADO</t>
  </si>
  <si>
    <t>CICLOTIMIA</t>
  </si>
  <si>
    <t>DISTIMIA</t>
  </si>
  <si>
    <t>AGORAFOBIA</t>
  </si>
  <si>
    <t>FOBIAS SOCIALES</t>
  </si>
  <si>
    <t>OTROS TRASTORNOS FOBICOS DE ANSIEDAD</t>
  </si>
  <si>
    <t>TRASTORNO FOBICO DE ANSIEDAD, NO ESPECIFICADO</t>
  </si>
  <si>
    <t>TRASTORNO DE ANSIEDAD GENERALIZADA</t>
  </si>
  <si>
    <t>TRASTORNO MIXTO DE ANSIEDAD Y DEPRESION</t>
  </si>
  <si>
    <t>OTROS TRASTORNOS DE ANSIEDAD MIXTOS</t>
  </si>
  <si>
    <t>OTROS TRASTORNOS DE ANSIEDAD ESPECIFICADOS</t>
  </si>
  <si>
    <t>PREDOMINIO DE PENSAMIENTOS O RUMIACIONES OBSESIVAS</t>
  </si>
  <si>
    <t>ACTOS E IDEAS OBSESIVAS MIXTOS</t>
  </si>
  <si>
    <t>OTROS TRASTORNOS OBSESIVO-COMPULSIVOS</t>
  </si>
  <si>
    <t>TRASTORNO OBSESIVO-COMPULSIVO, NO ESPECIFICADO</t>
  </si>
  <si>
    <t>TRASTORNOS DE ADAPTACION</t>
  </si>
  <si>
    <t>AMNESIA DISOCIATIVA</t>
  </si>
  <si>
    <t>FUGA DISOCIATIVA</t>
  </si>
  <si>
    <t>ESTUPOR DISOCIATIVO</t>
  </si>
  <si>
    <t>TRASTORNOS DE TRANCE Y DE POSESION</t>
  </si>
  <si>
    <t>TRASTORNOS DISOCIATIVOS DEL MOVIMIENTO</t>
  </si>
  <si>
    <t>CONVULSIONES DISOCIATIVAS</t>
  </si>
  <si>
    <t>ANESTESIA DISOCIATIVA Y PERDIDA SENSORIAL</t>
  </si>
  <si>
    <t>TRASTORNO DE SOMATIZACION</t>
  </si>
  <si>
    <t>TRASTORNO SOMATOMORFO INDIFERENCIADO</t>
  </si>
  <si>
    <t>TRASTORNO HIPOCONDRIACO</t>
  </si>
  <si>
    <t>DISFUNCION AUTONOMICA SOMATOMORFA</t>
  </si>
  <si>
    <t>TRASTORNO DE DOLOR PERSISTENTE SOMATOMORFO</t>
  </si>
  <si>
    <t>OTROS TRASTORNOS SOMATOMORFOS</t>
  </si>
  <si>
    <t>TRASTORNO SOMATOMORFO, NO ESPECIFICADO</t>
  </si>
  <si>
    <t>NEURASTENIA</t>
  </si>
  <si>
    <t>SINDROME DE DESPERSONALIZACION Y DESVINCULACION DE LA REALIDAD</t>
  </si>
  <si>
    <t>OTROS TRASTORNOS NEUROTICOS ESPECIFICADOS</t>
  </si>
  <si>
    <t>TRASTORNO NEUROTICO, NO ESPECIFICADO</t>
  </si>
  <si>
    <t>ANOREXIA NERVIOSA</t>
  </si>
  <si>
    <t>ANOREXIA NERVIOSA ATIPICA</t>
  </si>
  <si>
    <t>BULIMIA NERVIOSA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</si>
  <si>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</si>
  <si>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</si>
  <si>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</si>
  <si>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</si>
  <si>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</si>
  <si>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</si>
  <si>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</si>
  <si>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SUEÑO-VIGILIA</t>
  </si>
  <si>
    <t>SONAMBULISMO</t>
  </si>
  <si>
    <t>PESADILLAS</t>
  </si>
  <si>
    <t>OTROS TRASTORNOS NO ORGANICOS DEL SUEÑO</t>
  </si>
  <si>
    <t>TRASTORNO NO ORGANICO DEL SUEÑO, NO ESPECIFICADO</t>
  </si>
  <si>
    <t>FALTA O PERDIDA DEL DESEO SEXUAL</t>
  </si>
  <si>
    <t>AVERSION AL SEXO Y FALTA DE GOCE SEXUAL</t>
  </si>
  <si>
    <t>FALLA DE LA RESPUESTA GENITAL</t>
  </si>
  <si>
    <t>DISFUNCION ORGASMICA</t>
  </si>
  <si>
    <t>EYACULACION PRECOZ</t>
  </si>
  <si>
    <t>VAGINISMO NO ORGANICO</t>
  </si>
  <si>
    <t>DISPAREUNIA NO ORGANICA</t>
  </si>
  <si>
    <t>IMPULSO SEXUAL EXCESIVO</t>
  </si>
  <si>
    <t>TRASTORNO MENTAL PUERPERAL, NO ESPECIFICADO</t>
  </si>
  <si>
    <t>ABUSO DE SUSTANCIAS QUE NO PRODUCEN DEPENDENCIA</t>
  </si>
  <si>
    <t>TRASTORNO PARANOIDE DE LA PERSONALIDAD</t>
  </si>
  <si>
    <t>TRASTORNO ESQUIZOIDE DE LA PERSONALIDAD</t>
  </si>
  <si>
    <t>TRASTORNO ASOCIAL DE LA PERSONALIDAD</t>
  </si>
  <si>
    <t>TRASTORNO DE LA PERSONALIDAD EMOCIONALMENTE INESTABLE</t>
  </si>
  <si>
    <t>TRASTORNO HISTRIONICO DE LA PERSONALIDAD</t>
  </si>
  <si>
    <t>TRASTORNO ANANCASTICO DE LA PERSONALIDAD</t>
  </si>
  <si>
    <t>TRASTORNO DE LA PERSONALIDAD ANSIOSA (EVASIVA, ELUSIVA)</t>
  </si>
  <si>
    <t>TRASTORNO DE LA PERSONALIDAD DEPENDIENTE</t>
  </si>
  <si>
    <t>OTROS TRASTORNOS ESPECIFICOS DE LA PERSONALIDAD</t>
  </si>
  <si>
    <t>TRASTORNO DE LA PERSONALIDAD, NO ESPECIFICADO</t>
  </si>
  <si>
    <t>TRASTORNOS MIXTOS Y OTROS TRASTORNOS DE LA PERSONALIDAD</t>
  </si>
  <si>
    <t>OTROS CAMBIOS PERDURABLES DE LA PERSONALIDAD</t>
  </si>
  <si>
    <t>CAMBIO PERDURABLE DE LA PERSONALIDAD, NO ESPECIFICADO</t>
  </si>
  <si>
    <t>JUEGO PATOLOGICO</t>
  </si>
  <si>
    <t>PIROMANIA</t>
  </si>
  <si>
    <t>HURTO PATOLOGICO (CLEPTOMANIA)</t>
  </si>
  <si>
    <t>TRICOTILOMANIA</t>
  </si>
  <si>
    <t>OTROS TRASTORNOS DE LOS HABITOS Y DE LOS IMPULSOS</t>
  </si>
  <si>
    <t>TRASTORNO DE LOS HABITOS Y DE LOS IMPULSOS, NO ESPECIFICADO</t>
  </si>
  <si>
    <t>TRANSEXUALISMO</t>
  </si>
  <si>
    <t>TRANSVESTISMO DE ROL DUAL</t>
  </si>
  <si>
    <t>TRASTORNO DE LA IDENTIDAD DE GENERO EN LA NIÑEZ</t>
  </si>
  <si>
    <t>OTROS TRASTORNOS DE LA IDENTIDAD DE GENERO</t>
  </si>
  <si>
    <t>TRASTORNO DE LA IDENTIDAD DE GENERO, NO ESPECIFICADO</t>
  </si>
  <si>
    <t>FETICHISMO</t>
  </si>
  <si>
    <t>TRANSVESTISMO FETICHISTA</t>
  </si>
  <si>
    <t>EXHIBICIONISMO</t>
  </si>
  <si>
    <t>VOYEURISMO</t>
  </si>
  <si>
    <t>PEDOFILIA</t>
  </si>
  <si>
    <t>SADOMASOQUISMO</t>
  </si>
  <si>
    <t>TRASTORNOS MULTIPLES DE LA PREFERENCIA SEXUAL</t>
  </si>
  <si>
    <t>OTROS TRASTORNOS DE LA PREFERENCIA SEXUAL</t>
  </si>
  <si>
    <t>TRASTORNO DE LA PREFERENCIA SEXUAL, NO ESPECIFICADO</t>
  </si>
  <si>
    <t>TRASTORNO DE LA MADURACION SEXUAL</t>
  </si>
  <si>
    <t>ORIENTACION SEXUAL EGODISTONICA</t>
  </si>
  <si>
    <t>TRASTORNO DE LA RELACION SEXUAL</t>
  </si>
  <si>
    <t>OTROS TRASTORNOS DEL DESARROLLO PSICOSEXUAL</t>
  </si>
  <si>
    <t>TRASTORNO DEL DESARROLLO PSICOSEXUAL, NO ESPECIFICADO</t>
  </si>
  <si>
    <t>ELABORACION DE SINTOMAS FISICOS POR CAUSAS PSICOLOGICAS</t>
  </si>
  <si>
    <t>TRASTORNO ESPECIFICO DE LA PRONUNCIACION</t>
  </si>
  <si>
    <t>TRASTORNO DEL LENGUAJE EXPRESIVO</t>
  </si>
  <si>
    <t>TRASTORNO DE LA RECEPCION DEL LENGUAJE</t>
  </si>
  <si>
    <t>OTROS TRASTORNOS DEL DESARROLLO DEL HABLA Y DEL LENGUAJE</t>
  </si>
  <si>
    <t>TRASTORNO DEL DESARROLLO DEL HABLA Y DEL LENGUAJE NO ESPECIFICADO</t>
  </si>
  <si>
    <t>TRASTORNO ESPECIFICO DE LA LECTURA</t>
  </si>
  <si>
    <t>TRASTORNO ESPECIFICO DEL DELETREO (ORTOGRAFIA)</t>
  </si>
  <si>
    <t>TRASTORNO ESPECIFICO DE LAS HABILIDADES ARITMETICAS</t>
  </si>
  <si>
    <t>TRASTORNO MIXTO DE LAS HABILIDADES ESCOLARES</t>
  </si>
  <si>
    <t>OTROS TRASTORNOS DEL DESARROLLO DE LAS HABILIDADES ESCOLARES</t>
  </si>
  <si>
    <t>TRASTORNO DEL DESARROLLO DE LAS HABILIDADES ESCOLARES, NO ESPECIFICADO</t>
  </si>
  <si>
    <t>TRASTORNO ESPECIFICO DEL DESARROLLO DE LA FUNCION MOTRIZ</t>
  </si>
  <si>
    <t>TRASTORNOS ESPECIFICOS MIXTOS DEL DESARROLLO</t>
  </si>
  <si>
    <t>AUTISMO EN LA NIÑEZ</t>
  </si>
  <si>
    <t>AUTISMO ATIPICO</t>
  </si>
  <si>
    <t>SINDROME DE RETT</t>
  </si>
  <si>
    <t>OTRO TRASTORNO DESINTEGRATIVO DE LA NIÑEZ</t>
  </si>
  <si>
    <t>SINDROME DE ASPERGER</t>
  </si>
  <si>
    <t>OTROS TRASTORNOS GENERALIZADOS DEL DESARROLLO</t>
  </si>
  <si>
    <t>TRASTORNO GENERALIZADO DEL DESARROLLO NO ESPECIFICADO</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</si>
  <si>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</si>
  <si>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</si>
  <si>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</si>
  <si>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</si>
  <si>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</si>
  <si>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</si>
  <si>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</si>
  <si>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</si>
  <si>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</si>
  <si>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</si>
  <si>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</si>
  <si>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</si>
  <si>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</si>
  <si>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</si>
  <si>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</si>
  <si>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ANSIEDAD DE SEPARACION EN LA NIÑEZ</t>
  </si>
  <si>
    <t>TRASTORNO DE ANSIEDAD FOBICA EN LA NIÑEZ</t>
  </si>
  <si>
    <t>TRASTORNO DE ANSIEDAD SOCIAL EN LA NIÑEZ</t>
  </si>
  <si>
    <t>TRASTORNO DE RIVALIDAD ENTRE HERMANOS</t>
  </si>
  <si>
    <t>OTROS TRASTORNOS EMOCIONALES EN LA NIÑEZ</t>
  </si>
  <si>
    <t>TRASTORNO EMOCIONAL EN LA NIÑEZ, NO ESPECIFICADO</t>
  </si>
  <si>
    <t>MUTISMO ELECTIVO</t>
  </si>
  <si>
    <t>TRASTORNO DE VINCULACION REACTIVA EN LA NIÑEZ</t>
  </si>
  <si>
    <t>TRASTORNO DE VINCULACION DESINHIBIDA EN LA NIÑEZ</t>
  </si>
  <si>
    <t>OTROS TRASTORNOS DEL COMPORTAMIENTO SOCIAL EN LA NIÑEZ</t>
  </si>
  <si>
    <t>TRASTORNO DEL COMPORTAMIENTO SOCIAL EN LA NIÑEZ, NO ESPECIFICADO</t>
  </si>
  <si>
    <t>TRASTORNO POR TIC TRANSITORIO</t>
  </si>
  <si>
    <t>TRASTORNO POR TIC MOTOR O VOCAL CRONICO</t>
  </si>
  <si>
    <t>TRASTORNO POR TIC, NO ESPECIFICADO</t>
  </si>
  <si>
    <t>ENURESIS NO ORGANICA</t>
  </si>
  <si>
    <t>PICA EN LA INFANCIA Y LA NIÑEZ</t>
  </si>
  <si>
    <t>TRASTORNOS DE LOS MOVIMIENTOS ESTEREOTIPADOS</t>
  </si>
  <si>
    <t>FARFULLEO</t>
  </si>
  <si>
    <t>TRASTORNO MENTAL, NO ESPECIFICADO</t>
  </si>
  <si>
    <t>MENINGITIS POR HEMOFILOS</t>
  </si>
  <si>
    <t>MENINGITIS NEUMOCOCICA</t>
  </si>
  <si>
    <t>MENINGITIS ESTREPTOCOCICA</t>
  </si>
  <si>
    <t>MENINGITIS ESTAFILOCOCICA</t>
  </si>
  <si>
    <t>OTRAS MENINGITIS BACTERIANAS</t>
  </si>
  <si>
    <t>MENINGITIS BACTERIANA, NO ESPECIFICADA</t>
  </si>
  <si>
    <t>MENINGITIS EN ENFERMEDADES BACTERIANAS CLASIFICADAS EN OTRA PARTE</t>
  </si>
  <si>
    <t>MENINGITIS EN ENFERMEDADES VIRALES CLASIFICADAS EN OTRA PARTE</t>
  </si>
  <si>
    <t>MENINGITIS EN MICOSIS</t>
  </si>
  <si>
    <t>MENINGITIS APIOGENA</t>
  </si>
  <si>
    <t>MENINGITIS CRONICA</t>
  </si>
  <si>
    <t>MENINGITIS DEBIDAS A OTRAS CAUSAS ESPECIFICADAS</t>
  </si>
  <si>
    <t>MENINGITIS, NO ESPECIFICADA</t>
  </si>
  <si>
    <t>ENCEFALITIS AGUDA DISEMINADA</t>
  </si>
  <si>
    <t>OTRAS ENCEFALITIS, MIELITIS Y ENCEFALOMIELITIS</t>
  </si>
  <si>
    <t>ENCEFALITIS, MIELITIS Y ENCEFALOMIELITIS, NO ESPECIFICADAS</t>
  </si>
  <si>
    <t>ABSCESO Y GRANULOMA INTRACRANEAL</t>
  </si>
  <si>
    <t>ABSCESO Y GRANULOMA INTRARRAQUIDEO</t>
  </si>
  <si>
    <t>ABSCESO EXTRADURAL Y SUBDURAL, NO ESPECIFICADO</t>
  </si>
  <si>
    <t>FLEBITIS Y TROMBOFLEBITIS INTRACRANEAL E INTRARRAQUIDEA</t>
  </si>
  <si>
    <t>SECUELAS DE ENFERMEDADES INFLAMATORIAS DEL SISTEMA NERVIOSO CENTRAL</t>
  </si>
  <si>
    <t>ENFERMEDAD DE HUNTINGTON</t>
  </si>
  <si>
    <t>ATAXIA CONGENITA NO PROGRESIVA</t>
  </si>
  <si>
    <t>ATAXIA CEREBELOSA DE INICIACION TEMPRANA</t>
  </si>
  <si>
    <t>ATAXIA CEREBELOSA DE INICIACION TARDIA</t>
  </si>
  <si>
    <t>ATAXIA CEREBELOSA CON REPARACION DEFECTUOSA DEL ADN</t>
  </si>
  <si>
    <t>OTRAS ATAXIAS HEREDITARIAS</t>
  </si>
  <si>
    <t>ATAXIA HEREDITARIA, NO ESPECIFICADA</t>
  </si>
  <si>
    <t>OTRAS ATROFIAS MUSCULARES ESPINALES HEREDITARIAS</t>
  </si>
  <si>
    <t>ENFERMEDADES DE LAS NEURONAS MOTORAS</t>
  </si>
  <si>
    <t>OTRAS ATROFIAS MUSCULARES ESPINALES Y SINDROMES AFINES</t>
  </si>
  <si>
    <t>ATROFIA MUSCULAR ESPINAL, SIN OTRA ESPECIFICACION</t>
  </si>
  <si>
    <t>NEUROMIOPATIA Y NEUROPATIA PARANEOPLASICA</t>
  </si>
  <si>
    <t>ENFERMEDAD DE PARKINSON</t>
  </si>
  <si>
    <t>SINDROME NEUROLEPTICO MALIGNO</t>
  </si>
  <si>
    <t>OTRO PARKINSONISMO SECUNDARIO INDUCIDO POR DROGAS</t>
  </si>
  <si>
    <t>PARKINSONISMO SECUNDARIO DEBIDO A OTROS AGENTES EXTERNOS</t>
  </si>
  <si>
    <t>PARKINSONISMO POSTENCEFALITICO</t>
  </si>
  <si>
    <t>OTROS TIPOS DE PARKINSONISMO SECUNDARIO</t>
  </si>
  <si>
    <t>PARKINSONISMO SECUNDARIO, NO ESPECIFICADO</t>
  </si>
  <si>
    <t>PARKINSONISMO EN ENFERMEDADES CLASIFICADAS EN OTRA PARTE</t>
  </si>
  <si>
    <t>ENFERMEDAD DE HALLERVORDEN-SPATZ</t>
  </si>
  <si>
    <t>ENFERMEDAD DEGENERATIVA DE LOS NUCLEOS DE LA BASE, NO ESPECIFICADA</t>
  </si>
  <si>
    <t>DISTONIA INDUCIDA POR DROGAS</t>
  </si>
  <si>
    <t>DISTONIA IDIOPATICA FAMILIAR</t>
  </si>
  <si>
    <t>DISTONIA IDIOPATICA NO FAMILIAR</t>
  </si>
  <si>
    <t>TORTICOLIS ESPASMODICA</t>
  </si>
  <si>
    <t>DISTONIA BUCOFACIAL IDIOPATICA</t>
  </si>
  <si>
    <t>BLEFAROSPASMO</t>
  </si>
  <si>
    <t>OTRAS DISTONIAS</t>
  </si>
  <si>
    <t>DISTONIA, NO ESPECIFICADA</t>
  </si>
  <si>
    <t>TEMBLOR ESENCIAL</t>
  </si>
  <si>
    <t>TEMBLOR INDUCIDO POR DROGAS</t>
  </si>
  <si>
    <t>OTRAS FORMAS ESPECIFICADAS DE TEMBLOR</t>
  </si>
  <si>
    <t>MIOCLONIA</t>
  </si>
  <si>
    <t>COREA INDUCIDA POR DROGAS</t>
  </si>
  <si>
    <t>OTRAS COREAS</t>
  </si>
  <si>
    <t>OTROS TRASTORNOS EXTRAPIRAMIDALES Y DEL MOVIMIENTO</t>
  </si>
  <si>
    <t>TRASTORNO EXTRAPIRAMIDAL Y DEL MOVIMIENTO, NO ESPECIFICADO</t>
  </si>
  <si>
    <t>ENFERMEDAD DE ALZHEIMER DE COMIENZO TEMPRANO</t>
  </si>
  <si>
    <t>OTROS TIPOS DE ENFERMEDAD DE ALZHEIMER</t>
  </si>
  <si>
    <t>ENFERMEDAD DE ALZHEIMER, NO ESPECIFICADA</t>
  </si>
  <si>
    <t>ATROFIA CEREBRAL CIRCUNSCRITA</t>
  </si>
  <si>
    <t>DEGENERACION CEREBRAL SENIL NO CLASIFICADA EN OTRA PARTE</t>
  </si>
  <si>
    <t>OTRAS ENFERMEDADES DEGENERATIVAS ESPECIFICADAS DEL SISTEMA NERVIOSO</t>
  </si>
  <si>
    <t>DEGENERACION DEL SISTEMA NERVIOSO, NO ESPECIFICADA</t>
  </si>
  <si>
    <t>ESCLEROSIS MULTIPLE</t>
  </si>
  <si>
    <t>OTRAS DESMIELINIZACIONES AGUDAS DISEMINADAS ESPECIFICADAS</t>
  </si>
  <si>
    <t>ESCLEROSIS DIFUSA</t>
  </si>
  <si>
    <t>DESMIELINIZACION CENTRAL DEL CUERPO CALLOSO</t>
  </si>
  <si>
    <t>MIELINOLISIS CENTRAL PONTINA</t>
  </si>
  <si>
    <t>MIELITIS NECROTIZANTE SUBAGUDA</t>
  </si>
  <si>
    <t>ESCLEROSIS CONCENTRICA (BALO)</t>
  </si>
  <si>
    <t>EPILEPSIA Y SINDROMES EPILEPTICOS IDIOPATICOS GENERALIZADOS</t>
  </si>
  <si>
    <t>OTRAS EPILEPSIAS Y SINDROMES EPILEPTICOS GENERALIZADOS</t>
  </si>
  <si>
    <t>SINDROMES EPILEPTICOS ESPECIALES</t>
  </si>
  <si>
    <t>ATAQUES DE GRAN MAL, NO ESPECIFICADOS (CON O SIN PEQUEÑO MAL)</t>
  </si>
  <si>
    <t>PEQUEÑO MAL, NO ESPECIFICADO (SIN ATAQUE DE GRAN MAL)</t>
  </si>
  <si>
    <t>OTRAS EPILEPSIAS</t>
  </si>
  <si>
    <t>EPILEPSIA, TIPO NO ESPECIFICADO</t>
  </si>
  <si>
    <t>ESTADO DE GRAN MAL EPILEPTICO</t>
  </si>
  <si>
    <t>ESTADO DE PEQUEÑO MAL EPILEPTICO</t>
  </si>
  <si>
    <t>ESTADO DE MAL EPILEPTICO PARCIAL COMPLEJO</t>
  </si>
  <si>
    <t>ESTADO DE MAL EPILEPTICO DE TIPO NO ESPECIFICADO</t>
  </si>
  <si>
    <t>ESTADO MIGRAÑOSO</t>
  </si>
  <si>
    <t>MIGRAÑA COMPLICADA</t>
  </si>
  <si>
    <t>OTRAS MIGRAÑAS</t>
  </si>
  <si>
    <t>MIGRAÑA, NO ESPECIFICADA</t>
  </si>
  <si>
    <t>SINDROME DE CEFALEA EN RACIMOS</t>
  </si>
  <si>
    <t>CEFALEA VASCULAR, NCOP</t>
  </si>
  <si>
    <t>CEFALEA DEBIDA A TENSION</t>
  </si>
  <si>
    <t>CEFALEA POSTRAUMATICA CRONICA</t>
  </si>
  <si>
    <t>CEFALEA INDUCIDA POR DROGAS, NO CLASIFICADA EN OTRA PARTE</t>
  </si>
  <si>
    <t>OTROS SINDROMES DE CEFALEA ESPECIFICADOS</t>
  </si>
  <si>
    <t>SINDROME ARTERIAL VERTEBRO-BASILAR</t>
  </si>
  <si>
    <t>SINDROMES ARTERIALES PRECEREBRALES BILATERALES Y MULTIPLES</t>
  </si>
  <si>
    <t>AMAUROSIS FUGAZ</t>
  </si>
  <si>
    <t>AMNESIA GLOBAL TRANSITORIA</t>
  </si>
  <si>
    <t>OTRAS ISQUEMIAS CEREBRALES TRANSITORIAS Y SINDROMES AFINES</t>
  </si>
  <si>
    <t>ISQUEMIA CEREBRAL TRANSITORIA, SIN OTRA ESPECIFICACION</t>
  </si>
  <si>
    <t>TRASTORNOS DEL RITMO NICTAMERAL</t>
  </si>
  <si>
    <t>APNEA DEL SUEÑO</t>
  </si>
  <si>
    <t>NARCOLEPSIA Y CATAPLEXIA</t>
  </si>
  <si>
    <t>OTROS TRASTORNOS DEL SUEÑO</t>
  </si>
  <si>
    <t>TRASTORNO DEL SUEÑO, NO ESPECIFICADO</t>
  </si>
  <si>
    <t>NEURALGIA DEL TRIGEMINO</t>
  </si>
  <si>
    <t>DOLOR FACIAL ATIPICO</t>
  </si>
  <si>
    <t>OTROS TRASTORNOS DEL TRIGEMINO</t>
  </si>
  <si>
    <t>PARALISIS DE BELL</t>
  </si>
  <si>
    <t>GANGLIONITIS GENICULADA</t>
  </si>
  <si>
    <t>SINDROME DE MELKERSSON</t>
  </si>
  <si>
    <t>ESPASMO HEMIFACIAL CLONICO</t>
  </si>
  <si>
    <t>MIOQUIMIA FACIAL</t>
  </si>
  <si>
    <t>OTROS TRASTORNOS DEL NERVIO FACIAL</t>
  </si>
  <si>
    <t>TRASTORNOS DEL NERVIO OLFATORIO</t>
  </si>
  <si>
    <t>TRASTORNOS DEL NERVIO GLOSOFARINGEO</t>
  </si>
  <si>
    <t>TRASTORNOS DEL NERVIO VAGO</t>
  </si>
  <si>
    <t>TRASTORNOS DEL NERVIO HIPOGLOSO</t>
  </si>
  <si>
    <t>TRASTORNOS DE MULTIPLES NERVIOS CRANEALES</t>
  </si>
  <si>
    <t>TRASTORNOS DE OTROS NERVIOS CRANEALES ESPECIFICADOS</t>
  </si>
  <si>
    <t>TRASTORNO DE NERVIO CRANEAL, NO ESPECIFICADO</t>
  </si>
  <si>
    <t>TRASTORNOS DEL PLEXO BRAQUIAL</t>
  </si>
  <si>
    <t>TRASTORNOS DEL PLEXO LUMBOSACRO</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</si>
  <si>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</si>
  <si>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</si>
  <si>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</si>
  <si>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</si>
  <si>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</si>
  <si>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</si>
  <si>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</si>
  <si>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</si>
  <si>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SINDROME DEL TUNEL CARPIANO</t>
  </si>
  <si>
    <t>OTRAS LESIONES DEL NERVIO MEDIANO</t>
  </si>
  <si>
    <t>LESION DEL NERVIO CUBITAL</t>
  </si>
  <si>
    <t>LESION DEL NERVIO RADIAL</t>
  </si>
  <si>
    <t>CAUSALGIA</t>
  </si>
  <si>
    <t>OTRAS MONONEUROPATIAS DEL MIEMBRO SUPERIOR</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</si>
  <si>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</si>
  <si>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</si>
  <si>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</si>
  <si>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</si>
  <si>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</si>
  <si>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</si>
  <si>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</si>
  <si>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</si>
  <si>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</si>
  <si>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</si>
  <si>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</si>
  <si>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</si>
  <si>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</si>
  <si>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OTRAS MONONEUROPATIAS EN ENFERMEDADES CLASIFICADAS EN OTRA PARTE</t>
  </si>
  <si>
    <t>ENFERMEDAD DE REFSUM</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</si>
  <si>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</si>
  <si>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</si>
  <si>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</si>
  <si>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</si>
  <si>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</si>
  <si>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</si>
  <si>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</si>
  <si>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</si>
  <si>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</si>
  <si>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</si>
  <si>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</si>
  <si>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</si>
  <si>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</si>
  <si>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OTRAS ENFERMEDADES CLASIFICADAS EN OTRA PARTE</t>
  </si>
  <si>
    <t>OTROS TRASTORNOS DEL SISTEMA NERVIOSO PERIFERICO</t>
  </si>
  <si>
    <t>MIASTENIA GRAVIS</t>
  </si>
  <si>
    <t>TRASTORNOS TOXICOS NEUROMUSCULARES</t>
  </si>
  <si>
    <t>MIASTENIA CONGENITA O DEL DESARROLLO</t>
  </si>
  <si>
    <t>OTROS TRASTORNOS NEUROMUSCULARES ESPECIFICADOS</t>
  </si>
  <si>
    <t>TRASTORNO NEUROMUSCULAR, NO ESPECIFICADO</t>
  </si>
  <si>
    <t>DISTROFIA MUSCULAR</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</si>
  <si>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</si>
  <si>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</si>
  <si>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</si>
  <si>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</si>
  <si>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</si>
  <si>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</si>
  <si>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</si>
  <si>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</si>
  <si>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</si>
  <si>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</si>
  <si>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</si>
  <si>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</si>
  <si>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</si>
  <si>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SINDROMES MIASTENICOS EN OTRAS ENFERMEDADES CLASIFICADAS EN OTRA PARTE</t>
  </si>
  <si>
    <t>MIOPATIA EN ENFERMEDADES ENDOCRINAS</t>
  </si>
  <si>
    <t>MIOPATIA EN ENFERMEDADES METABOLICAS</t>
  </si>
  <si>
    <t>MIOPATIA EN OTRAS ENFERMEDADES CLASIFICADAS EN OTRA PARTE</t>
  </si>
  <si>
    <t>PARALISIS CEREBRAL ESPASTICA</t>
  </si>
  <si>
    <t>DIPLEJIA ESPASTICA</t>
  </si>
  <si>
    <t>HEMIPLEJIA INFANTIL</t>
  </si>
  <si>
    <t>PARALISIS CEREBRAL DISCINETICA</t>
  </si>
  <si>
    <t>PARALISIS CEREBRAL ATAXICA</t>
  </si>
  <si>
    <t>OTROS TIPOS DE PARALISIS CEREBRAL INFANTIL</t>
  </si>
  <si>
    <t>PARALISIS CEREBRAL INFANTIL,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</si>
  <si>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</si>
  <si>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</si>
  <si>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</si>
  <si>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</si>
  <si>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</si>
  <si>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</si>
  <si>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</si>
  <si>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</si>
  <si>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</si>
  <si>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</si>
  <si>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NO ESPECIFICADA</t>
  </si>
  <si>
    <t>SINDROME DE LA COLA DE CABALLO</t>
  </si>
  <si>
    <t>OTROS SINDROMES PARALITICOS ESPECIFICADOS</t>
  </si>
  <si>
    <t>SINDROME PARALITICO, NO ESPECIFICADO</t>
  </si>
  <si>
    <t>NEUROPATIA AUTONOMA PERIFERICA IDIOPATICA</t>
  </si>
  <si>
    <t>SINDROME DE HORNER</t>
  </si>
  <si>
    <t>DEGENERACION DE SISTEMAS MULTIPLES</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</si>
  <si>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</si>
  <si>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</si>
  <si>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</si>
  <si>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</si>
  <si>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</si>
  <si>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</si>
  <si>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</si>
  <si>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</si>
  <si>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</si>
  <si>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QUISTE CEREBRAL</t>
  </si>
  <si>
    <t>LESION CEREBRAL ANOXICA, NO CLASIFICADA EN OTRA PARTE</t>
  </si>
  <si>
    <t>HIPERTENSION INTRACRANEAL BENIGNA</t>
  </si>
  <si>
    <t>SINDROME DE FATIGA POSTVIRAL</t>
  </si>
  <si>
    <t>ENCEFALOPATIA NO ESPECIFICADA</t>
  </si>
  <si>
    <t>COMPRESION DEL ENCEFALO</t>
  </si>
  <si>
    <t>EDEMA CEREBRAL</t>
  </si>
  <si>
    <t>SINDROME DE REYE</t>
  </si>
  <si>
    <t>OTROS TRASTORNOS ESPECIFICADOS DEL ENCEFALO</t>
  </si>
  <si>
    <t>TRASTORNO DEL ENCEFALO, NO ESPECIFICADO</t>
  </si>
  <si>
    <t>HIDROCEFALO EN OTRAS ENFERMEDADES CLASIFICADAS EN OTRA PARTE</t>
  </si>
  <si>
    <t>SIRINGOMIELIA Y SIRINGOBULBIA</t>
  </si>
  <si>
    <t>MIELOPATIAS VASCULARES</t>
  </si>
  <si>
    <t>COMPRESION MEDULAR, NO ESPECIFICADA</t>
  </si>
  <si>
    <t>OTRAS ENFERMEDADES ESPECIFICADAS DE LA MEDULA ESPINAL</t>
  </si>
  <si>
    <t>ENFERMEDAD DE LA MEDULA ESPINAL, NO ESPECIFICADA</t>
  </si>
  <si>
    <t>PERDIDA DE LIQUIDO CEFALORRAQUIDEO</t>
  </si>
  <si>
    <t>OTROS TRASTORNOS ESPECIFICADOS DEL SISTEMA NERVIOSO CENTRAL</t>
  </si>
  <si>
    <t>TRASTORNO DEL SISTEMA NERVIOSO CENTRAL, NO ESPECIFICADO</t>
  </si>
  <si>
    <t>PERDIDA DE LIQUIDO CEFALORRAQUIDEO POR PUNCION ESPINAL</t>
  </si>
  <si>
    <t>OTRA REACCION A LA PUNCION ESPINAL Y LUMBAR</t>
  </si>
  <si>
    <t>HIPOTENSION INTRACRANEAL POSTERIOR A ANASTOMOSIS VENTRICULAR</t>
  </si>
  <si>
    <t>OTROS TRASTORNOS DEL SISTEMA NERVIOSO CONSECUTIVOS A PROCEDIMIENTOS</t>
  </si>
  <si>
    <t>OTROS TRASTORNOS DEL SISTEMA NERVIOSO, NO CLASIFICADOS EN OTRA PARTE</t>
  </si>
  <si>
    <t>MIELOPATIA EN ENFERMEDADES CLASIFICADAS EN OTRA PARTE</t>
  </si>
  <si>
    <t>ORZUELO Y OTRAS INFLAMACIONES PROFUNDAS DEL PARPADO</t>
  </si>
  <si>
    <t>BLEFARITIS</t>
  </si>
  <si>
    <t>DERMATOSIS NO INFECCIOSA DEL PARPADO</t>
  </si>
  <si>
    <t>OTRAS INFLAMACIONES ESPECIFICADAS DEL PARPADO</t>
  </si>
  <si>
    <t>INFLAMACION DEL PARPADO, NO ESPECIFICADA</t>
  </si>
  <si>
    <t>ENTROPION Y TRIQUIASIS PALPEBRAL</t>
  </si>
  <si>
    <t>ECTROPION DEL PARPADO</t>
  </si>
  <si>
    <t>LAGOFTALMOS</t>
  </si>
  <si>
    <t>BLEFAROCALASIA</t>
  </si>
  <si>
    <t>BLEFAROPTOSIS</t>
  </si>
  <si>
    <t>OTROS TRASTORNOS FUNCIONALES DEL PARPADO</t>
  </si>
  <si>
    <t>XANTELASMA DEL PARPADO</t>
  </si>
  <si>
    <t>OTROS TRASTORNOS DEGENERATIVOS DEL PARPADO Y DEL AREA PERIOCULAR</t>
  </si>
  <si>
    <t>OTROS TRASTORNOS ESPECIFICADOS DEL PARPADO</t>
  </si>
  <si>
    <t>COMPROMISO DEL PARPADO EN ENFERMEDADES CLASIFICADAS EN OTRA PARTE</t>
  </si>
  <si>
    <t>DACRIOADENITIS</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</si>
  <si>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</si>
  <si>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</si>
  <si>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</si>
  <si>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</si>
  <si>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</si>
  <si>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</si>
  <si>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OTROS TRASTORNOS ESPECIFICADOS DEL APARATO LAGRIMAL</t>
  </si>
  <si>
    <t>TRASTORNO DEL APARATO LAGRIMAL, NO ESPECIFICADO</t>
  </si>
  <si>
    <t>INFLAMACION AGUDA DE LA ORBITA</t>
  </si>
  <si>
    <t>TRASTORNOS INFLAMATORIOS CRONICOS DE LA ORBITA</t>
  </si>
  <si>
    <t>AFECCIONES EXOFTALMICAS</t>
  </si>
  <si>
    <t>DEFORMIDAD DE LA ORBITA</t>
  </si>
  <si>
    <t>ENOFTALMIA</t>
  </si>
  <si>
    <t>OTROS TRASTORNOS DE LA ORBITA</t>
  </si>
  <si>
    <t>TRASTORNO DE LA ORBITA, NO ESPECIFICADO</t>
  </si>
  <si>
    <t>CONJUNTIVITIS MUCOPURULENTA</t>
  </si>
  <si>
    <t>CONJUNTIVITIS ATOPICA AGUDA</t>
  </si>
  <si>
    <t>OTRAS CONJUNTIVITIS AGUDAS</t>
  </si>
  <si>
    <t>CONJUNTIVITIS AGUDA, NO ESPECIFICADA</t>
  </si>
  <si>
    <t>CONJUNTIVITIS CRONICA</t>
  </si>
  <si>
    <t>BLEFAROCONJUNTIVITIS</t>
  </si>
  <si>
    <t>OTRAS CONJUNTIVITIS</t>
  </si>
  <si>
    <t>CONJUNTIVITIS, NO ESPECIFICADA</t>
  </si>
  <si>
    <t>PTERIGION</t>
  </si>
  <si>
    <t>DEGENERACIONES Y DEPOSITOS CONJUNTIVALES</t>
  </si>
  <si>
    <t>CICATRICES CONJUNTIVALES</t>
  </si>
  <si>
    <t>HEMORRAGIA CONJUNTIVAL</t>
  </si>
  <si>
    <t>OTROS TRASTORNOS VASCULARES Y QUISTES CONJUNTIVALES</t>
  </si>
  <si>
    <t>OTROS TRASTORNOS ESPECIFICADOS DE LA CONJUNTIVA</t>
  </si>
  <si>
    <t>TRASTORNO DE LA CONJUNTIVA, NO ESPECIFICADO</t>
  </si>
  <si>
    <t>CONJUNTIVITIS EN OTRAS ENFERMEDADES CLASIFICADAS EN OTRA PARTE</t>
  </si>
  <si>
    <t>ESCLERITIS</t>
  </si>
  <si>
    <t>EPISCLERITIS</t>
  </si>
  <si>
    <t>OTROS TRASTORNOS DE LA ESCLEROTICA</t>
  </si>
  <si>
    <t>ULCERA DE LA CORNEA</t>
  </si>
  <si>
    <t>QUERATOCONJUNTIVITIS</t>
  </si>
  <si>
    <t>QUERATITIS INTERSTICIAL Y PROFUNDA</t>
  </si>
  <si>
    <t>NEOVASCULARIZACION DE LA CORNEA</t>
  </si>
  <si>
    <t>OTRAS QUERATITIS</t>
  </si>
  <si>
    <t>QUERATITIS, NO ESPECIFICADA</t>
  </si>
  <si>
    <t>LEUCOMA ADHERENTE</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</si>
  <si>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</si>
  <si>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</si>
  <si>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</si>
  <si>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</si>
  <si>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</si>
  <si>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</si>
  <si>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</si>
  <si>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</si>
  <si>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</si>
  <si>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QUERATOCONO</t>
  </si>
  <si>
    <t>OTRAS DEFORMIDADES DE LA CORNEA</t>
  </si>
  <si>
    <t>OTROS TRASTORNOS ESPECIFICADOS DE LA CORNEA</t>
  </si>
  <si>
    <t>TRASTORNO DE LA CORNEA, NO ESPECIFICADO</t>
  </si>
  <si>
    <t>ESCLERITIS Y EPISCLERITIS EN ENFERMEDADES CLASIFICADAS EN OTRA PARTE</t>
  </si>
  <si>
    <t>IRIDOCICLITIS AGUDA Y SUBAGUDA</t>
  </si>
  <si>
    <t>IRIDOCICLITIS CRONICA</t>
  </si>
  <si>
    <t>IRIDOCICLITIS INDUCIDA POR TRASTORNO DEL CRISTALINO</t>
  </si>
  <si>
    <t>OTRAS IRIDOCICLITIS ESPECIFICADAS</t>
  </si>
  <si>
    <t>IRIDOCICLITIS, NO ESPECIFICADA</t>
  </si>
  <si>
    <t>HIFEMA</t>
  </si>
  <si>
    <t>OTROS TRASTORNOS VASCULARES DEL IRIS Y DEL CUERPO CILIAR</t>
  </si>
  <si>
    <t>DEGENERACION DEL IRIS Y DEL CUERPO CILIAR</t>
  </si>
  <si>
    <t>QUISTE DEL IRIS, DEL CUERPO CILIAR Y DE LA CAMARA ANTERIOR</t>
  </si>
  <si>
    <t>MEMBRANAS PUPILARES</t>
  </si>
  <si>
    <t>OTRAS ADHERENCIAS Y DESGARROS DEL IRIS Y DEL CUERPO CILIAR</t>
  </si>
  <si>
    <t>OTROS TRASTORNOS ESPECIFICADOS DEL IRIS Y DEL CUERPO CILIAR</t>
  </si>
  <si>
    <t>IRIDOCICLITIS EN OTRAS ENFERMEDADES CLASIFICADAS EN OTRA PARTE</t>
  </si>
  <si>
    <t>CATARATA SENIL INCIPIENTE</t>
  </si>
  <si>
    <t>CATARATA SENIL NUCLEAR</t>
  </si>
  <si>
    <t>CATARATA SENIL, TIPO MORGAGNIAN</t>
  </si>
  <si>
    <t>OTRAS CATARATAS SENILES</t>
  </si>
  <si>
    <t>CATARATA SENIL, NO ESPECIFICADA</t>
  </si>
  <si>
    <t>CATARATA INFANTIL, JUVENIL Y PRESENIL</t>
  </si>
  <si>
    <t>CATARATA TRAUMATICA</t>
  </si>
  <si>
    <t>CATARATA COMPLICADA</t>
  </si>
  <si>
    <t>CATARATA INDUCIDA POR DROGAS</t>
  </si>
  <si>
    <t>CATARATA RESIDUAL</t>
  </si>
  <si>
    <t>OTRAS FORMAS ESPECIFICADAS DE CATARATA</t>
  </si>
  <si>
    <t>CATARATA, NO ESPECIFICADA</t>
  </si>
  <si>
    <t>AFAQUIA</t>
  </si>
  <si>
    <t>LUXACION DEL CRISTALINO</t>
  </si>
  <si>
    <t>OTROS TRASTORNOS ESPECIFICADOS DEL CRISTALINO</t>
  </si>
  <si>
    <t>TRASTORNO DEL CRISTALINO, NO ESPECIFICADO</t>
  </si>
  <si>
    <t>CATARATA EN OTRAS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</si>
  <si>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</si>
  <si>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</si>
  <si>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</si>
  <si>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</si>
  <si>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</si>
  <si>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</si>
  <si>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</si>
  <si>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</si>
  <si>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</si>
  <si>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</si>
  <si>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</si>
  <si>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DESPRENDIMIENTO DE LA RETINA CON RUPTURA</t>
  </si>
  <si>
    <t>RETINOSQUISIS Y QUISTES DE LA RETINA</t>
  </si>
  <si>
    <t>DESPRENDIMIENTO SEROSO DE LA RETINA</t>
  </si>
  <si>
    <t>DESGARRO DE LA RETINA SIN DESPRENDIMIENTO</t>
  </si>
  <si>
    <t>DESPRENDIMIENTO DE LA RETINA POR TRACCION</t>
  </si>
  <si>
    <t>OCLUSION ARTERIAL TRANSITORIA DE LA RETINA</t>
  </si>
  <si>
    <t>OCLUSION DE LA ARTERIA CENTRAL DE LA RETINA</t>
  </si>
  <si>
    <t>OTRAS FORMAS DE OCLUSION DE LA ARTERIA DE LA RETINA</t>
  </si>
  <si>
    <t>OTRAS OCLUSIONES VASCULARES RETINIANAS</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</si>
  <si>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</si>
  <si>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</si>
  <si>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</si>
  <si>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</si>
  <si>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</si>
  <si>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</si>
  <si>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DISTROFIA HEREDITARIA DE LA RETINA</t>
  </si>
  <si>
    <t>HEMORRAGIA RETINIANA</t>
  </si>
  <si>
    <t>OTROS TRASTORNOS ESPECIFICADOS DE LA RETINA</t>
  </si>
  <si>
    <t>TRASTORNO DE LA RETINA, NO ESPECIFICADO</t>
  </si>
  <si>
    <t>SOSPECHA DE GLAUCOMA</t>
  </si>
  <si>
    <t>GLAUCOMA PRIMARIO DE ANGULO ABIERTO</t>
  </si>
  <si>
    <t>GLAUCOMA PRIMARIO DE ANGULO CERRADO</t>
  </si>
  <si>
    <t>GLAUCOMA SECUNDARIO A TRAUMATISMO OCULAR</t>
  </si>
  <si>
    <t>GLAUCOMA SECUNDARIO A INFLAMACION OCULAR</t>
  </si>
  <si>
    <t>GLAUCOMA SECUNDARIO A OTROS TRASTORNOS DEL OJO</t>
  </si>
  <si>
    <t>GLAUCOMA SECUNDARIO A DROGAS</t>
  </si>
  <si>
    <t>OTROS GLAUCOMAS</t>
  </si>
  <si>
    <t>GLAUCOMA, NO ESPECIFICADO</t>
  </si>
  <si>
    <t>GLAUCOMA EN OTRAS ENFERMEDADES CLASIFICADAS EN OTRA PARTE</t>
  </si>
  <si>
    <t>PROLAPSO DEL VITREO</t>
  </si>
  <si>
    <t>HEMORRAGIA DEL VITREO</t>
  </si>
  <si>
    <t>DEPOSITOS CRISTALINOS EN EL CUERPO VITREO</t>
  </si>
  <si>
    <t>OTRAS OPACIDADES VITREAS</t>
  </si>
  <si>
    <t>OTROS TRASTORNOS DEL CUERPO VITREO</t>
  </si>
  <si>
    <t>ENDOFTALMITIS PURULENTA</t>
  </si>
  <si>
    <t>OTRAS ENDOFTALMITIS</t>
  </si>
  <si>
    <t>MIOPIA DEGENERATIVA</t>
  </si>
  <si>
    <t>OTROS TRASTORNOS DEGENERATIVOS DEL GLOBO OCULAR</t>
  </si>
  <si>
    <t>HIPOTONIA OCULAR</t>
  </si>
  <si>
    <t>AFECCIONES DEGENERATIVAS DEL GLOBO OCULAR</t>
  </si>
  <si>
    <t>RETENCION INTRAOCULAR DE CUERPO EXTRAÑO MAGNETICO (ANTIGUO)</t>
  </si>
  <si>
    <t>RETENCION INTRAOCULAR DE CUERPO EXTRAÑO NO MAGNETICO (ANTIGUO)</t>
  </si>
  <si>
    <t>OTROS TRASTORNOS DEL GLOBO OCULAR</t>
  </si>
  <si>
    <t>TRASTORNO DEL GLOBO OCULAR, NO ESPECIFICADO</t>
  </si>
  <si>
    <t>HEMORRAGIA DEL VITREO EN ENFERMEDADES CLASIFICADAS EN OTRA PARTE</t>
  </si>
  <si>
    <t>NEURITIS OPTICA</t>
  </si>
  <si>
    <t>TRASTORNOS DEL NERVIO OPTICO, NO CLASIFICADOS EN OTRA PARTE</t>
  </si>
  <si>
    <t>PAPILEDEMA, NO ESPECIFICADO</t>
  </si>
  <si>
    <t>ATROFIA OPTICA</t>
  </si>
  <si>
    <t>OTROS TRASTORNOS DEL DISCO OPTICO</t>
  </si>
  <si>
    <t>TRASTORNOS DEL QUIASMA OPTICO</t>
  </si>
  <si>
    <t>TRASTORNOS DE OTRAS VIAS OPTICAS</t>
  </si>
  <si>
    <t>TRASTORNOS DE LA CORTEZA VISUAL</t>
  </si>
  <si>
    <t>ATROFIA OPTICA EN ENFERMEDADES CLASIFICADAS EN OTRA PARTE</t>
  </si>
  <si>
    <t>NEURITIS RETROBULBAR EN ENFERMEDADES CLASIFICADAS EN OTRA PARTE</t>
  </si>
  <si>
    <t>OFTALMOPLEJIA TOTAL (EXTERNA)</t>
  </si>
  <si>
    <t>OFTALMOPLEJIA EXTERNA PROGRESIVA</t>
  </si>
  <si>
    <t>OTROS ESTRABISMOS PARALITICOS</t>
  </si>
  <si>
    <t>ESTRABISMO PARALITICO, NO ESPECIFICADO</t>
  </si>
  <si>
    <t>ESTRABISMO CONCOMITANTE CONVERGENTE</t>
  </si>
  <si>
    <t>ESTRABISMO CONCOMITANTE DIVERGENTE</t>
  </si>
  <si>
    <t>ESTRABISMO VERTICAL</t>
  </si>
  <si>
    <t>HETEROTROPIA INTERMITENTE</t>
  </si>
  <si>
    <t>OTRAS HETEROTROPIAS O LAS NO ESPECIFICADAS</t>
  </si>
  <si>
    <t>HETEROFORIA</t>
  </si>
  <si>
    <t>ESTRABISMO MECANICO</t>
  </si>
  <si>
    <t>OTROS ESTRABISMOS ESPECIFICADOS</t>
  </si>
  <si>
    <t>ESTRABISMO, NO ESPECIFICADO</t>
  </si>
  <si>
    <t>PARALISIS DE LA CONJUGACION DE LA MIRADA</t>
  </si>
  <si>
    <t>EXCESO E INSUFICIENCIA DE LA CONVERGENCIA OCULAR</t>
  </si>
  <si>
    <t>OFTALMOPLEJIA INTERNUCLEAR</t>
  </si>
  <si>
    <t>OTROS TRASTORNOS ESPECIFICADOS DE LOS MOVIMIENTOS BINOCULARES</t>
  </si>
  <si>
    <t>HIPERMETROPIA</t>
  </si>
  <si>
    <t>MIOPIA</t>
  </si>
  <si>
    <t>ASTIGMATISMO</t>
  </si>
  <si>
    <t>ANISOMETROPIA Y ANISEICONIA</t>
  </si>
  <si>
    <t>PRESBICIA</t>
  </si>
  <si>
    <t>TRASTORNOS DE LA ACOMODACION</t>
  </si>
  <si>
    <t>OTROS TRASTORNOS DE LA REFRACCION</t>
  </si>
  <si>
    <t>TRASTORNO DE LA REFRACCION, NO ESPECIFICADO</t>
  </si>
  <si>
    <t>AMBLIOPIA EX ANOPSIA</t>
  </si>
  <si>
    <t>ALTERACIONES VISUALES SUBJETIVAS</t>
  </si>
  <si>
    <t>DIPLOPIA</t>
  </si>
  <si>
    <t>OTROS TRASTORNOS DE LA VISION BINOCULAR</t>
  </si>
  <si>
    <t>DEFECTOS DEL CAMPO VISUAL</t>
  </si>
  <si>
    <t>CEGUERA NOCTURNA</t>
  </si>
  <si>
    <t>OTRAS ALTERACIONES VISUALES</t>
  </si>
  <si>
    <t>ALTERACION VISUAL, NO ESPECIFICADA</t>
  </si>
  <si>
    <t>CEGUERA DE AMBOS OJOS</t>
  </si>
  <si>
    <t>CEGUERA DE UN OJO, VISION SUBNORMAL DEL OTRO</t>
  </si>
  <si>
    <t>VISION SUBNORMAL DE AMBOS OJOS</t>
  </si>
  <si>
    <t>DISMINUCION INDETERMINADA DE LA AGUDEZA VISUAL EN AMBOS OJOS</t>
  </si>
  <si>
    <t>CEGUERA DE UN OJO</t>
  </si>
  <si>
    <t>VISION SUBNORMAL DE UN OJO</t>
  </si>
  <si>
    <t>DISMINUCION INDETERMINADA DE LA AGUDEZA VISUAL DE UN OJO</t>
  </si>
  <si>
    <t>DISMINUCION DE LA AGUDEZA VISUAL, SIN ESPECIFICACION</t>
  </si>
  <si>
    <t>NISTAGMO Y OTROS MOVIMIENTOS OCULARES IRREGULARES</t>
  </si>
  <si>
    <t>ANOMALIAS DE LA FUNCION PUPILAR</t>
  </si>
  <si>
    <t>DOLOR OCULAR</t>
  </si>
  <si>
    <t>OTROS TRASTORNOS ESPECIFICADOS DEL OJO Y SUS ANEXOS</t>
  </si>
  <si>
    <t>TRASTORNO DEL OJO Y SUS ANEXOS, NO ESPECIFICADO</t>
  </si>
  <si>
    <t>ALTERACIONES DE LA VISION EN ENFERMEDADES CLASIFICADAS EN OTRA PARTE</t>
  </si>
  <si>
    <t>SINDROME VITREO CONSECUTIVO A CIRUGIA DE CATARATA</t>
  </si>
  <si>
    <t>OTROS TRASTORNOS DEL OJO Y SUS ANEXOS, CONSECUTIVOS A PROCEDIMIENTOS</t>
  </si>
  <si>
    <t>ABSCESO DEL OIDO EXTERNO</t>
  </si>
  <si>
    <t>CELULITIS DEL OIDO EXTERNO</t>
  </si>
  <si>
    <t>OTITIS EXTERNA MALIGNA</t>
  </si>
  <si>
    <t>OTRAS OTITIS EXTERNAS INFECCIOSAS</t>
  </si>
  <si>
    <t>COLESTEATOMA DEL OIDO EXTERNO</t>
  </si>
  <si>
    <t>OTITIS EXTERNA AGUDA, NO INFECCIOSA</t>
  </si>
  <si>
    <t>OTRAS OTITIS EXTERNAS</t>
  </si>
  <si>
    <t>OTITIS EXTERNA, SIN OTRA ESPECIFICACION</t>
  </si>
  <si>
    <t>PERICONDRITIS DEL OIDO EXTERNO</t>
  </si>
  <si>
    <t>AFECCIONES NO INFECCIOSAS DEL PABELLON AUDITIVO</t>
  </si>
  <si>
    <t>CERUMEN IMPACTADO</t>
  </si>
  <si>
    <t>ESTENOSIS ADQUIRIDA DEL CONDUCTO AUDITIVO EXTERNO</t>
  </si>
  <si>
    <t>OTROS TRASTORNOS ESPECIFICADOS DEL OIDO EXTERNO</t>
  </si>
  <si>
    <t>TRASTORNO DEL OIDO EXTERNO, NO ESPECIFICADO</t>
  </si>
  <si>
    <t>OTITIS EXTERNA EN ENFERMEDADES BACTERIANAS CLASIFICADAS EN OTRA PARTE</t>
  </si>
  <si>
    <t>OTITIS EXTERNA EN ENFERMEDADES VIRALES CLASIFICADAS EN OTRA PARTE</t>
  </si>
  <si>
    <t>OTITIS EXTERNA EN MICOSIS</t>
  </si>
  <si>
    <t>OTITIS MEDIA AGUDA SEROSA</t>
  </si>
  <si>
    <t>OTRA OTITIS MEDIA AGUDA, NO SUPURATIVA</t>
  </si>
  <si>
    <t>OTITIS MEDIA CRONICA SEROSA</t>
  </si>
  <si>
    <t>OTITIS MEDIA CRONICA MUCOIDE</t>
  </si>
  <si>
    <t>OTRAS OTITIS MEDIAS CRONICAS NO SUPURATIVAS</t>
  </si>
  <si>
    <t>OTITIS MEDIA NO SUPURATIVA, SIN OTRA ESPECIFICACION</t>
  </si>
  <si>
    <t>OTITIS MEDIA SUPURATIVA AGUDA</t>
  </si>
  <si>
    <t>OTITIS MEDIA TUBOTIMPANICA SUPURATIVA CRONICA</t>
  </si>
  <si>
    <t>OTITIS MEDIA SUPURATIVA CRONICA ATICOANTRAL</t>
  </si>
  <si>
    <t>OTRAS OTITIS MEDIAS CRONICAS SUPURATIVAS</t>
  </si>
  <si>
    <t>OTITIS MEDIA SUPURATIVA, SIN OTRA ESPECIFICACION</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</si>
  <si>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</si>
  <si>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</si>
  <si>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</si>
  <si>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</si>
  <si>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</si>
  <si>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OBSTRUCCION DE LA TROMPA DE EUSTAQUIO</t>
  </si>
  <si>
    <t>DISTENSION DE LA TROMPA DE EUSTAQUIO</t>
  </si>
  <si>
    <t>OTROS TRASTORNOS ESPECIFICADOS DE LA TROMPA DE EUSTAQUIO</t>
  </si>
  <si>
    <t>TRASTORNO DE LA TROMPA DE EUSTAQUIO, NO ESPECIFICADO</t>
  </si>
  <si>
    <t>MASTOIDITIS AGUDA</t>
  </si>
  <si>
    <t>MASTOIDITIS CRONICA</t>
  </si>
  <si>
    <t>PETROSITIS</t>
  </si>
  <si>
    <t>OTRAS MASTOIDITIS Y AFECCIONES RELACIONADAS</t>
  </si>
  <si>
    <t>MASTOIDITIS, NO ESPECIFICADA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</si>
  <si>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</si>
  <si>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</si>
  <si>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</si>
  <si>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</si>
  <si>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</si>
  <si>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</si>
  <si>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AGUDA</t>
  </si>
  <si>
    <t>MIRINGITIS CRONICA</t>
  </si>
  <si>
    <t>OTROS TRASTORNOS ESPECIFICADOS DE LA MEMBRANA TIMPANICA</t>
  </si>
  <si>
    <t>TRASTORNO DE LA MEMBRANA TIMPANICA, NO ESPECIFICADO</t>
  </si>
  <si>
    <t>TIMPANOSCLEROSIS</t>
  </si>
  <si>
    <t>ENFERMEDAD ADHESIVA DEL OIDO MEDIO</t>
  </si>
  <si>
    <t>DISCONTINUIDAD Y DISLOCACION DE LOS HUESECILLOS DEL OIDO</t>
  </si>
  <si>
    <t>OTRAS ANORMALIDADES ADQUIRIDAS DE LOS HUESECILLOS DEL OIDO</t>
  </si>
  <si>
    <t>POLIPO DEL OIDO MEDIO</t>
  </si>
  <si>
    <t>TRASTORNO DEL OIDO MEDIO Y DE LA APOFISIS MASTOIDES, NO ESPECIFICADO</t>
  </si>
  <si>
    <t>OTOSCLEROSIS QUE AFECTA LA VENTANA OVAL, NO OBLITERANTE</t>
  </si>
  <si>
    <t>OTOSCLEROSIS QUE AFECTA LA VENTANA OVAL, OBLITERANTE</t>
  </si>
  <si>
    <t>OTRAS OTOSCLEROSIS</t>
  </si>
  <si>
    <t>OTOSCLEROSIS, NO ESPECIFICADA</t>
  </si>
  <si>
    <t>ENFERMEDAD DE MENIERE</t>
  </si>
  <si>
    <t>VERTIGO PAROXISTICO BENIGNO</t>
  </si>
  <si>
    <t>NEURONITIS VESTIBULAR</t>
  </si>
  <si>
    <t>OTROS VERTIGOS PERIFERICOS</t>
  </si>
  <si>
    <t>VERTIGO DE ORIGEN CENTRAL</t>
  </si>
  <si>
    <t>OTROS TRASTORNOS DE LA FUNCION VESTIBULAR</t>
  </si>
  <si>
    <t>TRASTORNO DE LA FUNCION VESTIBULAR, NO ESPECIFICADO</t>
  </si>
  <si>
    <t>SINDROMES VERTIGINOSOS EN ENFERMEDADES CLASIFICADAS EN OTRA PARTE</t>
  </si>
  <si>
    <t>LABERINTITIS</t>
  </si>
  <si>
    <t>FISTULA DEL LABERINTO</t>
  </si>
  <si>
    <t>DISFUNCION DEL LABERINTO</t>
  </si>
  <si>
    <t>EFECTOS DEL RUIDO SOBRE EL OIDO INTERNO</t>
  </si>
  <si>
    <t>OTROS TRASTORNOS ESPECIFICADOS DEL OIDO INTERNO</t>
  </si>
  <si>
    <t>TRASTORNO DEL OIDO INTERNO, NO ESPECIFICADO</t>
  </si>
  <si>
    <t>HIPOACUSIA CONDUCTIVA BILATERAL</t>
  </si>
  <si>
    <t>HIPOACUSIA CONDUCTIVA, SIN OTRA ESPECIFICACION</t>
  </si>
  <si>
    <t>HIPOACUSIA NEUROSENSORIAL, BILATERAL</t>
  </si>
  <si>
    <t>HIPOACUSIA NEUROSENSORIAL, SIN OTRA ESPECIFICACION</t>
  </si>
  <si>
    <t>HIPOACUSIA MIXTA CONDUCTIVA Y NEUROSENSORIAL, BILATERAL</t>
  </si>
  <si>
    <t>HIPOACUSIA MIXTA CONDUCTIVA Y NEUROSENSORIAL, NO ESPECIFICADA</t>
  </si>
  <si>
    <t>HIPOACUSIA OTOTOXICA</t>
  </si>
  <si>
    <t>PRESBIACUSIA</t>
  </si>
  <si>
    <t>SORDOMUDEZ, NO CLASIFICADA EN OTRA PARTE</t>
  </si>
  <si>
    <t>OTRAS HIPOACUSIAS ESPECIFICADAS</t>
  </si>
  <si>
    <t>HIPOACUSIA, NO ESPECIFICADA</t>
  </si>
  <si>
    <t>OTALGIA</t>
  </si>
  <si>
    <t>OTORREA</t>
  </si>
  <si>
    <t>OTORRAGIA</t>
  </si>
  <si>
    <t>TRASTORNOS DEGENERATIVOS Y VASCULARES DEL OIDO</t>
  </si>
  <si>
    <t>TINNITUS</t>
  </si>
  <si>
    <t>OTRAS PERCEPCIONES AUDITIVAS ANORMALES</t>
  </si>
  <si>
    <t>TRASTORNOS DEL NERVIO AUDITIVO</t>
  </si>
  <si>
    <t>OTROS TRASTORNOS ESPECIFICADOS DEL OIDO</t>
  </si>
  <si>
    <t>TRASTORNO DEL OIDO, NO ESPECIFICADO</t>
  </si>
  <si>
    <t>COLESTEATOMA RECURRENTE DE LA CAVIDAD RESULTANTE DE LA MASTOIDECTOMIA</t>
  </si>
  <si>
    <t>OTROS TRASTORNOS POSTERIORES A LA MASTOIDECTOMIA</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</si>
  <si>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</si>
  <si>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</si>
  <si>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</si>
  <si>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</si>
  <si>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</si>
  <si>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</si>
  <si>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</si>
  <si>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</si>
  <si>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ESTENOSIS MITRAL</t>
  </si>
  <si>
    <t>INSUFICIENCIA MITRAL REUMATICA</t>
  </si>
  <si>
    <t>ESTENOSIS MITRAL CON INSUFICIENCIA</t>
  </si>
  <si>
    <t>OTRAS ENFERMEDADES DE LA VALVULA MITRAL</t>
  </si>
  <si>
    <t>ENFERMEDAD VALVULAR MITRAL, NO ESPECIFICADA</t>
  </si>
  <si>
    <t>ESTENOSIS AORTICA REUMATICA</t>
  </si>
  <si>
    <t>INSUFICIENCIA AORTICA REUMATICA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</si>
  <si>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</si>
  <si>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</si>
  <si>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</si>
  <si>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</si>
  <si>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</si>
  <si>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</si>
  <si>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</si>
  <si>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</si>
  <si>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</si>
  <si>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</si>
  <si>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</si>
  <si>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</si>
  <si>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</si>
  <si>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</si>
  <si>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</si>
  <si>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</si>
  <si>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</si>
  <si>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</si>
  <si>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</si>
  <si>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RENAL HIPERTENSIVA CON INSUFICIENCIA RENAL</t>
  </si>
  <si>
    <t>ENFERMEDAD RENAL HIPERTENSIVA SIN INSUFICIENCIA RENAL</t>
  </si>
  <si>
    <t>ENFERMEDAD CARDIORRENAL HIPERTENSIVA CON INSUFICIENCIA RENAL</t>
  </si>
  <si>
    <t>ENFERMEDAD CARDIORRENAL HIPERTENSIVA, NO ESPECIFICADA</t>
  </si>
  <si>
    <t>HIPERTENSION RENOVASCULAR</t>
  </si>
  <si>
    <t>HIPERTENSION SECUNDARIA A OTROS TRASTORNOS RENALES</t>
  </si>
  <si>
    <t>HIPERTENSION SECUNDARIA A TRASTORNOS ENDOCRINOS</t>
  </si>
  <si>
    <t>OTROS TIPOS DE HIPERTENSION SECUNDARIA</t>
  </si>
  <si>
    <t>HIPERTENSION SECUNDARIA,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</si>
  <si>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</si>
  <si>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</si>
  <si>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</si>
  <si>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</si>
  <si>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</si>
  <si>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</si>
  <si>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</si>
  <si>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</si>
  <si>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SUBENDOCARDICO AGUDO DEL MIOCARDIO</t>
  </si>
  <si>
    <t>INFARTO AGUDO DEL MIOCARDIO, SIN OTRA ESPECIFICACION</t>
  </si>
  <si>
    <t>INFARTO SUBSECUENTE DEL MIOCARDIO DE LA PARED ANTERIOR</t>
  </si>
  <si>
    <t>INFARTO SUBSECUENTE DEL MIOCARDIO DE LA PARED INFERIOR</t>
  </si>
  <si>
    <t>INFARTO SUBSECUENTE DEL MIOCARDIO DE OTROS SITIOS</t>
  </si>
  <si>
    <t>TROMBOSIS CORONARIA QUE NO RESULTA EN INFARTO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</si>
  <si>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</si>
  <si>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</si>
  <si>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</si>
  <si>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</si>
  <si>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</si>
  <si>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INFARTO ANTIGUO DEL MIOCARDIO</t>
  </si>
  <si>
    <t>ANEURISMA CARDIACO</t>
  </si>
  <si>
    <t>ANEURISMA DE ARTERIA CORONARIA</t>
  </si>
  <si>
    <t>CARDIOMIOPATIA ISQUEMICA</t>
  </si>
  <si>
    <t>ISQUEMIA SILENTE DEL MIOCARDIO</t>
  </si>
  <si>
    <t>OTRAS FORMAS DE ENFERMEDAD ISQUEMICA CRONICA DEL CORAZON</t>
  </si>
  <si>
    <t>EMBOLIA PULMONAR CON MENCION DE CORAZON PULMONAR AGUDO</t>
  </si>
  <si>
    <t>EMBOLIA PULMONAR SIN MENCION DE CORAZON PULMONAR AGUDO</t>
  </si>
  <si>
    <t>HIPERTENSION PULMONAR PRIMARIA</t>
  </si>
  <si>
    <t>ENFERMEDAD CIFOSCOLIOTICA DEL CORAZON</t>
  </si>
  <si>
    <t>OTRAS ENFERMEDADES CARDIOPULMONARES ESPECIFICADAS</t>
  </si>
  <si>
    <t>ENFERMEDAD PULMONAR DEL CORAZON, NO ESPECIFICADA</t>
  </si>
  <si>
    <t>FISTULA ARTERIOVENOSA DE LOS VASOS PULMONARES</t>
  </si>
  <si>
    <t>ANEURISMA DE LA ARTERIA PULMONAR</t>
  </si>
  <si>
    <t>OTRAS ENFERMEDADES ESPECIFICADAS DE LOS VASOS PULMONARES</t>
  </si>
  <si>
    <t>ENFERMEDAD DE LOS VASOS PULMONARES, NO ESPECIFICADA</t>
  </si>
  <si>
    <t>PERICARDITIS IDIOPATICA AGUDA INESPECIFICA</t>
  </si>
  <si>
    <t>PERICARDITIS INFECCIOSA</t>
  </si>
  <si>
    <t>OTRAS FORMAS DE PERICARDITIS AGUDA</t>
  </si>
  <si>
    <t>PERICARDITIS AGUDA, NO ESPECIFICADA</t>
  </si>
  <si>
    <t>PERICARDITIS CRONICA ADHESIVA</t>
  </si>
  <si>
    <t>PERICARDITIS CONSTRICTIVA CRONICA</t>
  </si>
  <si>
    <t>HEMOPERICARDIO, NO CLASIFICADO EN OTRA PARTE</t>
  </si>
  <si>
    <t>DERRAME PERICARDICO (NO INFLAMATORIO)</t>
  </si>
  <si>
    <t>OTRAS ENFERMEDADES ESPECIFICADAS DEL PERICARDIO</t>
  </si>
  <si>
    <t>ENFERMEDAD DEL PERICARDIO, NO ESPECIFICADA</t>
  </si>
  <si>
    <t>PERICARDITIS EN ENFERMEDADES BACTERIANAS CLASIFICADAS EN OTRA PARTE</t>
  </si>
  <si>
    <t>PERICARDITIS EN OTRAS ENFERMEDADES CLASIFICADAS EN OTRA PARTE</t>
  </si>
  <si>
    <t>ENDOCARDITIS INFECCIOSA AGUDA Y SUBAGUDA</t>
  </si>
  <si>
    <t>ENDOCARDITIS AGUDA, NO ESPECIFICADA</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</si>
  <si>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</si>
  <si>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</si>
  <si>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</si>
  <si>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</si>
  <si>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</si>
  <si>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</si>
  <si>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</si>
  <si>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</si>
  <si>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</si>
  <si>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</si>
  <si>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</si>
  <si>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</si>
  <si>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</si>
  <si>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</si>
  <si>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</si>
  <si>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</si>
  <si>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</si>
  <si>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</si>
  <si>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</si>
  <si>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</si>
  <si>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</si>
  <si>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</si>
  <si>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</si>
  <si>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</si>
  <si>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</si>
  <si>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</si>
  <si>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CLASIFICADAS EN OTRA PARTE</t>
  </si>
  <si>
    <t>CARDIOMIOPATIA DILATADA</t>
  </si>
  <si>
    <t>CARDIOMIOPATIA HIPERTROFICA OBSTRUCTIVA</t>
  </si>
  <si>
    <t>ENFERMEDAD ENDOMIOCARDICA (EOSINOFILICA)</t>
  </si>
  <si>
    <t>FIBROELASTOSIS ENDOCARDICA</t>
  </si>
  <si>
    <t>OTRAS CARDIOMIOPATIAS RESTRICTIVAS</t>
  </si>
  <si>
    <t>CARDIOMIOPATIA ALCOHOLICA</t>
  </si>
  <si>
    <t>CARDIOMIOPATIA, NO ESPECIFICADA</t>
  </si>
  <si>
    <t>CARDIOMIOPATIA EN ENFERMEDADES METABOLICAS</t>
  </si>
  <si>
    <t>CARDIOMIOPATIA EN ENFERMEDADES NUTRICIONALES</t>
  </si>
  <si>
    <t>CARDIOMIOPATIA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</si>
  <si>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</si>
  <si>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</si>
  <si>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</si>
  <si>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</si>
  <si>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</si>
  <si>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</si>
  <si>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</si>
  <si>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DE RAMA IZQUIERDA DEL HAZ, SIN OTRA ESPECIFICACION</t>
  </si>
  <si>
    <t>BLOQUEO FASCICULAR DERECHO</t>
  </si>
  <si>
    <t>OTROS TIPOS DE BLOQUEO DE RAMA DERECHA DEL HAZ Y LOS NO ESPECIFICADOS</t>
  </si>
  <si>
    <t>BLOQUEO BIFASCICULAR</t>
  </si>
  <si>
    <t>BLOQUEO TRIFASCICULAR</t>
  </si>
  <si>
    <t>BLOQUEO INTRAVENTRICULAR NO ESPECIFICADO</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</si>
  <si>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</si>
  <si>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</si>
  <si>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</si>
  <si>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</si>
  <si>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</si>
  <si>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</si>
  <si>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</si>
  <si>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ARRITMIA POR REENTRADA VENTRICULAR</t>
  </si>
  <si>
    <t>TAQUICARDIA SUPRAVENTRICULAR</t>
  </si>
  <si>
    <t>TAQUICARDIA VENTRICULAR</t>
  </si>
  <si>
    <t>TAQUICARDIA PAROXISTICA, NO ESPECIFICADA</t>
  </si>
  <si>
    <t>FIBRILACION Y ALETEO AURICULAR</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</si>
  <si>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</si>
  <si>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</si>
  <si>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</si>
  <si>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</si>
  <si>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</si>
  <si>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</si>
  <si>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OTRAS ARRITMIAS CARDIACAS ESPECIFICADAS</t>
  </si>
  <si>
    <t>ARRITMIA CARDIACA, NO ESPECIFICADA</t>
  </si>
  <si>
    <t>INSUFICIENCIA CARDIACA CONGESTIVA</t>
  </si>
  <si>
    <t>INSUFICIENCIA VENTRICULAR IZQUIERDA</t>
  </si>
  <si>
    <t>INSUFICIENCIA CARDIACA, NO ESPECIFICADA</t>
  </si>
  <si>
    <t>DEFECTO DEL TABIQUE CARDIACO, ADQUIRIDO</t>
  </si>
  <si>
    <t>RUPTURA DE CUERDA TENDINOSA, NO CLASIFICADA EN OTRA PARTE</t>
  </si>
  <si>
    <t>TROMBOSIS INTRACARDIACA, NO CLASIFICADA EN OTRA PARTE</t>
  </si>
  <si>
    <t>MIOCARDITIS, NO ESPECIFICADA</t>
  </si>
  <si>
    <t>DEGENERACION MIOCARDICA</t>
  </si>
  <si>
    <t>ENFERMEDAD CARDIOVASCULAR, NO ESPECIFICADA</t>
  </si>
  <si>
    <t>CARDIOMEGALIA</t>
  </si>
  <si>
    <t>OTRAS ENFERMEDADES CARDIACAS MAL DEFINIDAS</t>
  </si>
  <si>
    <t>ENFERMEDAD CARDIACA, NO ESPECIFICADA</t>
  </si>
  <si>
    <t>HEMORRAGIA SUBARACNOIDEA DE SIFON Y BIFURCACION CAROTIDEA</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</si>
  <si>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</si>
  <si>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</si>
  <si>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</si>
  <si>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</si>
  <si>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</si>
  <si>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</si>
  <si>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</si>
  <si>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</si>
  <si>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</si>
  <si>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</si>
  <si>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</si>
  <si>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</si>
  <si>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</si>
  <si>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</si>
  <si>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</si>
  <si>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</si>
  <si>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</si>
  <si>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</si>
  <si>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</si>
  <si>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</si>
  <si>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</si>
  <si>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</si>
  <si>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</si>
  <si>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</si>
  <si>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</si>
  <si>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INFARTO CEREBRAL DEBIDO A TROMBOSIS DE VENAS CEREBRALES, NO PIOGENO</t>
  </si>
  <si>
    <t>OTROS INFARTOS CEREBRALES</t>
  </si>
  <si>
    <t>INFARTO CEREBRAL, NO ESPECIFICADO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</si>
  <si>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</si>
  <si>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</si>
  <si>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</si>
  <si>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</si>
  <si>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</si>
  <si>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</si>
  <si>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</si>
  <si>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</si>
  <si>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</si>
  <si>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</si>
  <si>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</si>
  <si>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</si>
  <si>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</si>
  <si>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</si>
  <si>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ANEURISMA CEREBRAL, SIN RUPTURA</t>
  </si>
  <si>
    <t>ATEROSCLEROSIS CEREBRAL</t>
  </si>
  <si>
    <t>LEUCOENCEFALOPATIA VASCULAR PROGRESIVA</t>
  </si>
  <si>
    <t>ENCEFALOPATIA HIPERTENSIVA</t>
  </si>
  <si>
    <t>ENFERMEDAD DE MOYAMOYA</t>
  </si>
  <si>
    <t>TROMBOSIS APIOGENA DEL SISTEMA VENOSO INTRACRANEAL</t>
  </si>
  <si>
    <t>ARTERITIS CEREBRAL, NO CLASIFICADA EN OTRA PARTE</t>
  </si>
  <si>
    <t>OTRAS ENFERMEDADES CEREBROVASCULARES ESPECIFICADAS</t>
  </si>
  <si>
    <t>ENFERMEDAD CEREBROVASCULAR, NO ESPECIFICADA</t>
  </si>
  <si>
    <t>SECUELAS DE HEMORRAGIA SUBARACNOIDEA</t>
  </si>
  <si>
    <t>SECUELAS DE HEMORRAGIA INTRAENCEFALICA</t>
  </si>
  <si>
    <t>SECUELAS DE OTRAS HEMORRAGIAS INTRACRANEALES NO TRAUMATICAS</t>
  </si>
  <si>
    <t>SECUELAS DE INFARTO CEREBRAL</t>
  </si>
  <si>
    <t>ATEROSCLEROSIS DE LA AORTA</t>
  </si>
  <si>
    <t>ATEROSCLEROSIS DE LA ARTERIA RENAL</t>
  </si>
  <si>
    <t>ATEROSCLEROSIS DE LAS ARTERIAS DE LOS MIEMBROS</t>
  </si>
  <si>
    <t>ATEROSCLEROSIS DE OTRAS ARTERIAS</t>
  </si>
  <si>
    <t>ATEROSCLEROSIS GENERALIZADA Y LA NO ESPECIFICADA</t>
  </si>
  <si>
    <t>DISECCION DE AORTA (CUALQUIER PARTE)</t>
  </si>
  <si>
    <t>RUPTURA DE ANEURISMA DE LA AORTA TORACICA</t>
  </si>
  <si>
    <t>ANEURISMA DE LA AORTA TORACICA, SIN MENCION DE RUPTURA</t>
  </si>
  <si>
    <t>RUPTURA DE ANEURISMA DE LA AORTA ABDOMINAL</t>
  </si>
  <si>
    <t>ANEURISMA DE LA AORTA ABDOMINAL, SIN MENCION DE RUPTURA</t>
  </si>
  <si>
    <t>RUPTURA DE ANEURISMA DE LA AORTA TORACOABDOMINAL</t>
  </si>
  <si>
    <t>ANEURISMA DE LA AORTA TORACOABDOMINAL, SIN MENCION DE RUPTURA</t>
  </si>
  <si>
    <t>RUPTURA DE ANEURISMA AORTICO, SITIO NO ESPECIFICADO</t>
  </si>
  <si>
    <t>ANEURISMA DE LA AORTA, SITIO NO ESPECIFICADO, SIN MENCION DE RUPTURA</t>
  </si>
  <si>
    <t>ANEURISMA DE LA ARTERIA CAROTIDA</t>
  </si>
  <si>
    <t>ANEURISMA DE ARTERIA RENAL</t>
  </si>
  <si>
    <t>ANEURISMA DE ARTERIA ILIACA</t>
  </si>
  <si>
    <t>ANEURISMA DE ARTERIA DEL MIEMBRO INFERIOR</t>
  </si>
  <si>
    <t>ANEURISMA DE OTRAS ARTERIAS ESPECIFICADAS</t>
  </si>
  <si>
    <t>ANEURISMA DE SITIO NO ESPECIFICADO</t>
  </si>
  <si>
    <t>SINDROME DE RAYNAUD</t>
  </si>
  <si>
    <t>OTRAS ENFERMEDADES VASCULARES PERIFERICAS ESPECIFICADAS</t>
  </si>
  <si>
    <t>ENFERMEDAD VASCULAR PERIFERICA, NO ESPECIFICADA</t>
  </si>
  <si>
    <t>EMBOLIA Y TROMBOSIS DE LA AORTA ABDOMINAL</t>
  </si>
  <si>
    <t>EMBOLIA Y TROMBOSIS DE ARTERIAS DE LOS MIEMBROS SUPERIORES</t>
  </si>
  <si>
    <t>EMBOLIA Y TROMBOSIS DE ARTERIAS DE LOS MIEMBROS INFERIORES</t>
  </si>
  <si>
    <t>EMBOLIA Y TROMBOSIS DE ARTERIAS DE LOS MIEMBROS, NO ESPECIFICADAS</t>
  </si>
  <si>
    <t>EMBOLIA Y TROMBOSIS DE ARTERIA ILIACA</t>
  </si>
  <si>
    <t>EMBOLIA Y TROMBOSIS DE OTRAS ARTERIAS</t>
  </si>
  <si>
    <t>EMBOLIA Y TROMBOSIS DE ARTERIA NO ESPECIFICADA</t>
  </si>
  <si>
    <t>FISTULA ARTERIOVENOSA, ADQUIRIDA</t>
  </si>
  <si>
    <t>ESTRECHEZ ARTERIAL</t>
  </si>
  <si>
    <t>RUPTURA ARTERIAL</t>
  </si>
  <si>
    <t>DISPLASIA FIBROMUSCULAR ARTERIAL</t>
  </si>
  <si>
    <t>SINDROME DE COMPRESION DEL TRONCO CELIACO</t>
  </si>
  <si>
    <t>NECROSIS ARTERIAL</t>
  </si>
  <si>
    <t>ARTERITIS, NO ESPECIFICADA</t>
  </si>
  <si>
    <t>OTROS TRASTORNOS ESPECIFICADOS DE ARTERIAS Y ARTERIOLAS</t>
  </si>
  <si>
    <t>TELANGIECTASIA HEMORRAGICA HEREDITARIA</t>
  </si>
  <si>
    <t>NEVO, NO NEOPLASICO</t>
  </si>
  <si>
    <t>OTRAS ENFERMEDADES DE LOS CAPILARES</t>
  </si>
  <si>
    <t>ENFERMEDAD DE LOS VASOS CAPILARES, NO ESPECIFICADA</t>
  </si>
  <si>
    <t>ANEURISMA DE LA AORTA EN ENFERMEDADES CLASIFICADAS EN OTRA PARTE</t>
  </si>
  <si>
    <t>AORTITIS EN ENFERMEDADES CLASIFICADAS EN OTRA PARTE</t>
  </si>
  <si>
    <t>ANGIOPATIA PERIFERICA EN ENFERMEDADES CLASIFICADAS EN OTRA PARTE</t>
  </si>
  <si>
    <t>FLEBITIS Y TROMBOFLEBITIS DE LA VENA FEMORAL</t>
  </si>
  <si>
    <t>FLEBITIS Y TROMBOFLEBITIS DE LOS MIEMBROS INFERIORES, NO ESPECIFICADA</t>
  </si>
  <si>
    <t>FLEBITIS Y TROMBOFLEBITIS DE OTROS SITIOS</t>
  </si>
  <si>
    <t>FLEBITIS Y TROMBOFLEBITIS DE SITIO NO ESPECIFICADO</t>
  </si>
  <si>
    <t>TROMBOSIS DE LA VENA PORTA</t>
  </si>
  <si>
    <t>SINDROME DE BUDD-CHIARI</t>
  </si>
  <si>
    <t>TROMBOFLEBITIS MIGRATORIA</t>
  </si>
  <si>
    <t>EMBOLIA Y TROMBOSIS DE VENA CAVA</t>
  </si>
  <si>
    <t>EMBOLIA Y TROMBOSIS DE VENA RENAL</t>
  </si>
  <si>
    <t>EMBOLIA Y TROMBOSIS DE OTRAS VENAS ESPECIFICADAS</t>
  </si>
  <si>
    <t>EMBOLIA Y TROMBOSIS DE VENA NO ESPECIFICADA</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</si>
  <si>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</si>
  <si>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</si>
  <si>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</si>
  <si>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</si>
  <si>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HEMORROIDES INTERNAS TROMBOSADAS</t>
  </si>
  <si>
    <t>HEMORROIDES INTERNAS CON OTRAS COMPLICACIONES</t>
  </si>
  <si>
    <t>HEMORROIDES INTERNAS SIN COMPLICACION</t>
  </si>
  <si>
    <t>HEMORROIDES EXTERNAS TROMBOSADAS</t>
  </si>
  <si>
    <t>HEMORROIDES EXTERNAS CON OTRAS COMPLICACIONES</t>
  </si>
  <si>
    <t>HEMORROIDES EXTERNAS SIN COMPLICACION</t>
  </si>
  <si>
    <t>PROMINENCIAS CUTANEAS, RESIDUO DE HEMORROIDES</t>
  </si>
  <si>
    <t>HEMORROIDES TROMBOSADAS NO ESPECIFICADAS</t>
  </si>
  <si>
    <t>HEMORROIDES NO ESPECIFICADAS, CON OTRAS COMPLICACIONES</t>
  </si>
  <si>
    <t>HEMORROIDES NO ESPECIFICADAS, SIN COMPLICACION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</si>
  <si>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</si>
  <si>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</si>
  <si>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</si>
  <si>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</si>
  <si>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</si>
  <si>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</si>
  <si>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</si>
  <si>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</si>
  <si>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POSTFLEBITICO</t>
  </si>
  <si>
    <t>COMPRESION DE VENA</t>
  </si>
  <si>
    <t>INSUFICIENCIA VENOSA (CRONICA) (PERIFERICA)</t>
  </si>
  <si>
    <t>OTROS TRASTORNOS VENOSOS ESPECIFICADOS</t>
  </si>
  <si>
    <t>TRASTORNO VENOSO, NO ESPECIFICADO</t>
  </si>
  <si>
    <t>LINFADENITIS MESENTERICA INESPECIFICA</t>
  </si>
  <si>
    <t>LINFADENITIS CRONICA, EXCEPTO LA MESENTERICA</t>
  </si>
  <si>
    <t>OTRAS LINFADENITIS INESPECIFICAS</t>
  </si>
  <si>
    <t>LINFADENITIS INESPECIFICA NO ESPECIFICADA</t>
  </si>
  <si>
    <t>LINFEDEMA, NO CLASIFICADO EN OTRA PARTE</t>
  </si>
  <si>
    <t>LINFANGITIS</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</si>
  <si>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</si>
  <si>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</si>
  <si>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</si>
  <si>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</si>
  <si>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</si>
  <si>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</si>
  <si>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</si>
  <si>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</si>
  <si>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EN ENFERMEDADES CLASIFICADAS EN OTRA PARTE</t>
  </si>
  <si>
    <t>OTROS TRASTORNOS Y LOS NO ESPECIFICADOS DEL SISTEMA CIRCULATORIO</t>
  </si>
  <si>
    <t>J00X</t>
  </si>
  <si>
    <t>RINOFARINGITIS AGUDA (RESFRIADO COMUN)</t>
  </si>
  <si>
    <t>SINUSITIS MAXILAR AGUDA</t>
  </si>
  <si>
    <t>SINUSITIS FRONTAL AGUDA</t>
  </si>
  <si>
    <t>SINUSITIS ETMOIDAL AGUDA</t>
  </si>
  <si>
    <t>SINUSITIS ESFENOIDAL AGUDA</t>
  </si>
  <si>
    <t>PANSINUSITIS AGUDA</t>
  </si>
  <si>
    <t>OTRAS SINUSITIS AGUDAS</t>
  </si>
  <si>
    <t>SINUSITIS AGUDA, NO ESPECIFICADA</t>
  </si>
  <si>
    <t>FARINGITIS ESTREPTOCOCICA</t>
  </si>
  <si>
    <t>FARINGITIS AGUDA DEBIDA A OTROS MICROORGANISMOS ESPECIFICADOS</t>
  </si>
  <si>
    <t>FARINGITIS AGUDA, NO ESPECIFICADA</t>
  </si>
  <si>
    <t>AMIGDALITIS ESTREPTOCOCICA</t>
  </si>
  <si>
    <t>AMIGDALITIS AGUDA DEBIDA A OTROS MICROORGANISMOS ESPECIFICADOS</t>
  </si>
  <si>
    <t>AMIGDALITIS AGUDA, NO ESPECIFICADA</t>
  </si>
  <si>
    <t>LARINGITIS AGUDA</t>
  </si>
  <si>
    <t>TRAQUEITIS AGUDA</t>
  </si>
  <si>
    <t>LARINGOTRAQUEITIS AGUDA</t>
  </si>
  <si>
    <t>EPIGLOTITIS AGUDA</t>
  </si>
  <si>
    <t>LARINGOFARINGITIS AGUDA</t>
  </si>
  <si>
    <t>INFECCION AGUDA DE LAS VIAS RESPIRATORIAS SUPERIORES, NO ESPECIFICADA</t>
  </si>
  <si>
    <t>INFLUENZA CON NEUMONIA, DEBIDA A VIRUS DE LA INFLUENZA IDENTIFICADO</t>
  </si>
  <si>
    <t>INFLUENZA CON NEUMONIA, VIRUS NO IDENTIFICADO</t>
  </si>
  <si>
    <t>INFLUENZA CON OTRAS MANIFESTACIONES,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</si>
  <si>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</si>
  <si>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</si>
  <si>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</si>
  <si>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</si>
  <si>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</si>
  <si>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</si>
  <si>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</si>
  <si>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</si>
  <si>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</si>
  <si>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</si>
  <si>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</si>
  <si>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</si>
  <si>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</si>
  <si>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</si>
  <si>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</si>
  <si>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</si>
  <si>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</si>
  <si>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</si>
  <si>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</si>
  <si>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</si>
  <si>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</si>
  <si>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</si>
  <si>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</si>
  <si>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</si>
  <si>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</si>
  <si>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HIPOSTATICA, NO ESPECIFICADA</t>
  </si>
  <si>
    <t>OTRAS NEUMONIAS, DE MICROORGANISMO NO ESPECIFICADO</t>
  </si>
  <si>
    <t>NEUMONIA, NO ESPECIFICADA</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</si>
  <si>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</si>
  <si>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</si>
  <si>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</si>
  <si>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</si>
  <si>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</si>
  <si>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</si>
  <si>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</si>
  <si>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</si>
  <si>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</si>
  <si>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</si>
  <si>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</si>
  <si>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OTROS MICROORGANISMOS ESPECIFICADOS</t>
  </si>
  <si>
    <t>BRONQUIOLITIS AGUDA, NO ESPECIFICADA</t>
  </si>
  <si>
    <t>INFECCION AGUDA NO ESPECIFICADA DE LAS VIAS RESPIRATORIAS INFERIORES</t>
  </si>
  <si>
    <t>RINITIS VASOMOTORA</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</si>
  <si>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</si>
  <si>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</si>
  <si>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</si>
  <si>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</si>
  <si>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</si>
  <si>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</si>
  <si>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</si>
  <si>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</si>
  <si>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</si>
  <si>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</si>
  <si>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</si>
  <si>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</si>
  <si>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</si>
  <si>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</si>
  <si>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</si>
  <si>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</si>
  <si>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</si>
  <si>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</si>
  <si>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DESVIACION DEL TABIQUE NASAL</t>
  </si>
  <si>
    <t>HIPERTROFIA DE LOS CORNETES NASALES</t>
  </si>
  <si>
    <t>OTROS TRASTORNOS ESPECIFICADOS DE LA NARIZ Y DE LOS SENOS PARANASALES</t>
  </si>
  <si>
    <t>AMIGDALITIS CRONICA</t>
  </si>
  <si>
    <t>HIPERTROFIA DE LAS AMIGDALAS</t>
  </si>
  <si>
    <t>HIPERTROFIA DE LAS ADENOIDES</t>
  </si>
  <si>
    <t>HIPERTROFIA DE LAS AMIGDALAS CON HIPERTROFIA DE LAS ADENOIDES</t>
  </si>
  <si>
    <t>OTRAS ENFERMEDADES CRONICAS DE LAS AMIGDALAS Y DE LAS ADENOIDES</t>
  </si>
  <si>
    <t>ABSCESO PERIAMIGDALINO</t>
  </si>
  <si>
    <t>LARINGITIS CRONICA</t>
  </si>
  <si>
    <t>LARINGOTRAQUEITIS CRONICA</t>
  </si>
  <si>
    <t>PARALISIS DE LAS CUERDAS VOCALES Y DE LA LARINGE</t>
  </si>
  <si>
    <t>POLIPO DE LAS CUERDAS VOCALES Y DE LA LARINGE</t>
  </si>
  <si>
    <t>NODULOS DE LAS CUERDAS VOCALES</t>
  </si>
  <si>
    <t>OTRAS ENFERMEDADES DE LAS CUERDAS VOCALES</t>
  </si>
  <si>
    <t>EDEMA DE LARINGE</t>
  </si>
  <si>
    <t>ESPASMO LARINGEO</t>
  </si>
  <si>
    <t>ESTENOSIS LARINGEA</t>
  </si>
  <si>
    <t>OTRAS ENFERMEDADES DE LA LARINGE</t>
  </si>
  <si>
    <t>ABSCESO RETROFARINGEO Y PARAFARINGEO</t>
  </si>
  <si>
    <t>OTROS ABSCESOS DE LA FARINGE</t>
  </si>
  <si>
    <t>OTRAS ENFERMEDADES DE LA FARINGE</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</si>
  <si>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</si>
  <si>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</si>
  <si>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</si>
  <si>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</si>
  <si>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</si>
  <si>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</si>
  <si>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</si>
  <si>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</si>
  <si>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ENFISEMA PANLOBULAR</t>
  </si>
  <si>
    <t>ENFISEMA CENTROLOBULAR</t>
  </si>
  <si>
    <t>OTROS TIPOS DE ENFISEMA</t>
  </si>
  <si>
    <t>ENFISEMA, NO ESPECIFICADO</t>
  </si>
  <si>
    <t>OTRAS ENFERMEDADES PULMONARES OBSTRUCTIVAS CRONICAS ESPECIFICADAS</t>
  </si>
  <si>
    <t>ENFERMEDAD PULMONAR OBSTRUCTIVA CRONICA, NO ESPECIFICADA</t>
  </si>
  <si>
    <t>ASMA PREDOMINANTEMENTE ALERGICA</t>
  </si>
  <si>
    <t>ASMA NO ALERGICA</t>
  </si>
  <si>
    <t>ASMA MIXTA</t>
  </si>
  <si>
    <t>ASMA, NO ESPECIFICADA</t>
  </si>
  <si>
    <t>ESTADO ASMATICO</t>
  </si>
  <si>
    <t>BRONQUIECTASIA</t>
  </si>
  <si>
    <t>NEUMOCONIOSIS DE LOS MINEROS DEL CARBON</t>
  </si>
  <si>
    <t>NEUMOCONIOSIS DEBIDA AL ASBESTO Y A OTRAS FIBRAS MINERALES</t>
  </si>
  <si>
    <t>NEUMOCONIOSIS DEBIDA A POLVO DE TALCO</t>
  </si>
  <si>
    <t>NEUMOCONIOSIS DEBIDA A OTROS POLVOS QUE CONTIENEN SILICE</t>
  </si>
  <si>
    <t>ALUMINOSIS (DEL PULMON)</t>
  </si>
  <si>
    <t>FIBROSIS (DEL PULMON) DEBIDA A BAUXITA</t>
  </si>
  <si>
    <t>BERILIOSIS</t>
  </si>
  <si>
    <t>FIBROSIS (DEL PULMON) DEBIDA A GRAFITO</t>
  </si>
  <si>
    <t>SIDEROSIS</t>
  </si>
  <si>
    <t>ESTAÑOSIS</t>
  </si>
  <si>
    <t>NEUMOCONIOSIS DEBIDA A OTROS POLVOS INORGANICOS ESPECIFICADOS</t>
  </si>
  <si>
    <t>NEUMOCONIOSIS, NO ESPECIFICADA</t>
  </si>
  <si>
    <t>BISINOSIS</t>
  </si>
  <si>
    <t>ENFERMEDAD DE LOS TRABAJADORES DEL LINO</t>
  </si>
  <si>
    <t>CANABINOSIS</t>
  </si>
  <si>
    <t>PULMON DEL GRANJERO</t>
  </si>
  <si>
    <t>BAGAZOSIS</t>
  </si>
  <si>
    <t>PULMON DEL ORNITOFILO</t>
  </si>
  <si>
    <t>SUBEROSIS</t>
  </si>
  <si>
    <t>PULMON DEL MANIPULADOR DE MALTA</t>
  </si>
  <si>
    <t>PULMON DEL MANIPULADOR DE HONGOS</t>
  </si>
  <si>
    <t>PULMON DEL DESCORTEZADOR DEL ARCE</t>
  </si>
  <si>
    <t>NEUMONITIS DEBIDA A HIPERSENSIBILIDAD A POLVO ORGANICO NO ESPECIFICADO</t>
  </si>
  <si>
    <t>NEUMONITIS DEBIDA A ASPIRACION DE ALIMENTO O VOMITO</t>
  </si>
  <si>
    <t>NEUMONITIS DEBIDA A ASPIRACION DE ACEITES Y ESENCIAS</t>
  </si>
  <si>
    <t>NEUMONITIS DEBIDA A ASPIRACION DE OTROS SOLIDOS Y LIQUIDOS</t>
  </si>
  <si>
    <t>MANIFESTACIONES PULMONARES AGUDAS DEBIDAS A RADIACION</t>
  </si>
  <si>
    <t>TRASTORNOS PULMONARES INTERSTICIALES AGUDOS INDUCIDOS POR DROGAS</t>
  </si>
  <si>
    <t>TRASTORNOS PULMONARES INTERSTICIALES CRONICOS INDUCIDOS POR DROGAS</t>
  </si>
  <si>
    <t>AFECCIONES RESPIRATORIAS DEBIDAS A AGENTES EXTERNOS NO ESPECIFICADOS</t>
  </si>
  <si>
    <t>SINDROME DE DIFICULTAD RESPIRATORIA DEL ADULTO</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</si>
  <si>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</si>
  <si>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</si>
  <si>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</si>
  <si>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</si>
  <si>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</si>
  <si>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</si>
  <si>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GANGRENA Y NECROSIS DEL PULMON</t>
  </si>
  <si>
    <t>ABSCESO DEL PULMON CON NEUMONIA</t>
  </si>
  <si>
    <t>ABSCESO DEL PULMON SIN NEUMONIA</t>
  </si>
  <si>
    <t>ABSCESO DEL MEDIASTINO</t>
  </si>
  <si>
    <t>PIOTORAX CON FISTULA</t>
  </si>
  <si>
    <t>PIOTORAX SIN FISTULA</t>
  </si>
  <si>
    <t>DERRAME PLEURAL NO CLASIFICADO EN OTRA PARTE</t>
  </si>
  <si>
    <t>DERRAME PLEURAL EN AFECCIONES CLASIFICADAS EN OTRA PARTE</t>
  </si>
  <si>
    <t>PAQUIPLEURITIS CON ASBESTOSIS</t>
  </si>
  <si>
    <t>PAQUIPLEURITIS SIN ASBESTOSIS</t>
  </si>
  <si>
    <t>NEUMOTORAX ESPONTANEO A PRESION</t>
  </si>
  <si>
    <t>OTROS TIPOS DE NEUMOTORAX ESPONTANEO</t>
  </si>
  <si>
    <t>OTROS NEUMOTORAX</t>
  </si>
  <si>
    <t>NEUMOTORAX, NO ESPECIFICADO</t>
  </si>
  <si>
    <t>QUILOTORAX</t>
  </si>
  <si>
    <t>FIBROTORAX</t>
  </si>
  <si>
    <t>HEMOTORAX</t>
  </si>
  <si>
    <t>OTRAS AFECCIONES ESPECIFICADAS DE LA PLEURA</t>
  </si>
  <si>
    <t>AFECCION PLEURAL, NO ESPECIFICADA</t>
  </si>
  <si>
    <t>FUNCIONAMIENTO DEFECTUOSO DE LA TRAQUEOSTOMIA</t>
  </si>
  <si>
    <t>INSUFICIENCIA PULMONAR AGUDA CONSECUTIVA A CIRUGIA TORACICA</t>
  </si>
  <si>
    <t>INSUFICIENCIA PULMONAR AGUDA CONSECUTIVA A CIRUGIA EXTRATORACICA</t>
  </si>
  <si>
    <t>INSUFICIENCIA PULMONAR CRONICA CONSECUTIVA A CIRUGIA</t>
  </si>
  <si>
    <t>SINDROME DE MENDELSON</t>
  </si>
  <si>
    <t>ESTENOSIS SUBGLOTICA CONSECUTIVA A PROCEDIMIENTOS</t>
  </si>
  <si>
    <t>OTROS TRASTORNOS RESPIRATORIOS CONSECUTIVOS A PROCEDIMIENTOS</t>
  </si>
  <si>
    <t>INSUFICIENCIA RESPIRATORIA AGUDA</t>
  </si>
  <si>
    <t>INSUFICIENCIA RESPIRATORIA CRONICA</t>
  </si>
  <si>
    <t>INSUFICIENCIA RESPIRATORIA, NO ESPECIFICADA</t>
  </si>
  <si>
    <t>COLAPSO PULMONAR</t>
  </si>
  <si>
    <t>ENFISEMA INTERSTICIAL</t>
  </si>
  <si>
    <t>ENFISEMA COMPENSATORIO</t>
  </si>
  <si>
    <t>OTROS TRASTORNOS DEL PULMON</t>
  </si>
  <si>
    <t>TRASTORNOS DEL DIAFRAGMA</t>
  </si>
  <si>
    <t>OTROS TRASTORNOS RESPIRATORIOS ESPECIFICADOS</t>
  </si>
  <si>
    <t>TRASTORNO RESPIRATORIO, NO ESPECIFICADO</t>
  </si>
  <si>
    <t>ANODONCIA</t>
  </si>
  <si>
    <t>DIENTES SUPERNUMERARIOS</t>
  </si>
  <si>
    <t>ANOMALIAS DEL TAMAÑO Y DE LA FORMA DEL DIENTE</t>
  </si>
  <si>
    <t>DIENTES MOTEADOS</t>
  </si>
  <si>
    <t>ALTERACIONES EN LA FORMACION DENTARIA</t>
  </si>
  <si>
    <t>ALTERACIONES EN LA ERUPCION DENTARIA</t>
  </si>
  <si>
    <t>SINDROME DE LA ERUPCION DENTARIA</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</si>
  <si>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</si>
  <si>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</si>
  <si>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</si>
  <si>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</si>
  <si>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</si>
  <si>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</si>
  <si>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</si>
  <si>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</si>
  <si>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</si>
  <si>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OTRAS CARIES DENTALES</t>
  </si>
  <si>
    <t>CARIES DENTAL, NO ESPECIFICADA</t>
  </si>
  <si>
    <t>ATRICION EXCESIVA DE LOS DIENTES</t>
  </si>
  <si>
    <t>ABRASION DE LOS DIENTES</t>
  </si>
  <si>
    <t>EROSION DE LOS DIENTES</t>
  </si>
  <si>
    <t>REABSORCION PATOLOGICA DE LOS DIENTES</t>
  </si>
  <si>
    <t>HIPERCEMENTOSIS</t>
  </si>
  <si>
    <t>ANQUILOSIS DENTAL</t>
  </si>
  <si>
    <t>DEPOSITOS [ACRECIONES] EN LOS DIENTES</t>
  </si>
  <si>
    <t>CAMBIOS POSTERUPTIVOS DEL COLOR DE LOS TEJIDOS DENTALES DUROS</t>
  </si>
  <si>
    <t>OTRAS ENFERMEDADES ESPECIFICADAS DE LOS TEJIDOS DUROS DE LOS DIENTES</t>
  </si>
  <si>
    <t>ENFERMEDAD NO ESPECIFICADA DE LOS TEJIDOS DENTALES DUROS</t>
  </si>
  <si>
    <t>PULPITIS</t>
  </si>
  <si>
    <t>NECROSIS DE LA PULPA</t>
  </si>
  <si>
    <t>DEGENERACION DE LA PULPA</t>
  </si>
  <si>
    <t>FORMACION ANORMAL DE TEJIDO DURO EN LA PULPA</t>
  </si>
  <si>
    <t>PERIODONTITIS APICAL AGUDA ORIGINADA EN LA PULPA</t>
  </si>
  <si>
    <t>PERIODONTITIS APICAL CRONICA</t>
  </si>
  <si>
    <t>ABSCESO PERIAPICAL CON FISTULA</t>
  </si>
  <si>
    <t>ABSCESO PERIAPICAL SIN FISTULA</t>
  </si>
  <si>
    <t>QUISTE RADICULAR</t>
  </si>
  <si>
    <t>GINGIVITIS AGUDA</t>
  </si>
  <si>
    <t>GINGIVITIS CRONICA</t>
  </si>
  <si>
    <t>PERIODONTITIS AGUDA</t>
  </si>
  <si>
    <t>PERIODONTITIS CRONICA</t>
  </si>
  <si>
    <t>PERIODONTOSIS</t>
  </si>
  <si>
    <t>OTRAS ENFERMEDADES PERIODONTALES</t>
  </si>
  <si>
    <t>RETRACCION GINGIVAL</t>
  </si>
  <si>
    <t>HIPERPLASIA GINGIVAL</t>
  </si>
  <si>
    <t>LESIONES DE LA ENCIA Y DE LA ZONA EDENTULA ASOCIADAS CON TRAUMATISMO</t>
  </si>
  <si>
    <t>OTROS TRASTORNOS ESPECIFICADOS DE LA ENCIA Y DE LA ZONA EDENTULA</t>
  </si>
  <si>
    <t>TRASTORNO NO ESPECIFICADO DE LA ENCIA Y DE LA ZONA EDENTULA</t>
  </si>
  <si>
    <t>ANOMALIAS EVIDENTES DEL TAMAÑO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</si>
  <si>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</si>
  <si>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</si>
  <si>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</si>
  <si>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</si>
  <si>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</si>
  <si>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</si>
  <si>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</si>
  <si>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</si>
  <si>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</si>
  <si>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RAIZ DENTAL RETENIDA</t>
  </si>
  <si>
    <t>QUISTES ORIGINADOS POR EL DESARROLLO DE LOS DIENTES</t>
  </si>
  <si>
    <t>QUISTES DE LAS FISURAS (NO ODONTOGENICOS)</t>
  </si>
  <si>
    <t>OTROS QUISTES DE LOS MAXILARES</t>
  </si>
  <si>
    <t>OTROS QUISTES DE LA REGION BUCAL, NO CLASIFICADOS EN OTRA PARTE</t>
  </si>
  <si>
    <t>QUISTE DE LA REGION BUCAL, SIN OTRA ESPECIFICACION</t>
  </si>
  <si>
    <t>TRASTORNOS DEL DESARROLLO DE LOS MAXILARES</t>
  </si>
  <si>
    <t>GRANULOMA CENTRAL DE CELULAS GIGANTES</t>
  </si>
  <si>
    <t>AFECCIONES INFLAMATORIAS DE LOS MAXILARES</t>
  </si>
  <si>
    <t>ALVEOLITIS DEL MAXILAR</t>
  </si>
  <si>
    <t>OTRAS ENFERMEDADES ESPECIFICADAS DE LOS MAXILARES</t>
  </si>
  <si>
    <t>ENFERMEDAD DE LOS MAXILARES, NO ESPECIFICADA</t>
  </si>
  <si>
    <t>ATROFIA DE GLANDULA SALIVAL</t>
  </si>
  <si>
    <t>HIPERTROFIA DE GLANDULA SALIVAL</t>
  </si>
  <si>
    <t>SIALADENITIS</t>
  </si>
  <si>
    <t>ABSCESO DE GLANDULA SALIVAL</t>
  </si>
  <si>
    <t>FISTULA DE GLANDULA SALIVAL</t>
  </si>
  <si>
    <t>SIALOLITIASIS</t>
  </si>
  <si>
    <t>MUCOCELE DE GLANDULA SALIVAL</t>
  </si>
  <si>
    <t>ALTERACIONES DE LA SECRECION SALIVAL</t>
  </si>
  <si>
    <t>OTRAS ENFERMEDADES DE LAS GLANDULAS SALIVALES</t>
  </si>
  <si>
    <t>ESTOMATITIS AFTOSA RECURRENTE</t>
  </si>
  <si>
    <t>OTRAS FORMAS DE ESTOMATITIS</t>
  </si>
  <si>
    <t>ENFERMEDADES DE LOS LABIOS</t>
  </si>
  <si>
    <t>MORDEDURA DEL LABIO Y DE LA MEJILLA</t>
  </si>
  <si>
    <t>LEUCOPLASIA PILOSA</t>
  </si>
  <si>
    <t>GRANULOMA Y LESIONES SEMEJANTES DE LA MUCOSA BUCAL</t>
  </si>
  <si>
    <t>FIBROSIS DE LA SUBMUCOSA BUCAL</t>
  </si>
  <si>
    <t>OTRAS LESIONES Y LAS NO ESPECIFICADAS DE LA MUCOSA BUCAL</t>
  </si>
  <si>
    <t>GLOSITIS</t>
  </si>
  <si>
    <t>LENGUA GEOGRAFICA</t>
  </si>
  <si>
    <t>GLOSITIS ROMBOIDEA MEDIANA</t>
  </si>
  <si>
    <t>HIPERTROFIA DE LAS PAPILAS LINGUALES</t>
  </si>
  <si>
    <t>ATROFIA DE LAS PAPILAS LINGUALES</t>
  </si>
  <si>
    <t>LENGUA PLEGADA</t>
  </si>
  <si>
    <t>GLOSODINIA</t>
  </si>
  <si>
    <t>OTRAS ENFERMEDADES DE LA LENGUA</t>
  </si>
  <si>
    <t>ENFERMEDAD DE LA LENGUA, NO ESPECIFICADA</t>
  </si>
  <si>
    <t>ESOFAGITIS</t>
  </si>
  <si>
    <t>ENFERMEDAD DEL REFLUJO GASTROESOFAGICO CON ESOFAGITIS</t>
  </si>
  <si>
    <t>ENFERMEDAD DEL REFLUJO GASTROESOFAGICO SIN ESOFAGITIS</t>
  </si>
  <si>
    <t>ACALASIA DEL CARDIAS</t>
  </si>
  <si>
    <t>ULCERA DEL ESOFAGO</t>
  </si>
  <si>
    <t>OBSTRUCCION DEL ESOFAGO</t>
  </si>
  <si>
    <t>PERFORACION DEL ESOFAGO</t>
  </si>
  <si>
    <t>DISQUINESIA DEL ESOFAGO</t>
  </si>
  <si>
    <t>DIVERTICULO DEL ESOFAGO, ADQUIRIDO</t>
  </si>
  <si>
    <t>SINDROME DE LACERACION Y HEMORRAGIA GASTROESOFAGICAS</t>
  </si>
  <si>
    <t>OTRAS ENFERMEDADES ESPECIFICADAS DEL ESOFAGO</t>
  </si>
  <si>
    <t>ENFERMEDAD DEL ESOFAGO, NO ESPECIFICADA</t>
  </si>
  <si>
    <t>GASTRITIS AGUDA HEMORRAGICA</t>
  </si>
  <si>
    <t>OTRAS GASTRITIS AGUDAS</t>
  </si>
  <si>
    <t>GASTRITIS ALCOHOLICA</t>
  </si>
  <si>
    <t>GASTRITIS CRONICA ATROFICA</t>
  </si>
  <si>
    <t>GASTRITIS CRONICA, NO ESPECIFICADA</t>
  </si>
  <si>
    <t>OTRAS GASTRITIS</t>
  </si>
  <si>
    <t>GASTRITIS, NO ESPECIFICADA</t>
  </si>
  <si>
    <t>DUODENITIS</t>
  </si>
  <si>
    <t>GASTRODUODENITIS, NO ESPECIFICADA</t>
  </si>
  <si>
    <t>DISPEPSIA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</si>
  <si>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</si>
  <si>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</si>
  <si>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</si>
  <si>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</si>
  <si>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</si>
  <si>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</si>
  <si>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</si>
  <si>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OTRAS ENFERMEDADES ESPECIFICADAS DEL ESTOMAGO Y DEL DUODENO</t>
  </si>
  <si>
    <t>ENFERMEDAD DEL ESTOMAGO Y DEL DUODENO, NO ESPECIFICADA</t>
  </si>
  <si>
    <t>APENDICITIS AGUDA CON PERITONITIS GENERALIZADA</t>
  </si>
  <si>
    <t>APENDICITIS AGUDA CON ABSCESO PERITONEAL</t>
  </si>
  <si>
    <t>APENDICITIS AGUDA, NO ESPECIFICADA</t>
  </si>
  <si>
    <t>OTROS TIPOS DE APENDICITIS</t>
  </si>
  <si>
    <t>APENDICITIS, NO ESPECIFICADA</t>
  </si>
  <si>
    <t>HIPERPLASIA DEL APENDICE</t>
  </si>
  <si>
    <t>CONCRECIONES APENDICULARES</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</si>
  <si>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</si>
  <si>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</si>
  <si>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</si>
  <si>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</si>
  <si>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</si>
  <si>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</si>
  <si>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GANGRENA</t>
  </si>
  <si>
    <t>HERNIA FEMORAL BILATERAL, CON OBSTRUCCION, SIN GANGRENA</t>
  </si>
  <si>
    <t>HERNIA FEMORAL BILATERAL, CON GANGRENA</t>
  </si>
  <si>
    <t>HERNIA FEMORAL BILATERAL, SIN OBSTRUCCION NI GANGRENA</t>
  </si>
  <si>
    <t>HERNIA FEMORAL UNILATERAL O NO ESPECIFICADA, CON GANGRENA</t>
  </si>
  <si>
    <t>HERNIA UMBILICAL CON OBSTRUCCION, SIN GANGRENA</t>
  </si>
  <si>
    <t>HERNIA UMBILICAL CON GANGRENA</t>
  </si>
  <si>
    <t>HERNIA UMBILICAL SIN OBSTRUCCION NI GANGRENA</t>
  </si>
  <si>
    <t>HERNIA VENTRAL CON OBSTRUCCION, SIN GANGRENA</t>
  </si>
  <si>
    <t>HERNIA VENTRAL CON GANGRENA</t>
  </si>
  <si>
    <t>HERNIA VENTRAL SIN OBSTRUCCION NI GANGRENA</t>
  </si>
  <si>
    <t>HERNIA DIAFRAGMATICA CON OBSTRUCCION, SIN GANGRENA</t>
  </si>
  <si>
    <t>HERNIA DIAFRAGMATICA CON GANGRENA</t>
  </si>
  <si>
    <t>OTRAS HERNIAS DE LA CAVIDAD ABDOMINAL ESPECIFICADAS, CON GANGRENA</t>
  </si>
  <si>
    <t>HERNIA ABDOMINAL NO ESPECIFICADA, CON OBSTRUCCION, SIN GANGRENA</t>
  </si>
  <si>
    <t>HERNIA ABDOMINAL NO ESPECIFICADA, CON GANGRENA</t>
  </si>
  <si>
    <t>HERNIA ABDOMINAL NO ESPECIFICADA, SIN OBSTRUCCION NI GANGRENA</t>
  </si>
  <si>
    <t>ENFERMEDAD DE CROHN DEL INTESTINO DELGADO</t>
  </si>
  <si>
    <t>ENFERMEDAD DE CROHN DEL INTESTINO GRUESO</t>
  </si>
  <si>
    <t>OTROS TIPOS DE ENFERMEDAD DE CROHN</t>
  </si>
  <si>
    <t>ENFERMEDAD DE CROHN, NO ESPECIFICADA</t>
  </si>
  <si>
    <t>ENTEROCOLITIS (CRONICA) ULCERATIVA</t>
  </si>
  <si>
    <t>ILEOCOLITIS (CRONICA) ULCERATIVA</t>
  </si>
  <si>
    <t>PROCTITIS (CRONICA) ULCERATIVA</t>
  </si>
  <si>
    <t>RECTOSIGMOIDITIS (CRONICA) ULCERATIVA</t>
  </si>
  <si>
    <t>SEUDOPOLIPOSIS DEL COLON</t>
  </si>
  <si>
    <t>PROCTOCOLITIS MUCOSA</t>
  </si>
  <si>
    <t>OTRAS COLITIS ULCERATIVAS</t>
  </si>
  <si>
    <t>COLITIS ULCERATIVA, SIN OTRA ESPECIFICACION</t>
  </si>
  <si>
    <t>COLITIS Y GASTROENTERITIS DEBIDAS A RADIACION</t>
  </si>
  <si>
    <t>COLITIS Y GASTROENTERITIS TOXICAS</t>
  </si>
  <si>
    <t>COLITIS Y GASTROENTERITIS ALERGICAS Y DIETETICAS</t>
  </si>
  <si>
    <t>OTRAS COLITIS Y GASTROENTERITIS NO INFECCIOSAS ESPECIFICADAS</t>
  </si>
  <si>
    <t>COLITIS Y GASTROENTERITIS NO INFECCIOSAS, NO ESPECIFICADAS</t>
  </si>
  <si>
    <t>TRASTORNO VASCULAR AGUDO DE LOS INTESTINOS</t>
  </si>
  <si>
    <t>TRASTORNO VASCULAR CRONICO DEL INTESTINO</t>
  </si>
  <si>
    <t>ANGIODISPLASIA DEL COLON</t>
  </si>
  <si>
    <t>OTROS TRASTORNOS VASCULARES DEL INTESTINO</t>
  </si>
  <si>
    <t>TRASTORNO VASCULAR DEL INTESTINO, NO ESPECIFICADO</t>
  </si>
  <si>
    <t>ILEO PARALITICO</t>
  </si>
  <si>
    <t>INVAGINACION</t>
  </si>
  <si>
    <t>VOLVULO</t>
  </si>
  <si>
    <t>ILEO POR CALCULO BILIAR</t>
  </si>
  <si>
    <t>OTRAS OBSTRUCCIONES DEL INTESTINO</t>
  </si>
  <si>
    <t>OTRAS OBSTRUCCIONES INTESTINALES Y LAS NO ESPECIFICADAS</t>
  </si>
  <si>
    <t>ILEO, NO ESPECIFICADO</t>
  </si>
  <si>
    <t>ENFERMEDAD DIVERTICULAR DEL INTESTINO GRUESO CON PERFORACION Y ABSCESO</t>
  </si>
  <si>
    <t>ENFERMEDAD DIVERTICULAR DE AMBOS INTESTINOS CON PERFORACION Y ABSCESO</t>
  </si>
  <si>
    <t>SINDROME DEL COLON IRRITABLE CON DIARREA</t>
  </si>
  <si>
    <t>SINDROME DEL COLON IRRITABLE SIN DIARREA</t>
  </si>
  <si>
    <t>CONSTIPACION</t>
  </si>
  <si>
    <t>DIARREA FUNCIONAL</t>
  </si>
  <si>
    <t>INTESTINO NEUROGENICO, NO CLASIFICADO EN OTRA PARTE</t>
  </si>
  <si>
    <t>MEGACOLON, NO CLASIFICADO EN OTRA PARTE</t>
  </si>
  <si>
    <t>ESPASMO ANAL</t>
  </si>
  <si>
    <t>OTROS TRASTORNOS FUNCIONALES ESPECIFICADOS DEL INTESTINO</t>
  </si>
  <si>
    <t>TRASTORNO FUNCIONAL INTESTINAL, NO ESPECIFICADO</t>
  </si>
  <si>
    <t>FISURA ANAL AGUDA</t>
  </si>
  <si>
    <t>FISURA ANAL CRONICA</t>
  </si>
  <si>
    <t>FISURA ANAL, NO ESPECIFICADA</t>
  </si>
  <si>
    <t>FISTULA RECTAL</t>
  </si>
  <si>
    <t>FISTULA ANORRECTAL</t>
  </si>
  <si>
    <t>ABSCESO ANAL</t>
  </si>
  <si>
    <t>ABSCESO RECTAL</t>
  </si>
  <si>
    <t>ABSCESO ANORRECTAL</t>
  </si>
  <si>
    <t>ABSCESO ISQUIORRECTAL</t>
  </si>
  <si>
    <t>ABSCESO INTRAESFINTERIANO</t>
  </si>
  <si>
    <t>POLIPO ANAL</t>
  </si>
  <si>
    <t>POLIPO RECTAL</t>
  </si>
  <si>
    <t>PROLAPSO ANAL</t>
  </si>
  <si>
    <t>PROLAPSO RECTAL</t>
  </si>
  <si>
    <t>ESTENOSIS DEL ANO Y DEL RECTO</t>
  </si>
  <si>
    <t>HEMORRAGIA DEL ANO Y DEL RECTO</t>
  </si>
  <si>
    <t>ULCERA DEL ANO Y DEL RECTO</t>
  </si>
  <si>
    <t>PROCTITIS POR RADIACION</t>
  </si>
  <si>
    <t>OTRAS ENFERMEDADES ESPECIFICADAS DEL ANO Y DEL RECTO</t>
  </si>
  <si>
    <t>ENFERMEDAD DEL ANO Y DEL RECTO, NO ESPECIFICADA</t>
  </si>
  <si>
    <t>ABSCESO DEL INTESTINO</t>
  </si>
  <si>
    <t>PERFORACION DEL INTESTINO (NO TRAUMATICA)</t>
  </si>
  <si>
    <t>FISTULA DEL INTESTINO</t>
  </si>
  <si>
    <t>ULCERA DEL INTESTINO</t>
  </si>
  <si>
    <t>ENTEROPTOSIS</t>
  </si>
  <si>
    <t>OTRAS ENFERMEDADES ESPECIFICADAS DEL INTESTINO</t>
  </si>
  <si>
    <t>ENFERMEDAD DEL INTESTINO, NO ESPECIFICADA</t>
  </si>
  <si>
    <t>PERITONITIS AGUDA</t>
  </si>
  <si>
    <t>OTRAS PERITONITIS</t>
  </si>
  <si>
    <t>PERITONITIS, NO ESPECIFICADA</t>
  </si>
  <si>
    <t>ADHERENCIAS PERITONEALES</t>
  </si>
  <si>
    <t>HEMOPERITONEO</t>
  </si>
  <si>
    <t>OTROS TRASTORNOS ESPECIFICADOS DEL PERITONEO</t>
  </si>
  <si>
    <t>TRASTORNO DEL PERITONEO, NO ESPECIFICADO</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</si>
  <si>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</si>
  <si>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</si>
  <si>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</si>
  <si>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</si>
  <si>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</si>
  <si>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</si>
  <si>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</si>
  <si>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</si>
  <si>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</si>
  <si>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</si>
  <si>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</si>
  <si>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</si>
  <si>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</si>
  <si>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</si>
  <si>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</si>
  <si>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</si>
  <si>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</si>
  <si>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</si>
  <si>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</si>
  <si>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CIRROSIS BILIAR PRIMARIA</t>
  </si>
  <si>
    <t>CIRROSIS BILIAR SECUNDARIA</t>
  </si>
  <si>
    <t>CIRROSIS BILIAR, NO ESPECIFICADA</t>
  </si>
  <si>
    <t>ABSCESO DEL HIGADO</t>
  </si>
  <si>
    <t>FLEBITIS DE LA VENA PORTA</t>
  </si>
  <si>
    <t>HEPATITIS REACTIVA NO ESPECIFICA</t>
  </si>
  <si>
    <t>HEPATITIS GRANULOMATOSA, NO CLASIFICADA EN OTRA PARTE</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</si>
  <si>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</si>
  <si>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</si>
  <si>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</si>
  <si>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</si>
  <si>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</si>
  <si>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</si>
  <si>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</si>
  <si>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</si>
  <si>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</si>
  <si>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</si>
  <si>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ENFERMEDAD DEL HIGADO, NO ESPECIFICADA</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</si>
  <si>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</si>
  <si>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</si>
  <si>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</si>
  <si>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</si>
  <si>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</si>
  <si>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</si>
  <si>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OTRAS COLELITIASIS</t>
  </si>
  <si>
    <t>COLECISTITIS AGUDA</t>
  </si>
  <si>
    <t>COLECISTITIS CRONICA</t>
  </si>
  <si>
    <t>OTRAS COLECISTITIS</t>
  </si>
  <si>
    <t>COLECISTITIS, NO ESPECIFICADA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</si>
  <si>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</si>
  <si>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</si>
  <si>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</si>
  <si>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</si>
  <si>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</si>
  <si>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</si>
  <si>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</si>
  <si>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COLANGITIS</t>
  </si>
  <si>
    <t>OBSTRUCCION DEL CONDUCTO BILIAR</t>
  </si>
  <si>
    <t>PERFORACION DEL CONDUCTO BILIAR</t>
  </si>
  <si>
    <t>FISTULA DEL CONDUCTO BILIAR</t>
  </si>
  <si>
    <t>ESPASMO DEL ESFINTER DE ODDI</t>
  </si>
  <si>
    <t>QUISTE BILIAR</t>
  </si>
  <si>
    <t>ENFERMEDAD DE LAS VIAS BILIARES, NO ESPECIFICADA</t>
  </si>
  <si>
    <t>PANCREATITIS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</si>
  <si>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</si>
  <si>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</si>
  <si>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</si>
  <si>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</si>
  <si>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</si>
  <si>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</si>
  <si>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DEL PANCREAS EN ENFERMEDADES CLASIFICADAS EN OTRA PARTE</t>
  </si>
  <si>
    <t>ENFERMEDAD CELIACA</t>
  </si>
  <si>
    <t>ESPRUE TROPICAL</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</si>
  <si>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</si>
  <si>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</si>
  <si>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</si>
  <si>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</si>
  <si>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</si>
  <si>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</si>
  <si>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</si>
  <si>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</si>
  <si>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DISFUNCION DE COLOSTOMIA O ENTEROSTOMIA</t>
  </si>
  <si>
    <t>SINDROME POSTCOLECISTECTOMIA</t>
  </si>
  <si>
    <t>HEMATEMESIS</t>
  </si>
  <si>
    <t>MELENA</t>
  </si>
  <si>
    <t>HEMORRAGIA GASTROINTESTINAL, NO ESPECIFICADA</t>
  </si>
  <si>
    <t>OTRAS ENFERMEDADES ESPECIFICADAS DEL SISTEMA DIGESTIVO</t>
  </si>
  <si>
    <t>ENFERMEDAD DEL SISTEMA DIGESTIVO, NO ESPECIFICADA</t>
  </si>
  <si>
    <t>SINDROME ESTAFILOCOCICO DE LA PIEL ESCALDADA</t>
  </si>
  <si>
    <t>IMPETIGINIZACION DE OTRAS DERMATOSIS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</si>
  <si>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</si>
  <si>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</si>
  <si>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</si>
  <si>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</si>
  <si>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</si>
  <si>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</si>
  <si>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</si>
  <si>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</si>
  <si>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</si>
  <si>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</si>
  <si>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</si>
  <si>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</si>
  <si>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</si>
  <si>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</si>
  <si>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</si>
  <si>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</si>
  <si>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INFECCION LOCAL DE LA PIEL Y DEL TEJIDO SUBCUTANEO, NO ESPECIFICADA</t>
  </si>
  <si>
    <t>PENFIGO VULGAR</t>
  </si>
  <si>
    <t>PENFIGO VEGETANTE</t>
  </si>
  <si>
    <t>PENFIGO FOLIACEO</t>
  </si>
  <si>
    <t>PENFIGO ERITEMATOSO</t>
  </si>
  <si>
    <t>PENFIGO INDUCIDO POR DROGAS</t>
  </si>
  <si>
    <t>OTROS PENFIGOS</t>
  </si>
  <si>
    <t>PENFIGO, NO ESPECIFICADO</t>
  </si>
  <si>
    <t>QUERATOSIS FOLICULAR ADQUIRIDA</t>
  </si>
  <si>
    <t>OTROS TRASTORNOS ACANTOLITICOS ESPECIFICADOS</t>
  </si>
  <si>
    <t>TRASTORNO ACANTOLITICO, NO ESPECIFICADO</t>
  </si>
  <si>
    <t>PENFIGOIDE FLICTENULAR</t>
  </si>
  <si>
    <t>PENFIGOIDE CICATRICIAL</t>
  </si>
  <si>
    <t>ENFERMEDAD FLICTENULAR CRONICA DE LA INFANCIA</t>
  </si>
  <si>
    <t>EPIDERMOLISIS BULLOSA ADQUIRIDA</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</si>
  <si>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</si>
  <si>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</si>
  <si>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</si>
  <si>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</si>
  <si>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</si>
  <si>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</si>
  <si>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</si>
  <si>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</si>
  <si>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OTRAS DERMATITIS ATOPICAS</t>
  </si>
  <si>
    <t>DERMATITIS ATOPICA, NO ESPECIFICADA</t>
  </si>
  <si>
    <t>SEBORREA CAPITIS</t>
  </si>
  <si>
    <t>DERMATITIS SEBORREICA INFANTIL</t>
  </si>
  <si>
    <t>OTRAS DERMATITIS SEBORREICAS</t>
  </si>
  <si>
    <t>DERMATITIS SEBORREICA, NO ESPECIFICADA</t>
  </si>
  <si>
    <t>DERMATITIS DEL PAÑAL</t>
  </si>
  <si>
    <t>DERMATITIS ALERGICA DE CONTACTO DEBIDA A METALES</t>
  </si>
  <si>
    <t>DERMATITIS ALERGICA DE CONTACTO DEBIDA A ADHESIVOS</t>
  </si>
  <si>
    <t>DERMATITIS ALERGICA DE CONTACTO DEBIDA A COSMETICOS</t>
  </si>
  <si>
    <t>DERMATITIS ALERGICA DE CONTACTO DEBIDA A COLORANTES</t>
  </si>
  <si>
    <t>DERMATITIS ALERGICA DE CONTACTO DEBIDA A OTROS PRODUCTOS QUIMICOS</t>
  </si>
  <si>
    <t>DERMATITIS ALERGICA DE CONTACTO DEBIDA A OTROS AGENTES</t>
  </si>
  <si>
    <t>DERMATITIS ALERGICA DE CONTACTO, DE CAUSA NO ESPECIFICADA</t>
  </si>
  <si>
    <t>DERMATITIS DE CONTACTO POR IRRITANTES, DEBIDA A DETERGENTES</t>
  </si>
  <si>
    <t>DERMATITIS DE CONTACTO POR IRRITANTES, DEBIDA A ACEITES Y GRASAS</t>
  </si>
  <si>
    <t>DERMATITIS DE CONTACTO POR IRRITANTES, DEBIDA A DISOLVENTES</t>
  </si>
  <si>
    <t>DERMATITIS DE CONTACTO POR IRRITANTES, DEBIDA A COSMETICOS</t>
  </si>
  <si>
    <t>DERMATITIS DE CONTACTO POR IRRITANTES, DEBIDA A OTROS AGENTES</t>
  </si>
  <si>
    <t>DERMATITIS DE CONTACTO POR IRRITANTES, DE CAUSA NO ESPECIFICADA</t>
  </si>
  <si>
    <t>DERMATITIS DE CONTACTO, FORMA NO ESPECIFICADA, DEBIDA A COSMETICOS</t>
  </si>
  <si>
    <t>DERMATITIS DE CONTACTO, FORMA NO ESPECIFICADA, DEBIDA A COLORANTES</t>
  </si>
  <si>
    <t>DERMATITIS DE CONTACTO, FORMA NO ESPECIFICADA, DEBIDA A OTROS AGENTES</t>
  </si>
  <si>
    <t>DERMATITIS DE CONTACTO, FORMA Y CAUSA NO ESPECIFICADAS</t>
  </si>
  <si>
    <t>DERMATITIS EXFOLIATIVA</t>
  </si>
  <si>
    <t>ERUPCION CUTANEA GENERALIZADA DEBIDA A DROGAS Y MEDICAMENTOS</t>
  </si>
  <si>
    <t>ERUPCION CUTANEA LOCALIZADA DEBIDA A DROGAS Y MEDICAMENTOS</t>
  </si>
  <si>
    <t>DERMATITIS DEBIDA A INGESTION DE ALIMENTOS</t>
  </si>
  <si>
    <t>DERMATITIS DEBIDA A OTRAS SUSTANCIAS INGERIDAS</t>
  </si>
  <si>
    <t>DERMATITIS DEBIDA A SUSTANCIAS INGERIDAS NO ESPECIFICADAS</t>
  </si>
  <si>
    <t>LIQUEN SIMPLE CRONICO</t>
  </si>
  <si>
    <t>PRURIGO NODULAR</t>
  </si>
  <si>
    <t>OTROS PRURIGOS</t>
  </si>
  <si>
    <t>PRURITO ANAL</t>
  </si>
  <si>
    <t>PRURITO ESCROTAL</t>
  </si>
  <si>
    <t>PRURITO VULVAR</t>
  </si>
  <si>
    <t>PRURITO ANOGENITAL, NO ESPECIFICADO</t>
  </si>
  <si>
    <t>OTROS PRURITOS</t>
  </si>
  <si>
    <t>PRURITO, NO ESPECIFICADO</t>
  </si>
  <si>
    <t>DERMATITIS NUMULAR</t>
  </si>
  <si>
    <t>AUTOSENSIBILIZACION CUTANEA</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</si>
  <si>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</si>
  <si>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</si>
  <si>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</si>
  <si>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</si>
  <si>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</si>
  <si>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</si>
  <si>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</si>
  <si>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</si>
  <si>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</si>
  <si>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</si>
  <si>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ARTROPATIA PSORIASICA (M07.0*-M07.3*, M09.0*)</t>
  </si>
  <si>
    <t>OTRAS PSORIASIS</t>
  </si>
  <si>
    <t>PSORIASIS, NO ESPECIFICADA</t>
  </si>
  <si>
    <t>PAPULOSIS LINFOMATOIDE</t>
  </si>
  <si>
    <t>PARAPSORIASIS EN PLACAS PEQUEÑAS</t>
  </si>
  <si>
    <t>PARAPSORIASIS EN PLACAS GRANDES</t>
  </si>
  <si>
    <t>PARAPSORIASIS RETIFORME</t>
  </si>
  <si>
    <t>OTRAS PARAPSORIASIS</t>
  </si>
  <si>
    <t>PARAPSORIASIS, NO ESPECIFICADA</t>
  </si>
  <si>
    <t>PITIRIASIS ROSADA</t>
  </si>
  <si>
    <t>LIQUEN PLANO HIPERTROFICO</t>
  </si>
  <si>
    <t>LIQUEN PLANO FLICTENULAR</t>
  </si>
  <si>
    <t>LIQUEN PLANO SUBAGUDO (ACTIVO)</t>
  </si>
  <si>
    <t>OTROS LIQUENES PLANOS</t>
  </si>
  <si>
    <t>LIQUEN PLANO, NO ESPECIFICADO</t>
  </si>
  <si>
    <t>PITIRIASIS RUBRA PILARIS</t>
  </si>
  <si>
    <t>LIQUEN NITIDO</t>
  </si>
  <si>
    <t>LIQUEN ESTRIADO</t>
  </si>
  <si>
    <t>LIQUEN ROJO MONILIFORME</t>
  </si>
  <si>
    <t>TRASTORNO PAPULOESCAMOSO, NO ESPECIFICADO</t>
  </si>
  <si>
    <t>TRASTORNOS PAPULOESCAMOSOS EN ENFERMEDADES CLASIFICADAS EN OTRA PARTE</t>
  </si>
  <si>
    <t>URTICARIA ALERGICA</t>
  </si>
  <si>
    <t>URTICARIA IDIOPATICA</t>
  </si>
  <si>
    <t>URTICARIA DEBIDA AL CALOR Y AL FRIO</t>
  </si>
  <si>
    <t>URTICARIA DERMATOGRAFICA</t>
  </si>
  <si>
    <t>URTICARIA VIBRATORIA</t>
  </si>
  <si>
    <t>URTICARIA COLINERGICA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</si>
  <si>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</si>
  <si>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</si>
  <si>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</si>
  <si>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</si>
  <si>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</si>
  <si>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</si>
  <si>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</si>
  <si>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</si>
  <si>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TOXICO</t>
  </si>
  <si>
    <t>ERITEMA ANULAR CENTRIFUGO</t>
  </si>
  <si>
    <t>ERITEMA MARGINADO</t>
  </si>
  <si>
    <t>OTROS ERITEMAS FIGURADOS CRONICOS</t>
  </si>
  <si>
    <t>OTRAS AFECCIONES ERITEMATOSAS ESPECIFICADAS</t>
  </si>
  <si>
    <t>AFECCION ERITEMATOSA, NO ESPECIFICADA</t>
  </si>
  <si>
    <t>ERITEMA EN OTRAS ENFERMEDADES CLASIFICADAS EN OTRA PARTE</t>
  </si>
  <si>
    <t>OTRAS QUEMADURAS SOLARES</t>
  </si>
  <si>
    <t>QUEMADURA SOLAR, NO ESPECIFICADA</t>
  </si>
  <si>
    <t>RESPUESTA FOTOTOXICA A DROGAS</t>
  </si>
  <si>
    <t>RESPUESTA FOTOALERGICA A DROGAS</t>
  </si>
  <si>
    <t>URTICARIA SOLAR</t>
  </si>
  <si>
    <t>ERUPCION POLIMORFA A LA LUZ</t>
  </si>
  <si>
    <t>QUERATOSIS ACTINICA</t>
  </si>
  <si>
    <t>RETICULOIDE ACTINICO</t>
  </si>
  <si>
    <t>PIEL ROMBOIDAL DE LA NUCA</t>
  </si>
  <si>
    <t>POIQUILODERMIA DE CIVATTE</t>
  </si>
  <si>
    <t>PIEL LAXA SENIL</t>
  </si>
  <si>
    <t>GRANULOMA ACTINICO</t>
  </si>
  <si>
    <t>RADIODERMATITIS AGUDA</t>
  </si>
  <si>
    <t>RADIODERMATITIS CRONICA</t>
  </si>
  <si>
    <t>RADIODERMATITIS, NO ESPECIFICADA</t>
  </si>
  <si>
    <t>UÑA ENCARNADA</t>
  </si>
  <si>
    <t>ONICOLISIS</t>
  </si>
  <si>
    <t>ONICOGRIPOSIS</t>
  </si>
  <si>
    <t>DISTROFIA UNGUEAL</t>
  </si>
  <si>
    <t>LINEAS DE BEAU</t>
  </si>
  <si>
    <t>SINDROME DE LA UÑA AMARILLA</t>
  </si>
  <si>
    <t>OTROS TRASTORNOS DE LAS UÑAS</t>
  </si>
  <si>
    <t>TRASTORNO DE LA UÑA, NO ESPECIFICADO</t>
  </si>
  <si>
    <t>ALOPECIA (CAPITIS) TOTAL</t>
  </si>
  <si>
    <t>ALOPECIA UNIVERSAL</t>
  </si>
  <si>
    <t>OFIASIS</t>
  </si>
  <si>
    <t>OTRAS ALOPECIAS AREATAS</t>
  </si>
  <si>
    <t>ALOPECIA AREATA, NO ESPECIFICADA</t>
  </si>
  <si>
    <t>ALOPECIA ANDROGENA, INDUCIDA POR DROGAS</t>
  </si>
  <si>
    <t>OTRAS ALOPECIAS ANDROGENAS</t>
  </si>
  <si>
    <t>ALOPECIA ANDROGENA, NO ESPECIFICADA</t>
  </si>
  <si>
    <t>PERDIDA CAPILAR TELOGENA</t>
  </si>
  <si>
    <t>PERDIDA CAPILAR ANAGENA</t>
  </si>
  <si>
    <t>ALOPECIA MUCINOSA</t>
  </si>
  <si>
    <t>OTRAS PERDIDAS ESPECIFICADAS NO CICATRICIALES DEL PELO</t>
  </si>
  <si>
    <t>PERDIDA NO CICATRICIAL DEL PELO, SIN OTRA ESPECIFICACION</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</si>
  <si>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</si>
  <si>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</si>
  <si>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</si>
  <si>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</si>
  <si>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</si>
  <si>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</si>
  <si>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</si>
  <si>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</si>
  <si>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VARIACION DEL COLOR DEL PELO</t>
  </si>
  <si>
    <t>ANORMALIDAD NO ESPECIFICADA DEL TALLO Y DEL COLOR DEL PELO</t>
  </si>
  <si>
    <t>HIRSUTISMO</t>
  </si>
  <si>
    <t>HIPERTRICOSIS LANUGINOSA ADQUIRIDA</t>
  </si>
  <si>
    <t>HIPERTRICOSIS LOCALIZADA</t>
  </si>
  <si>
    <t>POLITRIQUIA</t>
  </si>
  <si>
    <t>OTRAS HIPERTRICOSIS</t>
  </si>
  <si>
    <t>ACNE VULGAR</t>
  </si>
  <si>
    <t>ACNE CONGLOBADO</t>
  </si>
  <si>
    <t>ACNE VARIOLIFORME</t>
  </si>
  <si>
    <t>ACNE TROPICAL</t>
  </si>
  <si>
    <t>ACNE INFANTIL</t>
  </si>
  <si>
    <t>ACNE EXCORIADO DE LA MUJER JOVEN</t>
  </si>
  <si>
    <t>OTROS ACNES</t>
  </si>
  <si>
    <t>ACNE, NO ESPECIFICADO</t>
  </si>
  <si>
    <t>DERMATITIS PERIBUCAL</t>
  </si>
  <si>
    <t>RINOFIMA</t>
  </si>
  <si>
    <t>OTRAS ROSACEAS</t>
  </si>
  <si>
    <t>ROSACEA, NO ESPECIFICADA</t>
  </si>
  <si>
    <t>QUISTE EPIDERMICO</t>
  </si>
  <si>
    <t>QUISTE TRICODERMICO</t>
  </si>
  <si>
    <t>ESTEATOCISTOMA MULTIPLE</t>
  </si>
  <si>
    <t>OTROS QUISTES FOLICULARES DE LA PIEL Y DEL TEJIDO SUBCUTANEO</t>
  </si>
  <si>
    <t>ACNE QUELOIDE</t>
  </si>
  <si>
    <t>SEUDOFOLICULITIS DE LA BARBA</t>
  </si>
  <si>
    <t>HIDRADENITIS SUPURATIVA</t>
  </si>
  <si>
    <t>OTROS TRASTORNOS FOLICULARES ESPECIFICADOS</t>
  </si>
  <si>
    <t>TRASTORNO FOLICULAR, NO ESPECIFICADO</t>
  </si>
  <si>
    <t>MILIARIA RUBRA</t>
  </si>
  <si>
    <t>MILIARIA CRISTALINA</t>
  </si>
  <si>
    <t>MILIARIA PROFUNDA</t>
  </si>
  <si>
    <t>ANHIDROSIS</t>
  </si>
  <si>
    <t>TRASTORNO SUDORIPARO ECRINO, NO ESPECIFICADO</t>
  </si>
  <si>
    <t>BROMHIDROSIS</t>
  </si>
  <si>
    <t>CROMHIDROSIS</t>
  </si>
  <si>
    <t>MILIARIA APOCRINA</t>
  </si>
  <si>
    <t>TRASTORNO SUDORIPARO APOCRINO, NO ESPECIFICADO</t>
  </si>
  <si>
    <t>VITILIGO</t>
  </si>
  <si>
    <t>HIPERPIGMENTACION POSTINFLAMATORIA</t>
  </si>
  <si>
    <t>CLOASMA</t>
  </si>
  <si>
    <t>EFELIDE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</si>
  <si>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</si>
  <si>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</si>
  <si>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</si>
  <si>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</si>
  <si>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</si>
  <si>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</si>
  <si>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QUERATOSIS SEBORREICA</t>
  </si>
  <si>
    <t>ACANTOSIS NIGRICANS</t>
  </si>
  <si>
    <t>CALLOS Y CALLOSIDADES</t>
  </si>
  <si>
    <t>ICTIOSIS ADQUIRIDA</t>
  </si>
  <si>
    <t>QUERATOSIS PUNCTATA (PALMAR Y PLANTAR)</t>
  </si>
  <si>
    <t>XEROSIS DEL CUTIS</t>
  </si>
  <si>
    <t>OTROS ENGROSAMIENTOS EPIDERMICOS ESPECIFICADOS</t>
  </si>
  <si>
    <t>ENGROSAMIENTO EPIDERMICO, NO ESPECIFICADO</t>
  </si>
  <si>
    <t>COLAGENOSIS PERFORANTE REACTIVA</t>
  </si>
  <si>
    <t>ELASTOSIS SERPIGINOSA PERFORANTE</t>
  </si>
  <si>
    <t>OTROS TRASTORNOS DE LA ELIMINACION TRANSEPIDERMICA</t>
  </si>
  <si>
    <t>PIODERMA GANGRENOSO</t>
  </si>
  <si>
    <t>ULCERA DE DECUBITO</t>
  </si>
  <si>
    <t>LIQUEN ESCLEROSO Y ATROFICO</t>
  </si>
  <si>
    <t>ANETODERMIA DE SCHWENINGER-BUZZI</t>
  </si>
  <si>
    <t>ANETODERMIA DE JADASSOHN-PELLIZZARI</t>
  </si>
  <si>
    <t>ATROFODERMA DE PASINI Y PIERINI</t>
  </si>
  <si>
    <t>ACRODERMATITIS CRONICA ATROFICA</t>
  </si>
  <si>
    <t>FIBROSIS Y AFECCIONES CICATRICIALES DE LA PIEL</t>
  </si>
  <si>
    <t>ESTRIAS ATROFICAS</t>
  </si>
  <si>
    <t>OTROS TRASTORNOS ATROFICOS DE LA PIEL</t>
  </si>
  <si>
    <t>TRASTORNO ATROFICO DE LA PIEL, NO ESPECIFICADO</t>
  </si>
  <si>
    <t>CICATRIZ QUELOIDE</t>
  </si>
  <si>
    <t>OTROS TRASTORNOS HIPERTROFICOS DE LA PIEL</t>
  </si>
  <si>
    <t>TRASTORNO HIPERTROFICO DE LA PIEL, NO ESPECIFICADO</t>
  </si>
  <si>
    <t>GRANULOMA ANULAR</t>
  </si>
  <si>
    <t>NECROBIOSIS LIPIDICA, NO CLASIFICADA EN OTRA PARTE</t>
  </si>
  <si>
    <t>OTROS TRASTORNOS GRANULOMATOSOS DE LA PIEL Y DEL TEJIDO SUBCUTANEO</t>
  </si>
  <si>
    <t>LUPUS ERITEMATOSO DISCOIDE</t>
  </si>
  <si>
    <t>LUPUS ERITEMATOSO CUTANEO SUBAGUDO</t>
  </si>
  <si>
    <t>OTROS LUPUS ERITEMATOSOS LOCALIZADOS</t>
  </si>
  <si>
    <t>ESCLERODERMA LINEAL</t>
  </si>
  <si>
    <t>CALCINOSIS DE LA PIEL</t>
  </si>
  <si>
    <t>ESCLERODACTILIA</t>
  </si>
  <si>
    <t>PAPULAS DE GOTTRON</t>
  </si>
  <si>
    <t>POIQUILODERMIA VASCULAR ATROFICA</t>
  </si>
  <si>
    <t>AINHUM</t>
  </si>
  <si>
    <t>OTROS TRASTORNOS LOCALIZADOS ESPECIFICADOS DEL TEJIDO CONJUNTIVO</t>
  </si>
  <si>
    <t>TRASTORNO LOCALIZADO DEL TEJIDO CONJUNTIVO, NO ESPECIFICADO</t>
  </si>
  <si>
    <t>VASCULITIS LIVEDOIDE</t>
  </si>
  <si>
    <t>ERITEMA ELEVATUM DIUTINUM</t>
  </si>
  <si>
    <t>VASCULITIS LIMITADA A LA PIEL, SIN OTRA ESPECIFICACION</t>
  </si>
  <si>
    <t>GRANULOMA PIOGENO</t>
  </si>
  <si>
    <t>DERMATITIS FACTICIA</t>
  </si>
  <si>
    <t>ULCERA CRONICA DE LA PIEL, NO CLASIFICADA EN OTRA PARTE</t>
  </si>
  <si>
    <t>MUCINOSIS DE LA PIEL</t>
  </si>
  <si>
    <t>OTROS TRASTORNOS ESPECIFICADOS DE LA PIEL Y DEL TEJIDO SUBCUTANEO</t>
  </si>
  <si>
    <t>TRASTORNO DE LA PIEL Y DEL TEJIDO SUBCUTANEO, NO ESPECIFICADO</t>
  </si>
  <si>
    <t>ARTRITIS Y POLIARTRITIS ESTAFILOCOCICA</t>
  </si>
  <si>
    <t>ARTRITIS Y POLIARTRITIS NEUMOCOCICA</t>
  </si>
  <si>
    <t>ARTRITIS PIOGENA, NO ESPECIFICADA</t>
  </si>
  <si>
    <t>ARTRITIS EN OTRAS ENFERMEDADES BACTERIANAS CLASIFICADAS EN OTRA PARTE</t>
  </si>
  <si>
    <t>ARTRITIS EN OTRAS ENFERMEDADES VIRALES CLASIFICADAS EN OTRA PARTE</t>
  </si>
  <si>
    <t>ARTROPATIA CONSECUTIVA A DERIVACION INTESTINAL</t>
  </si>
  <si>
    <t>ARTROPATIA POSTDISENTERICA</t>
  </si>
  <si>
    <t>ARTROPATIA POSTINMUNIZACION</t>
  </si>
  <si>
    <t>ENFERMEDAD DE REITER</t>
  </si>
  <si>
    <t>ARTROPATIA REACTIVA, NO ESPECIFICADA</t>
  </si>
  <si>
    <t>ARTROPATIA POSTINFECCIOSA EN SIFILIS</t>
  </si>
  <si>
    <t>ARTROPATIA REACTIVA EN OTRAS ENFERMEDADES CLASIFICADAS EN OTRA PARTE</t>
  </si>
  <si>
    <t>SINDROME DE FELTY</t>
  </si>
  <si>
    <t>ENFERMEDAD REUMATOIDE DEL PULMON (J99.0*)</t>
  </si>
  <si>
    <t>VASCULITIS REUMATOIDE</t>
  </si>
  <si>
    <t>ARTRITIS REUMATOIDE CON COMPROMISO DE OTROS ORGANOS O SISTEMAS</t>
  </si>
  <si>
    <t>OTRAS ARTRITIS REUMATOIDEAS SEROPOSITIVAS</t>
  </si>
  <si>
    <t>ARTRITIS REUMATOIDE SERONEGATIVA</t>
  </si>
  <si>
    <t>ENFERMEDAD DE STILL DE COMIENZO EN EL ADULTO</t>
  </si>
  <si>
    <t>BURSITIS REUMATOIDE</t>
  </si>
  <si>
    <t>NODULO REUMATOIDE</t>
  </si>
  <si>
    <t>POLIARTROPATIA INFLAMATORIA</t>
  </si>
  <si>
    <t>ARTRITIS REUMATOIDE, NO ESPECIFICADA</t>
  </si>
  <si>
    <t>OTRAS ARTROPATIAS ENTEROPATICAS</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</si>
  <si>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</si>
  <si>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</si>
  <si>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</si>
  <si>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</si>
  <si>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</si>
  <si>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</si>
  <si>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</si>
  <si>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OTRAS ENFERMEDADES CLASIFICADAS EN OTRA PARTE</t>
  </si>
  <si>
    <t>GOTA IDIOPATICA</t>
  </si>
  <si>
    <t>GOTA SATURNINA</t>
  </si>
  <si>
    <t>GOTA INDUCIDA POR DROGAS</t>
  </si>
  <si>
    <t>GOTA DEBIDA A ALTERACION RENAL</t>
  </si>
  <si>
    <t>OTRAS GOTAS SECUNDARIAS</t>
  </si>
  <si>
    <t>GOTA, NO ESPECIFICADA</t>
  </si>
  <si>
    <t>ENFERMEDAD POR DEPOSITO DE HIDROXIAPATITA</t>
  </si>
  <si>
    <t>CONDROCALCINOSIS FAMILIAR</t>
  </si>
  <si>
    <t>OTRAS CONDROCALCINOSIS</t>
  </si>
  <si>
    <t>OTRAS ARTROPATIAS POR CRISTALES, ESPECIFICADAS</t>
  </si>
  <si>
    <t>ARTROPATIA POR CRISTALES, NO ESPECIFICADA</t>
  </si>
  <si>
    <t>ENFERMEDAD DE KASCHIN-BECK</t>
  </si>
  <si>
    <t>SINOVITIS VELLONODULAR (PIGMENTADA)</t>
  </si>
  <si>
    <t>REUMATISMO PALINDROMICO</t>
  </si>
  <si>
    <t>HIDRARTROSIS INTERMITENTE</t>
  </si>
  <si>
    <t>ARTROPATIA TRAUMATICA</t>
  </si>
  <si>
    <t>OTRAS ARTROPATIAS ESPECIFICAS, NO CLASIFICADAS EN OTRA PARTE</t>
  </si>
  <si>
    <t>POLIARTRITIS, NO ESPECIFICADA</t>
  </si>
  <si>
    <t>MONOARTRITIS, NO CLASIFICADA EN OTRA PARTE</t>
  </si>
  <si>
    <t>OTRAS ARTRITIS ESPECIFICADAS</t>
  </si>
  <si>
    <t>ARTRITIS, NO ESPECIFICADA</t>
  </si>
  <si>
    <t>ARTROPATIA EN OTROS TRASTORNOS ENDOCRINOS, METABOLICOS Y NUTRICIONALES</t>
  </si>
  <si>
    <t>ARTROPATIA NEUROPATICA</t>
  </si>
  <si>
    <t>(OSTEO)ARTROSIS PRIMARIA GENERALIZADA</t>
  </si>
  <si>
    <t>NODULOS DE HEBERDEN (CON ARTROPATIA)</t>
  </si>
  <si>
    <t>NODULOS DE BOUCHARD (CON ARTROPATIA)</t>
  </si>
  <si>
    <t>ARTROSIS SECUNDARIA MULTIPLE</t>
  </si>
  <si>
    <t>(OSTEO)ARTROSIS EROSIVA</t>
  </si>
  <si>
    <t>OTRAS POLIARTROSIS</t>
  </si>
  <si>
    <t>POLIARTROSIS, NO ESPECIFICADA</t>
  </si>
  <si>
    <t>COXARTROSIS PRIMARIA, BILATERAL</t>
  </si>
  <si>
    <t>OTRAS COXARTROSIS PRIMARIAS</t>
  </si>
  <si>
    <t>COXARTROSIS A CONSECUENCIA DE DISPLASIA, BILATERAL</t>
  </si>
  <si>
    <t>OTRAS COXARTROSIS DISPLASICAS</t>
  </si>
  <si>
    <t>OTRA COXARTROSIS POSTRAUMATICA</t>
  </si>
  <si>
    <t>OTRA COXARTROSIS SECUNDARIA, BILATERAL</t>
  </si>
  <si>
    <t>OTRAS COXARTROSIS SECUNDARIAS</t>
  </si>
  <si>
    <t>COXARTROSIS, NO ESPECIFICADA</t>
  </si>
  <si>
    <t>GONARTROSIS PRIMARIA, BILATERAL</t>
  </si>
  <si>
    <t>OTRAS GONARTROSIS PRIMARIAS</t>
  </si>
  <si>
    <t>GONARTROSIS POSTRAUMATICA, BILATERAL</t>
  </si>
  <si>
    <t>OTRAS GONARTROSIS POSTRAUMATICAS</t>
  </si>
  <si>
    <t>OTRAS GONARTROSIS SECUNDARIAS, BILATERALES</t>
  </si>
  <si>
    <t>OTRAS GONARTROSIS SECUNDARIAS</t>
  </si>
  <si>
    <t>GONARTROSIS, NO ESPECIFICADA</t>
  </si>
  <si>
    <t>OTRAS ARTROSIS PRIMARIAS DE LA PRIMERA ARTICULACION CARPOMETACARPIANA</t>
  </si>
  <si>
    <t>ARTROSIS PRIMARIA DE OTRAS ARTICULACIONES</t>
  </si>
  <si>
    <t>ARTROSIS POSTRAUMATICA DE OTRAS ARTICULACIONES</t>
  </si>
  <si>
    <t>ARTROSIS SECUNDARIA DE OTRAS ARTICULACIONES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</si>
  <si>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</si>
  <si>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</si>
  <si>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</si>
  <si>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</si>
  <si>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</si>
  <si>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</si>
  <si>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</si>
  <si>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</si>
  <si>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</si>
  <si>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</si>
  <si>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FLEXION</t>
  </si>
  <si>
    <t>MUÑECA O PIE EN PENDULO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</si>
  <si>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</si>
  <si>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</si>
  <si>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</si>
  <si>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</si>
  <si>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</si>
  <si>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LUXACION RECIDIVANTE DE LA ROTULA</t>
  </si>
  <si>
    <t>SUBLUXACION RECIDIVANTE DE LA ROTULA</t>
  </si>
  <si>
    <t>TRASTORNOS ROTULOFEMORALES</t>
  </si>
  <si>
    <t>OTROS DESARREGLOS DE LA ROTULA</t>
  </si>
  <si>
    <t>CONDROMALACIA DE LA ROTULA</t>
  </si>
  <si>
    <t>OTROS TRASTORNOS DE LA ROTULA</t>
  </si>
  <si>
    <t>TRASTORNO DE LA ROTULA, NO ESPECIFICADO</t>
  </si>
  <si>
    <t>MENISCO QUISTICO</t>
  </si>
  <si>
    <t>MENISCO DISCOIDE (CONGENITO)</t>
  </si>
  <si>
    <t>OTROS TRASTORNOS DE LOS MENISCOS</t>
  </si>
  <si>
    <t>CUERPO FLOTANTE EN LA RODILLA</t>
  </si>
  <si>
    <t>INESTABILIDAD CRONICA DE LA RODILLA</t>
  </si>
  <si>
    <t>OTRA RUPTURA ESPONTANEA DEL (DE LOS) LIGAMENTO(S) DE LA RODILLA</t>
  </si>
  <si>
    <t>OTROS TRASTORNOS INTERNOS DE LA RODILLA</t>
  </si>
  <si>
    <t>CUERPO FLOTANTE ARTICULAR</t>
  </si>
  <si>
    <t>OTROS TRASTORNOS DEL CARTILAGO ARTICULAR</t>
  </si>
  <si>
    <t>TRASTORNO DEL LIGAMENTO</t>
  </si>
  <si>
    <t>LUXACION Y SUBLUXACION RECIDIVANTE DE LA ARTICULACION</t>
  </si>
  <si>
    <t>CONTRACTURA ARTICULAR</t>
  </si>
  <si>
    <t>ANQUILOSIS ARTICULAR</t>
  </si>
  <si>
    <t>PROTRUSION DE ACETABULO</t>
  </si>
  <si>
    <t>DESARREGLO ARTICULAR, NO ESPECIFICADO</t>
  </si>
  <si>
    <t>HEMARTROSIS</t>
  </si>
  <si>
    <t>FISTULA ARTICULAR</t>
  </si>
  <si>
    <t>ARTICULACION INESTABLE</t>
  </si>
  <si>
    <t>OTRAS INESTABILIDADES ARTICULARES</t>
  </si>
  <si>
    <t>DERRAME ARTICULAR</t>
  </si>
  <si>
    <t>COLICO RENAL, NO ESPECIFICADO</t>
  </si>
  <si>
    <t>RIGIDEZ ARTICULAR, NO CLASIFICADA EN OTRA PARTE</t>
  </si>
  <si>
    <t>OSTEOFITO</t>
  </si>
  <si>
    <t>OTROS TRASTORNOS ARTICULARES ESPECIFICADOS</t>
  </si>
  <si>
    <t>TRASTORNO ARTICULAR, NO ESPECIFICADO</t>
  </si>
  <si>
    <t>POLIARTERITIS NUDOSA</t>
  </si>
  <si>
    <t>POLIARTERITIS JUVENIL</t>
  </si>
  <si>
    <t>OTRAS AFECCIONES RELACIONADAS CON LA POLIARTERITIS NUDOSA</t>
  </si>
  <si>
    <t>ANGIITIS DEBIDA A HIPERSENSIBILIDAD</t>
  </si>
  <si>
    <t>MICROANGIOPATIA TROMBOTICA</t>
  </si>
  <si>
    <t>GRANULOMA LETAL DE LA LINEA MEDIA</t>
  </si>
  <si>
    <t>GRANULOMATOSIS DE WEGENER</t>
  </si>
  <si>
    <t>ARTERITIS DE CELULAS GIGANTES CON POLIMIALGIA REUMATICA</t>
  </si>
  <si>
    <t>OTRAS ARTERITIS DE CELULAS GIGANTES</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</si>
  <si>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</si>
  <si>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</si>
  <si>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</si>
  <si>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</si>
  <si>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</si>
  <si>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</si>
  <si>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DERMATOMIOSITIS JUVENIL</t>
  </si>
  <si>
    <t>OTRAS DERMATOMIOSITIS</t>
  </si>
  <si>
    <t>POLIMIOSITIS</t>
  </si>
  <si>
    <t>DERMATOPOLIMIOSITIS, NO ESPECIFICADA</t>
  </si>
  <si>
    <t>ESCLEROSIS SISTEMICA PROGRESIVA</t>
  </si>
  <si>
    <t>SINDROME CR(E)ST</t>
  </si>
  <si>
    <t>ESCLEROSIS SISTEMICA INDUCIDA POR DROGAS O PRODUCTOS QUIMICOS</t>
  </si>
  <si>
    <t>OTRAS FORMAS DE ESCLEROSIS SISTEMICA</t>
  </si>
  <si>
    <t>ESCLEROSIS SISTEMICA, NO ESPECIFICADA</t>
  </si>
  <si>
    <t>OTROS SINDROMES SUPERPUESTOS</t>
  </si>
  <si>
    <t>POLIMIALGIA REUMATICA</t>
  </si>
  <si>
    <t>FASCITIS DIFUSA (EOSINOFILICA)</t>
  </si>
  <si>
    <t>FIBROSCLEROSIS MULTIFOCAL</t>
  </si>
  <si>
    <t>SINDROME DE HIPERMOVILIDAD</t>
  </si>
  <si>
    <t>COMPROMISO SISTEMICO DEL TEJIDO CONJUNTIVO, NO ESPECIFICADO</t>
  </si>
  <si>
    <t>CIFOSIS POSTURAL</t>
  </si>
  <si>
    <t>OTRAS CIFOSIS SECUNDARIAS</t>
  </si>
  <si>
    <t>OTRAS CIFOSIS Y LAS NO ESPECIFICADAS</t>
  </si>
  <si>
    <t>SINDROME DE ESPALDA PLANA</t>
  </si>
  <si>
    <t>OTRAS LORDOSIS</t>
  </si>
  <si>
    <t>LORDOSIS, NO ESPECIFICADA</t>
  </si>
  <si>
    <t>ESCOLIOSIS IDIOPATICA INFANTIL</t>
  </si>
  <si>
    <t>ESCOLIOSIS IDIOPATICA JUVENIL</t>
  </si>
  <si>
    <t>OTRAS ESCOLIOSIS IDIOPATICAS</t>
  </si>
  <si>
    <t>ESCOLIOSIS TORACOGENICA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</si>
  <si>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</si>
  <si>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</si>
  <si>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</si>
  <si>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</si>
  <si>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</si>
  <si>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</si>
  <si>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</si>
  <si>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ESPONDILOLISIS</t>
  </si>
  <si>
    <t>ESPONDILOLISTESIS</t>
  </si>
  <si>
    <t>SUBLUXACION ATLANTO-AXOIDEA RECURRENTE, CON MIELOPATIA</t>
  </si>
  <si>
    <t>OTRAS SUBLUXACIONES ATLANTO-AXOIDEAS RECURRENTES</t>
  </si>
  <si>
    <t>OTRAS SUBLUXACIONES VERTEBRALES RECURRENTES</t>
  </si>
  <si>
    <t>TORTICOLIS</t>
  </si>
  <si>
    <t>OTRAS DORSOPATIAS DEFORMANTES DE LA COLUMNA VERTEBRAL ESPECIFICADAS</t>
  </si>
  <si>
    <t>DORSOPATIA DEFORMANTE, NO ESPECIFICADA</t>
  </si>
  <si>
    <t>ESPONDILITIS ANQUILOSANTE</t>
  </si>
  <si>
    <t>ENTESOPATIA VERTEBRAL</t>
  </si>
  <si>
    <t>SACROILIITIS, NO CLASIFICADA EN OTRA PARTE</t>
  </si>
  <si>
    <t>OSTEOMIELITIS DE VERTEBRA</t>
  </si>
  <si>
    <t>INFECCION DE DISCO INTERVERTEBRAL (PIOGENA)</t>
  </si>
  <si>
    <t>DISCITIS, NO ESPECIFICADA</t>
  </si>
  <si>
    <t>OTRAS ESPONDILOPATIAS INFECCIOSAS</t>
  </si>
  <si>
    <t>OTRAS ESPONDILOPATIAS INFLAMATORIAS ESPECIFICADAS</t>
  </si>
  <si>
    <t>ESPONDILOPATIA INFLAMATORIA, NO ESPECIFICADA</t>
  </si>
  <si>
    <t>OTRAS ESPONDILOSIS CON MIELOPATIA</t>
  </si>
  <si>
    <t>OTRAS ESPONDILOSIS CON RADICULOPATIA</t>
  </si>
  <si>
    <t>OTRAS ESPONDILOSIS</t>
  </si>
  <si>
    <t>ESPONDILOSIS, NO ESPECIFICADA</t>
  </si>
  <si>
    <t>ESTENOSIS ESPINAL</t>
  </si>
  <si>
    <t>ESPONDILOPATIA INTERESPINOSA (VERTEBRAS "EN BESO")</t>
  </si>
  <si>
    <t>ESPONDILOPATIA TRAUMATICA</t>
  </si>
  <si>
    <t>FRACTURA DE VERTEBRA POR FATIGA</t>
  </si>
  <si>
    <t>VERTEBRA COLAPSADA, NO CLASIFICADA EN OTRA PARTE</t>
  </si>
  <si>
    <t>OTRAS ESPONDILOPATIAS ESPECIFICADAS</t>
  </si>
  <si>
    <t>ESPONDILOPATIA NEUROPATICA</t>
  </si>
  <si>
    <t>VERTEBRA COLAPSADA EN ENFERMEDADES CLASIFICADAS EN OTRA PARTE</t>
  </si>
  <si>
    <t>ESPONDILOPATIA EN OTRAS ENFERMEDADES CLASIFICADAS EN OTRA PARTE</t>
  </si>
  <si>
    <t>TRASTORNO DE DISCO CERVICAL CON MIELOPATIA (G99.2*)</t>
  </si>
  <si>
    <t>TRASTORNO DE DISCO CERVICAL CON RADICULOPATIA</t>
  </si>
  <si>
    <t>TRASTORNO DE DISCO CERVICAL, NO ESPECIFICADO</t>
  </si>
  <si>
    <t>OTRAS DEGENERACIONES ESPECIFICADAS DE DISCO INTERVERTEBRAL</t>
  </si>
  <si>
    <t>NODULOS DE SCHMORL</t>
  </si>
  <si>
    <t>SINDROME CERVICOCRANEAL</t>
  </si>
  <si>
    <t>SINDROME CERVICOBRAQUIAL</t>
  </si>
  <si>
    <t>INESTABILIDAD DE LA COLUMNA VERTEBRAL</t>
  </si>
  <si>
    <t>TRASTORNOS SACROCOCCIGEOS, NO CLASIFICADOS EN OTRA PARTE</t>
  </si>
  <si>
    <t>OTRAS DORSOPATIAS ESPECIFICADAS</t>
  </si>
  <si>
    <t>DORSOPATIA, NO ESPECIFICADA</t>
  </si>
  <si>
    <t>PANICULITIS QUE AFECTA REGIONES DEL CUELLO Y DE LA ESPALDA</t>
  </si>
  <si>
    <t>RADICULOPATIA</t>
  </si>
  <si>
    <t>CERVICALGIA</t>
  </si>
  <si>
    <t>CIATICA</t>
  </si>
  <si>
    <t>LUMBAGO CON CIATICA</t>
  </si>
  <si>
    <t>LUMBAGO NO ESPECIFICADO</t>
  </si>
  <si>
    <t>DOLOR EN LA COLUMNA DORSAL</t>
  </si>
  <si>
    <t>OTRAS DORSALGIAS</t>
  </si>
  <si>
    <t>DORSALGIA, NO ESPECIFICADA</t>
  </si>
  <si>
    <t>MIOSITIS INFECCIOSA</t>
  </si>
  <si>
    <t>MIOSITIS INTERSTICIAL</t>
  </si>
  <si>
    <t>OTRAS MIOSITIS</t>
  </si>
  <si>
    <t>MIOSITIS, NO ESPECIFICADA</t>
  </si>
  <si>
    <t>MIOSITIS OSIFICANTE TRAUMATICA</t>
  </si>
  <si>
    <t>MIOSITIS OSIFICANTE PROGRESIVA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</si>
  <si>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</si>
  <si>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</si>
  <si>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</si>
  <si>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</si>
  <si>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</si>
  <si>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</si>
  <si>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</si>
  <si>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</si>
  <si>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</si>
  <si>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CONTRACTURA MUSCULAR</t>
  </si>
  <si>
    <t>ATROFIA Y DESGASTE MUSCULARES, NO CLASIFICADOS EN OTRA PARTE</t>
  </si>
  <si>
    <t>DISTENSION MUSCULAR</t>
  </si>
  <si>
    <t>OTROS TRASTORNOS ESPECIFICADOS DE LOS MUSCULOS</t>
  </si>
  <si>
    <t>TRASTORNO MUSCULAR, NO ESPECIFICADO</t>
  </si>
  <si>
    <t>MIOSITIS EN ENFERMEDADES BACTERIANAS CLASIFICADAS EN OTRA PARTE</t>
  </si>
  <si>
    <t>ABSCESO DE VAINA TENDINOSA</t>
  </si>
  <si>
    <t>TENDINITIS CALCIFICADA</t>
  </si>
  <si>
    <t>DEDO EN GATILLO</t>
  </si>
  <si>
    <t>OTRAS SINOVITIS Y TENOSINOVITIS</t>
  </si>
  <si>
    <t>SINOVITIS Y TENOSINOVITIS, NO ESPECIFICADA</t>
  </si>
  <si>
    <t>RUPTURA DE QUISTE SINOVIAL POPLITEO</t>
  </si>
  <si>
    <t>RUPTURA DE LA SINOVIA</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</si>
  <si>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</si>
  <si>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</si>
  <si>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</si>
  <si>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</si>
  <si>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</si>
  <si>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</si>
  <si>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HIPERTROFIA SINOVIAL, NO CLASIFICADA EN OTRA PARTE</t>
  </si>
  <si>
    <t>SINOVITIS TRANSITORIA</t>
  </si>
  <si>
    <t>GANGLION</t>
  </si>
  <si>
    <t>OTROS TRASTORNOS ESPECIFICADOS DE LA SINOVIA Y DEL TENDON</t>
  </si>
  <si>
    <t>SINOVITIS CREPITANTE CRONICA DE LA MANO Y DE LA MUÑECA</t>
  </si>
  <si>
    <t>BURSITIS DE LA MANO</t>
  </si>
  <si>
    <t>BURSITIS DEL OLECRANON</t>
  </si>
  <si>
    <t>OTRAS BURSITIS DEL CODO</t>
  </si>
  <si>
    <t>OTRAS BURSITIS PRERROTULIANAS</t>
  </si>
  <si>
    <t>OTRAS BURSITIS DE LA RODILLA</t>
  </si>
  <si>
    <t>BURSITIS DEL TROCANTER</t>
  </si>
  <si>
    <t>OTRAS BURSITIS DE LA CADERA</t>
  </si>
  <si>
    <t>ABSCESO DE LA BOLSA SINOVIAL</t>
  </si>
  <si>
    <t>OTRAS BURSITIS INFECCIOSAS</t>
  </si>
  <si>
    <t>OTROS QUISTES DE LA BOLSA SEROSA</t>
  </si>
  <si>
    <t>DEPOSITO DE CALCIO EN LA BOLSA SEROSA</t>
  </si>
  <si>
    <t>OTRAS BURSITIS, NO CLASIFICADAS EN OTRA PARTE</t>
  </si>
  <si>
    <t>OTROS TRASTORNOS ESPECIFICADOS DE LA BOLSA SEROSA</t>
  </si>
  <si>
    <t>BURSOPATIA, NO ESPECIFICADA</t>
  </si>
  <si>
    <t>NODULOS INTERFALANGICOS</t>
  </si>
  <si>
    <t>FIBROMATOSIS DE LA APONEUROSIS PLANTAR</t>
  </si>
  <si>
    <t>FASCITIS NODULAR</t>
  </si>
  <si>
    <t>FIBROMATOSIS SEUDOSARCOMATOSA</t>
  </si>
  <si>
    <t>FASCITIS, NO CLASIFICADA EN OTRA PARTE</t>
  </si>
  <si>
    <t>OTROS TRASTORNOS FIBROBLASTICOS</t>
  </si>
  <si>
    <t>TRASTORNO FIBROBLASTICO, NO ESPECIFICADO</t>
  </si>
  <si>
    <t>CAPSULITIS ADHESIVA DEL HOMBRO</t>
  </si>
  <si>
    <t>TENDINITIS CALCIFICANTE DEL HOMBRO</t>
  </si>
  <si>
    <t>SINDROME DE ABDUCCION DOLOROSA DEL HOMBRO</t>
  </si>
  <si>
    <t>BURSITIS DEL HOMBRO</t>
  </si>
  <si>
    <t>OTRAS LESIONES DEL HOMBRO</t>
  </si>
  <si>
    <t>TENDINITIS DEL GLUTEO</t>
  </si>
  <si>
    <t>TENDINITIS DEL PSOAS</t>
  </si>
  <si>
    <t>ESPOLON DE LA CRESTA ILIACA</t>
  </si>
  <si>
    <t>SINDROME DEL TENDON DEL TENSOR DE LA FASCIA LATA</t>
  </si>
  <si>
    <t>TENDINITIS ROTULIANA</t>
  </si>
  <si>
    <t>TENDINITIS AQUILIANA</t>
  </si>
  <si>
    <t>TENDINITIS PERONEAL</t>
  </si>
  <si>
    <t>OTRAS ENTESOPATIAS DEL MIEMBRO INFERIOR, EXCLUIDO EL PIE</t>
  </si>
  <si>
    <t>ENTESOPATIA DEL MIEMBRO INFERIOR, NO ESPECIFICADA</t>
  </si>
  <si>
    <t>EPICONDILITIS MEDIA</t>
  </si>
  <si>
    <t>EPICONDILITIS LATERAL</t>
  </si>
  <si>
    <t>PERIARTRITIS DE LA MUÑECA</t>
  </si>
  <si>
    <t>ESPOLON CALCANEO</t>
  </si>
  <si>
    <t>METATARSALGIA</t>
  </si>
  <si>
    <t>OTRAS ENTESOPATIAS DEL PIE</t>
  </si>
  <si>
    <t>OTRAS ENTESOPATIAS, NO CLASIFICADAS EN OTRA PARTE</t>
  </si>
  <si>
    <t>ENTESOPATIA, NO ESPECIFICADA</t>
  </si>
  <si>
    <t>REUMATISMO, NO ESPECIFICADO</t>
  </si>
  <si>
    <t>MIALGIA</t>
  </si>
  <si>
    <t>NEURALGIA Y NEURITIS, NO ESPECIFICADAS</t>
  </si>
  <si>
    <t>PANICULITIS, NO ESPECIFICADA</t>
  </si>
  <si>
    <t>HIPERTROFIA DE PAQUETE ADIPOSO (INFRARROTULIANO)</t>
  </si>
  <si>
    <t>CUERPO EXTRAÑO RESIDUAL EN TEJIDO BLANDO</t>
  </si>
  <si>
    <t>DOLOR EN MIEMBRO</t>
  </si>
  <si>
    <t>OTROS TRASTORNOS ESPECIFICADOS DE LOS TEJIDOS BLANDOS</t>
  </si>
  <si>
    <t>TRASTORNO DE LOS TEJIDOS BLANDOS, NO ESPECIFICADO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</si>
  <si>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</si>
  <si>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</si>
  <si>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</si>
  <si>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</si>
  <si>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</si>
  <si>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</si>
  <si>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</si>
  <si>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</si>
  <si>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</si>
  <si>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</si>
  <si>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</si>
  <si>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</si>
  <si>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</si>
  <si>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</si>
  <si>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</si>
  <si>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</si>
  <si>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</si>
  <si>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OTRAS ENFERMEDADES CLASIFICADAS EN OTRA PARTE</t>
  </si>
  <si>
    <t>OSTEOMALACIA PUERPERAL</t>
  </si>
  <si>
    <t>OSTEOMALACIA SENIL</t>
  </si>
  <si>
    <t>OSTEOMALACIA DEL ADULTO DEBIDA A MALABSORCION</t>
  </si>
  <si>
    <t>OSTEOMALACIA DEL ADULTO DEBIDA A DESNUTRICION</t>
  </si>
  <si>
    <t>ENFERMEDAD DE LOS HUESOS POR ALUMINIO</t>
  </si>
  <si>
    <t>OTRAS OSTEOMALACIAS DEL ADULTO INDUCIDAS POR DROGAS</t>
  </si>
  <si>
    <t>OTRAS OSTEOMALACIAS DEL ADULTO</t>
  </si>
  <si>
    <t>OSTEOMALACIA DEL ADULTO, NO ESPECIFICADA</t>
  </si>
  <si>
    <t>CONSOLIDACION DEFECTUOSA DE FRACTURA</t>
  </si>
  <si>
    <t>CONSOLIDACION RETARDADA DE FRACTURA</t>
  </si>
  <si>
    <t>FRACTURA POR TENSION, NO CLASIFICADA EN OTRA PARTE</t>
  </si>
  <si>
    <t>FRACTURA PATOLOGICA, NO CLASIFICADA EN OTRA PARTE</t>
  </si>
  <si>
    <t>OTROS TRASTORNOS DE LA CONTINUIDAD DEL HUESO</t>
  </si>
  <si>
    <t>TRASTORNO DE LA CONTINUIDAD DEL HUESO, NO ESPECIFICADO</t>
  </si>
  <si>
    <t>DISPLASIA FIBROSA (MONOSTOTICA)</t>
  </si>
  <si>
    <t>FLUOROSIS DEL ESQUELETO</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</si>
  <si>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</si>
  <si>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</si>
  <si>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</si>
  <si>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</si>
  <si>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</si>
  <si>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</si>
  <si>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</si>
  <si>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</si>
  <si>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OTRAS OSTEOMIELITIS AGUDAS</t>
  </si>
  <si>
    <t>OSTEOMIELITIS SUBAGUDA</t>
  </si>
  <si>
    <t>OSTEOMIELITIS MULTIFOCAL CRONICA</t>
  </si>
  <si>
    <t>OSTEOMIELITIS CRONICA CON DRENAJE DEL SENO</t>
  </si>
  <si>
    <t>OTRAS OSTEOMIELITIS HEMATOGENAS CRONICAS</t>
  </si>
  <si>
    <t>OTRAS OSTEOMIELITIS CRONICAS</t>
  </si>
  <si>
    <t>OTRAS OSTEOMIELITIS</t>
  </si>
  <si>
    <t>OSTEOMIELITIS, NO ESPECIFICADA</t>
  </si>
  <si>
    <t>NECROSIS ASEPTICA IDIOPATICA OSEA</t>
  </si>
  <si>
    <t>OSTEONECROSIS DEBIDA A DROGAS</t>
  </si>
  <si>
    <t>OSTEONECROSIS DEBIDA A TRAUMATISMO PREVIO</t>
  </si>
  <si>
    <t>OTRAS OSTEONECROSIS SECUNDARIAS</t>
  </si>
  <si>
    <t>OTRAS OSTEONECROSIS</t>
  </si>
  <si>
    <t>OSTEONECROSIS, NO ESPECIFICADA</t>
  </si>
  <si>
    <t>ENFERMEDAD DE PAGET DEL CRANEO</t>
  </si>
  <si>
    <t>ENFERMEDAD DE PAGET DE OTROS HUESOS</t>
  </si>
  <si>
    <t>ENFERMEDAD OSEA DE PAGET, HUESOS NO ESPECIFICADOS</t>
  </si>
  <si>
    <t>ALGONEURODISTROFIA</t>
  </si>
  <si>
    <t>DETENCION DEL CRECIMIENTO EPIFISARIO</t>
  </si>
  <si>
    <t>OTROS TRASTORNOS DEL DESARROLLO Y CRECIMIENTO OSEO</t>
  </si>
  <si>
    <t>HIPERTROFIA DEL HUESO</t>
  </si>
  <si>
    <t>OTRAS OSTEOARTROPATIAS HIPERTROFICAS</t>
  </si>
  <si>
    <t>OSTEOLISIS</t>
  </si>
  <si>
    <t>OSTEOPATIA A CONSECUENCIA DE POLIOMIELITIS</t>
  </si>
  <si>
    <t>OTROS TRASTORNOS ESPECIFICADOS DEL HUESO</t>
  </si>
  <si>
    <t>TRASTORNO DEL HUESO, NO ESPECIFICADO</t>
  </si>
  <si>
    <t>OSTEONECROSIS EN OTRAS ENFERMEDADES CLASIFICADAS EN OTRA PARTE</t>
  </si>
  <si>
    <t>OSTEOPATIA EN OTRAS ENFERMEDADES CLASIFICADAS EN OTRA PARTE</t>
  </si>
  <si>
    <t>OSTEOCONDROSIS JUVENIL DE LA PELVIS</t>
  </si>
  <si>
    <t>COXA PLANA</t>
  </si>
  <si>
    <t>PSEUDOCOXALGIA</t>
  </si>
  <si>
    <t>OTRAS OSTEOCONDROSIS JUVENILES DE LA CADERA Y DE LA PELVIS</t>
  </si>
  <si>
    <t>OSTEOCONDROSIS JUVENIL DEL HUMERO</t>
  </si>
  <si>
    <t>OSTEOCONDROSIS JUVENIL DEL CUBITO Y DEL RADIO</t>
  </si>
  <si>
    <t>OSTEOCONDROSIS JUVENIL DE LA MANO</t>
  </si>
  <si>
    <t>OTRAS OSTEOCONDROSIS JUVENILES DEL MIEMBRO SUPERIOR</t>
  </si>
  <si>
    <t>OSTEOCONDROSIS JUVENIL DE LA ROTULA</t>
  </si>
  <si>
    <t>OSTEOCONDROSIS JUVENIL DE LA TIBIA Y DEL PERONE</t>
  </si>
  <si>
    <t>OSTEOCONDROSIS JUVENIL DEL TARSO</t>
  </si>
  <si>
    <t>OSTEOCONDROSIS JUVENIL DEL METATARSO</t>
  </si>
  <si>
    <t>OTRAS OSTEOCONDROSIS JUVENILES ESPECIFICADAS</t>
  </si>
  <si>
    <t>OSTEOCONDROSIS JUVENIL, NO ESPECIFICADA</t>
  </si>
  <si>
    <t>DESLIZAMIENTO DE LA EPIFISIS FEMORAL SUPERIOR (NO TRAUMATICO)</t>
  </si>
  <si>
    <t>OTRAS OSTEOCONDROPATIAS ESPECIFICADAS</t>
  </si>
  <si>
    <t>OSTEOCONDROPATIA, NO ESPECIFICADA</t>
  </si>
  <si>
    <t>POLICONDRITIS RECIDIVANTE</t>
  </si>
  <si>
    <t>CONDROMALACIA</t>
  </si>
  <si>
    <t>CONDROLISIS</t>
  </si>
  <si>
    <t>OTROS TRASTORNOS ESPECIFICADOS DEL CARTILAGO</t>
  </si>
  <si>
    <t>TRASTORNO DEL CARTILAGO, NO ESPECIFICADO</t>
  </si>
  <si>
    <t>DEFORMIDAD ADQUIRIDA DE LA NARIZ</t>
  </si>
  <si>
    <t>OREJA EN COLIFLOR</t>
  </si>
  <si>
    <t>OTRAS DEFORMIDADES ADQUIRIDAS DE LA CABEZA</t>
  </si>
  <si>
    <t>DEFORMIDAD ADQUIRIDA DEL CUELLO</t>
  </si>
  <si>
    <t>DEFORMIDAD ADQUIRIDA DE COSTILLAS Y TORAX</t>
  </si>
  <si>
    <t>DEFORMIDAD ADQUIRIDA DE LA PELVIS</t>
  </si>
  <si>
    <t>DEFORMIDAD ADQUIRIDA DEL SISTEMA OSTEOMUSCULAR, NO ESPECIFICADA</t>
  </si>
  <si>
    <t>SEUDOARTROSIS CONSECUTIVA A FUSION O ARTRODESIS</t>
  </si>
  <si>
    <t>SINDROME POSTLAMINECTOMIA, NO CLASIFICADO EN OTRA PARTE</t>
  </si>
  <si>
    <t>CIFOSIS POSTRADIACION</t>
  </si>
  <si>
    <t>CIFOSIS POSTLAMINECTOMIA</t>
  </si>
  <si>
    <t>LORDOSIS POSTQUIRURGICA</t>
  </si>
  <si>
    <t>OTROS TRASTORNOS OSTEOMUSCULARES CONSECUTIVOS A PROCEDIMIENTOS</t>
  </si>
  <si>
    <t>DISFUNCION SEGMENTAL O SOMATICA</t>
  </si>
  <si>
    <t>COMPLEJO DE SUBLUXACION (VERTEBRAL)</t>
  </si>
  <si>
    <t>SUBLUXACION CON ESTENOSIS DEL CANAL NEURAL</t>
  </si>
  <si>
    <t>ESTENOSIS OSEA DEL CANAL NEURAL</t>
  </si>
  <si>
    <t>ESTENOSIS DEL CANAL NEURAL POR TEJIDO CONJUNTIVO</t>
  </si>
  <si>
    <t>ESTENOSIS DEL CANAL NEURAL POR DISCO INTERVERTEBRAL</t>
  </si>
  <si>
    <t>ESTENOSIS OSEA Y SUBLUXACION DE LOS AGUJEROS INTERVERTEBRALES</t>
  </si>
  <si>
    <t>OTRAS LESIONES BIOMECANICAS</t>
  </si>
  <si>
    <t>LESION BIOMECANICA, NO ESPECIFICADA</t>
  </si>
  <si>
    <t>TRASTORNOS GLOMERULARES EN ENFERMEDADES NEOPLASICAS</t>
  </si>
  <si>
    <t>TRASTORNOS GLOMERULARES EN TRASTORNOS SISTEMICOS DEL TEJIDO CONJUNTIVO</t>
  </si>
  <si>
    <t>NEFRITIS TUBULOINTERSTICIAL AGUDA</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</si>
  <si>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</si>
  <si>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</si>
  <si>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</si>
  <si>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</si>
  <si>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</si>
  <si>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</si>
  <si>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ESTRECHEZ URETERAL, NO CLASIFICADA EN OTRA PARTE</t>
  </si>
  <si>
    <t>HIDRONEFROSIS CON OBSTRUCCION POR CALCULOS DEL RIÑON Y DEL URETER</t>
  </si>
  <si>
    <t>OTRAS HIDRONEFROSIS Y LAS NO ESPECIFICADAS</t>
  </si>
  <si>
    <t>HIDROURETER</t>
  </si>
  <si>
    <t>TORSION Y ESTRECHEZ DEL URETER SIN HIDRONEFROSIS</t>
  </si>
  <si>
    <t>PIONEFROSIS</t>
  </si>
  <si>
    <t>UROPATIA ASOCIADA CON REFLUJO VESICOURETERAL</t>
  </si>
  <si>
    <t>NEFROPATIA INDUCIDA POR ANALGESICOS</t>
  </si>
  <si>
    <t>NEFROPATIA INDUCIDA POR METALES PESADOS</t>
  </si>
  <si>
    <t>NEFROPATIA DE LOS BALCANES</t>
  </si>
  <si>
    <t>ABSCESO RENAL Y PERIRRENAL</t>
  </si>
  <si>
    <t>OTRAS ENFERMEDADES RENALES TUBULOINTERSTICIALES ESPECIFICADAS</t>
  </si>
  <si>
    <t>ENFERMEDAD RENAL TUBULOINTERSTICIAL, NO ESPECIFICADA</t>
  </si>
  <si>
    <t>TRASTORNOS RENALES TUBULOINTERSTICIALES EN ENFERMEDADES NEOPLASICAS</t>
  </si>
  <si>
    <t>TRASTORNOS RENALES TUBULOINTERSTICIALES EN ENFERMEDADES METABOLICAS</t>
  </si>
  <si>
    <t>INSUFICIENCIA RENAL AGUDA CON NECROSIS TUBULAR</t>
  </si>
  <si>
    <t>INSUFICIENCIA RENAL AGUDA CON NECROSIS CORTICAL AGUDA</t>
  </si>
  <si>
    <t>INSUFICIENCIA RENAL AGUDA CON NECROSIS MEDULAR</t>
  </si>
  <si>
    <t>OTRAS INSUFICIENCIAS RENALES AGUDAS</t>
  </si>
  <si>
    <t>INSUFICIENCIA RENAL AGUDA, NO ESPECIFICADA</t>
  </si>
  <si>
    <t>INSUFICIENCIA RENAL TERMINAL</t>
  </si>
  <si>
    <t>OTRAS INSUFICIENCIAS RENALES CRONICAS</t>
  </si>
  <si>
    <t>INSUFICIENCIA RENAL CRONICA, NO ESPECIFICADA</t>
  </si>
  <si>
    <t>INSUFICIENCIA RENAL NO ESPECIFICADA</t>
  </si>
  <si>
    <t>CALCULO DEL RIÑON</t>
  </si>
  <si>
    <t>CALCULO DEL URETER</t>
  </si>
  <si>
    <t>CALCULO DEL RIÑON CON CALCULO DEL URETER</t>
  </si>
  <si>
    <t>CALCULO URINARIO, NO ESPECIFICADO</t>
  </si>
  <si>
    <t>CALCULO EN LA VEJIGA</t>
  </si>
  <si>
    <t>CALCULO EN LA URETRA</t>
  </si>
  <si>
    <t>OTROS CALCULOS DE LAS VIAS URINARIAS INFERIORES</t>
  </si>
  <si>
    <t>CALCULO DE LAS VIAS URINARIAS INFERIORES, NO ESPECIFICADO</t>
  </si>
  <si>
    <t>OSTEODISTROFIA RENAL</t>
  </si>
  <si>
    <t>DIABETES INSIPIDA NEFROGENA</t>
  </si>
  <si>
    <t>OTROS TRASTORNOS RESULTANTES DE LA FUNCION TUBULAR RENAL ALTERADA</t>
  </si>
  <si>
    <t>RIÑON CONTRAIDO, NO ESPECIFICADO</t>
  </si>
  <si>
    <t>RIÑON PEQUEÑO, UNILATERAL</t>
  </si>
  <si>
    <t>RIÑON PEQUEÑO, BILATERAL</t>
  </si>
  <si>
    <t>RIÑON PEQUEÑO, NO ESPECIFICADO</t>
  </si>
  <si>
    <t>ISQUEMIA E INFARTO DEL RIÑON</t>
  </si>
  <si>
    <t>QUISTE DE RIÑON, ADQUIRIDO</t>
  </si>
  <si>
    <t>OTROS TRASTORNOS ESPECIFICADOS DEL RIÑON Y DEL URETER</t>
  </si>
  <si>
    <t>TRASTORNO DEL RIÑON Y DEL URETER, NO ESPECIFICADO</t>
  </si>
  <si>
    <t>CISTITIS INTERSTICIAL (CRONICA)</t>
  </si>
  <si>
    <t>OTRAS CISTITIS CRONICAS</t>
  </si>
  <si>
    <t>TRIGONITIS</t>
  </si>
  <si>
    <t>CISTITIS POR IRRADIACION</t>
  </si>
  <si>
    <t>OTRAS CISTITIS</t>
  </si>
  <si>
    <t>CISTITIS, NO ESPECIFICADA</t>
  </si>
  <si>
    <t>VEJIGA NEUROPATICA NO INHIBIDA, NO CLASIFICADA EN OTRA PARTE</t>
  </si>
  <si>
    <t>VEJIGA NEUROPATICA REFLEJA, NO CLASIFICADA EN OTRA PARTE</t>
  </si>
  <si>
    <t>VEJIGA NEUROPATICA FLACIDA, NO CLASIFICADA EN OTRA PARTE</t>
  </si>
  <si>
    <t>OTRAS DISFUNCIONES NEUROMUSCULARES DE LA VEJIGA</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</si>
  <si>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</si>
  <si>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</si>
  <si>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</si>
  <si>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</si>
  <si>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</si>
  <si>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</si>
  <si>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OTROS TRASTORNOS ESPECIFICADOS DE LA VEJIGA</t>
  </si>
  <si>
    <t>TRASTORNO DE LA VEJIGA, NO ESPECIFICADO</t>
  </si>
  <si>
    <t>ABSCESO URETRAL</t>
  </si>
  <si>
    <t>OTRAS URETRITIS</t>
  </si>
  <si>
    <t>SINDROME URETRAL, NO ESPECIFICADO</t>
  </si>
  <si>
    <t>ESTRECHEZ URETRAL POSTRAUMATICA</t>
  </si>
  <si>
    <t>ESTRECHEZ URETRAL POSTINFECCION, NO CLASIFICADA EN OTRA PARTE</t>
  </si>
  <si>
    <t>OTRAS ESTRECHECES URETRALES</t>
  </si>
  <si>
    <t>ESTRECHEZ URETRAL, NO ESPECIFICADA</t>
  </si>
  <si>
    <t>FISTULA DE LA URETRA</t>
  </si>
  <si>
    <t>DIVERTICULO DE LA URETRA</t>
  </si>
  <si>
    <t>CARUNCULA URETRAL</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</si>
  <si>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</si>
  <si>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</si>
  <si>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</si>
  <si>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</si>
  <si>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</si>
  <si>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INFECCION DE VIAS URINARIAS, SITIO NO ESPECIFICADO</t>
  </si>
  <si>
    <t>PROTEINURIA PERSISTENTE, NO ESPECIFICADA</t>
  </si>
  <si>
    <t>PROTEINURIA ORTOSTATICA, NO ESPECIFICADA</t>
  </si>
  <si>
    <t>INCONTINENCIA URINARIA POR TENSION</t>
  </si>
  <si>
    <t>OTRAS INCONTINENCIAS URINARIAS ESPECIFICADAS</t>
  </si>
  <si>
    <t>OTROS TRASTORNOS ESPECIFICADOS DEL SISTEMA URINARIO</t>
  </si>
  <si>
    <t>TRASTORNO DEL SISTEMA URINARIO, NO ESPECIFICADO</t>
  </si>
  <si>
    <t>HIPERPLASIA DE LA PROSTATA</t>
  </si>
  <si>
    <t>PROSTATITIS AGUDA</t>
  </si>
  <si>
    <t>PROSTATITIS CRONICA</t>
  </si>
  <si>
    <t>ABSCESO DE LA PROSTATA</t>
  </si>
  <si>
    <t>PROSTATOCISTITIS</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</si>
  <si>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</si>
  <si>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</si>
  <si>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</si>
  <si>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</si>
  <si>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</si>
  <si>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</si>
  <si>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</si>
  <si>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HIDROCELE ENQUISTADO</t>
  </si>
  <si>
    <t>HIDROCELE INFECTADO</t>
  </si>
  <si>
    <t>HIDROCELE, NO ESPECIFICADO</t>
  </si>
  <si>
    <t>ESPERMATOCELE</t>
  </si>
  <si>
    <t>TORSION DEL TESTICULO</t>
  </si>
  <si>
    <t>ORQUITIS, EPIDIDIMITIS Y ORQUIEPIDIDIMITIS CON ABSCESO</t>
  </si>
  <si>
    <t>ORQUITIS, EPIDIDIMITIS Y ORQUIEPIDIDIMITIS SIN ABSCESO</t>
  </si>
  <si>
    <t>ESTERILIDAD EN EL VARON</t>
  </si>
  <si>
    <t>PREPUCIO REDUNDANTE, FIMOSIS Y PARAFIMOSIS</t>
  </si>
  <si>
    <t>LEUCOPLASIA DEL PENE</t>
  </si>
  <si>
    <t>BALANOPOSTITIS</t>
  </si>
  <si>
    <t>OTROS TRASTORNOS INFLAMATORIOS DEL PENE</t>
  </si>
  <si>
    <t>PRIAPISMO</t>
  </si>
  <si>
    <t>IMPOTENCIA DE ORIGEN ORGANICO</t>
  </si>
  <si>
    <t>ULCERA DEL PENE</t>
  </si>
  <si>
    <t>OTROS TRASTORNOS ESPECIFICADOS DEL PENE</t>
  </si>
  <si>
    <t>TRASTORNO DEL PENE, NO ESPECIFICADO</t>
  </si>
  <si>
    <t>TRASTORNOS INFLAMATORIOS DE VESICULA SEMINAL</t>
  </si>
  <si>
    <t>TRASTORNOS INFLAMATORIOS DEL ESCROTO</t>
  </si>
  <si>
    <t>OTROS TRASTORNOS INFLAMATORIOS DE LOS ORGANOS GENITALES MASCULINOS</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</si>
  <si>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</si>
  <si>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</si>
  <si>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</si>
  <si>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</si>
  <si>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</si>
  <si>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BALANITIS EN ENFERMEDADES CLASIFICADAS EN OTRA PARTE</t>
  </si>
  <si>
    <t>QUISTE SOLITARIO DE LA MAMA</t>
  </si>
  <si>
    <t>MASTOPATIA QUISTICA DIFUSA</t>
  </si>
  <si>
    <t>FIBROESCLEROSIS DE MAMA</t>
  </si>
  <si>
    <t>ECTASIA DE CONDUCTO MAMARIO</t>
  </si>
  <si>
    <t>OTRAS DISPLASIAS MAMARIAS BENIGNAS</t>
  </si>
  <si>
    <t>DISPLASIA MAMARIA BENIGNA, SIN OTRA ESPECIFICACION</t>
  </si>
  <si>
    <t>TRASTORNOS INFLAMATORIOS DE LA MAMA</t>
  </si>
  <si>
    <t>HIPERTROFIA DE LA MAMA</t>
  </si>
  <si>
    <t>MASA NO ESPECIFICADA EN LA MAMA</t>
  </si>
  <si>
    <t>FISURA Y FISTULA DEL PEZON</t>
  </si>
  <si>
    <t>NECROSIS GRASA DE LA MAMA</t>
  </si>
  <si>
    <t>ATROFIA DE LA MAMA</t>
  </si>
  <si>
    <t>GALACTORREA NO ASOCIADA CON EL PARTO</t>
  </si>
  <si>
    <t>MASTODINIA</t>
  </si>
  <si>
    <t>OTROS SIGNOS Y SINTOMAS RELATIVOS A LA MAMA</t>
  </si>
  <si>
    <t>OTROS TRASTORNOS ESPECIFICADOS DE LA MAMA</t>
  </si>
  <si>
    <t>TRASTORNO DE LA MAMA, NO ESPECIFICADO</t>
  </si>
  <si>
    <t>SALPINGITIS Y OOFORITIS AGUDA</t>
  </si>
  <si>
    <t>SALPINGITIS Y OOFORITIS CRONICA</t>
  </si>
  <si>
    <t>SALPINGITIS Y OOFORITIS, NO ESPECIFICADAS</t>
  </si>
  <si>
    <t>ENFERMEDAD INFLAMATORIA AGUDA DEL UTERO</t>
  </si>
  <si>
    <t>ENFERMEDAD INFLAMATORIA CRONICA DEL UTERO</t>
  </si>
  <si>
    <t>ENFERMEDAD INFLAMATORIA DEL CUELLO UTERINO</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</si>
  <si>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</si>
  <si>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</si>
  <si>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</si>
  <si>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</si>
  <si>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</si>
  <si>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</si>
  <si>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</si>
  <si>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</si>
  <si>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</si>
  <si>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QUISTE DE LA GLANDULA DE BARTHOLIN</t>
  </si>
  <si>
    <t>ABSCESO DE LA GLANDULA DE BARTHOLIN</t>
  </si>
  <si>
    <t>OTRAS ENFERMEDADES DE LA GLANDULA DE BARTHOLIN</t>
  </si>
  <si>
    <t>ENFERMEDAD DE LA GLANDULA DE BARTHOLIN, NO ESPECIFICADA</t>
  </si>
  <si>
    <t>VAGINITIS AGUDA</t>
  </si>
  <si>
    <t>VAGINITIS SUBAGUDA Y CRONICA</t>
  </si>
  <si>
    <t>VULVITIS AGUDA</t>
  </si>
  <si>
    <t>VULVITIS SUBAGUDA Y CRONICA</t>
  </si>
  <si>
    <t>ABSCESO VULVAR</t>
  </si>
  <si>
    <t>ULCERACION DE LA VAGINA</t>
  </si>
  <si>
    <t>ULCERACION DE LA VULVA</t>
  </si>
  <si>
    <t>OTRAS INFLAMACIONES ESPECIFICADAS DE LA VAGINA Y DE LA VULVA</t>
  </si>
  <si>
    <t>ENDOMETRIOSIS DEL UTERO</t>
  </si>
  <si>
    <t>ENDOMETRIOSIS DEL OVARIO</t>
  </si>
  <si>
    <t>ENDOMETRIOSIS DE LA TROMPA DE FALOPIO</t>
  </si>
  <si>
    <t>ENDOMETRIOSIS DEL PERITONEO PELVICO</t>
  </si>
  <si>
    <t>ENDOMETRIOSIS DEL TABIQUE RECTOVAGINAL Y DE LA VAGINA</t>
  </si>
  <si>
    <t>ENDOMETRIOSIS DEL INTESTINO</t>
  </si>
  <si>
    <t>ENDOMETRIOSIS EN CICATRIZ CUTANEA</t>
  </si>
  <si>
    <t>OTRAS ENDOMETRIOSIS</t>
  </si>
  <si>
    <t>ENDOMETRIOSIS, NO ESPECIFICADA</t>
  </si>
  <si>
    <t>URETROCELE FEMENINO</t>
  </si>
  <si>
    <t>CISTOCELE</t>
  </si>
  <si>
    <t>PROLAPSO UTEROVAGINAL INCOMPLETO</t>
  </si>
  <si>
    <t>PROLAPSO UTEROVAGINAL COMPLETO</t>
  </si>
  <si>
    <t>PROLAPSO UTEROVAGINAL, SIN OTRA ESPECIFICACION</t>
  </si>
  <si>
    <t>ENTEROCELE VAGINAL</t>
  </si>
  <si>
    <t>RECTOCELE</t>
  </si>
  <si>
    <t>OTROS PROLAPSOS GENITALES FEMENINOS</t>
  </si>
  <si>
    <t>PROLAPSO GENITAL FEMENINO, NO ESPECIFICADO</t>
  </si>
  <si>
    <t>FISTULA VESICOVAGINAL</t>
  </si>
  <si>
    <t>OTRAS FISTULAS DE LAS VIAS GENITOURINARIAS FEMENINAS</t>
  </si>
  <si>
    <t>FISTULA DE LA VAGINA AL INTESTINO DELGADO</t>
  </si>
  <si>
    <t>FISTULA DE LA VAGINA AL INTESTINO GRUESO</t>
  </si>
  <si>
    <t>FISTULA DEL TRACTO GENITAL FEMENINO A LA PIEL</t>
  </si>
  <si>
    <t>OTRAS FISTULAS DEL TRACTO GENITAL FEMENINO</t>
  </si>
  <si>
    <t>FISTULA DEL TRACTO GENITAL FEMENINO, SIN OTRA ESPECIFICACION</t>
  </si>
  <si>
    <t>QUISTE FOLICULAR DEL OVARIO</t>
  </si>
  <si>
    <t>QUISTE DEL CUERPO AMARILLO</t>
  </si>
  <si>
    <t>OTROS QUISTES OVARICOS Y LOS NO ESPECIFICADOS</t>
  </si>
  <si>
    <t>PROLAPSO Y HERNIA DEL OVARIO Y DE LA TROMPA DE FALOPIO</t>
  </si>
  <si>
    <t>TORSION DE OVARIO, PEDICULO DE OVARIO Y TROMPA DE FALOPIO</t>
  </si>
  <si>
    <t>HEMATOSALPINX</t>
  </si>
  <si>
    <t>HEMATOMA DEL LIGAMENTO ANCHO</t>
  </si>
  <si>
    <t>POLIPO DEL CUERPO DEL UTERO</t>
  </si>
  <si>
    <t>POLIPO DEL CUELLO DEL UTERO</t>
  </si>
  <si>
    <t>POLIPO DE LA VAGINA</t>
  </si>
  <si>
    <t>POLIPO DE LA VULVA</t>
  </si>
  <si>
    <t>POLIPO DEL TRACTO GENITAL FEMENINO, NO ESPECIFICADO</t>
  </si>
  <si>
    <t>HIPERPLASIA DE GLANDULA DEL ENDOMETRIO</t>
  </si>
  <si>
    <t>HIPERPLASIA ADENOMATOSA DEL ENDOMETRIO</t>
  </si>
  <si>
    <t>HIPERTROFIA DEL UTERO</t>
  </si>
  <si>
    <t>SUBINVOLUCION DEL UTERO</t>
  </si>
  <si>
    <t>MALA POSICION DEL UTERO</t>
  </si>
  <si>
    <t>INVERSION DEL UTERO</t>
  </si>
  <si>
    <t>SINEQUIAS INTRAUTERINAS</t>
  </si>
  <si>
    <t>HEMATOMETRA</t>
  </si>
  <si>
    <t>OTROS TRASTORNOS NO INFLAMATORIOS ESPECIFICADOS DEL UTERO</t>
  </si>
  <si>
    <t>TRASTORNO NO INFLAMATORIO DEL UTERO, NO ESPECIFICADO</t>
  </si>
  <si>
    <t>EROSION Y ECTROPION DEL CUELLO DEL UTERO</t>
  </si>
  <si>
    <t>DISPLASIA CERVICAL LEVE</t>
  </si>
  <si>
    <t>DISPLASIA CERVICAL MODERADA</t>
  </si>
  <si>
    <t>DISPLASIA CERVICAL SEVERA, NO CLASIFICADA EN OTRA PARTE</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</si>
  <si>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</si>
  <si>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</si>
  <si>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</si>
  <si>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</si>
  <si>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</si>
  <si>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</si>
  <si>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</si>
  <si>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</si>
  <si>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</si>
  <si>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</si>
  <si>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</si>
  <si>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</si>
  <si>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</si>
  <si>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</si>
  <si>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</si>
  <si>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</si>
  <si>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</si>
  <si>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</si>
  <si>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</si>
  <si>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</si>
  <si>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</si>
  <si>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</si>
  <si>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</si>
  <si>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</si>
  <si>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</si>
  <si>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</si>
  <si>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TRASTORNO NO INFLAMATORIO DE LA VULVA Y DEL PERINEO, NO ESPECIFICADO</t>
  </si>
  <si>
    <t>AMENORREA PRIMARIA</t>
  </si>
  <si>
    <t>AMENORREA SECUNDARIA</t>
  </si>
  <si>
    <t>AMENORREA, SIN OTRA ESPECIFICACION</t>
  </si>
  <si>
    <t>OLIGOMENORREA PRIMARIA</t>
  </si>
  <si>
    <t>OLIGOMENORREA SECUNDARIA</t>
  </si>
  <si>
    <t>MENSTRUACION EXCESIVA Y FRECUENTE CON CICLO REGULAR</t>
  </si>
  <si>
    <t>MENSTRUACION EXCESIVA Y FRECUENTE CON CICLO IRREGULAR</t>
  </si>
  <si>
    <t>MENSTRUACION EXCESIVA EN LA PUBERTAD</t>
  </si>
  <si>
    <t>HEMORRAGIA POR OVULACION</t>
  </si>
  <si>
    <t>HEMORRAGIA EXCESIVA EN PERIODO PREMENOPAUSICO</t>
  </si>
  <si>
    <t>OTRAS MENSTRUACIONES IRREGULARES ESPECIFICADAS</t>
  </si>
  <si>
    <t>MENSTRUACION IRREGULAR, NO ESPECIFICADA</t>
  </si>
  <si>
    <t>HEMORRAGIA POSTCOITO Y POSTCONTACTO</t>
  </si>
  <si>
    <t>OTRAS HEMORRAGIAS UTERINAS O VAGINALES ANORMALES ESPECIFICADAS</t>
  </si>
  <si>
    <t>HEMORRAGIA VAGINAL Y UTERINA ANORMAL, NO ESPECIFICADA</t>
  </si>
  <si>
    <t>DOLOR INTERMENSTRUAL</t>
  </si>
  <si>
    <t>DISPAREUNIA</t>
  </si>
  <si>
    <t>VAGINISMO</t>
  </si>
  <si>
    <t>SINDROME DE TENSION PREMENSTRUAL</t>
  </si>
  <si>
    <t>DISMENORREA PRIMARIA</t>
  </si>
  <si>
    <t>DISMENORREA SECUNDARIA</t>
  </si>
  <si>
    <t>DISMENORREA, NO ESPECIFICADA</t>
  </si>
  <si>
    <t>HEMORRAGIA POSTMENOPAUSICA</t>
  </si>
  <si>
    <t>ESTADOS MENOPAUSICOS Y CLIMATERICOS FEMENINOS</t>
  </si>
  <si>
    <t>VAGINITIS ATROFICA POSTMENOPAUSICA</t>
  </si>
  <si>
    <t>ESTADOS ASOCIADOS CON MENOPAUSIA ARTIFICIAL</t>
  </si>
  <si>
    <t>OTROS TRASTORNOS MENOPAUSICOS Y PERIMENOPAUSICOS ESPECIFICADOS</t>
  </si>
  <si>
    <t>TRASTORNO MENOPAUSICO Y PERIMENOPAUSICO, NO ESPECIFICADO</t>
  </si>
  <si>
    <t>ABORTADORA HABITUAL</t>
  </si>
  <si>
    <t>INFERTILIDAD FEMENINA ASOCIADA CON FALTA DE OVULACION</t>
  </si>
  <si>
    <t>INFERTILIDAD FEMENINA DE ORIGEN TUBARICO</t>
  </si>
  <si>
    <t>INFERTILIDAD FEMENINA DE ORIGEN UTERINO</t>
  </si>
  <si>
    <t>INFERTILIDAD FEMENINA DE ORIGEN CERVICAL</t>
  </si>
  <si>
    <t>INFERTILIDAD FEMENINA ASOCIADA CON FACTORES MASCULINOS</t>
  </si>
  <si>
    <t>INFERTILIDAD FEMENINA DE OTRO ORIGEN</t>
  </si>
  <si>
    <t>INFERTILIDAD FEMENINA, NO ESPECIFICADA</t>
  </si>
  <si>
    <t>INFECCION ASOCIADA CON INSEMINACION ARTIFICIAL</t>
  </si>
  <si>
    <t>HIPERESTIMULACION DE OVARIOS</t>
  </si>
  <si>
    <t>OTRAS COMPLICACIONES ASOCIADAS CON LA FECUNDACION ARTIFICIAL</t>
  </si>
  <si>
    <t>COMPLICACION NO ESPECIFICADA ASOCIADA CON LA FECUNDACION ARTIFICIAL</t>
  </si>
  <si>
    <t>INSUFICIENCIA RENAL CONSECUTIVA A PROCEDIMIENTOS</t>
  </si>
  <si>
    <t>ESTRECHEZ URETRAL CONSECUTIVA A PROCEDIMIENTOS</t>
  </si>
  <si>
    <t>ADHERENCIAS POSTOPERATORIAS DE LA VAGINA</t>
  </si>
  <si>
    <t>PROLAPSO DE LA CUPULA VAGINAL DESPUES DE HISTERECTOMIA</t>
  </si>
  <si>
    <t>ADHERENCIAS PERITONEALES PELVICAS CONSECUTIVAS A PROCEDIMIENTOS</t>
  </si>
  <si>
    <t>MAL FUNCIONAMIENTO DE ESTOMA EXTERNO DE VIAS URINARIAS</t>
  </si>
  <si>
    <t>EMBARAZO ABDOMINAL</t>
  </si>
  <si>
    <t>EMBARAZO TUBARICO</t>
  </si>
  <si>
    <t>EMBARAZO OVARICO</t>
  </si>
  <si>
    <t>OTROS EMBARAZOS ECTOPICOS</t>
  </si>
  <si>
    <t>EMBARAZO ECTOPICO, NO ESPECIFICADO</t>
  </si>
  <si>
    <t>MOLA HIDATIFORME CLASICA</t>
  </si>
  <si>
    <t>MOLA HIDATIFORME, INCOMPLETA O PARCIAL</t>
  </si>
  <si>
    <t>MOLA HIDATIFORME, NO ESPECIFICADA</t>
  </si>
  <si>
    <t>DETENCION DEL DESARROLLO DEL HUEVO Y MOLA NO HIDATIFORME</t>
  </si>
  <si>
    <t>ABORTO RETENIDO</t>
  </si>
  <si>
    <t>OTROS PRODUCTOS ANORMALES ESPECIFICADOS DE LA CONCEPCION</t>
  </si>
  <si>
    <t>PRODUCTO ANORMAL DE LA CONCEPCION, NO ESPECIFICADO</t>
  </si>
  <si>
    <t>FALLA DE LA INDUCCION MEDICA DEL ABORTO, COMPLICADO POR EMBOLIA</t>
  </si>
  <si>
    <t>FALLA DE LA INDUCCION MEDICA DEL ABORTO, SIN COMPLICACION</t>
  </si>
  <si>
    <t>CHOQUE CONSECUTIVO AL ABORTO, AL EMBARAZO ECTOPICO Y AL EMBARAZO MOLAR</t>
  </si>
  <si>
    <t>TRASTORNOS HIPERTENSIVOS PREEXISTENTES, CON PROTEINURIA AGREGADA</t>
  </si>
  <si>
    <t>EDEMA GESTACIONAL</t>
  </si>
  <si>
    <t>PROTEINURIA GESTACIONAL</t>
  </si>
  <si>
    <t>EDEMA GESTACIONAL CON PROTEINURIA</t>
  </si>
  <si>
    <t>PREECLAMPSIA MODERADA</t>
  </si>
  <si>
    <t>PREECLAMPSIA SEVERA</t>
  </si>
  <si>
    <t>PREECLAMPSIA, NO ESPECIFICADA</t>
  </si>
  <si>
    <t>HIPERTENSION MATERNA, NO ESPECIFICADA</t>
  </si>
  <si>
    <t>AMENAZA DE ABORTO</t>
  </si>
  <si>
    <t>OTRAS HEMORRAGIAS PRECOCES DEL EMBARAZO</t>
  </si>
  <si>
    <t>HEMORRAGIA PRECOZ DEL EMBARAZO, SIN OTRA ESPECIFICACION</t>
  </si>
  <si>
    <t>HIPEREMESIS GRAVIDICA LEVE</t>
  </si>
  <si>
    <t>HIPEREMESIS GRAVIDICA CON TRASTORNOS METABOLICOS</t>
  </si>
  <si>
    <t>HIPEREMESIS GRAVIDICA TARDIA</t>
  </si>
  <si>
    <t>OTROS VOMITOS QUE COMPLICAN EL EMBARAZO</t>
  </si>
  <si>
    <t>VENAS VARICOSAS DE LOS MIEMBROS INFERIORES EN EL EMBARAZO</t>
  </si>
  <si>
    <t>VARICES GENITALES EN EL EMBARAZO</t>
  </si>
  <si>
    <t>FLEBOTROMBOSIS PROFUNDA EN EL EMBARAZO</t>
  </si>
  <si>
    <t>HEMORROIDES EN EL EMBARAZO</t>
  </si>
  <si>
    <t>TROMBOSIS VENOSA CEREBRAL EN EL EMBARAZO</t>
  </si>
  <si>
    <t>OTRAS COMPLICACIONES VENOSAS EN EL EMBARAZO</t>
  </si>
  <si>
    <t>COMPLICACION VENOSA NO ESPECIFICADA EN EL EMBARAZO</t>
  </si>
  <si>
    <t>INFECCION DEL RIÑON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</si>
  <si>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</si>
  <si>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</si>
  <si>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</si>
  <si>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</si>
  <si>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</si>
  <si>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DIABETES MELLITUS PREEXISTENTE INSULINODEPENDIENTE, EN EL EMBARAZO</t>
  </si>
  <si>
    <t>DIABETES MELLITUS PREEXISTENTE NO INSULINODEPENDIENTE, EN EL EMBARAZO</t>
  </si>
  <si>
    <t>DIABETES MELLITUS NO ESPECIFICADA, EN EL EMBARAZO</t>
  </si>
  <si>
    <t>DESNUTRICION EN EL EMBARAZO</t>
  </si>
  <si>
    <t>AUMENTO EXCESIVO DE PESO EN EL EMBARAZO</t>
  </si>
  <si>
    <t>AUMENTO PEQUEÑO DE PESO EN EL EMBARAZO</t>
  </si>
  <si>
    <t>ATENCION DEL EMBARAZO EN UNA ABORTADORA HABITUAL</t>
  </si>
  <si>
    <t>RETENCION DE DISPOSITIVO ANTICONCEPTIVO INTRAUTERINO EN EL EMBARAZO</t>
  </si>
  <si>
    <t>HERPES GESTACIONAL</t>
  </si>
  <si>
    <t>SINDROME DE HIPOTENSION MATERNA</t>
  </si>
  <si>
    <t>OTRAS COMPLICACIONES ESPECIFICADAS RELACIONADAS CON EL EMBARAZO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</si>
  <si>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</si>
  <si>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</si>
  <si>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</si>
  <si>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</si>
  <si>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</si>
  <si>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</si>
  <si>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OTROS HALLAZGOS ANORMALES EN EL EXAMEN PRENATAL DE LA MADRE</t>
  </si>
  <si>
    <t>HALLAZGO ANORMAL NO ESPECIFICADO EN EL EXAMEN PRENATAL DE LA MADRE</t>
  </si>
  <si>
    <t>REACCION TOXICA A LA ANESTESIA LOCAL ADMINISTRADA DURANTE EL EMBARAZO</t>
  </si>
  <si>
    <t>FALLA O DIFICULTAD EN LA INTUBACION DURANTE EL EMBARAZO</t>
  </si>
  <si>
    <t>OTRAS COMPLICACIONES DE LA ANESTESIA ADMINISTRADA DURANTE EL EMBARAZO</t>
  </si>
  <si>
    <t>EMBARAZO DOBLE</t>
  </si>
  <si>
    <t>EMBARAZO TRIPLE</t>
  </si>
  <si>
    <t>EMBARAZO CUADRUPLE</t>
  </si>
  <si>
    <t>OTROS EMBARAZOS MULTIPLES</t>
  </si>
  <si>
    <t>EMBARAZO MULTIPLE, NO ESPECIFICADO</t>
  </si>
  <si>
    <t>FETO PAPIRACEO</t>
  </si>
  <si>
    <t>EMBARAZO QUE CONTINUA DESPUES DEL ABORTO DE UN FETO O MAS</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</si>
  <si>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</si>
  <si>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</si>
  <si>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</si>
  <si>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</si>
  <si>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</si>
  <si>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PRESENTACION COMPUESTA</t>
  </si>
  <si>
    <t>ATENCION MATERNA POR OTRAS PRESENTACIONES ANORMALES DEL FETO</t>
  </si>
  <si>
    <t>ATENCION MATERNA POR PRESENTACION ANORMAL NO ESPECIFICADA DEL FETO</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</si>
  <si>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</si>
  <si>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</si>
  <si>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</si>
  <si>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</si>
  <si>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</si>
  <si>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</si>
  <si>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</si>
  <si>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</si>
  <si>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</si>
  <si>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</si>
  <si>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</si>
  <si>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</si>
  <si>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</si>
  <si>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ANORMALIDAD NO ESPECIFICADA DE ORGANO PELVIANO</t>
  </si>
  <si>
    <t>ATENCION MATERNA POR (PRESUNTA) ANORMALIDAD CROMOSOMICA EN EL FETO</t>
  </si>
  <si>
    <t>ATENCION MATERNA POR (PRESUNTA) ENFERMEDAD HEREDITARIA EN EL FETO</t>
  </si>
  <si>
    <t>ATENCION MATERNA POR (PRESUNTA) LESION AL FETO DEBIDA AL ALCOHOL</t>
  </si>
  <si>
    <t>ATENCION MATERNA POR (PRESUNTA) LESION FETAL DEBIDA A DROGAS</t>
  </si>
  <si>
    <t>ATENCION MATERNA POR (PRESUNTA) LESION AL FETO DEBIDA A RADIACION</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</si>
  <si>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</si>
  <si>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</si>
  <si>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</si>
  <si>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</si>
  <si>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</si>
  <si>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</si>
  <si>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</si>
  <si>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</si>
  <si>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</si>
  <si>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POLIHIDRAMNIOS</t>
  </si>
  <si>
    <t>OLIGOHIDRAMNIOS</t>
  </si>
  <si>
    <t>INFECCION DE LA BOLSA AMNIOTICA O DE LAS MEMBRANAS</t>
  </si>
  <si>
    <t>TRASTORNO DEL LIQUIDO AMNIOTICO Y DE LAS MEMBRANAS, NO ESPECIFICADO</t>
  </si>
  <si>
    <t>RUPTURA PREMATURA DE LAS MEMBRANAS, SIN OTRA ESPECIFICACION</t>
  </si>
  <si>
    <t>MALFORMACION DE LA PLACENTA</t>
  </si>
  <si>
    <t>OTROS TRASTORNOS PLACENTARIOS</t>
  </si>
  <si>
    <t>TRASTORNO DE LA PLACENTA, NO ESPECIFICADO</t>
  </si>
  <si>
    <t>PLACENTA PREVIA CON ESPECIFICACION DE QUE NO HUBO HEMORRAGIA</t>
  </si>
  <si>
    <t>PLACENTA PREVIA CON HEMORRAGIA</t>
  </si>
  <si>
    <t>DESPRENDIMIENTO PREMATURO DE LA PLACENTA CON DEFECTO DE LA COAGULACION</t>
  </si>
  <si>
    <t>OTROS DESPRENDIMIENTOS PREMATUROS DE LA PLACENTA</t>
  </si>
  <si>
    <t>DESPRENDIMIENTO PREMATURO DE LA PLACENTA, SIN OTRA ESPECIFICACION</t>
  </si>
  <si>
    <t>OTRAS HEMORRAGIAS ANTEPARTO</t>
  </si>
  <si>
    <t>HEMORRAGIA ANTEPARTO, NO ESPECIFICADA</t>
  </si>
  <si>
    <t>EMBARAZO PROLONGADO</t>
  </si>
  <si>
    <t>PARTO PREMATURO</t>
  </si>
  <si>
    <t>FRACASO DE LA INDUCCION MEDICA DEL TRABAJO DE PARTO</t>
  </si>
  <si>
    <t>FRACASO DE LA INDUCCION INSTRUMENTAL DEL TRABAJO DE PARTO</t>
  </si>
  <si>
    <t>OTROS FRACASOS DE LA INDUCCION DEL TRABAJO DE PARTO</t>
  </si>
  <si>
    <t>FRACASO NO ESPECIFICADO DE LA INDUCCION DEL TRABAJO DE PARTO</t>
  </si>
  <si>
    <t>CONTRACCIONES PRIMARIAS INADECUADAS</t>
  </si>
  <si>
    <t>INERCIA UTERINA SECUNDARIA</t>
  </si>
  <si>
    <t>OTRAS INERCIAS UTERINAS</t>
  </si>
  <si>
    <t>TRABAJO DE PARTO PRECIPITADO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</si>
  <si>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</si>
  <si>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</si>
  <si>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</si>
  <si>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</si>
  <si>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</si>
  <si>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TRABAJO DE PARTO PROLONGADO, NO ESPECIFICADO</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</si>
  <si>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</si>
  <si>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</si>
  <si>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</si>
  <si>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</si>
  <si>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</si>
  <si>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DEFORMIDAD DE LA PELVIS</t>
  </si>
  <si>
    <t>TRABAJO DE PARTO OBSTRUIDO DEBIDO A ESTRECHEZ GENERAL DE LA PELVIS</t>
  </si>
  <si>
    <t>TRABAJO DE PARTO OBSTRUIDO DEBIDO A OTRAS ANOMALIAS PELVIANAS MATERNAS</t>
  </si>
  <si>
    <t>TRABAJO DE PARTO OBSTRUIDO DEBIDO A ANOMALIA PELVIANA NO ESPECIFICADA</t>
  </si>
  <si>
    <t>TRABAJO DE PARTO OBSTRUIDO DEBIDO A DISTOCIA DE HOMBROS</t>
  </si>
  <si>
    <t>TRABAJO DE PARTO OBSTRUIDO DEBIDO A DISTOCIA GEMELAR</t>
  </si>
  <si>
    <t>TRABAJO DE PARTO OBSTRUIDO DEBIDO A OTRAS ANORMALIDADES DEL FETO</t>
  </si>
  <si>
    <t>FRACASO DE LA PRUEBA DEL TRABAJO DE PARTO, NO ESPECIFICADA</t>
  </si>
  <si>
    <t>OTRAS OBSTRUCCIONES ESPECIFICADAS DEL TRABAJO DE PARTO</t>
  </si>
  <si>
    <t>TRABAJO DE PARTO OBSTRUIDO, SIN OTRA ESPECIFICACION</t>
  </si>
  <si>
    <t>HEMORRAGIA INTRAPARTO CON DEFECTOS DE LA COAGULACION</t>
  </si>
  <si>
    <t>OTRAS HEMORRAGIAS INTRAPARTO</t>
  </si>
  <si>
    <t>HEMORRAGIA INTRAPARTO, NO ESPECIFICADA</t>
  </si>
  <si>
    <t>TRABAJO DE PARTO Y PARTO COMPLICADOS POR PROLAPSO DEL CORDON UMBILICAL</t>
  </si>
  <si>
    <t>TRABAJO DE PARTO Y PARTO COMPLICADOS POR OTROS ENREDOS DEL CORDON</t>
  </si>
  <si>
    <t>TRABAJO DE PARTO Y PARTO COMPLICADOS POR CORDON UMBILICAL CORTO</t>
  </si>
  <si>
    <t>TRABAJO DE PARTO Y PARTO COMPLICADOS POR VASA PREVIA</t>
  </si>
  <si>
    <t>TRABAJO DE PARTO Y PARTO COMPLICADOS POR LESION VASCULAR DEL CORDON</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</si>
  <si>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</si>
  <si>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</si>
  <si>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</si>
  <si>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</si>
  <si>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ESPECIFICADO</t>
  </si>
  <si>
    <t>RUPTURA DEL UTERO ANTES DEL INICIO DEL TRABAJO DE PARTO</t>
  </si>
  <si>
    <t>RUPTURA DEL UTERO DURANTE EL TRABAJO DE PARTO</t>
  </si>
  <si>
    <t>INVERSION DEL UTERO, POSTPARTO</t>
  </si>
  <si>
    <t>DESGARRO OBSTETRICO DEL CUELLO UTERINO</t>
  </si>
  <si>
    <t>DESGARRO VAGINAL OBSTETRICO ALTO, SOLO</t>
  </si>
  <si>
    <t>OTROS TRAUMATISMOS OBSTETRICOS DE LOS ORGANOS PELVIANOS</t>
  </si>
  <si>
    <t>HEMATOMA OBSTETRICO DE LA PELVIS</t>
  </si>
  <si>
    <t>OTROS TRAUMAS OBSTETRICOS ESPECIFICADOS</t>
  </si>
  <si>
    <t>TRAUMA OBSTETRICO, NO ESPECIFICADO</t>
  </si>
  <si>
    <t>HEMORRAGIA DEL TERCER PERIODO DEL PARTO</t>
  </si>
  <si>
    <t>OTRAS HEMORRAGIAS POSTPARTO INMEDIATAS</t>
  </si>
  <si>
    <t>HEMORRAGIA POSTPARTO SECUNDARIA O TARDIA</t>
  </si>
  <si>
    <t>RETENCION DE LA PLACENTA SIN HEMORRAGIA</t>
  </si>
  <si>
    <t>SUFRIMIENTO MATERNO DURANTE EL TRABAJO DE PARTO Y EL PARTO</t>
  </si>
  <si>
    <t>CHOQUE DURANTE O DESPUES DEL TRABAJO DE PARTO Y EL PARTO</t>
  </si>
  <si>
    <t>OTRAS INFECCIONES DURANTE EL TRABAJO DE PARTO</t>
  </si>
  <si>
    <t>RETRASO DEL PARTO DESPUES DE LA RUPTURA ARTIFICIAL DE LAS MEMBRANAS</t>
  </si>
  <si>
    <t>PARTO VAGINAL POSTERIOR A UNA CESAREA PREVIA</t>
  </si>
  <si>
    <t>OTRAS COMPLICACIONES ESPECIFICADAS DEL TRABAJO DE PARTO Y DEL PARTO</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</si>
  <si>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</si>
  <si>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</si>
  <si>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</si>
  <si>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</si>
  <si>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</si>
  <si>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</si>
  <si>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</si>
  <si>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</si>
  <si>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</si>
  <si>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VENTOSA EXTRACTORA</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</si>
  <si>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</si>
  <si>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</si>
  <si>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</si>
  <si>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</si>
  <si>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</si>
  <si>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</si>
  <si>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</si>
  <si>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</si>
  <si>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</si>
  <si>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PARTO DE FETO VIABLE EN EMBARAZO ABDOMINAL</t>
  </si>
  <si>
    <t>OPERACION DESTRUCTIVA PARA FACILITAR EL PARTO</t>
  </si>
  <si>
    <t>OTROS PARTOS UNICOS ASISTIDOS ESPECIFICADOS</t>
  </si>
  <si>
    <t>PARTO UNICO ASISTIDO, SIN OTRA ESPECIFICACION</t>
  </si>
  <si>
    <t>PARTO MULTIPLE, TODOS ESPONTANEOS</t>
  </si>
  <si>
    <t>PARTO MULTIPLE, TODOS POR CESAREA</t>
  </si>
  <si>
    <t>OTROS PARTOS MULTIPLES</t>
  </si>
  <si>
    <t>PARTO MULTIPLE, NO ESPECIFICADO</t>
  </si>
  <si>
    <t>SEPSIS PUERPERAL</t>
  </si>
  <si>
    <t>INFECCION DE HERIDA QUIRURGICA OBSTETRICA</t>
  </si>
  <si>
    <t>OTRAS INFECCIONES GENITALES CONSECUTIVAS AL PARTO</t>
  </si>
  <si>
    <t>INFECCION DE LAS VIAS URINARIAS CONSECUTIVA AL PARTO</t>
  </si>
  <si>
    <t>OTRAS INFECCIONES DE LAS VIAS GENITOURINARIAS CONSECUTIVAS AL PARTO</t>
  </si>
  <si>
    <t>OTRAS INFECCIONES PUERPERALES ESPECIFICADAS</t>
  </si>
  <si>
    <t>TROMBOFLEBITIS SUPERFICIAL EN EL PUERPERIO</t>
  </si>
  <si>
    <t>FLEBOTROMBOSIS PROFUNDA EN EL PUERPERIO</t>
  </si>
  <si>
    <t>HEMORROIDES EN EL PUERPERIO</t>
  </si>
  <si>
    <t>OTRAS COMPLICACIONES VENOSAS EN EL PUERPERIO</t>
  </si>
  <si>
    <t>COMPLICACION VENOSA EN EL PUERPERIO, NO ESPECIFICADA</t>
  </si>
  <si>
    <t>EMBOLIA GASEOSA, OBSTETRICA</t>
  </si>
  <si>
    <t>EMBOLIA DE LIQUIDO AMNIOTICO</t>
  </si>
  <si>
    <t>EMBOLIA DE COAGULO SANGUINEO, OBSTETRICA</t>
  </si>
  <si>
    <t>EMBOLIA SEPTICA Y PIEMICA, OBSTETRICA</t>
  </si>
  <si>
    <t>OTRAS EMBOLIAS OBSTETRICAS</t>
  </si>
  <si>
    <t>REACCION TOXICA A LA ANESTESIA LOCAL ADMINISTRADA DURANTE EL PUERPERIO</t>
  </si>
  <si>
    <t>OTRAS COMPLICACIONES DE LA ANESTESIA ADMINISTRADA DURANTE EL PUERPERIO</t>
  </si>
  <si>
    <t>DEHISCENCIA DE SUTURA DE CESAREA</t>
  </si>
  <si>
    <t>CARDIOMIOPATIA EN EL PUERPERIO</t>
  </si>
  <si>
    <t>INSUFICIENCIA RENAL AGUDA POSTPARTO</t>
  </si>
  <si>
    <t>TIROIDITIS POSTPARTO</t>
  </si>
  <si>
    <t>OTRAS COMPLICACIONES PUERPERALES, NO CLASIFICADAS EN OTRA PARTE</t>
  </si>
  <si>
    <t>INFECCIONES DEL PEZON ASOCIADAS CON EL PARTO</t>
  </si>
  <si>
    <t>ABSCESO DE LA MAMA ASOCIADO CON EL PARTO</t>
  </si>
  <si>
    <t>MASTITIS NO PURULENTA ASOCIADA CON EL PARTO</t>
  </si>
  <si>
    <t>RETRACCION DEL PEZON ASOCIADA CON EL PARTO</t>
  </si>
  <si>
    <t>FISURAS DEL PEZON ASOCIADAS CON EL PARTO</t>
  </si>
  <si>
    <t>AGALACTIA</t>
  </si>
  <si>
    <t>HIPOGALACTIA</t>
  </si>
  <si>
    <t>SUPRESION DE LA LACTANCIA</t>
  </si>
  <si>
    <t>GALACTORREA</t>
  </si>
  <si>
    <t>OTROS TRASTORNOS Y LOS NO ESPECIFICADOS DE LA LACTANCIA</t>
  </si>
  <si>
    <t>MUERTE OBSTETRICA DE CAUSA NO ESPECIFICADA</t>
  </si>
  <si>
    <t>MUERTE POR SECUELAS DE CAUSAS OBSTETRICAS DIRECTAS</t>
  </si>
  <si>
    <t>TUBERCULOSIS QUE COMPLICA EL EMBARAZO, EL PARTO Y EL PUERPERIO</t>
  </si>
  <si>
    <t>SIFILIS QUE COMPLICA EL EMBARAZO, EL PARTO Y EL PUERPERIO</t>
  </si>
  <si>
    <t>HEPATITIS VIRAL QUE COMPLICA EL EMBARAZO, EL PARTO Y EL PUERPERIO</t>
  </si>
  <si>
    <t>ANEMIA QUE COMPLICA EL EMBARAZO, EL PARTO Y EL PUERPERIO</t>
  </si>
  <si>
    <t>FETO Y RECIEN NACIDO AFECTADOS POR TRAUMATISMO DE LA MADRE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</si>
  <si>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</si>
  <si>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</si>
  <si>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</si>
  <si>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</si>
  <si>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</si>
  <si>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</si>
  <si>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</si>
  <si>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</si>
  <si>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</si>
  <si>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PLACENTA PREVIA</t>
  </si>
  <si>
    <t>FETO Y RECIEN NACIDO AFECTADOS POR PROLAPSO DEL CORDON UMBILICAL</t>
  </si>
  <si>
    <t>FETO Y RECIEN NACIDO AFECTADOS POR CORIOAMNIONITIS</t>
  </si>
  <si>
    <t>FETO Y RECIEN NACIDO AFECTADOS POR PARTO Y EXTRACCION DE NALGAS</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</si>
  <si>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</si>
  <si>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</si>
  <si>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</si>
  <si>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</si>
  <si>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</si>
  <si>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MEDICACIONES MATERNAS</t>
  </si>
  <si>
    <t>FETO Y RECIEN NACIDO AFECTADOS POR TABAQUISMO DE LA MADRE</t>
  </si>
  <si>
    <t>FETO Y RECIEN NACIDO AFECTADOS POR ALCOHOLISMO DE LA MADRE</t>
  </si>
  <si>
    <t>BAJO PESO PARA LA EDAD GESTACIONAL</t>
  </si>
  <si>
    <t>RETARDO DEL CRECIMIENTO FETAL, NO ESPECIFICADO</t>
  </si>
  <si>
    <t>PESO EXTREMADAMENTE BAJO AL NACER</t>
  </si>
  <si>
    <t>OTRO PESO BAJO AL NACER</t>
  </si>
  <si>
    <t>INMATURIDAD EXTREMA</t>
  </si>
  <si>
    <t>OTROS RECIEN NACIDOS PRETERMINO</t>
  </si>
  <si>
    <t>RECIEN NACIDO EXCEPCIONALMENTE GRANDE</t>
  </si>
  <si>
    <t>OTROS RECIEN NACIDOS CON SOBREPESO PARA LA EDAD GESTACIONAL</t>
  </si>
  <si>
    <t>RECIEN NACIDO POSTERMINO SIN SOBREPESO PARA SU EDAD GESTACIONAL</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</si>
  <si>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</si>
  <si>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</si>
  <si>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</si>
  <si>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</si>
  <si>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</si>
  <si>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EDEMA CEREBRAL DEBIDO A TRAUMATISMO DEL NACIMIENTO</t>
  </si>
  <si>
    <t>TRAUMATISMO DEL NACIMIENTO EN EL NERVIO FACIAL</t>
  </si>
  <si>
    <t>TRAUMATISMO DEL NACIMIENTO EN OTROS NERVIOS CRANEALES</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</si>
  <si>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</si>
  <si>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</si>
  <si>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</si>
  <si>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</si>
  <si>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</si>
  <si>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FRACTURA DEL CRANEO DEBIDA A TRAUMATISMO DEL NACIMIENTO</t>
  </si>
  <si>
    <t>OTROS TRAUMATISMOS DEL CRANEO DURANTE EL NACIMIENTO</t>
  </si>
  <si>
    <t>TRAUMATISMO DEL FEMUR DURANTE EL NACIMIENTO</t>
  </si>
  <si>
    <t>TRAUMATISMO DE OTROS HUESOS LARGOS DURANTE EL NACIMIENTO</t>
  </si>
  <si>
    <t>FRACTURA DE LA CLAVICULA DEBIDA A TRAUMATISMO DEL NACIMIENTO</t>
  </si>
  <si>
    <t>TRAUMATISMO DEL NACIMIENTO EN OTRAS PARTES DEL ESQUELETO</t>
  </si>
  <si>
    <t>TRAUMATISMO NO ESPECIFICADO DEL ESQUELETO DURANTE EL NACIMIENTO</t>
  </si>
  <si>
    <t>PARALISIS DE ERB DEBIDA A TRAUMATISMO DEL NACIMIENTO</t>
  </si>
  <si>
    <t>PARALISIS DEL NERVIO FRENICO DEBIDA A TRAUMATISMO DEL NACIMIENTO</t>
  </si>
  <si>
    <t>OTRO TRAUMATISMO DEL PLEXO BRAQUIAL DURANTE EL NACIMIENTO</t>
  </si>
  <si>
    <t>LESION DEL HIGADO DURANTE EL NACIMIENTO</t>
  </si>
  <si>
    <t>LESION DEL BAZO DURANTE EL NACIMIENTO</t>
  </si>
  <si>
    <t>TRAUMATISMO OCULAR DURANTE EL NACIMIENTO</t>
  </si>
  <si>
    <t>TRAUMATISMO FACIAL DURANTE EL NACIMIENTO</t>
  </si>
  <si>
    <t>TRAUMATISMO DE LOS GENITALES EXTERNOS DURANTE EL NACIMIENTO</t>
  </si>
  <si>
    <t>NECROSIS GRASA SUBCUTANEA DEBIDA A TRAUMATISMO DEL NACIMIENTO</t>
  </si>
  <si>
    <t>OTROS TRAUMATISMOS ESPECIFICADOS, DURANTE EL NACIMIENTO</t>
  </si>
  <si>
    <t>TRAUMATISMO NO ESPECIFICADO, DURANTE EL NACIMIENTO</t>
  </si>
  <si>
    <t>HIPOXIA INTRAUTERINA, NO ESPECIFICADA</t>
  </si>
  <si>
    <t>ASFIXIA DEL NACIMIENTO, SEVERA</t>
  </si>
  <si>
    <t>ASFIXIA DEL NACIMIENTO, LEVE Y MODERADA</t>
  </si>
  <si>
    <t>ASFIXIA DEL NACIMIENTO, NO ESPECIFICADA</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</si>
  <si>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</si>
  <si>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</si>
  <si>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</si>
  <si>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</si>
  <si>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</si>
  <si>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</si>
  <si>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</si>
  <si>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</si>
  <si>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</si>
  <si>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</si>
  <si>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</si>
  <si>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</si>
  <si>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</si>
  <si>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</si>
  <si>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</si>
  <si>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</si>
  <si>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</si>
  <si>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</si>
  <si>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</si>
  <si>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</si>
  <si>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</si>
  <si>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</si>
  <si>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</si>
  <si>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</si>
  <si>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</si>
  <si>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</si>
  <si>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</si>
  <si>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</si>
  <si>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ATELECTASIA PRIMARIA DEL RECIEN NACIDO</t>
  </si>
  <si>
    <t>OTRAS ATELECTASIAS DEL RECIEN NACIDO Y LAS NO ESPECIFICADAS</t>
  </si>
  <si>
    <t>ATAQUE CIANOTICO DEL RECIEN NACIDO</t>
  </si>
  <si>
    <t>APNEA PRIMARIA DEL SUEÑO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</si>
  <si>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</si>
  <si>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</si>
  <si>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</si>
  <si>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</si>
  <si>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</si>
  <si>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</si>
  <si>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</si>
  <si>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</si>
  <si>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</si>
  <si>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</si>
  <si>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SINDROME DE RUBEOLA CONGENITA</t>
  </si>
  <si>
    <t>INFECCION CITOMEGALOVIRICA CONGENITA</t>
  </si>
  <si>
    <t>INFECCIONES CONGENITAS POR VIRUS DEL HERPES SIMPLE</t>
  </si>
  <si>
    <t>HEPATITIS VIRAL CONGENITA</t>
  </si>
  <si>
    <t>OTRAS ENFERMEDADES VIRALES CONGENITAS</t>
  </si>
  <si>
    <t>SEPSIS DEL RECIEN NACIDO DEBIDA A ESTREPTOCOCO DEL GRUPO B</t>
  </si>
  <si>
    <t>SEPSIS DEL RECIEN NACIDO DEBIDA A STAPHYLOCOCCUS AUREUS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</si>
  <si>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</si>
  <si>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</si>
  <si>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</si>
  <si>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</si>
  <si>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</si>
  <si>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</si>
  <si>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</si>
  <si>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</si>
  <si>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</si>
  <si>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CANDIDIASIS NEONATAL</t>
  </si>
  <si>
    <t>OTRAS ENFERMEDADES NEONATALES INFECCIOSAS O PARASITARIAS ESPECIFICADAS</t>
  </si>
  <si>
    <t>ONFALITIS DEL RECIEN NACIDO CON O SIN HEMORRAGIA LEVE</t>
  </si>
  <si>
    <t>MASTITIS INFECCIOSA NEONATAL</t>
  </si>
  <si>
    <t>CONJUNTIVITIS Y DACRIOCISTITIS NEONATALES</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</si>
  <si>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</si>
  <si>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</si>
  <si>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</si>
  <si>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</si>
  <si>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</si>
  <si>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</si>
  <si>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</si>
  <si>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</si>
  <si>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</si>
  <si>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OTRAS PERDIDAS DE SANGRE FETAL</t>
  </si>
  <si>
    <t>HEMORRAGIA UMBILICAL MASIVA DEL RECIEN NACIDO</t>
  </si>
  <si>
    <t>OTRAS HEMORRAGIAS UMBILICALES DEL RECIEN NACIDO</t>
  </si>
  <si>
    <t>HEMORRAGIA UMBILICAL DEL RECIEN NACIDO, SIN OTRA ESPECIFICACION</t>
  </si>
  <si>
    <t>HEMORRAGIA INTRACEREBRAL (NO TRAUMATICA) DEL FETO Y DEL RECIEN NACIDO</t>
  </si>
  <si>
    <t>HEMORRAGIA SUBARACNOIDEA (NO TRAUMATICA) DEL FETO Y DEL RECIEN NACIDO</t>
  </si>
  <si>
    <t>ENFERMEDAD HEMORRAGICA DEL FETO Y DEL RECIEN NACIDO</t>
  </si>
  <si>
    <t>HEMATEMESIS NEONATAL</t>
  </si>
  <si>
    <t>MELENA NEONATAL</t>
  </si>
  <si>
    <t>HEMORRAGIA RECTAL NEONATAL</t>
  </si>
  <si>
    <t>OTRAS HEMORRAGIAS GASTROINTESTINALES NEONATALES</t>
  </si>
  <si>
    <t>HEMORRAGIA SUPRARRENAL NEONATAL</t>
  </si>
  <si>
    <t>HEMORRAGIA CUTANEA NEONATAL</t>
  </si>
  <si>
    <t>HEMORRAGIA VAGINAL NEONATAL</t>
  </si>
  <si>
    <t>OTRAS HEMORRAGIAS FETALES Y NEONATALES ESPECIFICADAS</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</si>
  <si>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</si>
  <si>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</si>
  <si>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</si>
  <si>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</si>
  <si>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</si>
  <si>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KERNICTERUS DEBIDO A INCOMPATIBILIDAD</t>
  </si>
  <si>
    <t>KERNICTERUS DEBIDO A OTRAS CAUSAS ESPECIFICADAS</t>
  </si>
  <si>
    <t>KERNICTERUS, NO ESPECIFICADO</t>
  </si>
  <si>
    <t>ICTERICIA NEONATAL DEBIDA A CONTUSION</t>
  </si>
  <si>
    <t>ICTERICIA NEONATAL DEBIDA A HEMORRAGIA</t>
  </si>
  <si>
    <t>ICTERICIA NEONATAL DEBIDA A INFECCION</t>
  </si>
  <si>
    <t>ICTERICIA NEONATAL DEBIDA A POLICITEMIA</t>
  </si>
  <si>
    <t>ICTERICIA NEONATAL DEBIDA A DEGLUCION DE SANGRE MATERNA</t>
  </si>
  <si>
    <t>ICTERICIA NEONATAL DEBIDA A OTRAS HEMOLISIS EXCESIVAS ESPECIFICADAS</t>
  </si>
  <si>
    <t>ICTERICIA NEONATAL ASOCIADA CON EL PARTO ANTES DE TERMINO</t>
  </si>
  <si>
    <t>SINDROME DE LA BILIS ESPESA</t>
  </si>
  <si>
    <t>ICTERICIA NEONATAL DEBIDA A OTRA LESION HEPATICA ESPECIFICADA O NO</t>
  </si>
  <si>
    <t>ICTERICIA NEONATAL POR INHIBIDOR DE LA LECHE MATERNA</t>
  </si>
  <si>
    <t>ICTERICIA NEONATAL POR OTRAS CAUSAS ESPECIFICADAS</t>
  </si>
  <si>
    <t>ICTERICIA NEONATAL, NO ESPECIFICADA</t>
  </si>
  <si>
    <t>COAGULACION INTRAVASCULAR DISEMINADA EN EL FETO Y EL RECIEN NACIDO</t>
  </si>
  <si>
    <t>TROMBOCITOPENIA NEONATAL TRANSITORIA</t>
  </si>
  <si>
    <t>POLICITEMIA NEONATAL</t>
  </si>
  <si>
    <t>ANEMIA DE LA PREMATURIDAD</t>
  </si>
  <si>
    <t>ANEMIA CONGENITA DEBIDA A PERDIDA DE SANGRE FETAL</t>
  </si>
  <si>
    <t>OTRAS ANEMIAS CONGENITAS, NO CLASIFICADAS EN OTRA PARTE</t>
  </si>
  <si>
    <t>NEUTROPENIA NEONATAL TRANSITORIA</t>
  </si>
  <si>
    <t>OTROS TRASTORNOS HEMATOLOGICOS PERINATALES ESPECIFICADOS</t>
  </si>
  <si>
    <t>TRASTORNO HEMATOLOGICO PERINATAL, NO ESPECIFICADO</t>
  </si>
  <si>
    <t>SINDROME DEL RECIEN NACIDO DE MADRE CON DIABETES GESTACIONAL</t>
  </si>
  <si>
    <t>DIABETES MELLITUS NEONATAL</t>
  </si>
  <si>
    <t>HIPOGLICEMIA NEONATAL YATROGENICA</t>
  </si>
  <si>
    <t>OTRAS HIPOGLICEMIAS NEONATALES</t>
  </si>
  <si>
    <t>HIPOCALCEMIA DEL RECIEN NACIDO DEBIDA A LA LECHE DE VACA</t>
  </si>
  <si>
    <t>OTRA HIPOCALCEMIA NEONATAL</t>
  </si>
  <si>
    <t>HIPOMAGNESEMIA NEONATAL</t>
  </si>
  <si>
    <t>TETANIA NEONATAL SIN MENCION DE DEFICIENCIA DE CALCIO O DE MAGNESIO</t>
  </si>
  <si>
    <t>HIPOPARATIROIDISMO NEONATAL TRANSITORIO</t>
  </si>
  <si>
    <t>BOCIO NEONATAL, NO CLASIFICADO EN OTRA PARTE</t>
  </si>
  <si>
    <t>HIPERTIROIDISMO NEONATAL TRANSITORIO</t>
  </si>
  <si>
    <t>OTROS TRASTORNOS ENDOCRINOS NEONATALES TRANSITORIOS ESPECIFICADOS</t>
  </si>
  <si>
    <t>TRASTORNO ENDOCRINO NEONATAL TRANSITORIO, NO ESPECIFICADO</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</si>
  <si>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</si>
  <si>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</si>
  <si>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</si>
  <si>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</si>
  <si>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</si>
  <si>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</si>
  <si>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</si>
  <si>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</si>
  <si>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</si>
  <si>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</si>
  <si>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</si>
  <si>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</si>
  <si>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</si>
  <si>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</si>
  <si>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</si>
  <si>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OTRAS PERITONITIS NEONATALES</t>
  </si>
  <si>
    <t>DIARREA NEONATAL NO INFECCIOSA</t>
  </si>
  <si>
    <t>OTROS TRASTORNOS PERINATALES ESPECIFICOS DEL SISTEMA DIGESTIVO</t>
  </si>
  <si>
    <t>TRASTORNO PERINATAL DEL SISTEMA DIGESTIVO, NO ESPECIFICADO</t>
  </si>
  <si>
    <t>OTRAS HIPOTERMIAS DEL RECIEN NACIDO</t>
  </si>
  <si>
    <t>HIPOTERMIA DEL RECIEN NACIDO, NO ESPECIFICADA</t>
  </si>
  <si>
    <t>HIPERTERMIA DEL RECIEN NACIDO INDUCIDA POR LAS CONDICIONES AMBIENTALES</t>
  </si>
  <si>
    <t>ESCLEREMA NEONATAL</t>
  </si>
  <si>
    <t>ERITEMA TOXICO NEONATAL</t>
  </si>
  <si>
    <t>HIDROPESIA FETAL NO DEBIDA A ENFERMEDAD HEMOLITICA</t>
  </si>
  <si>
    <t>INGURGITACION MAMARIA DEL RECIEN NACIDO</t>
  </si>
  <si>
    <t>HIDROCELE CONGENITO</t>
  </si>
  <si>
    <t>POLIPO UMBILICAL DEL RECIEN NACIDO</t>
  </si>
  <si>
    <t>CONVULSIONES DEL RECIEN NACIDO</t>
  </si>
  <si>
    <t>ISQUEMIA CEREBRAL NEONATAL</t>
  </si>
  <si>
    <t>QUISTES PERIVENTRICULARES ADQUIRIDOS DEL RECIEN NACIDO</t>
  </si>
  <si>
    <t>IRRITABILIDAD CEREBRAL NEONATAL</t>
  </si>
  <si>
    <t>DEPRESION CEREBRAL NEONATAL</t>
  </si>
  <si>
    <t>COMA NEONATAL</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</si>
  <si>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</si>
  <si>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</si>
  <si>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</si>
  <si>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</si>
  <si>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</si>
  <si>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</si>
  <si>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</si>
  <si>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DIFICULTAD NEONATAL EN LA LACTANCIA MATERNA</t>
  </si>
  <si>
    <t>OTROS PROBLEMAS DE ALIMENTACION DEL RECIEN NACIDO</t>
  </si>
  <si>
    <t>PROBLEMA NO ESPECIFICADO DE LA ALIMENTACION DEL RECIEN NACIDO</t>
  </si>
  <si>
    <t>MIASTENIA GRAVE NEONATAL TRANSITORIA</t>
  </si>
  <si>
    <t>HIPERTONIA CONGENITA</t>
  </si>
  <si>
    <t>HIPOTONIA CONGENITA</t>
  </si>
  <si>
    <t>OTROS TRASTORNOS DEL TONO MUSCULAR EN EL RECIEN NACIDO</t>
  </si>
  <si>
    <t>TRASTORNO NO ESPECIFICADO DEL TONO MUSCULAR EN EL RECIEN NACIDO</t>
  </si>
  <si>
    <t>MUERTE FETAL DE CAUSA NO ESPECIFICADA</t>
  </si>
  <si>
    <t>INSUFICIENCIA RENAL CONGENITA</t>
  </si>
  <si>
    <t>SINTOMAS NEONATALES DE ABSTINENCIA POR DROGADICCION MATERNA</t>
  </si>
  <si>
    <t>OTRAS AFECCIONES ESPECIFICADAS ORIGINADAS EN EL PERIODO PERINATAL</t>
  </si>
  <si>
    <t>AFECCION NO ESPECIFICADA ORIGINADA EN EL PERIODO PERINATAL</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</si>
  <si>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</si>
  <si>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</si>
  <si>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</si>
  <si>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</si>
  <si>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</si>
  <si>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</si>
  <si>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</si>
  <si>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</si>
  <si>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</si>
  <si>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</si>
  <si>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</si>
  <si>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OTROS HIDROCEFALOS CONGENITOS</t>
  </si>
  <si>
    <t>HIDROCEFALO CONGENITO, NO ESPECIFICADO</t>
  </si>
  <si>
    <t>MALFORMACIONES CONGENITAS DEL CUERPO CALLOSO</t>
  </si>
  <si>
    <t>ARRINENCEFALIA</t>
  </si>
  <si>
    <t>HOLOPROSENCEFALIA</t>
  </si>
  <si>
    <t>OTRAS ANOMALIAS HIPOPLASICAS DEL ENCEFALO</t>
  </si>
  <si>
    <t>DISPLASIA OPTICOSEPTAL</t>
  </si>
  <si>
    <t>MEGALENCEFALIA</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</si>
  <si>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</si>
  <si>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</si>
  <si>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</si>
  <si>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</si>
  <si>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</si>
  <si>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</si>
  <si>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</si>
  <si>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</si>
  <si>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</si>
  <si>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</si>
  <si>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</si>
  <si>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</si>
  <si>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</si>
  <si>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AMIELIA</t>
  </si>
  <si>
    <t>HIPOPLASIA Y DISPLASIA DE LA MEDULA ESPINAL</t>
  </si>
  <si>
    <t>DIASTEMATOMIELIA</t>
  </si>
  <si>
    <t>OTRAS ANOMALIAS CONGENITAS DE LA COLA DE CABALLO</t>
  </si>
  <si>
    <t>HIDROMIELIA</t>
  </si>
  <si>
    <t>OTRAS MALFORMACIONES CONGENITAS ESPECIFICADAS DE LA MEDULA ESPINAL</t>
  </si>
  <si>
    <t>MALFORMACION CONGENITA DE LA MEDULA ESPINAL, NO ESPECIFICADA</t>
  </si>
  <si>
    <t>SINDROME DE ARNOLD-CHIARI</t>
  </si>
  <si>
    <t>OTRAS MALFORMACIONES CONGENITAS DEL SISTEMA NERVIOSO, ESPECIFICADAS</t>
  </si>
  <si>
    <t>MALFORMACION CONGENITA DEL SISTEMA NERVIOSO, NO ESPECIFICADA</t>
  </si>
  <si>
    <t>BLEFAROPTOSIS CONGENITA</t>
  </si>
  <si>
    <t>ECTROPION CONGENITO</t>
  </si>
  <si>
    <t>ENTROPION CONGENITO</t>
  </si>
  <si>
    <t>OTRAS MALFORMACIONES CONGENITAS DE LOS PARPADOS</t>
  </si>
  <si>
    <t>AUSENCIA Y AGENESIA DEL APARATO LAGRIMAL</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</si>
  <si>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</si>
  <si>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</si>
  <si>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</si>
  <si>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</si>
  <si>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</si>
  <si>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</si>
  <si>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</si>
  <si>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</si>
  <si>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</si>
  <si>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COLOBOMA DEL CRISTALINO</t>
  </si>
  <si>
    <t>AFAQUIA CONGENITA</t>
  </si>
  <si>
    <t>ESFEROFAQUIA</t>
  </si>
  <si>
    <t>OTRAS MALFORMACIONES CONGENITAS DEL CRISTALINO</t>
  </si>
  <si>
    <t>MALFORMACION CONGENITA DEL CRISTALINO, NO ESPECIFICADA</t>
  </si>
  <si>
    <t>COLOBOMA DEL IRIS</t>
  </si>
  <si>
    <t>AUSENCIA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</si>
  <si>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</si>
  <si>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</si>
  <si>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</si>
  <si>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</si>
  <si>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</si>
  <si>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</si>
  <si>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</si>
  <si>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</si>
  <si>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</si>
  <si>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</si>
  <si>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</si>
  <si>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</si>
  <si>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</si>
  <si>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</si>
  <si>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</si>
  <si>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DE LA TROMPA DE EUSTAQUIO</t>
  </si>
  <si>
    <t>OTRAS MALFORMACIONES CONGENITAS DEL OIDO MEDIO</t>
  </si>
  <si>
    <t>MALFORMACION CONGENITA DEL OIDO INTERNO</t>
  </si>
  <si>
    <t>OREJA SUPERNUMERARIA</t>
  </si>
  <si>
    <t>MACROTIA</t>
  </si>
  <si>
    <t>MICROTIA</t>
  </si>
  <si>
    <t>OTRAS DEFORMIDADES DEL PABELLON AURICULAR</t>
  </si>
  <si>
    <t>ANOMALIA DE LA POSICION DE LA OREJA</t>
  </si>
  <si>
    <t>OREJA PROMINENTE</t>
  </si>
  <si>
    <t>OTRAS MALFORMACIONES CONGENITAS DEL OIDO, ESPECIFICADAS</t>
  </si>
  <si>
    <t>MALFORMACION CONGENITA DEL OIDO, NO ESPECIFICADA</t>
  </si>
  <si>
    <t>SENO, FISTULA O QUISTE DE LA HENDIDURA BRANQUIAL</t>
  </si>
  <si>
    <t>SENO Y QUISTE PREAURICULAR</t>
  </si>
  <si>
    <t>OTRAS MALFORMACIONES DE LAS HENDIDURAS BRANQUIALES</t>
  </si>
  <si>
    <t>PTERIGION DEL CUELLO</t>
  </si>
  <si>
    <t>MACROSTOMIA</t>
  </si>
  <si>
    <t>MICROSTOMIA</t>
  </si>
  <si>
    <t>MACROQUEILIA</t>
  </si>
  <si>
    <t>MICROQUEILIA</t>
  </si>
  <si>
    <t>OTRAS MALFORMACIONES CONGENITAS ESPECIFICADAS DE CARA Y CUELLO</t>
  </si>
  <si>
    <t>MALFORMACION CONGENITA DE LA CARA Y DEL CUELLO, NO ESPECIFICADA</t>
  </si>
  <si>
    <t>TRONCO ARTERIOSO COMUN</t>
  </si>
  <si>
    <t>VENTRICULO CON DOBLE ENTRADA</t>
  </si>
  <si>
    <t>ISOMERISMO DE LOS APENDICES AURICULARES</t>
  </si>
  <si>
    <t>DEFECTO DEL TABIQUE VENTRICULAR</t>
  </si>
  <si>
    <t>DEFECTO DEL TABIQUE AURICULAR</t>
  </si>
  <si>
    <t>DEFECTO DEL TABIQUE AURICULOVENTRICULAR</t>
  </si>
  <si>
    <t>TETRALOGIA DE FALLOT</t>
  </si>
  <si>
    <t>DEFECTO DEL TABIQUE AORTOPULMONAR</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</si>
  <si>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</si>
  <si>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</si>
  <si>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</si>
  <si>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</si>
  <si>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</si>
  <si>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</si>
  <si>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</si>
  <si>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</si>
  <si>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</si>
  <si>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</si>
  <si>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</si>
  <si>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</si>
  <si>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</si>
  <si>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</si>
  <si>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</si>
  <si>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</si>
  <si>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</si>
  <si>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DEXTROCARDIA</t>
  </si>
  <si>
    <t>LEVOCARDIA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</si>
  <si>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</si>
  <si>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</si>
  <si>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</si>
  <si>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</si>
  <si>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</si>
  <si>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</si>
  <si>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</si>
  <si>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CONDUCTO ARTERIOSO PERMEABLE</t>
  </si>
  <si>
    <t>COARTACION DE LA AORTA</t>
  </si>
  <si>
    <t>ATRESIA DE LA AORTA</t>
  </si>
  <si>
    <t>ESTENOSIS DE LA AORTA</t>
  </si>
  <si>
    <t>OTRAS MALFORMACIONES CONGENITAS DE LA AORTA</t>
  </si>
  <si>
    <t>ATRESIA DE LA ARTERIA PULMONAR</t>
  </si>
  <si>
    <t>ESTENOSIS DE LA ARTERIA PULMONAR</t>
  </si>
  <si>
    <t>OTRAS MALFORMACIONES CONGENITAS DE LA ARTERIA PULMONAR</t>
  </si>
  <si>
    <t>OTRAS MALFORMACIONES CONGENITAS DE LAS GRANDES ARTERIAS</t>
  </si>
  <si>
    <t>MALFORMACION CONGENITA DE LAS GRANDES ARTERIAS, NO ESPECIFICADA</t>
  </si>
  <si>
    <t>ESTENOSIS CONGENITA DE LA VENA CAVA</t>
  </si>
  <si>
    <t>PERSISTENCIA DE LA VENA CAVA SUPERIOR IZQUIERDA</t>
  </si>
  <si>
    <t>FISTULA ARTERIA HEPATICA-VENA PORTA</t>
  </si>
  <si>
    <t>OTRAS MALFORMACIONES CONGENITAS DE LAS GRANDES VENAS</t>
  </si>
  <si>
    <t>MALFORMACION CONGENITA DE LAS GRANDES VENAS, NO ESPECIFICADA</t>
  </si>
  <si>
    <t>ESTENOSIS CONGENITA DE LA ARTERIA RENAL</t>
  </si>
  <si>
    <t>OTRAS MALFORMACIONES CONGENITAS DE LA ARTERIA RENAL</t>
  </si>
  <si>
    <t>MALFORMACION ARTERIOVENOSA PERIFERICA</t>
  </si>
  <si>
    <t>FLEBECTASIA CONGENITA</t>
  </si>
  <si>
    <t>MALFORMACION ARTERIOVENOSA DE LOS VASOS PRECEREBRALES</t>
  </si>
  <si>
    <t>OTRAS MALFORMACIONES DE LOS VASOS PRECEREBRALES</t>
  </si>
  <si>
    <t>MALFORMACION ARTERIOVENOSA DE LOS VASOS CEREBRALES</t>
  </si>
  <si>
    <t>OTRAS MALFORMACIONES DE LOS VASOS CEREBRALES</t>
  </si>
  <si>
    <t>ATRESIA DE LAS COANAS</t>
  </si>
  <si>
    <t>AGENESIA O HIPOPLASIA DE LA NARIZ</t>
  </si>
  <si>
    <t>HENDIDURA, FISURA O MUESCA DE LA NARIZ</t>
  </si>
  <si>
    <t>PERFORACION CONGENITA DEL TABIQUE NASAL</t>
  </si>
  <si>
    <t>OTRAS MALFORMACIONES CONGENITAS DE LA NARIZ</t>
  </si>
  <si>
    <t>MALFORMACION CONGENITA DE LA NARIZ, NO ESPECIFICADA</t>
  </si>
  <si>
    <t>PTERIGION DE LA LARINGE</t>
  </si>
  <si>
    <t>ESTENOSIS SUBGLOTICA CONGENITA</t>
  </si>
  <si>
    <t>HIPOPLASIA LARINGEA</t>
  </si>
  <si>
    <t>LARINGOCELE</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</si>
  <si>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</si>
  <si>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</si>
  <si>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</si>
  <si>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</si>
  <si>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</si>
  <si>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</si>
  <si>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</si>
  <si>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</si>
  <si>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</si>
  <si>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</si>
  <si>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</si>
  <si>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</si>
  <si>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</si>
  <si>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HIPOPLASIA Y DISPLASIA PULMONAR</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</si>
  <si>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</si>
  <si>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</si>
  <si>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</si>
  <si>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</si>
  <si>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</si>
  <si>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</si>
  <si>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</si>
  <si>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LABIO LEPORINO, BILATERAL</t>
  </si>
  <si>
    <t>LABIO LEPORINO, LINEA MEDIA</t>
  </si>
  <si>
    <t>LABIO LEPORINO, UNILATERAL</t>
  </si>
  <si>
    <t>MALFORMACIONES CONGENITAS DE LOS LABIOS, NO CLASIFICADAS EN OTRA PARTE</t>
  </si>
  <si>
    <t>ANQUILOGLOSIA</t>
  </si>
  <si>
    <t>MACROGLOSIA</t>
  </si>
  <si>
    <t>OTRAS MALFORMACIONES CONGENITAS DE LA LENGUA</t>
  </si>
  <si>
    <t>MALFORMACIONES CONGENITAS DEL PALADAR, NO CLASIFICADAS EN OTRA PARTE</t>
  </si>
  <si>
    <t>OTRAS MALFORMACIONES CONGENITAS DE LA BOCA</t>
  </si>
  <si>
    <t>DIVERTICULO FARINGEO</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</si>
  <si>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</si>
  <si>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</si>
  <si>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</si>
  <si>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</si>
  <si>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</si>
  <si>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</si>
  <si>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</si>
  <si>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</si>
  <si>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</si>
  <si>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</si>
  <si>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</si>
  <si>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</si>
  <si>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</si>
  <si>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AUSENCIA, ATRESIA Y ESTENOSIS CONGENITA DEL DUODENO</t>
  </si>
  <si>
    <t>AUSENCIA, ATRESIA Y ESTENOSIS CONGENITA DEL YEYUNO</t>
  </si>
  <si>
    <t>AUSENCIA, ATRESIA Y ESTENOSIS CONGENITA DEL ILEON</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</si>
  <si>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</si>
  <si>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</si>
  <si>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</si>
  <si>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</si>
  <si>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DIVERTICULO DE MECKEL</t>
  </si>
  <si>
    <t>ENFERMEDAD DE HIRSCHSPRUNG</t>
  </si>
  <si>
    <t>OTROS TRASTORNOS FUNCIONALES CONGENITOS DEL COLON</t>
  </si>
  <si>
    <t>MALFORMACIONES CONGENITAS DE LA FIJACION DEL INTESTINO</t>
  </si>
  <si>
    <t>DUPLICACION DEL INTESTINO</t>
  </si>
  <si>
    <t>ANO ECTOPICO</t>
  </si>
  <si>
    <t>FISTULA CONGENITA DEL RECTO Y DEL ANO</t>
  </si>
  <si>
    <t>PERSISTENCIA DE LA CLOACA</t>
  </si>
  <si>
    <t>MALFORMACION CONGENITA DEL INTESTINO, NO ESPECIFICADA</t>
  </si>
  <si>
    <t>AGENESIA, APLASIA E HIPOPLASIA DE LA VESICULA BILIAR</t>
  </si>
  <si>
    <t>OTRAS MALFORMACIONES CONGENITAS DE LA VESICULA BILIAR</t>
  </si>
  <si>
    <t>ATRESIA DE LOS CONDUCTOS BILIARES</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</si>
  <si>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</si>
  <si>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</si>
  <si>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</si>
  <si>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</si>
  <si>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</si>
  <si>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</si>
  <si>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</si>
  <si>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</si>
  <si>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SISTEMA DIGESTIVO, ESPECIFICADAS</t>
  </si>
  <si>
    <t>MALFORMACION CONGENITA DEL SISTEMA DIGESTIVO, NO ESPECIFICADA</t>
  </si>
  <si>
    <t>QUISTE EN DESARROLLO DEL OVARIO</t>
  </si>
  <si>
    <t>TORSION CONGENITA DEL OVARIO</t>
  </si>
  <si>
    <t>OTRAS MALFORMACIONES CONGENITAS DE LOS OVARIOS</t>
  </si>
  <si>
    <t>QUISTE EMBRIONARIO DE LA TROMPA DE FALOPIO</t>
  </si>
  <si>
    <t>QUISTE EMBRIONARIO DEL LIGAMENTO ANCHO</t>
  </si>
  <si>
    <t>AGENESIA Y APLASIA DEL UTERO</t>
  </si>
  <si>
    <t>OTRA DUPLICACION DEL UTERO</t>
  </si>
  <si>
    <t>UTERO BICORNE</t>
  </si>
  <si>
    <t>UTERO UNICORNE</t>
  </si>
  <si>
    <t>AGENESIA Y APLASIA DEL CUELLO UTERINO</t>
  </si>
  <si>
    <t>FISTULA CONGENITA ENTRE EL UTERO Y EL TRACTO DIGESTIVO Y URINARIO</t>
  </si>
  <si>
    <t>MALFORMACION CONGENITA DEL UTERO Y DEL CUELLO UTERINO, NO ESPECIFICADA</t>
  </si>
  <si>
    <t>AUSENCIA CONGENITA DE LA VAGINA</t>
  </si>
  <si>
    <t>DUPLICACION DE LA VAGINA</t>
  </si>
  <si>
    <t>FISTULA RECTOVAGINAL CONGENITA</t>
  </si>
  <si>
    <t>HIMEN IMPERFORADO</t>
  </si>
  <si>
    <t>OTRAS MALFORMACIONES CONGENITAS DE LA VAGINA</t>
  </si>
  <si>
    <t>FUSION DE LABIOS DE LA VULVA</t>
  </si>
  <si>
    <t>MALFORMACION CONGENITA DEL CLITORIS</t>
  </si>
  <si>
    <t>OTRAS MALFORMACIONES CONGENITAS DE LA VULVA</t>
  </si>
  <si>
    <t>MALFORMACION CONGENITA DE LOS GENITALES FEMENINOS, NO ESPECIFICADA</t>
  </si>
  <si>
    <t>ECTOPIA TESTICULAR</t>
  </si>
  <si>
    <t>TESTICULO NO DESCENDIDO, UNILATERAL</t>
  </si>
  <si>
    <t>TESTICULO NO DESCENDIDO, BILATERAL</t>
  </si>
  <si>
    <t>TESTICULO NO DESCENDIDO, SIN OTRA ESPECIFICACION</t>
  </si>
  <si>
    <t>HIPOSPADIAS DEL GLANDE</t>
  </si>
  <si>
    <t>HIPOSPADIAS PENEANA</t>
  </si>
  <si>
    <t>HIPOSPADIAS PENOSCROTAL</t>
  </si>
  <si>
    <t>HIPOSPADIAS PERINEAL</t>
  </si>
  <si>
    <t>ENCORDAMIENTO CONGENITO DEL PENE</t>
  </si>
  <si>
    <t>OTRAS HIPOSPADIAS</t>
  </si>
  <si>
    <t>HIPOSPADIAS, NO ESPECIFICADA</t>
  </si>
  <si>
    <t>AUSENCIA Y APLASIA DEL TESTICULO</t>
  </si>
  <si>
    <t>HIPOPLASIA DEL TESTICULO Y DEL ESCROTO</t>
  </si>
  <si>
    <t>OTRAS MALFORMACIONES CONGENITAS DE LOS TESTICULOS Y DEL ESCROTO</t>
  </si>
  <si>
    <t>ATRESIA DEL CONDUCTO DEFERENTE</t>
  </si>
  <si>
    <t>APLASIA Y AUSENCIA CONGENITA DEL PENE</t>
  </si>
  <si>
    <t>OTRAS MALFORMACIONES CONGENITAS DEL PENE</t>
  </si>
  <si>
    <t>HERMAFRODITISMO, NO CLASIFICADO EN OTRA PARTE</t>
  </si>
  <si>
    <t>SEUDOHERMAFRODITISMO MASCULINO, NO CLASIFICADO EN OTRA PARTE</t>
  </si>
  <si>
    <t>SEUDOHERMAFRODITISMO FEMENINO, NO CLASIFICADO EN OTRA PARTE</t>
  </si>
  <si>
    <t>SEUDOHERMAFRODITISMO, NO ESPECIFICADO</t>
  </si>
  <si>
    <t>SEXO INDETERMINADO, SIN OTRA ESPECIFICACION</t>
  </si>
  <si>
    <t>AGENESIA RENAL, UNILATERAL</t>
  </si>
  <si>
    <t>AGENESIA RENAL, BILATERAL</t>
  </si>
  <si>
    <t>HIPOPLASIA RENAL, UNILATERAL</t>
  </si>
  <si>
    <t>HIPOPLASIA RENAL, BILATERAL</t>
  </si>
  <si>
    <t>HIPOPLASIA RENAL, NO ESPECIFICADA</t>
  </si>
  <si>
    <t>SINDROME DE POTTER</t>
  </si>
  <si>
    <t>QUISTE RENAL SOLITARIO CONGENITO</t>
  </si>
  <si>
    <t>RIÑON POLIQUISTICO, TIPO NO ESPECIFICADO</t>
  </si>
  <si>
    <t>DISPLASIA RENAL</t>
  </si>
  <si>
    <t>RIÑON QUISTICO MEDULAR</t>
  </si>
  <si>
    <t>OTRAS ENFERMEDADES RENALES QUISTICAS</t>
  </si>
  <si>
    <t>ENFERMEDAD QUISTICA DEL RIÑON,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</si>
  <si>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</si>
  <si>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</si>
  <si>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</si>
  <si>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</si>
  <si>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</si>
  <si>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</si>
  <si>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</si>
  <si>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</si>
  <si>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</si>
  <si>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RIÑON SUPERNUMERARIO</t>
  </si>
  <si>
    <t>RIÑON LOBULADO, FUSIONADO Y EN HERRADURA</t>
  </si>
  <si>
    <t>RIÑON ECTOPICO</t>
  </si>
  <si>
    <t>HIPERPLASIA RENAL Y RIÑON GIGANTE</t>
  </si>
  <si>
    <t>OTRAS MALFORMACIONES CONGENITAS DEL RIÑON, ESPECIFICADAS</t>
  </si>
  <si>
    <t>MALFORMACION CONGENITA DEL RIÑON, NO ESPECIFICADA</t>
  </si>
  <si>
    <t>EPISPADIAS</t>
  </si>
  <si>
    <t>EXTROFIA DE LA VEJIGA URINARIA</t>
  </si>
  <si>
    <t>VALVULAS URETRALES POSTERIORES CONGENITAS</t>
  </si>
  <si>
    <t>OTRAS ATRESIAS Y ESTENOSIS DE LA URETRA Y DEL CUELLO DE LA VEJIGA</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</si>
  <si>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</si>
  <si>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</si>
  <si>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</si>
  <si>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</si>
  <si>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</si>
  <si>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</si>
  <si>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</si>
  <si>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</si>
  <si>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</si>
  <si>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</si>
  <si>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</si>
  <si>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</si>
  <si>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CADERA INESTABLE</t>
  </si>
  <si>
    <t>OTRAS DEFORMIDADES CONGENITAS DE LA CADERA</t>
  </si>
  <si>
    <t>DEFORMIDAD CONGENITA DE LA CADERA, NO ESPECIFICADA</t>
  </si>
  <si>
    <t>TALIPES EQUINOVARUS</t>
  </si>
  <si>
    <t>TALIPES CALCANEOVARUS</t>
  </si>
  <si>
    <t>METATARSUS VARUS</t>
  </si>
  <si>
    <t>OTRAS DEFORMIDADES VARUS CONGENITAS DE LOS PIES</t>
  </si>
  <si>
    <t>TALIPES CALCANEOVALGUS</t>
  </si>
  <si>
    <t>PIE PLANO CONGENITO</t>
  </si>
  <si>
    <t>OTRAS DEFORMIDADES VALGUS CONGENITAS DE LOS PIES</t>
  </si>
  <si>
    <t>PIE CAVUS</t>
  </si>
  <si>
    <t>OTRAS DEFORMIDADES CONGENITAS DE LOS PIES</t>
  </si>
  <si>
    <t>DEFORMIDAD CONGENITA DE LOS PIES, NO ESPECIFICADA</t>
  </si>
  <si>
    <t>ASIMETRIA FACIAL</t>
  </si>
  <si>
    <t>FACIES COMPRIMIDA</t>
  </si>
  <si>
    <t>DOLICOCEFALIA</t>
  </si>
  <si>
    <t>PLAGIOCEFALIA</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</si>
  <si>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</si>
  <si>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</si>
  <si>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</si>
  <si>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</si>
  <si>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</si>
  <si>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</si>
  <si>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</si>
  <si>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</si>
  <si>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</si>
  <si>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OTRAS DEFORMIDADES CONGENITAS OSTEOMUSCULARES, ESPECIFICADAS</t>
  </si>
  <si>
    <t>DEDO(S) SUPERNUMERARIO(S) DE LA MANO</t>
  </si>
  <si>
    <t>PULGAR(ES) SUPERNUMERARIO(S)</t>
  </si>
  <si>
    <t>DEDO(S) SUPERNUMERARIO(S) DEL PIE</t>
  </si>
  <si>
    <t>POLIDACTILIA, NO ESPECIFICADA</t>
  </si>
  <si>
    <t>FUSION DE LOS DEDOS DE LA MANO</t>
  </si>
  <si>
    <t>MEMBRANA INTERDIGITAL DE LA MANO</t>
  </si>
  <si>
    <t>FUSION DE LOS DEDOS DEL PIE</t>
  </si>
  <si>
    <t>MEMBRANA INTERDIGITAL DEL PIE</t>
  </si>
  <si>
    <t>POLISINDACTILIA</t>
  </si>
  <si>
    <t>SINDACTILIA, NO ESPECIFICADA</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</si>
  <si>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</si>
  <si>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</si>
  <si>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</si>
  <si>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</si>
  <si>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</si>
  <si>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</si>
  <si>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MANO EN PINZA DE LANGOSTA</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</si>
  <si>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</si>
  <si>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</si>
  <si>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</si>
  <si>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</si>
  <si>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</si>
  <si>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</si>
  <si>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</si>
  <si>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</si>
  <si>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</si>
  <si>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PIE HENDIDO</t>
  </si>
  <si>
    <t>OTROS DEFECTOS POR REDUCCION DEL (DE LOS) MIEMBRO(S) INFERIOR(ES)</t>
  </si>
  <si>
    <t>DEFECTO POR REDUCCION DEL MIEMBRO INFERIOR, NO ESPECIFICADO</t>
  </si>
  <si>
    <t>AUSENCIA COMPLETA DE MIEMBRO(S) NO ESPECIFICADO(S)</t>
  </si>
  <si>
    <t>FOCOMELIA, MIEMBRO(S) NO ESPECIFICADO(S)</t>
  </si>
  <si>
    <t>OTROS DEFECTOS POR REDUCCION DE MIEMBRO(S) NO ESPECIFICADO(S)</t>
  </si>
  <si>
    <t>MALFORMACION CONGENITA DE LA RODILLA</t>
  </si>
  <si>
    <t>ARTROGRIPOSIS MULTIPLE CONGENITA</t>
  </si>
  <si>
    <t>OTRAS MALFORMACIONES CONGENITAS ESPECIFICADAS DEL (DE LOS) MIEMBRO(S)</t>
  </si>
  <si>
    <t>MALFORMACION CONGENITA DE MIEMBRO(S), NO ESPECIFICADA</t>
  </si>
  <si>
    <t>CRANEOSINOSTOSIS</t>
  </si>
  <si>
    <t>DISOSTOSIS CRANEOFACIAL</t>
  </si>
  <si>
    <t>HIPERTELORISMO</t>
  </si>
  <si>
    <t>MACROCEFALIA</t>
  </si>
  <si>
    <t>DISOSTOSIS MAXILOFACIAL</t>
  </si>
  <si>
    <t>DISOSTOSIS OCULOMAXILAR</t>
  </si>
  <si>
    <t>ESPINA BIFIDA OCULTA</t>
  </si>
  <si>
    <t>SINDROME DE KLIPPEL-FEIL</t>
  </si>
  <si>
    <t>ESPONDILOLISTESIS CONGENITA</t>
  </si>
  <si>
    <t>ESCOLIOSIS CONGENITA DEBIDA A MALFORMACION CONGENITA OSEA</t>
  </si>
  <si>
    <t>COSTILLA CERVICAL</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</si>
  <si>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</si>
  <si>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</si>
  <si>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</si>
  <si>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</si>
  <si>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</si>
  <si>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</si>
  <si>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</si>
  <si>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CONDRODISPLASIA PUNCTATA</t>
  </si>
  <si>
    <t>ACONDROPLASIA</t>
  </si>
  <si>
    <t>DISPLASIA DISTROFICA</t>
  </si>
  <si>
    <t>DISPLASIA CONDROECTODERMICA</t>
  </si>
  <si>
    <t>DISPLASIA ESPONDILOEPIFISARIA</t>
  </si>
  <si>
    <t>OSTEOGENESIS IMPERFECTA</t>
  </si>
  <si>
    <t>DISPLASIA POLIOSTOTICA FIBROSA</t>
  </si>
  <si>
    <t>OSTEOPETROSIS</t>
  </si>
  <si>
    <t>DISPLASIA DIAFISARIA PROGRESIVA</t>
  </si>
  <si>
    <t>ENCONDROMATOSIS</t>
  </si>
  <si>
    <t>DISPLASIA METAFISARIA</t>
  </si>
  <si>
    <t>EXOSTOSIS CONGENITA MULTIPLE</t>
  </si>
  <si>
    <t>OTRAS OSTEOCONDRODISPLASIAS ESPECIFICADAS</t>
  </si>
  <si>
    <t>OSTEOCONDRODISPLASIA, NO ESPECIFICADA</t>
  </si>
  <si>
    <t>HERNIA DIAFRAGMATICA CONGENITA</t>
  </si>
  <si>
    <t>OTRAS MALFORMACIONES CONGENITAS DEL DIAFRAGMA</t>
  </si>
  <si>
    <t>EXONFALOS</t>
  </si>
  <si>
    <t>GASTROSQUISIS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</si>
  <si>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</si>
  <si>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</si>
  <si>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</si>
  <si>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</si>
  <si>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</si>
  <si>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ICTIOSIS VULGAR</t>
  </si>
  <si>
    <t>ICTIOSIS LIGADA AL CROMOSOMA X</t>
  </si>
  <si>
    <t>ICTIOSIS LAMELAR</t>
  </si>
  <si>
    <t>ERITRODERMIA ICTIOSIFORME VESICULAR CONGENITA</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</si>
  <si>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</si>
  <si>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</si>
  <si>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</si>
  <si>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</si>
  <si>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</si>
  <si>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</si>
  <si>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</si>
  <si>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LINFEDEMA HEREDITARIO</t>
  </si>
  <si>
    <t>XERODERMA PIGMENTOSO</t>
  </si>
  <si>
    <t>MASTOCITOSIS</t>
  </si>
  <si>
    <t>INCONTINENCIA PIGMENTARIA</t>
  </si>
  <si>
    <t>DISPLASIA ECTODERMICA (ANHIDROTICA)</t>
  </si>
  <si>
    <t>NEVO NO NEOPLASICO, CONGENITO</t>
  </si>
  <si>
    <t>OTRAS MALFORMACIONES CONGENITAS DE LA PIEL, ESPECIFICADAS</t>
  </si>
  <si>
    <t>MALFORMACION CONGENITA DE LA PIEL, NO ESPECIFICADA</t>
  </si>
  <si>
    <t>AUSENCIA CONGENITA DE LA MAMA CON AUSENCIA DEL PEZON</t>
  </si>
  <si>
    <t>MAMA SUPERNUMERARIA</t>
  </si>
  <si>
    <t>PEZON SUPERNUMERARIO</t>
  </si>
  <si>
    <t>OTRAS MALFORMACIONES CONGENITAS DE LA MAMA</t>
  </si>
  <si>
    <t>MALFORMACION CONGENITA DE LA MAMA, NO ESPECIFICADA</t>
  </si>
  <si>
    <t>ALOPECIA CONGENITA</t>
  </si>
  <si>
    <t>OTRAS MALFORMACIONES CONGENITAS DEL PELO</t>
  </si>
  <si>
    <t>ANONIQUIA</t>
  </si>
  <si>
    <t>LEUCONIQUIA CONGENITA</t>
  </si>
  <si>
    <t>AGRANDAMIENTO E HIPERTROFIA DE LAS UÑAS</t>
  </si>
  <si>
    <t>OTRAS MALFORMACIONES CONGENITAS DE LAS UÑAS</t>
  </si>
  <si>
    <t>OTRAS MALFORMACIONES CONGENITAS DE LAS FANERAS, ESPECIFICADAS</t>
  </si>
  <si>
    <t>MALFORMACION CONGENITA DE LAS FANERAS, NO ESPECIFICADA</t>
  </si>
  <si>
    <t>NEUROFIBROMATOSIS (NO MALIGNA)</t>
  </si>
  <si>
    <t>ESCLEROSIS TUBEROSA</t>
  </si>
  <si>
    <t>OTRAS FACOMATOSIS, NO CLASIFICADAS EN OTRA PARTE</t>
  </si>
  <si>
    <t>FACOMATOSIS, NO ESPECIFICADA</t>
  </si>
  <si>
    <t>SINDROME FETAL (DISMORFICO) DEBIDO AL ALCOHOL</t>
  </si>
  <si>
    <t>SINDROME DE HIDANTOINA FETAL</t>
  </si>
  <si>
    <t>DISMORFISMO DEBIDO A WARFARINA</t>
  </si>
  <si>
    <t>SINDROME DE MARFAN</t>
  </si>
  <si>
    <t>MALFORMACIONES CONGENITAS DEL BAZO</t>
  </si>
  <si>
    <t>MALFORMACIONES CONGENITAS DE LA GLANDULA SUPRARRENAL</t>
  </si>
  <si>
    <t>SITUS INVERSUS</t>
  </si>
  <si>
    <t>GEMELOS SIAMESES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</si>
  <si>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</si>
  <si>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</si>
  <si>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</si>
  <si>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</si>
  <si>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</si>
  <si>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</si>
  <si>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</si>
  <si>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</si>
  <si>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</si>
  <si>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</si>
  <si>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</si>
  <si>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</si>
  <si>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</si>
  <si>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</si>
  <si>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</si>
  <si>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</si>
  <si>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PARCIAL MAYOR</t>
  </si>
  <si>
    <t>TRISOMIA PARCIAL MENOR</t>
  </si>
  <si>
    <t>DUPLICACIONES VISIBLES SOLO EN LA PROMETAFASE</t>
  </si>
  <si>
    <t>DUPLICACIONES CON OTROS REORDENAMIENTOS COMPLEJOS</t>
  </si>
  <si>
    <t>CROMOSOMAS MARCADORES SUPLEMENTARIOS</t>
  </si>
  <si>
    <t>TRIPLOIDIA Y POLIPLOIDIA</t>
  </si>
  <si>
    <t>OTRAS TRISOMIAS Y TRISOMIAS PARCIALES DE LOS AUTOSOMAS, ESPECIFICADAS</t>
  </si>
  <si>
    <t>TRISOMIA Y TRISOMIA PARCIAL DE LOS AUTOSOMAS, SIN OTRA ESPECIFICACION</t>
  </si>
  <si>
    <t>MONOSOMIA COMPLETA DE UN CROMOSOMA, POR FALTA DE DISYUNCION MEIOTICA</t>
  </si>
  <si>
    <t>CROMOSOMA REEMPLAZADO POR ANILLO O DICENTRICO</t>
  </si>
  <si>
    <t>SUPRESION DEL BRAZO CORTO DEL CROMOSOMA 4</t>
  </si>
  <si>
    <t>SUPRESION DEL BRAZO CORTO DEL CROMOSOMA 5</t>
  </si>
  <si>
    <t>OTRAS SUPRESIONES DE PARTE DE UN CROMOSOMA</t>
  </si>
  <si>
    <t>SUPRESIONES VISIBLES SOLO EN LA PROMETAFASE</t>
  </si>
  <si>
    <t>SUPRESIONES CON OTROS REORDENAMIENTOS COMPLEJOS</t>
  </si>
  <si>
    <t>OTRAS SUPRESIONES DE LOS AUTOSOMAS</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</si>
  <si>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</si>
  <si>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</si>
  <si>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</si>
  <si>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</si>
  <si>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</si>
  <si>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HETEROCROMATINA MARCADORA</t>
  </si>
  <si>
    <t>INDIVIDUOS CON SITIO FRAGIL AUTOSOMICO</t>
  </si>
  <si>
    <t>OTROS REORDENAMIENTOS EQUILIBRADOS Y MARCADORES ESTRUCTURALES</t>
  </si>
  <si>
    <t>CARIOTIPO 45,X</t>
  </si>
  <si>
    <t>CARIOTIPO 46,X ISO (XQ)</t>
  </si>
  <si>
    <t>CARIOTIPO 46,X CON CROMOSOMA SEXUAL ANORMAL EXCEPTO ISO (XQ)</t>
  </si>
  <si>
    <t>MOSAICO 45,X/46,XX O XY</t>
  </si>
  <si>
    <t>MOSAICO 45,X/OTRA(S) LINEA(S) CELULAR(ES) CON CROMOSOMA SEXUAL ANORMAL</t>
  </si>
  <si>
    <t>OTRAS VARIANTES DEL SINDROME DE TURNER</t>
  </si>
  <si>
    <t>SINDROME DE TURNER, NO ESPECIFICADO</t>
  </si>
  <si>
    <t>CARIOTIPO 47,XXX</t>
  </si>
  <si>
    <t>MUJER CON MAS DE TRES CROMOSOMAS X</t>
  </si>
  <si>
    <t>MOSAICO, LINEAS CON NUMERO VARIABLE DE CROMOSOMAS X</t>
  </si>
  <si>
    <t>MUJER CON CARIOTIPO 46,XY</t>
  </si>
  <si>
    <t>SINDROME DE KLINEFELTER, CARIOTIPO 47,XXY</t>
  </si>
  <si>
    <t>SINDROME DE KLINEFELTER, HOMBRE CON MAS DE DOS CROMOSOMAS X</t>
  </si>
  <si>
    <t>SINDROME DE KLINEFELTER, HOMBRE CON CARIOTIPO 46,XX</t>
  </si>
  <si>
    <t>OTRO HOMBRE CON CARIOTIPO 46,XX</t>
  </si>
  <si>
    <t>SINDROME DE KLINEFELTER, NO ESPECIFICADO</t>
  </si>
  <si>
    <t>CARIOTIPO 47,XYY</t>
  </si>
  <si>
    <t>HOMBRE CON CROMOSOMA SEXUAL ESTRUCTURALMENTE ANORMAL</t>
  </si>
  <si>
    <t>HOMBRE CON MOSAICO DE CROMOSOMAS SEXUALES</t>
  </si>
  <si>
    <t>QUIMERA 46,XX/46,XY</t>
  </si>
  <si>
    <t>HERMAFRODITA VERDADERO 46,XX</t>
  </si>
  <si>
    <t>CROMOSOMA X FRAGIL</t>
  </si>
  <si>
    <t>ANOMALIA CROMOSOMICA, NO ESPECIFICADA</t>
  </si>
  <si>
    <t>TAQUICARDIA, NO ESPECIFICADA</t>
  </si>
  <si>
    <t>BRADICARDIA, NO ESPECIFICADA</t>
  </si>
  <si>
    <t>PALPITACIONES</t>
  </si>
  <si>
    <t>OTRAS ANORMALIDADES DEL LATIDO CARDIACO Y LAS NO ESPECIFICADAS</t>
  </si>
  <si>
    <t>SOPLOS CARDIACOS BENIGNOS O INOCENTES</t>
  </si>
  <si>
    <t>SOPLO CARDIACO, NO ESPECIFICADO</t>
  </si>
  <si>
    <t>OTROS SONIDOS CARDIACOS</t>
  </si>
  <si>
    <t>GANGRENA, NO CLASIFICADA EN OTRA PARTE</t>
  </si>
  <si>
    <t>LECTURA DE PRESION BAJA NO ESPECIFICA</t>
  </si>
  <si>
    <t>EPISTAXIS</t>
  </si>
  <si>
    <t>HEMORRAGIA DE LA GARGANTA</t>
  </si>
  <si>
    <t>HEMOPTISIS</t>
  </si>
  <si>
    <t>HEMORRAGIA DE OTROS SITIOS DE LAS VIAS RESPIRATORIAS</t>
  </si>
  <si>
    <t>HEMORRAGIA DE LAS VIAS RESPIRATORIAS, NO ESPECIFICADA</t>
  </si>
  <si>
    <t>TOS</t>
  </si>
  <si>
    <t>DISNEA</t>
  </si>
  <si>
    <t>ESTRIDOR</t>
  </si>
  <si>
    <t>SILBIDO</t>
  </si>
  <si>
    <t>RESPIRACION PERIODICA</t>
  </si>
  <si>
    <t>HIPERVENTILACION</t>
  </si>
  <si>
    <t>RESPIRACION CON LA BOCA</t>
  </si>
  <si>
    <t>HIPO</t>
  </si>
  <si>
    <t>ESTORNUDO</t>
  </si>
  <si>
    <t>OTRAS ANORMALIDADES DE LA RESPIRACION Y LAS NO ESPECIFICADAS</t>
  </si>
  <si>
    <t>DOLOR DE GARGANTA</t>
  </si>
  <si>
    <t>DOLOR EN EL PECHO AL RESPIRAR</t>
  </si>
  <si>
    <t>DOLOR PRECORDIAL</t>
  </si>
  <si>
    <t>OTROS DOLORES EN EL PECHO</t>
  </si>
  <si>
    <t>DOLOR EN EL PECHO, NO ESPECIFICADO</t>
  </si>
  <si>
    <t>ASFIXIA</t>
  </si>
  <si>
    <t>PLEURESIA</t>
  </si>
  <si>
    <t>PARO RESPIRATORIO</t>
  </si>
  <si>
    <t>ESPUTO ANORMAL</t>
  </si>
  <si>
    <t>ABDOMEN AGUDO</t>
  </si>
  <si>
    <t>DOLOR ABDOMINAL LOCALIZADO EN PARTE SUPERIOR</t>
  </si>
  <si>
    <t>DOLOR PELVICO Y PERINEAL</t>
  </si>
  <si>
    <t>DOLOR LOCALIZADO EN OTRAS PARTES INFERIORES DEL ABDOMEN</t>
  </si>
  <si>
    <t>OTROS DOLORES ABDOMINALES Y LOS NO ESPECIFICADOS</t>
  </si>
  <si>
    <t>NAUSEA Y VOMITO</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</si>
  <si>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</si>
  <si>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</si>
  <si>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</si>
  <si>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</si>
  <si>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</si>
  <si>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</si>
  <si>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</si>
  <si>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</si>
  <si>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</si>
  <si>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TUMEFACCION, MASA O PROMINENCIA INTRAABDOMINAL Y PELVICA</t>
  </si>
  <si>
    <t>SONIDOS INTESTINALES ANORMALES</t>
  </si>
  <si>
    <t>PERISTALSIS VISIBLE</t>
  </si>
  <si>
    <t>RIGIDEZ ABDOMINAL</t>
  </si>
  <si>
    <t>CAMBIOS EN LOS HABITOS INTESTINALES</t>
  </si>
  <si>
    <t>OTRAS ANORMALIDADES FECALES</t>
  </si>
  <si>
    <t>HALITOSIS</t>
  </si>
  <si>
    <t>ANESTESIA DE LA PIEL</t>
  </si>
  <si>
    <t>HIPOESTESIA DE LA PIEL</t>
  </si>
  <si>
    <t>PARESTESIA DE LA PIEL</t>
  </si>
  <si>
    <t>HIPERESTESIA</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</si>
  <si>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</si>
  <si>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</si>
  <si>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</si>
  <si>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</si>
  <si>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</si>
  <si>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</si>
  <si>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</si>
  <si>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</si>
  <si>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</si>
  <si>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CIANOSIS</t>
  </si>
  <si>
    <t>PALIDEZ</t>
  </si>
  <si>
    <t>RUBOR</t>
  </si>
  <si>
    <t>EQUIMOSIS ESPONTANEA</t>
  </si>
  <si>
    <t>CAMBIOS EN LA TEXTURA DE LA PIEL</t>
  </si>
  <si>
    <t>OTROS CAMBIOS DE LA PIEL Y LOS NO ESPECIFICADOS</t>
  </si>
  <si>
    <t>MOVIMIENTOS ANORMALES DE LA CABEZA</t>
  </si>
  <si>
    <t>TEMBLOR NO ESPECIFICADO</t>
  </si>
  <si>
    <t>CALAMBRES Y ESPASMOS</t>
  </si>
  <si>
    <t>FASCICULACION</t>
  </si>
  <si>
    <t>OTROS MOVIMIENTOS ANORMALES INVOLUNTARIOS Y LOS NO ESPECIFICADOS</t>
  </si>
  <si>
    <t>MARCHA ATAXICA</t>
  </si>
  <si>
    <t>MARCHA PARALITICA</t>
  </si>
  <si>
    <t>DIFICULTAD PARA CAMINAR, NO CLASIFICADA EN OTRA PARTE</t>
  </si>
  <si>
    <t>ATAXIA, NO ESPECIFICADA</t>
  </si>
  <si>
    <t>OTRAS FALLAS DE LA COORDINACION Y LAS NO ESPECIFICADAS</t>
  </si>
  <si>
    <t>TETANIA</t>
  </si>
  <si>
    <t>MENINGISMO</t>
  </si>
  <si>
    <t>REFLEJOS ANORMALES</t>
  </si>
  <si>
    <t>POSTURA ANORMAL</t>
  </si>
  <si>
    <t>CHASQUIDO DE LA CADERA</t>
  </si>
  <si>
    <t>DISURIA</t>
  </si>
  <si>
    <t>TENESMO VESICAL</t>
  </si>
  <si>
    <t>MICCION DOLOROSA, NO ESPECIFICADA</t>
  </si>
  <si>
    <t>HEMATURIA, NO ESPECIFICADA</t>
  </si>
  <si>
    <t>INCONTINENCIA URINARIA, NO ESPECIFICADA</t>
  </si>
  <si>
    <t>RETENCION DE ORINA</t>
  </si>
  <si>
    <t>ANURIA Y OLIGURIA</t>
  </si>
  <si>
    <t>POLIURIA</t>
  </si>
  <si>
    <t>DESCARGA URETRAL</t>
  </si>
  <si>
    <t>EXTRAVASACION DE LA ORINA</t>
  </si>
  <si>
    <t>OTRAS DIFICULTADES DE LA MICCION</t>
  </si>
  <si>
    <t>UREMIA EXTRARRENAL</t>
  </si>
  <si>
    <t>SOMNOLENCIA</t>
  </si>
  <si>
    <t>ESTUPOR</t>
  </si>
  <si>
    <t>COMA, NO ESPECIFICADO</t>
  </si>
  <si>
    <t>DESORIENTACION NO ESPECIFICADA</t>
  </si>
  <si>
    <t>AMNESIA ANTEROGRADA</t>
  </si>
  <si>
    <t>AMNESIA RETROGRADA</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</si>
  <si>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</si>
  <si>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</si>
  <si>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</si>
  <si>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</si>
  <si>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</si>
  <si>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</si>
  <si>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</si>
  <si>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</si>
  <si>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</si>
  <si>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</si>
  <si>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</si>
  <si>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INQUIETUD Y AGITACION</t>
  </si>
  <si>
    <t>INFELICIDAD</t>
  </si>
  <si>
    <t>DESMORALIZACION Y APATIA</t>
  </si>
  <si>
    <t>IRRITABILIDAD Y ENOJO</t>
  </si>
  <si>
    <t>HOSTILIDAD</t>
  </si>
  <si>
    <t>VIOLENCIA FISICA</t>
  </si>
  <si>
    <t>TENSION Y ESTADO DE CHOQUE EMOCIONAL, NO ESPECIFICADO</t>
  </si>
  <si>
    <t>OTROS SINTOMAS Y SIGNOS QUE INVOLUCRAN EL ESTADO EMOCIONAL</t>
  </si>
  <si>
    <t>MUY BAJO NIVEL DE HIGIENE PERSONAL</t>
  </si>
  <si>
    <t>APARIENCIA PERSONAL EXTRAÑA</t>
  </si>
  <si>
    <t>CONDUCTA EXTRAÑA E INEXPLICABLE</t>
  </si>
  <si>
    <t>HIPERACTIVIDAD</t>
  </si>
  <si>
    <t>LENTITUD Y POBRE RESPUESTA</t>
  </si>
  <si>
    <t>SUSPICACIA Y EVASIVIDAD MARCADAS</t>
  </si>
  <si>
    <t>PREOCUPACION INDEBIDA POR SUCESOS QUE CAUSAN TENSION</t>
  </si>
  <si>
    <t>DISFASIA Y AFASIA</t>
  </si>
  <si>
    <t>DISARTRIA Y ANARTRIA</t>
  </si>
  <si>
    <t>OTRAS ALTERACIONES DEL HABLA Y LAS NO ESPECIFICADAS</t>
  </si>
  <si>
    <t>DISLEXIA Y ALEXIA</t>
  </si>
  <si>
    <t>AGNOSIA</t>
  </si>
  <si>
    <t>APRAXIA</t>
  </si>
  <si>
    <t>OTRAS DISFUNCIONES SIMBOLICAS Y LAS NO ESPECIFICADAS</t>
  </si>
  <si>
    <t>DISFONIA</t>
  </si>
  <si>
    <t>AFONIA</t>
  </si>
  <si>
    <t>HIPERNASALIDAD E HIPONASALIDAD</t>
  </si>
  <si>
    <t>OTRAS ALTERACIONES DE LA VOZ Y LAS NO ESPECIFICADAS</t>
  </si>
  <si>
    <t>FIEBRE CON ESCALOFRIO</t>
  </si>
  <si>
    <t>FIEBRE PERSISTENTE</t>
  </si>
  <si>
    <t>FIEBRE, NO ESPECIFICADA</t>
  </si>
  <si>
    <t>CEFALEA</t>
  </si>
  <si>
    <t>DOLOR AGUDO</t>
  </si>
  <si>
    <t>DOLOR CRONICO INTRATABLE</t>
  </si>
  <si>
    <t>OTRO DOLOR CRONICO</t>
  </si>
  <si>
    <t>DOLOR, NO ESPECIFICADO</t>
  </si>
  <si>
    <t>MALESTAR Y FATIGA</t>
  </si>
  <si>
    <t>SENILIDAD</t>
  </si>
  <si>
    <t>SINCOPE Y COLAPSO</t>
  </si>
  <si>
    <t>CONVULSIONES FEBRILES</t>
  </si>
  <si>
    <t>OTRAS CONVULSIONES Y LAS NO ESPECIFICADAS</t>
  </si>
  <si>
    <t>CHOQUE CARDIOGENICO</t>
  </si>
  <si>
    <t>CHOQUE HIPOVOLEMICO</t>
  </si>
  <si>
    <t>OTRAS FORMAS DE CHOQUE</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</si>
  <si>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</si>
  <si>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</si>
  <si>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</si>
  <si>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</si>
  <si>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</si>
  <si>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</si>
  <si>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</si>
  <si>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</si>
  <si>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</si>
  <si>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</si>
  <si>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OTRAS FALTAS DEL DESARROLLO FISIOLOGICO NORMAL ESPERADO</t>
  </si>
  <si>
    <t>ANOREXIA</t>
  </si>
  <si>
    <t>POLIDIPSIA</t>
  </si>
  <si>
    <t>POLIFAGIA</t>
  </si>
  <si>
    <t>DIFICULTADES Y MALA ADMINISTRACION DE LA ALIMENTACION</t>
  </si>
  <si>
    <t>PERDIDA ANORMAL DE PESO</t>
  </si>
  <si>
    <t>AUMENTO ANORMAL DE PESO</t>
  </si>
  <si>
    <t>CAQUEXIA</t>
  </si>
  <si>
    <t>HIPOTERMIA NO ASOCIADA CON BAJA TEMPERATURA DEL AMBIENTE</t>
  </si>
  <si>
    <t>SINTOMAS NO ESPECIFICOS PROPIOS DE LA INFANCIA</t>
  </si>
  <si>
    <t>BOCA SECA, NO ESPECIFICADA</t>
  </si>
  <si>
    <t>DEDOS DE LA MANO DEFORMES</t>
  </si>
  <si>
    <t>OTROS SINTOMAS Y SIGNOS GENERALES ESPECIFICADOS</t>
  </si>
  <si>
    <t>CAUSAS DE MORBILIDAD DESCONOCIDAS Y NO ESPECIFICADAS</t>
  </si>
  <si>
    <t>VELOCIDAD DE ERITROSEDIMENTACION ELEVADA</t>
  </si>
  <si>
    <t>VISCOSIDAD PLASMATICA ANORMAL</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</si>
  <si>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</si>
  <si>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</si>
  <si>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</si>
  <si>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</si>
  <si>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</si>
  <si>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</si>
  <si>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TITULACION ELEVADA DE ANTICUERPOS</t>
  </si>
  <si>
    <t>REACCION ANORMAL A LA PRUEBA CON TUBERCULINA</t>
  </si>
  <si>
    <t>FALSO POSITIVO EN LA PRUEBA SEROLOGICA PARA SIFILIS</t>
  </si>
  <si>
    <t>OTROS HALLAZGOS INMUNOLOGICOS ANORMALES ESPECIFICADOS EN SUERO</t>
  </si>
  <si>
    <t>ANORMALIDAD DE LA ALBUMINA</t>
  </si>
  <si>
    <t>ANORMALIDAD DE LA GLOBULINA</t>
  </si>
  <si>
    <t>ANORMALIDAD DE LA ALFAFETOPROTEINA</t>
  </si>
  <si>
    <t>OTRAS ANORMALIDADES ESPECIFICADAS DE LAS PROTEINAS PLASMATICAS</t>
  </si>
  <si>
    <t>ANORMALIDADES NO ESPECIFICADAS DE LAS PROTEINAS PLASMATICAS</t>
  </si>
  <si>
    <t>HALLAZGO DE ALCOHOL EN LA SANGRE</t>
  </si>
  <si>
    <t>HALLAZGO DE DROGAS OPIACEAS EN LA SANGRE</t>
  </si>
  <si>
    <t>HALLAZGO DE COCAINA EN LA SANGRE</t>
  </si>
  <si>
    <t>HALLAZGO DE ALUCINOGENOS EN LA SANGRE</t>
  </si>
  <si>
    <t>HALLAZGO DE OTRAS DROGAS POTENCIALMENTE ADICTIVAS EN LA SANGRE</t>
  </si>
  <si>
    <t>HALLAZGO DE DROGAS PSICOTROPICAS EN LA SANGRE</t>
  </si>
  <si>
    <t>HALLAZGO DE AGENTES ESTEROIDES EN LA SANGRE</t>
  </si>
  <si>
    <t>HALLAZGO DE NIVELES ANORMALES DE METALES PESADOS EN LA SANGRE</t>
  </si>
  <si>
    <t>NIVEL ANORMAL DE MINERAL EN LA SANGRE</t>
  </si>
  <si>
    <t>OTROS HALLAZGOS ANORMALES ESPECIFICADOS EN LA QUIMICA SANGUINEA</t>
  </si>
  <si>
    <t>HALLAZGO ANORMAL EN LA QUIMICA SANGUINEA, SIN OTRA ESPECIFICACION</t>
  </si>
  <si>
    <t>PROTEINURIA AISLADA</t>
  </si>
  <si>
    <t>GLUCOSURIA</t>
  </si>
  <si>
    <t>QUILURIA</t>
  </si>
  <si>
    <t>MIOGLOBINURIA</t>
  </si>
  <si>
    <t>BILIURIA</t>
  </si>
  <si>
    <t>HEMOGLOBINURIA</t>
  </si>
  <si>
    <t>ACETONURIA</t>
  </si>
  <si>
    <t>HALLAZGOS ANORMALES EN EL EXAMEN MICROBIOLOGICO DE LA ORINA</t>
  </si>
  <si>
    <t>HALLAZGOS ANORMALES EN EL EXAMEN CITOLOGICO E HISTOLOGICO DE LA ORINA</t>
  </si>
  <si>
    <t>OTROS HALLAZGOS ANORMALES EN LA ORINA Y LOS NO ESPECIFICADOS</t>
  </si>
  <si>
    <t>LESION QUE OCUPA EL ESPACIO INTRACRANEAL</t>
  </si>
  <si>
    <t>HALLAZGOS ANORMALES EN DIAGNOSTICO POR IMAGEN DEL PULMON</t>
  </si>
  <si>
    <t>HALLAZGOS ANORMALES EN DIAGNOSTICO POR IMAGEN DE LA MAMA</t>
  </si>
  <si>
    <t>HALLAZGOS ANORMALES EN DIAGNOSTICO POR IMAGEN DE LOS ORGANOS URINARIOS</t>
  </si>
  <si>
    <t>HALLAZGOS ANORMALES EN DIAGNOSTICO POR IMAGEN DE LOS MIEMBROS</t>
  </si>
  <si>
    <t>RESULTADOS ANORMALES EN ESTUDIOS FUNCIONALES DEL PULMON</t>
  </si>
  <si>
    <t>RESULTADOS ANORMALES EN ESTUDIOS FUNCIONALES CARDIOVASCULARES</t>
  </si>
  <si>
    <t>RESULTADOS ANORMALES EN ESTUDIOS FUNCIONALES DEL RIÑON</t>
  </si>
  <si>
    <t>RESULTADOS ANORMALES EN ESTUDIOS FUNCIONALES DEL HIGADO</t>
  </si>
  <si>
    <t>RESULTADOS ANORMALES EN ESTUDIOS FUNCIONALES DE LA TIROIDES</t>
  </si>
  <si>
    <t>RESULTADOS ANORMALES EN OTROS ESTUDIOS FUNCIONALES ENDOCRINOS</t>
  </si>
  <si>
    <t>SINDROME DE LA MUERTE SUBITA INFANTIL</t>
  </si>
  <si>
    <t>MUERTE INSTANTANEA</t>
  </si>
  <si>
    <t>MUERTE SIN ASISTENCIA</t>
  </si>
  <si>
    <t>OTRAS CAUSAS MAL DEFINIDAS Y LAS NO ESPECIFICADAS DE MORTALIDAD</t>
  </si>
  <si>
    <t>TRAUMATISMO SUPERFICIAL DEL CUERO CABELLUDO</t>
  </si>
  <si>
    <t>CONTUSION DE LOS PARPADOS Y DE LA REGION PERIOCULAR</t>
  </si>
  <si>
    <t>OTROS TRAUMATISMOS SUPERFICIALES DEL PARPADO Y DE LA REGION PERIOCULAR</t>
  </si>
  <si>
    <t>TRAUMATISMO SUPERFICIAL DE LA NARIZ</t>
  </si>
  <si>
    <t>TRAUMATISMO SUPERFICIAL DEL OIDO</t>
  </si>
  <si>
    <t>TRAUMATISMO SUPERFICIAL DEL LABIO Y DE LA CAVIDAD BUCAL</t>
  </si>
  <si>
    <t>TRAUMATISMOS SUPERFICIALES MULTIPLES DE LA CABEZA</t>
  </si>
  <si>
    <t>TRAUMATISMO SUPERFICIAL DE OTRAS PARTES DE LA CABEZA</t>
  </si>
  <si>
    <t>TRAUMATISMO SUPERFICIAL DE LA CABEZA, PARTE NO ESPECIFICADA</t>
  </si>
  <si>
    <t>HERIDA DEL CUERO CABELLUDO</t>
  </si>
  <si>
    <t>HERIDA DEL PARPADO Y DE LA REGION PERIOCULAR</t>
  </si>
  <si>
    <t>HERIDA DE LA NARIZ</t>
  </si>
  <si>
    <t>HERIDA DEL OIDO</t>
  </si>
  <si>
    <t>HERIDA DE LA MEJILLA Y DE LA REGION TEMPOROMANDIBULAR</t>
  </si>
  <si>
    <t>HERIDA DEL LABIO Y DE LA CAVIDAD BUCAL</t>
  </si>
  <si>
    <t>HERIDAS MULTIPLES DE LA CABEZA</t>
  </si>
  <si>
    <t>HERIDA DE OTRAS PARTES DE LA CABEZA</t>
  </si>
  <si>
    <t>HERIDA DE LA CABEZA, PARTE NO ESPECIFICADA</t>
  </si>
  <si>
    <t>FRACTURA DE LA BOVEDA DEL CRANEO</t>
  </si>
  <si>
    <t>FRACTURA DE LA BASE DEL CRANEO</t>
  </si>
  <si>
    <t>FRACTURA DE LOS HUESOS DE LA NARIZ</t>
  </si>
  <si>
    <t>FRACTURA DEL SUELO DE LA ORBITA</t>
  </si>
  <si>
    <t>FRACTURA DEL MALAR Y DEL HUESO MAXILAR SUPERIOR</t>
  </si>
  <si>
    <t>FRACTURA DE LOS DIENTES</t>
  </si>
  <si>
    <t>FRACTURA DEL MAXILAR INFERIOR</t>
  </si>
  <si>
    <t>FRACTURAS MULTIPLES QUE COMPROMETEN EL CRANEO Y LOS HUESOS DE LA CARA</t>
  </si>
  <si>
    <t>FRACTURA DE OTROS HUESOS DEL CRANEO Y DE LA CARA</t>
  </si>
  <si>
    <t>LUXACION DEL MAXILAR</t>
  </si>
  <si>
    <t>LUXACION DEL CARTILAGO SEPTAL DE LA NARIZ</t>
  </si>
  <si>
    <t>LUXACION DE DIENTE</t>
  </si>
  <si>
    <t>LUXACION DE OTRAS PARTES Y DE LAS NO ESPECIFICADAS DE LA CABEZA</t>
  </si>
  <si>
    <t>ESGUINCES Y TORCEDURAS DEL MAXILAR</t>
  </si>
  <si>
    <t>TRAUMATISMO DEL NERVIO OPTICO [II PAR] Y DE LAS VIAS OPTICAS</t>
  </si>
  <si>
    <t>TRAUMATISMO DE OTROS NERVIOS CRANEALES</t>
  </si>
  <si>
    <t>CONTUSION DEL GLOBO OCULAR Y DEL TEJIDO ORBITARIO</t>
  </si>
  <si>
    <t>LACERACION OCULAR SIN PROLAPSO O PERDIDA DEL TEJIDO INTRAOCULAR</t>
  </si>
  <si>
    <t>HERIDA PENETRANTE DE LA ORBITA CON O SIN CUERPO EXTRAÑO</t>
  </si>
  <si>
    <t>HERIDA PENETRANTE DEL GLOBO OCULAR CON CUERPO EXTRAÑO</t>
  </si>
  <si>
    <t>HERIDA PENETRANTE DEL GLOBO OCULAR SIN CUERPO EXTRAÑO</t>
  </si>
  <si>
    <t>OTROS TRAUMATISMOS DEL OJO Y DE LA ORBITA</t>
  </si>
  <si>
    <t>TRAUMATISMO DEL OJO Y DE LA ORBITA, NO ESPECIFICADO</t>
  </si>
  <si>
    <t>EDEMA CEREBRAL TRAUMATICO</t>
  </si>
  <si>
    <t>TRAUMATISMO CEREBRAL DIFUSO</t>
  </si>
  <si>
    <t>TRAUMATISMO CEREBRAL FOCAL</t>
  </si>
  <si>
    <t>HEMORRAGIA EPIDURAL</t>
  </si>
  <si>
    <t>HEMORRAGIA SUBDURAL TRAUMATICA</t>
  </si>
  <si>
    <t>HEMORRAGIA SUBARACNOIDEA TRAUMATICA</t>
  </si>
  <si>
    <t>TRAUMATISMO INTRACRANEAL CON COMA PROLONGADO</t>
  </si>
  <si>
    <t>OTROS TRAUMATISMOS INTRACRANEALES</t>
  </si>
  <si>
    <t>TRAUMATISMO INTRACRANEAL, NO ESPECIFICADO</t>
  </si>
  <si>
    <t>TRAUMATISMO POR APLASTAMIENTO DE LA CARA</t>
  </si>
  <si>
    <t>TRAUMATISMO POR APLASTAMIENTO DEL CRANEO</t>
  </si>
  <si>
    <t>TRAUMATISMO POR APLASTAMIENTO DE OTRAS PARTES DE LA CABEZA</t>
  </si>
  <si>
    <t>TRAUMATISMO POR APLASTAMIENTO DE LA CABEZA, PARTE NO ESPECIFICADA</t>
  </si>
  <si>
    <t>AVULSION DEL CUERO CABELLUDO</t>
  </si>
  <si>
    <t>AMPUTACION TRAUMATICA DE LA OREJA</t>
  </si>
  <si>
    <t>AMPUTACION TRAUMATICA DE OTRAS PARTES DE LA CABEZA</t>
  </si>
  <si>
    <t>AMPUTACION TRAUMATICA DE PARTE NO ESPECIFICADA DE LA CABEZA</t>
  </si>
  <si>
    <t>TRAUMATISMO DE TENDON Y MUSCULOS DE LA CABEZA</t>
  </si>
  <si>
    <t>RUPTURA TRAUMATICA DEL TIMPANO DEL OIDO</t>
  </si>
  <si>
    <t>TRAUMATISMOS MULTIPLES DE LA CABEZA</t>
  </si>
  <si>
    <t>OTROS TRAUMATISMOS DE LA CABEZA, ESPECIFICADOS</t>
  </si>
  <si>
    <t>TRAUMATISMO DE LA CABEZA, NO ESPECIFICADO</t>
  </si>
  <si>
    <t>CONTUSION DE LA GARGANTA</t>
  </si>
  <si>
    <t>OTROS TRAUMATISMOS SUPERFICIALES Y LOS NO ESPECIFICADOS DE LA GARGANTA</t>
  </si>
  <si>
    <t>TRAUMATISMO SUPERFICIAL MULTIPLE DEL CUELLO</t>
  </si>
  <si>
    <t>TRAUMATISMO SUPERFICIAL DE OTRAS PARTES DEL CUELLO</t>
  </si>
  <si>
    <t>TRAUMATISMO SUPERFICIAL DEL CUELLO, PARTE NO ESPECIFICADA</t>
  </si>
  <si>
    <t>HERIDA QUE COMPROMETE LA LARINGE Y LA TRAQUEA</t>
  </si>
  <si>
    <t>HERIDA QUE COMPROMETE LA GLANDULA TIROIDES</t>
  </si>
  <si>
    <t>HERIDA QUE COMPROMETE LA FARINGE Y EL ESOFAGO CERVICAL</t>
  </si>
  <si>
    <t>HERIDAS MULTIPLES DEL CUELLO</t>
  </si>
  <si>
    <t>HERIDAS DE OTRAS PARTES DEL CUELLO</t>
  </si>
  <si>
    <t>HERIDA DE CUELLO, PARTE NO ESPECIFICADA</t>
  </si>
  <si>
    <t>FRACTURA DE LA PRIMERA VERTEBRA CERVICAL</t>
  </si>
  <si>
    <t>FRACTURA DE LA SEGUNDA VERTEBRA CERVICAL</t>
  </si>
  <si>
    <t>FRACTURA DE OTRAS VERTEBRAS CERVICALES ESPECIFICADAS</t>
  </si>
  <si>
    <t>FRACTURAS MULTIPLES DE COLUMNA CERVICAL</t>
  </si>
  <si>
    <t>FRACTURA DE OTRAS PARTES DEL CUELLO</t>
  </si>
  <si>
    <t>FRACTURA DEL CUELLO, PARTE NO ESPECIFICADA</t>
  </si>
  <si>
    <t>RUPTURA TRAUMATICA DE DISCO CERVICAL INTERVERTEBRAL</t>
  </si>
  <si>
    <t>LUXACION DE VERTEBRA CERVICAL</t>
  </si>
  <si>
    <t>LUXACIONES DE OTRAS PARTES Y DE LAS NO ESPECIFICADAS DEL CUELLO</t>
  </si>
  <si>
    <t>LUXACIONES MULTIPLES DEL CUELLO</t>
  </si>
  <si>
    <t>ESGUINCES Y TORCEDURAS DE LA COLUMNA CERVICAL</t>
  </si>
  <si>
    <t>ESGUINCES Y TORCEDURAS DE LA REGION TIROIDEA</t>
  </si>
  <si>
    <t>CONCUSION Y EDEMA DE LA MEDULA ESPINAL CERVICAL</t>
  </si>
  <si>
    <t>TRAUMATISMO DE RAIZ NERVIOSA DE COLUMNA CERVICAL</t>
  </si>
  <si>
    <t>TRAUMATISMO DE NERVIOS PERIFERICOS DEL CUELLO</t>
  </si>
  <si>
    <t>TRAUMATISMO DE NERVIOS CERVICALES SIMPATICOS</t>
  </si>
  <si>
    <t>TRAUMATISMO DE OTROS NERVIOS Y DE LOS NO ESPECIFICADOS DEL CUELLO</t>
  </si>
  <si>
    <t>TRAUMATISMO DE LA ARTERIA CAROTIDA</t>
  </si>
  <si>
    <t>TRAUMATISMO DE LA ARTERIA VERTEBRAL</t>
  </si>
  <si>
    <t>TRAUMATISMO DE LA VENA YUGULAR EXTERNA</t>
  </si>
  <si>
    <t>TRAUMATISMO DE LA VENA YUGULAR INTERNA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</si>
  <si>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</si>
  <si>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</si>
  <si>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</si>
  <si>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</si>
  <si>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</si>
  <si>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TRAUMATISMO POR APLASTAMIENTO DE OTRAS PARTES DEL CUELLO</t>
  </si>
  <si>
    <t>TRAUMATISMO POR APLASTAMIENTO DEL CUELLO, PARTE NO ESPECIFICADA</t>
  </si>
  <si>
    <t>AMPUTACION TRAUMATICA A NIVEL DEL CUELLO</t>
  </si>
  <si>
    <t>TRAUMATISMOS MULTIPLES DEL CUELLO</t>
  </si>
  <si>
    <t>OTROS TRAUMATISMOS DEL CUELLO, ESPECIFICADOS</t>
  </si>
  <si>
    <t>TRAUMATISMO DEL CUELLO, NO ESPECIFICADO</t>
  </si>
  <si>
    <t>CONTUSION DE LA MAMA</t>
  </si>
  <si>
    <t>OTROS TRAUMATISMOS SUPERFICIALES Y LOS NO ESPECIFICADOS DE LA MAMA</t>
  </si>
  <si>
    <t>CONTUSION DEL TORAX</t>
  </si>
  <si>
    <t>OTROS TRAUMATISMOS SUPERFICIALES DE LA PARED ANTERIOR DEL TORAX</t>
  </si>
  <si>
    <t>OTROS TRAUMATISMOS SUPERFICIALES DE LA PARED POSTERIOR DEL TORAX</t>
  </si>
  <si>
    <t>TRAUMATISMOS SUPERFICIALES MULTIPLES DEL TORAX</t>
  </si>
  <si>
    <t>HERIDA DE LA MAMA</t>
  </si>
  <si>
    <t>HERIDA DE LA PARED ANTERIOR DEL TORAX</t>
  </si>
  <si>
    <t>HERIDA DE LA PARED POSTERIOR DEL TORAX</t>
  </si>
  <si>
    <t>HERIDA MULTIPLE DE LA PARED TORACICA</t>
  </si>
  <si>
    <t>FRACTURA DE VERTEBRA TORACICA</t>
  </si>
  <si>
    <t>FRACTURAS MULTIPLES DE COLUMNA TORACICA</t>
  </si>
  <si>
    <t>FRACTURA DE COSTILLA</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</si>
  <si>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</si>
  <si>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</si>
  <si>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</si>
  <si>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</si>
  <si>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</si>
  <si>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</si>
  <si>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</si>
  <si>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</si>
  <si>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CONCUSION Y EDEMA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</si>
  <si>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</si>
  <si>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</si>
  <si>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</si>
  <si>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</si>
  <si>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</si>
  <si>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</si>
  <si>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LA ARTERIA INNOMINADA O SUBCLAVIA</t>
  </si>
  <si>
    <t>TRAUMATISMO DE LA VENA INNOMINADA O SUBCLAVIA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</si>
  <si>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</si>
  <si>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</si>
  <si>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</si>
  <si>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</si>
  <si>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</si>
  <si>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</si>
  <si>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</si>
  <si>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NEUMOTORAX TRAUMATICO</t>
  </si>
  <si>
    <t>HEMOTORAX TRAUMATICO</t>
  </si>
  <si>
    <t>HEMONEUMOTORAX TRAUMATICO</t>
  </si>
  <si>
    <t>OTROS TRAUMATISMOS DEL PULMON</t>
  </si>
  <si>
    <t>TRAUMATISMO DE LOS BRONQUIOS</t>
  </si>
  <si>
    <t>TRAUMATISMO DE LA TRAQUEA TORACICA</t>
  </si>
  <si>
    <t>TRAUMATISMO DE LA PLEURA</t>
  </si>
  <si>
    <t>TRAUMATISMO DE OTROS ORGANOS INTRATORACICOS, ESPECIFICADOS</t>
  </si>
  <si>
    <t>APLASTAMIENTO DEL TORAX</t>
  </si>
  <si>
    <t>AMPUTACION TRAUMATICA DE PARTE DEL TORAX</t>
  </si>
  <si>
    <t>TRAUMATISMOS MULTIPLES DEL TORAX</t>
  </si>
  <si>
    <t>OTROS TRAUMATISMOS DEL TORAX, ESPECIFICADOS</t>
  </si>
  <si>
    <t>TRAUMATISMO DEL TORAX, NO ESPECIFICADO</t>
  </si>
  <si>
    <t>CONTUSION DE LA REGION LUMBOSACRA Y DE LA PELVIS</t>
  </si>
  <si>
    <t>CONTUSION DE LA PARED ABDOMINAL</t>
  </si>
  <si>
    <t>HERIDA DE LA REGION LUMBOSACRA Y DE LA PELVIS</t>
  </si>
  <si>
    <t>HERIDA DE LA PARED ABDOMINAL</t>
  </si>
  <si>
    <t>HERIDA DEL PENE</t>
  </si>
  <si>
    <t>HERIDA DEL ESCROTO Y DE LOS TESTICULOS</t>
  </si>
  <si>
    <t>HERIDA DE LA VAGINA Y DE LA VULVA</t>
  </si>
  <si>
    <t>HERIDA DE OTROS ORGANOS GENITALES EXTERNOS Y DE LOS NO ESPECIFICADOS</t>
  </si>
  <si>
    <t>HERIDAS MULTIPLES DEL ABDOMEN, DE LA REGION LUMBOSACRA Y DE LA PELVIS</t>
  </si>
  <si>
    <t>HERIDAS DE OTRAS PARTES Y DE LAS NO ESPECIFICADAS DEL ABDOMEN</t>
  </si>
  <si>
    <t>FRACTURA DE VERTEBRA LUMBAR</t>
  </si>
  <si>
    <t>FRACTURA DEL SACRO</t>
  </si>
  <si>
    <t>FRACTURA DEL COCCIX</t>
  </si>
  <si>
    <t>FRACTURA DEL HUESO ILIACO</t>
  </si>
  <si>
    <t>FRACTURA DEL ACETABULO</t>
  </si>
  <si>
    <t>FRACTURA DEL PUBIS</t>
  </si>
  <si>
    <t>FRACTURAS MULTIPLES DE LA COLUMNA LUMBAR Y DE LA PELVIS</t>
  </si>
  <si>
    <t>RUPTURA TRAUMATICA DE DISCO INTERVERTEBRAL LUMBAR</t>
  </si>
  <si>
    <t>LUXACION DE VERTEBRA LUMBAR</t>
  </si>
  <si>
    <t>LUXACION DE ARTICULACION SACROCOCCIGEA Y SACROILIACA</t>
  </si>
  <si>
    <t>RUPTURA TRAUMATICA DE LA SINFISIS DEL PUBIS</t>
  </si>
  <si>
    <t>ESGUINCES Y TORCEDURAS DE LA COLUMNA LUMBAR</t>
  </si>
  <si>
    <t>ESGUINCES Y TORCEDURAS DE LA ARTICULACION SACROILIACA</t>
  </si>
  <si>
    <t>CONCUSION Y EDEMA DE LA MEDULA ESPINAL LUMBAR</t>
  </si>
  <si>
    <t>OTRO TRAUMATISMO DE LA MEDULA ESPINAL LUMBAR</t>
  </si>
  <si>
    <t>TRAUMATISMO DE RAIZ NERVIOSA DE LA COLUMNA LUMBAR Y SACRA</t>
  </si>
  <si>
    <t>TRAUMATISMO DE LA COLA DE CABALLO</t>
  </si>
  <si>
    <t>TRAUMATISMO DEL PLEXO LUMBOSACRO</t>
  </si>
  <si>
    <t>TRAUMATISMO DE LA AORTA ABDOMINAL</t>
  </si>
  <si>
    <t>TRAUMATISMO DE LA VENA CAVA INFERIOR</t>
  </si>
  <si>
    <t>TRAUMATISMO DE VENAS PORTA Y ESPLENICA</t>
  </si>
  <si>
    <t>TRAUMATISMO DE VASOS SANGUINEOS RENALES</t>
  </si>
  <si>
    <t>TRAUMATISMO DE VASOS SANGUINEOS ILIACOS</t>
  </si>
  <si>
    <t>TRAUMATISMO DEL BAZO</t>
  </si>
  <si>
    <t>TRAUMATISMO DEL HIGADO Y DE LA VESICULA BILIAR</t>
  </si>
  <si>
    <t>TRAUMATISMO DEL PANCREAS</t>
  </si>
  <si>
    <t>TRAUMATISMO DEL ESTOMAGO</t>
  </si>
  <si>
    <t>TRAUMATISMO DEL INTESTINO DELGADO</t>
  </si>
  <si>
    <t>TRAUMATISMO DEL COLON</t>
  </si>
  <si>
    <t>TRAUMATISMO DEL RECTO</t>
  </si>
  <si>
    <t>TRAUMATISMO DE MULTIPLES ORGANOS INTRAABDOMINALES</t>
  </si>
  <si>
    <t>TRAUMATISMO DE OTROS ORGANOS INTRAABDOMINALES</t>
  </si>
  <si>
    <t>TRAUMATISMO DE ORGANO INTRAABDOMINAL NO ESPECIFICADO</t>
  </si>
  <si>
    <t>TRAUMATISMO DEL RIÑON</t>
  </si>
  <si>
    <t>TRAUMATISMO DEL URETER</t>
  </si>
  <si>
    <t>TRAUMATISMO DE LA VEJIGA</t>
  </si>
  <si>
    <t>TRAUMATISMO DE LA URETRA</t>
  </si>
  <si>
    <t>TRAUMATISMO DEL OVARIO</t>
  </si>
  <si>
    <t>TRAUMATISMO DE LA TROMPA DE FALOPIO</t>
  </si>
  <si>
    <t>TRAUMATISMO DEL UTERO</t>
  </si>
  <si>
    <t>TRAUMATISMO DE MULTIPLES ORGANOS PELVICOS</t>
  </si>
  <si>
    <t>TRAUMATISMO DE OTROS ORGANOS PELVICOS</t>
  </si>
  <si>
    <t>TRAUMATISMO DE ORGANO PELVICO NO ESPECIFICADO</t>
  </si>
  <si>
    <t>TRAUMATISMO POR APLASTAMIENTO DE ORGANOS GENITALES EXTERNOS</t>
  </si>
  <si>
    <t>AMPUTACION TRAUMATICA DE ORGANOS GENITALES EXTERNOS</t>
  </si>
  <si>
    <t>TRAUMATISMO DE ORGANO(S) INTRAABDOMINAL(ES) CON ORGANO(S) PELVICO(S)</t>
  </si>
  <si>
    <t>CONTUSION DEL HOMBRO Y DEL BRAZO</t>
  </si>
  <si>
    <t>TRAUMATISMOS SUPERFICIALES MULTIPLES DEL HOMBRO Y DEL BRAZO</t>
  </si>
  <si>
    <t>OTROS TRAUMATISMOS SUPERFICIALES DEL HOMBRO Y DEL BRAZO</t>
  </si>
  <si>
    <t>TRAUMATISMO SUPERFICIAL NO ESPECIFICADO DEL HOMBRO Y DEL BRAZO</t>
  </si>
  <si>
    <t>HERIDA DEL HOMBRO</t>
  </si>
  <si>
    <t>HERIDA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</si>
  <si>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</si>
  <si>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</si>
  <si>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</si>
  <si>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</si>
  <si>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</si>
  <si>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</si>
  <si>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</si>
  <si>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FRACTURA DE OTRAS PARTES DEL HOMBRO Y DEL BRAZO</t>
  </si>
  <si>
    <t>FRACTURA DEL HOMBRO Y DEL BRAZO, PARTE NO ESPECIFICADA</t>
  </si>
  <si>
    <t>LUXACION DE LA ARTICULACION DEL HOMBRO</t>
  </si>
  <si>
    <t>LUXACION DE LA ARTICULACION ACROMIOCLAVICULAR</t>
  </si>
  <si>
    <t>LUXACION DE LA ARTICULACION ESTERNOCLAVICULAR</t>
  </si>
  <si>
    <t>ESGUINCES Y TORCEDURAS DE LA ARTICULACION DEL HOMBRO</t>
  </si>
  <si>
    <t>ESGUINCES Y TORCEDURAS DE LA ARTICULACION ACROMIOCLAVICULAR</t>
  </si>
  <si>
    <t>ESGUINCES Y TORCEDURAS DE LA ARTICULACION ESTERNOCLAVICULAR</t>
  </si>
  <si>
    <t>TRAUMATISMO DEL NERVIO CUBITAL A NIVEL DEL BRAZO</t>
  </si>
  <si>
    <t>TRAUMATISMO DEL NERVIO MEDIANO A NIVEL DEL BRAZO</t>
  </si>
  <si>
    <t>TRAUMATISMO DEL NERVIO RADIAL A NIVEL DEL BRAZO</t>
  </si>
  <si>
    <t>TRAUMATISMO DEL NERVIO AXILAR</t>
  </si>
  <si>
    <t>TRAUMATISMO DEL NERVIO MUSCULOCUTANEO</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</si>
  <si>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</si>
  <si>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</si>
  <si>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</si>
  <si>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</si>
  <si>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</si>
  <si>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OTROS VASOS SANGUINEOS A NIVEL DEL HOMBRO Y DEL BRAZO</t>
  </si>
  <si>
    <t>TRAUMATISMO POR APLASTAMIENTO DEL HOMBRO Y DEL BRAZO</t>
  </si>
  <si>
    <t>AMPUTACION TRAUMATICA A NIVEL ENTRE EL HOMBRO Y EL CODO</t>
  </si>
  <si>
    <t>AMPUTACION TRAUMATICA DEL HOMBRO Y DEL BRAZO, NIVEL NO ESPECIFICADO</t>
  </si>
  <si>
    <t>TRAUMATISMOS MULTIPLES DEL HOMBRO Y DEL BRAZO</t>
  </si>
  <si>
    <t>OTROS TRAUMATISMOS ESPECIFICADOS DEL HOMBRO Y DEL BRAZO</t>
  </si>
  <si>
    <t>TRAUMATISMOS NO ESPECIFICADOS DEL HOMBRO Y DEL BRAZO</t>
  </si>
  <si>
    <t>CONTUSION DEL CODO</t>
  </si>
  <si>
    <t>CONTUSION DE OTRAS PARTES DEL ANTEBRAZO Y DE LAS NO ESPECIFICADAS</t>
  </si>
  <si>
    <t>TRAUMATISMOS SUPERFICIALES MULTIPLES DEL ANTEBRAZO</t>
  </si>
  <si>
    <t>OTROS TRAUMATISMOS SUPERFICIALES DEL ANTEBRAZO</t>
  </si>
  <si>
    <t>TRAUMATISMO SUPERFICIAL DEL ANTEBRAZO, NO ESPECIFICADO</t>
  </si>
  <si>
    <t>HERIDA DEL CODO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</si>
  <si>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</si>
  <si>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</si>
  <si>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</si>
  <si>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</si>
  <si>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</si>
  <si>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</si>
  <si>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</si>
  <si>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</si>
  <si>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</si>
  <si>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FRACTURA DE OTRAS PARTES DEL ANTEBRAZO</t>
  </si>
  <si>
    <t>FRACTURA DEL ANTEBRAZO, PARTE NO ESPECIFICADA</t>
  </si>
  <si>
    <t>LUXACION DE LA CABEZA DEL RADIO</t>
  </si>
  <si>
    <t>LUXACION DEL CODO, NO ESPECIFICADA</t>
  </si>
  <si>
    <t>RUPTURA TRAUMATICA DEL LIGAMENTO LATERAL DEL RADIO</t>
  </si>
  <si>
    <t>RUPTURA TRAUMATICA DEL LIGAMENTO LATERAL DEL CUBITO</t>
  </si>
  <si>
    <t>ESGUINCES Y TORCEDURAS DEL CODO</t>
  </si>
  <si>
    <t>TRAUMATISMO DEL NERVIO CUBITAL A NIVEL DEL ANTEBRAZO</t>
  </si>
  <si>
    <t>TRAUMATISMO DEL NERVIO MEDIANO A NIVEL DEL ANTEBRAZO</t>
  </si>
  <si>
    <t>TRAUMATISMO DEL NERVIO RADIAL A NIVEL DEL ANTEBRAZO</t>
  </si>
  <si>
    <t>TRAUMATISMO DEL NERVIO SENSORIAL CUTANEO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</si>
  <si>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</si>
  <si>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</si>
  <si>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</si>
  <si>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</si>
  <si>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</si>
  <si>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DE MULTIPLES VASOS SANGUINEOS A NIVEL DEL ANTEBRAZO</t>
  </si>
  <si>
    <t>TRAUMATISMO DE OTROS VASOS SANGUINEOS A NIVEL DEL ANTEBRAZO</t>
  </si>
  <si>
    <t>TRAUMATISMO DE VASO SANGUINEO NO ESPECIFICADO A NIVEL DEL ANTEBRAZO</t>
  </si>
  <si>
    <t>TRAUMATISMO DE OTRO TENDON Y MUSCULO EXTENSOR A NIVEL DEL ANTEBRAZO</t>
  </si>
  <si>
    <t>TRAUMATISMO DE MULTIPLES TENDONES Y MUSCULOS A NIVEL DEL ANTEBRAZO</t>
  </si>
  <si>
    <t>TRAUMATISMO POR APLASTAMIENTO DEL CODO</t>
  </si>
  <si>
    <t>TRAUMATISMO POR APLASTAMIENTO DE OTRAS PARTES DEL ANTEBRAZO</t>
  </si>
  <si>
    <t>TRAUMATISMO POR APLASTAMIENTO DEL ANTEBRAZO, PARTE NO ESPECIFICADA</t>
  </si>
  <si>
    <t>AMPUTACION TRAUMATICA A NIVEL DEL CODO</t>
  </si>
  <si>
    <t>AMPUTACION TRAUMATICA DEL ANTEBRAZO, NIVEL NO ESPECIFICADO</t>
  </si>
  <si>
    <t>TRAUMATISMOS MULTIPLES DEL ANTEBRAZO</t>
  </si>
  <si>
    <t>OTROS TRAUMATISMOS ESPECIFICADOS DEL ANTEBRAZO</t>
  </si>
  <si>
    <t>CONTUSION DE DEDO(S) DE LA MANO, SIN DAÑO DE LA(S) UÑA(S)</t>
  </si>
  <si>
    <t>CONTUSION DE OTRAS PARTES DE LA MUÑECA Y DE LA MANO</t>
  </si>
  <si>
    <t>TRAUMATISMOS SUPERFICIALES MULTIPLES DE LA MUÑECA Y DE LA MANO</t>
  </si>
  <si>
    <t>OTROS TRAUMATISMOS SUPERFICIALES DE LA MUÑECA Y DE LA MANO</t>
  </si>
  <si>
    <t>TRAUMATISMO SUPERFICIAL DE LA MUÑECA Y DE LA MANO, NO ESPECIFICADO</t>
  </si>
  <si>
    <t>HERIDA DE DEDO(S) DE LA MANO, SIN DAÑO DE LA(S) UÑA(S)</t>
  </si>
  <si>
    <t>HERIDA DE DEDO(S) DE LA MANO, CON DAÑO DE LA(S) UÑA(S)</t>
  </si>
  <si>
    <t>HERIDAS MULTIPLES DE LA MUÑECA Y DE LA MANO</t>
  </si>
  <si>
    <t>HERIDA DE LA MUÑECA Y DE LA MANO, PARTE NO ESPECIFICADA</t>
  </si>
  <si>
    <t>FRACTURA DE OTRO(S) HUESO(S) DEL CARPO</t>
  </si>
  <si>
    <t>FRACTURA DEL PRIMER METACARPIANO</t>
  </si>
  <si>
    <t>FRACTURA DE OTROS HUESOS METACARPIANOS</t>
  </si>
  <si>
    <t>FRACTURAS MULTIPLES DE HUESOS METACARPIANOS</t>
  </si>
  <si>
    <t>FRACTURA DEL PULGAR</t>
  </si>
  <si>
    <t>FRACTURA DE OTRO DEDO DE LA MANO</t>
  </si>
  <si>
    <t>FRACTURAS MULTIPLES DE LOS DEDOS DE LA MANO</t>
  </si>
  <si>
    <t>LUXACION DE LA MUÑECA</t>
  </si>
  <si>
    <t>LUXACION DE DEDOS DE LA MANO</t>
  </si>
  <si>
    <t>LUXACIONES MULTIPLES DE DEDOS DE LA MANO</t>
  </si>
  <si>
    <t>RUPTURA TRAUMATICA DE LIGAMENTOS DE LA MUÑECA Y DEL CARPO</t>
  </si>
  <si>
    <t>ESGUINCES Y TORCEDURAS DE DEDO(S) DE LA MANO</t>
  </si>
  <si>
    <t>TRAUMATISMO DEL NERVIO CUBITAL A NIVEL DE LA MUÑECA Y DE LA MANO</t>
  </si>
  <si>
    <t>TRAUMATISMO DEL NERVIO MEDIANO A NIVEL DE LA MUÑECA Y DE LA MANO</t>
  </si>
  <si>
    <t>TRAUMATISMO DEL NERVIO RADIAL A NIVEL DE LA MUÑECA Y DE LA MANO</t>
  </si>
  <si>
    <t>TRAUMATISMO DEL NERVIO DIGITAL DEL PULGAR</t>
  </si>
  <si>
    <t>TRAUMATISMO DEL NERVIO DIGITAL DE OTRO DEDO</t>
  </si>
  <si>
    <t>TRAUMATISMO DE MULTIPLES NERVIOS A NIVEL DE LA MUÑECA Y DE LA MANO</t>
  </si>
  <si>
    <t>TRAUMATISMO DE OTROS NERVIOS A NIVEL DE LA MUÑECA Y DE LA MANO</t>
  </si>
  <si>
    <t>TRAUMATISMO DE LA ARTERIA CUBITAL A NIVEL DE LA MUÑECA Y DE LA MANO</t>
  </si>
  <si>
    <t>TRAUMATISMO DE LA ARTERIA RADIAL A NIVEL DE LA MUÑECA Y DE LA MANO</t>
  </si>
  <si>
    <t>TRAUMATISMO DEL ARCO PALMAR SUPERFICIAL</t>
  </si>
  <si>
    <t>TRAUMATISMO DEL ARCO PALMAR PROFUNDO</t>
  </si>
  <si>
    <t>TRAUMATISMO DE VASO(S) SANGUINEO(S) DEL PULGAR</t>
  </si>
  <si>
    <t>TRAUMATISMO DE VASO(S) SANGUINEO(S) DE OTRO DEDO</t>
  </si>
  <si>
    <t>TRAUMATISMO POR APLASTAMIENTO DEL PULGAR Y OTRO(S) DEDO(S)</t>
  </si>
  <si>
    <t>AMPUTACION TRAUMATICA DEL PULGAR (COMPLETA) (PARCIAL)</t>
  </si>
  <si>
    <t>AMPUTACION TRAUMATICA DE OTRO DEDO UNICO (COMPLETA) (PARCIAL)</t>
  </si>
  <si>
    <t>AMPUTACION TRAUMATICA DE LA MANO A NIVEL DE LA MUÑECA</t>
  </si>
  <si>
    <t>AMPUTACION TRAUMATICA DE OTRAS PARTES DE LA MUÑECA Y DE LA MANO</t>
  </si>
  <si>
    <t>AMPUTACION TRAUMATICA DE LA MUÑECA Y DE LA MANO, NIVEL NO ESPECIFICADO</t>
  </si>
  <si>
    <t>TRAUMATISMOS MULTIPLES DE LA MUÑECA Y DE LA MANO</t>
  </si>
  <si>
    <t>OTROS TRAUMATISMOS ESPECIFICADOS DE LA MUÑECA Y DE LA MANO</t>
  </si>
  <si>
    <t>TRAUMATISMO NO ESPECIFICADO DE LA MUÑECA Y DE LA MANO</t>
  </si>
  <si>
    <t>CONTUSION DE LA CADERA</t>
  </si>
  <si>
    <t>CONTUSION DEL MUSLO</t>
  </si>
  <si>
    <t>TRAUMATISMOS SUPERFICIALES MULTIPLES DE LA CADERA Y DEL MUSLO</t>
  </si>
  <si>
    <t>OTROS TRAUMATISMOS SUPERFICIALES DE LA CADERA Y DEL MUSLO</t>
  </si>
  <si>
    <t>TRAUMATISMO SUPERFICIAL DE LA CADERA Y DEL MUSLO, NO ESPECIFICADO</t>
  </si>
  <si>
    <t>HERIDA DE LA CADERA</t>
  </si>
  <si>
    <t>HERIDA DEL MUSLO</t>
  </si>
  <si>
    <t>HERIDAS MULTIPLES DE LA CADERA Y DEL MUSLO</t>
  </si>
  <si>
    <t>FRACTURA PERTROCANTERIANA</t>
  </si>
  <si>
    <t>FRACTURA SUBTROCANTERIANA</t>
  </si>
  <si>
    <t>FRACTURA DE LA DIAFISIS DEL FEMUR</t>
  </si>
  <si>
    <t>FRACTURA DE LA EPIFISIS INFERIOR DEL FEMUR</t>
  </si>
  <si>
    <t>FRACTURAS MULTIPLES DEL FEMUR</t>
  </si>
  <si>
    <t>FRACTURA DEL FEMUR, PARTE NO ESPECIFICADA</t>
  </si>
  <si>
    <t>ESGUINCES Y TORCEDURAS DE LA CADERA</t>
  </si>
  <si>
    <t>TRAUMATISMO DEL NERVIO CIATICO A NIVEL DE LA CADERA Y DEL MUSLO</t>
  </si>
  <si>
    <t>TRAUMATISMO DEL NERVIO FEMOROCUTANEO A NIVEL DE LA CADERA Y DEL MUSLO</t>
  </si>
  <si>
    <t>TRAUMATISMO DE NERVIOS MULTIPLES A NIVEL DE LA CADERA Y DEL MUSLO</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</si>
  <si>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</si>
  <si>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</si>
  <si>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</si>
  <si>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</si>
  <si>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</si>
  <si>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DE OTROS VASOS SANGUINEOS A NIVEL DE LA CADERA Y DEL MUSLO</t>
  </si>
  <si>
    <t>TRAUMATISMO DEL TENDON Y MUSCULO DE LA CADERA</t>
  </si>
  <si>
    <t>TRAUMATISMO DEL TENDON Y MUSCULO CUADRICEPS</t>
  </si>
  <si>
    <t>TRAUMATISMO DEL TENDON Y MUSCULO ADUCTOR MAYOR DEL MUSLO</t>
  </si>
  <si>
    <t>TRAUMATISMO POR APLASTAMIENTO DE LA CADERA</t>
  </si>
  <si>
    <t>TRAUMATISMO POR APLASTAMIENTO DEL MUSLO</t>
  </si>
  <si>
    <t>TRAUMATISMO POR APLASTAMIENTO DE LA CADERA CON EL MUSLO</t>
  </si>
  <si>
    <t>AMPUTACION TRAUMATICA DE LA ARTICULACION DE LA CADERA</t>
  </si>
  <si>
    <t>AMPUTACION TRAUMATICA EN ALGUN NIVEL ENTRE LA CADERA Y LA RODILLA</t>
  </si>
  <si>
    <t>AMPUTACION TRAUMATICA DE CADERA Y MUSLO, NIVEL NO ESPECIFICADO</t>
  </si>
  <si>
    <t>TRAUMATISMOS MULTIPLES DE LA CADERA Y DEL MUSLO</t>
  </si>
  <si>
    <t>OTROS TRAUMATISMOS ESPECIFICADOS DE LA CADERA Y DEL MUSLO</t>
  </si>
  <si>
    <t>TRAUMATISMO NO ESPECIFICADO DE LA CADERA Y DEL MUSLO</t>
  </si>
  <si>
    <t>CONTUSION DE LA RODILLA</t>
  </si>
  <si>
    <t>CONTUSION DE OTRAS PARTES Y LAS NO ESPECIFICADAS DE LA PIERNA</t>
  </si>
  <si>
    <t>TRAUMATISMOS SUPERFICIALES MULTIPLES DE LA PIERNA</t>
  </si>
  <si>
    <t>OTROS TRAUMATISMOS SUPERFICIALES DE LA PIERNA</t>
  </si>
  <si>
    <t>TRAUMATISMO SUPERFICIAL DE LA PIERNA, NO ESPECIFICADO</t>
  </si>
  <si>
    <t>HERIDA DE LA RODILLA</t>
  </si>
  <si>
    <t>HERIDAS MULTIPLES DE LA PIERNA</t>
  </si>
  <si>
    <t>HERIDA DE OTRAS PARTES DE LA PIERNA</t>
  </si>
  <si>
    <t>HERIDA DE LA PIERNA, PARTE NO ESPECIFICADA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</si>
  <si>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</si>
  <si>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</si>
  <si>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</si>
  <si>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</si>
  <si>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</si>
  <si>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</si>
  <si>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</si>
  <si>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</si>
  <si>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FRACTURA DE OTRAS PARTES DE LA PIERNA</t>
  </si>
  <si>
    <t>FRACTURA DE LA PIERNA, PARTE NO ESPECIFICADA</t>
  </si>
  <si>
    <t>LUXACION DE LA ROTULA</t>
  </si>
  <si>
    <t>LUXACION DE LA RODILLA</t>
  </si>
  <si>
    <t>DESGARRO DE MENISCOS, PRESENTE</t>
  </si>
  <si>
    <t>DESGARRO DEL CARTILAGO ARTICULAR DE LA RODILLA, PRESENTE</t>
  </si>
  <si>
    <t>TRAUMATISMO DE ESTRUCTURAS MULTIPLES DE LA RODILLA</t>
  </si>
  <si>
    <t>TRAUMATISMO DEL NERVIO TIBIAL A NIVEL DE LA PIERNA</t>
  </si>
  <si>
    <t>TRAUMATISMO DEL NERVIO PERONEO A NIVEL DE LA PIERNA</t>
  </si>
  <si>
    <t>TRAUMATISMO DEL NERVIO SENSORIAL CUTANEO A NIVEL DE LA PIERNA</t>
  </si>
  <si>
    <t>TRAUMATISMO DE NERVIOS MULTIPLES A NIVEL DE LA PIERNA</t>
  </si>
  <si>
    <t>TRAUMATISMO DE OTROS NERVIOS A NIVEL DE LA PIERNA</t>
  </si>
  <si>
    <t>TRAUMATISMO DE NERVIO NO ESPECIFICADO A NIVEL DE LA PIERNA</t>
  </si>
  <si>
    <t>TRAUMATISMO DE LA ARTERIA POPLITEA</t>
  </si>
  <si>
    <t>TRAUMATISMO DE LA ARTERIA TIBIAL (ANTERIOR) (POSTERIOR)</t>
  </si>
  <si>
    <t>TRAUMATISMO DE LA ARTERIA PERONEA</t>
  </si>
  <si>
    <t>TRAUMATISMO DE LA GRAN VENA SAFENA A NIVEL DE LA PIERNA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</si>
  <si>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</si>
  <si>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</si>
  <si>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</si>
  <si>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</si>
  <si>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</si>
  <si>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MULTIPLES TENDONES Y MUSCULOS A NIVEL DE LA PIERNA</t>
  </si>
  <si>
    <t>TRAUMATISMO DE OTROS TENDONES Y MUSCULOS A NIVEL DE LA PIERNA</t>
  </si>
  <si>
    <t>TRAUMATISMO POR APLASTAMIENTO DE LA RODILLA</t>
  </si>
  <si>
    <t>AMPUTACION TRAUMATICA A NIVEL DE LA RODILLA</t>
  </si>
  <si>
    <t>AMPUTACION TRAUMATICA EN ALGUN NIVEL ENTRE LA RODILLA Y EL TOBILLO</t>
  </si>
  <si>
    <t>AMPUTACION TRAUMATICA DE LA PIERNA, NIVEL NO ESPECIFICADO</t>
  </si>
  <si>
    <t>TRAUMATISMOS MULTIPLES DE LA PIERNA</t>
  </si>
  <si>
    <t>OTROS TRAUMATISMOS DE LA PIERNA, ESPECIFICADOS</t>
  </si>
  <si>
    <t>TRAUMATISMO DE LA PIERNA, NO ESPECIFICADO</t>
  </si>
  <si>
    <t>CONTUSION DEL TOBILLO</t>
  </si>
  <si>
    <t>CONTUSION DE OTRAS PARTES Y DE LAS NO ESPECIFICADAS DEL PIE</t>
  </si>
  <si>
    <t>TRAUMATISMOS SUPERFICIALES MULTIPLES DEL PIE Y DEL TOBILLO</t>
  </si>
  <si>
    <t>OTROS TRAUMATISMOS SUPERFICIALES DEL PIE Y DEL TOBILLO</t>
  </si>
  <si>
    <t>TRAUMATISMO SUPERFICIAL DEL PIE Y DEL TOBILLO, NO ESPECIFICADO</t>
  </si>
  <si>
    <t>HERIDA DEL TOBILLO</t>
  </si>
  <si>
    <t>HERIDA DE DEDO(S) DEL PIE SIN DAÑO DE LA(S) UÑA(S)</t>
  </si>
  <si>
    <t>HERIDA DE DEDO(S) DEL PIE CON DAÑO DE LA(S) UÑA(S)</t>
  </si>
  <si>
    <t>HERIDAS MULTIPLES DEL TOBILLO Y DEL PIE</t>
  </si>
  <si>
    <t>FRACTURA DEL CALCANEO</t>
  </si>
  <si>
    <t>FRACTURA DEL ASTRAGALO</t>
  </si>
  <si>
    <t>FRACTURA DE OTRO(S) HUESO(S) DEL TARSO</t>
  </si>
  <si>
    <t>FRACTURA DE HUESO DEL METATARSO</t>
  </si>
  <si>
    <t>FRACTURA DE LOS HUESOS DEL DEDO GORDO DEL PIE</t>
  </si>
  <si>
    <t>FRACTURA DE LOS HUESOS DE OTRO(S) DEDO(S) DEL PIE</t>
  </si>
  <si>
    <t>FRACTURAS MULTIPLES DEL PIE</t>
  </si>
  <si>
    <t>FRACTURA DEL PIE, NO ESPECIFICADA</t>
  </si>
  <si>
    <t>LUXACION DE LA ARTICULACION DEL TOBILLO</t>
  </si>
  <si>
    <t>LUXACION DE DEDO(S) DEL PIE</t>
  </si>
  <si>
    <t>RUPTURA DE LIGAMENTOS A NIVEL DEL TOBILLO Y DEL PIE</t>
  </si>
  <si>
    <t>LUXACION DE OTROS SITIOS Y LOS NO ESPECIFICADOS DEL PIE</t>
  </si>
  <si>
    <t>ESGUINCES Y TORCEDURAS DEL TOBILLO</t>
  </si>
  <si>
    <t>ESGUINCES Y TORCEDURAS DE DEDO(S) DEL PIE</t>
  </si>
  <si>
    <t>TRAUMATISMO DEL NERVIO PLANTAR EXTERNO</t>
  </si>
  <si>
    <t>TRAUMATISMO DEL NERVIO PLANTAR INTERNO</t>
  </si>
  <si>
    <t>TRAUMATISMO DEL NERVIO PERONEAL PROFUNDO A NIVEL DEL PIE Y DEL TOBILLO</t>
  </si>
  <si>
    <t>TRAUMATISMO DE MULTIPLES NERVIOS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</si>
  <si>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</si>
  <si>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</si>
  <si>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</si>
  <si>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</si>
  <si>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</si>
  <si>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DE OTROS VASOS SANGUINEOS A NIVEL DEL PIE Y DEL TOBILLO</t>
  </si>
  <si>
    <t>TRAUMATISMO DE OTROS TENDONES Y MUSCULOS A NIVEL DEL PIE Y DEL TOBILLO</t>
  </si>
  <si>
    <t>TRAUMATISMO POR APLASTAMIENTO DEL TOBILLO</t>
  </si>
  <si>
    <t>TRAUMATISMO POR APLASTAMIENTO DE DEDO(S) DEL PIE</t>
  </si>
  <si>
    <t>TRAUMATISMO POR APLASTAMIENTO DE OTRAS PARTES DEL PIE Y DEL TOBILLO</t>
  </si>
  <si>
    <t>AMPUTACION TRAUMATICA DEL PIE A NIVEL DEL TOBILLO</t>
  </si>
  <si>
    <t>AMPUTACION TRAUMATICA DE UN DEDO DEL PIE</t>
  </si>
  <si>
    <t>AMPUTACION TRAUMATICA DE DOS O MAS DEDOS DEL PIE</t>
  </si>
  <si>
    <t>AMPUTACION TRAUMATICA DE OTRAS PARTES DEL PIE</t>
  </si>
  <si>
    <t>AMPUTACION DEL PIE, NIVEL NO ESPECIFICADO</t>
  </si>
  <si>
    <t>TRAUMATISMOS MULTIPLES DEL PIE Y DEL TOBILLO</t>
  </si>
  <si>
    <t>OTROS TRAUMATISMOS DEL PIE Y DEL TOBILLO, ESPECIFICADOS</t>
  </si>
  <si>
    <t>TRAUMATISMO DEL PIE Y DEL TOBILLO, NO ESPECIFICADO</t>
  </si>
  <si>
    <t>TRAUMATISMOS SUPERFICIALES QUE AFECTAN LA CABEZA CON EL CUELLO</t>
  </si>
  <si>
    <t>TRAUMATISMOS SUPERFICIALES MULTIPLES, NO ESPECIFICADOS</t>
  </si>
  <si>
    <t>HERIDAS QUE AFECTAN LA CABEZA CON EL CUELLO</t>
  </si>
  <si>
    <t>FRACTURAS QUE AFECTAN LA CABEZA CON EL CUELLO</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</si>
  <si>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</si>
  <si>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</si>
  <si>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</si>
  <si>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</si>
  <si>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LUXACIONES, TORCEDURAS Y ESGUINCES QUE AFECTAN LA CABEZA CON EL CUELLO</t>
  </si>
  <si>
    <t>LUXACIONES, TORCEDURAS Y ESGUINCES MULTIPLES, NO ESPECIFICADOS</t>
  </si>
  <si>
    <t>TRAUMATISMOS POR APLASTAMIENTO QUE AFECTAN LA CABEZA CON EL CUELLO</t>
  </si>
  <si>
    <t>AMPUTACION TRAUMATICA DE AMBAS MANOS</t>
  </si>
  <si>
    <t>AMPUTACION TRAUMATICA DE AMBOS PIES</t>
  </si>
  <si>
    <t>TRAUMATISMOS DE NERVIOS QUE AFECTAN MULTIPLES REGIONES DEL CUERPO</t>
  </si>
  <si>
    <t>TRAUMATISMOS MULTIPLES, NO ESPECIFICADOS</t>
  </si>
  <si>
    <t>FRACTURA DE LA COLUMNA VERTEBRAL, NIVEL NO ESPECIFICADO</t>
  </si>
  <si>
    <t>HERIDA DEL TRONCO, NIVEL NO ESPECIFICADO</t>
  </si>
  <si>
    <t>TRAUMATISMO DE LA MEDULA ESPINAL, NIVEL NO ESPECIFICADO</t>
  </si>
  <si>
    <t>TRAUMATISMO DE TENDONES Y MUSCULOS DEL TRONCO NO ESPECIFICADOS</t>
  </si>
  <si>
    <t>AMPUTACION TRAUMATICA DEL TRONCO, NIVEL NO ESPECIFICADO</t>
  </si>
  <si>
    <t>OTROS TRAUMATISMOS ESPECIFICADOS DEL TRONCO, NIVEL NO ESPECIFICADO</t>
  </si>
  <si>
    <t>TRAUMATISMO NO ESPECIFICADO DEL TRONCO, NIVEL NO ESPECIFICADO</t>
  </si>
  <si>
    <t>FRACTURA DE MIEMBRO SUPERIOR, NIVEL NO ESPECIFICADO</t>
  </si>
  <si>
    <t>HERIDA DE MIEMBRO SUPERIOR, NIVEL NO ESPECIFICADO</t>
  </si>
  <si>
    <t>AMPUTACION TRAUMATICA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</si>
  <si>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</si>
  <si>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</si>
  <si>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</si>
  <si>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</si>
  <si>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AMPUTACION TRAUMATICA DE MIEMBRO INFERIOR, NIVEL NO ESPECIFICADO</t>
  </si>
  <si>
    <t>TRAUMATISMO NO ESPECIFICADO DE MIEMBRO INFERIOR, NIVEL NO ESPECIFICADO</t>
  </si>
  <si>
    <t>HERIDA DE REGION NO ESPECIFICADA DEL CUERPO</t>
  </si>
  <si>
    <t>FRACTURA DE REGION NO ESPECIFICADA DEL CUERPO</t>
  </si>
  <si>
    <t>TRAUMATISMO DE NERVIO(S) DE REGION NO ESPECIFICADA DEL CUERPO</t>
  </si>
  <si>
    <t>OTROS TRAUMATISMOS DE REGION NO ESPECIFICADA DEL CUERPO</t>
  </si>
  <si>
    <t>TRAUMATISMO, NO ESPECIFICADO</t>
  </si>
  <si>
    <t>CUERPO EXTRAÑO EN LA CORNEA</t>
  </si>
  <si>
    <t>CUERPO EXTRAÑO EN EL SACO CONJUNTIVAL</t>
  </si>
  <si>
    <t>CUERPO EXTRAÑO EN PARTE EXTERNA DEL OJO, SITIO NO ESPECIFICADO</t>
  </si>
  <si>
    <t>CUERPO EXTRAÑO EN EL OIDO</t>
  </si>
  <si>
    <t>CUERPO EXTRAÑO EN SENO PARANASAL</t>
  </si>
  <si>
    <t>CUERPO EXTRAÑO EN EL ORIFICIO NASAL</t>
  </si>
  <si>
    <t>CUERPO EXTRAÑO EN LA FARINGE</t>
  </si>
  <si>
    <t>CUERPO EXTRAÑO EN LA LARINGE</t>
  </si>
  <si>
    <t>CUERPO EXTRAÑO EN LA TRAQUEA</t>
  </si>
  <si>
    <t>CUERPO EXTRAÑO EN BRONQUIOS</t>
  </si>
  <si>
    <t>CUERPO EXTRAÑO EN LAS VIAS RESPIRATORIAS, PARTE NO ESPECIFICADA</t>
  </si>
  <si>
    <t>CUERPO EXTRAÑO EN LA BOCA</t>
  </si>
  <si>
    <t>CUERPO EXTRAÑO EN EL ESOFAGO</t>
  </si>
  <si>
    <t>CUERPO EXTRAÑO EN EL ESTOMAGO</t>
  </si>
  <si>
    <t>CUERPO EXTRAÑO EN EL INTESTINO DELGADO</t>
  </si>
  <si>
    <t>CUERPO EXTRAÑO EN EL COLON</t>
  </si>
  <si>
    <t>CUERPO EXTRAÑO EN EL ANO Y EN EL RECTO</t>
  </si>
  <si>
    <t>CUERPO EXTRAÑO EN OTRAS Y EN MULTIPLES PARTES DEL TUBO DIGESTIVO</t>
  </si>
  <si>
    <t>CUERPO EXTRAÑO EN EL TUBO DIGESTIVO, PARTE NO ESPECIFICADA</t>
  </si>
  <si>
    <t>CUERPO EXTRAÑO EN LA URETRA</t>
  </si>
  <si>
    <t>CUERPO EXTRAÑO EN LA VEJIGA</t>
  </si>
  <si>
    <t>CUERPO EXTRAÑO EN LA VULVA Y EN LA VAGINA</t>
  </si>
  <si>
    <t>CUERPO EXTRAÑO EN LAS VIAS GENITOURINARIAS, PARTE NO ESPECIFICADA</t>
  </si>
  <si>
    <t>QUEMADURA DE LA CABEZA Y DEL CUELLO, GRADO NO ESPECIFICADO</t>
  </si>
  <si>
    <t>QUEMADURA DE LA CABEZA Y DEL CUELLO, DE PRIMER GRADO</t>
  </si>
  <si>
    <t>QUEMADURA DE LA CABEZA Y DEL CUELLO, DE SEGUNDO GRADO</t>
  </si>
  <si>
    <t>QUEMADURA DE LA CABEZA Y DEL CUELLO, DE TERCER GRADO</t>
  </si>
  <si>
    <t>CORROSION DE LA CABEZA Y DEL CUELLO, GRADO NO ESPECIFICADO</t>
  </si>
  <si>
    <t>CORROSION DE LA CABEZA Y DEL CUELLO, DE PRIMER GRADO</t>
  </si>
  <si>
    <t>CORROSION DE LA CABEZA Y DEL CUELLO, DE SEGUNDO GRADO</t>
  </si>
  <si>
    <t>CORROSION DE LA CABEZA Y DEL CUELLO, DE TERCER GRADO</t>
  </si>
  <si>
    <t>QUEMADURA DEL TRONCO, GRADO NO ESPECIFICADO</t>
  </si>
  <si>
    <t>QUEMADURA DEL TRONCO, DE PRIMER GRADO</t>
  </si>
  <si>
    <t>QUEMADURA DEL TRONCO, DE SEGUNDO GRADO</t>
  </si>
  <si>
    <t>QUEMADURA DEL TRONCO, DE TERCER GRADO</t>
  </si>
  <si>
    <t>CORROSION DEL TRONCO, GRADO NO ESPECIFICADO</t>
  </si>
  <si>
    <t>CORROSION DEL TRONCO, DE PRIMER GRADO</t>
  </si>
  <si>
    <t>CORROSION DEL TRONCO, DE SEGUNDO GRADO</t>
  </si>
  <si>
    <t>CORROSION DEL TRONCO, DE TERCER GRADO</t>
  </si>
  <si>
    <t>QUEMADURA DE LA MUÑECA Y DE LA MANO, GRADO NO ESPECIFICADO</t>
  </si>
  <si>
    <t>QUEMADURA DE LA MUÑECA Y DE LA MANO, DE PRIMER GRADO</t>
  </si>
  <si>
    <t>QUEMADURA DE LA MUÑECA Y DE LA MANO, DE SEGUNDO GRADO</t>
  </si>
  <si>
    <t>QUEMADURA DE LA MUÑECA Y DE LA MANO, DE TERCER GRADO</t>
  </si>
  <si>
    <t>CORROSION DE LA MUÑECA Y DE LA MANO, GRADO NO ESPECIFICADO</t>
  </si>
  <si>
    <t>CORROSION DE LA MUÑECA Y DE LA MANO, DE PRIMER GRADO</t>
  </si>
  <si>
    <t>CORROSION DE LA MUÑECA Y DE LA MANO, DE SEGUNDO GRADO</t>
  </si>
  <si>
    <t>CORROSION DE LA MUÑECA Y DE LA MANO, DE TERCER GRADO</t>
  </si>
  <si>
    <t>QUEMADURA DEL TOBILLO Y DEL PIE, GRADO NO ESPECIFICADO</t>
  </si>
  <si>
    <t>QUEMADURA DEL TOBILLO Y DEL PIE, DE PRIMER GRADO</t>
  </si>
  <si>
    <t>QUEMADURA DEL TOBILLO Y DEL PIE, DE SEGUNDO GRADO</t>
  </si>
  <si>
    <t>QUEMADURA DEL TOBILLO Y DEL PIE, DE TERCER GRADO</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</si>
  <si>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</si>
  <si>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</si>
  <si>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</si>
  <si>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</si>
  <si>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</si>
  <si>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</si>
  <si>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</si>
  <si>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QUEMADURA DE OTRAS PARTES DEL OJO Y SUS ANEXOS</t>
  </si>
  <si>
    <t>QUEMADURA DEL OJO Y ANEXOS, PARTE NO ESPECIFICADA</t>
  </si>
  <si>
    <t>CORROSION DEL PARPADO Y AREA PERIOCULAR</t>
  </si>
  <si>
    <t>CORROSION DE LA CORNEA Y SACO CONJUNTIVAL</t>
  </si>
  <si>
    <t>CORROSION CON RUPTURA Y DESTRUCCION RESULTANTES DEL GLOBO OCULAR</t>
  </si>
  <si>
    <t>CORROSION DE OTRAS PARTES DEL OJO Y SUS ANEXOS</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</si>
  <si>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</si>
  <si>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</si>
  <si>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</si>
  <si>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</si>
  <si>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</si>
  <si>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</si>
  <si>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</si>
  <si>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 LA BOCA Y DE LA FARINGE</t>
  </si>
  <si>
    <t>QUEMADURA DEL ESOFAGO</t>
  </si>
  <si>
    <t>QUEMADURA DE OTRAS PARTES DEL TUBO DIGESTIVO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</si>
  <si>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</si>
  <si>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</si>
  <si>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</si>
  <si>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</si>
  <si>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</si>
  <si>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</si>
  <si>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</si>
  <si>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</si>
  <si>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CORROSIONES DE MULTIPLES REGIONES, GRADO NO ESPECIFICADO</t>
  </si>
  <si>
    <t>CORROSIONES MULTIPLES, MENCIONADAS COMO DE NO MAS DE PRIMER GRADO</t>
  </si>
  <si>
    <t>CORROSIONES MULTIPLES, MENCIONADAS COMO DE NO MAS DE SEGUNDO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</si>
  <si>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</si>
  <si>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</si>
  <si>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</si>
  <si>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</si>
  <si>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</si>
  <si>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</si>
  <si>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</si>
  <si>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</si>
  <si>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CORROSIONES QUE AFECTAN MENOS DEL 10% DE LA SUPERFICIE DEL CUERPO</t>
  </si>
  <si>
    <t>CONGELAMIENTO SUPERFICIAL DE LA CABEZA</t>
  </si>
  <si>
    <t>CONGELAMIENTO SUPERFICIAL DEL CUELLO</t>
  </si>
  <si>
    <t>CONGELAMIENTO SUPERFICIAL DEL TORAX</t>
  </si>
  <si>
    <t>CONGELAMIENTO SUPERFICIAL DEL BRAZO</t>
  </si>
  <si>
    <t>CONGELAMIENTO SUPERFICIAL DE LA MUÑECA Y DE LA MANO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</si>
  <si>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</si>
  <si>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</si>
  <si>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</si>
  <si>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</si>
  <si>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</si>
  <si>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</si>
  <si>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TORAX</t>
  </si>
  <si>
    <t>CONGELAMIENTO CON NECROSIS TISULAR DEL BRAZO</t>
  </si>
  <si>
    <t>CONGELAMIENTO CON NECROSIS TISULAR DE LA MUÑECA Y DE LA MANO</t>
  </si>
  <si>
    <t>CONGELAMIENTO CON NECROSIS TISULAR DE LA CADERA Y DEL MUSLO</t>
  </si>
  <si>
    <t>CONGELAMIENTO CON NECROSIS TISULAR DE LA RODILLA Y DE LA PIERNA</t>
  </si>
  <si>
    <t>CONGELAMIENTO CON NECROSIS TISULAR DEL TOBILLO Y DEL PIE</t>
  </si>
  <si>
    <t>CONGELAMIENTO SUPERFICIAL QUE AFECTA MULTIPLES REGIONES DEL CUERPO</t>
  </si>
  <si>
    <t>CONGELAMIENTO NO ESPECIFICADO DE LA CABEZA Y DEL CUELLO</t>
  </si>
  <si>
    <t>CONGELAMIENTO NO ESPECIFICADO DEL MIEMBRO SUPERIOR</t>
  </si>
  <si>
    <t>CONGELAMIENTO NO ESPECIFICADO DEL MIEMBRO INFERIOR</t>
  </si>
  <si>
    <t>CONGELAMIENTO NO ESPECIFICADO QUE AFECTA MULTIPLES REGIONES DEL CUERPO</t>
  </si>
  <si>
    <t>CONGELAMIENTO NO ESPECIFICADO, DE SITIO NO ESPECIFICADO</t>
  </si>
  <si>
    <t>EFECTO TOXICO DE DETERGENTES Y JABONES</t>
  </si>
  <si>
    <t>EFECTO TOXICO DEL MONOXIDO DE CARBONO</t>
  </si>
  <si>
    <t>EFECTOS NO ESPECIFICADOS DE LA RADIACION</t>
  </si>
  <si>
    <t>GOLPE DE CALOR E INSOLACION</t>
  </si>
  <si>
    <t>CALAMBRE POR CALOR</t>
  </si>
  <si>
    <t>AGOTAMIENTO POR CALOR, ANHIDROTICO</t>
  </si>
  <si>
    <t>AGOTAMIENTO POR CALOR DEBIDO A DEPLECION DE SAL</t>
  </si>
  <si>
    <t>FATIGA POR CALOR, TRANSITORIA</t>
  </si>
  <si>
    <t>EDEMA POR CALOR</t>
  </si>
  <si>
    <t>OTROS EFECTOS DEL CALOR Y DE LA LUZ</t>
  </si>
  <si>
    <t>EFECTO DEL CALOR Y DE LA LUZ, NO ESPECIFICADO</t>
  </si>
  <si>
    <t>HIPOTERMIA</t>
  </si>
  <si>
    <t>MANO Y PIE DE INMERSION</t>
  </si>
  <si>
    <t>SABAÑON(ES)</t>
  </si>
  <si>
    <t>OTROS EFECTOS ESPECIFICADOS DE LA REDUCCION DE LA TEMPERATURA</t>
  </si>
  <si>
    <t>EFECTO DE LA REDUCCION DE LA TEMPERATURA, NO ESPECIFICADO</t>
  </si>
  <si>
    <t>BAROTRAUMA OTITICO</t>
  </si>
  <si>
    <t>BAROTRAUMA SINUSAL</t>
  </si>
  <si>
    <t>OTROS EFECTOS Y LOS NO ESPECIFICADOS DE LA GRAN ALTITUD</t>
  </si>
  <si>
    <t>EFECTOS DE LIQUIDOS CON ALTA PRESION</t>
  </si>
  <si>
    <t>OTROS EFECTOS DE LA PRESION DEL AIRE Y DEL AGUA</t>
  </si>
  <si>
    <t>EFECTO DE LA PRESION DEL AIRE Y DEL AGUA, NO ESPECIFICADO</t>
  </si>
  <si>
    <t>EFECTOS DEL HAMBRE</t>
  </si>
  <si>
    <t>EFECTOS DE LA SED</t>
  </si>
  <si>
    <t>AGOTAMIENTO DEBIDO A EXPOSICION A LA INTEMPERIE</t>
  </si>
  <si>
    <t>AGOTAMIENTO DEBIDO A ESFUERZO EXCESIVO</t>
  </si>
  <si>
    <t>OTROS EFECTOS DE PRIVACION</t>
  </si>
  <si>
    <t>EFECTOS DE PRIVACION, NO ESPECIFICADOS</t>
  </si>
  <si>
    <t>NEGLIGENCIA O ABANDONO</t>
  </si>
  <si>
    <t>ABUSO FISICO</t>
  </si>
  <si>
    <t>ABUSO SEXUAL</t>
  </si>
  <si>
    <t>ABUSO PSICOLOGICO</t>
  </si>
  <si>
    <t>EFECTOS DEL RAYO</t>
  </si>
  <si>
    <t>AHOGAMIENTO Y SUMERSION NO MORTAL</t>
  </si>
  <si>
    <t>EFECTOS DE LA VIBRACION</t>
  </si>
  <si>
    <t>MAL DEL MOVIMIENTO</t>
  </si>
  <si>
    <t>EFECTOS DE LA CORRIENTE ELECTRICA</t>
  </si>
  <si>
    <t>OTROS EFECTOS ESPECIFICADOS DE CAUSAS EXTERNAS</t>
  </si>
  <si>
    <t>CHOQUE ANAFILACTICO DEBIDO A REACCION ADVERSA A ALIMENTOS</t>
  </si>
  <si>
    <t>OTRA REACCION ADVERSA A ALIMENTOS, NO CLASIFICADA EN OTRA PARTE</t>
  </si>
  <si>
    <t>CHOQUE ANAFILACTICO, NO ESPECIFICADO</t>
  </si>
  <si>
    <t>EDEMA ANGIONEUROTICO</t>
  </si>
  <si>
    <t>ALERGIA NO ESPECIFICADA</t>
  </si>
  <si>
    <t>OTROS EFECTOS ADVERSOS, NO CLASIFICADOS EN OTRA PARTE</t>
  </si>
  <si>
    <t>EMBOLIA GASEOSA (TRAUMATICA)</t>
  </si>
  <si>
    <t>EMBOLIA GRASA (TRAUMATICA)</t>
  </si>
  <si>
    <t>HEMORRAGIA TRAUMATICA SECUNDARIA Y RECURRENTE</t>
  </si>
  <si>
    <t>INFECCION POSTRAUMATICA DE HERIDA, NO CLASIFICADA EN OTRA PARTE</t>
  </si>
  <si>
    <t>CHOQUE TRAUMATICO</t>
  </si>
  <si>
    <t>ANURIA TRAUMATICA</t>
  </si>
  <si>
    <t>ENFISEMA SUBCUTANEO TRAUMATICO</t>
  </si>
  <si>
    <t>OTRAS COMPLICACIONES PRECOCES DE LOS TRAUMATISMOS</t>
  </si>
  <si>
    <t>COMPLICACIONES PRECOCES NO ESPECIFICADAS DE LOS TRAUMATISMOS</t>
  </si>
  <si>
    <t>REACCION DE INCOMPATIBILIDAD AL GRUPO ABO</t>
  </si>
  <si>
    <t>CHOQUE ANAFILACTICO DEBIDO A SUERO</t>
  </si>
  <si>
    <t>OTRAS REACCIONES AL SUERO</t>
  </si>
  <si>
    <t>DESGARRO DE HERIDA OPERATORIA, NO CLASIFICADO EN OTRA PARTE</t>
  </si>
  <si>
    <t>INFECCION CONSECUTIVA A PROCEDIMIENTO, NO CLASIFICADA EN OTRA PARTE</t>
  </si>
  <si>
    <t>OTRAS COMPLICACIONES DE PROCEDIMIENTOS, NO CLASIFICADAS EN OTRA PARTE</t>
  </si>
  <si>
    <t>COMPLICACION MECANICA DE PROTESIS DE VALVULA CARDIACA</t>
  </si>
  <si>
    <t>COMPLICACION MECANICA DE DISPOSITIVO ELECTRONICO CARDIACO</t>
  </si>
  <si>
    <t>COMPLICACION MECANICA DE OTROS INJERTOS VASCULARES</t>
  </si>
  <si>
    <t>COMPLICACION MECANICA DE CATETER PARA DIALISIS 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</si>
  <si>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</si>
  <si>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</si>
  <si>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</si>
  <si>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</si>
  <si>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PROTESIS ARTICULAR INTERNA</t>
  </si>
  <si>
    <t>INFECCION Y REACCION INFLAMATORIA DEBIDAS A PROTESIS ARTICULAR INTERNA</t>
  </si>
  <si>
    <t>COMPLICACION MECANICA DE LENTES INTRAOCULARES</t>
  </si>
  <si>
    <t>COMPLICACION MECANICA DE PROTESIS E IMPLANTE DE MAMA</t>
  </si>
  <si>
    <t>RECHAZO DE TRASPLANTE DE MEDULA OSEA</t>
  </si>
  <si>
    <t>FALLA Y RECHAZO DE TRASPLANTE DE RIÑON</t>
  </si>
  <si>
    <t>FALLA Y RECHAZO DE TRASPLANTE DE CORAZON</t>
  </si>
  <si>
    <t>FALLA Y RECHAZO DE TRASPLANTE DE PULMON-CORAZON</t>
  </si>
  <si>
    <t>FALLA Y RECHAZO DE TRASPLANTE DE HIGADO</t>
  </si>
  <si>
    <t>FALLA Y RECHAZO DE OTROS ORGANOS Y TEJIDOS TRASPLANTADOS</t>
  </si>
  <si>
    <t>COMPLICACIONES DE LA REINSERCION (DE PARTE) DE EXTREMIDAD SUPERIOR</t>
  </si>
  <si>
    <t>COMPLICACIONES DE LA REINSERCION (DE PARTE) DE EXTREMIDAD INFERIOR</t>
  </si>
  <si>
    <t>COMPLICACIONES DE OTRAS PARTES DEL CUERPO REINSERTADAS</t>
  </si>
  <si>
    <t>NEUROMA DE MUÑON DE AMPUTACION</t>
  </si>
  <si>
    <t>INFECCION DE MUÑON DE AMPUTACION</t>
  </si>
  <si>
    <t>NECROSIS DE MUÑON DE AMPUTACION</t>
  </si>
  <si>
    <t>OTRAS COMPLICACIONES Y LAS NO ESPECIFICADAS DE MUÑON DE AMPUTACION</t>
  </si>
  <si>
    <t>INFECCION CONSECUTIVA A INMUNIZACION</t>
  </si>
  <si>
    <t>FALLA O DIFICULTAD DE LA INTUBACION</t>
  </si>
  <si>
    <t>OTRAS COMPLICACIONES DE LA ANESTESIA</t>
  </si>
  <si>
    <t>EFECTO ADVERSO NO ESPECIFICADO DE DROGA O MEDICAMENTO</t>
  </si>
  <si>
    <t>COMPLICACIONES NO ESPECIFICADAS DE LA ATENCION MEDICA Y QUIRURGICA</t>
  </si>
  <si>
    <t>SECUELAS DE TRAUMATISMO SUPERFICIAL DE LA CABEZA</t>
  </si>
  <si>
    <t>SECUELAS DE HERIDA DE LA CABEZA</t>
  </si>
  <si>
    <t>SECUELAS DE FRACTURA DEL CRANEO Y DE HUESOS FACIALES</t>
  </si>
  <si>
    <t>SECUELAS DE TRAUMATISMO DE NERVIOS CRANEALES</t>
  </si>
  <si>
    <t>SECUELAS DE TRAUMATISMO DEL OJO Y DE LA ORBITA</t>
  </si>
  <si>
    <t>SECUELAS DE TRAUMATISMO INTRACRANEAL</t>
  </si>
  <si>
    <t>SECUELAS DE OTROS TRAUMATISMOS ESPECIFICADOS DE LA CABEZA</t>
  </si>
  <si>
    <t>SECUELAS DE TRAUMATISMO NO ESPECIFICADO DE LA CABEZA</t>
  </si>
  <si>
    <t>SECUELAS DE FRACTURA DE LA COLUMNA VERTEBRAL</t>
  </si>
  <si>
    <t>SECUELAS DE OTRA FRACTURA DEL TORAX Y DE LA PELVIS</t>
  </si>
  <si>
    <t>SECUELAS DE TRAUMATISMO DE LA MEDULA ESPINAL</t>
  </si>
  <si>
    <t>SECUELAS DE TRAUMATISMO DE ORGANOS INTRATORACICOS</t>
  </si>
  <si>
    <t>SECUELAS DE TRAUMATISMO DE ORGANOS INTRAABDOMINALES Y PELVICOS</t>
  </si>
  <si>
    <t>SECUELAS DE OTROS TRAUMATISMOS ESPECIFICADOS DEL CUELLO Y DEL TRONCO</t>
  </si>
  <si>
    <t>SECUELAS DE HERIDA DE MIEMBRO SUPERIOR</t>
  </si>
  <si>
    <t>SECUELAS DE FRACTURA DEL BRAZO</t>
  </si>
  <si>
    <t>SECUELAS DE FRACTURA DE LA MUÑECA Y DE LA MANO</t>
  </si>
  <si>
    <t>SECUELAS DE LUXACION, TORCEDURA Y ESGUINCE DE MIEMBRO SUPERIOR</t>
  </si>
  <si>
    <t>SECUELAS DE TRAUMATISMO DE NERVIO DE MIEMBRO SUPERIOR</t>
  </si>
  <si>
    <t>SECUELAS DE TRAUMATISMO DE TENDON Y MUSCULO DE MIEMBRO SUPERIOR</t>
  </si>
  <si>
    <t>SECUELAS DE APLASTAMIENTO Y AMPUTACION TRAUMATICAS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</si>
  <si>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</si>
  <si>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</si>
  <si>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</si>
  <si>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</si>
  <si>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LUXACION, TORCEDURA Y ESGUINCE DE MIEMBRO INFERIOR</t>
  </si>
  <si>
    <t>SECUELAS DE TRAUMATISMO DE NERVIO DE MIEMBRO INFERIOR</t>
  </si>
  <si>
    <t>SECUELAS DE TRAUMATISMO DE TENDON Y MUSCULO DE MIEMBRO INFERIOR</t>
  </si>
  <si>
    <t>SECUELAS DE APLASTAMIENTO Y AMPUTACION TRAUMATICAS DE MIEMBRO INFERIOR</t>
  </si>
  <si>
    <t>SECUELAS DE OTROS TRAUMATISMOS ESPECIFICADOS DE MIEMBRO INFERIOR</t>
  </si>
  <si>
    <t>SECUELAS DE TRAUMATISMO NO ESPECIFICADO DE MIEMBRO INFERIOR</t>
  </si>
  <si>
    <t>SECUELAS DE TRAUMATISMOS QUE AFECTAN MULTIPLES REGIONES DEL CUERPO</t>
  </si>
  <si>
    <t>SECUELAS DE TRAUMATISMOS DE REGIONES NO ESPECIFICADAS DEL CUERPO</t>
  </si>
  <si>
    <t>SECUELAS DE QUEMADURA, CORROSION Y CONGELAMIENTO DEL TRONCO</t>
  </si>
  <si>
    <t>SECUELAS DE QUEMADURA, CORROSION Y CONGELAMIENTO DE MIEMBRO SUPERIOR</t>
  </si>
  <si>
    <t>SECUELAS DE QUEMADURA, CORROSION Y CONGELAMIENTO DE MIEMBRO INFERIOR</t>
  </si>
  <si>
    <t>SECUELAS DE QUEMADURA, CORROSION Y CONGELAMIENTO NO ESPECIFICADOS</t>
  </si>
  <si>
    <t>SECUELAS DE OTROS EFECTOS Y LOS NO ESPECIFICADOS DE CAUSAS EXTERNAS</t>
  </si>
  <si>
    <t>SECUELAS DE CIERTAS COMPLICACIONES PRECOCES DE LOS TRAUMATISMOS</t>
  </si>
  <si>
    <t>SUPERVISION DE EMBARAZO CON GRAN MULTIPARIDAD</t>
  </si>
  <si>
    <t>SUPERVISION DE PRIMIGESTA AÑOSA</t>
  </si>
  <si>
    <t>SUPERVISION DE PRIMIGESTA MUY JOVEN</t>
  </si>
  <si>
    <t>PERSONA QUE TEME ESTAR ENFERMA, A QUIEN NO SE HACE DIAGNOSTICO</t>
  </si>
  <si>
    <t>AUSENCIA ADQUIRIDA DE MANO Y MUÑECA</t>
  </si>
  <si>
    <t>AUSENCIA ADQUIRIDA DE MIEMBRO SUPERIOR POR ARRIBA DE LA MUÑECA</t>
  </si>
  <si>
    <t>AUSENCIA ADQUIRIDA DE PIE Y TOBILLO</t>
  </si>
  <si>
    <t>AUSENCIA ADQUIRIDA DE PIERNA A NIVEL DE O DEBAJO DE LA RODILLA</t>
  </si>
  <si>
    <t>AUSENCIA ADQUIRIDA DE PIERNA POR ARRIBA DE LA RODILLA</t>
  </si>
  <si>
    <t>AUSENCIA ADQUIRIDA DE MIEMBROS NO ESPECIFICADOS</t>
  </si>
  <si>
    <t>AUSENCIA ADQUIRIDA DE PARTE DE LA CABEZA Y DEL CUELLO</t>
  </si>
  <si>
    <t>AUSENCIA ADQUIRIDA DE MAMA(S)</t>
  </si>
  <si>
    <t>AUSENCIA ADQUIRIDA (DE PARTE) DEL PULMON</t>
  </si>
  <si>
    <t>AUSENCIA ADQUIRIDA DE PARTE DEL ESTOMAGO</t>
  </si>
  <si>
    <t>AUSENCIA ADQUIRIDA DE OTRAS PARTES DEL TUBO DIGESTIVO</t>
  </si>
  <si>
    <t>AUSENCIA ADQUIRIDA DE RIÑON</t>
  </si>
  <si>
    <t>AUSENCIA ADQUIRIDA DE OTRAS PARTES DE LAS VIAS URINARIAS</t>
  </si>
  <si>
    <t>AUSENCIA ADQUIRIDA DE ORGANO(S) GENITAL(ES)</t>
  </si>
  <si>
    <t>AUSENCIA ADQUIRIDA DE OTROS ORGANOS</t>
  </si>
  <si>
    <t>HISTORIA PERSONAL DE TRAUMA PSICOLOGICO, NO CLASIFICADO EN OTRA PARTE</t>
  </si>
  <si>
    <t>HISTORIA PERSONAL DE LESION AUTOINFLIGIDA INTENCIONALMENTE</t>
  </si>
  <si>
    <t>EFECTOS ADVERSOS DE PENICILINAS</t>
  </si>
  <si>
    <t>EFECTOS ADVERSOS DEL GRUPO DE CLORAMFENICOL</t>
  </si>
  <si>
    <t>EFECTOS ADVERSOS DE LOS MACROLIDOS</t>
  </si>
  <si>
    <t>EFECTOS ADVERSOS DE TETRACICLINAS</t>
  </si>
  <si>
    <t>EFECTOS ADVERSOS DE RIFAMICINAS</t>
  </si>
  <si>
    <t>EFECTOS ADVERSOS DE OTROS ANTIBIOTICOS SISTEMICOS</t>
  </si>
  <si>
    <t>EFECTOS ADVERSOS DE ANTIBIOTICO SISTEMICO NO ESPECIFICADO</t>
  </si>
  <si>
    <t>EFECTOS ADVERSOS DE SULFONAMIDAS</t>
  </si>
  <si>
    <t>EFECTOS ADVERSOS DE DROGAS ANTIMICOBACTERIANAS</t>
  </si>
  <si>
    <t>EFECTOS ADVERSOS DE OTRAS DROGAS ANTIPROTOZOARIAS</t>
  </si>
  <si>
    <t>EFECTOS ADVERSOS DE ANTIHELMINTICOS</t>
  </si>
  <si>
    <t>EFECTOS ADVERSOS DE DROGAS ANTIVIRALES</t>
  </si>
  <si>
    <t>EFECTOS ADVERSOS DE GLUCOCORTICOIDES Y ANALOGOS SINTETICOS</t>
  </si>
  <si>
    <t>EFECTOS ADVERSOS DE HORMONAS TIROIDEAS Y SUSTITUTOS</t>
  </si>
  <si>
    <t>EFECTOS ADVERSOS DE DROGAS ANTITIROIDEAS</t>
  </si>
  <si>
    <t>EFECTOS ADVERSOS DE ANTICONCEPTIVOS ORALES</t>
  </si>
  <si>
    <t>EFECTOS ADVERSOS DE OTROS ESTROGENOS Y PROGESTAGENOS</t>
  </si>
  <si>
    <t>EFECTOS ADVERSOS DE ANDROGENOS Y CONGENERES ANABOLICOS</t>
  </si>
  <si>
    <t>EFECTOS ADVERSOS DE ANTIALERGICOS Y ANTIEMETICOS</t>
  </si>
  <si>
    <t>EFECTOS ADVERSOS DE ANTIMETABOLITOS ANTINEOPLASICOS</t>
  </si>
  <si>
    <t>EFECTOS ADVERSOS DE PRODUCTOS NATURALES ANTINEOPLASICOS</t>
  </si>
  <si>
    <t>EFECTOS ADVERSOS DE OTRAS DROGAS ANTINEOPLASICAS</t>
  </si>
  <si>
    <t>EFECTOS ADVERSOS DE AGENTES INMUNOSUPRESORES</t>
  </si>
  <si>
    <t>EFECTOS ADVERSOS DE AGENTES ACIDIFICANTES Y ALCALINIZANTES</t>
  </si>
  <si>
    <t>EFECTOS ADVERSOS DE ENZIMAS NO CLASIFICADAS EN OTRA PARTE</t>
  </si>
  <si>
    <t>EFECTOS ADVERSOS DE AGENTE SISTEMICO PRIMARIO NO ESPECIFICADO</t>
  </si>
  <si>
    <t>EFECTOS ADVERSOS DE ANTICOAGULANTES</t>
  </si>
  <si>
    <t>EFECTOS ADVERSOS DE DROGAS TROMBOLITICAS</t>
  </si>
  <si>
    <t>EFECTOS ADVERSOS DE SANGRE NATURAL Y PRODUCTOS SANGUINEOS</t>
  </si>
  <si>
    <t>EFECTOS ADVERSOS DE LOS SUSTITUTOS DEL PLASMA</t>
  </si>
  <si>
    <t>EFECTOS ADVERSOS DE OPIACEOS Y ANALGESICOS RELACIONADOS</t>
  </si>
  <si>
    <t>EFECTOS ADVERSOS DE SALICILATOS</t>
  </si>
  <si>
    <t>EFECTOS ADVERSOS DE DERIVADOS DEL ACIDO PROPIONICO</t>
  </si>
  <si>
    <t>EFECTOS ADVERSOS DE LOS ANTIRREUMATICOS</t>
  </si>
  <si>
    <t>EFECTOS ADVERSOS DE LOS DERIVADOS DEL 4-AMINOFENOL</t>
  </si>
  <si>
    <t>EFECTOS ADVERSOS DE OTROS ANALGESICOS Y ANTIPIRETICOS</t>
  </si>
  <si>
    <t>EFECTOS ADVERSOS DE SUCCINAMIDAS</t>
  </si>
  <si>
    <t>EFECTOS ADVERSOS DE OXAZOLIDINADIONAS</t>
  </si>
  <si>
    <t>EFECTOS ADVERSOS DE DERIVADOS DE LA HIDANTOINA</t>
  </si>
  <si>
    <t>EFECTOS ADVERSOS DE DESOXIBARBITURICOS</t>
  </si>
  <si>
    <t>EFECTOS ADVERSOS DE IMINOESTILBENOS</t>
  </si>
  <si>
    <t>EFECTOS ADVERSOS DEL ACIDO VALPROICO</t>
  </si>
  <si>
    <t>EFECTOS ADVERSOS DE OTROS ANTIEPILEPTICOS, Y LOS NO ESPECIFICADOS</t>
  </si>
  <si>
    <t>EFECTOS ADVERSOS DE DROGAS ANTIPARKINSONIANAS</t>
  </si>
  <si>
    <t>EFECTOS ADVERSOS DE DROGAS ANTIESPASTICAS</t>
  </si>
  <si>
    <t>EFECTOS ADVERSOS DE BARBITURICOS, NO CLASIFICADOS EN OTRA PARTE</t>
  </si>
  <si>
    <t>EFECTOS ADVERSOS DE BENZODIAZEPINAS</t>
  </si>
  <si>
    <t>EFECTOS ADVERSOS DE DERIVADOS CLORALES</t>
  </si>
  <si>
    <t>EFECTOS ADVERSOS DE PARALDEHIDO</t>
  </si>
  <si>
    <t>EFECTOS ADVERSOS DE OTRAS DROGAS SEDANTES, HIPNOTICAS Y ANSIOLITICAS</t>
  </si>
  <si>
    <t>EFECTOS ADVERSOS DE GASES ANESTESICOS POR INHALACION</t>
  </si>
  <si>
    <t>EFECTOS ADVERSOS DE GASES ANESTESICOS PARENTERALES</t>
  </si>
  <si>
    <t>EFECTOS ADVERSOS DE GASES ANESTESICOS LOCALES</t>
  </si>
  <si>
    <t>EFECTOS ADVERSOS DE ANESTESICOS NO ESPECIFICADOS</t>
  </si>
  <si>
    <t>EFECTOS ADVERSOS DE GASES TERAPEUTICOS</t>
  </si>
  <si>
    <t>EFECTOS ADVERSOS DE ANTIDEPRESIVOS TRICICLICOS Y TETRACICLICOS</t>
  </si>
  <si>
    <t>EFECTOS ADVERSOS DE ANTIDEPRESIVOS INHIBIDORES DE LA MONOAMINOOXIDASA</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</si>
  <si>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</si>
  <si>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</si>
  <si>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</si>
  <si>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</si>
  <si>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PSICOESTIMULANTES CON ABUSO POTENCIAL</t>
  </si>
  <si>
    <t>EFECTOS ADVERSOS DE DROGAS PSICOTROPICAS NO ESPECIFICADAS</t>
  </si>
  <si>
    <t>EFECTOS ADVERSOS DE ANALEPTICOS</t>
  </si>
  <si>
    <t>EFECTOS ADVERSOS DE ANTAGONISTAS DE OPIACEOS</t>
  </si>
  <si>
    <t>EFECTOS ADVERSOS DE METILXANTINAS, NO CLASIFICADAS EN OTRA PARTE</t>
  </si>
  <si>
    <t>EFECTOS ADVERSOS DE OTROS ESTIMULANTES DEL SISTEMA NERVIOSO CENTRAL</t>
  </si>
  <si>
    <t>EFECTOS ADVERSOS DE AGENTES ANTICOLINESTERASA</t>
  </si>
  <si>
    <t>EFECTOS ADVERSOS DE BLOQUEADORES DEL CANAL DEL CALCIO</t>
  </si>
  <si>
    <t>EFECTOS ADVERSOS DE VASODILATADORES PERIFERICOS</t>
  </si>
  <si>
    <t>EFECTOS ADVERSOS DE BLOQUEADORES DE LOS RECEPTORES H2 DE HISTAMINA</t>
  </si>
  <si>
    <t>EFECTOS ADVERSOS DE LAXANTES ESTIMULANTES</t>
  </si>
  <si>
    <t>EFECTOS ADVERSOS DE LAXANTES SALINOS Y OSMOTICOS</t>
  </si>
  <si>
    <t>EFECTOS ADVERSOS DE OTROS LAXANTES</t>
  </si>
  <si>
    <t>EFECTOS ADVERSOS DE DIGESTIVOS</t>
  </si>
  <si>
    <t>EFECTOS ADVERSOS DE DROGAS ANTIDIARREICAS</t>
  </si>
  <si>
    <t>EFECTOS ADVERSOS DE EMETICOS</t>
  </si>
  <si>
    <t>EFECTOS ADVERSOS DE MINERALOCORTICOIDES</t>
  </si>
  <si>
    <t>EFECTOS ADVERSOS DE LOS INHIBIDORES DE LA ANHIDRASA CARBONICA</t>
  </si>
  <si>
    <t>EFECTOS ADVERSOS DE LOS DERIVADOS DE LA BENZOTIADIAZINA</t>
  </si>
  <si>
    <t>EFECTOS ADVERSOS DE OTROS DIURETICOS</t>
  </si>
  <si>
    <t>EFECTOS ADVERSOS DE AGENTES QUE AFECTAN LA CALCIFICACION</t>
  </si>
  <si>
    <t>EFECTOS ADVERSOS DE AGENTES QUE AFECTAN EL METABOLISMO DEL ACIDO URICO</t>
  </si>
  <si>
    <t>EFECTOS ADVERSOS DE DROGAS OXITOCICAS</t>
  </si>
  <si>
    <t>EFECTOS ADVERSOS DE ANTITUSIGENOS</t>
  </si>
  <si>
    <t>EFECTOS ADVERSOS DE EXPECTORANTES</t>
  </si>
  <si>
    <t>EFECTOS ADVERSOS DE DROGAS CONTRA EL RESFRIADO COMUN</t>
  </si>
  <si>
    <t>EFECTOS ADVERSOS DE ANTIASMATICOS, NO CLASIFICADOS EN OTRA PARTE</t>
  </si>
  <si>
    <t>EFECTOS ADVERSOS DE ANTIPRURIGINOSOS</t>
  </si>
  <si>
    <t>EFECTOS ADVERSOS DE ASTRINGENTES Y DETERGENTES LOCALES</t>
  </si>
  <si>
    <t>EFECTOS ADVERSOS DE EMOLIENTES, DEMULCENTES Y PROTECTORES</t>
  </si>
  <si>
    <t>EFECTOS ADVERSOS DE DROGAS Y PREPARADOS OFTALMOLOGICOS</t>
  </si>
  <si>
    <t>EFECTOS ADVERSOS DE DROGAS Y PREPARADOS OTORRINOLARINGOLOGICOS</t>
  </si>
  <si>
    <t>EFECTOS ADVERSOS DE OTROS AGENTES TOPICOS</t>
  </si>
  <si>
    <t>EFECTOS ADVERSOS DE OTROS AGENTES TOPICOS NO ESPECIFICADOS</t>
  </si>
  <si>
    <t>EFECTOS ADVERSOS DE DEPRESORES DEL APETITO [ANOREXICOS]</t>
  </si>
  <si>
    <t>EFECTOS ADVERSOS DE DROGAS LIPOTROPICAS</t>
  </si>
  <si>
    <t>EFECTOS ADVERSOS DE DISUASIVOS DEL ALCOHOL</t>
  </si>
  <si>
    <t>EFECTOS ADVERSOS DE EXCIPIENTES FARMACEUTICOS</t>
  </si>
  <si>
    <t>EFECTOS ADVERSOS DE MEDIOS DE CONTRASTE PARA RAYOS X</t>
  </si>
  <si>
    <t>EFECTOS ADVERSOS DE OTROS AGENTES DIAGNOSTICOS</t>
  </si>
  <si>
    <t>EFECTOS ADVERSOS DE VITAMINAS, NO CLASIFICADAS EN OTRA PARTE</t>
  </si>
  <si>
    <t>EFECTOS ADVERSOS DE OTRAS DROGAS Y MEDICAMENTOS</t>
  </si>
  <si>
    <t>EFECTOS ADVERSOS DE LA VACUNA BCG</t>
  </si>
  <si>
    <t>EFECTOS ADVERSOS DE LA VACUNA TIFOIDEA Y PARATIFOIDEA</t>
  </si>
  <si>
    <t>EFECTOS ADVERSOS DE LA VACUNA CONTRA EL COLERA</t>
  </si>
  <si>
    <t>EFECTOS ADVERSOS DE LA VACUNA CONTRA LA PESTE</t>
  </si>
  <si>
    <t>EFECTOS ADVERSOS DE LA VACUNA CONTRA EL TETANOS</t>
  </si>
  <si>
    <t>EFECTOS ADVERSOS DE LA VACUNA CONTRA LA DIFTERIA</t>
  </si>
  <si>
    <t>EFECTOS ADVERSOS DE OTRAS VACUNAS BACTERIANAS, Y LAS NO ESPECIFICADAS</t>
  </si>
  <si>
    <t>EFECTOS ADVERSOS DE VACUNAS VIRALES</t>
  </si>
  <si>
    <t>EFECTOS ADVERSOS DE VACUNAS CONTRA RICKETTSIAS</t>
  </si>
  <si>
    <t>EFECTOS ADVERSOS DE VACUNAS ANTIPROTOZOARIAS</t>
  </si>
  <si>
    <t>EFECTOS ADVERSOS DE LA INMUNOGLOBULINA</t>
  </si>
  <si>
    <t>ESTERILIZACION</t>
  </si>
  <si>
    <t>SANGRE INCOMPATIBLE USADA EN TRANSFUSION</t>
  </si>
  <si>
    <t>LIQUIDO ERRONEO USADO EN INFUSION</t>
  </si>
  <si>
    <t>FALLA EN LA INTRODUCCION O REMOCION DE OTRO TUBO O INSTRUMENTO</t>
  </si>
  <si>
    <t>OTROS INCIDENTES ESPECIFICADOS DURANTE LA ATENCION MEDICA Y QUIRURGICA</t>
  </si>
  <si>
    <t>NO ADMINISTRACION DE LA ATENCION MEDICA Y QUIRURGICA</t>
  </si>
  <si>
    <t>INCIDENTES NO ESPECIFICADOS DURANTE LA ATENCION MEDICA Y QUIRURGICA</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</si>
  <si>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</si>
  <si>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</si>
  <si>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</si>
  <si>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</si>
  <si>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</si>
  <si>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</si>
  <si>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</si>
  <si>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</si>
  <si>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TERAPIA POR CHOQUE</t>
  </si>
  <si>
    <t>ASPIRACION DE LIQUIDOS</t>
  </si>
  <si>
    <t>INSERCION DE SONDA GASTRICA O DUODENAL</t>
  </si>
  <si>
    <t>CATETERIZACION URINARIA</t>
  </si>
  <si>
    <t>MUESTRA DE SANGRE</t>
  </si>
  <si>
    <t>OTROS PROCEDIMIENTOS MEDICOS</t>
  </si>
  <si>
    <t>PROCEDIMIENTO MEDICO NO ESPECIFICADO</t>
  </si>
  <si>
    <t>SECUELAS DE ACCIDENTE DE VEHICULO DE MOTOR</t>
  </si>
  <si>
    <t>SECUELAS DE OTROS ACCIDENTES DE TRANSPORTE, Y LOS NO ESPECIFICADOS</t>
  </si>
  <si>
    <t>SECUELAS DE OTROS ACCIDENTES</t>
  </si>
  <si>
    <t>SECUELAS DE LESIONES AUTOINFLIGIDAS</t>
  </si>
  <si>
    <t>SECUELAS DE AGRESIONES</t>
  </si>
  <si>
    <t>SECUELAS DE EVENTOS DE INTENCION NO DETERMINADA</t>
  </si>
  <si>
    <t>SECUELAS DE INTERVENCION LEGAL</t>
  </si>
  <si>
    <t>SECUELAS DE OPERACIONES DE GUERRA</t>
  </si>
  <si>
    <t>SECUELAS DE CAUSA EXTERNA NO ESPECIFICADA</t>
  </si>
  <si>
    <t>PRESENCIA DE ALCOHOL EN LA SANGRE, NIVEL NO ESPECIFICADO</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</si>
  <si>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</si>
  <si>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</si>
  <si>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</si>
  <si>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</si>
  <si>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</si>
  <si>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</si>
  <si>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</si>
  <si>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</si>
  <si>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EXAMEN MEDICO GENERAL</t>
  </si>
  <si>
    <t>CONTROL DE SALUD DE RUTINA DEL NIÑO</t>
  </si>
  <si>
    <t>EXAMEN DURANTE EL PERIODO DE CRECIMIENTO RAPIDO EN LA INFANCIA</t>
  </si>
  <si>
    <t>EXAMEN DEL ESTADO DE DESARROLLO DEL ADOLESCENTE</t>
  </si>
  <si>
    <t>EXAMEN PSIQUIATRICO GENERAL, NO CLASIFICADO EN OTRA PARTE</t>
  </si>
  <si>
    <t>EXAMEN DE DONANTE POTENCIAL DE ORGANO O TEJIDO</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</si>
  <si>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</si>
  <si>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</si>
  <si>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</si>
  <si>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</si>
  <si>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</si>
  <si>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</si>
  <si>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</si>
  <si>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</si>
  <si>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EXAMEN DE LABORATORIO</t>
  </si>
  <si>
    <t>OTROS EXAMENES ESPECIALES ESPECIFICADOS</t>
  </si>
  <si>
    <t>EXAMEN ESPECIAL NO ESPECIFICADO</t>
  </si>
  <si>
    <t>EXAMEN PARA ADMISION A INSTITUCIONES EDUCATIVAS</t>
  </si>
  <si>
    <t>EXAMEN PREEMPLEO</t>
  </si>
  <si>
    <t>EXAMEN PARA ADMISION A INSTITUCIONES RESIDENCIALES</t>
  </si>
  <si>
    <t>EXAMEN PARA RECLUTAMIENTO EN LAS FUERZAS ARMADAS</t>
  </si>
  <si>
    <t>EXAMEN PARA OBTENCION DE LICENCIA DE CONDUCIR</t>
  </si>
  <si>
    <t>EXAMEN PARA PARTICIPACION EN COMPETENCIAS DEPORTIVAS</t>
  </si>
  <si>
    <t>EXAMEN PARA FINES DE SEGUROS</t>
  </si>
  <si>
    <t>EXTENSION DE CERTIFICADO MEDICO</t>
  </si>
  <si>
    <t>OTROS EXAMENES PARA FINES ADMINISTRATIVOS</t>
  </si>
  <si>
    <t>EXAMEN PARA FINES ADMINISTRATIVOS, NO ESPECIFICADO</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</si>
  <si>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</si>
  <si>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</si>
  <si>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</si>
  <si>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</si>
  <si>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</si>
  <si>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</si>
  <si>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</si>
  <si>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</si>
  <si>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</si>
  <si>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DE PESQUISA ESPECIAL PARA ENFERMEDADES INFECCIOSAS INTESTINALES</t>
  </si>
  <si>
    <t>EXAMEN DE PESQUISA ESPECIAL PARA TUBERCULOSIS RESPIRATORIA</t>
  </si>
  <si>
    <t>EXAMEN DE PESQUISA ESPECIAL PARA OTRAS ENFERMEDADES BACTERIANAS</t>
  </si>
  <si>
    <t>EXAMEN DE PESQUISA ESPECIAL PARA OTRAS ENFERMEDADES VIRALES</t>
  </si>
  <si>
    <t>EXAMEN DE PESQUISA ESPECIAL PARA TUMOR DE ESTOMAGO</t>
  </si>
  <si>
    <t>EXAMEN DE PESQUISA ESPECIAL PARA TUMORES DE ORGANOS RESPIRATORIOS</t>
  </si>
  <si>
    <t>EXAMEN DE PESQUISA ESPECIAL PARA TUMOR DE LA MAMA</t>
  </si>
  <si>
    <t>EXAMEN DE PESQUISA ESPECIAL PARA TUMOR DEL CUELLO UTERINO</t>
  </si>
  <si>
    <t>EXAMEN DE PESQUISA ESPECIAL PARA TUMOR DE LA PROSTATA</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</si>
  <si>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</si>
  <si>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</si>
  <si>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</si>
  <si>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</si>
  <si>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DE LA NUTRICION</t>
  </si>
  <si>
    <t>EXAMEN DE PESQUISA ESPECIAL PARA TRASTORNOS DEL OJO Y DEL OIDO</t>
  </si>
  <si>
    <t>EXAMEN DE PESQUISA ESPECIAL PARA TRASTORNOS CARDIOVASCULARES</t>
  </si>
  <si>
    <t>EXAMEN DE PESQUISA ESPECIAL, NO ESPECIFICADO</t>
  </si>
  <si>
    <t>PORTADOR DE FIEBRE TIFOIDEA</t>
  </si>
  <si>
    <t>PORTADOR DE OTRAS ENFERMEDADES INFECCIOSAS INTESTINALES</t>
  </si>
  <si>
    <t>PORTADOR DE DIFTERIA</t>
  </si>
  <si>
    <t>PORTADOR DE OTRAS ENFERMEDADES BACTERIANAS ESPECIFICADAS</t>
  </si>
  <si>
    <t>PORTADOR DE HEPATITIS VIRAL</t>
  </si>
  <si>
    <t>PORTADOR DE OTRAS ENFERMEDADES INFECCIOSAS</t>
  </si>
  <si>
    <t>PORTADOR DE ENFERMEDAD INFECCIOSA NO ESPECIFICADA</t>
  </si>
  <si>
    <t>AISLAMIENTO</t>
  </si>
  <si>
    <t>INMUNOTERAPIA PROFILACTICA</t>
  </si>
  <si>
    <t>OTRA QUIMIOTERAPIA PROFILACTICA</t>
  </si>
  <si>
    <t>MEDIDA PROFILACTICA NO ESPECIFICADA</t>
  </si>
  <si>
    <t>CONSEJO Y ASESORAMIENTO GENERAL SOBRE LA ANTICONCEPCION</t>
  </si>
  <si>
    <t>INSERCION DE DISPOSITIVO ANTICONCEPTIVO (INTRAUTERINO)</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</si>
  <si>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</si>
  <si>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</si>
  <si>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</si>
  <si>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</si>
  <si>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</si>
  <si>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</si>
  <si>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</si>
  <si>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</si>
  <si>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</si>
  <si>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</si>
  <si>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</si>
  <si>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</si>
  <si>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</si>
  <si>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</si>
  <si>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</si>
  <si>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EMBARAZO CONFIRMADO</t>
  </si>
  <si>
    <t>ESTADO DE EMBARAZO, INCIDENTAL</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</si>
  <si>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</si>
  <si>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</si>
  <si>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</si>
  <si>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</si>
  <si>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</si>
  <si>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HISTORIA DE INSUFICIENTE ATENCION PRENATAL</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</si>
  <si>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</si>
  <si>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</si>
  <si>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</si>
  <si>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</si>
  <si>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</si>
  <si>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OTRAS PESQUISAS PRENATALES BASADAS EN AMNIOCENTESIS</t>
  </si>
  <si>
    <t>PESQUISA PRENATAL PARA ISOINMUNIZACION</t>
  </si>
  <si>
    <t>OTRAS PESQUISAS PRENATALES ESPECIFICAS</t>
  </si>
  <si>
    <t>PESQUISA PRENATAL, SIN OTRA ESPECIFICACION</t>
  </si>
  <si>
    <t>NACIDO VIVO, UNICO</t>
  </si>
  <si>
    <t>NACIDO MUERTO, UNICO</t>
  </si>
  <si>
    <t>GEMELOS, AMBOS NACIDOS VIVOS</t>
  </si>
  <si>
    <t>GEMELOS, UN NACIDO VIVO Y UN NACIDO MUERTO</t>
  </si>
  <si>
    <t>GEMELOS, AMBOS NACIDOS MUERTOS</t>
  </si>
  <si>
    <t>OTROS NACIMIENTOS MULTIPLES, TODOS NACIDOS VIVOS</t>
  </si>
  <si>
    <t>OTROS NACIMIENTOS MULTIPLES, ALGUNOS NACIDOS VIVOS</t>
  </si>
  <si>
    <t>OTROS NACIMIENTOS MULTIPLES, TODOS NACIDOS MUERTOS</t>
  </si>
  <si>
    <t>PRODUCTO DEL PARTO NO ESPECIFICADO</t>
  </si>
  <si>
    <t>PRODUCTO UNICO, NACIDO EN HOSPITAL</t>
  </si>
  <si>
    <t>PRODUCTO UNICO, NACIDO FUERA DE HOSPITAL</t>
  </si>
  <si>
    <t>PRODUCTO UNICO, LUGAR DE NACIMIENTO NO ESPECIFICADO</t>
  </si>
  <si>
    <t>GEMELOS, NACIDOS EN HOSPITAL</t>
  </si>
  <si>
    <t>GEMELOS, NACIDOS FUERA DE HOSPITAL</t>
  </si>
  <si>
    <t>GEMELOS,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</si>
  <si>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</si>
  <si>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</si>
  <si>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</si>
  <si>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</si>
  <si>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</si>
  <si>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SEGUIMIENTO POSTPARTO, DE RUTINA</t>
  </si>
  <si>
    <t>OTRA CIRUGIA PROFILACTICA</t>
  </si>
  <si>
    <t>CIRUGIA PROFILACTICA NO ESPECIFICADA</t>
  </si>
  <si>
    <t>TRASPLANTE DE PELO</t>
  </si>
  <si>
    <t>OTRAS CIRUGIAS PLASTICAS POR RAZONES ESTETICAS</t>
  </si>
  <si>
    <t>CIRCUNCISION RITUAL O DE RUTINA</t>
  </si>
  <si>
    <t>PERFORACION DE LA OREJA</t>
  </si>
  <si>
    <t>CUIDADOS POSTERIORES A LA CIRUGIA PLASTICA DE LA CABEZA Y DEL CUELLO</t>
  </si>
  <si>
    <t>CUIDADOS POSTERIORES A LA CIRUGIA PLASTICA DE LA MAMA</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</si>
  <si>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</si>
  <si>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</si>
  <si>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</si>
  <si>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</si>
  <si>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</si>
  <si>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</si>
  <si>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</si>
  <si>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</si>
  <si>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</si>
  <si>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</si>
  <si>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</si>
  <si>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BRAZO ARTIFICIAL (COMPLETO) (PARCIAL)</t>
  </si>
  <si>
    <t>PRUEBA Y AJUSTE DE PIERNA ARTIFICIAL (COMPLETA) (PARCIAL)</t>
  </si>
  <si>
    <t>PRUEBA Y AJUSTE DE OJO ARTIFICIAL</t>
  </si>
  <si>
    <t>PRUEBA Y AJUSTE DE PROTESIS MAMARIA EXTERNA</t>
  </si>
  <si>
    <t>PRUEBA Y AJUSTE DE OTROS DISPOSITIVOS PROTESICOS EXTERNOS</t>
  </si>
  <si>
    <t>PRUEBA Y AJUSTE DE DISPOSITIVO PROTESICO EXTERNO NO ESPECIFICADO</t>
  </si>
  <si>
    <t>ASISTENCIA Y AJUSTE DE MARCAPASO CARDIACO</t>
  </si>
  <si>
    <t>ASISTENCIA Y AJUSTE DE BOMBA DE INFUSION</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</si>
  <si>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</si>
  <si>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</si>
  <si>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</si>
  <si>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</si>
  <si>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</si>
  <si>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AUDIFONOS</t>
  </si>
  <si>
    <t>PRUEBA Y AJUSTE DE PROTESIS DENTAL</t>
  </si>
  <si>
    <t>PRUEBA Y AJUSTE DE DISPOSITIVO ORTODONCICO</t>
  </si>
  <si>
    <t>PRUEBA Y AJUSTE DE ILEOSTOMIA U OTRO DISPOSITIVO INTESTINAL</t>
  </si>
  <si>
    <t>PRUEBA Y AJUSTE DE DISPOSITIVO URINARIO</t>
  </si>
  <si>
    <t>PRUEBA Y AJUSTE DE DISPOSITIVO ORTOPEDICO</t>
  </si>
  <si>
    <t>PRUEBA Y AJUSTE DE OTROS DISPOSITIVOS ESPECIFICADOS</t>
  </si>
  <si>
    <t>PRUEBA Y AJUSTE DE DISPOSITIVO NO ESPECIFICADO</t>
  </si>
  <si>
    <t>OTROS CUIDADOS ESPECIFICADOS POSTERIORES A LA ORTOPEDIA</t>
  </si>
  <si>
    <t>CUIDADO POSTERIOR A LA ORTOPEDIA, NO ESPECIFICADO</t>
  </si>
  <si>
    <t>ATENCION DE LOS APOSITOS Y SUTURAS</t>
  </si>
  <si>
    <t>OTROS CUIDADOS ESPECIFICADOS POSTERIORES A LA CIRUGIA</t>
  </si>
  <si>
    <t>CUIDADO POSTERIOR A LA CIRUGIA, NO ESPECIFICADO</t>
  </si>
  <si>
    <t>DIALISIS EXTRACORPOREA</t>
  </si>
  <si>
    <t>OTRAS DIALISIS</t>
  </si>
  <si>
    <t>REHABILITACION CARDIACA</t>
  </si>
  <si>
    <t>OTRAS TERAPIAS FISICAS</t>
  </si>
  <si>
    <t>REHABILITACION DEL ALCOHOLICO</t>
  </si>
  <si>
    <t>REHABILITACION DEL DROGADICTO</t>
  </si>
  <si>
    <t>PSICOTERAPIA, NO CLASIFICADA EN OTRA PARTE</t>
  </si>
  <si>
    <t>TERAPIA DEL LENGUAJE</t>
  </si>
  <si>
    <t>ADIESTRAMIENTO ORTOPTICO</t>
  </si>
  <si>
    <t>ATENCION POR OTROS PROCEDIMIENTOS DE REHABILITACION</t>
  </si>
  <si>
    <t>ATENCION POR PROCEDIMIENTO DE REHABILITACION, NO ESPECIFICADA</t>
  </si>
  <si>
    <t>SESION DE RADIOTERAPIA</t>
  </si>
  <si>
    <t>SESION DE QUIMIOTERAPIA POR TUMOR</t>
  </si>
  <si>
    <t>OTRA QUIMIOTERAPIA</t>
  </si>
  <si>
    <t>TRANSFUSION DE SANGRE, SIN DIAGNOSTICO INFORMADO</t>
  </si>
  <si>
    <t>ATENCION PALIATIVA</t>
  </si>
  <si>
    <t>DESENSIBILIZACION A ALERGENOS</t>
  </si>
  <si>
    <t>OTRAS ATENCIONES MEDICAS ESPECIFICADAS</t>
  </si>
  <si>
    <t>ATENCION MEDICA, NO ESPECIFICADA</t>
  </si>
  <si>
    <t>DONANTE DE SANGRE</t>
  </si>
  <si>
    <t>DONANTE DE PIEL</t>
  </si>
  <si>
    <t>DONANTE DE HUESO</t>
  </si>
  <si>
    <t>DONANTE DE MEDULA OSEA</t>
  </si>
  <si>
    <t>DONANTE DE RIÑON</t>
  </si>
  <si>
    <t>DONANTE DE CORNEA</t>
  </si>
  <si>
    <t>DONANTE DE OTROS ORGANOS O TEJIDOS</t>
  </si>
  <si>
    <t>DONANTE DE ORGANO O TEJIDO NO ESPECIFICADO</t>
  </si>
  <si>
    <t>CONVALECENCIA CONSECUTIVA A CIRUGIA</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</si>
  <si>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</si>
  <si>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</si>
  <si>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</si>
  <si>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</si>
  <si>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</si>
  <si>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</si>
  <si>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</si>
  <si>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CONSULTA RELACIONADA CON LA ACTITUD SEXUAL</t>
  </si>
  <si>
    <t>CONSULTA RELACIONADA CON LA ORIENTACION Y CONDUCTA SEXUAL DEL PACIENTE</t>
  </si>
  <si>
    <t>OTRAS CONSULTAS SEXUALES ESPECIFICAS</t>
  </si>
  <si>
    <t>CONSULTA SEXUAL, NO ESPECIFICADA</t>
  </si>
  <si>
    <t>PERSONA QUE CONSULTA EN NOMBRE DE OTRA PERSONA</t>
  </si>
  <si>
    <t>TRAQUEOSTOMIA</t>
  </si>
  <si>
    <t>GASTROSTOMIA</t>
  </si>
  <si>
    <t>ILEOSTOMIA</t>
  </si>
  <si>
    <t>COLOSTOMIA</t>
  </si>
  <si>
    <t>OTROS ORIFICIOS ARTIFICIALES DEL TUBO GASTROINTESTINAL</t>
  </si>
  <si>
    <t>CISTOSTOMIA</t>
  </si>
  <si>
    <t>OTROS ORIFICIOS ARTIFICIALES DE LAS VIAS URINARIAS</t>
  </si>
  <si>
    <t>OTRAS ABERTURAS ARTIFICIALES</t>
  </si>
  <si>
    <t>ABERTURA ARTIFICIAL, NO ESPECIFICADA</t>
  </si>
  <si>
    <t>TRASPLANTE DE RIÑON</t>
  </si>
  <si>
    <t>TRASPLANTE DE CORAZON</t>
  </si>
  <si>
    <t>TRASPLANTE DE PULMON</t>
  </si>
  <si>
    <t>TRASPLANTE DE CORAZON Y PULMONES</t>
  </si>
  <si>
    <t>TRASPLANTE DE HIGADO</t>
  </si>
  <si>
    <t>TRASPLANTE DE PIEL</t>
  </si>
  <si>
    <t>TRASPLANTE DE HUESO</t>
  </si>
  <si>
    <t>TRASPLANTE DE CORNEA</t>
  </si>
  <si>
    <t>OTROS ORGANOS Y TEJIDOS TRASPLANTADOS</t>
  </si>
  <si>
    <t>ESTADO DE DERIVACION INTESTINAL O ANASTOMOSIS</t>
  </si>
  <si>
    <t>ESTADO DE ARTRODESIS</t>
  </si>
  <si>
    <t>PRESENCIA DE DISPOSITIVO PARA DRENAJE DE LIQUIDO CEFALORRAQUIDEO</t>
  </si>
  <si>
    <t>OTROS ESTADOS POSTQUIRURGICOS ESPECIFICADOS</t>
  </si>
  <si>
    <t>DEPENDENCIA DE ASPIRADOR</t>
  </si>
  <si>
    <t>DEPENDENCIA DE RESPIRADOR</t>
  </si>
  <si>
    <t>DEPENDENCIA DE DIALISIS RENAL</t>
  </si>
  <si>
    <t>DEPENDENCIA DE SILLA DE RUEDAS</t>
  </si>
  <si>
    <t>DEPENDENCIA DE OTRAS MAQUINAS Y DISPOSITIVOS CAPACITANTES</t>
  </si>
  <si>
    <t>DEPENDENCIA DE MAQUINA Y DISPOSITIVO CAPACITANTE, NO ESPECIFICADA</t>
  </si>
  <si>
    <t>VIGILANTE</t>
  </si>
  <si>
    <t>SURA EPS</t>
  </si>
  <si>
    <t>NUEVA EPS</t>
  </si>
  <si>
    <t>SALUD TOTAL</t>
  </si>
  <si>
    <t>APELLIDO 1</t>
  </si>
  <si>
    <t>APELLIDO 2</t>
  </si>
  <si>
    <t>NOMBRE 1</t>
  </si>
  <si>
    <t>OTROS NOMBRES</t>
  </si>
  <si>
    <t>CEDULA</t>
  </si>
  <si>
    <t>D.A.</t>
  </si>
  <si>
    <t>S.P.</t>
  </si>
  <si>
    <t>L.R. - L.N.R.</t>
  </si>
  <si>
    <t xml:space="preserve">DIAS DE AUSENCIA </t>
  </si>
  <si>
    <t>MES DEL AUSENTISMO</t>
  </si>
  <si>
    <t>L.L.</t>
  </si>
  <si>
    <t>CAUSALES</t>
  </si>
  <si>
    <t>CAUSA</t>
  </si>
  <si>
    <t>CAUSAS DE PROCESO ADMINISTRATIVO POR INCUMPLIMIENTO</t>
  </si>
  <si>
    <t>CONTADOR PROC X INCUMP</t>
  </si>
  <si>
    <t>EPS-ARL</t>
  </si>
  <si>
    <t>FECHA RADICACION
(DD/MM/AAAA)</t>
  </si>
  <si>
    <t>FECHA PAGO
(DD/MM/AAAA)</t>
  </si>
  <si>
    <t>VALOR
CANCELADO</t>
  </si>
  <si>
    <t>ENTIDADES DE SALUD</t>
  </si>
  <si>
    <t>MEDIMAS EPS</t>
  </si>
  <si>
    <t>SEGUROS BOLIVAR</t>
  </si>
  <si>
    <t>TIPO DE EVENTO (D.A., S.P., L.R. L.N.R. ACT)</t>
  </si>
  <si>
    <t>JOHN</t>
  </si>
  <si>
    <t>VACACIONES</t>
  </si>
  <si>
    <t>CORREA</t>
  </si>
  <si>
    <t>U071</t>
  </si>
  <si>
    <t>COMPROMISO</t>
  </si>
  <si>
    <t>ORIGEN DE LA INCAPACIDAD</t>
  </si>
  <si>
    <t>SI</t>
  </si>
  <si>
    <t>ACCIDENTE DE TRABAJO</t>
  </si>
  <si>
    <t>LICENCIA DE PATERNIDAD</t>
  </si>
  <si>
    <t>U072</t>
  </si>
  <si>
    <t>LICENCIA DE MATERNIDAD</t>
  </si>
  <si>
    <t>EXAMEN POST-INCAPACIDAD</t>
  </si>
  <si>
    <t>CAUSAS DE INCAPACIDADES</t>
  </si>
  <si>
    <t>ENFERMEDAD GENERAL</t>
  </si>
  <si>
    <t>ACCIDENTE DE TRABJO-TRANSITO</t>
  </si>
  <si>
    <t>Etiquetas de fila</t>
  </si>
  <si>
    <t>(en blanco)</t>
  </si>
  <si>
    <t>Total general</t>
  </si>
  <si>
    <t>Suma de DÍAS DE INCAPACIDAD</t>
  </si>
  <si>
    <t>Etiquetas de columna</t>
  </si>
  <si>
    <t>FECHA INICIAL DE INCAPACIDAD</t>
  </si>
  <si>
    <t>FECHA FINAL DE INCAPACIDAD</t>
  </si>
  <si>
    <t xml:space="preserve">LUIS </t>
  </si>
  <si>
    <t>AUSENTISMO 2021</t>
  </si>
  <si>
    <t>NOMBRE 2</t>
  </si>
  <si>
    <t>DA</t>
  </si>
  <si>
    <t>FECHA INI</t>
  </si>
  <si>
    <t>FECHA FIN</t>
  </si>
  <si>
    <t xml:space="preserve">Suma de DIAS DE AUSENCIA </t>
  </si>
  <si>
    <t xml:space="preserve">VIGILANTE </t>
  </si>
  <si>
    <t xml:space="preserve">PINO </t>
  </si>
  <si>
    <t xml:space="preserve">GUSTAVO </t>
  </si>
  <si>
    <t xml:space="preserve">SOAT </t>
  </si>
  <si>
    <t xml:space="preserve">SAVIA SALUD </t>
  </si>
  <si>
    <t>Cuenta de DÍAS DE INCAPACIDAD2</t>
  </si>
  <si>
    <t>DIAS INC DENTRO DEL MES</t>
  </si>
  <si>
    <t>COLERA NO ESPECIFICADO</t>
  </si>
  <si>
    <t>INFECCIONES LOCALIZADAS DEBIDA A SALMONELLA</t>
  </si>
  <si>
    <t>INFECCIÓN DEBIDA A SALMONELLA NO ESPECIFICADA</t>
  </si>
  <si>
    <t>INTOXICACION ALIMENTARIA DEBIDA A CLOSTRIDIUM PERFRINGENS [CLOSTRIDIUM WELCHII]</t>
  </si>
  <si>
    <t>GIARDIASIS [LAMBLIASIS]</t>
  </si>
  <si>
    <t>TUBERCULOSIS DEL PULMON, CONFIRMADA POR HALLAZGO MICROSCOPICO DEL BACILO TUBERCULOSO EN ESPUTO, CON O SIN CULTIVO</t>
  </si>
  <si>
    <t>TUBERCULOSIS DEL PULMON , CONFIRMADA POR MEDIOS NO ESPECIFICADOS</t>
  </si>
  <si>
    <t>TUBERCULOSIS DE GANGLIOS LINFATICOS INTRATORACICOS, CONFIRMADA BACTERIOLOGICA E HISTOLOGICAMENTE</t>
  </si>
  <si>
    <t>TUBERCULOSIS DE LARINGE, TRAQUEA Y BRONQUIOS,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</si>
  <si>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</si>
  <si>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</si>
  <si>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BACTERIOLOGICAMENTE E HISTOLOGICAMENTE</t>
  </si>
  <si>
    <t>TUBERCULOSIS DEL PULMON, CON EXAMEN BACTERIOLOGICO E HISTOLOGICO NEGATIVOS</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</si>
  <si>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</si>
  <si>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</si>
  <si>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</si>
  <si>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E HISTOLOGICA</t>
  </si>
  <si>
    <t>TUBERCULOSIS RESPIRATORIA PRIMARIA, SIN MENCION DE CONFIRMACION BACTERIOLOGICA E HISTOLOGICA</t>
  </si>
  <si>
    <t>TUBERCULOSIS RESPIRATORIA NO ESPECIFICADA, SIN MENCION DE CONFIRMACION BACTERIOLOGICA O HISTOLOGICA</t>
  </si>
  <si>
    <t>TUBERCULOSIS DE LOS INTESTINOS, EL PERITONEO Y LOS GANGLIOS MESENTERICOS</t>
  </si>
  <si>
    <t>TULAREMIA , NO ESPECIFICADA</t>
  </si>
  <si>
    <t>MELIOIDOSIS , NO ESPECIFICADA</t>
  </si>
  <si>
    <t>OTRAS ENFERMEDADES ZOONOTICAS BACTERIANAS ESPECIFICADAS, NO CLASIFICADAS EN OTRA PARTE</t>
  </si>
  <si>
    <t>SEPTICEMIA DEBIDA STAPHYLOCOCCUS AUREUS</t>
  </si>
  <si>
    <t>NORCARDIOSIS , NO ESPECIFICADA</t>
  </si>
  <si>
    <t>ENFERMEDAD DE LOS LEGIONARIOS NO NEUMONICA [FIEBRE DE PONTIAC]</t>
  </si>
  <si>
    <t>SINDROME DE CHOQUE TOXICO</t>
  </si>
  <si>
    <t>INFECCION ESTAFILOCOCICA, SIN OTRA ESPECIFICACIÓN</t>
  </si>
  <si>
    <t>SIFILIS CONGENITA PRECOZ SIN OTRA ESPECIFICACIÓN</t>
  </si>
  <si>
    <t>NEUROSIFILIS CONGENITA TARDIA [NEUROSIFILIS JUVENIL]</t>
  </si>
  <si>
    <t>SIFILIS CONGENITA, SIN OTRA ESPECIFICACIÓN</t>
  </si>
  <si>
    <t>SIFILIS PRECOZ, SIN OTRA ESPECIFICACIÓN</t>
  </si>
  <si>
    <t>INFECCION GONOCOCICA DEL TRACTO GENITOURINARIO INFERIOR SIN ABSCESO PERIURETRAL O DE GLANDULA ACCESORIA</t>
  </si>
  <si>
    <t>INFECCION GONOCOCICA DEL TRACTO GENITOURINARIO INFERIOR CON ABSCESO PERIURETRAL Y DE GLANDULAS ACCESORIAS</t>
  </si>
  <si>
    <t>PELVIPERITONITIS GONOCOCICA Y OTRAS INFECCIONES GONOCOCICAS GENITOURINARIAS</t>
  </si>
  <si>
    <t>INFECCION, GONOCOCICA, NO ESPECIFICADA</t>
  </si>
  <si>
    <t>INFECCION DEL PELVIPERITONEO Y OTROS ORGANOS GENITOURINARIOS DEBIDA A CLAMIDIAS</t>
  </si>
  <si>
    <t>INFECCIONES DEL TRACTO GENITOURINARIO DEBIDAS A CLAMIDIAS, SIN OTRA ESPECIFICACION</t>
  </si>
  <si>
    <t>INFECCION DE TRANSMISIÓN SEXUAL DE OTROS SITIOS DEBIDA A CLAMIDIAS</t>
  </si>
  <si>
    <t>INFECCION DE GENITALES Y TRAYECTO UROGENITAL Y DEBIDA A VIRUS DEL HERPES [HERPES SIMPLE]</t>
  </si>
  <si>
    <t>INFECCION ANOGENITAL POR VIRUS DEL HERPES SIMPLE, SIN OTRA ESPECIFICACION</t>
  </si>
  <si>
    <t>OTRAS ENFERMEDADES DE TRANSMISIÓN PREDOMINANTEMENTE SEXUAL, ESPECIFICADAS</t>
  </si>
  <si>
    <t>FRAMBESIA , NO ESPECIFICADA</t>
  </si>
  <si>
    <t>OTRAS INFECCIONES DE VICENT</t>
  </si>
  <si>
    <t>TIFUS RECRUDESCENTE [ENFERMEDAD DE BRILL]</t>
  </si>
  <si>
    <t>FIEBRE MACULOSA DEBIDO A RICKETTSIA RICKETTSII</t>
  </si>
  <si>
    <t>FIEBRE MACULOSA DEBIDO A RICKETTSIA CONORII</t>
  </si>
  <si>
    <t>FIEBRE MACULOSA DEBIDO A RICKETTSIA SIBERICA</t>
  </si>
  <si>
    <t>FIEBRE MACULOSA DEBIDO A RICKETTSIA AUSTRALIS</t>
  </si>
  <si>
    <t>OTRAS POLIOMIELITIS AGUDAS PARALITICAS, Y NO LAS ESPECIFICADAS</t>
  </si>
  <si>
    <t>POLIOMIELITIS AGUDA, SIN OTRA ESPECIFICACIÓN</t>
  </si>
  <si>
    <t>OTRAS INFECCIONES DEL SISTEMA NERVIOSO POR VIRUS ATIPICO</t>
  </si>
  <si>
    <t>INFECCIONES DEL SISTEMA NERVIOSO CENTRAL POR VIRUS ATIPICO, SIN OTRA ESPECIFICACION</t>
  </si>
  <si>
    <t>ENCEFALITIS DEL LEJANO ORIENTE TRANSMITIDA POR GARRAPATAS [ENCEFALITIS PRIMAVEROESTIVAL RUSA]</t>
  </si>
  <si>
    <t>ENCEFALITIS VIRAL TRANSMITIDA POR ARTROPODOS, SIN OTRA ESPECIFICACIÓN</t>
  </si>
  <si>
    <t>FIEBRE EXANTEMATICA ENTEROVIRAL [EXANTEMA DE BOSTON]</t>
  </si>
  <si>
    <t>FIEBRE DEL DENGUE [DENGUE CLASICO]</t>
  </si>
  <si>
    <t>FIEBRE DE O´NYONG-NYONG</t>
  </si>
  <si>
    <t>OTRAS FIEBRES VIRALES ESPECIFICADAS TRANSMITIDAS POR ANTROPODOS</t>
  </si>
  <si>
    <t>INFECCION DEBIDA A EL VIRUS DEL HERPES, NO ESPECIFICADA</t>
  </si>
  <si>
    <t>MENINGITIS DEBIDA A LA VARICELA (G02.0*)</t>
  </si>
  <si>
    <t>ENCEFALITIS DEBIDA A LA VARICELA (G05.1*)</t>
  </si>
  <si>
    <t>NEUMONIA DEBIDA A LA VARICELA (J17.1*)</t>
  </si>
  <si>
    <t>EXANTEMA SUBITO [SEXTA ENFERMEDAD]</t>
  </si>
  <si>
    <t>ERITEMA INFECCIOSO [QUINTA ENFERMEDAD]</t>
  </si>
  <si>
    <t>OTRAS INFECCIONES VIRALES ESPECIFICADAS, CARACTERIZADAS POR LESIONES DE LA PIEL Y DE LAS MEMBRANAS MUCOSAS</t>
  </si>
  <si>
    <t>INFECCION VIRAL NO ESPECIFICADA, CARACTERIZADA POR LESIONES DE LA PIEL Y DE LAS MEMBRANAS MUCOSAS</t>
  </si>
  <si>
    <t>HEPATITIS AGUDA TIPO B, CON AGENTE DELTA (COINFECCION). CON COMA HEPATICO</t>
  </si>
  <si>
    <t>HEPATITIS AGUDA TIPO B, CON AGENTE DELTA (COINFECCION), SIN COMA HEPATICO</t>
  </si>
  <si>
    <t>INFECCION (SUPERINFECCION) AGUDA POR AGENTE DELTA EN EL PORTADOR DE HEPATITIS B</t>
  </si>
  <si>
    <t>ENFERMEDAD POR EL VIH, RESULTANTE EN INFECCION POR MICOBACTERIAS</t>
  </si>
  <si>
    <t>ENFERMEDAD POR EL VIH, RESULTANTE EN OTRAS INFECCIONES BACTERIANAS</t>
  </si>
  <si>
    <t>ENFERMEDAD POR VIH, RESULTANTE EN OTRAS ENFERMEDADES INFECCIOSAS O PARASITARIAS</t>
  </si>
  <si>
    <t>ENFERMEDAD POR VIH, RESULTANTE EN ENFERMEDAD INFECCIOSA O PARASITARIA NO ESPECIFICADA</t>
  </si>
  <si>
    <t>ENFERMEDAD POR VIH, RESULTANTE EN OTROS TUMORES MALIGNOS DEL TEJIDO LINFOIDE, HEMATOPOYETICO Y TEJIDOS RELACIONADOS</t>
  </si>
  <si>
    <t>ENFERMEDAD POR VIH, RESULTANTE EN ENFERMEDADES MULTIPLES CLASIFICADAS EN OTRA PARTE</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</si>
  <si>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</si>
  <si>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</si>
  <si>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</si>
  <si>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HEPATITIS DEBIDA A VIRUS CITOMEGALICO</t>
  </si>
  <si>
    <t>PANCREATITIS DEBIDA A VIRUS CITOMEGALICO</t>
  </si>
  <si>
    <t>TIÑA DEL PIE [TINEA PEDIS]</t>
  </si>
  <si>
    <t>TIÑA DEL CUERPO [TINEA CORPORIS]</t>
  </si>
  <si>
    <t>TIÑA IMBRICADA [TINEA IMBRICATA]</t>
  </si>
  <si>
    <t>TIÑA INGUINAL [TINEA CRURIS]</t>
  </si>
  <si>
    <t>CANDIDIASIS DE LA PIEL Y DE LAS UÑAS</t>
  </si>
  <si>
    <t>INFECCION PULMONAR DEBIDA A HISTOPLASMA CAPSULATUM, SIN OTRA ESPECIFICACION</t>
  </si>
  <si>
    <t>HISTOPLASMOSIS DEBIDA A HISTOPLASMA CAPSULATUM, SIN OTRA ESPECIFICACION</t>
  </si>
  <si>
    <t>OTRAS FORMAS PARACOCCIDIOIDOMICOSIS</t>
  </si>
  <si>
    <t>PALUDISMO DEBIDO A PLASMODIUM AVALE</t>
  </si>
  <si>
    <t>OTRO PALUDISMO CONFIRMADO PARASITOLOGICAMENTE, NO CLASIFICADO EN OTRA PARTE</t>
  </si>
  <si>
    <t>PALUDISMO [MALARIA] NO ESPECIFICADO</t>
  </si>
  <si>
    <t>LEIISHMANIASIS VISCERAL</t>
  </si>
  <si>
    <t>TRIPANOSOMIASIS AFRICANA, SIN OTRA ESPECIFICACIÓN</t>
  </si>
  <si>
    <t>ENFERMEDAD DE CHAGAS AGUDA QUE AFECTA AL CORAZON (141.2*, 198.1*)</t>
  </si>
  <si>
    <t xml:space="preserve">ENFERMEDAD DE CHAGAS (CRONICA) QUE AFECTA AL CORAZON </t>
  </si>
  <si>
    <t>NEUMOCISTOSIS (J17.3*)</t>
  </si>
  <si>
    <t>ESQUISTOSOMIASIS DEBIDA A SCHISTOSOMA HAEMATOBIUM [ESQUISTOSOMIASIS URINARIA]</t>
  </si>
  <si>
    <t>ESQUISTOSOMIASIS DEBIDA A SCHISTOSOMA MANSONI [ESQUISTOSOMIASIS INTESTINAL]</t>
  </si>
  <si>
    <t>INFECCION DE OTRO ORGANO Y DE SITIOS MULTIPLES DEBIDA A ECHINOCOCCUS GRANULOSUS</t>
  </si>
  <si>
    <t>INFECCION DE OTRO ORGANO Y DE SITIOS MULTIPLES DEBIDA A ECHINOCOCCUS MULTILOCULARIS</t>
  </si>
  <si>
    <t>INFECCION DEBIDA A ECHINOCOCCUS MULTILOCULARIS, SIN OTRA ESPECIFICACION</t>
  </si>
  <si>
    <t>OTRAS INFECCIONES DEBIDAS A CESTODOS ESPECIFICADAS</t>
  </si>
  <si>
    <t>TUNGIASIS [INFECCION DEBIDA A PULGA DE ARENA]</t>
  </si>
  <si>
    <t>OTRAS INFESTACIONES ESPECIFICAS</t>
  </si>
  <si>
    <t>SECUELAS DE TUBERCULOSIS RESPIRATORIA Y DE TUBERCULOSIS NO ESPECIFICADA</t>
  </si>
  <si>
    <t>SECUELAS DE OTRAS ENFERMEDADES INFECCIOSAS Y PARASITARIAS ESPECIFICADAS</t>
  </si>
  <si>
    <t>ESTREPTOCOCO, GRUPO A, COMO CAUSA DE ENFERMEDADES CLASIFICADAS EN OTROS CAPITULOS</t>
  </si>
  <si>
    <t>ESTREPTOCOCO, GRUPO B, COMO CAUSA DE ENFERMEDADES CLASIFICADAS EN OTROS CAPITULOS</t>
  </si>
  <si>
    <t>ESTREPTOCOCO, GRUPO D, COMO CAUSA DE ENFERMEDADES CLASIFICADAS EN OTROS CAPITULOS</t>
  </si>
  <si>
    <t>STREPTOCOCCUS PNEUMONIAE COMO CAUSA DE ENFERMEDADES CLASIFICADAS EN OTROS CAPITULOS</t>
  </si>
  <si>
    <t>OTROS 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</si>
  <si>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</si>
  <si>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</si>
  <si>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</si>
  <si>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</si>
  <si>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</si>
  <si>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</si>
  <si>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</si>
  <si>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</si>
  <si>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</si>
  <si>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(MALLEI) (PSEUDOMALLEI)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</si>
  <si>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</si>
  <si>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</si>
  <si>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</si>
  <si>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VIRUS SINCICIAL RESPIRATORIO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</si>
  <si>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</si>
  <si>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</si>
  <si>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ESPECIFICACIÓN</t>
  </si>
  <si>
    <t>TUMOR MALIGNO DE LOS DOS TERCIOS ANTERIORES DE LA LENGUA, PARTE NO ESPECIFICADA</t>
  </si>
  <si>
    <t>LESION DE SITIOS CONTIGUOS DE OTRAS PARTES Y DE LAS NO ESPECIFICADAS DE LA BOCA</t>
  </si>
  <si>
    <t>LESION DE SITIOS CONTIGUOS DEL LABIO, DE LA CAVIDAD BUCAL Y DE LA LARINGE</t>
  </si>
  <si>
    <t>TUMOR MALIGNO DE LA CURVATURA MENOR DEL ESTOMAGO, SIN OTRA ESPECIFICACION</t>
  </si>
  <si>
    <t>TUMOR MALIGNO DE LA CURVATURA MAYOR DEL ESTOMAGO, SIN OTRA ESPECIFICACION</t>
  </si>
  <si>
    <t>TUMOR MALIGNO DEL LESION DE SITIOS CONTIGUOS DEL INTESTINO DELGADO</t>
  </si>
  <si>
    <t>TUMOR MALIGNO D E LAS VIAS BILIARES EXTRAHEPATICAS</t>
  </si>
  <si>
    <t>TUMOR MALIGNO DEL SENO PARANASAL NO ESPECIFICADO</t>
  </si>
  <si>
    <t>TUMOR MALIGNO DE LAS VIAS RESPIRATORIAS SUPERIORES, PARTE NO ESPECIFICADA</t>
  </si>
  <si>
    <t>LESION DE SITIOS CONTIGUOS DE LOS ORGANOS RESPIRATORIOS E INTRATORACICOS</t>
  </si>
  <si>
    <t>LESION DE SITIOS CONTIGUOS DE LOS HUESOS Y DE LOS CARTILAGOS ARTICULARES DE LOS MIEMBROS</t>
  </si>
  <si>
    <t>TUMOR MALIGNO DE LOS HUESOS Y DE LOS CARTILAGOS ARTICULARES DE LOS MIEMBROS, SIN OTRA ESPECIFICACION</t>
  </si>
  <si>
    <t>TUMOR MALIGNO DE HUESO Y DEL CARTILAGO ARTICULAR, NO ESPECIFICADO</t>
  </si>
  <si>
    <t>TUMOR MALIGNO DE LA PIEL DE OTRAS PARTES Y DE LAS NO ESPECIFICADAS DE LA CARA</t>
  </si>
  <si>
    <t>TUMOR MALIGNO DE LOS NERVIOS PERIFERICOS DEL MIEMBRO SUPERIOR, INCLUIDO EL HOMBRO</t>
  </si>
  <si>
    <t>TUMOR MALIGNO DE LOS NERVIOS PERIFERICOS DEL MIEMBRO INFERIOR, INCLUIDA LA CADERA</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</si>
  <si>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</si>
  <si>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</si>
  <si>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</si>
  <si>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</si>
  <si>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</si>
  <si>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</si>
  <si>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TRONCO, SIN OTRA ESPECIFICACION</t>
  </si>
  <si>
    <t>LESION DE SITIOS CONTIGUOS DEL TEJIDO CONJUNTIVO Y DEL TEJIDO DEL BLANDO</t>
  </si>
  <si>
    <t>TUMOR MALIGNO DEL TEJIDO CONJUNTIVO Y TEJIDO BLANDO, DE SITIO NO ESPECIFICADO</t>
  </si>
  <si>
    <t>TUMOR MALIGNO DE EXOCERVIX</t>
  </si>
  <si>
    <t>TUMOR MALIGNO DE LOS ANEXOS UTERINOS, SIN OTRA ESPECIFICACIÓN</t>
  </si>
  <si>
    <t>TUMOR MALIGNO DE OTRAS PARTES ESPECIFICADAS DE LOS ORGANOS GENITALES FEMENINOS</t>
  </si>
  <si>
    <t>TUMOR MALIGNO DE OTRAS PARTES ESPECIFICADAS DE LOS ORGANOS GENITALES MASCULINOS</t>
  </si>
  <si>
    <t>LESION DE SITIOS CONTIGUOS DEL ENCEFALO Y OTRAS PARTES DEL SISTEMA NERVIOSO CENTRAL</t>
  </si>
  <si>
    <t>TUMOR MALIGNO DE LOS GANGLIOS LINFATICOS DE LA AXILA Y DEL MIEMBRO SUPERIOR</t>
  </si>
  <si>
    <t>TUMOR MALIGNO DE LOS GANGLIOS LINFATICOS DE LA REGION INGUINAL Y DEL MIEMBRO INFERIOR</t>
  </si>
  <si>
    <t>TUMOR MALIGNO SECUNDARIO DE OTROS ORGANOS RESPIRATORIOS Y DE LOS NO ESPECIFICADOS</t>
  </si>
  <si>
    <t>TUMOR MALIGNO SECUNDARIO DE OTROS ORGANOS DIGESTIVOS Y DE LOS NO ESPECIFICADOS</t>
  </si>
  <si>
    <t>TUMOR MALIGNO SECUNDARIO DE LA VEJIGA, Y DE OTROS ORGANOS Y LOS NO ESPECIFICADOS DE LAS VIAS URINARIAS</t>
  </si>
  <si>
    <t>TUMOR MALIGNO SECUNDARIO DE OTRAS PARTES DEL SISTEMA NERVIOSO Y DE LAS NO ESPECIFICADAS</t>
  </si>
  <si>
    <t>LINFOMA NO HODGKIN MIXTO, DE PEQUEÑAS CELULAS HENDIDAS Y DE GRANDES CELULAS, FOLICULAR</t>
  </si>
  <si>
    <t>OTROS LINFOMAS DE CELULAS Y LOS NO ESPECIFICADOS</t>
  </si>
  <si>
    <t>OTROS TUMORES MALIGNOS ESPECIFICADOS DEL TEJIDO LINFATICO, HEMATOPOYETICO Y TEJIDOS AFINES</t>
  </si>
  <si>
    <t>TUMOR MALIGNO DEL TEJIDO LINFATICO, HEMATOPOYETICO Y TEJIDOS AFINES, SIN OTRA ESPECIFICACION</t>
  </si>
  <si>
    <t>TUMORES MALIGNO (PRIMARIOS) DE SITIOS MULTIPLES INDEPENDIENTES</t>
  </si>
  <si>
    <t>CARCINOMA IN SITU DE OTRAS PARTES Y DE LAS NO ESPECIFICADAS DEL INTESTINO</t>
  </si>
  <si>
    <t>CARCINOMA IN SITU DEL HIGADO, DE LA VESICULA BILIAR Y DEL CONDUCTO BILIAR</t>
  </si>
  <si>
    <t>CARCINOMA IN SITU DE LA PIEL DE LA OREJA Y DEL CONDUCTO AUDITIVO EXTERNO</t>
  </si>
  <si>
    <t>CARCINOMA IN SITU DE LA PIEL DE OTRAS PARTES Y DE LAS NO ESPECIFICADAS DE LA CARA</t>
  </si>
  <si>
    <t>CARCINOMA IN SITU DE OTROS SITIOS DE ORGANOS GENITALES FEMENINOS Y DE LOS NO ESPECIFICADOS</t>
  </si>
  <si>
    <t>CARCINOMA IN SITU DE OTROS ORGANOS GENITALES MASCULINOS Y DE LOS NO ESPECIFICADOS</t>
  </si>
  <si>
    <t>CARCINOMA IN SITU DE LA GLANDULA TIROIDES Y DE OTRAS GLANDULAS ENDOCRINAS</t>
  </si>
  <si>
    <t>TUMOR BENIGNO DE OTRAS PARTES Y DE LAS NO ESPECIFICADAS DEL INTESTINO DELGADO</t>
  </si>
  <si>
    <t>TUMOR BENIGNO DEL OIDO MEDIO, DE LA CAVIDAD NASAL Y DE LOS SENOS PARANASALES</t>
  </si>
  <si>
    <t>TUMOR BENIGNO DEL HUESOS Y DEL CARTILAGO ARTICULAR, SITIO NO ESPECIFICADO</t>
  </si>
  <si>
    <t>TUMOR BENIGNO LIPOMATOSO DE PIEL Y DE TEJIDO SUBCUTANEO DE CABEZA, CARA Y CUELLO</t>
  </si>
  <si>
    <t>TUMOR BENIGNO LIPOMATOSO DE PIEL Y DE TEJIDO SUBCUTANEO DE OTROS SITIOS Y DE LOS NO ESPECIFICADOS</t>
  </si>
  <si>
    <t>TUMOR BENIGNO DEL TEJIDO CUNJUNTIVO Y DE OTROS TEJIDOS BLANDOS DE CABEZA, CARA Y CUELLO</t>
  </si>
  <si>
    <t>TUMOR BENIGNO DEL TEJIDO CUNJUNTIVO Y DE OTROS TEJIDOS BLANDOS DEL MIEMBRO SUPERIOR, INCLUIDO EL HOMBRO</t>
  </si>
  <si>
    <t>TUMOR BENIGNO DEL TEJIDO CUNJUNTIVO Y DE OTROS TEJIDOS BLANDOS DEL MIEMBRO INFERIOR, INCLUIDO LA CADERA</t>
  </si>
  <si>
    <t>TUMOR BENIGNO DEL TEJIDO CUNJUNTIVO Y DE OTROS TEJIDOS BLANDOS DEL TORAX</t>
  </si>
  <si>
    <t>TUMOR BENIGNO DEL TEJIDO CUNJUNTIVO Y DE OTROS TEJIDOS BLANDOS DEL ABDOMEN</t>
  </si>
  <si>
    <t>TUMOR BENIGNO DEL TEJIDO CUNJUNTIVO Y DE OTROS TEJIDOS BLANDOS DE LA PELVIS</t>
  </si>
  <si>
    <t>TUMOR BENIGNO DEL TEJIDO CUNJUNTIVO Y DE OTROS TEJIDOS BLANDOS DEL TRONCO, SIN OTRA ESPECIFICACION</t>
  </si>
  <si>
    <t>TUMOR BENIGNO DEL TEJIDO CUNJUNTIVO Y DE OTROS TEJIDOS BLANDOS, DE SITIO NO ESPECIFICADO</t>
  </si>
  <si>
    <t>NEVO MELANOCITICO DE OTRAS PARTES DE LAS NO ESPECIFICADAS DE LA CARA</t>
  </si>
  <si>
    <t>TUMOR BENIGNO DE LA PIEL DE OTRAS PARTES Y DE LAS NO ESPECIFICADAS DE LA CARA</t>
  </si>
  <si>
    <t>TUMOR BENIGNO DE OTROS SITIOS ESPECIFICADOS DE LOS ORGANOS GENITALES FEMENINOS</t>
  </si>
  <si>
    <t>TUMOR BENIGNO DE ENCEFALO, PARTE NO ESPECIFICADA</t>
  </si>
  <si>
    <t>TUMOR BENIGNO DE OTRAS PARTES ESPECIFICADAS DEL SISTEMA NERVIOSO CENTRAL</t>
  </si>
  <si>
    <t>TUMOR BENIGNO DE PLURIGLANDULAR</t>
  </si>
  <si>
    <t>TUMOR BENIGNO DE LOS NERVIOS PERIFERICOS Y DEL SISTEMA NERVIOSO AUTONOMO</t>
  </si>
  <si>
    <t>TUMOR DE COMPORTAMIENTO INCIERTO O DESCONOCIDO DEL LABIO, DE LA CAVIDAD BUCAL Y DE LA FARINGE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</si>
  <si>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</si>
  <si>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</si>
  <si>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</si>
  <si>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</si>
  <si>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</si>
  <si>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</si>
  <si>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 OTROS ORGANOS GENITALES FEMENINOS</t>
  </si>
  <si>
    <t>TUMOR DE COMPORTAMIENTO INCIERTO O DESCONOCIDO DE ORGANO GENITAL FEMENINO NO ESPECIFICADO</t>
  </si>
  <si>
    <t>TUMOR DE COMPORTAMIENTO INCIERTO O DESCONOCIDO DE OTROS ORGANOS GENITALES MASCULINOS</t>
  </si>
  <si>
    <t>TUMOR DE COMPORTAMIENTO INCIERTO O DESCONOCIDO DE ORGANO GENITAL MASCULINO NO ESPECIFICADO</t>
  </si>
  <si>
    <t>TUMOR DE COMPORTAMIENTO INCIERTO O DESCONOCIDO DEC LA PELVIS RENAL</t>
  </si>
  <si>
    <t>TUMOR DE COMPORTAMIENTO INCIERTO O DESCONOCIDO DE OTROS ORGANOS URINARIOS</t>
  </si>
  <si>
    <t>TUMOR DE COMPORTAMIENTO INCIERTO O DESCONOCIDO DE ORGANO URINARIO NO ESPECIFICADO</t>
  </si>
  <si>
    <t>TUMOR DE COMPORTAMIENTO INCIERTO O DESCONOCIDO DE LAS MENINGES CEREBRALES</t>
  </si>
  <si>
    <t>TUMOR DE COMPORTAMIENTO INCIERTO O DESCONOCIDO DE LAS MENINGES RAQUIDEAS</t>
  </si>
  <si>
    <t>TUMOR DE COMPORTAMIENTO INCIERTO O DESCONOCIDO DE LAS MENINGES, PARTE NO ESPECIFICADA</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</si>
  <si>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</si>
  <si>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</si>
  <si>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</si>
  <si>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</si>
  <si>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</si>
  <si>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</si>
  <si>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</si>
  <si>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</si>
  <si>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</si>
  <si>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</si>
  <si>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DEL CUERPO AORTICO Y OTROS CROMAFINES</t>
  </si>
  <si>
    <t>TUMOR DE COMPORTAMIENTO INCIERTO O DESCONOCIDO CON AFECTACION PLURIGLANDULAR</t>
  </si>
  <si>
    <t>TUMOR DE COMPORTAMIENTO INCIERTO O DESCONOCIDO DE GLANDULA ENDOCRINA NO ESPECIFICADA</t>
  </si>
  <si>
    <t>TUMOR DE COMPORTAMIENTO INCIERTO O DESCONOCIDO DE LOS MASTOCITOS E HISTIOCITOS</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</si>
  <si>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</si>
  <si>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</si>
  <si>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</si>
  <si>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DEL TEJIDO CONJUNTIVO Y OTRO TEJIDO BLANDO</t>
  </si>
  <si>
    <t>TUMOR DE COMPORTAMIENTO INCIERTO O DESCONOCIDO DE LOS NERVIOS PERIFERICOS Y DEL SISTEMA NERVIOSO AUTONOMO</t>
  </si>
  <si>
    <t>TUMOR DE COMPORTAMIENTO INCIERTO O DESCONOCIDO DE OTROS SITIOS ESPECIFICADOS</t>
  </si>
  <si>
    <t>TUMOR DE COMPORTAMIENTO INCIERTO O DESCONOCIDO, DE SITIO NO ESPECIFICADO</t>
  </si>
  <si>
    <t>ANEMIA POR DEFICIENCIA DE HIERRO SECUNDARIA A PERDIDA DE SANGRE (CRONICA)</t>
  </si>
  <si>
    <t>ANEMIA POR DEFICIENCIA DE VITAMINA B12 DEBIDA A DEFICIENCIA DEL FACTOR INTRINSECO</t>
  </si>
  <si>
    <t>ANEMIA POR DEFICIENCIA DE VITAMINA B12 DEBIDA A MALA ABSORCION SELECTIVA DE VITAMINA B12 CON PROTEINURIA</t>
  </si>
  <si>
    <t>TRASTORNOS FALCIFORMES HETEROCIGOTICOS DOBLES</t>
  </si>
  <si>
    <t>HEMOGLOBINURIA PAROXISTICA NOCTURNA [MARCHIAFAVA-MICHELI]</t>
  </si>
  <si>
    <t>ANEMIAS HEMOLITICA ADQUIRIDA, SIN OTRA ESPECIFICACION</t>
  </si>
  <si>
    <t>ANEMIA EN ENFERMEDAD NEOPLASICA (C00-D48†)</t>
  </si>
  <si>
    <t>COAGULACION INTRAVASCULAR DISEMINADA [SINDROME DE DESFIBRINACION]</t>
  </si>
  <si>
    <t>PURPURA TROMBOCITOPENICA IDIOPATICA</t>
  </si>
  <si>
    <t>TROMBOCITOPENIA SECUNDARIA</t>
  </si>
  <si>
    <t>TRASTORNOS DE LOS LEUCOCITOS, NO ESPECIFICADO</t>
  </si>
  <si>
    <t>OTRAS ENFERMEDADES ESPECIFICADAS DE LA SANGRE Y DE LOS ORGANOS HEMATOPOYETICOS</t>
  </si>
  <si>
    <t>ENFERMEDAD DE LA SANGRE Y DE LOS ORGANOS HEMATOPOYETICOS, NO ESPECIFICADA</t>
  </si>
  <si>
    <t>HISTIOCITOSIS DE LAS CELULAS DE LANGERHANS, NO CLASIFICADA EN OTRA PARTE</t>
  </si>
  <si>
    <t>OTROS TRASTORNOS DE LA SANGRE Y DE LOS ORGANOS HEMATOPOYETICOS EN ENFERMEDADES CLASIFICADAS EN OTRA PARTE</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</si>
  <si>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</si>
  <si>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</si>
  <si>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</si>
  <si>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</si>
  <si>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</si>
  <si>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</si>
  <si>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</si>
  <si>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</si>
  <si>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</si>
  <si>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</si>
  <si>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FOSFORILASA PURINONUCLEOSIDA [FPN]</t>
  </si>
  <si>
    <t>INMUNODEFICIENCIA CON ENANISMO MICROMELICO [MIEMBROS CORTOS]</t>
  </si>
  <si>
    <t>INMUNODEFICIENCIA CONSECUTIVA A RESPUESTA DEFECTUOSA HEREDITARIA CONTRA EL VIRUS DE EPSTEIN-BARR</t>
  </si>
  <si>
    <t>SINDROME DE HIPERINMUNOGLOBULINA E [IgE]</t>
  </si>
  <si>
    <t>INMUNODEFICIENCIA ASOCIADA CON OTROS DEFECTOS MAYORES NO ESPECIFICADOS</t>
  </si>
  <si>
    <t>INMUNODEFICIENCIA VARIABLE COMUN CON PREDOMINIO DE ANORMALIDADES EN EL NUMERO Y LA FUNCION DE LOS LINFOCITOS B</t>
  </si>
  <si>
    <t>INMUNODEFICIENCIA VARIABLE COMUN CON PREDOMINIO DE TRASTORNOS INMUNORREGULADORES DE LOS LINFOCITOS T</t>
  </si>
  <si>
    <t>DEFECTO DE LA FUNCION DEL ANTIGENO-1 DEL LINFOCITO [LFA-1]</t>
  </si>
  <si>
    <t>SARCOIDOSIS DE LOS GANGLIOS LINFÁTICOS</t>
  </si>
  <si>
    <t>OTROS TRASTORNOS ESPECIFICADOS QUE AFECTAN EL MECANISMO DE LA INMUNIDAD, NO CLASIFICADOS EN OTRA PARTE</t>
  </si>
  <si>
    <t>OTROS TRASTORNOS DE LA TIROIDES RELACIONADOS CON DEFICIENCIA DE YODO Y AFECCIONES SIMILARES</t>
  </si>
  <si>
    <t>DIABETES MELLITUS INSULINODEPENDIENTE CON COMA</t>
  </si>
  <si>
    <t>DIABETES MELLITUS INSULINODEPENDIENTE CON CETOACIDOSIS</t>
  </si>
  <si>
    <t>DIABETES MELLITUS INSULINODEPENDIENTE CON COMPLICACIONES RENALES</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</si>
  <si>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</si>
  <si>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</si>
  <si>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</si>
  <si>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OTRAS COMPLICACIONES ESPECIFICADAS</t>
  </si>
  <si>
    <t>DIABETES MELLITUS INSULINODEPENDIENTE CON COMPLICACIONES MULTIPLES</t>
  </si>
  <si>
    <t>DIABETES MELLITUS INSULINODEPENDIENTE CON COMPLICACIONES NO ESPECIFICADAS</t>
  </si>
  <si>
    <t>DIABETES MELLITUS INSULINODEPENDIENTE SIN MENCION DE COMPLICACION</t>
  </si>
  <si>
    <t>DIABETES MELLITUS NO INSULINODEPENDIENTE CON COMA</t>
  </si>
  <si>
    <t>DIABETES MELLITUS NO INSULINODEPENDIENTE CON CETOACIDOSIS</t>
  </si>
  <si>
    <t>DIABETES MELLITUS NO INSULINODEPENDIENTE CON COMPLICACIONES RENALES</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</si>
  <si>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</si>
  <si>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</si>
  <si>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</si>
  <si>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OTRAS COMPLICACIONES ESPECIFICADAS</t>
  </si>
  <si>
    <t>DIABETES MELLITUS NO INSULINODEPENDIENTE CON COMPLICACIONES MULTIPLES</t>
  </si>
  <si>
    <t>DIABETES MELLITUS NO INSULINODEPENDIENTE CON COMPLICACIONES NO ESPECIFICADAS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</si>
  <si>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</si>
  <si>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</si>
  <si>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</si>
  <si>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</si>
  <si>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</si>
  <si>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</si>
  <si>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</si>
  <si>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</si>
  <si>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</si>
  <si>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</si>
  <si>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COMA</t>
  </si>
  <si>
    <t>OTRAS DIABETES MELLITUS ESPECIFICADAS CON CETOACIDOSIS</t>
  </si>
  <si>
    <t>OTRAS DIABETES MELLITUS ESPECIFICADAS CON COMPLICACIONES RENALES</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</si>
  <si>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</si>
  <si>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</si>
  <si>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</si>
  <si>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OTRAS COMPLICACIONES ESPECIFICADAS</t>
  </si>
  <si>
    <t>OTRAS DIABETES MELLITUS ESPECIFICADAS CON COMPLICACIONES MULTIPLES</t>
  </si>
  <si>
    <t>OTRAS DIABETES MELLITUS ESPECIFICADAS CON COMPLICACIONES NO ESPECIFICADAS</t>
  </si>
  <si>
    <t>OTRAS DIABETES MELLITUS ESPECIFICADAS SIN MENCION DE COMPLICACION</t>
  </si>
  <si>
    <t>DIABETES MELLITUS, NO ESPECIFICADA CON COMA</t>
  </si>
  <si>
    <t>DIABETES MELLITUS, NO ESPECIFICADA CON CETOACIDOSIS</t>
  </si>
  <si>
    <t>DIABETES MELLITUS, NO ESPECIFICADA CON COMPLICACIONES RENALES</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</si>
  <si>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</si>
  <si>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</si>
  <si>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</si>
  <si>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OTRAS COMPLICACIONES ESPECIFICADAS</t>
  </si>
  <si>
    <t>DIABETES MELLITUS, NO ESPECIFICADA CON COMPLICACIONES MULTIPLES</t>
  </si>
  <si>
    <t>DIABETES MELLITUS, NO ESPECIFICADA CON COMPLICACIONES NO ESPECIFICADAS</t>
  </si>
  <si>
    <t>DIABETES MELLITUS, NO ESPECIFICADA SIN MENCION DE COMPLICACION</t>
  </si>
  <si>
    <t>HIPOGLICEMIA , NO ESPECIFICADA</t>
  </si>
  <si>
    <t>SECRECION ANORMAL DE GASTRINA</t>
  </si>
  <si>
    <t>TRASTORNOS DE LA SECRECION INTERNA DEL PANCREAS, SIN OTRA ESPECIFICACION</t>
  </si>
  <si>
    <t>INSUFICIENCIA PILOGLANDULAR AUTOINMUNE</t>
  </si>
  <si>
    <t>TRASTORNOS DE LA GLANDULA TIROIDES EN ENFERMEDADES CLASIFICADAS EN OTRA PARTE</t>
  </si>
  <si>
    <t>TRASTORNOS DE LA GLANDULAS SUPRARRENALES EN ENFERMEDADES CLASIFICADAS EN OTRA PARTE</t>
  </si>
  <si>
    <t>TRASTORNOS DE OTRAS GLANDULAS ENDOCRINAS EN ENFERMEDADES CLASIFICADAS EN OTRA PARTE</t>
  </si>
  <si>
    <t>DESNUTRICION PROTEICOCALORICA , NO ESPECIFICADA</t>
  </si>
  <si>
    <t>OTRAS MANIFESTACIONES OCULARES DE DEFICIENCIA DE VITAMINA A</t>
  </si>
  <si>
    <t>DEFICIENCIA DE NIACINA [PELAGRA]</t>
  </si>
  <si>
    <t>DEFICIENCIA DE ACIDOS GRASOS ESENCIALES [AGE]</t>
  </si>
  <si>
    <t>TRASTORNO DEL METABOLISMO DE LOS AMINOACIDOS AROMATICOS, NO ESPECIFICADO</t>
  </si>
  <si>
    <t>OTROS TRASTORNOS DEL METABOLISMO DE LOS AMINOACIDOS DE CADENA RAMIFICADA</t>
  </si>
  <si>
    <t>OTROS TRASTORNOS DEL METABOLISMO DE LOS AMINOACIDOS DE CADENA RAMIFICADA, NO ESPECIFICADOS</t>
  </si>
  <si>
    <t>TRASTORNO DEL METABOLISMO DE LOS AMINOACIDOS AZUFRADOS</t>
  </si>
  <si>
    <t>TRASTORNO DEL METABOLISMO DE LA ORNITINA</t>
  </si>
  <si>
    <t>TRASTORNO DEL METABOLISMO DE LA GLICINA</t>
  </si>
  <si>
    <t>TRASTORNOS DEL METABOLISMO DEL PIRUVATO Y DE LAS GLUCONEOGENESIS</t>
  </si>
  <si>
    <t>TRASTORNOS DE ALMACENAMIENTO DE LIPIDOS, NO ESPECIFICADO</t>
  </si>
  <si>
    <t>OTRO TRASTORNOS DEL METABOLISMO DE LOS GLUCOSAMINOGLICANOS</t>
  </si>
  <si>
    <t>TRASTORNOS DEL METABOLISMO DE LAS PURINAS Y DE LAS PIRIMIDINAS, NO ESPECIFICADO</t>
  </si>
  <si>
    <t>TRASTORNOS DEL METABOLISMO DE LA BILIRRUBINA, NO ESPECIFICADO</t>
  </si>
  <si>
    <t>AMILOIDOSIS HEREDOFAMILIAR, NO ESPECIFICADA</t>
  </si>
  <si>
    <t>HIPOSMOLARIDAD E HIPERNATREMIA</t>
  </si>
  <si>
    <t>OTROS TRASTORNOS DEL EQUILIBRIO DE LOS ELECTROLITOS Y DE LOS LIQUIDOS, NO CLASIFICADOS EN OTRA PARTE</t>
  </si>
  <si>
    <t>TRASTORNOS DEL METABOLISMO DE LAS PROTEINAS PLASMATICAS, NO CLASIFICADOS EN OTRA PARTE</t>
  </si>
  <si>
    <t>HIPOFUNCION ADRENOCORTICAL [MEDULA SUPRARRENAL] CONSECUTIVA A PROCEDIMIENTOS</t>
  </si>
  <si>
    <t>OTROS TRASTORNOS METABOLICOS Y ENDOCRINOS CONSECUTIVO A PROCEDIMIENTOS</t>
  </si>
  <si>
    <t>TRASTORNO ENDOCRINO Y METABOLICO CONSECUTIVO A PROCEDIMIENTOS, NO ESPECIFICADO</t>
  </si>
  <si>
    <t>TRASTORNOS NUTRICIONALES Y METABOLICOS EN ENFERMEDADES CLASIFICADAS EN OTRA PARTE</t>
  </si>
  <si>
    <t>DEMENCIA EN LA ENFERMEDAD DE ALZHEIMER, DE COMIENZO TEMPRANO (G30.0†)</t>
  </si>
  <si>
    <t>DEMENCIA EN LA ENFERMEDAD DE ALZHEIMER, DE COMIENZO TARDIO (G30.1†)</t>
  </si>
  <si>
    <t>DEMENCIA EN LA ENFERMEDAD DE ALZHEIMER, ATIPICA O DE TIPO MIXTO (G30.8†)</t>
  </si>
  <si>
    <t>DEMENCIA EN LA ENFERMEDAD DE ALZHEIMER, NO ESPECIFICADA (G30.9†)</t>
  </si>
  <si>
    <t>DEMENCIA EN LA ENFERMEDAD DE PICK (G31.0†)</t>
  </si>
  <si>
    <t>DEMENCIA EN LA ENFERMEDAD DE CREUTZFELDT-JAKOB (A81.0†)</t>
  </si>
  <si>
    <t>DEMENCIA EN LA ENFERMEDAD DE HUNTINGTON (G10†)</t>
  </si>
  <si>
    <t>DEMENCIA EN LA ENFERMEDAD DE PARKINSON (G20†)</t>
  </si>
  <si>
    <t>DEMENCIA EN LA ENFERMEDAD POR VIRUS DE LA INMUNODEFICIENCIA HUMANA [VIH] (B22.0†)</t>
  </si>
  <si>
    <t>DEMENCIA EN OTRAS ENFERMEDADES ESPECIFICADAS CLASIFICADAS EN OTRA PARTE</t>
  </si>
  <si>
    <t>DEMENCIA , NO ESPECIFICADA</t>
  </si>
  <si>
    <t>SINDROME AMNESICO ORGANICO, NO INDUCIDO POR ACOHOL O POR OTRAS SUSTANCIAS PSICOACTIVAS</t>
  </si>
  <si>
    <t>TRASTORNO DELIRANTE [ESQUIZOFRENIFORME], ORGANICO</t>
  </si>
  <si>
    <t>TRASTORNOS DEL HUMOR [AFECTIVOS], ORGANICOS</t>
  </si>
  <si>
    <t>TRASTORNO DE LABILIDAD EMOCIONAL [ASTENICO], ORGANICO</t>
  </si>
  <si>
    <t>OTROS TRASTORNOS MENTALES ESPECIFICADOS DEBIDOS A LESION Y DISFUNCION CEREBRAL Y A ENFERMEDAD FISICA</t>
  </si>
  <si>
    <t>TRASTORNO MENTAL NO ESPECIFICADO DEBIDO A LESION Y DISFUNCION CEREBRAL Y A ENFERMEDAD FISICA</t>
  </si>
  <si>
    <t>OTROS TRASTORNOS ORGANICOS DE LA PERSONALIDAD Y DEL COMPORTAMIENTO DEBIDOS A ENFERMEDAD, LESION Y DISFUNCION CEREBRALES</t>
  </si>
  <si>
    <t>TRASTORNO ORGANICO DE LA PERSONALIDAD Y DEL COMPORTAMIENTO, NO ESPECIFICADO, DEBIDO A ENFERMEDAD, LESION Y DISFUNCION CEREBRAL</t>
  </si>
  <si>
    <t>TRASTORNOS MENTALES Y DEL COMPORTAMIENTO DEBIDOS AL USO DEL ALCOHOL: INTOXICACION AGUDA</t>
  </si>
  <si>
    <t>TRASTORNOS MENTALES Y DEL COMPORTAMIENTO DEBIDOS AL USO DEL ALCOHOL: USO NOCIVO</t>
  </si>
  <si>
    <t>TRASTORNOS MENTALES Y DEL COMPORTAMIENTO DEBIDOS AL USO DEL ALCOHOL: SINDROME DE DEPENDENCIA</t>
  </si>
  <si>
    <t>TRASTORNOS MENTALES Y DEL COMPORTAMIENTO DEBIDOS AL USO DEL ALCOHOL: ESTADO DE ABSTINENCIA</t>
  </si>
  <si>
    <t>TRASTORNOS MENTALES Y DEL COMPORTAMIENTO DEBIDOS AL USO DEL ALCOHOL: ESTADO DE ABSTINENCIA CON DELIRIO</t>
  </si>
  <si>
    <t>TRASTORNOS MENTALES Y DEL COMPORTAMIENTO DEBIDOS AL USO DEL ALCOHOL: TRASTORNO PSICOTICO</t>
  </si>
  <si>
    <t>TRASTORNOS MENTALES Y DEL COMPORTAMIENTO DEBIDOS AL USO DEL ALCOHOL: SINDROME AMNESICO</t>
  </si>
  <si>
    <t>TRASTORNOS MENTALES Y DEL COMPORTAMIENTO DEBIDOS AL USO DEL ALCOHOL: TRASTORNO PSICOTICO RESIDUAL Y DE COMIENZO TARDIO</t>
  </si>
  <si>
    <t>TRASTORNOS MENTALES Y DEL COMPORTAMIENTO DEBIDOS AL USO DEL ALCOHOL: OTROS TRASTORNOS MENTALES Y DEL COMPORTAMIENTO</t>
  </si>
  <si>
    <t>TRASTORNOS MENTALES Y DEL COMPORTAMIENTO DEBIDOS AL USO DEL ALCOHOL: TRASTORNO MENTAL Y DEL COMPORTAMIENTO, NO ESPECIFICADO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</si>
  <si>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</si>
  <si>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</si>
  <si>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</si>
  <si>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</si>
  <si>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</si>
  <si>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</si>
  <si>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</si>
  <si>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</si>
  <si>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</si>
  <si>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</si>
  <si>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</si>
  <si>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USO NOCIVO</t>
  </si>
  <si>
    <t>TRASTORNOS MENTALES Y DEL COMPORTAMIENTO DEBIDOS AL USO DE CANNABINOIDES: SINDROME DE DEPENDENCIA</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</si>
  <si>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</si>
  <si>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</si>
  <si>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</si>
  <si>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</si>
  <si>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</si>
  <si>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</si>
  <si>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</si>
  <si>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</si>
  <si>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</si>
  <si>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</si>
  <si>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</si>
  <si>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</si>
  <si>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</si>
  <si>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</si>
  <si>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</si>
  <si>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</si>
  <si>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 MENTAL Y DEL COMPORTAMIENTO, NO ESPECIFICADO</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</si>
  <si>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</si>
  <si>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</si>
  <si>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</si>
  <si>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</si>
  <si>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</si>
  <si>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</si>
  <si>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</si>
  <si>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</si>
  <si>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</si>
  <si>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</si>
  <si>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</si>
  <si>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</si>
  <si>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</si>
  <si>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</si>
  <si>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</si>
  <si>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</si>
  <si>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</si>
  <si>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</si>
  <si>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</si>
  <si>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</si>
  <si>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</si>
  <si>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</si>
  <si>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</si>
  <si>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</si>
  <si>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</si>
  <si>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</si>
  <si>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</si>
  <si>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</si>
  <si>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TRASTORNOS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</si>
  <si>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</si>
  <si>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</si>
  <si>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USO NOCIVO</t>
  </si>
  <si>
    <t>TRASTORNOS MENTALES Y DEL COMPORTAMIENTO DEBIDOS AL USO DE TABACO: SINDROME DE DEPENDENCIA</t>
  </si>
  <si>
    <t>TRASTORNOS MENTALES Y DEL COMPORTAMIENTO DEBIDOS AL USO DE TABACO: ESTADO DE ABSTINENCIA</t>
  </si>
  <si>
    <t>TRASTORNOS MENTALES Y DEL COMPORTAMIENTO DEBIDOS AL USO DE TABACO: ESTADO DE ABSTINENCIA CON DELIRIO</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</si>
  <si>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</si>
  <si>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</si>
  <si>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</si>
  <si>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TABACO: OTROS TRASTORNOS MENTALES Y DEL COMPORTAMIENTO</t>
  </si>
  <si>
    <t>TRASTORNOS MENTALES Y DEL COMPORTAMIENTO DEBIDOS AL USO DE TABACO: TRASTORNO MENTAL Y DEL COMPORTAMIENTO, NO ESPECIFICADO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</si>
  <si>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</si>
  <si>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</si>
  <si>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</si>
  <si>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</si>
  <si>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</si>
  <si>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</si>
  <si>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</si>
  <si>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</si>
  <si>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</si>
  <si>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</si>
  <si>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</si>
  <si>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</si>
  <si>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</si>
  <si>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</si>
  <si>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</si>
  <si>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</si>
  <si>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</si>
  <si>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</si>
  <si>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</si>
  <si>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</si>
  <si>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TRASTORNO PSICOTICO AGUDO Y TRANSITORIO, NO ESPECIFICADO DE TIPO ESQUIZOFRENICO</t>
  </si>
  <si>
    <t>HPOMANIA</t>
  </si>
  <si>
    <t>TRASTORNO AFECTIVO BIPOLAR, EPISODIO MANIACO PRESENTE SIN SINTOMAS PSICOTICOS</t>
  </si>
  <si>
    <t>TRASTORNO AFECTIVO BIPOLAR, EPISODIO MANIACO PRESENTE CON SINTOMAS PSICOTICOS</t>
  </si>
  <si>
    <t>TRASTORNO AFECTIVO BIPOLAR, EPISODIO DEPRESIVO PRESENTE LEVE O MODERADO</t>
  </si>
  <si>
    <t>TRASTORNO AFECTIVO BIPOLAR, EPISODIO DEPRESIVO GRAVE PRESENTE SIN SINTOMAS PSICOTICOS</t>
  </si>
  <si>
    <t>TRASTORNO AFECTIVO BIPOLAR, EPISODIO DEPRESIVO GRAVE PRESENTE CON SINTOMAS PSICOTICOS</t>
  </si>
  <si>
    <t>TRASTORNO DEPRESIVO RECURRENTE, EPISODIO DEPRESIVO GRAVE PRESENTE SIN SINTOMAS PSICOTICOS</t>
  </si>
  <si>
    <t>TRASTORNO DEPRESIVO RECURRENTE, EPISODIO DEPRESIVO GRAVE PRESENTE, CON SINTOMAS PSICOTICOS</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</si>
  <si>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</si>
  <si>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</si>
  <si>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</si>
  <si>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</si>
  <si>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</si>
  <si>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</si>
  <si>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FOBIAS ESPECIFICADAS [AISLADAS]</t>
  </si>
  <si>
    <t>TRASTORNO DE PANICO [ANSIEDAD PAROXISTICA EPISODICA]</t>
  </si>
  <si>
    <t>TRASTORNO DE ANSIEDAD , NO ESPECIFICADO</t>
  </si>
  <si>
    <t>PREDOMINIO DE ACTOS COMPULSIVOS [RITUALES OBSESIVOS]</t>
  </si>
  <si>
    <t>REACCION AL ESTRÉS AGUDO</t>
  </si>
  <si>
    <t>TRASTORNO DE ESTRÉS POSTRAUMATICO</t>
  </si>
  <si>
    <t>OTRAS REACCIONES AL ESTRÉS GRAVE</t>
  </si>
  <si>
    <t>REACCION AL ESTRÉS GRAVE, NO ESPECIFICADA</t>
  </si>
  <si>
    <t>TRASTORNOS DISOCIATIVOS MIXTOS [Y DE CONVERSION]</t>
  </si>
  <si>
    <t>OTROS TRASTORNOS DISOCIATIVOS [DE CONVERSION]</t>
  </si>
  <si>
    <t>TRASTORNO DISOCIATIVO [DE CONVERSION], NO ESPECIFICADO</t>
  </si>
  <si>
    <t>TERRORES DEL SUEÑO [TERRORES NOCTURNOS]</t>
  </si>
  <si>
    <t>OTRAS DISFUNCIONES SEXUALES, NO OCASIONADAS POR TRASTORNO NI POR ENFERMEDAD ORGANICOS</t>
  </si>
  <si>
    <t>DISFUNCION SEXUAL, NO OCASIONADA POR TRASTORNO NI POR ENFERMEDAD ORGANICOS, NO ESPECIFICADA</t>
  </si>
  <si>
    <t>TRASTORNOS MENTALES Y DEL COMPORTAMIENTO LEVES, ASOCIADOS CON EL PUERPERIO, NO CLASIFICADOS EN OTRA PARTE</t>
  </si>
  <si>
    <t>TRASTORNOS MENTALES Y DEL COMPORTAMIENTO GRAVES, ASOCIADOS CON EL PUERPERIO, NO CLASIFICADOS EN OTRA PARTE</t>
  </si>
  <si>
    <t>TRASTORNOS MENTALES Y DEL COMPORTAMIENTO ASOCIADOS CON EL PUERPERIO, NO CLASIFICADOS EN OTRA PARTE</t>
  </si>
  <si>
    <t>FACTORES PSICOLOGICOS Y DEL COMPORTAMIENTO ASOCIADOS CON TRASTORNOS O ENFERMEDADES CLASIFICADOS EN OTRA PARTE</t>
  </si>
  <si>
    <t>SINDROMES DEL COMPORTAMIENTO ASOCIADOS CON ALTERACIONES FISIOLOGICAS Y FACTORES FISICOS, NO ESPECIFICADOS</t>
  </si>
  <si>
    <t>CAMBIO PERDURABLE DE LA PERSONALIDAD DESPUES DE UNA EXPERIENCIA CATASTROFICA</t>
  </si>
  <si>
    <t>CAMBIO PERDURABLE DE LA PERSONALIDAD CONSECUTIVO A UNA ENFERMEDAD PSIQUIATRICA</t>
  </si>
  <si>
    <t>PRODUCCION INTENCIONAL O SIMULACION DE SINTOMAS O DE INCAPACIDADES, TANTO FISICAS COMO PSICOLOGICAS [TRASTORNO FACTICIO]</t>
  </si>
  <si>
    <t>OTROS TRASTORNOS ESPECIFICADOS DE LA PERSONALIDAD Y DEL COMPORTAMIENTO EN ADULTOS</t>
  </si>
  <si>
    <t>TRASTORNO DE LA PERSONALIDAD Y DEL COMPORTAMIENTO EN ADULTOS, NO ESPECIFICADO</t>
  </si>
  <si>
    <t>RETRASO MENTAL LEVE: DETERIORO DEL COMPORTAMIENTO NULO O MINIMO</t>
  </si>
  <si>
    <t>RETRASO MENTAL LEVE: DETERIORO DEL COMPORTAMIENTO SIGNIFICATIVO, QUE REQUIERE ATENCION O TRATAMIENTO</t>
  </si>
  <si>
    <t>RETRASO MENTAL LEVE: OTROS DETERIOROS DEL COMPORTAMIENTO</t>
  </si>
  <si>
    <t>RETRASO MENTAL LEVE: DETERIORO DEL COMPORTAMIENTO DE GRADO NO ESPECIFICADO</t>
  </si>
  <si>
    <t>RETRASO MENTAL MODERADO: DETERIORO DEL COMPORTAMIENTO NULO O MINIMO</t>
  </si>
  <si>
    <t>RETRASO MENTAL MODERADO: DETERIORO DEL COMPORTAMIENTO SIGNIFICATIVO, QUE REQUIERE ATENCION O TRATAMIENTO</t>
  </si>
  <si>
    <t>RETRASO MENTAL MODERADO: OTROS DETERIOROS DEL COMPORTAMIENTO</t>
  </si>
  <si>
    <t>RETRASO MENTAL MODERADO: DETERIORO DEL COMPORTAMIENTO DE GRADO NO ESPECIFICADO</t>
  </si>
  <si>
    <t>RETRASO MENTAL GRAVE: DETERIORO DEL COMPORTAMIENTO NULO O MINIMO</t>
  </si>
  <si>
    <t>RETRASO MENTAL GRAVE: DETERIORO DEL COMPORTAMIENTO SIGNIFICATIVO, QUE REQUIERE ATENCION O TRATAMIENTO</t>
  </si>
  <si>
    <t>RETRASO MENTAL GRAVE: OTROS DETERIOROS DEL COMPORTAMIENTO</t>
  </si>
  <si>
    <t>RETRASO MENTAL GRAVE: DETERIORO DEL COMPORTAMIENTO DE GRADO NO ESPECIFICADO</t>
  </si>
  <si>
    <t>RETRASO MENTAL PROFUNDO: DETERIORO DEL COMPORTAMIENTO NULO O MINIMO</t>
  </si>
  <si>
    <t>RETRASO MENTAL PROFUNDO: DETERIORO DEL COMPORTAMIENTO SIGNIFICATIVO, QUE REQUIERE ATENCION O TRATAMIENTO</t>
  </si>
  <si>
    <t>RETRASO MENTAL PROFUNDO: OTROS DETERIOROS DEL COMPORTAMIENTO</t>
  </si>
  <si>
    <t>RETRASO MENTAL PROFUNDO: DETERIORO DEL COMPORTAMIENTO DE GRADO NO ESPECIFICADO</t>
  </si>
  <si>
    <t>OTROS TIPOS DE RETRASO MENTAL PROFUNDO: DETERIORO DEL COMPORTAMIENTO NULO O MINIMO</t>
  </si>
  <si>
    <t>OTROS TIPOS DE RETRASO MENTAL PROFUNDO: DETERIORO DEL COMPORTAMIENTO SIGNIFICATIVO, QUE REQUIERE ATENCION O TRATAMIENTO</t>
  </si>
  <si>
    <t>OTROS TIPOS DE RETRASO MENTAL PROFUNDO: OTROS DETERIOROS DEL COMPORTAMIENTO</t>
  </si>
  <si>
    <t>OTROS TIPOS DE RETRASO MENTAL PROFUNDO: DETERIORO DEL COMPORTAMIENTO DE GRADO NO ESPECIFICADO</t>
  </si>
  <si>
    <t>RETRASO MENTAL, NO ESPECIFICADO: DETERIORO DEL COMPORTAMIENTO NULO O MINIMO</t>
  </si>
  <si>
    <t>RETRASO MENTAL, NO ESPECIFICADO: DETERIORO DEL COMPORTAMIENTO SIGNIFICATIVO, QUE REQUIERE ATENCION O TRATAMIENTO</t>
  </si>
  <si>
    <t>RETRASO MENTAL, NO ESPECIFICADO: OTROS DETERIOROS DEL COMPORTAMIENTO</t>
  </si>
  <si>
    <t>RETRASO MENTAL, NO ESPECIFICADO: DETERIORO DEL COMPORTAMIENTO DE GRADO NO ESPECIFICADO</t>
  </si>
  <si>
    <t>AFASIA ADQUIRIDA CON EPILEPSIA [LANDAU-KLEFFNER]</t>
  </si>
  <si>
    <t>TRASTORNO HIPERACTIVO ASOCIADO CON RETRASO MENTAL Y MOVIMIENTOS ESTEREOTIPADOS</t>
  </si>
  <si>
    <t>TRASTORNOS POR TICS MOTORES Y VOCALES MULTIPLES COMBINADOS [DE LA TOURETTE]</t>
  </si>
  <si>
    <t>OTROS TRASTORNOS POR TIC</t>
  </si>
  <si>
    <t>ECOPRESIS NO ORGANICA</t>
  </si>
  <si>
    <t>TRASTORNO DE LA INGESTION ALIMENTARIA EN LA INFANCIA Y EN LA NIÑEZ</t>
  </si>
  <si>
    <t>TARTAMUDEZ [ESPASMOFEMIA]</t>
  </si>
  <si>
    <t>OTROS TRASTORNOS EMOCIONALES Y DEL COMPORTAMIENTO QUE APARECEN HABITUALMENTE EN LA NIÑEZ Y EN LA ADOLESCENCIA</t>
  </si>
  <si>
    <t>TRASTORNOS NO ESPECIFICADOS, EMOCIONALES Y DEL COMPORTAMIENTO, QUE APARECEN HABITUALMENTE EN LA NIÑEZ Y EN LA ADOLESCENCIA</t>
  </si>
  <si>
    <t>MENINGITIS EN OTRAS ENFERMEDADES INFECCIOSAS Y PARASITARIAS ESPECIFICADAS CLASIFICADAS EN OTRA PARTE</t>
  </si>
  <si>
    <t>MENINGITIS RECURRENTE BENIGNA [MOLLARET]</t>
  </si>
  <si>
    <t>PARAPLEJÍA ESPASTICA TROPICAL</t>
  </si>
  <si>
    <t>MENINGOENCEFALITIS Y MENINGOMIELITIS BACTERIANAS, NO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</si>
  <si>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</si>
  <si>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</si>
  <si>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</si>
  <si>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ENCEFALITIS, MIELITIS Y ENCEFALOMIELITIS EN ENFERMEDADES CLASIFICADAS EN OTRA PARTE</t>
  </si>
  <si>
    <t>ABSCESO Y GRANULOMA INTRACRANEAL E INTRARRAQUIDEO EN ENFERMEDADES CLASIFICADAS EN OTRA PARTE</t>
  </si>
  <si>
    <t>PARAPLEJÍA ESPASTICA HEREDITARIA</t>
  </si>
  <si>
    <t>ATROFIA MUSCULAR ESPINAL INFANTIL, TIPO I [WERDNIG-HOFFMAN]</t>
  </si>
  <si>
    <t>OTRAS ATROFIAS SISTEMICAS QUE AFECTAN EL SISTEMA NERVIOSO CENTRAL EN ENFERMEDAD NEOPLASICA</t>
  </si>
  <si>
    <t>ATROFIA SISTEMICA QUE AFECTA PRIMARIAMENTE EL SISTEMA NERVIOSO CENTRAL EN EL MIXEDEMA (E00.1†, E03.-†)</t>
  </si>
  <si>
    <t>ATROFIA SISTEMICA QUE AFECTA PRIMARIAMENTE EL SISTEMA NERVIOSO CENTRAL EN OTRAS ENFERMEDADES CLASIFICADAS EN OTRA PARTE</t>
  </si>
  <si>
    <t>OFTALMOPLEJIA SUPRANUCLEAR PROGRESIVA [STEELE-RICHARDSON-OLSZEWSKI]</t>
  </si>
  <si>
    <t>DESGENERACION NIGROESTRIADA</t>
  </si>
  <si>
    <t>OTRAS ENFERMEDADES DEGENERATIVAS ESPECIFICADAS DE LOS NUCLEOS DE LA BASE</t>
  </si>
  <si>
    <t>TIC INDUCIDOS POR DROGAS Y OTROS TICS DE ORIGEN ORGANICO</t>
  </si>
  <si>
    <t>TRASTORNOS EXTRAPIRAMIDALES Y DEL MOVIMIENTO EN ENFERMEDADES CLASIFICADAS EN OTRA PARTE</t>
  </si>
  <si>
    <t>ENFERMEDAD DE ALZHEIMER COMIENZO TARDIO</t>
  </si>
  <si>
    <t>DEGENERACION DEL SISTEMA NERVIOSO DEBIDA A EL ALCOHOL</t>
  </si>
  <si>
    <t>DEGENERACION COMBINADA SUBAGUDA DE LA MEDULA ESPINAL EN ENFERNEDADES CLASIFICADAS EN OTRA PARTE</t>
  </si>
  <si>
    <t>OTROS TRASTORNOS DEGENERATIVOS ESPECIFICADOS DEL SISTEMA NERVIOSO EN ENFERMEDADES CLASIFICADAS EN OTRA PARTE</t>
  </si>
  <si>
    <t>NEUROMIELITIS OPTICA [DEVIC]</t>
  </si>
  <si>
    <t>LEUCOENCEFALITIS HEMORRAGICA AGUDA Y SUBAGUDA [HURST]</t>
  </si>
  <si>
    <t>DESMIELINIZACION DISEMINADA AGUDA SIN OTRA ESPECIFICACION</t>
  </si>
  <si>
    <t>MIELITIS TRANSVERSA AGUDA EN ENFERMEDAD DESMIELINIZANTE DEL SISTEMA NERVIOSO CENTRAL</t>
  </si>
  <si>
    <t>OTRAS ENFERMEDADES DESMIELINIZANTES DEL SISTEMA NERVIOSO CENTRAL, ESPECIFICADAS</t>
  </si>
  <si>
    <t>ENFERMEDAD DESMIELINIZANTE DEL SISTEMA NERVIOSO CENTRAL, NO ESPECIFICADA</t>
  </si>
  <si>
    <t>EPILEPSIA Y SINDROMES EPILEPTICOS IDIOPATICOS RELACIONADOS CON LOCALIZACIONES (FOCALES) (PARCIALES) Y CON ATAQUES DE INICIO LOCALIZADO</t>
  </si>
  <si>
    <t>EPILEPSIA Y SINDROMES EPILEPTICOS SINTOMATICOS RELACIONADOS CON LOCALIZACIONES (FOCALES) (PARCIALES) Y CON ATAQUES PARCIALES SIMPLES</t>
  </si>
  <si>
    <t>EPILEPSIA Y SINDROMES EPILEPTICOS SINTOMATICOS RELACIONADOS CON LOCALIZACIONES (FOCALES) (PARCIALES) Y CON ATAQUES PARCIALES COMPLEJOS</t>
  </si>
  <si>
    <t>OTROS ESTADOS EPILÉPTICOS</t>
  </si>
  <si>
    <t>MIGRAÑA SIN AURA [MIGRAÑA COMUN]</t>
  </si>
  <si>
    <t>MIGRAÑA CON AURA [MIGRAÑA CLASICA]</t>
  </si>
  <si>
    <t>SINDROME DE LA ARTERIA CAROTIDA (HEMISFÉRICO)</t>
  </si>
  <si>
    <t>CEREBRAL MEDIA (I66.0†)</t>
  </si>
  <si>
    <t>SINDROME DE LA ARTERIA CEREBRAL ANTERIOR (I66.1†)</t>
  </si>
  <si>
    <t>SINDROME DE LA ARTERIA CEREBRAL POSTERIOR (I66.2†)</t>
  </si>
  <si>
    <t>SINDROMES APOPLETICOS DEL TALLO ENCEFALICO (I60-I67†)</t>
  </si>
  <si>
    <t>SINDROME DE INFARTO CEREBELOSO (I60-I67†)</t>
  </si>
  <si>
    <t>SINDROME LACUNAR MOTOR PURO (I60-I67†)</t>
  </si>
  <si>
    <t>SINDROME LACUNAR SENSORIAL PURO (I60-I67†)</t>
  </si>
  <si>
    <t>OTROS SINDROMES LACUNARES (I60-I67†)</t>
  </si>
  <si>
    <t>OTROS SINDROMES VASCULARES ENCEFALICOS EN ENFERMEDADES CEREBROVASCULARES (I60-I67†)</t>
  </si>
  <si>
    <t>TRASTORNOS DEL INICIO Y DEL MANTENIMIENTO DEL SUEÑO [INSOMNIOS]</t>
  </si>
  <si>
    <t>TRASTORNOS DE SOMNOLENCIA EXCESIVA [HIPERSOMNIOS]</t>
  </si>
  <si>
    <t>TRASTORNOS DEL TRIGEMINO, NO ESPECIFICADO</t>
  </si>
  <si>
    <t>TRASTORNOS DEL NERVIO FACIAL, NO ESPECIFICADO</t>
  </si>
  <si>
    <t>NEURALGIA POSTHERPES ZOSTER (B02.2†)</t>
  </si>
  <si>
    <t>PARALISIS MULTIPLE DE LOS NERVIOS CRANEALES EN ENFERMEDADES INFECCIOSAS Y PARASITARIAS CLASIFICADAS EN OTRA PARTE (A00-B99†)</t>
  </si>
  <si>
    <t>PARALISIS MULTIPLE DE LOS NERVIOS CRANEALES, EN LA SARCOIDOSIS (D86.8†)</t>
  </si>
  <si>
    <t>PARALISIS MULTIPLE DE LOS NERVIOS CRANEALES, EN ENFERMEDADES NEOPLASICAS (C00-D48†)</t>
  </si>
  <si>
    <t>OTROS TRASTORNOS DE LOS NERVIOS CRANEALES EN OTRAS ENFERMEDADES CLASIFICADAS EN OTRA PARTE</t>
  </si>
  <si>
    <t>COMPRESIONES DE LAS RAICES Y PLEXOS NERVIOSOS EN ENFERMEDADES NEOPLASICAS (C00-D48†)</t>
  </si>
  <si>
    <t>COMPRESIONES DE LAS RAICES Y PLEXOS NERVIOSOS EN TRASTORNOS DE LOS DISCOS INTERVERTEBRALES (M50-M51†)</t>
  </si>
  <si>
    <t>COMPRESIONES DE LAS RAICES Y PLEXOS NERVIOSOS EN LA ESPONDILOSIS (M47.-†)</t>
  </si>
  <si>
    <t>COMPRESIONES DE LAS RAICES Y PLEXOS NERVIOSOS EN OTRAS DORSOPATIAS (M45-M46†, M48.-†, M53-M54†)</t>
  </si>
  <si>
    <t>COMPRESIONES DE LAS RAICES Y PLEXOS NERVIOSOS EN OTRAS ENFERMEDADES CLASIFICADAS EN OTRA PARTE</t>
  </si>
  <si>
    <t>MONONEUROPATIA DEL MIEMBRO SUPERIOR SIN OTRA ESPECIFICACION</t>
  </si>
  <si>
    <t>MONONEUROPATIA DIABETICA (E10-E14† COMO CUARTO CARACTER COMUN .4)</t>
  </si>
  <si>
    <t>NEUROPTIA HEREDITARIA MOTORA Y SENSORIAL</t>
  </si>
  <si>
    <t>POLINEUROPATIA EN ENFERMEDADES INFECCIOSAS Y PARASITARIAS CLASIFICADAS EN OTRA PARTE</t>
  </si>
  <si>
    <t>POLINEUROPATIA EN ENFERMEDAD NEOPLASICA (C00-D48†)</t>
  </si>
  <si>
    <t>POLINEUROPATIA DIABETICA (E10-E14† CON CUARTO CARACTER COMUN .4)</t>
  </si>
  <si>
    <t>POLINEUROPATIA EN OTRAS ENFERMEDADES ENDOCRINAS Y METABOLICAS (E00-E07†, E15-E16†, E20-E34†, E70-E89†)</t>
  </si>
  <si>
    <t>POLINEUROPATIA EN DEFICIENCIA NUTRICIONAL (E40-E64†)</t>
  </si>
  <si>
    <t>POLINEUROPATIA EN TRASTORNOS DEL TEJIDO CONECTIVO SISTEMICO (M30-M35†)</t>
  </si>
  <si>
    <t>POLINEUROPATIA EN OTROS TRASTORNOS OSTEOMUSCULARES (M00-M25†, M40-M96†)</t>
  </si>
  <si>
    <t>SINDROME DE EATON-LAMBERT (C80†)</t>
  </si>
  <si>
    <t>OTROS SINDROMES MIASTENICOS EN ENFERMEDAD NEOPLASICA (C00-D48†)</t>
  </si>
  <si>
    <t>MIOPATIA EN ENFERMEDADES INFECCIOSAS Y PARASITARIAS CLASIFICADAS EN OTRA PARTE</t>
  </si>
  <si>
    <t>MONOPLEJIA DEL MIEMBRO INFERIOR</t>
  </si>
  <si>
    <t>MONOPLEJIA DEL MIEMBRO SUPERIOR</t>
  </si>
  <si>
    <t>DISAUTONOMIA FAMILIAR [SINDROME DE RILEY-DAY]</t>
  </si>
  <si>
    <t>HIDROCEFALO EN ENFERMEDADES INFECCIOSAS Y PARASITARIAS CLASIFICADAS EN OTRA PARTE (A00-B99†)</t>
  </si>
  <si>
    <t>HIDROCEFALO EN ENFERMEDAD NEOPLASICA (C00-D48†)</t>
  </si>
  <si>
    <t>OTROS TRASTORNOS ENCEFALITICOS ESPECIFICADOS EN ENFERMEDADES CLASIFICADAS EN OTRA PARTE</t>
  </si>
  <si>
    <t>TRASTORNOS DE LA MENINGES, NO CLASIFICADOS EN OTRA PARTE</t>
  </si>
  <si>
    <t>TRASTORNOS NO ESPECIFICADOS DEL SISTEMA NERVIOSO, CONSECUTIVOS A PROCEDIMIENTOS</t>
  </si>
  <si>
    <t>NEUROPATIA AUTONOMICA EN ENFERNEDADES METABOLICAS Y ENDOCRINAS</t>
  </si>
  <si>
    <t>OTROS TRASTORNOS DEL SISTEMA NERVIOSO AUTONOMO EN OTRAS ENFERMEDADES CLASIFICADAS EN OTRA PARTE</t>
  </si>
  <si>
    <t>OTROS TRASTORNOS ESPECIFICADOS DEL SISTEMA NERVIOSO EN ENFERMEDADES CLASIFICADAS EN OTRA PARTE</t>
  </si>
  <si>
    <t>CALACIO [CHALAZION]</t>
  </si>
  <si>
    <t>TRASTORNOS DEL PARPADO, NO ESPECIFICADO</t>
  </si>
  <si>
    <t>INFECCION E INFESTACION PARASITARIAS DEL PARPADO EN ENFERMEDADES CLASIFICADAS EN OTRA PARTE</t>
  </si>
  <si>
    <t>COMPROMISO DEL PARPADO EN ENFERMEDADES INFECCIOSAS CLASIFICADAS EN OTRA PARTE</t>
  </si>
  <si>
    <t>RETENCION DE CUERPO EXTRAÑO (ANTIGUO), CONSECUTIVA A HERIDA PENETRANTE DE LA ORBITA</t>
  </si>
  <si>
    <t>TRASTORNOS DEL APARATO LAGRIMAL EN ENFERMEDADES CLASIFICADAS EN OTRA PARTE</t>
  </si>
  <si>
    <t>INFECCION O INFESTACION PARASITARIA DE LA ORBITA EN ENFERMEDADES CLASIFICADAS EN OTRA PARTE</t>
  </si>
  <si>
    <t>EXOFTALMIA HIPERTIROIDEA (E05.-†)</t>
  </si>
  <si>
    <t>OTROS TRASTORNOS DE LA ORBITA EN ENFERMEDADES CLASIFICADAS EN OTRA PARTE</t>
  </si>
  <si>
    <t>INFECCION FILARICA DE LA CONJUNTIVA (B74.-†)</t>
  </si>
  <si>
    <t>CONJUNTIVITIS EN ENFERMEDADES INFECCIOSAS Y PARASITARIAS CLASIFICADAS EN OTRA PARTE</t>
  </si>
  <si>
    <t>PENFIGOIDE OCULAR (L12.-†)</t>
  </si>
  <si>
    <t>OTROS TRASTORNOS DE LA CONJUNTIVA EN ENFERMEDADES CLASIFICADAS EN OTRA PARTE</t>
  </si>
  <si>
    <t>TRASTORNOS DE LA ESCLEROTICA, NO ESPECIFICADO</t>
  </si>
  <si>
    <t>OTRAS QUERATITIS SUPERFICIALES SIN CUNJUNTIVITIS</t>
  </si>
  <si>
    <t>QUERATITIS Y QUERATOCONJUNTIVITIS POR HERPES SIMPLE (B00.5†)</t>
  </si>
  <si>
    <t>QUERATITIS Y QUERATOCONJUNTIVITIS EN ENFERMEDADES INFECCIOSAS Y PARASITARIAS, CLASIFICADAS EN OTRA PARTE</t>
  </si>
  <si>
    <t>QUERATITIS Y QUERATOCONJUNTIVITIS EN OTRAS ENFERMEDADES CLASIFICADAS EN OTRA PARTE</t>
  </si>
  <si>
    <t>OTROS TRASTORNOS DE LA ESCLEROTICA Y DE LA CORNEA EN ENFERMEDADES CLASIFICADAS EN OTRA PARTE</t>
  </si>
  <si>
    <t>DEL IRIS Y DEL CUERPO CILIAR, NO ESPECIFICADO</t>
  </si>
  <si>
    <t>IRIDOCICLITIS EN ENFERMEDADES INFECCIOSAS Y PARASITARIAS CLASIFICADAS EN OTRA PARTE</t>
  </si>
  <si>
    <t>OTROS TRASTORNOS DEL IRIS Y DEL CUERPO CILIAR EN ENFERMEDADES CLASIFICADAS EN OTRA PARTE</t>
  </si>
  <si>
    <t>CATARATA DIABETICA (E10-E14† CON CUARTO CARACTER COMUN .3)</t>
  </si>
  <si>
    <t>CATARATA EN OTRAS ENFERMEDADES ENDOCRINAS, NUTRICIONALES Y METABOLICAS CLASIFICADAS EN OTRA PARTE</t>
  </si>
  <si>
    <t>OTROS TRASTORNOS DEL CRISTALINO EN ENFERMEDADES CLASIFICADAS EN OTRA PARTE</t>
  </si>
  <si>
    <t>DESGENERACION COROIDEA</t>
  </si>
  <si>
    <t>INFLAMACION CORIORRETINIANA EN ENFERMEDADES INFECCIOSAS Y PARASITARIAS CLASIFICADAS EN OTRA PARTE</t>
  </si>
  <si>
    <t>OTROS TRASTORNOS CORIORRETINIANOS EN ENFERMEDADES CLASIFICADAS EN OTRA PARTE</t>
  </si>
  <si>
    <t>OTROS DESPRENDIMIENTO DE LA RETINA</t>
  </si>
  <si>
    <t>SEPARACION DE LAS CASPAS DE LA RETINA</t>
  </si>
  <si>
    <t>RETINOPATIA DIABETICA (E10-E14† CON CUARTO CARACTER COMUN .3)</t>
  </si>
  <si>
    <t>OTROS TRASTORNOS DE LA RETINA EN ENFERMEDADES CLASIFICADAS EN OTRA PARTE</t>
  </si>
  <si>
    <t>GLAUCOMA EN ENFERMEDADES ENDOCRINAS, NUTRICIONALES Y METABOLICAS, CLASIFICADAS EN OTRA PARTE</t>
  </si>
  <si>
    <t>TRASTORNOS DEL CUERPO VITREO, NO ESPECIFICADO</t>
  </si>
  <si>
    <t>ENDOFTALMITIS EN ENFERNEDADES CLASIFICADAS EN OTRA PARTE</t>
  </si>
  <si>
    <t>OTROS TRASTORNOS DEL CUERPO VITREO Y DEL GLOBO OCULAR EN ENFERMEDADES CLASIFICADAS EN OTRA PARTE</t>
  </si>
  <si>
    <t>TRASTORNOS DE LAS VIAS OPTICAS, NO ESPECIFICADO</t>
  </si>
  <si>
    <t>OTROS TRASTORNOS DEL NERVIO OPTICO Y DE LAS VIAS OPTICAS EN ENFERMEDADES CLASIFICADAS EN OTRA PARTE</t>
  </si>
  <si>
    <t>PARALISIS DEL NERVIO MOTOR OCULAR COMUN [III PAR]</t>
  </si>
  <si>
    <t>PARALISIS DEL NERVIO PATETICO [IV PAR]</t>
  </si>
  <si>
    <t>PARALISIS DEL NERVIO MOTOR OCULAR EXTERNO [VI PAR]</t>
  </si>
  <si>
    <t>TRASTORNOS DEL MOVIMIENTO BINOCULAR, NO ESPECIFICADO</t>
  </si>
  <si>
    <t>DEFICIENCIAS DE LA VISION CROMATICA</t>
  </si>
  <si>
    <t>ANOMALIAS DE LA FUNCION PUPILAR EN ENFERMEDADES CLASIFICADAS EN OTRA PARTE</t>
  </si>
  <si>
    <t>OTROS TRASTORNOS ESPECIFICADOS DEL OJO EN ENFERMEDADES CLASIFICADAS EN OTRA PARTE</t>
  </si>
  <si>
    <t>TRASTORNO NO ESPECIFICADO DEL OJO Y SUS ANEXOS, CONSECUTIVO A PROCEDIMIENTOS</t>
  </si>
  <si>
    <t>OTITIS EXTERNA EN OTRAS ENFERMEDADES INFECCIOSAS Y PARASITARIAS CLASIFICADAS EN OTRA PATE</t>
  </si>
  <si>
    <t>OTITIS EXTERNA EN OTRAS ENFERMEDADES CLASIFICADAS EN OTRA PATE</t>
  </si>
  <si>
    <t>OTROS TRASTORNOS DEL OIDO EXTERNO EN ENFERMEDADES CLASIFICADAS EN OTRA PARTE</t>
  </si>
  <si>
    <t>OTROS TRASTORNOS ESPECIFICADOS DEL OIDO MEDIO Y DE LA APOFISIS MASTOIDES</t>
  </si>
  <si>
    <t>MASTOIDITIS EN ENFERMEDADES INFECCIOSAS Y PARASITARIAS CLASIFICADAS EN OTRA PARTE</t>
  </si>
  <si>
    <t>OTROS TRASTORNOS ESPECIFICADOS DEL OIDO MEDIO Y DE LA APOFISIS MASTOIDES EN ENFERMEDADES CLASIFICADAS EN OTRA PARTE</t>
  </si>
  <si>
    <t>OSTOSCLEROSIS COCLEAR</t>
  </si>
  <si>
    <t>HIPOACUSIA CONDUCTIVA, UNILATERAL CON AUDICION IRRESTRICTA CONTRALATERAL</t>
  </si>
  <si>
    <t>HIPOACUSIA NEUROSENSORIAL, UNILATERAL CON AUDICION IRRESTRICTA CONTRALATERAL</t>
  </si>
  <si>
    <t>HIPOACUSIA MIXTA CONDUCTIVA Y NEUROSENSORIAL, UNILATERAL CON AUDICION IRRESTRICTA CONTRALATERAL</t>
  </si>
  <si>
    <t>HIPOACUSIA SUBIDA IDIOPATICA</t>
  </si>
  <si>
    <t>NEURITIS DEL NERVIO AUDITIVO EN ENFERMEDADES INFECCIOSAS Y PARASITARIAS CLASIFICADAS EN OTRA PARTE</t>
  </si>
  <si>
    <t>OTROS TRASTORNOS DEL OIDO EN ENFERMEDADES CLASIFICADAS EN OTRA PARTE</t>
  </si>
  <si>
    <t>OTROS TRASTORNOS DEL OIDO Y DE LA APOFISIS MASTOIDES, CONSECUTIVOS A PROCEDIMIENTOS</t>
  </si>
  <si>
    <t>TRASTORNOS NO ESPECIFICADOS DEL OIDO Y DE LA APOFISIS MASTOIDES, CONSECUTIVOS A PROCEDIMIENTOS</t>
  </si>
  <si>
    <t>INSUFICIENCIA AORTICA REUMATICA CON INSUFICIENCIA</t>
  </si>
  <si>
    <t>ENFERMEDAD CARDIACA HIPERTENSIVA CON INSUFICIENCIA CARDIACA (CONGESTIVA)</t>
  </si>
  <si>
    <t>ENFERMEDAD CARDIACA HIPERTENSIVA SIN INSUFICIENCIA CARDIACA (CONGESTIVA)</t>
  </si>
  <si>
    <t>ENFERMEDAD CARDIORRENAL HIPERTENSIVA CON INSUFICIENCIA CARDIACA (CONGESTIVA)</t>
  </si>
  <si>
    <t>ENFERMEDAD CARDIORRENAL HIPERTENSIVA CON INSUFICIENCIA CARDIACA (CONGESTIVA) E INSUFICIENCIA RENAL</t>
  </si>
  <si>
    <t>INFARTO SUBSECUENTE DEL MIOCARDIO DE PARTE NO ESPECIFICADA</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</si>
  <si>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</si>
  <si>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</si>
  <si>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</si>
  <si>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COMPILACION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</si>
  <si>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</si>
  <si>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</si>
  <si>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</si>
  <si>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OTRAS COMPLICACIONES PRESENTES POSTERIORES AL INFARTO AGUDO DEL MIOCARDIO</t>
  </si>
  <si>
    <t>ENFERMEDAD ISQUEMIA CRONICA DEL CORAZON, NO ESPECIFICADA</t>
  </si>
  <si>
    <t>OTRAS HIPERTENSIONES PULMONARES SECUNDARIAS</t>
  </si>
  <si>
    <t>PERICARDITIS EN OTRAS ENFERMEDADES INFECCIOSAS Y PARASITARIAS CLASIFICADAS EN OTRA PARTE</t>
  </si>
  <si>
    <t>ESTENOSIS NO REUMATICA (DE LA VALVULA) TRICUSPIDE)</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</si>
  <si>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</si>
  <si>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</si>
  <si>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</si>
  <si>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</si>
  <si>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DE LA VALVULARES MULTIPLES EN ENFERMEDADES CLASIFICADAS EN OTRA PARTE</t>
  </si>
  <si>
    <t>ENDOCARDITIS, VALVULA NO ESPECIFICADA, EN ENFERMEDADES CLASIFICADAS EN OTRA PARTE</t>
  </si>
  <si>
    <t>MIOCARDITIS EN OTRAS ENFERMEDADES INFECCIOSAS Y PARASITARIAS CLASIFICADAS EN OTRA PARTE</t>
  </si>
  <si>
    <t>OTRAS CARDIOMIOPATIA HIPERTROFICAS</t>
  </si>
  <si>
    <t>CARDIOMIOPATIA DEBIDA A DROGAS Y A OTROS AGENTES EXTERNOS</t>
  </si>
  <si>
    <t>OTRAS CARDIOMIOPATIA</t>
  </si>
  <si>
    <t>CARDIOMIOPATIA EN ENFERMEDADES INFECCIOSAS Y PARASITARIAS CLASIFICADAS EN OTRA PARTE</t>
  </si>
  <si>
    <t>RUPTURA DEL MUSCULO PAPILAR, NO CLASIFICADA EN OTRA PARTE</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</si>
  <si>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</si>
  <si>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</si>
  <si>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</si>
  <si>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INFARTO CEREBRAL DEBIDO A OCLUSION O ESTENOSIS NO ESPECIFICADA DE ARTERIAS PRECEREBRALES</t>
  </si>
  <si>
    <t>INFARTO CEREBRAL DEBIDO A OCLUSION O ESTENOSIS NO ESPECIFICADA DE ARTERIAS CEREBRALES</t>
  </si>
  <si>
    <t>ACCIDENTE VASCULAR ENCEFALICO AGUDO, NO ESPECIFICADO COMO HEMORRAGICO O ISQUEMICO</t>
  </si>
  <si>
    <t>ANGIOPATIA CEREBRAL AMILOIDE (E85.-†)</t>
  </si>
  <si>
    <t>ARTERITIS CEREBRAL EN ENFERMEDADES INFECCIOSAS Y PARASITARIAS CLASIFICADA EN OTRA PARTE</t>
  </si>
  <si>
    <t>ARTERITIS CEREBRAL EN OTRAS ENFERMEDADES CLASIFICADA EN OTRA PARTE</t>
  </si>
  <si>
    <t>OTROS TRASTORNOS CEREBROVASCULARES EN ENFERMEDADES CLASIFICADAS EN OTRA PARTE</t>
  </si>
  <si>
    <t>SECUELAS DE ACCIDENTE VASCULAR ENCEFALICO, NO ESPECIFICADO COMO HEMORRAGICO O ISQUEMICO</t>
  </si>
  <si>
    <t>SECUELAS DE OTRAS ENFERMEDADES CEREBROVASCULARES Y DE LAS NO ESPECIFICADAS</t>
  </si>
  <si>
    <t>ANEURISMA DE LA ARTERIA DEL MIEMBRO SUPERIOR</t>
  </si>
  <si>
    <t>TROMBOANGEITIS OBLITERANTE [BUERGER]</t>
  </si>
  <si>
    <t>EMBOLIA Y TROMBOSIS DE OTRAS PORCIONES Y LAS NO ESPECIFICADAS DE LA AORTA</t>
  </si>
  <si>
    <t>TRASTORNOS DE ARTERIAS Y ARTERIOLAS, NO ESPECIFICADO</t>
  </si>
  <si>
    <t>OTROS TRASTORNOS DE ARTERIAS, ARTERIOLAS Y VASOS CAPILARES EN ENFERMEDADES CLASIFICADAS EN OTRA PARTE</t>
  </si>
  <si>
    <t>FLEBITIS Y TROMBOFLEBITIS DE VASOS SUPERFICIALES DE LOS MIEMBROS INFERIORES</t>
  </si>
  <si>
    <t>FLEBITIS Y TROMBOFLEBITIS DE OTROS VASOS PROFUNDOS DE LOS MIEMBROS INFERIORES</t>
  </si>
  <si>
    <t>OTROS TRASTORNOS ESPECIFICADOS NO INFECCIOSOS DE LOS VASOS Y GANGLIOS LINFATICOS</t>
  </si>
  <si>
    <t>TRASTORNO NO INFECCIOSO DE VASOS Y GANGLIOS LINFATICOS, NO ESPECIFICADO</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</si>
  <si>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</si>
  <si>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</si>
  <si>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</si>
  <si>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OTROS TRASTORNOS ESPECIFICADOS DEL APARATO CIRCULATORIO EN ENFERMEDADES CLASIFICADAS EN OTRA PARTE</t>
  </si>
  <si>
    <t>LARINGITIS OBSTRUCTIVA, AGUDA [CRUP]</t>
  </si>
  <si>
    <t>OTRAS INFECCIONES AGUDAS DE SITIOS MULTIPLES DE LAS VIAS RESPIRATORIAS SUPERIORES</t>
  </si>
  <si>
    <t>INFLUENZA CON OTRAS MANIFESTACIONES RESPIRATORIAS, DEBIDA A VIRUS DE LA INFLUENZA IDENTIFICADO</t>
  </si>
  <si>
    <t>INFLUENZA, CON OTRAS MANIFESTACIONES, DEBIDA A VIRUS DE LA INFLUENZA IDENTIFICADO</t>
  </si>
  <si>
    <t>INFLUENZA CON OTRAS MANIFESTACIONES RESPIRATORIAS, VIRUS NO IDENTIFICADO</t>
  </si>
  <si>
    <t>NEUMONÍA LOBAR, NO ESPECIFICADA</t>
  </si>
  <si>
    <t>ABSCESO, FURUNCULO Y ANTRAX DE LA NARIZ</t>
  </si>
  <si>
    <t>QUISTE Y MUCOCELE DE LA NARIZ Y DEL SENO PARANASAL</t>
  </si>
  <si>
    <t>ENFERMEDAD CRONICAS DE LAS AMIGDALAS Y DE LAS ADENOIDES, NO ESPECIFICADA</t>
  </si>
  <si>
    <t>REACCION DE HIPERSENSIBILIDAD DE LAS VIAS RESPIRATORIAS SUPERIORES, SITIO NO ESPECIFICADO</t>
  </si>
  <si>
    <t>ENFERMEDAD PULMONAR OBSTRUCTIVA CRONICA CON INFECCION AGUDA DE LAS VIAS RESPIRATORIAS INFERIORES</t>
  </si>
  <si>
    <t>ENFERMEDAD PULMONAR OBSTRUCTIVA CRONICA CON EXACERBACION AGUDA, NO ESPECIFICADA</t>
  </si>
  <si>
    <t>NEUMOCONIOSIS, ASOCIADA CON TUBERCULOSIS</t>
  </si>
  <si>
    <t>ENFERMEDAD DE LAS VIAS AEREAS DEBIDAS A OTROS POLVOS ORGANICOS ESPECIFICOS</t>
  </si>
  <si>
    <t>NEUMONITIS DE LA VENTILACION DEBIDA AL ACONDICIONADOR Y HUMIDIFICADOR DEL AIRE</t>
  </si>
  <si>
    <t>NEUMONITIS DEBIDA A HIPERSENSIBILIDAD A OTROS POLVOS ORGANICOS</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</si>
  <si>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</si>
  <si>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</si>
  <si>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</si>
  <si>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QUÍMICAS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</si>
  <si>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</si>
  <si>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</si>
  <si>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</si>
  <si>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MANIFESTACIONES PULMONARES CRONICAS Y OTRAS MANIFESTACIONES DEBIDAS A RADIACION</t>
  </si>
  <si>
    <t>TRASTORNOS PULMONARES INTERSTICIALES NO ESPECIFICADOS INDUCIDOS POR DROGAS</t>
  </si>
  <si>
    <t>AFECCIONES RESPIRATORIAS DEBIDAS A OTROS AGENTES EXTERNOS ESPECIFICADOS</t>
  </si>
  <si>
    <t>TRASTORNO NO ESPECIFICADO DEL SISTEMA RESPIRATORIO, CONSECUTIVOS A PROCEDIMIENTOS</t>
  </si>
  <si>
    <t>ENFERMEDADES DE LA TRAQUEA Y DE LOS BRONQUIOS, NO CLASIFICADAS EN OTRA PARTE</t>
  </si>
  <si>
    <t>ENFERMEDADES DEL MEDIASTINO, NO CLASIFICADOS EN OTRA PARTE</t>
  </si>
  <si>
    <t>ENFERMEDAD PULMONAR REUMATOIDE (M05.1†)</t>
  </si>
  <si>
    <t>TRASTORNOS RESPIRATORIOS EN OTROS TRASTORNOS DIFUSOS DEL TEJIDO CONJUNTIVO</t>
  </si>
  <si>
    <t>TRASTORNOS RESPIRATORIOS EN OTRAS ENFERMEDADES CLASIFICADAS EN OTRA PARTE</t>
  </si>
  <si>
    <t>ALTERACIONES HEREDITARIAS DE LA ESTRUCTURA DENTARIA, NO CLASIFICADAS EN OTRA PARTE</t>
  </si>
  <si>
    <t>OTRAS ENFERMEDADES Y LAS NO ESPECIFICADAS DE LA PULPA Y DEL TEJIDO PERIAPICAL</t>
  </si>
  <si>
    <t>ENFERMEDAD DE PERIODONTO, NO ESPECIFICADA</t>
  </si>
  <si>
    <t>PERDIDA DE DIENTES DEBIDA A ACCIDENTE, EXTRACCION O ENFERMEDAD PERIODONTAL LOCAL</t>
  </si>
  <si>
    <t>ATROFIA DE REBORDE ALVEOLAR DESDENTADO</t>
  </si>
  <si>
    <t>OTRAS AFECCIONES ESPECIFICADAS DE LOS DIENTES Y DE SUS ESTRUCTURAS DE SOSTEN</t>
  </si>
  <si>
    <t>TRASTORNO DE LOS DIENTES Y DE SUS ESTRUCTURAS DE SOSTEN, NO ESPECIFICADO</t>
  </si>
  <si>
    <t>ENFERMEDAD DE GLANDULA SALIVAL. NO ESPECIFICADA</t>
  </si>
  <si>
    <t>CELULITIS Y ABSCESO DE BOCA</t>
  </si>
  <si>
    <t>LEUCOPLASIA Y OTRAS ALTERACIONES DEL EPITELIO BUCAL, INCLUYENDO LA LENGUA</t>
  </si>
  <si>
    <t>HIPERPLASIA IRRITATIVA DE LA MUCOSA BUCAL</t>
  </si>
  <si>
    <t>ESOFAGITIS TUBERCULOSA (A18.†)</t>
  </si>
  <si>
    <t>MEGAESOFAGO EN LA ENFERMEDAD DE CHAGAS (B57.3†)</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</si>
  <si>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</si>
  <si>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</si>
  <si>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</si>
  <si>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</si>
  <si>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</si>
  <si>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</si>
  <si>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</si>
  <si>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</si>
  <si>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</si>
  <si>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</si>
  <si>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</si>
  <si>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</si>
  <si>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</si>
  <si>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</si>
  <si>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</si>
  <si>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</si>
  <si>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</si>
  <si>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</si>
  <si>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</si>
  <si>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</si>
  <si>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</si>
  <si>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</si>
  <si>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</si>
  <si>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</si>
  <si>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</si>
  <si>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</si>
  <si>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</si>
  <si>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</si>
  <si>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</si>
  <si>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</si>
  <si>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</si>
  <si>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</si>
  <si>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</si>
  <si>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</si>
  <si>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</si>
  <si>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</si>
  <si>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</si>
  <si>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CRONICA SUPERFICIAL.</t>
  </si>
  <si>
    <t>POLIPO DEL ESTOMAGO Y DEL DUODENO</t>
  </si>
  <si>
    <t>HERNIA INGUINAL BILATERAL CON GANGRENA</t>
  </si>
  <si>
    <t>HERNIA INGUINAL UNILATERAL O NO ESPECIFICADA, CON OBSTRUCCION, SIN GANGRENA</t>
  </si>
  <si>
    <t>HERNIA INGUINAL UNILATERAL O NO ESPECIFICADA, SIN OBSTRUCION NI GANGRENA</t>
  </si>
  <si>
    <t>HERNIA FEMORAL UNILATERAL O NO ESPECIFICADA, CON OBSTRUCCION, SIN GANGRENA</t>
  </si>
  <si>
    <t>HERNIA FEMORAL UNILATERAL O NO ESPECIFICADA, SIN OBSTRUCCION NI GANGRENA</t>
  </si>
  <si>
    <t>HERNIA DIAFRAGMATICA SIN OBSTRUCCIÓN NI GANGRENA</t>
  </si>
  <si>
    <t>OTRAS HERNIAS DE LA CAVIDAD ABDOMINAL ESPECIFICADAS, CON OBSTRUCCION, SIN GANGRENA</t>
  </si>
  <si>
    <t>OTRAS HERNIAS DE LA CAVIDAD ABDOMINAL ESPECIFICADAS, SIN OBSTRUCCION NI GANGRENA</t>
  </si>
  <si>
    <t>ADHERENCIAS [BRIDAS] INTESTINALES CON OBSTRUCCION</t>
  </si>
  <si>
    <t>ENFERMEDAD DIVERTICULAR DEL INTESTINO DELGADO CON PERFORACION Y ABSCESO</t>
  </si>
  <si>
    <t>ENFERMEDAD DIVERTICULAR DEL INTESTINO DELGADO SIN PERFORACION NI ABSCESO</t>
  </si>
  <si>
    <t>ENFERMEDAD DIVERTICULAR DEL INTESTINO GRUESO SIN PERFORACION NI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</si>
  <si>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</si>
  <si>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</si>
  <si>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</si>
  <si>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FISURA ANAL</t>
  </si>
  <si>
    <t>POLIPO DEL COLON</t>
  </si>
  <si>
    <t>PERITONITIS POR CLAMIDIAS (A74.8†)</t>
  </si>
  <si>
    <t>PERITONITIS GONOCOCICA (A54.8†)</t>
  </si>
  <si>
    <t>PERITONITIS SIFILITICA (A52.7†)</t>
  </si>
  <si>
    <t>PERITONITIS TUBERCULOSA (A18.3†)</t>
  </si>
  <si>
    <t>OTROS TRASTORNOS DEL PERITONEO EN ENFERMEDADES INFECCIOSAS CLASIFICADAS EN OTRA PARTE</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</si>
  <si>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</si>
  <si>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</si>
  <si>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</si>
  <si>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</si>
  <si>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</si>
  <si>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</si>
  <si>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</si>
  <si>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</si>
  <si>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OTRAS CIRROSIS DEL HIGADO Y LA NO ESPECIFICADAS</t>
  </si>
  <si>
    <t>HEPATITIS AUTOINMUNE</t>
  </si>
  <si>
    <t>OTRAS ENFERMEDADES ESPECIFICAS DEL HIGADO</t>
  </si>
  <si>
    <t>TRASTORNOS DEL HIGADO EN ENFERMEDADES INFECCIOSAS Y PARASITARIAS CLASIFICADAS EN OTRA PARTE</t>
  </si>
  <si>
    <t>TRASTORNO DEL HIGADO EN OTRAS ENFERMEDADES CLASIFICADAS EN OTRA PARTE</t>
  </si>
  <si>
    <t>OTRAS ENFERMEDADES ESPECIALIZADAS DE LAS VIAS BILIARES</t>
  </si>
  <si>
    <t>TRASTORNOS DE LA VESICULA BILIAR Y DE LAS VIAS BILIARES EN ENFERMEDADES CLASIFICADAS EN OTRA PARTE</t>
  </si>
  <si>
    <t>OBSTRUCION INTESTINAL POSTOPERATORIA</t>
  </si>
  <si>
    <t>OTROS TRASTORNOS DEL SISTEMA DIGESTIVO CONSECUTIVOS A PROCEDIMIENTOS, NO CLASIFICADOS EN OTRA PARTE</t>
  </si>
  <si>
    <t>TRASTORNO NO ESPECIFICADO AL SISTEMA DIGESTIVO CONSECUTIVO A PROCEDIMIENTOS</t>
  </si>
  <si>
    <t>TRASTORNOS TUBERCULOSOS DEL INTESTINO, PERITONEO Y GANGLIOS MESENTERICOS (A18.3†)</t>
  </si>
  <si>
    <t>MEGACOLON EN LA ENFERMEDAD DE CHAGAS (B57.3†)</t>
  </si>
  <si>
    <t>TRASTORNOS DE OTROS ORGANOS DIGESTIVOS ESPECIFICADOS EN ENFERMEDADES CLASIFICADAS EN OTRA PARTE</t>
  </si>
  <si>
    <t>IMPETIGO [CUALQUIER SITIO ANATOMICO] [CUALQUIER ORGANISMO]</t>
  </si>
  <si>
    <t>ABSCESO CUTANEO, FURUNCULO Y ANTRAX DE LA CARA</t>
  </si>
  <si>
    <t>ABSCESO CUTANEO, FURUNCULO Y ANTRAX DE LA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</si>
  <si>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</si>
  <si>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</si>
  <si>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</si>
  <si>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</si>
  <si>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</si>
  <si>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</si>
  <si>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PENFIGO BRASILEÑO [FOGO SELVAGEM]</t>
  </si>
  <si>
    <t>DERMATOSIS ACANTOLITICA TRANSITORIA [GROVER]</t>
  </si>
  <si>
    <t>DERMATITIS ALERGICA DE CONTACTO DEBIDA A DROGAS EN CONTACTO CON LA PIEL</t>
  </si>
  <si>
    <t>DERMATITIS ALERGICA DE CONTACTO DEBIDA A ALIMENTOS EN CONTACTO CON LA PIEL</t>
  </si>
  <si>
    <t>DERMATITIS ALERGICA DE CONTACTO DEBIDA A PLANTAS, EXCEPTO LAS ALIMENTICIAS</t>
  </si>
  <si>
    <t>DERMATITIS DE CONTACTO POR IRRITANTES, DEBIDA A DROGAS EN CONTACTO CON LA PIEL</t>
  </si>
  <si>
    <t>DERMATITIS DE CONTACTO POR IRRITANTES, DEBIDA A OTROS PRODUCTOS QUIMICOS</t>
  </si>
  <si>
    <t>DERMATITIS DE CONTACTO POR IRRITANTES, DEBIDA A ALIMENTOS EN CONTACTO CON LA PIEL</t>
  </si>
  <si>
    <t>DERMATITIS DE CONTACTO POR IRRITANTES, DEBIDA A PLANTAS, EXCEPTO LAS ALIMENTICIAS</t>
  </si>
  <si>
    <t>DERMATITIS DE CONTACTO, FORMA NO ESPECIFICADA, DEBIDA A DROGAS EN CONTACTO CON LA PIEL</t>
  </si>
  <si>
    <t>DERMATITIS DE CONTACTO, FORMA NO ESPECIFICADA, DEBIDA A OTROS PRODUCTOS QUIMICOS</t>
  </si>
  <si>
    <t>DERMATITIS DE CONTACTO, FORMA NO ESPECIFICADA, DEBIDA A ALIMENTOS EN CONTACTO CON LA PIEL</t>
  </si>
  <si>
    <t>DERMATITIS DE CONTACTO, FORMA NO ESPECIFICADA, , DEBIDA A PLANTAS, EXCEPTO LAS ALIMENTICIAS</t>
  </si>
  <si>
    <t>DISHIDROSIS [PONFOLIX]</t>
  </si>
  <si>
    <t>PITIRIASIS LINQUENOIDE Y VARIOLIFORME AGUDA</t>
  </si>
  <si>
    <t>PITIRIASIS LINQUENOIDE CRONICA</t>
  </si>
  <si>
    <t>REACCION LINQUENOIDE DEBIDA A DROGAS</t>
  </si>
  <si>
    <t>ACRODERMATITIS PAPULAR INFANTIL [GIANNOTTI-CROSTI]</t>
  </si>
  <si>
    <t>OTROS TRASTORNOS PALPULOESCAMOSOS ESPECIFICADOS</t>
  </si>
  <si>
    <t>NECROLISIS EPIDERMICA TOXICA [LYELL]</t>
  </si>
  <si>
    <t>ERITEMA MARGINADO EN LA FIEBRE REUMATICA AGUDA (I00†)</t>
  </si>
  <si>
    <t>QUEMADURA SOLAR PRIMER GRADO</t>
  </si>
  <si>
    <t>QUEMADURA SOLAR SEGUNDO GRADO</t>
  </si>
  <si>
    <t>QUEMADURA SOLAR TERCER GRADO</t>
  </si>
  <si>
    <t>DERMATITIS POR FOTOCONTACTO [DERMATITIS DE BERLOQUE]</t>
  </si>
  <si>
    <t>OTROS CAMBIOS AGUDOS ESPECIFICADOS DE LA PIEL DEBIDOS A RADIACION ULTRAVIOLETA</t>
  </si>
  <si>
    <t>CAMBIO AGUDO DE LA PIEL DEBIDO A RADIACION ULTRAVIOLETA, SIN OTRA ESPECIFICACION</t>
  </si>
  <si>
    <t>OTROS CAMBIOS DE LA PIEL DEBIDOS A EXPOSICION CRONICA A RADIACION NO IONIZANTE</t>
  </si>
  <si>
    <t>CAMBIOS DE LA PIEL DEBIDOS A EXPOSICION CRONICA A RADIACION NO IONIZANTE, SIN OTRA ESPECIFICACION</t>
  </si>
  <si>
    <t>ERITEMA AB IGNE [DERMATITIS AB IGNE]</t>
  </si>
  <si>
    <t>OTROS TRASTORNOS ESPECIFICADOS DE LA PIEL Y DEL TEJIDO SUBCUTANEO RELACIONADOS CON RADIACION</t>
  </si>
  <si>
    <t>TRASTORNOS NO ESPECIFICADOS DE LA PIEL Y DEL TEJIDO SUBCUTANEO RELACIONADOS CON RADIACION</t>
  </si>
  <si>
    <t>UÑA DEFORME DE LA PAQUIDERMOPERIOSTOSIS (M89.4†)</t>
  </si>
  <si>
    <t>TRASTORNOS DE LAS UÑAS EN OTRAS ENFERMEDADES CLASIFICADAS EN OTRA PARTE</t>
  </si>
  <si>
    <t>OTRAS ANOMALIAS DEL TALLO Y DEL COLOR DEL PELO</t>
  </si>
  <si>
    <t>HIPERTRICOSIS , NO ESPECIFICADA</t>
  </si>
  <si>
    <t>QUISTE FOLICULAR DE LA PIEL Y DEL TEJIDO SUBCUTANEO, SIN OTRA ESPECIFICACION</t>
  </si>
  <si>
    <t>MILIARIA , NO ESPECIFICADA</t>
  </si>
  <si>
    <t>OTROS TRASTORNOS SUDORIPADOS ECRINOS</t>
  </si>
  <si>
    <t>OTROS TRASTORNOS SUDORIPARO APOCRINO</t>
  </si>
  <si>
    <t>MANCHAS CAFÉ CON LECHE</t>
  </si>
  <si>
    <t>QUERATOSIS [QUERATODERMIA] PALMAR Y PLANTAR ADQUIRIDA</t>
  </si>
  <si>
    <t>QUERODERMA EN ENFERMEDADES CLASIFICADAS EN OTRA PARTE</t>
  </si>
  <si>
    <t>QUERATOSIS FOLICULAR Y PARAFOLICULAR PENETRANTE DEL CUTIS [KYRLE]</t>
  </si>
  <si>
    <t>TRASTORNO DE LA ELIMINACION TRANSEPIDERMICA. NO ESPECIFICADO</t>
  </si>
  <si>
    <t>GRANULOMA FACIAL [GRANULOMA EOSINOFILO DE LA PIEL]</t>
  </si>
  <si>
    <t>GRANULOMA POR CUERPO EXTRAÑO DE LA PIEL Y EN EL TEJIDO SUBCUTANEO</t>
  </si>
  <si>
    <t>TRASTORNO GRANULOMATOSO DE LA PIEL Y DEL TEJIDO SUBCUTANEO, NO ESPECIFICADO</t>
  </si>
  <si>
    <t>ESCLERODERMA LOCALIZADO [MORFEA]</t>
  </si>
  <si>
    <t>OTRAS VASCULITIS LIMITADAS DE LA PIEL</t>
  </si>
  <si>
    <t>ULCERA DEL MIEMBRO INFERIOR, NO CLASIFICADA EN OTRA PARTE</t>
  </si>
  <si>
    <t>DERMATOSIS NEUTROFILA FEBRIL [SWEET]</t>
  </si>
  <si>
    <t>CELULITIS EOSINOFILA [WELLS]</t>
  </si>
  <si>
    <t>OTROS TRASTORNOS INFILTRATIVOS DE LA PIEL Y DEL TEJIDO SUBCUTÁNEO</t>
  </si>
  <si>
    <t>AMILOIDOSIS DE LA PIEL (E85.-†)</t>
  </si>
  <si>
    <t>OTROS TRASTORNOS DE LA PIEL Y DEL TEJIDO SUBCUTANEO EN ENFERMEDADES CLASIFICADAS EN OTRA PARTE</t>
  </si>
  <si>
    <t>ARTRITIS Y POLIARTRITIS ESTREPTOCOCICAS</t>
  </si>
  <si>
    <t>ARTRITIS Y POLIARTRITIS DEBIDAS A OTROS AGENTES BACTERIANOS ESPECIFICADOS</t>
  </si>
  <si>
    <t>ARTRITIS MENINGOCOCICA (A39.8†)</t>
  </si>
  <si>
    <t>TUBERCULOSA (A18.0†)</t>
  </si>
  <si>
    <t>ARTRITIS EN LA ENFERMEDAD DE LYME (A69.2†)</t>
  </si>
  <si>
    <t>ARTRITIS EN RUBEOLA (B06.8†)</t>
  </si>
  <si>
    <t>ARTRITIS EN MICOSIS (B35-B49†)</t>
  </si>
  <si>
    <t>ARTRITIS EN OTRAS ENFERMEDADES INFECCIOSAS Y PARASITARIAS CLASIFICADAS EN OTRA PARTE</t>
  </si>
  <si>
    <t>OTRAS ARTROPATIA REACTIVAS</t>
  </si>
  <si>
    <t>ARTRITIS POSTMENINGOCOCICA (A39.8†)</t>
  </si>
  <si>
    <t>OTRAS ARTROPATIAS POSTINFECCIOSAS EN ENFERMEDADES CLASIFICADAS EN OTRA PARTE</t>
  </si>
  <si>
    <t>ARTRITIS REUMATOIDE SEROPOSITIVA, SIN OTRA ESPECIFICACION</t>
  </si>
  <si>
    <t>OTRAS ARTRITIS REUMATOIDEAS ESPECIFICADAS</t>
  </si>
  <si>
    <t>ARTROPATIA PSORIASICA INTERFALANGICA DISTAL (L40.5†)</t>
  </si>
  <si>
    <t>ARTRITIS MUTILANTE (L40.5†)</t>
  </si>
  <si>
    <t>ESPONDILITIS PSORIASICA (L40.5†)</t>
  </si>
  <si>
    <t>OTRAS ARTROPATIAS PSORIASICAS (L40.5†)</t>
  </si>
  <si>
    <t>ARTROPATIA EN LA ENFERMEDAD DE CROHN (ENTERITIS REGIONAL) (K50.-†)</t>
  </si>
  <si>
    <t>ARTROPATIA EN LA COLITIS ULCERATIVA (K51.-†)</t>
  </si>
  <si>
    <t>ARTRITIS JUVENIL EN LA PSORIASIS (L40.5†)</t>
  </si>
  <si>
    <t>ARTRITIS JUVENIL EN LA ENFERMEDAD DE CROHN [ENTERITIS REGIONAL] (K50.-†)</t>
  </si>
  <si>
    <t>ARTRITIS JUVENIL EN LA COLITIS ULCERATIVA (K51.-†)</t>
  </si>
  <si>
    <t>ARTROPATIA POSTREUMATICA CRONICA [DE JACCOUD]</t>
  </si>
  <si>
    <t>ARTROPATIA GOTOSA DEBIDA A DEFECTOS ENZIMATICOS Y A OTROS TRASTORNOS HEREDITARIOS, CLASIFICADOS EN OTRA PARTE</t>
  </si>
  <si>
    <t>ARTROPATIA POR CRISTALES EN OTROS TRASTORNOS METABÓLICOS</t>
  </si>
  <si>
    <t>ARTROPATIA DIABETICA (E10-E14† CON CUARTO CARÁCTER COMUN .6)</t>
  </si>
  <si>
    <t>DERMATOARTRITIS LIPOIDE (E78.8†)</t>
  </si>
  <si>
    <t>ARTROPATIA EN LA AMILOIDOSIS (E85.-†)</t>
  </si>
  <si>
    <t>ARTROPATIA EN OTRAS ENFERMEDADES ESPECIFICADAS, CLASIFICADAS EN OTRA PARTE</t>
  </si>
  <si>
    <t>COXARTROSIS POSTRAUMATICA, BILATERAL</t>
  </si>
  <si>
    <t>ARTROSIS PRIMARIA DE LA PRIMERA ARTICULACION CARPOMETACARPIANA, BILATERAL</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</si>
  <si>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</si>
  <si>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</si>
  <si>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</si>
  <si>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</si>
  <si>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</si>
  <si>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DEFORMIDAD EN VARO, NO CLASIFICADA EN OTRA</t>
  </si>
  <si>
    <t>PIE PLANO [PES PLANUS] (ADQUIRIDO)</t>
  </si>
  <si>
    <t>TRASTORNO DEL MENISCO DEBIDO A DESGARRO O LESION ANTIGUA</t>
  </si>
  <si>
    <t>TRASTORNOS INTERNO DE LA RODILLA, NO ESPECIFICADO</t>
  </si>
  <si>
    <t>LUXACION Y SUBLUXACION PATOLOGICA DE LA ARTICULACION, NO CLASIFICADA EN OTRA PARTE</t>
  </si>
  <si>
    <t>OTRAS LESIONES ARTICULADAS ESPECIFICADAS, NO CLASIFICADAS EN OTRA PARTE</t>
  </si>
  <si>
    <t>DOLOR EN ARTICULACION</t>
  </si>
  <si>
    <t>POLIARTERITIS CON COMPROMISO PULMONAR [CHURG-STRAUSS]</t>
  </si>
  <si>
    <t>SINDROME MUCOCUTANEO LIFONODULAR [KAWASAKI]</t>
  </si>
  <si>
    <t>SINDROME DEL CAYADO DE LA AORTA [TAKAYASU]</t>
  </si>
  <si>
    <t>SINDROME SECO [SJÖGREN]</t>
  </si>
  <si>
    <t>ENFERMEDAD DE BEHCET</t>
  </si>
  <si>
    <t>PANICULITIS RECIDIVANTE [WEBER-CHRISTIAN]</t>
  </si>
  <si>
    <t>OTRAS ENFERMEDADES ESPECIFICADAS CON COMPROMISO SISTEMICO DEL TEJIDO CONJUNTIVO</t>
  </si>
  <si>
    <t>DERMATO(POLI)MIOSITIS EN ENFERMEDAD NEOPLASICA (C00-D48†)</t>
  </si>
  <si>
    <t>ARTROPATIA EN ENFERMEDAD NEOPLASICA (C00-D48†)</t>
  </si>
  <si>
    <t>ARTROPATIA HEMOFILICA (D66-D68†)</t>
  </si>
  <si>
    <t>ARTROPATIA EN OTROS TRASTORNOS DE LA SANGRE (D50-D76†)</t>
  </si>
  <si>
    <t>ARTROPATIA EN REACCIONES DE HIPERSENSIBILIDAD CLASIFICADAS EN OTRA PARTE</t>
  </si>
  <si>
    <t>TRASTORNOS SISTEMICOS DEL TEJIDO CONJUNTIVO EN OTRAS ENFERMEDADES CLASIFICADAS EN OTRA PARTE</t>
  </si>
  <si>
    <t>OTRAS FUSIONES COLUMNA VERTEBRAL</t>
  </si>
  <si>
    <t>SINDROMES DE COMPRESION DE LA ARTERIA ESPINAL O VERTEBRAL ANTERIOR (G99.2*)</t>
  </si>
  <si>
    <t>HIPEROSTOSIS ANQUILOSANTE [FORESTIER]</t>
  </si>
  <si>
    <t>ESPONDILOPATIA , NO ESPECIFICADA</t>
  </si>
  <si>
    <t>TUBERCULOSIS DE LA COLUMNA VERTEBRAL (A180†)</t>
  </si>
  <si>
    <t>ESPONDILITIS POR BRUCELOSIS (A23.-†)</t>
  </si>
  <si>
    <t>ESPONDILITIS POR ENTEROBACTERIAS (A01-A04†)</t>
  </si>
  <si>
    <t>ESPONDILOPATIA EN OTRAS ENFERMEDADES INFECCIOSAS Y PARASITARIAS CLASIFICADAS EN OTRA PARTE</t>
  </si>
  <si>
    <t>OTROS DESPLAZAMIENTOS DEL DISCO CERVICAL</t>
  </si>
  <si>
    <t>OTRAS DEGENERACIONES DEL DISCO CERVICAL</t>
  </si>
  <si>
    <t>OTROS TRASTORNOS DEL DISCO CERVICAL</t>
  </si>
  <si>
    <t>TRASTORNOS DE DISCOS INTERVERTEBRALES LUMBARES Y OTROS, CON MIELOPATIA (G99.2*)</t>
  </si>
  <si>
    <t>TRASTORNO DE DISCO LUMBAR Y OTROS, CON RADICULOPATIA</t>
  </si>
  <si>
    <t xml:space="preserve">OTROS DESPLAZAMIENTOS ESPECIFICADOS DE DISCO INTERVERTEBRAL </t>
  </si>
  <si>
    <t>OTROS TRASTORNOS ESPECIFICADOS DE LOS DISCOS INTERVERTEBRALES</t>
  </si>
  <si>
    <t>TRASTORNOS DE LOS DISCOS INTERVERTEBRALES, NO ESPECIFICADO</t>
  </si>
  <si>
    <t>GRANULOMA POR CUERPO EXTRAÑO EN TEJIDO BLANDO, NO CLASIFICADO EN OTRA PARTE</t>
  </si>
  <si>
    <t>MIOSITIS EN INFECCIONES POR PROTOZOARIOS Y PARASITOS CLASIFICADAS EN OTRA PARTE</t>
  </si>
  <si>
    <t>MIOSITIS EN ENFERMEDADES INFECCIOSAS CLASIFICADAS EN OTRA PARTE</t>
  </si>
  <si>
    <t>MIOSITIS EN SARCOIDOSIS (D86.8†)</t>
  </si>
  <si>
    <t>OTROS TRASTORNOS DE LOS MUSCULOS EN ENFERMEDADES CLASIFICADAS EN OTRA PARTE</t>
  </si>
  <si>
    <t>OTRAS (TENO) SINOVITIS INFECCIOSAS</t>
  </si>
  <si>
    <t>TENOSINOVITIS DE ESTILOIDES RADIAL [DE QUERVAIN]</t>
  </si>
  <si>
    <t>HIPERTROFIA SINOVIAL Y TENDINOSO, NO ESPECIFICADO</t>
  </si>
  <si>
    <t>SINOVITIS Y TENOSINOVITIS EN ENFERMEDADES BACTERIANAS CLASIFICADAS EN OTRA PARTE</t>
  </si>
  <si>
    <t>OTROS TRASTORNOS SINOVIALES Y TENDINOSOS EN ENFERMEDADES CLASIFICADAS EN OTRA PARTE</t>
  </si>
  <si>
    <t>OTROS TRASTORNOS DE LOS TEJIDOS BLANDOS RELACIONADOS CON EL USO, EL USO EXCESIVO Y LA PRESION</t>
  </si>
  <si>
    <t>TRASTORNO NO ESPECIFICADO DE LOS TEJIDOS BLANDOS RELACIONADO CON EL USO EXCESIVO Y LA PRESION</t>
  </si>
  <si>
    <t>QUISTE SINOVIAL DEL HUECO POPLITEO [DE BAKER]</t>
  </si>
  <si>
    <t>FIBROMATOSIS DE LA APONEUROSIS PALMAR [DUPUYTREN]</t>
  </si>
  <si>
    <t>BURSITIS GONOCOCICA (A54.4†)</t>
  </si>
  <si>
    <t>BURSITIS SIFILITICA (A52.7†)</t>
  </si>
  <si>
    <t>OTROS TRASTORNOS DE LOS TEJIDOS BLANDOS EN ENFERMEDADES CLASIFICADAS EN OTRA PARTE</t>
  </si>
  <si>
    <t>SINDROME DE MANGUITO ROTATORIO</t>
  </si>
  <si>
    <t>TENDINITIS DE BICEPS</t>
  </si>
  <si>
    <t>LESIONES DEL HOMBRO, NO ESPECIFICADA</t>
  </si>
  <si>
    <t>BURSITIS TIBIAL COLATERAL [PELLEGRINI-STIEDA]</t>
  </si>
  <si>
    <t>OSTEOPOROSIS EN MIELOMATOSIS MULTIPLE (C90.0†)</t>
  </si>
  <si>
    <t>OSTEOPOROSIS EN TRASTORNOS ENDOCRINOS (E00-E34†)</t>
  </si>
  <si>
    <t>FALTA DE CONSOLIDACION DE FRACTURA [SEUDOARTROSIS]</t>
  </si>
  <si>
    <t>TUBERCULOSIS OSEAS (A18.0†)</t>
  </si>
  <si>
    <t>PERIOSTITIS EN OTRAS ENFERMEDADES INFECCIOSAS CLASIFICADAS EN OTRA PARTE</t>
  </si>
  <si>
    <t>OSTEOPATIA EN OTRAS ENFERMEDADES INFECCIOSAS CLASIFICADAS EN OTRA PARTE</t>
  </si>
  <si>
    <t>OSTEONECROSIS EN LA ENFERMEDAD CAUSADA POR DESCOMPRESION (T70.3†)</t>
  </si>
  <si>
    <t>OSTEONECROSIS DEBIDA A HEMOGLOBINOPATIA (D50-D64†)</t>
  </si>
  <si>
    <t>OSTEITIS DEFORMANTE EN ENFERMEDAD NEOPLASICA (C00-D48†)</t>
  </si>
  <si>
    <t>FRACTURA OSEA EN ENFERMEDAD NEOPLASICA (C00-D48†)</t>
  </si>
  <si>
    <t>OSTEOCONDROSIS JUVENIL DE LA CABEZA DEL FEMUR [LEGG-CALVE-PERTHES]</t>
  </si>
  <si>
    <t>OSTEOCONDROSIS JUVENIL DE LA CADERA Y DE LA PELVIS, SIN OTRA ESPECIFICACION</t>
  </si>
  <si>
    <t>ENFERMEDAD DE KIENBÖCK DEL ADULTO</t>
  </si>
  <si>
    <t>OSTEOCONDROSIS DISECANTE</t>
  </si>
  <si>
    <t>SINDROME DE LA ARTICULACION CONDROCOSTAL [TIETZE]</t>
  </si>
  <si>
    <t>OTRAS DEFORMIDADES ADQUIRIDA ESPECIFICADAS DEL SISTEMA OSTEOMUSCULAR</t>
  </si>
  <si>
    <t>ESCOLIOSIS POSTRRADIACION</t>
  </si>
  <si>
    <t>FRACTURA DE HUESO POSTERIOR A INSERCION O IMPLANTE ORTOPEDICO, PROTESIS ARTICULAR O PLACA OSEA</t>
  </si>
  <si>
    <t>TRASTORNOS OSTEOMUSCULARES NO ESPECIFICADOS CONSECUTIVOS A PROCEDIMIENTOS</t>
  </si>
  <si>
    <t>ESTENOSIS DE LOS AGUJEROS INTERVERTEBRALES POR TEJIDO CONJUNTIVO O POR DISCO INTERVERTEBRAL</t>
  </si>
  <si>
    <t>SINDROME NEFRÍTICO AGUDO: ANOMALIA GLOMERULAR MINIMA</t>
  </si>
  <si>
    <t>SINDROME NEFRÍTICO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</si>
  <si>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</si>
  <si>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</si>
  <si>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</si>
  <si>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</si>
  <si>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</si>
  <si>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</si>
  <si>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</si>
  <si>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</si>
  <si>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</si>
  <si>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NEFRÍTICO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</si>
  <si>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</si>
  <si>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</si>
  <si>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</si>
  <si>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</si>
  <si>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</si>
  <si>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</si>
  <si>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</si>
  <si>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</si>
  <si>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</si>
  <si>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</si>
  <si>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</si>
  <si>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</si>
  <si>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</si>
  <si>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</si>
  <si>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ENFERMEDAD POR DEPOSITOS DENSOS</t>
  </si>
  <si>
    <t>HEMATURIA RECURRENTE Y PERSISTENTE: GLOMERULONEFRITIS DIFUSA EN MEDIA LUNA</t>
  </si>
  <si>
    <t>HEMATURIA RECURRENTE Y PERSISTENTE: OTRAS</t>
  </si>
  <si>
    <t>HEMATURIA RECURRENTE Y PERSISTENTE: NO ESPECIFICADA</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</si>
  <si>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</si>
  <si>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</si>
  <si>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</si>
  <si>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</si>
  <si>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</si>
  <si>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</si>
  <si>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</si>
  <si>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</si>
  <si>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</si>
  <si>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</si>
  <si>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</si>
  <si>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</si>
  <si>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</si>
  <si>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</si>
  <si>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</si>
  <si>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</si>
  <si>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</si>
  <si>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</si>
  <si>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</si>
  <si>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</si>
  <si>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</si>
  <si>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</si>
  <si>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</si>
  <si>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</si>
  <si>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</si>
  <si>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</si>
  <si>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</si>
  <si>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</si>
  <si>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</si>
  <si>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</si>
  <si>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</si>
  <si>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</si>
  <si>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</si>
  <si>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</si>
  <si>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</si>
  <si>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</si>
  <si>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</si>
  <si>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</si>
  <si>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</si>
  <si>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</si>
  <si>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NO CLASIFICADA EN OTRA PARTE: ANOMALIA GLOMERULAR MINIMA</t>
  </si>
  <si>
    <t>NEFROPATIA HEREDITARIA, NO CLASIFICADA EN OTRA PARTE: LESIONES GLOMERULARES FOCALES Y SEGMENTARIAS</t>
  </si>
  <si>
    <t>NEFROPATIA HEREDITARIA, NO CLASIFICADA EN OTRA PARTE: GLOMERULONEFRITIS MEMBRANOSA DIFUSA</t>
  </si>
  <si>
    <t>NEFROPATIA HEREDITARIA, NO CLASIFICADA EN OTRA PARTE: GLOMERULONEFRITIS PROLIFERATIVA MESANGIAL DIFUSA</t>
  </si>
  <si>
    <t>NEFROPATIA HEREDITARIA, NO CLASIFICADA EN OTRA PARTE: GLOMERULONEFRITIS PROLIFERATIVA ENDOCAPILAR DIFUSA</t>
  </si>
  <si>
    <t>NEFROPATIA HEREDITARIA, NO CLASIFICADA EN OTRA PARTE: GLOMERULONEFRITIS MESANGIOCAPILAR DIFUSA</t>
  </si>
  <si>
    <t>NEFROPATIA HEREDITARIA, NO CLASIFICADA EN OTRA PARTE: ENFERMEDAD POR DEPOSITOS DENSOS</t>
  </si>
  <si>
    <t>NEFROPATIA HEREDITARIA, NO CLASIFICADA EN OTRA PARTE: GLOMERULONEFRITIS DIFUSA EN MEDIA LUNA</t>
  </si>
  <si>
    <t>NEFROPATIA HEREDITARIA, NO CLASIFICADA EN OTRA PARTE: OTRAS</t>
  </si>
  <si>
    <t>NEFROPATIA HEREDITARIA, NO CLASIFICADA EN OTRA PARTE: NO ESPECIFICADA</t>
  </si>
  <si>
    <t>TRASTORNOS GLOMERULARES EN ENFERMEDADES INFECCIOSAS Y PARASITARIAS CLASIFICADAS EN OTRA PARTE</t>
  </si>
  <si>
    <t>TRASTORNOS GLOMERULARES EN ENFERMEDADES DE LA SANGRE Y OTROS TRASTORNOS QUE AFECTAN AL MECANISMO INMUNITARIO</t>
  </si>
  <si>
    <t>TRASTORNOS GLOMERULARES EN DIABETES MELLITUS (E10-E14† CON CUARTO CARÁCTER COMUN .2)</t>
  </si>
  <si>
    <t>TRASTORNOS GLOMERULARES EN OTRAS ENFERMEDADES ENDOCRINAS, NUTRICIONALES Y METABOLICAS</t>
  </si>
  <si>
    <t>TRASTORNOS GLOMERULARES EN OTRAS ENFERMEDADES CLASIFICADAS EN OTRA PARTE</t>
  </si>
  <si>
    <t>OTRAS UROPATIAS OBSTRUCTIVAS POR REFLUJO</t>
  </si>
  <si>
    <t>UROPATIA OBSTRUCTIVA POR REFLUJO, SIN OTRA ESPECIFICACION</t>
  </si>
  <si>
    <t>NEFROPATIA INDUCIDA POR OTRAS DROGAS, MEDICAMENTOS Y SUSTANCIAS BIOLOGICAS</t>
  </si>
  <si>
    <t>NEFROPATIA INDUCIDA POR DROGAS, MEDICAMENTOS Y SUSTANCIAS BIOLOGICAS NO ESPECIFICADAS</t>
  </si>
  <si>
    <t>NEFROPATIA TOXICA, NO ESPECIFICADA EN OTRA PARTE</t>
  </si>
  <si>
    <t>TRASTORNOS RENALES TUBULOINTERSTICIALES EN ENFERMEDADES INFECCIOSAS Y PARASITARIAS CLASIFICADAS EN OTRA PATRTE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</si>
  <si>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</si>
  <si>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</si>
  <si>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 (T86.-†)</t>
  </si>
  <si>
    <t>TRASTORNOS RENALES TUBULOINTERSTICIALES EN OTRAS ENFERMEDADES CLASIFICADAS EN OTRA PARTE</t>
  </si>
  <si>
    <t>LITIASIS URINARIA EN ESQUISTOSOMIASIS [BILHARZIASIS] (B65.-†)</t>
  </si>
  <si>
    <t>CALCULO DE LAS VIAS URINARIAS EN OTRAS ENFERMEDADES CLASIFICADAS EN OTRA PARTE</t>
  </si>
  <si>
    <t>TRASTORNO NO ESPECIFICADO, RESULTANTE DE LA FUNCION TUBULAR RENAL ALTERADA</t>
  </si>
  <si>
    <t>SIFILIS RENAL TARDIA (A52.7†)</t>
  </si>
  <si>
    <t>OTROS TRASTORNOS DEL RIÑON Y DEL URETER EN ENFERMEDADES INFECCIOSAS Y PARASITARIAS CLASIFICADAS EN OTRA PARTE</t>
  </si>
  <si>
    <t>OTROS TRASTORNOS DEL RIÑON Y DEL URETER EN OTRAS ENFERMEDADES CLASIFICADAS EN OTRA PARTE</t>
  </si>
  <si>
    <t>CISTITIS AGUDAS</t>
  </si>
  <si>
    <t>CISTITIS TUBERCULOSA (A18.1†)</t>
  </si>
  <si>
    <t>TRASTORNOS DE LA VEJIGA EN OTRAS ENFERMEDADES CLASIFICADAS EN OTRA PARTE</t>
  </si>
  <si>
    <t>URETRITIS NO ESPECIFICADA</t>
  </si>
  <si>
    <t>OTRAS HIDROCELES</t>
  </si>
  <si>
    <t>INDURACION PLASTICA DEL PENE</t>
  </si>
  <si>
    <t>TRASTORNOS INFLAMATORIOS DEL CORDON ESPERMATICO, TUNICA VAGINAL Y CONDUCTO DEFERENTE</t>
  </si>
  <si>
    <t>TRASTORNO INFLAMATORIO DE ORGANO MASCULINO, NO ESPECIFICADO</t>
  </si>
  <si>
    <t>TRASTORNO DEL TESTICULO Y DEL EPIDIDIMO EN ENFERMEDADES CLASIFICADAS EN OTRA PARTE</t>
  </si>
  <si>
    <t>OTROS TRASTORNOS DE LOS ORGANOS GENITALES MASCULINOS EN ENFERMEDADES CLASIFICADAS EN OTRA PARTE</t>
  </si>
  <si>
    <t>FIBROADENOSIS DE LA MAMA</t>
  </si>
  <si>
    <t>ENFERMEDAD INFLAMATORIA DEL UTERO, NO ESPECIFICADAS</t>
  </si>
  <si>
    <t>INFECCION TUBERCULOSA DEL CUELLO DEL UTERO (A18.1†)</t>
  </si>
  <si>
    <t>ENFERMEDAD INFLAMATORIA PELVICA FEMENINA POR TUBERCULOSIS (A18.1†)</t>
  </si>
  <si>
    <t>ENFERMEDAD INFLAMATORIA PELVICA FEMENINA POR SIFILIS (A51.4†, A52.7†)</t>
  </si>
  <si>
    <t>ENFERMEDAD INFLAMATORIA PELVICA FEMENINA POR GONOCOCOS (A54.2†)</t>
  </si>
  <si>
    <t>ENFERMEDAD INFLAMATORIA PELVICA FEMENINA POR CLAMIDIAS (A56.1†)</t>
  </si>
  <si>
    <t>TRASTORNOS INFLAMATORIOS PELVICOS FEMENINOS EN OTRAS ENFERMEDADES CLASIFICADAS EN OTRA PARTE</t>
  </si>
  <si>
    <t>ULCERACION DE LA VULVA EN ENFERMEDADES INFECCIOSAS Y PARASITARIAS CLASIFICADAS EN OTRA PARTE</t>
  </si>
  <si>
    <t>VAGINITIS, VULVITIS Y VULVOVAGINITIS EN ENFERMEDADES INFECCIOSAS Y PARASITARIAS CLASIFICADAS EN OTRA PARTE</t>
  </si>
  <si>
    <t>ULCERACION E INFLAMACION VULVOVAGINAL EN OTRAS ENFERMEDADES CLASIFICADAS EN OTRA PARTE</t>
  </si>
  <si>
    <t xml:space="preserve">OTRAS FISTULAS DEL TRACTO GENITAL FEMENINO AL TRACTO INTESTINAL </t>
  </si>
  <si>
    <t>ATROFIA ADQUIRIDA DEL OVARIO Y DE LA TROMPA FALOPIO</t>
  </si>
  <si>
    <t>OTROS TRASTORNOS NO INFLAMATORIOS DEL OVARIO, DE LA TROMPA DE FALOPIO Y DEL LIGAMENTO ANCHO</t>
  </si>
  <si>
    <t>ENFERMEDAD NO INFLAMATORIA DEL OVARIO, DE LA TROMPA DE FALOPIO Y DEL LIGAMENTO ANCHO, NO ESPECIFICADA</t>
  </si>
  <si>
    <t>POLIPO DE OTRAS PARTES DEL TRACTO GENITAL FEMENINO</t>
  </si>
  <si>
    <t>OTROS TRASTORNOS NO INFLAMATORIOS ESPECIFICADOS DE LA VULVA Y DEL PERINEO</t>
  </si>
  <si>
    <t>OLIGOMENORREA NO ESPECIFICADA</t>
  </si>
  <si>
    <t>OTRAS AFECCIONES ESPECIFICADAS ASOCIADAS CON LOS ORGANOS GENITALES FEMENINOS Y EL CICLO MENSTRUAL</t>
  </si>
  <si>
    <t>AFECCIONES NO ESPECIFICADAS ASOCIADAS CON LOS ORGANOS GENITALES FEMENINOS Y EL CICLO MENSTRUAL</t>
  </si>
  <si>
    <t>COMPLICACIONES EN EL INTENTO DE INTRODUCCION DEL HUEVO FECUNDADO EN LA FERTILIZACION EN VITRO</t>
  </si>
  <si>
    <t>COMPLICACIONES EN EL INTENTO INTRODUCCION DEL EMBRION EN LA TRANSFERENCIA DE EMBRIONES</t>
  </si>
  <si>
    <t>OTROS TRASTORNOS DEL SISTEMA GENITOURINARIO CONSECUTIVOS A PROCEDIMIENTOS</t>
  </si>
  <si>
    <t>TRASTORNO NO ESPECIFICADO DEL SISTEMA GENITOURINARIO CONSECUTIVO A PROCEDIMIENTOS</t>
  </si>
  <si>
    <t>ABORTO ESPONTANEO: INCOMPLETO, COMPLICADO CON INFECCIÓN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</si>
  <si>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</si>
  <si>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</si>
  <si>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</si>
  <si>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</si>
  <si>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</si>
  <si>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</si>
  <si>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</si>
  <si>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</si>
  <si>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</si>
  <si>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INFECCIÓN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</si>
  <si>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</si>
  <si>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</si>
  <si>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</si>
  <si>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</si>
  <si>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</si>
  <si>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</si>
  <si>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</si>
  <si>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</si>
  <si>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</si>
  <si>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INFECCIÓN GENITAL Y PELVIANA</t>
  </si>
  <si>
    <t>OTRO ABORTO: INCOMPLETO, COMPLICADO POR HEMORRAGIA EXCESIVA O TARDIA</t>
  </si>
  <si>
    <t>OTRO ABORTO: INCOMPLETO, COMPLICADO POR EMBOLIA</t>
  </si>
  <si>
    <t>OTRO ABORTO: INCOMPLETO, CON OTRAS COMPLICACIONES ESPECIFICADAS Y LAS NO ESPECIFICADAS</t>
  </si>
  <si>
    <t>OTRO ABORTO: INCOMPLETO, SIN COMPLICACION</t>
  </si>
  <si>
    <t>OTRO ABORTO: COMPLETO O NO ESPECIFICADO, COMPLICADO CON INFECCION GENITAL Y PELVIANA</t>
  </si>
  <si>
    <t>OTRO ABORTO: COMPLETO O NO ESPECIFICADO, COMPLICADO POR HEMORRAGIA EXCESIVA O TARDIA</t>
  </si>
  <si>
    <t>OTRO ABORTO: COMPLETO O NO ESPECIFICADO, COMPLICADO POR EMBOLIA</t>
  </si>
  <si>
    <t>OTRO ABORTO: COMPLETO O NO ESPECIFICADO, CON OTRAS COMPLICACIONES ESPECIFICADAS Y LAS NO ESPECIFICADAS</t>
  </si>
  <si>
    <t>OTRO ABORTO: COMPLETO O NO ESPECIFICADO, SIN COMPLICACION</t>
  </si>
  <si>
    <t>ABORTO NO ESPECIFICADO: INCOMPLETO, COMPLICADO CON INFECCIÓN GENITAL Y PELVIANA</t>
  </si>
  <si>
    <t>ABORTO NO ESPECIFICADO: INCOMPLETO, COMPLICADO POR HEMORRAGIA EXCESIVA O TARDIA</t>
  </si>
  <si>
    <t>ABORTO NO ESPECIFICADO: INCOMPLETO, COMPLICADO POR EMBOLIA</t>
  </si>
  <si>
    <t>ABORTO NO ESPECIFICADO: INCOMPLETO, CON OTRAS COMPLICACIONES ESPECIFICADAS Y LAS NO ESPECIFICADAS</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</si>
  <si>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</si>
  <si>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</si>
  <si>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</si>
  <si>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COMPLICADO POR EMBOLIA</t>
  </si>
  <si>
    <t>ABORTO NO ESPECIFICADO: COMPLETO O NO ESPECIFICADO, CON OTRAS COMPLICACIONES ESPECIFICADAS Y LAS NO ESPECIFICADAS</t>
  </si>
  <si>
    <t>ABORTO NO ESPECIFICADO: COMPLETO O NO ESPECIFICADO, SIN COMPLICACION</t>
  </si>
  <si>
    <t>FALLA DE LA INDUCCION MEDICA DEL ABORTO, COMPLICADO CON INFECCIÓN GENITAL Y PELVIANA</t>
  </si>
  <si>
    <t>FALLA DE LA INDUCCION MEDICA DEL ABORTO, COMPLICADO POR HEMORRAGIA EXCESIVA O TARDIA</t>
  </si>
  <si>
    <t>FALLA DE LA INDUCCION MEDICA DEL ABORTO, CON OTRAS COMPLICACIONES ESPECIFICADAS Y LAS NO ESPECIFICADAS</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</si>
  <si>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</si>
  <si>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</si>
  <si>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COMPLICADOS POR EMBOLIA</t>
  </si>
  <si>
    <t>OTROS INTENTOS FALLIDOS DE ABORTO Y LOS NO ESPECIFICADOS, CON OTRAS COMPLICACIONES ESPECIFICADAS Y LAS NO ESPECIFICADAS</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</si>
  <si>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</si>
  <si>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</si>
  <si>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</si>
  <si>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</si>
  <si>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</si>
  <si>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</si>
  <si>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</si>
  <si>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</si>
  <si>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</si>
  <si>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</si>
  <si>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</si>
  <si>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</si>
  <si>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ENFERMEDAD RENAL HIPERTENSIVA PREEXISTENTE QUE COMPLICA EL EMBARAZO, EL PARTO Y EL PUERPERIO</t>
  </si>
  <si>
    <t>ENFERMEDAD CARDIO-RENAL HIPERTENSIVA PREEXISTENTE QUE COMPLICA EL EMBARAZO, EL PARTO Y EL PUERPERIO</t>
  </si>
  <si>
    <t>HIPERTENSION SECUNDARIA PREEXISTENTE QUE COMPLICA EL EMBARAZO, EL PARTO Y EL PUERPERIO</t>
  </si>
  <si>
    <t>HIPERTENSION PREEXISTENTE NO ESPECIFICADA, QUE COMPLICA EL EMBARAZO, EL PARTO Y EL PUERPERIO</t>
  </si>
  <si>
    <t>HIPERTENSION GESTACIONAL (INDUCIDA POR EL EMBARAZO) SIN PROTEINURIA SIGNIFICATIVA</t>
  </si>
  <si>
    <t>PREECLAMPSIA EN EL EMBARAZO</t>
  </si>
  <si>
    <t>PREECLAMPSIA DURANTE EL TRABAJO DE PARTO</t>
  </si>
  <si>
    <t>PREECLAMPSIA EN EL PUERPERIO</t>
  </si>
  <si>
    <t>PREECLAMPSIA, EN PERIODO NO ESPECIFICADO</t>
  </si>
  <si>
    <t>VOMITOS DEL EMBARAZO, NO ESPECIFICADO</t>
  </si>
  <si>
    <t>TROMBOFLEBITIS EN EL EMBARAZO</t>
  </si>
  <si>
    <t>OTRAS INFECCION Y LAS NO ESPECIFICADAS DE LAS VIAS GENITOURINARIAS EN EL EMBARAZO</t>
  </si>
  <si>
    <t>DIABETES MELLITUS PREEXISTENTE RELACIONADA CON DESNUTRICION, EN EL EMBARAZO</t>
  </si>
  <si>
    <t>DIABETES MELLITUS PREEXISTENTE, SIN OTRA ESPECIFICACION, EN EL EMBARAZO</t>
  </si>
  <si>
    <t>DIABETES MELLITUS QUE SE ORIGINA EN EL EMBARAZO</t>
  </si>
  <si>
    <t>TRASTORNO DEL HIGADO EN EL EMBARAZO, EL PARTO Y EL PUERPERIO</t>
  </si>
  <si>
    <t>SUBLUXACION DE LA SINFISIS (DEL PUBIS) EN EL EMBARAZO, EL PARTO Y EL PUERPERIO</t>
  </si>
  <si>
    <t>HALLAZGO CROMOSOMICO O GENETICO ANORMAL EN EL EXAMEN PRENATAL DE LA MADRE</t>
  </si>
  <si>
    <t>COMPLICACIONES PULMONARES DE LA ANESTESIA ADMINISTRADA DURANTE EL EMBARAZO</t>
  </si>
  <si>
    <t>COMPLICACIONES CARDIACAS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</si>
  <si>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</si>
  <si>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</si>
  <si>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</si>
  <si>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COMPLICACION NO ESPECIFICADA DE LA ANESTESIA ADMINISTRADA DURANTE EL EMBARAZO</t>
  </si>
  <si>
    <t>EMBARAZO QUE CONTINUA DESPUES DE LA MUERTE INTRAUTERINA DE UN FETO O MAS</t>
  </si>
  <si>
    <t>OTRAS COMPLICACIONES ESPECIFICADAS DEL EMBARAZO</t>
  </si>
  <si>
    <t>ATENCION MATERNA POR EMBARAZO MULTIPLE CON PRESENTACION ANORMAL DE UN FETO O MAS</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</si>
  <si>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</si>
  <si>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</si>
  <si>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</si>
  <si>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</si>
  <si>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</si>
  <si>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ANORMALIDADES DE LOS ORGANOS PELVIANOS</t>
  </si>
  <si>
    <t>ATENCION MATERNA POR (PRESUNTA) MALFORMACION DEL SISTEMA NERVIOSO CENTRAL EN EL FETO</t>
  </si>
  <si>
    <t>ATENCION MATERNA POR (PRESUNTA) LESION FETAL DEBIDA A ENFERMEDAD VIRICA EN LA MADRE</t>
  </si>
  <si>
    <t>ATENCION MATERNA POR (PRESUNTA) LESION FETAL DEBIDA A OTROS PROCEDIMIENTOS MEDICOS</t>
  </si>
  <si>
    <t>ATENCION MATERNA POR OTRAS (PRESUNTA) ANORMALIDADES Y LESIONES FETALES</t>
  </si>
  <si>
    <t>ATENCION MATERNA POR (PRESUNTA) ANORMALIDAD Y LESION FETAL NO ESPECIFICADA</t>
  </si>
  <si>
    <t>ATENCION MATERNA POR OTROS PROBLEMAS FETALES NO ESPECIFICADOS</t>
  </si>
  <si>
    <t>OTROS TRASTORNOS ESPECIFICADOS DEL LIQUIDO AMNIOTICO Y DE LAS MEMBRANAS</t>
  </si>
  <si>
    <t>RUPTURA PREMATURA DE LAS MEMBRANAS, E INICIO DEL TRABAJO DE PARTO DENTRO DE LAS 24 HORAS</t>
  </si>
  <si>
    <t>RUPTURA PREMATURA DE LAS MEMBRANAS, E INICIO DEL TRABAJO DE PARTO DESPUÉS DE LAS 24 HORAS</t>
  </si>
  <si>
    <t>RUPTURA PREMATURA DE LAS MEMBRANAS, TRABAJO DE PARTO RETRASADO POR LA TERAPEUTICA</t>
  </si>
  <si>
    <t>SINDROME DE TRANSFUSION PLACENTERA</t>
  </si>
  <si>
    <t>HEMORRAGIA ANTEPARTO CON DEFECTO DE LA COAGULACIÓN</t>
  </si>
  <si>
    <t>FALSO TRABAJO DE PARTO ANTES DE LA 37 SEMANAS COMPLETAS DE GESTACION</t>
  </si>
  <si>
    <t>FALSO TRABAJO DE PARTO ANTES DE LA 37 Y MAS SEMANAS COMPLETAS DE GESTACION</t>
  </si>
  <si>
    <t>FALSO TRABAJO DE PARTO SIN OTRA ESPECIFICACION</t>
  </si>
  <si>
    <t>RETRASO DE LA EXPULSION DEL SEGUNDO GEMELO, DEL TERCERO, ETC</t>
  </si>
  <si>
    <t>TRABAJO DE PARTO OBSTRUIDO DEBIDO A ROTACION INCOMPLETA DE LA CABEZA FETAL</t>
  </si>
  <si>
    <t>TRABAJO DE PARTO OBSTRUIDO DEBIDO A OTRAS PRESENTACIONES ANORMALES DEL FETO</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</si>
  <si>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</si>
  <si>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</si>
  <si>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</si>
  <si>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</si>
  <si>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</si>
  <si>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DISTOCIA POR FETO INUSUALMENTE GRANDE</t>
  </si>
  <si>
    <t>FRACASO NO ESPECIFICADO DE LA APLICACION DE FORCEPS O DE VENTOSA EXTRACTORA</t>
  </si>
  <si>
    <t>TRABAJO DE PARTO Y PARTO COMPLICADOS POR ANOMALIAS DE LA FRECUENCIA CARDIACA FETAL</t>
  </si>
  <si>
    <t>TRABAJO DE PARTO Y PARTO COMPLICADOS POR LA PRESENCIA DE MECONIO EN EL LIQUIDO AMNIOTICO</t>
  </si>
  <si>
    <t>TRABAJO DE PARTO Y PARTO COMPLICADOS POR ANOMALIA DE LA FRECUENCIA CARDIACA FETAL ASOCIADA CON PRESENCIA DE MECONIO EN LIQUIDO AMNIOTICO</t>
  </si>
  <si>
    <t>TRABAJO DE PARTO Y PARTO COMPLICADOS POR EVIDENCIA BIOQUIMICA DE SUFRIMIENTO FETAL</t>
  </si>
  <si>
    <t>TRABAJO DE PARTO Y PARTO COMPLICADOS POR OTRAS EVIDENCIAS DE SUFRIMIENTO FETAL</t>
  </si>
  <si>
    <t>TRABAJO DE PARTO Y PARTO COMPLICADOS POR SUFRIMIENTO FETAL, SIN OTRA ESPECIFICACION</t>
  </si>
  <si>
    <t>TRABAJO DE PARTO Y PARTO COMPLICADOS POR CIRCULAR PERICERVICAL DEL CORDON, CON COMPRESION</t>
  </si>
  <si>
    <t>TRABAJO DE PARTO Y PARTO COMPLICADOS POR OTROS PROBLEMAS DEL CORDON UMBILICAL</t>
  </si>
  <si>
    <t>TRABAJO DE PARTO Y PARTO COMPLICADOS POR PROBLEMAS NO ESPECIFICADOS DEL CORDON UMBILICAL</t>
  </si>
  <si>
    <t>TRAUMATISMO OBSTETRICO DE LOS LIGAMENTOS ARTICULACIONES DE LA PELVIS</t>
  </si>
  <si>
    <t>DEFECTO DE LA COAGULACIÓN POSTPARTO</t>
  </si>
  <si>
    <t>RETENCION DE FRAGMENTOS DE LA PLACENTA O DE LAS MEMBRANAS, SIN HEMORRAGIA</t>
  </si>
  <si>
    <t>NEUMONITIS POR ASPIRACION DEBIDA A LA ANESTESIA ADMINISTRADA DURANTE EL TRABAJO DE PARTO Y EL PARTO</t>
  </si>
  <si>
    <t>OTRAS COMPLICACIONES PULMONARES DEBIDAS A LA ANESTESIA ADMINISTRADA DURANTE EL TRABAJO DE PARTO Y EL PARTO</t>
  </si>
  <si>
    <t>COMPLICACIONES CARDIACAS DE LA ANESTESIA ADMINISTRADA DURANTE EL TRABAJO DE PARTO Y EL PARTO</t>
  </si>
  <si>
    <t>COMPLICACIONES DEL SISTEMA NERVIOSO CENTRAL POR LA ANESTESIA ADMINISTRADA DURANTE EL TRABAJO DE PARTO Y EL PARTO</t>
  </si>
  <si>
    <t>REACCION TOXICA A LA ANESTESIA LOCAL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</si>
  <si>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</si>
  <si>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</si>
  <si>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FALLA O DIFICULTAD EN LA INTUBACION DURANTE EL TRABAJO DE PARTO Y EL PARTO</t>
  </si>
  <si>
    <t>OTRAS COMPLICACIONES DE LA ANESTESIA ADMINISTRADA DURANTE EL TRABAJO DE PARTO Y EL PARTO</t>
  </si>
  <si>
    <t>COMPLICACION NO ESPECIFICADA DE LA ANESTESIA ADMINISTRADA DURANTE EL TRABAJO DE PARTO Y EL PARTO</t>
  </si>
  <si>
    <t>PIREXA DURANTE EL TRABAJO DE PARTO, NO CLASIFICADA EN OTRA PARTE</t>
  </si>
  <si>
    <t>OTRAS COMPLICACIONES DE PROCEDIMIENTOS Y DE CIRUGIA OBSTETRICA</t>
  </si>
  <si>
    <t>RETRASO DEL PARTO DESPUES DE LA RUPTURA ESPONTANEA O NO ESPECIFICADA DE LAS MEMBRANAS</t>
  </si>
  <si>
    <t>PARTO MULTIPLE, TODOS FORCEPS Y VENTOSA EXTRACTORA</t>
  </si>
  <si>
    <t>PIREXA DE ORIGEN DESCONOCIDO CONSECUTIVA AL PARTO</t>
  </si>
  <si>
    <t>TROBOSIS VENOSA CEREBRAL EN EL PUERPERIO</t>
  </si>
  <si>
    <t>COMPLICACIONES PULMONARES DE LA ANESTESIA ADMINISTRADA DURANTE EL PUERPERIO</t>
  </si>
  <si>
    <t>COMPLICACIONES CARDIACAS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</si>
  <si>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</si>
  <si>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</si>
  <si>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</si>
  <si>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FALLA O DIFICULTAD EN LA INTUBACION DURANTE EL PUERPERIO</t>
  </si>
  <si>
    <t>COMPLICACION NO ESPECIFICADA DE LA ANESTESIA ADMINISTRADA DURANTE EL TRABAJO PUERPERIO</t>
  </si>
  <si>
    <t>DEHISCENCIA DE SUTURA OBSTÉTRICA PERINEAL</t>
  </si>
  <si>
    <t>HEMATOMA DE HERIDA QUIRÚRGICA OBSTETRICA</t>
  </si>
  <si>
    <t>COMPLICACION PUERPERAL , NO ESPECIFICADA</t>
  </si>
  <si>
    <t>OTROS TRASTORNOS DE LA MAMA Y LOS NO ESPECIFICADOS ASOCIADOS CON EL PARTO</t>
  </si>
  <si>
    <t>MUERTE MATERNA DE CAUSA BASICA ESPECIFICADA EN OTRO CAPITULO RELACIONADA CON EL EMBARAZO</t>
  </si>
  <si>
    <t>MUERTE MATERNA DEBIDA A CUALQUIER CAUSA OBSTETRICA QUE OCURRE DESPUES DE 42 DIAS PERO ANTES DE UN AÑO DEL PARTO</t>
  </si>
  <si>
    <t>GONORREA A QUE COMPLICA EL EMBARAZO, EL PARTO Y EL PUERPERIO</t>
  </si>
  <si>
    <t>OTRAS INFECCIONES CON UN MODO DE TRANSMISION PREDOMINANTE SEXUAL QUE COMPLICAN EL EMBARAZO, EL PARTO Y EL PUERPERIO</t>
  </si>
  <si>
    <t>OTRAS ENFERMEDADES VIRALES QUE COMPLICAN EL EMBARAZO, EL PARTO Y EL PUERPERIO</t>
  </si>
  <si>
    <t>ENFERMEDADES CAUSADAS POR PROTOZOARIOS QUE COMPLICAN EL EMBARAZO, EL PARTO Y EL PUERPERIO</t>
  </si>
  <si>
    <t>OTRAS ENFERMEDADES INFECCIOSAS Y PARASITARIAS MATERNAS QUE COMPLICAN EL EMBARAZO, EL PARTO Y EL PUERPERIO</t>
  </si>
  <si>
    <t>ENFERMEDAD INFECCIOSA Y PARASITARIA MATERNA NO ESPECIFICADA QUE COMPLICA EL EMBARAZO, EL PARTO Y EL PUERPERIO</t>
  </si>
  <si>
    <t>OTRAS ENFERMEDADES DE LA SANGRE Y DE LOS ORGANOS HEMATOPOYETICOS Y CIERTOS TRASTORNOS QUE AFECTAN EL SISTEMA INMUNITARIO CUANDO COMPLICAN EL EMBARAZO, EL PARTO Y EL PUERPERIO</t>
  </si>
  <si>
    <t>ENFERMEDADES ENDOCRINAS, DE LA NUTRICION Y DEL METABOLISMO QUE COMPLICAN EL EMBARAZO, EL PARTO Y EL PUERPERIO</t>
  </si>
  <si>
    <t>TRASTORNOS MENTALES Y ENFERMEDADES DEL SISTEMA NERVIOSO QUE COMPLICAN EL EMBARAZO, EL PARTO Y EL PUERPERIO</t>
  </si>
  <si>
    <t>ENFERMEDADES DEL SISTEMA CIRCULATORIO QUE COMPLICAN EL EMBARAZO, EL PARTO Y EL PUERPERIO</t>
  </si>
  <si>
    <t>ENFERMEDADES DEL SISTEMA RESPIRATORIO QUE COMPLICAN EL EMBARAZO, EL PARTO Y EL PUERPERIO</t>
  </si>
  <si>
    <t>ENFERMEDADES DEL SISTEMA DIGESTIVO QUE COMPLICAN EL EMBARAZO, EL PARTO Y EL PUERPERIO</t>
  </si>
  <si>
    <t>ENFERMEDADES DE LA PIEL Y DE TEJIDO SUBCUTANEO QUE COMPLICAN EL EMBARAZO, EL PARTO Y EL PUERPERIO</t>
  </si>
  <si>
    <t>OTRAS ENFERMEDADES ESPECIFICADAS Y AFECCIONES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</si>
  <si>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</si>
  <si>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</si>
  <si>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</si>
  <si>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ENFERMEDADES CIRCULATORIAS Y RESPIRATORIAS DE LA MADRE</t>
  </si>
  <si>
    <t>FETO Y RECIEN NACIDO AFECTADOS POR TRASTORNOS NUTRICIONALES DE LA MADRE</t>
  </si>
  <si>
    <t>FETO Y RECIEN NACIDO AFECTADOS POR PROCEDIMIENTO QUIRURGICO DE LA MADRE</t>
  </si>
  <si>
    <t>FETO Y RECIEN NACIDO AFECTADOS POR OTRO PROCEDIMIENTO MEDICO DE LA MADRE, NO CLASIFICADO EN OTRA PARTE</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</si>
  <si>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</si>
  <si>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</si>
  <si>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</si>
  <si>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OTRAS FORMAS DE DESPRENDIMIENTO Y DE HEMORRAGIA PLACENTARIOS</t>
  </si>
  <si>
    <t>FETO Y RECIEN NACIDO AFECTADOS POR OTRAS ANOMALIAS MORFOLOGICAS Y FUNCIONALES DE LA PLACENTA Y LAS NO ESPECIFICADAS</t>
  </si>
  <si>
    <t>FETO Y RECIEN NACIDO AFECTADOS POR SINDROMES DE TRANSFUSION PLACENTARIA</t>
  </si>
  <si>
    <t>FETO Y RECIEN NACIDO AFECTADOS POR OTRA COMPRESION DEL CORDON UMBILICAL</t>
  </si>
  <si>
    <t>FETO Y RECIEN NACIDO AFECTADOS POR OTRAS COMPLICACIONES DEL CORDON UMBILICAL Y LAS NO ESPECIFICADAS</t>
  </si>
  <si>
    <t>FETO Y RECIEN NACIDO AFECTADOS POR OTRAS ANORMALIDADES DE LAS MEMBRANAS</t>
  </si>
  <si>
    <t>FETO Y RECIEN NACIDO AFECTADOS POR ANORMALIDAD NO ESPECIFICADA DE LAS MEMBRANAS</t>
  </si>
  <si>
    <t>FETO Y RECIEN NACIDO AFECTADOS POR OTRA PRESENTACION ANOMALA, POSICION ANOMALA Y DESPROPORCION DURANTE EL TRABAJO DE PARTO Y EL PARTO</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</si>
  <si>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</si>
  <si>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</si>
  <si>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EN EL TRABAJO DE PARTO Y EN EL PARTO</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</si>
  <si>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</si>
  <si>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</si>
  <si>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</si>
  <si>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</si>
  <si>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</si>
  <si>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PEQUEÑO PARA EDAD GESTACIONAL</t>
  </si>
  <si>
    <t>DESNUTRICION FETAL, SIN MENCION DE PESO O TALLA BAJOS PARA LA EDAD GESTACIONAL</t>
  </si>
  <si>
    <t>OTRAS HEMORRAGIAS Y LACERACIONES INTRACRANEALES DEBIDAS A TRAUMATISMO DEL NACIMIENTO</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</si>
  <si>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</si>
  <si>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</si>
  <si>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</si>
  <si>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</si>
  <si>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TRAUMATISMO DEL NACIMIENTO EN EL SISTEMA NERVIOSO CENTRAL, NO ESPECIFICADO</t>
  </si>
  <si>
    <t>HEMORRAGIA EPICRANEAL SUBAPONEUROTICA DEBIDA A TRAUMATISMO DEL NACIMIENTO</t>
  </si>
  <si>
    <t>TRAUMATISMO EN EL CUERO CABELLUDO DEL RECIEN NACIDO POR MONITOREO FETAL</t>
  </si>
  <si>
    <t>PARALISIS DE KLUMPKE DEBIDA A TRAUMATISMO DL NACIMIENTO</t>
  </si>
  <si>
    <t>TRAUMATISMO DURANTE EL NACIMIENTO EN OTRAS PARTES DEL SISTEMA NERVIOSO PERIFERICO</t>
  </si>
  <si>
    <t>TRAUMATISMO NO ESPECIFICADO DEL SISTEMA NERVIOSO PERIFERICO DURANTE EL NACIMIENTO</t>
  </si>
  <si>
    <t>TRAUMATISMO DEL MÚSCULO ESTERNOCLEIDOMASTOIDEO DURANTE EL NACIMIENTO</t>
  </si>
  <si>
    <t>HIPOXIA INTRAUTERINA NOTADA POR PRIMERA VEZ ANTES DEL INICIO DEL TRABAJO DE PARTO</t>
  </si>
  <si>
    <t>HIPOXIA INTRAUTERINA NOTADA POR PRIMERA VEZ DURANTE EL TRABAJO DE PARTO</t>
  </si>
  <si>
    <t>ASPIRACION NEONATAL DEL LIQUIDO AMNIOTICO Y DE MOCO</t>
  </si>
  <si>
    <t>OTRAS AFECCIONES RELACIONADAS CON EL ENFISEMA INTERSTICIAL, ORIGINADAS EN EL PERIODO PERINATAL</t>
  </si>
  <si>
    <t>OTRAS ENFERMEDADES RESPIRATORIAS CRONICAS ORIGINADAS EN EL PERIODO PERINATAL</t>
  </si>
  <si>
    <t>ENFERMEDAD RESPIRATORIA CRONICA NO ESPECIFICADA ORIGINADA EN EL PERIODO PERINATAL</t>
  </si>
  <si>
    <t>TRASTORNO CARDIOVASCULAR NO ESPECIFICADO, ORIGINADO EN EL PERIODO PERINATAL</t>
  </si>
  <si>
    <t>ENFERMEDAD VIRAL CONGÉNITA, SIN OTRA ESPECIFICACION</t>
  </si>
  <si>
    <t>SEPSIS DEL RECIEN NACIDO DEBIDA A OTROS ESTREPTOCOCOS Y A LOS NO ESPECIFICADOS</t>
  </si>
  <si>
    <t>SEPSIS DEL RECIEN NACIDO DEBIDA A OTROS ESTAFILOCOCOS Y A LOS NO ESPECIFICADOS</t>
  </si>
  <si>
    <t>ENFERMEDAD INFECCIOSA O PARASITARIA CONGENITA, NO ESPECIFICADA</t>
  </si>
  <si>
    <t>HEMORRAGIA FETAL HACIA OTRO GEMELO</t>
  </si>
  <si>
    <t>PERDIDA DE SANGRE FETAL POR EL CORTE DEL CORDON UMBILICAL EN EL OTRO GEMELO</t>
  </si>
  <si>
    <t>PERDIDA DE SANGRE FETAL NO ESPECIFICADA</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</si>
  <si>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</si>
  <si>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</si>
  <si>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</si>
  <si>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</si>
  <si>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</si>
  <si>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</si>
  <si>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</si>
  <si>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HEMORRAGIA NEONATAL, NO ESPECIFICADA</t>
  </si>
  <si>
    <t>HIDROPESIA FETAL DEBIDA A OTRAS ENFERMEDADES HEMOLITICAS ESPECIFICADAS Y A LAS NO ESPECIFICADAS</t>
  </si>
  <si>
    <t>ICTERICIA NEONATAL DEBIDA A DROGAS O TOXINAS TRANSMITIDAS POR LA MADRE O ADMINISTRADAS AL RECIEN NACIDO</t>
  </si>
  <si>
    <t>ICTERICIA NEONATAL DEBIDA A HEMOLISIS EXCESIVA SIN OTRA ESPECIFICACION</t>
  </si>
  <si>
    <t>OTROS TRASTORNOS NEONATALES TRANSITORIOS DE LA COAGULACIÓN</t>
  </si>
  <si>
    <t>SINDROME DEL RECIEN NACIDO DE MADRE CON DIABETICA</t>
  </si>
  <si>
    <t>OTROS TRASTORNOS TRANSITORIOS DEL METABOLISMO DE LOS CARBOHIDRATOS EN EL FETO Y EL RECIEN NACIDO</t>
  </si>
  <si>
    <t>TRASTORNO TRANSITORIO NO ESPECIFICADO DEL METABOLISMO DE LOS CARBOHIDRATOS EN EL FETO Y EL RECIEN NACIDO</t>
  </si>
  <si>
    <t>OTROS TRASTORNOS NEONATALES TRANSITORIOS DEL METABOLISMO DEL CALCIO Y DEL MAGNESIO</t>
  </si>
  <si>
    <t>TRASTORNO NEONATAL TRANSITORIO NO ESPECIFICADO DEL METABOLISMO DEL CALCIO Y DEL MAGNESIO</t>
  </si>
  <si>
    <t>OTROS TRASTORNOS NEONATALES TRANSITORIOS DE LA FUNCION TIROIDEA, NO CLASIFICADOS EN OTRA PARTE</t>
  </si>
  <si>
    <t>ILEO MECONIAL (E84.1†)</t>
  </si>
  <si>
    <t>HEMATEMESIS Y MELENA NEONATALES DEBIDAS A LA DEGLUCION DE SANGRE MATERNA</t>
  </si>
  <si>
    <t>SINDROME DE ENFRIAMIENTO</t>
  </si>
  <si>
    <t>OTRAS ALTERACIONES ESPECIFICADAS DE LA REGULACION DE LA TEMPERATURA DEL RECIEN NACIDO</t>
  </si>
  <si>
    <t>ALTERACION NO ESPECIFICADA DE LA REGULACION DE LA TEMPERATURA EN EL RECIEN NACIDO</t>
  </si>
  <si>
    <t>OTROS EDEMAS Y LOS NO ESPECIFICADOS, PROPIOS DEL FETO Y DEL RECIEN NACIDO</t>
  </si>
  <si>
    <t>OTRAS AFECCIONES ESPECIFICADAS DE LA PIEL, PROPIAS DEL FETO Y DEL RECIEN NACIDO</t>
  </si>
  <si>
    <t>AFECCION NO ESPECIFICADA DE LA PIEL, PROPIAS DEL FETO Y DEL RECIEN NACIDO</t>
  </si>
  <si>
    <t>LEUCOMALACIA NEONATAL</t>
  </si>
  <si>
    <t>REACCIONES E INTOXICACIONES DEBIDAS A DROGAS ADMINISTRADAS AL FETO Y AL RECIEN NACIDO</t>
  </si>
  <si>
    <t>SINTOMAS DE ABSTINENCIA POR EL USO TERAPEUTICO DE DROGAS EN EL RECIEN NACIDO</t>
  </si>
  <si>
    <t>AMPLITUD DE LA SUTURAS CRANEALES DEL RECIEN NACIDO</t>
  </si>
  <si>
    <t>TERMINACION DEL EMBARAZO, QUE AFECTA AL FETO Y AL RECIEN NACIDO</t>
  </si>
  <si>
    <t>COMPLICACIONES DE PROCEDIMIENTOS INTRAUTERINOS, NO CLASIFICADOS EN OTRA PARTE</t>
  </si>
  <si>
    <t>OTRAS MALFORMACIONES DEL IRIS</t>
  </si>
  <si>
    <t>AUSENCIA CONGENITA, ATRESIA O ESTRECHEZ DEL CONDUCTO AUDITIVO (EXTERNO)</t>
  </si>
  <si>
    <t>MALFORMACION CONGENITA DE LOS HUESILLOS DEL OIDO</t>
  </si>
  <si>
    <t>MALFORMACION CONGENITA DEL OIDO QUE CAUSA ALTERACION DE LA AUDICION, SIN OTRA ESPECIFICACION</t>
  </si>
  <si>
    <t>TRANSPOSICION DE LOS GRANDES VASOS DEL VENTRICULO DERECHO</t>
  </si>
  <si>
    <t>TRANSPOSICION DE LOS GRANDES VASOS DEL VENTRICULO IZQUIERDO</t>
  </si>
  <si>
    <t>DISCORDANCIA DE LA CONEXIÓN VENTRICULOARTERIAL</t>
  </si>
  <si>
    <t>DISCORDANCIA DE LA CONEXIÓN AURICULOVENTRICULAR</t>
  </si>
  <si>
    <t>OTRAS MALFORMACIONES CONGENITAS DE LAS CAMARAS CARDIACAS Y SUS CONEXIONES</t>
  </si>
  <si>
    <t>MALFORMACION CONGENITAS DE LAS CAMARAS CARDIACAS Y SUS CONEXIONES, NO ESPECIFICADA</t>
  </si>
  <si>
    <t>MALFORMACION CONGENITA DE LAS VALVULAS AORTICA Y MITRAL, NO ESPECIFICADA</t>
  </si>
  <si>
    <t>CONEXIÓN ANOMALA TOTAL DE LAS VENAS PULMONARES</t>
  </si>
  <si>
    <t>CONEXIÓN ANOMALA PARCIAL DE LAS VENAS PULMONARES</t>
  </si>
  <si>
    <t>CONEXIÓN ANOMALA DE LAS VENAS PULMONARES, SIN OTRA ESPECIFICACION</t>
  </si>
  <si>
    <t>CONEXIÓN ANOMALA DE LA VENA PORTA</t>
  </si>
  <si>
    <t>AUSENCIA DE HIPOPLASIA CONGENITA DE LA ARTERIA UMBILICAL</t>
  </si>
  <si>
    <t>OTRAS MALFORMACIONES CONGENITAS DEL SISTEMA VASCULAR PERIFERICO, ESPECIFICADAS</t>
  </si>
  <si>
    <t>MALFORMACION CONGENITA DEL SISTEMA VASCULAR PERIFERICO, NO ESPECIFICADA</t>
  </si>
  <si>
    <t>OTRAS MALFORMACIONES CONGENITAS DEL SISTEMA CIRCULATORIO, ESPECIFICADAS</t>
  </si>
  <si>
    <t>MALFORMACION CONGENITA DEL SISTEMA CIRCULATORIO NO ESPECIFICADA</t>
  </si>
  <si>
    <t>LARINGOMALACIA CONGENITA</t>
  </si>
  <si>
    <t>FISURA DEL PALADAR DURO</t>
  </si>
  <si>
    <t>FISURA DEL PALADAR BLANDO</t>
  </si>
  <si>
    <t>FISURA DEL PALADAR DURO Y DEL PALADAR BLANDO</t>
  </si>
  <si>
    <t>FISURA DEL PALADAR, SIN OTRA ESPECIFICACION</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</si>
  <si>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</si>
  <si>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</si>
  <si>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</si>
  <si>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</si>
  <si>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</si>
  <si>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</si>
  <si>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FISURA DEL PALADAR CON LABIO LEPORINO BILATERAL, SIN OTRA ESPECIFICACION</t>
  </si>
  <si>
    <t>FISURA DEL PALADAR CON LABIO LEPORINO UNILATERAL, SIN OTRA ESPECIFICACION</t>
  </si>
  <si>
    <t>MALFORMACIONES CONGENITAS DE LAS GLANDULAS Y DE LOS CONDUCTOS SALIVALES</t>
  </si>
  <si>
    <t>OTRAS MALFORMACIONES CONGENITAS DE LA PARTE SUPERIOR DEL TUBO DIGESTIVO</t>
  </si>
  <si>
    <t>MALFORMACION CONGENITA DE LA PARTE SUPERIOR DEL TUBO DIGESTIVO, NO ESPECIFICADA</t>
  </si>
  <si>
    <t>AUSENCIA, ATRESIA Y ESTENOSIS CONGENITA DE OTRAS PARTES ESPECIFICADAS DEL INTESTINO DELGADO</t>
  </si>
  <si>
    <t>AUSENCIA, ATRESIA Y ESTENOSIS CONGENITA DEL INTESTINO DELGADO, PARTE NO ESPECIFICADA</t>
  </si>
  <si>
    <t>AUSENCIA, ATRESIA Y ESTENOSIS CONGENITA DE OTRAS PARTES DEL INTESTINO GRUESO</t>
  </si>
  <si>
    <t>AUSENCIA, ATRESIA Y ESTENOSIS CONGENITA DEL INTESTINO GRUESO, PARTE NO ESPECIFICADA</t>
  </si>
  <si>
    <t>OTRAS MALFORMACIONES CONGENITAS DEL INTESTINO, NO ESPECIFICADAS</t>
  </si>
  <si>
    <t>OTRAS MALFORMACIONES CONGENITAS DEL PANCREAS Y DEL CONDUCTO PANCREATICO</t>
  </si>
  <si>
    <t>AUSENCIA CONGENITA DEL OVARIO</t>
  </si>
  <si>
    <t>OTRAS MALFORMACIONES CONGENITAS DE LA TROMPA DE FALOPIO Y DEL LIGAMENTO ANCHO</t>
  </si>
  <si>
    <t>DUPLICACION DEL UTERO CON DUPLICACION DEL CUELLO UTERINO Y DE LA VAGINA</t>
  </si>
  <si>
    <t>QUISTE EMBRIONARIO DL CUELLO UTERINO</t>
  </si>
  <si>
    <t>OTRA MALFORMACIONES CONGENITAS DEL UTERO Y DEL CUELLO UTERINO</t>
  </si>
  <si>
    <t>OTRAS MALFORMACIONES CONGENITAS DE LOS ORGANOS GENITALES FEMENINOS, ESPECIFICADAS</t>
  </si>
  <si>
    <t>OTRAS MALFORMACIONES CONGENITAS DE LOS CONDUCTOS DEFERENTES, DEL EPIDIDIMO, DE LAS VESICULAS SEMINALES Y DE LA PROSTATA</t>
  </si>
  <si>
    <t>OTRAS MALFORMACIONES CONGENITAS DE LOS ORGANOS GENITALES MASCULINOS, ESPECIFICADAS</t>
  </si>
  <si>
    <t>MALFORMACION CONGENITA DE LOS ORGANOS GENITALES MASCULINOS, NO ESPECIFICADA</t>
  </si>
  <si>
    <t>AGENESIA RENAL, SIN OTRA ESPECIFICACIÓN</t>
  </si>
  <si>
    <t>RIÑON POLIQUISTICO, AUTOSOMICO RECESIVO</t>
  </si>
  <si>
    <t>RIÑON POLIQUISTICO, AUTOSOMICO DOMINANTE</t>
  </si>
  <si>
    <t>CURVATURA CONGENITA DE LA TIBIA Y EL PERONE</t>
  </si>
  <si>
    <t>CURVATURA CONGENITA DE HUESO(S) LARGO(S) DEL MIEMBRO INFERIOR, SIN OTRA ESPECIFICACION</t>
  </si>
  <si>
    <t>OTRAS MALFORMACIONES CONGENITAS DE (DE LOS) MIEMBRO(S) SUPERIOR(ES), INCLUIDA LA CINTURA ESCAPULAR</t>
  </si>
  <si>
    <t>OTRAS MALFORMACIONES CONGENITAS DEL (DE LOS) MIEMBRO(S) INFERIOR(ES), INCLUIDA LA CINTURA PELVIANA</t>
  </si>
  <si>
    <t>OTRAS MALFORMACIONES CONGENITAS ESPECIFICADAS DE LOS HUESOS DEL CRANEO Y DE LA CARA</t>
  </si>
  <si>
    <t>MALFORMACION CONGENITA NO ESPECIFICADA DE LOS HUESOS DEL CRANEO Y DE LA CARA</t>
  </si>
  <si>
    <t>OTRA MALFORMACION CONGENITA DE LA COLUMNA VERTEBRAL, NO ASOCIADA CON ESCOLIOSIS</t>
  </si>
  <si>
    <t>OTRAS OSTEOCONDRODISPLASIAS CON DEFECTOS DEL CRECIMIENTO DE LOS HUESOS LARGOS Y DE LA COLUMNA VERTEBRAL</t>
  </si>
  <si>
    <t>OSTEOCONDRODISPLASIA CON DEFECTOS DEL CRECIMIENTO DE LOS HUESOS LARGOS Y DE LA COLUMNA VERTEBRAL, SIN OTRA ESPECIFICACION</t>
  </si>
  <si>
    <t>FETO ARLEQUÍN</t>
  </si>
  <si>
    <t>AUSENCIA DEL PEZON</t>
  </si>
  <si>
    <t>ALTERACIONES MORFOLOGICAS CONGENITAS DEL PELO, NO CLASIFICADAS EN OTRA PARTE</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</si>
  <si>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</si>
  <si>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</si>
  <si>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</si>
  <si>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</si>
  <si>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</si>
  <si>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OTROS SINDROMES DE MALFORMACIONES CONGENITAS CON OTROS CAMBIOS ESQUELETICOS</t>
  </si>
  <si>
    <t>OTROS SINDROMES DE MALFORMACIONES CONGENITAS ESPECIFICADOS, NO CLASIFICADOS EN OTRA PARTE</t>
  </si>
  <si>
    <t>MALFORMACIONES CONGENITAS OTRAS GLANDULAS ENDOCRINAS</t>
  </si>
  <si>
    <t>TRISOMIA DE UN CROMOSOMA COMPLETO, MOSAICO (POR FALTA DE DISYUNCION MITOTICA)</t>
  </si>
  <si>
    <t>MONOSOMIA COMPLETA DE UN CROMOSOMA, MOSAICO (POR FALTA DE DISYUNCION MITOTICA)</t>
  </si>
  <si>
    <t>REORDENAMIENTO EQUILIBRADO Y MARCADOR ESTRUCTURAL, SIN OTRA ESPECIFICACION</t>
  </si>
  <si>
    <t>OTRAS ANOMALIAS DE LOS CROMOSOMAS SEXUALES, CON FENOTIPO FEMENINO, ESPECIFICADAS</t>
  </si>
  <si>
    <t>ANOMALIA DE LOS CROMOSOMAS SEXUALES, CON FENOTIPO FEMENINO, SIN OTRA ESPECIFICACION</t>
  </si>
  <si>
    <t>OTRAS ANOMALIAS DE LOS CROMOSOMAS SEXUALES, CON FENOTIPO MASCULINO, ESPECIFICADAS</t>
  </si>
  <si>
    <t>ANOMALIA DE LOS CROMOSOMAS SEXUALES, FENOTIPO MASCULINO, SIN OTRA ESPECIFICACION</t>
  </si>
  <si>
    <t>OTRAS ANOMALIAS DE LOS CROMOSOMAS. ESPECIFICADAS</t>
  </si>
  <si>
    <t>LECTURA ELEVADA DE LA PRESION SANGUINEA, SIN DIAGNOSTICO DE HIPERTENSION</t>
  </si>
  <si>
    <t>OTROS SINTOMAS Y SIGNOS ESPECIFICADOS QUE INVOLUCRAN LOS SISTEMAS CIRCULATORIO Y RESPIRATORIO</t>
  </si>
  <si>
    <t>OTROS SINTOMAS Y SIGNOS ESPECIFICADOS QUE INVOLUCRAN EL SISTEMA DIGESTIVO Y EL ABDOMEN</t>
  </si>
  <si>
    <t>OTRAS ANORMALIDADES DE LA MARCHA Y DE LA MOVILIDAD Y LAS NO ESPECIFICADAS</t>
  </si>
  <si>
    <t>OTROS SINTOMAS Y SIGNOS QUE INVOLUCRAN LOS SISTEMAS NERVIOSO Y OSTEOMUSCULAR Y LOS NO ESPECIFICADOS</t>
  </si>
  <si>
    <t>OTROS SINTOMAS Y SIGNOS QUE INVOLUCRAN EL SISTEMA URINARIO Y LOS NO ESPECIFICADOS</t>
  </si>
  <si>
    <t>OTROS SINTOMAS Y SIGNOS QUE INVOLUCRAN LA FUNCION COGNOSCITIVA Y LA CONCIENCIA Y LOS NO ESPECIFICADOS</t>
  </si>
  <si>
    <t>OTROS SINTOMAS Y SIGNOS QUE INVOLUCRAN LAS SENSACIONES Y PERCEPCIONES GENERALES Y LOS NO ESPECIFICADOS</t>
  </si>
  <si>
    <t>VERBOSIDAD Y DETALLES CIRCUNSTANCIALES QUE OSCURECEN LA RAZON DE LA CONSULTA O EL CONTACTO</t>
  </si>
  <si>
    <t>OTROS SINTOMAS Y SIGNOS QUE INVOLUCRAN LA APARIENCIA Y EL COMPORTAMIENTO</t>
  </si>
  <si>
    <t>CHOQUE , NO ESPECIFICADO</t>
  </si>
  <si>
    <t>RETARDO EN DESARROLLO</t>
  </si>
  <si>
    <t>FALTA DEL DESARROLLO FISIOLOGICO NORMAL ESPERADO SIN OTRA ESPECIFICACION</t>
  </si>
  <si>
    <t>OTROS SINTOMAS Y SIGNOS CONCERNIENTES A LA ALIMENTACION Y A LA INGESTION DE LIQUIDOS</t>
  </si>
  <si>
    <t>ELEVACION DE LOS NIVELES DE TRANSAMINASAS O DESHIDROGENASA LACTICA [DHL]</t>
  </si>
  <si>
    <t>EVIDENCIAS DE LABORATORIO DEL VIRUS DE LA INMUNODEFICIENCIA HUMANA [VIH]</t>
  </si>
  <si>
    <t>HALLAZGOS INMUNOLOGICOS ANORMALES ESPECIFICADOS EN SUERO</t>
  </si>
  <si>
    <t>HALLAZGO DE OTRAS SUSTANCIAS ESPECIFICAS QUE NORMALMENTE NO SE ENCUENTRAN EN LA SANGRE</t>
  </si>
  <si>
    <t>HALLAZGO DE SUSTANCIA NO ESPECIFICA QUE NORMALMENTE NO SE ENCUENTRAN EN LA SANGRE</t>
  </si>
  <si>
    <t>ELEVACION DE LOS NIVELES DE DROGAS, MEDICAMENTOS Y SUSTANCIAS BIOLOGICAS EN LA ORINA</t>
  </si>
  <si>
    <t>NIVELES ANORMALES EN LA ORINA DE SUSTANCIAS DE ORIGEN PRINCIPALMENTE NO MEDICINAL</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</si>
  <si>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</si>
  <si>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</si>
  <si>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</si>
  <si>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</si>
  <si>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</si>
  <si>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</si>
  <si>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</si>
  <si>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</si>
  <si>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</si>
  <si>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</si>
  <si>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</si>
  <si>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</si>
  <si>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 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</si>
  <si>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</si>
  <si>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</si>
  <si>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</si>
  <si>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</si>
  <si>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</si>
  <si>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RESPIRATORIOS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</si>
  <si>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</si>
  <si>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</si>
  <si>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</si>
  <si>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DIGESTIVOS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</si>
  <si>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</si>
  <si>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</si>
  <si>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</si>
  <si>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</si>
  <si>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</si>
  <si>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</si>
  <si>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MUESTRAS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</si>
  <si>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</si>
  <si>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</si>
  <si>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</si>
  <si>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</si>
  <si>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</si>
  <si>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</si>
  <si>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</si>
  <si>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</si>
  <si>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</si>
  <si>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</si>
  <si>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</si>
  <si>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</si>
  <si>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</si>
  <si>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</si>
  <si>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</si>
  <si>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</si>
  <si>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 EN MUESTRAS TOMADAS DE ORGANOS GENITALES FEMENINOS: HALLAZGOS CITOLOGICOS ANORMALES</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</si>
  <si>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</si>
  <si>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</si>
  <si>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</si>
  <si>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</si>
  <si>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HORMONAS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</si>
  <si>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</si>
  <si>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</si>
  <si>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</si>
  <si>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MUESTRAS TOMADAS DE OTROS ORGANOS, SISTEMAS Y TEJIDOS: HALLAZGOS MICROBIOLOGICOS ANORMALES, HALLAZGOS POSITIVOS EN EL CULTIVO</t>
  </si>
  <si>
    <t>HALLAZGOS ANORMALES EN MUESTRAS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</si>
  <si>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</si>
  <si>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</si>
  <si>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</si>
  <si>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OTROS HALLAZGOS ANORMALES EN DIAGNOSTICO POR IMAGEN Y DEL SISTEMA NERVIOSO CENTRAL</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</si>
  <si>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</si>
  <si>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</si>
  <si>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</si>
  <si>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</si>
  <si>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OTRAS REGIONES ABDOMINALES, INCLUIDO EL RETROPERITONEO</t>
  </si>
  <si>
    <t>HALLAZGOS ANORMALES EN DIAGNOSTICO POR IMAGEN DE OTRAS PARTES DEL SISTEMA OSTEOMUSCULAR</t>
  </si>
  <si>
    <t>HALLAZGOS ANORMALES EN DIAGNOSTICO POR IMAGEN DE OTRAS ESTRUCTURAS ESPECIFICADAS DEL CUERPO</t>
  </si>
  <si>
    <t>RESULTADOS ANORMALES EN ESTUDIOS FUNCIONALES DEL SISTEMA NERVIOSO CENTRAL</t>
  </si>
  <si>
    <t>RESULTADOS ANORMALES EN ESTUDIOS FUNCIONALES DEL SISTEMA NERVIOSO PERIFERICO Y SENTIDOS ESPECIALES</t>
  </si>
  <si>
    <t>RESULTADOS ANORMALES EN LOS ESTUDIOS FUNCIONALES DE OTROS ORGANOS Y SISTEMAS</t>
  </si>
  <si>
    <t>MUERTE QUE OCURRE EN MENOS DE 24 HORAS DEL INICIO DE LOS SINTOMAS, NO EXPLICADA DE OTRA FORMA</t>
  </si>
  <si>
    <t>FRACTURA DEL CRANEO Y DE LOS HUESOS DE LA CARA, PARTE NO ESPECIFICADA</t>
  </si>
  <si>
    <t>ESGUINCES Y TORCEDURAS DE ARTICULACIONES Y LIGAMENTOS DE OTRAS PARTES Y LAS NO ESPECIFICADAS DE LA CABEZA</t>
  </si>
  <si>
    <t>TRAUMATISMO DEL NERVIO MOTOR OCULAR COMUN [III PAR]</t>
  </si>
  <si>
    <t>TRAUMATISMO DEL NERVIO PATETICO [IV PAR]</t>
  </si>
  <si>
    <t>TRAUMATISMO DEL NERVIO TRIGEMINO [V PAR]</t>
  </si>
  <si>
    <t>TRAUMATISMO DEL NERVIO MOTOR OCULAR EXTERNO [VI PAR]</t>
  </si>
  <si>
    <t>TRAUMATISMO DEL NERVIO FACIAL [VII PAR]</t>
  </si>
  <si>
    <t>TRAUMATISMO DEL NERVIO ACUSTICO [VIII PAR]</t>
  </si>
  <si>
    <t>TRAUMATISMO DEL NERVIO ESPINAL [XI PAR]</t>
  </si>
  <si>
    <t>TRAUMATISMO DEL NERVIOS CRANEALES, NO ESPECIFICADO</t>
  </si>
  <si>
    <t>TRAUMATISMO DE LA CONJUNTIVA Y ABRASION CORNEAL SIN MENCION DE CUERPO EXTRAÑO</t>
  </si>
  <si>
    <t>LACERACION Y RUPTURA OCULAR CON PROLAPSO O PERDIDA DEL TEJIDO INTRAOCULAR</t>
  </si>
  <si>
    <t>AVULSION DEL OJO</t>
  </si>
  <si>
    <t>CONCUSION</t>
  </si>
  <si>
    <t>TRAUMATISMO DE LOS VASOS SANGUINEOS DE LA CABEZA NO CLASIFICADOS EN OTRA PARTE</t>
  </si>
  <si>
    <t>ESGUINCES Y TORCEDURAS DE ARTICULACIONES Y LIGAMENTOS DE OTROS SITIOS ESPECIFICADOS Y DE LOS NO ESPECIFICADOS DEL CUELLO</t>
  </si>
  <si>
    <t>OTROS TRAUMATISMOS DE LA MEDULA ESPINAL CERVICAL Y LOS NO ESPECIFICADOS</t>
  </si>
  <si>
    <t>TRAUMATISMO DE PLEXO BRAQUIAL</t>
  </si>
  <si>
    <t>TRAUMATISMO SUPERFICIAL DE OTRAS PARTES Y DE LAS NO ESPECIFICADAS DEL TORAX</t>
  </si>
  <si>
    <t>HERIDAS DE OTRAS PARTES DEL TORAX</t>
  </si>
  <si>
    <t>HERIDAS DEL TORAX, PARTE NO ESPECIFICADA</t>
  </si>
  <si>
    <t>FRACTURA DE ESTERNON</t>
  </si>
  <si>
    <t>FRACTURAS MULTIPLES DE COSTILLA</t>
  </si>
  <si>
    <t>ESGUINCES Y TORCEDURAS DE OTRAS PARTES Y DE LAS NO ESPECIFICADAS DEL TORAX</t>
  </si>
  <si>
    <t>OTROS TRAUMATISMOS Y LOS NO ESPECIFICADOS DE LA MEDULA ESPINAL TORACICA</t>
  </si>
  <si>
    <t>TRAUMATISMO DE LA VENA CAVA SUPERIOR</t>
  </si>
  <si>
    <t>TRAUMATISMOS DEL CORAZON, NO ESPECIFICADO</t>
  </si>
  <si>
    <t>TRAUMATISMO DE MULTIPLES DE ORGANOS INTRATORACICOS</t>
  </si>
  <si>
    <t>TRAUMATISMO DE ORGANO INTRATORACICO, NO ESPECIFICADOS</t>
  </si>
  <si>
    <t>TRAUMATISMO DEL TENDON Y MUSCULOS A NIVEL DEL TORAX</t>
  </si>
  <si>
    <t>CONTUSION DE LOS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</si>
  <si>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</si>
  <si>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</si>
  <si>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</si>
  <si>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FRACTURA DE OTRAS PARTES Y DE LAS NO ESPECIFICADAS DE LA COLUMNA LUMBAR Y DE LA PELVIS</t>
  </si>
  <si>
    <t>LUXACION DE OTRAS PARTES Y DE LAS NO ESPECIFICADAS DE LA COLUMNA LUMBAR Y DE LA PELVIS</t>
  </si>
  <si>
    <t>ESGUINCES Y TORCEDURAS DE OTRAS PARTES Y DE LAS NO ESPECIFICADAS DE LA COLUMNA LUMBAR Y DE LA PELVIS</t>
  </si>
  <si>
    <t>TRAUMATISMO DE NERVIO(S) SIMPATICO(S) LUMBAR(ES), SACRO(S) Y PELVICO(S)</t>
  </si>
  <si>
    <t>TRAUMATISMO DE NERVIO(S) PERIFERICO(S) DEL ABDOMEN, DE LA REGION LUMBOSACRA Y DE LA PELVIS</t>
  </si>
  <si>
    <t>TRAUMATISMO DE OTROS NERVIOS A NIVEL DEL ABDOMEN, DE LA REGION LUMBOSACRA Y DE LA PELVIS Y DE LOS NO ESPECIFICADOS</t>
  </si>
  <si>
    <t>TRAUMATISMO DE LAS ARTERIAS CELIACAS Y MESENTERICAS</t>
  </si>
  <si>
    <t>TRAUMATISMO DE MULTIPLES VASOS SANGUINEOS A NIVEL DEL ABDOMEN, DE LA REGION LUMBOSACRA Y DE LA PELVIS</t>
  </si>
  <si>
    <t>TRAUMATISMO DE OTROS VASOS SANGUINEOS A NIVEL DEL ABDOMEN, DE LA REGION LUMBOSACRA Y DE LA PELVIS</t>
  </si>
  <si>
    <t>TRAUMATISMO DE VASOS SANGUINEOS NO ESPECIFICADOS DEL ABDOMEN, DE LA REGION LUMBOSACRA Y DE LA PELVIS</t>
  </si>
  <si>
    <t>TRAUMATISMO POR APLASTAMIENTO DE OTRAS PARTES Y DE LAS NO ESPECIFICADAS DEL ABDOMEN, DE LA REGION LUMBOSACRA Y DE LA PELVIS</t>
  </si>
  <si>
    <t>AMPUTACION TRAUMATICA DE OTRAS PARTES Y DE LAS NO ESPECIFICADAS DEL ABDOMEN, REGION LUMBOSACRA Y PELVIS</t>
  </si>
  <si>
    <t>TRAUMATISMO DEL TENDON Y DE MUSCULOS DEL ABDOMEN, DE LA REGION LUMBOSACRA Y DE LA PELVIS</t>
  </si>
  <si>
    <t>OTROS TRAUMATISMOS MULTIPLES DEL ABDOMEN, DE LA REGION LUMBOSACRA Y DE LA PELVIS</t>
  </si>
  <si>
    <t>OTROS TRAUMATISMOS ESPECIFICADOS DEL ABDOMEN, DE LA REGION LUMBOSACRA Y DE LA PELVIS</t>
  </si>
  <si>
    <t>TRAUMATISMO NO ESPECIFICADO DEL ABDOMEN, DE LA REGION LUMBOSACRA Y DE LA PELVIS</t>
  </si>
  <si>
    <t>HERIDAS DE OTRAS PARTES Y DE LAS NO ESPECIFICADAS DEL HOMBRO Y DEL BRAZO</t>
  </si>
  <si>
    <t>LUXACION DE OTRAS PARTES DE LA CINTURA ESCAPULAR Y DE LAS NO ESPECIFICADAS</t>
  </si>
  <si>
    <t>ESGUINCES Y TORCEDURAS DE OTRAS PARTES Y DE LAS NO ESPECIFICADAS DE LA CINTURA ESCAPULAR</t>
  </si>
  <si>
    <t>TRAUMATISMO DEL NERVIO SENSITIVO CUTANEO A NIVEL DEL HOMBRO Y DEL BRAZO</t>
  </si>
  <si>
    <t>TRAUMATISMO DEL MULTIPLES NERVIOS A NIVEL DEL HOMBRO Y DEL BRAZO</t>
  </si>
  <si>
    <t>TRAUMATISMO DE VENAS SUPERFICIAL A NIVEL DEL HOMBRO Y DEL BRAZO</t>
  </si>
  <si>
    <t>TRAUMATISMO DE MULTIPLES VASOS SANGUINEOS A NIVEL DEL HOMBRO Y DEL BRAZO</t>
  </si>
  <si>
    <t>TRAUMATISMO DE VASO SANGUINEO NO ESPECIFICADO A NIVEL DEL HOMBRO Y DEL BRAZO</t>
  </si>
  <si>
    <t>TRAUMATISMO DE TENDON DEL MANGUITO ROTATORIO DEL HOMBRO</t>
  </si>
  <si>
    <t>TRAUMATISMO DE TENDON Y MUSCULO DE LA CABEZA LARGA DEL BICEPS</t>
  </si>
  <si>
    <t>TRAUMATISMO DE TENDON Y MUSCULO DE OTRAS PARTES DEL BICEPS</t>
  </si>
  <si>
    <t>TRAUMATISMO DE TENDON Y MUSCULO DEL TRICEPS</t>
  </si>
  <si>
    <t>TRAUMATISMO DE MULTIPLES TENDONES Y MUSCULOS A NIVEL DEL HOMBRO Y DEL BRAZO</t>
  </si>
  <si>
    <t>TRAUMATISMO DE OTROS TENDONES Y MUSCULOS A NIVEL DEL HOMBRO Y DEL BRAZO</t>
  </si>
  <si>
    <t>TRAUMATISMO DE TENDON Y MUSCULO NO ESPECIFICADO NIVEL DEL HOMBRO Y DEL BRAZO</t>
  </si>
  <si>
    <t>AMPUTACION TRAUMATICA EN LA ARTICULACION DEL HOMBRO Y DEL BRAZO</t>
  </si>
  <si>
    <t>HERIDAS DE OTRAS PARTES DEL ANTEBRAZO</t>
  </si>
  <si>
    <t>HERIDAS DEL ANTEBRAZO, PARTE NO ESPECIFICADA</t>
  </si>
  <si>
    <t>TRAUMATISMO DEL MULTIPLES NERVIOS A NIVEL DEL ANTEBRAZO</t>
  </si>
  <si>
    <t>TRAUMATISMO DEL TENDON Y MUSCULO FLEXOR DEL PULGAR A NIVEL DEL ANTEBRAZO</t>
  </si>
  <si>
    <t>TRAUMATISMO DEL TENDON Y MUSCULO FLEXOR DE OTRO(S) DEDO(S) A NIVEL DEL ANTEBRAZO</t>
  </si>
  <si>
    <t>TRAUMATISMO DEL OTRO TENDON Y MUSCULO FLEXOR A NIVEL DEL ANTEBRAZO</t>
  </si>
  <si>
    <t>TRAUMATISMO DE TENDONES Y MUSCULOS ABDUCTORES Y EXTENSORES DEL PULGAR A NIVEL DEL ANTEBRAZO</t>
  </si>
  <si>
    <t>TRAUMATISMO DEL TENDON Y MUSCULO EXTENSOR DE OTRO(S) DEDO(S) A NIVEL DEL ANTEBRAZO</t>
  </si>
  <si>
    <t>TRAUMATISMO DE OTROS TENDONES Y MUSCULOS Y DE LOS NO ESPECIFICADOS, A NIVEL DEL ANTEBRAZO</t>
  </si>
  <si>
    <t>AMPUTACION TRAUMATICA A NIVEL ENTRE EL CODO Y LA MUÑECA</t>
  </si>
  <si>
    <t>TRAUMATISMOS NO ESPECIFICADOS DEL ANTEBRAZO</t>
  </si>
  <si>
    <t>CONTUSION DE DEDO(S) DE LA MANO, CON DAÑO DE LA(S) UÑA(S)</t>
  </si>
  <si>
    <t>HERIDAS DE OTRAS PARTES DE LA MUÑECA Y DE LA MANO</t>
  </si>
  <si>
    <t>FRACTURA DEL HUESO ESCAFOIDES [NAVICULAR] DE LA MANO</t>
  </si>
  <si>
    <t>FRACTURA DE OTRAS PARTES Y DE LAS NO ESPECIFICADAS DE LA MUÑECA Y DE LA MANO</t>
  </si>
  <si>
    <t>RUPTURA TRAUMATICA DE LIGAMENTOS DEL DEDO DE LA MANO EN LA(S) ARTICULACION(ES) METACARPOFALANGICA E INTERFALANGICA</t>
  </si>
  <si>
    <t>ESGUINCES Y TORCEDURAS DE LA MUÑECA</t>
  </si>
  <si>
    <t>ESGUINCES Y TORCEDURAS DE OTRAS PARTES Y DE LAS NO ESPECIFICADAS DE LA MUÑECA Y DE LA MANO</t>
  </si>
  <si>
    <t>TRAUMATISMO DE NERVIO NO ESPECIFICADO A NIVEL DE LA MUÑECA Y DE LA MANO</t>
  </si>
  <si>
    <t>TRAUMATISMO DE MULTIPLES VASOS SANGUINEOS A NIVEL DE LA MUÑECA Y DE LA MANO</t>
  </si>
  <si>
    <t>TRAUMATISMO DE OTROS VASOS SANGUINEOS A NIVEL DE LA MUÑECA Y DE LA MANO</t>
  </si>
  <si>
    <t>TRAUMATISMO DE VASO SANGUINEO NO ESPECIFICADO A NIVEL DE LA MUÑECA Y DE LA MANO</t>
  </si>
  <si>
    <t>TRAUMATISMO DEL TENDON Y MUSCULO FLEXOR LARGO DEL PULGAR A NIVEL DE LA MUÑECA Y DE LA MANO</t>
  </si>
  <si>
    <t>TRAUMATISMO DEL TENDON Y MUSCULO FLEXOR DE OTRO DEDO A NIVEL DE LA MUÑECA Y DE LA MANO</t>
  </si>
  <si>
    <t>TRAUMATISMO DEL TENDON Y MUSCULO EXTENSOR DEL PULGAR A NIVEL DE LA MUÑECA Y DE LA MANO</t>
  </si>
  <si>
    <t>TRAUMATISMO DEL TENDON Y MUSCULO EXTENSOR DE OTRO(S) DEDO(S) A NIVEL DE LA MUÑECA Y DE LA MANO</t>
  </si>
  <si>
    <t>TRAUMATISMO DEL MUSCULO Y TENDON INTRINSECO DEL PULGAR A NIVEL DE LA MUÑECA Y DE LA MANO</t>
  </si>
  <si>
    <t>TRAUMATISMO DEL MUSCULO Y TENDON INTRINSECO DE OTRO(S) DEDO(S) A NIVEL DE LA MUÑECA Y DE LA MANO</t>
  </si>
  <si>
    <t>TRAUMATISMO DE MULTIPLES TENDONES Y MUSCULOS FLEXORES A NIVEL DE LA MUÑECA Y DE LA MANO</t>
  </si>
  <si>
    <t>TRAUMATISMO DE MULTIPLES TENDONES Y MUSCULOS EXTENSORES A NIVEL DE LA MUÑECA Y DE LA MANO</t>
  </si>
  <si>
    <t>TRAUMATISMO DE OTROS TENDONES Y MUSCULOS A NIVEL DE LA MUÑECA Y DE LA MANO</t>
  </si>
  <si>
    <t>TRAUMATISMO DE TENDON Y MUSCULO NO ESPECIFICADO, A NIVEL DE LA MUÑECA Y DE LA MANO</t>
  </si>
  <si>
    <t>TRAUMATISMO POR APLASTAMIENTO DE OTRAS PARTES Y DE LAS NO ESPECIFICADAS DE LA MUÑECA Y DE LA MANO</t>
  </si>
  <si>
    <t>AMPUTACION TRAUMATICA DE DOS O MAS DEDOS SOLAMENTE (COMPLETA) (PARCIAL)</t>
  </si>
  <si>
    <t>AMPUTACION TRAUMATICA COMBINADA (DE PARTE) DE DEDO(S) CON OTRAS PARTES DE LA MUÑECA Y DE LA MANO</t>
  </si>
  <si>
    <t>HERIDAS DE OTRAS PARTES Y DE LAS NO ESPECIFICADAS DE LA CINTURA PELVICA</t>
  </si>
  <si>
    <t>FRACTURA DEL CUELLO DEL FEMUR</t>
  </si>
  <si>
    <t>FRACTURA DE OTRAS PARTES DEL FEMUR</t>
  </si>
  <si>
    <t>LUXACION DE CADERA</t>
  </si>
  <si>
    <t>TRAUMATISMO DEL NERVIO SENSORIAL CUTANEO A NIVEL DE LA CADERA Y DEL MUSLO</t>
  </si>
  <si>
    <t>TRAUMATISMO DE MULTIPLES VASOS SANGUINEOS A NIVEL DE LA CADERA Y DEL MUSLO</t>
  </si>
  <si>
    <t>TRAUMATISMO DE VASO SANGUINEO NO ESPECIFICADO A NIVEL DE LA CADERA Y DEL MUSLO</t>
  </si>
  <si>
    <t>TRAUMATISMO DEL TENDON Y MUSCULO DEL GRUPO MUSCULAR POSTERIOR A NIVEL DEL MUSLO</t>
  </si>
  <si>
    <t>TRAUMATISMO DE OTROS TENDONES Y MUSCULOS Y LOS NO ESPECIFICADOS A NIVEL DEL MUSLO</t>
  </si>
  <si>
    <t>TRAUMATISMO DE MULTIPLES TENDONES Y MUSCULOS Y LOS NO ESPECIFICADOS A NIVEL DE LA CADERA Y DEL MUSLO</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</si>
  <si>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</si>
  <si>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</si>
  <si>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</si>
  <si>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 LA VENA SAFENA EXTERNA NIVEL DE LA PIERNA</t>
  </si>
  <si>
    <t>TRAUMATISMO DE OTRO TENDON(ES) Y MUSCULO(S) DEL GRUPO MUSCULAR POSTERIOR A NIVEL DE LA PIERNA</t>
  </si>
  <si>
    <t>TRAUMATISMO DEL TENDON(ES) Y MUSCULO(S) DEL GRUPO MUSCULAR ANTERIOR A NIVEL DE LA PIERNA</t>
  </si>
  <si>
    <t>TRAUMATISMO DEL TENDON(ES) Y MUSCULO(S) DEL GRUPO MUSCULAR PERONEO A NIVEL DE LA PIERNA</t>
  </si>
  <si>
    <t>TRAUMATISMO DE TENDON Y MUSCULO NO ESPECIFICADOS A NIVEL DE LA PIERNA</t>
  </si>
  <si>
    <t>TRAUMATISMO POR APLASTAMIENTO DE OTRAS PARTES Y DE LAS NO ESPECIFICADAS DE LA PIERNA</t>
  </si>
  <si>
    <t>CONTUSION DE DEDO(S) DEL PIE, SIN DAÑO DE LA(S) UÑA(S)</t>
  </si>
  <si>
    <t>CONTUSION DE DEDO(S) DEL PIE, CON DAÑO DE LA(S) UÑA(S)</t>
  </si>
  <si>
    <t>HERIDAS DE OTRAS PARTES DEL PIE</t>
  </si>
  <si>
    <t>ESGUINCES Y TORCEDURAS DE OTROS SITIOS Y DE LOS NO ESPECIFICADOS DEL PIE</t>
  </si>
  <si>
    <t>TRAUMATISMO DEL NERVIO SENSORIAL CUTANEO A NIVEL DEL PIE Y DEL TOBILLO</t>
  </si>
  <si>
    <t>TRAUMATISMO DE MULTIPLES VASOS SANGUINEOS A NIVEL DEL PIE Y DEL TOBILLO</t>
  </si>
  <si>
    <t>TRAUMATISMO DE VASO SANGUINEO NO ESPECIFICADO A NIVEL DEL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</si>
  <si>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</si>
  <si>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</si>
  <si>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</si>
  <si>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</si>
  <si>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TENDONES Y MUSCULOS NO ESPECIFICADOS A NIVEL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</si>
  <si>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</si>
  <si>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</si>
  <si>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DEL(OS) MIEMBRO(S) INFERIOR(ES)</t>
  </si>
  <si>
    <t>TRAUMATISMOS SUPERFICIALES QUE AFECTAN MULTIPLES REGIONES DEL(OS) MIEMBRO(S) SUPERIOR(ES) CON MIEMBRO(S) INFERIOR(ES)</t>
  </si>
  <si>
    <t>TRAUMATISMOS SUPERFICIALES QUE AFECTAN OTRAS COMBINACIONES DE REGIONES DEL CUERPO</t>
  </si>
  <si>
    <t>HERIDAS QUE AFECTAN EL TORAX CON EL ABDOMEN, LA REGION LUMBOSACRA Y LA PELVIS</t>
  </si>
  <si>
    <t>HERIDAS QUE AFECTAN MULTIPLES REGIONES DEL(DE LOS) MIEMBRO(S) SUPERIOR(ES)</t>
  </si>
  <si>
    <t>HERIDAS QUE AFECTAN MULTIPLES REGIONES DEL(DE LOS) MIEMBRO(S) INFERIOR(ES)</t>
  </si>
  <si>
    <t>HERIDAS QUE AFECTAN MULTIPLES REGIONES DEL(DE LOS) MIEMBRO(S) SUPERIOR(ES) CON MIEMBRO(S) INFERIOR(ES)</t>
  </si>
  <si>
    <t>HERIDAS QUE AFECTAN OTRAS COMBINACIONES DE REGIONES DEL CUERPO</t>
  </si>
  <si>
    <t>HERIDAS MULTIPLES, NO ESPECIFICADOS</t>
  </si>
  <si>
    <t>FRACTURAS QUE AFECTAN EL TORAX CON EL ABDOMEN, LA REGION LUMBOSACRA Y LA PELVIS</t>
  </si>
  <si>
    <t>FRACTURAS QUE AFECTAN MULTIPLES REGIONES DE MIEMBRO(S) SUPERIOR(ES) CON MIEMBRO(S) INFERIOR(ES)</t>
  </si>
  <si>
    <t>FRACTURAS QUE AFECTAN EL TORAX CON LA REGION LUMBOSACRA Y LA PELVIS CON MIEMBRO(S)</t>
  </si>
  <si>
    <t>FRACTURAS QUE AFECTAN OTRAS COMBINACIONES DE REGIONES DEL CUERPO</t>
  </si>
  <si>
    <t>FRACTURAS MULTIPLES, NO ESPECIFICADOS</t>
  </si>
  <si>
    <t>LUXACIONES, TORCEDURAS Y ESGUINCES QUE AFECTAN EL TORAX CON LA REGION LUMBOSACRA Y LA PELVIS</t>
  </si>
  <si>
    <t>LUXACIONES, TORCEDURAS Y ESGUINCES QUE AFECTAN MULTIPLES REGIONES DEL(DE LOS) MIEMBRO(S) SUPERIOR(ES)</t>
  </si>
  <si>
    <t>LUXACIONES, TORCEDURAS Y ESGUINCES QUE AFECTAN MULTIPLES REGIONES DEL(DE LOS) MIEMBRO(S) INFERIOR(ES)</t>
  </si>
  <si>
    <t>LUXACIONES, TORCEDURAS Y ESGUINCES QUE AFECTAN MULTIPLES REGIONES DEL(DE LOS) MIEMBRO(S) SUPERIOR(ES) CON MIEMBRO(S) INFERIOR(ES)</t>
  </si>
  <si>
    <t>LUXACIONES, TORCEDURAS Y ESGUINCES QUE AFECTAN OTRAS COMBINACIONES DE REGIONES DEL CUERPO</t>
  </si>
  <si>
    <t>TRAUMATISMOS POR APLASTAMIENTO QUE AFECTAN EL TORAX CON EL ABDOMEN, LA REGION LUMBOSACRA Y LA PELVIS</t>
  </si>
  <si>
    <t>TRAUMATISMOS POR APLASTAMIENTO QUE AFECTAN MULTIPLES REGIONES DEL(DE LOS) MIEMBRO(S) SUPERIOR(ES)</t>
  </si>
  <si>
    <t>TRAUMATISMOS POR APLASTAMIENTO QUE AFECTAN MULTIPLES REGIONES DEL(DE LOS) MIEMBRO(S) INFERIOR(ES)</t>
  </si>
  <si>
    <t>TRAUMATISMOS POR APLASTAMIENTO QUE AFECTAN MULTIPLES REGIONES DEL(DE LOS) MIEMBRO(S) SUPERIOR(ES) CON MIEMBRO(S) INFERIOR(ES)</t>
  </si>
  <si>
    <t>TRAUMATISMOS POR APLASTAMIENTO DEL TORAX CON EL ABDOMEN, DE LA REGION LUMBOSACRA Y DE LA PELVIS CON MIEMBRO(S)</t>
  </si>
  <si>
    <t>TRAUMATISMOS POR APLASTAMIENTO QUE AFECTAN OTRAS COMBINACIONES DE REGIONES DEL CUERPO</t>
  </si>
  <si>
    <t>TRAUMATISMOS POR APLASTAMIENTO MULTIPLES, NO ESPECIFICADOS</t>
  </si>
  <si>
    <t>AMPUTACION TRAUMATICA DE UNA MANO Y EL OTRO BRAZO [CUALQUIER NIVEL, EXCEPTO MANO]</t>
  </si>
  <si>
    <t>AMPUTACION TRAUMATICA DE AMBOS BRAZOS [CUALQUIER NIVEL]</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</si>
  <si>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</si>
  <si>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</si>
  <si>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</si>
  <si>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</si>
  <si>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 TRAUMATICA MULTIPLES, NO ESPECIFICADAS</t>
  </si>
  <si>
    <t>TRAUMATISMOS DEL ENCEFALO Y DE LOS NERVIOS CRANEALES CON TRAUMATISMO DE NERVIOS Y MEDULA ESPINAL A NIVEL DEL CUELLO</t>
  </si>
  <si>
    <t>TRAUMATISMOS DE NERVIOS Y MEDULA ESPINAL QUE AFECTAN OTRAS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</si>
  <si>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</si>
  <si>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</si>
  <si>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</si>
  <si>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</si>
  <si>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SUPERFICIAL DEL TRONCO, NIVEL NO ESPECIFICADO</t>
  </si>
  <si>
    <t>LUXACION, ESGUINCE O TORCEDURA DE ARTICULACION Y LIGAMENTOS DEL TRONCO, NO ESPECIFICADO</t>
  </si>
  <si>
    <t>TRAUMATISMO DE NERVIOS, RAIZ DE NERVIO ESPINAL Y PLEXOS DEL TRONCO NO ESPECIFICADOS</t>
  </si>
  <si>
    <t>TRAUMATISMOS SUPERFICIAL DE MIEMBRO SUPERIOR, NIVEL NO ESPECIFICADO</t>
  </si>
  <si>
    <t>LUXACION, ESGUINCE O TORCEDURA DE ARTICULACION O LIGAMENTO NO ESPECIFICADO DE MIEMBRO SUPERIOR, NIVEL NO ESPECIFICADO</t>
  </si>
  <si>
    <t>TRAUMATISMO DE NERVIO NO ESPECIFICADO DE MIEMBRO SUPERIOR, NIVEL NO ESPECIFICADO</t>
  </si>
  <si>
    <t>TRAUMATISMO DE VASOS SANGUINEOS NO ESPECIFICADOS DE MIEMBRO SUPERIOR, NIVEL NO ESPECIFICADO</t>
  </si>
  <si>
    <t>TRAUMATISMO DE TENDON Y MUSCULO NO ESPECIFICADOS DE MIEMBRO SUPERIOR, NIVEL NO ESPECIFICADO</t>
  </si>
  <si>
    <t>OTROS TRAUMATISMOS ESPECIFICADOS DE MIEMBRO SUPERIOR, NIVEL NO ESPECIFICADO</t>
  </si>
  <si>
    <t>LUXACION, ESGUINCE O TORCEDURA DE ARTICULACION Y LIGAMENTOS NO ESPECIFICADOS DE MIEMBRO INFERIOR, NIVEL NO ESPECIFICADO</t>
  </si>
  <si>
    <t>TRAUMATISMO DE NERVIOS NO ESPECIFICADOS DE MIEMBRO INFERIOR, NIVEL NO ESPECIFICADO</t>
  </si>
  <si>
    <t>TRAUMATISMO DE VASOS SANGUINEOS NO ESPECIFICADOS DE MIEMBRO INFERIOR, NIVEL NO ESPECIFICADO</t>
  </si>
  <si>
    <t>TRAUMATISMO DE TENDONES Y MUSCULOS NO ESPECIFICADOS DE MIEMBRO INFERIOR, NIVEL NO ESPECIFICADO</t>
  </si>
  <si>
    <t>OTROS TRAUMATISMOS ESPECIFICADOS DE MIEMBRO INFERIOR, NIVEL NO ESPECIFICADO</t>
  </si>
  <si>
    <t>TRAUMATISMOS SUPERFICIAL DE REGION NO ESPECIFICADA DEL CUERPO</t>
  </si>
  <si>
    <t>LUXACION, ESGUINCE O TORCEDURA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</si>
  <si>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</si>
  <si>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</si>
  <si>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</si>
  <si>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CUERPO EXTRAÑO EN OTRAS Y EN MULTIPLES PARTES DE LA PARTE EXTERNA DEL OJO</t>
  </si>
  <si>
    <t>CUERPO EXTRAÑO EN OTRAS Y EN MULTIPLES PARTES DE LAS VIAS RESPIRATORIAS</t>
  </si>
  <si>
    <t>CUERPO EXTRAÑO EN EL UTERO [CUALQUIER PARTE]</t>
  </si>
  <si>
    <t>CUERPO EXTRAÑO EN OTRAS Y EN MULTIPLES PARTES DE LAS VIAS GENITOURINARIAS</t>
  </si>
  <si>
    <t>QUEMADURA DEL HOMBRO Y MIEMBRO SUPERIOR, GRADO NO ESPECIFICADO, EXCEPTO DE LA MUÑECA Y DE LA MANO</t>
  </si>
  <si>
    <t>QUEMADURA DEL HOMBRO Y MIEMBRO SUPERIOR, DE PRIMER GRADO, EXCEPTO DE LA MUÑECA Y DE LA MANO</t>
  </si>
  <si>
    <t>QUEMADURA DEL HOMBRO Y MIEMBRO SUPERIOR, DE SEGUNDO GRADO, EXCEPTO DE LA MUÑECA Y DE LA MANO</t>
  </si>
  <si>
    <t>QUEMADURA DEL HOMBRO Y MIEMBRO SUPERIOR, DE TERCER GRADO, EXCEPTO DE LA MUÑECA Y DE LA MANO</t>
  </si>
  <si>
    <t>CORROSION DEL HOMBRO Y MIEMBRO SUPERIOR, GRADO NO ESPECIFICADO, EXCEPTO DE LA MUÑECA Y DE LA MANO</t>
  </si>
  <si>
    <t>CORROSION DEL HOMBRO Y MIEMBRO SUPERIOR, DE PRIMER GRADO, EXCEPTO DE LA MUÑECA Y DE LA MANO</t>
  </si>
  <si>
    <t>CORROSION DEL HOMBRO Y MIEMBRO SUPERIOR, DE SEGUNDO GRADO, EXCEPTO DE LA MUÑECA Y DE LA MANO</t>
  </si>
  <si>
    <t>CORROSION DEL HOMBRO Y MIEMBRO SUPERIOR, DE TERCER GRADO, EXCEPTO DE LA MUÑECA Y DE LA MANO</t>
  </si>
  <si>
    <t>QUEMADURA DE LA CADERA Y DEL MIEMBRO INFERIOR, GRADO NO ESPECIFICADO, EXCEPTO TOBILLO Y PIE</t>
  </si>
  <si>
    <t>QUEMADURA DE LA CADERA Y DEL MIEMBRO INFERIOR, DE PRIMER GRADO, EXCEPTO TOBILLO Y PIE</t>
  </si>
  <si>
    <t>QUEMADURA DE LA CADERA Y DEL MIEMBRO INFERIOR, DE SEGUNDO GRADO, EXCEPTO TOBILLO Y PIE</t>
  </si>
  <si>
    <t>QUEMADURA DE LA CADERA Y DEL MIEMBRO INFERIOR, DE TERCER GRADO, EXCEPTO TOBILLO Y PIE</t>
  </si>
  <si>
    <t>CORROSION DE LA CADERA Y DEL MIEMBRO INFERIOR, GRADO NO ESPECIFICADO, EXCEPTO TOBILLO Y PIE</t>
  </si>
  <si>
    <t>CORROSION DE LA CADERA Y DEL MIEMBRO INFERIOR, DE PRIMER GRADO, EXCEPTO TOBILLO Y PIE</t>
  </si>
  <si>
    <t>CORROSION DE LA CADERA Y DEL MIEMBRO INFERIOR, DE SEGUNDO GRADO, EXCEPTO TOBILLO Y PIE</t>
  </si>
  <si>
    <t>CORROSION DE LA CADERA Y DEL MIEMBRO INFERIOR, DE TERCER GRADO, EXCEPTO TOBILLO Y PIE</t>
  </si>
  <si>
    <t>CORROSION DEL OJO Y ANEXOS, PARTE NO ESPECIFICADA</t>
  </si>
  <si>
    <t>QUEMADURA DE LA LARINGE Y LA TRAQUEA</t>
  </si>
  <si>
    <t>QUEMADURAS DE MULTIPLES REGIONES, MENCIONADAS COMO DE NO MAS DE PRIMER GRADO</t>
  </si>
  <si>
    <t>QUEMADURAS DE MULTIPLES REGIONES, MENCIONADAS COMO DE NO MAS DE SEGUNDO GRADO</t>
  </si>
  <si>
    <t>QUEMADURAS DE MULTIPLES REGIONES, CON MENCION AL MENOS DE UNA QUEMADURA DE TERCER GRADO</t>
  </si>
  <si>
    <t>CORROSIONES MULTIPLES, CON MENCION AL MENOS DE UNA QUEMADURA DE TERCER GRADO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</si>
  <si>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</si>
  <si>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</si>
  <si>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</si>
  <si>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</si>
  <si>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</si>
  <si>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</si>
  <si>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</si>
  <si>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</si>
  <si>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</si>
  <si>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QUEMADURAS QUE AFECTAN DEL 90% O MAS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</si>
  <si>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</si>
  <si>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</si>
  <si>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</si>
  <si>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</si>
  <si>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</si>
  <si>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</si>
  <si>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</si>
  <si>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</si>
  <si>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CORROSIONES QUE AFECTAN DEL 90% O MAS DE LA SUPERFICIE DEL CUERPO</t>
  </si>
  <si>
    <t>CONGELAMIENTO SUPERFICIAL DE LA PARED ABDOMINAL, REGION LUMBOSACRA Y PELVIS</t>
  </si>
  <si>
    <t>CONGELAMIENTO CON NECROSIS TISULAR DE LA PARED ABDOMINAL, REGION LUMBOSACRA Y PELVIS</t>
  </si>
  <si>
    <t>CONGELAMIENTO CON NECROSIS TISULAR DE OTROS SITIOS Y DE LOS NO ESPECIFICADOS</t>
  </si>
  <si>
    <t>CONGELAMIENTO CON NECROSIS TISULAR QUE AFECTA MULTIPLES REGIONES DEL CUERPO</t>
  </si>
  <si>
    <t>CONGELAMIENTO NO ESPECIFICADO DEL TORAX, DEL ABDOMEN, DE LA REGION LUMBOSACRA Y DE LA PELVIS</t>
  </si>
  <si>
    <t>ENVENENAMIENTO POR ANTIBIOTICOS SISTEMICOS: PENICILINAS</t>
  </si>
  <si>
    <t>ENVENENAMIENTO POR ANTIBIOTICOS SISTEMICOS: CEFALOSPORINAS Y OTROS ANTIBIOTICOS BETA-LACTAMICOS</t>
  </si>
  <si>
    <t>ENVENENAMIENTO POR ANTIBIOTICOS SISTEMICOS: GRUPO DEL CLORAMFENICOL</t>
  </si>
  <si>
    <t>ENVENENAMIENTO POR ANTIBIOTICOS SISTEMICOS: MACROLIDOS</t>
  </si>
  <si>
    <t>ENVENENAMIENTO POR ANTIBIOTICOS SISTEMICOS: TETRACICLINAS</t>
  </si>
  <si>
    <t>ENVENENAMIENTO POR ANTIBIOTICOS SISTEMICOS: AMINOGLUCOSIDOS</t>
  </si>
  <si>
    <t>ENVENENAMIENTO POR ANTIBIOTICOS SISTEMICOS: RIFAMICINAS</t>
  </si>
  <si>
    <t>ENVENENAMIENTO POR ANTIBIOTICOS SISTEMICOS: ANTIBIOTICOS ANTIMICOTICOS USADOS SISTEMICAMENTE</t>
  </si>
  <si>
    <t>ENVENENAMIENTO POR ANTIBIOTICOS SISTEMICOS: OTROS ANTIBIOTICOS SISTEMICOS</t>
  </si>
  <si>
    <t>ENVENENAMIENTO POR ANTIBIOTICOS SISTEMICOS: ANTIBIOTICOS SISTEMICOS, NO ESPECIFICADOS</t>
  </si>
  <si>
    <t>ENVENENAMIENTO POR OTROS ANTIINFECCIOSOS Y ANTIPARASITARIOS SISTEMICOS: SULFONAMIDAS</t>
  </si>
  <si>
    <t>ENVENENAMIENTO POR OTROS ANTIINFECCIOSOS Y ANTIPARASITARIOS SISTEMICOS: DROGAS ANTIMICOBACTERIANAS</t>
  </si>
  <si>
    <t>ENVENENAMIENTO POR OTROS ANTIINFECCIOSOS Y ANTIPARASITARIOS SISTEMICOS: ANTIPALUDICOS Y DROGAS DE ACCION CONTRA OTROS PROTOZOARIOS SANGUINEOS</t>
  </si>
  <si>
    <t>ENVENENAMIENTO POR OTROS ANTIINFECCIOSOS Y ANTIPARASITARIOS SISTEMICOS: OTRAS DROGAS ANTIPROTOZOARIAS</t>
  </si>
  <si>
    <t>ENVENENAMIENTO POR OTROS ANTIINFECCIOSOS Y ANTIPARASITARIOS SISTEMICOS: ANTIHELMINTICOS</t>
  </si>
  <si>
    <t>ENVENENAMIENTO POR OTROS ANTIINFECCIOSOS Y ANTIPARASITARIOS SISTEMICOS: DROGAS ANTIVIRALES</t>
  </si>
  <si>
    <t>ENVENENAMIENTO POR OTROS ANTIINFECCIOSOS Y ANTIPARASITARIOS SISTEMICOS: OTROS ANTIINFECCIOSOS Y ANTIPARASITARIOS SISTEMICOS ESPECIFICADOS</t>
  </si>
  <si>
    <t>ENVENENAMIENTO POR OTROS ANTIINFECCIOSOS Y ANTIPARASITARIOS SISTEMICOS: OTROS ANTIINFECCIOSOS Y ANTIPARASITARIOS SISTEMICOS, NO ESPECIFICADOS</t>
  </si>
  <si>
    <t>ENVENENAMIENTO POR HORMONAS Y SUS SUSTITUTOS Y ANTAGONISTAS SINTETICOS, NO CLASIFICADOS EN OTRA PARTE: GLUCOCORTICOIDES Y ANALOGOS SINTETICOS</t>
  </si>
  <si>
    <t>ENVENENAMIENTO POR HORMONAS Y SUS SUSTITUTOS Y ANTAGONISTAS SINTETICOS, NO CLASIFICADOS EN OTRA PARTE: HORMONAS TIROIDEAS Y SUSTITUTOS</t>
  </si>
  <si>
    <t>ENVENENAMIENTO POR HORMONAS Y SUS SUSTITUTOS Y ANTAGONISTAS SINTETICOS, NO CLASIFICADOS EN OTRA PARTE: DROGAS ANTITIROIDEAS</t>
  </si>
  <si>
    <t>ENVENENAMIENTO POR HORMONAS Y SUS SUSTITUTOS Y ANTAGONISTAS SINTETICOS, NO CLASIFICADOS EN OTRA PARTE: INSULINA Y DROGAS HIPOGLUCEMIANTES ORALES [ANTIDIABETICAS]</t>
  </si>
  <si>
    <t>ENVENENAMIENTO POR HORMONAS Y SUS SUSTITUTOS Y ANTAGONISTAS SINTETICOS, NO CLASIFICADOS EN OTRA PARTE: ANTICONCEPTIVOS ORALES</t>
  </si>
  <si>
    <t>ENVENENAMIENTO POR HORMONAS Y SUS SUSTITUTOS Y ANTAGONISTAS SINTETICOS, NO CLASIFICADOS EN OTRA PARTE: OTROS ESTROGENOS Y PROGESTOGENOS</t>
  </si>
  <si>
    <t>ENVENENAMIENTO POR HORMONAS Y SUS SUSTITUTOS Y ANTAGONISTAS SINTETICOS, NO CLASIFICADOS EN OTRA PARTE: ANTIGONADOTROFINAS, ANTIESTROGENOS Y ANTIANDROGENOS, NO CLASIFICADOS EN OTRA PARTE</t>
  </si>
  <si>
    <t>ENVENENAMIENTO POR HORMONAS Y SUS SUSTITUTOS Y ANTAGONISTAS SINTETICOS, NO CLASIFICADOS EN OTRA PARTE: ANDROGENOS Y SUS CONGENERES ANABOLICOS</t>
  </si>
  <si>
    <t>ENVENENAMIENTO POR HORMONAS Y SUS SUSTITUTOS Y ANTAGONISTAS SINTETICOS, NO CLASIFICADOS EN OTRA PARTE: OTRAS HORMONAS Y SUSTITUTOS SINTETICOS Y LOS NO ESPECIFICADOS</t>
  </si>
  <si>
    <t>ENVENENAMIENTO POR HORMONAS Y SUS SUSTITUTOS Y ANTAGONISTAS SINTETICOS, NO CLASIFICADOS EN OTRA PARTE: OTROS ANTAGONISTAS DE LAS HORMONAS Y LOS NO ESPECIFICADOS</t>
  </si>
  <si>
    <t>ENVENENAMIENTO POR ANALGESICOS NO NARCOTICOS, ANTIPIRETICOS Y ANTIRREUMATICOS: SALICILATOS</t>
  </si>
  <si>
    <t>ENVENENAMIENTO POR ANALGESICOS NO NARCOTICOS, ANTIPIRETICOS Y ANTIRREUMATICOS: DERIVADOS DEL PARAAMINOFENOL</t>
  </si>
  <si>
    <t>ENVENENAMIENTO POR ANALGESICOS NO NARCOTICOS, ANTIPIRETICOS Y ANTIRREUMATICOS: DERIVADOS DE LA PIRAZOLONA</t>
  </si>
  <si>
    <t>ENVENENAMIENTO POR ANALGESICOS NO NARCOTICOS, ANTIPIRETICOS Y ANTIRREUMATICOS: OTRAS DROGAS ANTIINFLAMATORIAS NO ESTEROIDEAS [DAINE]</t>
  </si>
  <si>
    <t>ENVENENAMIENTO POR ANALGESICOS NO NARCOTICOS, ANTIPIRETICOS Y ANTIRREUMATICOS: ANTIRREUMATICOS, NO CLASIFICADOS EN OTRA PARTE</t>
  </si>
  <si>
    <t>ENVENENAMIENTO POR ANALGESICOS NO NARCOTICOS, ANTIPIRETICOS Y ANTIRREUMATICOS: OTROS ANALGESICOS NO NARCOTICOS Y ANTIPIRETICOS, NO CLASIFICADOS EN OTRA PARTE</t>
  </si>
  <si>
    <t>ENVENENAMIENTO POR ANALGESICOS NO NARCOTICOS, ANTIPIRETICOS Y ANTIRREUMATICOS: ANALGESICOS NO NARCOTICOS, ANTIPIRETICOS Y ANTIRREUMATICOS, NO ESPECIFICADOS</t>
  </si>
  <si>
    <t>ENVENENAMIENTO POR NARCOTICOS Y PSICODISLEPTICOS [ALUCINOGENOS]: OPIO</t>
  </si>
  <si>
    <t>ENVENENAMIENTO POR NARCOTICOS Y PSICODISLEPTICOS [ALUCINOGENOS]: HEROINA</t>
  </si>
  <si>
    <t>ENVENENAMIENTO POR NARCOTICOS Y PSICODISLEPTICOS [ALUCINOGENOS]: OTROS OPIACEOS</t>
  </si>
  <si>
    <t>ENVENENAMIENTO POR NARCOTICOS Y PSICODISLEPTICOS [ALUCINOGENOS]: METADONA</t>
  </si>
  <si>
    <t>ENVENENAMIENTO POR NARCOTICOS Y PSICODISLEPTICOS [ALUCINOGENOS]: OTROS NARCOTICOS SINTETICOS</t>
  </si>
  <si>
    <t>ENVENENAMIENTO POR NARCOTICOS Y PSICODISLEPTICOS [ALUCINOGENOS]: COCAINA</t>
  </si>
  <si>
    <t>ENVENENAMIENTO POR NARCOTICOS Y PSICODISLEPTICOS [ALUCINOGENOS]: OTROS NARCOTICOS Y LOS NO ESPECIFICADOS</t>
  </si>
  <si>
    <t>ENVENENAMIENTO POR NARCOTICOS Y PSICODISLEPTICOS [ALUCINOGENOS]: CANNABIS (DERIVADOS)</t>
  </si>
  <si>
    <t>ENVENENAMIENTO POR NARCOTICOS Y PSICODISLEPTICOS [ALUCINOGENOS]: ACIDO LISERGICO [LSD]</t>
  </si>
  <si>
    <t>ENVENENAMIENTO POR NARCOTICOS Y PSICODISLEPTICOS [ALUCINOGENOS]: OTROS PSICODISLEPTICOS Y LOS NO ESPECIFICADOS [ALUCINOGENOS]</t>
  </si>
  <si>
    <t>ENVENENAMIENTO POR ANESTESICOS Y GASES TERAPEUTICOS: ANESTESICOS POR INHALACION</t>
  </si>
  <si>
    <t>ENVENENAMIENTO POR ANESTESICOS Y GASES TERAPEUTICOS: ANESTESICOS INTRAVENOSOS</t>
  </si>
  <si>
    <t>ENVENENAMIENTO POR ANESTESICOS Y GASES TERAPEUTICOS: OTROS ANESTESICOS GENERALES Y LOS NO ESPECIFICADOS</t>
  </si>
  <si>
    <t>ENVENENAMIENTO POR ANESTESICOS Y GASES TERAPEUTICOS: ANESTESICOS LOCALES</t>
  </si>
  <si>
    <t>ENVENENAMIENTO POR ANESTESICOS Y GASES TERAPEUTICOS: ANESTESICOS, NO ESPECIFICADOS</t>
  </si>
  <si>
    <t>ENVENENAMIENTO POR ANESTESICOS Y GASES TERAPEUTICOS: GASES TERAPEUTICOS</t>
  </si>
  <si>
    <t>ENVENENAMIENTO POR ANTIEPILEPTICOS, HIPNOTICOS-SEDANTES Y DROGAS ANTIPARKINSONIANAS: DERIVADOS DE LA HIDANTOINA</t>
  </si>
  <si>
    <t>ENVENENAMIENTO POR ANTIEPILEPTICOS, HIPNOTICOS-SEDANTES Y DROGAS ANTIPARKINSONIANAS: IMINOSTILBENOS</t>
  </si>
  <si>
    <t>ENVENENAMIENTO POR ANTIEPILEPTICOS, HIPNOTICOS-SEDANTES Y DROGAS ANTIPARKINSONIANAS: SUCCINAMIDAS Y DERIVADOS DE LA OXAZOLIDINA</t>
  </si>
  <si>
    <t>ENVENENAMIENTO POR ANTIEPILEPTICOS, HIPNOTICOS-SEDANTES Y DROGAS ANTIPARKINSONIANAS: BARBITURICOS</t>
  </si>
  <si>
    <t>ENVENENAMIENTO POR ANTIEPILEPTICOS, HIPNOTICOS-SEDANTES Y DROGAS ANTIPARKINSONIANAS: BENZODIAZEPINAS</t>
  </si>
  <si>
    <t>ENVENENAMIENTO POR ANTIEPILEPTICOS, HIPNOTICOS-SEDANTES Y DROGAS ANTIPARKINSONIANAS: ANTIEPILEPTICOS MIXTOS, NO CLASIFICADOS EN OTRA PARTE</t>
  </si>
  <si>
    <t>ENVENENAMIENTO POR ANTIEPILEPTICOS, HIPNOTICOS-SEDANTES Y DROGAS ANTIPARKINSONIANAS: OTROS ANTIEPILEPTICOS Y DROGAS HIPNOTICO-SEDANTES</t>
  </si>
  <si>
    <t>ENVENENAMIENTO POR ANTIEPILEPTICOS, HIPNOTICOS-SEDANTES Y DROGAS ANTIPARKINSONIANAS: ANTIEPILEPTICOS Y DROGAS HIPNOTICO - SEDANTES, NO ESPECIFICADOS</t>
  </si>
  <si>
    <t>ENVENENAMIENTO POR ANTIEPILEPTICOS, HIPNOTICOS-SEDANTES Y DROGAS ANTIPARKINSONIANAS: DROGAS ANTIPARKINSONIANAS Y OTROS DEPRESORES DEL TONO MUSCULAR CENTRAL</t>
  </si>
  <si>
    <t>ENVENENAMIENTO POR PSICOTROPICOS, NO CLASIFICADOS EN OTRA PARTE: ANTIDEPRESIVOS TRICICLICOS Y TETRACICLICOS</t>
  </si>
  <si>
    <t>ENVENENAMIENTO POR PSICOTROPICOS, NO CLASIFICADOS EN OTRA PARTE: ANTIDEPRESIVOS INHIBIDORES DE LA MONOAMINOXIDASA</t>
  </si>
  <si>
    <t>ENVENENAMIENTO POR PSICOTROPICOS, NO CLASIFICADOS EN OTRA PARTE: OTROS ANTIDEPRESIVOS Y LOS NO ESPECIFICADOS</t>
  </si>
  <si>
    <t>ENVENENAMIENTO POR PSICOTROPICOS, NO CLASIFICADOS EN OTRA PARTE: ANTIPSICOTICOS Y NEUROLEPTICOS FENOTIACINICOS</t>
  </si>
  <si>
    <t>ENVENENAMIENTO POR PSICOTROPICOS, NO CLASIFICADOS EN OTRA PARTE: BUTIROFENONA Y NEUROLEPTICOS TIOXANTENICOS</t>
  </si>
  <si>
    <t>ENVENENAMIENTO POR PSICOTROPICOS, NO CLASIFICADOS EN OTRA PARTE: OTROS ANTIPSICOTICOS Y NEUROLEPTICOS Y LOS NO ESPECIFICADOS</t>
  </si>
  <si>
    <t>ENVENENAMIENTO POR PSICOTROPICOS, NO CLASIFICADOS EN OTRA PARTE: PSICOESTIMULANTES CON ABUSO POTENCIAL</t>
  </si>
  <si>
    <t>ENVENENAMIENTO POR PSICOTROPICOS, NO CLASIFICADOS EN OTRA PARTE: OTRAS DROGAS PSICOTROPICAS, NO CLASIFICADAS EN OTRA PARTE</t>
  </si>
  <si>
    <t>ENVENENAMIENTO POR PSICOTROPICOS, NO CLASIFICADOS EN OTRA PARTE: DROGA PSICOTROPICA NO ESPECIFICADA</t>
  </si>
  <si>
    <t>ENVENENAMIENTO POR DROGAS QUE AFECTAN PRINCIPALMENTE EL SISTEMA NERVIOSO AUTONOMO: AGENTES ANTICOLINESTERASA</t>
  </si>
  <si>
    <t>ENVENENAMIENTO POR DROGAS QUE AFECTAN PRINCIPALMENTE EL SISTEMA NERVIOSO AUTONOMO: OTROS PARASIMPATICOMIMETICOS [COLINERGICOS]</t>
  </si>
  <si>
    <t>ENVENENAMIENTO POR DROGAS QUE AFECTAN PRINCIPALMENTE EL SISTEMA NERVIOSO AUTONOMO: DROGAS BLOQUEADORAS GANGLIONARES, NO CLASIFICADAS EN OTRA PARTE</t>
  </si>
  <si>
    <t>ENVENENAMIENTO POR DROGAS QUE AFECTAN PRINCIPALMENTE EL SISTEMA NERVIOSO AUTONOMO: OTROS PARASIMPATICOLITICOS [ANTICOLINERGICOS Y ANTIMUSCARINICOS] Y ESPASMOLITICOS, NO CLASIFICADOS EN OTRA PARTE</t>
  </si>
  <si>
    <t>ENVENENAMIENTO POR DROGAS QUE AFECTAN PRINCIPALMENTE EL SISTEMA NERVIOSO AUTONOMO: AGONISTAS, PREDOMINANTEMENTE ALFA-ADRENERGICOS, NO CLASIFICADOS EN OTRA PARTE</t>
  </si>
  <si>
    <t>ENVENENAMIENTO POR DROGAS QUE AFECTAN PRINCIPALMENTE EL SISTEMA NERVIOSO AUTONOMO: AGONISTAS, PREDOMINANTEMENTE BETA-ADRENERGICOS, NO CLASIFICADOS EN OTRA PARTE</t>
  </si>
  <si>
    <t>ENVENENAMIENTO POR DROGAS QUE AFECTAN PRINCIPALMENTE EL SISTEMA NERVIOSO AUTONOMO: ANTAGONISTAS, ALFA-ADRENERGICOS, NO CLASIFICADOS EN OTRA PARTE</t>
  </si>
  <si>
    <t>ENVENENAMIENTO POR DROGAS QUE AFECTAN PRINCIPALMENTE EL SISTEMA NERVIOSO AUTONOMO: ANTAGONISTAS, BETA-ADRENERGICOS, NO CLASIFICADOS EN OTRA PARTE</t>
  </si>
  <si>
    <t>ENVENENAMIENTO POR DROGAS QUE AFECTAN PRINCIPALMENTE EL SISTEMA NERVIOSO AUTONOMO: AGENTES DE ACCION CENTRAL Y BLOQUEADORES NEURONALES ADRENERGICOS, NO CLASIFICADOS EN OTRA PARTE</t>
  </si>
  <si>
    <t>ENVENENAMIENTO POR DROGAS QUE AFECTAN PRINCIPALMENTE EL SISTEMA NERVIOSO AUTONOMO: OTRAS DROGAS Y LAS NO ESPECIFICADAS QUE AFECTAN PRINCIPALMENTE EL SISTEMA NERVIOSO AUTONOMO</t>
  </si>
  <si>
    <t>ENVENENAMIENTO POR AGENTES PRINCIPALMENTE SISTEMICOS Y HEMATOLOGICOS, NO CLASIFICADOS EN OTRA PARTE: DROGAS ANTIALERGICAS Y ANTIEMETICAS</t>
  </si>
  <si>
    <t>ENVENENAMIENTO POR AGENTES PRINCIPALMENTE SISTEMICOS Y HEMATOLOGICOS, NO CLASIFICADOS EN OTRA PARTE: DROGAS ANTINEOPLASICAS E INMUNOSUPRESORAS</t>
  </si>
  <si>
    <t>ENVENENAMIENTO POR AGENTES PRINCIPALMENTE SISTEMICOS Y HEMATOLOGICOS, NO CLASIFICADOS EN OTRA PARTE: VITAMINAS, NO CLASIFICADAS EN OTRA PARTE</t>
  </si>
  <si>
    <t>ENVENENAMIENTO POR AGENTES PRINCIPALMENTE SISTEMICOS Y HEMATOLOGICOS, NO CLASIFICADOS EN OTRA PARTE: ENZIMAS, NO CLASIFICADAS EN OTRA PARTE</t>
  </si>
  <si>
    <t>ENVENENAMIENTO POR AGENTES PRINCIPALMENTE SISTEMICOS Y HEMATOLOGICOS, NO CLASIFICADOS EN OTRA PARTE: HIERRO Y SUS COMPUESTOS</t>
  </si>
  <si>
    <t>ENVENENAMIENTO POR AGENTES PRINCIPALMENTE SISTEMICOS Y HEMATOLOGICOS, NO CLASIFICADOS EN OTRA PARTE: ANTICOAGULANTES</t>
  </si>
  <si>
    <t>ENVENENAMIENTO POR AGENTES PRINCIPALMENTE SISTEMICOS Y HEMATOLOGICOS, NO CLASIFICADOS EN OTRA PARTE: DROGAS QUE AFECTAN LA FIBRINOLISIS</t>
  </si>
  <si>
    <t>ENVENENAMIENTO POR AGENTES PRINCIPALMENTE SISTEMICOS Y HEMATOLOGICOS, NO CLASIFICADOS EN OTRA PARTE: ANTAGONISTAS DE ANTICOAGULANTES, VITAMINA K Y OTROS COAGULANTES</t>
  </si>
  <si>
    <t>ENVENENAMIENTO POR AGENTES PRINCIPALMENTE SISTEMICOS Y HEMATOLOGICOS, NO CLASIFICADOS EN OTRA PARTE: OTROS AGENTES PRINCIPALMENTE SISTEMICOS Y HEMATOLOGICOS</t>
  </si>
  <si>
    <t>ENVENENAMIENTO POR AGENTES PRINCIPALMENTE SISTEMICOS Y HEMATOLOGICOS, NO CLASIFICADOS EN OTRA PARTE: AGENTES PRINCIPALMENTE SISTEMICOS Y HEMATOLOGICOS, NO ESPECIFICADOS</t>
  </si>
  <si>
    <t>ENVENENAMIENTO POR AGENTES QUE AFECTAN PRINCIPALMENTE EL SISTEMA CARDIOVASCULAR: GLUCOSIDOS CARDIOTONICOS Y MEDICAMENTOS DE ACCION SIMILAR</t>
  </si>
  <si>
    <t>ENVENENAMIENTO POR AGENTES QUE AFECTAN PRINCIPALMENTE EL SISTEMA CARDIOVASCULAR: BLOQUEADORES DEL CANAL DEL CALCIO</t>
  </si>
  <si>
    <t>ENVENENAMIENTO POR AGENTES QUE AFECTAN PRINCIPALMENTE EL SISTEMA CARDIOVASCULAR: OTRAS DROGAS ANTIARRITMICAS, NO CLASIFICADAS EN OTRA PARTE</t>
  </si>
  <si>
    <t>ENVENENAMIENTO POR AGENTES QUE AFECTAN PRINCIPALMENTE EL SISTEMA CARDIOVASCULAR: VASODILATADORES CORONARIOS, NO CLASIFICADOS EN OTRA PARTE</t>
  </si>
  <si>
    <t>ENVENENAMIENTO POR AGENTES QUE AFECTAN PRINCIPALMENTE EL SISTEMA CARDIOVASCULAR: INHIBIDORES DE LA ENZIMA CONVERTIDORA DE LA ANGIOTENSINA</t>
  </si>
  <si>
    <t>ENVENENAMIENTO POR AGENTES QUE AFECTAN PRINCIPALMENTE EL SISTEMA CARDIOVASCULAR: OTRAS DROGAS ANTIHIPERTENSIVAS, NO CLASIFICADAS EN OTRA PARTE</t>
  </si>
  <si>
    <t>ENVENENAMIENTO POR AGENTES QUE AFECTAN PRINCIPALMENTE EL SISTEMA CARDIOVASCULAR: DROGAS ANTILIPEMICAS Y ANTIARTERIOSCLEROTICAS</t>
  </si>
  <si>
    <t>ENVENENAMIENTO POR AGENTES QUE AFECTAN PRINCIPALMENTE EL SISTEMA CARDIOVASCULAR: VASODILATADORES PERIFERICOS</t>
  </si>
  <si>
    <t>ENVENENAMIENTO POR AGENTES QUE AFECTAN PRINCIPALMENTE EL SISTEMA CARDIOVASCULAR: DROGAS ANTIVARICOSAS, INCLUSIVE AGENTES ESCLEROSANTES</t>
  </si>
  <si>
    <t>ENVENENAMIENTO POR AGENTES QUE AFECTAN PRINCIPALMENTE EL SISTEMA CARDIOVASCULAR: OTROS AGENTES Y LOS NO ESPECIFICADOS QUE AFECTAN PRINCIPALMENTE EL SISTEMA CARDIOVASCULAR</t>
  </si>
  <si>
    <t>ENVENENAMIENTO POR AGENTES QUE AFECTAN PRINCIPALMENTE EL SISTEMA GASTROINTESTINAL: ANTAGONISTAS DEL RECEPTOR H2 DE HISTAMINA</t>
  </si>
  <si>
    <t>ENVENENAMIENTO POR AGENTES QUE AFECTAN PRINCIPALMENTE EL SISTEMA GASTROINTESTINAL: OTRAS DROGAS ANTIACIDAS Y QUE INHIBEN LA SECRECION GASTRICA</t>
  </si>
  <si>
    <t>ENVENENAMIENTO POR AGENTES QUE AFECTAN PRINCIPALMENTE EL SISTEMA GASTROINTESTINAL: LAXANTES ESTIMULANTES</t>
  </si>
  <si>
    <t>ENVENENAMIENTO POR AGENTES QUE AFECTAN PRINCIPALMENTE EL SISTEMA GASTROINTESTINAL: LAXANTES SALINOS Y OSMOTICOS</t>
  </si>
  <si>
    <t>ENVENENAMIENTO POR AGENTES QUE AFECTAN PRINCIPALMENTE EL SISTEMA GASTROINTESTINAL: OTROS LAXANTES</t>
  </si>
  <si>
    <t>ENVENENAMIENTO POR AGENTES QUE AFECTAN PRINCIPALMENTE EL SISTEMA GASTROINTESTINAL: DIGESTIVOS</t>
  </si>
  <si>
    <t>ENVENENAMIENTO POR AGENTES QUE AFECTAN PRINCIPALMENTE EL SISTEMA GASTROINTESTINAL: DROGAS ANTIDIARREICAS</t>
  </si>
  <si>
    <t>ENVENENAMIENTO POR AGENTES QUE AFECTAN PRINCIPALMENTE EL SISTEMA GASTROINTESTINAL: EMETICOS</t>
  </si>
  <si>
    <t>ENVENENAMIENTO POR AGENTES QUE AFECTAN PRINCIPALMENTE EL SISTEMA GASTROINTESTINAL: OTROS AGENTES QUE AFECTAN PRINCIPALMENTE EL SISTEMA GASTROINTESTINAL</t>
  </si>
  <si>
    <t>ENVENENAMIENTO POR AGENTES QUE AFECTAN PRINCIPALMENTE EL SISTEMA GASTROINTESTINAL: AGENTES NO ESPECIFICADOS QUE AFECTAN PRINCIPALMENTE EL SISTEMA GASTROINTESTINAL</t>
  </si>
  <si>
    <t>ENVENENAMIENTO POR AGENTES CON ACCION PRINCIPAL SOBRE LOS MUSCULOS LISOS Y ESQUELETICOS Y SOBRE EL SISTEMA RESPIRATORIO: DROGAS OXITOCICAS</t>
  </si>
  <si>
    <t>ENVENENAMIENTO POR AGENTES CON ACCION PRINCIPAL SOBRE LOS MUSCULOS LISOS Y ESQUELETICOS Y SOBRE EL SISTEMA RESPIRATORIO: RELAJANTES MUSCULOESQUELETICOS [AGENTES BLOQUEADORES NEUROMUSCULARES]</t>
  </si>
  <si>
    <t>ENVENENAMIENTO POR AGENTES CON ACCION PRINCIPAL SOBRE LOS MUSCULOS LISOS Y ESQUELETICOS Y SOBRE EL SISTEMA RESPIRATORIO: OTROS MEDICAMENTOS Y LOS NO ESPECIFICADOS DE ACCION PRINCIPAL SOBRE LOS MUSCULOS</t>
  </si>
  <si>
    <t>ENVENENAMIENTO POR AGENTES CON ACCION PRINCIPAL SOBRE LOS MUSCULOS LISOS Y ESQUELETICOS Y SOBRE EL SISTEMA RESPIRATORIO: ANTITUSIGENOS</t>
  </si>
  <si>
    <t>ENVENENAMIENTO POR AGENTES CON ACCION PRINCIPAL SOBRE LOS MUSCULOS LISOS Y ESQUELETICOS Y SOBRE EL SISTEMA RESPIRATORIO: EXPECTORANTES</t>
  </si>
  <si>
    <t>ENVENENAMIENTO POR AGENTES CON ACCION PRINCIPAL SOBRE LOS MUSCULOS LISOS Y ESQUELETICOS Y SOBRE EL SISTEMA RESPIRATORIO: DROGAS CONTRA EL CATARRO COMUN</t>
  </si>
  <si>
    <t>ENVENENAMIENTO POR AGENTES CON ACCION PRINCIPAL SOBRE LOS MUSCULOS LISOS Y ESQUELETICOS Y SOBRE EL SISTEMA RESPIRATORIO: ANTIASMATICOS, NO CLASIFICADOS EN OTRA PARTE</t>
  </si>
  <si>
    <t>ENVENENAMIENTO POR AGENTES CON ACCION PRINCIPAL SOBRE LOS MUSCULOS LISOS Y ESQUELETICOS Y SOBRE EL SISTEMA RESPIRATORIO: OTROS AGENTES Y LOS NO ESPECIFICADOS DE ACCION PRINCIPAL SOBRE EL SISTEMA RESPIRATORIO</t>
  </si>
  <si>
    <t>ENVENENAMIENTO POR AGENTES TOPICOS QUE AFECTAN PRINCIPALMENTE LA PIEL Y LAS MEMBRANAS MUCOSAS Y POR DROGAS OFTALMOLOGICAS, OTORRINOLARINGOLOGICAS Y DENTALES: DROGAS LOCALES ANTIMICOTICAS, ANTIINFECCIOSAS Y ANTIINFLAMATORIAS, NO CLASIFICADAS EN OTRA PARTE</t>
  </si>
  <si>
    <t>ENVENENAMIENTO POR AGENTES TOPICOS QUE AFECTAN PRINCIPALMENTE LA PIEL Y LAS MEMBRANAS MUCOSAS Y POR DROGAS OFTALMOLOGICAS, OTORRINOLARINGOLOGICAS Y DENTALES: ANTIPRURITICOS</t>
  </si>
  <si>
    <t>ENVENENAMIENTO POR AGENTES TOPICOS QUE AFECTAN PRINCIPALMENTE LA PIEL Y LAS MEMBRANAS MUCOSAS Y POR DROGAS OFTALMOLOGICAS, OTORRINOLARINGOLOGICAS Y DENTALES: ASTRINGENTES Y DETERGENTES LOCALES</t>
  </si>
  <si>
    <t>ENVENENAMIENTO POR AGENTES TOPICOS QUE AFECTAN PRINCIPALMENTE LA PIEL Y LAS MEMBRANAS MUCOSAS Y POR DROGAS OFTALMOLOGICAS, OTORRINOLARINGOLOGICAS Y DENTALES: EMOLIENTES, DEMULCENTES Y PROTECTORES</t>
  </si>
  <si>
    <t>ENVENENAMIENTO POR AGENTES TOPICOS QUE AFECTAN PRINCIPALMENTE LA PIEL Y LAS MEMBRANAS MUCOSAS Y POR DROGAS OFTALMOLOGICAS, OTORRINOLARINGOLOGICAS Y DENTALES: QUERATOLITICOS, QUERATOPLASTICOS, DROGAS Y OTRAS PREPARACIONES PARA EL TRATAMIENTO DEL CABELLO</t>
  </si>
  <si>
    <t>ENVENENAMIENTO POR AGENTES TOPICOS QUE AFECTAN PRINCIPALMENTE LA PIEL Y LAS MEMBRANAS MUCOSAS Y POR DROGAS OFTALMOLOGICAS, OTORRINOLARINGOLOGICAS Y DENTALES: DROGAS Y PREPARACIONES OFTALMOLOGICAS</t>
  </si>
  <si>
    <t>ENVENENAMIENTO POR AGENTES TOPICOS QUE AFECTAN PRINCIPALMENTE LA PIEL Y LAS MEMBRANAS MUCOSAS Y POR DROGAS OFTALMOLOGICAS, OTORRINOLARINGOLOGICAS Y DENTALES: DROGAS Y PREPARACIONES OTORRINOLARINGOLOGICAS</t>
  </si>
  <si>
    <t>ENVENENAMIENTO POR AGENTES TOPICOS QUE AFECTAN PRINCIPALMENTE LA PIEL Y LAS MEMBRANAS MUCOSAS Y POR DROGAS OFTALMOLOGICAS, OTORRINOLARINGOLOGICAS Y DENTALES: DROGAS DENTALES, APLICADAS TOPICAMENTE</t>
  </si>
  <si>
    <t>ENVENENAMIENTO POR AGENTES TOPICOS QUE AFECTAN PRINCIPALMENTE LA PIEL Y LAS MEMBRANAS MUCOSAS Y POR DROGAS OFTALMOLOGICAS, OTORRINOLARINGOLOGICAS Y DENTALES: OTROS AGENTES TOPICOS</t>
  </si>
  <si>
    <t>ENVENENAMIENTO POR AGENTES TOPICOS QUE AFECTAN PRINCIPALMENTE LA PIEL Y LAS MEMBRANAS MUCOSAS Y POR DROGAS OFTALMOLOGICAS, OTORRINOLARINGOLOGICAS Y DENTALES: AGENTES TOPICOS, NO ESPECIFICADOS</t>
  </si>
  <si>
    <t>ENVENENAMIENTO POR DIURETICOS Y OTRAS DROGAS, MEDICAMENTOS Y SUSTANCIAS BIOLOGICAS NO ESPECIFICADAS: MINERALOCORTICOIDES Y SUS ANTAGONISTAS</t>
  </si>
  <si>
    <t>ENVENENAMIENTO POR DIURETICOS Y OTRAS DROGAS, MEDICAMENTOS Y SUSTANCIAS BIOLOGICAS NO ESPECIFICADAS: DIURETICOS DEL ASA [DINTEL ALTO]</t>
  </si>
  <si>
    <t>ENVENENAMIENTO POR DIURETICOS Y OTRAS DROGAS, MEDICAMENTOS Y SUSTANCIAS BIOLOGICAS NO ESPECIFICADAS: INHIBIDORES DE LA ANHIDRASA DEL ACIDO CARBONICO, BENZOTIAZIDAS Y OTROS DIURETICOS</t>
  </si>
  <si>
    <t>ENVENENAMIENTO POR DIURETICOS Y OTRAS DROGAS, MEDICAMENTOS Y SUSTANCIAS BIOLOGICAS NO ESPECIFICADAS: AGENTES DEL EQUILIBRIO HIDROELECTROLITICO, ELECTROLITICO Y CALORICO</t>
  </si>
  <si>
    <t>ENVENENAMIENTO POR DIURETICOS Y OTRAS DROGAS, MEDICAMENTOS Y SUSTANCIAS BIOLOGICAS NO ESPECIFICADAS: DROGAS QUE AFECTAN EL METABOLISMO DEL ACIDO URICO</t>
  </si>
  <si>
    <t>ENVENENAMIENTO POR DIURETICOS Y OTRAS DROGAS, MEDICAMENTOS Y SUSTANCIAS BIOLOGICAS NO ESPECIFICADAS: DEPRESORES DEL APETITO</t>
  </si>
  <si>
    <t>ENVENENAMIENTO POR DIURETICOS Y OTRAS DROGAS, MEDICAMENTOS Y SUSTANCIAS BIOLOGICAS NO ESPECIFICADAS: ANTIDOTOS Y AGENTES QUELANTES, NO CLASIFICADOS EN OTRA PARTE</t>
  </si>
  <si>
    <t>ENVENENAMIENTO POR DIURETICOS Y OTRAS DROGAS, MEDICAMENTOS Y SUSTANCIAS BIOLOGICAS NO ESPECIFICADAS: ANALEPTICOS Y ANTAGONISTAS DEL OPIO</t>
  </si>
  <si>
    <t>ENVENENAMIENTO POR DIURETICOS Y OTRAS DROGAS, MEDICAMENTOS Y SUSTANCIAS BIOLOGICAS NO ESPECIFICADAS: AGENTES DIAGNOSTICOS</t>
  </si>
  <si>
    <t>ENVENENAMIENTO POR DIURETICOS Y OTRAS DROGAS, MEDICAMENTOS Y SUSTANCIAS BIOLOGICAS NO ESPECIFICADAS: OTRAS DROGAS Y SUSTANCIAS BIOLOGICAS, Y LAS NO ESPECIFICADAS</t>
  </si>
  <si>
    <t>EFECTO TOXICO DEL ALCOHOL: ETANOL</t>
  </si>
  <si>
    <t>EFECTO TOXICO DEL ALCOHOL: METANOL</t>
  </si>
  <si>
    <t>EFECTO TOXICO DEL ALCOHOL: PROPANOL-2</t>
  </si>
  <si>
    <t>EFECTO TOXICO DEL ALCOHOL: LICOR DE ALCOHOL INSUFICIENTEMENTE DESTILADO</t>
  </si>
  <si>
    <t>EFECTO TOXICO DEL ALCOHOL: OTROS ALCOHOLES</t>
  </si>
  <si>
    <t>EFECTO TOXICO DEL ALCOHOL: ALCOHOL, NO ESPECIFICADO</t>
  </si>
  <si>
    <t>EFECTO TOXICO DE DISOLVENTES ORGANICOS: PRODUCTOS DEL PETROLEO</t>
  </si>
  <si>
    <t>EFECTO TOXICO DE DISOLVENTES ORGANICOS: BENCENO</t>
  </si>
  <si>
    <t>EFECTO TOXICO DE DISOLVENTES ORGANICOS: HOMOLOGOS DEL BENCENO</t>
  </si>
  <si>
    <t>EFECTO TOXICO DE DISOLVENTES ORGANICOS: GLICOLES</t>
  </si>
  <si>
    <t>EFECTO TOXICO DE DISOLVENTES ORGANICOS: CETONAS</t>
  </si>
  <si>
    <t>EFECTO TOXICO DE DISOLVENTES ORGANICOS: OTROS DISOLVENTES ORGANICOS</t>
  </si>
  <si>
    <t>EFECTO TOXICO DE DISOLVENTES ORGANICOS: DISOLVENTES ORGANICOS, NO ESPECIFICADOS</t>
  </si>
  <si>
    <t>EFECTO TOXICO DE LOS DERIVADOS HALOGENADOS DE LOS HIDROCARBUROS ALIFATICOS Y AROMATICOS: TETRACLORURO DE CARBONO</t>
  </si>
  <si>
    <t>EFECTO TOXICO DE LOS DERIVADOS HALOGENADOS DE LOS HIDROCARBUROS ALIFATICOS Y AROMATICOS: CLOROFORMO</t>
  </si>
  <si>
    <t>EFECTO TOXICO DE LOS DERIVADOS HALOGENADOS DE LOS HIDROCARBUROS ALIFATICOS Y AROMATICOS: TRICLOROETILENO</t>
  </si>
  <si>
    <t>EFECTO TOXICO DE LOS DERIVADOS HALOGENADOS DE LOS HIDROCARBUROS ALIFATICOS Y AROMATICOS: TETRACLOROETILENO</t>
  </si>
  <si>
    <t>EFECTO TOXICO DE LOS DERIVADOS HALOGENADOS DE LOS HIDROCARBUROS ALIFATICOS Y AROMATICOS: DICLOROETANO</t>
  </si>
  <si>
    <t>EFECTO TOXICO DE LOS DERIVADOS HALOGENADOS DE LOS HIDROCARBUROS ALIFATICOS Y AROMATICOS: CLOROFLUORCARBUROS</t>
  </si>
  <si>
    <t>EFECTO TOXICO DE LOS DERIVADOS HALOGENADOS DE LOS HIDROCARBUROS ALIFATICOS Y AROMATICOS: OTROS DERIVADOS HALOGENADOS DE LOS HIDROCARBUROS ALIFATICOS</t>
  </si>
  <si>
    <t>EFECTO TOXICO DE LOS DERIVADOS HALOGENADOS DE LOS HIDROCARBUROS ALIFATICOS Y AROMATICOS: OTROS DERIVADOS HALOGENADOS DE LOS HIDROCARBUROS AROMATICOS</t>
  </si>
  <si>
    <t>EFECTO TOXICO DE LOS DERIVADOS HALOGENADOS DE LOS HIDROCARBUROS ALIFATICOS Y AROMATICOS: DERIVADOS HALOGENADOS DE HIDROCARBUROS ALIFATICOS Y AROMATICOS, NO ESPECIFICADOS</t>
  </si>
  <si>
    <t>EFECTO TOXICO DE SUSTANCIAS CORROSIVAS: FENOL Y HOMOLOGOS DEL FENOL</t>
  </si>
  <si>
    <t>EFECTO TOXICO DE SUSTANCIAS CORROSIVAS: OTROS COMPUESTOS ORGANICOS CORROSIVOS</t>
  </si>
  <si>
    <t>EFECTO TOXICO DE SUSTANCIAS CORROSIVAS: ACIDOS CORROSIVOS Y SUSTANCIAS ACIDAS SIMILARES</t>
  </si>
  <si>
    <t>EFECTO TOXICO DE SUSTANCIAS CORROSIVAS: ALCALIS CAUSTICOS Y SUSTANCIAS ALCALINAS SIMILARES</t>
  </si>
  <si>
    <t>EFECTO TOXICO DE SUSTANCIAS CORROSIVAS: EFECTO TOXICO DE SUSTANCIA CORROSIVA, NO ESPECIFICADA</t>
  </si>
  <si>
    <t>EFECTO TOXICO DE METALES: PLOMO Y SUS COMPUESTOS</t>
  </si>
  <si>
    <t>EFECTO TOXICO DE METALES: MERCURIO Y SUS COMPUESTOS</t>
  </si>
  <si>
    <t>EFECTO TOXICO DE METALES: CROMO Y SUS COMPUESTOS</t>
  </si>
  <si>
    <t>EFECTO TOXICO DE METALES: CADMIO Y SUS COMPUESTOS</t>
  </si>
  <si>
    <t>EFECTO TOXICO DE METALES: COBRE Y SUS COMPUESTOS</t>
  </si>
  <si>
    <t>EFECTO TOXICO DE METALES: ZINC Y SUS COMPUESTOS</t>
  </si>
  <si>
    <t>EFECTO TOXICO DE METALES: ESTAÑO Y SUS COMPUESTOS</t>
  </si>
  <si>
    <t>EFECTO TOXICO DE METALES: BERILIO Y SUS COMPUESTOS</t>
  </si>
  <si>
    <t>EFECTO TOXICO DE METALES: OTROS METALES</t>
  </si>
  <si>
    <t>EFECTO TOXICO DE METALES: METAL, NO ESPECIFICADO</t>
  </si>
  <si>
    <t>EFECTO TOXICO DE OTRAS SUSTANCIAS INORGANICAS: ARSENICO Y SUS COMPUESTOS</t>
  </si>
  <si>
    <t>EFECTO TOXICO DE OTRAS SUSTANCIAS INORGANICAS: FOSFORO Y SUS COMPUESTOS</t>
  </si>
  <si>
    <t>EFECTO TOXICO DE OTRAS SUSTANCIAS INORGANICAS: MANGANESO Y SUS COMPUESTOS</t>
  </si>
  <si>
    <t>EFECTO TOXICO DE OTRAS SUSTANCIAS INORGANICAS: ACIDO CIANHIDRICO</t>
  </si>
  <si>
    <t>EFECTO TOXICO DE OTRAS SUSTANCIAS INORGANICAS: OTRAS SUSTANCIAS INORGANICAS, ESPECIFICADAS</t>
  </si>
  <si>
    <t>EFECTO TOXICO DE OTRAS SUSTANCIAS INORGANICAS: SUSTANCIA INORGANICAS, NO ESPECIFICADA</t>
  </si>
  <si>
    <t>EFECTO TOXICO DE GASES, HUMOS Y VAPORES: OXIDOS DE NITROGENO</t>
  </si>
  <si>
    <t>EFECTO TOXICO DE GASES, HUMOS Y VAPORES: DIOXIDO DE SULFURO</t>
  </si>
  <si>
    <t>EFECTO TOXICO DE GASES, HUMOS Y VAPORES: FORMALDEHIDO</t>
  </si>
  <si>
    <t>EFECTO TOXICO DE GASES, HUMOS Y VAPORES: GAS LACRIMOGENO</t>
  </si>
  <si>
    <t>EFECTO TOXICO DE GASES, HUMOS Y VAPORES: CLORO GASEOSO</t>
  </si>
  <si>
    <t>EFECTO TOXICO DE GASES, HUMOS Y VAPORES: GAS DE FLUOR Y FLUORURO DE HIDROGENO</t>
  </si>
  <si>
    <t>EFECTO TOXICO DE GASES, HUMOS Y VAPORES: SULFURO DE HIDROGENO</t>
  </si>
  <si>
    <t>EFECTO TOXICO DE GASES, HUMOS Y VAPORES: DIOXIDO DE CARBONO</t>
  </si>
  <si>
    <t>EFECTO TOXICO DE GASES, HUMOS Y VAPORES: OTROS GASES, HUMOS Y VAPORES ESPECIFICADOS</t>
  </si>
  <si>
    <t>EFECTO TOXICO DE GASES, HUMOS Y VAPORES: GASES, HUMOS Y VAPORES NO ESPECIFICADOS</t>
  </si>
  <si>
    <t>EFECTO TOXICO DE PLAGUICIDAS [PESTICIDAS]: INSECTICIDAS FOSFORADOS Y CARBAMATOS</t>
  </si>
  <si>
    <t>EFECTO TOXICO DE PLAGUICIDAS [PESTICIDAS]: INSECTICIDAS HALOGENADOS</t>
  </si>
  <si>
    <t>EFECTO TOXICO DE PLAGUICIDAS [PESTICIDAS]: OTROS INSECTICIDAS</t>
  </si>
  <si>
    <t>EFECTO TOXICO DE PLAGUICIDAS [PESTICIDAS]: HERBICIDAS Y FUNGICIDAS</t>
  </si>
  <si>
    <t>EFECTO TOXICO DE PLAGUICIDAS [PESTICIDAS]: RODENTICIDAS</t>
  </si>
  <si>
    <t>EFECTO TOXICO DE PLAGUICIDAS [PESTICIDAS]: OTROS PLAGUICIDAS</t>
  </si>
  <si>
    <t>EFECTO TOXICO DE PLAGUICIDAS [PESTICIDAS]: PLAGUICIDA NO ESPECIFICADO</t>
  </si>
  <si>
    <t>EFECTO TOXICO DE SUSTANCIAS NOCIVAS INGERIDAS COMO ALIMENTOS MARINOS: ENVENENAMIENTO CIGUATERO POR PESCADO</t>
  </si>
  <si>
    <t>EFECTO TOXICO DE SUSTANCIAS NOCIVAS INGERIDAS COMO ALIMENTOS MARINOS: ENVENENAMIENTO ESCOMBROIDEO POR PESCADO</t>
  </si>
  <si>
    <t>EFECTO TOXICO DE SUSTANCIAS NOCIVAS INGERIDAS COMO ALIMENTOS MARINOS: OTROS ENVENENAMIENTOS POR PESCADO Y MARISCOS</t>
  </si>
  <si>
    <t>EFECTO TOXICO DE SUSTANCIAS NOCIVAS INGERIDAS COMO ALIMENTOS MARINOS: EFECTO TOXICO DE OTROS ALIMENTOS MARINOS</t>
  </si>
  <si>
    <t>EFECTO TOXICO DE SUSTANCIAS NOCIVAS INGERIDAS COMO ALIMENTOS MARINOS: EFECTO TOXICO DE ALIMENTOS MARINOS NO ESPECIFICADOS</t>
  </si>
  <si>
    <t>EFECTO TOXICO DE OTRAS SUSTANCIAS NOCIVAS INGERIDAS COMO ALIMENTO: HONGOS INGERIDOS</t>
  </si>
  <si>
    <t>EFECTO TOXICO DE OTRAS SUSTANCIAS NOCIVAS INGERIDAS COMO ALIMENTO: BAYAS INGERIDAS</t>
  </si>
  <si>
    <t>EFECTO TOXICO DE OTRAS SUSTANCIAS NOCIVAS INGERIDAS COMO ALIMENTO: OTRA(S) (PARTES DE) PLANTA(S) INGERIDA(S)</t>
  </si>
  <si>
    <t>EFECTO TOXICO DE OTRAS SUSTANCIAS NOCIVAS INGERIDAS COMO ALIMENTO: OTRAS SUSTANCIAS NOCIVAS INGERIDAS COMO ALIMENTO</t>
  </si>
  <si>
    <t>EFECTO TOXICO DE OTRAS SUSTANCIAS NOCIVAS INGERIDAS COMO ALIMENTO: SUSTANCIA NOCIVA INGERIDA COMO ALIMENTO, NO ESPECIFICADA</t>
  </si>
  <si>
    <t>EFECTO TOXICO DEL CONTACTO CON ANIMALES VENENOSOS: VENENO DE SERPIENTE</t>
  </si>
  <si>
    <t>EFECTO TOXICO DEL CONTACTO CON ANIMALES VENENOSOS: VENENO DE OTROS REPTILES</t>
  </si>
  <si>
    <t>EFECTO TOXICO DEL CONTACTO CON ANIMALES VENENOSOS: VENENO DE ESCORPION</t>
  </si>
  <si>
    <t>EFECTO TOXICO DEL CONTACTO CON ANIMALES VENENOSOS: VENENO DE ARAÑAS</t>
  </si>
  <si>
    <t>EFECTO TOXICO DEL CONTACTO CON ANIMALES VENENOSOS: VENENO DE OTROS ARTROPODOS</t>
  </si>
  <si>
    <t>EFECTO TOXICO DEL CONTACTO CON ANIMALES VENENOSOS: EFECTO TOXICO DEL CONTACTO CON PECES</t>
  </si>
  <si>
    <t>EFECTO TOXICO DEL CONTACTO CON ANIMALES VENENOSOS: EFECTO TOXICO DEL CONTACTO CON OTROS ANIMALES MARINOS</t>
  </si>
  <si>
    <t>EFECTO TOXICO DEL CONTACTO CON ANIMALES VENENOSOS: EFECTO TOXICO DEL CONTACTO CON OTROS ANIMALES VENENOSOS</t>
  </si>
  <si>
    <t>EFECTO TOXICO DEL CONTACTO CON ANIMALES VENENOSOS: EFECTO TOXICO DEL CONTACTO CON ANIMAL VENENOSO NO ESPECIFICADO</t>
  </si>
  <si>
    <t>EFECTO TOXICO DE AFLATOXINA Y OTRAS MICOTOXINAS CONTAMINANTES DE ALIMENTOS</t>
  </si>
  <si>
    <t>EFECTO TOXICO DE OTRAS SUSTANCIAS Y LAS NO ESPECIFICADAS: CIANURO</t>
  </si>
  <si>
    <t>EFECTO TOXICO DE OTRAS SUSTANCIAS Y LAS NO ESPECIFICADAS: ESTRICNINA Y SUS SALES</t>
  </si>
  <si>
    <t>EFECTO TOXICO DE OTRAS SUSTANCIAS Y LAS NO ESPECIFICADAS: TABACO Y NICOTINA</t>
  </si>
  <si>
    <t>EFECTO TOXICO DE OTRAS SUSTANCIAS Y LAS NO ESPECIFICADAS: NITRODERIVADOS Y AMINODERIVADOS DEL BENCENO Y SUS HOMOLOGOS</t>
  </si>
  <si>
    <t>EFECTO TOXICO DE OTRAS SUSTANCIAS Y LAS NO ESPECIFICADAS: BISULFURO DE CARBONO</t>
  </si>
  <si>
    <t>EFECTO TOXICO DE OTRAS SUSTANCIAS Y LAS NO ESPECIFICADAS: NITROGLICERINA Y OTROS ACIDOS Y ESTERES NITRICOS</t>
  </si>
  <si>
    <t>EFECTO TOXICO DE OTRAS SUSTANCIAS Y LAS NO ESPECIFICADAS: PINTURAS Y COLORANTES, NO CLASIFICADOS EN OTRA PARTE</t>
  </si>
  <si>
    <t>EFECTO TOXICO DE OTRAS SUSTANCIAS Y LAS NO ESPECIFICADAS: EFECTOS TOXICOS DE OTRAS SUSTANCIAS ESPECIFICADAS</t>
  </si>
  <si>
    <t>EFECTO TOXICO DE OTRAS SUSTANCIAS Y LAS NO ESPECIFICADAS: EFECTO TOXICO DE SUSTANCIA NO ESPECIFICADA</t>
  </si>
  <si>
    <t>SINCOPE DE CALOR</t>
  </si>
  <si>
    <t>AGOTAMIENTO POR CALOR NO ESPECIFICADO</t>
  </si>
  <si>
    <t>ENFERMEDAD POR DESCOMPRESION [DE LOS CAJONES SUMERGIDOS]</t>
  </si>
  <si>
    <t>OTROS SINDROMES DE MALTRATO</t>
  </si>
  <si>
    <t>SINDROME DE MALTRATO, NO ESPECIFICADO</t>
  </si>
  <si>
    <t>EFECTOS ADVERSOS NO ESPECIFICADO</t>
  </si>
  <si>
    <t>ISQUEMIA TRAUMATICA DEL MUSCULO</t>
  </si>
  <si>
    <t>EMBOLIA GASEOSA CONSECUTIVAS A INFUSION, TRANSFUSION E INYECCION TERAPEUTICA</t>
  </si>
  <si>
    <t>COMPLICACIONES VASCULARES CONSECUTIVAS A INFUSION, TRANSFUSION E INYECCION TERAPEUTICA</t>
  </si>
  <si>
    <t>INFECCIONES CONSECUTIVAS A INFUSION, TRANSFUSION E INYECCION TERAPEUTICA</t>
  </si>
  <si>
    <t>REACCION DE INCOMPATIBILIDAD A Rh</t>
  </si>
  <si>
    <t>OTRAS COMPLICACIONES CONSECUTIVAS A INFUSION, TRANSFUSION E INYECCION TERAPEUTICA</t>
  </si>
  <si>
    <t>COMPLICACIONES NO ESPECIFICADAS CONSECUTIVAS A INFUSION, TRANSFUSION E INYECCION TERAPEUTICA</t>
  </si>
  <si>
    <t>HEMORRAGIA Y HEMATOMA QUE COMPLICAN UN PROCEDIMIENTO, NO CLASIFICADOS EN OTRA PARTE</t>
  </si>
  <si>
    <t>CHOQUE DURANTE O RESULTANTE DE UN PROCEDIMIENTO, NO CLASIFICADO EN OTRA PARTE</t>
  </si>
  <si>
    <t>PUNCION O LACERACION ACCIDENTAL DURANTE UN PROCEDIMIENTO, NO CLASIFICADAS EN OTRA PARTE</t>
  </si>
  <si>
    <t>CUERPO EXTRAÑO DEJADO ACCIDENTALMENTE EN CAVIDAD CORPORAL O EN HERIDA OPERATORIA CONSECUTIVA A PROCEDIMIENTO</t>
  </si>
  <si>
    <t>REACCIÓN AGUDA A SUSTANCIA EXTRAÑA DEJADA ACCIDENTALMENTE DURANTE UN PROCEDIMIENTO</t>
  </si>
  <si>
    <t>COMPLICACIONES VASCULARES CONSECUTIVAS A PROCEDIMIENTOS, NO CLASIFICADAS EN OTRA PARTE</t>
  </si>
  <si>
    <t>COMPLICACIONES DE PROCEDIMIENTOS, NO ESPECIFICADA</t>
  </si>
  <si>
    <t>COMPLICACION MECANICA DE DERIVACION DE ARTERIA CORONARIA E INJERTO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</si>
  <si>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</si>
  <si>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</si>
  <si>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</si>
  <si>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DE DISPOSITIVOS PROTESICOS, IMPLANTES E INJERTOS CARDIOVASCULARES</t>
  </si>
  <si>
    <t>COMPLICACION NO ESPECIFICADA DE DISPOSITIVO PROTESICO, IMPLANTE E INJERTO CARDIOVASCULAR</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</si>
  <si>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</si>
  <si>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</si>
  <si>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</si>
  <si>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</si>
  <si>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</si>
  <si>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</si>
  <si>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</si>
  <si>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</si>
  <si>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</si>
  <si>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DISPOSITIVO DE FIJACION INTERNA (CUALQUIER SITIO)</t>
  </si>
  <si>
    <t>INFECCION Y REACCION INFLAMATORIA DEBIDAS A OTROS DISPOSITIVO DE FIJACION INTERNA (CUALQUIER SITIO)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</si>
  <si>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</si>
  <si>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</si>
  <si>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</si>
  <si>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</si>
  <si>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OTROS DISPOSITIVOS PROTESICOS, IMPLANTES E INJERTOS OCULARES</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</si>
  <si>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</si>
  <si>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</si>
  <si>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</si>
  <si>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OTROS DISPOSITIVOS PROTESICOS, IMPLANTES E INJERTOS INTERNOS, NO CLASIFICADOS EN OTRA PARTE</t>
  </si>
  <si>
    <t>COMPLICACION NO ESPECIFICADA DE DISPOSITIVO PROTESICO, IMPLANTE E INJERTO INTERNO</t>
  </si>
  <si>
    <t>FALLA Y RECHAZO DEL TRASPLANTE DE ORGANOS Y TEJIDOS NO ESPECIFICADO</t>
  </si>
  <si>
    <t>OTRAS COMPLICACIONES CONSECUTIVAS A INMUNIZACION, NO CLASIFICADAS EN OTRA PARTE</t>
  </si>
  <si>
    <t>CHOQUE DEBIDA A ANESTESIA</t>
  </si>
  <si>
    <t>HIPERTERMIA MALIGNA DEBIDA A ANESTESIA</t>
  </si>
  <si>
    <t>CHOQUE ANAFILACTICO DEBIDO A EFECTO ADVERSO DE DROGA O MEDICAMENTO CORRECTO ADMINISTRADO APROPIADAMENTE</t>
  </si>
  <si>
    <t>OTRAS COMPLICACIONES ESPECIFICADAS DE LA ATENCION MEDICA Y QUIRURGICA, NO CLASIFICADAS EN OTRA PARTE</t>
  </si>
  <si>
    <t>SECUELAS DE TRAUMATISMO SUPERFICIAL Y HERIDAS DEL CUELLO Y DEL TRONCO</t>
  </si>
  <si>
    <t>SECUELAS DE TRAUMATISMO NO ESPECIFICADOS DEL CUELLO Y DEL TRONCO</t>
  </si>
  <si>
    <t>SECUELAS DE FRACTURA DE FEMUR</t>
  </si>
  <si>
    <t>SECUELAS DE QUEMADURA, CORROSION Y CONGELAMIENTO DE LA CABEZA Y DEL CUELLO</t>
  </si>
  <si>
    <t>SECUELAS DE QUEMADURA Y CORROSION CLASIFICABLES SOLO DE ACUERDO CON LA EXTENSION DE LA SUPERFICIE DEL CUERPO AFECTADA</t>
  </si>
  <si>
    <t>SECUELAS DE OTRAS QUEMADURAS, CORROSIONES Y CONGELAMIENTOS ESPECIFICADOS</t>
  </si>
  <si>
    <t>SECUELAS DE ENVENENAMIENTOS POR DROGAS, MEDICAMENTOS Y SUSTANCIAS BIOLOGICAS</t>
  </si>
  <si>
    <t>SECUELAS DE EFECTOS TOXICOS DE SUSTANCIAS DE PROCEDENCIA PRINCIPALMENTE NO MEDICINAL</t>
  </si>
  <si>
    <t>SECUELAS DE EFECTOS DE CUERPOS EXTRAÑOS QUE PENETRAN EN ORIFICIOS NATURALES</t>
  </si>
  <si>
    <t>SECUELAS DE COMPLICACIONES DE LA ATENCION MEDICA Y QUIRURGICA, NO CLASIFICADAS EN OTRA PARTE</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</si>
  <si>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</si>
  <si>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</si>
  <si>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</si>
  <si>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</si>
  <si>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</si>
  <si>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</si>
  <si>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</si>
  <si>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</si>
  <si>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</si>
  <si>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</si>
  <si>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</si>
  <si>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</si>
  <si>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</si>
  <si>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</si>
  <si>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</si>
  <si>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</si>
  <si>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</si>
  <si>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</si>
  <si>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</si>
  <si>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</si>
  <si>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</si>
  <si>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</si>
  <si>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</si>
  <si>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</si>
  <si>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</si>
  <si>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</si>
  <si>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</si>
  <si>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</si>
  <si>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</si>
  <si>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</si>
  <si>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</si>
  <si>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</si>
  <si>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</si>
  <si>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</si>
  <si>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</si>
  <si>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</si>
  <si>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</si>
  <si>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</si>
  <si>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</si>
  <si>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</si>
  <si>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</si>
  <si>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</si>
  <si>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</si>
  <si>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</si>
  <si>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</si>
  <si>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</si>
  <si>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</si>
  <si>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</si>
  <si>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</si>
  <si>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</si>
  <si>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</si>
  <si>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</si>
  <si>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</si>
  <si>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</si>
  <si>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</si>
  <si>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</si>
  <si>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</si>
  <si>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</si>
  <si>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</si>
  <si>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</si>
  <si>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</si>
  <si>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</si>
  <si>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</si>
  <si>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</si>
  <si>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</si>
  <si>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</si>
  <si>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</si>
  <si>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</si>
  <si>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</si>
  <si>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</si>
  <si>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</si>
  <si>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</si>
  <si>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</si>
  <si>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</si>
  <si>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</si>
  <si>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</si>
  <si>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</si>
  <si>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</si>
  <si>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</si>
  <si>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</si>
  <si>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</si>
  <si>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</si>
  <si>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</si>
  <si>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</si>
  <si>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</si>
  <si>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</si>
  <si>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</si>
  <si>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</si>
  <si>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</si>
  <si>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CICLISTA [CUALQUIERA] LESIONADO EN ACCIDENTE NO DE TRANSITO, NO ESPECIFICADO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</si>
  <si>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</si>
  <si>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</si>
  <si>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ESPECIFICADOS, EN ACCIDENTE DE TRANSITO</t>
  </si>
  <si>
    <t>CICLISTA [CUALQUIERA] LESIONADO EN OTROS ACCIDENTES DE TRANSPORTE ESPECIFICADOS</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</si>
  <si>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</si>
  <si>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</si>
  <si>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</si>
  <si>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</si>
  <si>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</si>
  <si>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</si>
  <si>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</si>
  <si>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</si>
  <si>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</si>
  <si>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</si>
  <si>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</si>
  <si>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</si>
  <si>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</si>
  <si>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</si>
  <si>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</si>
  <si>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</si>
  <si>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</si>
  <si>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</si>
  <si>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</si>
  <si>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</si>
  <si>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</si>
  <si>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</si>
  <si>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</si>
  <si>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</si>
  <si>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</si>
  <si>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</si>
  <si>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</si>
  <si>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</si>
  <si>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LESIONADO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</si>
  <si>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</si>
  <si>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</si>
  <si>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</si>
  <si>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</si>
  <si>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</si>
  <si>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</si>
  <si>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</si>
  <si>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</si>
  <si>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</si>
  <si>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</si>
  <si>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</si>
  <si>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</si>
  <si>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</si>
  <si>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</si>
  <si>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</si>
  <si>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</si>
  <si>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</si>
  <si>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</si>
  <si>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</si>
  <si>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</si>
  <si>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</si>
  <si>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</si>
  <si>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</si>
  <si>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</si>
  <si>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</si>
  <si>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</si>
  <si>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</si>
  <si>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</si>
  <si>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</si>
  <si>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</si>
  <si>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</si>
  <si>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</si>
  <si>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</si>
  <si>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</si>
  <si>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</si>
  <si>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COLISIÓN CON OTROS VEHICULOS DE MOTOR, Y CON LOS NO ESPECIFICADOS, EN ACCIDENTE NO DE TRANSITO</t>
  </si>
  <si>
    <t>PASAJERO DE MOTOCICLETA LESIONADO POR COLISIÓN CON OTROS VEHICULOS DE MOTOR, Y CON LOS NO ESPECIFICADOS, EN ACCIDENTE NO DE TRANSITO</t>
  </si>
  <si>
    <t>MOTOCICLISTA NO ESPECIFICADO LESIONADO POR COLISIÓN CON OTROS VEHICULOS DE MOTOR, Y CON LOS NO ESPECIFICADOS, EN ACCIDENTE NO DE TRANSITO</t>
  </si>
  <si>
    <t>MOTOCICLISTA [CUALQUIERA] LESIONADO EN ACCIDENTE NO DE TRANSITO, NO ESPECIFICADO</t>
  </si>
  <si>
    <t>CONDUCTOR DE MOTOCICLETA LESIONADO POR COLISION CON OTROS VEHICULO DE MOTOR, Y CON LOS NO ESPECIFICADOS, EN ACCIDENTE DE TRANSITO</t>
  </si>
  <si>
    <t>PASAJERO DE MOTOCICLETA LESIONADO POR COLISION CON OTROS VEHICULO DE MOTOR, Y CON LOS NO ESPECIFICADOS, EN ACCIDENTE DE TRANSITO</t>
  </si>
  <si>
    <t>MOTOCICLISTA NO ESPECIFICADO LESIONADO POR COLISION CON OTROS VEHICULO DE MOTOR, Y CON LOS NO ESPECIFICADOS, EN ACCIDENTE DE TRANSITO</t>
  </si>
  <si>
    <t>MOTOCICLISTA [CUALQUIERA] LESIONADO EN OTROS ACCIDENTES DE TRANSPORTE ESPECIFICADOS</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</si>
  <si>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</si>
  <si>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</si>
  <si>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</si>
  <si>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</si>
  <si>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</si>
  <si>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</si>
  <si>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</si>
  <si>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</si>
  <si>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</si>
  <si>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</si>
  <si>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</si>
  <si>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</si>
  <si>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</si>
  <si>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</si>
  <si>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</si>
  <si>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</si>
  <si>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</si>
  <si>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</si>
  <si>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</si>
  <si>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</si>
  <si>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</si>
  <si>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</si>
  <si>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</si>
  <si>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</si>
  <si>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</si>
  <si>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</si>
  <si>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</si>
  <si>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</si>
  <si>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</si>
  <si>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</si>
  <si>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</si>
  <si>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</si>
  <si>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</si>
  <si>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</si>
  <si>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</si>
  <si>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</si>
  <si>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</si>
  <si>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</si>
  <si>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</si>
  <si>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</si>
  <si>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</si>
  <si>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</si>
  <si>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</si>
  <si>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</si>
  <si>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</si>
  <si>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</si>
  <si>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</si>
  <si>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</si>
  <si>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</si>
  <si>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</si>
  <si>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</si>
  <si>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</si>
  <si>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</si>
  <si>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</si>
  <si>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</si>
  <si>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</si>
  <si>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</si>
  <si>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</si>
  <si>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</si>
  <si>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</si>
  <si>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</si>
  <si>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</si>
  <si>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</si>
  <si>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</si>
  <si>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</si>
  <si>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</si>
  <si>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</si>
  <si>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</si>
  <si>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</si>
  <si>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</si>
  <si>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</si>
  <si>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</si>
  <si>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</si>
  <si>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</si>
  <si>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</si>
  <si>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</si>
  <si>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</si>
  <si>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</si>
  <si>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</si>
  <si>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</si>
  <si>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</si>
  <si>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</si>
  <si>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</si>
  <si>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</si>
  <si>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</si>
  <si>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</si>
  <si>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</si>
  <si>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</si>
  <si>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</si>
  <si>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</si>
  <si>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</si>
  <si>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</si>
  <si>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</si>
  <si>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</si>
  <si>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</si>
  <si>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</si>
  <si>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</si>
  <si>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</si>
  <si>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</si>
  <si>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</si>
  <si>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</si>
  <si>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</si>
  <si>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</si>
  <si>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</si>
  <si>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</si>
  <si>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</si>
  <si>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</si>
  <si>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</si>
  <si>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</si>
  <si>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</si>
  <si>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</si>
  <si>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</si>
  <si>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</si>
  <si>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</si>
  <si>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</si>
  <si>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</si>
  <si>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</si>
  <si>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</si>
  <si>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</si>
  <si>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</si>
  <si>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</si>
  <si>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</si>
  <si>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</si>
  <si>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</si>
  <si>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</si>
  <si>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</si>
  <si>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</si>
  <si>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</si>
  <si>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</si>
  <si>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</si>
  <si>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OCUPANTE NO ESPECIFICADO DE AUTOMOVIL, LESIONADO EN ACCIDENTE NO DE TRANSITO</t>
  </si>
  <si>
    <t>OCUPANTE DE AUTOMOVIL LESIONADO POR COLISION CON VEHICULO DE TRANSPORTE PESADO O AUTOBUS: PERSONA LESIONADA AL SUBIR O BAJAR DEL VEHICULO</t>
  </si>
  <si>
    <t>OCUPANTE DE AUTOMOVIL LESIONADO POR COLISION CON VEHICULO DE TRANSPORTE PESADO O AUTOBUS: CONDUCTOR LESIONADO EN ACCIDENTE DE TRANSITO</t>
  </si>
  <si>
    <t>OCUPANTE DE AUTOMOVIL LESIONADO POR COLISION CON VEHICULO DE TRANSPORTE PESADO O AUTOBUS: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</si>
  <si>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</si>
  <si>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</si>
  <si>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</si>
  <si>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</si>
  <si>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</si>
  <si>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</si>
  <si>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</si>
  <si>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</si>
  <si>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</si>
  <si>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</si>
  <si>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</si>
  <si>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</si>
  <si>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</si>
  <si>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</si>
  <si>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</si>
  <si>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</si>
  <si>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</si>
  <si>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</si>
  <si>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</si>
  <si>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</si>
  <si>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</si>
  <si>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</si>
  <si>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</si>
  <si>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</si>
  <si>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</si>
  <si>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</si>
  <si>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</si>
  <si>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</si>
  <si>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</si>
  <si>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</si>
  <si>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</si>
  <si>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</si>
  <si>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</si>
  <si>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</si>
  <si>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</si>
  <si>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</si>
  <si>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</si>
  <si>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</si>
  <si>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</si>
  <si>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</si>
  <si>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</si>
  <si>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</si>
  <si>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</si>
  <si>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</si>
  <si>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</si>
  <si>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</si>
  <si>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</si>
  <si>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</si>
  <si>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</si>
  <si>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</si>
  <si>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</si>
  <si>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</si>
  <si>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</si>
  <si>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</si>
  <si>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</si>
  <si>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</si>
  <si>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</si>
  <si>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</si>
  <si>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</si>
  <si>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</si>
  <si>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</si>
  <si>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</si>
  <si>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</si>
  <si>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</si>
  <si>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</si>
  <si>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</si>
  <si>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</si>
  <si>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</si>
  <si>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</si>
  <si>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</si>
  <si>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</si>
  <si>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</si>
  <si>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</si>
  <si>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</si>
  <si>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</si>
  <si>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</si>
  <si>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</si>
  <si>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</si>
  <si>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</si>
  <si>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</si>
  <si>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</si>
  <si>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</si>
  <si>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</si>
  <si>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</si>
  <si>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</si>
  <si>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</si>
  <si>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</si>
  <si>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</si>
  <si>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</si>
  <si>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</si>
  <si>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</si>
  <si>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</si>
  <si>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</si>
  <si>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</si>
  <si>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</si>
  <si>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</si>
  <si>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</si>
  <si>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</si>
  <si>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</si>
  <si>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</si>
  <si>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</si>
  <si>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</si>
  <si>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</si>
  <si>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</si>
  <si>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</si>
  <si>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</si>
  <si>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</si>
  <si>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</si>
  <si>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</si>
  <si>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</si>
  <si>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</si>
  <si>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</si>
  <si>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</si>
  <si>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</si>
  <si>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</si>
  <si>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</si>
  <si>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</si>
  <si>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</si>
  <si>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</si>
  <si>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</si>
  <si>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</si>
  <si>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</si>
  <si>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DE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</si>
  <si>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</si>
  <si>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</si>
  <si>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</si>
  <si>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</si>
  <si>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</si>
  <si>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</si>
  <si>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</si>
  <si>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</si>
  <si>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</si>
  <si>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</si>
  <si>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</si>
  <si>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</si>
  <si>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OTROS ACCIDENTES DE TRANSPORTE ESPECIFICADOS</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</si>
  <si>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</si>
  <si>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</si>
  <si>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</si>
  <si>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</si>
  <si>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</si>
  <si>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</si>
  <si>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</si>
  <si>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</si>
  <si>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</si>
  <si>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</si>
  <si>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</si>
  <si>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</si>
  <si>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</si>
  <si>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</si>
  <si>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</si>
  <si>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</si>
  <si>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</si>
  <si>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</si>
  <si>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</si>
  <si>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</si>
  <si>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</si>
  <si>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</si>
  <si>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</si>
  <si>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</si>
  <si>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</si>
  <si>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</si>
  <si>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</si>
  <si>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</si>
  <si>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</si>
  <si>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</si>
  <si>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</si>
  <si>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</si>
  <si>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</si>
  <si>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</si>
  <si>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</si>
  <si>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</si>
  <si>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</si>
  <si>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</si>
  <si>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</si>
  <si>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</si>
  <si>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</si>
  <si>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</si>
  <si>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</si>
  <si>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</si>
  <si>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</si>
  <si>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</si>
  <si>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</si>
  <si>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</si>
  <si>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</si>
  <si>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</si>
  <si>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</si>
  <si>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</si>
  <si>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</si>
  <si>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</si>
  <si>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</si>
  <si>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</si>
  <si>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</si>
  <si>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</si>
  <si>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</si>
  <si>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</si>
  <si>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</si>
  <si>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</si>
  <si>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</si>
  <si>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</si>
  <si>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</si>
  <si>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</si>
  <si>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</si>
  <si>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</si>
  <si>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</si>
  <si>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</si>
  <si>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</si>
  <si>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</si>
  <si>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</si>
  <si>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</si>
  <si>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</si>
  <si>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</si>
  <si>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</si>
  <si>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</si>
  <si>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</si>
  <si>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</si>
  <si>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</si>
  <si>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</si>
  <si>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</si>
  <si>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</si>
  <si>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</si>
  <si>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</si>
  <si>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</si>
  <si>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DE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</si>
  <si>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</si>
  <si>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</si>
  <si>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</si>
  <si>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</si>
  <si>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</si>
  <si>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</si>
  <si>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</si>
  <si>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</si>
  <si>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</si>
  <si>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</si>
  <si>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</si>
  <si>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</si>
  <si>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</si>
  <si>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</si>
  <si>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</si>
  <si>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</si>
  <si>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</si>
  <si>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</si>
  <si>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</si>
  <si>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</si>
  <si>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</si>
  <si>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</si>
  <si>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</si>
  <si>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DE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</si>
  <si>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</si>
  <si>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</si>
  <si>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</si>
  <si>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</si>
  <si>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</si>
  <si>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</si>
  <si>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</si>
  <si>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</si>
  <si>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</si>
  <si>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</si>
  <si>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</si>
  <si>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</si>
  <si>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</si>
  <si>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</si>
  <si>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</si>
  <si>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</si>
  <si>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</si>
  <si>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</si>
  <si>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</si>
  <si>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</si>
  <si>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</si>
  <si>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</si>
  <si>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</si>
  <si>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</si>
  <si>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</si>
  <si>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</si>
  <si>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</si>
  <si>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</si>
  <si>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</si>
  <si>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</si>
  <si>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</si>
  <si>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</si>
  <si>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</si>
  <si>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</si>
  <si>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</si>
  <si>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</si>
  <si>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</si>
  <si>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</si>
  <si>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</si>
  <si>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</si>
  <si>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</si>
  <si>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DE AUTOBUS LESIONADO POR COLISION CON OTROS VEHICULOS SIN MOTOR</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</si>
  <si>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</si>
  <si>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</si>
  <si>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</si>
  <si>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</si>
  <si>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</si>
  <si>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</si>
  <si>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</si>
  <si>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</si>
  <si>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</si>
  <si>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</si>
  <si>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</si>
  <si>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</si>
  <si>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</si>
  <si>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</si>
  <si>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</si>
  <si>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</si>
  <si>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</si>
  <si>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</si>
  <si>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</si>
  <si>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</si>
  <si>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</si>
  <si>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</si>
  <si>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</si>
  <si>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</si>
  <si>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</si>
  <si>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</si>
  <si>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</si>
  <si>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</si>
  <si>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</si>
  <si>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</si>
  <si>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</si>
  <si>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</si>
  <si>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</si>
  <si>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</si>
  <si>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</si>
  <si>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</si>
  <si>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</si>
  <si>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VEHÍCULO DE MOTOR, EN ACCIDENTE NO DE TRANSITO</t>
  </si>
  <si>
    <t>OCUPANTE DE TREN O VEHICULO DE RIELES LESIONADO POR COLISION CON VEHÍCULO DE MOTOR, EN ACCIDENTE DE TRANSITO</t>
  </si>
  <si>
    <t>OCUPANTE DE TREN O VEHICULO DE RIELES LESIONADO POR COLISION CON, O GOLPEADO POR VAGON</t>
  </si>
  <si>
    <t>OCUPANTE DE TREN O VEHICULO DE RIELES LESIONADO POR COLISION CON OTROS OBJETOS</t>
  </si>
  <si>
    <t>PERSONA LESIONADA AL SUBIR O BAJAR DE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</si>
  <si>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</si>
  <si>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</si>
  <si>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</si>
  <si>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</si>
  <si>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</si>
  <si>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</si>
  <si>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</si>
  <si>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</si>
  <si>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</si>
  <si>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</si>
  <si>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</si>
  <si>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DEL TRANVIA</t>
  </si>
  <si>
    <t>OCUPANTE DE TRANVIA LESIONADO POR DESCARRILAMIENTO, SIN COLISION ANTERIOR</t>
  </si>
  <si>
    <t>OCUPANTE DE TRANVIA LESIONADO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</si>
  <si>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</si>
  <si>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</si>
  <si>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</si>
  <si>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LESIONADO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</si>
  <si>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</si>
  <si>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</si>
  <si>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</si>
  <si>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</si>
  <si>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 VEHICULO INDUSTRIAL ESPECIAL LESIONADO EN ACCIDENTE NO DE TRANSITO</t>
  </si>
  <si>
    <t>OCUPANTE NO ESPECIFICADO DE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</si>
  <si>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</si>
  <si>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</si>
  <si>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</si>
  <si>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</si>
  <si>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</si>
  <si>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</si>
  <si>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</si>
  <si>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</si>
  <si>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</si>
  <si>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</si>
  <si>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</si>
  <si>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CONSTRUCCIÓN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</si>
  <si>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</si>
  <si>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</si>
  <si>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</si>
  <si>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</si>
  <si>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</si>
  <si>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</si>
  <si>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</si>
  <si>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</si>
  <si>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</si>
  <si>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</si>
  <si>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LA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</si>
  <si>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</si>
  <si>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</si>
  <si>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DEL VEHICULO PARA TODO TERRENO O DE OTRO VEHICULO DE MOTOR PARA USO FUERA DE LA CARRETERA LESIONADA EN ACCIDENTE NO DE TRANSITO</t>
  </si>
  <si>
    <t>OCUPANTE NO ESPECIFICADO DEL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</si>
  <si>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</si>
  <si>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</si>
  <si>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</si>
  <si>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</si>
  <si>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MOTOR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</si>
  <si>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</si>
  <si>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</si>
  <si>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</si>
  <si>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</si>
  <si>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 (SIN COLISION) (TRANSITO)</t>
  </si>
  <si>
    <t>PERSONA LESIONADA POR COLISION ENTRE AUTOMOVIL Y VEHICULO DE MOTOR DE DOS O TRES RUEDAS, NO DE TRANSITO</t>
  </si>
  <si>
    <t>PERSONA LESIONADA POR COLISION ENTRE OTROS VEHICULOS DE MOTOR Y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</si>
  <si>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</si>
  <si>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</si>
  <si>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</si>
  <si>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</si>
  <si>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O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</si>
  <si>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</si>
  <si>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</si>
  <si>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 (SIN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</si>
  <si>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</si>
  <si>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</si>
  <si>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</si>
  <si>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</si>
  <si>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</si>
  <si>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</si>
  <si>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</si>
  <si>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</si>
  <si>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</si>
  <si>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</si>
  <si>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KAYAK</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</si>
  <si>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</si>
  <si>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</si>
  <si>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</si>
  <si>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</si>
  <si>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</si>
  <si>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</si>
  <si>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</si>
  <si>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</si>
  <si>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</si>
  <si>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</si>
  <si>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</si>
  <si>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</si>
  <si>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</si>
  <si>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</si>
  <si>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</si>
  <si>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</si>
  <si>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</si>
  <si>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</si>
  <si>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</si>
  <si>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</si>
  <si>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</si>
  <si>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</si>
  <si>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</si>
  <si>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</si>
  <si>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</si>
  <si>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</si>
  <si>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</si>
  <si>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</si>
  <si>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</si>
  <si>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</si>
  <si>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</si>
  <si>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</si>
  <si>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</si>
  <si>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</si>
  <si>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</si>
  <si>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</si>
  <si>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</si>
  <si>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OTRO VEHICULO ACUATICO CON MOTOR</t>
  </si>
  <si>
    <t>OTROS ACCIDENTES DE TRANSPORTE POR AGUA, Y LOS NO ESPECIFICADOS: VELERO</t>
  </si>
  <si>
    <t>OTROS ACCIDENTES DE TRANSPORTE POR AGUA, Y LOS NO ESPECIFICADOS: CANOA O KAYAK</t>
  </si>
  <si>
    <t>OTROS ACCIDENTES DE TRANSPORTE POR AGUA, Y LOS NO ESPECIFICADOS: BALSA INFLABLE (SIN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</si>
  <si>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</si>
  <si>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</si>
  <si>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</si>
  <si>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</si>
  <si>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PLANEADOR ULTRA LIVIANO, MICRO LIVIANO O MOTORIZADO, CON OCUPANTE LESIONADO</t>
  </si>
  <si>
    <t>ACCIDENTE DE OTROS VEHICULOS AEREOS DE ALAS FIJAS, PRIVADOS, CON OCUPANTE LESIONADO</t>
  </si>
  <si>
    <t>ACCIDENTE DE VEHICULO AEREO DE ALAS FIJAS, COMERCIAL, CON OCUPANTE LESIONADO</t>
  </si>
  <si>
    <t>ACCIDENTE DE NAVE ESPACIAL, CON OCUPANTE LESIONADO</t>
  </si>
  <si>
    <t>ACCIDENTE DE OTRAS AERONAVES, CON OCUPANTE LESIONADO</t>
  </si>
  <si>
    <t>ACCIDENTE DE AERONAVE NO ESPECIFICADA, CON OCUPANTE LESIONADO</t>
  </si>
  <si>
    <t>ACCIDENTE DE GLOBO AEROSTATICO,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</si>
  <si>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</si>
  <si>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</si>
  <si>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</si>
  <si>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</si>
  <si>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OCUPANTE DE AERONAVE LESIONADO EN OTROS ACCIDENTES ESPECIFICADOS DE TRANSPORTE AEREO</t>
  </si>
  <si>
    <t>PERSONA LESIONADA AL SUBIR O BAJAR DE UNA AERONAVE</t>
  </si>
  <si>
    <t>PARACAIDISTA LESIONADO EN ACCIDENTE DE TRANSPORTE AEREO</t>
  </si>
  <si>
    <t>PERSONA EN TIERRA LESIONADA POR ACCIDENTE DE TRANSPORTE AEREO</t>
  </si>
  <si>
    <t>OTROS ACCIDENTES DE TRANSPORTE AEREO, NO CLASIFICADOS EN OTRA PARTE</t>
  </si>
  <si>
    <t>OTROS ACCIDENTES DE TRANSPORTE ESPECIFICADOS</t>
  </si>
  <si>
    <t>ACCIDENTE DE TRANSPORTE NO ESPECIFICADO</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</si>
  <si>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</si>
  <si>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</si>
  <si>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</si>
  <si>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</si>
  <si>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</si>
  <si>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</si>
  <si>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</si>
  <si>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</si>
  <si>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</si>
  <si>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</si>
  <si>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</si>
  <si>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</si>
  <si>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</si>
  <si>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</si>
  <si>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</si>
  <si>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</si>
  <si>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</si>
  <si>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</si>
  <si>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</si>
  <si>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</si>
  <si>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</si>
  <si>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</si>
  <si>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</si>
  <si>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</si>
  <si>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</si>
  <si>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</si>
  <si>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</si>
  <si>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</si>
  <si>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</si>
  <si>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</si>
  <si>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</si>
  <si>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</si>
  <si>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</si>
  <si>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</si>
  <si>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</si>
  <si>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</si>
  <si>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</si>
  <si>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</si>
  <si>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</si>
  <si>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</si>
  <si>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</si>
  <si>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</si>
  <si>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</si>
  <si>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</si>
  <si>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</si>
  <si>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</si>
  <si>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</si>
  <si>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</si>
  <si>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</si>
  <si>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</si>
  <si>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</si>
  <si>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</si>
  <si>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</si>
  <si>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</si>
  <si>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</si>
  <si>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</si>
  <si>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</si>
  <si>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</si>
  <si>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</si>
  <si>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</si>
  <si>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</si>
  <si>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</si>
  <si>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</si>
  <si>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</si>
  <si>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</si>
  <si>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</si>
  <si>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</si>
  <si>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</si>
  <si>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</si>
  <si>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</si>
  <si>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</si>
  <si>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</si>
  <si>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</si>
  <si>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</si>
  <si>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</si>
  <si>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</si>
  <si>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</si>
  <si>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</si>
  <si>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</si>
  <si>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</si>
  <si>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</si>
  <si>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</si>
  <si>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</si>
  <si>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</si>
  <si>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</si>
  <si>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</si>
  <si>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</si>
  <si>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</si>
  <si>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</si>
  <si>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</si>
  <si>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</si>
  <si>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</si>
  <si>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</si>
  <si>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</si>
  <si>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</si>
  <si>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</si>
  <si>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</si>
  <si>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</si>
  <si>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</si>
  <si>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</si>
  <si>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</si>
  <si>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</si>
  <si>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</si>
  <si>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</si>
  <si>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</si>
  <si>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</si>
  <si>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</si>
  <si>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</si>
  <si>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</si>
  <si>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</si>
  <si>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</si>
  <si>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</si>
  <si>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</si>
  <si>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</si>
  <si>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</si>
  <si>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</si>
  <si>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</si>
  <si>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</si>
  <si>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</si>
  <si>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</si>
  <si>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</si>
  <si>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</si>
  <si>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</si>
  <si>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</si>
  <si>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</si>
  <si>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</si>
  <si>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</si>
  <si>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</si>
  <si>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</si>
  <si>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</si>
  <si>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TRAVÉS DE UN EDIFICIO U OTRA CONSTRUCCION: VIVIENDA</t>
  </si>
  <si>
    <t>CAIDA DESDE, FUERA O A TRAVÉS DE UN EDIFICIO U OTRA CONSTRUCCION: INSTITUCION RESIDENCIAL</t>
  </si>
  <si>
    <t>CAIDA DESDE, FUERA O A TRAVÉS DE UN EDIFICIO U OTRA CONSTRUCCION: ESCUELAS, OTRAS INSTITUCIONES Y AREAS ADMINISTRATIVAS PUBLICAS</t>
  </si>
  <si>
    <t>CAIDA DESDE, FUERA O A TRAVÉS DE UN EDIFICIO U OTRA CONSTRUCCION: AREAS DE DEPORTE Y ATLETISMO</t>
  </si>
  <si>
    <t>CAIDA DESDE, FUERA O A TRAVÉS DE UN EDIFICIO U OTRA CONSTRUCCION: CALLES Y CARRETERAS</t>
  </si>
  <si>
    <t>CAIDA DESDE, FUERA O A TRAVÉS DE UN EDIFICIO U OTRA CONSTRUCCION: COMERCIO Y AREA DE SERVICIOS</t>
  </si>
  <si>
    <t>CAIDA DESDE, FUERA O A TRAVÉS DE UN EDIFICIO U OTRA CONSTRUCCION: AREA INDUSTRIAL Y DE LA CONSTRUCCION</t>
  </si>
  <si>
    <t>CAIDA DESDE, FUERA O A TRAVÉS DE UN EDIFICIO U OTRA CONSTRUCCION: GRANJA</t>
  </si>
  <si>
    <t>CAIDA DESDE, FUERA O A TRAVÉS DE UN EDIFICIO U OTRA CONSTRUCCION: OTRO LUGAR ESPECIFICADO</t>
  </si>
  <si>
    <t>CAIDA DESDE, FUERA O A TRAVÉS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</si>
  <si>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</si>
  <si>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</si>
  <si>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</si>
  <si>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</si>
  <si>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</si>
  <si>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</si>
  <si>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</si>
  <si>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</si>
  <si>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</si>
  <si>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</si>
  <si>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PEÑASCO: VIVIENDA</t>
  </si>
  <si>
    <t>CAIDA DESDE PEÑASCO: INSTITUCION RESIDENCIAL</t>
  </si>
  <si>
    <t>CAIDA DESDE PEÑASCO: ESCUELAS, OTRAS INSTITUCIONES Y AREAS ADMINISTRATIVAS PUBLICAS</t>
  </si>
  <si>
    <t>CAIDA DESDE PEÑASCO: AREAS DE DEPORTE Y ATLETISMO</t>
  </si>
  <si>
    <t>CAIDA DESDE PEÑASCO: CALLES Y CARRETERAS</t>
  </si>
  <si>
    <t>CAIDA DESDE PEÑASCO: COMERCIO Y AREA DE SERVICIOS</t>
  </si>
  <si>
    <t>CAIDA DESDE PEÑASCO: AREA INDUSTRIAL Y DE LA CONSTRUCCION</t>
  </si>
  <si>
    <t>CAIDA DESDE PEÑASCO: GRANJA</t>
  </si>
  <si>
    <t>CAIDA DESDE PEÑASCO: OTRO LUGAR ESPECIFICADO</t>
  </si>
  <si>
    <t>CAIDA DESDE PEÑASCO: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</si>
  <si>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</si>
  <si>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</si>
  <si>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</si>
  <si>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</si>
  <si>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</si>
  <si>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</si>
  <si>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</si>
  <si>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</si>
  <si>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</si>
  <si>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</si>
  <si>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</si>
  <si>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</si>
  <si>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</si>
  <si>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</si>
  <si>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</si>
  <si>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</si>
  <si>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</si>
  <si>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</si>
  <si>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</si>
  <si>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</si>
  <si>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</si>
  <si>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</si>
  <si>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</si>
  <si>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</si>
  <si>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</si>
  <si>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</si>
  <si>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</si>
  <si>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</si>
  <si>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</si>
  <si>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</si>
  <si>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</si>
  <si>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INSTITUCIÓN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</si>
  <si>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</si>
  <si>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</si>
  <si>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</si>
  <si>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</si>
  <si>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</si>
  <si>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</si>
  <si>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</si>
  <si>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</si>
  <si>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VIVIENDA</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</si>
  <si>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</si>
  <si>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</si>
  <si>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</si>
  <si>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CALLES Y CARRETERAS</t>
  </si>
  <si>
    <t>GOLPE POR OBJETO ARROJADO, PROYECTADO O QUE CAE: COMERCIO Y AREA DE SERVICIOS</t>
  </si>
  <si>
    <t>GOLPE POR OBJETO ARROJADO, PROYECTADO O QUE CAE: AREA INDUSTRIAL Y DE LA CONSTRUCCION</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</si>
  <si>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</si>
  <si>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</si>
  <si>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</si>
  <si>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</si>
  <si>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</si>
  <si>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</si>
  <si>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</si>
  <si>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CALLES Y CARRETERAS</t>
  </si>
  <si>
    <t>GOLPE CONTRA O GOLPEADO POR EQUIPO PARA DEPORTES: COMERCIO Y AREA DE SERVICIOS</t>
  </si>
  <si>
    <t>GOLPE CONTRA O GOLPEADO POR EQUIPO PARA DEPORTES: AREA INDUSTRIAL Y DE LA CONSTRUCCION</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</si>
  <si>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</si>
  <si>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</si>
  <si>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</si>
  <si>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</si>
  <si>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</si>
  <si>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</si>
  <si>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</si>
  <si>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CALLES Y CARRETERAS</t>
  </si>
  <si>
    <t>GOLPE CONTRA O GOLPEADO POR OTROS OBJETOS: COMERCIO Y AREA DE SERVICIOS</t>
  </si>
  <si>
    <t>GOLPE CONTRA O GOLPEADO POR OTROS OBJETOS: AREA INDUSTRIAL Y DE LA CONSTRUCCION</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</si>
  <si>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</si>
  <si>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</si>
  <si>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</si>
  <si>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</si>
  <si>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</si>
  <si>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</si>
  <si>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</si>
  <si>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CALLES Y CARRETERAS</t>
  </si>
  <si>
    <t>ATRAPADO, APLASTADO, TRABADO O APRETADO EN O ENTRE OBJETOS: COMERCIO Y AREA DE SERVICIOS</t>
  </si>
  <si>
    <t>ATRAPADO, APLASTADO, TRABADO O APRETADO EN O ENTRE OBJETOS: AREA INDUSTRIAL Y DE LA CONSTRUCCION</t>
  </si>
  <si>
    <t>ATRAPADO, APLASTADO, TRABADO O APRETADO EN O ENTRE OBJETOS: GRANJA</t>
  </si>
  <si>
    <t>ATRAPADO, APLASTADO, TRABADO O APRETADO EN O ENTRE OBJETOS: OTRO LUGAR ESPECIFICADO</t>
  </si>
  <si>
    <t>ATRAPADO, APLASTADO, TRABADO O APRETADO EN O ENTRE OBJETOS: LUGAR NO ESPECIFICADO</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</si>
  <si>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</si>
  <si>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</si>
  <si>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</si>
  <si>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</si>
  <si>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</si>
  <si>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</si>
  <si>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</si>
  <si>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</si>
  <si>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</si>
  <si>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</si>
  <si>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</si>
  <si>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</si>
  <si>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</si>
  <si>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</si>
  <si>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</si>
  <si>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</si>
  <si>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</si>
  <si>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</si>
  <si>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</si>
  <si>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</si>
  <si>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PUÑAL: VIVIENDA</t>
  </si>
  <si>
    <t>CONTACTO TRAUMATICO CON CUCHILLO, ESPADA, DAGA O PUÑAL: INSTITUCION RESIDENCIAL</t>
  </si>
  <si>
    <t>CONTACTO TRAUMATICO CON CUCHILLO, ESPADA, DAGA O PUÑAL: ESCUELAS, OTRAS INSTITUCIONES Y AREAS ADMINISTRATIVAS PUBLICAS</t>
  </si>
  <si>
    <t>CONTACTO TRAUMATICO CON CUCHILLO, ESPADA, DAGA O PUÑAL: AREAS DE DEPORTE Y ATLETISMO</t>
  </si>
  <si>
    <t>CONTACTO TRAUMATICO CON CUCHILLO, ESPADA, DAGA O PUÑAL: CALLES Y CARRETERAS</t>
  </si>
  <si>
    <t>CONTACTO TRAUMATICO CON CUCHILLO, ESPADA, DAGA O PUÑAL: COMERCIO Y AREA DE SERVICIOS</t>
  </si>
  <si>
    <t>CONTACTO TRAUMATICO CON CUCHILLO, ESPADA, DAGA O PUÑAL: AREA INDUSTRIAL Y DE LA CONSTRUCCION</t>
  </si>
  <si>
    <t>CONTACTO TRAUMATICO CON CUCHILLO, ESPADA, DAGA O PUÑAL: GRANJA</t>
  </si>
  <si>
    <t>CONTACTO TRAUMATICO CON CUCHILLO, ESPADA, DAGA O PUÑAL: OTRO LUGAR ESPECIFICADO</t>
  </si>
  <si>
    <t>CONTACTO TRAUMATICO CON CUCHILLO, ESPADA, DAGA O PUÑAL: LUGAR NO ESPECIFICADO</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</si>
  <si>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</si>
  <si>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</si>
  <si>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</si>
  <si>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</si>
  <si>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</si>
  <si>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</si>
  <si>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</si>
  <si>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</si>
  <si>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</si>
  <si>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</si>
  <si>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</si>
  <si>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</si>
  <si>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</si>
  <si>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</si>
  <si>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</si>
  <si>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</si>
  <si>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</si>
  <si>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</si>
  <si>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</si>
  <si>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</si>
  <si>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</si>
  <si>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</si>
  <si>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</si>
  <si>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</si>
  <si>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</si>
  <si>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</si>
  <si>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</si>
  <si>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</si>
  <si>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</si>
  <si>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</si>
  <si>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</si>
  <si>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</si>
  <si>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</si>
  <si>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</si>
  <si>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</si>
  <si>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</si>
  <si>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</si>
  <si>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</si>
  <si>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</si>
  <si>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</si>
  <si>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</si>
  <si>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</si>
  <si>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</si>
  <si>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</si>
  <si>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</si>
  <si>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</si>
  <si>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</si>
  <si>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</si>
  <si>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</si>
  <si>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</si>
  <si>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VIVIENDA</t>
  </si>
  <si>
    <t>DISPARO DE ARMA CORTA: INSTITUCION RESIDENCIAL</t>
  </si>
  <si>
    <t>DISPARO DE ARMA CORTA: ESCUELAS, OTRAS INSTITUCIONES Y AREAS ADMINISTRATIVAS PUBLICAS</t>
  </si>
  <si>
    <t>DISPARO DE ARMA CORTA: AREAS DE DEPORTE Y ATLETISMO</t>
  </si>
  <si>
    <t>DISPARO DE ARMA CORTA: CALLES Y CARRETERAS</t>
  </si>
  <si>
    <t>DISPARO DE ARMA CORTA: COMERCIO Y AREAS DE SERVICIO</t>
  </si>
  <si>
    <t>DISPARO DE ARMA CORTA: AREA INDUSTRIAL Y DE LA CONSTRUCCION</t>
  </si>
  <si>
    <t>DISPARO DE ARMA CORTA: GRANJA</t>
  </si>
  <si>
    <t>DISPARO DE ARMA CORTA: OTRO LUGAR ESPECIFICADO</t>
  </si>
  <si>
    <t>DISPARO DE ARMA CORTA: LUGAR NO ESPECIFICADO</t>
  </si>
  <si>
    <t>DISPARO DE RIFLE, ESCOPETA Y ARMA LARGA: VIVIENDA</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</si>
  <si>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</si>
  <si>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</si>
  <si>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</si>
  <si>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CALLES Y CARRETERAS</t>
  </si>
  <si>
    <t>DISPARO DE RIFLE, ESCOPETA Y ARMA LARGA: COMERCIO Y AREAS DE SERVICIO</t>
  </si>
  <si>
    <t>DISPARO DE RIFLE, ESCOPETA Y ARMA LARGA: AREA INDUSTRIAL Y DE LA CONSTRUCCION</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</si>
  <si>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</si>
  <si>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</si>
  <si>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</si>
  <si>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</si>
  <si>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</si>
  <si>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</si>
  <si>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</si>
  <si>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CALLES Y CARRETERAS</t>
  </si>
  <si>
    <t>DISPARO DE OTRAS ARMAS DE FUEGO, Y LAS NO ESPECIFICADAS: COMERCIO Y AREAS DE SERVICIO</t>
  </si>
  <si>
    <t>DISPARO DE OTRAS ARMAS DE FUEGO, Y LAS NO ESPECIFICADAS: AREA INDUSTRIAL Y DE LA CONSTRUCCION</t>
  </si>
  <si>
    <t>DISPARO DE OTRAS ARMAS DE FUEGO, Y LAS NO ESPECIFICADAS: GRANJA</t>
  </si>
  <si>
    <t>DISPARO DE OTRAS ARMAS DE FUEGO, Y LAS NO ESPECIFICADAS: OTRO LUGAR ESPECIFICADO</t>
  </si>
  <si>
    <t>DISPARO DE OTRAS ARMAS DE FUEGO, Y LAS NO ESPECIFICADAS: LUGAR NO ESPECIFICADO</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</si>
  <si>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</si>
  <si>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</si>
  <si>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</si>
  <si>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</si>
  <si>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</si>
  <si>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AREAS DE SERVICIO</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</si>
  <si>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</si>
  <si>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</si>
  <si>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</si>
  <si>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</si>
  <si>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</si>
  <si>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</si>
  <si>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</si>
  <si>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</si>
  <si>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</si>
  <si>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AREAS DE SERVICIO</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</si>
  <si>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</si>
  <si>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</si>
  <si>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</si>
  <si>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</si>
  <si>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</si>
  <si>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</si>
  <si>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</si>
  <si>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</si>
  <si>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</si>
  <si>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AREAS DE SERVICIO</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</si>
  <si>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</si>
  <si>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</si>
  <si>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</si>
  <si>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</si>
  <si>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</si>
  <si>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</si>
  <si>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</si>
  <si>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</si>
  <si>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</si>
  <si>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AREAS DE SERVICIO</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</si>
  <si>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</si>
  <si>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</si>
  <si>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</si>
  <si>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</si>
  <si>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</si>
  <si>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</si>
  <si>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</si>
  <si>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</si>
  <si>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</si>
  <si>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AREAS DE SERVICIO</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</si>
  <si>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</si>
  <si>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</si>
  <si>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</si>
  <si>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</si>
  <si>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</si>
  <si>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</si>
  <si>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</si>
  <si>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</si>
  <si>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</si>
  <si>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AREAS DE SERVICIO</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</si>
  <si>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</si>
  <si>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</si>
  <si>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</si>
  <si>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</si>
  <si>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</si>
  <si>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</si>
  <si>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</si>
  <si>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</si>
  <si>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</si>
  <si>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AREAS DE SERVICIO</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</si>
  <si>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</si>
  <si>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</si>
  <si>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</si>
  <si>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</si>
  <si>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</si>
  <si>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</si>
  <si>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</si>
  <si>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</si>
  <si>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</si>
  <si>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AREAS DE SERVICIO</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</si>
  <si>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</si>
  <si>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</si>
  <si>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</si>
  <si>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</si>
  <si>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</si>
  <si>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</si>
  <si>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</si>
  <si>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</si>
  <si>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</si>
  <si>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AREAS DE SERVICIO</t>
  </si>
  <si>
    <t>EXPOSICION A VIBRACIONES: AREA INDUSTRIAL Y DE LA CONSTRUCCION</t>
  </si>
  <si>
    <t>EXPOSICION A VIBRACIONES: GRANJA</t>
  </si>
  <si>
    <t>EXPOSICION A VIBRACIONES: OTRO LUGAR ESPECIFICADO</t>
  </si>
  <si>
    <t>EXPOSICION A VIBRACIONES: LUGAR NO ESPECIFICADO</t>
  </si>
  <si>
    <t>CUERPO EXTRAÑO QUE PENETRA POR EL OJO U ORIFICIO NATURAL: VIVIENDA</t>
  </si>
  <si>
    <t>CUERPO EXTRAÑO QUE PENETRA POR EL OJO U ORIFICIO NATURAL: INSTITUCION RESIDENCIAL</t>
  </si>
  <si>
    <t>CUERPO EXTRAÑO QUE PENETRA POR EL OJO U ORIFICIO NATURAL: ESCUELAS, OTRAS INSTITUCIONES Y AREAS ADMINISTRATIVAS PUBLICAS</t>
  </si>
  <si>
    <t>CUERPO EXTRAÑO QUE PENETRA POR EL OJO U ORIFICIO NATURAL: AREAS DE DEPORTE Y ATLETISMO</t>
  </si>
  <si>
    <t>CUERPO EXTRAÑO QUE PENETRA POR EL OJO U ORIFICIO NATURAL: CALLES Y CARRETERAS</t>
  </si>
  <si>
    <t>CUERPO EXTRAÑO QUE PENETRA POR EL OJO U ORIFICIO NATURAL: COMERCIO Y AREAS DE SERVICIO</t>
  </si>
  <si>
    <t>CUERPO EXTRAÑO QUE PENETRA POR EL OJO U ORIFICIO NATURAL: AREA INDUSTRIAL Y DE LA CONSTRUCCION</t>
  </si>
  <si>
    <t>CUERPO EXTRAÑO QUE PENETRA POR EL OJO U ORIFICIO NATURAL: GRANJA</t>
  </si>
  <si>
    <t>CUERPO EXTRAÑO QUE PENETRA POR EL OJO U ORIFICIO NATURAL: OTRO LUGAR ESPECIFICADO</t>
  </si>
  <si>
    <t>CUERPO EXTRAÑO QUE PENETRA POR EL OJO U ORIFICIO NATURAL: LUGAR NO ESPECIFICADO</t>
  </si>
  <si>
    <t>CUERPO EXTRAÑO QUE PENETRA A TRAVES DE LA PIEL: VIVIENDA</t>
  </si>
  <si>
    <t>CUERPO EXTRAÑO QUE PENETRA A TRAVES DE LA PIEL: INSTITUCION RESIDENCIAL</t>
  </si>
  <si>
    <t>CUERPO EXTRAÑO QUE PENETRA A TRAVES DE LA PIEL: ESCUELAS, OTRAS INSTITUCIONES Y AREAS ADMINISTRATIVAS PUBLICAS</t>
  </si>
  <si>
    <t>CUERPO EXTRAÑO QUE PENETRA A TRAVES DE LA PIEL: AREAS DE DEPORTE Y ATLETISMO</t>
  </si>
  <si>
    <t>CUERPO EXTRAÑO QUE PENETRA A TRAVES DE LA PIEL: CALLES Y CARRETERAS</t>
  </si>
  <si>
    <t>CUERPO EXTRAÑO QUE PENETRA A TRAVES DE LA PIEL: COMERCIO Y AREAS DE SERVICIO</t>
  </si>
  <si>
    <t>CUERPO EXTRAÑO QUE PENETRA A TRAVES DE LA PIEL: AREA INDUSTRIAL Y DE LA CONSTRUCCION</t>
  </si>
  <si>
    <t>CUERPO EXTRAÑO QUE PENETRA A TRAVES DE LA PIEL: GRANJA</t>
  </si>
  <si>
    <t>CUERPO EXTRAÑO QUE PENETRA A TRAVES DE LA PIEL: OTRO LUGAR ESPECIFICADO</t>
  </si>
  <si>
    <t>CUERPO EXTRAÑO QUE PENETRA A TRAVES DE LA PIEL: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</si>
  <si>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</si>
  <si>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</si>
  <si>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</si>
  <si>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</si>
  <si>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</si>
  <si>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AREAS DE SERVICIO</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</si>
  <si>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</si>
  <si>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</si>
  <si>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</si>
  <si>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</si>
  <si>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RASGUÑO O TORCEDURA INFLIGIDOS POR OTRA PERSONA: VIVIENDA</t>
  </si>
  <si>
    <t>APORREO, GOLPE, MORDEDURA, PATADA, RASGUÑO O TORCEDURA INFLIGIDOS POR OTRA PERSONA: INSTITUCION RESIDENCIAL</t>
  </si>
  <si>
    <t>APORREO, GOLPE, MORDEDURA, PATADA, RASGUÑO O TORCEDURA INFLIGIDOS POR OTRA PERSONA: ESCUELAS, OTRAS INSTITUCIONES Y AREAS ADMINISTRATIVAS PUBLICAS</t>
  </si>
  <si>
    <t>APORREO, GOLPE, MORDEDURA, PATADA, RASGUÑO O TORCEDURA INFLIGIDOS POR OTRA PERSONA: AREAS DE DEPORTE Y ATLETISMO</t>
  </si>
  <si>
    <t>APORREO, GOLPE, MORDEDURA, PATADA, RASGUÑO O TORCEDURA INFLIGIDOS POR OTRA PERSONA: CALLES Y CARRETERAS</t>
  </si>
  <si>
    <t>APORREO, GOLPE, MORDEDURA, PATADA, RASGUÑO O TORCEDURA INFLIGIDOS POR OTRA PERSONA: COMERCIO Y AREAS DE SERVICIO</t>
  </si>
  <si>
    <t>APORREO, GOLPE, MORDEDURA, PATADA, RASGUÑO O TORCEDURA INFLIGIDOS POR OTRA PERSONA: AREA INDUSTRIAL Y DE LA CONSTRUCCION</t>
  </si>
  <si>
    <t>APORREO, GOLPE, MORDEDURA, PATADA, RASGUÑO O TORCEDURA INFLIGIDOS POR OTRA PERSONA: GRANJA</t>
  </si>
  <si>
    <t>APORREO, GOLPE, MORDEDURA, PATADA, RASGUÑO O TORCEDURA INFLIGIDOS POR OTRA PERSONA: OTRO LUGAR ESPECIFICADO</t>
  </si>
  <si>
    <t>APORREO, GOLPE, MORDEDURA, PATADA, RASGUÑO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</si>
  <si>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</si>
  <si>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</si>
  <si>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</si>
  <si>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</si>
  <si>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</si>
  <si>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AREAS DE SERVICIO</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</si>
  <si>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</si>
  <si>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</si>
  <si>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</si>
  <si>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</si>
  <si>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VIVIENDA</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</si>
  <si>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</si>
  <si>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</si>
  <si>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</si>
  <si>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CALLES Y CARRETERAS</t>
  </si>
  <si>
    <t>PERSONA APLASTADA, EMPUJADA O PISOTEADA POR UNA MULTITUD O ESTAMPIDA HUMANA: COMERCIO Y AREAS DE SERVICIO</t>
  </si>
  <si>
    <t>PERSONA APLASTADA, EMPUJADA O PISOTEADA POR UNA MULTITUD O ESTAMPIDA HUMANA: AREA INDUSTRIAL Y DE LA CONSTRUCCION</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</si>
  <si>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</si>
  <si>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</si>
  <si>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</si>
  <si>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</si>
  <si>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INSTITUCION RESIDENCIAL</t>
  </si>
  <si>
    <t>MORDEDURA DE RATA: ESCUELAS, OTRAS INSTITUCIONES Y AREAS ADMINISTRATIVAS PUBLICAS</t>
  </si>
  <si>
    <t>MORDEDURA DE RATA: AREAS DE DEPORTE Y ATLETISMO</t>
  </si>
  <si>
    <t>MORDEDURA DE RATA: CALLES Y CARRETERAS</t>
  </si>
  <si>
    <t>MORDEDURA DE RATA: COMERCIO Y AREAS DE SERVICIO</t>
  </si>
  <si>
    <t>MORDEDURA DE RATA: AREA INDUSTRIAL Y DE LA CONSTRUCCION</t>
  </si>
  <si>
    <t>MORDEDURA DE RATA: GRANJA</t>
  </si>
  <si>
    <t>MORDEDURA DE RATA: OTRO LUGAR ESPECIFICADO</t>
  </si>
  <si>
    <t>MORDEDURA DE RATA: LUGAR NO ESPECIFICADO</t>
  </si>
  <si>
    <t>MORDEDURA O ATAQUE DE PERRO: VIVIENDA</t>
  </si>
  <si>
    <t>MORDEDURA O ATAQUE DE PERRO: INSTITUCION RESIDENCIAL</t>
  </si>
  <si>
    <t>MORDEDURA O ATAQUE DE PERRO: ESCUELAS, OTRAS INSTITUCIONES Y AREAS ADMINISTRATIVAS PUBLICAS</t>
  </si>
  <si>
    <t>MORDEDURA O ATAQUE DE PERRO: AREAS DE DEPORTE Y ATLETISMO</t>
  </si>
  <si>
    <t>MORDEDURA O ATAQUE DE PERRO: CALLES Y CARRETERAS</t>
  </si>
  <si>
    <t>MORDEDURA O ATAQUE DE PERRO: COMERCIO Y AREAS DE SERVICIO</t>
  </si>
  <si>
    <t>MORDEDURA O ATAQUE DE PERRO: AREA INDUSTRIAL Y DE LA CONSTRUCCION</t>
  </si>
  <si>
    <t>MORDEDURA O ATAQUE DE PERRO: GRANJA</t>
  </si>
  <si>
    <t>MORDEDURA O ATAQUE DE PERRO: OTRO LUGAR ESPECIFICADO</t>
  </si>
  <si>
    <t>MORDEDURA O ATAQUE DE PERRO: LUGAR NO ESPECIFICADO</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</si>
  <si>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</si>
  <si>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</si>
  <si>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</si>
  <si>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</si>
  <si>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</si>
  <si>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AREAS DE SERVICIO</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</si>
  <si>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</si>
  <si>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</si>
  <si>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</si>
  <si>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</si>
  <si>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</si>
  <si>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</si>
  <si>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</si>
  <si>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</si>
  <si>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</si>
  <si>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AREAS DE SERVICIO</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</si>
  <si>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</si>
  <si>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</si>
  <si>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</si>
  <si>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</si>
  <si>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</si>
  <si>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</si>
  <si>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</si>
  <si>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</si>
  <si>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</si>
  <si>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AREAS DE SERVICIO</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</si>
  <si>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</si>
  <si>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</si>
  <si>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</si>
  <si>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</si>
  <si>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</si>
  <si>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</si>
  <si>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</si>
  <si>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</si>
  <si>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</si>
  <si>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AREAS DE SERVICIO</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</si>
  <si>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</si>
  <si>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</si>
  <si>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</si>
  <si>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</si>
  <si>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VIVIENDA</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</si>
  <si>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</si>
  <si>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</si>
  <si>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</si>
  <si>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CALLES Y CARRETERAS</t>
  </si>
  <si>
    <t>MORDEDURA O APLASTAMIENTO POR OTROS REPTILES: COMERCIO Y AREAS DE SERVICIO</t>
  </si>
  <si>
    <t>MORDEDURA O APLASTAMIENTO POR OTROS REPTILES: AREA INDUSTRIAL Y DE LA CONSTRUCCION</t>
  </si>
  <si>
    <t>MORDEDURA O APLASTAMIENTO POR OTROS REPTILES: GRANJA</t>
  </si>
  <si>
    <t>MORDEDURA O APLASTAMIENTO POR OTROS REPTILES: OTRO LUGAR ESPECIFICADO</t>
  </si>
  <si>
    <t>MORDEDURA O APLASTAMIENTO POR OTROS REPTILES: LUGAR NO ESPECIFICADO</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</si>
  <si>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</si>
  <si>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</si>
  <si>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</si>
  <si>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</si>
  <si>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</si>
  <si>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AREAS DE SERVICIO</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</si>
  <si>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</si>
  <si>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</si>
  <si>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</si>
  <si>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</si>
  <si>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</si>
  <si>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</si>
  <si>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</si>
  <si>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</si>
  <si>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</si>
  <si>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AREAS DE SERVICIO</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</si>
  <si>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</si>
  <si>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</si>
  <si>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</si>
  <si>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</si>
  <si>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BAÑERA: VIVIENDA</t>
  </si>
  <si>
    <t>AHOGAMIENTO Y SUMERSION MIENTRAS SE ESTA EN LA BAÑERA: INSTITUCION RESIDENCIAL</t>
  </si>
  <si>
    <t>AHOGAMIENTO Y SUMERSION MIENTRAS SE ESTA EN LA BAÑERA: ESCUELAS, OTRAS INSTITUCIONES Y AREAS ADMINISTRATIVAS PUBLICAS</t>
  </si>
  <si>
    <t>AHOGAMIENTO Y SUMERSION MIENTRAS SE ESTA EN LA BAÑERA: AREAS DE DEPORTE Y ATLETISMO</t>
  </si>
  <si>
    <t>AHOGAMIENTO Y SUMERSION MIENTRAS SE ESTA EN LA BAÑERA: CALLES Y CARRETERAS</t>
  </si>
  <si>
    <t>AHOGAMIENTO Y SUMERSION MIENTRAS SE ESTA EN LA BAÑERA: COMERCIO Y AREAS DE SERVICIO</t>
  </si>
  <si>
    <t>AHOGAMIENTO Y SUMERSION MIENTRAS SE ESTA EN LA BAÑERA: AREA INDUSTRIAL Y DE LA CONSTRUCCION</t>
  </si>
  <si>
    <t>AHOGAMIENTO Y SUMERSION MIENTRAS SE ESTA EN LA BAÑERA: GRANJA</t>
  </si>
  <si>
    <t>AHOGAMIENTO Y SUMERSION MIENTRAS SE ESTA EN LA BAÑERA: OTRO LUGAR ESPECIFICADO</t>
  </si>
  <si>
    <t>AHOGAMIENTO Y SUMERSION MIENTRAS SE ESTA EN LA BAÑERA: LUGAR NO ESPECIFICADO</t>
  </si>
  <si>
    <t>AHOGAMIENTO Y SUMERSION CONSECUTIVOS A CAIDA EN LA BAÑERA: VIVIENDA</t>
  </si>
  <si>
    <t>AHOGAMIENTO Y SUMERSION CONSECUTIVOS A CAIDA EN LA BAÑERA: INSTITUCION RESIDENCIAL</t>
  </si>
  <si>
    <t>AHOGAMIENTO Y SUMERSION CONSECUTIVOS A CAIDA EN LA BAÑERA: ESCUELAS, OTRAS INSTITUCIONES Y AREAS ADMINISTRATIVAS PUBLICAS</t>
  </si>
  <si>
    <t>AHOGAMIENTO Y SUMERSION CONSECUTIVOS A CAIDA EN LA BAÑERA: AREAS DE DEPORTE Y ATLETISMO</t>
  </si>
  <si>
    <t>AHOGAMIENTO Y SUMERSION CONSECUTIVOS A CAIDA EN LA BAÑERA: CALLES Y CARRETERAS</t>
  </si>
  <si>
    <t>AHOGAMIENTO Y SUMERSION CONSECUTIVOS A CAIDA EN LA BAÑERA: COMERCIO Y AREAS DE SERVICIO</t>
  </si>
  <si>
    <t>AHOGAMIENTO Y SUMERSION CONSECUTIVOS A CAIDA EN LA BAÑERA: AREA INDUSTRIAL Y DE LA CONSTRUCCION</t>
  </si>
  <si>
    <t>AHOGAMIENTO Y SUMERSION CONSECUTIVOS A CAIDA EN LA BAÑERA: GRANJA</t>
  </si>
  <si>
    <t>AHOGAMIENTO Y SUMERSION CONSECUTIVOS A CAIDA EN LA BAÑERA: OTRO LUGAR ESPECIFICADO</t>
  </si>
  <si>
    <t>AHOGAMIENTO Y SUMERSION CONSECUTIVOS A CAIDA EN LA BAÑERA: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</si>
  <si>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</si>
  <si>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</si>
  <si>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</si>
  <si>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</si>
  <si>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</si>
  <si>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AREAS DE SERVICIO</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</si>
  <si>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</si>
  <si>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</si>
  <si>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</si>
  <si>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</si>
  <si>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</si>
  <si>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</si>
  <si>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</si>
  <si>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</si>
  <si>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</si>
  <si>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AREAS DE SERVICIO</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</si>
  <si>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</si>
  <si>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</si>
  <si>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</si>
  <si>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</si>
  <si>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</si>
  <si>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</si>
  <si>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</si>
  <si>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</si>
  <si>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</si>
  <si>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AREAS DE SERVICIO</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</si>
  <si>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</si>
  <si>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</si>
  <si>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</si>
  <si>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</si>
  <si>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</si>
  <si>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</si>
  <si>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</si>
  <si>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</si>
  <si>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</si>
  <si>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AREAS DE SERVICIO</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</si>
  <si>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</si>
  <si>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</si>
  <si>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</si>
  <si>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</si>
  <si>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VIVIENDA</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</si>
  <si>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</si>
  <si>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</si>
  <si>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</si>
  <si>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CALLES Y CARRETERAS</t>
  </si>
  <si>
    <t>OTROS AHOGAMIENTOS Y SUMERSIONES ESPECIFICADOS: COMERCIO Y AREAS DE SERVICIO</t>
  </si>
  <si>
    <t>OTROS AHOGAMIENTOS Y SUMERSIONES ESPECIFICADOS: AREA INDUSTRIAL Y DE LA CONSTRUCCION</t>
  </si>
  <si>
    <t>OTROS AHOGAMIENTOS Y SUMERSIONES ESPECIFICADOS: GRANJA</t>
  </si>
  <si>
    <t>OTROS AHOGAMIENTOS Y SUMERSIONES ESPECIFICADOS: OTRO LUGAR ESPECIFICADO</t>
  </si>
  <si>
    <t>OTROS AHOGAMIENTOS Y SUMERSIONES ESPECIFICADOS: LUGAR NO ESPECIFICADO</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</si>
  <si>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</si>
  <si>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</si>
  <si>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</si>
  <si>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</si>
  <si>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</si>
  <si>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AREAS DE SERVICIO</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</si>
  <si>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</si>
  <si>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</si>
  <si>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</si>
  <si>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</si>
  <si>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</si>
  <si>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</si>
  <si>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</si>
  <si>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</si>
  <si>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</si>
  <si>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AREAS DE SERVICIO</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</si>
  <si>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</si>
  <si>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</si>
  <si>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</si>
  <si>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</si>
  <si>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VIVIENDA</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</si>
  <si>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</si>
  <si>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</si>
  <si>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</si>
  <si>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CALLES Y CARRETERAS</t>
  </si>
  <si>
    <t>OTROS ESTRANGULAMIENTOS Y AHORCAMIENTOS ACCIDENTALES: COMERCIO Y AREAS DE SERVICIO</t>
  </si>
  <si>
    <t>OTROS ESTRANGULAMIENTOS Y AHORCAMIENTOS ACCIDENTALES: AREA INDUSTRIAL Y DE LA CONSTRUCCION</t>
  </si>
  <si>
    <t>OTROS ESTRANGULAMIENTOS Y AHORCAMIENTOS ACCIDENTALES: GRANJA</t>
  </si>
  <si>
    <t>OTROS ESTRANGULAMIENTOS Y AHORCAMIENTOS ACCIDENTALES: OTRO LUGAR ESPECIFICADO</t>
  </si>
  <si>
    <t>OTROS ESTRANGULAMIENTOS Y AHORCAMIENTOS ACCIDENTALES: LUGAR NO ESPECIFICADO</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</si>
  <si>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</si>
  <si>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</si>
  <si>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</si>
  <si>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</si>
  <si>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</si>
  <si>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AREAS DE SERVICIO</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</si>
  <si>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</si>
  <si>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</si>
  <si>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</si>
  <si>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</si>
  <si>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</si>
  <si>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</si>
  <si>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</si>
  <si>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</si>
  <si>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</si>
  <si>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AREAS DE SERVICIO</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</si>
  <si>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</si>
  <si>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</si>
  <si>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</si>
  <si>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</si>
  <si>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</si>
  <si>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</si>
  <si>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</si>
  <si>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</si>
  <si>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</si>
  <si>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AREAS DE SERVICIO</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</si>
  <si>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</si>
  <si>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</si>
  <si>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</si>
  <si>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</si>
  <si>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</si>
  <si>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</si>
  <si>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INSTITUCIONES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</si>
  <si>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</si>
  <si>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</si>
  <si>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AREAS DE SERVICIO</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</si>
  <si>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</si>
  <si>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</si>
  <si>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</si>
  <si>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</si>
  <si>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VIVIENDA</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</si>
  <si>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</si>
  <si>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</si>
  <si>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</si>
  <si>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CALLES Y CARRETERAS</t>
  </si>
  <si>
    <t>CONFINADO O ATRAPADO EN UN AMBIENTE CON BAJO CONTENIDO DE OXIGENO: COMERCIO Y AREAS DE SERVICIO</t>
  </si>
  <si>
    <t>CONFINADO O ATRAPADO EN UN AMBIENTE CON BAJO CONTENIDO DE OXIGENO: AREA INDUSTRIAL Y DE LA CONSTRUCCION</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</si>
  <si>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</si>
  <si>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</si>
  <si>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</si>
  <si>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</si>
  <si>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</si>
  <si>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</si>
  <si>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</si>
  <si>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</si>
  <si>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AREAS DE SERVICIO</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</si>
  <si>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</si>
  <si>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</si>
  <si>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</si>
  <si>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</si>
  <si>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OBSTRUCCIONES NO ESPECIFICADA DE LA RESPIRACION: VIVIENDA</t>
  </si>
  <si>
    <t>OBSTRUCCIONES NO ESPECIFICADA DE LA RESPIRACION: INSTITUCION RESIDENCIAL</t>
  </si>
  <si>
    <t>OBSTRUCCIONES NO ESPECIFICADA DE LA RESPIRACION: ESCUELAS, OTRAS INSTITUCIONES Y AREAS ADMINISTRATIVAS PUBLICAS</t>
  </si>
  <si>
    <t>OBSTRUCCIONES NO ESPECIFICADA DE LA RESPIRACION: AREAS DE DEPORTE Y ATLETISMO</t>
  </si>
  <si>
    <t>OBSTRUCCIONES NO ESPECIFICADA DE LA RESPIRACION: CALLES Y CARRETERAS</t>
  </si>
  <si>
    <t>OBSTRUCCIONES NO ESPECIFICADA DE LA RESPIRACION: COMERCIO Y AREAS DE SERVICIO</t>
  </si>
  <si>
    <t>OBSTRUCCIONES NO ESPECIFICADA DE LA RESPIRACION: AREA INDUSTRIAL Y DE LA CONSTRUCCION</t>
  </si>
  <si>
    <t>OBSTRUCCIONES NO ESPECIFICADA DE LA RESPIRACION: GRANJA</t>
  </si>
  <si>
    <t>OBSTRUCCIONES NO ESPECIFICADA DE LA RESPIRACION: OTRO LUGAR ESPECIFICADO</t>
  </si>
  <si>
    <t>OBSTRUCCIONES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</si>
  <si>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</si>
  <si>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</si>
  <si>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</si>
  <si>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</si>
  <si>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</si>
  <si>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AREAS DE SERVICIO</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</si>
  <si>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</si>
  <si>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</si>
  <si>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</si>
  <si>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</si>
  <si>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</si>
  <si>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</si>
  <si>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</si>
  <si>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</si>
  <si>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</si>
  <si>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AREAS DE SERVICIO</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</si>
  <si>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</si>
  <si>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</si>
  <si>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</si>
  <si>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</si>
  <si>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</si>
  <si>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</si>
  <si>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</si>
  <si>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</si>
  <si>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</si>
  <si>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AREAS DE SERVICIO</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</si>
  <si>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</si>
  <si>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</si>
  <si>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</si>
  <si>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</si>
  <si>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</si>
  <si>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</si>
  <si>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</si>
  <si>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</si>
  <si>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</si>
  <si>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AREAS DE SERVICIO</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</si>
  <si>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</si>
  <si>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</si>
  <si>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</si>
  <si>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</si>
  <si>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</si>
  <si>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</si>
  <si>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</si>
  <si>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</si>
  <si>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</si>
  <si>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AREAS DE SERVICIO</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</si>
  <si>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</si>
  <si>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</si>
  <si>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</si>
  <si>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</si>
  <si>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</si>
  <si>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</si>
  <si>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</si>
  <si>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</si>
  <si>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</si>
  <si>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AREAS DE SERVICIO</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</si>
  <si>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</si>
  <si>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</si>
  <si>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</si>
  <si>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</si>
  <si>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</si>
  <si>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</si>
  <si>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</si>
  <si>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</si>
  <si>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</si>
  <si>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AREAS DE SERVICIO</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</si>
  <si>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</si>
  <si>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</si>
  <si>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</si>
  <si>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</si>
  <si>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</si>
  <si>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</si>
  <si>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</si>
  <si>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</si>
  <si>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</si>
  <si>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AREAS DE SERVICIO</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</si>
  <si>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</si>
  <si>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</si>
  <si>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</si>
  <si>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</si>
  <si>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</si>
  <si>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</si>
  <si>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</si>
  <si>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</si>
  <si>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</si>
  <si>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AREAS DE SERVICIO</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</si>
  <si>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</si>
  <si>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</si>
  <si>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</si>
  <si>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</si>
  <si>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</si>
  <si>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</si>
  <si>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</si>
  <si>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</si>
  <si>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</si>
  <si>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AREAS DE SERVICIO</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</si>
  <si>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</si>
  <si>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</si>
  <si>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</si>
  <si>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</si>
  <si>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</si>
  <si>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</si>
  <si>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</si>
  <si>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</si>
  <si>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</si>
  <si>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AREAS DE SERVICIO</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</si>
  <si>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</si>
  <si>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</si>
  <si>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</si>
  <si>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</si>
  <si>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</si>
  <si>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</si>
  <si>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</si>
  <si>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</si>
  <si>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</si>
  <si>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AREAS DE SERVICIO</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</si>
  <si>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</si>
  <si>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</si>
  <si>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</si>
  <si>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</si>
  <si>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</si>
  <si>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</si>
  <si>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</si>
  <si>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</si>
  <si>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</si>
  <si>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AREAS DE SERVICIO</t>
  </si>
  <si>
    <t>EXPOSICION A FUEGO NO CONTROLADO EN LUGAR QUE NO ES EDIFICIO U OTRA CONSTRUCCION: AREAS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</si>
  <si>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</si>
  <si>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</si>
  <si>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</si>
  <si>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</si>
  <si>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</si>
  <si>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</si>
  <si>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</si>
  <si>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</si>
  <si>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</si>
  <si>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</si>
  <si>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</si>
  <si>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</si>
  <si>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</si>
  <si>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</si>
  <si>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</si>
  <si>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</si>
  <si>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</si>
  <si>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</si>
  <si>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AREAS DE SERVICIO</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</si>
  <si>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</si>
  <si>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</si>
  <si>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</si>
  <si>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</si>
  <si>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</si>
  <si>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</si>
  <si>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</si>
  <si>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</si>
  <si>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</si>
  <si>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AREAS DE SERVICIO</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</si>
  <si>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</si>
  <si>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</si>
  <si>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</si>
  <si>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</si>
  <si>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</si>
  <si>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</si>
  <si>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</si>
  <si>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</si>
  <si>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</si>
  <si>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</si>
  <si>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</si>
  <si>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</si>
  <si>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</si>
  <si>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</si>
  <si>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</si>
  <si>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</si>
  <si>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</si>
  <si>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</si>
  <si>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</si>
  <si>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AREAS DE SERVICIO</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</si>
  <si>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</si>
  <si>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</si>
  <si>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</si>
  <si>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</si>
  <si>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</si>
  <si>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</si>
  <si>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</si>
  <si>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</si>
  <si>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</si>
  <si>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AREAS DE SERVICIO</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</si>
  <si>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</si>
  <si>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</si>
  <si>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</si>
  <si>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</si>
  <si>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</si>
  <si>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</si>
  <si>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</si>
  <si>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</si>
  <si>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</si>
  <si>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AREAS DE SERVICIO</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</si>
  <si>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</si>
  <si>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</si>
  <si>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</si>
  <si>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</si>
  <si>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VIVIENDA</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</si>
  <si>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</si>
  <si>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</si>
  <si>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</si>
  <si>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CALLES Y CARRETERAS</t>
  </si>
  <si>
    <t>CONTACTO CON BEBIDAS, ALIMENTOS, GRASAS Y ACEITES PARA COCINAR, CALIENTES: COMERCIO Y AREAS DE SERVICIO</t>
  </si>
  <si>
    <t>CONTACTO CON BEBIDAS, ALIMENTOS, GRASAS Y ACEITES PARA COCINAR, CALIENTES: AREA INDUSTRIAL Y DE LA CONSTRUCCION</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</si>
  <si>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</si>
  <si>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</si>
  <si>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</si>
  <si>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</si>
  <si>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</si>
  <si>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</si>
  <si>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</si>
  <si>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CALLES Y CARRETERAS</t>
  </si>
  <si>
    <t>CONTACTO CON AGUA CALIENTE CORRIENTE: COMERCIO Y AREAS DE SERVICIO</t>
  </si>
  <si>
    <t>CONTACTO CON AGUA CALIENTE CORRIENTE: AREA INDUSTRIAL Y DE LA CONSTRUCCION</t>
  </si>
  <si>
    <t>CONTACTO CON AGUA CALIENTE CORRIENTE: GRANJA</t>
  </si>
  <si>
    <t>CONTACTO CON AGUA CALIENTE CORRIENTE: OTRO LUGAR ESPECIFICADO</t>
  </si>
  <si>
    <t>CONTACTO CON AGUA CALIENTE CORRIENTE: LUGAR NO ESPECIFICADO</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</si>
  <si>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</si>
  <si>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</si>
  <si>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</si>
  <si>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</si>
  <si>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</si>
  <si>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AREAS DE SERVICIO</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</si>
  <si>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</si>
  <si>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</si>
  <si>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</si>
  <si>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</si>
  <si>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VIVIENDA</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</si>
  <si>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</si>
  <si>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</si>
  <si>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</si>
  <si>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CALLES Y CARRETERAS</t>
  </si>
  <si>
    <t>CONTACTO CON VAPOR DE AGUA Y OTROS VAPORES CALIENTES: COMERCIO Y AREAS DE SERVICIO</t>
  </si>
  <si>
    <t>CONTACTO CON VAPOR DE AGUA Y OTROS VAPORES CALIENTES: AREA INDUSTRIAL Y DE LA CONSTRUCCION</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</si>
  <si>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</si>
  <si>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</si>
  <si>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</si>
  <si>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</si>
  <si>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</si>
  <si>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</si>
  <si>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</si>
  <si>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CALLES Y CARRETERAS</t>
  </si>
  <si>
    <t>CONTACTO CON AIRE Y GASES CALIENTES: COMERCIO Y AREAS DE SERVICIO</t>
  </si>
  <si>
    <t>CONTACTO CON AIRE Y GASES CALIENTES: AREA INDUSTRIAL Y DE LA CONSTRUCCION</t>
  </si>
  <si>
    <t>CONTACTO CON AIRE Y GASES CALIENTES: GRANJA</t>
  </si>
  <si>
    <t>CONTACTO CON AIRE Y GASES CALIENTES: OTRO LUGAR ESPECIFICADO</t>
  </si>
  <si>
    <t>CONTACTO CON AIRE Y GASES CALIENTES: LUGAR NO ESPECIFICADO</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</si>
  <si>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</si>
  <si>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</si>
  <si>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</si>
  <si>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</si>
  <si>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</si>
  <si>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AREAS DE SERVICIO</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</si>
  <si>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</si>
  <si>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</si>
  <si>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</si>
  <si>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</si>
  <si>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CAÑERIAS Y ARTEFACTOS PARA CALEFACCION, CALIENTES: VIVIENDA</t>
  </si>
  <si>
    <t>CONTACTO CON RADIADORES, CAÑERIAS Y ARTEFACTOS PARA CALEFACCION, CALIENTES: INSTITUCION RESIDENCIAL</t>
  </si>
  <si>
    <t>CONTACTO CON RADIADORES, CAÑERIAS Y ARTEFACTOS PARA CALEFACCION, CALIENTES: ESCUELAS, OTRAS INSTITUCIONES Y AREAS ADMINISTRATIVAS PUBLICAS</t>
  </si>
  <si>
    <t>CONTACTO CON RADIADORES, CAÑERIAS Y ARTEFACTOS PARA CALEFACCION, CALIENTES: AREAS DE DEPORTE Y ATLETISMO</t>
  </si>
  <si>
    <t>CONTACTO CON RADIADORES, CAÑERIAS Y ARTEFACTOS PARA CALEFACCION, CALIENTES: CALLES Y CARRETERAS</t>
  </si>
  <si>
    <t>CONTACTO CON RADIADORES, CAÑERIAS Y ARTEFACTOS PARA CALEFACCION, CALIENTES: COMERCIO Y AREAS DE SERVICIO</t>
  </si>
  <si>
    <t>CONTACTO CON RADIADORES, CAÑERIAS Y ARTEFACTOS PARA CALEFACCION, CALIENTES: AREA INDUSTRIAL Y DE LA CONSTRUCCION</t>
  </si>
  <si>
    <t>CONTACTO CON RADIADORES, CAÑERIAS Y ARTEFACTOS PARA CALEFACCION, CALIENTES: GRANJA</t>
  </si>
  <si>
    <t>CONTACTO CON RADIADORES, CAÑERIAS Y ARTEFACTOS PARA CALEFACCION, CALIENTES: OTRO LUGAR ESPECIFICADO</t>
  </si>
  <si>
    <t>CONTACTO CON RADIADORES, CAÑERIAS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</si>
  <si>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</si>
  <si>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</si>
  <si>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</si>
  <si>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</si>
  <si>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</si>
  <si>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AREAS DE SERVICIO</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</si>
  <si>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</si>
  <si>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</si>
  <si>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</si>
  <si>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</si>
  <si>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VIVIENDA</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</si>
  <si>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</si>
  <si>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</si>
  <si>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</si>
  <si>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CALLES Y CARRETERAS</t>
  </si>
  <si>
    <t>CONTACTO CON OTROS METALES CALIENTES: COMERCIO Y AREAS DE SERVICIO</t>
  </si>
  <si>
    <t>CONTACTO CON OTROS METALES CALIENTES: AREA INDUSTRIAL Y DE LA CONSTRUCCION</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</si>
  <si>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</si>
  <si>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</si>
  <si>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</si>
  <si>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</si>
  <si>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</si>
  <si>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</si>
  <si>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</si>
  <si>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CALLES Y CARRETERAS</t>
  </si>
  <si>
    <t>CONTACTO CON OTRAS SUSTANCIAS CALIENTES, Y LAS NO ESPECIFICADAS: COMERCIO Y AREAS DE SERVICIO</t>
  </si>
  <si>
    <t>CONTACTO CON OTRAS SUSTANCIAS CALIENTES, Y LAS NO ESPECIFICADAS: AREA INDUSTRIAL Y DE LA CONSTRUCCION</t>
  </si>
  <si>
    <t>CONTACTO CON OTRAS SUSTANCIAS CALIENTES, Y LAS NO ESPECIFICADAS: GRANJA</t>
  </si>
  <si>
    <t>CONTACTO CON OTRAS SUSTANCIAS CALIENTES, Y LAS NO ESPECIFICADAS: OTRO LUGAR ESPECIFICADO</t>
  </si>
  <si>
    <t>CONTACTO CON OTRAS SUSTANCIAS CALIENTES, Y LAS NO ESPECIFICADAS: LUGAR NO ESPECIFICADO</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</si>
  <si>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</si>
  <si>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</si>
  <si>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</si>
  <si>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</si>
  <si>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</si>
  <si>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AREAS DE SERVICIO</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</si>
  <si>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</si>
  <si>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</si>
  <si>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</si>
  <si>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</si>
  <si>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ARAÑAS VENENOSAS: VIVIENDA</t>
  </si>
  <si>
    <t>CONTACTO TRAUMATICO CON ARAÑAS VENENOSAS: INSTITUCION RESIDENCIAL</t>
  </si>
  <si>
    <t>CONTACTO TRAUMATICO CON ARAÑAS VENENOSAS: ESCUELAS, OTRAS INSTITUCIONES Y AREAS ADMINISTRATIVAS PUBLICAS</t>
  </si>
  <si>
    <t>CONTACTO TRAUMATICO CON ARAÑAS VENENOSAS: AREAS DE DEPORTE Y ATLETISMO</t>
  </si>
  <si>
    <t>CONTACTO TRAUMATICO CON ARAÑAS VENENOSAS: CALLES Y CARRETERAS</t>
  </si>
  <si>
    <t>CONTACTO TRAUMATICO CON ARAÑAS VENENOSAS: COMERCIO Y AREAS DE SERVICIO</t>
  </si>
  <si>
    <t>CONTACTO TRAUMATICO CON ARAÑAS VENENOSAS: AREA INDUSTRIAL Y DE LA CONSTRUCCION</t>
  </si>
  <si>
    <t>CONTACTO TRAUMATICO CON ARAÑAS VENENOSAS: GRANJA</t>
  </si>
  <si>
    <t>CONTACTO TRAUMATICO CON ARAÑAS VENENOSAS: OTRO LUGAR ESPECIFICADO</t>
  </si>
  <si>
    <t>CONTACTO TRAUMATICO CON ARAÑAS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</si>
  <si>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</si>
  <si>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</si>
  <si>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</si>
  <si>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</si>
  <si>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</si>
  <si>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AREAS DE SERVICIO</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</si>
  <si>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</si>
  <si>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</si>
  <si>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</si>
  <si>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</si>
  <si>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</si>
  <si>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</si>
  <si>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</si>
  <si>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</si>
  <si>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</si>
  <si>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AREAS DE SERVICIO</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</si>
  <si>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</si>
  <si>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</si>
  <si>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</si>
  <si>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</si>
  <si>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</si>
  <si>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</si>
  <si>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</si>
  <si>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</si>
  <si>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</si>
  <si>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AREAS DE SERVICIO</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</si>
  <si>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</si>
  <si>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</si>
  <si>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</si>
  <si>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</si>
  <si>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ESPECIFICADOS: VIVIENDA</t>
  </si>
  <si>
    <t>CONTACTO TRAUMATICO CON OTROS ARTROPODOS VENENOSOS ESPECIFICADOS: INSTITUCION RESIDENCIAL</t>
  </si>
  <si>
    <t>CONTACTO TRAUMATICO CON OTROS ARTROPODOS VENENOSOS ESPECIFICADOS: ESCUELAS, OTRAS INSTITUCIONES Y AREAS ADMINISTRATIVAS PUBLICAS</t>
  </si>
  <si>
    <t>CONTACTO TRAUMATICO CON OTROS ARTROPODOS VENENOSOS ESPECIFICADOS: AREAS DE DEPORTE Y ATLETISMO</t>
  </si>
  <si>
    <t>CONTACTO TRAUMATICO CON OTROS ARTROPODOS VENENOSOS ESPECIFICADOS: CALLES Y CARRETERAS</t>
  </si>
  <si>
    <t>CONTACTO TRAUMATICO CON OTROS ARTROPODOS VENENOSOS ESPECIFICADOS: COMERCIO Y AREAS DE SERVICIO</t>
  </si>
  <si>
    <t>CONTACTO TRAUMATICO CON OTROS ARTROPODOS VENENOSOS ESPECIFICADOS: AREA INDUSTRIAL Y DE LA CONSTRUCCION</t>
  </si>
  <si>
    <t>CONTACTO TRAUMATICO CON OTROS ARTROPODOS VENENOSOS ESPECIFICADOS: GRANJA</t>
  </si>
  <si>
    <t>CONTACTO TRAUMATICO CON OTROS ARTROPODOS VENENOSOS ESPECIFICADOS: OTRO LUGAR ESPECIFICADO</t>
  </si>
  <si>
    <t>CONTACTO TRAUMATICO CON OTROS ARTROPODOS VENENOSOS ESPECIFICADOS: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</si>
  <si>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</si>
  <si>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</si>
  <si>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</si>
  <si>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</si>
  <si>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</si>
  <si>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AREAS DE SERVICIO</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</si>
  <si>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</si>
  <si>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</si>
  <si>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</si>
  <si>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</si>
  <si>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</si>
  <si>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</si>
  <si>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</si>
  <si>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</si>
  <si>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</si>
  <si>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AREAS DE SERVICIO</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</si>
  <si>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</si>
  <si>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</si>
  <si>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</si>
  <si>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</si>
  <si>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</si>
  <si>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</si>
  <si>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</si>
  <si>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</si>
  <si>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</si>
  <si>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AREAS DE SERVICIO</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</si>
  <si>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</si>
  <si>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</si>
  <si>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</si>
  <si>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</si>
  <si>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</si>
  <si>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</si>
  <si>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</si>
  <si>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</si>
  <si>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</si>
  <si>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AREAS DE SERVICIO</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</si>
  <si>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</si>
  <si>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</si>
  <si>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</si>
  <si>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</si>
  <si>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</si>
  <si>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</si>
  <si>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</si>
  <si>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</si>
  <si>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</si>
  <si>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AREAS DE SERVICIO</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</si>
  <si>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</si>
  <si>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</si>
  <si>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</si>
  <si>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</si>
  <si>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</si>
  <si>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</si>
  <si>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</si>
  <si>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</si>
  <si>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</si>
  <si>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AREAS DE SERVICIO</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</si>
  <si>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</si>
  <si>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</si>
  <si>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</si>
  <si>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</si>
  <si>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</si>
  <si>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</si>
  <si>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</si>
  <si>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</si>
  <si>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</si>
  <si>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AREAS DE SERVICIO</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</si>
  <si>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</si>
  <si>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</si>
  <si>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</si>
  <si>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</si>
  <si>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</si>
  <si>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</si>
  <si>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</si>
  <si>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</si>
  <si>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</si>
  <si>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AREAS DE SERVICIO</t>
  </si>
  <si>
    <t>VICTIMA DE RAYO: AREA INDUSTRIAL Y DE LA CONSTRUCCION</t>
  </si>
  <si>
    <t>VICTIMA DE RAYO: GRANJA</t>
  </si>
  <si>
    <t>VICTIMA DE RAYO: OTRO LUGAR ESPECIFICADO</t>
  </si>
  <si>
    <t>VICTIMA DE RAYO: LUGAR NO ESPECIFICADO</t>
  </si>
  <si>
    <t>VICTIMA DE TERREMOTO: VIVIENDA</t>
  </si>
  <si>
    <t>VICTIMA DE TERREMOTO: INSTITUCION RESIDENCIAL</t>
  </si>
  <si>
    <t>VICTIMA DE TERREMOTO: ESCUELAS, OTRAS INSTITUCIONES Y AREAS ADMINISTRATIVAS PUBLICAS</t>
  </si>
  <si>
    <t>VICTIMA DE TERREMOTO: AREAS DE DEPORTE Y ATLETISMO</t>
  </si>
  <si>
    <t>VICTIMA DE TERREMOTO: CALLES Y CARRETERAS</t>
  </si>
  <si>
    <t>VICTIMA DE TERREMOTO: COMERCIO Y AREAS DE SERVICIO</t>
  </si>
  <si>
    <t>VICTIMA DE TERREMOTO: AREA INDUSTRIAL Y DE LA CONSTRUCCION</t>
  </si>
  <si>
    <t>VICTIMA DE TERREMOTO: GRANJA</t>
  </si>
  <si>
    <t>VICTIMA DE TERREMOTO: OTRO LUGAR ESPECIFICADO</t>
  </si>
  <si>
    <t>VICTIMA DE TERREMOTO: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</si>
  <si>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</si>
  <si>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</si>
  <si>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</si>
  <si>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</si>
  <si>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</si>
  <si>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AREAS DE SERVICIO</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</si>
  <si>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</si>
  <si>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</si>
  <si>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</si>
  <si>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</si>
  <si>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</si>
  <si>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</si>
  <si>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</si>
  <si>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</si>
  <si>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</si>
  <si>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</si>
  <si>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</si>
  <si>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</si>
  <si>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</si>
  <si>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</si>
  <si>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</si>
  <si>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</si>
  <si>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</si>
  <si>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</si>
  <si>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</si>
  <si>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AREAS DE SERVICIO</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</si>
  <si>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</si>
  <si>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</si>
  <si>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</si>
  <si>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</si>
  <si>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</si>
  <si>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</si>
  <si>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</si>
  <si>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</si>
  <si>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</si>
  <si>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AREAS DE SERVICIO</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</si>
  <si>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</si>
  <si>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</si>
  <si>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</si>
  <si>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</si>
  <si>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</si>
  <si>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</si>
  <si>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</si>
  <si>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</si>
  <si>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</si>
  <si>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AREAS DE SERVICIO</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</si>
  <si>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</si>
  <si>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</si>
  <si>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</si>
  <si>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</si>
  <si>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</si>
  <si>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</si>
  <si>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</si>
  <si>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</si>
  <si>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</si>
  <si>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AREAS DE SERVICIO</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</si>
  <si>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</si>
  <si>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</si>
  <si>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</si>
  <si>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</si>
  <si>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</si>
  <si>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</si>
  <si>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</si>
  <si>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</si>
  <si>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</si>
  <si>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</si>
  <si>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</si>
  <si>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</si>
  <si>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</si>
  <si>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</si>
  <si>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</si>
  <si>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</si>
  <si>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</si>
  <si>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</si>
  <si>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</si>
  <si>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</si>
  <si>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</si>
  <si>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</si>
  <si>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</si>
  <si>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</si>
  <si>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</si>
  <si>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</si>
  <si>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</si>
  <si>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</si>
  <si>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</si>
  <si>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</si>
  <si>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</si>
  <si>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</si>
  <si>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</si>
  <si>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</si>
  <si>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</si>
  <si>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</si>
  <si>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</si>
  <si>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</si>
  <si>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</si>
  <si>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</si>
  <si>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</si>
  <si>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</si>
  <si>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</si>
  <si>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</si>
  <si>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</si>
  <si>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</si>
  <si>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</si>
  <si>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</si>
  <si>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</si>
  <si>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AREAS DE SERVICIO</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</si>
  <si>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</si>
  <si>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</si>
  <si>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</si>
  <si>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</si>
  <si>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</si>
  <si>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</si>
  <si>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</si>
  <si>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</si>
  <si>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</si>
  <si>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</si>
  <si>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</si>
  <si>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</si>
  <si>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</si>
  <si>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</si>
  <si>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</si>
  <si>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</si>
  <si>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</si>
  <si>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</si>
  <si>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</si>
  <si>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</si>
  <si>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</si>
  <si>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</si>
  <si>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</si>
  <si>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</si>
  <si>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</si>
  <si>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</si>
  <si>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</si>
  <si>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</si>
  <si>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</si>
  <si>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</si>
  <si>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</si>
  <si>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</si>
  <si>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</si>
  <si>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</si>
  <si>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</si>
  <si>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</si>
  <si>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</si>
  <si>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</si>
  <si>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</si>
  <si>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</si>
  <si>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</si>
  <si>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</si>
  <si>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</si>
  <si>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</si>
  <si>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VIVIENDA</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</si>
  <si>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</si>
  <si>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</si>
  <si>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</si>
  <si>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CALLES Y CARRETERAS</t>
  </si>
  <si>
    <t>EXCESO DE ESFUERZO Y MOVIMIENTOS EXTENUANTES Y REPETITIVOS: COMERCIO Y AREAS DE SERVICIO</t>
  </si>
  <si>
    <t>EXCESO DE ESFUERZO Y MOVIMIENTOS EXTENUANTES Y REPETITIVOS: AREA INDUSTRIAL Y DE LA CONSTRUCCION</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</si>
  <si>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</si>
  <si>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</si>
  <si>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</si>
  <si>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</si>
  <si>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INSTITUCION RESIDENCIAL</t>
  </si>
  <si>
    <t>VIAJES Y DESPLAZAMIENTOS: ESCUELAS, OTRAS INSTITUCIONES Y AREAS ADMINISTRATIVAS PUBLICAS</t>
  </si>
  <si>
    <t>VIAJES Y DESPLAZAMIENTOS: AREAS DE DEPORTE Y ATLETISMO</t>
  </si>
  <si>
    <t>VIAJES Y DESPLAZAMIENTOS: CALLES Y CARRETERAS</t>
  </si>
  <si>
    <t>VIAJES Y DESPLAZAMIENTOS: COMERCIO Y AREAS DE SERVICIO</t>
  </si>
  <si>
    <t>VIAJES Y DESPLAZAMIENTOS: AREA INDUSTRIAL Y DE LA CONSTRUCCION</t>
  </si>
  <si>
    <t>VIAJES Y DESPLAZAMIENTOS: GRANJA</t>
  </si>
  <si>
    <t>VIAJES Y DESPLAZAMIENTOS: OTRO LUGAR ESPECIFICADO</t>
  </si>
  <si>
    <t>VIAJES Y DESPLAZAMIENTOS: LUGAR NO ESPECIFICADO</t>
  </si>
  <si>
    <t>PERMANENCIA PROLONGADA EN AMBIENTE SIN GRAVEDAD: VIVIENDA</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</si>
  <si>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</si>
  <si>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</si>
  <si>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</si>
  <si>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CALLES Y CARRETERAS</t>
  </si>
  <si>
    <t>PERMANENCIA PROLONGADA EN AMBIENTE SIN GRAVEDAD: COMERCIO Y AREAS DE SERVICIO</t>
  </si>
  <si>
    <t>PERMANENCIA PROLONGADA EN AMBIENTE SIN GRAVEDAD: AREA INDUSTRIAL Y DE LA CONSTRUCCION</t>
  </si>
  <si>
    <t>PERMANENCIA PROLONGADA EN AMBIENTE SIN GRAVEDAD: GRANJA</t>
  </si>
  <si>
    <t>PERMANENCIA PROLONGADA EN AMBIENTE SIN GRAVEDAD: OTRO LUGAR ESPECIFICADO</t>
  </si>
  <si>
    <t>PERMANENCIA PROLONGADA EN AMBIENTE SIN GRAVEDAD: LUGAR NO ESPECIFICADO</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</si>
  <si>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</si>
  <si>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</si>
  <si>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</si>
  <si>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</si>
  <si>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</si>
  <si>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AREAS DE SERVICIO</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</si>
  <si>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</si>
  <si>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</si>
  <si>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</si>
  <si>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</si>
  <si>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</si>
  <si>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</si>
  <si>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</si>
  <si>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</si>
  <si>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</si>
  <si>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AREAS DE SERVICIO</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</si>
  <si>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</si>
  <si>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</si>
  <si>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</si>
  <si>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</si>
  <si>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</si>
  <si>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</si>
  <si>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</si>
  <si>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</si>
  <si>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</si>
  <si>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AREAS DE SERVICIO</t>
  </si>
  <si>
    <t>PRIVACION NO ESPECIFICADA: AREA INDUSTRIAL Y DE LA CONSTRUCCION</t>
  </si>
  <si>
    <t>PRIVACION NO ESPECIFICADA: GRANJA</t>
  </si>
  <si>
    <t>PRIVACION NO ESPECIFICADA: OTRO LUGAR ESPECIFICADO</t>
  </si>
  <si>
    <t>PRIVACION NO ESPECIFICADA: LUGAR NO ESPECIFICADO</t>
  </si>
  <si>
    <t>EXPOSICION A FACTORES ESPECIFICADOS: VIVIENDA</t>
  </si>
  <si>
    <t>EXPOSICION A FACTORES ESPECIFICADOS: INSTITUCION RESIDENCIAL</t>
  </si>
  <si>
    <t>EXPOSICION A FACTORES ESPECIFICADOS: ESCUELAS, OTRAS INSTITUCIONES Y AREAS ADMINISTRATIVAS PUBLICAS</t>
  </si>
  <si>
    <t>EXPOSICION A FACTORES ESPECIFICADOS: AREAS DE DEPORTE Y ATLETISMO</t>
  </si>
  <si>
    <t>EXPOSICION A FACTORES ESPECIFICADOS: CALLES Y CARRETERAS</t>
  </si>
  <si>
    <t>EXPOSICION A FACTORES ESPECIFICADOS: COMERCIO Y AREAS DE SERVICIO</t>
  </si>
  <si>
    <t>EXPOSICION A FACTORES ESPECIFICADOS: AREA INDUSTRIAL Y DE LA CONSTRUCCION</t>
  </si>
  <si>
    <t>EXPOSICION A FACTORES ESPECIFICADOS: GRANJA</t>
  </si>
  <si>
    <t>EXPOSICION A FACTORES ESPECIFICADOS: OTRO LUGAR ESPECIFICADO</t>
  </si>
  <si>
    <t>EXPOSICION A FACTORES ESPECIFICADOS: LUGAR NO ESPECIFICADO</t>
  </si>
  <si>
    <t>EXPOSICION A FACTORES NO ESPECIFICADOS: VIVIENDA</t>
  </si>
  <si>
    <t>EXPOSICION A FACTORES NO ESPECIFICADOS: INSTITUCION RESIDENCIAL</t>
  </si>
  <si>
    <t>EXPOSICION A FACTORES NO ESPECIFICADOS: ESCUELAS, OTRAS INSTITUCIONES Y AREAS ADMINISTRATIVAS PUBLICAS</t>
  </si>
  <si>
    <t>EXPOSICION A FACTORES NO ESPECIFICADOS: AREAS DE DEPORTE Y ATLETISMO</t>
  </si>
  <si>
    <t>EXPOSICION A FACTORES NO ESPECIFICADOS: CALLES Y CARRETERAS</t>
  </si>
  <si>
    <t>EXPOSICION A FACTORES NO ESPECIFICADOS: COMERCIO Y AREAS DE SERVICIO</t>
  </si>
  <si>
    <t>EXPOSICION A FACTORES NO ESPECIFICADOS: AREA INDUSTRIAL Y DE LA CONSTRUCCION</t>
  </si>
  <si>
    <t>EXPOSICION A FACTORES NO ESPECIFICADOS: GRANJA</t>
  </si>
  <si>
    <t>EXPOSICION A FACTORES NO ESPECIFICADOS: OTRO LUGAR ESPECIFICADO</t>
  </si>
  <si>
    <t>EXPOSICION A FACTORES NO ESPECIFICADOS: LUGAR NO ESPECIFICADO</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</si>
  <si>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</si>
  <si>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</si>
  <si>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</si>
  <si>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</si>
  <si>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</si>
  <si>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AREAS DE SERVICIO</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</si>
  <si>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</si>
  <si>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</si>
  <si>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</si>
  <si>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</si>
  <si>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</si>
  <si>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</si>
  <si>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</si>
  <si>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</si>
  <si>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</si>
  <si>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AREAS DE SERVICIO</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</si>
  <si>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</si>
  <si>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</si>
  <si>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</si>
  <si>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</si>
  <si>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</si>
  <si>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</si>
  <si>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</si>
  <si>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</si>
  <si>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</si>
  <si>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AREAS DE SERVICIO</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</si>
  <si>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</si>
  <si>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</si>
  <si>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</si>
  <si>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</si>
  <si>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</si>
  <si>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</si>
  <si>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</si>
  <si>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</si>
  <si>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</si>
  <si>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AREAS DE SERVICIO</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</si>
  <si>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</si>
  <si>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</si>
  <si>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</si>
  <si>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</si>
  <si>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</si>
  <si>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</si>
  <si>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</si>
  <si>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</si>
  <si>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</si>
  <si>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AREAS DE SERVICIO</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</si>
  <si>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</si>
  <si>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</si>
  <si>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</si>
  <si>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</si>
  <si>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</si>
  <si>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</si>
  <si>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</si>
  <si>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</si>
  <si>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</si>
  <si>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AREAS DE SERVICIO</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</si>
  <si>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</si>
  <si>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</si>
  <si>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</si>
  <si>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</si>
  <si>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</si>
  <si>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</si>
  <si>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</si>
  <si>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</si>
  <si>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</si>
  <si>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AREAS DE SERVICIO</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</si>
  <si>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</si>
  <si>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</si>
  <si>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</si>
  <si>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</si>
  <si>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</si>
  <si>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</si>
  <si>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</si>
  <si>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</si>
  <si>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</si>
  <si>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AREAS DE SERVICIO</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</si>
  <si>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</si>
  <si>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</si>
  <si>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</si>
  <si>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</si>
  <si>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</si>
  <si>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</si>
  <si>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</si>
  <si>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</si>
  <si>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</si>
  <si>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AREAS DE SERVICIO</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</si>
  <si>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</si>
  <si>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</si>
  <si>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</si>
  <si>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</si>
  <si>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</si>
  <si>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</si>
  <si>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</si>
  <si>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</si>
  <si>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</si>
  <si>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AREAS DE SERVICIO</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</si>
  <si>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</si>
  <si>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</si>
  <si>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</si>
  <si>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</si>
  <si>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</si>
  <si>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</si>
  <si>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</si>
  <si>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</si>
  <si>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</si>
  <si>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AREAS DE SERVICIO</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</si>
  <si>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</si>
  <si>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</si>
  <si>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</si>
  <si>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</si>
  <si>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</si>
  <si>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</si>
  <si>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</si>
  <si>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</si>
  <si>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</si>
  <si>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AREAS DE SERVICIO</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</si>
  <si>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</si>
  <si>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</si>
  <si>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</si>
  <si>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</si>
  <si>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</si>
  <si>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</si>
  <si>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</si>
  <si>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</si>
  <si>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</si>
  <si>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AREAS DE SERVICIO</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</si>
  <si>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</si>
  <si>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</si>
  <si>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</si>
  <si>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</si>
  <si>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</si>
  <si>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</si>
  <si>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</si>
  <si>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</si>
  <si>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</si>
  <si>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AREAS DE SERVICIO</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</si>
  <si>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</si>
  <si>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</si>
  <si>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</si>
  <si>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</si>
  <si>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</si>
  <si>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</si>
  <si>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</si>
  <si>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</si>
  <si>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</si>
  <si>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AREAS DE SERVICIO</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</si>
  <si>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</si>
  <si>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</si>
  <si>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</si>
  <si>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</si>
  <si>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</si>
  <si>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</si>
  <si>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</si>
  <si>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</si>
  <si>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</si>
  <si>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AREAS DE SERVICIO</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</si>
  <si>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</si>
  <si>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</si>
  <si>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</si>
  <si>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</si>
  <si>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</si>
  <si>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</si>
  <si>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</si>
  <si>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</si>
  <si>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</si>
  <si>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AREAS DE SERVICIO</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</si>
  <si>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</si>
  <si>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</si>
  <si>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</si>
  <si>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</si>
  <si>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</si>
  <si>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</si>
  <si>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</si>
  <si>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</si>
  <si>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</si>
  <si>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AREAS DE SERVICIO</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</si>
  <si>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</si>
  <si>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</si>
  <si>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</si>
  <si>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</si>
  <si>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</si>
  <si>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</si>
  <si>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</si>
  <si>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</si>
  <si>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</si>
  <si>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AREAS DE SERVICIO</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</si>
  <si>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</si>
  <si>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</si>
  <si>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</si>
  <si>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</si>
  <si>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</si>
  <si>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</si>
  <si>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</si>
  <si>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</si>
  <si>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</si>
  <si>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AREAS DE SERVICIO</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</si>
  <si>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</si>
  <si>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</si>
  <si>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</si>
  <si>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</si>
  <si>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</si>
  <si>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</si>
  <si>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</si>
  <si>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</si>
  <si>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</si>
  <si>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AREAS DE SERVICIO</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</si>
  <si>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</si>
  <si>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</si>
  <si>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</si>
  <si>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</si>
  <si>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</si>
  <si>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</si>
  <si>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</si>
  <si>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</si>
  <si>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</si>
  <si>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AREAS DE SERVICIO</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</si>
  <si>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</si>
  <si>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</si>
  <si>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</si>
  <si>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</si>
  <si>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</si>
  <si>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</si>
  <si>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</si>
  <si>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</si>
  <si>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</si>
  <si>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AREAS DE SERVICIO</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</si>
  <si>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</si>
  <si>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</si>
  <si>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</si>
  <si>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</si>
  <si>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</si>
  <si>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</si>
  <si>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</si>
  <si>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</si>
  <si>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</si>
  <si>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AREAS DE SERVICIO</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</si>
  <si>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</si>
  <si>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</si>
  <si>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</si>
  <si>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</si>
  <si>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</si>
  <si>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</si>
  <si>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</si>
  <si>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</si>
  <si>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</si>
  <si>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AREAS DE SERVICIO</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</si>
  <si>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</si>
  <si>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</si>
  <si>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</si>
  <si>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</si>
  <si>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</si>
  <si>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</si>
  <si>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</si>
  <si>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</si>
  <si>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</si>
  <si>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AREAS DE SERVICIO</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</si>
  <si>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</si>
  <si>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</si>
  <si>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</si>
  <si>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</si>
  <si>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</si>
  <si>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SUSTANCIACORROSIVA: INSTITUCION RESIDENCIAL</t>
  </si>
  <si>
    <t>AGRESION CON SUSTANCIA CORROSIVA: ESCUELAS, OTRAS INSTITUCIONES Y AREAS ADMINISTRATIVAS PUBLICAS</t>
  </si>
  <si>
    <t>AGRESION CON SUSTANCIACORROSIVA: AREAS DE DEPORTE Y ATLETISMO</t>
  </si>
  <si>
    <t>AGRESION CON SUSTANCIA CORROSIVA: CALLES Y CARRETERAS</t>
  </si>
  <si>
    <t>AGRESION CON SUSTANCIA CORROSIVA: COMERCIO Y AREAS DE SERVICIO</t>
  </si>
  <si>
    <t>AGRESION CON SUSTANCIA CORROSIVA: AREA INDUSTRIAL Y DE LA CONSTRUCCION</t>
  </si>
  <si>
    <t>AGRESION CON SUSTANCIA CORROSIVA: GRANJA</t>
  </si>
  <si>
    <t>AGRESION CON SUSTANCIACORROSIVA: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</si>
  <si>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</si>
  <si>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</si>
  <si>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</si>
  <si>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</si>
  <si>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</si>
  <si>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</si>
  <si>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AREAS DE SERVICIO</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</si>
  <si>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</si>
  <si>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</si>
  <si>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</si>
  <si>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</si>
  <si>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</si>
  <si>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</si>
  <si>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</si>
  <si>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</si>
  <si>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</si>
  <si>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AREAS DE SERVICIO</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</si>
  <si>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</si>
  <si>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</si>
  <si>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</si>
  <si>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</si>
  <si>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</si>
  <si>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</si>
  <si>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</si>
  <si>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</si>
  <si>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</si>
  <si>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AREAS DE SERVICIO</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</si>
  <si>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</si>
  <si>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</si>
  <si>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</si>
  <si>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</si>
  <si>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</si>
  <si>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</si>
  <si>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</si>
  <si>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</si>
  <si>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</si>
  <si>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AREAS DE SERVICIO</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</si>
  <si>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</si>
  <si>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</si>
  <si>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</si>
  <si>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</si>
  <si>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</si>
  <si>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</si>
  <si>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</si>
  <si>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</si>
  <si>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</si>
  <si>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AREAS DE SERVICIO</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</si>
  <si>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</si>
  <si>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</si>
  <si>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</si>
  <si>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</si>
  <si>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</si>
  <si>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</si>
  <si>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</si>
  <si>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</si>
  <si>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</si>
  <si>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AREAS DE SERVICIO</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</si>
  <si>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</si>
  <si>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</si>
  <si>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</si>
  <si>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</si>
  <si>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</si>
  <si>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</si>
  <si>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</si>
  <si>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</si>
  <si>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</si>
  <si>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AREAS DE SERVICIO</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</si>
  <si>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</si>
  <si>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</si>
  <si>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</si>
  <si>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</si>
  <si>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</si>
  <si>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</si>
  <si>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</si>
  <si>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</si>
  <si>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</si>
  <si>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AREAS DE SERVICIO</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</si>
  <si>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</si>
  <si>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</si>
  <si>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</si>
  <si>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</si>
  <si>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</si>
  <si>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</si>
  <si>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</si>
  <si>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</si>
  <si>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</si>
  <si>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AREAS DE SERVICIO</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</si>
  <si>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</si>
  <si>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</si>
  <si>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</si>
  <si>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</si>
  <si>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</si>
  <si>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</si>
  <si>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</si>
  <si>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</si>
  <si>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</si>
  <si>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AREAS DE SERVICIO</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</si>
  <si>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</si>
  <si>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</si>
  <si>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</si>
  <si>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</si>
  <si>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</si>
  <si>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</si>
  <si>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</si>
  <si>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</si>
  <si>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</si>
  <si>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AREAS DE SERVICIO</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</si>
  <si>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</si>
  <si>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</si>
  <si>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</si>
  <si>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</si>
  <si>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</si>
  <si>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</si>
  <si>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</si>
  <si>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</si>
  <si>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</si>
  <si>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AREAS DE SERVICIO</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</si>
  <si>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</si>
  <si>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</si>
  <si>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</si>
  <si>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</si>
  <si>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</si>
  <si>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</si>
  <si>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</si>
  <si>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</si>
  <si>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</si>
  <si>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AREAS DE SERVICIO</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</si>
  <si>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</si>
  <si>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</si>
  <si>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</si>
  <si>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</si>
  <si>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</si>
  <si>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</si>
  <si>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</si>
  <si>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</si>
  <si>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</si>
  <si>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</si>
  <si>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</si>
  <si>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</si>
  <si>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</si>
  <si>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</si>
  <si>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</si>
  <si>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</si>
  <si>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</si>
  <si>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</si>
  <si>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</si>
  <si>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</si>
  <si>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</si>
  <si>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</si>
  <si>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</si>
  <si>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</si>
  <si>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</si>
  <si>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</si>
  <si>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</si>
  <si>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</si>
  <si>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</si>
  <si>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</si>
  <si>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</si>
  <si>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</si>
  <si>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</si>
  <si>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</si>
  <si>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</si>
  <si>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</si>
  <si>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</si>
  <si>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</si>
  <si>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</si>
  <si>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</si>
  <si>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</si>
  <si>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</si>
  <si>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</si>
  <si>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</si>
  <si>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</si>
  <si>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</si>
  <si>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</si>
  <si>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</si>
  <si>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</si>
  <si>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</si>
  <si>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</si>
  <si>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</si>
  <si>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</si>
  <si>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</si>
  <si>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</si>
  <si>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</si>
  <si>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</si>
  <si>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</si>
  <si>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</si>
  <si>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</si>
  <si>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</si>
  <si>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</si>
  <si>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</si>
  <si>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</si>
  <si>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NEGLICENCIA Y ABANDONO: POR ESPOSO O PAREJA</t>
  </si>
  <si>
    <t>NEGLICENCIA Y ABANDONO: POR PADRE O MADRE</t>
  </si>
  <si>
    <t>NEGLICENCIA Y ABANDONO: POR CONOCIDO O AMIGO</t>
  </si>
  <si>
    <t>NEGLICENCIA Y ABANDONO: POR OTRA PERSONA ESPECIFICADA</t>
  </si>
  <si>
    <t>NEGLICENCIA Y ABANDONO: POR PERSONA NO ESPECIFICADA</t>
  </si>
  <si>
    <t>OTROS SINDROMES DE MALTRATO: POR ESPOSO O PAREJA</t>
  </si>
  <si>
    <t>OTROS SINDROMES DE MALTRATO: POR PADRE O MADRE</t>
  </si>
  <si>
    <t>OTROS SINDROMES DE MALTRATO: POR CONOCIDO O AMIGO</t>
  </si>
  <si>
    <t>OTROS SINDROMES DE MALTRATO: POR AUTORIDADES OFICIALES</t>
  </si>
  <si>
    <t>OTROS SINDROMES DE MALTRATO: POR OTRA PERSONA ESPECIFICADA</t>
  </si>
  <si>
    <t>OTROS SINDROMES DE MALTRATO: POR PERSONA NO ESPECIFICADA</t>
  </si>
  <si>
    <t>AGRESION POR OTROS MEDIOS ESPECIFICADOS: VIVIENDA</t>
  </si>
  <si>
    <t>AGRESION POR OTROS MEDIOS ESPECIFICADOS: INSTITUCION RESIDENCIAL</t>
  </si>
  <si>
    <t>AGRESION POR OTROS MEDIOS ESPECIFICADOS: ESCUELAS, OTRAS INSTITUCIONES Y AREAS ADMINISTRATIVAS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</si>
  <si>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</si>
  <si>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</si>
  <si>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</si>
  <si>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</si>
  <si>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</si>
  <si>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</si>
  <si>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</si>
  <si>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</si>
  <si>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</si>
  <si>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</si>
  <si>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</si>
  <si>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</si>
  <si>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</si>
  <si>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</si>
  <si>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</si>
  <si>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</si>
  <si>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</si>
  <si>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</si>
  <si>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</si>
  <si>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</si>
  <si>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</si>
  <si>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</si>
  <si>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</si>
  <si>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</si>
  <si>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</si>
  <si>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</si>
  <si>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</si>
  <si>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</si>
  <si>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</si>
  <si>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</si>
  <si>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</si>
  <si>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</si>
  <si>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</si>
  <si>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</si>
  <si>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</si>
  <si>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</si>
  <si>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</si>
  <si>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CLASIFICADAS EN OTRA PARTE, DE INTENCION NO DETERMINADA: VIVIENDA</t>
  </si>
  <si>
    <t>ENVENENAMIENTO POR, Y EXPOSICION A NARCOTICOS Y PSICODISLEPTICOS [ALUCINOGENOS], NO CLASIFICADAS EN OTRA PARTE, DE INTENCION NO DETERMINADA: INSTITUCION RESIDENCIAL</t>
  </si>
  <si>
    <t>ENVENENAMIENTO POR, Y EXPOSICION A NARCOTICOS Y PSICODISLEPTICOS [ALUCINOGENOS], NO CLASIFICADAS EN OTRA PARTE, DE INTENCION NO DETERMINADA: ESCUELAS OTRAS INSTITUCIONES Y AREAS ADMINISTRATIVAS</t>
  </si>
  <si>
    <t>ENVENENAMIENTO POR, Y EXPOSICION A NARCOTICOS Y PSICODISLEPTICOS [ALUCINOGENOS], NO CLASIFICADAS EN OTRA PARTE, DE INTENCION NO DETERMINADA: AREAS DE DEPORTE Y ATLETISMO</t>
  </si>
  <si>
    <t>ENVENENAMIENTO POR, Y EXPOSICION A NARCOTICOS Y PSICODISLEPTICOS [ALUCINOGENOS], NO CLASIFICADAS EN OTRA PARTE, DE INTENCION NO DETERMINADA: CALLES Y CARRETERAS</t>
  </si>
  <si>
    <t>ENVENENAMIENTO POR, Y EXPOSICION A NARCOTICOS Y PSICODISLEPTICOS [ALUCINOGENOS], NO CLASIFICADAS EN OTRA PARTE, DE INTENCION NO DETERMINADA: COMERCIO Y AREA DE SERVICIOS</t>
  </si>
  <si>
    <t>ENVENENAMIENTO POR, Y EXPOSICION A NARCOTICOS Y PSICODISLEPTICOS [ALUCINOGENOS], NO CLASIFICADAS EN OTRA PARTE, DE INTENCION NO DETERMINADA: AREA INDUSTRIAL Y DE LA CONSTRUCCION</t>
  </si>
  <si>
    <t>ENVENENAMIENTO POR, Y EXPOSICION A NARCOTICOS Y PSICODISLEPTICOS [ALUCINOGENOS], NO CLASIFICADAS EN OTRA PARTE, DE INTENCION NO DETERMINADA: GRANJA</t>
  </si>
  <si>
    <t>ENVENENAMIENTO POR, Y EXPOSICION A NARCOTICOS Y PSICODISLEPTICOS [ALUCINOGENOS], NO CLASIFICADAS EN OTRA PARTE, DE INTENCION NO DETERMINADA: OTRO LUGAR ESPECIFICADO</t>
  </si>
  <si>
    <t>ENVENENAMIENTO POR, Y EXPOSICION A NARCOTICOS Y PSICODISLEPTICOS [ALUCINOGENOS], NO CLASIFICADAS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</si>
  <si>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</si>
  <si>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</si>
  <si>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</si>
  <si>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</si>
  <si>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</si>
  <si>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</si>
  <si>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</si>
  <si>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</si>
  <si>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</si>
  <si>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</si>
  <si>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</si>
  <si>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</si>
  <si>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</si>
  <si>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</si>
  <si>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</si>
  <si>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</si>
  <si>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</si>
  <si>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</si>
  <si>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</si>
  <si>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</si>
  <si>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 DE INTENCION NO DETERMINADA: VIVIENDA</t>
  </si>
  <si>
    <t>ENVENENAMIENTO POR, Y EXPOSICION AL ALCOHOL , DE INTENCION NO DETERMINADA: INSTITUCION RESIDENCIAL</t>
  </si>
  <si>
    <t>ENVENENAMIENTO POR, Y EXPOSICION AL ALCOHOL , DE INTENCION NO DETERMINADA: ESCUELAS OTRAS INSTITUCIONES Y AREAS ADMINISTRATIVAS</t>
  </si>
  <si>
    <t>ENVENENAMIENTO POR, Y EXPOSICION AL ALCOHOL , DE INTENCION NO DETERMINADA: AREAS DE DEPORTE Y ATLETISMO</t>
  </si>
  <si>
    <t>ENVENENAMIENTO POR, Y EXPOSICION AL ALCOHOL , DE INTENCION NO DETERMINADA: CALLES Y CARRETERAS</t>
  </si>
  <si>
    <t>ENVENENAMIENTO POR, Y EXPOSICION AL ALCOHOL , DE INTENCION NO DETERMINADA: COMERCIO Y AREA DE SERVICIOS</t>
  </si>
  <si>
    <t>ENVENENAMIENTO POR, Y EXPOSICION AL ALCOHOL , DE INTENCION NO DETERMINADA: AREA INDUSTRIAL Y DE LA CONSTRUCCION</t>
  </si>
  <si>
    <t>ENVENENAMIENTO POR, Y EXPOSICION AL ALCOHOL , DE INTENCION NO DETERMINADA: GRANJA</t>
  </si>
  <si>
    <t>ENVENENAMIENTO POR, Y EXPOSICION AL ALCOHOL , DE INTENCION NO DETERMINADA: OTRO LUGAR ESPECIFICADO</t>
  </si>
  <si>
    <t>ENVENENAMIENTO POR, Y EXPOSICION AL ALCOHOL ,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</si>
  <si>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</si>
  <si>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</si>
  <si>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</si>
  <si>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</si>
  <si>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</si>
  <si>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</si>
  <si>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</si>
  <si>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</si>
  <si>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</si>
  <si>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</si>
  <si>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</si>
  <si>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</si>
  <si>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</si>
  <si>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</si>
  <si>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</si>
  <si>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</si>
  <si>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</si>
  <si>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</si>
  <si>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</si>
  <si>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</si>
  <si>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</si>
  <si>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</si>
  <si>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</si>
  <si>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</si>
  <si>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</si>
  <si>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</si>
  <si>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</si>
  <si>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</si>
  <si>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</si>
  <si>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</si>
  <si>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</si>
  <si>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</si>
  <si>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</si>
  <si>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</si>
  <si>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</si>
  <si>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</si>
  <si>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</si>
  <si>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</si>
  <si>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</si>
  <si>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</si>
  <si>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</si>
  <si>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</si>
  <si>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</si>
  <si>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</si>
  <si>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</si>
  <si>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</si>
  <si>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</si>
  <si>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</si>
  <si>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</si>
  <si>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</si>
  <si>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</si>
  <si>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</si>
  <si>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</si>
  <si>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</si>
  <si>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</si>
  <si>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</si>
  <si>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</si>
  <si>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</si>
  <si>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</si>
  <si>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</si>
  <si>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</si>
  <si>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</si>
  <si>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</si>
  <si>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</si>
  <si>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</si>
  <si>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</si>
  <si>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</si>
  <si>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</si>
  <si>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</si>
  <si>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</si>
  <si>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</si>
  <si>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</si>
  <si>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</si>
  <si>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</si>
  <si>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</si>
  <si>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</si>
  <si>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</si>
  <si>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</si>
  <si>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</si>
  <si>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</si>
  <si>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</si>
  <si>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</si>
  <si>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</si>
  <si>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</si>
  <si>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</si>
  <si>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</si>
  <si>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</si>
  <si>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</si>
  <si>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</si>
  <si>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</si>
  <si>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</si>
  <si>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</si>
  <si>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</si>
  <si>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</si>
  <si>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</si>
  <si>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</si>
  <si>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</si>
  <si>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</si>
  <si>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</si>
  <si>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</si>
  <si>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</si>
  <si>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</si>
  <si>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</si>
  <si>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</si>
  <si>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</si>
  <si>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</si>
  <si>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</si>
  <si>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</si>
  <si>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</si>
  <si>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</si>
  <si>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</si>
  <si>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</si>
  <si>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</si>
  <si>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</si>
  <si>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</si>
  <si>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</si>
  <si>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</si>
  <si>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</si>
  <si>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</si>
  <si>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</si>
  <si>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</si>
  <si>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</si>
  <si>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</si>
  <si>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</si>
  <si>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</si>
  <si>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</si>
  <si>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</si>
  <si>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</si>
  <si>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</si>
  <si>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</si>
  <si>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</si>
  <si>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</si>
  <si>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</si>
  <si>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</si>
  <si>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</si>
  <si>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</si>
  <si>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</si>
  <si>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</si>
  <si>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</si>
  <si>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</si>
  <si>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</si>
  <si>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</si>
  <si>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</si>
  <si>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</si>
  <si>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</si>
  <si>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</si>
  <si>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</si>
  <si>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</si>
  <si>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</si>
  <si>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</si>
  <si>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</si>
  <si>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</si>
  <si>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</si>
  <si>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</si>
  <si>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</si>
  <si>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</si>
  <si>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</si>
  <si>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</si>
  <si>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</si>
  <si>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</si>
  <si>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</si>
  <si>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</si>
  <si>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</si>
  <si>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</si>
  <si>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</si>
  <si>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</si>
  <si>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</si>
  <si>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</si>
  <si>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</si>
  <si>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</si>
  <si>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</si>
  <si>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</si>
  <si>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</si>
  <si>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</si>
  <si>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</si>
  <si>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</si>
  <si>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</si>
  <si>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</si>
  <si>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</si>
  <si>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</si>
  <si>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</si>
  <si>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</si>
  <si>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</si>
  <si>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</si>
  <si>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</si>
  <si>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</si>
  <si>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</si>
  <si>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</si>
  <si>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</si>
  <si>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</si>
  <si>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</si>
  <si>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</si>
  <si>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</si>
  <si>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</si>
  <si>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</si>
  <si>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</si>
  <si>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</si>
  <si>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</si>
  <si>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</si>
  <si>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</si>
  <si>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</si>
  <si>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</si>
  <si>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</si>
  <si>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</si>
  <si>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</si>
  <si>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</si>
  <si>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</si>
  <si>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</si>
  <si>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</si>
  <si>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AMINOGLICOSIDOS</t>
  </si>
  <si>
    <t>EFECTOS ADVERSOS DE ANTIBIOTICOS ANTIMICOTICOS USADOS SISTEMATICAMENTE</t>
  </si>
  <si>
    <t>EFECTOS ADVERSOS DE DROGAS ANTIPALUDICAS Y AGENTES QUE ACTUAN SOBRE OTROS PROTOZOARIOS DE LA SANGRE</t>
  </si>
  <si>
    <t>EFECTOS ADVERSOS DE OTROS ANTIINFECCIOSOS Y ANTIPARASITARIOS SISTEMICOS ESPECIFICADOS</t>
  </si>
  <si>
    <t>EFECTOS ADVERSOS DE ANTIINFECCIOSOS Y ANTIPARASITARIOS SISTEMICOS NO ESPECIFICADOS</t>
  </si>
  <si>
    <t>EFECTOS ADVERSOS DE DROGAS HIPOGLUCEMIANTES ORALES E INSULINA [ANTIDIABETICAS]</t>
  </si>
  <si>
    <t>EFECTOS ADVERSOS DE ANTIGONADOTROPINAS, ANTIESTROGENOS Y ANTIANDROGENOS, NO CLASIFICADOS EN OTRA PARTE</t>
  </si>
  <si>
    <t>EFECTOS ADVERSOS DE OTRAS HORMONAS Y SUS SUSTITUTOS SINTETICOS, Y LAS NO ESPECIFICADAS</t>
  </si>
  <si>
    <t>EFECTOS ADVERSOS DE OTRAS HORMONAS ANTAGONISTAS, Y LAS NO ESPECIFICADAS</t>
  </si>
  <si>
    <t>EFECTOS ADVERSOS DE OTROS AGENTES SISTEMICOS PRIMARIOS NO CLASIFICADOS EN OTRA PARTE</t>
  </si>
  <si>
    <t>EFECTOS ADVERSOS DE PREPARACIONES CON HIERRO Y OTROS PREPARADOS CONTRA LA ANEMIA HIPOCROMICA</t>
  </si>
  <si>
    <t>EFECTOS ADVERSOS DE VITAMINA B12, ACIDO FOLICO Y OTROS PREPARADOS CONTRA LA ANEMIA MEGALOBLASTICA</t>
  </si>
  <si>
    <t>EFECTOS ADVERSOS DE ANTAGONISTAS DE ANTICOAGULANTES, VITAMINA K Y OTROS COAGULANTES</t>
  </si>
  <si>
    <t>EFECTOS ADVERSOS DE DROGAS ANTITROMBOTICAS [INHIBIDORAS DE LA AGREGACION PLAQUETARIA]</t>
  </si>
  <si>
    <t>EFECTOS ADVERSOS DE OTROS AGENTES QUE AFECTAN LOS CONSTITUYENTES DE LA SANGRE, Y LOS NO ESPECIFICADOS</t>
  </si>
  <si>
    <t>EFECTOS ADVERSOS DE OTRAS DROGAS ANTIINFLAMATORIAS NO ESTEROIDES [DAINE]</t>
  </si>
  <si>
    <t>EFECTOS ADVERSOS DE DROGAS ANALGESICAS, ANTIPIRETICAS Y ANTIINFLAMATORIAS NO ESPECIFICADAS</t>
  </si>
  <si>
    <t>EFECTOS ADVERSOS DE COMPUESTOS DE BROMO</t>
  </si>
  <si>
    <t>EFECTOS ADVERSOS DE MEZCLAS SEDANTES E HIPNOTICAS, NO CLASIFICADAS EN OTRA PARTE</t>
  </si>
  <si>
    <t>EFECTOS ADVERSOS DE DROGAS SEDANTES, HIPNOTICAS Y ANSIOLITICAS NO ESPECIFICADAS</t>
  </si>
  <si>
    <t>EFECTOS ADVERSOS DE OTROS GASES ANESTESICOS GENERALES, Y LOS NO ESPECIFICADOS</t>
  </si>
  <si>
    <t>EFECTOS ADVERSOS DE OTROS ANTIDEPRESIVOS Y LOS NO ESPECIFICADOS</t>
  </si>
  <si>
    <t>EFECTOS ADVERSOS DE OTRAS DROGAS PSICOTROPICAS, NO CLASIFICADAS EN OTRA PARTE</t>
  </si>
  <si>
    <t>EFECTOS ADVERSOS DE ESTIMULANTE NO ESPECIFICADO DEL SISTEMA NERVIOSO CENTRAL</t>
  </si>
  <si>
    <t>EFECTOS ADVERSOS DE OTROS PARASIMPATICOMIMETICOS [COLINERGICOS]</t>
  </si>
  <si>
    <t>EFECTOS ADVERSOS DE DROGAS BLOQUEADORAS GANGLIONARES, NO CLASIFICADAS EN OTRA PARTE</t>
  </si>
  <si>
    <t>EFECTOS ADVERSOS DE OTROS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</si>
  <si>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</si>
  <si>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</si>
  <si>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</si>
  <si>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</si>
  <si>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</si>
  <si>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DE OTRAS DROGAS QUE AFECTAN PRIMARIAMENTE EL SISTEMA NERVIOSO AUTONOMO, Y LAS NO ESPECIFICADAS</t>
  </si>
  <si>
    <t>EFECTOS ADVERSOS DE GLUCOSIDOS CARDIOTONICOS Y DROGAS DE ACCION SIMILAR</t>
  </si>
  <si>
    <t>EFECTOS ADVERSOS DE OTRAS DROGAS ANTIARRITMICAS, NO CLASIFICADAS EN OTRAS PARTES</t>
  </si>
  <si>
    <t>EFECTOS ADVERSOS DE VASODILATADORES CORONARIOS, NO CLASIFICADOS EN OTRAS PARTES</t>
  </si>
  <si>
    <t>EFECTOS ADVERSOS DE INHIBIDORES DE LA ENZIMA CONVERTIDORA DE ANGIOTENSINA</t>
  </si>
  <si>
    <t>EFECTOS ADVERSOS DE OTRAS DROGAS ANTIHIPERTENSIVAS, NO CLASIFICADAS EN OTRA PARTE</t>
  </si>
  <si>
    <t>EFECTOS ADVERSOS DE DROGAS ANTIHIPERLIPIDEMICAS Y ANTIARTERIOSCLEROTICAS</t>
  </si>
  <si>
    <t>EFECTOS ADVERSOS DE DROGAS ANTIVARICOSAS, INCLUSIVE AGENTES ESCLEROSANTES</t>
  </si>
  <si>
    <t>EFECTOS ADVERSOS DE OTROS AGENTES QUE AFECTAN PRIMARIAMENTE EL SISTEMA CARDIOVASCULAR, Y LOS NO ESPECIFICADOS</t>
  </si>
  <si>
    <t>EFECTOS ADVERSOS DE OTRAS DROGAS ANTIACIDAS E INHIBIDORAS DE LA SECRECION GASTRICA</t>
  </si>
  <si>
    <t>EFECTOS ADVERSOS DE OTROS AGENTES QUE AFECTAN PRIMARIAMENTE EL SISTEMA GASTROINTESTINAL</t>
  </si>
  <si>
    <t>EFECTOS ADVERSOS DE AGENTES QUE AFECTAN PRIMARIAMENTE EL SISTEMA GASTROINTESTINAL, NO ESPECIFICADOS</t>
  </si>
  <si>
    <t>EFECTOS ADVERSOS DE LOS BLOQUEADORES DE MINERALOCORTICOIDES [ANTAGONISTAS DE LA ALDOSTERONA]</t>
  </si>
  <si>
    <t>EFECTOS ADVERSOS DE DIURETICOS DE ASA ["HIGH-CEILING"]</t>
  </si>
  <si>
    <t>EFECTOS ADVERSOS DE AGENTES ELECTROLITICOS, CALORICOS Y DEL EQUILIBRIO HIDRICO</t>
  </si>
  <si>
    <t>EFECTOS ADVERSOS DE SALES MINERALES NO CLASIFICADAS EN OTRA PARTE</t>
  </si>
  <si>
    <t>EFECTOS ADVERSOS DE RELAJANTES DE LOS MUSCULOS ESTRIADOS [AGENTES BLOQUEADORES NEUROMUSCULARES]</t>
  </si>
  <si>
    <t>EFECTOS ADVERSOS DE OTROS AGENTES QUE ACTUAN PRIMARIAMENTE SOBRE LOS MUSCULOS, Y LOS NO ESPECIFICADOS</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</si>
  <si>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</si>
  <si>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</si>
  <si>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</si>
  <si>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DENTALES, DE APLICACIÓN TOPICA</t>
  </si>
  <si>
    <t>EFECTOS ADVERSOS DE ANTIDOTOS Y AGENTES QUELANTES, NO CLASIFICADOS EN OTRA PARTE</t>
  </si>
  <si>
    <t>EFECTOS ADVERSOS DE DROGAS Y MEDICAMENTOS NO ESPECIFICADOS</t>
  </si>
  <si>
    <t>EFECTOS ADVERSOS DE LA VACUNA CONTRA LA TOS FERINA, INCLUSIVE COMBINACIONES CON UN COMPONENTE PERTUSIS</t>
  </si>
  <si>
    <t>EFECTOS ADVERSOS DE VACUNAS BACTERIANAS MIXTAS, EXCEPTO COMBINACIONES CON UN COMPONENTE PERTUSIS</t>
  </si>
  <si>
    <t>EFECTOS ADVERSOS DE OTRAS VACUNAS Y SUSTANCIAS BIOLOGICAS ESPECIFICADAS</t>
  </si>
  <si>
    <t>EFECTOS ADVERSOS DE OTRAS VACUNAS O SUSTANCIAS BIOLOGICAS NO ESPECIFICADAS</t>
  </si>
  <si>
    <t>INCIDENTE DURANTE OPERACIÓN QUIRURGICA</t>
  </si>
  <si>
    <t>INCIDENTE DURANTE INFUSION O TRANSFUSION</t>
  </si>
  <si>
    <t>INCIDENTE DURANTE DIALISIS RENAL U OTRA PERFUSION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</si>
  <si>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</si>
  <si>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</si>
  <si>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</si>
  <si>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</si>
  <si>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</si>
  <si>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</si>
  <si>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</si>
  <si>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EXTRAÑO DEJADO ACCIDENTALMENTE EN EL CUERPO DURANTE OPERACIÓN QUIRURGICA</t>
  </si>
  <si>
    <t>OBJETO EXTRAÑO DEJADO ACCIDENTALMENTE EN EL CUERPO DURANTE INFUSION O TRANSFUSION</t>
  </si>
  <si>
    <t>OBJETO EXTRAÑO DEJADO ACCIDENTALMENTE EN EL CUERPO DURANTE DIALISIS RENAL U OTRA PERFUSION</t>
  </si>
  <si>
    <t>OBJETO EXTRAÑO DEJADO ACCIDENTALMENTE EN EL CUERPO DURANTE INYECCION O INMUNIZACION</t>
  </si>
  <si>
    <t>OBJETO EXTRAÑO DEJADO ACCIDENTALMENTE EN EL CUERPO DURANTE EXAMEN ENDOSCOPICO</t>
  </si>
  <si>
    <t>OBJETO EXTRAÑO DEJADO ACCIDENTALMENTE EN EL CUERPO DURANTE CATETERIZACION CARDIACA</t>
  </si>
  <si>
    <t>OBJETO EXTRAÑO DEJADO ACCIDENTALMENTE EN EL CUERPO DURANTE ASPIRACION, PUNCION Y OTRA CATETERIZACION</t>
  </si>
  <si>
    <t>OBJETO EXTRAÑO DEJADO ACCIDENTALMENTE EN EL CUERPO DURANTE REMOCION DE CATETER O TAPONAMIENTO</t>
  </si>
  <si>
    <t>OBJETO EXTRAÑO DEJADO ACCIDENTALMENTE EN EL CUERPO DURANTE OTRAS ATENCIONES MEDICAS Y QUIRURGICAS</t>
  </si>
  <si>
    <t>OBJETO EXTRAÑO DEJADO ACCIDENTALMENTE EN EL CUERPO DURANTE ATENCION MEDICA Y QUIRURGICA NO ESPECIFICADA</t>
  </si>
  <si>
    <t>FALLAS EN LA ESTERILIZACION DURANTE OPERACIÓN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</si>
  <si>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</si>
  <si>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</si>
  <si>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</si>
  <si>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</si>
  <si>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</si>
  <si>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</si>
  <si>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</si>
  <si>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</si>
  <si>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</si>
  <si>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</si>
  <si>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</si>
  <si>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LA ATENCION MEDICA</t>
  </si>
  <si>
    <t>FALLA EN LA DOSIFICACION EN ELECTROCHOQUE O EN CHOQUE INSULINICO</t>
  </si>
  <si>
    <t>FALLA EN EL CONTROL DE LA TEMPERATURA, EN TAPONAMIENTOS Y APLICACIONES LOCALES</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</si>
  <si>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</si>
  <si>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</si>
  <si>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</si>
  <si>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</si>
  <si>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</si>
  <si>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</si>
  <si>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</si>
  <si>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FALLA EN LA SUTURA O LIGADURA DURANTE OPERACIÓN QUIRURGICA</t>
  </si>
  <si>
    <t>TUBO ENDOTRAQUEAL COLOCADO ERRONEAMENTE DURANTE PROCEDIMIENTO ANESTESICO</t>
  </si>
  <si>
    <t>REALIZACION DE UNA OPERACIÓN INADECUADA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</si>
  <si>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</si>
  <si>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</si>
  <si>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</si>
  <si>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</si>
  <si>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</si>
  <si>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</si>
  <si>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</si>
  <si>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</si>
  <si>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</si>
  <si>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CARDIOVASCULARES ASOCIADOS CON INCIDENTES ADVERSOS: DISPOSITIVOS DIVERSOS, NO CLASIFICADOS EN OTRA PARTE</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</si>
  <si>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</si>
  <si>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</si>
  <si>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</si>
  <si>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</si>
  <si>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</si>
  <si>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</si>
  <si>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</si>
  <si>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</si>
  <si>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</si>
  <si>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</si>
  <si>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</si>
  <si>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</si>
  <si>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</si>
  <si>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</si>
  <si>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PARA USO HOSPITALARIO GENERAL Y PERSONAL ASOCIADOS CON INCIDENTES ADVERSOS: DISPOSITIVOS DIVERSOS, NO CLASIFICADOS EN OTRA PARTE</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</si>
  <si>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</si>
  <si>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</si>
  <si>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</si>
  <si>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</si>
  <si>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</si>
  <si>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</si>
  <si>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</si>
  <si>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</si>
  <si>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</si>
  <si>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</si>
  <si>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</si>
  <si>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</si>
  <si>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</si>
  <si>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</si>
  <si>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</si>
  <si>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</si>
  <si>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</si>
  <si>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</si>
  <si>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</si>
  <si>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</si>
  <si>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</si>
  <si>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</si>
  <si>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</si>
  <si>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</si>
  <si>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</si>
  <si>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</si>
  <si>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</si>
  <si>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</si>
  <si>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</si>
  <si>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</si>
  <si>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</si>
  <si>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</si>
  <si>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</si>
  <si>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</si>
  <si>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</si>
  <si>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</si>
  <si>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</si>
  <si>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</si>
  <si>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</si>
  <si>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</si>
  <si>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OPERACIÓN QUIRURGICA CON TRASPLANTE DE UN ORGANO COMPLETO</t>
  </si>
  <si>
    <t>OPERACIÓN QUIRURGICA CON IMPLANTE DE UN DISPOSITIVO ARTIFICIAL INTERNO</t>
  </si>
  <si>
    <t>OPERACIÓN QUIRURGICA CON ANASTOMOSIS, DERIVACION O INJERTO</t>
  </si>
  <si>
    <t>OPERACIÓN QUIRURGICA CON FORMACION DE ESTOMA EXTERNO</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</si>
  <si>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</si>
  <si>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</si>
  <si>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</si>
  <si>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</si>
  <si>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</si>
  <si>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</si>
  <si>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</si>
  <si>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</si>
  <si>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</si>
  <si>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</si>
  <si>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</si>
  <si>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</si>
  <si>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NIVEL DE ALCOHOL EN LA SANGRE DE 240 mg/100 ml O MAS</t>
  </si>
  <si>
    <t>AFECCION RELACIONADA CON ESTILO DE VIDA</t>
  </si>
  <si>
    <t>EXAMEN PARA COMPARACION Y CONTROL NORMALES EN PROGRAMA DE INVESTIGACION CLINICA</t>
  </si>
  <si>
    <t>PRUEBA DE ALCOHOL O DROGAS EN LA SANGRE</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</si>
  <si>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</si>
  <si>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</si>
  <si>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</si>
  <si>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</si>
  <si>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</si>
  <si>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</si>
  <si>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</si>
  <si>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</si>
  <si>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</si>
  <si>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</si>
  <si>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</si>
  <si>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</si>
  <si>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</si>
  <si>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OTRO TRATAMIENTO NO ESPECIFICADO POR TUMOR MALIGNO</t>
  </si>
  <si>
    <t>EXAMEN DE SEGUIMIENTO CONSECUTIVO A CIRUGIA POR OTRAS AFECCIONES</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</si>
  <si>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</si>
  <si>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</si>
  <si>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</si>
  <si>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</si>
  <si>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</si>
  <si>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</si>
  <si>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</si>
  <si>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</si>
  <si>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</si>
  <si>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</si>
  <si>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</si>
  <si>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</si>
  <si>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INFECCIONES DE TRANSMISION PREDOMINANTEMENTE SEXUAL</t>
  </si>
  <si>
    <t>EXAMEN DE PESQUISA ESPECIAL PARA EL VIRUS DE LA INMUNODEFICIENCIA HUMANA [VIH]</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</si>
  <si>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</si>
  <si>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</si>
  <si>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</si>
  <si>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 INTESTINO</t>
  </si>
  <si>
    <t>EXAMEN DE PESQUISA ESPECIAL PARA ENFERMEDADES DE LA SANGRE Y ORGANOS HEMATOPOYETICOS Y CIERTOS TRASTORNOS DEL MECANISMO DE LA INMUNIDAD</t>
  </si>
  <si>
    <t>EXAMEN DE PESQUISA ESPECIAL PARA TRASTORNOS MENTALES Y DEL COMPORTAMIENTO</t>
  </si>
  <si>
    <t>EXAMEN DE PESQUISA ESPECIAL PARA CIERTOS TRASTORNOS DEL DESARROLLO EN EL NIÑO</t>
  </si>
  <si>
    <t>EXAMEN DE PESQUISA ESPECIAL PARA MALFORMACIONES CONGENITAS, DEFORMIDADES Y ANOMALIAS CROMOSOMICAS</t>
  </si>
  <si>
    <t>EXAMEN DE PESQUISA ESPECIAL PARA OTRAS ENFERMEDADES Y TRASTORNOS ESPECIFICADOS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</si>
  <si>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</si>
  <si>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</si>
  <si>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</si>
  <si>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</si>
  <si>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</si>
  <si>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</si>
  <si>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</si>
  <si>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</si>
  <si>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</si>
  <si>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</si>
  <si>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</si>
  <si>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ENFERMEDADES INFECCIOSAS CON UN MODO DE TRANSMISION PREDOMINANTEMENTE SEXUAL</t>
  </si>
  <si>
    <t>PORTADOR DE ENFERMEDAD INFECCIOSA DEBIDA AL VIRUS HUMANO T-LINFOTROPICO TIPO 1 [VHTL-1]</t>
  </si>
  <si>
    <t>NECESIDAD DE INMUNIZACION SOLO CONTRA EL COLERA</t>
  </si>
  <si>
    <t>NECESIDAD DE INMUNIZACION SOLO CONTRA LA TIFOIDEA - 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</si>
  <si>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</si>
  <si>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</si>
  <si>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</si>
  <si>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</si>
  <si>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</si>
  <si>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</si>
  <si>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</si>
  <si>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</si>
  <si>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</si>
  <si>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</si>
  <si>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</si>
  <si>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</si>
  <si>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</si>
  <si>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</si>
  <si>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</si>
  <si>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</si>
  <si>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</si>
  <si>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</si>
  <si>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</si>
  <si>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ESPECIFICADAS</t>
  </si>
  <si>
    <t>NECESIDAD DE INMUNIZACION CONTRA EL COLERA Y LA TIFOIDEA - PARATIFOIDEA [COLERA + TAB]</t>
  </si>
  <si>
    <t>NECESIDAD DE INMUNIZACION CONTRA DIFTERIA - PERTUSSIS - TETANOS COMBINADOS [DPT]</t>
  </si>
  <si>
    <t>NECESIDAD DE INMUNIZACION CONTRA DIFTERIA - PERTUSSIS - TETANOS Y TIFOIDEA - PARATIFOIDEA [DPT + TAB]</t>
  </si>
  <si>
    <t>NECESIDAD DE INMUNIZACION CONTRA DIFTERIA - PERTUSSIS - TETANOS Y POLIOMIELITIS [DPT + POLIO]]</t>
  </si>
  <si>
    <t>NECESIDAD DE INMUNIZACION CONTRA SARAMPION - PAROTIDITIS - 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</si>
  <si>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</si>
  <si>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</si>
  <si>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</si>
  <si>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DEL GRUPO</t>
  </si>
  <si>
    <t>INMUNIZACION NO REALIZADA POR DECISION DEL PACIENTE, POR OTRAS RAZONES Y LAS NO ESPECIFICADAS</t>
  </si>
  <si>
    <t>INMUNIZACION NO REALIZADA POR OTRAS RAZONES</t>
  </si>
  <si>
    <t>INMUNIZACION NO REALIZADA POR RAZON NO ESPECIFICADA</t>
  </si>
  <si>
    <t>OTRAS MEDIDAS PROFILACTICAS ESPECIFICADAS</t>
  </si>
  <si>
    <t>SUPERVISION DE EMBARAZO CON OTRO RIESGO EN LA HISTORIA OBSTETRICA O REPRODUCTIVA</t>
  </si>
  <si>
    <t>PESQUISA PRENATAL DE MALFORMACIONES USANDO ALTRASONIDO Y OTROS METODOS FISICOS</t>
  </si>
  <si>
    <t>PESQUISA PRENATAL DEL RETARDO DEL CRECIMIENTO FETAL USANDO ULTRASONIDO Y OTROS METODOS FISICOS</t>
  </si>
  <si>
    <t>CIRUGIA PROFILACTICA POR FACTORES DE RIESGO RELACIONADOS CON TUMORES MALIGNOS</t>
  </si>
  <si>
    <t>OTROS PROCEDIMIENTOS PARA OTROS PROPOSITOS QUE NO SEAN LOS DE MEJORAR EL ESTADO DE SALUD</t>
  </si>
  <si>
    <t>PROCEDIMIENTOS NO ESPECIFICADO PARA OTROS PROPOSITOS QUE NO SEAN LOS DE MEJORAR EL ESTADO DE SALUD</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</si>
  <si>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</si>
  <si>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</si>
  <si>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</si>
  <si>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</si>
  <si>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PRUEBA Y AJUSTE DE OTROS DISPOSITIVOS RELACIONADOS CON EL SISTEMA NERVIOSO Y LOS SENTIDOS ESPECIALES</t>
  </si>
  <si>
    <t>CUIDADOS POSTERIORES A LA EXTRACCION DE PLACA U OTRO DISPOSITIVO DE FIJACION INTERNA EN FRACTURA</t>
  </si>
  <si>
    <t>CUIDADOS PREOPERATORIOS PARA DIALISIS</t>
  </si>
  <si>
    <t>TERAPIA OCUPACIONAL Y REHABILITACION VOCACIONAL, NO CLASIFICADA EN OTRA PARTE</t>
  </si>
  <si>
    <t>ATENCION PREPARATORIA PARA TRATAMIENTO SUBSECUENTE, NO CLASIFICADO EN OTRA PARTE</t>
  </si>
  <si>
    <t>DONANTE DE HIGADO</t>
  </si>
  <si>
    <t>DONANTE DE CORAZON</t>
  </si>
  <si>
    <t>PROCEDIMIENTO NO REALIZADO POR CONTRAINDICACION</t>
  </si>
  <si>
    <t>PROCEDIMIENTO NO REALIZADO POR DECISION DEL PACIENTE, POR RAZONES DE CREENCIA O PRESION DEL GRUPO</t>
  </si>
  <si>
    <t>PROCEDIMIENTO NO REALIZADO POR DECISION DEL PACIENTE, POR OTRAS RAZONES Y LAS NO ESPECIFICADAS</t>
  </si>
  <si>
    <t>PROCEDIMIENTO NO REALIZADO POR OTRAS RAZONES</t>
  </si>
  <si>
    <t>PROCEDIMIENTO NO REALIZADO POR RAZON NO ESPECIFICADA</t>
  </si>
  <si>
    <t>PROBLEMAS RELACIONADOS CON EL ANALFABETISMO O BAJO NIVEL DE INSTRUCCIÓN</t>
  </si>
  <si>
    <t>PROBLEMAS RELACIONADOS CON LA EDUCACION NO DISPONIBLE O INACCESIBLE</t>
  </si>
  <si>
    <t>PROBLEMAS RELACIONADOS CON LA FALLA EN LOS EXAMENES</t>
  </si>
  <si>
    <t>PROBLEMAS RELACIONADOS CON EL BAJO RENDIMIENTO ESCOLAR</t>
  </si>
  <si>
    <t>PROBLEMAS RELACIONADOS CON LA INADAPTACION EDUCACIONAL Y DESAVENENCIAS CON MAESTROS Y COMPAÑEROS</t>
  </si>
  <si>
    <t>OTROS PROBLEMAS RELACIONADOS CON LA EDUCACION Y LA ALFABETIZACION</t>
  </si>
  <si>
    <t>PROBLEMA NO ESPECIFICADO RELACIONADO CON LA EDUCACION Y LA ALFABETIZACION</t>
  </si>
  <si>
    <t>PROBLEMAS RELACIONADOS CON EL DESEMPLEO, NO ESPECIFICADOS</t>
  </si>
  <si>
    <t>PROBLEMAS RELACIONADOS CON EL CAMBIO DE EMPLEO</t>
  </si>
  <si>
    <t>PROBLEMAS RELACIONADOS CON AMENAZA DE PERDIDA DEL EMPLEO</t>
  </si>
  <si>
    <t>PROBLEMAS RELACIONADOS CON HORARIO ESTRESANTE DE TRABAJO</t>
  </si>
  <si>
    <t>PROBLEMAS RELACIONADOS CON DESAVENENCIAS CON EL JEFE Y LOS COMPAÑEROS DE TRABAJO</t>
  </si>
  <si>
    <t>PROBLEMAS RELACIONADOS CON EL TRABAJO INCOMPATIBLE</t>
  </si>
  <si>
    <t>OTROS PROBLEMAS DE TENSION FISICA O MENTAL RELACIONADAS CON EL TRABAJO</t>
  </si>
  <si>
    <t>OTROS PROBLEMAS Y LOS NO ESPECIFICADOS RELACIONADOS CON EL EMPLEO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</si>
  <si>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</si>
  <si>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</si>
  <si>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</si>
  <si>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</si>
  <si>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</si>
  <si>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</si>
  <si>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</si>
  <si>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</si>
  <si>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</si>
  <si>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</si>
  <si>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</si>
  <si>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</si>
  <si>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</si>
  <si>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</si>
  <si>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</si>
  <si>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</si>
  <si>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SUMINISTRO INADECUADO DE AGUA POTABLE</t>
  </si>
  <si>
    <t>OTROS PROBLEMAS RELACIONADOS CON EL AMBIENTE FISICO</t>
  </si>
  <si>
    <t>PROBLEMA NO ESPECIFICADO RELACIONADO CON EL AMBIENTE FISICO</t>
  </si>
  <si>
    <t>PROBLEMAS RELACIONADOS CON LA FALTA DE VIVIENDA</t>
  </si>
  <si>
    <t>PROBLEMAS RELACIONADOS CON VIVIENDA INADECUADA</t>
  </si>
  <si>
    <t>PROBLEMAS CASEROS Y CON VECINOS E INQUILINOS</t>
  </si>
  <si>
    <t>PROBLEMAS RELACIONADOS CON PERSONA QUE RESIDE EN UNA INSTITUCION</t>
  </si>
  <si>
    <t>PROBLEMAS RELACIONADOS CON FALTA DE ALIMENTOS ADECUADOS</t>
  </si>
  <si>
    <t>PROBLEMAS RELACIONADOS CON POBREZA EXTREMA</t>
  </si>
  <si>
    <t>PROBLEMAS RELACIONADOS CON BAJOS INGRESOS</t>
  </si>
  <si>
    <t>PROBLEMAS RELACIONADOS CON SEGURIDAD SOCIAL Y SOSTENIMIENTO INSUFICIENTES PARA EL BIENESTAR</t>
  </si>
  <si>
    <t>OTROS PROBLEMAS RELACIONADOS CON LA VIVIENDA Y LAS CIRCUNSTANCIAS ECONOMICAS</t>
  </si>
  <si>
    <t>PROBLEMAS NO ESPECIFICADOS RELACIONADOS CON LA VIVIENDA Y LAS CIRCUNSTANCIAS ECONOMICAS</t>
  </si>
  <si>
    <t>PROBLEMAS RELACIONADOS CON EL AJUSTE A LAS TRANSICIONES DEL CICLO VITAL</t>
  </si>
  <si>
    <t>PROBLEMAS RELACIONADOS CON SITUACION FAMILIAR ATIPICA</t>
  </si>
  <si>
    <t>PROBLEMAS RELACIONADOS CON PERSONA QUE VIVE SOLA</t>
  </si>
  <si>
    <t>PROBLEMAS RELACIONADOS CON LA ADAPTACION CULTURAL</t>
  </si>
  <si>
    <t>PROBLEMAS RELACIONADOS CON EXCLUSION Y RECHAZO SOCIAL</t>
  </si>
  <si>
    <t>PROBLEMAS RELACIONADOS CON LA DISCRIMINACION Y PERSECUCION PERCIBIDAS</t>
  </si>
  <si>
    <t>OTROS PROBLEMAS RELACIONADOS CON EL AMBIENTE SOCIAL</t>
  </si>
  <si>
    <t>PROBLEMA NO ESPECIFICADO RELACIONADO CON EL AMBIENTE SOCIAL</t>
  </si>
  <si>
    <t>PROBLEMAS RELACIONADOS CON LA PERDIDA DE RELACION AFECTIVA EN LA INFANCIA</t>
  </si>
  <si>
    <t>PROBLEMAS RELACIONADOS CON EL ALEJAMIENTO DEL HOGAR EN LA INFANCIA</t>
  </si>
  <si>
    <t>PROBLEMAS RELACIONADOS CON ALTERACION EN EL PATRON DE LA RELACION FAMILIAR EN LA INFANCIA</t>
  </si>
  <si>
    <t>PROBLEMAS RELACIONADOS CON EVENTOS QUE LLEVARON A LA PERDIDA DE LA AUTOESTIMA EN LA INFANCIA</t>
  </si>
  <si>
    <t>PROBLEMAS RELACIONADOS CON EL ABUSO SEXUAL DEL NIÑO POR PERSONA DENTRO DEL GRUPO DE APOYO PRIMARIO</t>
  </si>
  <si>
    <t>PROBLEMAS RELACIONADOS CON EL ABUSO SEXUAL DEL NIÑO POR PERSONA AJENA AL GRUPO DE APOYO PRIMARIO</t>
  </si>
  <si>
    <t>PROBLEMAS RELACIONADOS CON ABUSO FISICO DEL NIÑO</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</si>
  <si>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</si>
  <si>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</si>
  <si>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</si>
  <si>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</si>
  <si>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</si>
  <si>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</si>
  <si>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NIÑO</t>
  </si>
  <si>
    <t>PROBLEMAS RELACIONADOS CON EL ABANDONO EMOCIONAL DEL NIÑO</t>
  </si>
  <si>
    <t>OTROS PROBLEMAS RELACIONADOS CON NEGLIGENCIA EN LA CRIANZA DEL NIÑO</t>
  </si>
  <si>
    <t>PROBLEMAS RELACIONADOS CON PRESIONES INAPROPIADAS DE LOS PADRES Y OTRAS ANORMALIDADES EN LA CALIDAD DE LA CRIANZA</t>
  </si>
  <si>
    <t>OTROS PROBLEMAS ESPECIFICADOS Y RELACIONADOS CON LA CRIANZA DEL NIÑO</t>
  </si>
  <si>
    <t>PROBLEMA NO ESPECIFICADO RELACIONADO CON LA CRIANZA DEL NIÑO</t>
  </si>
  <si>
    <t>PROBLEMAS EN LA RELACION ENTRE ESPOSOS O PAREJA</t>
  </si>
  <si>
    <t>PROBLEMAS EN LA RELACION CON LOS PADRES Y LOS FAMILIARES POLITICOS</t>
  </si>
  <si>
    <t>PROBLEMAS RELACIONADOS CON EL APOYO FAMILIAR INADECUADO</t>
  </si>
  <si>
    <t>PROBLEMAS RELACIONADOS CON LA AUSENCIA DE UN MIEMBRO DE LA FAMILIA</t>
  </si>
  <si>
    <t>PROBLEMAS RELACIONADOS CON LA DESAPARICION O MUERTE DE UN MIEMBRO DE LA FAMILIA</t>
  </si>
  <si>
    <t>PROBLEMAS RELACIONADOS CON LA RUPTURA FAMILIAR POR SEPARACION O DIVORCIO</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</si>
  <si>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</si>
  <si>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</si>
  <si>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</si>
  <si>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</si>
  <si>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</si>
  <si>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</si>
  <si>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</si>
  <si>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</si>
  <si>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EL DESACUERDO CON CONSEJEROS</t>
  </si>
  <si>
    <t>PROBLEMAS RELACIONADOS CON CULPABILIDAD EN PROCEDIMIENTOS CIVILES O CRIMINALES SIN PRISION</t>
  </si>
  <si>
    <t>PROBLEMAS RELACIONADOS CON PRISION Y OTRO ENCARCELAMIENTO</t>
  </si>
  <si>
    <t>PROBLEMAS RELACIONADOS CON LA LIBERACION DE LA PRISION</t>
  </si>
  <si>
    <t>PROBLEMAS RELACIONADOS CON OTRAS CIRCUNSTANCIAS LEGALES</t>
  </si>
  <si>
    <t>PROBLEMAS RELACIONADOS CON VICTIMA DE CRIMEN O TERRORISMO</t>
  </si>
  <si>
    <t>PROBLEMAS RELACIONADOS CON LA EXPOSICION A DESASTRE, GUERRA U OTRAS HOSTILIDADES</t>
  </si>
  <si>
    <t>OTROS PROBLEMAS ESPECIFICADOS RELACIONADOS CON CIRCUNSTANCIAS PSICOSOCIALES</t>
  </si>
  <si>
    <t>PROBLEMAS RELACIONADOS CON CIRCUNSTANCIAS PSICOSOCIALES NO ESPECIFICADAS</t>
  </si>
  <si>
    <t>CONSULTA RELACIONADA CON LA ORIENTACION Y CONDUCTA SEXUAL DE UNA TERCERA PERSONA</t>
  </si>
  <si>
    <t>CONSULTA RELACIONADA CON PREOCUPACIONES COMBINADAS SOBRE LA ACTITUD, LA CONDUCTA Y LA ORIENTACION SEXUALES</t>
  </si>
  <si>
    <t>PERSONA QUE CONSULTA PARA LA EXPLICACION DE HALLAZGOS DE INVESTIGACION</t>
  </si>
  <si>
    <t>CONSULTA PARA INSTRUCCIÓN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</si>
  <si>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</si>
  <si>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</si>
  <si>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</si>
  <si>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</si>
  <si>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OTRAS CONSULTAS ESPECIFICADAS</t>
  </si>
  <si>
    <t>CONSULTA, NO ESPECIFICADA</t>
  </si>
  <si>
    <t>PROBLEMAS RELACIONADOS CON EL USO DE TABACO</t>
  </si>
  <si>
    <t>PROBLEMAS RELACIONADOS CON EL USO DE ALCOHOL</t>
  </si>
  <si>
    <t>PROBLEMAS RELACIONADOS CON EL USO DE DROGAS</t>
  </si>
  <si>
    <t>PROBLEMAS RELACIONADOS CON LA FALTA DE EJERCICIO FISICO</t>
  </si>
  <si>
    <t>PROBLEMAS RELACIONADOS CON LA DIETA Y HABITOS ALIMENTARIOS INAPROPIADOS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</si>
  <si>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</si>
  <si>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</si>
  <si>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</si>
  <si>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</si>
  <si>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</si>
  <si>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LA ACENTUACION DE RASGOS DE LA PERSONALIDAD</t>
  </si>
  <si>
    <t>PROBLEMAS RELACIONADOS CON LA FALTA DE RELAJACION Y DESCANSO</t>
  </si>
  <si>
    <t>PROBLEMAS RELACIONADOS CON EL ESTRÉS, NO CLASIFICADOS EN OTRA PARTE</t>
  </si>
  <si>
    <t>PROBLEMAS RELACIONADOS CON HABILIDADES SOCIALES INADECUADAS, NO CLASIFICADAS EN OTRA PARTE</t>
  </si>
  <si>
    <t>PROBLEMAS RELACIONADOS CON EL CONFLICTO DEL ROL SOCIAL, NO CLASIFICADOS EN OTRA PARTE</t>
  </si>
  <si>
    <t>PROBLEMAS RELACIONADOS CON LA LIMITACION DE LAS ACTIVIDADES DEBIDO A DISCAPACIDAD</t>
  </si>
  <si>
    <t>OTROS PROBLEMAS RELACIONADOS CON DIFICULTADES CON EL MODO DE VIDA</t>
  </si>
  <si>
    <t>PROBLEMAS NO ESPECIFICADOS RELACIONADOS CON DIFICULTADES CON EL MODO DE VIDA</t>
  </si>
  <si>
    <t>PROBLEMAS RELACIONADOS CON MOVILIDAD REDUCIDA</t>
  </si>
  <si>
    <t>PROBLEMAS RELACIONADOS CON LA NECESIDAD DE AYUDA PARA EL CUIDADO PERSONAL</t>
  </si>
  <si>
    <t>PROBLEMAS RELACIONADOS CON LA NECESIDAD DE ASISTENCIA DOMICILIARIA Y QUE NINGUN OTRO MIEMBRO DEL HOGAR PUEDE PROPORCIONAR</t>
  </si>
  <si>
    <t>PROBLEMAS RELACIONADOS CON LA NECESIDAD DE SUPERVISION CONTINUA</t>
  </si>
  <si>
    <t>OTROS PROBLEMAS RELACIONADOS CON DEPENDENCIA DEL PRESTADOR DE SERVICIOS</t>
  </si>
  <si>
    <t>PROBLEMA NO ESPECIFICADO RELACIONADO CON DEPENDENCIA DEL PRESTADOR DE SERVICIOS</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</si>
  <si>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</si>
  <si>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</si>
  <si>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</si>
  <si>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</si>
  <si>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OTROS SERVICIOS ASISTENCIALES NO DISPONIBLES O INACCESIBLES</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</si>
  <si>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</si>
  <si>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</si>
  <si>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</si>
  <si>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</si>
  <si>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NIÑO</t>
  </si>
  <si>
    <t>CONSULTA PARA ATENCION Y SUPERVISION DE LA SALUD DE OTROS NIÑOS O LACTANTES SANOS</t>
  </si>
  <si>
    <t>PERSONA SANA QUE ACOMPAÑA AL ENFERMO</t>
  </si>
  <si>
    <t>OTRO HUESPED EN SERVICIOS DE SALUD</t>
  </si>
  <si>
    <t>PERSONA QUE CONSULTA CON SIMULACION CONSCIENTE [SIMULADOR]</t>
  </si>
  <si>
    <t>PERSONA EN CONTACTO CON LOS SERVICIOS DE SALUD EN OTRAS CIRCUNSTANCIAS ESPECIFICADAS</t>
  </si>
  <si>
    <t>PERSONA EN CONTACTO CON LOS SERVICIOS DE SALUD EN CIRCUNSTANCIAS NO ESPECIFICADAS</t>
  </si>
  <si>
    <t>HISTORIA FAMILIAR DE TUMOR MALIGNO DE ORGANOS DIGESTIVOS</t>
  </si>
  <si>
    <t>HISTORIA FAMILIAR DE TUMOR MALIGNO DE TRAQUEA, BRONQUIOS Y PULMON</t>
  </si>
  <si>
    <t>HISTORIA FAMILIAR DE TUMOR MALIGNO DE OTROS ORGANOS RESPIRATORIOS E INTRATORACICOS</t>
  </si>
  <si>
    <t>HISTORIA FAMILIAR DE TUMOR MALIGNO DE MAMA</t>
  </si>
  <si>
    <t>HISTORIA FAMILIAR DE TUMOR MALIGNO DE ORGANOS GENITALES</t>
  </si>
  <si>
    <t>HISTORIA FAMILIAR DE TUMOR MALIGNO DE VIAS URINARIAS</t>
  </si>
  <si>
    <t>HISTORIA FAMILIAR DE LEUCEMIA</t>
  </si>
  <si>
    <t>HISTORIA FAMILIAR DE OTROS TUMORES MALIGNOS DEL TEJIDO LINFOIDE, HEMATOPOYETICO Y TEJIDOS RELACIONADOS</t>
  </si>
  <si>
    <t>HISTORIA FAMILIAR DE TUMOR MALIGNO DE OTROS ORGANOS O SISTEMAS ESPECIFICADOS</t>
  </si>
  <si>
    <t>HISTORIA FAMILIAR DE TUMOR MALIGNO, DE SITIO NO ESPECIFICADO</t>
  </si>
  <si>
    <t>HISTORIA FAMILIAR DE RETARDO MENTAL</t>
  </si>
  <si>
    <t>HISTORIA FAMILIAR DE ABUSO DE ALCOHOL</t>
  </si>
  <si>
    <t>HISTORIA FAMILIAR DE ABUSO DE TABACO</t>
  </si>
  <si>
    <t>HISTORIA FAMILIAR DE ABUSO DE OTRAS SUSTANCIA PSICOACTIVAS</t>
  </si>
  <si>
    <t>HISTORIA FAMILIAR DE ABUSO DE OTRAS SUSTANCIAS</t>
  </si>
  <si>
    <t>HISTORIA FAMILIAR DE OTROS TRASTORNOS MENTALES Y DEL COMPORTAMIENTO</t>
  </si>
  <si>
    <t>HISTORIA FAMILIAR DE EPILEPSIA Y DE OTRAS ENFERMEDADES DEL SISTEMA NERVIOSO</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</si>
  <si>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</si>
  <si>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</si>
  <si>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</si>
  <si>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</si>
  <si>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</si>
  <si>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ARTRITIS Y OTRAS ENFERMEDADES DEL SISTEMA OSTEOMUSCULAR Y TEJIDO CONJUNTIVO</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</si>
  <si>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</si>
  <si>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</si>
  <si>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</si>
  <si>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OTRAS ENFERMEDADES INFECCIOSAS Y PARASITARIAS</t>
  </si>
  <si>
    <t>HISTORIA FAMILIAR DE ENFERMEDADES DE LA SANGRE Y DE LOS ORGANOS HEMATOPOYETICOS Y DE CIERTOS TRASTORNOS DEL MECANISMO INMUNOLOGICO</t>
  </si>
  <si>
    <t>HISTORIA FAMILIAR DE DIABETES MELLITUS</t>
  </si>
  <si>
    <t>HISTORIA FAMILIAR DE OTRAS ENFERMEDADES ENDOCRINAS, NUTRICIONALES Y METABOLICAS</t>
  </si>
  <si>
    <t>HISTORIA FAMILIAR DE TRASTORNOS DE LOS OJOS Y DE LOS OIDOS</t>
  </si>
  <si>
    <t>HISTORIA FAMILIAR DE ENFERMEDADES DEL SISTEMA RESPIRATORIO</t>
  </si>
  <si>
    <t>HISTORIA FAMILIAR DE ENFERMEDADES DEL SISTEMA DIGESTIVO</t>
  </si>
  <si>
    <t>HISTORIA FAMILIAR DE ENFERMEDADES DE LA PIEL Y DEL TEJIDO SUBCUTANEO</t>
  </si>
  <si>
    <t>HISTORIA FAMILIAR DE TRASTORNOS DEL RIÑON Y DEL URETER</t>
  </si>
  <si>
    <t>HISTORIA FAMILIAR DE OTRAS ENFERMEDADES DEL SISTEMA GENITOURINARIO</t>
  </si>
  <si>
    <t>HISTORIA FAMILIAR DE CONSANGUINIDAD</t>
  </si>
  <si>
    <t>HISTORIA FAMILIAR DE OTRAS AFECCIONES ESPECIFICADAS</t>
  </si>
  <si>
    <t>HISTORIA PERSONAL DE TUMOR MALIGNO DE ORGANOS DIGESTIVOS</t>
  </si>
  <si>
    <t>HISTORIA PERSONAL DE TUMOR MALIGNO DE TRAQUEA, BRONQUIOS Y PULMON</t>
  </si>
  <si>
    <t>HISTORIA PERSONAL DE TUMOR MALIGNO DE OTROS ORGANOS RESPIRATORIOS E INTRATORACICOS</t>
  </si>
  <si>
    <t>HISTORIA PERSONAL DE TUMOR MALIGNO DE MAMA</t>
  </si>
  <si>
    <t>HISTORIA PERSONAL DE TUMOR MALIGNO DE ORGANOS GENITALES</t>
  </si>
  <si>
    <t>HISTORIA PERSONAL DE TUMOR MALIGNO DE VIAS URINARIAS</t>
  </si>
  <si>
    <t>HISTORIA PERSONAL DE LEUCEMIA</t>
  </si>
  <si>
    <t>HISTORIA PERSONAL DE OTROS TUMORES MALIGNOS DEL TEJIDO LINFOIDE, HEMATOPOYETICO Y TEJIDOS RELACIONADOS</t>
  </si>
  <si>
    <t>HISTORIA PERSONAL DE TUMOR MALIGNO DE OTROS ORGANOS Y SISTEMAS</t>
  </si>
  <si>
    <t>HISTORIA PERSONAL DE TUMOR MALIGNO, DE SITIO NO ESPECIFICADO</t>
  </si>
  <si>
    <t>HISTORIA PERSONAL DE OTROS TUMORES</t>
  </si>
  <si>
    <t>HISTORIA PERSONAL DE ENFERMEDADES INFECCIOSAS Y PARASITARIAS</t>
  </si>
  <si>
    <t>HISTORIA PERSONAL DE ENFERMEDADES DE LA SANGRE Y DE LOS ORGANOS HEMATOPOYETICOS Y DE CIERTOS TRASTORNOS DEL MECANISMO INMUNOLOGICO</t>
  </si>
  <si>
    <t>HISTORIA PERSONAL DE ENFERMEDADES ENDOCRINAS, NUTRICIONALES Y METABOLICAS</t>
  </si>
  <si>
    <t>HISTORIA PERSONAL DE ABUSO DE SUSTANCIAS PSICOACTIVAS</t>
  </si>
  <si>
    <t>HISTORIA PERSONAL DE OTROS TRASTORNOS MENTALES O DEL COMPORTAMIENTO</t>
  </si>
  <si>
    <t>HISTORIA PERSONAL DE ENFERMEDADES DEL SISTEMA NERVIOSO Y DE LOS ORGANOS DE LOS SENTIDOS</t>
  </si>
  <si>
    <t>HISTORIA PERSONAL DE ENFERMEDADES DEL SISTEMA CIRCULATORIO</t>
  </si>
  <si>
    <t>HISTORIA PERSONAL DE ENFERMEDADES DEL SISTEMA RESPIRATORIO</t>
  </si>
  <si>
    <t>HISTORIA PERSONAL DE ENFERMEDADES DEL SISTEMA DIGESTIVO</t>
  </si>
  <si>
    <t>HISTORIA PERSONAL DE ENFERMEDADES DE LA PIEL Y DEL TEJIDO SUBCUTANEO</t>
  </si>
  <si>
    <t>HISTORIA PERSONAL DE ENFERMEDADES DEL SISTEMA OSTEOMUSCULAR Y DEL TEJIDO CONJUNTIVO</t>
  </si>
  <si>
    <t>HISTORIA PERSONAL DE ENFERMEDADES DEL SISTEMA GENITOURINARIO</t>
  </si>
  <si>
    <t>HISTORIA PERSONAL DE COMPLICACIONES DEL EMBARAZO, DEL PARTO Y DEL PUERPERIO</t>
  </si>
  <si>
    <t>HISTORIA PERSONAL DE CIERTAS AFECCIONES ORIGINADAS EN EL PERIODO PERINATAL</t>
  </si>
  <si>
    <t>HISTORIA PERSONAL DE MALFORMACIONES CONGENITAS, DEFORMIDADES Y ANOMALIAS CROMOSOMICAS</t>
  </si>
  <si>
    <t>HISTORIA PERSONAL DE OTRAS AFECCIONES ESPECIFICADAS</t>
  </si>
  <si>
    <t>HISTORIA PERSONAL DE ALERGIA A PENICILINA</t>
  </si>
  <si>
    <t>HISTORIA PERSONAL DE ALERGIA A OTROS AGENTES ANTIBIOTICOS</t>
  </si>
  <si>
    <t>HISTORIA PERSONAL DE ALERGIA A SULFONAMIDAS</t>
  </si>
  <si>
    <t>HISTORIA PERSONAL DE ALERGIA A OTROS AGENTES ANTIINFECCIOSOS</t>
  </si>
  <si>
    <t>HISTORIA PERSONAL DE ALERGIA A AGENTE ANESTESICO</t>
  </si>
  <si>
    <t>HISTORIA PERSONAL DE ALERGIA A AGENTE NARCOTICO</t>
  </si>
  <si>
    <t>HISTORIA PERSONAL DE ALERGIA A AGENTE ANALGESICO</t>
  </si>
  <si>
    <t>HISTORIA PERSONAL DE ALERGIA A SUERO O VACUNA</t>
  </si>
  <si>
    <t>HISTORIA PERSONAL DE ALERGIA A OTRAS DROGAS, MEDICAMENTOS Y SUSTANCIAS BIOLOGICAS</t>
  </si>
  <si>
    <t>HISTORIA PERSONAL DE ALERGIA A OTRAS DROGAS, MEDICAMENTOS Y SUSTANCIAS BIOLOGICAS NO ESPECIFICADAS</t>
  </si>
  <si>
    <t>AUSENCIA ADQUIRIDA DE DEDO(S), [INCLUIDO EL PULGAR], UNILATERAL</t>
  </si>
  <si>
    <t>AUSENCIA ADQUIRIDA DE AMBOS MIEMBROS SUPERIORES [CUALQUIER NIVEL]</t>
  </si>
  <si>
    <t>AUSENCIA ADQUIRIDA DE AMBOS MIEMBROS INFERIORES [CUALQUIER NIVEL, EXCEPTO DEDOS DEL PIE SOLAMENTE]</t>
  </si>
  <si>
    <t>AUSENCIA ADQUIRIDA DE MIEMBROS SUPERIORES E INFERIORES [CUALQUIER NIVEL]</t>
  </si>
  <si>
    <t>HISTORIA PERSONAL DE ALERGIA, NO DEBIDA A DROGAS NI A SUSTANCIAS BIOLOGICAS</t>
  </si>
  <si>
    <t>HISTORIA PERSONAL DE INCUMPLIMIENTO DEL REGIMEN O TRATAMIENTO MEDICO</t>
  </si>
  <si>
    <t>HISTORIA PERSONAL DE HIGIENE PERSONAL DEFICIENTE</t>
  </si>
  <si>
    <t>HISTORIA PERSONAL DEL CICLO SUEÑO - VIGILIA NO SALUDABLE</t>
  </si>
  <si>
    <t>HISTORIA PERSONAL DE OTRO TRAUMA FISICO</t>
  </si>
  <si>
    <t>HISTORIA PERSONAL DE OTROS FACTORES DE RIESGO, NO CLASIFICADOS EN OTRA PARTE</t>
  </si>
  <si>
    <t>HISTORIA PERSONAL DE ANTICONCEPCIÓN</t>
  </si>
  <si>
    <t>HISTORIA PERSONAL DE USO (PRESENTE) DE ANTICOAGULANTES POR LARGO TIEMPO</t>
  </si>
  <si>
    <t>HISTORIA PERSONAL DE USO (PRESENTE) DE OTROS MEDICAMENTOS POR LARGO TIEMPO</t>
  </si>
  <si>
    <t>HISTORIA PERSONAL DE IRRADIACION</t>
  </si>
  <si>
    <t>HISTORIA PERSONAL DE CIRUGIA MAYOR, NO CLASIFICADA EN OTRA PARTE</t>
  </si>
  <si>
    <t>HISTORIA PERSONAL DE MEDIDAS DE REHABILITACION</t>
  </si>
  <si>
    <t>HISTORIA PERSONAL DE OTROS TRATAMIENTOS MEDICOS</t>
  </si>
  <si>
    <t>HISTORIA PERSONAL DE TRATAMIENTO MEDICO NO ESPECIFICADO</t>
  </si>
  <si>
    <t>ORGANO Y TEJIDO TRASPLANTADO NO ESPECIFICADO</t>
  </si>
  <si>
    <t>PRESENCIA DE MARCAPASO CARDIACO</t>
  </si>
  <si>
    <t>PRESENCIA DE DERIVACION AORTOCORONARIA</t>
  </si>
  <si>
    <t>PRESENCIA DE VALVULA CARDIACA PROTESICA</t>
  </si>
  <si>
    <t>PRESENCIA DE VALVULA CARDIACA XENOGENICA</t>
  </si>
  <si>
    <t>PRESENCIA DE OTROS REEMPLAZOS DE VALVULA CARDIACA</t>
  </si>
  <si>
    <t>PRESENCIA DE ANGIOPLASTIA, INJERTOS Y PROTESIS CARDIOVASCULARES</t>
  </si>
  <si>
    <t>PRESENCIA DE OTROS INJERTOS Y PROTESIS CARDIOVASCULARES</t>
  </si>
  <si>
    <t>PRESENCIA DE INJERTOS E IMPLANTES CARDIOVASCULARES NO ESPECIFICADOS</t>
  </si>
  <si>
    <t>PRESENCIA DE IMPLANTE UROGENITAL</t>
  </si>
  <si>
    <t>PRESENCIA DE LENTES INTRAOCULARES</t>
  </si>
  <si>
    <t>PRESENCIA DE IMPLANTES OTICOS Y AUDITIVOS</t>
  </si>
  <si>
    <t>PRESENCIA DE LARINGE ARTIFICIAL</t>
  </si>
  <si>
    <t>PRESENCIA DE IMPLANTES ENDOCRINOS</t>
  </si>
  <si>
    <t>PRESENCIA DE IMPLANTES DE RAIZ DE DIENTE Y DE MANDIBULA</t>
  </si>
  <si>
    <t>PRESENCIA DE IMPLANTE ORTOPEDICO ARTICULAR</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</si>
  <si>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</si>
  <si>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</si>
  <si>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</si>
  <si>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</si>
  <si>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</si>
  <si>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DISPOSITIVO PROTESICO DENTAL (COMPLETO) (PARCIAL)</t>
  </si>
  <si>
    <t>PRESENCIA DE ANTEOJOS Y LENTES DE CONTACTO</t>
  </si>
  <si>
    <t>PRESENCIA DE AUDIFONO EXTERNO</t>
  </si>
  <si>
    <t>PRESENCIA DE DISPOSITIVO ANTICONCEPTIVO (INTRAUTERINO)</t>
  </si>
  <si>
    <t>PRESENCIA DE OTROS DISPOSITIVOS ESPECIFICADOS</t>
  </si>
  <si>
    <t>ENFERMEDAD RESPIRATORIA AGUDA DEBIDO AL NUEVO CORONAVIRUS SARS-COV-2</t>
  </si>
  <si>
    <t>COVID-19, VIRUS NO IDENTIFICADO (DIAGNÓSTICO INCONCLUSO O NO CONFIRMADO AUN)</t>
  </si>
  <si>
    <t xml:space="preserve">SANITAS EPS </t>
  </si>
  <si>
    <t xml:space="preserve">ASMET SALUD </t>
  </si>
  <si>
    <t xml:space="preserve">COOSALUD </t>
  </si>
  <si>
    <t xml:space="preserve">ECOOPSOS </t>
  </si>
  <si>
    <t>SANCHEZ</t>
  </si>
  <si>
    <t xml:space="preserve">WILLIAM </t>
  </si>
  <si>
    <t xml:space="preserve">DE JESUS </t>
  </si>
  <si>
    <t>CASTAÑO</t>
  </si>
  <si>
    <t>SIERRA</t>
  </si>
  <si>
    <t>CASTRILLON</t>
  </si>
  <si>
    <t>FERNANDO</t>
  </si>
  <si>
    <t>HENAO</t>
  </si>
  <si>
    <t>HENRY</t>
  </si>
  <si>
    <t>ADRESS - FOSYGA</t>
  </si>
  <si>
    <t>ROLDAN</t>
  </si>
  <si>
    <t xml:space="preserve">PERMISO NO REMUNERADO </t>
  </si>
  <si>
    <t>SUAREZ</t>
  </si>
  <si>
    <t>TABARES</t>
  </si>
  <si>
    <t xml:space="preserve">SANTIAGO </t>
  </si>
  <si>
    <t>NO</t>
  </si>
  <si>
    <t xml:space="preserve">SALUD TOTAL </t>
  </si>
  <si>
    <t xml:space="preserve">RUIZ </t>
  </si>
  <si>
    <t xml:space="preserve">RAMIREZ </t>
  </si>
  <si>
    <t>GLORIA</t>
  </si>
  <si>
    <t>CECILIA</t>
  </si>
  <si>
    <t xml:space="preserve">SEGUROS BOLIVAR </t>
  </si>
  <si>
    <t>SEPULVEDA</t>
  </si>
  <si>
    <t>ORTIZ</t>
  </si>
  <si>
    <t>LEON</t>
  </si>
  <si>
    <t>JAIRO</t>
  </si>
  <si>
    <t>DURANGO</t>
  </si>
  <si>
    <t>ERNESTO</t>
  </si>
  <si>
    <t>OSORIO</t>
  </si>
  <si>
    <t>JHONNY</t>
  </si>
  <si>
    <t>ANDRES</t>
  </si>
  <si>
    <t>GALVIS</t>
  </si>
  <si>
    <t>CASTRO</t>
  </si>
  <si>
    <t>NICOLAS</t>
  </si>
  <si>
    <t>EMIRO</t>
  </si>
  <si>
    <t>MARIN</t>
  </si>
  <si>
    <t>WILLSON</t>
  </si>
  <si>
    <t xml:space="preserve">VARGAS </t>
  </si>
  <si>
    <t>RODELO</t>
  </si>
  <si>
    <t>JAVIER</t>
  </si>
  <si>
    <t>DARIO</t>
  </si>
  <si>
    <t>MEDINA</t>
  </si>
  <si>
    <t>ZURITA</t>
  </si>
  <si>
    <t>ANGEL</t>
  </si>
  <si>
    <t>NORBEY</t>
  </si>
  <si>
    <t>SOAT</t>
  </si>
  <si>
    <t>VILLERO</t>
  </si>
  <si>
    <t>VERGARA</t>
  </si>
  <si>
    <t>CARLOS</t>
  </si>
  <si>
    <t>MARIO</t>
  </si>
  <si>
    <t>AGUDELO</t>
  </si>
  <si>
    <t>BUENO</t>
  </si>
  <si>
    <t>GUSTAVO</t>
  </si>
  <si>
    <t>ADOLFO</t>
  </si>
  <si>
    <t>MARTINEZ</t>
  </si>
  <si>
    <t xml:space="preserve">JORGE </t>
  </si>
  <si>
    <t xml:space="preserve">PRIMERA VEZ </t>
  </si>
  <si>
    <t xml:space="preserve">MONSALVE </t>
  </si>
  <si>
    <t xml:space="preserve">ARIAS </t>
  </si>
  <si>
    <t xml:space="preserve">FERNANDO </t>
  </si>
  <si>
    <t>ALIRIO</t>
  </si>
  <si>
    <t>VANEGAS</t>
  </si>
  <si>
    <t>SALDARRIAGA</t>
  </si>
  <si>
    <t xml:space="preserve">RESTREPO </t>
  </si>
  <si>
    <t xml:space="preserve">GUTIERREZ </t>
  </si>
  <si>
    <t xml:space="preserve">BRANDON </t>
  </si>
  <si>
    <t xml:space="preserve">CASTAÑO </t>
  </si>
  <si>
    <t xml:space="preserve">GALVIS </t>
  </si>
  <si>
    <t xml:space="preserve">NICOLAS </t>
  </si>
  <si>
    <t>VARGAS</t>
  </si>
  <si>
    <t xml:space="preserve">RICARDO </t>
  </si>
  <si>
    <t>ALONSO</t>
  </si>
  <si>
    <t>GIRALDO</t>
  </si>
  <si>
    <t>URIBE</t>
  </si>
  <si>
    <t xml:space="preserve">MORA </t>
  </si>
  <si>
    <t>GUITIERREZ</t>
  </si>
  <si>
    <t xml:space="preserve">CARLOS </t>
  </si>
  <si>
    <t xml:space="preserve">ALBERTO </t>
  </si>
  <si>
    <t xml:space="preserve">HINCAPIE </t>
  </si>
  <si>
    <t xml:space="preserve">VICTOR </t>
  </si>
  <si>
    <t xml:space="preserve">ALEJANDRO </t>
  </si>
  <si>
    <t>MUÑOZ</t>
  </si>
  <si>
    <t xml:space="preserve">CASTRILLON </t>
  </si>
  <si>
    <t>INYERMAN</t>
  </si>
  <si>
    <t>ALBERTO</t>
  </si>
  <si>
    <t>LONDOÑO</t>
  </si>
  <si>
    <t>MAURICIO</t>
  </si>
  <si>
    <t xml:space="preserve">SEGUNDA VEZ </t>
  </si>
  <si>
    <t>MARULANDA</t>
  </si>
  <si>
    <t xml:space="preserve">TASCON </t>
  </si>
  <si>
    <t xml:space="preserve">EDUAR </t>
  </si>
  <si>
    <t>ANIBAL</t>
  </si>
  <si>
    <t xml:space="preserve">PASTRANA </t>
  </si>
  <si>
    <t>RAMOS</t>
  </si>
  <si>
    <t xml:space="preserve">GABRIEL </t>
  </si>
  <si>
    <t xml:space="preserve">DIAZ </t>
  </si>
  <si>
    <t xml:space="preserve">BLANCO </t>
  </si>
  <si>
    <t xml:space="preserve">ANA </t>
  </si>
  <si>
    <t xml:space="preserve">KATHERINE </t>
  </si>
  <si>
    <t xml:space="preserve">RODRIGUEZ </t>
  </si>
  <si>
    <t xml:space="preserve">DAVID </t>
  </si>
  <si>
    <t>GIOVANNY</t>
  </si>
  <si>
    <t xml:space="preserve">AMAYA </t>
  </si>
  <si>
    <t xml:space="preserve">GOMEZ </t>
  </si>
  <si>
    <t xml:space="preserve">GERLEY </t>
  </si>
  <si>
    <t xml:space="preserve">GONZALEZ </t>
  </si>
  <si>
    <t>ECHEVERRI</t>
  </si>
  <si>
    <t xml:space="preserve">REINALDO </t>
  </si>
  <si>
    <t xml:space="preserve">SOLORZANO </t>
  </si>
  <si>
    <t xml:space="preserve">ANDRES </t>
  </si>
  <si>
    <t>SANDOVAL</t>
  </si>
  <si>
    <t>JOSE</t>
  </si>
  <si>
    <t>DANIEL</t>
  </si>
  <si>
    <t>PARRA</t>
  </si>
  <si>
    <t>HERNANDEZ</t>
  </si>
  <si>
    <t>JOAN</t>
  </si>
  <si>
    <t>SEBASTIAN</t>
  </si>
  <si>
    <t>RICO</t>
  </si>
  <si>
    <t>ROJAS</t>
  </si>
  <si>
    <t>MANUEL</t>
  </si>
  <si>
    <t>CARDENAS</t>
  </si>
  <si>
    <t>QUINTANA</t>
  </si>
  <si>
    <t>ELKIN</t>
  </si>
  <si>
    <t>DE JESUS</t>
  </si>
  <si>
    <t>GUARIN</t>
  </si>
  <si>
    <t>GARCIA</t>
  </si>
  <si>
    <t xml:space="preserve">WILSON </t>
  </si>
  <si>
    <t>ARLEY</t>
  </si>
  <si>
    <t>MORENO</t>
  </si>
  <si>
    <t>GONZALEZ</t>
  </si>
  <si>
    <t>ALEXANDER</t>
  </si>
  <si>
    <t>DIAZ</t>
  </si>
  <si>
    <t>AVILA</t>
  </si>
  <si>
    <t>FREDYS</t>
  </si>
  <si>
    <t>ESTRADA</t>
  </si>
  <si>
    <t>OQUENDO</t>
  </si>
  <si>
    <t>SERGIO</t>
  </si>
  <si>
    <t>FLOREZ</t>
  </si>
  <si>
    <t>BEDOYA</t>
  </si>
  <si>
    <t>GUILLERMO</t>
  </si>
  <si>
    <t>VALOYES</t>
  </si>
  <si>
    <t>JARRISON</t>
  </si>
  <si>
    <t>ISAAC</t>
  </si>
  <si>
    <t>FORERO</t>
  </si>
  <si>
    <t>CERON</t>
  </si>
  <si>
    <t>HOOVER</t>
  </si>
  <si>
    <t>QUINTERO</t>
  </si>
  <si>
    <t>GOMEZ</t>
  </si>
  <si>
    <t>RIOS</t>
  </si>
  <si>
    <t>CAÑA</t>
  </si>
  <si>
    <t>JORGE</t>
  </si>
  <si>
    <t>IVAN</t>
  </si>
  <si>
    <t>ARAQUE</t>
  </si>
  <si>
    <t xml:space="preserve">VELASQUEZ </t>
  </si>
  <si>
    <t>JESUS</t>
  </si>
  <si>
    <t>ANTONIO</t>
  </si>
  <si>
    <t xml:space="preserve">BETANCUR </t>
  </si>
  <si>
    <t xml:space="preserve">GIL </t>
  </si>
  <si>
    <t xml:space="preserve">DUVIAN </t>
  </si>
  <si>
    <t>JHOBANNY</t>
  </si>
  <si>
    <t xml:space="preserve">GARCIA </t>
  </si>
  <si>
    <t xml:space="preserve">HECTOR </t>
  </si>
  <si>
    <t xml:space="preserve">FRANCO </t>
  </si>
  <si>
    <t xml:space="preserve">TAPIA </t>
  </si>
  <si>
    <t xml:space="preserve">FABIO </t>
  </si>
  <si>
    <t xml:space="preserve">SUAREZ </t>
  </si>
  <si>
    <t>AICARDO</t>
  </si>
  <si>
    <t xml:space="preserve">PABON </t>
  </si>
  <si>
    <t>MICHAEL</t>
  </si>
  <si>
    <t xml:space="preserve">RIOS </t>
  </si>
  <si>
    <t>NESTOR</t>
  </si>
  <si>
    <t>RAUL</t>
  </si>
  <si>
    <t xml:space="preserve">DUARTE </t>
  </si>
  <si>
    <t xml:space="preserve">CAÑAS </t>
  </si>
  <si>
    <t>WALDER</t>
  </si>
  <si>
    <t>GUERRERO</t>
  </si>
  <si>
    <t>PRADO</t>
  </si>
  <si>
    <t>FELIPE</t>
  </si>
  <si>
    <t xml:space="preserve">ACOSTA </t>
  </si>
  <si>
    <t xml:space="preserve">VELEZ </t>
  </si>
  <si>
    <t>CASTAÑEDA</t>
  </si>
  <si>
    <t>MORALES</t>
  </si>
  <si>
    <t>ALBEIRO</t>
  </si>
  <si>
    <t xml:space="preserve">BARRIENTOS </t>
  </si>
  <si>
    <t>MONTOYA</t>
  </si>
  <si>
    <t xml:space="preserve">LUZ </t>
  </si>
  <si>
    <t>ESTHER</t>
  </si>
  <si>
    <t>SEGURO</t>
  </si>
  <si>
    <t>JHON</t>
  </si>
  <si>
    <t>EDUARD</t>
  </si>
  <si>
    <t>OSWALDO</t>
  </si>
  <si>
    <t>N370</t>
  </si>
  <si>
    <t>N378</t>
  </si>
  <si>
    <t>PINO</t>
  </si>
  <si>
    <t>VELEZ</t>
  </si>
  <si>
    <t>CANO</t>
  </si>
  <si>
    <t>JULIAN</t>
  </si>
  <si>
    <t>DAVID</t>
  </si>
  <si>
    <t>MAZO</t>
  </si>
  <si>
    <t>ELORZA</t>
  </si>
  <si>
    <t>RAMON</t>
  </si>
  <si>
    <t>HOYOS</t>
  </si>
  <si>
    <t>CASTILLO</t>
  </si>
  <si>
    <t>JUAN</t>
  </si>
  <si>
    <t xml:space="preserve">PEDRO </t>
  </si>
  <si>
    <t>PABLO</t>
  </si>
  <si>
    <t xml:space="preserve">JULIO </t>
  </si>
  <si>
    <t xml:space="preserve">MARBIN </t>
  </si>
  <si>
    <t xml:space="preserve">JOSE </t>
  </si>
  <si>
    <t xml:space="preserve">PINEDA </t>
  </si>
  <si>
    <t xml:space="preserve">OSPINA </t>
  </si>
  <si>
    <t xml:space="preserve">ISABEL </t>
  </si>
  <si>
    <t xml:space="preserve">CRISTINA </t>
  </si>
  <si>
    <t>ALFONSO</t>
  </si>
  <si>
    <t xml:space="preserve">CORDOBA </t>
  </si>
  <si>
    <t>EDIN</t>
  </si>
  <si>
    <t xml:space="preserve">ARLEY </t>
  </si>
  <si>
    <t xml:space="preserve">OQUENDO </t>
  </si>
  <si>
    <t xml:space="preserve">SERGIO </t>
  </si>
  <si>
    <t xml:space="preserve">PALACIO </t>
  </si>
  <si>
    <t>MURILLO</t>
  </si>
  <si>
    <t xml:space="preserve">ROSADO </t>
  </si>
  <si>
    <t xml:space="preserve">MEJIA </t>
  </si>
  <si>
    <t xml:space="preserve">JHON </t>
  </si>
  <si>
    <t xml:space="preserve">LOPERA </t>
  </si>
  <si>
    <t xml:space="preserve">DURANGO </t>
  </si>
  <si>
    <t xml:space="preserve">ARTURO </t>
  </si>
  <si>
    <t xml:space="preserve">FORTICH </t>
  </si>
  <si>
    <t>RAFAEL</t>
  </si>
  <si>
    <t xml:space="preserve">REINOSA </t>
  </si>
  <si>
    <t xml:space="preserve">DIEGO </t>
  </si>
  <si>
    <t xml:space="preserve">SNEIDER </t>
  </si>
  <si>
    <t xml:space="preserve">IBARRA </t>
  </si>
  <si>
    <t>ENRIQUE</t>
  </si>
  <si>
    <t xml:space="preserve">CASTRO </t>
  </si>
  <si>
    <t xml:space="preserve">EMIRO </t>
  </si>
  <si>
    <t xml:space="preserve">CESPEDES </t>
  </si>
  <si>
    <t xml:space="preserve">DANY </t>
  </si>
  <si>
    <t xml:space="preserve">STIVEN </t>
  </si>
  <si>
    <t xml:space="preserve">ACEVEDO </t>
  </si>
  <si>
    <t xml:space="preserve">BAENA </t>
  </si>
  <si>
    <t xml:space="preserve">ALEX </t>
  </si>
  <si>
    <t xml:space="preserve">ADRIAN </t>
  </si>
  <si>
    <t xml:space="preserve">PATIÑO </t>
  </si>
  <si>
    <t>FRANCO</t>
  </si>
  <si>
    <t xml:space="preserve">PULGARIN </t>
  </si>
  <si>
    <t xml:space="preserve">CHAVARRIA </t>
  </si>
  <si>
    <t xml:space="preserve">NORBERTO </t>
  </si>
  <si>
    <t>ABELARDO</t>
  </si>
  <si>
    <t>SALAZAR</t>
  </si>
  <si>
    <t>ALZATE</t>
  </si>
  <si>
    <t xml:space="preserve">MARIA </t>
  </si>
  <si>
    <t>PATRICIA</t>
  </si>
  <si>
    <t>DUQUE</t>
  </si>
  <si>
    <t>SONIA</t>
  </si>
  <si>
    <t>ELIZABETH</t>
  </si>
  <si>
    <t>OSMAN</t>
  </si>
  <si>
    <t>EDDY</t>
  </si>
  <si>
    <t>PALACIOS</t>
  </si>
  <si>
    <t>TEODORO</t>
  </si>
  <si>
    <t>SARRAZOLA</t>
  </si>
  <si>
    <t>WILMAR</t>
  </si>
  <si>
    <t>BENAVIDES</t>
  </si>
  <si>
    <t>DUBERNEY</t>
  </si>
  <si>
    <t>AMAYA</t>
  </si>
  <si>
    <t>MACIAS</t>
  </si>
  <si>
    <t>GAVIRIA</t>
  </si>
  <si>
    <t xml:space="preserve">AGUDELO </t>
  </si>
  <si>
    <t>RAMIREZ</t>
  </si>
  <si>
    <t xml:space="preserve">SANDRA </t>
  </si>
  <si>
    <t>LILIANA</t>
  </si>
  <si>
    <t>CAMACHO</t>
  </si>
  <si>
    <t>REALES</t>
  </si>
  <si>
    <t>ROGELIO</t>
  </si>
  <si>
    <t>ARIAS</t>
  </si>
  <si>
    <t>LUIS</t>
  </si>
  <si>
    <t>HERNANDO</t>
  </si>
  <si>
    <t>PEREZ</t>
  </si>
  <si>
    <t>MARIA</t>
  </si>
  <si>
    <t>LUZBELIA</t>
  </si>
  <si>
    <t>ARISTIZABAL</t>
  </si>
  <si>
    <t>PASTOR</t>
  </si>
  <si>
    <t xml:space="preserve">HIDALGO </t>
  </si>
  <si>
    <t xml:space="preserve">JESUS </t>
  </si>
  <si>
    <t xml:space="preserve">MEZA </t>
  </si>
  <si>
    <t>VARILLA</t>
  </si>
  <si>
    <t xml:space="preserve">CESAR </t>
  </si>
  <si>
    <t xml:space="preserve">TULIO </t>
  </si>
  <si>
    <t xml:space="preserve">RENDON </t>
  </si>
  <si>
    <t xml:space="preserve">SANCHEZ </t>
  </si>
  <si>
    <t xml:space="preserve">ROBEIRO </t>
  </si>
  <si>
    <t xml:space="preserve">VILLEGAS </t>
  </si>
  <si>
    <t>BETANCUR</t>
  </si>
  <si>
    <t xml:space="preserve">CARMILO </t>
  </si>
  <si>
    <t xml:space="preserve">MOLINA </t>
  </si>
  <si>
    <t xml:space="preserve">GUISAO </t>
  </si>
  <si>
    <t xml:space="preserve">ARMANDO </t>
  </si>
  <si>
    <t xml:space="preserve">GARZON </t>
  </si>
  <si>
    <t xml:space="preserve">YEISON </t>
  </si>
  <si>
    <t xml:space="preserve">ORTIZ </t>
  </si>
  <si>
    <t xml:space="preserve">ARBOOLEDA </t>
  </si>
  <si>
    <t xml:space="preserve">ZAPATA </t>
  </si>
  <si>
    <t xml:space="preserve">JUAN </t>
  </si>
  <si>
    <t>CAMILO</t>
  </si>
  <si>
    <t>VALENCIA</t>
  </si>
  <si>
    <t xml:space="preserve">BORJA </t>
  </si>
  <si>
    <t xml:space="preserve">PABLO </t>
  </si>
  <si>
    <t xml:space="preserve">QUICENO </t>
  </si>
  <si>
    <t xml:space="preserve">LOPEZ </t>
  </si>
  <si>
    <t xml:space="preserve">RICO </t>
  </si>
  <si>
    <t xml:space="preserve">OCHOA </t>
  </si>
  <si>
    <t xml:space="preserve">JAVIER </t>
  </si>
  <si>
    <t>EMILIO</t>
  </si>
  <si>
    <t xml:space="preserve">DELGADO </t>
  </si>
  <si>
    <t xml:space="preserve">MERCADO </t>
  </si>
  <si>
    <t xml:space="preserve">HENAO </t>
  </si>
  <si>
    <t xml:space="preserve">RINCON </t>
  </si>
  <si>
    <t xml:space="preserve">MAURICIO </t>
  </si>
  <si>
    <t xml:space="preserve">RADA </t>
  </si>
  <si>
    <t xml:space="preserve">JEINER </t>
  </si>
  <si>
    <t xml:space="preserve">CASTAÑEDA </t>
  </si>
  <si>
    <t xml:space="preserve">ALBEIRO </t>
  </si>
  <si>
    <t xml:space="preserve">AVILES </t>
  </si>
  <si>
    <t>PATIÑO</t>
  </si>
  <si>
    <t xml:space="preserve">MARLIO </t>
  </si>
  <si>
    <t xml:space="preserve">FOSYGA </t>
  </si>
  <si>
    <t xml:space="preserve">HERNANDEZ </t>
  </si>
  <si>
    <t xml:space="preserve">ZULUAGA </t>
  </si>
  <si>
    <t>ARTURO</t>
  </si>
  <si>
    <t xml:space="preserve">GIRALDO </t>
  </si>
  <si>
    <t>RUIZ</t>
  </si>
  <si>
    <t>HARRISON</t>
  </si>
  <si>
    <t>ARROYAVE</t>
  </si>
  <si>
    <t>DANIELA</t>
  </si>
  <si>
    <t>MONSALVE</t>
  </si>
  <si>
    <t xml:space="preserve">GALEANO </t>
  </si>
  <si>
    <t xml:space="preserve">MARGARITA </t>
  </si>
  <si>
    <t>RAVE</t>
  </si>
  <si>
    <t>LUCIANO</t>
  </si>
  <si>
    <t>HINCAPIE</t>
  </si>
  <si>
    <t>ADAN</t>
  </si>
  <si>
    <t>LAZALA</t>
  </si>
  <si>
    <t>PATERNINA</t>
  </si>
  <si>
    <t>LINO</t>
  </si>
  <si>
    <t>CATALINA</t>
  </si>
  <si>
    <t>BLANCO</t>
  </si>
  <si>
    <t>VELASQUEZ</t>
  </si>
  <si>
    <t>ROBILSON</t>
  </si>
  <si>
    <t>SUPERVISOR</t>
  </si>
  <si>
    <t>AGUALIMPIA</t>
  </si>
  <si>
    <t xml:space="preserve">HURTADO </t>
  </si>
  <si>
    <t>TUBERQUIA</t>
  </si>
  <si>
    <t>ARBOLEDA</t>
  </si>
  <si>
    <t xml:space="preserve">ALEXANDER </t>
  </si>
  <si>
    <t xml:space="preserve">HORACIO </t>
  </si>
  <si>
    <t xml:space="preserve">URANGO </t>
  </si>
  <si>
    <t xml:space="preserve">GUERRA </t>
  </si>
  <si>
    <t xml:space="preserve">PUERTA </t>
  </si>
  <si>
    <t>VASCO</t>
  </si>
  <si>
    <t>YHOBANNY</t>
  </si>
  <si>
    <t xml:space="preserve">MAZO </t>
  </si>
  <si>
    <t xml:space="preserve">CORREA </t>
  </si>
  <si>
    <t>NILSON</t>
  </si>
  <si>
    <t>CARMONA</t>
  </si>
  <si>
    <t xml:space="preserve">CHRISTIAN </t>
  </si>
  <si>
    <t>PINTO</t>
  </si>
  <si>
    <t>MORELO</t>
  </si>
  <si>
    <t>RICHAR</t>
  </si>
  <si>
    <t xml:space="preserve">ALVAREZ </t>
  </si>
  <si>
    <t>ROJER</t>
  </si>
  <si>
    <t xml:space="preserve">CARVAJAL </t>
  </si>
  <si>
    <t xml:space="preserve">CHACON </t>
  </si>
  <si>
    <t xml:space="preserve">JONATHAN </t>
  </si>
  <si>
    <t>FIGUEROA</t>
  </si>
  <si>
    <t>CELIA</t>
  </si>
  <si>
    <t xml:space="preserve">TUBERQUIA </t>
  </si>
  <si>
    <t xml:space="preserve">ARBOLEDA </t>
  </si>
  <si>
    <t>VILLADA</t>
  </si>
  <si>
    <t xml:space="preserve">JOHN </t>
  </si>
  <si>
    <t xml:space="preserve">IVAN </t>
  </si>
  <si>
    <t xml:space="preserve">CARO </t>
  </si>
  <si>
    <t xml:space="preserve">CANO </t>
  </si>
  <si>
    <t>TABORDA</t>
  </si>
  <si>
    <t>BURGOS</t>
  </si>
  <si>
    <t>COLORADO</t>
  </si>
  <si>
    <t>MARLON</t>
  </si>
  <si>
    <t xml:space="preserve">CHAVERRA </t>
  </si>
  <si>
    <t>PULGARIN</t>
  </si>
  <si>
    <t xml:space="preserve">LEONARDO </t>
  </si>
  <si>
    <t xml:space="preserve">ARROYAVE </t>
  </si>
  <si>
    <t>SOTO</t>
  </si>
  <si>
    <t xml:space="preserve">MARIO </t>
  </si>
  <si>
    <t>GUTIERREZ</t>
  </si>
  <si>
    <t>ZAPATA</t>
  </si>
  <si>
    <t xml:space="preserve">PERMISO REMUNERADO </t>
  </si>
  <si>
    <t>COGOLLO</t>
  </si>
  <si>
    <t>DAIRO</t>
  </si>
  <si>
    <t xml:space="preserve">HERRERA </t>
  </si>
  <si>
    <t xml:space="preserve">NARANJO </t>
  </si>
  <si>
    <t>PENAGOS</t>
  </si>
  <si>
    <t>OSCAR</t>
  </si>
  <si>
    <t>FAVIAN</t>
  </si>
  <si>
    <t>SALINAS</t>
  </si>
  <si>
    <t>LEIDY</t>
  </si>
  <si>
    <t>NAYIVER</t>
  </si>
  <si>
    <t>GALLO</t>
  </si>
  <si>
    <t>VARELA</t>
  </si>
  <si>
    <t>GALEANO</t>
  </si>
  <si>
    <t>RODRIGO</t>
  </si>
  <si>
    <t>ADMINISTRATIVO</t>
  </si>
  <si>
    <t>GUERRA</t>
  </si>
  <si>
    <t>PUERTA</t>
  </si>
  <si>
    <t>MALDONADO</t>
  </si>
  <si>
    <t>PEREIRA</t>
  </si>
  <si>
    <t>JHOJAN</t>
  </si>
  <si>
    <t>RENE</t>
  </si>
  <si>
    <t>LEONEL</t>
  </si>
  <si>
    <t>FABIO</t>
  </si>
  <si>
    <t>AVILES</t>
  </si>
  <si>
    <t>MARLIO</t>
  </si>
  <si>
    <t>SANTA</t>
  </si>
  <si>
    <t>JIMENEZ</t>
  </si>
  <si>
    <t>LEONARDO</t>
  </si>
  <si>
    <t>ALVAREZ</t>
  </si>
  <si>
    <t>AMARILES</t>
  </si>
  <si>
    <t>FREDY</t>
  </si>
  <si>
    <t xml:space="preserve">ESPEJO </t>
  </si>
  <si>
    <t xml:space="preserve">PILA </t>
  </si>
  <si>
    <t xml:space="preserve">JAN </t>
  </si>
  <si>
    <t>BALLESTEROS</t>
  </si>
  <si>
    <t>MEJIA</t>
  </si>
  <si>
    <t xml:space="preserve">ARANGO </t>
  </si>
  <si>
    <t>YOHAN</t>
  </si>
  <si>
    <t>ESTEBAN</t>
  </si>
  <si>
    <t>POSSO</t>
  </si>
  <si>
    <t>TORRES</t>
  </si>
  <si>
    <t>HUMBERTO</t>
  </si>
  <si>
    <t xml:space="preserve">MACHADO </t>
  </si>
  <si>
    <t>LEMUS</t>
  </si>
  <si>
    <t>AMIR</t>
  </si>
  <si>
    <t>HERRERA</t>
  </si>
  <si>
    <t>LOPERA</t>
  </si>
  <si>
    <t>PEDRO</t>
  </si>
  <si>
    <t>ZEA</t>
  </si>
  <si>
    <t>OSPINA</t>
  </si>
  <si>
    <t>NELSON</t>
  </si>
  <si>
    <t>CARDONA</t>
  </si>
  <si>
    <t>TIRADO</t>
  </si>
  <si>
    <t xml:space="preserve">ECHAVARRIA </t>
  </si>
  <si>
    <t>POSADA</t>
  </si>
  <si>
    <t>DUVAN</t>
  </si>
  <si>
    <t>PERMISO NO REMUNERADO</t>
  </si>
  <si>
    <t>JARAMILLO</t>
  </si>
  <si>
    <t xml:space="preserve">DANIEL </t>
  </si>
  <si>
    <t>EDUARDO</t>
  </si>
  <si>
    <t xml:space="preserve">ROJAS </t>
  </si>
  <si>
    <t>TRUJILLO</t>
  </si>
  <si>
    <t xml:space="preserve">SINDERMAN </t>
  </si>
  <si>
    <t>AGDENNEVETH</t>
  </si>
  <si>
    <t>BERNARDO</t>
  </si>
  <si>
    <t xml:space="preserve">CHICA </t>
  </si>
  <si>
    <t>FERREIRA</t>
  </si>
  <si>
    <t>JAIME</t>
  </si>
  <si>
    <t>GALLEGO</t>
  </si>
  <si>
    <t>ESPEJO</t>
  </si>
  <si>
    <t xml:space="preserve">TOBON </t>
  </si>
  <si>
    <t xml:space="preserve">GALLO </t>
  </si>
  <si>
    <t>ZULUAGA</t>
  </si>
  <si>
    <t xml:space="preserve">ALIRIO </t>
  </si>
  <si>
    <t>CARRILLO</t>
  </si>
  <si>
    <t>BERMUDEZ</t>
  </si>
  <si>
    <t>DURLEY</t>
  </si>
  <si>
    <t>KARIME</t>
  </si>
  <si>
    <t>CHACON</t>
  </si>
  <si>
    <t>USUGA</t>
  </si>
  <si>
    <t>WILLIAM</t>
  </si>
  <si>
    <t>GUZMAN</t>
  </si>
  <si>
    <t>MENESES</t>
  </si>
  <si>
    <t>MANFREDY</t>
  </si>
  <si>
    <t>RESTREPO</t>
  </si>
  <si>
    <t>GIOVANI</t>
  </si>
  <si>
    <t>MUNERA</t>
  </si>
  <si>
    <t>ARANGO</t>
  </si>
  <si>
    <t>CORTES</t>
  </si>
  <si>
    <t xml:space="preserve">SALAZAR </t>
  </si>
  <si>
    <t xml:space="preserve">DARIO </t>
  </si>
  <si>
    <t xml:space="preserve">RAMON </t>
  </si>
  <si>
    <t xml:space="preserve">VALDERRAMA </t>
  </si>
  <si>
    <t>TANGARIFE</t>
  </si>
  <si>
    <t>EISMAN</t>
  </si>
  <si>
    <t>BAENA</t>
  </si>
  <si>
    <t>ADRIAN</t>
  </si>
  <si>
    <t xml:space="preserve">HIGUITA </t>
  </si>
  <si>
    <t xml:space="preserve">HERNANDO </t>
  </si>
  <si>
    <t>YEREMY</t>
  </si>
  <si>
    <t xml:space="preserve">HOYOS </t>
  </si>
  <si>
    <t xml:space="preserve">MARZO </t>
  </si>
  <si>
    <t>VALDERRAMA</t>
  </si>
  <si>
    <t>DIANA</t>
  </si>
  <si>
    <t>JANETH</t>
  </si>
  <si>
    <t>RODRIGUEZ</t>
  </si>
  <si>
    <t>RADA</t>
  </si>
  <si>
    <t>JEINER</t>
  </si>
  <si>
    <t>MOISES</t>
  </si>
  <si>
    <t>BARRIOS</t>
  </si>
  <si>
    <t>FERIA</t>
  </si>
  <si>
    <t xml:space="preserve">QUIROZ </t>
  </si>
  <si>
    <t xml:space="preserve">RAIGOZA </t>
  </si>
  <si>
    <t xml:space="preserve">MARCO </t>
  </si>
  <si>
    <t xml:space="preserve">BERRIO </t>
  </si>
  <si>
    <t xml:space="preserve">ROBINSON </t>
  </si>
  <si>
    <t xml:space="preserve">URIBE </t>
  </si>
  <si>
    <t xml:space="preserve">MONTOYA </t>
  </si>
  <si>
    <t xml:space="preserve">FABIAN </t>
  </si>
  <si>
    <t xml:space="preserve">BURGOS </t>
  </si>
  <si>
    <t xml:space="preserve">MARLON </t>
  </si>
  <si>
    <t xml:space="preserve">CRITIAN </t>
  </si>
  <si>
    <t>PINEDA</t>
  </si>
  <si>
    <t>LOPEZ</t>
  </si>
  <si>
    <t>REVELO</t>
  </si>
  <si>
    <t>ALVARO</t>
  </si>
  <si>
    <t>DELCIRA</t>
  </si>
  <si>
    <t>IBAÑEZ</t>
  </si>
  <si>
    <t>IBARRA</t>
  </si>
  <si>
    <t>FRANKLIN</t>
  </si>
  <si>
    <t>TREJOS</t>
  </si>
  <si>
    <t>YEPES</t>
  </si>
  <si>
    <t xml:space="preserve">NORMAN </t>
  </si>
  <si>
    <t>GOEZ</t>
  </si>
  <si>
    <t>VILLA</t>
  </si>
  <si>
    <t xml:space="preserve">ARENAS </t>
  </si>
  <si>
    <t>VEGA</t>
  </si>
  <si>
    <t>ORLANDO</t>
  </si>
  <si>
    <t xml:space="preserve">GALLEGO </t>
  </si>
  <si>
    <t>EDUAR</t>
  </si>
  <si>
    <t>YOVANY</t>
  </si>
  <si>
    <t xml:space="preserve">YESID </t>
  </si>
  <si>
    <t>ESNEYDER</t>
  </si>
  <si>
    <t>ELBERTO</t>
  </si>
  <si>
    <t>NOREÑA</t>
  </si>
  <si>
    <t>DELGADO</t>
  </si>
  <si>
    <t>MERCADO</t>
  </si>
  <si>
    <t xml:space="preserve">CRISTOBAL </t>
  </si>
  <si>
    <t>ACEVEDO</t>
  </si>
  <si>
    <t>CRISTIAN</t>
  </si>
  <si>
    <t>ADNRES</t>
  </si>
  <si>
    <t>IBARGUEN</t>
  </si>
  <si>
    <t xml:space="preserve">AFRANIO </t>
  </si>
  <si>
    <t xml:space="preserve">CALLE </t>
  </si>
  <si>
    <t xml:space="preserve">MUÑOZ </t>
  </si>
  <si>
    <t xml:space="preserve">GONZALO </t>
  </si>
  <si>
    <t xml:space="preserve">MARLO </t>
  </si>
  <si>
    <t>ESTIVER</t>
  </si>
  <si>
    <t xml:space="preserve">CASARRUBIA </t>
  </si>
  <si>
    <t xml:space="preserve">GUZMAN </t>
  </si>
  <si>
    <t>OSSA</t>
  </si>
  <si>
    <t>ATEHORTUA</t>
  </si>
  <si>
    <t xml:space="preserve">ARRIETA </t>
  </si>
  <si>
    <t>OBET</t>
  </si>
  <si>
    <t>ECHEVERRY</t>
  </si>
  <si>
    <t xml:space="preserve">SAEZ </t>
  </si>
  <si>
    <t>FABRA</t>
  </si>
  <si>
    <t xml:space="preserve">CAMILO </t>
  </si>
  <si>
    <t>ILDA</t>
  </si>
  <si>
    <t>MABEL</t>
  </si>
  <si>
    <t>FRANCISCO</t>
  </si>
  <si>
    <t>ROMAN</t>
  </si>
  <si>
    <t>ROMERO</t>
  </si>
  <si>
    <t>ARIEL</t>
  </si>
  <si>
    <t xml:space="preserve">MANRIQUE </t>
  </si>
  <si>
    <t xml:space="preserve">ZULETA </t>
  </si>
  <si>
    <t>ARENAS</t>
  </si>
  <si>
    <t>GENIER</t>
  </si>
  <si>
    <t xml:space="preserve">MARTINEZ </t>
  </si>
  <si>
    <t>SEVERIANO</t>
  </si>
  <si>
    <t xml:space="preserve">SALINAS </t>
  </si>
  <si>
    <t xml:space="preserve">RUBEN </t>
  </si>
  <si>
    <t xml:space="preserve">NICLAS </t>
  </si>
  <si>
    <t>URIEL</t>
  </si>
  <si>
    <t xml:space="preserve">CAVADIA </t>
  </si>
  <si>
    <t xml:space="preserve">WILLSON </t>
  </si>
  <si>
    <t>GARCES</t>
  </si>
  <si>
    <t>NORIEGA</t>
  </si>
  <si>
    <t>SANABRIA</t>
  </si>
  <si>
    <t>JEAN</t>
  </si>
  <si>
    <t>ERIKA</t>
  </si>
  <si>
    <t>MARCELA</t>
  </si>
  <si>
    <t xml:space="preserve">BANDERAS </t>
  </si>
  <si>
    <t xml:space="preserve">ESCUDERO </t>
  </si>
  <si>
    <t xml:space="preserve">ANGEL </t>
  </si>
  <si>
    <t>TAMAYO</t>
  </si>
  <si>
    <t>HERNAN</t>
  </si>
  <si>
    <t>RAIGOZA</t>
  </si>
  <si>
    <t>MARCO</t>
  </si>
  <si>
    <t>TULIO</t>
  </si>
  <si>
    <t>CHAVARRIAGA</t>
  </si>
  <si>
    <t>MATIAS</t>
  </si>
  <si>
    <t>WALBERTO</t>
  </si>
  <si>
    <t>ORDUZ</t>
  </si>
  <si>
    <t>DUBAN</t>
  </si>
  <si>
    <t>ALVEIRO</t>
  </si>
  <si>
    <t xml:space="preserve">MEDARDO </t>
  </si>
  <si>
    <t>DIDINSON</t>
  </si>
  <si>
    <t>MARIANO</t>
  </si>
  <si>
    <t xml:space="preserve">                                                                                                                                                                                                                                                                                                                                                                                                                                                                                                                                                                                                                                                                                                                                                                                                                                                                                                                                                                                                                                                                                                                                                                                                                                                                                                                                                                                                                                                                                                                                                                                                                                                                                                                                                                                                                                                                                                                                                                                                                                                                                                                                                                                                                                                                                                                                                                                                                                                                                                                                                                                                                                                                                                                                                                                                                                                                                                                                                                                                                                                                                                                                                                                                                                                                                                                                                                                                                                                                                                                                                                                                                                                                                                                                                                                                                                                                                                                                                                                                                                                                                                                                                                                                                                                                                                                                                                                                                                                                                                                                                                                                                                                                                                                                                                                                                                                C427</t>
  </si>
  <si>
    <t>ALEMAN</t>
  </si>
  <si>
    <t>MIGUEL</t>
  </si>
  <si>
    <t>PERALTA</t>
  </si>
  <si>
    <t>HIGUITA</t>
  </si>
  <si>
    <t xml:space="preserve">SEÑA </t>
  </si>
  <si>
    <t xml:space="preserve">DE LA OSSA </t>
  </si>
  <si>
    <t xml:space="preserve">LEWIS </t>
  </si>
  <si>
    <t>ELIECER</t>
  </si>
  <si>
    <t>VASQUEZ</t>
  </si>
  <si>
    <t>ESPINOSA</t>
  </si>
  <si>
    <t>YADIRA</t>
  </si>
  <si>
    <t>ANDREA</t>
  </si>
  <si>
    <t>CASARRUBIA</t>
  </si>
  <si>
    <t>VANESSA</t>
  </si>
  <si>
    <t xml:space="preserve">BARRIOS </t>
  </si>
  <si>
    <t>FERIAS</t>
  </si>
  <si>
    <t xml:space="preserve">PARRA </t>
  </si>
  <si>
    <t>ARRIAGA</t>
  </si>
  <si>
    <t>JOVANNY</t>
  </si>
  <si>
    <t xml:space="preserve">ROMERO </t>
  </si>
  <si>
    <t xml:space="preserve">RUEDA </t>
  </si>
  <si>
    <t xml:space="preserve">BUITRAGO </t>
  </si>
  <si>
    <t>ANDERSSON</t>
  </si>
  <si>
    <t>PALACIO</t>
  </si>
  <si>
    <t>CHAVERRA</t>
  </si>
  <si>
    <t>JEFERSON</t>
  </si>
  <si>
    <t xml:space="preserve">KLEANE </t>
  </si>
  <si>
    <t>YAJAIRA</t>
  </si>
  <si>
    <t xml:space="preserve">WILMAR </t>
  </si>
  <si>
    <t>CHAVARRIA</t>
  </si>
  <si>
    <t>NORBERTO</t>
  </si>
  <si>
    <t xml:space="preserve">PERALTA </t>
  </si>
  <si>
    <t xml:space="preserve">GAVIRIA </t>
  </si>
  <si>
    <t>YEISON</t>
  </si>
  <si>
    <t xml:space="preserve">GLORIA </t>
  </si>
  <si>
    <t>VALOIS</t>
  </si>
  <si>
    <t>AGUILAR</t>
  </si>
  <si>
    <t>LEVIS</t>
  </si>
  <si>
    <t>WILLINTONG</t>
  </si>
  <si>
    <t xml:space="preserve">ADOLFO </t>
  </si>
  <si>
    <t>BYRON</t>
  </si>
  <si>
    <t xml:space="preserve">BARON </t>
  </si>
  <si>
    <t xml:space="preserve">FRANCISCO </t>
  </si>
  <si>
    <t>MARBIN</t>
  </si>
  <si>
    <t xml:space="preserve">MAYO </t>
  </si>
  <si>
    <t xml:space="preserve">MARULANDA </t>
  </si>
  <si>
    <t>BANDA</t>
  </si>
  <si>
    <t>ALEXIS</t>
  </si>
  <si>
    <t>OLIVARES</t>
  </si>
  <si>
    <t>CAÑAS</t>
  </si>
  <si>
    <t xml:space="preserve">CARDONA </t>
  </si>
  <si>
    <t xml:space="preserve">BERNAL </t>
  </si>
  <si>
    <t xml:space="preserve">HERNAN </t>
  </si>
  <si>
    <t>HOLGUIN</t>
  </si>
  <si>
    <t>QUIROZ</t>
  </si>
  <si>
    <t>GABRIEL</t>
  </si>
  <si>
    <t>ELIAS</t>
  </si>
  <si>
    <t xml:space="preserve">DAZA </t>
  </si>
  <si>
    <t xml:space="preserve">JANE </t>
  </si>
  <si>
    <t>ALBERT</t>
  </si>
  <si>
    <t>BENITEZ</t>
  </si>
  <si>
    <t>PEÑA</t>
  </si>
  <si>
    <t>JONATHAN</t>
  </si>
  <si>
    <t>STIVEN</t>
  </si>
  <si>
    <t>HERAZO</t>
  </si>
  <si>
    <t xml:space="preserve">HENRY </t>
  </si>
  <si>
    <t>ARCANGEL</t>
  </si>
  <si>
    <t>NAVARRO</t>
  </si>
  <si>
    <t>QUESADA</t>
  </si>
  <si>
    <t>YANEZ</t>
  </si>
  <si>
    <t>RAMOZ</t>
  </si>
  <si>
    <t>EGIDIO</t>
  </si>
  <si>
    <t>YANETH</t>
  </si>
  <si>
    <t>VILLEGAS</t>
  </si>
  <si>
    <t>ARREDONDO</t>
  </si>
  <si>
    <t>JEORGE</t>
  </si>
  <si>
    <t>LOTERO</t>
  </si>
  <si>
    <t>CARVAJAL</t>
  </si>
  <si>
    <t>DIEGO</t>
  </si>
  <si>
    <t>ASIANO</t>
  </si>
  <si>
    <t xml:space="preserve">VALENTINA </t>
  </si>
  <si>
    <t>RUEDA</t>
  </si>
  <si>
    <t>YENNY</t>
  </si>
  <si>
    <t>GREY</t>
  </si>
  <si>
    <t>ROOSEVELT</t>
  </si>
  <si>
    <t>ACOSTA</t>
  </si>
  <si>
    <t>OME</t>
  </si>
  <si>
    <t>FABIAN</t>
  </si>
  <si>
    <t xml:space="preserve"> DUQUE</t>
  </si>
  <si>
    <t>MERARDO</t>
  </si>
  <si>
    <t xml:space="preserve">OLIVARES </t>
  </si>
  <si>
    <t>DANY</t>
  </si>
  <si>
    <t>CORRALES</t>
  </si>
  <si>
    <t>OLIVER</t>
  </si>
  <si>
    <t>ANAIDO</t>
  </si>
  <si>
    <t>AGUIRRE</t>
  </si>
  <si>
    <t>SANES</t>
  </si>
  <si>
    <t>DAZA</t>
  </si>
  <si>
    <t>ORLAY</t>
  </si>
  <si>
    <t>CORDOBA</t>
  </si>
  <si>
    <t>ALFRANIO</t>
  </si>
  <si>
    <t>BULA</t>
  </si>
  <si>
    <t>RINCON</t>
  </si>
  <si>
    <t>BARON</t>
  </si>
  <si>
    <t>CANOLE</t>
  </si>
  <si>
    <t>LUNA</t>
  </si>
  <si>
    <t>GONZALO</t>
  </si>
  <si>
    <t xml:space="preserve">AMARILES </t>
  </si>
  <si>
    <t>CIRO</t>
  </si>
  <si>
    <t>URREA</t>
  </si>
  <si>
    <t>EVER</t>
  </si>
  <si>
    <t>URANGO</t>
  </si>
  <si>
    <t>ABADIA</t>
  </si>
  <si>
    <t>MARISOL</t>
  </si>
  <si>
    <t xml:space="preserve">MORALES </t>
  </si>
  <si>
    <t xml:space="preserve">DUBAN </t>
  </si>
  <si>
    <t xml:space="preserve">ALVEIRO </t>
  </si>
  <si>
    <t xml:space="preserve">MARIN </t>
  </si>
  <si>
    <t>SILVA</t>
  </si>
  <si>
    <t xml:space="preserve">WILLY </t>
  </si>
  <si>
    <t>DORLANDY</t>
  </si>
  <si>
    <t>FIDEL</t>
  </si>
  <si>
    <t>OCAMPO</t>
  </si>
  <si>
    <t>YONDER</t>
  </si>
  <si>
    <t xml:space="preserve">JEISON </t>
  </si>
  <si>
    <t>JAIR</t>
  </si>
  <si>
    <t>SANTIAGO</t>
  </si>
  <si>
    <t>LEONITH</t>
  </si>
  <si>
    <t>DAYRON</t>
  </si>
  <si>
    <t>BERRIO</t>
  </si>
  <si>
    <t>OSORNO</t>
  </si>
  <si>
    <t>AVELINO</t>
  </si>
  <si>
    <t xml:space="preserve">CAICEDO </t>
  </si>
  <si>
    <t>WENDY</t>
  </si>
  <si>
    <t>JULIETH</t>
  </si>
  <si>
    <t>MONROY</t>
  </si>
  <si>
    <t>SERNA</t>
  </si>
  <si>
    <t>MEDARDO</t>
  </si>
  <si>
    <t>RIVERA</t>
  </si>
  <si>
    <t xml:space="preserve">JHONATAN </t>
  </si>
  <si>
    <t>ISMAEL</t>
  </si>
  <si>
    <t>TOBON</t>
  </si>
  <si>
    <t>PACHECO</t>
  </si>
  <si>
    <t>15/056/2023</t>
  </si>
  <si>
    <t>TEHERAN</t>
  </si>
  <si>
    <t xml:space="preserve">MARTIN </t>
  </si>
  <si>
    <t>SAMUEL</t>
  </si>
  <si>
    <t xml:space="preserve">ZAMBRANO </t>
  </si>
  <si>
    <t>LOAIZA</t>
  </si>
  <si>
    <t xml:space="preserve">ALONSO </t>
  </si>
  <si>
    <t xml:space="preserve">CANCHILA </t>
  </si>
  <si>
    <t>ECHAVARRIA</t>
  </si>
  <si>
    <t>ARNOMED</t>
  </si>
  <si>
    <t>AREIZA</t>
  </si>
  <si>
    <t>MARTIN</t>
  </si>
  <si>
    <t>ARMEL</t>
  </si>
  <si>
    <t>AGDENEVETH</t>
  </si>
  <si>
    <t>ECAHVARRIA</t>
  </si>
  <si>
    <t>TEJADA</t>
  </si>
  <si>
    <t xml:space="preserve">ATILANO </t>
  </si>
  <si>
    <t xml:space="preserve">RUGER </t>
  </si>
  <si>
    <t xml:space="preserve">OMAR </t>
  </si>
  <si>
    <t xml:space="preserve">TORRES </t>
  </si>
  <si>
    <t>URREGO</t>
  </si>
  <si>
    <t>DE LA OSSA</t>
  </si>
  <si>
    <t>TUIRAN</t>
  </si>
  <si>
    <t>ESCOBAR</t>
  </si>
  <si>
    <t>SAUL</t>
  </si>
  <si>
    <t>CHRISTIAN</t>
  </si>
  <si>
    <t xml:space="preserve">EDWIN </t>
  </si>
  <si>
    <t>ALEJANDRO</t>
  </si>
  <si>
    <t>MORA</t>
  </si>
  <si>
    <t>GUAYARA</t>
  </si>
  <si>
    <t>ALBA</t>
  </si>
  <si>
    <t>ASCENCION</t>
  </si>
  <si>
    <t xml:space="preserve">JULIAN </t>
  </si>
  <si>
    <t>RUGER</t>
  </si>
  <si>
    <t>OMAR</t>
  </si>
  <si>
    <t>KLEANE</t>
  </si>
  <si>
    <t xml:space="preserve">CARMONA </t>
  </si>
  <si>
    <t xml:space="preserve">MOISES </t>
  </si>
  <si>
    <t>ALCIDES</t>
  </si>
  <si>
    <t>DE LOS MILAGROS</t>
  </si>
  <si>
    <t>COORDINADOR OPERATIVO</t>
  </si>
  <si>
    <t xml:space="preserve">LAZO </t>
  </si>
  <si>
    <t xml:space="preserve">JEAN </t>
  </si>
  <si>
    <t>JHOANY</t>
  </si>
  <si>
    <t>DEIVIS</t>
  </si>
  <si>
    <t>YAISMIN</t>
  </si>
  <si>
    <t>TERESA</t>
  </si>
  <si>
    <t>MENDOZA</t>
  </si>
  <si>
    <t>MOLINA</t>
  </si>
  <si>
    <t>BOHORQUEZ</t>
  </si>
  <si>
    <t>ARGEMIRO</t>
  </si>
  <si>
    <t>BANDERAS</t>
  </si>
  <si>
    <t>ESCUDERO</t>
  </si>
  <si>
    <t xml:space="preserve">PAEZ </t>
  </si>
  <si>
    <t>ORTEGA</t>
  </si>
  <si>
    <t xml:space="preserve">YEFERSON </t>
  </si>
  <si>
    <t>TESORERO</t>
  </si>
  <si>
    <t>OCHOA</t>
  </si>
  <si>
    <t xml:space="preserve">SALGADO </t>
  </si>
  <si>
    <t>CORPAS</t>
  </si>
  <si>
    <t xml:space="preserve">ARROYO </t>
  </si>
  <si>
    <t xml:space="preserve">RAMIRO </t>
  </si>
  <si>
    <t xml:space="preserve">CARRILLO </t>
  </si>
  <si>
    <t xml:space="preserve">DURLEY </t>
  </si>
  <si>
    <t>FERREIRO</t>
  </si>
  <si>
    <t>YONY</t>
  </si>
  <si>
    <t>HIDALGO</t>
  </si>
  <si>
    <t>WILLY</t>
  </si>
  <si>
    <t>OROZCO</t>
  </si>
  <si>
    <t xml:space="preserve">JOHNATHAN </t>
  </si>
  <si>
    <t xml:space="preserve">DUVAN </t>
  </si>
  <si>
    <t>PILA</t>
  </si>
  <si>
    <t>GARRO</t>
  </si>
  <si>
    <t xml:space="preserve">SACHEZ </t>
  </si>
  <si>
    <t xml:space="preserve">MINOTAS </t>
  </si>
  <si>
    <t xml:space="preserve">KEVIN </t>
  </si>
  <si>
    <t xml:space="preserve">MANCO </t>
  </si>
  <si>
    <t>GILDARDO</t>
  </si>
  <si>
    <t>BARRERA</t>
  </si>
  <si>
    <t xml:space="preserve">ALVARO </t>
  </si>
  <si>
    <t xml:space="preserve">JHOJAN </t>
  </si>
  <si>
    <t xml:space="preserve">RENE </t>
  </si>
  <si>
    <t xml:space="preserve">MENESES </t>
  </si>
  <si>
    <t xml:space="preserve">JOAN </t>
  </si>
  <si>
    <t xml:space="preserve">LOTERO </t>
  </si>
  <si>
    <t xml:space="preserve">OSSA </t>
  </si>
  <si>
    <t xml:space="preserve">LEON </t>
  </si>
  <si>
    <t>FERRARO</t>
  </si>
  <si>
    <t>CRUZ</t>
  </si>
  <si>
    <t>EUSSE</t>
  </si>
  <si>
    <t>BALDERRAMA</t>
  </si>
  <si>
    <t>WITNEY</t>
  </si>
  <si>
    <t>HORACIO</t>
  </si>
  <si>
    <t>DEIMER</t>
  </si>
  <si>
    <t>AUGUSTO</t>
  </si>
  <si>
    <t xml:space="preserve">PERDOMO </t>
  </si>
  <si>
    <t xml:space="preserve">ALFARO </t>
  </si>
  <si>
    <t>EICKSON</t>
  </si>
  <si>
    <t xml:space="preserve">RONALDO </t>
  </si>
  <si>
    <t>JEISSON</t>
  </si>
  <si>
    <t xml:space="preserve">OCAMPO </t>
  </si>
  <si>
    <t xml:space="preserve">ESTRADA </t>
  </si>
  <si>
    <t xml:space="preserve">NESTOR </t>
  </si>
  <si>
    <t>MATEO</t>
  </si>
  <si>
    <t>MARY</t>
  </si>
  <si>
    <t xml:space="preserve">FERNANDEZ </t>
  </si>
  <si>
    <t>LUZ</t>
  </si>
  <si>
    <t>IS</t>
  </si>
  <si>
    <t>BOTERO</t>
  </si>
  <si>
    <t xml:space="preserve">OSCAR </t>
  </si>
  <si>
    <t>SAEZ</t>
  </si>
  <si>
    <t xml:space="preserve">VILLADA </t>
  </si>
  <si>
    <t xml:space="preserve">DORIA </t>
  </si>
  <si>
    <t>GRACIANO</t>
  </si>
  <si>
    <t>YESID</t>
  </si>
  <si>
    <t xml:space="preserve">INYERMAN </t>
  </si>
  <si>
    <t xml:space="preserve">GUERRERO </t>
  </si>
  <si>
    <t xml:space="preserve">PRADO </t>
  </si>
  <si>
    <t>MANRIQUE</t>
  </si>
  <si>
    <t xml:space="preserve">VASQUEZ </t>
  </si>
  <si>
    <t xml:space="preserve">ROMAN </t>
  </si>
  <si>
    <t xml:space="preserve">NEISON </t>
  </si>
  <si>
    <t xml:space="preserve">AGOSTO </t>
  </si>
  <si>
    <t xml:space="preserve">ROJER </t>
  </si>
  <si>
    <t xml:space="preserve">ARDILA </t>
  </si>
  <si>
    <t>YAIR</t>
  </si>
  <si>
    <t xml:space="preserve">FUENTES </t>
  </si>
  <si>
    <t xml:space="preserve">DIANA </t>
  </si>
  <si>
    <t xml:space="preserve">QUINTERO </t>
  </si>
  <si>
    <t xml:space="preserve">GAMBOA </t>
  </si>
  <si>
    <t>MARWIN</t>
  </si>
  <si>
    <t xml:space="preserve">FREDDY </t>
  </si>
  <si>
    <t xml:space="preserve">OSORIO </t>
  </si>
  <si>
    <t xml:space="preserve">JHONNY </t>
  </si>
  <si>
    <t xml:space="preserve">JIMENEZ </t>
  </si>
  <si>
    <t xml:space="preserve">HINESTROZA </t>
  </si>
  <si>
    <t>ELPIDIO</t>
  </si>
  <si>
    <t>RUA</t>
  </si>
  <si>
    <t xml:space="preserve">LEAL </t>
  </si>
  <si>
    <t xml:space="preserve">FERNEY </t>
  </si>
  <si>
    <t>ATILANO</t>
  </si>
  <si>
    <t>JANUER</t>
  </si>
  <si>
    <t>LORENZANA</t>
  </si>
  <si>
    <t>ESAU</t>
  </si>
  <si>
    <t>ARJONA</t>
  </si>
  <si>
    <t>DOMINGO</t>
  </si>
  <si>
    <t>RIGOBERTO</t>
  </si>
  <si>
    <t>HUGO</t>
  </si>
  <si>
    <t>JAHIR</t>
  </si>
  <si>
    <t xml:space="preserve">ANIBAL </t>
  </si>
  <si>
    <t>CESAR</t>
  </si>
  <si>
    <t>JUDY</t>
  </si>
  <si>
    <t>PAULINA</t>
  </si>
  <si>
    <t>26/085/2023</t>
  </si>
  <si>
    <t>CAROLINA</t>
  </si>
  <si>
    <t xml:space="preserve"> ANDRES</t>
  </si>
  <si>
    <t>REINALDO</t>
  </si>
  <si>
    <t xml:space="preserve">ALFONSO </t>
  </si>
  <si>
    <t>YEFERSON</t>
  </si>
  <si>
    <t>IMBA</t>
  </si>
  <si>
    <t>YILMAR</t>
  </si>
  <si>
    <t xml:space="preserve">MURIEL </t>
  </si>
  <si>
    <t>K642</t>
  </si>
  <si>
    <t>HEMORROIDES DE TERCER GRADO</t>
  </si>
  <si>
    <t xml:space="preserve">JARAMILLO </t>
  </si>
  <si>
    <t xml:space="preserve"> ALBEIRO</t>
  </si>
  <si>
    <t>ERLAN</t>
  </si>
  <si>
    <t xml:space="preserve">ESTIVER </t>
  </si>
  <si>
    <t xml:space="preserve">TEHERAN </t>
  </si>
  <si>
    <t xml:space="preserve">SAMUEL </t>
  </si>
  <si>
    <t>SUCERQUIA</t>
  </si>
  <si>
    <t xml:space="preserve">CORREDOR </t>
  </si>
  <si>
    <t>FAIBER</t>
  </si>
  <si>
    <t>AVENDAÑO</t>
  </si>
  <si>
    <t>AIRENZO</t>
  </si>
  <si>
    <t xml:space="preserve">RUA </t>
  </si>
  <si>
    <t xml:space="preserve">JOHAN </t>
  </si>
  <si>
    <t>MANCO</t>
  </si>
  <si>
    <t>GAMBOA</t>
  </si>
  <si>
    <t>ARTEAGA</t>
  </si>
  <si>
    <t>15/09/20263</t>
  </si>
  <si>
    <t>DERIAN</t>
  </si>
  <si>
    <t>GARZON</t>
  </si>
  <si>
    <t xml:space="preserve">TERCERA VEZ </t>
  </si>
  <si>
    <t xml:space="preserve">POTES </t>
  </si>
  <si>
    <t>VERTEL</t>
  </si>
  <si>
    <t>DEYMER</t>
  </si>
  <si>
    <t xml:space="preserve">BAILARIN </t>
  </si>
  <si>
    <t xml:space="preserve">LANA </t>
  </si>
  <si>
    <t>IGINIO</t>
  </si>
  <si>
    <t>HOSPITALIZADO</t>
  </si>
  <si>
    <t>OSVALDO</t>
  </si>
  <si>
    <t>WILSON</t>
  </si>
  <si>
    <t>CESPEDES</t>
  </si>
  <si>
    <t>N° RADICADO</t>
  </si>
  <si>
    <t xml:space="preserve">HOLGUIN </t>
  </si>
  <si>
    <t xml:space="preserve">PINTO </t>
  </si>
  <si>
    <t xml:space="preserve">MORELO </t>
  </si>
  <si>
    <t>RICHARD</t>
  </si>
  <si>
    <t xml:space="preserve">LICENCIA REMUNERADA X PATERNIDAD </t>
  </si>
  <si>
    <t>PADILLA</t>
  </si>
  <si>
    <t>ANAYA</t>
  </si>
  <si>
    <t xml:space="preserve">SERNA </t>
  </si>
  <si>
    <t>RALF</t>
  </si>
  <si>
    <t>RENDON</t>
  </si>
  <si>
    <t>MARGARITA</t>
  </si>
  <si>
    <t>MAZZO</t>
  </si>
  <si>
    <t>JOHNATHAN</t>
  </si>
  <si>
    <t>CORTEZ</t>
  </si>
  <si>
    <t>YAFRAN</t>
  </si>
  <si>
    <t>ROBEIRO</t>
  </si>
  <si>
    <t xml:space="preserve">LONDOÑO </t>
  </si>
  <si>
    <t xml:space="preserve">ABRAHAM </t>
  </si>
  <si>
    <t xml:space="preserve">ASUME LA EMPRESA </t>
  </si>
  <si>
    <t>N/A</t>
  </si>
  <si>
    <t xml:space="preserve">TEJADA </t>
  </si>
  <si>
    <t xml:space="preserve">AVENDAÑO </t>
  </si>
  <si>
    <t xml:space="preserve">AIRENZO </t>
  </si>
  <si>
    <t xml:space="preserve">BIBIANA </t>
  </si>
  <si>
    <t>MOLANO</t>
  </si>
  <si>
    <t>MURIEL</t>
  </si>
  <si>
    <t>MONTOYS</t>
  </si>
  <si>
    <t>ANDICA</t>
  </si>
  <si>
    <t>si</t>
  </si>
  <si>
    <t>CEPULVEDAD</t>
  </si>
  <si>
    <t>AICARDIO</t>
  </si>
  <si>
    <t>22//03/2023</t>
  </si>
  <si>
    <t>0205/2023</t>
  </si>
  <si>
    <t>0-35606340</t>
  </si>
  <si>
    <t>0-36399603</t>
  </si>
  <si>
    <t>0-36402067</t>
  </si>
  <si>
    <t>0-36405855</t>
  </si>
  <si>
    <t>0-36392000</t>
  </si>
  <si>
    <t>TOVIO</t>
  </si>
  <si>
    <t xml:space="preserve">MIGUEL </t>
  </si>
  <si>
    <t>NOLASCO</t>
  </si>
  <si>
    <t>VALEGA</t>
  </si>
  <si>
    <t>ANN</t>
  </si>
  <si>
    <t>MARGARETH</t>
  </si>
  <si>
    <t>SORANI</t>
  </si>
  <si>
    <t>GUISAO</t>
  </si>
  <si>
    <t>CHAMORRO</t>
  </si>
  <si>
    <t>BRIAN</t>
  </si>
  <si>
    <t>17/09/202</t>
  </si>
  <si>
    <t>VALLEJO</t>
  </si>
  <si>
    <t>LEITON</t>
  </si>
  <si>
    <t>EDISSON</t>
  </si>
  <si>
    <t>GONZAGA</t>
  </si>
  <si>
    <t>RICARDO</t>
  </si>
  <si>
    <t>ALEX</t>
  </si>
  <si>
    <t>WILLYAM</t>
  </si>
  <si>
    <t>PRESIGA</t>
  </si>
  <si>
    <t>CALAMIDAD DOMESTICA</t>
  </si>
  <si>
    <t xml:space="preserve">PANESO </t>
  </si>
  <si>
    <t xml:space="preserve">EDWAR </t>
  </si>
  <si>
    <t>GRISALES</t>
  </si>
  <si>
    <t xml:space="preserve">BOLIVAR </t>
  </si>
  <si>
    <t>VICTOR</t>
  </si>
  <si>
    <t>TOLOZA</t>
  </si>
  <si>
    <t>MOGOLLON</t>
  </si>
  <si>
    <t>EDWAR</t>
  </si>
  <si>
    <t>ZAMBRANO</t>
  </si>
  <si>
    <t>PORRAS</t>
  </si>
  <si>
    <t>GALVEZ</t>
  </si>
  <si>
    <t>JAMAS</t>
  </si>
  <si>
    <t>GIL</t>
  </si>
  <si>
    <t>EIBER</t>
  </si>
  <si>
    <t xml:space="preserve">NO </t>
  </si>
  <si>
    <t>AIRCARDO</t>
  </si>
  <si>
    <t>AIRCARDIO</t>
  </si>
  <si>
    <t>ALGUMEDO</t>
  </si>
  <si>
    <t>ROMAÑA</t>
  </si>
  <si>
    <t>POLICARPO</t>
  </si>
  <si>
    <t>P12920229</t>
  </si>
  <si>
    <t>0-36337605</t>
  </si>
  <si>
    <t>0-36524400</t>
  </si>
  <si>
    <t>0-36480989</t>
  </si>
  <si>
    <t>ASISTENTE GH</t>
  </si>
  <si>
    <t>URRUTIA</t>
  </si>
  <si>
    <t>EDINSON</t>
  </si>
  <si>
    <t xml:space="preserve">CANOLE </t>
  </si>
  <si>
    <t xml:space="preserve">LUNA </t>
  </si>
  <si>
    <t xml:space="preserve">JHONY </t>
  </si>
  <si>
    <t>YUBAN</t>
  </si>
  <si>
    <t>IRLEZ</t>
  </si>
  <si>
    <t>ARGUMEDO</t>
  </si>
  <si>
    <t>CONEO</t>
  </si>
  <si>
    <t>SEGUNDO</t>
  </si>
  <si>
    <t>STEVEN</t>
  </si>
  <si>
    <t xml:space="preserve">EMILIO </t>
  </si>
  <si>
    <t>PABON</t>
  </si>
  <si>
    <t>k922</t>
  </si>
  <si>
    <t>SORAIDA</t>
  </si>
  <si>
    <t>NEGADA</t>
  </si>
  <si>
    <t>22/11/0202</t>
  </si>
  <si>
    <t>SARATE</t>
  </si>
  <si>
    <t>ELIMELET</t>
  </si>
  <si>
    <t>JADMID</t>
  </si>
  <si>
    <t>GIOVANY</t>
  </si>
  <si>
    <t>ARMANDO</t>
  </si>
  <si>
    <t xml:space="preserve">EDISON </t>
  </si>
  <si>
    <t xml:space="preserve">DICIEMBRE </t>
  </si>
  <si>
    <t xml:space="preserve">JOHNNY </t>
  </si>
  <si>
    <t xml:space="preserve">LICENCIA NO REMUNERADA </t>
  </si>
  <si>
    <t xml:space="preserve">SEPULVEDA </t>
  </si>
  <si>
    <t>MARIAGA</t>
  </si>
  <si>
    <t>MONTERROSA</t>
  </si>
  <si>
    <t>DUVIAN</t>
  </si>
  <si>
    <t xml:space="preserve">LEITON </t>
  </si>
  <si>
    <t xml:space="preserve">EDISSON </t>
  </si>
  <si>
    <t xml:space="preserve">GAMEZ </t>
  </si>
  <si>
    <t xml:space="preserve">ANALISTA DE SEG. ELECTRONICA </t>
  </si>
  <si>
    <t>VALENTINA</t>
  </si>
  <si>
    <t xml:space="preserve">CATAÑO </t>
  </si>
  <si>
    <t>RAMIRO</t>
  </si>
  <si>
    <t>JANNY</t>
  </si>
  <si>
    <t>ARROYO</t>
  </si>
  <si>
    <t>TAPASCO</t>
  </si>
  <si>
    <t xml:space="preserve">WILLINGTHON </t>
  </si>
  <si>
    <t>ANALISTA DE CARTERA</t>
  </si>
  <si>
    <t>FAIVER</t>
  </si>
  <si>
    <t>TORO</t>
  </si>
  <si>
    <t>GRAJALES</t>
  </si>
  <si>
    <t xml:space="preserve">WALTER </t>
  </si>
  <si>
    <t>BETANCOURT</t>
  </si>
  <si>
    <t xml:space="preserve">EDUIN </t>
  </si>
  <si>
    <t xml:space="preserve">HILDERS </t>
  </si>
  <si>
    <t>YORLEY</t>
  </si>
  <si>
    <t xml:space="preserve">GAMARRA </t>
  </si>
  <si>
    <t xml:space="preserve">JADER </t>
  </si>
  <si>
    <t>DIEZ</t>
  </si>
  <si>
    <t xml:space="preserve">SURA EPS </t>
  </si>
  <si>
    <t>SAVIA SALUD</t>
  </si>
  <si>
    <t>PADIERNA</t>
  </si>
  <si>
    <t xml:space="preserve">PEREZ </t>
  </si>
  <si>
    <t>HUESO</t>
  </si>
  <si>
    <t>STELLA</t>
  </si>
  <si>
    <t>GAMEZ</t>
  </si>
  <si>
    <t>HINESTROZA</t>
  </si>
  <si>
    <t xml:space="preserve">ASUME LA EPS </t>
  </si>
  <si>
    <t xml:space="preserve">JUDY </t>
  </si>
  <si>
    <t xml:space="preserve">RAMOS </t>
  </si>
  <si>
    <t>YASMID</t>
  </si>
  <si>
    <t>ELENA</t>
  </si>
  <si>
    <t xml:space="preserve">PRECIADO </t>
  </si>
  <si>
    <t xml:space="preserve">GUIDO </t>
  </si>
  <si>
    <t xml:space="preserve">OSWALDO </t>
  </si>
  <si>
    <t>EMERSON</t>
  </si>
  <si>
    <t>OTONIEL</t>
  </si>
  <si>
    <t>CATAÑO</t>
  </si>
  <si>
    <t>DURAN</t>
  </si>
  <si>
    <t>ONAIDER</t>
  </si>
  <si>
    <t>WALTER</t>
  </si>
  <si>
    <t>BUELVAS</t>
  </si>
  <si>
    <t>ANDRADES</t>
  </si>
  <si>
    <t>ASUME LA EMPRESA</t>
  </si>
  <si>
    <t>ASUME LA EPS</t>
  </si>
  <si>
    <t>BOLEMOS</t>
  </si>
  <si>
    <t>LUISA</t>
  </si>
  <si>
    <t>FERNANDA</t>
  </si>
  <si>
    <t>CONTRERAS</t>
  </si>
  <si>
    <t>PARDO</t>
  </si>
  <si>
    <t>ORDOÑEZ</t>
  </si>
  <si>
    <t xml:space="preserve">MARY </t>
  </si>
  <si>
    <t>PABUENA</t>
  </si>
  <si>
    <t xml:space="preserve">NELSON </t>
  </si>
  <si>
    <t>SALAS</t>
  </si>
  <si>
    <t>LEMA</t>
  </si>
  <si>
    <t>YUBER</t>
  </si>
  <si>
    <t>TAMANIS</t>
  </si>
  <si>
    <t>AMELINES</t>
  </si>
  <si>
    <t>OSNAIDER</t>
  </si>
  <si>
    <t>PALOMINO</t>
  </si>
  <si>
    <t>MENDIZ</t>
  </si>
  <si>
    <t>29/02/204</t>
  </si>
  <si>
    <t>CRISTANCHO</t>
  </si>
  <si>
    <t>EDUVIN</t>
  </si>
  <si>
    <t>RUBEN</t>
  </si>
  <si>
    <t xml:space="preserve">LICENCIA POR LUTO </t>
  </si>
  <si>
    <t>YORK</t>
  </si>
  <si>
    <t xml:space="preserve">FELIPE </t>
  </si>
  <si>
    <t>RODAS</t>
  </si>
  <si>
    <t>LENIS</t>
  </si>
  <si>
    <t xml:space="preserve">RODRIGO </t>
  </si>
  <si>
    <t>EJECUTIVO SERV CLIENTE</t>
  </si>
  <si>
    <t>MESA</t>
  </si>
  <si>
    <t>BRAYIAM</t>
  </si>
  <si>
    <t xml:space="preserve">COORDINADOR DE SEGURIDAD ELECTRÓNICA </t>
  </si>
  <si>
    <t>NUÑEZ</t>
  </si>
  <si>
    <t xml:space="preserve"> CAÑAS</t>
  </si>
  <si>
    <t>ANALISTA DE SEGURIDAD ELECTRONICA</t>
  </si>
  <si>
    <t>JAMID</t>
  </si>
  <si>
    <t xml:space="preserve">NAVARRO </t>
  </si>
  <si>
    <t>SEQUEDA</t>
  </si>
  <si>
    <t>DORIA</t>
  </si>
  <si>
    <t xml:space="preserve">PESTANA </t>
  </si>
  <si>
    <t xml:space="preserve">ARREDONDO </t>
  </si>
  <si>
    <t xml:space="preserve">JEORGE </t>
  </si>
  <si>
    <t>ALCARAZ</t>
  </si>
  <si>
    <t>DIBER</t>
  </si>
  <si>
    <t xml:space="preserve">DURAN </t>
  </si>
  <si>
    <t xml:space="preserve">DIOSA </t>
  </si>
  <si>
    <t>GRACIA</t>
  </si>
  <si>
    <t>LEOCADIO</t>
  </si>
  <si>
    <t>BOLIVAR</t>
  </si>
  <si>
    <t>CIFUENTES</t>
  </si>
  <si>
    <t>ZUÑIGA</t>
  </si>
  <si>
    <t>GERALDINE</t>
  </si>
  <si>
    <t>JOHANA</t>
  </si>
  <si>
    <t>PASCASIO</t>
  </si>
  <si>
    <t>MEZA</t>
  </si>
  <si>
    <t>SOLORZANO</t>
  </si>
  <si>
    <t>CARO</t>
  </si>
  <si>
    <t>ASUME LA AFP</t>
  </si>
  <si>
    <t>ISIS</t>
  </si>
  <si>
    <t>YERALDIN</t>
  </si>
  <si>
    <t>AST GH</t>
  </si>
  <si>
    <t>PATERNIA</t>
  </si>
  <si>
    <t>YHOBANY</t>
  </si>
  <si>
    <t>HARRINSON</t>
  </si>
  <si>
    <t>#ERROR!</t>
  </si>
  <si>
    <t>$ 1.272.005</t>
  </si>
  <si>
    <t>EDGAR</t>
  </si>
  <si>
    <t>$ 1.424.646</t>
  </si>
  <si>
    <t>SANITAS EPS</t>
  </si>
  <si>
    <t>$ 1.400.000</t>
  </si>
  <si>
    <t>CUARTAS</t>
  </si>
  <si>
    <t>JOHNNY</t>
  </si>
  <si>
    <t>HERNAO</t>
  </si>
  <si>
    <t>$ -</t>
  </si>
  <si>
    <t>YEIMI</t>
  </si>
  <si>
    <t>HECTOR</t>
  </si>
  <si>
    <t>ASUME LA ARL</t>
  </si>
  <si>
    <t>$ 1.170.000</t>
  </si>
  <si>
    <t>CASTEO</t>
  </si>
  <si>
    <t>GILBERTO</t>
  </si>
  <si>
    <t>AIRCARDI</t>
  </si>
  <si>
    <t>BARRIENTOS</t>
  </si>
  <si>
    <t xml:space="preserve">ANALISTA CARTERA </t>
  </si>
  <si>
    <t xml:space="preserve">COORDINADOR SEG ELECTRONICA </t>
  </si>
  <si>
    <t>DIRECTOR GH</t>
  </si>
  <si>
    <t xml:space="preserve">JAIRO </t>
  </si>
  <si>
    <t xml:space="preserve">LAZALA </t>
  </si>
  <si>
    <t>HEYNER</t>
  </si>
  <si>
    <t>TAPIA</t>
  </si>
  <si>
    <t>JENNYFER</t>
  </si>
  <si>
    <t>SENET</t>
  </si>
  <si>
    <t>YULIANA</t>
  </si>
  <si>
    <t>OBANDO</t>
  </si>
  <si>
    <t>ARBEY</t>
  </si>
  <si>
    <t xml:space="preserve">SUPERVISOR </t>
  </si>
  <si>
    <t xml:space="preserve">TOLOZA </t>
  </si>
  <si>
    <t xml:space="preserve">MOGOLLON </t>
  </si>
  <si>
    <t>VALLE</t>
  </si>
  <si>
    <t>WILDER</t>
  </si>
  <si>
    <t xml:space="preserve">ECHEVERRI </t>
  </si>
  <si>
    <t xml:space="preserve">EVER </t>
  </si>
  <si>
    <t>FLORIAN</t>
  </si>
  <si>
    <t>MAYORGA</t>
  </si>
  <si>
    <t>YAMANI</t>
  </si>
  <si>
    <t xml:space="preserve">MORENO </t>
  </si>
  <si>
    <t>ESPINAL</t>
  </si>
  <si>
    <t xml:space="preserve">DANILO </t>
  </si>
  <si>
    <t>ARBELAEZ</t>
  </si>
  <si>
    <t>PUCHE</t>
  </si>
  <si>
    <t>HERACLIO</t>
  </si>
  <si>
    <t>0/04/2024</t>
  </si>
  <si>
    <t>CAVADIA</t>
  </si>
  <si>
    <t>EDER</t>
  </si>
  <si>
    <t>NIBELLY</t>
  </si>
  <si>
    <t>AMPARO</t>
  </si>
  <si>
    <t>OJEDA</t>
  </si>
  <si>
    <t>FUENTES</t>
  </si>
  <si>
    <t>SANTOS</t>
  </si>
  <si>
    <t xml:space="preserve">LEIDY </t>
  </si>
  <si>
    <t>BLANDON</t>
  </si>
  <si>
    <t xml:space="preserve">TABORDA </t>
  </si>
  <si>
    <t>LIVARDO</t>
  </si>
  <si>
    <t>VANESA</t>
  </si>
  <si>
    <t xml:space="preserve">MONROY </t>
  </si>
  <si>
    <t xml:space="preserve">AICARDO </t>
  </si>
  <si>
    <t xml:space="preserve">ANDRADES </t>
  </si>
  <si>
    <t xml:space="preserve">YEIMI </t>
  </si>
  <si>
    <t>APOLINAR</t>
  </si>
  <si>
    <t>HILDERS</t>
  </si>
  <si>
    <t>EIN4791724</t>
  </si>
  <si>
    <t xml:space="preserve">TANGARIFE </t>
  </si>
  <si>
    <t>LIBARDO</t>
  </si>
  <si>
    <t>URQUIJO</t>
  </si>
  <si>
    <t>YINNI</t>
  </si>
  <si>
    <t>ENGRED</t>
  </si>
  <si>
    <t>YESENIA</t>
  </si>
  <si>
    <t>MILTON</t>
  </si>
  <si>
    <t>JAMES</t>
  </si>
  <si>
    <t>GUAPACHA</t>
  </si>
  <si>
    <t>LICENCIA POR LUTO</t>
  </si>
  <si>
    <t xml:space="preserve">YAJAIRA </t>
  </si>
  <si>
    <t xml:space="preserve"> </t>
  </si>
  <si>
    <t xml:space="preserve">PATERNINA </t>
  </si>
  <si>
    <t xml:space="preserve">FLORIAN </t>
  </si>
  <si>
    <t>VILLALOBOS</t>
  </si>
  <si>
    <t xml:space="preserve">SIMANCA </t>
  </si>
  <si>
    <t xml:space="preserve">MUTUAL SER </t>
  </si>
  <si>
    <t xml:space="preserve">ASCENCIÓN </t>
  </si>
  <si>
    <t>SURA</t>
  </si>
  <si>
    <t xml:space="preserve">PADILLA </t>
  </si>
  <si>
    <t xml:space="preserve">ANAYA </t>
  </si>
  <si>
    <t xml:space="preserve">MANUEL </t>
  </si>
  <si>
    <t>ISAZA</t>
  </si>
  <si>
    <t>DAYANA</t>
  </si>
  <si>
    <t>PROGRAMADORA</t>
  </si>
  <si>
    <t>OMEIBER</t>
  </si>
  <si>
    <t xml:space="preserve">JUNIO </t>
  </si>
  <si>
    <t xml:space="preserve">ASESORA COMERCIAL </t>
  </si>
  <si>
    <t xml:space="preserve">ALZATE </t>
  </si>
  <si>
    <t xml:space="preserve">PATRICIA </t>
  </si>
  <si>
    <t>JARIO</t>
  </si>
  <si>
    <t xml:space="preserve">MURILLO </t>
  </si>
  <si>
    <t>FAIDER</t>
  </si>
  <si>
    <t xml:space="preserve">ROBLES </t>
  </si>
  <si>
    <t xml:space="preserve">COLORADO </t>
  </si>
  <si>
    <t xml:space="preserve"> DE JESUS </t>
  </si>
  <si>
    <t>OPERADORA DE MEDIOS TECNOLOGICOS</t>
  </si>
  <si>
    <t xml:space="preserve">PAULA </t>
  </si>
  <si>
    <t xml:space="preserve">WILDER </t>
  </si>
  <si>
    <t>NARANJO</t>
  </si>
  <si>
    <t>LEIDER</t>
  </si>
  <si>
    <t>TELLEZ</t>
  </si>
  <si>
    <t>ARDIAZ</t>
  </si>
  <si>
    <t>ALFREDO</t>
  </si>
  <si>
    <t xml:space="preserve">HUESO </t>
  </si>
  <si>
    <t xml:space="preserve">ESTELLA </t>
  </si>
  <si>
    <t xml:space="preserve">LOAIZA </t>
  </si>
  <si>
    <t>OTALVARO</t>
  </si>
  <si>
    <t>ARLINTON</t>
  </si>
  <si>
    <t>SIMANCA</t>
  </si>
  <si>
    <t>YONATHAN</t>
  </si>
  <si>
    <t>YORMAN</t>
  </si>
  <si>
    <t>YECID</t>
  </si>
  <si>
    <t>ROBINSON</t>
  </si>
  <si>
    <t>SNEIDER</t>
  </si>
  <si>
    <t>BRACAMONTE</t>
  </si>
  <si>
    <t xml:space="preserve">ASIST. GESTIÓN HUMANA </t>
  </si>
  <si>
    <t>CADAVID</t>
  </si>
  <si>
    <t>GLADYS</t>
  </si>
  <si>
    <t>COORDINADORA OPERATIVA</t>
  </si>
  <si>
    <t>ARBOOLEDA</t>
  </si>
  <si>
    <t xml:space="preserve">WEST </t>
  </si>
  <si>
    <t xml:space="preserve">ABEMIDEC </t>
  </si>
  <si>
    <t xml:space="preserve">DAYAN </t>
  </si>
  <si>
    <t xml:space="preserve">POSSO </t>
  </si>
  <si>
    <t>ASIST. ADMINISTRATIVO</t>
  </si>
  <si>
    <t>DIOGENES</t>
  </si>
  <si>
    <t>EJECUTIVO DE SERVICIO AL CLIENTE</t>
  </si>
  <si>
    <t>JOHNY</t>
  </si>
  <si>
    <t>EBERNEY</t>
  </si>
  <si>
    <t>LEAL</t>
  </si>
  <si>
    <t>ABEL</t>
  </si>
  <si>
    <t>TOBIAS</t>
  </si>
  <si>
    <t>CAÑOLA</t>
  </si>
  <si>
    <t>ESNEIDER</t>
  </si>
  <si>
    <t>TATIANA</t>
  </si>
  <si>
    <t>DEINER</t>
  </si>
  <si>
    <t>ARGIRO</t>
  </si>
  <si>
    <t>YUDY</t>
  </si>
  <si>
    <t>JEFERSSON</t>
  </si>
  <si>
    <t>COLONIA</t>
  </si>
  <si>
    <t xml:space="preserve">VILLAREAL </t>
  </si>
  <si>
    <t>NEL</t>
  </si>
  <si>
    <t>GERARDO</t>
  </si>
  <si>
    <t xml:space="preserve">SEGURO </t>
  </si>
  <si>
    <t xml:space="preserve">YEPES </t>
  </si>
  <si>
    <t>YORDY</t>
  </si>
  <si>
    <t>LEANDRO</t>
  </si>
  <si>
    <t xml:space="preserve">BARRERA </t>
  </si>
  <si>
    <t xml:space="preserve">CRISTIAN </t>
  </si>
  <si>
    <t>JORDAN</t>
  </si>
  <si>
    <t>NEIDER</t>
  </si>
  <si>
    <t>ROSARIO</t>
  </si>
  <si>
    <t>JAIDER</t>
  </si>
  <si>
    <t xml:space="preserve">ROBILSON </t>
  </si>
  <si>
    <t>UPEGUI</t>
  </si>
  <si>
    <t>YUSEPHT</t>
  </si>
  <si>
    <t>WALDO</t>
  </si>
  <si>
    <t>VIASNEY</t>
  </si>
  <si>
    <t>MISAEL</t>
  </si>
  <si>
    <t>ESQUIVEL</t>
  </si>
  <si>
    <t>COLMEDICA</t>
  </si>
  <si>
    <t xml:space="preserve">RAFAEL </t>
  </si>
  <si>
    <t>TAPIAS</t>
  </si>
  <si>
    <t xml:space="preserve">URREA </t>
  </si>
  <si>
    <t xml:space="preserve"> MARIA</t>
  </si>
  <si>
    <t>CRISTINA</t>
  </si>
  <si>
    <t>GUEVARA</t>
  </si>
  <si>
    <t>CAMPO</t>
  </si>
  <si>
    <t>MONA</t>
  </si>
  <si>
    <t>16/09/20224</t>
  </si>
  <si>
    <t>BUSTAMANTE</t>
  </si>
  <si>
    <t>WEST</t>
  </si>
  <si>
    <t>RIVAS</t>
  </si>
  <si>
    <t>MOSQUERA</t>
  </si>
  <si>
    <t>LEIXER</t>
  </si>
  <si>
    <t>IGNACIO</t>
  </si>
  <si>
    <t>DAYAN</t>
  </si>
  <si>
    <t>NUMAR</t>
  </si>
  <si>
    <t xml:space="preserve">GELMAN </t>
  </si>
  <si>
    <t xml:space="preserve">ISIS </t>
  </si>
  <si>
    <t>REVUELTAS</t>
  </si>
  <si>
    <t xml:space="preserve">LINO </t>
  </si>
  <si>
    <t xml:space="preserve">CHAMORRO </t>
  </si>
  <si>
    <t xml:space="preserve">BRIAN </t>
  </si>
  <si>
    <t xml:space="preserve">NUEVA EPS </t>
  </si>
  <si>
    <t>DIRECTOR OPERATIVO</t>
  </si>
  <si>
    <t>NERIO</t>
  </si>
  <si>
    <t xml:space="preserve"> NICOLAS </t>
  </si>
  <si>
    <t xml:space="preserve">SURA EOS </t>
  </si>
  <si>
    <t>NIÑO</t>
  </si>
  <si>
    <t>BONILLA</t>
  </si>
  <si>
    <t xml:space="preserve">GONZAGA </t>
  </si>
  <si>
    <t>QUICENO</t>
  </si>
  <si>
    <t xml:space="preserve">ELKIN </t>
  </si>
  <si>
    <t xml:space="preserve">VIDAL </t>
  </si>
  <si>
    <t>CHICA</t>
  </si>
  <si>
    <t>PEÑUELA</t>
  </si>
  <si>
    <t xml:space="preserve">SARA </t>
  </si>
  <si>
    <t>REYES</t>
  </si>
  <si>
    <t>RIVEROS</t>
  </si>
  <si>
    <t xml:space="preserve">PALACIOS </t>
  </si>
  <si>
    <t xml:space="preserve">POSADA </t>
  </si>
  <si>
    <t xml:space="preserve">HUMBERTO </t>
  </si>
  <si>
    <t>DEL CARMEN</t>
  </si>
  <si>
    <t>PAULA</t>
  </si>
  <si>
    <t xml:space="preserve">CADAVID </t>
  </si>
  <si>
    <t xml:space="preserve">YORMAN </t>
  </si>
  <si>
    <t>LAVERDE</t>
  </si>
  <si>
    <t xml:space="preserve">JHOAN </t>
  </si>
  <si>
    <t>LARA</t>
  </si>
  <si>
    <t>HUBER</t>
  </si>
  <si>
    <t xml:space="preserve">CAUSIL </t>
  </si>
  <si>
    <t>GERMAN</t>
  </si>
  <si>
    <t xml:space="preserve">HERMES </t>
  </si>
  <si>
    <t>WILBER</t>
  </si>
  <si>
    <t xml:space="preserve">SALUD TOTAL EPS </t>
  </si>
  <si>
    <t xml:space="preserve">JOAQUIN </t>
  </si>
  <si>
    <t>ANDERSON</t>
  </si>
  <si>
    <t>LAURA</t>
  </si>
  <si>
    <t>KATERINE</t>
  </si>
  <si>
    <t>SALCEDO</t>
  </si>
  <si>
    <t>BERTEL</t>
  </si>
  <si>
    <t xml:space="preserve">YAN </t>
  </si>
  <si>
    <t xml:space="preserve">VENTA </t>
  </si>
  <si>
    <t>DIOMER</t>
  </si>
  <si>
    <t>ANGELO</t>
  </si>
  <si>
    <t>FERNEY</t>
  </si>
  <si>
    <t xml:space="preserve">FERIAS </t>
  </si>
  <si>
    <t xml:space="preserve">HARRISON </t>
  </si>
  <si>
    <t xml:space="preserve">VEGA </t>
  </si>
  <si>
    <t xml:space="preserve">DUQUE </t>
  </si>
  <si>
    <t xml:space="preserve">AUXILIAR CONTABLE </t>
  </si>
  <si>
    <t xml:space="preserve">CAMACHO </t>
  </si>
  <si>
    <t xml:space="preserve">DUBIAN </t>
  </si>
  <si>
    <t xml:space="preserve">SAENZ </t>
  </si>
  <si>
    <t>LAMPREA</t>
  </si>
  <si>
    <t>YAN</t>
  </si>
  <si>
    <t>SOLIPA</t>
  </si>
  <si>
    <t>WILTON</t>
  </si>
  <si>
    <t>ESTRELLA</t>
  </si>
  <si>
    <t xml:space="preserve">PORRAS </t>
  </si>
  <si>
    <t>CLAUDIA</t>
  </si>
  <si>
    <t xml:space="preserve">LORENZANA </t>
  </si>
  <si>
    <t>PALLARES</t>
  </si>
  <si>
    <t>DEL VALLE</t>
  </si>
  <si>
    <t>ISACC</t>
  </si>
  <si>
    <t>OBED</t>
  </si>
  <si>
    <t>ORREGO</t>
  </si>
  <si>
    <t xml:space="preserve">SALCEDO </t>
  </si>
  <si>
    <t>MADRID</t>
  </si>
  <si>
    <t xml:space="preserve"> MANUEL</t>
  </si>
  <si>
    <t>JHONY</t>
  </si>
  <si>
    <t>K581</t>
  </si>
  <si>
    <t>SAMPAYO</t>
  </si>
  <si>
    <t xml:space="preserve">BLADIMIR </t>
  </si>
  <si>
    <t>BUITRAGO</t>
  </si>
  <si>
    <t xml:space="preserve">ALEXIS </t>
  </si>
  <si>
    <t xml:space="preserve">EDER </t>
  </si>
  <si>
    <t xml:space="preserve">ASISTENTE DE OPERACIONES </t>
  </si>
  <si>
    <t xml:space="preserve">MICHAEL </t>
  </si>
  <si>
    <t xml:space="preserve">ASISTENTE DE GESTION HUMANA </t>
  </si>
  <si>
    <t xml:space="preserve">FLOREZ </t>
  </si>
  <si>
    <t xml:space="preserve">MAZZO </t>
  </si>
  <si>
    <t xml:space="preserve">GILDARDO </t>
  </si>
  <si>
    <t>LANA</t>
  </si>
  <si>
    <t xml:space="preserve">ZARABANDA </t>
  </si>
  <si>
    <t xml:space="preserve">DE LOS MILGAROS </t>
  </si>
  <si>
    <t>FUNEZ</t>
  </si>
  <si>
    <t>PIÑERES</t>
  </si>
  <si>
    <t>LOZANO</t>
  </si>
  <si>
    <t>SARA</t>
  </si>
  <si>
    <t xml:space="preserve">ESTID </t>
  </si>
  <si>
    <t xml:space="preserve">ARISTIZABAL </t>
  </si>
  <si>
    <t xml:space="preserve">ANTONIO </t>
  </si>
  <si>
    <t xml:space="preserve">LOZANO </t>
  </si>
  <si>
    <t>FERNANDEZ</t>
  </si>
  <si>
    <t>VILLALBA</t>
  </si>
  <si>
    <t>PELAEZ</t>
  </si>
  <si>
    <t>JHONATAN</t>
  </si>
  <si>
    <t>AI</t>
  </si>
  <si>
    <t>ZARABANDA</t>
  </si>
  <si>
    <t xml:space="preserve">JANER </t>
  </si>
  <si>
    <t xml:space="preserve"> MIGUEL </t>
  </si>
  <si>
    <t>VASQUES</t>
  </si>
  <si>
    <t>MELISSA</t>
  </si>
  <si>
    <t>YOVANNY</t>
  </si>
  <si>
    <t xml:space="preserve">CONTRERAS </t>
  </si>
  <si>
    <t xml:space="preserve">OLANO </t>
  </si>
  <si>
    <t xml:space="preserve">CAROLINA </t>
  </si>
  <si>
    <t>HURTADO</t>
  </si>
  <si>
    <t xml:space="preserve">MOSQUERA </t>
  </si>
  <si>
    <t xml:space="preserve">USUGA </t>
  </si>
  <si>
    <t>JANER</t>
  </si>
  <si>
    <t xml:space="preserve">ILDA </t>
  </si>
  <si>
    <t xml:space="preserve">CLAUDIA </t>
  </si>
  <si>
    <t>ALEJANDRA</t>
  </si>
  <si>
    <t xml:space="preserve">YIMI </t>
  </si>
  <si>
    <t>YELERSON</t>
  </si>
  <si>
    <t xml:space="preserve">AGUILAR </t>
  </si>
  <si>
    <t>WILMER</t>
  </si>
  <si>
    <t xml:space="preserve">INGRID </t>
  </si>
  <si>
    <t xml:space="preserve">DEL SOCORRO </t>
  </si>
  <si>
    <t xml:space="preserve">VERGARA </t>
  </si>
  <si>
    <t xml:space="preserve">ACEBEDO </t>
  </si>
  <si>
    <t>DE PAULA</t>
  </si>
  <si>
    <t>WILLINGTON</t>
  </si>
  <si>
    <t xml:space="preserve">EDUARDO </t>
  </si>
  <si>
    <t xml:space="preserve">SALUD TOTASL </t>
  </si>
  <si>
    <t xml:space="preserve">ARRENDONDO </t>
  </si>
  <si>
    <t xml:space="preserve">GARCES </t>
  </si>
  <si>
    <t xml:space="preserve">DARBYN </t>
  </si>
  <si>
    <t xml:space="preserve">KEIVIN </t>
  </si>
  <si>
    <t>NEGRETE</t>
  </si>
  <si>
    <t xml:space="preserve">QUINTANA </t>
  </si>
  <si>
    <t xml:space="preserve">PALOMINO </t>
  </si>
  <si>
    <t xml:space="preserve">DANIELA </t>
  </si>
  <si>
    <t>KEVIN</t>
  </si>
  <si>
    <t xml:space="preserve">COORD. SEGURIDAD ELECTRÓNICA </t>
  </si>
  <si>
    <t xml:space="preserve">SANITAS </t>
  </si>
  <si>
    <t>AYALA</t>
  </si>
  <si>
    <t xml:space="preserve">LILIANA </t>
  </si>
  <si>
    <t xml:space="preserve">TEODORO </t>
  </si>
  <si>
    <t>BASA</t>
  </si>
  <si>
    <t>MELENDES</t>
  </si>
  <si>
    <t>ROQUEME</t>
  </si>
  <si>
    <t>MARIBEL</t>
  </si>
  <si>
    <t xml:space="preserve">YAISMIN </t>
  </si>
  <si>
    <t xml:space="preserve">URREGO </t>
  </si>
  <si>
    <t>SAN MARTIN</t>
  </si>
  <si>
    <t>FARLEY</t>
  </si>
  <si>
    <t>STIWART</t>
  </si>
  <si>
    <t>ALDIBER</t>
  </si>
  <si>
    <t>EDISON</t>
  </si>
  <si>
    <t>VALDES</t>
  </si>
  <si>
    <t>DUARTE</t>
  </si>
  <si>
    <t>CLEYDER</t>
  </si>
  <si>
    <t>INFANTE</t>
  </si>
  <si>
    <t>FORTICH</t>
  </si>
  <si>
    <t>DARÍO</t>
  </si>
  <si>
    <t>CUESTA</t>
  </si>
  <si>
    <t>PIEDRAHITA</t>
  </si>
  <si>
    <t xml:space="preserve">SEBASTIAN </t>
  </si>
  <si>
    <t xml:space="preserve">GERARDO </t>
  </si>
  <si>
    <t xml:space="preserve">EPS SURA </t>
  </si>
  <si>
    <t xml:space="preserve">ASISTENTE DE GESTIÓN HUMANA </t>
  </si>
  <si>
    <t xml:space="preserve">CORTEZ </t>
  </si>
  <si>
    <t xml:space="preserve">YAFRAN </t>
  </si>
  <si>
    <t xml:space="preserve">DOMINGUEZ </t>
  </si>
  <si>
    <t xml:space="preserve">ALEJANDRA </t>
  </si>
  <si>
    <t xml:space="preserve">SURA  EPS </t>
  </si>
  <si>
    <t xml:space="preserve">SI </t>
  </si>
  <si>
    <t>INGRID</t>
  </si>
  <si>
    <t>DEL ROSARIO</t>
  </si>
  <si>
    <t>JIOVANY</t>
  </si>
  <si>
    <t>DOMINGUEZ</t>
  </si>
  <si>
    <t>SINDY</t>
  </si>
  <si>
    <t xml:space="preserve">FIGUEROA </t>
  </si>
  <si>
    <t>ABAD</t>
  </si>
  <si>
    <t>OCAÑA</t>
  </si>
  <si>
    <t xml:space="preserve">YUBAN </t>
  </si>
  <si>
    <t>RENTERIA</t>
  </si>
  <si>
    <t>WANNERRGGESS</t>
  </si>
  <si>
    <t>SALUD TOTALK</t>
  </si>
  <si>
    <t xml:space="preserve">GOEZ </t>
  </si>
  <si>
    <t xml:space="preserve">CORTES </t>
  </si>
  <si>
    <t>CARLA</t>
  </si>
  <si>
    <t xml:space="preserve">CARDENAS </t>
  </si>
  <si>
    <t xml:space="preserve">NIULMAR </t>
  </si>
  <si>
    <t>JOSEPT</t>
  </si>
  <si>
    <t xml:space="preserve">BALLESTEROS </t>
  </si>
  <si>
    <t>ARRIETA</t>
  </si>
  <si>
    <t>PANIAGUA</t>
  </si>
  <si>
    <t>ALANDETE</t>
  </si>
  <si>
    <t>LINARES</t>
  </si>
  <si>
    <t>FLORES</t>
  </si>
  <si>
    <t>WARNER</t>
  </si>
  <si>
    <t>JANIER</t>
  </si>
  <si>
    <t xml:space="preserve">FEBRERO </t>
  </si>
  <si>
    <t xml:space="preserve">PENAGOS </t>
  </si>
  <si>
    <t>JOHNATAN</t>
  </si>
  <si>
    <t xml:space="preserve">RONDON </t>
  </si>
  <si>
    <t>TAVERA</t>
  </si>
  <si>
    <t>JHOAN</t>
  </si>
  <si>
    <t xml:space="preserve">ESTHER </t>
  </si>
  <si>
    <t xml:space="preserve">LUISA </t>
  </si>
  <si>
    <t xml:space="preserve">FERNANDA </t>
  </si>
  <si>
    <t xml:space="preserve">DIRECTOR DE GESTIÓN HUMANA </t>
  </si>
  <si>
    <t xml:space="preserve">ROOSVELT </t>
  </si>
  <si>
    <t xml:space="preserve">ANDEL </t>
  </si>
  <si>
    <t>MONICA</t>
  </si>
  <si>
    <t>REGINO</t>
  </si>
  <si>
    <t>CAMARGO</t>
  </si>
  <si>
    <t xml:space="preserve">BRAN </t>
  </si>
  <si>
    <t>ARIZAL</t>
  </si>
  <si>
    <t>PALMERA</t>
  </si>
  <si>
    <t>EVELIO</t>
  </si>
  <si>
    <t xml:space="preserve">DEL ROSARIO </t>
  </si>
  <si>
    <t xml:space="preserve">CAMPO </t>
  </si>
  <si>
    <t>JENNIFER</t>
  </si>
  <si>
    <t>OMT</t>
  </si>
  <si>
    <t>PERTA</t>
  </si>
  <si>
    <t xml:space="preserve">ALCIDES </t>
  </si>
  <si>
    <t xml:space="preserve">DE EJESUS </t>
  </si>
  <si>
    <t>LARGO</t>
  </si>
  <si>
    <t>DAHIANA</t>
  </si>
  <si>
    <t>LLAMADO DE ATENCIÓN</t>
  </si>
  <si>
    <t>ELIANA</t>
  </si>
  <si>
    <t>BAUTISTA</t>
  </si>
  <si>
    <t>SARMIENTO</t>
  </si>
  <si>
    <t>YOJAN</t>
  </si>
  <si>
    <t>CUELLAR</t>
  </si>
  <si>
    <t>vIGILANTE</t>
  </si>
  <si>
    <t xml:space="preserve">TORO </t>
  </si>
  <si>
    <t>RECEPCIONISTA</t>
  </si>
  <si>
    <t xml:space="preserve">SURA </t>
  </si>
  <si>
    <t>SANDRA</t>
  </si>
  <si>
    <t>JANNET</t>
  </si>
  <si>
    <t>EULER</t>
  </si>
  <si>
    <t xml:space="preserve">RAUL </t>
  </si>
  <si>
    <t>DEL SOCORRO</t>
  </si>
  <si>
    <t>CASTILLA</t>
  </si>
  <si>
    <t xml:space="preserve">LICENCIA MATRIMONIO </t>
  </si>
  <si>
    <t>BORJA</t>
  </si>
  <si>
    <t>CHIMA</t>
  </si>
  <si>
    <t>JIMENES</t>
  </si>
  <si>
    <t>ELDER</t>
  </si>
  <si>
    <t>AMID</t>
  </si>
  <si>
    <t xml:space="preserve">MIRANDA </t>
  </si>
  <si>
    <t>PASTRANA</t>
  </si>
  <si>
    <t xml:space="preserve">KEIDIXAR </t>
  </si>
  <si>
    <t xml:space="preserve">ESQUIVEL </t>
  </si>
  <si>
    <t>ALEAN</t>
  </si>
  <si>
    <t>BRAVO</t>
  </si>
  <si>
    <t>ISBELIS</t>
  </si>
  <si>
    <t xml:space="preserve">BRYHAN </t>
  </si>
  <si>
    <t>FONSECA</t>
  </si>
  <si>
    <t xml:space="preserve">DAYSE </t>
  </si>
  <si>
    <t xml:space="preserve">LICENCIA DE LUTO </t>
  </si>
  <si>
    <t>JOEL</t>
  </si>
  <si>
    <t xml:space="preserve"> ISAZA</t>
  </si>
  <si>
    <t>DE HOYOS</t>
  </si>
  <si>
    <t>LARREA</t>
  </si>
  <si>
    <t>DAYSE</t>
  </si>
  <si>
    <t>FOSIGA</t>
  </si>
  <si>
    <t>VIGILANRE</t>
  </si>
  <si>
    <t>TANABIS</t>
  </si>
  <si>
    <t>SOSA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</si>
</sst>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1" formatCode="_-* #,##0_-;\-* #,##0_-;_-* &quot;-&quot;_-;_-@_-"/>
    <numFmt numFmtId="44" formatCode="_-&quot;$&quot;\ * #,##0.00_-;\-&quot;$&quot;\ * #,##0.00_-;_-&quot;$&quot;\ * &quot;-&quot;??_-;_-@_-"/>
    <numFmt numFmtId="43" formatCode="_-* #,##0.00_-;\-* #,##0.00_-;_-* &quot;-&quot;??_-;_-@_-"/>
    <numFmt numFmtId="164" formatCode="_-&quot;$&quot;* #,##0_-;\-&quot;$&quot;* #,##0_-;_-&quot;$&quot;* &quot;-&quot;_-;_-@_-"/>
    <numFmt numFmtId="165" formatCode="_(&quot;$&quot;\ * #,##0.00_);_(&quot;$&quot;\ * \(#,##0.00\);_(&quot;$&quot;\ * &quot;-&quot;??_);_(@_)"/>
    <numFmt numFmtId="166" formatCode="_-&quot;$&quot;\ * #,##0_-;\-&quot;$&quot;\ * #,##0_-;_-&quot;$&quot;\ * &quot;-&quot;??_-;_-@_-"/>
    <numFmt numFmtId="167" formatCode="d/m/yyyy"/>
    <numFmt numFmtId="168" formatCode="_-&quot;$&quot;\ * #,##0_-;\-&quot;$&quot;\ * #,##0_-;_-&quot;$&quot;\ * &quot;-&quot;??_-;_-@"/>
  </numFmts>
  <fonts count="25" x14ac:knownFonts="1">
    <font>
      <sz val="11"/>
      <color theme="1"/>
      <name val="Calibri"/>
      <family val="2"/>
      <scheme val="minor"/>
    </font>
    <font>
      <sz val="11"/>
      <color indexed="8"/>
      <name val="Calibri"/>
      <family val="2"/>
    </font>
    <font>
      <sz val="10"/>
      <name val="Arial"/>
      <family val="2"/>
    </font>
    <font>
      <b/>
      <sz val="10"/>
      <color indexed="18"/>
      <name val="Arial"/>
      <family val="2"/>
    </font>
    <font>
      <b/>
      <sz val="6"/>
      <color indexed="57"/>
      <name val="Arial"/>
      <family val="2"/>
    </font>
    <font>
      <sz val="10"/>
      <name val="Arial"/>
      <family val="2"/>
    </font>
    <font>
      <b/>
      <sz val="10"/>
      <color indexed="57"/>
      <name val="Arial"/>
      <family val="2"/>
    </font>
    <font>
      <sz val="10"/>
      <color theme="1"/>
      <name val="Arial"/>
      <family val="2"/>
    </font>
    <font>
      <b/>
      <sz val="10"/>
      <color theme="3" tint="-0.499984740745262"/>
      <name val="Arial"/>
      <family val="2"/>
    </font>
    <font>
      <b/>
      <sz val="11"/>
      <color theme="1"/>
      <name val="Calibri"/>
      <family val="2"/>
      <scheme val="minor"/>
    </font>
    <font>
      <b/>
      <sz val="9"/>
      <color indexed="81"/>
      <name val="Tahoma"/>
      <family val="2"/>
    </font>
    <font>
      <sz val="9"/>
      <color indexed="81"/>
      <name val="Tahoma"/>
      <family val="2"/>
    </font>
    <font>
      <b/>
      <sz val="14"/>
      <color theme="1"/>
      <name val="Calibri"/>
      <family val="2"/>
      <scheme val="minor"/>
    </font>
    <font>
      <sz val="14"/>
      <color theme="1"/>
      <name val="Calibri"/>
      <family val="2"/>
      <scheme val="minor"/>
    </font>
    <font>
      <sz val="8"/>
      <name val="Calibri"/>
      <family val="2"/>
      <scheme val="minor"/>
    </font>
    <font>
      <b/>
      <sz val="18"/>
      <color theme="1"/>
      <name val="Calibri"/>
      <family val="2"/>
      <scheme val="minor"/>
    </font>
    <font>
      <sz val="11"/>
      <color rgb="FFFF0000"/>
      <name val="Calibri"/>
      <family val="2"/>
      <scheme val="minor"/>
    </font>
    <font>
      <b/>
      <sz val="11"/>
      <name val="Calibri"/>
      <family val="2"/>
      <scheme val="minor"/>
    </font>
    <font>
      <sz val="12"/>
      <color theme="1"/>
      <name val="Calibri"/>
      <family val="2"/>
      <scheme val="minor"/>
    </font>
    <font>
      <sz val="9"/>
      <color theme="1"/>
      <name val="Calibri"/>
      <family val="2"/>
      <scheme val="minor"/>
    </font>
    <font>
      <b/>
      <sz val="9"/>
      <color indexed="18"/>
      <name val="Arial"/>
      <family val="2"/>
    </font>
    <font>
      <sz val="9"/>
      <name val="Arial"/>
      <family val="2"/>
    </font>
    <font>
      <sz val="11"/>
      <color theme="1"/>
      <name val="Calibri"/>
      <family val="2"/>
      <scheme val="minor"/>
    </font>
    <font>
      <sz val="11"/>
      <name val="Calibri"/>
      <family val="2"/>
    </font>
    <font>
      <sz val="11"/>
      <color theme="1"/>
      <name val="Calibri"/>
      <family val="2"/>
    </font>
  </fonts>
  <fills count="11">
    <fill>
      <patternFill patternType="none"/>
    </fill>
    <fill>
      <patternFill patternType="gray125"/>
    </fill>
    <fill>
      <patternFill patternType="solid">
        <fgColor indexed="65"/>
        <bgColor indexed="64"/>
      </patternFill>
    </fill>
    <fill>
      <patternFill patternType="solid">
        <fgColor theme="0" tint="-0.249977111117893"/>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0"/>
        <bgColor indexed="64"/>
      </patternFill>
    </fill>
    <fill>
      <patternFill patternType="solid">
        <fgColor rgb="FFB8CCE4"/>
        <bgColor rgb="FFB8CCE4"/>
      </patternFill>
    </fill>
    <fill>
      <patternFill patternType="solid">
        <fgColor rgb="FFDBE5F1"/>
        <bgColor rgb="FFDBE5F1"/>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s>
  <cellStyleXfs count="32">
    <xf numFmtId="0" fontId="0" fillId="0" borderId="0"/>
    <xf numFmtId="165" fontId="1" fillId="0" borderId="0" applyFont="0" applyFill="0" applyBorder="0" applyAlignment="0" applyProtection="0"/>
    <xf numFmtId="0" fontId="2" fillId="0" borderId="0"/>
    <xf numFmtId="0" fontId="2" fillId="0" borderId="0"/>
    <xf numFmtId="0" fontId="5" fillId="0" borderId="0"/>
    <xf numFmtId="0" fontId="18" fillId="0" borderId="0"/>
    <xf numFmtId="164" fontId="18" fillId="0" borderId="0" applyFont="0" applyFill="0" applyBorder="0" applyAlignment="0" applyProtection="0"/>
    <xf numFmtId="41" fontId="18" fillId="0" borderId="0" applyFont="0" applyFill="0" applyBorder="0" applyAlignment="0" applyProtection="0"/>
    <xf numFmtId="9" fontId="18" fillId="0" borderId="0" applyFont="0" applyFill="0" applyBorder="0" applyAlignment="0" applyProtection="0"/>
    <xf numFmtId="165" fontId="22" fillId="0" borderId="0" applyFont="0" applyFill="0" applyBorder="0" applyAlignment="0" applyProtection="0"/>
    <xf numFmtId="43" fontId="22" fillId="0" borderId="0" applyFont="0" applyFill="0" applyBorder="0" applyAlignment="0" applyProtection="0"/>
    <xf numFmtId="0" fontId="2" fillId="0" borderId="0"/>
    <xf numFmtId="41" fontId="22" fillId="0" borderId="0" applyFont="0" applyFill="0" applyBorder="0" applyAlignment="0" applyProtection="0"/>
    <xf numFmtId="43" fontId="22" fillId="0" borderId="0" applyFont="0" applyFill="0" applyBorder="0" applyAlignment="0" applyProtection="0"/>
    <xf numFmtId="0" fontId="23" fillId="0" borderId="0">
      <alignment vertical="center"/>
    </xf>
    <xf numFmtId="165" fontId="22" fillId="0" borderId="0" applyFont="0" applyFill="0" applyBorder="0" applyAlignment="0" applyProtection="0"/>
    <xf numFmtId="165"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43" fontId="22" fillId="0" borderId="0" applyFont="0" applyFill="0" applyBorder="0" applyAlignment="0" applyProtection="0"/>
    <xf numFmtId="41"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2" fillId="0" borderId="0" applyFont="0" applyFill="0" applyBorder="0" applyAlignment="0" applyProtection="0"/>
    <xf numFmtId="165" fontId="22" fillId="0" borderId="0" applyFont="0" applyFill="0" applyBorder="0" applyAlignment="0" applyProtection="0"/>
    <xf numFmtId="43" fontId="22" fillId="0" borderId="0" applyFont="0" applyFill="0" applyBorder="0" applyAlignment="0" applyProtection="0"/>
    <xf numFmtId="41" fontId="22" fillId="0" borderId="0" applyFont="0" applyFill="0" applyBorder="0" applyAlignment="0" applyProtection="0"/>
    <xf numFmtId="43" fontId="22" fillId="0" borderId="0" applyFont="0" applyFill="0" applyBorder="0" applyAlignment="0" applyProtection="0"/>
    <xf numFmtId="165" fontId="22" fillId="0" borderId="0" applyFont="0" applyFill="0" applyBorder="0" applyAlignment="0" applyProtection="0"/>
    <xf numFmtId="43" fontId="22" fillId="0" borderId="0" applyFont="0" applyFill="0" applyBorder="0" applyAlignment="0" applyProtection="0"/>
  </cellStyleXfs>
  <cellXfs count="102">
    <xf numFmtId="0" fontId="0" fillId="0" borderId="0" xfId="0"/>
    <xf numFmtId="0" fontId="2" fillId="2" borderId="0" xfId="2" applyFill="1"/>
    <xf numFmtId="0" fontId="2" fillId="0" borderId="0" xfId="2"/>
    <xf numFmtId="0" fontId="7" fillId="0" borderId="0" xfId="0" applyFont="1"/>
    <xf numFmtId="1" fontId="3" fillId="2" borderId="0" xfId="2" applyNumberFormat="1" applyFont="1" applyFill="1" applyAlignment="1">
      <alignment wrapText="1"/>
    </xf>
    <xf numFmtId="1" fontId="4" fillId="2" borderId="0" xfId="2" applyNumberFormat="1" applyFont="1" applyFill="1" applyAlignment="1">
      <alignment wrapText="1"/>
    </xf>
    <xf numFmtId="1" fontId="3" fillId="2" borderId="1" xfId="2" applyNumberFormat="1" applyFont="1" applyFill="1" applyBorder="1" applyAlignment="1">
      <alignment horizontal="center" vertical="center"/>
    </xf>
    <xf numFmtId="1" fontId="3" fillId="2" borderId="2" xfId="2" applyNumberFormat="1" applyFont="1" applyFill="1" applyBorder="1"/>
    <xf numFmtId="1" fontId="3" fillId="2" borderId="3" xfId="2" applyNumberFormat="1" applyFont="1" applyFill="1" applyBorder="1"/>
    <xf numFmtId="1" fontId="3" fillId="2" borderId="4" xfId="2" applyNumberFormat="1" applyFont="1" applyFill="1" applyBorder="1"/>
    <xf numFmtId="0" fontId="8" fillId="0" borderId="0" xfId="2" applyFont="1" applyAlignment="1">
      <alignment horizontal="center" vertical="center"/>
    </xf>
    <xf numFmtId="0" fontId="9" fillId="3" borderId="5" xfId="0" applyFont="1" applyFill="1" applyBorder="1" applyAlignment="1">
      <alignment horizontal="left" vertical="center"/>
    </xf>
    <xf numFmtId="0" fontId="0" fillId="4" borderId="0" xfId="0" applyFill="1"/>
    <xf numFmtId="0" fontId="12" fillId="0" borderId="0" xfId="0" applyFont="1"/>
    <xf numFmtId="0" fontId="0" fillId="5" borderId="0" xfId="0" applyFill="1"/>
    <xf numFmtId="0" fontId="0" fillId="6" borderId="0" xfId="0" applyFill="1"/>
    <xf numFmtId="0" fontId="0" fillId="0" borderId="0" xfId="0" pivotButton="1"/>
    <xf numFmtId="0" fontId="0" fillId="0" borderId="0" xfId="0" applyAlignment="1">
      <alignment horizontal="left"/>
    </xf>
    <xf numFmtId="0" fontId="0" fillId="2" borderId="1" xfId="0" applyFill="1" applyBorder="1" applyAlignment="1" applyProtection="1">
      <alignment horizontal="center" vertical="center" wrapText="1"/>
      <protection locked="0"/>
    </xf>
    <xf numFmtId="0" fontId="0" fillId="2" borderId="1" xfId="0" applyFill="1" applyBorder="1" applyAlignment="1" applyProtection="1">
      <alignment horizontal="center" vertical="center"/>
      <protection locked="0"/>
    </xf>
    <xf numFmtId="14" fontId="0" fillId="2" borderId="1" xfId="0" applyNumberForma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14" fontId="0" fillId="0" borderId="1" xfId="0" applyNumberFormat="1" applyBorder="1" applyAlignment="1" applyProtection="1">
      <alignment horizontal="center" vertical="center"/>
      <protection locked="0"/>
    </xf>
    <xf numFmtId="0" fontId="0" fillId="4" borderId="1" xfId="0" applyFill="1" applyBorder="1" applyAlignment="1" applyProtection="1">
      <alignment horizontal="center" vertical="center"/>
      <protection locked="0"/>
    </xf>
    <xf numFmtId="1" fontId="0" fillId="2" borderId="1" xfId="0" applyNumberFormat="1" applyFill="1"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2" borderId="0" xfId="0" applyFill="1" applyProtection="1">
      <protection locked="0"/>
    </xf>
    <xf numFmtId="0" fontId="0" fillId="2" borderId="1" xfId="0" applyFill="1" applyBorder="1" applyProtection="1">
      <protection locked="0"/>
    </xf>
    <xf numFmtId="0" fontId="0" fillId="2" borderId="1" xfId="0" applyFill="1" applyBorder="1" applyAlignment="1" applyProtection="1">
      <alignment horizontal="center"/>
      <protection locked="0"/>
    </xf>
    <xf numFmtId="0" fontId="0" fillId="4" borderId="1" xfId="0" applyFill="1" applyBorder="1" applyAlignment="1" applyProtection="1">
      <alignment horizontal="center"/>
      <protection locked="0"/>
    </xf>
    <xf numFmtId="14" fontId="0" fillId="2" borderId="1" xfId="0" applyNumberFormat="1" applyFill="1" applyBorder="1" applyAlignment="1" applyProtection="1">
      <alignment horizontal="center"/>
      <protection locked="0"/>
    </xf>
    <xf numFmtId="0" fontId="0" fillId="2" borderId="0" xfId="0" applyFill="1" applyAlignment="1" applyProtection="1">
      <alignment horizontal="center"/>
      <protection locked="0"/>
    </xf>
    <xf numFmtId="0" fontId="0" fillId="4" borderId="0" xfId="0" applyFill="1" applyAlignment="1" applyProtection="1">
      <alignment horizontal="center"/>
      <protection locked="0"/>
    </xf>
    <xf numFmtId="0" fontId="17" fillId="4" borderId="2" xfId="0" applyFont="1" applyFill="1" applyBorder="1" applyAlignment="1">
      <alignment horizontal="center" vertical="center" wrapText="1"/>
    </xf>
    <xf numFmtId="0" fontId="16" fillId="4" borderId="0" xfId="0" applyFont="1" applyFill="1" applyAlignment="1" applyProtection="1">
      <alignment horizontal="center" vertical="center" wrapText="1"/>
      <protection locked="0"/>
    </xf>
    <xf numFmtId="1" fontId="0" fillId="0" borderId="1" xfId="0" applyNumberFormat="1" applyBorder="1" applyAlignment="1" applyProtection="1">
      <alignment horizontal="center" vertical="center"/>
      <protection locked="0"/>
    </xf>
    <xf numFmtId="0" fontId="0" fillId="2" borderId="1" xfId="0" applyFill="1" applyBorder="1" applyAlignment="1" applyProtection="1">
      <alignment horizontal="justify" vertical="top" wrapText="1"/>
      <protection locked="0"/>
    </xf>
    <xf numFmtId="0" fontId="0" fillId="2" borderId="1" xfId="0" applyFill="1" applyBorder="1" applyAlignment="1" applyProtection="1">
      <alignment horizontal="center" vertical="top" wrapText="1"/>
      <protection locked="0"/>
    </xf>
    <xf numFmtId="0" fontId="0" fillId="0" borderId="1" xfId="0" applyBorder="1" applyAlignment="1">
      <alignment horizontal="center"/>
    </xf>
    <xf numFmtId="0" fontId="17" fillId="3" borderId="1" xfId="0" applyFont="1" applyFill="1" applyBorder="1" applyAlignment="1">
      <alignment horizontal="center" vertical="center" wrapText="1"/>
    </xf>
    <xf numFmtId="0" fontId="0" fillId="0" borderId="0" xfId="0" applyAlignment="1">
      <alignment horizontal="left" indent="1"/>
    </xf>
    <xf numFmtId="0" fontId="13" fillId="7" borderId="0" xfId="0" applyFont="1" applyFill="1"/>
    <xf numFmtId="0" fontId="0" fillId="7" borderId="0" xfId="0" applyFill="1"/>
    <xf numFmtId="1" fontId="20" fillId="0" borderId="2" xfId="0" applyNumberFormat="1" applyFont="1" applyBorder="1"/>
    <xf numFmtId="1" fontId="21" fillId="0" borderId="2" xfId="0" applyNumberFormat="1" applyFont="1" applyBorder="1" applyAlignment="1">
      <alignment shrinkToFit="1"/>
    </xf>
    <xf numFmtId="1" fontId="20" fillId="0" borderId="3" xfId="0" applyNumberFormat="1" applyFont="1" applyBorder="1"/>
    <xf numFmtId="1" fontId="21" fillId="0" borderId="3" xfId="0" applyNumberFormat="1" applyFont="1" applyBorder="1" applyAlignment="1">
      <alignment shrinkToFit="1"/>
    </xf>
    <xf numFmtId="0" fontId="17" fillId="3" borderId="2"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8" borderId="1" xfId="0" applyFill="1" applyBorder="1" applyAlignment="1">
      <alignment vertical="center"/>
    </xf>
    <xf numFmtId="14" fontId="0" fillId="8" borderId="1" xfId="0" applyNumberFormat="1" applyFill="1" applyBorder="1" applyAlignment="1">
      <alignment horizontal="center" vertical="center"/>
    </xf>
    <xf numFmtId="0" fontId="0" fillId="8" borderId="1" xfId="0" applyFill="1" applyBorder="1" applyAlignment="1">
      <alignment horizontal="center" vertical="center"/>
    </xf>
    <xf numFmtId="0" fontId="0" fillId="0" borderId="1" xfId="0" applyBorder="1" applyAlignment="1">
      <alignment horizontal="center" vertical="center"/>
    </xf>
    <xf numFmtId="0" fontId="19" fillId="0" borderId="1" xfId="0" applyFont="1" applyBorder="1" applyAlignment="1">
      <alignment horizontal="center" vertical="center"/>
    </xf>
    <xf numFmtId="0" fontId="0" fillId="0" borderId="1" xfId="0" applyBorder="1" applyAlignment="1" applyProtection="1">
      <alignment horizontal="center"/>
      <protection locked="0"/>
    </xf>
    <xf numFmtId="0" fontId="0" fillId="0" borderId="1" xfId="0" applyBorder="1" applyProtection="1">
      <protection locked="0"/>
    </xf>
    <xf numFmtId="0" fontId="19" fillId="0" borderId="0" xfId="0" applyFont="1" applyAlignment="1">
      <alignment horizontal="center" vertical="center" wrapText="1"/>
    </xf>
    <xf numFmtId="0" fontId="0" fillId="0" borderId="0" xfId="0" applyAlignment="1">
      <alignment horizontal="center"/>
    </xf>
    <xf numFmtId="14" fontId="0" fillId="0" borderId="1" xfId="0" applyNumberFormat="1" applyBorder="1" applyAlignment="1" applyProtection="1">
      <alignment horizontal="center"/>
      <protection locked="0"/>
    </xf>
    <xf numFmtId="14" fontId="19" fillId="0" borderId="1" xfId="0" applyNumberFormat="1" applyFont="1" applyBorder="1" applyAlignment="1">
      <alignment horizontal="center" vertical="center"/>
    </xf>
    <xf numFmtId="14" fontId="0" fillId="2" borderId="1" xfId="0" applyNumberFormat="1" applyFill="1" applyBorder="1" applyProtection="1">
      <protection locked="0"/>
    </xf>
    <xf numFmtId="166" fontId="0" fillId="0" borderId="0" xfId="25" applyNumberFormat="1" applyFont="1"/>
    <xf numFmtId="0" fontId="22" fillId="9" borderId="0" xfId="0" applyFont="1" applyFill="1"/>
    <xf numFmtId="167" fontId="24" fillId="9" borderId="0" xfId="0" applyNumberFormat="1" applyFont="1" applyFill="1"/>
    <xf numFmtId="0" fontId="24" fillId="9" borderId="0" xfId="0" applyFont="1" applyFill="1" applyAlignment="1">
      <alignment horizontal="center"/>
    </xf>
    <xf numFmtId="168" fontId="24" fillId="9" borderId="0" xfId="0" applyNumberFormat="1" applyFont="1" applyFill="1"/>
    <xf numFmtId="14" fontId="19" fillId="0" borderId="0" xfId="0" applyNumberFormat="1" applyFont="1" applyAlignment="1">
      <alignment horizontal="center" vertical="center" wrapText="1"/>
    </xf>
    <xf numFmtId="0" fontId="24" fillId="10" borderId="0" xfId="0" applyFont="1" applyFill="1" applyAlignment="1">
      <alignment horizontal="center"/>
    </xf>
    <xf numFmtId="0" fontId="22" fillId="10" borderId="0" xfId="0" applyFont="1" applyFill="1"/>
    <xf numFmtId="167" fontId="24" fillId="10" borderId="0" xfId="0" applyNumberFormat="1" applyFont="1" applyFill="1"/>
    <xf numFmtId="168" fontId="24" fillId="10" borderId="0" xfId="0" applyNumberFormat="1" applyFont="1" applyFill="1"/>
    <xf numFmtId="166" fontId="19" fillId="0" borderId="0" xfId="0" applyNumberFormat="1" applyFont="1" applyAlignment="1">
      <alignment horizontal="center" vertical="center" wrapText="1"/>
    </xf>
    <xf numFmtId="0" fontId="24" fillId="10" borderId="0" xfId="0" applyFont="1" applyFill="1"/>
    <xf numFmtId="0" fontId="24" fillId="9" borderId="0" xfId="0" applyFont="1" applyFill="1"/>
    <xf numFmtId="14" fontId="0" fillId="0" borderId="0" xfId="0" applyNumberFormat="1" applyAlignment="1">
      <alignment horizontal="center"/>
    </xf>
    <xf numFmtId="14" fontId="22" fillId="9" borderId="0" xfId="0" applyNumberFormat="1" applyFont="1" applyFill="1" applyAlignment="1">
      <alignment horizontal="center"/>
    </xf>
    <xf numFmtId="14" fontId="22" fillId="10" borderId="0" xfId="0" applyNumberFormat="1" applyFont="1" applyFill="1" applyAlignment="1">
      <alignment horizontal="center"/>
    </xf>
    <xf numFmtId="14" fontId="24" fillId="10" borderId="0" xfId="0" applyNumberFormat="1" applyFont="1" applyFill="1" applyAlignment="1">
      <alignment horizontal="center"/>
    </xf>
    <xf numFmtId="14" fontId="24" fillId="10" borderId="0" xfId="0" applyNumberFormat="1" applyFont="1" applyFill="1"/>
    <xf numFmtId="166" fontId="24" fillId="9" borderId="0" xfId="25" applyNumberFormat="1" applyFont="1" applyFill="1"/>
    <xf numFmtId="166" fontId="24" fillId="10" borderId="0" xfId="25" applyNumberFormat="1" applyFont="1" applyFill="1"/>
    <xf numFmtId="0" fontId="22" fillId="9" borderId="0" xfId="0" applyFont="1" applyFill="1" applyAlignment="1">
      <alignment horizontal="center"/>
    </xf>
    <xf numFmtId="0" fontId="22" fillId="10" borderId="0" xfId="0" applyFont="1" applyFill="1" applyAlignment="1">
      <alignment horizontal="center"/>
    </xf>
    <xf numFmtId="14" fontId="0" fillId="0" borderId="0" xfId="0" applyNumberFormat="1"/>
    <xf numFmtId="0" fontId="0" fillId="9" borderId="6" xfId="0" applyFill="1" applyBorder="1" applyAlignment="1">
      <alignment horizontal="center"/>
    </xf>
    <xf numFmtId="0" fontId="0" fillId="9" borderId="7" xfId="0" applyFill="1" applyBorder="1"/>
    <xf numFmtId="0" fontId="0" fillId="7" borderId="6" xfId="0" applyFill="1" applyBorder="1"/>
    <xf numFmtId="0" fontId="0" fillId="9" borderId="6" xfId="0" applyFill="1" applyBorder="1"/>
    <xf numFmtId="0" fontId="0" fillId="10" borderId="0" xfId="0" applyFill="1"/>
    <xf numFmtId="0" fontId="0" fillId="9" borderId="0" xfId="0" applyFill="1"/>
    <xf numFmtId="0" fontId="0" fillId="10" borderId="6" xfId="0" applyFill="1" applyBorder="1"/>
    <xf numFmtId="0" fontId="0" fillId="10" borderId="7" xfId="0" applyFill="1" applyBorder="1"/>
    <xf numFmtId="0" fontId="0" fillId="9" borderId="8" xfId="0" applyFill="1" applyBorder="1"/>
    <xf numFmtId="0" fontId="15" fillId="0" borderId="0" xfId="0" applyFont="1" applyAlignment="1">
      <alignment horizontal="center"/>
    </xf>
    <xf numFmtId="1" fontId="3" fillId="2" borderId="0" xfId="2" applyNumberFormat="1" applyFont="1" applyFill="1" applyAlignment="1">
      <alignment horizontal="center" wrapText="1"/>
    </xf>
    <xf numFmtId="1" fontId="4" fillId="2" borderId="0" xfId="2" applyNumberFormat="1" applyFont="1" applyFill="1" applyAlignment="1">
      <alignment horizontal="center" wrapText="1"/>
    </xf>
    <xf numFmtId="1" fontId="6" fillId="2" borderId="0" xfId="2" applyNumberFormat="1" applyFont="1" applyFill="1" applyAlignment="1">
      <alignment horizontal="justify" vertical="center" wrapText="1"/>
    </xf>
    <xf numFmtId="1" fontId="3" fillId="2" borderId="0" xfId="2" applyNumberFormat="1" applyFont="1" applyFill="1" applyAlignment="1">
      <alignment horizontal="center" vertical="center" wrapText="1"/>
    </xf>
    <xf numFmtId="0" fontId="0" fillId="9" borderId="9" xfId="0" applyFill="1" applyBorder="1"/>
    <xf numFmtId="0" fontId="0" fillId="9" borderId="0" xfId="0" applyFont="1" applyFill="1"/>
    <xf numFmtId="2" fontId="0" fillId="0" borderId="0" xfId="0" applyNumberFormat="1"/>
    <xf numFmtId="0" fontId="0" fillId="9" borderId="10" xfId="0" applyFill="1" applyBorder="1"/>
  </cellXfs>
  <cellStyles count="32">
    <cellStyle name="Millares [0] 2" xfId="7" xr:uid="{00000000-0005-0000-0000-000000000000}"/>
    <cellStyle name="Millares [0] 3" xfId="12" xr:uid="{00000000-0005-0000-0000-000001000000}"/>
    <cellStyle name="Millares [0] 4" xfId="22" xr:uid="{00000000-0005-0000-0000-000002000000}"/>
    <cellStyle name="Millares [0] 5" xfId="28" xr:uid="{00000000-0005-0000-0000-000003000000}"/>
    <cellStyle name="Millares 2" xfId="10" xr:uid="{00000000-0005-0000-0000-000004000000}"/>
    <cellStyle name="Millares 2 2" xfId="21" xr:uid="{00000000-0005-0000-0000-000005000000}"/>
    <cellStyle name="Millares 2 3" xfId="27" xr:uid="{00000000-0005-0000-0000-000006000000}"/>
    <cellStyle name="Millares 3" xfId="13" xr:uid="{00000000-0005-0000-0000-000007000000}"/>
    <cellStyle name="Millares 4" xfId="17" xr:uid="{00000000-0005-0000-0000-000008000000}"/>
    <cellStyle name="Millares 5" xfId="18" xr:uid="{00000000-0005-0000-0000-000009000000}"/>
    <cellStyle name="Millares 6" xfId="23" xr:uid="{00000000-0005-0000-0000-00000A000000}"/>
    <cellStyle name="Millares 7" xfId="24" xr:uid="{00000000-0005-0000-0000-00000B000000}"/>
    <cellStyle name="Millares 8" xfId="29" xr:uid="{00000000-0005-0000-0000-00000C000000}"/>
    <cellStyle name="Millares 9" xfId="31" xr:uid="{00000000-0005-0000-0000-00000D000000}"/>
    <cellStyle name="Moneda" xfId="25" builtinId="4"/>
    <cellStyle name="Moneda [0] 2" xfId="6" xr:uid="{00000000-0005-0000-0000-00000F000000}"/>
    <cellStyle name="Moneda 2" xfId="1" xr:uid="{00000000-0005-0000-0000-000010000000}"/>
    <cellStyle name="Moneda 3" xfId="9" xr:uid="{00000000-0005-0000-0000-000011000000}"/>
    <cellStyle name="Moneda 4" xfId="15" xr:uid="{00000000-0005-0000-0000-000012000000}"/>
    <cellStyle name="Moneda 5" xfId="16" xr:uid="{00000000-0005-0000-0000-000013000000}"/>
    <cellStyle name="Moneda 6" xfId="20" xr:uid="{00000000-0005-0000-0000-000014000000}"/>
    <cellStyle name="Moneda 7" xfId="19" xr:uid="{00000000-0005-0000-0000-000015000000}"/>
    <cellStyle name="Moneda 8" xfId="26" xr:uid="{00000000-0005-0000-0000-000016000000}"/>
    <cellStyle name="Moneda 9" xfId="30" xr:uid="{00000000-0005-0000-0000-000017000000}"/>
    <cellStyle name="Normal" xfId="0" builtinId="0"/>
    <cellStyle name="Normal 2" xfId="2" xr:uid="{00000000-0005-0000-0000-000019000000}"/>
    <cellStyle name="Normal 2 2" xfId="3" xr:uid="{00000000-0005-0000-0000-00001A000000}"/>
    <cellStyle name="Normal 3" xfId="4" xr:uid="{00000000-0005-0000-0000-00001B000000}"/>
    <cellStyle name="Normal 3 2" xfId="14" xr:uid="{00000000-0005-0000-0000-00001C000000}"/>
    <cellStyle name="Normal 4" xfId="5" xr:uid="{00000000-0005-0000-0000-00001D000000}"/>
    <cellStyle name="Normal 4 2" xfId="11" xr:uid="{00000000-0005-0000-0000-00001E000000}"/>
    <cellStyle name="Porcentaje 2" xfId="8" xr:uid="{00000000-0005-0000-0000-00001F00000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8" formatCode="_-&quot;$&quot;\ * #,##0_-;\-&quot;$&quot;\ * #,##0_-;_-&quot;$&quot;\ * &quot;-&quot;??_-;_-@"/>
    </dxf>
    <dxf>
      <numFmt numFmtId="166" formatCode="_-&quot;$&quot;\ * #,##0_-;\-&quot;$&quot;\ * #,##0_-;_-&quot;$&quot;\ * &quot;-&quot;??_-;_-@_-"/>
    </dxf>
    <dxf>
      <numFmt numFmtId="0" formatCode="General"/>
    </dxf>
    <dxf>
      <numFmt numFmtId="166" formatCode="_-&quot;$&quot;\ * #,##0_-;\-&quot;$&quot;\ * #,##0_-;_-&quot;$&quot;\ * &quot;-&quot;??_-;_-@_-"/>
    </dxf>
    <dxf>
      <numFmt numFmtId="19" formatCode="d/mm/yyyy"/>
      <alignment horizontal="center" textRotation="0" indent="0" justifyLastLine="0" shrinkToFit="0" readingOrder="0"/>
    </dxf>
    <dxf>
      <numFmt numFmtId="19" formatCode="d/mm/yyyy"/>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fill>
        <patternFill patternType="solid">
          <fgColor indexed="64"/>
          <bgColor theme="8" tint="0.39997558519241921"/>
        </patternFill>
      </fill>
    </dxf>
    <dxf>
      <numFmt numFmtId="0" formatCode="General"/>
      <fill>
        <patternFill patternType="solid">
          <fgColor indexed="64"/>
          <bgColor theme="8" tint="0.39997558519241921"/>
        </patternFill>
      </fill>
    </dxf>
    <dxf>
      <numFmt numFmtId="19" formatCode="d/mm/yyyy"/>
    </dxf>
    <dxf>
      <numFmt numFmtId="19" formatCode="d/mm/yyyy"/>
    </dxf>
    <dxf>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font>
        <strike val="0"/>
        <outline val="0"/>
        <shadow val="0"/>
        <u val="none"/>
        <vertAlign val="baseline"/>
        <sz val="9"/>
        <color theme="1"/>
        <name val="Calibri"/>
        <scheme val="minor"/>
      </font>
      <alignment horizontal="center" vertical="center" textRotation="0" wrapText="1" indent="0" justifyLastLine="0" shrinkToFit="0" readingOrder="0"/>
    </dxf>
  </dxfs>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14" Type="http://schemas.openxmlformats.org/officeDocument/2006/relationships/pivotCacheDefinition" Target="pivotCache/pivotCacheDefinition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udia Morales" refreshedDate="44525.442606249999" createdVersion="7" refreshedVersion="6" refreshOnLoad="1" minRefreshableVersion="3" recordCount="2558" xr:uid="{00000000-000A-0000-FFFF-FFFF03000000}">
  <cacheSource type="worksheet">
    <worksheetSource ref="A1:Q2267" sheet="OTRO AUSENTISMO"/>
  </cacheSource>
  <cacheFields count="17">
    <cacheField name="MES DEL AUSENTISMO" numFmtId="0">
      <sharedItems containsBlank="1" count="14">
        <s v="ENERO"/>
        <s v="DICIEMBRE"/>
        <s v="FEBRERO"/>
        <s v="MARZO"/>
        <s v="ABRIL"/>
        <s v="MAYO"/>
        <s v="JUNIO"/>
        <s v="JULIO"/>
        <s v="AGOSTO"/>
        <s v="SEPTIEMBRE"/>
        <s v="OCTUBRE"/>
        <s v="NOVIEMBRE"/>
        <m/>
        <s v="MES DEL EVENTO"/>
      </sharedItems>
    </cacheField>
    <cacheField name="CEDULA" numFmtId="0">
      <sharedItems containsBlank="1" containsMixedTypes="1" containsNumber="1" containsInteger="1" minValue="3132230" maxValue="10383322376"/>
    </cacheField>
    <cacheField name="APELLIDO 1" numFmtId="0">
      <sharedItems containsBlank="1"/>
    </cacheField>
    <cacheField name="APELLIDO 2" numFmtId="0">
      <sharedItems containsBlank="1"/>
    </cacheField>
    <cacheField name="NOMBRE 1" numFmtId="0">
      <sharedItems containsBlank="1"/>
    </cacheField>
    <cacheField name="OTROS NOMBRES" numFmtId="0">
      <sharedItems containsBlank="1"/>
    </cacheField>
    <cacheField name="CARGO" numFmtId="0">
      <sharedItems containsBlank="1"/>
    </cacheField>
    <cacheField name="TIPO DE EVENTO (D.A., S.P., L.R. L.N.R. ACT)" numFmtId="0">
      <sharedItems containsBlank="1" count="7">
        <s v="L.R. - L.N.R."/>
        <s v="S.P."/>
        <s v="D.A."/>
        <s v="COMPROMISO"/>
        <m/>
        <s v="DA" u="1"/>
        <s v="PECUNIARIA" u="1"/>
      </sharedItems>
    </cacheField>
    <cacheField name="FECHA INI" numFmtId="0">
      <sharedItems containsDate="1" containsBlank="1" containsMixedTypes="1" minDate="2020-01-26T00:00:00" maxDate="2022-01-01T00:00:00"/>
    </cacheField>
    <cacheField name="FECHA FIN" numFmtId="0">
      <sharedItems containsDate="1" containsBlank="1" containsMixedTypes="1" minDate="2020-01-15T00:00:00" maxDate="2021-12-11T00:00:00"/>
    </cacheField>
    <cacheField name="DIAS DE AUSENCIA " numFmtId="0">
      <sharedItems containsString="0" containsBlank="1" containsNumber="1" containsInteger="1" minValue="0" maxValue="139"/>
    </cacheField>
    <cacheField name="CAUSA" numFmtId="0">
      <sharedItems containsString="0" containsBlank="1" containsNumber="1" containsInteger="1" minValue="1" maxValue="24"/>
    </cacheField>
    <cacheField name="OBSERVACIONES" numFmtId="0">
      <sharedItems containsBlank="1"/>
    </cacheField>
    <cacheField name="SALARIO BASE" numFmtId="0">
      <sharedItems containsBlank="1"/>
    </cacheField>
    <cacheField name="COSTOS ASUMIDOS A.T." numFmtId="0">
      <sharedItems containsNonDate="0" containsString="0" containsBlank="1"/>
    </cacheField>
    <cacheField name="COSTOS ASUMIDOS A.C. - E.G." numFmtId="0">
      <sharedItems containsNonDate="0" containsString="0" containsBlank="1"/>
    </cacheField>
    <cacheField name="CONTADOR PROC X INCUMP"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David Martínez " refreshedDate="44592.403679282404" createdVersion="6" refreshedVersion="7" refreshOnLoad="1" minRefreshableVersion="3" recordCount="1" xr:uid="{00000000-000A-0000-FFFF-FFFF04000000}">
  <cacheSource type="worksheet">
    <worksheetSource name="Tabla2"/>
  </cacheSource>
  <cacheFields count="23">
    <cacheField name="MES DEL EVENTO" numFmtId="0">
      <sharedItems containsNonDate="0" containsBlank="1" count="14">
        <m/>
        <s v="MAYO" u="1"/>
        <s v="NOVIEMBRE" u="1"/>
        <s v="ABRIL" u="1"/>
        <s v="DICIEMBRE" u="1"/>
        <s v="JULIO" u="1"/>
        <s v="JUNIO" u="1"/>
        <s v="ENERO" u="1"/>
        <s v="SEPTIEMBRE" u="1"/>
        <s v="OCTUBRE" u="1"/>
        <s v="FEBRERO" u="1"/>
        <s v="MARZO" u="1"/>
        <s v="JULIO " u="1"/>
        <s v="AGOSTO" u="1"/>
      </sharedItems>
    </cacheField>
    <cacheField name="CEDULA" numFmtId="0">
      <sharedItems containsNonDate="0" containsString="0" containsBlank="1"/>
    </cacheField>
    <cacheField name="APELLIDO 1" numFmtId="0">
      <sharedItems containsNonDate="0" containsString="0" containsBlank="1"/>
    </cacheField>
    <cacheField name="APELLIDO 2" numFmtId="0">
      <sharedItems containsNonDate="0" containsString="0" containsBlank="1"/>
    </cacheField>
    <cacheField name="NOMBRE 1" numFmtId="0">
      <sharedItems containsNonDate="0" containsString="0" containsBlank="1"/>
    </cacheField>
    <cacheField name="NOMBRE 2" numFmtId="0">
      <sharedItems containsNonDate="0" containsString="0" containsBlank="1"/>
    </cacheField>
    <cacheField name="CARGO" numFmtId="0">
      <sharedItems containsNonDate="0" containsString="0" containsBlank="1"/>
    </cacheField>
    <cacheField name="FECHA INICIAL DE INCAPACIDAD" numFmtId="0">
      <sharedItems containsNonDate="0" containsString="0" containsBlank="1"/>
    </cacheField>
    <cacheField name="FECHA FINAL DE INCAPACIDAD" numFmtId="0">
      <sharedItems containsNonDate="0" containsString="0" containsBlank="1"/>
    </cacheField>
    <cacheField name="DÍAS DE INCAPACIDAD" numFmtId="0">
      <sharedItems containsNonDate="0" containsString="0" containsBlank="1"/>
    </cacheField>
    <cacheField name="PRORROGA" numFmtId="0">
      <sharedItems containsNonDate="0" containsBlank="1" count="3">
        <m/>
        <s v="SI" u="1"/>
        <s v="X" u="1"/>
      </sharedItems>
    </cacheField>
    <cacheField name="EXAMEN POST-INCAPACIDAD" numFmtId="14">
      <sharedItems containsNonDate="0" containsString="0" containsBlank="1"/>
    </cacheField>
    <cacheField name="ORIGEN DE LA INCAPACIDAD" numFmtId="0">
      <sharedItems containsNonDate="0" containsBlank="1" count="14">
        <m/>
        <s v="ACCIDENTE LABORAL" u="1"/>
        <s v="LICENCIA DE_x000a_ PATERNIDAD" u="1"/>
        <s v="ENFERMEDAD _x000a_GENERAL" u="1"/>
        <s v="ENFERMEDAD GENERAL" u="1"/>
        <s v="ACCIDENTE DE TRABAJO" u="1"/>
        <s v="ACCIDENTE DE _x000a_TRABAJO" u="1"/>
        <s v="ACCIDENTE DE TRABJO-TRANSITO" u="1"/>
        <s v="ACCIDENTE _x000a_DE TRANSITO" u="1"/>
        <s v="ACCIDENTE DE_x000a_ TRANSITO" u="1"/>
        <s v="ACCIDENTE DE TRABAJO Y TRANSITO" u="1"/>
        <s v="LICENCIA DE MATERNIDAD" u="1"/>
        <s v="LICENCIA DE PATERNIDAD" u="1"/>
        <s v="LICENCIA_x000a_ MATERNIDAD" u="1"/>
      </sharedItems>
    </cacheField>
    <cacheField name="CÓDIGO DIAGNOSTICO" numFmtId="0">
      <sharedItems containsNonDate="0" containsString="0" containsBlank="1"/>
    </cacheField>
    <cacheField name="DESCRIPCIÓN DE LA CATEGORÍA DE LA CONDICIÓN DE SALUD" numFmtId="0">
      <sharedItems containsNonDate="0" containsString="0" containsBlank="1"/>
    </cacheField>
    <cacheField name="EPS-ARL" numFmtId="0">
      <sharedItems containsNonDate="0" containsString="0" containsBlank="1"/>
    </cacheField>
    <cacheField name="FECHA RADICACION_x000a_(DD/MM/AAAA)" numFmtId="0">
      <sharedItems containsNonDate="0" containsString="0" containsBlank="1"/>
    </cacheField>
    <cacheField name="FECHA PAGO_x000a_(DD/MM/AAAA)" numFmtId="0">
      <sharedItems containsNonDate="0" containsString="0" containsBlank="1"/>
    </cacheField>
    <cacheField name="VALOR_x000a_CANCELADO" numFmtId="0">
      <sharedItems containsNonDate="0" containsString="0" containsBlank="1"/>
    </cacheField>
    <cacheField name="OBSERVACIONES" numFmtId="0">
      <sharedItems containsNonDate="0" containsString="0" containsBlank="1"/>
    </cacheField>
    <cacheField name="SALARIO BASE" numFmtId="0">
      <sharedItems containsNonDate="0" containsString="0" containsBlank="1"/>
    </cacheField>
    <cacheField name="COSTOS ASUMIDOS A.T." numFmtId="0">
      <sharedItems containsNonDate="0" containsString="0" containsBlank="1"/>
    </cacheField>
    <cacheField name="COSTOS ASUMIDOS A.C. - E.G."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Martinez" refreshedDate="45281.500412499998" createdVersion="7" refreshedVersion="8" minRefreshableVersion="3" recordCount="907" xr:uid="{00000000-000A-0000-FFFF-FFFF05000000}">
  <cacheSource type="worksheet">
    <worksheetSource name="Tabla2"/>
  </cacheSource>
  <cacheFields count="25">
    <cacheField name="MES DEL EVENTO" numFmtId="0">
      <sharedItems containsString="0" containsBlank="1" containsNumber="1" containsInteger="1" minValue="1" maxValue="12" count="13">
        <n v="1"/>
        <n v="2"/>
        <n v="3"/>
        <n v="4"/>
        <n v="8"/>
        <n v="5"/>
        <n v="6"/>
        <n v="9"/>
        <n v="7"/>
        <n v="10"/>
        <n v="11"/>
        <n v="12"/>
        <m/>
      </sharedItems>
    </cacheField>
    <cacheField name="CEDULA" numFmtId="0">
      <sharedItems containsString="0" containsBlank="1" containsNumber="1" containsInteger="1" minValue="3411306" maxValue="1216722770"/>
    </cacheField>
    <cacheField name="APELLIDO 1" numFmtId="0">
      <sharedItems containsBlank="1"/>
    </cacheField>
    <cacheField name="APELLIDO 2" numFmtId="0">
      <sharedItems containsBlank="1"/>
    </cacheField>
    <cacheField name="NOMBRE 1" numFmtId="0">
      <sharedItems containsBlank="1"/>
    </cacheField>
    <cacheField name="NOMBRE 2" numFmtId="0">
      <sharedItems containsBlank="1"/>
    </cacheField>
    <cacheField name="CARGO" numFmtId="0">
      <sharedItems containsBlank="1"/>
    </cacheField>
    <cacheField name="FECHA INICIAL DE INCAPACIDAD" numFmtId="0">
      <sharedItems containsNonDate="0" containsDate="1" containsString="0" containsBlank="1" minDate="2022-01-05T00:00:00" maxDate="2023-12-20T00:00:00"/>
    </cacheField>
    <cacheField name="FECHA FINAL DE INCAPACIDAD" numFmtId="0">
      <sharedItems containsNonDate="0" containsDate="1" containsString="0" containsBlank="1" minDate="2022-02-22T00:00:00" maxDate="2024-01-10T00:00:00"/>
    </cacheField>
    <cacheField name="DÍAS DE INCAPACIDAD" numFmtId="0">
      <sharedItems containsString="0" containsBlank="1" containsNumber="1" containsInteger="1" minValue="1" maxValue="30"/>
    </cacheField>
    <cacheField name="DIAS INC DENTRO DEL MES" numFmtId="0">
      <sharedItems containsString="0" containsBlank="1" containsNumber="1" containsInteger="1" minValue="1" maxValue="30"/>
    </cacheField>
    <cacheField name="PRORROGA" numFmtId="0">
      <sharedItems containsBlank="1"/>
    </cacheField>
    <cacheField name="EXAMEN POST-INCAPACIDAD" numFmtId="0">
      <sharedItems containsBlank="1"/>
    </cacheField>
    <cacheField name="ORIGEN DE LA INCAPACIDAD" numFmtId="0">
      <sharedItems containsBlank="1" count="9">
        <s v="ENFERMEDAD GENERAL"/>
        <s v="ACCIDENTE DE TRABAJO"/>
        <s v="LICENCIA DE PATERNIDAD"/>
        <m/>
        <s v="ENFERMEDAD LABORAL" u="1"/>
        <s v="ENFERMDAD GENERAL" u="1"/>
        <s v="ENNFERMEDAD GENERAL" u="1"/>
        <s v="ACCIDENTE TRABAJO " u="1"/>
        <s v="ACCIDENTE DE TRANSITO " u="1"/>
      </sharedItems>
    </cacheField>
    <cacheField name="CÓDIGO DIAGNOSTICO" numFmtId="0">
      <sharedItems containsBlank="1"/>
    </cacheField>
    <cacheField name="DESCRIPCIÓN DE LA CATEGORÍA DE LA CONDICIÓN DE SALUD" numFmtId="0">
      <sharedItems/>
    </cacheField>
    <cacheField name="EPS-ARL" numFmtId="0">
      <sharedItems containsBlank="1"/>
    </cacheField>
    <cacheField name="N° RADICADO" numFmtId="0">
      <sharedItems containsBlank="1" containsMixedTypes="1" containsNumber="1" containsInteger="1" minValue="0" maxValue="12142315146"/>
    </cacheField>
    <cacheField name="FECHA RADICACION_x000a_(DD/MM/AAAA)" numFmtId="0">
      <sharedItems containsDate="1" containsBlank="1" containsMixedTypes="1" minDate="1899-12-31T00:00:00" maxDate="2023-12-22T00:00:00"/>
    </cacheField>
    <cacheField name="FECHA PAGO_x000a_(DD/MM/AAAA)" numFmtId="0">
      <sharedItems containsDate="1" containsBlank="1" containsMixedTypes="1" minDate="1899-12-31T00:00:00" maxDate="2023-12-13T00:00:00"/>
    </cacheField>
    <cacheField name="VALOR_x000a_CANCELADO" numFmtId="0">
      <sharedItems containsBlank="1" containsMixedTypes="1" containsNumber="1" containsInteger="1" minValue="0" maxValue="1426646"/>
    </cacheField>
    <cacheField name="OBSERVACIONES" numFmtId="0">
      <sharedItems containsBlank="1"/>
    </cacheField>
    <cacheField name="SALARIO BASE" numFmtId="0">
      <sharedItems containsBlank="1" containsMixedTypes="1" containsNumber="1" containsInteger="1" minValue="36667" maxValue="1272005"/>
    </cacheField>
    <cacheField name="COSTOS ASUMIDOS A.T." numFmtId="0">
      <sharedItems containsString="0" containsBlank="1" containsNumber="1" containsInteger="1" minValue="0" maxValue="42400"/>
    </cacheField>
    <cacheField name="COSTOS ASUMIDOS A.C. - E.G." numFmtId="0">
      <sharedItems containsString="0" containsBlank="1" containsNumber="1" containsInteger="1" minValue="0" maxValue="424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558">
  <r>
    <x v="0"/>
    <n v="70786990"/>
    <s v="LEON"/>
    <s v="JIMENEZ"/>
    <s v="DAYRON"/>
    <s v="DE JESUS"/>
    <s v="VIGILANTE"/>
    <x v="0"/>
    <d v="2021-01-01T00:00:00"/>
    <d v="2021-01-02T00:00:00"/>
    <n v="1"/>
    <m/>
    <s v="PERMISO NO REMUNERADO"/>
    <m/>
    <m/>
    <m/>
    <m/>
  </r>
  <r>
    <x v="0"/>
    <n v="70252687"/>
    <s v="MAZO"/>
    <s v="RAMIREZ"/>
    <s v="IVAN"/>
    <s v="DARIO"/>
    <s v="VIGILANTE"/>
    <x v="0"/>
    <d v="2021-01-08T00:00:00"/>
    <d v="2021-01-09T00:00:00"/>
    <n v="1"/>
    <m/>
    <s v="PERMISO NO REMUNERADO"/>
    <m/>
    <m/>
    <m/>
    <m/>
  </r>
  <r>
    <x v="0"/>
    <n v="1037591521"/>
    <s v="GONZALES"/>
    <s v="RIOS"/>
    <s v="CATALINA"/>
    <m/>
    <s v="VIGILANTE"/>
    <x v="1"/>
    <d v="2021-01-04T00:00:00"/>
    <d v="2021-01-05T00:00:00"/>
    <n v="1"/>
    <n v="4"/>
    <s v="PRIMERA VEZ"/>
    <m/>
    <m/>
    <m/>
    <m/>
  </r>
  <r>
    <x v="0"/>
    <n v="71215189"/>
    <s v="GALVIS"/>
    <s v="LOPERA"/>
    <s v="RODRIGO"/>
    <m/>
    <s v="VIGILANTE"/>
    <x v="1"/>
    <d v="2021-01-09T00:00:00"/>
    <d v="2021-01-13T00:00:00"/>
    <n v="5"/>
    <n v="22"/>
    <s v="PRIMERA VEZ"/>
    <m/>
    <m/>
    <m/>
    <m/>
  </r>
  <r>
    <x v="1"/>
    <n v="11382027"/>
    <s v="PRIETO"/>
    <m/>
    <s v="NESTOR"/>
    <s v="EDILBERTO"/>
    <s v="VIGILANTE"/>
    <x v="0"/>
    <d v="2021-12-31T00:00:00"/>
    <d v="2021-01-06T00:00:00"/>
    <n v="5"/>
    <m/>
    <s v="DEFUNCION DE FAMILIAR"/>
    <m/>
    <m/>
    <m/>
    <m/>
  </r>
  <r>
    <x v="0"/>
    <n v="1001385623"/>
    <s v="RAMIREZ"/>
    <s v="OSORIO"/>
    <s v="LUIS"/>
    <s v="FELIPE"/>
    <s v="VIGILANTE"/>
    <x v="0"/>
    <d v="2021-01-07T00:00:00"/>
    <d v="2021-01-07T00:00:00"/>
    <n v="1"/>
    <m/>
    <s v="PERMISO NO REMUNERADO"/>
    <m/>
    <m/>
    <m/>
    <m/>
  </r>
  <r>
    <x v="0"/>
    <n v="1101456560"/>
    <s v="SARMIENTO"/>
    <s v="AGRESOTH"/>
    <s v="CARMELO"/>
    <m/>
    <s v="VIGILANTE"/>
    <x v="1"/>
    <d v="2021-01-12T00:00:00"/>
    <d v="2021-01-14T00:00:00"/>
    <n v="3"/>
    <n v="10"/>
    <s v="PRIMERA VEZ"/>
    <m/>
    <m/>
    <m/>
    <m/>
  </r>
  <r>
    <x v="0"/>
    <n v="71336647"/>
    <s v="VARGAS"/>
    <s v="VELEZ"/>
    <s v="FABIAN "/>
    <s v="DE JESUS"/>
    <s v="VIGILANTE"/>
    <x v="1"/>
    <d v="2021-01-12T00:00:00"/>
    <d v="2021-01-16T00:00:00"/>
    <n v="5"/>
    <n v="1"/>
    <s v="PRIMERA VEZ"/>
    <m/>
    <m/>
    <m/>
    <m/>
  </r>
  <r>
    <x v="0"/>
    <n v="1036673647"/>
    <s v="ECHEVERRY"/>
    <s v="VILLEGAS"/>
    <s v="JUAN"/>
    <s v="DIEGO"/>
    <s v="VIGILANTE"/>
    <x v="1"/>
    <d v="2021-01-13T00:00:00"/>
    <d v="2020-01-15T00:00:00"/>
    <n v="3"/>
    <n v="2"/>
    <s v="TERCERA VEZ"/>
    <m/>
    <m/>
    <m/>
    <m/>
  </r>
  <r>
    <x v="0"/>
    <n v="15385965"/>
    <s v="BLANDON"/>
    <m/>
    <s v="JOHN"/>
    <s v="ALEJANDRO"/>
    <s v="VIGILANTE"/>
    <x v="1"/>
    <d v="2021-01-14T00:00:00"/>
    <d v="2021-01-16T00:00:00"/>
    <n v="3"/>
    <n v="6"/>
    <s v="SEGUNDA VEZ"/>
    <m/>
    <m/>
    <m/>
    <m/>
  </r>
  <r>
    <x v="0"/>
    <n v="15385965"/>
    <s v="BLANDON"/>
    <m/>
    <s v="JOHN"/>
    <s v="ALEJANDRO"/>
    <s v="VIGILANTE"/>
    <x v="1"/>
    <d v="2021-01-14T00:00:00"/>
    <d v="2021-01-18T00:00:00"/>
    <n v="5"/>
    <n v="1"/>
    <s v="PRIMERA VEZ"/>
    <m/>
    <m/>
    <m/>
    <m/>
  </r>
  <r>
    <x v="0"/>
    <n v="1002488126"/>
    <s v="MENCO"/>
    <s v="JIMENEZ"/>
    <s v="EMIL"/>
    <s v="DANIEL"/>
    <s v="VIGILANTE"/>
    <x v="1"/>
    <d v="2021-01-14T00:00:00"/>
    <d v="2021-01-16T00:00:00"/>
    <n v="3"/>
    <n v="10"/>
    <s v="PRIMERA VEZ"/>
    <m/>
    <m/>
    <m/>
    <m/>
  </r>
  <r>
    <x v="0"/>
    <n v="1066728531"/>
    <s v="MEZA"/>
    <s v="VARILLA"/>
    <s v="CESAR"/>
    <s v="TULIO"/>
    <s v="VIGILANTE"/>
    <x v="1"/>
    <d v="2021-01-18T00:00:00"/>
    <d v="2021-01-22T00:00:00"/>
    <n v="5"/>
    <n v="10"/>
    <s v="SEGUNDA VEZ"/>
    <m/>
    <m/>
    <m/>
    <m/>
  </r>
  <r>
    <x v="0"/>
    <n v="3556779"/>
    <s v="OSORIO"/>
    <s v="SUAREZ"/>
    <s v="JHONNY"/>
    <s v="ANDRES"/>
    <s v="VIGILANTE"/>
    <x v="1"/>
    <d v="2021-01-18T00:00:00"/>
    <d v="2021-01-18T00:00:00"/>
    <n v="1"/>
    <n v="6"/>
    <s v="PRIMERA VEZ"/>
    <m/>
    <m/>
    <m/>
    <m/>
  </r>
  <r>
    <x v="0"/>
    <n v="15387295"/>
    <s v="GARCIA"/>
    <s v="MORENO"/>
    <s v="HECTOR"/>
    <s v="ADRIAN"/>
    <s v="VIGILANTE"/>
    <x v="2"/>
    <d v="2021-01-16T00:00:00"/>
    <d v="2021-02-02T00:00:00"/>
    <n v="18"/>
    <m/>
    <m/>
    <m/>
    <m/>
    <m/>
    <m/>
  </r>
  <r>
    <x v="0"/>
    <n v="15512047"/>
    <s v="CORDOBA"/>
    <m/>
    <s v="JORGE "/>
    <s v="HUMBERTO"/>
    <s v="VIGILANTE"/>
    <x v="2"/>
    <d v="2021-01-20T00:00:00"/>
    <s v="06/02/20241"/>
    <m/>
    <m/>
    <m/>
    <m/>
    <m/>
    <m/>
    <m/>
  </r>
  <r>
    <x v="0"/>
    <n v="8473731"/>
    <s v="BETANCUR"/>
    <s v="ALVAREZ"/>
    <s v="FRANCISCO "/>
    <s v="ERNESTO"/>
    <s v="VIGILANTE"/>
    <x v="1"/>
    <d v="2021-01-18T00:00:00"/>
    <d v="2021-01-22T00:00:00"/>
    <n v="5"/>
    <n v="6"/>
    <s v="TERCERA VEZ"/>
    <m/>
    <m/>
    <m/>
    <m/>
  </r>
  <r>
    <x v="0"/>
    <n v="11807740"/>
    <s v="RIVAS"/>
    <s v="MOSQUERA"/>
    <s v="LEIXER"/>
    <s v="MARTIN"/>
    <s v="VIGILANTE"/>
    <x v="1"/>
    <d v="2021-01-18T00:00:00"/>
    <d v="2021-01-18T00:00:00"/>
    <n v="1"/>
    <n v="4"/>
    <s v="PRIMERA VEZ"/>
    <m/>
    <m/>
    <m/>
    <m/>
  </r>
  <r>
    <x v="0"/>
    <n v="8433227"/>
    <s v="PEREZ"/>
    <s v="SIERRA"/>
    <s v="CESAR"/>
    <s v="AUGUSTO"/>
    <s v="VIGILANTE"/>
    <x v="1"/>
    <d v="2021-01-19T00:00:00"/>
    <s v="23/01/201"/>
    <n v="5"/>
    <n v="22"/>
    <s v="PRIMERA VEZ"/>
    <m/>
    <m/>
    <m/>
    <m/>
  </r>
  <r>
    <x v="0"/>
    <n v="15512047"/>
    <s v="CORDOBA"/>
    <m/>
    <s v="JORGE "/>
    <s v="HUMBERTO"/>
    <s v="VIGILANTE"/>
    <x v="2"/>
    <d v="2021-01-20T00:00:00"/>
    <d v="2021-02-06T00:00:00"/>
    <n v="17"/>
    <m/>
    <m/>
    <m/>
    <m/>
    <m/>
    <m/>
  </r>
  <r>
    <x v="0"/>
    <n v="8338283"/>
    <s v="RODRIGUEZ"/>
    <s v="RESTREPO"/>
    <s v="WILMAR"/>
    <m/>
    <s v="VIGILANTE"/>
    <x v="2"/>
    <d v="2021-01-22T00:00:00"/>
    <d v="2021-02-09T00:00:00"/>
    <n v="18"/>
    <m/>
    <s v="VACACIONES"/>
    <m/>
    <m/>
    <m/>
    <m/>
  </r>
  <r>
    <x v="0"/>
    <n v="3523310"/>
    <s v="MONSALVE"/>
    <s v="DUQUE"/>
    <s v="WILMAR"/>
    <s v="ALEXIS"/>
    <s v="VIGILANTE"/>
    <x v="2"/>
    <d v="2021-01-20T00:00:00"/>
    <s v="06/02/201"/>
    <n v="17"/>
    <m/>
    <s v="VACACIONES"/>
    <m/>
    <m/>
    <m/>
    <m/>
  </r>
  <r>
    <x v="0"/>
    <n v="1026303619"/>
    <s v="ORDOÑEZ"/>
    <s v="ORTEGA"/>
    <s v="YAMIR"/>
    <m/>
    <s v="VIGILANTE"/>
    <x v="2"/>
    <d v="2021-01-02T00:00:00"/>
    <d v="2021-01-21T00:00:00"/>
    <n v="15"/>
    <m/>
    <s v="VACACIONES"/>
    <m/>
    <m/>
    <m/>
    <m/>
  </r>
  <r>
    <x v="0"/>
    <n v="1102229670"/>
    <s v="DIAZ"/>
    <s v="AVILA"/>
    <s v="FREDY"/>
    <s v="JOSE"/>
    <s v="VIGILANTE"/>
    <x v="2"/>
    <d v="2021-01-02T00:00:00"/>
    <d v="2021-01-16T00:00:00"/>
    <n v="15"/>
    <m/>
    <s v="VACACIONES"/>
    <m/>
    <m/>
    <m/>
    <m/>
  </r>
  <r>
    <x v="0"/>
    <n v="71350429"/>
    <s v="BERRIO"/>
    <m/>
    <s v="JOSE"/>
    <s v="MARTINEZ"/>
    <s v="VIGILANTE"/>
    <x v="0"/>
    <d v="2021-01-09T00:00:00"/>
    <d v="2021-01-09T00:00:00"/>
    <n v="1"/>
    <m/>
    <s v="PERMISO NO REMUNERADO"/>
    <m/>
    <m/>
    <m/>
    <m/>
  </r>
  <r>
    <x v="0"/>
    <n v="37577994"/>
    <s v="BENITEZ"/>
    <s v="MONSALVE"/>
    <s v="SOLIRIS"/>
    <m/>
    <s v="VIGILANTE"/>
    <x v="2"/>
    <d v="2021-01-05T00:00:00"/>
    <d v="2021-01-17T00:00:00"/>
    <n v="13"/>
    <m/>
    <s v="VACACIONES"/>
    <m/>
    <m/>
    <m/>
    <m/>
  </r>
  <r>
    <x v="0"/>
    <n v="70416611"/>
    <s v="VASCO"/>
    <m/>
    <s v="LUIS"/>
    <s v="ANTONIO"/>
    <s v="SUPERVISOR"/>
    <x v="2"/>
    <d v="2021-01-16T00:00:00"/>
    <d v="2021-02-04T00:00:00"/>
    <n v="18"/>
    <m/>
    <s v="VACACIONES"/>
    <m/>
    <m/>
    <m/>
    <m/>
  </r>
  <r>
    <x v="0"/>
    <n v="71670655"/>
    <s v="LOMDOÑO"/>
    <s v="CORREA"/>
    <s v="FRANCISCO "/>
    <s v="JAVIER"/>
    <s v="VIGILANTE"/>
    <x v="0"/>
    <d v="2021-01-24T00:00:00"/>
    <d v="2021-01-24T00:00:00"/>
    <n v="1"/>
    <m/>
    <s v="PERMISO NO REMUNERADO"/>
    <m/>
    <m/>
    <m/>
    <m/>
  </r>
  <r>
    <x v="0"/>
    <n v="1017134945"/>
    <s v="GOMEZ"/>
    <s v="CORREA"/>
    <s v="KATHERINE"/>
    <m/>
    <s v="VIGILANTE"/>
    <x v="0"/>
    <d v="2021-01-30T00:00:00"/>
    <d v="2021-01-30T00:00:00"/>
    <n v="1"/>
    <m/>
    <s v="PERMISO NO REMUNERADO"/>
    <m/>
    <m/>
    <m/>
    <m/>
  </r>
  <r>
    <x v="0"/>
    <n v="71985173"/>
    <s v="PUERTA"/>
    <m/>
    <s v="WILMAR"/>
    <m/>
    <s v="VIGILANTE"/>
    <x v="0"/>
    <d v="2021-01-19T00:00:00"/>
    <d v="2021-01-19T00:00:00"/>
    <n v="1"/>
    <m/>
    <s v="PERMISO NO REMUNERADO"/>
    <m/>
    <m/>
    <m/>
    <m/>
  </r>
  <r>
    <x v="0"/>
    <n v="70162686"/>
    <s v="PARRA"/>
    <m/>
    <s v="LIOCADIO"/>
    <m/>
    <s v="VIGILANTE"/>
    <x v="0"/>
    <d v="2021-01-23T00:00:00"/>
    <d v="2021-01-28T00:00:00"/>
    <n v="3"/>
    <m/>
    <s v="TENER EN CUENTA QUE DESCANSO 26 Y 27 DE ENERO, PERMISO NO REMUNERADO"/>
    <m/>
    <m/>
    <m/>
    <m/>
  </r>
  <r>
    <x v="0"/>
    <n v="98577033"/>
    <s v="GIRALDO"/>
    <s v="ARISTIZABAL"/>
    <s v="JAIRO"/>
    <m/>
    <s v="VIGILANTE"/>
    <x v="0"/>
    <d v="2021-01-23T00:00:00"/>
    <d v="2021-01-24T00:00:00"/>
    <n v="2"/>
    <m/>
    <s v="PERMISO NO REMUNERADO"/>
    <m/>
    <m/>
    <m/>
    <m/>
  </r>
  <r>
    <x v="0"/>
    <n v="98577033"/>
    <s v="GIRALDO"/>
    <s v="ARISTIZABAL"/>
    <s v="JAIRO"/>
    <m/>
    <s v="VIGILANTE"/>
    <x v="0"/>
    <d v="2021-01-30T00:00:00"/>
    <d v="2021-01-31T00:00:00"/>
    <n v="2"/>
    <m/>
    <s v="PERMISO NO REMUNERADO"/>
    <m/>
    <m/>
    <m/>
    <m/>
  </r>
  <r>
    <x v="0"/>
    <n v="1038336117"/>
    <s v="ARENAS"/>
    <s v="VASQUEZ"/>
    <s v="SILVIA"/>
    <s v="MARIA"/>
    <s v="VIGILANTE"/>
    <x v="0"/>
    <s v="7/01/202"/>
    <d v="2021-01-08T00:00:00"/>
    <n v="2"/>
    <m/>
    <s v="PERMISO NO REMUNERADO"/>
    <m/>
    <m/>
    <m/>
    <m/>
  </r>
  <r>
    <x v="0"/>
    <n v="1038063111"/>
    <s v="DEPENTIL"/>
    <s v="HINCAPIE"/>
    <s v="ANDRES"/>
    <s v="FELIPE"/>
    <s v="VIGILANTE"/>
    <x v="0"/>
    <d v="2021-01-09T00:00:00"/>
    <d v="2021-01-12T00:00:00"/>
    <n v="4"/>
    <m/>
    <s v="PERMISO NO REMUNERADO"/>
    <m/>
    <m/>
    <m/>
    <m/>
  </r>
  <r>
    <x v="0"/>
    <n v="71293877"/>
    <s v="VILLA"/>
    <s v="BALBIN"/>
    <s v="CARLOS"/>
    <s v="ANDRES"/>
    <s v="VIGILANTE"/>
    <x v="0"/>
    <d v="2021-01-10T00:00:00"/>
    <d v="2021-01-10T00:00:00"/>
    <n v="1"/>
    <m/>
    <s v="PERMISO NO REMUNERADO"/>
    <m/>
    <m/>
    <m/>
    <m/>
  </r>
  <r>
    <x v="0"/>
    <n v="70165783"/>
    <s v="GUZMAN"/>
    <m/>
    <s v="ALBEIRO"/>
    <m/>
    <s v="VIGILANTE"/>
    <x v="0"/>
    <d v="2021-01-14T00:00:00"/>
    <d v="2021-01-15T00:00:00"/>
    <n v="1"/>
    <m/>
    <s v="PERMISO NO REMUNERADO"/>
    <m/>
    <m/>
    <m/>
    <m/>
  </r>
  <r>
    <x v="0"/>
    <n v="70851012"/>
    <s v="OSPINA"/>
    <s v="RIOS"/>
    <s v="CRISTOBAL"/>
    <m/>
    <s v="VIGILANTE"/>
    <x v="0"/>
    <d v="2021-01-17T00:00:00"/>
    <d v="2021-01-18T00:00:00"/>
    <n v="1"/>
    <m/>
    <s v="PERMISO NO REMUNERADO"/>
    <m/>
    <m/>
    <m/>
    <m/>
  </r>
  <r>
    <x v="0"/>
    <n v="15305525"/>
    <s v="MOLZO"/>
    <s v="VILLERO"/>
    <s v="GILDARDO"/>
    <s v="DE JESUS"/>
    <s v="VIGILANTE"/>
    <x v="0"/>
    <d v="2021-01-10T00:00:00"/>
    <d v="2021-01-11T00:00:00"/>
    <n v="1"/>
    <m/>
    <s v="PERMISO NO REMUNERADO"/>
    <m/>
    <m/>
    <m/>
    <m/>
  </r>
  <r>
    <x v="0"/>
    <n v="92258917"/>
    <s v="CANCHILA"/>
    <s v="PEREZ"/>
    <s v="PEDRO"/>
    <s v="ANTONIO"/>
    <s v="VIGILANTE"/>
    <x v="0"/>
    <d v="2021-01-15T00:00:00"/>
    <d v="2021-01-17T00:00:00"/>
    <n v="3"/>
    <m/>
    <s v="PERMISO NO REMUNERADO"/>
    <m/>
    <m/>
    <m/>
    <m/>
  </r>
  <r>
    <x v="0"/>
    <n v="15506392"/>
    <s v="MUÑOZ"/>
    <s v="ORTIZ"/>
    <s v="RUBEN"/>
    <s v="DARIO"/>
    <s v="VIGILANTE"/>
    <x v="0"/>
    <d v="2021-01-03T00:00:00"/>
    <d v="2021-01-04T00:00:00"/>
    <n v="1"/>
    <m/>
    <s v="PERMISO NO REMUNERADO"/>
    <m/>
    <m/>
    <m/>
    <m/>
  </r>
  <r>
    <x v="1"/>
    <n v="98481612"/>
    <s v="BALDERRAMA"/>
    <s v="GONZALEZ"/>
    <s v="WITNEY"/>
    <s v="DE JESUS"/>
    <s v="VIGILANTE"/>
    <x v="0"/>
    <d v="2020-12-06T00:00:00"/>
    <d v="2021-12-10T00:00:00"/>
    <n v="5"/>
    <m/>
    <s v="LIENCIA DE LUTO"/>
    <m/>
    <m/>
    <m/>
    <m/>
  </r>
  <r>
    <x v="1"/>
    <n v="1128454334"/>
    <s v="TORO"/>
    <s v="TORO"/>
    <s v="CRISTIAN "/>
    <s v="CAMILO"/>
    <s v="VIGILANTE"/>
    <x v="0"/>
    <d v="2020-12-29T00:00:00"/>
    <d v="2021-01-04T00:00:00"/>
    <n v="5"/>
    <m/>
    <s v="LICENCIA MATRIMONIO"/>
    <m/>
    <m/>
    <m/>
    <m/>
  </r>
  <r>
    <x v="0"/>
    <n v="1036689665"/>
    <s v="AGUIRRE"/>
    <s v="RIOS"/>
    <s v="DANIEL"/>
    <s v="ESTIVEN"/>
    <s v="VIGILANTE"/>
    <x v="0"/>
    <d v="2021-01-10T00:00:00"/>
    <d v="2020-01-16T00:00:00"/>
    <n v="5"/>
    <m/>
    <s v="LIENCIA DE LUTO"/>
    <m/>
    <m/>
    <m/>
    <m/>
  </r>
  <r>
    <x v="0"/>
    <n v="71389171"/>
    <s v="RESTREPO "/>
    <s v="SILVA"/>
    <s v="WILLY "/>
    <s v="FRANKLIN"/>
    <s v="VIGILANTE"/>
    <x v="0"/>
    <d v="2021-01-05T00:00:00"/>
    <d v="2021-01-09T00:00:00"/>
    <n v="5"/>
    <m/>
    <s v="LIENCIA DE LUTO"/>
    <m/>
    <m/>
    <m/>
    <m/>
  </r>
  <r>
    <x v="0"/>
    <n v="11382027"/>
    <s v="PRIETO"/>
    <m/>
    <s v="NESTOR"/>
    <s v="EDILBERTO"/>
    <s v="VIGILANTE"/>
    <x v="0"/>
    <d v="2021-12-31T00:00:00"/>
    <d v="2021-01-06T00:00:00"/>
    <n v="5"/>
    <m/>
    <s v="LIENCIA DE LUTO"/>
    <m/>
    <m/>
    <m/>
    <m/>
  </r>
  <r>
    <x v="0"/>
    <n v="5632471"/>
    <s v="TOLOZA"/>
    <s v="MOGOLLON"/>
    <s v="JOSE"/>
    <s v="HERNANDO"/>
    <s v="VIGILANTE"/>
    <x v="0"/>
    <d v="2021-01-14T00:00:00"/>
    <d v="2021-01-18T00:00:00"/>
    <n v="5"/>
    <m/>
    <s v="INCAPACIDAD FOSYGA/"/>
    <m/>
    <m/>
    <m/>
    <m/>
  </r>
  <r>
    <x v="0"/>
    <n v="12625299"/>
    <s v="LAZALA"/>
    <s v="PATERNINA"/>
    <s v="LINO"/>
    <s v="ALBERTO"/>
    <s v="VIGILANTE"/>
    <x v="0"/>
    <d v="2021-01-12T00:00:00"/>
    <d v="2021-01-16T00:00:00"/>
    <n v="5"/>
    <m/>
    <s v="LIENCIA DE LUTO"/>
    <m/>
    <m/>
    <m/>
    <m/>
  </r>
  <r>
    <x v="0"/>
    <n v="1001385623"/>
    <s v="RAMIREZ"/>
    <s v="OSORIO"/>
    <s v="LUIS"/>
    <s v="FELIPE"/>
    <s v="VIGILANTE"/>
    <x v="0"/>
    <d v="2021-01-08T00:00:00"/>
    <d v="2021-01-12T00:00:00"/>
    <n v="5"/>
    <m/>
    <s v="PERMISO NO REMUNERADO"/>
    <m/>
    <m/>
    <m/>
    <m/>
  </r>
  <r>
    <x v="0"/>
    <n v="71193583"/>
    <s v="GUTIERREZ"/>
    <m/>
    <s v="JUAN"/>
    <s v="CAMILO"/>
    <s v="VIGILANTE"/>
    <x v="0"/>
    <d v="2021-01-12T00:00:00"/>
    <d v="2021-01-12T00:00:00"/>
    <n v="1"/>
    <m/>
    <s v="PERMISO NO REMUNERADO"/>
    <m/>
    <m/>
    <m/>
    <m/>
  </r>
  <r>
    <x v="0"/>
    <n v="8056876"/>
    <s v="MONSALVE"/>
    <s v="ARIAS"/>
    <s v="FERNANDO "/>
    <s v="ALIRIO"/>
    <s v="VIGILANTE"/>
    <x v="0"/>
    <d v="2021-01-13T00:00:00"/>
    <d v="2021-01-14T00:00:00"/>
    <n v="2"/>
    <m/>
    <s v="PERMISO NO REMUNERADO"/>
    <m/>
    <m/>
    <m/>
    <m/>
  </r>
  <r>
    <x v="0"/>
    <n v="71651935"/>
    <s v="CARDONA"/>
    <s v="RODRIGUEZ"/>
    <s v="JUAN"/>
    <s v="CARLOS"/>
    <s v="VIGILANTE"/>
    <x v="0"/>
    <d v="2021-01-16T00:00:00"/>
    <d v="2021-01-18T00:00:00"/>
    <n v="2"/>
    <m/>
    <s v="PERMISO NO REMUNERADO"/>
    <m/>
    <m/>
    <m/>
    <m/>
  </r>
  <r>
    <x v="0"/>
    <n v="1152441472"/>
    <s v="SALDARRIAGA"/>
    <m/>
    <s v="YENIFER"/>
    <m/>
    <s v="VIGILANTE"/>
    <x v="0"/>
    <d v="2021-01-30T00:00:00"/>
    <d v="2021-01-31T00:00:00"/>
    <n v="2"/>
    <m/>
    <s v="PERMISO NO REMUNERADO"/>
    <m/>
    <m/>
    <m/>
    <m/>
  </r>
  <r>
    <x v="0"/>
    <n v="43709768"/>
    <s v="CASTRO"/>
    <s v="MARIN"/>
    <s v="DIANA"/>
    <s v="MARIA"/>
    <s v="VIGILANTE"/>
    <x v="0"/>
    <d v="2021-01-25T00:00:00"/>
    <d v="2021-01-26T00:00:00"/>
    <n v="1"/>
    <m/>
    <s v="PERMISO NO REMUNERADO"/>
    <m/>
    <m/>
    <m/>
    <m/>
  </r>
  <r>
    <x v="0"/>
    <n v="1007459477"/>
    <s v="OCAMPO"/>
    <m/>
    <s v="SEBSTIAN"/>
    <m/>
    <s v="VIGILANTE"/>
    <x v="0"/>
    <d v="2021-01-21T00:00:00"/>
    <d v="2021-01-22T00:00:00"/>
    <n v="1"/>
    <m/>
    <s v="PERMISO NO REMUNERADO"/>
    <m/>
    <m/>
    <m/>
    <m/>
  </r>
  <r>
    <x v="0"/>
    <n v="8466151"/>
    <s v="BETANCUR"/>
    <m/>
    <s v="CARLOS"/>
    <s v="ANDRES"/>
    <s v="VIGILANTE"/>
    <x v="0"/>
    <d v="2021-01-27T00:00:00"/>
    <d v="2021-01-27T00:00:00"/>
    <n v="1"/>
    <m/>
    <s v="PERMISO NO REMUNERADO"/>
    <m/>
    <m/>
    <m/>
    <m/>
  </r>
  <r>
    <x v="0"/>
    <n v="1013558221"/>
    <s v="AGUDELO"/>
    <s v="OSORIO"/>
    <s v="DANIEL"/>
    <s v="FERNANDO"/>
    <s v="VIGILANTE"/>
    <x v="1"/>
    <d v="2021-01-21T00:00:00"/>
    <d v="2021-01-25T00:00:00"/>
    <n v="5"/>
    <n v="20"/>
    <s v="TERCERA VEZ"/>
    <m/>
    <m/>
    <m/>
    <m/>
  </r>
  <r>
    <x v="0"/>
    <n v="1007243137"/>
    <s v="GODOY"/>
    <s v="OQUENDO"/>
    <s v="DIEGO"/>
    <s v="ALEXANDER"/>
    <s v="VIGILANTE"/>
    <x v="1"/>
    <d v="2021-01-22T00:00:00"/>
    <d v="2021-01-22T00:00:00"/>
    <n v="1"/>
    <n v="4"/>
    <s v="PRIMERA VEZ"/>
    <m/>
    <m/>
    <m/>
    <m/>
  </r>
  <r>
    <x v="0"/>
    <n v="1002497446"/>
    <s v="LOPEZ"/>
    <s v="MONTOYA"/>
    <s v="FAIDER"/>
    <s v="ALBERTO"/>
    <s v="VIGILANTE"/>
    <x v="0"/>
    <d v="2021-01-28T00:00:00"/>
    <d v="2021-01-28T00:00:00"/>
    <n v="1"/>
    <m/>
    <s v="LICENCIA DE LUTO"/>
    <m/>
    <m/>
    <m/>
    <m/>
  </r>
  <r>
    <x v="0"/>
    <n v="98700987"/>
    <s v="VELASQUEZ"/>
    <s v="ARANGO"/>
    <s v="JULIO "/>
    <s v="CESAR"/>
    <s v="VIGILANTE"/>
    <x v="0"/>
    <d v="2021-01-27T00:00:00"/>
    <d v="2021-01-31T00:00:00"/>
    <n v="5"/>
    <m/>
    <s v="LICENCIA DE LUTO"/>
    <m/>
    <m/>
    <m/>
    <m/>
  </r>
  <r>
    <x v="0"/>
    <n v="1102825707"/>
    <s v="BARRERA"/>
    <s v="BELTRAN"/>
    <s v="LEONEL"/>
    <s v="ARTURO"/>
    <s v="VIGILANTE"/>
    <x v="0"/>
    <d v="2021-01-31T00:00:00"/>
    <d v="2021-01-31T00:00:00"/>
    <n v="1"/>
    <m/>
    <s v="PERMISO NO REMUNERADO"/>
    <m/>
    <m/>
    <m/>
    <m/>
  </r>
  <r>
    <x v="0"/>
    <n v="1040378911"/>
    <s v="PEREZ"/>
    <s v="AMAYA"/>
    <s v="DIOSMAN"/>
    <m/>
    <s v="VIGILANTE"/>
    <x v="1"/>
    <d v="2021-01-21T00:00:00"/>
    <d v="2021-01-21T00:00:00"/>
    <n v="1"/>
    <n v="4"/>
    <s v="PRIMERA VEZ"/>
    <m/>
    <m/>
    <m/>
    <m/>
  </r>
  <r>
    <x v="0"/>
    <n v="71375285"/>
    <s v="HINCAPIE"/>
    <s v="RAMIREZ"/>
    <s v="YEREMY"/>
    <m/>
    <s v="VIGILANTE"/>
    <x v="2"/>
    <d v="2021-01-23T00:00:00"/>
    <s v="10/02/201"/>
    <n v="18"/>
    <m/>
    <s v="VACACIONES"/>
    <m/>
    <m/>
    <m/>
    <m/>
  </r>
  <r>
    <x v="0"/>
    <n v="1214727527"/>
    <s v="AGUDELO"/>
    <s v="PATIÑO"/>
    <s v="DUVAN"/>
    <m/>
    <s v="VIGILANTE"/>
    <x v="2"/>
    <d v="2021-01-26T00:00:00"/>
    <d v="2021-02-11T00:00:00"/>
    <n v="17"/>
    <m/>
    <s v="VACACIONES"/>
    <m/>
    <m/>
    <m/>
    <m/>
  </r>
  <r>
    <x v="0"/>
    <n v="1214727527"/>
    <s v="AGUDELO"/>
    <s v="PATIÑO"/>
    <s v="DUVAN"/>
    <m/>
    <s v="VIGILANTE"/>
    <x v="2"/>
    <d v="2021-02-12T00:00:00"/>
    <d v="2021-03-02T00:00:00"/>
    <n v="18"/>
    <m/>
    <s v="VACACIONES"/>
    <m/>
    <m/>
    <m/>
    <m/>
  </r>
  <r>
    <x v="0"/>
    <n v="71350429"/>
    <s v="MARTINEZ"/>
    <s v="BERRIO"/>
    <s v="JAVIER"/>
    <m/>
    <s v="VIGILANTE"/>
    <x v="0"/>
    <d v="2021-01-23T00:00:00"/>
    <d v="2021-01-24T00:00:00"/>
    <n v="3"/>
    <n v="10"/>
    <s v="PRIMERA VEZ"/>
    <m/>
    <m/>
    <m/>
    <m/>
  </r>
  <r>
    <x v="0"/>
    <n v="1216717124"/>
    <s v="AGUDELO"/>
    <s v="LONDOÑO"/>
    <s v="JUAN"/>
    <s v="PABLO"/>
    <s v="VIGILANTE"/>
    <x v="0"/>
    <d v="2021-01-26T00:00:00"/>
    <d v="2021-01-27T00:00:00"/>
    <n v="1"/>
    <m/>
    <s v="PERMISO NO REMUNERADO"/>
    <m/>
    <m/>
    <m/>
    <m/>
  </r>
  <r>
    <x v="0"/>
    <n v="8126753"/>
    <s v="CARVAJAL"/>
    <s v="ROBLEDO"/>
    <s v="SERGIO"/>
    <m/>
    <s v="VIGILANTE"/>
    <x v="0"/>
    <d v="2021-01-22T00:00:00"/>
    <d v="2021-01-22T00:00:00"/>
    <n v="1"/>
    <m/>
    <s v="PERMISO NO REMUNERADO"/>
    <m/>
    <m/>
    <m/>
    <m/>
  </r>
  <r>
    <x v="0"/>
    <n v="98577033"/>
    <s v="ARISTIZABAL"/>
    <s v="GIRALDO"/>
    <s v="PASTOR"/>
    <s v="JAIRO"/>
    <s v="VIGILANTE"/>
    <x v="2"/>
    <d v="2021-01-30T00:00:00"/>
    <d v="2021-02-17T00:00:00"/>
    <n v="17"/>
    <m/>
    <s v="VACACIONES"/>
    <m/>
    <m/>
    <m/>
    <m/>
  </r>
  <r>
    <x v="0"/>
    <n v="71379947"/>
    <s v="AGUDELO"/>
    <s v="ZAPATA"/>
    <s v="YEISON"/>
    <m/>
    <s v="VIGILANTE"/>
    <x v="1"/>
    <d v="2021-01-25T00:00:00"/>
    <d v="2021-01-25T00:00:00"/>
    <n v="1"/>
    <n v="6"/>
    <s v="PRIMERA VEZ"/>
    <m/>
    <m/>
    <m/>
    <m/>
  </r>
  <r>
    <x v="0"/>
    <n v="91002376"/>
    <s v="RICO"/>
    <s v="ROJAS"/>
    <s v="MANUEL"/>
    <m/>
    <m/>
    <x v="0"/>
    <d v="2021-01-17T00:00:00"/>
    <d v="2021-01-21T00:00:00"/>
    <n v="5"/>
    <m/>
    <s v="LICENCIA DE LUTO"/>
    <m/>
    <m/>
    <m/>
    <m/>
  </r>
  <r>
    <x v="0"/>
    <n v="71363642"/>
    <s v="GALLEGO"/>
    <s v="GOMEZ"/>
    <s v="JORGE "/>
    <s v="ARMANDO"/>
    <s v="VIGILANTE"/>
    <x v="0"/>
    <d v="2021-01-24T00:00:00"/>
    <d v="2021-01-28T00:00:00"/>
    <n v="5"/>
    <m/>
    <s v="LICENCIA PATERNIDAD"/>
    <m/>
    <m/>
    <m/>
    <m/>
  </r>
  <r>
    <x v="0"/>
    <n v="1064998452"/>
    <s v="ARROYAVE"/>
    <s v="PEREIRA"/>
    <s v="JAIME"/>
    <s v="ANDRES"/>
    <s v="VIGILANTE"/>
    <x v="2"/>
    <d v="2021-01-22T00:00:00"/>
    <d v="2021-01-30T00:00:00"/>
    <n v="8"/>
    <m/>
    <s v="VACACIONES"/>
    <m/>
    <m/>
    <m/>
    <m/>
  </r>
  <r>
    <x v="0"/>
    <n v="1064998452"/>
    <s v="ARROYAVE"/>
    <s v="PEREIRA"/>
    <s v="JAIME"/>
    <s v="ANDRES"/>
    <s v="VIGILANTE"/>
    <x v="2"/>
    <d v="2021-01-30T00:00:00"/>
    <d v="2021-02-07T00:00:00"/>
    <n v="8"/>
    <m/>
    <s v="VACACIONES"/>
    <m/>
    <m/>
    <m/>
    <m/>
  </r>
  <r>
    <x v="0"/>
    <n v="1067892509"/>
    <s v="AGUDELO"/>
    <s v="ARROYAVE"/>
    <s v="JHOJAN"/>
    <s v="RENE"/>
    <s v="SUPERVISOR"/>
    <x v="2"/>
    <d v="2021-01-07T00:00:00"/>
    <d v="2021-01-21T00:00:00"/>
    <n v="15"/>
    <m/>
    <s v="VACACIONES"/>
    <m/>
    <m/>
    <m/>
    <m/>
  </r>
  <r>
    <x v="0"/>
    <n v="71375285"/>
    <s v="HINCAPIE"/>
    <s v="RAMIREZ"/>
    <s v="YEREMY"/>
    <m/>
    <s v="VIGILANTE"/>
    <x v="2"/>
    <d v="2021-01-23T00:00:00"/>
    <d v="2021-02-10T00:00:00"/>
    <n v="18"/>
    <m/>
    <s v="VACACIONES"/>
    <m/>
    <m/>
    <m/>
    <m/>
  </r>
  <r>
    <x v="0"/>
    <n v="98501485"/>
    <s v="SARRAZOLA"/>
    <m/>
    <s v="WILMAR"/>
    <s v="DE JESUS"/>
    <s v="SUPERVISOR"/>
    <x v="2"/>
    <d v="2021-01-15T00:00:00"/>
    <d v="2021-01-29T00:00:00"/>
    <n v="15"/>
    <m/>
    <s v="VACACIONES"/>
    <m/>
    <m/>
    <m/>
    <m/>
  </r>
  <r>
    <x v="0"/>
    <n v="70606452"/>
    <s v="SANCHEZ"/>
    <m/>
    <s v="RICARDO"/>
    <m/>
    <s v="VIGILANTE"/>
    <x v="0"/>
    <d v="2021-01-25T00:00:00"/>
    <d v="2021-01-25T00:00:00"/>
    <n v="1"/>
    <n v="6"/>
    <s v="PRIMERA VEZ"/>
    <m/>
    <m/>
    <m/>
    <m/>
  </r>
  <r>
    <x v="0"/>
    <n v="71770900"/>
    <s v="MENESES"/>
    <m/>
    <s v="FRANKLIN"/>
    <m/>
    <s v="VIGILANTE"/>
    <x v="0"/>
    <d v="2021-01-26T00:00:00"/>
    <d v="2021-01-26T00:00:00"/>
    <n v="1"/>
    <n v="6"/>
    <s v="PRIMERA VEZ"/>
    <m/>
    <m/>
    <m/>
    <m/>
  </r>
  <r>
    <x v="0"/>
    <n v="71397546"/>
    <s v="MARIN"/>
    <m/>
    <s v="LUIS"/>
    <s v="FERNANDO"/>
    <s v="VIGILANTE"/>
    <x v="0"/>
    <d v="2021-01-25T00:00:00"/>
    <d v="2021-01-25T00:00:00"/>
    <n v="1"/>
    <n v="4"/>
    <s v="PRIMERA VEZ"/>
    <m/>
    <m/>
    <m/>
    <m/>
  </r>
  <r>
    <x v="0"/>
    <n v="71618160"/>
    <s v="GONZALEZ"/>
    <s v="GONZALEZ"/>
    <s v="LUIS"/>
    <s v="FERNANDO"/>
    <s v="VIGILANTE"/>
    <x v="0"/>
    <d v="2021-01-28T00:00:00"/>
    <d v="2021-01-28T00:00:00"/>
    <n v="1"/>
    <n v="4"/>
    <s v="PRIMERA VEZ"/>
    <m/>
    <m/>
    <m/>
    <m/>
  </r>
  <r>
    <x v="0"/>
    <n v="1128451633"/>
    <s v="GRANDA "/>
    <s v="ALVAREZ"/>
    <s v="JHON"/>
    <s v="MARLON"/>
    <s v="VIGILANTE"/>
    <x v="3"/>
    <d v="2021-01-29T00:00:00"/>
    <m/>
    <m/>
    <m/>
    <m/>
    <m/>
    <m/>
    <m/>
    <m/>
  </r>
  <r>
    <x v="0"/>
    <n v="98515060"/>
    <s v="RAIGOSA"/>
    <s v="PEREZ"/>
    <s v="LUIS"/>
    <s v="OVIDIO"/>
    <s v="VIGILANTE"/>
    <x v="0"/>
    <d v="2021-01-16T00:00:00"/>
    <d v="2021-01-20T00:00:00"/>
    <n v="5"/>
    <m/>
    <s v="LICENCIA DE LUTO"/>
    <m/>
    <m/>
    <m/>
    <m/>
  </r>
  <r>
    <x v="0"/>
    <n v="8458939"/>
    <s v="ARRUBLA"/>
    <s v="CASTAÑO"/>
    <s v="HECTOR"/>
    <s v="DANILO"/>
    <s v="VIGILANTE"/>
    <x v="0"/>
    <d v="2020-01-26T00:00:00"/>
    <d v="2021-01-28T00:00:00"/>
    <n v="3"/>
    <m/>
    <s v="LICENCIA DE LUTO"/>
    <m/>
    <m/>
    <m/>
    <m/>
  </r>
  <r>
    <x v="0"/>
    <n v="71375285"/>
    <s v="HINCAPIE"/>
    <s v="RAMIREZ"/>
    <s v="YEREMY"/>
    <m/>
    <s v="VIGILANTE"/>
    <x v="2"/>
    <d v="2021-01-23T00:00:00"/>
    <d v="2021-02-10T00:00:00"/>
    <n v="18"/>
    <m/>
    <s v="VACACIONES"/>
    <m/>
    <m/>
    <m/>
    <m/>
  </r>
  <r>
    <x v="0"/>
    <n v="12986251"/>
    <s v="ROMERO"/>
    <m/>
    <s v="JOSE"/>
    <m/>
    <s v="EJECUTIVO DE SERVICIO"/>
    <x v="2"/>
    <d v="2021-01-02T00:00:00"/>
    <d v="2021-01-21T00:00:00"/>
    <n v="19"/>
    <m/>
    <s v="VACACIONES"/>
    <m/>
    <m/>
    <m/>
    <m/>
  </r>
  <r>
    <x v="0"/>
    <n v="70435808"/>
    <s v="MANCO"/>
    <s v="HURTADO"/>
    <s v="JUAN"/>
    <s v="CARLOS"/>
    <s v="VIGILANTE"/>
    <x v="0"/>
    <d v="2021-01-29T00:00:00"/>
    <d v="2021-01-30T00:00:00"/>
    <n v="1"/>
    <m/>
    <s v="PERMISO NO REMUNERADO"/>
    <m/>
    <m/>
    <m/>
    <m/>
  </r>
  <r>
    <x v="0"/>
    <n v="8428939"/>
    <s v="ARRUBLA"/>
    <m/>
    <s v="HECTOR"/>
    <m/>
    <s v="VIGILANTE"/>
    <x v="0"/>
    <d v="2021-01-26T00:00:00"/>
    <d v="2021-01-26T00:00:00"/>
    <n v="1"/>
    <m/>
    <s v="PERMISO NO REMUNERADO"/>
    <m/>
    <m/>
    <m/>
    <m/>
  </r>
  <r>
    <x v="0"/>
    <n v="70471195"/>
    <s v="RUEDA"/>
    <m/>
    <s v="NELSON"/>
    <s v="ENQRIQUE"/>
    <s v="VIGILANTE"/>
    <x v="0"/>
    <d v="2021-01-29T00:00:00"/>
    <d v="2021-01-29T00:00:00"/>
    <n v="1"/>
    <m/>
    <s v="PERMISO NO REMUNERADO"/>
    <m/>
    <m/>
    <m/>
    <m/>
  </r>
  <r>
    <x v="0"/>
    <n v="98709212"/>
    <s v="MUÑOZ"/>
    <s v="MARIN"/>
    <s v="JAIME"/>
    <s v="ALEJANDRO"/>
    <s v="VIGILANTE"/>
    <x v="0"/>
    <d v="2021-01-27T00:00:00"/>
    <d v="2021-02-04T00:00:00"/>
    <n v="8"/>
    <m/>
    <s v="PERMISO NO REMUNERADO"/>
    <m/>
    <m/>
    <m/>
    <m/>
  </r>
  <r>
    <x v="0"/>
    <n v="32206520"/>
    <s v="LOPEZ"/>
    <m/>
    <s v="DURLEY"/>
    <s v="BIBIANA"/>
    <s v="VIGILANTE"/>
    <x v="0"/>
    <d v="2021-01-05T00:00:00"/>
    <d v="2021-01-11T00:00:00"/>
    <n v="7"/>
    <m/>
    <s v="PERMISO NO REMUNERADO"/>
    <m/>
    <m/>
    <m/>
    <m/>
  </r>
  <r>
    <x v="0"/>
    <n v="70786990"/>
    <s v="LEON"/>
    <s v="JIMENEZ"/>
    <s v="DAYRON"/>
    <s v="DE JESUS"/>
    <s v="VIGILANTE"/>
    <x v="0"/>
    <d v="2021-01-31T00:00:00"/>
    <d v="2021-02-01T00:00:00"/>
    <n v="1"/>
    <m/>
    <s v="PERMISO NO REMUNERADO"/>
    <m/>
    <m/>
    <m/>
    <m/>
  </r>
  <r>
    <x v="0"/>
    <n v="98515060"/>
    <s v="RAIGOZA"/>
    <s v="PEREZ"/>
    <s v="LUIS"/>
    <s v="OVIDO"/>
    <s v="VIGILANTE"/>
    <x v="0"/>
    <d v="2021-01-31T00:00:00"/>
    <d v="2021-02-01T00:00:00"/>
    <n v="1"/>
    <m/>
    <s v="PERMISO NO REMUNERADO"/>
    <m/>
    <m/>
    <m/>
    <m/>
  </r>
  <r>
    <x v="2"/>
    <n v="8334236"/>
    <s v="MANCO"/>
    <m/>
    <s v="LUIS"/>
    <s v="ADAN"/>
    <s v="VIGILANTE"/>
    <x v="0"/>
    <d v="2021-02-04T00:00:00"/>
    <d v="2021-02-05T00:00:00"/>
    <n v="1"/>
    <m/>
    <s v="PERMISO NO REMUNERADO"/>
    <m/>
    <m/>
    <m/>
    <m/>
  </r>
  <r>
    <x v="2"/>
    <n v="98638429"/>
    <s v="RESTREPO "/>
    <m/>
    <s v="JHON"/>
    <s v="BAYRON"/>
    <s v="VIGILANTE"/>
    <x v="1"/>
    <d v="2021-02-01T00:00:00"/>
    <d v="2021-02-03T00:00:00"/>
    <n v="3"/>
    <n v="6"/>
    <s v="SEGUNDA VEZ"/>
    <m/>
    <m/>
    <m/>
    <m/>
  </r>
  <r>
    <x v="2"/>
    <n v="1020403449"/>
    <s v="MEDINA"/>
    <s v="ZURITA"/>
    <s v="ANGEL"/>
    <s v="NORBEY"/>
    <s v="VIGILANTE"/>
    <x v="1"/>
    <d v="2021-02-03T00:00:00"/>
    <d v="2021-02-07T00:00:00"/>
    <n v="5"/>
    <n v="1"/>
    <s v="PRIMERA VEZ"/>
    <m/>
    <m/>
    <m/>
    <m/>
  </r>
  <r>
    <x v="2"/>
    <n v="8409292"/>
    <s v="GARCIA"/>
    <s v="PORRAS"/>
    <s v="JESUS"/>
    <s v="EMILIO"/>
    <s v="VIGILANTE"/>
    <x v="1"/>
    <d v="2021-02-01T00:00:00"/>
    <d v="2021-02-01T00:00:00"/>
    <n v="1"/>
    <n v="6"/>
    <s v="PRIMERA VEZ"/>
    <m/>
    <m/>
    <m/>
    <m/>
  </r>
  <r>
    <x v="2"/>
    <n v="1040321290"/>
    <s v="RODRIGUEZ"/>
    <s v="RODRIGUEZ"/>
    <s v="JUAN"/>
    <s v="CARLOS"/>
    <s v="VIGILANTE"/>
    <x v="2"/>
    <d v="2021-02-08T00:00:00"/>
    <d v="2021-02-25T00:00:00"/>
    <n v="17"/>
    <m/>
    <s v="VACACIONES"/>
    <m/>
    <m/>
    <m/>
    <m/>
  </r>
  <r>
    <x v="2"/>
    <n v="1100688038"/>
    <s v="MORALES"/>
    <s v="MARTINEZ"/>
    <s v="FABIO"/>
    <s v="ANDRES"/>
    <s v="VIGILANTE"/>
    <x v="2"/>
    <d v="2021-02-06T00:00:00"/>
    <d v="2021-02-24T00:00:00"/>
    <n v="18"/>
    <m/>
    <s v="VACACIONES"/>
    <m/>
    <m/>
    <m/>
    <m/>
  </r>
  <r>
    <x v="2"/>
    <n v="71987067"/>
    <s v="RIOS"/>
    <s v="CAÑA"/>
    <s v="JORGE"/>
    <s v="IVAN"/>
    <s v="VIGILANTE"/>
    <x v="0"/>
    <d v="2021-01-01T00:00:00"/>
    <d v="2021-02-01T00:00:00"/>
    <n v="1"/>
    <m/>
    <s v="PERMISO NO REMUNERADO"/>
    <m/>
    <m/>
    <m/>
    <m/>
  </r>
  <r>
    <x v="2"/>
    <n v="98761862"/>
    <s v="MORENO"/>
    <s v="ORTIZ"/>
    <s v="YURI"/>
    <m/>
    <s v="VIGILANTE"/>
    <x v="0"/>
    <d v="2021-02-02T00:00:00"/>
    <d v="2021-02-04T00:00:00"/>
    <n v="2"/>
    <m/>
    <s v="PERMISO NO REMUNERADO"/>
    <m/>
    <m/>
    <m/>
    <m/>
  </r>
  <r>
    <x v="2"/>
    <n v="1007243137"/>
    <s v="OQUENDO"/>
    <s v="GODOY"/>
    <s v="DIEGO"/>
    <m/>
    <s v="VIGILANTE"/>
    <x v="1"/>
    <d v="2021-02-04T00:00:00"/>
    <d v="2021-02-06T00:00:00"/>
    <n v="3"/>
    <n v="1"/>
    <s v="SEGUNDA VEZ"/>
    <m/>
    <m/>
    <m/>
    <m/>
  </r>
  <r>
    <x v="2"/>
    <n v="71692985"/>
    <s v="LOPERA"/>
    <s v="CASA"/>
    <s v="JESUS"/>
    <m/>
    <s v="VIGILANTE"/>
    <x v="1"/>
    <d v="2021-02-04T00:00:00"/>
    <d v="2021-02-08T00:00:00"/>
    <n v="5"/>
    <n v="1"/>
    <s v="PRIMERA VEZ"/>
    <m/>
    <m/>
    <m/>
    <m/>
  </r>
  <r>
    <x v="2"/>
    <n v="85490315"/>
    <s v="CAMACHO"/>
    <s v="MORENO"/>
    <s v="YOEL"/>
    <s v="XAVIER"/>
    <s v="VIGILANTE"/>
    <x v="1"/>
    <d v="2021-02-08T00:00:00"/>
    <d v="2021-02-10T00:00:00"/>
    <n v="3"/>
    <n v="24"/>
    <s v="PRIMERA VEZ"/>
    <m/>
    <m/>
    <m/>
    <m/>
  </r>
  <r>
    <x v="2"/>
    <n v="1038063111"/>
    <s v="DEPENTIL"/>
    <s v="HINCAPIE"/>
    <s v="ANDRES"/>
    <s v="FELIPE"/>
    <s v="VIGILANTE"/>
    <x v="1"/>
    <d v="2021-02-09T00:00:00"/>
    <d v="2021-02-13T00:00:00"/>
    <n v="5"/>
    <n v="1"/>
    <s v="PRIMERA VEZ"/>
    <m/>
    <m/>
    <m/>
    <m/>
  </r>
  <r>
    <x v="2"/>
    <n v="71363642"/>
    <s v="GALLEGO"/>
    <s v="GOMEZ"/>
    <s v="JORGE"/>
    <s v="ARMANDP"/>
    <s v="VIGILANTE"/>
    <x v="1"/>
    <d v="2021-02-08T00:00:00"/>
    <d v="2021-02-12T00:00:00"/>
    <n v="5"/>
    <n v="22"/>
    <s v="PRIMERA VEZ"/>
    <m/>
    <m/>
    <m/>
    <m/>
  </r>
  <r>
    <x v="2"/>
    <n v="1036649702"/>
    <s v="SEGURO"/>
    <s v="GIRALDO"/>
    <s v="JHON"/>
    <s v="EDUAR"/>
    <s v="VIGILANTE"/>
    <x v="1"/>
    <d v="2021-02-08T00:00:00"/>
    <d v="2021-02-10T00:00:00"/>
    <n v="3"/>
    <n v="6"/>
    <s v="SEGUNDA VEZ"/>
    <m/>
    <m/>
    <m/>
    <m/>
  </r>
  <r>
    <x v="2"/>
    <n v="10900408"/>
    <s v="VELASQUEZ"/>
    <s v="HERNANDEZ"/>
    <s v="GUSTAVO"/>
    <s v="ALONSO"/>
    <s v="VIGILANTE"/>
    <x v="1"/>
    <d v="2021-02-08T00:00:00"/>
    <d v="2021-02-10T00:00:00"/>
    <n v="3"/>
    <n v="6"/>
    <s v="SEGUNDA VEZ"/>
    <m/>
    <m/>
    <m/>
    <m/>
  </r>
  <r>
    <x v="2"/>
    <n v="71020224"/>
    <s v="GUISAO"/>
    <s v="SALAS"/>
    <s v="JESUS"/>
    <s v="ANTONIO"/>
    <s v="VIGILANTE"/>
    <x v="1"/>
    <d v="2021-02-11T00:00:00"/>
    <d v="2021-02-13T00:00:00"/>
    <n v="3"/>
    <n v="6"/>
    <s v="SEGUNDA VEZ"/>
    <m/>
    <m/>
    <m/>
    <m/>
  </r>
  <r>
    <x v="2"/>
    <n v="1041270716"/>
    <s v="FERNANDEZ"/>
    <s v="VIDAL"/>
    <s v="MANUEL"/>
    <s v="JOSE"/>
    <s v="VIGILANTE"/>
    <x v="1"/>
    <d v="2021-02-11T00:00:00"/>
    <d v="2021-02-11T00:00:00"/>
    <n v="1"/>
    <n v="6"/>
    <s v="PRIMERA VEZ"/>
    <m/>
    <m/>
    <m/>
    <m/>
  </r>
  <r>
    <x v="2"/>
    <n v="1017228370"/>
    <s v="RUA"/>
    <s v="VASQUEZ"/>
    <s v="YEFERSON"/>
    <s v="STIVEN"/>
    <s v="VIGILANTE"/>
    <x v="1"/>
    <d v="2021-02-11T00:00:00"/>
    <d v="2021-02-11T00:00:00"/>
    <n v="1"/>
    <n v="20"/>
    <s v="PRIMERA VEZ"/>
    <m/>
    <m/>
    <m/>
    <m/>
  </r>
  <r>
    <x v="2"/>
    <n v="1063294187"/>
    <s v="HERNANDEZ"/>
    <s v="JIMENEZ"/>
    <s v="DALMIRO"/>
    <s v="JOSE"/>
    <s v="VIGILANTE"/>
    <x v="1"/>
    <d v="2021-02-11T00:00:00"/>
    <d v="2021-02-15T00:00:00"/>
    <n v="5"/>
    <n v="1"/>
    <s v="PRIMERA VEZ"/>
    <m/>
    <m/>
    <m/>
    <m/>
  </r>
  <r>
    <x v="2"/>
    <n v="71181543"/>
    <s v="CARMONA"/>
    <s v="PEÑA"/>
    <s v="JORGE"/>
    <s v="NICOLAS"/>
    <s v="VIGILANTE"/>
    <x v="1"/>
    <d v="2021-02-15T00:00:00"/>
    <d v="2021-02-17T00:00:00"/>
    <n v="3"/>
    <n v="24"/>
    <s v="PRIMERA VEZ"/>
    <m/>
    <m/>
    <m/>
    <m/>
  </r>
  <r>
    <x v="2"/>
    <n v="71681831"/>
    <s v="MEJIA"/>
    <m/>
    <s v="DUVAN"/>
    <s v="OSWALDO"/>
    <s v="VIGILANTE"/>
    <x v="2"/>
    <d v="2021-02-15T00:00:00"/>
    <d v="2021-03-03T00:00:00"/>
    <n v="17"/>
    <m/>
    <s v="VACACIONES"/>
    <m/>
    <m/>
    <m/>
    <m/>
  </r>
  <r>
    <x v="2"/>
    <n v="71681831"/>
    <s v="MEJIA"/>
    <m/>
    <s v="DUVAN"/>
    <s v="OSWALDO"/>
    <s v="VIGILANTE"/>
    <x v="2"/>
    <d v="2021-03-04T00:00:00"/>
    <d v="2021-03-21T00:00:00"/>
    <n v="17"/>
    <m/>
    <s v="VACACIONES"/>
    <m/>
    <m/>
    <m/>
    <m/>
  </r>
  <r>
    <x v="2"/>
    <n v="70693687"/>
    <s v="VASQUEZ"/>
    <s v="CASTAÑO"/>
    <s v="ORLANDO"/>
    <s v="DE JESUS"/>
    <s v="VIGILANTE"/>
    <x v="2"/>
    <d v="2021-02-10T00:00:00"/>
    <d v="2021-02-26T00:00:00"/>
    <n v="17"/>
    <m/>
    <s v="VACACIONES"/>
    <m/>
    <m/>
    <m/>
    <m/>
  </r>
  <r>
    <x v="2"/>
    <n v="11309204"/>
    <s v="IPUZ"/>
    <m/>
    <s v="ALFREDO"/>
    <m/>
    <s v="COORDINADOR"/>
    <x v="2"/>
    <d v="2021-02-15T00:00:00"/>
    <d v="2021-03-03T00:00:00"/>
    <n v="15"/>
    <m/>
    <s v="VACACIONES"/>
    <m/>
    <m/>
    <m/>
    <m/>
  </r>
  <r>
    <x v="2"/>
    <n v="1036618014"/>
    <s v="OSORIO"/>
    <m/>
    <s v="ANDRES"/>
    <s v="FELIPE"/>
    <s v="VIGILANTE"/>
    <x v="2"/>
    <d v="2021-02-17T00:00:00"/>
    <d v="2021-03-06T00:00:00"/>
    <n v="17"/>
    <m/>
    <s v="VACACIONES"/>
    <m/>
    <m/>
    <m/>
    <m/>
  </r>
  <r>
    <x v="2"/>
    <n v="8334236"/>
    <s v="MANCO"/>
    <s v="ZAPATA"/>
    <s v="LUIS"/>
    <s v="ADAN"/>
    <s v="VIGILANTE"/>
    <x v="2"/>
    <d v="2021-02-12T00:00:00"/>
    <d v="2021-02-28T00:00:00"/>
    <n v="15"/>
    <m/>
    <s v="VACACIONES"/>
    <m/>
    <m/>
    <m/>
    <m/>
  </r>
  <r>
    <x v="2"/>
    <n v="70133821"/>
    <s v="MURILLO"/>
    <s v="ACEVEDO"/>
    <s v="JHON"/>
    <s v="JAIRO"/>
    <s v="VIGILANTE"/>
    <x v="2"/>
    <d v="2021-02-15T00:00:00"/>
    <d v="2021-02-23T00:00:00"/>
    <n v="8"/>
    <m/>
    <s v="VACACIONES"/>
    <m/>
    <m/>
    <m/>
    <m/>
  </r>
  <r>
    <x v="2"/>
    <n v="70133821"/>
    <s v="MURILLO"/>
    <s v="ACEVEDO"/>
    <s v="JHON"/>
    <s v="JAIRO"/>
    <s v="VIGILANTE"/>
    <x v="2"/>
    <d v="2021-02-23T00:00:00"/>
    <d v="2021-03-02T00:00:00"/>
    <n v="8"/>
    <m/>
    <s v="VACACIONES"/>
    <m/>
    <m/>
    <m/>
    <m/>
  </r>
  <r>
    <x v="2"/>
    <n v="15297364"/>
    <s v="MAZO"/>
    <m/>
    <s v="ALIRIO"/>
    <m/>
    <s v="VIGILANTE"/>
    <x v="2"/>
    <d v="2021-02-14T00:00:00"/>
    <d v="2021-03-05T00:00:00"/>
    <n v="16"/>
    <m/>
    <s v="VACACIONES"/>
    <m/>
    <m/>
    <m/>
    <m/>
  </r>
  <r>
    <x v="2"/>
    <n v="71293877"/>
    <s v="VILLA"/>
    <s v="BALBIN"/>
    <s v="CARLOS"/>
    <s v="ANDRES"/>
    <s v="VIGILANTE"/>
    <x v="0"/>
    <d v="2021-02-14T00:00:00"/>
    <d v="2021-02-16T00:00:00"/>
    <n v="2"/>
    <m/>
    <s v="PERMISO NO REMUNERADO"/>
    <m/>
    <m/>
    <m/>
    <m/>
  </r>
  <r>
    <x v="2"/>
    <n v="1152434056"/>
    <s v="MUNERA"/>
    <m/>
    <s v="JORGE"/>
    <m/>
    <s v="VIGILANTE"/>
    <x v="2"/>
    <d v="2021-02-12T00:00:00"/>
    <d v="2021-03-01T00:00:00"/>
    <n v="15"/>
    <m/>
    <s v="PERMISO NO REMUNERADO"/>
    <m/>
    <m/>
    <m/>
    <m/>
  </r>
  <r>
    <x v="2"/>
    <n v="1080932097"/>
    <s v="GONZALES"/>
    <s v="MUÑOZ"/>
    <s v="MATIAS"/>
    <m/>
    <s v="VIGILANTE"/>
    <x v="2"/>
    <d v="2021-02-10T00:00:00"/>
    <d v="2021-02-26T00:00:00"/>
    <n v="17"/>
    <m/>
    <s v="VACACIONES"/>
    <m/>
    <m/>
    <m/>
    <m/>
  </r>
  <r>
    <x v="2"/>
    <n v="43808979"/>
    <s v="ZAPATA"/>
    <s v="HERNANDEZ"/>
    <m/>
    <s v="PATRICIA"/>
    <s v="VIGILANTE"/>
    <x v="2"/>
    <d v="2021-02-11T00:00:00"/>
    <d v="2021-02-25T00:00:00"/>
    <n v="15"/>
    <m/>
    <s v="VACACIONES"/>
    <m/>
    <m/>
    <m/>
    <m/>
  </r>
  <r>
    <x v="2"/>
    <n v="43709476"/>
    <s v="ANGEL"/>
    <s v="DUQUE"/>
    <s v="SONI"/>
    <s v="ELIZABETH"/>
    <s v="VIGILANTE"/>
    <x v="2"/>
    <d v="2021-02-11T00:00:00"/>
    <d v="2021-02-26T00:00:00"/>
    <n v="15"/>
    <m/>
    <s v="VACACIONES"/>
    <m/>
    <m/>
    <m/>
    <m/>
  </r>
  <r>
    <x v="2"/>
    <n v="1035425214"/>
    <s v="AMARILES"/>
    <s v="MESA"/>
    <s v="EDWIN"/>
    <s v="ALBERTO"/>
    <s v="VIGILANTE"/>
    <x v="2"/>
    <d v="2021-02-10T00:00:00"/>
    <d v="2021-02-26T00:00:00"/>
    <n v="15"/>
    <m/>
    <s v="VACACIONES"/>
    <m/>
    <m/>
    <m/>
    <m/>
  </r>
  <r>
    <x v="2"/>
    <n v="1035425214"/>
    <s v="AMARILES"/>
    <s v="MESA"/>
    <s v="EDWIN"/>
    <s v="ALBERTO"/>
    <s v="VIGILANTE"/>
    <x v="2"/>
    <d v="2021-02-26T00:00:00"/>
    <d v="2021-03-14T00:00:00"/>
    <n v="15"/>
    <m/>
    <s v="VACACIONES"/>
    <m/>
    <m/>
    <m/>
    <m/>
  </r>
  <r>
    <x v="2"/>
    <n v="78110091"/>
    <s v="PALOMINO"/>
    <s v="MENDIZ"/>
    <s v="JORGE"/>
    <s v="LUIS"/>
    <s v="VIGILANTE"/>
    <x v="2"/>
    <d v="2021-02-16T00:00:00"/>
    <d v="2021-03-01T00:00:00"/>
    <n v="17"/>
    <m/>
    <s v="VACACIONES"/>
    <m/>
    <m/>
    <m/>
    <m/>
  </r>
  <r>
    <x v="2"/>
    <n v="1027882243"/>
    <s v="ACEVEDO"/>
    <s v="OSSA"/>
    <s v="JOSE"/>
    <s v="JAVIER"/>
    <s v="VIGILANTE"/>
    <x v="2"/>
    <d v="2021-02-11T00:00:00"/>
    <d v="2021-02-19T00:00:00"/>
    <n v="8"/>
    <m/>
    <s v="VACACIONES"/>
    <m/>
    <m/>
    <m/>
    <m/>
  </r>
  <r>
    <x v="2"/>
    <n v="1027882243"/>
    <s v="ACEVEDO"/>
    <s v="OSSA"/>
    <s v="JOSE"/>
    <s v="JAVIER"/>
    <s v="VIGILANTE"/>
    <x v="2"/>
    <d v="2021-02-19T00:00:00"/>
    <d v="2021-02-27T00:00:00"/>
    <n v="8"/>
    <m/>
    <s v="VACACIONES"/>
    <m/>
    <m/>
    <m/>
    <m/>
  </r>
  <r>
    <x v="2"/>
    <n v="1076817863"/>
    <s v="MORENO"/>
    <s v="ORDOÑEZ"/>
    <s v="CARLOS"/>
    <m/>
    <s v="VIGILANTE"/>
    <x v="2"/>
    <d v="2021-02-04T00:00:00"/>
    <d v="2021-02-12T00:00:00"/>
    <n v="8"/>
    <m/>
    <s v="VACACIONES"/>
    <m/>
    <m/>
    <m/>
    <m/>
  </r>
  <r>
    <x v="2"/>
    <n v="1076817863"/>
    <s v="MORENO"/>
    <s v="ORDOÑEZ"/>
    <s v="CARLOS"/>
    <m/>
    <s v="VIGILANTE"/>
    <x v="2"/>
    <d v="2021-02-12T00:00:00"/>
    <d v="2021-02-20T00:00:00"/>
    <n v="8"/>
    <m/>
    <s v="VACACIONES"/>
    <m/>
    <m/>
    <m/>
    <m/>
  </r>
  <r>
    <x v="2"/>
    <n v="1007460505"/>
    <s v="MONROY"/>
    <s v="ACEVEDO"/>
    <s v="ANDRES"/>
    <s v="CAMILO"/>
    <s v="VIGILANTE"/>
    <x v="2"/>
    <d v="2021-02-05T00:00:00"/>
    <d v="2021-02-23T00:00:00"/>
    <n v="17"/>
    <m/>
    <s v="VACACIONES"/>
    <m/>
    <m/>
    <m/>
    <m/>
  </r>
  <r>
    <x v="2"/>
    <n v="71185910"/>
    <s v="CATAÑO"/>
    <s v="GALLEGO"/>
    <s v="RAMIRO"/>
    <s v="ANTONIO"/>
    <s v="VIGILANTE"/>
    <x v="2"/>
    <d v="2021-02-01T00:00:00"/>
    <d v="2021-02-18T00:00:00"/>
    <n v="17"/>
    <m/>
    <s v="VACACIONES"/>
    <m/>
    <m/>
    <m/>
    <m/>
  </r>
  <r>
    <x v="2"/>
    <n v="15385965"/>
    <s v="BLANDON"/>
    <m/>
    <s v="JHON"/>
    <s v="ALEJANDRO"/>
    <s v="VIGILANTE"/>
    <x v="2"/>
    <d v="2021-02-02T00:00:00"/>
    <d v="2021-02-19T00:00:00"/>
    <n v="17"/>
    <m/>
    <s v="VACACIONES"/>
    <m/>
    <m/>
    <m/>
    <m/>
  </r>
  <r>
    <x v="2"/>
    <n v="1100688038"/>
    <s v="MORALES"/>
    <m/>
    <s v="FABIO"/>
    <m/>
    <s v="VIGILANTE"/>
    <x v="2"/>
    <d v="2021-02-06T00:00:00"/>
    <d v="2021-02-24T00:00:00"/>
    <n v="18"/>
    <m/>
    <s v="VACACIONES"/>
    <m/>
    <m/>
    <m/>
    <m/>
  </r>
  <r>
    <x v="2"/>
    <n v="32206520"/>
    <s v="LOPEZ"/>
    <m/>
    <s v="DURLEY"/>
    <s v="BIBIANA"/>
    <s v="VIGILANTE"/>
    <x v="2"/>
    <d v="2021-02-03T00:00:00"/>
    <d v="2021-02-19T00:00:00"/>
    <n v="17"/>
    <m/>
    <s v="VACACIONES"/>
    <m/>
    <m/>
    <m/>
    <m/>
  </r>
  <r>
    <x v="2"/>
    <n v="3674224"/>
    <s v="SERNA"/>
    <s v="CAÑIZALES"/>
    <s v="HEDER"/>
    <m/>
    <s v="VIGILANTE"/>
    <x v="0"/>
    <d v="2021-02-02T00:00:00"/>
    <d v="2021-02-09T00:00:00"/>
    <n v="7"/>
    <m/>
    <s v="PERMISO NO REMUNERADO"/>
    <m/>
    <m/>
    <m/>
    <m/>
  </r>
  <r>
    <x v="2"/>
    <n v="94284024"/>
    <s v="BENAVIDEZ"/>
    <s v="BEDOYA"/>
    <s v="DUBERNEY"/>
    <m/>
    <s v="VIGILANTE"/>
    <x v="0"/>
    <d v="2021-02-10T00:00:00"/>
    <d v="2021-02-11T00:00:00"/>
    <n v="1"/>
    <m/>
    <s v="PERMISO NO REMUNERADO"/>
    <m/>
    <m/>
    <m/>
    <m/>
  </r>
  <r>
    <x v="2"/>
    <n v="3482761"/>
    <s v="MARTINEZ"/>
    <s v="LOPEZ"/>
    <s v="JAIME"/>
    <s v="HUMBERTO"/>
    <s v="VIGILANTE"/>
    <x v="0"/>
    <d v="2021-02-13T00:00:00"/>
    <d v="2021-02-15T00:00:00"/>
    <n v="2"/>
    <m/>
    <s v="PERMISO NO REMUNERADO"/>
    <m/>
    <m/>
    <m/>
    <m/>
  </r>
  <r>
    <x v="2"/>
    <n v="1020431608"/>
    <s v="MUÑOZ"/>
    <s v="RENDON"/>
    <s v="CAROLINA"/>
    <m/>
    <s v="VIGILANTE"/>
    <x v="0"/>
    <d v="2021-02-19T00:00:00"/>
    <d v="2021-02-21T00:00:00"/>
    <n v="3"/>
    <m/>
    <s v="PERMISO NO REMUNERADO"/>
    <m/>
    <m/>
    <m/>
    <m/>
  </r>
  <r>
    <x v="2"/>
    <n v="71363642"/>
    <s v="GALLEGO"/>
    <s v="GOMEZ"/>
    <s v="JORGE"/>
    <s v="ARMANDO"/>
    <s v="VIGILANTE"/>
    <x v="2"/>
    <d v="2021-02-01T00:00:00"/>
    <d v="2021-02-16T00:00:00"/>
    <n v="15"/>
    <m/>
    <s v="VACACIONES"/>
    <m/>
    <m/>
    <m/>
    <m/>
  </r>
  <r>
    <x v="2"/>
    <n v="70252687"/>
    <s v="MAZO"/>
    <s v="RAMIREZ"/>
    <s v="IVAN"/>
    <s v="DARIO"/>
    <s v="VIGILANTE"/>
    <x v="0"/>
    <d v="2021-02-01T00:00:00"/>
    <d v="2021-02-02T00:00:00"/>
    <n v="1"/>
    <m/>
    <s v="PERMISO NO REMUNERADO"/>
    <m/>
    <m/>
    <m/>
    <m/>
  </r>
  <r>
    <x v="2"/>
    <n v="84558939"/>
    <s v="ARRUBLA"/>
    <m/>
    <s v="HECTOR"/>
    <m/>
    <s v="VIGILANTE"/>
    <x v="0"/>
    <d v="2021-02-09T00:00:00"/>
    <d v="2021-02-10T00:00:00"/>
    <n v="2"/>
    <m/>
    <s v="PERMISO NO REMUNERADO"/>
    <m/>
    <m/>
    <m/>
    <m/>
  </r>
  <r>
    <x v="2"/>
    <n v="70693687"/>
    <s v="VASQUEZ"/>
    <s v="CASTAÑO"/>
    <s v="ORLANDO"/>
    <s v="DE JESUS"/>
    <s v="VIGILANTE"/>
    <x v="0"/>
    <d v="2021-02-03T00:00:00"/>
    <d v="2021-02-07T00:00:00"/>
    <n v="5"/>
    <m/>
    <s v="LICENCIA DE LUTO"/>
    <m/>
    <m/>
    <m/>
    <m/>
  </r>
  <r>
    <x v="2"/>
    <n v="1059698889"/>
    <s v="REYES"/>
    <s v="ECHEVERRY"/>
    <s v="JAIRO"/>
    <s v="ALBERTO"/>
    <s v="VIGILANTE"/>
    <x v="0"/>
    <d v="2021-02-08T00:00:00"/>
    <d v="2021-02-08T00:00:00"/>
    <n v="1"/>
    <m/>
    <s v="PERMISO NO REMUNERADO"/>
    <m/>
    <m/>
    <m/>
    <m/>
  </r>
  <r>
    <x v="2"/>
    <n v="1128404771"/>
    <s v="VELEZ"/>
    <s v="RIVERA"/>
    <s v="JHONATAN"/>
    <s v="ANDRES"/>
    <s v="VIGILANTE"/>
    <x v="0"/>
    <d v="2021-02-12T00:00:00"/>
    <d v="2021-02-13T00:00:00"/>
    <n v="1"/>
    <m/>
    <s v="PERMISO NO REMUNERADO"/>
    <m/>
    <m/>
    <m/>
    <m/>
  </r>
  <r>
    <x v="2"/>
    <n v="3556779"/>
    <s v="OSORIOA"/>
    <s v="SUAREZ"/>
    <s v="JHONY"/>
    <s v="ANDRES"/>
    <s v="VIGILANTE"/>
    <x v="0"/>
    <d v="2021-02-09T00:00:00"/>
    <d v="2021-02-13T00:00:00"/>
    <n v="5"/>
    <m/>
    <s v="LICENCIA DE LUTO"/>
    <m/>
    <m/>
    <m/>
    <m/>
  </r>
  <r>
    <x v="2"/>
    <n v="1035428600"/>
    <s v="CAMPO"/>
    <s v="PULGARIN"/>
    <s v="DIEGO"/>
    <s v="LEON"/>
    <s v="VIGILANTE"/>
    <x v="1"/>
    <d v="2021-02-18T00:00:00"/>
    <d v="2021-02-22T00:00:00"/>
    <n v="5"/>
    <m/>
    <s v="PRIMERA VEZ"/>
    <m/>
    <m/>
    <m/>
    <m/>
  </r>
  <r>
    <x v="2"/>
    <n v="71053321"/>
    <s v="ORTIZ"/>
    <s v="ALVAREZ"/>
    <s v="CARLOS"/>
    <m/>
    <s v="VIGILANTE"/>
    <x v="2"/>
    <d v="2021-02-18T00:00:00"/>
    <d v="2021-03-06T00:00:00"/>
    <n v="17"/>
    <m/>
    <s v="VACACIONES"/>
    <m/>
    <m/>
    <m/>
    <m/>
  </r>
  <r>
    <x v="2"/>
    <n v="1047494600"/>
    <s v="BOHORQUEZ"/>
    <m/>
    <s v="RINA"/>
    <m/>
    <s v="VIGILANTE"/>
    <x v="0"/>
    <d v="2021-02-19T00:00:00"/>
    <d v="2021-02-20T00:00:00"/>
    <n v="2"/>
    <m/>
    <s v="PERMISO NO REMUNERADO"/>
    <m/>
    <m/>
    <m/>
    <m/>
  </r>
  <r>
    <x v="2"/>
    <n v="11309204"/>
    <s v="IPUZ"/>
    <m/>
    <s v="ALFREDO"/>
    <m/>
    <s v="COORDINADOR"/>
    <x v="2"/>
    <d v="2021-02-15T00:00:00"/>
    <d v="2021-03-04T00:00:00"/>
    <n v="15"/>
    <m/>
    <s v="VACACIONES"/>
    <m/>
    <m/>
    <m/>
    <m/>
  </r>
  <r>
    <x v="2"/>
    <n v="1152434056"/>
    <s v="MUNERA"/>
    <m/>
    <s v="JORGE"/>
    <m/>
    <s v="SUPERVISOR"/>
    <x v="2"/>
    <d v="2021-02-12T00:00:00"/>
    <d v="2021-02-28T00:00:00"/>
    <n v="15"/>
    <m/>
    <s v="VACACIONES"/>
    <m/>
    <m/>
    <m/>
    <m/>
  </r>
  <r>
    <x v="2"/>
    <n v="71681366"/>
    <s v="ACEVEDO"/>
    <m/>
    <s v="JORGE"/>
    <s v="ENRIQUE"/>
    <s v="VIGILANTE"/>
    <x v="2"/>
    <d v="2021-02-15T00:00:00"/>
    <d v="2021-03-04T00:00:00"/>
    <n v="17"/>
    <m/>
    <s v="VACACIONES"/>
    <m/>
    <m/>
    <m/>
    <m/>
  </r>
  <r>
    <x v="2"/>
    <n v="1013559134"/>
    <s v="MUNERA"/>
    <s v="RAMIREZ"/>
    <s v="SEBASTIAN"/>
    <m/>
    <s v="VIGILANTE"/>
    <x v="0"/>
    <d v="2021-02-20T00:00:00"/>
    <d v="2021-02-20T00:00:00"/>
    <n v="1"/>
    <m/>
    <s v="PERMISO NO REMUNERADO"/>
    <m/>
    <m/>
    <m/>
    <m/>
  </r>
  <r>
    <x v="2"/>
    <n v="70601688"/>
    <s v="CARDENAS"/>
    <m/>
    <s v="ELKIN"/>
    <m/>
    <s v="VIGILANTE"/>
    <x v="2"/>
    <d v="2021-02-16T00:00:00"/>
    <d v="2021-03-04T00:00:00"/>
    <n v="17"/>
    <m/>
    <s v="VACACIONES"/>
    <m/>
    <m/>
    <m/>
    <m/>
  </r>
  <r>
    <x v="2"/>
    <n v="70078677"/>
    <s v="GIRALDO"/>
    <s v="URIBE"/>
    <s v="JAIRO"/>
    <s v="DE JESUS"/>
    <s v="VIGILANTE"/>
    <x v="2"/>
    <d v="2021-02-16T00:00:00"/>
    <d v="2021-03-04T00:00:00"/>
    <n v="17"/>
    <m/>
    <s v="VACACIONES"/>
    <m/>
    <m/>
    <m/>
    <m/>
  </r>
  <r>
    <x v="2"/>
    <n v="71950509"/>
    <s v="CASTRILLON"/>
    <m/>
    <s v="WILLIAM"/>
    <s v="FERNANDO"/>
    <s v="VIGILANTE"/>
    <x v="2"/>
    <d v="2021-02-18T00:00:00"/>
    <d v="2021-03-07T00:00:00"/>
    <n v="17"/>
    <m/>
    <s v="VACACIONES"/>
    <m/>
    <m/>
    <m/>
    <m/>
  </r>
  <r>
    <x v="2"/>
    <n v="71670655"/>
    <s v="LONDOÑO"/>
    <s v="CORREA"/>
    <s v="FRANCISCO"/>
    <s v="JAVIER"/>
    <s v="VIGILANTE"/>
    <x v="0"/>
    <d v="2021-02-24T00:00:00"/>
    <d v="2021-02-25T00:00:00"/>
    <n v="2"/>
    <m/>
    <s v="PERMISO NO REMUNERADO"/>
    <m/>
    <m/>
    <m/>
    <m/>
  </r>
  <r>
    <x v="2"/>
    <n v="1040321290"/>
    <s v="RODRIGUEZ"/>
    <s v="RODRIGUEZ"/>
    <s v="JUAN"/>
    <s v="CARLOS"/>
    <s v="VIGILANTE"/>
    <x v="2"/>
    <d v="2021-02-08T00:00:00"/>
    <d v="2021-02-24T00:00:00"/>
    <n v="17"/>
    <m/>
    <s v="VACACIONES"/>
    <m/>
    <m/>
    <m/>
    <m/>
  </r>
  <r>
    <x v="2"/>
    <n v="71380270"/>
    <s v="GARCIA"/>
    <s v="GOMEZ"/>
    <s v="LEONARDO"/>
    <s v="ARLEY"/>
    <s v="VIGILANTE"/>
    <x v="2"/>
    <d v="2021-02-18T00:00:00"/>
    <d v="2021-02-27T00:00:00"/>
    <n v="8"/>
    <m/>
    <s v="VACACIONES"/>
    <m/>
    <m/>
    <m/>
    <m/>
  </r>
  <r>
    <x v="2"/>
    <n v="71380270"/>
    <s v="GARCIA"/>
    <s v="GOMEZ"/>
    <s v="LEONARDO"/>
    <s v="ARLEY"/>
    <s v="VIGILANTE"/>
    <x v="2"/>
    <d v="2021-02-27T00:00:00"/>
    <d v="2021-03-09T00:00:00"/>
    <n v="8"/>
    <m/>
    <s v="VACACIONES"/>
    <m/>
    <m/>
    <m/>
    <m/>
  </r>
  <r>
    <x v="2"/>
    <n v="98577126"/>
    <s v="ESPINAL"/>
    <s v="OSPINA"/>
    <s v="CESAR"/>
    <s v="AUGUSTO"/>
    <s v="VIGILANTE"/>
    <x v="2"/>
    <d v="2021-02-13T00:00:00"/>
    <d v="2021-03-03T00:00:00"/>
    <n v="18"/>
    <m/>
    <s v="VACACIONES"/>
    <m/>
    <m/>
    <m/>
    <m/>
  </r>
  <r>
    <x v="2"/>
    <n v="1026303610"/>
    <s v="ORDOÑEZ"/>
    <s v="ORTEGA"/>
    <s v="YAMIR"/>
    <m/>
    <s v="VIGILANTE"/>
    <x v="0"/>
    <d v="2021-02-18T00:00:00"/>
    <d v="2021-02-21T00:00:00"/>
    <n v="4"/>
    <m/>
    <s v="PERMISO NO REMUNERADO"/>
    <m/>
    <m/>
    <m/>
    <m/>
  </r>
  <r>
    <x v="2"/>
    <n v="98702212"/>
    <s v="MUÑOZ"/>
    <s v="MARIN"/>
    <s v="JAIME"/>
    <s v="ALEJANDRO"/>
    <s v="VIGILANTE"/>
    <x v="1"/>
    <d v="2021-02-24T00:00:00"/>
    <d v="2021-02-28T00:00:00"/>
    <n v="5"/>
    <n v="1"/>
    <s v="PRIMERA VEZ"/>
    <m/>
    <m/>
    <m/>
    <m/>
  </r>
  <r>
    <x v="2"/>
    <n v="15506392"/>
    <s v="MUÑOZ"/>
    <s v="ORTIZ"/>
    <s v="RUBEN"/>
    <s v="DARIO"/>
    <s v="VIGILANTE"/>
    <x v="0"/>
    <d v="2021-02-20T00:00:00"/>
    <d v="2021-02-20T00:00:00"/>
    <n v="1"/>
    <n v="1"/>
    <s v="LICECNIA NO REMUNERADA"/>
    <m/>
    <m/>
    <m/>
    <m/>
  </r>
  <r>
    <x v="2"/>
    <n v="1067909304"/>
    <s v="SOTO"/>
    <s v="CARDINAS"/>
    <s v="JOSE"/>
    <s v="LUIS"/>
    <s v="VIGILANTE"/>
    <x v="0"/>
    <d v="2021-02-26T00:00:00"/>
    <d v="2021-01-27T00:00:00"/>
    <n v="1"/>
    <m/>
    <s v="PERMISO NO REMUNERADO"/>
    <m/>
    <m/>
    <m/>
    <m/>
  </r>
  <r>
    <x v="2"/>
    <n v="1018374117"/>
    <s v="GOMEZ"/>
    <m/>
    <s v="WILLIAM"/>
    <m/>
    <s v="VIGILANTE"/>
    <x v="2"/>
    <d v="2021-02-27T00:00:00"/>
    <d v="2021-03-07T00:00:00"/>
    <n v="8"/>
    <m/>
    <s v="VACACIONES"/>
    <m/>
    <m/>
    <m/>
    <m/>
  </r>
  <r>
    <x v="2"/>
    <n v="1067909304"/>
    <s v="SOTO"/>
    <s v="CARDINAS"/>
    <s v="JOSE"/>
    <s v="LUIS"/>
    <s v="VIGILANTE"/>
    <x v="0"/>
    <d v="2021-02-26T00:00:00"/>
    <d v="2021-01-27T00:00:00"/>
    <n v="1"/>
    <m/>
    <s v="PERMISO NO REMUNERADO"/>
    <m/>
    <m/>
    <m/>
    <m/>
  </r>
  <r>
    <x v="2"/>
    <n v="1104429279"/>
    <s v="ARIAS"/>
    <s v="MORENO"/>
    <s v="LUIS"/>
    <s v="MIGUEL"/>
    <s v="VIGILANTE"/>
    <x v="2"/>
    <d v="2021-02-18T00:00:00"/>
    <d v="2021-03-07T00:00:00"/>
    <n v="17"/>
    <m/>
    <s v="VACACIONES"/>
    <m/>
    <m/>
    <m/>
    <m/>
  </r>
  <r>
    <x v="2"/>
    <n v="98645737"/>
    <s v="OSORIO"/>
    <s v="RIVERA"/>
    <s v="WILLIAM"/>
    <s v="ALBERTO"/>
    <s v="VIGILANTE"/>
    <x v="1"/>
    <d v="2021-02-24T00:00:00"/>
    <d v="2021-02-26T00:00:00"/>
    <n v="3"/>
    <n v="4"/>
    <s v="SEGUNDA VEZ"/>
    <m/>
    <m/>
    <m/>
    <m/>
  </r>
  <r>
    <x v="2"/>
    <n v="11793045"/>
    <s v="PALACIOS"/>
    <s v="PALACIOS"/>
    <s v="TEODORO"/>
    <m/>
    <s v="VIGILANTE"/>
    <x v="0"/>
    <d v="2021-02-14T00:00:00"/>
    <d v="2021-02-18T00:00:00"/>
    <n v="5"/>
    <m/>
    <s v="LICENCIA DE LUTO"/>
    <m/>
    <m/>
    <m/>
    <m/>
  </r>
  <r>
    <x v="2"/>
    <n v="1035834044"/>
    <s v="PARRA"/>
    <s v="RESTREPO"/>
    <s v="EDIL"/>
    <s v="SANTIAGO"/>
    <s v="VIGILANTE"/>
    <x v="0"/>
    <d v="2021-02-17T00:00:00"/>
    <d v="2021-02-25T00:00:00"/>
    <n v="5"/>
    <m/>
    <s v="LICENCIA DE PATERNIDAD"/>
    <m/>
    <m/>
    <m/>
    <m/>
  </r>
  <r>
    <x v="2"/>
    <n v="71642375"/>
    <s v="VILLEGAS"/>
    <s v="BETANCUR"/>
    <s v="CAMILO"/>
    <s v="ANTONIO"/>
    <s v="VIGILANTE"/>
    <x v="0"/>
    <d v="2021-02-24T00:00:00"/>
    <d v="2021-02-24T00:00:00"/>
    <n v="1"/>
    <m/>
    <s v="PERMISO NO REMUNERADO"/>
    <m/>
    <m/>
    <m/>
    <m/>
  </r>
  <r>
    <x v="2"/>
    <n v="1038626978"/>
    <s v="GOMEZ"/>
    <s v="NOREÑA"/>
    <s v="ANDRES"/>
    <s v="FELIPE"/>
    <s v="VIGILANTE"/>
    <x v="2"/>
    <d v="2021-02-24T00:00:00"/>
    <d v="2021-03-03T00:00:00"/>
    <n v="8"/>
    <m/>
    <s v="VACACIONES"/>
    <m/>
    <m/>
    <m/>
    <m/>
  </r>
  <r>
    <x v="2"/>
    <n v="14572160"/>
    <s v="RAMOS"/>
    <m/>
    <s v="CRISTOBAL"/>
    <m/>
    <s v="VIGILANTE"/>
    <x v="2"/>
    <d v="2021-02-26T00:00:00"/>
    <d v="2021-03-13T00:00:00"/>
    <n v="15"/>
    <m/>
    <s v="VACACIONES"/>
    <m/>
    <m/>
    <m/>
    <m/>
  </r>
  <r>
    <x v="2"/>
    <n v="71642375"/>
    <s v="VILLEGAS"/>
    <m/>
    <s v="CAMILO"/>
    <m/>
    <s v="VIGILANTE"/>
    <x v="2"/>
    <d v="2021-02-24T00:00:00"/>
    <d v="2021-03-13T00:00:00"/>
    <n v="17"/>
    <m/>
    <s v="VACACIONES"/>
    <m/>
    <m/>
    <m/>
    <m/>
  </r>
  <r>
    <x v="2"/>
    <n v="71744485"/>
    <s v="VALENCIA"/>
    <m/>
    <s v="DIEGO"/>
    <s v="ALEXANDER"/>
    <s v="VIGILANTE"/>
    <x v="0"/>
    <d v="2021-02-25T00:00:00"/>
    <d v="2021-01-26T00:00:00"/>
    <n v="1"/>
    <m/>
    <s v="PERMISO NO REMUNERADO"/>
    <m/>
    <m/>
    <m/>
    <m/>
  </r>
  <r>
    <x v="2"/>
    <n v="1097396763"/>
    <s v="BERMUDEZ"/>
    <s v="ECHAVARRIA"/>
    <s v="CRISTIAN "/>
    <s v="DANILO"/>
    <s v="VIGILANTE"/>
    <x v="0"/>
    <d v="2021-02-22T00:00:00"/>
    <d v="2021-02-24T00:00:00"/>
    <n v="2"/>
    <m/>
    <s v="PERMISO NO REMUNERADO"/>
    <m/>
    <m/>
    <m/>
    <m/>
  </r>
  <r>
    <x v="2"/>
    <n v="71949544"/>
    <s v="MORENO"/>
    <s v="MORENO"/>
    <s v="PASTOR"/>
    <s v="ELIAS"/>
    <s v="VIGILANTE"/>
    <x v="2"/>
    <d v="2021-02-23T00:00:00"/>
    <d v="2021-03-12T00:00:00"/>
    <n v="17"/>
    <m/>
    <s v="VACACIONES"/>
    <m/>
    <m/>
    <m/>
    <m/>
  </r>
  <r>
    <x v="2"/>
    <n v="1007240702"/>
    <s v="GUTIERREZ"/>
    <s v="RODRIGUEZ"/>
    <s v="BRAYAN"/>
    <s v="STIVEN"/>
    <s v="VIGILANTE"/>
    <x v="1"/>
    <d v="2021-02-26T00:00:00"/>
    <d v="2021-03-02T00:00:00"/>
    <n v="5"/>
    <n v="22"/>
    <s v="PRIMERA VEZ"/>
    <m/>
    <m/>
    <m/>
    <m/>
  </r>
  <r>
    <x v="2"/>
    <n v="1039886602"/>
    <s v="CHAVERRA"/>
    <s v="PULGARIN"/>
    <s v="LEONARDO"/>
    <s v="ANTONIO"/>
    <s v="VIGILANTE"/>
    <x v="0"/>
    <d v="2021-02-26T00:00:00"/>
    <d v="2021-02-26T00:00:00"/>
    <n v="1"/>
    <m/>
    <s v="PERMISO NO REMUNERADO"/>
    <m/>
    <m/>
    <m/>
    <m/>
  </r>
  <r>
    <x v="2"/>
    <n v="1087556053"/>
    <s v="SANTA"/>
    <s v="PATIÑO"/>
    <s v="LEIDY"/>
    <s v="ALEJANDRA"/>
    <s v="VIGILANTE"/>
    <x v="0"/>
    <d v="2021-02-27T00:00:00"/>
    <d v="2021-02-28T00:00:00"/>
    <n v="2"/>
    <m/>
    <s v="PERMISO NO REMUNERADO"/>
    <m/>
    <m/>
    <m/>
    <m/>
  </r>
  <r>
    <x v="3"/>
    <n v="1018374117"/>
    <s v="GOMEZ"/>
    <m/>
    <s v="WILLIAM"/>
    <m/>
    <s v="VIGILANTE"/>
    <x v="2"/>
    <d v="2021-03-07T00:00:00"/>
    <d v="2021-03-15T00:00:00"/>
    <n v="8"/>
    <m/>
    <s v="VACACIONES"/>
    <m/>
    <m/>
    <m/>
    <m/>
  </r>
  <r>
    <x v="3"/>
    <n v="98645737"/>
    <s v="OSORIO"/>
    <s v="RIVERA"/>
    <s v="WILLIAM"/>
    <s v="ALBERTO"/>
    <s v="VIGILANTE"/>
    <x v="0"/>
    <d v="2021-03-30T00:00:00"/>
    <d v="2021-04-07T00:00:00"/>
    <n v="9"/>
    <m/>
    <s v="PERMISO NO REMUNERADO"/>
    <m/>
    <m/>
    <m/>
    <m/>
  </r>
  <r>
    <x v="3"/>
    <n v="1038626978"/>
    <s v="GOMEZ"/>
    <s v="NOREÑA"/>
    <s v="ANDRES"/>
    <s v="FELIPE"/>
    <s v="VIGILANTE"/>
    <x v="2"/>
    <d v="2021-03-04T00:00:00"/>
    <d v="2021-03-12T00:00:00"/>
    <n v="8"/>
    <m/>
    <s v="VACACIONES"/>
    <m/>
    <m/>
    <m/>
    <m/>
  </r>
  <r>
    <x v="3"/>
    <n v="1214731787"/>
    <s v="ZAPATA"/>
    <s v="TABARES"/>
    <s v="DAILYS"/>
    <s v="VIVIANA"/>
    <s v="VIGILANTE"/>
    <x v="0"/>
    <d v="2021-03-19T00:00:00"/>
    <d v="2021-03-21T00:00:00"/>
    <n v="5"/>
    <m/>
    <s v="PERMISO NO REMUNERADO"/>
    <m/>
    <m/>
    <m/>
    <m/>
  </r>
  <r>
    <x v="3"/>
    <n v="3556779"/>
    <s v="OSORIO"/>
    <s v="SUAREZ"/>
    <s v="JHONNY"/>
    <s v="ANDRES"/>
    <s v="VIGILANTE"/>
    <x v="1"/>
    <d v="2021-03-01T00:00:00"/>
    <d v="2021-03-05T00:00:00"/>
    <n v="5"/>
    <n v="1"/>
    <s v="PRIMERA VEZ"/>
    <m/>
    <m/>
    <m/>
    <m/>
  </r>
  <r>
    <x v="3"/>
    <n v="71991931"/>
    <s v="PATIÑO"/>
    <s v="FRANCO"/>
    <s v="ALBERTO"/>
    <s v="DE JESUS"/>
    <s v="VIGILANTE"/>
    <x v="1"/>
    <d v="2021-03-01T00:00:00"/>
    <d v="2021-03-03T00:00:00"/>
    <n v="3"/>
    <n v="10"/>
    <s v="PRIMERA VEZ"/>
    <m/>
    <m/>
    <m/>
    <m/>
  </r>
  <r>
    <x v="3"/>
    <n v="1081803532"/>
    <s v="JIMENEZ"/>
    <s v="RODRIGUEZ"/>
    <s v="JOSE"/>
    <s v="ALFREDO"/>
    <s v="VIGILANTE"/>
    <x v="1"/>
    <d v="2021-03-01T00:00:00"/>
    <d v="2021-03-01T00:00:00"/>
    <n v="1"/>
    <n v="6"/>
    <s v="PRIMERA VEZ"/>
    <m/>
    <m/>
    <m/>
    <m/>
  </r>
  <r>
    <x v="3"/>
    <n v="12970483"/>
    <s v="SANCHEZ"/>
    <s v="GIRALDO"/>
    <s v="MILTON"/>
    <m/>
    <s v="VIGILANTE"/>
    <x v="1"/>
    <d v="2021-03-01T00:00:00"/>
    <d v="2021-03-05T00:00:00"/>
    <n v="5"/>
    <n v="1"/>
    <s v="PRIMERA VEZ"/>
    <m/>
    <m/>
    <m/>
    <m/>
  </r>
  <r>
    <x v="3"/>
    <n v="1128454334"/>
    <s v="TORO"/>
    <s v="TORO"/>
    <s v="CRISTIAN "/>
    <s v="CAMILO"/>
    <s v="VIGILANTE"/>
    <x v="2"/>
    <d v="2021-03-01T00:00:00"/>
    <d v="2021-03-17T00:00:00"/>
    <n v="15"/>
    <m/>
    <s v="VACACIONES"/>
    <m/>
    <m/>
    <m/>
    <m/>
  </r>
  <r>
    <x v="3"/>
    <n v="8414569"/>
    <s v="GAVIRIA"/>
    <s v="BERRIO"/>
    <s v="ARNOLDO"/>
    <m/>
    <s v="VIGILANTE"/>
    <x v="2"/>
    <d v="2021-03-03T00:00:00"/>
    <d v="2021-03-21T00:00:00"/>
    <n v="18"/>
    <m/>
    <s v="VACACIONES"/>
    <m/>
    <m/>
    <m/>
    <m/>
  </r>
  <r>
    <x v="3"/>
    <n v="1131519226"/>
    <s v="MUSUKE"/>
    <s v="FURONATOFE"/>
    <s v="ELVER"/>
    <m/>
    <s v="VIGILANTE"/>
    <x v="2"/>
    <d v="2021-03-01T00:00:00"/>
    <d v="2021-03-17T00:00:00"/>
    <n v="17"/>
    <m/>
    <s v="VACACIONES"/>
    <m/>
    <m/>
    <m/>
    <m/>
  </r>
  <r>
    <x v="3"/>
    <n v="1002997006"/>
    <s v="PINTO"/>
    <s v="MORELO"/>
    <s v="RICHARD"/>
    <m/>
    <s v="VIGILANTE"/>
    <x v="1"/>
    <d v="2021-03-04T00:00:00"/>
    <d v="2021-03-06T00:00:00"/>
    <n v="3"/>
    <n v="10"/>
    <s v="PRIMERA VEZ"/>
    <m/>
    <m/>
    <m/>
    <m/>
  </r>
  <r>
    <x v="3"/>
    <n v="98514610"/>
    <s v="HENAO"/>
    <s v="SIERRA"/>
    <s v="LUIS"/>
    <s v="FERNANDO"/>
    <s v="VIGILANTE"/>
    <x v="1"/>
    <d v="2021-03-05T00:00:00"/>
    <d v="2021-03-05T00:00:00"/>
    <n v="1"/>
    <n v="6"/>
    <s v="PRIMERA VEZ"/>
    <m/>
    <m/>
    <m/>
    <m/>
  </r>
  <r>
    <x v="3"/>
    <n v="71181543"/>
    <s v="CARMONA"/>
    <s v="PEÑA"/>
    <s v="JORGE"/>
    <s v="NICOLAS"/>
    <s v="VIGILANTE"/>
    <x v="0"/>
    <d v="2021-03-06T00:00:00"/>
    <d v="2021-03-06T00:00:00"/>
    <n v="1"/>
    <m/>
    <s v="PERMISO NO REMUNERADO"/>
    <m/>
    <m/>
    <m/>
    <m/>
  </r>
  <r>
    <x v="3"/>
    <n v="15309929"/>
    <s v="GALVIS"/>
    <s v="CASTRO"/>
    <s v="NICOLAS"/>
    <s v="EMIRO"/>
    <s v="VIGILANTE"/>
    <x v="0"/>
    <d v="2021-03-04T00:00:00"/>
    <d v="2021-03-05T00:00:00"/>
    <n v="1"/>
    <m/>
    <s v="PERMISO NO REMUNERADO"/>
    <m/>
    <m/>
    <m/>
    <m/>
  </r>
  <r>
    <x v="3"/>
    <n v="98704948"/>
    <s v="RESTREPO "/>
    <s v="URIBE"/>
    <s v="CARLOS"/>
    <s v="MARIO"/>
    <s v="VIGILANTE"/>
    <x v="0"/>
    <d v="2021-03-13T00:00:00"/>
    <d v="2021-03-21T00:00:00"/>
    <n v="8"/>
    <m/>
    <s v="PERMISO NO REMUNERADO"/>
    <m/>
    <m/>
    <m/>
    <m/>
  </r>
  <r>
    <x v="3"/>
    <n v="1001508708"/>
    <s v="VELEZ"/>
    <s v="USUAGA"/>
    <s v="IGUEL"/>
    <s v="ANGEL"/>
    <s v="VIGILANTE"/>
    <x v="2"/>
    <d v="2021-03-08T00:00:00"/>
    <d v="2021-03-16T00:00:00"/>
    <n v="18"/>
    <m/>
    <s v="VACACIONES"/>
    <m/>
    <m/>
    <m/>
    <m/>
  </r>
  <r>
    <x v="3"/>
    <n v="79614640"/>
    <s v="VARGAS"/>
    <s v="GARAY"/>
    <s v="PEDRO"/>
    <m/>
    <s v="VIGILANTE"/>
    <x v="2"/>
    <d v="2021-03-06T00:00:00"/>
    <d v="2021-03-25T00:00:00"/>
    <n v="19"/>
    <m/>
    <s v="VACACIONES"/>
    <m/>
    <m/>
    <m/>
    <m/>
  </r>
  <r>
    <x v="3"/>
    <n v="1104434765"/>
    <s v="MERCADO"/>
    <s v="CASTRILLON"/>
    <s v="MANUEL"/>
    <s v="DE JESUS"/>
    <s v="VIGILANTE"/>
    <x v="1"/>
    <d v="2021-03-08T00:00:00"/>
    <d v="2021-03-12T00:00:00"/>
    <n v="5"/>
    <n v="20"/>
    <s v="SEGUNDA VEZ"/>
    <m/>
    <m/>
    <m/>
    <m/>
  </r>
  <r>
    <x v="3"/>
    <n v="98696766"/>
    <s v="GOMEZ"/>
    <s v="MACHADO"/>
    <s v="VICENTE"/>
    <s v="AUGUSTO"/>
    <s v="VIGILANTE"/>
    <x v="1"/>
    <d v="2021-03-08T00:00:00"/>
    <d v="2021-03-12T00:00:00"/>
    <n v="5"/>
    <n v="22"/>
    <s v="PRIMERA VEZ"/>
    <m/>
    <m/>
    <m/>
    <m/>
  </r>
  <r>
    <x v="3"/>
    <n v="1216715391"/>
    <s v="BOLIVAR"/>
    <s v="LOPEZ"/>
    <s v="VICTOR"/>
    <s v="ESTEBAN"/>
    <s v="VIGILANTE"/>
    <x v="1"/>
    <d v="2021-03-10T00:00:00"/>
    <d v="2021-03-14T00:00:00"/>
    <n v="5"/>
    <n v="1"/>
    <s v="PRIMERA VEZ"/>
    <m/>
    <m/>
    <m/>
    <m/>
  </r>
  <r>
    <x v="3"/>
    <n v="1216717724"/>
    <s v="AGUDELO"/>
    <s v="LONDOÑO"/>
    <s v="JUAN "/>
    <s v="PABLO"/>
    <s v="VIGILANTE"/>
    <x v="0"/>
    <d v="2021-03-28T00:00:00"/>
    <d v="2021-03-29T00:00:00"/>
    <n v="1"/>
    <m/>
    <s v="PERMISO NO REMUNERADO"/>
    <m/>
    <m/>
    <m/>
    <m/>
  </r>
  <r>
    <x v="3"/>
    <n v="91136051"/>
    <s v="MATEUS"/>
    <s v="HERNANDEZ"/>
    <s v="ANDERSON"/>
    <s v="MIGUEL"/>
    <s v="VIGILANTE"/>
    <x v="2"/>
    <d v="2021-03-12T00:00:00"/>
    <d v="2021-03-31T00:00:00"/>
    <n v="19"/>
    <m/>
    <s v="VACACIONES"/>
    <m/>
    <m/>
    <m/>
    <m/>
  </r>
  <r>
    <x v="3"/>
    <n v="43708197"/>
    <s v="HERRERA"/>
    <s v="GARCIA"/>
    <s v="AIDE"/>
    <s v="DEL SOCORRO"/>
    <s v="VIGILANTE"/>
    <x v="2"/>
    <d v="2021-03-15T00:00:00"/>
    <d v="2021-03-25T00:00:00"/>
    <n v="8"/>
    <m/>
    <s v="VACACIONES"/>
    <m/>
    <m/>
    <m/>
    <m/>
  </r>
  <r>
    <x v="3"/>
    <n v="43983990"/>
    <s v="RESTREPO "/>
    <s v="HERNANDEZ"/>
    <s v="ERIKA"/>
    <s v="JANETH"/>
    <s v="VIGILANTE"/>
    <x v="2"/>
    <d v="2021-03-10T00:00:00"/>
    <d v="2021-03-28T00:00:00"/>
    <n v="18"/>
    <m/>
    <s v="VACACIONES"/>
    <m/>
    <m/>
    <m/>
    <m/>
  </r>
  <r>
    <x v="3"/>
    <n v="1109291212"/>
    <s v="GOMEZ"/>
    <s v="MEJIA"/>
    <s v="JULIAN"/>
    <m/>
    <s v="VIGILANTE"/>
    <x v="0"/>
    <d v="2021-03-20T00:00:00"/>
    <d v="2021-03-21T00:00:00"/>
    <n v="1"/>
    <m/>
    <s v="PERMISO NO REMUNERADO"/>
    <m/>
    <m/>
    <m/>
    <m/>
  </r>
  <r>
    <x v="3"/>
    <n v="71950209"/>
    <s v="CASTRILLON"/>
    <m/>
    <s v="WILLIAM"/>
    <s v="FERNANDO"/>
    <s v="VIGILANTE"/>
    <x v="0"/>
    <d v="2021-03-09T00:00:00"/>
    <d v="2021-05-10T00:00:00"/>
    <n v="60"/>
    <m/>
    <s v="PERMISO NO REMUNERADO"/>
    <m/>
    <m/>
    <m/>
    <m/>
  </r>
  <r>
    <x v="3"/>
    <n v="1216717124"/>
    <s v="AGUDELO"/>
    <s v="LONDOÑO"/>
    <s v="JUAN"/>
    <s v="PABLO"/>
    <s v="VIGILANTE"/>
    <x v="0"/>
    <d v="2021-03-28T00:00:00"/>
    <d v="2021-03-29T00:00:00"/>
    <n v="1"/>
    <m/>
    <s v="PERMISO NO REMUNERADO"/>
    <m/>
    <m/>
    <m/>
    <m/>
  </r>
  <r>
    <x v="3"/>
    <n v="1216723829"/>
    <s v="ARANGO"/>
    <s v="FLOREZ"/>
    <s v="MARLON"/>
    <s v="DARIO"/>
    <s v="VIGILANTE"/>
    <x v="0"/>
    <d v="2021-03-24T00:00:00"/>
    <d v="2021-03-25T00:00:00"/>
    <n v="1"/>
    <m/>
    <s v="PERMISO NO REMUNERADO"/>
    <m/>
    <m/>
    <m/>
    <m/>
  </r>
  <r>
    <x v="3"/>
    <n v="70435808"/>
    <s v="MANCO"/>
    <s v="HURTADO"/>
    <s v="JUAN"/>
    <s v="CARLOS"/>
    <s v="VIGILANTE"/>
    <x v="0"/>
    <d v="2021-03-27T00:00:00"/>
    <d v="2021-03-29T00:00:00"/>
    <n v="2"/>
    <m/>
    <s v="PERMISO NO REMUNERADO"/>
    <m/>
    <m/>
    <m/>
    <m/>
  </r>
  <r>
    <x v="3"/>
    <n v="71389171"/>
    <s v="RESTREPO "/>
    <s v="SILVA"/>
    <s v="FRANKLIN"/>
    <s v="WILLY"/>
    <s v="VIGILANTE"/>
    <x v="0"/>
    <d v="2021-03-21T00:00:00"/>
    <d v="2021-03-22T00:00:00"/>
    <n v="1"/>
    <m/>
    <s v="PERMISO NO REMUNERADO"/>
    <m/>
    <m/>
    <m/>
    <m/>
  </r>
  <r>
    <x v="3"/>
    <n v="1040378911"/>
    <s v="PEREZ"/>
    <s v="AMAYA"/>
    <s v="DIOSMAN"/>
    <m/>
    <s v="VIGILANTE"/>
    <x v="0"/>
    <d v="2021-03-11T00:00:00"/>
    <d v="2021-03-15T00:00:00"/>
    <n v="5"/>
    <m/>
    <s v="PERMISO NO REMUNERADO"/>
    <m/>
    <m/>
    <m/>
    <m/>
  </r>
  <r>
    <x v="3"/>
    <n v="3481465"/>
    <s v="LOPERA"/>
    <m/>
    <s v="ARTURO"/>
    <m/>
    <s v="VIGILANTE"/>
    <x v="0"/>
    <d v="2021-03-31T00:00:00"/>
    <d v="2021-03-31T00:00:00"/>
    <n v="1"/>
    <m/>
    <s v="PERMISO NO REMUNERADO"/>
    <m/>
    <m/>
    <m/>
    <m/>
  </r>
  <r>
    <x v="3"/>
    <n v="8458939"/>
    <s v="ARRUBLA"/>
    <m/>
    <s v="HECTOR"/>
    <m/>
    <s v="VIGILANTE"/>
    <x v="0"/>
    <d v="2021-03-09T00:00:00"/>
    <d v="2021-03-11T00:00:00"/>
    <n v="3"/>
    <m/>
    <s v="PERMISO NO REMUNERADO"/>
    <m/>
    <m/>
    <m/>
    <m/>
  </r>
  <r>
    <x v="3"/>
    <n v="1087556053"/>
    <s v="SANTA"/>
    <s v="PATIÑO"/>
    <s v="LEIDY"/>
    <s v="ALEJANDRA"/>
    <s v="VIGILANTE"/>
    <x v="1"/>
    <d v="2021-03-11T00:00:00"/>
    <d v="2021-03-12T00:00:00"/>
    <n v="1"/>
    <n v="6"/>
    <s v="PRIMERA VEZ"/>
    <m/>
    <m/>
    <m/>
    <m/>
  </r>
  <r>
    <x v="3"/>
    <n v="1041265039"/>
    <s v="AYALA"/>
    <s v="BERNA"/>
    <s v="JAVIER"/>
    <m/>
    <s v="VIGILANTE"/>
    <x v="1"/>
    <d v="2021-03-12T00:00:00"/>
    <d v="2021-03-12T00:00:00"/>
    <n v="1"/>
    <n v="4"/>
    <s v="PRIMERA VEZ"/>
    <m/>
    <m/>
    <m/>
    <m/>
  </r>
  <r>
    <x v="3"/>
    <n v="1017269057"/>
    <s v="GOMEZ"/>
    <s v="RAMIREZ"/>
    <s v="KEVIN"/>
    <m/>
    <s v="VIGILANTE"/>
    <x v="1"/>
    <s v="11/03/021"/>
    <d v="2021-03-11T00:00:00"/>
    <n v="1"/>
    <n v="20"/>
    <s v="PRIMERA VEZ"/>
    <m/>
    <m/>
    <m/>
    <m/>
  </r>
  <r>
    <x v="3"/>
    <n v="1007304576"/>
    <s v="MUÑOZ"/>
    <s v="SANCHEZ"/>
    <s v="NICOLAS"/>
    <s v="ANDRES"/>
    <s v="VIGILANTE"/>
    <x v="0"/>
    <d v="2021-03-14T00:00:00"/>
    <d v="2021-03-15T00:00:00"/>
    <n v="1"/>
    <m/>
    <s v="PERMISO NO REMUNERADO"/>
    <m/>
    <m/>
    <m/>
    <m/>
  </r>
  <r>
    <x v="3"/>
    <n v="71625068"/>
    <s v="CARVAJAL"/>
    <s v="RESTREPO"/>
    <s v="FABIAN"/>
    <m/>
    <s v="VIGILANTE"/>
    <x v="0"/>
    <d v="2021-03-17T00:00:00"/>
    <d v="2021-03-18T00:00:00"/>
    <n v="1"/>
    <m/>
    <s v="PERMISO NO REMUNERADO"/>
    <m/>
    <m/>
    <m/>
    <m/>
  </r>
  <r>
    <x v="3"/>
    <n v="71701124"/>
    <s v="TABAREZ"/>
    <m/>
    <s v="JOSE"/>
    <s v="IGNACIO"/>
    <s v="VIGILANTE"/>
    <x v="0"/>
    <d v="2021-03-21T00:00:00"/>
    <d v="2021-03-22T00:00:00"/>
    <n v="1"/>
    <m/>
    <s v="PERMISO NO REMUNERADO"/>
    <m/>
    <m/>
    <m/>
    <m/>
  </r>
  <r>
    <x v="3"/>
    <n v="11804878"/>
    <s v="GAMBOA"/>
    <m/>
    <s v="ROBINSON"/>
    <m/>
    <s v="VIGILANTE"/>
    <x v="0"/>
    <d v="2021-03-22T00:00:00"/>
    <d v="2021-03-23T00:00:00"/>
    <n v="2"/>
    <m/>
    <s v="PERMISO NO REMUNERADO"/>
    <m/>
    <m/>
    <m/>
    <m/>
  </r>
  <r>
    <x v="3"/>
    <n v="1035434835"/>
    <s v="FLOREZ"/>
    <s v="PAEZ"/>
    <s v="JORGE"/>
    <s v="ELIECER"/>
    <s v="VIGILANTE"/>
    <x v="2"/>
    <d v="2021-03-11T00:00:00"/>
    <d v="2021-03-30T00:00:00"/>
    <n v="15"/>
    <m/>
    <s v="VACACIONES"/>
    <m/>
    <m/>
    <m/>
    <m/>
  </r>
  <r>
    <x v="3"/>
    <n v="70108742"/>
    <s v="DIAZ"/>
    <s v="ARENAS"/>
    <m/>
    <s v="REINALDO"/>
    <s v="VIGILANTE"/>
    <x v="2"/>
    <d v="2021-03-17T00:00:00"/>
    <d v="2021-04-07T00:00:00"/>
    <n v="15"/>
    <m/>
    <s v="VACACIONES"/>
    <m/>
    <m/>
    <m/>
    <m/>
  </r>
  <r>
    <x v="3"/>
    <n v="98696766"/>
    <s v="GOMEZ"/>
    <s v="MACHADO"/>
    <s v="VICENTE"/>
    <s v="AUGUSTO"/>
    <s v="VIGILANTE"/>
    <x v="2"/>
    <d v="2021-03-16T00:00:00"/>
    <d v="2021-03-24T00:00:00"/>
    <n v="8"/>
    <m/>
    <s v="VACACIONES"/>
    <m/>
    <m/>
    <m/>
    <m/>
  </r>
  <r>
    <x v="3"/>
    <n v="98696766"/>
    <s v="GOMEZ"/>
    <s v="MACHADO"/>
    <s v="VICENTE"/>
    <s v="AUGUSTO"/>
    <s v="VIGILANTE"/>
    <x v="2"/>
    <d v="2021-03-24T00:00:00"/>
    <d v="2021-04-01T00:00:00"/>
    <n v="8"/>
    <m/>
    <s v="VACACIONES"/>
    <m/>
    <m/>
    <m/>
    <m/>
  </r>
  <r>
    <x v="3"/>
    <n v="98502364"/>
    <s v="FERREIRO"/>
    <s v="LOPEZ"/>
    <s v="YONY"/>
    <s v="ALEXANDER"/>
    <s v="VIGILANTE"/>
    <x v="2"/>
    <d v="2021-03-15T00:00:00"/>
    <d v="2021-03-22T00:00:00"/>
    <n v="8"/>
    <m/>
    <s v="VACACIONES"/>
    <m/>
    <m/>
    <m/>
    <m/>
  </r>
  <r>
    <x v="3"/>
    <n v="98502364"/>
    <s v="FERREIRO"/>
    <s v="LOPEZ"/>
    <s v="YONY"/>
    <s v="ALEXANDER"/>
    <s v="VIGILANTE"/>
    <x v="2"/>
    <d v="2021-03-23T00:00:00"/>
    <d v="2021-03-31T00:00:00"/>
    <n v="8"/>
    <m/>
    <s v="VACACIONES"/>
    <m/>
    <m/>
    <m/>
    <m/>
  </r>
  <r>
    <x v="3"/>
    <n v="1152710691"/>
    <s v="HIGUITA"/>
    <s v="HERNANDEZ"/>
    <s v="JHONATAN"/>
    <s v="HOGUITA"/>
    <s v="VIGILANTE"/>
    <x v="1"/>
    <d v="2021-03-15T00:00:00"/>
    <d v="2021-03-19T00:00:00"/>
    <n v="5"/>
    <n v="1"/>
    <s v="PRIMERA VEZ"/>
    <m/>
    <m/>
    <m/>
    <m/>
  </r>
  <r>
    <x v="3"/>
    <n v="11807740"/>
    <s v="RIVAS"/>
    <s v="MARTINEZ"/>
    <s v="LEIXER"/>
    <m/>
    <s v="VIGILANTE"/>
    <x v="1"/>
    <d v="2021-03-15T00:00:00"/>
    <d v="2021-03-19T00:00:00"/>
    <n v="5"/>
    <n v="10"/>
    <s v="SEGUNDA VEZ"/>
    <m/>
    <m/>
    <m/>
    <m/>
  </r>
  <r>
    <x v="3"/>
    <n v="91444147"/>
    <s v="SANCHEZ"/>
    <s v="PALACIOS"/>
    <s v="RUGER"/>
    <s v="OMAR"/>
    <s v="VIGILANTE"/>
    <x v="1"/>
    <d v="2021-03-15T00:00:00"/>
    <d v="2021-03-19T00:00:00"/>
    <n v="5"/>
    <n v="6"/>
    <s v="PRIMERA VEZ"/>
    <m/>
    <m/>
    <m/>
    <m/>
  </r>
  <r>
    <x v="3"/>
    <n v="1152690766"/>
    <s v="RICO "/>
    <s v="HERNANDEZ"/>
    <s v="JHONATAN"/>
    <m/>
    <s v="VIGILANTE"/>
    <x v="2"/>
    <d v="2021-03-17T00:00:00"/>
    <d v="2021-04-06T00:00:00"/>
    <n v="15"/>
    <m/>
    <s v="VACACIONES"/>
    <m/>
    <m/>
    <m/>
    <m/>
  </r>
  <r>
    <x v="3"/>
    <n v="15506392"/>
    <s v="MUÑOZ"/>
    <s v="ORTIZ"/>
    <s v="RUBEN"/>
    <s v="DARIO"/>
    <s v="VIGILANTE"/>
    <x v="2"/>
    <d v="2021-03-25T00:00:00"/>
    <d v="2021-04-14T00:00:00"/>
    <n v="15"/>
    <m/>
    <s v="VACACIONES"/>
    <m/>
    <m/>
    <m/>
    <m/>
  </r>
  <r>
    <x v="3"/>
    <n v="98645737"/>
    <s v="OSORIO"/>
    <s v="RIVERA"/>
    <s v="WILLIAM"/>
    <s v="ALBERTO"/>
    <s v="VIGILANTE"/>
    <x v="2"/>
    <d v="2021-03-30T00:00:00"/>
    <d v="2021-04-08T00:00:00"/>
    <n v="9"/>
    <m/>
    <s v="VACACIONES"/>
    <m/>
    <m/>
    <m/>
    <m/>
  </r>
  <r>
    <x v="3"/>
    <n v="15526159"/>
    <s v="RUA"/>
    <s v="VALENCIA"/>
    <s v="HECTOR"/>
    <s v="DE JESUS"/>
    <s v="VIGILANTE"/>
    <x v="2"/>
    <d v="2021-03-19T00:00:00"/>
    <d v="2021-04-09T00:00:00"/>
    <n v="21"/>
    <m/>
    <s v="VACACIONES"/>
    <m/>
    <m/>
    <m/>
    <m/>
  </r>
  <r>
    <x v="3"/>
    <n v="98554838"/>
    <s v="HENAO"/>
    <s v="CARDONA"/>
    <s v="JUAN"/>
    <s v="CARLOS"/>
    <s v="VIGILANTE"/>
    <x v="0"/>
    <d v="2021-03-12T00:00:00"/>
    <d v="2021-03-13T00:00:00"/>
    <n v="1"/>
    <m/>
    <s v="PERMISO NO REMUNERADO"/>
    <m/>
    <m/>
    <m/>
    <m/>
  </r>
  <r>
    <x v="3"/>
    <n v="1038627427"/>
    <s v="NOREÑA"/>
    <s v="RIOS"/>
    <s v="RUBEN"/>
    <m/>
    <s v="VIGILANTE"/>
    <x v="2"/>
    <d v="2021-03-15T00:00:00"/>
    <d v="2021-04-04T00:00:00"/>
    <n v="19"/>
    <m/>
    <s v="VACACIONES"/>
    <m/>
    <m/>
    <m/>
    <m/>
  </r>
  <r>
    <x v="3"/>
    <n v="14605912"/>
    <s v="POSSO"/>
    <s v="TORRES"/>
    <s v="JOSE"/>
    <s v="HUMBERTO"/>
    <s v="VIGILANTE"/>
    <x v="2"/>
    <d v="2021-03-15T00:00:00"/>
    <d v="2021-04-04T00:00:00"/>
    <n v="19"/>
    <m/>
    <s v="VACACIONES"/>
    <m/>
    <m/>
    <m/>
    <m/>
  </r>
  <r>
    <x v="3"/>
    <n v="8064287"/>
    <s v="LONDOÑO"/>
    <m/>
    <s v="OSCAR"/>
    <s v="DAIRO"/>
    <s v="VIGILANTE"/>
    <x v="2"/>
    <d v="2021-03-06T00:00:00"/>
    <d v="2021-03-24T00:00:00"/>
    <n v="15"/>
    <m/>
    <s v="VACACIONES"/>
    <m/>
    <m/>
    <m/>
    <m/>
  </r>
  <r>
    <x v="3"/>
    <n v="8064287"/>
    <s v="LONDOÑO"/>
    <m/>
    <s v="OSCAR"/>
    <s v="DAIRO"/>
    <s v="VIGILANTE"/>
    <x v="2"/>
    <d v="2021-03-24T00:00:00"/>
    <d v="2021-04-13T00:00:00"/>
    <n v="15"/>
    <m/>
    <s v="VACACIONES"/>
    <m/>
    <m/>
    <m/>
    <m/>
  </r>
  <r>
    <x v="3"/>
    <n v="3482728"/>
    <s v="HOLGUIN"/>
    <s v="ARENAS"/>
    <s v="HECTOR"/>
    <m/>
    <s v="VIGILANTE"/>
    <x v="2"/>
    <d v="2021-03-08T00:00:00"/>
    <d v="2021-03-26T00:00:00"/>
    <n v="18"/>
    <m/>
    <s v="VACACIONES"/>
    <m/>
    <m/>
    <m/>
    <m/>
  </r>
  <r>
    <x v="3"/>
    <n v="1038770768"/>
    <s v="ARENAS"/>
    <s v="VELEZ"/>
    <s v="GUSTAVO"/>
    <m/>
    <s v="VIGILANTE"/>
    <x v="2"/>
    <d v="2021-03-03T00:00:00"/>
    <d v="2021-03-20T00:00:00"/>
    <n v="17"/>
    <m/>
    <s v="VACACIONES"/>
    <m/>
    <m/>
    <m/>
    <m/>
  </r>
  <r>
    <x v="3"/>
    <n v="75050314"/>
    <s v="MEDINA"/>
    <s v="CASTAÑO"/>
    <s v="CARLOS"/>
    <s v="MARIO"/>
    <s v="VIGILANTE"/>
    <x v="2"/>
    <d v="2021-03-05T00:00:00"/>
    <d v="2021-03-24T00:00:00"/>
    <n v="19"/>
    <m/>
    <s v="VACACIONES"/>
    <m/>
    <m/>
    <m/>
    <m/>
  </r>
  <r>
    <x v="3"/>
    <n v="8414593"/>
    <s v="USUGA"/>
    <s v="LEAL"/>
    <s v="ABEL"/>
    <s v="TOBIAS"/>
    <s v="VIGILANTE"/>
    <x v="2"/>
    <d v="2021-03-12T00:00:00"/>
    <d v="2021-03-19T00:00:00"/>
    <n v="8"/>
    <m/>
    <s v="VACACIONES"/>
    <m/>
    <m/>
    <m/>
    <m/>
  </r>
  <r>
    <x v="3"/>
    <n v="8414593"/>
    <s v="USUGA"/>
    <s v="LEAL"/>
    <s v="ABEL"/>
    <s v="TOBIAS"/>
    <s v="VIGILANTE"/>
    <x v="2"/>
    <d v="2021-03-20T00:00:00"/>
    <d v="2021-03-28T00:00:00"/>
    <n v="8"/>
    <m/>
    <s v="VACACIONES"/>
    <m/>
    <m/>
    <m/>
    <m/>
  </r>
  <r>
    <x v="3"/>
    <n v="98478263"/>
    <s v="VASQUEZ"/>
    <m/>
    <s v="JHON"/>
    <s v="JAIRO"/>
    <s v="VIGILANTE"/>
    <x v="2"/>
    <d v="2021-03-03T00:00:00"/>
    <d v="2021-03-10T00:00:00"/>
    <n v="8"/>
    <m/>
    <s v="VACACIONES"/>
    <m/>
    <m/>
    <m/>
    <m/>
  </r>
  <r>
    <x v="3"/>
    <n v="98478263"/>
    <s v="VASQUEZ"/>
    <m/>
    <s v="JHON"/>
    <s v="JAIRO"/>
    <s v="VIGILANTE"/>
    <x v="2"/>
    <d v="2021-03-11T00:00:00"/>
    <d v="2021-03-19T00:00:00"/>
    <n v="8"/>
    <m/>
    <s v="VACACIONES"/>
    <m/>
    <m/>
    <m/>
    <m/>
  </r>
  <r>
    <x v="3"/>
    <n v="1037607702"/>
    <s v="LOPEZ"/>
    <s v="AGUDELO"/>
    <s v="JHON"/>
    <s v="ALEXANDER"/>
    <s v="VIGILANTE"/>
    <x v="2"/>
    <d v="2021-03-10T00:00:00"/>
    <d v="2021-03-28T00:00:00"/>
    <n v="18"/>
    <m/>
    <s v="VACACIONES"/>
    <m/>
    <m/>
    <m/>
    <m/>
  </r>
  <r>
    <x v="3"/>
    <n v="1017207367"/>
    <s v="URIBE"/>
    <s v="GARCIA"/>
    <s v="ANTONIO"/>
    <m/>
    <s v="VIGILANTE"/>
    <x v="2"/>
    <d v="2021-03-18T00:00:00"/>
    <d v="2021-04-07T00:00:00"/>
    <n v="21"/>
    <m/>
    <s v="VACACIONES"/>
    <m/>
    <m/>
    <m/>
    <m/>
  </r>
  <r>
    <x v="3"/>
    <n v="71950509"/>
    <s v="CASTRILLON"/>
    <m/>
    <s v="WILLIAM"/>
    <m/>
    <s v="VIGILANTE"/>
    <x v="0"/>
    <d v="2021-03-08T00:00:00"/>
    <d v="2021-04-09T00:00:00"/>
    <n v="30"/>
    <m/>
    <s v="PERMISO NO REMUNERADO"/>
    <m/>
    <m/>
    <m/>
    <m/>
  </r>
  <r>
    <x v="3"/>
    <n v="1035425214"/>
    <s v="AMARILES"/>
    <s v="MESA"/>
    <s v="EDWIN "/>
    <s v="ALBERTO"/>
    <s v="VIGILANTE"/>
    <x v="0"/>
    <d v="2021-03-18T00:00:00"/>
    <d v="2021-03-19T00:00:00"/>
    <n v="1"/>
    <m/>
    <s v="PERMISO NO REMUNERADO"/>
    <m/>
    <m/>
    <m/>
    <m/>
  </r>
  <r>
    <x v="3"/>
    <n v="71318381"/>
    <s v="RESTREPO "/>
    <s v="GONZALES"/>
    <s v="JHON"/>
    <s v="EDISON"/>
    <s v="VIGILANTE"/>
    <x v="2"/>
    <d v="2021-03-27T00:00:00"/>
    <d v="2021-04-16T00:00:00"/>
    <n v="20"/>
    <m/>
    <s v="VACACIONES"/>
    <m/>
    <m/>
    <m/>
    <m/>
  </r>
  <r>
    <x v="3"/>
    <n v="1017232172"/>
    <s v="GOMEZ"/>
    <s v="GARCIA"/>
    <s v="BRAYAN"/>
    <m/>
    <s v="VIGILANTE"/>
    <x v="2"/>
    <d v="2021-03-15T00:00:00"/>
    <d v="2021-04-04T00:00:00"/>
    <n v="15"/>
    <m/>
    <s v="VACACIONES"/>
    <m/>
    <m/>
    <m/>
    <m/>
  </r>
  <r>
    <x v="3"/>
    <n v="1039886602"/>
    <s v="CHAVERRA"/>
    <s v="PULGARIN"/>
    <s v="LEONARDO"/>
    <m/>
    <s v="VIGILANTE"/>
    <x v="1"/>
    <d v="2021-03-24T00:00:00"/>
    <d v="2021-03-25T00:00:00"/>
    <n v="1"/>
    <n v="20"/>
    <s v="PRIMERA VEZ"/>
    <m/>
    <m/>
    <m/>
    <m/>
  </r>
  <r>
    <x v="3"/>
    <s v="22.188.088"/>
    <s v="ORTIZ"/>
    <m/>
    <s v="MARIA"/>
    <s v="DELCIRA"/>
    <s v="VIGILANTE"/>
    <x v="1"/>
    <d v="2021-03-23T00:00:00"/>
    <d v="2021-03-25T00:00:00"/>
    <n v="3"/>
    <n v="6"/>
    <s v="SEGUNDA VEZ"/>
    <m/>
    <m/>
    <m/>
    <m/>
  </r>
  <r>
    <x v="3"/>
    <n v="1001031850"/>
    <s v="MALMACEA"/>
    <s v="SIERRA"/>
    <s v="CARLOS"/>
    <s v="ENRIQUE"/>
    <s v="VIGILANTE"/>
    <x v="2"/>
    <d v="2021-03-26T00:00:00"/>
    <d v="2021-04-15T00:00:00"/>
    <n v="20"/>
    <m/>
    <s v="VACACIONES"/>
    <m/>
    <m/>
    <m/>
    <m/>
  </r>
  <r>
    <x v="3"/>
    <n v="1075093946"/>
    <s v="MARTINEZ"/>
    <s v="MOSQUERA"/>
    <s v="JHON"/>
    <s v="WILDER"/>
    <s v="VIGILANTE"/>
    <x v="2"/>
    <d v="2021-03-29T00:00:00"/>
    <d v="2021-03-17T00:00:00"/>
    <n v="19"/>
    <m/>
    <s v="VACACIONES"/>
    <m/>
    <m/>
    <m/>
    <m/>
  </r>
  <r>
    <x v="3"/>
    <n v="98586189"/>
    <s v="MONSALVE"/>
    <m/>
    <s v="JHON"/>
    <s v="JAIRO"/>
    <s v="VIGILANTE"/>
    <x v="1"/>
    <d v="2021-03-23T00:00:00"/>
    <d v="2021-03-27T00:00:00"/>
    <n v="5"/>
    <n v="6"/>
    <s v="TERCERA VEZ"/>
    <m/>
    <m/>
    <m/>
    <m/>
  </r>
  <r>
    <x v="3"/>
    <n v="71698389"/>
    <s v="MUÑOZ"/>
    <s v="PEÑA"/>
    <s v="EDGAR"/>
    <m/>
    <s v="VIGILANTE"/>
    <x v="1"/>
    <d v="2021-03-24T00:00:00"/>
    <d v="2021-03-25T00:00:00"/>
    <n v="1"/>
    <n v="6"/>
    <s v="PRIMERA VEZ"/>
    <m/>
    <m/>
    <m/>
    <m/>
  </r>
  <r>
    <x v="3"/>
    <n v="8432539"/>
    <s v="RESTREPO "/>
    <s v="LONDOÑO"/>
    <s v="GIOVANY"/>
    <m/>
    <s v="VIGILANTE"/>
    <x v="1"/>
    <d v="2021-03-25T00:00:00"/>
    <d v="2021-03-27T00:00:00"/>
    <n v="3"/>
    <m/>
    <s v="SEGUNDA VEZ"/>
    <m/>
    <m/>
    <m/>
    <m/>
  </r>
  <r>
    <x v="3"/>
    <n v="71719849"/>
    <s v="GARCIA"/>
    <s v="GARCIA"/>
    <s v="JUAN"/>
    <s v="GUILLERMO"/>
    <s v="VIGILANTE"/>
    <x v="2"/>
    <d v="2021-03-29T00:00:00"/>
    <d v="2021-04-16T00:00:00"/>
    <n v="19"/>
    <m/>
    <s v="VACACIONES"/>
    <m/>
    <m/>
    <m/>
    <m/>
  </r>
  <r>
    <x v="3"/>
    <n v="1013559134"/>
    <s v="MUNERA"/>
    <s v="RAMIREZ"/>
    <s v="SEBASTIAN"/>
    <m/>
    <s v="VIGILANTE"/>
    <x v="0"/>
    <d v="2021-03-29T00:00:00"/>
    <d v="2021-04-12T00:00:00"/>
    <n v="15"/>
    <m/>
    <s v="PERMISO NO REMUNERADO"/>
    <m/>
    <m/>
    <m/>
    <m/>
  </r>
  <r>
    <x v="3"/>
    <n v="1067095122"/>
    <s v="HEREDIA"/>
    <s v="ZULETA"/>
    <s v="OMAR"/>
    <s v="DAVID"/>
    <s v="VIGILANTE"/>
    <x v="0"/>
    <d v="2021-03-31T00:00:00"/>
    <d v="2021-04-01T00:00:00"/>
    <n v="1"/>
    <m/>
    <s v="PERMISO NO REMUNERADO"/>
    <m/>
    <m/>
    <m/>
    <m/>
  </r>
  <r>
    <x v="3"/>
    <n v="78744759"/>
    <s v="PEREZ"/>
    <s v="PADILLA"/>
    <s v="EDUARD"/>
    <s v="MANUEL"/>
    <s v="VIGILANTE"/>
    <x v="2"/>
    <d v="2021-03-29T00:00:00"/>
    <d v="2021-04-17T00:00:00"/>
    <n v="19"/>
    <m/>
    <s v="VACACIONES"/>
    <m/>
    <m/>
    <m/>
    <m/>
  </r>
  <r>
    <x v="3"/>
    <n v="22188088"/>
    <s v="ORTIZ"/>
    <s v="GARCIA"/>
    <s v="MARIADELCIRA"/>
    <m/>
    <s v="VIGILANTE"/>
    <x v="2"/>
    <d v="2021-03-29T00:00:00"/>
    <d v="2021-04-17T00:00:00"/>
    <n v="19"/>
    <m/>
    <s v="VACACIONES"/>
    <m/>
    <m/>
    <m/>
    <m/>
  </r>
  <r>
    <x v="3"/>
    <n v="71371943"/>
    <s v="ALVAREZ"/>
    <m/>
    <s v="FRANCISCO"/>
    <s v="JAVIER"/>
    <s v="VIGILANTE"/>
    <x v="0"/>
    <d v="2021-04-04T00:00:00"/>
    <d v="2021-04-04T00:00:00"/>
    <n v="1"/>
    <m/>
    <s v="PERMISO NO REMUNERADO"/>
    <m/>
    <m/>
    <m/>
    <m/>
  </r>
  <r>
    <x v="3"/>
    <n v="1035873437"/>
    <s v="MONTOYA"/>
    <m/>
    <s v="MIGUEL"/>
    <s v="ANGEL"/>
    <s v="VIGILANTE"/>
    <x v="1"/>
    <d v="2021-03-29T00:00:00"/>
    <d v="2021-03-31T00:00:00"/>
    <n v="3"/>
    <n v="10"/>
    <s v="PRIMERA VEZ"/>
    <m/>
    <m/>
    <m/>
    <m/>
  </r>
  <r>
    <x v="3"/>
    <n v="1020393453"/>
    <s v="MARIN"/>
    <s v="HERRERA"/>
    <s v="HOLMAN"/>
    <s v="ANTONIO"/>
    <s v="VIGILANTE"/>
    <x v="2"/>
    <d v="2021-03-31T00:00:00"/>
    <d v="2021-04-07T00:00:00"/>
    <n v="8"/>
    <m/>
    <s v="VACACIONES"/>
    <m/>
    <m/>
    <m/>
    <m/>
  </r>
  <r>
    <x v="3"/>
    <n v="1020393453"/>
    <s v="MARIN"/>
    <s v="HERRERA"/>
    <s v="HOLMAN"/>
    <s v="ANTONIO"/>
    <s v="VIGILANTE"/>
    <x v="2"/>
    <d v="2021-03-23T00:00:00"/>
    <d v="2021-03-31T00:00:00"/>
    <n v="8"/>
    <m/>
    <s v="VACACIONES"/>
    <m/>
    <m/>
    <m/>
    <m/>
  </r>
  <r>
    <x v="3"/>
    <n v="70142991"/>
    <s v="JIMENEZ"/>
    <m/>
    <s v="LUIS"/>
    <s v="FERNANDO"/>
    <s v="VIGILANTE"/>
    <x v="0"/>
    <d v="2021-03-13T00:00:00"/>
    <d v="2021-03-14T00:00:00"/>
    <n v="1"/>
    <m/>
    <s v="PERMISO NO REMUNERADO"/>
    <m/>
    <m/>
    <m/>
    <m/>
  </r>
  <r>
    <x v="3"/>
    <n v="1067900953"/>
    <s v="OJEDA"/>
    <m/>
    <s v="OSCAR"/>
    <m/>
    <s v="VIGILANTE"/>
    <x v="0"/>
    <d v="2021-03-20T00:00:00"/>
    <d v="2021-03-21T00:00:00"/>
    <n v="1"/>
    <m/>
    <s v="PERMISO NO REMUNERADO"/>
    <m/>
    <m/>
    <m/>
    <m/>
  </r>
  <r>
    <x v="3"/>
    <n v="21532552"/>
    <s v="AGUDELO"/>
    <s v="RESTREPO"/>
    <s v="ERIKA"/>
    <s v="MARCELA"/>
    <s v="VIGILANTE"/>
    <x v="0"/>
    <d v="2021-03-13T00:00:00"/>
    <d v="2021-03-14T00:00:00"/>
    <n v="1"/>
    <m/>
    <s v="PERMISO NO REMUNERADO"/>
    <m/>
    <m/>
    <m/>
    <m/>
  </r>
  <r>
    <x v="3"/>
    <n v="71339743"/>
    <s v="HERNANDEZ"/>
    <m/>
    <s v="JUAN"/>
    <s v="FERNANDO"/>
    <s v="VIGILANTE"/>
    <x v="2"/>
    <d v="2021-03-01T00:00:00"/>
    <d v="2021-03-16T00:00:00"/>
    <n v="15"/>
    <m/>
    <s v="VACACIONES"/>
    <m/>
    <m/>
    <m/>
    <m/>
  </r>
  <r>
    <x v="3"/>
    <n v="71339743"/>
    <s v="HERNANDEZ"/>
    <m/>
    <s v="JUAN"/>
    <s v="FERNANDO"/>
    <s v="VIGILANTE"/>
    <x v="2"/>
    <d v="2021-03-16T00:00:00"/>
    <d v="2021-03-31T00:00:00"/>
    <n v="15"/>
    <m/>
    <s v="VACACIONES"/>
    <m/>
    <m/>
    <m/>
    <m/>
  </r>
  <r>
    <x v="3"/>
    <n v="1002086685"/>
    <s v="BELLO"/>
    <s v="CARDENAS"/>
    <s v="JAIDER"/>
    <s v="ENRIQUE"/>
    <s v="VIGILANTE"/>
    <x v="0"/>
    <d v="2021-03-28T00:00:00"/>
    <d v="2021-03-29T00:00:00"/>
    <n v="1"/>
    <m/>
    <s v="PERMISO NO REMUNERADO"/>
    <m/>
    <m/>
    <m/>
    <m/>
  </r>
  <r>
    <x v="3"/>
    <n v="1001244374"/>
    <s v="CARDONA"/>
    <s v="CARVAJAL"/>
    <s v="ALEJANDRO"/>
    <m/>
    <s v="VIGILANTE"/>
    <x v="1"/>
    <d v="2021-01-31T00:00:00"/>
    <d v="2021-04-01T00:00:00"/>
    <n v="1"/>
    <n v="6"/>
    <s v="PRIMERA VEZ"/>
    <m/>
    <m/>
    <m/>
    <m/>
  </r>
  <r>
    <x v="3"/>
    <n v="1152446902"/>
    <s v="AGUDELO"/>
    <s v="BUENO"/>
    <s v="GUSTAVO"/>
    <s v="ADOLFO"/>
    <s v="VIGILANTE"/>
    <x v="1"/>
    <d v="2021-03-17T00:00:00"/>
    <d v="2021-03-21T00:00:00"/>
    <n v="5"/>
    <n v="22"/>
    <s v="PRIMERA VEZ"/>
    <m/>
    <m/>
    <m/>
    <m/>
  </r>
  <r>
    <x v="3"/>
    <n v="71380270"/>
    <s v="GARCIA"/>
    <s v="GOMEZ"/>
    <s v="LEONARDO"/>
    <s v="ARLEY"/>
    <s v="VIGILANTE"/>
    <x v="1"/>
    <d v="2021-03-16T00:00:00"/>
    <d v="2021-03-20T00:00:00"/>
    <n v="5"/>
    <n v="22"/>
    <s v="PRIMERA VEZ"/>
    <m/>
    <m/>
    <m/>
    <m/>
  </r>
  <r>
    <x v="3"/>
    <n v="7379420"/>
    <s v="DURANGO"/>
    <m/>
    <s v="LUIS"/>
    <s v="ADAN"/>
    <s v="VIGILANTE"/>
    <x v="2"/>
    <d v="2021-03-31T00:00:00"/>
    <d v="2021-04-08T00:00:00"/>
    <n v="8"/>
    <m/>
    <s v="VACACIONES"/>
    <m/>
    <m/>
    <m/>
    <m/>
  </r>
  <r>
    <x v="3"/>
    <n v="1071914645"/>
    <s v="LONDOÑO"/>
    <m/>
    <s v="JHON"/>
    <s v="JAIRO"/>
    <s v="VIGILANTE"/>
    <x v="2"/>
    <d v="2021-03-29T00:00:00"/>
    <d v="2021-04-17T00:00:00"/>
    <n v="19"/>
    <m/>
    <s v="VACACIONES"/>
    <m/>
    <m/>
    <m/>
    <m/>
  </r>
  <r>
    <x v="3"/>
    <n v="1020401463"/>
    <s v="VANEGAS"/>
    <m/>
    <s v="GUSTAVO"/>
    <s v="ANDRES"/>
    <s v="VIGILANTE"/>
    <x v="0"/>
    <d v="2021-03-26T00:00:00"/>
    <d v="2021-03-27T00:00:00"/>
    <n v="1"/>
    <m/>
    <s v="PERMISO NO REMUNERADO"/>
    <m/>
    <m/>
    <m/>
    <m/>
  </r>
  <r>
    <x v="3"/>
    <n v="7385248"/>
    <s v="LOPEZ"/>
    <s v="DIAZ"/>
    <s v="ELBERTO"/>
    <m/>
    <s v="VIGILANTE"/>
    <x v="2"/>
    <d v="2021-03-29T00:00:00"/>
    <d v="2021-04-17T00:00:00"/>
    <n v="19"/>
    <m/>
    <s v="VACACIONES"/>
    <m/>
    <m/>
    <m/>
    <m/>
  </r>
  <r>
    <x v="3"/>
    <n v="71950509"/>
    <s v="CASTRILLON"/>
    <s v="ROLDAN"/>
    <s v="WILLIAM"/>
    <m/>
    <s v="VIGILANTE"/>
    <x v="0"/>
    <d v="2021-03-26T00:00:00"/>
    <s v="30/032021"/>
    <n v="5"/>
    <m/>
    <s v="LICENCIA DE LUTO"/>
    <m/>
    <m/>
    <m/>
    <m/>
  </r>
  <r>
    <x v="4"/>
    <n v="7379420"/>
    <s v="DURANGO"/>
    <m/>
    <s v="LUIS"/>
    <s v="ADAN"/>
    <s v="VIGILANTE"/>
    <x v="2"/>
    <d v="2021-04-08T00:00:00"/>
    <d v="2021-04-16T00:00:00"/>
    <n v="8"/>
    <m/>
    <s v="VACACIONES"/>
    <m/>
    <m/>
    <m/>
    <m/>
  </r>
  <r>
    <x v="4"/>
    <n v="43210112"/>
    <s v="PEREZ"/>
    <m/>
    <s v="MARIA"/>
    <s v="LUZBELIA"/>
    <s v="VIGILANTE"/>
    <x v="0"/>
    <d v="2021-04-06T00:00:00"/>
    <d v="2021-04-07T00:00:00"/>
    <n v="2"/>
    <m/>
    <s v="PERMISO NO REMUNERADO"/>
    <m/>
    <m/>
    <m/>
    <m/>
  </r>
  <r>
    <x v="4"/>
    <n v="98515060"/>
    <s v="RAIGOSA"/>
    <s v="PEREZ"/>
    <s v="LUIS"/>
    <s v="OVIDIO"/>
    <s v="VIGILANTE"/>
    <x v="0"/>
    <d v="2021-04-01T00:00:00"/>
    <d v="2021-04-03T00:00:00"/>
    <n v="3"/>
    <m/>
    <s v="PERMISO NO REMUNERADO"/>
    <m/>
    <m/>
    <m/>
    <m/>
  </r>
  <r>
    <x v="4"/>
    <n v="1010060242"/>
    <s v="IBAÑEZ"/>
    <s v="IBARRA"/>
    <s v="FRANKLIN"/>
    <m/>
    <s v="VIGILANTE"/>
    <x v="0"/>
    <d v="2021-04-10T00:00:00"/>
    <d v="2021-04-12T00:00:00"/>
    <n v="3"/>
    <m/>
    <s v="PERMISO NO REMUNERADO"/>
    <m/>
    <m/>
    <m/>
    <m/>
  </r>
  <r>
    <x v="4"/>
    <n v="70568787"/>
    <s v="MURIEL"/>
    <s v="ALZATE"/>
    <s v="LUIS"/>
    <s v="FERNANDO"/>
    <s v="VIGILANTE"/>
    <x v="2"/>
    <d v="2021-04-03T00:00:00"/>
    <d v="2021-04-21T00:00:00"/>
    <n v="19"/>
    <m/>
    <s v="VACACIONES"/>
    <m/>
    <m/>
    <m/>
    <m/>
  </r>
  <r>
    <x v="4"/>
    <n v="1054917042"/>
    <s v="LOPEZ"/>
    <s v="CASTRILLO"/>
    <s v="JOSE"/>
    <s v="JULIAN"/>
    <s v="VIGILANTE"/>
    <x v="0"/>
    <d v="2021-04-08T00:00:00"/>
    <d v="2021-04-12T00:00:00"/>
    <n v="5"/>
    <m/>
    <s v="PERMISO NO REMUNERADO"/>
    <m/>
    <m/>
    <m/>
    <m/>
  </r>
  <r>
    <x v="4"/>
    <n v="1036646955"/>
    <s v="ZULUAGA"/>
    <s v="RENDON"/>
    <s v="JAIME"/>
    <s v="ANDRES"/>
    <s v="VIGILANTE"/>
    <x v="1"/>
    <d v="2021-04-06T00:00:00"/>
    <d v="2021-04-10T00:00:00"/>
    <n v="5"/>
    <n v="1"/>
    <s v="PRIMERA VEZ"/>
    <m/>
    <m/>
    <m/>
    <m/>
  </r>
  <r>
    <x v="4"/>
    <n v="1216713788"/>
    <s v="HENAO"/>
    <s v="RINCON"/>
    <s v="ANDRES"/>
    <s v="MAURICIO"/>
    <s v="VIGILANTE"/>
    <x v="1"/>
    <d v="2021-04-05T00:00:00"/>
    <d v="2021-04-07T00:00:00"/>
    <n v="3"/>
    <n v="11"/>
    <s v="PRIMERA VEZ"/>
    <m/>
    <m/>
    <m/>
    <m/>
  </r>
  <r>
    <x v="4"/>
    <n v="1047494600"/>
    <s v="BOHORUQEZ"/>
    <m/>
    <s v="RINA"/>
    <m/>
    <s v="VIGILANTE"/>
    <x v="2"/>
    <d v="2021-04-03T00:00:00"/>
    <d v="2021-04-20T00:00:00"/>
    <n v="18"/>
    <m/>
    <s v="VACACIONES"/>
    <m/>
    <m/>
    <m/>
    <m/>
  </r>
  <r>
    <x v="4"/>
    <n v="1146441872"/>
    <s v="ARANGO"/>
    <s v="VILLA"/>
    <m/>
    <s v="JEINER"/>
    <s v="VIGILANTE"/>
    <x v="2"/>
    <d v="2021-04-05T00:00:00"/>
    <d v="2021-04-21T00:00:00"/>
    <n v="17"/>
    <m/>
    <s v="VACACIONES"/>
    <m/>
    <m/>
    <m/>
    <m/>
  </r>
  <r>
    <x v="4"/>
    <n v="8458939"/>
    <s v="CASTAÑO"/>
    <s v="ARRUBLA"/>
    <s v="HECTOR"/>
    <m/>
    <s v="VIGILANTE"/>
    <x v="2"/>
    <d v="2021-03-29T00:00:00"/>
    <d v="2021-04-17T00:00:00"/>
    <n v="20"/>
    <m/>
    <s v="VACACIONES"/>
    <m/>
    <m/>
    <m/>
    <m/>
  </r>
  <r>
    <x v="4"/>
    <n v="1066737891"/>
    <s v="BLANCO"/>
    <s v="TORRES"/>
    <s v="MOISES"/>
    <m/>
    <s v="VIGILANTE"/>
    <x v="2"/>
    <d v="2021-04-07T00:00:00"/>
    <d v="2021-04-14T00:00:00"/>
    <n v="8"/>
    <m/>
    <s v="VACACIONES"/>
    <m/>
    <m/>
    <m/>
    <m/>
  </r>
  <r>
    <x v="4"/>
    <n v="15298271"/>
    <s v="ZAPATA"/>
    <s v="CASTILLO"/>
    <s v="JUAN"/>
    <s v="GUILLERMO"/>
    <s v="VIGILANTE"/>
    <x v="2"/>
    <d v="2021-04-05T00:00:00"/>
    <d v="2021-04-22T00:00:00"/>
    <n v="18"/>
    <m/>
    <s v="VACACIONES"/>
    <m/>
    <m/>
    <m/>
    <m/>
  </r>
  <r>
    <x v="4"/>
    <n v="1128480310"/>
    <s v="GOEZ"/>
    <m/>
    <s v="ANDRES"/>
    <m/>
    <s v="VIGILANTE"/>
    <x v="2"/>
    <d v="2021-04-03T00:00:00"/>
    <d v="2021-04-21T00:00:00"/>
    <n v="19"/>
    <m/>
    <s v="VACACIONES"/>
    <m/>
    <m/>
    <m/>
    <m/>
  </r>
  <r>
    <x v="4"/>
    <n v="1042064652"/>
    <s v="CARDENAS"/>
    <s v="ACEVEDO"/>
    <s v="JOSE"/>
    <s v="FERNANDO"/>
    <s v="VIGILANTE"/>
    <x v="2"/>
    <d v="2021-04-08T00:00:00"/>
    <d v="2021-04-25T00:00:00"/>
    <n v="18"/>
    <m/>
    <s v="VACACIONES"/>
    <m/>
    <m/>
    <m/>
    <m/>
  </r>
  <r>
    <x v="4"/>
    <n v="10383322376"/>
    <s v="GARCIA"/>
    <s v="HOLGUIN"/>
    <s v="DIANA"/>
    <s v="MARCELLA"/>
    <s v="VIGILANTE"/>
    <x v="0"/>
    <d v="2021-04-10T00:00:00"/>
    <d v="2021-04-12T00:00:00"/>
    <n v="3"/>
    <m/>
    <s v="PERMISO NO REMUNERADO"/>
    <m/>
    <m/>
    <m/>
    <m/>
  </r>
  <r>
    <x v="4"/>
    <n v="1027889889"/>
    <s v="NAVARRO"/>
    <s v="BERMUDEZ"/>
    <s v="ANDRES"/>
    <m/>
    <s v="VIGILANTE"/>
    <x v="2"/>
    <d v="2021-04-06T00:00:00"/>
    <d v="2021-04-23T00:00:00"/>
    <n v="18"/>
    <m/>
    <s v="VACACIONES"/>
    <m/>
    <m/>
    <m/>
    <m/>
  </r>
  <r>
    <x v="4"/>
    <n v="1097396763"/>
    <s v="BERMUDEZ"/>
    <s v="ECHAVARRIA"/>
    <s v="CRISTIAN"/>
    <s v="DANILO"/>
    <s v="VIGILANTE"/>
    <x v="2"/>
    <d v="2021-04-03T00:00:00"/>
    <d v="2021-04-21T00:00:00"/>
    <n v="19"/>
    <m/>
    <s v="VACACIONES"/>
    <m/>
    <m/>
    <m/>
    <m/>
  </r>
  <r>
    <x v="4"/>
    <n v="98452098"/>
    <s v="VILLADA"/>
    <s v="GUTIERREZ"/>
    <s v="GUSTAVO"/>
    <s v="DE JESUS"/>
    <s v="VIGILANTE"/>
    <x v="2"/>
    <d v="2021-04-07T00:00:00"/>
    <d v="2021-04-24T00:00:00"/>
    <n v="18"/>
    <m/>
    <s v="VACACIONES"/>
    <m/>
    <m/>
    <m/>
    <m/>
  </r>
  <r>
    <x v="4"/>
    <n v="1003205624"/>
    <s v="URANGO"/>
    <m/>
    <s v="JORGE"/>
    <s v="ANDRES"/>
    <s v="VIGILANTE"/>
    <x v="2"/>
    <d v="2021-04-07T00:00:00"/>
    <d v="2021-04-25T00:00:00"/>
    <n v="19"/>
    <m/>
    <s v="VACACIONES"/>
    <m/>
    <m/>
    <m/>
    <m/>
  </r>
  <r>
    <x v="4"/>
    <n v="71362201"/>
    <s v="MORENO"/>
    <s v="TUBERQUIA"/>
    <s v="ISMAEL"/>
    <m/>
    <s v="VIGILANTE"/>
    <x v="2"/>
    <d v="2021-04-01T00:00:00"/>
    <d v="2021-04-09T00:00:00"/>
    <n v="9"/>
    <m/>
    <s v="VACACIONES"/>
    <m/>
    <m/>
    <m/>
    <m/>
  </r>
  <r>
    <x v="4"/>
    <n v="71276356"/>
    <s v="OCHOA"/>
    <s v="VILORIA"/>
    <s v="GERSON"/>
    <s v="ELIAS"/>
    <s v="VIGILANTE"/>
    <x v="1"/>
    <d v="2021-04-09T00:00:00"/>
    <d v="2021-04-10T00:00:00"/>
    <n v="2"/>
    <n v="4"/>
    <s v="PRIMERA VEZ"/>
    <m/>
    <m/>
    <m/>
    <m/>
  </r>
  <r>
    <x v="4"/>
    <n v="71703762"/>
    <s v="ACEVEDO"/>
    <s v="MONTOYA"/>
    <s v="JUAN"/>
    <s v="DIEGO"/>
    <s v="VIGILANTE"/>
    <x v="2"/>
    <d v="2021-04-08T00:00:00"/>
    <d v="2021-08-24T00:00:00"/>
    <n v="139"/>
    <m/>
    <s v="VACACIONES"/>
    <m/>
    <m/>
    <m/>
    <m/>
  </r>
  <r>
    <x v="4"/>
    <n v="10884990"/>
    <s v="DELGADO"/>
    <s v="MERCADO"/>
    <s v="JUAN"/>
    <s v="CARLOS"/>
    <s v="VIGILANTE"/>
    <x v="2"/>
    <d v="2021-04-08T00:00:00"/>
    <d v="2021-08-24T00:00:00"/>
    <n v="139"/>
    <m/>
    <s v="VACACIONES"/>
    <m/>
    <m/>
    <m/>
    <m/>
  </r>
  <r>
    <x v="4"/>
    <n v="15506392"/>
    <s v="MUÑOZ"/>
    <s v="ORTIZ"/>
    <s v="RUBEN"/>
    <s v="DARIO"/>
    <s v="VIGILANTE"/>
    <x v="2"/>
    <d v="2021-04-15T00:00:00"/>
    <d v="2021-05-04T00:00:00"/>
    <n v="20"/>
    <m/>
    <s v="VACACIONES"/>
    <m/>
    <m/>
    <m/>
    <m/>
  </r>
  <r>
    <x v="4"/>
    <n v="98586189"/>
    <s v="MONSALVE"/>
    <m/>
    <s v="JHON"/>
    <s v="JAIRO"/>
    <s v="VIGILANTE"/>
    <x v="2"/>
    <d v="2021-04-10T00:00:00"/>
    <d v="2021-04-19T00:00:00"/>
    <n v="10"/>
    <m/>
    <s v="VACACIONES"/>
    <m/>
    <m/>
    <m/>
    <m/>
  </r>
  <r>
    <x v="4"/>
    <n v="98586189"/>
    <s v="MONSALVE"/>
    <m/>
    <s v="JHON"/>
    <s v="JAIRO"/>
    <s v="VIGILANTE"/>
    <x v="2"/>
    <d v="2021-04-19T00:00:00"/>
    <d v="2021-04-26T00:00:00"/>
    <n v="8"/>
    <m/>
    <s v="VACACIONES"/>
    <m/>
    <m/>
    <m/>
    <m/>
  </r>
  <r>
    <x v="4"/>
    <n v="15532746"/>
    <s v="MARTINEZ"/>
    <s v="TORRES"/>
    <s v="JHON"/>
    <s v="JAIRO"/>
    <s v="VIGILANTE"/>
    <x v="0"/>
    <d v="2021-04-04T00:00:00"/>
    <d v="2021-04-08T00:00:00"/>
    <n v="5"/>
    <m/>
    <s v="LICENCIA DE LUTO"/>
    <m/>
    <m/>
    <m/>
    <m/>
  </r>
  <r>
    <x v="4"/>
    <n v="8414593"/>
    <s v="USUGA"/>
    <s v="LEAL"/>
    <s v="ABEL"/>
    <s v="TOBIAS"/>
    <s v="VIGILANTE"/>
    <x v="1"/>
    <d v="2021-04-12T00:00:00"/>
    <d v="2021-04-13T00:00:00"/>
    <n v="2"/>
    <n v="4"/>
    <s v="PRIMERA VEZ"/>
    <m/>
    <m/>
    <m/>
    <m/>
  </r>
  <r>
    <x v="4"/>
    <n v="98708173"/>
    <s v="RUIZ"/>
    <s v="QUINTERO"/>
    <s v="JUAN"/>
    <s v="ESTEBAN"/>
    <s v="VIGILANTE"/>
    <x v="1"/>
    <d v="2021-04-12T00:00:00"/>
    <d v="2021-04-13T00:00:00"/>
    <n v="2"/>
    <n v="7"/>
    <s v="PRIMERA VEZ"/>
    <m/>
    <m/>
    <m/>
    <m/>
  </r>
  <r>
    <x v="4"/>
    <n v="1035428600"/>
    <s v="OCAMPO"/>
    <s v="PULGARIN"/>
    <s v="DIEGO"/>
    <s v="LEON"/>
    <s v="VIGILANTE"/>
    <x v="1"/>
    <d v="2021-04-16T00:00:00"/>
    <d v="2021-04-17T00:00:00"/>
    <n v="2"/>
    <n v="7"/>
    <s v="PRIMERA VEZ"/>
    <m/>
    <m/>
    <m/>
    <m/>
  </r>
  <r>
    <x v="4"/>
    <n v="1067892509"/>
    <s v="ARROYAVE"/>
    <m/>
    <s v="JHOJAN"/>
    <s v="AGUDELO"/>
    <s v="SUPERVISOR"/>
    <x v="1"/>
    <d v="2021-04-15T00:00:00"/>
    <d v="2021-04-19T00:00:00"/>
    <n v="5"/>
    <n v="22"/>
    <s v="PRIMERA VEZ"/>
    <m/>
    <m/>
    <m/>
    <m/>
  </r>
  <r>
    <x v="4"/>
    <n v="1020397808"/>
    <s v="BOLIVAR"/>
    <s v="VILLA"/>
    <s v="ARLEY"/>
    <s v="ESTEBAN"/>
    <s v="VIGILANTE"/>
    <x v="0"/>
    <d v="2021-04-17T00:00:00"/>
    <d v="2021-04-19T00:00:00"/>
    <n v="3"/>
    <m/>
    <s v="PERMISO NO REMUNERADO"/>
    <m/>
    <m/>
    <m/>
    <m/>
  </r>
  <r>
    <x v="4"/>
    <n v="1063294187"/>
    <s v="HERNANDEZ"/>
    <s v="JIMENEZ"/>
    <s v="DALMIRO"/>
    <s v="JOSE"/>
    <s v="VIGILANTE"/>
    <x v="1"/>
    <d v="2021-04-15T00:00:00"/>
    <d v="2021-04-16T00:00:00"/>
    <n v="2"/>
    <n v="7"/>
    <s v="PRIMERA VEZ"/>
    <m/>
    <m/>
    <m/>
    <m/>
  </r>
  <r>
    <x v="4"/>
    <n v="1000406962"/>
    <s v="ROMERO"/>
    <s v="HERRERA"/>
    <s v="ALEJANDRO"/>
    <m/>
    <s v="VIGILANTE"/>
    <x v="1"/>
    <d v="2021-04-16T00:00:00"/>
    <d v="2021-04-18T00:00:00"/>
    <n v="3"/>
    <n v="10"/>
    <s v="PRIMERA VEZ"/>
    <m/>
    <m/>
    <m/>
    <m/>
  </r>
  <r>
    <x v="4"/>
    <n v="1147957427"/>
    <s v="JIMENEZ"/>
    <s v="OSORIO"/>
    <s v="JOHN"/>
    <s v="BERNARDO"/>
    <s v="VIGILANTE"/>
    <x v="0"/>
    <d v="2021-04-14T00:00:00"/>
    <d v="2021-04-15T00:00:00"/>
    <n v="2"/>
    <m/>
    <s v="PERMISO NO REMUNERADO"/>
    <m/>
    <m/>
    <m/>
    <m/>
  </r>
  <r>
    <x v="4"/>
    <n v="1040737050"/>
    <s v="VALDERRAMA"/>
    <s v="TANGARIFE"/>
    <s v="YEISON"/>
    <s v="GISMAN"/>
    <s v="VIGILANTE"/>
    <x v="2"/>
    <d v="2021-04-15T00:00:00"/>
    <d v="2021-04-30T00:00:00"/>
    <n v="16"/>
    <m/>
    <s v="VACACIONES"/>
    <m/>
    <m/>
    <m/>
    <m/>
  </r>
  <r>
    <x v="4"/>
    <n v="15922984"/>
    <s v="MORALES"/>
    <s v="TAPASCO"/>
    <s v="WILSON"/>
    <m/>
    <s v="VIGILANTE"/>
    <x v="2"/>
    <d v="2021-04-14T00:00:00"/>
    <d v="2021-05-01T00:00:00"/>
    <n v="18"/>
    <m/>
    <s v="VACACIONES"/>
    <m/>
    <m/>
    <m/>
    <m/>
  </r>
  <r>
    <x v="4"/>
    <n v="1002497446"/>
    <s v="LOPEZ"/>
    <s v="MONTOYA"/>
    <s v="FRAIDER"/>
    <m/>
    <s v="VIGILANTE"/>
    <x v="2"/>
    <d v="2021-04-12T00:00:00"/>
    <d v="2021-04-29T00:00:00"/>
    <n v="18"/>
    <m/>
    <s v="VACACIONES"/>
    <m/>
    <m/>
    <m/>
    <m/>
  </r>
  <r>
    <x v="4"/>
    <n v="71695483"/>
    <s v="RIOS"/>
    <s v="M"/>
    <s v="OSMAN"/>
    <s v="EDDY"/>
    <s v="VIGILANTE"/>
    <x v="2"/>
    <d v="2021-04-12T00:00:00"/>
    <d v="2021-04-28T00:00:00"/>
    <n v="17"/>
    <m/>
    <s v="VACACIONES"/>
    <m/>
    <m/>
    <m/>
    <m/>
  </r>
  <r>
    <x v="4"/>
    <n v="8406405"/>
    <s v="PINEDA"/>
    <s v="LOPEZ"/>
    <s v="JORGE"/>
    <s v="LUISA"/>
    <s v="VIGILANTE"/>
    <x v="2"/>
    <d v="2021-04-15T00:00:00"/>
    <d v="2021-05-04T00:00:00"/>
    <n v="20"/>
    <m/>
    <s v="VACACIONES"/>
    <m/>
    <m/>
    <m/>
    <m/>
  </r>
  <r>
    <x v="4"/>
    <n v="71118722"/>
    <s v="RESTREPO"/>
    <s v="VILADA"/>
    <s v="YUBER"/>
    <s v="ALEISON"/>
    <s v="VIGILANTE"/>
    <x v="1"/>
    <d v="2021-04-19T00:00:00"/>
    <d v="2021-04-20T00:00:00"/>
    <n v="2"/>
    <n v="6"/>
    <s v="PRIMERA VEZ"/>
    <m/>
    <m/>
    <m/>
    <m/>
  </r>
  <r>
    <x v="4"/>
    <n v="93472217"/>
    <s v="MEJIA"/>
    <s v="GONZALES"/>
    <s v="JUAN"/>
    <s v="CARLOS"/>
    <s v="VIGILANTE"/>
    <x v="2"/>
    <d v="2021-04-15T00:00:00"/>
    <d v="2021-05-04T00:00:00"/>
    <n v="20"/>
    <m/>
    <s v="VACACIONES"/>
    <m/>
    <m/>
    <m/>
    <m/>
  </r>
  <r>
    <x v="4"/>
    <n v="71118722"/>
    <s v="RESTREPO"/>
    <s v="VILLADA"/>
    <s v="YUBER"/>
    <s v="ALEISON"/>
    <s v="VIGILANTE"/>
    <x v="2"/>
    <d v="2021-04-20T00:00:00"/>
    <d v="2021-05-08T00:00:00"/>
    <n v="19"/>
    <m/>
    <s v="VACACIONES"/>
    <m/>
    <m/>
    <m/>
    <m/>
  </r>
  <r>
    <x v="4"/>
    <n v="98618879"/>
    <s v="OSORIO"/>
    <m/>
    <s v="OVER"/>
    <m/>
    <s v="VIGILANTE"/>
    <x v="2"/>
    <d v="2021-04-06T00:00:00"/>
    <d v="2021-04-23T00:00:00"/>
    <n v="18"/>
    <m/>
    <s v="VACACIONES"/>
    <m/>
    <m/>
    <m/>
    <m/>
  </r>
  <r>
    <x v="4"/>
    <n v="70564602"/>
    <s v="GARCIA"/>
    <m/>
    <s v="MANUEL"/>
    <m/>
    <s v="VIGILANTE"/>
    <x v="0"/>
    <d v="2021-04-20T00:00:00"/>
    <d v="2021-04-21T00:00:00"/>
    <n v="2"/>
    <m/>
    <s v="PERMISO NO REMUNERADO"/>
    <m/>
    <m/>
    <m/>
    <m/>
  </r>
  <r>
    <x v="4"/>
    <n v="71527308"/>
    <s v="LOPEZ"/>
    <m/>
    <s v="JUAN"/>
    <s v="ESTEBAN"/>
    <s v="VIGILANTE"/>
    <x v="0"/>
    <d v="2021-04-19T00:00:00"/>
    <d v="2021-04-20T00:00:00"/>
    <n v="2"/>
    <m/>
    <s v="PERMISO NO REMUNERADO"/>
    <m/>
    <m/>
    <m/>
    <m/>
  </r>
  <r>
    <x v="4"/>
    <n v="15342935"/>
    <s v="HINCAPIE"/>
    <s v="REAMIREZ"/>
    <s v="JUAN"/>
    <s v="CARLOS"/>
    <s v="VIGILANTE"/>
    <x v="0"/>
    <d v="2021-04-19T00:00:00"/>
    <d v="2021-04-20T00:00:00"/>
    <n v="2"/>
    <m/>
    <s v="PERMISO NO REMUNERADO"/>
    <m/>
    <m/>
    <m/>
    <m/>
  </r>
  <r>
    <x v="4"/>
    <n v="1020397808"/>
    <s v="BOLIVAR"/>
    <s v="VILLA"/>
    <s v="ARLEY"/>
    <s v="ESTEBAN"/>
    <s v="VIGILANTE"/>
    <x v="0"/>
    <d v="2021-04-17T00:00:00"/>
    <d v="2021-04-19T00:00:00"/>
    <n v="3"/>
    <m/>
    <s v="PERMISO NO REMUNERADO"/>
    <m/>
    <m/>
    <m/>
    <m/>
  </r>
  <r>
    <x v="4"/>
    <n v="1039090990"/>
    <s v="HOYOS"/>
    <s v="CASTILLO"/>
    <s v="JUAN"/>
    <s v="DAVID"/>
    <s v="VIGILANTE"/>
    <x v="2"/>
    <d v="2021-04-26T00:00:00"/>
    <d v="2021-05-14T00:00:00"/>
    <n v="19"/>
    <m/>
    <s v="VACACIONES"/>
    <m/>
    <m/>
    <m/>
    <m/>
  </r>
  <r>
    <x v="4"/>
    <n v="1075093946"/>
    <s v="MARTINEZ"/>
    <s v="MOSQUERA"/>
    <s v="JHON"/>
    <s v="WILDER"/>
    <s v="VIGILANTE"/>
    <x v="2"/>
    <d v="2021-04-23T00:00:00"/>
    <d v="2021-05-12T00:00:00"/>
    <n v="20"/>
    <m/>
    <s v="VACACIONES"/>
    <m/>
    <m/>
    <m/>
    <m/>
  </r>
  <r>
    <x v="4"/>
    <n v="71684372"/>
    <s v="GALLEGO"/>
    <m/>
    <s v="ROBER"/>
    <s v="DARIO"/>
    <s v="VIGILANTE"/>
    <x v="1"/>
    <d v="2021-04-26T00:00:00"/>
    <d v="2021-04-28T00:00:00"/>
    <n v="3"/>
    <n v="10"/>
    <s v="PRIMERA VEZ"/>
    <m/>
    <m/>
    <m/>
    <m/>
  </r>
  <r>
    <x v="4"/>
    <n v="1116246165"/>
    <s v="HERRERA"/>
    <m/>
    <s v="CARLOS"/>
    <s v="ANDRES"/>
    <s v="VIGILANTE"/>
    <x v="1"/>
    <d v="2021-04-27T00:00:00"/>
    <d v="2021-04-28T00:00:00"/>
    <n v="2"/>
    <n v="2"/>
    <s v="PRIMERA VEZ"/>
    <m/>
    <m/>
    <m/>
    <m/>
  </r>
  <r>
    <x v="4"/>
    <n v="1233341233"/>
    <s v="TORDECILLA"/>
    <m/>
    <s v="DANILO"/>
    <m/>
    <s v="VIGILANTE"/>
    <x v="2"/>
    <d v="2021-04-30T00:00:00"/>
    <d v="2021-05-20T00:00:00"/>
    <n v="21"/>
    <m/>
    <s v="VACACIONES"/>
    <m/>
    <m/>
    <m/>
    <m/>
  </r>
  <r>
    <x v="4"/>
    <n v="1002066541"/>
    <s v="GARRO"/>
    <s v="GARCIA"/>
    <s v="JORGE"/>
    <s v="IVAN"/>
    <s v="VIGILANTE"/>
    <x v="2"/>
    <d v="2021-04-26T00:00:00"/>
    <d v="2021-05-14T00:00:00"/>
    <n v="19"/>
    <m/>
    <s v="VACACIONES"/>
    <m/>
    <m/>
    <m/>
    <m/>
  </r>
  <r>
    <x v="4"/>
    <n v="1041265039"/>
    <s v="AYALA"/>
    <m/>
    <s v="JAVIER"/>
    <m/>
    <s v="VIGILANTE"/>
    <x v="2"/>
    <d v="2021-04-23T00:00:00"/>
    <d v="2021-05-12T00:00:00"/>
    <n v="20"/>
    <m/>
    <s v="VACACIONES"/>
    <m/>
    <m/>
    <m/>
    <m/>
  </r>
  <r>
    <x v="4"/>
    <n v="8432534"/>
    <s v="RESTREPO"/>
    <s v="LONDOÑO"/>
    <s v="GIOVANY"/>
    <s v="ALBEIRO"/>
    <s v="VIGILANTE"/>
    <x v="2"/>
    <d v="2021-04-26T00:00:00"/>
    <d v="2021-05-14T00:00:00"/>
    <n v="19"/>
    <m/>
    <s v="VACACIONES"/>
    <m/>
    <m/>
    <m/>
    <m/>
  </r>
  <r>
    <x v="4"/>
    <n v="11794362"/>
    <s v="HINESTROZA"/>
    <m/>
    <s v="ELPIDIO"/>
    <m/>
    <s v="VIGILANTE"/>
    <x v="2"/>
    <d v="2021-04-26T00:00:00"/>
    <d v="2021-05-04T00:00:00"/>
    <n v="9"/>
    <m/>
    <s v="VACACIONES"/>
    <m/>
    <m/>
    <m/>
    <m/>
  </r>
  <r>
    <x v="4"/>
    <n v="11794362"/>
    <s v="HINESTROZA"/>
    <m/>
    <s v="ELPIDIO"/>
    <m/>
    <s v="VIGILANTE"/>
    <x v="2"/>
    <d v="2021-05-04T00:00:00"/>
    <d v="2021-05-12T00:00:00"/>
    <n v="9"/>
    <m/>
    <s v="VACACIONES"/>
    <m/>
    <m/>
    <m/>
    <m/>
  </r>
  <r>
    <x v="4"/>
    <n v="43709768"/>
    <s v="CASTRO"/>
    <s v="MARIN"/>
    <s v="DIANA"/>
    <s v="MARIA"/>
    <s v="VIGILANTE"/>
    <x v="2"/>
    <d v="2021-04-26T00:00:00"/>
    <d v="2021-05-14T00:00:00"/>
    <n v="19"/>
    <m/>
    <s v="VACACIONES"/>
    <m/>
    <m/>
    <m/>
    <m/>
  </r>
  <r>
    <x v="4"/>
    <n v="8462170"/>
    <s v="RAMIREZ"/>
    <s v="DIOSSA"/>
    <s v="ROBERT"/>
    <s v="DE JESUS"/>
    <s v="VIGILANTE"/>
    <x v="0"/>
    <d v="2021-04-26T00:00:00"/>
    <d v="2021-04-27T00:00:00"/>
    <n v="2"/>
    <m/>
    <s v="PERMISO NO REMUNERADO"/>
    <m/>
    <m/>
    <m/>
    <m/>
  </r>
  <r>
    <x v="4"/>
    <n v="1040754073"/>
    <s v="ANGEL"/>
    <s v="LONDOÑO"/>
    <s v="ANDREA"/>
    <s v="TATIANA"/>
    <s v="VIGILANTE"/>
    <x v="0"/>
    <d v="2021-04-22T00:00:00"/>
    <d v="2021-04-23T00:00:00"/>
    <n v="2"/>
    <m/>
    <s v="PERMISO NO REMUNERADO"/>
    <m/>
    <m/>
    <m/>
    <m/>
  </r>
  <r>
    <x v="4"/>
    <n v="85163750"/>
    <s v="VANEGAS"/>
    <m/>
    <s v="LEONIT"/>
    <m/>
    <s v="VIGILANTE"/>
    <x v="0"/>
    <d v="2021-04-23T00:00:00"/>
    <d v="2021-04-27T00:00:00"/>
    <n v="5"/>
    <m/>
    <s v="LICENCIA DE LUTO"/>
    <m/>
    <m/>
    <m/>
    <m/>
  </r>
  <r>
    <x v="4"/>
    <n v="1002066542"/>
    <s v="GARRO"/>
    <s v="GARCIA"/>
    <s v="JORGE"/>
    <m/>
    <s v="VIGILANTE"/>
    <x v="2"/>
    <d v="2021-04-26T00:00:00"/>
    <d v="2021-05-14T00:00:00"/>
    <n v="19"/>
    <m/>
    <s v="VACACIONES"/>
    <m/>
    <m/>
    <m/>
    <m/>
  </r>
  <r>
    <x v="4"/>
    <n v="70434070"/>
    <s v="HIGUITA"/>
    <s v="HIGUITA"/>
    <s v="OMEIBER"/>
    <s v="ALFONSO"/>
    <s v="VIGILANTE"/>
    <x v="2"/>
    <d v="2021-04-22T00:00:00"/>
    <d v="2021-05-08T00:00:00"/>
    <n v="17"/>
    <m/>
    <s v="VACACIONES"/>
    <m/>
    <m/>
    <m/>
    <m/>
  </r>
  <r>
    <x v="4"/>
    <n v="1002497446"/>
    <s v="LOPEZ"/>
    <m/>
    <s v="FRAIDER"/>
    <m/>
    <s v="VIGILANTE"/>
    <x v="1"/>
    <d v="2021-04-29T00:00:00"/>
    <d v="2021-04-29T00:00:00"/>
    <n v="1"/>
    <n v="6"/>
    <s v="PRIMERA VEZ"/>
    <m/>
    <m/>
    <m/>
    <m/>
  </r>
  <r>
    <x v="4"/>
    <n v="1027889889"/>
    <s v="NAVARRO"/>
    <m/>
    <s v="ANDRES"/>
    <m/>
    <s v="VIGILANTE"/>
    <x v="1"/>
    <d v="2021-04-29T00:00:00"/>
    <d v="2021-04-30T00:00:00"/>
    <n v="2"/>
    <n v="8"/>
    <s v="PRIMERA VEZ"/>
    <m/>
    <m/>
    <m/>
    <m/>
  </r>
  <r>
    <x v="4"/>
    <n v="1039683154"/>
    <s v="AGUDELO"/>
    <s v="ARENAS"/>
    <s v="HERNANDO"/>
    <m/>
    <s v="VIGILANTE"/>
    <x v="0"/>
    <d v="2021-04-21T00:00:00"/>
    <d v="2021-04-25T00:00:00"/>
    <n v="5"/>
    <m/>
    <s v="LICENCIA DE LUTO"/>
    <m/>
    <m/>
    <m/>
    <m/>
  </r>
  <r>
    <x v="4"/>
    <n v="98696766"/>
    <s v="GOMEZ"/>
    <s v="MACHADO"/>
    <s v="VICENTE"/>
    <s v="AUGUSTO"/>
    <s v="VIGILANTE"/>
    <x v="0"/>
    <d v="2021-04-15T00:00:00"/>
    <d v="2021-04-19T00:00:00"/>
    <n v="5"/>
    <m/>
    <s v="LICENCIA DE LUTO"/>
    <m/>
    <m/>
    <m/>
    <m/>
  </r>
  <r>
    <x v="4"/>
    <n v="15510508"/>
    <s v="GONZALES"/>
    <m/>
    <s v="JHON"/>
    <s v="JAIRO"/>
    <s v="VIGILANTE"/>
    <x v="0"/>
    <d v="2021-04-29T00:00:00"/>
    <d v="2021-04-29T00:00:00"/>
    <n v="1"/>
    <n v="6"/>
    <s v="PRIMERA VEZ"/>
    <m/>
    <m/>
    <m/>
    <m/>
  </r>
  <r>
    <x v="4"/>
    <n v="70977501"/>
    <s v="GUTIERREZ"/>
    <s v="RUIZ"/>
    <s v="BERNARDO "/>
    <s v="ABEL"/>
    <s v="VIGILANTE"/>
    <x v="0"/>
    <d v="2021-04-27T00:00:00"/>
    <d v="2021-05-01T00:00:00"/>
    <n v="5"/>
    <m/>
    <s v="LICENCIA DE LUTO"/>
    <m/>
    <m/>
    <m/>
    <m/>
  </r>
  <r>
    <x v="4"/>
    <n v="1039758970"/>
    <s v="SANCHEZ"/>
    <m/>
    <s v="ELKIN"/>
    <s v="ANDRES"/>
    <s v="VIGILANTE"/>
    <x v="2"/>
    <d v="2021-04-09T00:00:00"/>
    <d v="2021-04-27T00:00:00"/>
    <n v="19"/>
    <m/>
    <s v="VACACIONES"/>
    <m/>
    <m/>
    <m/>
    <m/>
  </r>
  <r>
    <x v="4"/>
    <n v="71975865"/>
    <s v="MAZO"/>
    <s v="CORREA"/>
    <s v="NILSON "/>
    <m/>
    <s v="VIGILANTE"/>
    <x v="2"/>
    <d v="2021-04-21T00:00:00"/>
    <d v="2021-05-13T00:00:00"/>
    <n v="23"/>
    <m/>
    <s v="VACACIONES"/>
    <m/>
    <m/>
    <m/>
    <m/>
  </r>
  <r>
    <x v="5"/>
    <n v="1104434765"/>
    <s v="MERCADO"/>
    <m/>
    <s v="MANUEL "/>
    <s v="DE JESUS"/>
    <s v="VIGILANTE"/>
    <x v="1"/>
    <d v="2021-05-03T00:00:00"/>
    <d v="2021-05-07T00:00:00"/>
    <n v="5"/>
    <n v="22"/>
    <s v="PRIMERA VEZ"/>
    <m/>
    <m/>
    <m/>
    <m/>
  </r>
  <r>
    <x v="5"/>
    <n v="71393128"/>
    <s v="TANGARIGE"/>
    <m/>
    <s v="JESUS"/>
    <s v="ALBERTO"/>
    <s v="VIGILANTE"/>
    <x v="1"/>
    <d v="2021-05-03T00:00:00"/>
    <d v="2021-05-07T00:00:00"/>
    <n v="5"/>
    <n v="22"/>
    <s v="PRIMERA VEZ"/>
    <m/>
    <m/>
    <m/>
    <m/>
  </r>
  <r>
    <x v="5"/>
    <n v="1020489794"/>
    <s v="CORDERO"/>
    <s v="OSPINA"/>
    <s v="JESUS"/>
    <m/>
    <s v="VIGILANTE"/>
    <x v="1"/>
    <d v="2021-05-03T00:00:00"/>
    <d v="2021-05-07T00:00:00"/>
    <n v="5"/>
    <n v="1"/>
    <s v="PRIMERA VEZ"/>
    <m/>
    <m/>
    <m/>
    <m/>
  </r>
  <r>
    <x v="5"/>
    <n v="1017134945"/>
    <s v="GOMEZ"/>
    <s v="CORREA"/>
    <s v="KATHERINE"/>
    <m/>
    <s v="VIGILANTE"/>
    <x v="2"/>
    <d v="2021-05-04T00:00:00"/>
    <d v="2021-05-31T00:00:00"/>
    <n v="28"/>
    <m/>
    <s v="VACACIONES"/>
    <m/>
    <m/>
    <m/>
    <m/>
  </r>
  <r>
    <x v="5"/>
    <n v="717941785"/>
    <s v="TUBERQUIA"/>
    <m/>
    <s v="CARLOS"/>
    <s v="ALEXANDER"/>
    <s v="VIGILANTE"/>
    <x v="0"/>
    <d v="2021-05-06T00:00:00"/>
    <d v="2021-05-06T00:00:00"/>
    <n v="1"/>
    <m/>
    <s v="PERMISO NO REMUNERADO"/>
    <m/>
    <m/>
    <m/>
    <m/>
  </r>
  <r>
    <x v="5"/>
    <n v="1087556053"/>
    <s v="SANTA"/>
    <s v="PATIÑO"/>
    <s v="LEIDY"/>
    <s v="ALEJANDRA"/>
    <s v="VIGILANTE"/>
    <x v="0"/>
    <d v="2021-05-01T00:00:00"/>
    <d v="2021-05-02T00:00:00"/>
    <n v="2"/>
    <m/>
    <s v="PERMISO NO REMUNERADO"/>
    <m/>
    <m/>
    <m/>
    <m/>
  </r>
  <r>
    <x v="5"/>
    <n v="3570700"/>
    <s v="QUINTERO"/>
    <m/>
    <s v="LUIS"/>
    <s v="CARLOS"/>
    <s v="VIGILANTE"/>
    <x v="0"/>
    <d v="2021-05-07T00:00:00"/>
    <d v="2021-05-07T00:00:00"/>
    <n v="1"/>
    <m/>
    <s v="PERMISO NO REMUNERADO"/>
    <m/>
    <m/>
    <m/>
    <m/>
  </r>
  <r>
    <x v="5"/>
    <n v="103863111"/>
    <s v="DEPENTIL"/>
    <s v="HINCAPIE"/>
    <s v="ANDRES"/>
    <s v="FELIPE"/>
    <s v="VIGILANTE"/>
    <x v="2"/>
    <d v="2021-05-05T00:00:00"/>
    <d v="2021-05-22T00:00:00"/>
    <n v="18"/>
    <m/>
    <s v="VACACIONES"/>
    <m/>
    <m/>
    <m/>
    <m/>
  </r>
  <r>
    <x v="5"/>
    <n v="1020431608"/>
    <s v="MUÑOZ"/>
    <s v="RONDON"/>
    <s v="CAROLINA"/>
    <m/>
    <s v="VIGILANTE"/>
    <x v="2"/>
    <d v="2021-05-05T00:00:00"/>
    <d v="2021-05-22T00:00:00"/>
    <n v="18"/>
    <m/>
    <s v="VACACIONES"/>
    <m/>
    <m/>
    <m/>
    <m/>
  </r>
  <r>
    <x v="5"/>
    <n v="70435808"/>
    <s v="MANCO"/>
    <s v="HURTADO"/>
    <s v="JUAN"/>
    <s v="CARLOS"/>
    <s v="VIGILANTE"/>
    <x v="2"/>
    <d v="2021-04-28T00:00:00"/>
    <d v="2021-05-15T00:00:00"/>
    <n v="18"/>
    <m/>
    <s v="VACACIONES"/>
    <m/>
    <m/>
    <m/>
    <m/>
  </r>
  <r>
    <x v="5"/>
    <n v="6146418"/>
    <s v="GALLEGO"/>
    <m/>
    <s v="NONDIER"/>
    <s v="FABIAN"/>
    <s v="VIGILANTE"/>
    <x v="1"/>
    <d v="2021-05-03T00:00:00"/>
    <d v="2021-05-05T00:00:00"/>
    <n v="3"/>
    <n v="10"/>
    <s v="PRIMERA VEZ"/>
    <m/>
    <m/>
    <m/>
    <m/>
  </r>
  <r>
    <x v="5"/>
    <n v="1152711493"/>
    <s v="RAIGOSA"/>
    <m/>
    <s v="DIDIER"/>
    <s v="ESNEIDER"/>
    <s v="VIGILANTE"/>
    <x v="1"/>
    <d v="2021-05-03T00:00:00"/>
    <d v="2021-05-05T00:00:00"/>
    <n v="3"/>
    <n v="10"/>
    <s v="PRIMERA VEZ"/>
    <m/>
    <m/>
    <m/>
    <m/>
  </r>
  <r>
    <x v="5"/>
    <n v="1001385623"/>
    <s v="RAMIREZ"/>
    <s v="OSORIO"/>
    <s v="LUIS"/>
    <s v="FELIPE"/>
    <s v="VIGILANTE"/>
    <x v="2"/>
    <d v="2021-05-03T00:00:00"/>
    <d v="2021-05-20T00:00:00"/>
    <n v="18"/>
    <m/>
    <s v="VACACIONES"/>
    <m/>
    <m/>
    <m/>
    <m/>
  </r>
  <r>
    <x v="5"/>
    <n v="9991166"/>
    <s v="VARGAS "/>
    <s v="HERNANDEZ"/>
    <s v="GENIER"/>
    <m/>
    <s v="VIGILANTE"/>
    <x v="1"/>
    <d v="2021-05-03T00:00:00"/>
    <d v="2021-05-07T00:00:00"/>
    <n v="5"/>
    <n v="22"/>
    <s v="PRIMERA VEZ"/>
    <m/>
    <m/>
    <m/>
    <m/>
  </r>
  <r>
    <x v="5"/>
    <n v="1054567241"/>
    <s v="NORIEGA"/>
    <s v="TORRES"/>
    <s v="JORGE"/>
    <s v="MANUEL"/>
    <s v="VIGILANTE"/>
    <x v="0"/>
    <d v="2021-05-07T00:00:00"/>
    <d v="2021-05-07T00:00:00"/>
    <n v="1"/>
    <m/>
    <s v="PERMISO NO REMUNERADO"/>
    <m/>
    <m/>
    <m/>
    <m/>
  </r>
  <r>
    <x v="5"/>
    <n v="1020397808"/>
    <s v="BOLIVAR"/>
    <s v="VILLA"/>
    <s v="ARLEY"/>
    <s v="ESTEBAN"/>
    <s v="VIGILANTE"/>
    <x v="0"/>
    <d v="2021-05-09T00:00:00"/>
    <d v="2021-05-09T00:00:00"/>
    <n v="1"/>
    <m/>
    <s v="PERMISO NO REMUNERADO"/>
    <m/>
    <m/>
    <m/>
    <m/>
  </r>
  <r>
    <x v="5"/>
    <n v="71393128"/>
    <s v="TANGARIFE "/>
    <s v="RUIZ"/>
    <s v="JESUS"/>
    <s v="SLBERTO"/>
    <s v="VIGILANTE"/>
    <x v="1"/>
    <d v="2021-05-11T00:00:00"/>
    <d v="2021-05-11T00:00:00"/>
    <n v="1"/>
    <n v="6"/>
    <s v="PRIMERA VEZ"/>
    <m/>
    <m/>
    <m/>
    <m/>
  </r>
  <r>
    <x v="5"/>
    <n v="1073988351"/>
    <s v="ARANGO "/>
    <s v="TUBERQUIA "/>
    <s v="WILMER "/>
    <s v="ALBERTO"/>
    <s v="VIGILANTE"/>
    <x v="2"/>
    <d v="2021-05-10T00:00:00"/>
    <d v="2021-05-27T00:00:00"/>
    <n v="18"/>
    <m/>
    <s v="VACACIONES"/>
    <m/>
    <m/>
    <m/>
    <m/>
  </r>
  <r>
    <x v="5"/>
    <n v="18506497"/>
    <s v="SANCHEZ"/>
    <s v="VILLEGAS"/>
    <s v="LUIS"/>
    <s v="JAIRO"/>
    <s v="VIGILANTE"/>
    <x v="2"/>
    <d v="2021-05-11T00:00:00"/>
    <d v="2021-05-18T00:00:00"/>
    <n v="8"/>
    <m/>
    <s v="VACACIONES"/>
    <m/>
    <m/>
    <m/>
    <m/>
  </r>
  <r>
    <x v="5"/>
    <n v="1020489794"/>
    <s v="CORDERO"/>
    <s v="OSPINA"/>
    <s v="JESUS"/>
    <m/>
    <s v="VIGILANTE"/>
    <x v="2"/>
    <d v="2021-05-08T00:00:00"/>
    <d v="2021-05-26T00:00:00"/>
    <n v="19"/>
    <m/>
    <s v="VACACIONES"/>
    <m/>
    <m/>
    <m/>
    <m/>
  </r>
  <r>
    <x v="5"/>
    <n v="3408137"/>
    <s v="ANVENDAÑO"/>
    <s v="AVENDAÑO"/>
    <s v="HENRY"/>
    <m/>
    <s v="VIGILANTE"/>
    <x v="2"/>
    <d v="2021-05-10T00:00:00"/>
    <d v="2021-05-17T00:00:00"/>
    <n v="8"/>
    <m/>
    <s v="VACACIONES"/>
    <m/>
    <m/>
    <m/>
    <m/>
  </r>
  <r>
    <x v="5"/>
    <n v="3408137"/>
    <s v="ANVENDAÑO"/>
    <s v="AVENDAÑO"/>
    <s v="HENRY"/>
    <m/>
    <s v="VIGILANTE"/>
    <x v="2"/>
    <d v="2021-05-18T00:00:00"/>
    <d v="2021-05-25T00:00:00"/>
    <n v="8"/>
    <m/>
    <s v="VACACIONES"/>
    <m/>
    <m/>
    <m/>
    <m/>
  </r>
  <r>
    <x v="5"/>
    <n v="1067951525"/>
    <s v="PERDOMO "/>
    <s v="GOMEZ"/>
    <s v="HERNANDO"/>
    <s v="ALONSO"/>
    <s v="VIGILANTE"/>
    <x v="2"/>
    <d v="2021-05-11T00:00:00"/>
    <d v="2021-05-12T00:00:00"/>
    <n v="2"/>
    <m/>
    <s v="VACACIONES"/>
    <m/>
    <m/>
    <m/>
    <m/>
  </r>
  <r>
    <x v="5"/>
    <n v="1067951525"/>
    <s v="PERDOMO "/>
    <s v="GOMEZ"/>
    <s v="HERNANDO"/>
    <s v="ALONSO"/>
    <s v="VIGILANTE"/>
    <x v="2"/>
    <d v="2021-05-20T00:00:00"/>
    <d v="2021-06-03T00:00:00"/>
    <n v="15"/>
    <m/>
    <s v="VACACIONES"/>
    <m/>
    <m/>
    <m/>
    <m/>
  </r>
  <r>
    <x v="5"/>
    <n v="1069469248"/>
    <s v="PUCHE "/>
    <s v="RAMOS"/>
    <s v="HERACLIO"/>
    <s v="JOSE"/>
    <s v="VIGILANTE"/>
    <x v="2"/>
    <d v="2021-05-10T00:00:00"/>
    <d v="2021-05-17T00:00:00"/>
    <n v="8"/>
    <m/>
    <s v="VACACIONES"/>
    <m/>
    <m/>
    <m/>
    <m/>
  </r>
  <r>
    <x v="5"/>
    <n v="1069469248"/>
    <s v="PUCHE "/>
    <s v="RAMOS"/>
    <s v="HERACLIO"/>
    <s v="JOSE"/>
    <s v="VIGILANTE"/>
    <x v="2"/>
    <d v="2021-05-18T00:00:00"/>
    <d v="2021-05-25T00:00:00"/>
    <n v="8"/>
    <m/>
    <s v="VACACIONES"/>
    <m/>
    <m/>
    <m/>
    <m/>
  </r>
  <r>
    <x v="5"/>
    <n v="3349613"/>
    <s v="PEREZ"/>
    <s v="MUÑOZ"/>
    <s v="RIGOBERTO"/>
    <m/>
    <s v="VIGILANTE"/>
    <x v="2"/>
    <d v="2021-05-07T00:00:00"/>
    <d v="2021-05-25T00:00:00"/>
    <n v="19"/>
    <m/>
    <s v="VACACIONES"/>
    <m/>
    <m/>
    <m/>
    <m/>
  </r>
  <r>
    <x v="5"/>
    <n v="1216717124"/>
    <s v="AGUDELO"/>
    <s v="LONDOÑO"/>
    <s v="JUAN"/>
    <s v="PABLO"/>
    <s v="VIGILANTE"/>
    <x v="2"/>
    <d v="2021-05-12T00:00:00"/>
    <d v="2021-05-29T00:00:00"/>
    <n v="18"/>
    <m/>
    <s v="VACACIONES"/>
    <m/>
    <m/>
    <m/>
    <m/>
  </r>
  <r>
    <x v="5"/>
    <n v="98527150"/>
    <s v="CORRALES"/>
    <m/>
    <s v="ELKIN"/>
    <s v="DARIO"/>
    <s v="VIGILANTE"/>
    <x v="2"/>
    <d v="2021-05-15T00:00:00"/>
    <d v="2021-06-02T00:00:00"/>
    <n v="19"/>
    <m/>
    <s v="VACACIONES"/>
    <m/>
    <m/>
    <m/>
    <m/>
  </r>
  <r>
    <x v="5"/>
    <n v="71946868"/>
    <s v="GALLEGO"/>
    <s v="MARIN"/>
    <s v="JORGE"/>
    <s v="ELIAS"/>
    <s v="VIGILANTE"/>
    <x v="2"/>
    <d v="2021-05-10T00:00:00"/>
    <d v="2021-05-27T00:00:00"/>
    <n v="18"/>
    <m/>
    <s v="VACACIONES"/>
    <m/>
    <m/>
    <m/>
    <m/>
  </r>
  <r>
    <x v="5"/>
    <n v="98577033"/>
    <s v="ARISTIZABAL"/>
    <s v="GIRALDO"/>
    <s v="PASTOR "/>
    <s v="JAIRO"/>
    <s v="VIGILANTE"/>
    <x v="0"/>
    <d v="2021-05-03T00:00:00"/>
    <d v="2021-05-07T00:00:00"/>
    <n v="5"/>
    <m/>
    <s v="LICENCIA DE LUTO"/>
    <m/>
    <m/>
    <m/>
    <m/>
  </r>
  <r>
    <x v="5"/>
    <n v="1067855781"/>
    <s v="SIMANCA"/>
    <s v="ALVAREZ"/>
    <s v="EDUARDO"/>
    <s v="ANTONIO"/>
    <s v="VIGILANTE"/>
    <x v="1"/>
    <d v="2021-05-12T00:00:00"/>
    <d v="2021-05-16T00:00:00"/>
    <n v="5"/>
    <n v="22"/>
    <s v="PRIMERA VEZ"/>
    <m/>
    <m/>
    <m/>
    <m/>
  </r>
  <r>
    <x v="5"/>
    <n v="1036673647"/>
    <s v="ECHEVERRI"/>
    <s v="VILLEGAS"/>
    <s v="JUAN "/>
    <s v="DIEGO"/>
    <s v="VIGILANTE"/>
    <x v="1"/>
    <d v="2021-05-13T00:00:00"/>
    <d v="2021-05-17T00:00:00"/>
    <n v="5"/>
    <n v="2"/>
    <s v="CUARTA VEZ"/>
    <m/>
    <m/>
    <m/>
    <m/>
  </r>
  <r>
    <x v="5"/>
    <n v="3570700"/>
    <s v="QUINTERO"/>
    <m/>
    <s v="LUIS "/>
    <s v="CARLOS"/>
    <s v="VIGILANTE"/>
    <x v="2"/>
    <d v="2021-05-11T00:00:00"/>
    <d v="2021-05-28T00:00:00"/>
    <n v="18"/>
    <m/>
    <s v="VACACIONES"/>
    <m/>
    <m/>
    <m/>
    <m/>
  </r>
  <r>
    <x v="5"/>
    <n v="91444147"/>
    <s v="SANCHEZ"/>
    <s v="PALACIOS"/>
    <s v="RUGER"/>
    <s v="OMAR"/>
    <s v="VIGILANTE"/>
    <x v="0"/>
    <d v="2021-05-09T00:00:00"/>
    <d v="2021-05-13T00:00:00"/>
    <n v="5"/>
    <m/>
    <s v="LICENCIA DE LUTO"/>
    <m/>
    <m/>
    <m/>
    <m/>
  </r>
  <r>
    <x v="5"/>
    <n v="98577033"/>
    <s v="ARISTIZABAL"/>
    <s v="GIRALDO"/>
    <s v="PASTOR"/>
    <s v="JAIRO"/>
    <s v="VIGILANTE"/>
    <x v="0"/>
    <d v="2021-05-03T00:00:00"/>
    <d v="2021-05-07T00:00:00"/>
    <n v="5"/>
    <m/>
    <s v="LICENCIA DE LUTO"/>
    <m/>
    <m/>
    <m/>
    <m/>
  </r>
  <r>
    <x v="5"/>
    <n v="15452400"/>
    <s v="MORALES"/>
    <s v="MUÑOZ"/>
    <m/>
    <s v="WILSON"/>
    <s v="VIGILANTE"/>
    <x v="0"/>
    <d v="2021-05-13T00:00:00"/>
    <d v="2021-05-13T00:00:00"/>
    <n v="1"/>
    <m/>
    <s v="PERMISO NO REMUNERADO"/>
    <m/>
    <m/>
    <m/>
    <m/>
  </r>
  <r>
    <x v="5"/>
    <n v="1013559134"/>
    <s v="MUNERA"/>
    <s v="RAMIREZ"/>
    <s v="SEBASTIAN"/>
    <m/>
    <s v="VIGILANTE"/>
    <x v="1"/>
    <d v="2021-05-13T00:00:00"/>
    <d v="2021-05-17T00:00:00"/>
    <n v="5"/>
    <n v="1"/>
    <s v="PRIMERA VEZ"/>
    <m/>
    <m/>
    <m/>
    <m/>
  </r>
  <r>
    <x v="5"/>
    <n v="1039695388"/>
    <s v="GUTIERREZ"/>
    <s v="RESTREPO"/>
    <s v="LINSEY"/>
    <s v="DONEY"/>
    <s v="VIGILANTE"/>
    <x v="0"/>
    <d v="2021-05-01T00:00:00"/>
    <d v="2021-05-02T00:00:00"/>
    <n v="2"/>
    <m/>
    <s v="PERMISO NO REMUNERADO"/>
    <m/>
    <m/>
    <m/>
    <m/>
  </r>
  <r>
    <x v="5"/>
    <n v="1018348162"/>
    <s v="VERA"/>
    <s v="MAZO"/>
    <s v="MARIA"/>
    <s v="ISABEL"/>
    <s v="VIGILANTE"/>
    <x v="0"/>
    <d v="2021-05-16T00:00:00"/>
    <d v="2021-05-17T00:00:00"/>
    <n v="2"/>
    <m/>
    <s v="PERMISO NO REMUNERADO"/>
    <m/>
    <m/>
    <m/>
    <m/>
  </r>
  <r>
    <x v="5"/>
    <n v="1036673440"/>
    <s v="ZAPATA"/>
    <s v="MORALES"/>
    <s v="ANGIE"/>
    <s v="PAOLA"/>
    <s v="VIGILANTE"/>
    <x v="0"/>
    <d v="2021-05-02T00:00:00"/>
    <d v="2021-05-03T00:00:00"/>
    <n v="2"/>
    <m/>
    <s v="PERMISO REMUNERADO"/>
    <m/>
    <m/>
    <m/>
    <m/>
  </r>
  <r>
    <x v="5"/>
    <n v="70785727"/>
    <s v="GRISALES"/>
    <s v="CARDONA"/>
    <s v="DARIO"/>
    <m/>
    <s v="VIGILANTE"/>
    <x v="2"/>
    <d v="2021-05-18T00:00:00"/>
    <d v="2021-06-03T00:00:00"/>
    <n v="17"/>
    <m/>
    <s v="VACACIONES"/>
    <m/>
    <m/>
    <m/>
    <m/>
  </r>
  <r>
    <x v="5"/>
    <n v="12973985"/>
    <s v="ROMERO"/>
    <s v="LOPEZ"/>
    <s v="GUILLERMO"/>
    <m/>
    <s v="VIGILANTE"/>
    <x v="2"/>
    <d v="2021-05-20T00:00:00"/>
    <d v="2021-05-27T00:00:00"/>
    <n v="8"/>
    <m/>
    <s v="VACACIONES"/>
    <m/>
    <m/>
    <m/>
    <m/>
  </r>
  <r>
    <x v="5"/>
    <n v="12973985"/>
    <s v="ROMERO"/>
    <s v="LOPEZ"/>
    <s v="GUILLERMO"/>
    <m/>
    <s v="VIGILANTE"/>
    <x v="2"/>
    <d v="2021-05-28T00:00:00"/>
    <d v="2021-06-04T00:00:00"/>
    <n v="8"/>
    <m/>
    <s v="VACACIONES"/>
    <m/>
    <m/>
    <m/>
    <m/>
  </r>
  <r>
    <x v="5"/>
    <n v="1214731787"/>
    <s v="ZAPATA"/>
    <s v="TABARES"/>
    <s v="DAILYS"/>
    <s v="VIVIANA"/>
    <s v="VIGILANTE"/>
    <x v="0"/>
    <d v="2021-05-09T00:00:00"/>
    <d v="2021-05-09T00:00:00"/>
    <n v="1"/>
    <m/>
    <s v="PERMISO NO REMUNERADO"/>
    <m/>
    <m/>
    <m/>
    <m/>
  </r>
  <r>
    <x v="5"/>
    <n v="71784176"/>
    <s v="AMAYA"/>
    <s v="MACIAS"/>
    <s v="ALEXANDER"/>
    <m/>
    <s v="VIGILANTE"/>
    <x v="0"/>
    <d v="2021-05-10T00:00:00"/>
    <d v="2021-05-10T00:00:00"/>
    <n v="1"/>
    <m/>
    <s v="PERMISO NO REMUNERADO"/>
    <m/>
    <m/>
    <m/>
    <m/>
  </r>
  <r>
    <x v="5"/>
    <n v="71605406"/>
    <s v="PEREZ"/>
    <s v="ARROYO"/>
    <s v="RAMIRO"/>
    <s v="ANTONIO"/>
    <s v="VIGILANTE"/>
    <x v="1"/>
    <d v="2021-05-18T00:00:00"/>
    <d v="2021-05-18T00:00:00"/>
    <n v="1"/>
    <n v="20"/>
    <s v="PRIMERA VEZ"/>
    <m/>
    <m/>
    <m/>
    <m/>
  </r>
  <r>
    <x v="5"/>
    <n v="70254559"/>
    <s v="MONCADA "/>
    <s v="VELEZ"/>
    <s v="ANIBAL "/>
    <s v="DE JESUS"/>
    <s v="VIGILANTE"/>
    <x v="2"/>
    <d v="2021-05-18T00:00:00"/>
    <d v="2021-06-03T00:00:00"/>
    <n v="17"/>
    <m/>
    <s v="VACACIONES"/>
    <m/>
    <m/>
    <m/>
    <m/>
  </r>
  <r>
    <x v="5"/>
    <n v="8126753"/>
    <s v="CARVAJAL"/>
    <s v="ROBLEDO SERGIO"/>
    <s v="SERGIO"/>
    <s v="ALBERTO"/>
    <s v="VIGILANTE"/>
    <x v="2"/>
    <d v="2021-05-20T00:00:00"/>
    <d v="2021-05-27T00:00:00"/>
    <n v="8"/>
    <m/>
    <s v="VACACIONES"/>
    <m/>
    <m/>
    <m/>
    <m/>
  </r>
  <r>
    <x v="5"/>
    <n v="8126753"/>
    <s v="CARVAJAL"/>
    <s v="ROBLEDO SERGIO"/>
    <s v="SERGIO"/>
    <s v="ALBERTO"/>
    <s v="VIGILANTE"/>
    <x v="2"/>
    <d v="2021-05-28T00:00:00"/>
    <d v="2021-06-04T00:00:00"/>
    <n v="8"/>
    <m/>
    <s v="VACACIONES"/>
    <m/>
    <m/>
    <m/>
    <m/>
  </r>
  <r>
    <x v="5"/>
    <n v="70435630"/>
    <s v="MANCO"/>
    <s v="USUGA"/>
    <s v="GILDARDO "/>
    <s v="ANTONIO"/>
    <s v="VIGILANTE"/>
    <x v="2"/>
    <d v="2021-05-20T00:00:00"/>
    <d v="2021-06-05T00:00:00"/>
    <n v="17"/>
    <m/>
    <s v="VACACIONES"/>
    <m/>
    <m/>
    <m/>
    <m/>
  </r>
  <r>
    <x v="5"/>
    <n v="98629331"/>
    <s v="MEJIA"/>
    <s v="MUÑOZ"/>
    <s v="GUSTAVO"/>
    <s v="ADOLFO"/>
    <s v="VIGILANTE"/>
    <x v="2"/>
    <d v="2021-05-18T00:00:00"/>
    <d v="2021-06-03T00:00:00"/>
    <n v="17"/>
    <m/>
    <s v="VACACIONES"/>
    <m/>
    <m/>
    <m/>
    <m/>
  </r>
  <r>
    <x v="5"/>
    <n v="70660473"/>
    <s v="SANCHEZ"/>
    <m/>
    <s v="FERNANDO "/>
    <s v="DE JESUS"/>
    <s v="VIGILANTE"/>
    <x v="2"/>
    <d v="2021-05-18T00:00:00"/>
    <d v="2021-06-03T00:00:00"/>
    <n v="17"/>
    <m/>
    <s v="VACACIONES"/>
    <m/>
    <m/>
    <m/>
    <m/>
  </r>
  <r>
    <x v="5"/>
    <n v="75075325"/>
    <s v="CASTELLANOS"/>
    <m/>
    <s v="WILMER "/>
    <s v="NORBEY"/>
    <s v="VIGILANTE"/>
    <x v="2"/>
    <d v="2021-05-12T00:00:00"/>
    <d v="2021-05-29T00:00:00"/>
    <n v="18"/>
    <m/>
    <s v="VACACIONES"/>
    <m/>
    <m/>
    <m/>
    <m/>
  </r>
  <r>
    <x v="5"/>
    <n v="98577033"/>
    <s v="ARISTIZABAL"/>
    <s v="GIRALDO"/>
    <s v="PASTOR"/>
    <s v="JAIRO"/>
    <s v="VIGILANTE"/>
    <x v="2"/>
    <d v="2021-05-20T00:00:00"/>
    <d v="2021-06-04T00:00:00"/>
    <n v="16"/>
    <m/>
    <s v="VACACIONES"/>
    <m/>
    <m/>
    <m/>
    <m/>
  </r>
  <r>
    <x v="5"/>
    <n v="98527545"/>
    <s v="MURILLO"/>
    <m/>
    <s v="GIOVANI"/>
    <m/>
    <s v="VIGILANTE"/>
    <x v="2"/>
    <d v="2021-05-22T00:00:00"/>
    <d v="2021-06-09T00:00:00"/>
    <n v="19"/>
    <m/>
    <s v="VACACIONES"/>
    <m/>
    <m/>
    <m/>
    <m/>
  </r>
  <r>
    <x v="5"/>
    <n v="71766822"/>
    <s v="GIRALDO"/>
    <m/>
    <s v="WILMAR"/>
    <m/>
    <s v="VIGILANTE"/>
    <x v="2"/>
    <d v="2021-05-24T00:00:00"/>
    <d v="2021-06-10T00:00:00"/>
    <n v="18"/>
    <m/>
    <s v="VACACIONES"/>
    <m/>
    <m/>
    <m/>
    <m/>
  </r>
  <r>
    <x v="5"/>
    <n v="71762788"/>
    <s v="PEREIRA"/>
    <s v="QUINTERO"/>
    <s v="CARLOS "/>
    <s v="DAVIS"/>
    <s v="VIGILANTE"/>
    <x v="0"/>
    <d v="2021-05-10T00:00:00"/>
    <d v="2021-05-14T00:00:00"/>
    <n v="5"/>
    <m/>
    <s v="LICENCIA DE LUTO"/>
    <m/>
    <m/>
    <m/>
    <m/>
  </r>
  <r>
    <x v="5"/>
    <n v="98478263"/>
    <s v="VASQUEZ"/>
    <s v="ESPINOSA"/>
    <s v="JHON "/>
    <s v="JAIRO"/>
    <s v="VIGILANTE"/>
    <x v="1"/>
    <d v="2021-05-20T00:00:00"/>
    <d v="2021-05-20T00:00:00"/>
    <n v="1"/>
    <n v="6"/>
    <s v="PRIMERA VEZ"/>
    <m/>
    <m/>
    <m/>
    <m/>
  </r>
  <r>
    <x v="5"/>
    <n v="71711638"/>
    <s v="VASQUEZ"/>
    <s v="ROMAN"/>
    <s v="NEISON"/>
    <s v="ALBEIRO"/>
    <s v="VIGILANTE"/>
    <x v="0"/>
    <d v="2021-05-12T00:00:00"/>
    <d v="2021-05-16T00:00:00"/>
    <n v="5"/>
    <m/>
    <s v="LICENCIA DE LUTO"/>
    <m/>
    <m/>
    <m/>
    <m/>
  </r>
  <r>
    <x v="5"/>
    <n v="1001031850"/>
    <s v="MALMACEA"/>
    <s v="SIERRA"/>
    <s v="CARLOS"/>
    <s v="ENRIQUE"/>
    <s v="VIGILANTE"/>
    <x v="0"/>
    <d v="2021-05-22T00:00:00"/>
    <d v="2021-05-26T00:00:00"/>
    <n v="5"/>
    <n v="22"/>
    <s v="PRIMERA VEZ"/>
    <m/>
    <m/>
    <m/>
    <m/>
  </r>
  <r>
    <x v="5"/>
    <n v="1148697472"/>
    <s v="GONZALEZ"/>
    <s v="MEJIA"/>
    <s v="SEBASTIAN"/>
    <m/>
    <s v="VIGILANTE"/>
    <x v="1"/>
    <d v="2021-05-25T00:00:00"/>
    <d v="2021-05-29T00:00:00"/>
    <n v="5"/>
    <n v="1"/>
    <s v="PRIMERA VEZ"/>
    <m/>
    <m/>
    <m/>
    <m/>
  </r>
  <r>
    <x v="5"/>
    <n v="15374700"/>
    <s v="RESTREPO"/>
    <s v="SUAREZ"/>
    <s v="YEISON"/>
    <s v="ANDERLEY"/>
    <s v="VIGILANTE"/>
    <x v="2"/>
    <d v="2021-05-24T00:00:00"/>
    <d v="2021-06-10T00:00:00"/>
    <n v="18"/>
    <m/>
    <s v="VACACIONES"/>
    <m/>
    <m/>
    <m/>
    <m/>
  </r>
  <r>
    <x v="5"/>
    <n v="1017260215"/>
    <s v="MUÑOZ"/>
    <s v="VIDAL"/>
    <s v="ANGIE"/>
    <s v="PAOLA"/>
    <s v="VIGILANTE"/>
    <x v="2"/>
    <d v="2021-05-22T00:00:00"/>
    <d v="2021-06-09T00:00:00"/>
    <n v="19"/>
    <m/>
    <s v="VACACIONES"/>
    <m/>
    <m/>
    <m/>
    <m/>
  </r>
  <r>
    <x v="5"/>
    <n v="98761862"/>
    <s v="MORENO"/>
    <s v="ORTIZ"/>
    <s v="YURY"/>
    <m/>
    <s v="VIGILANTE"/>
    <x v="0"/>
    <d v="2021-05-28T00:00:00"/>
    <d v="2021-05-28T00:00:00"/>
    <n v="1"/>
    <m/>
    <s v="PERMISO NO REMUNERADO"/>
    <m/>
    <m/>
    <m/>
    <m/>
  </r>
  <r>
    <x v="5"/>
    <n v="71185910"/>
    <s v="CASTAÑO "/>
    <s v="GALLEGO"/>
    <s v="RAMIRO "/>
    <s v="ANTONIO"/>
    <s v="VIGILANTE"/>
    <x v="0"/>
    <d v="2021-05-22T00:00:00"/>
    <d v="2021-05-22T00:00:00"/>
    <n v="1"/>
    <m/>
    <s v="PERMISO NO REMUNERADO"/>
    <m/>
    <m/>
    <m/>
    <m/>
  </r>
  <r>
    <x v="5"/>
    <n v="98634710"/>
    <s v="ZAPATA"/>
    <m/>
    <s v="HECTOR"/>
    <s v="FABIO"/>
    <s v="VIGILANTE"/>
    <x v="2"/>
    <d v="2021-05-24T00:00:00"/>
    <d v="2021-06-10T00:00:00"/>
    <n v="18"/>
    <m/>
    <s v="VACACIONES"/>
    <m/>
    <m/>
    <m/>
    <m/>
  </r>
  <r>
    <x v="5"/>
    <n v="98453736"/>
    <s v="JARAMILLO"/>
    <m/>
    <s v="JESUS"/>
    <s v="ANIBAL"/>
    <s v="VIGILANTE"/>
    <x v="2"/>
    <d v="2021-05-12T00:00:00"/>
    <d v="2021-05-19T00:00:00"/>
    <n v="8"/>
    <m/>
    <s v="VACACIONES"/>
    <m/>
    <m/>
    <m/>
    <m/>
  </r>
  <r>
    <x v="5"/>
    <n v="98453736"/>
    <s v="JARAMILLO"/>
    <m/>
    <s v="JESUS"/>
    <s v="ANIBAL"/>
    <s v="VIGILANTE"/>
    <x v="2"/>
    <d v="2021-05-20T00:00:00"/>
    <d v="2021-05-27T00:00:00"/>
    <n v="8"/>
    <m/>
    <s v="VACACIONES"/>
    <m/>
    <m/>
    <m/>
    <m/>
  </r>
  <r>
    <x v="5"/>
    <n v="1214727527"/>
    <s v="AGUDELO "/>
    <s v="PATIÑO"/>
    <s v="DUVAN"/>
    <m/>
    <s v="VIGILANTE"/>
    <x v="0"/>
    <d v="2021-05-31T00:00:00"/>
    <d v="2021-05-31T00:00:00"/>
    <n v="1"/>
    <m/>
    <s v="PERMISO NO REMUNERADO"/>
    <m/>
    <m/>
    <m/>
    <m/>
  </r>
  <r>
    <x v="5"/>
    <n v="1039886602"/>
    <s v="CHAVERRA"/>
    <s v="PULGARIN"/>
    <s v="LEONARDO"/>
    <s v="ANTONIO"/>
    <s v="VIGILANTE"/>
    <x v="1"/>
    <d v="2021-05-27T00:00:00"/>
    <d v="2021-05-27T00:00:00"/>
    <n v="1"/>
    <n v="4"/>
    <s v="PRIMERA VEZ"/>
    <m/>
    <m/>
    <m/>
    <m/>
  </r>
  <r>
    <x v="5"/>
    <n v="1041265039"/>
    <s v="AYALA"/>
    <s v="BERNA"/>
    <s v="JAVIER"/>
    <m/>
    <s v="VIGILANTE"/>
    <x v="1"/>
    <d v="2021-05-27T00:00:00"/>
    <d v="2021-05-27T00:00:00"/>
    <n v="1"/>
    <n v="20"/>
    <s v="PRIMERA VEZ"/>
    <m/>
    <m/>
    <m/>
    <m/>
  </r>
  <r>
    <x v="5"/>
    <n v="1000289988"/>
    <s v="LONDOÑO"/>
    <s v="CASTAÑO"/>
    <s v="JULIAN"/>
    <s v="ANDREY"/>
    <s v="VIGILANTE"/>
    <x v="1"/>
    <d v="2021-05-27T00:00:00"/>
    <d v="2021-05-27T00:00:00"/>
    <n v="1"/>
    <n v="20"/>
    <s v="PRIMERA VEZ"/>
    <m/>
    <m/>
    <m/>
    <m/>
  </r>
  <r>
    <x v="5"/>
    <n v="32206520"/>
    <s v="LOPEZ"/>
    <m/>
    <s v="DURLEY"/>
    <s v="BIBIANA"/>
    <s v="VIGILANTE"/>
    <x v="0"/>
    <d v="2021-05-29T00:00:00"/>
    <d v="2021-05-30T00:00:00"/>
    <n v="2"/>
    <m/>
    <s v="PERMISO NO REMUNERADO"/>
    <m/>
    <m/>
    <m/>
    <m/>
  </r>
  <r>
    <x v="5"/>
    <n v="71332846"/>
    <s v="RIVERA"/>
    <s v="ANGEL"/>
    <s v="OSCAR"/>
    <s v="DARIO"/>
    <s v="VIGILANTE"/>
    <x v="2"/>
    <d v="2021-05-15T00:00:00"/>
    <d v="2021-06-02T00:00:00"/>
    <n v="19"/>
    <m/>
    <s v="VACACIONES"/>
    <m/>
    <m/>
    <m/>
    <m/>
  </r>
  <r>
    <x v="5"/>
    <n v="7537251"/>
    <s v="HINCAPIE"/>
    <s v="HIDALGO"/>
    <s v="JESUS"/>
    <m/>
    <s v="VIGILANTE"/>
    <x v="2"/>
    <d v="2021-05-22T00:00:00"/>
    <d v="2021-06-09T00:00:00"/>
    <n v="19"/>
    <m/>
    <s v="VACACIONES"/>
    <m/>
    <m/>
    <m/>
    <m/>
  </r>
  <r>
    <x v="5"/>
    <n v="1035428600"/>
    <s v="CAMPO"/>
    <s v="PULGARIN"/>
    <s v="DIEGO"/>
    <s v="LEON"/>
    <s v="VIGILANTE"/>
    <x v="1"/>
    <d v="2021-05-31T00:00:00"/>
    <d v="2021-05-31T00:00:00"/>
    <n v="1"/>
    <n v="4"/>
    <s v="PRIMERA VEZ"/>
    <m/>
    <m/>
    <m/>
    <m/>
  </r>
  <r>
    <x v="5"/>
    <n v="1041265039"/>
    <s v="AYALA"/>
    <s v="BERNA"/>
    <s v="JAVIER"/>
    <m/>
    <s v="VIGILANTE"/>
    <x v="1"/>
    <d v="2021-05-31T00:00:00"/>
    <d v="2021-06-04T00:00:00"/>
    <n v="5"/>
    <n v="22"/>
    <s v="PRIMERA VEZ"/>
    <m/>
    <m/>
    <m/>
    <m/>
  </r>
  <r>
    <x v="5"/>
    <n v="98696766"/>
    <s v="GOMEZ"/>
    <s v="MACHADO"/>
    <s v="VICENTE"/>
    <m/>
    <s v="VIGILANTE"/>
    <x v="1"/>
    <d v="2021-05-31T00:00:00"/>
    <d v="2021-05-31T00:00:00"/>
    <n v="1"/>
    <n v="4"/>
    <s v="PRIMERA VEZ"/>
    <m/>
    <m/>
    <m/>
    <m/>
  </r>
  <r>
    <x v="5"/>
    <n v="71609620"/>
    <s v="GIL"/>
    <s v="SEPULVEDA"/>
    <s v="OSCAR"/>
    <s v="IVAN"/>
    <s v="VIGILANTE"/>
    <x v="1"/>
    <d v="2021-05-31T00:00:00"/>
    <d v="2021-05-31T00:00:00"/>
    <n v="1"/>
    <n v="4"/>
    <s v="PRIMERA VEZ"/>
    <m/>
    <m/>
    <m/>
    <m/>
  </r>
  <r>
    <x v="5"/>
    <n v="71772218"/>
    <s v="CORREA"/>
    <s v="FRANCO"/>
    <s v="ISMAEL"/>
    <s v="ANTONIO"/>
    <s v="VIGILANTE"/>
    <x v="2"/>
    <d v="2021-05-14T00:00:00"/>
    <d v="2021-06-01T00:00:00"/>
    <n v="19"/>
    <m/>
    <s v="VACACIONES"/>
    <m/>
    <m/>
    <m/>
    <m/>
  </r>
  <r>
    <x v="5"/>
    <n v="94262650"/>
    <s v="ALVAREZ"/>
    <s v="CASTAÑO"/>
    <s v="JHON"/>
    <s v="EIBER"/>
    <s v="VIGILANTE"/>
    <x v="2"/>
    <d v="2021-05-19T00:00:00"/>
    <d v="2021-05-26T00:00:00"/>
    <n v="8"/>
    <m/>
    <s v="VACACIONES"/>
    <m/>
    <m/>
    <m/>
    <m/>
  </r>
  <r>
    <x v="5"/>
    <n v="94262650"/>
    <s v="ALVAREZ"/>
    <s v="CASTAÑO"/>
    <s v="JHON"/>
    <s v="EIBER"/>
    <s v="VIGILANTE"/>
    <x v="2"/>
    <d v="2021-05-27T00:00:00"/>
    <d v="2021-06-03T00:00:00"/>
    <n v="8"/>
    <m/>
    <s v="VACACIONES"/>
    <m/>
    <m/>
    <m/>
    <m/>
  </r>
  <r>
    <x v="5"/>
    <n v="3622134"/>
    <s v="SUAREZ"/>
    <s v="PEÑA"/>
    <s v="YUBER"/>
    <s v="ALBERTO"/>
    <s v="VIGILANTE"/>
    <x v="2"/>
    <d v="2021-05-18T00:00:00"/>
    <d v="2021-06-03T00:00:00"/>
    <n v="17"/>
    <m/>
    <s v="VACACIONES"/>
    <m/>
    <m/>
    <m/>
    <m/>
  </r>
  <r>
    <x v="5"/>
    <n v="98549667"/>
    <s v="MARULANDA"/>
    <s v="OCHOA"/>
    <s v="EDWIN "/>
    <s v="JOSE"/>
    <s v="VIGILANTE"/>
    <x v="0"/>
    <d v="2021-05-29T00:00:00"/>
    <d v="2021-06-02T00:00:00"/>
    <n v="5"/>
    <m/>
    <s v="LICENCIA DE LUTO"/>
    <m/>
    <m/>
    <m/>
    <m/>
  </r>
  <r>
    <x v="6"/>
    <n v="1100687261"/>
    <s v="JARAMILLO"/>
    <s v="DORADO"/>
    <s v="JODE"/>
    <s v="DAVID"/>
    <s v="VIGILANTE"/>
    <x v="1"/>
    <d v="2021-06-02T00:00:00"/>
    <d v="2021-06-04T00:00:00"/>
    <n v="3"/>
    <n v="10"/>
    <s v="PRIMERA VEZ"/>
    <m/>
    <m/>
    <m/>
    <m/>
  </r>
  <r>
    <x v="6"/>
    <n v="43709476"/>
    <s v="ANGEL"/>
    <s v="DUQUE"/>
    <s v="SONIA"/>
    <s v="ELIZABETH"/>
    <s v="VIGILANTE"/>
    <x v="2"/>
    <d v="2021-05-30T00:00:00"/>
    <d v="2021-05-30T00:00:00"/>
    <n v="1"/>
    <m/>
    <s v="PERMISO NO REMUNERADO"/>
    <m/>
    <m/>
    <m/>
    <m/>
  </r>
  <r>
    <x v="6"/>
    <n v="1216722370"/>
    <s v="AGUDELO"/>
    <s v="ALVAREZ"/>
    <s v="ROJER"/>
    <s v="ALEJANDRO"/>
    <s v="VIGILANTE"/>
    <x v="1"/>
    <d v="2021-06-01T00:00:00"/>
    <d v="2021-06-01T00:00:00"/>
    <n v="1"/>
    <n v="6"/>
    <s v="PRIMERA VEZ"/>
    <m/>
    <m/>
    <m/>
    <m/>
  </r>
  <r>
    <x v="6"/>
    <n v="1152710691"/>
    <s v="HIGUITA"/>
    <s v="HERNANDEZ"/>
    <s v="JONATHAN"/>
    <s v="ESNEIDER"/>
    <s v="VIGILANTE"/>
    <x v="1"/>
    <d v="2021-06-08T00:00:00"/>
    <d v="2021-06-08T00:00:00"/>
    <n v="1"/>
    <n v="4"/>
    <s v="PRIMERA VEZ"/>
    <m/>
    <m/>
    <m/>
    <m/>
  </r>
  <r>
    <x v="6"/>
    <n v="1054917042"/>
    <s v="LOPEZ"/>
    <s v="CASTRILLON "/>
    <s v="JOSE"/>
    <s v="JULIAN"/>
    <s v="VIGILANTE"/>
    <x v="2"/>
    <d v="2021-06-02T00:00:00"/>
    <d v="2021-06-09T00:00:00"/>
    <n v="8"/>
    <m/>
    <s v="VACACIONES"/>
    <m/>
    <m/>
    <m/>
    <m/>
  </r>
  <r>
    <x v="6"/>
    <n v="1054917042"/>
    <s v="LOPEZ"/>
    <s v="CASTRILLON "/>
    <s v="JOSE"/>
    <s v="JULIAN"/>
    <s v="VIGILANTE"/>
    <x v="2"/>
    <d v="2021-06-10T00:00:00"/>
    <d v="2021-06-17T00:00:00"/>
    <n v="8"/>
    <m/>
    <s v="VACACIONES"/>
    <m/>
    <m/>
    <m/>
    <m/>
  </r>
  <r>
    <x v="6"/>
    <n v="1038417909"/>
    <s v="CUELLAR"/>
    <s v="PEREZ"/>
    <s v="ERVIN"/>
    <s v="JOAN"/>
    <s v="VIGILANTE"/>
    <x v="2"/>
    <d v="2021-06-02T00:00:00"/>
    <d v="2021-06-21T00:00:00"/>
    <n v="20"/>
    <m/>
    <s v="VACACIONES"/>
    <m/>
    <m/>
    <m/>
    <m/>
  </r>
  <r>
    <x v="6"/>
    <n v="1035428600"/>
    <s v="CAMPO"/>
    <s v="PULGARIN"/>
    <s v="DIEGO"/>
    <s v="LEON"/>
    <s v="VIGILANTE"/>
    <x v="2"/>
    <d v="2021-06-03T00:00:00"/>
    <d v="2021-06-22T00:00:00"/>
    <n v="20"/>
    <m/>
    <s v="VACACIONES"/>
    <m/>
    <m/>
    <m/>
    <m/>
  </r>
  <r>
    <x v="6"/>
    <n v="75065489"/>
    <s v="IBARRA"/>
    <s v="MORENO"/>
    <s v="JOSE"/>
    <s v="LEONARDO"/>
    <s v="VIGILANTE"/>
    <x v="2"/>
    <d v="2021-06-08T00:00:00"/>
    <d v="2021-06-17T00:00:00"/>
    <n v="10"/>
    <m/>
    <s v="VACACIONES"/>
    <m/>
    <m/>
    <m/>
    <m/>
  </r>
  <r>
    <x v="6"/>
    <n v="75065489"/>
    <s v="IBARRA"/>
    <s v="MORENO"/>
    <s v="JOSE"/>
    <s v="LEONARDO"/>
    <s v="VIGILANTE"/>
    <x v="2"/>
    <d v="2021-06-18T00:00:00"/>
    <d v="2021-06-26T00:00:00"/>
    <n v="9"/>
    <m/>
    <s v="VACACIONES"/>
    <m/>
    <m/>
    <m/>
    <m/>
  </r>
  <r>
    <x v="6"/>
    <n v="71906669"/>
    <s v="GUERRA"/>
    <s v="MONSALVE"/>
    <s v="JORGE"/>
    <s v="LUIS"/>
    <s v="VIGILANTE"/>
    <x v="2"/>
    <d v="2021-06-04T00:00:00"/>
    <d v="2021-06-23T00:00:00"/>
    <n v="20"/>
    <m/>
    <s v="VACACIONES"/>
    <m/>
    <m/>
    <m/>
    <m/>
  </r>
  <r>
    <x v="6"/>
    <n v="71336647"/>
    <s v="VARGAS "/>
    <s v="VELEZ"/>
    <s v="FABIAN"/>
    <s v="DE JESUS"/>
    <s v="VIGILANTE"/>
    <x v="2"/>
    <d v="2021-06-04T00:00:00"/>
    <d v="2021-06-23T00:00:00"/>
    <n v="20"/>
    <m/>
    <s v="VACACIONES"/>
    <m/>
    <m/>
    <m/>
    <m/>
  </r>
  <r>
    <x v="6"/>
    <n v="8414876"/>
    <s v="HOLGUIN"/>
    <s v="QUIROZ"/>
    <s v="GABRIEL"/>
    <s v="ELIAS"/>
    <s v="VIGILANTE"/>
    <x v="2"/>
    <d v="2021-06-10T00:00:00"/>
    <d v="2021-06-26T00:00:00"/>
    <n v="17"/>
    <m/>
    <s v="VACACIONES"/>
    <m/>
    <m/>
    <m/>
    <m/>
  </r>
  <r>
    <x v="6"/>
    <n v="1067095122"/>
    <s v="HEREDIA"/>
    <s v="ZULETA"/>
    <s v="OMAR "/>
    <s v="DAVID"/>
    <s v="VIGILANTE"/>
    <x v="0"/>
    <d v="2021-06-10T00:00:00"/>
    <d v="2021-06-10T00:00:00"/>
    <n v="1"/>
    <m/>
    <s v="PERMISO NO REMUNERADO"/>
    <m/>
    <m/>
    <m/>
    <m/>
  </r>
  <r>
    <x v="5"/>
    <n v="6146418"/>
    <s v="GALLEGO"/>
    <s v="GRACIA"/>
    <s v="NONDIER"/>
    <s v="FABIAN"/>
    <s v="VIGILANTE"/>
    <x v="2"/>
    <d v="2021-05-18T00:00:00"/>
    <d v="2021-06-03T00:00:00"/>
    <n v="17"/>
    <m/>
    <s v="VACACIONES"/>
    <m/>
    <m/>
    <m/>
    <m/>
  </r>
  <r>
    <x v="6"/>
    <n v="1059708566"/>
    <s v="BUENO"/>
    <s v="RIVERA"/>
    <s v="JAHIR"/>
    <s v="ALEXANDER"/>
    <s v="VIGILANTE"/>
    <x v="2"/>
    <d v="2021-06-10T00:00:00"/>
    <d v="2021-06-28T00:00:00"/>
    <n v="19"/>
    <m/>
    <s v="VACACIONES"/>
    <m/>
    <m/>
    <m/>
    <m/>
  </r>
  <r>
    <x v="6"/>
    <n v="1028120734"/>
    <s v="OSORIO"/>
    <s v="RESTREPO"/>
    <s v="JUAN"/>
    <s v="CARLOS"/>
    <s v="VIGILANTE"/>
    <x v="2"/>
    <d v="2021-06-08T00:00:00"/>
    <d v="2021-06-25T00:00:00"/>
    <n v="18"/>
    <m/>
    <s v="VACACIONES"/>
    <m/>
    <m/>
    <m/>
    <m/>
  </r>
  <r>
    <x v="6"/>
    <n v="71991931"/>
    <s v="PATIÑO "/>
    <s v="FRANCO"/>
    <s v="ALBERTO"/>
    <s v="DE JESUS"/>
    <s v="VIGILANTE"/>
    <x v="2"/>
    <d v="2021-06-05T00:00:00"/>
    <d v="2021-06-23T00:00:00"/>
    <n v="19"/>
    <m/>
    <s v="VACACIONES"/>
    <m/>
    <m/>
    <m/>
    <m/>
  </r>
  <r>
    <x v="6"/>
    <n v="1002086685"/>
    <s v="BELLO"/>
    <s v="CORDERO"/>
    <s v="JEIDER"/>
    <s v="ENRIQUE"/>
    <s v="VIGILANTE"/>
    <x v="2"/>
    <d v="2021-06-06T00:00:00"/>
    <d v="2021-06-22T00:00:00"/>
    <n v="17"/>
    <m/>
    <s v="VACACIONES"/>
    <m/>
    <m/>
    <m/>
    <m/>
  </r>
  <r>
    <x v="6"/>
    <n v="98706146"/>
    <s v="FRANCO"/>
    <s v="RIVERA"/>
    <s v="JAHIR"/>
    <s v="DUVAN"/>
    <s v="VIGILANTE"/>
    <x v="2"/>
    <d v="2021-06-02T00:00:00"/>
    <d v="2021-06-21T00:00:00"/>
    <n v="20"/>
    <m/>
    <s v="VACACIONES"/>
    <m/>
    <m/>
    <m/>
    <m/>
  </r>
  <r>
    <x v="6"/>
    <n v="15254880"/>
    <s v="HERNANDEZ"/>
    <s v="TOBON"/>
    <s v="GABRIEL"/>
    <s v="IGNACIO"/>
    <s v="VIGILANTE"/>
    <x v="2"/>
    <d v="2021-06-04T00:00:00"/>
    <d v="2021-06-23T00:00:00"/>
    <n v="20"/>
    <m/>
    <s v="VACACIONES"/>
    <m/>
    <m/>
    <m/>
    <m/>
  </r>
  <r>
    <x v="6"/>
    <n v="15459811"/>
    <s v="MEJIA "/>
    <s v="ROJAS"/>
    <s v="WILMAR"/>
    <s v="ALEXANDER"/>
    <s v="VIGILANTE"/>
    <x v="2"/>
    <d v="2021-06-10T00:00:00"/>
    <d v="2021-06-28T00:00:00"/>
    <n v="19"/>
    <m/>
    <s v="VACACIONES"/>
    <m/>
    <m/>
    <m/>
    <m/>
  </r>
  <r>
    <x v="6"/>
    <n v="3570700"/>
    <s v="QUINTERO"/>
    <m/>
    <s v="LUIS "/>
    <s v="CARLOS"/>
    <s v="VIGILANTE"/>
    <x v="2"/>
    <d v="2021-06-01T00:00:00"/>
    <d v="2021-06-15T00:00:00"/>
    <n v="15"/>
    <m/>
    <s v="VACACIONES"/>
    <m/>
    <m/>
    <m/>
    <m/>
  </r>
  <r>
    <x v="6"/>
    <n v="98602560"/>
    <s v="BERMUDEZ"/>
    <s v="MEJIA"/>
    <s v="DICTER"/>
    <s v="OVIDIO"/>
    <s v="VIGILANTE"/>
    <x v="1"/>
    <d v="2021-06-10T00:00:00"/>
    <d v="2021-06-14T00:00:00"/>
    <n v="5"/>
    <n v="15"/>
    <s v="PRIMERA VEZ"/>
    <m/>
    <m/>
    <m/>
    <m/>
  </r>
  <r>
    <x v="6"/>
    <n v="1100687261"/>
    <s v="JARAMILLO"/>
    <s v="DORADO"/>
    <s v="JOSE"/>
    <s v="DAVID"/>
    <s v="VIGILANTE"/>
    <x v="1"/>
    <d v="2021-06-09T00:00:00"/>
    <d v="2021-06-13T00:00:00"/>
    <n v="5"/>
    <n v="15"/>
    <s v="PRIMERA VEZ"/>
    <m/>
    <m/>
    <m/>
    <m/>
  </r>
  <r>
    <x v="6"/>
    <n v="1003714219"/>
    <s v="DIAZ"/>
    <s v="PEREZ"/>
    <s v="OSCAR"/>
    <s v="DAVID"/>
    <s v="VIGILANTE"/>
    <x v="1"/>
    <d v="2021-06-08T00:00:00"/>
    <d v="2021-06-12T00:00:00"/>
    <n v="5"/>
    <n v="15"/>
    <s v="PRIMERA VEZ"/>
    <m/>
    <m/>
    <m/>
    <m/>
  </r>
  <r>
    <x v="6"/>
    <n v="78646697"/>
    <s v="GONZALEZ"/>
    <s v="BENITEZ"/>
    <s v="OLIVER"/>
    <s v="ANAIDO"/>
    <s v="VIGILANTE"/>
    <x v="2"/>
    <d v="2021-06-09T00:00:00"/>
    <d v="2021-06-26T00:00:00"/>
    <n v="18"/>
    <m/>
    <s v="VACACIONES"/>
    <m/>
    <m/>
    <m/>
    <m/>
  </r>
  <r>
    <x v="6"/>
    <n v="1037269145"/>
    <s v="BERRIO"/>
    <s v="JARAMILLO"/>
    <s v="ROBINSON "/>
    <s v="ADOLFO"/>
    <s v="VIGILANTE"/>
    <x v="2"/>
    <d v="2021-06-09T00:00:00"/>
    <d v="2021-06-23T00:00:00"/>
    <n v="15"/>
    <m/>
    <s v="VACACIONES"/>
    <m/>
    <m/>
    <m/>
    <m/>
  </r>
  <r>
    <x v="6"/>
    <n v="98526167"/>
    <s v="URREGO"/>
    <s v="VALENCIA"/>
    <s v="WILMAR"/>
    <m/>
    <s v="VIGILANTE"/>
    <x v="2"/>
    <d v="2021-06-12T00:00:00"/>
    <d v="2021-06-30T00:00:00"/>
    <n v="19"/>
    <m/>
    <s v="VACACIONES"/>
    <m/>
    <m/>
    <m/>
    <m/>
  </r>
  <r>
    <x v="6"/>
    <n v="98709467"/>
    <s v="GUERRA"/>
    <s v="PEREZ"/>
    <s v="EDWIN"/>
    <s v="ALEJANDRO"/>
    <s v="VIGILANTE"/>
    <x v="2"/>
    <d v="2021-06-11T00:00:00"/>
    <d v="2021-06-29T00:00:00"/>
    <n v="19"/>
    <m/>
    <s v="VACACIONES"/>
    <m/>
    <m/>
    <m/>
    <m/>
  </r>
  <r>
    <x v="6"/>
    <n v="1002997006"/>
    <s v="PINTO"/>
    <s v="MORELO"/>
    <s v="RICHARD"/>
    <m/>
    <s v="VIGILANTE"/>
    <x v="2"/>
    <d v="2021-06-16T00:00:00"/>
    <d v="2021-06-20T00:00:00"/>
    <n v="5"/>
    <n v="10"/>
    <s v="SEGUNDA VEZ"/>
    <m/>
    <m/>
    <m/>
    <m/>
  </r>
  <r>
    <x v="6"/>
    <n v="43056230"/>
    <s v="CAMINO"/>
    <s v="OLIVARES"/>
    <s v="BETTY"/>
    <m/>
    <s v="DIR COMERCIAL"/>
    <x v="0"/>
    <d v="2021-06-08T00:00:00"/>
    <d v="2021-06-12T00:00:00"/>
    <n v="5"/>
    <m/>
    <s v="LICENCIA DE LUTO"/>
    <m/>
    <m/>
    <m/>
    <m/>
  </r>
  <r>
    <x v="6"/>
    <n v="71172193"/>
    <s v="VELEZ"/>
    <s v="MARIN"/>
    <s v="JORGE"/>
    <s v="IGNACIO"/>
    <s v="VIGILANTE"/>
    <x v="0"/>
    <d v="2021-06-09T00:00:00"/>
    <d v="2021-06-11T00:00:00"/>
    <n v="3"/>
    <m/>
    <s v="LICENCIA DE LUTO"/>
    <m/>
    <m/>
    <m/>
    <m/>
  </r>
  <r>
    <x v="6"/>
    <n v="98602560"/>
    <s v="BERMUDEZ"/>
    <s v="MEJIA"/>
    <s v="DICTER"/>
    <s v="OVIDIO"/>
    <s v="VIGILANTE"/>
    <x v="2"/>
    <d v="2021-06-16T00:00:00"/>
    <d v="2021-07-02T00:00:00"/>
    <n v="17"/>
    <m/>
    <s v="VACACIONES"/>
    <m/>
    <m/>
    <m/>
    <m/>
  </r>
  <r>
    <x v="6"/>
    <n v="3132230"/>
    <s v="MUÑOZ"/>
    <s v="RAMIREZ"/>
    <s v="CARLOS"/>
    <s v="AUGUSTO"/>
    <s v="VIGILANTE"/>
    <x v="2"/>
    <d v="2021-06-17T00:00:00"/>
    <d v="2021-07-03T00:00:00"/>
    <n v="17"/>
    <m/>
    <s v="VACACIONES"/>
    <m/>
    <m/>
    <m/>
    <m/>
  </r>
  <r>
    <x v="6"/>
    <n v="8463537"/>
    <s v="GAVIRIA "/>
    <s v="PEREZ"/>
    <s v="HILDERS "/>
    <s v="YORLEY"/>
    <s v="VIGILANTE"/>
    <x v="2"/>
    <d v="2021-06-01T00:00:00"/>
    <d v="2021-06-19T00:00:00"/>
    <n v="19"/>
    <m/>
    <s v="VACACIONES"/>
    <m/>
    <m/>
    <m/>
    <m/>
  </r>
  <r>
    <x v="6"/>
    <n v="98458674"/>
    <s v="AGUDELO"/>
    <s v="HOYOS"/>
    <s v="DIEGO"/>
    <s v="DE JESUS"/>
    <s v="VIGILANTE"/>
    <x v="2"/>
    <d v="2021-06-12T00:00:00"/>
    <d v="2021-06-30T00:00:00"/>
    <n v="19"/>
    <m/>
    <s v="VACACIONES"/>
    <m/>
    <m/>
    <m/>
    <m/>
  </r>
  <r>
    <x v="6"/>
    <n v="15534401"/>
    <s v="RENDON"/>
    <s v="SANCHEZ"/>
    <s v="ROBEIRO"/>
    <m/>
    <s v="VIGILANTE"/>
    <x v="2"/>
    <d v="2021-06-15T00:00:00"/>
    <d v="2021-07-02T00:00:00"/>
    <n v="18"/>
    <m/>
    <s v="VACACIONES"/>
    <m/>
    <m/>
    <m/>
    <m/>
  </r>
  <r>
    <x v="6"/>
    <n v="1017235942"/>
    <s v="CORREA"/>
    <s v="LOPEZ"/>
    <s v="DUVAN"/>
    <m/>
    <s v="VIGILANTE"/>
    <x v="2"/>
    <d v="2021-06-15T00:00:00"/>
    <d v="2021-07-01T00:00:00"/>
    <n v="17"/>
    <m/>
    <s v="VACACIONES"/>
    <m/>
    <m/>
    <m/>
    <m/>
  </r>
  <r>
    <x v="6"/>
    <n v="98450672"/>
    <s v="TOBON"/>
    <s v="MONTOYA"/>
    <s v="GUSTAVO"/>
    <s v="ALBERTO"/>
    <s v="VIGILANTE"/>
    <x v="2"/>
    <d v="2021-06-08T00:00:00"/>
    <d v="2021-06-15T00:00:00"/>
    <n v="8"/>
    <m/>
    <s v="VACACIONES"/>
    <m/>
    <m/>
    <m/>
    <m/>
  </r>
  <r>
    <x v="6"/>
    <n v="98450672"/>
    <s v="TOBON"/>
    <s v="MONTOYA"/>
    <s v="GUSTAVO"/>
    <s v="ALBERTO"/>
    <s v="VIGILANTE"/>
    <x v="2"/>
    <d v="2021-06-16T00:00:00"/>
    <d v="2021-06-23T00:00:00"/>
    <n v="8"/>
    <m/>
    <s v="VACACIONES"/>
    <m/>
    <m/>
    <m/>
    <m/>
  </r>
  <r>
    <x v="6"/>
    <n v="70079966"/>
    <s v="MARTINEZ "/>
    <s v="ARRUBLA"/>
    <s v="FRANCISCO "/>
    <s v="JAVIER"/>
    <s v="VIGILANTE"/>
    <x v="0"/>
    <d v="2021-06-12T00:00:00"/>
    <d v="2021-06-12T00:00:00"/>
    <n v="1"/>
    <m/>
    <s v="PERMISO NO REMUNERADO"/>
    <m/>
    <m/>
    <m/>
    <m/>
  </r>
  <r>
    <x v="6"/>
    <n v="1045140986"/>
    <s v="SUAREZ "/>
    <s v="PEÑA"/>
    <s v="FAIVER"/>
    <s v="ANDRES"/>
    <s v="VIGILANTE"/>
    <x v="2"/>
    <d v="2021-06-16T00:00:00"/>
    <d v="2021-07-02T00:00:00"/>
    <n v="17"/>
    <m/>
    <s v="VACACIONES"/>
    <m/>
    <m/>
    <m/>
    <m/>
  </r>
  <r>
    <x v="6"/>
    <n v="8414876"/>
    <s v="HOLGUIN"/>
    <s v="QUIROZ"/>
    <s v="GABRIEL"/>
    <s v="ELIAS"/>
    <s v="VIGILANTE"/>
    <x v="2"/>
    <d v="2021-06-16T00:00:00"/>
    <d v="2021-07-02T00:00:00"/>
    <n v="17"/>
    <m/>
    <s v="VACACIONES"/>
    <m/>
    <m/>
    <m/>
    <m/>
  </r>
  <r>
    <x v="6"/>
    <n v="98626873"/>
    <s v="LLANOS"/>
    <s v="CORREA"/>
    <s v="HERNANDO"/>
    <s v="ALFREDO"/>
    <s v="VIGILANTE"/>
    <x v="2"/>
    <d v="2021-06-16T00:00:00"/>
    <d v="2021-07-01T00:00:00"/>
    <n v="16"/>
    <m/>
    <s v="VACACIONES"/>
    <m/>
    <m/>
    <m/>
    <m/>
  </r>
  <r>
    <x v="6"/>
    <n v="1033652466"/>
    <s v="ACOSTA"/>
    <s v="ARENAS"/>
    <s v="CARLOS"/>
    <s v="MARIO"/>
    <s v="VIGILANTE"/>
    <x v="2"/>
    <d v="2021-06-19T00:00:00"/>
    <d v="2021-07-07T00:00:00"/>
    <n v="19"/>
    <m/>
    <s v="VACACIONES"/>
    <m/>
    <m/>
    <m/>
    <m/>
  </r>
  <r>
    <x v="6"/>
    <n v="92258917"/>
    <s v="CANCHILA "/>
    <s v="PEREZ"/>
    <s v="PEDRO"/>
    <s v="ANTONIO"/>
    <s v="VIGILANTE"/>
    <x v="2"/>
    <d v="2021-06-21T00:00:00"/>
    <d v="2021-07-08T00:00:00"/>
    <n v="18"/>
    <m/>
    <s v="VACACIONES"/>
    <m/>
    <m/>
    <m/>
    <m/>
  </r>
  <r>
    <x v="6"/>
    <n v="15510508"/>
    <s v="GONZALEZ"/>
    <s v="VANEGAS"/>
    <s v="JOHN"/>
    <s v="JAIRO"/>
    <s v="VIGILANTE"/>
    <x v="2"/>
    <d v="2021-06-22T00:00:00"/>
    <d v="2021-07-06T00:00:00"/>
    <n v="15"/>
    <m/>
    <s v="VACACIONES"/>
    <m/>
    <m/>
    <m/>
    <m/>
  </r>
  <r>
    <x v="6"/>
    <n v="71252199"/>
    <s v="MORENO"/>
    <s v="VALOYES"/>
    <s v="JARRISON"/>
    <s v="ISAAC"/>
    <s v="VIGILANTE"/>
    <x v="2"/>
    <d v="2021-06-08T00:00:00"/>
    <d v="2021-06-25T00:00:00"/>
    <n v="18"/>
    <m/>
    <s v="VACACIONES"/>
    <m/>
    <m/>
    <m/>
    <m/>
  </r>
  <r>
    <x v="6"/>
    <n v="98638429"/>
    <s v="RESTREPO"/>
    <m/>
    <s v="JHON"/>
    <s v="BYRON"/>
    <s v="VIGILANTE"/>
    <x v="2"/>
    <d v="2021-06-18T00:00:00"/>
    <d v="2021-07-06T00:00:00"/>
    <n v="19"/>
    <m/>
    <s v="VACACIONES"/>
    <m/>
    <m/>
    <m/>
    <m/>
  </r>
  <r>
    <x v="6"/>
    <n v="71987067"/>
    <s v="RIOS"/>
    <s v="CAÑA"/>
    <s v="JORGE"/>
    <s v="IVAN"/>
    <s v="VIGILANTE"/>
    <x v="1"/>
    <d v="2021-06-22T00:00:00"/>
    <d v="2021-06-24T00:00:00"/>
    <n v="3"/>
    <n v="16"/>
    <s v="PRIMERA VEZ"/>
    <m/>
    <m/>
    <m/>
    <m/>
  </r>
  <r>
    <x v="6"/>
    <n v="9991166"/>
    <s v="VARGAS "/>
    <s v="HERNANDEZ"/>
    <s v="GENIER"/>
    <m/>
    <s v="VIGILANTE"/>
    <x v="0"/>
    <d v="2021-06-13T00:00:00"/>
    <d v="2021-06-13T00:00:00"/>
    <n v="1"/>
    <m/>
    <s v="PERMISO NO REMUNERADO"/>
    <m/>
    <m/>
    <m/>
    <m/>
  </r>
  <r>
    <x v="6"/>
    <n v="70414738"/>
    <s v="CORTES"/>
    <m/>
    <s v="DANIEL"/>
    <s v="EGIDIO"/>
    <s v="VIGILANTE"/>
    <x v="0"/>
    <d v="2021-06-21T00:00:00"/>
    <d v="2021-06-21T00:00:00"/>
    <n v="1"/>
    <m/>
    <s v="PERMISO NO REMUNERADO"/>
    <m/>
    <m/>
    <m/>
    <m/>
  </r>
  <r>
    <x v="6"/>
    <n v="71762788"/>
    <s v="PEREIRA"/>
    <s v="QUINTERO"/>
    <s v="CARLOS "/>
    <s v="DAVIS"/>
    <s v="VIGILANTE"/>
    <x v="0"/>
    <d v="2021-06-26T00:00:00"/>
    <d v="2021-06-26T00:00:00"/>
    <n v="1"/>
    <m/>
    <s v="PERMISO NO REMUNERADO"/>
    <m/>
    <m/>
    <m/>
    <m/>
  </r>
  <r>
    <x v="6"/>
    <n v="1001244494"/>
    <s v="GOMEZ"/>
    <s v="CATAÑO"/>
    <s v="DUBAN"/>
    <m/>
    <s v="AUXILIAR CONTABLE"/>
    <x v="0"/>
    <d v="2021-06-24T00:00:00"/>
    <d v="2021-06-26T00:00:00"/>
    <n v="3"/>
    <m/>
    <s v="PERMISO REMUNERADO"/>
    <m/>
    <m/>
    <m/>
    <m/>
  </r>
  <r>
    <x v="6"/>
    <n v="1037666770"/>
    <s v="SANTAMARIA"/>
    <s v="BOLIVAR"/>
    <s v="JUAN "/>
    <s v="DANIEL"/>
    <s v="VIGILANTE"/>
    <x v="0"/>
    <d v="2021-06-15T00:00:00"/>
    <d v="2021-06-15T00:00:00"/>
    <n v="1"/>
    <m/>
    <s v="CONSTANCIA "/>
    <m/>
    <m/>
    <m/>
    <m/>
  </r>
  <r>
    <x v="6"/>
    <n v="17648535"/>
    <s v="VARGAS "/>
    <s v="VARGAS"/>
    <s v="LUIS"/>
    <s v="ANTONIO"/>
    <s v="VIGILANTE"/>
    <x v="2"/>
    <d v="2021-06-26T00:00:00"/>
    <d v="2021-07-14T00:00:00"/>
    <n v="19"/>
    <m/>
    <s v="VACACIONES"/>
    <m/>
    <m/>
    <m/>
    <m/>
  </r>
  <r>
    <x v="6"/>
    <n v="3474185"/>
    <s v="BUITRAGO"/>
    <s v="ZAPATA"/>
    <s v="ANDERSSON"/>
    <s v="MAURICIO"/>
    <s v="VIGILANTE"/>
    <x v="2"/>
    <d v="2021-06-22T00:00:00"/>
    <d v="2021-06-29T00:00:00"/>
    <n v="8"/>
    <m/>
    <s v="VACACIONES"/>
    <m/>
    <m/>
    <m/>
    <m/>
  </r>
  <r>
    <x v="6"/>
    <n v="3474185"/>
    <s v="BUITRAGO"/>
    <s v="ZAPATA"/>
    <s v="ANDERSSON"/>
    <s v="MAURICIO"/>
    <s v="VIGILANTE"/>
    <x v="2"/>
    <d v="2021-06-30T00:00:00"/>
    <d v="2021-07-07T00:00:00"/>
    <n v="8"/>
    <m/>
    <s v="VACACIONES"/>
    <m/>
    <m/>
    <m/>
    <m/>
  </r>
  <r>
    <x v="6"/>
    <n v="71701124"/>
    <s v="TABARES"/>
    <s v="SARAZ"/>
    <s v="JOSE"/>
    <s v="IGNACIO"/>
    <s v="VIGILANTE"/>
    <x v="1"/>
    <d v="2021-06-23T00:00:00"/>
    <d v="2021-06-23T00:00:00"/>
    <n v="1"/>
    <n v="3"/>
    <s v="PRIMERA VEZ"/>
    <m/>
    <m/>
    <m/>
    <m/>
  </r>
  <r>
    <x v="6"/>
    <n v="1020403449"/>
    <s v="MEDINA"/>
    <s v="ZURITA"/>
    <s v="ANGEL"/>
    <s v="NORBEY"/>
    <s v="VIGILANTE"/>
    <x v="2"/>
    <d v="2021-06-26T00:00:00"/>
    <d v="2021-07-14T00:00:00"/>
    <n v="19"/>
    <m/>
    <s v="VACACIONES"/>
    <m/>
    <m/>
    <m/>
    <m/>
  </r>
  <r>
    <x v="6"/>
    <n v="84033659"/>
    <s v="MARIN"/>
    <s v="PEREZ"/>
    <s v="APOLINAR"/>
    <s v="DE JESUS"/>
    <s v="VIGILANTE"/>
    <x v="2"/>
    <d v="2021-06-24T00:00:00"/>
    <d v="2021-07-12T00:00:00"/>
    <n v="19"/>
    <m/>
    <s v="VACACIONES"/>
    <m/>
    <m/>
    <m/>
    <m/>
  </r>
  <r>
    <x v="6"/>
    <n v="71193583"/>
    <s v="GUTIERREZ"/>
    <s v="ZAPATA"/>
    <s v="JUAN"/>
    <s v="CAMILO"/>
    <s v="VIGILANTE"/>
    <x v="2"/>
    <d v="2021-06-24T00:00:00"/>
    <d v="2021-07-12T00:00:00"/>
    <n v="19"/>
    <m/>
    <s v="VACACIONES"/>
    <m/>
    <m/>
    <m/>
    <m/>
  </r>
  <r>
    <x v="6"/>
    <n v="43201943"/>
    <s v="VALDERRAMA"/>
    <s v="HOYOS"/>
    <s v="DIANA"/>
    <s v="JANETH"/>
    <s v="VIGILANTE"/>
    <x v="2"/>
    <d v="2021-06-28T00:00:00"/>
    <d v="2021-07-15T00:00:00"/>
    <n v="18"/>
    <m/>
    <s v="VACACIONES"/>
    <m/>
    <m/>
    <m/>
    <m/>
  </r>
  <r>
    <x v="6"/>
    <n v="71685426"/>
    <s v="GUERRA"/>
    <s v="RODRIGUEZ"/>
    <s v="JAMES"/>
    <s v="ENRIQUE"/>
    <s v="VIGILANTE"/>
    <x v="2"/>
    <d v="2021-06-24T00:00:00"/>
    <d v="2021-07-01T00:00:00"/>
    <n v="8"/>
    <m/>
    <s v="VACACIONES"/>
    <m/>
    <m/>
    <m/>
    <m/>
  </r>
  <r>
    <x v="6"/>
    <n v="15309929"/>
    <s v="GALVIS"/>
    <s v="CASTRO"/>
    <s v="NICOLAS"/>
    <s v="EMIRO"/>
    <s v="VIGILANTE"/>
    <x v="0"/>
    <d v="2021-06-24T00:00:00"/>
    <d v="2021-06-24T00:00:00"/>
    <n v="1"/>
    <m/>
    <s v="PERMISO NO REMUNERADO"/>
    <m/>
    <m/>
    <m/>
    <m/>
  </r>
  <r>
    <x v="6"/>
    <n v="43808979"/>
    <s v="ZAPATA"/>
    <s v="HERNANDEZ"/>
    <s v="ALEXANDRA"/>
    <s v="PATRICIA"/>
    <s v="VIGILANTE"/>
    <x v="0"/>
    <d v="2021-06-25T00:00:00"/>
    <d v="2021-06-25T00:00:00"/>
    <n v="1"/>
    <m/>
    <s v="PERMISO NO REMUNERADO"/>
    <m/>
    <m/>
    <m/>
    <m/>
  </r>
  <r>
    <x v="6"/>
    <n v="8338283"/>
    <s v="RODRIGUEZ"/>
    <s v="RESTREPO"/>
    <s v="WILMAR"/>
    <m/>
    <s v="VIGILANTE"/>
    <x v="0"/>
    <d v="2021-06-20T00:00:00"/>
    <d v="2021-06-20T00:00:00"/>
    <n v="1"/>
    <m/>
    <s v="PERMISO NO REMUNERADO"/>
    <m/>
    <m/>
    <m/>
    <m/>
  </r>
  <r>
    <x v="6"/>
    <n v="71335134"/>
    <s v="VILLADA"/>
    <s v="RUIZ"/>
    <s v="JOHN"/>
    <s v="JAIRO"/>
    <s v="VIGILANTE"/>
    <x v="0"/>
    <d v="2021-06-26T00:00:00"/>
    <d v="2021-06-26T00:00:00"/>
    <n v="1"/>
    <m/>
    <s v="PERMISO NO REMUNERADO"/>
    <m/>
    <m/>
    <m/>
    <m/>
  </r>
  <r>
    <x v="6"/>
    <n v="1037591521"/>
    <s v="GONZALEZ "/>
    <s v="RIOS"/>
    <s v="CATALINA"/>
    <m/>
    <s v="VIGILANTE"/>
    <x v="1"/>
    <d v="2021-06-28T00:00:00"/>
    <d v="2021-06-28T00:00:00"/>
    <n v="1"/>
    <n v="3"/>
    <s v="PRIMERA VEZ"/>
    <m/>
    <m/>
    <m/>
    <m/>
  </r>
  <r>
    <x v="6"/>
    <n v="70878904"/>
    <s v="PEREZ"/>
    <s v="PEREZ"/>
    <s v="JESUS"/>
    <s v="ANTONIO"/>
    <s v="VIGILANTE"/>
    <x v="1"/>
    <d v="2021-06-30T00:00:00"/>
    <d v="2021-07-04T00:00:00"/>
    <n v="5"/>
    <n v="22"/>
    <s v="PRIMERA VEZ"/>
    <m/>
    <m/>
    <m/>
    <m/>
  </r>
  <r>
    <x v="6"/>
    <n v="75065489"/>
    <s v="IBARRA"/>
    <s v="MORENO"/>
    <s v="JOSE"/>
    <s v="LEONARDO"/>
    <s v="VIGILANTE"/>
    <x v="1"/>
    <d v="2021-06-28T00:00:00"/>
    <d v="2021-06-30T00:00:00"/>
    <n v="3"/>
    <n v="24"/>
    <s v="PRIMERA VEZ"/>
    <m/>
    <m/>
    <m/>
    <m/>
  </r>
  <r>
    <x v="6"/>
    <n v="71763392"/>
    <s v="DURANGO"/>
    <s v="DAVID"/>
    <s v="FERNANDO"/>
    <m/>
    <s v="VIGILANTE"/>
    <x v="2"/>
    <d v="2021-06-29T00:00:00"/>
    <d v="2021-07-16T00:00:00"/>
    <n v="18"/>
    <m/>
    <s v="VACACIONES"/>
    <m/>
    <m/>
    <m/>
    <m/>
  </r>
  <r>
    <x v="6"/>
    <n v="71753963"/>
    <s v="GOMEZ"/>
    <s v="REVELO"/>
    <s v="ALVARO"/>
    <m/>
    <s v="VIGILANTE"/>
    <x v="2"/>
    <d v="2021-06-26T00:00:00"/>
    <d v="2021-07-10T00:00:00"/>
    <n v="15"/>
    <m/>
    <s v="VACACIONES"/>
    <m/>
    <m/>
    <m/>
    <m/>
  </r>
  <r>
    <x v="6"/>
    <n v="70528018"/>
    <s v="MORENO"/>
    <s v="GULFO"/>
    <s v="ROMAN"/>
    <m/>
    <s v="VIGILANTE"/>
    <x v="2"/>
    <d v="2021-06-30T00:00:00"/>
    <d v="2021-07-17T00:00:00"/>
    <n v="18"/>
    <m/>
    <s v="VACACIONES"/>
    <m/>
    <m/>
    <m/>
    <m/>
  </r>
  <r>
    <x v="6"/>
    <n v="98711080"/>
    <s v="ACEVEDO"/>
    <s v="GALLEGO"/>
    <s v="DUVAN"/>
    <s v="GUILLERMO"/>
    <s v="VIGILANTE"/>
    <x v="0"/>
    <d v="2021-07-01T00:00:00"/>
    <d v="2021-07-05T00:00:00"/>
    <n v="5"/>
    <m/>
    <s v="PERMISO REMUNERADO"/>
    <m/>
    <m/>
    <m/>
    <m/>
  </r>
  <r>
    <x v="6"/>
    <n v="3556779"/>
    <s v="OSORIO"/>
    <s v="SUAREZ"/>
    <s v="JHONNY"/>
    <s v="ANDRES"/>
    <s v="VIGILANTE"/>
    <x v="0"/>
    <d v="2021-06-28T00:00:00"/>
    <d v="2021-06-28T00:00:00"/>
    <n v="1"/>
    <m/>
    <s v="PERMISO NO REMUNERADO"/>
    <m/>
    <m/>
    <m/>
    <m/>
  </r>
  <r>
    <x v="6"/>
    <n v="71766803"/>
    <s v="BENITEZ"/>
    <s v="ARIAS"/>
    <s v="JAIME"/>
    <s v="ALBERTO"/>
    <s v="VIGILANTE"/>
    <x v="0"/>
    <d v="2021-06-19T00:00:00"/>
    <d v="2021-06-23T00:00:00"/>
    <n v="5"/>
    <m/>
    <s v="LICENCIA DE LUTO"/>
    <m/>
    <m/>
    <m/>
    <m/>
  </r>
  <r>
    <x v="6"/>
    <n v="1020403449"/>
    <s v="MEDINA"/>
    <s v="ZURITA"/>
    <s v="ANGEL"/>
    <s v="NORBEY"/>
    <s v="VIGILANTE"/>
    <x v="0"/>
    <d v="2021-06-16T00:00:00"/>
    <d v="2021-06-20T00:00:00"/>
    <n v="5"/>
    <m/>
    <s v="LICENCIA DE LUTO"/>
    <m/>
    <m/>
    <m/>
    <m/>
  </r>
  <r>
    <x v="6"/>
    <n v="71771180"/>
    <s v="IBARRA"/>
    <s v="URREGO"/>
    <s v="ROBINSON "/>
    <s v="DE JESUS"/>
    <s v="VIGILANTE"/>
    <x v="1"/>
    <d v="2021-06-28T00:00:00"/>
    <d v="2021-07-02T00:00:00"/>
    <n v="5"/>
    <n v="22"/>
    <s v="PRIMERA VEZ"/>
    <m/>
    <m/>
    <m/>
    <m/>
  </r>
  <r>
    <x v="6"/>
    <n v="8472629"/>
    <s v="AGUDELO"/>
    <s v="GONZALEZ"/>
    <s v="ALIRIO"/>
    <s v="DE JESUS"/>
    <s v="VIGILANTE"/>
    <x v="0"/>
    <d v="2021-06-08T00:00:00"/>
    <d v="2021-06-12T00:00:00"/>
    <n v="5"/>
    <m/>
    <s v="LICENCIA DE LUTO"/>
    <m/>
    <m/>
    <m/>
    <m/>
  </r>
  <r>
    <x v="7"/>
    <n v="1063294187"/>
    <s v="HERNANDEZ"/>
    <s v="JIMENEZ"/>
    <s v="DALMIRO"/>
    <s v="JOSE"/>
    <s v="VIGILANTE"/>
    <x v="2"/>
    <d v="2021-07-02T00:00:00"/>
    <d v="2021-07-21T00:00:00"/>
    <n v="20"/>
    <m/>
    <s v="VACACIONES"/>
    <m/>
    <m/>
    <m/>
    <m/>
  </r>
  <r>
    <x v="6"/>
    <n v="1085170581"/>
    <s v="CAMARGO"/>
    <s v="MOLINA"/>
    <s v="MANUEL "/>
    <s v="DEL CRISTO"/>
    <s v="VIGILANTE"/>
    <x v="2"/>
    <d v="2021-07-01T00:00:00"/>
    <d v="2021-07-19T00:00:00"/>
    <n v="19"/>
    <m/>
    <s v="VACACIONES"/>
    <m/>
    <m/>
    <m/>
    <m/>
  </r>
  <r>
    <x v="7"/>
    <n v="98602560"/>
    <s v="BERMUDEZ"/>
    <s v="MEJIA"/>
    <s v="DICTER"/>
    <s v="OVIDIO"/>
    <s v="VIGILANTE"/>
    <x v="2"/>
    <d v="2021-07-03T00:00:00"/>
    <d v="2021-07-22T00:00:00"/>
    <n v="20"/>
    <m/>
    <s v="VACACIONES"/>
    <m/>
    <m/>
    <m/>
    <m/>
  </r>
  <r>
    <x v="7"/>
    <n v="1045140986"/>
    <s v="SUAREZ "/>
    <s v="PEÑA"/>
    <s v="FAIVER"/>
    <s v="ANDRES"/>
    <s v="VIGILANTE"/>
    <x v="2"/>
    <d v="2021-07-03T00:00:00"/>
    <d v="2021-07-22T00:00:00"/>
    <n v="20"/>
    <m/>
    <s v="VACACIONES"/>
    <m/>
    <m/>
    <m/>
    <m/>
  </r>
  <r>
    <x v="6"/>
    <n v="1062876589"/>
    <s v="TORRES"/>
    <s v="SAMPAYO"/>
    <s v="LUIS "/>
    <s v="RAFAEL"/>
    <s v="VIGILANTE"/>
    <x v="2"/>
    <d v="2021-07-01T00:00:00"/>
    <d v="2021-07-19T00:00:00"/>
    <n v="19"/>
    <m/>
    <s v="VACACIONES"/>
    <m/>
    <m/>
    <m/>
    <m/>
  </r>
  <r>
    <x v="7"/>
    <n v="1026303619"/>
    <s v="ORDOÑEZ"/>
    <s v="ORTEGA"/>
    <s v="YAMIR"/>
    <m/>
    <s v="VIGILANTE"/>
    <x v="0"/>
    <d v="2021-07-10T00:00:00"/>
    <d v="2021-07-10T00:00:00"/>
    <n v="1"/>
    <m/>
    <s v="PERMISO NO REMUNERADO"/>
    <m/>
    <m/>
    <m/>
    <m/>
  </r>
  <r>
    <x v="7"/>
    <n v="1026303619"/>
    <s v="ORDOÑEZ"/>
    <s v="ORTEGA"/>
    <s v="YAMIR"/>
    <m/>
    <s v="VIGILANTE"/>
    <x v="0"/>
    <d v="2021-07-14T00:00:00"/>
    <d v="2021-07-14T00:00:00"/>
    <n v="1"/>
    <m/>
    <s v="PERMISO NO REMUNERADO"/>
    <m/>
    <m/>
    <m/>
    <m/>
  </r>
  <r>
    <x v="7"/>
    <n v="71766803"/>
    <s v="BENITEZ"/>
    <s v="ARIAS"/>
    <s v="JAIME"/>
    <s v="ALBERTO"/>
    <s v="VIGILANTE"/>
    <x v="1"/>
    <d v="2021-07-01T00:00:00"/>
    <d v="2021-07-05T00:00:00"/>
    <n v="5"/>
    <n v="10"/>
    <s v="SEGUNDA VEZ"/>
    <m/>
    <m/>
    <m/>
    <m/>
  </r>
  <r>
    <x v="7"/>
    <n v="43709768"/>
    <s v="CASTRO"/>
    <s v="MARIN"/>
    <s v="DIANA"/>
    <s v="MARIA"/>
    <s v="VIGILANTE"/>
    <x v="1"/>
    <d v="2021-07-02T00:00:00"/>
    <d v="2021-07-04T00:00:00"/>
    <n v="3"/>
    <n v="10"/>
    <s v="PRIMERA VEZ"/>
    <m/>
    <m/>
    <m/>
    <m/>
  </r>
  <r>
    <x v="7"/>
    <n v="1152711493"/>
    <s v="RAIGOSA"/>
    <s v="TABARES"/>
    <s v="DIDIER"/>
    <s v="ESNEIDER"/>
    <s v="VIGILANTE"/>
    <x v="1"/>
    <d v="2021-07-03T00:00:00"/>
    <d v="2021-07-03T00:00:00"/>
    <n v="1"/>
    <n v="20"/>
    <s v="SEGUNDA VEZ"/>
    <m/>
    <m/>
    <m/>
    <m/>
  </r>
  <r>
    <x v="7"/>
    <n v="71713298"/>
    <s v="GALLO"/>
    <s v="VARELA"/>
    <s v="CARLOS"/>
    <s v="ARTURO"/>
    <s v="VIGILANTE"/>
    <x v="2"/>
    <d v="2021-07-01T00:00:00"/>
    <d v="2021-07-19T00:00:00"/>
    <n v="19"/>
    <m/>
    <s v="VACACIONES"/>
    <m/>
    <m/>
    <m/>
    <m/>
  </r>
  <r>
    <x v="7"/>
    <n v="16825447"/>
    <s v="TRUJILLO"/>
    <s v="PINEDA"/>
    <s v="TITO"/>
    <s v="RAUL"/>
    <s v="VIGILANTE"/>
    <x v="2"/>
    <d v="2021-07-03T00:00:00"/>
    <d v="2021-07-22T00:00:00"/>
    <n v="20"/>
    <m/>
    <s v="VACACIONES"/>
    <m/>
    <m/>
    <m/>
    <m/>
  </r>
  <r>
    <x v="7"/>
    <n v="1013559134"/>
    <s v="MUNERA "/>
    <s v="RAMIREZ"/>
    <s v="SEBASTIAN"/>
    <m/>
    <s v="VIGILANTE"/>
    <x v="2"/>
    <d v="2021-07-01T00:00:00"/>
    <d v="2021-07-16T00:00:00"/>
    <n v="16"/>
    <m/>
    <s v="VACACIONES"/>
    <m/>
    <m/>
    <m/>
    <m/>
  </r>
  <r>
    <x v="7"/>
    <n v="1055832444"/>
    <s v="AGUDELO"/>
    <s v="AGUIRRE"/>
    <s v="JOHN"/>
    <s v="ALEXANDER"/>
    <s v="VIGILANTE"/>
    <x v="2"/>
    <d v="2021-07-01T00:00:00"/>
    <d v="2021-07-19T00:00:00"/>
    <n v="19"/>
    <m/>
    <s v="VACACIONES"/>
    <m/>
    <m/>
    <m/>
    <m/>
  </r>
  <r>
    <x v="7"/>
    <n v="8436979"/>
    <s v="MOSQUERA"/>
    <m/>
    <s v="CARLOS"/>
    <s v="ARTURO"/>
    <s v="VIGILANTE"/>
    <x v="2"/>
    <d v="2021-07-10T00:00:00"/>
    <d v="2021-07-28T00:00:00"/>
    <n v="19"/>
    <m/>
    <s v="VACACIONES"/>
    <m/>
    <m/>
    <m/>
    <m/>
  </r>
  <r>
    <x v="7"/>
    <n v="5632471"/>
    <s v="TOLOZA"/>
    <s v="MOGOLLON"/>
    <s v="JOSE"/>
    <s v="HERNANDO"/>
    <s v="VIGILANTE"/>
    <x v="2"/>
    <d v="2021-07-07T00:00:00"/>
    <d v="2021-07-14T00:00:00"/>
    <n v="8"/>
    <m/>
    <s v="VACACIONES"/>
    <m/>
    <m/>
    <m/>
    <m/>
  </r>
  <r>
    <x v="7"/>
    <n v="5632471"/>
    <s v="TOLOZA"/>
    <s v="MOGOLLON"/>
    <s v="JOSE"/>
    <s v="HERNANDO"/>
    <s v="VIGILANTE"/>
    <x v="2"/>
    <d v="2021-07-15T00:00:00"/>
    <d v="2021-07-22T00:00:00"/>
    <n v="8"/>
    <m/>
    <s v="VACACIONES"/>
    <m/>
    <m/>
    <m/>
    <m/>
  </r>
  <r>
    <x v="7"/>
    <n v="70196248"/>
    <s v="BEDOYA"/>
    <m/>
    <s v="JUAN"/>
    <s v="ESTEBAN"/>
    <s v="VIGILANTE"/>
    <x v="2"/>
    <d v="2021-07-08T00:00:00"/>
    <d v="2021-07-26T00:00:00"/>
    <n v="19"/>
    <m/>
    <s v="VACACIONES"/>
    <m/>
    <m/>
    <m/>
    <m/>
  </r>
  <r>
    <x v="7"/>
    <n v="43709768"/>
    <s v="CASTRO"/>
    <s v="MARIN"/>
    <s v="DIANA"/>
    <s v="MARIA"/>
    <s v="VIGILANTE"/>
    <x v="0"/>
    <d v="2021-07-06T00:00:00"/>
    <d v="2021-07-06T00:00:00"/>
    <n v="1"/>
    <m/>
    <s v="PERMISO NO REMUNERADO"/>
    <m/>
    <m/>
    <m/>
    <m/>
  </r>
  <r>
    <x v="7"/>
    <n v="43709768"/>
    <s v="CASTRO"/>
    <s v="MARIN"/>
    <s v="DIANA"/>
    <s v="MARIA"/>
    <s v="VIGILANTE"/>
    <x v="0"/>
    <d v="2021-07-09T00:00:00"/>
    <d v="2021-07-09T00:00:00"/>
    <n v="1"/>
    <m/>
    <s v="PERMISO NO REMUNERADO"/>
    <m/>
    <m/>
    <m/>
    <m/>
  </r>
  <r>
    <x v="7"/>
    <n v="98626873"/>
    <s v="LLANOS"/>
    <s v="CORREA"/>
    <s v="HERNANDO"/>
    <s v="ALFREDO"/>
    <s v="VIGILANTE"/>
    <x v="0"/>
    <d v="2021-07-02T00:00:00"/>
    <d v="2021-07-03T00:00:00"/>
    <n v="2"/>
    <m/>
    <s v="PERMISO NO REMUNERADO"/>
    <m/>
    <m/>
    <m/>
    <m/>
  </r>
  <r>
    <x v="7"/>
    <n v="98562449"/>
    <s v="ALVAREZ"/>
    <s v="AMARILES"/>
    <s v="JOHN"/>
    <s v="FREDY"/>
    <s v="VIGILANTE"/>
    <x v="0"/>
    <d v="2021-07-04T00:00:00"/>
    <d v="2021-07-04T00:00:00"/>
    <n v="1"/>
    <m/>
    <s v="PERMISO NO REMUNERADO"/>
    <m/>
    <m/>
    <m/>
    <m/>
  </r>
  <r>
    <x v="7"/>
    <n v="3349613"/>
    <s v="PEREZ"/>
    <s v="MUÑOZ"/>
    <s v="RIGOBERTO"/>
    <m/>
    <s v="VIGILANTE"/>
    <x v="0"/>
    <d v="2021-07-03T00:00:00"/>
    <d v="2021-07-03T00:00:00"/>
    <n v="1"/>
    <m/>
    <s v="PERMISO NO REMUNERADO"/>
    <m/>
    <m/>
    <m/>
    <m/>
  </r>
  <r>
    <x v="7"/>
    <n v="71693479"/>
    <s v="LONDOÑO"/>
    <s v="MUÑOZ"/>
    <s v="MARTIN"/>
    <s v="DE JESUS"/>
    <s v="VIGILANTE"/>
    <x v="0"/>
    <d v="2021-07-07T00:00:00"/>
    <d v="2021-07-07T00:00:00"/>
    <n v="1"/>
    <m/>
    <s v="PERMISO NO REMUNERADO"/>
    <m/>
    <m/>
    <m/>
    <m/>
  </r>
  <r>
    <x v="7"/>
    <n v="98526167"/>
    <s v="URREGO"/>
    <s v="VALENCIA"/>
    <s v="WILMAR"/>
    <m/>
    <s v="VIGILANTE"/>
    <x v="0"/>
    <d v="2021-07-01T00:00:00"/>
    <d v="2021-07-05T00:00:00"/>
    <n v="5"/>
    <m/>
    <s v="LICENCIA DE LUTO"/>
    <m/>
    <m/>
    <m/>
    <m/>
  </r>
  <r>
    <x v="7"/>
    <n v="1002488126"/>
    <s v="MENCO"/>
    <s v="JIMENEZ"/>
    <s v="EMIL"/>
    <s v="DANIEL"/>
    <s v="VIGILANTE"/>
    <x v="0"/>
    <d v="2021-07-09T00:00:00"/>
    <d v="2021-07-10T00:00:00"/>
    <n v="2"/>
    <m/>
    <s v="PERMISO NO REMUNERADO"/>
    <m/>
    <m/>
    <m/>
    <m/>
  </r>
  <r>
    <x v="7"/>
    <n v="8126753"/>
    <s v="CARVAJAL"/>
    <s v="ROBLEDO"/>
    <s v="SERGIO"/>
    <s v="ALBERTO"/>
    <s v="VIGILANTE"/>
    <x v="0"/>
    <d v="2021-07-03T00:00:00"/>
    <d v="2021-07-03T00:00:00"/>
    <n v="1"/>
    <m/>
    <s v="PERMISO NO REMUNERADO"/>
    <m/>
    <m/>
    <m/>
    <m/>
  </r>
  <r>
    <x v="7"/>
    <n v="8432539"/>
    <s v="RESTREPO"/>
    <s v="LONDOÑO"/>
    <s v="GIOVANI"/>
    <s v="ALBEIRO"/>
    <s v="VIGILANTE"/>
    <x v="0"/>
    <d v="2021-07-03T00:00:00"/>
    <d v="2021-07-04T00:00:00"/>
    <n v="2"/>
    <m/>
    <s v="PERMISO NO REMUNERADO"/>
    <m/>
    <m/>
    <m/>
    <m/>
  </r>
  <r>
    <x v="7"/>
    <n v="1067855781"/>
    <s v="ALVAREZ"/>
    <s v="SIMANCA"/>
    <s v="EDUARDO"/>
    <s v="ANTONIO"/>
    <s v="VIGILANTE"/>
    <x v="0"/>
    <d v="2021-07-01T00:00:00"/>
    <d v="2021-07-05T00:00:00"/>
    <n v="5"/>
    <m/>
    <s v="PERMISO REMUNERADO"/>
    <m/>
    <m/>
    <m/>
    <m/>
  </r>
  <r>
    <x v="7"/>
    <n v="98703751"/>
    <s v="HINCAPIE"/>
    <s v="RIVERA"/>
    <s v="NUMAR"/>
    <s v="DE JESUS"/>
    <s v="VIGILANTE"/>
    <x v="0"/>
    <d v="2021-07-31T00:00:00"/>
    <d v="2021-07-31T00:00:00"/>
    <n v="1"/>
    <m/>
    <s v="PERMISO NO REMUNERADO"/>
    <m/>
    <m/>
    <m/>
    <m/>
  </r>
  <r>
    <x v="7"/>
    <n v="8677434"/>
    <s v="MIRANDA"/>
    <s v="BLANCO"/>
    <s v="OMER"/>
    <m/>
    <s v="VIGILANTE"/>
    <x v="1"/>
    <d v="2021-07-12T00:00:00"/>
    <d v="2021-07-16T00:00:00"/>
    <n v="5"/>
    <n v="10"/>
    <s v="SEGUNDA VEZ"/>
    <m/>
    <m/>
    <m/>
    <m/>
  </r>
  <r>
    <x v="7"/>
    <n v="1037591521"/>
    <s v="GONZALEZ "/>
    <s v="RIOS"/>
    <s v="CATALINA"/>
    <m/>
    <s v="VIGILANTE"/>
    <x v="1"/>
    <d v="2021-07-13T00:00:00"/>
    <d v="2021-07-13T00:00:00"/>
    <n v="1"/>
    <n v="6"/>
    <s v="PRIMERA VEZ"/>
    <m/>
    <m/>
    <m/>
    <m/>
  </r>
  <r>
    <x v="7"/>
    <n v="71527308"/>
    <s v="LOPEZ"/>
    <s v="URIBE"/>
    <s v="JUAN"/>
    <s v="ESTEBAN"/>
    <s v="VIGILANTE"/>
    <x v="1"/>
    <d v="2021-07-13T00:00:00"/>
    <d v="2021-07-13T00:00:00"/>
    <n v="1"/>
    <n v="6"/>
    <s v="PRIMERA VEZ"/>
    <m/>
    <m/>
    <m/>
    <m/>
  </r>
  <r>
    <x v="7"/>
    <n v="1067095122"/>
    <s v="HEREDIA"/>
    <s v="ZULETA"/>
    <s v="OMAR "/>
    <s v="DAVID"/>
    <s v="VIGILANTE"/>
    <x v="1"/>
    <d v="2021-07-14T00:00:00"/>
    <d v="2021-07-18T00:00:00"/>
    <n v="5"/>
    <n v="21"/>
    <s v="PRIMERA VEZ"/>
    <m/>
    <m/>
    <m/>
    <m/>
  </r>
  <r>
    <x v="7"/>
    <n v="1128269408"/>
    <s v="CASTAÑO"/>
    <s v="MONTOYA"/>
    <s v="CAROLINA"/>
    <m/>
    <s v="VIGILANTE"/>
    <x v="0"/>
    <d v="2021-07-06T00:00:00"/>
    <d v="2021-07-10T00:00:00"/>
    <n v="5"/>
    <m/>
    <s v="LICENCIA DE LUTO"/>
    <m/>
    <m/>
    <m/>
    <m/>
  </r>
  <r>
    <x v="7"/>
    <n v="70812639"/>
    <s v="CARDONA"/>
    <s v="RENDON"/>
    <s v="ALIRIO "/>
    <s v="DE JESUS"/>
    <s v="VIGILANTE"/>
    <x v="2"/>
    <d v="2021-07-06T00:00:00"/>
    <d v="2021-07-23T00:00:00"/>
    <n v="18"/>
    <m/>
    <s v="VACACIONES"/>
    <m/>
    <m/>
    <m/>
    <m/>
  </r>
  <r>
    <x v="7"/>
    <n v="8127354"/>
    <s v="VELASQUEZ"/>
    <s v="ALVAREZ"/>
    <s v="DIEGO "/>
    <s v="ALONSO"/>
    <s v="VIGILANTE"/>
    <x v="2"/>
    <d v="2021-07-12T00:00:00"/>
    <d v="2021-07-29T00:00:00"/>
    <n v="18"/>
    <m/>
    <s v="VACACIONES"/>
    <m/>
    <m/>
    <m/>
    <m/>
  </r>
  <r>
    <x v="7"/>
    <n v="71605406"/>
    <s v="PEREZ"/>
    <s v="ARROYO"/>
    <s v="RAMIRO"/>
    <s v="ANTONIO"/>
    <s v="VIGILANTE"/>
    <x v="2"/>
    <d v="2021-07-06T00:00:00"/>
    <d v="2021-07-13T00:00:00"/>
    <n v="8"/>
    <m/>
    <s v="VACACIONES"/>
    <m/>
    <m/>
    <m/>
    <m/>
  </r>
  <r>
    <x v="7"/>
    <n v="1128450238"/>
    <s v="CORREA"/>
    <s v="ARANGO"/>
    <s v="WILSON "/>
    <s v="FERNEY"/>
    <s v="VIGILANTE"/>
    <x v="2"/>
    <d v="2021-07-09T00:00:00"/>
    <d v="2021-07-27T00:00:00"/>
    <n v="19"/>
    <m/>
    <s v="VACACIONES"/>
    <m/>
    <m/>
    <m/>
    <m/>
  </r>
  <r>
    <x v="7"/>
    <n v="71362693"/>
    <s v="PALACIO"/>
    <s v="CHAVERRA"/>
    <s v="JEFERSON"/>
    <m/>
    <s v="VIGILANTE"/>
    <x v="2"/>
    <d v="2021-07-09T00:00:00"/>
    <d v="2021-07-27T00:00:00"/>
    <n v="19"/>
    <m/>
    <s v="VACACIONES"/>
    <m/>
    <m/>
    <m/>
    <m/>
  </r>
  <r>
    <x v="7"/>
    <n v="70852525"/>
    <s v="TORO"/>
    <s v="GRAJALES"/>
    <s v="WALTER "/>
    <s v="ALBERTO"/>
    <s v="VIGILANTE"/>
    <x v="2"/>
    <d v="2021-07-09T00:00:00"/>
    <d v="2021-07-27T00:00:00"/>
    <n v="19"/>
    <m/>
    <s v="VACACIONES"/>
    <m/>
    <m/>
    <m/>
    <m/>
  </r>
  <r>
    <x v="7"/>
    <n v="71768569"/>
    <s v="URIBE"/>
    <s v="MUÑOZ"/>
    <s v="CESAR"/>
    <s v="ARBEY"/>
    <s v="VIGILANTE"/>
    <x v="2"/>
    <d v="2021-07-09T00:00:00"/>
    <d v="2021-07-27T00:00:00"/>
    <n v="19"/>
    <m/>
    <s v="VACACIONES"/>
    <m/>
    <m/>
    <m/>
    <m/>
  </r>
  <r>
    <x v="7"/>
    <n v="3551757"/>
    <s v="VASQUEZ"/>
    <s v="OSORIO"/>
    <s v="LUIS"/>
    <s v="GUILLERMO"/>
    <s v="VIGILANTE"/>
    <x v="2"/>
    <d v="2021-07-15T00:00:00"/>
    <d v="2021-07-22T00:00:00"/>
    <n v="8"/>
    <m/>
    <s v="VACACIONES"/>
    <m/>
    <m/>
    <m/>
    <m/>
  </r>
  <r>
    <x v="7"/>
    <n v="3551757"/>
    <s v="VASQUEZ"/>
    <s v="OSORIO"/>
    <s v="LUIS"/>
    <s v="GUILLERMO"/>
    <s v="VIGILANTE"/>
    <x v="2"/>
    <d v="2021-07-23T00:00:00"/>
    <d v="2021-07-30T00:00:00"/>
    <n v="8"/>
    <m/>
    <s v="VACACIONES"/>
    <m/>
    <m/>
    <m/>
    <m/>
  </r>
  <r>
    <x v="7"/>
    <n v="8435129"/>
    <s v="PUERTA"/>
    <s v="VASCO"/>
    <s v="LUIS"/>
    <s v="GUSTAVO"/>
    <s v="VIGILANTE"/>
    <x v="2"/>
    <d v="2021-07-12T00:00:00"/>
    <d v="2021-07-29T00:00:00"/>
    <n v="18"/>
    <m/>
    <s v="VACACIONES"/>
    <m/>
    <m/>
    <m/>
    <m/>
  </r>
  <r>
    <x v="7"/>
    <n v="1037607008"/>
    <s v="RESTREPO"/>
    <s v="MORALES"/>
    <s v="DEIVIS"/>
    <s v="ALEXANDER"/>
    <s v="VIGILANTE"/>
    <x v="2"/>
    <d v="2021-07-12T00:00:00"/>
    <d v="2021-07-29T00:00:00"/>
    <n v="18"/>
    <m/>
    <s v="VACACIONES"/>
    <m/>
    <m/>
    <m/>
    <m/>
  </r>
  <r>
    <x v="7"/>
    <n v="98563153"/>
    <s v="BEDOYA"/>
    <s v="HOYOS"/>
    <s v="HEIBER"/>
    <s v="NELSON"/>
    <s v="VIGILANTE"/>
    <x v="2"/>
    <d v="2021-07-12T00:00:00"/>
    <d v="2021-07-29T00:00:00"/>
    <n v="18"/>
    <m/>
    <s v="VACACIONES"/>
    <m/>
    <m/>
    <m/>
    <m/>
  </r>
  <r>
    <x v="7"/>
    <n v="15510508"/>
    <s v="GONZALEZ"/>
    <s v="VANEGAS"/>
    <s v="JOHN"/>
    <s v="JAIRO"/>
    <s v="VIGILANTE"/>
    <x v="2"/>
    <d v="2021-07-19T00:00:00"/>
    <d v="2021-07-26T00:00:00"/>
    <n v="8"/>
    <m/>
    <s v="VACACIONES"/>
    <m/>
    <m/>
    <m/>
    <m/>
  </r>
  <r>
    <x v="7"/>
    <n v="1128466202"/>
    <s v="URREGO"/>
    <s v="LOAIZA"/>
    <s v="JOSE"/>
    <s v="DANIEL"/>
    <s v="VIGILANTE"/>
    <x v="2"/>
    <d v="2021-07-13T00:00:00"/>
    <d v="2021-07-30T00:00:00"/>
    <n v="18"/>
    <m/>
    <s v="VACACIONES"/>
    <m/>
    <m/>
    <m/>
    <m/>
  </r>
  <r>
    <x v="7"/>
    <n v="1214737996"/>
    <s v="ROMERO"/>
    <s v="CHAMORRO"/>
    <s v="BRIAN"/>
    <s v="ALEJANDRO"/>
    <s v="VIGILANTE"/>
    <x v="2"/>
    <d v="2021-07-19T00:00:00"/>
    <d v="2021-08-05T00:00:00"/>
    <n v="18"/>
    <m/>
    <s v="VACACIONES"/>
    <m/>
    <m/>
    <m/>
    <m/>
  </r>
  <r>
    <x v="7"/>
    <n v="1037591521"/>
    <s v="GONZALEZ "/>
    <s v="RIOS"/>
    <s v="CATALINA"/>
    <m/>
    <s v="VIGILANTE"/>
    <x v="2"/>
    <d v="2021-07-14T00:00:00"/>
    <d v="2021-07-30T00:00:00"/>
    <n v="17"/>
    <m/>
    <s v="VACACIONES"/>
    <m/>
    <m/>
    <m/>
    <m/>
  </r>
  <r>
    <x v="7"/>
    <n v="80920264"/>
    <s v="GALVIS"/>
    <s v="CARDENAS"/>
    <s v="DIEGO"/>
    <s v="MAURICIO"/>
    <s v="VIGILANTE"/>
    <x v="2"/>
    <d v="2021-07-09T00:00:00"/>
    <d v="2021-07-27T00:00:00"/>
    <n v="19"/>
    <m/>
    <s v="VACACIONES"/>
    <m/>
    <m/>
    <m/>
    <m/>
  </r>
  <r>
    <x v="7"/>
    <n v="12973985"/>
    <s v="ROMERO"/>
    <s v="LOPEZ"/>
    <s v="GUILLERMO"/>
    <m/>
    <s v="VIGILANTE"/>
    <x v="2"/>
    <d v="2021-07-19T00:00:00"/>
    <d v="2021-07-26T00:00:00"/>
    <n v="8"/>
    <m/>
    <s v="VACACIONES"/>
    <m/>
    <m/>
    <m/>
    <m/>
  </r>
  <r>
    <x v="7"/>
    <n v="12973985"/>
    <s v="ROMERO"/>
    <s v="LOPEZ"/>
    <s v="GUILLERMO"/>
    <m/>
    <s v="VIGILANTE"/>
    <x v="2"/>
    <d v="2021-07-27T00:00:00"/>
    <d v="2021-08-04T00:00:00"/>
    <n v="9"/>
    <m/>
    <s v="VACACIONES"/>
    <m/>
    <m/>
    <m/>
    <m/>
  </r>
  <r>
    <x v="7"/>
    <n v="1116246165"/>
    <s v="HERRERA"/>
    <s v="BONILLA"/>
    <s v="CARLOS"/>
    <s v="ANDRES"/>
    <s v="VIGILANTE"/>
    <x v="0"/>
    <d v="2021-07-12T00:00:00"/>
    <d v="2021-07-12T00:00:00"/>
    <n v="1"/>
    <m/>
    <s v="PERMISO NO REMUNERADO"/>
    <m/>
    <m/>
    <m/>
    <m/>
  </r>
  <r>
    <x v="7"/>
    <n v="98500553"/>
    <s v="FIGUEROA"/>
    <s v="DAVID"/>
    <s v="IVAN "/>
    <s v="FERNANDO"/>
    <s v="VIGILANTE"/>
    <x v="0"/>
    <d v="2021-07-07T00:00:00"/>
    <d v="2021-07-07T00:00:00"/>
    <n v="1"/>
    <m/>
    <s v="PERMISO NO REMUNERADO"/>
    <m/>
    <m/>
    <m/>
    <m/>
  </r>
  <r>
    <x v="7"/>
    <n v="1066574545"/>
    <s v="ARRIETA"/>
    <s v="MARTINEZ"/>
    <s v="LUISA"/>
    <s v="FERNANDA"/>
    <s v="VIGILANTE"/>
    <x v="0"/>
    <d v="2021-07-12T00:00:00"/>
    <d v="2021-07-12T00:00:00"/>
    <n v="1"/>
    <m/>
    <s v="PERMISO NO REMUNERADO"/>
    <m/>
    <m/>
    <m/>
    <m/>
  </r>
  <r>
    <x v="7"/>
    <n v="71606452"/>
    <s v="SANCHEZ"/>
    <m/>
    <s v="RICARDO"/>
    <m/>
    <s v="VIGILANTE"/>
    <x v="0"/>
    <d v="2021-07-01T00:00:00"/>
    <d v="2021-07-05T00:00:00"/>
    <n v="5"/>
    <m/>
    <s v="LICENCIA DE LUTO"/>
    <m/>
    <m/>
    <m/>
    <m/>
  </r>
  <r>
    <x v="7"/>
    <n v="1152450999"/>
    <s v="SANCHEZ"/>
    <s v="ROJAS"/>
    <s v="CHRISTIAN"/>
    <s v="CAMILO"/>
    <s v="VIGILANTE"/>
    <x v="0"/>
    <d v="2021-07-03T00:00:00"/>
    <d v="2021-07-08T00:00:00"/>
    <n v="6"/>
    <m/>
    <s v="LICENCIA DE LUTO"/>
    <m/>
    <m/>
    <m/>
    <m/>
  </r>
  <r>
    <x v="7"/>
    <n v="1036637081"/>
    <s v="ARBOLEDA"/>
    <s v="ORTIZ"/>
    <s v="HUGO"/>
    <s v="ALEXANDER"/>
    <s v="VIGILANTE"/>
    <x v="1"/>
    <d v="2021-07-19T00:00:00"/>
    <d v="2021-07-21T00:00:00"/>
    <n v="3"/>
    <n v="10"/>
    <s v="PRIMERA VEZ"/>
    <m/>
    <m/>
    <m/>
    <m/>
  </r>
  <r>
    <x v="7"/>
    <n v="71379947"/>
    <s v="AGUDELO"/>
    <s v="ZAPATA"/>
    <s v="YEISON"/>
    <s v="DE JESUS"/>
    <s v="VIGILANTE"/>
    <x v="0"/>
    <d v="2021-07-06T00:00:00"/>
    <d v="2021-07-10T00:00:00"/>
    <n v="5"/>
    <m/>
    <s v="LICENCIA DE LUTO"/>
    <m/>
    <m/>
    <m/>
    <m/>
  </r>
  <r>
    <x v="7"/>
    <n v="71388762"/>
    <s v="ARIAS"/>
    <s v="RODRIGUEZ"/>
    <s v="JANNY"/>
    <s v="ADOLFO"/>
    <s v="VIGILANTE"/>
    <x v="1"/>
    <d v="2021-07-20T00:00:00"/>
    <d v="2021-07-20T00:00:00"/>
    <n v="1"/>
    <n v="4"/>
    <s v="PRIMERA VEZ"/>
    <m/>
    <m/>
    <m/>
    <m/>
  </r>
  <r>
    <x v="7"/>
    <n v="98711080"/>
    <s v="ACEVEDO "/>
    <s v="GALLEGO"/>
    <s v="DUVAN"/>
    <s v="GUILLERMO"/>
    <s v="VIGILANTE"/>
    <x v="1"/>
    <d v="2021-07-19T00:00:00"/>
    <d v="2021-07-19T00:00:00"/>
    <n v="1"/>
    <n v="6"/>
    <s v="PRIMERA VEZ"/>
    <m/>
    <m/>
    <m/>
    <m/>
  </r>
  <r>
    <x v="7"/>
    <n v="12973985"/>
    <s v="ROMERO"/>
    <s v="LOPEZ"/>
    <s v="GUILLERMO"/>
    <m/>
    <s v="VIGILANTE"/>
    <x v="1"/>
    <d v="2021-07-16T00:00:00"/>
    <d v="2021-07-18T00:00:00"/>
    <n v="3"/>
    <n v="10"/>
    <s v="PRIMERA VEZ"/>
    <m/>
    <m/>
    <m/>
    <m/>
  </r>
  <r>
    <x v="7"/>
    <n v="1020401463"/>
    <s v="VANEGAS"/>
    <s v="SALDARRIAGA"/>
    <s v="GUSTAVO"/>
    <s v="ANDRES"/>
    <s v="VIGILANTE"/>
    <x v="1"/>
    <d v="2021-07-15T00:00:00"/>
    <d v="2021-07-19T00:00:00"/>
    <n v="5"/>
    <n v="1"/>
    <s v="PRIMERA VEZ"/>
    <m/>
    <m/>
    <m/>
    <m/>
  </r>
  <r>
    <x v="7"/>
    <n v="1026155762"/>
    <s v="ORTIZ"/>
    <s v="GONZALEZ"/>
    <s v="EDER"/>
    <s v="GEOBANY"/>
    <s v="VIGILANTE"/>
    <x v="1"/>
    <d v="2021-07-19T00:00:00"/>
    <d v="2021-07-19T00:00:00"/>
    <n v="1"/>
    <n v="6"/>
    <s v="PRIMERA VEZ"/>
    <m/>
    <m/>
    <m/>
    <m/>
  </r>
  <r>
    <x v="7"/>
    <n v="78730334"/>
    <s v="VELASQUEZ"/>
    <s v="MARTINEZ"/>
    <s v="DIEGO"/>
    <s v="DE JESUS"/>
    <s v="VIGILANTE"/>
    <x v="4"/>
    <d v="2021-07-13T00:00:00"/>
    <d v="2021-07-13T00:00:00"/>
    <m/>
    <m/>
    <s v="FALLECIDO"/>
    <m/>
    <m/>
    <m/>
    <m/>
  </r>
  <r>
    <x v="7"/>
    <n v="1146441872"/>
    <s v="ARANGO"/>
    <s v="VILLA"/>
    <s v="JHON"/>
    <s v="JEHINER"/>
    <s v="VIGILANTE"/>
    <x v="1"/>
    <d v="2021-07-20T00:00:00"/>
    <d v="2021-07-24T00:00:00"/>
    <n v="5"/>
    <n v="10"/>
    <s v="SEGUNDA VEZ"/>
    <m/>
    <m/>
    <m/>
    <m/>
  </r>
  <r>
    <x v="7"/>
    <n v="1037604301"/>
    <s v="LOPEZ"/>
    <s v="ARIAS"/>
    <s v="ANDRES "/>
    <s v="FELIPE"/>
    <s v="VIGILANTE"/>
    <x v="1"/>
    <d v="2021-07-21T00:00:00"/>
    <d v="2021-07-21T00:00:00"/>
    <n v="1"/>
    <n v="4"/>
    <s v="PRIMERA VEZ"/>
    <m/>
    <m/>
    <m/>
    <m/>
  </r>
  <r>
    <x v="7"/>
    <n v="1039886602"/>
    <s v="CHAVERRA"/>
    <s v="PULGARIN"/>
    <s v="LEONARDO"/>
    <s v="ANTONIO"/>
    <s v="VIGILANTE"/>
    <x v="1"/>
    <d v="2021-07-21T00:00:00"/>
    <d v="2021-07-23T00:00:00"/>
    <n v="3"/>
    <n v="10"/>
    <s v="PRIMERA VEZ"/>
    <m/>
    <m/>
    <m/>
    <m/>
  </r>
  <r>
    <x v="7"/>
    <n v="85163750"/>
    <s v="VANEGAS"/>
    <s v=" "/>
    <s v="LEONITH"/>
    <m/>
    <s v="VIGILANTE"/>
    <x v="2"/>
    <d v="2021-07-24T00:00:00"/>
    <d v="2021-07-27T00:00:00"/>
    <n v="4"/>
    <m/>
    <s v="VACACIONES"/>
    <m/>
    <m/>
    <m/>
    <m/>
  </r>
  <r>
    <x v="7"/>
    <n v="8175532"/>
    <s v="GARCIA "/>
    <s v="GALLEGO"/>
    <s v="CRISTIAN"/>
    <m/>
    <s v="VIGILANTE"/>
    <x v="1"/>
    <d v="2021-07-23T00:00:00"/>
    <d v="2021-07-27T00:00:00"/>
    <n v="5"/>
    <n v="22"/>
    <s v="PRIMERA VEZ"/>
    <m/>
    <m/>
    <m/>
    <m/>
  </r>
  <r>
    <x v="7"/>
    <n v="98478263"/>
    <s v="VASQUEZ"/>
    <s v="ESPINOSA"/>
    <s v="JOHN"/>
    <s v="JAIRO"/>
    <s v="VIGILANTE"/>
    <x v="1"/>
    <d v="2021-07-26T00:00:00"/>
    <d v="2021-07-28T00:00:00"/>
    <n v="3"/>
    <n v="10"/>
    <s v="PRIMERA VEZ"/>
    <m/>
    <m/>
    <m/>
    <m/>
  </r>
  <r>
    <x v="7"/>
    <n v="1128450238"/>
    <s v="CORREA"/>
    <s v="ARANGO"/>
    <s v="WILSON "/>
    <s v="FERNEY"/>
    <s v="VIGILANTE"/>
    <x v="2"/>
    <d v="2021-07-28T00:00:00"/>
    <d v="2021-08-14T00:00:00"/>
    <n v="18"/>
    <m/>
    <s v="VACACIONES"/>
    <m/>
    <m/>
    <m/>
    <m/>
  </r>
  <r>
    <x v="7"/>
    <n v="98659253"/>
    <s v="CIFUENTES"/>
    <s v="PIEDRAHITA"/>
    <s v="ALONSO "/>
    <s v="ELIAS"/>
    <s v="VIGILANTE"/>
    <x v="2"/>
    <d v="2021-07-21T00:00:00"/>
    <d v="2021-07-28T00:00:00"/>
    <n v="8"/>
    <m/>
    <s v="VACACIONES"/>
    <m/>
    <m/>
    <m/>
    <m/>
  </r>
  <r>
    <x v="7"/>
    <n v="98659253"/>
    <s v="CIFUENTES"/>
    <s v="PIEDRAHITA"/>
    <s v="ALONSO "/>
    <s v="ELIAS"/>
    <s v="VIGILANTE"/>
    <x v="2"/>
    <d v="2021-07-29T00:00:00"/>
    <d v="2021-08-05T00:00:00"/>
    <n v="8"/>
    <m/>
    <s v="VACACIONES"/>
    <m/>
    <m/>
    <m/>
    <m/>
  </r>
  <r>
    <x v="7"/>
    <n v="1020393277"/>
    <s v="GARCIA"/>
    <s v="QUINTERO"/>
    <s v="DIEGO"/>
    <s v="ALEXANDER"/>
    <s v="VIGILANTE"/>
    <x v="1"/>
    <d v="2021-07-27T00:00:00"/>
    <d v="2021-07-27T00:00:00"/>
    <n v="1"/>
    <n v="6"/>
    <s v="PRIMERA VEZ"/>
    <m/>
    <m/>
    <m/>
    <m/>
  </r>
  <r>
    <x v="7"/>
    <n v="71264357"/>
    <s v="ROJAS "/>
    <s v="CAÑAS"/>
    <s v="GUILLERMO"/>
    <s v="LEON"/>
    <s v="VIGILANTE"/>
    <x v="2"/>
    <d v="2021-07-17T00:00:00"/>
    <d v="2021-08-04T00:00:00"/>
    <n v="19"/>
    <m/>
    <s v="VACACIONES"/>
    <m/>
    <m/>
    <m/>
    <m/>
  </r>
  <r>
    <x v="7"/>
    <n v="71677127"/>
    <s v="RAMIREZ "/>
    <s v="GOMEZ"/>
    <s v="GUSTAVO"/>
    <m/>
    <s v="VIGILANTE"/>
    <x v="2"/>
    <d v="2021-07-25T00:00:00"/>
    <d v="2021-08-01T00:00:00"/>
    <n v="8"/>
    <m/>
    <s v="VACACIONES"/>
    <m/>
    <m/>
    <m/>
    <m/>
  </r>
  <r>
    <x v="7"/>
    <n v="85163750"/>
    <s v="VANEGAS"/>
    <s v="OSPINA"/>
    <s v="LEONITH"/>
    <m/>
    <s v="VIGILANTE"/>
    <x v="2"/>
    <d v="2021-07-24T00:00:00"/>
    <d v="2021-07-27T00:00:00"/>
    <n v="4"/>
    <m/>
    <s v="VACACIONES"/>
    <m/>
    <m/>
    <m/>
    <m/>
  </r>
  <r>
    <x v="7"/>
    <n v="71677127"/>
    <s v="RAMIREZ "/>
    <s v="GOMEZ"/>
    <s v="GUSTAVO"/>
    <m/>
    <s v="VIGILANTE"/>
    <x v="2"/>
    <d v="2021-07-17T00:00:00"/>
    <d v="2021-07-24T00:00:00"/>
    <n v="8"/>
    <m/>
    <s v="VACACIONES"/>
    <m/>
    <m/>
    <m/>
    <m/>
  </r>
  <r>
    <x v="7"/>
    <n v="71389171"/>
    <s v="RESTREPO "/>
    <s v="SILVA"/>
    <s v="WILLY "/>
    <s v="FRANKLIN"/>
    <s v="VIGILANTE"/>
    <x v="2"/>
    <d v="2021-07-30T00:00:00"/>
    <d v="2021-08-06T00:00:00"/>
    <n v="8"/>
    <m/>
    <s v="VACACIONES"/>
    <m/>
    <m/>
    <m/>
    <m/>
  </r>
  <r>
    <x v="7"/>
    <n v="98490842"/>
    <s v="ZAPATA"/>
    <s v="MONTALVO"/>
    <s v="JORGE"/>
    <s v="ENRIQUE"/>
    <s v="VIGILANTE"/>
    <x v="2"/>
    <d v="2021-07-21T00:00:00"/>
    <d v="2021-07-28T00:00:00"/>
    <n v="8"/>
    <m/>
    <s v="VACACIONES"/>
    <m/>
    <m/>
    <m/>
    <m/>
  </r>
  <r>
    <x v="7"/>
    <n v="1067909304"/>
    <s v="SOTO"/>
    <s v="CARDENAS"/>
    <s v="JOSE "/>
    <s v="LUIS"/>
    <s v="VIGILANTE"/>
    <x v="2"/>
    <d v="2021-07-21T00:00:00"/>
    <d v="2021-08-06T00:00:00"/>
    <n v="17"/>
    <m/>
    <s v="VACACIONES"/>
    <m/>
    <m/>
    <m/>
    <m/>
  </r>
  <r>
    <x v="7"/>
    <n v="1041270716"/>
    <s v="FERNANDEZ"/>
    <s v="VIDAL"/>
    <s v="MANUEL"/>
    <s v="JOSE"/>
    <s v="VIGILANTE"/>
    <x v="2"/>
    <d v="2021-07-21T00:00:00"/>
    <d v="2021-08-06T00:00:00"/>
    <n v="17"/>
    <m/>
    <s v="VACACIONES"/>
    <m/>
    <m/>
    <m/>
    <m/>
  </r>
  <r>
    <x v="7"/>
    <n v="71619744"/>
    <s v="HINCAPIE"/>
    <s v="GONZALEZ"/>
    <s v="JOSE "/>
    <s v="ADAN"/>
    <s v="VIGILANTE"/>
    <x v="2"/>
    <d v="2021-07-26T00:00:00"/>
    <d v="2021-08-12T00:00:00"/>
    <n v="18"/>
    <m/>
    <s v="VACACIONES"/>
    <m/>
    <m/>
    <m/>
    <m/>
  </r>
  <r>
    <x v="7"/>
    <n v="98527980"/>
    <s v="GUTIERREZ"/>
    <m/>
    <s v="WILLIAM "/>
    <s v="DE JESUS"/>
    <s v="VIGILANTE"/>
    <x v="2"/>
    <d v="2021-07-28T00:00:00"/>
    <d v="2021-08-14T00:00:00"/>
    <n v="18"/>
    <m/>
    <s v="VACACIONES"/>
    <m/>
    <m/>
    <m/>
    <m/>
  </r>
  <r>
    <x v="7"/>
    <n v="1059694554"/>
    <s v="REYES"/>
    <s v="ECHEVERRY"/>
    <s v="JAIRO"/>
    <s v="ALBERTO"/>
    <s v="VIGILANTE"/>
    <x v="2"/>
    <d v="2021-07-24T00:00:00"/>
    <d v="2021-07-31T00:00:00"/>
    <n v="8"/>
    <m/>
    <s v="VACACIONES"/>
    <m/>
    <m/>
    <m/>
    <m/>
  </r>
  <r>
    <x v="7"/>
    <n v="11955339"/>
    <s v="VELEZ"/>
    <s v="BUSTAMANTE"/>
    <s v="JULIO"/>
    <s v="HERNAN"/>
    <s v="VIGILANTE"/>
    <x v="2"/>
    <d v="2021-07-31T00:00:00"/>
    <d v="2021-08-19T00:00:00"/>
    <n v="20"/>
    <m/>
    <s v="VACACIONES"/>
    <m/>
    <m/>
    <m/>
    <m/>
  </r>
  <r>
    <x v="7"/>
    <n v="1127576502"/>
    <s v="PEREZ"/>
    <s v="BULA"/>
    <s v="CARLOS"/>
    <s v="ANDRES"/>
    <s v="VIGILANTE"/>
    <x v="2"/>
    <d v="2021-07-29T00:00:00"/>
    <d v="2021-08-17T00:00:00"/>
    <n v="20"/>
    <m/>
    <s v="VACACIONES"/>
    <m/>
    <m/>
    <m/>
    <m/>
  </r>
  <r>
    <x v="7"/>
    <n v="71744485"/>
    <s v="VALENCIA"/>
    <s v="DIAZ"/>
    <s v="DIEGO "/>
    <s v="ALEXANDER"/>
    <s v="VIGILANTE"/>
    <x v="0"/>
    <d v="2021-07-31T00:00:00"/>
    <d v="2021-07-31T00:00:00"/>
    <n v="1"/>
    <m/>
    <s v="PERMISO NO REMUNERADO"/>
    <m/>
    <m/>
    <m/>
    <m/>
  </r>
  <r>
    <x v="7"/>
    <n v="98702620"/>
    <s v="OSORIO"/>
    <s v="RIOS"/>
    <s v="JESUS"/>
    <s v="ANIBAL"/>
    <s v="VIGILANTE"/>
    <x v="0"/>
    <d v="2021-07-19T00:00:00"/>
    <d v="2021-07-19T00:00:00"/>
    <n v="1"/>
    <m/>
    <s v="PERMISO NO REMUNERADO"/>
    <m/>
    <m/>
    <m/>
    <m/>
  </r>
  <r>
    <x v="7"/>
    <n v="1036687761"/>
    <s v="SUAREZ "/>
    <s v="TABARES"/>
    <s v="SANTIAGO"/>
    <m/>
    <s v="VIGILANTE"/>
    <x v="0"/>
    <d v="2021-07-26T00:00:00"/>
    <d v="2021-07-26T00:00:00"/>
    <n v="1"/>
    <m/>
    <s v="PERMISO NO REMUNERADO"/>
    <m/>
    <m/>
    <m/>
    <m/>
  </r>
  <r>
    <x v="7"/>
    <n v="78110091"/>
    <s v="PALOMINO"/>
    <s v="MENDIZ"/>
    <s v="JORGE"/>
    <s v="LUIS"/>
    <s v="VIGILANTE"/>
    <x v="0"/>
    <d v="2021-07-03T00:00:00"/>
    <d v="2021-07-04T00:00:00"/>
    <n v="2"/>
    <m/>
    <s v="PERMISO NO REMUNERADO"/>
    <m/>
    <m/>
    <m/>
    <m/>
  </r>
  <r>
    <x v="7"/>
    <n v="1041270716"/>
    <s v="FERNANDEZ"/>
    <s v="VIDAL"/>
    <s v="MANUEL"/>
    <s v="JOSE"/>
    <s v="VIGILANTE"/>
    <x v="0"/>
    <d v="2021-07-18T00:00:00"/>
    <d v="2021-07-18T00:00:00"/>
    <n v="1"/>
    <m/>
    <s v="PERMISO NO REMUNERADO"/>
    <m/>
    <m/>
    <m/>
    <m/>
  </r>
  <r>
    <x v="7"/>
    <n v="71753184"/>
    <s v="AGUDELO"/>
    <s v="LOPEZ"/>
    <s v="JUAN"/>
    <s v="FELIPE"/>
    <s v="VIGILANTE"/>
    <x v="0"/>
    <d v="2021-07-21T00:00:00"/>
    <d v="2021-07-21T00:00:00"/>
    <n v="1"/>
    <m/>
    <s v="PERMISO NO REMUNERADO"/>
    <m/>
    <m/>
    <m/>
    <m/>
  </r>
  <r>
    <x v="7"/>
    <n v="1020401463"/>
    <s v="VANEGAS"/>
    <s v="SALDARRIAGA"/>
    <s v="GUSTAVO"/>
    <s v="ANDRES"/>
    <s v="VIGILANTE"/>
    <x v="0"/>
    <d v="2021-07-25T00:00:00"/>
    <d v="2021-07-25T00:00:00"/>
    <n v="1"/>
    <m/>
    <s v="PERMISO REMUNERADO"/>
    <m/>
    <m/>
    <m/>
    <m/>
  </r>
  <r>
    <x v="7"/>
    <n v="1067855781"/>
    <s v="ALVAREZ"/>
    <s v="SIMANCA"/>
    <s v="EDUARDO"/>
    <s v="ANTONIO"/>
    <s v="VIGILANTE"/>
    <x v="0"/>
    <d v="2021-07-17T00:00:00"/>
    <d v="2021-07-23T00:00:00"/>
    <n v="7"/>
    <m/>
    <s v="LICENCIA DE LUTO"/>
    <m/>
    <m/>
    <m/>
    <m/>
  </r>
  <r>
    <x v="7"/>
    <n v="70434070"/>
    <s v="HIGUITA"/>
    <s v="HIGUITA"/>
    <s v="OMEIBER"/>
    <s v="ALFONSO"/>
    <s v="VIGILANTE"/>
    <x v="0"/>
    <d v="2021-07-26T00:00:00"/>
    <d v="2021-07-30T00:00:00"/>
    <n v="5"/>
    <m/>
    <s v="LICENCIA DE LUTO"/>
    <m/>
    <m/>
    <m/>
    <m/>
  </r>
  <r>
    <x v="8"/>
    <n v="1059694554"/>
    <s v="REYES"/>
    <s v="ECHEVERRY"/>
    <s v="JAIRO"/>
    <s v="ALBERTO"/>
    <s v="VIGILANTE"/>
    <x v="2"/>
    <d v="2021-08-01T00:00:00"/>
    <d v="2021-08-08T00:00:00"/>
    <n v="8"/>
    <m/>
    <s v="VACACIONES"/>
    <m/>
    <m/>
    <m/>
    <m/>
  </r>
  <r>
    <x v="8"/>
    <n v="91136051"/>
    <s v="MATEUS"/>
    <s v="HERNANDEZ"/>
    <s v="ANDERSON"/>
    <s v="MIGUEL"/>
    <s v="VIGILANTE"/>
    <x v="1"/>
    <d v="2021-08-04T00:00:00"/>
    <d v="2021-08-08T00:00:00"/>
    <n v="5"/>
    <n v="1"/>
    <s v="PRIMERA VEZ"/>
    <m/>
    <m/>
    <m/>
    <m/>
  </r>
  <r>
    <x v="8"/>
    <n v="10182477"/>
    <s v="RAMIREZ "/>
    <s v="CHIMBI"/>
    <s v="JULIO"/>
    <s v="CESAR"/>
    <s v="VIGILANTE"/>
    <x v="2"/>
    <d v="2021-08-05T00:00:00"/>
    <d v="2021-08-24T00:00:00"/>
    <n v="20"/>
    <m/>
    <s v="VACACIONES"/>
    <m/>
    <m/>
    <m/>
    <m/>
  </r>
  <r>
    <x v="8"/>
    <n v="98645737"/>
    <s v="OSORIO"/>
    <s v="RIVERA"/>
    <s v="WILLIAM"/>
    <s v="ALBERTO"/>
    <s v="VIGILANTE"/>
    <x v="2"/>
    <d v="2021-08-05T00:00:00"/>
    <d v="2021-08-24T00:00:00"/>
    <n v="20"/>
    <m/>
    <s v="VACACIONES"/>
    <m/>
    <m/>
    <m/>
    <m/>
  </r>
  <r>
    <x v="8"/>
    <n v="71636724"/>
    <s v="ARROYAVE "/>
    <s v="SOTO"/>
    <s v="MARIO"/>
    <s v="IVAN"/>
    <s v="VIGILANTE"/>
    <x v="2"/>
    <d v="2021-08-05T00:00:00"/>
    <d v="2021-08-24T00:00:00"/>
    <n v="20"/>
    <m/>
    <s v="VACACIONES"/>
    <m/>
    <m/>
    <m/>
    <m/>
  </r>
  <r>
    <x v="8"/>
    <n v="1001473829"/>
    <s v="OROZCO"/>
    <s v="OROZCO"/>
    <s v="JOSE"/>
    <s v="SANTIAGO"/>
    <s v="VIGILANTE"/>
    <x v="2"/>
    <d v="2021-08-09T00:00:00"/>
    <d v="2021-08-16T00:00:00"/>
    <n v="8"/>
    <m/>
    <s v="VACACIONES"/>
    <m/>
    <m/>
    <m/>
    <m/>
  </r>
  <r>
    <x v="8"/>
    <n v="1001473829"/>
    <s v="OROZCO"/>
    <s v="OROZCO"/>
    <s v="JOSE"/>
    <s v="SANTIAGO"/>
    <s v="VIGILANTE"/>
    <x v="2"/>
    <d v="2021-08-17T00:00:00"/>
    <d v="2021-08-24T00:00:00"/>
    <n v="8"/>
    <m/>
    <s v="VACACIONES"/>
    <m/>
    <m/>
    <m/>
    <m/>
  </r>
  <r>
    <x v="8"/>
    <n v="70139856"/>
    <s v="QUINTERO"/>
    <s v="GAVIRIA"/>
    <s v="CARLOS"/>
    <s v="MARIO"/>
    <s v="VIGILANTE"/>
    <x v="2"/>
    <d v="2021-08-02T00:00:00"/>
    <d v="2021-08-20T00:00:00"/>
    <n v="19"/>
    <m/>
    <s v="VACACIONES"/>
    <m/>
    <m/>
    <m/>
    <m/>
  </r>
  <r>
    <x v="8"/>
    <n v="4269332"/>
    <s v="DUEÑAS"/>
    <s v="MORENO"/>
    <s v="JOSE"/>
    <s v="JEREMIAS"/>
    <s v="VIGILANTE"/>
    <x v="2"/>
    <d v="2021-08-04T00:00:00"/>
    <d v="2021-08-11T00:00:00"/>
    <n v="8"/>
    <m/>
    <s v="VACACIONES"/>
    <m/>
    <m/>
    <m/>
    <m/>
  </r>
  <r>
    <x v="8"/>
    <n v="4269332"/>
    <s v="DUEÑAS"/>
    <s v="MORENO"/>
    <s v="JOSE"/>
    <s v="JEREMIAS"/>
    <s v="VIGILANTE"/>
    <x v="2"/>
    <d v="2021-08-12T00:00:00"/>
    <d v="2021-08-19T00:00:00"/>
    <n v="8"/>
    <m/>
    <s v="VACACIONES"/>
    <m/>
    <m/>
    <m/>
    <m/>
  </r>
  <r>
    <x v="8"/>
    <n v="1028003912"/>
    <s v="SOÑET"/>
    <s v="SIERRA"/>
    <s v="FRANCISCO "/>
    <s v="JAVIER"/>
    <s v="VIGILANTE"/>
    <x v="2"/>
    <d v="2021-08-05T00:00:00"/>
    <d v="2021-08-24T00:00:00"/>
    <n v="20"/>
    <m/>
    <s v="VACACIONES"/>
    <m/>
    <m/>
    <m/>
    <m/>
  </r>
  <r>
    <x v="8"/>
    <n v="71181543"/>
    <s v="CARMONA"/>
    <s v="PEÑA"/>
    <s v="JORGE"/>
    <s v="NICOLAS"/>
    <s v="VIGILANTE"/>
    <x v="0"/>
    <d v="2021-08-03T00:00:00"/>
    <m/>
    <m/>
    <m/>
    <m/>
    <m/>
    <m/>
    <m/>
    <m/>
  </r>
  <r>
    <x v="8"/>
    <n v="70137576"/>
    <s v="ECHEVERRI"/>
    <s v="OSPINA"/>
    <s v="FREDY"/>
    <s v="ARMANDO"/>
    <s v="VIGILANTE"/>
    <x v="1"/>
    <d v="2021-08-05T00:00:00"/>
    <d v="2021-08-07T00:00:00"/>
    <n v="3"/>
    <n v="10"/>
    <s v="PRIMERA VEZ"/>
    <m/>
    <m/>
    <m/>
    <m/>
  </r>
  <r>
    <x v="8"/>
    <n v="32206520"/>
    <s v="LOPEZ"/>
    <m/>
    <s v="DURLEY"/>
    <s v="BIBIANA"/>
    <s v="VIGILANTE"/>
    <x v="1"/>
    <d v="2021-08-07T00:00:00"/>
    <d v="2021-08-11T00:00:00"/>
    <n v="5"/>
    <n v="1"/>
    <s v="PRIMERA VEZ"/>
    <m/>
    <m/>
    <m/>
    <m/>
  </r>
  <r>
    <x v="8"/>
    <n v="21553683"/>
    <s v="MARTINEZ"/>
    <s v="PUERTA"/>
    <s v="ALBA"/>
    <s v="DOLLY"/>
    <s v="VIGILANTE"/>
    <x v="1"/>
    <d v="2021-08-06T00:00:00"/>
    <d v="2021-08-10T00:00:00"/>
    <n v="5"/>
    <n v="2"/>
    <s v="SEGUNDA VEZ"/>
    <m/>
    <m/>
    <m/>
    <m/>
  </r>
  <r>
    <x v="8"/>
    <n v="1017246459"/>
    <s v="ROMERO"/>
    <s v="OSORIO"/>
    <s v="LUIS"/>
    <s v="DAVID"/>
    <s v="VIGILANTE"/>
    <x v="1"/>
    <d v="2021-08-09T00:00:00"/>
    <d v="2021-08-11T00:00:00"/>
    <n v="3"/>
    <n v="6"/>
    <s v="SEGUNDA VEZ"/>
    <m/>
    <m/>
    <m/>
    <m/>
  </r>
  <r>
    <x v="8"/>
    <n v="1129044401"/>
    <s v="MOSQUERA"/>
    <s v="GARCIA"/>
    <s v="FREDY"/>
    <s v="ENOR"/>
    <s v="VIGILANTE"/>
    <x v="1"/>
    <d v="2021-08-12T00:00:00"/>
    <d v="2021-08-16T00:00:00"/>
    <n v="5"/>
    <n v="1"/>
    <s v="PRIMERA VEZ"/>
    <m/>
    <m/>
    <m/>
    <m/>
  </r>
  <r>
    <x v="8"/>
    <n v="71781456"/>
    <s v="TEJADA"/>
    <s v="ATILANO"/>
    <s v="HENRY"/>
    <s v="ALBERTO"/>
    <s v="VIGILANTE"/>
    <x v="1"/>
    <d v="2021-08-11T00:00:00"/>
    <d v="2021-08-15T00:00:00"/>
    <n v="5"/>
    <n v="22"/>
    <s v="PRIMERA VEZ"/>
    <m/>
    <m/>
    <m/>
    <m/>
  </r>
  <r>
    <x v="8"/>
    <n v="71118722"/>
    <s v="YUVER "/>
    <s v="ALEISON "/>
    <s v="RESTREPO"/>
    <s v="VILLADA"/>
    <s v="VIGILANTE"/>
    <x v="1"/>
    <d v="2021-08-12T00:00:00"/>
    <d v="2021-08-14T00:00:00"/>
    <n v="3"/>
    <n v="6"/>
    <s v="SEGUNDA VEZ"/>
    <m/>
    <m/>
    <m/>
    <m/>
  </r>
  <r>
    <x v="8"/>
    <n v="1000636550"/>
    <s v="FLOREZ"/>
    <s v="MARIN"/>
    <s v="ESTEBAN"/>
    <s v="ALEXANDER"/>
    <s v="VIGILANTE"/>
    <x v="1"/>
    <d v="2021-08-13T00:00:00"/>
    <d v="2021-08-17T00:00:00"/>
    <n v="5"/>
    <n v="22"/>
    <s v="PRIMERA VEZ"/>
    <m/>
    <m/>
    <m/>
    <m/>
  </r>
  <r>
    <x v="8"/>
    <n v="1055962814"/>
    <s v="PAEZ "/>
    <s v="ORTEGA"/>
    <s v="YEFERSON"/>
    <m/>
    <s v="TESORERP"/>
    <x v="0"/>
    <d v="2021-08-10T00:00:00"/>
    <d v="2021-08-10T00:00:00"/>
    <n v="1"/>
    <m/>
    <s v="PERMISO REMUNERADO"/>
    <m/>
    <m/>
    <m/>
    <m/>
  </r>
  <r>
    <x v="8"/>
    <n v="43830625"/>
    <s v="RUIZ"/>
    <s v="LUNA"/>
    <s v="PAULA"/>
    <s v="ANDREA"/>
    <s v="RECEPCIONISTA"/>
    <x v="0"/>
    <d v="2021-08-06T00:00:00"/>
    <d v="2021-08-06T00:00:00"/>
    <n v="1"/>
    <m/>
    <s v="PERMISO REMUNERADO"/>
    <m/>
    <m/>
    <m/>
    <m/>
  </r>
  <r>
    <x v="7"/>
    <n v="71938019"/>
    <s v="MURILLO"/>
    <s v="MORENO"/>
    <s v="ERNESTO"/>
    <s v="DE JESUS"/>
    <s v="VIGILANTE"/>
    <x v="2"/>
    <d v="2021-07-30T00:00:00"/>
    <d v="2021-08-18T00:00:00"/>
    <n v="20"/>
    <m/>
    <s v="VACACIONES"/>
    <m/>
    <m/>
    <m/>
    <m/>
  </r>
  <r>
    <x v="8"/>
    <n v="1001666863"/>
    <s v="VELASQUEZ"/>
    <s v="GOMEZ"/>
    <s v="STIVEN"/>
    <m/>
    <s v="VIGILANTE"/>
    <x v="2"/>
    <d v="2021-07-27T00:00:00"/>
    <d v="2021-08-13T00:00:00"/>
    <n v="18"/>
    <m/>
    <s v="VACACIONES"/>
    <m/>
    <m/>
    <m/>
    <m/>
  </r>
  <r>
    <x v="8"/>
    <n v="70786990"/>
    <s v="LEON"/>
    <s v="JIMENEZ"/>
    <s v="DAYRON"/>
    <s v="DE JESUS"/>
    <s v="VIGILANTE"/>
    <x v="2"/>
    <d v="2021-07-29T00:00:00"/>
    <d v="2021-08-17T00:00:00"/>
    <n v="20"/>
    <m/>
    <s v="VACACIONES"/>
    <m/>
    <m/>
    <m/>
    <m/>
  </r>
  <r>
    <x v="8"/>
    <n v="8414569"/>
    <s v="GAVIRIA"/>
    <s v="BERRIO"/>
    <s v="ARNOLDO"/>
    <m/>
    <s v="VIGILANTE"/>
    <x v="2"/>
    <d v="2021-07-31T00:00:00"/>
    <d v="2021-08-19T00:00:00"/>
    <n v="20"/>
    <m/>
    <s v="VACACIONES"/>
    <m/>
    <m/>
    <m/>
    <m/>
  </r>
  <r>
    <x v="8"/>
    <n v="1036673440"/>
    <s v="ZAPATA"/>
    <s v="MORALES"/>
    <s v="ANGIE"/>
    <s v="PAOLA"/>
    <s v="VIGILANTE"/>
    <x v="2"/>
    <d v="2021-08-02T00:00:00"/>
    <d v="2021-08-20T00:00:00"/>
    <n v="19"/>
    <m/>
    <s v="VACACIONES"/>
    <m/>
    <m/>
    <m/>
    <m/>
  </r>
  <r>
    <x v="8"/>
    <n v="10900408"/>
    <s v="VELASQUEZ"/>
    <s v="HERNANDEZ"/>
    <s v="GUSTAVO"/>
    <s v="ALONSO"/>
    <s v="VIGILANTE"/>
    <x v="2"/>
    <d v="2021-08-09T00:00:00"/>
    <d v="2021-08-26T00:00:00"/>
    <n v="18"/>
    <m/>
    <s v="VACACIONES"/>
    <m/>
    <m/>
    <m/>
    <m/>
  </r>
  <r>
    <x v="8"/>
    <n v="6892121"/>
    <s v="CORREA"/>
    <s v="RUIZ"/>
    <s v="ALVARO"/>
    <s v="DE JESUS"/>
    <s v="VIGILANTE"/>
    <x v="2"/>
    <d v="2021-08-05T00:00:00"/>
    <d v="2021-08-24T00:00:00"/>
    <n v="20"/>
    <m/>
    <s v="VACACIONES"/>
    <m/>
    <m/>
    <m/>
    <m/>
  </r>
  <r>
    <x v="8"/>
    <n v="15458044"/>
    <s v="CARDONA"/>
    <s v="MONTOYA"/>
    <s v="GABRIEL"/>
    <s v="ANGEL"/>
    <s v="VIGILANTE"/>
    <x v="2"/>
    <d v="2021-08-09T00:00:00"/>
    <d v="2021-08-26T00:00:00"/>
    <n v="18"/>
    <m/>
    <s v="VACACIONES"/>
    <m/>
    <m/>
    <m/>
    <m/>
  </r>
  <r>
    <x v="8"/>
    <n v="70563853"/>
    <s v="GARCIA"/>
    <s v="GOMEZ"/>
    <s v="JAIRO"/>
    <s v="ALBERTO"/>
    <s v="VIGILANTE"/>
    <x v="2"/>
    <d v="2021-08-12T00:00:00"/>
    <d v="2021-08-19T00:00:00"/>
    <n v="8"/>
    <m/>
    <s v="VACACIONES"/>
    <m/>
    <m/>
    <m/>
    <m/>
  </r>
  <r>
    <x v="8"/>
    <n v="70563853"/>
    <s v="GARCIA"/>
    <s v="GOMEZ"/>
    <s v="JAIRO"/>
    <s v="ALBERTO"/>
    <s v="VIGILANTE"/>
    <x v="2"/>
    <d v="2021-08-20T00:00:00"/>
    <d v="2021-08-27T00:00:00"/>
    <n v="8"/>
    <m/>
    <s v="VACACIONES"/>
    <m/>
    <m/>
    <m/>
    <m/>
  </r>
  <r>
    <x v="8"/>
    <n v="1017246459"/>
    <s v="ROMERO"/>
    <s v="OSORIO"/>
    <s v="LUIS"/>
    <s v="DAVID"/>
    <s v="VIGILANTE"/>
    <x v="2"/>
    <d v="2021-08-13T00:00:00"/>
    <d v="2021-08-31T00:00:00"/>
    <n v="19"/>
    <m/>
    <s v="VACACIONES"/>
    <m/>
    <m/>
    <m/>
    <m/>
  </r>
  <r>
    <x v="8"/>
    <n v="70220805"/>
    <s v="GOMEZ"/>
    <s v="USMA"/>
    <s v="HENRY"/>
    <s v="ALBERTO"/>
    <s v="VIGILANTE"/>
    <x v="2"/>
    <d v="2021-08-05T00:00:00"/>
    <d v="2021-08-24T00:00:00"/>
    <n v="20"/>
    <m/>
    <s v="VACACIONES"/>
    <m/>
    <m/>
    <m/>
    <m/>
  </r>
  <r>
    <x v="8"/>
    <n v="1128269408"/>
    <s v="CASTAÑO"/>
    <s v="MONTOYA"/>
    <s v="CAROLINA"/>
    <m/>
    <s v="VIGILANTE"/>
    <x v="2"/>
    <d v="2021-08-17T00:00:00"/>
    <d v="2021-09-02T00:00:00"/>
    <n v="17"/>
    <m/>
    <s v="VACACIONES"/>
    <m/>
    <m/>
    <m/>
    <m/>
  </r>
  <r>
    <x v="8"/>
    <n v="1152441472"/>
    <s v="SALDARRIAGA "/>
    <s v="ANGEL"/>
    <s v="YENIFER"/>
    <m/>
    <s v="VIGILANTE"/>
    <x v="0"/>
    <d v="2021-08-13T00:00:00"/>
    <d v="2021-08-17T00:00:00"/>
    <n v="5"/>
    <m/>
    <s v="PERMISO REMUNERADO"/>
    <m/>
    <m/>
    <m/>
    <m/>
  </r>
  <r>
    <x v="8"/>
    <n v="71181543"/>
    <s v="CARMONA"/>
    <s v="PEÑA"/>
    <s v="JORGE"/>
    <s v="NICOLAS"/>
    <s v="VIGILANTE"/>
    <x v="0"/>
    <d v="2021-08-03T00:00:00"/>
    <d v="2021-08-03T00:00:00"/>
    <n v="1"/>
    <m/>
    <s v="PERMISO NO REMUNERADO"/>
    <m/>
    <m/>
    <m/>
    <m/>
  </r>
  <r>
    <x v="8"/>
    <n v="98554838"/>
    <s v="HENAO"/>
    <s v="CARDONA"/>
    <s v="JUAN"/>
    <s v="CARLOS"/>
    <s v="VIGILANTE"/>
    <x v="0"/>
    <d v="2021-08-03T00:00:00"/>
    <d v="2021-08-03T00:00:00"/>
    <n v="1"/>
    <m/>
    <s v="PERMISO NO REMUNERADO"/>
    <m/>
    <m/>
    <m/>
    <m/>
  </r>
  <r>
    <x v="7"/>
    <n v="71719849"/>
    <s v="GARCIA"/>
    <s v="GARCIA"/>
    <s v="JUAN "/>
    <s v="GUILLERMO"/>
    <s v="VIGILANTE"/>
    <x v="0"/>
    <d v="2021-07-31T00:00:00"/>
    <d v="2021-07-31T00:00:00"/>
    <n v="1"/>
    <m/>
    <s v="PERMISO NO REMUNERADO"/>
    <m/>
    <m/>
    <m/>
    <m/>
  </r>
  <r>
    <x v="8"/>
    <n v="1128480310"/>
    <s v="GOEZ"/>
    <s v="GOEZ"/>
    <s v="ANDRES "/>
    <s v="ANTONIO"/>
    <s v="VIGILANTE"/>
    <x v="0"/>
    <d v="2021-08-15T00:00:00"/>
    <d v="2021-08-15T00:00:00"/>
    <n v="1"/>
    <m/>
    <s v="PERMISO NO REMUNERADO"/>
    <m/>
    <m/>
    <m/>
    <m/>
  </r>
  <r>
    <x v="8"/>
    <n v="1214731787"/>
    <s v="ZAPATA"/>
    <s v="TABARES"/>
    <s v="DAILYS"/>
    <s v="VIVIANA"/>
    <s v="VIGILANTE"/>
    <x v="0"/>
    <d v="2021-08-16T00:00:00"/>
    <d v="2021-08-16T00:00:00"/>
    <n v="1"/>
    <m/>
    <s v="PERMISO NO REMUNERADO"/>
    <m/>
    <m/>
    <m/>
    <m/>
  </r>
  <r>
    <x v="8"/>
    <n v="98700987"/>
    <s v="VELASQUEZ"/>
    <s v="ARANGO"/>
    <s v="JULIO "/>
    <s v="CESAR"/>
    <s v="VIGILANTE"/>
    <x v="0"/>
    <d v="2021-08-07T00:00:00"/>
    <d v="2021-08-08T00:00:00"/>
    <n v="2"/>
    <m/>
    <s v="PERMISO NO REMUNERADO"/>
    <m/>
    <m/>
    <m/>
    <m/>
  </r>
  <r>
    <x v="7"/>
    <n v="1116246165"/>
    <s v="HERRERA"/>
    <s v="BONILLA"/>
    <s v="CARLOS"/>
    <s v="ANDRES"/>
    <s v="VIGILANTE"/>
    <x v="0"/>
    <d v="2021-07-19T00:00:00"/>
    <d v="2021-07-24T00:00:00"/>
    <n v="6"/>
    <m/>
    <s v="LICENCIA DE LUTO"/>
    <m/>
    <m/>
    <m/>
    <m/>
  </r>
  <r>
    <x v="8"/>
    <n v="1152198374"/>
    <s v="PEREZ"/>
    <s v="MESA"/>
    <s v="BRAYIAM"/>
    <m/>
    <s v="VIGILANTE"/>
    <x v="1"/>
    <d v="2021-08-16T00:00:00"/>
    <d v="2021-08-18T00:00:00"/>
    <n v="3"/>
    <n v="10"/>
    <s v="PRIMERA VEZ"/>
    <m/>
    <m/>
    <m/>
    <m/>
  </r>
  <r>
    <x v="8"/>
    <n v="1026303619"/>
    <s v="ORDOÑEZ"/>
    <s v="ORTEGA"/>
    <s v="YAMIR"/>
    <m/>
    <s v="VIGILANTE"/>
    <x v="0"/>
    <d v="2021-08-16T00:00:00"/>
    <d v="2021-09-15T00:00:00"/>
    <n v="31"/>
    <m/>
    <s v="PERMISO NO REMUNERADO"/>
    <m/>
    <m/>
    <m/>
    <m/>
  </r>
  <r>
    <x v="8"/>
    <n v="98711080"/>
    <s v="ACEVEDO "/>
    <s v="GALLEGO"/>
    <s v="DUVAN"/>
    <s v="GUILLERMO"/>
    <s v="VIGILANTE"/>
    <x v="2"/>
    <d v="2021-08-17T00:00:00"/>
    <d v="2021-08-24T00:00:00"/>
    <n v="8"/>
    <m/>
    <s v="VACACIONES"/>
    <m/>
    <m/>
    <m/>
    <m/>
  </r>
  <r>
    <x v="8"/>
    <n v="98643777"/>
    <s v="MORENO"/>
    <s v="GONZALEZ"/>
    <s v="JOHN"/>
    <s v="ALEXANDER"/>
    <s v="VIGILANTE"/>
    <x v="2"/>
    <d v="2021-08-10T00:00:00"/>
    <d v="2021-08-27T00:00:00"/>
    <n v="18"/>
    <m/>
    <s v="VACACIONES"/>
    <m/>
    <m/>
    <m/>
    <m/>
  </r>
  <r>
    <x v="8"/>
    <n v="3523310"/>
    <s v="MONSALVE"/>
    <s v="DUQUE"/>
    <s v="WILMAR "/>
    <s v="ALEXIS"/>
    <s v="VIGILANTE"/>
    <x v="2"/>
    <d v="2021-08-13T00:00:00"/>
    <d v="2021-08-31T00:00:00"/>
    <n v="19"/>
    <m/>
    <s v="VACACIONES"/>
    <m/>
    <m/>
    <m/>
    <m/>
  </r>
  <r>
    <x v="8"/>
    <n v="71170960"/>
    <s v="RUA"/>
    <s v="GOMEZ"/>
    <s v="GILBERTO "/>
    <s v="ANTONIO"/>
    <s v="VIGILANTE"/>
    <x v="0"/>
    <d v="2021-08-03T00:00:00"/>
    <d v="2021-08-07T00:00:00"/>
    <n v="5"/>
    <m/>
    <s v="LICENCIA DE LUTO"/>
    <m/>
    <m/>
    <m/>
    <m/>
  </r>
  <r>
    <x v="8"/>
    <n v="70501443"/>
    <s v="MONSALVE"/>
    <s v="GARCIA"/>
    <s v="ALBERTO"/>
    <s v="DE LOS MILAGROS"/>
    <s v="COORDINADOR"/>
    <x v="2"/>
    <d v="2021-08-13T00:00:00"/>
    <d v="2021-08-31T00:00:00"/>
    <n v="19"/>
    <m/>
    <s v="VACACIONES"/>
    <m/>
    <m/>
    <m/>
    <m/>
  </r>
  <r>
    <x v="8"/>
    <n v="10536914"/>
    <s v="COSSIO"/>
    <s v="OSPINA"/>
    <s v="PASCUAL"/>
    <s v="VICENTE"/>
    <s v="VIGILANTE"/>
    <x v="0"/>
    <d v="2021-08-18T00:00:00"/>
    <d v="2021-08-18T00:00:00"/>
    <n v="1"/>
    <m/>
    <s v="PERMISO NO REMUNERADO"/>
    <m/>
    <m/>
    <m/>
    <m/>
  </r>
  <r>
    <x v="8"/>
    <n v="98704948"/>
    <s v="RESTREPO"/>
    <s v="URIBE"/>
    <s v="CARLOS"/>
    <s v="MARIO"/>
    <s v="VIGILANTE"/>
    <x v="2"/>
    <d v="2021-08-17T00:00:00"/>
    <d v="2021-09-02T00:00:00"/>
    <n v="17"/>
    <m/>
    <s v="VACACIONES"/>
    <m/>
    <m/>
    <m/>
    <m/>
  </r>
  <r>
    <x v="8"/>
    <n v="98495506"/>
    <s v="BUILES"/>
    <s v="RESTREPO"/>
    <s v="MARTIN"/>
    <s v="ORLANDO"/>
    <s v="VIGILANTE"/>
    <x v="2"/>
    <d v="2021-08-17T00:00:00"/>
    <d v="2021-08-24T00:00:00"/>
    <n v="8"/>
    <m/>
    <s v="VACACIONES"/>
    <m/>
    <m/>
    <m/>
    <m/>
  </r>
  <r>
    <x v="8"/>
    <n v="98495506"/>
    <s v="BUILES"/>
    <s v="RESTREPO"/>
    <s v="MARTIN"/>
    <s v="ORLANDO"/>
    <s v="VIGILANTE"/>
    <x v="2"/>
    <d v="2021-08-25T00:00:00"/>
    <d v="2021-09-01T00:00:00"/>
    <n v="8"/>
    <m/>
    <s v="VACACIONES"/>
    <m/>
    <m/>
    <m/>
    <m/>
  </r>
  <r>
    <x v="8"/>
    <n v="71781456"/>
    <s v="TEJADA"/>
    <s v="ATILANO"/>
    <s v="HENRY"/>
    <s v="ALBERTO"/>
    <s v="VIGILANTE"/>
    <x v="1"/>
    <d v="2021-08-17T00:00:00"/>
    <d v="2021-08-17T00:00:00"/>
    <n v="1"/>
    <n v="6"/>
    <s v="PRIMERA VEZ"/>
    <m/>
    <m/>
    <m/>
    <m/>
  </r>
  <r>
    <x v="8"/>
    <n v="15387295"/>
    <s v="GARCIA"/>
    <s v="MORENO"/>
    <s v="HECTOR"/>
    <s v="ADRIAN"/>
    <s v="VIGILANTE"/>
    <x v="0"/>
    <d v="2021-08-28T00:00:00"/>
    <d v="2021-08-28T00:00:00"/>
    <n v="1"/>
    <m/>
    <s v="PERMISO NO REMUNERADO"/>
    <m/>
    <m/>
    <m/>
    <m/>
  </r>
  <r>
    <x v="7"/>
    <n v="98498505"/>
    <s v="URANGO"/>
    <s v="PADRON"/>
    <s v="SILFREDO"/>
    <m/>
    <s v="VIGILANTE"/>
    <x v="0"/>
    <d v="2021-07-24T00:00:00"/>
    <d v="2021-07-29T00:00:00"/>
    <n v="6"/>
    <m/>
    <s v="LICENCIA DE LUTO"/>
    <m/>
    <m/>
    <m/>
    <m/>
  </r>
  <r>
    <x v="8"/>
    <n v="15435083"/>
    <s v="HENAO"/>
    <s v="MARIN"/>
    <s v="JOSE"/>
    <s v="RAUL"/>
    <s v="VIGILANTE"/>
    <x v="2"/>
    <d v="2021-08-13T00:00:00"/>
    <d v="2021-08-31T00:00:00"/>
    <n v="19"/>
    <m/>
    <s v="VACACIONES"/>
    <m/>
    <m/>
    <m/>
    <m/>
  </r>
  <r>
    <x v="8"/>
    <n v="98498505"/>
    <s v="URANGO "/>
    <s v="PADRON"/>
    <s v="SILFREDO"/>
    <m/>
    <s v="VIGILANTE"/>
    <x v="2"/>
    <d v="2021-08-10T00:00:00"/>
    <d v="2021-08-27T00:00:00"/>
    <n v="18"/>
    <m/>
    <s v="VACACIONES"/>
    <m/>
    <m/>
    <m/>
    <m/>
  </r>
  <r>
    <x v="8"/>
    <n v="71494717"/>
    <s v="ZAPATA"/>
    <s v="RESTREPO"/>
    <s v="OSCAR"/>
    <s v="DARIO"/>
    <s v="VIGILANTE"/>
    <x v="1"/>
    <d v="2021-08-18T00:00:00"/>
    <d v="2021-08-18T00:00:00"/>
    <n v="1"/>
    <n v="4"/>
    <s v="PRIMERA VEZ"/>
    <m/>
    <m/>
    <m/>
    <m/>
  </r>
  <r>
    <x v="8"/>
    <n v="1039758970"/>
    <s v="SANCHEZ"/>
    <m/>
    <s v="ELKIN"/>
    <s v="ANDRES"/>
    <s v="VIGILANTE"/>
    <x v="1"/>
    <d v="2021-08-19T00:00:00"/>
    <d v="2021-08-19T00:00:00"/>
    <n v="1"/>
    <n v="4"/>
    <s v="SEGUNDA VEZ"/>
    <m/>
    <m/>
    <m/>
    <m/>
  </r>
  <r>
    <x v="8"/>
    <n v="98453736"/>
    <s v="JARAMILLO"/>
    <s v="JESUS"/>
    <s v="ANIBAL "/>
    <m/>
    <s v="VIGILANTE"/>
    <x v="0"/>
    <d v="2021-08-09T00:00:00"/>
    <d v="2021-08-13T00:00:00"/>
    <n v="5"/>
    <m/>
    <s v="LICENCIA DE LUTO"/>
    <m/>
    <m/>
    <m/>
    <m/>
  </r>
  <r>
    <x v="8"/>
    <n v="8472629"/>
    <s v="AGUDELO"/>
    <s v="GONZALEZ"/>
    <s v="ALIRIO"/>
    <s v="DE JESUS"/>
    <s v="VIGILANTE"/>
    <x v="0"/>
    <d v="2021-08-16T00:00:00"/>
    <d v="2021-08-16T00:00:00"/>
    <n v="1"/>
    <m/>
    <s v="PERMISO NO REMUNERADO"/>
    <m/>
    <m/>
    <m/>
    <m/>
  </r>
  <r>
    <x v="8"/>
    <n v="43709768"/>
    <s v="CASTRO"/>
    <s v="MARIN"/>
    <s v="DIANA"/>
    <s v="MARIA"/>
    <s v="VIGILANTE"/>
    <x v="0"/>
    <d v="2021-08-10T00:00:00"/>
    <d v="2021-08-10T00:00:00"/>
    <n v="1"/>
    <m/>
    <s v="PERMISO REMUNERADO"/>
    <m/>
    <m/>
    <m/>
    <m/>
  </r>
  <r>
    <x v="8"/>
    <n v="21553683"/>
    <s v="MARTINEZ"/>
    <s v="PUERTA"/>
    <s v="ALBA"/>
    <s v="DOLLY"/>
    <s v="VIGILANTE"/>
    <x v="2"/>
    <d v="2021-08-18T00:00:00"/>
    <d v="2021-09-03T00:00:00"/>
    <n v="17"/>
    <m/>
    <s v="VACACIONES"/>
    <m/>
    <m/>
    <m/>
    <m/>
  </r>
  <r>
    <x v="8"/>
    <n v="1010060242"/>
    <s v="IBAÑEZ"/>
    <s v="IBARRA"/>
    <s v="FRANKLIN"/>
    <m/>
    <s v="VIGILANTE"/>
    <x v="2"/>
    <d v="2021-08-17T00:00:00"/>
    <d v="2021-09-02T00:00:00"/>
    <n v="17"/>
    <m/>
    <s v="VACACIONES"/>
    <m/>
    <m/>
    <m/>
    <m/>
  </r>
  <r>
    <x v="8"/>
    <n v="71267562"/>
    <s v="DURANGO"/>
    <s v="BERRIO"/>
    <s v="JAVIER"/>
    <s v="DARIO"/>
    <s v="VIGILANTE"/>
    <x v="2"/>
    <d v="2021-08-21T00:00:00"/>
    <d v="2021-09-07T00:00:00"/>
    <n v="18"/>
    <m/>
    <s v="VACACIONES"/>
    <m/>
    <m/>
    <m/>
    <m/>
  </r>
  <r>
    <x v="8"/>
    <n v="8364054"/>
    <s v="GUTIERREZ"/>
    <s v="BARON"/>
    <s v="FRANCISCO "/>
    <s v="MANUEL"/>
    <s v="VIGILANTE"/>
    <x v="2"/>
    <d v="2021-08-20T00:00:00"/>
    <d v="2021-09-06T00:00:00"/>
    <n v="18"/>
    <m/>
    <s v="VACACIONES"/>
    <m/>
    <m/>
    <m/>
    <m/>
  </r>
  <r>
    <x v="8"/>
    <n v="1035420061"/>
    <s v="BENITEZ"/>
    <s v="PEÑA"/>
    <s v="JONATHAN"/>
    <s v="STIVE"/>
    <s v="VIGILANTE"/>
    <x v="2"/>
    <d v="2021-08-18T00:00:00"/>
    <d v="2021-08-25T00:00:00"/>
    <n v="8"/>
    <m/>
    <s v="VACACIONES"/>
    <m/>
    <m/>
    <m/>
    <m/>
  </r>
  <r>
    <x v="8"/>
    <n v="1035420061"/>
    <s v="BENITEZ"/>
    <s v="PEÑA"/>
    <s v="JONATHAN"/>
    <s v="STIVE"/>
    <s v="VIGILANTE"/>
    <x v="2"/>
    <d v="2021-08-26T00:00:00"/>
    <d v="2021-09-02T00:00:00"/>
    <n v="8"/>
    <m/>
    <s v="VACACIONES"/>
    <m/>
    <m/>
    <m/>
    <m/>
  </r>
  <r>
    <x v="8"/>
    <n v="71976058"/>
    <s v="FLOREZ"/>
    <s v="PERTUZ"/>
    <s v="MARIO"/>
    <s v="ELICEO"/>
    <s v="VIGILANTE"/>
    <x v="2"/>
    <d v="2021-08-18T00:00:00"/>
    <d v="2021-09-03T00:00:00"/>
    <n v="17"/>
    <m/>
    <s v="VACACIONES"/>
    <m/>
    <m/>
    <m/>
    <m/>
  </r>
  <r>
    <x v="8"/>
    <n v="1100622217"/>
    <s v="HERAZO"/>
    <s v="PEREZ"/>
    <s v="JOSE"/>
    <s v="DAVID"/>
    <s v="VIGILANTE"/>
    <x v="2"/>
    <d v="2021-08-19T00:00:00"/>
    <d v="2021-09-04T00:00:00"/>
    <n v="17"/>
    <m/>
    <s v="VACACIONES"/>
    <m/>
    <m/>
    <m/>
    <m/>
  </r>
  <r>
    <x v="8"/>
    <n v="71650158"/>
    <s v="RAMIREZ"/>
    <s v="ARBOLEDA"/>
    <s v="JOHN"/>
    <s v="JAIRO"/>
    <s v="VIGILANTE"/>
    <x v="2"/>
    <d v="2021-08-17T00:00:00"/>
    <d v="2021-09-02T00:00:00"/>
    <n v="17"/>
    <m/>
    <s v="VACACIONES"/>
    <m/>
    <m/>
    <m/>
    <m/>
  </r>
  <r>
    <x v="8"/>
    <n v="1054549972"/>
    <s v="GOMEZ"/>
    <s v="GIRALDO"/>
    <s v="CRISTIAN "/>
    <s v="ANDRES"/>
    <s v="VIGILANTE"/>
    <x v="2"/>
    <d v="2021-08-17T00:00:00"/>
    <d v="2021-09-02T00:00:00"/>
    <n v="17"/>
    <m/>
    <s v="VACACIONES"/>
    <m/>
    <m/>
    <m/>
    <m/>
  </r>
  <r>
    <x v="8"/>
    <n v="1152441472"/>
    <s v="SALDARRIAGA"/>
    <s v="ANGEL"/>
    <s v="JENIFER"/>
    <m/>
    <s v="VIGILANTE"/>
    <x v="2"/>
    <d v="2021-08-18T00:00:00"/>
    <d v="2021-09-03T00:00:00"/>
    <n v="17"/>
    <m/>
    <s v="VACACIONES"/>
    <m/>
    <m/>
    <m/>
    <m/>
  </r>
  <r>
    <x v="8"/>
    <n v="98487368"/>
    <s v="RUEDA"/>
    <s v="GIRALDO"/>
    <s v="CARLOS"/>
    <s v="ALBERTO"/>
    <s v="VIGILANTE"/>
    <x v="2"/>
    <d v="2021-08-23T00:00:00"/>
    <d v="2021-09-08T00:00:00"/>
    <n v="17"/>
    <m/>
    <s v="VACACIONES"/>
    <m/>
    <m/>
    <m/>
    <m/>
  </r>
  <r>
    <x v="8"/>
    <n v="71875868"/>
    <s v="CARDONA"/>
    <s v="TIRADO"/>
    <s v="JORGE"/>
    <s v="ALIRIO"/>
    <s v="VIGILANTE"/>
    <x v="2"/>
    <d v="2021-08-17T00:00:00"/>
    <d v="2021-09-02T00:00:00"/>
    <n v="17"/>
    <m/>
    <s v="VACACIONES"/>
    <m/>
    <m/>
    <m/>
    <m/>
  </r>
  <r>
    <x v="8"/>
    <n v="1037269695"/>
    <s v="HENAO"/>
    <s v="GOEZ"/>
    <s v="ALEX"/>
    <s v="ORLANDO"/>
    <s v="VIGILANTE"/>
    <x v="2"/>
    <d v="2021-08-17T00:00:00"/>
    <d v="2021-08-24T00:00:00"/>
    <n v="8"/>
    <m/>
    <s v="VACACIONES"/>
    <m/>
    <m/>
    <m/>
    <m/>
  </r>
  <r>
    <x v="8"/>
    <n v="1037269695"/>
    <s v="HENAO"/>
    <s v="GOEZ"/>
    <s v="ALEX"/>
    <s v="ORLANDO"/>
    <s v="VIGILANTE"/>
    <x v="2"/>
    <d v="2021-08-25T00:00:00"/>
    <d v="2021-09-01T00:00:00"/>
    <n v="8"/>
    <m/>
    <s v="VACACIONES"/>
    <m/>
    <m/>
    <m/>
    <m/>
  </r>
  <r>
    <x v="8"/>
    <n v="8414569"/>
    <s v="GAVIRIA"/>
    <s v="BERRIO"/>
    <s v="ARNOLDO"/>
    <m/>
    <s v="VIGILANTE"/>
    <x v="0"/>
    <d v="2021-08-20T00:00:00"/>
    <d v="2021-08-29T00:00:00"/>
    <n v="10"/>
    <m/>
    <s v="PERMISO NO REMUNERADO"/>
    <m/>
    <m/>
    <m/>
    <m/>
  </r>
  <r>
    <x v="8"/>
    <n v="1216723829"/>
    <s v="ARANGO "/>
    <s v="FLOREZ"/>
    <s v="MARLON"/>
    <s v="DARIO"/>
    <s v="VIGILANTE"/>
    <x v="0"/>
    <d v="2021-08-23T00:00:00"/>
    <d v="2021-08-23T00:00:00"/>
    <n v="1"/>
    <m/>
    <s v="PERMISO NO REMUNERADO"/>
    <m/>
    <m/>
    <m/>
    <m/>
  </r>
  <r>
    <x v="8"/>
    <n v="1152441472"/>
    <s v="SALDARRIAGA"/>
    <s v="ANGEL"/>
    <s v="YENIFER"/>
    <m/>
    <s v="VIGILANTE"/>
    <x v="0"/>
    <d v="2021-08-13T00:00:00"/>
    <d v="2021-08-17T00:00:00"/>
    <n v="5"/>
    <m/>
    <s v="PERMISO REMUNERADO"/>
    <m/>
    <m/>
    <m/>
    <m/>
  </r>
  <r>
    <x v="8"/>
    <n v="37577994"/>
    <s v="BENITEZ"/>
    <s v="MONSALVE"/>
    <s v="SOLIRIS"/>
    <m/>
    <s v="VIGILANTE"/>
    <x v="0"/>
    <d v="2021-08-18T00:00:00"/>
    <d v="2021-08-18T00:00:00"/>
    <n v="1"/>
    <m/>
    <s v="PERMISO NO REMUNERADO"/>
    <m/>
    <m/>
    <m/>
    <m/>
  </r>
  <r>
    <x v="8"/>
    <n v="1020460677"/>
    <s v="ARBOLEDA"/>
    <s v="GALLEGO"/>
    <s v="ESTIVEN"/>
    <m/>
    <s v="VIGILANTE"/>
    <x v="0"/>
    <d v="2021-08-07T00:00:00"/>
    <d v="2021-08-08T00:00:00"/>
    <n v="2"/>
    <m/>
    <s v="PERMISO NO REMUNERADO"/>
    <m/>
    <m/>
    <m/>
    <m/>
  </r>
  <r>
    <x v="8"/>
    <n v="71650158"/>
    <s v="RAMIREZ "/>
    <s v="ARBOLEDA "/>
    <s v="JOHN "/>
    <s v="JAIRO"/>
    <s v="VIGILANTE"/>
    <x v="0"/>
    <d v="2021-08-11T00:00:00"/>
    <d v="2021-08-15T00:00:00"/>
    <n v="5"/>
    <m/>
    <s v="PERMISO REMUNERADO"/>
    <m/>
    <m/>
    <m/>
    <m/>
  </r>
  <r>
    <x v="8"/>
    <n v="1020408039"/>
    <s v="RAMIREZ "/>
    <s v="ARREDONDO"/>
    <s v="ALEXANDER"/>
    <m/>
    <s v="VIGILANTE"/>
    <x v="2"/>
    <d v="2021-08-23T00:00:00"/>
    <d v="2021-09-08T00:00:00"/>
    <n v="17"/>
    <m/>
    <s v="VACACIONES"/>
    <m/>
    <m/>
    <m/>
    <m/>
  </r>
  <r>
    <x v="8"/>
    <n v="98487368"/>
    <s v="RUEDA"/>
    <s v="GIRALDO"/>
    <s v="CARLOS "/>
    <s v="ALBERTO"/>
    <s v="VIGILANTE"/>
    <x v="2"/>
    <d v="2021-08-23T00:00:00"/>
    <d v="2021-08-30T00:00:00"/>
    <n v="8"/>
    <m/>
    <s v="VACACIONES"/>
    <m/>
    <m/>
    <m/>
    <m/>
  </r>
  <r>
    <x v="8"/>
    <n v="11955339"/>
    <s v="VELEZ"/>
    <s v="BUSTAMANTE"/>
    <s v="JULIO"/>
    <s v="HERNAN"/>
    <s v="VIGILANTE"/>
    <x v="2"/>
    <d v="2021-08-20T00:00:00"/>
    <d v="2021-09-06T00:00:00"/>
    <n v="18"/>
    <m/>
    <s v="VACACIONES"/>
    <m/>
    <m/>
    <m/>
    <m/>
  </r>
  <r>
    <x v="8"/>
    <n v="78715778"/>
    <s v="GARCES"/>
    <s v="ALEMAN"/>
    <s v="CARLOS"/>
    <s v="MIGUEL"/>
    <s v="VIGILANTE"/>
    <x v="2"/>
    <d v="2021-08-20T00:00:00"/>
    <d v="2021-08-27T00:00:00"/>
    <n v="8"/>
    <m/>
    <s v="VACACIONES"/>
    <m/>
    <m/>
    <m/>
    <m/>
  </r>
  <r>
    <x v="8"/>
    <n v="78715778"/>
    <s v="GARCES"/>
    <s v="ALEMAN"/>
    <s v="CARLOS"/>
    <s v="MIGUEL"/>
    <s v="VIGILANTE"/>
    <x v="2"/>
    <d v="2021-08-28T00:00:00"/>
    <d v="2021-09-04T00:00:00"/>
    <n v="8"/>
    <m/>
    <s v="VACACIONES"/>
    <m/>
    <m/>
    <m/>
    <m/>
  </r>
  <r>
    <x v="8"/>
    <n v="1036649702"/>
    <s v="SEGURO"/>
    <s v="GIRALDO"/>
    <s v="JHON"/>
    <s v="EDUARD"/>
    <s v="VIGILANTE"/>
    <x v="2"/>
    <d v="2021-08-23T00:00:00"/>
    <d v="2021-09-08T00:00:00"/>
    <n v="17"/>
    <m/>
    <s v="VACACIONES"/>
    <m/>
    <m/>
    <m/>
    <m/>
  </r>
  <r>
    <x v="8"/>
    <n v="1020393277"/>
    <s v="GARCIA"/>
    <s v="QUINTERO"/>
    <s v="DIEGO"/>
    <s v="ALEXANDER"/>
    <s v="VIGILANTE"/>
    <x v="2"/>
    <d v="2021-08-23T00:00:00"/>
    <d v="2021-09-08T00:00:00"/>
    <n v="17"/>
    <m/>
    <s v="VACACIONES"/>
    <m/>
    <m/>
    <m/>
    <m/>
  </r>
  <r>
    <x v="8"/>
    <n v="1036637081"/>
    <s v="ARBOLEDA"/>
    <s v="ORTIZ"/>
    <s v="HUGO"/>
    <s v="ALEXANDER"/>
    <s v="VIGILANTE"/>
    <x v="2"/>
    <d v="2021-08-19T00:00:00"/>
    <d v="2021-09-04T00:00:00"/>
    <n v="17"/>
    <m/>
    <s v="VACACIONES"/>
    <m/>
    <m/>
    <m/>
    <m/>
  </r>
  <r>
    <x v="8"/>
    <n v="71262184"/>
    <s v="GARCIA"/>
    <s v="ROA"/>
    <s v="JUAN"/>
    <s v="GABRIEL"/>
    <s v="VIGILANTE"/>
    <x v="2"/>
    <d v="2021-08-18T00:00:00"/>
    <d v="2021-09-03T00:00:00"/>
    <n v="17"/>
    <m/>
    <s v="VACACIONES"/>
    <m/>
    <m/>
    <m/>
    <m/>
  </r>
  <r>
    <x v="8"/>
    <n v="1028000149"/>
    <s v="POTES"/>
    <s v="MARTINEZ"/>
    <s v="CARLOS"/>
    <s v="ALBERTO"/>
    <s v="VIGILANTE"/>
    <x v="2"/>
    <d v="2021-08-23T00:00:00"/>
    <d v="2021-09-08T00:00:00"/>
    <n v="17"/>
    <m/>
    <s v="VACACIONES"/>
    <m/>
    <m/>
    <m/>
    <m/>
  </r>
  <r>
    <x v="8"/>
    <n v="1054567241"/>
    <s v="NORIEGA"/>
    <s v="TORRES"/>
    <s v="JORGE"/>
    <s v="MANUEL"/>
    <s v="VIGILANTE"/>
    <x v="1"/>
    <d v="2021-08-26T00:00:00"/>
    <d v="2021-08-30T00:00:00"/>
    <n v="5"/>
    <n v="1"/>
    <s v="PRIMERA VEZ"/>
    <m/>
    <m/>
    <m/>
    <m/>
  </r>
  <r>
    <x v="8"/>
    <n v="71379947"/>
    <s v="AGUDELO"/>
    <s v="ZAPATA"/>
    <s v="YEISON"/>
    <s v="DE JESUS"/>
    <s v="VIGILANTE"/>
    <x v="1"/>
    <d v="2021-08-29T00:00:00"/>
    <d v="2021-09-02T00:00:00"/>
    <n v="5"/>
    <n v="1"/>
    <s v="PRIMERA VEZ"/>
    <m/>
    <m/>
    <m/>
    <m/>
  </r>
  <r>
    <x v="8"/>
    <n v="1148697472"/>
    <s v="GONZALEZ"/>
    <s v="MEJIA"/>
    <s v="SEBASTIAN"/>
    <m/>
    <s v="VIGILANTE"/>
    <x v="2"/>
    <d v="2021-08-25T00:00:00"/>
    <d v="2021-09-10T00:00:00"/>
    <n v="17"/>
    <m/>
    <s v="VACACIONES"/>
    <m/>
    <m/>
    <m/>
    <m/>
  </r>
  <r>
    <x v="8"/>
    <n v="70162686"/>
    <s v="PARRA"/>
    <s v="SALAZAR"/>
    <s v="LEOCADIO"/>
    <s v="ANTONIO"/>
    <s v="VIGILANTE"/>
    <x v="2"/>
    <d v="2021-08-28T00:00:00"/>
    <d v="2021-09-04T00:00:00"/>
    <n v="8"/>
    <m/>
    <s v="VACACIONES"/>
    <m/>
    <m/>
    <m/>
    <m/>
  </r>
  <r>
    <x v="8"/>
    <n v="70162686"/>
    <s v="PARRA"/>
    <s v="SALAZAR"/>
    <s v="LEOCADIO"/>
    <s v="ANTONIO"/>
    <s v="VIGILANTE"/>
    <x v="2"/>
    <d v="2021-09-05T00:00:00"/>
    <d v="2021-09-12T00:00:00"/>
    <n v="8"/>
    <m/>
    <s v="VACACIONES"/>
    <m/>
    <m/>
    <m/>
    <m/>
  </r>
  <r>
    <x v="8"/>
    <n v="15512978"/>
    <s v="RODRIGUEZ"/>
    <s v="POSADA"/>
    <s v="FRANCISCO"/>
    <s v="DAVID"/>
    <s v="VIGILANTE"/>
    <x v="0"/>
    <d v="2021-08-28T00:00:00"/>
    <d v="2021-08-28T00:00:00"/>
    <n v="1"/>
    <m/>
    <s v="PERMISO NO REMUNERADO"/>
    <m/>
    <m/>
    <m/>
    <m/>
  </r>
  <r>
    <x v="8"/>
    <n v="1067936750"/>
    <s v="ALVAREZ"/>
    <s v="SALGADO"/>
    <s v="JORGE"/>
    <s v="ELIECER"/>
    <s v="VIGILANTE"/>
    <x v="2"/>
    <d v="2021-08-23T00:00:00"/>
    <d v="2021-09-08T00:00:00"/>
    <n v="17"/>
    <m/>
    <s v="VACACIONES"/>
    <m/>
    <m/>
    <m/>
    <m/>
  </r>
  <r>
    <x v="8"/>
    <n v="98500553"/>
    <s v="FIGUEROA"/>
    <s v="DAVID"/>
    <s v="IVAN "/>
    <s v="FERNANDO"/>
    <s v="VIGILANTE"/>
    <x v="2"/>
    <d v="2021-08-06T00:00:00"/>
    <d v="2021-08-21T00:00:00"/>
    <n v="16"/>
    <m/>
    <s v="VACACIONES"/>
    <m/>
    <m/>
    <m/>
    <m/>
  </r>
  <r>
    <x v="8"/>
    <n v="1037607008"/>
    <s v="RESTREPO"/>
    <s v="MORALES"/>
    <s v="DEIVIS"/>
    <s v="ALEXANDER"/>
    <s v="VIGILANTE"/>
    <x v="0"/>
    <d v="2021-08-20T00:00:00"/>
    <d v="2021-08-24T00:00:00"/>
    <n v="5"/>
    <m/>
    <s v="LICENCIA DE LUTO"/>
    <m/>
    <m/>
    <m/>
    <m/>
  </r>
  <r>
    <x v="8"/>
    <n v="1000289988"/>
    <s v="LONDOÑO"/>
    <s v="CASTAÑO"/>
    <s v="JULIAN"/>
    <s v="ANDREY"/>
    <s v="VIGILANTE"/>
    <x v="1"/>
    <d v="2021-08-30T00:00:00"/>
    <d v="2021-08-30T00:00:00"/>
    <n v="1"/>
    <n v="4"/>
    <s v="PRIMERA VEZ"/>
    <m/>
    <m/>
    <m/>
    <m/>
  </r>
  <r>
    <x v="8"/>
    <n v="71762788"/>
    <s v="PEREIRA"/>
    <s v="QUINTERO"/>
    <s v="CARLOS "/>
    <s v="DAVID"/>
    <s v="VIGILANTE"/>
    <x v="0"/>
    <d v="2021-08-12T00:00:00"/>
    <d v="2021-08-15T00:00:00"/>
    <n v="4"/>
    <m/>
    <s v="LICENCIA DE LUTO"/>
    <m/>
    <m/>
    <m/>
    <m/>
  </r>
  <r>
    <x v="8"/>
    <n v="1001031850"/>
    <s v="MALMACEA"/>
    <s v="SIERRA"/>
    <s v="CARLOS"/>
    <s v="ENRIQUE"/>
    <s v="VIGILANTE"/>
    <x v="0"/>
    <d v="2021-09-01T00:00:00"/>
    <d v="2021-09-01T00:00:00"/>
    <n v="1"/>
    <m/>
    <s v="PERMISO NO REMUNERADO"/>
    <m/>
    <m/>
    <m/>
    <m/>
  </r>
  <r>
    <x v="8"/>
    <n v="15403728"/>
    <s v="OROZCO"/>
    <s v="DUQUE"/>
    <s v="RAUL"/>
    <m/>
    <s v="VIGILANTE"/>
    <x v="0"/>
    <d v="2021-09-01T00:00:00"/>
    <d v="2021-09-01T00:00:00"/>
    <n v="1"/>
    <m/>
    <s v="PERMISO NO REMUNERADO"/>
    <s v=" "/>
    <m/>
    <m/>
    <m/>
  </r>
  <r>
    <x v="8"/>
    <n v="71625464"/>
    <s v="SEPULVEDA"/>
    <s v="ORTIZ"/>
    <s v="LEON"/>
    <s v="JAIRO"/>
    <s v="VIGILANTE"/>
    <x v="1"/>
    <d v="2021-08-30T00:00:00"/>
    <d v="2021-09-03T00:00:00"/>
    <n v="5"/>
    <m/>
    <s v="TERCERA VEZ"/>
    <m/>
    <m/>
    <m/>
    <m/>
  </r>
  <r>
    <x v="8"/>
    <n v="1020397739"/>
    <s v="VELEZ"/>
    <s v="HERNANDEZ"/>
    <s v="BYRON"/>
    <m/>
    <s v="VIGILANTE"/>
    <x v="2"/>
    <d v="2021-08-31T00:00:00"/>
    <d v="2021-09-16T00:00:00"/>
    <n v="17"/>
    <m/>
    <s v="VACACIONES"/>
    <m/>
    <m/>
    <m/>
    <m/>
  </r>
  <r>
    <x v="8"/>
    <n v="70550977"/>
    <s v="RIOS"/>
    <s v="GOMEZ"/>
    <s v="JORGE"/>
    <s v="ELIECER"/>
    <s v="VIGILANTE"/>
    <x v="2"/>
    <d v="2021-08-25T00:00:00"/>
    <d v="2021-09-10T00:00:00"/>
    <n v="17"/>
    <m/>
    <s v="VACACIONES"/>
    <m/>
    <m/>
    <m/>
    <m/>
  </r>
  <r>
    <x v="8"/>
    <n v="1001808537"/>
    <s v="ROMAN"/>
    <s v="CANO"/>
    <s v="SANTIAGO"/>
    <m/>
    <s v="VIGILANTE"/>
    <x v="1"/>
    <d v="2021-08-31T00:00:00"/>
    <d v="2021-08-31T00:00:00"/>
    <n v="1"/>
    <n v="4"/>
    <s v="PRIMERA VEZ"/>
    <m/>
    <m/>
    <m/>
    <m/>
  </r>
  <r>
    <x v="9"/>
    <n v="1066574545"/>
    <s v="ARRIETA"/>
    <s v="MARTINEZ"/>
    <s v="LUISA"/>
    <s v="FERNANDA"/>
    <s v="VIGILANTE"/>
    <x v="1"/>
    <d v="2021-09-01T00:00:00"/>
    <d v="2021-09-01T00:00:00"/>
    <n v="1"/>
    <n v="4"/>
    <s v="PRIMERA VEZ"/>
    <m/>
    <m/>
    <m/>
    <m/>
  </r>
  <r>
    <x v="9"/>
    <n v="8175532"/>
    <s v="GARCIA "/>
    <s v="GALLEGO"/>
    <s v="CRISTIAN"/>
    <m/>
    <s v="VIGILANTE"/>
    <x v="1"/>
    <d v="2021-09-01T00:00:00"/>
    <d v="2021-09-01T00:00:00"/>
    <n v="1"/>
    <n v="6"/>
    <s v="PRIMERA VEZ"/>
    <m/>
    <m/>
    <m/>
    <m/>
  </r>
  <r>
    <x v="9"/>
    <n v="71181543"/>
    <s v="CARMONA"/>
    <s v="PEÑA"/>
    <s v="JORGE"/>
    <s v="NICOLAS"/>
    <s v="VIGILANTE"/>
    <x v="2"/>
    <d v="2021-09-01T00:00:00"/>
    <d v="2021-09-17T00:00:00"/>
    <n v="17"/>
    <m/>
    <s v="VACACIONES"/>
    <m/>
    <m/>
    <m/>
    <m/>
  </r>
  <r>
    <x v="9"/>
    <n v="43592081"/>
    <s v="URREA"/>
    <s v="SEPULVEDA"/>
    <s v="ANGELA"/>
    <s v="EMMA"/>
    <s v="VIGILANTE"/>
    <x v="2"/>
    <d v="2021-09-01T00:00:00"/>
    <d v="2021-09-17T00:00:00"/>
    <n v="17"/>
    <m/>
    <s v="VACACIONES"/>
    <m/>
    <m/>
    <m/>
    <m/>
  </r>
  <r>
    <x v="9"/>
    <n v="1040378911"/>
    <s v="PEREZ"/>
    <s v="AMAYA"/>
    <s v="DIOSMAN"/>
    <m/>
    <s v="VIGILANTE"/>
    <x v="2"/>
    <d v="2021-09-04T00:00:00"/>
    <d v="2021-09-21T00:00:00"/>
    <n v="18"/>
    <m/>
    <s v="VACACIONES"/>
    <m/>
    <m/>
    <m/>
    <m/>
  </r>
  <r>
    <x v="9"/>
    <n v="71212990"/>
    <s v="COSSIO"/>
    <s v="OTALVARO"/>
    <s v="JORGE"/>
    <s v="ALBERTO"/>
    <s v="VIGILANTE"/>
    <x v="2"/>
    <d v="2021-09-02T00:00:00"/>
    <d v="2021-09-20T00:00:00"/>
    <n v="19"/>
    <m/>
    <s v="VACACIONES"/>
    <m/>
    <m/>
    <m/>
    <m/>
  </r>
  <r>
    <x v="9"/>
    <n v="71491388"/>
    <s v="MEJIA"/>
    <s v="SANCHEZ"/>
    <s v="ARBEY"/>
    <s v="DE JESUS"/>
    <s v="VIGILANTE"/>
    <x v="2"/>
    <d v="2021-09-01T00:00:00"/>
    <d v="2021-09-08T00:00:00"/>
    <n v="8"/>
    <m/>
    <s v="VACACIONES"/>
    <m/>
    <m/>
    <m/>
    <m/>
  </r>
  <r>
    <x v="9"/>
    <n v="71491388"/>
    <s v="MEJIA"/>
    <s v="SANCHEZ"/>
    <s v="ARBEY"/>
    <s v="DE JESUS"/>
    <s v="VIGILANTE"/>
    <x v="2"/>
    <d v="2021-09-09T00:00:00"/>
    <d v="2021-09-16T00:00:00"/>
    <n v="8"/>
    <m/>
    <s v="VACACIONES"/>
    <m/>
    <m/>
    <m/>
    <m/>
  </r>
  <r>
    <x v="9"/>
    <n v="8473731"/>
    <s v="BETANCUR"/>
    <s v="ALVAREZ"/>
    <s v="FRANCISCO "/>
    <s v="ERNESTO"/>
    <s v="VIGILANTE"/>
    <x v="1"/>
    <d v="2021-09-01T00:00:00"/>
    <d v="2021-09-01T00:00:00"/>
    <n v="1"/>
    <n v="4"/>
    <s v="PRIMERA VEZ"/>
    <m/>
    <m/>
    <m/>
    <m/>
  </r>
  <r>
    <x v="9"/>
    <n v="8339837"/>
    <s v="USUGA"/>
    <s v="ARIAS"/>
    <s v="CARLOS"/>
    <s v="MARIO"/>
    <s v="VIGILANTE"/>
    <x v="2"/>
    <d v="2021-09-01T00:00:00"/>
    <d v="2021-09-15T00:00:00"/>
    <n v="15"/>
    <m/>
    <s v="VACACIONES"/>
    <m/>
    <m/>
    <m/>
    <m/>
  </r>
  <r>
    <x v="9"/>
    <n v="70471195"/>
    <s v="RUEDA"/>
    <m/>
    <s v="NELSON"/>
    <s v="ENRIQUE"/>
    <s v="VIGILANTE"/>
    <x v="2"/>
    <d v="2021-09-02T00:00:00"/>
    <d v="2021-09-18T00:00:00"/>
    <n v="17"/>
    <m/>
    <s v="VACACIONES"/>
    <m/>
    <m/>
    <m/>
    <m/>
  </r>
  <r>
    <x v="9"/>
    <n v="71651935"/>
    <s v="CARDONA"/>
    <s v="RODRIGUEZ"/>
    <s v="JUAN"/>
    <s v="CARLOS"/>
    <s v="VIGILANTE"/>
    <x v="2"/>
    <d v="2021-09-02T00:00:00"/>
    <d v="2021-09-09T00:00:00"/>
    <n v="8"/>
    <m/>
    <s v="VACACIONES"/>
    <m/>
    <m/>
    <m/>
    <m/>
  </r>
  <r>
    <x v="9"/>
    <n v="71651935"/>
    <s v="CARDONA"/>
    <s v="RODRIGUEZ"/>
    <s v="JUAN"/>
    <s v="CARLOS"/>
    <s v="VIGILANTE"/>
    <x v="2"/>
    <d v="2021-09-10T00:00:00"/>
    <d v="2021-09-17T00:00:00"/>
    <n v="8"/>
    <m/>
    <s v="VACACIONES"/>
    <m/>
    <m/>
    <m/>
    <m/>
  </r>
  <r>
    <x v="9"/>
    <n v="1063300794"/>
    <s v="VERGARA"/>
    <s v="ARRIETA"/>
    <s v="CARLOS"/>
    <s v="ANDRES"/>
    <s v="VIGILANTE"/>
    <x v="2"/>
    <d v="2021-09-01T00:00:00"/>
    <d v="2021-09-17T00:00:00"/>
    <n v="17"/>
    <m/>
    <s v="VACACIONES"/>
    <m/>
    <m/>
    <m/>
    <m/>
  </r>
  <r>
    <x v="9"/>
    <n v="98499486"/>
    <s v="ZAPATA"/>
    <s v="OSPINA"/>
    <s v="NELSON"/>
    <s v="DARIO"/>
    <s v="VIGILANTE"/>
    <x v="2"/>
    <d v="2021-09-03T00:00:00"/>
    <d v="2021-09-10T00:00:00"/>
    <n v="8"/>
    <m/>
    <s v="VACACIONES"/>
    <m/>
    <m/>
    <m/>
    <m/>
  </r>
  <r>
    <x v="9"/>
    <n v="98499486"/>
    <s v="ZAPATA"/>
    <s v="OSPINA"/>
    <s v="NELSON"/>
    <s v="DARIO"/>
    <s v="VIGILANTE"/>
    <x v="2"/>
    <d v="2021-09-11T00:00:00"/>
    <d v="2021-09-18T00:00:00"/>
    <n v="8"/>
    <m/>
    <s v="VACACIONES"/>
    <m/>
    <m/>
    <m/>
    <m/>
  </r>
  <r>
    <x v="9"/>
    <n v="1081803532"/>
    <s v="JIMENEZ"/>
    <s v="RODRIGUEZ"/>
    <s v="JOSE"/>
    <s v="ALFREDO"/>
    <s v="VIGILANTE"/>
    <x v="2"/>
    <d v="2021-09-01T00:00:00"/>
    <d v="2021-09-08T00:00:00"/>
    <n v="8"/>
    <m/>
    <s v="VACACIONES"/>
    <m/>
    <m/>
    <m/>
    <m/>
  </r>
  <r>
    <x v="9"/>
    <n v="1081803532"/>
    <s v="JIMENEZ"/>
    <s v="RODRIGUEZ"/>
    <s v="JOSE"/>
    <s v="ALFREDO"/>
    <s v="VIGILANTE"/>
    <x v="2"/>
    <d v="2021-09-09T00:00:00"/>
    <d v="2021-09-16T00:00:00"/>
    <n v="8"/>
    <m/>
    <s v="VACACIONES"/>
    <m/>
    <m/>
    <m/>
    <m/>
  </r>
  <r>
    <x v="9"/>
    <n v="8472629"/>
    <s v="AGUDELO"/>
    <s v="GONZALEZ"/>
    <s v="ALIRIO"/>
    <s v="DE JESUS"/>
    <s v="VIGILANTE"/>
    <x v="1"/>
    <d v="2021-09-06T00:00:00"/>
    <d v="2021-09-10T00:00:00"/>
    <n v="5"/>
    <n v="22"/>
    <s v="PRIMERA VEZ"/>
    <m/>
    <m/>
    <m/>
    <m/>
  </r>
  <r>
    <x v="8"/>
    <n v="1045048620"/>
    <s v="RUIZ"/>
    <s v="RUIZ"/>
    <s v="YADIRA"/>
    <s v="ANDREA"/>
    <s v="VIGILANTE"/>
    <x v="0"/>
    <d v="2021-08-24T00:00:00"/>
    <d v="2021-08-24T00:00:00"/>
    <n v="1"/>
    <m/>
    <s v="PERMISO NO REMUNERADO"/>
    <m/>
    <m/>
    <m/>
    <m/>
  </r>
  <r>
    <x v="9"/>
    <n v="1042064652"/>
    <s v="CARDONA"/>
    <s v="ACEVEDO"/>
    <s v="JOSE"/>
    <s v="FERNANDO"/>
    <s v="VIGILANTE"/>
    <x v="0"/>
    <d v="2021-09-02T00:00:00"/>
    <d v="2021-09-02T00:00:00"/>
    <n v="1"/>
    <m/>
    <s v="PERMISO NO REMUNERADO"/>
    <m/>
    <m/>
    <m/>
    <m/>
  </r>
  <r>
    <x v="8"/>
    <n v="71732253"/>
    <s v="RAMIREZ "/>
    <s v="SUAZA"/>
    <s v="RUBEN "/>
    <s v="DARIO"/>
    <s v="VIGILANTE"/>
    <x v="0"/>
    <d v="2021-07-16T00:00:00"/>
    <d v="2021-08-14T00:00:00"/>
    <n v="30"/>
    <m/>
    <s v="PERMISO NO REMUNERADO"/>
    <m/>
    <m/>
    <m/>
    <m/>
  </r>
  <r>
    <x v="9"/>
    <n v="70127902"/>
    <s v="PUERTA"/>
    <s v="SANTA"/>
    <s v="OSCAR"/>
    <s v="ALBEIRO"/>
    <s v="VIGILANTE"/>
    <x v="1"/>
    <d v="2021-09-06T00:00:00"/>
    <d v="2021-09-06T00:00:00"/>
    <n v="1"/>
    <n v="6"/>
    <s v="PRIMERA VEZ"/>
    <m/>
    <m/>
    <m/>
    <m/>
  </r>
  <r>
    <x v="9"/>
    <n v="71262184"/>
    <s v="GARCIA"/>
    <s v="ROA"/>
    <s v="JUAN"/>
    <s v="GABRIEL"/>
    <s v="VIGILANTE"/>
    <x v="1"/>
    <d v="2021-09-07T00:00:00"/>
    <d v="2021-09-07T00:00:00"/>
    <n v="1"/>
    <n v="6"/>
    <s v="PRIMERA VEZ"/>
    <m/>
    <m/>
    <m/>
    <m/>
  </r>
  <r>
    <x v="9"/>
    <n v="15459459"/>
    <s v="MEJIA"/>
    <s v="MARIN"/>
    <s v="JAVIER"/>
    <s v="ALONSO"/>
    <s v="VIGILANTE"/>
    <x v="1"/>
    <d v="2021-09-09T00:00:00"/>
    <d v="2021-09-11T00:00:00"/>
    <n v="3"/>
    <m/>
    <s v="SEGUNDA VEZ"/>
    <m/>
    <m/>
    <m/>
    <m/>
  </r>
  <r>
    <x v="9"/>
    <n v="71753184"/>
    <s v="AGUDELO"/>
    <s v="LOPEZ"/>
    <s v="JUAN"/>
    <s v="FELIPE"/>
    <s v="VIGILANTE"/>
    <x v="0"/>
    <d v="2021-09-07T00:00:00"/>
    <d v="2021-09-07T00:00:00"/>
    <n v="1"/>
    <m/>
    <s v="PERMISO NO REMUNERADO"/>
    <m/>
    <m/>
    <m/>
    <m/>
  </r>
  <r>
    <x v="9"/>
    <n v="15295271"/>
    <s v="ZAPATA"/>
    <s v="CASTILLO"/>
    <s v="JUAN"/>
    <s v="GUILLERMO"/>
    <s v="VIGILANTE"/>
    <x v="0"/>
    <d v="2021-09-05T00:00:00"/>
    <d v="2021-09-06T00:00:00"/>
    <n v="2"/>
    <m/>
    <s v="PERMISO NO REMUNERADO"/>
    <m/>
    <m/>
    <m/>
    <m/>
  </r>
  <r>
    <x v="9"/>
    <n v="1040378911"/>
    <s v="PEREZ"/>
    <s v="AMAYA"/>
    <s v="DIOSMAN"/>
    <m/>
    <s v="VIGILANTE"/>
    <x v="0"/>
    <d v="2021-09-02T00:00:00"/>
    <d v="2021-09-02T00:00:00"/>
    <n v="1"/>
    <m/>
    <s v="PERMISO NO REMUNERADO"/>
    <m/>
    <m/>
    <m/>
    <m/>
  </r>
  <r>
    <x v="9"/>
    <n v="8338283"/>
    <s v="RODRIGUEZ"/>
    <s v="RESTREPO"/>
    <s v="WILMAR"/>
    <m/>
    <s v="VIGILANTE"/>
    <x v="0"/>
    <d v="2021-09-09T00:00:00"/>
    <d v="2021-09-10T00:00:00"/>
    <n v="2"/>
    <m/>
    <s v="PERMISO NO REMUNERADO"/>
    <m/>
    <m/>
    <m/>
    <m/>
  </r>
  <r>
    <x v="9"/>
    <n v="15444896"/>
    <s v="RUIZ"/>
    <s v="HERNANDEZ"/>
    <s v="WILMAR"/>
    <s v="GONZALO"/>
    <s v="VIGILANTE"/>
    <x v="0"/>
    <d v="2021-09-11T00:00:00"/>
    <d v="2021-09-11T00:00:00"/>
    <n v="1"/>
    <m/>
    <s v="PERMISO NO REMUNERADO"/>
    <m/>
    <m/>
    <m/>
    <m/>
  </r>
  <r>
    <x v="9"/>
    <n v="98481612"/>
    <s v="BALDERRAMA"/>
    <s v="GONZALEZ"/>
    <s v="WITNEY"/>
    <s v="DE JESUS"/>
    <s v="VIGILANTE"/>
    <x v="2"/>
    <d v="2021-09-11T00:00:00"/>
    <d v="2021-09-18T00:00:00"/>
    <n v="8"/>
    <m/>
    <s v="VACACIONES"/>
    <m/>
    <m/>
    <m/>
    <m/>
  </r>
  <r>
    <x v="9"/>
    <n v="98481612"/>
    <s v="BALDERRAMA"/>
    <s v="GONZALEZ"/>
    <s v="WITNEY"/>
    <s v="DE JESUS"/>
    <s v="VIGILANTE"/>
    <x v="2"/>
    <d v="2021-09-19T00:00:00"/>
    <d v="2021-09-26T00:00:00"/>
    <n v="8"/>
    <m/>
    <s v="VACACIONES"/>
    <m/>
    <m/>
    <m/>
    <m/>
  </r>
  <r>
    <x v="9"/>
    <n v="1037583233"/>
    <s v="CASTRILLON"/>
    <s v="GARCIA"/>
    <s v="SERGIO"/>
    <s v="ANDRES"/>
    <s v="VIGILANTE"/>
    <x v="2"/>
    <d v="2021-09-13T00:00:00"/>
    <d v="2021-09-29T00:00:00"/>
    <n v="17"/>
    <m/>
    <s v="VACACIONES"/>
    <m/>
    <m/>
    <m/>
    <m/>
  </r>
  <r>
    <x v="9"/>
    <n v="98515060"/>
    <s v="RAIGOSA"/>
    <s v="PEREZ"/>
    <s v="LUIS"/>
    <s v="OVIDIO"/>
    <s v="VIGILANTE"/>
    <x v="2"/>
    <d v="2021-09-11T00:00:00"/>
    <d v="2021-09-28T00:00:00"/>
    <n v="18"/>
    <m/>
    <s v="VACACIONES"/>
    <m/>
    <m/>
    <m/>
    <m/>
  </r>
  <r>
    <x v="9"/>
    <n v="71797879"/>
    <s v="MORALES"/>
    <s v="ORDUZ"/>
    <s v="DUBAN"/>
    <s v="ALVEIRO"/>
    <s v="VIGILANTE"/>
    <x v="2"/>
    <d v="2021-09-11T00:00:00"/>
    <d v="2021-09-28T00:00:00"/>
    <n v="18"/>
    <m/>
    <s v="VACACIONES"/>
    <m/>
    <m/>
    <m/>
    <m/>
  </r>
  <r>
    <x v="9"/>
    <n v="1143340042"/>
    <s v="PEINADO"/>
    <s v="RAMOS"/>
    <s v="JOSE"/>
    <s v="MARIA"/>
    <s v="VIGILANTE"/>
    <x v="2"/>
    <d v="2021-09-11T00:00:00"/>
    <d v="2021-09-28T00:00:00"/>
    <n v="18"/>
    <m/>
    <s v="VACACIONES"/>
    <m/>
    <m/>
    <m/>
    <m/>
  </r>
  <r>
    <x v="9"/>
    <n v="71935654"/>
    <s v="CEBALLOS"/>
    <s v="GOMEZ"/>
    <s v="HUILAR"/>
    <s v="ALBERTO"/>
    <s v="VIGILANTE"/>
    <x v="2"/>
    <d v="2021-09-07T00:00:00"/>
    <d v="2021-09-14T00:00:00"/>
    <n v="8"/>
    <m/>
    <s v="VACACIONES"/>
    <m/>
    <m/>
    <m/>
    <m/>
  </r>
  <r>
    <x v="9"/>
    <n v="71935654"/>
    <s v="CEBALLOS"/>
    <s v="GOMEZ"/>
    <s v="HUILAR"/>
    <s v="ALBERTO"/>
    <s v="VIGILANTE"/>
    <x v="2"/>
    <d v="2021-09-15T00:00:00"/>
    <d v="2021-09-22T00:00:00"/>
    <n v="8"/>
    <m/>
    <s v="VACACIONES"/>
    <m/>
    <m/>
    <m/>
    <m/>
  </r>
  <r>
    <x v="9"/>
    <n v="1143340042"/>
    <s v="PEINADO"/>
    <s v="RAMOS"/>
    <s v="JOSE"/>
    <s v="MARIA"/>
    <s v="VIGILANTE"/>
    <x v="2"/>
    <d v="2021-09-11T00:00:00"/>
    <d v="2021-09-28T00:00:00"/>
    <n v="18"/>
    <m/>
    <s v="VACACIONES"/>
    <m/>
    <m/>
    <m/>
    <m/>
  </r>
  <r>
    <x v="9"/>
    <n v="75037732"/>
    <s v="VERGARA"/>
    <s v="MUÑOZ"/>
    <s v="GERARDO"/>
    <s v="DE JESUS"/>
    <s v="VIGILANTE"/>
    <x v="2"/>
    <d v="2021-08-30T00:00:00"/>
    <d v="2021-09-15T00:00:00"/>
    <n v="17"/>
    <m/>
    <s v="VACACIONES"/>
    <m/>
    <m/>
    <m/>
    <m/>
  </r>
  <r>
    <x v="9"/>
    <n v="98559266"/>
    <s v="VASQUEZ "/>
    <s v="QUINTERO"/>
    <s v="JORGE"/>
    <s v="DE JESUS"/>
    <s v="VIGILANTE"/>
    <x v="2"/>
    <d v="2021-09-09T00:00:00"/>
    <d v="2021-09-23T00:00:00"/>
    <n v="15"/>
    <m/>
    <s v="VACACIONES"/>
    <m/>
    <m/>
    <m/>
    <m/>
  </r>
  <r>
    <x v="9"/>
    <n v="1036687761"/>
    <s v="SUAREZ "/>
    <s v="TABARES"/>
    <s v="SANTIAGO"/>
    <m/>
    <s v="VIGILANTE"/>
    <x v="2"/>
    <d v="2021-09-07T00:00:00"/>
    <d v="2021-09-23T00:00:00"/>
    <n v="17"/>
    <m/>
    <s v="VACACIONES"/>
    <m/>
    <m/>
    <m/>
    <m/>
  </r>
  <r>
    <x v="9"/>
    <n v="70470381"/>
    <s v="GUZMAN"/>
    <s v="PADIERNA"/>
    <s v="JESUS"/>
    <s v="ALBERTO"/>
    <s v="VIGILANTE"/>
    <x v="2"/>
    <d v="2021-09-09T00:00:00"/>
    <d v="2021-09-25T00:00:00"/>
    <n v="17"/>
    <m/>
    <s v="VACACIONES"/>
    <m/>
    <m/>
    <m/>
    <m/>
  </r>
  <r>
    <x v="9"/>
    <n v="98526696"/>
    <s v="RESTREPO "/>
    <s v="BUSTAMANTE"/>
    <s v="ESAUL"/>
    <s v="ENRIQUE"/>
    <s v="VIGILANTE"/>
    <x v="2"/>
    <d v="2021-09-06T00:00:00"/>
    <d v="2021-09-22T00:00:00"/>
    <n v="17"/>
    <m/>
    <s v="VACACIONES"/>
    <m/>
    <m/>
    <m/>
    <m/>
  </r>
  <r>
    <x v="9"/>
    <n v="98703751"/>
    <s v="HINCAPIE"/>
    <s v="RIVERA"/>
    <s v="NUMAR"/>
    <s v="DE JESUS"/>
    <s v="VIGILANTE"/>
    <x v="2"/>
    <d v="2021-09-07T00:00:00"/>
    <d v="2021-09-23T00:00:00"/>
    <n v="17"/>
    <m/>
    <s v="VACACIONES"/>
    <m/>
    <m/>
    <m/>
    <m/>
  </r>
  <r>
    <x v="9"/>
    <n v="1040328444"/>
    <s v="MONSALVE"/>
    <s v="SUAREZ"/>
    <s v="JONATHAN"/>
    <m/>
    <s v="VIGILANTE"/>
    <x v="1"/>
    <d v="2021-09-14T00:00:00"/>
    <d v="2021-09-16T00:00:00"/>
    <n v="3"/>
    <n v="10"/>
    <s v="PRIMERA VEZ"/>
    <m/>
    <m/>
    <m/>
    <m/>
  </r>
  <r>
    <x v="9"/>
    <n v="1085232108"/>
    <s v="YEPEZ"/>
    <s v="HERNANDEZ"/>
    <s v="LEONARDO"/>
    <s v="ISAAC"/>
    <s v="VIGILANTE"/>
    <x v="1"/>
    <d v="2021-09-14T00:00:00"/>
    <d v="2021-09-16T00:00:00"/>
    <n v="3"/>
    <n v="20"/>
    <s v="PRIMERA VEZ"/>
    <m/>
    <m/>
    <m/>
    <m/>
  </r>
  <r>
    <x v="9"/>
    <n v="1128451772"/>
    <s v="LUNA"/>
    <s v="BRAND"/>
    <s v="JOSE"/>
    <s v="LUCIO"/>
    <s v="VIGILANTE"/>
    <x v="1"/>
    <d v="2021-09-13T00:00:00"/>
    <d v="2021-09-13T00:00:00"/>
    <n v="1"/>
    <n v="4"/>
    <s v="PRIMERA VEZ"/>
    <m/>
    <m/>
    <m/>
    <m/>
  </r>
  <r>
    <x v="9"/>
    <n v="16825447"/>
    <s v="TRUJILLO"/>
    <s v="PINEDA"/>
    <s v="TITO"/>
    <s v="RAUL"/>
    <s v="VIGILANTE"/>
    <x v="1"/>
    <d v="2021-09-14T00:00:00"/>
    <d v="2021-09-16T00:00:00"/>
    <n v="3"/>
    <n v="4"/>
    <s v="SEGUNDA VEZ"/>
    <m/>
    <m/>
    <m/>
    <m/>
  </r>
  <r>
    <x v="9"/>
    <n v="8373954"/>
    <s v="RIVERA"/>
    <s v="MATIAS"/>
    <s v="EDINSON"/>
    <m/>
    <s v="VIGILANTE"/>
    <x v="0"/>
    <d v="2021-09-14T00:00:00"/>
    <d v="2021-09-14T00:00:00"/>
    <n v="1"/>
    <m/>
    <s v="PERMISO NO REMUNERADO"/>
    <m/>
    <m/>
    <m/>
    <m/>
  </r>
  <r>
    <x v="9"/>
    <n v="1128404771"/>
    <s v="VELEZ"/>
    <s v="RIVERA"/>
    <s v="JHONATAN"/>
    <s v="ANDRES"/>
    <s v="VIGILANTE"/>
    <x v="2"/>
    <d v="2021-09-13T00:00:00"/>
    <d v="2021-09-20T00:00:00"/>
    <n v="8"/>
    <m/>
    <s v="VACACIONES"/>
    <m/>
    <m/>
    <m/>
    <m/>
  </r>
  <r>
    <x v="9"/>
    <n v="71753184"/>
    <s v="AGUDELO"/>
    <s v="LOPEZ"/>
    <s v="JUAN"/>
    <s v="FELIPE"/>
    <s v="VIGILANTE"/>
    <x v="2"/>
    <d v="2021-09-15T00:00:00"/>
    <d v="2021-10-01T00:00:00"/>
    <n v="17"/>
    <m/>
    <s v="VACACIONES"/>
    <m/>
    <m/>
    <m/>
    <m/>
  </r>
  <r>
    <x v="9"/>
    <n v="15309929"/>
    <s v="GALVIS"/>
    <s v="CASTRO"/>
    <s v="NICOLAS"/>
    <s v="EMIRO"/>
    <s v="VIGILANTE"/>
    <x v="2"/>
    <d v="2021-09-15T00:00:00"/>
    <d v="2021-10-01T00:00:00"/>
    <n v="17"/>
    <m/>
    <s v="VACACIONES"/>
    <m/>
    <m/>
    <m/>
    <m/>
  </r>
  <r>
    <x v="9"/>
    <n v="1116246165"/>
    <s v="HERRERA"/>
    <s v="BONILLA"/>
    <s v="CARLOS"/>
    <s v="ANDRES"/>
    <s v="VIGILANTE"/>
    <x v="1"/>
    <d v="2021-09-16T00:00:00"/>
    <d v="2021-09-18T00:00:00"/>
    <n v="3"/>
    <n v="24"/>
    <s v="PRIMERA VEZ"/>
    <m/>
    <m/>
    <m/>
    <m/>
  </r>
  <r>
    <x v="9"/>
    <n v="15295271"/>
    <s v="ZAPATA"/>
    <s v="CASTILLO"/>
    <s v="JUAN"/>
    <s v="GUILLERMO"/>
    <s v="VIGILANTE"/>
    <x v="1"/>
    <d v="2021-09-15T00:00:00"/>
    <d v="2021-09-19T00:00:00"/>
    <n v="5"/>
    <n v="1"/>
    <s v="PRIMERA VEZ"/>
    <m/>
    <m/>
    <m/>
    <m/>
  </r>
  <r>
    <x v="9"/>
    <n v="1020393116"/>
    <s v="ASPRILLA"/>
    <m/>
    <s v="NORMAN "/>
    <s v="DARIO"/>
    <s v="VIGILANTE"/>
    <x v="1"/>
    <d v="2021-09-15T00:00:00"/>
    <d v="2021-09-18T00:00:00"/>
    <n v="5"/>
    <n v="1"/>
    <s v="PRIMERA VEZ"/>
    <m/>
    <m/>
    <m/>
    <m/>
  </r>
  <r>
    <x v="9"/>
    <n v="3556779"/>
    <s v="OSORIO"/>
    <s v="SUAREZ"/>
    <s v="JHONNY"/>
    <s v="ANDRES"/>
    <s v="VIGILANTE"/>
    <x v="1"/>
    <d v="2021-09-16T00:00:00"/>
    <d v="2021-09-20T00:00:00"/>
    <n v="5"/>
    <n v="22"/>
    <s v="PRIMERA VEZ"/>
    <m/>
    <m/>
    <m/>
    <m/>
  </r>
  <r>
    <x v="9"/>
    <n v="43709768"/>
    <s v="CASTRO"/>
    <s v="MARIN"/>
    <s v="DIANA"/>
    <s v="MARIA"/>
    <s v="VIGILANTE"/>
    <x v="1"/>
    <d v="2021-09-16T00:00:00"/>
    <d v="2021-09-20T00:00:00"/>
    <n v="5"/>
    <n v="22"/>
    <s v="PRIMERA VEZ"/>
    <m/>
    <m/>
    <m/>
    <m/>
  </r>
  <r>
    <x v="9"/>
    <n v="1026303619"/>
    <s v="ORDOÑEZ"/>
    <s v="ORTEGA"/>
    <s v="YAMIR"/>
    <m/>
    <s v="VIGILANTE"/>
    <x v="0"/>
    <d v="2021-09-16T00:00:00"/>
    <d v="2021-10-15T00:00:00"/>
    <n v="30"/>
    <m/>
    <s v="PERMISO NO REMUNERADO"/>
    <m/>
    <m/>
    <m/>
    <m/>
  </r>
  <r>
    <x v="9"/>
    <n v="1069497681"/>
    <s v="AGUIRRE"/>
    <s v="SANES"/>
    <s v="RAFAEL"/>
    <s v="JOSE"/>
    <s v="VIGILANTE"/>
    <x v="2"/>
    <d v="2021-09-16T00:00:00"/>
    <d v="2021-10-02T00:00:00"/>
    <n v="17"/>
    <m/>
    <s v="VACACIONES"/>
    <m/>
    <m/>
    <m/>
    <m/>
  </r>
  <r>
    <x v="9"/>
    <n v="10536914"/>
    <s v="COSSIO "/>
    <s v="OSPINA"/>
    <s v="PASCUAL"/>
    <s v="VICENTE"/>
    <s v="VIGILANTE"/>
    <x v="2"/>
    <d v="2021-09-15T00:00:00"/>
    <d v="2021-09-29T00:00:00"/>
    <n v="15"/>
    <m/>
    <s v="VACACIONES"/>
    <m/>
    <m/>
    <m/>
    <m/>
  </r>
  <r>
    <x v="9"/>
    <n v="1037604301"/>
    <s v="LOPEZ"/>
    <s v="ARIAS"/>
    <s v="ANDRES "/>
    <s v="FELIPE"/>
    <s v="VIGILANTE"/>
    <x v="2"/>
    <d v="2021-09-14T00:00:00"/>
    <d v="2021-09-30T00:00:00"/>
    <n v="17"/>
    <m/>
    <s v="VACACIONES"/>
    <m/>
    <m/>
    <m/>
    <m/>
  </r>
  <r>
    <x v="9"/>
    <n v="15444896"/>
    <s v="RUIZ"/>
    <s v="HERNANDEZ"/>
    <s v="WILMAR"/>
    <s v="GONZALO"/>
    <s v="VIGILANTE"/>
    <x v="0"/>
    <d v="2021-09-11T00:00:00"/>
    <d v="2021-09-11T00:00:00"/>
    <n v="1"/>
    <m/>
    <s v="PERMISO NO REMUNERADO"/>
    <m/>
    <m/>
    <m/>
    <m/>
  </r>
  <r>
    <x v="9"/>
    <n v="1066574545"/>
    <s v="ARRIETA"/>
    <s v="MARTINEZ"/>
    <s v="LUISA"/>
    <s v="FERNANDA"/>
    <s v="VIGILANTE"/>
    <x v="0"/>
    <d v="2021-09-17T00:00:00"/>
    <d v="2021-09-17T00:00:00"/>
    <n v="1"/>
    <m/>
    <s v="PERMISO NO REMUNERADO"/>
    <m/>
    <m/>
    <m/>
    <m/>
  </r>
  <r>
    <x v="9"/>
    <n v="8126753"/>
    <s v="CARVAJAL"/>
    <s v="ROBLEDO"/>
    <s v="SERGIO"/>
    <s v="ALBERTO"/>
    <s v="VIGILANTE"/>
    <x v="2"/>
    <d v="2021-09-17T00:00:00"/>
    <d v="2021-09-18T00:00:00"/>
    <n v="2"/>
    <m/>
    <s v="PERMISO NO REMUNERADO"/>
    <m/>
    <m/>
    <m/>
    <m/>
  </r>
  <r>
    <x v="9"/>
    <n v="8038201"/>
    <s v="SANCHEZ"/>
    <s v="ARENAS"/>
    <s v="RAFAEL"/>
    <s v="ANTONIO"/>
    <s v="VIGILANTE"/>
    <x v="2"/>
    <d v="2021-09-16T00:00:00"/>
    <d v="2021-09-23T00:00:00"/>
    <n v="8"/>
    <m/>
    <s v="VACACIONES"/>
    <m/>
    <m/>
    <m/>
    <m/>
  </r>
  <r>
    <x v="9"/>
    <n v="8038201"/>
    <s v="SANCHEZ"/>
    <s v="ARENAS"/>
    <s v="RAFAEL"/>
    <s v="ANTONIO"/>
    <s v="VIGILANTE"/>
    <x v="2"/>
    <d v="2021-09-24T00:00:00"/>
    <d v="2021-10-01T00:00:00"/>
    <n v="8"/>
    <m/>
    <s v="VACACIONES"/>
    <m/>
    <m/>
    <m/>
    <m/>
  </r>
  <r>
    <x v="9"/>
    <n v="8038201"/>
    <s v="SANCHEZ"/>
    <s v="ARENAS"/>
    <s v="RAFAEL"/>
    <s v="ANTONIO"/>
    <s v="VIGILANTE"/>
    <x v="2"/>
    <d v="2021-10-02T00:00:00"/>
    <d v="2021-10-09T00:00:00"/>
    <n v="8"/>
    <m/>
    <s v="VACACIONES"/>
    <m/>
    <m/>
    <m/>
    <m/>
  </r>
  <r>
    <x v="9"/>
    <n v="98554838"/>
    <s v="HENAO"/>
    <s v="CARDONA"/>
    <s v="JUAN"/>
    <s v="CARLOS"/>
    <s v="VIGILANTE"/>
    <x v="2"/>
    <d v="2021-09-18T00:00:00"/>
    <d v="2021-10-05T00:00:00"/>
    <n v="18"/>
    <m/>
    <s v="VACACIONES"/>
    <m/>
    <m/>
    <m/>
    <m/>
  </r>
  <r>
    <x v="9"/>
    <n v="70421430"/>
    <s v="GOMEZ"/>
    <s v="GOMEZ"/>
    <s v="ORLANDO"/>
    <s v="DE JESUS"/>
    <s v="VIGILANTE"/>
    <x v="2"/>
    <d v="2021-09-15T00:00:00"/>
    <d v="2021-09-22T00:00:00"/>
    <n v="8"/>
    <m/>
    <s v="VACACIONES"/>
    <m/>
    <m/>
    <m/>
    <m/>
  </r>
  <r>
    <x v="9"/>
    <n v="70421430"/>
    <s v="GOMEZ"/>
    <s v="GOMEZ"/>
    <s v="ORLANDO"/>
    <s v="DE JESUS"/>
    <s v="VIGILANTE"/>
    <x v="2"/>
    <d v="2021-09-23T00:00:00"/>
    <d v="2021-09-30T00:00:00"/>
    <n v="8"/>
    <m/>
    <s v="VACACIONES"/>
    <m/>
    <m/>
    <m/>
    <m/>
  </r>
  <r>
    <x v="9"/>
    <n v="1062876589"/>
    <s v="TORRES"/>
    <s v="SAMPAYO"/>
    <s v="LUIS "/>
    <s v="RAFAEL"/>
    <s v="VIGILANTE"/>
    <x v="2"/>
    <d v="2021-09-16T00:00:00"/>
    <d v="2021-10-02T00:00:00"/>
    <n v="17"/>
    <m/>
    <s v="VACACIONES"/>
    <m/>
    <m/>
    <m/>
    <m/>
  </r>
  <r>
    <x v="9"/>
    <n v="1045048620"/>
    <s v="RUIZ"/>
    <s v="RUIZ"/>
    <s v="YADIRA"/>
    <s v="ANDREA"/>
    <s v="VIGILANTE"/>
    <x v="1"/>
    <d v="2021-09-20T00:00:00"/>
    <d v="2021-09-20T00:00:00"/>
    <n v="1"/>
    <n v="6"/>
    <s v="PRIMERA VEZ"/>
    <m/>
    <m/>
    <m/>
    <m/>
  </r>
  <r>
    <x v="9"/>
    <n v="8409118"/>
    <s v="URIBE"/>
    <s v="POSADA"/>
    <s v="JAIME"/>
    <s v="ALFONSO"/>
    <s v="VIGILANTE"/>
    <x v="2"/>
    <d v="2021-09-20T00:00:00"/>
    <d v="2021-10-06T00:00:00"/>
    <n v="17"/>
    <m/>
    <s v="VACACIONES"/>
    <m/>
    <m/>
    <m/>
    <m/>
  </r>
  <r>
    <x v="9"/>
    <n v="1062876589"/>
    <s v="TORRES"/>
    <s v="SAMPAYO"/>
    <s v="LUIS "/>
    <s v="RAFAEL"/>
    <s v="VIGILANTE"/>
    <x v="2"/>
    <d v="2021-09-16T00:00:00"/>
    <d v="2021-10-02T00:00:00"/>
    <n v="17"/>
    <m/>
    <s v="VACACIONES"/>
    <m/>
    <m/>
    <m/>
    <m/>
  </r>
  <r>
    <x v="9"/>
    <n v="1036679982"/>
    <s v="PALENCIA"/>
    <s v="ALZATE"/>
    <s v="JUAN"/>
    <s v="CAMILO"/>
    <s v="VIGILANTE"/>
    <x v="2"/>
    <d v="2021-09-20T00:00:00"/>
    <d v="2021-10-06T00:00:00"/>
    <n v="17"/>
    <m/>
    <s v="VACACIONES"/>
    <m/>
    <m/>
    <m/>
    <m/>
  </r>
  <r>
    <x v="9"/>
    <n v="78110091"/>
    <s v="PALOMINO"/>
    <s v="MENDIZ"/>
    <s v="JORGE"/>
    <s v="LUIS"/>
    <s v="VIGILANTE"/>
    <x v="2"/>
    <d v="2021-09-20T00:00:00"/>
    <d v="2021-10-07T00:00:00"/>
    <n v="18"/>
    <m/>
    <s v="VACACIONES"/>
    <m/>
    <m/>
    <m/>
    <m/>
  </r>
  <r>
    <x v="9"/>
    <n v="43056230"/>
    <s v="CAMINO"/>
    <s v="OLIVARES"/>
    <s v="BETTY"/>
    <m/>
    <s v="D .COMERCIAL"/>
    <x v="2"/>
    <d v="2021-09-27T00:00:00"/>
    <d v="2021-10-13T00:00:00"/>
    <n v="17"/>
    <m/>
    <s v="VACACIONES"/>
    <m/>
    <m/>
    <m/>
    <m/>
  </r>
  <r>
    <x v="9"/>
    <n v="1036679982"/>
    <s v="PALENCIA"/>
    <s v="ALZATE"/>
    <s v="JUAN"/>
    <s v="CAMILO"/>
    <s v="VIGILANTE"/>
    <x v="2"/>
    <d v="2021-09-20T00:00:00"/>
    <d v="2021-10-06T00:00:00"/>
    <n v="17"/>
    <m/>
    <s v="VACACIONES"/>
    <m/>
    <m/>
    <m/>
    <m/>
  </r>
  <r>
    <x v="9"/>
    <n v="1027951168"/>
    <s v="VEGA"/>
    <s v="PASTRANA"/>
    <s v="WARLIS"/>
    <s v="ANTONIO"/>
    <s v="VIGILANTE"/>
    <x v="1"/>
    <d v="2021-09-22T00:00:00"/>
    <d v="2021-09-26T00:00:00"/>
    <n v="5"/>
    <n v="22"/>
    <s v="PRIMERA VEZ"/>
    <m/>
    <m/>
    <m/>
    <m/>
  </r>
  <r>
    <x v="9"/>
    <n v="98579583"/>
    <s v="MORENO"/>
    <s v="YEPES"/>
    <s v="NORMAN "/>
    <s v="DE JESUS"/>
    <s v="VIGILANTE"/>
    <x v="1"/>
    <d v="2021-09-24T00:00:00"/>
    <d v="2021-09-28T00:00:00"/>
    <n v="5"/>
    <n v="1"/>
    <s v="PRIMERA VEZ"/>
    <m/>
    <m/>
    <m/>
    <m/>
  </r>
  <r>
    <x v="9"/>
    <n v="71020224"/>
    <s v="GUISAO"/>
    <s v="SALAS"/>
    <s v="JESUS"/>
    <s v="ANTONIO"/>
    <s v="VIGILANTE"/>
    <x v="2"/>
    <d v="2021-09-22T00:00:00"/>
    <d v="2021-10-08T00:00:00"/>
    <n v="17"/>
    <m/>
    <s v="VACACIONES"/>
    <m/>
    <m/>
    <m/>
    <m/>
  </r>
  <r>
    <x v="9"/>
    <n v="85490315"/>
    <s v="CAMACHO"/>
    <s v="MORENO"/>
    <s v="XAVIER"/>
    <s v="YOEL"/>
    <s v="VIGILANTE"/>
    <x v="2"/>
    <d v="2021-09-23T00:00:00"/>
    <d v="2021-10-09T00:00:00"/>
    <n v="17"/>
    <m/>
    <s v="VACACIONES"/>
    <m/>
    <m/>
    <m/>
    <m/>
  </r>
  <r>
    <x v="9"/>
    <n v="1000634073"/>
    <s v="CESPEDES"/>
    <s v="SEPULVEDA"/>
    <s v="JOHN"/>
    <s v="ALEXANDER"/>
    <s v="VIGILANTE"/>
    <x v="2"/>
    <d v="2021-09-24T00:00:00"/>
    <d v="2021-10-11T00:00:00"/>
    <n v="18"/>
    <m/>
    <s v="VACACIONES"/>
    <m/>
    <m/>
    <m/>
    <m/>
  </r>
  <r>
    <x v="9"/>
    <n v="15370207"/>
    <s v="CARO"/>
    <s v="CANO"/>
    <s v="SERGIO"/>
    <s v="ANDRES"/>
    <s v="VIGILANTE"/>
    <x v="2"/>
    <d v="2021-09-27T00:00:00"/>
    <d v="2021-10-13T00:00:00"/>
    <n v="17"/>
    <m/>
    <s v="VACACIONES"/>
    <m/>
    <m/>
    <m/>
    <m/>
  </r>
  <r>
    <x v="9"/>
    <n v="70351830"/>
    <s v="GARCIA"/>
    <s v="GOMEZ"/>
    <s v="GONZAGA"/>
    <s v="DE JESUS"/>
    <s v="VIGILANTE"/>
    <x v="2"/>
    <d v="2021-09-22T00:00:00"/>
    <d v="2021-10-08T00:00:00"/>
    <n v="17"/>
    <m/>
    <s v="VACACIONES"/>
    <m/>
    <m/>
    <m/>
    <m/>
  </r>
  <r>
    <x v="9"/>
    <n v="17313381"/>
    <s v="CASTRO"/>
    <s v="BARRERA"/>
    <s v="DIOGENES"/>
    <s v="MARCELINO"/>
    <s v="VIGILANTE"/>
    <x v="2"/>
    <d v="2021-09-20T00:00:00"/>
    <d v="2021-09-27T00:00:00"/>
    <n v="8"/>
    <m/>
    <s v="VACACIONES"/>
    <m/>
    <m/>
    <m/>
    <m/>
  </r>
  <r>
    <x v="9"/>
    <n v="43201943"/>
    <s v="VALDERRAMA"/>
    <s v="HOYOS"/>
    <s v="DIANA"/>
    <s v="JANETH"/>
    <s v="VIGILANTE"/>
    <x v="0"/>
    <d v="2021-09-23T00:00:00"/>
    <d v="2021-09-23T00:00:00"/>
    <n v="1"/>
    <m/>
    <s v="PERMISO NO REMUNERADO"/>
    <m/>
    <m/>
    <m/>
    <m/>
  </r>
  <r>
    <x v="9"/>
    <n v="71991931"/>
    <s v="PATIÑO "/>
    <s v="FRANCO"/>
    <s v="ALBERTO"/>
    <s v="DE JESUS"/>
    <s v="VIGILANTE"/>
    <x v="0"/>
    <d v="2021-09-25T00:00:00"/>
    <d v="2021-09-25T00:00:00"/>
    <n v="1"/>
    <m/>
    <s v="PERMISO NO REMUNERADO"/>
    <m/>
    <m/>
    <m/>
    <m/>
  </r>
  <r>
    <x v="9"/>
    <n v="1003720127"/>
    <s v="ROMERO"/>
    <s v="DIAZ"/>
    <s v="EDER"/>
    <s v="LUIS"/>
    <s v="VIGILANTE"/>
    <x v="0"/>
    <d v="2021-09-19T00:00:00"/>
    <d v="2021-09-19T00:00:00"/>
    <n v="1"/>
    <m/>
    <s v="PERMISO NO REMUNERADO"/>
    <m/>
    <m/>
    <m/>
    <m/>
  </r>
  <r>
    <x v="9"/>
    <n v="1040754073"/>
    <s v="ANGEL"/>
    <s v="LONDOÑO"/>
    <s v="ANDREA"/>
    <s v="TATIANA"/>
    <s v="VIGILANTE"/>
    <x v="1"/>
    <d v="2021-09-25T00:00:00"/>
    <d v="2021-09-29T00:00:00"/>
    <n v="5"/>
    <n v="22"/>
    <s v="PRIMERA VEZ"/>
    <m/>
    <m/>
    <m/>
    <m/>
  </r>
  <r>
    <x v="9"/>
    <n v="71185910"/>
    <s v="CATAÑO"/>
    <s v="GALLEGO"/>
    <s v="RAMIRO"/>
    <s v="ANTONIO"/>
    <s v="VIGILANTE"/>
    <x v="1"/>
    <d v="2021-09-25T00:00:00"/>
    <d v="2021-09-29T00:00:00"/>
    <n v="5"/>
    <n v="22"/>
    <s v="PRIMERA VEZ"/>
    <m/>
    <m/>
    <m/>
    <m/>
  </r>
  <r>
    <x v="9"/>
    <n v="1036649702"/>
    <s v="SEGURO"/>
    <s v="GIRALDO"/>
    <s v="JHON"/>
    <s v="EDUARD"/>
    <s v="VIGILANTE"/>
    <x v="1"/>
    <d v="2021-09-29T00:00:00"/>
    <d v="2021-10-03T00:00:00"/>
    <n v="5"/>
    <n v="21"/>
    <s v="PRIMERA VEZ"/>
    <m/>
    <m/>
    <m/>
    <m/>
  </r>
  <r>
    <x v="9"/>
    <n v="70470381"/>
    <s v="GUZMAN"/>
    <s v="PADIERNA"/>
    <s v="JESUS"/>
    <s v="ALBERTO"/>
    <s v="VIGILANTE"/>
    <x v="1"/>
    <d v="2021-09-29T00:00:00"/>
    <d v="2021-10-03T00:00:00"/>
    <n v="5"/>
    <n v="1"/>
    <s v="PRIMERA VEZ"/>
    <m/>
    <m/>
    <m/>
    <m/>
  </r>
  <r>
    <x v="9"/>
    <n v="71180926"/>
    <s v="BORNACELLY"/>
    <s v="GOMEZ"/>
    <s v="GUILLERMO"/>
    <s v="RAFAEL"/>
    <s v="VIGILANTE"/>
    <x v="1"/>
    <d v="2021-09-30T00:00:00"/>
    <d v="2021-09-30T00:00:00"/>
    <n v="1"/>
    <n v="22"/>
    <s v="PRIMERA VEZ"/>
    <m/>
    <m/>
    <m/>
    <m/>
  </r>
  <r>
    <x v="9"/>
    <n v="71686928"/>
    <s v="RIOS "/>
    <s v="ESTRADA"/>
    <s v="NESTOR"/>
    <s v="RAUL"/>
    <s v="VIGILANTE"/>
    <x v="1"/>
    <m/>
    <m/>
    <n v="1"/>
    <m/>
    <m/>
    <m/>
    <m/>
    <m/>
    <m/>
  </r>
  <r>
    <x v="9"/>
    <n v="1128462244"/>
    <s v="ROBLES "/>
    <s v="HERRERA"/>
    <s v="JUAN"/>
    <s v="ESTEBAN"/>
    <s v="VIGILANTE"/>
    <x v="2"/>
    <d v="2021-09-29T00:00:00"/>
    <d v="2021-10-06T00:00:00"/>
    <n v="8"/>
    <m/>
    <s v="VACACIONES"/>
    <m/>
    <m/>
    <m/>
    <m/>
  </r>
  <r>
    <x v="9"/>
    <n v="71951065"/>
    <s v="GONZALEZ "/>
    <s v="GONZALEZ"/>
    <s v="CARLOS "/>
    <s v="ARTURO"/>
    <s v="VIGILANTE"/>
    <x v="2"/>
    <d v="2021-09-29T00:00:00"/>
    <d v="2021-10-15T00:00:00"/>
    <n v="17"/>
    <m/>
    <s v="VACACIONES"/>
    <m/>
    <m/>
    <m/>
    <m/>
  </r>
  <r>
    <x v="9"/>
    <n v="71686928"/>
    <s v="RIOS "/>
    <s v="ESTRADA"/>
    <s v="NESTOR"/>
    <s v="RAUL"/>
    <s v="VIGILANTE"/>
    <x v="2"/>
    <d v="2021-09-27T00:00:00"/>
    <d v="2021-10-13T00:00:00"/>
    <n v="17"/>
    <m/>
    <s v="VACACIONES"/>
    <m/>
    <m/>
    <m/>
    <m/>
  </r>
  <r>
    <x v="9"/>
    <n v="15532746"/>
    <s v="MARTINEZ"/>
    <s v="GOMEZ"/>
    <s v="JOHN"/>
    <s v="JAIRO"/>
    <s v="VIGILANTE"/>
    <x v="2"/>
    <d v="2021-09-27T00:00:00"/>
    <d v="2021-10-13T00:00:00"/>
    <n v="17"/>
    <m/>
    <s v="VACACIONES"/>
    <m/>
    <m/>
    <m/>
    <m/>
  </r>
  <r>
    <x v="9"/>
    <n v="71659119"/>
    <s v="RAMIREZ "/>
    <s v="RESTREPO"/>
    <s v="JOSE"/>
    <s v="DE JESUS"/>
    <s v="VIGILANTE"/>
    <x v="2"/>
    <d v="2021-09-24T00:00:00"/>
    <d v="2021-10-11T00:00:00"/>
    <n v="18"/>
    <m/>
    <s v="VACACIONES"/>
    <m/>
    <m/>
    <m/>
    <m/>
  </r>
  <r>
    <x v="9"/>
    <n v="1062877362"/>
    <s v="TORRES"/>
    <s v="SAMPAYO"/>
    <s v="JHON"/>
    <s v="JAIRO"/>
    <s v="VIGILANTE"/>
    <x v="0"/>
    <d v="2021-09-25T00:00:00"/>
    <d v="2021-09-27T00:00:00"/>
    <n v="3"/>
    <m/>
    <s v="PERMISO NO REMUNERADO"/>
    <m/>
    <m/>
    <m/>
    <m/>
  </r>
  <r>
    <x v="9"/>
    <n v="70435630"/>
    <s v="MANCO "/>
    <s v="USUGA"/>
    <s v="GILDARDO"/>
    <s v="ANTONIO"/>
    <s v="VIGILANTE"/>
    <x v="0"/>
    <d v="2021-09-26T00:00:00"/>
    <d v="2021-09-27T00:00:00"/>
    <n v="2"/>
    <m/>
    <s v="PERMISO NO REMUNERADO"/>
    <m/>
    <m/>
    <m/>
    <m/>
  </r>
  <r>
    <x v="9"/>
    <n v="1214731787"/>
    <s v="ZAPATA"/>
    <s v="TABARES"/>
    <s v="DAILYS"/>
    <s v="VIVIANA"/>
    <s v="VIGILANTE"/>
    <x v="0"/>
    <d v="2021-09-26T00:00:00"/>
    <d v="2021-09-26T00:00:00"/>
    <n v="1"/>
    <m/>
    <s v="PERMISO NO REMUNERADO"/>
    <m/>
    <m/>
    <m/>
    <m/>
  </r>
  <r>
    <x v="9"/>
    <n v="70660473"/>
    <s v="SANCHEZ"/>
    <s v="RAMIREZ"/>
    <s v="FERNANDO"/>
    <s v="DE JESUS"/>
    <s v="VIGILANTE"/>
    <x v="0"/>
    <d v="2021-09-18T00:00:00"/>
    <d v="2021-09-19T00:00:00"/>
    <n v="2"/>
    <m/>
    <s v="PERMISO NO REMUNERADO"/>
    <m/>
    <m/>
    <m/>
    <m/>
  </r>
  <r>
    <x v="9"/>
    <n v="1007460505"/>
    <s v="MONROY"/>
    <s v="RUEDA"/>
    <s v="ADRIAN "/>
    <s v="CAMILO"/>
    <s v="VIGILANTE"/>
    <x v="0"/>
    <d v="2021-09-26T00:00:00"/>
    <d v="2021-09-26T00:00:00"/>
    <n v="1"/>
    <m/>
    <s v="PERMISO NO REMUNERADO"/>
    <m/>
    <m/>
    <m/>
    <m/>
  </r>
  <r>
    <x v="9"/>
    <n v="71766822"/>
    <s v="GIRALDO"/>
    <s v="RODRIGUEZ"/>
    <s v="WILMAR"/>
    <s v="ALONSO"/>
    <s v="VIGILANTE"/>
    <x v="0"/>
    <d v="2021-09-27T00:00:00"/>
    <d v="2021-09-27T00:00:00"/>
    <n v="1"/>
    <m/>
    <s v="PERMISO NO REMUNERADO"/>
    <m/>
    <m/>
    <m/>
    <m/>
  </r>
  <r>
    <x v="9"/>
    <n v="3411306"/>
    <s v="ARIAS"/>
    <s v="SANCHEZ"/>
    <s v="LUIS"/>
    <s v="HERNANDO"/>
    <s v="VIGILANTE"/>
    <x v="0"/>
    <d v="2021-09-29T00:00:00"/>
    <d v="2021-10-03T00:00:00"/>
    <n v="5"/>
    <m/>
    <s v="LICENCIA DE LUTO"/>
    <m/>
    <m/>
    <m/>
    <m/>
  </r>
  <r>
    <x v="9"/>
    <n v="98484810"/>
    <s v="VELEZ"/>
    <s v="SALAZAR"/>
    <s v="JOHN"/>
    <s v="JAIRO"/>
    <s v="VIGILANTE"/>
    <x v="0"/>
    <m/>
    <m/>
    <m/>
    <m/>
    <s v="VACACIONES"/>
    <m/>
    <m/>
    <m/>
    <m/>
  </r>
  <r>
    <x v="10"/>
    <n v="71589781"/>
    <s v="LOTERO"/>
    <s v="OSSA"/>
    <s v="DIEGO"/>
    <s v="ALBERTO"/>
    <s v="VIGILANTE"/>
    <x v="1"/>
    <d v="2021-10-04T00:00:00"/>
    <d v="2021-10-08T00:00:00"/>
    <n v="5"/>
    <n v="6"/>
    <s v="TERCERA VEZ"/>
    <m/>
    <m/>
    <m/>
    <m/>
  </r>
  <r>
    <x v="10"/>
    <n v="98659253"/>
    <s v="CIFUENTES"/>
    <s v="PIEDRAHITA"/>
    <s v="ALONSO "/>
    <s v="ELIAS"/>
    <s v="VIGILANTE"/>
    <x v="1"/>
    <d v="2021-10-04T00:00:00"/>
    <d v="2021-10-06T00:00:00"/>
    <n v="3"/>
    <n v="6"/>
    <s v="SEGUNDA VEZ"/>
    <m/>
    <m/>
    <m/>
    <m/>
  </r>
  <r>
    <x v="10"/>
    <n v="1062876589"/>
    <s v="TORRES"/>
    <s v="SAMPAYO"/>
    <s v="LUIS "/>
    <s v="RAFAEL"/>
    <s v="VIGILANTE"/>
    <x v="0"/>
    <d v="2021-10-03T00:00:00"/>
    <d v="2021-10-07T00:00:00"/>
    <n v="5"/>
    <m/>
    <s v="PERMISO REMUNERADO"/>
    <m/>
    <m/>
    <m/>
    <m/>
  </r>
  <r>
    <x v="10"/>
    <n v="98563153"/>
    <s v="BEDOYA"/>
    <s v="HOYOS"/>
    <s v="HEIBER"/>
    <s v="NELSON"/>
    <s v="VIGILANTE"/>
    <x v="0"/>
    <d v="2021-10-16T00:00:00"/>
    <d v="2021-10-16T00:00:00"/>
    <n v="1"/>
    <m/>
    <s v="PERMISO NO REMUNERADO"/>
    <m/>
    <m/>
    <m/>
    <m/>
  </r>
  <r>
    <x v="10"/>
    <n v="1018348162"/>
    <s v="VERA"/>
    <s v="MAZO"/>
    <s v="MARIA"/>
    <s v="ISABEL"/>
    <s v="VIGILANTE"/>
    <x v="0"/>
    <d v="2021-10-02T00:00:00"/>
    <d v="2021-10-03T00:00:00"/>
    <n v="2"/>
    <m/>
    <s v="PERMISO NO REMUNERADO"/>
    <m/>
    <m/>
    <m/>
    <m/>
  </r>
  <r>
    <x v="10"/>
    <n v="43210112"/>
    <s v="PEREZ"/>
    <m/>
    <s v="MARIA"/>
    <s v="LUZBELIA"/>
    <s v="VIGILANTE"/>
    <x v="0"/>
    <d v="2021-10-04T00:00:00"/>
    <d v="2021-10-04T00:00:00"/>
    <n v="1"/>
    <m/>
    <s v="PERMISO NO REMUNERADO"/>
    <m/>
    <m/>
    <m/>
    <m/>
  </r>
  <r>
    <x v="10"/>
    <n v="1066574545"/>
    <s v="ARRIETA"/>
    <s v="MARTINEZ"/>
    <s v="LUISA"/>
    <s v="FERNANDA"/>
    <s v="VIGILANTE"/>
    <x v="0"/>
    <d v="2021-10-06T00:00:00"/>
    <d v="2021-10-06T00:00:00"/>
    <n v="1"/>
    <m/>
    <s v="PERMISO NO REMUNERADO"/>
    <m/>
    <m/>
    <m/>
    <m/>
  </r>
  <r>
    <x v="10"/>
    <n v="1045048620"/>
    <s v="RUIZ"/>
    <s v="RUIZ"/>
    <s v="YADIRA"/>
    <s v="ANDREA"/>
    <s v="VIGILANTE"/>
    <x v="0"/>
    <d v="2021-10-05T00:00:00"/>
    <d v="2021-10-05T00:00:00"/>
    <n v="1"/>
    <m/>
    <s v="PERMISO NO REMUNERADO"/>
    <m/>
    <m/>
    <m/>
    <m/>
  </r>
  <r>
    <x v="10"/>
    <n v="1001244374"/>
    <s v="CARDONA"/>
    <s v="CARVAJAL"/>
    <s v="ALEJANDRO"/>
    <m/>
    <s v="VIGILANTE"/>
    <x v="0"/>
    <d v="2021-10-03T00:00:00"/>
    <d v="2021-10-03T00:00:00"/>
    <n v="1"/>
    <m/>
    <s v="PERMISO NO REMUNERADO"/>
    <m/>
    <m/>
    <m/>
    <m/>
  </r>
  <r>
    <x v="10"/>
    <n v="71335134"/>
    <s v="VILLADA"/>
    <s v="RUIZ"/>
    <s v="JOHN"/>
    <s v="JAIRO"/>
    <s v="VIGILANTE"/>
    <x v="0"/>
    <d v="2021-10-02T00:00:00"/>
    <d v="2021-10-02T00:00:00"/>
    <n v="1"/>
    <m/>
    <s v="PERMISO NO REMUNERADO"/>
    <m/>
    <m/>
    <m/>
    <m/>
  </r>
  <r>
    <x v="10"/>
    <n v="71704175"/>
    <s v="PARDO"/>
    <s v="ESCOBAR"/>
    <s v="JHON"/>
    <s v="ARLEY"/>
    <s v="VIGILANTE"/>
    <x v="0"/>
    <d v="2021-10-02T00:00:00"/>
    <d v="2021-10-02T00:00:00"/>
    <n v="1"/>
    <m/>
    <s v="PERMISO NO REMUNERADO"/>
    <m/>
    <m/>
    <m/>
    <m/>
  </r>
  <r>
    <x v="10"/>
    <n v="98484810"/>
    <s v="VELEZ"/>
    <s v="SALAZAR"/>
    <s v="JOHN"/>
    <s v="JAIRO"/>
    <s v="VIGILANTE"/>
    <x v="0"/>
    <d v="2021-10-02T00:00:00"/>
    <d v="2021-10-02T00:00:00"/>
    <n v="1"/>
    <m/>
    <s v="PERMISO NO REMUNERADO"/>
    <m/>
    <m/>
    <m/>
    <m/>
  </r>
  <r>
    <x v="10"/>
    <n v="98514610"/>
    <s v="HENAO"/>
    <s v="SIERRA"/>
    <s v="LUIS "/>
    <s v="FERNANDO"/>
    <s v="VIGILANTE"/>
    <x v="1"/>
    <d v="2021-10-07T00:00:00"/>
    <d v="2021-10-09T00:00:00"/>
    <n v="3"/>
    <n v="24"/>
    <s v="PRIMERA VEZ"/>
    <m/>
    <m/>
    <m/>
    <m/>
  </r>
  <r>
    <x v="10"/>
    <n v="1036679982"/>
    <s v="PALENCIA"/>
    <s v="ALZATE"/>
    <s v="JUAN"/>
    <s v="CAMILO"/>
    <s v="VIGILANTE"/>
    <x v="2"/>
    <d v="2021-10-07T00:00:00"/>
    <d v="2021-10-25T00:00:00"/>
    <n v="19"/>
    <m/>
    <s v="VACACIONES"/>
    <m/>
    <m/>
    <m/>
    <m/>
  </r>
  <r>
    <x v="10"/>
    <n v="12625299"/>
    <s v="LAZALA"/>
    <s v="PATERNINA"/>
    <s v="LINO"/>
    <s v="ALBERTO"/>
    <s v="VIGILANTE"/>
    <x v="2"/>
    <d v="2021-09-28T00:00:00"/>
    <d v="2021-10-14T00:00:00"/>
    <n v="17"/>
    <m/>
    <s v="VACACIONES"/>
    <m/>
    <m/>
    <m/>
    <m/>
  </r>
  <r>
    <x v="10"/>
    <n v="1040737050"/>
    <s v="VALDERRAMA"/>
    <s v="TANGARIFE"/>
    <s v="YEISON"/>
    <s v="EISMAN"/>
    <s v="VIGILANTE"/>
    <x v="2"/>
    <d v="2021-10-06T00:00:00"/>
    <d v="2021-10-23T00:00:00"/>
    <n v="18"/>
    <m/>
    <s v="VACACIONES"/>
    <m/>
    <m/>
    <m/>
    <m/>
  </r>
  <r>
    <x v="10"/>
    <n v="1040754073"/>
    <s v="ANGEL"/>
    <s v="LONDOÑO"/>
    <s v="ANDREA"/>
    <s v="TATIANA"/>
    <s v="VIGILANTE"/>
    <x v="2"/>
    <m/>
    <m/>
    <n v="1"/>
    <m/>
    <s v="PAGO EN DINERO"/>
    <m/>
    <m/>
    <m/>
    <m/>
  </r>
  <r>
    <x v="10"/>
    <n v="98451569"/>
    <s v="POSADA"/>
    <s v="MONTOYA"/>
    <s v="OMAR "/>
    <s v="DE JESUS"/>
    <s v="VIGILANTE"/>
    <x v="2"/>
    <d v="2021-10-05T00:00:00"/>
    <d v="2021-10-12T00:00:00"/>
    <n v="8"/>
    <m/>
    <s v="VACACIONES"/>
    <m/>
    <m/>
    <m/>
    <m/>
  </r>
  <r>
    <x v="10"/>
    <n v="98451569"/>
    <s v="POSADA"/>
    <s v="MONTOYA"/>
    <s v="OMAR "/>
    <s v="DE JESUS"/>
    <s v="VIGILANTE"/>
    <x v="2"/>
    <d v="2021-10-13T00:00:00"/>
    <d v="2021-10-20T00:00:00"/>
    <n v="8"/>
    <m/>
    <s v="VACACIONES"/>
    <m/>
    <m/>
    <m/>
    <m/>
  </r>
  <r>
    <x v="10"/>
    <n v="19871004"/>
    <s v="ACOSTA"/>
    <s v="PABUENA"/>
    <s v="JORGE"/>
    <s v="ELIECER"/>
    <s v="VIGILANTE"/>
    <x v="2"/>
    <d v="2021-10-03T00:00:00"/>
    <d v="2021-10-10T00:00:00"/>
    <n v="8"/>
    <m/>
    <s v="VACACIONES"/>
    <m/>
    <m/>
    <m/>
    <m/>
  </r>
  <r>
    <x v="10"/>
    <n v="98708173"/>
    <s v="RUIZ"/>
    <s v="QUINTERO"/>
    <s v="JUAN"/>
    <s v="ESTEBAN"/>
    <s v="VIGILANTE"/>
    <x v="2"/>
    <d v="2021-10-01T00:00:00"/>
    <d v="2021-10-19T00:00:00"/>
    <n v="19"/>
    <m/>
    <s v="VACACIONES"/>
    <m/>
    <m/>
    <m/>
    <m/>
  </r>
  <r>
    <x v="10"/>
    <n v="3669363"/>
    <s v="PINO"/>
    <s v="CASTAÑO"/>
    <s v="GUSTAVO"/>
    <s v="DE JESUS"/>
    <s v="VIGILANTE"/>
    <x v="2"/>
    <d v="2021-10-11T00:00:00"/>
    <d v="2021-10-27T00:00:00"/>
    <n v="17"/>
    <m/>
    <s v="VACACIONES"/>
    <m/>
    <m/>
    <m/>
    <m/>
  </r>
  <r>
    <x v="10"/>
    <n v="71784176"/>
    <s v="AMAYA"/>
    <s v="MACIAS"/>
    <s v="ALEXANDER"/>
    <m/>
    <s v="VIGILANTE"/>
    <x v="2"/>
    <d v="2021-10-01T00:00:00"/>
    <d v="2021-10-19T00:00:00"/>
    <n v="19"/>
    <m/>
    <s v="VACACIONES"/>
    <m/>
    <m/>
    <m/>
    <m/>
  </r>
  <r>
    <x v="10"/>
    <n v="15259158"/>
    <s v="MARIN"/>
    <s v="MARIN"/>
    <s v="JHON "/>
    <s v="JAIRO"/>
    <s v="VIGILANTE"/>
    <x v="2"/>
    <d v="2021-10-05T00:00:00"/>
    <d v="2021-10-22T00:00:00"/>
    <n v="18"/>
    <m/>
    <s v="VACACIONES"/>
    <m/>
    <m/>
    <m/>
    <m/>
  </r>
  <r>
    <x v="10"/>
    <n v="1003310058"/>
    <s v="GONZALEZ"/>
    <s v="NISPERUZA"/>
    <s v="TEOBALDO"/>
    <s v="JOSE"/>
    <s v="VIGILANTE"/>
    <x v="2"/>
    <d v="2021-10-02T00:00:00"/>
    <d v="2021-10-20T00:00:00"/>
    <n v="19"/>
    <m/>
    <s v="VACACIONES"/>
    <m/>
    <m/>
    <m/>
    <m/>
  </r>
  <r>
    <x v="10"/>
    <n v="1040037918"/>
    <s v="OROZCO"/>
    <m/>
    <s v="JUAN"/>
    <s v="CAMILO"/>
    <s v="VIGILANTE"/>
    <x v="2"/>
    <d v="2021-10-04T00:00:00"/>
    <d v="2021-10-21T00:00:00"/>
    <n v="18"/>
    <m/>
    <s v="VACACIONES"/>
    <m/>
    <m/>
    <m/>
    <m/>
  </r>
  <r>
    <x v="10"/>
    <n v="1064313778"/>
    <s v="FLOREZ"/>
    <s v="RAMIREZ"/>
    <s v="HERMES"/>
    <s v="MANUEL"/>
    <s v="VIGILANTE"/>
    <x v="2"/>
    <d v="2021-10-01T00:00:00"/>
    <d v="2021-10-19T00:00:00"/>
    <n v="19"/>
    <m/>
    <s v="VACACIONES"/>
    <m/>
    <m/>
    <m/>
    <m/>
  </r>
  <r>
    <x v="10"/>
    <n v="71188981"/>
    <s v="AMAYA"/>
    <s v="GOMEZ"/>
    <s v="GERLEY"/>
    <s v="DE JESUS"/>
    <s v="VIGILANTE"/>
    <x v="2"/>
    <d v="2021-10-01T00:00:00"/>
    <d v="2021-10-19T00:00:00"/>
    <n v="19"/>
    <m/>
    <s v="VACACIONES"/>
    <m/>
    <m/>
    <m/>
    <m/>
  </r>
  <r>
    <x v="10"/>
    <n v="1128462244"/>
    <s v="ROBLES "/>
    <s v="HERRERA"/>
    <s v="JUAN"/>
    <s v="ESTEBAN"/>
    <s v="VIGILANTE"/>
    <x v="2"/>
    <d v="2021-10-07T00:00:00"/>
    <d v="2021-10-14T00:00:00"/>
    <n v="8"/>
    <m/>
    <s v="VACACIONES"/>
    <m/>
    <m/>
    <m/>
    <m/>
  </r>
  <r>
    <x v="10"/>
    <n v="1067957772"/>
    <s v="COGOLLO"/>
    <s v="RAMOS"/>
    <s v="DAIRO"/>
    <s v="JOSE"/>
    <s v="VIGILANTE"/>
    <x v="1"/>
    <d v="2021-10-07T00:00:00"/>
    <d v="2021-10-10T00:00:00"/>
    <n v="4"/>
    <n v="10"/>
    <s v="PRIMERA VEZ"/>
    <m/>
    <m/>
    <m/>
    <m/>
  </r>
  <r>
    <x v="10"/>
    <n v="71215189"/>
    <s v="GALVIS"/>
    <s v="LOPEZ"/>
    <s v="RODRIGO"/>
    <s v="ANDRES"/>
    <s v="VIGILANTE"/>
    <x v="2"/>
    <d v="2021-10-08T00:00:00"/>
    <d v="2021-10-26T00:00:00"/>
    <n v="19"/>
    <m/>
    <s v="VACACIONES"/>
    <m/>
    <m/>
    <m/>
    <m/>
  </r>
  <r>
    <x v="10"/>
    <n v="1214731787"/>
    <s v="ZAPATA"/>
    <s v="TABARES"/>
    <s v="DAILYS"/>
    <s v="VIVIANA"/>
    <s v="VIGILANTE"/>
    <x v="2"/>
    <d v="2021-10-07T00:00:00"/>
    <d v="2021-10-25T00:00:00"/>
    <n v="19"/>
    <m/>
    <s v="VACACIONES"/>
    <m/>
    <m/>
    <m/>
    <m/>
  </r>
  <r>
    <x v="10"/>
    <n v="1039760977"/>
    <s v="LEITON"/>
    <s v="HERNANDEZ"/>
    <s v="EDISSON"/>
    <s v="ALONSO"/>
    <s v="VIGILANTE"/>
    <x v="2"/>
    <d v="2021-10-08T00:00:00"/>
    <d v="2021-10-26T00:00:00"/>
    <n v="19"/>
    <m/>
    <s v="VACACIONES"/>
    <m/>
    <m/>
    <m/>
    <m/>
  </r>
  <r>
    <x v="10"/>
    <n v="70756389"/>
    <s v="CHAVERRA"/>
    <s v="MUÑOZ"/>
    <s v="ERLAN"/>
    <s v="DE JESUS"/>
    <s v="VIGILANTE"/>
    <x v="1"/>
    <d v="2021-10-11T00:00:00"/>
    <d v="2021-10-11T00:00:00"/>
    <n v="1"/>
    <n v="6"/>
    <s v="PRIMERA VEZ"/>
    <m/>
    <m/>
    <m/>
    <m/>
  </r>
  <r>
    <x v="10"/>
    <n v="1146436431"/>
    <s v="CHICA "/>
    <s v="ORTIZ"/>
    <s v="WILMAR "/>
    <s v="ARCANGEL"/>
    <s v="VIGILANTE"/>
    <x v="1"/>
    <d v="2021-10-11T00:00:00"/>
    <d v="2021-10-13T00:00:00"/>
    <n v="3"/>
    <n v="4"/>
    <s v="SEGUNDA VEZ"/>
    <m/>
    <m/>
    <m/>
    <m/>
  </r>
  <r>
    <x v="10"/>
    <n v="1054567241"/>
    <s v="NORIEGA"/>
    <s v="TORRES"/>
    <s v="JORGE"/>
    <s v="MANUEL"/>
    <s v="VIGILANTE"/>
    <x v="1"/>
    <d v="2021-10-11T00:00:00"/>
    <d v="2021-10-13T00:00:00"/>
    <n v="3"/>
    <n v="24"/>
    <s v="PRIMERA VEZ"/>
    <m/>
    <m/>
    <m/>
    <m/>
  </r>
  <r>
    <x v="10"/>
    <n v="43830625"/>
    <s v="RUIZ"/>
    <s v="LUNA"/>
    <s v="PAULA"/>
    <s v="ANDREA"/>
    <s v="ASISTENTE DE GESTION HUMANA"/>
    <x v="2"/>
    <d v="2021-10-19T00:00:00"/>
    <d v="2021-11-05T00:00:00"/>
    <n v="18"/>
    <m/>
    <s v="VACACIONES"/>
    <m/>
    <m/>
    <m/>
    <m/>
  </r>
  <r>
    <x v="10"/>
    <n v="1000634073"/>
    <s v="CESPEDES"/>
    <s v="SEPULVEDA"/>
    <s v="JOHN"/>
    <s v="ALEXANDER"/>
    <s v="VIGILANTE"/>
    <x v="2"/>
    <d v="2021-10-12T00:00:00"/>
    <d v="2021-10-29T00:00:00"/>
    <n v="18"/>
    <m/>
    <s v="VACACIONES"/>
    <m/>
    <m/>
    <m/>
    <m/>
  </r>
  <r>
    <x v="10"/>
    <n v="3507947"/>
    <s v="FERNANDEZ"/>
    <s v="RESTREPO"/>
    <s v="JORGE"/>
    <s v="HUGO"/>
    <s v="VIGILANTE"/>
    <x v="2"/>
    <d v="2021-10-11T00:00:00"/>
    <d v="2021-10-28T00:00:00"/>
    <n v="18"/>
    <m/>
    <s v="VACACIONES"/>
    <m/>
    <m/>
    <m/>
    <m/>
  </r>
  <r>
    <x v="10"/>
    <n v="71173826"/>
    <s v="CASTRO"/>
    <s v="SANCHEZ"/>
    <s v="UBIEL"/>
    <s v="DE JESUS"/>
    <s v="VIGILANTE"/>
    <x v="2"/>
    <d v="2021-10-11T00:00:00"/>
    <d v="2021-10-28T00:00:00"/>
    <n v="18"/>
    <m/>
    <s v="VACACIONES"/>
    <m/>
    <m/>
    <m/>
    <m/>
  </r>
  <r>
    <x v="10"/>
    <n v="1148697472"/>
    <s v="GONZALEZ"/>
    <s v="MEJIA"/>
    <s v="SEBASTIAN"/>
    <s v="DE JESUS"/>
    <s v="VIGILANTE"/>
    <x v="0"/>
    <d v="2021-10-10T00:00:00"/>
    <d v="2021-10-10T00:00:00"/>
    <n v="1"/>
    <m/>
    <s v="PERMISO REMUNERADO"/>
    <m/>
    <m/>
    <m/>
    <m/>
  </r>
  <r>
    <x v="10"/>
    <n v="10201537"/>
    <s v="MONTOYA"/>
    <s v="RIOS"/>
    <s v="JOAQUIN"/>
    <s v="EMILIO"/>
    <s v="VIGILANTE"/>
    <x v="0"/>
    <d v="2021-10-11T00:00:00"/>
    <d v="2021-10-15T00:00:00"/>
    <n v="5"/>
    <m/>
    <s v="PERMISO NO REMUNERADO"/>
    <m/>
    <m/>
    <m/>
    <m/>
  </r>
  <r>
    <x v="10"/>
    <n v="1097396763"/>
    <s v="BERMUDEZ"/>
    <s v="CHAVARRIAGA"/>
    <s v="CRISTIAN"/>
    <s v="DANILO"/>
    <s v="VIGILANTE"/>
    <x v="0"/>
    <d v="2021-10-09T00:00:00"/>
    <d v="2021-10-11T00:00:00"/>
    <n v="3"/>
    <m/>
    <s v="PERMISO NO REMUNERADO"/>
    <m/>
    <m/>
    <m/>
    <m/>
  </r>
  <r>
    <x v="10"/>
    <n v="71180926"/>
    <s v="BORNACELLY"/>
    <s v="GOMEZ"/>
    <s v="GUILLERMO"/>
    <s v="RAFAEL"/>
    <s v="VIGILANTE"/>
    <x v="0"/>
    <d v="2021-10-01T00:00:00"/>
    <d v="2021-10-03T00:00:00"/>
    <n v="3"/>
    <m/>
    <s v="PERMISO NO REMUNERADO"/>
    <m/>
    <m/>
    <m/>
    <m/>
  </r>
  <r>
    <x v="10"/>
    <n v="1066744021"/>
    <s v="GALINDO "/>
    <s v="PASTRANA"/>
    <s v="CARLOS"/>
    <s v="ENRIQUE"/>
    <s v="VIGILANTE"/>
    <x v="2"/>
    <d v="2021-10-15T00:00:00"/>
    <d v="2021-11-03T00:00:00"/>
    <n v="20"/>
    <m/>
    <s v="VACACIONES"/>
    <m/>
    <m/>
    <m/>
    <m/>
  </r>
  <r>
    <x v="10"/>
    <s v="BARRIOS"/>
    <s v="FERIA"/>
    <s v="JOHN"/>
    <s v="JAIRO"/>
    <m/>
    <s v="VIGILANTE"/>
    <x v="2"/>
    <d v="2021-10-12T00:00:00"/>
    <d v="2021-10-29T00:00:00"/>
    <n v="18"/>
    <m/>
    <s v="VACACIONES"/>
    <m/>
    <m/>
    <m/>
    <m/>
  </r>
  <r>
    <x v="10"/>
    <n v="10169639"/>
    <s v="RAMOS"/>
    <s v="URIBE"/>
    <s v="EDGAR "/>
    <s v="FERNANDO"/>
    <s v="VIGILANTE"/>
    <x v="2"/>
    <d v="2021-10-13T00:00:00"/>
    <d v="2021-10-30T00:00:00"/>
    <n v="18"/>
    <m/>
    <s v="VACACIONES"/>
    <m/>
    <m/>
    <m/>
    <m/>
  </r>
  <r>
    <x v="10"/>
    <n v="1073969817"/>
    <s v="YANEZ"/>
    <s v="RAMOZ"/>
    <s v="VICTOR "/>
    <s v="ALFONSO"/>
    <s v="VIGILANTE"/>
    <x v="2"/>
    <d v="2021-10-14T00:00:00"/>
    <d v="2021-11-02T00:00:00"/>
    <n v="20"/>
    <m/>
    <s v="VACACIONES"/>
    <m/>
    <m/>
    <m/>
    <m/>
  </r>
  <r>
    <x v="10"/>
    <n v="1017149200"/>
    <s v="GOMEZ"/>
    <s v="VASQUEZ"/>
    <s v="YAISMIN"/>
    <s v="TERESA"/>
    <s v="VIGILANTE"/>
    <x v="2"/>
    <d v="2021-10-08T00:00:00"/>
    <d v="2021-10-26T00:00:00"/>
    <n v="19"/>
    <m/>
    <s v="VACACIONES"/>
    <m/>
    <m/>
    <m/>
    <m/>
  </r>
  <r>
    <x v="10"/>
    <n v="32184373"/>
    <s v="ARBOLEDA"/>
    <s v="VELEZ"/>
    <s v="ILDA"/>
    <s v="MABEL"/>
    <s v="VIGILANTE"/>
    <x v="2"/>
    <d v="2021-10-12T00:00:00"/>
    <d v="2021-10-29T00:00:00"/>
    <n v="18"/>
    <m/>
    <s v="VACACIONES"/>
    <m/>
    <m/>
    <m/>
    <m/>
  </r>
  <r>
    <x v="10"/>
    <n v="1020393116"/>
    <s v="ASPRILLA"/>
    <m/>
    <s v="NORMAN "/>
    <s v="DARIO"/>
    <s v="VIGILANTE"/>
    <x v="0"/>
    <d v="2021-10-07T00:00:00"/>
    <d v="2021-10-13T00:00:00"/>
    <n v="7"/>
    <m/>
    <s v="PERMISO NO REMUNERADO"/>
    <m/>
    <m/>
    <m/>
    <m/>
  </r>
  <r>
    <x v="10"/>
    <n v="1128480310"/>
    <s v="GOEZ"/>
    <s v="GOEZ"/>
    <s v="ANDRES "/>
    <s v="ANTONIO"/>
    <s v="VIGILANTE"/>
    <x v="0"/>
    <d v="2021-10-04T00:00:00"/>
    <d v="2021-10-05T00:00:00"/>
    <n v="2"/>
    <m/>
    <s v="LICENCIA DE LUTO"/>
    <m/>
    <m/>
    <m/>
    <m/>
  </r>
  <r>
    <x v="10"/>
    <n v="1035834044"/>
    <s v="PARRA"/>
    <s v="RESTREPO"/>
    <s v="EDIL "/>
    <s v="SANTIAGO"/>
    <s v="VIGILANTE"/>
    <x v="0"/>
    <d v="2021-10-16T00:00:00"/>
    <d v="2021-10-17T00:00:00"/>
    <n v="2"/>
    <m/>
    <s v="PERMISO NO REMUNERADO"/>
    <m/>
    <m/>
    <m/>
    <m/>
  </r>
  <r>
    <x v="10"/>
    <n v="98761862"/>
    <s v="MORENO"/>
    <s v="ORTIZ"/>
    <s v="YURY"/>
    <m/>
    <s v="VIGILANTE"/>
    <x v="1"/>
    <d v="2021-10-19T00:00:00"/>
    <d v="2021-10-19T00:00:00"/>
    <n v="1"/>
    <n v="6"/>
    <s v="PRIMERA VEZ"/>
    <m/>
    <m/>
    <m/>
    <m/>
  </r>
  <r>
    <x v="10"/>
    <n v="70632324"/>
    <s v="ROLDAN"/>
    <s v="MISAS"/>
    <s v="EFRAIN"/>
    <s v="DE JESUS"/>
    <s v="VIGILANTE"/>
    <x v="2"/>
    <d v="2021-10-20T00:00:00"/>
    <d v="2021-11-06T00:00:00"/>
    <n v="18"/>
    <m/>
    <s v="VACACIONES"/>
    <m/>
    <m/>
    <m/>
    <m/>
  </r>
  <r>
    <x v="10"/>
    <n v="79506156"/>
    <s v="VARGAS "/>
    <s v="SANCHEZ"/>
    <s v="ORLANDO"/>
    <m/>
    <s v="VIGILANTE"/>
    <x v="2"/>
    <d v="2021-11-08T00:00:00"/>
    <d v="2021-11-25T00:00:00"/>
    <n v="18"/>
    <m/>
    <s v="VACACIONES"/>
    <m/>
    <m/>
    <m/>
    <m/>
  </r>
  <r>
    <x v="10"/>
    <n v="15527567"/>
    <s v="TAMANIS"/>
    <s v="AMELINES"/>
    <s v="LUIS"/>
    <s v="ALBERTO"/>
    <s v="VIGILANTE"/>
    <x v="2"/>
    <d v="2021-10-19T00:00:00"/>
    <d v="2021-10-26T00:00:00"/>
    <n v="8"/>
    <m/>
    <s v="VACACIONES"/>
    <m/>
    <m/>
    <m/>
    <m/>
  </r>
  <r>
    <x v="10"/>
    <n v="15527567"/>
    <s v="TAMANIS"/>
    <s v="AMELINES"/>
    <s v="LUIS"/>
    <s v="ALBERTO"/>
    <s v="VIGILANTE"/>
    <x v="2"/>
    <d v="2021-10-27T00:00:00"/>
    <d v="2021-11-03T00:00:00"/>
    <n v="8"/>
    <m/>
    <s v="VACACIONES"/>
    <m/>
    <m/>
    <m/>
    <m/>
  </r>
  <r>
    <x v="10"/>
    <n v="1017238420"/>
    <s v="ARREDONDO"/>
    <s v="GARCES"/>
    <s v="JUAN"/>
    <s v="PABLO"/>
    <s v="VIGILANTE"/>
    <x v="0"/>
    <d v="2021-10-08T00:00:00"/>
    <d v="2021-10-12T00:00:00"/>
    <n v="5"/>
    <m/>
    <s v="LICENCIA DE LUTO"/>
    <m/>
    <m/>
    <m/>
    <m/>
  </r>
  <r>
    <x v="10"/>
    <n v="70830641"/>
    <s v="GUARIN"/>
    <s v="GARCIA"/>
    <s v="WILSON "/>
    <s v="ARLEY"/>
    <s v="VIGILANTE"/>
    <x v="0"/>
    <d v="2021-10-17T00:00:00"/>
    <d v="2021-10-17T00:00:00"/>
    <n v="1"/>
    <m/>
    <s v="PERMISO NO REMUNERADO"/>
    <m/>
    <m/>
    <m/>
    <m/>
  </r>
  <r>
    <x v="10"/>
    <n v="15510508"/>
    <s v="GONZALEZ"/>
    <s v="VANEGAS"/>
    <s v="JOHN"/>
    <s v="JAIRO"/>
    <s v="VIGILANTE"/>
    <x v="0"/>
    <d v="2021-10-09T00:00:00"/>
    <d v="2021-10-10T00:00:00"/>
    <n v="2"/>
    <m/>
    <s v="PERMISO NO REMUNERADO"/>
    <m/>
    <m/>
    <m/>
    <m/>
  </r>
  <r>
    <x v="10"/>
    <n v="8462170"/>
    <s v="RAMIREZ "/>
    <s v="DIOSSA"/>
    <s v="ROBERT"/>
    <s v="                                                                                                                                                                                                                                       "/>
    <s v="VIGILANTE"/>
    <x v="0"/>
    <d v="2021-10-19T00:00:00"/>
    <d v="2021-10-20T00:00:00"/>
    <n v="2"/>
    <m/>
    <s v="PERMISO NO REMUNERADO"/>
    <m/>
    <m/>
    <m/>
    <m/>
  </r>
  <r>
    <x v="10"/>
    <n v="1066574545"/>
    <s v="ARRIETA"/>
    <s v="MARTINEZ"/>
    <s v="LUISA"/>
    <s v="FERNANDA"/>
    <s v="VIGILANTE"/>
    <x v="0"/>
    <d v="2021-10-20T00:00:00"/>
    <d v="2021-10-20T00:00:00"/>
    <n v="1"/>
    <m/>
    <s v="PERMISO NO REMUNERADO"/>
    <m/>
    <m/>
    <m/>
    <m/>
  </r>
  <r>
    <x v="10"/>
    <n v="6892121"/>
    <s v="CORREA"/>
    <s v="RUIZ"/>
    <s v="ALVARO"/>
    <s v="DE JESUS"/>
    <s v="VIGILANTE"/>
    <x v="0"/>
    <d v="2021-10-19T00:00:00"/>
    <d v="2021-10-20T00:00:00"/>
    <n v="2"/>
    <m/>
    <s v="PERMISO NO REMUNERADO"/>
    <m/>
    <m/>
    <m/>
    <m/>
  </r>
  <r>
    <x v="10"/>
    <n v="91354681"/>
    <s v="HERNANDEZ"/>
    <s v="COLEY"/>
    <s v="CARLOS "/>
    <s v="ABERTO"/>
    <s v="VIGILANTE"/>
    <x v="0"/>
    <d v="2021-10-19T00:00:00"/>
    <d v="2021-10-19T00:00:00"/>
    <n v="1"/>
    <m/>
    <s v="PERMISO NO REMUNERADO"/>
    <m/>
    <m/>
    <m/>
    <m/>
  </r>
  <r>
    <x v="10"/>
    <n v="1000289988"/>
    <s v="LONDOÑO"/>
    <s v="CASTAÑO"/>
    <s v="JULIAN"/>
    <s v="ANDREY"/>
    <s v="VIGILANTE"/>
    <x v="1"/>
    <d v="2021-10-22T00:00:00"/>
    <d v="2021-10-22T00:00:00"/>
    <n v="1"/>
    <n v="6"/>
    <s v="PRIMERA VEZ"/>
    <m/>
    <m/>
    <m/>
    <m/>
  </r>
  <r>
    <x v="10"/>
    <n v="71686928"/>
    <s v="RIOS "/>
    <s v="ESTRADA"/>
    <s v="NESTOR"/>
    <s v="RAUL"/>
    <s v="VIGILANTE"/>
    <x v="1"/>
    <d v="2021-10-22T00:00:00"/>
    <d v="2021-10-26T00:00:00"/>
    <n v="5"/>
    <n v="22"/>
    <s v="PRIMERA VEZ"/>
    <m/>
    <m/>
    <m/>
    <m/>
  </r>
  <r>
    <x v="10"/>
    <n v="3556779"/>
    <s v="OSORIO"/>
    <s v="SUAREZ"/>
    <s v="JHONNY"/>
    <s v="ANDRES"/>
    <s v="VIGILANTE"/>
    <x v="2"/>
    <d v="2021-10-21T00:00:00"/>
    <d v="2021-11-08T00:00:00"/>
    <n v="19"/>
    <m/>
    <s v="VACACIONES"/>
    <m/>
    <m/>
    <m/>
    <m/>
  </r>
  <r>
    <x v="10"/>
    <n v="15525107"/>
    <s v="SERNA"/>
    <s v="CASTAÑEDA"/>
    <s v="PEDRO"/>
    <s v="NOLASCO"/>
    <s v="VIGILANTE"/>
    <x v="2"/>
    <d v="2021-10-25T00:00:00"/>
    <d v="2021-11-11T00:00:00"/>
    <n v="18"/>
    <m/>
    <s v="VACACIONES"/>
    <m/>
    <m/>
    <m/>
    <m/>
  </r>
  <r>
    <x v="10"/>
    <n v="9991166"/>
    <s v="VARGAS "/>
    <s v="HERNANDEZ"/>
    <s v="GENIER"/>
    <m/>
    <s v="VIGILANTE"/>
    <x v="2"/>
    <d v="2021-10-27T00:00:00"/>
    <d v="2021-11-13T00:00:00"/>
    <n v="18"/>
    <m/>
    <s v="VACACIONES"/>
    <m/>
    <m/>
    <m/>
    <m/>
  </r>
  <r>
    <x v="10"/>
    <n v="77027311"/>
    <s v="RODRIGUEZ"/>
    <s v="IBARRA"/>
    <s v="CARLOS"/>
    <s v="ENRIQUE"/>
    <s v="VIGILANTE"/>
    <x v="2"/>
    <d v="2021-10-25T00:00:00"/>
    <d v="2021-11-11T00:00:00"/>
    <n v="18"/>
    <m/>
    <s v="VACACIONES"/>
    <m/>
    <m/>
    <m/>
    <m/>
  </r>
  <r>
    <x v="10"/>
    <n v="3434409"/>
    <s v="PEREZ"/>
    <s v="CANO"/>
    <s v="MEDARDO "/>
    <s v="DE JESUS"/>
    <s v="VIGILANTE"/>
    <x v="2"/>
    <d v="2021-10-26T00:00:00"/>
    <d v="2021-11-02T00:00:00"/>
    <n v="8"/>
    <m/>
    <s v="VACACIONES"/>
    <m/>
    <m/>
    <m/>
    <m/>
  </r>
  <r>
    <x v="10"/>
    <n v="3434409"/>
    <s v="PEREZ"/>
    <s v="CANO"/>
    <s v="MEDARDO "/>
    <s v="DE JESUS"/>
    <s v="VIGILANTE"/>
    <x v="2"/>
    <d v="2021-11-03T00:00:00"/>
    <d v="2021-11-10T00:00:00"/>
    <n v="8"/>
    <m/>
    <s v="VACACIONES"/>
    <m/>
    <m/>
    <m/>
    <m/>
  </r>
  <r>
    <x v="10"/>
    <n v="71370517"/>
    <s v="MUÑOZ"/>
    <s v="VEGA"/>
    <s v="JHON"/>
    <s v="ORLANDO"/>
    <s v="VIGILANTE"/>
    <x v="2"/>
    <m/>
    <m/>
    <n v="0"/>
    <m/>
    <s v="PAGO EN DINERO 3 PERIODOS"/>
    <m/>
    <m/>
    <m/>
    <m/>
  </r>
  <r>
    <x v="10"/>
    <n v="18396000"/>
    <s v="MARTINEZ"/>
    <s v="AGUDELO"/>
    <s v="JOSE"/>
    <s v="ALEXANDER"/>
    <s v="VIGILANTE"/>
    <x v="0"/>
    <d v="2021-10-21T00:00:00"/>
    <d v="2021-11-04T00:00:00"/>
    <n v="15"/>
    <m/>
    <s v="PERMISO NO REMUNERADO"/>
    <m/>
    <m/>
    <m/>
    <m/>
  </r>
  <r>
    <x v="10"/>
    <n v="1038063111"/>
    <s v="DEPENTIL"/>
    <s v="HINCAPIE"/>
    <s v="ANDRES "/>
    <s v="FELIPE"/>
    <s v="VIGILANTE"/>
    <x v="0"/>
    <d v="2021-10-24T00:00:00"/>
    <d v="2021-10-24T00:00:00"/>
    <n v="1"/>
    <m/>
    <s v="PERMISO NO REMUNERADO"/>
    <m/>
    <m/>
    <m/>
    <m/>
  </r>
  <r>
    <x v="10"/>
    <n v="71987067"/>
    <s v="RIOS"/>
    <s v="CAÑA"/>
    <s v="JORGE"/>
    <s v="IVAN"/>
    <s v="VIGILANTE"/>
    <x v="0"/>
    <d v="2021-10-23T00:00:00"/>
    <d v="2021-10-24T00:00:00"/>
    <n v="2"/>
    <m/>
    <s v="PERMISO NO REMUNERADO"/>
    <m/>
    <m/>
    <m/>
    <m/>
  </r>
  <r>
    <x v="10"/>
    <n v="43201943"/>
    <s v="VALDERRAMA"/>
    <s v="HOYOS"/>
    <s v="DIANA"/>
    <s v="JANETH"/>
    <s v="VIGILANTE"/>
    <x v="0"/>
    <d v="2021-10-16T00:00:00"/>
    <d v="2021-10-18T00:00:00"/>
    <n v="3"/>
    <m/>
    <s v="PERMISO NO REMUNERADO"/>
    <m/>
    <m/>
    <m/>
    <m/>
  </r>
  <r>
    <x v="10"/>
    <n v="1216717124"/>
    <s v="AGUDELO"/>
    <s v="LONDOÑO"/>
    <s v="JUAN"/>
    <s v="PABLO"/>
    <s v="VIGILANTE"/>
    <x v="0"/>
    <d v="2021-10-21T00:00:00"/>
    <d v="2021-10-21T00:00:00"/>
    <n v="1"/>
    <m/>
    <s v="PERMISO NO REMUNERADO"/>
    <m/>
    <m/>
    <m/>
    <m/>
  </r>
  <r>
    <x v="10"/>
    <n v="1036392869"/>
    <s v="MONTOYA"/>
    <s v="SOTO"/>
    <s v="JOHN"/>
    <s v="FREDY"/>
    <s v="VIGILANTE"/>
    <x v="0"/>
    <d v="2021-10-12T00:00:00"/>
    <d v="2021-10-16T00:00:00"/>
    <n v="5"/>
    <m/>
    <s v="PERMISO NO REMUNERADO"/>
    <m/>
    <m/>
    <m/>
    <m/>
  </r>
  <r>
    <x v="10"/>
    <n v="15387295"/>
    <s v="GARCIA"/>
    <s v="MORENO"/>
    <s v="HECTOR"/>
    <s v="ADRIAN "/>
    <s v="VIGILANTE"/>
    <x v="0"/>
    <d v="2021-10-24T00:00:00"/>
    <d v="2021-10-24T00:00:00"/>
    <n v="1"/>
    <m/>
    <s v="PERMISO NO REMUNERADO"/>
    <m/>
    <m/>
    <m/>
    <m/>
  </r>
  <r>
    <x v="10"/>
    <n v="1000655062"/>
    <s v="HINCAPIE"/>
    <s v="SEPULVEDA"/>
    <s v="JOSE"/>
    <s v="ANDERSON"/>
    <s v="VIGILANTE"/>
    <x v="0"/>
    <d v="2021-10-23T00:00:00"/>
    <d v="2021-10-23T00:00:00"/>
    <n v="1"/>
    <m/>
    <s v="PERMISO NO REMUNERADO"/>
    <m/>
    <m/>
    <m/>
    <m/>
  </r>
  <r>
    <x v="10"/>
    <n v="1035879638"/>
    <s v="MUÑOZ"/>
    <s v="MUÑOZ"/>
    <s v="MARLON"/>
    <s v="ALEJANDRO"/>
    <s v="VIGILANTE"/>
    <x v="1"/>
    <d v="2021-10-30T00:00:00"/>
    <d v="2021-10-30T00:00:00"/>
    <n v="1"/>
    <n v="4"/>
    <s v="PRIMERA VEZ"/>
    <m/>
    <m/>
    <m/>
    <m/>
  </r>
  <r>
    <x v="10"/>
    <n v="1037269695"/>
    <s v="HENAO"/>
    <s v="GOEZ"/>
    <s v="ALEX"/>
    <s v="ORLANDO"/>
    <s v="VIGILANTE"/>
    <x v="1"/>
    <d v="2021-10-31T00:00:00"/>
    <d v="2021-10-31T00:00:00"/>
    <n v="1"/>
    <n v="4"/>
    <s v="PRIMERA VEZ"/>
    <m/>
    <m/>
    <m/>
    <m/>
  </r>
  <r>
    <x v="10"/>
    <n v="1038770768"/>
    <s v="ARENAS"/>
    <s v="VELEZ"/>
    <s v="GUSTAVO"/>
    <m/>
    <s v="VIGILANTE"/>
    <x v="1"/>
    <d v="2021-10-27T00:00:00"/>
    <d v="2021-10-29T00:00:00"/>
    <n v="3"/>
    <n v="10"/>
    <s v="PRIMERA VEZ"/>
    <m/>
    <m/>
    <m/>
    <m/>
  </r>
  <r>
    <x v="10"/>
    <n v="1020393277"/>
    <s v="GARCIA"/>
    <s v="QUINTERO"/>
    <s v="DIEGO"/>
    <s v="ALEXANDER"/>
    <s v="VIGILANTE"/>
    <x v="1"/>
    <d v="2021-10-28T00:00:00"/>
    <d v="2021-11-01T00:00:00"/>
    <n v="5"/>
    <n v="22"/>
    <s v="PRIMERA VEZ"/>
    <m/>
    <m/>
    <m/>
    <m/>
  </r>
  <r>
    <x v="10"/>
    <n v="1001808537"/>
    <s v="ROMAN"/>
    <s v="CANO"/>
    <s v="SANTIAGO"/>
    <m/>
    <s v="VIGILANTE"/>
    <x v="1"/>
    <d v="2021-10-28T00:00:00"/>
    <d v="2021-10-30T00:00:00"/>
    <n v="3"/>
    <n v="10"/>
    <s v="PRIMERA VEZ"/>
    <m/>
    <m/>
    <m/>
    <m/>
  </r>
  <r>
    <x v="10"/>
    <n v="98565192"/>
    <s v="OSORIO"/>
    <s v="CARDONA"/>
    <s v="OSCAR"/>
    <s v="WBEIMAR"/>
    <s v="VIGILANTE"/>
    <x v="1"/>
    <d v="2021-10-28T00:00:00"/>
    <d v="2021-10-28T00:00:00"/>
    <n v="1"/>
    <n v="6"/>
    <s v="PRIMERA VEZ"/>
    <m/>
    <m/>
    <m/>
    <m/>
  </r>
  <r>
    <x v="10"/>
    <n v="1002488126"/>
    <s v="MENCO"/>
    <s v="JIMENEZ"/>
    <s v="EMIL"/>
    <s v="DANIEL"/>
    <s v="VIGILANTE"/>
    <x v="1"/>
    <d v="2021-10-28T00:00:00"/>
    <d v="2021-11-01T00:00:00"/>
    <n v="5"/>
    <n v="10"/>
    <s v="SEGUNDA VEZ"/>
    <m/>
    <m/>
    <m/>
    <m/>
  </r>
  <r>
    <x v="10"/>
    <n v="1133869996"/>
    <s v="OSORIO"/>
    <s v="PEREZ"/>
    <s v="WALBERTO"/>
    <s v="ANTONIO"/>
    <s v="VIGILANTE"/>
    <x v="2"/>
    <d v="2021-10-30T00:00:00"/>
    <d v="2021-11-18T00:00:00"/>
    <n v="20"/>
    <m/>
    <s v="VACACIONES"/>
    <m/>
    <m/>
    <m/>
    <m/>
  </r>
  <r>
    <x v="10"/>
    <n v="43210112"/>
    <s v="PEREZ"/>
    <m/>
    <s v="MARIA"/>
    <s v="LUZBELIA"/>
    <s v="VIGILANTE"/>
    <x v="2"/>
    <d v="2021-11-02T00:00:00"/>
    <d v="2021-11-19T00:00:00"/>
    <n v="18"/>
    <m/>
    <s v="VACACIONES"/>
    <m/>
    <m/>
    <m/>
    <m/>
  </r>
  <r>
    <x v="10"/>
    <n v="1037655208"/>
    <s v="GARRO"/>
    <s v="GIRALDO"/>
    <s v="DANIELA"/>
    <s v="ALEJANDRA"/>
    <s v="VIGILANTE"/>
    <x v="2"/>
    <d v="2021-10-30T00:00:00"/>
    <d v="2021-11-18T00:00:00"/>
    <n v="20"/>
    <m/>
    <s v="VACACIONES"/>
    <m/>
    <m/>
    <m/>
    <m/>
  </r>
  <r>
    <x v="10"/>
    <n v="8156170"/>
    <s v="MUÑOZ"/>
    <s v="CASTRILLON "/>
    <s v="INYERMAN"/>
    <s v="ALBERTO"/>
    <s v="VIGILANTE"/>
    <x v="2"/>
    <d v="2021-10-27T00:00:00"/>
    <d v="2021-11-13T00:00:00"/>
    <n v="18"/>
    <m/>
    <s v="VACACIONES"/>
    <m/>
    <m/>
    <m/>
    <m/>
  </r>
  <r>
    <x v="10"/>
    <n v="98713180"/>
    <s v="LOAIZA"/>
    <s v="GALLEGO"/>
    <s v="MIGUEL"/>
    <s v="ANGEL"/>
    <s v="VIGILANTE"/>
    <x v="2"/>
    <d v="2021-10-29T00:00:00"/>
    <d v="2021-11-17T00:00:00"/>
    <n v="20"/>
    <m/>
    <s v="VACACIONES"/>
    <m/>
    <m/>
    <m/>
    <m/>
  </r>
  <r>
    <x v="10"/>
    <n v="71055205"/>
    <s v="RODRIGUEZ"/>
    <s v="QUIROZ"/>
    <s v="IVAN"/>
    <s v="DARIO"/>
    <s v="VIGILANTE"/>
    <x v="2"/>
    <d v="2021-10-13T00:00:00"/>
    <d v="2021-10-30T00:00:00"/>
    <n v="18"/>
    <m/>
    <s v="VACACIONES"/>
    <m/>
    <m/>
    <m/>
    <m/>
  </r>
  <r>
    <x v="10"/>
    <n v="3556779"/>
    <s v="OSORIO"/>
    <s v="SUAREZ"/>
    <s v="JHONNY"/>
    <s v="ANDRES"/>
    <s v="VIGILANTE"/>
    <x v="2"/>
    <d v="2021-10-21T00:00:00"/>
    <d v="2021-11-08T00:00:00"/>
    <n v="19"/>
    <m/>
    <s v="VACACIONES"/>
    <m/>
    <m/>
    <m/>
    <m/>
  </r>
  <r>
    <x v="10"/>
    <n v="43117538"/>
    <s v="RUIZ"/>
    <s v="RAMIREZ"/>
    <s v="GLORIA"/>
    <s v="CECILIA"/>
    <s v="VIGILANTE"/>
    <x v="2"/>
    <d v="2021-10-30T00:00:00"/>
    <d v="2021-11-18T00:00:00"/>
    <n v="20"/>
    <m/>
    <s v="VACACIONES"/>
    <m/>
    <m/>
    <m/>
    <m/>
  </r>
  <r>
    <x v="10"/>
    <n v="1033338955"/>
    <s v="MEJIA"/>
    <s v="ROJAS"/>
    <s v="JHON "/>
    <s v="STIVEN"/>
    <s v="VIGILANTE"/>
    <x v="2"/>
    <d v="2021-10-28T00:00:00"/>
    <d v="2021-11-04T00:00:00"/>
    <n v="8"/>
    <m/>
    <s v="VACACIONES"/>
    <m/>
    <m/>
    <m/>
    <m/>
  </r>
  <r>
    <x v="10"/>
    <n v="71388762"/>
    <s v="ARIAS"/>
    <s v="RODRIGUEZ"/>
    <s v="JANNY"/>
    <s v="ADOLFO"/>
    <s v="VIGILANTE"/>
    <x v="2"/>
    <d v="2021-10-27T00:00:00"/>
    <d v="2021-11-03T00:00:00"/>
    <n v="8"/>
    <m/>
    <s v="VACACIONES"/>
    <m/>
    <m/>
    <m/>
    <m/>
  </r>
  <r>
    <x v="10"/>
    <n v="1033338955"/>
    <s v="MEJIA"/>
    <s v="ROJAS"/>
    <s v="JHON "/>
    <s v="STIVEN"/>
    <s v="VIGILANTE"/>
    <x v="2"/>
    <d v="2021-10-28T00:00:00"/>
    <d v="2021-11-04T00:00:00"/>
    <n v="8"/>
    <m/>
    <s v="VACACIONES"/>
    <m/>
    <m/>
    <m/>
    <m/>
  </r>
  <r>
    <x v="10"/>
    <n v="71771180"/>
    <s v="IBARRA"/>
    <s v="URREGO"/>
    <s v="ROBINSON "/>
    <s v="DE JESUS"/>
    <s v="VIGILANTE"/>
    <x v="2"/>
    <d v="2021-10-19T00:00:00"/>
    <d v="2021-11-05T00:00:00"/>
    <n v="18"/>
    <m/>
    <s v="VACACIONES"/>
    <m/>
    <m/>
    <m/>
    <m/>
  </r>
  <r>
    <x v="10"/>
    <n v="71723350"/>
    <s v="ESTRADA"/>
    <m/>
    <s v="FABIAN "/>
    <s v="DE JESUS"/>
    <s v="VIGILANTE"/>
    <x v="2"/>
    <d v="2021-10-30T00:00:00"/>
    <d v="2021-11-18T00:00:00"/>
    <n v="20"/>
    <m/>
    <s v="VACACIONES"/>
    <m/>
    <m/>
    <m/>
    <m/>
  </r>
  <r>
    <x v="10"/>
    <n v="1133869996"/>
    <s v="OSORIO"/>
    <s v="PEREZ"/>
    <s v="WALBERTO"/>
    <s v="ANTONIO"/>
    <s v="VIGILANTE"/>
    <x v="2"/>
    <d v="2021-10-30T00:00:00"/>
    <d v="2021-11-18T00:00:00"/>
    <n v="20"/>
    <m/>
    <s v="VACACIONES"/>
    <m/>
    <m/>
    <m/>
    <m/>
  </r>
  <r>
    <x v="10"/>
    <n v="70252687"/>
    <s v="MAZO"/>
    <s v="RAMIREZ"/>
    <s v="IVAN"/>
    <s v="DARIO"/>
    <s v="VIGILANTE"/>
    <x v="0"/>
    <d v="2021-10-31T00:00:00"/>
    <d v="2021-10-31T00:00:00"/>
    <n v="1"/>
    <m/>
    <s v="PERMISO NO REMUNERADO"/>
    <m/>
    <m/>
    <m/>
    <m/>
  </r>
  <r>
    <x v="10"/>
    <n v="6892121"/>
    <s v="CORREA"/>
    <s v="RUIZ"/>
    <s v="ALVARO"/>
    <s v="DE JESUS"/>
    <s v="VIGILANTE"/>
    <x v="0"/>
    <d v="2021-10-19T00:00:00"/>
    <d v="2021-10-20T00:00:00"/>
    <n v="2"/>
    <m/>
    <s v="PERMISO NO REMUNERADO"/>
    <m/>
    <m/>
    <m/>
    <m/>
  </r>
  <r>
    <x v="10"/>
    <n v="98554838"/>
    <s v="HENAO"/>
    <s v="CARDONA"/>
    <s v="JUAN"/>
    <s v="CARLOS"/>
    <s v="VIGILANTE"/>
    <x v="0"/>
    <d v="2021-10-31T00:00:00"/>
    <d v="2021-10-31T00:00:00"/>
    <n v="1"/>
    <m/>
    <s v="PERMISO NO REMUNERADO"/>
    <m/>
    <m/>
    <m/>
    <m/>
  </r>
  <r>
    <x v="10"/>
    <n v="71375285"/>
    <s v="HINCAPIE"/>
    <s v="RAMIREZ"/>
    <s v="YEREMY"/>
    <m/>
    <s v="VIGILANTE"/>
    <x v="0"/>
    <d v="2021-10-31T00:00:00"/>
    <d v="2021-11-02T00:00:00"/>
    <n v="3"/>
    <m/>
    <s v="PERMISO NO REMUNERADO"/>
    <m/>
    <m/>
    <m/>
    <m/>
  </r>
  <r>
    <x v="10"/>
    <n v="98515060"/>
    <s v="RAIGOSA"/>
    <s v="PEREZ"/>
    <s v="LUIS"/>
    <s v="OVIDIO"/>
    <s v="VIGILANTE"/>
    <x v="0"/>
    <d v="2021-10-28T00:00:00"/>
    <d v="2021-10-28T00:00:00"/>
    <n v="1"/>
    <m/>
    <s v="PERMISO NO REMUNERADO"/>
    <m/>
    <m/>
    <m/>
    <m/>
  </r>
  <r>
    <x v="10"/>
    <n v="71985350"/>
    <s v="ARREDONDO"/>
    <s v="SANCHEZ"/>
    <s v="JEORGE"/>
    <m/>
    <s v="VIGILANTE"/>
    <x v="0"/>
    <d v="2021-10-17T00:00:00"/>
    <d v="2021-10-18T00:00:00"/>
    <n v="2"/>
    <m/>
    <s v="PERMISO NO REMUNERADO"/>
    <m/>
    <m/>
    <m/>
    <m/>
  </r>
  <r>
    <x v="10"/>
    <n v="1127576502"/>
    <s v="PEREZ"/>
    <s v="BULA"/>
    <s v="CARLOS"/>
    <s v="ANDRES"/>
    <s v="VIGILANTE"/>
    <x v="0"/>
    <d v="2021-10-19T00:00:00"/>
    <d v="2021-10-20T00:00:00"/>
    <n v="2"/>
    <m/>
    <s v="PERMISO NO REMUNERADO"/>
    <m/>
    <m/>
    <m/>
    <m/>
  </r>
  <r>
    <x v="10"/>
    <n v="91136051"/>
    <s v="MATEUS"/>
    <s v="HERNANDEZ"/>
    <s v="ANDERSON"/>
    <s v="MIGUEL"/>
    <s v="VIGILANTE"/>
    <x v="0"/>
    <d v="2021-10-24T00:00:00"/>
    <d v="2021-10-24T00:00:00"/>
    <n v="1"/>
    <m/>
    <s v="PERMISO NO REMUNERADO"/>
    <m/>
    <m/>
    <m/>
    <m/>
  </r>
  <r>
    <x v="10"/>
    <n v="71589290"/>
    <s v="GARCIA"/>
    <s v="ZAPATA"/>
    <s v="EFREN"/>
    <s v="DARIO"/>
    <s v="VIGILANTE"/>
    <x v="0"/>
    <d v="2021-10-26T00:00:00"/>
    <d v="2021-10-27T00:00:00"/>
    <n v="2"/>
    <m/>
    <s v="PERMISO NO REMUNERADO"/>
    <m/>
    <m/>
    <m/>
    <m/>
  </r>
  <r>
    <x v="10"/>
    <n v="71762788"/>
    <s v="PEREIRA"/>
    <s v="QUINTERO"/>
    <s v="CARLOS "/>
    <s v="DAVID"/>
    <s v="VIGILANTE"/>
    <x v="0"/>
    <d v="2021-10-29T00:00:00"/>
    <d v="2021-10-30T00:00:00"/>
    <n v="2"/>
    <m/>
    <s v="PERMISO NO REMUNERADO"/>
    <m/>
    <m/>
    <m/>
    <m/>
  </r>
  <r>
    <x v="10"/>
    <n v="71746206"/>
    <s v="ORTIZ"/>
    <s v="ARBOLEDA "/>
    <s v="LUIS "/>
    <s v="FERNANDO"/>
    <s v="VIGILANTE"/>
    <x v="0"/>
    <d v="2021-10-29T00:00:00"/>
    <d v="2021-11-01T00:00:00"/>
    <n v="4"/>
    <m/>
    <s v="PERMISO NO REMUNERADO"/>
    <m/>
    <m/>
    <m/>
    <m/>
  </r>
  <r>
    <x v="10"/>
    <n v="1037607702"/>
    <s v="LOPEZ"/>
    <s v="AGUDELO"/>
    <s v="JOHN"/>
    <s v="ALEXANDER"/>
    <s v="VIGILANTE"/>
    <x v="0"/>
    <d v="2021-10-26T00:00:00"/>
    <d v="2021-10-26T00:00:00"/>
    <n v="1"/>
    <m/>
    <s v="PERMISO NO REMUNERADO"/>
    <m/>
    <m/>
    <m/>
    <m/>
  </r>
  <r>
    <x v="10"/>
    <n v="1037607008"/>
    <s v="RESTREPO"/>
    <s v="MORALES"/>
    <s v="DEIVIS"/>
    <s v="ALEXANDER"/>
    <s v="VIGILANTE"/>
    <x v="0"/>
    <d v="2021-10-31T00:00:00"/>
    <d v="2021-10-31T00:00:00"/>
    <n v="1"/>
    <m/>
    <s v="PERMISO NO REMUNERADO"/>
    <m/>
    <m/>
    <m/>
    <m/>
  </r>
  <r>
    <x v="11"/>
    <n v="71719849"/>
    <s v="GARCIA"/>
    <s v="GARCIA"/>
    <s v="JUAN "/>
    <s v="GUILLERMO"/>
    <s v="VIGILANTE"/>
    <x v="0"/>
    <d v="2021-11-03T00:00:00"/>
    <d v="2021-11-03T00:00:00"/>
    <n v="1"/>
    <m/>
    <s v="PERMISO REMUNERADO"/>
    <m/>
    <m/>
    <m/>
    <m/>
  </r>
  <r>
    <x v="11"/>
    <n v="71388762"/>
    <s v="ARIAS"/>
    <s v="RODRIGUEZ"/>
    <s v="JANNY"/>
    <s v="ADOLFO"/>
    <s v="VIGILANTE"/>
    <x v="2"/>
    <d v="2021-11-04T00:00:00"/>
    <d v="2021-11-10T00:00:00"/>
    <n v="7"/>
    <m/>
    <s v="VACACIONES"/>
    <m/>
    <m/>
    <m/>
    <m/>
  </r>
  <r>
    <x v="11"/>
    <n v="1067900953"/>
    <s v="YANEZ"/>
    <s v="OJEDA"/>
    <s v="OSCAR"/>
    <s v="JOSE"/>
    <s v="VIGILANTE"/>
    <x v="2"/>
    <d v="2021-11-04T00:00:00"/>
    <d v="2021-11-22T00:00:00"/>
    <n v="19"/>
    <m/>
    <s v="VACACIONES"/>
    <m/>
    <m/>
    <m/>
    <m/>
  </r>
  <r>
    <x v="11"/>
    <n v="71364030"/>
    <s v="MANRIQUE"/>
    <s v="VELEZ"/>
    <s v="CARLOS"/>
    <s v="ALBERTO"/>
    <s v="VIGILANTE"/>
    <x v="2"/>
    <d v="2021-11-02T00:00:00"/>
    <d v="2021-11-19T00:00:00"/>
    <n v="18"/>
    <m/>
    <s v="VACACIONES"/>
    <m/>
    <m/>
    <m/>
    <m/>
  </r>
  <r>
    <x v="11"/>
    <n v="76317577"/>
    <s v="CIFUENTES"/>
    <s v="ZUÑIGA"/>
    <s v="HERNAN "/>
    <s v="JAIR"/>
    <s v="VIGILANTE"/>
    <x v="2"/>
    <d v="2021-11-04T00:00:00"/>
    <d v="2021-11-22T00:00:00"/>
    <n v="19"/>
    <m/>
    <s v="VACACIONES"/>
    <m/>
    <m/>
    <m/>
    <m/>
  </r>
  <r>
    <x v="11"/>
    <n v="1054544458"/>
    <s v="RAMIREZ "/>
    <s v="OME"/>
    <s v="CRISTIAN"/>
    <s v="FABIAN"/>
    <s v="VIGILANTE"/>
    <x v="2"/>
    <d v="2021-11-11T00:00:00"/>
    <d v="2021-11-25T00:00:00"/>
    <n v="15"/>
    <m/>
    <s v="VACACIONES"/>
    <m/>
    <m/>
    <m/>
    <m/>
  </r>
  <r>
    <x v="11"/>
    <n v="70127902"/>
    <s v="PUERTA"/>
    <s v="SANTA"/>
    <s v="OSCAR"/>
    <s v="ALBEIRO"/>
    <s v="VIGILANTE"/>
    <x v="2"/>
    <d v="2021-11-16T00:00:00"/>
    <d v="2021-12-02T00:00:00"/>
    <n v="17"/>
    <m/>
    <s v="VACACIONES"/>
    <m/>
    <m/>
    <m/>
    <m/>
  </r>
  <r>
    <x v="11"/>
    <n v="71753184"/>
    <s v="AGUDELO"/>
    <s v="LOPEZ"/>
    <s v="JUAN"/>
    <s v="FELIPE"/>
    <s v="VIGILANTE"/>
    <x v="1"/>
    <d v="2021-11-03T00:00:00"/>
    <d v="2021-11-03T00:00:00"/>
    <n v="1"/>
    <n v="4"/>
    <s v="PRIMERA VEZ"/>
    <m/>
    <m/>
    <m/>
    <m/>
  </r>
  <r>
    <x v="11"/>
    <n v="1042064652"/>
    <s v="CARDONA"/>
    <s v="ACEVEDO"/>
    <s v="JOSE"/>
    <s v="FERNANDO"/>
    <s v="VIGILANTE"/>
    <x v="1"/>
    <d v="2021-11-02T00:00:00"/>
    <d v="2021-11-06T00:00:00"/>
    <n v="5"/>
    <n v="1"/>
    <s v="PRIMERA VEZ"/>
    <m/>
    <m/>
    <m/>
    <m/>
  </r>
  <r>
    <x v="11"/>
    <n v="1035873437"/>
    <s v="MONTOYA"/>
    <s v="MARIN"/>
    <s v="MIGUEL"/>
    <s v="ANGEL"/>
    <s v="VIGILANTE"/>
    <x v="1"/>
    <d v="2021-11-03T00:00:00"/>
    <d v="2021-11-07T00:00:00"/>
    <n v="5"/>
    <n v="10"/>
    <s v="SEGUNDA VEZ"/>
    <m/>
    <m/>
    <m/>
    <m/>
  </r>
  <r>
    <x v="11"/>
    <n v="1002066541"/>
    <s v="GARRO"/>
    <s v="GARCIA"/>
    <s v="JORGE"/>
    <s v="IVAN"/>
    <s v="VIGILANTE"/>
    <x v="1"/>
    <d v="2021-11-04T00:00:00"/>
    <d v="2021-11-08T00:00:00"/>
    <n v="5"/>
    <n v="1"/>
    <s v="PRIMERA VEZ"/>
    <m/>
    <m/>
    <m/>
    <m/>
  </r>
  <r>
    <x v="11"/>
    <n v="71685426"/>
    <s v="GUERRA"/>
    <s v="RODRIGUEZ"/>
    <s v="JAMES"/>
    <s v="ENRIQUE"/>
    <s v="VIGILANTE"/>
    <x v="1"/>
    <d v="2021-11-05T00:00:00"/>
    <d v="2021-11-09T00:00:00"/>
    <n v="5"/>
    <n v="6"/>
    <s v="SEGUNDA VEZ"/>
    <m/>
    <m/>
    <m/>
    <m/>
  </r>
  <r>
    <x v="11"/>
    <n v="71379947"/>
    <s v="AGUDELO"/>
    <s v="ZAPATA"/>
    <s v="YEISON"/>
    <s v="DE JESUS"/>
    <s v="VIGILANTE"/>
    <x v="1"/>
    <d v="2021-11-04T00:00:00"/>
    <d v="2021-11-08T00:00:00"/>
    <n v="5"/>
    <n v="22"/>
    <s v="PRIMERA VEZ"/>
    <m/>
    <m/>
    <m/>
    <m/>
  </r>
  <r>
    <x v="11"/>
    <n v="98554838"/>
    <s v="HENAO"/>
    <s v="CARDONA"/>
    <s v="JUAN"/>
    <s v="CARLOS"/>
    <s v="VIGILANTE"/>
    <x v="1"/>
    <d v="2021-11-04T00:00:00"/>
    <d v="2021-11-04T00:00:00"/>
    <n v="1"/>
    <n v="7"/>
    <s v="PRIMERA VEZ"/>
    <m/>
    <m/>
    <m/>
    <m/>
  </r>
  <r>
    <x v="11"/>
    <n v="93396256"/>
    <s v="TREJOS"/>
    <s v="RODRIGUEZ"/>
    <s v="ELKIN"/>
    <s v="ANTONIO"/>
    <s v="VIGILANTE"/>
    <x v="1"/>
    <d v="2021-11-09T00:00:00"/>
    <d v="2021-11-11T00:00:00"/>
    <n v="3"/>
    <n v="6"/>
    <s v="SEGUNDA VEZ"/>
    <m/>
    <m/>
    <m/>
    <m/>
  </r>
  <r>
    <x v="11"/>
    <n v="1148697472"/>
    <s v="GONZALEZ"/>
    <s v="MEJIA"/>
    <s v="SEBASTIAN"/>
    <m/>
    <s v="VIGILANTE"/>
    <x v="1"/>
    <d v="2021-11-09T00:00:00"/>
    <d v="2021-11-09T00:00:00"/>
    <n v="1"/>
    <n v="4"/>
    <s v="PRIMERA VEZ"/>
    <m/>
    <m/>
    <m/>
    <m/>
  </r>
  <r>
    <x v="11"/>
    <n v="1020452896"/>
    <s v="ESTRADA"/>
    <s v="OQUENDO"/>
    <s v="SERGIO"/>
    <s v="ANDRES"/>
    <s v="VIGILANTE"/>
    <x v="1"/>
    <d v="2021-11-10T00:00:00"/>
    <d v="2021-11-14T00:00:00"/>
    <n v="5"/>
    <n v="1"/>
    <s v="PRIMERA VEZ"/>
    <m/>
    <m/>
    <m/>
    <m/>
  </r>
  <r>
    <x v="11"/>
    <n v="98487368"/>
    <s v="RUEDA"/>
    <s v="GIRALDO"/>
    <s v="CARLOS "/>
    <s v="ALBERTO"/>
    <s v="VIGILANTE"/>
    <x v="1"/>
    <d v="2021-11-12T00:00:00"/>
    <d v="2021-11-12T00:00:00"/>
    <n v="1"/>
    <n v="6"/>
    <s v="PRIMERA VEZ"/>
    <m/>
    <m/>
    <m/>
    <m/>
  </r>
  <r>
    <x v="11"/>
    <n v="42981231"/>
    <s v="HINCAPIE"/>
    <s v="VALENCIA"/>
    <s v="MARIA "/>
    <s v="VICTORIA"/>
    <s v="EJECUTIVO DE SERVICIO"/>
    <x v="2"/>
    <d v="2021-11-11T00:00:00"/>
    <d v="2021-11-25T00:00:00"/>
    <n v="15"/>
    <m/>
    <s v="VACACIONES"/>
    <m/>
    <m/>
    <m/>
    <m/>
  </r>
  <r>
    <x v="11"/>
    <n v="91444147"/>
    <s v="SANCHEZ"/>
    <s v="PALACIO"/>
    <s v="RUGER"/>
    <s v="OMAR"/>
    <s v="VIGILANTE"/>
    <x v="2"/>
    <d v="2021-11-12T00:00:00"/>
    <d v="2021-11-19T00:00:00"/>
    <n v="8"/>
    <m/>
    <s v="VACACIONES"/>
    <m/>
    <m/>
    <m/>
    <m/>
  </r>
  <r>
    <x v="11"/>
    <n v="98496895"/>
    <s v="MORA"/>
    <s v="GUTIERREZ"/>
    <s v="CARLOS"/>
    <s v="ALBERTO"/>
    <s v="VIGILANTE"/>
    <x v="2"/>
    <d v="2021-11-11T00:00:00"/>
    <d v="2021-11-18T00:00:00"/>
    <n v="8"/>
    <m/>
    <s v="VACACIONES"/>
    <m/>
    <m/>
    <m/>
    <m/>
  </r>
  <r>
    <x v="11"/>
    <n v="98496895"/>
    <s v="MORA"/>
    <s v="GUTIERREZ"/>
    <s v="CARLOS"/>
    <s v="ALBERTO"/>
    <s v="VIGILANTE"/>
    <x v="2"/>
    <d v="2021-11-19T00:00:00"/>
    <d v="2021-11-26T00:00:00"/>
    <n v="8"/>
    <m/>
    <s v="VACACIONES"/>
    <m/>
    <m/>
    <m/>
    <m/>
  </r>
  <r>
    <x v="11"/>
    <n v="9922983"/>
    <s v="RIOS"/>
    <s v="CASTAÑEDA"/>
    <s v="EVER"/>
    <s v="HUMBERTO"/>
    <s v="VIGILANTE"/>
    <x v="2"/>
    <d v="2021-11-10T00:00:00"/>
    <d v="2021-11-27T00:00:00"/>
    <n v="18"/>
    <m/>
    <s v="VACACIONES"/>
    <m/>
    <m/>
    <m/>
    <m/>
  </r>
  <r>
    <x v="11"/>
    <n v="1054544458"/>
    <s v="RAMIREZ "/>
    <s v="OME"/>
    <s v="CRISTIAN"/>
    <s v="FABIAN"/>
    <s v="VIGILANTE"/>
    <x v="2"/>
    <d v="2021-11-08T00:00:00"/>
    <d v="2021-11-25T00:00:00"/>
    <n v="18"/>
    <m/>
    <s v="VACACIONES"/>
    <m/>
    <m/>
    <m/>
    <m/>
  </r>
  <r>
    <x v="11"/>
    <n v="71701610"/>
    <s v="CAÑAS"/>
    <s v="VILLA"/>
    <s v="MARTIN"/>
    <s v="ALONSO"/>
    <s v="VIGILANTE"/>
    <x v="2"/>
    <d v="2021-11-04T00:00:00"/>
    <d v="2021-11-19T00:00:00"/>
    <n v="16"/>
    <m/>
    <s v="VACACIONES"/>
    <m/>
    <m/>
    <m/>
    <m/>
  </r>
  <r>
    <x v="11"/>
    <n v="71388762"/>
    <s v="ARIAS"/>
    <s v="RODRIGUEZ"/>
    <s v="JANNY"/>
    <s v="ADOLFO"/>
    <s v="VIGILANTE"/>
    <x v="2"/>
    <d v="2021-11-01T00:00:00"/>
    <d v="2021-11-15T00:00:00"/>
    <n v="15"/>
    <m/>
    <s v="VACACIONES"/>
    <m/>
    <m/>
    <m/>
    <m/>
  </r>
  <r>
    <x v="11"/>
    <n v="1117811823"/>
    <s v="CORREDOR "/>
    <s v="RIOS"/>
    <s v="FAIBER"/>
    <s v="ANDRES"/>
    <s v="VIGILANTE"/>
    <x v="2"/>
    <d v="2021-11-05T00:00:00"/>
    <d v="2021-11-23T00:00:00"/>
    <n v="19"/>
    <m/>
    <s v="VACACIONES"/>
    <m/>
    <m/>
    <m/>
    <m/>
  </r>
  <r>
    <x v="11"/>
    <n v="98525106"/>
    <s v="VELASQUEZ"/>
    <s v="ESPINOSA"/>
    <s v="JHON"/>
    <s v="JAIRO"/>
    <s v="VIGILANTE"/>
    <x v="0"/>
    <d v="2021-10-19T00:00:00"/>
    <d v="2021-10-22T00:00:00"/>
    <n v="4"/>
    <m/>
    <s v="LICENCIA DE LUTO"/>
    <m/>
    <m/>
    <m/>
    <m/>
  </r>
  <r>
    <x v="11"/>
    <n v="71252199"/>
    <s v="MORENO"/>
    <s v="VALOYES"/>
    <s v="JARRISON"/>
    <s v="ISAAC"/>
    <s v="VIGILANTE"/>
    <x v="0"/>
    <d v="2021-11-10T00:00:00"/>
    <d v="2021-11-12T00:00:00"/>
    <n v="3"/>
    <m/>
    <s v="PERMISO NO REMUNERADO"/>
    <m/>
    <m/>
    <m/>
    <m/>
  </r>
  <r>
    <x v="11"/>
    <n v="15295271"/>
    <s v="ZAPATA"/>
    <s v="CASTILLO"/>
    <s v="JUAN"/>
    <s v="GUILLERMO"/>
    <s v="VIGILANTE"/>
    <x v="0"/>
    <d v="2021-11-07T00:00:00"/>
    <d v="2021-11-09T00:00:00"/>
    <n v="3"/>
    <m/>
    <s v="PERMISO NO REMUNERADO"/>
    <m/>
    <m/>
    <m/>
    <m/>
  </r>
  <r>
    <x v="11"/>
    <n v="71527308"/>
    <s v="LOPEZ"/>
    <s v="URIBE"/>
    <s v="JUAN"/>
    <s v="ESTEBAN"/>
    <s v="VIGILANTE"/>
    <x v="0"/>
    <d v="2021-11-06T00:00:00"/>
    <d v="2021-11-06T00:00:00"/>
    <n v="1"/>
    <m/>
    <s v="PERMISO NO REMUNERADO"/>
    <m/>
    <m/>
    <m/>
    <m/>
  </r>
  <r>
    <x v="11"/>
    <n v="1039683154"/>
    <s v="AGUDELO"/>
    <s v="ARENAS"/>
    <s v="HERNANDO"/>
    <s v="ANDRES"/>
    <s v="VIGILANTE"/>
    <x v="0"/>
    <d v="2021-11-07T00:00:00"/>
    <d v="2021-11-07T00:00:00"/>
    <n v="1"/>
    <m/>
    <s v="PERMISO NO REMUNERADO"/>
    <m/>
    <m/>
    <m/>
    <m/>
  </r>
  <r>
    <x v="11"/>
    <n v="8126753"/>
    <s v="CARVAJAL"/>
    <s v="ROBLEDO"/>
    <s v="SERGIO"/>
    <s v="ALBERTO"/>
    <s v="VIGILANTE"/>
    <x v="0"/>
    <d v="2021-11-07T00:00:00"/>
    <d v="2021-11-08T00:00:00"/>
    <n v="2"/>
    <m/>
    <s v="PERMISO NO REMUNERADO"/>
    <m/>
    <m/>
    <m/>
    <m/>
  </r>
  <r>
    <x v="11"/>
    <n v="8056876"/>
    <s v="MONSALVE"/>
    <s v="ARIAS"/>
    <s v="FERNANDO"/>
    <s v="ALIRIO"/>
    <s v="VIGILANTE"/>
    <x v="0"/>
    <d v="2021-11-07T00:00:00"/>
    <d v="2021-11-07T00:00:00"/>
    <n v="1"/>
    <m/>
    <s v="PERMISO NO REMUNERADO"/>
    <m/>
    <m/>
    <m/>
    <m/>
  </r>
  <r>
    <x v="11"/>
    <n v="71589781"/>
    <s v="LOTERO"/>
    <s v="OSSA"/>
    <s v="DIEGO"/>
    <s v="ALBERTO"/>
    <s v="VIGILANTE"/>
    <x v="0"/>
    <m/>
    <m/>
    <m/>
    <m/>
    <s v="PERMISO NO REMUNERADO"/>
    <m/>
    <m/>
    <m/>
    <m/>
  </r>
  <r>
    <x v="11"/>
    <n v="3569016"/>
    <s v="PARRA"/>
    <s v="RIOS"/>
    <s v="ARIEL"/>
    <s v="DE JESUS"/>
    <s v="VIGILANTE"/>
    <x v="1"/>
    <d v="2021-11-16T00:00:00"/>
    <d v="2021-11-16T00:00:00"/>
    <n v="1"/>
    <n v="6"/>
    <s v="PRIMERA VEZ"/>
    <m/>
    <m/>
    <m/>
    <m/>
  </r>
  <r>
    <x v="9"/>
    <n v="1037583233"/>
    <s v="CASTRILLON"/>
    <s v="GARCIA"/>
    <s v="SERGIO"/>
    <s v="ANDRES"/>
    <s v="VIGILANTE"/>
    <x v="2"/>
    <d v="2021-09-13T00:00:00"/>
    <d v="2021-09-29T00:00:00"/>
    <n v="17"/>
    <m/>
    <s v="VACACIONES"/>
    <m/>
    <m/>
    <m/>
    <m/>
  </r>
  <r>
    <x v="11"/>
    <n v="1033338955"/>
    <s v="MEJIA"/>
    <s v="ROJAS"/>
    <s v="JHON "/>
    <s v="STIVEN"/>
    <s v="VIGILANTE"/>
    <x v="2"/>
    <d v="2021-11-17T00:00:00"/>
    <d v="2021-11-24T00:00:00"/>
    <n v="8"/>
    <m/>
    <s v="VACACIONES"/>
    <m/>
    <m/>
    <m/>
    <m/>
  </r>
  <r>
    <x v="11"/>
    <n v="1033338955"/>
    <s v="MEJIA"/>
    <s v="ROJAS"/>
    <s v="JHON "/>
    <s v="STIVEN"/>
    <s v="VIGILANTE"/>
    <x v="2"/>
    <d v="2021-11-25T00:00:00"/>
    <d v="2021-12-02T00:00:00"/>
    <n v="8"/>
    <m/>
    <s v="VACACIONES"/>
    <m/>
    <m/>
    <m/>
    <m/>
  </r>
  <r>
    <x v="11"/>
    <n v="1033338955"/>
    <s v="MEJIA"/>
    <s v="ROJAS"/>
    <s v="JHON "/>
    <s v="STIVEN"/>
    <s v="VIGILANTE"/>
    <x v="2"/>
    <d v="2021-12-03T00:00:00"/>
    <d v="2021-12-10T00:00:00"/>
    <n v="8"/>
    <m/>
    <s v="VACACIONES"/>
    <m/>
    <m/>
    <m/>
    <m/>
  </r>
  <r>
    <x v="11"/>
    <n v="71770967"/>
    <s v="TABORDA"/>
    <s v="PARRA"/>
    <s v="ALEX"/>
    <s v="MAURICIO"/>
    <s v="SUPERVISOR"/>
    <x v="2"/>
    <d v="2021-11-22T00:00:00"/>
    <d v="2021-11-29T00:00:00"/>
    <n v="8"/>
    <m/>
    <s v="VACACIONES"/>
    <m/>
    <m/>
    <m/>
    <m/>
  </r>
  <r>
    <x v="11"/>
    <n v="71770968"/>
    <s v="TABORDA"/>
    <s v="PARRA"/>
    <s v="ALEX"/>
    <s v="MAURICIO"/>
    <s v="SUPERVISOR"/>
    <x v="2"/>
    <d v="2021-11-30T00:00:00"/>
    <d v="2021-12-07T00:00:00"/>
    <n v="8"/>
    <m/>
    <s v="VACACIONES"/>
    <m/>
    <m/>
    <m/>
    <m/>
  </r>
  <r>
    <x v="11"/>
    <n v="1129044401"/>
    <s v="MOSQUERA"/>
    <s v="GARCIA"/>
    <s v="FREDY"/>
    <s v="ENOR"/>
    <s v="VIGILANTE"/>
    <x v="2"/>
    <d v="2021-11-16T00:00:00"/>
    <d v="2021-11-23T00:00:00"/>
    <n v="8"/>
    <m/>
    <s v="VACACIONES"/>
    <m/>
    <m/>
    <m/>
    <m/>
  </r>
  <r>
    <x v="11"/>
    <n v="1129044401"/>
    <s v="MOSQUERA"/>
    <s v="GARCIA"/>
    <s v="FREDY"/>
    <s v="ENOR"/>
    <s v="VIGILANTE"/>
    <x v="2"/>
    <d v="2021-11-24T00:00:00"/>
    <d v="2021-12-01T00:00:00"/>
    <n v="8"/>
    <m/>
    <s v="VACACIONES"/>
    <m/>
    <m/>
    <m/>
    <m/>
  </r>
  <r>
    <x v="11"/>
    <n v="91002376"/>
    <s v="RICO"/>
    <s v="ROJAS"/>
    <s v="MANUEL"/>
    <m/>
    <s v="VIGILANTE"/>
    <x v="2"/>
    <d v="2021-11-18T00:00:00"/>
    <d v="2021-11-25T00:00:00"/>
    <n v="8"/>
    <m/>
    <s v="VACACIONES"/>
    <m/>
    <m/>
    <m/>
    <m/>
  </r>
  <r>
    <x v="11"/>
    <n v="8431431"/>
    <s v="GONZALEZ"/>
    <s v="SANCHEZ"/>
    <s v="MILTON"/>
    <s v="OSBALDO"/>
    <s v="VIGILANTE"/>
    <x v="2"/>
    <d v="2021-11-18T00:00:00"/>
    <d v="2021-12-04T00:00:00"/>
    <n v="17"/>
    <m/>
    <s v="VACACIONES"/>
    <m/>
    <m/>
    <m/>
    <m/>
  </r>
  <r>
    <x v="11"/>
    <n v="8462170"/>
    <s v="RAMIREZ "/>
    <s v="DIOSSA"/>
    <s v="ROBERT"/>
    <m/>
    <s v="VIGILANTE"/>
    <x v="2"/>
    <d v="2021-11-16T00:00:00"/>
    <d v="2021-12-02T00:00:00"/>
    <n v="17"/>
    <m/>
    <s v="VACACIONES"/>
    <m/>
    <m/>
    <m/>
    <m/>
  </r>
  <r>
    <x v="11"/>
    <n v="98702620"/>
    <s v="OSORIO"/>
    <s v="RIOS"/>
    <s v="JESUS"/>
    <s v="ANIBAL"/>
    <s v="VIGILANTE"/>
    <x v="2"/>
    <d v="2021-11-16T00:00:00"/>
    <d v="2021-12-02T00:00:00"/>
    <n v="17"/>
    <m/>
    <s v="VACACIONES"/>
    <m/>
    <m/>
    <m/>
    <m/>
  </r>
  <r>
    <x v="11"/>
    <n v="15609339"/>
    <s v="MARTINEZ"/>
    <s v="URIBE"/>
    <s v="ALCIDES"/>
    <s v="DE JESUS"/>
    <s v="VIGILANTE"/>
    <x v="2"/>
    <d v="2021-11-13T00:00:00"/>
    <d v="2021-12-01T00:00:00"/>
    <n v="19"/>
    <m/>
    <s v="VACACIONES"/>
    <m/>
    <m/>
    <m/>
    <m/>
  </r>
  <r>
    <x v="11"/>
    <n v="1133869996"/>
    <s v="OSORIO"/>
    <s v="PEREZ"/>
    <s v="WALBERTO"/>
    <s v="ANTONIO"/>
    <s v="VIGILANTE"/>
    <x v="2"/>
    <d v="2021-11-19T00:00:00"/>
    <d v="2021-12-06T00:00:00"/>
    <n v="18"/>
    <m/>
    <s v="VACACIONES"/>
    <m/>
    <m/>
    <m/>
    <m/>
  </r>
  <r>
    <x v="11"/>
    <n v="1020460677"/>
    <s v="ARBOLEDA"/>
    <s v="GALLEGO"/>
    <s v="ESTIVEN"/>
    <m/>
    <s v="VIGILANTE"/>
    <x v="2"/>
    <d v="2021-11-18T00:00:00"/>
    <d v="2021-12-02T00:00:00"/>
    <n v="15"/>
    <m/>
    <s v="VACACIONES"/>
    <m/>
    <m/>
    <m/>
    <m/>
  </r>
  <r>
    <x v="11"/>
    <n v="1017159974"/>
    <s v="VARGAS "/>
    <s v="SANCHEZ"/>
    <s v="JAIME"/>
    <s v="ALBERTO"/>
    <s v="VIGILANTE"/>
    <x v="0"/>
    <d v="2021-10-29T00:00:00"/>
    <d v="2021-11-17T00:00:00"/>
    <n v="20"/>
    <m/>
    <s v="PERMISO NO REMUNERADO"/>
    <m/>
    <m/>
    <m/>
    <m/>
  </r>
  <r>
    <x v="11"/>
    <n v="1045048620"/>
    <s v="RUIZ"/>
    <s v="RUIZ"/>
    <s v="YADIRA"/>
    <s v="ANDREA"/>
    <s v="VIGILANTE"/>
    <x v="0"/>
    <d v="2021-11-20T00:00:00"/>
    <d v="2021-11-20T00:00:00"/>
    <n v="1"/>
    <m/>
    <s v="PERMISO NO REMUNERADO"/>
    <m/>
    <m/>
    <m/>
    <m/>
  </r>
  <r>
    <x v="11"/>
    <n v="70786990"/>
    <s v="LEON"/>
    <s v="JIMENEZ"/>
    <s v="DAYRON"/>
    <s v="DE JESUS"/>
    <s v="VIGILANTE"/>
    <x v="0"/>
    <d v="2021-11-13T00:00:00"/>
    <d v="2021-11-15T00:00:00"/>
    <n v="3"/>
    <m/>
    <s v="PERMISO NO REMUNERADO"/>
    <m/>
    <m/>
    <m/>
    <m/>
  </r>
  <r>
    <x v="11"/>
    <n v="1131519226"/>
    <s v="MUSUKE"/>
    <s v="FUNORATOFE"/>
    <s v="ELVER"/>
    <s v="GERARDO"/>
    <s v="VIGILANTE"/>
    <x v="0"/>
    <d v="2021-11-04T00:00:00"/>
    <d v="2021-11-04T00:00:00"/>
    <n v="1"/>
    <m/>
    <s v="PERMISO NO REMUNERADO"/>
    <m/>
    <m/>
    <m/>
    <m/>
  </r>
  <r>
    <x v="11"/>
    <n v="70528018"/>
    <s v="MORENO"/>
    <s v="GULFO"/>
    <s v="ROMAN"/>
    <m/>
    <s v="VIGILANTE"/>
    <x v="1"/>
    <d v="2021-11-23T00:00:00"/>
    <d v="2021-11-25T00:00:00"/>
    <n v="3"/>
    <n v="6"/>
    <s v="SEGUNDA VEZ"/>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n v="1"/>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2"/>
    <m/>
    <m/>
    <m/>
    <m/>
    <m/>
    <m/>
    <x v="4"/>
    <m/>
    <m/>
    <m/>
    <m/>
    <m/>
    <m/>
    <m/>
    <m/>
    <m/>
  </r>
  <r>
    <x v="13"/>
    <m/>
    <m/>
    <m/>
    <m/>
    <m/>
    <m/>
    <x v="4"/>
    <m/>
    <m/>
    <m/>
    <m/>
    <m/>
    <m/>
    <m/>
    <m/>
    <m/>
  </r>
</pivotCacheRecords>
</file>

<file path=xl/pivotCache/pivotCacheRecords2.xml><?xml version="1.0" encoding="utf-8"?>
<pivotCacheRecords xmlns="http://schemas.openxmlformats.org/spreadsheetml/2006/main" xmlns:r="http://schemas.openxmlformats.org/officeDocument/2006/relationships" count="1">
  <r>
    <x v="0"/>
    <m/>
    <m/>
    <m/>
    <m/>
    <m/>
    <m/>
    <m/>
    <m/>
    <m/>
    <x v="0"/>
    <m/>
    <x v="0"/>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7">
  <r>
    <x v="0"/>
    <n v="71625464"/>
    <s v="SEPULVEDA"/>
    <s v="ORTIZ"/>
    <s v="LEON"/>
    <s v="JAIRO"/>
    <s v="VIGILANTE "/>
    <d v="2022-01-05T00:00:00"/>
    <d v="2023-01-06T00:00:00"/>
    <n v="2"/>
    <n v="2"/>
    <s v="NO"/>
    <s v="NO"/>
    <x v="0"/>
    <s v="A083"/>
    <s v="OTRAS ENTERITIS VIRALES"/>
    <s v="SURA"/>
    <m/>
    <m/>
    <m/>
    <m/>
    <s v="ASUME LA EPS"/>
    <n v="1272005"/>
    <m/>
    <m/>
  </r>
  <r>
    <x v="0"/>
    <n v="1036687761"/>
    <s v="SUAREZ"/>
    <s v="TABARES"/>
    <s v="SANTIAGO "/>
    <m/>
    <s v="VIGILANTE "/>
    <d v="2023-01-01T00:00:00"/>
    <d v="2023-01-01T00:00:00"/>
    <n v="1"/>
    <n v="1"/>
    <s v="NO"/>
    <s v="NO"/>
    <x v="0"/>
    <s v="A083"/>
    <s v="OTRAS ENTERITIS VIRALES"/>
    <s v="SALUD TOTAL "/>
    <n v="0"/>
    <e v="#REF!"/>
    <n v="0"/>
    <n v="42400"/>
    <s v="ASUME LA EMPRESA "/>
    <n v="1272005"/>
    <n v="0"/>
    <n v="42400"/>
  </r>
  <r>
    <x v="0"/>
    <n v="1020403449"/>
    <s v="MEDINA"/>
    <s v="ZURITA"/>
    <s v="ANGEL"/>
    <s v="NORBEY"/>
    <s v="VIGILANTE "/>
    <d v="2023-01-02T00:00:00"/>
    <d v="2023-01-04T00:00:00"/>
    <n v="3"/>
    <n v="3"/>
    <s v="NO"/>
    <s v="NO"/>
    <x v="0"/>
    <s v="S822"/>
    <s v="FRACTURA DE LA DIAFISIS DE LA TIBIA"/>
    <s v="SURA"/>
    <m/>
    <d v="2023-01-05T00:00:00"/>
    <d v="2023-02-02T00:00:00"/>
    <n v="116000"/>
    <s v="ASUME LA EPS"/>
    <n v="1272005"/>
    <m/>
    <m/>
  </r>
  <r>
    <x v="0"/>
    <n v="3669363"/>
    <s v="PINO "/>
    <s v="CASTAÑO"/>
    <s v="GUSTAVO "/>
    <s v="DE JESUS "/>
    <s v="VIGILANTE "/>
    <d v="2023-01-02T00:00:00"/>
    <d v="2023-01-11T00:00:00"/>
    <n v="10"/>
    <n v="10"/>
    <s v="SI"/>
    <s v="SI"/>
    <x v="0"/>
    <s v="S821"/>
    <s v="FRACTURA DE LA EPIFISIS SUPERIOR DE LA TIBIA"/>
    <s v="SURA"/>
    <m/>
    <d v="2022-01-03T00:00:00"/>
    <m/>
    <m/>
    <s v="ASUME LA EPS"/>
    <n v="1272005"/>
    <m/>
    <m/>
  </r>
  <r>
    <x v="0"/>
    <n v="1020403449"/>
    <s v="MEDINA"/>
    <s v="ZURITA"/>
    <s v="ANGEL"/>
    <s v="NORBEY"/>
    <s v="VIGILANTE "/>
    <d v="2023-01-02T00:00:00"/>
    <d v="2023-01-06T00:00:00"/>
    <n v="5"/>
    <n v="5"/>
    <s v="NO"/>
    <s v="NO"/>
    <x v="0"/>
    <s v="S800"/>
    <s v="CONTUSION DE LA RODILLA"/>
    <s v="SOAT"/>
    <m/>
    <d v="2023-01-26T00:00:00"/>
    <d v="2023-02-02T00:00:00"/>
    <n v="116000"/>
    <s v="ASUME LA EPS"/>
    <n v="1272005"/>
    <m/>
    <m/>
  </r>
  <r>
    <x v="0"/>
    <n v="1060594475"/>
    <s v="DUARTE "/>
    <s v="CAÑAS "/>
    <s v="WALDER"/>
    <m/>
    <s v="VIGILANTE "/>
    <d v="2023-01-02T00:00:00"/>
    <d v="2023-01-03T00:00:00"/>
    <n v="2"/>
    <n v="2"/>
    <s v="NO"/>
    <s v="NO"/>
    <x v="0"/>
    <s v="F509"/>
    <s v="TRASTORNO DE LA INGESTION DE ALIMENTOS, NO ESPECIFICADO"/>
    <s v="NUEVA EPS"/>
    <m/>
    <m/>
    <m/>
    <m/>
    <s v="ASUME LA EPS"/>
    <m/>
    <m/>
    <m/>
  </r>
  <r>
    <x v="0"/>
    <n v="92543986"/>
    <s v="VARGAS "/>
    <s v="RODELO"/>
    <s v="JAVIER"/>
    <s v="DARIO"/>
    <s v="VIGILANTE "/>
    <d v="2023-01-03T00:00:00"/>
    <d v="2023-01-03T00:00:00"/>
    <n v="1"/>
    <n v="1"/>
    <s v="NO"/>
    <s v="NO"/>
    <x v="0"/>
    <s v="J00X"/>
    <s v="RINOFARINGITIS AGUDA (RESFRIADO COMUN)"/>
    <s v="SALUD TOTAL "/>
    <n v="0"/>
    <m/>
    <n v="0"/>
    <n v="42400"/>
    <s v="ASUME LA EMPRESA "/>
    <n v="1272005"/>
    <n v="0"/>
    <n v="42400"/>
  </r>
  <r>
    <x v="0"/>
    <n v="71748300"/>
    <s v="CASTAÑEDA"/>
    <s v="MORALES"/>
    <s v="CARLOS"/>
    <s v="ALBEIRO"/>
    <s v="VIGILANTE "/>
    <d v="2023-01-03T00:00:00"/>
    <d v="2023-01-12T00:00:00"/>
    <n v="10"/>
    <n v="10"/>
    <s v="NO"/>
    <s v="NO"/>
    <x v="0"/>
    <s v="S600"/>
    <s v="CONTUSION DE DEDO(S) DE LA MANO, SIN DAÑO DE LA(S) UÑA(S)"/>
    <s v="SOAT"/>
    <m/>
    <m/>
    <m/>
    <m/>
    <s v="ASUME LA EPS"/>
    <n v="1272005"/>
    <m/>
    <m/>
  </r>
  <r>
    <x v="0"/>
    <n v="43117538"/>
    <s v="RUIZ "/>
    <s v="RAMIREZ "/>
    <s v="GLORIA"/>
    <s v="CECILIA"/>
    <s v="VIGILANTE "/>
    <d v="2023-01-04T00:00:00"/>
    <d v="2023-01-13T00:00:00"/>
    <n v="10"/>
    <n v="10"/>
    <s v="SI"/>
    <s v="SI"/>
    <x v="1"/>
    <s v="S834"/>
    <s v="ESGUINCES Y TORCEDURAS QUE COMPROMETEN LOS LIGAMENTOS LATERALES (EXTERNO) (INTERNO) DE LA RODILLA"/>
    <s v="SEGUROS BOLIVAR "/>
    <m/>
    <m/>
    <m/>
    <m/>
    <s v="ASUME LA EPS"/>
    <n v="1272005"/>
    <m/>
    <m/>
  </r>
  <r>
    <x v="0"/>
    <n v="71319430"/>
    <s v="DURANGO"/>
    <m/>
    <s v="ERNESTO"/>
    <m/>
    <s v="VIGILANTE "/>
    <d v="2023-01-04T00:00:00"/>
    <d v="2023-01-18T00:00:00"/>
    <n v="15"/>
    <n v="15"/>
    <s v="NO"/>
    <s v="NO"/>
    <x v="0"/>
    <s v="T841"/>
    <s v="COMPLICACION MECANICA DE DISPOSITIVO DE FIJACION INTERNA DE HUESOS DE UN MIEMBRO"/>
    <s v="SURA"/>
    <m/>
    <d v="2023-01-06T00:00:00"/>
    <d v="2023-01-17T00:00:00"/>
    <n v="502667"/>
    <s v="ASUME LA EPS"/>
    <n v="1272005"/>
    <m/>
    <m/>
  </r>
  <r>
    <x v="0"/>
    <n v="15309929"/>
    <s v="GALVIS"/>
    <s v="CASTRO"/>
    <s v="NICOLAS"/>
    <s v="EMIRO"/>
    <s v="VIGILANTE "/>
    <d v="2023-01-04T00:00:00"/>
    <d v="2023-01-08T00:00:00"/>
    <n v="5"/>
    <n v="5"/>
    <s v="NO"/>
    <s v="NO"/>
    <x v="0"/>
    <s v="M238"/>
    <s v="OTROS TRASTORNOS INTERNOS DE LA RODILLA"/>
    <s v="SURA"/>
    <m/>
    <d v="2023-01-07T00:00:00"/>
    <d v="2023-06-22T00:00:00"/>
    <n v="193333"/>
    <s v="ASUME LA EPS"/>
    <n v="1272005"/>
    <m/>
    <m/>
  </r>
  <r>
    <x v="0"/>
    <n v="71676289"/>
    <s v="MARIN"/>
    <s v="CASTRO"/>
    <s v="WILLSON"/>
    <s v="LEON"/>
    <s v="VIGILANTE "/>
    <d v="2023-01-05T00:00:00"/>
    <d v="2023-01-19T00:00:00"/>
    <n v="15"/>
    <n v="15"/>
    <s v="NO"/>
    <s v="NO"/>
    <x v="0"/>
    <s v="S983"/>
    <s v="AMPUTACION TRAUMATICA DE OTRAS PARTES DEL PIE"/>
    <s v="SURA"/>
    <m/>
    <m/>
    <m/>
    <m/>
    <s v="ASUME LA EPS"/>
    <n v="1272005"/>
    <m/>
    <m/>
  </r>
  <r>
    <x v="0"/>
    <n v="8156170"/>
    <s v="MUÑOZ"/>
    <s v="CASTRILLON "/>
    <s v="INYERMAN"/>
    <s v="ALBERTO"/>
    <s v="VIGILANTE "/>
    <d v="2023-01-09T00:00:00"/>
    <d v="2023-01-10T00:00:00"/>
    <n v="2"/>
    <n v="2"/>
    <s v="NO"/>
    <s v="NO"/>
    <x v="0"/>
    <s v="F419"/>
    <s v="TRASTORNO DE ANSIEDAD , NO ESPECIFICADO"/>
    <s v="SURA"/>
    <m/>
    <m/>
    <m/>
    <m/>
    <s v="ASUME LA EPS"/>
    <n v="1272005"/>
    <m/>
    <m/>
  </r>
  <r>
    <x v="0"/>
    <n v="98496895"/>
    <s v="MORA "/>
    <s v="GUITIERREZ"/>
    <s v="CARLOS "/>
    <s v="ALBERTO "/>
    <s v="VIGILANTE "/>
    <d v="2023-01-11T00:00:00"/>
    <d v="2023-01-12T00:00:00"/>
    <n v="2"/>
    <n v="2"/>
    <s v="NO"/>
    <s v="NO"/>
    <x v="0"/>
    <s v="H400"/>
    <s v="SOSPECHA DE GLAUCOMA"/>
    <s v="SANITAS "/>
    <m/>
    <m/>
    <m/>
    <m/>
    <s v="ASUME LA EPS"/>
    <m/>
    <m/>
    <m/>
  </r>
  <r>
    <x v="0"/>
    <n v="3669363"/>
    <s v="PINO "/>
    <s v="CASTAÑO "/>
    <s v="GUSTAVO "/>
    <s v="DE JESUS "/>
    <s v="VIGILANTE "/>
    <d v="2023-01-12T00:00:00"/>
    <d v="2023-01-21T00:00:00"/>
    <n v="10"/>
    <n v="10"/>
    <s v="SI"/>
    <s v="SI"/>
    <x v="0"/>
    <s v="S821"/>
    <s v="FRACTURA DE LA EPIFISIS SUPERIOR DE LA TIBIA"/>
    <s v="SURA"/>
    <m/>
    <m/>
    <m/>
    <m/>
    <s v="ASUME LA EPS"/>
    <n v="1272005"/>
    <m/>
    <m/>
  </r>
  <r>
    <x v="0"/>
    <n v="3413683"/>
    <s v="RUIZ "/>
    <s v="VARGAS"/>
    <s v="RICARDO "/>
    <s v="ALONSO"/>
    <s v="VIGILANTE "/>
    <d v="2023-01-12T00:00:00"/>
    <d v="2023-01-13T00:00:00"/>
    <n v="2"/>
    <n v="2"/>
    <s v="NO"/>
    <s v="NO"/>
    <x v="0"/>
    <s v="R104"/>
    <s v="OTROS DOLORES ABDOMINALES Y LOS NO ESPECIFICADOS"/>
    <s v="SURA"/>
    <m/>
    <m/>
    <m/>
    <m/>
    <s v="ASUME LA EPS"/>
    <n v="1272005"/>
    <m/>
    <m/>
  </r>
  <r>
    <x v="0"/>
    <n v="70078677"/>
    <s v="GIRALDO"/>
    <s v="URIBE"/>
    <s v="JAIRO"/>
    <s v="DE JESUS "/>
    <s v="VIGILANTE "/>
    <d v="2023-01-12T00:00:00"/>
    <d v="2023-01-13T00:00:00"/>
    <n v="2"/>
    <n v="2"/>
    <s v="NO"/>
    <s v="NO"/>
    <x v="0"/>
    <s v="B24"/>
    <s v="ENFERMEDAD POR VIRUS DE LA INMUNODEFICIENCIA HUMANA (VIH), SIN OTRA ESPECIFICACION"/>
    <s v="SALUD TOTAL "/>
    <m/>
    <m/>
    <m/>
    <m/>
    <s v="ASUME LA EPS"/>
    <m/>
    <m/>
    <m/>
  </r>
  <r>
    <x v="0"/>
    <n v="70901186"/>
    <s v="CASTAÑO "/>
    <s v="GARCIA "/>
    <s v="HECTOR "/>
    <s v="MARIO"/>
    <s v="VIGILANTE "/>
    <d v="2023-01-12T00:00:00"/>
    <d v="2023-02-12T00:00:00"/>
    <n v="1"/>
    <n v="1"/>
    <s v="NO"/>
    <s v="NO"/>
    <x v="0"/>
    <s v="M179"/>
    <s v="GONARTROSIS, NO ESPECIFICADA"/>
    <s v="SURA"/>
    <n v="0"/>
    <m/>
    <n v="0"/>
    <n v="42400"/>
    <s v="ASUME LA EPS"/>
    <n v="1272005"/>
    <n v="0"/>
    <n v="42400"/>
  </r>
  <r>
    <x v="0"/>
    <n v="1152711359"/>
    <s v="PABON "/>
    <s v="URIBE"/>
    <s v="MICHAEL"/>
    <m/>
    <s v="VIGILANTE "/>
    <d v="2023-01-12T00:00:00"/>
    <d v="2023-01-13T00:00:00"/>
    <n v="2"/>
    <n v="2"/>
    <s v="NO"/>
    <s v="NO"/>
    <x v="0"/>
    <s v="K522"/>
    <s v="COLITIS Y GASTROENTERITIS ALERGICAS Y DIETETICAS"/>
    <s v="SALUD TOTAL "/>
    <m/>
    <m/>
    <m/>
    <m/>
    <s v="ASUME LA EPS"/>
    <m/>
    <m/>
    <m/>
  </r>
  <r>
    <x v="0"/>
    <n v="7633171"/>
    <s v="ROSADO "/>
    <s v="MEJIA "/>
    <s v="JHON "/>
    <s v="JAIRO"/>
    <s v="VIGILANTE "/>
    <d v="2023-01-12T00:00:00"/>
    <d v="2023-01-18T00:00:00"/>
    <n v="7"/>
    <n v="7"/>
    <s v="SI"/>
    <s v="NO"/>
    <x v="0"/>
    <s v="N390"/>
    <s v="INFECCION DE VIAS URINARIAS, SITIO NO ESPECIFICADO"/>
    <s v="SURA"/>
    <m/>
    <d v="2023-01-16T00:00:00"/>
    <d v="2023-02-02T00:00:00"/>
    <n v="232000"/>
    <s v="ASUME LA EPS"/>
    <n v="1272005"/>
    <m/>
    <m/>
  </r>
  <r>
    <x v="0"/>
    <n v="71193583"/>
    <s v="GUTIERREZ "/>
    <s v="ZAPATA "/>
    <s v="JUAN "/>
    <s v="CAMILO"/>
    <s v="VIGILANTE "/>
    <d v="2023-01-13T00:00:00"/>
    <d v="2023-01-17T00:00:00"/>
    <n v="5"/>
    <n v="5"/>
    <s v="SI"/>
    <s v="SI"/>
    <x v="0"/>
    <s v="S430"/>
    <s v="LUXACION DE LA ARTICULACION DEL HOMBRO"/>
    <s v="SURA"/>
    <m/>
    <d v="2023-01-16T00:00:00"/>
    <d v="2023-01-14T00:00:00"/>
    <n v="193333"/>
    <s v="ASUME LA EPS"/>
    <n v="1272005"/>
    <m/>
    <m/>
  </r>
  <r>
    <x v="0"/>
    <n v="71748300"/>
    <s v="CASTAÑEDA"/>
    <s v="MORALES"/>
    <s v="CARLOS "/>
    <s v="ALBEIRO "/>
    <s v="VIGILANTE "/>
    <d v="2023-01-13T00:00:00"/>
    <d v="2023-01-22T00:00:00"/>
    <n v="10"/>
    <n v="10"/>
    <s v="SI"/>
    <s v="SI"/>
    <x v="0"/>
    <s v="S600"/>
    <s v="CONTUSION DE DEDO(S) DE LA MANO, SIN DAÑO DE LA(S) UÑA(S)"/>
    <s v="SURA"/>
    <m/>
    <d v="2023-01-16T00:00:00"/>
    <d v="2023-03-07T00:00:00"/>
    <n v="386667"/>
    <s v="ASUME LA EPS"/>
    <n v="1272005"/>
    <m/>
    <m/>
  </r>
  <r>
    <x v="0"/>
    <n v="15309929"/>
    <s v="GALVIS "/>
    <s v="CASTRO"/>
    <s v="NICOLAS "/>
    <s v="EMIRO"/>
    <s v="VIGILANTE "/>
    <d v="2023-01-14T00:00:00"/>
    <d v="2023-01-28T00:00:00"/>
    <n v="15"/>
    <n v="15"/>
    <s v="SI"/>
    <s v="SI"/>
    <x v="0"/>
    <s v="S832"/>
    <s v="DESGARRO DE MENISCOS, PRESENTE"/>
    <s v="SURA"/>
    <m/>
    <d v="2023-01-16T00:00:00"/>
    <d v="2023-01-17T00:00:00"/>
    <n v="502667"/>
    <s v="ASUME LA EPS"/>
    <n v="1272005"/>
    <m/>
    <m/>
  </r>
  <r>
    <x v="0"/>
    <n v="43117538"/>
    <s v="RUIZ "/>
    <s v="RAMIREZ "/>
    <s v="GLORIA"/>
    <s v="CECILIA"/>
    <s v="VIGILANTE "/>
    <d v="2023-01-14T00:00:00"/>
    <d v="2023-01-28T00:00:00"/>
    <n v="15"/>
    <n v="15"/>
    <s v="SI"/>
    <s v="SI"/>
    <x v="1"/>
    <s v="S834"/>
    <s v="ESGUINCES Y TORCEDURAS QUE COMPROMETEN LOS LIGAMENTOS LATERALES (EXTERNO) (INTERNO) DE LA RODILLA"/>
    <s v="SEGUROS BOLIVAR "/>
    <m/>
    <m/>
    <m/>
    <m/>
    <s v="ASUME LA EPS"/>
    <n v="1272005"/>
    <m/>
    <m/>
  </r>
  <r>
    <x v="0"/>
    <n v="1073809676"/>
    <s v="FRANCO "/>
    <s v="TAPIA "/>
    <s v="FABIO "/>
    <m/>
    <s v="VIGILANTE "/>
    <d v="2023-01-14T00:00:00"/>
    <d v="2023-01-15T00:00:00"/>
    <n v="2"/>
    <n v="2"/>
    <s v="NO"/>
    <s v="NO"/>
    <x v="0"/>
    <s v="G439"/>
    <s v="MIGRAÑA, NO ESPECIFICADA"/>
    <s v="NUEVA EPS"/>
    <m/>
    <m/>
    <m/>
    <m/>
    <s v="ASUME LA EPS"/>
    <m/>
    <m/>
    <m/>
  </r>
  <r>
    <x v="0"/>
    <n v="1036622798"/>
    <s v="BETANCUR "/>
    <s v="GIL "/>
    <s v="DUVIAN "/>
    <s v="JHOBANNY"/>
    <s v="VIGILANTE "/>
    <d v="2023-01-15T00:00:00"/>
    <d v="2023-02-13T00:00:00"/>
    <n v="30"/>
    <n v="17"/>
    <s v="NO"/>
    <s v="SI"/>
    <x v="0"/>
    <s v="S923"/>
    <s v="FRACTURA DE HUESO DEL METATARSO"/>
    <s v="SOAT"/>
    <m/>
    <m/>
    <m/>
    <m/>
    <s v="ASUME LA EPS"/>
    <n v="1272005"/>
    <m/>
    <m/>
  </r>
  <r>
    <x v="0"/>
    <n v="70323164"/>
    <s v="SUAREZ "/>
    <s v="CASTRILLON "/>
    <s v="JOSE"/>
    <s v="AICARDO"/>
    <s v="VIGILANTE "/>
    <d v="2023-01-15T00:00:00"/>
    <d v="2023-02-13T00:00:00"/>
    <n v="30"/>
    <n v="17"/>
    <s v="NO"/>
    <s v="SI"/>
    <x v="0"/>
    <s v="A153"/>
    <s v="TUBERCULOSIS DEL PULMON , CONFIRMADA POR MEDIOS NO ESPECIFICADOS"/>
    <s v="SURA"/>
    <m/>
    <m/>
    <m/>
    <m/>
    <s v="ASUME LA EPS"/>
    <n v="1272005"/>
    <m/>
    <m/>
  </r>
  <r>
    <x v="0"/>
    <n v="1036622798"/>
    <s v="BETANCUR "/>
    <s v="GIL "/>
    <s v="DUVIAN "/>
    <s v="YHOBANNY"/>
    <s v="VIGILANTE "/>
    <d v="2023-01-15T00:00:00"/>
    <d v="2023-02-14T00:00:00"/>
    <n v="30"/>
    <n v="16"/>
    <s v="SI"/>
    <s v="SI"/>
    <x v="0"/>
    <s v="S999"/>
    <s v="TRAUMATISMO DEL PIE Y DEL TOBILLO, NO ESPECIFICADO"/>
    <s v="SURA"/>
    <m/>
    <d v="2023-01-18T00:00:00"/>
    <d v="2023-01-19T00:00:00"/>
    <n v="1160000"/>
    <s v="ASUME LA EPS"/>
    <n v="1272005"/>
    <m/>
    <m/>
  </r>
  <r>
    <x v="0"/>
    <n v="71686928"/>
    <s v="RIOS "/>
    <s v="ESTRADA"/>
    <s v="NESTOR"/>
    <s v="RAUL"/>
    <s v="VIGILANTE "/>
    <d v="2023-01-16T00:00:00"/>
    <d v="2023-01-16T00:00:00"/>
    <n v="1"/>
    <n v="1"/>
    <s v="NO"/>
    <s v="NO"/>
    <x v="0"/>
    <s v="R529"/>
    <s v="DOLOR, NO ESPECIFICADO"/>
    <s v="SANITAS "/>
    <n v="0"/>
    <m/>
    <n v="0"/>
    <n v="42400"/>
    <s v="ASUME LA EMPRESA "/>
    <n v="1272005"/>
    <n v="0"/>
    <n v="42400"/>
  </r>
  <r>
    <x v="0"/>
    <n v="43103123"/>
    <s v="BARRIENTOS "/>
    <s v="MONTOYA"/>
    <s v="LUZ "/>
    <s v="ESTHER"/>
    <s v="VIGILANTE "/>
    <d v="2023-01-17T00:00:00"/>
    <d v="2023-01-18T00:00:00"/>
    <n v="1"/>
    <n v="1"/>
    <s v="NO"/>
    <s v="NO"/>
    <x v="0"/>
    <s v="A083"/>
    <s v="OTRAS ENTERITIS VIRALES"/>
    <s v="SURA"/>
    <n v="0"/>
    <m/>
    <n v="0"/>
    <n v="42400"/>
    <s v="ASUME LA EPS"/>
    <n v="1272005"/>
    <n v="0"/>
    <n v="42400"/>
  </r>
  <r>
    <x v="0"/>
    <n v="71193583"/>
    <s v="GUTIERREZ "/>
    <s v="ZAPATA "/>
    <s v="JUAN "/>
    <s v="CAMILO"/>
    <s v="VIGILANTE "/>
    <d v="2023-01-18T00:00:00"/>
    <d v="2023-02-16T00:00:00"/>
    <n v="30"/>
    <n v="13"/>
    <s v="SI"/>
    <s v="SI"/>
    <x v="0"/>
    <s v="S430"/>
    <s v="LUXACION DE LA ARTICULACION DEL HOMBRO"/>
    <s v="SURA"/>
    <m/>
    <d v="2023-01-22T00:00:00"/>
    <d v="2023-02-14T00:00:00"/>
    <n v="1160000"/>
    <s v="ASUME LA EPS"/>
    <n v="1272005"/>
    <m/>
    <m/>
  </r>
  <r>
    <x v="0"/>
    <n v="98528134"/>
    <s v="ACOSTA "/>
    <s v="VELEZ "/>
    <s v="LUIS "/>
    <s v="CARLOS "/>
    <s v="VIGILANTE "/>
    <d v="2023-01-19T00:00:00"/>
    <d v="2023-01-20T00:00:00"/>
    <n v="2"/>
    <n v="2"/>
    <s v="NO"/>
    <s v="NO"/>
    <x v="0"/>
    <s v="M722"/>
    <s v="FIBROMATOSIS DE LA APONEUROSIS PLANTAR"/>
    <s v="SURA"/>
    <m/>
    <m/>
    <m/>
    <m/>
    <s v="ASUME LA EPS"/>
    <n v="1272005"/>
    <m/>
    <m/>
  </r>
  <r>
    <x v="0"/>
    <n v="71319430"/>
    <s v="DURANGO"/>
    <m/>
    <s v="ERNESTO"/>
    <m/>
    <s v="VIGILANTE "/>
    <d v="2023-01-19T00:00:00"/>
    <d v="2023-01-24T00:00:00"/>
    <n v="6"/>
    <n v="6"/>
    <s v="NO"/>
    <s v="NO"/>
    <x v="0"/>
    <s v="T841"/>
    <s v="COMPLICACION MECANICA DE DISPOSITIVO DE FIJACION INTERNA DE HUESOS DE UN MIEMBRO"/>
    <s v="SURA"/>
    <m/>
    <m/>
    <m/>
    <m/>
    <s v="ASUME LA EPS"/>
    <n v="1272005"/>
    <m/>
    <m/>
  </r>
  <r>
    <x v="0"/>
    <n v="1036649702"/>
    <s v="SEGURO"/>
    <s v="GIRALDO"/>
    <s v="JHON"/>
    <s v="EDUARD"/>
    <s v="VIGILANTE "/>
    <d v="2023-01-19T00:00:00"/>
    <d v="2023-01-20T00:00:00"/>
    <n v="2"/>
    <n v="2"/>
    <s v="NO"/>
    <s v="NO"/>
    <x v="0"/>
    <s v="R104"/>
    <s v="OTROS DOLORES ABDOMINALES Y LOS NO ESPECIFICADOS"/>
    <s v="SURA"/>
    <m/>
    <m/>
    <m/>
    <m/>
    <s v="ASUME LA EPS"/>
    <n v="1272005"/>
    <m/>
    <m/>
  </r>
  <r>
    <x v="0"/>
    <n v="7633171"/>
    <s v="ROSADO "/>
    <s v="MEJIA "/>
    <s v="JHON "/>
    <s v="JAIRO"/>
    <s v="VIGILANTE "/>
    <d v="2023-01-19T00:00:00"/>
    <d v="2023-01-25T00:00:00"/>
    <n v="7"/>
    <n v="7"/>
    <s v="NO"/>
    <s v="NO"/>
    <x v="0"/>
    <s v="N136"/>
    <s v="PIONEFROSIS"/>
    <s v="SURA"/>
    <m/>
    <d v="2023-01-25T00:00:00"/>
    <d v="2023-02-02T00:00:00"/>
    <n v="193333"/>
    <s v="ASUME LA EPS"/>
    <n v="1272005"/>
    <m/>
    <m/>
  </r>
  <r>
    <x v="0"/>
    <n v="71005195"/>
    <s v="HERNANDEZ "/>
    <s v="ZULUAGA "/>
    <s v="CARLOS "/>
    <s v="ARTURO"/>
    <s v="VIGILANTE "/>
    <d v="2023-01-20T00:00:00"/>
    <d v="2023-02-18T00:00:00"/>
    <n v="30"/>
    <n v="12"/>
    <s v="SI"/>
    <s v="SI"/>
    <x v="0"/>
    <s v="S420"/>
    <s v="FRACTURA DE LA CLAVICULA"/>
    <s v="SURA"/>
    <m/>
    <d v="2023-01-25T00:00:00"/>
    <d v="2023-02-14T00:00:00"/>
    <n v="1160000"/>
    <s v="ASUME LA EPS"/>
    <n v="1272005"/>
    <m/>
    <m/>
  </r>
  <r>
    <x v="1"/>
    <n v="1216722770"/>
    <s v="AGUDELO "/>
    <s v="ALVAREZ "/>
    <s v="ROJER"/>
    <s v="ALEJANDRO "/>
    <s v="VIGILANTE "/>
    <d v="2023-01-20T00:00:00"/>
    <d v="2023-02-18T00:00:00"/>
    <n v="30"/>
    <n v="10"/>
    <s v="SI"/>
    <s v="SI"/>
    <x v="0"/>
    <s v="S822"/>
    <s v="FRACTURA DE LA DIAFISIS DE LA TIBIA"/>
    <s v="NUEVA EPS"/>
    <m/>
    <d v="2023-02-20T00:00:00"/>
    <d v="2023-04-11T00:00:00"/>
    <n v="1160000"/>
    <s v="ASUME LA EPS"/>
    <n v="1272005"/>
    <m/>
    <m/>
  </r>
  <r>
    <x v="0"/>
    <n v="1039090990"/>
    <s v="HOYOS"/>
    <s v="CASTILLO"/>
    <s v="JUAN"/>
    <s v="DAVID"/>
    <s v="VIGILANTE "/>
    <d v="2023-01-21T00:00:00"/>
    <d v="2023-01-22T00:00:00"/>
    <n v="2"/>
    <n v="2"/>
    <s v="NO"/>
    <s v="NO"/>
    <x v="0"/>
    <s v="J069"/>
    <s v="INFECCION AGUDA DE LAS VIAS RESPIRATORIAS SUPERIORES, NO ESPECIFICADA"/>
    <s v="SURA"/>
    <m/>
    <m/>
    <m/>
    <m/>
    <s v="ASUME LA EPS"/>
    <n v="1272005"/>
    <m/>
    <m/>
  </r>
  <r>
    <x v="0"/>
    <n v="1216713788"/>
    <s v="HENAO "/>
    <s v="RINCON "/>
    <s v="ANDRES "/>
    <s v="MAURICIO "/>
    <s v="VIGILANTE "/>
    <d v="2023-01-21T00:00:00"/>
    <d v="2023-02-20T00:00:00"/>
    <n v="30"/>
    <n v="11"/>
    <s v="SI"/>
    <s v="SI"/>
    <x v="1"/>
    <s v="M233"/>
    <s v="OTROS TRASTORNOS DE LOS MENISCOS"/>
    <s v="SEGUROS BOLIVAR "/>
    <m/>
    <d v="2023-01-17T00:00:00"/>
    <s v="22//03/2023"/>
    <n v="1389274"/>
    <s v="ASUME LA EPS"/>
    <n v="1272005"/>
    <m/>
    <m/>
  </r>
  <r>
    <x v="0"/>
    <n v="11936325"/>
    <s v="GARCIA"/>
    <s v="CARMONA"/>
    <s v="JUAN "/>
    <s v="PABLO"/>
    <s v="VIGILANTE "/>
    <d v="2023-01-21T00:00:00"/>
    <d v="2023-02-19T00:00:00"/>
    <n v="30"/>
    <n v="11"/>
    <s v="SI"/>
    <s v="SI"/>
    <x v="0"/>
    <s v="S824"/>
    <s v="FRACTURA DEL PERONE SOLAMENTE"/>
    <s v="SOAT"/>
    <m/>
    <d v="2023-02-23T00:00:00"/>
    <d v="2023-03-13T00:00:00"/>
    <n v="1160000"/>
    <s v="ASUME LA EPS"/>
    <n v="1272005"/>
    <m/>
    <m/>
  </r>
  <r>
    <x v="0"/>
    <n v="1035422013"/>
    <s v="GARCIA"/>
    <s v="ROJAS"/>
    <s v="OSWALDO"/>
    <s v="ALEXANDER"/>
    <s v="VIGILANTE "/>
    <d v="2023-01-22T00:00:00"/>
    <d v="2023-01-23T00:00:00"/>
    <n v="2"/>
    <n v="2"/>
    <s v="NO"/>
    <s v="NO"/>
    <x v="0"/>
    <s v="N370"/>
    <s v="URETRITIS EN ENFERMEDADES CLASIFICADAS EN OTRA PARTE"/>
    <s v="SALUD TOTAL "/>
    <m/>
    <m/>
    <m/>
    <m/>
    <s v="ASUME LA EPS"/>
    <m/>
    <m/>
    <m/>
  </r>
  <r>
    <x v="0"/>
    <n v="21897516"/>
    <s v="PINEDA "/>
    <s v="OSPINA "/>
    <s v="ISABEL "/>
    <s v="CRISTINA "/>
    <s v="VIGILANTE "/>
    <d v="2023-01-22T00:00:00"/>
    <d v="2023-01-23T00:00:00"/>
    <n v="2"/>
    <n v="2"/>
    <s v="NO"/>
    <s v="NO"/>
    <x v="0"/>
    <s v="M545"/>
    <s v="LUMBAGO NO ESPECIFICADO"/>
    <s v="SALUD TOTAL "/>
    <m/>
    <m/>
    <m/>
    <m/>
    <s v="ASUME LA EPS"/>
    <m/>
    <m/>
    <m/>
  </r>
  <r>
    <x v="0"/>
    <n v="71748300"/>
    <s v="CASTAÑEDA"/>
    <s v="MORALES"/>
    <s v="CARLOS "/>
    <s v="ALBEIRO "/>
    <s v="VIGILANTE "/>
    <d v="2023-01-23T00:00:00"/>
    <d v="2023-02-01T00:00:00"/>
    <n v="10"/>
    <n v="10"/>
    <s v="SI"/>
    <s v="SI"/>
    <x v="0"/>
    <s v="S600"/>
    <s v="CONTUSION DE DEDO(S) DE LA MANO, SIN DAÑO DE LA(S) UÑA(S)"/>
    <s v="SURA"/>
    <m/>
    <d v="2023-01-26T00:00:00"/>
    <d v="2023-02-21T00:00:00"/>
    <n v="386667"/>
    <s v="ASUME LA EPS"/>
    <n v="1272005"/>
    <m/>
    <m/>
  </r>
  <r>
    <x v="0"/>
    <n v="3669363"/>
    <s v="PINO"/>
    <s v="CASTAÑO"/>
    <s v="GUSTAVO"/>
    <s v="DE JESUS"/>
    <s v="VIGILANTE "/>
    <d v="2023-01-23T00:00:00"/>
    <d v="2023-01-27T00:00:00"/>
    <n v="5"/>
    <n v="5"/>
    <s v="NO"/>
    <s v="NO"/>
    <x v="0"/>
    <s v="M172"/>
    <s v="GONARTROSIS POSTRAUMATICA, BILATERAL"/>
    <s v="SURA"/>
    <m/>
    <m/>
    <m/>
    <m/>
    <s v="ASUME LA EPS"/>
    <n v="1272005"/>
    <m/>
    <m/>
  </r>
  <r>
    <x v="0"/>
    <n v="1017242085"/>
    <s v="VELEZ"/>
    <s v="CANO"/>
    <s v="JULIAN"/>
    <s v="DAVID"/>
    <s v="VIGILANTE "/>
    <d v="2023-01-23T00:00:00"/>
    <d v="2023-01-24T00:00:00"/>
    <n v="2"/>
    <n v="2"/>
    <s v="NO"/>
    <s v="NO"/>
    <x v="0"/>
    <s v="S302"/>
    <s v="CONTUSION DE LOS ORGANOS GENITALES EXTERNOS"/>
    <s v="SURA"/>
    <m/>
    <m/>
    <m/>
    <m/>
    <s v="ASUME LA EPS"/>
    <n v="1272005"/>
    <m/>
    <m/>
  </r>
  <r>
    <x v="0"/>
    <n v="6706983"/>
    <s v="DAVID"/>
    <m/>
    <s v="PEDRO "/>
    <s v="PABLO"/>
    <s v="VIGILANTE "/>
    <d v="2023-01-23T00:00:00"/>
    <d v="2023-01-25T00:00:00"/>
    <n v="3"/>
    <n v="3"/>
    <s v="NO"/>
    <s v="NO"/>
    <x v="0"/>
    <s v="S934"/>
    <s v="ESGUINCES Y TORCEDURAS DEL TOBILLO"/>
    <s v="NUEVA EPS"/>
    <m/>
    <d v="2023-01-25T00:00:00"/>
    <d v="2023-03-13T00:00:00"/>
    <n v="38667"/>
    <s v="ASUME LA EPS"/>
    <n v="1272005"/>
    <m/>
    <m/>
  </r>
  <r>
    <x v="0"/>
    <n v="1063173404"/>
    <s v="JULIO "/>
    <s v="DIAZ "/>
    <s v="MARBIN "/>
    <s v="JOSE "/>
    <s v="VIGILANTE "/>
    <d v="2023-01-23T00:00:00"/>
    <d v="2023-01-24T00:00:00"/>
    <n v="2"/>
    <n v="2"/>
    <s v="NO"/>
    <s v="NO"/>
    <x v="0"/>
    <s v="J00X"/>
    <s v="RINOFARINGITIS AGUDA (RESFRIADO COMUN)"/>
    <s v="NUEVA EPS"/>
    <m/>
    <m/>
    <m/>
    <m/>
    <s v="ASUME LA EPS"/>
    <m/>
    <m/>
    <m/>
  </r>
  <r>
    <x v="0"/>
    <n v="77027311"/>
    <s v="RODRIGUEZ "/>
    <s v="IBARRA "/>
    <s v="CARLOS "/>
    <s v="ENRIQUE"/>
    <s v="VIGILANTE "/>
    <d v="2023-01-23T00:00:00"/>
    <d v="2023-01-24T00:00:00"/>
    <n v="2"/>
    <n v="2"/>
    <s v="NO"/>
    <s v="NO"/>
    <x v="0"/>
    <s v="J209"/>
    <s v="BRONQUITIS AGUDA, NO ESPECIFICADA"/>
    <s v="SALUD TOTAL "/>
    <m/>
    <m/>
    <m/>
    <m/>
    <s v="ASUME LA EPS"/>
    <m/>
    <m/>
    <m/>
  </r>
  <r>
    <x v="0"/>
    <n v="1063173404"/>
    <s v="JULIO "/>
    <s v="DIAZ "/>
    <s v="MARBIN "/>
    <s v="JOSE "/>
    <s v="VIGILANTE "/>
    <d v="2023-01-23T00:00:00"/>
    <d v="2023-01-24T00:00:00"/>
    <n v="2"/>
    <n v="2"/>
    <s v="NO"/>
    <s v="NO"/>
    <x v="0"/>
    <s v="J00X"/>
    <s v="RINOFARINGITIS AGUDA (RESFRIADO COMUN)"/>
    <s v="NUEVA EPS"/>
    <m/>
    <m/>
    <m/>
    <m/>
    <s v="ASUME LA EPS"/>
    <m/>
    <m/>
    <m/>
  </r>
  <r>
    <x v="0"/>
    <n v="71748300"/>
    <s v="CASTAÑEDA "/>
    <s v="MORALES"/>
    <s v="CARLOS "/>
    <s v="ALBEIRO "/>
    <s v="VIGILANTE "/>
    <d v="2023-01-23T00:00:00"/>
    <d v="2023-02-01T00:00:00"/>
    <n v="10"/>
    <n v="9"/>
    <s v="SI"/>
    <s v="SI"/>
    <x v="0"/>
    <s v="S600"/>
    <s v="CONTUSION DE DEDO(S) DE LA MANO, SIN DAÑO DE LA(S) UÑA(S)"/>
    <s v="SOAT "/>
    <m/>
    <d v="2023-02-17T00:00:00"/>
    <d v="2023-02-21T00:00:00"/>
    <n v="386667"/>
    <s v="ASUME LA EPS"/>
    <n v="1272005"/>
    <m/>
    <m/>
  </r>
  <r>
    <x v="0"/>
    <n v="71601851"/>
    <s v="MAZO"/>
    <s v="ELORZA"/>
    <s v="RAMON"/>
    <s v="ANGEL"/>
    <s v="VIGILANTE "/>
    <d v="2023-01-24T00:00:00"/>
    <d v="2023-01-26T00:00:00"/>
    <n v="3"/>
    <n v="3"/>
    <s v="NO"/>
    <s v="NO"/>
    <x v="0"/>
    <s v="M239"/>
    <s v="TRASTORNOS INTERNO DE LA RODILLA, NO ESPECIFICADO"/>
    <s v="NUEVA EPS"/>
    <m/>
    <d v="2023-01-26T00:00:00"/>
    <d v="2023-03-13T00:00:00"/>
    <n v="116000"/>
    <s v="ASUME LA EPS"/>
    <n v="1272005"/>
    <m/>
    <m/>
  </r>
  <r>
    <x v="0"/>
    <n v="7171292"/>
    <s v="HOYOS"/>
    <s v="HOYOS"/>
    <s v="EMILIO"/>
    <s v="ANGEL"/>
    <s v="VIGILANTE "/>
    <d v="2023-01-25T00:00:00"/>
    <d v="2023-02-23T00:00:00"/>
    <n v="30"/>
    <n v="6"/>
    <s v="SI"/>
    <s v="SI"/>
    <x v="0"/>
    <s v="J449"/>
    <s v="ENFERMEDAD PULMONAR OBSTRUCTIVA CRONICA, NO ESPECIFICADA"/>
    <s v="SALUD TOTAL "/>
    <m/>
    <m/>
    <m/>
    <m/>
    <s v="ASUME LA EPS"/>
    <n v="1272005"/>
    <m/>
    <m/>
  </r>
  <r>
    <x v="0"/>
    <n v="1192755619"/>
    <s v="ACOSTA "/>
    <s v="REINOSA "/>
    <s v="DIEGO "/>
    <s v="SNEIDER "/>
    <s v="VIGILANTE "/>
    <d v="2023-01-27T00:00:00"/>
    <d v="2023-01-29T00:00:00"/>
    <n v="3"/>
    <n v="3"/>
    <s v="NO"/>
    <s v="NO"/>
    <x v="0"/>
    <s v="J22"/>
    <s v="INFECCION AGUDA NO ESPECIFICADA DE LAS VIAS RESPIRATORIAS INFERIORES"/>
    <s v="SANITAS "/>
    <m/>
    <m/>
    <m/>
    <m/>
    <s v="ASUME LA EPS"/>
    <n v="1272005"/>
    <m/>
    <m/>
  </r>
  <r>
    <x v="0"/>
    <n v="77027311"/>
    <s v="RODRIGUEZ "/>
    <s v="IBARRA "/>
    <s v="CARLOS "/>
    <s v="ENRIQUE"/>
    <s v="VIGILANTE "/>
    <d v="2023-01-27T00:00:00"/>
    <d v="2023-01-28T00:00:00"/>
    <n v="2"/>
    <n v="2"/>
    <s v="NO"/>
    <s v="NO"/>
    <x v="0"/>
    <s v="M519"/>
    <s v="TRASTORNOS DE LOS DISCOS INTERVERTEBRALES, NO ESPECIFICADO"/>
    <s v="SALUD TOTAL "/>
    <m/>
    <m/>
    <m/>
    <m/>
    <s v="ASUME LA EPS"/>
    <m/>
    <m/>
    <m/>
  </r>
  <r>
    <x v="0"/>
    <n v="3481465"/>
    <s v="LOPERA "/>
    <s v="DURANGO "/>
    <s v="ARTURO "/>
    <s v="DE JESUS "/>
    <s v="VIGILANTE "/>
    <d v="2023-01-28T00:00:00"/>
    <d v="2023-02-25T00:00:00"/>
    <n v="29"/>
    <n v="4"/>
    <s v="SI"/>
    <s v="SI"/>
    <x v="0"/>
    <s v="F069"/>
    <s v="TRASTORNO MENTAL NO ESPECIFICADO DEBIDO A LESION Y DISFUNCION CEREBRAL Y A ENFERMEDAD FISICA"/>
    <s v="SURA"/>
    <m/>
    <m/>
    <m/>
    <m/>
    <s v="ASUME LA EPS"/>
    <n v="1272005"/>
    <m/>
    <m/>
  </r>
  <r>
    <x v="0"/>
    <n v="10888311"/>
    <s v="MEJIA "/>
    <s v="FORTICH "/>
    <s v="MARIO"/>
    <s v="RAFAEL"/>
    <s v="VIGILANTE "/>
    <d v="2023-01-28T00:00:00"/>
    <d v="2023-01-29T00:00:00"/>
    <n v="2"/>
    <n v="2"/>
    <s v="NO"/>
    <s v="NO"/>
    <x v="0"/>
    <s v="J029"/>
    <s v="FARINGITIS AGUDA, NO ESPECIFICADA"/>
    <s v="SURA"/>
    <m/>
    <m/>
    <m/>
    <m/>
    <s v="ASUME LA EPS"/>
    <n v="1272005"/>
    <m/>
    <m/>
  </r>
  <r>
    <x v="0"/>
    <n v="1017192273"/>
    <s v="CESPEDES "/>
    <s v="RESTREPO "/>
    <s v="DANY "/>
    <s v="STIVEN "/>
    <s v="VIGILANTE "/>
    <d v="2023-01-28T00:00:00"/>
    <d v="2023-01-28T00:00:00"/>
    <n v="1"/>
    <n v="1"/>
    <s v="NO"/>
    <s v="NO"/>
    <x v="0"/>
    <s v="A083"/>
    <s v="OTRAS ENTERITIS VIRALES"/>
    <s v="SURA "/>
    <n v="0"/>
    <m/>
    <n v="0"/>
    <n v="42400"/>
    <s v="ASUME LA EPS"/>
    <n v="1272005"/>
    <n v="0"/>
    <n v="42400"/>
  </r>
  <r>
    <x v="0"/>
    <n v="3669363"/>
    <s v="PINO"/>
    <s v="CASTAÑO "/>
    <s v="GUSTAVO "/>
    <s v="DE JESUS "/>
    <s v="VIGILANTE "/>
    <d v="2023-01-28T00:00:00"/>
    <d v="2023-02-01T00:00:00"/>
    <n v="5"/>
    <n v="4"/>
    <s v="SI"/>
    <s v="SI"/>
    <x v="0"/>
    <s v="M172"/>
    <s v="GONARTROSIS POSTRAUMATICA, BILATERAL"/>
    <s v="SURA"/>
    <m/>
    <m/>
    <m/>
    <m/>
    <s v="ASUME LA EPS"/>
    <n v="1272005"/>
    <m/>
    <m/>
  </r>
  <r>
    <x v="0"/>
    <n v="1066728531"/>
    <s v="MEZA "/>
    <s v="VARILLA"/>
    <s v="CESAR "/>
    <s v="TULIO "/>
    <s v="VIGILANTE "/>
    <d v="2023-01-28T00:00:00"/>
    <d v="2023-01-30T00:00:00"/>
    <n v="3"/>
    <n v="3"/>
    <s v="NO"/>
    <s v="NO"/>
    <x v="0"/>
    <s v="N23"/>
    <s v="COLICO RENAL, NO ESPECIFICADO"/>
    <s v="SALUD TOTAL "/>
    <m/>
    <d v="2023-02-17T00:00:00"/>
    <d v="2023-02-21T00:00:00"/>
    <n v="38667"/>
    <s v="ASUME LA EPS"/>
    <n v="1272005"/>
    <m/>
    <m/>
  </r>
  <r>
    <x v="0"/>
    <n v="71601851"/>
    <s v="MAZO"/>
    <s v="ELORZA"/>
    <s v="RAMON"/>
    <s v="ANGEL"/>
    <s v="VIGILANTE "/>
    <d v="2023-01-28T00:00:00"/>
    <d v="2023-02-26T00:00:00"/>
    <n v="30"/>
    <n v="30"/>
    <s v="SI"/>
    <s v="NO"/>
    <x v="0"/>
    <s v="M239"/>
    <s v="TRASTORNOS INTERNO DE LA RODILLA, NO ESPECIFICADO"/>
    <s v="NUEVA EPS"/>
    <m/>
    <d v="2023-01-30T00:00:00"/>
    <d v="2023-04-11T00:00:00"/>
    <n v="1160000"/>
    <s v="ASUME LA EPS"/>
    <n v="1272005"/>
    <m/>
    <m/>
  </r>
  <r>
    <x v="0"/>
    <n v="15309929"/>
    <s v="GALVIS "/>
    <s v="CASTRO "/>
    <s v="NICOLAS "/>
    <s v="EMIRO "/>
    <s v="VIGILANTE "/>
    <d v="2023-01-29T00:00:00"/>
    <d v="2023-02-12T00:00:00"/>
    <n v="15"/>
    <n v="15"/>
    <s v="SI"/>
    <s v="SI"/>
    <x v="0"/>
    <s v="S832"/>
    <s v="DESGARRO DE MENISCOS, PRESENTE"/>
    <s v="SURA"/>
    <m/>
    <d v="2023-01-31T00:00:00"/>
    <d v="2023-02-02T00:00:00"/>
    <n v="580000"/>
    <s v="ASUME LA EPS"/>
    <n v="1272005"/>
    <m/>
    <m/>
  </r>
  <r>
    <x v="0"/>
    <n v="7537251"/>
    <s v="HINCAPIE "/>
    <s v="HIDALGO "/>
    <s v="JESUS "/>
    <m/>
    <s v="VIGILANTE "/>
    <d v="2023-01-29T00:00:00"/>
    <d v="2023-02-02T00:00:00"/>
    <n v="5"/>
    <n v="3"/>
    <s v="SI"/>
    <s v="SI"/>
    <x v="0"/>
    <s v="N40"/>
    <s v="HIPERPLASIA DE LA PROSTATA"/>
    <s v="NUEVA EPS"/>
    <m/>
    <d v="2023-01-30T00:00:00"/>
    <d v="2023-03-21T00:00:00"/>
    <n v="116000"/>
    <s v="ASUME LA EPS"/>
    <n v="1272005"/>
    <m/>
    <m/>
  </r>
  <r>
    <x v="0"/>
    <n v="7633171"/>
    <s v="ROSADO "/>
    <s v="MEJIA "/>
    <s v="JHON "/>
    <s v="JAIRO"/>
    <s v="VIGILANTE "/>
    <d v="2023-01-30T00:00:00"/>
    <d v="2023-01-30T00:00:00"/>
    <n v="2"/>
    <n v="2"/>
    <s v="SI"/>
    <s v="NO"/>
    <x v="0"/>
    <s v="N23"/>
    <s v="COLICO RENAL, NO ESPECIFICADO"/>
    <s v="SURA"/>
    <m/>
    <d v="2023-01-31T00:00:00"/>
    <d v="2023-02-02T00:00:00"/>
    <n v="77333"/>
    <s v="ASUME LA EPS"/>
    <n v="1272005"/>
    <m/>
    <m/>
  </r>
  <r>
    <x v="0"/>
    <n v="79608583"/>
    <s v="VALENCIA"/>
    <s v="BORJA "/>
    <s v="PEDRO "/>
    <s v="PABLO "/>
    <s v="VIGILANTE "/>
    <d v="2023-01-30T00:00:00"/>
    <d v="2023-01-30T00:00:00"/>
    <n v="1"/>
    <n v="1"/>
    <s v="NO"/>
    <s v="NO"/>
    <x v="0"/>
    <s v="R51"/>
    <s v="CEFALEA"/>
    <s v="SURA"/>
    <n v="0"/>
    <m/>
    <n v="0"/>
    <n v="42400"/>
    <s v="ASUME LA EPS"/>
    <n v="1272005"/>
    <n v="0"/>
    <n v="42400"/>
  </r>
  <r>
    <x v="1"/>
    <n v="1067957772"/>
    <s v="COGOLLO"/>
    <s v="RAMOS"/>
    <s v="DAIRO"/>
    <s v="JOSE"/>
    <s v="VIGILANTE "/>
    <d v="2023-01-30T00:00:00"/>
    <d v="2023-02-16T00:00:00"/>
    <n v="18"/>
    <n v="16"/>
    <s v="NO"/>
    <s v="NO"/>
    <x v="0"/>
    <s v="R31"/>
    <s v="HEMATURIA, NO ESPECIFICADA"/>
    <s v="SURA"/>
    <m/>
    <d v="2023-02-05T00:00:00"/>
    <d v="2023-02-23T00:00:00"/>
    <n v="618667"/>
    <s v="ASUME LA EPS"/>
    <n v="1272005"/>
    <m/>
    <m/>
  </r>
  <r>
    <x v="0"/>
    <n v="71382103"/>
    <s v="MOLINA "/>
    <s v="GUISAO "/>
    <s v="SERGIO "/>
    <s v="ARMANDO "/>
    <s v="VIGILANTE "/>
    <d v="2023-01-31T00:00:00"/>
    <d v="2023-02-04T00:00:00"/>
    <n v="5"/>
    <n v="1"/>
    <s v="NO"/>
    <s v="NO"/>
    <x v="0"/>
    <s v="M233"/>
    <s v="OTROS TRASTORNOS DE LOS MENISCOS"/>
    <s v="SURA "/>
    <m/>
    <d v="2023-02-06T00:00:00"/>
    <d v="2023-02-14T00:00:00"/>
    <n v="116000"/>
    <s v="ASUME LA EPS"/>
    <n v="1272005"/>
    <m/>
    <m/>
  </r>
  <r>
    <x v="0"/>
    <n v="12124967"/>
    <s v="AVILES "/>
    <s v="PATIÑO"/>
    <s v="MARLIO "/>
    <m/>
    <s v="VIGILANTE "/>
    <d v="2023-01-31T00:00:00"/>
    <d v="2023-02-01T00:00:00"/>
    <n v="2"/>
    <n v="2"/>
    <s v="NO"/>
    <s v="NO"/>
    <x v="0"/>
    <s v="R42"/>
    <s v="MAREO Y DESVANECIMIENTO"/>
    <s v="FOSYGA "/>
    <m/>
    <m/>
    <m/>
    <m/>
    <s v="ASUME LA EPS"/>
    <m/>
    <m/>
    <m/>
  </r>
  <r>
    <x v="1"/>
    <n v="79041874"/>
    <s v="QUICENO "/>
    <s v="LOPEZ "/>
    <s v="JHON "/>
    <s v="JAIRO"/>
    <s v="VIGILANTE "/>
    <d v="2023-02-01T00:00:00"/>
    <d v="2023-02-02T00:00:00"/>
    <n v="2"/>
    <n v="2"/>
    <s v="NO"/>
    <s v="NO"/>
    <x v="0"/>
    <s v="N390"/>
    <s v="INFECCION DE VIAS URINARIAS, SITIO NO ESPECIFICADO"/>
    <s v="SURA"/>
    <m/>
    <m/>
    <m/>
    <m/>
    <s v="ASUME LA EPS"/>
    <n v="1272005"/>
    <m/>
    <m/>
  </r>
  <r>
    <x v="1"/>
    <n v="1047506378"/>
    <s v="VILLEGAS "/>
    <s v="ARROYAVE"/>
    <s v="DANIELA"/>
    <m/>
    <s v="VIGILANTE "/>
    <d v="2023-02-01T00:00:00"/>
    <d v="2023-02-07T00:00:00"/>
    <n v="7"/>
    <n v="7"/>
    <s v="NO"/>
    <s v="NO"/>
    <x v="0"/>
    <s v="N832"/>
    <s v="OTROS QUISTES OVARICOS Y LOS NO ESPECIFICADOS"/>
    <s v="SAVIA SALUD "/>
    <m/>
    <m/>
    <m/>
    <m/>
    <s v="ASUME LA EPS"/>
    <n v="1272005"/>
    <m/>
    <m/>
  </r>
  <r>
    <x v="1"/>
    <n v="15534401"/>
    <s v="RENDON "/>
    <s v="SANCHEZ "/>
    <s v="ROBEIRO "/>
    <m/>
    <s v="VIGILANTE "/>
    <d v="2023-02-02T00:00:00"/>
    <d v="2023-02-04T00:00:00"/>
    <n v="2"/>
    <n v="2"/>
    <s v="NO"/>
    <s v="NO"/>
    <x v="0"/>
    <s v="M545"/>
    <s v="LUMBAGO NO ESPECIFICADO"/>
    <s v="SURA"/>
    <m/>
    <d v="2023-02-17T00:00:00"/>
    <d v="2023-02-21T00:00:00"/>
    <n v="38667"/>
    <s v="ASUME LA EPS"/>
    <n v="1272005"/>
    <m/>
    <m/>
  </r>
  <r>
    <x v="1"/>
    <n v="1054561422"/>
    <s v="GARZON "/>
    <s v="FRANCO"/>
    <s v="YEISON "/>
    <s v="ANDRES"/>
    <s v="VIGILANTE "/>
    <d v="2023-02-02T00:00:00"/>
    <d v="2023-02-03T00:00:00"/>
    <n v="2"/>
    <n v="2"/>
    <s v="NO"/>
    <s v="NO"/>
    <x v="0"/>
    <s v="K529"/>
    <s v="COLITIS Y GASTROENTERITIS NO INFECCIOSAS, NO ESPECIFICADAS"/>
    <s v="SURA"/>
    <m/>
    <m/>
    <m/>
    <m/>
    <s v="ASUME LA EPS"/>
    <n v="1272005"/>
    <m/>
    <m/>
  </r>
  <r>
    <x v="1"/>
    <n v="3669363"/>
    <s v="PINO"/>
    <s v="CASTAÑO"/>
    <s v="GUSTAVO "/>
    <s v="DE JESUS"/>
    <s v="VIGILANTE "/>
    <d v="2023-02-02T00:00:00"/>
    <d v="2023-02-06T00:00:00"/>
    <n v="5"/>
    <n v="5"/>
    <s v="SI"/>
    <s v="SI"/>
    <x v="0"/>
    <s v="M172"/>
    <s v="GONARTROSIS POSTRAUMATICA, BILATERAL"/>
    <s v="SURA"/>
    <m/>
    <m/>
    <m/>
    <m/>
    <s v="ASUME LA EPS"/>
    <n v="1272005"/>
    <m/>
    <m/>
  </r>
  <r>
    <x v="1"/>
    <n v="71748300"/>
    <s v="CASTAÑEDA "/>
    <s v="MORALES"/>
    <s v="CARLOS "/>
    <s v="ALBEIRO "/>
    <s v="VIGILANTE "/>
    <d v="2023-02-02T00:00:00"/>
    <d v="2023-02-02T00:00:00"/>
    <n v="1"/>
    <n v="1"/>
    <s v="NO"/>
    <s v="NO"/>
    <x v="0"/>
    <s v="S600"/>
    <s v="CONTUSION DE DEDO(S) DE LA MANO, SIN DAÑO DE LA(S) UÑA(S)"/>
    <s v="SURA"/>
    <n v="0"/>
    <d v="2023-02-06T00:00:00"/>
    <d v="2023-02-07T00:00:00"/>
    <n v="38667"/>
    <s v="ASUME LA EPS"/>
    <n v="1272005"/>
    <n v="0"/>
    <n v="42400"/>
  </r>
  <r>
    <x v="1"/>
    <n v="71642375"/>
    <s v="VILLEGAS "/>
    <s v="BETANCUR"/>
    <s v="CARMILO "/>
    <s v="ANTONIO"/>
    <s v="VIGILANTE "/>
    <d v="2023-02-03T00:00:00"/>
    <d v="2023-02-04T00:00:00"/>
    <n v="2"/>
    <n v="2"/>
    <s v="NO"/>
    <s v="NO"/>
    <x v="0"/>
    <s v="K083"/>
    <s v="RAIZ DENTAL RETENIDA"/>
    <s v="SURA"/>
    <m/>
    <m/>
    <m/>
    <m/>
    <s v="ASUME LA EPS"/>
    <n v="1272005"/>
    <m/>
    <m/>
  </r>
  <r>
    <x v="1"/>
    <n v="71746206"/>
    <s v="ORTIZ "/>
    <s v="ARBOOLEDA "/>
    <s v="LUIS "/>
    <s v="FERNANDO "/>
    <s v="VIGILANTE "/>
    <d v="2023-02-03T00:00:00"/>
    <d v="2023-02-04T00:00:00"/>
    <n v="2"/>
    <n v="2"/>
    <s v="NO"/>
    <s v="NO"/>
    <x v="0"/>
    <s v="R103"/>
    <s v="DOLOR LOCALIZADO EN OTRAS PARTES INFERIORES DEL ABDOMEN"/>
    <s v="SALUD TOTAL "/>
    <m/>
    <m/>
    <m/>
    <m/>
    <s v="ASUME LA EPS"/>
    <m/>
    <m/>
    <m/>
  </r>
  <r>
    <x v="1"/>
    <n v="1003205624"/>
    <s v="URANGO "/>
    <s v="GUERRA "/>
    <s v="JORGE "/>
    <s v="ANDRES"/>
    <s v="VIGILANTE "/>
    <d v="2023-02-03T00:00:00"/>
    <d v="2023-02-17T00:00:00"/>
    <n v="15"/>
    <n v="15"/>
    <s v="NO"/>
    <s v="NO"/>
    <x v="0"/>
    <s v="N500"/>
    <s v="ATROFIA DEL TESTICULO"/>
    <s v="SALUD TOTAL "/>
    <m/>
    <d v="2023-02-23T00:00:00"/>
    <d v="2023-03-01T00:00:00"/>
    <n v="502671"/>
    <s v="ASUME LA EPS"/>
    <n v="1272005"/>
    <m/>
    <m/>
  </r>
  <r>
    <x v="1"/>
    <n v="71906669"/>
    <s v="GUERRA"/>
    <s v="MONSALVE"/>
    <s v="JORGE "/>
    <s v="LUIS"/>
    <s v="VIGILANTE "/>
    <d v="2023-02-03T00:00:00"/>
    <d v="2023-02-16T00:00:00"/>
    <n v="14"/>
    <n v="14"/>
    <s v="NO"/>
    <s v="NO"/>
    <x v="0"/>
    <s v="R071"/>
    <s v="DOLOR EN EL PECHO AL RESPIRAR"/>
    <s v="SURA"/>
    <m/>
    <d v="2023-02-06T00:00:00"/>
    <d v="2023-02-21T00:00:00"/>
    <n v="593602"/>
    <s v="ASUME LA EPS"/>
    <n v="1272005"/>
    <m/>
    <m/>
  </r>
  <r>
    <x v="1"/>
    <n v="10884990"/>
    <s v="DELGADO "/>
    <s v="MERCADO "/>
    <s v="JUAN "/>
    <s v="CARLOS "/>
    <s v="VIGILANTE "/>
    <d v="2023-02-06T00:00:00"/>
    <d v="2023-02-07T00:00:00"/>
    <n v="2"/>
    <n v="2"/>
    <s v="NO"/>
    <s v="NO"/>
    <x v="0"/>
    <s v="M255"/>
    <s v="DOLOR EN ARTICULACION"/>
    <s v="SURA"/>
    <m/>
    <m/>
    <m/>
    <m/>
    <s v="ASUME LA EPS"/>
    <n v="1272005"/>
    <m/>
    <m/>
  </r>
  <r>
    <x v="1"/>
    <n v="1063173404"/>
    <s v="JULIO "/>
    <s v="DIAZ "/>
    <s v="MARBIN "/>
    <s v="JOSE "/>
    <s v="VIGILANTE "/>
    <d v="2023-02-06T00:00:00"/>
    <d v="2023-02-06T00:00:00"/>
    <n v="1"/>
    <n v="1"/>
    <s v="NO"/>
    <s v="NO"/>
    <x v="0"/>
    <s v="A084"/>
    <s v="INFECCION INTESTINAL VIRAL, SIN OTRA ESPECIFICACION"/>
    <s v="NUEVA EPS"/>
    <n v="0"/>
    <m/>
    <n v="0"/>
    <n v="42400"/>
    <s v="ASUME LA EMPRESA "/>
    <n v="1272005"/>
    <n v="0"/>
    <n v="42400"/>
  </r>
  <r>
    <x v="1"/>
    <n v="71631019"/>
    <s v="RICO "/>
    <s v="OCHOA "/>
    <s v="HECTOR "/>
    <s v="JAVIER "/>
    <s v="VIGILANTE "/>
    <d v="2023-02-07T00:00:00"/>
    <d v="2023-02-08T00:00:00"/>
    <n v="2"/>
    <n v="2"/>
    <s v="NO"/>
    <s v="NO"/>
    <x v="0"/>
    <s v="M255"/>
    <s v="DOLOR EN ARTICULACION"/>
    <s v="SURA"/>
    <m/>
    <m/>
    <m/>
    <m/>
    <s v="ASUME LA EPS"/>
    <n v="1272005"/>
    <m/>
    <m/>
  </r>
  <r>
    <x v="1"/>
    <n v="1040374058"/>
    <s v="RODRIGUEZ "/>
    <s v="RADA "/>
    <s v="JEINER "/>
    <s v="ANDRES"/>
    <s v="VIGILANTE "/>
    <d v="2023-02-07T00:00:00"/>
    <d v="2023-02-08T00:00:00"/>
    <n v="2"/>
    <n v="2"/>
    <s v="NO"/>
    <s v="NO"/>
    <x v="0"/>
    <s v="I443"/>
    <s v="OTROS TIPOS DE BLOQUEO AURICULOVENTRICULAR Y LOS NO ESPECIFICADOS"/>
    <s v="SURA"/>
    <m/>
    <m/>
    <m/>
    <m/>
    <s v="ASUME LA EPS"/>
    <n v="1272005"/>
    <m/>
    <m/>
  </r>
  <r>
    <x v="1"/>
    <n v="43600465"/>
    <s v="MONSALVE"/>
    <s v="GALEANO "/>
    <s v="MARGARITA "/>
    <s v="MARIA "/>
    <s v="ASISTENTE DE OPERACIONES "/>
    <d v="2023-02-07T00:00:00"/>
    <d v="2023-02-09T00:00:00"/>
    <n v="3"/>
    <n v="3"/>
    <s v="NO"/>
    <s v="NO"/>
    <x v="0"/>
    <s v="S934"/>
    <s v="ESGUINCES Y TORCEDURAS DEL TOBILLO"/>
    <s v="SURA "/>
    <m/>
    <d v="2023-02-17T00:00:00"/>
    <d v="2023-02-21T00:00:00"/>
    <n v="38667"/>
    <s v="ASUME LA EPS"/>
    <n v="1272005"/>
    <m/>
    <m/>
  </r>
  <r>
    <x v="1"/>
    <n v="1033340803"/>
    <s v="CARVAJAL "/>
    <s v="CHACON "/>
    <s v="JONATHAN "/>
    <m/>
    <s v="VIGILANTE "/>
    <d v="2023-02-07T00:00:00"/>
    <d v="2023-02-07T00:00:00"/>
    <n v="1"/>
    <n v="1"/>
    <s v="NO"/>
    <s v="NO"/>
    <x v="0"/>
    <s v="N23"/>
    <s v="COLICO RENAL, NO ESPECIFICADO"/>
    <s v="SALUD TOTAL "/>
    <n v="0"/>
    <m/>
    <n v="0"/>
    <n v="42400"/>
    <s v="ASUME LA EMPRESA "/>
    <n v="1272005"/>
    <n v="0"/>
    <n v="42400"/>
  </r>
  <r>
    <x v="1"/>
    <n v="1003004629"/>
    <s v="CHAVARRIA"/>
    <s v="BANDA"/>
    <s v="JUAN"/>
    <s v="ANDRES"/>
    <s v="VIGILANTE "/>
    <d v="2023-02-07T00:00:00"/>
    <d v="2023-02-25T00:00:00"/>
    <n v="19"/>
    <n v="19"/>
    <s v="NO"/>
    <s v="NO"/>
    <x v="0"/>
    <s v="S832"/>
    <s v="DESGARRO DE MENISCOS, PRESENTE"/>
    <s v="SURA"/>
    <m/>
    <d v="2023-02-09T00:00:00"/>
    <d v="2023-02-28T00:00:00"/>
    <n v="734667"/>
    <s v="ASUME LA EPS"/>
    <n v="1272005"/>
    <m/>
    <m/>
  </r>
  <r>
    <x v="1"/>
    <n v="8408459"/>
    <s v="VALENCIA"/>
    <s v="MONTOYA"/>
    <s v="HORACIO "/>
    <s v="DE JESUS"/>
    <s v="VIGILANTE "/>
    <d v="2023-02-08T00:00:00"/>
    <d v="2023-02-12T00:00:00"/>
    <n v="5"/>
    <n v="5"/>
    <s v="NO"/>
    <s v="NO"/>
    <x v="0"/>
    <s v="S500"/>
    <s v="CONTUSION DEL CODO"/>
    <s v="SOAT"/>
    <m/>
    <d v="2023-02-23T00:00:00"/>
    <d v="2023-02-21T00:00:00"/>
    <n v="116000"/>
    <s v="ASUME LA EPS"/>
    <n v="1272005"/>
    <m/>
    <m/>
  </r>
  <r>
    <x v="1"/>
    <n v="1033340803"/>
    <s v="CARVAJAL "/>
    <s v="CHACON "/>
    <s v="JONATHAN "/>
    <m/>
    <s v="VIGILANTE "/>
    <d v="2023-02-08T00:00:00"/>
    <d v="2023-02-10T00:00:00"/>
    <n v="3"/>
    <n v="3"/>
    <s v="SI"/>
    <s v="NO"/>
    <x v="0"/>
    <s v="N23"/>
    <s v="COLICO RENAL, NO ESPECIFICADO"/>
    <s v="SALUD TOTAL "/>
    <m/>
    <m/>
    <m/>
    <m/>
    <s v="ASUME LA EPS"/>
    <n v="1272005"/>
    <m/>
    <m/>
  </r>
  <r>
    <x v="1"/>
    <n v="70252687"/>
    <s v="MAZO "/>
    <s v="RAMIREZ "/>
    <s v="IVAN "/>
    <s v="DARIO"/>
    <s v="VIGILANTE "/>
    <d v="2023-02-08T00:00:00"/>
    <d v="2023-02-09T00:00:00"/>
    <n v="2"/>
    <n v="2"/>
    <s v="NO"/>
    <s v="NO"/>
    <x v="0"/>
    <s v="N390"/>
    <s v="INFECCION DE VIAS URINARIAS, SITIO NO ESPECIFICADO"/>
    <s v="SURA"/>
    <m/>
    <m/>
    <m/>
    <m/>
    <s v="ASUME LA EPS"/>
    <n v="1272005"/>
    <m/>
    <m/>
  </r>
  <r>
    <x v="1"/>
    <n v="8408459"/>
    <s v="VALENCIA"/>
    <s v="MONTOYA"/>
    <s v="HORACIO "/>
    <s v="DE JESUS"/>
    <s v="VIGILANTE "/>
    <d v="2023-02-08T00:00:00"/>
    <d v="2023-02-12T00:00:00"/>
    <n v="5"/>
    <n v="5"/>
    <s v="NO"/>
    <s v="NO"/>
    <x v="0"/>
    <s v="D179"/>
    <s v="TUMOR BENIGNO LIPOMATOSO, DE SITIO NO ESPECIFICADO"/>
    <s v="SURA"/>
    <m/>
    <d v="2023-02-12T00:00:00"/>
    <d v="2023-02-28T00:00:00"/>
    <n v="116000"/>
    <s v="ASUME LA EPS"/>
    <n v="1272005"/>
    <m/>
    <m/>
  </r>
  <r>
    <x v="1"/>
    <n v="70252687"/>
    <s v="MAZO "/>
    <s v="RAMIREZ "/>
    <s v="IVAN "/>
    <s v="DARIO"/>
    <s v="VIGILANTE "/>
    <d v="2023-02-10T00:00:00"/>
    <d v="2023-02-11T00:00:00"/>
    <n v="2"/>
    <n v="2"/>
    <s v="SI"/>
    <s v="NO"/>
    <x v="0"/>
    <s v="N390"/>
    <s v="INFECCION DE VIAS URINARIAS, SITIO NO ESPECIFICADO"/>
    <s v="SURA"/>
    <m/>
    <d v="2023-02-13T00:00:00"/>
    <d v="2023-02-23T00:00:00"/>
    <n v="77333"/>
    <s v="ASUME LA EPS"/>
    <n v="1272005"/>
    <m/>
    <m/>
  </r>
  <r>
    <x v="1"/>
    <n v="1017188829"/>
    <s v="GIRALDO "/>
    <s v="RUIZ"/>
    <s v="HARRISON"/>
    <m/>
    <s v="COORDINADOR DE SEGURIDAD ELECTRÓNICA "/>
    <d v="2023-02-10T00:00:00"/>
    <d v="2023-02-10T00:00:00"/>
    <n v="1"/>
    <n v="1"/>
    <s v="NO"/>
    <s v="NO"/>
    <x v="0"/>
    <s v="J069"/>
    <s v="INFECCION AGUDA DE LAS VIAS RESPIRATORIAS SUPERIORES, NO ESPECIFICADA"/>
    <s v="SURA"/>
    <n v="0"/>
    <m/>
    <n v="0"/>
    <n v="42400"/>
    <s v="ASUME LA EPS"/>
    <n v="1272005"/>
    <n v="0"/>
    <n v="42400"/>
  </r>
  <r>
    <x v="1"/>
    <n v="71795865"/>
    <s v="MAZO "/>
    <s v="CORREA "/>
    <s v="NILSON"/>
    <m/>
    <s v="VIGILANTE "/>
    <d v="2023-02-10T00:00:00"/>
    <d v="2023-02-12T00:00:00"/>
    <n v="3"/>
    <n v="3"/>
    <s v="NO"/>
    <s v="NO"/>
    <x v="0"/>
    <s v="M239"/>
    <s v="TRASTORNOS INTERNO DE LA RODILLA, NO ESPECIFICADO"/>
    <s v="SURA"/>
    <m/>
    <d v="2023-02-12T00:00:00"/>
    <d v="2023-02-23T00:00:00"/>
    <n v="38667"/>
    <s v="ASUME LA EPS"/>
    <n v="1272005"/>
    <m/>
    <m/>
  </r>
  <r>
    <x v="1"/>
    <n v="1040374058"/>
    <s v="RODRIGUEZ "/>
    <s v="RADA "/>
    <s v="JEINER "/>
    <s v="ANDRES"/>
    <s v="VIGILANTE "/>
    <d v="2023-02-10T00:00:00"/>
    <d v="2023-02-11T00:00:00"/>
    <n v="2"/>
    <n v="2"/>
    <s v="NO"/>
    <s v="NO"/>
    <x v="0"/>
    <s v="R074"/>
    <s v="DOLOR EN EL PECHO, NO ESPECIFICADO"/>
    <s v="SURA"/>
    <m/>
    <m/>
    <m/>
    <m/>
    <s v="ASUME LA EPS"/>
    <n v="1272005"/>
    <m/>
    <m/>
  </r>
  <r>
    <x v="1"/>
    <n v="71794185"/>
    <s v="TUBERQUIA"/>
    <s v="ARBOLEDA"/>
    <s v="CARLOS "/>
    <s v="ALEXANDER "/>
    <s v="VIGILANTE "/>
    <d v="2023-02-11T00:00:00"/>
    <d v="2023-02-12T00:00:00"/>
    <n v="2"/>
    <n v="2"/>
    <s v="NO"/>
    <s v="NO"/>
    <x v="0"/>
    <s v="B349"/>
    <s v="INFECCION VIRAL, NO ESPECIFICADA"/>
    <s v="SURA"/>
    <m/>
    <m/>
    <m/>
    <m/>
    <s v="ASUME LA EPS"/>
    <n v="1272005"/>
    <m/>
    <m/>
  </r>
  <r>
    <x v="1"/>
    <n v="91002376"/>
    <s v="RICO "/>
    <s v="ROJAS"/>
    <s v="MANUEL"/>
    <m/>
    <s v="VIGILANTE "/>
    <d v="2023-02-11T00:00:00"/>
    <d v="2023-02-12T00:00:00"/>
    <n v="2"/>
    <n v="2"/>
    <s v="NO"/>
    <s v="NO"/>
    <x v="0"/>
    <s v="J029"/>
    <s v="FARINGITIS AGUDA, NO ESPECIFICADA"/>
    <s v="SALUD TOTAL "/>
    <m/>
    <m/>
    <m/>
    <m/>
    <s v="ASUME LA EPS"/>
    <m/>
    <m/>
    <m/>
  </r>
  <r>
    <x v="1"/>
    <n v="70252687"/>
    <s v="MAZO "/>
    <s v="RAMIREZ "/>
    <s v="IVAN "/>
    <s v="DARIO"/>
    <s v="VIGILANTE "/>
    <d v="2023-02-12T00:00:00"/>
    <d v="2023-02-14T00:00:00"/>
    <n v="3"/>
    <n v="3"/>
    <s v="NO"/>
    <s v="NO"/>
    <x v="0"/>
    <s v="N410"/>
    <s v="PROSTATITIS AGUDA"/>
    <s v="SURA"/>
    <m/>
    <d v="2023-02-15T00:00:00"/>
    <d v="2023-02-23T00:00:00"/>
    <n v="38667"/>
    <s v="ASUME LA EPS"/>
    <n v="1272005"/>
    <m/>
    <m/>
  </r>
  <r>
    <x v="1"/>
    <n v="15309929"/>
    <s v="GALVIS "/>
    <s v="CASTRO "/>
    <s v="NICOLAS "/>
    <s v="EMIRO"/>
    <s v="VIGILANTE "/>
    <d v="2023-02-13T00:00:00"/>
    <d v="2023-02-27T00:00:00"/>
    <n v="15"/>
    <n v="15"/>
    <s v="SI"/>
    <s v="SI"/>
    <x v="0"/>
    <s v="S832"/>
    <s v="DESGARRO DE MENISCOS, PRESENTE"/>
    <s v="SURA"/>
    <m/>
    <d v="2023-02-15T00:00:00"/>
    <d v="2023-02-23T00:00:00"/>
    <n v="580000"/>
    <s v="ASUME LA EPS"/>
    <n v="1272005"/>
    <m/>
    <m/>
  </r>
  <r>
    <x v="1"/>
    <n v="1036622798"/>
    <s v="BETANCUR "/>
    <s v="GIL "/>
    <s v="DUVIAN "/>
    <s v="YHOBANNY"/>
    <s v="VIGILANTE "/>
    <d v="2023-02-14T00:00:00"/>
    <d v="2023-03-02T00:00:00"/>
    <n v="17"/>
    <n v="15"/>
    <s v="SI"/>
    <s v="SI"/>
    <x v="0"/>
    <s v="S999"/>
    <s v="TRAUMATISMO DEL PIE Y DEL TOBILLO, NO ESPECIFICADO"/>
    <s v="SURA"/>
    <m/>
    <d v="2023-05-17T00:00:00"/>
    <d v="2023-02-23T00:00:00"/>
    <n v="657333"/>
    <s v="ASUME LA EPS"/>
    <n v="1272005"/>
    <m/>
    <m/>
  </r>
  <r>
    <x v="1"/>
    <n v="70323164"/>
    <s v="SUAREZ "/>
    <s v="CASTRILLON "/>
    <s v="JOSE "/>
    <s v="AICARDO"/>
    <s v="VIGILANTE "/>
    <d v="2023-02-14T00:00:00"/>
    <d v="2022-02-22T00:00:00"/>
    <n v="9"/>
    <n v="9"/>
    <s v="SI"/>
    <s v="SI"/>
    <x v="0"/>
    <s v="A150"/>
    <s v="TUBERCULOSIS DEL PULMON, CONFIRMADA POR HALLAZGO MICROSCOPICO DEL BACILO TUBERCULOSO EN ESPUTO, CON O SIN CULTIVO"/>
    <s v="SURA"/>
    <m/>
    <m/>
    <m/>
    <m/>
    <s v="ASUME LA EPS"/>
    <n v="1272005"/>
    <m/>
    <m/>
  </r>
  <r>
    <x v="1"/>
    <n v="1152450999"/>
    <s v="SANCHEZ "/>
    <s v="ROJAS"/>
    <s v="CHRISTIAN "/>
    <s v="CAMILO"/>
    <s v="VIGILANTE "/>
    <d v="2023-02-14T00:00:00"/>
    <d v="2023-02-16T00:00:00"/>
    <n v="3"/>
    <n v="3"/>
    <s v="NO"/>
    <s v="NO"/>
    <x v="0"/>
    <s v="K010"/>
    <s v="DIENTES INCLUIDOS"/>
    <s v="SURA"/>
    <m/>
    <d v="2023-02-17T00:00:00"/>
    <d v="2023-02-23T00:00:00"/>
    <n v="38667"/>
    <s v="ASUME LA EPS"/>
    <n v="1272005"/>
    <m/>
    <m/>
  </r>
  <r>
    <x v="1"/>
    <n v="43923149"/>
    <s v="FIGUEROA"/>
    <s v="PATIÑO"/>
    <s v="CELIA"/>
    <s v="MARIA "/>
    <s v="VIGILANTE "/>
    <d v="2023-02-15T00:00:00"/>
    <d v="2023-02-17T00:00:00"/>
    <n v="3"/>
    <n v="3"/>
    <s v="NO"/>
    <s v="NO"/>
    <x v="0"/>
    <s v="S007"/>
    <s v="TRAUMATISMOS SUPERFICIALES MULTIPLES DE LA CABEZA"/>
    <s v="SOAT"/>
    <m/>
    <m/>
    <m/>
    <m/>
    <s v="ASUME LA EPS"/>
    <n v="1272005"/>
    <m/>
    <m/>
  </r>
  <r>
    <x v="1"/>
    <n v="71794185"/>
    <s v="TUBERQUIA "/>
    <s v="ARBOLEDA "/>
    <s v="CARLOS "/>
    <s v="ALEXANDER"/>
    <s v="VIGILANTE "/>
    <d v="2023-02-15T00:00:00"/>
    <d v="2023-02-16T00:00:00"/>
    <n v="2"/>
    <n v="2"/>
    <s v="NO"/>
    <s v="NO"/>
    <x v="0"/>
    <s v="J00X"/>
    <s v="RINOFARINGITIS AGUDA (RESFRIADO COMUN)"/>
    <s v="SURA"/>
    <m/>
    <m/>
    <m/>
    <m/>
    <s v="ASUME LA EPS"/>
    <n v="1272005"/>
    <m/>
    <m/>
  </r>
  <r>
    <x v="1"/>
    <n v="70252687"/>
    <s v="MAZO "/>
    <s v="RAMIREZ "/>
    <s v="IVAN "/>
    <s v="DARIO "/>
    <s v="VIGILANTE "/>
    <d v="2023-02-15T00:00:00"/>
    <d v="2023-02-17T00:00:00"/>
    <n v="3"/>
    <n v="3"/>
    <s v="SI"/>
    <s v="NO"/>
    <x v="0"/>
    <s v="N40"/>
    <s v="HIPERPLASIA DE LA PROSTATA"/>
    <s v="SURA"/>
    <m/>
    <d v="2023-02-17T00:00:00"/>
    <d v="2023-03-07T00:00:00"/>
    <n v="116000"/>
    <s v="ASUME LA EPS"/>
    <n v="1272005"/>
    <m/>
    <m/>
  </r>
  <r>
    <x v="1"/>
    <n v="70568787"/>
    <s v="MURIEL"/>
    <s v="ALZATE"/>
    <s v="LUIS"/>
    <s v="FERNANDO"/>
    <s v="VIGILANTE "/>
    <d v="2023-02-16T00:00:00"/>
    <d v="2023-02-18T00:00:00"/>
    <n v="3"/>
    <n v="3"/>
    <s v="NO"/>
    <s v="NO"/>
    <x v="0"/>
    <s v="N410"/>
    <s v="PROSTATITIS AGUDA"/>
    <s v="SURA"/>
    <m/>
    <d v="2023-02-18T00:00:00"/>
    <d v="2023-02-28T00:00:00"/>
    <n v="116000"/>
    <s v="ASUME LA EPS"/>
    <n v="1272005"/>
    <m/>
    <m/>
  </r>
  <r>
    <x v="1"/>
    <n v="3669363"/>
    <s v="PINO "/>
    <s v="CASTAÑO"/>
    <s v="GUSTAVO "/>
    <s v="DE JESUS"/>
    <s v="VIGILANTE "/>
    <d v="2023-02-16T00:00:00"/>
    <d v="2023-02-20T00:00:00"/>
    <n v="5"/>
    <n v="5"/>
    <s v="SI"/>
    <s v="SI"/>
    <x v="0"/>
    <s v="M172"/>
    <s v="GONARTROSIS POSTRAUMATICA, BILATERAL"/>
    <s v="SURA"/>
    <m/>
    <m/>
    <m/>
    <m/>
    <s v="ASUME LA EPS"/>
    <n v="1272005"/>
    <m/>
    <m/>
  </r>
  <r>
    <x v="1"/>
    <n v="43923149"/>
    <s v="FIGUEROA"/>
    <s v="PATIÑO"/>
    <s v="CELIA"/>
    <s v="MARIA "/>
    <s v="VIGILANTE "/>
    <d v="2023-02-16T00:00:00"/>
    <d v="2023-02-25T00:00:00"/>
    <n v="10"/>
    <n v="10"/>
    <s v="NO"/>
    <s v="NO"/>
    <x v="0"/>
    <s v="S098"/>
    <s v="OTROS TRAUMATISMOS DE LA CABEZA, ESPECIFICADOS"/>
    <s v="SOAT"/>
    <m/>
    <d v="2023-02-23T00:00:00"/>
    <d v="2023-04-21T00:00:00"/>
    <n v="309333"/>
    <s v="ASUME LA EPS"/>
    <n v="309333"/>
    <m/>
    <m/>
  </r>
  <r>
    <x v="1"/>
    <n v="43923149"/>
    <s v="FIGUEROA"/>
    <s v="PATIÑO"/>
    <s v="CELIA"/>
    <s v="MARIA"/>
    <s v="VIGILANTE "/>
    <d v="2023-02-16T00:00:00"/>
    <d v="2023-02-25T00:00:00"/>
    <n v="10"/>
    <n v="10"/>
    <s v="NO"/>
    <s v="NO"/>
    <x v="0"/>
    <s v="M239"/>
    <s v="TRASTORNOS INTERNO DE LA RODILLA, NO ESPECIFICADO"/>
    <s v="NUEVA EPS"/>
    <m/>
    <d v="2023-02-26T00:00:00"/>
    <d v="2023-04-21T00:00:00"/>
    <n v="309333"/>
    <s v="ASUME LA EPS"/>
    <m/>
    <m/>
    <m/>
  </r>
  <r>
    <x v="1"/>
    <n v="71335134"/>
    <s v="VILLADA"/>
    <s v="RUIZ"/>
    <s v="JOHN "/>
    <s v="JAIRO"/>
    <s v="VIGILANTE "/>
    <d v="2023-02-17T00:00:00"/>
    <d v="2023-02-18T00:00:00"/>
    <n v="2"/>
    <n v="2"/>
    <s v="NO"/>
    <s v="NO"/>
    <x v="0"/>
    <s v="J040"/>
    <s v="LARINGITIS AGUDA"/>
    <s v="SURA"/>
    <m/>
    <m/>
    <m/>
    <m/>
    <s v="ASUME LA EPS"/>
    <n v="1272005"/>
    <m/>
    <m/>
  </r>
  <r>
    <x v="1"/>
    <n v="70252687"/>
    <s v="MAZO "/>
    <s v="RAMIREZ "/>
    <s v="IVAN "/>
    <s v="DARIO"/>
    <s v="VIGILANTE "/>
    <d v="2023-02-18T00:00:00"/>
    <d v="2023-02-19T00:00:00"/>
    <n v="2"/>
    <n v="2"/>
    <s v="NO"/>
    <s v="NO"/>
    <x v="0"/>
    <s v="N40"/>
    <s v="HIPERPLASIA DE LA PROSTATA"/>
    <s v="SURA"/>
    <m/>
    <m/>
    <m/>
    <m/>
    <s v="ASUME LA EPS"/>
    <n v="1272005"/>
    <m/>
    <m/>
  </r>
  <r>
    <x v="1"/>
    <n v="1216722770"/>
    <s v="AGUDELO "/>
    <s v="ALVAREZ "/>
    <s v="ROJER"/>
    <s v="ALEJANDRO "/>
    <s v="VIGILANTE "/>
    <d v="2023-02-19T00:00:00"/>
    <d v="2023-03-20T00:00:00"/>
    <n v="30"/>
    <n v="10"/>
    <s v="SI"/>
    <s v="SI"/>
    <x v="0"/>
    <s v="S822"/>
    <s v="FRACTURA DE LA DIAFISIS DE LA TIBIA"/>
    <s v="NUEVA EPS"/>
    <m/>
    <d v="2023-02-21T00:00:00"/>
    <d v="2023-05-05T00:00:00"/>
    <n v="1160000"/>
    <s v="ASUME LA EPS"/>
    <n v="1272005"/>
    <m/>
    <m/>
  </r>
  <r>
    <x v="1"/>
    <n v="71005195"/>
    <s v="HERNANDEZ"/>
    <s v="ZULUAGA"/>
    <s v="CARLOS"/>
    <s v="ARTURO"/>
    <s v="VIGILANTE "/>
    <d v="2023-02-19T00:00:00"/>
    <d v="2023-03-05T00:00:00"/>
    <n v="15"/>
    <n v="11"/>
    <s v="NO"/>
    <s v="SI"/>
    <x v="0"/>
    <s v="S420"/>
    <s v="FRACTURA DE LA CLAVICULA"/>
    <s v="SURA"/>
    <m/>
    <m/>
    <m/>
    <m/>
    <s v="ASUME LA EPS"/>
    <n v="1272005"/>
    <m/>
    <m/>
  </r>
  <r>
    <x v="1"/>
    <n v="1033340803"/>
    <s v="CARVAJAL "/>
    <s v="CHACON"/>
    <s v="JONATHAN "/>
    <m/>
    <s v="VIGILANTE "/>
    <d v="2023-02-19T00:00:00"/>
    <d v="2023-02-25T00:00:00"/>
    <n v="7"/>
    <n v="7"/>
    <s v="NO"/>
    <s v="NO"/>
    <x v="0"/>
    <s v="S099"/>
    <s v="TRAUMATISMO DE LA CABEZA, NO ESPECIFICADO"/>
    <s v="SOAT"/>
    <m/>
    <m/>
    <m/>
    <m/>
    <s v="ASUME LA EPS"/>
    <n v="1272005"/>
    <m/>
    <m/>
  </r>
  <r>
    <x v="1"/>
    <n v="71005195"/>
    <s v="HERNANDEZ"/>
    <s v="ZULUAGA"/>
    <s v="CARLOS"/>
    <s v="ARTURO"/>
    <s v="VIGILANTE "/>
    <d v="2023-02-19T00:00:00"/>
    <d v="2023-03-05T00:00:00"/>
    <n v="15"/>
    <n v="10"/>
    <s v="NO"/>
    <s v="NO"/>
    <x v="0"/>
    <s v="S420"/>
    <s v="FRACTURA DE LA CLAVICULA"/>
    <s v="SURA"/>
    <m/>
    <d v="2023-02-22T00:00:00"/>
    <d v="2023-02-28T00:00:00"/>
    <n v="580000"/>
    <s v="ASUME LA EPS"/>
    <n v="1272005"/>
    <m/>
    <m/>
  </r>
  <r>
    <x v="1"/>
    <n v="71275284"/>
    <s v="ACEVEDO "/>
    <s v="BAENA"/>
    <s v="ALEX "/>
    <s v="ADRIAN"/>
    <s v="VIGILANTE "/>
    <d v="2023-02-19T00:00:00"/>
    <d v="2023-02-21T00:00:00"/>
    <n v="3"/>
    <n v="3"/>
    <s v="NO"/>
    <s v="NO"/>
    <x v="1"/>
    <s v="S098"/>
    <s v="OTROS TRAUMATISMOS DE LA CABEZA, ESPECIFICADOS"/>
    <s v="SEGUROS BOLIVAR "/>
    <m/>
    <m/>
    <m/>
    <m/>
    <s v="ASUME LA EPS"/>
    <n v="1272005"/>
    <m/>
    <m/>
  </r>
  <r>
    <x v="1"/>
    <n v="11936325"/>
    <s v="GARCIA"/>
    <s v="CARMONA"/>
    <s v="JUAN "/>
    <s v="PABLO"/>
    <s v="VIGILANTE "/>
    <d v="2023-02-20T00:00:00"/>
    <d v="2023-03-21T00:00:00"/>
    <n v="30"/>
    <n v="9"/>
    <s v="SI"/>
    <s v="SI"/>
    <x v="0"/>
    <s v="S824"/>
    <s v="FRACTURA DEL PERONE SOLAMENTE"/>
    <s v="SOAT"/>
    <m/>
    <d v="2023-02-23T00:00:00"/>
    <d v="2023-03-13T00:00:00"/>
    <n v="1160000"/>
    <s v="ASUME LA EPS"/>
    <n v="1272005"/>
    <m/>
    <m/>
  </r>
  <r>
    <x v="1"/>
    <n v="1147957427"/>
    <s v="JIMENEZ"/>
    <s v="OSORIO"/>
    <s v="JOHN"/>
    <s v="BERNARDO"/>
    <s v="VIGILANTE "/>
    <d v="2023-02-20T00:00:00"/>
    <d v="2023-02-22T00:00:00"/>
    <n v="3"/>
    <n v="3"/>
    <s v="NO"/>
    <s v="NO"/>
    <x v="0"/>
    <s v="K011"/>
    <s v="DIENTES IMPACTADOS"/>
    <s v="SALUD TOTAL "/>
    <m/>
    <m/>
    <m/>
    <m/>
    <s v="ASUME LA EPS"/>
    <n v="1272005"/>
    <m/>
    <m/>
  </r>
  <r>
    <x v="1"/>
    <n v="1113304420"/>
    <s v="CHICA "/>
    <s v="FERREIRA"/>
    <s v="JAIME"/>
    <s v="ANDRES"/>
    <s v="VIGILANTE "/>
    <d v="2023-02-20T00:00:00"/>
    <d v="2023-02-20T00:00:00"/>
    <n v="1"/>
    <n v="1"/>
    <s v="NO"/>
    <s v="NO"/>
    <x v="0"/>
    <s v="A99"/>
    <s v="FIEBRE VIRAL HEMORRAGICA, NO ESPECIFICADA"/>
    <s v="SALUD TOTAL "/>
    <n v="0"/>
    <m/>
    <n v="0"/>
    <n v="42400"/>
    <s v="ASUME LA EMPRESA "/>
    <n v="1272005"/>
    <n v="0"/>
    <n v="42400"/>
  </r>
  <r>
    <x v="0"/>
    <n v="1216713788"/>
    <s v="HENAO "/>
    <s v="RINCON "/>
    <s v="ANDRES "/>
    <s v="MAURICIO "/>
    <s v="VIGILANTE "/>
    <d v="2023-02-21T00:00:00"/>
    <d v="2023-02-19T00:00:00"/>
    <n v="30"/>
    <n v="11"/>
    <s v="SI"/>
    <s v="SI"/>
    <x v="1"/>
    <s v="M233"/>
    <s v="OTROS TRASTORNOS DE LOS MENISCOS"/>
    <s v="SEGUROS BOLIVAR "/>
    <n v="6032110"/>
    <d v="2023-03-11T00:00:00"/>
    <d v="2023-03-22T00:00:00"/>
    <n v="1389274"/>
    <s v="ASUME LA EPS"/>
    <n v="1272005"/>
    <m/>
    <m/>
  </r>
  <r>
    <x v="1"/>
    <n v="3669363"/>
    <s v="PINO "/>
    <s v="CASTAÑO"/>
    <s v="GUSTAVO "/>
    <s v="DE JESUS"/>
    <s v="VIGILANTE "/>
    <d v="2023-02-21T00:00:00"/>
    <d v="2023-02-24T00:00:00"/>
    <n v="4"/>
    <n v="4"/>
    <s v="SI"/>
    <s v="SI"/>
    <x v="0"/>
    <s v="S821"/>
    <s v="FRACTURA DE LA EPIFISIS SUPERIOR DE LA TIBIA"/>
    <s v="SURA"/>
    <m/>
    <m/>
    <m/>
    <m/>
    <s v="ASUME LA EPS"/>
    <n v="1272005"/>
    <m/>
    <m/>
  </r>
  <r>
    <x v="1"/>
    <n v="98711080"/>
    <s v="ACEVEDO "/>
    <s v="GALLEGO"/>
    <s v="DUVAN"/>
    <s v="GUILLERMO"/>
    <s v="VIGILANTE "/>
    <d v="2023-02-21T00:00:00"/>
    <d v="2023-02-21T00:00:00"/>
    <n v="1"/>
    <n v="1"/>
    <s v="NO"/>
    <s v="NO"/>
    <x v="0"/>
    <s v="G438"/>
    <s v="OTRAS MIGRAÑAS"/>
    <s v="SURA"/>
    <n v="0"/>
    <m/>
    <n v="0"/>
    <n v="42400"/>
    <s v="ASUME LA EPS"/>
    <n v="1272005"/>
    <n v="0"/>
    <n v="42400"/>
  </r>
  <r>
    <x v="1"/>
    <n v="1033373975"/>
    <s v="PASTRANA "/>
    <s v="RAMOS"/>
    <s v="GABRIEL "/>
    <s v="ANGEL"/>
    <s v="VIGILANTE "/>
    <d v="2023-02-21T00:00:00"/>
    <d v="2023-02-23T00:00:00"/>
    <n v="3"/>
    <n v="3"/>
    <s v="NO"/>
    <s v="NO"/>
    <x v="0"/>
    <s v="J00X"/>
    <s v="RINOFARINGITIS AGUDA (RESFRIADO COMUN)"/>
    <s v="NUEVA EPS"/>
    <m/>
    <d v="2023-02-22T00:00:00"/>
    <d v="2023-04-21T00:00:00"/>
    <n v="38667"/>
    <s v="ASUME LA EPS"/>
    <n v="1272005"/>
    <m/>
    <m/>
  </r>
  <r>
    <x v="1"/>
    <n v="70252687"/>
    <s v="MAZO "/>
    <s v="RAMIREZ "/>
    <s v="IVAN "/>
    <s v="DARIO"/>
    <s v="VIGILANTE "/>
    <d v="2023-02-21T00:00:00"/>
    <d v="2023-02-24T00:00:00"/>
    <n v="4"/>
    <n v="4"/>
    <s v="NO"/>
    <s v="NO"/>
    <x v="0"/>
    <s v="N40"/>
    <s v="HIPERPLASIA DE LA PROSTATA"/>
    <s v="SURA"/>
    <m/>
    <d v="2023-02-27T00:00:00"/>
    <d v="2023-03-07T00:00:00"/>
    <n v="154667"/>
    <s v="ASUME LA EPS"/>
    <n v="1272005"/>
    <m/>
    <m/>
  </r>
  <r>
    <x v="1"/>
    <n v="1007470071"/>
    <s v="HERNANDEZ "/>
    <s v="ESPEJO"/>
    <s v="JHON "/>
    <s v="JAIRO"/>
    <s v="VIGILANTE "/>
    <d v="2023-02-22T00:00:00"/>
    <d v="2023-02-23T00:00:00"/>
    <n v="2"/>
    <n v="2"/>
    <s v="NO"/>
    <s v="NO"/>
    <x v="0"/>
    <s v="K528"/>
    <s v="OTRAS COLITIS Y GASTROENTERITIS NO INFECCIOSAS ESPECIFICADAS"/>
    <s v="NUEVA EPS"/>
    <m/>
    <m/>
    <m/>
    <m/>
    <s v="ASUME LA EPS"/>
    <m/>
    <m/>
    <m/>
  </r>
  <r>
    <x v="1"/>
    <n v="70323164"/>
    <s v="SUAREZ "/>
    <s v="CASTRILLON "/>
    <s v="JOSE"/>
    <s v="AICARDO"/>
    <s v="VIGILANTE "/>
    <d v="2023-02-23T00:00:00"/>
    <d v="2023-03-24T00:00:00"/>
    <n v="30"/>
    <n v="5"/>
    <s v="NO"/>
    <s v="SI"/>
    <x v="0"/>
    <s v="A152"/>
    <s v="TUBERCULOSIS DEL PULMON, CONFIRMADA HISTOLOGICAMENTE"/>
    <s v="SURA"/>
    <m/>
    <m/>
    <m/>
    <m/>
    <s v="ASUME LA EPS"/>
    <n v="1272005"/>
    <m/>
    <m/>
  </r>
  <r>
    <x v="1"/>
    <n v="98716980"/>
    <s v="TOBON "/>
    <s v="GALLO "/>
    <s v="WILSON "/>
    <s v="FERNANDO "/>
    <s v="VIGILANTE "/>
    <d v="2023-02-24T00:00:00"/>
    <d v="2023-02-25T00:00:00"/>
    <n v="2"/>
    <n v="2"/>
    <s v="NO"/>
    <s v="NO"/>
    <x v="0"/>
    <s v="G438"/>
    <s v="OTRAS MIGRAÑAS"/>
    <s v="SURA"/>
    <m/>
    <m/>
    <m/>
    <m/>
    <s v="ASUME LA EPS"/>
    <n v="1272005"/>
    <m/>
    <m/>
  </r>
  <r>
    <x v="1"/>
    <n v="8434367"/>
    <s v="LOPERA"/>
    <s v="USUGA"/>
    <s v="WILLIAM"/>
    <s v="ANDRES"/>
    <s v="VIGILANTE "/>
    <d v="2023-02-25T00:00:00"/>
    <d v="2023-02-25T00:00:00"/>
    <n v="1"/>
    <n v="1"/>
    <s v="NO"/>
    <s v="NO"/>
    <x v="0"/>
    <s v="M779"/>
    <s v="ENTESOPATIA, NO ESPECIFICADA"/>
    <s v="SURA"/>
    <n v="0"/>
    <m/>
    <n v="0"/>
    <n v="42400"/>
    <s v="ASUME LA EPS"/>
    <n v="1272005"/>
    <n v="0"/>
    <n v="42400"/>
  </r>
  <r>
    <x v="1"/>
    <n v="3481465"/>
    <s v="LOPERA"/>
    <s v="DURANGO "/>
    <s v="ARTURO "/>
    <s v="DE JESUS "/>
    <s v="VIGILANTE "/>
    <d v="2023-02-26T00:00:00"/>
    <d v="2023-03-26T00:00:00"/>
    <n v="29"/>
    <n v="3"/>
    <s v="SI"/>
    <s v="SI"/>
    <x v="0"/>
    <s v="F069"/>
    <s v="TRASTORNO MENTAL NO ESPECIFICADO DEBIDO A LESION Y DISFUNCION CEREBRAL Y A ENFERMEDAD FISICA"/>
    <s v="SURA"/>
    <m/>
    <m/>
    <m/>
    <m/>
    <s v="ASUME LA EPS"/>
    <n v="1272005"/>
    <m/>
    <m/>
  </r>
  <r>
    <x v="1"/>
    <n v="71601851"/>
    <s v="MAZO "/>
    <s v="ELORZA"/>
    <s v="RAMON "/>
    <s v="ANGEL"/>
    <s v="VIGILANTE "/>
    <d v="2023-02-27T00:00:00"/>
    <d v="2023-03-28T00:00:00"/>
    <n v="30"/>
    <n v="2"/>
    <s v="SI"/>
    <s v="SI"/>
    <x v="0"/>
    <s v="M239"/>
    <s v="TRASTORNOS INTERNO DE LA RODILLA, NO ESPECIFICADO"/>
    <s v="NUEVA EPS"/>
    <m/>
    <d v="2023-03-10T00:00:00"/>
    <d v="2023-05-05T00:00:00"/>
    <n v="1160000"/>
    <s v="ASUME LA EPS"/>
    <n v="1272005"/>
    <m/>
    <m/>
  </r>
  <r>
    <x v="1"/>
    <n v="1036687761"/>
    <s v="SUAREZ"/>
    <s v="TABARES"/>
    <s v="SANTIAGO "/>
    <m/>
    <s v="VIGILANTE "/>
    <d v="2023-02-27T00:00:00"/>
    <d v="2023-02-28T00:00:00"/>
    <n v="2"/>
    <n v="2"/>
    <s v="NO"/>
    <s v="NO"/>
    <x v="0"/>
    <s v="J039"/>
    <s v="AMIGDALITIS AGUDA, NO ESPECIFICADA"/>
    <s v="SALUD TOTAL "/>
    <m/>
    <m/>
    <m/>
    <m/>
    <s v="ASUME LA EPS"/>
    <m/>
    <m/>
    <m/>
  </r>
  <r>
    <x v="1"/>
    <n v="71676289"/>
    <s v="MARIN"/>
    <s v="CASTRO"/>
    <s v="WILLSON"/>
    <s v="LEON"/>
    <s v="VIGILANTE "/>
    <d v="2023-02-28T00:00:00"/>
    <d v="2023-03-14T00:00:00"/>
    <n v="15"/>
    <n v="1"/>
    <s v="NO"/>
    <s v="SI"/>
    <x v="0"/>
    <s v="S983"/>
    <s v="AMPUTACION TRAUMATICA DE OTRAS PARTES DEL PIE"/>
    <s v="SURA"/>
    <m/>
    <m/>
    <m/>
    <m/>
    <s v="ASUME LA EPS"/>
    <n v="1272005"/>
    <m/>
    <m/>
  </r>
  <r>
    <x v="1"/>
    <n v="98711889"/>
    <s v="CORTES"/>
    <s v="SALAZAR "/>
    <s v="ANDRES "/>
    <s v="CAMILO"/>
    <s v="VIGILANTE "/>
    <d v="2023-02-28T00:00:00"/>
    <d v="2023-03-01T00:00:00"/>
    <n v="3"/>
    <n v="3"/>
    <s v="NO"/>
    <s v="NO"/>
    <x v="0"/>
    <s v="N309"/>
    <s v="CISTITIS, NO ESPECIFICADA"/>
    <s v="SANITAS "/>
    <m/>
    <m/>
    <m/>
    <m/>
    <s v="ASUME LA EPS"/>
    <n v="1272005"/>
    <m/>
    <m/>
  </r>
  <r>
    <x v="1"/>
    <n v="15309929"/>
    <s v="GALVIS"/>
    <s v="CASTRO"/>
    <s v="NICOLAS"/>
    <s v="EMIRO"/>
    <s v="VIGILANTE "/>
    <d v="2023-02-28T00:00:00"/>
    <d v="2023-03-23T00:00:00"/>
    <n v="24"/>
    <n v="24"/>
    <s v="SI"/>
    <s v="SI"/>
    <x v="0"/>
    <s v="S832"/>
    <s v="DESGARRO DE MENISCOS, PRESENTE"/>
    <s v="SURA"/>
    <m/>
    <d v="2023-03-04T00:00:00"/>
    <d v="2023-03-07T00:00:00"/>
    <n v="928000"/>
    <s v="ASUME LA EPS"/>
    <n v="1272005"/>
    <m/>
    <m/>
  </r>
  <r>
    <x v="1"/>
    <n v="1040737050"/>
    <s v="VALDERRAMA "/>
    <s v="TANGARIFE"/>
    <s v="YEISON "/>
    <s v="EISMAN"/>
    <s v="VIGILANTE "/>
    <d v="2023-02-28T00:00:00"/>
    <d v="2023-03-01T00:00:00"/>
    <n v="2"/>
    <n v="2"/>
    <s v="NO"/>
    <s v="NO"/>
    <x v="0"/>
    <s v="H113"/>
    <s v="HEMORRAGIA CONJUNTIVAL"/>
    <s v="SALUD TOTAL "/>
    <m/>
    <m/>
    <m/>
    <m/>
    <s v="ASUME LA EPS"/>
    <m/>
    <m/>
    <m/>
  </r>
  <r>
    <x v="2"/>
    <n v="71375285"/>
    <s v="HINCAPIE "/>
    <s v="RAMIREZ "/>
    <s v="YEREMY"/>
    <m/>
    <s v="VIGILANTE "/>
    <d v="2023-03-03T00:00:00"/>
    <d v="2023-03-04T00:00:00"/>
    <n v="2"/>
    <n v="2"/>
    <s v="NO"/>
    <s v="NO"/>
    <x v="0"/>
    <s v="K529"/>
    <s v="COLITIS Y GASTROENTERITIS NO INFECCIOSAS, NO ESPECIFICADAS"/>
    <s v="SURA"/>
    <m/>
    <m/>
    <m/>
    <m/>
    <s v="ASUME LA EPS"/>
    <n v="1272005"/>
    <m/>
    <m/>
  </r>
  <r>
    <x v="2"/>
    <n v="98765066"/>
    <s v="HIGUITA "/>
    <s v="OSPINA "/>
    <s v="DANIEL "/>
    <s v="CAMILO"/>
    <s v="VIGILANTE "/>
    <d v="2023-03-04T00:00:00"/>
    <d v="2023-03-05T00:00:00"/>
    <n v="2"/>
    <n v="2"/>
    <s v="NO"/>
    <s v="NO"/>
    <x v="0"/>
    <s v="K529"/>
    <s v="COLITIS Y GASTROENTERITIS NO INFECCIOSAS, NO ESPECIFICADAS"/>
    <s v="SALUD TOTAL "/>
    <m/>
    <m/>
    <m/>
    <m/>
    <s v="ASUME LA EPS"/>
    <m/>
    <m/>
    <m/>
  </r>
  <r>
    <x v="2"/>
    <n v="1039090990"/>
    <s v="HOYOS "/>
    <s v="CASTILLO"/>
    <s v="JUAN "/>
    <s v="DAVID "/>
    <s v="VIGILANTE "/>
    <d v="2023-03-04T00:00:00"/>
    <d v="2023-03-05T00:00:00"/>
    <n v="2"/>
    <n v="2"/>
    <s v="NO"/>
    <s v="NO"/>
    <x v="0"/>
    <s v="J00X"/>
    <s v="RINOFARINGITIS AGUDA (RESFRIADO COMUN)"/>
    <s v="SURA"/>
    <m/>
    <m/>
    <m/>
    <m/>
    <s v="ASUME LA EPS"/>
    <n v="1272005"/>
    <m/>
    <m/>
  </r>
  <r>
    <x v="2"/>
    <n v="3411306"/>
    <s v="ARIAS "/>
    <s v="SANCHEZ "/>
    <s v="LUIS "/>
    <s v="HERNANDO "/>
    <s v="VIGILANTE "/>
    <d v="2023-03-07T00:00:00"/>
    <d v="2023-03-10T00:00:00"/>
    <n v="4"/>
    <n v="4"/>
    <s v="NO"/>
    <s v="NO"/>
    <x v="0"/>
    <s v="S610"/>
    <s v="HERIDA DE DEDO(S) DE LA MANO, SIN DAÑO DE LA(S) UÑA(S)"/>
    <s v="NUEVA EPS"/>
    <m/>
    <m/>
    <m/>
    <m/>
    <s v="ASUME LA EPS"/>
    <n v="1272005"/>
    <m/>
    <m/>
  </r>
  <r>
    <x v="2"/>
    <n v="1036928635"/>
    <s v="URIBE "/>
    <s v="LONDOÑO"/>
    <s v="MAURICIO "/>
    <m/>
    <s v="VIGILANTE "/>
    <d v="2023-03-08T00:00:00"/>
    <d v="2023-03-21T00:00:00"/>
    <n v="14"/>
    <n v="14"/>
    <s v="NO"/>
    <s v="NO"/>
    <x v="0"/>
    <s v="O800"/>
    <s v="PARTO UNICO ESPONTANEO, PRESENTACION CEFALICA DE VERTICE"/>
    <s v="SURA"/>
    <m/>
    <d v="2023-03-11T00:00:00"/>
    <d v="2023-03-14T00:00:00"/>
    <n v="593602"/>
    <s v="ASUME LA EPS"/>
    <n v="1272005"/>
    <m/>
    <m/>
  </r>
  <r>
    <x v="2"/>
    <n v="1035870964"/>
    <s v="FRANCO "/>
    <s v="QUINTERO"/>
    <s v="CRITIAN "/>
    <s v="ANDRES"/>
    <s v="VIGILANTE "/>
    <d v="2023-03-08T00:00:00"/>
    <d v="2023-03-09T00:00:00"/>
    <n v="2"/>
    <n v="2"/>
    <s v="NO"/>
    <s v="NO"/>
    <x v="0"/>
    <s v="N390"/>
    <s v="INFECCION DE VIAS URINARIAS, SITIO NO ESPECIFICADO"/>
    <s v="SURA"/>
    <m/>
    <m/>
    <m/>
    <m/>
    <s v="ASUME LA EPS"/>
    <n v="1272005"/>
    <m/>
    <m/>
  </r>
  <r>
    <x v="2"/>
    <n v="1036928635"/>
    <s v="URIBE "/>
    <s v="LONDOÑO"/>
    <s v="MAURICIO "/>
    <m/>
    <s v="VIGILANTE "/>
    <d v="2023-03-08T00:00:00"/>
    <d v="2023-03-21T00:00:00"/>
    <n v="14"/>
    <n v="14"/>
    <s v="NO"/>
    <s v="NO"/>
    <x v="0"/>
    <s v="O800"/>
    <s v="PARTO UNICO ESPONTANEO, PRESENTACION CEFALICA DE VERTICE"/>
    <s v="SURA"/>
    <m/>
    <d v="2023-03-13T00:00:00"/>
    <d v="2023-03-14T00:00:00"/>
    <n v="593602"/>
    <s v="ASUME LA EPS"/>
    <n v="1272005"/>
    <m/>
    <m/>
  </r>
  <r>
    <x v="2"/>
    <n v="1037269145"/>
    <s v="BERRIO "/>
    <s v="JARAMILLO"/>
    <s v="ROBINSON "/>
    <s v="ADOLFO"/>
    <s v="VIGILANTE "/>
    <d v="2023-03-09T00:00:00"/>
    <d v="2023-03-09T00:00:00"/>
    <n v="1"/>
    <n v="1"/>
    <s v="NO"/>
    <s v="NO"/>
    <x v="0"/>
    <s v="R42"/>
    <s v="MAREO Y DESVANECIMIENTO"/>
    <s v="SURA"/>
    <n v="0"/>
    <m/>
    <n v="0"/>
    <n v="42400"/>
    <s v="ASUME LA EPS"/>
    <n v="1272005"/>
    <n v="0"/>
    <n v="42400"/>
  </r>
  <r>
    <x v="2"/>
    <n v="8156170"/>
    <s v="MUÑOZ "/>
    <s v="CASTRILLON "/>
    <s v="INYERMAN"/>
    <s v="ALBERTO "/>
    <s v="VIGILANTE "/>
    <d v="2023-03-13T00:00:00"/>
    <d v="2023-03-15T00:00:00"/>
    <n v="3"/>
    <n v="3"/>
    <s v="NO"/>
    <s v="NO"/>
    <x v="0"/>
    <s v="F411"/>
    <s v="TRASTORNO DE ANSIEDAD GENERALIZADA"/>
    <s v="SURA"/>
    <m/>
    <d v="2023-03-15T00:00:00"/>
    <d v="2023-03-21T00:00:00"/>
    <n v="38667"/>
    <s v="ASUME LA EPS"/>
    <n v="1272005"/>
    <m/>
    <m/>
  </r>
  <r>
    <x v="2"/>
    <n v="1040737050"/>
    <s v="VALDERRAMA "/>
    <s v="TANGARIFE"/>
    <s v="YEISON "/>
    <s v="EISMAN"/>
    <s v="VIGILANTE "/>
    <d v="2023-03-14T00:00:00"/>
    <d v="2023-03-15T00:00:00"/>
    <n v="2"/>
    <n v="2"/>
    <s v="NO"/>
    <s v="NO"/>
    <x v="0"/>
    <s v="J030"/>
    <s v="AMIGDALITIS ESTREPTOCOCICA"/>
    <s v="SALUD TOTAL "/>
    <m/>
    <m/>
    <m/>
    <m/>
    <s v="ASUME LA EPS"/>
    <m/>
    <m/>
    <m/>
  </r>
  <r>
    <x v="2"/>
    <n v="71727521"/>
    <s v="CALLE "/>
    <s v="TORRES"/>
    <s v="SERGIO "/>
    <s v="IVAN"/>
    <s v="VIGILANTE "/>
    <d v="2023-03-15T00:00:00"/>
    <d v="2023-03-29T00:00:00"/>
    <n v="15"/>
    <n v="15"/>
    <s v="NO"/>
    <s v="NO"/>
    <x v="0"/>
    <s v="S420"/>
    <s v="FRACTURA DE LA CLAVICULA"/>
    <s v="SOAT"/>
    <m/>
    <m/>
    <m/>
    <m/>
    <s v="ASUME LA EPS"/>
    <n v="1272005"/>
    <m/>
    <m/>
  </r>
  <r>
    <x v="2"/>
    <n v="8324434"/>
    <s v="CORDOBA "/>
    <s v="IBARGUEN"/>
    <s v="LUIS "/>
    <s v="AFRANIO "/>
    <s v="VIGILANTE "/>
    <d v="2023-03-16T00:00:00"/>
    <d v="2023-03-16T00:00:00"/>
    <n v="1"/>
    <n v="1"/>
    <s v="NO"/>
    <s v="NO"/>
    <x v="0"/>
    <s v="B349"/>
    <s v="INFECCION VIRAL, NO ESPECIFICADA"/>
    <s v="SURA"/>
    <n v="0"/>
    <m/>
    <n v="0"/>
    <n v="42400"/>
    <s v="ASUME LA EPS"/>
    <n v="1272005"/>
    <n v="0"/>
    <n v="42400"/>
  </r>
  <r>
    <x v="2"/>
    <n v="1076385711"/>
    <s v="GOMEZ"/>
    <s v="PINO"/>
    <s v="MARLO "/>
    <s v="ESTIVER"/>
    <s v="VIGILANTE "/>
    <d v="2023-03-16T00:00:00"/>
    <d v="2023-03-17T00:00:00"/>
    <n v="2"/>
    <n v="2"/>
    <s v="NO"/>
    <s v="NO"/>
    <x v="0"/>
    <s v="M758"/>
    <s v="OTRAS LESIONES DEL HOMBRO"/>
    <s v="SURA"/>
    <m/>
    <m/>
    <m/>
    <m/>
    <s v="ASUME LA EPS"/>
    <n v="1272005"/>
    <m/>
    <m/>
  </r>
  <r>
    <x v="2"/>
    <n v="1128458954"/>
    <s v="HOYOS"/>
    <s v="SALINAS "/>
    <s v="LEIDY"/>
    <s v="NAYIVER"/>
    <s v="VIGILANTE "/>
    <d v="2023-03-16T00:00:00"/>
    <d v="2023-03-17T00:00:00"/>
    <n v="2"/>
    <n v="2"/>
    <s v="NO"/>
    <s v="NO"/>
    <x v="0"/>
    <s v="N218"/>
    <s v="OTROS CALCULOS DE LAS VIAS URINARIAS INFERIORES"/>
    <s v="SURA"/>
    <m/>
    <m/>
    <m/>
    <m/>
    <s v="ASUME LA EPS"/>
    <n v="1272005"/>
    <m/>
    <m/>
  </r>
  <r>
    <x v="2"/>
    <n v="1040374058"/>
    <s v="RODRIGUEZ "/>
    <s v="RADA "/>
    <s v="JEINER "/>
    <s v="ANDRES"/>
    <s v="VIGILANTE "/>
    <d v="2023-03-17T00:00:00"/>
    <d v="2023-03-18T00:00:00"/>
    <n v="2"/>
    <n v="2"/>
    <s v="NO"/>
    <s v="NO"/>
    <x v="0"/>
    <s v="M940"/>
    <s v="SINDROME DE LA ARTICULACION CONDROCOSTAL [TIETZE]"/>
    <s v="SURA"/>
    <m/>
    <m/>
    <m/>
    <m/>
    <s v="ASUME LA EPS"/>
    <n v="1272005"/>
    <m/>
    <m/>
  </r>
  <r>
    <x v="2"/>
    <n v="1035389689"/>
    <s v="CASTAÑO "/>
    <s v="JARAMILLO"/>
    <s v="DANIEL "/>
    <s v="ENRIQUE"/>
    <s v="VIGILANTE "/>
    <d v="2023-03-17T00:00:00"/>
    <d v="2023-03-18T00:00:00"/>
    <n v="2"/>
    <n v="2"/>
    <s v="NO"/>
    <s v="NO"/>
    <x v="0"/>
    <s v="A083"/>
    <s v="OTRAS ENTERITIS VIRALES"/>
    <s v="SALUD TOTAL "/>
    <m/>
    <m/>
    <m/>
    <m/>
    <s v="ASUME LA EPS"/>
    <m/>
    <m/>
    <m/>
  </r>
  <r>
    <x v="2"/>
    <n v="98514610"/>
    <s v="HENAO "/>
    <s v="SIERRA"/>
    <s v="LUIS "/>
    <s v="FERNANDO "/>
    <s v="VIGILANTE "/>
    <d v="2023-03-17T00:00:00"/>
    <d v="2023-03-23T00:00:00"/>
    <n v="7"/>
    <n v="7"/>
    <s v="NO"/>
    <s v="NO"/>
    <x v="1"/>
    <s v="S610"/>
    <s v="HERIDA DE DEDO(S) DE LA MANO, SIN DAÑO DE LA(S) UÑA(S)"/>
    <s v="SEGUROS BOLIVAR "/>
    <m/>
    <d v="2023-03-10T00:00:00"/>
    <d v="2023-04-21T00:00:00"/>
    <n v="284929"/>
    <s v="ASUME LA EPS"/>
    <n v="1272005"/>
    <m/>
    <m/>
  </r>
  <r>
    <x v="2"/>
    <n v="1035870964"/>
    <s v="FRANCO "/>
    <s v="QUINTERO"/>
    <s v="CRISTIAN"/>
    <s v="ADNRES"/>
    <s v="VIGILANTE "/>
    <d v="2023-03-18T00:00:00"/>
    <d v="2023-03-18T00:00:00"/>
    <n v="1"/>
    <n v="1"/>
    <s v="NO"/>
    <s v="NO"/>
    <x v="0"/>
    <s v="N390"/>
    <s v="INFECCION DE VIAS URINARIAS, SITIO NO ESPECIFICADO"/>
    <s v="SURA"/>
    <n v="0"/>
    <m/>
    <n v="0"/>
    <n v="42400"/>
    <s v="ASUME LA EPS"/>
    <n v="1272005"/>
    <n v="0"/>
    <n v="42400"/>
  </r>
  <r>
    <x v="2"/>
    <n v="98648701"/>
    <s v="MARTINEZ "/>
    <s v="CARDONA"/>
    <s v="ALEX "/>
    <s v="SEVERIANO"/>
    <s v="VIGILANTE "/>
    <d v="2023-03-18T00:00:00"/>
    <d v="2023-03-19T00:00:00"/>
    <n v="2"/>
    <n v="2"/>
    <s v="NO"/>
    <s v="NO"/>
    <x v="0"/>
    <s v="M549"/>
    <s v="DORSALGIA, NO ESPECIFICADA"/>
    <s v="SURA"/>
    <m/>
    <m/>
    <m/>
    <m/>
    <s v="ASUME LA EPS"/>
    <n v="1272005"/>
    <m/>
    <m/>
  </r>
  <r>
    <x v="2"/>
    <n v="1128458954"/>
    <s v="HOYOS"/>
    <s v="SALINAS "/>
    <s v="LEIDY"/>
    <s v="NAYIVER"/>
    <s v="VIGILANTE "/>
    <d v="2023-03-18T00:00:00"/>
    <d v="2023-03-19T00:00:00"/>
    <n v="2"/>
    <n v="2"/>
    <s v="NO"/>
    <s v="NO"/>
    <x v="0"/>
    <s v="N390"/>
    <s v="INFECCION DE VIAS URINARIAS, SITIO NO ESPECIFICADO"/>
    <s v="SURA"/>
    <m/>
    <m/>
    <m/>
    <m/>
    <s v="ASUME LA EPS"/>
    <n v="1272005"/>
    <m/>
    <m/>
  </r>
  <r>
    <x v="2"/>
    <n v="1076385711"/>
    <s v="GOMEZ "/>
    <s v="PINO"/>
    <s v="MARLO "/>
    <s v="ESTIVER"/>
    <s v="VIGILANTE "/>
    <d v="2023-03-18T00:00:00"/>
    <d v="2023-04-01T00:00:00"/>
    <n v="15"/>
    <n v="17"/>
    <s v="NO"/>
    <s v="NO"/>
    <x v="0"/>
    <s v="S430"/>
    <s v="LUXACION DE LA ARTICULACION DEL HOMBRO"/>
    <s v="SURA"/>
    <m/>
    <d v="2023-03-20T00:00:00"/>
    <d v="2023-03-28T00:00:00"/>
    <n v="502667"/>
    <s v="ASUME LA EPS"/>
    <n v="1272005"/>
    <m/>
    <m/>
  </r>
  <r>
    <x v="2"/>
    <n v="1066181597"/>
    <s v="CAVADIA "/>
    <s v="DELGADO"/>
    <s v="JORGE "/>
    <s v="LUIS"/>
    <s v="VIGILANTE "/>
    <d v="2023-03-18T00:00:00"/>
    <d v="2023-03-20T00:00:00"/>
    <n v="3"/>
    <n v="3"/>
    <s v="NO"/>
    <s v="NO"/>
    <x v="0"/>
    <s v="R074"/>
    <s v="DOLOR EN EL PECHO, NO ESPECIFICADO"/>
    <s v="SALUD TOTAL "/>
    <m/>
    <m/>
    <m/>
    <m/>
    <s v="ASUME LA EPS"/>
    <n v="1272005"/>
    <m/>
    <m/>
  </r>
  <r>
    <x v="2"/>
    <n v="15444896"/>
    <s v="RUIZ "/>
    <s v="HERNANDEZ"/>
    <s v="WILMAR"/>
    <s v="GONZALO "/>
    <s v="VIGILANTE "/>
    <d v="2023-03-20T00:00:00"/>
    <d v="2023-03-21T00:00:00"/>
    <n v="2"/>
    <n v="2"/>
    <s v="NO"/>
    <s v="NO"/>
    <x v="0"/>
    <s v="J00X"/>
    <s v="RINOFARINGITIS AGUDA (RESFRIADO COMUN)"/>
    <s v="SALUD TOTAL "/>
    <m/>
    <m/>
    <m/>
    <m/>
    <s v="ASUME LA EPS"/>
    <m/>
    <m/>
    <m/>
  </r>
  <r>
    <x v="2"/>
    <n v="71395493"/>
    <s v="VALENCIA"/>
    <s v="HOYOS"/>
    <s v="RUBEN "/>
    <s v="DARIO"/>
    <s v="VIGILANTE "/>
    <d v="2023-03-20T00:00:00"/>
    <d v="2023-03-22T00:00:00"/>
    <n v="3"/>
    <n v="3"/>
    <s v="NO"/>
    <s v="NO"/>
    <x v="0"/>
    <s v="S400"/>
    <s v="CONTUSION DEL HOMBRO Y DEL BRAZO"/>
    <s v="SURA"/>
    <m/>
    <m/>
    <m/>
    <m/>
    <s v="ASUME LA EPS"/>
    <n v="1272005"/>
    <m/>
    <m/>
  </r>
  <r>
    <x v="2"/>
    <n v="1216722770"/>
    <s v="AGUDELO "/>
    <s v="ALVAREZ "/>
    <s v="ROJER"/>
    <s v="ALEJANDRO "/>
    <s v="VIGILANTE "/>
    <d v="2023-03-21T00:00:00"/>
    <d v="2023-04-19T00:00:00"/>
    <n v="30"/>
    <n v="10"/>
    <s v="SI"/>
    <s v="SI"/>
    <x v="0"/>
    <s v="S822"/>
    <s v="FRACTURA DE LA DIAFISIS DE LA TIBIA"/>
    <s v="NUEVA EPS"/>
    <m/>
    <d v="2023-04-22T00:00:00"/>
    <d v="2023-06-09T00:00:00"/>
    <n v="1160000"/>
    <s v="ASUME LA EPS"/>
    <n v="1272005"/>
    <m/>
    <m/>
  </r>
  <r>
    <x v="2"/>
    <n v="1216722370"/>
    <s v="AGUDELO "/>
    <s v="ALVAREZ "/>
    <s v="ROJER"/>
    <s v="ALEJANDRO "/>
    <s v="VIGILANTE "/>
    <d v="2023-03-21T00:00:00"/>
    <d v="2023-04-19T00:00:00"/>
    <n v="30"/>
    <n v="11"/>
    <s v="SI"/>
    <s v="SI"/>
    <x v="0"/>
    <s v="S822"/>
    <s v="FRACTURA DE LA DIAFISIS DE LA TIBIA"/>
    <s v="SOAT "/>
    <m/>
    <d v="2023-04-10T00:00:00"/>
    <d v="2023-05-05T00:00:00"/>
    <n v="1160000"/>
    <s v="ASUME LA EPS"/>
    <n v="1272005"/>
    <m/>
    <m/>
  </r>
  <r>
    <x v="3"/>
    <n v="1216713788"/>
    <s v="HENAO"/>
    <s v="RINCON"/>
    <s v="ANDRES "/>
    <s v="MAURICIO"/>
    <s v="VIGILANTE "/>
    <d v="2023-03-21T00:00:00"/>
    <d v="2023-04-18T00:00:00"/>
    <n v="30"/>
    <n v="18"/>
    <s v="NO"/>
    <s v="SI"/>
    <x v="0"/>
    <s v="S835"/>
    <s v="ESGUINCES Y TORCEDURAS QUE COMPROMETEN EL LIGAMENTO CRUZADO (ANTERIOR) (POSTERIOR) DE LA RODILLA"/>
    <s v="SEGUROS BOLIVAR "/>
    <n v="6919420"/>
    <d v="2023-08-28T00:00:00"/>
    <d v="2023-09-07T00:00:00"/>
    <n v="1250347"/>
    <s v="ASUME LA EPS"/>
    <n v="1272005"/>
    <m/>
    <m/>
  </r>
  <r>
    <x v="2"/>
    <n v="15309929"/>
    <s v="GALVIS"/>
    <s v="CASTRO "/>
    <s v="NICLAS "/>
    <s v="EMIRO"/>
    <s v="VIGILANTE "/>
    <d v="2023-03-24T00:00:00"/>
    <d v="2023-04-07T00:00:00"/>
    <n v="15"/>
    <n v="8"/>
    <s v="SI"/>
    <s v="SI"/>
    <x v="0"/>
    <s v="S832"/>
    <s v="DESGARRO DE MENISCOS, PRESENTE"/>
    <s v="SURA"/>
    <m/>
    <d v="2023-03-25T00:00:00"/>
    <d v="2023-03-30T00:00:00"/>
    <n v="580000"/>
    <s v="ASUME LA EPS"/>
    <n v="1272005"/>
    <m/>
    <m/>
  </r>
  <r>
    <x v="2"/>
    <n v="70323164"/>
    <s v="SUAREZ "/>
    <s v="CASTRILLON "/>
    <s v="JOSE "/>
    <s v="AICARDO"/>
    <s v="VIGILANTE "/>
    <d v="2023-03-25T00:00:00"/>
    <d v="2023-04-23T00:00:00"/>
    <n v="30"/>
    <n v="7"/>
    <s v="SI"/>
    <s v="SI"/>
    <x v="0"/>
    <s v="A153"/>
    <s v="TUBERCULOSIS DEL PULMON , CONFIRMADA POR MEDIOS NO ESPECIFICADOS"/>
    <s v="SURA "/>
    <m/>
    <m/>
    <m/>
    <m/>
    <s v="ASUME LA EPS"/>
    <n v="1272005"/>
    <m/>
    <m/>
  </r>
  <r>
    <x v="2"/>
    <n v="3481465"/>
    <s v="LOPERA"/>
    <s v="DURANGO "/>
    <s v="ARTURO "/>
    <s v="DE JESUS"/>
    <s v="VIGILANTE "/>
    <d v="2023-03-27T00:00:00"/>
    <d v="2023-04-15T00:00:00"/>
    <n v="20"/>
    <n v="5"/>
    <s v="SI"/>
    <s v="SI"/>
    <x v="0"/>
    <s v="F069"/>
    <s v="TRASTORNO MENTAL NO ESPECIFICADO DEBIDO A LESION Y DISFUNCION CEREBRAL Y A ENFERMEDAD FISICA"/>
    <s v="SURA"/>
    <m/>
    <m/>
    <m/>
    <m/>
    <s v="ASUME LA EPS"/>
    <n v="1272005"/>
    <m/>
    <m/>
  </r>
  <r>
    <x v="4"/>
    <n v="71601851"/>
    <s v="MAZO "/>
    <s v="ELORZA"/>
    <s v="RAMON "/>
    <s v="ANGEL"/>
    <s v="VIGILANTE "/>
    <d v="2023-03-29T00:00:00"/>
    <d v="2023-04-11T00:00:00"/>
    <n v="14"/>
    <n v="14"/>
    <s v="SI"/>
    <s v="SI"/>
    <x v="0"/>
    <s v="M239"/>
    <s v="TRASTORNOS INTERNO DE LA RODILLA, NO ESPECIFICADO"/>
    <s v="NUEVA EPS"/>
    <m/>
    <d v="2023-04-15T00:00:00"/>
    <d v="2023-05-19T00:00:00"/>
    <n v="514333"/>
    <s v="ASUME LA EPS"/>
    <n v="1272005"/>
    <m/>
    <m/>
  </r>
  <r>
    <x v="2"/>
    <n v="71676289"/>
    <s v="MARIN"/>
    <s v="CASTRO"/>
    <s v="WILLSON "/>
    <s v="LEON"/>
    <s v="VIGILANTE "/>
    <d v="2023-03-30T00:00:00"/>
    <d v="2023-04-13T00:00:00"/>
    <n v="15"/>
    <n v="2"/>
    <s v="SI"/>
    <s v="SI"/>
    <x v="0"/>
    <s v="S983"/>
    <s v="AMPUTACION TRAUMATICA DE OTRAS PARTES DEL PIE"/>
    <s v="SURA "/>
    <m/>
    <m/>
    <m/>
    <m/>
    <s v="ASUME LA EPS"/>
    <n v="1272005"/>
    <m/>
    <m/>
  </r>
  <r>
    <x v="2"/>
    <n v="71727521"/>
    <s v="CALLE "/>
    <s v="TORRES"/>
    <s v="SERGIO "/>
    <s v="IVAN"/>
    <s v="VIGILANTE "/>
    <d v="2023-03-30T00:00:00"/>
    <d v="2023-04-03T00:00:00"/>
    <n v="5"/>
    <n v="2"/>
    <s v="SI"/>
    <s v="SI"/>
    <x v="0"/>
    <s v="M255"/>
    <s v="DOLOR EN ARTICULACION"/>
    <s v="SOAT "/>
    <m/>
    <d v="2023-03-10T00:00:00"/>
    <d v="2023-05-02T00:00:00"/>
    <n v="193000"/>
    <s v="ASUME LA EPS"/>
    <n v="1272005"/>
    <m/>
    <m/>
  </r>
  <r>
    <x v="2"/>
    <n v="71382103"/>
    <s v="MOLINA "/>
    <s v="GUISAO "/>
    <s v="SERGIO "/>
    <s v="ARMANDO "/>
    <s v="VIGILANTE "/>
    <d v="2023-03-30T00:00:00"/>
    <d v="2023-04-01T00:00:00"/>
    <n v="3"/>
    <n v="3"/>
    <s v="NO"/>
    <s v="NO"/>
    <x v="0"/>
    <s v="M233"/>
    <s v="OTROS TRASTORNOS DE LOS MENISCOS"/>
    <s v="SURA"/>
    <m/>
    <d v="2023-04-02T00:00:00"/>
    <d v="2023-04-13T00:00:00"/>
    <n v="38667"/>
    <s v="ASUME LA EPS"/>
    <n v="1272005"/>
    <m/>
    <m/>
  </r>
  <r>
    <x v="2"/>
    <n v="71382103"/>
    <s v="MOLINA "/>
    <s v="GUISAO "/>
    <s v="SERGIO "/>
    <s v="ARMANDO "/>
    <s v="VIGILANTE "/>
    <d v="2023-03-30T00:00:00"/>
    <d v="2023-04-01T00:00:00"/>
    <n v="3"/>
    <n v="3"/>
    <s v="NO"/>
    <s v="NO"/>
    <x v="0"/>
    <s v="M233"/>
    <s v="OTROS TRASTORNOS DE LOS MENISCOS"/>
    <s v="SURA"/>
    <m/>
    <m/>
    <m/>
    <m/>
    <s v="ASUME LA EPS"/>
    <n v="1272005"/>
    <m/>
    <m/>
  </r>
  <r>
    <x v="2"/>
    <n v="3669363"/>
    <s v="PINO"/>
    <s v="CASTAÑO"/>
    <s v="GUSTAVO"/>
    <s v="DE JESUS"/>
    <s v="VIGILANTE "/>
    <d v="2023-03-31T00:00:00"/>
    <d v="2023-04-04T00:00:00"/>
    <n v="5"/>
    <n v="1"/>
    <s v="NO"/>
    <s v="NO"/>
    <x v="0"/>
    <s v="M173"/>
    <s v="OTRAS GONARTROSIS POSTRAUMATICAS"/>
    <s v="SURA"/>
    <m/>
    <m/>
    <m/>
    <m/>
    <s v="ASUME LA EPS"/>
    <n v="1272005"/>
    <m/>
    <m/>
  </r>
  <r>
    <x v="2"/>
    <n v="71420789"/>
    <s v="TABORDA"/>
    <s v="TABORDA"/>
    <s v="ALIRIO "/>
    <s v="DE JESUS "/>
    <s v="VIGILANTE "/>
    <d v="2023-03-31T00:00:00"/>
    <d v="2023-04-06T00:00:00"/>
    <n v="7"/>
    <n v="1"/>
    <s v="NO"/>
    <s v="NO"/>
    <x v="0"/>
    <s v="L609"/>
    <s v="TRASTORNO DE LA UÑA, NO ESPECIFICADO"/>
    <s v="SURA"/>
    <m/>
    <m/>
    <m/>
    <m/>
    <s v="ASUME LA EPS"/>
    <n v="1272005"/>
    <m/>
    <m/>
  </r>
  <r>
    <x v="3"/>
    <n v="3556779"/>
    <s v="OSORIO"/>
    <s v="SUAREZ"/>
    <s v="JHONNY"/>
    <s v="ANDRES"/>
    <s v="VIGILANTE "/>
    <d v="2023-04-01T00:00:00"/>
    <d v="2023-04-02T00:00:00"/>
    <n v="2"/>
    <n v="2"/>
    <s v="NO"/>
    <s v="NO"/>
    <x v="0"/>
    <s v="M545"/>
    <s v="LUMBAGO NO ESPECIFICADO"/>
    <s v="SURA"/>
    <m/>
    <m/>
    <m/>
    <m/>
    <s v="ASUME LA EPS"/>
    <n v="1272005"/>
    <m/>
    <m/>
  </r>
  <r>
    <x v="3"/>
    <n v="1128458954"/>
    <s v="HOYOS"/>
    <s v="SALINAS "/>
    <s v="LEIDY"/>
    <s v="NAYIVER"/>
    <s v="VIGILANTE "/>
    <d v="2023-04-04T00:00:00"/>
    <d v="2023-04-10T00:00:00"/>
    <n v="7"/>
    <n v="7"/>
    <s v="SI"/>
    <s v="SI"/>
    <x v="0"/>
    <s v="N136"/>
    <s v="PIONEFROSIS"/>
    <s v="SURA"/>
    <m/>
    <d v="2023-04-06T00:00:00"/>
    <d v="2023-07-18T00:00:00"/>
    <n v="232000"/>
    <s v="ASUME LA EPS"/>
    <n v="1272005"/>
    <m/>
    <m/>
  </r>
  <r>
    <x v="3"/>
    <n v="72296401"/>
    <s v="BARRIOS "/>
    <s v="FERIAS"/>
    <s v="JOHN "/>
    <s v="JAIRO"/>
    <s v="VIGILANTE "/>
    <d v="2023-04-08T00:00:00"/>
    <d v="2023-04-09T00:00:00"/>
    <n v="2"/>
    <n v="2"/>
    <s v="NO"/>
    <s v="NO"/>
    <x v="0"/>
    <s v="K299"/>
    <s v="GASTRODUODENITIS, NO ESPECIFICADA"/>
    <s v="SURA"/>
    <m/>
    <m/>
    <m/>
    <m/>
    <s v="ASUME LA EPS"/>
    <n v="1272005"/>
    <m/>
    <m/>
  </r>
  <r>
    <x v="3"/>
    <n v="1073809676"/>
    <s v="FRANCO "/>
    <s v="TAPIA "/>
    <s v="FABIO "/>
    <m/>
    <s v="VIGILANTE "/>
    <d v="2023-04-09T00:00:00"/>
    <d v="2023-04-11T00:00:00"/>
    <n v="3"/>
    <n v="3"/>
    <s v="NO"/>
    <s v="NO"/>
    <x v="0"/>
    <s v="R51"/>
    <s v="CEFALEA"/>
    <s v="NUEVA EPS"/>
    <m/>
    <d v="2023-04-24T00:00:00"/>
    <d v="2023-06-16T00:00:00"/>
    <n v="38667"/>
    <s v="ASUME LA EPS"/>
    <n v="1272005"/>
    <m/>
    <m/>
  </r>
  <r>
    <x v="3"/>
    <n v="1152705094"/>
    <s v="ARANGO "/>
    <s v="GALLEGO"/>
    <s v="VANESSA"/>
    <m/>
    <s v="ASESORA COMERCIAL"/>
    <d v="2023-04-10T00:00:00"/>
    <d v="2023-04-12T00:00:00"/>
    <n v="3"/>
    <n v="3"/>
    <s v="NO"/>
    <s v="NO"/>
    <x v="0"/>
    <s v="F412"/>
    <s v="TRASTORNO MIXTO DE ANSIEDAD Y DEPRESION"/>
    <s v="SURA"/>
    <m/>
    <d v="2023-04-12T00:00:00"/>
    <d v="2023-07-18T00:00:00"/>
    <n v="38667"/>
    <s v="ASUME LA EPS"/>
    <n v="1272005"/>
    <m/>
    <m/>
  </r>
  <r>
    <x v="3"/>
    <n v="3481465"/>
    <s v="LOPERA"/>
    <s v="DURANGO "/>
    <s v="ARTURO "/>
    <s v="DE JESUS"/>
    <s v="VIGILANTE "/>
    <d v="2023-04-11T00:00:00"/>
    <d v="2023-05-10T00:00:00"/>
    <n v="30"/>
    <n v="20"/>
    <s v="SI"/>
    <s v="SI"/>
    <x v="0"/>
    <s v="F010"/>
    <s v="DEMENCIA VASCULAR DE COMIENZO AGUDO"/>
    <s v="SURA"/>
    <m/>
    <m/>
    <m/>
    <m/>
    <s v="ASUME LA EPS"/>
    <n v="1272005"/>
    <m/>
    <m/>
  </r>
  <r>
    <x v="3"/>
    <n v="98601485"/>
    <s v="SARRAZOLA"/>
    <m/>
    <s v="WILMAR"/>
    <s v="DE JESUS"/>
    <s v="SUPERVISOR "/>
    <d v="2023-04-11T00:00:00"/>
    <d v="2023-04-14T00:00:00"/>
    <n v="4"/>
    <n v="4"/>
    <s v="NO"/>
    <s v="NO"/>
    <x v="0"/>
    <s v="S834"/>
    <s v="ESGUINCES Y TORCEDURAS QUE COMPROMETEN LOS LIGAMENTOS LATERALES (EXTERNO) (INTERNO) DE LA RODILLA"/>
    <s v="SURA"/>
    <m/>
    <d v="2023-04-15T00:00:00"/>
    <s v="0205/2023"/>
    <n v="77333"/>
    <s v="ASUME LA EPS"/>
    <n v="1272005"/>
    <m/>
    <m/>
  </r>
  <r>
    <x v="3"/>
    <n v="3669363"/>
    <s v="PINO"/>
    <s v="CASTAÑO"/>
    <s v="GUSTAVO"/>
    <s v="DE JESUS"/>
    <s v="VIGILANTE "/>
    <d v="2023-04-12T00:00:00"/>
    <d v="2023-04-16T00:00:00"/>
    <n v="5"/>
    <n v="5"/>
    <s v="SI"/>
    <s v="SI"/>
    <x v="0"/>
    <s v="M173"/>
    <s v="OTRAS GONARTROSIS POSTRAUMATICAS"/>
    <s v="SURA"/>
    <m/>
    <m/>
    <m/>
    <m/>
    <s v="ASUME LA EPS"/>
    <n v="1272005"/>
    <m/>
    <m/>
  </r>
  <r>
    <x v="3"/>
    <n v="71601851"/>
    <s v="MAZO"/>
    <s v="ELORZA"/>
    <s v="RAMON "/>
    <s v="ANGEL"/>
    <s v="VIGILANTE "/>
    <d v="2023-04-12T00:00:00"/>
    <d v="2023-05-11T00:00:00"/>
    <n v="30"/>
    <n v="19"/>
    <s v="SI"/>
    <s v="SI"/>
    <x v="0"/>
    <s v="M190"/>
    <s v="ARTROSIS PRIMARIA DE OTRAS ARTICULACIONES"/>
    <s v="NUEVA EPS"/>
    <m/>
    <d v="2023-04-24T00:00:00"/>
    <d v="2023-06-09T00:00:00"/>
    <n v="773333"/>
    <s v="ASUME LA EPS"/>
    <n v="1272005"/>
    <m/>
    <m/>
  </r>
  <r>
    <x v="3"/>
    <n v="3474185"/>
    <s v="BUITRAGO "/>
    <s v="ZAPATA "/>
    <s v="ANDERSSON"/>
    <s v="MAURICIO "/>
    <s v="VIGILANTE "/>
    <d v="2023-04-14T00:00:00"/>
    <d v="2023-04-15T00:00:00"/>
    <n v="2"/>
    <n v="2"/>
    <s v="NO"/>
    <s v="NO"/>
    <x v="0"/>
    <s v="J00X"/>
    <s v="RINOFARINGITIS AGUDA (RESFRIADO COMUN)"/>
    <s v="NUEVA EPS"/>
    <m/>
    <m/>
    <m/>
    <m/>
    <s v="ASUME LA EPS"/>
    <m/>
    <m/>
    <m/>
  </r>
  <r>
    <x v="3"/>
    <n v="3669363"/>
    <s v="PINO"/>
    <s v="CASTAÑO"/>
    <s v="GUSTAVO"/>
    <s v="DE JESUS"/>
    <s v="VIGILANTE "/>
    <d v="2023-04-18T00:00:00"/>
    <d v="2023-04-22T00:00:00"/>
    <n v="5"/>
    <n v="5"/>
    <s v="SI"/>
    <s v="SI"/>
    <x v="0"/>
    <s v="M173"/>
    <s v="OTRAS GONARTROSIS POSTRAUMATICAS"/>
    <s v="SURA"/>
    <m/>
    <m/>
    <m/>
    <m/>
    <s v="ASUME LA EPS"/>
    <n v="1272005"/>
    <m/>
    <m/>
  </r>
  <r>
    <x v="3"/>
    <n v="8324434"/>
    <s v="CORDOBA "/>
    <s v="IBARGUEN"/>
    <s v="LUIS "/>
    <s v="AFRANIO "/>
    <s v="VIGILANTE "/>
    <d v="2023-04-18T00:00:00"/>
    <d v="2023-04-20T00:00:00"/>
    <n v="3"/>
    <n v="3"/>
    <s v="NO"/>
    <s v="NO"/>
    <x v="0"/>
    <s v="S400"/>
    <s v="CONTUSION DEL HOMBRO Y DEL BRAZO"/>
    <s v="SURA"/>
    <m/>
    <d v="2023-04-20T00:00:00"/>
    <d v="2023-04-25T00:00:00"/>
    <n v="38667"/>
    <s v="ASUME LA EPS"/>
    <n v="1272005"/>
    <m/>
    <m/>
  </r>
  <r>
    <x v="3"/>
    <n v="98487368"/>
    <s v="RUEDA "/>
    <s v="GIRALDO"/>
    <s v="CARLOS"/>
    <s v="ALBERTO"/>
    <s v="VIGILANTE "/>
    <d v="2023-04-19T00:00:00"/>
    <d v="2023-04-20T00:00:00"/>
    <n v="2"/>
    <n v="2"/>
    <s v="NO"/>
    <s v="NO"/>
    <x v="0"/>
    <s v="K083"/>
    <s v="RAIZ DENTAL RETENIDA"/>
    <s v="SURA"/>
    <m/>
    <m/>
    <m/>
    <m/>
    <s v="ASUME LA EPS"/>
    <n v="1272005"/>
    <m/>
    <m/>
  </r>
  <r>
    <x v="3"/>
    <n v="1216713788"/>
    <s v="HENAO"/>
    <s v="RINCON"/>
    <s v="ANDRES "/>
    <s v="MAURICIO"/>
    <s v="VIGILANTE "/>
    <d v="2023-04-19T00:00:00"/>
    <d v="2023-05-18T00:00:00"/>
    <n v="30"/>
    <n v="12"/>
    <s v="SI"/>
    <s v="SI"/>
    <x v="1"/>
    <s v="M236"/>
    <s v="OTRA RUPTURA ESPONTANEA DEL (DE LOS) LIGAMENTO(S) DE LA RODILLA"/>
    <s v="SEGUROS BOLIVAR "/>
    <n v="6919386"/>
    <d v="2023-08-28T00:00:00"/>
    <d v="2023-08-28T00:00:00"/>
    <n v="1389274"/>
    <s v="ASUME LA EPS"/>
    <n v="1272005"/>
    <m/>
    <m/>
  </r>
  <r>
    <x v="3"/>
    <n v="1216722770"/>
    <s v="AGUDELO "/>
    <s v="ALVAREZ "/>
    <s v="ROJER"/>
    <s v="ALEJANDRO "/>
    <s v="VIGILANTE "/>
    <d v="2023-04-20T00:00:00"/>
    <d v="2023-04-27T00:00:00"/>
    <n v="8"/>
    <n v="8"/>
    <s v="SI"/>
    <s v="SI"/>
    <x v="0"/>
    <s v="S822"/>
    <s v="FRACTURA DE LA DIAFISIS DE LA TIBIA"/>
    <s v="NUEVA EPS"/>
    <m/>
    <d v="2023-04-28T00:00:00"/>
    <d v="2023-07-07T00:00:00"/>
    <n v="309333"/>
    <s v="ASUME LA EPS"/>
    <n v="1272005"/>
    <m/>
    <m/>
  </r>
  <r>
    <x v="3"/>
    <n v="1216722370"/>
    <s v="AGUDELO "/>
    <s v="ALVAREZ "/>
    <s v="ROJER"/>
    <s v="ALEJANDRO "/>
    <s v="VIGILANTE "/>
    <d v="2023-04-20T00:00:00"/>
    <d v="2023-04-27T00:00:00"/>
    <n v="8"/>
    <n v="8"/>
    <s v="SI"/>
    <s v="SI"/>
    <x v="0"/>
    <s v="S822"/>
    <s v="FRACTURA DE LA DIAFISIS DE LA TIBIA"/>
    <s v="SOAT"/>
    <m/>
    <d v="2023-05-29T00:00:00"/>
    <d v="2023-07-07T00:00:00"/>
    <n v="309333"/>
    <s v="ASUME LA EPS"/>
    <n v="1272005"/>
    <m/>
    <m/>
  </r>
  <r>
    <x v="3"/>
    <n v="43117538"/>
    <s v="RUIZ "/>
    <s v="RAMIREZ "/>
    <s v="GLORIA "/>
    <s v="CECILIA"/>
    <s v="VIGILANTE "/>
    <d v="2023-04-20T00:00:00"/>
    <d v="2023-04-22T00:00:00"/>
    <n v="3"/>
    <n v="3"/>
    <s v="NO"/>
    <s v="NO"/>
    <x v="0"/>
    <s v="F412"/>
    <s v="TRASTORNO MIXTO DE ANSIEDAD Y DEPRESION"/>
    <s v="SURA"/>
    <m/>
    <d v="2023-04-26T00:00:00"/>
    <d v="2023-05-02T00:00:00"/>
    <n v="38667"/>
    <s v="ASUME LA EPS"/>
    <n v="1272005"/>
    <m/>
    <m/>
  </r>
  <r>
    <x v="3"/>
    <n v="71316478"/>
    <s v="GALLEGO"/>
    <m/>
    <s v="EDUAR"/>
    <s v="YOVANY"/>
    <s v="VIGILANTE "/>
    <d v="2023-04-21T00:00:00"/>
    <d v="2023-04-22T00:00:00"/>
    <n v="2"/>
    <n v="2"/>
    <s v="NO"/>
    <s v="NO"/>
    <x v="0"/>
    <s v="J030"/>
    <s v="AMIGDALITIS ESTREPTOCOCICA"/>
    <s v="SURA"/>
    <m/>
    <m/>
    <m/>
    <m/>
    <s v="ASUME LA EPS"/>
    <n v="1272005"/>
    <m/>
    <m/>
  </r>
  <r>
    <x v="3"/>
    <n v="71613583"/>
    <s v="GOMEZ "/>
    <s v="LONDOÑO"/>
    <s v="DIEGO "/>
    <s v="ANTONIO"/>
    <s v="VIGILANTE "/>
    <d v="2023-04-21T00:00:00"/>
    <d v="2023-04-25T00:00:00"/>
    <n v="5"/>
    <n v="5"/>
    <s v="NO"/>
    <s v="NO"/>
    <x v="0"/>
    <s v="S619"/>
    <s v="HERIDA DE LA MUÑECA Y DE LA MANO, PARTE NO ESPECIFICADA"/>
    <s v="SURA"/>
    <m/>
    <d v="2023-04-25T00:00:00"/>
    <d v="2023-04-25T00:00:00"/>
    <n v="116000"/>
    <s v="ASUME LA EPS"/>
    <n v="1272005"/>
    <m/>
    <m/>
  </r>
  <r>
    <x v="3"/>
    <n v="98663441"/>
    <s v="PULGARIN "/>
    <s v="CHAVARRIA"/>
    <s v="LUIS "/>
    <s v="NORBERTO"/>
    <s v="VIGILANTE "/>
    <d v="2023-04-21T00:00:00"/>
    <d v="2023-04-22T00:00:00"/>
    <n v="2"/>
    <n v="2"/>
    <s v="NO"/>
    <s v="NO"/>
    <x v="0"/>
    <s v="M624"/>
    <s v="CONTRACTURA MUSCULAR"/>
    <s v="SURA"/>
    <m/>
    <m/>
    <m/>
    <m/>
    <s v="ASUME LA EPS"/>
    <n v="1272005"/>
    <m/>
    <m/>
  </r>
  <r>
    <x v="3"/>
    <n v="71613583"/>
    <s v="GOMEZ "/>
    <s v="LONDOÑO"/>
    <s v="DIEGO "/>
    <s v="ANTONIO"/>
    <s v="VIGILANTE "/>
    <d v="2023-04-21T00:00:00"/>
    <d v="2023-04-25T00:00:00"/>
    <n v="5"/>
    <n v="5"/>
    <s v="NO"/>
    <s v="NO"/>
    <x v="0"/>
    <s v="S619"/>
    <s v="HERIDA DE LA MUÑECA Y DE LA MANO, PARTE NO ESPECIFICADA"/>
    <s v="SURA"/>
    <m/>
    <m/>
    <m/>
    <m/>
    <s v="ASUME LA EPS"/>
    <n v="1272005"/>
    <m/>
    <m/>
  </r>
  <r>
    <x v="3"/>
    <n v="98601485"/>
    <s v="SARRAZOLA"/>
    <m/>
    <s v="WILMAR "/>
    <s v="DE JESUS "/>
    <s v="SUPERVISOR "/>
    <d v="2023-04-23T00:00:00"/>
    <d v="2023-04-27T00:00:00"/>
    <n v="5"/>
    <n v="5"/>
    <s v="SI"/>
    <s v="SI"/>
    <x v="0"/>
    <s v="S836"/>
    <s v="ESGUINCES Y TORCEDURAS DE OTRAS PARTES Y LAS NO ESPECIFICADAS DE LA RODILLA"/>
    <s v="SURA"/>
    <m/>
    <m/>
    <m/>
    <m/>
    <s v="ASUME LA EPS"/>
    <n v="1272005"/>
    <m/>
    <m/>
  </r>
  <r>
    <x v="3"/>
    <n v="3669363"/>
    <s v="PINO "/>
    <s v="CASTAÑO "/>
    <s v="GUSTAVO "/>
    <s v="DE JESUS "/>
    <s v="VIGILANTE "/>
    <d v="2023-04-24T00:00:00"/>
    <d v="2023-04-28T00:00:00"/>
    <n v="5"/>
    <n v="5"/>
    <s v="SI"/>
    <s v="SI"/>
    <x v="0"/>
    <s v="M173"/>
    <s v="OTRAS GONARTROSIS POSTRAUMATICAS"/>
    <s v="SURA"/>
    <m/>
    <m/>
    <m/>
    <m/>
    <s v="ASUME LA EPS"/>
    <n v="1272005"/>
    <m/>
    <m/>
  </r>
  <r>
    <x v="3"/>
    <n v="70323164"/>
    <s v="SUAREZ"/>
    <s v="CASTRILLON "/>
    <s v="JOSE "/>
    <s v="AICARDO"/>
    <s v="VIGILANTE "/>
    <d v="2023-04-24T00:00:00"/>
    <d v="2023-05-23T00:00:00"/>
    <n v="30"/>
    <n v="7"/>
    <s v="SI"/>
    <s v="SI"/>
    <x v="0"/>
    <s v="A153"/>
    <s v="TUBERCULOSIS DEL PULMON , CONFIRMADA POR MEDIOS NO ESPECIFICADOS"/>
    <s v="SURA"/>
    <m/>
    <m/>
    <m/>
    <m/>
    <s v="ASUME LA EPS"/>
    <n v="1272005"/>
    <m/>
    <m/>
  </r>
  <r>
    <x v="3"/>
    <n v="71721292"/>
    <s v="HOYOS"/>
    <s v="HOYOS"/>
    <s v="EMILIO"/>
    <s v="ANGEL"/>
    <s v="VIGILANTE "/>
    <d v="2023-04-25T00:00:00"/>
    <d v="2023-05-24T00:00:00"/>
    <n v="30"/>
    <n v="24"/>
    <s v="NO"/>
    <s v="SI"/>
    <x v="0"/>
    <s v="M484"/>
    <s v="FRACTURA DE VERTEBRA POR FATIGA"/>
    <s v="SALUD TOTAL "/>
    <m/>
    <m/>
    <m/>
    <m/>
    <s v="ASUME LA EPS"/>
    <n v="1272005"/>
    <m/>
    <m/>
  </r>
  <r>
    <x v="3"/>
    <n v="1216722370"/>
    <s v="AGUDELO "/>
    <s v="ALVAREZ "/>
    <s v="ROJER"/>
    <s v="ALEJANDRO "/>
    <s v="VIGILANTE "/>
    <d v="2023-04-28T00:00:00"/>
    <d v="2023-05-04T00:00:00"/>
    <n v="7"/>
    <n v="3"/>
    <s v="SI"/>
    <s v="SI"/>
    <x v="0"/>
    <s v="S822"/>
    <s v="FRACTURA DE LA DIAFISIS DE LA TIBIA"/>
    <s v="SOAT"/>
    <m/>
    <m/>
    <m/>
    <m/>
    <s v="ASUME LA EPS"/>
    <n v="1272005"/>
    <m/>
    <m/>
  </r>
  <r>
    <x v="3"/>
    <n v="98601485"/>
    <s v="SARRAZOLA"/>
    <m/>
    <s v="WILMAR "/>
    <s v="DE JESUS "/>
    <s v="SUPERVISOR "/>
    <d v="2023-04-28T00:00:00"/>
    <d v="2023-05-04T00:00:00"/>
    <n v="7"/>
    <n v="3"/>
    <s v="SI"/>
    <s v="SI"/>
    <x v="0"/>
    <s v="S836"/>
    <s v="ESGUINCES Y TORCEDURAS DE OTRAS PARTES Y LAS NO ESPECIFICADAS DE LA RODILLA"/>
    <s v="SURA"/>
    <m/>
    <d v="2023-04-30T00:00:00"/>
    <d v="2023-05-04T00:00:00"/>
    <n v="270667"/>
    <s v="ASUME LA EPS"/>
    <n v="1272005"/>
    <m/>
    <m/>
  </r>
  <r>
    <x v="3"/>
    <n v="1041233215"/>
    <s v="DAZA "/>
    <s v="CIRO"/>
    <s v="DUVIAN "/>
    <s v="ALEXIS"/>
    <s v="VIGILANTE "/>
    <d v="2023-04-28T00:00:00"/>
    <d v="2023-05-11T00:00:00"/>
    <n v="14"/>
    <n v="14"/>
    <s v="NO"/>
    <s v="NO"/>
    <x v="0"/>
    <s v="Z321"/>
    <s v="EMBARAZO CONFIRMADO"/>
    <s v="NUEVA EPS"/>
    <m/>
    <d v="2023-05-13T00:00:00"/>
    <d v="2023-06-16T00:00:00"/>
    <n v="42400"/>
    <s v="ASUME LA EPS"/>
    <n v="1272005"/>
    <m/>
    <m/>
  </r>
  <r>
    <x v="3"/>
    <n v="3669363"/>
    <s v="PINO"/>
    <s v="CASTAÑO"/>
    <s v="GUSTAVO"/>
    <s v="DE JESUS "/>
    <s v="VIGILANTE "/>
    <d v="2023-04-29T00:00:00"/>
    <d v="2023-05-08T00:00:00"/>
    <n v="10"/>
    <n v="2"/>
    <s v="SI"/>
    <s v="SI"/>
    <x v="0"/>
    <s v="M173"/>
    <s v="OTRAS GONARTROSIS POSTRAUMATICAS"/>
    <s v="SURA"/>
    <m/>
    <m/>
    <m/>
    <m/>
    <s v="ASUME LA EPS"/>
    <n v="1272005"/>
    <m/>
    <m/>
  </r>
  <r>
    <x v="3"/>
    <n v="71676289"/>
    <s v="MARIN"/>
    <s v="CASTRO"/>
    <s v="WILLSON"/>
    <s v="LEON"/>
    <s v="VIGILANTE "/>
    <d v="2023-04-29T00:00:00"/>
    <d v="2023-05-13T00:00:00"/>
    <n v="15"/>
    <n v="2"/>
    <s v="SI"/>
    <s v="SI"/>
    <x v="0"/>
    <s v="S983"/>
    <s v="AMPUTACION TRAUMATICA DE OTRAS PARTES DEL PIE"/>
    <s v="SURA"/>
    <m/>
    <m/>
    <m/>
    <m/>
    <s v="ASUME LA EPS"/>
    <n v="1272005"/>
    <m/>
    <m/>
  </r>
  <r>
    <x v="5"/>
    <n v="1017275592"/>
    <s v="AGUALIMPIA"/>
    <s v="VALOIS"/>
    <s v="JUAN "/>
    <s v="ESTEBAN"/>
    <s v="VIGILANTE "/>
    <d v="2023-05-01T00:00:00"/>
    <d v="2023-05-01T00:00:00"/>
    <n v="1"/>
    <n v="1"/>
    <s v="NO"/>
    <s v="NO"/>
    <x v="0"/>
    <s v="K529"/>
    <s v="COLITIS Y GASTROENTERITIS NO INFECCIOSAS, NO ESPECIFICADAS"/>
    <s v="SALUD TOTAL "/>
    <n v="0"/>
    <m/>
    <n v="0"/>
    <n v="42400"/>
    <s v="ASUME LA EMPRESA "/>
    <n v="1272005"/>
    <n v="0"/>
    <n v="42400"/>
  </r>
  <r>
    <x v="5"/>
    <n v="1020397739"/>
    <s v="VELEZ "/>
    <s v="HERNANDEZ"/>
    <s v="BYRON"/>
    <m/>
    <s v="VIGILANTE "/>
    <d v="2023-05-02T00:00:00"/>
    <d v="2023-05-04T00:00:00"/>
    <n v="3"/>
    <n v="3"/>
    <s v="NO"/>
    <s v="NO"/>
    <x v="0"/>
    <s v="S900"/>
    <s v="CONTUSION DEL TOBILLO"/>
    <s v="SURA"/>
    <m/>
    <d v="2023-05-06T00:00:00"/>
    <d v="2023-05-23T00:00:00"/>
    <n v="38667"/>
    <s v="ASUME LA EPS"/>
    <n v="1272005"/>
    <m/>
    <m/>
  </r>
  <r>
    <x v="5"/>
    <n v="1007238803"/>
    <s v="AMARILES "/>
    <s v="ZAPATA"/>
    <s v="SEBASTIAN"/>
    <m/>
    <s v="VIGILANTE "/>
    <d v="2023-05-02T00:00:00"/>
    <d v="2023-05-03T00:00:00"/>
    <n v="2"/>
    <n v="2"/>
    <s v="NO"/>
    <s v="NO"/>
    <x v="0"/>
    <s v="A083"/>
    <s v="OTRAS ENTERITIS VIRALES"/>
    <s v="SALUD TOTAL "/>
    <m/>
    <m/>
    <m/>
    <m/>
    <s v="ASUME LA EPS"/>
    <m/>
    <m/>
    <m/>
  </r>
  <r>
    <x v="5"/>
    <n v="1036622798"/>
    <s v="BETANCUR "/>
    <s v="GIL "/>
    <s v="DUVIAN "/>
    <s v="YHOBANNY"/>
    <s v="VIGILANTE "/>
    <d v="2023-05-03T00:00:00"/>
    <d v="2023-05-16T00:00:00"/>
    <n v="14"/>
    <n v="14"/>
    <s v="SI"/>
    <s v="SI"/>
    <x v="0"/>
    <s v="S933"/>
    <s v="LUXACION DE OTROS SITIOS Y LOS NO ESPECIFICADOS DEL PIE"/>
    <s v="SURA"/>
    <m/>
    <m/>
    <m/>
    <m/>
    <s v="ASUME LA EPS"/>
    <n v="1272005"/>
    <m/>
    <m/>
  </r>
  <r>
    <x v="5"/>
    <n v="71382103"/>
    <s v="MOLINA "/>
    <s v="GUISAO "/>
    <s v="SERGIO "/>
    <s v="ARMANDO "/>
    <s v="VIGILANTE "/>
    <d v="2023-05-03T00:00:00"/>
    <d v="2023-05-03T00:00:00"/>
    <n v="1"/>
    <n v="1"/>
    <s v="NO"/>
    <s v="NO"/>
    <x v="0"/>
    <s v="M224"/>
    <s v="CONDROMALACIA DE LA ROTULA"/>
    <s v="SURA"/>
    <n v="0"/>
    <m/>
    <n v="0"/>
    <n v="42400"/>
    <s v="ASUME LA EPS"/>
    <n v="1272005"/>
    <n v="0"/>
    <n v="42400"/>
  </r>
  <r>
    <x v="5"/>
    <n v="1020397739"/>
    <s v="VELEZ "/>
    <s v="HERNANDEZ"/>
    <s v="BYRON"/>
    <m/>
    <s v="VIGILANTE "/>
    <d v="2023-05-05T00:00:00"/>
    <d v="2023-05-07T00:00:00"/>
    <n v="3"/>
    <n v="3"/>
    <s v="SI"/>
    <s v="NO"/>
    <x v="0"/>
    <s v="S900"/>
    <s v="CONTUSION DEL TOBILLO"/>
    <s v="SURA"/>
    <m/>
    <d v="2023-05-10T00:00:00"/>
    <d v="2023-05-23T00:00:00"/>
    <n v="116000"/>
    <s v="ASUME LA EPS"/>
    <n v="1272005"/>
    <m/>
    <m/>
  </r>
  <r>
    <x v="5"/>
    <n v="43709476"/>
    <s v="ANGEL"/>
    <s v="DUQUE"/>
    <s v="SONIA"/>
    <s v="ELIZABETH"/>
    <s v="VIGILANTE "/>
    <d v="2023-05-05T00:00:00"/>
    <d v="2023-05-09T00:00:00"/>
    <n v="5"/>
    <n v="5"/>
    <s v="NO"/>
    <s v="NO"/>
    <x v="0"/>
    <s v="Z302"/>
    <s v="ESTERILIZACION"/>
    <s v="SURA"/>
    <m/>
    <d v="2023-05-15T00:00:00"/>
    <d v="2023-05-23T00:00:00"/>
    <n v="116000"/>
    <s v="ASUME LA EPS"/>
    <n v="1272005"/>
    <m/>
    <m/>
  </r>
  <r>
    <x v="5"/>
    <n v="15444896"/>
    <s v="RUIZ "/>
    <s v="HERNANDEZ"/>
    <s v="WILMAR"/>
    <s v="GONZALO "/>
    <s v="VIGILANTE "/>
    <d v="2023-05-06T00:00:00"/>
    <d v="2023-05-07T00:00:00"/>
    <n v="2"/>
    <n v="2"/>
    <s v="NO"/>
    <s v="NO"/>
    <x v="0"/>
    <s v="J00X"/>
    <s v="RINOFARINGITIS AGUDA (RESFRIADO COMUN)"/>
    <s v="SALUD TOTAL "/>
    <m/>
    <m/>
    <m/>
    <m/>
    <s v="ASUME LA EPS"/>
    <m/>
    <m/>
    <m/>
  </r>
  <r>
    <x v="5"/>
    <n v="15444896"/>
    <s v="RUIZ"/>
    <s v="HERNANDEZ"/>
    <s v="WILMAR"/>
    <s v="GONZALO"/>
    <s v="VIGILANTE "/>
    <d v="2023-05-06T00:00:00"/>
    <d v="2023-05-07T00:00:00"/>
    <n v="2"/>
    <n v="2"/>
    <s v="NO"/>
    <s v="NO"/>
    <x v="0"/>
    <s v="J00X"/>
    <s v="RINOFARINGITIS AGUDA (RESFRIADO COMUN)"/>
    <s v="SALUD TOTAL "/>
    <m/>
    <m/>
    <m/>
    <m/>
    <s v="ASUME LA EPS"/>
    <m/>
    <m/>
    <m/>
  </r>
  <r>
    <x v="5"/>
    <n v="43826892"/>
    <s v="SALAZAR"/>
    <s v="ALZATE"/>
    <s v="MARIA"/>
    <s v="PATRICIA"/>
    <s v="VIGILANTE"/>
    <d v="2023-05-07T00:00:00"/>
    <d v="2023-05-09T00:00:00"/>
    <n v="3"/>
    <n v="3"/>
    <s v="SI"/>
    <s v="NO"/>
    <x v="0"/>
    <s v="T143"/>
    <s v="LUXACION, ESGUINCE O TORCEDURA DE REGION NO ESPECIFICADA DEL CUERPO"/>
    <s v="SALUD TOTAL"/>
    <m/>
    <d v="2023-07-13T00:00:00"/>
    <d v="2023-07-19T00:00:00"/>
    <s v="$ 38.667"/>
    <s v="ASUME LA EPS"/>
    <s v="$ 38.667"/>
    <m/>
    <m/>
  </r>
  <r>
    <x v="5"/>
    <n v="70133821"/>
    <s v="MURILLO"/>
    <s v="ACEVEDO"/>
    <s v="JHON "/>
    <s v="JAIRO"/>
    <s v="VIGILANTE "/>
    <d v="2023-05-08T00:00:00"/>
    <d v="2023-05-22T00:00:00"/>
    <n v="15"/>
    <n v="15"/>
    <s v="NO"/>
    <s v="SI"/>
    <x v="0"/>
    <s v="K439"/>
    <s v="HERNIA VENTRAL SIN OBSTRUCCION NI GANGRENA"/>
    <s v="SURA"/>
    <m/>
    <d v="2023-05-12T00:00:00"/>
    <d v="2023-05-23T00:00:00"/>
    <n v="502662"/>
    <s v="ASUME LA EPS"/>
    <n v="1272005"/>
    <m/>
    <m/>
  </r>
  <r>
    <x v="5"/>
    <n v="15309929"/>
    <s v="GALVIS"/>
    <s v="CASTRO"/>
    <s v="NICOLAS"/>
    <s v="EMIRO"/>
    <s v="VIGILANTE "/>
    <d v="2023-05-08T00:00:00"/>
    <d v="2023-05-22T00:00:00"/>
    <n v="15"/>
    <n v="15"/>
    <s v="NO"/>
    <s v="SI"/>
    <x v="0"/>
    <s v="S832"/>
    <s v="DESGARRO DE MENISCOS, PRESENTE"/>
    <s v="SURA"/>
    <m/>
    <d v="2023-05-10T00:00:00"/>
    <d v="2023-05-23T00:00:00"/>
    <n v="154667"/>
    <s v="ASUME LA EPS"/>
    <n v="1272005"/>
    <m/>
    <m/>
  </r>
  <r>
    <x v="5"/>
    <n v="71382103"/>
    <s v="MOLINA "/>
    <s v="GUISAO "/>
    <s v="SERGIO "/>
    <s v="ARMANDO "/>
    <s v="VIGILANTE "/>
    <d v="2023-05-08T00:00:00"/>
    <d v="2023-05-08T00:00:00"/>
    <n v="1"/>
    <n v="1"/>
    <s v="NO"/>
    <s v="NO"/>
    <x v="0"/>
    <s v="M170"/>
    <s v="GONARTROSIS PRIMARIA, BILATERAL"/>
    <s v="SURA"/>
    <n v="0"/>
    <m/>
    <n v="0"/>
    <n v="42400"/>
    <s v="ASUME LA EPS"/>
    <n v="1272005"/>
    <n v="0"/>
    <n v="42400"/>
  </r>
  <r>
    <x v="5"/>
    <n v="98601485"/>
    <s v="SARRAZOLA"/>
    <m/>
    <s v="WILMAR "/>
    <s v="DE JESUS "/>
    <s v="SUPERVISOR "/>
    <d v="2023-05-08T00:00:00"/>
    <d v="2023-05-27T00:00:00"/>
    <n v="20"/>
    <n v="20"/>
    <s v="SI"/>
    <s v="SI"/>
    <x v="0"/>
    <s v="M199"/>
    <s v="ARTROSIS, NO ESPECIFICADA"/>
    <s v="SURA"/>
    <m/>
    <m/>
    <m/>
    <m/>
    <s v="ASUME LA EPS"/>
    <n v="1272005"/>
    <m/>
    <m/>
  </r>
  <r>
    <x v="5"/>
    <n v="71797878"/>
    <s v="MORALES "/>
    <s v="ORDUZ"/>
    <s v="DUBAN "/>
    <s v="ALVEIRO "/>
    <s v="VIGILANTE "/>
    <d v="2023-05-08T00:00:00"/>
    <d v="2023-05-22T00:00:00"/>
    <n v="15"/>
    <n v="15"/>
    <s v="NO"/>
    <s v="SI"/>
    <x v="0"/>
    <s v="S022"/>
    <s v="FRACTURA DE LOS HUESOS DE LA NARIZ"/>
    <s v="SURA"/>
    <m/>
    <d v="2023-05-16T00:00:00"/>
    <d v="2023-05-30T00:00:00"/>
    <n v="502667"/>
    <s v="ASUME LA EPS"/>
    <n v="1272005"/>
    <m/>
    <m/>
  </r>
  <r>
    <x v="5"/>
    <n v="3669363"/>
    <s v="PINO"/>
    <s v="CASTAÑO"/>
    <s v="GUSTAVO"/>
    <s v="DE JESUS"/>
    <s v="VIGILANTE "/>
    <d v="2023-05-09T00:00:00"/>
    <d v="2023-05-18T00:00:00"/>
    <n v="10"/>
    <n v="18"/>
    <s v="NO"/>
    <s v="NO"/>
    <x v="0"/>
    <s v="M179"/>
    <s v="GONARTROSIS, NO ESPECIFICADA"/>
    <s v="SURA"/>
    <m/>
    <m/>
    <m/>
    <m/>
    <s v="ASUME LA EPS"/>
    <n v="1272005"/>
    <m/>
    <m/>
  </r>
  <r>
    <x v="5"/>
    <n v="1027946541"/>
    <s v="AGUDELO"/>
    <s v="MARTINEZ"/>
    <s v="JORGE "/>
    <s v="ANDRES"/>
    <s v="VIGILANTE "/>
    <d v="2023-05-09T00:00:00"/>
    <d v="2023-05-10T00:00:00"/>
    <n v="2"/>
    <n v="2"/>
    <s v="NO"/>
    <s v="NO"/>
    <x v="0"/>
    <s v="M545"/>
    <s v="LUMBAGO NO ESPECIFICADO"/>
    <s v="SURA"/>
    <m/>
    <m/>
    <m/>
    <m/>
    <s v="ASUME LA EPS"/>
    <n v="1272005"/>
    <m/>
    <m/>
  </r>
  <r>
    <x v="5"/>
    <n v="71382103"/>
    <s v="MOLINA "/>
    <s v="GUISAO "/>
    <s v="SERGIO "/>
    <s v="ARMANDO "/>
    <s v="VIGILANTE "/>
    <d v="2023-05-09T00:00:00"/>
    <d v="2023-05-09T00:00:00"/>
    <n v="1"/>
    <n v="1"/>
    <s v="NO"/>
    <s v="NO"/>
    <x v="0"/>
    <s v="M232"/>
    <s v="TRASTORNO DEL MENISCO DEBIDO A DESGARRO O LESION ANTIGUA"/>
    <s v="SURA"/>
    <n v="0"/>
    <m/>
    <n v="0"/>
    <n v="42400"/>
    <s v="ASUME LA EPS"/>
    <n v="1272005"/>
    <n v="0"/>
    <n v="42400"/>
  </r>
  <r>
    <x v="5"/>
    <n v="43709476"/>
    <s v="ANGEL"/>
    <s v="DUQUE"/>
    <s v="SONIA"/>
    <s v="ELIZABETH"/>
    <s v="VIGILANTE "/>
    <d v="2023-05-10T00:00:00"/>
    <d v="2023-05-11T00:00:00"/>
    <n v="2"/>
    <n v="2"/>
    <s v="NO"/>
    <s v="NO"/>
    <x v="0"/>
    <s v="Z302"/>
    <s v="ESTERILIZACION"/>
    <s v="SURA"/>
    <m/>
    <d v="2023-05-15T00:00:00"/>
    <d v="2023-05-23T00:00:00"/>
    <n v="77333"/>
    <s v="ASUME LA EPS"/>
    <n v="1272005"/>
    <m/>
    <m/>
  </r>
  <r>
    <x v="5"/>
    <n v="1076325518"/>
    <s v="CANOLE"/>
    <s v="LUNA"/>
    <s v="ANDRES "/>
    <s v="MAURICIO"/>
    <s v="VIGILANTE "/>
    <d v="2023-05-10T00:00:00"/>
    <d v="2023-05-21T00:00:00"/>
    <n v="12"/>
    <n v="12"/>
    <s v="NO"/>
    <s v="NO"/>
    <x v="0"/>
    <s v="H110"/>
    <s v="PTERIGION"/>
    <s v="SURA"/>
    <m/>
    <d v="2023-05-15T00:00:00"/>
    <d v="2023-05-23T00:00:00"/>
    <n v="386667"/>
    <s v="ASUME LA EPS"/>
    <n v="1272005"/>
    <m/>
    <m/>
  </r>
  <r>
    <x v="5"/>
    <n v="43826892"/>
    <s v="SALAZAR"/>
    <s v="ALZATE"/>
    <s v="MARIA"/>
    <s v="PATRICIA"/>
    <s v="VIGILANTE"/>
    <d v="2023-05-10T00:00:00"/>
    <d v="2023-05-16T00:00:00"/>
    <n v="7"/>
    <n v="7"/>
    <s v="NO"/>
    <s v="NO"/>
    <x v="0"/>
    <s v="S900"/>
    <s v="CONTUSION DEL TOBILLO"/>
    <s v="SALUD TOTAL"/>
    <m/>
    <d v="2023-07-13T00:00:00"/>
    <d v="2023-07-19T00:00:00"/>
    <n v="270667"/>
    <s v="ASUME LA EPS"/>
    <n v="270667"/>
    <m/>
    <m/>
  </r>
  <r>
    <x v="5"/>
    <n v="8156170"/>
    <s v="MUÑOZ"/>
    <s v="CASTRILLON "/>
    <s v="INYERMAN"/>
    <s v="ALBERTO"/>
    <s v="VIGILANTE "/>
    <d v="2023-05-11T00:00:00"/>
    <d v="2023-05-13T00:00:00"/>
    <n v="3"/>
    <n v="3"/>
    <s v="NO"/>
    <s v="NO"/>
    <x v="0"/>
    <s v="B269"/>
    <s v="PAROTIDITIS, SIN COMPLICACIONES"/>
    <s v="SURA"/>
    <m/>
    <d v="2023-05-13T00:00:00"/>
    <d v="2023-05-23T00:00:00"/>
    <n v="38667"/>
    <s v="ASUME LA EPS"/>
    <n v="1272005"/>
    <m/>
    <m/>
  </r>
  <r>
    <x v="5"/>
    <n v="3481465"/>
    <s v="LOPERA"/>
    <s v="DURANGO"/>
    <s v="ARTURO"/>
    <s v="DE JESUS"/>
    <s v="VIGILANTE "/>
    <d v="2023-05-11T00:00:00"/>
    <d v="2023-05-30T00:00:00"/>
    <n v="20"/>
    <n v="20"/>
    <s v="NO"/>
    <s v="SI"/>
    <x v="0"/>
    <s v="F010"/>
    <s v="DEMENCIA VASCULAR DE COMIENZO AGUDO"/>
    <s v="SURA"/>
    <m/>
    <m/>
    <m/>
    <m/>
    <s v="ASUME LA EPS"/>
    <n v="1272005"/>
    <m/>
    <m/>
  </r>
  <r>
    <x v="5"/>
    <n v="71601851"/>
    <s v="MAZO"/>
    <s v="ELORZA"/>
    <s v="RAMON"/>
    <s v="ANGEL"/>
    <s v="VIGILANTE "/>
    <d v="2023-05-12T00:00:00"/>
    <d v="2023-05-26T00:00:00"/>
    <n v="15"/>
    <n v="15"/>
    <s v="NO"/>
    <s v="SI"/>
    <x v="0"/>
    <s v="M239"/>
    <s v="TRASTORNOS INTERNO DE LA RODILLA, NO ESPECIFICADO"/>
    <s v="NUEVA EPS"/>
    <m/>
    <m/>
    <m/>
    <m/>
    <s v="ASUME LA EPS"/>
    <n v="1272005"/>
    <m/>
    <m/>
  </r>
  <r>
    <x v="5"/>
    <n v="71382103"/>
    <s v="MOLINA "/>
    <s v="GUISAO "/>
    <s v="SERGIO "/>
    <s v="ARMANDO "/>
    <s v="VIGILANTE "/>
    <d v="2023-05-14T00:00:00"/>
    <d v="2023-05-15T00:00:00"/>
    <n v="2"/>
    <n v="2"/>
    <s v="NO"/>
    <s v="NO"/>
    <x v="0"/>
    <s v="M179"/>
    <s v="GONARTROSIS, NO ESPECIFICADA"/>
    <s v="SURA"/>
    <m/>
    <m/>
    <m/>
    <m/>
    <s v="ASUME LA EPS"/>
    <n v="1272005"/>
    <m/>
    <m/>
  </r>
  <r>
    <x v="5"/>
    <n v="15532746"/>
    <s v="MARTINEZ "/>
    <s v="GOMEZ"/>
    <s v="JOHN "/>
    <s v="JAIRO"/>
    <s v="VIGILANTE "/>
    <d v="2023-05-14T00:00:00"/>
    <d v="2023-06-12T00:00:00"/>
    <n v="30"/>
    <n v="18"/>
    <s v="NO"/>
    <s v="NO"/>
    <x v="0"/>
    <s v="S821"/>
    <s v="FRACTURA DE LA EPIFISIS SUPERIOR DE LA TIBIA"/>
    <s v="SURA"/>
    <m/>
    <d v="2023-06-30T00:00:00"/>
    <d v="2023-07-18T00:00:00"/>
    <n v="1082667"/>
    <s v="ASUME LA EPS"/>
    <n v="1272005"/>
    <m/>
    <m/>
  </r>
  <r>
    <x v="5"/>
    <n v="1127576502"/>
    <s v="PEREZ"/>
    <s v="BULA"/>
    <s v="CARLOS"/>
    <s v="ANDRES"/>
    <s v="VIGILANTE "/>
    <d v="2023-05-15T00:00:00"/>
    <d v="2023-05-16T00:00:00"/>
    <n v="2"/>
    <n v="2"/>
    <s v="NO"/>
    <s v="NO"/>
    <x v="0"/>
    <s v="M545"/>
    <s v="LUMBAGO NO ESPECIFICADO"/>
    <s v="SURA"/>
    <m/>
    <m/>
    <m/>
    <m/>
    <s v="ASUME LA EPS"/>
    <n v="1272005"/>
    <m/>
    <m/>
  </r>
  <r>
    <x v="5"/>
    <n v="8364054"/>
    <s v="GUTIERREZ"/>
    <s v="BARON"/>
    <s v="FRANCISCO "/>
    <s v="MANUEL"/>
    <s v="VIGILANTE "/>
    <d v="2023-05-15T00:00:00"/>
    <d v="2023-05-21T00:00:00"/>
    <n v="7"/>
    <n v="7"/>
    <s v="NO"/>
    <s v="NO"/>
    <x v="0"/>
    <s v="S635"/>
    <s v="ESGUINCES Y TORCEDURAS DE LA MUÑECA"/>
    <s v="SURA"/>
    <m/>
    <d v="2023-05-29T00:00:00"/>
    <d v="2023-06-01T00:00:00"/>
    <n v="193000"/>
    <s v="ASUME LA EPS"/>
    <n v="1272005"/>
    <m/>
    <m/>
  </r>
  <r>
    <x v="5"/>
    <n v="8324434"/>
    <s v="CORDOBA"/>
    <s v="IBARGUEN"/>
    <s v="LUIS"/>
    <s v="ALFRANIO"/>
    <s v="VIGILANTE "/>
    <d v="2023-05-16T00:00:00"/>
    <d v="2023-05-16T00:00:00"/>
    <n v="1"/>
    <n v="1"/>
    <s v="NO"/>
    <s v="NO"/>
    <x v="0"/>
    <s v="C608"/>
    <s v="LESION DE SITIOS CONTIGUOS DEL PENE"/>
    <s v="SURA"/>
    <n v="0"/>
    <m/>
    <n v="0"/>
    <n v="42400"/>
    <s v="ASUME LA EPS"/>
    <n v="1272005"/>
    <n v="0"/>
    <n v="42400"/>
  </r>
  <r>
    <x v="5"/>
    <n v="1036622798"/>
    <s v="BETANCUR "/>
    <s v="GIL "/>
    <s v="DUVIAN "/>
    <s v="YHOBANNY"/>
    <s v="VIGILANTE "/>
    <d v="2023-05-17T00:00:00"/>
    <d v="2023-06-15T00:00:00"/>
    <n v="30"/>
    <n v="14"/>
    <s v="SI"/>
    <s v="SI"/>
    <x v="0"/>
    <s v="S933"/>
    <s v="LUXACION DE OTROS SITIOS Y LOS NO ESPECIFICADOS DEL PIE"/>
    <s v="SURA"/>
    <m/>
    <m/>
    <m/>
    <m/>
    <s v="ASUME LA EPS"/>
    <n v="1272005"/>
    <m/>
    <m/>
  </r>
  <r>
    <x v="5"/>
    <n v="3434409"/>
    <s v="PEREZ"/>
    <s v="CANO"/>
    <s v="MEDARDO"/>
    <s v="DE JESUS"/>
    <s v="VIGILANTE "/>
    <d v="2023-05-17T00:00:00"/>
    <d v="2023-05-20T00:00:00"/>
    <n v="4"/>
    <n v="4"/>
    <s v="NO"/>
    <s v="NO"/>
    <x v="0"/>
    <s v="S099"/>
    <s v="TRAUMATISMO DE LA CABEZA, NO ESPECIFICADO"/>
    <s v="SURA"/>
    <m/>
    <d v="2023-05-20T00:00:00"/>
    <d v="2023-06-06T00:00:00"/>
    <n v="77333"/>
    <s v="ASUME LA EPS"/>
    <n v="1272005"/>
    <m/>
    <m/>
  </r>
  <r>
    <x v="5"/>
    <n v="43826892"/>
    <s v="SALAZAR"/>
    <s v="ALZATE"/>
    <s v="MARIA"/>
    <s v="PATRICIA"/>
    <s v="VIGILANTE"/>
    <d v="2023-05-17T00:00:00"/>
    <d v="2023-05-31T00:00:00"/>
    <n v="15"/>
    <n v="15"/>
    <s v="SI"/>
    <s v="NO"/>
    <x v="0"/>
    <s v="T143"/>
    <s v="LUXACION, ESGUINCE O TORCEDURA DE REGION NO ESPECIFICADA DEL CUERPO"/>
    <s v="SALUD TOTAL"/>
    <m/>
    <d v="2023-07-13T00:00:00"/>
    <d v="2023-07-18T00:00:00"/>
    <s v="$ 502.671"/>
    <s v="ASUME LA EPS"/>
    <s v="$ 502.671"/>
    <m/>
    <m/>
  </r>
  <r>
    <x v="5"/>
    <n v="1036640034"/>
    <s v="CAICEDO "/>
    <s v="RUIZ"/>
    <s v="WENDY"/>
    <s v="JULIETH"/>
    <s v="VIGILANTE "/>
    <d v="2023-05-18T00:00:00"/>
    <d v="2023-05-19T00:00:00"/>
    <n v="2"/>
    <n v="2"/>
    <s v="NO"/>
    <s v="NO"/>
    <x v="0"/>
    <s v="J039"/>
    <s v="AMIGDALITIS AGUDA, NO ESPECIFICADA"/>
    <s v="SURA"/>
    <m/>
    <m/>
    <m/>
    <m/>
    <s v="ASUME LA EPS"/>
    <n v="1272005"/>
    <m/>
    <m/>
  </r>
  <r>
    <x v="5"/>
    <n v="3669363"/>
    <s v="PINO"/>
    <s v="CASTAÑO"/>
    <s v="GUSTAVO"/>
    <s v="DE JESUS"/>
    <s v="VIGILANTE "/>
    <d v="2023-05-19T00:00:00"/>
    <d v="2023-05-23T00:00:00"/>
    <n v="5"/>
    <n v="5"/>
    <s v="NO"/>
    <s v="NO"/>
    <x v="0"/>
    <s v="M179"/>
    <s v="GONARTROSIS, NO ESPECIFICADA"/>
    <s v="SURA"/>
    <m/>
    <m/>
    <m/>
    <m/>
    <s v="ASUME LA EPS"/>
    <n v="1272005"/>
    <m/>
    <m/>
  </r>
  <r>
    <x v="5"/>
    <n v="1216713788"/>
    <s v="HENAO"/>
    <s v="RINCON"/>
    <s v="ANDRES "/>
    <s v="MAURICIO"/>
    <s v="VIGILANTE "/>
    <d v="2023-05-19T00:00:00"/>
    <d v="2023-06-17T00:00:00"/>
    <n v="30"/>
    <n v="12"/>
    <s v="SI"/>
    <s v="SI"/>
    <x v="1"/>
    <s v="M236"/>
    <s v="OTRA RUPTURA ESPONTANEA DEL (DE LOS) LIGAMENTO(S) DE LA RODILLA"/>
    <s v="SEGUROS BOLIVAR "/>
    <n v="6882764"/>
    <d v="2023-06-30T00:00:00"/>
    <d v="2023-07-15T00:00:00"/>
    <n v="712323"/>
    <s v="ASUME LA EPS"/>
    <n v="1272005"/>
    <m/>
    <m/>
  </r>
  <r>
    <x v="5"/>
    <n v="98634710"/>
    <s v="ZAPATA "/>
    <m/>
    <s v="HECTOR "/>
    <s v="FABIO"/>
    <s v="VIGILANTE "/>
    <d v="2023-05-19T00:00:00"/>
    <d v="2023-05-24T00:00:00"/>
    <n v="6"/>
    <n v="6"/>
    <s v="NO"/>
    <s v="NO"/>
    <x v="0"/>
    <s v="L088"/>
    <s v="OTRAS INFECCIONES LOCALES ESPECIFICADAS DE LA PIEL Y DEL TEJIDO SUBCUTANEO"/>
    <s v="SURA"/>
    <m/>
    <d v="2023-05-22T00:00:00"/>
    <d v="2023-06-13T00:00:00"/>
    <n v="154667"/>
    <s v="ASUME LA EPS"/>
    <n v="1272005"/>
    <m/>
    <m/>
  </r>
  <r>
    <x v="5"/>
    <n v="1020397739"/>
    <s v="VELEZ "/>
    <s v="HERNANDEZ"/>
    <s v="BYRON"/>
    <m/>
    <s v="VIGILANTE "/>
    <d v="2023-05-20T00:00:00"/>
    <d v="2023-05-22T00:00:00"/>
    <n v="3"/>
    <n v="3"/>
    <s v="SI"/>
    <s v="SI"/>
    <x v="0"/>
    <s v="S901"/>
    <s v="CONTUSION DE DEDO(S) DEL PIE, SIN DAÑO DE LA(S) UÑA(S)"/>
    <s v="SURA"/>
    <m/>
    <d v="2023-05-25T00:00:00"/>
    <d v="2023-05-23T00:00:00"/>
    <n v="116000"/>
    <s v="ASUME LA EPS"/>
    <n v="1272005"/>
    <m/>
    <m/>
  </r>
  <r>
    <x v="5"/>
    <n v="1040321290"/>
    <s v="RODRIGUEZ"/>
    <s v="RODRIGUEZ"/>
    <s v="JUAN"/>
    <s v="CARLOS"/>
    <s v="VIGILANTE "/>
    <d v="2023-05-21T00:00:00"/>
    <d v="2023-05-23T00:00:00"/>
    <n v="3"/>
    <n v="3"/>
    <s v="NO"/>
    <s v="NO"/>
    <x v="0"/>
    <s v="S602"/>
    <s v="CONTUSION DE OTRAS PARTES DE LA MUÑECA Y DE LA MANO"/>
    <s v="SURA"/>
    <m/>
    <m/>
    <m/>
    <m/>
    <s v="ASUME LA EPS"/>
    <n v="1272005"/>
    <m/>
    <m/>
  </r>
  <r>
    <x v="5"/>
    <n v="1040374058"/>
    <s v="RODRIGUEZ "/>
    <s v="RADA "/>
    <s v="JEINER "/>
    <s v="ANDRES"/>
    <s v="VIGILANTE "/>
    <d v="2023-05-21T00:00:00"/>
    <d v="2023-05-22T00:00:00"/>
    <n v="2"/>
    <n v="2"/>
    <s v="NO"/>
    <s v="NO"/>
    <x v="0"/>
    <s v="A09"/>
    <s v="DIARREA Y GASTROENTERITIS DE PRESUNTO ORIGEN INFECCIOSO"/>
    <s v="SURA"/>
    <m/>
    <m/>
    <m/>
    <m/>
    <s v="ASUME LA EPS"/>
    <n v="1272005"/>
    <m/>
    <m/>
  </r>
  <r>
    <x v="5"/>
    <n v="1040321290"/>
    <s v="RODRIGUEZ"/>
    <s v="RODRIGUEZ"/>
    <s v="JUAN "/>
    <s v="CARLOS"/>
    <s v="VIGILANTE "/>
    <d v="2023-05-21T00:00:00"/>
    <d v="2023-05-23T00:00:00"/>
    <n v="3"/>
    <n v="3"/>
    <s v="NO"/>
    <s v="NO"/>
    <x v="0"/>
    <s v="M212"/>
    <s v="DEFORMIDAD EN FLEXION"/>
    <s v="SURA"/>
    <m/>
    <d v="2023-05-23T00:00:00"/>
    <d v="2023-05-30T00:00:00"/>
    <n v="38667"/>
    <s v="ASUME LA EPS"/>
    <n v="1272005"/>
    <m/>
    <m/>
  </r>
  <r>
    <x v="5"/>
    <n v="15309929"/>
    <s v="GALVIS "/>
    <s v="CASTRO "/>
    <s v="NICOLAS "/>
    <s v="EMIRO"/>
    <s v="VIGILANTE "/>
    <d v="2023-05-23T00:00:00"/>
    <d v="2023-06-01T00:00:00"/>
    <n v="10"/>
    <n v="9"/>
    <s v="SI"/>
    <s v="SI"/>
    <x v="0"/>
    <s v="S832"/>
    <s v="DESGARRO DE MENISCOS, PRESENTE"/>
    <s v="SURA"/>
    <m/>
    <m/>
    <m/>
    <m/>
    <s v="ASUME LA EPS"/>
    <n v="1272005"/>
    <m/>
    <m/>
  </r>
  <r>
    <x v="5"/>
    <n v="71797878"/>
    <s v="MORALES "/>
    <s v="ORDUZ"/>
    <s v="DUBAN "/>
    <s v="ALVEIRO "/>
    <s v="VIGILANTE "/>
    <d v="2023-05-23T00:00:00"/>
    <d v="2023-05-25T00:00:00"/>
    <n v="3"/>
    <n v="3"/>
    <s v="NO"/>
    <s v="NO"/>
    <x v="0"/>
    <s v="S022"/>
    <s v="FRACTURA DE LOS HUESOS DE LA NARIZ"/>
    <s v="SURA"/>
    <m/>
    <m/>
    <m/>
    <m/>
    <s v="ASUME LA EPS"/>
    <n v="1272005"/>
    <m/>
    <m/>
  </r>
  <r>
    <x v="5"/>
    <n v="70133821"/>
    <s v="MURILLO"/>
    <s v="ACEVEDO"/>
    <s v="JHON "/>
    <s v="JAIRO"/>
    <s v="VIGILANTE "/>
    <d v="2023-05-23T00:00:00"/>
    <d v="2023-06-01T00:00:00"/>
    <n v="10"/>
    <n v="10"/>
    <s v="SI"/>
    <s v="SI"/>
    <x v="0"/>
    <s v="A499"/>
    <s v="INFECCION BACTERIANA, NO ESPECIFICADA"/>
    <s v="SURA"/>
    <m/>
    <d v="2023-05-26T00:00:00"/>
    <d v="2023-05-30T00:00:00"/>
    <n v="386667"/>
    <s v="ASUME LA EPS"/>
    <n v="1272005"/>
    <m/>
    <m/>
  </r>
  <r>
    <x v="5"/>
    <n v="70323164"/>
    <s v="SUAREZ"/>
    <s v="CASTRILLON "/>
    <s v="JOSE"/>
    <s v="AICARDO"/>
    <s v="VIGILANTE "/>
    <d v="2023-05-24T00:00:00"/>
    <d v="2023-06-22T00:00:00"/>
    <n v="30"/>
    <n v="8"/>
    <s v="SI"/>
    <s v="SI"/>
    <x v="0"/>
    <s v="A153"/>
    <s v="TUBERCULOSIS DEL PULMON , CONFIRMADA POR MEDIOS NO ESPECIFICADOS"/>
    <s v="SURA"/>
    <m/>
    <m/>
    <m/>
    <m/>
    <s v="ASUME LA EPS"/>
    <n v="1272005"/>
    <m/>
    <m/>
  </r>
  <r>
    <x v="5"/>
    <n v="1020397739"/>
    <s v="VELEZ"/>
    <s v="HERNANDEZ"/>
    <s v="BYRON"/>
    <m/>
    <s v="VIGILANTE "/>
    <d v="2023-05-25T00:00:00"/>
    <d v="2023-05-27T00:00:00"/>
    <n v="3"/>
    <n v="3"/>
    <s v="SI"/>
    <s v="SI"/>
    <x v="0"/>
    <s v="S801"/>
    <s v="CONTUSION DE OTRAS PARTES Y LAS NO ESPECIFICADAS DE LA PIERNA"/>
    <s v="SURA"/>
    <m/>
    <m/>
    <m/>
    <m/>
    <s v="ASUME LA EPS"/>
    <n v="1272005"/>
    <m/>
    <m/>
  </r>
  <r>
    <x v="5"/>
    <n v="98634710"/>
    <s v="ZAPATA"/>
    <m/>
    <s v="HECTOR "/>
    <s v="FABIO"/>
    <s v="VIGILANTE "/>
    <d v="2023-05-25T00:00:00"/>
    <d v="2023-05-28T00:00:00"/>
    <n v="4"/>
    <n v="4"/>
    <s v="NO"/>
    <s v="NO"/>
    <x v="0"/>
    <s v="L038"/>
    <s v="CELULITIS DE OTROS SITIOS"/>
    <s v="SURA"/>
    <m/>
    <d v="2023-05-26T00:00:00"/>
    <d v="2023-05-30T00:00:00"/>
    <n v="77333"/>
    <s v="ASUME LA EPS"/>
    <n v="1272005"/>
    <m/>
    <m/>
  </r>
  <r>
    <x v="5"/>
    <n v="1063727669"/>
    <s v="TEHERAN"/>
    <m/>
    <s v="MARTIN "/>
    <s v="SAMUEL"/>
    <s v="VIGILANTE "/>
    <d v="2023-05-25T00:00:00"/>
    <d v="2023-06-07T00:00:00"/>
    <n v="14"/>
    <n v="14"/>
    <s v="NO"/>
    <s v="NO"/>
    <x v="0"/>
    <s v="O800"/>
    <s v="PARTO UNICO ESPONTANEO, PRESENTACION CEFALICA DE VERTICE"/>
    <s v="SURA"/>
    <m/>
    <d v="2023-05-28T00:00:00"/>
    <d v="2023-06-06T00:00:00"/>
    <n v="593602"/>
    <s v="ASUME LA EPS"/>
    <n v="1272005"/>
    <m/>
    <m/>
  </r>
  <r>
    <x v="5"/>
    <n v="71797878"/>
    <s v="MORALES"/>
    <s v="ORDUZ"/>
    <s v="DUBAN"/>
    <s v="ALVEIRO"/>
    <s v="VIGILANTE "/>
    <d v="2023-05-26T00:00:00"/>
    <d v="2023-06-01T00:00:00"/>
    <n v="7"/>
    <n v="6"/>
    <s v="NO"/>
    <s v="NO"/>
    <x v="0"/>
    <s v="S022"/>
    <s v="FRACTURA DE LOS HUESOS DE LA NARIZ"/>
    <s v="SURA"/>
    <m/>
    <d v="2023-05-29T00:00:00"/>
    <d v="2023-05-30T00:00:00"/>
    <n v="270667"/>
    <s v="ASUME LA EPS"/>
    <n v="1272005"/>
    <m/>
    <m/>
  </r>
  <r>
    <x v="5"/>
    <n v="1007460505"/>
    <s v="MONROY"/>
    <s v="RUEDA"/>
    <s v="ADRIAN"/>
    <s v="CAMILO"/>
    <s v="VIGILANTE "/>
    <d v="2023-05-26T00:00:00"/>
    <d v="2023-06-08T00:00:00"/>
    <n v="14"/>
    <n v="6"/>
    <s v="NO"/>
    <s v="NO"/>
    <x v="0"/>
    <s v="O800"/>
    <s v="PARTO UNICO ESPONTANEO, PRESENTACION CEFALICA DE VERTICE"/>
    <s v="SURA"/>
    <m/>
    <d v="2023-05-28T00:00:00"/>
    <d v="2023-06-06T00:00:00"/>
    <n v="593602"/>
    <s v="ASUME LA EPS"/>
    <n v="1272005"/>
    <m/>
    <m/>
  </r>
  <r>
    <x v="5"/>
    <n v="22188088"/>
    <s v="ORTIZ "/>
    <s v="GARCIA "/>
    <s v="MARIA"/>
    <s v="DELCIRA"/>
    <s v="VIGILANTE "/>
    <d v="2023-05-26T00:00:00"/>
    <d v="2023-05-28T00:00:00"/>
    <n v="3"/>
    <n v="3"/>
    <s v="NO"/>
    <s v="NO"/>
    <x v="1"/>
    <s v="M544"/>
    <s v="LUMBAGO CON CIATICA"/>
    <s v="SEGUROS BOLIVAR "/>
    <m/>
    <d v="2023-06-30T00:00:00"/>
    <d v="2023-07-17T00:00:00"/>
    <n v="142465"/>
    <s v="ASUME LA EPS"/>
    <n v="1272005"/>
    <m/>
    <m/>
  </r>
  <r>
    <x v="5"/>
    <n v="91444147"/>
    <s v="SANCHEZ "/>
    <s v="PALACIO"/>
    <s v="RUGER "/>
    <s v="OMAR "/>
    <s v="VIGILANTE "/>
    <d v="2023-05-26T00:00:00"/>
    <d v="2023-05-26T00:00:00"/>
    <n v="1"/>
    <n v="1"/>
    <s v="NO"/>
    <s v="NO"/>
    <x v="0"/>
    <s v="N200"/>
    <s v="CALCULO DEL RIÑON"/>
    <s v="SURA"/>
    <n v="0"/>
    <m/>
    <n v="0"/>
    <n v="42400"/>
    <s v="ASUME LA EPS"/>
    <n v="1272005"/>
    <n v="0"/>
    <n v="42400"/>
  </r>
  <r>
    <x v="5"/>
    <n v="71601851"/>
    <s v="MAZO "/>
    <s v="ELORZA"/>
    <s v="RAMON"/>
    <s v="ANGEL"/>
    <s v="VIGILANTE "/>
    <d v="2023-05-27T00:00:00"/>
    <d v="2023-06-10T00:00:00"/>
    <n v="15"/>
    <n v="5"/>
    <s v="SI"/>
    <s v="SI"/>
    <x v="0"/>
    <s v="M239"/>
    <s v="TRASTORNOS INTERNO DE LA RODILLA, NO ESPECIFICADO"/>
    <s v="NUEVA EPS"/>
    <m/>
    <m/>
    <m/>
    <m/>
    <s v="ASUME LA EPS"/>
    <n v="1272005"/>
    <m/>
    <m/>
  </r>
  <r>
    <x v="5"/>
    <n v="1128404771"/>
    <s v="VELEZ "/>
    <s v="RIVERA"/>
    <s v="JHONATAN "/>
    <s v="ANDRES"/>
    <s v="VIGILANTE "/>
    <d v="2023-05-28T00:00:00"/>
    <d v="2023-06-10T00:00:00"/>
    <n v="14"/>
    <n v="4"/>
    <s v="NO"/>
    <s v="NO"/>
    <x v="0"/>
    <s v="O800"/>
    <s v="PARTO UNICO ESPONTANEO, PRESENTACION CEFALICA DE VERTICE"/>
    <s v="SURA"/>
    <m/>
    <d v="2023-06-03T00:00:00"/>
    <d v="2023-06-06T00:00:00"/>
    <n v="593602"/>
    <s v="ASUME LA EPS"/>
    <n v="1272005"/>
    <m/>
    <m/>
  </r>
  <r>
    <x v="5"/>
    <n v="1193141601"/>
    <s v="SERNA"/>
    <s v="RUEDA"/>
    <s v="JUAN"/>
    <s v="DIEGO"/>
    <s v="VIGILANTE "/>
    <d v="2023-05-29T00:00:00"/>
    <d v="2023-05-31T00:00:00"/>
    <n v="3"/>
    <n v="3"/>
    <s v="NO"/>
    <s v="NO"/>
    <x v="0"/>
    <s v="J189"/>
    <s v="NEUMONIA, NO ESPECIFICADA"/>
    <s v="SURA"/>
    <m/>
    <d v="2023-06-03T00:00:00"/>
    <d v="2023-06-06T00:00:00"/>
    <n v="38667"/>
    <s v="ASUME LA EPS"/>
    <n v="1272005"/>
    <m/>
    <m/>
  </r>
  <r>
    <x v="5"/>
    <n v="71382103"/>
    <s v="MOLINA "/>
    <s v="GUISAO "/>
    <s v="SERGIO "/>
    <s v="ARMANDO "/>
    <s v="VIGILANTE "/>
    <d v="2023-05-30T00:00:00"/>
    <d v="2023-06-02T00:00:00"/>
    <n v="4"/>
    <n v="2"/>
    <s v="SI"/>
    <s v="SI"/>
    <x v="0"/>
    <s v="M238"/>
    <s v="OTROS TRASTORNOS INTERNOS DE LA RODILLA"/>
    <s v="SURA"/>
    <m/>
    <d v="2023-06-04T00:00:00"/>
    <d v="2023-06-13T00:00:00"/>
    <n v="154667"/>
    <s v="ASUME LA EPS"/>
    <n v="1272005"/>
    <m/>
    <m/>
  </r>
  <r>
    <x v="5"/>
    <n v="8364054"/>
    <s v="GUTIERREZ"/>
    <s v="BARON"/>
    <s v="FRANCISCO "/>
    <s v="MANUEL"/>
    <s v="VIGILANTE "/>
    <d v="2023-05-31T00:00:00"/>
    <d v="2023-06-02T00:00:00"/>
    <n v="3"/>
    <n v="3"/>
    <s v="NO"/>
    <s v="NO"/>
    <x v="0"/>
    <s v="S635"/>
    <s v="ESGUINCES Y TORCEDURAS DE LA MUÑECA"/>
    <s v="SURA"/>
    <m/>
    <d v="2023-06-05T00:00:00"/>
    <d v="2023-07-13T00:00:00"/>
    <n v="38667"/>
    <s v="ASUME LA EPS"/>
    <n v="1272005"/>
    <m/>
    <m/>
  </r>
  <r>
    <x v="5"/>
    <n v="3481465"/>
    <s v="LOPERA "/>
    <s v="DURANGO "/>
    <s v="ARTURO"/>
    <s v="DE JESUS"/>
    <s v="VIGILANTE "/>
    <d v="2023-05-31T00:00:00"/>
    <d v="2023-06-19T00:00:00"/>
    <n v="20"/>
    <n v="1"/>
    <s v="SI"/>
    <s v="SI"/>
    <x v="0"/>
    <s v="F010"/>
    <s v="DEMENCIA VASCULAR DE COMIENZO AGUDO"/>
    <s v="SURA"/>
    <m/>
    <m/>
    <m/>
    <m/>
    <s v="ASUME LA EPS"/>
    <n v="1272005"/>
    <m/>
    <m/>
  </r>
  <r>
    <x v="6"/>
    <n v="3669363"/>
    <s v="PINO"/>
    <s v="CASTAÑO"/>
    <s v="GUSTAVO "/>
    <s v="DE JESUS"/>
    <s v="VIGILANTE "/>
    <d v="2023-06-01T00:00:00"/>
    <d v="2023-06-05T00:00:00"/>
    <n v="5"/>
    <n v="5"/>
    <s v="SI"/>
    <s v="SI"/>
    <x v="0"/>
    <s v="M179"/>
    <s v="GONARTROSIS, NO ESPECIFICADA"/>
    <s v="SURA"/>
    <m/>
    <m/>
    <m/>
    <m/>
    <s v="ASUME LA EPS"/>
    <n v="1272005"/>
    <m/>
    <m/>
  </r>
  <r>
    <x v="6"/>
    <n v="98452593"/>
    <s v="TORRES "/>
    <s v="URREGO"/>
    <s v="DIEGO "/>
    <s v="ALEXANDER"/>
    <s v="VIGILANTE "/>
    <d v="2023-06-01T00:00:00"/>
    <d v="2023-06-06T00:00:00"/>
    <n v="6"/>
    <n v="6"/>
    <s v="SI"/>
    <s v="SI"/>
    <x v="0"/>
    <s v="S526"/>
    <s v="FRACTURA DE LA EPIFISIS INFERIOR DEL CUBITO Y DEL RADIO"/>
    <s v="SURA"/>
    <m/>
    <d v="2023-07-14T00:00:00"/>
    <d v="2023-07-21T00:00:00"/>
    <n v="154667"/>
    <s v="ASUME LA EPS"/>
    <n v="1272005"/>
    <m/>
    <m/>
  </r>
  <r>
    <x v="6"/>
    <n v="98456475"/>
    <s v="MOLINA"/>
    <s v="LOPEZ"/>
    <s v="OMAR"/>
    <s v="ALBERTO"/>
    <s v="VIGILANTE "/>
    <d v="2023-06-01T00:00:00"/>
    <d v="2023-06-02T00:00:00"/>
    <n v="2"/>
    <n v="2"/>
    <s v="NO"/>
    <s v="NO"/>
    <x v="0"/>
    <s v="J00X"/>
    <s v="RINOFARINGITIS AGUDA (RESFRIADO COMUN)"/>
    <s v="SURA"/>
    <m/>
    <m/>
    <m/>
    <m/>
    <s v="ASUME LA EPS"/>
    <n v="1272005"/>
    <m/>
    <m/>
  </r>
  <r>
    <x v="6"/>
    <n v="98456475"/>
    <s v="MOLINA"/>
    <s v="LOPEZ"/>
    <s v="OMAR"/>
    <s v="ALBERTO"/>
    <s v="VIGILANTE "/>
    <d v="2023-06-01T00:00:00"/>
    <d v="2023-06-02T00:00:00"/>
    <n v="2"/>
    <n v="2"/>
    <s v="NO"/>
    <s v="NO"/>
    <x v="0"/>
    <s v="J00X"/>
    <s v="RINOFARINGITIS AGUDA (RESFRIADO COMUN)"/>
    <s v="SURA"/>
    <m/>
    <m/>
    <m/>
    <m/>
    <s v="ASUME LA EPS"/>
    <n v="1272005"/>
    <m/>
    <m/>
  </r>
  <r>
    <x v="6"/>
    <n v="1073969817"/>
    <s v="YANEZ"/>
    <s v="RAMOZ"/>
    <s v="VICTOR "/>
    <s v="ALFONSO"/>
    <s v="VIGILANTE "/>
    <d v="2023-06-01T00:00:00"/>
    <d v="2023-06-02T00:00:00"/>
    <n v="2"/>
    <n v="2"/>
    <s v="NO"/>
    <s v="NO"/>
    <x v="0"/>
    <s v="K081"/>
    <s v="PERDIDA DE DIENTES DEBIDA A ACCIDENTE, EXTRACCION O ENFERMEDAD PERIODONTAL LOCAL"/>
    <s v="NUEVA EPS"/>
    <m/>
    <m/>
    <m/>
    <m/>
    <s v="ASUME LA EPS"/>
    <m/>
    <m/>
    <m/>
  </r>
  <r>
    <x v="6"/>
    <n v="43826892"/>
    <s v="SALAZAR"/>
    <s v="ALZATE"/>
    <s v="MARIA"/>
    <s v="PATRICIA"/>
    <s v="VIGILANTE"/>
    <d v="2023-06-01T00:00:00"/>
    <d v="2023-06-15T00:00:00"/>
    <n v="15"/>
    <n v="15"/>
    <s v="SI"/>
    <s v="NO"/>
    <x v="0"/>
    <s v="T143"/>
    <s v="LUXACION, ESGUINCE O TORCEDURA DE REGION NO ESPECIFICADA DEL CUERPO"/>
    <s v="SALUD TOTAL"/>
    <n v="1031237912"/>
    <d v="2023-10-31T00:00:00"/>
    <d v="2023-11-07T00:00:00"/>
    <n v="580005"/>
    <s v="ASUME LA EPS"/>
    <m/>
    <m/>
    <m/>
  </r>
  <r>
    <x v="6"/>
    <n v="70133821"/>
    <s v="MURILLO"/>
    <s v="ACEVEDO"/>
    <s v="JHON "/>
    <s v="JAIRO"/>
    <s v="VIGILANTE "/>
    <d v="2023-06-02T00:00:00"/>
    <d v="2023-06-06T00:00:00"/>
    <n v="5"/>
    <n v="5"/>
    <s v="SI"/>
    <s v="SI"/>
    <x v="0"/>
    <s v="L038"/>
    <s v="CELULITIS DE OTROS SITIOS"/>
    <s v="SURA"/>
    <m/>
    <m/>
    <m/>
    <m/>
    <s v="ASUME LA EPS"/>
    <n v="1272005"/>
    <m/>
    <m/>
  </r>
  <r>
    <x v="6"/>
    <n v="1035421360"/>
    <s v="ROJAS"/>
    <s v="TRUJILLO"/>
    <s v="SINDERMAN "/>
    <s v="AGDENEVETH"/>
    <s v="VIGILANTE "/>
    <d v="2023-06-02T00:00:00"/>
    <d v="2023-06-03T00:00:00"/>
    <n v="2"/>
    <n v="2"/>
    <s v="NO"/>
    <s v="NO"/>
    <x v="0"/>
    <s v="K528"/>
    <s v="OTRAS COLITIS Y GASTROENTERITIS NO INFECCIOSAS ESPECIFICADAS"/>
    <s v="NUEVA EPS"/>
    <m/>
    <m/>
    <m/>
    <m/>
    <s v="ASUME LA EPS"/>
    <m/>
    <m/>
    <m/>
  </r>
  <r>
    <x v="6"/>
    <n v="98663441"/>
    <s v="PULGARIN "/>
    <s v="CHAVARRIA"/>
    <s v="LUIS"/>
    <s v="NORBERTO"/>
    <s v="VIGILANTE "/>
    <d v="2023-06-02T00:00:00"/>
    <d v="2023-06-03T00:00:00"/>
    <n v="2"/>
    <n v="2"/>
    <s v="NO"/>
    <s v="NO"/>
    <x v="0"/>
    <s v="A083"/>
    <s v="OTRAS ENTERITIS VIRALES"/>
    <s v="SURA"/>
    <m/>
    <m/>
    <m/>
    <m/>
    <s v="ASUME LA EPS"/>
    <n v="1272005"/>
    <m/>
    <m/>
  </r>
  <r>
    <x v="6"/>
    <n v="70133821"/>
    <s v="MURILLO"/>
    <s v="ACEVEDO"/>
    <s v="JHON"/>
    <s v="JAIRO"/>
    <s v="VIGILANTE "/>
    <d v="2023-06-02T00:00:00"/>
    <d v="2023-06-01T00:00:00"/>
    <n v="5"/>
    <n v="5"/>
    <s v="SI"/>
    <s v="NO"/>
    <x v="0"/>
    <s v="Z769"/>
    <s v="PERSONA EN CONTACTO CON LOS SERVICIOS DE SALUD EN CIRCUNSTANCIAS NO ESPECIFICADAS"/>
    <s v="SURA"/>
    <m/>
    <d v="2023-06-05T00:00:00"/>
    <d v="2023-06-27T00:00:00"/>
    <n v="193333"/>
    <s v="ASUME LA EPS"/>
    <n v="1272005"/>
    <m/>
    <m/>
  </r>
  <r>
    <x v="6"/>
    <n v="98648701"/>
    <s v="MARTINEZ "/>
    <s v="CARDONA"/>
    <s v="ALEX "/>
    <s v="SEVERIANO"/>
    <s v="VIGILANTE "/>
    <d v="2023-06-03T00:00:00"/>
    <d v="2023-06-04T00:00:00"/>
    <n v="2"/>
    <n v="2"/>
    <s v="NO"/>
    <s v="NO"/>
    <x v="0"/>
    <s v="M170"/>
    <s v="GONARTROSIS PRIMARIA, BILATERAL"/>
    <s v="SURA"/>
    <m/>
    <m/>
    <m/>
    <m/>
    <s v="ASUME LA EPS"/>
    <n v="1272005"/>
    <m/>
    <m/>
  </r>
  <r>
    <x v="6"/>
    <n v="71781456"/>
    <s v="TEJADA"/>
    <s v="ATILANO "/>
    <s v="HENRY"/>
    <s v="ALBERTO"/>
    <s v="VIGILANTE "/>
    <d v="2023-06-06T00:00:00"/>
    <d v="2023-06-07T00:00:00"/>
    <n v="2"/>
    <n v="2"/>
    <s v="NO"/>
    <s v="NO"/>
    <x v="0"/>
    <s v="R104"/>
    <s v="OTROS DOLORES ABDOMINALES Y LOS NO ESPECIFICADOS"/>
    <s v="SURA"/>
    <m/>
    <m/>
    <m/>
    <m/>
    <s v="ASUME LA EPS"/>
    <n v="1272005"/>
    <m/>
    <m/>
  </r>
  <r>
    <x v="6"/>
    <n v="3669363"/>
    <s v="PINO"/>
    <s v="CASTAÑO"/>
    <s v="GUSTAVO "/>
    <s v="DE JESUS"/>
    <s v="VIGILANTE "/>
    <d v="2023-06-06T00:00:00"/>
    <d v="2023-06-08T00:00:00"/>
    <n v="3"/>
    <n v="3"/>
    <s v="SI"/>
    <s v="SI"/>
    <x v="0"/>
    <s v="M179"/>
    <s v="GONARTROSIS, NO ESPECIFICADA"/>
    <s v="SURA"/>
    <m/>
    <m/>
    <m/>
    <m/>
    <s v="ASUME LA EPS"/>
    <n v="1272005"/>
    <m/>
    <m/>
  </r>
  <r>
    <x v="6"/>
    <n v="1020452896"/>
    <s v="ESTRADA"/>
    <s v="OQUENDO "/>
    <s v="SERGIO "/>
    <s v="ANDRES"/>
    <s v="VIGILANTE "/>
    <d v="2023-06-06T00:00:00"/>
    <d v="2023-06-07T00:00:00"/>
    <n v="2"/>
    <n v="2"/>
    <s v="NO"/>
    <s v="NO"/>
    <x v="1"/>
    <s v="H019"/>
    <s v="INFLAMACION DEL PARPADO, NO ESPECIFICADA"/>
    <s v="SEGUROS BOLIVAR "/>
    <m/>
    <d v="2023-06-30T00:00:00"/>
    <d v="2023-07-14T00:00:00"/>
    <n v="94976"/>
    <s v="ASUME LA ARL"/>
    <n v="1272005"/>
    <m/>
    <m/>
  </r>
  <r>
    <x v="6"/>
    <n v="71053321"/>
    <s v="ORTIZ "/>
    <s v="ALVAREZ "/>
    <s v="CARLOS"/>
    <s v="MARIO"/>
    <s v="VIGILANTE "/>
    <d v="2023-06-06T00:00:00"/>
    <d v="2023-06-20T00:00:00"/>
    <n v="15"/>
    <n v="15"/>
    <s v="NO"/>
    <s v="NO"/>
    <x v="0"/>
    <s v="H110"/>
    <s v="PTERIGION"/>
    <s v="SALUD TOTAL "/>
    <m/>
    <d v="2023-06-30T00:00:00"/>
    <d v="2023-07-07T00:00:00"/>
    <n v="502671"/>
    <s v="ASUME LA EPS"/>
    <n v="1272005"/>
    <m/>
    <m/>
  </r>
  <r>
    <x v="7"/>
    <n v="70323164"/>
    <s v="SUAREZ "/>
    <s v="CASTRILLON"/>
    <s v="JOSE "/>
    <s v="AICARDO"/>
    <s v="VIGILANTE "/>
    <d v="2023-06-06T00:00:00"/>
    <d v="2023-09-09T00:00:00"/>
    <n v="4"/>
    <n v="4"/>
    <s v="SI"/>
    <s v="SI"/>
    <x v="0"/>
    <s v="J448"/>
    <s v="OTRAS ENFERMEDADES PULMONARES OBSTRUCTIVAS CRONICAS ESPECIFICADAS"/>
    <s v="SURA"/>
    <m/>
    <m/>
    <m/>
    <m/>
    <s v="ASUME LA EPS"/>
    <n v="1272005"/>
    <m/>
    <m/>
  </r>
  <r>
    <x v="7"/>
    <n v="70323164"/>
    <s v="SUAREZ "/>
    <s v="CASTRILLON"/>
    <s v="JOSE "/>
    <s v="AICARDO"/>
    <s v="VIGILANTE "/>
    <d v="2023-06-06T00:00:00"/>
    <d v="2023-09-09T00:00:00"/>
    <n v="4"/>
    <n v="4"/>
    <s v="SI"/>
    <s v="SI"/>
    <x v="0"/>
    <s v="J448"/>
    <s v="OTRAS ENFERMEDADES PULMONARES OBSTRUCTIVAS CRONICAS ESPECIFICADAS"/>
    <s v="SURA"/>
    <m/>
    <m/>
    <m/>
    <m/>
    <s v="ASUME LA EPS"/>
    <n v="1272005"/>
    <m/>
    <m/>
  </r>
  <r>
    <x v="6"/>
    <n v="70564602"/>
    <s v="GARCIA"/>
    <s v="ECAHVARRIA"/>
    <s v="MANUEL"/>
    <s v="ANTONIO"/>
    <s v="VIGILANTE "/>
    <d v="2023-06-07T00:00:00"/>
    <d v="2023-06-11T00:00:00"/>
    <n v="5"/>
    <n v="5"/>
    <s v="NO"/>
    <s v="NO"/>
    <x v="0"/>
    <s v="G510"/>
    <s v="PARALISIS DE BELL"/>
    <s v="SURA"/>
    <m/>
    <d v="2023-06-13T00:00:00"/>
    <d v="2023-06-13T00:00:00"/>
    <n v="116000"/>
    <s v="ASUME LA EPS"/>
    <n v="1272005"/>
    <m/>
    <m/>
  </r>
  <r>
    <x v="6"/>
    <n v="91444147"/>
    <s v="SANCHEZ "/>
    <s v="PALACIO"/>
    <s v="RUGER "/>
    <s v="OMAR "/>
    <s v="VIGILANTE "/>
    <d v="2023-06-07T00:00:00"/>
    <d v="2023-06-07T00:00:00"/>
    <n v="1"/>
    <n v="1"/>
    <s v="NO"/>
    <s v="NO"/>
    <x v="0"/>
    <s v="N23"/>
    <s v="COLICO RENAL, NO ESPECIFICADO"/>
    <s v="SURA"/>
    <n v="0"/>
    <m/>
    <n v="0"/>
    <n v="42400"/>
    <s v="ASUME LA EPS"/>
    <n v="1272005"/>
    <n v="0"/>
    <n v="42400"/>
  </r>
  <r>
    <x v="6"/>
    <n v="70133821"/>
    <s v="MURILLO"/>
    <s v="ACEVEDO"/>
    <s v="JHON "/>
    <s v="JAIRO"/>
    <s v="VIGILANTE "/>
    <d v="2023-06-08T00:00:00"/>
    <d v="2023-06-12T00:00:00"/>
    <n v="5"/>
    <n v="5"/>
    <s v="SI"/>
    <s v="SI"/>
    <x v="0"/>
    <s v="L038"/>
    <s v="CELULITIS DE OTROS SITIOS"/>
    <s v="SURA"/>
    <m/>
    <d v="2023-06-13T00:00:00"/>
    <d v="2023-06-13T00:00:00"/>
    <n v="193333"/>
    <s v="ASUME LA EPS"/>
    <n v="1272005"/>
    <m/>
    <m/>
  </r>
  <r>
    <x v="6"/>
    <n v="1020452896"/>
    <s v="ESTRADA"/>
    <s v="OQUENDO "/>
    <s v="SERGIO "/>
    <s v="ANDRES"/>
    <s v="VIGILANTE "/>
    <d v="2023-06-09T00:00:00"/>
    <d v="2023-06-13T00:00:00"/>
    <n v="5"/>
    <n v="5"/>
    <s v="SI"/>
    <s v="NO"/>
    <x v="1"/>
    <s v="H019"/>
    <s v="INFLAMACION DEL PARPADO, NO ESPECIFICADA"/>
    <s v="SEGUROS BOLIVAR "/>
    <m/>
    <d v="2023-07-27T00:00:00"/>
    <d v="2023-08-15T00:00:00"/>
    <n v="237440"/>
    <s v="ASUME LA ARL"/>
    <n v="1272005"/>
    <m/>
    <m/>
  </r>
  <r>
    <x v="6"/>
    <n v="42731660"/>
    <s v="MUÑOZ"/>
    <s v="MONTOYA"/>
    <s v="KLEANE"/>
    <s v="YAJAIRA"/>
    <s v="VIGILANTE "/>
    <d v="2023-06-09T00:00:00"/>
    <d v="2023-06-10T00:00:00"/>
    <n v="2"/>
    <n v="2"/>
    <s v="NO"/>
    <s v="NO"/>
    <x v="0"/>
    <s v="G438"/>
    <s v="OTRAS MIGRAÑAS"/>
    <s v="SURA"/>
    <m/>
    <m/>
    <m/>
    <m/>
    <s v="ASUME LA EPS"/>
    <n v="1272005"/>
    <m/>
    <m/>
  </r>
  <r>
    <x v="6"/>
    <n v="98648253"/>
    <s v="CARMONA "/>
    <s v="ARANGO"/>
    <s v="MOISES "/>
    <s v="ALEXANDER"/>
    <s v="VIGILANTE "/>
    <d v="2023-06-09T00:00:00"/>
    <d v="2023-06-10T00:00:00"/>
    <n v="2"/>
    <n v="2"/>
    <s v="NO"/>
    <s v="NO"/>
    <x v="0"/>
    <s v="Z769"/>
    <s v="PERSONA EN CONTACTO CON LOS SERVICIOS DE SALUD EN CIRCUNSTANCIAS NO ESPECIFICADAS"/>
    <s v="SURA"/>
    <m/>
    <m/>
    <m/>
    <m/>
    <s v="ASUME LA EPS"/>
    <n v="1272005"/>
    <m/>
    <m/>
  </r>
  <r>
    <x v="6"/>
    <n v="42731660"/>
    <s v="MUÑOZ"/>
    <s v="MONTOYA"/>
    <s v="KLEANE"/>
    <s v="YAJAIRA"/>
    <s v="VIGILANTE "/>
    <d v="2023-06-11T00:00:00"/>
    <d v="2023-06-11T00:00:00"/>
    <n v="1"/>
    <n v="1"/>
    <s v="NO"/>
    <s v="NO"/>
    <x v="0"/>
    <s v="G439"/>
    <s v="MIGRAÑA, NO ESPECIFICADA"/>
    <s v="SURA"/>
    <n v="0"/>
    <m/>
    <n v="0"/>
    <n v="42400"/>
    <s v="ASUME LA EPS"/>
    <n v="1272005"/>
    <n v="0"/>
    <n v="42400"/>
  </r>
  <r>
    <x v="6"/>
    <n v="71686928"/>
    <s v="RIOS "/>
    <s v="ESTRADA "/>
    <s v="NESTOR "/>
    <s v="RAUL"/>
    <s v="VIGILANTE "/>
    <d v="2023-06-12T00:00:00"/>
    <d v="2023-07-11T00:00:00"/>
    <n v="30"/>
    <n v="30"/>
    <s v="SI"/>
    <s v="SI"/>
    <x v="0"/>
    <s v="S821"/>
    <s v="FRACTURA DE LA EPIFISIS SUPERIOR DE LA TIBIA"/>
    <s v="SOAT"/>
    <m/>
    <d v="2023-08-31T00:00:00"/>
    <d v="2023-09-05T00:00:00"/>
    <n v="1082667"/>
    <s v="ASUME LA EPS"/>
    <n v="1272005"/>
    <m/>
    <m/>
  </r>
  <r>
    <x v="6"/>
    <n v="98601485"/>
    <s v="SARRAZOLA"/>
    <m/>
    <s v="WILMAR"/>
    <s v="DE JESUS"/>
    <s v="SUPERVISOR "/>
    <d v="2023-06-12T00:00:00"/>
    <d v="2023-06-25T00:00:00"/>
    <n v="14"/>
    <n v="14"/>
    <s v="SI"/>
    <s v="SI"/>
    <x v="0"/>
    <s v="M171"/>
    <s v="OTRAS GONARTROSIS PRIMARIAS"/>
    <s v="SURA "/>
    <s v="0-35606340"/>
    <d v="2023-09-25T00:00:00"/>
    <d v="2023-09-28T00:00:00"/>
    <n v="541333"/>
    <s v="ASUME LA EPS"/>
    <n v="1272005"/>
    <m/>
    <m/>
  </r>
  <r>
    <x v="6"/>
    <n v="8408459"/>
    <s v="VALENCIA"/>
    <s v="MONTOYA"/>
    <s v="HORACIO "/>
    <s v="DE JESUS"/>
    <s v="VIGILANTE "/>
    <d v="2023-06-13T00:00:00"/>
    <d v="2023-06-17T00:00:00"/>
    <n v="5"/>
    <n v="5"/>
    <s v="NO"/>
    <s v="NO"/>
    <x v="0"/>
    <s v="D179"/>
    <s v="TUMOR BENIGNO LIPOMATOSO, DE SITIO NO ESPECIFICADO"/>
    <s v="SURA"/>
    <m/>
    <d v="2023-07-13T00:00:00"/>
    <d v="2023-07-21T00:00:00"/>
    <n v="116000"/>
    <s v="ASUME LA EPS"/>
    <n v="1272005"/>
    <m/>
    <m/>
  </r>
  <r>
    <x v="6"/>
    <n v="1007898660"/>
    <s v="BANDERAS"/>
    <s v="ESCUDERO"/>
    <s v="LUIS"/>
    <s v="ANGEL"/>
    <s v="VIGILANTE "/>
    <d v="2023-06-14T00:00:00"/>
    <d v="2023-06-15T00:00:00"/>
    <n v="4"/>
    <n v="4"/>
    <s v="NO"/>
    <s v="NO"/>
    <x v="0"/>
    <s v="M940"/>
    <s v="SINDROME DE LA ARTICULACION CONDROCOSTAL [TIETZE]"/>
    <s v="NUEVA EPS"/>
    <m/>
    <m/>
    <m/>
    <m/>
    <s v="ASUME LA EPS"/>
    <n v="1272005"/>
    <m/>
    <m/>
  </r>
  <r>
    <x v="6"/>
    <n v="15532746"/>
    <s v="MARTINEZ "/>
    <s v="GOMEZ"/>
    <s v="JOHN "/>
    <s v="JAIRO"/>
    <s v="VIGILANTE "/>
    <d v="2023-06-15T00:00:00"/>
    <d v="2023-07-14T00:00:00"/>
    <n v="30"/>
    <n v="16"/>
    <s v="SI"/>
    <s v="SI"/>
    <x v="0"/>
    <s v="S822"/>
    <s v="FRACTURA DE LA DIAFISIS DE LA TIBIA"/>
    <s v="SOAT"/>
    <m/>
    <d v="2023-06-30T00:00:00"/>
    <d v="2023-07-14T00:00:00"/>
    <n v="1160000"/>
    <s v="ASUME LA EPS"/>
    <n v="1272005"/>
    <m/>
    <m/>
  </r>
  <r>
    <x v="6"/>
    <n v="1036622798"/>
    <s v="BETANCUR "/>
    <s v="GIL "/>
    <s v="DUVIAN "/>
    <s v="JHOBANNY"/>
    <s v="VIGILANTE "/>
    <d v="2023-06-16T00:00:00"/>
    <d v="2023-07-15T00:00:00"/>
    <n v="15"/>
    <n v="15"/>
    <s v="NO"/>
    <s v="SI"/>
    <x v="0"/>
    <s v="S933"/>
    <s v="LUXACION DE OTROS SITIOS Y LOS NO ESPECIFICADOS DEL PIE"/>
    <s v="SURA"/>
    <m/>
    <m/>
    <m/>
    <m/>
    <s v="ASUME LA EPS"/>
    <n v="1272005"/>
    <m/>
    <m/>
  </r>
  <r>
    <x v="6"/>
    <n v="43826892"/>
    <s v="SALAZAR"/>
    <s v="ALZATE"/>
    <s v="MARIA"/>
    <s v="PATRICIA"/>
    <s v="VIGILANTE"/>
    <d v="2023-06-16T00:00:00"/>
    <d v="2023-06-30T00:00:00"/>
    <n v="15"/>
    <n v="15"/>
    <s v="NO"/>
    <s v="NO"/>
    <x v="0"/>
    <s v="S900"/>
    <s v="CONTUSION DEL TOBILLO"/>
    <s v="SALUD TOTAL"/>
    <m/>
    <d v="2023-07-13T00:00:00"/>
    <d v="2023-07-18T00:00:00"/>
    <s v="$ 580.005"/>
    <s v="ASUME LA EPS"/>
    <s v="$ 580.005"/>
    <m/>
    <m/>
  </r>
  <r>
    <x v="6"/>
    <n v="15309929"/>
    <s v="GALVIS "/>
    <s v="CASTRO"/>
    <s v="NICOLAS "/>
    <s v="EMIRO"/>
    <s v="VIGILANTE "/>
    <d v="2023-06-17T00:00:00"/>
    <d v="2023-06-26T00:00:00"/>
    <n v="10"/>
    <n v="10"/>
    <s v="SI"/>
    <s v="SI"/>
    <x v="0"/>
    <s v="M511"/>
    <s v="TRASTORNO DE DISCO LUMBAR Y OTROS, CON RADICULOPATIA"/>
    <s v="SURA"/>
    <m/>
    <m/>
    <m/>
    <m/>
    <s v="ASUME LA EPS"/>
    <n v="1272005"/>
    <m/>
    <m/>
  </r>
  <r>
    <x v="6"/>
    <n v="1035428600"/>
    <s v="OCAMPO"/>
    <m/>
    <s v="DIEGO "/>
    <s v="LEON"/>
    <s v="VIGILANTE "/>
    <d v="2023-06-17T00:00:00"/>
    <d v="2023-06-17T00:00:00"/>
    <n v="1"/>
    <n v="1"/>
    <s v="NO"/>
    <s v="NO"/>
    <x v="0"/>
    <s v="J00X"/>
    <s v="RINOFARINGITIS AGUDA (RESFRIADO COMUN)"/>
    <s v="SURA"/>
    <n v="0"/>
    <m/>
    <n v="0"/>
    <n v="42400"/>
    <s v="ASUME LA EPS"/>
    <n v="1272005"/>
    <n v="0"/>
    <n v="42400"/>
  </r>
  <r>
    <x v="6"/>
    <n v="71651935"/>
    <s v="CARDONA "/>
    <s v="RODRIGUEZ"/>
    <s v="JUAN "/>
    <s v="CARLOS"/>
    <s v="VIGILANTE "/>
    <d v="2023-06-17T00:00:00"/>
    <d v="2023-06-21T00:00:00"/>
    <n v="5"/>
    <n v="5"/>
    <s v="NO"/>
    <s v="NO"/>
    <x v="0"/>
    <s v="C189"/>
    <s v="TUMOR MALIGNO DEL COLON, PARTE NO ESPECIFICADA"/>
    <s v="SALUD TOTAL "/>
    <m/>
    <m/>
    <m/>
    <m/>
    <s v="ASUME LA EPS"/>
    <n v="1272005"/>
    <m/>
    <m/>
  </r>
  <r>
    <x v="8"/>
    <n v="1216713788"/>
    <s v="HENAO"/>
    <s v="RINCON"/>
    <s v="ANDRES "/>
    <s v="MAURICIO"/>
    <s v="VIGILANTE "/>
    <d v="2023-06-19T00:00:00"/>
    <d v="2023-07-18T00:00:00"/>
    <n v="30"/>
    <n v="12"/>
    <s v="SI"/>
    <s v="SI"/>
    <x v="1"/>
    <s v="M236"/>
    <s v="OTRA RUPTURA ESPONTANEA DEL (DE LOS) LIGAMENTO(S) DE LA RODILLA"/>
    <s v="SEGUROS BOLIVAR "/>
    <n v="6882739"/>
    <d v="2023-07-27T00:00:00"/>
    <d v="2023-08-15T00:00:00"/>
    <n v="1424645"/>
    <s v="ASUME LA EPS"/>
    <n v="1272005"/>
    <m/>
    <m/>
  </r>
  <r>
    <x v="6"/>
    <n v="1045079803"/>
    <s v="MOLINA "/>
    <s v="ANDICA"/>
    <s v="LUIS "/>
    <s v="FERNANDO"/>
    <s v="VIGILANTE "/>
    <d v="2023-06-19T00:00:00"/>
    <d v="2023-07-02T00:00:00"/>
    <n v="14"/>
    <n v="14"/>
    <s v="NO"/>
    <s v="NO"/>
    <x v="0"/>
    <s v="S999"/>
    <s v="TRAUMATISMO DEL PIE Y DEL TOBILLO, NO ESPECIFICADO"/>
    <s v="SALUD TOTAL "/>
    <m/>
    <d v="2023-07-03T00:00:00"/>
    <d v="2023-07-28T00:00:00"/>
    <n v="593600"/>
    <s v="ASUME LA EPS"/>
    <m/>
    <m/>
    <m/>
  </r>
  <r>
    <x v="6"/>
    <n v="71375285"/>
    <s v="HINCAPIE"/>
    <s v="RAMIREZ"/>
    <s v="YEREMY"/>
    <m/>
    <s v="VIGILANTE "/>
    <d v="2023-06-22T00:00:00"/>
    <d v="2023-06-22T00:00:00"/>
    <n v="1"/>
    <n v="1"/>
    <s v="NO"/>
    <s v="NO"/>
    <x v="0"/>
    <s v="A09"/>
    <s v="DIARREA Y GASTROENTERITIS DE PRESUNTO ORIGEN INFECCIOSO"/>
    <s v="SURA"/>
    <n v="0"/>
    <m/>
    <n v="0"/>
    <n v="42400"/>
    <s v="ASUME LA EPS"/>
    <n v="1272005"/>
    <n v="0"/>
    <n v="42400"/>
  </r>
  <r>
    <x v="6"/>
    <n v="1067892509"/>
    <s v="AGUDELO "/>
    <s v="ARROYAVE"/>
    <s v="JHOJAN "/>
    <s v="RENE "/>
    <s v="SUPERVISOR "/>
    <d v="2023-06-22T00:00:00"/>
    <d v="2023-07-21T00:00:00"/>
    <n v="30"/>
    <n v="9"/>
    <s v="NO"/>
    <s v="SI"/>
    <x v="1"/>
    <s v="S821"/>
    <s v="FRACTURA DE LA EPIFISIS SUPERIOR DE LA TIBIA"/>
    <s v="SEGUROS BOLIVAR "/>
    <m/>
    <d v="2023-07-13T00:00:00"/>
    <d v="2023-07-04T00:00:00"/>
    <n v="1082667"/>
    <s v="ASUME LA ARL"/>
    <n v="1272005"/>
    <m/>
    <m/>
  </r>
  <r>
    <x v="6"/>
    <n v="71651935"/>
    <s v="CARDONA "/>
    <s v="RODRIGUEZ"/>
    <s v="JUAN "/>
    <s v="CARLOS"/>
    <s v="VIGILANTE "/>
    <d v="2023-06-22T00:00:00"/>
    <d v="2023-07-21T00:00:00"/>
    <n v="30"/>
    <n v="9"/>
    <s v="NO"/>
    <s v="SI"/>
    <x v="0"/>
    <s v="C189"/>
    <s v="TUMOR MALIGNO DEL COLON, PARTE NO ESPECIFICADA"/>
    <s v="SALUD TOTAL "/>
    <m/>
    <m/>
    <m/>
    <m/>
    <s v="ASUME LA EPS"/>
    <n v="1272005"/>
    <m/>
    <m/>
  </r>
  <r>
    <x v="6"/>
    <n v="71389171"/>
    <s v="RESTREPO"/>
    <s v="SILVA"/>
    <s v="WILLY"/>
    <s v="FRANKLIN"/>
    <s v="VIGILANTE "/>
    <d v="2023-06-23T00:00:00"/>
    <d v="2023-06-25T00:00:00"/>
    <n v="3"/>
    <n v="3"/>
    <s v="NO"/>
    <s v="NO"/>
    <x v="0"/>
    <s v="N23"/>
    <s v="COLICO RENAL, NO ESPECIFICADO"/>
    <s v="SURA"/>
    <m/>
    <d v="2023-06-28T00:00:00"/>
    <d v="2023-07-04T00:00:00"/>
    <n v="38667"/>
    <s v="ASUME LA EPS"/>
    <n v="1272005"/>
    <m/>
    <m/>
  </r>
  <r>
    <x v="6"/>
    <n v="1214716619"/>
    <s v="ACEVEDO "/>
    <s v="GUZMAN"/>
    <s v="JOHNATHAN "/>
    <m/>
    <s v="VIGILANTE "/>
    <d v="2023-06-23T00:00:00"/>
    <d v="2023-06-28T00:00:00"/>
    <n v="6"/>
    <n v="6"/>
    <s v="NO"/>
    <s v="NO"/>
    <x v="1"/>
    <s v="S934"/>
    <s v="ESGUINCES Y TORCEDURAS DEL TOBILLO"/>
    <s v="SEGUROS BOLIVAR "/>
    <n v="6872284"/>
    <d v="2023-07-14T00:00:00"/>
    <d v="2023-07-28T00:00:00"/>
    <n v="284929"/>
    <s v="ASUME LA EPS"/>
    <n v="1272005"/>
    <m/>
    <m/>
  </r>
  <r>
    <x v="6"/>
    <n v="70323164"/>
    <s v="SUAREZ "/>
    <s v="CASTRILLON "/>
    <s v="JOSE"/>
    <s v="AICARDO"/>
    <s v="VIGILANTE "/>
    <d v="2023-06-25T00:00:00"/>
    <d v="2023-07-09T00:00:00"/>
    <n v="15"/>
    <n v="5"/>
    <s v="NO"/>
    <s v="NO"/>
    <x v="0"/>
    <s v="A153"/>
    <s v="TUBERCULOSIS DEL PULMON , CONFIRMADA POR MEDIOS NO ESPECIFICADOS"/>
    <s v="SURA"/>
    <m/>
    <m/>
    <m/>
    <m/>
    <s v="ASUME LA EPS"/>
    <n v="1272005"/>
    <m/>
    <m/>
  </r>
  <r>
    <x v="6"/>
    <n v="98502364"/>
    <s v="FERREIRO"/>
    <s v="LOPEZ"/>
    <s v="YONY"/>
    <s v="ALEXANDER"/>
    <s v="VIGILANTE "/>
    <d v="2023-06-25T00:00:00"/>
    <d v="2023-06-26T00:00:00"/>
    <n v="1"/>
    <n v="1"/>
    <s v="NO"/>
    <s v="NO"/>
    <x v="0"/>
    <s v="H160"/>
    <s v="ULCERA DE LA CORNEA"/>
    <s v="SURA"/>
    <n v="0"/>
    <m/>
    <n v="0"/>
    <n v="42400"/>
    <s v="ASUME LA EPS"/>
    <n v="1272005"/>
    <n v="0"/>
    <n v="42400"/>
  </r>
  <r>
    <x v="6"/>
    <n v="8156170"/>
    <s v="MUÑOZ"/>
    <s v="CASTRILLON "/>
    <s v="INYERMAN"/>
    <s v="ALBERTO"/>
    <s v="VIGILANTE "/>
    <d v="2023-06-25T00:00:00"/>
    <d v="2023-06-26T00:00:00"/>
    <n v="2"/>
    <n v="2"/>
    <s v="NO"/>
    <s v="NO"/>
    <x v="0"/>
    <s v="K573"/>
    <s v="ENFERMEDAD DIVERTICULAR DEL INTESTINO GRUESO SIN PERFORACION NI ABSCESO"/>
    <s v="SURA"/>
    <m/>
    <m/>
    <m/>
    <m/>
    <s v="ASUME LA EPS"/>
    <n v="1272005"/>
    <m/>
    <m/>
  </r>
  <r>
    <x v="6"/>
    <n v="3669363"/>
    <s v="PINO"/>
    <s v="CASTAÑO"/>
    <s v="GUSTAVO"/>
    <s v="DE JESUS"/>
    <s v="VIGILANTE "/>
    <d v="2023-06-26T00:00:00"/>
    <d v="2023-06-30T00:00:00"/>
    <n v="5"/>
    <n v="5"/>
    <s v="SI"/>
    <s v="SI"/>
    <x v="0"/>
    <s v="M173"/>
    <s v="OTRAS GONARTROSIS POSTRAUMATICAS"/>
    <s v="SURA"/>
    <m/>
    <m/>
    <m/>
    <m/>
    <s v="ASUME LA EPS"/>
    <n v="1272005"/>
    <m/>
    <m/>
  </r>
  <r>
    <x v="6"/>
    <n v="98601485"/>
    <s v="SARRAZOLA"/>
    <m/>
    <s v="WILMAR"/>
    <s v="DE JESUS"/>
    <s v="SUPERVISOR "/>
    <d v="2023-06-26T00:00:00"/>
    <d v="2023-06-29T00:00:00"/>
    <n v="4"/>
    <n v="4"/>
    <s v="SI"/>
    <s v="SI"/>
    <x v="0"/>
    <s v="M171"/>
    <s v="OTRAS GONARTROSIS PRIMARIAS"/>
    <s v="SURA"/>
    <m/>
    <d v="2023-06-28T00:00:00"/>
    <d v="2023-07-04T00:00:00"/>
    <n v="154667"/>
    <s v="ASUME LA EPS"/>
    <n v="1272005"/>
    <m/>
    <m/>
  </r>
  <r>
    <x v="6"/>
    <n v="71601851"/>
    <s v="MAZO "/>
    <s v="ELORZA"/>
    <s v="RAMON "/>
    <s v="ANGEL"/>
    <s v="VIGILANTE "/>
    <d v="2023-06-26T00:00:00"/>
    <d v="2023-07-05T00:00:00"/>
    <n v="10"/>
    <n v="5"/>
    <s v="SI"/>
    <s v="SI"/>
    <x v="0"/>
    <s v="M179"/>
    <s v="GONARTROSIS, NO ESPECIFICADA"/>
    <s v="NUEVA EPS"/>
    <m/>
    <m/>
    <m/>
    <m/>
    <s v="ASUME LA EPS"/>
    <n v="1272005"/>
    <m/>
    <m/>
  </r>
  <r>
    <x v="6"/>
    <n v="1128472662"/>
    <s v="MARTINEZ "/>
    <s v="CAÑAS "/>
    <s v="JUAN "/>
    <s v="DAVID"/>
    <s v="DIR. GESTIÓN HUMANA "/>
    <d v="2023-06-26T00:00:00"/>
    <d v="2023-07-03T00:00:00"/>
    <n v="8"/>
    <n v="5"/>
    <s v="NO"/>
    <s v="NO"/>
    <x v="0"/>
    <s v="C73"/>
    <s v="TUMOR MALIGNO DE LA GLANDULA TIROIDES"/>
    <s v="SANITAS "/>
    <m/>
    <d v="2023-07-28T00:00:00"/>
    <d v="2023-08-15T00:00:00"/>
    <n v="320016"/>
    <s v="ASUME LA EPS"/>
    <m/>
    <m/>
    <m/>
  </r>
  <r>
    <x v="6"/>
    <n v="1001473829"/>
    <s v="OROZCO"/>
    <s v="OROZCO"/>
    <s v="JOSE"/>
    <s v="SANTIAGO"/>
    <s v="SUPERVISOR "/>
    <d v="2023-06-27T00:00:00"/>
    <d v="2023-06-28T00:00:00"/>
    <n v="2"/>
    <n v="2"/>
    <s v="NO"/>
    <s v="NO"/>
    <x v="0"/>
    <s v="J030"/>
    <s v="AMIGDALITIS ESTREPTOCOCICA"/>
    <s v="SURA"/>
    <m/>
    <m/>
    <m/>
    <m/>
    <s v="ASUME LA EPS"/>
    <n v="1272005"/>
    <m/>
    <m/>
  </r>
  <r>
    <x v="6"/>
    <n v="8156170"/>
    <s v="MUÑOZ"/>
    <s v="CASTRILLON "/>
    <s v="INYERMAN"/>
    <s v="ALBERTO"/>
    <s v="VIGILANTE "/>
    <d v="2023-06-27T00:00:00"/>
    <d v="2023-07-08T00:00:00"/>
    <n v="12"/>
    <n v="4"/>
    <s v="NO"/>
    <s v="NO"/>
    <x v="0"/>
    <s v="R104"/>
    <s v="OTROS DOLORES ABDOMINALES Y LOS NO ESPECIFICADOS"/>
    <s v="SURA"/>
    <m/>
    <d v="2023-06-30T00:00:00"/>
    <d v="2023-07-07T00:00:00"/>
    <n v="388667"/>
    <s v="ASUME LA EPS"/>
    <n v="1272005"/>
    <m/>
    <m/>
  </r>
  <r>
    <x v="6"/>
    <n v="71676289"/>
    <s v="MARIN"/>
    <s v="CASTRO"/>
    <s v="WILLSON"/>
    <s v="LEON"/>
    <s v="VIGILANTE "/>
    <d v="2023-06-28T00:00:00"/>
    <d v="2023-07-12T00:00:00"/>
    <n v="15"/>
    <n v="3"/>
    <s v="SI"/>
    <s v="SI"/>
    <x v="0"/>
    <s v="S983"/>
    <s v="AMPUTACION TRAUMATICA DE OTRAS PARTES DEL PIE"/>
    <s v="SURA"/>
    <m/>
    <m/>
    <m/>
    <m/>
    <s v="ASUME LA EPS"/>
    <n v="1272005"/>
    <m/>
    <m/>
  </r>
  <r>
    <x v="6"/>
    <n v="98711080"/>
    <s v="ACEVEDO "/>
    <s v="GALLEGO"/>
    <s v="DUVAN "/>
    <s v="GUILLERMO"/>
    <s v="VIGILANTE "/>
    <d v="2023-06-29T00:00:00"/>
    <d v="2023-06-30T00:00:00"/>
    <n v="2"/>
    <n v="2"/>
    <s v="NO"/>
    <s v="NO"/>
    <x v="0"/>
    <s v="N23"/>
    <s v="COLICO RENAL, NO ESPECIFICADO"/>
    <s v="SURA"/>
    <m/>
    <m/>
    <m/>
    <m/>
    <s v="ASUME LA EPS"/>
    <n v="1272005"/>
    <m/>
    <m/>
  </r>
  <r>
    <x v="6"/>
    <n v="71193583"/>
    <s v="GUTIERREZ "/>
    <s v="ZAPATA "/>
    <s v="JUAN "/>
    <s v="CAMILO"/>
    <s v="VIGILANTE "/>
    <d v="2023-06-30T00:00:00"/>
    <d v="2023-07-02T00:00:00"/>
    <n v="3"/>
    <n v="1"/>
    <s v="NO"/>
    <s v="NO"/>
    <x v="0"/>
    <s v="S430"/>
    <s v="LUXACION DE LA ARTICULACION DEL HOMBRO"/>
    <s v="SURA"/>
    <m/>
    <d v="2023-07-06T00:00:00"/>
    <d v="2023-07-04T00:00:00"/>
    <n v="38667"/>
    <s v="ASUME LA EPS"/>
    <n v="1272005"/>
    <m/>
    <m/>
  </r>
  <r>
    <x v="6"/>
    <n v="711935583"/>
    <s v="GUTIERREZ "/>
    <s v="ZAPATA"/>
    <s v="JUAN "/>
    <s v="CAMILO"/>
    <s v="VIGILANTE "/>
    <d v="2023-06-30T00:00:00"/>
    <d v="2023-07-02T00:00:00"/>
    <n v="3"/>
    <n v="1"/>
    <s v="NO"/>
    <s v="NO"/>
    <x v="0"/>
    <s v="M751"/>
    <s v="SINDROME DE MANGUITO ROTATORIO"/>
    <s v="SURA"/>
    <m/>
    <m/>
    <m/>
    <m/>
    <s v="ASUME LA EPS"/>
    <n v="1272005"/>
    <m/>
    <m/>
  </r>
  <r>
    <x v="6"/>
    <n v="98601485"/>
    <s v="SARRAZOLA"/>
    <m/>
    <s v="WILMAR"/>
    <s v="DE JESUS"/>
    <s v="SUPERVISOR "/>
    <d v="2023-06-30T00:00:00"/>
    <d v="2023-07-29T00:00:00"/>
    <n v="30"/>
    <n v="1"/>
    <s v="SI"/>
    <s v="SI"/>
    <x v="0"/>
    <s v="M173"/>
    <s v="OTRAS GONARTROSIS POSTRAUMATICAS"/>
    <s v="SURA"/>
    <m/>
    <d v="2023-07-04T00:00:00"/>
    <d v="2023-07-11T00:00:00"/>
    <n v="1160000"/>
    <s v="ASUME LA EPS"/>
    <n v="1272005"/>
    <m/>
    <m/>
  </r>
  <r>
    <x v="8"/>
    <n v="1003339120"/>
    <s v="ESPEJO "/>
    <s v="PILA"/>
    <s v="JAN "/>
    <s v="CARLOS"/>
    <s v="VIGILANTE "/>
    <d v="2023-07-01T00:00:00"/>
    <d v="2023-07-02T00:00:00"/>
    <n v="2"/>
    <n v="2"/>
    <s v="NO"/>
    <s v="NO"/>
    <x v="0"/>
    <s v="A083"/>
    <s v="OTRAS ENTERITIS VIRALES"/>
    <s v="SURA"/>
    <m/>
    <m/>
    <m/>
    <m/>
    <s v="ASUME LA EPS"/>
    <n v="1272005"/>
    <m/>
    <m/>
  </r>
  <r>
    <x v="8"/>
    <n v="71589781"/>
    <s v="LOTERO "/>
    <s v="OSSA "/>
    <s v="DIEGO "/>
    <s v="ALBERTO "/>
    <s v="VIGILANTE "/>
    <d v="2023-07-01T00:00:00"/>
    <d v="2023-07-15T00:00:00"/>
    <n v="15"/>
    <n v="15"/>
    <s v="NO"/>
    <s v="NO"/>
    <x v="0"/>
    <s v="K402"/>
    <s v="HERNIA INGUINAL BILATERAL, SIN OBSTRUCCION NI GANGRENA"/>
    <s v="SURA"/>
    <m/>
    <m/>
    <m/>
    <m/>
    <s v="ASUME LA EPS"/>
    <n v="1272005"/>
    <m/>
    <m/>
  </r>
  <r>
    <x v="8"/>
    <n v="1035428600"/>
    <s v="OCAMPO "/>
    <s v="PULGARIN "/>
    <s v="DIEGO "/>
    <s v="LEON "/>
    <s v="VIGILANTE "/>
    <d v="2023-07-02T00:00:00"/>
    <d v="2023-07-03T00:00:00"/>
    <n v="2"/>
    <n v="2"/>
    <s v="NO"/>
    <s v="NO"/>
    <x v="0"/>
    <s v="A09"/>
    <s v="DIARREA Y GASTROENTERITIS DE PRESUNTO ORIGEN INFECCIOSO"/>
    <s v="SURA"/>
    <m/>
    <m/>
    <m/>
    <m/>
    <s v="ASUME LA EPS"/>
    <n v="1272005"/>
    <m/>
    <m/>
  </r>
  <r>
    <x v="8"/>
    <n v="1216722370"/>
    <s v="AGUDELO"/>
    <s v="ALVAREZ "/>
    <s v="ROJER"/>
    <s v="ALEJANDRO "/>
    <s v="VIGILANTE "/>
    <d v="2023-07-02T00:00:00"/>
    <d v="2023-07-31T00:00:00"/>
    <n v="30"/>
    <n v="30"/>
    <s v="SI"/>
    <s v="SI"/>
    <x v="0"/>
    <s v="M841"/>
    <s v="FALTA DE CONSOLIDACION DE FRACTURA [SEUDOARTROSIS]"/>
    <s v="SOAT"/>
    <m/>
    <m/>
    <m/>
    <m/>
    <s v="ASUME LA EPS"/>
    <n v="1272005"/>
    <m/>
    <m/>
  </r>
  <r>
    <x v="8"/>
    <n v="1084742743"/>
    <s v="FERNANDEZ "/>
    <s v="MUÑOZ "/>
    <s v="JESUS "/>
    <s v="MIGUEL"/>
    <s v="VIGILANTE "/>
    <d v="2023-07-03T00:00:00"/>
    <d v="2023-07-03T00:00:00"/>
    <n v="1"/>
    <n v="1"/>
    <s v="NO"/>
    <s v="NO"/>
    <x v="1"/>
    <s v="S501"/>
    <s v="CONTUSION DE OTRAS PARTES DEL ANTEBRAZO Y DE LAS NO ESPECIFICADAS"/>
    <s v="SEGUROS BOLIVAR "/>
    <n v="0"/>
    <d v="2023-07-03T00:00:00"/>
    <d v="2023-07-03T00:00:00"/>
    <n v="42400"/>
    <s v="N/A"/>
    <n v="1272005"/>
    <n v="42400"/>
    <n v="0"/>
  </r>
  <r>
    <x v="8"/>
    <n v="1035428600"/>
    <s v="OCAMPO "/>
    <s v="PULGARIN "/>
    <s v="DIEGO "/>
    <s v="LEON "/>
    <s v="VIGILANTE "/>
    <d v="2023-07-04T00:00:00"/>
    <d v="2023-07-05T00:00:00"/>
    <n v="2"/>
    <n v="2"/>
    <s v="NO"/>
    <s v="NO"/>
    <x v="0"/>
    <s v="A689"/>
    <s v="FIEBRE RECURRENTE, NO ESPECIFICADA"/>
    <s v="SURA"/>
    <m/>
    <m/>
    <m/>
    <m/>
    <s v="ASUME LA EPS"/>
    <n v="1272005"/>
    <m/>
    <m/>
  </r>
  <r>
    <x v="8"/>
    <n v="1037269145"/>
    <s v="BERRIO "/>
    <s v="JARAMILLO"/>
    <s v="ROBINSON "/>
    <s v="ADOLFO"/>
    <s v="VIGILANTE "/>
    <d v="2023-07-05T00:00:00"/>
    <d v="2023-07-05T00:00:00"/>
    <n v="1"/>
    <n v="1"/>
    <s v="NO"/>
    <s v="NO"/>
    <x v="0"/>
    <s v="G430"/>
    <s v="MIGRAÑA SIN AURA [MIGRAÑA COMUN]"/>
    <s v="SURA"/>
    <n v="0"/>
    <m/>
    <n v="0"/>
    <n v="42400"/>
    <s v="ASUME LA EPS"/>
    <n v="1272005"/>
    <n v="0"/>
    <n v="42400"/>
  </r>
  <r>
    <x v="8"/>
    <n v="71601851"/>
    <s v="MAZO "/>
    <s v="ELORZA"/>
    <s v="RAMON "/>
    <s v="ANGEL"/>
    <s v="VIGILANTE "/>
    <d v="2023-07-06T00:00:00"/>
    <d v="2023-07-14T00:00:00"/>
    <n v="9"/>
    <n v="9"/>
    <s v="SI"/>
    <s v="SI"/>
    <x v="0"/>
    <s v="M239"/>
    <s v="TRASTORNOS INTERNO DE LA RODILLA, NO ESPECIFICADO"/>
    <s v="NUEVA EPS"/>
    <m/>
    <m/>
    <m/>
    <m/>
    <s v="ASUME LA EPS"/>
    <n v="1272005"/>
    <m/>
    <m/>
  </r>
  <r>
    <x v="8"/>
    <n v="1007446501"/>
    <s v="DAVID"/>
    <s v="VELASQUEZ"/>
    <s v="MATEO"/>
    <m/>
    <s v="VIGILANTE "/>
    <d v="2023-07-07T00:00:00"/>
    <d v="2023-07-09T00:00:00"/>
    <n v="3"/>
    <n v="3"/>
    <s v="NO"/>
    <s v="NO"/>
    <x v="0"/>
    <s v="M705"/>
    <s v="OTRAS BURSITIS DE LA RODILLA"/>
    <s v="SALUD TOTAL "/>
    <m/>
    <d v="2023-07-13T00:00:00"/>
    <d v="2023-07-18T00:00:00"/>
    <n v="38667"/>
    <s v="ASUME LA EPS"/>
    <n v="1272005"/>
    <m/>
    <m/>
  </r>
  <r>
    <x v="8"/>
    <n v="70133821"/>
    <s v="MURILLO"/>
    <s v="ACEVEDO"/>
    <s v="JHON "/>
    <s v="JAIRO"/>
    <s v="VIGILANTE "/>
    <d v="2023-07-07T00:00:00"/>
    <d v="2023-07-11T00:00:00"/>
    <n v="5"/>
    <n v="5"/>
    <s v="NO"/>
    <s v="NO"/>
    <x v="0"/>
    <s v="M602"/>
    <s v="GRANULOMA POR CUERPO EXTRAÑO EN TEJIDO BLANDO, NO CLASIFICADO EN OTRA PARTE"/>
    <s v="SURA"/>
    <m/>
    <d v="2023-07-10T00:00:00"/>
    <d v="2023-08-01T00:00:00"/>
    <n v="116000"/>
    <s v="ASUME LA EPS"/>
    <n v="1272005"/>
    <m/>
    <m/>
  </r>
  <r>
    <x v="8"/>
    <n v="8156170"/>
    <s v="MUÑOZ"/>
    <s v="CASTRILLON "/>
    <s v="INYERMAN"/>
    <s v="ALBERTO"/>
    <s v="VIGILANTE "/>
    <d v="2023-07-09T00:00:00"/>
    <d v="2023-07-13T00:00:00"/>
    <n v="5"/>
    <n v="5"/>
    <s v="SI"/>
    <s v="IS"/>
    <x v="0"/>
    <s v="K573"/>
    <s v="ENFERMEDAD DIVERTICULAR DEL INTESTINO GRUESO SIN PERFORACION NI ABSCESO"/>
    <s v="SURA"/>
    <m/>
    <d v="2023-07-12T00:00:00"/>
    <d v="2023-08-01T00:00:00"/>
    <n v="193333"/>
    <s v="ASUME LA EPS"/>
    <n v="1272005"/>
    <m/>
    <m/>
  </r>
  <r>
    <x v="8"/>
    <n v="3481465"/>
    <s v="LOPERA"/>
    <s v="DURANGO"/>
    <s v="ARTURO"/>
    <s v="DE JESUS "/>
    <s v="VIGILANTE "/>
    <d v="2023-07-10T00:00:00"/>
    <d v="2023-07-29T00:00:00"/>
    <n v="20"/>
    <n v="20"/>
    <s v="SI"/>
    <s v="SI"/>
    <x v="0"/>
    <s v="F010"/>
    <s v="DEMENCIA VASCULAR DE COMIENZO AGUDO"/>
    <s v="SURA"/>
    <m/>
    <m/>
    <m/>
    <m/>
    <s v="ASUME LA EPS"/>
    <n v="1272005"/>
    <m/>
    <m/>
  </r>
  <r>
    <x v="8"/>
    <n v="43918754"/>
    <s v="RODRIGUEZ "/>
    <s v="CASTAÑO"/>
    <s v="LUZ"/>
    <s v="MARY"/>
    <s v="OMT"/>
    <d v="2023-07-10T00:00:00"/>
    <d v="2023-07-11T00:00:00"/>
    <n v="2"/>
    <n v="2"/>
    <s v="NO"/>
    <s v="NO"/>
    <x v="0"/>
    <s v="H813"/>
    <s v="OTROS VERTIGOS PERIFERICOS"/>
    <s v="SALUD TOTAL "/>
    <m/>
    <m/>
    <m/>
    <m/>
    <s v="ASUME LA EPS"/>
    <m/>
    <m/>
    <m/>
  </r>
  <r>
    <x v="4"/>
    <n v="71589781"/>
    <s v="LOTERO "/>
    <s v="OSSA "/>
    <s v="DIEGO "/>
    <s v="ALBERTO"/>
    <s v="VIGILANTE "/>
    <d v="2023-07-10T00:00:00"/>
    <d v="2023-07-22T00:00:00"/>
    <n v="13"/>
    <n v="13"/>
    <s v="NO"/>
    <s v="NO"/>
    <x v="0"/>
    <s v="S431"/>
    <s v="LUXACION DE LA ARTICULACION ACROMIOCLAVICULAR"/>
    <s v="SURA"/>
    <m/>
    <d v="2023-07-15T00:00:00"/>
    <d v="2023-07-21T00:00:00"/>
    <n v="502667"/>
    <s v="ASUME LA EPS"/>
    <n v="1272005"/>
    <m/>
    <m/>
  </r>
  <r>
    <x v="8"/>
    <n v="1037667211"/>
    <s v="PORRAS"/>
    <s v="GALVEZ"/>
    <s v="ANDRES "/>
    <s v="FELIPE"/>
    <s v="VIGILANTE"/>
    <d v="2023-07-10T00:00:00"/>
    <d v="2023-07-14T00:00:00"/>
    <n v="5"/>
    <n v="5"/>
    <s v="NO"/>
    <s v="NO"/>
    <x v="0"/>
    <s v="L600"/>
    <s v="UÑA ENCARNADA"/>
    <s v="NUEVA EPS"/>
    <n v="9335112"/>
    <d v="2023-07-16T00:00:00"/>
    <d v="2023-09-15T00:00:00"/>
    <n v="116000"/>
    <s v="ASUME LA EPS"/>
    <n v="116000"/>
    <m/>
    <m/>
  </r>
  <r>
    <x v="8"/>
    <n v="98525106"/>
    <s v="VELASQUEZ"/>
    <s v="ESPINOSA"/>
    <s v="JHON "/>
    <s v="JAIRO"/>
    <s v="VIGILANTE "/>
    <d v="2023-07-11T00:00:00"/>
    <d v="2023-07-12T00:00:00"/>
    <n v="2"/>
    <n v="2"/>
    <s v="NO"/>
    <s v="NO"/>
    <x v="0"/>
    <s v="A083"/>
    <s v="OTRAS ENTERITIS VIRALES"/>
    <s v="SURA"/>
    <m/>
    <m/>
    <m/>
    <m/>
    <s v="ASUME LA EPS"/>
    <n v="1272005"/>
    <m/>
    <m/>
  </r>
  <r>
    <x v="8"/>
    <n v="70133821"/>
    <s v="MURILLO"/>
    <s v="ACEVEDO"/>
    <s v="JHON "/>
    <s v="JAIRO"/>
    <s v="VIGILANTE "/>
    <d v="2023-07-12T00:00:00"/>
    <d v="2023-07-25T00:00:00"/>
    <n v="14"/>
    <n v="14"/>
    <s v="SI"/>
    <s v="NO"/>
    <x v="0"/>
    <s v="M602"/>
    <s v="GRANULOMA POR CUERPO EXTRAÑO EN TEJIDO BLANDO, NO CLASIFICADO EN OTRA PARTE"/>
    <s v="SURA"/>
    <m/>
    <d v="2023-07-15T00:00:00"/>
    <d v="2023-07-25T00:00:00"/>
    <n v="541333"/>
    <s v="ASUME LA EPS"/>
    <n v="1272005"/>
    <m/>
    <m/>
  </r>
  <r>
    <x v="8"/>
    <n v="15309929"/>
    <s v="GALVIS"/>
    <s v="CASTRO"/>
    <s v="NICOLAS"/>
    <s v="EMIRO"/>
    <s v="VIGILANTE "/>
    <d v="2023-07-12T00:00:00"/>
    <d v="2023-07-26T00:00:00"/>
    <n v="15"/>
    <n v="15"/>
    <s v="SI"/>
    <s v="SI"/>
    <x v="0"/>
    <s v="S832"/>
    <s v="DESGARRO DE MENISCOS, PRESENTE"/>
    <s v="SURA"/>
    <m/>
    <m/>
    <m/>
    <m/>
    <s v="ASUME LA EPS"/>
    <n v="1272005"/>
    <m/>
    <m/>
  </r>
  <r>
    <x v="8"/>
    <n v="71686928"/>
    <s v="RIOS "/>
    <s v="ESTRADA "/>
    <s v="NESTOR "/>
    <s v="RAUL"/>
    <s v="VIGILANTE "/>
    <d v="2023-07-12T00:00:00"/>
    <d v="2023-08-10T00:00:00"/>
    <n v="30"/>
    <n v="30"/>
    <s v="SI"/>
    <s v="SI"/>
    <x v="0"/>
    <s v="S821"/>
    <s v="FRACTURA DE LA EPIFISIS SUPERIOR DE LA TIBIA"/>
    <s v="SOAT"/>
    <m/>
    <d v="2023-08-31T00:00:00"/>
    <d v="2023-09-05T00:00:00"/>
    <n v="1160000"/>
    <s v="ASUME LA EPS"/>
    <n v="1272005"/>
    <m/>
    <m/>
  </r>
  <r>
    <x v="8"/>
    <n v="71676289"/>
    <s v="MARIN "/>
    <s v="CASTRO"/>
    <s v="WILLSON"/>
    <s v="LEON"/>
    <s v="VIGILANTE "/>
    <d v="2023-07-13T00:00:00"/>
    <d v="2023-07-27T00:00:00"/>
    <n v="15"/>
    <n v="15"/>
    <s v="SI"/>
    <s v="SI"/>
    <x v="0"/>
    <s v="S983"/>
    <s v="AMPUTACION TRAUMATICA DE OTRAS PARTES DEL PIE"/>
    <s v="SURA"/>
    <m/>
    <m/>
    <m/>
    <m/>
    <s v="ASUME LA EPS"/>
    <n v="1272005"/>
    <m/>
    <m/>
  </r>
  <r>
    <x v="8"/>
    <n v="1037583233"/>
    <s v="CASTRILLON"/>
    <s v="GARCIA "/>
    <s v="SERGIO "/>
    <s v="ANDRES"/>
    <s v="VIGILANTE "/>
    <d v="2023-07-14T00:00:00"/>
    <d v="2023-07-17T00:00:00"/>
    <n v="3"/>
    <n v="3"/>
    <s v="NO"/>
    <s v="NO"/>
    <x v="0"/>
    <s v="M232"/>
    <s v="TRASTORNO DEL MENISCO DEBIDO A DESGARRO O LESION ANTIGUA"/>
    <s v="ARL BOLIVAR"/>
    <n v="6882768"/>
    <d v="2023-07-27T00:00:00"/>
    <d v="2023-08-15T00:00:00"/>
    <n v="142464"/>
    <s v="ASUME LA EPS"/>
    <m/>
    <m/>
    <m/>
  </r>
  <r>
    <x v="8"/>
    <n v="1003535677"/>
    <s v="MONTOYS"/>
    <s v="ARIAS"/>
    <s v="CARLOS"/>
    <s v="ANDRES"/>
    <s v="VIGILANTE "/>
    <d v="2023-07-14T00:00:00"/>
    <d v="2023-07-20T00:00:00"/>
    <n v="5"/>
    <n v="5"/>
    <s v="NO"/>
    <s v="NO"/>
    <x v="0"/>
    <s v="Z769"/>
    <s v="PERSONA EN CONTACTO CON LOS SERVICIOS DE SALUD EN CIRCUNSTANCIAS NO ESPECIFICADAS"/>
    <s v="SALUD TOTAL "/>
    <m/>
    <d v="2023-07-22T00:00:00"/>
    <d v="2023-08-25T00:00:00"/>
    <n v="193000"/>
    <s v="ASUME LA EPS"/>
    <m/>
    <m/>
    <m/>
  </r>
  <r>
    <x v="5"/>
    <n v="8156170"/>
    <s v="MUÑOZ"/>
    <s v="CASTRILLON "/>
    <s v="INYERMAN"/>
    <s v="ALBERTO"/>
    <s v="VIGILANTE "/>
    <d v="2023-07-15T00:00:00"/>
    <d v="2023-07-17T00:00:00"/>
    <n v="3"/>
    <n v="3"/>
    <s v="NO"/>
    <s v="NO"/>
    <x v="0"/>
    <s v="B269"/>
    <s v="PAROTIDITIS, SIN COMPLICACIONES"/>
    <s v="SURA"/>
    <m/>
    <d v="2023-07-17T00:00:00"/>
    <d v="2023-07-27T00:00:00"/>
    <n v="38667"/>
    <s v="ASUME LA EPS"/>
    <n v="1272005"/>
    <m/>
    <m/>
  </r>
  <r>
    <x v="8"/>
    <n v="17648535"/>
    <s v="VARGAS"/>
    <s v="VARGAS"/>
    <s v="LUIS"/>
    <s v="ANTONIO"/>
    <s v="VIGILANTE "/>
    <d v="2023-07-15T00:00:00"/>
    <d v="2023-07-31T00:00:00"/>
    <n v="17"/>
    <n v="17"/>
    <s v="NO"/>
    <s v="NO"/>
    <x v="0"/>
    <s v="M235"/>
    <s v="INESTABILIDAD CRONICA DE LA RODILLA"/>
    <s v="SURA"/>
    <m/>
    <d v="2023-07-18T00:00:00"/>
    <d v="2023-07-25T00:00:00"/>
    <n v="696000"/>
    <s v="ASUME LA EPS"/>
    <n v="1272005"/>
    <m/>
    <m/>
  </r>
  <r>
    <x v="8"/>
    <n v="43117538"/>
    <s v="RUIZ"/>
    <s v="RAMIREZ"/>
    <s v="GLORIA "/>
    <s v="CECILIA"/>
    <s v="VIGILANTE "/>
    <d v="2023-07-15T00:00:00"/>
    <d v="2023-07-17T00:00:00"/>
    <n v="3"/>
    <n v="3"/>
    <s v="NO"/>
    <s v="NO"/>
    <x v="0"/>
    <s v="Z769"/>
    <s v="PERSONA EN CONTACTO CON LOS SERVICIOS DE SALUD EN CIRCUNSTANCIAS NO ESPECIFICADAS"/>
    <s v="SURA"/>
    <m/>
    <d v="2023-07-22T00:00:00"/>
    <d v="2023-08-08T00:00:00"/>
    <n v="38667"/>
    <s v="ASUME LA EPS"/>
    <n v="1272005"/>
    <m/>
    <m/>
  </r>
  <r>
    <x v="8"/>
    <n v="1036622798"/>
    <s v="BETANCUR "/>
    <s v="GIL "/>
    <s v="DUVIAN "/>
    <s v="YHOBANNY"/>
    <s v="VIGILANTE "/>
    <d v="2023-07-17T00:00:00"/>
    <d v="2023-08-15T00:00:00"/>
    <n v="30"/>
    <n v="30"/>
    <s v="SI"/>
    <s v="SI"/>
    <x v="0"/>
    <s v="S823"/>
    <s v="FRACTURA DE LA EPIFISIS INFERIOR DE LA TIBIA"/>
    <s v="SURA"/>
    <m/>
    <m/>
    <m/>
    <m/>
    <s v="ASUME LA EPS"/>
    <n v="1272005"/>
    <m/>
    <m/>
  </r>
  <r>
    <x v="5"/>
    <n v="8156170"/>
    <s v="MUÑOZ"/>
    <s v="CASTRILLON "/>
    <s v="INYERMAN"/>
    <s v="ALBERTO"/>
    <s v="VIGILANTE "/>
    <d v="2023-07-18T00:00:00"/>
    <d v="2023-07-20T00:00:00"/>
    <n v="3"/>
    <n v="3"/>
    <s v="NO"/>
    <s v="NO"/>
    <x v="0"/>
    <s v="B269"/>
    <s v="PAROTIDITIS, SIN COMPLICACIONES"/>
    <s v="SURA"/>
    <m/>
    <d v="2023-07-20T00:00:00"/>
    <d v="2023-07-27T00:00:00"/>
    <n v="38667"/>
    <s v="ASUME LA EPS"/>
    <n v="1272005"/>
    <m/>
    <m/>
  </r>
  <r>
    <x v="7"/>
    <n v="1216713788"/>
    <s v="HENAO"/>
    <s v="RINCON"/>
    <s v="ANDRES "/>
    <s v="MAURICIO"/>
    <s v="VIGILANTE "/>
    <d v="2023-07-19T00:00:00"/>
    <d v="2023-08-02T00:00:00"/>
    <n v="15"/>
    <n v="15"/>
    <s v="SI"/>
    <s v="NO"/>
    <x v="1"/>
    <s v="S835"/>
    <s v="ESGUINCES Y TORCEDURAS QUE COMPROMETEN EL LIGAMENTO CRUZADO (ANTERIOR) (POSTERIOR) DE LA RODILLA"/>
    <s v="ARL BOLIVAR"/>
    <m/>
    <d v="2023-12-14T00:00:00"/>
    <m/>
    <m/>
    <s v="ASUME LA EPS"/>
    <m/>
    <m/>
    <m/>
  </r>
  <r>
    <x v="8"/>
    <n v="1216713788"/>
    <s v="HENAO"/>
    <s v="RINCON"/>
    <s v="ANDRES"/>
    <s v="MAURICIO"/>
    <s v="VIGILANTE"/>
    <d v="2023-07-19T00:00:00"/>
    <d v="2023-08-02T00:00:00"/>
    <n v="15"/>
    <n v="15"/>
    <s v="SI"/>
    <s v="NO"/>
    <x v="0"/>
    <s v="S800"/>
    <s v="CONTUSION DE LA RODILLA"/>
    <s v="ARL BOLIVAR"/>
    <n v="30543180"/>
    <d v="2023-12-14T00:00:00"/>
    <m/>
    <m/>
    <m/>
    <m/>
    <m/>
    <m/>
  </r>
  <r>
    <x v="8"/>
    <n v="71651935"/>
    <s v="CARDONA "/>
    <s v="RODRIGUEZ"/>
    <s v="JUAN "/>
    <s v="CARLOS"/>
    <s v="VIGILANTE "/>
    <d v="2023-07-20T00:00:00"/>
    <d v="2023-08-18T00:00:00"/>
    <n v="30"/>
    <n v="30"/>
    <s v="SI"/>
    <s v="SI"/>
    <x v="0"/>
    <s v="C20"/>
    <s v="TUMOR MALIGNO DEL RECTO"/>
    <s v="SALUD TOTAL "/>
    <m/>
    <m/>
    <m/>
    <m/>
    <s v="ASUME LA EPS"/>
    <n v="1272005"/>
    <m/>
    <m/>
  </r>
  <r>
    <x v="5"/>
    <n v="8156170"/>
    <s v="MUÑOZ"/>
    <s v="CASTRILLON "/>
    <s v="INYERMAN"/>
    <s v="ALBERTO"/>
    <s v="VIGILANTE "/>
    <d v="2023-07-21T00:00:00"/>
    <d v="2023-07-24T00:00:00"/>
    <n v="4"/>
    <n v="4"/>
    <s v="NO"/>
    <s v="NO"/>
    <x v="0"/>
    <s v="B269"/>
    <s v="PAROTIDITIS, SIN COMPLICACIONES"/>
    <s v="SURA"/>
    <m/>
    <d v="2023-07-25T00:00:00"/>
    <d v="2023-07-27T00:00:00"/>
    <n v="154667"/>
    <s v="ASUME LA EPS"/>
    <n v="1272005"/>
    <m/>
    <m/>
  </r>
  <r>
    <x v="8"/>
    <n v="1067892509"/>
    <s v="AGUDELO "/>
    <s v="ARROYAVE"/>
    <s v="JHOJAN "/>
    <s v="RENE "/>
    <s v="SUPERVISOR "/>
    <d v="2023-07-22T00:00:00"/>
    <d v="2023-08-20T00:00:00"/>
    <n v="30"/>
    <n v="30"/>
    <s v="SI"/>
    <s v="SI"/>
    <x v="1"/>
    <s v="S821"/>
    <s v="FRACTURA DE LA EPIFISIS SUPERIOR DE LA TIBIA"/>
    <s v="SEGUROS BOLIVAR "/>
    <n v="6905829"/>
    <d v="2023-08-16T00:00:00"/>
    <d v="2023-08-30T00:00:00"/>
    <n v="1424645"/>
    <s v="ASUME LA ARL"/>
    <n v="1272005"/>
    <m/>
    <m/>
  </r>
  <r>
    <x v="8"/>
    <n v="71664318"/>
    <s v="MANRIQUE"/>
    <s v="GUZMAN"/>
    <s v="JUAN "/>
    <s v="CARLOS"/>
    <s v="VIGILANTE "/>
    <d v="2023-07-25T00:00:00"/>
    <d v="2023-08-23T00:00:00"/>
    <n v="30"/>
    <n v="30"/>
    <s v="NO"/>
    <s v="NO"/>
    <x v="0"/>
    <s v="K819"/>
    <s v="COLECISTITIS, NO ESPECIFICADA"/>
    <s v="SURA"/>
    <m/>
    <d v="2023-08-14T00:00:00"/>
    <d v="2023-08-31T00:00:00"/>
    <n v="1082667"/>
    <s v="ASUME LA EPS"/>
    <n v="1272005"/>
    <m/>
    <m/>
  </r>
  <r>
    <x v="8"/>
    <n v="15509928"/>
    <s v="CANO "/>
    <s v="CASTRO "/>
    <s v="JAIME"/>
    <s v="HUMBERTO"/>
    <s v="VIGILANTE "/>
    <d v="2023-07-25T00:00:00"/>
    <d v="2023-07-26T00:00:00"/>
    <n v="2"/>
    <n v="2"/>
    <s v="NO"/>
    <s v="NO"/>
    <x v="0"/>
    <s v="J00X"/>
    <s v="RINOFARINGITIS AGUDA (RESFRIADO COMUN)"/>
    <s v="SURA"/>
    <m/>
    <m/>
    <m/>
    <m/>
    <s v="ASUME LA EPS"/>
    <n v="1272005"/>
    <m/>
    <m/>
  </r>
  <r>
    <x v="8"/>
    <n v="1001379162"/>
    <s v="ZEA"/>
    <s v="ZEA"/>
    <s v="ALEXANDER"/>
    <m/>
    <s v="VIGILANTE "/>
    <d v="2023-07-26T00:00:00"/>
    <d v="2023-08-09T00:00:00"/>
    <n v="13"/>
    <n v="13"/>
    <s v="SI"/>
    <s v="NO"/>
    <x v="0"/>
    <s v="M206"/>
    <s v="DEFORMIDADES ADQUIRIDAS DE LOS DEDOS DEL PIE, NO ESPECIFICADAS"/>
    <s v="SALUD TOTAL "/>
    <s v="P12920229"/>
    <d v="2023-08-10T00:00:00"/>
    <d v="2023-09-05T00:00:00"/>
    <n v="502667"/>
    <s v="ASUME LA EPS"/>
    <m/>
    <m/>
    <m/>
  </r>
  <r>
    <x v="8"/>
    <n v="15509928"/>
    <s v="CANO "/>
    <s v="CASTRO "/>
    <s v="JAIME"/>
    <s v="HUMBERTO"/>
    <s v="VIGILANTE "/>
    <d v="2023-07-27T00:00:00"/>
    <d v="2023-07-29T00:00:00"/>
    <n v="3"/>
    <n v="3"/>
    <s v="SI"/>
    <s v="NO"/>
    <x v="0"/>
    <s v="J189"/>
    <s v="NEUMONIA, NO ESPECIFICADA"/>
    <s v="SURA"/>
    <m/>
    <d v="2023-07-30T00:00:00"/>
    <d v="2023-08-24T00:00:00"/>
    <n v="116000"/>
    <s v="ASUME LA EPS"/>
    <n v="1272005"/>
    <m/>
    <m/>
  </r>
  <r>
    <x v="8"/>
    <n v="1027946541"/>
    <s v="AGUDELO"/>
    <s v="MARTINEZ"/>
    <s v="JORGE "/>
    <s v="ANDRES"/>
    <s v="VIGILANTE "/>
    <d v="2023-07-27T00:00:00"/>
    <d v="2023-07-29T00:00:00"/>
    <n v="3"/>
    <n v="3"/>
    <s v="NO"/>
    <s v="NO"/>
    <x v="0"/>
    <s v="M545"/>
    <s v="LUMBAGO NO ESPECIFICADO"/>
    <s v="SURA"/>
    <m/>
    <d v="2023-08-01T00:00:00"/>
    <d v="2023-08-01T00:00:00"/>
    <n v="38667"/>
    <s v="ASUME LA EPS"/>
    <n v="1272005"/>
    <m/>
    <m/>
  </r>
  <r>
    <x v="5"/>
    <n v="8364054"/>
    <s v="GUTIERREZ"/>
    <s v="BARON"/>
    <s v="FRANCISCO "/>
    <s v="MANUEL"/>
    <s v="VIGILANTE "/>
    <d v="2023-07-28T00:00:00"/>
    <d v="2023-08-24T00:00:00"/>
    <n v="28"/>
    <n v="3"/>
    <s v="NO"/>
    <s v="NO"/>
    <x v="0"/>
    <s v="S635"/>
    <s v="ESGUINCES Y TORCEDURAS DE LA MUÑECA"/>
    <s v="SURA"/>
    <m/>
    <d v="2023-05-27T00:00:00"/>
    <d v="2023-08-31T00:00:00"/>
    <n v="116000"/>
    <s v="ASUME LA EPS"/>
    <n v="1272005"/>
    <m/>
    <m/>
  </r>
  <r>
    <x v="8"/>
    <n v="8364054"/>
    <s v="GUTIERREZ "/>
    <s v="BARON "/>
    <s v="FRANCISCO "/>
    <s v="MANUEL"/>
    <s v="VIGILANTE "/>
    <d v="2023-07-28T00:00:00"/>
    <d v="2023-08-01T00:00:00"/>
    <n v="5"/>
    <n v="5"/>
    <s v="NO"/>
    <s v="NO"/>
    <x v="0"/>
    <s v="S022"/>
    <s v="FRACTURA DE LOS HUESOS DE LA NARIZ"/>
    <s v="SOAT"/>
    <m/>
    <d v="2023-08-14T00:00:00"/>
    <d v="2023-08-31T00:00:00"/>
    <n v="116000"/>
    <s v="ASUME LA EPS"/>
    <n v="1272005"/>
    <m/>
    <m/>
  </r>
  <r>
    <x v="8"/>
    <n v="1033340803"/>
    <s v="CARVAJAL "/>
    <s v="CHACON "/>
    <s v="JONATHAN "/>
    <m/>
    <s v="VIGILANTE "/>
    <d v="2023-07-29T00:00:00"/>
    <d v="2023-08-03T00:00:00"/>
    <n v="6"/>
    <n v="6"/>
    <s v="NO"/>
    <s v="NO"/>
    <x v="0"/>
    <s v="N201"/>
    <s v="CALCULO DEL URETER"/>
    <s v="SALUD TOTAL "/>
    <m/>
    <n v="6695112"/>
    <d v="2023-08-23T00:00:00"/>
    <n v="154668"/>
    <s v="ASUME LA EPS"/>
    <n v="1272005"/>
    <m/>
    <m/>
  </r>
  <r>
    <x v="8"/>
    <n v="3481465"/>
    <s v="LOPERA "/>
    <s v="DURANGO "/>
    <s v="ARTURO "/>
    <s v="DE JESUS "/>
    <s v="VIGILANTE "/>
    <d v="2023-07-30T00:00:00"/>
    <d v="2023-08-28T00:00:00"/>
    <n v="30"/>
    <n v="30"/>
    <s v="SI"/>
    <s v="SI"/>
    <x v="0"/>
    <s v="F010"/>
    <s v="DEMENCIA VASCULAR DE COMIENZO AGUDO"/>
    <s v="SURA "/>
    <m/>
    <m/>
    <m/>
    <m/>
    <s v="ASUME LA EPS"/>
    <n v="1272005"/>
    <m/>
    <m/>
  </r>
  <r>
    <x v="8"/>
    <n v="1073809676"/>
    <s v="FRANCO "/>
    <s v="TAPIA "/>
    <s v="FABIO "/>
    <m/>
    <s v="VIGILANTE "/>
    <d v="2023-07-31T00:00:00"/>
    <d v="2023-07-31T00:00:00"/>
    <n v="1"/>
    <n v="1"/>
    <s v="NO"/>
    <s v="NO"/>
    <x v="0"/>
    <s v="J00X"/>
    <s v="RINOFARINGITIS AGUDA (RESFRIADO COMUN)"/>
    <s v="NUEVA EPS"/>
    <n v="0"/>
    <m/>
    <n v="0"/>
    <n v="42400"/>
    <s v="ASUME LA EMPRESA "/>
    <n v="1272005"/>
    <n v="0"/>
    <n v="42400"/>
  </r>
  <r>
    <x v="4"/>
    <n v="3669363"/>
    <s v="PINO"/>
    <s v="CASTAÑO "/>
    <s v="GUSTAVO "/>
    <s v="DE JESUS "/>
    <s v="VIGILANTE "/>
    <d v="2023-08-01T00:00:00"/>
    <d v="2023-08-01T00:00:00"/>
    <n v="1"/>
    <n v="1"/>
    <s v="NO"/>
    <s v="NO"/>
    <x v="0"/>
    <s v="M173"/>
    <s v="OTRAS GONARTROSIS POSTRAUMATICAS"/>
    <s v="SURA"/>
    <n v="0"/>
    <m/>
    <n v="0"/>
    <n v="42400"/>
    <s v="ASUME LA EPS"/>
    <n v="1272005"/>
    <n v="0"/>
    <n v="42400"/>
  </r>
  <r>
    <x v="4"/>
    <n v="71711638"/>
    <s v="VASQUEZ "/>
    <s v="ROMAN "/>
    <s v="NEISON "/>
    <s v="ALBEIRO"/>
    <s v="VIGILANTE "/>
    <d v="2023-08-01T00:00:00"/>
    <d v="2023-08-02T00:00:00"/>
    <n v="2"/>
    <n v="2"/>
    <s v="NO"/>
    <s v="NO"/>
    <x v="0"/>
    <s v="L021"/>
    <s v="ABSCESO CUTANEO, FURUNCULO Y ANTRAX DE LA CUELLO"/>
    <s v="SALUD TOTAL "/>
    <m/>
    <m/>
    <m/>
    <m/>
    <s v="ASUME LA EPS"/>
    <m/>
    <m/>
    <m/>
  </r>
  <r>
    <x v="4"/>
    <n v="1216722370"/>
    <s v="AGUDELO "/>
    <s v="ALVAREZ "/>
    <s v="ROJER "/>
    <s v="ALEJANDRO "/>
    <s v="VIGILANTE "/>
    <d v="2023-08-01T00:00:00"/>
    <d v="2023-08-30T00:00:00"/>
    <n v="30"/>
    <n v="30"/>
    <s v="SI"/>
    <s v="SI"/>
    <x v="0"/>
    <s v="Z988"/>
    <s v="OTROS ESTADOS POSTQUIRURGICOS ESPECIFICADOS"/>
    <s v="SOAT"/>
    <m/>
    <m/>
    <m/>
    <m/>
    <s v="ASUME LA EPS"/>
    <n v="1272005"/>
    <m/>
    <m/>
  </r>
  <r>
    <x v="4"/>
    <n v="15509928"/>
    <s v="CANO "/>
    <s v="CASTRO "/>
    <s v="JAIME"/>
    <s v="HUMBERTO"/>
    <s v="VIGILANTE "/>
    <d v="2023-08-01T00:00:00"/>
    <d v="2023-08-08T00:00:00"/>
    <n v="8"/>
    <n v="8"/>
    <s v="SI"/>
    <s v="NO"/>
    <x v="0"/>
    <s v="J189"/>
    <s v="NEUMONIA, NO ESPECIFICADA"/>
    <s v="SURA"/>
    <m/>
    <m/>
    <m/>
    <m/>
    <s v="ASUME LA EPS"/>
    <n v="1272005"/>
    <m/>
    <m/>
  </r>
  <r>
    <x v="4"/>
    <n v="3669363"/>
    <s v="PINO"/>
    <s v="CASTAÑO "/>
    <s v="GUSTAVO "/>
    <s v="DE JESUS "/>
    <s v="VIGILANTE "/>
    <d v="2023-08-02T00:00:00"/>
    <d v="2023-08-04T00:00:00"/>
    <n v="3"/>
    <n v="3"/>
    <s v="SI"/>
    <s v="NO"/>
    <x v="0"/>
    <s v="M173"/>
    <s v="OTRAS GONARTROSIS POSTRAUMATICAS"/>
    <s v="SURA"/>
    <m/>
    <m/>
    <m/>
    <m/>
    <s v="ASUME LA EPS"/>
    <n v="1272005"/>
    <m/>
    <m/>
  </r>
  <r>
    <x v="4"/>
    <n v="1216713788"/>
    <s v="HENAO"/>
    <s v="RINCON"/>
    <s v="ANDRES "/>
    <s v="MAURICIO"/>
    <s v="VIGILANTE "/>
    <d v="2023-08-02T00:00:00"/>
    <d v="2023-08-31T00:00:00"/>
    <n v="30"/>
    <n v="30"/>
    <s v="SI"/>
    <s v="SI"/>
    <x v="1"/>
    <s v="M236"/>
    <s v="OTRA RUPTURA ESPONTANEA DEL (DE LOS) LIGAMENTO(S) DE LA RODILLA"/>
    <s v="SEGUROS BOLIVAR "/>
    <n v="6911595"/>
    <d v="2023-08-23T00:00:00"/>
    <d v="2023-08-31T00:00:00"/>
    <n v="1426646"/>
    <s v="ASUME LA EPS"/>
    <n v="1272005"/>
    <m/>
    <m/>
  </r>
  <r>
    <x v="4"/>
    <n v="1003077030"/>
    <s v="SAEZ"/>
    <s v="FABRA"/>
    <s v="CAMILO"/>
    <s v="ANDRES"/>
    <s v="VIGILANTE "/>
    <d v="2023-08-04T00:00:00"/>
    <d v="2023-08-06T00:00:00"/>
    <n v="3"/>
    <n v="3"/>
    <s v="NO"/>
    <s v="NO"/>
    <x v="1"/>
    <s v="T158"/>
    <s v="CUERPO EXTRAÑO EN OTRAS Y EN MULTIPLES PARTES DE LA PARTE EXTERNA DEL OJO"/>
    <s v="SEGUROS BOLIVAR "/>
    <m/>
    <d v="2023-08-14T00:00:00"/>
    <d v="2023-08-31T00:00:00"/>
    <n v="94476"/>
    <s v="ASUME LA EPS"/>
    <n v="1272005"/>
    <m/>
    <m/>
  </r>
  <r>
    <x v="4"/>
    <n v="1013556087"/>
    <s v="PALACIO"/>
    <s v="CARDONA"/>
    <s v="JAVIER"/>
    <s v="ANTONIO"/>
    <s v="VIGILANTE "/>
    <d v="2023-08-05T00:00:00"/>
    <d v="2023-08-18T00:00:00"/>
    <n v="2"/>
    <n v="2"/>
    <s v="NO"/>
    <s v="NO"/>
    <x v="0"/>
    <s v="O800"/>
    <s v="PARTO UNICO ESPONTANEO, PRESENTACION CEFALICA DE VERTICE"/>
    <s v="SURA "/>
    <m/>
    <m/>
    <m/>
    <m/>
    <s v="ASUME LA EPS"/>
    <n v="1272005"/>
    <m/>
    <m/>
  </r>
  <r>
    <x v="4"/>
    <n v="1035422013"/>
    <s v="GARCIA"/>
    <s v="ROJAS"/>
    <s v="OSWALDO"/>
    <s v="ALEXANDER"/>
    <s v="VIGILANTE "/>
    <d v="2023-08-06T00:00:00"/>
    <d v="2023-08-26T00:00:00"/>
    <n v="21"/>
    <n v="21"/>
    <s v="NO"/>
    <s v="NO"/>
    <x v="0"/>
    <s v="S430"/>
    <s v="LUXACION DE LA ARTICULACION DEL HOMBRO"/>
    <s v="SALUD TOTAL "/>
    <m/>
    <d v="2023-08-27T00:00:00"/>
    <d v="2023-09-08T00:00:00"/>
    <n v="734667"/>
    <s v="ASUME LA EPS"/>
    <n v="1272005"/>
    <m/>
    <m/>
  </r>
  <r>
    <x v="4"/>
    <n v="71393606"/>
    <s v="CARDONA "/>
    <s v="BOTERO"/>
    <s v="OSCAR "/>
    <s v="MAURICIO"/>
    <s v="VIGILANTE "/>
    <d v="2023-08-08T00:00:00"/>
    <d v="2023-08-09T00:00:00"/>
    <n v="2"/>
    <n v="2"/>
    <s v="NO"/>
    <s v="NO"/>
    <x v="0"/>
    <s v="A083"/>
    <s v="OTRAS ENTERITIS VIRALES"/>
    <s v="SURA"/>
    <m/>
    <m/>
    <m/>
    <m/>
    <s v="ASUME LA EPS"/>
    <n v="1272005"/>
    <m/>
    <m/>
  </r>
  <r>
    <x v="4"/>
    <n v="1000633959"/>
    <s v="ACEVEDO "/>
    <s v="GONZALEZ "/>
    <s v="ANDRES "/>
    <s v="FELIPE"/>
    <s v="VIGILANTE "/>
    <d v="2023-08-08T00:00:00"/>
    <d v="2023-08-08T00:00:00"/>
    <n v="1"/>
    <n v="1"/>
    <s v="NO"/>
    <s v="NO"/>
    <x v="0"/>
    <s v="K529"/>
    <s v="COLITIS Y GASTROENTERITIS NO INFECCIOSAS, NO ESPECIFICADAS"/>
    <s v="NUEVA EPS"/>
    <n v="0"/>
    <m/>
    <n v="0"/>
    <n v="42400"/>
    <s v="ASUME LA EMPRESA "/>
    <n v="1272005"/>
    <n v="0"/>
    <n v="42400"/>
  </r>
  <r>
    <x v="4"/>
    <n v="71601851"/>
    <s v="MAZO "/>
    <s v="ELORZA"/>
    <s v="RAMON "/>
    <s v="ANGEL"/>
    <s v="VIGILANTE "/>
    <d v="2023-08-08T00:00:00"/>
    <d v="2023-08-22T00:00:00"/>
    <n v="15"/>
    <n v="15"/>
    <s v="SI"/>
    <s v="SI"/>
    <x v="0"/>
    <s v="M239"/>
    <s v="TRASTORNOS INTERNO DE LA RODILLA, NO ESPECIFICADO"/>
    <s v="NUEVA EPS"/>
    <m/>
    <m/>
    <m/>
    <m/>
    <s v="ASUME LA EPS"/>
    <n v="1272005"/>
    <m/>
    <m/>
  </r>
  <r>
    <x v="4"/>
    <n v="1035421360"/>
    <s v="ROJAS "/>
    <s v="TRUJILLO"/>
    <s v="SINDERMAN "/>
    <s v="AGDENEVETH"/>
    <s v="VIGILANTE "/>
    <d v="2023-08-09T00:00:00"/>
    <d v="2023-08-09T00:00:00"/>
    <n v="1"/>
    <n v="1"/>
    <s v="NO"/>
    <s v="NO"/>
    <x v="0"/>
    <s v="A09"/>
    <s v="DIARREA Y GASTROENTERITIS DE PRESUNTO ORIGEN INFECCIOSO"/>
    <s v="NUEVA EPS"/>
    <n v="0"/>
    <m/>
    <n v="0"/>
    <n v="42400"/>
    <s v="ASUME LA EMPRESA "/>
    <n v="1272005"/>
    <n v="0"/>
    <n v="42400"/>
  </r>
  <r>
    <x v="4"/>
    <n v="1041267977"/>
    <s v="QUINTERO "/>
    <s v="CARDONA "/>
    <s v="MARIO "/>
    <s v="FIDEL"/>
    <s v="VIGILANTE "/>
    <d v="2023-08-09T00:00:00"/>
    <d v="2023-08-13T00:00:00"/>
    <n v="5"/>
    <n v="5"/>
    <s v="NO"/>
    <s v="NO"/>
    <x v="0"/>
    <s v="S800"/>
    <s v="CONTUSION DE LA RODILLA"/>
    <s v="SURA"/>
    <m/>
    <d v="2023-08-12T00:00:00"/>
    <d v="2023-08-24T00:00:00"/>
    <n v="116000"/>
    <s v="ASUME LA EPS"/>
    <n v="1272005"/>
    <m/>
    <m/>
  </r>
  <r>
    <x v="4"/>
    <n v="1003205624"/>
    <s v="URANGO"/>
    <s v="GUERRA "/>
    <s v="JORGE "/>
    <s v="ANDRES"/>
    <s v="VIGILANTE "/>
    <d v="2023-08-11T00:00:00"/>
    <d v="2023-08-31T00:00:00"/>
    <n v="21"/>
    <n v="21"/>
    <s v="NO"/>
    <s v="NO"/>
    <x v="0"/>
    <s v="G575"/>
    <s v="SINDROME DEL TUNEL CALCANEO"/>
    <s v="SALUD TOTAL "/>
    <m/>
    <d v="2023-09-05T00:00:00"/>
    <d v="2023-09-20T00:00:00"/>
    <n v="502671"/>
    <s v="ASUME LA EPS"/>
    <n v="1272005"/>
    <m/>
    <m/>
  </r>
  <r>
    <x v="4"/>
    <n v="1082979432"/>
    <s v="ESTRADA"/>
    <s v="GONZALEZ "/>
    <s v="YAIR"/>
    <s v="EMIRO"/>
    <s v="VIGILANTE "/>
    <d v="2023-08-11T00:00:00"/>
    <d v="2023-08-12T00:00:00"/>
    <n v="2"/>
    <n v="2"/>
    <s v="NO"/>
    <s v="NO"/>
    <x v="0"/>
    <s v="A083"/>
    <s v="OTRAS ENTERITIS VIRALES"/>
    <s v="SALUD TOTAL "/>
    <m/>
    <m/>
    <m/>
    <m/>
    <s v="ASUME LA EPS"/>
    <m/>
    <m/>
    <m/>
  </r>
  <r>
    <x v="4"/>
    <n v="1096187435"/>
    <s v="FUENTES "/>
    <s v="GONZALEZ "/>
    <s v="DIANA "/>
    <s v="PATRICIA"/>
    <s v="VIGILANTE "/>
    <d v="2023-08-11T00:00:00"/>
    <d v="2023-08-15T00:00:00"/>
    <n v="5"/>
    <n v="5"/>
    <s v="NO"/>
    <s v="NO"/>
    <x v="0"/>
    <s v="F408"/>
    <s v="OTROS TRASTORNOS FOBICOS DE ANSIEDAD"/>
    <s v="SANITAS "/>
    <m/>
    <m/>
    <m/>
    <m/>
    <s v="ASUME LA EPS"/>
    <n v="1272005"/>
    <m/>
    <m/>
  </r>
  <r>
    <x v="4"/>
    <n v="71703181"/>
    <s v="GAMBOA "/>
    <s v="GIL "/>
    <s v="GUILLERMO"/>
    <m/>
    <s v="VIGILANTE "/>
    <d v="2023-08-11T00:00:00"/>
    <d v="2023-08-12T00:00:00"/>
    <n v="2"/>
    <n v="2"/>
    <s v="NO"/>
    <s v="NO"/>
    <x v="0"/>
    <s v="S901"/>
    <s v="CONTUSION DE DEDO(S) DEL PIE, SIN DAÑO DE LA(S) UÑA(S)"/>
    <s v="SURA "/>
    <m/>
    <m/>
    <m/>
    <m/>
    <s v="ASUME LA EPS"/>
    <n v="1272005"/>
    <m/>
    <m/>
  </r>
  <r>
    <x v="4"/>
    <n v="71686928"/>
    <s v="RIOS "/>
    <s v="ESTRADA "/>
    <s v="NESTOR "/>
    <s v="RAUL"/>
    <s v="VIGILANTE "/>
    <d v="2023-08-11T00:00:00"/>
    <d v="2023-09-09T00:00:00"/>
    <n v="30"/>
    <n v="30"/>
    <s v="SI"/>
    <s v="SI"/>
    <x v="0"/>
    <s v="S821"/>
    <s v="FRACTURA DE LA EPIFISIS SUPERIOR DE LA TIBIA"/>
    <s v="SOAT"/>
    <m/>
    <m/>
    <m/>
    <m/>
    <s v="ASUME LA EPS"/>
    <n v="1272005"/>
    <m/>
    <m/>
  </r>
  <r>
    <x v="4"/>
    <n v="71316478"/>
    <s v="GALLEGO"/>
    <s v="EDUAR "/>
    <s v="YOVANY"/>
    <m/>
    <s v="VIGILANTE"/>
    <d v="2023-08-11T00:00:00"/>
    <d v="2023-10-09T00:00:00"/>
    <n v="30"/>
    <n v="30"/>
    <s v="NO"/>
    <s v="NO"/>
    <x v="0"/>
    <s v="I64"/>
    <s v="ACCIDENTE VASCULAR ENCEFALICO AGUDO, NO ESPECIFICADO COMO HEMORRAGICO O ISQUEMICO"/>
    <s v="SURA EPS"/>
    <n v="8763420"/>
    <d v="2023-11-09T00:00:00"/>
    <d v="2023-11-09T00:00:00"/>
    <n v="1082667"/>
    <s v="ASUME LA EPS"/>
    <n v="1082667"/>
    <m/>
    <m/>
  </r>
  <r>
    <x v="4"/>
    <n v="71676289"/>
    <s v="MARIN "/>
    <s v="CASTRO"/>
    <s v="WILLSON"/>
    <s v="LEON"/>
    <s v="VIGILANTE "/>
    <d v="2023-08-12T00:00:00"/>
    <d v="2023-08-26T00:00:00"/>
    <n v="15"/>
    <n v="15"/>
    <s v="SI"/>
    <s v="SI"/>
    <x v="0"/>
    <s v="S983"/>
    <s v="AMPUTACION TRAUMATICA DE OTRAS PARTES DEL PIE"/>
    <s v="SURA"/>
    <m/>
    <m/>
    <m/>
    <m/>
    <s v="ASUME LA EPS"/>
    <n v="1272005"/>
    <m/>
    <m/>
  </r>
  <r>
    <x v="4"/>
    <n v="1017219474"/>
    <s v="ARDILA "/>
    <s v="VELEZ "/>
    <s v="JONATHAN "/>
    <s v="DANIEL"/>
    <s v="VIGILANTE "/>
    <d v="2023-08-12T00:00:00"/>
    <d v="2023-08-15T00:00:00"/>
    <n v="4"/>
    <n v="4"/>
    <s v="NO"/>
    <s v="NO"/>
    <x v="0"/>
    <s v="S300"/>
    <s v="CONTUSION DE LA REGION LUMBOSACRA Y DE LA PELVIS"/>
    <s v="SURA"/>
    <m/>
    <d v="2023-08-23T00:00:00"/>
    <d v="2023-08-31T00:00:00"/>
    <n v="77333"/>
    <s v="ASUME LA EPS"/>
    <n v="1272005"/>
    <m/>
    <m/>
  </r>
  <r>
    <x v="4"/>
    <n v="15532746"/>
    <s v="MARTINEZ "/>
    <s v="GOMEZ"/>
    <s v="JOHN "/>
    <s v="JAIRO"/>
    <s v="VIGILANTE "/>
    <d v="2023-08-14T00:00:00"/>
    <d v="2023-09-12T00:00:00"/>
    <n v="30"/>
    <n v="30"/>
    <s v="SI"/>
    <s v="SI"/>
    <x v="0"/>
    <s v="S822"/>
    <s v="FRACTURA DE LA DIAFISIS DE LA TIBIA"/>
    <s v="SOAT"/>
    <n v="1128234234"/>
    <d v="2023-11-28T00:00:00"/>
    <m/>
    <m/>
    <s v="ASUME LA EPS"/>
    <n v="1272005"/>
    <m/>
    <m/>
  </r>
  <r>
    <x v="4"/>
    <n v="71719849"/>
    <s v="GARCIA"/>
    <s v="GARCIA "/>
    <s v="JUAN "/>
    <s v="GUILLERMO"/>
    <s v="VIGILANTE "/>
    <d v="2023-08-14T00:00:00"/>
    <d v="2023-08-15T00:00:00"/>
    <n v="2"/>
    <n v="2"/>
    <s v="NO"/>
    <s v="NO"/>
    <x v="0"/>
    <s v="B009"/>
    <s v="INFECCION DEBIDA A EL VIRUS DEL HERPES, NO ESPECIFICADA"/>
    <s v="SURA"/>
    <m/>
    <m/>
    <m/>
    <m/>
    <s v="ASUME LA EPS"/>
    <n v="1272005"/>
    <m/>
    <m/>
  </r>
  <r>
    <x v="4"/>
    <n v="1037667211"/>
    <s v="PORRAS"/>
    <s v="GALVEZ"/>
    <s v="ANDRES "/>
    <s v="FELIPE"/>
    <s v="VIGILANTE"/>
    <d v="2023-08-14T00:00:00"/>
    <d v="2023-08-19T00:00:00"/>
    <n v="6"/>
    <n v="6"/>
    <s v="NO"/>
    <s v="NO"/>
    <x v="0"/>
    <s v="L600"/>
    <s v="UÑA ENCARNADA"/>
    <s v="NUEVA EPS"/>
    <n v="9458504"/>
    <d v="2023-08-18T00:00:00"/>
    <d v="2023-10-09T00:00:00"/>
    <n v="154667"/>
    <s v="ASUME LA EPS"/>
    <n v="154667"/>
    <m/>
    <m/>
  </r>
  <r>
    <x v="4"/>
    <n v="1036622798"/>
    <s v="BETANCUR "/>
    <s v="GIL "/>
    <s v="DUVIAN "/>
    <s v="YHOBANNY"/>
    <s v="VIGILANTE "/>
    <d v="2023-08-16T00:00:00"/>
    <d v="2023-09-14T00:00:00"/>
    <n v="30"/>
    <n v="30"/>
    <s v="SI"/>
    <s v="SI"/>
    <x v="0"/>
    <s v="S923"/>
    <s v="FRACTURA DE HUESO DEL METATARSO"/>
    <s v="SURA"/>
    <m/>
    <m/>
    <m/>
    <m/>
    <s v="ASUME LA EPS"/>
    <n v="1272005"/>
    <m/>
    <m/>
  </r>
  <r>
    <x v="4"/>
    <n v="71316478"/>
    <s v="GALLEGO"/>
    <s v="EDUAR"/>
    <s v="YOVANY"/>
    <m/>
    <s v="VIGILANTE "/>
    <d v="2023-08-16T00:00:00"/>
    <d v="2023-08-30T00:00:00"/>
    <n v="15"/>
    <n v="15"/>
    <s v="NO"/>
    <s v="SI"/>
    <x v="0"/>
    <s v="Z769"/>
    <s v="PERSONA EN CONTACTO CON LOS SERVICIOS DE SALUD EN CIRCUNSTANCIAS NO ESPECIFICADAS"/>
    <s v="HOSPITALIZADO"/>
    <m/>
    <m/>
    <m/>
    <m/>
    <s v="ASUME LA EPS"/>
    <n v="1272005"/>
    <m/>
    <m/>
  </r>
  <r>
    <x v="4"/>
    <n v="1040374058"/>
    <s v="RODRIGUEZ"/>
    <s v="RADA "/>
    <s v="JEINER "/>
    <s v="ANDRES"/>
    <s v="VIGILANTE "/>
    <d v="2023-08-18T00:00:00"/>
    <d v="2023-08-18T00:00:00"/>
    <n v="1"/>
    <n v="1"/>
    <s v="NO"/>
    <s v="NO"/>
    <x v="0"/>
    <s v="G439"/>
    <s v="MIGRAÑA, NO ESPECIFICADA"/>
    <s v="SURA "/>
    <n v="0"/>
    <m/>
    <n v="0"/>
    <n v="42400"/>
    <s v="ASUME LA EPS"/>
    <n v="1272005"/>
    <n v="0"/>
    <n v="42400"/>
  </r>
  <r>
    <x v="4"/>
    <n v="98765066"/>
    <s v="HIGUITA "/>
    <s v="OSPINA"/>
    <s v="DANIEL "/>
    <s v="CAMILO"/>
    <s v="VIGILANTE "/>
    <d v="2023-08-18T00:00:00"/>
    <d v="2023-09-01T00:00:00"/>
    <n v="15"/>
    <n v="15"/>
    <s v="NO"/>
    <s v="NO"/>
    <x v="0"/>
    <s v="R104"/>
    <s v="OTROS DOLORES ABDOMINALES Y LOS NO ESPECIFICADOS"/>
    <s v="SALUD TOTAL "/>
    <m/>
    <m/>
    <m/>
    <m/>
    <s v="ASUME LA EPS"/>
    <n v="1272005"/>
    <m/>
    <m/>
  </r>
  <r>
    <x v="4"/>
    <n v="43117538"/>
    <s v="RUIZ "/>
    <s v="RAMIREZ"/>
    <s v="GLORIA "/>
    <s v="CECILIA"/>
    <s v="VIGILANTE "/>
    <d v="2023-08-18T00:00:00"/>
    <d v="2023-08-21T00:00:00"/>
    <n v="4"/>
    <n v="4"/>
    <s v="NO"/>
    <s v="NO"/>
    <x v="0"/>
    <s v="F412"/>
    <s v="TRASTORNO MIXTO DE ANSIEDAD Y DEPRESION"/>
    <s v="SURA "/>
    <m/>
    <d v="2023-08-31T00:00:00"/>
    <d v="2023-09-05T00:00:00"/>
    <n v="77333"/>
    <s v="ASUME LA EPS"/>
    <n v="1272005"/>
    <m/>
    <m/>
  </r>
  <r>
    <x v="4"/>
    <n v="70323164"/>
    <s v="SUAREZ"/>
    <s v="CASTRILLON "/>
    <s v="JOSE "/>
    <s v="AICARDO"/>
    <s v="VIGILANTE "/>
    <d v="2023-08-18T00:00:00"/>
    <d v="2023-08-22T00:00:00"/>
    <n v="5"/>
    <n v="5"/>
    <s v="SI"/>
    <s v="SI"/>
    <x v="0"/>
    <s v="J328"/>
    <s v="OTRAS SINUSITIS CRONICAS"/>
    <s v="SURA"/>
    <m/>
    <m/>
    <m/>
    <m/>
    <s v="ASUME LA EPS"/>
    <n v="1272005"/>
    <m/>
    <m/>
  </r>
  <r>
    <x v="7"/>
    <n v="43600465"/>
    <s v="MONSALVE"/>
    <s v="GALEANO"/>
    <s v="MARGARITA "/>
    <s v="MARIA"/>
    <s v="ASISTENTE DE OPERACIONES "/>
    <d v="2023-08-18T00:00:00"/>
    <d v="2023-09-16T00:00:00"/>
    <n v="30"/>
    <n v="30"/>
    <s v="NO"/>
    <s v="SI"/>
    <x v="0"/>
    <s v="M206"/>
    <s v="DEFORMIDADES ADQUIRIDAS DE LOS DEDOS DEL PIE, NO ESPECIFICADAS"/>
    <s v="SURA"/>
    <m/>
    <d v="2023-09-01T00:00:00"/>
    <d v="2023-05-29T00:00:00"/>
    <n v="1082667"/>
    <s v="ASUME LA EPS"/>
    <n v="1272005"/>
    <m/>
    <m/>
  </r>
  <r>
    <x v="4"/>
    <n v="71651935"/>
    <s v="CARDONA "/>
    <s v="RODRIGUEZ"/>
    <s v="JUAN "/>
    <s v="CARLOS"/>
    <s v="VIGILANTE "/>
    <d v="2023-08-19T00:00:00"/>
    <d v="2023-09-17T00:00:00"/>
    <n v="30"/>
    <n v="30"/>
    <s v="SI"/>
    <s v="SI"/>
    <x v="0"/>
    <s v="C20"/>
    <s v="TUMOR MALIGNO DEL RECTO"/>
    <s v="SALUD TOTAL "/>
    <m/>
    <m/>
    <m/>
    <m/>
    <s v="ASUME LA EPS"/>
    <n v="1272005"/>
    <m/>
    <m/>
  </r>
  <r>
    <x v="4"/>
    <n v="1067892509"/>
    <s v="AGUDELO "/>
    <s v="ARROYAVE"/>
    <s v="JHOJAN "/>
    <s v="RENE "/>
    <s v="SUPERVISOR "/>
    <d v="2023-08-21T00:00:00"/>
    <d v="2023-08-31T00:00:00"/>
    <n v="11"/>
    <n v="11"/>
    <s v="SI"/>
    <s v="SI"/>
    <x v="1"/>
    <s v="S821"/>
    <s v="FRACTURA DE LA EPIFISIS SUPERIOR DE LA TIBIA"/>
    <s v="SURA"/>
    <n v="6912508"/>
    <d v="2023-08-23T00:00:00"/>
    <d v="2023-08-31T00:00:00"/>
    <n v="522370"/>
    <s v="ASUME LA ARL"/>
    <n v="1272005"/>
    <m/>
    <m/>
  </r>
  <r>
    <x v="4"/>
    <n v="3556779"/>
    <s v="OSORIO "/>
    <s v="SUAREZ"/>
    <s v="JHONNY "/>
    <s v="ANDRES"/>
    <s v="VIGILANTE "/>
    <d v="2023-08-21T00:00:00"/>
    <d v="2023-08-23T00:00:00"/>
    <n v="3"/>
    <n v="3"/>
    <s v="NO"/>
    <s v="NO"/>
    <x v="1"/>
    <s v="S900"/>
    <s v="CONTUSION DEL TOBILLO"/>
    <s v="SURA"/>
    <n v="8743376"/>
    <d v="2023-11-01T00:00:00"/>
    <d v="2023-11-02T00:00:00"/>
    <n v="36667"/>
    <s v="ASUME LA EPS"/>
    <n v="36667"/>
    <m/>
    <m/>
  </r>
  <r>
    <x v="4"/>
    <n v="1037323518"/>
    <s v="JIMENEZ "/>
    <s v="OSPINA"/>
    <s v="HENRY "/>
    <s v="DE JESUS "/>
    <s v="VIGILANTE "/>
    <d v="2023-08-22T00:00:00"/>
    <d v="2023-08-23T00:00:00"/>
    <n v="2"/>
    <n v="2"/>
    <s v="NO"/>
    <s v="NO"/>
    <x v="0"/>
    <s v="G439"/>
    <s v="MIGRAÑA, NO ESPECIFICADA"/>
    <s v="SURA"/>
    <m/>
    <m/>
    <m/>
    <m/>
    <s v="ASUME LA EPS"/>
    <n v="1272005"/>
    <m/>
    <m/>
  </r>
  <r>
    <x v="4"/>
    <n v="71589781"/>
    <s v="LOTERO "/>
    <s v="OSSA "/>
    <s v="DIEGO "/>
    <s v="ALBERTO"/>
    <s v="VIGILANTE "/>
    <d v="2023-08-22T00:00:00"/>
    <d v="2023-09-10T00:00:00"/>
    <n v="20"/>
    <n v="20"/>
    <s v="NO"/>
    <s v="NO"/>
    <x v="0"/>
    <s v="S431"/>
    <s v="LUXACION DE LA ARTICULACION ACROMIOCLAVICULAR"/>
    <s v="SURA"/>
    <m/>
    <d v="2023-09-01T00:00:00"/>
    <d v="2023-08-31T00:00:00"/>
    <n v="696000"/>
    <s v="ASUME LA EPS"/>
    <n v="1272005"/>
    <m/>
    <m/>
  </r>
  <r>
    <x v="4"/>
    <n v="15259158"/>
    <s v="MARIN "/>
    <s v="MARIN"/>
    <s v="JHON "/>
    <s v="JAIRO"/>
    <s v="VIGILANTE "/>
    <d v="2023-08-23T00:00:00"/>
    <d v="2023-08-24T00:00:00"/>
    <n v="2"/>
    <n v="2"/>
    <s v="NO"/>
    <s v="NO"/>
    <x v="0"/>
    <s v="A09"/>
    <s v="DIARREA Y GASTROENTERITIS DE PRESUNTO ORIGEN INFECCIOSO"/>
    <s v="SANITAS "/>
    <m/>
    <m/>
    <m/>
    <m/>
    <s v="ASUME LA EPS"/>
    <m/>
    <m/>
    <m/>
  </r>
  <r>
    <x v="4"/>
    <n v="70323164"/>
    <s v="SUAREZ"/>
    <s v="CASTRILLON "/>
    <s v="JOSE "/>
    <s v="AICARDO"/>
    <s v="VIGILANTE "/>
    <d v="2023-08-23T00:00:00"/>
    <d v="2023-08-27T00:00:00"/>
    <n v="5"/>
    <n v="5"/>
    <s v="SI"/>
    <s v="SI"/>
    <x v="0"/>
    <s v="J328"/>
    <s v="OTRAS SINUSITIS CRONICAS"/>
    <s v="SURA"/>
    <m/>
    <m/>
    <m/>
    <m/>
    <s v="ASUME LA EPS"/>
    <n v="1272005"/>
    <m/>
    <m/>
  </r>
  <r>
    <x v="4"/>
    <n v="71601851"/>
    <s v="MAZO"/>
    <s v="ELORZA"/>
    <s v="RAMON"/>
    <s v="ANGEL"/>
    <s v="VIGILANTE "/>
    <d v="2023-08-23T00:00:00"/>
    <d v="2023-09-15T00:00:00"/>
    <n v="24"/>
    <n v="8"/>
    <s v="SI"/>
    <s v="SI"/>
    <x v="0"/>
    <s v="M239"/>
    <s v="TRASTORNOS INTERNO DE LA RODILLA, NO ESPECIFICADO"/>
    <s v="NUEVA EPS"/>
    <m/>
    <m/>
    <m/>
    <m/>
    <s v="ASUME LA EPS"/>
    <n v="1272005"/>
    <m/>
    <m/>
  </r>
  <r>
    <x v="4"/>
    <n v="1039022416"/>
    <s v="SERNA"/>
    <s v="FERNANDEZ "/>
    <s v="JORGE "/>
    <s v="ANDRES"/>
    <s v="VIGILANTE "/>
    <d v="2023-08-23T00:00:00"/>
    <d v="2023-08-23T00:00:00"/>
    <n v="1"/>
    <n v="1"/>
    <s v="NO"/>
    <s v="NO"/>
    <x v="0"/>
    <s v="R51"/>
    <s v="CEFALEA"/>
    <s v="SURA"/>
    <n v="0"/>
    <m/>
    <n v="0"/>
    <n v="42400"/>
    <s v="ASUME LA EPS"/>
    <n v="1272005"/>
    <n v="0"/>
    <n v="42400"/>
  </r>
  <r>
    <x v="4"/>
    <n v="1003205624"/>
    <s v="URANGO"/>
    <s v="GUERRA "/>
    <s v="JORGE "/>
    <s v="ANDRES"/>
    <s v="VIGILANTE "/>
    <d v="2023-08-23T00:00:00"/>
    <d v="2023-09-11T00:00:00"/>
    <n v="20"/>
    <n v="20"/>
    <s v="NO"/>
    <s v="NO"/>
    <x v="0"/>
    <s v="Z988"/>
    <s v="OTROS ESTADOS POSTQUIRURGICOS ESPECIFICADOS"/>
    <s v="SALUD TOTAL "/>
    <n v="9252321657"/>
    <d v="2023-09-25T00:00:00"/>
    <m/>
    <m/>
    <s v="ASUME LA EPS"/>
    <n v="1272005"/>
    <m/>
    <m/>
  </r>
  <r>
    <x v="4"/>
    <n v="71721292"/>
    <s v="HOYOS"/>
    <s v="HOYOS"/>
    <s v="EMILIO"/>
    <s v="ANGEL"/>
    <s v="VIGILANTE"/>
    <d v="2023-08-23T00:00:00"/>
    <d v="2023-09-21T00:00:00"/>
    <n v="30"/>
    <n v="30"/>
    <s v="SI"/>
    <s v="NO"/>
    <x v="0"/>
    <s v="M844"/>
    <s v="FRACTURA PATOLOGICA, NO CLASIFICADA EN OTRA PARTE"/>
    <s v="SALUD TOTAL"/>
    <m/>
    <d v="2023-11-14T00:00:00"/>
    <m/>
    <m/>
    <m/>
    <m/>
    <m/>
    <m/>
  </r>
  <r>
    <x v="4"/>
    <n v="71744485"/>
    <s v="VALENCIA"/>
    <s v="DIAZ"/>
    <s v="DIEGO "/>
    <s v="ALEXANDER"/>
    <s v="VIGILANTE "/>
    <d v="2023-08-24T00:00:00"/>
    <d v="2023-08-25T00:00:00"/>
    <n v="2"/>
    <n v="2"/>
    <s v="NO"/>
    <s v="NO"/>
    <x v="0"/>
    <s v="M753"/>
    <s v="TENDINITIS CALCIFICANTE DEL HOMBRO"/>
    <s v="SALUD TOTAL "/>
    <m/>
    <m/>
    <m/>
    <m/>
    <s v="ASUME LA EPS"/>
    <m/>
    <m/>
    <m/>
  </r>
  <r>
    <x v="4"/>
    <n v="1128399403"/>
    <s v="LOPEZ "/>
    <s v="LONDOÑO"/>
    <s v="CAROLINA"/>
    <m/>
    <s v="VIGILANTE "/>
    <d v="2023-08-24T00:00:00"/>
    <d v="2023-08-27T00:00:00"/>
    <n v="4"/>
    <n v="4"/>
    <s v="NO"/>
    <s v="NO"/>
    <x v="1"/>
    <s v="S826"/>
    <s v="FRACTURA DEL MALEOLO EXTERNO"/>
    <s v="SEGUROS BOLIVAR "/>
    <n v="6953548"/>
    <d v="2023-09-26T00:00:00"/>
    <d v="2023-10-03T00:00:00"/>
    <n v="142465"/>
    <s v="ASUME LA EPS"/>
    <n v="1272005"/>
    <m/>
    <m/>
  </r>
  <r>
    <x v="4"/>
    <n v="1020471954"/>
    <s v="MEJIA"/>
    <s v="BARRIENTOS "/>
    <s v="YEFERSON"/>
    <m/>
    <s v="VIGILANTE "/>
    <d v="2023-08-25T00:00:00"/>
    <d v="2023-08-31T00:00:00"/>
    <n v="7"/>
    <n v="7"/>
    <s v="NO"/>
    <s v="NO"/>
    <x v="0"/>
    <s v="S903"/>
    <s v="CONTUSION DE OTRAS PARTES Y DE LAS NO ESPECIFICADAS DEL PIE"/>
    <s v="SURA "/>
    <m/>
    <d v="2023-08-26T00:00:00"/>
    <d v="2023-08-31T00:00:00"/>
    <n v="193000"/>
    <s v="ASUME LA EPS"/>
    <n v="1272005"/>
    <m/>
    <m/>
  </r>
  <r>
    <x v="4"/>
    <n v="3669363"/>
    <s v="PINO"/>
    <s v="CASTAÑO"/>
    <s v="GUSTAVO "/>
    <s v="DE JESUS"/>
    <s v="VIGILANTE "/>
    <d v="2023-08-25T00:00:00"/>
    <d v="2023-08-28T00:00:00"/>
    <n v="4"/>
    <n v="4"/>
    <s v="SI"/>
    <s v="NO"/>
    <x v="0"/>
    <s v="M173"/>
    <s v="OTRAS GONARTROSIS POSTRAUMATICAS"/>
    <s v="SURA "/>
    <m/>
    <m/>
    <m/>
    <m/>
    <s v="ASUME LA EPS"/>
    <n v="1272005"/>
    <m/>
    <m/>
  </r>
  <r>
    <x v="4"/>
    <n v="15309929"/>
    <s v="GALVIS "/>
    <s v="CASTRO"/>
    <s v="NICOLAS "/>
    <s v="EMIRO"/>
    <s v="VIGILANTE "/>
    <d v="2023-08-26T00:00:00"/>
    <d v="2023-09-09T00:00:00"/>
    <n v="15"/>
    <n v="15"/>
    <s v="SI"/>
    <s v="SI"/>
    <x v="0"/>
    <s v="S832"/>
    <s v="DESGARRO DE MENISCOS, PRESENTE"/>
    <s v="SURA"/>
    <m/>
    <m/>
    <m/>
    <m/>
    <s v="ASUME LA EPS"/>
    <n v="1272005"/>
    <m/>
    <m/>
  </r>
  <r>
    <x v="4"/>
    <n v="71676289"/>
    <s v="MARIN"/>
    <s v="CASTRO"/>
    <s v="WILLSON"/>
    <s v="LEON"/>
    <s v="VIGILANTE "/>
    <d v="2023-08-27T00:00:00"/>
    <d v="2023-08-27T00:00:00"/>
    <n v="1"/>
    <n v="1"/>
    <s v="SI"/>
    <s v="SI"/>
    <x v="0"/>
    <s v="S984"/>
    <s v="AMPUTACION DEL PIE, NIVEL NO ESPECIFICADO"/>
    <s v="SURA"/>
    <m/>
    <m/>
    <m/>
    <m/>
    <s v="ASUME LA EPS"/>
    <n v="1272005"/>
    <m/>
    <m/>
  </r>
  <r>
    <x v="4"/>
    <n v="71676289"/>
    <s v="MARIN"/>
    <s v="CASTRO"/>
    <s v="WILLSON"/>
    <s v="LEON"/>
    <s v="VIGILANTE "/>
    <d v="2023-08-28T00:00:00"/>
    <d v="2023-09-10T00:00:00"/>
    <n v="14"/>
    <n v="4"/>
    <s v="NO"/>
    <s v="SI"/>
    <x v="0"/>
    <s v="S984"/>
    <s v="AMPUTACION DEL PIE, NIVEL NO ESPECIFICADO"/>
    <s v="SURA"/>
    <m/>
    <m/>
    <m/>
    <m/>
    <s v="ASUME LA EPS"/>
    <n v="1272005"/>
    <m/>
    <m/>
  </r>
  <r>
    <x v="4"/>
    <n v="1037323518"/>
    <s v="JIMENEZ "/>
    <s v="OSPINA"/>
    <s v="HENRY"/>
    <s v="DE JESUS"/>
    <s v="VIGILANTE "/>
    <d v="2023-08-28T00:00:00"/>
    <d v="2023-09-01T00:00:00"/>
    <n v="5"/>
    <n v="5"/>
    <s v="NO"/>
    <s v="NO"/>
    <x v="0"/>
    <s v="S800"/>
    <s v="CONTUSION DE LA RODILLA"/>
    <s v="SOAT "/>
    <s v="0-36399603"/>
    <d v="2023-10-02T00:00:00"/>
    <d v="2023-10-03T00:00:00"/>
    <n v="116000"/>
    <s v="ASUME LA EPS"/>
    <n v="116000"/>
    <m/>
    <m/>
  </r>
  <r>
    <x v="4"/>
    <n v="70323164"/>
    <s v="SUAREZ "/>
    <s v="CASTRILLON"/>
    <s v="JOSE "/>
    <s v="AICARDO"/>
    <s v="VIGILANTE "/>
    <d v="2023-08-28T00:00:00"/>
    <d v="2023-09-01T00:00:00"/>
    <n v="5"/>
    <n v="5"/>
    <s v="SI"/>
    <s v="SI"/>
    <x v="0"/>
    <s v="J328"/>
    <s v="OTRAS SINUSITIS CRONICAS"/>
    <s v="SURA"/>
    <m/>
    <m/>
    <m/>
    <m/>
    <s v="ASUME LA EPS"/>
    <n v="1272005"/>
    <m/>
    <m/>
  </r>
  <r>
    <x v="4"/>
    <n v="71875868"/>
    <s v="CARDONA "/>
    <s v="TIRADO"/>
    <s v="JORGE "/>
    <s v="ALIRIO"/>
    <s v="VIGILANTE "/>
    <d v="2023-08-29T00:00:00"/>
    <d v="2023-09-12T00:00:00"/>
    <n v="15"/>
    <n v="15"/>
    <s v="NO"/>
    <s v="NO"/>
    <x v="0"/>
    <s v="K409"/>
    <s v="HERNIA INGUINAL UNILATERAL O NO ESPECIFICADA, SIN OBSTRUCION NI GANGRENA"/>
    <s v="SURA"/>
    <n v="8627616"/>
    <d v="2023-09-26T00:00:00"/>
    <d v="2023-09-28T00:00:00"/>
    <n v="502667"/>
    <s v="ASUME LA EPS"/>
    <n v="1272005"/>
    <m/>
    <m/>
  </r>
  <r>
    <x v="4"/>
    <n v="3481465"/>
    <s v="LOPERA"/>
    <s v="DURANGO"/>
    <s v="ARTURO"/>
    <s v="DE JESUS"/>
    <s v="VIGILANTE "/>
    <d v="2023-08-29T00:00:00"/>
    <d v="2023-09-27T00:00:00"/>
    <n v="30"/>
    <n v="30"/>
    <s v="SI"/>
    <s v="SI"/>
    <x v="0"/>
    <s v="F010"/>
    <s v="DEMENCIA VASCULAR DE COMIENZO AGUDO"/>
    <s v="SURA"/>
    <m/>
    <m/>
    <m/>
    <m/>
    <s v="ASUME LA EPS"/>
    <n v="1272005"/>
    <m/>
    <m/>
  </r>
  <r>
    <x v="7"/>
    <n v="71316478"/>
    <s v="GALLEGO"/>
    <s v="EDUAR"/>
    <s v="YOVANY"/>
    <m/>
    <s v="VIGILANTE "/>
    <d v="2023-09-01T00:00:00"/>
    <d v="2023-09-15T00:00:00"/>
    <n v="15"/>
    <n v="15"/>
    <s v="SI"/>
    <s v="SI"/>
    <x v="0"/>
    <s v="Z769"/>
    <s v="PERSONA EN CONTACTO CON LOS SERVICIOS DE SALUD EN CIRCUNSTANCIAS NO ESPECIFICADAS"/>
    <s v="HOSPITALIZADO"/>
    <m/>
    <m/>
    <m/>
    <m/>
    <s v="ASUME LA EPS"/>
    <n v="1272005"/>
    <m/>
    <m/>
  </r>
  <r>
    <x v="7"/>
    <n v="1003205624"/>
    <s v="URANGO"/>
    <s v="GUERRA"/>
    <s v="JORGE "/>
    <s v="ANDRES"/>
    <s v="VIGILANTE "/>
    <d v="2023-09-01T00:00:00"/>
    <d v="2023-09-11T00:00:00"/>
    <n v="11"/>
    <n v="11"/>
    <s v="SI"/>
    <s v="NO"/>
    <x v="0"/>
    <s v="Z988"/>
    <s v="OTROS ESTADOS POSTQUIRURGICOS ESPECIFICADOS"/>
    <s v="SALUD TOTAL "/>
    <n v="1004238480"/>
    <d v="2023-10-04T00:00:00"/>
    <d v="2023-10-10T00:00:00"/>
    <n v="348000"/>
    <s v="ASUME LA EPS"/>
    <m/>
    <m/>
    <m/>
  </r>
  <r>
    <x v="7"/>
    <n v="70434145"/>
    <s v="HIGUITA "/>
    <s v="MANCO "/>
    <s v="FRANCISCO "/>
    <m/>
    <s v="SUPERVISOR "/>
    <d v="2023-09-02T00:00:00"/>
    <d v="2023-09-04T00:00:00"/>
    <n v="3"/>
    <n v="3"/>
    <s v="NO"/>
    <s v="NO"/>
    <x v="0"/>
    <s v="S701"/>
    <s v="CONTUSION DEL MUSLO"/>
    <s v="SOAT "/>
    <s v="0-36402067"/>
    <d v="2023-10-02T00:00:00"/>
    <d v="2023-10-03T00:00:00"/>
    <n v="38667"/>
    <s v="ASUME LA EPS"/>
    <n v="38667"/>
    <m/>
    <m/>
  </r>
  <r>
    <x v="7"/>
    <n v="70323164"/>
    <s v="SUAREZ "/>
    <s v="CASTRILLON"/>
    <s v="JOSE "/>
    <s v="AICARDO"/>
    <s v="VIGILANTE "/>
    <d v="2023-09-02T00:00:00"/>
    <d v="2023-09-05T00:00:00"/>
    <n v="4"/>
    <n v="4"/>
    <s v="SI"/>
    <s v="SI"/>
    <x v="0"/>
    <s v="J448"/>
    <s v="OTRAS ENFERMEDADES PULMONARES OBSTRUCTIVAS CRONICAS ESPECIFICADAS"/>
    <s v="SURA"/>
    <m/>
    <m/>
    <m/>
    <m/>
    <s v="ASUME LA EPS"/>
    <n v="1272005"/>
    <m/>
    <m/>
  </r>
  <r>
    <x v="7"/>
    <n v="71711638"/>
    <s v="VASQUEZ "/>
    <s v="ROMAN "/>
    <s v="NEISON "/>
    <s v="ALBEIRO"/>
    <s v="VIGILANTE "/>
    <d v="2023-09-02T00:00:00"/>
    <d v="2023-10-01T00:00:00"/>
    <n v="30"/>
    <n v="30"/>
    <s v="NO"/>
    <s v="NO"/>
    <x v="0"/>
    <s v="K642"/>
    <s v="HEMORROIDES DE TERCER GRADO"/>
    <s v="SALUD TOTAL "/>
    <n v="9252326244"/>
    <d v="2023-09-25T00:00:00"/>
    <d v="2023-10-10T00:00:00"/>
    <n v="1082676"/>
    <s v="ASUME LA EPS"/>
    <n v="1082676"/>
    <m/>
    <m/>
  </r>
  <r>
    <x v="7"/>
    <n v="1216713788"/>
    <s v="HENAO"/>
    <s v="RINCON"/>
    <s v="ANDRES "/>
    <s v="MAURICIO"/>
    <s v="VIGILANTE "/>
    <d v="2023-09-03T00:00:00"/>
    <d v="2023-09-26T00:00:00"/>
    <n v="24"/>
    <n v="24"/>
    <s v="SI"/>
    <s v="NO"/>
    <x v="1"/>
    <s v="S835"/>
    <s v="ESGUINCES Y TORCEDURAS QUE COMPROMETEN EL LIGAMENTO CRUZADO (ANTERIOR) (POSTERIOR) DE LA RODILLA"/>
    <s v="ARL BOLIVAR"/>
    <n v="30458080"/>
    <d v="2023-10-06T00:00:00"/>
    <d v="2023-10-26T00:00:00"/>
    <n v="1111420"/>
    <s v="ASUME LA EPS"/>
    <m/>
    <m/>
    <m/>
  </r>
  <r>
    <x v="7"/>
    <n v="3669363"/>
    <s v="PINO "/>
    <s v="CASTAÑO"/>
    <s v="GUSTAVO"/>
    <s v="DE JESUS"/>
    <s v="VIGILANTE "/>
    <d v="2023-09-04T00:00:00"/>
    <d v="2023-09-06T00:00:00"/>
    <n v="3"/>
    <n v="3"/>
    <s v="NO"/>
    <s v="NO"/>
    <x v="0"/>
    <s v="J060"/>
    <s v="LARINGOFARINGITIS AGUDA"/>
    <s v="SURA"/>
    <m/>
    <m/>
    <m/>
    <m/>
    <s v="ASUME LA EPS"/>
    <n v="1272005"/>
    <m/>
    <m/>
  </r>
  <r>
    <x v="7"/>
    <n v="98601485"/>
    <s v="SARRAZOLA"/>
    <m/>
    <s v="WILMAR"/>
    <s v="DE JESUS"/>
    <s v="SUPERVISOR "/>
    <d v="2023-09-06T00:00:00"/>
    <d v="2023-09-08T00:00:00"/>
    <n v="3"/>
    <n v="3"/>
    <s v="SI"/>
    <s v="SI"/>
    <x v="0"/>
    <s v="M179"/>
    <s v="GONARTROSIS, NO ESPECIFICADA"/>
    <s v="SURA "/>
    <n v="8622201"/>
    <d v="2023-09-25T00:00:00"/>
    <d v="2023-10-03T00:00:00"/>
    <n v="116000"/>
    <s v="ASUME LA EPS"/>
    <n v="116000"/>
    <m/>
    <m/>
  </r>
  <r>
    <x v="7"/>
    <n v="1067957772"/>
    <s v="COGOLLO"/>
    <s v="RAMOS"/>
    <s v="DAIRO"/>
    <s v="JOSE"/>
    <s v="VIGILANTE "/>
    <d v="2023-09-06T00:00:00"/>
    <d v="2023-09-06T00:00:00"/>
    <n v="1"/>
    <n v="1"/>
    <s v="NO"/>
    <s v="NO"/>
    <x v="0"/>
    <s v="H358"/>
    <s v="OTROS TRASTORNOS ESPECIFICADOS DE LA RETINA"/>
    <s v="SURA"/>
    <n v="0"/>
    <m/>
    <n v="0"/>
    <n v="42400"/>
    <s v="ASUME LA EPS"/>
    <n v="1272005"/>
    <n v="0"/>
    <n v="42400"/>
  </r>
  <r>
    <x v="7"/>
    <n v="22188088"/>
    <s v="ORTIZ "/>
    <s v="GARCIA "/>
    <s v="MARIA"/>
    <s v="DELCIRA"/>
    <s v="VIGILANTE "/>
    <d v="2023-09-07T00:00:00"/>
    <d v="2023-09-09T00:00:00"/>
    <n v="3"/>
    <n v="3"/>
    <s v="NO"/>
    <s v="NO"/>
    <x v="0"/>
    <s v="R522"/>
    <s v="OTRO DOLOR CRONICO"/>
    <s v="SURA"/>
    <s v="0-36405855"/>
    <d v="2023-10-02T00:00:00"/>
    <d v="2023-10-03T00:00:00"/>
    <n v="38667"/>
    <s v="ASUME LA EPS"/>
    <n v="38667"/>
    <m/>
    <m/>
  </r>
  <r>
    <x v="7"/>
    <n v="1002997006"/>
    <s v="PINTO "/>
    <s v="MORELO"/>
    <s v="RICHARD"/>
    <m/>
    <s v="VIGILANTE "/>
    <d v="2023-09-07T00:00:00"/>
    <d v="2023-09-20T00:00:00"/>
    <n v="14"/>
    <n v="14"/>
    <s v="NO"/>
    <s v="NO"/>
    <x v="2"/>
    <s v="O800"/>
    <s v="PARTO UNICO ESPONTANEO, PRESENTACION CEFALICA DE VERTICE"/>
    <s v="SALUD TOTAL "/>
    <n v="1004238235"/>
    <d v="2023-10-04T00:00:00"/>
    <m/>
    <m/>
    <s v="ASUME LA EPS"/>
    <m/>
    <m/>
    <m/>
  </r>
  <r>
    <x v="7"/>
    <n v="71257947"/>
    <s v="SIERRA"/>
    <s v="ROMERO"/>
    <s v="ARIEL"/>
    <m/>
    <s v="VIGILANTE "/>
    <d v="2023-09-08T00:00:00"/>
    <d v="2023-09-15T00:00:00"/>
    <n v="8"/>
    <n v="8"/>
    <s v="NO"/>
    <s v="NO"/>
    <x v="1"/>
    <s v="S518"/>
    <s v="HERIDAS DE OTRAS PARTES DEL ANTEBRAZO"/>
    <s v="SEGUROS BOLIVAR "/>
    <n v="6953572"/>
    <d v="2023-09-26T00:00:00"/>
    <d v="2023-10-17T00:00:00"/>
    <n v="332417"/>
    <s v="ASUME LA EPS"/>
    <n v="1272005"/>
    <m/>
    <m/>
  </r>
  <r>
    <x v="7"/>
    <n v="1037073208"/>
    <s v="HERNANDEZ"/>
    <s v="RINCON"/>
    <s v="REINALDO"/>
    <s v="ALFONSO "/>
    <s v="VIGILANTE "/>
    <d v="2023-09-09T00:00:00"/>
    <d v="2023-09-10T00:00:00"/>
    <n v="2"/>
    <n v="2"/>
    <s v="NO"/>
    <s v="NO"/>
    <x v="0"/>
    <s v="G439"/>
    <s v="MIGRAÑA, NO ESPECIFICADA"/>
    <s v="NUEVA EPS"/>
    <m/>
    <m/>
    <m/>
    <m/>
    <s v="ASUME LA EPS"/>
    <m/>
    <m/>
    <m/>
  </r>
  <r>
    <x v="7"/>
    <n v="98601485"/>
    <s v="SARRAZOLA"/>
    <m/>
    <s v="WILMAR"/>
    <s v="DE JESUS"/>
    <s v="SUPERVISOR "/>
    <d v="2023-09-09T00:00:00"/>
    <d v="2023-10-08T00:00:00"/>
    <n v="30"/>
    <n v="30"/>
    <s v="SI"/>
    <s v="SI"/>
    <x v="0"/>
    <s v="M179"/>
    <s v="GONARTROSIS, NO ESPECIFICADA"/>
    <s v="SURA "/>
    <n v="8622254"/>
    <d v="2023-09-25T00:00:00"/>
    <d v="2023-09-09T00:00:00"/>
    <n v="1160000"/>
    <s v="ASUME LA EPS"/>
    <n v="1272005"/>
    <m/>
    <m/>
  </r>
  <r>
    <x v="7"/>
    <n v="73559558"/>
    <s v="SANCHEZ "/>
    <s v="MERCADO"/>
    <s v="CAMILO"/>
    <s v="ANDRES"/>
    <s v="VIGILANTE "/>
    <d v="2023-09-09T00:00:00"/>
    <d v="2023-09-10T00:00:00"/>
    <n v="2"/>
    <n v="2"/>
    <s v="NO"/>
    <s v="NO"/>
    <x v="0"/>
    <s v="S099"/>
    <s v="TRAUMATISMO DE LA CABEZA, NO ESPECIFICADO"/>
    <s v="SALUD TOTAL "/>
    <m/>
    <m/>
    <m/>
    <m/>
    <s v="ASUME LA EPS"/>
    <m/>
    <m/>
    <m/>
  </r>
  <r>
    <x v="7"/>
    <n v="71187380"/>
    <s v="CASTAÑEDA "/>
    <s v="AGUDELO"/>
    <s v="IGINIO"/>
    <s v="DE JESUS "/>
    <s v="VIGILANTE "/>
    <d v="2023-09-09T00:00:00"/>
    <d v="2023-09-10T00:00:00"/>
    <n v="2"/>
    <n v="2"/>
    <s v="NO"/>
    <s v="NO"/>
    <x v="0"/>
    <s v="R520"/>
    <s v="DOLOR AGUDO"/>
    <s v="SURA"/>
    <m/>
    <m/>
    <m/>
    <m/>
    <s v="ASUME LA EPS"/>
    <n v="1272005"/>
    <m/>
    <m/>
  </r>
  <r>
    <x v="7"/>
    <n v="1001591842"/>
    <s v="SANCHEZ "/>
    <s v="MERCADO"/>
    <s v="CAMILO"/>
    <s v="ANDRES"/>
    <s v="VIGILANTE "/>
    <d v="2023-09-09T00:00:00"/>
    <d v="2023-09-10T00:00:00"/>
    <n v="2"/>
    <n v="2"/>
    <s v="NO"/>
    <s v="NO"/>
    <x v="0"/>
    <s v="S099"/>
    <s v="TRAUMATISMO DE LA CABEZA, NO ESPECIFICADO"/>
    <s v="SALUD TOTAL "/>
    <m/>
    <m/>
    <m/>
    <m/>
    <s v="ASUME LA EPS"/>
    <m/>
    <m/>
    <m/>
  </r>
  <r>
    <x v="7"/>
    <n v="70323164"/>
    <s v="SUAREZ "/>
    <s v="CASTRILLON"/>
    <s v="JOSE "/>
    <s v="AICARDO"/>
    <s v="VIGILANTE "/>
    <d v="2023-09-10T00:00:00"/>
    <d v="2023-09-13T00:00:00"/>
    <n v="4"/>
    <n v="4"/>
    <s v="SI"/>
    <s v="SI"/>
    <x v="0"/>
    <s v="J448"/>
    <s v="OTRAS ENFERMEDADES PULMONARES OBSTRUCTIVAS CRONICAS ESPECIFICADAS"/>
    <s v="SURA"/>
    <n v="8622483"/>
    <d v="2023-09-25T00:00:00"/>
    <d v="2023-09-10T00:00:00"/>
    <n v="154667"/>
    <s v="ASUME LA EPS"/>
    <n v="154667"/>
    <m/>
    <m/>
  </r>
  <r>
    <x v="7"/>
    <n v="71316478"/>
    <s v="GALLEGO"/>
    <s v="EDUAR "/>
    <s v="YOVANY"/>
    <m/>
    <s v="VIGILANTE"/>
    <d v="2023-09-10T00:00:00"/>
    <d v="2023-10-09T00:00:00"/>
    <n v="30"/>
    <n v="30"/>
    <s v="SI"/>
    <s v="NO"/>
    <x v="0"/>
    <s v="I64"/>
    <s v="ACCIDENTE VASCULAR ENCEFALICO AGUDO, NO ESPECIFICADO COMO HEMORRAGICO O ISQUEMICO"/>
    <s v="SURA EPS"/>
    <n v="8763439"/>
    <d v="2023-11-09T00:00:00"/>
    <d v="2023-11-09T00:00:00"/>
    <n v="1160000"/>
    <s v="ASUME LA EPS"/>
    <n v="1160000"/>
    <m/>
    <m/>
  </r>
  <r>
    <x v="7"/>
    <n v="71676289"/>
    <s v="MARIN"/>
    <s v="CASTRO"/>
    <s v="WILLSON"/>
    <s v="LEON"/>
    <s v="VIGILANTE "/>
    <d v="2023-09-11T00:00:00"/>
    <d v="2023-09-24T00:00:00"/>
    <n v="14"/>
    <n v="14"/>
    <s v="SI"/>
    <s v="SI"/>
    <x v="0"/>
    <s v="S983"/>
    <s v="AMPUTACION TRAUMATICA DE OTRAS PARTES DEL PIE"/>
    <s v="SURA "/>
    <m/>
    <m/>
    <m/>
    <m/>
    <s v="ASUME LA EPS"/>
    <n v="1272005"/>
    <m/>
    <m/>
  </r>
  <r>
    <x v="7"/>
    <n v="71589781"/>
    <s v="LOTERO "/>
    <s v="OSSA "/>
    <s v="DIEGO "/>
    <s v="ALBERTO"/>
    <s v="VIGILANTE "/>
    <d v="2023-09-11T00:00:00"/>
    <d v="2023-09-17T00:00:00"/>
    <n v="7"/>
    <n v="7"/>
    <s v="SI"/>
    <s v="NO"/>
    <x v="0"/>
    <s v="S431"/>
    <s v="LUXACION DE LA ARTICULACION ACROMIOCLAVICULAR"/>
    <s v="SURA"/>
    <n v="8622505"/>
    <d v="2023-09-25T00:00:00"/>
    <d v="2023-09-28T00:00:00"/>
    <n v="270667"/>
    <s v="ASUME LA EPS"/>
    <n v="1272005"/>
    <m/>
    <m/>
  </r>
  <r>
    <x v="7"/>
    <n v="1040327673"/>
    <s v="QUIROZ"/>
    <s v="RESTREPO"/>
    <s v="WILSON"/>
    <s v="ALBERTO"/>
    <s v="VIGILANTE "/>
    <d v="2023-09-12T00:00:00"/>
    <d v="2023-09-13T00:00:00"/>
    <n v="2"/>
    <n v="2"/>
    <s v="NO"/>
    <s v="NO"/>
    <x v="0"/>
    <s v="J039"/>
    <s v="AMIGDALITIS AGUDA, NO ESPECIFICADA"/>
    <s v="NUEVA EPS"/>
    <m/>
    <m/>
    <m/>
    <m/>
    <s v="ASUME LA EPS"/>
    <m/>
    <m/>
    <m/>
  </r>
  <r>
    <x v="7"/>
    <n v="1003205624"/>
    <s v="URANGO "/>
    <s v="GUERRA "/>
    <s v="JORGE "/>
    <s v="ANDRES"/>
    <s v="VIGILANTE "/>
    <d v="2023-09-12T00:00:00"/>
    <d v="2023-10-11T00:00:00"/>
    <n v="30"/>
    <n v="30"/>
    <s v="NO"/>
    <s v="NO"/>
    <x v="0"/>
    <s v="Z988"/>
    <s v="OTROS ESTADOS POSTQUIRURGICOS ESPECIFICADOS"/>
    <s v="SALUD TOTAL "/>
    <m/>
    <d v="2023-10-04T00:00:00"/>
    <d v="2023-10-26T00:00:00"/>
    <n v="1160010"/>
    <s v="ASUME LA EPS"/>
    <n v="1160010"/>
    <m/>
    <m/>
  </r>
  <r>
    <x v="7"/>
    <n v="1214744146"/>
    <s v="RAMIREZ "/>
    <s v="CORREA "/>
    <s v="CARLOS "/>
    <s v="ANDRES"/>
    <s v="VIGILANTE "/>
    <d v="2023-09-13T00:00:00"/>
    <d v="2023-09-18T00:00:00"/>
    <n v="6"/>
    <n v="6"/>
    <s v="NO"/>
    <s v="NO"/>
    <x v="1"/>
    <s v="S900"/>
    <s v="CONTUSION DEL TOBILLO"/>
    <s v="SEGUROS BOLIVAR "/>
    <n v="6953594"/>
    <d v="2023-09-26T00:00:00"/>
    <d v="2023-10-03T00:00:00"/>
    <n v="237441"/>
    <s v="ASUME LA EPS"/>
    <n v="1272005"/>
    <m/>
    <m/>
  </r>
  <r>
    <x v="7"/>
    <n v="1017192273"/>
    <s v="CESPEDES"/>
    <s v="RESTREPO"/>
    <s v="DANY"/>
    <s v="STIVEN"/>
    <s v="VIGILANTE "/>
    <d v="2023-09-13T00:00:00"/>
    <d v="2023-09-14T00:00:00"/>
    <n v="2"/>
    <n v="2"/>
    <s v="NO"/>
    <s v="NO"/>
    <x v="0"/>
    <s v="K083"/>
    <s v="RAIZ DENTAL RETENIDA"/>
    <s v="SURA"/>
    <m/>
    <m/>
    <m/>
    <m/>
    <s v="ASUME LA EPS"/>
    <n v="1272005"/>
    <m/>
    <m/>
  </r>
  <r>
    <x v="7"/>
    <n v="1036622798"/>
    <s v="BETANCUR "/>
    <s v="GIL "/>
    <s v="DUVIAN "/>
    <s v="YHOBANNY"/>
    <s v="VIGILANTE "/>
    <d v="2023-09-15T00:00:00"/>
    <d v="2023-10-14T00:00:00"/>
    <n v="30"/>
    <n v="30"/>
    <s v="SI"/>
    <s v="SI"/>
    <x v="0"/>
    <s v="S933"/>
    <s v="LUXACION DE OTROS SITIOS Y LOS NO ESPECIFICADOS DEL PIE"/>
    <s v="SURA"/>
    <m/>
    <m/>
    <m/>
    <m/>
    <s v="ASUME LA EPS"/>
    <n v="1272005"/>
    <m/>
    <m/>
  </r>
  <r>
    <x v="7"/>
    <n v="1047421491"/>
    <s v="BETANCUR"/>
    <s v="PEREZ"/>
    <s v="DAIRO"/>
    <s v="DE JESUS"/>
    <s v="VIGILANTE "/>
    <d v="2023-09-15T00:00:00"/>
    <d v="2023-09-28T00:00:00"/>
    <n v="14"/>
    <n v="14"/>
    <s v="NO"/>
    <s v="NO"/>
    <x v="0"/>
    <s v="O800"/>
    <s v="PARTO UNICO ESPONTANEO, PRESENTACION CEFALICA DE VERTICE"/>
    <s v="SURA"/>
    <s v="0-36392000"/>
    <d v="2023-09-25T00:00:00"/>
    <d v="2023-09-28T00:00:00"/>
    <n v="593602"/>
    <s v="ASUME LA EPS"/>
    <n v="1272005"/>
    <m/>
    <m/>
  </r>
  <r>
    <x v="7"/>
    <n v="71791250"/>
    <s v="ALVAREZ "/>
    <s v="ARENAS "/>
    <s v="SERGIO "/>
    <s v="ENRIQUE"/>
    <s v="VIGILANTE "/>
    <d v="2023-09-16T00:00:00"/>
    <d v="2023-09-18T00:00:00"/>
    <n v="3"/>
    <n v="3"/>
    <s v="NO"/>
    <s v="NO"/>
    <x v="0"/>
    <s v="G409"/>
    <s v="EPILEPSIA, TIPO NO ESPECIFICADO"/>
    <s v="SURA"/>
    <n v="8617419"/>
    <d v="2023-09-22T00:00:00"/>
    <d v="2023-09-28T00:00:00"/>
    <n v="38667"/>
    <s v="ASUME LA EPS"/>
    <n v="1272005"/>
    <n v="0"/>
    <m/>
  </r>
  <r>
    <x v="7"/>
    <n v="71601851"/>
    <s v="MAZO "/>
    <s v="ELORZA"/>
    <s v="RAMON "/>
    <s v="ANGEL"/>
    <s v="VIGILANTE "/>
    <d v="2023-09-16T00:00:00"/>
    <d v="2023-10-15T00:00:00"/>
    <n v="30"/>
    <n v="30"/>
    <s v="SI"/>
    <s v="SI"/>
    <x v="0"/>
    <s v="M239"/>
    <s v="TRASTORNOS INTERNO DE LA RODILLA, NO ESPECIFICADO"/>
    <s v="NUEVA EPS"/>
    <m/>
    <m/>
    <m/>
    <m/>
    <s v="ASUME LA EPS"/>
    <n v="1272005"/>
    <n v="0"/>
    <m/>
  </r>
  <r>
    <x v="7"/>
    <n v="71601851"/>
    <s v="MAZO"/>
    <s v="ELORZA"/>
    <s v="RAMON"/>
    <s v="ANGEL"/>
    <s v="VIGILANTE "/>
    <d v="2023-09-16T00:00:00"/>
    <d v="2023-10-15T00:00:00"/>
    <n v="30"/>
    <n v="30"/>
    <s v="SI"/>
    <s v="NO"/>
    <x v="0"/>
    <s v="M239"/>
    <s v="TRASTORNOS INTERNO DE LA RODILLA, NO ESPECIFICADO"/>
    <s v="NUEVA EPS"/>
    <m/>
    <d v="2023-10-04T00:00:00"/>
    <m/>
    <m/>
    <s v="ASUME LA EPS"/>
    <m/>
    <m/>
    <m/>
  </r>
  <r>
    <x v="7"/>
    <n v="43600465"/>
    <s v="MONSALVE"/>
    <s v="GALEANO"/>
    <s v="MARGARITA"/>
    <s v="MARIA"/>
    <s v="ASISTENTE OPERA"/>
    <d v="2023-09-17T00:00:00"/>
    <d v="2023-09-30T00:00:00"/>
    <n v="14"/>
    <n v="14"/>
    <s v="SI"/>
    <s v="NO"/>
    <x v="0"/>
    <s v="M206"/>
    <s v="DEFORMIDADES ADQUIRIDAS DE LOS DEDOS DEL PIE, NO ESPECIFICADAS"/>
    <s v="SURA"/>
    <s v="0-36337605"/>
    <d v="2023-09-19T00:00:00"/>
    <d v="2023-10-03T00:00:00"/>
    <n v="541333"/>
    <s v="ASUME LA EPS"/>
    <n v="541333"/>
    <m/>
    <m/>
  </r>
  <r>
    <x v="7"/>
    <n v="70323164"/>
    <s v="SUAREZ"/>
    <s v="CASTRILLON"/>
    <s v="JOSE"/>
    <s v="AICARDO"/>
    <s v="VIGILANTE "/>
    <d v="2023-09-18T00:00:00"/>
    <d v="2023-09-21T00:00:00"/>
    <n v="4"/>
    <n v="4"/>
    <s v="SI"/>
    <s v="SI"/>
    <x v="0"/>
    <s v="J448"/>
    <s v="OTRAS ENFERMEDADES PULMONARES OBSTRUCTIVAS CRONICAS ESPECIFICADAS"/>
    <s v="SURA"/>
    <n v="8622316"/>
    <d v="2023-09-25T00:00:00"/>
    <d v="2023-09-28T00:00:00"/>
    <n v="154667"/>
    <s v="ASUME LA EPS"/>
    <n v="154667"/>
    <n v="0"/>
    <m/>
  </r>
  <r>
    <x v="7"/>
    <n v="71651935"/>
    <s v="CARDONA "/>
    <s v="RODRIGUEZ"/>
    <s v="JUAN "/>
    <s v="CARLOS"/>
    <s v="VIGILANTE "/>
    <d v="2023-09-18T00:00:00"/>
    <d v="2023-10-17T00:00:00"/>
    <n v="30"/>
    <n v="30"/>
    <s v="SI"/>
    <s v="SI"/>
    <x v="0"/>
    <s v="C20"/>
    <s v="TUMOR MALIGNO DEL RECTO"/>
    <s v="SALUD TOTAL "/>
    <m/>
    <m/>
    <m/>
    <m/>
    <s v="ASUME LA EPS"/>
    <n v="1272005"/>
    <n v="0"/>
    <m/>
  </r>
  <r>
    <x v="7"/>
    <n v="91002376"/>
    <s v="RICO"/>
    <s v="ROJAS "/>
    <s v="MANUEL"/>
    <m/>
    <s v="VIGILANTE "/>
    <d v="2023-09-18T00:00:00"/>
    <d v="2023-09-18T00:00:00"/>
    <n v="1"/>
    <n v="1"/>
    <s v="NO"/>
    <s v="NO"/>
    <x v="0"/>
    <s v="K297"/>
    <s v="GASTRITIS, NO ESPECIFICADA"/>
    <s v="SALUD TOTAL "/>
    <n v="0"/>
    <d v="2023-09-27T00:00:00"/>
    <n v="0"/>
    <n v="42400"/>
    <s v="ASUME LA EMPRESA "/>
    <n v="1272005"/>
    <n v="0"/>
    <n v="42400"/>
  </r>
  <r>
    <x v="7"/>
    <n v="71382103"/>
    <s v="MOLINA "/>
    <s v="GUISAO "/>
    <s v="SERGIO "/>
    <s v="ARMANDO "/>
    <s v="VIGILANTE "/>
    <d v="2023-09-18T00:00:00"/>
    <d v="2023-09-19T00:00:00"/>
    <n v="2"/>
    <n v="2"/>
    <s v="NO"/>
    <s v="NO"/>
    <x v="0"/>
    <s v="M545"/>
    <s v="LUMBAGO NO ESPECIFICADO"/>
    <s v="SURA"/>
    <m/>
    <m/>
    <m/>
    <m/>
    <s v="ASUME LA EPS"/>
    <n v="1272005"/>
    <m/>
    <m/>
  </r>
  <r>
    <x v="7"/>
    <n v="3669363"/>
    <s v="PINO"/>
    <s v="CASTAÑO"/>
    <s v="GUSTAVO"/>
    <s v="DE JESUS"/>
    <s v="VIGILANTE "/>
    <d v="2023-09-21T00:00:00"/>
    <d v="2023-09-23T00:00:00"/>
    <n v="3"/>
    <n v="3"/>
    <s v="SI"/>
    <s v="NO"/>
    <x v="0"/>
    <s v="M173"/>
    <s v="OTRAS GONARTROSIS POSTRAUMATICAS"/>
    <s v="SURA"/>
    <m/>
    <m/>
    <m/>
    <m/>
    <s v="ASUME LA EPS"/>
    <n v="1272005"/>
    <n v="0"/>
    <m/>
  </r>
  <r>
    <x v="7"/>
    <n v="3482728"/>
    <s v="HOLGUIN "/>
    <s v="ARENAS "/>
    <s v="HECTOR "/>
    <s v="HUMBERTO"/>
    <s v="VIGILANTE "/>
    <d v="2023-09-21T00:00:00"/>
    <d v="2023-09-24T00:00:00"/>
    <n v="4"/>
    <n v="4"/>
    <s v="NO"/>
    <s v="NO"/>
    <x v="0"/>
    <s v="S009"/>
    <s v="TRAUMATISMO SUPERFICIAL DE LA CABEZA, PARTE NO ESPECIFICADA"/>
    <s v="COOSALUD "/>
    <n v="40003336"/>
    <d v="2023-10-04T00:00:00"/>
    <d v="2023-10-19T00:00:00"/>
    <n v="77334"/>
    <s v="ASUME LA EPS"/>
    <n v="77334"/>
    <n v="0"/>
    <m/>
  </r>
  <r>
    <x v="7"/>
    <n v="107744021"/>
    <s v="HOLGUIN "/>
    <s v="JAMAS"/>
    <s v="HECTOR "/>
    <s v="HUMBERTO"/>
    <s v="VIGILANTE "/>
    <d v="2023-09-21T00:00:00"/>
    <d v="2023-09-24T00:00:00"/>
    <n v="4"/>
    <n v="4"/>
    <s v="NO"/>
    <s v="NO"/>
    <x v="0"/>
    <s v="S009"/>
    <s v="TRAUMATISMO SUPERFICIAL DE LA CABEZA, PARTE NO ESPECIFICADA"/>
    <s v="COOSALUD "/>
    <n v="40003336"/>
    <d v="2023-10-04T00:00:00"/>
    <m/>
    <m/>
    <s v="ASUME LA EPS"/>
    <m/>
    <m/>
    <m/>
  </r>
  <r>
    <x v="7"/>
    <n v="702526687"/>
    <s v="MAZO"/>
    <s v="RAMIREZ"/>
    <s v="IVAN"/>
    <s v="DARIO"/>
    <s v="VIGILANTE"/>
    <d v="2023-09-21T00:00:00"/>
    <d v="2023-10-20T00:00:00"/>
    <n v="30"/>
    <n v="30"/>
    <s v="NO"/>
    <s v="NO"/>
    <x v="0"/>
    <s v="C20"/>
    <s v="TUMOR MALIGNO DEL RECTO"/>
    <s v="SURA EPS"/>
    <s v="0-36524400"/>
    <d v="2023-10-31T00:00:00"/>
    <d v="2023-10-19T00:00:00"/>
    <n v="1082667"/>
    <s v="ASUME LA EPS"/>
    <n v="1082667"/>
    <m/>
    <m/>
  </r>
  <r>
    <x v="7"/>
    <n v="70323164"/>
    <s v="SUAREZ"/>
    <s v="CASTRILLON"/>
    <s v="JOSE"/>
    <s v="AICARDO"/>
    <s v="VIGILANTE "/>
    <d v="2023-09-22T00:00:00"/>
    <d v="2023-09-25T00:00:00"/>
    <n v="4"/>
    <n v="4"/>
    <s v="SI"/>
    <s v="SI"/>
    <x v="0"/>
    <s v="J448"/>
    <s v="OTRAS ENFERMEDADES PULMONARES OBSTRUCTIVAS CRONICAS ESPECIFICADAS"/>
    <s v="SURA"/>
    <n v="8619298"/>
    <d v="2023-09-22T00:00:00"/>
    <d v="2023-09-28T00:00:00"/>
    <n v="154667"/>
    <s v="ASUME LA EPS"/>
    <n v="154667"/>
    <n v="0"/>
    <m/>
  </r>
  <r>
    <x v="7"/>
    <n v="1000634073"/>
    <s v="CESPEDES "/>
    <s v="CEPULVEDAD"/>
    <s v="JOHN "/>
    <s v="ALEXANDER"/>
    <s v="VIGILANTE "/>
    <d v="2023-09-22T00:00:00"/>
    <d v="2023-09-25T00:00:00"/>
    <n v="4"/>
    <n v="4"/>
    <s v="NO"/>
    <s v="NO"/>
    <x v="0"/>
    <s v="A09"/>
    <s v="DIARREA Y GASTROENTERITIS DE PRESUNTO ORIGEN INFECCIOSO"/>
    <s v="SURA EPS"/>
    <n v="8655847"/>
    <d v="2023-10-03T00:00:00"/>
    <m/>
    <m/>
    <s v="ASUME LA EPS"/>
    <m/>
    <m/>
    <m/>
  </r>
  <r>
    <x v="7"/>
    <n v="1000634073"/>
    <s v="CESPEDES"/>
    <s v="PULGARIN"/>
    <s v="JOHN "/>
    <s v="ALEXANDER"/>
    <s v="VIGILANTE"/>
    <d v="2023-09-22T00:00:00"/>
    <d v="2023-09-25T00:00:00"/>
    <n v="4"/>
    <n v="4"/>
    <s v="NO"/>
    <s v="NO"/>
    <x v="0"/>
    <s v="A09"/>
    <s v="DIARREA Y GASTROENTERITIS DE PRESUNTO ORIGEN INFECCIOSO"/>
    <s v="SURA EPS"/>
    <n v="8655847"/>
    <d v="2023-10-04T00:00:00"/>
    <d v="2023-10-15T00:00:00"/>
    <n v="77333"/>
    <s v="ASUME LA EPS"/>
    <n v="77333"/>
    <m/>
    <m/>
  </r>
  <r>
    <x v="7"/>
    <n v="71721292"/>
    <s v="HOYOS"/>
    <s v="HOYOS"/>
    <s v="EMILIO"/>
    <s v="ANGEL"/>
    <s v="VIGILANTE"/>
    <d v="2023-09-22T00:00:00"/>
    <d v="2023-10-21T00:00:00"/>
    <n v="30"/>
    <n v="30"/>
    <s v="SI"/>
    <s v="NO"/>
    <x v="0"/>
    <s v="M844"/>
    <s v="FRACTURA PATOLOGICA, NO CLASIFICADA EN OTRA PARTE"/>
    <s v="SALUD TOTAL"/>
    <m/>
    <d v="2023-11-14T00:00:00"/>
    <m/>
    <m/>
    <m/>
    <m/>
    <m/>
    <m/>
  </r>
  <r>
    <x v="7"/>
    <n v="1000634073"/>
    <s v="CESPEDES"/>
    <s v="SEPULVEDA"/>
    <s v="JOHN "/>
    <s v="ALEXANDER"/>
    <s v="VIGILANTE"/>
    <d v="2023-09-22T00:00:00"/>
    <d v="2023-09-25T00:00:00"/>
    <n v="4"/>
    <n v="4"/>
    <s v="NO"/>
    <s v="NO"/>
    <x v="0"/>
    <s v="A09"/>
    <s v="DIARREA Y GASTROENTERITIS DE PRESUNTO ORIGEN INFECCIOSO"/>
    <s v="SURA EPS"/>
    <s v="NEGADA"/>
    <d v="2023-11-21T00:00:00"/>
    <s v="N/A"/>
    <n v="0"/>
    <m/>
    <m/>
    <m/>
    <m/>
  </r>
  <r>
    <x v="7"/>
    <n v="15259158"/>
    <s v="MARIN "/>
    <s v="MARIN"/>
    <s v="JHON "/>
    <s v="JAIRO"/>
    <s v="VIGILANTE "/>
    <d v="2023-09-23T00:00:00"/>
    <d v="2023-10-07T00:00:00"/>
    <n v="15"/>
    <n v="15"/>
    <s v="NO"/>
    <s v="NO"/>
    <x v="0"/>
    <s v="K429"/>
    <s v="HERNIA UMBILICAL SIN OBSTRUCCION NI GANGRENA"/>
    <s v="SANITAS "/>
    <m/>
    <m/>
    <m/>
    <m/>
    <s v="ASUME LA EPS"/>
    <n v="1272005"/>
    <n v="0"/>
    <m/>
  </r>
  <r>
    <x v="7"/>
    <n v="15259158"/>
    <s v="MARIN"/>
    <s v="MARIN"/>
    <s v="JHON"/>
    <s v="JAIRO"/>
    <s v="VIGILANTE "/>
    <d v="2023-09-23T00:00:00"/>
    <d v="2023-10-07T00:00:00"/>
    <n v="15"/>
    <n v="15"/>
    <s v="NO"/>
    <s v="NO"/>
    <x v="0"/>
    <s v="K429"/>
    <s v="HERNIA UMBILICAL SIN OBSTRUCCION NI GANGRENA"/>
    <s v="SANITAS "/>
    <m/>
    <d v="2023-10-04T00:00:00"/>
    <m/>
    <m/>
    <s v="ASUME LA EPS"/>
    <m/>
    <m/>
    <m/>
  </r>
  <r>
    <x v="7"/>
    <n v="71676289"/>
    <s v="MARIN"/>
    <s v="CASTRO"/>
    <s v="WILLSON"/>
    <s v="LEON"/>
    <s v="VIGILANTE "/>
    <d v="2023-09-25T00:00:00"/>
    <d v="2023-10-08T00:00:00"/>
    <n v="14"/>
    <n v="14"/>
    <s v="SI"/>
    <s v="SI"/>
    <x v="0"/>
    <s v="S983"/>
    <s v="AMPUTACION TRAUMATICA DE OTRAS PARTES DEL PIE"/>
    <s v="SURA "/>
    <n v="8623085"/>
    <d v="2023-09-25T00:00:00"/>
    <m/>
    <m/>
    <s v="ASUME LA EPS"/>
    <n v="1272005"/>
    <n v="0"/>
    <n v="0"/>
  </r>
  <r>
    <x v="7"/>
    <n v="71781456"/>
    <s v="TEJADA "/>
    <s v="ATILANO "/>
    <s v="HENRY"/>
    <s v="ALBERTO"/>
    <s v="VIGILANTE "/>
    <d v="2023-09-25T00:00:00"/>
    <d v="2023-09-26T00:00:00"/>
    <n v="2"/>
    <n v="2"/>
    <s v="NO"/>
    <s v="NO"/>
    <x v="0"/>
    <s v="M545"/>
    <s v="LUMBAGO NO ESPECIFICADO"/>
    <s v="SURA"/>
    <n v="0"/>
    <n v="0"/>
    <n v="0"/>
    <n v="42400"/>
    <s v="ASUME LA EPS"/>
    <n v="1272005"/>
    <n v="0"/>
    <n v="42400"/>
  </r>
  <r>
    <x v="7"/>
    <n v="70323164"/>
    <s v="SUAREZ"/>
    <s v="CASTRILLON"/>
    <s v="JOSE"/>
    <s v="AICARDO"/>
    <s v="VIGILANTE "/>
    <d v="2023-09-26T00:00:00"/>
    <d v="2023-10-05T00:00:00"/>
    <n v="10"/>
    <n v="10"/>
    <s v="SI"/>
    <s v="SI"/>
    <x v="0"/>
    <s v="J448"/>
    <s v="OTRAS ENFERMEDADES PULMONARES OBSTRUCTIVAS CRONICAS ESPECIFICADAS"/>
    <s v="SURA"/>
    <n v="8636063"/>
    <d v="2023-09-28T00:00:00"/>
    <d v="2023-09-28T00:00:00"/>
    <n v="386667"/>
    <s v="ASUME LA EPS"/>
    <n v="386667"/>
    <n v="0"/>
    <n v="0"/>
  </r>
  <r>
    <x v="7"/>
    <n v="1216713788"/>
    <s v="HENAO"/>
    <s v="RINCON"/>
    <s v="ANDRES "/>
    <s v="MAURICIO"/>
    <s v="VIGILANTE "/>
    <d v="2023-09-27T00:00:00"/>
    <d v="2023-10-26T00:00:00"/>
    <n v="24"/>
    <n v="24"/>
    <s v="SI"/>
    <s v="NO"/>
    <x v="1"/>
    <s v="S835"/>
    <s v="ESGUINCES Y TORCEDURAS QUE COMPROMETEN EL LIGAMENTO CRUZADO (ANTERIOR) (POSTERIOR) DE LA RODILLA"/>
    <s v="ARL BOLIVAR"/>
    <m/>
    <d v="2023-10-06T00:00:00"/>
    <d v="2023-10-26T00:00:00"/>
    <n v="1424646"/>
    <s v="ASUME LA EPS"/>
    <m/>
    <m/>
    <m/>
  </r>
  <r>
    <x v="7"/>
    <n v="1035225845"/>
    <s v="URREA"/>
    <s v="MENESES"/>
    <s v="CARLOS"/>
    <s v="JOAN"/>
    <s v="VIGILANTE"/>
    <d v="2023-09-28T00:00:00"/>
    <d v="2023-09-30T00:00:00"/>
    <n v="3"/>
    <n v="3"/>
    <s v="NO"/>
    <s v="NO"/>
    <x v="0"/>
    <s v="B349"/>
    <s v="INFECCION VIRAL, NO ESPECIFICADA"/>
    <s v="NUEVA EPS"/>
    <n v="9626050"/>
    <d v="2023-10-13T00:00:00"/>
    <d v="2023-11-17T00:00:00"/>
    <n v="38667"/>
    <s v="ASUME LA EPS"/>
    <m/>
    <m/>
    <m/>
  </r>
  <r>
    <x v="7"/>
    <n v="43323488"/>
    <s v="CANO "/>
    <m/>
    <s v="MARISOL"/>
    <m/>
    <s v="VIGILANTE "/>
    <d v="2023-09-30T00:00:00"/>
    <d v="2023-10-06T00:00:00"/>
    <n v="7"/>
    <n v="7"/>
    <s v="NO"/>
    <s v="NO"/>
    <x v="0"/>
    <s v="L872"/>
    <s v="ELASTOSIS SERPIGINOSA PERFORANTE"/>
    <s v="NUEVA EPS"/>
    <m/>
    <d v="2023-10-03T00:00:00"/>
    <d v="2023-11-24T00:00:00"/>
    <n v="193333"/>
    <s v="ASUME LA EPS"/>
    <m/>
    <m/>
    <m/>
  </r>
  <r>
    <x v="7"/>
    <n v="43600465"/>
    <s v="MONSALVE"/>
    <s v="GALEANO"/>
    <s v="MARGARITA"/>
    <s v="MARIA"/>
    <s v="CO.OPERATIVA"/>
    <d v="2023-10-01T00:00:00"/>
    <d v="2023-10-14T00:00:00"/>
    <n v="14"/>
    <n v="14"/>
    <s v="NO"/>
    <s v="NO"/>
    <x v="0"/>
    <s v="M206"/>
    <s v="DEFORMIDADES ADQUIRIDAS DE LOS DEDOS DEL PIE, NO ESPECIFICADAS"/>
    <s v="SURA EPS"/>
    <n v="8654927"/>
    <d v="2023-10-04T00:00:00"/>
    <d v="2023-10-19T00:00:00"/>
    <n v="541333"/>
    <s v="ASUME LA EPS"/>
    <n v="541333"/>
    <m/>
    <m/>
  </r>
  <r>
    <x v="9"/>
    <n v="15309929"/>
    <s v="GALVIS"/>
    <s v="CASTRO"/>
    <s v="NICOLAS"/>
    <s v="EMIRO"/>
    <s v="VIGILANTE "/>
    <d v="2023-10-04T00:00:00"/>
    <d v="2023-10-18T00:00:00"/>
    <n v="15"/>
    <n v="15"/>
    <s v="SI"/>
    <s v="NO"/>
    <x v="0"/>
    <s v="S832"/>
    <s v="DESGARRO DE MENISCOS, PRESENTE"/>
    <s v="SURA"/>
    <n v="8653033"/>
    <d v="2023-10-03T00:00:00"/>
    <m/>
    <m/>
    <s v="ASUME LA EPS"/>
    <m/>
    <m/>
    <m/>
  </r>
  <r>
    <x v="7"/>
    <n v="70323164"/>
    <s v="SUAREZ"/>
    <s v="CASTRILLON"/>
    <s v="JOSE"/>
    <s v="AICARDIO"/>
    <s v="VIGILANTE "/>
    <d v="2023-10-06T00:00:00"/>
    <d v="2023-09-15T00:00:00"/>
    <n v="10"/>
    <n v="10"/>
    <s v="SI"/>
    <s v="NO"/>
    <x v="0"/>
    <s v="J449"/>
    <s v="ENFERMEDAD PULMONAR OBSTRUCTIVA CRONICA, NO ESPECIFICADA"/>
    <s v="SURA EPS"/>
    <s v="0-36480989"/>
    <d v="2023-10-06T00:00:00"/>
    <d v="2023-10-12T00:00:00"/>
    <n v="386667"/>
    <s v="ASUME LA EPS"/>
    <n v="386667"/>
    <m/>
    <m/>
  </r>
  <r>
    <x v="9"/>
    <n v="70783820"/>
    <s v="DIAZ"/>
    <s v="MORALES"/>
    <s v="WILLIAM"/>
    <s v="DE JESUS"/>
    <s v="VIGILANTE"/>
    <d v="2023-10-07T00:00:00"/>
    <d v="2023-10-21T00:00:00"/>
    <n v="15"/>
    <n v="15"/>
    <s v="NO"/>
    <s v="NO"/>
    <x v="0"/>
    <s v="K922"/>
    <s v="HEMORRAGIA GASTROINTESTINAL, NO ESPECIFICADA"/>
    <s v="SURA EPS"/>
    <n v="8776013"/>
    <d v="2023-11-14T00:00:00"/>
    <d v="2023-11-16T00:00:00"/>
    <n v="502667"/>
    <s v="ASUME LA EPS"/>
    <n v="502667"/>
    <m/>
    <m/>
  </r>
  <r>
    <x v="9"/>
    <n v="71676289"/>
    <s v="MARIN "/>
    <s v="CASTRO"/>
    <s v="WILSON"/>
    <s v="LEON"/>
    <s v="VIGILANTE"/>
    <d v="2023-10-09T00:00:00"/>
    <d v="2023-10-22T00:00:00"/>
    <n v="14"/>
    <n v="14"/>
    <s v="SI"/>
    <s v="NO"/>
    <x v="0"/>
    <s v="S983"/>
    <s v="AMPUTACION TRAUMATICA DE OTRAS PARTES DEL PIE"/>
    <s v="SURA EPS"/>
    <n v="8688073"/>
    <d v="2023-10-13T00:00:00"/>
    <m/>
    <m/>
    <s v="ASUME LA EPS"/>
    <m/>
    <m/>
    <m/>
  </r>
  <r>
    <x v="9"/>
    <n v="98601485"/>
    <s v="SARRAZOLA"/>
    <m/>
    <s v="WILMAR"/>
    <s v="DE JESUS"/>
    <s v="VIGILANTE"/>
    <d v="2023-10-09T00:00:00"/>
    <d v="2023-11-07T00:00:00"/>
    <n v="30"/>
    <n v="30"/>
    <s v="SI"/>
    <s v="NO"/>
    <x v="0"/>
    <s v="M179"/>
    <s v="GONARTROSIS, NO ESPECIFICADA"/>
    <s v="SURA EPS"/>
    <n v="8688116"/>
    <d v="2023-10-13T00:00:00"/>
    <d v="2023-10-19T00:00:00"/>
    <n v="232000"/>
    <s v="ASUME LA EPS"/>
    <n v="232000"/>
    <m/>
    <m/>
  </r>
  <r>
    <x v="9"/>
    <n v="1128467712"/>
    <s v="GUZMAN"/>
    <s v="CORREA"/>
    <s v="PAULINA"/>
    <s v="JUDY"/>
    <s v="VIGILANTE"/>
    <d v="2023-10-10T00:00:00"/>
    <d v="2023-10-12T00:00:00"/>
    <n v="3"/>
    <n v="3"/>
    <s v="NO"/>
    <s v="NO"/>
    <x v="0"/>
    <s v="S800"/>
    <s v="CONTUSION DE LA RODILLA"/>
    <s v="SURA EPS"/>
    <n v="8686799"/>
    <d v="2023-10-13T00:00:00"/>
    <d v="2023-10-17T00:00:00"/>
    <n v="38667"/>
    <s v="ASUME LA EPS"/>
    <n v="38667"/>
    <m/>
    <m/>
  </r>
  <r>
    <x v="9"/>
    <n v="3669363"/>
    <s v="PINO"/>
    <s v="CASTAÑO"/>
    <s v="GUSTAVO"/>
    <s v="DE JESUS"/>
    <s v="VIGILANTE"/>
    <d v="2023-10-10T00:00:00"/>
    <d v="2023-10-10T00:00:00"/>
    <n v="1"/>
    <n v="1"/>
    <s v="SI"/>
    <s v="NO"/>
    <x v="0"/>
    <s v="M173"/>
    <s v="OTRAS GONARTROSIS POSTRAUMATICAS"/>
    <s v="SURA EPS"/>
    <n v="8688106"/>
    <d v="2023-10-13T00:00:00"/>
    <m/>
    <m/>
    <s v="ASUME LA EPS"/>
    <m/>
    <m/>
    <m/>
  </r>
  <r>
    <x v="9"/>
    <n v="705351830"/>
    <s v="GARCIA"/>
    <s v="GOMEZ"/>
    <s v="GONZAGA"/>
    <s v="DE JESUS"/>
    <s v="VIGILANTE"/>
    <d v="2023-10-10T00:00:00"/>
    <d v="2023-10-24T00:00:00"/>
    <n v="15"/>
    <n v="10"/>
    <s v="NO"/>
    <s v="NO"/>
    <x v="0"/>
    <s v="L83"/>
    <s v="ACANTOSIS NIGRICANS"/>
    <s v="NUEVA EPS"/>
    <n v="790476"/>
    <m/>
    <m/>
    <m/>
    <s v="ASUME LA EPS"/>
    <m/>
    <m/>
    <m/>
  </r>
  <r>
    <x v="9"/>
    <n v="71316478"/>
    <s v="GALLEGO"/>
    <s v="EDUAR "/>
    <s v="YOVANY"/>
    <m/>
    <s v="VIGILANTE"/>
    <d v="2023-10-10T00:00:00"/>
    <d v="2023-11-08T00:00:00"/>
    <n v="30"/>
    <n v="30"/>
    <s v="SI"/>
    <s v="NO"/>
    <x v="0"/>
    <s v="I64"/>
    <s v="ACCIDENTE VASCULAR ENCEFALICO AGUDO, NO ESPECIFICADO COMO HEMORRAGICO O ISQUEMICO"/>
    <s v="SURA EPS"/>
    <n v="8763461"/>
    <d v="2023-11-09T00:00:00"/>
    <d v="2023-11-09T00:00:00"/>
    <n v="1160000"/>
    <s v="ASUME LA EPS"/>
    <n v="1160000"/>
    <m/>
    <m/>
  </r>
  <r>
    <x v="9"/>
    <n v="43600465"/>
    <s v="MONSALVE"/>
    <s v="GALEANO"/>
    <s v="MARGARITA"/>
    <s v="MARIA"/>
    <s v="ASI.OPERATIVA"/>
    <d v="2023-10-15T00:00:00"/>
    <d v="2023-10-26T00:00:00"/>
    <n v="12"/>
    <n v="12"/>
    <s v="SI"/>
    <s v="NO"/>
    <x v="0"/>
    <s v="M206"/>
    <s v="DEFORMIDADES ADQUIRIDAS DE LOS DEDOS DEL PIE, NO ESPECIFICADAS"/>
    <s v="SURA EPS"/>
    <n v="8729243"/>
    <d v="2023-10-27T00:00:00"/>
    <d v="2023-10-31T00:00:00"/>
    <n v="464000"/>
    <s v="ASUME LA EPS"/>
    <n v="464000"/>
    <m/>
    <m/>
  </r>
  <r>
    <x v="9"/>
    <n v="1036622798"/>
    <s v="BETANCUR "/>
    <s v="GIL"/>
    <s v="DUVIAN "/>
    <s v="YHOBANNY"/>
    <s v="VIGILANTE"/>
    <d v="2023-10-15T00:00:00"/>
    <d v="2023-10-12T00:00:00"/>
    <n v="29"/>
    <n v="29"/>
    <s v="SI"/>
    <s v="NO"/>
    <x v="0"/>
    <s v="S933"/>
    <s v="LUXACION DE OTROS SITIOS Y LOS NO ESPECIFICADOS DEL PIE"/>
    <s v="SURA EPS"/>
    <n v="8711082"/>
    <d v="2023-10-23T00:00:00"/>
    <m/>
    <m/>
    <s v="ASUME LA EPS"/>
    <m/>
    <m/>
    <m/>
  </r>
  <r>
    <x v="9"/>
    <n v="71601851"/>
    <s v="MAZO "/>
    <s v="ELORZA"/>
    <s v="RAMON"/>
    <s v="ANGEL"/>
    <s v="VIGILANTE"/>
    <d v="2023-10-16T00:00:00"/>
    <d v="2023-10-14T00:00:00"/>
    <n v="30"/>
    <n v="30"/>
    <s v="SI"/>
    <s v="NO"/>
    <x v="0"/>
    <s v="M170"/>
    <s v="GONARTROSIS PRIMARIA, BILATERAL"/>
    <s v="NUEVA EPS"/>
    <m/>
    <d v="2023-10-24T00:00:00"/>
    <m/>
    <m/>
    <s v="ASUME LA EPS"/>
    <m/>
    <m/>
    <m/>
  </r>
  <r>
    <x v="9"/>
    <n v="71686928"/>
    <s v="RIOS "/>
    <s v="ESTRADA"/>
    <s v="NESTOR "/>
    <s v="RAUL"/>
    <s v="VIGILANTE"/>
    <d v="2023-10-16T00:00:00"/>
    <d v="2023-10-30T00:00:00"/>
    <n v="15"/>
    <n v="15"/>
    <s v="SI"/>
    <s v="NO"/>
    <x v="0"/>
    <s v="S821"/>
    <s v="FRACTURA DE LA EPIFISIS SUPERIOR DE LA TIBIA"/>
    <s v="SURA EPS"/>
    <n v="8799964"/>
    <d v="2023-11-21T00:00:00"/>
    <d v="2023-12-05T00:00:00"/>
    <n v="580000"/>
    <s v="AUME LA EPS"/>
    <n v="580000"/>
    <m/>
    <m/>
  </r>
  <r>
    <x v="9"/>
    <n v="94262650"/>
    <s v="ALVAREZ "/>
    <s v="CASTAÑO"/>
    <s v="JHON"/>
    <s v="EIBER"/>
    <s v="VIGILANTE"/>
    <d v="2023-10-17T00:00:00"/>
    <d v="2023-10-18T00:00:00"/>
    <n v="2"/>
    <n v="2"/>
    <s v="NO"/>
    <s v="NO"/>
    <x v="0"/>
    <s v="M255"/>
    <s v="DOLOR EN ARTICULACION"/>
    <s v="SURA EPS"/>
    <m/>
    <d v="2023-11-08T00:00:00"/>
    <m/>
    <m/>
    <s v="ASUME LA EMPRESA "/>
    <m/>
    <m/>
    <m/>
  </r>
  <r>
    <x v="9"/>
    <n v="71193583"/>
    <s v="GUTIERREZ "/>
    <s v="ZAPATA"/>
    <s v="JUAN "/>
    <s v="CAMILO"/>
    <s v="VIGILANTE"/>
    <d v="2023-10-17T00:00:00"/>
    <d v="2023-10-18T00:00:00"/>
    <n v="2"/>
    <n v="2"/>
    <s v="NO"/>
    <s v="NO "/>
    <x v="0"/>
    <s v="A083"/>
    <s v="OTRAS ENTERITIS VIRALES"/>
    <s v="SURA EPS"/>
    <m/>
    <d v="2023-11-08T00:00:00"/>
    <m/>
    <n v="0"/>
    <s v="ASUME LA EMPRESA "/>
    <m/>
    <m/>
    <m/>
  </r>
  <r>
    <x v="9"/>
    <n v="15309929"/>
    <s v="GALVIS"/>
    <s v="CASTRO"/>
    <s v="NICOLAS"/>
    <s v="EMIRO"/>
    <s v="VIGILANTE"/>
    <d v="2023-10-19T00:00:00"/>
    <d v="2023-11-02T00:00:00"/>
    <n v="15"/>
    <n v="15"/>
    <s v="SI"/>
    <s v="NO"/>
    <x v="0"/>
    <s v="S832"/>
    <s v="DESGARRO DE MENISCOS, PRESENTE"/>
    <s v="SURA EPS"/>
    <n v="8739338"/>
    <d v="2023-10-31T00:00:00"/>
    <m/>
    <m/>
    <s v="ASUME LA EPS"/>
    <m/>
    <m/>
    <m/>
  </r>
  <r>
    <x v="9"/>
    <n v="11936325"/>
    <s v="GARCIA"/>
    <s v="CARMONA"/>
    <s v="JUAN"/>
    <s v="PABLO"/>
    <s v="VIGILANTE"/>
    <d v="2023-10-20T00:00:00"/>
    <d v="2023-10-27T00:00:00"/>
    <n v="8"/>
    <n v="8"/>
    <s v="NO"/>
    <s v="NO"/>
    <x v="0"/>
    <s v="S924"/>
    <s v="FRACTURA DE LOS HUESOS DEL DEDO GORDO DEL PIE"/>
    <s v="SURA EPS"/>
    <n v="8729268"/>
    <d v="2023-10-24T00:00:00"/>
    <d v="2023-10-31T00:00:00"/>
    <n v="232000"/>
    <s v="ASUME LA EPS"/>
    <n v="232000"/>
    <m/>
    <m/>
  </r>
  <r>
    <x v="9"/>
    <n v="94262650"/>
    <s v="ALVAREZ "/>
    <s v="CASTAÑO"/>
    <s v="JHON"/>
    <s v="EIBER"/>
    <s v="VIGILANTE"/>
    <d v="2023-10-20T00:00:00"/>
    <d v="2023-10-22T00:00:00"/>
    <n v="3"/>
    <n v="3"/>
    <s v="NO"/>
    <s v="NO"/>
    <x v="0"/>
    <s v="M545"/>
    <s v="LUMBAGO NO ESPECIFICADO"/>
    <s v="SURA EPS"/>
    <n v="8760380"/>
    <d v="2023-11-08T00:00:00"/>
    <d v="2023-11-23T00:00:00"/>
    <n v="38667"/>
    <s v="ASUME LA EPS"/>
    <m/>
    <m/>
    <m/>
  </r>
  <r>
    <x v="9"/>
    <n v="94262650"/>
    <s v="ALVAREZ "/>
    <s v="CASTAÑO"/>
    <s v="JHON"/>
    <s v="EIBER"/>
    <s v="VIGILANTE"/>
    <d v="2023-10-20T00:00:00"/>
    <d v="2023-10-22T00:00:00"/>
    <n v="3"/>
    <n v="3"/>
    <s v="NO"/>
    <s v="NO"/>
    <x v="0"/>
    <s v="M545"/>
    <s v="LUMBAGO NO ESPECIFICADO"/>
    <s v="SURA EPS"/>
    <m/>
    <d v="2023-11-08T00:00:00"/>
    <m/>
    <n v="0"/>
    <s v="ASUME LA EMPRESA "/>
    <m/>
    <m/>
    <m/>
  </r>
  <r>
    <x v="9"/>
    <n v="71193583"/>
    <s v="GUTIERREZ "/>
    <s v="ZAPATA"/>
    <s v="JUAN "/>
    <s v="CAMILO"/>
    <s v="VIGILANTE"/>
    <d v="2023-10-20T00:00:00"/>
    <d v="2023-10-21T00:00:00"/>
    <n v="2"/>
    <n v="2"/>
    <s v="SI"/>
    <s v="NO "/>
    <x v="0"/>
    <s v="A09"/>
    <s v="DIARREA Y GASTROENTERITIS DE PRESUNTO ORIGEN INFECCIOSO"/>
    <s v="SURA EPS"/>
    <m/>
    <d v="2023-11-08T00:00:00"/>
    <d v="2023-11-09T00:00:00"/>
    <n v="77333"/>
    <s v="ASUME LA EPS"/>
    <n v="77333"/>
    <m/>
    <m/>
  </r>
  <r>
    <x v="9"/>
    <n v="98648701"/>
    <s v="MARTINEZ "/>
    <s v="CARDONA"/>
    <s v="ALEX "/>
    <s v="SEVERIANO"/>
    <s v="VIGILANTE "/>
    <d v="2023-10-21T00:00:00"/>
    <d v="2023-10-23T00:00:00"/>
    <n v="3"/>
    <n v="3"/>
    <s v="NO"/>
    <s v="NO"/>
    <x v="0"/>
    <s v="M179"/>
    <s v="GONARTROSIS, NO ESPECIFICADA"/>
    <s v="SURA"/>
    <m/>
    <d v="2023-10-30T00:00:00"/>
    <d v="2023-11-14T00:00:00"/>
    <n v="38667"/>
    <s v="ASUME LA EPS"/>
    <n v="38667"/>
    <m/>
    <m/>
  </r>
  <r>
    <x v="9"/>
    <n v="70323164"/>
    <s v="SUAREZ"/>
    <s v="CASTRILLON"/>
    <s v="JOSE "/>
    <s v="AIRCARDO"/>
    <s v="VIGILANTE"/>
    <d v="2023-10-22T00:00:00"/>
    <d v="2023-10-24T00:00:00"/>
    <n v="3"/>
    <n v="3"/>
    <s v="SI"/>
    <s v="NO"/>
    <x v="0"/>
    <s v="J449"/>
    <s v="ENFERMEDAD PULMONAR OBSTRUCTIVA CRONICA, NO ESPECIFICADA"/>
    <s v="SURA EPS"/>
    <n v="8739326"/>
    <d v="2023-10-31T00:00:00"/>
    <d v="2023-10-31T00:00:00"/>
    <n v="116000"/>
    <s v="ASUME LA EPS"/>
    <n v="116000"/>
    <m/>
    <m/>
  </r>
  <r>
    <x v="9"/>
    <n v="71721292"/>
    <s v="HOYOS"/>
    <s v="HOYOS"/>
    <s v="EMILIO"/>
    <s v="ANGEL"/>
    <s v="VIGILANTE"/>
    <d v="2023-10-22T00:00:00"/>
    <d v="2023-11-20T00:00:00"/>
    <n v="30"/>
    <n v="30"/>
    <s v="SI"/>
    <s v="NO"/>
    <x v="0"/>
    <s v="S728"/>
    <s v="FRACTURA DE OTRAS PARTES DEL FEMUR"/>
    <s v="SALUD TOTAL"/>
    <m/>
    <d v="2023-11-14T00:00:00"/>
    <m/>
    <m/>
    <m/>
    <m/>
    <m/>
    <m/>
  </r>
  <r>
    <x v="9"/>
    <n v="71676289"/>
    <s v="MARIN"/>
    <s v="CASTRO"/>
    <s v="WILSON"/>
    <s v="LEON"/>
    <s v="VIGILANTE"/>
    <d v="2023-10-23T00:00:00"/>
    <d v="2023-11-05T00:00:00"/>
    <n v="14"/>
    <n v="14"/>
    <s v="SI"/>
    <s v="NO"/>
    <x v="0"/>
    <s v="S983"/>
    <s v="AMPUTACION TRAUMATICA DE OTRAS PARTES DEL PIE"/>
    <s v="SURA EPS"/>
    <n v="8739310"/>
    <d v="2023-10-31T00:00:00"/>
    <m/>
    <m/>
    <s v="ASUME LA EPS"/>
    <m/>
    <m/>
    <m/>
  </r>
  <r>
    <x v="9"/>
    <n v="70323164"/>
    <s v="SUAREZ"/>
    <s v="CASTRILLON"/>
    <s v="JOSE"/>
    <s v="AIRCARDIO"/>
    <s v="VIGILANTE"/>
    <d v="2023-10-25T00:00:00"/>
    <d v="2023-11-23T00:00:00"/>
    <n v="30"/>
    <n v="30"/>
    <s v="SI"/>
    <s v="NO"/>
    <x v="0"/>
    <s v="J449"/>
    <s v="ENFERMEDAD PULMONAR OBSTRUCTIVA CRONICA, NO ESPECIFICADA"/>
    <s v="SURA EPS"/>
    <n v="8729278"/>
    <d v="2023-10-27T00:00:00"/>
    <d v="2023-10-31T00:00:00"/>
    <n v="1160000"/>
    <s v="ASUME LA EPS"/>
    <n v="1160000"/>
    <m/>
    <m/>
  </r>
  <r>
    <x v="9"/>
    <n v="1040043423"/>
    <s v="LOAIZA"/>
    <s v="JOHN "/>
    <s v="DARIO"/>
    <m/>
    <s v="SUPERVISOR "/>
    <d v="2023-10-25T00:00:00"/>
    <d v="2023-10-29T00:00:00"/>
    <n v="5"/>
    <n v="5"/>
    <s v="NO"/>
    <s v="NO"/>
    <x v="1"/>
    <s v="S400"/>
    <s v="CONTUSION DEL HOMBRO Y DEL BRAZO"/>
    <s v="ARL BOLIVAR"/>
    <n v="30488197"/>
    <d v="2023-10-31T00:00:00"/>
    <d v="2023-11-07T00:00:00"/>
    <n v="237441"/>
    <s v="ASUME LA ARL"/>
    <m/>
    <m/>
    <m/>
  </r>
  <r>
    <x v="9"/>
    <n v="11801545"/>
    <s v="ALGUMEDO"/>
    <s v="ROMAÑA"/>
    <s v="POLICARPO"/>
    <m/>
    <s v="VIGILANTE"/>
    <d v="2023-10-27T00:00:00"/>
    <d v="2023-10-27T00:00:00"/>
    <n v="1"/>
    <n v="1"/>
    <s v="NO"/>
    <s v="NO"/>
    <x v="0"/>
    <s v="R074"/>
    <s v="DOLOR EN EL PECHO, NO ESPECIFICADO"/>
    <s v="SANITAS"/>
    <m/>
    <d v="2023-11-08T00:00:00"/>
    <m/>
    <n v="0"/>
    <s v="ASUME LA EMPRESA "/>
    <m/>
    <m/>
    <m/>
  </r>
  <r>
    <x v="9"/>
    <n v="71686928"/>
    <s v="RIOS "/>
    <s v="ESTRADA"/>
    <s v="NESTOR "/>
    <s v="RAUL"/>
    <s v="VIGILANTE"/>
    <d v="2023-10-31T00:00:00"/>
    <d v="2023-11-07T00:00:00"/>
    <n v="8"/>
    <n v="8"/>
    <s v="SI"/>
    <s v="NO"/>
    <x v="0"/>
    <s v="S821"/>
    <s v="FRACTURA DE LA EPIFISIS SUPERIOR DE LA TIBIA"/>
    <s v="SURA EPS"/>
    <n v="8800036"/>
    <d v="2023-11-21T00:00:00"/>
    <d v="2023-12-05T00:00:00"/>
    <n v="309333"/>
    <s v="ASUME LA EPS"/>
    <n v="309333"/>
    <m/>
    <m/>
  </r>
  <r>
    <x v="10"/>
    <n v="15309929"/>
    <s v="GALVIS"/>
    <s v="CASTRO"/>
    <s v="NICOLAS "/>
    <s v="EMIRO "/>
    <s v="VIGILANTE"/>
    <d v="2023-11-03T00:00:00"/>
    <d v="2023-11-17T00:00:00"/>
    <n v="15"/>
    <n v="15"/>
    <s v="SI"/>
    <s v="NO"/>
    <x v="0"/>
    <s v="S832"/>
    <s v="DESGARRO DE MENISCOS, PRESENTE"/>
    <s v="SURA EPS"/>
    <n v="8872034"/>
    <m/>
    <m/>
    <m/>
    <m/>
    <m/>
    <m/>
    <m/>
  </r>
  <r>
    <x v="10"/>
    <n v="14572160"/>
    <s v="RAMOS"/>
    <s v="MORA"/>
    <s v="CRISTOBAL "/>
    <s v="ANTONIO"/>
    <s v="VIGILANTE"/>
    <d v="2023-11-05T00:00:00"/>
    <d v="2023-11-06T00:00:00"/>
    <n v="2"/>
    <n v="2"/>
    <s v="NO"/>
    <s v="NO"/>
    <x v="0"/>
    <s v="A083"/>
    <s v="OTRAS ENTERITIS VIRALES"/>
    <s v="SURA EPS"/>
    <m/>
    <d v="2023-11-08T00:00:00"/>
    <m/>
    <n v="0"/>
    <s v="ASUME LA EMPRESA "/>
    <m/>
    <m/>
    <m/>
  </r>
  <r>
    <x v="10"/>
    <n v="71676289"/>
    <s v="MARIN"/>
    <s v="CASTRO"/>
    <s v="WILSON"/>
    <s v="LEON"/>
    <s v="VIGIALNTE"/>
    <d v="2023-11-06T00:00:00"/>
    <d v="2023-11-19T00:00:00"/>
    <n v="14"/>
    <n v="14"/>
    <s v="SI"/>
    <s v="NO"/>
    <x v="0"/>
    <s v="S983"/>
    <s v="AMPUTACION TRAUMATICA DE OTRAS PARTES DEL PIE"/>
    <s v="SURA EPS"/>
    <m/>
    <d v="2023-11-07T00:00:00"/>
    <m/>
    <m/>
    <s v="ASUME LA EPS"/>
    <m/>
    <m/>
    <m/>
  </r>
  <r>
    <x v="4"/>
    <n v="98601485"/>
    <s v="SARRAZOLA"/>
    <m/>
    <s v="WILMAR "/>
    <s v="DE JESUS"/>
    <s v="VIGILANTE"/>
    <d v="2023-11-08T00:00:00"/>
    <d v="2023-12-07T00:00:00"/>
    <n v="30"/>
    <n v="30"/>
    <s v="SI"/>
    <s v="NO"/>
    <x v="0"/>
    <s v="M179"/>
    <s v="GONARTROSIS, NO ESPECIFICADA"/>
    <s v="SURA EPS"/>
    <m/>
    <d v="2023-11-17T00:00:00"/>
    <m/>
    <m/>
    <m/>
    <m/>
    <m/>
    <m/>
  </r>
  <r>
    <x v="10"/>
    <n v="71686928"/>
    <s v="RIOS "/>
    <s v="ESTRADA"/>
    <s v="NESTOR "/>
    <s v="RAUL"/>
    <s v="VIGILANTE"/>
    <d v="2023-11-08T00:00:00"/>
    <d v="2023-11-12T00:00:00"/>
    <n v="5"/>
    <n v="5"/>
    <s v="SI"/>
    <s v="NO"/>
    <x v="0"/>
    <s v="S821"/>
    <s v="FRACTURA DE LA EPIFISIS SUPERIOR DE LA TIBIA"/>
    <s v="SURA EPS"/>
    <n v="8807364"/>
    <d v="2023-11-21T00:00:00"/>
    <d v="2023-12-06T00:00:00"/>
    <n v="193333"/>
    <s v="ASUME LA EPS"/>
    <n v="193333"/>
    <m/>
    <m/>
  </r>
  <r>
    <x v="10"/>
    <n v="71744485"/>
    <s v="VALENCIA"/>
    <s v="DIAZ "/>
    <s v="DIEGO "/>
    <s v="ALEXANDER"/>
    <s v="VIGIALNTE"/>
    <d v="2023-11-08T00:00:00"/>
    <d v="2023-11-10T00:00:00"/>
    <n v="3"/>
    <n v="3"/>
    <s v="NO"/>
    <s v="NO"/>
    <x v="0"/>
    <s v="M239"/>
    <s v="TRASTORNOS INTERNO DE LA RODILLA, NO ESPECIFICADO"/>
    <s v="SALUD TOTAL"/>
    <n v="11222310285"/>
    <s v="22/11/0202"/>
    <n v="38667"/>
    <m/>
    <m/>
    <m/>
    <m/>
    <m/>
  </r>
  <r>
    <x v="10"/>
    <n v="71316478"/>
    <s v="GALLEGO"/>
    <s v="EDUAR "/>
    <s v="YOVANY"/>
    <m/>
    <s v="VIGILANTE"/>
    <d v="2023-11-09T00:00:00"/>
    <d v="2023-12-08T00:00:00"/>
    <n v="30"/>
    <n v="30"/>
    <s v="SI"/>
    <s v="NO"/>
    <x v="0"/>
    <s v="I64"/>
    <s v="ACCIDENTE VASCULAR ENCEFALICO AGUDO, NO ESPECIFICADO COMO HEMORRAGICO O ISQUEMICO"/>
    <s v="SURA EPS"/>
    <n v="8776019"/>
    <d v="2023-11-14T00:00:00"/>
    <m/>
    <m/>
    <m/>
    <m/>
    <m/>
    <m/>
  </r>
  <r>
    <x v="10"/>
    <n v="1017219474"/>
    <s v="ARDILA "/>
    <s v="VELEZ"/>
    <s v="JONATHAN "/>
    <s v="DANIEL"/>
    <s v="VIGILANTE"/>
    <d v="2023-11-10T00:00:00"/>
    <d v="2023-11-17T00:00:00"/>
    <n v="8"/>
    <n v="8"/>
    <s v="NO"/>
    <s v="NO"/>
    <x v="0"/>
    <s v="M546"/>
    <s v="DOLOR EN LA COLUMNA DORSAL"/>
    <s v="SURA EPS"/>
    <n v="8794068"/>
    <d v="2023-11-14T00:00:00"/>
    <d v="2023-12-05T00:00:00"/>
    <n v="232000"/>
    <s v="ASUME LA EPS"/>
    <n v="232000"/>
    <m/>
    <m/>
  </r>
  <r>
    <x v="10"/>
    <n v="78716505"/>
    <s v="ARGUMEDO"/>
    <s v="CONEO"/>
    <s v="EMIRO"/>
    <s v="SEGUNDO"/>
    <s v="VIGILANTE"/>
    <d v="2023-11-10T00:00:00"/>
    <d v="2023-11-14T00:00:00"/>
    <n v="5"/>
    <n v="5"/>
    <s v="NO"/>
    <s v="NO"/>
    <x v="0"/>
    <s v="Z302"/>
    <s v="ESTERILIZACION"/>
    <s v="NUEVA EPS"/>
    <n v="790493"/>
    <d v="2023-11-21T00:00:00"/>
    <m/>
    <m/>
    <m/>
    <m/>
    <m/>
    <m/>
  </r>
  <r>
    <x v="10"/>
    <n v="70252687"/>
    <s v="MAZO"/>
    <s v="RAMIREZ"/>
    <s v="IVAN"/>
    <s v="DARIO"/>
    <s v="VIGILANTE"/>
    <d v="2023-11-11T00:00:00"/>
    <d v="2023-12-10T00:00:00"/>
    <n v="30"/>
    <n v="30"/>
    <s v="SI"/>
    <s v="NO"/>
    <x v="0"/>
    <s v="C20"/>
    <s v="TUMOR MALIGNO DEL RECTO"/>
    <s v="SURA EPS"/>
    <m/>
    <d v="2023-11-17T00:00:00"/>
    <m/>
    <m/>
    <m/>
    <m/>
    <m/>
    <m/>
  </r>
  <r>
    <x v="10"/>
    <n v="1033371864"/>
    <s v="MARIAGA"/>
    <s v="MONTERROSA"/>
    <s v="DEIMER"/>
    <s v="ALBERTO"/>
    <s v="VIGILANTE"/>
    <d v="2023-11-11T00:00:00"/>
    <d v="2023-11-12T00:00:00"/>
    <n v="2"/>
    <n v="2"/>
    <s v="NO"/>
    <s v="NO"/>
    <x v="0"/>
    <s v="A083"/>
    <s v="OTRAS ENTERITIS VIRALES"/>
    <s v="SURA EPS"/>
    <s v="NEGADA"/>
    <s v="N/A"/>
    <s v="NEGADA"/>
    <m/>
    <s v="ASUME LA EMPRESA"/>
    <m/>
    <m/>
    <m/>
  </r>
  <r>
    <x v="10"/>
    <n v="1036622798"/>
    <s v="BETANCUR"/>
    <s v="GIL"/>
    <s v="DUVIAN "/>
    <s v="YHOBANNY"/>
    <s v="VIGILANTE"/>
    <d v="2023-11-13T00:00:00"/>
    <d v="2023-12-10T00:00:00"/>
    <n v="28"/>
    <n v="28"/>
    <s v="SI"/>
    <s v="NO"/>
    <x v="0"/>
    <s v="S933"/>
    <s v="LUXACION DE OTROS SITIOS Y LOS NO ESPECIFICADOS DEL PIE"/>
    <s v="SURA EPS"/>
    <m/>
    <d v="2023-11-17T00:00:00"/>
    <m/>
    <m/>
    <m/>
    <m/>
    <m/>
    <m/>
  </r>
  <r>
    <x v="10"/>
    <n v="702526687"/>
    <s v="MAZO"/>
    <s v="RAMIREZ"/>
    <s v="IVAN"/>
    <s v="DARIO"/>
    <s v="VIGILANTE"/>
    <d v="2023-11-15T00:00:00"/>
    <d v="2023-11-23T00:00:00"/>
    <n v="9"/>
    <n v="9"/>
    <s v="SI"/>
    <s v="NO"/>
    <x v="0"/>
    <s v="M170"/>
    <s v="GONARTROSIS PRIMARIA, BILATERAL"/>
    <s v="NUEVA EPS"/>
    <m/>
    <d v="2023-11-14T00:00:00"/>
    <m/>
    <m/>
    <m/>
    <m/>
    <m/>
    <m/>
  </r>
  <r>
    <x v="10"/>
    <n v="1042768553"/>
    <s v="JARAMILLO"/>
    <s v="MAZO"/>
    <s v="YUBAN"/>
    <s v="IRLEZ"/>
    <s v="VIGILANTE"/>
    <d v="2023-11-15T00:00:00"/>
    <d v="2023-11-29T00:00:00"/>
    <n v="15"/>
    <n v="15"/>
    <s v="NO"/>
    <s v="NO"/>
    <x v="0"/>
    <s v="D171"/>
    <s v="TUMOR BENIGNO LIPOMATOSO DE PIEL Y DE TEJIDO SUBCUTANEO DEL TRONCO"/>
    <s v="SURA EPS"/>
    <m/>
    <d v="2023-11-17T00:00:00"/>
    <d v="2023-11-21T00:00:00"/>
    <n v="502667"/>
    <s v="ASUME LA EPS"/>
    <n v="502667"/>
    <m/>
    <m/>
  </r>
  <r>
    <x v="10"/>
    <n v="101792273"/>
    <s v="CESPEDES"/>
    <s v="RESTREPO"/>
    <s v="DANY"/>
    <s v="STEVEN"/>
    <s v="VIGILANTE"/>
    <d v="2023-11-17T00:00:00"/>
    <d v="2023-11-19T00:00:00"/>
    <n v="3"/>
    <n v="3"/>
    <s v="NO"/>
    <s v="NO"/>
    <x v="0"/>
    <s v="K010"/>
    <s v="DIENTES INCLUIDOS"/>
    <s v="SURA EPS"/>
    <n v="8799992"/>
    <d v="2023-11-21T00:00:00"/>
    <m/>
    <m/>
    <m/>
    <m/>
    <m/>
    <m/>
  </r>
  <r>
    <x v="10"/>
    <n v="72342994"/>
    <s v="MURILLO"/>
    <s v="DAVID"/>
    <m/>
    <m/>
    <s v="SUPERVISOR "/>
    <d v="2023-11-17T00:00:00"/>
    <d v="2023-11-19T00:00:00"/>
    <n v="3"/>
    <n v="3"/>
    <s v="NO"/>
    <s v="NO"/>
    <x v="0"/>
    <s v="M461"/>
    <s v="SACROILIITIS, NO CLASIFICADA EN OTRA PARTE"/>
    <s v="SURA EPS"/>
    <n v="8803317"/>
    <s v="22/11/0202"/>
    <d v="2023-12-05T00:00:00"/>
    <n v="38667"/>
    <s v="ASUME LA EPS"/>
    <n v="38667"/>
    <m/>
    <m/>
  </r>
  <r>
    <x v="10"/>
    <n v="15309929"/>
    <s v="GALVIS"/>
    <s v="CASTRO"/>
    <s v="NICOLAS "/>
    <s v="EMIRO"/>
    <s v="VIGILANTE"/>
    <d v="2023-11-18T00:00:00"/>
    <d v="2023-12-02T00:00:00"/>
    <n v="15"/>
    <n v="15"/>
    <s v="SI"/>
    <s v="NO"/>
    <x v="0"/>
    <s v="S832"/>
    <s v="DESGARRO DE MENISCOS, PRESENTE"/>
    <s v="SURA EPS"/>
    <n v="8800028"/>
    <d v="2023-11-21T00:00:00"/>
    <m/>
    <m/>
    <m/>
    <m/>
    <m/>
    <m/>
  </r>
  <r>
    <x v="10"/>
    <n v="11527359"/>
    <s v="PABON"/>
    <s v="URIBE"/>
    <s v="MICHAEL"/>
    <m/>
    <s v="VIGIALNTE"/>
    <d v="2023-11-18T00:00:00"/>
    <d v="2023-11-22T00:00:00"/>
    <n v="5"/>
    <n v="5"/>
    <s v="NO"/>
    <s v="NO"/>
    <x v="0"/>
    <s v="B829"/>
    <s v="PARASITOSIS INTESTINAL, SIN OTRA ESPECIFICACION"/>
    <s v="SALUD TOTAL"/>
    <n v="11212324198"/>
    <d v="2023-11-21T00:00:00"/>
    <m/>
    <m/>
    <m/>
    <m/>
    <m/>
    <m/>
  </r>
  <r>
    <x v="10"/>
    <n v="98711080"/>
    <s v="ACEVEDO "/>
    <s v="GALLEGO"/>
    <s v="DUVAN "/>
    <s v="GUILLERMO"/>
    <s v="VIGILANTE "/>
    <d v="2023-11-18T00:00:00"/>
    <d v="2023-11-20T00:00:00"/>
    <n v="3"/>
    <n v="3"/>
    <s v="NO"/>
    <s v="NO"/>
    <x v="0"/>
    <s v="k922"/>
    <s v="HEMORRAGIA GASTROINTESTINAL, NO ESPECIFICADA"/>
    <s v="SURA"/>
    <n v="8821114"/>
    <d v="2023-11-28T00:00:00"/>
    <d v="2023-12-12T00:00:00"/>
    <n v="38667"/>
    <s v="ASUME LA EPS"/>
    <n v="38667"/>
    <m/>
    <m/>
  </r>
  <r>
    <x v="10"/>
    <n v="15309929"/>
    <s v="GALVIS"/>
    <s v="CASTRO"/>
    <s v="NICOLAS "/>
    <s v="EMIRO "/>
    <s v="VIGILANTE"/>
    <d v="2023-11-18T00:00:00"/>
    <d v="2023-12-02T00:00:00"/>
    <n v="15"/>
    <n v="15"/>
    <s v="SI"/>
    <s v="NO"/>
    <x v="0"/>
    <s v="S832"/>
    <s v="DESGARRO DE MENISCOS, PRESENTE"/>
    <s v="SURA EPS"/>
    <m/>
    <m/>
    <m/>
    <m/>
    <m/>
    <m/>
    <m/>
    <m/>
  </r>
  <r>
    <x v="10"/>
    <n v="1152711359"/>
    <s v="PABON "/>
    <s v="URIBE"/>
    <s v="MICHAEL"/>
    <m/>
    <s v="VIGILANTE "/>
    <d v="2023-11-18T00:00:00"/>
    <d v="2023-11-21T00:00:00"/>
    <n v="3"/>
    <n v="3"/>
    <s v="NO"/>
    <s v="NO"/>
    <x v="0"/>
    <s v="K522"/>
    <s v="COLITIS Y GASTROENTERITIS ALERGICAS Y DIETETICAS"/>
    <s v="SALUD TOTAL "/>
    <m/>
    <d v="2023-11-20T00:00:00"/>
    <d v="2023-11-22T00:00:00"/>
    <n v="116001"/>
    <s v="ASUME LA EPS"/>
    <m/>
    <m/>
    <m/>
  </r>
  <r>
    <x v="10"/>
    <n v="1048294218"/>
    <s v="NAVARRO"/>
    <s v="MARTINEZ"/>
    <s v="JEAN"/>
    <s v="CARLOS"/>
    <s v="VIGILANTE"/>
    <d v="2023-11-20T00:00:00"/>
    <d v="2023-11-24T00:00:00"/>
    <n v="5"/>
    <n v="5"/>
    <s v="NO"/>
    <s v="NO"/>
    <x v="0"/>
    <s v="S711"/>
    <s v="HERIDA DEL MUSLO"/>
    <s v="SALUD TOTAL"/>
    <n v="11212324455"/>
    <d v="2023-11-21T00:00:00"/>
    <m/>
    <m/>
    <m/>
    <m/>
    <m/>
    <m/>
  </r>
  <r>
    <x v="10"/>
    <n v="72342994"/>
    <s v="MURILLO"/>
    <s v="DAVID"/>
    <m/>
    <m/>
    <s v="SUPERVISOR "/>
    <d v="2023-11-20T00:00:00"/>
    <d v="2023-11-22T00:00:00"/>
    <n v="3"/>
    <n v="3"/>
    <s v="SI"/>
    <s v="NO"/>
    <x v="0"/>
    <s v="M461"/>
    <s v="SACROILIITIS, NO CLASIFICADA EN OTRA PARTE"/>
    <s v="SURA EPS"/>
    <n v="8803337"/>
    <s v="22/11/0202"/>
    <d v="2023-12-05T00:00:00"/>
    <n v="116000"/>
    <s v="ASUME LA EPS"/>
    <n v="116000"/>
    <m/>
    <m/>
  </r>
  <r>
    <x v="10"/>
    <n v="716762289"/>
    <s v="MARIN"/>
    <s v="CASTRO"/>
    <s v="WILSON"/>
    <s v="LEON"/>
    <s v="VIGILANTE"/>
    <d v="2023-11-20T00:00:00"/>
    <d v="2023-12-03T00:00:00"/>
    <n v="14"/>
    <n v="14"/>
    <s v="SI"/>
    <s v="NO"/>
    <x v="0"/>
    <s v="S983"/>
    <s v="AMPUTACION TRAUMATICA DE OTRAS PARTES DEL PIE"/>
    <s v="SURA"/>
    <n v="8839501"/>
    <d v="2023-12-04T00:00:00"/>
    <m/>
    <m/>
    <m/>
    <m/>
    <m/>
    <m/>
  </r>
  <r>
    <x v="10"/>
    <n v="11936325"/>
    <s v="GARCIA"/>
    <s v="CARMONA"/>
    <s v="JUAN"/>
    <s v="PABLO"/>
    <s v="VIGILANTE"/>
    <d v="2023-11-20T00:00:00"/>
    <d v="2023-11-23T00:00:00"/>
    <n v="4"/>
    <n v="4"/>
    <s v="SI"/>
    <s v="NO"/>
    <x v="0"/>
    <s v="J46"/>
    <s v="ESTADO ASMATICO"/>
    <s v="SURA EPS"/>
    <n v="8846124"/>
    <d v="2023-12-05T00:00:00"/>
    <m/>
    <m/>
    <m/>
    <m/>
    <m/>
    <m/>
  </r>
  <r>
    <x v="10"/>
    <n v="3669363"/>
    <s v="PINO"/>
    <s v="CASTAÑO"/>
    <s v="GUSTAVO"/>
    <s v="DE JESUS"/>
    <s v="VIGIALNTE"/>
    <d v="2023-11-21T00:00:00"/>
    <d v="2023-11-24T00:00:00"/>
    <n v="11"/>
    <n v="11"/>
    <s v="SI"/>
    <s v="NO"/>
    <x v="0"/>
    <s v="M173"/>
    <s v="OTRAS GONARTROSIS POSTRAUMATICAS"/>
    <s v="SURA EPS"/>
    <n v="8799992"/>
    <d v="2023-11-21T00:00:00"/>
    <m/>
    <m/>
    <m/>
    <m/>
    <m/>
    <m/>
  </r>
  <r>
    <x v="10"/>
    <n v="71721292"/>
    <s v="HOYOS"/>
    <s v="HOYOS"/>
    <s v="EMILIO "/>
    <s v="ANGEL"/>
    <s v="VIGILANTE"/>
    <d v="2023-11-21T00:00:00"/>
    <d v="2023-12-20T00:00:00"/>
    <n v="30"/>
    <n v="30"/>
    <s v="SI"/>
    <s v="NO"/>
    <x v="0"/>
    <s v="S728"/>
    <s v="FRACTURA DE OTRAS PARTES DEL FEMUR"/>
    <s v="SALUD TOTAL"/>
    <n v="11212323888"/>
    <d v="2023-11-21T00:00:00"/>
    <m/>
    <m/>
    <m/>
    <m/>
    <m/>
    <m/>
  </r>
  <r>
    <x v="10"/>
    <n v="71382103"/>
    <s v="MOLINA "/>
    <s v="GUISAO "/>
    <s v="SERGIO "/>
    <s v="ARMANDO "/>
    <s v="VIGILANTE "/>
    <d v="2023-11-21T00:00:00"/>
    <d v="2023-11-23T00:00:00"/>
    <n v="1"/>
    <n v="1"/>
    <s v="NO"/>
    <s v="NO"/>
    <x v="0"/>
    <s v="M170"/>
    <s v="GONARTROSIS PRIMARIA, BILATERAL"/>
    <s v="SURA"/>
    <n v="8821105"/>
    <d v="2023-11-28T00:00:00"/>
    <d v="2023-12-12T00:00:00"/>
    <n v="38667"/>
    <s v="ASUME LA EPS"/>
    <n v="38667"/>
    <n v="0"/>
    <n v="42400"/>
  </r>
  <r>
    <x v="10"/>
    <n v="1037947698"/>
    <s v="CASTRILLON"/>
    <s v="AGUIRRE"/>
    <s v="SORAIDA"/>
    <m/>
    <s v="VIGILANTE"/>
    <d v="2023-11-21T00:00:00"/>
    <d v="2023-11-25T00:00:00"/>
    <n v="5"/>
    <n v="5"/>
    <s v="NO"/>
    <s v="NO"/>
    <x v="0"/>
    <s v="S800"/>
    <s v="CONTUSION DE LA RODILLA"/>
    <s v="SALUD TOTAL"/>
    <n v="1128234709"/>
    <d v="2023-11-28T00:00:00"/>
    <m/>
    <m/>
    <m/>
    <m/>
    <m/>
    <m/>
  </r>
  <r>
    <x v="10"/>
    <n v="71382103"/>
    <s v="MOLINA "/>
    <s v="GUISAO "/>
    <s v="SERGIO "/>
    <s v="ARMANDO"/>
    <s v="VIGILANTE"/>
    <d v="2023-11-21T00:00:00"/>
    <d v="2023-11-23T00:00:00"/>
    <n v="3"/>
    <n v="3"/>
    <s v="NO"/>
    <s v="NO"/>
    <x v="0"/>
    <s v="M170"/>
    <s v="GONARTROSIS PRIMARIA, BILATERAL"/>
    <s v="SURA EPS"/>
    <m/>
    <d v="2023-11-14T00:00:00"/>
    <m/>
    <m/>
    <m/>
    <m/>
    <m/>
    <m/>
  </r>
  <r>
    <x v="10"/>
    <n v="7559527"/>
    <s v="MONTOYA"/>
    <m/>
    <s v="JOSE "/>
    <s v="FERNANDO"/>
    <s v="VIGILANTE"/>
    <d v="2023-11-21T00:00:00"/>
    <d v="2023-12-05T00:00:00"/>
    <n v="15"/>
    <n v="15"/>
    <s v="NO"/>
    <s v="NO"/>
    <x v="0"/>
    <s v="H110"/>
    <s v="PTERIGION"/>
    <s v="SALUD TOTAL "/>
    <n v="12142315146"/>
    <d v="2023-12-14T00:00:00"/>
    <m/>
    <m/>
    <m/>
    <m/>
    <m/>
    <m/>
  </r>
  <r>
    <x v="10"/>
    <n v="70137576"/>
    <s v="ECHEVERRI"/>
    <s v="OSPINA"/>
    <s v="FREDY"/>
    <s v="ARMANDO"/>
    <s v="VIGILANTE"/>
    <d v="2023-11-23T00:00:00"/>
    <d v="2023-11-26T00:00:00"/>
    <n v="4"/>
    <n v="4"/>
    <s v="SI"/>
    <s v="NO"/>
    <x v="0"/>
    <s v="K229"/>
    <s v="ENFERMEDAD DEL ESOFAGO, NO ESPECIFICADA"/>
    <s v="SURA EPS"/>
    <n v="8839545"/>
    <d v="2023-12-04T00:00:00"/>
    <m/>
    <m/>
    <m/>
    <m/>
    <m/>
    <m/>
  </r>
  <r>
    <x v="10"/>
    <n v="71770967"/>
    <s v="TABORDA"/>
    <s v="PARRA"/>
    <s v="ALEX "/>
    <s v="MAURICIO"/>
    <s v="SUPERVISOR "/>
    <d v="2023-11-24T00:00:00"/>
    <d v="2023-11-26T00:00:00"/>
    <n v="3"/>
    <n v="3"/>
    <s v="NO"/>
    <s v="NO"/>
    <x v="0"/>
    <s v="J159"/>
    <s v="NEUMONIA BACTERIANA, NO ESPECIFICADA"/>
    <s v="SURA EPS"/>
    <n v="8872031"/>
    <m/>
    <m/>
    <m/>
    <m/>
    <m/>
    <m/>
    <m/>
  </r>
  <r>
    <x v="10"/>
    <n v="70323164"/>
    <s v="SUAREZ"/>
    <s v="CASTRILLON"/>
    <s v="JOSE"/>
    <s v="AIRCARDO"/>
    <s v="VIGILANTE"/>
    <d v="2023-11-28T00:00:00"/>
    <d v="2023-12-12T00:00:00"/>
    <n v="15"/>
    <n v="15"/>
    <s v="SI"/>
    <s v="NO"/>
    <x v="0"/>
    <s v="J449"/>
    <s v="ENFERMEDAD PULMONAR OBSTRUCTIVA CRONICA, NO ESPECIFICADA"/>
    <s v="SURA EPS"/>
    <n v="8825700"/>
    <d v="2023-11-29T00:00:00"/>
    <d v="2023-12-12T00:00:00"/>
    <n v="580000"/>
    <s v="ASUME LA EPS"/>
    <n v="580000"/>
    <m/>
    <m/>
  </r>
  <r>
    <x v="10"/>
    <n v="71382103"/>
    <s v="MOLINA "/>
    <s v="GUISAO "/>
    <s v="SERGIO "/>
    <s v="ARMANDO"/>
    <s v="VIGILANTE"/>
    <d v="2023-11-28T00:00:00"/>
    <d v="2023-11-28T00:00:00"/>
    <n v="1"/>
    <n v="1"/>
    <s v="SI"/>
    <s v="NO"/>
    <x v="0"/>
    <s v="M170"/>
    <s v="GONARTROSIS PRIMARIA, BILATERAL"/>
    <s v="SURA EPS"/>
    <n v="8871995"/>
    <d v="2023-11-14T00:00:00"/>
    <m/>
    <m/>
    <m/>
    <m/>
    <m/>
    <m/>
  </r>
  <r>
    <x v="11"/>
    <n v="43117538"/>
    <s v="RUIZ"/>
    <s v="RAMIREZ"/>
    <s v="GLORIA "/>
    <s v="CECILIA"/>
    <s v="VIGILANTE"/>
    <d v="2023-11-28T00:00:00"/>
    <d v="2023-11-29T00:00:00"/>
    <n v="2"/>
    <n v="2"/>
    <s v="NO"/>
    <s v="NO"/>
    <x v="0"/>
    <s v="J00X"/>
    <s v="RINOFARINGITIS AGUDA (RESFRIADO COMUN)"/>
    <s v="SURA EPS"/>
    <m/>
    <m/>
    <m/>
    <m/>
    <m/>
    <m/>
    <m/>
    <m/>
  </r>
  <r>
    <x v="10"/>
    <n v="3669363"/>
    <s v="PINO"/>
    <s v="CASTAÑO"/>
    <s v="GUSTAVO"/>
    <s v="DE JESUS"/>
    <s v="VIGILANTE"/>
    <d v="2023-11-29T00:00:00"/>
    <d v="2023-12-03T00:00:00"/>
    <n v="5"/>
    <n v="5"/>
    <s v="SI"/>
    <s v="NO"/>
    <x v="0"/>
    <s v="M173"/>
    <s v="OTRAS GONARTROSIS POSTRAUMATICAS"/>
    <s v="SURA EPS"/>
    <n v="8837781"/>
    <d v="2023-12-04T00:00:00"/>
    <m/>
    <m/>
    <m/>
    <m/>
    <m/>
    <m/>
  </r>
  <r>
    <x v="10"/>
    <n v="71748300"/>
    <s v="CASTAÑEDA "/>
    <s v="MORALES"/>
    <s v="CARLOS "/>
    <s v="ALBEIRO"/>
    <s v="VIGILANTE"/>
    <d v="2023-11-29T00:00:00"/>
    <d v="2023-12-01T00:00:00"/>
    <n v="3"/>
    <n v="3"/>
    <s v="SI"/>
    <s v="NO"/>
    <x v="0"/>
    <s v="J209"/>
    <s v="BRONQUITIS AGUDA, NO ESPECIFICADA"/>
    <s v="SURA EPS"/>
    <n v="8872019"/>
    <m/>
    <m/>
    <m/>
    <m/>
    <m/>
    <m/>
    <m/>
  </r>
  <r>
    <x v="10"/>
    <n v="78715778"/>
    <s v="GARCES"/>
    <s v="ALEMAN"/>
    <s v="CARLOS "/>
    <s v="MIGUEL"/>
    <s v="VIGILANTE"/>
    <d v="2023-11-30T00:00:00"/>
    <d v="2023-12-01T00:00:00"/>
    <n v="2"/>
    <n v="2"/>
    <s v="NO"/>
    <s v="NO"/>
    <x v="0"/>
    <s v="J00X"/>
    <s v="RINOFARINGITIS AGUDA (RESFRIADO COMUN)"/>
    <s v="SURA EPS"/>
    <s v="NEGADA"/>
    <s v="N/A"/>
    <s v="NEGADA"/>
    <m/>
    <s v="ASUME LA EMPRESA"/>
    <m/>
    <m/>
    <m/>
  </r>
  <r>
    <x v="10"/>
    <n v="71382103"/>
    <s v="MOLINA "/>
    <s v="GUISAO "/>
    <s v="SERGIO "/>
    <s v="ARMANDO"/>
    <s v="VIGILANTE"/>
    <d v="2023-11-30T00:00:00"/>
    <d v="2023-11-30T00:00:00"/>
    <n v="1"/>
    <n v="1"/>
    <s v="SI"/>
    <s v="NO"/>
    <x v="0"/>
    <s v="M170"/>
    <s v="GONARTROSIS PRIMARIA, BILATERAL"/>
    <s v="SURA EPS"/>
    <n v="8872013"/>
    <d v="2023-11-14T00:00:00"/>
    <m/>
    <m/>
    <m/>
    <m/>
    <m/>
    <m/>
  </r>
  <r>
    <x v="11"/>
    <n v="1017207367"/>
    <s v="URIBE"/>
    <s v="GARCIA "/>
    <s v="ANTONIO"/>
    <m/>
    <s v="VIGILANTE"/>
    <d v="2023-12-02T00:00:00"/>
    <d v="2023-12-02T00:00:00"/>
    <n v="1"/>
    <n v="1"/>
    <s v="NO"/>
    <s v="NO"/>
    <x v="0"/>
    <s v="R238"/>
    <s v="OTROS CAMBIOS DE LA PIEL Y LOS NO ESPECIFICADOS"/>
    <s v="SALUD TOTAL"/>
    <m/>
    <m/>
    <m/>
    <m/>
    <m/>
    <m/>
    <m/>
    <m/>
  </r>
  <r>
    <x v="11"/>
    <n v="15309929"/>
    <s v="GALVIS"/>
    <s v="CASTRO "/>
    <s v="NICOLAS "/>
    <s v="EMIRO "/>
    <s v="VIGILANTE"/>
    <d v="2023-12-03T00:00:00"/>
    <d v="2023-12-17T00:00:00"/>
    <n v="15"/>
    <n v="15"/>
    <s v="SI"/>
    <s v="NO"/>
    <x v="0"/>
    <s v="S832"/>
    <s v="DESGARRO DE MENISCOS, PRESENTE"/>
    <s v="SURA EPS"/>
    <n v="8839518"/>
    <d v="2023-12-04T00:00:00"/>
    <m/>
    <m/>
    <m/>
    <m/>
    <m/>
    <m/>
  </r>
  <r>
    <x v="11"/>
    <n v="85453791"/>
    <s v="RESTREPO"/>
    <s v="ZAPATA"/>
    <s v="OSCAR"/>
    <s v="DARIO"/>
    <s v="VIGILANTE"/>
    <d v="2023-12-04T00:00:00"/>
    <d v="2023-12-05T00:00:00"/>
    <n v="2"/>
    <n v="2"/>
    <s v="NO"/>
    <s v="NO"/>
    <x v="0"/>
    <s v="J060"/>
    <s v="LARINGOFARINGITIS AGUDA"/>
    <s v="SURA EPS"/>
    <s v="NEGADA"/>
    <d v="2023-12-05T00:00:00"/>
    <s v="NEGADA"/>
    <n v="0"/>
    <s v="ASUME LA EMPRESA"/>
    <m/>
    <m/>
    <m/>
  </r>
  <r>
    <x v="11"/>
    <n v="71676269"/>
    <s v="MARIN"/>
    <s v="CASTRO"/>
    <s v="WILSON"/>
    <s v="LEON"/>
    <s v="VIGILANTE"/>
    <d v="2023-12-04T00:00:00"/>
    <d v="2023-12-17T00:00:00"/>
    <n v="14"/>
    <n v="14"/>
    <s v="SI"/>
    <s v="NO"/>
    <x v="0"/>
    <s v="S983"/>
    <s v="AMPUTACION TRAUMATICA DE OTRAS PARTES DEL PIE"/>
    <s v="SURA EPS"/>
    <n v="8846113"/>
    <d v="2023-12-05T00:00:00"/>
    <m/>
    <m/>
    <m/>
    <m/>
    <m/>
    <m/>
  </r>
  <r>
    <x v="11"/>
    <n v="85453791"/>
    <s v="RESTREPO"/>
    <s v="ZAPATA"/>
    <s v="OSCAR"/>
    <s v="DARIO"/>
    <s v="VIGIALNTE"/>
    <d v="2023-12-04T00:00:00"/>
    <d v="2023-12-05T00:00:00"/>
    <n v="2"/>
    <n v="2"/>
    <s v="NO"/>
    <s v="NO"/>
    <x v="0"/>
    <s v="J050"/>
    <s v="LARINGITIS OBSTRUCTIVA, AGUDA [CRUP]"/>
    <s v="SURA EPS"/>
    <s v="NEGADA"/>
    <s v="N/A"/>
    <s v="NEGADA"/>
    <m/>
    <s v="ASUME LA EMPRESA"/>
    <m/>
    <m/>
    <m/>
  </r>
  <r>
    <x v="11"/>
    <n v="71185910"/>
    <s v="CATAÑO "/>
    <s v="GALLEGO "/>
    <s v="RAMIRO"/>
    <s v="ANTONIO"/>
    <s v="VIGILANTE"/>
    <d v="2023-12-04T00:00:00"/>
    <d v="2024-01-02T00:00:00"/>
    <n v="30"/>
    <n v="30"/>
    <s v="NO"/>
    <s v="NO"/>
    <x v="0"/>
    <s v="S832"/>
    <s v="DESGARRO DE MENISCOS, PRESENTE"/>
    <s v="SALUD TOTAL"/>
    <m/>
    <m/>
    <m/>
    <m/>
    <m/>
    <m/>
    <m/>
    <m/>
  </r>
  <r>
    <x v="11"/>
    <n v="71393487"/>
    <s v="VELEZ"/>
    <s v="RAIGOZA"/>
    <s v="MARCO"/>
    <s v="TULIO"/>
    <s v="VIGILANTE"/>
    <d v="2023-12-05T00:00:00"/>
    <d v="2023-12-05T00:00:00"/>
    <n v="1"/>
    <n v="1"/>
    <s v="NO"/>
    <s v="NO"/>
    <x v="0"/>
    <s v="M545"/>
    <s v="LUMBAGO NO ESPECIFICADO"/>
    <s v="SURA EPS"/>
    <s v="NEGADA"/>
    <d v="2023-12-05T00:00:00"/>
    <s v="NEGADA"/>
    <n v="0"/>
    <s v="ASUME LA EMPRESA"/>
    <m/>
    <m/>
    <m/>
  </r>
  <r>
    <x v="11"/>
    <n v="7559527"/>
    <s v="MONTOYA"/>
    <m/>
    <s v="JOSE "/>
    <s v="FERNANDO"/>
    <s v="VIGILANTE"/>
    <d v="2023-12-06T00:00:00"/>
    <d v="2023-12-08T00:00:00"/>
    <n v="3"/>
    <n v="3"/>
    <s v="NO"/>
    <s v="NO"/>
    <x v="0"/>
    <s v="H110"/>
    <s v="PTERIGION"/>
    <s v="SALUD TOTAL "/>
    <m/>
    <m/>
    <m/>
    <m/>
    <m/>
    <m/>
    <m/>
    <m/>
  </r>
  <r>
    <x v="11"/>
    <n v="98601485"/>
    <s v="SARRAZOLA"/>
    <m/>
    <s v="WILMAR"/>
    <s v="DE JESUS"/>
    <s v="SUPERVISOR "/>
    <d v="2023-12-08T00:00:00"/>
    <d v="2023-12-10T00:00:00"/>
    <n v="3"/>
    <n v="3"/>
    <s v="SI"/>
    <s v="NO"/>
    <x v="0"/>
    <s v="M179"/>
    <s v="GONARTROSIS, NO ESPECIFICADA"/>
    <s v="SURA EPS"/>
    <n v="8872058"/>
    <m/>
    <m/>
    <m/>
    <m/>
    <m/>
    <m/>
    <m/>
  </r>
  <r>
    <x v="11"/>
    <n v="71316478"/>
    <s v="GALLEGO"/>
    <m/>
    <s v="EDUAR "/>
    <s v="YOVANY"/>
    <s v="VIGILANTE"/>
    <d v="2023-12-09T00:00:00"/>
    <d v="2023-01-07T00:00:00"/>
    <n v="30"/>
    <n v="30"/>
    <s v="SI"/>
    <s v="NO"/>
    <x v="0"/>
    <s v="I64"/>
    <s v="ACCIDENTE VASCULAR ENCEFALICO AGUDO, NO ESPECIFICADO COMO HEMORRAGICO O ISQUEMICO"/>
    <s v="SURA EPS"/>
    <n v="8872075"/>
    <m/>
    <m/>
    <m/>
    <m/>
    <m/>
    <m/>
    <m/>
  </r>
  <r>
    <x v="11"/>
    <n v="1000564417"/>
    <s v="RODRIGUEZ "/>
    <s v="DUQUE"/>
    <s v="VALENTINA"/>
    <m/>
    <s v="VIGILANTE"/>
    <d v="2023-12-09T00:00:00"/>
    <d v="2023-12-09T00:00:00"/>
    <n v="1"/>
    <n v="1"/>
    <s v="NO"/>
    <s v="NO"/>
    <x v="0"/>
    <s v="A09"/>
    <s v="DIARREA Y GASTROENTERITIS DE PRESUNTO ORIGEN INFECCIOSO"/>
    <s v="SALUD TOTAL"/>
    <m/>
    <m/>
    <m/>
    <m/>
    <m/>
    <m/>
    <m/>
    <m/>
  </r>
  <r>
    <x v="11"/>
    <n v="98601485"/>
    <s v="SARRAZOLA"/>
    <m/>
    <s v="WILMAR"/>
    <s v="DE JESUS"/>
    <s v="SUPERVISOR "/>
    <d v="2023-12-11T00:00:00"/>
    <d v="2023-12-30T00:00:00"/>
    <n v="20"/>
    <n v="20"/>
    <s v="SI"/>
    <s v="NO"/>
    <x v="0"/>
    <s v="T840"/>
    <s v="COMPLICACION MECANICA DE PROTESIS ARTICULAR INTERNA"/>
    <s v="SURA EPS"/>
    <n v="8872066"/>
    <m/>
    <m/>
    <m/>
    <m/>
    <m/>
    <m/>
    <m/>
  </r>
  <r>
    <x v="11"/>
    <n v="1036622798"/>
    <s v="BETANCUR"/>
    <s v="GIL"/>
    <s v="DUVIAN"/>
    <s v="YHOBANNY"/>
    <s v="VIGILANTE"/>
    <d v="2023-12-11T00:00:00"/>
    <d v="2024-01-09T00:00:00"/>
    <n v="30"/>
    <n v="3"/>
    <s v="SI"/>
    <s v="NO"/>
    <x v="0"/>
    <s v="S929"/>
    <s v="FRACTURA DEL PIE, NO ESPECIFICADA"/>
    <s v="SURA EPS"/>
    <n v="8872068"/>
    <m/>
    <m/>
    <m/>
    <m/>
    <m/>
    <m/>
    <m/>
  </r>
  <r>
    <x v="11"/>
    <n v="70252687"/>
    <s v="MAZO"/>
    <s v="RAMIREZ"/>
    <s v="IVAN "/>
    <s v="DARIO"/>
    <s v="VIGILANTE"/>
    <d v="2023-12-11T00:00:00"/>
    <d v="2023-01-09T00:00:00"/>
    <n v="30"/>
    <n v="30"/>
    <s v="SI"/>
    <s v="NO"/>
    <x v="0"/>
    <s v="C20"/>
    <s v="TUMOR MALIGNO DEL RECTO"/>
    <s v="SURA EPS"/>
    <n v="8874444"/>
    <d v="2023-12-14T00:00:00"/>
    <m/>
    <m/>
    <m/>
    <m/>
    <m/>
    <m/>
  </r>
  <r>
    <x v="11"/>
    <n v="70323164"/>
    <s v="SUAREZ"/>
    <s v="CASTRILLON"/>
    <s v="JOSE"/>
    <s v="AIRCARDO"/>
    <s v="VIGILANTE"/>
    <d v="2023-12-13T00:00:00"/>
    <d v="2023-12-27T00:00:00"/>
    <n v="15"/>
    <n v="15"/>
    <s v="SI"/>
    <s v="NO"/>
    <x v="0"/>
    <s v="J449"/>
    <s v="ENFERMEDAD PULMONAR OBSTRUCTIVA CRONICA, NO ESPECIFICADA"/>
    <s v="SURA EPS"/>
    <n v="8872051"/>
    <m/>
    <m/>
    <m/>
    <m/>
    <m/>
    <m/>
    <m/>
  </r>
  <r>
    <x v="11"/>
    <n v="11804878"/>
    <s v="GAMBOA "/>
    <s v="ROMAÑA"/>
    <s v="ROBINSON "/>
    <m/>
    <s v="VIGILANTE"/>
    <d v="2023-12-15T00:00:00"/>
    <d v="2023-12-16T00:00:00"/>
    <n v="2"/>
    <n v="2"/>
    <s v="NO"/>
    <s v="NO"/>
    <x v="0"/>
    <s v="N23"/>
    <s v="COLICO RENAL, NO ESPECIFICADO"/>
    <s v="SURA EPS"/>
    <m/>
    <m/>
    <m/>
    <m/>
    <m/>
    <m/>
    <m/>
    <m/>
  </r>
  <r>
    <x v="11"/>
    <n v="98594342"/>
    <s v="OSPINA"/>
    <s v="MONTOYA"/>
    <s v="FABIAN "/>
    <s v="DARIO"/>
    <s v="VIGILANTE"/>
    <d v="2023-12-15T00:00:00"/>
    <d v="2024-01-03T00:00:00"/>
    <n v="20"/>
    <n v="20"/>
    <s v="NO"/>
    <s v="NO"/>
    <x v="0"/>
    <s v="I839"/>
    <s v="VENAS VARICOSAS DE LOS MIEMBROS INFERIORES SIN ULCERA NI INFLAMACION"/>
    <s v="SALUD TOTAL"/>
    <m/>
    <m/>
    <m/>
    <m/>
    <m/>
    <m/>
    <m/>
    <m/>
  </r>
  <r>
    <x v="11"/>
    <n v="1039760977"/>
    <s v="LEITON "/>
    <s v="HERNANDEZ"/>
    <s v="EDISSON "/>
    <s v="ALONSO"/>
    <s v="VIGILANTE"/>
    <d v="2023-12-19T00:00:00"/>
    <d v="2023-12-25T00:00:00"/>
    <n v="7"/>
    <n v="7"/>
    <s v="NO"/>
    <s v="NO"/>
    <x v="0"/>
    <s v="S818"/>
    <s v="HERIDA DE OTRAS PARTES DE LA PIERNA"/>
    <s v="SURA EPS"/>
    <m/>
    <d v="2023-12-21T00:00:00"/>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r>
    <x v="12"/>
    <m/>
    <m/>
    <m/>
    <m/>
    <m/>
    <m/>
    <m/>
    <m/>
    <m/>
    <m/>
    <m/>
    <m/>
    <x v="3"/>
    <m/>
    <s v=""/>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aDinámica1" cacheId="4" applyNumberFormats="0" applyBorderFormats="0" applyFontFormats="0" applyPatternFormats="0" applyAlignmentFormats="0" applyWidthHeightFormats="1" dataCaption="Valores" updatedVersion="7" minRefreshableVersion="3" useAutoFormatting="1" itemPrintTitles="1" createdVersion="6" indent="0" outline="1" outlineData="1" multipleFieldFilters="0">
  <location ref="B3:D7" firstHeaderRow="1" firstDataRow="2" firstDataCol="1"/>
  <pivotFields count="23">
    <pivotField axis="axisRow" showAll="0">
      <items count="15">
        <item m="1" x="7"/>
        <item m="1" x="10"/>
        <item m="1" x="11"/>
        <item m="1" x="3"/>
        <item m="1" x="1"/>
        <item m="1" x="4"/>
        <item x="0"/>
        <item m="1" x="6"/>
        <item m="1" x="5"/>
        <item m="1" x="12"/>
        <item m="1" x="13"/>
        <item m="1" x="8"/>
        <item m="1" x="9"/>
        <item m="1" x="2"/>
        <item t="default"/>
      </items>
    </pivotField>
    <pivotField showAll="0"/>
    <pivotField showAll="0"/>
    <pivotField showAll="0"/>
    <pivotField showAll="0"/>
    <pivotField showAll="0"/>
    <pivotField showAll="0"/>
    <pivotField showAll="0"/>
    <pivotField showAll="0"/>
    <pivotField dataField="1" showAll="0"/>
    <pivotField axis="axisRow" showAll="0">
      <items count="4">
        <item m="1" x="1"/>
        <item m="1" x="2"/>
        <item x="0"/>
        <item t="default"/>
      </items>
    </pivotField>
    <pivotField showAll="0"/>
    <pivotField axis="axisCol" showAll="0">
      <items count="15">
        <item m="1" x="8"/>
        <item m="1" x="6"/>
        <item n="ACCIDENTE DE_x000a_ TRABAJO" m="1" x="5"/>
        <item m="1" x="10"/>
        <item m="1" x="7"/>
        <item m="1" x="9"/>
        <item m="1" x="1"/>
        <item m="1" x="3"/>
        <item m="1" x="11"/>
        <item m="1" x="2"/>
        <item m="1" x="13"/>
        <item x="0"/>
        <item m="1" x="4"/>
        <item m="1" x="12"/>
        <item t="default"/>
      </items>
    </pivotField>
    <pivotField showAll="0"/>
    <pivotField showAll="0"/>
    <pivotField showAll="0"/>
    <pivotField showAll="0"/>
    <pivotField showAll="0"/>
    <pivotField showAll="0"/>
    <pivotField showAll="0"/>
    <pivotField showAll="0"/>
    <pivotField showAll="0"/>
    <pivotField showAll="0"/>
  </pivotFields>
  <rowFields count="2">
    <field x="0"/>
    <field x="10"/>
  </rowFields>
  <rowItems count="3">
    <i>
      <x v="6"/>
    </i>
    <i r="1">
      <x v="2"/>
    </i>
    <i t="grand">
      <x/>
    </i>
  </rowItems>
  <colFields count="1">
    <field x="12"/>
  </colFields>
  <colItems count="2">
    <i>
      <x v="11"/>
    </i>
    <i t="grand">
      <x/>
    </i>
  </colItems>
  <dataFields count="1">
    <dataField name="Suma de DÍAS DE INCAPACIDA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TablaDinámica1" cacheId="5"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B4:D42" firstHeaderRow="0" firstDataRow="1" firstDataCol="1"/>
  <pivotFields count="25">
    <pivotField axis="axisRow" showAll="0">
      <items count="14">
        <item x="12"/>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0">
        <item x="1"/>
        <item m="1" x="8"/>
        <item m="1" x="7"/>
        <item x="0"/>
        <item x="3"/>
        <item x="2"/>
        <item m="1" x="4"/>
        <item m="1" x="5"/>
        <item m="1"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0"/>
    <field x="13"/>
  </rowFields>
  <rowItems count="38">
    <i>
      <x/>
    </i>
    <i r="1">
      <x v="4"/>
    </i>
    <i>
      <x v="1"/>
    </i>
    <i r="1">
      <x/>
    </i>
    <i r="1">
      <x v="3"/>
    </i>
    <i>
      <x v="2"/>
    </i>
    <i r="1">
      <x/>
    </i>
    <i r="1">
      <x v="3"/>
    </i>
    <i>
      <x v="3"/>
    </i>
    <i r="1">
      <x/>
    </i>
    <i r="1">
      <x v="3"/>
    </i>
    <i>
      <x v="4"/>
    </i>
    <i r="1">
      <x/>
    </i>
    <i r="1">
      <x v="3"/>
    </i>
    <i>
      <x v="5"/>
    </i>
    <i r="1">
      <x/>
    </i>
    <i r="1">
      <x v="3"/>
    </i>
    <i>
      <x v="6"/>
    </i>
    <i r="1">
      <x/>
    </i>
    <i r="1">
      <x v="3"/>
    </i>
    <i>
      <x v="7"/>
    </i>
    <i r="1">
      <x/>
    </i>
    <i r="1">
      <x v="3"/>
    </i>
    <i>
      <x v="8"/>
    </i>
    <i r="1">
      <x/>
    </i>
    <i r="1">
      <x v="3"/>
    </i>
    <i r="1">
      <x v="5"/>
    </i>
    <i>
      <x v="9"/>
    </i>
    <i r="1">
      <x/>
    </i>
    <i r="1">
      <x v="3"/>
    </i>
    <i>
      <x v="10"/>
    </i>
    <i r="1">
      <x/>
    </i>
    <i r="1">
      <x v="3"/>
    </i>
    <i>
      <x v="11"/>
    </i>
    <i r="1">
      <x v="3"/>
    </i>
    <i>
      <x v="12"/>
    </i>
    <i r="1">
      <x v="3"/>
    </i>
    <i t="grand">
      <x/>
    </i>
  </rowItems>
  <colFields count="1">
    <field x="-2"/>
  </colFields>
  <colItems count="2">
    <i>
      <x/>
    </i>
    <i i="1">
      <x v="1"/>
    </i>
  </colItems>
  <dataFields count="2">
    <dataField name="Cuenta de DÍAS DE INCAPACIDAD2" fld="9" subtotal="count" baseField="12" baseItem="3"/>
    <dataField name="Suma de DÍAS DE INCAPACIDA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TablaDinámica1" cacheId="3" applyNumberFormats="0" applyBorderFormats="0" applyFontFormats="0" applyPatternFormats="0" applyAlignmentFormats="0" applyWidthHeightFormats="1" dataCaption="Valores" updatedVersion="6" minRefreshableVersion="3" useAutoFormatting="1" itemPrintTitles="1" createdVersion="7" indent="0" outline="1" outlineData="1" multipleFieldFilters="0">
  <location ref="B3:H19" firstHeaderRow="1" firstDataRow="2" firstDataCol="1"/>
  <pivotFields count="17">
    <pivotField axis="axisRow" showAll="0">
      <items count="15">
        <item x="0"/>
        <item x="2"/>
        <item x="3"/>
        <item x="4"/>
        <item x="5"/>
        <item x="6"/>
        <item x="7"/>
        <item x="8"/>
        <item x="9"/>
        <item x="10"/>
        <item x="11"/>
        <item x="1"/>
        <item x="13"/>
        <item x="12"/>
        <item t="default"/>
      </items>
    </pivotField>
    <pivotField showAll="0"/>
    <pivotField showAll="0"/>
    <pivotField showAll="0"/>
    <pivotField showAll="0"/>
    <pivotField showAll="0"/>
    <pivotField showAll="0"/>
    <pivotField axis="axisCol" showAll="0">
      <items count="8">
        <item x="3"/>
        <item x="2"/>
        <item m="1" x="5"/>
        <item x="0"/>
        <item m="1" x="6"/>
        <item x="1"/>
        <item x="4"/>
        <item t="default"/>
      </items>
    </pivotField>
    <pivotField showAll="0"/>
    <pivotField showAll="0"/>
    <pivotField dataField="1" showAll="0"/>
    <pivotField showAll="0"/>
    <pivotField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Fields count="1">
    <field x="7"/>
  </colFields>
  <colItems count="6">
    <i>
      <x/>
    </i>
    <i>
      <x v="1"/>
    </i>
    <i>
      <x v="3"/>
    </i>
    <i>
      <x v="5"/>
    </i>
    <i>
      <x v="6"/>
    </i>
    <i t="grand">
      <x/>
    </i>
  </colItems>
  <dataFields count="1">
    <dataField name="Suma de DIAS DE AUSENCIA "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A3:Y1805" headerRowDxfId="20">
  <autoFilter ref="A3:Y1805" xr:uid="{00000000-0009-0000-0100-000002000000}">
    <filterColumn colId="7">
      <filters>
        <dateGroupItem year="2026" month="6" dateTimeGrouping="month"/>
        <dateGroupItem year="2026" month="7" dateTimeGrouping="month"/>
      </filters>
    </filterColumn>
  </autoFilter>
  <sortState xmlns:xlrd2="http://schemas.microsoft.com/office/spreadsheetml/2017/richdata2" ref="A4:Y1805">
    <sortCondition ref="H3:H1805"/>
  </sortState>
  <tableColumns count="25">
    <tableColumn id="1" xr3:uid="{00000000-0010-0000-0000-000001000000}" name="MES DEL EVENTO" totalsRowLabel="Total" dataDxfId="19" totalsRowDxfId="18"/>
    <tableColumn id="2" xr3:uid="{00000000-0010-0000-0000-000002000000}" name="CEDULA"/>
    <tableColumn id="3" xr3:uid="{00000000-0010-0000-0000-000003000000}" name="APELLIDO 1"/>
    <tableColumn id="4" xr3:uid="{00000000-0010-0000-0000-000004000000}" name="APELLIDO 2"/>
    <tableColumn id="5" xr3:uid="{00000000-0010-0000-0000-000005000000}" name="NOMBRE 1"/>
    <tableColumn id="6" xr3:uid="{00000000-0010-0000-0000-000006000000}" name="NOMBRE 2"/>
    <tableColumn id="7" xr3:uid="{00000000-0010-0000-0000-000007000000}" name="CARGO" dataDxfId="17"/>
    <tableColumn id="8" xr3:uid="{00000000-0010-0000-0000-000008000000}" name="FECHA INICIAL DE INCAPACIDAD" dataDxfId="16"/>
    <tableColumn id="9" xr3:uid="{00000000-0010-0000-0000-000009000000}" name="FECHA FINAL DE INCAPACIDAD" dataDxfId="15"/>
    <tableColumn id="10" xr3:uid="{00000000-0010-0000-0000-00000A000000}" name="DÍAS DE INCAPACIDAD"/>
    <tableColumn id="24" xr3:uid="{00000000-0010-0000-0000-000018000000}" name="DIAS INC DENTRO DEL MES"/>
    <tableColumn id="11" xr3:uid="{00000000-0010-0000-0000-00000B000000}" name="PRORROGA"/>
    <tableColumn id="12" xr3:uid="{00000000-0010-0000-0000-00000C000000}" name="EXAMEN POST-INCAPACIDAD"/>
    <tableColumn id="13" xr3:uid="{00000000-0010-0000-0000-00000D000000}" name="ORIGEN DE LA INCAPACIDAD"/>
    <tableColumn id="14" xr3:uid="{00000000-0010-0000-0000-00000E000000}" name="CÓDIGO DIAGNOSTICO"/>
    <tableColumn id="15" xr3:uid="{00000000-0010-0000-0000-00000F000000}" name="DESCRIPCIÓN DE LA CATEGORÍA DE LA CONDICIÓN DE SALUD" dataDxfId="14" totalsRowDxfId="13"/>
    <tableColumn id="16" xr3:uid="{00000000-0010-0000-0000-000010000000}" name="EPS-ARL"/>
    <tableColumn id="25" xr3:uid="{00000000-0010-0000-0000-000019000000}" name="N° RADICADO" dataDxfId="12" totalsRowDxfId="11"/>
    <tableColumn id="17" xr3:uid="{00000000-0010-0000-0000-000011000000}" name="FECHA RADICACION_x000a_(DD/MM/AAAA)" dataDxfId="10"/>
    <tableColumn id="18" xr3:uid="{00000000-0010-0000-0000-000012000000}" name="FECHA PAGO_x000a_(DD/MM/AAAA)" dataDxfId="9"/>
    <tableColumn id="19" xr3:uid="{00000000-0010-0000-0000-000013000000}" name="VALOR_x000a_CANCELADO" dataDxfId="8" totalsRowDxfId="7" dataCellStyle="Moneda"/>
    <tableColumn id="20" xr3:uid="{00000000-0010-0000-0000-000014000000}" name="OBSERVACIONES"/>
    <tableColumn id="21" xr3:uid="{00000000-0010-0000-0000-000015000000}" name="SALARIO BASE"/>
    <tableColumn id="22" xr3:uid="{00000000-0010-0000-0000-000016000000}" name="COSTOS ASUMIDOS A.T."/>
    <tableColumn id="23" xr3:uid="{00000000-0010-0000-0000-000017000000}" name="COSTOS ASUMIDOS A.C. - E.G." totalsRowFunction="sum" dataDxfId="6" totalsRowDxfId="5" dataCellStyle="Moneda"/>
  </tableColumns>
  <tableStyleInfo name="TableStyleMedium9" showFirstColumn="0" showLastColumn="0" showRowStripes="1" showColumnStripes="1"/>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Z1805"/>
  <sheetViews>
    <sheetView tabSelected="1" topLeftCell="A3" zoomScale="93" zoomScaleNormal="93" workbookViewId="0">
      <pane ySplit="1" topLeftCell="A1637" activePane="bottomLeft" state="frozen"/>
      <selection activeCell="A3" sqref="A3"/>
      <selection pane="bottomLeft" activeCell="E1800" sqref="E1800"/>
    </sheetView>
  </sheetViews>
  <sheetFormatPr baseColWidth="10" defaultRowHeight="15" x14ac:dyDescent="0.25"/>
  <cols>
    <col min="1" max="1" width="8" style="57" customWidth="1"/>
    <col min="2" max="2" width="16" customWidth="1"/>
    <col min="3" max="4" width="13" customWidth="1"/>
    <col min="5" max="6" width="12.5703125" customWidth="1"/>
    <col min="7" max="7" width="21.42578125" style="57" customWidth="1"/>
    <col min="8" max="8" width="12.85546875" customWidth="1"/>
    <col min="9" max="9" width="15.28515625" customWidth="1"/>
    <col min="10" max="10" width="9" customWidth="1"/>
    <col min="11" max="11" width="10.28515625" customWidth="1"/>
    <col min="12" max="12" width="9.42578125" customWidth="1"/>
    <col min="13" max="13" width="9.140625" customWidth="1"/>
    <col min="14" max="14" width="24.140625" bestFit="1" customWidth="1"/>
    <col min="15" max="15" width="10.5703125" customWidth="1"/>
    <col min="16" max="16" width="61.85546875" customWidth="1"/>
    <col min="17" max="17" width="22.42578125" bestFit="1" customWidth="1"/>
    <col min="18" max="18" width="22.42578125" style="57" customWidth="1"/>
    <col min="19" max="20" width="11.42578125" style="74"/>
    <col min="21" max="21" width="12.5703125" style="61" bestFit="1" customWidth="1"/>
    <col min="22" max="22" width="18" customWidth="1"/>
    <col min="23" max="23" width="15.5703125" style="61" customWidth="1"/>
    <col min="24" max="24" width="24.28515625" style="61" customWidth="1"/>
    <col min="25" max="25" width="27.85546875" style="61" bestFit="1" customWidth="1"/>
  </cols>
  <sheetData>
    <row r="1" spans="1:26" hidden="1" x14ac:dyDescent="0.25">
      <c r="W1"/>
      <c r="X1"/>
    </row>
    <row r="2" spans="1:26" hidden="1" x14ac:dyDescent="0.25">
      <c r="W2"/>
      <c r="X2"/>
    </row>
    <row r="3" spans="1:26" s="56" customFormat="1" ht="48" x14ac:dyDescent="0.25">
      <c r="A3" s="56" t="s">
        <v>12</v>
      </c>
      <c r="B3" s="56" t="s">
        <v>19237</v>
      </c>
      <c r="C3" s="56" t="s">
        <v>19233</v>
      </c>
      <c r="D3" s="56" t="s">
        <v>19234</v>
      </c>
      <c r="E3" s="56" t="s">
        <v>19235</v>
      </c>
      <c r="F3" s="56" t="s">
        <v>19280</v>
      </c>
      <c r="G3" s="56" t="s">
        <v>13</v>
      </c>
      <c r="H3" s="56" t="s">
        <v>19276</v>
      </c>
      <c r="I3" s="56" t="s">
        <v>19277</v>
      </c>
      <c r="J3" s="56" t="s">
        <v>12474</v>
      </c>
      <c r="K3" s="56" t="s">
        <v>19291</v>
      </c>
      <c r="L3" s="56" t="s">
        <v>12453</v>
      </c>
      <c r="M3" s="56" t="s">
        <v>19267</v>
      </c>
      <c r="N3" s="56" t="s">
        <v>19261</v>
      </c>
      <c r="O3" s="56" t="s">
        <v>12475</v>
      </c>
      <c r="P3" s="56" t="s">
        <v>12480</v>
      </c>
      <c r="Q3" s="56" t="s">
        <v>19248</v>
      </c>
      <c r="R3" s="56" t="s">
        <v>25922</v>
      </c>
      <c r="S3" s="66" t="s">
        <v>19249</v>
      </c>
      <c r="T3" s="66" t="s">
        <v>19250</v>
      </c>
      <c r="U3" s="71" t="s">
        <v>19251</v>
      </c>
      <c r="V3" s="56" t="s">
        <v>14</v>
      </c>
      <c r="W3" s="71" t="s">
        <v>12476</v>
      </c>
      <c r="X3" s="71" t="s">
        <v>12477</v>
      </c>
      <c r="Y3" s="71" t="s">
        <v>12482</v>
      </c>
    </row>
    <row r="4" spans="1:26" ht="15.75" hidden="1" customHeight="1" x14ac:dyDescent="0.25">
      <c r="A4" s="64">
        <v>1</v>
      </c>
      <c r="B4" s="62">
        <v>71625464</v>
      </c>
      <c r="C4" s="62" t="s">
        <v>25002</v>
      </c>
      <c r="D4" s="62" t="s">
        <v>25003</v>
      </c>
      <c r="E4" s="62" t="s">
        <v>25004</v>
      </c>
      <c r="F4" s="62" t="s">
        <v>25005</v>
      </c>
      <c r="G4" s="81" t="s">
        <v>19285</v>
      </c>
      <c r="H4" s="63">
        <v>44566</v>
      </c>
      <c r="I4" s="63">
        <v>44932</v>
      </c>
      <c r="J4" s="62">
        <v>2</v>
      </c>
      <c r="K4" s="62">
        <v>2</v>
      </c>
      <c r="L4" s="62" t="s">
        <v>24995</v>
      </c>
      <c r="M4" s="62" t="s">
        <v>24995</v>
      </c>
      <c r="N4" s="62" t="s">
        <v>19269</v>
      </c>
      <c r="O4" s="62" t="s">
        <v>85</v>
      </c>
      <c r="P4" s="42" t="str">
        <f>+IF(O4="","",IFERROR(VLOOKUP(O4,CODIGO_DIAGNOSTICO,2,0),"CÓDIGO NO ENCONTRADO"))</f>
        <v>OTRAS ENTERITIS VIRALES</v>
      </c>
      <c r="Q4" s="62" t="s">
        <v>19230</v>
      </c>
      <c r="R4" s="64">
        <v>0</v>
      </c>
      <c r="S4" s="75"/>
      <c r="T4" s="75"/>
      <c r="U4" s="65">
        <f>SUM(W4/30)</f>
        <v>42400.166666666664</v>
      </c>
      <c r="V4" s="62" t="s">
        <v>25941</v>
      </c>
      <c r="W4" s="65">
        <v>1272005</v>
      </c>
      <c r="X4" s="62">
        <v>0</v>
      </c>
      <c r="Y4" s="65">
        <v>84800</v>
      </c>
      <c r="Z4" s="73"/>
    </row>
    <row r="5" spans="1:26" ht="15.75" hidden="1" customHeight="1" x14ac:dyDescent="0.25">
      <c r="A5" s="67">
        <v>1</v>
      </c>
      <c r="B5" s="68">
        <v>1036687761</v>
      </c>
      <c r="C5" s="68" t="s">
        <v>24992</v>
      </c>
      <c r="D5" s="68" t="s">
        <v>24993</v>
      </c>
      <c r="E5" s="68" t="s">
        <v>24994</v>
      </c>
      <c r="F5" s="68"/>
      <c r="G5" s="81" t="s">
        <v>19285</v>
      </c>
      <c r="H5" s="69">
        <v>44927</v>
      </c>
      <c r="I5" s="69">
        <v>44927</v>
      </c>
      <c r="J5" s="68">
        <v>1</v>
      </c>
      <c r="K5" s="68">
        <v>1</v>
      </c>
      <c r="L5" s="68" t="s">
        <v>24995</v>
      </c>
      <c r="M5" s="68" t="s">
        <v>24995</v>
      </c>
      <c r="N5" s="62" t="s">
        <v>19269</v>
      </c>
      <c r="O5" s="68" t="s">
        <v>85</v>
      </c>
      <c r="P5" s="42" t="str">
        <f>+IF(O5="","",IFERROR(VLOOKUP(O5,CODIGO_DIAGNOSTICO,2,0),"CÓDIGO NO ENCONTRADO"))</f>
        <v>OTRAS ENTERITIS VIRALES</v>
      </c>
      <c r="Q5" s="68" t="s">
        <v>24996</v>
      </c>
      <c r="R5" s="67">
        <v>0</v>
      </c>
      <c r="S5" s="77"/>
      <c r="T5" s="76">
        <v>0</v>
      </c>
      <c r="U5" s="65">
        <f>SUM(W5/30)</f>
        <v>42400.166666666664</v>
      </c>
      <c r="V5" s="68" t="s">
        <v>25941</v>
      </c>
      <c r="W5" s="70">
        <v>1272005</v>
      </c>
      <c r="X5" s="68">
        <v>0</v>
      </c>
      <c r="Y5" s="70">
        <v>42400</v>
      </c>
      <c r="Z5" s="72"/>
    </row>
    <row r="6" spans="1:26" ht="15.75" hidden="1" customHeight="1" x14ac:dyDescent="0.25">
      <c r="A6" s="64">
        <v>1</v>
      </c>
      <c r="B6" s="62">
        <v>1020403449</v>
      </c>
      <c r="C6" s="62" t="s">
        <v>25021</v>
      </c>
      <c r="D6" s="62" t="s">
        <v>25022</v>
      </c>
      <c r="E6" s="62" t="s">
        <v>25023</v>
      </c>
      <c r="F6" s="62" t="s">
        <v>25024</v>
      </c>
      <c r="G6" s="81" t="s">
        <v>19285</v>
      </c>
      <c r="H6" s="63">
        <v>44928</v>
      </c>
      <c r="I6" s="63">
        <v>44930</v>
      </c>
      <c r="J6" s="62">
        <v>3</v>
      </c>
      <c r="K6" s="62">
        <v>3</v>
      </c>
      <c r="L6" s="62" t="s">
        <v>24995</v>
      </c>
      <c r="M6" s="62" t="s">
        <v>24995</v>
      </c>
      <c r="N6" s="62" t="s">
        <v>19269</v>
      </c>
      <c r="O6" s="62" t="s">
        <v>7724</v>
      </c>
      <c r="P6" s="42" t="str">
        <f>+IF(O6="","",IFERROR(VLOOKUP(O6,CODIGO_DIAGNOSTICO,2,0),"CÓDIGO NO ENCONTRADO"))</f>
        <v>FRACTURA DE LA DIAFISIS DE LA TIBIA</v>
      </c>
      <c r="Q6" s="62" t="s">
        <v>19230</v>
      </c>
      <c r="R6" s="64"/>
      <c r="S6" s="75">
        <v>44931</v>
      </c>
      <c r="T6" s="75">
        <v>44959</v>
      </c>
      <c r="U6" s="65">
        <f>SUM(W6/30)</f>
        <v>42400.166666666664</v>
      </c>
      <c r="V6" s="62" t="s">
        <v>25941</v>
      </c>
      <c r="W6" s="65">
        <v>1272005</v>
      </c>
      <c r="X6" s="62">
        <v>0</v>
      </c>
      <c r="Y6" s="65">
        <f>SUM(U6*J6)</f>
        <v>127200.5</v>
      </c>
      <c r="Z6" s="73"/>
    </row>
    <row r="7" spans="1:26" ht="15.75" hidden="1" customHeight="1" x14ac:dyDescent="0.25">
      <c r="A7" s="67">
        <v>1</v>
      </c>
      <c r="B7" s="68">
        <v>3669363</v>
      </c>
      <c r="C7" s="68" t="s">
        <v>19286</v>
      </c>
      <c r="D7" s="68" t="s">
        <v>24983</v>
      </c>
      <c r="E7" s="68" t="s">
        <v>19287</v>
      </c>
      <c r="F7" s="68" t="s">
        <v>24982</v>
      </c>
      <c r="G7" s="81" t="s">
        <v>19285</v>
      </c>
      <c r="H7" s="69">
        <v>44928</v>
      </c>
      <c r="I7" s="69">
        <v>44937</v>
      </c>
      <c r="J7" s="68">
        <v>10</v>
      </c>
      <c r="K7" s="68">
        <v>10</v>
      </c>
      <c r="L7" s="68" t="s">
        <v>19262</v>
      </c>
      <c r="M7" s="68" t="s">
        <v>19262</v>
      </c>
      <c r="N7" s="62" t="s">
        <v>19269</v>
      </c>
      <c r="O7" s="68" t="s">
        <v>7723</v>
      </c>
      <c r="P7" s="42" t="str">
        <f>+IF(O7="","",IFERROR(VLOOKUP(O7,CODIGO_DIAGNOSTICO,2,0),"CÓDIGO NO ENCONTRADO"))</f>
        <v>FRACTURA DE LA EPIFISIS SUPERIOR DE LA TIBIA</v>
      </c>
      <c r="Q7" s="68" t="s">
        <v>19230</v>
      </c>
      <c r="R7" s="67"/>
      <c r="S7" s="77">
        <v>44564</v>
      </c>
      <c r="T7" s="76"/>
      <c r="U7" s="65">
        <f>SUM(W7/30)</f>
        <v>42400.166666666664</v>
      </c>
      <c r="V7" s="68" t="s">
        <v>25941</v>
      </c>
      <c r="W7" s="70">
        <v>1272005</v>
      </c>
      <c r="X7" s="68">
        <v>0</v>
      </c>
      <c r="Y7" s="70"/>
      <c r="Z7" s="72"/>
    </row>
    <row r="8" spans="1:26" ht="15.75" hidden="1" customHeight="1" x14ac:dyDescent="0.25">
      <c r="A8" s="64">
        <v>1</v>
      </c>
      <c r="B8" s="62">
        <v>1020403449</v>
      </c>
      <c r="C8" s="62" t="s">
        <v>25021</v>
      </c>
      <c r="D8" s="62" t="s">
        <v>25022</v>
      </c>
      <c r="E8" s="62" t="s">
        <v>25023</v>
      </c>
      <c r="F8" s="62" t="s">
        <v>25024</v>
      </c>
      <c r="G8" s="81" t="s">
        <v>19285</v>
      </c>
      <c r="H8" s="63">
        <v>44928</v>
      </c>
      <c r="I8" s="63">
        <v>44932</v>
      </c>
      <c r="J8" s="62">
        <v>5</v>
      </c>
      <c r="K8" s="62">
        <v>5</v>
      </c>
      <c r="L8" s="62" t="s">
        <v>24995</v>
      </c>
      <c r="M8" s="62" t="s">
        <v>24995</v>
      </c>
      <c r="N8" s="62" t="s">
        <v>19269</v>
      </c>
      <c r="O8" s="62" t="s">
        <v>7713</v>
      </c>
      <c r="P8" s="42" t="str">
        <f>+IF(O8="","",IFERROR(VLOOKUP(O8,CODIGO_DIAGNOSTICO,2,0),"CÓDIGO NO ENCONTRADO"))</f>
        <v>CONTUSION DE LA RODILLA</v>
      </c>
      <c r="Q8" s="62" t="s">
        <v>25025</v>
      </c>
      <c r="R8" s="64"/>
      <c r="S8" s="75">
        <v>44952</v>
      </c>
      <c r="T8" s="75">
        <v>44959</v>
      </c>
      <c r="U8" s="65">
        <f>SUM(W8/30)</f>
        <v>42400.166666666664</v>
      </c>
      <c r="V8" s="62" t="s">
        <v>25941</v>
      </c>
      <c r="W8" s="65">
        <v>1272005</v>
      </c>
      <c r="X8" s="62">
        <v>0</v>
      </c>
      <c r="Y8" s="65"/>
      <c r="Z8" s="73"/>
    </row>
    <row r="9" spans="1:26" ht="15.75" hidden="1" customHeight="1" x14ac:dyDescent="0.25">
      <c r="A9" s="67">
        <v>1</v>
      </c>
      <c r="B9" s="68">
        <v>1060594475</v>
      </c>
      <c r="C9" s="68" t="s">
        <v>25152</v>
      </c>
      <c r="D9" s="68" t="s">
        <v>25153</v>
      </c>
      <c r="E9" s="68" t="s">
        <v>25154</v>
      </c>
      <c r="F9" s="68"/>
      <c r="G9" s="81" t="s">
        <v>19285</v>
      </c>
      <c r="H9" s="69">
        <v>44928</v>
      </c>
      <c r="I9" s="69">
        <v>44929</v>
      </c>
      <c r="J9" s="68">
        <v>2</v>
      </c>
      <c r="K9" s="68">
        <v>2</v>
      </c>
      <c r="L9" s="68" t="s">
        <v>24995</v>
      </c>
      <c r="M9" s="68" t="s">
        <v>24995</v>
      </c>
      <c r="N9" s="62" t="s">
        <v>19269</v>
      </c>
      <c r="O9" s="68" t="s">
        <v>2314</v>
      </c>
      <c r="P9" s="42" t="str">
        <f>+IF(O9="","",IFERROR(VLOOKUP(O9,CODIGO_DIAGNOSTICO,2,0),"CÓDIGO NO ENCONTRADO"))</f>
        <v>TRASTORNO DE LA INGESTION DE ALIMENTOS, NO ESPECIFICADO</v>
      </c>
      <c r="Q9" s="68" t="s">
        <v>19231</v>
      </c>
      <c r="R9" s="67">
        <v>0</v>
      </c>
      <c r="S9" s="77"/>
      <c r="T9" s="76"/>
      <c r="U9" s="65">
        <f>SUM(W9/30)</f>
        <v>42400.166666666664</v>
      </c>
      <c r="V9" s="68" t="s">
        <v>25941</v>
      </c>
      <c r="W9" s="70">
        <v>1272005</v>
      </c>
      <c r="X9" s="68">
        <v>0</v>
      </c>
      <c r="Y9" s="70">
        <v>84800</v>
      </c>
      <c r="Z9" s="72"/>
    </row>
    <row r="10" spans="1:26" ht="15.75" hidden="1" customHeight="1" x14ac:dyDescent="0.25">
      <c r="A10" s="64">
        <v>1</v>
      </c>
      <c r="B10" s="62">
        <v>92543986</v>
      </c>
      <c r="C10" s="62" t="s">
        <v>25017</v>
      </c>
      <c r="D10" s="62" t="s">
        <v>25018</v>
      </c>
      <c r="E10" s="62" t="s">
        <v>25019</v>
      </c>
      <c r="F10" s="62" t="s">
        <v>25020</v>
      </c>
      <c r="G10" s="81" t="s">
        <v>19285</v>
      </c>
      <c r="H10" s="63">
        <v>44929</v>
      </c>
      <c r="I10" s="63">
        <v>44929</v>
      </c>
      <c r="J10" s="62">
        <v>1</v>
      </c>
      <c r="K10" s="62">
        <v>1</v>
      </c>
      <c r="L10" s="62" t="s">
        <v>24995</v>
      </c>
      <c r="M10" s="62" t="s">
        <v>24995</v>
      </c>
      <c r="N10" s="62" t="s">
        <v>19269</v>
      </c>
      <c r="O10" s="62" t="s">
        <v>15281</v>
      </c>
      <c r="P10" s="42" t="str">
        <f>+IF(O10="","",IFERROR(VLOOKUP(O10,CODIGO_DIAGNOSTICO,2,0),"CÓDIGO NO ENCONTRADO"))</f>
        <v>RINOFARINGITIS AGUDA (RESFRIADO COMUN)</v>
      </c>
      <c r="Q10" s="62" t="s">
        <v>24996</v>
      </c>
      <c r="R10" s="64">
        <v>0</v>
      </c>
      <c r="S10" s="75"/>
      <c r="T10" s="75">
        <v>0</v>
      </c>
      <c r="U10" s="65">
        <f>SUM(W10/30)</f>
        <v>42400.166666666664</v>
      </c>
      <c r="V10" s="62" t="s">
        <v>25941</v>
      </c>
      <c r="W10" s="65">
        <v>1272005</v>
      </c>
      <c r="X10" s="62">
        <v>0</v>
      </c>
      <c r="Y10" s="65">
        <v>42400</v>
      </c>
      <c r="Z10" s="73"/>
    </row>
    <row r="11" spans="1:26" ht="15.75" hidden="1" customHeight="1" x14ac:dyDescent="0.25">
      <c r="A11" s="67">
        <v>1</v>
      </c>
      <c r="B11" s="68">
        <v>71748300</v>
      </c>
      <c r="C11" s="68" t="s">
        <v>25160</v>
      </c>
      <c r="D11" s="68" t="s">
        <v>25161</v>
      </c>
      <c r="E11" s="68" t="s">
        <v>25028</v>
      </c>
      <c r="F11" s="68" t="s">
        <v>25162</v>
      </c>
      <c r="G11" s="81" t="s">
        <v>19285</v>
      </c>
      <c r="H11" s="69">
        <v>44929</v>
      </c>
      <c r="I11" s="69">
        <v>44938</v>
      </c>
      <c r="J11" s="68">
        <v>10</v>
      </c>
      <c r="K11" s="68">
        <v>10</v>
      </c>
      <c r="L11" s="68" t="s">
        <v>24995</v>
      </c>
      <c r="M11" s="68" t="s">
        <v>24995</v>
      </c>
      <c r="N11" s="62" t="s">
        <v>19269</v>
      </c>
      <c r="O11" s="68" t="s">
        <v>7600</v>
      </c>
      <c r="P11" s="42" t="str">
        <f>+IF(O11="","",IFERROR(VLOOKUP(O11,CODIGO_DIAGNOSTICO,2,0),"CÓDIGO NO ENCONTRADO"))</f>
        <v>CONTUSION DE DEDO(S) DE LA MANO, SIN DAÑO DE LA(S) UÑA(S)</v>
      </c>
      <c r="Q11" s="68" t="s">
        <v>25025</v>
      </c>
      <c r="R11" s="67"/>
      <c r="S11" s="77"/>
      <c r="T11" s="76"/>
      <c r="U11" s="65">
        <f>SUM(W11/30)</f>
        <v>42400.166666666664</v>
      </c>
      <c r="V11" s="68" t="s">
        <v>25941</v>
      </c>
      <c r="W11" s="70">
        <v>1272005</v>
      </c>
      <c r="X11" s="68">
        <v>0</v>
      </c>
      <c r="Y11" s="70"/>
      <c r="Z11" s="72"/>
    </row>
    <row r="12" spans="1:26" ht="15.75" hidden="1" customHeight="1" x14ac:dyDescent="0.25">
      <c r="A12" s="64">
        <v>1</v>
      </c>
      <c r="B12" s="62">
        <v>43117538</v>
      </c>
      <c r="C12" s="62" t="s">
        <v>24997</v>
      </c>
      <c r="D12" s="62" t="s">
        <v>24998</v>
      </c>
      <c r="E12" s="62" t="s">
        <v>24999</v>
      </c>
      <c r="F12" s="62" t="s">
        <v>25000</v>
      </c>
      <c r="G12" s="81" t="s">
        <v>19285</v>
      </c>
      <c r="H12" s="63">
        <v>44930</v>
      </c>
      <c r="I12" s="63">
        <v>44939</v>
      </c>
      <c r="J12" s="62">
        <v>10</v>
      </c>
      <c r="K12" s="62">
        <v>10</v>
      </c>
      <c r="L12" s="62" t="s">
        <v>19262</v>
      </c>
      <c r="M12" s="62" t="s">
        <v>19262</v>
      </c>
      <c r="N12" s="62" t="s">
        <v>19263</v>
      </c>
      <c r="O12" s="62" t="s">
        <v>7736</v>
      </c>
      <c r="P12" s="42" t="str">
        <f>+IF(O12="","",IFERROR(VLOOKUP(O12,CODIGO_DIAGNOSTICO,2,0),"CÓDIGO NO ENCONTRADO"))</f>
        <v>ESGUINCES Y TORCEDURAS QUE COMPROMETEN LOS LIGAMENTOS LATERALES (EXTERNO) (INTERNO) DE LA RODILLA</v>
      </c>
      <c r="Q12" s="62" t="s">
        <v>25001</v>
      </c>
      <c r="R12" s="64"/>
      <c r="S12" s="75"/>
      <c r="T12" s="75"/>
      <c r="U12" s="65">
        <f>SUM(W12/30)*J12</f>
        <v>424001.66666666663</v>
      </c>
      <c r="V12" s="62" t="s">
        <v>25941</v>
      </c>
      <c r="W12" s="65">
        <v>1272005</v>
      </c>
      <c r="X12" s="62">
        <v>0</v>
      </c>
      <c r="Y12" s="65">
        <v>0</v>
      </c>
      <c r="Z12" s="73"/>
    </row>
    <row r="13" spans="1:26" ht="15.75" hidden="1" customHeight="1" x14ac:dyDescent="0.25">
      <c r="A13" s="67">
        <v>1</v>
      </c>
      <c r="B13" s="68">
        <v>71319430</v>
      </c>
      <c r="C13" s="68" t="s">
        <v>25006</v>
      </c>
      <c r="D13" s="68"/>
      <c r="E13" s="68" t="s">
        <v>25007</v>
      </c>
      <c r="F13" s="68"/>
      <c r="G13" s="81" t="s">
        <v>19285</v>
      </c>
      <c r="H13" s="69">
        <v>44930</v>
      </c>
      <c r="I13" s="69">
        <v>44944</v>
      </c>
      <c r="J13" s="68">
        <v>15</v>
      </c>
      <c r="K13" s="68">
        <v>15</v>
      </c>
      <c r="L13" s="68" t="s">
        <v>24995</v>
      </c>
      <c r="M13" s="68" t="s">
        <v>24995</v>
      </c>
      <c r="N13" s="62" t="s">
        <v>19269</v>
      </c>
      <c r="O13" s="68" t="s">
        <v>8416</v>
      </c>
      <c r="P13" s="42" t="str">
        <f>+IF(O13="","",IFERROR(VLOOKUP(O13,CODIGO_DIAGNOSTICO,2,0),"CÓDIGO NO ENCONTRADO"))</f>
        <v>COMPLICACION MECANICA DE DISPOSITIVO DE FIJACION INTERNA DE HUESOS DE UN MIEMBRO</v>
      </c>
      <c r="Q13" s="68" t="s">
        <v>19230</v>
      </c>
      <c r="R13" s="67"/>
      <c r="S13" s="77">
        <v>44932</v>
      </c>
      <c r="T13" s="76">
        <v>44943</v>
      </c>
      <c r="U13" s="65">
        <f>SUM(W13/30)</f>
        <v>42400.166666666664</v>
      </c>
      <c r="V13" s="68" t="s">
        <v>25941</v>
      </c>
      <c r="W13" s="70">
        <v>1272005</v>
      </c>
      <c r="X13" s="68">
        <v>0</v>
      </c>
      <c r="Y13" s="70"/>
      <c r="Z13" s="72"/>
    </row>
    <row r="14" spans="1:26" ht="15.75" hidden="1" customHeight="1" x14ac:dyDescent="0.25">
      <c r="A14" s="64">
        <v>1</v>
      </c>
      <c r="B14" s="62">
        <v>15309929</v>
      </c>
      <c r="C14" s="62" t="s">
        <v>25011</v>
      </c>
      <c r="D14" s="62" t="s">
        <v>25012</v>
      </c>
      <c r="E14" s="62" t="s">
        <v>25013</v>
      </c>
      <c r="F14" s="62" t="s">
        <v>25014</v>
      </c>
      <c r="G14" s="81" t="s">
        <v>19285</v>
      </c>
      <c r="H14" s="63">
        <v>44930</v>
      </c>
      <c r="I14" s="63">
        <v>44934</v>
      </c>
      <c r="J14" s="62">
        <v>5</v>
      </c>
      <c r="K14" s="62">
        <v>5</v>
      </c>
      <c r="L14" s="62" t="s">
        <v>24995</v>
      </c>
      <c r="M14" s="62" t="s">
        <v>24995</v>
      </c>
      <c r="N14" s="62" t="s">
        <v>19269</v>
      </c>
      <c r="O14" s="62" t="s">
        <v>4694</v>
      </c>
      <c r="P14" s="42" t="str">
        <f>+IF(O14="","",IFERROR(VLOOKUP(O14,CODIGO_DIAGNOSTICO,2,0),"CÓDIGO NO ENCONTRADO"))</f>
        <v>OTROS TRASTORNOS INTERNOS DE LA RODILLA</v>
      </c>
      <c r="Q14" s="62" t="s">
        <v>19230</v>
      </c>
      <c r="R14" s="64"/>
      <c r="S14" s="75">
        <v>44933</v>
      </c>
      <c r="T14" s="75">
        <v>45099</v>
      </c>
      <c r="U14" s="65">
        <f>SUM(W14/30)</f>
        <v>42400.166666666664</v>
      </c>
      <c r="V14" s="62" t="s">
        <v>25941</v>
      </c>
      <c r="W14" s="65">
        <v>1272005</v>
      </c>
      <c r="X14" s="62">
        <v>0</v>
      </c>
      <c r="Y14" s="65"/>
      <c r="Z14" s="73"/>
    </row>
    <row r="15" spans="1:26" ht="15.75" hidden="1" customHeight="1" x14ac:dyDescent="0.25">
      <c r="A15" s="67">
        <v>1</v>
      </c>
      <c r="B15" s="68">
        <v>71676289</v>
      </c>
      <c r="C15" s="68" t="s">
        <v>25015</v>
      </c>
      <c r="D15" s="68" t="s">
        <v>25012</v>
      </c>
      <c r="E15" s="68" t="s">
        <v>25016</v>
      </c>
      <c r="F15" s="68" t="s">
        <v>25004</v>
      </c>
      <c r="G15" s="81" t="s">
        <v>19285</v>
      </c>
      <c r="H15" s="69">
        <v>44931</v>
      </c>
      <c r="I15" s="69">
        <v>44945</v>
      </c>
      <c r="J15" s="68">
        <v>15</v>
      </c>
      <c r="K15" s="68">
        <v>15</v>
      </c>
      <c r="L15" s="68" t="s">
        <v>24995</v>
      </c>
      <c r="M15" s="68" t="s">
        <v>24995</v>
      </c>
      <c r="N15" s="62" t="s">
        <v>19269</v>
      </c>
      <c r="O15" s="68" t="s">
        <v>7822</v>
      </c>
      <c r="P15" s="42" t="str">
        <f>+IF(O15="","",IFERROR(VLOOKUP(O15,CODIGO_DIAGNOSTICO,2,0),"CÓDIGO NO ENCONTRADO"))</f>
        <v>AMPUTACION TRAUMATICA DE OTRAS PARTES DEL PIE</v>
      </c>
      <c r="Q15" s="68" t="s">
        <v>19230</v>
      </c>
      <c r="R15" s="67"/>
      <c r="S15" s="77"/>
      <c r="T15" s="76"/>
      <c r="U15" s="65">
        <f>SUM(W15/30)</f>
        <v>42400.166666666664</v>
      </c>
      <c r="V15" s="68" t="s">
        <v>25941</v>
      </c>
      <c r="W15" s="70">
        <v>1272005</v>
      </c>
      <c r="X15" s="68">
        <v>0</v>
      </c>
      <c r="Y15" s="70"/>
      <c r="Z15" s="72"/>
    </row>
    <row r="16" spans="1:26" ht="15.75" hidden="1" customHeight="1" x14ac:dyDescent="0.25">
      <c r="A16" s="64">
        <v>1</v>
      </c>
      <c r="B16" s="62">
        <v>8156170</v>
      </c>
      <c r="C16" s="62" t="s">
        <v>25061</v>
      </c>
      <c r="D16" s="62" t="s">
        <v>25062</v>
      </c>
      <c r="E16" s="62" t="s">
        <v>25063</v>
      </c>
      <c r="F16" s="62" t="s">
        <v>25064</v>
      </c>
      <c r="G16" s="81" t="s">
        <v>19285</v>
      </c>
      <c r="H16" s="63">
        <v>44935</v>
      </c>
      <c r="I16" s="63">
        <v>44936</v>
      </c>
      <c r="J16" s="62">
        <v>2</v>
      </c>
      <c r="K16" s="62">
        <v>2</v>
      </c>
      <c r="L16" s="62" t="s">
        <v>24995</v>
      </c>
      <c r="M16" s="62" t="s">
        <v>24995</v>
      </c>
      <c r="N16" s="62" t="s">
        <v>19269</v>
      </c>
      <c r="O16" s="62" t="s">
        <v>2275</v>
      </c>
      <c r="P16" s="42" t="str">
        <f>+IF(O16="","",IFERROR(VLOOKUP(O16,CODIGO_DIAGNOSTICO,2,0),"CÓDIGO NO ENCONTRADO"))</f>
        <v>TRASTORNO DE ANSIEDAD , NO ESPECIFICADO</v>
      </c>
      <c r="Q16" s="62" t="s">
        <v>19230</v>
      </c>
      <c r="R16" s="64">
        <v>0</v>
      </c>
      <c r="S16" s="75"/>
      <c r="T16" s="75"/>
      <c r="U16" s="65">
        <f>SUM(W16/30)</f>
        <v>42400.166666666664</v>
      </c>
      <c r="V16" s="62" t="s">
        <v>25941</v>
      </c>
      <c r="W16" s="65">
        <v>1272005</v>
      </c>
      <c r="X16" s="62">
        <v>0</v>
      </c>
      <c r="Y16" s="65">
        <v>84800</v>
      </c>
      <c r="Z16" s="73"/>
    </row>
    <row r="17" spans="1:26" ht="15.75" hidden="1" customHeight="1" x14ac:dyDescent="0.25">
      <c r="A17" s="67">
        <v>1</v>
      </c>
      <c r="B17" s="68">
        <v>98496895</v>
      </c>
      <c r="C17" s="68" t="s">
        <v>25054</v>
      </c>
      <c r="D17" s="68" t="s">
        <v>25055</v>
      </c>
      <c r="E17" s="68" t="s">
        <v>25056</v>
      </c>
      <c r="F17" s="68" t="s">
        <v>25057</v>
      </c>
      <c r="G17" s="81" t="s">
        <v>19285</v>
      </c>
      <c r="H17" s="69">
        <v>44937</v>
      </c>
      <c r="I17" s="69">
        <v>44938</v>
      </c>
      <c r="J17" s="68">
        <v>2</v>
      </c>
      <c r="K17" s="68">
        <v>2</v>
      </c>
      <c r="L17" s="68" t="s">
        <v>24995</v>
      </c>
      <c r="M17" s="68" t="s">
        <v>24995</v>
      </c>
      <c r="N17" s="62" t="s">
        <v>19269</v>
      </c>
      <c r="O17" s="68" t="s">
        <v>2965</v>
      </c>
      <c r="P17" s="42" t="str">
        <f>+IF(O17="","",IFERROR(VLOOKUP(O17,CODIGO_DIAGNOSTICO,2,0),"CÓDIGO NO ENCONTRADO"))</f>
        <v>SOSPECHA DE GLAUCOMA</v>
      </c>
      <c r="Q17" s="68" t="s">
        <v>26152</v>
      </c>
      <c r="R17" s="67">
        <v>0</v>
      </c>
      <c r="S17" s="77"/>
      <c r="T17" s="76"/>
      <c r="U17" s="65">
        <f>SUM(W17/30)</f>
        <v>42400.166666666664</v>
      </c>
      <c r="V17" s="68" t="s">
        <v>25941</v>
      </c>
      <c r="W17" s="70">
        <v>1272005</v>
      </c>
      <c r="X17" s="68">
        <v>0</v>
      </c>
      <c r="Y17" s="70">
        <v>84800</v>
      </c>
      <c r="Z17" s="72"/>
    </row>
    <row r="18" spans="1:26" ht="15.75" hidden="1" customHeight="1" x14ac:dyDescent="0.25">
      <c r="A18" s="64">
        <v>1</v>
      </c>
      <c r="B18" s="62">
        <v>3669363</v>
      </c>
      <c r="C18" s="62" t="s">
        <v>19286</v>
      </c>
      <c r="D18" s="62" t="s">
        <v>25046</v>
      </c>
      <c r="E18" s="62" t="s">
        <v>19287</v>
      </c>
      <c r="F18" s="62" t="s">
        <v>24982</v>
      </c>
      <c r="G18" s="81" t="s">
        <v>19285</v>
      </c>
      <c r="H18" s="63">
        <v>44938</v>
      </c>
      <c r="I18" s="63">
        <v>44947</v>
      </c>
      <c r="J18" s="62">
        <v>10</v>
      </c>
      <c r="K18" s="62">
        <v>10</v>
      </c>
      <c r="L18" s="62" t="s">
        <v>19262</v>
      </c>
      <c r="M18" s="62" t="s">
        <v>19262</v>
      </c>
      <c r="N18" s="62" t="s">
        <v>19269</v>
      </c>
      <c r="O18" s="62" t="s">
        <v>7723</v>
      </c>
      <c r="P18" s="42" t="str">
        <f>+IF(O18="","",IFERROR(VLOOKUP(O18,CODIGO_DIAGNOSTICO,2,0),"CÓDIGO NO ENCONTRADO"))</f>
        <v>FRACTURA DE LA EPIFISIS SUPERIOR DE LA TIBIA</v>
      </c>
      <c r="Q18" s="62" t="s">
        <v>19230</v>
      </c>
      <c r="R18" s="64"/>
      <c r="S18" s="75"/>
      <c r="T18" s="75"/>
      <c r="U18" s="65">
        <f>SUM(W18/30)</f>
        <v>42400.166666666664</v>
      </c>
      <c r="V18" s="62" t="s">
        <v>25941</v>
      </c>
      <c r="W18" s="65">
        <v>1272005</v>
      </c>
      <c r="X18" s="62">
        <v>0</v>
      </c>
      <c r="Y18" s="65">
        <v>84800</v>
      </c>
      <c r="Z18" s="73"/>
    </row>
    <row r="19" spans="1:26" ht="15.75" hidden="1" customHeight="1" x14ac:dyDescent="0.25">
      <c r="A19" s="67">
        <v>1</v>
      </c>
      <c r="B19" s="68">
        <v>3413683</v>
      </c>
      <c r="C19" s="68" t="s">
        <v>24997</v>
      </c>
      <c r="D19" s="68" t="s">
        <v>25049</v>
      </c>
      <c r="E19" s="68" t="s">
        <v>25050</v>
      </c>
      <c r="F19" s="68" t="s">
        <v>25051</v>
      </c>
      <c r="G19" s="81" t="s">
        <v>19285</v>
      </c>
      <c r="H19" s="69">
        <v>44938</v>
      </c>
      <c r="I19" s="69">
        <v>44939</v>
      </c>
      <c r="J19" s="68">
        <v>2</v>
      </c>
      <c r="K19" s="68">
        <v>2</v>
      </c>
      <c r="L19" s="68" t="s">
        <v>24995</v>
      </c>
      <c r="M19" s="68" t="s">
        <v>24995</v>
      </c>
      <c r="N19" s="62" t="s">
        <v>19269</v>
      </c>
      <c r="O19" s="68" t="s">
        <v>6939</v>
      </c>
      <c r="P19" s="42" t="str">
        <f>+IF(O19="","",IFERROR(VLOOKUP(O19,CODIGO_DIAGNOSTICO,2,0),"CÓDIGO NO ENCONTRADO"))</f>
        <v>OTROS DOLORES ABDOMINALES Y LOS NO ESPECIFICADOS</v>
      </c>
      <c r="Q19" s="68" t="s">
        <v>19230</v>
      </c>
      <c r="R19" s="67">
        <v>0</v>
      </c>
      <c r="S19" s="77"/>
      <c r="T19" s="76"/>
      <c r="U19" s="65">
        <f>SUM(W19/30)</f>
        <v>42400.166666666664</v>
      </c>
      <c r="V19" s="68" t="s">
        <v>25941</v>
      </c>
      <c r="W19" s="70">
        <v>1272005</v>
      </c>
      <c r="X19" s="68">
        <v>0</v>
      </c>
      <c r="Y19" s="70">
        <v>84800</v>
      </c>
      <c r="Z19" s="72"/>
    </row>
    <row r="20" spans="1:26" ht="15.75" hidden="1" customHeight="1" x14ac:dyDescent="0.25">
      <c r="A20" s="64">
        <v>1</v>
      </c>
      <c r="B20" s="62">
        <v>70078677</v>
      </c>
      <c r="C20" s="62" t="s">
        <v>25052</v>
      </c>
      <c r="D20" s="62" t="s">
        <v>25053</v>
      </c>
      <c r="E20" s="62" t="s">
        <v>25005</v>
      </c>
      <c r="F20" s="62" t="s">
        <v>24982</v>
      </c>
      <c r="G20" s="81" t="s">
        <v>19285</v>
      </c>
      <c r="H20" s="63">
        <v>44938</v>
      </c>
      <c r="I20" s="63">
        <v>44939</v>
      </c>
      <c r="J20" s="62">
        <v>2</v>
      </c>
      <c r="K20" s="62">
        <v>2</v>
      </c>
      <c r="L20" s="62" t="s">
        <v>24995</v>
      </c>
      <c r="M20" s="62" t="s">
        <v>24995</v>
      </c>
      <c r="N20" s="62" t="s">
        <v>19269</v>
      </c>
      <c r="O20" s="62" t="s">
        <v>506</v>
      </c>
      <c r="P20" s="42" t="str">
        <f>+IF(O20="","",IFERROR(VLOOKUP(O20,CODIGO_DIAGNOSTICO,2,0),"CÓDIGO NO ENCONTRADO"))</f>
        <v>ENFERMEDAD POR VIRUS DE LA INMUNODEFICIENCIA HUMANA (VIH), SIN OTRA ESPECIFICACION</v>
      </c>
      <c r="Q20" s="62" t="s">
        <v>24996</v>
      </c>
      <c r="R20" s="64">
        <v>0</v>
      </c>
      <c r="S20" s="75"/>
      <c r="T20" s="75"/>
      <c r="U20" s="65">
        <f>SUM(W20/30)</f>
        <v>42400.166666666664</v>
      </c>
      <c r="V20" s="62" t="s">
        <v>25941</v>
      </c>
      <c r="W20" s="65">
        <v>1272005</v>
      </c>
      <c r="X20" s="62">
        <v>0</v>
      </c>
      <c r="Y20" s="65">
        <v>84800</v>
      </c>
      <c r="Z20" s="73"/>
    </row>
    <row r="21" spans="1:26" ht="15.75" hidden="1" customHeight="1" x14ac:dyDescent="0.25">
      <c r="A21" s="67">
        <v>1</v>
      </c>
      <c r="B21" s="68">
        <v>70901186</v>
      </c>
      <c r="C21" s="68" t="s">
        <v>25046</v>
      </c>
      <c r="D21" s="68" t="s">
        <v>25140</v>
      </c>
      <c r="E21" s="68" t="s">
        <v>25141</v>
      </c>
      <c r="F21" s="68" t="s">
        <v>25029</v>
      </c>
      <c r="G21" s="81" t="s">
        <v>19285</v>
      </c>
      <c r="H21" s="69">
        <v>44938</v>
      </c>
      <c r="I21" s="69">
        <v>44969</v>
      </c>
      <c r="J21" s="68">
        <v>1</v>
      </c>
      <c r="K21" s="68">
        <v>1</v>
      </c>
      <c r="L21" s="68" t="s">
        <v>24995</v>
      </c>
      <c r="M21" s="68" t="s">
        <v>24995</v>
      </c>
      <c r="N21" s="62" t="s">
        <v>19269</v>
      </c>
      <c r="O21" s="68" t="s">
        <v>4650</v>
      </c>
      <c r="P21" s="42" t="str">
        <f>+IF(O21="","",IFERROR(VLOOKUP(O21,CODIGO_DIAGNOSTICO,2,0),"CÓDIGO NO ENCONTRADO"))</f>
        <v>GONARTROSIS, NO ESPECIFICADA</v>
      </c>
      <c r="Q21" s="68" t="s">
        <v>19230</v>
      </c>
      <c r="R21" s="67">
        <v>0</v>
      </c>
      <c r="S21" s="77"/>
      <c r="T21" s="76">
        <v>0</v>
      </c>
      <c r="U21" s="65">
        <f>SUM(W21/30)</f>
        <v>42400.166666666664</v>
      </c>
      <c r="V21" s="68" t="s">
        <v>25941</v>
      </c>
      <c r="W21" s="70">
        <v>1272005</v>
      </c>
      <c r="X21" s="68">
        <v>0</v>
      </c>
      <c r="Y21" s="70">
        <v>84800</v>
      </c>
      <c r="Z21" s="72"/>
    </row>
    <row r="22" spans="1:26" ht="15.75" hidden="1" customHeight="1" x14ac:dyDescent="0.25">
      <c r="A22" s="64">
        <v>1</v>
      </c>
      <c r="B22" s="62">
        <v>1152711359</v>
      </c>
      <c r="C22" s="62" t="s">
        <v>25147</v>
      </c>
      <c r="D22" s="62" t="s">
        <v>25053</v>
      </c>
      <c r="E22" s="62" t="s">
        <v>25148</v>
      </c>
      <c r="F22" s="62"/>
      <c r="G22" s="81" t="s">
        <v>19285</v>
      </c>
      <c r="H22" s="63">
        <v>44938</v>
      </c>
      <c r="I22" s="63">
        <v>44939</v>
      </c>
      <c r="J22" s="62">
        <v>2</v>
      </c>
      <c r="K22" s="62">
        <v>2</v>
      </c>
      <c r="L22" s="62" t="s">
        <v>24995</v>
      </c>
      <c r="M22" s="62" t="s">
        <v>24995</v>
      </c>
      <c r="N22" s="62" t="s">
        <v>19269</v>
      </c>
      <c r="O22" s="62" t="s">
        <v>4024</v>
      </c>
      <c r="P22" s="42" t="str">
        <f>+IF(O22="","",IFERROR(VLOOKUP(O22,CODIGO_DIAGNOSTICO,2,0),"CÓDIGO NO ENCONTRADO"))</f>
        <v>COLITIS Y GASTROENTERITIS ALERGICAS Y DIETETICAS</v>
      </c>
      <c r="Q22" s="62" t="s">
        <v>24996</v>
      </c>
      <c r="R22" s="64">
        <v>0</v>
      </c>
      <c r="S22" s="75"/>
      <c r="T22" s="75"/>
      <c r="U22" s="65">
        <f>SUM(W22/30)</f>
        <v>42400.166666666664</v>
      </c>
      <c r="V22" s="62" t="s">
        <v>25941</v>
      </c>
      <c r="W22" s="65">
        <v>1272005</v>
      </c>
      <c r="X22" s="62">
        <v>0</v>
      </c>
      <c r="Y22" s="65">
        <v>84800</v>
      </c>
      <c r="Z22" s="73"/>
    </row>
    <row r="23" spans="1:26" ht="15.75" hidden="1" customHeight="1" x14ac:dyDescent="0.25">
      <c r="A23" s="67">
        <v>1</v>
      </c>
      <c r="B23" s="68">
        <v>7633171</v>
      </c>
      <c r="C23" s="68" t="s">
        <v>25201</v>
      </c>
      <c r="D23" s="68" t="s">
        <v>25202</v>
      </c>
      <c r="E23" s="68" t="s">
        <v>25203</v>
      </c>
      <c r="F23" s="68" t="s">
        <v>25005</v>
      </c>
      <c r="G23" s="81" t="s">
        <v>19285</v>
      </c>
      <c r="H23" s="69">
        <v>44938</v>
      </c>
      <c r="I23" s="69">
        <v>44944</v>
      </c>
      <c r="J23" s="68">
        <v>7</v>
      </c>
      <c r="K23" s="68">
        <v>7</v>
      </c>
      <c r="L23" s="68" t="s">
        <v>19262</v>
      </c>
      <c r="M23" s="68" t="s">
        <v>24995</v>
      </c>
      <c r="N23" s="62" t="s">
        <v>19269</v>
      </c>
      <c r="O23" s="68" t="s">
        <v>5279</v>
      </c>
      <c r="P23" s="42" t="str">
        <f>+IF(O23="","",IFERROR(VLOOKUP(O23,CODIGO_DIAGNOSTICO,2,0),"CÓDIGO NO ENCONTRADO"))</f>
        <v>INFECCION DE VIAS URINARIAS, SITIO NO ESPECIFICADO</v>
      </c>
      <c r="Q23" s="68" t="s">
        <v>19230</v>
      </c>
      <c r="R23" s="67"/>
      <c r="S23" s="77">
        <v>44942</v>
      </c>
      <c r="T23" s="76">
        <v>44959</v>
      </c>
      <c r="U23" s="65">
        <f>SUM(W23/30)</f>
        <v>42400.166666666664</v>
      </c>
      <c r="V23" s="68" t="s">
        <v>25941</v>
      </c>
      <c r="W23" s="70">
        <v>1272005</v>
      </c>
      <c r="X23" s="68">
        <v>0</v>
      </c>
      <c r="Y23" s="70">
        <v>84800</v>
      </c>
      <c r="Z23" s="72"/>
    </row>
    <row r="24" spans="1:26" ht="15.75" hidden="1" customHeight="1" x14ac:dyDescent="0.25">
      <c r="A24" s="64">
        <v>1</v>
      </c>
      <c r="B24" s="62">
        <v>71193583</v>
      </c>
      <c r="C24" s="62" t="s">
        <v>25044</v>
      </c>
      <c r="D24" s="62" t="s">
        <v>25281</v>
      </c>
      <c r="E24" s="62" t="s">
        <v>25282</v>
      </c>
      <c r="F24" s="62" t="s">
        <v>25283</v>
      </c>
      <c r="G24" s="81" t="s">
        <v>19285</v>
      </c>
      <c r="H24" s="63">
        <v>44939</v>
      </c>
      <c r="I24" s="63">
        <v>44943</v>
      </c>
      <c r="J24" s="62">
        <v>5</v>
      </c>
      <c r="K24" s="62">
        <v>5</v>
      </c>
      <c r="L24" s="62" t="s">
        <v>19262</v>
      </c>
      <c r="M24" s="62" t="s">
        <v>19262</v>
      </c>
      <c r="N24" s="62" t="s">
        <v>19269</v>
      </c>
      <c r="O24" s="62" t="s">
        <v>7508</v>
      </c>
      <c r="P24" s="42" t="str">
        <f>+IF(O24="","",IFERROR(VLOOKUP(O24,CODIGO_DIAGNOSTICO,2,0),"CÓDIGO NO ENCONTRADO"))</f>
        <v>LUXACION DE LA ARTICULACION DEL HOMBRO</v>
      </c>
      <c r="Q24" s="62" t="s">
        <v>19230</v>
      </c>
      <c r="R24" s="64"/>
      <c r="S24" s="75">
        <v>44942</v>
      </c>
      <c r="T24" s="75">
        <v>44940</v>
      </c>
      <c r="U24" s="65">
        <f>SUM(W24/30)</f>
        <v>42400.166666666664</v>
      </c>
      <c r="V24" s="62" t="s">
        <v>25941</v>
      </c>
      <c r="W24" s="65">
        <v>1272005</v>
      </c>
      <c r="X24" s="62">
        <v>0</v>
      </c>
      <c r="Y24" s="65">
        <v>84800</v>
      </c>
      <c r="Z24" s="73"/>
    </row>
    <row r="25" spans="1:26" ht="15.75" hidden="1" customHeight="1" x14ac:dyDescent="0.25">
      <c r="A25" s="67">
        <v>1</v>
      </c>
      <c r="B25" s="68">
        <v>71748300</v>
      </c>
      <c r="C25" s="68" t="s">
        <v>25160</v>
      </c>
      <c r="D25" s="68" t="s">
        <v>25161</v>
      </c>
      <c r="E25" s="68" t="s">
        <v>25056</v>
      </c>
      <c r="F25" s="68" t="s">
        <v>25301</v>
      </c>
      <c r="G25" s="81" t="s">
        <v>19285</v>
      </c>
      <c r="H25" s="69">
        <v>44939</v>
      </c>
      <c r="I25" s="69">
        <v>44948</v>
      </c>
      <c r="J25" s="68">
        <v>10</v>
      </c>
      <c r="K25" s="68">
        <v>10</v>
      </c>
      <c r="L25" s="68" t="s">
        <v>19262</v>
      </c>
      <c r="M25" s="68" t="s">
        <v>19262</v>
      </c>
      <c r="N25" s="62" t="s">
        <v>19269</v>
      </c>
      <c r="O25" s="68" t="s">
        <v>7600</v>
      </c>
      <c r="P25" s="42" t="str">
        <f>+IF(O25="","",IFERROR(VLOOKUP(O25,CODIGO_DIAGNOSTICO,2,0),"CÓDIGO NO ENCONTRADO"))</f>
        <v>CONTUSION DE DEDO(S) DE LA MANO, SIN DAÑO DE LA(S) UÑA(S)</v>
      </c>
      <c r="Q25" s="68" t="s">
        <v>19230</v>
      </c>
      <c r="R25" s="67"/>
      <c r="S25" s="77">
        <v>44942</v>
      </c>
      <c r="T25" s="76">
        <v>44992</v>
      </c>
      <c r="U25" s="65">
        <f>SUM(W25/30)</f>
        <v>42400.166666666664</v>
      </c>
      <c r="V25" s="68" t="s">
        <v>25941</v>
      </c>
      <c r="W25" s="70">
        <v>1272005</v>
      </c>
      <c r="X25" s="68">
        <v>0</v>
      </c>
      <c r="Y25" s="70">
        <v>84800</v>
      </c>
      <c r="Z25" s="72"/>
    </row>
    <row r="26" spans="1:26" ht="15.75" hidden="1" customHeight="1" x14ac:dyDescent="0.25">
      <c r="A26" s="64">
        <v>1</v>
      </c>
      <c r="B26" s="62">
        <v>15309929</v>
      </c>
      <c r="C26" s="62" t="s">
        <v>25047</v>
      </c>
      <c r="D26" s="62" t="s">
        <v>25012</v>
      </c>
      <c r="E26" s="62" t="s">
        <v>25048</v>
      </c>
      <c r="F26" s="62" t="s">
        <v>25014</v>
      </c>
      <c r="G26" s="81" t="s">
        <v>19285</v>
      </c>
      <c r="H26" s="63">
        <v>44940</v>
      </c>
      <c r="I26" s="63">
        <v>44954</v>
      </c>
      <c r="J26" s="62">
        <v>15</v>
      </c>
      <c r="K26" s="62">
        <v>15</v>
      </c>
      <c r="L26" s="62" t="s">
        <v>19262</v>
      </c>
      <c r="M26" s="62" t="s">
        <v>19262</v>
      </c>
      <c r="N26" s="62" t="s">
        <v>19269</v>
      </c>
      <c r="O26" s="62" t="s">
        <v>7734</v>
      </c>
      <c r="P26" s="42" t="str">
        <f>+IF(O26="","",IFERROR(VLOOKUP(O26,CODIGO_DIAGNOSTICO,2,0),"CÓDIGO NO ENCONTRADO"))</f>
        <v>DESGARRO DE MENISCOS, PRESENTE</v>
      </c>
      <c r="Q26" s="62" t="s">
        <v>19230</v>
      </c>
      <c r="R26" s="64"/>
      <c r="S26" s="75">
        <v>44942</v>
      </c>
      <c r="T26" s="75">
        <v>44943</v>
      </c>
      <c r="U26" s="65">
        <f>SUM(W26/30)</f>
        <v>42400.166666666664</v>
      </c>
      <c r="V26" s="62" t="s">
        <v>25941</v>
      </c>
      <c r="W26" s="65">
        <v>1272005</v>
      </c>
      <c r="X26" s="62">
        <v>0</v>
      </c>
      <c r="Y26" s="65">
        <v>84800</v>
      </c>
      <c r="Z26" s="73"/>
    </row>
    <row r="27" spans="1:26" ht="15.75" hidden="1" customHeight="1" x14ac:dyDescent="0.25">
      <c r="A27" s="67">
        <v>1</v>
      </c>
      <c r="B27" s="68">
        <v>43117538</v>
      </c>
      <c r="C27" s="68" t="s">
        <v>24997</v>
      </c>
      <c r="D27" s="68" t="s">
        <v>24998</v>
      </c>
      <c r="E27" s="68" t="s">
        <v>24999</v>
      </c>
      <c r="F27" s="68" t="s">
        <v>25000</v>
      </c>
      <c r="G27" s="81" t="s">
        <v>19285</v>
      </c>
      <c r="H27" s="69">
        <v>44940</v>
      </c>
      <c r="I27" s="69">
        <v>44954</v>
      </c>
      <c r="J27" s="68">
        <v>15</v>
      </c>
      <c r="K27" s="68">
        <v>15</v>
      </c>
      <c r="L27" s="68" t="s">
        <v>19262</v>
      </c>
      <c r="M27" s="68" t="s">
        <v>19262</v>
      </c>
      <c r="N27" s="62" t="s">
        <v>19263</v>
      </c>
      <c r="O27" s="68" t="s">
        <v>7736</v>
      </c>
      <c r="P27" s="42" t="str">
        <f>+IF(O27="","",IFERROR(VLOOKUP(O27,CODIGO_DIAGNOSTICO,2,0),"CÓDIGO NO ENCONTRADO"))</f>
        <v>ESGUINCES Y TORCEDURAS QUE COMPROMETEN LOS LIGAMENTOS LATERALES (EXTERNO) (INTERNO) DE LA RODILLA</v>
      </c>
      <c r="Q27" s="68" t="s">
        <v>25001</v>
      </c>
      <c r="R27" s="67"/>
      <c r="S27" s="77"/>
      <c r="T27" s="76"/>
      <c r="U27" s="65">
        <f>SUM(W27/30)*J27</f>
        <v>636002.5</v>
      </c>
      <c r="V27" s="68" t="s">
        <v>25941</v>
      </c>
      <c r="W27" s="70">
        <v>1272005</v>
      </c>
      <c r="X27" s="68">
        <v>0</v>
      </c>
      <c r="Y27" s="70">
        <v>0</v>
      </c>
      <c r="Z27" s="72"/>
    </row>
    <row r="28" spans="1:26" ht="15.75" hidden="1" customHeight="1" x14ac:dyDescent="0.25">
      <c r="A28" s="64">
        <v>1</v>
      </c>
      <c r="B28" s="62">
        <v>1073809676</v>
      </c>
      <c r="C28" s="62" t="s">
        <v>25142</v>
      </c>
      <c r="D28" s="62" t="s">
        <v>25143</v>
      </c>
      <c r="E28" s="62" t="s">
        <v>25144</v>
      </c>
      <c r="F28" s="62"/>
      <c r="G28" s="81" t="s">
        <v>19285</v>
      </c>
      <c r="H28" s="63">
        <v>44940</v>
      </c>
      <c r="I28" s="63">
        <v>44941</v>
      </c>
      <c r="J28" s="62">
        <v>2</v>
      </c>
      <c r="K28" s="62">
        <v>2</v>
      </c>
      <c r="L28" s="62" t="s">
        <v>24995</v>
      </c>
      <c r="M28" s="62" t="s">
        <v>24995</v>
      </c>
      <c r="N28" s="62" t="s">
        <v>19269</v>
      </c>
      <c r="O28" s="62" t="s">
        <v>2593</v>
      </c>
      <c r="P28" s="42" t="str">
        <f>+IF(O28="","",IFERROR(VLOOKUP(O28,CODIGO_DIAGNOSTICO,2,0),"CÓDIGO NO ENCONTRADO"))</f>
        <v>MIGRAÑA, NO ESPECIFICADA</v>
      </c>
      <c r="Q28" s="62" t="s">
        <v>19231</v>
      </c>
      <c r="R28" s="64">
        <v>0</v>
      </c>
      <c r="S28" s="75"/>
      <c r="T28" s="75"/>
      <c r="U28" s="65">
        <f>SUM(W28/30)</f>
        <v>42400.166666666664</v>
      </c>
      <c r="V28" s="62" t="s">
        <v>25941</v>
      </c>
      <c r="W28" s="65">
        <v>1272005</v>
      </c>
      <c r="X28" s="62">
        <v>0</v>
      </c>
      <c r="Y28" s="65">
        <v>84800</v>
      </c>
      <c r="Z28" s="73"/>
    </row>
    <row r="29" spans="1:26" ht="15.75" hidden="1" customHeight="1" x14ac:dyDescent="0.25">
      <c r="A29" s="67">
        <v>1</v>
      </c>
      <c r="B29" s="68">
        <v>1036622798</v>
      </c>
      <c r="C29" s="68" t="s">
        <v>25136</v>
      </c>
      <c r="D29" s="68" t="s">
        <v>25137</v>
      </c>
      <c r="E29" s="68" t="s">
        <v>25138</v>
      </c>
      <c r="F29" s="68" t="s">
        <v>25139</v>
      </c>
      <c r="G29" s="81" t="s">
        <v>19285</v>
      </c>
      <c r="H29" s="69">
        <v>44941</v>
      </c>
      <c r="I29" s="69">
        <v>44970</v>
      </c>
      <c r="J29" s="68">
        <v>30</v>
      </c>
      <c r="K29" s="68">
        <v>17</v>
      </c>
      <c r="L29" s="68" t="s">
        <v>24995</v>
      </c>
      <c r="M29" s="68" t="s">
        <v>19262</v>
      </c>
      <c r="N29" s="62" t="s">
        <v>19269</v>
      </c>
      <c r="O29" s="68" t="s">
        <v>7785</v>
      </c>
      <c r="P29" s="42" t="str">
        <f>+IF(O29="","",IFERROR(VLOOKUP(O29,CODIGO_DIAGNOSTICO,2,0),"CÓDIGO NO ENCONTRADO"))</f>
        <v>FRACTURA DE HUESO DEL METATARSO</v>
      </c>
      <c r="Q29" s="68" t="s">
        <v>25025</v>
      </c>
      <c r="R29" s="67"/>
      <c r="S29" s="77"/>
      <c r="T29" s="76"/>
      <c r="U29" s="65">
        <f>SUM(W29/30)</f>
        <v>42400.166666666664</v>
      </c>
      <c r="V29" s="68" t="s">
        <v>25941</v>
      </c>
      <c r="W29" s="70">
        <v>1272005</v>
      </c>
      <c r="X29" s="68">
        <v>0</v>
      </c>
      <c r="Y29" s="70">
        <v>84800</v>
      </c>
      <c r="Z29" s="72"/>
    </row>
    <row r="30" spans="1:26" ht="15.75" hidden="1" customHeight="1" x14ac:dyDescent="0.25">
      <c r="A30" s="64">
        <v>1</v>
      </c>
      <c r="B30" s="62">
        <v>70323164</v>
      </c>
      <c r="C30" s="62" t="s">
        <v>25145</v>
      </c>
      <c r="D30" s="62" t="s">
        <v>25062</v>
      </c>
      <c r="E30" s="62" t="s">
        <v>25091</v>
      </c>
      <c r="F30" s="62" t="s">
        <v>25146</v>
      </c>
      <c r="G30" s="81" t="s">
        <v>19285</v>
      </c>
      <c r="H30" s="63">
        <v>44941</v>
      </c>
      <c r="I30" s="63">
        <v>44970</v>
      </c>
      <c r="J30" s="62">
        <v>30</v>
      </c>
      <c r="K30" s="62">
        <v>17</v>
      </c>
      <c r="L30" s="62" t="s">
        <v>24995</v>
      </c>
      <c r="M30" s="62" t="s">
        <v>19262</v>
      </c>
      <c r="N30" s="62" t="s">
        <v>19269</v>
      </c>
      <c r="O30" s="62" t="s">
        <v>92</v>
      </c>
      <c r="P30" s="42" t="str">
        <f>+IF(O30="","",IFERROR(VLOOKUP(O30,CODIGO_DIAGNOSTICO,2,0),"CÓDIGO NO ENCONTRADO"))</f>
        <v>TUBERCULOSIS DEL PULMON , CONFIRMADA POR MEDIOS NO ESPECIFICADOS</v>
      </c>
      <c r="Q30" s="62" t="s">
        <v>19230</v>
      </c>
      <c r="R30" s="64"/>
      <c r="S30" s="75"/>
      <c r="T30" s="75"/>
      <c r="U30" s="65">
        <f>SUM(W30/30)</f>
        <v>42400.166666666664</v>
      </c>
      <c r="V30" s="62" t="s">
        <v>25941</v>
      </c>
      <c r="W30" s="65">
        <v>1272005</v>
      </c>
      <c r="X30" s="62">
        <v>0</v>
      </c>
      <c r="Y30" s="65">
        <v>84800</v>
      </c>
      <c r="Z30" s="73"/>
    </row>
    <row r="31" spans="1:26" ht="15.75" hidden="1" customHeight="1" x14ac:dyDescent="0.25">
      <c r="A31" s="67">
        <v>1</v>
      </c>
      <c r="B31" s="68">
        <v>1036622798</v>
      </c>
      <c r="C31" s="68" t="s">
        <v>25136</v>
      </c>
      <c r="D31" s="68" t="s">
        <v>25137</v>
      </c>
      <c r="E31" s="68" t="s">
        <v>25138</v>
      </c>
      <c r="F31" s="68" t="s">
        <v>25339</v>
      </c>
      <c r="G31" s="81" t="s">
        <v>19285</v>
      </c>
      <c r="H31" s="69">
        <v>44941</v>
      </c>
      <c r="I31" s="69">
        <v>44971</v>
      </c>
      <c r="J31" s="68">
        <v>30</v>
      </c>
      <c r="K31" s="68">
        <v>16</v>
      </c>
      <c r="L31" s="68" t="s">
        <v>19262</v>
      </c>
      <c r="M31" s="68" t="s">
        <v>19262</v>
      </c>
      <c r="N31" s="62" t="s">
        <v>19269</v>
      </c>
      <c r="O31" s="68" t="s">
        <v>7826</v>
      </c>
      <c r="P31" s="42" t="str">
        <f>+IF(O31="","",IFERROR(VLOOKUP(O31,CODIGO_DIAGNOSTICO,2,0),"CÓDIGO NO ENCONTRADO"))</f>
        <v>TRAUMATISMO DEL PIE Y DEL TOBILLO, NO ESPECIFICADO</v>
      </c>
      <c r="Q31" s="68" t="s">
        <v>19230</v>
      </c>
      <c r="R31" s="67"/>
      <c r="S31" s="77">
        <v>44944</v>
      </c>
      <c r="T31" s="76">
        <v>44945</v>
      </c>
      <c r="U31" s="65">
        <f>SUM(W31/30)</f>
        <v>42400.166666666664</v>
      </c>
      <c r="V31" s="68" t="s">
        <v>25941</v>
      </c>
      <c r="W31" s="70">
        <v>1272005</v>
      </c>
      <c r="X31" s="68">
        <v>0</v>
      </c>
      <c r="Y31" s="70">
        <v>84800</v>
      </c>
      <c r="Z31" s="72"/>
    </row>
    <row r="32" spans="1:26" ht="15.75" hidden="1" customHeight="1" x14ac:dyDescent="0.25">
      <c r="A32" s="64">
        <v>1</v>
      </c>
      <c r="B32" s="62">
        <v>71686928</v>
      </c>
      <c r="C32" s="62" t="s">
        <v>25149</v>
      </c>
      <c r="D32" s="62" t="s">
        <v>25114</v>
      </c>
      <c r="E32" s="62" t="s">
        <v>25150</v>
      </c>
      <c r="F32" s="62" t="s">
        <v>25151</v>
      </c>
      <c r="G32" s="81" t="s">
        <v>19285</v>
      </c>
      <c r="H32" s="63">
        <v>44942</v>
      </c>
      <c r="I32" s="63">
        <v>44942</v>
      </c>
      <c r="J32" s="62">
        <v>1</v>
      </c>
      <c r="K32" s="62">
        <v>1</v>
      </c>
      <c r="L32" s="62" t="s">
        <v>24995</v>
      </c>
      <c r="M32" s="62" t="s">
        <v>24995</v>
      </c>
      <c r="N32" s="62" t="s">
        <v>19269</v>
      </c>
      <c r="O32" s="62" t="s">
        <v>7061</v>
      </c>
      <c r="P32" s="42" t="str">
        <f>+IF(O32="","",IFERROR(VLOOKUP(O32,CODIGO_DIAGNOSTICO,2,0),"CÓDIGO NO ENCONTRADO"))</f>
        <v>DOLOR, NO ESPECIFICADO</v>
      </c>
      <c r="Q32" s="62" t="s">
        <v>26152</v>
      </c>
      <c r="R32" s="64">
        <v>0</v>
      </c>
      <c r="S32" s="75"/>
      <c r="T32" s="75">
        <v>0</v>
      </c>
      <c r="U32" s="65">
        <f>SUM(W32/30)</f>
        <v>42400.166666666664</v>
      </c>
      <c r="V32" s="62" t="s">
        <v>25941</v>
      </c>
      <c r="W32" s="65">
        <v>1272005</v>
      </c>
      <c r="X32" s="62">
        <v>0</v>
      </c>
      <c r="Y32" s="65">
        <v>84800</v>
      </c>
      <c r="Z32" s="73"/>
    </row>
    <row r="33" spans="1:26" ht="15.75" hidden="1" customHeight="1" x14ac:dyDescent="0.25">
      <c r="A33" s="67">
        <v>1</v>
      </c>
      <c r="B33" s="68">
        <v>43103123</v>
      </c>
      <c r="C33" s="68" t="s">
        <v>25163</v>
      </c>
      <c r="D33" s="68" t="s">
        <v>25164</v>
      </c>
      <c r="E33" s="68" t="s">
        <v>25165</v>
      </c>
      <c r="F33" s="68" t="s">
        <v>25166</v>
      </c>
      <c r="G33" s="81" t="s">
        <v>19285</v>
      </c>
      <c r="H33" s="69">
        <v>44943</v>
      </c>
      <c r="I33" s="69">
        <v>44944</v>
      </c>
      <c r="J33" s="68">
        <v>1</v>
      </c>
      <c r="K33" s="68">
        <v>1</v>
      </c>
      <c r="L33" s="68" t="s">
        <v>24995</v>
      </c>
      <c r="M33" s="68" t="s">
        <v>24995</v>
      </c>
      <c r="N33" s="62" t="s">
        <v>19269</v>
      </c>
      <c r="O33" s="68" t="s">
        <v>85</v>
      </c>
      <c r="P33" s="42" t="str">
        <f>+IF(O33="","",IFERROR(VLOOKUP(O33,CODIGO_DIAGNOSTICO,2,0),"CÓDIGO NO ENCONTRADO"))</f>
        <v>OTRAS ENTERITIS VIRALES</v>
      </c>
      <c r="Q33" s="68" t="s">
        <v>19230</v>
      </c>
      <c r="R33" s="67">
        <v>0</v>
      </c>
      <c r="S33" s="77"/>
      <c r="T33" s="76">
        <v>0</v>
      </c>
      <c r="U33" s="65">
        <f>SUM(W33/30)</f>
        <v>42400.166666666664</v>
      </c>
      <c r="V33" s="68" t="s">
        <v>25941</v>
      </c>
      <c r="W33" s="70">
        <v>1272005</v>
      </c>
      <c r="X33" s="68">
        <v>0</v>
      </c>
      <c r="Y33" s="70">
        <v>84800</v>
      </c>
      <c r="Z33" s="72"/>
    </row>
    <row r="34" spans="1:26" ht="15.75" hidden="1" customHeight="1" x14ac:dyDescent="0.25">
      <c r="A34" s="64">
        <v>1</v>
      </c>
      <c r="B34" s="62">
        <v>71193583</v>
      </c>
      <c r="C34" s="62" t="s">
        <v>25044</v>
      </c>
      <c r="D34" s="62" t="s">
        <v>25281</v>
      </c>
      <c r="E34" s="62" t="s">
        <v>25282</v>
      </c>
      <c r="F34" s="62" t="s">
        <v>25283</v>
      </c>
      <c r="G34" s="81" t="s">
        <v>19285</v>
      </c>
      <c r="H34" s="63">
        <v>44944</v>
      </c>
      <c r="I34" s="63">
        <v>44973</v>
      </c>
      <c r="J34" s="62">
        <v>30</v>
      </c>
      <c r="K34" s="62">
        <v>13</v>
      </c>
      <c r="L34" s="62" t="s">
        <v>19262</v>
      </c>
      <c r="M34" s="62" t="s">
        <v>19262</v>
      </c>
      <c r="N34" s="62" t="s">
        <v>19269</v>
      </c>
      <c r="O34" s="62" t="s">
        <v>7508</v>
      </c>
      <c r="P34" s="42" t="str">
        <f>+IF(O34="","",IFERROR(VLOOKUP(O34,CODIGO_DIAGNOSTICO,2,0),"CÓDIGO NO ENCONTRADO"))</f>
        <v>LUXACION DE LA ARTICULACION DEL HOMBRO</v>
      </c>
      <c r="Q34" s="62" t="s">
        <v>19230</v>
      </c>
      <c r="R34" s="64"/>
      <c r="S34" s="75">
        <v>44948</v>
      </c>
      <c r="T34" s="75">
        <v>44971</v>
      </c>
      <c r="U34" s="65">
        <f>SUM(W34/30)</f>
        <v>42400.166666666664</v>
      </c>
      <c r="V34" s="62" t="s">
        <v>25941</v>
      </c>
      <c r="W34" s="65">
        <v>1272005</v>
      </c>
      <c r="X34" s="62">
        <v>0</v>
      </c>
      <c r="Y34" s="65">
        <v>84800</v>
      </c>
      <c r="Z34" s="73"/>
    </row>
    <row r="35" spans="1:26" ht="15.75" hidden="1" customHeight="1" x14ac:dyDescent="0.25">
      <c r="A35" s="67">
        <v>1</v>
      </c>
      <c r="B35" s="68">
        <v>98528134</v>
      </c>
      <c r="C35" s="68" t="s">
        <v>25158</v>
      </c>
      <c r="D35" s="68" t="s">
        <v>25159</v>
      </c>
      <c r="E35" s="68" t="s">
        <v>19278</v>
      </c>
      <c r="F35" s="68" t="s">
        <v>25056</v>
      </c>
      <c r="G35" s="81" t="s">
        <v>19285</v>
      </c>
      <c r="H35" s="69">
        <v>44945</v>
      </c>
      <c r="I35" s="69">
        <v>44946</v>
      </c>
      <c r="J35" s="68">
        <v>2</v>
      </c>
      <c r="K35" s="68">
        <v>2</v>
      </c>
      <c r="L35" s="68" t="s">
        <v>24995</v>
      </c>
      <c r="M35" s="68" t="s">
        <v>24995</v>
      </c>
      <c r="N35" s="62" t="s">
        <v>19269</v>
      </c>
      <c r="O35" s="68" t="s">
        <v>4910</v>
      </c>
      <c r="P35" s="42" t="str">
        <f>+IF(O35="","",IFERROR(VLOOKUP(O35,CODIGO_DIAGNOSTICO,2,0),"CÓDIGO NO ENCONTRADO"))</f>
        <v>FIBROMATOSIS DE LA APONEUROSIS PLANTAR</v>
      </c>
      <c r="Q35" s="68" t="s">
        <v>19230</v>
      </c>
      <c r="R35" s="67">
        <v>0</v>
      </c>
      <c r="S35" s="77"/>
      <c r="T35" s="76"/>
      <c r="U35" s="65">
        <f>SUM(W35/30)</f>
        <v>42400.166666666664</v>
      </c>
      <c r="V35" s="68" t="s">
        <v>25941</v>
      </c>
      <c r="W35" s="70">
        <v>1272005</v>
      </c>
      <c r="X35" s="68">
        <v>0</v>
      </c>
      <c r="Y35" s="70">
        <v>84800</v>
      </c>
      <c r="Z35" s="72"/>
    </row>
    <row r="36" spans="1:26" ht="15.75" hidden="1" customHeight="1" x14ac:dyDescent="0.25">
      <c r="A36" s="64">
        <v>1</v>
      </c>
      <c r="B36" s="62">
        <v>71319430</v>
      </c>
      <c r="C36" s="62" t="s">
        <v>25006</v>
      </c>
      <c r="D36" s="62"/>
      <c r="E36" s="62" t="s">
        <v>25007</v>
      </c>
      <c r="F36" s="62"/>
      <c r="G36" s="81" t="s">
        <v>19285</v>
      </c>
      <c r="H36" s="63">
        <v>44945</v>
      </c>
      <c r="I36" s="63">
        <v>44950</v>
      </c>
      <c r="J36" s="62">
        <v>6</v>
      </c>
      <c r="K36" s="62">
        <v>6</v>
      </c>
      <c r="L36" s="62" t="s">
        <v>24995</v>
      </c>
      <c r="M36" s="62" t="s">
        <v>24995</v>
      </c>
      <c r="N36" s="62" t="s">
        <v>19269</v>
      </c>
      <c r="O36" s="62" t="s">
        <v>8416</v>
      </c>
      <c r="P36" s="42" t="str">
        <f>+IF(O36="","",IFERROR(VLOOKUP(O36,CODIGO_DIAGNOSTICO,2,0),"CÓDIGO NO ENCONTRADO"))</f>
        <v>COMPLICACION MECANICA DE DISPOSITIVO DE FIJACION INTERNA DE HUESOS DE UN MIEMBRO</v>
      </c>
      <c r="Q36" s="62" t="s">
        <v>19230</v>
      </c>
      <c r="R36" s="64"/>
      <c r="S36" s="75"/>
      <c r="T36" s="75"/>
      <c r="U36" s="65">
        <f>SUM(W36/30)</f>
        <v>42400.166666666664</v>
      </c>
      <c r="V36" s="62" t="s">
        <v>25941</v>
      </c>
      <c r="W36" s="65">
        <v>1272005</v>
      </c>
      <c r="X36" s="62">
        <v>0</v>
      </c>
      <c r="Y36" s="65">
        <v>84800</v>
      </c>
      <c r="Z36" s="73"/>
    </row>
    <row r="37" spans="1:26" ht="15.75" hidden="1" customHeight="1" x14ac:dyDescent="0.25">
      <c r="A37" s="67">
        <v>1</v>
      </c>
      <c r="B37" s="68">
        <v>1036649702</v>
      </c>
      <c r="C37" s="68" t="s">
        <v>25167</v>
      </c>
      <c r="D37" s="68" t="s">
        <v>25052</v>
      </c>
      <c r="E37" s="68" t="s">
        <v>25168</v>
      </c>
      <c r="F37" s="68" t="s">
        <v>25169</v>
      </c>
      <c r="G37" s="81" t="s">
        <v>19285</v>
      </c>
      <c r="H37" s="69">
        <v>44945</v>
      </c>
      <c r="I37" s="69">
        <v>44946</v>
      </c>
      <c r="J37" s="68">
        <v>2</v>
      </c>
      <c r="K37" s="68">
        <v>2</v>
      </c>
      <c r="L37" s="68" t="s">
        <v>24995</v>
      </c>
      <c r="M37" s="68" t="s">
        <v>24995</v>
      </c>
      <c r="N37" s="62" t="s">
        <v>19269</v>
      </c>
      <c r="O37" s="68" t="s">
        <v>6939</v>
      </c>
      <c r="P37" s="42" t="str">
        <f>+IF(O37="","",IFERROR(VLOOKUP(O37,CODIGO_DIAGNOSTICO,2,0),"CÓDIGO NO ENCONTRADO"))</f>
        <v>OTROS DOLORES ABDOMINALES Y LOS NO ESPECIFICADOS</v>
      </c>
      <c r="Q37" s="68" t="s">
        <v>19230</v>
      </c>
      <c r="R37" s="67">
        <v>0</v>
      </c>
      <c r="S37" s="77"/>
      <c r="T37" s="76"/>
      <c r="U37" s="65">
        <f>SUM(W37/30)</f>
        <v>42400.166666666664</v>
      </c>
      <c r="V37" s="68" t="s">
        <v>25941</v>
      </c>
      <c r="W37" s="70">
        <v>1272005</v>
      </c>
      <c r="X37" s="68">
        <v>0</v>
      </c>
      <c r="Y37" s="70">
        <v>84800</v>
      </c>
      <c r="Z37" s="72"/>
    </row>
    <row r="38" spans="1:26" ht="15.75" hidden="1" customHeight="1" x14ac:dyDescent="0.25">
      <c r="A38" s="64">
        <v>1</v>
      </c>
      <c r="B38" s="62">
        <v>7633171</v>
      </c>
      <c r="C38" s="62" t="s">
        <v>25201</v>
      </c>
      <c r="D38" s="62" t="s">
        <v>25202</v>
      </c>
      <c r="E38" s="62" t="s">
        <v>25203</v>
      </c>
      <c r="F38" s="62" t="s">
        <v>25005</v>
      </c>
      <c r="G38" s="81" t="s">
        <v>19285</v>
      </c>
      <c r="H38" s="63">
        <v>44945</v>
      </c>
      <c r="I38" s="63">
        <v>44951</v>
      </c>
      <c r="J38" s="62">
        <v>7</v>
      </c>
      <c r="K38" s="62">
        <v>7</v>
      </c>
      <c r="L38" s="62" t="s">
        <v>24995</v>
      </c>
      <c r="M38" s="62" t="s">
        <v>24995</v>
      </c>
      <c r="N38" s="62" t="s">
        <v>19269</v>
      </c>
      <c r="O38" s="62" t="s">
        <v>5187</v>
      </c>
      <c r="P38" s="42" t="str">
        <f>+IF(O38="","",IFERROR(VLOOKUP(O38,CODIGO_DIAGNOSTICO,2,0),"CÓDIGO NO ENCONTRADO"))</f>
        <v>PIONEFROSIS</v>
      </c>
      <c r="Q38" s="62" t="s">
        <v>19230</v>
      </c>
      <c r="R38" s="64"/>
      <c r="S38" s="75">
        <v>44951</v>
      </c>
      <c r="T38" s="75">
        <v>44959</v>
      </c>
      <c r="U38" s="65">
        <f>SUM(W38/30)</f>
        <v>42400.166666666664</v>
      </c>
      <c r="V38" s="62" t="s">
        <v>25941</v>
      </c>
      <c r="W38" s="65">
        <v>1272005</v>
      </c>
      <c r="X38" s="62">
        <v>0</v>
      </c>
      <c r="Y38" s="65">
        <v>84800</v>
      </c>
      <c r="Z38" s="73"/>
    </row>
    <row r="39" spans="1:26" ht="15.75" hidden="1" customHeight="1" x14ac:dyDescent="0.25">
      <c r="A39" s="67">
        <v>1</v>
      </c>
      <c r="B39" s="68">
        <v>71005195</v>
      </c>
      <c r="C39" s="68" t="s">
        <v>25306</v>
      </c>
      <c r="D39" s="68" t="s">
        <v>25307</v>
      </c>
      <c r="E39" s="68" t="s">
        <v>25056</v>
      </c>
      <c r="F39" s="68" t="s">
        <v>25308</v>
      </c>
      <c r="G39" s="81" t="s">
        <v>19285</v>
      </c>
      <c r="H39" s="69">
        <v>44946</v>
      </c>
      <c r="I39" s="69">
        <v>44975</v>
      </c>
      <c r="J39" s="68">
        <v>30</v>
      </c>
      <c r="K39" s="68">
        <v>12</v>
      </c>
      <c r="L39" s="68" t="s">
        <v>19262</v>
      </c>
      <c r="M39" s="68" t="s">
        <v>19262</v>
      </c>
      <c r="N39" s="62" t="s">
        <v>19269</v>
      </c>
      <c r="O39" s="68" t="s">
        <v>7500</v>
      </c>
      <c r="P39" s="42" t="str">
        <f>+IF(O39="","",IFERROR(VLOOKUP(O39,CODIGO_DIAGNOSTICO,2,0),"CÓDIGO NO ENCONTRADO"))</f>
        <v>FRACTURA DE LA CLAVICULA</v>
      </c>
      <c r="Q39" s="68" t="s">
        <v>19230</v>
      </c>
      <c r="R39" s="67"/>
      <c r="S39" s="77">
        <v>44951</v>
      </c>
      <c r="T39" s="76">
        <v>44971</v>
      </c>
      <c r="U39" s="65">
        <f>SUM(W39/30)</f>
        <v>42400.166666666664</v>
      </c>
      <c r="V39" s="68" t="s">
        <v>25941</v>
      </c>
      <c r="W39" s="70">
        <v>1272005</v>
      </c>
      <c r="X39" s="68">
        <v>0</v>
      </c>
      <c r="Y39" s="70">
        <v>84800</v>
      </c>
      <c r="Z39" s="72"/>
    </row>
    <row r="40" spans="1:26" ht="15.75" hidden="1" customHeight="1" x14ac:dyDescent="0.25">
      <c r="A40" s="64">
        <v>2</v>
      </c>
      <c r="B40" s="62">
        <v>1216722770</v>
      </c>
      <c r="C40" s="62" t="s">
        <v>25247</v>
      </c>
      <c r="D40" s="62" t="s">
        <v>25348</v>
      </c>
      <c r="E40" s="62" t="s">
        <v>25349</v>
      </c>
      <c r="F40" s="62" t="s">
        <v>25060</v>
      </c>
      <c r="G40" s="81" t="s">
        <v>19285</v>
      </c>
      <c r="H40" s="63">
        <v>44946</v>
      </c>
      <c r="I40" s="63">
        <v>44975</v>
      </c>
      <c r="J40" s="62">
        <v>30</v>
      </c>
      <c r="K40" s="62">
        <v>10</v>
      </c>
      <c r="L40" s="62" t="s">
        <v>19262</v>
      </c>
      <c r="M40" s="62" t="s">
        <v>19262</v>
      </c>
      <c r="N40" s="62" t="s">
        <v>19269</v>
      </c>
      <c r="O40" s="62" t="s">
        <v>7724</v>
      </c>
      <c r="P40" s="42" t="str">
        <f>+IF(O40="","",IFERROR(VLOOKUP(O40,CODIGO_DIAGNOSTICO,2,0),"CÓDIGO NO ENCONTRADO"))</f>
        <v>FRACTURA DE LA DIAFISIS DE LA TIBIA</v>
      </c>
      <c r="Q40" s="62" t="s">
        <v>19231</v>
      </c>
      <c r="R40" s="64"/>
      <c r="S40" s="75">
        <v>44977</v>
      </c>
      <c r="T40" s="75">
        <v>45027</v>
      </c>
      <c r="U40" s="65">
        <f>SUM(W40/30)</f>
        <v>42400.166666666664</v>
      </c>
      <c r="V40" s="62" t="s">
        <v>25941</v>
      </c>
      <c r="W40" s="65">
        <v>1272005</v>
      </c>
      <c r="X40" s="62">
        <v>0</v>
      </c>
      <c r="Y40" s="65">
        <v>84800</v>
      </c>
      <c r="Z40" s="73"/>
    </row>
    <row r="41" spans="1:26" ht="15.75" hidden="1" customHeight="1" x14ac:dyDescent="0.25">
      <c r="A41" s="67">
        <v>1</v>
      </c>
      <c r="B41" s="68">
        <v>1039090990</v>
      </c>
      <c r="C41" s="68" t="s">
        <v>25181</v>
      </c>
      <c r="D41" s="68" t="s">
        <v>25182</v>
      </c>
      <c r="E41" s="68" t="s">
        <v>25183</v>
      </c>
      <c r="F41" s="68" t="s">
        <v>25177</v>
      </c>
      <c r="G41" s="81" t="s">
        <v>19285</v>
      </c>
      <c r="H41" s="69">
        <v>44947</v>
      </c>
      <c r="I41" s="69">
        <v>44948</v>
      </c>
      <c r="J41" s="68">
        <v>2</v>
      </c>
      <c r="K41" s="68">
        <v>2</v>
      </c>
      <c r="L41" s="68" t="s">
        <v>24995</v>
      </c>
      <c r="M41" s="68" t="s">
        <v>24995</v>
      </c>
      <c r="N41" s="62" t="s">
        <v>19269</v>
      </c>
      <c r="O41" s="68" t="s">
        <v>3583</v>
      </c>
      <c r="P41" s="42" t="str">
        <f>+IF(O41="","",IFERROR(VLOOKUP(O41,CODIGO_DIAGNOSTICO,2,0),"CÓDIGO NO ENCONTRADO"))</f>
        <v>INFECCION AGUDA DE LAS VIAS RESPIRATORIAS SUPERIORES, NO ESPECIFICADA</v>
      </c>
      <c r="Q41" s="68" t="s">
        <v>19230</v>
      </c>
      <c r="R41" s="67">
        <v>0</v>
      </c>
      <c r="S41" s="77"/>
      <c r="T41" s="76"/>
      <c r="U41" s="65">
        <f>SUM(W41/30)</f>
        <v>42400.166666666664</v>
      </c>
      <c r="V41" s="68" t="s">
        <v>25941</v>
      </c>
      <c r="W41" s="70">
        <v>1272005</v>
      </c>
      <c r="X41" s="68">
        <v>0</v>
      </c>
      <c r="Y41" s="70">
        <v>84800</v>
      </c>
      <c r="Z41" s="72"/>
    </row>
    <row r="42" spans="1:26" ht="15.75" hidden="1" customHeight="1" x14ac:dyDescent="0.25">
      <c r="A42" s="64">
        <v>1</v>
      </c>
      <c r="B42" s="62">
        <v>1216713788</v>
      </c>
      <c r="C42" s="62" t="s">
        <v>25295</v>
      </c>
      <c r="D42" s="62" t="s">
        <v>25296</v>
      </c>
      <c r="E42" s="62" t="s">
        <v>25089</v>
      </c>
      <c r="F42" s="62" t="s">
        <v>25297</v>
      </c>
      <c r="G42" s="81" t="s">
        <v>19285</v>
      </c>
      <c r="H42" s="63">
        <v>44947</v>
      </c>
      <c r="I42" s="63">
        <v>44977</v>
      </c>
      <c r="J42" s="62">
        <v>30</v>
      </c>
      <c r="K42" s="62">
        <v>11</v>
      </c>
      <c r="L42" s="62" t="s">
        <v>19262</v>
      </c>
      <c r="M42" s="62" t="s">
        <v>19262</v>
      </c>
      <c r="N42" s="62" t="s">
        <v>19263</v>
      </c>
      <c r="O42" s="62" t="s">
        <v>4690</v>
      </c>
      <c r="P42" s="42" t="str">
        <f>+IF(O42="","",IFERROR(VLOOKUP(O42,CODIGO_DIAGNOSTICO,2,0),"CÓDIGO NO ENCONTRADO"))</f>
        <v>OTROS TRASTORNOS DE LOS MENISCOS</v>
      </c>
      <c r="Q42" s="62" t="s">
        <v>25001</v>
      </c>
      <c r="R42" s="64"/>
      <c r="S42" s="75">
        <v>44943</v>
      </c>
      <c r="T42" s="75" t="s">
        <v>25954</v>
      </c>
      <c r="U42" s="65">
        <f>SUM(W42/30)*J42</f>
        <v>1272005</v>
      </c>
      <c r="V42" s="62" t="s">
        <v>25941</v>
      </c>
      <c r="W42" s="65">
        <v>1272005</v>
      </c>
      <c r="X42" s="62">
        <v>0</v>
      </c>
      <c r="Y42" s="65">
        <v>0</v>
      </c>
      <c r="Z42" s="73"/>
    </row>
    <row r="43" spans="1:26" ht="15.75" hidden="1" customHeight="1" x14ac:dyDescent="0.25">
      <c r="A43" s="67">
        <v>1</v>
      </c>
      <c r="B43" s="68">
        <v>11936325</v>
      </c>
      <c r="C43" s="68" t="s">
        <v>25105</v>
      </c>
      <c r="D43" s="68" t="s">
        <v>25343</v>
      </c>
      <c r="E43" s="68" t="s">
        <v>25282</v>
      </c>
      <c r="F43" s="68" t="s">
        <v>25185</v>
      </c>
      <c r="G43" s="81" t="s">
        <v>19285</v>
      </c>
      <c r="H43" s="69">
        <v>44947</v>
      </c>
      <c r="I43" s="69">
        <v>44976</v>
      </c>
      <c r="J43" s="68">
        <v>30</v>
      </c>
      <c r="K43" s="68">
        <v>11</v>
      </c>
      <c r="L43" s="68" t="s">
        <v>19262</v>
      </c>
      <c r="M43" s="68" t="s">
        <v>19262</v>
      </c>
      <c r="N43" s="62" t="s">
        <v>19269</v>
      </c>
      <c r="O43" s="68" t="s">
        <v>7726</v>
      </c>
      <c r="P43" s="42" t="str">
        <f>+IF(O43="","",IFERROR(VLOOKUP(O43,CODIGO_DIAGNOSTICO,2,0),"CÓDIGO NO ENCONTRADO"))</f>
        <v>FRACTURA DEL PERONE SOLAMENTE</v>
      </c>
      <c r="Q43" s="68" t="s">
        <v>25025</v>
      </c>
      <c r="R43" s="67"/>
      <c r="S43" s="77">
        <v>44980</v>
      </c>
      <c r="T43" s="76">
        <v>44998</v>
      </c>
      <c r="U43" s="65">
        <f>SUM(W43/30)</f>
        <v>42400.166666666664</v>
      </c>
      <c r="V43" s="68" t="s">
        <v>25941</v>
      </c>
      <c r="W43" s="70">
        <v>1272005</v>
      </c>
      <c r="X43" s="68">
        <v>0</v>
      </c>
      <c r="Y43" s="70">
        <v>84800</v>
      </c>
      <c r="Z43" s="72"/>
    </row>
    <row r="44" spans="1:26" ht="15.75" hidden="1" customHeight="1" x14ac:dyDescent="0.25">
      <c r="A44" s="64">
        <v>1</v>
      </c>
      <c r="B44" s="62">
        <v>1035422013</v>
      </c>
      <c r="C44" s="62" t="s">
        <v>25105</v>
      </c>
      <c r="D44" s="62" t="s">
        <v>25098</v>
      </c>
      <c r="E44" s="62" t="s">
        <v>25170</v>
      </c>
      <c r="F44" s="62" t="s">
        <v>25110</v>
      </c>
      <c r="G44" s="81" t="s">
        <v>19285</v>
      </c>
      <c r="H44" s="63">
        <v>44948</v>
      </c>
      <c r="I44" s="63">
        <v>44949</v>
      </c>
      <c r="J44" s="62">
        <v>2</v>
      </c>
      <c r="K44" s="62">
        <v>2</v>
      </c>
      <c r="L44" s="62" t="s">
        <v>24995</v>
      </c>
      <c r="M44" s="62" t="s">
        <v>24995</v>
      </c>
      <c r="N44" s="62" t="s">
        <v>19269</v>
      </c>
      <c r="O44" s="62" t="s">
        <v>25171</v>
      </c>
      <c r="P44" s="42" t="str">
        <f>+IF(O44="","",IFERROR(VLOOKUP(O44,CODIGO_DIAGNOSTICO,2,0),"CÓDIGO NO ENCONTRADO"))</f>
        <v>URETRITIS EN ENFERMEDADES CLASIFICADAS EN OTRA PARTE</v>
      </c>
      <c r="Q44" s="62" t="s">
        <v>24996</v>
      </c>
      <c r="R44" s="64">
        <v>0</v>
      </c>
      <c r="S44" s="75"/>
      <c r="T44" s="75"/>
      <c r="U44" s="65">
        <f>SUM(W44/30)</f>
        <v>42400.166666666664</v>
      </c>
      <c r="V44" s="62" t="s">
        <v>25941</v>
      </c>
      <c r="W44" s="65">
        <v>1272005</v>
      </c>
      <c r="X44" s="62">
        <v>0</v>
      </c>
      <c r="Y44" s="65">
        <v>84800</v>
      </c>
      <c r="Z44" s="73"/>
    </row>
    <row r="45" spans="1:26" ht="15.75" hidden="1" customHeight="1" x14ac:dyDescent="0.25">
      <c r="A45" s="67">
        <v>1</v>
      </c>
      <c r="B45" s="68">
        <v>21897516</v>
      </c>
      <c r="C45" s="68" t="s">
        <v>25189</v>
      </c>
      <c r="D45" s="68" t="s">
        <v>25190</v>
      </c>
      <c r="E45" s="68" t="s">
        <v>25191</v>
      </c>
      <c r="F45" s="68" t="s">
        <v>25192</v>
      </c>
      <c r="G45" s="81" t="s">
        <v>19285</v>
      </c>
      <c r="H45" s="69">
        <v>44948</v>
      </c>
      <c r="I45" s="69">
        <v>44949</v>
      </c>
      <c r="J45" s="68">
        <v>2</v>
      </c>
      <c r="K45" s="68">
        <v>2</v>
      </c>
      <c r="L45" s="68" t="s">
        <v>24995</v>
      </c>
      <c r="M45" s="68" t="s">
        <v>24995</v>
      </c>
      <c r="N45" s="62" t="s">
        <v>19269</v>
      </c>
      <c r="O45" s="68" t="s">
        <v>4838</v>
      </c>
      <c r="P45" s="42" t="str">
        <f>+IF(O45="","",IFERROR(VLOOKUP(O45,CODIGO_DIAGNOSTICO,2,0),"CÓDIGO NO ENCONTRADO"))</f>
        <v>LUMBAGO NO ESPECIFICADO</v>
      </c>
      <c r="Q45" s="68" t="s">
        <v>24996</v>
      </c>
      <c r="R45" s="67">
        <v>0</v>
      </c>
      <c r="S45" s="77"/>
      <c r="T45" s="76"/>
      <c r="U45" s="65">
        <f>SUM(W45/30)</f>
        <v>42400.166666666664</v>
      </c>
      <c r="V45" s="68" t="s">
        <v>25941</v>
      </c>
      <c r="W45" s="70">
        <v>1272005</v>
      </c>
      <c r="X45" s="68">
        <v>0</v>
      </c>
      <c r="Y45" s="70">
        <v>84800</v>
      </c>
      <c r="Z45" s="72"/>
    </row>
    <row r="46" spans="1:26" ht="15.75" hidden="1" customHeight="1" x14ac:dyDescent="0.25">
      <c r="A46" s="64">
        <v>1</v>
      </c>
      <c r="B46" s="62">
        <v>71748300</v>
      </c>
      <c r="C46" s="62" t="s">
        <v>25160</v>
      </c>
      <c r="D46" s="62" t="s">
        <v>25161</v>
      </c>
      <c r="E46" s="62" t="s">
        <v>25056</v>
      </c>
      <c r="F46" s="62" t="s">
        <v>25301</v>
      </c>
      <c r="G46" s="81" t="s">
        <v>19285</v>
      </c>
      <c r="H46" s="63">
        <v>44949</v>
      </c>
      <c r="I46" s="63">
        <v>44958</v>
      </c>
      <c r="J46" s="62">
        <v>10</v>
      </c>
      <c r="K46" s="62">
        <v>10</v>
      </c>
      <c r="L46" s="62" t="s">
        <v>19262</v>
      </c>
      <c r="M46" s="62" t="s">
        <v>19262</v>
      </c>
      <c r="N46" s="62" t="s">
        <v>19269</v>
      </c>
      <c r="O46" s="62" t="s">
        <v>7600</v>
      </c>
      <c r="P46" s="42" t="str">
        <f>+IF(O46="","",IFERROR(VLOOKUP(O46,CODIGO_DIAGNOSTICO,2,0),"CÓDIGO NO ENCONTRADO"))</f>
        <v>CONTUSION DE DEDO(S) DE LA MANO, SIN DAÑO DE LA(S) UÑA(S)</v>
      </c>
      <c r="Q46" s="62" t="s">
        <v>19230</v>
      </c>
      <c r="R46" s="64"/>
      <c r="S46" s="75">
        <v>44952</v>
      </c>
      <c r="T46" s="75">
        <v>44978</v>
      </c>
      <c r="U46" s="65">
        <f>SUM(W46/30)</f>
        <v>42400.166666666664</v>
      </c>
      <c r="V46" s="62" t="s">
        <v>25941</v>
      </c>
      <c r="W46" s="65">
        <v>1272005</v>
      </c>
      <c r="X46" s="62">
        <v>0</v>
      </c>
      <c r="Y46" s="65">
        <v>84800</v>
      </c>
      <c r="Z46" s="73"/>
    </row>
    <row r="47" spans="1:26" ht="15.75" hidden="1" customHeight="1" x14ac:dyDescent="0.25">
      <c r="A47" s="67">
        <v>1</v>
      </c>
      <c r="B47" s="68">
        <v>3669363</v>
      </c>
      <c r="C47" s="68" t="s">
        <v>25173</v>
      </c>
      <c r="D47" s="68" t="s">
        <v>24983</v>
      </c>
      <c r="E47" s="68" t="s">
        <v>25032</v>
      </c>
      <c r="F47" s="68" t="s">
        <v>25103</v>
      </c>
      <c r="G47" s="81" t="s">
        <v>19285</v>
      </c>
      <c r="H47" s="69">
        <v>44949</v>
      </c>
      <c r="I47" s="69">
        <v>44953</v>
      </c>
      <c r="J47" s="68">
        <v>5</v>
      </c>
      <c r="K47" s="68">
        <v>5</v>
      </c>
      <c r="L47" s="68" t="s">
        <v>24995</v>
      </c>
      <c r="M47" s="68" t="s">
        <v>24995</v>
      </c>
      <c r="N47" s="62" t="s">
        <v>19269</v>
      </c>
      <c r="O47" s="68" t="s">
        <v>4646</v>
      </c>
      <c r="P47" s="42" t="str">
        <f>+IF(O47="","",IFERROR(VLOOKUP(O47,CODIGO_DIAGNOSTICO,2,0),"CÓDIGO NO ENCONTRADO"))</f>
        <v>GONARTROSIS POSTRAUMATICA, BILATERAL</v>
      </c>
      <c r="Q47" s="68" t="s">
        <v>19230</v>
      </c>
      <c r="R47" s="67"/>
      <c r="S47" s="77"/>
      <c r="T47" s="76"/>
      <c r="U47" s="65">
        <f>SUM(W47/30)</f>
        <v>42400.166666666664</v>
      </c>
      <c r="V47" s="68" t="s">
        <v>25941</v>
      </c>
      <c r="W47" s="70">
        <v>1272005</v>
      </c>
      <c r="X47" s="68">
        <v>0</v>
      </c>
      <c r="Y47" s="70">
        <v>84800</v>
      </c>
      <c r="Z47" s="72"/>
    </row>
    <row r="48" spans="1:26" ht="15.75" hidden="1" customHeight="1" x14ac:dyDescent="0.25">
      <c r="A48" s="64">
        <v>1</v>
      </c>
      <c r="B48" s="62">
        <v>1017242085</v>
      </c>
      <c r="C48" s="62" t="s">
        <v>25174</v>
      </c>
      <c r="D48" s="62" t="s">
        <v>25175</v>
      </c>
      <c r="E48" s="62" t="s">
        <v>25176</v>
      </c>
      <c r="F48" s="62" t="s">
        <v>25177</v>
      </c>
      <c r="G48" s="81" t="s">
        <v>19285</v>
      </c>
      <c r="H48" s="63">
        <v>44949</v>
      </c>
      <c r="I48" s="63">
        <v>44950</v>
      </c>
      <c r="J48" s="62">
        <v>2</v>
      </c>
      <c r="K48" s="62">
        <v>2</v>
      </c>
      <c r="L48" s="62" t="s">
        <v>24995</v>
      </c>
      <c r="M48" s="62" t="s">
        <v>24995</v>
      </c>
      <c r="N48" s="62" t="s">
        <v>19269</v>
      </c>
      <c r="O48" s="62" t="s">
        <v>7418</v>
      </c>
      <c r="P48" s="42" t="str">
        <f>+IF(O48="","",IFERROR(VLOOKUP(O48,CODIGO_DIAGNOSTICO,2,0),"CÓDIGO NO ENCONTRADO"))</f>
        <v>CONTUSION DE LOS ORGANOS GENITALES EXTERNOS</v>
      </c>
      <c r="Q48" s="62" t="s">
        <v>19230</v>
      </c>
      <c r="R48" s="64">
        <v>0</v>
      </c>
      <c r="S48" s="75"/>
      <c r="T48" s="75"/>
      <c r="U48" s="65">
        <f>SUM(W48/30)</f>
        <v>42400.166666666664</v>
      </c>
      <c r="V48" s="62" t="s">
        <v>25941</v>
      </c>
      <c r="W48" s="65">
        <v>1272005</v>
      </c>
      <c r="X48" s="62">
        <v>0</v>
      </c>
      <c r="Y48" s="65">
        <v>84800</v>
      </c>
      <c r="Z48" s="73"/>
    </row>
    <row r="49" spans="1:26" ht="15.75" hidden="1" customHeight="1" x14ac:dyDescent="0.25">
      <c r="A49" s="67">
        <v>1</v>
      </c>
      <c r="B49" s="68">
        <v>6706983</v>
      </c>
      <c r="C49" s="68" t="s">
        <v>25177</v>
      </c>
      <c r="D49" s="68"/>
      <c r="E49" s="68" t="s">
        <v>25184</v>
      </c>
      <c r="F49" s="68" t="s">
        <v>25185</v>
      </c>
      <c r="G49" s="81" t="s">
        <v>19285</v>
      </c>
      <c r="H49" s="69">
        <v>44949</v>
      </c>
      <c r="I49" s="69">
        <v>44951</v>
      </c>
      <c r="J49" s="68">
        <v>3</v>
      </c>
      <c r="K49" s="68">
        <v>3</v>
      </c>
      <c r="L49" s="68" t="s">
        <v>24995</v>
      </c>
      <c r="M49" s="68" t="s">
        <v>24995</v>
      </c>
      <c r="N49" s="62" t="s">
        <v>19269</v>
      </c>
      <c r="O49" s="68" t="s">
        <v>7794</v>
      </c>
      <c r="P49" s="42" t="str">
        <f>+IF(O49="","",IFERROR(VLOOKUP(O49,CODIGO_DIAGNOSTICO,2,0),"CÓDIGO NO ENCONTRADO"))</f>
        <v>ESGUINCES Y TORCEDURAS DEL TOBILLO</v>
      </c>
      <c r="Q49" s="68" t="s">
        <v>19231</v>
      </c>
      <c r="R49" s="67"/>
      <c r="S49" s="77">
        <v>44951</v>
      </c>
      <c r="T49" s="76">
        <v>44998</v>
      </c>
      <c r="U49" s="65">
        <f>SUM(W49/30)</f>
        <v>42400.166666666664</v>
      </c>
      <c r="V49" s="68" t="s">
        <v>25941</v>
      </c>
      <c r="W49" s="70">
        <v>1272005</v>
      </c>
      <c r="X49" s="68">
        <v>0</v>
      </c>
      <c r="Y49" s="70">
        <v>84800</v>
      </c>
      <c r="Z49" s="72"/>
    </row>
    <row r="50" spans="1:26" ht="15.75" hidden="1" customHeight="1" x14ac:dyDescent="0.25">
      <c r="A50" s="64">
        <v>1</v>
      </c>
      <c r="B50" s="62">
        <v>1063173404</v>
      </c>
      <c r="C50" s="62" t="s">
        <v>25186</v>
      </c>
      <c r="D50" s="62" t="s">
        <v>25075</v>
      </c>
      <c r="E50" s="62" t="s">
        <v>25187</v>
      </c>
      <c r="F50" s="62" t="s">
        <v>25188</v>
      </c>
      <c r="G50" s="81" t="s">
        <v>19285</v>
      </c>
      <c r="H50" s="63">
        <v>44949</v>
      </c>
      <c r="I50" s="63">
        <v>44950</v>
      </c>
      <c r="J50" s="62">
        <v>2</v>
      </c>
      <c r="K50" s="62">
        <v>2</v>
      </c>
      <c r="L50" s="62" t="s">
        <v>24995</v>
      </c>
      <c r="M50" s="62" t="s">
        <v>24995</v>
      </c>
      <c r="N50" s="62" t="s">
        <v>19269</v>
      </c>
      <c r="O50" s="62" t="s">
        <v>15281</v>
      </c>
      <c r="P50" s="42" t="str">
        <f>+IF(O50="","",IFERROR(VLOOKUP(O50,CODIGO_DIAGNOSTICO,2,0),"CÓDIGO NO ENCONTRADO"))</f>
        <v>RINOFARINGITIS AGUDA (RESFRIADO COMUN)</v>
      </c>
      <c r="Q50" s="62" t="s">
        <v>19231</v>
      </c>
      <c r="R50" s="64">
        <v>0</v>
      </c>
      <c r="S50" s="75"/>
      <c r="T50" s="75"/>
      <c r="U50" s="65">
        <f>SUM(W50/30)</f>
        <v>42400.166666666664</v>
      </c>
      <c r="V50" s="62" t="s">
        <v>25941</v>
      </c>
      <c r="W50" s="65">
        <v>1272005</v>
      </c>
      <c r="X50" s="62">
        <v>0</v>
      </c>
      <c r="Y50" s="65">
        <v>84800</v>
      </c>
      <c r="Z50" s="73"/>
    </row>
    <row r="51" spans="1:26" ht="15.75" hidden="1" customHeight="1" x14ac:dyDescent="0.25">
      <c r="A51" s="67">
        <v>1</v>
      </c>
      <c r="B51" s="68">
        <v>77027311</v>
      </c>
      <c r="C51" s="68" t="s">
        <v>25079</v>
      </c>
      <c r="D51" s="68" t="s">
        <v>25212</v>
      </c>
      <c r="E51" s="68" t="s">
        <v>25056</v>
      </c>
      <c r="F51" s="68" t="s">
        <v>25213</v>
      </c>
      <c r="G51" s="81" t="s">
        <v>19285</v>
      </c>
      <c r="H51" s="69">
        <v>44949</v>
      </c>
      <c r="I51" s="69">
        <v>44950</v>
      </c>
      <c r="J51" s="68">
        <v>2</v>
      </c>
      <c r="K51" s="68">
        <v>2</v>
      </c>
      <c r="L51" s="68" t="s">
        <v>24995</v>
      </c>
      <c r="M51" s="68" t="s">
        <v>24995</v>
      </c>
      <c r="N51" s="62" t="s">
        <v>19269</v>
      </c>
      <c r="O51" s="68" t="s">
        <v>3628</v>
      </c>
      <c r="P51" s="42" t="str">
        <f>+IF(O51="","",IFERROR(VLOOKUP(O51,CODIGO_DIAGNOSTICO,2,0),"CÓDIGO NO ENCONTRADO"))</f>
        <v>BRONQUITIS AGUDA, NO ESPECIFICADA</v>
      </c>
      <c r="Q51" s="68" t="s">
        <v>24996</v>
      </c>
      <c r="R51" s="67">
        <v>0</v>
      </c>
      <c r="S51" s="77"/>
      <c r="T51" s="76"/>
      <c r="U51" s="65">
        <f>SUM(W51/30)</f>
        <v>42400.166666666664</v>
      </c>
      <c r="V51" s="68" t="s">
        <v>25941</v>
      </c>
      <c r="W51" s="70">
        <v>1272005</v>
      </c>
      <c r="X51" s="68">
        <v>0</v>
      </c>
      <c r="Y51" s="70">
        <v>84800</v>
      </c>
      <c r="Z51" s="72"/>
    </row>
    <row r="52" spans="1:26" ht="15.75" hidden="1" customHeight="1" x14ac:dyDescent="0.25">
      <c r="A52" s="64">
        <v>1</v>
      </c>
      <c r="B52" s="62">
        <v>1063173404</v>
      </c>
      <c r="C52" s="62" t="s">
        <v>25186</v>
      </c>
      <c r="D52" s="62" t="s">
        <v>25075</v>
      </c>
      <c r="E52" s="62" t="s">
        <v>25187</v>
      </c>
      <c r="F52" s="62" t="s">
        <v>25188</v>
      </c>
      <c r="G52" s="81" t="s">
        <v>19285</v>
      </c>
      <c r="H52" s="63">
        <v>44949</v>
      </c>
      <c r="I52" s="63">
        <v>44950</v>
      </c>
      <c r="J52" s="62">
        <v>2</v>
      </c>
      <c r="K52" s="62">
        <v>2</v>
      </c>
      <c r="L52" s="62" t="s">
        <v>24995</v>
      </c>
      <c r="M52" s="62" t="s">
        <v>24995</v>
      </c>
      <c r="N52" s="62" t="s">
        <v>19269</v>
      </c>
      <c r="O52" s="62" t="s">
        <v>15281</v>
      </c>
      <c r="P52" s="42" t="str">
        <f>+IF(O52="","",IFERROR(VLOOKUP(O52,CODIGO_DIAGNOSTICO,2,0),"CÓDIGO NO ENCONTRADO"))</f>
        <v>RINOFARINGITIS AGUDA (RESFRIADO COMUN)</v>
      </c>
      <c r="Q52" s="62" t="s">
        <v>19231</v>
      </c>
      <c r="R52" s="64">
        <v>0</v>
      </c>
      <c r="S52" s="75"/>
      <c r="T52" s="75"/>
      <c r="U52" s="65">
        <f>SUM(W52/30)</f>
        <v>42400.166666666664</v>
      </c>
      <c r="V52" s="62" t="s">
        <v>25941</v>
      </c>
      <c r="W52" s="65">
        <v>1272005</v>
      </c>
      <c r="X52" s="62">
        <v>0</v>
      </c>
      <c r="Y52" s="65">
        <v>84800</v>
      </c>
      <c r="Z52" s="73"/>
    </row>
    <row r="53" spans="1:26" ht="15.75" hidden="1" customHeight="1" x14ac:dyDescent="0.25">
      <c r="A53" s="67">
        <v>1</v>
      </c>
      <c r="B53" s="68">
        <v>71748300</v>
      </c>
      <c r="C53" s="68" t="s">
        <v>25300</v>
      </c>
      <c r="D53" s="68" t="s">
        <v>25161</v>
      </c>
      <c r="E53" s="68" t="s">
        <v>25056</v>
      </c>
      <c r="F53" s="68" t="s">
        <v>25301</v>
      </c>
      <c r="G53" s="81" t="s">
        <v>19285</v>
      </c>
      <c r="H53" s="69">
        <v>44949</v>
      </c>
      <c r="I53" s="69">
        <v>44958</v>
      </c>
      <c r="J53" s="68">
        <v>10</v>
      </c>
      <c r="K53" s="68">
        <v>9</v>
      </c>
      <c r="L53" s="68" t="s">
        <v>19262</v>
      </c>
      <c r="M53" s="68" t="s">
        <v>19262</v>
      </c>
      <c r="N53" s="62" t="s">
        <v>19269</v>
      </c>
      <c r="O53" s="68" t="s">
        <v>7600</v>
      </c>
      <c r="P53" s="42" t="str">
        <f>+IF(O53="","",IFERROR(VLOOKUP(O53,CODIGO_DIAGNOSTICO,2,0),"CÓDIGO NO ENCONTRADO"))</f>
        <v>CONTUSION DE DEDO(S) DE LA MANO, SIN DAÑO DE LA(S) UÑA(S)</v>
      </c>
      <c r="Q53" s="68" t="s">
        <v>19288</v>
      </c>
      <c r="R53" s="67"/>
      <c r="S53" s="77">
        <v>44974</v>
      </c>
      <c r="T53" s="76">
        <v>44978</v>
      </c>
      <c r="U53" s="65">
        <f>SUM(W53/30)</f>
        <v>42400.166666666664</v>
      </c>
      <c r="V53" s="68" t="s">
        <v>25941</v>
      </c>
      <c r="W53" s="70">
        <v>1272005</v>
      </c>
      <c r="X53" s="68">
        <v>0</v>
      </c>
      <c r="Y53" s="70">
        <v>84800</v>
      </c>
      <c r="Z53" s="72"/>
    </row>
    <row r="54" spans="1:26" ht="15.75" hidden="1" customHeight="1" x14ac:dyDescent="0.25">
      <c r="A54" s="64">
        <v>1</v>
      </c>
      <c r="B54" s="62">
        <v>71601851</v>
      </c>
      <c r="C54" s="62" t="s">
        <v>25178</v>
      </c>
      <c r="D54" s="62" t="s">
        <v>25179</v>
      </c>
      <c r="E54" s="62" t="s">
        <v>25180</v>
      </c>
      <c r="F54" s="62" t="s">
        <v>25023</v>
      </c>
      <c r="G54" s="81" t="s">
        <v>19285</v>
      </c>
      <c r="H54" s="63">
        <v>44950</v>
      </c>
      <c r="I54" s="63">
        <v>44952</v>
      </c>
      <c r="J54" s="62">
        <v>3</v>
      </c>
      <c r="K54" s="62">
        <v>3</v>
      </c>
      <c r="L54" s="62" t="s">
        <v>24995</v>
      </c>
      <c r="M54" s="62" t="s">
        <v>24995</v>
      </c>
      <c r="N54" s="62" t="s">
        <v>19269</v>
      </c>
      <c r="O54" s="62" t="s">
        <v>4695</v>
      </c>
      <c r="P54" s="42" t="str">
        <f>+IF(O54="","",IFERROR(VLOOKUP(O54,CODIGO_DIAGNOSTICO,2,0),"CÓDIGO NO ENCONTRADO"))</f>
        <v>TRASTORNOS INTERNO DE LA RODILLA, NO ESPECIFICADO</v>
      </c>
      <c r="Q54" s="62" t="s">
        <v>19231</v>
      </c>
      <c r="R54" s="64"/>
      <c r="S54" s="75">
        <v>44952</v>
      </c>
      <c r="T54" s="75">
        <v>44998</v>
      </c>
      <c r="U54" s="65">
        <f>SUM(W54/30)</f>
        <v>42400.166666666664</v>
      </c>
      <c r="V54" s="62" t="s">
        <v>25941</v>
      </c>
      <c r="W54" s="65">
        <v>1272005</v>
      </c>
      <c r="X54" s="62">
        <v>0</v>
      </c>
      <c r="Y54" s="65">
        <v>84800</v>
      </c>
      <c r="Z54" s="73"/>
    </row>
    <row r="55" spans="1:26" ht="15.75" hidden="1" customHeight="1" x14ac:dyDescent="0.25">
      <c r="A55" s="67">
        <v>1</v>
      </c>
      <c r="B55" s="68">
        <v>7171292</v>
      </c>
      <c r="C55" s="68" t="s">
        <v>25181</v>
      </c>
      <c r="D55" s="68" t="s">
        <v>25181</v>
      </c>
      <c r="E55" s="68" t="s">
        <v>25292</v>
      </c>
      <c r="F55" s="68" t="s">
        <v>25023</v>
      </c>
      <c r="G55" s="81" t="s">
        <v>19285</v>
      </c>
      <c r="H55" s="69">
        <v>44951</v>
      </c>
      <c r="I55" s="69">
        <v>44980</v>
      </c>
      <c r="J55" s="68">
        <v>30</v>
      </c>
      <c r="K55" s="68">
        <v>6</v>
      </c>
      <c r="L55" s="68" t="s">
        <v>19262</v>
      </c>
      <c r="M55" s="68" t="s">
        <v>19262</v>
      </c>
      <c r="N55" s="62" t="s">
        <v>19269</v>
      </c>
      <c r="O55" s="68" t="s">
        <v>3693</v>
      </c>
      <c r="P55" s="42" t="str">
        <f>+IF(O55="","",IFERROR(VLOOKUP(O55,CODIGO_DIAGNOSTICO,2,0),"CÓDIGO NO ENCONTRADO"))</f>
        <v>ENFERMEDAD PULMONAR OBSTRUCTIVA CRONICA, NO ESPECIFICADA</v>
      </c>
      <c r="Q55" s="68" t="s">
        <v>24996</v>
      </c>
      <c r="R55" s="67"/>
      <c r="S55" s="77"/>
      <c r="T55" s="76"/>
      <c r="U55" s="65">
        <f>SUM(W55/30)</f>
        <v>42400.166666666664</v>
      </c>
      <c r="V55" s="68" t="s">
        <v>25941</v>
      </c>
      <c r="W55" s="70">
        <v>1272005</v>
      </c>
      <c r="X55" s="68">
        <v>0</v>
      </c>
      <c r="Y55" s="70">
        <v>84800</v>
      </c>
      <c r="Z55" s="72"/>
    </row>
    <row r="56" spans="1:26" ht="15.75" hidden="1" customHeight="1" x14ac:dyDescent="0.25">
      <c r="A56" s="64">
        <v>1</v>
      </c>
      <c r="B56" s="62">
        <v>1192755619</v>
      </c>
      <c r="C56" s="62" t="s">
        <v>25158</v>
      </c>
      <c r="D56" s="62" t="s">
        <v>25209</v>
      </c>
      <c r="E56" s="62" t="s">
        <v>25210</v>
      </c>
      <c r="F56" s="62" t="s">
        <v>25211</v>
      </c>
      <c r="G56" s="81" t="s">
        <v>19285</v>
      </c>
      <c r="H56" s="63">
        <v>44953</v>
      </c>
      <c r="I56" s="63">
        <v>44955</v>
      </c>
      <c r="J56" s="62">
        <v>3</v>
      </c>
      <c r="K56" s="62">
        <v>3</v>
      </c>
      <c r="L56" s="62" t="s">
        <v>24995</v>
      </c>
      <c r="M56" s="62" t="s">
        <v>24995</v>
      </c>
      <c r="N56" s="62" t="s">
        <v>19269</v>
      </c>
      <c r="O56" s="62" t="s">
        <v>3632</v>
      </c>
      <c r="P56" s="42" t="str">
        <f>+IF(O56="","",IFERROR(VLOOKUP(O56,CODIGO_DIAGNOSTICO,2,0),"CÓDIGO NO ENCONTRADO"))</f>
        <v>INFECCION AGUDA NO ESPECIFICADA DE LAS VIAS RESPIRATORIAS INFERIORES</v>
      </c>
      <c r="Q56" s="62" t="s">
        <v>26152</v>
      </c>
      <c r="R56" s="64"/>
      <c r="S56" s="75"/>
      <c r="T56" s="75"/>
      <c r="U56" s="65">
        <f>SUM(W56/30)</f>
        <v>42400.166666666664</v>
      </c>
      <c r="V56" s="62" t="s">
        <v>25941</v>
      </c>
      <c r="W56" s="65">
        <v>1272005</v>
      </c>
      <c r="X56" s="62">
        <v>0</v>
      </c>
      <c r="Y56" s="65">
        <v>84800</v>
      </c>
      <c r="Z56" s="73"/>
    </row>
    <row r="57" spans="1:26" ht="15.75" hidden="1" customHeight="1" x14ac:dyDescent="0.25">
      <c r="A57" s="67">
        <v>1</v>
      </c>
      <c r="B57" s="68">
        <v>77027311</v>
      </c>
      <c r="C57" s="68" t="s">
        <v>25079</v>
      </c>
      <c r="D57" s="68" t="s">
        <v>25212</v>
      </c>
      <c r="E57" s="68" t="s">
        <v>25056</v>
      </c>
      <c r="F57" s="68" t="s">
        <v>25213</v>
      </c>
      <c r="G57" s="81" t="s">
        <v>19285</v>
      </c>
      <c r="H57" s="69">
        <v>44953</v>
      </c>
      <c r="I57" s="69">
        <v>44954</v>
      </c>
      <c r="J57" s="68">
        <v>2</v>
      </c>
      <c r="K57" s="68">
        <v>2</v>
      </c>
      <c r="L57" s="68" t="s">
        <v>24995</v>
      </c>
      <c r="M57" s="68" t="s">
        <v>24995</v>
      </c>
      <c r="N57" s="62" t="s">
        <v>19269</v>
      </c>
      <c r="O57" s="68" t="s">
        <v>4826</v>
      </c>
      <c r="P57" s="42" t="str">
        <f>+IF(O57="","",IFERROR(VLOOKUP(O57,CODIGO_DIAGNOSTICO,2,0),"CÓDIGO NO ENCONTRADO"))</f>
        <v>TRASTORNOS DE LOS DISCOS INTERVERTEBRALES, NO ESPECIFICADO</v>
      </c>
      <c r="Q57" s="68" t="s">
        <v>24996</v>
      </c>
      <c r="R57" s="67">
        <v>0</v>
      </c>
      <c r="S57" s="77"/>
      <c r="T57" s="76"/>
      <c r="U57" s="65">
        <f>SUM(W57/30)</f>
        <v>42400.166666666664</v>
      </c>
      <c r="V57" s="68" t="s">
        <v>25941</v>
      </c>
      <c r="W57" s="70">
        <v>1272005</v>
      </c>
      <c r="X57" s="68">
        <v>0</v>
      </c>
      <c r="Y57" s="70">
        <v>84800</v>
      </c>
      <c r="Z57" s="72"/>
    </row>
    <row r="58" spans="1:26" ht="15.75" hidden="1" customHeight="1" x14ac:dyDescent="0.25">
      <c r="A58" s="64">
        <v>1</v>
      </c>
      <c r="B58" s="62">
        <v>3481465</v>
      </c>
      <c r="C58" s="62" t="s">
        <v>25204</v>
      </c>
      <c r="D58" s="62" t="s">
        <v>25205</v>
      </c>
      <c r="E58" s="62" t="s">
        <v>25206</v>
      </c>
      <c r="F58" s="62" t="s">
        <v>24982</v>
      </c>
      <c r="G58" s="81" t="s">
        <v>19285</v>
      </c>
      <c r="H58" s="63">
        <v>44954</v>
      </c>
      <c r="I58" s="63">
        <v>44982</v>
      </c>
      <c r="J58" s="62">
        <v>29</v>
      </c>
      <c r="K58" s="62">
        <v>4</v>
      </c>
      <c r="L58" s="62" t="s">
        <v>19262</v>
      </c>
      <c r="M58" s="62" t="s">
        <v>19262</v>
      </c>
      <c r="N58" s="62" t="s">
        <v>19269</v>
      </c>
      <c r="O58" s="62" t="s">
        <v>2095</v>
      </c>
      <c r="P58" s="42" t="str">
        <f>+IF(O58="","",IFERROR(VLOOKUP(O58,CODIGO_DIAGNOSTICO,2,0),"CÓDIGO NO ENCONTRADO"))</f>
        <v>TRASTORNO MENTAL NO ESPECIFICADO DEBIDO A LESION Y DISFUNCION CEREBRAL Y A ENFERMEDAD FISICA</v>
      </c>
      <c r="Q58" s="62" t="s">
        <v>19230</v>
      </c>
      <c r="R58" s="64"/>
      <c r="S58" s="75"/>
      <c r="T58" s="75"/>
      <c r="U58" s="65">
        <f>SUM(W58/30)</f>
        <v>42400.166666666664</v>
      </c>
      <c r="V58" s="62" t="s">
        <v>25941</v>
      </c>
      <c r="W58" s="65">
        <v>1272005</v>
      </c>
      <c r="X58" s="62">
        <v>0</v>
      </c>
      <c r="Y58" s="65">
        <v>84800</v>
      </c>
      <c r="Z58" s="73"/>
    </row>
    <row r="59" spans="1:26" ht="15.75" hidden="1" customHeight="1" x14ac:dyDescent="0.25">
      <c r="A59" s="67">
        <v>1</v>
      </c>
      <c r="B59" s="68">
        <v>10888311</v>
      </c>
      <c r="C59" s="68" t="s">
        <v>25202</v>
      </c>
      <c r="D59" s="68" t="s">
        <v>25207</v>
      </c>
      <c r="E59" s="68" t="s">
        <v>25029</v>
      </c>
      <c r="F59" s="68" t="s">
        <v>25208</v>
      </c>
      <c r="G59" s="81" t="s">
        <v>19285</v>
      </c>
      <c r="H59" s="69">
        <v>44954</v>
      </c>
      <c r="I59" s="69">
        <v>44955</v>
      </c>
      <c r="J59" s="68">
        <v>2</v>
      </c>
      <c r="K59" s="68">
        <v>2</v>
      </c>
      <c r="L59" s="68" t="s">
        <v>24995</v>
      </c>
      <c r="M59" s="68" t="s">
        <v>24995</v>
      </c>
      <c r="N59" s="62" t="s">
        <v>19269</v>
      </c>
      <c r="O59" s="68" t="s">
        <v>3572</v>
      </c>
      <c r="P59" s="42" t="str">
        <f>+IF(O59="","",IFERROR(VLOOKUP(O59,CODIGO_DIAGNOSTICO,2,0),"CÓDIGO NO ENCONTRADO"))</f>
        <v>FARINGITIS AGUDA, NO ESPECIFICADA</v>
      </c>
      <c r="Q59" s="68" t="s">
        <v>19230</v>
      </c>
      <c r="R59" s="67">
        <v>0</v>
      </c>
      <c r="S59" s="77"/>
      <c r="T59" s="76"/>
      <c r="U59" s="65">
        <f>SUM(W59/30)</f>
        <v>42400.166666666664</v>
      </c>
      <c r="V59" s="68" t="s">
        <v>25941</v>
      </c>
      <c r="W59" s="70">
        <v>1272005</v>
      </c>
      <c r="X59" s="68">
        <v>0</v>
      </c>
      <c r="Y59" s="70">
        <v>84800</v>
      </c>
      <c r="Z59" s="72"/>
    </row>
    <row r="60" spans="1:26" ht="15.75" hidden="1" customHeight="1" x14ac:dyDescent="0.25">
      <c r="A60" s="64">
        <v>1</v>
      </c>
      <c r="B60" s="62">
        <v>1017192273</v>
      </c>
      <c r="C60" s="62" t="s">
        <v>25216</v>
      </c>
      <c r="D60" s="62" t="s">
        <v>25043</v>
      </c>
      <c r="E60" s="62" t="s">
        <v>25217</v>
      </c>
      <c r="F60" s="62" t="s">
        <v>25218</v>
      </c>
      <c r="G60" s="81" t="s">
        <v>19285</v>
      </c>
      <c r="H60" s="63">
        <v>44954</v>
      </c>
      <c r="I60" s="63">
        <v>44954</v>
      </c>
      <c r="J60" s="62">
        <v>1</v>
      </c>
      <c r="K60" s="62">
        <v>1</v>
      </c>
      <c r="L60" s="62" t="s">
        <v>24995</v>
      </c>
      <c r="M60" s="62" t="s">
        <v>24995</v>
      </c>
      <c r="N60" s="62" t="s">
        <v>19269</v>
      </c>
      <c r="O60" s="62" t="s">
        <v>85</v>
      </c>
      <c r="P60" s="42" t="str">
        <f>+IF(O60="","",IFERROR(VLOOKUP(O60,CODIGO_DIAGNOSTICO,2,0),"CÓDIGO NO ENCONTRADO"))</f>
        <v>OTRAS ENTERITIS VIRALES</v>
      </c>
      <c r="Q60" s="62" t="s">
        <v>26059</v>
      </c>
      <c r="R60" s="64">
        <v>0</v>
      </c>
      <c r="S60" s="75"/>
      <c r="T60" s="75">
        <v>0</v>
      </c>
      <c r="U60" s="65">
        <f>SUM(W60/30)</f>
        <v>42400.166666666664</v>
      </c>
      <c r="V60" s="62" t="s">
        <v>25941</v>
      </c>
      <c r="W60" s="65">
        <v>1272005</v>
      </c>
      <c r="X60" s="62">
        <v>0</v>
      </c>
      <c r="Y60" s="65">
        <v>84800</v>
      </c>
      <c r="Z60" s="73"/>
    </row>
    <row r="61" spans="1:26" ht="15.75" hidden="1" customHeight="1" x14ac:dyDescent="0.25">
      <c r="A61" s="67">
        <v>1</v>
      </c>
      <c r="B61" s="68">
        <v>3669363</v>
      </c>
      <c r="C61" s="68" t="s">
        <v>25173</v>
      </c>
      <c r="D61" s="68" t="s">
        <v>25046</v>
      </c>
      <c r="E61" s="68" t="s">
        <v>19287</v>
      </c>
      <c r="F61" s="68" t="s">
        <v>24982</v>
      </c>
      <c r="G61" s="81" t="s">
        <v>19285</v>
      </c>
      <c r="H61" s="69">
        <v>44954</v>
      </c>
      <c r="I61" s="69">
        <v>44958</v>
      </c>
      <c r="J61" s="68">
        <v>5</v>
      </c>
      <c r="K61" s="68">
        <v>4</v>
      </c>
      <c r="L61" s="68" t="s">
        <v>19262</v>
      </c>
      <c r="M61" s="68" t="s">
        <v>19262</v>
      </c>
      <c r="N61" s="62" t="s">
        <v>19269</v>
      </c>
      <c r="O61" s="68" t="s">
        <v>4646</v>
      </c>
      <c r="P61" s="42" t="str">
        <f>+IF(O61="","",IFERROR(VLOOKUP(O61,CODIGO_DIAGNOSTICO,2,0),"CÓDIGO NO ENCONTRADO"))</f>
        <v>GONARTROSIS POSTRAUMATICA, BILATERAL</v>
      </c>
      <c r="Q61" s="68" t="s">
        <v>19230</v>
      </c>
      <c r="R61" s="67"/>
      <c r="S61" s="77"/>
      <c r="T61" s="76"/>
      <c r="U61" s="65">
        <f>SUM(W61/30)</f>
        <v>42400.166666666664</v>
      </c>
      <c r="V61" s="68" t="s">
        <v>25941</v>
      </c>
      <c r="W61" s="70">
        <v>1272005</v>
      </c>
      <c r="X61" s="68">
        <v>0</v>
      </c>
      <c r="Y61" s="70">
        <v>84800</v>
      </c>
      <c r="Z61" s="72"/>
    </row>
    <row r="62" spans="1:26" ht="15.75" hidden="1" customHeight="1" x14ac:dyDescent="0.25">
      <c r="A62" s="64">
        <v>1</v>
      </c>
      <c r="B62" s="62">
        <v>1066728531</v>
      </c>
      <c r="C62" s="62" t="s">
        <v>25264</v>
      </c>
      <c r="D62" s="62" t="s">
        <v>25265</v>
      </c>
      <c r="E62" s="62" t="s">
        <v>25266</v>
      </c>
      <c r="F62" s="62" t="s">
        <v>25267</v>
      </c>
      <c r="G62" s="81" t="s">
        <v>19285</v>
      </c>
      <c r="H62" s="63">
        <v>44954</v>
      </c>
      <c r="I62" s="63">
        <v>44956</v>
      </c>
      <c r="J62" s="62">
        <v>3</v>
      </c>
      <c r="K62" s="62">
        <v>3</v>
      </c>
      <c r="L62" s="62" t="s">
        <v>24995</v>
      </c>
      <c r="M62" s="62" t="s">
        <v>24995</v>
      </c>
      <c r="N62" s="62" t="s">
        <v>19269</v>
      </c>
      <c r="O62" s="62" t="s">
        <v>5226</v>
      </c>
      <c r="P62" s="42" t="str">
        <f>+IF(O62="","",IFERROR(VLOOKUP(O62,CODIGO_DIAGNOSTICO,2,0),"CÓDIGO NO ENCONTRADO"))</f>
        <v>COLICO RENAL, NO ESPECIFICADO</v>
      </c>
      <c r="Q62" s="62" t="s">
        <v>24996</v>
      </c>
      <c r="R62" s="64"/>
      <c r="S62" s="75">
        <v>44974</v>
      </c>
      <c r="T62" s="75">
        <v>44978</v>
      </c>
      <c r="U62" s="65">
        <f>SUM(W62/30)</f>
        <v>42400.166666666664</v>
      </c>
      <c r="V62" s="62" t="s">
        <v>25941</v>
      </c>
      <c r="W62" s="65">
        <v>1272005</v>
      </c>
      <c r="X62" s="62">
        <v>0</v>
      </c>
      <c r="Y62" s="65">
        <v>84800</v>
      </c>
      <c r="Z62" s="73"/>
    </row>
    <row r="63" spans="1:26" ht="15.75" hidden="1" customHeight="1" x14ac:dyDescent="0.25">
      <c r="A63" s="67">
        <v>1</v>
      </c>
      <c r="B63" s="68">
        <v>71601851</v>
      </c>
      <c r="C63" s="68" t="s">
        <v>25178</v>
      </c>
      <c r="D63" s="68" t="s">
        <v>25179</v>
      </c>
      <c r="E63" s="68" t="s">
        <v>25180</v>
      </c>
      <c r="F63" s="68" t="s">
        <v>25023</v>
      </c>
      <c r="G63" s="81" t="s">
        <v>19285</v>
      </c>
      <c r="H63" s="69">
        <v>44954</v>
      </c>
      <c r="I63" s="69">
        <v>44983</v>
      </c>
      <c r="J63" s="68">
        <v>30</v>
      </c>
      <c r="K63" s="68">
        <v>30</v>
      </c>
      <c r="L63" s="68" t="s">
        <v>19262</v>
      </c>
      <c r="M63" s="68" t="s">
        <v>24995</v>
      </c>
      <c r="N63" s="62" t="s">
        <v>19269</v>
      </c>
      <c r="O63" s="68" t="s">
        <v>4695</v>
      </c>
      <c r="P63" s="42" t="str">
        <f>+IF(O63="","",IFERROR(VLOOKUP(O63,CODIGO_DIAGNOSTICO,2,0),"CÓDIGO NO ENCONTRADO"))</f>
        <v>TRASTORNOS INTERNO DE LA RODILLA, NO ESPECIFICADO</v>
      </c>
      <c r="Q63" s="68" t="s">
        <v>19231</v>
      </c>
      <c r="R63" s="67"/>
      <c r="S63" s="77">
        <v>44956</v>
      </c>
      <c r="T63" s="76">
        <v>45027</v>
      </c>
      <c r="U63" s="65">
        <f>SUM(W63/30)</f>
        <v>42400.166666666664</v>
      </c>
      <c r="V63" s="68" t="s">
        <v>25941</v>
      </c>
      <c r="W63" s="70">
        <v>1272005</v>
      </c>
      <c r="X63" s="68">
        <v>0</v>
      </c>
      <c r="Y63" s="70">
        <v>84800</v>
      </c>
      <c r="Z63" s="72"/>
    </row>
    <row r="64" spans="1:26" ht="15.75" hidden="1" customHeight="1" x14ac:dyDescent="0.25">
      <c r="A64" s="64">
        <v>1</v>
      </c>
      <c r="B64" s="62">
        <v>15309929</v>
      </c>
      <c r="C64" s="62" t="s">
        <v>25047</v>
      </c>
      <c r="D64" s="62" t="s">
        <v>25214</v>
      </c>
      <c r="E64" s="62" t="s">
        <v>25048</v>
      </c>
      <c r="F64" s="62" t="s">
        <v>25215</v>
      </c>
      <c r="G64" s="81" t="s">
        <v>19285</v>
      </c>
      <c r="H64" s="63">
        <v>44955</v>
      </c>
      <c r="I64" s="63">
        <v>44969</v>
      </c>
      <c r="J64" s="62">
        <v>15</v>
      </c>
      <c r="K64" s="62">
        <v>15</v>
      </c>
      <c r="L64" s="62" t="s">
        <v>19262</v>
      </c>
      <c r="M64" s="62" t="s">
        <v>19262</v>
      </c>
      <c r="N64" s="62" t="s">
        <v>19269</v>
      </c>
      <c r="O64" s="62" t="s">
        <v>7734</v>
      </c>
      <c r="P64" s="42" t="str">
        <f>+IF(O64="","",IFERROR(VLOOKUP(O64,CODIGO_DIAGNOSTICO,2,0),"CÓDIGO NO ENCONTRADO"))</f>
        <v>DESGARRO DE MENISCOS, PRESENTE</v>
      </c>
      <c r="Q64" s="62" t="s">
        <v>19230</v>
      </c>
      <c r="R64" s="64"/>
      <c r="S64" s="75">
        <v>44957</v>
      </c>
      <c r="T64" s="75">
        <v>44959</v>
      </c>
      <c r="U64" s="65">
        <f>SUM(W64/30)</f>
        <v>42400.166666666664</v>
      </c>
      <c r="V64" s="62" t="s">
        <v>25941</v>
      </c>
      <c r="W64" s="65">
        <v>1272005</v>
      </c>
      <c r="X64" s="62">
        <v>0</v>
      </c>
      <c r="Y64" s="65">
        <v>84800</v>
      </c>
      <c r="Z64" s="73"/>
    </row>
    <row r="65" spans="1:26" ht="15.75" hidden="1" customHeight="1" x14ac:dyDescent="0.25">
      <c r="A65" s="67">
        <v>1</v>
      </c>
      <c r="B65" s="68">
        <v>7537251</v>
      </c>
      <c r="C65" s="68" t="s">
        <v>25058</v>
      </c>
      <c r="D65" s="68" t="s">
        <v>25262</v>
      </c>
      <c r="E65" s="68" t="s">
        <v>25263</v>
      </c>
      <c r="F65" s="68"/>
      <c r="G65" s="81" t="s">
        <v>19285</v>
      </c>
      <c r="H65" s="69">
        <v>44955</v>
      </c>
      <c r="I65" s="69">
        <v>44959</v>
      </c>
      <c r="J65" s="68">
        <v>5</v>
      </c>
      <c r="K65" s="68">
        <v>3</v>
      </c>
      <c r="L65" s="68" t="s">
        <v>19262</v>
      </c>
      <c r="M65" s="68" t="s">
        <v>19262</v>
      </c>
      <c r="N65" s="62" t="s">
        <v>19269</v>
      </c>
      <c r="O65" s="68" t="s">
        <v>5286</v>
      </c>
      <c r="P65" s="42" t="str">
        <f>+IF(O65="","",IFERROR(VLOOKUP(O65,CODIGO_DIAGNOSTICO,2,0),"CÓDIGO NO ENCONTRADO"))</f>
        <v>HIPERPLASIA DE LA PROSTATA</v>
      </c>
      <c r="Q65" s="68" t="s">
        <v>19231</v>
      </c>
      <c r="R65" s="67"/>
      <c r="S65" s="77">
        <v>44956</v>
      </c>
      <c r="T65" s="76">
        <v>45006</v>
      </c>
      <c r="U65" s="65">
        <f>SUM(W65/30)</f>
        <v>42400.166666666664</v>
      </c>
      <c r="V65" s="68" t="s">
        <v>25941</v>
      </c>
      <c r="W65" s="70">
        <v>1272005</v>
      </c>
      <c r="X65" s="68">
        <v>0</v>
      </c>
      <c r="Y65" s="70">
        <v>84800</v>
      </c>
      <c r="Z65" s="72"/>
    </row>
    <row r="66" spans="1:26" ht="15.75" hidden="1" customHeight="1" x14ac:dyDescent="0.25">
      <c r="A66" s="64">
        <v>1</v>
      </c>
      <c r="B66" s="62">
        <v>7633171</v>
      </c>
      <c r="C66" s="62" t="s">
        <v>25201</v>
      </c>
      <c r="D66" s="62" t="s">
        <v>25202</v>
      </c>
      <c r="E66" s="62" t="s">
        <v>25203</v>
      </c>
      <c r="F66" s="62" t="s">
        <v>25005</v>
      </c>
      <c r="G66" s="81" t="s">
        <v>19285</v>
      </c>
      <c r="H66" s="63">
        <v>44956</v>
      </c>
      <c r="I66" s="63">
        <v>44956</v>
      </c>
      <c r="J66" s="62">
        <v>2</v>
      </c>
      <c r="K66" s="62">
        <v>2</v>
      </c>
      <c r="L66" s="62" t="s">
        <v>19262</v>
      </c>
      <c r="M66" s="62" t="s">
        <v>24995</v>
      </c>
      <c r="N66" s="62" t="s">
        <v>19269</v>
      </c>
      <c r="O66" s="62" t="s">
        <v>5226</v>
      </c>
      <c r="P66" s="42" t="str">
        <f>+IF(O66="","",IFERROR(VLOOKUP(O66,CODIGO_DIAGNOSTICO,2,0),"CÓDIGO NO ENCONTRADO"))</f>
        <v>COLICO RENAL, NO ESPECIFICADO</v>
      </c>
      <c r="Q66" s="62" t="s">
        <v>19230</v>
      </c>
      <c r="R66" s="64"/>
      <c r="S66" s="75">
        <v>44957</v>
      </c>
      <c r="T66" s="75">
        <v>44959</v>
      </c>
      <c r="U66" s="65">
        <f>SUM(W66/30)</f>
        <v>42400.166666666664</v>
      </c>
      <c r="V66" s="62" t="s">
        <v>25941</v>
      </c>
      <c r="W66" s="65">
        <v>1272005</v>
      </c>
      <c r="X66" s="62">
        <v>0</v>
      </c>
      <c r="Y66" s="65">
        <v>84800</v>
      </c>
      <c r="Z66" s="73"/>
    </row>
    <row r="67" spans="1:26" ht="15.75" hidden="1" customHeight="1" x14ac:dyDescent="0.25">
      <c r="A67" s="67">
        <v>1</v>
      </c>
      <c r="B67" s="68">
        <v>79608583</v>
      </c>
      <c r="C67" s="68" t="s">
        <v>25284</v>
      </c>
      <c r="D67" s="68" t="s">
        <v>25285</v>
      </c>
      <c r="E67" s="68" t="s">
        <v>25184</v>
      </c>
      <c r="F67" s="68" t="s">
        <v>25286</v>
      </c>
      <c r="G67" s="81" t="s">
        <v>19285</v>
      </c>
      <c r="H67" s="69">
        <v>44956</v>
      </c>
      <c r="I67" s="69">
        <v>44956</v>
      </c>
      <c r="J67" s="68">
        <v>1</v>
      </c>
      <c r="K67" s="68">
        <v>1</v>
      </c>
      <c r="L67" s="68" t="s">
        <v>24995</v>
      </c>
      <c r="M67" s="68" t="s">
        <v>24995</v>
      </c>
      <c r="N67" s="62" t="s">
        <v>19269</v>
      </c>
      <c r="O67" s="68" t="s">
        <v>7057</v>
      </c>
      <c r="P67" s="42" t="str">
        <f>+IF(O67="","",IFERROR(VLOOKUP(O67,CODIGO_DIAGNOSTICO,2,0),"CÓDIGO NO ENCONTRADO"))</f>
        <v>CEFALEA</v>
      </c>
      <c r="Q67" s="68" t="s">
        <v>19230</v>
      </c>
      <c r="R67" s="67">
        <v>0</v>
      </c>
      <c r="S67" s="77"/>
      <c r="T67" s="76">
        <v>0</v>
      </c>
      <c r="U67" s="65">
        <f>SUM(W67/30)</f>
        <v>42400.166666666664</v>
      </c>
      <c r="V67" s="68" t="s">
        <v>25941</v>
      </c>
      <c r="W67" s="70">
        <v>1272005</v>
      </c>
      <c r="X67" s="68">
        <v>0</v>
      </c>
      <c r="Y67" s="70">
        <v>84800</v>
      </c>
      <c r="Z67" s="72"/>
    </row>
    <row r="68" spans="1:26" ht="15.75" hidden="1" customHeight="1" x14ac:dyDescent="0.25">
      <c r="A68" s="64">
        <v>2</v>
      </c>
      <c r="B68" s="62">
        <v>1067957772</v>
      </c>
      <c r="C68" s="62" t="s">
        <v>25375</v>
      </c>
      <c r="D68" s="62" t="s">
        <v>25073</v>
      </c>
      <c r="E68" s="62" t="s">
        <v>25376</v>
      </c>
      <c r="F68" s="62" t="s">
        <v>25091</v>
      </c>
      <c r="G68" s="81" t="s">
        <v>19285</v>
      </c>
      <c r="H68" s="63">
        <v>44956</v>
      </c>
      <c r="I68" s="63">
        <v>44973</v>
      </c>
      <c r="J68" s="62">
        <v>18</v>
      </c>
      <c r="K68" s="62">
        <v>16</v>
      </c>
      <c r="L68" s="62" t="s">
        <v>24995</v>
      </c>
      <c r="M68" s="62" t="s">
        <v>24995</v>
      </c>
      <c r="N68" s="62" t="s">
        <v>19269</v>
      </c>
      <c r="O68" s="62" t="s">
        <v>6997</v>
      </c>
      <c r="P68" s="42" t="str">
        <f>+IF(O68="","",IFERROR(VLOOKUP(O68,CODIGO_DIAGNOSTICO,2,0),"CÓDIGO NO ENCONTRADO"))</f>
        <v>HEMATURIA, NO ESPECIFICADA</v>
      </c>
      <c r="Q68" s="62" t="s">
        <v>19230</v>
      </c>
      <c r="R68" s="64"/>
      <c r="S68" s="75">
        <v>44962</v>
      </c>
      <c r="T68" s="75">
        <v>44980</v>
      </c>
      <c r="U68" s="65">
        <f>SUM(W68/30)</f>
        <v>42400.166666666664</v>
      </c>
      <c r="V68" s="62" t="s">
        <v>25941</v>
      </c>
      <c r="W68" s="65">
        <v>1272005</v>
      </c>
      <c r="X68" s="62">
        <v>0</v>
      </c>
      <c r="Y68" s="65">
        <v>84800</v>
      </c>
      <c r="Z68" s="73"/>
    </row>
    <row r="69" spans="1:26" ht="15.75" hidden="1" customHeight="1" x14ac:dyDescent="0.25">
      <c r="A69" s="67">
        <v>1</v>
      </c>
      <c r="B69" s="68">
        <v>71382103</v>
      </c>
      <c r="C69" s="68" t="s">
        <v>25274</v>
      </c>
      <c r="D69" s="68" t="s">
        <v>25275</v>
      </c>
      <c r="E69" s="68" t="s">
        <v>25198</v>
      </c>
      <c r="F69" s="68" t="s">
        <v>25276</v>
      </c>
      <c r="G69" s="81" t="s">
        <v>19285</v>
      </c>
      <c r="H69" s="69">
        <v>44957</v>
      </c>
      <c r="I69" s="69">
        <v>44961</v>
      </c>
      <c r="J69" s="68">
        <v>5</v>
      </c>
      <c r="K69" s="68">
        <v>1</v>
      </c>
      <c r="L69" s="68" t="s">
        <v>24995</v>
      </c>
      <c r="M69" s="68" t="s">
        <v>24995</v>
      </c>
      <c r="N69" s="62" t="s">
        <v>19269</v>
      </c>
      <c r="O69" s="68" t="s">
        <v>4690</v>
      </c>
      <c r="P69" s="42" t="str">
        <f>+IF(O69="","",IFERROR(VLOOKUP(O69,CODIGO_DIAGNOSTICO,2,0),"CÓDIGO NO ENCONTRADO"))</f>
        <v>OTROS TRASTORNOS DE LOS MENISCOS</v>
      </c>
      <c r="Q69" s="68" t="s">
        <v>26059</v>
      </c>
      <c r="R69" s="67"/>
      <c r="S69" s="77">
        <v>44963</v>
      </c>
      <c r="T69" s="76">
        <v>44971</v>
      </c>
      <c r="U69" s="65">
        <f>SUM(W69/30)</f>
        <v>42400.166666666664</v>
      </c>
      <c r="V69" s="68" t="s">
        <v>25941</v>
      </c>
      <c r="W69" s="70">
        <v>1272005</v>
      </c>
      <c r="X69" s="68">
        <v>0</v>
      </c>
      <c r="Y69" s="70">
        <v>84800</v>
      </c>
      <c r="Z69" s="72"/>
    </row>
    <row r="70" spans="1:26" ht="15.75" hidden="1" customHeight="1" x14ac:dyDescent="0.25">
      <c r="A70" s="64">
        <v>1</v>
      </c>
      <c r="B70" s="62">
        <v>12124967</v>
      </c>
      <c r="C70" s="62" t="s">
        <v>25302</v>
      </c>
      <c r="D70" s="62" t="s">
        <v>25303</v>
      </c>
      <c r="E70" s="62" t="s">
        <v>25304</v>
      </c>
      <c r="F70" s="62"/>
      <c r="G70" s="81" t="s">
        <v>19285</v>
      </c>
      <c r="H70" s="63">
        <v>44957</v>
      </c>
      <c r="I70" s="63">
        <v>44958</v>
      </c>
      <c r="J70" s="62">
        <v>2</v>
      </c>
      <c r="K70" s="62">
        <v>2</v>
      </c>
      <c r="L70" s="62" t="s">
        <v>24995</v>
      </c>
      <c r="M70" s="62" t="s">
        <v>24995</v>
      </c>
      <c r="N70" s="62" t="s">
        <v>19269</v>
      </c>
      <c r="O70" s="62" t="s">
        <v>7015</v>
      </c>
      <c r="P70" s="42" t="str">
        <f>+IF(O70="","",IFERROR(VLOOKUP(O70,CODIGO_DIAGNOSTICO,2,0),"CÓDIGO NO ENCONTRADO"))</f>
        <v>MAREO Y DESVANECIMIENTO</v>
      </c>
      <c r="Q70" s="62" t="s">
        <v>25305</v>
      </c>
      <c r="R70" s="64">
        <v>0</v>
      </c>
      <c r="S70" s="75"/>
      <c r="T70" s="75"/>
      <c r="U70" s="65">
        <f>SUM(W70/30)</f>
        <v>42400.166666666664</v>
      </c>
      <c r="V70" s="62" t="s">
        <v>25941</v>
      </c>
      <c r="W70" s="65">
        <v>1272005</v>
      </c>
      <c r="X70" s="62">
        <v>0</v>
      </c>
      <c r="Y70" s="65">
        <v>84800</v>
      </c>
      <c r="Z70" s="73"/>
    </row>
    <row r="71" spans="1:26" ht="15.75" hidden="1" customHeight="1" x14ac:dyDescent="0.25">
      <c r="A71" s="67">
        <v>2</v>
      </c>
      <c r="B71" s="68">
        <v>79041874</v>
      </c>
      <c r="C71" s="68" t="s">
        <v>25287</v>
      </c>
      <c r="D71" s="68" t="s">
        <v>25288</v>
      </c>
      <c r="E71" s="68" t="s">
        <v>25203</v>
      </c>
      <c r="F71" s="68" t="s">
        <v>25005</v>
      </c>
      <c r="G71" s="81" t="s">
        <v>19285</v>
      </c>
      <c r="H71" s="69">
        <v>44958</v>
      </c>
      <c r="I71" s="69">
        <v>44959</v>
      </c>
      <c r="J71" s="68">
        <v>2</v>
      </c>
      <c r="K71" s="68">
        <v>2</v>
      </c>
      <c r="L71" s="68" t="s">
        <v>24995</v>
      </c>
      <c r="M71" s="68" t="s">
        <v>24995</v>
      </c>
      <c r="N71" s="62" t="s">
        <v>19269</v>
      </c>
      <c r="O71" s="68" t="s">
        <v>5279</v>
      </c>
      <c r="P71" s="42" t="str">
        <f>+IF(O71="","",IFERROR(VLOOKUP(O71,CODIGO_DIAGNOSTICO,2,0),"CÓDIGO NO ENCONTRADO"))</f>
        <v>INFECCION DE VIAS URINARIAS, SITIO NO ESPECIFICADO</v>
      </c>
      <c r="Q71" s="68" t="s">
        <v>19230</v>
      </c>
      <c r="R71" s="67">
        <v>0</v>
      </c>
      <c r="S71" s="77"/>
      <c r="T71" s="76"/>
      <c r="U71" s="65">
        <f>SUM(W71/30)</f>
        <v>42400.166666666664</v>
      </c>
      <c r="V71" s="68" t="s">
        <v>25941</v>
      </c>
      <c r="W71" s="70">
        <v>1272005</v>
      </c>
      <c r="X71" s="68">
        <v>0</v>
      </c>
      <c r="Y71" s="70">
        <v>84800</v>
      </c>
      <c r="Z71" s="72"/>
    </row>
    <row r="72" spans="1:26" ht="15.75" hidden="1" customHeight="1" x14ac:dyDescent="0.25">
      <c r="A72" s="64">
        <v>2</v>
      </c>
      <c r="B72" s="62">
        <v>1047506378</v>
      </c>
      <c r="C72" s="62" t="s">
        <v>25271</v>
      </c>
      <c r="D72" s="62" t="s">
        <v>25312</v>
      </c>
      <c r="E72" s="62" t="s">
        <v>25313</v>
      </c>
      <c r="F72" s="62"/>
      <c r="G72" s="81" t="s">
        <v>19285</v>
      </c>
      <c r="H72" s="63">
        <v>44958</v>
      </c>
      <c r="I72" s="63">
        <v>44964</v>
      </c>
      <c r="J72" s="62">
        <v>7</v>
      </c>
      <c r="K72" s="62">
        <v>7</v>
      </c>
      <c r="L72" s="62" t="s">
        <v>24995</v>
      </c>
      <c r="M72" s="62" t="s">
        <v>24995</v>
      </c>
      <c r="N72" s="62" t="s">
        <v>19269</v>
      </c>
      <c r="O72" s="62" t="s">
        <v>5413</v>
      </c>
      <c r="P72" s="42" t="str">
        <f>+IF(O72="","",IFERROR(VLOOKUP(O72,CODIGO_DIAGNOSTICO,2,0),"CÓDIGO NO ENCONTRADO"))</f>
        <v>OTROS QUISTES OVARICOS Y LOS NO ESPECIFICADOS</v>
      </c>
      <c r="Q72" s="62" t="s">
        <v>19289</v>
      </c>
      <c r="R72" s="64"/>
      <c r="S72" s="75"/>
      <c r="T72" s="75"/>
      <c r="U72" s="65">
        <f>SUM(W72/30)</f>
        <v>42400.166666666664</v>
      </c>
      <c r="V72" s="62" t="s">
        <v>25941</v>
      </c>
      <c r="W72" s="65">
        <v>1272005</v>
      </c>
      <c r="X72" s="62">
        <v>0</v>
      </c>
      <c r="Y72" s="65">
        <v>84800</v>
      </c>
      <c r="Z72" s="73"/>
    </row>
    <row r="73" spans="1:26" ht="15.75" hidden="1" customHeight="1" x14ac:dyDescent="0.25">
      <c r="A73" s="67">
        <v>2</v>
      </c>
      <c r="B73" s="68">
        <v>15534401</v>
      </c>
      <c r="C73" s="68" t="s">
        <v>25268</v>
      </c>
      <c r="D73" s="68" t="s">
        <v>25269</v>
      </c>
      <c r="E73" s="68" t="s">
        <v>25270</v>
      </c>
      <c r="F73" s="68"/>
      <c r="G73" s="81" t="s">
        <v>19285</v>
      </c>
      <c r="H73" s="69">
        <v>44959</v>
      </c>
      <c r="I73" s="69">
        <v>44961</v>
      </c>
      <c r="J73" s="68">
        <v>2</v>
      </c>
      <c r="K73" s="68">
        <v>2</v>
      </c>
      <c r="L73" s="68" t="s">
        <v>24995</v>
      </c>
      <c r="M73" s="68" t="s">
        <v>24995</v>
      </c>
      <c r="N73" s="62" t="s">
        <v>19269</v>
      </c>
      <c r="O73" s="68" t="s">
        <v>4838</v>
      </c>
      <c r="P73" s="42" t="str">
        <f>+IF(O73="","",IFERROR(VLOOKUP(O73,CODIGO_DIAGNOSTICO,2,0),"CÓDIGO NO ENCONTRADO"))</f>
        <v>LUMBAGO NO ESPECIFICADO</v>
      </c>
      <c r="Q73" s="68" t="s">
        <v>19230</v>
      </c>
      <c r="R73" s="67">
        <v>0</v>
      </c>
      <c r="S73" s="77"/>
      <c r="T73" s="76"/>
      <c r="U73" s="65">
        <f>SUM(W73/30)</f>
        <v>42400.166666666664</v>
      </c>
      <c r="V73" s="68" t="s">
        <v>25941</v>
      </c>
      <c r="W73" s="70">
        <v>1272005</v>
      </c>
      <c r="X73" s="68">
        <v>0</v>
      </c>
      <c r="Y73" s="70">
        <v>84800</v>
      </c>
      <c r="Z73" s="72"/>
    </row>
    <row r="74" spans="1:26" ht="15.75" hidden="1" customHeight="1" x14ac:dyDescent="0.25">
      <c r="A74" s="64">
        <v>2</v>
      </c>
      <c r="B74" s="62">
        <v>1054561422</v>
      </c>
      <c r="C74" s="62" t="s">
        <v>25277</v>
      </c>
      <c r="D74" s="62" t="s">
        <v>25224</v>
      </c>
      <c r="E74" s="62" t="s">
        <v>25278</v>
      </c>
      <c r="F74" s="62" t="s">
        <v>25010</v>
      </c>
      <c r="G74" s="81" t="s">
        <v>19285</v>
      </c>
      <c r="H74" s="63">
        <v>44959</v>
      </c>
      <c r="I74" s="63">
        <v>44960</v>
      </c>
      <c r="J74" s="62">
        <v>2</v>
      </c>
      <c r="K74" s="62">
        <v>2</v>
      </c>
      <c r="L74" s="62" t="s">
        <v>24995</v>
      </c>
      <c r="M74" s="62" t="s">
        <v>24995</v>
      </c>
      <c r="N74" s="62" t="s">
        <v>19269</v>
      </c>
      <c r="O74" s="62" t="s">
        <v>4026</v>
      </c>
      <c r="P74" s="42" t="str">
        <f>+IF(O74="","",IFERROR(VLOOKUP(O74,CODIGO_DIAGNOSTICO,2,0),"CÓDIGO NO ENCONTRADO"))</f>
        <v>COLITIS Y GASTROENTERITIS NO INFECCIOSAS, NO ESPECIFICADAS</v>
      </c>
      <c r="Q74" s="62" t="s">
        <v>19230</v>
      </c>
      <c r="R74" s="64">
        <v>0</v>
      </c>
      <c r="S74" s="75"/>
      <c r="T74" s="75"/>
      <c r="U74" s="65">
        <f>SUM(W74/30)</f>
        <v>42400.166666666664</v>
      </c>
      <c r="V74" s="62" t="s">
        <v>25941</v>
      </c>
      <c r="W74" s="65">
        <v>1272005</v>
      </c>
      <c r="X74" s="62">
        <v>0</v>
      </c>
      <c r="Y74" s="65">
        <v>84800</v>
      </c>
      <c r="Z74" s="73"/>
    </row>
    <row r="75" spans="1:26" ht="15.75" hidden="1" customHeight="1" x14ac:dyDescent="0.25">
      <c r="A75" s="67">
        <v>2</v>
      </c>
      <c r="B75" s="68">
        <v>3669363</v>
      </c>
      <c r="C75" s="68" t="s">
        <v>25173</v>
      </c>
      <c r="D75" s="68" t="s">
        <v>24983</v>
      </c>
      <c r="E75" s="68" t="s">
        <v>19287</v>
      </c>
      <c r="F75" s="68" t="s">
        <v>25103</v>
      </c>
      <c r="G75" s="81" t="s">
        <v>19285</v>
      </c>
      <c r="H75" s="69">
        <v>44959</v>
      </c>
      <c r="I75" s="69">
        <v>44963</v>
      </c>
      <c r="J75" s="68">
        <v>5</v>
      </c>
      <c r="K75" s="68">
        <v>5</v>
      </c>
      <c r="L75" s="68" t="s">
        <v>19262</v>
      </c>
      <c r="M75" s="68" t="s">
        <v>19262</v>
      </c>
      <c r="N75" s="62" t="s">
        <v>19269</v>
      </c>
      <c r="O75" s="68" t="s">
        <v>4646</v>
      </c>
      <c r="P75" s="42" t="str">
        <f>+IF(O75="","",IFERROR(VLOOKUP(O75,CODIGO_DIAGNOSTICO,2,0),"CÓDIGO NO ENCONTRADO"))</f>
        <v>GONARTROSIS POSTRAUMATICA, BILATERAL</v>
      </c>
      <c r="Q75" s="68" t="s">
        <v>19230</v>
      </c>
      <c r="R75" s="67"/>
      <c r="S75" s="77"/>
      <c r="T75" s="76"/>
      <c r="U75" s="65">
        <f>SUM(W75/30)</f>
        <v>42400.166666666664</v>
      </c>
      <c r="V75" s="68" t="s">
        <v>25941</v>
      </c>
      <c r="W75" s="70">
        <v>1272005</v>
      </c>
      <c r="X75" s="68">
        <v>0</v>
      </c>
      <c r="Y75" s="70">
        <v>84800</v>
      </c>
      <c r="Z75" s="72"/>
    </row>
    <row r="76" spans="1:26" ht="15.75" hidden="1" customHeight="1" x14ac:dyDescent="0.25">
      <c r="A76" s="64">
        <v>2</v>
      </c>
      <c r="B76" s="62">
        <v>71748300</v>
      </c>
      <c r="C76" s="62" t="s">
        <v>25300</v>
      </c>
      <c r="D76" s="62" t="s">
        <v>25161</v>
      </c>
      <c r="E76" s="62" t="s">
        <v>25056</v>
      </c>
      <c r="F76" s="62" t="s">
        <v>25301</v>
      </c>
      <c r="G76" s="81" t="s">
        <v>19285</v>
      </c>
      <c r="H76" s="63">
        <v>44959</v>
      </c>
      <c r="I76" s="63">
        <v>44959</v>
      </c>
      <c r="J76" s="62">
        <v>1</v>
      </c>
      <c r="K76" s="62">
        <v>1</v>
      </c>
      <c r="L76" s="62" t="s">
        <v>24995</v>
      </c>
      <c r="M76" s="62" t="s">
        <v>24995</v>
      </c>
      <c r="N76" s="62" t="s">
        <v>19269</v>
      </c>
      <c r="O76" s="62" t="s">
        <v>7600</v>
      </c>
      <c r="P76" s="42" t="str">
        <f>+IF(O76="","",IFERROR(VLOOKUP(O76,CODIGO_DIAGNOSTICO,2,0),"CÓDIGO NO ENCONTRADO"))</f>
        <v>CONTUSION DE DEDO(S) DE LA MANO, SIN DAÑO DE LA(S) UÑA(S)</v>
      </c>
      <c r="Q76" s="62" t="s">
        <v>19230</v>
      </c>
      <c r="R76" s="64">
        <v>0</v>
      </c>
      <c r="S76" s="75">
        <v>44963</v>
      </c>
      <c r="T76" s="75">
        <v>44964</v>
      </c>
      <c r="U76" s="65">
        <f>SUM(W76/30)</f>
        <v>42400.166666666664</v>
      </c>
      <c r="V76" s="62" t="s">
        <v>25941</v>
      </c>
      <c r="W76" s="65">
        <v>1272005</v>
      </c>
      <c r="X76" s="62">
        <v>0</v>
      </c>
      <c r="Y76" s="65">
        <v>84800</v>
      </c>
      <c r="Z76" s="73"/>
    </row>
    <row r="77" spans="1:26" ht="15.75" hidden="1" customHeight="1" x14ac:dyDescent="0.25">
      <c r="A77" s="67">
        <v>2</v>
      </c>
      <c r="B77" s="68">
        <v>71642375</v>
      </c>
      <c r="C77" s="68" t="s">
        <v>25271</v>
      </c>
      <c r="D77" s="68" t="s">
        <v>25272</v>
      </c>
      <c r="E77" s="68" t="s">
        <v>25273</v>
      </c>
      <c r="F77" s="68" t="s">
        <v>25135</v>
      </c>
      <c r="G77" s="81" t="s">
        <v>19285</v>
      </c>
      <c r="H77" s="69">
        <v>44960</v>
      </c>
      <c r="I77" s="69">
        <v>44961</v>
      </c>
      <c r="J77" s="68">
        <v>2</v>
      </c>
      <c r="K77" s="68">
        <v>2</v>
      </c>
      <c r="L77" s="68" t="s">
        <v>24995</v>
      </c>
      <c r="M77" s="68" t="s">
        <v>24995</v>
      </c>
      <c r="N77" s="62" t="s">
        <v>19269</v>
      </c>
      <c r="O77" s="68" t="s">
        <v>3856</v>
      </c>
      <c r="P77" s="42" t="str">
        <f>+IF(O77="","",IFERROR(VLOOKUP(O77,CODIGO_DIAGNOSTICO,2,0),"CÓDIGO NO ENCONTRADO"))</f>
        <v>RAIZ DENTAL RETENIDA</v>
      </c>
      <c r="Q77" s="68" t="s">
        <v>19230</v>
      </c>
      <c r="R77" s="67">
        <v>0</v>
      </c>
      <c r="S77" s="77"/>
      <c r="T77" s="76"/>
      <c r="U77" s="65">
        <f>SUM(W77/30)</f>
        <v>42400.166666666664</v>
      </c>
      <c r="V77" s="68" t="s">
        <v>25941</v>
      </c>
      <c r="W77" s="70">
        <v>1272005</v>
      </c>
      <c r="X77" s="68">
        <v>0</v>
      </c>
      <c r="Y77" s="70">
        <v>84800</v>
      </c>
      <c r="Z77" s="72"/>
    </row>
    <row r="78" spans="1:26" ht="15.75" hidden="1" customHeight="1" x14ac:dyDescent="0.25">
      <c r="A78" s="64">
        <v>2</v>
      </c>
      <c r="B78" s="62">
        <v>71746206</v>
      </c>
      <c r="C78" s="62" t="s">
        <v>25279</v>
      </c>
      <c r="D78" s="62" t="s">
        <v>25280</v>
      </c>
      <c r="E78" s="62" t="s">
        <v>19278</v>
      </c>
      <c r="F78" s="62" t="s">
        <v>25039</v>
      </c>
      <c r="G78" s="81" t="s">
        <v>19285</v>
      </c>
      <c r="H78" s="63">
        <v>44960</v>
      </c>
      <c r="I78" s="63">
        <v>44961</v>
      </c>
      <c r="J78" s="62">
        <v>2</v>
      </c>
      <c r="K78" s="62">
        <v>2</v>
      </c>
      <c r="L78" s="62" t="s">
        <v>24995</v>
      </c>
      <c r="M78" s="62" t="s">
        <v>24995</v>
      </c>
      <c r="N78" s="62" t="s">
        <v>19269</v>
      </c>
      <c r="O78" s="62" t="s">
        <v>6938</v>
      </c>
      <c r="P78" s="42" t="str">
        <f>+IF(O78="","",IFERROR(VLOOKUP(O78,CODIGO_DIAGNOSTICO,2,0),"CÓDIGO NO ENCONTRADO"))</f>
        <v>DOLOR LOCALIZADO EN OTRAS PARTES INFERIORES DEL ABDOMEN</v>
      </c>
      <c r="Q78" s="62" t="s">
        <v>24996</v>
      </c>
      <c r="R78" s="64">
        <v>0</v>
      </c>
      <c r="S78" s="75"/>
      <c r="T78" s="75"/>
      <c r="U78" s="65">
        <f>SUM(W78/30)</f>
        <v>42400.166666666664</v>
      </c>
      <c r="V78" s="62" t="s">
        <v>25941</v>
      </c>
      <c r="W78" s="65">
        <v>1272005</v>
      </c>
      <c r="X78" s="62">
        <v>0</v>
      </c>
      <c r="Y78" s="65">
        <v>84800</v>
      </c>
      <c r="Z78" s="73"/>
    </row>
    <row r="79" spans="1:26" ht="15.75" hidden="1" customHeight="1" x14ac:dyDescent="0.25">
      <c r="A79" s="67">
        <v>2</v>
      </c>
      <c r="B79" s="68">
        <v>1003205624</v>
      </c>
      <c r="C79" s="68" t="s">
        <v>25335</v>
      </c>
      <c r="D79" s="68" t="s">
        <v>25336</v>
      </c>
      <c r="E79" s="68" t="s">
        <v>25035</v>
      </c>
      <c r="F79" s="68" t="s">
        <v>25010</v>
      </c>
      <c r="G79" s="81" t="s">
        <v>19285</v>
      </c>
      <c r="H79" s="69">
        <v>44960</v>
      </c>
      <c r="I79" s="69">
        <v>44974</v>
      </c>
      <c r="J79" s="68">
        <v>15</v>
      </c>
      <c r="K79" s="68">
        <v>15</v>
      </c>
      <c r="L79" s="68" t="s">
        <v>24995</v>
      </c>
      <c r="M79" s="68" t="s">
        <v>24995</v>
      </c>
      <c r="N79" s="62" t="s">
        <v>19269</v>
      </c>
      <c r="O79" s="68" t="s">
        <v>5322</v>
      </c>
      <c r="P79" s="42" t="str">
        <f>+IF(O79="","",IFERROR(VLOOKUP(O79,CODIGO_DIAGNOSTICO,2,0),"CÓDIGO NO ENCONTRADO"))</f>
        <v>ATROFIA DEL TESTICULO</v>
      </c>
      <c r="Q79" s="68" t="s">
        <v>24996</v>
      </c>
      <c r="R79" s="67"/>
      <c r="S79" s="77">
        <v>44980</v>
      </c>
      <c r="T79" s="76">
        <v>44986</v>
      </c>
      <c r="U79" s="65">
        <f>SUM(W79/30)</f>
        <v>42400.166666666664</v>
      </c>
      <c r="V79" s="68" t="s">
        <v>25941</v>
      </c>
      <c r="W79" s="70">
        <v>1272005</v>
      </c>
      <c r="X79" s="68">
        <v>0</v>
      </c>
      <c r="Y79" s="70">
        <v>84800</v>
      </c>
      <c r="Z79" s="72"/>
    </row>
    <row r="80" spans="1:26" ht="15.75" hidden="1" customHeight="1" x14ac:dyDescent="0.25">
      <c r="A80" s="64">
        <v>2</v>
      </c>
      <c r="B80" s="62">
        <v>71906669</v>
      </c>
      <c r="C80" s="62" t="s">
        <v>25390</v>
      </c>
      <c r="D80" s="62" t="s">
        <v>25314</v>
      </c>
      <c r="E80" s="62" t="s">
        <v>25035</v>
      </c>
      <c r="F80" s="62" t="s">
        <v>25255</v>
      </c>
      <c r="G80" s="81" t="s">
        <v>19285</v>
      </c>
      <c r="H80" s="63">
        <v>44960</v>
      </c>
      <c r="I80" s="63">
        <v>44973</v>
      </c>
      <c r="J80" s="62">
        <v>14</v>
      </c>
      <c r="K80" s="62">
        <v>14</v>
      </c>
      <c r="L80" s="62" t="s">
        <v>24995</v>
      </c>
      <c r="M80" s="62" t="s">
        <v>24995</v>
      </c>
      <c r="N80" s="62" t="s">
        <v>19269</v>
      </c>
      <c r="O80" s="62" t="s">
        <v>6926</v>
      </c>
      <c r="P80" s="42" t="str">
        <f>+IF(O80="","",IFERROR(VLOOKUP(O80,CODIGO_DIAGNOSTICO,2,0),"CÓDIGO NO ENCONTRADO"))</f>
        <v>DOLOR EN EL PECHO AL RESPIRAR</v>
      </c>
      <c r="Q80" s="62" t="s">
        <v>19230</v>
      </c>
      <c r="R80" s="64"/>
      <c r="S80" s="75">
        <v>44963</v>
      </c>
      <c r="T80" s="75">
        <v>44978</v>
      </c>
      <c r="U80" s="65">
        <f>SUM(W80/30)</f>
        <v>42400.166666666664</v>
      </c>
      <c r="V80" s="62" t="s">
        <v>25941</v>
      </c>
      <c r="W80" s="65">
        <v>1272005</v>
      </c>
      <c r="X80" s="62">
        <v>0</v>
      </c>
      <c r="Y80" s="65">
        <v>84800</v>
      </c>
      <c r="Z80" s="73"/>
    </row>
    <row r="81" spans="1:26" ht="15.75" hidden="1" customHeight="1" x14ac:dyDescent="0.25">
      <c r="A81" s="67">
        <v>2</v>
      </c>
      <c r="B81" s="68">
        <v>10884990</v>
      </c>
      <c r="C81" s="68" t="s">
        <v>25293</v>
      </c>
      <c r="D81" s="68" t="s">
        <v>25294</v>
      </c>
      <c r="E81" s="68" t="s">
        <v>25282</v>
      </c>
      <c r="F81" s="68" t="s">
        <v>25056</v>
      </c>
      <c r="G81" s="81" t="s">
        <v>19285</v>
      </c>
      <c r="H81" s="69">
        <v>44963</v>
      </c>
      <c r="I81" s="69">
        <v>44964</v>
      </c>
      <c r="J81" s="68">
        <v>2</v>
      </c>
      <c r="K81" s="68">
        <v>2</v>
      </c>
      <c r="L81" s="68" t="s">
        <v>24995</v>
      </c>
      <c r="M81" s="68" t="s">
        <v>24995</v>
      </c>
      <c r="N81" s="62" t="s">
        <v>19269</v>
      </c>
      <c r="O81" s="68" t="s">
        <v>4711</v>
      </c>
      <c r="P81" s="42" t="str">
        <f>+IF(O81="","",IFERROR(VLOOKUP(O81,CODIGO_DIAGNOSTICO,2,0),"CÓDIGO NO ENCONTRADO"))</f>
        <v>DOLOR EN ARTICULACION</v>
      </c>
      <c r="Q81" s="68" t="s">
        <v>19230</v>
      </c>
      <c r="R81" s="67">
        <v>0</v>
      </c>
      <c r="S81" s="77"/>
      <c r="T81" s="76"/>
      <c r="U81" s="65">
        <f>SUM(W81/30)</f>
        <v>42400.166666666664</v>
      </c>
      <c r="V81" s="68" t="s">
        <v>25941</v>
      </c>
      <c r="W81" s="70">
        <v>1272005</v>
      </c>
      <c r="X81" s="68">
        <v>0</v>
      </c>
      <c r="Y81" s="70">
        <v>84800</v>
      </c>
      <c r="Z81" s="72"/>
    </row>
    <row r="82" spans="1:26" ht="15.75" hidden="1" customHeight="1" x14ac:dyDescent="0.25">
      <c r="A82" s="64">
        <v>2</v>
      </c>
      <c r="B82" s="62">
        <v>1063173404</v>
      </c>
      <c r="C82" s="62" t="s">
        <v>25186</v>
      </c>
      <c r="D82" s="62" t="s">
        <v>25075</v>
      </c>
      <c r="E82" s="62" t="s">
        <v>25187</v>
      </c>
      <c r="F82" s="62" t="s">
        <v>25188</v>
      </c>
      <c r="G82" s="81" t="s">
        <v>19285</v>
      </c>
      <c r="H82" s="63">
        <v>44963</v>
      </c>
      <c r="I82" s="63">
        <v>44963</v>
      </c>
      <c r="J82" s="62">
        <v>1</v>
      </c>
      <c r="K82" s="62">
        <v>1</v>
      </c>
      <c r="L82" s="62" t="s">
        <v>24995</v>
      </c>
      <c r="M82" s="62" t="s">
        <v>24995</v>
      </c>
      <c r="N82" s="62" t="s">
        <v>19269</v>
      </c>
      <c r="O82" s="62" t="s">
        <v>86</v>
      </c>
      <c r="P82" s="42" t="str">
        <f>+IF(O82="","",IFERROR(VLOOKUP(O82,CODIGO_DIAGNOSTICO,2,0),"CÓDIGO NO ENCONTRADO"))</f>
        <v>INFECCION INTESTINAL VIRAL, SIN OTRA ESPECIFICACION</v>
      </c>
      <c r="Q82" s="62" t="s">
        <v>19231</v>
      </c>
      <c r="R82" s="64">
        <v>0</v>
      </c>
      <c r="S82" s="75"/>
      <c r="T82" s="75">
        <v>0</v>
      </c>
      <c r="U82" s="65">
        <f>SUM(W82/30)</f>
        <v>42400.166666666664</v>
      </c>
      <c r="V82" s="62" t="s">
        <v>25941</v>
      </c>
      <c r="W82" s="65">
        <v>1272005</v>
      </c>
      <c r="X82" s="62">
        <v>0</v>
      </c>
      <c r="Y82" s="65">
        <v>84800</v>
      </c>
      <c r="Z82" s="73"/>
    </row>
    <row r="83" spans="1:26" ht="15.75" hidden="1" customHeight="1" x14ac:dyDescent="0.25">
      <c r="A83" s="67">
        <v>2</v>
      </c>
      <c r="B83" s="68">
        <v>71631019</v>
      </c>
      <c r="C83" s="68" t="s">
        <v>25289</v>
      </c>
      <c r="D83" s="68" t="s">
        <v>25290</v>
      </c>
      <c r="E83" s="68" t="s">
        <v>25141</v>
      </c>
      <c r="F83" s="68" t="s">
        <v>25291</v>
      </c>
      <c r="G83" s="81" t="s">
        <v>19285</v>
      </c>
      <c r="H83" s="69">
        <v>44964</v>
      </c>
      <c r="I83" s="69">
        <v>44965</v>
      </c>
      <c r="J83" s="68">
        <v>2</v>
      </c>
      <c r="K83" s="68">
        <v>2</v>
      </c>
      <c r="L83" s="68" t="s">
        <v>24995</v>
      </c>
      <c r="M83" s="68" t="s">
        <v>24995</v>
      </c>
      <c r="N83" s="62" t="s">
        <v>19269</v>
      </c>
      <c r="O83" s="68" t="s">
        <v>4711</v>
      </c>
      <c r="P83" s="42" t="str">
        <f>+IF(O83="","",IFERROR(VLOOKUP(O83,CODIGO_DIAGNOSTICO,2,0),"CÓDIGO NO ENCONTRADO"))</f>
        <v>DOLOR EN ARTICULACION</v>
      </c>
      <c r="Q83" s="68" t="s">
        <v>19230</v>
      </c>
      <c r="R83" s="67">
        <v>0</v>
      </c>
      <c r="S83" s="77"/>
      <c r="T83" s="76"/>
      <c r="U83" s="65">
        <f>SUM(W83/30)</f>
        <v>42400.166666666664</v>
      </c>
      <c r="V83" s="68" t="s">
        <v>25941</v>
      </c>
      <c r="W83" s="70">
        <v>1272005</v>
      </c>
      <c r="X83" s="68">
        <v>0</v>
      </c>
      <c r="Y83" s="70">
        <v>84800</v>
      </c>
      <c r="Z83" s="72"/>
    </row>
    <row r="84" spans="1:26" ht="15.75" hidden="1" customHeight="1" x14ac:dyDescent="0.25">
      <c r="A84" s="64">
        <v>2</v>
      </c>
      <c r="B84" s="62">
        <v>1040374058</v>
      </c>
      <c r="C84" s="62" t="s">
        <v>25079</v>
      </c>
      <c r="D84" s="62" t="s">
        <v>25298</v>
      </c>
      <c r="E84" s="62" t="s">
        <v>25299</v>
      </c>
      <c r="F84" s="62" t="s">
        <v>25010</v>
      </c>
      <c r="G84" s="81" t="s">
        <v>19285</v>
      </c>
      <c r="H84" s="63">
        <v>44964</v>
      </c>
      <c r="I84" s="63">
        <v>44965</v>
      </c>
      <c r="J84" s="62">
        <v>2</v>
      </c>
      <c r="K84" s="62">
        <v>2</v>
      </c>
      <c r="L84" s="62" t="s">
        <v>24995</v>
      </c>
      <c r="M84" s="62" t="s">
        <v>24995</v>
      </c>
      <c r="N84" s="62" t="s">
        <v>19269</v>
      </c>
      <c r="O84" s="62" t="s">
        <v>3338</v>
      </c>
      <c r="P84" s="42" t="str">
        <f>+IF(O84="","",IFERROR(VLOOKUP(O84,CODIGO_DIAGNOSTICO,2,0),"CÓDIGO NO ENCONTRADO"))</f>
        <v>OTROS TIPOS DE BLOQUEO AURICULOVENTRICULAR Y LOS NO ESPECIFICADOS</v>
      </c>
      <c r="Q84" s="62" t="s">
        <v>19230</v>
      </c>
      <c r="R84" s="64">
        <v>0</v>
      </c>
      <c r="S84" s="75"/>
      <c r="T84" s="75"/>
      <c r="U84" s="65">
        <f>SUM(W84/30)</f>
        <v>42400.166666666664</v>
      </c>
      <c r="V84" s="62" t="s">
        <v>25941</v>
      </c>
      <c r="W84" s="65">
        <v>1272005</v>
      </c>
      <c r="X84" s="62">
        <v>0</v>
      </c>
      <c r="Y84" s="65">
        <v>84800</v>
      </c>
      <c r="Z84" s="73"/>
    </row>
    <row r="85" spans="1:26" ht="15.75" hidden="1" customHeight="1" x14ac:dyDescent="0.25">
      <c r="A85" s="67">
        <v>2</v>
      </c>
      <c r="B85" s="68">
        <v>43600465</v>
      </c>
      <c r="C85" s="68" t="s">
        <v>25314</v>
      </c>
      <c r="D85" s="68" t="s">
        <v>25315</v>
      </c>
      <c r="E85" s="68" t="s">
        <v>25316</v>
      </c>
      <c r="F85" s="68" t="s">
        <v>25231</v>
      </c>
      <c r="G85" s="81" t="s">
        <v>19285</v>
      </c>
      <c r="H85" s="69">
        <v>44964</v>
      </c>
      <c r="I85" s="69">
        <v>44966</v>
      </c>
      <c r="J85" s="68">
        <v>3</v>
      </c>
      <c r="K85" s="68">
        <v>3</v>
      </c>
      <c r="L85" s="68" t="s">
        <v>24995</v>
      </c>
      <c r="M85" s="68" t="s">
        <v>24995</v>
      </c>
      <c r="N85" s="62" t="s">
        <v>19269</v>
      </c>
      <c r="O85" s="68" t="s">
        <v>7794</v>
      </c>
      <c r="P85" s="42" t="str">
        <f>+IF(O85="","",IFERROR(VLOOKUP(O85,CODIGO_DIAGNOSTICO,2,0),"CÓDIGO NO ENCONTRADO"))</f>
        <v>ESGUINCES Y TORCEDURAS DEL TOBILLO</v>
      </c>
      <c r="Q85" s="68" t="s">
        <v>26059</v>
      </c>
      <c r="R85" s="67"/>
      <c r="S85" s="77">
        <v>44974</v>
      </c>
      <c r="T85" s="76">
        <v>44978</v>
      </c>
      <c r="U85" s="65">
        <f>SUM(W85/30)</f>
        <v>42400.166666666664</v>
      </c>
      <c r="V85" s="68" t="s">
        <v>25941</v>
      </c>
      <c r="W85" s="70">
        <v>1272005</v>
      </c>
      <c r="X85" s="68">
        <v>0</v>
      </c>
      <c r="Y85" s="70">
        <v>84800</v>
      </c>
      <c r="Z85" s="72"/>
    </row>
    <row r="86" spans="1:26" ht="15.75" hidden="1" customHeight="1" x14ac:dyDescent="0.25">
      <c r="A86" s="64">
        <v>2</v>
      </c>
      <c r="B86" s="62">
        <v>1033340803</v>
      </c>
      <c r="C86" s="62" t="s">
        <v>25350</v>
      </c>
      <c r="D86" s="62" t="s">
        <v>25351</v>
      </c>
      <c r="E86" s="62" t="s">
        <v>25352</v>
      </c>
      <c r="F86" s="62"/>
      <c r="G86" s="81" t="s">
        <v>19285</v>
      </c>
      <c r="H86" s="63">
        <v>44964</v>
      </c>
      <c r="I86" s="63">
        <v>44964</v>
      </c>
      <c r="J86" s="62">
        <v>1</v>
      </c>
      <c r="K86" s="62">
        <v>1</v>
      </c>
      <c r="L86" s="62" t="s">
        <v>24995</v>
      </c>
      <c r="M86" s="62" t="s">
        <v>24995</v>
      </c>
      <c r="N86" s="62" t="s">
        <v>19269</v>
      </c>
      <c r="O86" s="62" t="s">
        <v>5226</v>
      </c>
      <c r="P86" s="42" t="str">
        <f>+IF(O86="","",IFERROR(VLOOKUP(O86,CODIGO_DIAGNOSTICO,2,0),"CÓDIGO NO ENCONTRADO"))</f>
        <v>COLICO RENAL, NO ESPECIFICADO</v>
      </c>
      <c r="Q86" s="62" t="s">
        <v>24996</v>
      </c>
      <c r="R86" s="64">
        <v>0</v>
      </c>
      <c r="S86" s="75"/>
      <c r="T86" s="75">
        <v>0</v>
      </c>
      <c r="U86" s="65">
        <f>SUM(W86/30)</f>
        <v>42400.166666666664</v>
      </c>
      <c r="V86" s="62" t="s">
        <v>25941</v>
      </c>
      <c r="W86" s="65">
        <v>1272005</v>
      </c>
      <c r="X86" s="62">
        <v>0</v>
      </c>
      <c r="Y86" s="65">
        <v>84800</v>
      </c>
      <c r="Z86" s="73"/>
    </row>
    <row r="87" spans="1:26" ht="15.75" hidden="1" customHeight="1" x14ac:dyDescent="0.25">
      <c r="A87" s="67">
        <v>2</v>
      </c>
      <c r="B87" s="68">
        <v>1003004629</v>
      </c>
      <c r="C87" s="68" t="s">
        <v>25614</v>
      </c>
      <c r="D87" s="68" t="s">
        <v>25631</v>
      </c>
      <c r="E87" s="68" t="s">
        <v>25183</v>
      </c>
      <c r="F87" s="68" t="s">
        <v>25010</v>
      </c>
      <c r="G87" s="81" t="s">
        <v>19285</v>
      </c>
      <c r="H87" s="69">
        <v>44964</v>
      </c>
      <c r="I87" s="69">
        <v>44982</v>
      </c>
      <c r="J87" s="68">
        <v>19</v>
      </c>
      <c r="K87" s="68">
        <v>19</v>
      </c>
      <c r="L87" s="68" t="s">
        <v>24995</v>
      </c>
      <c r="M87" s="68" t="s">
        <v>24995</v>
      </c>
      <c r="N87" s="62" t="s">
        <v>19269</v>
      </c>
      <c r="O87" s="68" t="s">
        <v>7734</v>
      </c>
      <c r="P87" s="42" t="str">
        <f>+IF(O87="","",IFERROR(VLOOKUP(O87,CODIGO_DIAGNOSTICO,2,0),"CÓDIGO NO ENCONTRADO"))</f>
        <v>DESGARRO DE MENISCOS, PRESENTE</v>
      </c>
      <c r="Q87" s="68" t="s">
        <v>19230</v>
      </c>
      <c r="R87" s="67"/>
      <c r="S87" s="77">
        <v>44966</v>
      </c>
      <c r="T87" s="76">
        <v>44985</v>
      </c>
      <c r="U87" s="65">
        <f>SUM(W87/30)</f>
        <v>42400.166666666664</v>
      </c>
      <c r="V87" s="68" t="s">
        <v>25941</v>
      </c>
      <c r="W87" s="70">
        <v>1272005</v>
      </c>
      <c r="X87" s="68">
        <v>0</v>
      </c>
      <c r="Y87" s="70">
        <v>84800</v>
      </c>
      <c r="Z87" s="72"/>
    </row>
    <row r="88" spans="1:26" ht="15.75" hidden="1" customHeight="1" x14ac:dyDescent="0.25">
      <c r="A88" s="64">
        <v>2</v>
      </c>
      <c r="B88" s="62">
        <v>8408459</v>
      </c>
      <c r="C88" s="62" t="s">
        <v>25284</v>
      </c>
      <c r="D88" s="62" t="s">
        <v>25164</v>
      </c>
      <c r="E88" s="62" t="s">
        <v>25334</v>
      </c>
      <c r="F88" s="62" t="s">
        <v>25103</v>
      </c>
      <c r="G88" s="81" t="s">
        <v>19285</v>
      </c>
      <c r="H88" s="63">
        <v>44965</v>
      </c>
      <c r="I88" s="63">
        <v>44969</v>
      </c>
      <c r="J88" s="62">
        <v>5</v>
      </c>
      <c r="K88" s="62">
        <v>5</v>
      </c>
      <c r="L88" s="62" t="s">
        <v>24995</v>
      </c>
      <c r="M88" s="62" t="s">
        <v>24995</v>
      </c>
      <c r="N88" s="62" t="s">
        <v>19269</v>
      </c>
      <c r="O88" s="62" t="s">
        <v>7546</v>
      </c>
      <c r="P88" s="42" t="str">
        <f>+IF(O88="","",IFERROR(VLOOKUP(O88,CODIGO_DIAGNOSTICO,2,0),"CÓDIGO NO ENCONTRADO"))</f>
        <v>CONTUSION DEL CODO</v>
      </c>
      <c r="Q88" s="62" t="s">
        <v>25025</v>
      </c>
      <c r="R88" s="64"/>
      <c r="S88" s="75">
        <v>44980</v>
      </c>
      <c r="T88" s="75">
        <v>44978</v>
      </c>
      <c r="U88" s="65">
        <f>SUM(W88/30)</f>
        <v>42400.166666666664</v>
      </c>
      <c r="V88" s="62" t="s">
        <v>25941</v>
      </c>
      <c r="W88" s="65">
        <v>1272005</v>
      </c>
      <c r="X88" s="62">
        <v>0</v>
      </c>
      <c r="Y88" s="65">
        <v>84800</v>
      </c>
      <c r="Z88" s="73"/>
    </row>
    <row r="89" spans="1:26" ht="15.75" hidden="1" customHeight="1" x14ac:dyDescent="0.25">
      <c r="A89" s="67">
        <v>2</v>
      </c>
      <c r="B89" s="68">
        <v>1033340803</v>
      </c>
      <c r="C89" s="68" t="s">
        <v>25350</v>
      </c>
      <c r="D89" s="68" t="s">
        <v>25351</v>
      </c>
      <c r="E89" s="68" t="s">
        <v>25352</v>
      </c>
      <c r="F89" s="68"/>
      <c r="G89" s="81" t="s">
        <v>19285</v>
      </c>
      <c r="H89" s="69">
        <v>44965</v>
      </c>
      <c r="I89" s="69">
        <v>44967</v>
      </c>
      <c r="J89" s="68">
        <v>3</v>
      </c>
      <c r="K89" s="68">
        <v>3</v>
      </c>
      <c r="L89" s="68" t="s">
        <v>19262</v>
      </c>
      <c r="M89" s="68" t="s">
        <v>24995</v>
      </c>
      <c r="N89" s="62" t="s">
        <v>19269</v>
      </c>
      <c r="O89" s="68" t="s">
        <v>5226</v>
      </c>
      <c r="P89" s="42" t="str">
        <f>+IF(O89="","",IFERROR(VLOOKUP(O89,CODIGO_DIAGNOSTICO,2,0),"CÓDIGO NO ENCONTRADO"))</f>
        <v>COLICO RENAL, NO ESPECIFICADO</v>
      </c>
      <c r="Q89" s="68" t="s">
        <v>24996</v>
      </c>
      <c r="R89" s="67"/>
      <c r="S89" s="77"/>
      <c r="T89" s="76"/>
      <c r="U89" s="65">
        <f>SUM(W89/30)</f>
        <v>42400.166666666664</v>
      </c>
      <c r="V89" s="68" t="s">
        <v>25941</v>
      </c>
      <c r="W89" s="70">
        <v>1272005</v>
      </c>
      <c r="X89" s="68">
        <v>0</v>
      </c>
      <c r="Y89" s="70">
        <v>84800</v>
      </c>
      <c r="Z89" s="72"/>
    </row>
    <row r="90" spans="1:26" ht="15.75" hidden="1" customHeight="1" x14ac:dyDescent="0.25">
      <c r="A90" s="64">
        <v>2</v>
      </c>
      <c r="B90" s="62">
        <v>70252687</v>
      </c>
      <c r="C90" s="62" t="s">
        <v>25340</v>
      </c>
      <c r="D90" s="62" t="s">
        <v>24998</v>
      </c>
      <c r="E90" s="62" t="s">
        <v>25359</v>
      </c>
      <c r="F90" s="62" t="s">
        <v>25020</v>
      </c>
      <c r="G90" s="81" t="s">
        <v>19285</v>
      </c>
      <c r="H90" s="63">
        <v>44965</v>
      </c>
      <c r="I90" s="63">
        <v>44966</v>
      </c>
      <c r="J90" s="62">
        <v>2</v>
      </c>
      <c r="K90" s="62">
        <v>2</v>
      </c>
      <c r="L90" s="62" t="s">
        <v>24995</v>
      </c>
      <c r="M90" s="62" t="s">
        <v>24995</v>
      </c>
      <c r="N90" s="62" t="s">
        <v>19269</v>
      </c>
      <c r="O90" s="62" t="s">
        <v>5279</v>
      </c>
      <c r="P90" s="42" t="str">
        <f>+IF(O90="","",IFERROR(VLOOKUP(O90,CODIGO_DIAGNOSTICO,2,0),"CÓDIGO NO ENCONTRADO"))</f>
        <v>INFECCION DE VIAS URINARIAS, SITIO NO ESPECIFICADO</v>
      </c>
      <c r="Q90" s="62" t="s">
        <v>19230</v>
      </c>
      <c r="R90" s="64">
        <v>0</v>
      </c>
      <c r="S90" s="75"/>
      <c r="T90" s="75"/>
      <c r="U90" s="65">
        <f>SUM(W90/30)</f>
        <v>42400.166666666664</v>
      </c>
      <c r="V90" s="62" t="s">
        <v>25941</v>
      </c>
      <c r="W90" s="65">
        <v>1272005</v>
      </c>
      <c r="X90" s="62">
        <v>0</v>
      </c>
      <c r="Y90" s="65">
        <v>84800</v>
      </c>
      <c r="Z90" s="73"/>
    </row>
    <row r="91" spans="1:26" ht="15.75" hidden="1" customHeight="1" x14ac:dyDescent="0.25">
      <c r="A91" s="67">
        <v>2</v>
      </c>
      <c r="B91" s="68">
        <v>8408459</v>
      </c>
      <c r="C91" s="68" t="s">
        <v>25284</v>
      </c>
      <c r="D91" s="68" t="s">
        <v>25164</v>
      </c>
      <c r="E91" s="68" t="s">
        <v>25334</v>
      </c>
      <c r="F91" s="68" t="s">
        <v>25103</v>
      </c>
      <c r="G91" s="81" t="s">
        <v>19285</v>
      </c>
      <c r="H91" s="69">
        <v>44965</v>
      </c>
      <c r="I91" s="69">
        <v>44969</v>
      </c>
      <c r="J91" s="68">
        <v>5</v>
      </c>
      <c r="K91" s="68">
        <v>5</v>
      </c>
      <c r="L91" s="68" t="s">
        <v>24995</v>
      </c>
      <c r="M91" s="68" t="s">
        <v>24995</v>
      </c>
      <c r="N91" s="62" t="s">
        <v>19269</v>
      </c>
      <c r="O91" s="68" t="s">
        <v>1373</v>
      </c>
      <c r="P91" s="42" t="str">
        <f>+IF(O91="","",IFERROR(VLOOKUP(O91,CODIGO_DIAGNOSTICO,2,0),"CÓDIGO NO ENCONTRADO"))</f>
        <v>TUMOR BENIGNO LIPOMATOSO, DE SITIO NO ESPECIFICADO</v>
      </c>
      <c r="Q91" s="68" t="s">
        <v>19230</v>
      </c>
      <c r="R91" s="67"/>
      <c r="S91" s="77">
        <v>44969</v>
      </c>
      <c r="T91" s="76">
        <v>44985</v>
      </c>
      <c r="U91" s="65">
        <f>SUM(W91/30)</f>
        <v>42400.166666666664</v>
      </c>
      <c r="V91" s="68" t="s">
        <v>25941</v>
      </c>
      <c r="W91" s="70">
        <v>1272005</v>
      </c>
      <c r="X91" s="68">
        <v>0</v>
      </c>
      <c r="Y91" s="70">
        <v>84800</v>
      </c>
      <c r="Z91" s="72"/>
    </row>
    <row r="92" spans="1:26" ht="15.75" hidden="1" customHeight="1" x14ac:dyDescent="0.25">
      <c r="A92" s="64">
        <v>2</v>
      </c>
      <c r="B92" s="62">
        <v>70252687</v>
      </c>
      <c r="C92" s="62" t="s">
        <v>25340</v>
      </c>
      <c r="D92" s="62" t="s">
        <v>24998</v>
      </c>
      <c r="E92" s="62" t="s">
        <v>25359</v>
      </c>
      <c r="F92" s="62" t="s">
        <v>25020</v>
      </c>
      <c r="G92" s="81" t="s">
        <v>19285</v>
      </c>
      <c r="H92" s="63">
        <v>44967</v>
      </c>
      <c r="I92" s="63">
        <v>44968</v>
      </c>
      <c r="J92" s="62">
        <v>2</v>
      </c>
      <c r="K92" s="62">
        <v>2</v>
      </c>
      <c r="L92" s="62" t="s">
        <v>19262</v>
      </c>
      <c r="M92" s="62" t="s">
        <v>24995</v>
      </c>
      <c r="N92" s="62" t="s">
        <v>19269</v>
      </c>
      <c r="O92" s="62" t="s">
        <v>5279</v>
      </c>
      <c r="P92" s="42" t="str">
        <f>+IF(O92="","",IFERROR(VLOOKUP(O92,CODIGO_DIAGNOSTICO,2,0),"CÓDIGO NO ENCONTRADO"))</f>
        <v>INFECCION DE VIAS URINARIAS, SITIO NO ESPECIFICADO</v>
      </c>
      <c r="Q92" s="62" t="s">
        <v>19230</v>
      </c>
      <c r="R92" s="64"/>
      <c r="S92" s="75">
        <v>44970</v>
      </c>
      <c r="T92" s="75">
        <v>44980</v>
      </c>
      <c r="U92" s="65">
        <f>SUM(W92/30)</f>
        <v>42400.166666666664</v>
      </c>
      <c r="V92" s="62" t="s">
        <v>25941</v>
      </c>
      <c r="W92" s="65">
        <v>1272005</v>
      </c>
      <c r="X92" s="62">
        <v>0</v>
      </c>
      <c r="Y92" s="65">
        <v>84800</v>
      </c>
      <c r="Z92" s="73"/>
    </row>
    <row r="93" spans="1:26" ht="15.75" hidden="1" customHeight="1" x14ac:dyDescent="0.25">
      <c r="A93" s="67">
        <v>2</v>
      </c>
      <c r="B93" s="68">
        <v>1017188829</v>
      </c>
      <c r="C93" s="68" t="s">
        <v>25309</v>
      </c>
      <c r="D93" s="68" t="s">
        <v>25310</v>
      </c>
      <c r="E93" s="68" t="s">
        <v>25311</v>
      </c>
      <c r="F93" s="68"/>
      <c r="G93" s="81" t="s">
        <v>19285</v>
      </c>
      <c r="H93" s="69">
        <v>44967</v>
      </c>
      <c r="I93" s="69">
        <v>44967</v>
      </c>
      <c r="J93" s="68">
        <v>1</v>
      </c>
      <c r="K93" s="68">
        <v>1</v>
      </c>
      <c r="L93" s="68" t="s">
        <v>24995</v>
      </c>
      <c r="M93" s="68" t="s">
        <v>24995</v>
      </c>
      <c r="N93" s="62" t="s">
        <v>19269</v>
      </c>
      <c r="O93" s="68" t="s">
        <v>3583</v>
      </c>
      <c r="P93" s="42" t="str">
        <f>+IF(O93="","",IFERROR(VLOOKUP(O93,CODIGO_DIAGNOSTICO,2,0),"CÓDIGO NO ENCONTRADO"))</f>
        <v>INFECCION AGUDA DE LAS VIAS RESPIRATORIAS SUPERIORES, NO ESPECIFICADA</v>
      </c>
      <c r="Q93" s="68" t="s">
        <v>19230</v>
      </c>
      <c r="R93" s="67">
        <v>0</v>
      </c>
      <c r="S93" s="77"/>
      <c r="T93" s="76"/>
      <c r="U93" s="65">
        <f>SUM(W93/30)</f>
        <v>61979.8</v>
      </c>
      <c r="V93" s="68" t="s">
        <v>25941</v>
      </c>
      <c r="W93" s="70">
        <v>1859394</v>
      </c>
      <c r="X93" s="68">
        <v>0</v>
      </c>
      <c r="Y93" s="70">
        <v>61980</v>
      </c>
      <c r="Z93" s="72"/>
    </row>
    <row r="94" spans="1:26" ht="15.75" hidden="1" customHeight="1" x14ac:dyDescent="0.25">
      <c r="A94" s="64">
        <v>2</v>
      </c>
      <c r="B94" s="62">
        <v>71795865</v>
      </c>
      <c r="C94" s="62" t="s">
        <v>25340</v>
      </c>
      <c r="D94" s="62" t="s">
        <v>25341</v>
      </c>
      <c r="E94" s="62" t="s">
        <v>25342</v>
      </c>
      <c r="F94" s="62"/>
      <c r="G94" s="81" t="s">
        <v>19285</v>
      </c>
      <c r="H94" s="63">
        <v>44967</v>
      </c>
      <c r="I94" s="63">
        <v>44969</v>
      </c>
      <c r="J94" s="62">
        <v>3</v>
      </c>
      <c r="K94" s="62">
        <v>3</v>
      </c>
      <c r="L94" s="62" t="s">
        <v>24995</v>
      </c>
      <c r="M94" s="62" t="s">
        <v>24995</v>
      </c>
      <c r="N94" s="62" t="s">
        <v>19269</v>
      </c>
      <c r="O94" s="62" t="s">
        <v>4695</v>
      </c>
      <c r="P94" s="42" t="str">
        <f>+IF(O94="","",IFERROR(VLOOKUP(O94,CODIGO_DIAGNOSTICO,2,0),"CÓDIGO NO ENCONTRADO"))</f>
        <v>TRASTORNOS INTERNO DE LA RODILLA, NO ESPECIFICADO</v>
      </c>
      <c r="Q94" s="62" t="s">
        <v>19230</v>
      </c>
      <c r="R94" s="64"/>
      <c r="S94" s="75">
        <v>44969</v>
      </c>
      <c r="T94" s="75">
        <v>44980</v>
      </c>
      <c r="U94" s="65">
        <f>SUM(W94/30)</f>
        <v>42400.166666666664</v>
      </c>
      <c r="V94" s="62" t="s">
        <v>25941</v>
      </c>
      <c r="W94" s="65">
        <v>1272005</v>
      </c>
      <c r="X94" s="62">
        <v>0</v>
      </c>
      <c r="Y94" s="65">
        <v>84800</v>
      </c>
      <c r="Z94" s="73"/>
    </row>
    <row r="95" spans="1:26" ht="15.75" hidden="1" customHeight="1" x14ac:dyDescent="0.25">
      <c r="A95" s="67">
        <v>2</v>
      </c>
      <c r="B95" s="68">
        <v>1040374058</v>
      </c>
      <c r="C95" s="68" t="s">
        <v>25079</v>
      </c>
      <c r="D95" s="68" t="s">
        <v>25298</v>
      </c>
      <c r="E95" s="68" t="s">
        <v>25299</v>
      </c>
      <c r="F95" s="68" t="s">
        <v>25010</v>
      </c>
      <c r="G95" s="81" t="s">
        <v>19285</v>
      </c>
      <c r="H95" s="69">
        <v>44967</v>
      </c>
      <c r="I95" s="69">
        <v>44968</v>
      </c>
      <c r="J95" s="68">
        <v>2</v>
      </c>
      <c r="K95" s="68">
        <v>2</v>
      </c>
      <c r="L95" s="68" t="s">
        <v>24995</v>
      </c>
      <c r="M95" s="68" t="s">
        <v>24995</v>
      </c>
      <c r="N95" s="62" t="s">
        <v>19269</v>
      </c>
      <c r="O95" s="68" t="s">
        <v>6929</v>
      </c>
      <c r="P95" s="42" t="str">
        <f>+IF(O95="","",IFERROR(VLOOKUP(O95,CODIGO_DIAGNOSTICO,2,0),"CÓDIGO NO ENCONTRADO"))</f>
        <v>DOLOR EN EL PECHO, NO ESPECIFICADO</v>
      </c>
      <c r="Q95" s="68" t="s">
        <v>19230</v>
      </c>
      <c r="R95" s="67">
        <v>0</v>
      </c>
      <c r="S95" s="77"/>
      <c r="T95" s="76"/>
      <c r="U95" s="65">
        <f>SUM(W95/30)</f>
        <v>42400.166666666664</v>
      </c>
      <c r="V95" s="68" t="s">
        <v>25941</v>
      </c>
      <c r="W95" s="70">
        <v>1272005</v>
      </c>
      <c r="X95" s="68">
        <v>0</v>
      </c>
      <c r="Y95" s="70">
        <v>84800</v>
      </c>
      <c r="Z95" s="72"/>
    </row>
    <row r="96" spans="1:26" ht="15.75" hidden="1" customHeight="1" x14ac:dyDescent="0.25">
      <c r="A96" s="64">
        <v>2</v>
      </c>
      <c r="B96" s="62">
        <v>71794185</v>
      </c>
      <c r="C96" s="62" t="s">
        <v>25331</v>
      </c>
      <c r="D96" s="62" t="s">
        <v>25332</v>
      </c>
      <c r="E96" s="62" t="s">
        <v>25056</v>
      </c>
      <c r="F96" s="62" t="s">
        <v>25333</v>
      </c>
      <c r="G96" s="81" t="s">
        <v>19285</v>
      </c>
      <c r="H96" s="63">
        <v>44968</v>
      </c>
      <c r="I96" s="63">
        <v>44969</v>
      </c>
      <c r="J96" s="62">
        <v>2</v>
      </c>
      <c r="K96" s="62">
        <v>2</v>
      </c>
      <c r="L96" s="62" t="s">
        <v>24995</v>
      </c>
      <c r="M96" s="62" t="s">
        <v>24995</v>
      </c>
      <c r="N96" s="62" t="s">
        <v>19269</v>
      </c>
      <c r="O96" s="62" t="s">
        <v>539</v>
      </c>
      <c r="P96" s="42" t="str">
        <f>+IF(O96="","",IFERROR(VLOOKUP(O96,CODIGO_DIAGNOSTICO,2,0),"CÓDIGO NO ENCONTRADO"))</f>
        <v>INFECCION VIRAL, NO ESPECIFICADA</v>
      </c>
      <c r="Q96" s="62" t="s">
        <v>19230</v>
      </c>
      <c r="R96" s="64">
        <v>0</v>
      </c>
      <c r="S96" s="75"/>
      <c r="T96" s="75"/>
      <c r="U96" s="65">
        <f>SUM(W96/30)</f>
        <v>42400.166666666664</v>
      </c>
      <c r="V96" s="62" t="s">
        <v>25941</v>
      </c>
      <c r="W96" s="65">
        <v>1272005</v>
      </c>
      <c r="X96" s="62">
        <v>0</v>
      </c>
      <c r="Y96" s="65">
        <v>84800</v>
      </c>
      <c r="Z96" s="73"/>
    </row>
    <row r="97" spans="1:26" ht="15.75" hidden="1" customHeight="1" x14ac:dyDescent="0.25">
      <c r="A97" s="67">
        <v>2</v>
      </c>
      <c r="B97" s="68">
        <v>91002376</v>
      </c>
      <c r="C97" s="68" t="s">
        <v>25289</v>
      </c>
      <c r="D97" s="68" t="s">
        <v>25098</v>
      </c>
      <c r="E97" s="68" t="s">
        <v>25099</v>
      </c>
      <c r="F97" s="68"/>
      <c r="G97" s="81" t="s">
        <v>19285</v>
      </c>
      <c r="H97" s="69">
        <v>44968</v>
      </c>
      <c r="I97" s="69">
        <v>44969</v>
      </c>
      <c r="J97" s="68">
        <v>2</v>
      </c>
      <c r="K97" s="68">
        <v>2</v>
      </c>
      <c r="L97" s="68" t="s">
        <v>24995</v>
      </c>
      <c r="M97" s="68" t="s">
        <v>24995</v>
      </c>
      <c r="N97" s="62" t="s">
        <v>19269</v>
      </c>
      <c r="O97" s="68" t="s">
        <v>3572</v>
      </c>
      <c r="P97" s="42" t="str">
        <f>+IF(O97="","",IFERROR(VLOOKUP(O97,CODIGO_DIAGNOSTICO,2,0),"CÓDIGO NO ENCONTRADO"))</f>
        <v>FARINGITIS AGUDA, NO ESPECIFICADA</v>
      </c>
      <c r="Q97" s="68" t="s">
        <v>24996</v>
      </c>
      <c r="R97" s="67">
        <v>0</v>
      </c>
      <c r="S97" s="77"/>
      <c r="T97" s="76"/>
      <c r="U97" s="65">
        <f>SUM(W97/30)</f>
        <v>42400.166666666664</v>
      </c>
      <c r="V97" s="68" t="s">
        <v>25941</v>
      </c>
      <c r="W97" s="70">
        <v>1272005</v>
      </c>
      <c r="X97" s="68">
        <v>0</v>
      </c>
      <c r="Y97" s="70">
        <v>84800</v>
      </c>
      <c r="Z97" s="72"/>
    </row>
    <row r="98" spans="1:26" ht="15.75" hidden="1" customHeight="1" x14ac:dyDescent="0.25">
      <c r="A98" s="64">
        <v>2</v>
      </c>
      <c r="B98" s="62">
        <v>70252687</v>
      </c>
      <c r="C98" s="62" t="s">
        <v>25340</v>
      </c>
      <c r="D98" s="62" t="s">
        <v>24998</v>
      </c>
      <c r="E98" s="62" t="s">
        <v>25359</v>
      </c>
      <c r="F98" s="62" t="s">
        <v>25020</v>
      </c>
      <c r="G98" s="81" t="s">
        <v>19285</v>
      </c>
      <c r="H98" s="63">
        <v>44969</v>
      </c>
      <c r="I98" s="63">
        <v>44971</v>
      </c>
      <c r="J98" s="62">
        <v>3</v>
      </c>
      <c r="K98" s="62">
        <v>3</v>
      </c>
      <c r="L98" s="62" t="s">
        <v>24995</v>
      </c>
      <c r="M98" s="62" t="s">
        <v>24995</v>
      </c>
      <c r="N98" s="62" t="s">
        <v>19269</v>
      </c>
      <c r="O98" s="62" t="s">
        <v>5287</v>
      </c>
      <c r="P98" s="42" t="str">
        <f>+IF(O98="","",IFERROR(VLOOKUP(O98,CODIGO_DIAGNOSTICO,2,0),"CÓDIGO NO ENCONTRADO"))</f>
        <v>PROSTATITIS AGUDA</v>
      </c>
      <c r="Q98" s="62" t="s">
        <v>19230</v>
      </c>
      <c r="R98" s="64"/>
      <c r="S98" s="75">
        <v>44972</v>
      </c>
      <c r="T98" s="75">
        <v>44980</v>
      </c>
      <c r="U98" s="65">
        <f>SUM(W98/30)</f>
        <v>42400.166666666664</v>
      </c>
      <c r="V98" s="62" t="s">
        <v>25941</v>
      </c>
      <c r="W98" s="65">
        <v>1272005</v>
      </c>
      <c r="X98" s="62">
        <v>0</v>
      </c>
      <c r="Y98" s="65">
        <v>84800</v>
      </c>
      <c r="Z98" s="73"/>
    </row>
    <row r="99" spans="1:26" ht="15.75" hidden="1" customHeight="1" x14ac:dyDescent="0.25">
      <c r="A99" s="67">
        <v>2</v>
      </c>
      <c r="B99" s="68">
        <v>15309929</v>
      </c>
      <c r="C99" s="68" t="s">
        <v>25047</v>
      </c>
      <c r="D99" s="68" t="s">
        <v>25214</v>
      </c>
      <c r="E99" s="68" t="s">
        <v>25048</v>
      </c>
      <c r="F99" s="68" t="s">
        <v>25014</v>
      </c>
      <c r="G99" s="81" t="s">
        <v>19285</v>
      </c>
      <c r="H99" s="69">
        <v>44970</v>
      </c>
      <c r="I99" s="69">
        <v>44984</v>
      </c>
      <c r="J99" s="68">
        <v>15</v>
      </c>
      <c r="K99" s="68">
        <v>15</v>
      </c>
      <c r="L99" s="68" t="s">
        <v>19262</v>
      </c>
      <c r="M99" s="68" t="s">
        <v>19262</v>
      </c>
      <c r="N99" s="62" t="s">
        <v>19269</v>
      </c>
      <c r="O99" s="68" t="s">
        <v>7734</v>
      </c>
      <c r="P99" s="42" t="str">
        <f>+IF(O99="","",IFERROR(VLOOKUP(O99,CODIGO_DIAGNOSTICO,2,0),"CÓDIGO NO ENCONTRADO"))</f>
        <v>DESGARRO DE MENISCOS, PRESENTE</v>
      </c>
      <c r="Q99" s="68" t="s">
        <v>19230</v>
      </c>
      <c r="R99" s="67"/>
      <c r="S99" s="77">
        <v>44972</v>
      </c>
      <c r="T99" s="76">
        <v>44980</v>
      </c>
      <c r="U99" s="65">
        <f>SUM(W99/30)</f>
        <v>42400.166666666664</v>
      </c>
      <c r="V99" s="68" t="s">
        <v>25941</v>
      </c>
      <c r="W99" s="70">
        <v>1272005</v>
      </c>
      <c r="X99" s="68">
        <v>0</v>
      </c>
      <c r="Y99" s="70">
        <v>84800</v>
      </c>
      <c r="Z99" s="72"/>
    </row>
    <row r="100" spans="1:26" ht="15.75" hidden="1" customHeight="1" x14ac:dyDescent="0.25">
      <c r="A100" s="64">
        <v>2</v>
      </c>
      <c r="B100" s="62">
        <v>1036622798</v>
      </c>
      <c r="C100" s="62" t="s">
        <v>25136</v>
      </c>
      <c r="D100" s="62" t="s">
        <v>25137</v>
      </c>
      <c r="E100" s="62" t="s">
        <v>25138</v>
      </c>
      <c r="F100" s="62" t="s">
        <v>25339</v>
      </c>
      <c r="G100" s="81" t="s">
        <v>19285</v>
      </c>
      <c r="H100" s="63">
        <v>44971</v>
      </c>
      <c r="I100" s="63">
        <v>44987</v>
      </c>
      <c r="J100" s="62">
        <v>17</v>
      </c>
      <c r="K100" s="62">
        <v>15</v>
      </c>
      <c r="L100" s="62" t="s">
        <v>19262</v>
      </c>
      <c r="M100" s="62" t="s">
        <v>19262</v>
      </c>
      <c r="N100" s="62" t="s">
        <v>19269</v>
      </c>
      <c r="O100" s="62" t="s">
        <v>7826</v>
      </c>
      <c r="P100" s="42" t="str">
        <f>+IF(O100="","",IFERROR(VLOOKUP(O100,CODIGO_DIAGNOSTICO,2,0),"CÓDIGO NO ENCONTRADO"))</f>
        <v>TRAUMATISMO DEL PIE Y DEL TOBILLO, NO ESPECIFICADO</v>
      </c>
      <c r="Q100" s="62" t="s">
        <v>19230</v>
      </c>
      <c r="R100" s="64"/>
      <c r="S100" s="75">
        <v>45063</v>
      </c>
      <c r="T100" s="75">
        <v>44980</v>
      </c>
      <c r="U100" s="65">
        <f>SUM(W100/30)</f>
        <v>42400.166666666664</v>
      </c>
      <c r="V100" s="62" t="s">
        <v>25941</v>
      </c>
      <c r="W100" s="65">
        <v>1272005</v>
      </c>
      <c r="X100" s="62">
        <v>0</v>
      </c>
      <c r="Y100" s="65">
        <v>84800</v>
      </c>
      <c r="Z100" s="73"/>
    </row>
    <row r="101" spans="1:26" ht="15.75" hidden="1" customHeight="1" x14ac:dyDescent="0.25">
      <c r="A101" s="67">
        <v>2</v>
      </c>
      <c r="B101" s="68">
        <v>70323164</v>
      </c>
      <c r="C101" s="68" t="s">
        <v>25145</v>
      </c>
      <c r="D101" s="68" t="s">
        <v>25062</v>
      </c>
      <c r="E101" s="68" t="s">
        <v>25188</v>
      </c>
      <c r="F101" s="68" t="s">
        <v>25146</v>
      </c>
      <c r="G101" s="81" t="s">
        <v>19285</v>
      </c>
      <c r="H101" s="69">
        <v>44971</v>
      </c>
      <c r="I101" s="69">
        <v>44614</v>
      </c>
      <c r="J101" s="68">
        <v>9</v>
      </c>
      <c r="K101" s="68">
        <v>9</v>
      </c>
      <c r="L101" s="68" t="s">
        <v>19262</v>
      </c>
      <c r="M101" s="68" t="s">
        <v>19262</v>
      </c>
      <c r="N101" s="62" t="s">
        <v>19269</v>
      </c>
      <c r="O101" s="68" t="s">
        <v>89</v>
      </c>
      <c r="P101" s="42" t="str">
        <f>+IF(O101="","",IFERROR(VLOOKUP(O101,CODIGO_DIAGNOSTICO,2,0),"CÓDIGO NO ENCONTRADO"))</f>
        <v>TUBERCULOSIS DEL PULMON, CONFIRMADA POR HALLAZGO MICROSCOPICO DEL BACILO TUBERCULOSO EN ESPUTO, CON O SIN CULTIVO</v>
      </c>
      <c r="Q101" s="68" t="s">
        <v>19230</v>
      </c>
      <c r="R101" s="67"/>
      <c r="S101" s="77"/>
      <c r="T101" s="76"/>
      <c r="U101" s="65">
        <f>SUM(W101/30)</f>
        <v>42400.166666666664</v>
      </c>
      <c r="V101" s="68" t="s">
        <v>25941</v>
      </c>
      <c r="W101" s="70">
        <v>1272005</v>
      </c>
      <c r="X101" s="68">
        <v>0</v>
      </c>
      <c r="Y101" s="70">
        <v>84800</v>
      </c>
      <c r="Z101" s="72"/>
    </row>
    <row r="102" spans="1:26" ht="15.75" hidden="1" customHeight="1" x14ac:dyDescent="0.25">
      <c r="A102" s="64">
        <v>2</v>
      </c>
      <c r="B102" s="62">
        <v>1152450999</v>
      </c>
      <c r="C102" s="62" t="s">
        <v>25269</v>
      </c>
      <c r="D102" s="62" t="s">
        <v>25098</v>
      </c>
      <c r="E102" s="62" t="s">
        <v>25344</v>
      </c>
      <c r="F102" s="62" t="s">
        <v>25283</v>
      </c>
      <c r="G102" s="81" t="s">
        <v>19285</v>
      </c>
      <c r="H102" s="63">
        <v>44971</v>
      </c>
      <c r="I102" s="63">
        <v>44973</v>
      </c>
      <c r="J102" s="62">
        <v>3</v>
      </c>
      <c r="K102" s="62">
        <v>3</v>
      </c>
      <c r="L102" s="62" t="s">
        <v>24995</v>
      </c>
      <c r="M102" s="62" t="s">
        <v>24995</v>
      </c>
      <c r="N102" s="62" t="s">
        <v>19269</v>
      </c>
      <c r="O102" s="62" t="s">
        <v>3803</v>
      </c>
      <c r="P102" s="42" t="str">
        <f>+IF(O102="","",IFERROR(VLOOKUP(O102,CODIGO_DIAGNOSTICO,2,0),"CÓDIGO NO ENCONTRADO"))</f>
        <v>DIENTES INCLUIDOS</v>
      </c>
      <c r="Q102" s="62" t="s">
        <v>19230</v>
      </c>
      <c r="R102" s="64"/>
      <c r="S102" s="75">
        <v>44974</v>
      </c>
      <c r="T102" s="75">
        <v>44980</v>
      </c>
      <c r="U102" s="65">
        <f>SUM(W102/30)</f>
        <v>42400.166666666664</v>
      </c>
      <c r="V102" s="62" t="s">
        <v>25941</v>
      </c>
      <c r="W102" s="65">
        <v>1272005</v>
      </c>
      <c r="X102" s="62">
        <v>0</v>
      </c>
      <c r="Y102" s="65">
        <v>84800</v>
      </c>
      <c r="Z102" s="73"/>
    </row>
    <row r="103" spans="1:26" ht="15.75" hidden="1" customHeight="1" x14ac:dyDescent="0.25">
      <c r="A103" s="67">
        <v>2</v>
      </c>
      <c r="B103" s="68">
        <v>43923149</v>
      </c>
      <c r="C103" s="68" t="s">
        <v>25353</v>
      </c>
      <c r="D103" s="68" t="s">
        <v>25303</v>
      </c>
      <c r="E103" s="68" t="s">
        <v>25354</v>
      </c>
      <c r="F103" s="68" t="s">
        <v>25231</v>
      </c>
      <c r="G103" s="81" t="s">
        <v>19285</v>
      </c>
      <c r="H103" s="69">
        <v>44972</v>
      </c>
      <c r="I103" s="69">
        <v>44974</v>
      </c>
      <c r="J103" s="68">
        <v>3</v>
      </c>
      <c r="K103" s="68">
        <v>3</v>
      </c>
      <c r="L103" s="68" t="s">
        <v>24995</v>
      </c>
      <c r="M103" s="68" t="s">
        <v>24995</v>
      </c>
      <c r="N103" s="62" t="s">
        <v>19269</v>
      </c>
      <c r="O103" s="68" t="s">
        <v>7236</v>
      </c>
      <c r="P103" s="42" t="str">
        <f>+IF(O103="","",IFERROR(VLOOKUP(O103,CODIGO_DIAGNOSTICO,2,0),"CÓDIGO NO ENCONTRADO"))</f>
        <v>TRAUMATISMOS SUPERFICIALES MULTIPLES DE LA CABEZA</v>
      </c>
      <c r="Q103" s="68" t="s">
        <v>25025</v>
      </c>
      <c r="R103" s="67"/>
      <c r="S103" s="77"/>
      <c r="T103" s="76"/>
      <c r="U103" s="65">
        <f>SUM(W103/30)</f>
        <v>42400.166666666664</v>
      </c>
      <c r="V103" s="68" t="s">
        <v>25941</v>
      </c>
      <c r="W103" s="70">
        <v>1272005</v>
      </c>
      <c r="X103" s="68">
        <v>0</v>
      </c>
      <c r="Y103" s="70">
        <v>84800</v>
      </c>
      <c r="Z103" s="72"/>
    </row>
    <row r="104" spans="1:26" ht="15.75" hidden="1" customHeight="1" x14ac:dyDescent="0.25">
      <c r="A104" s="64">
        <v>2</v>
      </c>
      <c r="B104" s="62">
        <v>71794185</v>
      </c>
      <c r="C104" s="62" t="s">
        <v>25355</v>
      </c>
      <c r="D104" s="62" t="s">
        <v>25356</v>
      </c>
      <c r="E104" s="62" t="s">
        <v>25056</v>
      </c>
      <c r="F104" s="62" t="s">
        <v>25110</v>
      </c>
      <c r="G104" s="81" t="s">
        <v>19285</v>
      </c>
      <c r="H104" s="63">
        <v>44972</v>
      </c>
      <c r="I104" s="63">
        <v>44973</v>
      </c>
      <c r="J104" s="62">
        <v>2</v>
      </c>
      <c r="K104" s="62">
        <v>2</v>
      </c>
      <c r="L104" s="62" t="s">
        <v>24995</v>
      </c>
      <c r="M104" s="62" t="s">
        <v>24995</v>
      </c>
      <c r="N104" s="62" t="s">
        <v>19269</v>
      </c>
      <c r="O104" s="62" t="s">
        <v>15281</v>
      </c>
      <c r="P104" s="42" t="str">
        <f>+IF(O104="","",IFERROR(VLOOKUP(O104,CODIGO_DIAGNOSTICO,2,0),"CÓDIGO NO ENCONTRADO"))</f>
        <v>RINOFARINGITIS AGUDA (RESFRIADO COMUN)</v>
      </c>
      <c r="Q104" s="62" t="s">
        <v>19230</v>
      </c>
      <c r="R104" s="64">
        <v>0</v>
      </c>
      <c r="S104" s="75"/>
      <c r="T104" s="75"/>
      <c r="U104" s="65">
        <f>SUM(W104/30)</f>
        <v>42400.166666666664</v>
      </c>
      <c r="V104" s="62" t="s">
        <v>25941</v>
      </c>
      <c r="W104" s="65">
        <v>1272005</v>
      </c>
      <c r="X104" s="62">
        <v>0</v>
      </c>
      <c r="Y104" s="65">
        <v>84800</v>
      </c>
      <c r="Z104" s="73"/>
    </row>
    <row r="105" spans="1:26" ht="15.75" hidden="1" customHeight="1" x14ac:dyDescent="0.25">
      <c r="A105" s="67">
        <v>2</v>
      </c>
      <c r="B105" s="68">
        <v>70252687</v>
      </c>
      <c r="C105" s="68" t="s">
        <v>25340</v>
      </c>
      <c r="D105" s="68" t="s">
        <v>24998</v>
      </c>
      <c r="E105" s="68" t="s">
        <v>25359</v>
      </c>
      <c r="F105" s="68" t="s">
        <v>25465</v>
      </c>
      <c r="G105" s="81" t="s">
        <v>19285</v>
      </c>
      <c r="H105" s="69">
        <v>44972</v>
      </c>
      <c r="I105" s="69">
        <v>44974</v>
      </c>
      <c r="J105" s="68">
        <v>3</v>
      </c>
      <c r="K105" s="68">
        <v>3</v>
      </c>
      <c r="L105" s="68" t="s">
        <v>19262</v>
      </c>
      <c r="M105" s="68" t="s">
        <v>24995</v>
      </c>
      <c r="N105" s="62" t="s">
        <v>19269</v>
      </c>
      <c r="O105" s="68" t="s">
        <v>5286</v>
      </c>
      <c r="P105" s="42" t="str">
        <f>+IF(O105="","",IFERROR(VLOOKUP(O105,CODIGO_DIAGNOSTICO,2,0),"CÓDIGO NO ENCONTRADO"))</f>
        <v>HIPERPLASIA DE LA PROSTATA</v>
      </c>
      <c r="Q105" s="68" t="s">
        <v>19230</v>
      </c>
      <c r="R105" s="67"/>
      <c r="S105" s="77">
        <v>44974</v>
      </c>
      <c r="T105" s="76">
        <v>44992</v>
      </c>
      <c r="U105" s="65">
        <f>SUM(W105/30)</f>
        <v>42400.166666666664</v>
      </c>
      <c r="V105" s="68" t="s">
        <v>25941</v>
      </c>
      <c r="W105" s="70">
        <v>1272005</v>
      </c>
      <c r="X105" s="68">
        <v>0</v>
      </c>
      <c r="Y105" s="70">
        <v>84800</v>
      </c>
      <c r="Z105" s="72"/>
    </row>
    <row r="106" spans="1:26" ht="15.75" hidden="1" customHeight="1" x14ac:dyDescent="0.25">
      <c r="A106" s="64">
        <v>2</v>
      </c>
      <c r="B106" s="62">
        <v>70568787</v>
      </c>
      <c r="C106" s="62" t="s">
        <v>25948</v>
      </c>
      <c r="D106" s="62" t="s">
        <v>25230</v>
      </c>
      <c r="E106" s="62" t="s">
        <v>25255</v>
      </c>
      <c r="F106" s="62" t="s">
        <v>24986</v>
      </c>
      <c r="G106" s="81" t="s">
        <v>19285</v>
      </c>
      <c r="H106" s="63">
        <v>44973</v>
      </c>
      <c r="I106" s="63">
        <v>44975</v>
      </c>
      <c r="J106" s="62">
        <v>3</v>
      </c>
      <c r="K106" s="62">
        <v>3</v>
      </c>
      <c r="L106" s="62" t="s">
        <v>24995</v>
      </c>
      <c r="M106" s="62" t="s">
        <v>24995</v>
      </c>
      <c r="N106" s="62" t="s">
        <v>19269</v>
      </c>
      <c r="O106" s="62" t="s">
        <v>5287</v>
      </c>
      <c r="P106" s="42" t="str">
        <f>+IF(O106="","",IFERROR(VLOOKUP(O106,CODIGO_DIAGNOSTICO,2,0),"CÓDIGO NO ENCONTRADO"))</f>
        <v>PROSTATITIS AGUDA</v>
      </c>
      <c r="Q106" s="62" t="s">
        <v>19230</v>
      </c>
      <c r="R106" s="64"/>
      <c r="S106" s="75">
        <v>44975</v>
      </c>
      <c r="T106" s="75">
        <v>44985</v>
      </c>
      <c r="U106" s="65">
        <f>SUM(W106/30)</f>
        <v>42400.166666666664</v>
      </c>
      <c r="V106" s="62" t="s">
        <v>25941</v>
      </c>
      <c r="W106" s="65">
        <v>1272005</v>
      </c>
      <c r="X106" s="62">
        <v>0</v>
      </c>
      <c r="Y106" s="65">
        <v>84800</v>
      </c>
      <c r="Z106" s="73"/>
    </row>
    <row r="107" spans="1:26" ht="15.75" hidden="1" customHeight="1" x14ac:dyDescent="0.25">
      <c r="A107" s="67">
        <v>2</v>
      </c>
      <c r="B107" s="68">
        <v>3669363</v>
      </c>
      <c r="C107" s="68" t="s">
        <v>19286</v>
      </c>
      <c r="D107" s="68" t="s">
        <v>24983</v>
      </c>
      <c r="E107" s="68" t="s">
        <v>19287</v>
      </c>
      <c r="F107" s="68" t="s">
        <v>25103</v>
      </c>
      <c r="G107" s="81" t="s">
        <v>19285</v>
      </c>
      <c r="H107" s="69">
        <v>44973</v>
      </c>
      <c r="I107" s="69">
        <v>44977</v>
      </c>
      <c r="J107" s="68">
        <v>5</v>
      </c>
      <c r="K107" s="68">
        <v>5</v>
      </c>
      <c r="L107" s="68" t="s">
        <v>19262</v>
      </c>
      <c r="M107" s="68" t="s">
        <v>19262</v>
      </c>
      <c r="N107" s="62" t="s">
        <v>19269</v>
      </c>
      <c r="O107" s="68" t="s">
        <v>4646</v>
      </c>
      <c r="P107" s="42" t="str">
        <f>+IF(O107="","",IFERROR(VLOOKUP(O107,CODIGO_DIAGNOSTICO,2,0),"CÓDIGO NO ENCONTRADO"))</f>
        <v>GONARTROSIS POSTRAUMATICA, BILATERAL</v>
      </c>
      <c r="Q107" s="68" t="s">
        <v>19230</v>
      </c>
      <c r="R107" s="67"/>
      <c r="S107" s="77"/>
      <c r="T107" s="76"/>
      <c r="U107" s="65">
        <f>SUM(W107/30)</f>
        <v>42400.166666666664</v>
      </c>
      <c r="V107" s="68" t="s">
        <v>25941</v>
      </c>
      <c r="W107" s="70">
        <v>1272005</v>
      </c>
      <c r="X107" s="68">
        <v>0</v>
      </c>
      <c r="Y107" s="70">
        <v>84800</v>
      </c>
      <c r="Z107" s="72"/>
    </row>
    <row r="108" spans="1:26" ht="15.75" hidden="1" customHeight="1" x14ac:dyDescent="0.25">
      <c r="A108" s="64">
        <v>2</v>
      </c>
      <c r="B108" s="62">
        <v>43923149</v>
      </c>
      <c r="C108" s="62" t="s">
        <v>25353</v>
      </c>
      <c r="D108" s="62" t="s">
        <v>25303</v>
      </c>
      <c r="E108" s="62" t="s">
        <v>25354</v>
      </c>
      <c r="F108" s="62" t="s">
        <v>25231</v>
      </c>
      <c r="G108" s="81" t="s">
        <v>19285</v>
      </c>
      <c r="H108" s="63">
        <v>44973</v>
      </c>
      <c r="I108" s="63">
        <v>44982</v>
      </c>
      <c r="J108" s="62">
        <v>10</v>
      </c>
      <c r="K108" s="62">
        <v>10</v>
      </c>
      <c r="L108" s="62" t="s">
        <v>24995</v>
      </c>
      <c r="M108" s="62" t="s">
        <v>24995</v>
      </c>
      <c r="N108" s="62" t="s">
        <v>19269</v>
      </c>
      <c r="O108" s="62" t="s">
        <v>7306</v>
      </c>
      <c r="P108" s="42" t="str">
        <f>+IF(O108="","",IFERROR(VLOOKUP(O108,CODIGO_DIAGNOSTICO,2,0),"CÓDIGO NO ENCONTRADO"))</f>
        <v>OTROS TRAUMATISMOS DE LA CABEZA, ESPECIFICADOS</v>
      </c>
      <c r="Q108" s="62" t="s">
        <v>25025</v>
      </c>
      <c r="R108" s="64"/>
      <c r="S108" s="75">
        <v>44980</v>
      </c>
      <c r="T108" s="75">
        <v>45037</v>
      </c>
      <c r="U108" s="65">
        <f>SUM(W108/30)</f>
        <v>42400.166666666664</v>
      </c>
      <c r="V108" s="62" t="s">
        <v>25941</v>
      </c>
      <c r="W108" s="65">
        <v>1272005</v>
      </c>
      <c r="X108" s="62">
        <v>0</v>
      </c>
      <c r="Y108" s="65">
        <v>84800</v>
      </c>
      <c r="Z108" s="73"/>
    </row>
    <row r="109" spans="1:26" ht="15.75" hidden="1" customHeight="1" x14ac:dyDescent="0.25">
      <c r="A109" s="67">
        <v>2</v>
      </c>
      <c r="B109" s="68">
        <v>43923149</v>
      </c>
      <c r="C109" s="68" t="s">
        <v>25353</v>
      </c>
      <c r="D109" s="68" t="s">
        <v>25303</v>
      </c>
      <c r="E109" s="68" t="s">
        <v>25354</v>
      </c>
      <c r="F109" s="68" t="s">
        <v>25258</v>
      </c>
      <c r="G109" s="81" t="s">
        <v>19285</v>
      </c>
      <c r="H109" s="69">
        <v>44973</v>
      </c>
      <c r="I109" s="69">
        <v>44982</v>
      </c>
      <c r="J109" s="68">
        <v>10</v>
      </c>
      <c r="K109" s="68">
        <v>10</v>
      </c>
      <c r="L109" s="68" t="s">
        <v>24995</v>
      </c>
      <c r="M109" s="68" t="s">
        <v>24995</v>
      </c>
      <c r="N109" s="62" t="s">
        <v>19269</v>
      </c>
      <c r="O109" s="68" t="s">
        <v>4695</v>
      </c>
      <c r="P109" s="42" t="str">
        <f>+IF(O109="","",IFERROR(VLOOKUP(O109,CODIGO_DIAGNOSTICO,2,0),"CÓDIGO NO ENCONTRADO"))</f>
        <v>TRASTORNOS INTERNO DE LA RODILLA, NO ESPECIFICADO</v>
      </c>
      <c r="Q109" s="68" t="s">
        <v>19231</v>
      </c>
      <c r="R109" s="67"/>
      <c r="S109" s="77">
        <v>44983</v>
      </c>
      <c r="T109" s="76">
        <v>45037</v>
      </c>
      <c r="U109" s="65">
        <f>SUM(W109/30)</f>
        <v>42400.166666666664</v>
      </c>
      <c r="V109" s="68" t="s">
        <v>25941</v>
      </c>
      <c r="W109" s="70">
        <v>1272005</v>
      </c>
      <c r="X109" s="68">
        <v>0</v>
      </c>
      <c r="Y109" s="70">
        <v>84800</v>
      </c>
      <c r="Z109" s="72"/>
    </row>
    <row r="110" spans="1:26" ht="15.75" hidden="1" customHeight="1" x14ac:dyDescent="0.25">
      <c r="A110" s="64">
        <v>2</v>
      </c>
      <c r="B110" s="62">
        <v>71335134</v>
      </c>
      <c r="C110" s="62" t="s">
        <v>25357</v>
      </c>
      <c r="D110" s="62" t="s">
        <v>25310</v>
      </c>
      <c r="E110" s="62" t="s">
        <v>25358</v>
      </c>
      <c r="F110" s="62" t="s">
        <v>25005</v>
      </c>
      <c r="G110" s="81" t="s">
        <v>19285</v>
      </c>
      <c r="H110" s="63">
        <v>44974</v>
      </c>
      <c r="I110" s="63">
        <v>44975</v>
      </c>
      <c r="J110" s="62">
        <v>2</v>
      </c>
      <c r="K110" s="62">
        <v>2</v>
      </c>
      <c r="L110" s="62" t="s">
        <v>24995</v>
      </c>
      <c r="M110" s="62" t="s">
        <v>24995</v>
      </c>
      <c r="N110" s="62" t="s">
        <v>19269</v>
      </c>
      <c r="O110" s="62" t="s">
        <v>3576</v>
      </c>
      <c r="P110" s="42" t="str">
        <f>+IF(O110="","",IFERROR(VLOOKUP(O110,CODIGO_DIAGNOSTICO,2,0),"CÓDIGO NO ENCONTRADO"))</f>
        <v>LARINGITIS AGUDA</v>
      </c>
      <c r="Q110" s="62" t="s">
        <v>19230</v>
      </c>
      <c r="R110" s="64">
        <v>0</v>
      </c>
      <c r="S110" s="75"/>
      <c r="T110" s="75"/>
      <c r="U110" s="65">
        <f>SUM(W110/30)</f>
        <v>42400.166666666664</v>
      </c>
      <c r="V110" s="62" t="s">
        <v>25941</v>
      </c>
      <c r="W110" s="65">
        <v>1272005</v>
      </c>
      <c r="X110" s="62">
        <v>0</v>
      </c>
      <c r="Y110" s="65">
        <v>84800</v>
      </c>
      <c r="Z110" s="73"/>
    </row>
    <row r="111" spans="1:26" ht="15.75" hidden="1" customHeight="1" x14ac:dyDescent="0.25">
      <c r="A111" s="67">
        <v>2</v>
      </c>
      <c r="B111" s="68">
        <v>70252687</v>
      </c>
      <c r="C111" s="68" t="s">
        <v>25340</v>
      </c>
      <c r="D111" s="68" t="s">
        <v>24998</v>
      </c>
      <c r="E111" s="68" t="s">
        <v>25359</v>
      </c>
      <c r="F111" s="68" t="s">
        <v>25020</v>
      </c>
      <c r="G111" s="81" t="s">
        <v>19285</v>
      </c>
      <c r="H111" s="69">
        <v>44975</v>
      </c>
      <c r="I111" s="69">
        <v>44976</v>
      </c>
      <c r="J111" s="68">
        <v>2</v>
      </c>
      <c r="K111" s="68">
        <v>2</v>
      </c>
      <c r="L111" s="68" t="s">
        <v>24995</v>
      </c>
      <c r="M111" s="68" t="s">
        <v>24995</v>
      </c>
      <c r="N111" s="62" t="s">
        <v>19269</v>
      </c>
      <c r="O111" s="68" t="s">
        <v>5286</v>
      </c>
      <c r="P111" s="42" t="str">
        <f>+IF(O111="","",IFERROR(VLOOKUP(O111,CODIGO_DIAGNOSTICO,2,0),"CÓDIGO NO ENCONTRADO"))</f>
        <v>HIPERPLASIA DE LA PROSTATA</v>
      </c>
      <c r="Q111" s="68" t="s">
        <v>19230</v>
      </c>
      <c r="R111" s="67">
        <v>0</v>
      </c>
      <c r="S111" s="77"/>
      <c r="T111" s="76"/>
      <c r="U111" s="65">
        <f>SUM(W111/30)</f>
        <v>42400.166666666664</v>
      </c>
      <c r="V111" s="68" t="s">
        <v>25941</v>
      </c>
      <c r="W111" s="70">
        <v>1272005</v>
      </c>
      <c r="X111" s="68">
        <v>0</v>
      </c>
      <c r="Y111" s="70">
        <v>84800</v>
      </c>
      <c r="Z111" s="72"/>
    </row>
    <row r="112" spans="1:26" ht="15.75" hidden="1" customHeight="1" x14ac:dyDescent="0.25">
      <c r="A112" s="64">
        <v>2</v>
      </c>
      <c r="B112" s="62">
        <v>1216722770</v>
      </c>
      <c r="C112" s="62" t="s">
        <v>25247</v>
      </c>
      <c r="D112" s="62" t="s">
        <v>25348</v>
      </c>
      <c r="E112" s="62" t="s">
        <v>25349</v>
      </c>
      <c r="F112" s="62" t="s">
        <v>25060</v>
      </c>
      <c r="G112" s="81" t="s">
        <v>19285</v>
      </c>
      <c r="H112" s="63">
        <v>44976</v>
      </c>
      <c r="I112" s="63">
        <v>45005</v>
      </c>
      <c r="J112" s="62">
        <v>30</v>
      </c>
      <c r="K112" s="62">
        <v>10</v>
      </c>
      <c r="L112" s="62" t="s">
        <v>19262</v>
      </c>
      <c r="M112" s="62" t="s">
        <v>19262</v>
      </c>
      <c r="N112" s="62" t="s">
        <v>19269</v>
      </c>
      <c r="O112" s="62" t="s">
        <v>7724</v>
      </c>
      <c r="P112" s="42" t="str">
        <f>+IF(O112="","",IFERROR(VLOOKUP(O112,CODIGO_DIAGNOSTICO,2,0),"CÓDIGO NO ENCONTRADO"))</f>
        <v>FRACTURA DE LA DIAFISIS DE LA TIBIA</v>
      </c>
      <c r="Q112" s="62" t="s">
        <v>19231</v>
      </c>
      <c r="R112" s="64"/>
      <c r="S112" s="75">
        <v>44978</v>
      </c>
      <c r="T112" s="75">
        <v>45051</v>
      </c>
      <c r="U112" s="65">
        <f>SUM(W112/30)</f>
        <v>42400.166666666664</v>
      </c>
      <c r="V112" s="62" t="s">
        <v>25941</v>
      </c>
      <c r="W112" s="65">
        <v>1272005</v>
      </c>
      <c r="X112" s="62">
        <v>0</v>
      </c>
      <c r="Y112" s="65">
        <v>84800</v>
      </c>
      <c r="Z112" s="73"/>
    </row>
    <row r="113" spans="1:26" ht="15.75" hidden="1" customHeight="1" x14ac:dyDescent="0.25">
      <c r="A113" s="67">
        <v>2</v>
      </c>
      <c r="B113" s="68">
        <v>71005195</v>
      </c>
      <c r="C113" s="68" t="s">
        <v>25094</v>
      </c>
      <c r="D113" s="68" t="s">
        <v>25447</v>
      </c>
      <c r="E113" s="68" t="s">
        <v>25028</v>
      </c>
      <c r="F113" s="68" t="s">
        <v>25308</v>
      </c>
      <c r="G113" s="81" t="s">
        <v>19285</v>
      </c>
      <c r="H113" s="69">
        <v>44976</v>
      </c>
      <c r="I113" s="69">
        <v>44990</v>
      </c>
      <c r="J113" s="68">
        <v>15</v>
      </c>
      <c r="K113" s="68">
        <v>11</v>
      </c>
      <c r="L113" s="68" t="s">
        <v>24995</v>
      </c>
      <c r="M113" s="68" t="s">
        <v>19262</v>
      </c>
      <c r="N113" s="62" t="s">
        <v>19269</v>
      </c>
      <c r="O113" s="68" t="s">
        <v>7500</v>
      </c>
      <c r="P113" s="42" t="str">
        <f>+IF(O113="","",IFERROR(VLOOKUP(O113,CODIGO_DIAGNOSTICO,2,0),"CÓDIGO NO ENCONTRADO"))</f>
        <v>FRACTURA DE LA CLAVICULA</v>
      </c>
      <c r="Q113" s="68" t="s">
        <v>19230</v>
      </c>
      <c r="R113" s="67"/>
      <c r="S113" s="77"/>
      <c r="T113" s="76"/>
      <c r="U113" s="65">
        <f>SUM(W113/30)</f>
        <v>42400.166666666664</v>
      </c>
      <c r="V113" s="68" t="s">
        <v>25941</v>
      </c>
      <c r="W113" s="70">
        <v>1272005</v>
      </c>
      <c r="X113" s="68">
        <v>0</v>
      </c>
      <c r="Y113" s="70">
        <v>84800</v>
      </c>
      <c r="Z113" s="72"/>
    </row>
    <row r="114" spans="1:26" ht="15.75" hidden="1" customHeight="1" x14ac:dyDescent="0.25">
      <c r="A114" s="64">
        <v>2</v>
      </c>
      <c r="B114" s="62">
        <v>1033340803</v>
      </c>
      <c r="C114" s="62" t="s">
        <v>25350</v>
      </c>
      <c r="D114" s="62" t="s">
        <v>25453</v>
      </c>
      <c r="E114" s="62" t="s">
        <v>25352</v>
      </c>
      <c r="F114" s="62"/>
      <c r="G114" s="81" t="s">
        <v>19285</v>
      </c>
      <c r="H114" s="63">
        <v>44976</v>
      </c>
      <c r="I114" s="63">
        <v>44982</v>
      </c>
      <c r="J114" s="62">
        <v>7</v>
      </c>
      <c r="K114" s="62">
        <v>7</v>
      </c>
      <c r="L114" s="62" t="s">
        <v>24995</v>
      </c>
      <c r="M114" s="62" t="s">
        <v>24995</v>
      </c>
      <c r="N114" s="62" t="s">
        <v>19269</v>
      </c>
      <c r="O114" s="62" t="s">
        <v>7307</v>
      </c>
      <c r="P114" s="42" t="str">
        <f>+IF(O114="","",IFERROR(VLOOKUP(O114,CODIGO_DIAGNOSTICO,2,0),"CÓDIGO NO ENCONTRADO"))</f>
        <v>TRAUMATISMO DE LA CABEZA, NO ESPECIFICADO</v>
      </c>
      <c r="Q114" s="62" t="s">
        <v>25025</v>
      </c>
      <c r="R114" s="64"/>
      <c r="S114" s="75"/>
      <c r="T114" s="75"/>
      <c r="U114" s="65">
        <f>SUM(W114/30)</f>
        <v>42400.166666666664</v>
      </c>
      <c r="V114" s="62" t="s">
        <v>25941</v>
      </c>
      <c r="W114" s="65">
        <v>1272005</v>
      </c>
      <c r="X114" s="62">
        <v>0</v>
      </c>
      <c r="Y114" s="65">
        <v>84800</v>
      </c>
      <c r="Z114" s="73"/>
    </row>
    <row r="115" spans="1:26" ht="15.75" hidden="1" customHeight="1" x14ac:dyDescent="0.25">
      <c r="A115" s="67">
        <v>2</v>
      </c>
      <c r="B115" s="68">
        <v>71005195</v>
      </c>
      <c r="C115" s="68" t="s">
        <v>25094</v>
      </c>
      <c r="D115" s="68" t="s">
        <v>25447</v>
      </c>
      <c r="E115" s="68" t="s">
        <v>25028</v>
      </c>
      <c r="F115" s="68" t="s">
        <v>25308</v>
      </c>
      <c r="G115" s="81" t="s">
        <v>19285</v>
      </c>
      <c r="H115" s="69">
        <v>44976</v>
      </c>
      <c r="I115" s="69">
        <v>44990</v>
      </c>
      <c r="J115" s="68">
        <v>15</v>
      </c>
      <c r="K115" s="68">
        <v>10</v>
      </c>
      <c r="L115" s="68" t="s">
        <v>24995</v>
      </c>
      <c r="M115" s="68" t="s">
        <v>24995</v>
      </c>
      <c r="N115" s="62" t="s">
        <v>19269</v>
      </c>
      <c r="O115" s="68" t="s">
        <v>7500</v>
      </c>
      <c r="P115" s="42" t="str">
        <f>+IF(O115="","",IFERROR(VLOOKUP(O115,CODIGO_DIAGNOSTICO,2,0),"CÓDIGO NO ENCONTRADO"))</f>
        <v>FRACTURA DE LA CLAVICULA</v>
      </c>
      <c r="Q115" s="68" t="s">
        <v>19230</v>
      </c>
      <c r="R115" s="67"/>
      <c r="S115" s="77">
        <v>44979</v>
      </c>
      <c r="T115" s="76">
        <v>44985</v>
      </c>
      <c r="U115" s="65">
        <f>SUM(W115/30)</f>
        <v>42400.166666666664</v>
      </c>
      <c r="V115" s="68" t="s">
        <v>25941</v>
      </c>
      <c r="W115" s="70">
        <v>1272005</v>
      </c>
      <c r="X115" s="68">
        <v>0</v>
      </c>
      <c r="Y115" s="70">
        <v>84800</v>
      </c>
      <c r="Z115" s="72"/>
    </row>
    <row r="116" spans="1:26" ht="15.75" hidden="1" customHeight="1" x14ac:dyDescent="0.25">
      <c r="A116" s="64">
        <v>2</v>
      </c>
      <c r="B116" s="62">
        <v>71275284</v>
      </c>
      <c r="C116" s="62" t="s">
        <v>25219</v>
      </c>
      <c r="D116" s="62" t="s">
        <v>25470</v>
      </c>
      <c r="E116" s="62" t="s">
        <v>25221</v>
      </c>
      <c r="F116" s="62" t="s">
        <v>25471</v>
      </c>
      <c r="G116" s="81" t="s">
        <v>19285</v>
      </c>
      <c r="H116" s="63">
        <v>44976</v>
      </c>
      <c r="I116" s="63">
        <v>44978</v>
      </c>
      <c r="J116" s="62">
        <v>3</v>
      </c>
      <c r="K116" s="62">
        <v>3</v>
      </c>
      <c r="L116" s="62" t="s">
        <v>24995</v>
      </c>
      <c r="M116" s="62" t="s">
        <v>24995</v>
      </c>
      <c r="N116" s="62" t="s">
        <v>19263</v>
      </c>
      <c r="O116" s="62" t="s">
        <v>7306</v>
      </c>
      <c r="P116" s="42" t="str">
        <f>+IF(O116="","",IFERROR(VLOOKUP(O116,CODIGO_DIAGNOSTICO,2,0),"CÓDIGO NO ENCONTRADO"))</f>
        <v>OTROS TRAUMATISMOS DE LA CABEZA, ESPECIFICADOS</v>
      </c>
      <c r="Q116" s="62" t="s">
        <v>25001</v>
      </c>
      <c r="R116" s="64"/>
      <c r="S116" s="75"/>
      <c r="T116" s="75"/>
      <c r="U116" s="65">
        <f>SUM(W116/30)*J116</f>
        <v>127200.5</v>
      </c>
      <c r="V116" s="62" t="s">
        <v>25941</v>
      </c>
      <c r="W116" s="65">
        <v>1272005</v>
      </c>
      <c r="X116" s="62">
        <v>0</v>
      </c>
      <c r="Y116" s="65">
        <v>0</v>
      </c>
      <c r="Z116" s="73"/>
    </row>
    <row r="117" spans="1:26" ht="15.75" hidden="1" customHeight="1" x14ac:dyDescent="0.25">
      <c r="A117" s="67">
        <v>2</v>
      </c>
      <c r="B117" s="68">
        <v>11936325</v>
      </c>
      <c r="C117" s="68" t="s">
        <v>25105</v>
      </c>
      <c r="D117" s="68" t="s">
        <v>25343</v>
      </c>
      <c r="E117" s="68" t="s">
        <v>25282</v>
      </c>
      <c r="F117" s="68" t="s">
        <v>25185</v>
      </c>
      <c r="G117" s="81" t="s">
        <v>19285</v>
      </c>
      <c r="H117" s="69">
        <v>44977</v>
      </c>
      <c r="I117" s="69">
        <v>45006</v>
      </c>
      <c r="J117" s="68">
        <v>30</v>
      </c>
      <c r="K117" s="68">
        <v>9</v>
      </c>
      <c r="L117" s="68" t="s">
        <v>19262</v>
      </c>
      <c r="M117" s="68" t="s">
        <v>19262</v>
      </c>
      <c r="N117" s="62" t="s">
        <v>19269</v>
      </c>
      <c r="O117" s="68" t="s">
        <v>7726</v>
      </c>
      <c r="P117" s="42" t="str">
        <f>+IF(O117="","",IFERROR(VLOOKUP(O117,CODIGO_DIAGNOSTICO,2,0),"CÓDIGO NO ENCONTRADO"))</f>
        <v>FRACTURA DEL PERONE SOLAMENTE</v>
      </c>
      <c r="Q117" s="68" t="s">
        <v>25025</v>
      </c>
      <c r="R117" s="67"/>
      <c r="S117" s="77">
        <v>44980</v>
      </c>
      <c r="T117" s="76">
        <v>44998</v>
      </c>
      <c r="U117" s="65">
        <f>SUM(W117/30)</f>
        <v>42400.166666666664</v>
      </c>
      <c r="V117" s="68" t="s">
        <v>25941</v>
      </c>
      <c r="W117" s="70">
        <v>1272005</v>
      </c>
      <c r="X117" s="68">
        <v>0</v>
      </c>
      <c r="Y117" s="70">
        <v>84800</v>
      </c>
      <c r="Z117" s="72"/>
    </row>
    <row r="118" spans="1:26" ht="15.75" hidden="1" customHeight="1" x14ac:dyDescent="0.25">
      <c r="A118" s="64">
        <v>2</v>
      </c>
      <c r="B118" s="62">
        <v>1147957427</v>
      </c>
      <c r="C118" s="62" t="s">
        <v>25401</v>
      </c>
      <c r="D118" s="62" t="s">
        <v>25008</v>
      </c>
      <c r="E118" s="62" t="s">
        <v>19256</v>
      </c>
      <c r="F118" s="62" t="s">
        <v>25439</v>
      </c>
      <c r="G118" s="81" t="s">
        <v>19285</v>
      </c>
      <c r="H118" s="63">
        <v>44977</v>
      </c>
      <c r="I118" s="63">
        <v>44979</v>
      </c>
      <c r="J118" s="62">
        <v>3</v>
      </c>
      <c r="K118" s="62">
        <v>3</v>
      </c>
      <c r="L118" s="62" t="s">
        <v>24995</v>
      </c>
      <c r="M118" s="62" t="s">
        <v>24995</v>
      </c>
      <c r="N118" s="62" t="s">
        <v>19269</v>
      </c>
      <c r="O118" s="62" t="s">
        <v>3804</v>
      </c>
      <c r="P118" s="42" t="str">
        <f>+IF(O118="","",IFERROR(VLOOKUP(O118,CODIGO_DIAGNOSTICO,2,0),"CÓDIGO NO ENCONTRADO"))</f>
        <v>DIENTES IMPACTADOS</v>
      </c>
      <c r="Q118" s="62" t="s">
        <v>24996</v>
      </c>
      <c r="R118" s="64"/>
      <c r="S118" s="75"/>
      <c r="T118" s="75"/>
      <c r="U118" s="65">
        <f>SUM(W118/30)</f>
        <v>42400.166666666664</v>
      </c>
      <c r="V118" s="62" t="s">
        <v>25941</v>
      </c>
      <c r="W118" s="65">
        <v>1272005</v>
      </c>
      <c r="X118" s="62">
        <v>0</v>
      </c>
      <c r="Y118" s="65">
        <v>84800</v>
      </c>
      <c r="Z118" s="73"/>
    </row>
    <row r="119" spans="1:26" ht="15.75" hidden="1" customHeight="1" x14ac:dyDescent="0.25">
      <c r="A119" s="67">
        <v>2</v>
      </c>
      <c r="B119" s="68">
        <v>1113304420</v>
      </c>
      <c r="C119" s="68" t="s">
        <v>25440</v>
      </c>
      <c r="D119" s="68" t="s">
        <v>25441</v>
      </c>
      <c r="E119" s="68" t="s">
        <v>25442</v>
      </c>
      <c r="F119" s="68" t="s">
        <v>25010</v>
      </c>
      <c r="G119" s="81" t="s">
        <v>19285</v>
      </c>
      <c r="H119" s="69">
        <v>44977</v>
      </c>
      <c r="I119" s="69">
        <v>44977</v>
      </c>
      <c r="J119" s="68">
        <v>1</v>
      </c>
      <c r="K119" s="68">
        <v>1</v>
      </c>
      <c r="L119" s="68" t="s">
        <v>24995</v>
      </c>
      <c r="M119" s="68" t="s">
        <v>24995</v>
      </c>
      <c r="N119" s="62" t="s">
        <v>19269</v>
      </c>
      <c r="O119" s="68" t="s">
        <v>421</v>
      </c>
      <c r="P119" s="42" t="str">
        <f>+IF(O119="","",IFERROR(VLOOKUP(O119,CODIGO_DIAGNOSTICO,2,0),"CÓDIGO NO ENCONTRADO"))</f>
        <v>FIEBRE VIRAL HEMORRAGICA, NO ESPECIFICADA</v>
      </c>
      <c r="Q119" s="68" t="s">
        <v>24996</v>
      </c>
      <c r="R119" s="67">
        <v>0</v>
      </c>
      <c r="S119" s="77"/>
      <c r="T119" s="76">
        <v>0</v>
      </c>
      <c r="U119" s="65">
        <f>SUM(W119/30)</f>
        <v>42400.166666666664</v>
      </c>
      <c r="V119" s="68" t="s">
        <v>25941</v>
      </c>
      <c r="W119" s="70">
        <v>1272005</v>
      </c>
      <c r="X119" s="68">
        <v>0</v>
      </c>
      <c r="Y119" s="70">
        <v>84800</v>
      </c>
      <c r="Z119" s="72"/>
    </row>
    <row r="120" spans="1:26" ht="15.75" hidden="1" customHeight="1" x14ac:dyDescent="0.25">
      <c r="A120" s="64">
        <v>1</v>
      </c>
      <c r="B120" s="62">
        <v>1216713788</v>
      </c>
      <c r="C120" s="62" t="s">
        <v>25295</v>
      </c>
      <c r="D120" s="62" t="s">
        <v>25296</v>
      </c>
      <c r="E120" s="62" t="s">
        <v>25089</v>
      </c>
      <c r="F120" s="62" t="s">
        <v>25297</v>
      </c>
      <c r="G120" s="81" t="s">
        <v>19285</v>
      </c>
      <c r="H120" s="63">
        <v>44978</v>
      </c>
      <c r="I120" s="63">
        <v>44976</v>
      </c>
      <c r="J120" s="62">
        <v>30</v>
      </c>
      <c r="K120" s="62">
        <v>11</v>
      </c>
      <c r="L120" s="62" t="s">
        <v>19262</v>
      </c>
      <c r="M120" s="62" t="s">
        <v>19262</v>
      </c>
      <c r="N120" s="62" t="s">
        <v>19263</v>
      </c>
      <c r="O120" s="62" t="s">
        <v>4690</v>
      </c>
      <c r="P120" s="42" t="str">
        <f>+IF(O120="","",IFERROR(VLOOKUP(O120,CODIGO_DIAGNOSTICO,2,0),"CÓDIGO NO ENCONTRADO"))</f>
        <v>OTROS TRASTORNOS DE LOS MENISCOS</v>
      </c>
      <c r="Q120" s="62" t="s">
        <v>25001</v>
      </c>
      <c r="R120" s="64">
        <v>6032110</v>
      </c>
      <c r="S120" s="75">
        <v>44996</v>
      </c>
      <c r="T120" s="75">
        <v>45007</v>
      </c>
      <c r="U120" s="65">
        <f>SUM(W120/30)*J120</f>
        <v>1272005</v>
      </c>
      <c r="V120" s="62" t="s">
        <v>25941</v>
      </c>
      <c r="W120" s="65">
        <v>1272005</v>
      </c>
      <c r="X120" s="62">
        <v>0</v>
      </c>
      <c r="Y120" s="65">
        <v>0</v>
      </c>
      <c r="Z120" s="73"/>
    </row>
    <row r="121" spans="1:26" ht="15.75" hidden="1" customHeight="1" x14ac:dyDescent="0.25">
      <c r="A121" s="67">
        <v>2</v>
      </c>
      <c r="B121" s="68">
        <v>3669363</v>
      </c>
      <c r="C121" s="68" t="s">
        <v>19286</v>
      </c>
      <c r="D121" s="68" t="s">
        <v>24983</v>
      </c>
      <c r="E121" s="68" t="s">
        <v>19287</v>
      </c>
      <c r="F121" s="68" t="s">
        <v>25103</v>
      </c>
      <c r="G121" s="81" t="s">
        <v>19285</v>
      </c>
      <c r="H121" s="69">
        <v>44978</v>
      </c>
      <c r="I121" s="69">
        <v>44981</v>
      </c>
      <c r="J121" s="68">
        <v>4</v>
      </c>
      <c r="K121" s="68">
        <v>4</v>
      </c>
      <c r="L121" s="68" t="s">
        <v>19262</v>
      </c>
      <c r="M121" s="68" t="s">
        <v>19262</v>
      </c>
      <c r="N121" s="62" t="s">
        <v>19269</v>
      </c>
      <c r="O121" s="68" t="s">
        <v>7723</v>
      </c>
      <c r="P121" s="42" t="str">
        <f>+IF(O121="","",IFERROR(VLOOKUP(O121,CODIGO_DIAGNOSTICO,2,0),"CÓDIGO NO ENCONTRADO"))</f>
        <v>FRACTURA DE LA EPIFISIS SUPERIOR DE LA TIBIA</v>
      </c>
      <c r="Q121" s="68" t="s">
        <v>19230</v>
      </c>
      <c r="R121" s="67"/>
      <c r="S121" s="77"/>
      <c r="T121" s="76"/>
      <c r="U121" s="65">
        <f>SUM(W121/30)</f>
        <v>42400.166666666664</v>
      </c>
      <c r="V121" s="68" t="s">
        <v>25941</v>
      </c>
      <c r="W121" s="70">
        <v>1272005</v>
      </c>
      <c r="X121" s="68">
        <v>0</v>
      </c>
      <c r="Y121" s="70">
        <v>84800</v>
      </c>
      <c r="Z121" s="72"/>
    </row>
    <row r="122" spans="1:26" ht="15.75" hidden="1" customHeight="1" x14ac:dyDescent="0.25">
      <c r="A122" s="64">
        <v>2</v>
      </c>
      <c r="B122" s="62">
        <v>98711080</v>
      </c>
      <c r="C122" s="62" t="s">
        <v>25219</v>
      </c>
      <c r="D122" s="62" t="s">
        <v>25443</v>
      </c>
      <c r="E122" s="62" t="s">
        <v>25430</v>
      </c>
      <c r="F122" s="62" t="s">
        <v>25119</v>
      </c>
      <c r="G122" s="81" t="s">
        <v>19285</v>
      </c>
      <c r="H122" s="63">
        <v>44978</v>
      </c>
      <c r="I122" s="63">
        <v>44978</v>
      </c>
      <c r="J122" s="62">
        <v>1</v>
      </c>
      <c r="K122" s="62">
        <v>1</v>
      </c>
      <c r="L122" s="62" t="s">
        <v>24995</v>
      </c>
      <c r="M122" s="62" t="s">
        <v>24995</v>
      </c>
      <c r="N122" s="62" t="s">
        <v>19269</v>
      </c>
      <c r="O122" s="62" t="s">
        <v>2592</v>
      </c>
      <c r="P122" s="42" t="str">
        <f>+IF(O122="","",IFERROR(VLOOKUP(O122,CODIGO_DIAGNOSTICO,2,0),"CÓDIGO NO ENCONTRADO"))</f>
        <v>OTRAS MIGRAÑAS</v>
      </c>
      <c r="Q122" s="62" t="s">
        <v>19230</v>
      </c>
      <c r="R122" s="64">
        <v>0</v>
      </c>
      <c r="S122" s="75"/>
      <c r="T122" s="75">
        <v>0</v>
      </c>
      <c r="U122" s="65">
        <f>SUM(W122/30)</f>
        <v>42400.166666666664</v>
      </c>
      <c r="V122" s="62" t="s">
        <v>25941</v>
      </c>
      <c r="W122" s="65">
        <v>1272005</v>
      </c>
      <c r="X122" s="62">
        <v>0</v>
      </c>
      <c r="Y122" s="65">
        <v>84800</v>
      </c>
      <c r="Z122" s="73"/>
    </row>
    <row r="123" spans="1:26" ht="15.75" hidden="1" customHeight="1" x14ac:dyDescent="0.25">
      <c r="A123" s="67">
        <v>2</v>
      </c>
      <c r="B123" s="68">
        <v>1033373975</v>
      </c>
      <c r="C123" s="68" t="s">
        <v>25072</v>
      </c>
      <c r="D123" s="68" t="s">
        <v>25073</v>
      </c>
      <c r="E123" s="68" t="s">
        <v>25074</v>
      </c>
      <c r="F123" s="68" t="s">
        <v>25023</v>
      </c>
      <c r="G123" s="81" t="s">
        <v>19285</v>
      </c>
      <c r="H123" s="69">
        <v>44978</v>
      </c>
      <c r="I123" s="69">
        <v>44980</v>
      </c>
      <c r="J123" s="68">
        <v>3</v>
      </c>
      <c r="K123" s="68">
        <v>3</v>
      </c>
      <c r="L123" s="68" t="s">
        <v>24995</v>
      </c>
      <c r="M123" s="68" t="s">
        <v>24995</v>
      </c>
      <c r="N123" s="62" t="s">
        <v>19269</v>
      </c>
      <c r="O123" s="68" t="s">
        <v>15281</v>
      </c>
      <c r="P123" s="42" t="str">
        <f>+IF(O123="","",IFERROR(VLOOKUP(O123,CODIGO_DIAGNOSTICO,2,0),"CÓDIGO NO ENCONTRADO"))</f>
        <v>RINOFARINGITIS AGUDA (RESFRIADO COMUN)</v>
      </c>
      <c r="Q123" s="68" t="s">
        <v>19231</v>
      </c>
      <c r="R123" s="67"/>
      <c r="S123" s="77">
        <v>44979</v>
      </c>
      <c r="T123" s="76">
        <v>45037</v>
      </c>
      <c r="U123" s="65">
        <f>SUM(W123/30)</f>
        <v>42400.166666666664</v>
      </c>
      <c r="V123" s="68" t="s">
        <v>25941</v>
      </c>
      <c r="W123" s="70">
        <v>1272005</v>
      </c>
      <c r="X123" s="68">
        <v>0</v>
      </c>
      <c r="Y123" s="70">
        <v>84800</v>
      </c>
      <c r="Z123" s="72"/>
    </row>
    <row r="124" spans="1:26" ht="15.75" hidden="1" customHeight="1" x14ac:dyDescent="0.25">
      <c r="A124" s="64">
        <v>2</v>
      </c>
      <c r="B124" s="62">
        <v>70252687</v>
      </c>
      <c r="C124" s="62" t="s">
        <v>25340</v>
      </c>
      <c r="D124" s="62" t="s">
        <v>24998</v>
      </c>
      <c r="E124" s="62" t="s">
        <v>25359</v>
      </c>
      <c r="F124" s="62" t="s">
        <v>25020</v>
      </c>
      <c r="G124" s="81" t="s">
        <v>19285</v>
      </c>
      <c r="H124" s="63">
        <v>44978</v>
      </c>
      <c r="I124" s="63">
        <v>44981</v>
      </c>
      <c r="J124" s="62">
        <v>4</v>
      </c>
      <c r="K124" s="62">
        <v>4</v>
      </c>
      <c r="L124" s="62" t="s">
        <v>24995</v>
      </c>
      <c r="M124" s="62" t="s">
        <v>24995</v>
      </c>
      <c r="N124" s="62" t="s">
        <v>19269</v>
      </c>
      <c r="O124" s="62" t="s">
        <v>5286</v>
      </c>
      <c r="P124" s="42" t="str">
        <f>+IF(O124="","",IFERROR(VLOOKUP(O124,CODIGO_DIAGNOSTICO,2,0),"CÓDIGO NO ENCONTRADO"))</f>
        <v>HIPERPLASIA DE LA PROSTATA</v>
      </c>
      <c r="Q124" s="62" t="s">
        <v>19230</v>
      </c>
      <c r="R124" s="64"/>
      <c r="S124" s="75">
        <v>44984</v>
      </c>
      <c r="T124" s="75">
        <v>44992</v>
      </c>
      <c r="U124" s="65">
        <f>SUM(W124/30)</f>
        <v>42400.166666666664</v>
      </c>
      <c r="V124" s="62" t="s">
        <v>25941</v>
      </c>
      <c r="W124" s="65">
        <v>1272005</v>
      </c>
      <c r="X124" s="62">
        <v>0</v>
      </c>
      <c r="Y124" s="65">
        <v>84800</v>
      </c>
      <c r="Z124" s="73"/>
    </row>
    <row r="125" spans="1:26" ht="15.75" hidden="1" customHeight="1" x14ac:dyDescent="0.25">
      <c r="A125" s="67">
        <v>2</v>
      </c>
      <c r="B125" s="68">
        <v>1007470071</v>
      </c>
      <c r="C125" s="68" t="s">
        <v>25306</v>
      </c>
      <c r="D125" s="68" t="s">
        <v>25444</v>
      </c>
      <c r="E125" s="68" t="s">
        <v>25203</v>
      </c>
      <c r="F125" s="68" t="s">
        <v>25005</v>
      </c>
      <c r="G125" s="81" t="s">
        <v>19285</v>
      </c>
      <c r="H125" s="69">
        <v>44979</v>
      </c>
      <c r="I125" s="69">
        <v>44980</v>
      </c>
      <c r="J125" s="68">
        <v>2</v>
      </c>
      <c r="K125" s="68">
        <v>2</v>
      </c>
      <c r="L125" s="68" t="s">
        <v>24995</v>
      </c>
      <c r="M125" s="68" t="s">
        <v>24995</v>
      </c>
      <c r="N125" s="62" t="s">
        <v>19269</v>
      </c>
      <c r="O125" s="68" t="s">
        <v>4025</v>
      </c>
      <c r="P125" s="42" t="str">
        <f>+IF(O125="","",IFERROR(VLOOKUP(O125,CODIGO_DIAGNOSTICO,2,0),"CÓDIGO NO ENCONTRADO"))</f>
        <v>OTRAS COLITIS Y GASTROENTERITIS NO INFECCIOSAS ESPECIFICADAS</v>
      </c>
      <c r="Q125" s="68" t="s">
        <v>19231</v>
      </c>
      <c r="R125" s="67">
        <v>0</v>
      </c>
      <c r="S125" s="77"/>
      <c r="T125" s="76"/>
      <c r="U125" s="65">
        <f>SUM(W125/30)</f>
        <v>42400.166666666664</v>
      </c>
      <c r="V125" s="68" t="s">
        <v>25941</v>
      </c>
      <c r="W125" s="70">
        <v>1272005</v>
      </c>
      <c r="X125" s="68">
        <v>0</v>
      </c>
      <c r="Y125" s="70">
        <v>84800</v>
      </c>
      <c r="Z125" s="72"/>
    </row>
    <row r="126" spans="1:26" ht="15.75" hidden="1" customHeight="1" x14ac:dyDescent="0.25">
      <c r="A126" s="64">
        <v>2</v>
      </c>
      <c r="B126" s="62">
        <v>70323164</v>
      </c>
      <c r="C126" s="62" t="s">
        <v>25145</v>
      </c>
      <c r="D126" s="62" t="s">
        <v>25062</v>
      </c>
      <c r="E126" s="62" t="s">
        <v>25091</v>
      </c>
      <c r="F126" s="62" t="s">
        <v>25146</v>
      </c>
      <c r="G126" s="81" t="s">
        <v>19285</v>
      </c>
      <c r="H126" s="63">
        <v>44980</v>
      </c>
      <c r="I126" s="63">
        <v>45009</v>
      </c>
      <c r="J126" s="62">
        <v>30</v>
      </c>
      <c r="K126" s="62">
        <v>5</v>
      </c>
      <c r="L126" s="62" t="s">
        <v>24995</v>
      </c>
      <c r="M126" s="62" t="s">
        <v>19262</v>
      </c>
      <c r="N126" s="62" t="s">
        <v>19269</v>
      </c>
      <c r="O126" s="62" t="s">
        <v>91</v>
      </c>
      <c r="P126" s="42" t="str">
        <f>+IF(O126="","",IFERROR(VLOOKUP(O126,CODIGO_DIAGNOSTICO,2,0),"CÓDIGO NO ENCONTRADO"))</f>
        <v>TUBERCULOSIS DEL PULMON, CONFIRMADA HISTOLOGICAMENTE</v>
      </c>
      <c r="Q126" s="62" t="s">
        <v>19230</v>
      </c>
      <c r="R126" s="64"/>
      <c r="S126" s="75"/>
      <c r="T126" s="75"/>
      <c r="U126" s="65">
        <f>SUM(W126/30)</f>
        <v>42400.166666666664</v>
      </c>
      <c r="V126" s="62" t="s">
        <v>25941</v>
      </c>
      <c r="W126" s="65">
        <v>1272005</v>
      </c>
      <c r="X126" s="62">
        <v>0</v>
      </c>
      <c r="Y126" s="65">
        <v>84800</v>
      </c>
      <c r="Z126" s="73"/>
    </row>
    <row r="127" spans="1:26" ht="15.75" hidden="1" customHeight="1" x14ac:dyDescent="0.25">
      <c r="A127" s="67">
        <v>2</v>
      </c>
      <c r="B127" s="68">
        <v>98716980</v>
      </c>
      <c r="C127" s="68" t="s">
        <v>25445</v>
      </c>
      <c r="D127" s="68" t="s">
        <v>25446</v>
      </c>
      <c r="E127" s="68" t="s">
        <v>25106</v>
      </c>
      <c r="F127" s="68" t="s">
        <v>25039</v>
      </c>
      <c r="G127" s="81" t="s">
        <v>19285</v>
      </c>
      <c r="H127" s="69">
        <v>44981</v>
      </c>
      <c r="I127" s="69">
        <v>44982</v>
      </c>
      <c r="J127" s="68">
        <v>2</v>
      </c>
      <c r="K127" s="68">
        <v>2</v>
      </c>
      <c r="L127" s="68" t="s">
        <v>24995</v>
      </c>
      <c r="M127" s="68" t="s">
        <v>24995</v>
      </c>
      <c r="N127" s="62" t="s">
        <v>19269</v>
      </c>
      <c r="O127" s="68" t="s">
        <v>2592</v>
      </c>
      <c r="P127" s="42" t="str">
        <f>+IF(O127="","",IFERROR(VLOOKUP(O127,CODIGO_DIAGNOSTICO,2,0),"CÓDIGO NO ENCONTRADO"))</f>
        <v>OTRAS MIGRAÑAS</v>
      </c>
      <c r="Q127" s="68" t="s">
        <v>19230</v>
      </c>
      <c r="R127" s="67">
        <v>0</v>
      </c>
      <c r="S127" s="77"/>
      <c r="T127" s="76"/>
      <c r="U127" s="65">
        <f>SUM(W127/30)</f>
        <v>42400.166666666664</v>
      </c>
      <c r="V127" s="68" t="s">
        <v>25941</v>
      </c>
      <c r="W127" s="70">
        <v>1272005</v>
      </c>
      <c r="X127" s="68">
        <v>0</v>
      </c>
      <c r="Y127" s="70">
        <v>84800</v>
      </c>
      <c r="Z127" s="72"/>
    </row>
    <row r="128" spans="1:26" ht="15.75" hidden="1" customHeight="1" x14ac:dyDescent="0.25">
      <c r="A128" s="64">
        <v>2</v>
      </c>
      <c r="B128" s="62">
        <v>8434367</v>
      </c>
      <c r="C128" s="62" t="s">
        <v>25421</v>
      </c>
      <c r="D128" s="62" t="s">
        <v>25454</v>
      </c>
      <c r="E128" s="62" t="s">
        <v>25455</v>
      </c>
      <c r="F128" s="62" t="s">
        <v>25010</v>
      </c>
      <c r="G128" s="81" t="s">
        <v>19285</v>
      </c>
      <c r="H128" s="63">
        <v>44982</v>
      </c>
      <c r="I128" s="63">
        <v>44982</v>
      </c>
      <c r="J128" s="62">
        <v>1</v>
      </c>
      <c r="K128" s="62">
        <v>1</v>
      </c>
      <c r="L128" s="62" t="s">
        <v>24995</v>
      </c>
      <c r="M128" s="62" t="s">
        <v>24995</v>
      </c>
      <c r="N128" s="62" t="s">
        <v>19269</v>
      </c>
      <c r="O128" s="62" t="s">
        <v>4944</v>
      </c>
      <c r="P128" s="42" t="str">
        <f>+IF(O128="","",IFERROR(VLOOKUP(O128,CODIGO_DIAGNOSTICO,2,0),"CÓDIGO NO ENCONTRADO"))</f>
        <v>ENTESOPATIA, NO ESPECIFICADA</v>
      </c>
      <c r="Q128" s="62" t="s">
        <v>19230</v>
      </c>
      <c r="R128" s="64">
        <v>0</v>
      </c>
      <c r="S128" s="75"/>
      <c r="T128" s="75">
        <v>0</v>
      </c>
      <c r="U128" s="65">
        <f>SUM(W128/30)</f>
        <v>42400.166666666664</v>
      </c>
      <c r="V128" s="62" t="s">
        <v>25941</v>
      </c>
      <c r="W128" s="65">
        <v>1272005</v>
      </c>
      <c r="X128" s="62">
        <v>0</v>
      </c>
      <c r="Y128" s="65">
        <v>84800</v>
      </c>
      <c r="Z128" s="73"/>
    </row>
    <row r="129" spans="1:26" ht="15.75" hidden="1" customHeight="1" x14ac:dyDescent="0.25">
      <c r="A129" s="67">
        <v>2</v>
      </c>
      <c r="B129" s="68">
        <v>3481465</v>
      </c>
      <c r="C129" s="68" t="s">
        <v>25421</v>
      </c>
      <c r="D129" s="68" t="s">
        <v>25205</v>
      </c>
      <c r="E129" s="68" t="s">
        <v>25206</v>
      </c>
      <c r="F129" s="68" t="s">
        <v>24982</v>
      </c>
      <c r="G129" s="81" t="s">
        <v>19285</v>
      </c>
      <c r="H129" s="69">
        <v>44983</v>
      </c>
      <c r="I129" s="69">
        <v>45011</v>
      </c>
      <c r="J129" s="68">
        <v>29</v>
      </c>
      <c r="K129" s="68">
        <v>3</v>
      </c>
      <c r="L129" s="68" t="s">
        <v>19262</v>
      </c>
      <c r="M129" s="68" t="s">
        <v>19262</v>
      </c>
      <c r="N129" s="62" t="s">
        <v>19269</v>
      </c>
      <c r="O129" s="68" t="s">
        <v>2095</v>
      </c>
      <c r="P129" s="42" t="str">
        <f>+IF(O129="","",IFERROR(VLOOKUP(O129,CODIGO_DIAGNOSTICO,2,0),"CÓDIGO NO ENCONTRADO"))</f>
        <v>TRASTORNO MENTAL NO ESPECIFICADO DEBIDO A LESION Y DISFUNCION CEREBRAL Y A ENFERMEDAD FISICA</v>
      </c>
      <c r="Q129" s="68" t="s">
        <v>19230</v>
      </c>
      <c r="R129" s="67"/>
      <c r="S129" s="77"/>
      <c r="T129" s="76"/>
      <c r="U129" s="65">
        <f>SUM(W129/30)</f>
        <v>42400.166666666664</v>
      </c>
      <c r="V129" s="68" t="s">
        <v>25941</v>
      </c>
      <c r="W129" s="70">
        <v>1272005</v>
      </c>
      <c r="X129" s="68">
        <v>0</v>
      </c>
      <c r="Y129" s="70">
        <v>84800</v>
      </c>
      <c r="Z129" s="72"/>
    </row>
    <row r="130" spans="1:26" ht="15.75" hidden="1" customHeight="1" x14ac:dyDescent="0.25">
      <c r="A130" s="64">
        <v>2</v>
      </c>
      <c r="B130" s="62">
        <v>71601851</v>
      </c>
      <c r="C130" s="62" t="s">
        <v>25340</v>
      </c>
      <c r="D130" s="62" t="s">
        <v>25179</v>
      </c>
      <c r="E130" s="62" t="s">
        <v>25466</v>
      </c>
      <c r="F130" s="62" t="s">
        <v>25023</v>
      </c>
      <c r="G130" s="81" t="s">
        <v>19285</v>
      </c>
      <c r="H130" s="63">
        <v>44984</v>
      </c>
      <c r="I130" s="63">
        <v>45013</v>
      </c>
      <c r="J130" s="62">
        <v>30</v>
      </c>
      <c r="K130" s="62">
        <v>2</v>
      </c>
      <c r="L130" s="62" t="s">
        <v>19262</v>
      </c>
      <c r="M130" s="62" t="s">
        <v>19262</v>
      </c>
      <c r="N130" s="62" t="s">
        <v>19269</v>
      </c>
      <c r="O130" s="62" t="s">
        <v>4695</v>
      </c>
      <c r="P130" s="42" t="str">
        <f>+IF(O130="","",IFERROR(VLOOKUP(O130,CODIGO_DIAGNOSTICO,2,0),"CÓDIGO NO ENCONTRADO"))</f>
        <v>TRASTORNOS INTERNO DE LA RODILLA, NO ESPECIFICADO</v>
      </c>
      <c r="Q130" s="62" t="s">
        <v>19231</v>
      </c>
      <c r="R130" s="64"/>
      <c r="S130" s="75">
        <v>44995</v>
      </c>
      <c r="T130" s="75">
        <v>45051</v>
      </c>
      <c r="U130" s="65">
        <f>SUM(W130/30)</f>
        <v>42400.166666666664</v>
      </c>
      <c r="V130" s="62" t="s">
        <v>25941</v>
      </c>
      <c r="W130" s="65">
        <v>1272005</v>
      </c>
      <c r="X130" s="62">
        <v>0</v>
      </c>
      <c r="Y130" s="65">
        <v>84800</v>
      </c>
      <c r="Z130" s="73"/>
    </row>
    <row r="131" spans="1:26" ht="15.75" hidden="1" customHeight="1" x14ac:dyDescent="0.25">
      <c r="A131" s="67">
        <v>2</v>
      </c>
      <c r="B131" s="68">
        <v>1036687761</v>
      </c>
      <c r="C131" s="68" t="s">
        <v>24992</v>
      </c>
      <c r="D131" s="68" t="s">
        <v>24993</v>
      </c>
      <c r="E131" s="68" t="s">
        <v>24994</v>
      </c>
      <c r="F131" s="68"/>
      <c r="G131" s="81" t="s">
        <v>19285</v>
      </c>
      <c r="H131" s="69">
        <v>44984</v>
      </c>
      <c r="I131" s="69">
        <v>44985</v>
      </c>
      <c r="J131" s="68">
        <v>2</v>
      </c>
      <c r="K131" s="68">
        <v>2</v>
      </c>
      <c r="L131" s="68" t="s">
        <v>24995</v>
      </c>
      <c r="M131" s="68" t="s">
        <v>24995</v>
      </c>
      <c r="N131" s="62" t="s">
        <v>19269</v>
      </c>
      <c r="O131" s="68" t="s">
        <v>3575</v>
      </c>
      <c r="P131" s="42" t="str">
        <f>+IF(O131="","",IFERROR(VLOOKUP(O131,CODIGO_DIAGNOSTICO,2,0),"CÓDIGO NO ENCONTRADO"))</f>
        <v>AMIGDALITIS AGUDA, NO ESPECIFICADA</v>
      </c>
      <c r="Q131" s="68" t="s">
        <v>24996</v>
      </c>
      <c r="R131" s="67">
        <v>0</v>
      </c>
      <c r="S131" s="77"/>
      <c r="T131" s="76"/>
      <c r="U131" s="65">
        <f>SUM(W131/30)</f>
        <v>42400.166666666664</v>
      </c>
      <c r="V131" s="68" t="s">
        <v>25941</v>
      </c>
      <c r="W131" s="70">
        <v>1272005</v>
      </c>
      <c r="X131" s="68">
        <v>0</v>
      </c>
      <c r="Y131" s="70">
        <v>84800</v>
      </c>
      <c r="Z131" s="72"/>
    </row>
    <row r="132" spans="1:26" ht="15.75" hidden="1" customHeight="1" x14ac:dyDescent="0.25">
      <c r="A132" s="64">
        <v>2</v>
      </c>
      <c r="B132" s="62">
        <v>71676289</v>
      </c>
      <c r="C132" s="62" t="s">
        <v>25015</v>
      </c>
      <c r="D132" s="62" t="s">
        <v>25012</v>
      </c>
      <c r="E132" s="62" t="s">
        <v>25016</v>
      </c>
      <c r="F132" s="62" t="s">
        <v>25004</v>
      </c>
      <c r="G132" s="81" t="s">
        <v>19285</v>
      </c>
      <c r="H132" s="63">
        <v>44985</v>
      </c>
      <c r="I132" s="63">
        <v>44999</v>
      </c>
      <c r="J132" s="62">
        <v>15</v>
      </c>
      <c r="K132" s="62">
        <v>1</v>
      </c>
      <c r="L132" s="62" t="s">
        <v>24995</v>
      </c>
      <c r="M132" s="62" t="s">
        <v>19262</v>
      </c>
      <c r="N132" s="62" t="s">
        <v>19269</v>
      </c>
      <c r="O132" s="62" t="s">
        <v>7822</v>
      </c>
      <c r="P132" s="42" t="str">
        <f>+IF(O132="","",IFERROR(VLOOKUP(O132,CODIGO_DIAGNOSTICO,2,0),"CÓDIGO NO ENCONTRADO"))</f>
        <v>AMPUTACION TRAUMATICA DE OTRAS PARTES DEL PIE</v>
      </c>
      <c r="Q132" s="62" t="s">
        <v>19230</v>
      </c>
      <c r="R132" s="64"/>
      <c r="S132" s="75"/>
      <c r="T132" s="75"/>
      <c r="U132" s="65">
        <f>SUM(W132/30)</f>
        <v>42400.166666666664</v>
      </c>
      <c r="V132" s="62" t="s">
        <v>25941</v>
      </c>
      <c r="W132" s="65">
        <v>1272005</v>
      </c>
      <c r="X132" s="62">
        <v>0</v>
      </c>
      <c r="Y132" s="65">
        <v>84800</v>
      </c>
      <c r="Z132" s="73"/>
    </row>
    <row r="133" spans="1:26" ht="15.75" hidden="1" customHeight="1" x14ac:dyDescent="0.25">
      <c r="A133" s="67">
        <v>2</v>
      </c>
      <c r="B133" s="68">
        <v>98711889</v>
      </c>
      <c r="C133" s="68" t="s">
        <v>25463</v>
      </c>
      <c r="D133" s="68" t="s">
        <v>25464</v>
      </c>
      <c r="E133" s="68" t="s">
        <v>25089</v>
      </c>
      <c r="F133" s="68" t="s">
        <v>25283</v>
      </c>
      <c r="G133" s="81" t="s">
        <v>19285</v>
      </c>
      <c r="H133" s="69">
        <v>44985</v>
      </c>
      <c r="I133" s="69">
        <v>44986</v>
      </c>
      <c r="J133" s="68">
        <v>3</v>
      </c>
      <c r="K133" s="68">
        <v>3</v>
      </c>
      <c r="L133" s="68" t="s">
        <v>24995</v>
      </c>
      <c r="M133" s="68" t="s">
        <v>24995</v>
      </c>
      <c r="N133" s="62" t="s">
        <v>19269</v>
      </c>
      <c r="O133" s="68" t="s">
        <v>5248</v>
      </c>
      <c r="P133" s="42" t="str">
        <f>+IF(O133="","",IFERROR(VLOOKUP(O133,CODIGO_DIAGNOSTICO,2,0),"CÓDIGO NO ENCONTRADO"))</f>
        <v>CISTITIS, NO ESPECIFICADA</v>
      </c>
      <c r="Q133" s="68" t="s">
        <v>26152</v>
      </c>
      <c r="R133" s="67"/>
      <c r="S133" s="77"/>
      <c r="T133" s="76"/>
      <c r="U133" s="65">
        <f>SUM(W133/30)</f>
        <v>42400.166666666664</v>
      </c>
      <c r="V133" s="68" t="s">
        <v>25941</v>
      </c>
      <c r="W133" s="70">
        <v>1272005</v>
      </c>
      <c r="X133" s="68">
        <v>0</v>
      </c>
      <c r="Y133" s="70">
        <v>84800</v>
      </c>
      <c r="Z133" s="72"/>
    </row>
    <row r="134" spans="1:26" ht="15.75" hidden="1" customHeight="1" x14ac:dyDescent="0.25">
      <c r="A134" s="64">
        <v>2</v>
      </c>
      <c r="B134" s="62">
        <v>15309929</v>
      </c>
      <c r="C134" s="62" t="s">
        <v>25011</v>
      </c>
      <c r="D134" s="62" t="s">
        <v>25012</v>
      </c>
      <c r="E134" s="62" t="s">
        <v>25013</v>
      </c>
      <c r="F134" s="62" t="s">
        <v>25014</v>
      </c>
      <c r="G134" s="81" t="s">
        <v>19285</v>
      </c>
      <c r="H134" s="63">
        <v>44985</v>
      </c>
      <c r="I134" s="63">
        <v>45008</v>
      </c>
      <c r="J134" s="62">
        <v>24</v>
      </c>
      <c r="K134" s="62">
        <v>24</v>
      </c>
      <c r="L134" s="62" t="s">
        <v>19262</v>
      </c>
      <c r="M134" s="62" t="s">
        <v>19262</v>
      </c>
      <c r="N134" s="62" t="s">
        <v>19269</v>
      </c>
      <c r="O134" s="62" t="s">
        <v>7734</v>
      </c>
      <c r="P134" s="42" t="str">
        <f>+IF(O134="","",IFERROR(VLOOKUP(O134,CODIGO_DIAGNOSTICO,2,0),"CÓDIGO NO ENCONTRADO"))</f>
        <v>DESGARRO DE MENISCOS, PRESENTE</v>
      </c>
      <c r="Q134" s="62" t="s">
        <v>19230</v>
      </c>
      <c r="R134" s="64"/>
      <c r="S134" s="75">
        <v>44989</v>
      </c>
      <c r="T134" s="75">
        <v>44992</v>
      </c>
      <c r="U134" s="65">
        <f>SUM(W134/30)</f>
        <v>42400.166666666664</v>
      </c>
      <c r="V134" s="62" t="s">
        <v>25941</v>
      </c>
      <c r="W134" s="65">
        <v>1272005</v>
      </c>
      <c r="X134" s="62">
        <v>0</v>
      </c>
      <c r="Y134" s="65">
        <v>84800</v>
      </c>
      <c r="Z134" s="73"/>
    </row>
    <row r="135" spans="1:26" ht="15.75" hidden="1" customHeight="1" x14ac:dyDescent="0.25">
      <c r="A135" s="67">
        <v>2</v>
      </c>
      <c r="B135" s="68">
        <v>1040737050</v>
      </c>
      <c r="C135" s="68" t="s">
        <v>25467</v>
      </c>
      <c r="D135" s="68" t="s">
        <v>25468</v>
      </c>
      <c r="E135" s="68" t="s">
        <v>25278</v>
      </c>
      <c r="F135" s="68" t="s">
        <v>25469</v>
      </c>
      <c r="G135" s="81" t="s">
        <v>19285</v>
      </c>
      <c r="H135" s="69">
        <v>44985</v>
      </c>
      <c r="I135" s="69">
        <v>44986</v>
      </c>
      <c r="J135" s="68">
        <v>2</v>
      </c>
      <c r="K135" s="68">
        <v>2</v>
      </c>
      <c r="L135" s="68" t="s">
        <v>24995</v>
      </c>
      <c r="M135" s="68" t="s">
        <v>24995</v>
      </c>
      <c r="N135" s="62" t="s">
        <v>19269</v>
      </c>
      <c r="O135" s="68" t="s">
        <v>2853</v>
      </c>
      <c r="P135" s="42" t="str">
        <f>+IF(O135="","",IFERROR(VLOOKUP(O135,CODIGO_DIAGNOSTICO,2,0),"CÓDIGO NO ENCONTRADO"))</f>
        <v>HEMORRAGIA CONJUNTIVAL</v>
      </c>
      <c r="Q135" s="68" t="s">
        <v>24996</v>
      </c>
      <c r="R135" s="67">
        <v>0</v>
      </c>
      <c r="S135" s="77"/>
      <c r="T135" s="76"/>
      <c r="U135" s="65">
        <f>SUM(W135/30)</f>
        <v>42400.166666666664</v>
      </c>
      <c r="V135" s="68" t="s">
        <v>25941</v>
      </c>
      <c r="W135" s="70">
        <v>1272005</v>
      </c>
      <c r="X135" s="68">
        <v>0</v>
      </c>
      <c r="Y135" s="70">
        <v>84800</v>
      </c>
      <c r="Z135" s="72"/>
    </row>
    <row r="136" spans="1:26" ht="15.75" hidden="1" customHeight="1" x14ac:dyDescent="0.25">
      <c r="A136" s="64">
        <v>3</v>
      </c>
      <c r="B136" s="62">
        <v>71375285</v>
      </c>
      <c r="C136" s="62" t="s">
        <v>25058</v>
      </c>
      <c r="D136" s="62" t="s">
        <v>24998</v>
      </c>
      <c r="E136" s="62" t="s">
        <v>25474</v>
      </c>
      <c r="F136" s="62"/>
      <c r="G136" s="81" t="s">
        <v>19285</v>
      </c>
      <c r="H136" s="63">
        <v>44988</v>
      </c>
      <c r="I136" s="63">
        <v>44989</v>
      </c>
      <c r="J136" s="62">
        <v>2</v>
      </c>
      <c r="K136" s="62">
        <v>2</v>
      </c>
      <c r="L136" s="62" t="s">
        <v>24995</v>
      </c>
      <c r="M136" s="62" t="s">
        <v>24995</v>
      </c>
      <c r="N136" s="62" t="s">
        <v>19269</v>
      </c>
      <c r="O136" s="62" t="s">
        <v>4026</v>
      </c>
      <c r="P136" s="42" t="str">
        <f>+IF(O136="","",IFERROR(VLOOKUP(O136,CODIGO_DIAGNOSTICO,2,0),"CÓDIGO NO ENCONTRADO"))</f>
        <v>COLITIS Y GASTROENTERITIS NO INFECCIOSAS, NO ESPECIFICADAS</v>
      </c>
      <c r="Q136" s="62" t="s">
        <v>19230</v>
      </c>
      <c r="R136" s="64">
        <v>0</v>
      </c>
      <c r="S136" s="75"/>
      <c r="T136" s="75"/>
      <c r="U136" s="65">
        <f>SUM(W136/30)</f>
        <v>42400.166666666664</v>
      </c>
      <c r="V136" s="62" t="s">
        <v>25941</v>
      </c>
      <c r="W136" s="65">
        <v>1272005</v>
      </c>
      <c r="X136" s="62">
        <v>0</v>
      </c>
      <c r="Y136" s="65">
        <v>84800</v>
      </c>
      <c r="Z136" s="73"/>
    </row>
    <row r="137" spans="1:26" ht="15.75" hidden="1" customHeight="1" x14ac:dyDescent="0.25">
      <c r="A137" s="67">
        <v>3</v>
      </c>
      <c r="B137" s="68">
        <v>98765066</v>
      </c>
      <c r="C137" s="68" t="s">
        <v>25472</v>
      </c>
      <c r="D137" s="68" t="s">
        <v>25190</v>
      </c>
      <c r="E137" s="68" t="s">
        <v>25433</v>
      </c>
      <c r="F137" s="68" t="s">
        <v>25283</v>
      </c>
      <c r="G137" s="81" t="s">
        <v>19285</v>
      </c>
      <c r="H137" s="69">
        <v>44989</v>
      </c>
      <c r="I137" s="69">
        <v>44990</v>
      </c>
      <c r="J137" s="68">
        <v>2</v>
      </c>
      <c r="K137" s="68">
        <v>2</v>
      </c>
      <c r="L137" s="68" t="s">
        <v>24995</v>
      </c>
      <c r="M137" s="68" t="s">
        <v>24995</v>
      </c>
      <c r="N137" s="62" t="s">
        <v>19269</v>
      </c>
      <c r="O137" s="68" t="s">
        <v>4026</v>
      </c>
      <c r="P137" s="42" t="str">
        <f>+IF(O137="","",IFERROR(VLOOKUP(O137,CODIGO_DIAGNOSTICO,2,0),"CÓDIGO NO ENCONTRADO"))</f>
        <v>COLITIS Y GASTROENTERITIS NO INFECCIOSAS, NO ESPECIFICADAS</v>
      </c>
      <c r="Q137" s="68" t="s">
        <v>24996</v>
      </c>
      <c r="R137" s="67">
        <v>0</v>
      </c>
      <c r="S137" s="77"/>
      <c r="T137" s="76"/>
      <c r="U137" s="65">
        <f>SUM(W137/30)</f>
        <v>42400.166666666664</v>
      </c>
      <c r="V137" s="68" t="s">
        <v>25941</v>
      </c>
      <c r="W137" s="70">
        <v>1272005</v>
      </c>
      <c r="X137" s="68">
        <v>0</v>
      </c>
      <c r="Y137" s="70">
        <v>84800</v>
      </c>
      <c r="Z137" s="72"/>
    </row>
    <row r="138" spans="1:26" ht="15.75" hidden="1" customHeight="1" x14ac:dyDescent="0.25">
      <c r="A138" s="64">
        <v>3</v>
      </c>
      <c r="B138" s="62">
        <v>1039090990</v>
      </c>
      <c r="C138" s="62" t="s">
        <v>25475</v>
      </c>
      <c r="D138" s="62" t="s">
        <v>25182</v>
      </c>
      <c r="E138" s="62" t="s">
        <v>25282</v>
      </c>
      <c r="F138" s="62" t="s">
        <v>25080</v>
      </c>
      <c r="G138" s="81" t="s">
        <v>19285</v>
      </c>
      <c r="H138" s="63">
        <v>44989</v>
      </c>
      <c r="I138" s="63">
        <v>44990</v>
      </c>
      <c r="J138" s="62">
        <v>2</v>
      </c>
      <c r="K138" s="62">
        <v>2</v>
      </c>
      <c r="L138" s="62" t="s">
        <v>24995</v>
      </c>
      <c r="M138" s="62" t="s">
        <v>24995</v>
      </c>
      <c r="N138" s="62" t="s">
        <v>19269</v>
      </c>
      <c r="O138" s="62" t="s">
        <v>15281</v>
      </c>
      <c r="P138" s="42" t="str">
        <f>+IF(O138="","",IFERROR(VLOOKUP(O138,CODIGO_DIAGNOSTICO,2,0),"CÓDIGO NO ENCONTRADO"))</f>
        <v>RINOFARINGITIS AGUDA (RESFRIADO COMUN)</v>
      </c>
      <c r="Q138" s="62" t="s">
        <v>19230</v>
      </c>
      <c r="R138" s="64">
        <v>0</v>
      </c>
      <c r="S138" s="75"/>
      <c r="T138" s="75"/>
      <c r="U138" s="65">
        <f>SUM(W138/30)</f>
        <v>42400.166666666664</v>
      </c>
      <c r="V138" s="62" t="s">
        <v>25941</v>
      </c>
      <c r="W138" s="65">
        <v>1272005</v>
      </c>
      <c r="X138" s="62">
        <v>0</v>
      </c>
      <c r="Y138" s="65">
        <v>84800</v>
      </c>
      <c r="Z138" s="73"/>
    </row>
    <row r="139" spans="1:26" ht="15.75" hidden="1" customHeight="1" x14ac:dyDescent="0.25">
      <c r="A139" s="67">
        <v>3</v>
      </c>
      <c r="B139" s="68">
        <v>3411306</v>
      </c>
      <c r="C139" s="68" t="s">
        <v>25038</v>
      </c>
      <c r="D139" s="68" t="s">
        <v>25269</v>
      </c>
      <c r="E139" s="68" t="s">
        <v>19278</v>
      </c>
      <c r="F139" s="68" t="s">
        <v>25473</v>
      </c>
      <c r="G139" s="81" t="s">
        <v>19285</v>
      </c>
      <c r="H139" s="69">
        <v>44992</v>
      </c>
      <c r="I139" s="69">
        <v>44995</v>
      </c>
      <c r="J139" s="68">
        <v>4</v>
      </c>
      <c r="K139" s="68">
        <v>4</v>
      </c>
      <c r="L139" s="68" t="s">
        <v>24995</v>
      </c>
      <c r="M139" s="68" t="s">
        <v>24995</v>
      </c>
      <c r="N139" s="62" t="s">
        <v>19269</v>
      </c>
      <c r="O139" s="68" t="s">
        <v>7606</v>
      </c>
      <c r="P139" s="42" t="str">
        <f>+IF(O139="","",IFERROR(VLOOKUP(O139,CODIGO_DIAGNOSTICO,2,0),"CÓDIGO NO ENCONTRADO"))</f>
        <v>HERIDA DE DEDO(S) DE LA MANO, SIN DAÑO DE LA(S) UÑA(S)</v>
      </c>
      <c r="Q139" s="68" t="s">
        <v>19231</v>
      </c>
      <c r="R139" s="67"/>
      <c r="S139" s="77"/>
      <c r="T139" s="76"/>
      <c r="U139" s="65">
        <f>SUM(W139/30)</f>
        <v>42400.166666666664</v>
      </c>
      <c r="V139" s="68" t="s">
        <v>25941</v>
      </c>
      <c r="W139" s="70">
        <v>1272005</v>
      </c>
      <c r="X139" s="68">
        <v>0</v>
      </c>
      <c r="Y139" s="70">
        <v>84800</v>
      </c>
      <c r="Z139" s="72"/>
    </row>
    <row r="140" spans="1:26" ht="15.75" hidden="1" customHeight="1" x14ac:dyDescent="0.25">
      <c r="A140" s="64">
        <v>3</v>
      </c>
      <c r="B140" s="62">
        <v>1036928635</v>
      </c>
      <c r="C140" s="62" t="s">
        <v>25491</v>
      </c>
      <c r="D140" s="62" t="s">
        <v>25065</v>
      </c>
      <c r="E140" s="62" t="s">
        <v>25297</v>
      </c>
      <c r="F140" s="62"/>
      <c r="G140" s="81" t="s">
        <v>19285</v>
      </c>
      <c r="H140" s="63">
        <v>44993</v>
      </c>
      <c r="I140" s="63">
        <v>45006</v>
      </c>
      <c r="J140" s="62">
        <v>14</v>
      </c>
      <c r="K140" s="62">
        <v>14</v>
      </c>
      <c r="L140" s="62" t="s">
        <v>24995</v>
      </c>
      <c r="M140" s="62" t="s">
        <v>24995</v>
      </c>
      <c r="N140" s="62" t="s">
        <v>19269</v>
      </c>
      <c r="O140" s="62" t="s">
        <v>5851</v>
      </c>
      <c r="P140" s="42" t="str">
        <f>+IF(O140="","",IFERROR(VLOOKUP(O140,CODIGO_DIAGNOSTICO,2,0),"CÓDIGO NO ENCONTRADO"))</f>
        <v>PARTO UNICO ESPONTANEO, PRESENTACION CEFALICA DE VERTICE</v>
      </c>
      <c r="Q140" s="62" t="s">
        <v>19230</v>
      </c>
      <c r="R140" s="64"/>
      <c r="S140" s="75">
        <v>44996</v>
      </c>
      <c r="T140" s="75">
        <v>44999</v>
      </c>
      <c r="U140" s="65">
        <f>SUM(W140/30)</f>
        <v>42400.166666666664</v>
      </c>
      <c r="V140" s="62" t="s">
        <v>25941</v>
      </c>
      <c r="W140" s="65">
        <v>1272005</v>
      </c>
      <c r="X140" s="62">
        <v>0</v>
      </c>
      <c r="Y140" s="65">
        <v>84800</v>
      </c>
      <c r="Z140" s="73"/>
    </row>
    <row r="141" spans="1:26" ht="15.75" hidden="1" customHeight="1" x14ac:dyDescent="0.25">
      <c r="A141" s="67">
        <v>3</v>
      </c>
      <c r="B141" s="68">
        <v>1035870964</v>
      </c>
      <c r="C141" s="68" t="s">
        <v>25142</v>
      </c>
      <c r="D141" s="68" t="s">
        <v>25126</v>
      </c>
      <c r="E141" s="68" t="s">
        <v>25496</v>
      </c>
      <c r="F141" s="68" t="s">
        <v>25010</v>
      </c>
      <c r="G141" s="81" t="s">
        <v>19285</v>
      </c>
      <c r="H141" s="69">
        <v>44993</v>
      </c>
      <c r="I141" s="69">
        <v>44994</v>
      </c>
      <c r="J141" s="68">
        <v>2</v>
      </c>
      <c r="K141" s="68">
        <v>2</v>
      </c>
      <c r="L141" s="68" t="s">
        <v>24995</v>
      </c>
      <c r="M141" s="68" t="s">
        <v>24995</v>
      </c>
      <c r="N141" s="62" t="s">
        <v>19269</v>
      </c>
      <c r="O141" s="68" t="s">
        <v>5279</v>
      </c>
      <c r="P141" s="42" t="str">
        <f>+IF(O141="","",IFERROR(VLOOKUP(O141,CODIGO_DIAGNOSTICO,2,0),"CÓDIGO NO ENCONTRADO"))</f>
        <v>INFECCION DE VIAS URINARIAS, SITIO NO ESPECIFICADO</v>
      </c>
      <c r="Q141" s="68" t="s">
        <v>19230</v>
      </c>
      <c r="R141" s="67">
        <v>0</v>
      </c>
      <c r="S141" s="77"/>
      <c r="T141" s="76"/>
      <c r="U141" s="65">
        <f>SUM(W141/30)</f>
        <v>42400.166666666664</v>
      </c>
      <c r="V141" s="68" t="s">
        <v>25941</v>
      </c>
      <c r="W141" s="70">
        <v>1272005</v>
      </c>
      <c r="X141" s="68">
        <v>0</v>
      </c>
      <c r="Y141" s="70">
        <v>84800</v>
      </c>
      <c r="Z141" s="72"/>
    </row>
    <row r="142" spans="1:26" ht="15.75" hidden="1" customHeight="1" x14ac:dyDescent="0.25">
      <c r="A142" s="64">
        <v>3</v>
      </c>
      <c r="B142" s="62">
        <v>1036928635</v>
      </c>
      <c r="C142" s="62" t="s">
        <v>25491</v>
      </c>
      <c r="D142" s="62" t="s">
        <v>25065</v>
      </c>
      <c r="E142" s="62" t="s">
        <v>25297</v>
      </c>
      <c r="F142" s="62"/>
      <c r="G142" s="81" t="s">
        <v>19285</v>
      </c>
      <c r="H142" s="63">
        <v>44993</v>
      </c>
      <c r="I142" s="63">
        <v>45006</v>
      </c>
      <c r="J142" s="62">
        <v>14</v>
      </c>
      <c r="K142" s="62">
        <v>14</v>
      </c>
      <c r="L142" s="62" t="s">
        <v>24995</v>
      </c>
      <c r="M142" s="62" t="s">
        <v>24995</v>
      </c>
      <c r="N142" s="62" t="s">
        <v>19269</v>
      </c>
      <c r="O142" s="62" t="s">
        <v>5851</v>
      </c>
      <c r="P142" s="42" t="str">
        <f>+IF(O142="","",IFERROR(VLOOKUP(O142,CODIGO_DIAGNOSTICO,2,0),"CÓDIGO NO ENCONTRADO"))</f>
        <v>PARTO UNICO ESPONTANEO, PRESENTACION CEFALICA DE VERTICE</v>
      </c>
      <c r="Q142" s="62" t="s">
        <v>19230</v>
      </c>
      <c r="R142" s="64"/>
      <c r="S142" s="75">
        <v>44998</v>
      </c>
      <c r="T142" s="75">
        <v>44999</v>
      </c>
      <c r="U142" s="65">
        <f>SUM(W142/30)</f>
        <v>42400.166666666664</v>
      </c>
      <c r="V142" s="62" t="s">
        <v>25941</v>
      </c>
      <c r="W142" s="65">
        <v>1272005</v>
      </c>
      <c r="X142" s="62">
        <v>0</v>
      </c>
      <c r="Y142" s="65">
        <v>84800</v>
      </c>
      <c r="Z142" s="73"/>
    </row>
    <row r="143" spans="1:26" ht="15.75" hidden="1" customHeight="1" x14ac:dyDescent="0.25">
      <c r="A143" s="67">
        <v>3</v>
      </c>
      <c r="B143" s="68">
        <v>1037269145</v>
      </c>
      <c r="C143" s="68" t="s">
        <v>25489</v>
      </c>
      <c r="D143" s="68" t="s">
        <v>25432</v>
      </c>
      <c r="E143" s="68" t="s">
        <v>25490</v>
      </c>
      <c r="F143" s="68" t="s">
        <v>25033</v>
      </c>
      <c r="G143" s="81" t="s">
        <v>19285</v>
      </c>
      <c r="H143" s="69">
        <v>44994</v>
      </c>
      <c r="I143" s="69">
        <v>44994</v>
      </c>
      <c r="J143" s="68">
        <v>1</v>
      </c>
      <c r="K143" s="68">
        <v>1</v>
      </c>
      <c r="L143" s="68" t="s">
        <v>24995</v>
      </c>
      <c r="M143" s="68" t="s">
        <v>24995</v>
      </c>
      <c r="N143" s="62" t="s">
        <v>19269</v>
      </c>
      <c r="O143" s="68" t="s">
        <v>7015</v>
      </c>
      <c r="P143" s="42" t="str">
        <f>+IF(O143="","",IFERROR(VLOOKUP(O143,CODIGO_DIAGNOSTICO,2,0),"CÓDIGO NO ENCONTRADO"))</f>
        <v>MAREO Y DESVANECIMIENTO</v>
      </c>
      <c r="Q143" s="68" t="s">
        <v>19230</v>
      </c>
      <c r="R143" s="67">
        <v>0</v>
      </c>
      <c r="S143" s="77"/>
      <c r="T143" s="76">
        <v>0</v>
      </c>
      <c r="U143" s="65">
        <f>SUM(W143/30)</f>
        <v>42400.166666666664</v>
      </c>
      <c r="V143" s="68" t="s">
        <v>25941</v>
      </c>
      <c r="W143" s="70">
        <v>1272005</v>
      </c>
      <c r="X143" s="68">
        <v>0</v>
      </c>
      <c r="Y143" s="70">
        <v>84800</v>
      </c>
      <c r="Z143" s="72"/>
    </row>
    <row r="144" spans="1:26" ht="15.75" hidden="1" customHeight="1" x14ac:dyDescent="0.25">
      <c r="A144" s="64">
        <v>3</v>
      </c>
      <c r="B144" s="62">
        <v>8156170</v>
      </c>
      <c r="C144" s="62" t="s">
        <v>25529</v>
      </c>
      <c r="D144" s="62" t="s">
        <v>25062</v>
      </c>
      <c r="E144" s="62" t="s">
        <v>25063</v>
      </c>
      <c r="F144" s="62" t="s">
        <v>25057</v>
      </c>
      <c r="G144" s="81" t="s">
        <v>19285</v>
      </c>
      <c r="H144" s="63">
        <v>44998</v>
      </c>
      <c r="I144" s="63">
        <v>45000</v>
      </c>
      <c r="J144" s="62">
        <v>3</v>
      </c>
      <c r="K144" s="62">
        <v>3</v>
      </c>
      <c r="L144" s="62" t="s">
        <v>24995</v>
      </c>
      <c r="M144" s="62" t="s">
        <v>24995</v>
      </c>
      <c r="N144" s="62" t="s">
        <v>19269</v>
      </c>
      <c r="O144" s="62" t="s">
        <v>2271</v>
      </c>
      <c r="P144" s="42" t="str">
        <f>+IF(O144="","",IFERROR(VLOOKUP(O144,CODIGO_DIAGNOSTICO,2,0),"CÓDIGO NO ENCONTRADO"))</f>
        <v>TRASTORNO DE ANSIEDAD GENERALIZADA</v>
      </c>
      <c r="Q144" s="62" t="s">
        <v>19230</v>
      </c>
      <c r="R144" s="64"/>
      <c r="S144" s="75">
        <v>45000</v>
      </c>
      <c r="T144" s="75">
        <v>45006</v>
      </c>
      <c r="U144" s="65">
        <f>SUM(W144/30)</f>
        <v>42400.166666666664</v>
      </c>
      <c r="V144" s="62" t="s">
        <v>25941</v>
      </c>
      <c r="W144" s="65">
        <v>1272005</v>
      </c>
      <c r="X144" s="62">
        <v>0</v>
      </c>
      <c r="Y144" s="65">
        <v>84800</v>
      </c>
      <c r="Z144" s="73"/>
    </row>
    <row r="145" spans="1:26" ht="15.75" hidden="1" customHeight="1" x14ac:dyDescent="0.25">
      <c r="A145" s="67">
        <v>3</v>
      </c>
      <c r="B145" s="68">
        <v>1040737050</v>
      </c>
      <c r="C145" s="68" t="s">
        <v>25467</v>
      </c>
      <c r="D145" s="68" t="s">
        <v>25468</v>
      </c>
      <c r="E145" s="68" t="s">
        <v>25278</v>
      </c>
      <c r="F145" s="68" t="s">
        <v>25469</v>
      </c>
      <c r="G145" s="81" t="s">
        <v>19285</v>
      </c>
      <c r="H145" s="69">
        <v>44999</v>
      </c>
      <c r="I145" s="69">
        <v>45000</v>
      </c>
      <c r="J145" s="68">
        <v>2</v>
      </c>
      <c r="K145" s="68">
        <v>2</v>
      </c>
      <c r="L145" s="68" t="s">
        <v>24995</v>
      </c>
      <c r="M145" s="68" t="s">
        <v>24995</v>
      </c>
      <c r="N145" s="62" t="s">
        <v>19269</v>
      </c>
      <c r="O145" s="68" t="s">
        <v>3573</v>
      </c>
      <c r="P145" s="42" t="str">
        <f>+IF(O145="","",IFERROR(VLOOKUP(O145,CODIGO_DIAGNOSTICO,2,0),"CÓDIGO NO ENCONTRADO"))</f>
        <v>AMIGDALITIS ESTREPTOCOCICA</v>
      </c>
      <c r="Q145" s="68" t="s">
        <v>24996</v>
      </c>
      <c r="R145" s="67">
        <v>0</v>
      </c>
      <c r="S145" s="77"/>
      <c r="T145" s="76"/>
      <c r="U145" s="65">
        <f>SUM(W145/30)</f>
        <v>42400.166666666664</v>
      </c>
      <c r="V145" s="68" t="s">
        <v>25941</v>
      </c>
      <c r="W145" s="70">
        <v>1272005</v>
      </c>
      <c r="X145" s="68">
        <v>0</v>
      </c>
      <c r="Y145" s="70">
        <v>84800</v>
      </c>
      <c r="Z145" s="72"/>
    </row>
    <row r="146" spans="1:26" ht="15.75" hidden="1" customHeight="1" x14ac:dyDescent="0.25">
      <c r="A146" s="64">
        <v>3</v>
      </c>
      <c r="B146" s="62">
        <v>71727521</v>
      </c>
      <c r="C146" s="62" t="s">
        <v>25528</v>
      </c>
      <c r="D146" s="62" t="s">
        <v>25415</v>
      </c>
      <c r="E146" s="62" t="s">
        <v>25198</v>
      </c>
      <c r="F146" s="62" t="s">
        <v>25131</v>
      </c>
      <c r="G146" s="81" t="s">
        <v>19285</v>
      </c>
      <c r="H146" s="63">
        <v>45000</v>
      </c>
      <c r="I146" s="63">
        <v>45014</v>
      </c>
      <c r="J146" s="62">
        <v>15</v>
      </c>
      <c r="K146" s="62">
        <v>15</v>
      </c>
      <c r="L146" s="62" t="s">
        <v>24995</v>
      </c>
      <c r="M146" s="62" t="s">
        <v>24995</v>
      </c>
      <c r="N146" s="62" t="s">
        <v>19269</v>
      </c>
      <c r="O146" s="62" t="s">
        <v>7500</v>
      </c>
      <c r="P146" s="42" t="str">
        <f>+IF(O146="","",IFERROR(VLOOKUP(O146,CODIGO_DIAGNOSTICO,2,0),"CÓDIGO NO ENCONTRADO"))</f>
        <v>FRACTURA DE LA CLAVICULA</v>
      </c>
      <c r="Q146" s="62" t="s">
        <v>25025</v>
      </c>
      <c r="R146" s="64"/>
      <c r="S146" s="75"/>
      <c r="T146" s="75"/>
      <c r="U146" s="65">
        <f>SUM(W146/30)</f>
        <v>42400.166666666664</v>
      </c>
      <c r="V146" s="62" t="s">
        <v>25941</v>
      </c>
      <c r="W146" s="65">
        <v>1272005</v>
      </c>
      <c r="X146" s="62">
        <v>0</v>
      </c>
      <c r="Y146" s="65">
        <v>84800</v>
      </c>
      <c r="Z146" s="73"/>
    </row>
    <row r="147" spans="1:26" ht="15.75" hidden="1" customHeight="1" x14ac:dyDescent="0.25">
      <c r="A147" s="67">
        <v>3</v>
      </c>
      <c r="B147" s="68">
        <v>8324434</v>
      </c>
      <c r="C147" s="68" t="s">
        <v>25194</v>
      </c>
      <c r="D147" s="68" t="s">
        <v>25526</v>
      </c>
      <c r="E147" s="68" t="s">
        <v>19278</v>
      </c>
      <c r="F147" s="68" t="s">
        <v>25527</v>
      </c>
      <c r="G147" s="81" t="s">
        <v>19285</v>
      </c>
      <c r="H147" s="69">
        <v>45001</v>
      </c>
      <c r="I147" s="69">
        <v>45001</v>
      </c>
      <c r="J147" s="68">
        <v>1</v>
      </c>
      <c r="K147" s="68">
        <v>1</v>
      </c>
      <c r="L147" s="68" t="s">
        <v>24995</v>
      </c>
      <c r="M147" s="68" t="s">
        <v>24995</v>
      </c>
      <c r="N147" s="62" t="s">
        <v>19269</v>
      </c>
      <c r="O147" s="68" t="s">
        <v>539</v>
      </c>
      <c r="P147" s="42" t="str">
        <f>+IF(O147="","",IFERROR(VLOOKUP(O147,CODIGO_DIAGNOSTICO,2,0),"CÓDIGO NO ENCONTRADO"))</f>
        <v>INFECCION VIRAL, NO ESPECIFICADA</v>
      </c>
      <c r="Q147" s="68" t="s">
        <v>19230</v>
      </c>
      <c r="R147" s="67">
        <v>0</v>
      </c>
      <c r="S147" s="77"/>
      <c r="T147" s="76">
        <v>0</v>
      </c>
      <c r="U147" s="65">
        <f>SUM(W147/30)</f>
        <v>42400.166666666664</v>
      </c>
      <c r="V147" s="68" t="s">
        <v>25941</v>
      </c>
      <c r="W147" s="70">
        <v>1272005</v>
      </c>
      <c r="X147" s="68">
        <v>0</v>
      </c>
      <c r="Y147" s="70">
        <v>84800</v>
      </c>
      <c r="Z147" s="72"/>
    </row>
    <row r="148" spans="1:26" ht="15.75" hidden="1" customHeight="1" x14ac:dyDescent="0.25">
      <c r="A148" s="64">
        <v>3</v>
      </c>
      <c r="B148" s="62">
        <v>1076385711</v>
      </c>
      <c r="C148" s="62" t="s">
        <v>25127</v>
      </c>
      <c r="D148" s="62" t="s">
        <v>25173</v>
      </c>
      <c r="E148" s="62" t="s">
        <v>25531</v>
      </c>
      <c r="F148" s="62" t="s">
        <v>25532</v>
      </c>
      <c r="G148" s="81" t="s">
        <v>19285</v>
      </c>
      <c r="H148" s="63">
        <v>45001</v>
      </c>
      <c r="I148" s="63">
        <v>45002</v>
      </c>
      <c r="J148" s="62">
        <v>2</v>
      </c>
      <c r="K148" s="62">
        <v>2</v>
      </c>
      <c r="L148" s="62" t="s">
        <v>24995</v>
      </c>
      <c r="M148" s="62" t="s">
        <v>24995</v>
      </c>
      <c r="N148" s="62" t="s">
        <v>19269</v>
      </c>
      <c r="O148" s="62" t="s">
        <v>4925</v>
      </c>
      <c r="P148" s="42" t="str">
        <f>+IF(O148="","",IFERROR(VLOOKUP(O148,CODIGO_DIAGNOSTICO,2,0),"CÓDIGO NO ENCONTRADO"))</f>
        <v>OTRAS LESIONES DEL HOMBRO</v>
      </c>
      <c r="Q148" s="62" t="s">
        <v>19230</v>
      </c>
      <c r="R148" s="64">
        <v>0</v>
      </c>
      <c r="S148" s="75"/>
      <c r="T148" s="75"/>
      <c r="U148" s="65">
        <f>SUM(W148/30)</f>
        <v>42400.166666666664</v>
      </c>
      <c r="V148" s="62" t="s">
        <v>25941</v>
      </c>
      <c r="W148" s="65">
        <v>1272005</v>
      </c>
      <c r="X148" s="62">
        <v>0</v>
      </c>
      <c r="Y148" s="65">
        <v>84800</v>
      </c>
      <c r="Z148" s="73"/>
    </row>
    <row r="149" spans="1:26" ht="15.75" hidden="1" customHeight="1" x14ac:dyDescent="0.25">
      <c r="A149" s="67">
        <v>3</v>
      </c>
      <c r="B149" s="68">
        <v>1128458954</v>
      </c>
      <c r="C149" s="68" t="s">
        <v>25181</v>
      </c>
      <c r="D149" s="68" t="s">
        <v>25555</v>
      </c>
      <c r="E149" s="68" t="s">
        <v>25383</v>
      </c>
      <c r="F149" s="68" t="s">
        <v>25384</v>
      </c>
      <c r="G149" s="81" t="s">
        <v>19285</v>
      </c>
      <c r="H149" s="69">
        <v>45001</v>
      </c>
      <c r="I149" s="69">
        <v>45002</v>
      </c>
      <c r="J149" s="68">
        <v>2</v>
      </c>
      <c r="K149" s="68">
        <v>2</v>
      </c>
      <c r="L149" s="68" t="s">
        <v>24995</v>
      </c>
      <c r="M149" s="68" t="s">
        <v>24995</v>
      </c>
      <c r="N149" s="62" t="s">
        <v>19269</v>
      </c>
      <c r="O149" s="68" t="s">
        <v>5222</v>
      </c>
      <c r="P149" s="42" t="str">
        <f>+IF(O149="","",IFERROR(VLOOKUP(O149,CODIGO_DIAGNOSTICO,2,0),"CÓDIGO NO ENCONTRADO"))</f>
        <v>OTROS CALCULOS DE LAS VIAS URINARIAS INFERIORES</v>
      </c>
      <c r="Q149" s="68" t="s">
        <v>19230</v>
      </c>
      <c r="R149" s="67">
        <v>0</v>
      </c>
      <c r="S149" s="77"/>
      <c r="T149" s="76"/>
      <c r="U149" s="65">
        <f>SUM(W149/30)</f>
        <v>42400.166666666664</v>
      </c>
      <c r="V149" s="68" t="s">
        <v>25941</v>
      </c>
      <c r="W149" s="70">
        <v>1272005</v>
      </c>
      <c r="X149" s="68">
        <v>0</v>
      </c>
      <c r="Y149" s="70">
        <v>84800</v>
      </c>
      <c r="Z149" s="72"/>
    </row>
    <row r="150" spans="1:26" ht="15.75" hidden="1" customHeight="1" x14ac:dyDescent="0.25">
      <c r="A150" s="64">
        <v>3</v>
      </c>
      <c r="B150" s="62">
        <v>1040374058</v>
      </c>
      <c r="C150" s="62" t="s">
        <v>25079</v>
      </c>
      <c r="D150" s="62" t="s">
        <v>25298</v>
      </c>
      <c r="E150" s="62" t="s">
        <v>25299</v>
      </c>
      <c r="F150" s="62" t="s">
        <v>25010</v>
      </c>
      <c r="G150" s="81" t="s">
        <v>19285</v>
      </c>
      <c r="H150" s="63">
        <v>45002</v>
      </c>
      <c r="I150" s="63">
        <v>45003</v>
      </c>
      <c r="J150" s="62">
        <v>2</v>
      </c>
      <c r="K150" s="62">
        <v>2</v>
      </c>
      <c r="L150" s="62" t="s">
        <v>24995</v>
      </c>
      <c r="M150" s="62" t="s">
        <v>24995</v>
      </c>
      <c r="N150" s="62" t="s">
        <v>19269</v>
      </c>
      <c r="O150" s="62" t="s">
        <v>5055</v>
      </c>
      <c r="P150" s="42" t="str">
        <f>+IF(O150="","",IFERROR(VLOOKUP(O150,CODIGO_DIAGNOSTICO,2,0),"CÓDIGO NO ENCONTRADO"))</f>
        <v>SINDROME DE LA ARTICULACION CONDROCOSTAL [TIETZE]</v>
      </c>
      <c r="Q150" s="62" t="s">
        <v>19230</v>
      </c>
      <c r="R150" s="64">
        <v>0</v>
      </c>
      <c r="S150" s="75"/>
      <c r="T150" s="75"/>
      <c r="U150" s="65">
        <f>SUM(W150/30)</f>
        <v>42400.166666666664</v>
      </c>
      <c r="V150" s="62" t="s">
        <v>25941</v>
      </c>
      <c r="W150" s="65">
        <v>1272005</v>
      </c>
      <c r="X150" s="62">
        <v>0</v>
      </c>
      <c r="Y150" s="65">
        <v>84800</v>
      </c>
      <c r="Z150" s="73"/>
    </row>
    <row r="151" spans="1:26" ht="15.75" hidden="1" customHeight="1" x14ac:dyDescent="0.25">
      <c r="A151" s="67">
        <v>3</v>
      </c>
      <c r="B151" s="68">
        <v>1035389689</v>
      </c>
      <c r="C151" s="68" t="s">
        <v>25046</v>
      </c>
      <c r="D151" s="68" t="s">
        <v>25432</v>
      </c>
      <c r="E151" s="68" t="s">
        <v>25433</v>
      </c>
      <c r="F151" s="68" t="s">
        <v>25213</v>
      </c>
      <c r="G151" s="81" t="s">
        <v>19285</v>
      </c>
      <c r="H151" s="69">
        <v>45002</v>
      </c>
      <c r="I151" s="69">
        <v>45003</v>
      </c>
      <c r="J151" s="68">
        <v>2</v>
      </c>
      <c r="K151" s="68">
        <v>2</v>
      </c>
      <c r="L151" s="68" t="s">
        <v>24995</v>
      </c>
      <c r="M151" s="68" t="s">
        <v>24995</v>
      </c>
      <c r="N151" s="62" t="s">
        <v>19269</v>
      </c>
      <c r="O151" s="68" t="s">
        <v>85</v>
      </c>
      <c r="P151" s="42" t="str">
        <f>+IF(O151="","",IFERROR(VLOOKUP(O151,CODIGO_DIAGNOSTICO,2,0),"CÓDIGO NO ENCONTRADO"))</f>
        <v>OTRAS ENTERITIS VIRALES</v>
      </c>
      <c r="Q151" s="68" t="s">
        <v>24996</v>
      </c>
      <c r="R151" s="67">
        <v>0</v>
      </c>
      <c r="S151" s="77"/>
      <c r="T151" s="76"/>
      <c r="U151" s="65">
        <f>SUM(W151/30)</f>
        <v>42400.166666666664</v>
      </c>
      <c r="V151" s="68" t="s">
        <v>25941</v>
      </c>
      <c r="W151" s="70">
        <v>1272005</v>
      </c>
      <c r="X151" s="68">
        <v>0</v>
      </c>
      <c r="Y151" s="70">
        <v>84800</v>
      </c>
      <c r="Z151" s="72"/>
    </row>
    <row r="152" spans="1:26" ht="15.75" hidden="1" customHeight="1" x14ac:dyDescent="0.25">
      <c r="A152" s="64">
        <v>3</v>
      </c>
      <c r="B152" s="62">
        <v>98514610</v>
      </c>
      <c r="C152" s="62" t="s">
        <v>25295</v>
      </c>
      <c r="D152" s="62" t="s">
        <v>24984</v>
      </c>
      <c r="E152" s="62" t="s">
        <v>19278</v>
      </c>
      <c r="F152" s="62" t="s">
        <v>25039</v>
      </c>
      <c r="G152" s="81" t="s">
        <v>19285</v>
      </c>
      <c r="H152" s="63">
        <v>45002</v>
      </c>
      <c r="I152" s="63">
        <v>45008</v>
      </c>
      <c r="J152" s="62">
        <v>7</v>
      </c>
      <c r="K152" s="62">
        <v>7</v>
      </c>
      <c r="L152" s="62" t="s">
        <v>24995</v>
      </c>
      <c r="M152" s="62" t="s">
        <v>24995</v>
      </c>
      <c r="N152" s="62" t="s">
        <v>19263</v>
      </c>
      <c r="O152" s="62" t="s">
        <v>7606</v>
      </c>
      <c r="P152" s="42" t="str">
        <f>+IF(O152="","",IFERROR(VLOOKUP(O152,CODIGO_DIAGNOSTICO,2,0),"CÓDIGO NO ENCONTRADO"))</f>
        <v>HERIDA DE DEDO(S) DE LA MANO, SIN DAÑO DE LA(S) UÑA(S)</v>
      </c>
      <c r="Q152" s="62" t="s">
        <v>25001</v>
      </c>
      <c r="R152" s="64"/>
      <c r="S152" s="75">
        <v>44995</v>
      </c>
      <c r="T152" s="75">
        <v>45037</v>
      </c>
      <c r="U152" s="65">
        <f>SUM(W152/30)*J152</f>
        <v>296801.16666666663</v>
      </c>
      <c r="V152" s="62" t="s">
        <v>25941</v>
      </c>
      <c r="W152" s="65">
        <v>1272005</v>
      </c>
      <c r="X152" s="62">
        <v>0</v>
      </c>
      <c r="Y152" s="65">
        <v>0</v>
      </c>
      <c r="Z152" s="73"/>
    </row>
    <row r="153" spans="1:26" ht="15.75" hidden="1" customHeight="1" x14ac:dyDescent="0.25">
      <c r="A153" s="67">
        <v>3</v>
      </c>
      <c r="B153" s="68">
        <v>1035870964</v>
      </c>
      <c r="C153" s="68" t="s">
        <v>25142</v>
      </c>
      <c r="D153" s="68" t="s">
        <v>25126</v>
      </c>
      <c r="E153" s="68" t="s">
        <v>25524</v>
      </c>
      <c r="F153" s="68" t="s">
        <v>25525</v>
      </c>
      <c r="G153" s="81" t="s">
        <v>19285</v>
      </c>
      <c r="H153" s="69">
        <v>45003</v>
      </c>
      <c r="I153" s="69">
        <v>45003</v>
      </c>
      <c r="J153" s="68">
        <v>1</v>
      </c>
      <c r="K153" s="68">
        <v>1</v>
      </c>
      <c r="L153" s="68" t="s">
        <v>24995</v>
      </c>
      <c r="M153" s="68" t="s">
        <v>24995</v>
      </c>
      <c r="N153" s="62" t="s">
        <v>19269</v>
      </c>
      <c r="O153" s="68" t="s">
        <v>5279</v>
      </c>
      <c r="P153" s="42" t="str">
        <f>+IF(O153="","",IFERROR(VLOOKUP(O153,CODIGO_DIAGNOSTICO,2,0),"CÓDIGO NO ENCONTRADO"))</f>
        <v>INFECCION DE VIAS URINARIAS, SITIO NO ESPECIFICADO</v>
      </c>
      <c r="Q153" s="68" t="s">
        <v>19230</v>
      </c>
      <c r="R153" s="67">
        <v>0</v>
      </c>
      <c r="S153" s="77"/>
      <c r="T153" s="76">
        <v>0</v>
      </c>
      <c r="U153" s="65">
        <f>SUM(W153/30)</f>
        <v>42400.166666666664</v>
      </c>
      <c r="V153" s="68" t="s">
        <v>25941</v>
      </c>
      <c r="W153" s="70">
        <v>1272005</v>
      </c>
      <c r="X153" s="68">
        <v>0</v>
      </c>
      <c r="Y153" s="70">
        <v>84800</v>
      </c>
      <c r="Z153" s="72"/>
    </row>
    <row r="154" spans="1:26" ht="15.75" hidden="1" customHeight="1" x14ac:dyDescent="0.25">
      <c r="A154" s="64">
        <v>3</v>
      </c>
      <c r="B154" s="62">
        <v>98648701</v>
      </c>
      <c r="C154" s="62" t="s">
        <v>25553</v>
      </c>
      <c r="D154" s="62" t="s">
        <v>25426</v>
      </c>
      <c r="E154" s="62" t="s">
        <v>25221</v>
      </c>
      <c r="F154" s="62" t="s">
        <v>25554</v>
      </c>
      <c r="G154" s="81" t="s">
        <v>19285</v>
      </c>
      <c r="H154" s="63">
        <v>45003</v>
      </c>
      <c r="I154" s="63">
        <v>45004</v>
      </c>
      <c r="J154" s="62">
        <v>2</v>
      </c>
      <c r="K154" s="62">
        <v>2</v>
      </c>
      <c r="L154" s="62" t="s">
        <v>24995</v>
      </c>
      <c r="M154" s="62" t="s">
        <v>24995</v>
      </c>
      <c r="N154" s="62" t="s">
        <v>19269</v>
      </c>
      <c r="O154" s="62" t="s">
        <v>4841</v>
      </c>
      <c r="P154" s="42" t="str">
        <f>+IF(O154="","",IFERROR(VLOOKUP(O154,CODIGO_DIAGNOSTICO,2,0),"CÓDIGO NO ENCONTRADO"))</f>
        <v>DORSALGIA, NO ESPECIFICADA</v>
      </c>
      <c r="Q154" s="62" t="s">
        <v>19230</v>
      </c>
      <c r="R154" s="64">
        <v>0</v>
      </c>
      <c r="S154" s="75"/>
      <c r="T154" s="75"/>
      <c r="U154" s="65">
        <f>SUM(W154/30)</f>
        <v>42400.166666666664</v>
      </c>
      <c r="V154" s="62" t="s">
        <v>25941</v>
      </c>
      <c r="W154" s="65">
        <v>1272005</v>
      </c>
      <c r="X154" s="62">
        <v>0</v>
      </c>
      <c r="Y154" s="65">
        <v>84800</v>
      </c>
      <c r="Z154" s="73"/>
    </row>
    <row r="155" spans="1:26" ht="15.75" hidden="1" customHeight="1" x14ac:dyDescent="0.25">
      <c r="A155" s="67">
        <v>3</v>
      </c>
      <c r="B155" s="68">
        <v>1128458954</v>
      </c>
      <c r="C155" s="68" t="s">
        <v>25181</v>
      </c>
      <c r="D155" s="68" t="s">
        <v>25555</v>
      </c>
      <c r="E155" s="68" t="s">
        <v>25383</v>
      </c>
      <c r="F155" s="68" t="s">
        <v>25384</v>
      </c>
      <c r="G155" s="81" t="s">
        <v>19285</v>
      </c>
      <c r="H155" s="69">
        <v>45003</v>
      </c>
      <c r="I155" s="69">
        <v>45004</v>
      </c>
      <c r="J155" s="68">
        <v>2</v>
      </c>
      <c r="K155" s="68">
        <v>2</v>
      </c>
      <c r="L155" s="68" t="s">
        <v>24995</v>
      </c>
      <c r="M155" s="68" t="s">
        <v>24995</v>
      </c>
      <c r="N155" s="62" t="s">
        <v>19269</v>
      </c>
      <c r="O155" s="68" t="s">
        <v>5279</v>
      </c>
      <c r="P155" s="42" t="str">
        <f>+IF(O155="","",IFERROR(VLOOKUP(O155,CODIGO_DIAGNOSTICO,2,0),"CÓDIGO NO ENCONTRADO"))</f>
        <v>INFECCION DE VIAS URINARIAS, SITIO NO ESPECIFICADO</v>
      </c>
      <c r="Q155" s="68" t="s">
        <v>19230</v>
      </c>
      <c r="R155" s="67">
        <v>0</v>
      </c>
      <c r="S155" s="77"/>
      <c r="T155" s="76"/>
      <c r="U155" s="65">
        <f>SUM(W155/30)</f>
        <v>42400.166666666664</v>
      </c>
      <c r="V155" s="68" t="s">
        <v>25941</v>
      </c>
      <c r="W155" s="70">
        <v>1272005</v>
      </c>
      <c r="X155" s="68">
        <v>0</v>
      </c>
      <c r="Y155" s="70">
        <v>84800</v>
      </c>
      <c r="Z155" s="72"/>
    </row>
    <row r="156" spans="1:26" ht="15.75" hidden="1" customHeight="1" x14ac:dyDescent="0.25">
      <c r="A156" s="64">
        <v>3</v>
      </c>
      <c r="B156" s="62">
        <v>1076385711</v>
      </c>
      <c r="C156" s="62" t="s">
        <v>25083</v>
      </c>
      <c r="D156" s="62" t="s">
        <v>25173</v>
      </c>
      <c r="E156" s="62" t="s">
        <v>25531</v>
      </c>
      <c r="F156" s="62" t="s">
        <v>25532</v>
      </c>
      <c r="G156" s="81" t="s">
        <v>19285</v>
      </c>
      <c r="H156" s="63">
        <v>45003</v>
      </c>
      <c r="I156" s="63">
        <v>45017</v>
      </c>
      <c r="J156" s="62">
        <v>15</v>
      </c>
      <c r="K156" s="62">
        <v>17</v>
      </c>
      <c r="L156" s="62" t="s">
        <v>24995</v>
      </c>
      <c r="M156" s="62" t="s">
        <v>24995</v>
      </c>
      <c r="N156" s="62" t="s">
        <v>19269</v>
      </c>
      <c r="O156" s="62" t="s">
        <v>7508</v>
      </c>
      <c r="P156" s="42" t="str">
        <f>+IF(O156="","",IFERROR(VLOOKUP(O156,CODIGO_DIAGNOSTICO,2,0),"CÓDIGO NO ENCONTRADO"))</f>
        <v>LUXACION DE LA ARTICULACION DEL HOMBRO</v>
      </c>
      <c r="Q156" s="62" t="s">
        <v>19230</v>
      </c>
      <c r="R156" s="64"/>
      <c r="S156" s="75">
        <v>45005</v>
      </c>
      <c r="T156" s="75">
        <v>45013</v>
      </c>
      <c r="U156" s="65">
        <f>SUM(W156/30)</f>
        <v>42400.166666666664</v>
      </c>
      <c r="V156" s="62" t="s">
        <v>25941</v>
      </c>
      <c r="W156" s="65">
        <v>1272005</v>
      </c>
      <c r="X156" s="62">
        <v>0</v>
      </c>
      <c r="Y156" s="65">
        <v>84800</v>
      </c>
      <c r="Z156" s="73"/>
    </row>
    <row r="157" spans="1:26" ht="15.75" hidden="1" customHeight="1" x14ac:dyDescent="0.25">
      <c r="A157" s="67">
        <v>3</v>
      </c>
      <c r="B157" s="68">
        <v>1066181597</v>
      </c>
      <c r="C157" s="68" t="s">
        <v>25559</v>
      </c>
      <c r="D157" s="68" t="s">
        <v>25520</v>
      </c>
      <c r="E157" s="68" t="s">
        <v>25035</v>
      </c>
      <c r="F157" s="68" t="s">
        <v>25255</v>
      </c>
      <c r="G157" s="81" t="s">
        <v>19285</v>
      </c>
      <c r="H157" s="69">
        <v>45003</v>
      </c>
      <c r="I157" s="69">
        <v>45005</v>
      </c>
      <c r="J157" s="68">
        <v>3</v>
      </c>
      <c r="K157" s="68">
        <v>3</v>
      </c>
      <c r="L157" s="68" t="s">
        <v>24995</v>
      </c>
      <c r="M157" s="68" t="s">
        <v>24995</v>
      </c>
      <c r="N157" s="62" t="s">
        <v>19269</v>
      </c>
      <c r="O157" s="68" t="s">
        <v>6929</v>
      </c>
      <c r="P157" s="42" t="str">
        <f>+IF(O157="","",IFERROR(VLOOKUP(O157,CODIGO_DIAGNOSTICO,2,0),"CÓDIGO NO ENCONTRADO"))</f>
        <v>DOLOR EN EL PECHO, NO ESPECIFICADO</v>
      </c>
      <c r="Q157" s="68" t="s">
        <v>24996</v>
      </c>
      <c r="R157" s="67"/>
      <c r="S157" s="77"/>
      <c r="T157" s="76"/>
      <c r="U157" s="65">
        <f>SUM(W157/30)</f>
        <v>42400.166666666664</v>
      </c>
      <c r="V157" s="68" t="s">
        <v>25941</v>
      </c>
      <c r="W157" s="70">
        <v>1272005</v>
      </c>
      <c r="X157" s="68">
        <v>0</v>
      </c>
      <c r="Y157" s="70">
        <v>84800</v>
      </c>
      <c r="Z157" s="72"/>
    </row>
    <row r="158" spans="1:26" ht="15.75" hidden="1" customHeight="1" x14ac:dyDescent="0.25">
      <c r="A158" s="64">
        <v>3</v>
      </c>
      <c r="B158" s="62">
        <v>15444896</v>
      </c>
      <c r="C158" s="62" t="s">
        <v>24997</v>
      </c>
      <c r="D158" s="62" t="s">
        <v>25094</v>
      </c>
      <c r="E158" s="62" t="s">
        <v>25241</v>
      </c>
      <c r="F158" s="62" t="s">
        <v>25530</v>
      </c>
      <c r="G158" s="81" t="s">
        <v>19285</v>
      </c>
      <c r="H158" s="63">
        <v>45005</v>
      </c>
      <c r="I158" s="63">
        <v>45006</v>
      </c>
      <c r="J158" s="62">
        <v>2</v>
      </c>
      <c r="K158" s="62">
        <v>2</v>
      </c>
      <c r="L158" s="62" t="s">
        <v>24995</v>
      </c>
      <c r="M158" s="62" t="s">
        <v>24995</v>
      </c>
      <c r="N158" s="62" t="s">
        <v>19269</v>
      </c>
      <c r="O158" s="62" t="s">
        <v>15281</v>
      </c>
      <c r="P158" s="42" t="str">
        <f>+IF(O158="","",IFERROR(VLOOKUP(O158,CODIGO_DIAGNOSTICO,2,0),"CÓDIGO NO ENCONTRADO"))</f>
        <v>RINOFARINGITIS AGUDA (RESFRIADO COMUN)</v>
      </c>
      <c r="Q158" s="62" t="s">
        <v>24996</v>
      </c>
      <c r="R158" s="64">
        <v>0</v>
      </c>
      <c r="S158" s="75"/>
      <c r="T158" s="75"/>
      <c r="U158" s="65">
        <f>SUM(W158/30)</f>
        <v>42400.166666666664</v>
      </c>
      <c r="V158" s="62" t="s">
        <v>25941</v>
      </c>
      <c r="W158" s="65">
        <v>1272005</v>
      </c>
      <c r="X158" s="62">
        <v>0</v>
      </c>
      <c r="Y158" s="65">
        <v>84800</v>
      </c>
      <c r="Z158" s="73"/>
    </row>
    <row r="159" spans="1:26" ht="15.75" hidden="1" customHeight="1" x14ac:dyDescent="0.25">
      <c r="A159" s="67">
        <v>3</v>
      </c>
      <c r="B159" s="68">
        <v>71395493</v>
      </c>
      <c r="C159" s="68" t="s">
        <v>25284</v>
      </c>
      <c r="D159" s="68" t="s">
        <v>25181</v>
      </c>
      <c r="E159" s="68" t="s">
        <v>25556</v>
      </c>
      <c r="F159" s="68" t="s">
        <v>25020</v>
      </c>
      <c r="G159" s="81" t="s">
        <v>19285</v>
      </c>
      <c r="H159" s="69">
        <v>45005</v>
      </c>
      <c r="I159" s="69">
        <v>45007</v>
      </c>
      <c r="J159" s="68">
        <v>3</v>
      </c>
      <c r="K159" s="68">
        <v>3</v>
      </c>
      <c r="L159" s="68" t="s">
        <v>24995</v>
      </c>
      <c r="M159" s="68" t="s">
        <v>24995</v>
      </c>
      <c r="N159" s="62" t="s">
        <v>19269</v>
      </c>
      <c r="O159" s="68" t="s">
        <v>7492</v>
      </c>
      <c r="P159" s="42" t="str">
        <f>+IF(O159="","",IFERROR(VLOOKUP(O159,CODIGO_DIAGNOSTICO,2,0),"CÓDIGO NO ENCONTRADO"))</f>
        <v>CONTUSION DEL HOMBRO Y DEL BRAZO</v>
      </c>
      <c r="Q159" s="68" t="s">
        <v>19230</v>
      </c>
      <c r="R159" s="67"/>
      <c r="S159" s="77"/>
      <c r="T159" s="76"/>
      <c r="U159" s="65">
        <f>SUM(W159/30)</f>
        <v>42400.166666666664</v>
      </c>
      <c r="V159" s="68" t="s">
        <v>25941</v>
      </c>
      <c r="W159" s="70">
        <v>1272005</v>
      </c>
      <c r="X159" s="68">
        <v>0</v>
      </c>
      <c r="Y159" s="70">
        <v>84800</v>
      </c>
      <c r="Z159" s="72"/>
    </row>
    <row r="160" spans="1:26" ht="15.75" hidden="1" customHeight="1" x14ac:dyDescent="0.25">
      <c r="A160" s="64">
        <v>3</v>
      </c>
      <c r="B160" s="62">
        <v>1216722770</v>
      </c>
      <c r="C160" s="62" t="s">
        <v>25247</v>
      </c>
      <c r="D160" s="62" t="s">
        <v>25348</v>
      </c>
      <c r="E160" s="62" t="s">
        <v>25349</v>
      </c>
      <c r="F160" s="62" t="s">
        <v>25060</v>
      </c>
      <c r="G160" s="81" t="s">
        <v>19285</v>
      </c>
      <c r="H160" s="63">
        <v>45006</v>
      </c>
      <c r="I160" s="63">
        <v>45035</v>
      </c>
      <c r="J160" s="62">
        <v>30</v>
      </c>
      <c r="K160" s="62">
        <v>10</v>
      </c>
      <c r="L160" s="62" t="s">
        <v>19262</v>
      </c>
      <c r="M160" s="62" t="s">
        <v>19262</v>
      </c>
      <c r="N160" s="62" t="s">
        <v>19269</v>
      </c>
      <c r="O160" s="62" t="s">
        <v>7724</v>
      </c>
      <c r="P160" s="42" t="str">
        <f>+IF(O160="","",IFERROR(VLOOKUP(O160,CODIGO_DIAGNOSTICO,2,0),"CÓDIGO NO ENCONTRADO"))</f>
        <v>FRACTURA DE LA DIAFISIS DE LA TIBIA</v>
      </c>
      <c r="Q160" s="62" t="s">
        <v>19231</v>
      </c>
      <c r="R160" s="64"/>
      <c r="S160" s="75">
        <v>45038</v>
      </c>
      <c r="T160" s="75">
        <v>45086</v>
      </c>
      <c r="U160" s="65">
        <f>SUM(W160/30)</f>
        <v>42400.166666666664</v>
      </c>
      <c r="V160" s="62" t="s">
        <v>25941</v>
      </c>
      <c r="W160" s="65">
        <v>1272005</v>
      </c>
      <c r="X160" s="62">
        <v>0</v>
      </c>
      <c r="Y160" s="65">
        <v>84800</v>
      </c>
      <c r="Z160" s="73"/>
    </row>
    <row r="161" spans="1:26" ht="15.75" hidden="1" customHeight="1" x14ac:dyDescent="0.25">
      <c r="A161" s="67">
        <v>3</v>
      </c>
      <c r="B161" s="68">
        <v>1216722370</v>
      </c>
      <c r="C161" s="68" t="s">
        <v>25247</v>
      </c>
      <c r="D161" s="68" t="s">
        <v>25348</v>
      </c>
      <c r="E161" s="68" t="s">
        <v>25349</v>
      </c>
      <c r="F161" s="68" t="s">
        <v>25060</v>
      </c>
      <c r="G161" s="81" t="s">
        <v>19285</v>
      </c>
      <c r="H161" s="69">
        <v>45006</v>
      </c>
      <c r="I161" s="69">
        <v>45035</v>
      </c>
      <c r="J161" s="68">
        <v>30</v>
      </c>
      <c r="K161" s="68">
        <v>11</v>
      </c>
      <c r="L161" s="68" t="s">
        <v>19262</v>
      </c>
      <c r="M161" s="68" t="s">
        <v>19262</v>
      </c>
      <c r="N161" s="62" t="s">
        <v>19269</v>
      </c>
      <c r="O161" s="68" t="s">
        <v>7724</v>
      </c>
      <c r="P161" s="42" t="str">
        <f>+IF(O161="","",IFERROR(VLOOKUP(O161,CODIGO_DIAGNOSTICO,2,0),"CÓDIGO NO ENCONTRADO"))</f>
        <v>FRACTURA DE LA DIAFISIS DE LA TIBIA</v>
      </c>
      <c r="Q161" s="68" t="s">
        <v>19288</v>
      </c>
      <c r="R161" s="67"/>
      <c r="S161" s="77">
        <v>45026</v>
      </c>
      <c r="T161" s="76">
        <v>45051</v>
      </c>
      <c r="U161" s="65">
        <f>SUM(W161/30)</f>
        <v>42400.166666666664</v>
      </c>
      <c r="V161" s="68" t="s">
        <v>25941</v>
      </c>
      <c r="W161" s="70">
        <v>1272005</v>
      </c>
      <c r="X161" s="68">
        <v>0</v>
      </c>
      <c r="Y161" s="70">
        <v>84800</v>
      </c>
      <c r="Z161" s="72"/>
    </row>
    <row r="162" spans="1:26" ht="15.75" hidden="1" customHeight="1" x14ac:dyDescent="0.25">
      <c r="A162" s="64">
        <v>4</v>
      </c>
      <c r="B162" s="62">
        <v>1216713788</v>
      </c>
      <c r="C162" s="62" t="s">
        <v>24987</v>
      </c>
      <c r="D162" s="62" t="s">
        <v>25687</v>
      </c>
      <c r="E162" s="62" t="s">
        <v>25089</v>
      </c>
      <c r="F162" s="62" t="s">
        <v>25066</v>
      </c>
      <c r="G162" s="81" t="s">
        <v>19285</v>
      </c>
      <c r="H162" s="63">
        <v>45006</v>
      </c>
      <c r="I162" s="63">
        <v>45034</v>
      </c>
      <c r="J162" s="62">
        <v>30</v>
      </c>
      <c r="K162" s="62">
        <v>18</v>
      </c>
      <c r="L162" s="62" t="s">
        <v>24995</v>
      </c>
      <c r="M162" s="62" t="s">
        <v>19262</v>
      </c>
      <c r="N162" s="62" t="s">
        <v>19269</v>
      </c>
      <c r="O162" s="62" t="s">
        <v>7737</v>
      </c>
      <c r="P162" s="42" t="str">
        <f>+IF(O162="","",IFERROR(VLOOKUP(O162,CODIGO_DIAGNOSTICO,2,0),"CÓDIGO NO ENCONTRADO"))</f>
        <v>ESGUINCES Y TORCEDURAS QUE COMPROMETEN EL LIGAMENTO CRUZADO (ANTERIOR) (POSTERIOR) DE LA RODILLA</v>
      </c>
      <c r="Q162" s="62" t="s">
        <v>25001</v>
      </c>
      <c r="R162" s="64">
        <v>6919420</v>
      </c>
      <c r="S162" s="75">
        <v>45166</v>
      </c>
      <c r="T162" s="75">
        <v>45176</v>
      </c>
      <c r="U162" s="65">
        <f>SUM(W162/30)</f>
        <v>42400.166666666664</v>
      </c>
      <c r="V162" s="62" t="s">
        <v>25941</v>
      </c>
      <c r="W162" s="65">
        <v>1272005</v>
      </c>
      <c r="X162" s="62">
        <v>0</v>
      </c>
      <c r="Y162" s="65">
        <v>84800</v>
      </c>
      <c r="Z162" s="73"/>
    </row>
    <row r="163" spans="1:26" ht="15.75" hidden="1" customHeight="1" x14ac:dyDescent="0.25">
      <c r="A163" s="67">
        <v>3</v>
      </c>
      <c r="B163" s="68">
        <v>15309929</v>
      </c>
      <c r="C163" s="68" t="s">
        <v>25011</v>
      </c>
      <c r="D163" s="68" t="s">
        <v>25214</v>
      </c>
      <c r="E163" s="68" t="s">
        <v>25557</v>
      </c>
      <c r="F163" s="68" t="s">
        <v>25014</v>
      </c>
      <c r="G163" s="81" t="s">
        <v>19285</v>
      </c>
      <c r="H163" s="69">
        <v>45009</v>
      </c>
      <c r="I163" s="69">
        <v>45023</v>
      </c>
      <c r="J163" s="68">
        <v>15</v>
      </c>
      <c r="K163" s="68">
        <v>8</v>
      </c>
      <c r="L163" s="68" t="s">
        <v>19262</v>
      </c>
      <c r="M163" s="68" t="s">
        <v>19262</v>
      </c>
      <c r="N163" s="62" t="s">
        <v>19269</v>
      </c>
      <c r="O163" s="68" t="s">
        <v>7734</v>
      </c>
      <c r="P163" s="42" t="str">
        <f>+IF(O163="","",IFERROR(VLOOKUP(O163,CODIGO_DIAGNOSTICO,2,0),"CÓDIGO NO ENCONTRADO"))</f>
        <v>DESGARRO DE MENISCOS, PRESENTE</v>
      </c>
      <c r="Q163" s="68" t="s">
        <v>19230</v>
      </c>
      <c r="R163" s="67"/>
      <c r="S163" s="77">
        <v>45010</v>
      </c>
      <c r="T163" s="76">
        <v>45015</v>
      </c>
      <c r="U163" s="65">
        <f>SUM(W163/30)</f>
        <v>42400.166666666664</v>
      </c>
      <c r="V163" s="68" t="s">
        <v>25941</v>
      </c>
      <c r="W163" s="70">
        <v>1272005</v>
      </c>
      <c r="X163" s="68">
        <v>0</v>
      </c>
      <c r="Y163" s="70">
        <v>84800</v>
      </c>
      <c r="Z163" s="72"/>
    </row>
    <row r="164" spans="1:26" ht="15.75" hidden="1" customHeight="1" x14ac:dyDescent="0.25">
      <c r="A164" s="64">
        <v>3</v>
      </c>
      <c r="B164" s="62">
        <v>70323164</v>
      </c>
      <c r="C164" s="62" t="s">
        <v>25145</v>
      </c>
      <c r="D164" s="62" t="s">
        <v>25062</v>
      </c>
      <c r="E164" s="62" t="s">
        <v>25188</v>
      </c>
      <c r="F164" s="62" t="s">
        <v>25146</v>
      </c>
      <c r="G164" s="81" t="s">
        <v>19285</v>
      </c>
      <c r="H164" s="63">
        <v>45010</v>
      </c>
      <c r="I164" s="63">
        <v>45039</v>
      </c>
      <c r="J164" s="62">
        <v>30</v>
      </c>
      <c r="K164" s="62">
        <v>7</v>
      </c>
      <c r="L164" s="62" t="s">
        <v>19262</v>
      </c>
      <c r="M164" s="62" t="s">
        <v>19262</v>
      </c>
      <c r="N164" s="62" t="s">
        <v>19269</v>
      </c>
      <c r="O164" s="62" t="s">
        <v>92</v>
      </c>
      <c r="P164" s="42" t="str">
        <f>+IF(O164="","",IFERROR(VLOOKUP(O164,CODIGO_DIAGNOSTICO,2,0),"CÓDIGO NO ENCONTRADO"))</f>
        <v>TUBERCULOSIS DEL PULMON , CONFIRMADA POR MEDIOS NO ESPECIFICADOS</v>
      </c>
      <c r="Q164" s="62" t="s">
        <v>26059</v>
      </c>
      <c r="R164" s="64"/>
      <c r="S164" s="75"/>
      <c r="T164" s="75"/>
      <c r="U164" s="65">
        <f>SUM(W164/30)</f>
        <v>42400.166666666664</v>
      </c>
      <c r="V164" s="62" t="s">
        <v>25941</v>
      </c>
      <c r="W164" s="65">
        <v>1272005</v>
      </c>
      <c r="X164" s="62">
        <v>0</v>
      </c>
      <c r="Y164" s="65">
        <v>84800</v>
      </c>
      <c r="Z164" s="73"/>
    </row>
    <row r="165" spans="1:26" ht="15.75" hidden="1" customHeight="1" x14ac:dyDescent="0.25">
      <c r="A165" s="67">
        <v>3</v>
      </c>
      <c r="B165" s="68">
        <v>3481465</v>
      </c>
      <c r="C165" s="68" t="s">
        <v>25421</v>
      </c>
      <c r="D165" s="68" t="s">
        <v>25205</v>
      </c>
      <c r="E165" s="68" t="s">
        <v>25206</v>
      </c>
      <c r="F165" s="68" t="s">
        <v>25103</v>
      </c>
      <c r="G165" s="81" t="s">
        <v>19285</v>
      </c>
      <c r="H165" s="69">
        <v>45012</v>
      </c>
      <c r="I165" s="69">
        <v>45031</v>
      </c>
      <c r="J165" s="68">
        <v>20</v>
      </c>
      <c r="K165" s="68">
        <v>5</v>
      </c>
      <c r="L165" s="68" t="s">
        <v>19262</v>
      </c>
      <c r="M165" s="68" t="s">
        <v>19262</v>
      </c>
      <c r="N165" s="62" t="s">
        <v>19269</v>
      </c>
      <c r="O165" s="68" t="s">
        <v>2095</v>
      </c>
      <c r="P165" s="42" t="str">
        <f>+IF(O165="","",IFERROR(VLOOKUP(O165,CODIGO_DIAGNOSTICO,2,0),"CÓDIGO NO ENCONTRADO"))</f>
        <v>TRASTORNO MENTAL NO ESPECIFICADO DEBIDO A LESION Y DISFUNCION CEREBRAL Y A ENFERMEDAD FISICA</v>
      </c>
      <c r="Q165" s="68" t="s">
        <v>19230</v>
      </c>
      <c r="R165" s="67"/>
      <c r="S165" s="77"/>
      <c r="T165" s="76"/>
      <c r="U165" s="65">
        <f>SUM(W165/30)</f>
        <v>42400.166666666664</v>
      </c>
      <c r="V165" s="68" t="s">
        <v>25941</v>
      </c>
      <c r="W165" s="70">
        <v>1272005</v>
      </c>
      <c r="X165" s="68">
        <v>0</v>
      </c>
      <c r="Y165" s="70">
        <v>84800</v>
      </c>
      <c r="Z165" s="72"/>
    </row>
    <row r="166" spans="1:26" ht="15.75" hidden="1" customHeight="1" x14ac:dyDescent="0.25">
      <c r="A166" s="64">
        <v>8</v>
      </c>
      <c r="B166" s="62">
        <v>71601851</v>
      </c>
      <c r="C166" s="62" t="s">
        <v>25340</v>
      </c>
      <c r="D166" s="62" t="s">
        <v>25179</v>
      </c>
      <c r="E166" s="62" t="s">
        <v>25466</v>
      </c>
      <c r="F166" s="62" t="s">
        <v>25023</v>
      </c>
      <c r="G166" s="81" t="s">
        <v>19285</v>
      </c>
      <c r="H166" s="63">
        <v>45014</v>
      </c>
      <c r="I166" s="63">
        <v>45027</v>
      </c>
      <c r="J166" s="62">
        <v>14</v>
      </c>
      <c r="K166" s="62">
        <v>14</v>
      </c>
      <c r="L166" s="62" t="s">
        <v>19262</v>
      </c>
      <c r="M166" s="62" t="s">
        <v>19262</v>
      </c>
      <c r="N166" s="62" t="s">
        <v>19269</v>
      </c>
      <c r="O166" s="62" t="s">
        <v>4695</v>
      </c>
      <c r="P166" s="42" t="str">
        <f>+IF(O166="","",IFERROR(VLOOKUP(O166,CODIGO_DIAGNOSTICO,2,0),"CÓDIGO NO ENCONTRADO"))</f>
        <v>TRASTORNOS INTERNO DE LA RODILLA, NO ESPECIFICADO</v>
      </c>
      <c r="Q166" s="62" t="s">
        <v>19231</v>
      </c>
      <c r="R166" s="64"/>
      <c r="S166" s="75">
        <v>45031</v>
      </c>
      <c r="T166" s="75">
        <v>45065</v>
      </c>
      <c r="U166" s="65">
        <f>SUM(W166/30)</f>
        <v>42400.166666666664</v>
      </c>
      <c r="V166" s="62" t="s">
        <v>25941</v>
      </c>
      <c r="W166" s="65">
        <v>1272005</v>
      </c>
      <c r="X166" s="62">
        <v>0</v>
      </c>
      <c r="Y166" s="65">
        <v>84800</v>
      </c>
      <c r="Z166" s="73"/>
    </row>
    <row r="167" spans="1:26" ht="15.75" hidden="1" customHeight="1" x14ac:dyDescent="0.25">
      <c r="A167" s="67">
        <v>3</v>
      </c>
      <c r="B167" s="68">
        <v>71676289</v>
      </c>
      <c r="C167" s="68" t="s">
        <v>25015</v>
      </c>
      <c r="D167" s="68" t="s">
        <v>25012</v>
      </c>
      <c r="E167" s="68" t="s">
        <v>25560</v>
      </c>
      <c r="F167" s="68" t="s">
        <v>25004</v>
      </c>
      <c r="G167" s="81" t="s">
        <v>19285</v>
      </c>
      <c r="H167" s="69">
        <v>45015</v>
      </c>
      <c r="I167" s="69">
        <v>45029</v>
      </c>
      <c r="J167" s="68">
        <v>15</v>
      </c>
      <c r="K167" s="68">
        <v>2</v>
      </c>
      <c r="L167" s="68" t="s">
        <v>19262</v>
      </c>
      <c r="M167" s="68" t="s">
        <v>19262</v>
      </c>
      <c r="N167" s="62" t="s">
        <v>19269</v>
      </c>
      <c r="O167" s="68" t="s">
        <v>7822</v>
      </c>
      <c r="P167" s="42" t="str">
        <f>+IF(O167="","",IFERROR(VLOOKUP(O167,CODIGO_DIAGNOSTICO,2,0),"CÓDIGO NO ENCONTRADO"))</f>
        <v>AMPUTACION TRAUMATICA DE OTRAS PARTES DEL PIE</v>
      </c>
      <c r="Q167" s="68" t="s">
        <v>26059</v>
      </c>
      <c r="R167" s="67"/>
      <c r="S167" s="77"/>
      <c r="T167" s="76"/>
      <c r="U167" s="65">
        <f>SUM(W167/30)</f>
        <v>42400.166666666664</v>
      </c>
      <c r="V167" s="68" t="s">
        <v>25941</v>
      </c>
      <c r="W167" s="70">
        <v>1272005</v>
      </c>
      <c r="X167" s="68">
        <v>0</v>
      </c>
      <c r="Y167" s="70">
        <v>84800</v>
      </c>
      <c r="Z167" s="72"/>
    </row>
    <row r="168" spans="1:26" ht="15.75" hidden="1" customHeight="1" x14ac:dyDescent="0.25">
      <c r="A168" s="64">
        <v>3</v>
      </c>
      <c r="B168" s="62">
        <v>71727521</v>
      </c>
      <c r="C168" s="62" t="s">
        <v>25528</v>
      </c>
      <c r="D168" s="62" t="s">
        <v>25415</v>
      </c>
      <c r="E168" s="62" t="s">
        <v>25198</v>
      </c>
      <c r="F168" s="62" t="s">
        <v>25131</v>
      </c>
      <c r="G168" s="81" t="s">
        <v>19285</v>
      </c>
      <c r="H168" s="63">
        <v>45015</v>
      </c>
      <c r="I168" s="63">
        <v>45019</v>
      </c>
      <c r="J168" s="62">
        <v>5</v>
      </c>
      <c r="K168" s="62">
        <v>2</v>
      </c>
      <c r="L168" s="62" t="s">
        <v>19262</v>
      </c>
      <c r="M168" s="62" t="s">
        <v>19262</v>
      </c>
      <c r="N168" s="62" t="s">
        <v>19269</v>
      </c>
      <c r="O168" s="62" t="s">
        <v>4711</v>
      </c>
      <c r="P168" s="42" t="str">
        <f>+IF(O168="","",IFERROR(VLOOKUP(O168,CODIGO_DIAGNOSTICO,2,0),"CÓDIGO NO ENCONTRADO"))</f>
        <v>DOLOR EN ARTICULACION</v>
      </c>
      <c r="Q168" s="62" t="s">
        <v>19288</v>
      </c>
      <c r="R168" s="64"/>
      <c r="S168" s="75">
        <v>44995</v>
      </c>
      <c r="T168" s="75">
        <v>45048</v>
      </c>
      <c r="U168" s="65">
        <f>SUM(W168/30)</f>
        <v>42400.166666666664</v>
      </c>
      <c r="V168" s="62" t="s">
        <v>25941</v>
      </c>
      <c r="W168" s="65">
        <v>1272005</v>
      </c>
      <c r="X168" s="62">
        <v>0</v>
      </c>
      <c r="Y168" s="65">
        <v>84800</v>
      </c>
      <c r="Z168" s="73"/>
    </row>
    <row r="169" spans="1:26" ht="15.75" hidden="1" customHeight="1" x14ac:dyDescent="0.25">
      <c r="A169" s="67">
        <v>3</v>
      </c>
      <c r="B169" s="68">
        <v>71382103</v>
      </c>
      <c r="C169" s="68" t="s">
        <v>25274</v>
      </c>
      <c r="D169" s="68" t="s">
        <v>25275</v>
      </c>
      <c r="E169" s="68" t="s">
        <v>25198</v>
      </c>
      <c r="F169" s="68" t="s">
        <v>25276</v>
      </c>
      <c r="G169" s="81" t="s">
        <v>19285</v>
      </c>
      <c r="H169" s="69">
        <v>45015</v>
      </c>
      <c r="I169" s="69">
        <v>45017</v>
      </c>
      <c r="J169" s="68">
        <v>3</v>
      </c>
      <c r="K169" s="68">
        <v>3</v>
      </c>
      <c r="L169" s="68" t="s">
        <v>24995</v>
      </c>
      <c r="M169" s="68" t="s">
        <v>24995</v>
      </c>
      <c r="N169" s="62" t="s">
        <v>19269</v>
      </c>
      <c r="O169" s="68" t="s">
        <v>4690</v>
      </c>
      <c r="P169" s="42" t="str">
        <f>+IF(O169="","",IFERROR(VLOOKUP(O169,CODIGO_DIAGNOSTICO,2,0),"CÓDIGO NO ENCONTRADO"))</f>
        <v>OTROS TRASTORNOS DE LOS MENISCOS</v>
      </c>
      <c r="Q169" s="68" t="s">
        <v>19230</v>
      </c>
      <c r="R169" s="67"/>
      <c r="S169" s="77">
        <v>45018</v>
      </c>
      <c r="T169" s="76">
        <v>45029</v>
      </c>
      <c r="U169" s="65">
        <f>SUM(W169/30)</f>
        <v>42400.166666666664</v>
      </c>
      <c r="V169" s="68" t="s">
        <v>25941</v>
      </c>
      <c r="W169" s="70">
        <v>1272005</v>
      </c>
      <c r="X169" s="68">
        <v>0</v>
      </c>
      <c r="Y169" s="70">
        <v>84800</v>
      </c>
      <c r="Z169" s="72"/>
    </row>
    <row r="170" spans="1:26" ht="15.75" hidden="1" customHeight="1" x14ac:dyDescent="0.25">
      <c r="A170" s="64">
        <v>3</v>
      </c>
      <c r="B170" s="62">
        <v>71382103</v>
      </c>
      <c r="C170" s="62" t="s">
        <v>25274</v>
      </c>
      <c r="D170" s="62" t="s">
        <v>25275</v>
      </c>
      <c r="E170" s="62" t="s">
        <v>25198</v>
      </c>
      <c r="F170" s="62" t="s">
        <v>25276</v>
      </c>
      <c r="G170" s="81" t="s">
        <v>19285</v>
      </c>
      <c r="H170" s="63">
        <v>45015</v>
      </c>
      <c r="I170" s="63">
        <v>45017</v>
      </c>
      <c r="J170" s="62">
        <v>3</v>
      </c>
      <c r="K170" s="62">
        <v>3</v>
      </c>
      <c r="L170" s="62" t="s">
        <v>24995</v>
      </c>
      <c r="M170" s="62" t="s">
        <v>24995</v>
      </c>
      <c r="N170" s="62" t="s">
        <v>19269</v>
      </c>
      <c r="O170" s="62" t="s">
        <v>4690</v>
      </c>
      <c r="P170" s="42" t="str">
        <f>+IF(O170="","",IFERROR(VLOOKUP(O170,CODIGO_DIAGNOSTICO,2,0),"CÓDIGO NO ENCONTRADO"))</f>
        <v>OTROS TRASTORNOS DE LOS MENISCOS</v>
      </c>
      <c r="Q170" s="62" t="s">
        <v>19230</v>
      </c>
      <c r="R170" s="64"/>
      <c r="S170" s="75"/>
      <c r="T170" s="75"/>
      <c r="U170" s="65">
        <f>SUM(W170/30)</f>
        <v>42400.166666666664</v>
      </c>
      <c r="V170" s="62" t="s">
        <v>25941</v>
      </c>
      <c r="W170" s="65">
        <v>1272005</v>
      </c>
      <c r="X170" s="62">
        <v>0</v>
      </c>
      <c r="Y170" s="65">
        <v>84800</v>
      </c>
      <c r="Z170" s="73"/>
    </row>
    <row r="171" spans="1:26" ht="15.75" hidden="1" customHeight="1" x14ac:dyDescent="0.25">
      <c r="A171" s="67">
        <v>3</v>
      </c>
      <c r="B171" s="68">
        <v>3669363</v>
      </c>
      <c r="C171" s="68" t="s">
        <v>25173</v>
      </c>
      <c r="D171" s="68" t="s">
        <v>24983</v>
      </c>
      <c r="E171" s="68" t="s">
        <v>25032</v>
      </c>
      <c r="F171" s="68" t="s">
        <v>25103</v>
      </c>
      <c r="G171" s="81" t="s">
        <v>19285</v>
      </c>
      <c r="H171" s="69">
        <v>45016</v>
      </c>
      <c r="I171" s="69">
        <v>45020</v>
      </c>
      <c r="J171" s="68">
        <v>5</v>
      </c>
      <c r="K171" s="68">
        <v>1</v>
      </c>
      <c r="L171" s="68" t="s">
        <v>24995</v>
      </c>
      <c r="M171" s="68" t="s">
        <v>24995</v>
      </c>
      <c r="N171" s="62" t="s">
        <v>19269</v>
      </c>
      <c r="O171" s="68" t="s">
        <v>4647</v>
      </c>
      <c r="P171" s="42" t="str">
        <f>+IF(O171="","",IFERROR(VLOOKUP(O171,CODIGO_DIAGNOSTICO,2,0),"CÓDIGO NO ENCONTRADO"))</f>
        <v>OTRAS GONARTROSIS POSTRAUMATICAS</v>
      </c>
      <c r="Q171" s="68" t="s">
        <v>19230</v>
      </c>
      <c r="R171" s="67"/>
      <c r="S171" s="77"/>
      <c r="T171" s="76"/>
      <c r="U171" s="65">
        <f>SUM(W171/30)</f>
        <v>42400.166666666664</v>
      </c>
      <c r="V171" s="68" t="s">
        <v>25941</v>
      </c>
      <c r="W171" s="70">
        <v>1272005</v>
      </c>
      <c r="X171" s="68">
        <v>0</v>
      </c>
      <c r="Y171" s="70">
        <v>84800</v>
      </c>
      <c r="Z171" s="72"/>
    </row>
    <row r="172" spans="1:26" ht="15.75" hidden="1" customHeight="1" x14ac:dyDescent="0.25">
      <c r="A172" s="64">
        <v>3</v>
      </c>
      <c r="B172" s="62">
        <v>71420789</v>
      </c>
      <c r="C172" s="62" t="s">
        <v>25362</v>
      </c>
      <c r="D172" s="62" t="s">
        <v>25362</v>
      </c>
      <c r="E172" s="62" t="s">
        <v>25448</v>
      </c>
      <c r="F172" s="62" t="s">
        <v>24982</v>
      </c>
      <c r="G172" s="81" t="s">
        <v>19285</v>
      </c>
      <c r="H172" s="63">
        <v>45016</v>
      </c>
      <c r="I172" s="63">
        <v>45022</v>
      </c>
      <c r="J172" s="62">
        <v>7</v>
      </c>
      <c r="K172" s="62">
        <v>1</v>
      </c>
      <c r="L172" s="62" t="s">
        <v>24995</v>
      </c>
      <c r="M172" s="62" t="s">
        <v>24995</v>
      </c>
      <c r="N172" s="62" t="s">
        <v>19269</v>
      </c>
      <c r="O172" s="62" t="s">
        <v>4403</v>
      </c>
      <c r="P172" s="42" t="str">
        <f>+IF(O172="","",IFERROR(VLOOKUP(O172,CODIGO_DIAGNOSTICO,2,0),"CÓDIGO NO ENCONTRADO"))</f>
        <v>TRASTORNO DE LA UÑA, NO ESPECIFICADO</v>
      </c>
      <c r="Q172" s="62" t="s">
        <v>19230</v>
      </c>
      <c r="R172" s="64"/>
      <c r="S172" s="75"/>
      <c r="T172" s="75"/>
      <c r="U172" s="65">
        <f>SUM(W172/30)</f>
        <v>42400.166666666664</v>
      </c>
      <c r="V172" s="62" t="s">
        <v>25941</v>
      </c>
      <c r="W172" s="65">
        <v>1272005</v>
      </c>
      <c r="X172" s="62">
        <v>0</v>
      </c>
      <c r="Y172" s="65">
        <v>84800</v>
      </c>
      <c r="Z172" s="73"/>
    </row>
    <row r="173" spans="1:26" ht="15.75" hidden="1" customHeight="1" x14ac:dyDescent="0.25">
      <c r="A173" s="67">
        <v>4</v>
      </c>
      <c r="B173" s="68">
        <v>3556779</v>
      </c>
      <c r="C173" s="68" t="s">
        <v>25008</v>
      </c>
      <c r="D173" s="68" t="s">
        <v>24992</v>
      </c>
      <c r="E173" s="68" t="s">
        <v>25009</v>
      </c>
      <c r="F173" s="68" t="s">
        <v>25010</v>
      </c>
      <c r="G173" s="81" t="s">
        <v>19285</v>
      </c>
      <c r="H173" s="69">
        <v>45017</v>
      </c>
      <c r="I173" s="69">
        <v>45018</v>
      </c>
      <c r="J173" s="68">
        <v>2</v>
      </c>
      <c r="K173" s="68">
        <v>2</v>
      </c>
      <c r="L173" s="68" t="s">
        <v>24995</v>
      </c>
      <c r="M173" s="68" t="s">
        <v>24995</v>
      </c>
      <c r="N173" s="62" t="s">
        <v>19269</v>
      </c>
      <c r="O173" s="68" t="s">
        <v>4838</v>
      </c>
      <c r="P173" s="42" t="str">
        <f>+IF(O173="","",IFERROR(VLOOKUP(O173,CODIGO_DIAGNOSTICO,2,0),"CÓDIGO NO ENCONTRADO"))</f>
        <v>LUMBAGO NO ESPECIFICADO</v>
      </c>
      <c r="Q173" s="68" t="s">
        <v>19230</v>
      </c>
      <c r="R173" s="67">
        <v>0</v>
      </c>
      <c r="S173" s="77"/>
      <c r="T173" s="76"/>
      <c r="U173" s="65">
        <f>SUM(W173/30)</f>
        <v>42400.166666666664</v>
      </c>
      <c r="V173" s="68" t="s">
        <v>25941</v>
      </c>
      <c r="W173" s="70">
        <v>1272005</v>
      </c>
      <c r="X173" s="68">
        <v>0</v>
      </c>
      <c r="Y173" s="70">
        <v>84800</v>
      </c>
      <c r="Z173" s="72"/>
    </row>
    <row r="174" spans="1:26" ht="15.75" hidden="1" customHeight="1" x14ac:dyDescent="0.25">
      <c r="A174" s="64">
        <v>4</v>
      </c>
      <c r="B174" s="62">
        <v>1128458954</v>
      </c>
      <c r="C174" s="62" t="s">
        <v>25181</v>
      </c>
      <c r="D174" s="62" t="s">
        <v>25555</v>
      </c>
      <c r="E174" s="62" t="s">
        <v>25383</v>
      </c>
      <c r="F174" s="62" t="s">
        <v>25384</v>
      </c>
      <c r="G174" s="81" t="s">
        <v>19285</v>
      </c>
      <c r="H174" s="63">
        <v>45020</v>
      </c>
      <c r="I174" s="63">
        <v>45026</v>
      </c>
      <c r="J174" s="62">
        <v>7</v>
      </c>
      <c r="K174" s="62">
        <v>7</v>
      </c>
      <c r="L174" s="62" t="s">
        <v>19262</v>
      </c>
      <c r="M174" s="62" t="s">
        <v>19262</v>
      </c>
      <c r="N174" s="62" t="s">
        <v>19269</v>
      </c>
      <c r="O174" s="62" t="s">
        <v>5187</v>
      </c>
      <c r="P174" s="42" t="str">
        <f>+IF(O174="","",IFERROR(VLOOKUP(O174,CODIGO_DIAGNOSTICO,2,0),"CÓDIGO NO ENCONTRADO"))</f>
        <v>PIONEFROSIS</v>
      </c>
      <c r="Q174" s="62" t="s">
        <v>19230</v>
      </c>
      <c r="R174" s="64"/>
      <c r="S174" s="75">
        <v>45022</v>
      </c>
      <c r="T174" s="75">
        <v>45125</v>
      </c>
      <c r="U174" s="65">
        <f>SUM(W174/30)</f>
        <v>42400.166666666664</v>
      </c>
      <c r="V174" s="62" t="s">
        <v>25941</v>
      </c>
      <c r="W174" s="65">
        <v>1272005</v>
      </c>
      <c r="X174" s="62">
        <v>0</v>
      </c>
      <c r="Y174" s="65">
        <v>84800</v>
      </c>
      <c r="Z174" s="73"/>
    </row>
    <row r="175" spans="1:26" ht="15.75" hidden="1" customHeight="1" x14ac:dyDescent="0.25">
      <c r="A175" s="67">
        <v>4</v>
      </c>
      <c r="B175" s="68">
        <v>72296401</v>
      </c>
      <c r="C175" s="68" t="s">
        <v>25599</v>
      </c>
      <c r="D175" s="68" t="s">
        <v>25600</v>
      </c>
      <c r="E175" s="68" t="s">
        <v>25358</v>
      </c>
      <c r="F175" s="68" t="s">
        <v>25005</v>
      </c>
      <c r="G175" s="81" t="s">
        <v>19285</v>
      </c>
      <c r="H175" s="69">
        <v>45024</v>
      </c>
      <c r="I175" s="69">
        <v>45025</v>
      </c>
      <c r="J175" s="68">
        <v>2</v>
      </c>
      <c r="K175" s="68">
        <v>2</v>
      </c>
      <c r="L175" s="68" t="s">
        <v>24995</v>
      </c>
      <c r="M175" s="68" t="s">
        <v>24995</v>
      </c>
      <c r="N175" s="62" t="s">
        <v>19269</v>
      </c>
      <c r="O175" s="68" t="s">
        <v>3960</v>
      </c>
      <c r="P175" s="42" t="str">
        <f>+IF(O175="","",IFERROR(VLOOKUP(O175,CODIGO_DIAGNOSTICO,2,0),"CÓDIGO NO ENCONTRADO"))</f>
        <v>GASTRODUODENITIS, NO ESPECIFICADA</v>
      </c>
      <c r="Q175" s="68" t="s">
        <v>19230</v>
      </c>
      <c r="R175" s="67">
        <v>0</v>
      </c>
      <c r="S175" s="77"/>
      <c r="T175" s="76"/>
      <c r="U175" s="65">
        <f>SUM(W175/30)</f>
        <v>42400.166666666664</v>
      </c>
      <c r="V175" s="68" t="s">
        <v>25941</v>
      </c>
      <c r="W175" s="70">
        <v>1272005</v>
      </c>
      <c r="X175" s="68">
        <v>0</v>
      </c>
      <c r="Y175" s="70">
        <v>84800</v>
      </c>
      <c r="Z175" s="72"/>
    </row>
    <row r="176" spans="1:26" ht="15.75" hidden="1" customHeight="1" x14ac:dyDescent="0.25">
      <c r="A176" s="64">
        <v>4</v>
      </c>
      <c r="B176" s="62">
        <v>1073809676</v>
      </c>
      <c r="C176" s="62" t="s">
        <v>25142</v>
      </c>
      <c r="D176" s="62" t="s">
        <v>25143</v>
      </c>
      <c r="E176" s="62" t="s">
        <v>25144</v>
      </c>
      <c r="F176" s="62"/>
      <c r="G176" s="81" t="s">
        <v>19285</v>
      </c>
      <c r="H176" s="63">
        <v>45025</v>
      </c>
      <c r="I176" s="63">
        <v>45027</v>
      </c>
      <c r="J176" s="62">
        <v>3</v>
      </c>
      <c r="K176" s="62">
        <v>3</v>
      </c>
      <c r="L176" s="62" t="s">
        <v>24995</v>
      </c>
      <c r="M176" s="62" t="s">
        <v>24995</v>
      </c>
      <c r="N176" s="62" t="s">
        <v>19269</v>
      </c>
      <c r="O176" s="62" t="s">
        <v>7057</v>
      </c>
      <c r="P176" s="42" t="str">
        <f>+IF(O176="","",IFERROR(VLOOKUP(O176,CODIGO_DIAGNOSTICO,2,0),"CÓDIGO NO ENCONTRADO"))</f>
        <v>CEFALEA</v>
      </c>
      <c r="Q176" s="62" t="s">
        <v>19231</v>
      </c>
      <c r="R176" s="64"/>
      <c r="S176" s="75">
        <v>45040</v>
      </c>
      <c r="T176" s="75">
        <v>45093</v>
      </c>
      <c r="U176" s="65">
        <f>SUM(W176/30)</f>
        <v>42400.166666666664</v>
      </c>
      <c r="V176" s="62" t="s">
        <v>25941</v>
      </c>
      <c r="W176" s="65">
        <v>1272005</v>
      </c>
      <c r="X176" s="62">
        <v>0</v>
      </c>
      <c r="Y176" s="65">
        <v>84800</v>
      </c>
      <c r="Z176" s="73"/>
    </row>
    <row r="177" spans="1:26" ht="15.75" hidden="1" customHeight="1" x14ac:dyDescent="0.25">
      <c r="A177" s="67">
        <v>4</v>
      </c>
      <c r="B177" s="68">
        <v>1152705094</v>
      </c>
      <c r="C177" s="68" t="s">
        <v>25411</v>
      </c>
      <c r="D177" s="68" t="s">
        <v>25443</v>
      </c>
      <c r="E177" s="68" t="s">
        <v>25598</v>
      </c>
      <c r="F177" s="68"/>
      <c r="G177" s="81" t="s">
        <v>19285</v>
      </c>
      <c r="H177" s="69">
        <v>45026</v>
      </c>
      <c r="I177" s="69">
        <v>45028</v>
      </c>
      <c r="J177" s="68">
        <v>3</v>
      </c>
      <c r="K177" s="68">
        <v>3</v>
      </c>
      <c r="L177" s="68" t="s">
        <v>24995</v>
      </c>
      <c r="M177" s="68" t="s">
        <v>24995</v>
      </c>
      <c r="N177" s="62" t="s">
        <v>19269</v>
      </c>
      <c r="O177" s="68" t="s">
        <v>2272</v>
      </c>
      <c r="P177" s="42" t="str">
        <f>+IF(O177="","",IFERROR(VLOOKUP(O177,CODIGO_DIAGNOSTICO,2,0),"CÓDIGO NO ENCONTRADO"))</f>
        <v>TRASTORNO MIXTO DE ANSIEDAD Y DEPRESION</v>
      </c>
      <c r="Q177" s="68" t="s">
        <v>19230</v>
      </c>
      <c r="R177" s="67"/>
      <c r="S177" s="77">
        <v>45028</v>
      </c>
      <c r="T177" s="76">
        <v>45125</v>
      </c>
      <c r="U177" s="65">
        <f>SUM(W177/30)</f>
        <v>42400.166666666664</v>
      </c>
      <c r="V177" s="68" t="s">
        <v>25941</v>
      </c>
      <c r="W177" s="70">
        <v>1272005</v>
      </c>
      <c r="X177" s="68">
        <v>0</v>
      </c>
      <c r="Y177" s="70">
        <v>84800</v>
      </c>
      <c r="Z177" s="72"/>
    </row>
    <row r="178" spans="1:26" ht="15.75" hidden="1" customHeight="1" x14ac:dyDescent="0.25">
      <c r="A178" s="64">
        <v>4</v>
      </c>
      <c r="B178" s="62">
        <v>3481465</v>
      </c>
      <c r="C178" s="62" t="s">
        <v>25421</v>
      </c>
      <c r="D178" s="62" t="s">
        <v>25205</v>
      </c>
      <c r="E178" s="62" t="s">
        <v>25206</v>
      </c>
      <c r="F178" s="62" t="s">
        <v>25103</v>
      </c>
      <c r="G178" s="81" t="s">
        <v>19285</v>
      </c>
      <c r="H178" s="63">
        <v>45027</v>
      </c>
      <c r="I178" s="63">
        <v>45056</v>
      </c>
      <c r="J178" s="62">
        <v>30</v>
      </c>
      <c r="K178" s="62">
        <v>20</v>
      </c>
      <c r="L178" s="62" t="s">
        <v>19262</v>
      </c>
      <c r="M178" s="62" t="s">
        <v>19262</v>
      </c>
      <c r="N178" s="62" t="s">
        <v>19269</v>
      </c>
      <c r="O178" s="62" t="s">
        <v>2068</v>
      </c>
      <c r="P178" s="42" t="str">
        <f>+IF(O178="","",IFERROR(VLOOKUP(O178,CODIGO_DIAGNOSTICO,2,0),"CÓDIGO NO ENCONTRADO"))</f>
        <v>DEMENCIA VASCULAR DE COMIENZO AGUDO</v>
      </c>
      <c r="Q178" s="62" t="s">
        <v>19230</v>
      </c>
      <c r="R178" s="64"/>
      <c r="S178" s="75"/>
      <c r="T178" s="75"/>
      <c r="U178" s="65">
        <f>SUM(W178/30)</f>
        <v>42400.166666666664</v>
      </c>
      <c r="V178" s="62" t="s">
        <v>25941</v>
      </c>
      <c r="W178" s="65">
        <v>1272005</v>
      </c>
      <c r="X178" s="62">
        <v>0</v>
      </c>
      <c r="Y178" s="65">
        <v>84800</v>
      </c>
      <c r="Z178" s="73"/>
    </row>
    <row r="179" spans="1:26" ht="15.75" hidden="1" customHeight="1" x14ac:dyDescent="0.25">
      <c r="A179" s="67">
        <v>4</v>
      </c>
      <c r="B179" s="68">
        <v>98601485</v>
      </c>
      <c r="C179" s="68" t="s">
        <v>25240</v>
      </c>
      <c r="D179" s="68"/>
      <c r="E179" s="68" t="s">
        <v>25241</v>
      </c>
      <c r="F179" s="68" t="s">
        <v>25103</v>
      </c>
      <c r="G179" s="81" t="s">
        <v>19285</v>
      </c>
      <c r="H179" s="69">
        <v>45027</v>
      </c>
      <c r="I179" s="69">
        <v>45030</v>
      </c>
      <c r="J179" s="68">
        <v>4</v>
      </c>
      <c r="K179" s="68">
        <v>4</v>
      </c>
      <c r="L179" s="68" t="s">
        <v>24995</v>
      </c>
      <c r="M179" s="68" t="s">
        <v>24995</v>
      </c>
      <c r="N179" s="62" t="s">
        <v>19269</v>
      </c>
      <c r="O179" s="68" t="s">
        <v>7736</v>
      </c>
      <c r="P179" s="42" t="str">
        <f>+IF(O179="","",IFERROR(VLOOKUP(O179,CODIGO_DIAGNOSTICO,2,0),"CÓDIGO NO ENCONTRADO"))</f>
        <v>ESGUINCES Y TORCEDURAS QUE COMPROMETEN LOS LIGAMENTOS LATERALES (EXTERNO) (INTERNO) DE LA RODILLA</v>
      </c>
      <c r="Q179" s="68" t="s">
        <v>19230</v>
      </c>
      <c r="R179" s="67"/>
      <c r="S179" s="77">
        <v>45031</v>
      </c>
      <c r="T179" s="76" t="s">
        <v>25955</v>
      </c>
      <c r="U179" s="65">
        <f>SUM(W179/30)</f>
        <v>42400.166666666664</v>
      </c>
      <c r="V179" s="68" t="s">
        <v>25941</v>
      </c>
      <c r="W179" s="70">
        <v>1272005</v>
      </c>
      <c r="X179" s="68">
        <v>0</v>
      </c>
      <c r="Y179" s="70">
        <v>84800</v>
      </c>
      <c r="Z179" s="72"/>
    </row>
    <row r="180" spans="1:26" ht="15.75" hidden="1" customHeight="1" x14ac:dyDescent="0.25">
      <c r="A180" s="64">
        <v>4</v>
      </c>
      <c r="B180" s="62">
        <v>3669363</v>
      </c>
      <c r="C180" s="62" t="s">
        <v>25173</v>
      </c>
      <c r="D180" s="62" t="s">
        <v>24983</v>
      </c>
      <c r="E180" s="62" t="s">
        <v>25032</v>
      </c>
      <c r="F180" s="62" t="s">
        <v>25103</v>
      </c>
      <c r="G180" s="81" t="s">
        <v>19285</v>
      </c>
      <c r="H180" s="63">
        <v>45028</v>
      </c>
      <c r="I180" s="63">
        <v>45032</v>
      </c>
      <c r="J180" s="62">
        <v>5</v>
      </c>
      <c r="K180" s="62">
        <v>5</v>
      </c>
      <c r="L180" s="62" t="s">
        <v>19262</v>
      </c>
      <c r="M180" s="62" t="s">
        <v>19262</v>
      </c>
      <c r="N180" s="62" t="s">
        <v>19269</v>
      </c>
      <c r="O180" s="62" t="s">
        <v>4647</v>
      </c>
      <c r="P180" s="42" t="str">
        <f>+IF(O180="","",IFERROR(VLOOKUP(O180,CODIGO_DIAGNOSTICO,2,0),"CÓDIGO NO ENCONTRADO"))</f>
        <v>OTRAS GONARTROSIS POSTRAUMATICAS</v>
      </c>
      <c r="Q180" s="62" t="s">
        <v>19230</v>
      </c>
      <c r="R180" s="64"/>
      <c r="S180" s="75"/>
      <c r="T180" s="75"/>
      <c r="U180" s="65">
        <f>SUM(W180/30)</f>
        <v>42400.166666666664</v>
      </c>
      <c r="V180" s="62" t="s">
        <v>25941</v>
      </c>
      <c r="W180" s="65">
        <v>1272005</v>
      </c>
      <c r="X180" s="62">
        <v>0</v>
      </c>
      <c r="Y180" s="65">
        <v>84800</v>
      </c>
      <c r="Z180" s="73"/>
    </row>
    <row r="181" spans="1:26" ht="15.75" hidden="1" customHeight="1" x14ac:dyDescent="0.25">
      <c r="A181" s="67">
        <v>4</v>
      </c>
      <c r="B181" s="68">
        <v>71601851</v>
      </c>
      <c r="C181" s="68" t="s">
        <v>25178</v>
      </c>
      <c r="D181" s="68" t="s">
        <v>25179</v>
      </c>
      <c r="E181" s="68" t="s">
        <v>25466</v>
      </c>
      <c r="F181" s="68" t="s">
        <v>25023</v>
      </c>
      <c r="G181" s="81" t="s">
        <v>19285</v>
      </c>
      <c r="H181" s="69">
        <v>45028</v>
      </c>
      <c r="I181" s="69">
        <v>45057</v>
      </c>
      <c r="J181" s="68">
        <v>30</v>
      </c>
      <c r="K181" s="68">
        <v>19</v>
      </c>
      <c r="L181" s="68" t="s">
        <v>19262</v>
      </c>
      <c r="M181" s="68" t="s">
        <v>19262</v>
      </c>
      <c r="N181" s="62" t="s">
        <v>19269</v>
      </c>
      <c r="O181" s="68" t="s">
        <v>4658</v>
      </c>
      <c r="P181" s="42" t="str">
        <f>+IF(O181="","",IFERROR(VLOOKUP(O181,CODIGO_DIAGNOSTICO,2,0),"CÓDIGO NO ENCONTRADO"))</f>
        <v>ARTROSIS PRIMARIA DE OTRAS ARTICULACIONES</v>
      </c>
      <c r="Q181" s="68" t="s">
        <v>19231</v>
      </c>
      <c r="R181" s="67"/>
      <c r="S181" s="77">
        <v>45040</v>
      </c>
      <c r="T181" s="76">
        <v>45086</v>
      </c>
      <c r="U181" s="65">
        <f>SUM(W181/30)</f>
        <v>42400.166666666664</v>
      </c>
      <c r="V181" s="68" t="s">
        <v>25941</v>
      </c>
      <c r="W181" s="70">
        <v>1272005</v>
      </c>
      <c r="X181" s="68">
        <v>0</v>
      </c>
      <c r="Y181" s="70">
        <v>84800</v>
      </c>
      <c r="Z181" s="72"/>
    </row>
    <row r="182" spans="1:26" ht="15.75" hidden="1" customHeight="1" x14ac:dyDescent="0.25">
      <c r="A182" s="64">
        <v>4</v>
      </c>
      <c r="B182" s="62">
        <v>3474185</v>
      </c>
      <c r="C182" s="62" t="s">
        <v>25606</v>
      </c>
      <c r="D182" s="62" t="s">
        <v>25281</v>
      </c>
      <c r="E182" s="62" t="s">
        <v>25607</v>
      </c>
      <c r="F182" s="62" t="s">
        <v>25297</v>
      </c>
      <c r="G182" s="81" t="s">
        <v>19285</v>
      </c>
      <c r="H182" s="63">
        <v>45030</v>
      </c>
      <c r="I182" s="63">
        <v>45031</v>
      </c>
      <c r="J182" s="62">
        <v>2</v>
      </c>
      <c r="K182" s="62">
        <v>2</v>
      </c>
      <c r="L182" s="62" t="s">
        <v>24995</v>
      </c>
      <c r="M182" s="62" t="s">
        <v>24995</v>
      </c>
      <c r="N182" s="62" t="s">
        <v>19269</v>
      </c>
      <c r="O182" s="62" t="s">
        <v>15281</v>
      </c>
      <c r="P182" s="42" t="str">
        <f>+IF(O182="","",IFERROR(VLOOKUP(O182,CODIGO_DIAGNOSTICO,2,0),"CÓDIGO NO ENCONTRADO"))</f>
        <v>RINOFARINGITIS AGUDA (RESFRIADO COMUN)</v>
      </c>
      <c r="Q182" s="62" t="s">
        <v>19231</v>
      </c>
      <c r="R182" s="64">
        <v>0</v>
      </c>
      <c r="S182" s="75"/>
      <c r="T182" s="75"/>
      <c r="U182" s="65">
        <f>SUM(W182/30)</f>
        <v>42400.166666666664</v>
      </c>
      <c r="V182" s="62" t="s">
        <v>25941</v>
      </c>
      <c r="W182" s="65">
        <v>1272005</v>
      </c>
      <c r="X182" s="62">
        <v>0</v>
      </c>
      <c r="Y182" s="65">
        <v>84800</v>
      </c>
      <c r="Z182" s="73"/>
    </row>
    <row r="183" spans="1:26" ht="15.75" hidden="1" customHeight="1" x14ac:dyDescent="0.25">
      <c r="A183" s="67">
        <v>4</v>
      </c>
      <c r="B183" s="68">
        <v>3669363</v>
      </c>
      <c r="C183" s="68" t="s">
        <v>25173</v>
      </c>
      <c r="D183" s="68" t="s">
        <v>24983</v>
      </c>
      <c r="E183" s="68" t="s">
        <v>25032</v>
      </c>
      <c r="F183" s="68" t="s">
        <v>25103</v>
      </c>
      <c r="G183" s="81" t="s">
        <v>19285</v>
      </c>
      <c r="H183" s="69">
        <v>45034</v>
      </c>
      <c r="I183" s="69">
        <v>45038</v>
      </c>
      <c r="J183" s="68">
        <v>5</v>
      </c>
      <c r="K183" s="68">
        <v>5</v>
      </c>
      <c r="L183" s="68" t="s">
        <v>19262</v>
      </c>
      <c r="M183" s="68" t="s">
        <v>19262</v>
      </c>
      <c r="N183" s="62" t="s">
        <v>19269</v>
      </c>
      <c r="O183" s="68" t="s">
        <v>4647</v>
      </c>
      <c r="P183" s="42" t="str">
        <f>+IF(O183="","",IFERROR(VLOOKUP(O183,CODIGO_DIAGNOSTICO,2,0),"CÓDIGO NO ENCONTRADO"))</f>
        <v>OTRAS GONARTROSIS POSTRAUMATICAS</v>
      </c>
      <c r="Q183" s="68" t="s">
        <v>19230</v>
      </c>
      <c r="R183" s="67"/>
      <c r="S183" s="77"/>
      <c r="T183" s="76"/>
      <c r="U183" s="65">
        <f>SUM(W183/30)</f>
        <v>42400.166666666664</v>
      </c>
      <c r="V183" s="68" t="s">
        <v>25941</v>
      </c>
      <c r="W183" s="70">
        <v>1272005</v>
      </c>
      <c r="X183" s="68">
        <v>0</v>
      </c>
      <c r="Y183" s="70">
        <v>84800</v>
      </c>
      <c r="Z183" s="72"/>
    </row>
    <row r="184" spans="1:26" ht="15.75" hidden="1" customHeight="1" x14ac:dyDescent="0.25">
      <c r="A184" s="64">
        <v>4</v>
      </c>
      <c r="B184" s="62">
        <v>8324434</v>
      </c>
      <c r="C184" s="62" t="s">
        <v>25194</v>
      </c>
      <c r="D184" s="62" t="s">
        <v>25526</v>
      </c>
      <c r="E184" s="62" t="s">
        <v>19278</v>
      </c>
      <c r="F184" s="62" t="s">
        <v>25527</v>
      </c>
      <c r="G184" s="81" t="s">
        <v>19285</v>
      </c>
      <c r="H184" s="63">
        <v>45034</v>
      </c>
      <c r="I184" s="63">
        <v>45036</v>
      </c>
      <c r="J184" s="62">
        <v>3</v>
      </c>
      <c r="K184" s="62">
        <v>3</v>
      </c>
      <c r="L184" s="62" t="s">
        <v>24995</v>
      </c>
      <c r="M184" s="62" t="s">
        <v>24995</v>
      </c>
      <c r="N184" s="62" t="s">
        <v>19269</v>
      </c>
      <c r="O184" s="62" t="s">
        <v>7492</v>
      </c>
      <c r="P184" s="42" t="str">
        <f>+IF(O184="","",IFERROR(VLOOKUP(O184,CODIGO_DIAGNOSTICO,2,0),"CÓDIGO NO ENCONTRADO"))</f>
        <v>CONTUSION DEL HOMBRO Y DEL BRAZO</v>
      </c>
      <c r="Q184" s="62" t="s">
        <v>19230</v>
      </c>
      <c r="R184" s="64"/>
      <c r="S184" s="75">
        <v>45036</v>
      </c>
      <c r="T184" s="75">
        <v>45041</v>
      </c>
      <c r="U184" s="65">
        <f>SUM(W184/30)</f>
        <v>42400.166666666664</v>
      </c>
      <c r="V184" s="62" t="s">
        <v>25941</v>
      </c>
      <c r="W184" s="65">
        <v>1272005</v>
      </c>
      <c r="X184" s="62">
        <v>0</v>
      </c>
      <c r="Y184" s="65">
        <v>84800</v>
      </c>
      <c r="Z184" s="73"/>
    </row>
    <row r="185" spans="1:26" ht="15.75" hidden="1" customHeight="1" x14ac:dyDescent="0.25">
      <c r="A185" s="67">
        <v>4</v>
      </c>
      <c r="B185" s="68">
        <v>98487368</v>
      </c>
      <c r="C185" s="68" t="s">
        <v>25605</v>
      </c>
      <c r="D185" s="68" t="s">
        <v>25052</v>
      </c>
      <c r="E185" s="68" t="s">
        <v>25028</v>
      </c>
      <c r="F185" s="68" t="s">
        <v>25064</v>
      </c>
      <c r="G185" s="81" t="s">
        <v>19285</v>
      </c>
      <c r="H185" s="69">
        <v>45035</v>
      </c>
      <c r="I185" s="69">
        <v>45036</v>
      </c>
      <c r="J185" s="68">
        <v>2</v>
      </c>
      <c r="K185" s="68">
        <v>2</v>
      </c>
      <c r="L185" s="68" t="s">
        <v>24995</v>
      </c>
      <c r="M185" s="68" t="s">
        <v>24995</v>
      </c>
      <c r="N185" s="62" t="s">
        <v>19269</v>
      </c>
      <c r="O185" s="68" t="s">
        <v>3856</v>
      </c>
      <c r="P185" s="42" t="str">
        <f>+IF(O185="","",IFERROR(VLOOKUP(O185,CODIGO_DIAGNOSTICO,2,0),"CÓDIGO NO ENCONTRADO"))</f>
        <v>RAIZ DENTAL RETENIDA</v>
      </c>
      <c r="Q185" s="68" t="s">
        <v>19230</v>
      </c>
      <c r="R185" s="67">
        <v>0</v>
      </c>
      <c r="S185" s="77"/>
      <c r="T185" s="76"/>
      <c r="U185" s="65">
        <f>SUM(W185/30)</f>
        <v>42400.166666666664</v>
      </c>
      <c r="V185" s="68" t="s">
        <v>25941</v>
      </c>
      <c r="W185" s="70">
        <v>1272005</v>
      </c>
      <c r="X185" s="68">
        <v>0</v>
      </c>
      <c r="Y185" s="70">
        <v>84800</v>
      </c>
      <c r="Z185" s="72"/>
    </row>
    <row r="186" spans="1:26" ht="15.75" hidden="1" customHeight="1" x14ac:dyDescent="0.25">
      <c r="A186" s="64">
        <v>4</v>
      </c>
      <c r="B186" s="62">
        <v>1216713788</v>
      </c>
      <c r="C186" s="62" t="s">
        <v>24987</v>
      </c>
      <c r="D186" s="62" t="s">
        <v>25687</v>
      </c>
      <c r="E186" s="62" t="s">
        <v>25089</v>
      </c>
      <c r="F186" s="62" t="s">
        <v>25066</v>
      </c>
      <c r="G186" s="81" t="s">
        <v>19285</v>
      </c>
      <c r="H186" s="63">
        <v>45035</v>
      </c>
      <c r="I186" s="63">
        <v>45064</v>
      </c>
      <c r="J186" s="62">
        <v>30</v>
      </c>
      <c r="K186" s="62">
        <v>12</v>
      </c>
      <c r="L186" s="62" t="s">
        <v>19262</v>
      </c>
      <c r="M186" s="62" t="s">
        <v>19262</v>
      </c>
      <c r="N186" s="62" t="s">
        <v>19263</v>
      </c>
      <c r="O186" s="62" t="s">
        <v>4693</v>
      </c>
      <c r="P186" s="42" t="str">
        <f>+IF(O186="","",IFERROR(VLOOKUP(O186,CODIGO_DIAGNOSTICO,2,0),"CÓDIGO NO ENCONTRADO"))</f>
        <v>OTRA RUPTURA ESPONTANEA DEL (DE LOS) LIGAMENTO(S) DE LA RODILLA</v>
      </c>
      <c r="Q186" s="62" t="s">
        <v>25001</v>
      </c>
      <c r="R186" s="64">
        <v>6919386</v>
      </c>
      <c r="S186" s="75">
        <v>45166</v>
      </c>
      <c r="T186" s="75">
        <v>45166</v>
      </c>
      <c r="U186" s="65">
        <f>SUM(W186/30)*J186</f>
        <v>1272005</v>
      </c>
      <c r="V186" s="62" t="s">
        <v>25941</v>
      </c>
      <c r="W186" s="65">
        <v>1272005</v>
      </c>
      <c r="X186" s="62">
        <v>0</v>
      </c>
      <c r="Y186" s="65">
        <v>0</v>
      </c>
      <c r="Z186" s="73"/>
    </row>
    <row r="187" spans="1:26" ht="15.75" hidden="1" customHeight="1" x14ac:dyDescent="0.25">
      <c r="A187" s="67">
        <v>4</v>
      </c>
      <c r="B187" s="68">
        <v>1216722770</v>
      </c>
      <c r="C187" s="68" t="s">
        <v>25247</v>
      </c>
      <c r="D187" s="68" t="s">
        <v>25348</v>
      </c>
      <c r="E187" s="68" t="s">
        <v>25349</v>
      </c>
      <c r="F187" s="68" t="s">
        <v>25060</v>
      </c>
      <c r="G187" s="81" t="s">
        <v>19285</v>
      </c>
      <c r="H187" s="69">
        <v>45036</v>
      </c>
      <c r="I187" s="69">
        <v>45043</v>
      </c>
      <c r="J187" s="68">
        <v>8</v>
      </c>
      <c r="K187" s="68">
        <v>8</v>
      </c>
      <c r="L187" s="68" t="s">
        <v>19262</v>
      </c>
      <c r="M187" s="68" t="s">
        <v>19262</v>
      </c>
      <c r="N187" s="62" t="s">
        <v>19269</v>
      </c>
      <c r="O187" s="68" t="s">
        <v>7724</v>
      </c>
      <c r="P187" s="42" t="str">
        <f>+IF(O187="","",IFERROR(VLOOKUP(O187,CODIGO_DIAGNOSTICO,2,0),"CÓDIGO NO ENCONTRADO"))</f>
        <v>FRACTURA DE LA DIAFISIS DE LA TIBIA</v>
      </c>
      <c r="Q187" s="68" t="s">
        <v>19231</v>
      </c>
      <c r="R187" s="67"/>
      <c r="S187" s="77">
        <v>45044</v>
      </c>
      <c r="T187" s="76">
        <v>45114</v>
      </c>
      <c r="U187" s="65">
        <f>SUM(W187/30)</f>
        <v>42400.166666666664</v>
      </c>
      <c r="V187" s="68" t="s">
        <v>25941</v>
      </c>
      <c r="W187" s="70">
        <v>1272005</v>
      </c>
      <c r="X187" s="68">
        <v>0</v>
      </c>
      <c r="Y187" s="70">
        <v>84800</v>
      </c>
      <c r="Z187" s="72"/>
    </row>
    <row r="188" spans="1:26" ht="15.75" hidden="1" customHeight="1" x14ac:dyDescent="0.25">
      <c r="A188" s="64">
        <v>4</v>
      </c>
      <c r="B188" s="62">
        <v>1216722370</v>
      </c>
      <c r="C188" s="62" t="s">
        <v>25247</v>
      </c>
      <c r="D188" s="62" t="s">
        <v>25348</v>
      </c>
      <c r="E188" s="62" t="s">
        <v>25349</v>
      </c>
      <c r="F188" s="62" t="s">
        <v>25060</v>
      </c>
      <c r="G188" s="81" t="s">
        <v>19285</v>
      </c>
      <c r="H188" s="63">
        <v>45036</v>
      </c>
      <c r="I188" s="63">
        <v>45043</v>
      </c>
      <c r="J188" s="62">
        <v>8</v>
      </c>
      <c r="K188" s="62">
        <v>8</v>
      </c>
      <c r="L188" s="62" t="s">
        <v>19262</v>
      </c>
      <c r="M188" s="62" t="s">
        <v>19262</v>
      </c>
      <c r="N188" s="62" t="s">
        <v>19269</v>
      </c>
      <c r="O188" s="62" t="s">
        <v>7724</v>
      </c>
      <c r="P188" s="42" t="str">
        <f>+IF(O188="","",IFERROR(VLOOKUP(O188,CODIGO_DIAGNOSTICO,2,0),"CÓDIGO NO ENCONTRADO"))</f>
        <v>FRACTURA DE LA DIAFISIS DE LA TIBIA</v>
      </c>
      <c r="Q188" s="62" t="s">
        <v>25025</v>
      </c>
      <c r="R188" s="64"/>
      <c r="S188" s="75">
        <v>45075</v>
      </c>
      <c r="T188" s="75">
        <v>45114</v>
      </c>
      <c r="U188" s="65">
        <f>SUM(W188/30)</f>
        <v>42400.166666666664</v>
      </c>
      <c r="V188" s="62" t="s">
        <v>25941</v>
      </c>
      <c r="W188" s="65">
        <v>1272005</v>
      </c>
      <c r="X188" s="62">
        <v>0</v>
      </c>
      <c r="Y188" s="65">
        <v>84800</v>
      </c>
      <c r="Z188" s="73"/>
    </row>
    <row r="189" spans="1:26" ht="15.75" hidden="1" customHeight="1" x14ac:dyDescent="0.25">
      <c r="A189" s="67">
        <v>4</v>
      </c>
      <c r="B189" s="68">
        <v>43117538</v>
      </c>
      <c r="C189" s="68" t="s">
        <v>24997</v>
      </c>
      <c r="D189" s="68" t="s">
        <v>24998</v>
      </c>
      <c r="E189" s="68" t="s">
        <v>25619</v>
      </c>
      <c r="F189" s="68" t="s">
        <v>25000</v>
      </c>
      <c r="G189" s="81" t="s">
        <v>19285</v>
      </c>
      <c r="H189" s="69">
        <v>45036</v>
      </c>
      <c r="I189" s="69">
        <v>45038</v>
      </c>
      <c r="J189" s="68">
        <v>3</v>
      </c>
      <c r="K189" s="68">
        <v>3</v>
      </c>
      <c r="L189" s="68" t="s">
        <v>24995</v>
      </c>
      <c r="M189" s="68" t="s">
        <v>24995</v>
      </c>
      <c r="N189" s="62" t="s">
        <v>19269</v>
      </c>
      <c r="O189" s="68" t="s">
        <v>2272</v>
      </c>
      <c r="P189" s="42" t="str">
        <f>+IF(O189="","",IFERROR(VLOOKUP(O189,CODIGO_DIAGNOSTICO,2,0),"CÓDIGO NO ENCONTRADO"))</f>
        <v>TRASTORNO MIXTO DE ANSIEDAD Y DEPRESION</v>
      </c>
      <c r="Q189" s="68" t="s">
        <v>19230</v>
      </c>
      <c r="R189" s="67"/>
      <c r="S189" s="77">
        <v>45042</v>
      </c>
      <c r="T189" s="76">
        <v>45048</v>
      </c>
      <c r="U189" s="65">
        <f>SUM(W189/30)</f>
        <v>42400.166666666664</v>
      </c>
      <c r="V189" s="68" t="s">
        <v>25941</v>
      </c>
      <c r="W189" s="70">
        <v>1272005</v>
      </c>
      <c r="X189" s="68">
        <v>0</v>
      </c>
      <c r="Y189" s="70">
        <v>84800</v>
      </c>
      <c r="Z189" s="72"/>
    </row>
    <row r="190" spans="1:26" ht="15.75" hidden="1" customHeight="1" x14ac:dyDescent="0.25">
      <c r="A190" s="64">
        <v>4</v>
      </c>
      <c r="B190" s="62">
        <v>71316478</v>
      </c>
      <c r="C190" s="62" t="s">
        <v>25443</v>
      </c>
      <c r="D190" s="62"/>
      <c r="E190" s="62" t="s">
        <v>25514</v>
      </c>
      <c r="F190" s="62" t="s">
        <v>25515</v>
      </c>
      <c r="G190" s="81" t="s">
        <v>19285</v>
      </c>
      <c r="H190" s="63">
        <v>45037</v>
      </c>
      <c r="I190" s="63">
        <v>45038</v>
      </c>
      <c r="J190" s="62">
        <v>2</v>
      </c>
      <c r="K190" s="62">
        <v>2</v>
      </c>
      <c r="L190" s="62" t="s">
        <v>24995</v>
      </c>
      <c r="M190" s="62" t="s">
        <v>24995</v>
      </c>
      <c r="N190" s="62" t="s">
        <v>19269</v>
      </c>
      <c r="O190" s="62" t="s">
        <v>3573</v>
      </c>
      <c r="P190" s="42" t="str">
        <f>+IF(O190="","",IFERROR(VLOOKUP(O190,CODIGO_DIAGNOSTICO,2,0),"CÓDIGO NO ENCONTRADO"))</f>
        <v>AMIGDALITIS ESTREPTOCOCICA</v>
      </c>
      <c r="Q190" s="62" t="s">
        <v>19230</v>
      </c>
      <c r="R190" s="64">
        <v>0</v>
      </c>
      <c r="S190" s="75"/>
      <c r="T190" s="75"/>
      <c r="U190" s="65">
        <f>SUM(W190/30)</f>
        <v>42400.166666666664</v>
      </c>
      <c r="V190" s="62" t="s">
        <v>25941</v>
      </c>
      <c r="W190" s="65">
        <v>1272005</v>
      </c>
      <c r="X190" s="62">
        <v>0</v>
      </c>
      <c r="Y190" s="65">
        <v>84800</v>
      </c>
      <c r="Z190" s="73"/>
    </row>
    <row r="191" spans="1:26" ht="15.75" hidden="1" customHeight="1" x14ac:dyDescent="0.25">
      <c r="A191" s="67">
        <v>4</v>
      </c>
      <c r="B191" s="68">
        <v>71613583</v>
      </c>
      <c r="C191" s="68" t="s">
        <v>25083</v>
      </c>
      <c r="D191" s="68" t="s">
        <v>25065</v>
      </c>
      <c r="E191" s="68" t="s">
        <v>25210</v>
      </c>
      <c r="F191" s="68" t="s">
        <v>25135</v>
      </c>
      <c r="G191" s="81" t="s">
        <v>19285</v>
      </c>
      <c r="H191" s="69">
        <v>45037</v>
      </c>
      <c r="I191" s="69">
        <v>45041</v>
      </c>
      <c r="J191" s="68">
        <v>5</v>
      </c>
      <c r="K191" s="68">
        <v>5</v>
      </c>
      <c r="L191" s="68" t="s">
        <v>24995</v>
      </c>
      <c r="M191" s="68" t="s">
        <v>24995</v>
      </c>
      <c r="N191" s="62" t="s">
        <v>19269</v>
      </c>
      <c r="O191" s="68" t="s">
        <v>7610</v>
      </c>
      <c r="P191" s="42" t="str">
        <f>+IF(O191="","",IFERROR(VLOOKUP(O191,CODIGO_DIAGNOSTICO,2,0),"CÓDIGO NO ENCONTRADO"))</f>
        <v>HERIDA DE LA MUÑECA Y DE LA MANO, PARTE NO ESPECIFICADA</v>
      </c>
      <c r="Q191" s="68" t="s">
        <v>19230</v>
      </c>
      <c r="R191" s="67"/>
      <c r="S191" s="77">
        <v>45041</v>
      </c>
      <c r="T191" s="76">
        <v>45041</v>
      </c>
      <c r="U191" s="65">
        <f>SUM(W191/30)</f>
        <v>42400.166666666664</v>
      </c>
      <c r="V191" s="68" t="s">
        <v>25941</v>
      </c>
      <c r="W191" s="70">
        <v>1272005</v>
      </c>
      <c r="X191" s="68">
        <v>0</v>
      </c>
      <c r="Y191" s="70">
        <v>84800</v>
      </c>
      <c r="Z191" s="72"/>
    </row>
    <row r="192" spans="1:26" ht="15.75" hidden="1" customHeight="1" x14ac:dyDescent="0.25">
      <c r="A192" s="64">
        <v>4</v>
      </c>
      <c r="B192" s="62">
        <v>98663441</v>
      </c>
      <c r="C192" s="62" t="s">
        <v>25225</v>
      </c>
      <c r="D192" s="62" t="s">
        <v>25614</v>
      </c>
      <c r="E192" s="62" t="s">
        <v>19278</v>
      </c>
      <c r="F192" s="62" t="s">
        <v>25615</v>
      </c>
      <c r="G192" s="81" t="s">
        <v>19285</v>
      </c>
      <c r="H192" s="63">
        <v>45037</v>
      </c>
      <c r="I192" s="63">
        <v>45038</v>
      </c>
      <c r="J192" s="62">
        <v>2</v>
      </c>
      <c r="K192" s="62">
        <v>2</v>
      </c>
      <c r="L192" s="62" t="s">
        <v>24995</v>
      </c>
      <c r="M192" s="62" t="s">
        <v>24995</v>
      </c>
      <c r="N192" s="62" t="s">
        <v>19269</v>
      </c>
      <c r="O192" s="62" t="s">
        <v>4858</v>
      </c>
      <c r="P192" s="42" t="str">
        <f>+IF(O192="","",IFERROR(VLOOKUP(O192,CODIGO_DIAGNOSTICO,2,0),"CÓDIGO NO ENCONTRADO"))</f>
        <v>CONTRACTURA MUSCULAR</v>
      </c>
      <c r="Q192" s="62" t="s">
        <v>19230</v>
      </c>
      <c r="R192" s="64">
        <v>0</v>
      </c>
      <c r="S192" s="75"/>
      <c r="T192" s="75"/>
      <c r="U192" s="65">
        <f>SUM(W192/30)</f>
        <v>42400.166666666664</v>
      </c>
      <c r="V192" s="62" t="s">
        <v>25941</v>
      </c>
      <c r="W192" s="65">
        <v>1272005</v>
      </c>
      <c r="X192" s="62">
        <v>0</v>
      </c>
      <c r="Y192" s="65">
        <v>84800</v>
      </c>
      <c r="Z192" s="73"/>
    </row>
    <row r="193" spans="1:26" ht="15.75" hidden="1" customHeight="1" x14ac:dyDescent="0.25">
      <c r="A193" s="67">
        <v>4</v>
      </c>
      <c r="B193" s="68">
        <v>71613583</v>
      </c>
      <c r="C193" s="68" t="s">
        <v>25083</v>
      </c>
      <c r="D193" s="68" t="s">
        <v>25065</v>
      </c>
      <c r="E193" s="68" t="s">
        <v>25210</v>
      </c>
      <c r="F193" s="68" t="s">
        <v>25135</v>
      </c>
      <c r="G193" s="81" t="s">
        <v>19285</v>
      </c>
      <c r="H193" s="69">
        <v>45037</v>
      </c>
      <c r="I193" s="69">
        <v>45041</v>
      </c>
      <c r="J193" s="68">
        <v>5</v>
      </c>
      <c r="K193" s="68">
        <v>5</v>
      </c>
      <c r="L193" s="68" t="s">
        <v>24995</v>
      </c>
      <c r="M193" s="68" t="s">
        <v>24995</v>
      </c>
      <c r="N193" s="62" t="s">
        <v>19269</v>
      </c>
      <c r="O193" s="68" t="s">
        <v>7610</v>
      </c>
      <c r="P193" s="42" t="str">
        <f>+IF(O193="","",IFERROR(VLOOKUP(O193,CODIGO_DIAGNOSTICO,2,0),"CÓDIGO NO ENCONTRADO"))</f>
        <v>HERIDA DE LA MUÑECA Y DE LA MANO, PARTE NO ESPECIFICADA</v>
      </c>
      <c r="Q193" s="68" t="s">
        <v>19230</v>
      </c>
      <c r="R193" s="67"/>
      <c r="S193" s="77"/>
      <c r="T193" s="76"/>
      <c r="U193" s="65">
        <f>SUM(W193/30)</f>
        <v>42400.166666666664</v>
      </c>
      <c r="V193" s="68" t="s">
        <v>25941</v>
      </c>
      <c r="W193" s="70">
        <v>1272005</v>
      </c>
      <c r="X193" s="68">
        <v>0</v>
      </c>
      <c r="Y193" s="70">
        <v>84800</v>
      </c>
      <c r="Z193" s="72"/>
    </row>
    <row r="194" spans="1:26" ht="15.75" hidden="1" customHeight="1" x14ac:dyDescent="0.25">
      <c r="A194" s="64">
        <v>4</v>
      </c>
      <c r="B194" s="62">
        <v>98601485</v>
      </c>
      <c r="C194" s="62" t="s">
        <v>25240</v>
      </c>
      <c r="D194" s="62"/>
      <c r="E194" s="62" t="s">
        <v>25613</v>
      </c>
      <c r="F194" s="62" t="s">
        <v>24982</v>
      </c>
      <c r="G194" s="81" t="s">
        <v>19285</v>
      </c>
      <c r="H194" s="63">
        <v>45039</v>
      </c>
      <c r="I194" s="63">
        <v>45043</v>
      </c>
      <c r="J194" s="62">
        <v>5</v>
      </c>
      <c r="K194" s="62">
        <v>5</v>
      </c>
      <c r="L194" s="62" t="s">
        <v>19262</v>
      </c>
      <c r="M194" s="62" t="s">
        <v>19262</v>
      </c>
      <c r="N194" s="62" t="s">
        <v>19269</v>
      </c>
      <c r="O194" s="62" t="s">
        <v>7738</v>
      </c>
      <c r="P194" s="42" t="str">
        <f>+IF(O194="","",IFERROR(VLOOKUP(O194,CODIGO_DIAGNOSTICO,2,0),"CÓDIGO NO ENCONTRADO"))</f>
        <v>ESGUINCES Y TORCEDURAS DE OTRAS PARTES Y LAS NO ESPECIFICADAS DE LA RODILLA</v>
      </c>
      <c r="Q194" s="62" t="s">
        <v>19230</v>
      </c>
      <c r="R194" s="64"/>
      <c r="S194" s="75"/>
      <c r="T194" s="75"/>
      <c r="U194" s="65">
        <f>SUM(W194/30)</f>
        <v>42400.166666666664</v>
      </c>
      <c r="V194" s="62" t="s">
        <v>25941</v>
      </c>
      <c r="W194" s="65">
        <v>1272005</v>
      </c>
      <c r="X194" s="62">
        <v>0</v>
      </c>
      <c r="Y194" s="65">
        <v>84800</v>
      </c>
      <c r="Z194" s="73"/>
    </row>
    <row r="195" spans="1:26" ht="15.75" hidden="1" customHeight="1" x14ac:dyDescent="0.25">
      <c r="A195" s="67">
        <v>4</v>
      </c>
      <c r="B195" s="68">
        <v>3669363</v>
      </c>
      <c r="C195" s="68" t="s">
        <v>19286</v>
      </c>
      <c r="D195" s="68" t="s">
        <v>25046</v>
      </c>
      <c r="E195" s="68" t="s">
        <v>19287</v>
      </c>
      <c r="F195" s="68" t="s">
        <v>24982</v>
      </c>
      <c r="G195" s="81" t="s">
        <v>19285</v>
      </c>
      <c r="H195" s="69">
        <v>45040</v>
      </c>
      <c r="I195" s="69">
        <v>45044</v>
      </c>
      <c r="J195" s="68">
        <v>5</v>
      </c>
      <c r="K195" s="68">
        <v>5</v>
      </c>
      <c r="L195" s="68" t="s">
        <v>19262</v>
      </c>
      <c r="M195" s="68" t="s">
        <v>19262</v>
      </c>
      <c r="N195" s="62" t="s">
        <v>19269</v>
      </c>
      <c r="O195" s="68" t="s">
        <v>4647</v>
      </c>
      <c r="P195" s="42" t="str">
        <f>+IF(O195="","",IFERROR(VLOOKUP(O195,CODIGO_DIAGNOSTICO,2,0),"CÓDIGO NO ENCONTRADO"))</f>
        <v>OTRAS GONARTROSIS POSTRAUMATICAS</v>
      </c>
      <c r="Q195" s="68" t="s">
        <v>19230</v>
      </c>
      <c r="R195" s="67"/>
      <c r="S195" s="77"/>
      <c r="T195" s="76"/>
      <c r="U195" s="65">
        <f>SUM(W195/30)</f>
        <v>42400.166666666664</v>
      </c>
      <c r="V195" s="68" t="s">
        <v>25941</v>
      </c>
      <c r="W195" s="70">
        <v>1272005</v>
      </c>
      <c r="X195" s="68">
        <v>0</v>
      </c>
      <c r="Y195" s="70">
        <v>84800</v>
      </c>
      <c r="Z195" s="72"/>
    </row>
    <row r="196" spans="1:26" ht="15.75" hidden="1" customHeight="1" x14ac:dyDescent="0.25">
      <c r="A196" s="64">
        <v>4</v>
      </c>
      <c r="B196" s="62">
        <v>70323164</v>
      </c>
      <c r="C196" s="62" t="s">
        <v>24992</v>
      </c>
      <c r="D196" s="62" t="s">
        <v>25062</v>
      </c>
      <c r="E196" s="62" t="s">
        <v>25188</v>
      </c>
      <c r="F196" s="62" t="s">
        <v>25146</v>
      </c>
      <c r="G196" s="81" t="s">
        <v>19285</v>
      </c>
      <c r="H196" s="63">
        <v>45040</v>
      </c>
      <c r="I196" s="63">
        <v>45069</v>
      </c>
      <c r="J196" s="62">
        <v>30</v>
      </c>
      <c r="K196" s="62">
        <v>7</v>
      </c>
      <c r="L196" s="62" t="s">
        <v>19262</v>
      </c>
      <c r="M196" s="62" t="s">
        <v>19262</v>
      </c>
      <c r="N196" s="62" t="s">
        <v>19269</v>
      </c>
      <c r="O196" s="62" t="s">
        <v>92</v>
      </c>
      <c r="P196" s="42" t="str">
        <f>+IF(O196="","",IFERROR(VLOOKUP(O196,CODIGO_DIAGNOSTICO,2,0),"CÓDIGO NO ENCONTRADO"))</f>
        <v>TUBERCULOSIS DEL PULMON , CONFIRMADA POR MEDIOS NO ESPECIFICADOS</v>
      </c>
      <c r="Q196" s="62" t="s">
        <v>19230</v>
      </c>
      <c r="R196" s="64"/>
      <c r="S196" s="75"/>
      <c r="T196" s="75"/>
      <c r="U196" s="65">
        <f>SUM(W196/30)</f>
        <v>42400.166666666664</v>
      </c>
      <c r="V196" s="62" t="s">
        <v>25941</v>
      </c>
      <c r="W196" s="65">
        <v>1272005</v>
      </c>
      <c r="X196" s="62">
        <v>0</v>
      </c>
      <c r="Y196" s="65">
        <v>84800</v>
      </c>
      <c r="Z196" s="73"/>
    </row>
    <row r="197" spans="1:26" ht="15.75" hidden="1" customHeight="1" x14ac:dyDescent="0.25">
      <c r="A197" s="67">
        <v>4</v>
      </c>
      <c r="B197" s="68">
        <v>71721292</v>
      </c>
      <c r="C197" s="68" t="s">
        <v>25181</v>
      </c>
      <c r="D197" s="68" t="s">
        <v>25181</v>
      </c>
      <c r="E197" s="68" t="s">
        <v>25292</v>
      </c>
      <c r="F197" s="68" t="s">
        <v>25023</v>
      </c>
      <c r="G197" s="81" t="s">
        <v>19285</v>
      </c>
      <c r="H197" s="69">
        <v>45041</v>
      </c>
      <c r="I197" s="69">
        <v>45070</v>
      </c>
      <c r="J197" s="68">
        <v>30</v>
      </c>
      <c r="K197" s="68">
        <v>24</v>
      </c>
      <c r="L197" s="68" t="s">
        <v>24995</v>
      </c>
      <c r="M197" s="68" t="s">
        <v>19262</v>
      </c>
      <c r="N197" s="62" t="s">
        <v>19269</v>
      </c>
      <c r="O197" s="68" t="s">
        <v>4803</v>
      </c>
      <c r="P197" s="42" t="str">
        <f>+IF(O197="","",IFERROR(VLOOKUP(O197,CODIGO_DIAGNOSTICO,2,0),"CÓDIGO NO ENCONTRADO"))</f>
        <v>FRACTURA DE VERTEBRA POR FATIGA</v>
      </c>
      <c r="Q197" s="68" t="s">
        <v>24996</v>
      </c>
      <c r="R197" s="67"/>
      <c r="S197" s="77"/>
      <c r="T197" s="76"/>
      <c r="U197" s="65">
        <f>SUM(W197/30)</f>
        <v>42400.166666666664</v>
      </c>
      <c r="V197" s="68" t="s">
        <v>25941</v>
      </c>
      <c r="W197" s="70">
        <v>1272005</v>
      </c>
      <c r="X197" s="68">
        <v>0</v>
      </c>
      <c r="Y197" s="70">
        <v>84800</v>
      </c>
      <c r="Z197" s="72"/>
    </row>
    <row r="198" spans="1:26" ht="15.75" hidden="1" customHeight="1" x14ac:dyDescent="0.25">
      <c r="A198" s="64">
        <v>4</v>
      </c>
      <c r="B198" s="62">
        <v>1216722370</v>
      </c>
      <c r="C198" s="62" t="s">
        <v>25247</v>
      </c>
      <c r="D198" s="62" t="s">
        <v>25348</v>
      </c>
      <c r="E198" s="62" t="s">
        <v>25349</v>
      </c>
      <c r="F198" s="62" t="s">
        <v>25060</v>
      </c>
      <c r="G198" s="81" t="s">
        <v>19285</v>
      </c>
      <c r="H198" s="63">
        <v>45044</v>
      </c>
      <c r="I198" s="63">
        <v>45050</v>
      </c>
      <c r="J198" s="62">
        <v>7</v>
      </c>
      <c r="K198" s="62">
        <v>3</v>
      </c>
      <c r="L198" s="62" t="s">
        <v>19262</v>
      </c>
      <c r="M198" s="62" t="s">
        <v>19262</v>
      </c>
      <c r="N198" s="62" t="s">
        <v>19269</v>
      </c>
      <c r="O198" s="62" t="s">
        <v>7724</v>
      </c>
      <c r="P198" s="42" t="str">
        <f>+IF(O198="","",IFERROR(VLOOKUP(O198,CODIGO_DIAGNOSTICO,2,0),"CÓDIGO NO ENCONTRADO"))</f>
        <v>FRACTURA DE LA DIAFISIS DE LA TIBIA</v>
      </c>
      <c r="Q198" s="62" t="s">
        <v>25025</v>
      </c>
      <c r="R198" s="64"/>
      <c r="S198" s="75"/>
      <c r="T198" s="75"/>
      <c r="U198" s="65">
        <f>SUM(W198/30)</f>
        <v>42400.166666666664</v>
      </c>
      <c r="V198" s="62" t="s">
        <v>25941</v>
      </c>
      <c r="W198" s="65">
        <v>1272005</v>
      </c>
      <c r="X198" s="62">
        <v>0</v>
      </c>
      <c r="Y198" s="65">
        <v>84800</v>
      </c>
      <c r="Z198" s="73"/>
    </row>
    <row r="199" spans="1:26" ht="15.75" hidden="1" customHeight="1" x14ac:dyDescent="0.25">
      <c r="A199" s="67">
        <v>4</v>
      </c>
      <c r="B199" s="68">
        <v>98601485</v>
      </c>
      <c r="C199" s="68" t="s">
        <v>25240</v>
      </c>
      <c r="D199" s="68"/>
      <c r="E199" s="68" t="s">
        <v>25613</v>
      </c>
      <c r="F199" s="68" t="s">
        <v>24982</v>
      </c>
      <c r="G199" s="81" t="s">
        <v>19285</v>
      </c>
      <c r="H199" s="69">
        <v>45044</v>
      </c>
      <c r="I199" s="69">
        <v>45050</v>
      </c>
      <c r="J199" s="68">
        <v>7</v>
      </c>
      <c r="K199" s="68">
        <v>3</v>
      </c>
      <c r="L199" s="68" t="s">
        <v>19262</v>
      </c>
      <c r="M199" s="68" t="s">
        <v>19262</v>
      </c>
      <c r="N199" s="62" t="s">
        <v>19269</v>
      </c>
      <c r="O199" s="68" t="s">
        <v>7738</v>
      </c>
      <c r="P199" s="42" t="str">
        <f>+IF(O199="","",IFERROR(VLOOKUP(O199,CODIGO_DIAGNOSTICO,2,0),"CÓDIGO NO ENCONTRADO"))</f>
        <v>ESGUINCES Y TORCEDURAS DE OTRAS PARTES Y LAS NO ESPECIFICADAS DE LA RODILLA</v>
      </c>
      <c r="Q199" s="68" t="s">
        <v>19230</v>
      </c>
      <c r="R199" s="67"/>
      <c r="S199" s="77">
        <v>45046</v>
      </c>
      <c r="T199" s="76">
        <v>45050</v>
      </c>
      <c r="U199" s="65">
        <f>SUM(W199/30)</f>
        <v>42400.166666666664</v>
      </c>
      <c r="V199" s="68" t="s">
        <v>25941</v>
      </c>
      <c r="W199" s="70">
        <v>1272005</v>
      </c>
      <c r="X199" s="68">
        <v>0</v>
      </c>
      <c r="Y199" s="70">
        <v>84800</v>
      </c>
      <c r="Z199" s="72"/>
    </row>
    <row r="200" spans="1:26" ht="15.75" hidden="1" customHeight="1" x14ac:dyDescent="0.25">
      <c r="A200" s="64">
        <v>4</v>
      </c>
      <c r="B200" s="62">
        <v>1041233215</v>
      </c>
      <c r="C200" s="62" t="s">
        <v>25642</v>
      </c>
      <c r="D200" s="62" t="s">
        <v>25693</v>
      </c>
      <c r="E200" s="62" t="s">
        <v>25138</v>
      </c>
      <c r="F200" s="62" t="s">
        <v>25632</v>
      </c>
      <c r="G200" s="81" t="s">
        <v>19285</v>
      </c>
      <c r="H200" s="63">
        <v>45044</v>
      </c>
      <c r="I200" s="63">
        <v>45057</v>
      </c>
      <c r="J200" s="62">
        <v>14</v>
      </c>
      <c r="K200" s="62">
        <v>14</v>
      </c>
      <c r="L200" s="62" t="s">
        <v>24995</v>
      </c>
      <c r="M200" s="62" t="s">
        <v>24995</v>
      </c>
      <c r="N200" s="62" t="s">
        <v>19269</v>
      </c>
      <c r="O200" s="62" t="s">
        <v>11996</v>
      </c>
      <c r="P200" s="42" t="str">
        <f>+IF(O200="","",IFERROR(VLOOKUP(O200,CODIGO_DIAGNOSTICO,2,0),"CÓDIGO NO ENCONTRADO"))</f>
        <v>EMBARAZO CONFIRMADO</v>
      </c>
      <c r="Q200" s="62" t="s">
        <v>19231</v>
      </c>
      <c r="R200" s="64"/>
      <c r="S200" s="75">
        <v>45059</v>
      </c>
      <c r="T200" s="75">
        <v>45093</v>
      </c>
      <c r="U200" s="65">
        <f>SUM(W200/30)</f>
        <v>42400.166666666664</v>
      </c>
      <c r="V200" s="62" t="s">
        <v>25941</v>
      </c>
      <c r="W200" s="65">
        <v>1272005</v>
      </c>
      <c r="X200" s="62">
        <v>0</v>
      </c>
      <c r="Y200" s="65">
        <v>84800</v>
      </c>
      <c r="Z200" s="73"/>
    </row>
    <row r="201" spans="1:26" ht="15.75" hidden="1" customHeight="1" x14ac:dyDescent="0.25">
      <c r="A201" s="67">
        <v>4</v>
      </c>
      <c r="B201" s="68">
        <v>3669363</v>
      </c>
      <c r="C201" s="68" t="s">
        <v>25173</v>
      </c>
      <c r="D201" s="68" t="s">
        <v>24983</v>
      </c>
      <c r="E201" s="68" t="s">
        <v>25032</v>
      </c>
      <c r="F201" s="68" t="s">
        <v>24982</v>
      </c>
      <c r="G201" s="81" t="s">
        <v>19285</v>
      </c>
      <c r="H201" s="69">
        <v>45045</v>
      </c>
      <c r="I201" s="69">
        <v>45054</v>
      </c>
      <c r="J201" s="68">
        <v>10</v>
      </c>
      <c r="K201" s="68">
        <v>2</v>
      </c>
      <c r="L201" s="68" t="s">
        <v>19262</v>
      </c>
      <c r="M201" s="68" t="s">
        <v>19262</v>
      </c>
      <c r="N201" s="62" t="s">
        <v>19269</v>
      </c>
      <c r="O201" s="68" t="s">
        <v>4647</v>
      </c>
      <c r="P201" s="42" t="str">
        <f>+IF(O201="","",IFERROR(VLOOKUP(O201,CODIGO_DIAGNOSTICO,2,0),"CÓDIGO NO ENCONTRADO"))</f>
        <v>OTRAS GONARTROSIS POSTRAUMATICAS</v>
      </c>
      <c r="Q201" s="68" t="s">
        <v>19230</v>
      </c>
      <c r="R201" s="67"/>
      <c r="S201" s="77"/>
      <c r="T201" s="76"/>
      <c r="U201" s="65">
        <f>SUM(W201/30)</f>
        <v>42400.166666666664</v>
      </c>
      <c r="V201" s="68" t="s">
        <v>25941</v>
      </c>
      <c r="W201" s="70">
        <v>1272005</v>
      </c>
      <c r="X201" s="68">
        <v>0</v>
      </c>
      <c r="Y201" s="70">
        <v>84800</v>
      </c>
      <c r="Z201" s="72"/>
    </row>
    <row r="202" spans="1:26" ht="15.75" hidden="1" customHeight="1" x14ac:dyDescent="0.25">
      <c r="A202" s="64">
        <v>4</v>
      </c>
      <c r="B202" s="62">
        <v>71676289</v>
      </c>
      <c r="C202" s="62" t="s">
        <v>25015</v>
      </c>
      <c r="D202" s="62" t="s">
        <v>25012</v>
      </c>
      <c r="E202" s="62" t="s">
        <v>25016</v>
      </c>
      <c r="F202" s="62" t="s">
        <v>25004</v>
      </c>
      <c r="G202" s="81" t="s">
        <v>19285</v>
      </c>
      <c r="H202" s="63">
        <v>45045</v>
      </c>
      <c r="I202" s="63">
        <v>45059</v>
      </c>
      <c r="J202" s="62">
        <v>15</v>
      </c>
      <c r="K202" s="62">
        <v>2</v>
      </c>
      <c r="L202" s="62" t="s">
        <v>19262</v>
      </c>
      <c r="M202" s="62" t="s">
        <v>19262</v>
      </c>
      <c r="N202" s="62" t="s">
        <v>19269</v>
      </c>
      <c r="O202" s="62" t="s">
        <v>7822</v>
      </c>
      <c r="P202" s="42" t="str">
        <f>+IF(O202="","",IFERROR(VLOOKUP(O202,CODIGO_DIAGNOSTICO,2,0),"CÓDIGO NO ENCONTRADO"))</f>
        <v>AMPUTACION TRAUMATICA DE OTRAS PARTES DEL PIE</v>
      </c>
      <c r="Q202" s="62" t="s">
        <v>19230</v>
      </c>
      <c r="R202" s="64"/>
      <c r="S202" s="75"/>
      <c r="T202" s="75"/>
      <c r="U202" s="65">
        <f>SUM(W202/30)</f>
        <v>42400.166666666664</v>
      </c>
      <c r="V202" s="62" t="s">
        <v>25941</v>
      </c>
      <c r="W202" s="65">
        <v>1272005</v>
      </c>
      <c r="X202" s="62">
        <v>0</v>
      </c>
      <c r="Y202" s="65">
        <v>84800</v>
      </c>
      <c r="Z202" s="73"/>
    </row>
    <row r="203" spans="1:26" ht="15.75" hidden="1" customHeight="1" x14ac:dyDescent="0.25">
      <c r="A203" s="67">
        <v>5</v>
      </c>
      <c r="B203" s="68">
        <v>1017275592</v>
      </c>
      <c r="C203" s="68" t="s">
        <v>25329</v>
      </c>
      <c r="D203" s="68" t="s">
        <v>25620</v>
      </c>
      <c r="E203" s="68" t="s">
        <v>25282</v>
      </c>
      <c r="F203" s="68" t="s">
        <v>25413</v>
      </c>
      <c r="G203" s="81" t="s">
        <v>19285</v>
      </c>
      <c r="H203" s="69">
        <v>45047</v>
      </c>
      <c r="I203" s="69">
        <v>45047</v>
      </c>
      <c r="J203" s="68">
        <v>1</v>
      </c>
      <c r="K203" s="68">
        <v>1</v>
      </c>
      <c r="L203" s="68" t="s">
        <v>24995</v>
      </c>
      <c r="M203" s="68" t="s">
        <v>24995</v>
      </c>
      <c r="N203" s="62" t="s">
        <v>19269</v>
      </c>
      <c r="O203" s="68" t="s">
        <v>4026</v>
      </c>
      <c r="P203" s="42" t="str">
        <f>+IF(O203="","",IFERROR(VLOOKUP(O203,CODIGO_DIAGNOSTICO,2,0),"CÓDIGO NO ENCONTRADO"))</f>
        <v>COLITIS Y GASTROENTERITIS NO INFECCIOSAS, NO ESPECIFICADAS</v>
      </c>
      <c r="Q203" s="68" t="s">
        <v>24996</v>
      </c>
      <c r="R203" s="67">
        <v>0</v>
      </c>
      <c r="S203" s="77"/>
      <c r="T203" s="76">
        <v>0</v>
      </c>
      <c r="U203" s="65">
        <f>SUM(W203/30)</f>
        <v>42400.166666666664</v>
      </c>
      <c r="V203" s="68" t="s">
        <v>25941</v>
      </c>
      <c r="W203" s="70">
        <v>1272005</v>
      </c>
      <c r="X203" s="68">
        <v>0</v>
      </c>
      <c r="Y203" s="70">
        <v>84800</v>
      </c>
      <c r="Z203" s="72"/>
    </row>
    <row r="204" spans="1:26" ht="15.75" hidden="1" customHeight="1" x14ac:dyDescent="0.25">
      <c r="A204" s="64">
        <v>5</v>
      </c>
      <c r="B204" s="62">
        <v>1020397739</v>
      </c>
      <c r="C204" s="62" t="s">
        <v>25159</v>
      </c>
      <c r="D204" s="62" t="s">
        <v>25094</v>
      </c>
      <c r="E204" s="62" t="s">
        <v>25625</v>
      </c>
      <c r="F204" s="62"/>
      <c r="G204" s="81" t="s">
        <v>19285</v>
      </c>
      <c r="H204" s="63">
        <v>45048</v>
      </c>
      <c r="I204" s="63">
        <v>45050</v>
      </c>
      <c r="J204" s="62">
        <v>3</v>
      </c>
      <c r="K204" s="62">
        <v>3</v>
      </c>
      <c r="L204" s="62" t="s">
        <v>24995</v>
      </c>
      <c r="M204" s="62" t="s">
        <v>24995</v>
      </c>
      <c r="N204" s="62" t="s">
        <v>19269</v>
      </c>
      <c r="O204" s="62" t="s">
        <v>7770</v>
      </c>
      <c r="P204" s="42" t="str">
        <f>+IF(O204="","",IFERROR(VLOOKUP(O204,CODIGO_DIAGNOSTICO,2,0),"CÓDIGO NO ENCONTRADO"))</f>
        <v>CONTUSION DEL TOBILLO</v>
      </c>
      <c r="Q204" s="62" t="s">
        <v>19230</v>
      </c>
      <c r="R204" s="64"/>
      <c r="S204" s="75">
        <v>45052</v>
      </c>
      <c r="T204" s="75">
        <v>45069</v>
      </c>
      <c r="U204" s="65">
        <f>SUM(W204/30)</f>
        <v>42400.166666666664</v>
      </c>
      <c r="V204" s="62" t="s">
        <v>25941</v>
      </c>
      <c r="W204" s="65">
        <v>1272005</v>
      </c>
      <c r="X204" s="62">
        <v>0</v>
      </c>
      <c r="Y204" s="65">
        <v>84800</v>
      </c>
      <c r="Z204" s="73"/>
    </row>
    <row r="205" spans="1:26" ht="15.75" hidden="1" customHeight="1" x14ac:dyDescent="0.25">
      <c r="A205" s="67">
        <v>5</v>
      </c>
      <c r="B205" s="68">
        <v>1007238803</v>
      </c>
      <c r="C205" s="68" t="s">
        <v>25692</v>
      </c>
      <c r="D205" s="68" t="s">
        <v>25373</v>
      </c>
      <c r="E205" s="68" t="s">
        <v>25096</v>
      </c>
      <c r="F205" s="68"/>
      <c r="G205" s="81" t="s">
        <v>19285</v>
      </c>
      <c r="H205" s="69">
        <v>45048</v>
      </c>
      <c r="I205" s="69">
        <v>45049</v>
      </c>
      <c r="J205" s="68">
        <v>2</v>
      </c>
      <c r="K205" s="68">
        <v>2</v>
      </c>
      <c r="L205" s="68" t="s">
        <v>24995</v>
      </c>
      <c r="M205" s="68" t="s">
        <v>24995</v>
      </c>
      <c r="N205" s="62" t="s">
        <v>19269</v>
      </c>
      <c r="O205" s="68" t="s">
        <v>85</v>
      </c>
      <c r="P205" s="42" t="str">
        <f>+IF(O205="","",IFERROR(VLOOKUP(O205,CODIGO_DIAGNOSTICO,2,0),"CÓDIGO NO ENCONTRADO"))</f>
        <v>OTRAS ENTERITIS VIRALES</v>
      </c>
      <c r="Q205" s="68" t="s">
        <v>24996</v>
      </c>
      <c r="R205" s="67">
        <v>0</v>
      </c>
      <c r="S205" s="77"/>
      <c r="T205" s="76"/>
      <c r="U205" s="65">
        <f>SUM(W205/30)</f>
        <v>42400.166666666664</v>
      </c>
      <c r="V205" s="68" t="s">
        <v>25941</v>
      </c>
      <c r="W205" s="70">
        <v>1272005</v>
      </c>
      <c r="X205" s="68">
        <v>0</v>
      </c>
      <c r="Y205" s="70">
        <v>84800</v>
      </c>
      <c r="Z205" s="72"/>
    </row>
    <row r="206" spans="1:26" ht="15.75" hidden="1" customHeight="1" x14ac:dyDescent="0.25">
      <c r="A206" s="64">
        <v>5</v>
      </c>
      <c r="B206" s="62">
        <v>1036622798</v>
      </c>
      <c r="C206" s="62" t="s">
        <v>25136</v>
      </c>
      <c r="D206" s="62" t="s">
        <v>25137</v>
      </c>
      <c r="E206" s="62" t="s">
        <v>25138</v>
      </c>
      <c r="F206" s="62" t="s">
        <v>25339</v>
      </c>
      <c r="G206" s="81" t="s">
        <v>19285</v>
      </c>
      <c r="H206" s="63">
        <v>45049</v>
      </c>
      <c r="I206" s="63">
        <v>45062</v>
      </c>
      <c r="J206" s="62">
        <v>14</v>
      </c>
      <c r="K206" s="62">
        <v>14</v>
      </c>
      <c r="L206" s="62" t="s">
        <v>19262</v>
      </c>
      <c r="M206" s="62" t="s">
        <v>19262</v>
      </c>
      <c r="N206" s="62" t="s">
        <v>19269</v>
      </c>
      <c r="O206" s="62" t="s">
        <v>7793</v>
      </c>
      <c r="P206" s="42" t="str">
        <f>+IF(O206="","",IFERROR(VLOOKUP(O206,CODIGO_DIAGNOSTICO,2,0),"CÓDIGO NO ENCONTRADO"))</f>
        <v>LUXACION DE OTROS SITIOS Y LOS NO ESPECIFICADOS DEL PIE</v>
      </c>
      <c r="Q206" s="62" t="s">
        <v>19230</v>
      </c>
      <c r="R206" s="64"/>
      <c r="S206" s="75"/>
      <c r="T206" s="75"/>
      <c r="U206" s="65">
        <f>SUM(W206/30)</f>
        <v>42400.166666666664</v>
      </c>
      <c r="V206" s="62" t="s">
        <v>25941</v>
      </c>
      <c r="W206" s="65">
        <v>1272005</v>
      </c>
      <c r="X206" s="62">
        <v>0</v>
      </c>
      <c r="Y206" s="65">
        <v>84800</v>
      </c>
      <c r="Z206" s="73"/>
    </row>
    <row r="207" spans="1:26" ht="15.75" hidden="1" customHeight="1" x14ac:dyDescent="0.25">
      <c r="A207" s="67">
        <v>5</v>
      </c>
      <c r="B207" s="68">
        <v>71382103</v>
      </c>
      <c r="C207" s="68" t="s">
        <v>25274</v>
      </c>
      <c r="D207" s="68" t="s">
        <v>25275</v>
      </c>
      <c r="E207" s="68" t="s">
        <v>25198</v>
      </c>
      <c r="F207" s="68" t="s">
        <v>25276</v>
      </c>
      <c r="G207" s="81" t="s">
        <v>19285</v>
      </c>
      <c r="H207" s="69">
        <v>45049</v>
      </c>
      <c r="I207" s="69">
        <v>45049</v>
      </c>
      <c r="J207" s="68">
        <v>1</v>
      </c>
      <c r="K207" s="68">
        <v>1</v>
      </c>
      <c r="L207" s="68" t="s">
        <v>24995</v>
      </c>
      <c r="M207" s="68" t="s">
        <v>24995</v>
      </c>
      <c r="N207" s="62" t="s">
        <v>19269</v>
      </c>
      <c r="O207" s="68" t="s">
        <v>4684</v>
      </c>
      <c r="P207" s="42" t="str">
        <f>+IF(O207="","",IFERROR(VLOOKUP(O207,CODIGO_DIAGNOSTICO,2,0),"CÓDIGO NO ENCONTRADO"))</f>
        <v>CONDROMALACIA DE LA ROTULA</v>
      </c>
      <c r="Q207" s="68" t="s">
        <v>19230</v>
      </c>
      <c r="R207" s="67">
        <v>0</v>
      </c>
      <c r="S207" s="77"/>
      <c r="T207" s="76">
        <v>0</v>
      </c>
      <c r="U207" s="65">
        <f>SUM(W207/30)</f>
        <v>42400.166666666664</v>
      </c>
      <c r="V207" s="68" t="s">
        <v>25941</v>
      </c>
      <c r="W207" s="70">
        <v>1272005</v>
      </c>
      <c r="X207" s="68">
        <v>0</v>
      </c>
      <c r="Y207" s="70">
        <v>84800</v>
      </c>
      <c r="Z207" s="72"/>
    </row>
    <row r="208" spans="1:26" ht="15.75" hidden="1" customHeight="1" x14ac:dyDescent="0.25">
      <c r="A208" s="64">
        <v>5</v>
      </c>
      <c r="B208" s="62">
        <v>1020397739</v>
      </c>
      <c r="C208" s="62" t="s">
        <v>25159</v>
      </c>
      <c r="D208" s="62" t="s">
        <v>25094</v>
      </c>
      <c r="E208" s="62" t="s">
        <v>25625</v>
      </c>
      <c r="F208" s="62"/>
      <c r="G208" s="81" t="s">
        <v>19285</v>
      </c>
      <c r="H208" s="63">
        <v>45051</v>
      </c>
      <c r="I208" s="63">
        <v>45053</v>
      </c>
      <c r="J208" s="62">
        <v>3</v>
      </c>
      <c r="K208" s="62">
        <v>3</v>
      </c>
      <c r="L208" s="62" t="s">
        <v>19262</v>
      </c>
      <c r="M208" s="62" t="s">
        <v>24995</v>
      </c>
      <c r="N208" s="62" t="s">
        <v>19269</v>
      </c>
      <c r="O208" s="62" t="s">
        <v>7770</v>
      </c>
      <c r="P208" s="42" t="str">
        <f>+IF(O208="","",IFERROR(VLOOKUP(O208,CODIGO_DIAGNOSTICO,2,0),"CÓDIGO NO ENCONTRADO"))</f>
        <v>CONTUSION DEL TOBILLO</v>
      </c>
      <c r="Q208" s="62" t="s">
        <v>19230</v>
      </c>
      <c r="R208" s="64"/>
      <c r="S208" s="75">
        <v>45056</v>
      </c>
      <c r="T208" s="75">
        <v>45069</v>
      </c>
      <c r="U208" s="65">
        <f>SUM(W208/30)</f>
        <v>42400.166666666664</v>
      </c>
      <c r="V208" s="62" t="s">
        <v>25941</v>
      </c>
      <c r="W208" s="65">
        <v>1272005</v>
      </c>
      <c r="X208" s="62">
        <v>0</v>
      </c>
      <c r="Y208" s="65">
        <v>84800</v>
      </c>
      <c r="Z208" s="73"/>
    </row>
    <row r="209" spans="1:26" ht="15.75" hidden="1" customHeight="1" x14ac:dyDescent="0.25">
      <c r="A209" s="67">
        <v>5</v>
      </c>
      <c r="B209" s="68">
        <v>43709476</v>
      </c>
      <c r="C209" s="68" t="s">
        <v>25023</v>
      </c>
      <c r="D209" s="68" t="s">
        <v>25233</v>
      </c>
      <c r="E209" s="68" t="s">
        <v>25234</v>
      </c>
      <c r="F209" s="68" t="s">
        <v>25235</v>
      </c>
      <c r="G209" s="81" t="s">
        <v>19285</v>
      </c>
      <c r="H209" s="69">
        <v>45051</v>
      </c>
      <c r="I209" s="69">
        <v>45055</v>
      </c>
      <c r="J209" s="68">
        <v>5</v>
      </c>
      <c r="K209" s="68">
        <v>5</v>
      </c>
      <c r="L209" s="68" t="s">
        <v>24995</v>
      </c>
      <c r="M209" s="68" t="s">
        <v>24995</v>
      </c>
      <c r="N209" s="62" t="s">
        <v>19269</v>
      </c>
      <c r="O209" s="68" t="s">
        <v>11980</v>
      </c>
      <c r="P209" s="42" t="str">
        <f>+IF(O209="","",IFERROR(VLOOKUP(O209,CODIGO_DIAGNOSTICO,2,0),"CÓDIGO NO ENCONTRADO"))</f>
        <v>ESTERILIZACION</v>
      </c>
      <c r="Q209" s="68" t="s">
        <v>19230</v>
      </c>
      <c r="R209" s="67"/>
      <c r="S209" s="77">
        <v>45061</v>
      </c>
      <c r="T209" s="76">
        <v>45069</v>
      </c>
      <c r="U209" s="65">
        <f>SUM(W209/30)</f>
        <v>42400.166666666664</v>
      </c>
      <c r="V209" s="68" t="s">
        <v>25941</v>
      </c>
      <c r="W209" s="70">
        <v>1272005</v>
      </c>
      <c r="X209" s="68">
        <v>0</v>
      </c>
      <c r="Y209" s="70">
        <v>84800</v>
      </c>
      <c r="Z209" s="72"/>
    </row>
    <row r="210" spans="1:26" ht="15.75" hidden="1" customHeight="1" x14ac:dyDescent="0.25">
      <c r="A210" s="64">
        <v>5</v>
      </c>
      <c r="B210" s="62">
        <v>15444896</v>
      </c>
      <c r="C210" s="62" t="s">
        <v>24997</v>
      </c>
      <c r="D210" s="62" t="s">
        <v>25094</v>
      </c>
      <c r="E210" s="62" t="s">
        <v>25241</v>
      </c>
      <c r="F210" s="62" t="s">
        <v>25530</v>
      </c>
      <c r="G210" s="81" t="s">
        <v>19285</v>
      </c>
      <c r="H210" s="63">
        <v>45052</v>
      </c>
      <c r="I210" s="63">
        <v>45053</v>
      </c>
      <c r="J210" s="62">
        <v>2</v>
      </c>
      <c r="K210" s="62">
        <v>2</v>
      </c>
      <c r="L210" s="62" t="s">
        <v>24995</v>
      </c>
      <c r="M210" s="62" t="s">
        <v>24995</v>
      </c>
      <c r="N210" s="62" t="s">
        <v>19269</v>
      </c>
      <c r="O210" s="62" t="s">
        <v>15281</v>
      </c>
      <c r="P210" s="42" t="str">
        <f>+IF(O210="","",IFERROR(VLOOKUP(O210,CODIGO_DIAGNOSTICO,2,0),"CÓDIGO NO ENCONTRADO"))</f>
        <v>RINOFARINGITIS AGUDA (RESFRIADO COMUN)</v>
      </c>
      <c r="Q210" s="62" t="s">
        <v>24996</v>
      </c>
      <c r="R210" s="64">
        <v>0</v>
      </c>
      <c r="S210" s="75"/>
      <c r="T210" s="75"/>
      <c r="U210" s="65">
        <f>SUM(W210/30)</f>
        <v>42400.166666666664</v>
      </c>
      <c r="V210" s="62" t="s">
        <v>25941</v>
      </c>
      <c r="W210" s="65">
        <v>1272005</v>
      </c>
      <c r="X210" s="62">
        <v>0</v>
      </c>
      <c r="Y210" s="65">
        <v>84800</v>
      </c>
      <c r="Z210" s="73"/>
    </row>
    <row r="211" spans="1:26" ht="15.75" hidden="1" customHeight="1" x14ac:dyDescent="0.25">
      <c r="A211" s="67">
        <v>5</v>
      </c>
      <c r="B211" s="68">
        <v>15444896</v>
      </c>
      <c r="C211" s="68" t="s">
        <v>25310</v>
      </c>
      <c r="D211" s="68" t="s">
        <v>25094</v>
      </c>
      <c r="E211" s="68" t="s">
        <v>25241</v>
      </c>
      <c r="F211" s="68" t="s">
        <v>25691</v>
      </c>
      <c r="G211" s="81" t="s">
        <v>19285</v>
      </c>
      <c r="H211" s="69">
        <v>45052</v>
      </c>
      <c r="I211" s="69">
        <v>45053</v>
      </c>
      <c r="J211" s="68">
        <v>2</v>
      </c>
      <c r="K211" s="68">
        <v>2</v>
      </c>
      <c r="L211" s="68" t="s">
        <v>24995</v>
      </c>
      <c r="M211" s="68" t="s">
        <v>24995</v>
      </c>
      <c r="N211" s="62" t="s">
        <v>19269</v>
      </c>
      <c r="O211" s="68" t="s">
        <v>15281</v>
      </c>
      <c r="P211" s="42" t="str">
        <f>+IF(O211="","",IFERROR(VLOOKUP(O211,CODIGO_DIAGNOSTICO,2,0),"CÓDIGO NO ENCONTRADO"))</f>
        <v>RINOFARINGITIS AGUDA (RESFRIADO COMUN)</v>
      </c>
      <c r="Q211" s="68" t="s">
        <v>24996</v>
      </c>
      <c r="R211" s="67">
        <v>0</v>
      </c>
      <c r="S211" s="77"/>
      <c r="T211" s="76"/>
      <c r="U211" s="65">
        <f>SUM(W211/30)</f>
        <v>42400.166666666664</v>
      </c>
      <c r="V211" s="68" t="s">
        <v>25941</v>
      </c>
      <c r="W211" s="70">
        <v>1272005</v>
      </c>
      <c r="X211" s="68">
        <v>0</v>
      </c>
      <c r="Y211" s="70">
        <v>84800</v>
      </c>
      <c r="Z211" s="72"/>
    </row>
    <row r="212" spans="1:26" ht="15.75" hidden="1" customHeight="1" x14ac:dyDescent="0.25">
      <c r="A212" s="64">
        <v>5</v>
      </c>
      <c r="B212" s="62">
        <v>43826892</v>
      </c>
      <c r="C212" s="62" t="s">
        <v>25229</v>
      </c>
      <c r="D212" s="62" t="s">
        <v>25230</v>
      </c>
      <c r="E212" s="62" t="s">
        <v>25258</v>
      </c>
      <c r="F212" s="62" t="s">
        <v>25232</v>
      </c>
      <c r="G212" s="81" t="s">
        <v>19285</v>
      </c>
      <c r="H212" s="63">
        <v>45053</v>
      </c>
      <c r="I212" s="63">
        <v>45055</v>
      </c>
      <c r="J212" s="62">
        <v>3</v>
      </c>
      <c r="K212" s="62">
        <v>3</v>
      </c>
      <c r="L212" s="62" t="s">
        <v>19262</v>
      </c>
      <c r="M212" s="62" t="s">
        <v>24995</v>
      </c>
      <c r="N212" s="62" t="s">
        <v>19269</v>
      </c>
      <c r="O212" s="62" t="s">
        <v>7916</v>
      </c>
      <c r="P212" s="42" t="str">
        <f>+IF(O212="","",IFERROR(VLOOKUP(O212,CODIGO_DIAGNOSTICO,2,0),"CÓDIGO NO ENCONTRADO"))</f>
        <v>LUXACION, ESGUINCE O TORCEDURA DE REGION NO ESPECIFICADA DEL CUERPO</v>
      </c>
      <c r="Q212" s="62" t="s">
        <v>19232</v>
      </c>
      <c r="R212" s="64"/>
      <c r="S212" s="75">
        <v>45120</v>
      </c>
      <c r="T212" s="75">
        <v>45126</v>
      </c>
      <c r="U212" s="65">
        <f>SUM(W212/30)</f>
        <v>42400.166666666664</v>
      </c>
      <c r="V212" s="62" t="s">
        <v>25941</v>
      </c>
      <c r="W212" s="65">
        <v>1272005</v>
      </c>
      <c r="X212" s="62">
        <v>0</v>
      </c>
      <c r="Y212" s="65">
        <v>84800</v>
      </c>
      <c r="Z212" s="73"/>
    </row>
    <row r="213" spans="1:26" ht="15.75" hidden="1" customHeight="1" x14ac:dyDescent="0.25">
      <c r="A213" s="67">
        <v>5</v>
      </c>
      <c r="B213" s="68">
        <v>70133821</v>
      </c>
      <c r="C213" s="68" t="s">
        <v>25200</v>
      </c>
      <c r="D213" s="68" t="s">
        <v>25523</v>
      </c>
      <c r="E213" s="68" t="s">
        <v>25203</v>
      </c>
      <c r="F213" s="68" t="s">
        <v>25005</v>
      </c>
      <c r="G213" s="81" t="s">
        <v>19285</v>
      </c>
      <c r="H213" s="69">
        <v>45054</v>
      </c>
      <c r="I213" s="69">
        <v>45068</v>
      </c>
      <c r="J213" s="68">
        <v>15</v>
      </c>
      <c r="K213" s="68">
        <v>15</v>
      </c>
      <c r="L213" s="68" t="s">
        <v>24995</v>
      </c>
      <c r="M213" s="68" t="s">
        <v>19262</v>
      </c>
      <c r="N213" s="62" t="s">
        <v>19269</v>
      </c>
      <c r="O213" s="68" t="s">
        <v>4000</v>
      </c>
      <c r="P213" s="42" t="str">
        <f>+IF(O213="","",IFERROR(VLOOKUP(O213,CODIGO_DIAGNOSTICO,2,0),"CÓDIGO NO ENCONTRADO"))</f>
        <v>HERNIA VENTRAL SIN OBSTRUCCION NI GANGRENA</v>
      </c>
      <c r="Q213" s="68" t="s">
        <v>19230</v>
      </c>
      <c r="R213" s="67"/>
      <c r="S213" s="77">
        <v>45058</v>
      </c>
      <c r="T213" s="76">
        <v>45069</v>
      </c>
      <c r="U213" s="65">
        <f>SUM(W213/30)</f>
        <v>42400.166666666664</v>
      </c>
      <c r="V213" s="68" t="s">
        <v>25941</v>
      </c>
      <c r="W213" s="70">
        <v>1272005</v>
      </c>
      <c r="X213" s="68">
        <v>0</v>
      </c>
      <c r="Y213" s="70">
        <v>84800</v>
      </c>
      <c r="Z213" s="72"/>
    </row>
    <row r="214" spans="1:26" ht="15.75" hidden="1" customHeight="1" x14ac:dyDescent="0.25">
      <c r="A214" s="64">
        <v>5</v>
      </c>
      <c r="B214" s="62">
        <v>15309929</v>
      </c>
      <c r="C214" s="62" t="s">
        <v>25011</v>
      </c>
      <c r="D214" s="62" t="s">
        <v>25012</v>
      </c>
      <c r="E214" s="62" t="s">
        <v>25013</v>
      </c>
      <c r="F214" s="62" t="s">
        <v>25014</v>
      </c>
      <c r="G214" s="81" t="s">
        <v>19285</v>
      </c>
      <c r="H214" s="63">
        <v>45054</v>
      </c>
      <c r="I214" s="63">
        <v>45068</v>
      </c>
      <c r="J214" s="62">
        <v>15</v>
      </c>
      <c r="K214" s="62">
        <v>15</v>
      </c>
      <c r="L214" s="62" t="s">
        <v>24995</v>
      </c>
      <c r="M214" s="62" t="s">
        <v>19262</v>
      </c>
      <c r="N214" s="62" t="s">
        <v>19269</v>
      </c>
      <c r="O214" s="62" t="s">
        <v>7734</v>
      </c>
      <c r="P214" s="42" t="str">
        <f>+IF(O214="","",IFERROR(VLOOKUP(O214,CODIGO_DIAGNOSTICO,2,0),"CÓDIGO NO ENCONTRADO"))</f>
        <v>DESGARRO DE MENISCOS, PRESENTE</v>
      </c>
      <c r="Q214" s="62" t="s">
        <v>19230</v>
      </c>
      <c r="R214" s="64"/>
      <c r="S214" s="75">
        <v>45056</v>
      </c>
      <c r="T214" s="75">
        <v>45069</v>
      </c>
      <c r="U214" s="65">
        <f>SUM(W214/30)</f>
        <v>42400.166666666664</v>
      </c>
      <c r="V214" s="62" t="s">
        <v>25941</v>
      </c>
      <c r="W214" s="65">
        <v>1272005</v>
      </c>
      <c r="X214" s="62">
        <v>0</v>
      </c>
      <c r="Y214" s="65">
        <v>84800</v>
      </c>
      <c r="Z214" s="73"/>
    </row>
    <row r="215" spans="1:26" ht="15.75" hidden="1" customHeight="1" x14ac:dyDescent="0.25">
      <c r="A215" s="67">
        <v>5</v>
      </c>
      <c r="B215" s="68">
        <v>71382103</v>
      </c>
      <c r="C215" s="68" t="s">
        <v>25274</v>
      </c>
      <c r="D215" s="68" t="s">
        <v>25275</v>
      </c>
      <c r="E215" s="68" t="s">
        <v>25198</v>
      </c>
      <c r="F215" s="68" t="s">
        <v>25276</v>
      </c>
      <c r="G215" s="81" t="s">
        <v>19285</v>
      </c>
      <c r="H215" s="69">
        <v>45054</v>
      </c>
      <c r="I215" s="69">
        <v>45054</v>
      </c>
      <c r="J215" s="68">
        <v>1</v>
      </c>
      <c r="K215" s="68">
        <v>1</v>
      </c>
      <c r="L215" s="68" t="s">
        <v>24995</v>
      </c>
      <c r="M215" s="68" t="s">
        <v>24995</v>
      </c>
      <c r="N215" s="62" t="s">
        <v>19269</v>
      </c>
      <c r="O215" s="68" t="s">
        <v>4644</v>
      </c>
      <c r="P215" s="42" t="str">
        <f>+IF(O215="","",IFERROR(VLOOKUP(O215,CODIGO_DIAGNOSTICO,2,0),"CÓDIGO NO ENCONTRADO"))</f>
        <v>GONARTROSIS PRIMARIA, BILATERAL</v>
      </c>
      <c r="Q215" s="68" t="s">
        <v>19230</v>
      </c>
      <c r="R215" s="67">
        <v>0</v>
      </c>
      <c r="S215" s="77"/>
      <c r="T215" s="76">
        <v>0</v>
      </c>
      <c r="U215" s="65">
        <f>SUM(W215/30)</f>
        <v>42400.166666666664</v>
      </c>
      <c r="V215" s="68" t="s">
        <v>25941</v>
      </c>
      <c r="W215" s="70">
        <v>1272005</v>
      </c>
      <c r="X215" s="68">
        <v>0</v>
      </c>
      <c r="Y215" s="70">
        <v>84800</v>
      </c>
      <c r="Z215" s="72"/>
    </row>
    <row r="216" spans="1:26" ht="15.75" hidden="1" customHeight="1" x14ac:dyDescent="0.25">
      <c r="A216" s="64">
        <v>5</v>
      </c>
      <c r="B216" s="62">
        <v>98601485</v>
      </c>
      <c r="C216" s="62" t="s">
        <v>25240</v>
      </c>
      <c r="D216" s="62"/>
      <c r="E216" s="62" t="s">
        <v>25613</v>
      </c>
      <c r="F216" s="62" t="s">
        <v>24982</v>
      </c>
      <c r="G216" s="81" t="s">
        <v>19285</v>
      </c>
      <c r="H216" s="63">
        <v>45054</v>
      </c>
      <c r="I216" s="63">
        <v>45073</v>
      </c>
      <c r="J216" s="62">
        <v>20</v>
      </c>
      <c r="K216" s="62">
        <v>20</v>
      </c>
      <c r="L216" s="62" t="s">
        <v>19262</v>
      </c>
      <c r="M216" s="62" t="s">
        <v>19262</v>
      </c>
      <c r="N216" s="62" t="s">
        <v>19269</v>
      </c>
      <c r="O216" s="62" t="s">
        <v>4662</v>
      </c>
      <c r="P216" s="42" t="str">
        <f>+IF(O216="","",IFERROR(VLOOKUP(O216,CODIGO_DIAGNOSTICO,2,0),"CÓDIGO NO ENCONTRADO"))</f>
        <v>ARTROSIS, NO ESPECIFICADA</v>
      </c>
      <c r="Q216" s="62" t="s">
        <v>19230</v>
      </c>
      <c r="R216" s="64"/>
      <c r="S216" s="75"/>
      <c r="T216" s="75"/>
      <c r="U216" s="65">
        <f>SUM(W216/30)</f>
        <v>42400.166666666664</v>
      </c>
      <c r="V216" s="62" t="s">
        <v>25941</v>
      </c>
      <c r="W216" s="65">
        <v>1272005</v>
      </c>
      <c r="X216" s="62">
        <v>0</v>
      </c>
      <c r="Y216" s="65">
        <v>84800</v>
      </c>
      <c r="Z216" s="73"/>
    </row>
    <row r="217" spans="1:26" ht="15.75" hidden="1" customHeight="1" x14ac:dyDescent="0.25">
      <c r="A217" s="67">
        <v>5</v>
      </c>
      <c r="B217" s="68">
        <v>71797878</v>
      </c>
      <c r="C217" s="68" t="s">
        <v>25699</v>
      </c>
      <c r="D217" s="68" t="s">
        <v>25578</v>
      </c>
      <c r="E217" s="68" t="s">
        <v>25700</v>
      </c>
      <c r="F217" s="68" t="s">
        <v>25701</v>
      </c>
      <c r="G217" s="81" t="s">
        <v>19285</v>
      </c>
      <c r="H217" s="69">
        <v>45054</v>
      </c>
      <c r="I217" s="69">
        <v>45068</v>
      </c>
      <c r="J217" s="68">
        <v>15</v>
      </c>
      <c r="K217" s="68">
        <v>15</v>
      </c>
      <c r="L217" s="68" t="s">
        <v>24995</v>
      </c>
      <c r="M217" s="68" t="s">
        <v>19262</v>
      </c>
      <c r="N217" s="62" t="s">
        <v>19269</v>
      </c>
      <c r="O217" s="68" t="s">
        <v>7250</v>
      </c>
      <c r="P217" s="42" t="str">
        <f>+IF(O217="","",IFERROR(VLOOKUP(O217,CODIGO_DIAGNOSTICO,2,0),"CÓDIGO NO ENCONTRADO"))</f>
        <v>FRACTURA DE LOS HUESOS DE LA NARIZ</v>
      </c>
      <c r="Q217" s="68" t="s">
        <v>19230</v>
      </c>
      <c r="R217" s="67"/>
      <c r="S217" s="77">
        <v>45062</v>
      </c>
      <c r="T217" s="76">
        <v>45076</v>
      </c>
      <c r="U217" s="65">
        <f>SUM(W217/30)</f>
        <v>42400.166666666664</v>
      </c>
      <c r="V217" s="68" t="s">
        <v>25941</v>
      </c>
      <c r="W217" s="70">
        <v>1272005</v>
      </c>
      <c r="X217" s="68">
        <v>0</v>
      </c>
      <c r="Y217" s="70">
        <v>84800</v>
      </c>
      <c r="Z217" s="72"/>
    </row>
    <row r="218" spans="1:26" ht="15.75" hidden="1" customHeight="1" x14ac:dyDescent="0.25">
      <c r="A218" s="64">
        <v>5</v>
      </c>
      <c r="B218" s="62">
        <v>3669363</v>
      </c>
      <c r="C218" s="62" t="s">
        <v>25173</v>
      </c>
      <c r="D218" s="62" t="s">
        <v>24983</v>
      </c>
      <c r="E218" s="62" t="s">
        <v>25032</v>
      </c>
      <c r="F218" s="62" t="s">
        <v>25103</v>
      </c>
      <c r="G218" s="81" t="s">
        <v>19285</v>
      </c>
      <c r="H218" s="63">
        <v>45055</v>
      </c>
      <c r="I218" s="63">
        <v>45064</v>
      </c>
      <c r="J218" s="62">
        <v>10</v>
      </c>
      <c r="K218" s="62">
        <v>18</v>
      </c>
      <c r="L218" s="62" t="s">
        <v>24995</v>
      </c>
      <c r="M218" s="62" t="s">
        <v>24995</v>
      </c>
      <c r="N218" s="62" t="s">
        <v>19269</v>
      </c>
      <c r="O218" s="62" t="s">
        <v>4650</v>
      </c>
      <c r="P218" s="42" t="str">
        <f>+IF(O218="","",IFERROR(VLOOKUP(O218,CODIGO_DIAGNOSTICO,2,0),"CÓDIGO NO ENCONTRADO"))</f>
        <v>GONARTROSIS, NO ESPECIFICADA</v>
      </c>
      <c r="Q218" s="62" t="s">
        <v>19230</v>
      </c>
      <c r="R218" s="64"/>
      <c r="S218" s="75"/>
      <c r="T218" s="75"/>
      <c r="U218" s="65">
        <f>SUM(W218/30)</f>
        <v>42400.166666666664</v>
      </c>
      <c r="V218" s="62" t="s">
        <v>25941</v>
      </c>
      <c r="W218" s="65">
        <v>1272005</v>
      </c>
      <c r="X218" s="62">
        <v>0</v>
      </c>
      <c r="Y218" s="65">
        <v>84800</v>
      </c>
      <c r="Z218" s="73"/>
    </row>
    <row r="219" spans="1:26" ht="15.75" hidden="1" customHeight="1" x14ac:dyDescent="0.25">
      <c r="A219" s="67">
        <v>5</v>
      </c>
      <c r="B219" s="68">
        <v>1027946541</v>
      </c>
      <c r="C219" s="68" t="s">
        <v>25030</v>
      </c>
      <c r="D219" s="68" t="s">
        <v>25034</v>
      </c>
      <c r="E219" s="68" t="s">
        <v>25035</v>
      </c>
      <c r="F219" s="68" t="s">
        <v>25010</v>
      </c>
      <c r="G219" s="81" t="s">
        <v>19285</v>
      </c>
      <c r="H219" s="69">
        <v>45055</v>
      </c>
      <c r="I219" s="69">
        <v>45056</v>
      </c>
      <c r="J219" s="68">
        <v>2</v>
      </c>
      <c r="K219" s="68">
        <v>2</v>
      </c>
      <c r="L219" s="68" t="s">
        <v>24995</v>
      </c>
      <c r="M219" s="68" t="s">
        <v>24995</v>
      </c>
      <c r="N219" s="62" t="s">
        <v>19269</v>
      </c>
      <c r="O219" s="68" t="s">
        <v>4838</v>
      </c>
      <c r="P219" s="42" t="str">
        <f>+IF(O219="","",IFERROR(VLOOKUP(O219,CODIGO_DIAGNOSTICO,2,0),"CÓDIGO NO ENCONTRADO"))</f>
        <v>LUMBAGO NO ESPECIFICADO</v>
      </c>
      <c r="Q219" s="68" t="s">
        <v>19230</v>
      </c>
      <c r="R219" s="67">
        <v>0</v>
      </c>
      <c r="S219" s="77"/>
      <c r="T219" s="76"/>
      <c r="U219" s="65">
        <f>SUM(W219/30)</f>
        <v>42400.166666666664</v>
      </c>
      <c r="V219" s="68" t="s">
        <v>25941</v>
      </c>
      <c r="W219" s="70">
        <v>1272005</v>
      </c>
      <c r="X219" s="68">
        <v>0</v>
      </c>
      <c r="Y219" s="70">
        <v>84800</v>
      </c>
      <c r="Z219" s="72"/>
    </row>
    <row r="220" spans="1:26" ht="15.75" hidden="1" customHeight="1" x14ac:dyDescent="0.25">
      <c r="A220" s="64">
        <v>5</v>
      </c>
      <c r="B220" s="62">
        <v>71382103</v>
      </c>
      <c r="C220" s="62" t="s">
        <v>25274</v>
      </c>
      <c r="D220" s="62" t="s">
        <v>25275</v>
      </c>
      <c r="E220" s="62" t="s">
        <v>25198</v>
      </c>
      <c r="F220" s="62" t="s">
        <v>25276</v>
      </c>
      <c r="G220" s="81" t="s">
        <v>19285</v>
      </c>
      <c r="H220" s="63">
        <v>45055</v>
      </c>
      <c r="I220" s="63">
        <v>45055</v>
      </c>
      <c r="J220" s="62">
        <v>1</v>
      </c>
      <c r="K220" s="62">
        <v>1</v>
      </c>
      <c r="L220" s="62" t="s">
        <v>24995</v>
      </c>
      <c r="M220" s="62" t="s">
        <v>24995</v>
      </c>
      <c r="N220" s="62" t="s">
        <v>19269</v>
      </c>
      <c r="O220" s="62" t="s">
        <v>4689</v>
      </c>
      <c r="P220" s="42" t="str">
        <f>+IF(O220="","",IFERROR(VLOOKUP(O220,CODIGO_DIAGNOSTICO,2,0),"CÓDIGO NO ENCONTRADO"))</f>
        <v>TRASTORNO DEL MENISCO DEBIDO A DESGARRO O LESION ANTIGUA</v>
      </c>
      <c r="Q220" s="62" t="s">
        <v>19230</v>
      </c>
      <c r="R220" s="64">
        <v>0</v>
      </c>
      <c r="S220" s="75"/>
      <c r="T220" s="75">
        <v>0</v>
      </c>
      <c r="U220" s="65">
        <f>SUM(W220/30)</f>
        <v>42400.166666666664</v>
      </c>
      <c r="V220" s="62" t="s">
        <v>25941</v>
      </c>
      <c r="W220" s="65">
        <v>1272005</v>
      </c>
      <c r="X220" s="62">
        <v>0</v>
      </c>
      <c r="Y220" s="65">
        <v>84800</v>
      </c>
      <c r="Z220" s="73"/>
    </row>
    <row r="221" spans="1:26" ht="15.75" hidden="1" customHeight="1" x14ac:dyDescent="0.25">
      <c r="A221" s="67">
        <v>5</v>
      </c>
      <c r="B221" s="68">
        <v>43709476</v>
      </c>
      <c r="C221" s="68" t="s">
        <v>25023</v>
      </c>
      <c r="D221" s="68" t="s">
        <v>25233</v>
      </c>
      <c r="E221" s="68" t="s">
        <v>25234</v>
      </c>
      <c r="F221" s="68" t="s">
        <v>25235</v>
      </c>
      <c r="G221" s="81" t="s">
        <v>19285</v>
      </c>
      <c r="H221" s="69">
        <v>45056</v>
      </c>
      <c r="I221" s="69">
        <v>45057</v>
      </c>
      <c r="J221" s="68">
        <v>2</v>
      </c>
      <c r="K221" s="68">
        <v>2</v>
      </c>
      <c r="L221" s="68" t="s">
        <v>24995</v>
      </c>
      <c r="M221" s="68" t="s">
        <v>24995</v>
      </c>
      <c r="N221" s="62" t="s">
        <v>19269</v>
      </c>
      <c r="O221" s="68" t="s">
        <v>11980</v>
      </c>
      <c r="P221" s="42" t="str">
        <f>+IF(O221="","",IFERROR(VLOOKUP(O221,CODIGO_DIAGNOSTICO,2,0),"CÓDIGO NO ENCONTRADO"))</f>
        <v>ESTERILIZACION</v>
      </c>
      <c r="Q221" s="68" t="s">
        <v>19230</v>
      </c>
      <c r="R221" s="67">
        <v>0</v>
      </c>
      <c r="S221" s="77"/>
      <c r="T221" s="76"/>
      <c r="U221" s="65">
        <f>SUM(W221/30)</f>
        <v>42400.166666666664</v>
      </c>
      <c r="V221" s="68" t="s">
        <v>25941</v>
      </c>
      <c r="W221" s="70">
        <v>1272005</v>
      </c>
      <c r="X221" s="68">
        <v>0</v>
      </c>
      <c r="Y221" s="70">
        <v>84800</v>
      </c>
      <c r="Z221" s="72"/>
    </row>
    <row r="222" spans="1:26" ht="15.75" hidden="1" customHeight="1" x14ac:dyDescent="0.25">
      <c r="A222" s="64">
        <v>5</v>
      </c>
      <c r="B222" s="62">
        <v>1076325518</v>
      </c>
      <c r="C222" s="62" t="s">
        <v>25689</v>
      </c>
      <c r="D222" s="62" t="s">
        <v>25690</v>
      </c>
      <c r="E222" s="62" t="s">
        <v>25089</v>
      </c>
      <c r="F222" s="62" t="s">
        <v>25066</v>
      </c>
      <c r="G222" s="81" t="s">
        <v>19285</v>
      </c>
      <c r="H222" s="63">
        <v>45056</v>
      </c>
      <c r="I222" s="63">
        <v>45067</v>
      </c>
      <c r="J222" s="62">
        <v>12</v>
      </c>
      <c r="K222" s="62">
        <v>12</v>
      </c>
      <c r="L222" s="62" t="s">
        <v>24995</v>
      </c>
      <c r="M222" s="62" t="s">
        <v>24995</v>
      </c>
      <c r="N222" s="62" t="s">
        <v>19269</v>
      </c>
      <c r="O222" s="62" t="s">
        <v>2850</v>
      </c>
      <c r="P222" s="42" t="str">
        <f>+IF(O222="","",IFERROR(VLOOKUP(O222,CODIGO_DIAGNOSTICO,2,0),"CÓDIGO NO ENCONTRADO"))</f>
        <v>PTERIGION</v>
      </c>
      <c r="Q222" s="62" t="s">
        <v>19230</v>
      </c>
      <c r="R222" s="64"/>
      <c r="S222" s="75">
        <v>45061</v>
      </c>
      <c r="T222" s="75">
        <v>45069</v>
      </c>
      <c r="U222" s="65">
        <f>SUM(W222/30)</f>
        <v>42400.166666666664</v>
      </c>
      <c r="V222" s="62" t="s">
        <v>25941</v>
      </c>
      <c r="W222" s="65">
        <v>1272005</v>
      </c>
      <c r="X222" s="62">
        <v>0</v>
      </c>
      <c r="Y222" s="65">
        <v>84800</v>
      </c>
      <c r="Z222" s="73"/>
    </row>
    <row r="223" spans="1:26" ht="15.75" hidden="1" customHeight="1" x14ac:dyDescent="0.25">
      <c r="A223" s="67">
        <v>5</v>
      </c>
      <c r="B223" s="68">
        <v>43826892</v>
      </c>
      <c r="C223" s="68" t="s">
        <v>25229</v>
      </c>
      <c r="D223" s="68" t="s">
        <v>25230</v>
      </c>
      <c r="E223" s="68" t="s">
        <v>25258</v>
      </c>
      <c r="F223" s="68" t="s">
        <v>25232</v>
      </c>
      <c r="G223" s="81" t="s">
        <v>19285</v>
      </c>
      <c r="H223" s="69">
        <v>45056</v>
      </c>
      <c r="I223" s="69">
        <v>45062</v>
      </c>
      <c r="J223" s="68">
        <v>7</v>
      </c>
      <c r="K223" s="68">
        <v>7</v>
      </c>
      <c r="L223" s="68" t="s">
        <v>24995</v>
      </c>
      <c r="M223" s="68" t="s">
        <v>24995</v>
      </c>
      <c r="N223" s="62" t="s">
        <v>19269</v>
      </c>
      <c r="O223" s="68" t="s">
        <v>7770</v>
      </c>
      <c r="P223" s="42" t="str">
        <f>+IF(O223="","",IFERROR(VLOOKUP(O223,CODIGO_DIAGNOSTICO,2,0),"CÓDIGO NO ENCONTRADO"))</f>
        <v>CONTUSION DEL TOBILLO</v>
      </c>
      <c r="Q223" s="68" t="s">
        <v>19232</v>
      </c>
      <c r="R223" s="67"/>
      <c r="S223" s="77">
        <v>45120</v>
      </c>
      <c r="T223" s="76">
        <v>45126</v>
      </c>
      <c r="U223" s="65">
        <f>SUM(W223/30)</f>
        <v>42400.166666666664</v>
      </c>
      <c r="V223" s="68" t="s">
        <v>25941</v>
      </c>
      <c r="W223" s="70">
        <v>1272005</v>
      </c>
      <c r="X223" s="68">
        <v>0</v>
      </c>
      <c r="Y223" s="70">
        <v>84800</v>
      </c>
      <c r="Z223" s="72"/>
    </row>
    <row r="224" spans="1:26" ht="15.75" hidden="1" customHeight="1" x14ac:dyDescent="0.25">
      <c r="A224" s="64">
        <v>5</v>
      </c>
      <c r="B224" s="62">
        <v>8156170</v>
      </c>
      <c r="C224" s="62" t="s">
        <v>25061</v>
      </c>
      <c r="D224" s="62" t="s">
        <v>25062</v>
      </c>
      <c r="E224" s="62" t="s">
        <v>25063</v>
      </c>
      <c r="F224" s="62" t="s">
        <v>25064</v>
      </c>
      <c r="G224" s="81" t="s">
        <v>19285</v>
      </c>
      <c r="H224" s="63">
        <v>45057</v>
      </c>
      <c r="I224" s="63">
        <v>45059</v>
      </c>
      <c r="J224" s="62">
        <v>3</v>
      </c>
      <c r="K224" s="62">
        <v>3</v>
      </c>
      <c r="L224" s="62" t="s">
        <v>24995</v>
      </c>
      <c r="M224" s="62" t="s">
        <v>24995</v>
      </c>
      <c r="N224" s="62" t="s">
        <v>19269</v>
      </c>
      <c r="O224" s="62" t="s">
        <v>517</v>
      </c>
      <c r="P224" s="42" t="str">
        <f>+IF(O224="","",IFERROR(VLOOKUP(O224,CODIGO_DIAGNOSTICO,2,0),"CÓDIGO NO ENCONTRADO"))</f>
        <v>PAROTIDITIS, SIN COMPLICACIONES</v>
      </c>
      <c r="Q224" s="62" t="s">
        <v>19230</v>
      </c>
      <c r="R224" s="64"/>
      <c r="S224" s="75">
        <v>45059</v>
      </c>
      <c r="T224" s="75">
        <v>45069</v>
      </c>
      <c r="U224" s="65">
        <f>SUM(W224/30)</f>
        <v>42400.166666666664</v>
      </c>
      <c r="V224" s="62" t="s">
        <v>25941</v>
      </c>
      <c r="W224" s="65">
        <v>1272005</v>
      </c>
      <c r="X224" s="62">
        <v>0</v>
      </c>
      <c r="Y224" s="65">
        <v>84800</v>
      </c>
      <c r="Z224" s="73"/>
    </row>
    <row r="225" spans="1:26" ht="15.75" hidden="1" customHeight="1" x14ac:dyDescent="0.25">
      <c r="A225" s="67">
        <v>5</v>
      </c>
      <c r="B225" s="68">
        <v>3481465</v>
      </c>
      <c r="C225" s="68" t="s">
        <v>25421</v>
      </c>
      <c r="D225" s="68" t="s">
        <v>25006</v>
      </c>
      <c r="E225" s="68" t="s">
        <v>25308</v>
      </c>
      <c r="F225" s="68" t="s">
        <v>25103</v>
      </c>
      <c r="G225" s="81" t="s">
        <v>19285</v>
      </c>
      <c r="H225" s="69">
        <v>45057</v>
      </c>
      <c r="I225" s="69">
        <v>45076</v>
      </c>
      <c r="J225" s="68">
        <v>20</v>
      </c>
      <c r="K225" s="68">
        <v>20</v>
      </c>
      <c r="L225" s="68" t="s">
        <v>24995</v>
      </c>
      <c r="M225" s="68" t="s">
        <v>19262</v>
      </c>
      <c r="N225" s="62" t="s">
        <v>19269</v>
      </c>
      <c r="O225" s="68" t="s">
        <v>2068</v>
      </c>
      <c r="P225" s="42" t="str">
        <f>+IF(O225="","",IFERROR(VLOOKUP(O225,CODIGO_DIAGNOSTICO,2,0),"CÓDIGO NO ENCONTRADO"))</f>
        <v>DEMENCIA VASCULAR DE COMIENZO AGUDO</v>
      </c>
      <c r="Q225" s="68" t="s">
        <v>19230</v>
      </c>
      <c r="R225" s="67"/>
      <c r="S225" s="77"/>
      <c r="T225" s="76"/>
      <c r="U225" s="65">
        <f>SUM(W225/30)</f>
        <v>42400.166666666664</v>
      </c>
      <c r="V225" s="68" t="s">
        <v>25941</v>
      </c>
      <c r="W225" s="70">
        <v>1272005</v>
      </c>
      <c r="X225" s="68">
        <v>0</v>
      </c>
      <c r="Y225" s="70">
        <v>84800</v>
      </c>
      <c r="Z225" s="72"/>
    </row>
    <row r="226" spans="1:26" ht="15.75" hidden="1" customHeight="1" x14ac:dyDescent="0.25">
      <c r="A226" s="64">
        <v>5</v>
      </c>
      <c r="B226" s="62">
        <v>71601851</v>
      </c>
      <c r="C226" s="62" t="s">
        <v>25178</v>
      </c>
      <c r="D226" s="62" t="s">
        <v>25179</v>
      </c>
      <c r="E226" s="62" t="s">
        <v>25180</v>
      </c>
      <c r="F226" s="62" t="s">
        <v>25023</v>
      </c>
      <c r="G226" s="81" t="s">
        <v>19285</v>
      </c>
      <c r="H226" s="63">
        <v>45058</v>
      </c>
      <c r="I226" s="63">
        <v>45072</v>
      </c>
      <c r="J226" s="62">
        <v>15</v>
      </c>
      <c r="K226" s="62">
        <v>15</v>
      </c>
      <c r="L226" s="62" t="s">
        <v>24995</v>
      </c>
      <c r="M226" s="62" t="s">
        <v>19262</v>
      </c>
      <c r="N226" s="62" t="s">
        <v>19269</v>
      </c>
      <c r="O226" s="62" t="s">
        <v>4695</v>
      </c>
      <c r="P226" s="42" t="str">
        <f>+IF(O226="","",IFERROR(VLOOKUP(O226,CODIGO_DIAGNOSTICO,2,0),"CÓDIGO NO ENCONTRADO"))</f>
        <v>TRASTORNOS INTERNO DE LA RODILLA, NO ESPECIFICADO</v>
      </c>
      <c r="Q226" s="62" t="s">
        <v>19231</v>
      </c>
      <c r="R226" s="64"/>
      <c r="S226" s="75"/>
      <c r="T226" s="75"/>
      <c r="U226" s="65">
        <f>SUM(W226/30)</f>
        <v>42400.166666666664</v>
      </c>
      <c r="V226" s="62" t="s">
        <v>25941</v>
      </c>
      <c r="W226" s="65">
        <v>1272005</v>
      </c>
      <c r="X226" s="62">
        <v>0</v>
      </c>
      <c r="Y226" s="65">
        <v>84800</v>
      </c>
      <c r="Z226" s="73"/>
    </row>
    <row r="227" spans="1:26" ht="15.75" hidden="1" customHeight="1" x14ac:dyDescent="0.25">
      <c r="A227" s="67">
        <v>5</v>
      </c>
      <c r="B227" s="68">
        <v>71382103</v>
      </c>
      <c r="C227" s="68" t="s">
        <v>25274</v>
      </c>
      <c r="D227" s="68" t="s">
        <v>25275</v>
      </c>
      <c r="E227" s="68" t="s">
        <v>25198</v>
      </c>
      <c r="F227" s="68" t="s">
        <v>25276</v>
      </c>
      <c r="G227" s="81" t="s">
        <v>19285</v>
      </c>
      <c r="H227" s="69">
        <v>45060</v>
      </c>
      <c r="I227" s="69">
        <v>45061</v>
      </c>
      <c r="J227" s="68">
        <v>2</v>
      </c>
      <c r="K227" s="68">
        <v>2</v>
      </c>
      <c r="L227" s="68" t="s">
        <v>24995</v>
      </c>
      <c r="M227" s="68" t="s">
        <v>24995</v>
      </c>
      <c r="N227" s="62" t="s">
        <v>19269</v>
      </c>
      <c r="O227" s="68" t="s">
        <v>4650</v>
      </c>
      <c r="P227" s="42" t="str">
        <f>+IF(O227="","",IFERROR(VLOOKUP(O227,CODIGO_DIAGNOSTICO,2,0),"CÓDIGO NO ENCONTRADO"))</f>
        <v>GONARTROSIS, NO ESPECIFICADA</v>
      </c>
      <c r="Q227" s="68" t="s">
        <v>19230</v>
      </c>
      <c r="R227" s="67">
        <v>0</v>
      </c>
      <c r="S227" s="77"/>
      <c r="T227" s="76"/>
      <c r="U227" s="65">
        <f>SUM(W227/30)</f>
        <v>42400.166666666664</v>
      </c>
      <c r="V227" s="68" t="s">
        <v>25941</v>
      </c>
      <c r="W227" s="70">
        <v>1272005</v>
      </c>
      <c r="X227" s="68">
        <v>0</v>
      </c>
      <c r="Y227" s="70">
        <v>84800</v>
      </c>
      <c r="Z227" s="72"/>
    </row>
    <row r="228" spans="1:26" ht="15.75" hidden="1" customHeight="1" x14ac:dyDescent="0.25">
      <c r="A228" s="64">
        <v>5</v>
      </c>
      <c r="B228" s="62">
        <v>15532746</v>
      </c>
      <c r="C228" s="62" t="s">
        <v>25553</v>
      </c>
      <c r="D228" s="62" t="s">
        <v>25127</v>
      </c>
      <c r="E228" s="62" t="s">
        <v>25358</v>
      </c>
      <c r="F228" s="62" t="s">
        <v>25005</v>
      </c>
      <c r="G228" s="81" t="s">
        <v>19285</v>
      </c>
      <c r="H228" s="63">
        <v>45060</v>
      </c>
      <c r="I228" s="63">
        <v>45089</v>
      </c>
      <c r="J228" s="62">
        <v>30</v>
      </c>
      <c r="K228" s="62">
        <v>18</v>
      </c>
      <c r="L228" s="62" t="s">
        <v>24995</v>
      </c>
      <c r="M228" s="62" t="s">
        <v>24995</v>
      </c>
      <c r="N228" s="62" t="s">
        <v>19269</v>
      </c>
      <c r="O228" s="62" t="s">
        <v>7723</v>
      </c>
      <c r="P228" s="42" t="str">
        <f>+IF(O228="","",IFERROR(VLOOKUP(O228,CODIGO_DIAGNOSTICO,2,0),"CÓDIGO NO ENCONTRADO"))</f>
        <v>FRACTURA DE LA EPIFISIS SUPERIOR DE LA TIBIA</v>
      </c>
      <c r="Q228" s="62" t="s">
        <v>19230</v>
      </c>
      <c r="R228" s="64"/>
      <c r="S228" s="75">
        <v>45107</v>
      </c>
      <c r="T228" s="75">
        <v>45125</v>
      </c>
      <c r="U228" s="65">
        <f>SUM(W228/30)</f>
        <v>42400.166666666664</v>
      </c>
      <c r="V228" s="62" t="s">
        <v>25941</v>
      </c>
      <c r="W228" s="65">
        <v>1272005</v>
      </c>
      <c r="X228" s="62">
        <v>0</v>
      </c>
      <c r="Y228" s="65">
        <v>84800</v>
      </c>
      <c r="Z228" s="73"/>
    </row>
    <row r="229" spans="1:26" ht="15.75" hidden="1" customHeight="1" x14ac:dyDescent="0.25">
      <c r="A229" s="67">
        <v>5</v>
      </c>
      <c r="B229" s="68">
        <v>1127576502</v>
      </c>
      <c r="C229" s="68" t="s">
        <v>25257</v>
      </c>
      <c r="D229" s="68" t="s">
        <v>25686</v>
      </c>
      <c r="E229" s="68" t="s">
        <v>25028</v>
      </c>
      <c r="F229" s="68" t="s">
        <v>25010</v>
      </c>
      <c r="G229" s="81" t="s">
        <v>19285</v>
      </c>
      <c r="H229" s="69">
        <v>45061</v>
      </c>
      <c r="I229" s="69">
        <v>45062</v>
      </c>
      <c r="J229" s="68">
        <v>2</v>
      </c>
      <c r="K229" s="68">
        <v>2</v>
      </c>
      <c r="L229" s="68" t="s">
        <v>24995</v>
      </c>
      <c r="M229" s="68" t="s">
        <v>24995</v>
      </c>
      <c r="N229" s="62" t="s">
        <v>19269</v>
      </c>
      <c r="O229" s="68" t="s">
        <v>4838</v>
      </c>
      <c r="P229" s="42" t="str">
        <f>+IF(O229="","",IFERROR(VLOOKUP(O229,CODIGO_DIAGNOSTICO,2,0),"CÓDIGO NO ENCONTRADO"))</f>
        <v>LUMBAGO NO ESPECIFICADO</v>
      </c>
      <c r="Q229" s="68" t="s">
        <v>19230</v>
      </c>
      <c r="R229" s="67">
        <v>0</v>
      </c>
      <c r="S229" s="77"/>
      <c r="T229" s="76"/>
      <c r="U229" s="65">
        <f>SUM(W229/30)</f>
        <v>42400.166666666664</v>
      </c>
      <c r="V229" s="68" t="s">
        <v>25941</v>
      </c>
      <c r="W229" s="70">
        <v>1272005</v>
      </c>
      <c r="X229" s="68">
        <v>0</v>
      </c>
      <c r="Y229" s="70">
        <v>84800</v>
      </c>
      <c r="Z229" s="72"/>
    </row>
    <row r="230" spans="1:26" ht="15.75" hidden="1" customHeight="1" x14ac:dyDescent="0.25">
      <c r="A230" s="64">
        <v>5</v>
      </c>
      <c r="B230" s="62">
        <v>8364054</v>
      </c>
      <c r="C230" s="62" t="s">
        <v>25372</v>
      </c>
      <c r="D230" s="62" t="s">
        <v>25688</v>
      </c>
      <c r="E230" s="62" t="s">
        <v>25627</v>
      </c>
      <c r="F230" s="62" t="s">
        <v>25099</v>
      </c>
      <c r="G230" s="81" t="s">
        <v>19285</v>
      </c>
      <c r="H230" s="63">
        <v>45061</v>
      </c>
      <c r="I230" s="63">
        <v>45067</v>
      </c>
      <c r="J230" s="62">
        <v>7</v>
      </c>
      <c r="K230" s="62">
        <v>7</v>
      </c>
      <c r="L230" s="62" t="s">
        <v>24995</v>
      </c>
      <c r="M230" s="62" t="s">
        <v>24995</v>
      </c>
      <c r="N230" s="62" t="s">
        <v>19269</v>
      </c>
      <c r="O230" s="62" t="s">
        <v>7625</v>
      </c>
      <c r="P230" s="42" t="str">
        <f>+IF(O230="","",IFERROR(VLOOKUP(O230,CODIGO_DIAGNOSTICO,2,0),"CÓDIGO NO ENCONTRADO"))</f>
        <v>ESGUINCES Y TORCEDURAS DE LA MUÑECA</v>
      </c>
      <c r="Q230" s="62" t="s">
        <v>19230</v>
      </c>
      <c r="R230" s="64"/>
      <c r="S230" s="75">
        <v>45075</v>
      </c>
      <c r="T230" s="75">
        <v>45078</v>
      </c>
      <c r="U230" s="65">
        <f>SUM(W230/30)</f>
        <v>42400.166666666664</v>
      </c>
      <c r="V230" s="62" t="s">
        <v>25941</v>
      </c>
      <c r="W230" s="65">
        <v>1272005</v>
      </c>
      <c r="X230" s="62">
        <v>0</v>
      </c>
      <c r="Y230" s="65">
        <v>84800</v>
      </c>
      <c r="Z230" s="73"/>
    </row>
    <row r="231" spans="1:26" ht="15.75" hidden="1" customHeight="1" x14ac:dyDescent="0.25">
      <c r="A231" s="67">
        <v>5</v>
      </c>
      <c r="B231" s="68">
        <v>8324434</v>
      </c>
      <c r="C231" s="68" t="s">
        <v>25684</v>
      </c>
      <c r="D231" s="68" t="s">
        <v>25526</v>
      </c>
      <c r="E231" s="68" t="s">
        <v>25255</v>
      </c>
      <c r="F231" s="68" t="s">
        <v>25685</v>
      </c>
      <c r="G231" s="81" t="s">
        <v>19285</v>
      </c>
      <c r="H231" s="69">
        <v>45062</v>
      </c>
      <c r="I231" s="69">
        <v>45062</v>
      </c>
      <c r="J231" s="68">
        <v>1</v>
      </c>
      <c r="K231" s="68">
        <v>1</v>
      </c>
      <c r="L231" s="68" t="s">
        <v>24995</v>
      </c>
      <c r="M231" s="68" t="s">
        <v>24995</v>
      </c>
      <c r="N231" s="62" t="s">
        <v>19269</v>
      </c>
      <c r="O231" s="68" t="s">
        <v>1071</v>
      </c>
      <c r="P231" s="42" t="str">
        <f>+IF(O231="","",IFERROR(VLOOKUP(O231,CODIGO_DIAGNOSTICO,2,0),"CÓDIGO NO ENCONTRADO"))</f>
        <v>LESION DE SITIOS CONTIGUOS DEL PENE</v>
      </c>
      <c r="Q231" s="68" t="s">
        <v>19230</v>
      </c>
      <c r="R231" s="67">
        <v>0</v>
      </c>
      <c r="S231" s="77"/>
      <c r="T231" s="76">
        <v>0</v>
      </c>
      <c r="U231" s="65">
        <f>SUM(W231/30)</f>
        <v>42400.166666666664</v>
      </c>
      <c r="V231" s="68" t="s">
        <v>25941</v>
      </c>
      <c r="W231" s="70">
        <v>1272005</v>
      </c>
      <c r="X231" s="68">
        <v>0</v>
      </c>
      <c r="Y231" s="70">
        <v>84800</v>
      </c>
      <c r="Z231" s="72"/>
    </row>
    <row r="232" spans="1:26" ht="15.75" hidden="1" customHeight="1" x14ac:dyDescent="0.25">
      <c r="A232" s="64">
        <v>5</v>
      </c>
      <c r="B232" s="62">
        <v>1036622798</v>
      </c>
      <c r="C232" s="62" t="s">
        <v>25136</v>
      </c>
      <c r="D232" s="62" t="s">
        <v>25137</v>
      </c>
      <c r="E232" s="62" t="s">
        <v>25138</v>
      </c>
      <c r="F232" s="62" t="s">
        <v>25339</v>
      </c>
      <c r="G232" s="81" t="s">
        <v>19285</v>
      </c>
      <c r="H232" s="63">
        <v>45063</v>
      </c>
      <c r="I232" s="63">
        <v>45092</v>
      </c>
      <c r="J232" s="62">
        <v>30</v>
      </c>
      <c r="K232" s="62">
        <v>14</v>
      </c>
      <c r="L232" s="62" t="s">
        <v>19262</v>
      </c>
      <c r="M232" s="62" t="s">
        <v>19262</v>
      </c>
      <c r="N232" s="62" t="s">
        <v>19269</v>
      </c>
      <c r="O232" s="62" t="s">
        <v>7793</v>
      </c>
      <c r="P232" s="42" t="str">
        <f>+IF(O232="","",IFERROR(VLOOKUP(O232,CODIGO_DIAGNOSTICO,2,0),"CÓDIGO NO ENCONTRADO"))</f>
        <v>LUXACION DE OTROS SITIOS Y LOS NO ESPECIFICADOS DEL PIE</v>
      </c>
      <c r="Q232" s="62" t="s">
        <v>19230</v>
      </c>
      <c r="R232" s="64"/>
      <c r="S232" s="75"/>
      <c r="T232" s="75"/>
      <c r="U232" s="65">
        <f>SUM(W232/30)</f>
        <v>42400.166666666664</v>
      </c>
      <c r="V232" s="62" t="s">
        <v>25941</v>
      </c>
      <c r="W232" s="65">
        <v>1272005</v>
      </c>
      <c r="X232" s="62">
        <v>0</v>
      </c>
      <c r="Y232" s="65">
        <v>84800</v>
      </c>
      <c r="Z232" s="73"/>
    </row>
    <row r="233" spans="1:26" ht="15.75" hidden="1" customHeight="1" x14ac:dyDescent="0.25">
      <c r="A233" s="67">
        <v>5</v>
      </c>
      <c r="B233" s="68">
        <v>3434409</v>
      </c>
      <c r="C233" s="68" t="s">
        <v>25257</v>
      </c>
      <c r="D233" s="68" t="s">
        <v>25175</v>
      </c>
      <c r="E233" s="68" t="s">
        <v>25722</v>
      </c>
      <c r="F233" s="68" t="s">
        <v>25103</v>
      </c>
      <c r="G233" s="81" t="s">
        <v>19285</v>
      </c>
      <c r="H233" s="69">
        <v>45063</v>
      </c>
      <c r="I233" s="69">
        <v>45066</v>
      </c>
      <c r="J233" s="68">
        <v>4</v>
      </c>
      <c r="K233" s="68">
        <v>4</v>
      </c>
      <c r="L233" s="68" t="s">
        <v>24995</v>
      </c>
      <c r="M233" s="68" t="s">
        <v>24995</v>
      </c>
      <c r="N233" s="62" t="s">
        <v>19269</v>
      </c>
      <c r="O233" s="68" t="s">
        <v>7307</v>
      </c>
      <c r="P233" s="42" t="str">
        <f>+IF(O233="","",IFERROR(VLOOKUP(O233,CODIGO_DIAGNOSTICO,2,0),"CÓDIGO NO ENCONTRADO"))</f>
        <v>TRAUMATISMO DE LA CABEZA, NO ESPECIFICADO</v>
      </c>
      <c r="Q233" s="68" t="s">
        <v>19230</v>
      </c>
      <c r="R233" s="67"/>
      <c r="S233" s="77">
        <v>45066</v>
      </c>
      <c r="T233" s="76">
        <v>45083</v>
      </c>
      <c r="U233" s="65">
        <f>SUM(W233/30)</f>
        <v>42400.166666666664</v>
      </c>
      <c r="V233" s="68" t="s">
        <v>25941</v>
      </c>
      <c r="W233" s="70">
        <v>1272005</v>
      </c>
      <c r="X233" s="68">
        <v>0</v>
      </c>
      <c r="Y233" s="70">
        <v>84800</v>
      </c>
      <c r="Z233" s="72"/>
    </row>
    <row r="234" spans="1:26" ht="15.75" hidden="1" customHeight="1" x14ac:dyDescent="0.25">
      <c r="A234" s="64">
        <v>5</v>
      </c>
      <c r="B234" s="62">
        <v>43826892</v>
      </c>
      <c r="C234" s="62" t="s">
        <v>25229</v>
      </c>
      <c r="D234" s="62" t="s">
        <v>25230</v>
      </c>
      <c r="E234" s="62" t="s">
        <v>25258</v>
      </c>
      <c r="F234" s="62" t="s">
        <v>25232</v>
      </c>
      <c r="G234" s="81" t="s">
        <v>19285</v>
      </c>
      <c r="H234" s="63">
        <v>45063</v>
      </c>
      <c r="I234" s="63">
        <v>45077</v>
      </c>
      <c r="J234" s="62">
        <v>15</v>
      </c>
      <c r="K234" s="62">
        <v>15</v>
      </c>
      <c r="L234" s="62" t="s">
        <v>19262</v>
      </c>
      <c r="M234" s="62" t="s">
        <v>24995</v>
      </c>
      <c r="N234" s="62" t="s">
        <v>19269</v>
      </c>
      <c r="O234" s="62" t="s">
        <v>7916</v>
      </c>
      <c r="P234" s="42" t="str">
        <f>+IF(O234="","",IFERROR(VLOOKUP(O234,CODIGO_DIAGNOSTICO,2,0),"CÓDIGO NO ENCONTRADO"))</f>
        <v>LUXACION, ESGUINCE O TORCEDURA DE REGION NO ESPECIFICADA DEL CUERPO</v>
      </c>
      <c r="Q234" s="62" t="s">
        <v>19232</v>
      </c>
      <c r="R234" s="64"/>
      <c r="S234" s="75">
        <v>45120</v>
      </c>
      <c r="T234" s="75">
        <v>45125</v>
      </c>
      <c r="U234" s="65">
        <f>SUM(W234/30)</f>
        <v>42400.166666666664</v>
      </c>
      <c r="V234" s="62" t="s">
        <v>25941</v>
      </c>
      <c r="W234" s="65">
        <v>1272005</v>
      </c>
      <c r="X234" s="62">
        <v>0</v>
      </c>
      <c r="Y234" s="65">
        <v>84800</v>
      </c>
      <c r="Z234" s="73"/>
    </row>
    <row r="235" spans="1:26" ht="15.75" hidden="1" customHeight="1" x14ac:dyDescent="0.25">
      <c r="A235" s="67">
        <v>5</v>
      </c>
      <c r="B235" s="68">
        <v>1036640034</v>
      </c>
      <c r="C235" s="68" t="s">
        <v>25717</v>
      </c>
      <c r="D235" s="68" t="s">
        <v>25310</v>
      </c>
      <c r="E235" s="68" t="s">
        <v>25718</v>
      </c>
      <c r="F235" s="68" t="s">
        <v>25719</v>
      </c>
      <c r="G235" s="81" t="s">
        <v>19285</v>
      </c>
      <c r="H235" s="69">
        <v>45064</v>
      </c>
      <c r="I235" s="69">
        <v>45065</v>
      </c>
      <c r="J235" s="68">
        <v>2</v>
      </c>
      <c r="K235" s="68">
        <v>2</v>
      </c>
      <c r="L235" s="68" t="s">
        <v>24995</v>
      </c>
      <c r="M235" s="68" t="s">
        <v>24995</v>
      </c>
      <c r="N235" s="62" t="s">
        <v>19269</v>
      </c>
      <c r="O235" s="68" t="s">
        <v>3575</v>
      </c>
      <c r="P235" s="42" t="str">
        <f>+IF(O235="","",IFERROR(VLOOKUP(O235,CODIGO_DIAGNOSTICO,2,0),"CÓDIGO NO ENCONTRADO"))</f>
        <v>AMIGDALITIS AGUDA, NO ESPECIFICADA</v>
      </c>
      <c r="Q235" s="68" t="s">
        <v>19230</v>
      </c>
      <c r="R235" s="67">
        <v>0</v>
      </c>
      <c r="S235" s="77"/>
      <c r="T235" s="76"/>
      <c r="U235" s="65">
        <f>SUM(W235/30)</f>
        <v>42400.166666666664</v>
      </c>
      <c r="V235" s="68" t="s">
        <v>25941</v>
      </c>
      <c r="W235" s="70">
        <v>1272005</v>
      </c>
      <c r="X235" s="68">
        <v>0</v>
      </c>
      <c r="Y235" s="70">
        <v>84800</v>
      </c>
      <c r="Z235" s="72"/>
    </row>
    <row r="236" spans="1:26" ht="15.75" hidden="1" customHeight="1" x14ac:dyDescent="0.25">
      <c r="A236" s="64">
        <v>5</v>
      </c>
      <c r="B236" s="62">
        <v>3669363</v>
      </c>
      <c r="C236" s="62" t="s">
        <v>25173</v>
      </c>
      <c r="D236" s="62" t="s">
        <v>24983</v>
      </c>
      <c r="E236" s="62" t="s">
        <v>25032</v>
      </c>
      <c r="F236" s="62" t="s">
        <v>25103</v>
      </c>
      <c r="G236" s="81" t="s">
        <v>19285</v>
      </c>
      <c r="H236" s="63">
        <v>45065</v>
      </c>
      <c r="I236" s="63">
        <v>45069</v>
      </c>
      <c r="J236" s="62">
        <v>5</v>
      </c>
      <c r="K236" s="62">
        <v>5</v>
      </c>
      <c r="L236" s="62" t="s">
        <v>24995</v>
      </c>
      <c r="M236" s="62" t="s">
        <v>24995</v>
      </c>
      <c r="N236" s="62" t="s">
        <v>19269</v>
      </c>
      <c r="O236" s="62" t="s">
        <v>4650</v>
      </c>
      <c r="P236" s="42" t="str">
        <f>+IF(O236="","",IFERROR(VLOOKUP(O236,CODIGO_DIAGNOSTICO,2,0),"CÓDIGO NO ENCONTRADO"))</f>
        <v>GONARTROSIS, NO ESPECIFICADA</v>
      </c>
      <c r="Q236" s="62" t="s">
        <v>19230</v>
      </c>
      <c r="R236" s="64"/>
      <c r="S236" s="75"/>
      <c r="T236" s="75"/>
      <c r="U236" s="65">
        <f>SUM(W236/30)</f>
        <v>42400.166666666664</v>
      </c>
      <c r="V236" s="62" t="s">
        <v>25941</v>
      </c>
      <c r="W236" s="65">
        <v>1272005</v>
      </c>
      <c r="X236" s="62">
        <v>0</v>
      </c>
      <c r="Y236" s="65">
        <v>84800</v>
      </c>
      <c r="Z236" s="73"/>
    </row>
    <row r="237" spans="1:26" ht="15.75" hidden="1" customHeight="1" x14ac:dyDescent="0.25">
      <c r="A237" s="67">
        <v>5</v>
      </c>
      <c r="B237" s="68">
        <v>1216713788</v>
      </c>
      <c r="C237" s="68" t="s">
        <v>24987</v>
      </c>
      <c r="D237" s="68" t="s">
        <v>25687</v>
      </c>
      <c r="E237" s="68" t="s">
        <v>25089</v>
      </c>
      <c r="F237" s="68" t="s">
        <v>25066</v>
      </c>
      <c r="G237" s="81" t="s">
        <v>19285</v>
      </c>
      <c r="H237" s="69">
        <v>45065</v>
      </c>
      <c r="I237" s="69">
        <v>45094</v>
      </c>
      <c r="J237" s="68">
        <v>30</v>
      </c>
      <c r="K237" s="68">
        <v>12</v>
      </c>
      <c r="L237" s="68" t="s">
        <v>19262</v>
      </c>
      <c r="M237" s="68" t="s">
        <v>19262</v>
      </c>
      <c r="N237" s="62" t="s">
        <v>19263</v>
      </c>
      <c r="O237" s="68" t="s">
        <v>4693</v>
      </c>
      <c r="P237" s="42" t="str">
        <f>+IF(O237="","",IFERROR(VLOOKUP(O237,CODIGO_DIAGNOSTICO,2,0),"CÓDIGO NO ENCONTRADO"))</f>
        <v>OTRA RUPTURA ESPONTANEA DEL (DE LOS) LIGAMENTO(S) DE LA RODILLA</v>
      </c>
      <c r="Q237" s="68" t="s">
        <v>25001</v>
      </c>
      <c r="R237" s="67">
        <v>6882764</v>
      </c>
      <c r="S237" s="77">
        <v>45107</v>
      </c>
      <c r="T237" s="76">
        <v>45122</v>
      </c>
      <c r="U237" s="65">
        <f>SUM(W237/30)*J237</f>
        <v>1272005</v>
      </c>
      <c r="V237" s="68" t="s">
        <v>25941</v>
      </c>
      <c r="W237" s="70">
        <v>1272005</v>
      </c>
      <c r="X237" s="68">
        <v>0</v>
      </c>
      <c r="Y237" s="70">
        <v>0</v>
      </c>
      <c r="Z237" s="72"/>
    </row>
    <row r="238" spans="1:26" ht="15.75" hidden="1" customHeight="1" x14ac:dyDescent="0.25">
      <c r="A238" s="64">
        <v>5</v>
      </c>
      <c r="B238" s="62">
        <v>98634710</v>
      </c>
      <c r="C238" s="62" t="s">
        <v>25281</v>
      </c>
      <c r="D238" s="62"/>
      <c r="E238" s="62" t="s">
        <v>25141</v>
      </c>
      <c r="F238" s="62" t="s">
        <v>25397</v>
      </c>
      <c r="G238" s="81" t="s">
        <v>19285</v>
      </c>
      <c r="H238" s="63">
        <v>45065</v>
      </c>
      <c r="I238" s="63">
        <v>45070</v>
      </c>
      <c r="J238" s="62">
        <v>6</v>
      </c>
      <c r="K238" s="62">
        <v>6</v>
      </c>
      <c r="L238" s="62" t="s">
        <v>24995</v>
      </c>
      <c r="M238" s="62" t="s">
        <v>24995</v>
      </c>
      <c r="N238" s="62" t="s">
        <v>19269</v>
      </c>
      <c r="O238" s="62" t="s">
        <v>4232</v>
      </c>
      <c r="P238" s="42" t="str">
        <f>+IF(O238="","",IFERROR(VLOOKUP(O238,CODIGO_DIAGNOSTICO,2,0),"CÓDIGO NO ENCONTRADO"))</f>
        <v>OTRAS INFECCIONES LOCALES ESPECIFICADAS DE LA PIEL Y DEL TEJIDO SUBCUTANEO</v>
      </c>
      <c r="Q238" s="62" t="s">
        <v>19230</v>
      </c>
      <c r="R238" s="64"/>
      <c r="S238" s="75">
        <v>45068</v>
      </c>
      <c r="T238" s="75">
        <v>45090</v>
      </c>
      <c r="U238" s="65">
        <f>SUM(W238/30)</f>
        <v>42400.166666666664</v>
      </c>
      <c r="V238" s="62" t="s">
        <v>25941</v>
      </c>
      <c r="W238" s="65">
        <v>1272005</v>
      </c>
      <c r="X238" s="62">
        <v>0</v>
      </c>
      <c r="Y238" s="65">
        <v>84800</v>
      </c>
      <c r="Z238" s="73"/>
    </row>
    <row r="239" spans="1:26" ht="15.75" hidden="1" customHeight="1" x14ac:dyDescent="0.25">
      <c r="A239" s="67">
        <v>5</v>
      </c>
      <c r="B239" s="68">
        <v>1020397739</v>
      </c>
      <c r="C239" s="68" t="s">
        <v>25159</v>
      </c>
      <c r="D239" s="68" t="s">
        <v>25094</v>
      </c>
      <c r="E239" s="68" t="s">
        <v>25625</v>
      </c>
      <c r="F239" s="68"/>
      <c r="G239" s="81" t="s">
        <v>19285</v>
      </c>
      <c r="H239" s="69">
        <v>45066</v>
      </c>
      <c r="I239" s="69">
        <v>45068</v>
      </c>
      <c r="J239" s="68">
        <v>3</v>
      </c>
      <c r="K239" s="68">
        <v>3</v>
      </c>
      <c r="L239" s="68" t="s">
        <v>19262</v>
      </c>
      <c r="M239" s="68" t="s">
        <v>19262</v>
      </c>
      <c r="N239" s="62" t="s">
        <v>19269</v>
      </c>
      <c r="O239" s="68" t="s">
        <v>7771</v>
      </c>
      <c r="P239" s="42" t="str">
        <f>+IF(O239="","",IFERROR(VLOOKUP(O239,CODIGO_DIAGNOSTICO,2,0),"CÓDIGO NO ENCONTRADO"))</f>
        <v>CONTUSION DE DEDO(S) DEL PIE, SIN DAÑO DE LA(S) UÑA(S)</v>
      </c>
      <c r="Q239" s="68" t="s">
        <v>19230</v>
      </c>
      <c r="R239" s="67"/>
      <c r="S239" s="77">
        <v>45071</v>
      </c>
      <c r="T239" s="76">
        <v>45069</v>
      </c>
      <c r="U239" s="65">
        <f>SUM(W239/30)</f>
        <v>42400.166666666664</v>
      </c>
      <c r="V239" s="68" t="s">
        <v>25941</v>
      </c>
      <c r="W239" s="70">
        <v>1272005</v>
      </c>
      <c r="X239" s="68">
        <v>0</v>
      </c>
      <c r="Y239" s="70">
        <v>84800</v>
      </c>
      <c r="Z239" s="72"/>
    </row>
    <row r="240" spans="1:26" ht="15.75" hidden="1" customHeight="1" x14ac:dyDescent="0.25">
      <c r="A240" s="64">
        <v>5</v>
      </c>
      <c r="B240" s="62">
        <v>1040321290</v>
      </c>
      <c r="C240" s="62" t="s">
        <v>25480</v>
      </c>
      <c r="D240" s="62" t="s">
        <v>25480</v>
      </c>
      <c r="E240" s="62" t="s">
        <v>25183</v>
      </c>
      <c r="F240" s="62" t="s">
        <v>25028</v>
      </c>
      <c r="G240" s="81" t="s">
        <v>19285</v>
      </c>
      <c r="H240" s="63">
        <v>45067</v>
      </c>
      <c r="I240" s="63">
        <v>45069</v>
      </c>
      <c r="J240" s="62">
        <v>3</v>
      </c>
      <c r="K240" s="62">
        <v>3</v>
      </c>
      <c r="L240" s="62" t="s">
        <v>24995</v>
      </c>
      <c r="M240" s="62" t="s">
        <v>24995</v>
      </c>
      <c r="N240" s="62" t="s">
        <v>19269</v>
      </c>
      <c r="O240" s="62" t="s">
        <v>7602</v>
      </c>
      <c r="P240" s="42" t="str">
        <f>+IF(O240="","",IFERROR(VLOOKUP(O240,CODIGO_DIAGNOSTICO,2,0),"CÓDIGO NO ENCONTRADO"))</f>
        <v>CONTUSION DE OTRAS PARTES DE LA MUÑECA Y DE LA MANO</v>
      </c>
      <c r="Q240" s="62" t="s">
        <v>19230</v>
      </c>
      <c r="R240" s="64"/>
      <c r="S240" s="75"/>
      <c r="T240" s="75"/>
      <c r="U240" s="65">
        <f>SUM(W240/30)</f>
        <v>42400.166666666664</v>
      </c>
      <c r="V240" s="62" t="s">
        <v>25941</v>
      </c>
      <c r="W240" s="65">
        <v>1272005</v>
      </c>
      <c r="X240" s="62">
        <v>0</v>
      </c>
      <c r="Y240" s="65">
        <v>84800</v>
      </c>
      <c r="Z240" s="73"/>
    </row>
    <row r="241" spans="1:26" ht="15.75" hidden="1" customHeight="1" x14ac:dyDescent="0.25">
      <c r="A241" s="67">
        <v>5</v>
      </c>
      <c r="B241" s="68">
        <v>1040374058</v>
      </c>
      <c r="C241" s="68" t="s">
        <v>25079</v>
      </c>
      <c r="D241" s="68" t="s">
        <v>25298</v>
      </c>
      <c r="E241" s="68" t="s">
        <v>25299</v>
      </c>
      <c r="F241" s="68" t="s">
        <v>25010</v>
      </c>
      <c r="G241" s="81" t="s">
        <v>19285</v>
      </c>
      <c r="H241" s="69">
        <v>45067</v>
      </c>
      <c r="I241" s="69">
        <v>45068</v>
      </c>
      <c r="J241" s="68">
        <v>2</v>
      </c>
      <c r="K241" s="68">
        <v>2</v>
      </c>
      <c r="L241" s="68" t="s">
        <v>24995</v>
      </c>
      <c r="M241" s="68" t="s">
        <v>24995</v>
      </c>
      <c r="N241" s="62" t="s">
        <v>19269</v>
      </c>
      <c r="O241" s="68" t="s">
        <v>88</v>
      </c>
      <c r="P241" s="42" t="str">
        <f>+IF(O241="","",IFERROR(VLOOKUP(O241,CODIGO_DIAGNOSTICO,2,0),"CÓDIGO NO ENCONTRADO"))</f>
        <v>DIARREA Y GASTROENTERITIS DE PRESUNTO ORIGEN INFECCIOSO</v>
      </c>
      <c r="Q241" s="68" t="s">
        <v>19230</v>
      </c>
      <c r="R241" s="67">
        <v>0</v>
      </c>
      <c r="S241" s="77"/>
      <c r="T241" s="76"/>
      <c r="U241" s="65">
        <f>SUM(W241/30)</f>
        <v>42400.166666666664</v>
      </c>
      <c r="V241" s="68" t="s">
        <v>25941</v>
      </c>
      <c r="W241" s="70">
        <v>1272005</v>
      </c>
      <c r="X241" s="68">
        <v>0</v>
      </c>
      <c r="Y241" s="70">
        <v>84800</v>
      </c>
      <c r="Z241" s="72"/>
    </row>
    <row r="242" spans="1:26" ht="15.75" hidden="1" customHeight="1" x14ac:dyDescent="0.25">
      <c r="A242" s="64">
        <v>5</v>
      </c>
      <c r="B242" s="62">
        <v>1040321290</v>
      </c>
      <c r="C242" s="62" t="s">
        <v>25480</v>
      </c>
      <c r="D242" s="62" t="s">
        <v>25480</v>
      </c>
      <c r="E242" s="62" t="s">
        <v>25282</v>
      </c>
      <c r="F242" s="62" t="s">
        <v>25028</v>
      </c>
      <c r="G242" s="81" t="s">
        <v>19285</v>
      </c>
      <c r="H242" s="63">
        <v>45067</v>
      </c>
      <c r="I242" s="63">
        <v>45069</v>
      </c>
      <c r="J242" s="62">
        <v>3</v>
      </c>
      <c r="K242" s="62">
        <v>3</v>
      </c>
      <c r="L242" s="62" t="s">
        <v>24995</v>
      </c>
      <c r="M242" s="62" t="s">
        <v>24995</v>
      </c>
      <c r="N242" s="62" t="s">
        <v>19269</v>
      </c>
      <c r="O242" s="62" t="s">
        <v>4672</v>
      </c>
      <c r="P242" s="42" t="str">
        <f>+IF(O242="","",IFERROR(VLOOKUP(O242,CODIGO_DIAGNOSTICO,2,0),"CÓDIGO NO ENCONTRADO"))</f>
        <v>DEFORMIDAD EN FLEXION</v>
      </c>
      <c r="Q242" s="62" t="s">
        <v>19230</v>
      </c>
      <c r="R242" s="64"/>
      <c r="S242" s="75">
        <v>45069</v>
      </c>
      <c r="T242" s="75">
        <v>45076</v>
      </c>
      <c r="U242" s="65">
        <f>SUM(W242/30)</f>
        <v>42400.166666666664</v>
      </c>
      <c r="V242" s="62" t="s">
        <v>25941</v>
      </c>
      <c r="W242" s="65">
        <v>1272005</v>
      </c>
      <c r="X242" s="62">
        <v>0</v>
      </c>
      <c r="Y242" s="65">
        <v>84800</v>
      </c>
      <c r="Z242" s="73"/>
    </row>
    <row r="243" spans="1:26" ht="15.75" hidden="1" customHeight="1" x14ac:dyDescent="0.25">
      <c r="A243" s="67">
        <v>5</v>
      </c>
      <c r="B243" s="68">
        <v>15309929</v>
      </c>
      <c r="C243" s="68" t="s">
        <v>25047</v>
      </c>
      <c r="D243" s="68" t="s">
        <v>25214</v>
      </c>
      <c r="E243" s="68" t="s">
        <v>25048</v>
      </c>
      <c r="F243" s="68" t="s">
        <v>25014</v>
      </c>
      <c r="G243" s="81" t="s">
        <v>19285</v>
      </c>
      <c r="H243" s="69">
        <v>45069</v>
      </c>
      <c r="I243" s="69">
        <v>45078</v>
      </c>
      <c r="J243" s="68">
        <v>10</v>
      </c>
      <c r="K243" s="68">
        <v>9</v>
      </c>
      <c r="L243" s="68" t="s">
        <v>19262</v>
      </c>
      <c r="M243" s="68" t="s">
        <v>19262</v>
      </c>
      <c r="N243" s="62" t="s">
        <v>19269</v>
      </c>
      <c r="O243" s="68" t="s">
        <v>7734</v>
      </c>
      <c r="P243" s="42" t="str">
        <f>+IF(O243="","",IFERROR(VLOOKUP(O243,CODIGO_DIAGNOSTICO,2,0),"CÓDIGO NO ENCONTRADO"))</f>
        <v>DESGARRO DE MENISCOS, PRESENTE</v>
      </c>
      <c r="Q243" s="68" t="s">
        <v>19230</v>
      </c>
      <c r="R243" s="67"/>
      <c r="S243" s="77"/>
      <c r="T243" s="76"/>
      <c r="U243" s="65">
        <f>SUM(W243/30)</f>
        <v>42400.166666666664</v>
      </c>
      <c r="V243" s="68" t="s">
        <v>25941</v>
      </c>
      <c r="W243" s="70">
        <v>1272005</v>
      </c>
      <c r="X243" s="68">
        <v>0</v>
      </c>
      <c r="Y243" s="70">
        <v>84800</v>
      </c>
      <c r="Z243" s="72"/>
    </row>
    <row r="244" spans="1:26" ht="15.75" hidden="1" customHeight="1" x14ac:dyDescent="0.25">
      <c r="A244" s="64">
        <v>5</v>
      </c>
      <c r="B244" s="62">
        <v>71797878</v>
      </c>
      <c r="C244" s="62" t="s">
        <v>25699</v>
      </c>
      <c r="D244" s="62" t="s">
        <v>25578</v>
      </c>
      <c r="E244" s="62" t="s">
        <v>25700</v>
      </c>
      <c r="F244" s="62" t="s">
        <v>25701</v>
      </c>
      <c r="G244" s="81" t="s">
        <v>19285</v>
      </c>
      <c r="H244" s="63">
        <v>45069</v>
      </c>
      <c r="I244" s="63">
        <v>45071</v>
      </c>
      <c r="J244" s="62">
        <v>3</v>
      </c>
      <c r="K244" s="62">
        <v>3</v>
      </c>
      <c r="L244" s="62" t="s">
        <v>24995</v>
      </c>
      <c r="M244" s="62" t="s">
        <v>24995</v>
      </c>
      <c r="N244" s="62" t="s">
        <v>19269</v>
      </c>
      <c r="O244" s="62" t="s">
        <v>7250</v>
      </c>
      <c r="P244" s="42" t="str">
        <f>+IF(O244="","",IFERROR(VLOOKUP(O244,CODIGO_DIAGNOSTICO,2,0),"CÓDIGO NO ENCONTRADO"))</f>
        <v>FRACTURA DE LOS HUESOS DE LA NARIZ</v>
      </c>
      <c r="Q244" s="62" t="s">
        <v>19230</v>
      </c>
      <c r="R244" s="64"/>
      <c r="S244" s="75"/>
      <c r="T244" s="75"/>
      <c r="U244" s="65">
        <f>SUM(W244/30)</f>
        <v>42400.166666666664</v>
      </c>
      <c r="V244" s="62" t="s">
        <v>25941</v>
      </c>
      <c r="W244" s="65">
        <v>1272005</v>
      </c>
      <c r="X244" s="62">
        <v>0</v>
      </c>
      <c r="Y244" s="65">
        <v>84800</v>
      </c>
      <c r="Z244" s="73"/>
    </row>
    <row r="245" spans="1:26" ht="15.75" hidden="1" customHeight="1" x14ac:dyDescent="0.25">
      <c r="A245" s="67">
        <v>5</v>
      </c>
      <c r="B245" s="68">
        <v>70133821</v>
      </c>
      <c r="C245" s="68" t="s">
        <v>25200</v>
      </c>
      <c r="D245" s="68" t="s">
        <v>25523</v>
      </c>
      <c r="E245" s="68" t="s">
        <v>25203</v>
      </c>
      <c r="F245" s="68" t="s">
        <v>25005</v>
      </c>
      <c r="G245" s="81" t="s">
        <v>19285</v>
      </c>
      <c r="H245" s="69">
        <v>45069</v>
      </c>
      <c r="I245" s="69">
        <v>45078</v>
      </c>
      <c r="J245" s="68">
        <v>10</v>
      </c>
      <c r="K245" s="68">
        <v>10</v>
      </c>
      <c r="L245" s="68" t="s">
        <v>19262</v>
      </c>
      <c r="M245" s="68" t="s">
        <v>19262</v>
      </c>
      <c r="N245" s="62" t="s">
        <v>19269</v>
      </c>
      <c r="O245" s="68" t="s">
        <v>251</v>
      </c>
      <c r="P245" s="42" t="str">
        <f>+IF(O245="","",IFERROR(VLOOKUP(O245,CODIGO_DIAGNOSTICO,2,0),"CÓDIGO NO ENCONTRADO"))</f>
        <v>INFECCION BACTERIANA, NO ESPECIFICADA</v>
      </c>
      <c r="Q245" s="68" t="s">
        <v>19230</v>
      </c>
      <c r="R245" s="67"/>
      <c r="S245" s="77">
        <v>45072</v>
      </c>
      <c r="T245" s="76">
        <v>45076</v>
      </c>
      <c r="U245" s="65">
        <f>SUM(W245/30)</f>
        <v>42400.166666666664</v>
      </c>
      <c r="V245" s="68" t="s">
        <v>25941</v>
      </c>
      <c r="W245" s="70">
        <v>1272005</v>
      </c>
      <c r="X245" s="68">
        <v>0</v>
      </c>
      <c r="Y245" s="70">
        <v>84800</v>
      </c>
      <c r="Z245" s="72"/>
    </row>
    <row r="246" spans="1:26" ht="15.75" hidden="1" customHeight="1" x14ac:dyDescent="0.25">
      <c r="A246" s="64">
        <v>5</v>
      </c>
      <c r="B246" s="62">
        <v>70323164</v>
      </c>
      <c r="C246" s="62" t="s">
        <v>24992</v>
      </c>
      <c r="D246" s="62" t="s">
        <v>25062</v>
      </c>
      <c r="E246" s="62" t="s">
        <v>25091</v>
      </c>
      <c r="F246" s="62" t="s">
        <v>25146</v>
      </c>
      <c r="G246" s="81" t="s">
        <v>19285</v>
      </c>
      <c r="H246" s="63">
        <v>45070</v>
      </c>
      <c r="I246" s="63">
        <v>45099</v>
      </c>
      <c r="J246" s="62">
        <v>30</v>
      </c>
      <c r="K246" s="62">
        <v>8</v>
      </c>
      <c r="L246" s="62" t="s">
        <v>19262</v>
      </c>
      <c r="M246" s="62" t="s">
        <v>19262</v>
      </c>
      <c r="N246" s="62" t="s">
        <v>19269</v>
      </c>
      <c r="O246" s="62" t="s">
        <v>92</v>
      </c>
      <c r="P246" s="42" t="str">
        <f>+IF(O246="","",IFERROR(VLOOKUP(O246,CODIGO_DIAGNOSTICO,2,0),"CÓDIGO NO ENCONTRADO"))</f>
        <v>TUBERCULOSIS DEL PULMON , CONFIRMADA POR MEDIOS NO ESPECIFICADOS</v>
      </c>
      <c r="Q246" s="62" t="s">
        <v>19230</v>
      </c>
      <c r="R246" s="64"/>
      <c r="S246" s="75"/>
      <c r="T246" s="75"/>
      <c r="U246" s="65">
        <f>SUM(W246/30)</f>
        <v>42400.166666666664</v>
      </c>
      <c r="V246" s="62" t="s">
        <v>25941</v>
      </c>
      <c r="W246" s="65">
        <v>1272005</v>
      </c>
      <c r="X246" s="62">
        <v>0</v>
      </c>
      <c r="Y246" s="65">
        <v>84800</v>
      </c>
      <c r="Z246" s="73"/>
    </row>
    <row r="247" spans="1:26" ht="15.75" hidden="1" customHeight="1" x14ac:dyDescent="0.25">
      <c r="A247" s="67">
        <v>5</v>
      </c>
      <c r="B247" s="68">
        <v>1020397739</v>
      </c>
      <c r="C247" s="68" t="s">
        <v>25174</v>
      </c>
      <c r="D247" s="68" t="s">
        <v>25094</v>
      </c>
      <c r="E247" s="68" t="s">
        <v>25625</v>
      </c>
      <c r="F247" s="68"/>
      <c r="G247" s="81" t="s">
        <v>19285</v>
      </c>
      <c r="H247" s="69">
        <v>45071</v>
      </c>
      <c r="I247" s="69">
        <v>45073</v>
      </c>
      <c r="J247" s="68">
        <v>3</v>
      </c>
      <c r="K247" s="68">
        <v>3</v>
      </c>
      <c r="L247" s="68" t="s">
        <v>19262</v>
      </c>
      <c r="M247" s="68" t="s">
        <v>19262</v>
      </c>
      <c r="N247" s="62" t="s">
        <v>19269</v>
      </c>
      <c r="O247" s="68" t="s">
        <v>7714</v>
      </c>
      <c r="P247" s="42" t="str">
        <f>+IF(O247="","",IFERROR(VLOOKUP(O247,CODIGO_DIAGNOSTICO,2,0),"CÓDIGO NO ENCONTRADO"))</f>
        <v>CONTUSION DE OTRAS PARTES Y LAS NO ESPECIFICADAS DE LA PIERNA</v>
      </c>
      <c r="Q247" s="68" t="s">
        <v>19230</v>
      </c>
      <c r="R247" s="67"/>
      <c r="S247" s="77"/>
      <c r="T247" s="76"/>
      <c r="U247" s="65">
        <f>SUM(W247/30)</f>
        <v>42400.166666666664</v>
      </c>
      <c r="V247" s="68" t="s">
        <v>25941</v>
      </c>
      <c r="W247" s="70">
        <v>1272005</v>
      </c>
      <c r="X247" s="68">
        <v>0</v>
      </c>
      <c r="Y247" s="70">
        <v>84800</v>
      </c>
      <c r="Z247" s="72"/>
    </row>
    <row r="248" spans="1:26" ht="15.75" hidden="1" customHeight="1" x14ac:dyDescent="0.25">
      <c r="A248" s="64">
        <v>5</v>
      </c>
      <c r="B248" s="62">
        <v>98634710</v>
      </c>
      <c r="C248" s="62" t="s">
        <v>25373</v>
      </c>
      <c r="D248" s="62"/>
      <c r="E248" s="62" t="s">
        <v>25141</v>
      </c>
      <c r="F248" s="62" t="s">
        <v>25397</v>
      </c>
      <c r="G248" s="81" t="s">
        <v>19285</v>
      </c>
      <c r="H248" s="63">
        <v>45071</v>
      </c>
      <c r="I248" s="63">
        <v>45074</v>
      </c>
      <c r="J248" s="62">
        <v>4</v>
      </c>
      <c r="K248" s="62">
        <v>4</v>
      </c>
      <c r="L248" s="62" t="s">
        <v>24995</v>
      </c>
      <c r="M248" s="62" t="s">
        <v>24995</v>
      </c>
      <c r="N248" s="62" t="s">
        <v>19269</v>
      </c>
      <c r="O248" s="62" t="s">
        <v>4220</v>
      </c>
      <c r="P248" s="42" t="str">
        <f>+IF(O248="","",IFERROR(VLOOKUP(O248,CODIGO_DIAGNOSTICO,2,0),"CÓDIGO NO ENCONTRADO"))</f>
        <v>CELULITIS DE OTROS SITIOS</v>
      </c>
      <c r="Q248" s="62" t="s">
        <v>19230</v>
      </c>
      <c r="R248" s="64"/>
      <c r="S248" s="75">
        <v>45072</v>
      </c>
      <c r="T248" s="75">
        <v>45076</v>
      </c>
      <c r="U248" s="65">
        <f>SUM(W248/30)</f>
        <v>42400.166666666664</v>
      </c>
      <c r="V248" s="62" t="s">
        <v>25941</v>
      </c>
      <c r="W248" s="65">
        <v>1272005</v>
      </c>
      <c r="X248" s="62">
        <v>0</v>
      </c>
      <c r="Y248" s="65">
        <v>84800</v>
      </c>
      <c r="Z248" s="73"/>
    </row>
    <row r="249" spans="1:26" ht="15.75" hidden="1" customHeight="1" x14ac:dyDescent="0.25">
      <c r="A249" s="67">
        <v>5</v>
      </c>
      <c r="B249" s="68">
        <v>1063727669</v>
      </c>
      <c r="C249" s="68" t="s">
        <v>25729</v>
      </c>
      <c r="D249" s="68"/>
      <c r="E249" s="68" t="s">
        <v>25730</v>
      </c>
      <c r="F249" s="68" t="s">
        <v>25731</v>
      </c>
      <c r="G249" s="81" t="s">
        <v>19285</v>
      </c>
      <c r="H249" s="69">
        <v>45071</v>
      </c>
      <c r="I249" s="69">
        <v>45084</v>
      </c>
      <c r="J249" s="68">
        <v>14</v>
      </c>
      <c r="K249" s="68">
        <v>14</v>
      </c>
      <c r="L249" s="68" t="s">
        <v>24995</v>
      </c>
      <c r="M249" s="68" t="s">
        <v>24995</v>
      </c>
      <c r="N249" s="62" t="s">
        <v>19269</v>
      </c>
      <c r="O249" s="68" t="s">
        <v>5851</v>
      </c>
      <c r="P249" s="42" t="str">
        <f>+IF(O249="","",IFERROR(VLOOKUP(O249,CODIGO_DIAGNOSTICO,2,0),"CÓDIGO NO ENCONTRADO"))</f>
        <v>PARTO UNICO ESPONTANEO, PRESENTACION CEFALICA DE VERTICE</v>
      </c>
      <c r="Q249" s="68" t="s">
        <v>19230</v>
      </c>
      <c r="R249" s="67"/>
      <c r="S249" s="77">
        <v>45074</v>
      </c>
      <c r="T249" s="76">
        <v>45083</v>
      </c>
      <c r="U249" s="65">
        <f>SUM(W249/30)</f>
        <v>42400.166666666664</v>
      </c>
      <c r="V249" s="68" t="s">
        <v>25941</v>
      </c>
      <c r="W249" s="70">
        <v>1272005</v>
      </c>
      <c r="X249" s="68">
        <v>0</v>
      </c>
      <c r="Y249" s="70">
        <v>84800</v>
      </c>
      <c r="Z249" s="72"/>
    </row>
    <row r="250" spans="1:26" ht="15.75" hidden="1" customHeight="1" x14ac:dyDescent="0.25">
      <c r="A250" s="64">
        <v>5</v>
      </c>
      <c r="B250" s="62">
        <v>71797878</v>
      </c>
      <c r="C250" s="62" t="s">
        <v>25161</v>
      </c>
      <c r="D250" s="62" t="s">
        <v>25578</v>
      </c>
      <c r="E250" s="62" t="s">
        <v>25579</v>
      </c>
      <c r="F250" s="62" t="s">
        <v>25580</v>
      </c>
      <c r="G250" s="81" t="s">
        <v>19285</v>
      </c>
      <c r="H250" s="63">
        <v>45072</v>
      </c>
      <c r="I250" s="63">
        <v>45078</v>
      </c>
      <c r="J250" s="62">
        <v>7</v>
      </c>
      <c r="K250" s="62">
        <v>6</v>
      </c>
      <c r="L250" s="62" t="s">
        <v>24995</v>
      </c>
      <c r="M250" s="62" t="s">
        <v>24995</v>
      </c>
      <c r="N250" s="62" t="s">
        <v>19269</v>
      </c>
      <c r="O250" s="62" t="s">
        <v>7250</v>
      </c>
      <c r="P250" s="42" t="str">
        <f>+IF(O250="","",IFERROR(VLOOKUP(O250,CODIGO_DIAGNOSTICO,2,0),"CÓDIGO NO ENCONTRADO"))</f>
        <v>FRACTURA DE LOS HUESOS DE LA NARIZ</v>
      </c>
      <c r="Q250" s="62" t="s">
        <v>19230</v>
      </c>
      <c r="R250" s="64"/>
      <c r="S250" s="75">
        <v>45075</v>
      </c>
      <c r="T250" s="75">
        <v>45076</v>
      </c>
      <c r="U250" s="65">
        <f>SUM(W250/30)</f>
        <v>42400.166666666664</v>
      </c>
      <c r="V250" s="62" t="s">
        <v>25941</v>
      </c>
      <c r="W250" s="65">
        <v>1272005</v>
      </c>
      <c r="X250" s="62">
        <v>0</v>
      </c>
      <c r="Y250" s="65">
        <v>84800</v>
      </c>
      <c r="Z250" s="73"/>
    </row>
    <row r="251" spans="1:26" ht="15.75" hidden="1" customHeight="1" x14ac:dyDescent="0.25">
      <c r="A251" s="67">
        <v>5</v>
      </c>
      <c r="B251" s="68">
        <v>1007460505</v>
      </c>
      <c r="C251" s="68" t="s">
        <v>25720</v>
      </c>
      <c r="D251" s="68" t="s">
        <v>25666</v>
      </c>
      <c r="E251" s="68" t="s">
        <v>25471</v>
      </c>
      <c r="F251" s="68" t="s">
        <v>25283</v>
      </c>
      <c r="G251" s="81" t="s">
        <v>19285</v>
      </c>
      <c r="H251" s="69">
        <v>45072</v>
      </c>
      <c r="I251" s="69">
        <v>45085</v>
      </c>
      <c r="J251" s="68">
        <v>14</v>
      </c>
      <c r="K251" s="68">
        <v>6</v>
      </c>
      <c r="L251" s="68" t="s">
        <v>24995</v>
      </c>
      <c r="M251" s="68" t="s">
        <v>24995</v>
      </c>
      <c r="N251" s="62" t="s">
        <v>19269</v>
      </c>
      <c r="O251" s="68" t="s">
        <v>5851</v>
      </c>
      <c r="P251" s="42" t="str">
        <f>+IF(O251="","",IFERROR(VLOOKUP(O251,CODIGO_DIAGNOSTICO,2,0),"CÓDIGO NO ENCONTRADO"))</f>
        <v>PARTO UNICO ESPONTANEO, PRESENTACION CEFALICA DE VERTICE</v>
      </c>
      <c r="Q251" s="68" t="s">
        <v>19230</v>
      </c>
      <c r="R251" s="67"/>
      <c r="S251" s="77">
        <v>45074</v>
      </c>
      <c r="T251" s="76">
        <v>45083</v>
      </c>
      <c r="U251" s="65">
        <f>SUM(W251/30)</f>
        <v>42400.166666666664</v>
      </c>
      <c r="V251" s="68" t="s">
        <v>25941</v>
      </c>
      <c r="W251" s="70">
        <v>1272005</v>
      </c>
      <c r="X251" s="68">
        <v>0</v>
      </c>
      <c r="Y251" s="70">
        <v>84800</v>
      </c>
      <c r="Z251" s="72"/>
    </row>
    <row r="252" spans="1:26" ht="15.75" hidden="1" customHeight="1" x14ac:dyDescent="0.25">
      <c r="A252" s="64">
        <v>5</v>
      </c>
      <c r="B252" s="62">
        <v>22188088</v>
      </c>
      <c r="C252" s="62" t="s">
        <v>25279</v>
      </c>
      <c r="D252" s="62" t="s">
        <v>25140</v>
      </c>
      <c r="E252" s="62" t="s">
        <v>25258</v>
      </c>
      <c r="F252" s="62" t="s">
        <v>25501</v>
      </c>
      <c r="G252" s="81" t="s">
        <v>19285</v>
      </c>
      <c r="H252" s="63">
        <v>45072</v>
      </c>
      <c r="I252" s="63">
        <v>45074</v>
      </c>
      <c r="J252" s="62">
        <v>3</v>
      </c>
      <c r="K252" s="62">
        <v>3</v>
      </c>
      <c r="L252" s="62" t="s">
        <v>24995</v>
      </c>
      <c r="M252" s="62" t="s">
        <v>24995</v>
      </c>
      <c r="N252" s="62" t="s">
        <v>19263</v>
      </c>
      <c r="O252" s="62" t="s">
        <v>4837</v>
      </c>
      <c r="P252" s="42" t="str">
        <f>+IF(O252="","",IFERROR(VLOOKUP(O252,CODIGO_DIAGNOSTICO,2,0),"CÓDIGO NO ENCONTRADO"))</f>
        <v>LUMBAGO CON CIATICA</v>
      </c>
      <c r="Q252" s="62" t="s">
        <v>25001</v>
      </c>
      <c r="R252" s="64"/>
      <c r="S252" s="75">
        <v>45107</v>
      </c>
      <c r="T252" s="75">
        <v>45124</v>
      </c>
      <c r="U252" s="65">
        <f>SUM(W252/30)*J252</f>
        <v>127200.5</v>
      </c>
      <c r="V252" s="62" t="s">
        <v>25941</v>
      </c>
      <c r="W252" s="65">
        <v>1272005</v>
      </c>
      <c r="X252" s="62">
        <v>0</v>
      </c>
      <c r="Y252" s="65">
        <v>0</v>
      </c>
      <c r="Z252" s="73"/>
    </row>
    <row r="253" spans="1:26" ht="15.75" hidden="1" customHeight="1" x14ac:dyDescent="0.25">
      <c r="A253" s="67">
        <v>5</v>
      </c>
      <c r="B253" s="68">
        <v>91444147</v>
      </c>
      <c r="C253" s="68" t="s">
        <v>25269</v>
      </c>
      <c r="D253" s="68" t="s">
        <v>25608</v>
      </c>
      <c r="E253" s="68" t="s">
        <v>25745</v>
      </c>
      <c r="F253" s="68" t="s">
        <v>25746</v>
      </c>
      <c r="G253" s="81" t="s">
        <v>19285</v>
      </c>
      <c r="H253" s="69">
        <v>45072</v>
      </c>
      <c r="I253" s="69">
        <v>45072</v>
      </c>
      <c r="J253" s="68">
        <v>1</v>
      </c>
      <c r="K253" s="68">
        <v>1</v>
      </c>
      <c r="L253" s="68" t="s">
        <v>24995</v>
      </c>
      <c r="M253" s="68" t="s">
        <v>24995</v>
      </c>
      <c r="N253" s="62" t="s">
        <v>19269</v>
      </c>
      <c r="O253" s="68" t="s">
        <v>5216</v>
      </c>
      <c r="P253" s="42" t="str">
        <f>+IF(O253="","",IFERROR(VLOOKUP(O253,CODIGO_DIAGNOSTICO,2,0),"CÓDIGO NO ENCONTRADO"))</f>
        <v>CALCULO DEL RIÑON</v>
      </c>
      <c r="Q253" s="68" t="s">
        <v>19230</v>
      </c>
      <c r="R253" s="67">
        <v>0</v>
      </c>
      <c r="S253" s="77"/>
      <c r="T253" s="76">
        <v>0</v>
      </c>
      <c r="U253" s="65">
        <f>SUM(W253/30)</f>
        <v>42400.166666666664</v>
      </c>
      <c r="V253" s="68" t="s">
        <v>25941</v>
      </c>
      <c r="W253" s="70">
        <v>1272005</v>
      </c>
      <c r="X253" s="68">
        <v>0</v>
      </c>
      <c r="Y253" s="70">
        <v>84800</v>
      </c>
      <c r="Z253" s="72"/>
    </row>
    <row r="254" spans="1:26" ht="15.75" hidden="1" customHeight="1" x14ac:dyDescent="0.25">
      <c r="A254" s="64">
        <v>5</v>
      </c>
      <c r="B254" s="62">
        <v>71601851</v>
      </c>
      <c r="C254" s="62" t="s">
        <v>25340</v>
      </c>
      <c r="D254" s="62" t="s">
        <v>25179</v>
      </c>
      <c r="E254" s="62" t="s">
        <v>25180</v>
      </c>
      <c r="F254" s="62" t="s">
        <v>25023</v>
      </c>
      <c r="G254" s="81" t="s">
        <v>19285</v>
      </c>
      <c r="H254" s="63">
        <v>45073</v>
      </c>
      <c r="I254" s="63">
        <v>45087</v>
      </c>
      <c r="J254" s="62">
        <v>15</v>
      </c>
      <c r="K254" s="62">
        <v>5</v>
      </c>
      <c r="L254" s="62" t="s">
        <v>19262</v>
      </c>
      <c r="M254" s="62" t="s">
        <v>19262</v>
      </c>
      <c r="N254" s="62" t="s">
        <v>19269</v>
      </c>
      <c r="O254" s="62" t="s">
        <v>4695</v>
      </c>
      <c r="P254" s="42" t="str">
        <f>+IF(O254="","",IFERROR(VLOOKUP(O254,CODIGO_DIAGNOSTICO,2,0),"CÓDIGO NO ENCONTRADO"))</f>
        <v>TRASTORNOS INTERNO DE LA RODILLA, NO ESPECIFICADO</v>
      </c>
      <c r="Q254" s="62" t="s">
        <v>19231</v>
      </c>
      <c r="R254" s="64"/>
      <c r="S254" s="75"/>
      <c r="T254" s="75"/>
      <c r="U254" s="65">
        <f>SUM(W254/30)</f>
        <v>42400.166666666664</v>
      </c>
      <c r="V254" s="62" t="s">
        <v>25941</v>
      </c>
      <c r="W254" s="65">
        <v>1272005</v>
      </c>
      <c r="X254" s="62">
        <v>0</v>
      </c>
      <c r="Y254" s="65">
        <v>84800</v>
      </c>
      <c r="Z254" s="73"/>
    </row>
    <row r="255" spans="1:26" ht="15.75" hidden="1" customHeight="1" x14ac:dyDescent="0.25">
      <c r="A255" s="67">
        <v>5</v>
      </c>
      <c r="B255" s="68">
        <v>1128404771</v>
      </c>
      <c r="C255" s="68" t="s">
        <v>25159</v>
      </c>
      <c r="D255" s="68" t="s">
        <v>25723</v>
      </c>
      <c r="E255" s="68" t="s">
        <v>25724</v>
      </c>
      <c r="F255" s="68" t="s">
        <v>25010</v>
      </c>
      <c r="G255" s="81" t="s">
        <v>19285</v>
      </c>
      <c r="H255" s="69">
        <v>45074</v>
      </c>
      <c r="I255" s="69">
        <v>45087</v>
      </c>
      <c r="J255" s="68">
        <v>14</v>
      </c>
      <c r="K255" s="68">
        <v>4</v>
      </c>
      <c r="L255" s="68" t="s">
        <v>24995</v>
      </c>
      <c r="M255" s="68" t="s">
        <v>24995</v>
      </c>
      <c r="N255" s="62" t="s">
        <v>19269</v>
      </c>
      <c r="O255" s="68" t="s">
        <v>5851</v>
      </c>
      <c r="P255" s="42" t="str">
        <f>+IF(O255="","",IFERROR(VLOOKUP(O255,CODIGO_DIAGNOSTICO,2,0),"CÓDIGO NO ENCONTRADO"))</f>
        <v>PARTO UNICO ESPONTANEO, PRESENTACION CEFALICA DE VERTICE</v>
      </c>
      <c r="Q255" s="68" t="s">
        <v>19230</v>
      </c>
      <c r="R255" s="67"/>
      <c r="S255" s="77">
        <v>45080</v>
      </c>
      <c r="T255" s="76">
        <v>45083</v>
      </c>
      <c r="U255" s="65">
        <f>SUM(W255/30)</f>
        <v>42400.166666666664</v>
      </c>
      <c r="V255" s="68" t="s">
        <v>25941</v>
      </c>
      <c r="W255" s="70">
        <v>1272005</v>
      </c>
      <c r="X255" s="68">
        <v>0</v>
      </c>
      <c r="Y255" s="70">
        <v>84800</v>
      </c>
      <c r="Z255" s="72"/>
    </row>
    <row r="256" spans="1:26" ht="15.75" hidden="1" customHeight="1" x14ac:dyDescent="0.25">
      <c r="A256" s="64">
        <v>5</v>
      </c>
      <c r="B256" s="62">
        <v>1193141601</v>
      </c>
      <c r="C256" s="62" t="s">
        <v>25721</v>
      </c>
      <c r="D256" s="62" t="s">
        <v>25666</v>
      </c>
      <c r="E256" s="62" t="s">
        <v>25183</v>
      </c>
      <c r="F256" s="62" t="s">
        <v>25663</v>
      </c>
      <c r="G256" s="81" t="s">
        <v>19285</v>
      </c>
      <c r="H256" s="63">
        <v>45075</v>
      </c>
      <c r="I256" s="63">
        <v>45077</v>
      </c>
      <c r="J256" s="62">
        <v>3</v>
      </c>
      <c r="K256" s="62">
        <v>3</v>
      </c>
      <c r="L256" s="62" t="s">
        <v>24995</v>
      </c>
      <c r="M256" s="62" t="s">
        <v>24995</v>
      </c>
      <c r="N256" s="62" t="s">
        <v>19269</v>
      </c>
      <c r="O256" s="62" t="s">
        <v>3618</v>
      </c>
      <c r="P256" s="42" t="str">
        <f>+IF(O256="","",IFERROR(VLOOKUP(O256,CODIGO_DIAGNOSTICO,2,0),"CÓDIGO NO ENCONTRADO"))</f>
        <v>NEUMONIA, NO ESPECIFICADA</v>
      </c>
      <c r="Q256" s="62" t="s">
        <v>19230</v>
      </c>
      <c r="R256" s="64"/>
      <c r="S256" s="75">
        <v>45080</v>
      </c>
      <c r="T256" s="75">
        <v>45083</v>
      </c>
      <c r="U256" s="65">
        <f>SUM(W256/30)</f>
        <v>42400.166666666664</v>
      </c>
      <c r="V256" s="62" t="s">
        <v>25941</v>
      </c>
      <c r="W256" s="65">
        <v>1272005</v>
      </c>
      <c r="X256" s="62">
        <v>0</v>
      </c>
      <c r="Y256" s="65">
        <v>84800</v>
      </c>
      <c r="Z256" s="73"/>
    </row>
    <row r="257" spans="1:26" ht="15.75" hidden="1" customHeight="1" x14ac:dyDescent="0.25">
      <c r="A257" s="67">
        <v>5</v>
      </c>
      <c r="B257" s="68">
        <v>71382103</v>
      </c>
      <c r="C257" s="68" t="s">
        <v>25274</v>
      </c>
      <c r="D257" s="68" t="s">
        <v>25275</v>
      </c>
      <c r="E257" s="68" t="s">
        <v>25198</v>
      </c>
      <c r="F257" s="68" t="s">
        <v>25276</v>
      </c>
      <c r="G257" s="81" t="s">
        <v>19285</v>
      </c>
      <c r="H257" s="69">
        <v>45076</v>
      </c>
      <c r="I257" s="69">
        <v>45079</v>
      </c>
      <c r="J257" s="68">
        <v>4</v>
      </c>
      <c r="K257" s="68">
        <v>2</v>
      </c>
      <c r="L257" s="68" t="s">
        <v>19262</v>
      </c>
      <c r="M257" s="68" t="s">
        <v>19262</v>
      </c>
      <c r="N257" s="62" t="s">
        <v>19269</v>
      </c>
      <c r="O257" s="68" t="s">
        <v>4694</v>
      </c>
      <c r="P257" s="42" t="str">
        <f>+IF(O257="","",IFERROR(VLOOKUP(O257,CODIGO_DIAGNOSTICO,2,0),"CÓDIGO NO ENCONTRADO"))</f>
        <v>OTROS TRASTORNOS INTERNOS DE LA RODILLA</v>
      </c>
      <c r="Q257" s="68" t="s">
        <v>19230</v>
      </c>
      <c r="R257" s="67"/>
      <c r="S257" s="77">
        <v>45081</v>
      </c>
      <c r="T257" s="76">
        <v>45090</v>
      </c>
      <c r="U257" s="65">
        <f>SUM(W257/30)</f>
        <v>42400.166666666664</v>
      </c>
      <c r="V257" s="68" t="s">
        <v>25941</v>
      </c>
      <c r="W257" s="70">
        <v>1272005</v>
      </c>
      <c r="X257" s="68">
        <v>0</v>
      </c>
      <c r="Y257" s="70">
        <v>84800</v>
      </c>
      <c r="Z257" s="72"/>
    </row>
    <row r="258" spans="1:26" ht="15.75" hidden="1" customHeight="1" x14ac:dyDescent="0.25">
      <c r="A258" s="64">
        <v>5</v>
      </c>
      <c r="B258" s="62">
        <v>8364054</v>
      </c>
      <c r="C258" s="62" t="s">
        <v>25372</v>
      </c>
      <c r="D258" s="62" t="s">
        <v>25688</v>
      </c>
      <c r="E258" s="62" t="s">
        <v>25627</v>
      </c>
      <c r="F258" s="62" t="s">
        <v>25099</v>
      </c>
      <c r="G258" s="81" t="s">
        <v>19285</v>
      </c>
      <c r="H258" s="63">
        <v>45077</v>
      </c>
      <c r="I258" s="63">
        <v>45079</v>
      </c>
      <c r="J258" s="62">
        <v>3</v>
      </c>
      <c r="K258" s="62">
        <v>3</v>
      </c>
      <c r="L258" s="62" t="s">
        <v>24995</v>
      </c>
      <c r="M258" s="62" t="s">
        <v>24995</v>
      </c>
      <c r="N258" s="62" t="s">
        <v>19269</v>
      </c>
      <c r="O258" s="62" t="s">
        <v>7625</v>
      </c>
      <c r="P258" s="42" t="str">
        <f>+IF(O258="","",IFERROR(VLOOKUP(O258,CODIGO_DIAGNOSTICO,2,0),"CÓDIGO NO ENCONTRADO"))</f>
        <v>ESGUINCES Y TORCEDURAS DE LA MUÑECA</v>
      </c>
      <c r="Q258" s="62" t="s">
        <v>19230</v>
      </c>
      <c r="R258" s="64"/>
      <c r="S258" s="75">
        <v>45082</v>
      </c>
      <c r="T258" s="75">
        <v>45120</v>
      </c>
      <c r="U258" s="65">
        <f>SUM(W258/30)</f>
        <v>42400.166666666664</v>
      </c>
      <c r="V258" s="62" t="s">
        <v>25941</v>
      </c>
      <c r="W258" s="65">
        <v>1272005</v>
      </c>
      <c r="X258" s="62">
        <v>0</v>
      </c>
      <c r="Y258" s="65">
        <v>84800</v>
      </c>
      <c r="Z258" s="73"/>
    </row>
    <row r="259" spans="1:26" ht="15.75" hidden="1" customHeight="1" x14ac:dyDescent="0.25">
      <c r="A259" s="67">
        <v>5</v>
      </c>
      <c r="B259" s="68">
        <v>3481465</v>
      </c>
      <c r="C259" s="68" t="s">
        <v>25204</v>
      </c>
      <c r="D259" s="68" t="s">
        <v>25205</v>
      </c>
      <c r="E259" s="68" t="s">
        <v>25308</v>
      </c>
      <c r="F259" s="68" t="s">
        <v>25103</v>
      </c>
      <c r="G259" s="81" t="s">
        <v>19285</v>
      </c>
      <c r="H259" s="69">
        <v>45077</v>
      </c>
      <c r="I259" s="69">
        <v>45096</v>
      </c>
      <c r="J259" s="68">
        <v>20</v>
      </c>
      <c r="K259" s="68">
        <v>1</v>
      </c>
      <c r="L259" s="68" t="s">
        <v>19262</v>
      </c>
      <c r="M259" s="68" t="s">
        <v>19262</v>
      </c>
      <c r="N259" s="62" t="s">
        <v>19269</v>
      </c>
      <c r="O259" s="68" t="s">
        <v>2068</v>
      </c>
      <c r="P259" s="42" t="str">
        <f>+IF(O259="","",IFERROR(VLOOKUP(O259,CODIGO_DIAGNOSTICO,2,0),"CÓDIGO NO ENCONTRADO"))</f>
        <v>DEMENCIA VASCULAR DE COMIENZO AGUDO</v>
      </c>
      <c r="Q259" s="68" t="s">
        <v>19230</v>
      </c>
      <c r="R259" s="67"/>
      <c r="S259" s="77"/>
      <c r="T259" s="76"/>
      <c r="U259" s="65">
        <f>SUM(W259/30)</f>
        <v>42400.166666666664</v>
      </c>
      <c r="V259" s="68" t="s">
        <v>25941</v>
      </c>
      <c r="W259" s="70">
        <v>1272005</v>
      </c>
      <c r="X259" s="68">
        <v>0</v>
      </c>
      <c r="Y259" s="70">
        <v>84800</v>
      </c>
      <c r="Z259" s="72"/>
    </row>
    <row r="260" spans="1:26" ht="15.75" hidden="1" customHeight="1" x14ac:dyDescent="0.25">
      <c r="A260" s="64">
        <v>6</v>
      </c>
      <c r="B260" s="62">
        <v>3669363</v>
      </c>
      <c r="C260" s="62" t="s">
        <v>25173</v>
      </c>
      <c r="D260" s="62" t="s">
        <v>24983</v>
      </c>
      <c r="E260" s="62" t="s">
        <v>19287</v>
      </c>
      <c r="F260" s="62" t="s">
        <v>25103</v>
      </c>
      <c r="G260" s="81" t="s">
        <v>19285</v>
      </c>
      <c r="H260" s="63">
        <v>45078</v>
      </c>
      <c r="I260" s="63">
        <v>45082</v>
      </c>
      <c r="J260" s="62">
        <v>5</v>
      </c>
      <c r="K260" s="62">
        <v>5</v>
      </c>
      <c r="L260" s="62" t="s">
        <v>19262</v>
      </c>
      <c r="M260" s="62" t="s">
        <v>19262</v>
      </c>
      <c r="N260" s="62" t="s">
        <v>19269</v>
      </c>
      <c r="O260" s="62" t="s">
        <v>4650</v>
      </c>
      <c r="P260" s="42" t="str">
        <f>+IF(O260="","",IFERROR(VLOOKUP(O260,CODIGO_DIAGNOSTICO,2,0),"CÓDIGO NO ENCONTRADO"))</f>
        <v>GONARTROSIS, NO ESPECIFICADA</v>
      </c>
      <c r="Q260" s="62" t="s">
        <v>19230</v>
      </c>
      <c r="R260" s="64"/>
      <c r="S260" s="75"/>
      <c r="T260" s="75"/>
      <c r="U260" s="65">
        <f>SUM(W260/30)</f>
        <v>42400.166666666664</v>
      </c>
      <c r="V260" s="62" t="s">
        <v>25941</v>
      </c>
      <c r="W260" s="65">
        <v>1272005</v>
      </c>
      <c r="X260" s="62">
        <v>0</v>
      </c>
      <c r="Y260" s="65">
        <v>84800</v>
      </c>
      <c r="Z260" s="73"/>
    </row>
    <row r="261" spans="1:26" ht="15.75" hidden="1" customHeight="1" x14ac:dyDescent="0.25">
      <c r="A261" s="67">
        <v>6</v>
      </c>
      <c r="B261" s="68">
        <v>98452593</v>
      </c>
      <c r="C261" s="68" t="s">
        <v>25747</v>
      </c>
      <c r="D261" s="68" t="s">
        <v>25748</v>
      </c>
      <c r="E261" s="68" t="s">
        <v>25210</v>
      </c>
      <c r="F261" s="68" t="s">
        <v>25110</v>
      </c>
      <c r="G261" s="81" t="s">
        <v>19285</v>
      </c>
      <c r="H261" s="69">
        <v>45078</v>
      </c>
      <c r="I261" s="69">
        <v>45083</v>
      </c>
      <c r="J261" s="68">
        <v>6</v>
      </c>
      <c r="K261" s="68">
        <v>6</v>
      </c>
      <c r="L261" s="68" t="s">
        <v>19262</v>
      </c>
      <c r="M261" s="68" t="s">
        <v>19262</v>
      </c>
      <c r="N261" s="62" t="s">
        <v>19269</v>
      </c>
      <c r="O261" s="68" t="s">
        <v>7561</v>
      </c>
      <c r="P261" s="42" t="str">
        <f>+IF(O261="","",IFERROR(VLOOKUP(O261,CODIGO_DIAGNOSTICO,2,0),"CÓDIGO NO ENCONTRADO"))</f>
        <v>FRACTURA DE LA EPIFISIS INFERIOR DEL CUBITO Y DEL RADIO</v>
      </c>
      <c r="Q261" s="68" t="s">
        <v>19230</v>
      </c>
      <c r="R261" s="67"/>
      <c r="S261" s="77">
        <v>45121</v>
      </c>
      <c r="T261" s="76">
        <v>45128</v>
      </c>
      <c r="U261" s="65">
        <f>SUM(W261/30)</f>
        <v>42400.166666666664</v>
      </c>
      <c r="V261" s="68" t="s">
        <v>25941</v>
      </c>
      <c r="W261" s="70">
        <v>1272005</v>
      </c>
      <c r="X261" s="68">
        <v>0</v>
      </c>
      <c r="Y261" s="70">
        <v>84800</v>
      </c>
      <c r="Z261" s="72"/>
    </row>
    <row r="262" spans="1:26" ht="15.75" hidden="1" customHeight="1" x14ac:dyDescent="0.25">
      <c r="A262" s="64">
        <v>6</v>
      </c>
      <c r="B262" s="62">
        <v>98456475</v>
      </c>
      <c r="C262" s="62" t="s">
        <v>25776</v>
      </c>
      <c r="D262" s="62" t="s">
        <v>25498</v>
      </c>
      <c r="E262" s="62" t="s">
        <v>25762</v>
      </c>
      <c r="F262" s="62" t="s">
        <v>25064</v>
      </c>
      <c r="G262" s="81" t="s">
        <v>19285</v>
      </c>
      <c r="H262" s="63">
        <v>45078</v>
      </c>
      <c r="I262" s="63">
        <v>45079</v>
      </c>
      <c r="J262" s="62">
        <v>2</v>
      </c>
      <c r="K262" s="62">
        <v>2</v>
      </c>
      <c r="L262" s="62" t="s">
        <v>24995</v>
      </c>
      <c r="M262" s="62" t="s">
        <v>24995</v>
      </c>
      <c r="N262" s="62" t="s">
        <v>19269</v>
      </c>
      <c r="O262" s="62" t="s">
        <v>15281</v>
      </c>
      <c r="P262" s="42" t="str">
        <f>+IF(O262="","",IFERROR(VLOOKUP(O262,CODIGO_DIAGNOSTICO,2,0),"CÓDIGO NO ENCONTRADO"))</f>
        <v>RINOFARINGITIS AGUDA (RESFRIADO COMUN)</v>
      </c>
      <c r="Q262" s="62" t="s">
        <v>19230</v>
      </c>
      <c r="R262" s="64">
        <v>0</v>
      </c>
      <c r="S262" s="75"/>
      <c r="T262" s="75"/>
      <c r="U262" s="65">
        <f>SUM(W262/30)</f>
        <v>42400.166666666664</v>
      </c>
      <c r="V262" s="62" t="s">
        <v>25941</v>
      </c>
      <c r="W262" s="65">
        <v>1272005</v>
      </c>
      <c r="X262" s="62">
        <v>0</v>
      </c>
      <c r="Y262" s="65">
        <v>84800</v>
      </c>
      <c r="Z262" s="73"/>
    </row>
    <row r="263" spans="1:26" ht="15.75" hidden="1" customHeight="1" x14ac:dyDescent="0.25">
      <c r="A263" s="67">
        <v>6</v>
      </c>
      <c r="B263" s="68">
        <v>98456475</v>
      </c>
      <c r="C263" s="68" t="s">
        <v>25776</v>
      </c>
      <c r="D263" s="68" t="s">
        <v>25498</v>
      </c>
      <c r="E263" s="68" t="s">
        <v>25762</v>
      </c>
      <c r="F263" s="68" t="s">
        <v>25064</v>
      </c>
      <c r="G263" s="81" t="s">
        <v>19285</v>
      </c>
      <c r="H263" s="69">
        <v>45078</v>
      </c>
      <c r="I263" s="69">
        <v>45079</v>
      </c>
      <c r="J263" s="68">
        <v>2</v>
      </c>
      <c r="K263" s="68">
        <v>2</v>
      </c>
      <c r="L263" s="68" t="s">
        <v>24995</v>
      </c>
      <c r="M263" s="68" t="s">
        <v>24995</v>
      </c>
      <c r="N263" s="62" t="s">
        <v>19269</v>
      </c>
      <c r="O263" s="68" t="s">
        <v>15281</v>
      </c>
      <c r="P263" s="42" t="str">
        <f>+IF(O263="","",IFERROR(VLOOKUP(O263,CODIGO_DIAGNOSTICO,2,0),"CÓDIGO NO ENCONTRADO"))</f>
        <v>RINOFARINGITIS AGUDA (RESFRIADO COMUN)</v>
      </c>
      <c r="Q263" s="68" t="s">
        <v>19230</v>
      </c>
      <c r="R263" s="67">
        <v>0</v>
      </c>
      <c r="S263" s="77"/>
      <c r="T263" s="76"/>
      <c r="U263" s="65">
        <f>SUM(W263/30)</f>
        <v>42400.166666666664</v>
      </c>
      <c r="V263" s="68" t="s">
        <v>25941</v>
      </c>
      <c r="W263" s="70">
        <v>1272005</v>
      </c>
      <c r="X263" s="68">
        <v>0</v>
      </c>
      <c r="Y263" s="70">
        <v>84800</v>
      </c>
      <c r="Z263" s="72"/>
    </row>
    <row r="264" spans="1:26" ht="15.75" hidden="1" customHeight="1" x14ac:dyDescent="0.25">
      <c r="A264" s="64">
        <v>6</v>
      </c>
      <c r="B264" s="62">
        <v>1073969817</v>
      </c>
      <c r="C264" s="62" t="s">
        <v>25654</v>
      </c>
      <c r="D264" s="62" t="s">
        <v>25655</v>
      </c>
      <c r="E264" s="62" t="s">
        <v>25059</v>
      </c>
      <c r="F264" s="62" t="s">
        <v>25193</v>
      </c>
      <c r="G264" s="81" t="s">
        <v>19285</v>
      </c>
      <c r="H264" s="63">
        <v>45078</v>
      </c>
      <c r="I264" s="63">
        <v>45079</v>
      </c>
      <c r="J264" s="62">
        <v>2</v>
      </c>
      <c r="K264" s="62">
        <v>2</v>
      </c>
      <c r="L264" s="62" t="s">
        <v>24995</v>
      </c>
      <c r="M264" s="62" t="s">
        <v>24995</v>
      </c>
      <c r="N264" s="62" t="s">
        <v>19269</v>
      </c>
      <c r="O264" s="62" t="s">
        <v>3854</v>
      </c>
      <c r="P264" s="42" t="str">
        <f>+IF(O264="","",IFERROR(VLOOKUP(O264,CODIGO_DIAGNOSTICO,2,0),"CÓDIGO NO ENCONTRADO"))</f>
        <v>PERDIDA DE DIENTES DEBIDA A ACCIDENTE, EXTRACCION O ENFERMEDAD PERIODONTAL LOCAL</v>
      </c>
      <c r="Q264" s="62" t="s">
        <v>19231</v>
      </c>
      <c r="R264" s="64">
        <v>0</v>
      </c>
      <c r="S264" s="75"/>
      <c r="T264" s="75"/>
      <c r="U264" s="65">
        <f>SUM(W264/30)</f>
        <v>42400.166666666664</v>
      </c>
      <c r="V264" s="62" t="s">
        <v>25941</v>
      </c>
      <c r="W264" s="65">
        <v>1272005</v>
      </c>
      <c r="X264" s="62">
        <v>0</v>
      </c>
      <c r="Y264" s="65">
        <v>84800</v>
      </c>
      <c r="Z264" s="73"/>
    </row>
    <row r="265" spans="1:26" ht="15.75" hidden="1" customHeight="1" x14ac:dyDescent="0.25">
      <c r="A265" s="67">
        <v>6</v>
      </c>
      <c r="B265" s="68">
        <v>43826892</v>
      </c>
      <c r="C265" s="68" t="s">
        <v>25229</v>
      </c>
      <c r="D265" s="68" t="s">
        <v>25230</v>
      </c>
      <c r="E265" s="68" t="s">
        <v>25258</v>
      </c>
      <c r="F265" s="68" t="s">
        <v>25232</v>
      </c>
      <c r="G265" s="81" t="s">
        <v>19285</v>
      </c>
      <c r="H265" s="69">
        <v>45078</v>
      </c>
      <c r="I265" s="69">
        <v>45092</v>
      </c>
      <c r="J265" s="68">
        <v>15</v>
      </c>
      <c r="K265" s="68">
        <v>15</v>
      </c>
      <c r="L265" s="68" t="s">
        <v>19262</v>
      </c>
      <c r="M265" s="68" t="s">
        <v>24995</v>
      </c>
      <c r="N265" s="62" t="s">
        <v>19269</v>
      </c>
      <c r="O265" s="68" t="s">
        <v>7916</v>
      </c>
      <c r="P265" s="42" t="str">
        <f>+IF(O265="","",IFERROR(VLOOKUP(O265,CODIGO_DIAGNOSTICO,2,0),"CÓDIGO NO ENCONTRADO"))</f>
        <v>LUXACION, ESGUINCE O TORCEDURA DE REGION NO ESPECIFICADA DEL CUERPO</v>
      </c>
      <c r="Q265" s="68" t="s">
        <v>19232</v>
      </c>
      <c r="R265" s="67">
        <v>1031237912</v>
      </c>
      <c r="S265" s="77">
        <v>45230</v>
      </c>
      <c r="T265" s="76">
        <v>45237</v>
      </c>
      <c r="U265" s="65">
        <f>SUM(W265/30)</f>
        <v>42400.166666666664</v>
      </c>
      <c r="V265" s="68" t="s">
        <v>25941</v>
      </c>
      <c r="W265" s="70">
        <v>1272005</v>
      </c>
      <c r="X265" s="68">
        <v>0</v>
      </c>
      <c r="Y265" s="70">
        <v>84800</v>
      </c>
      <c r="Z265" s="72"/>
    </row>
    <row r="266" spans="1:26" ht="15.75" hidden="1" customHeight="1" x14ac:dyDescent="0.25">
      <c r="A266" s="64">
        <v>6</v>
      </c>
      <c r="B266" s="62">
        <v>70133821</v>
      </c>
      <c r="C266" s="62" t="s">
        <v>25200</v>
      </c>
      <c r="D266" s="62" t="s">
        <v>25523</v>
      </c>
      <c r="E266" s="62" t="s">
        <v>25203</v>
      </c>
      <c r="F266" s="62" t="s">
        <v>25005</v>
      </c>
      <c r="G266" s="81" t="s">
        <v>19285</v>
      </c>
      <c r="H266" s="63">
        <v>45079</v>
      </c>
      <c r="I266" s="63">
        <v>45083</v>
      </c>
      <c r="J266" s="62">
        <v>5</v>
      </c>
      <c r="K266" s="62">
        <v>5</v>
      </c>
      <c r="L266" s="62" t="s">
        <v>19262</v>
      </c>
      <c r="M266" s="62" t="s">
        <v>19262</v>
      </c>
      <c r="N266" s="62" t="s">
        <v>19269</v>
      </c>
      <c r="O266" s="62" t="s">
        <v>4220</v>
      </c>
      <c r="P266" s="42" t="str">
        <f>+IF(O266="","",IFERROR(VLOOKUP(O266,CODIGO_DIAGNOSTICO,2,0),"CÓDIGO NO ENCONTRADO"))</f>
        <v>CELULITIS DE OTROS SITIOS</v>
      </c>
      <c r="Q266" s="62" t="s">
        <v>19230</v>
      </c>
      <c r="R266" s="64"/>
      <c r="S266" s="75"/>
      <c r="T266" s="75"/>
      <c r="U266" s="65">
        <f>SUM(W266/30)</f>
        <v>42400.166666666664</v>
      </c>
      <c r="V266" s="62" t="s">
        <v>25941</v>
      </c>
      <c r="W266" s="65">
        <v>1272005</v>
      </c>
      <c r="X266" s="62">
        <v>0</v>
      </c>
      <c r="Y266" s="65">
        <v>84800</v>
      </c>
      <c r="Z266" s="73"/>
    </row>
    <row r="267" spans="1:26" ht="15.75" hidden="1" customHeight="1" x14ac:dyDescent="0.25">
      <c r="A267" s="67">
        <v>6</v>
      </c>
      <c r="B267" s="68">
        <v>1035421360</v>
      </c>
      <c r="C267" s="68" t="s">
        <v>25098</v>
      </c>
      <c r="D267" s="68" t="s">
        <v>25436</v>
      </c>
      <c r="E267" s="68" t="s">
        <v>25437</v>
      </c>
      <c r="F267" s="68" t="s">
        <v>25741</v>
      </c>
      <c r="G267" s="81" t="s">
        <v>19285</v>
      </c>
      <c r="H267" s="69">
        <v>45079</v>
      </c>
      <c r="I267" s="69">
        <v>45080</v>
      </c>
      <c r="J267" s="68">
        <v>2</v>
      </c>
      <c r="K267" s="68">
        <v>2</v>
      </c>
      <c r="L267" s="68" t="s">
        <v>24995</v>
      </c>
      <c r="M267" s="68" t="s">
        <v>24995</v>
      </c>
      <c r="N267" s="62" t="s">
        <v>19269</v>
      </c>
      <c r="O267" s="68" t="s">
        <v>4025</v>
      </c>
      <c r="P267" s="42" t="str">
        <f>+IF(O267="","",IFERROR(VLOOKUP(O267,CODIGO_DIAGNOSTICO,2,0),"CÓDIGO NO ENCONTRADO"))</f>
        <v>OTRAS COLITIS Y GASTROENTERITIS NO INFECCIOSAS ESPECIFICADAS</v>
      </c>
      <c r="Q267" s="68" t="s">
        <v>19231</v>
      </c>
      <c r="R267" s="67">
        <v>0</v>
      </c>
      <c r="S267" s="77"/>
      <c r="T267" s="76"/>
      <c r="U267" s="65">
        <f>SUM(W267/30)</f>
        <v>42400.166666666664</v>
      </c>
      <c r="V267" s="68" t="s">
        <v>25941</v>
      </c>
      <c r="W267" s="70">
        <v>1272005</v>
      </c>
      <c r="X267" s="68">
        <v>0</v>
      </c>
      <c r="Y267" s="70">
        <v>84800</v>
      </c>
      <c r="Z267" s="72"/>
    </row>
    <row r="268" spans="1:26" ht="15.75" hidden="1" customHeight="1" x14ac:dyDescent="0.25">
      <c r="A268" s="64">
        <v>6</v>
      </c>
      <c r="B268" s="62">
        <v>98663441</v>
      </c>
      <c r="C268" s="62" t="s">
        <v>25225</v>
      </c>
      <c r="D268" s="62" t="s">
        <v>25614</v>
      </c>
      <c r="E268" s="62" t="s">
        <v>25255</v>
      </c>
      <c r="F268" s="62" t="s">
        <v>25615</v>
      </c>
      <c r="G268" s="81" t="s">
        <v>19285</v>
      </c>
      <c r="H268" s="63">
        <v>45079</v>
      </c>
      <c r="I268" s="63">
        <v>45080</v>
      </c>
      <c r="J268" s="62">
        <v>2</v>
      </c>
      <c r="K268" s="62">
        <v>2</v>
      </c>
      <c r="L268" s="62" t="s">
        <v>24995</v>
      </c>
      <c r="M268" s="62" t="s">
        <v>24995</v>
      </c>
      <c r="N268" s="62" t="s">
        <v>19269</v>
      </c>
      <c r="O268" s="62" t="s">
        <v>85</v>
      </c>
      <c r="P268" s="42" t="str">
        <f>+IF(O268="","",IFERROR(VLOOKUP(O268,CODIGO_DIAGNOSTICO,2,0),"CÓDIGO NO ENCONTRADO"))</f>
        <v>OTRAS ENTERITIS VIRALES</v>
      </c>
      <c r="Q268" s="62" t="s">
        <v>19230</v>
      </c>
      <c r="R268" s="64">
        <v>0</v>
      </c>
      <c r="S268" s="75"/>
      <c r="T268" s="75"/>
      <c r="U268" s="65">
        <f>SUM(W268/30)</f>
        <v>42400.166666666664</v>
      </c>
      <c r="V268" s="62" t="s">
        <v>25941</v>
      </c>
      <c r="W268" s="65">
        <v>1272005</v>
      </c>
      <c r="X268" s="62">
        <v>0</v>
      </c>
      <c r="Y268" s="65">
        <v>84800</v>
      </c>
      <c r="Z268" s="73"/>
    </row>
    <row r="269" spans="1:26" ht="15.75" hidden="1" customHeight="1" x14ac:dyDescent="0.25">
      <c r="A269" s="67">
        <v>6</v>
      </c>
      <c r="B269" s="68">
        <v>70133821</v>
      </c>
      <c r="C269" s="68" t="s">
        <v>25200</v>
      </c>
      <c r="D269" s="68" t="s">
        <v>25523</v>
      </c>
      <c r="E269" s="68" t="s">
        <v>25168</v>
      </c>
      <c r="F269" s="68" t="s">
        <v>25005</v>
      </c>
      <c r="G269" s="81" t="s">
        <v>19285</v>
      </c>
      <c r="H269" s="69">
        <v>45079</v>
      </c>
      <c r="I269" s="69">
        <v>45078</v>
      </c>
      <c r="J269" s="68">
        <v>5</v>
      </c>
      <c r="K269" s="68">
        <v>5</v>
      </c>
      <c r="L269" s="68" t="s">
        <v>19262</v>
      </c>
      <c r="M269" s="68" t="s">
        <v>24995</v>
      </c>
      <c r="N269" s="62" t="s">
        <v>19269</v>
      </c>
      <c r="O269" s="68" t="s">
        <v>12288</v>
      </c>
      <c r="P269" s="42" t="str">
        <f>+IF(O269="","",IFERROR(VLOOKUP(O269,CODIGO_DIAGNOSTICO,2,0),"CÓDIGO NO ENCONTRADO"))</f>
        <v>PERSONA EN CONTACTO CON LOS SERVICIOS DE SALUD EN CIRCUNSTANCIAS NO ESPECIFICADAS</v>
      </c>
      <c r="Q269" s="68" t="s">
        <v>19230</v>
      </c>
      <c r="R269" s="67"/>
      <c r="S269" s="77">
        <v>45082</v>
      </c>
      <c r="T269" s="76">
        <v>45104</v>
      </c>
      <c r="U269" s="65">
        <f>SUM(W269/30)</f>
        <v>42400.166666666664</v>
      </c>
      <c r="V269" s="68" t="s">
        <v>25941</v>
      </c>
      <c r="W269" s="70">
        <v>1272005</v>
      </c>
      <c r="X269" s="68">
        <v>0</v>
      </c>
      <c r="Y269" s="70">
        <v>84800</v>
      </c>
      <c r="Z269" s="72"/>
    </row>
    <row r="270" spans="1:26" ht="15.75" hidden="1" customHeight="1" x14ac:dyDescent="0.25">
      <c r="A270" s="64">
        <v>6</v>
      </c>
      <c r="B270" s="62">
        <v>98648701</v>
      </c>
      <c r="C270" s="62" t="s">
        <v>25553</v>
      </c>
      <c r="D270" s="62" t="s">
        <v>25426</v>
      </c>
      <c r="E270" s="62" t="s">
        <v>25221</v>
      </c>
      <c r="F270" s="62" t="s">
        <v>25554</v>
      </c>
      <c r="G270" s="81" t="s">
        <v>19285</v>
      </c>
      <c r="H270" s="63">
        <v>45080</v>
      </c>
      <c r="I270" s="63">
        <v>45081</v>
      </c>
      <c r="J270" s="62">
        <v>2</v>
      </c>
      <c r="K270" s="62">
        <v>2</v>
      </c>
      <c r="L270" s="62" t="s">
        <v>24995</v>
      </c>
      <c r="M270" s="62" t="s">
        <v>24995</v>
      </c>
      <c r="N270" s="62" t="s">
        <v>19269</v>
      </c>
      <c r="O270" s="62" t="s">
        <v>4644</v>
      </c>
      <c r="P270" s="42" t="str">
        <f>+IF(O270="","",IFERROR(VLOOKUP(O270,CODIGO_DIAGNOSTICO,2,0),"CÓDIGO NO ENCONTRADO"))</f>
        <v>GONARTROSIS PRIMARIA, BILATERAL</v>
      </c>
      <c r="Q270" s="62" t="s">
        <v>19230</v>
      </c>
      <c r="R270" s="64">
        <v>0</v>
      </c>
      <c r="S270" s="75"/>
      <c r="T270" s="75"/>
      <c r="U270" s="65">
        <f>SUM(W270/30)</f>
        <v>42400.166666666664</v>
      </c>
      <c r="V270" s="62" t="s">
        <v>25941</v>
      </c>
      <c r="W270" s="65">
        <v>1272005</v>
      </c>
      <c r="X270" s="62">
        <v>0</v>
      </c>
      <c r="Y270" s="65">
        <v>84800</v>
      </c>
      <c r="Z270" s="73"/>
    </row>
    <row r="271" spans="1:26" ht="15.75" hidden="1" customHeight="1" x14ac:dyDescent="0.25">
      <c r="A271" s="67">
        <v>6</v>
      </c>
      <c r="B271" s="68">
        <v>71781456</v>
      </c>
      <c r="C271" s="68" t="s">
        <v>25743</v>
      </c>
      <c r="D271" s="68" t="s">
        <v>25744</v>
      </c>
      <c r="E271" s="68" t="s">
        <v>24988</v>
      </c>
      <c r="F271" s="68" t="s">
        <v>25064</v>
      </c>
      <c r="G271" s="81" t="s">
        <v>19285</v>
      </c>
      <c r="H271" s="69">
        <v>45083</v>
      </c>
      <c r="I271" s="69">
        <v>45084</v>
      </c>
      <c r="J271" s="68">
        <v>2</v>
      </c>
      <c r="K271" s="68">
        <v>2</v>
      </c>
      <c r="L271" s="68" t="s">
        <v>24995</v>
      </c>
      <c r="M271" s="68" t="s">
        <v>24995</v>
      </c>
      <c r="N271" s="62" t="s">
        <v>19269</v>
      </c>
      <c r="O271" s="68" t="s">
        <v>6939</v>
      </c>
      <c r="P271" s="42" t="str">
        <f>+IF(O271="","",IFERROR(VLOOKUP(O271,CODIGO_DIAGNOSTICO,2,0),"CÓDIGO NO ENCONTRADO"))</f>
        <v>OTROS DOLORES ABDOMINALES Y LOS NO ESPECIFICADOS</v>
      </c>
      <c r="Q271" s="68" t="s">
        <v>19230</v>
      </c>
      <c r="R271" s="67">
        <v>0</v>
      </c>
      <c r="S271" s="77"/>
      <c r="T271" s="76"/>
      <c r="U271" s="65">
        <f>SUM(W271/30)</f>
        <v>42400.166666666664</v>
      </c>
      <c r="V271" s="68" t="s">
        <v>25941</v>
      </c>
      <c r="W271" s="70">
        <v>1272005</v>
      </c>
      <c r="X271" s="68">
        <v>0</v>
      </c>
      <c r="Y271" s="70">
        <v>84800</v>
      </c>
      <c r="Z271" s="72"/>
    </row>
    <row r="272" spans="1:26" ht="15.75" hidden="1" customHeight="1" x14ac:dyDescent="0.25">
      <c r="A272" s="64">
        <v>6</v>
      </c>
      <c r="B272" s="62">
        <v>3669363</v>
      </c>
      <c r="C272" s="62" t="s">
        <v>25173</v>
      </c>
      <c r="D272" s="62" t="s">
        <v>24983</v>
      </c>
      <c r="E272" s="62" t="s">
        <v>19287</v>
      </c>
      <c r="F272" s="62" t="s">
        <v>25103</v>
      </c>
      <c r="G272" s="81" t="s">
        <v>19285</v>
      </c>
      <c r="H272" s="63">
        <v>45083</v>
      </c>
      <c r="I272" s="63">
        <v>45085</v>
      </c>
      <c r="J272" s="62">
        <v>3</v>
      </c>
      <c r="K272" s="62">
        <v>3</v>
      </c>
      <c r="L272" s="62" t="s">
        <v>19262</v>
      </c>
      <c r="M272" s="62" t="s">
        <v>19262</v>
      </c>
      <c r="N272" s="62" t="s">
        <v>19269</v>
      </c>
      <c r="O272" s="62" t="s">
        <v>4650</v>
      </c>
      <c r="P272" s="42" t="str">
        <f>+IF(O272="","",IFERROR(VLOOKUP(O272,CODIGO_DIAGNOSTICO,2,0),"CÓDIGO NO ENCONTRADO"))</f>
        <v>GONARTROSIS, NO ESPECIFICADA</v>
      </c>
      <c r="Q272" s="62" t="s">
        <v>19230</v>
      </c>
      <c r="R272" s="64"/>
      <c r="S272" s="75"/>
      <c r="T272" s="75"/>
      <c r="U272" s="65">
        <f>SUM(W272/30)</f>
        <v>42400.166666666664</v>
      </c>
      <c r="V272" s="62" t="s">
        <v>25941</v>
      </c>
      <c r="W272" s="65">
        <v>1272005</v>
      </c>
      <c r="X272" s="62">
        <v>0</v>
      </c>
      <c r="Y272" s="65">
        <v>84800</v>
      </c>
      <c r="Z272" s="73"/>
    </row>
    <row r="273" spans="1:26" ht="15.75" hidden="1" customHeight="1" x14ac:dyDescent="0.25">
      <c r="A273" s="67">
        <v>6</v>
      </c>
      <c r="B273" s="68">
        <v>1020452896</v>
      </c>
      <c r="C273" s="68" t="s">
        <v>25114</v>
      </c>
      <c r="D273" s="68" t="s">
        <v>25197</v>
      </c>
      <c r="E273" s="68" t="s">
        <v>25198</v>
      </c>
      <c r="F273" s="68" t="s">
        <v>25010</v>
      </c>
      <c r="G273" s="81" t="s">
        <v>19285</v>
      </c>
      <c r="H273" s="69">
        <v>45083</v>
      </c>
      <c r="I273" s="69">
        <v>45084</v>
      </c>
      <c r="J273" s="68">
        <v>2</v>
      </c>
      <c r="K273" s="68">
        <v>2</v>
      </c>
      <c r="L273" s="68" t="s">
        <v>24995</v>
      </c>
      <c r="M273" s="68" t="s">
        <v>24995</v>
      </c>
      <c r="N273" s="62" t="s">
        <v>19263</v>
      </c>
      <c r="O273" s="68" t="s">
        <v>2807</v>
      </c>
      <c r="P273" s="42" t="str">
        <f>+IF(O273="","",IFERROR(VLOOKUP(O273,CODIGO_DIAGNOSTICO,2,0),"CÓDIGO NO ENCONTRADO"))</f>
        <v>INFLAMACION DEL PARPADO, NO ESPECIFICADA</v>
      </c>
      <c r="Q273" s="68" t="s">
        <v>25001</v>
      </c>
      <c r="R273" s="67">
        <v>0</v>
      </c>
      <c r="S273" s="77"/>
      <c r="T273" s="76"/>
      <c r="U273" s="65">
        <f>SUM(W273/30)*J273</f>
        <v>84800.333333333328</v>
      </c>
      <c r="V273" s="68" t="s">
        <v>25941</v>
      </c>
      <c r="W273" s="70">
        <v>1272005</v>
      </c>
      <c r="X273" s="68">
        <v>0</v>
      </c>
      <c r="Y273" s="70">
        <v>0</v>
      </c>
      <c r="Z273" s="72"/>
    </row>
    <row r="274" spans="1:26" ht="15.75" hidden="1" customHeight="1" x14ac:dyDescent="0.25">
      <c r="A274" s="64">
        <v>6</v>
      </c>
      <c r="B274" s="62">
        <v>71053321</v>
      </c>
      <c r="C274" s="62" t="s">
        <v>25279</v>
      </c>
      <c r="D274" s="62" t="s">
        <v>25348</v>
      </c>
      <c r="E274" s="62" t="s">
        <v>25028</v>
      </c>
      <c r="F274" s="62" t="s">
        <v>25029</v>
      </c>
      <c r="G274" s="81" t="s">
        <v>19285</v>
      </c>
      <c r="H274" s="63">
        <v>45083</v>
      </c>
      <c r="I274" s="63">
        <v>45097</v>
      </c>
      <c r="J274" s="62">
        <v>15</v>
      </c>
      <c r="K274" s="62">
        <v>15</v>
      </c>
      <c r="L274" s="62" t="s">
        <v>24995</v>
      </c>
      <c r="M274" s="62" t="s">
        <v>24995</v>
      </c>
      <c r="N274" s="62" t="s">
        <v>19269</v>
      </c>
      <c r="O274" s="62" t="s">
        <v>2850</v>
      </c>
      <c r="P274" s="42" t="str">
        <f>+IF(O274="","",IFERROR(VLOOKUP(O274,CODIGO_DIAGNOSTICO,2,0),"CÓDIGO NO ENCONTRADO"))</f>
        <v>PTERIGION</v>
      </c>
      <c r="Q274" s="62" t="s">
        <v>24996</v>
      </c>
      <c r="R274" s="64"/>
      <c r="S274" s="75">
        <v>45107</v>
      </c>
      <c r="T274" s="75">
        <v>45114</v>
      </c>
      <c r="U274" s="65">
        <f>SUM(W274/30)</f>
        <v>42400.166666666664</v>
      </c>
      <c r="V274" s="62" t="s">
        <v>25941</v>
      </c>
      <c r="W274" s="65">
        <v>1272005</v>
      </c>
      <c r="X274" s="62">
        <v>0</v>
      </c>
      <c r="Y274" s="65">
        <v>84800</v>
      </c>
      <c r="Z274" s="73"/>
    </row>
    <row r="275" spans="1:26" ht="15.75" hidden="1" customHeight="1" x14ac:dyDescent="0.25">
      <c r="A275" s="67">
        <v>9</v>
      </c>
      <c r="B275" s="68">
        <v>70323164</v>
      </c>
      <c r="C275" s="68" t="s">
        <v>25145</v>
      </c>
      <c r="D275" s="68" t="s">
        <v>24985</v>
      </c>
      <c r="E275" s="68" t="s">
        <v>25188</v>
      </c>
      <c r="F275" s="68" t="s">
        <v>25146</v>
      </c>
      <c r="G275" s="81" t="s">
        <v>19285</v>
      </c>
      <c r="H275" s="69">
        <v>45083</v>
      </c>
      <c r="I275" s="69">
        <v>45178</v>
      </c>
      <c r="J275" s="68">
        <v>4</v>
      </c>
      <c r="K275" s="68">
        <v>4</v>
      </c>
      <c r="L275" s="68" t="s">
        <v>19262</v>
      </c>
      <c r="M275" s="68" t="s">
        <v>19262</v>
      </c>
      <c r="N275" s="62" t="s">
        <v>19269</v>
      </c>
      <c r="O275" s="68" t="s">
        <v>3692</v>
      </c>
      <c r="P275" s="42" t="str">
        <f>+IF(O275="","",IFERROR(VLOOKUP(O275,CODIGO_DIAGNOSTICO,2,0),"CÓDIGO NO ENCONTRADO"))</f>
        <v>OTRAS ENFERMEDADES PULMONARES OBSTRUCTIVAS CRONICAS ESPECIFICADAS</v>
      </c>
      <c r="Q275" s="68" t="s">
        <v>19230</v>
      </c>
      <c r="R275" s="67"/>
      <c r="S275" s="77"/>
      <c r="T275" s="76"/>
      <c r="U275" s="65">
        <f>SUM(W275/30)</f>
        <v>42400.166666666664</v>
      </c>
      <c r="V275" s="68" t="s">
        <v>25941</v>
      </c>
      <c r="W275" s="70">
        <v>1272005</v>
      </c>
      <c r="X275" s="68">
        <v>0</v>
      </c>
      <c r="Y275" s="70">
        <v>84800</v>
      </c>
      <c r="Z275" s="72"/>
    </row>
    <row r="276" spans="1:26" ht="15.75" hidden="1" customHeight="1" x14ac:dyDescent="0.25">
      <c r="A276" s="64">
        <v>9</v>
      </c>
      <c r="B276" s="62">
        <v>70323164</v>
      </c>
      <c r="C276" s="62" t="s">
        <v>25145</v>
      </c>
      <c r="D276" s="62" t="s">
        <v>24985</v>
      </c>
      <c r="E276" s="62" t="s">
        <v>25188</v>
      </c>
      <c r="F276" s="62" t="s">
        <v>25146</v>
      </c>
      <c r="G276" s="81" t="s">
        <v>19285</v>
      </c>
      <c r="H276" s="63">
        <v>45083</v>
      </c>
      <c r="I276" s="63">
        <v>45178</v>
      </c>
      <c r="J276" s="62">
        <v>4</v>
      </c>
      <c r="K276" s="62">
        <v>4</v>
      </c>
      <c r="L276" s="62" t="s">
        <v>19262</v>
      </c>
      <c r="M276" s="62" t="s">
        <v>19262</v>
      </c>
      <c r="N276" s="62" t="s">
        <v>19269</v>
      </c>
      <c r="O276" s="62" t="s">
        <v>3692</v>
      </c>
      <c r="P276" s="42" t="str">
        <f>+IF(O276="","",IFERROR(VLOOKUP(O276,CODIGO_DIAGNOSTICO,2,0),"CÓDIGO NO ENCONTRADO"))</f>
        <v>OTRAS ENFERMEDADES PULMONARES OBSTRUCTIVAS CRONICAS ESPECIFICADAS</v>
      </c>
      <c r="Q276" s="62" t="s">
        <v>19230</v>
      </c>
      <c r="R276" s="64"/>
      <c r="S276" s="75"/>
      <c r="T276" s="75"/>
      <c r="U276" s="65">
        <f>SUM(W276/30)</f>
        <v>42400.166666666664</v>
      </c>
      <c r="V276" s="62" t="s">
        <v>25941</v>
      </c>
      <c r="W276" s="65">
        <v>1272005</v>
      </c>
      <c r="X276" s="62">
        <v>0</v>
      </c>
      <c r="Y276" s="65">
        <v>84800</v>
      </c>
      <c r="Z276" s="73"/>
    </row>
    <row r="277" spans="1:26" ht="15.75" hidden="1" customHeight="1" x14ac:dyDescent="0.25">
      <c r="A277" s="67">
        <v>6</v>
      </c>
      <c r="B277" s="68">
        <v>70564602</v>
      </c>
      <c r="C277" s="68" t="s">
        <v>25105</v>
      </c>
      <c r="D277" s="68" t="s">
        <v>25742</v>
      </c>
      <c r="E277" s="68" t="s">
        <v>25099</v>
      </c>
      <c r="F277" s="68" t="s">
        <v>25135</v>
      </c>
      <c r="G277" s="81" t="s">
        <v>19285</v>
      </c>
      <c r="H277" s="69">
        <v>45084</v>
      </c>
      <c r="I277" s="69">
        <v>45088</v>
      </c>
      <c r="J277" s="68">
        <v>5</v>
      </c>
      <c r="K277" s="68">
        <v>5</v>
      </c>
      <c r="L277" s="68" t="s">
        <v>24995</v>
      </c>
      <c r="M277" s="68" t="s">
        <v>24995</v>
      </c>
      <c r="N277" s="62" t="s">
        <v>19269</v>
      </c>
      <c r="O277" s="68" t="s">
        <v>2627</v>
      </c>
      <c r="P277" s="42" t="str">
        <f>+IF(O277="","",IFERROR(VLOOKUP(O277,CODIGO_DIAGNOSTICO,2,0),"CÓDIGO NO ENCONTRADO"))</f>
        <v>PARALISIS DE BELL</v>
      </c>
      <c r="Q277" s="68" t="s">
        <v>19230</v>
      </c>
      <c r="R277" s="67"/>
      <c r="S277" s="77">
        <v>45090</v>
      </c>
      <c r="T277" s="76">
        <v>45090</v>
      </c>
      <c r="U277" s="65">
        <f>SUM(W277/30)</f>
        <v>42400.166666666664</v>
      </c>
      <c r="V277" s="68" t="s">
        <v>25941</v>
      </c>
      <c r="W277" s="70">
        <v>1272005</v>
      </c>
      <c r="X277" s="68">
        <v>0</v>
      </c>
      <c r="Y277" s="70">
        <v>84800</v>
      </c>
      <c r="Z277" s="72"/>
    </row>
    <row r="278" spans="1:26" ht="15.75" hidden="1" customHeight="1" x14ac:dyDescent="0.25">
      <c r="A278" s="64">
        <v>6</v>
      </c>
      <c r="B278" s="62">
        <v>91444147</v>
      </c>
      <c r="C278" s="62" t="s">
        <v>25269</v>
      </c>
      <c r="D278" s="62" t="s">
        <v>25608</v>
      </c>
      <c r="E278" s="62" t="s">
        <v>25745</v>
      </c>
      <c r="F278" s="62" t="s">
        <v>25746</v>
      </c>
      <c r="G278" s="81" t="s">
        <v>19285</v>
      </c>
      <c r="H278" s="63">
        <v>45084</v>
      </c>
      <c r="I278" s="63">
        <v>45084</v>
      </c>
      <c r="J278" s="62">
        <v>1</v>
      </c>
      <c r="K278" s="62">
        <v>1</v>
      </c>
      <c r="L278" s="62" t="s">
        <v>24995</v>
      </c>
      <c r="M278" s="62" t="s">
        <v>24995</v>
      </c>
      <c r="N278" s="62" t="s">
        <v>19269</v>
      </c>
      <c r="O278" s="62" t="s">
        <v>5226</v>
      </c>
      <c r="P278" s="42" t="str">
        <f>+IF(O278="","",IFERROR(VLOOKUP(O278,CODIGO_DIAGNOSTICO,2,0),"CÓDIGO NO ENCONTRADO"))</f>
        <v>COLICO RENAL, NO ESPECIFICADO</v>
      </c>
      <c r="Q278" s="62" t="s">
        <v>19230</v>
      </c>
      <c r="R278" s="64">
        <v>0</v>
      </c>
      <c r="S278" s="75"/>
      <c r="T278" s="75">
        <v>0</v>
      </c>
      <c r="U278" s="65">
        <f>SUM(W278/30)</f>
        <v>42400.166666666664</v>
      </c>
      <c r="V278" s="62" t="s">
        <v>25941</v>
      </c>
      <c r="W278" s="65">
        <v>1272005</v>
      </c>
      <c r="X278" s="62">
        <v>0</v>
      </c>
      <c r="Y278" s="65">
        <v>84800</v>
      </c>
      <c r="Z278" s="73"/>
    </row>
    <row r="279" spans="1:26" ht="15.75" hidden="1" customHeight="1" x14ac:dyDescent="0.25">
      <c r="A279" s="67">
        <v>6</v>
      </c>
      <c r="B279" s="68">
        <v>70133821</v>
      </c>
      <c r="C279" s="68" t="s">
        <v>25200</v>
      </c>
      <c r="D279" s="68" t="s">
        <v>25523</v>
      </c>
      <c r="E279" s="68" t="s">
        <v>25203</v>
      </c>
      <c r="F279" s="68" t="s">
        <v>25005</v>
      </c>
      <c r="G279" s="81" t="s">
        <v>19285</v>
      </c>
      <c r="H279" s="69">
        <v>45085</v>
      </c>
      <c r="I279" s="69">
        <v>45089</v>
      </c>
      <c r="J279" s="68">
        <v>5</v>
      </c>
      <c r="K279" s="68">
        <v>5</v>
      </c>
      <c r="L279" s="68" t="s">
        <v>19262</v>
      </c>
      <c r="M279" s="68" t="s">
        <v>19262</v>
      </c>
      <c r="N279" s="62" t="s">
        <v>19269</v>
      </c>
      <c r="O279" s="68" t="s">
        <v>4220</v>
      </c>
      <c r="P279" s="42" t="str">
        <f>+IF(O279="","",IFERROR(VLOOKUP(O279,CODIGO_DIAGNOSTICO,2,0),"CÓDIGO NO ENCONTRADO"))</f>
        <v>CELULITIS DE OTROS SITIOS</v>
      </c>
      <c r="Q279" s="68" t="s">
        <v>19230</v>
      </c>
      <c r="R279" s="67"/>
      <c r="S279" s="77">
        <v>45090</v>
      </c>
      <c r="T279" s="76">
        <v>45090</v>
      </c>
      <c r="U279" s="65">
        <f>SUM(W279/30)</f>
        <v>42400.166666666664</v>
      </c>
      <c r="V279" s="68" t="s">
        <v>25941</v>
      </c>
      <c r="W279" s="70">
        <v>1272005</v>
      </c>
      <c r="X279" s="68">
        <v>0</v>
      </c>
      <c r="Y279" s="70">
        <v>84800</v>
      </c>
      <c r="Z279" s="72"/>
    </row>
    <row r="280" spans="1:26" ht="15.75" hidden="1" customHeight="1" x14ac:dyDescent="0.25">
      <c r="A280" s="64">
        <v>6</v>
      </c>
      <c r="B280" s="62">
        <v>1020452896</v>
      </c>
      <c r="C280" s="62" t="s">
        <v>25114</v>
      </c>
      <c r="D280" s="62" t="s">
        <v>25197</v>
      </c>
      <c r="E280" s="62" t="s">
        <v>25198</v>
      </c>
      <c r="F280" s="62" t="s">
        <v>25010</v>
      </c>
      <c r="G280" s="81" t="s">
        <v>19285</v>
      </c>
      <c r="H280" s="63">
        <v>45086</v>
      </c>
      <c r="I280" s="63">
        <v>45090</v>
      </c>
      <c r="J280" s="62">
        <v>5</v>
      </c>
      <c r="K280" s="62">
        <v>5</v>
      </c>
      <c r="L280" s="62" t="s">
        <v>19262</v>
      </c>
      <c r="M280" s="62" t="s">
        <v>24995</v>
      </c>
      <c r="N280" s="62" t="s">
        <v>19263</v>
      </c>
      <c r="O280" s="62" t="s">
        <v>2807</v>
      </c>
      <c r="P280" s="42" t="str">
        <f>+IF(O280="","",IFERROR(VLOOKUP(O280,CODIGO_DIAGNOSTICO,2,0),"CÓDIGO NO ENCONTRADO"))</f>
        <v>INFLAMACION DEL PARPADO, NO ESPECIFICADA</v>
      </c>
      <c r="Q280" s="62" t="s">
        <v>25001</v>
      </c>
      <c r="R280" s="64"/>
      <c r="S280" s="75">
        <v>45134</v>
      </c>
      <c r="T280" s="75">
        <v>45153</v>
      </c>
      <c r="U280" s="65">
        <f>SUM(W280/30)*J280</f>
        <v>212000.83333333331</v>
      </c>
      <c r="V280" s="62" t="s">
        <v>25941</v>
      </c>
      <c r="W280" s="65">
        <v>1272005</v>
      </c>
      <c r="X280" s="62">
        <v>0</v>
      </c>
      <c r="Y280" s="65">
        <v>0</v>
      </c>
      <c r="Z280" s="73"/>
    </row>
    <row r="281" spans="1:26" ht="15.75" hidden="1" customHeight="1" x14ac:dyDescent="0.25">
      <c r="A281" s="67">
        <v>6</v>
      </c>
      <c r="B281" s="68">
        <v>42731660</v>
      </c>
      <c r="C281" s="68" t="s">
        <v>25061</v>
      </c>
      <c r="D281" s="68" t="s">
        <v>25164</v>
      </c>
      <c r="E281" s="68" t="s">
        <v>25763</v>
      </c>
      <c r="F281" s="68" t="s">
        <v>25612</v>
      </c>
      <c r="G281" s="81" t="s">
        <v>19285</v>
      </c>
      <c r="H281" s="69">
        <v>45086</v>
      </c>
      <c r="I281" s="69">
        <v>45087</v>
      </c>
      <c r="J281" s="68">
        <v>2</v>
      </c>
      <c r="K281" s="68">
        <v>2</v>
      </c>
      <c r="L281" s="68" t="s">
        <v>24995</v>
      </c>
      <c r="M281" s="68" t="s">
        <v>24995</v>
      </c>
      <c r="N281" s="62" t="s">
        <v>19269</v>
      </c>
      <c r="O281" s="68" t="s">
        <v>2592</v>
      </c>
      <c r="P281" s="42" t="str">
        <f>+IF(O281="","",IFERROR(VLOOKUP(O281,CODIGO_DIAGNOSTICO,2,0),"CÓDIGO NO ENCONTRADO"))</f>
        <v>OTRAS MIGRAÑAS</v>
      </c>
      <c r="Q281" s="68" t="s">
        <v>19230</v>
      </c>
      <c r="R281" s="67">
        <v>0</v>
      </c>
      <c r="S281" s="77"/>
      <c r="T281" s="76"/>
      <c r="U281" s="65">
        <f>SUM(W281/30)</f>
        <v>42400.166666666664</v>
      </c>
      <c r="V281" s="68" t="s">
        <v>25941</v>
      </c>
      <c r="W281" s="70">
        <v>1272005</v>
      </c>
      <c r="X281" s="68">
        <v>0</v>
      </c>
      <c r="Y281" s="70">
        <v>84800</v>
      </c>
      <c r="Z281" s="72"/>
    </row>
    <row r="282" spans="1:26" ht="15.75" hidden="1" customHeight="1" x14ac:dyDescent="0.25">
      <c r="A282" s="64">
        <v>6</v>
      </c>
      <c r="B282" s="62">
        <v>98648253</v>
      </c>
      <c r="C282" s="62" t="s">
        <v>25764</v>
      </c>
      <c r="D282" s="62" t="s">
        <v>25462</v>
      </c>
      <c r="E282" s="62" t="s">
        <v>25765</v>
      </c>
      <c r="F282" s="62" t="s">
        <v>25110</v>
      </c>
      <c r="G282" s="81" t="s">
        <v>19285</v>
      </c>
      <c r="H282" s="63">
        <v>45086</v>
      </c>
      <c r="I282" s="63">
        <v>45087</v>
      </c>
      <c r="J282" s="62">
        <v>2</v>
      </c>
      <c r="K282" s="62">
        <v>2</v>
      </c>
      <c r="L282" s="62" t="s">
        <v>24995</v>
      </c>
      <c r="M282" s="62" t="s">
        <v>24995</v>
      </c>
      <c r="N282" s="62" t="s">
        <v>19269</v>
      </c>
      <c r="O282" s="62" t="s">
        <v>12288</v>
      </c>
      <c r="P282" s="42" t="str">
        <f>+IF(O282="","",IFERROR(VLOOKUP(O282,CODIGO_DIAGNOSTICO,2,0),"CÓDIGO NO ENCONTRADO"))</f>
        <v>PERSONA EN CONTACTO CON LOS SERVICIOS DE SALUD EN CIRCUNSTANCIAS NO ESPECIFICADAS</v>
      </c>
      <c r="Q282" s="62" t="s">
        <v>19230</v>
      </c>
      <c r="R282" s="64">
        <v>0</v>
      </c>
      <c r="S282" s="75"/>
      <c r="T282" s="75"/>
      <c r="U282" s="65">
        <f>SUM(W282/30)</f>
        <v>42400.166666666664</v>
      </c>
      <c r="V282" s="62" t="s">
        <v>25941</v>
      </c>
      <c r="W282" s="65">
        <v>1272005</v>
      </c>
      <c r="X282" s="62">
        <v>0</v>
      </c>
      <c r="Y282" s="65">
        <v>84800</v>
      </c>
      <c r="Z282" s="73"/>
    </row>
    <row r="283" spans="1:26" ht="15.75" hidden="1" customHeight="1" x14ac:dyDescent="0.25">
      <c r="A283" s="67">
        <v>6</v>
      </c>
      <c r="B283" s="68">
        <v>42731660</v>
      </c>
      <c r="C283" s="68" t="s">
        <v>25061</v>
      </c>
      <c r="D283" s="68" t="s">
        <v>25164</v>
      </c>
      <c r="E283" s="68" t="s">
        <v>25763</v>
      </c>
      <c r="F283" s="68" t="s">
        <v>25612</v>
      </c>
      <c r="G283" s="81" t="s">
        <v>19285</v>
      </c>
      <c r="H283" s="69">
        <v>45088</v>
      </c>
      <c r="I283" s="69">
        <v>45088</v>
      </c>
      <c r="J283" s="68">
        <v>1</v>
      </c>
      <c r="K283" s="68">
        <v>1</v>
      </c>
      <c r="L283" s="68" t="s">
        <v>24995</v>
      </c>
      <c r="M283" s="68" t="s">
        <v>24995</v>
      </c>
      <c r="N283" s="62" t="s">
        <v>19269</v>
      </c>
      <c r="O283" s="68" t="s">
        <v>2593</v>
      </c>
      <c r="P283" s="42" t="str">
        <f>+IF(O283="","",IFERROR(VLOOKUP(O283,CODIGO_DIAGNOSTICO,2,0),"CÓDIGO NO ENCONTRADO"))</f>
        <v>MIGRAÑA, NO ESPECIFICADA</v>
      </c>
      <c r="Q283" s="68" t="s">
        <v>19230</v>
      </c>
      <c r="R283" s="67">
        <v>0</v>
      </c>
      <c r="S283" s="77"/>
      <c r="T283" s="76">
        <v>0</v>
      </c>
      <c r="U283" s="65">
        <f>SUM(W283/30)</f>
        <v>42400.166666666664</v>
      </c>
      <c r="V283" s="68" t="s">
        <v>25941</v>
      </c>
      <c r="W283" s="70">
        <v>1272005</v>
      </c>
      <c r="X283" s="68">
        <v>0</v>
      </c>
      <c r="Y283" s="70">
        <v>84800</v>
      </c>
      <c r="Z283" s="72"/>
    </row>
    <row r="284" spans="1:26" ht="15.75" hidden="1" customHeight="1" x14ac:dyDescent="0.25">
      <c r="A284" s="64">
        <v>6</v>
      </c>
      <c r="B284" s="62">
        <v>71686928</v>
      </c>
      <c r="C284" s="62" t="s">
        <v>25149</v>
      </c>
      <c r="D284" s="62" t="s">
        <v>25829</v>
      </c>
      <c r="E284" s="62" t="s">
        <v>25830</v>
      </c>
      <c r="F284" s="62" t="s">
        <v>25151</v>
      </c>
      <c r="G284" s="81" t="s">
        <v>19285</v>
      </c>
      <c r="H284" s="63">
        <v>45089</v>
      </c>
      <c r="I284" s="63">
        <v>45118</v>
      </c>
      <c r="J284" s="62">
        <v>30</v>
      </c>
      <c r="K284" s="62">
        <v>30</v>
      </c>
      <c r="L284" s="62" t="s">
        <v>19262</v>
      </c>
      <c r="M284" s="62" t="s">
        <v>19262</v>
      </c>
      <c r="N284" s="62" t="s">
        <v>19269</v>
      </c>
      <c r="O284" s="62" t="s">
        <v>7723</v>
      </c>
      <c r="P284" s="42" t="str">
        <f>+IF(O284="","",IFERROR(VLOOKUP(O284,CODIGO_DIAGNOSTICO,2,0),"CÓDIGO NO ENCONTRADO"))</f>
        <v>FRACTURA DE LA EPIFISIS SUPERIOR DE LA TIBIA</v>
      </c>
      <c r="Q284" s="62" t="s">
        <v>25025</v>
      </c>
      <c r="R284" s="64"/>
      <c r="S284" s="75">
        <v>45169</v>
      </c>
      <c r="T284" s="75">
        <v>45174</v>
      </c>
      <c r="U284" s="65">
        <f>SUM(W284/30)</f>
        <v>42400.166666666664</v>
      </c>
      <c r="V284" s="62" t="s">
        <v>25941</v>
      </c>
      <c r="W284" s="65">
        <v>1272005</v>
      </c>
      <c r="X284" s="62">
        <v>0</v>
      </c>
      <c r="Y284" s="65">
        <v>84800</v>
      </c>
      <c r="Z284" s="73"/>
    </row>
    <row r="285" spans="1:26" ht="15.75" hidden="1" customHeight="1" x14ac:dyDescent="0.25">
      <c r="A285" s="67">
        <v>6</v>
      </c>
      <c r="B285" s="68">
        <v>98601485</v>
      </c>
      <c r="C285" s="68" t="s">
        <v>25240</v>
      </c>
      <c r="D285" s="68"/>
      <c r="E285" s="68" t="s">
        <v>25241</v>
      </c>
      <c r="F285" s="68" t="s">
        <v>25103</v>
      </c>
      <c r="G285" s="81" t="s">
        <v>19285</v>
      </c>
      <c r="H285" s="69">
        <v>45089</v>
      </c>
      <c r="I285" s="69">
        <v>45102</v>
      </c>
      <c r="J285" s="68">
        <v>14</v>
      </c>
      <c r="K285" s="68">
        <v>14</v>
      </c>
      <c r="L285" s="68" t="s">
        <v>19262</v>
      </c>
      <c r="M285" s="68" t="s">
        <v>19262</v>
      </c>
      <c r="N285" s="62" t="s">
        <v>19269</v>
      </c>
      <c r="O285" s="68" t="s">
        <v>4645</v>
      </c>
      <c r="P285" s="42" t="str">
        <f>+IF(O285="","",IFERROR(VLOOKUP(O285,CODIGO_DIAGNOSTICO,2,0),"CÓDIGO NO ENCONTRADO"))</f>
        <v>OTRAS GONARTROSIS PRIMARIAS</v>
      </c>
      <c r="Q285" s="68" t="s">
        <v>26059</v>
      </c>
      <c r="R285" s="67" t="s">
        <v>25956</v>
      </c>
      <c r="S285" s="77">
        <v>45194</v>
      </c>
      <c r="T285" s="76">
        <v>45197</v>
      </c>
      <c r="U285" s="65">
        <f>SUM(W285/30)</f>
        <v>42400.166666666664</v>
      </c>
      <c r="V285" s="68" t="s">
        <v>25941</v>
      </c>
      <c r="W285" s="70">
        <v>1272005</v>
      </c>
      <c r="X285" s="68">
        <v>0</v>
      </c>
      <c r="Y285" s="70">
        <v>84800</v>
      </c>
      <c r="Z285" s="72"/>
    </row>
    <row r="286" spans="1:26" ht="15.75" hidden="1" customHeight="1" x14ac:dyDescent="0.25">
      <c r="A286" s="64">
        <v>6</v>
      </c>
      <c r="B286" s="62">
        <v>8408459</v>
      </c>
      <c r="C286" s="62" t="s">
        <v>25284</v>
      </c>
      <c r="D286" s="62" t="s">
        <v>25164</v>
      </c>
      <c r="E286" s="62" t="s">
        <v>25334</v>
      </c>
      <c r="F286" s="62" t="s">
        <v>25103</v>
      </c>
      <c r="G286" s="81" t="s">
        <v>19285</v>
      </c>
      <c r="H286" s="63">
        <v>45090</v>
      </c>
      <c r="I286" s="63">
        <v>45094</v>
      </c>
      <c r="J286" s="62">
        <v>5</v>
      </c>
      <c r="K286" s="62">
        <v>5</v>
      </c>
      <c r="L286" s="62" t="s">
        <v>24995</v>
      </c>
      <c r="M286" s="62" t="s">
        <v>24995</v>
      </c>
      <c r="N286" s="62" t="s">
        <v>19269</v>
      </c>
      <c r="O286" s="62" t="s">
        <v>1373</v>
      </c>
      <c r="P286" s="42" t="str">
        <f>+IF(O286="","",IFERROR(VLOOKUP(O286,CODIGO_DIAGNOSTICO,2,0),"CÓDIGO NO ENCONTRADO"))</f>
        <v>TUMOR BENIGNO LIPOMATOSO, DE SITIO NO ESPECIFICADO</v>
      </c>
      <c r="Q286" s="62" t="s">
        <v>19230</v>
      </c>
      <c r="R286" s="64"/>
      <c r="S286" s="75">
        <v>45120</v>
      </c>
      <c r="T286" s="75">
        <v>45128</v>
      </c>
      <c r="U286" s="65">
        <f>SUM(W286/30)</f>
        <v>42400.166666666664</v>
      </c>
      <c r="V286" s="62" t="s">
        <v>25941</v>
      </c>
      <c r="W286" s="65">
        <v>1272005</v>
      </c>
      <c r="X286" s="62">
        <v>0</v>
      </c>
      <c r="Y286" s="65">
        <v>84800</v>
      </c>
      <c r="Z286" s="73"/>
    </row>
    <row r="287" spans="1:26" ht="15.75" hidden="1" customHeight="1" x14ac:dyDescent="0.25">
      <c r="A287" s="67">
        <v>6</v>
      </c>
      <c r="B287" s="68">
        <v>1007898660</v>
      </c>
      <c r="C287" s="68" t="s">
        <v>25779</v>
      </c>
      <c r="D287" s="68" t="s">
        <v>25780</v>
      </c>
      <c r="E287" s="68" t="s">
        <v>25255</v>
      </c>
      <c r="F287" s="68" t="s">
        <v>25023</v>
      </c>
      <c r="G287" s="81" t="s">
        <v>19285</v>
      </c>
      <c r="H287" s="69">
        <v>45091</v>
      </c>
      <c r="I287" s="69">
        <v>45092</v>
      </c>
      <c r="J287" s="68">
        <v>4</v>
      </c>
      <c r="K287" s="68">
        <v>4</v>
      </c>
      <c r="L287" s="68" t="s">
        <v>24995</v>
      </c>
      <c r="M287" s="68" t="s">
        <v>24995</v>
      </c>
      <c r="N287" s="62" t="s">
        <v>19269</v>
      </c>
      <c r="O287" s="68" t="s">
        <v>5055</v>
      </c>
      <c r="P287" s="42" t="str">
        <f>+IF(O287="","",IFERROR(VLOOKUP(O287,CODIGO_DIAGNOSTICO,2,0),"CÓDIGO NO ENCONTRADO"))</f>
        <v>SINDROME DE LA ARTICULACION CONDROCOSTAL [TIETZE]</v>
      </c>
      <c r="Q287" s="68" t="s">
        <v>19231</v>
      </c>
      <c r="R287" s="67"/>
      <c r="S287" s="77"/>
      <c r="T287" s="76"/>
      <c r="U287" s="65">
        <f>SUM(W287/30)</f>
        <v>42400.166666666664</v>
      </c>
      <c r="V287" s="68" t="s">
        <v>25941</v>
      </c>
      <c r="W287" s="70">
        <v>1272005</v>
      </c>
      <c r="X287" s="68">
        <v>0</v>
      </c>
      <c r="Y287" s="70">
        <v>84800</v>
      </c>
      <c r="Z287" s="72"/>
    </row>
    <row r="288" spans="1:26" ht="15.75" hidden="1" customHeight="1" x14ac:dyDescent="0.25">
      <c r="A288" s="64">
        <v>6</v>
      </c>
      <c r="B288" s="62">
        <v>15532746</v>
      </c>
      <c r="C288" s="62" t="s">
        <v>25553</v>
      </c>
      <c r="D288" s="62" t="s">
        <v>25127</v>
      </c>
      <c r="E288" s="62" t="s">
        <v>25358</v>
      </c>
      <c r="F288" s="62" t="s">
        <v>25005</v>
      </c>
      <c r="G288" s="81" t="s">
        <v>19285</v>
      </c>
      <c r="H288" s="63">
        <v>45092</v>
      </c>
      <c r="I288" s="63">
        <v>45121</v>
      </c>
      <c r="J288" s="62">
        <v>30</v>
      </c>
      <c r="K288" s="62">
        <v>16</v>
      </c>
      <c r="L288" s="62" t="s">
        <v>19262</v>
      </c>
      <c r="M288" s="62" t="s">
        <v>19262</v>
      </c>
      <c r="N288" s="62" t="s">
        <v>19269</v>
      </c>
      <c r="O288" s="62" t="s">
        <v>7724</v>
      </c>
      <c r="P288" s="42" t="str">
        <f>+IF(O288="","",IFERROR(VLOOKUP(O288,CODIGO_DIAGNOSTICO,2,0),"CÓDIGO NO ENCONTRADO"))</f>
        <v>FRACTURA DE LA DIAFISIS DE LA TIBIA</v>
      </c>
      <c r="Q288" s="62" t="s">
        <v>25025</v>
      </c>
      <c r="R288" s="64"/>
      <c r="S288" s="75">
        <v>45107</v>
      </c>
      <c r="T288" s="75">
        <v>45121</v>
      </c>
      <c r="U288" s="65">
        <f>SUM(W288/30)</f>
        <v>42400.166666666664</v>
      </c>
      <c r="V288" s="62" t="s">
        <v>25941</v>
      </c>
      <c r="W288" s="65">
        <v>1272005</v>
      </c>
      <c r="X288" s="62">
        <v>0</v>
      </c>
      <c r="Y288" s="65">
        <v>84800</v>
      </c>
      <c r="Z288" s="73"/>
    </row>
    <row r="289" spans="1:26" ht="15.75" hidden="1" customHeight="1" x14ac:dyDescent="0.25">
      <c r="A289" s="67">
        <v>6</v>
      </c>
      <c r="B289" s="68">
        <v>1036622798</v>
      </c>
      <c r="C289" s="68" t="s">
        <v>25136</v>
      </c>
      <c r="D289" s="68" t="s">
        <v>25137</v>
      </c>
      <c r="E289" s="68" t="s">
        <v>25138</v>
      </c>
      <c r="F289" s="68" t="s">
        <v>25139</v>
      </c>
      <c r="G289" s="81" t="s">
        <v>19285</v>
      </c>
      <c r="H289" s="69">
        <v>45093</v>
      </c>
      <c r="I289" s="69">
        <v>45122</v>
      </c>
      <c r="J289" s="68">
        <v>15</v>
      </c>
      <c r="K289" s="68">
        <v>15</v>
      </c>
      <c r="L289" s="68" t="s">
        <v>24995</v>
      </c>
      <c r="M289" s="68" t="s">
        <v>19262</v>
      </c>
      <c r="N289" s="62" t="s">
        <v>19269</v>
      </c>
      <c r="O289" s="68" t="s">
        <v>7793</v>
      </c>
      <c r="P289" s="42" t="str">
        <f>+IF(O289="","",IFERROR(VLOOKUP(O289,CODIGO_DIAGNOSTICO,2,0),"CÓDIGO NO ENCONTRADO"))</f>
        <v>LUXACION DE OTROS SITIOS Y LOS NO ESPECIFICADOS DEL PIE</v>
      </c>
      <c r="Q289" s="68" t="s">
        <v>19230</v>
      </c>
      <c r="R289" s="67"/>
      <c r="S289" s="77"/>
      <c r="T289" s="76"/>
      <c r="U289" s="65">
        <f>SUM(W289/30)</f>
        <v>42400.166666666664</v>
      </c>
      <c r="V289" s="68" t="s">
        <v>25941</v>
      </c>
      <c r="W289" s="70">
        <v>1272005</v>
      </c>
      <c r="X289" s="68">
        <v>0</v>
      </c>
      <c r="Y289" s="70">
        <v>84800</v>
      </c>
      <c r="Z289" s="72"/>
    </row>
    <row r="290" spans="1:26" ht="15.75" hidden="1" customHeight="1" x14ac:dyDescent="0.25">
      <c r="A290" s="64">
        <v>6</v>
      </c>
      <c r="B290" s="62">
        <v>43826892</v>
      </c>
      <c r="C290" s="62" t="s">
        <v>25229</v>
      </c>
      <c r="D290" s="62" t="s">
        <v>25230</v>
      </c>
      <c r="E290" s="62" t="s">
        <v>25258</v>
      </c>
      <c r="F290" s="62" t="s">
        <v>25232</v>
      </c>
      <c r="G290" s="81" t="s">
        <v>19285</v>
      </c>
      <c r="H290" s="63">
        <v>45093</v>
      </c>
      <c r="I290" s="63">
        <v>45107</v>
      </c>
      <c r="J290" s="62">
        <v>15</v>
      </c>
      <c r="K290" s="62">
        <v>15</v>
      </c>
      <c r="L290" s="62" t="s">
        <v>24995</v>
      </c>
      <c r="M290" s="62" t="s">
        <v>24995</v>
      </c>
      <c r="N290" s="62" t="s">
        <v>19269</v>
      </c>
      <c r="O290" s="62" t="s">
        <v>7770</v>
      </c>
      <c r="P290" s="42" t="str">
        <f>+IF(O290="","",IFERROR(VLOOKUP(O290,CODIGO_DIAGNOSTICO,2,0),"CÓDIGO NO ENCONTRADO"))</f>
        <v>CONTUSION DEL TOBILLO</v>
      </c>
      <c r="Q290" s="62" t="s">
        <v>19232</v>
      </c>
      <c r="R290" s="64"/>
      <c r="S290" s="75">
        <v>45120</v>
      </c>
      <c r="T290" s="75">
        <v>45125</v>
      </c>
      <c r="U290" s="65">
        <f>SUM(W290/30)</f>
        <v>42400.166666666664</v>
      </c>
      <c r="V290" s="62" t="s">
        <v>25941</v>
      </c>
      <c r="W290" s="65">
        <v>1272005</v>
      </c>
      <c r="X290" s="62">
        <v>0</v>
      </c>
      <c r="Y290" s="65">
        <v>84800</v>
      </c>
      <c r="Z290" s="73"/>
    </row>
    <row r="291" spans="1:26" ht="15.75" hidden="1" customHeight="1" x14ac:dyDescent="0.25">
      <c r="A291" s="67">
        <v>6</v>
      </c>
      <c r="B291" s="68">
        <v>15309929</v>
      </c>
      <c r="C291" s="68" t="s">
        <v>25047</v>
      </c>
      <c r="D291" s="68" t="s">
        <v>25012</v>
      </c>
      <c r="E291" s="68" t="s">
        <v>25048</v>
      </c>
      <c r="F291" s="68" t="s">
        <v>25014</v>
      </c>
      <c r="G291" s="81" t="s">
        <v>19285</v>
      </c>
      <c r="H291" s="69">
        <v>45094</v>
      </c>
      <c r="I291" s="69">
        <v>45103</v>
      </c>
      <c r="J291" s="68">
        <v>10</v>
      </c>
      <c r="K291" s="68">
        <v>10</v>
      </c>
      <c r="L291" s="68" t="s">
        <v>19262</v>
      </c>
      <c r="M291" s="68" t="s">
        <v>19262</v>
      </c>
      <c r="N291" s="62" t="s">
        <v>19269</v>
      </c>
      <c r="O291" s="68" t="s">
        <v>4821</v>
      </c>
      <c r="P291" s="42" t="str">
        <f>+IF(O291="","",IFERROR(VLOOKUP(O291,CODIGO_DIAGNOSTICO,2,0),"CÓDIGO NO ENCONTRADO"))</f>
        <v>TRASTORNO DE DISCO LUMBAR Y OTROS, CON RADICULOPATIA</v>
      </c>
      <c r="Q291" s="68" t="s">
        <v>19230</v>
      </c>
      <c r="R291" s="67"/>
      <c r="S291" s="77"/>
      <c r="T291" s="76"/>
      <c r="U291" s="65">
        <f>SUM(W291/30)</f>
        <v>42400.166666666664</v>
      </c>
      <c r="V291" s="68" t="s">
        <v>25941</v>
      </c>
      <c r="W291" s="70">
        <v>1272005</v>
      </c>
      <c r="X291" s="68">
        <v>0</v>
      </c>
      <c r="Y291" s="70">
        <v>84800</v>
      </c>
      <c r="Z291" s="72"/>
    </row>
    <row r="292" spans="1:26" ht="15.75" hidden="1" customHeight="1" x14ac:dyDescent="0.25">
      <c r="A292" s="64">
        <v>6</v>
      </c>
      <c r="B292" s="62">
        <v>1035428600</v>
      </c>
      <c r="C292" s="62" t="s">
        <v>25707</v>
      </c>
      <c r="D292" s="62"/>
      <c r="E292" s="62" t="s">
        <v>25210</v>
      </c>
      <c r="F292" s="62" t="s">
        <v>25004</v>
      </c>
      <c r="G292" s="81" t="s">
        <v>19285</v>
      </c>
      <c r="H292" s="63">
        <v>45094</v>
      </c>
      <c r="I292" s="63">
        <v>45094</v>
      </c>
      <c r="J292" s="62">
        <v>1</v>
      </c>
      <c r="K292" s="62">
        <v>1</v>
      </c>
      <c r="L292" s="62" t="s">
        <v>24995</v>
      </c>
      <c r="M292" s="62" t="s">
        <v>24995</v>
      </c>
      <c r="N292" s="62" t="s">
        <v>19269</v>
      </c>
      <c r="O292" s="62" t="s">
        <v>15281</v>
      </c>
      <c r="P292" s="42" t="str">
        <f>+IF(O292="","",IFERROR(VLOOKUP(O292,CODIGO_DIAGNOSTICO,2,0),"CÓDIGO NO ENCONTRADO"))</f>
        <v>RINOFARINGITIS AGUDA (RESFRIADO COMUN)</v>
      </c>
      <c r="Q292" s="62" t="s">
        <v>19230</v>
      </c>
      <c r="R292" s="64">
        <v>0</v>
      </c>
      <c r="S292" s="75"/>
      <c r="T292" s="75">
        <v>0</v>
      </c>
      <c r="U292" s="65">
        <f>SUM(W292/30)</f>
        <v>42400.166666666664</v>
      </c>
      <c r="V292" s="62" t="s">
        <v>25941</v>
      </c>
      <c r="W292" s="65">
        <v>1272005</v>
      </c>
      <c r="X292" s="62">
        <v>0</v>
      </c>
      <c r="Y292" s="65">
        <v>84800</v>
      </c>
      <c r="Z292" s="73"/>
    </row>
    <row r="293" spans="1:26" ht="15.75" hidden="1" customHeight="1" x14ac:dyDescent="0.25">
      <c r="A293" s="67">
        <v>6</v>
      </c>
      <c r="B293" s="68">
        <v>71651935</v>
      </c>
      <c r="C293" s="68" t="s">
        <v>25635</v>
      </c>
      <c r="D293" s="68" t="s">
        <v>25480</v>
      </c>
      <c r="E293" s="68" t="s">
        <v>25282</v>
      </c>
      <c r="F293" s="68" t="s">
        <v>25028</v>
      </c>
      <c r="G293" s="81" t="s">
        <v>19285</v>
      </c>
      <c r="H293" s="69">
        <v>45094</v>
      </c>
      <c r="I293" s="69">
        <v>45098</v>
      </c>
      <c r="J293" s="68">
        <v>5</v>
      </c>
      <c r="K293" s="68">
        <v>5</v>
      </c>
      <c r="L293" s="68" t="s">
        <v>24995</v>
      </c>
      <c r="M293" s="68" t="s">
        <v>24995</v>
      </c>
      <c r="N293" s="62" t="s">
        <v>19269</v>
      </c>
      <c r="O293" s="68" t="s">
        <v>903</v>
      </c>
      <c r="P293" s="42" t="str">
        <f>+IF(O293="","",IFERROR(VLOOKUP(O293,CODIGO_DIAGNOSTICO,2,0),"CÓDIGO NO ENCONTRADO"))</f>
        <v>TUMOR MALIGNO DEL COLON, PARTE NO ESPECIFICADA</v>
      </c>
      <c r="Q293" s="68" t="s">
        <v>24996</v>
      </c>
      <c r="R293" s="67"/>
      <c r="S293" s="77"/>
      <c r="T293" s="76"/>
      <c r="U293" s="65">
        <f>SUM(W293/30)</f>
        <v>42400.166666666664</v>
      </c>
      <c r="V293" s="68" t="s">
        <v>25941</v>
      </c>
      <c r="W293" s="70">
        <v>1272005</v>
      </c>
      <c r="X293" s="68">
        <v>0</v>
      </c>
      <c r="Y293" s="70">
        <v>84800</v>
      </c>
      <c r="Z293" s="72"/>
    </row>
    <row r="294" spans="1:26" ht="15.75" hidden="1" customHeight="1" x14ac:dyDescent="0.25">
      <c r="A294" s="64">
        <v>7</v>
      </c>
      <c r="B294" s="62">
        <v>1216713788</v>
      </c>
      <c r="C294" s="62" t="s">
        <v>24987</v>
      </c>
      <c r="D294" s="62" t="s">
        <v>25687</v>
      </c>
      <c r="E294" s="62" t="s">
        <v>25089</v>
      </c>
      <c r="F294" s="62" t="s">
        <v>25066</v>
      </c>
      <c r="G294" s="81" t="s">
        <v>19285</v>
      </c>
      <c r="H294" s="63">
        <v>45096</v>
      </c>
      <c r="I294" s="63">
        <v>45125</v>
      </c>
      <c r="J294" s="62">
        <v>30</v>
      </c>
      <c r="K294" s="62">
        <v>12</v>
      </c>
      <c r="L294" s="62" t="s">
        <v>19262</v>
      </c>
      <c r="M294" s="62" t="s">
        <v>19262</v>
      </c>
      <c r="N294" s="62" t="s">
        <v>19263</v>
      </c>
      <c r="O294" s="62" t="s">
        <v>4693</v>
      </c>
      <c r="P294" s="42" t="str">
        <f>+IF(O294="","",IFERROR(VLOOKUP(O294,CODIGO_DIAGNOSTICO,2,0),"CÓDIGO NO ENCONTRADO"))</f>
        <v>OTRA RUPTURA ESPONTANEA DEL (DE LOS) LIGAMENTO(S) DE LA RODILLA</v>
      </c>
      <c r="Q294" s="62" t="s">
        <v>25001</v>
      </c>
      <c r="R294" s="64">
        <v>6882739</v>
      </c>
      <c r="S294" s="75">
        <v>45134</v>
      </c>
      <c r="T294" s="75">
        <v>45153</v>
      </c>
      <c r="U294" s="65">
        <f>SUM(W294/30)*J294</f>
        <v>1272005</v>
      </c>
      <c r="V294" s="62" t="s">
        <v>25941</v>
      </c>
      <c r="W294" s="65">
        <v>1272005</v>
      </c>
      <c r="X294" s="62">
        <v>0</v>
      </c>
      <c r="Y294" s="65">
        <v>0</v>
      </c>
      <c r="Z294" s="73"/>
    </row>
    <row r="295" spans="1:26" ht="15.75" hidden="1" customHeight="1" x14ac:dyDescent="0.25">
      <c r="A295" s="67">
        <v>6</v>
      </c>
      <c r="B295" s="68">
        <v>1045079803</v>
      </c>
      <c r="C295" s="68" t="s">
        <v>25274</v>
      </c>
      <c r="D295" s="68" t="s">
        <v>25950</v>
      </c>
      <c r="E295" s="68" t="s">
        <v>19278</v>
      </c>
      <c r="F295" s="68" t="s">
        <v>24986</v>
      </c>
      <c r="G295" s="81" t="s">
        <v>19285</v>
      </c>
      <c r="H295" s="69">
        <v>45096</v>
      </c>
      <c r="I295" s="69">
        <v>45109</v>
      </c>
      <c r="J295" s="68">
        <v>14</v>
      </c>
      <c r="K295" s="68">
        <v>14</v>
      </c>
      <c r="L295" s="68" t="s">
        <v>24995</v>
      </c>
      <c r="M295" s="68" t="s">
        <v>24995</v>
      </c>
      <c r="N295" s="62" t="s">
        <v>19269</v>
      </c>
      <c r="O295" s="68" t="s">
        <v>7826</v>
      </c>
      <c r="P295" s="42" t="str">
        <f>+IF(O295="","",IFERROR(VLOOKUP(O295,CODIGO_DIAGNOSTICO,2,0),"CÓDIGO NO ENCONTRADO"))</f>
        <v>TRAUMATISMO DEL PIE Y DEL TOBILLO, NO ESPECIFICADO</v>
      </c>
      <c r="Q295" s="68" t="s">
        <v>24996</v>
      </c>
      <c r="R295" s="67"/>
      <c r="S295" s="77">
        <v>45110</v>
      </c>
      <c r="T295" s="76">
        <v>45135</v>
      </c>
      <c r="U295" s="65">
        <f>SUM(W295/30)</f>
        <v>42400.166666666664</v>
      </c>
      <c r="V295" s="68" t="s">
        <v>25941</v>
      </c>
      <c r="W295" s="70">
        <v>1272005</v>
      </c>
      <c r="X295" s="68">
        <v>0</v>
      </c>
      <c r="Y295" s="70">
        <v>84800</v>
      </c>
      <c r="Z295" s="72"/>
    </row>
    <row r="296" spans="1:26" ht="15.75" hidden="1" customHeight="1" x14ac:dyDescent="0.25">
      <c r="A296" s="64">
        <v>6</v>
      </c>
      <c r="B296" s="62">
        <v>71375285</v>
      </c>
      <c r="C296" s="62" t="s">
        <v>25319</v>
      </c>
      <c r="D296" s="62" t="s">
        <v>25248</v>
      </c>
      <c r="E296" s="62" t="s">
        <v>25474</v>
      </c>
      <c r="F296" s="62"/>
      <c r="G296" s="81" t="s">
        <v>19285</v>
      </c>
      <c r="H296" s="63">
        <v>45099</v>
      </c>
      <c r="I296" s="63">
        <v>45099</v>
      </c>
      <c r="J296" s="62">
        <v>1</v>
      </c>
      <c r="K296" s="62">
        <v>1</v>
      </c>
      <c r="L296" s="62" t="s">
        <v>24995</v>
      </c>
      <c r="M296" s="62" t="s">
        <v>24995</v>
      </c>
      <c r="N296" s="62" t="s">
        <v>19269</v>
      </c>
      <c r="O296" s="62" t="s">
        <v>88</v>
      </c>
      <c r="P296" s="42" t="str">
        <f>+IF(O296="","",IFERROR(VLOOKUP(O296,CODIGO_DIAGNOSTICO,2,0),"CÓDIGO NO ENCONTRADO"))</f>
        <v>DIARREA Y GASTROENTERITIS DE PRESUNTO ORIGEN INFECCIOSO</v>
      </c>
      <c r="Q296" s="62" t="s">
        <v>19230</v>
      </c>
      <c r="R296" s="64">
        <v>0</v>
      </c>
      <c r="S296" s="75"/>
      <c r="T296" s="75">
        <v>0</v>
      </c>
      <c r="U296" s="65">
        <f>SUM(W296/30)</f>
        <v>42400.166666666664</v>
      </c>
      <c r="V296" s="62" t="s">
        <v>25941</v>
      </c>
      <c r="W296" s="65">
        <v>1272005</v>
      </c>
      <c r="X296" s="62">
        <v>0</v>
      </c>
      <c r="Y296" s="65">
        <v>84800</v>
      </c>
      <c r="Z296" s="73"/>
    </row>
    <row r="297" spans="1:26" ht="15.75" hidden="1" customHeight="1" x14ac:dyDescent="0.25">
      <c r="A297" s="67">
        <v>6</v>
      </c>
      <c r="B297" s="68">
        <v>1067892509</v>
      </c>
      <c r="C297" s="68" t="s">
        <v>25247</v>
      </c>
      <c r="D297" s="68" t="s">
        <v>25312</v>
      </c>
      <c r="E297" s="68" t="s">
        <v>25808</v>
      </c>
      <c r="F297" s="68" t="s">
        <v>25809</v>
      </c>
      <c r="G297" s="81" t="s">
        <v>19285</v>
      </c>
      <c r="H297" s="69">
        <v>45099</v>
      </c>
      <c r="I297" s="69">
        <v>45128</v>
      </c>
      <c r="J297" s="68">
        <v>30</v>
      </c>
      <c r="K297" s="68">
        <v>9</v>
      </c>
      <c r="L297" s="68" t="s">
        <v>24995</v>
      </c>
      <c r="M297" s="68" t="s">
        <v>19262</v>
      </c>
      <c r="N297" s="62" t="s">
        <v>19263</v>
      </c>
      <c r="O297" s="68" t="s">
        <v>7723</v>
      </c>
      <c r="P297" s="42" t="str">
        <f>+IF(O297="","",IFERROR(VLOOKUP(O297,CODIGO_DIAGNOSTICO,2,0),"CÓDIGO NO ENCONTRADO"))</f>
        <v>FRACTURA DE LA EPIFISIS SUPERIOR DE LA TIBIA</v>
      </c>
      <c r="Q297" s="68" t="s">
        <v>25001</v>
      </c>
      <c r="R297" s="67"/>
      <c r="S297" s="77">
        <v>45120</v>
      </c>
      <c r="T297" s="76">
        <v>45111</v>
      </c>
      <c r="U297" s="65">
        <f>SUM(W297/30)*J297</f>
        <v>1272005</v>
      </c>
      <c r="V297" s="68" t="s">
        <v>25941</v>
      </c>
      <c r="W297" s="70">
        <v>1272005</v>
      </c>
      <c r="X297" s="68">
        <v>0</v>
      </c>
      <c r="Y297" s="70">
        <v>0</v>
      </c>
      <c r="Z297" s="72"/>
    </row>
    <row r="298" spans="1:26" ht="15.75" hidden="1" customHeight="1" x14ac:dyDescent="0.25">
      <c r="A298" s="64">
        <v>6</v>
      </c>
      <c r="B298" s="62">
        <v>71651935</v>
      </c>
      <c r="C298" s="62" t="s">
        <v>25635</v>
      </c>
      <c r="D298" s="62" t="s">
        <v>25480</v>
      </c>
      <c r="E298" s="62" t="s">
        <v>25282</v>
      </c>
      <c r="F298" s="62" t="s">
        <v>25028</v>
      </c>
      <c r="G298" s="81" t="s">
        <v>19285</v>
      </c>
      <c r="H298" s="63">
        <v>45099</v>
      </c>
      <c r="I298" s="63">
        <v>45128</v>
      </c>
      <c r="J298" s="62">
        <v>30</v>
      </c>
      <c r="K298" s="62">
        <v>9</v>
      </c>
      <c r="L298" s="62" t="s">
        <v>24995</v>
      </c>
      <c r="M298" s="62" t="s">
        <v>19262</v>
      </c>
      <c r="N298" s="62" t="s">
        <v>19269</v>
      </c>
      <c r="O298" s="62" t="s">
        <v>903</v>
      </c>
      <c r="P298" s="42" t="str">
        <f>+IF(O298="","",IFERROR(VLOOKUP(O298,CODIGO_DIAGNOSTICO,2,0),"CÓDIGO NO ENCONTRADO"))</f>
        <v>TUMOR MALIGNO DEL COLON, PARTE NO ESPECIFICADA</v>
      </c>
      <c r="Q298" s="62" t="s">
        <v>24996</v>
      </c>
      <c r="R298" s="64"/>
      <c r="S298" s="75"/>
      <c r="T298" s="75"/>
      <c r="U298" s="65">
        <f>SUM(W298/30)</f>
        <v>42400.166666666664</v>
      </c>
      <c r="V298" s="62" t="s">
        <v>25941</v>
      </c>
      <c r="W298" s="65">
        <v>1272005</v>
      </c>
      <c r="X298" s="62">
        <v>0</v>
      </c>
      <c r="Y298" s="65">
        <v>84800</v>
      </c>
      <c r="Z298" s="73"/>
    </row>
    <row r="299" spans="1:26" ht="15.75" hidden="1" customHeight="1" x14ac:dyDescent="0.25">
      <c r="A299" s="67">
        <v>6</v>
      </c>
      <c r="B299" s="68">
        <v>71389171</v>
      </c>
      <c r="C299" s="68" t="s">
        <v>25459</v>
      </c>
      <c r="D299" s="68" t="s">
        <v>25703</v>
      </c>
      <c r="E299" s="68" t="s">
        <v>25795</v>
      </c>
      <c r="F299" s="68" t="s">
        <v>25504</v>
      </c>
      <c r="G299" s="81" t="s">
        <v>19285</v>
      </c>
      <c r="H299" s="69">
        <v>45100</v>
      </c>
      <c r="I299" s="69">
        <v>45102</v>
      </c>
      <c r="J299" s="68">
        <v>3</v>
      </c>
      <c r="K299" s="68">
        <v>3</v>
      </c>
      <c r="L299" s="68" t="s">
        <v>24995</v>
      </c>
      <c r="M299" s="68" t="s">
        <v>24995</v>
      </c>
      <c r="N299" s="62" t="s">
        <v>19269</v>
      </c>
      <c r="O299" s="68" t="s">
        <v>5226</v>
      </c>
      <c r="P299" s="42" t="str">
        <f>+IF(O299="","",IFERROR(VLOOKUP(O299,CODIGO_DIAGNOSTICO,2,0),"CÓDIGO NO ENCONTRADO"))</f>
        <v>COLICO RENAL, NO ESPECIFICADO</v>
      </c>
      <c r="Q299" s="68" t="s">
        <v>19230</v>
      </c>
      <c r="R299" s="67"/>
      <c r="S299" s="77">
        <v>45105</v>
      </c>
      <c r="T299" s="76">
        <v>45111</v>
      </c>
      <c r="U299" s="65">
        <f>SUM(W299/30)</f>
        <v>42400.166666666664</v>
      </c>
      <c r="V299" s="68" t="s">
        <v>25941</v>
      </c>
      <c r="W299" s="70">
        <v>1272005</v>
      </c>
      <c r="X299" s="68">
        <v>0</v>
      </c>
      <c r="Y299" s="70">
        <v>84800</v>
      </c>
      <c r="Z299" s="72"/>
    </row>
    <row r="300" spans="1:26" ht="15.75" hidden="1" customHeight="1" x14ac:dyDescent="0.25">
      <c r="A300" s="64">
        <v>6</v>
      </c>
      <c r="B300" s="62">
        <v>1214716619</v>
      </c>
      <c r="C300" s="62" t="s">
        <v>25219</v>
      </c>
      <c r="D300" s="62" t="s">
        <v>25456</v>
      </c>
      <c r="E300" s="62" t="s">
        <v>25797</v>
      </c>
      <c r="F300" s="62"/>
      <c r="G300" s="81" t="s">
        <v>19285</v>
      </c>
      <c r="H300" s="63">
        <v>45100</v>
      </c>
      <c r="I300" s="63">
        <v>45105</v>
      </c>
      <c r="J300" s="62">
        <v>6</v>
      </c>
      <c r="K300" s="62">
        <v>6</v>
      </c>
      <c r="L300" s="62" t="s">
        <v>24995</v>
      </c>
      <c r="M300" s="62" t="s">
        <v>24995</v>
      </c>
      <c r="N300" s="62" t="s">
        <v>19263</v>
      </c>
      <c r="O300" s="62" t="s">
        <v>7794</v>
      </c>
      <c r="P300" s="42" t="str">
        <f>+IF(O300="","",IFERROR(VLOOKUP(O300,CODIGO_DIAGNOSTICO,2,0),"CÓDIGO NO ENCONTRADO"))</f>
        <v>ESGUINCES Y TORCEDURAS DEL TOBILLO</v>
      </c>
      <c r="Q300" s="62" t="s">
        <v>25001</v>
      </c>
      <c r="R300" s="64">
        <v>6872284</v>
      </c>
      <c r="S300" s="75">
        <v>45121</v>
      </c>
      <c r="T300" s="75">
        <v>45135</v>
      </c>
      <c r="U300" s="65">
        <f>SUM(W300/30)*J300</f>
        <v>254401</v>
      </c>
      <c r="V300" s="62" t="s">
        <v>25941</v>
      </c>
      <c r="W300" s="65">
        <v>1272005</v>
      </c>
      <c r="X300" s="62">
        <v>0</v>
      </c>
      <c r="Y300" s="65">
        <v>0</v>
      </c>
      <c r="Z300" s="73"/>
    </row>
    <row r="301" spans="1:26" ht="15.75" hidden="1" customHeight="1" x14ac:dyDescent="0.25">
      <c r="A301" s="67">
        <v>6</v>
      </c>
      <c r="B301" s="68">
        <v>70323164</v>
      </c>
      <c r="C301" s="68" t="s">
        <v>25145</v>
      </c>
      <c r="D301" s="68" t="s">
        <v>25062</v>
      </c>
      <c r="E301" s="68" t="s">
        <v>25091</v>
      </c>
      <c r="F301" s="68" t="s">
        <v>25146</v>
      </c>
      <c r="G301" s="81" t="s">
        <v>19285</v>
      </c>
      <c r="H301" s="69">
        <v>45102</v>
      </c>
      <c r="I301" s="69">
        <v>45116</v>
      </c>
      <c r="J301" s="68">
        <v>15</v>
      </c>
      <c r="K301" s="68">
        <v>5</v>
      </c>
      <c r="L301" s="68" t="s">
        <v>24995</v>
      </c>
      <c r="M301" s="68" t="s">
        <v>24995</v>
      </c>
      <c r="N301" s="62" t="s">
        <v>19269</v>
      </c>
      <c r="O301" s="68" t="s">
        <v>92</v>
      </c>
      <c r="P301" s="42" t="str">
        <f>+IF(O301="","",IFERROR(VLOOKUP(O301,CODIGO_DIAGNOSTICO,2,0),"CÓDIGO NO ENCONTRADO"))</f>
        <v>TUBERCULOSIS DEL PULMON , CONFIRMADA POR MEDIOS NO ESPECIFICADOS</v>
      </c>
      <c r="Q301" s="68" t="s">
        <v>19230</v>
      </c>
      <c r="R301" s="67"/>
      <c r="S301" s="77"/>
      <c r="T301" s="76"/>
      <c r="U301" s="65">
        <f>SUM(W301/30)</f>
        <v>42400.166666666664</v>
      </c>
      <c r="V301" s="68" t="s">
        <v>25941</v>
      </c>
      <c r="W301" s="70">
        <v>1272005</v>
      </c>
      <c r="X301" s="68">
        <v>0</v>
      </c>
      <c r="Y301" s="70">
        <v>84800</v>
      </c>
      <c r="Z301" s="72"/>
    </row>
    <row r="302" spans="1:26" ht="15.75" hidden="1" customHeight="1" x14ac:dyDescent="0.25">
      <c r="A302" s="64">
        <v>6</v>
      </c>
      <c r="B302" s="62">
        <v>98502364</v>
      </c>
      <c r="C302" s="62" t="s">
        <v>25792</v>
      </c>
      <c r="D302" s="62" t="s">
        <v>25498</v>
      </c>
      <c r="E302" s="62" t="s">
        <v>25793</v>
      </c>
      <c r="F302" s="62" t="s">
        <v>25110</v>
      </c>
      <c r="G302" s="81" t="s">
        <v>19285</v>
      </c>
      <c r="H302" s="63">
        <v>45102</v>
      </c>
      <c r="I302" s="63">
        <v>45103</v>
      </c>
      <c r="J302" s="62">
        <v>1</v>
      </c>
      <c r="K302" s="62">
        <v>1</v>
      </c>
      <c r="L302" s="62" t="s">
        <v>24995</v>
      </c>
      <c r="M302" s="62" t="s">
        <v>24995</v>
      </c>
      <c r="N302" s="62" t="s">
        <v>19269</v>
      </c>
      <c r="O302" s="62" t="s">
        <v>2866</v>
      </c>
      <c r="P302" s="42" t="str">
        <f>+IF(O302="","",IFERROR(VLOOKUP(O302,CODIGO_DIAGNOSTICO,2,0),"CÓDIGO NO ENCONTRADO"))</f>
        <v>ULCERA DE LA CORNEA</v>
      </c>
      <c r="Q302" s="62" t="s">
        <v>19230</v>
      </c>
      <c r="R302" s="64">
        <v>0</v>
      </c>
      <c r="S302" s="75"/>
      <c r="T302" s="75">
        <v>0</v>
      </c>
      <c r="U302" s="65">
        <f>SUM(W302/30)</f>
        <v>42400.166666666664</v>
      </c>
      <c r="V302" s="62" t="s">
        <v>25941</v>
      </c>
      <c r="W302" s="65">
        <v>1272005</v>
      </c>
      <c r="X302" s="62">
        <v>0</v>
      </c>
      <c r="Y302" s="65">
        <v>84800</v>
      </c>
      <c r="Z302" s="73"/>
    </row>
    <row r="303" spans="1:26" ht="15.75" hidden="1" customHeight="1" x14ac:dyDescent="0.25">
      <c r="A303" s="67">
        <v>6</v>
      </c>
      <c r="B303" s="68">
        <v>8156170</v>
      </c>
      <c r="C303" s="68" t="s">
        <v>25061</v>
      </c>
      <c r="D303" s="68" t="s">
        <v>25062</v>
      </c>
      <c r="E303" s="68" t="s">
        <v>25063</v>
      </c>
      <c r="F303" s="68" t="s">
        <v>25064</v>
      </c>
      <c r="G303" s="81" t="s">
        <v>19285</v>
      </c>
      <c r="H303" s="69">
        <v>45102</v>
      </c>
      <c r="I303" s="69">
        <v>45103</v>
      </c>
      <c r="J303" s="68">
        <v>2</v>
      </c>
      <c r="K303" s="68">
        <v>2</v>
      </c>
      <c r="L303" s="68" t="s">
        <v>24995</v>
      </c>
      <c r="M303" s="68" t="s">
        <v>24995</v>
      </c>
      <c r="N303" s="62" t="s">
        <v>19269</v>
      </c>
      <c r="O303" s="68" t="s">
        <v>4043</v>
      </c>
      <c r="P303" s="42" t="str">
        <f>+IF(O303="","",IFERROR(VLOOKUP(O303,CODIGO_DIAGNOSTICO,2,0),"CÓDIGO NO ENCONTRADO"))</f>
        <v>ENFERMEDAD DIVERTICULAR DEL INTESTINO GRUESO SIN PERFORACION NI ABSCESO</v>
      </c>
      <c r="Q303" s="68" t="s">
        <v>19230</v>
      </c>
      <c r="R303" s="67">
        <v>0</v>
      </c>
      <c r="S303" s="77"/>
      <c r="T303" s="76"/>
      <c r="U303" s="65">
        <f>SUM(W303/30)</f>
        <v>42400.166666666664</v>
      </c>
      <c r="V303" s="68" t="s">
        <v>25941</v>
      </c>
      <c r="W303" s="70">
        <v>1272005</v>
      </c>
      <c r="X303" s="68">
        <v>0</v>
      </c>
      <c r="Y303" s="70">
        <v>84800</v>
      </c>
      <c r="Z303" s="72"/>
    </row>
    <row r="304" spans="1:26" ht="15.75" hidden="1" customHeight="1" x14ac:dyDescent="0.25">
      <c r="A304" s="64">
        <v>6</v>
      </c>
      <c r="B304" s="62">
        <v>3669363</v>
      </c>
      <c r="C304" s="62" t="s">
        <v>25173</v>
      </c>
      <c r="D304" s="62" t="s">
        <v>24983</v>
      </c>
      <c r="E304" s="62" t="s">
        <v>25032</v>
      </c>
      <c r="F304" s="62" t="s">
        <v>25103</v>
      </c>
      <c r="G304" s="81" t="s">
        <v>19285</v>
      </c>
      <c r="H304" s="63">
        <v>45103</v>
      </c>
      <c r="I304" s="63">
        <v>45107</v>
      </c>
      <c r="J304" s="62">
        <v>5</v>
      </c>
      <c r="K304" s="62">
        <v>5</v>
      </c>
      <c r="L304" s="62" t="s">
        <v>19262</v>
      </c>
      <c r="M304" s="62" t="s">
        <v>19262</v>
      </c>
      <c r="N304" s="62" t="s">
        <v>19269</v>
      </c>
      <c r="O304" s="62" t="s">
        <v>4647</v>
      </c>
      <c r="P304" s="42" t="str">
        <f>+IF(O304="","",IFERROR(VLOOKUP(O304,CODIGO_DIAGNOSTICO,2,0),"CÓDIGO NO ENCONTRADO"))</f>
        <v>OTRAS GONARTROSIS POSTRAUMATICAS</v>
      </c>
      <c r="Q304" s="62" t="s">
        <v>19230</v>
      </c>
      <c r="R304" s="64"/>
      <c r="S304" s="75"/>
      <c r="T304" s="75"/>
      <c r="U304" s="65">
        <f>SUM(W304/30)</f>
        <v>42400.166666666664</v>
      </c>
      <c r="V304" s="62" t="s">
        <v>25941</v>
      </c>
      <c r="W304" s="65">
        <v>1272005</v>
      </c>
      <c r="X304" s="62">
        <v>0</v>
      </c>
      <c r="Y304" s="65">
        <v>84800</v>
      </c>
      <c r="Z304" s="73"/>
    </row>
    <row r="305" spans="1:26" ht="15.75" hidden="1" customHeight="1" x14ac:dyDescent="0.25">
      <c r="A305" s="67">
        <v>6</v>
      </c>
      <c r="B305" s="68">
        <v>98601485</v>
      </c>
      <c r="C305" s="68" t="s">
        <v>25240</v>
      </c>
      <c r="D305" s="68"/>
      <c r="E305" s="68" t="s">
        <v>25241</v>
      </c>
      <c r="F305" s="68" t="s">
        <v>25103</v>
      </c>
      <c r="G305" s="81" t="s">
        <v>19285</v>
      </c>
      <c r="H305" s="69">
        <v>45103</v>
      </c>
      <c r="I305" s="69">
        <v>45106</v>
      </c>
      <c r="J305" s="68">
        <v>4</v>
      </c>
      <c r="K305" s="68">
        <v>4</v>
      </c>
      <c r="L305" s="68" t="s">
        <v>19262</v>
      </c>
      <c r="M305" s="68" t="s">
        <v>19262</v>
      </c>
      <c r="N305" s="62" t="s">
        <v>19269</v>
      </c>
      <c r="O305" s="68" t="s">
        <v>4645</v>
      </c>
      <c r="P305" s="42" t="str">
        <f>+IF(O305="","",IFERROR(VLOOKUP(O305,CODIGO_DIAGNOSTICO,2,0),"CÓDIGO NO ENCONTRADO"))</f>
        <v>OTRAS GONARTROSIS PRIMARIAS</v>
      </c>
      <c r="Q305" s="68" t="s">
        <v>19230</v>
      </c>
      <c r="R305" s="67"/>
      <c r="S305" s="77">
        <v>45105</v>
      </c>
      <c r="T305" s="76">
        <v>45111</v>
      </c>
      <c r="U305" s="65">
        <f>SUM(W305/30)</f>
        <v>42400.166666666664</v>
      </c>
      <c r="V305" s="68" t="s">
        <v>25941</v>
      </c>
      <c r="W305" s="70">
        <v>1272005</v>
      </c>
      <c r="X305" s="68">
        <v>0</v>
      </c>
      <c r="Y305" s="70">
        <v>84800</v>
      </c>
      <c r="Z305" s="72"/>
    </row>
    <row r="306" spans="1:26" ht="15.75" hidden="1" customHeight="1" x14ac:dyDescent="0.25">
      <c r="A306" s="64">
        <v>6</v>
      </c>
      <c r="B306" s="62">
        <v>71601851</v>
      </c>
      <c r="C306" s="62" t="s">
        <v>25340</v>
      </c>
      <c r="D306" s="62" t="s">
        <v>25179</v>
      </c>
      <c r="E306" s="62" t="s">
        <v>25466</v>
      </c>
      <c r="F306" s="62" t="s">
        <v>25023</v>
      </c>
      <c r="G306" s="81" t="s">
        <v>19285</v>
      </c>
      <c r="H306" s="63">
        <v>45103</v>
      </c>
      <c r="I306" s="63">
        <v>45112</v>
      </c>
      <c r="J306" s="62">
        <v>10</v>
      </c>
      <c r="K306" s="62">
        <v>5</v>
      </c>
      <c r="L306" s="62" t="s">
        <v>19262</v>
      </c>
      <c r="M306" s="62" t="s">
        <v>19262</v>
      </c>
      <c r="N306" s="62" t="s">
        <v>19269</v>
      </c>
      <c r="O306" s="62" t="s">
        <v>4650</v>
      </c>
      <c r="P306" s="42" t="str">
        <f>+IF(O306="","",IFERROR(VLOOKUP(O306,CODIGO_DIAGNOSTICO,2,0),"CÓDIGO NO ENCONTRADO"))</f>
        <v>GONARTROSIS, NO ESPECIFICADA</v>
      </c>
      <c r="Q306" s="62" t="s">
        <v>19231</v>
      </c>
      <c r="R306" s="64"/>
      <c r="S306" s="75"/>
      <c r="T306" s="75"/>
      <c r="U306" s="65">
        <f>SUM(W306/30)</f>
        <v>42400.166666666664</v>
      </c>
      <c r="V306" s="62" t="s">
        <v>25941</v>
      </c>
      <c r="W306" s="65">
        <v>1272005</v>
      </c>
      <c r="X306" s="62">
        <v>0</v>
      </c>
      <c r="Y306" s="65">
        <v>84800</v>
      </c>
      <c r="Z306" s="73"/>
    </row>
    <row r="307" spans="1:26" ht="15.75" hidden="1" customHeight="1" x14ac:dyDescent="0.25">
      <c r="A307" s="67">
        <v>6</v>
      </c>
      <c r="B307" s="68">
        <v>1128472662</v>
      </c>
      <c r="C307" s="68" t="s">
        <v>25553</v>
      </c>
      <c r="D307" s="68" t="s">
        <v>25153</v>
      </c>
      <c r="E307" s="68" t="s">
        <v>25282</v>
      </c>
      <c r="F307" s="68" t="s">
        <v>25177</v>
      </c>
      <c r="G307" s="81" t="s">
        <v>19285</v>
      </c>
      <c r="H307" s="69">
        <v>45103</v>
      </c>
      <c r="I307" s="69">
        <v>45110</v>
      </c>
      <c r="J307" s="68">
        <v>8</v>
      </c>
      <c r="K307" s="68">
        <v>5</v>
      </c>
      <c r="L307" s="68" t="s">
        <v>24995</v>
      </c>
      <c r="M307" s="68" t="s">
        <v>24995</v>
      </c>
      <c r="N307" s="62" t="s">
        <v>19269</v>
      </c>
      <c r="O307" s="68" t="s">
        <v>1130</v>
      </c>
      <c r="P307" s="42" t="str">
        <f>+IF(O307="","",IFERROR(VLOOKUP(O307,CODIGO_DIAGNOSTICO,2,0),"CÓDIGO NO ENCONTRADO"))</f>
        <v>TUMOR MALIGNO DE LA GLANDULA TIROIDES</v>
      </c>
      <c r="Q307" s="68" t="s">
        <v>26152</v>
      </c>
      <c r="R307" s="67"/>
      <c r="S307" s="77">
        <v>45135</v>
      </c>
      <c r="T307" s="76">
        <v>45153</v>
      </c>
      <c r="U307" s="65">
        <f>SUM(W307/30)</f>
        <v>42400.166666666664</v>
      </c>
      <c r="V307" s="68" t="s">
        <v>25941</v>
      </c>
      <c r="W307" s="70">
        <v>1272005</v>
      </c>
      <c r="X307" s="68">
        <v>0</v>
      </c>
      <c r="Y307" s="70">
        <v>84800</v>
      </c>
      <c r="Z307" s="72"/>
    </row>
    <row r="308" spans="1:26" ht="15.75" hidden="1" customHeight="1" x14ac:dyDescent="0.25">
      <c r="A308" s="64">
        <v>6</v>
      </c>
      <c r="B308" s="62">
        <v>1001473829</v>
      </c>
      <c r="C308" s="62" t="s">
        <v>25796</v>
      </c>
      <c r="D308" s="62" t="s">
        <v>25796</v>
      </c>
      <c r="E308" s="62" t="s">
        <v>25091</v>
      </c>
      <c r="F308" s="62" t="s">
        <v>25711</v>
      </c>
      <c r="G308" s="81" t="s">
        <v>19285</v>
      </c>
      <c r="H308" s="63">
        <v>45104</v>
      </c>
      <c r="I308" s="63">
        <v>45105</v>
      </c>
      <c r="J308" s="62">
        <v>2</v>
      </c>
      <c r="K308" s="62">
        <v>2</v>
      </c>
      <c r="L308" s="62" t="s">
        <v>24995</v>
      </c>
      <c r="M308" s="62" t="s">
        <v>24995</v>
      </c>
      <c r="N308" s="62" t="s">
        <v>19269</v>
      </c>
      <c r="O308" s="62" t="s">
        <v>3573</v>
      </c>
      <c r="P308" s="42" t="str">
        <f>+IF(O308="","",IFERROR(VLOOKUP(O308,CODIGO_DIAGNOSTICO,2,0),"CÓDIGO NO ENCONTRADO"))</f>
        <v>AMIGDALITIS ESTREPTOCOCICA</v>
      </c>
      <c r="Q308" s="62" t="s">
        <v>19230</v>
      </c>
      <c r="R308" s="64">
        <v>0</v>
      </c>
      <c r="S308" s="75"/>
      <c r="T308" s="75"/>
      <c r="U308" s="65">
        <f>SUM(W308/30)</f>
        <v>42400.166666666664</v>
      </c>
      <c r="V308" s="62" t="s">
        <v>25941</v>
      </c>
      <c r="W308" s="65">
        <v>1272005</v>
      </c>
      <c r="X308" s="62">
        <v>0</v>
      </c>
      <c r="Y308" s="65">
        <v>84800</v>
      </c>
      <c r="Z308" s="73"/>
    </row>
    <row r="309" spans="1:26" ht="15.75" hidden="1" customHeight="1" x14ac:dyDescent="0.25">
      <c r="A309" s="67">
        <v>6</v>
      </c>
      <c r="B309" s="68">
        <v>8156170</v>
      </c>
      <c r="C309" s="68" t="s">
        <v>25061</v>
      </c>
      <c r="D309" s="68" t="s">
        <v>25062</v>
      </c>
      <c r="E309" s="68" t="s">
        <v>25063</v>
      </c>
      <c r="F309" s="68" t="s">
        <v>25064</v>
      </c>
      <c r="G309" s="81" t="s">
        <v>19285</v>
      </c>
      <c r="H309" s="69">
        <v>45104</v>
      </c>
      <c r="I309" s="69">
        <v>45115</v>
      </c>
      <c r="J309" s="68">
        <v>12</v>
      </c>
      <c r="K309" s="68">
        <v>4</v>
      </c>
      <c r="L309" s="68" t="s">
        <v>24995</v>
      </c>
      <c r="M309" s="68" t="s">
        <v>24995</v>
      </c>
      <c r="N309" s="62" t="s">
        <v>19269</v>
      </c>
      <c r="O309" s="68" t="s">
        <v>6939</v>
      </c>
      <c r="P309" s="42" t="str">
        <f>+IF(O309="","",IFERROR(VLOOKUP(O309,CODIGO_DIAGNOSTICO,2,0),"CÓDIGO NO ENCONTRADO"))</f>
        <v>OTROS DOLORES ABDOMINALES Y LOS NO ESPECIFICADOS</v>
      </c>
      <c r="Q309" s="68" t="s">
        <v>19230</v>
      </c>
      <c r="R309" s="67"/>
      <c r="S309" s="77">
        <v>45107</v>
      </c>
      <c r="T309" s="76">
        <v>45114</v>
      </c>
      <c r="U309" s="65">
        <f>SUM(W309/30)</f>
        <v>42400.166666666664</v>
      </c>
      <c r="V309" s="68" t="s">
        <v>25941</v>
      </c>
      <c r="W309" s="70">
        <v>1272005</v>
      </c>
      <c r="X309" s="68">
        <v>0</v>
      </c>
      <c r="Y309" s="70">
        <v>84800</v>
      </c>
      <c r="Z309" s="72"/>
    </row>
    <row r="310" spans="1:26" ht="15.75" hidden="1" customHeight="1" x14ac:dyDescent="0.25">
      <c r="A310" s="64">
        <v>6</v>
      </c>
      <c r="B310" s="62">
        <v>71676289</v>
      </c>
      <c r="C310" s="62" t="s">
        <v>25015</v>
      </c>
      <c r="D310" s="62" t="s">
        <v>25012</v>
      </c>
      <c r="E310" s="62" t="s">
        <v>25016</v>
      </c>
      <c r="F310" s="62" t="s">
        <v>25004</v>
      </c>
      <c r="G310" s="81" t="s">
        <v>19285</v>
      </c>
      <c r="H310" s="63">
        <v>45105</v>
      </c>
      <c r="I310" s="63">
        <v>45119</v>
      </c>
      <c r="J310" s="62">
        <v>15</v>
      </c>
      <c r="K310" s="62">
        <v>3</v>
      </c>
      <c r="L310" s="62" t="s">
        <v>19262</v>
      </c>
      <c r="M310" s="62" t="s">
        <v>19262</v>
      </c>
      <c r="N310" s="62" t="s">
        <v>19269</v>
      </c>
      <c r="O310" s="62" t="s">
        <v>7822</v>
      </c>
      <c r="P310" s="42" t="str">
        <f>+IF(O310="","",IFERROR(VLOOKUP(O310,CODIGO_DIAGNOSTICO,2,0),"CÓDIGO NO ENCONTRADO"))</f>
        <v>AMPUTACION TRAUMATICA DE OTRAS PARTES DEL PIE</v>
      </c>
      <c r="Q310" s="62" t="s">
        <v>19230</v>
      </c>
      <c r="R310" s="64"/>
      <c r="S310" s="75"/>
      <c r="T310" s="75"/>
      <c r="U310" s="65">
        <f>SUM(W310/30)</f>
        <v>42400.166666666664</v>
      </c>
      <c r="V310" s="62" t="s">
        <v>25941</v>
      </c>
      <c r="W310" s="65">
        <v>1272005</v>
      </c>
      <c r="X310" s="62">
        <v>0</v>
      </c>
      <c r="Y310" s="65">
        <v>84800</v>
      </c>
      <c r="Z310" s="73"/>
    </row>
    <row r="311" spans="1:26" ht="15.75" hidden="1" customHeight="1" x14ac:dyDescent="0.25">
      <c r="A311" s="67">
        <v>6</v>
      </c>
      <c r="B311" s="68">
        <v>98711080</v>
      </c>
      <c r="C311" s="68" t="s">
        <v>25219</v>
      </c>
      <c r="D311" s="68" t="s">
        <v>25443</v>
      </c>
      <c r="E311" s="68" t="s">
        <v>25798</v>
      </c>
      <c r="F311" s="68" t="s">
        <v>25119</v>
      </c>
      <c r="G311" s="81" t="s">
        <v>19285</v>
      </c>
      <c r="H311" s="69">
        <v>45106</v>
      </c>
      <c r="I311" s="69">
        <v>45107</v>
      </c>
      <c r="J311" s="68">
        <v>2</v>
      </c>
      <c r="K311" s="68">
        <v>2</v>
      </c>
      <c r="L311" s="68" t="s">
        <v>24995</v>
      </c>
      <c r="M311" s="68" t="s">
        <v>24995</v>
      </c>
      <c r="N311" s="62" t="s">
        <v>19269</v>
      </c>
      <c r="O311" s="68" t="s">
        <v>5226</v>
      </c>
      <c r="P311" s="42" t="str">
        <f>+IF(O311="","",IFERROR(VLOOKUP(O311,CODIGO_DIAGNOSTICO,2,0),"CÓDIGO NO ENCONTRADO"))</f>
        <v>COLICO RENAL, NO ESPECIFICADO</v>
      </c>
      <c r="Q311" s="68" t="s">
        <v>19230</v>
      </c>
      <c r="R311" s="67">
        <v>0</v>
      </c>
      <c r="S311" s="77"/>
      <c r="T311" s="76"/>
      <c r="U311" s="65">
        <f>SUM(W311/30)</f>
        <v>42400.166666666664</v>
      </c>
      <c r="V311" s="68" t="s">
        <v>25941</v>
      </c>
      <c r="W311" s="70">
        <v>1272005</v>
      </c>
      <c r="X311" s="68">
        <v>0</v>
      </c>
      <c r="Y311" s="70">
        <v>84800</v>
      </c>
      <c r="Z311" s="72"/>
    </row>
    <row r="312" spans="1:26" ht="15.75" hidden="1" customHeight="1" x14ac:dyDescent="0.25">
      <c r="A312" s="64">
        <v>6</v>
      </c>
      <c r="B312" s="62">
        <v>71193583</v>
      </c>
      <c r="C312" s="62" t="s">
        <v>25044</v>
      </c>
      <c r="D312" s="62" t="s">
        <v>25281</v>
      </c>
      <c r="E312" s="62" t="s">
        <v>25282</v>
      </c>
      <c r="F312" s="62" t="s">
        <v>25283</v>
      </c>
      <c r="G312" s="81" t="s">
        <v>19285</v>
      </c>
      <c r="H312" s="63">
        <v>45107</v>
      </c>
      <c r="I312" s="63">
        <v>45109</v>
      </c>
      <c r="J312" s="62">
        <v>3</v>
      </c>
      <c r="K312" s="62">
        <v>1</v>
      </c>
      <c r="L312" s="62" t="s">
        <v>24995</v>
      </c>
      <c r="M312" s="62" t="s">
        <v>24995</v>
      </c>
      <c r="N312" s="62" t="s">
        <v>19269</v>
      </c>
      <c r="O312" s="62" t="s">
        <v>7508</v>
      </c>
      <c r="P312" s="42" t="str">
        <f>+IF(O312="","",IFERROR(VLOOKUP(O312,CODIGO_DIAGNOSTICO,2,0),"CÓDIGO NO ENCONTRADO"))</f>
        <v>LUXACION DE LA ARTICULACION DEL HOMBRO</v>
      </c>
      <c r="Q312" s="62" t="s">
        <v>19230</v>
      </c>
      <c r="R312" s="64"/>
      <c r="S312" s="75">
        <v>45113</v>
      </c>
      <c r="T312" s="75">
        <v>45111</v>
      </c>
      <c r="U312" s="65">
        <f>SUM(W312/30)</f>
        <v>42400.166666666664</v>
      </c>
      <c r="V312" s="62" t="s">
        <v>25941</v>
      </c>
      <c r="W312" s="65">
        <v>1272005</v>
      </c>
      <c r="X312" s="62">
        <v>0</v>
      </c>
      <c r="Y312" s="65">
        <v>84800</v>
      </c>
      <c r="Z312" s="73"/>
    </row>
    <row r="313" spans="1:26" ht="15.75" hidden="1" customHeight="1" x14ac:dyDescent="0.25">
      <c r="A313" s="67">
        <v>6</v>
      </c>
      <c r="B313" s="68">
        <v>711935583</v>
      </c>
      <c r="C313" s="68" t="s">
        <v>25044</v>
      </c>
      <c r="D313" s="68" t="s">
        <v>25373</v>
      </c>
      <c r="E313" s="68" t="s">
        <v>25282</v>
      </c>
      <c r="F313" s="68" t="s">
        <v>25283</v>
      </c>
      <c r="G313" s="81" t="s">
        <v>19285</v>
      </c>
      <c r="H313" s="69">
        <v>45107</v>
      </c>
      <c r="I313" s="69">
        <v>45109</v>
      </c>
      <c r="J313" s="68">
        <v>3</v>
      </c>
      <c r="K313" s="68">
        <v>1</v>
      </c>
      <c r="L313" s="68" t="s">
        <v>24995</v>
      </c>
      <c r="M313" s="68" t="s">
        <v>24995</v>
      </c>
      <c r="N313" s="62" t="s">
        <v>19269</v>
      </c>
      <c r="O313" s="68" t="s">
        <v>4920</v>
      </c>
      <c r="P313" s="42" t="str">
        <f>+IF(O313="","",IFERROR(VLOOKUP(O313,CODIGO_DIAGNOSTICO,2,0),"CÓDIGO NO ENCONTRADO"))</f>
        <v>SINDROME DE MANGUITO ROTATORIO</v>
      </c>
      <c r="Q313" s="68" t="s">
        <v>19230</v>
      </c>
      <c r="R313" s="67"/>
      <c r="S313" s="77"/>
      <c r="T313" s="76"/>
      <c r="U313" s="65">
        <f>SUM(W313/30)</f>
        <v>42400.166666666664</v>
      </c>
      <c r="V313" s="68" t="s">
        <v>25941</v>
      </c>
      <c r="W313" s="70">
        <v>1272005</v>
      </c>
      <c r="X313" s="68">
        <v>0</v>
      </c>
      <c r="Y313" s="70">
        <v>84800</v>
      </c>
      <c r="Z313" s="72"/>
    </row>
    <row r="314" spans="1:26" ht="15.75" hidden="1" customHeight="1" x14ac:dyDescent="0.25">
      <c r="A314" s="64">
        <v>6</v>
      </c>
      <c r="B314" s="62">
        <v>98601485</v>
      </c>
      <c r="C314" s="62" t="s">
        <v>25240</v>
      </c>
      <c r="D314" s="62"/>
      <c r="E314" s="62" t="s">
        <v>25241</v>
      </c>
      <c r="F314" s="62" t="s">
        <v>25103</v>
      </c>
      <c r="G314" s="81" t="s">
        <v>19285</v>
      </c>
      <c r="H314" s="63">
        <v>45107</v>
      </c>
      <c r="I314" s="63">
        <v>45136</v>
      </c>
      <c r="J314" s="62">
        <v>30</v>
      </c>
      <c r="K314" s="62">
        <v>1</v>
      </c>
      <c r="L314" s="62" t="s">
        <v>19262</v>
      </c>
      <c r="M314" s="62" t="s">
        <v>19262</v>
      </c>
      <c r="N314" s="62" t="s">
        <v>19269</v>
      </c>
      <c r="O314" s="62" t="s">
        <v>4647</v>
      </c>
      <c r="P314" s="42" t="str">
        <f>+IF(O314="","",IFERROR(VLOOKUP(O314,CODIGO_DIAGNOSTICO,2,0),"CÓDIGO NO ENCONTRADO"))</f>
        <v>OTRAS GONARTROSIS POSTRAUMATICAS</v>
      </c>
      <c r="Q314" s="62" t="s">
        <v>19230</v>
      </c>
      <c r="R314" s="64"/>
      <c r="S314" s="75">
        <v>45111</v>
      </c>
      <c r="T314" s="75">
        <v>45118</v>
      </c>
      <c r="U314" s="65">
        <f>SUM(W314/30)</f>
        <v>42400.166666666664</v>
      </c>
      <c r="V314" s="62" t="s">
        <v>25941</v>
      </c>
      <c r="W314" s="65">
        <v>1272005</v>
      </c>
      <c r="X314" s="62">
        <v>0</v>
      </c>
      <c r="Y314" s="65">
        <v>84800</v>
      </c>
      <c r="Z314" s="73"/>
    </row>
    <row r="315" spans="1:26" ht="15.75" hidden="1" customHeight="1" x14ac:dyDescent="0.25">
      <c r="A315" s="67">
        <v>7</v>
      </c>
      <c r="B315" s="68">
        <v>1003339120</v>
      </c>
      <c r="C315" s="68" t="s">
        <v>25406</v>
      </c>
      <c r="D315" s="68" t="s">
        <v>25799</v>
      </c>
      <c r="E315" s="68" t="s">
        <v>25408</v>
      </c>
      <c r="F315" s="68" t="s">
        <v>25028</v>
      </c>
      <c r="G315" s="81" t="s">
        <v>19285</v>
      </c>
      <c r="H315" s="69">
        <v>45108</v>
      </c>
      <c r="I315" s="69">
        <v>45109</v>
      </c>
      <c r="J315" s="68">
        <v>2</v>
      </c>
      <c r="K315" s="68">
        <v>2</v>
      </c>
      <c r="L315" s="68" t="s">
        <v>24995</v>
      </c>
      <c r="M315" s="68" t="s">
        <v>24995</v>
      </c>
      <c r="N315" s="62" t="s">
        <v>19269</v>
      </c>
      <c r="O315" s="68" t="s">
        <v>85</v>
      </c>
      <c r="P315" s="42" t="str">
        <f>+IF(O315="","",IFERROR(VLOOKUP(O315,CODIGO_DIAGNOSTICO,2,0),"CÓDIGO NO ENCONTRADO"))</f>
        <v>OTRAS ENTERITIS VIRALES</v>
      </c>
      <c r="Q315" s="68" t="s">
        <v>19230</v>
      </c>
      <c r="R315" s="67">
        <v>0</v>
      </c>
      <c r="S315" s="77"/>
      <c r="T315" s="76"/>
      <c r="U315" s="65">
        <f>SUM(W315/30)</f>
        <v>42400.166666666664</v>
      </c>
      <c r="V315" s="68" t="s">
        <v>25941</v>
      </c>
      <c r="W315" s="70">
        <v>1272005</v>
      </c>
      <c r="X315" s="68">
        <v>0</v>
      </c>
      <c r="Y315" s="70">
        <v>84800</v>
      </c>
      <c r="Z315" s="72"/>
    </row>
    <row r="316" spans="1:26" ht="15.75" hidden="1" customHeight="1" x14ac:dyDescent="0.25">
      <c r="A316" s="64">
        <v>7</v>
      </c>
      <c r="B316" s="62">
        <v>71589781</v>
      </c>
      <c r="C316" s="62" t="s">
        <v>25812</v>
      </c>
      <c r="D316" s="62" t="s">
        <v>25813</v>
      </c>
      <c r="E316" s="62" t="s">
        <v>25210</v>
      </c>
      <c r="F316" s="62" t="s">
        <v>25057</v>
      </c>
      <c r="G316" s="81" t="s">
        <v>19285</v>
      </c>
      <c r="H316" s="63">
        <v>45108</v>
      </c>
      <c r="I316" s="63">
        <v>45122</v>
      </c>
      <c r="J316" s="62">
        <v>15</v>
      </c>
      <c r="K316" s="62">
        <v>15</v>
      </c>
      <c r="L316" s="62" t="s">
        <v>24995</v>
      </c>
      <c r="M316" s="62" t="s">
        <v>24995</v>
      </c>
      <c r="N316" s="62" t="s">
        <v>19269</v>
      </c>
      <c r="O316" s="62" t="s">
        <v>3985</v>
      </c>
      <c r="P316" s="42" t="str">
        <f>+IF(O316="","",IFERROR(VLOOKUP(O316,CODIGO_DIAGNOSTICO,2,0),"CÓDIGO NO ENCONTRADO"))</f>
        <v>HERNIA INGUINAL BILATERAL, SIN OBSTRUCCION NI GANGRENA</v>
      </c>
      <c r="Q316" s="62" t="s">
        <v>19230</v>
      </c>
      <c r="R316" s="64"/>
      <c r="S316" s="75"/>
      <c r="T316" s="75"/>
      <c r="U316" s="65">
        <f>SUM(W316/30)</f>
        <v>42400.166666666664</v>
      </c>
      <c r="V316" s="62" t="s">
        <v>25941</v>
      </c>
      <c r="W316" s="65">
        <v>1272005</v>
      </c>
      <c r="X316" s="62">
        <v>0</v>
      </c>
      <c r="Y316" s="65">
        <v>84800</v>
      </c>
      <c r="Z316" s="73"/>
    </row>
    <row r="317" spans="1:26" ht="15.75" hidden="1" customHeight="1" x14ac:dyDescent="0.25">
      <c r="A317" s="67">
        <v>7</v>
      </c>
      <c r="B317" s="68">
        <v>1035428600</v>
      </c>
      <c r="C317" s="68" t="s">
        <v>25828</v>
      </c>
      <c r="D317" s="68" t="s">
        <v>25225</v>
      </c>
      <c r="E317" s="68" t="s">
        <v>25210</v>
      </c>
      <c r="F317" s="68" t="s">
        <v>25814</v>
      </c>
      <c r="G317" s="81" t="s">
        <v>19285</v>
      </c>
      <c r="H317" s="69">
        <v>45109</v>
      </c>
      <c r="I317" s="69">
        <v>45110</v>
      </c>
      <c r="J317" s="68">
        <v>2</v>
      </c>
      <c r="K317" s="68">
        <v>2</v>
      </c>
      <c r="L317" s="68" t="s">
        <v>24995</v>
      </c>
      <c r="M317" s="68" t="s">
        <v>24995</v>
      </c>
      <c r="N317" s="62" t="s">
        <v>19269</v>
      </c>
      <c r="O317" s="68" t="s">
        <v>88</v>
      </c>
      <c r="P317" s="42" t="str">
        <f>+IF(O317="","",IFERROR(VLOOKUP(O317,CODIGO_DIAGNOSTICO,2,0),"CÓDIGO NO ENCONTRADO"))</f>
        <v>DIARREA Y GASTROENTERITIS DE PRESUNTO ORIGEN INFECCIOSO</v>
      </c>
      <c r="Q317" s="68" t="s">
        <v>19230</v>
      </c>
      <c r="R317" s="67">
        <v>0</v>
      </c>
      <c r="S317" s="77"/>
      <c r="T317" s="76"/>
      <c r="U317" s="65">
        <f>SUM(W317/30)</f>
        <v>42400.166666666664</v>
      </c>
      <c r="V317" s="68" t="s">
        <v>25941</v>
      </c>
      <c r="W317" s="70">
        <v>1272005</v>
      </c>
      <c r="X317" s="68">
        <v>0</v>
      </c>
      <c r="Y317" s="70">
        <v>84800</v>
      </c>
      <c r="Z317" s="72"/>
    </row>
    <row r="318" spans="1:26" ht="15.75" hidden="1" customHeight="1" x14ac:dyDescent="0.25">
      <c r="A318" s="64">
        <v>7</v>
      </c>
      <c r="B318" s="62">
        <v>1216722370</v>
      </c>
      <c r="C318" s="62" t="s">
        <v>25030</v>
      </c>
      <c r="D318" s="62" t="s">
        <v>25348</v>
      </c>
      <c r="E318" s="62" t="s">
        <v>25349</v>
      </c>
      <c r="F318" s="62" t="s">
        <v>25060</v>
      </c>
      <c r="G318" s="81" t="s">
        <v>19285</v>
      </c>
      <c r="H318" s="63">
        <v>45109</v>
      </c>
      <c r="I318" s="63">
        <v>45138</v>
      </c>
      <c r="J318" s="62">
        <v>30</v>
      </c>
      <c r="K318" s="62">
        <v>30</v>
      </c>
      <c r="L318" s="62" t="s">
        <v>19262</v>
      </c>
      <c r="M318" s="62" t="s">
        <v>19262</v>
      </c>
      <c r="N318" s="62" t="s">
        <v>19269</v>
      </c>
      <c r="O318" s="62" t="s">
        <v>4983</v>
      </c>
      <c r="P318" s="42" t="str">
        <f>+IF(O318="","",IFERROR(VLOOKUP(O318,CODIGO_DIAGNOSTICO,2,0),"CÓDIGO NO ENCONTRADO"))</f>
        <v>FALTA DE CONSOLIDACION DE FRACTURA [SEUDOARTROSIS]</v>
      </c>
      <c r="Q318" s="62" t="s">
        <v>25025</v>
      </c>
      <c r="R318" s="64"/>
      <c r="S318" s="75"/>
      <c r="T318" s="75"/>
      <c r="U318" s="65">
        <f>SUM(W318/30)</f>
        <v>42400.166666666664</v>
      </c>
      <c r="V318" s="62" t="s">
        <v>25941</v>
      </c>
      <c r="W318" s="65">
        <v>1272005</v>
      </c>
      <c r="X318" s="62">
        <v>0</v>
      </c>
      <c r="Y318" s="65">
        <v>84800</v>
      </c>
      <c r="Z318" s="73"/>
    </row>
    <row r="319" spans="1:26" ht="15.75" hidden="1" customHeight="1" x14ac:dyDescent="0.25">
      <c r="A319" s="67">
        <v>7</v>
      </c>
      <c r="B319" s="68">
        <v>1084742743</v>
      </c>
      <c r="C319" s="68" t="s">
        <v>25833</v>
      </c>
      <c r="D319" s="68" t="s">
        <v>25529</v>
      </c>
      <c r="E319" s="68" t="s">
        <v>25263</v>
      </c>
      <c r="F319" s="68" t="s">
        <v>25586</v>
      </c>
      <c r="G319" s="81" t="s">
        <v>19285</v>
      </c>
      <c r="H319" s="69">
        <v>45110</v>
      </c>
      <c r="I319" s="69">
        <v>45110</v>
      </c>
      <c r="J319" s="68">
        <v>1</v>
      </c>
      <c r="K319" s="68">
        <v>1</v>
      </c>
      <c r="L319" s="68" t="s">
        <v>24995</v>
      </c>
      <c r="M319" s="68" t="s">
        <v>24995</v>
      </c>
      <c r="N319" s="62" t="s">
        <v>19263</v>
      </c>
      <c r="O319" s="68" t="s">
        <v>7547</v>
      </c>
      <c r="P319" s="42" t="str">
        <f>+IF(O319="","",IFERROR(VLOOKUP(O319,CODIGO_DIAGNOSTICO,2,0),"CÓDIGO NO ENCONTRADO"))</f>
        <v>CONTUSION DE OTRAS PARTES DEL ANTEBRAZO Y DE LAS NO ESPECIFICADAS</v>
      </c>
      <c r="Q319" s="68" t="s">
        <v>25001</v>
      </c>
      <c r="R319" s="67">
        <v>0</v>
      </c>
      <c r="S319" s="77">
        <v>45110</v>
      </c>
      <c r="T319" s="76">
        <v>45110</v>
      </c>
      <c r="U319" s="65">
        <f>SUM(W319/30)*J319</f>
        <v>42400.166666666664</v>
      </c>
      <c r="V319" s="68" t="s">
        <v>25941</v>
      </c>
      <c r="W319" s="70">
        <v>1272005</v>
      </c>
      <c r="X319" s="68">
        <v>0</v>
      </c>
      <c r="Y319" s="70">
        <v>0</v>
      </c>
      <c r="Z319" s="72"/>
    </row>
    <row r="320" spans="1:26" ht="15.75" hidden="1" customHeight="1" x14ac:dyDescent="0.25">
      <c r="A320" s="64">
        <v>7</v>
      </c>
      <c r="B320" s="62">
        <v>1035428600</v>
      </c>
      <c r="C320" s="62" t="s">
        <v>25828</v>
      </c>
      <c r="D320" s="62" t="s">
        <v>25225</v>
      </c>
      <c r="E320" s="62" t="s">
        <v>25210</v>
      </c>
      <c r="F320" s="62" t="s">
        <v>25814</v>
      </c>
      <c r="G320" s="81" t="s">
        <v>19285</v>
      </c>
      <c r="H320" s="63">
        <v>45111</v>
      </c>
      <c r="I320" s="63">
        <v>45112</v>
      </c>
      <c r="J320" s="62">
        <v>2</v>
      </c>
      <c r="K320" s="62">
        <v>2</v>
      </c>
      <c r="L320" s="62" t="s">
        <v>24995</v>
      </c>
      <c r="M320" s="62" t="s">
        <v>24995</v>
      </c>
      <c r="N320" s="62" t="s">
        <v>19269</v>
      </c>
      <c r="O320" s="62" t="s">
        <v>322</v>
      </c>
      <c r="P320" s="42" t="str">
        <f>+IF(O320="","",IFERROR(VLOOKUP(O320,CODIGO_DIAGNOSTICO,2,0),"CÓDIGO NO ENCONTRADO"))</f>
        <v>FIEBRE RECURRENTE, NO ESPECIFICADA</v>
      </c>
      <c r="Q320" s="62" t="s">
        <v>19230</v>
      </c>
      <c r="R320" s="64">
        <v>0</v>
      </c>
      <c r="S320" s="75"/>
      <c r="T320" s="75"/>
      <c r="U320" s="65">
        <f>SUM(W320/30)</f>
        <v>42400.166666666664</v>
      </c>
      <c r="V320" s="62" t="s">
        <v>25941</v>
      </c>
      <c r="W320" s="65">
        <v>1272005</v>
      </c>
      <c r="X320" s="62">
        <v>0</v>
      </c>
      <c r="Y320" s="65">
        <v>84800</v>
      </c>
      <c r="Z320" s="73"/>
    </row>
    <row r="321" spans="1:26" ht="15.75" hidden="1" customHeight="1" x14ac:dyDescent="0.25">
      <c r="A321" s="67">
        <v>7</v>
      </c>
      <c r="B321" s="68">
        <v>1037269145</v>
      </c>
      <c r="C321" s="68" t="s">
        <v>25489</v>
      </c>
      <c r="D321" s="68" t="s">
        <v>25432</v>
      </c>
      <c r="E321" s="68" t="s">
        <v>25490</v>
      </c>
      <c r="F321" s="68" t="s">
        <v>25033</v>
      </c>
      <c r="G321" s="81" t="s">
        <v>19285</v>
      </c>
      <c r="H321" s="69">
        <v>45112</v>
      </c>
      <c r="I321" s="69">
        <v>45112</v>
      </c>
      <c r="J321" s="68">
        <v>1</v>
      </c>
      <c r="K321" s="68">
        <v>1</v>
      </c>
      <c r="L321" s="68" t="s">
        <v>24995</v>
      </c>
      <c r="M321" s="68" t="s">
        <v>24995</v>
      </c>
      <c r="N321" s="62" t="s">
        <v>19269</v>
      </c>
      <c r="O321" s="68" t="s">
        <v>2588</v>
      </c>
      <c r="P321" s="42" t="str">
        <f>+IF(O321="","",IFERROR(VLOOKUP(O321,CODIGO_DIAGNOSTICO,2,0),"CÓDIGO NO ENCONTRADO"))</f>
        <v>MIGRAÑA SIN AURA [MIGRAÑA COMUN]</v>
      </c>
      <c r="Q321" s="68" t="s">
        <v>19230</v>
      </c>
      <c r="R321" s="67">
        <v>0</v>
      </c>
      <c r="S321" s="77"/>
      <c r="T321" s="76">
        <v>0</v>
      </c>
      <c r="U321" s="65">
        <f>SUM(W321/30)</f>
        <v>42400.166666666664</v>
      </c>
      <c r="V321" s="68" t="s">
        <v>25941</v>
      </c>
      <c r="W321" s="70">
        <v>1272005</v>
      </c>
      <c r="X321" s="68">
        <v>0</v>
      </c>
      <c r="Y321" s="70">
        <v>84800</v>
      </c>
      <c r="Z321" s="72"/>
    </row>
    <row r="322" spans="1:26" ht="15.75" hidden="1" customHeight="1" x14ac:dyDescent="0.25">
      <c r="A322" s="64">
        <v>7</v>
      </c>
      <c r="B322" s="62">
        <v>71601851</v>
      </c>
      <c r="C322" s="62" t="s">
        <v>25340</v>
      </c>
      <c r="D322" s="62" t="s">
        <v>25179</v>
      </c>
      <c r="E322" s="62" t="s">
        <v>25466</v>
      </c>
      <c r="F322" s="62" t="s">
        <v>25023</v>
      </c>
      <c r="G322" s="81" t="s">
        <v>19285</v>
      </c>
      <c r="H322" s="63">
        <v>45113</v>
      </c>
      <c r="I322" s="63">
        <v>45121</v>
      </c>
      <c r="J322" s="62">
        <v>9</v>
      </c>
      <c r="K322" s="62">
        <v>9</v>
      </c>
      <c r="L322" s="62" t="s">
        <v>19262</v>
      </c>
      <c r="M322" s="62" t="s">
        <v>19262</v>
      </c>
      <c r="N322" s="62" t="s">
        <v>19269</v>
      </c>
      <c r="O322" s="62" t="s">
        <v>4695</v>
      </c>
      <c r="P322" s="42" t="str">
        <f>+IF(O322="","",IFERROR(VLOOKUP(O322,CODIGO_DIAGNOSTICO,2,0),"CÓDIGO NO ENCONTRADO"))</f>
        <v>TRASTORNOS INTERNO DE LA RODILLA, NO ESPECIFICADO</v>
      </c>
      <c r="Q322" s="62" t="s">
        <v>19231</v>
      </c>
      <c r="R322" s="64"/>
      <c r="S322" s="75"/>
      <c r="T322" s="75"/>
      <c r="U322" s="65">
        <f>SUM(W322/30)</f>
        <v>42400.166666666664</v>
      </c>
      <c r="V322" s="62" t="s">
        <v>25941</v>
      </c>
      <c r="W322" s="65">
        <v>1272005</v>
      </c>
      <c r="X322" s="62">
        <v>0</v>
      </c>
      <c r="Y322" s="65">
        <v>84800</v>
      </c>
      <c r="Z322" s="73"/>
    </row>
    <row r="323" spans="1:26" ht="15.75" hidden="1" customHeight="1" x14ac:dyDescent="0.25">
      <c r="A323" s="67">
        <v>7</v>
      </c>
      <c r="B323" s="68">
        <v>1007446501</v>
      </c>
      <c r="C323" s="68" t="s">
        <v>25177</v>
      </c>
      <c r="D323" s="68" t="s">
        <v>25326</v>
      </c>
      <c r="E323" s="68" t="s">
        <v>25831</v>
      </c>
      <c r="F323" s="68"/>
      <c r="G323" s="81" t="s">
        <v>19285</v>
      </c>
      <c r="H323" s="69">
        <v>45114</v>
      </c>
      <c r="I323" s="69">
        <v>45116</v>
      </c>
      <c r="J323" s="68">
        <v>3</v>
      </c>
      <c r="K323" s="68">
        <v>3</v>
      </c>
      <c r="L323" s="68" t="s">
        <v>24995</v>
      </c>
      <c r="M323" s="68" t="s">
        <v>24995</v>
      </c>
      <c r="N323" s="62" t="s">
        <v>19269</v>
      </c>
      <c r="O323" s="68" t="s">
        <v>4895</v>
      </c>
      <c r="P323" s="42" t="str">
        <f>+IF(O323="","",IFERROR(VLOOKUP(O323,CODIGO_DIAGNOSTICO,2,0),"CÓDIGO NO ENCONTRADO"))</f>
        <v>OTRAS BURSITIS DE LA RODILLA</v>
      </c>
      <c r="Q323" s="68" t="s">
        <v>24996</v>
      </c>
      <c r="R323" s="67"/>
      <c r="S323" s="77">
        <v>45120</v>
      </c>
      <c r="T323" s="76">
        <v>45125</v>
      </c>
      <c r="U323" s="65">
        <f>SUM(W323/30)</f>
        <v>42400.166666666664</v>
      </c>
      <c r="V323" s="68" t="s">
        <v>25941</v>
      </c>
      <c r="W323" s="70">
        <v>1272005</v>
      </c>
      <c r="X323" s="68">
        <v>0</v>
      </c>
      <c r="Y323" s="70">
        <v>84800</v>
      </c>
      <c r="Z323" s="72"/>
    </row>
    <row r="324" spans="1:26" ht="15.75" hidden="1" customHeight="1" x14ac:dyDescent="0.25">
      <c r="A324" s="64">
        <v>7</v>
      </c>
      <c r="B324" s="62">
        <v>70133821</v>
      </c>
      <c r="C324" s="62" t="s">
        <v>25200</v>
      </c>
      <c r="D324" s="62" t="s">
        <v>25523</v>
      </c>
      <c r="E324" s="62" t="s">
        <v>25203</v>
      </c>
      <c r="F324" s="62" t="s">
        <v>25005</v>
      </c>
      <c r="G324" s="81" t="s">
        <v>19285</v>
      </c>
      <c r="H324" s="63">
        <v>45114</v>
      </c>
      <c r="I324" s="63">
        <v>45118</v>
      </c>
      <c r="J324" s="62">
        <v>5</v>
      </c>
      <c r="K324" s="62">
        <v>5</v>
      </c>
      <c r="L324" s="62" t="s">
        <v>24995</v>
      </c>
      <c r="M324" s="62" t="s">
        <v>24995</v>
      </c>
      <c r="N324" s="62" t="s">
        <v>19269</v>
      </c>
      <c r="O324" s="62" t="s">
        <v>4844</v>
      </c>
      <c r="P324" s="42" t="str">
        <f>+IF(O324="","",IFERROR(VLOOKUP(O324,CODIGO_DIAGNOSTICO,2,0),"CÓDIGO NO ENCONTRADO"))</f>
        <v>GRANULOMA POR CUERPO EXTRAÑO EN TEJIDO BLANDO, NO CLASIFICADO EN OTRA PARTE</v>
      </c>
      <c r="Q324" s="62" t="s">
        <v>19230</v>
      </c>
      <c r="R324" s="64"/>
      <c r="S324" s="75">
        <v>45117</v>
      </c>
      <c r="T324" s="75">
        <v>45139</v>
      </c>
      <c r="U324" s="65">
        <f>SUM(W324/30)</f>
        <v>42400.166666666664</v>
      </c>
      <c r="V324" s="62" t="s">
        <v>25941</v>
      </c>
      <c r="W324" s="65">
        <v>1272005</v>
      </c>
      <c r="X324" s="62">
        <v>0</v>
      </c>
      <c r="Y324" s="65">
        <v>84800</v>
      </c>
      <c r="Z324" s="73"/>
    </row>
    <row r="325" spans="1:26" ht="15.75" hidden="1" customHeight="1" x14ac:dyDescent="0.25">
      <c r="A325" s="67">
        <v>7</v>
      </c>
      <c r="B325" s="68">
        <v>8156170</v>
      </c>
      <c r="C325" s="68" t="s">
        <v>25061</v>
      </c>
      <c r="D325" s="68" t="s">
        <v>25062</v>
      </c>
      <c r="E325" s="68" t="s">
        <v>25063</v>
      </c>
      <c r="F325" s="68" t="s">
        <v>25064</v>
      </c>
      <c r="G325" s="81" t="s">
        <v>19285</v>
      </c>
      <c r="H325" s="69">
        <v>45116</v>
      </c>
      <c r="I325" s="69">
        <v>45120</v>
      </c>
      <c r="J325" s="68">
        <v>5</v>
      </c>
      <c r="K325" s="68">
        <v>5</v>
      </c>
      <c r="L325" s="68" t="s">
        <v>19262</v>
      </c>
      <c r="M325" s="68" t="s">
        <v>25835</v>
      </c>
      <c r="N325" s="62" t="s">
        <v>19269</v>
      </c>
      <c r="O325" s="68" t="s">
        <v>4043</v>
      </c>
      <c r="P325" s="42" t="str">
        <f>+IF(O325="","",IFERROR(VLOOKUP(O325,CODIGO_DIAGNOSTICO,2,0),"CÓDIGO NO ENCONTRADO"))</f>
        <v>ENFERMEDAD DIVERTICULAR DEL INTESTINO GRUESO SIN PERFORACION NI ABSCESO</v>
      </c>
      <c r="Q325" s="68" t="s">
        <v>19230</v>
      </c>
      <c r="R325" s="67"/>
      <c r="S325" s="77">
        <v>45119</v>
      </c>
      <c r="T325" s="76">
        <v>45139</v>
      </c>
      <c r="U325" s="65">
        <f>SUM(W325/30)</f>
        <v>42400.166666666664</v>
      </c>
      <c r="V325" s="68" t="s">
        <v>25941</v>
      </c>
      <c r="W325" s="70">
        <v>1272005</v>
      </c>
      <c r="X325" s="68">
        <v>0</v>
      </c>
      <c r="Y325" s="70">
        <v>84800</v>
      </c>
      <c r="Z325" s="72"/>
    </row>
    <row r="326" spans="1:26" ht="15.75" hidden="1" customHeight="1" x14ac:dyDescent="0.25">
      <c r="A326" s="64">
        <v>7</v>
      </c>
      <c r="B326" s="62">
        <v>3481465</v>
      </c>
      <c r="C326" s="62" t="s">
        <v>25421</v>
      </c>
      <c r="D326" s="62" t="s">
        <v>25006</v>
      </c>
      <c r="E326" s="62" t="s">
        <v>25308</v>
      </c>
      <c r="F326" s="62" t="s">
        <v>24982</v>
      </c>
      <c r="G326" s="81" t="s">
        <v>19285</v>
      </c>
      <c r="H326" s="63">
        <v>45117</v>
      </c>
      <c r="I326" s="63">
        <v>45136</v>
      </c>
      <c r="J326" s="62">
        <v>20</v>
      </c>
      <c r="K326" s="62">
        <v>20</v>
      </c>
      <c r="L326" s="62" t="s">
        <v>19262</v>
      </c>
      <c r="M326" s="62" t="s">
        <v>19262</v>
      </c>
      <c r="N326" s="62" t="s">
        <v>19269</v>
      </c>
      <c r="O326" s="62" t="s">
        <v>2068</v>
      </c>
      <c r="P326" s="42" t="str">
        <f>+IF(O326="","",IFERROR(VLOOKUP(O326,CODIGO_DIAGNOSTICO,2,0),"CÓDIGO NO ENCONTRADO"))</f>
        <v>DEMENCIA VASCULAR DE COMIENZO AGUDO</v>
      </c>
      <c r="Q326" s="62" t="s">
        <v>19230</v>
      </c>
      <c r="R326" s="64"/>
      <c r="S326" s="75"/>
      <c r="T326" s="75"/>
      <c r="U326" s="65">
        <f>SUM(W326/30)</f>
        <v>42400.166666666664</v>
      </c>
      <c r="V326" s="62" t="s">
        <v>25941</v>
      </c>
      <c r="W326" s="65">
        <v>1272005</v>
      </c>
      <c r="X326" s="62">
        <v>0</v>
      </c>
      <c r="Y326" s="65">
        <v>84800</v>
      </c>
      <c r="Z326" s="73"/>
    </row>
    <row r="327" spans="1:26" ht="15.75" hidden="1" customHeight="1" x14ac:dyDescent="0.25">
      <c r="A327" s="67">
        <v>7</v>
      </c>
      <c r="B327" s="68">
        <v>43918754</v>
      </c>
      <c r="C327" s="68" t="s">
        <v>25079</v>
      </c>
      <c r="D327" s="68" t="s">
        <v>24983</v>
      </c>
      <c r="E327" s="68" t="s">
        <v>25834</v>
      </c>
      <c r="F327" s="68" t="s">
        <v>25832</v>
      </c>
      <c r="G327" s="81" t="s">
        <v>19285</v>
      </c>
      <c r="H327" s="69">
        <v>45117</v>
      </c>
      <c r="I327" s="69">
        <v>45118</v>
      </c>
      <c r="J327" s="68">
        <v>2</v>
      </c>
      <c r="K327" s="68">
        <v>2</v>
      </c>
      <c r="L327" s="68" t="s">
        <v>24995</v>
      </c>
      <c r="M327" s="68" t="s">
        <v>24995</v>
      </c>
      <c r="N327" s="62" t="s">
        <v>19269</v>
      </c>
      <c r="O327" s="68" t="s">
        <v>3136</v>
      </c>
      <c r="P327" s="42" t="str">
        <f>+IF(O327="","",IFERROR(VLOOKUP(O327,CODIGO_DIAGNOSTICO,2,0),"CÓDIGO NO ENCONTRADO"))</f>
        <v>OTROS VERTIGOS PERIFERICOS</v>
      </c>
      <c r="Q327" s="68" t="s">
        <v>24996</v>
      </c>
      <c r="R327" s="67">
        <v>0</v>
      </c>
      <c r="S327" s="77"/>
      <c r="T327" s="76"/>
      <c r="U327" s="65">
        <f>SUM(W327/30)</f>
        <v>42400.166666666664</v>
      </c>
      <c r="V327" s="68" t="s">
        <v>25941</v>
      </c>
      <c r="W327" s="70">
        <v>1272005</v>
      </c>
      <c r="X327" s="68">
        <v>0</v>
      </c>
      <c r="Y327" s="70">
        <v>84800</v>
      </c>
      <c r="Z327" s="72"/>
    </row>
    <row r="328" spans="1:26" ht="15.75" hidden="1" customHeight="1" x14ac:dyDescent="0.25">
      <c r="A328" s="64">
        <v>8</v>
      </c>
      <c r="B328" s="62">
        <v>71589781</v>
      </c>
      <c r="C328" s="62" t="s">
        <v>25812</v>
      </c>
      <c r="D328" s="62" t="s">
        <v>25813</v>
      </c>
      <c r="E328" s="62" t="s">
        <v>25210</v>
      </c>
      <c r="F328" s="62" t="s">
        <v>25064</v>
      </c>
      <c r="G328" s="81" t="s">
        <v>19285</v>
      </c>
      <c r="H328" s="63">
        <v>45117</v>
      </c>
      <c r="I328" s="63">
        <v>45129</v>
      </c>
      <c r="J328" s="62">
        <v>13</v>
      </c>
      <c r="K328" s="62">
        <v>13</v>
      </c>
      <c r="L328" s="62" t="s">
        <v>24995</v>
      </c>
      <c r="M328" s="62" t="s">
        <v>24995</v>
      </c>
      <c r="N328" s="62" t="s">
        <v>19269</v>
      </c>
      <c r="O328" s="62" t="s">
        <v>7509</v>
      </c>
      <c r="P328" s="42" t="str">
        <f>+IF(O328="","",IFERROR(VLOOKUP(O328,CODIGO_DIAGNOSTICO,2,0),"CÓDIGO NO ENCONTRADO"))</f>
        <v>LUXACION DE LA ARTICULACION ACROMIOCLAVICULAR</v>
      </c>
      <c r="Q328" s="62" t="s">
        <v>19230</v>
      </c>
      <c r="R328" s="64"/>
      <c r="S328" s="75">
        <v>45122</v>
      </c>
      <c r="T328" s="75">
        <v>45128</v>
      </c>
      <c r="U328" s="65">
        <f>SUM(W328/30)</f>
        <v>42400.166666666664</v>
      </c>
      <c r="V328" s="62" t="s">
        <v>25941</v>
      </c>
      <c r="W328" s="65">
        <v>1272005</v>
      </c>
      <c r="X328" s="62">
        <v>0</v>
      </c>
      <c r="Y328" s="65">
        <v>84800</v>
      </c>
      <c r="Z328" s="73"/>
    </row>
    <row r="329" spans="1:26" ht="15.75" hidden="1" customHeight="1" x14ac:dyDescent="0.25">
      <c r="A329" s="67">
        <v>7</v>
      </c>
      <c r="B329" s="68">
        <v>1037667211</v>
      </c>
      <c r="C329" s="68" t="s">
        <v>25990</v>
      </c>
      <c r="D329" s="68" t="s">
        <v>25991</v>
      </c>
      <c r="E329" s="68" t="s">
        <v>25089</v>
      </c>
      <c r="F329" s="68" t="s">
        <v>25157</v>
      </c>
      <c r="G329" s="81" t="s">
        <v>19285</v>
      </c>
      <c r="H329" s="69">
        <v>45117</v>
      </c>
      <c r="I329" s="69">
        <v>45121</v>
      </c>
      <c r="J329" s="68">
        <v>5</v>
      </c>
      <c r="K329" s="68">
        <v>5</v>
      </c>
      <c r="L329" s="68" t="s">
        <v>24995</v>
      </c>
      <c r="M329" s="68" t="s">
        <v>24995</v>
      </c>
      <c r="N329" s="62" t="s">
        <v>19269</v>
      </c>
      <c r="O329" s="68" t="s">
        <v>4396</v>
      </c>
      <c r="P329" s="42" t="str">
        <f>+IF(O329="","",IFERROR(VLOOKUP(O329,CODIGO_DIAGNOSTICO,2,0),"CÓDIGO NO ENCONTRADO"))</f>
        <v>UÑA ENCARNADA</v>
      </c>
      <c r="Q329" s="68" t="s">
        <v>19231</v>
      </c>
      <c r="R329" s="67">
        <v>9335112</v>
      </c>
      <c r="S329" s="77">
        <v>45123</v>
      </c>
      <c r="T329" s="76">
        <v>45184</v>
      </c>
      <c r="U329" s="65">
        <f>SUM(W329/30)</f>
        <v>42400.166666666664</v>
      </c>
      <c r="V329" s="68" t="s">
        <v>25941</v>
      </c>
      <c r="W329" s="70">
        <v>1272005</v>
      </c>
      <c r="X329" s="68">
        <v>0</v>
      </c>
      <c r="Y329" s="70">
        <v>84800</v>
      </c>
      <c r="Z329" s="72"/>
    </row>
    <row r="330" spans="1:26" ht="15.75" hidden="1" customHeight="1" x14ac:dyDescent="0.25">
      <c r="A330" s="64">
        <v>7</v>
      </c>
      <c r="B330" s="62">
        <v>98525106</v>
      </c>
      <c r="C330" s="62" t="s">
        <v>25326</v>
      </c>
      <c r="D330" s="62" t="s">
        <v>25594</v>
      </c>
      <c r="E330" s="62" t="s">
        <v>25203</v>
      </c>
      <c r="F330" s="62" t="s">
        <v>25005</v>
      </c>
      <c r="G330" s="81" t="s">
        <v>19285</v>
      </c>
      <c r="H330" s="63">
        <v>45118</v>
      </c>
      <c r="I330" s="63">
        <v>45119</v>
      </c>
      <c r="J330" s="62">
        <v>2</v>
      </c>
      <c r="K330" s="62">
        <v>2</v>
      </c>
      <c r="L330" s="62" t="s">
        <v>24995</v>
      </c>
      <c r="M330" s="62" t="s">
        <v>24995</v>
      </c>
      <c r="N330" s="62" t="s">
        <v>19269</v>
      </c>
      <c r="O330" s="62" t="s">
        <v>85</v>
      </c>
      <c r="P330" s="42" t="str">
        <f>+IF(O330="","",IFERROR(VLOOKUP(O330,CODIGO_DIAGNOSTICO,2,0),"CÓDIGO NO ENCONTRADO"))</f>
        <v>OTRAS ENTERITIS VIRALES</v>
      </c>
      <c r="Q330" s="62" t="s">
        <v>19230</v>
      </c>
      <c r="R330" s="64">
        <v>0</v>
      </c>
      <c r="S330" s="75"/>
      <c r="T330" s="75"/>
      <c r="U330" s="65">
        <f>SUM(W330/30)</f>
        <v>42400.166666666664</v>
      </c>
      <c r="V330" s="62" t="s">
        <v>25941</v>
      </c>
      <c r="W330" s="65">
        <v>1272005</v>
      </c>
      <c r="X330" s="62">
        <v>0</v>
      </c>
      <c r="Y330" s="65">
        <v>84800</v>
      </c>
      <c r="Z330" s="73"/>
    </row>
    <row r="331" spans="1:26" ht="15.75" hidden="1" customHeight="1" x14ac:dyDescent="0.25">
      <c r="A331" s="67">
        <v>7</v>
      </c>
      <c r="B331" s="68">
        <v>70133821</v>
      </c>
      <c r="C331" s="68" t="s">
        <v>25200</v>
      </c>
      <c r="D331" s="68" t="s">
        <v>25523</v>
      </c>
      <c r="E331" s="68" t="s">
        <v>25203</v>
      </c>
      <c r="F331" s="68" t="s">
        <v>25005</v>
      </c>
      <c r="G331" s="81" t="s">
        <v>19285</v>
      </c>
      <c r="H331" s="69">
        <v>45119</v>
      </c>
      <c r="I331" s="69">
        <v>45132</v>
      </c>
      <c r="J331" s="68">
        <v>14</v>
      </c>
      <c r="K331" s="68">
        <v>14</v>
      </c>
      <c r="L331" s="68" t="s">
        <v>19262</v>
      </c>
      <c r="M331" s="68" t="s">
        <v>24995</v>
      </c>
      <c r="N331" s="62" t="s">
        <v>19269</v>
      </c>
      <c r="O331" s="68" t="s">
        <v>4844</v>
      </c>
      <c r="P331" s="42" t="str">
        <f>+IF(O331="","",IFERROR(VLOOKUP(O331,CODIGO_DIAGNOSTICO,2,0),"CÓDIGO NO ENCONTRADO"))</f>
        <v>GRANULOMA POR CUERPO EXTRAÑO EN TEJIDO BLANDO, NO CLASIFICADO EN OTRA PARTE</v>
      </c>
      <c r="Q331" s="68" t="s">
        <v>19230</v>
      </c>
      <c r="R331" s="67"/>
      <c r="S331" s="77">
        <v>45122</v>
      </c>
      <c r="T331" s="76">
        <v>45132</v>
      </c>
      <c r="U331" s="65">
        <f>SUM(W331/30)</f>
        <v>42400.166666666664</v>
      </c>
      <c r="V331" s="68" t="s">
        <v>25941</v>
      </c>
      <c r="W331" s="70">
        <v>1272005</v>
      </c>
      <c r="X331" s="68">
        <v>0</v>
      </c>
      <c r="Y331" s="70">
        <v>84800</v>
      </c>
      <c r="Z331" s="72"/>
    </row>
    <row r="332" spans="1:26" ht="15.75" hidden="1" customHeight="1" x14ac:dyDescent="0.25">
      <c r="A332" s="64">
        <v>7</v>
      </c>
      <c r="B332" s="62">
        <v>15309929</v>
      </c>
      <c r="C332" s="62" t="s">
        <v>25011</v>
      </c>
      <c r="D332" s="62" t="s">
        <v>25012</v>
      </c>
      <c r="E332" s="62" t="s">
        <v>25013</v>
      </c>
      <c r="F332" s="62" t="s">
        <v>25014</v>
      </c>
      <c r="G332" s="81" t="s">
        <v>19285</v>
      </c>
      <c r="H332" s="63">
        <v>45119</v>
      </c>
      <c r="I332" s="63">
        <v>45133</v>
      </c>
      <c r="J332" s="62">
        <v>15</v>
      </c>
      <c r="K332" s="62">
        <v>15</v>
      </c>
      <c r="L332" s="62" t="s">
        <v>19262</v>
      </c>
      <c r="M332" s="62" t="s">
        <v>19262</v>
      </c>
      <c r="N332" s="62" t="s">
        <v>19269</v>
      </c>
      <c r="O332" s="62" t="s">
        <v>7734</v>
      </c>
      <c r="P332" s="42" t="str">
        <f>+IF(O332="","",IFERROR(VLOOKUP(O332,CODIGO_DIAGNOSTICO,2,0),"CÓDIGO NO ENCONTRADO"))</f>
        <v>DESGARRO DE MENISCOS, PRESENTE</v>
      </c>
      <c r="Q332" s="62" t="s">
        <v>19230</v>
      </c>
      <c r="R332" s="64"/>
      <c r="S332" s="75"/>
      <c r="T332" s="75"/>
      <c r="U332" s="65">
        <f>SUM(W332/30)</f>
        <v>42400.166666666664</v>
      </c>
      <c r="V332" s="62" t="s">
        <v>25941</v>
      </c>
      <c r="W332" s="65">
        <v>1272005</v>
      </c>
      <c r="X332" s="62">
        <v>0</v>
      </c>
      <c r="Y332" s="65">
        <v>84800</v>
      </c>
      <c r="Z332" s="73"/>
    </row>
    <row r="333" spans="1:26" ht="15.75" hidden="1" customHeight="1" x14ac:dyDescent="0.25">
      <c r="A333" s="67">
        <v>7</v>
      </c>
      <c r="B333" s="68">
        <v>71686928</v>
      </c>
      <c r="C333" s="68" t="s">
        <v>25149</v>
      </c>
      <c r="D333" s="68" t="s">
        <v>25829</v>
      </c>
      <c r="E333" s="68" t="s">
        <v>25830</v>
      </c>
      <c r="F333" s="68" t="s">
        <v>25151</v>
      </c>
      <c r="G333" s="81" t="s">
        <v>19285</v>
      </c>
      <c r="H333" s="69">
        <v>45119</v>
      </c>
      <c r="I333" s="69">
        <v>45148</v>
      </c>
      <c r="J333" s="68">
        <v>30</v>
      </c>
      <c r="K333" s="68">
        <v>30</v>
      </c>
      <c r="L333" s="68" t="s">
        <v>19262</v>
      </c>
      <c r="M333" s="68" t="s">
        <v>19262</v>
      </c>
      <c r="N333" s="62" t="s">
        <v>19269</v>
      </c>
      <c r="O333" s="68" t="s">
        <v>7723</v>
      </c>
      <c r="P333" s="42" t="str">
        <f>+IF(O333="","",IFERROR(VLOOKUP(O333,CODIGO_DIAGNOSTICO,2,0),"CÓDIGO NO ENCONTRADO"))</f>
        <v>FRACTURA DE LA EPIFISIS SUPERIOR DE LA TIBIA</v>
      </c>
      <c r="Q333" s="68" t="s">
        <v>25025</v>
      </c>
      <c r="R333" s="67"/>
      <c r="S333" s="77">
        <v>45169</v>
      </c>
      <c r="T333" s="76">
        <v>45174</v>
      </c>
      <c r="U333" s="65">
        <f>SUM(W333/30)</f>
        <v>42400.166666666664</v>
      </c>
      <c r="V333" s="68" t="s">
        <v>25941</v>
      </c>
      <c r="W333" s="70">
        <v>1272005</v>
      </c>
      <c r="X333" s="68">
        <v>0</v>
      </c>
      <c r="Y333" s="70">
        <v>84800</v>
      </c>
      <c r="Z333" s="72"/>
    </row>
    <row r="334" spans="1:26" ht="15.75" hidden="1" customHeight="1" x14ac:dyDescent="0.25">
      <c r="A334" s="64">
        <v>7</v>
      </c>
      <c r="B334" s="62">
        <v>71676289</v>
      </c>
      <c r="C334" s="62" t="s">
        <v>25702</v>
      </c>
      <c r="D334" s="62" t="s">
        <v>25012</v>
      </c>
      <c r="E334" s="62" t="s">
        <v>25016</v>
      </c>
      <c r="F334" s="62" t="s">
        <v>25004</v>
      </c>
      <c r="G334" s="81" t="s">
        <v>19285</v>
      </c>
      <c r="H334" s="63">
        <v>45120</v>
      </c>
      <c r="I334" s="63">
        <v>45134</v>
      </c>
      <c r="J334" s="62">
        <v>15</v>
      </c>
      <c r="K334" s="62">
        <v>15</v>
      </c>
      <c r="L334" s="62" t="s">
        <v>19262</v>
      </c>
      <c r="M334" s="62" t="s">
        <v>19262</v>
      </c>
      <c r="N334" s="62" t="s">
        <v>19269</v>
      </c>
      <c r="O334" s="62" t="s">
        <v>7822</v>
      </c>
      <c r="P334" s="42" t="str">
        <f>+IF(O334="","",IFERROR(VLOOKUP(O334,CODIGO_DIAGNOSTICO,2,0),"CÓDIGO NO ENCONTRADO"))</f>
        <v>AMPUTACION TRAUMATICA DE OTRAS PARTES DEL PIE</v>
      </c>
      <c r="Q334" s="62" t="s">
        <v>19230</v>
      </c>
      <c r="R334" s="64"/>
      <c r="S334" s="75"/>
      <c r="T334" s="75"/>
      <c r="U334" s="65">
        <f>SUM(W334/30)</f>
        <v>42400.166666666664</v>
      </c>
      <c r="V334" s="62" t="s">
        <v>25941</v>
      </c>
      <c r="W334" s="65">
        <v>1272005</v>
      </c>
      <c r="X334" s="62">
        <v>0</v>
      </c>
      <c r="Y334" s="65">
        <v>84800</v>
      </c>
      <c r="Z334" s="73"/>
    </row>
    <row r="335" spans="1:26" ht="15.75" hidden="1" customHeight="1" x14ac:dyDescent="0.25">
      <c r="A335" s="67">
        <v>7</v>
      </c>
      <c r="B335" s="68">
        <v>1037583233</v>
      </c>
      <c r="C335" s="68" t="s">
        <v>24985</v>
      </c>
      <c r="D335" s="68" t="s">
        <v>25140</v>
      </c>
      <c r="E335" s="68" t="s">
        <v>25198</v>
      </c>
      <c r="F335" s="68" t="s">
        <v>25010</v>
      </c>
      <c r="G335" s="81" t="s">
        <v>19285</v>
      </c>
      <c r="H335" s="69">
        <v>45121</v>
      </c>
      <c r="I335" s="69">
        <v>45124</v>
      </c>
      <c r="J335" s="68">
        <v>3</v>
      </c>
      <c r="K335" s="68">
        <v>3</v>
      </c>
      <c r="L335" s="68" t="s">
        <v>24995</v>
      </c>
      <c r="M335" s="68" t="s">
        <v>24995</v>
      </c>
      <c r="N335" s="62" t="s">
        <v>19269</v>
      </c>
      <c r="O335" s="68" t="s">
        <v>4689</v>
      </c>
      <c r="P335" s="42" t="str">
        <f>+IF(O335="","",IFERROR(VLOOKUP(O335,CODIGO_DIAGNOSTICO,2,0),"CÓDIGO NO ENCONTRADO"))</f>
        <v>TRASTORNO DEL MENISCO DEBIDO A DESGARRO O LESION ANTIGUA</v>
      </c>
      <c r="Q335" s="68" t="s">
        <v>25001</v>
      </c>
      <c r="R335" s="67">
        <v>6882768</v>
      </c>
      <c r="S335" s="77">
        <v>45134</v>
      </c>
      <c r="T335" s="76">
        <v>45153</v>
      </c>
      <c r="U335" s="65">
        <f>SUM(W335/30)</f>
        <v>42400.166666666664</v>
      </c>
      <c r="V335" s="68" t="s">
        <v>25941</v>
      </c>
      <c r="W335" s="70">
        <v>1272005</v>
      </c>
      <c r="X335" s="68">
        <v>0</v>
      </c>
      <c r="Y335" s="70">
        <v>84800</v>
      </c>
      <c r="Z335" s="72"/>
    </row>
    <row r="336" spans="1:26" ht="15.75" hidden="1" customHeight="1" x14ac:dyDescent="0.25">
      <c r="A336" s="64">
        <v>7</v>
      </c>
      <c r="B336" s="62">
        <v>1003535677</v>
      </c>
      <c r="C336" s="62" t="s">
        <v>25949</v>
      </c>
      <c r="D336" s="62" t="s">
        <v>25254</v>
      </c>
      <c r="E336" s="62" t="s">
        <v>25028</v>
      </c>
      <c r="F336" s="62" t="s">
        <v>25010</v>
      </c>
      <c r="G336" s="81" t="s">
        <v>19285</v>
      </c>
      <c r="H336" s="63">
        <v>45121</v>
      </c>
      <c r="I336" s="63">
        <v>45127</v>
      </c>
      <c r="J336" s="62">
        <v>5</v>
      </c>
      <c r="K336" s="62">
        <v>5</v>
      </c>
      <c r="L336" s="62" t="s">
        <v>24995</v>
      </c>
      <c r="M336" s="62" t="s">
        <v>24995</v>
      </c>
      <c r="N336" s="62" t="s">
        <v>19269</v>
      </c>
      <c r="O336" s="62" t="s">
        <v>12288</v>
      </c>
      <c r="P336" s="42" t="str">
        <f>+IF(O336="","",IFERROR(VLOOKUP(O336,CODIGO_DIAGNOSTICO,2,0),"CÓDIGO NO ENCONTRADO"))</f>
        <v>PERSONA EN CONTACTO CON LOS SERVICIOS DE SALUD EN CIRCUNSTANCIAS NO ESPECIFICADAS</v>
      </c>
      <c r="Q336" s="62" t="s">
        <v>24996</v>
      </c>
      <c r="R336" s="64"/>
      <c r="S336" s="75">
        <v>45129</v>
      </c>
      <c r="T336" s="75">
        <v>45163</v>
      </c>
      <c r="U336" s="65">
        <f>SUM(W336/30)</f>
        <v>42400.166666666664</v>
      </c>
      <c r="V336" s="62" t="s">
        <v>25941</v>
      </c>
      <c r="W336" s="65">
        <v>1272005</v>
      </c>
      <c r="X336" s="62">
        <v>0</v>
      </c>
      <c r="Y336" s="65">
        <v>84800</v>
      </c>
      <c r="Z336" s="73"/>
    </row>
    <row r="337" spans="1:26" ht="15.75" hidden="1" customHeight="1" x14ac:dyDescent="0.25">
      <c r="A337" s="67">
        <v>5</v>
      </c>
      <c r="B337" s="68">
        <v>8156170</v>
      </c>
      <c r="C337" s="68" t="s">
        <v>25061</v>
      </c>
      <c r="D337" s="68" t="s">
        <v>25062</v>
      </c>
      <c r="E337" s="68" t="s">
        <v>25063</v>
      </c>
      <c r="F337" s="68" t="s">
        <v>25064</v>
      </c>
      <c r="G337" s="81" t="s">
        <v>19285</v>
      </c>
      <c r="H337" s="69">
        <v>45122</v>
      </c>
      <c r="I337" s="69">
        <v>45124</v>
      </c>
      <c r="J337" s="68">
        <v>3</v>
      </c>
      <c r="K337" s="68">
        <v>3</v>
      </c>
      <c r="L337" s="68" t="s">
        <v>24995</v>
      </c>
      <c r="M337" s="68" t="s">
        <v>24995</v>
      </c>
      <c r="N337" s="62" t="s">
        <v>19269</v>
      </c>
      <c r="O337" s="68" t="s">
        <v>517</v>
      </c>
      <c r="P337" s="42" t="str">
        <f>+IF(O337="","",IFERROR(VLOOKUP(O337,CODIGO_DIAGNOSTICO,2,0),"CÓDIGO NO ENCONTRADO"))</f>
        <v>PAROTIDITIS, SIN COMPLICACIONES</v>
      </c>
      <c r="Q337" s="68" t="s">
        <v>19230</v>
      </c>
      <c r="R337" s="67"/>
      <c r="S337" s="77">
        <v>45124</v>
      </c>
      <c r="T337" s="76">
        <v>45134</v>
      </c>
      <c r="U337" s="65">
        <f>SUM(W337/30)</f>
        <v>42400.166666666664</v>
      </c>
      <c r="V337" s="68" t="s">
        <v>25941</v>
      </c>
      <c r="W337" s="70">
        <v>1272005</v>
      </c>
      <c r="X337" s="68">
        <v>0</v>
      </c>
      <c r="Y337" s="70">
        <v>84800</v>
      </c>
      <c r="Z337" s="72"/>
    </row>
    <row r="338" spans="1:26" ht="15.75" hidden="1" customHeight="1" x14ac:dyDescent="0.25">
      <c r="A338" s="64">
        <v>7</v>
      </c>
      <c r="B338" s="62">
        <v>17648535</v>
      </c>
      <c r="C338" s="62" t="s">
        <v>25049</v>
      </c>
      <c r="D338" s="62" t="s">
        <v>25049</v>
      </c>
      <c r="E338" s="62" t="s">
        <v>25255</v>
      </c>
      <c r="F338" s="62" t="s">
        <v>25135</v>
      </c>
      <c r="G338" s="81" t="s">
        <v>19285</v>
      </c>
      <c r="H338" s="63">
        <v>45122</v>
      </c>
      <c r="I338" s="63">
        <v>45138</v>
      </c>
      <c r="J338" s="62">
        <v>17</v>
      </c>
      <c r="K338" s="62">
        <v>17</v>
      </c>
      <c r="L338" s="62" t="s">
        <v>24995</v>
      </c>
      <c r="M338" s="62" t="s">
        <v>24995</v>
      </c>
      <c r="N338" s="62" t="s">
        <v>19269</v>
      </c>
      <c r="O338" s="62" t="s">
        <v>4692</v>
      </c>
      <c r="P338" s="42" t="str">
        <f>+IF(O338="","",IFERROR(VLOOKUP(O338,CODIGO_DIAGNOSTICO,2,0),"CÓDIGO NO ENCONTRADO"))</f>
        <v>INESTABILIDAD CRONICA DE LA RODILLA</v>
      </c>
      <c r="Q338" s="62" t="s">
        <v>19230</v>
      </c>
      <c r="R338" s="64"/>
      <c r="S338" s="75">
        <v>45125</v>
      </c>
      <c r="T338" s="75">
        <v>45132</v>
      </c>
      <c r="U338" s="65">
        <f>SUM(W338/30)</f>
        <v>42400.166666666664</v>
      </c>
      <c r="V338" s="62" t="s">
        <v>25941</v>
      </c>
      <c r="W338" s="65">
        <v>1272005</v>
      </c>
      <c r="X338" s="62">
        <v>0</v>
      </c>
      <c r="Y338" s="65">
        <v>84800</v>
      </c>
      <c r="Z338" s="73"/>
    </row>
    <row r="339" spans="1:26" ht="15.75" hidden="1" customHeight="1" x14ac:dyDescent="0.25">
      <c r="A339" s="67">
        <v>7</v>
      </c>
      <c r="B339" s="68">
        <v>43117538</v>
      </c>
      <c r="C339" s="68" t="s">
        <v>25310</v>
      </c>
      <c r="D339" s="68" t="s">
        <v>25248</v>
      </c>
      <c r="E339" s="68" t="s">
        <v>25619</v>
      </c>
      <c r="F339" s="68" t="s">
        <v>25000</v>
      </c>
      <c r="G339" s="81" t="s">
        <v>19285</v>
      </c>
      <c r="H339" s="69">
        <v>45122</v>
      </c>
      <c r="I339" s="69">
        <v>45124</v>
      </c>
      <c r="J339" s="68">
        <v>3</v>
      </c>
      <c r="K339" s="68">
        <v>3</v>
      </c>
      <c r="L339" s="68" t="s">
        <v>24995</v>
      </c>
      <c r="M339" s="68" t="s">
        <v>24995</v>
      </c>
      <c r="N339" s="62" t="s">
        <v>19269</v>
      </c>
      <c r="O339" s="68" t="s">
        <v>12288</v>
      </c>
      <c r="P339" s="42" t="str">
        <f>+IF(O339="","",IFERROR(VLOOKUP(O339,CODIGO_DIAGNOSTICO,2,0),"CÓDIGO NO ENCONTRADO"))</f>
        <v>PERSONA EN CONTACTO CON LOS SERVICIOS DE SALUD EN CIRCUNSTANCIAS NO ESPECIFICADAS</v>
      </c>
      <c r="Q339" s="68" t="s">
        <v>19230</v>
      </c>
      <c r="R339" s="67"/>
      <c r="S339" s="77">
        <v>45129</v>
      </c>
      <c r="T339" s="76">
        <v>45146</v>
      </c>
      <c r="U339" s="65">
        <f>SUM(W339/30)</f>
        <v>42400.166666666664</v>
      </c>
      <c r="V339" s="68" t="s">
        <v>25941</v>
      </c>
      <c r="W339" s="70">
        <v>1272005</v>
      </c>
      <c r="X339" s="68">
        <v>0</v>
      </c>
      <c r="Y339" s="70">
        <v>84800</v>
      </c>
      <c r="Z339" s="72"/>
    </row>
    <row r="340" spans="1:26" ht="15.75" hidden="1" customHeight="1" x14ac:dyDescent="0.25">
      <c r="A340" s="64">
        <v>7</v>
      </c>
      <c r="B340" s="62">
        <v>1036622798</v>
      </c>
      <c r="C340" s="62" t="s">
        <v>25136</v>
      </c>
      <c r="D340" s="62" t="s">
        <v>25137</v>
      </c>
      <c r="E340" s="62" t="s">
        <v>25138</v>
      </c>
      <c r="F340" s="62" t="s">
        <v>25339</v>
      </c>
      <c r="G340" s="81" t="s">
        <v>19285</v>
      </c>
      <c r="H340" s="63">
        <v>45124</v>
      </c>
      <c r="I340" s="63">
        <v>45153</v>
      </c>
      <c r="J340" s="62">
        <v>30</v>
      </c>
      <c r="K340" s="62">
        <v>30</v>
      </c>
      <c r="L340" s="62" t="s">
        <v>19262</v>
      </c>
      <c r="M340" s="62" t="s">
        <v>19262</v>
      </c>
      <c r="N340" s="62" t="s">
        <v>19269</v>
      </c>
      <c r="O340" s="62" t="s">
        <v>7725</v>
      </c>
      <c r="P340" s="42" t="str">
        <f>+IF(O340="","",IFERROR(VLOOKUP(O340,CODIGO_DIAGNOSTICO,2,0),"CÓDIGO NO ENCONTRADO"))</f>
        <v>FRACTURA DE LA EPIFISIS INFERIOR DE LA TIBIA</v>
      </c>
      <c r="Q340" s="62" t="s">
        <v>19230</v>
      </c>
      <c r="R340" s="64"/>
      <c r="S340" s="75"/>
      <c r="T340" s="75"/>
      <c r="U340" s="65">
        <f>SUM(W340/30)</f>
        <v>42400.166666666664</v>
      </c>
      <c r="V340" s="62" t="s">
        <v>25941</v>
      </c>
      <c r="W340" s="65">
        <v>1272005</v>
      </c>
      <c r="X340" s="62">
        <v>0</v>
      </c>
      <c r="Y340" s="65">
        <v>84800</v>
      </c>
      <c r="Z340" s="73"/>
    </row>
    <row r="341" spans="1:26" ht="15.75" hidden="1" customHeight="1" x14ac:dyDescent="0.25">
      <c r="A341" s="67">
        <v>5</v>
      </c>
      <c r="B341" s="68">
        <v>8156170</v>
      </c>
      <c r="C341" s="68" t="s">
        <v>25061</v>
      </c>
      <c r="D341" s="68" t="s">
        <v>25062</v>
      </c>
      <c r="E341" s="68" t="s">
        <v>25063</v>
      </c>
      <c r="F341" s="68" t="s">
        <v>25064</v>
      </c>
      <c r="G341" s="81" t="s">
        <v>19285</v>
      </c>
      <c r="H341" s="69">
        <v>45125</v>
      </c>
      <c r="I341" s="69">
        <v>45127</v>
      </c>
      <c r="J341" s="68">
        <v>3</v>
      </c>
      <c r="K341" s="68">
        <v>3</v>
      </c>
      <c r="L341" s="68" t="s">
        <v>24995</v>
      </c>
      <c r="M341" s="68" t="s">
        <v>24995</v>
      </c>
      <c r="N341" s="62" t="s">
        <v>19269</v>
      </c>
      <c r="O341" s="68" t="s">
        <v>517</v>
      </c>
      <c r="P341" s="42" t="str">
        <f>+IF(O341="","",IFERROR(VLOOKUP(O341,CODIGO_DIAGNOSTICO,2,0),"CÓDIGO NO ENCONTRADO"))</f>
        <v>PAROTIDITIS, SIN COMPLICACIONES</v>
      </c>
      <c r="Q341" s="68" t="s">
        <v>19230</v>
      </c>
      <c r="R341" s="67"/>
      <c r="S341" s="77">
        <v>45127</v>
      </c>
      <c r="T341" s="76">
        <v>45134</v>
      </c>
      <c r="U341" s="65">
        <f>SUM(W341/30)</f>
        <v>42400.166666666664</v>
      </c>
      <c r="V341" s="68" t="s">
        <v>25941</v>
      </c>
      <c r="W341" s="70">
        <v>1272005</v>
      </c>
      <c r="X341" s="68">
        <v>0</v>
      </c>
      <c r="Y341" s="70">
        <v>84800</v>
      </c>
      <c r="Z341" s="72"/>
    </row>
    <row r="342" spans="1:26" ht="15.75" hidden="1" customHeight="1" x14ac:dyDescent="0.25">
      <c r="A342" s="64">
        <v>9</v>
      </c>
      <c r="B342" s="62">
        <v>1216713788</v>
      </c>
      <c r="C342" s="62" t="s">
        <v>24987</v>
      </c>
      <c r="D342" s="62" t="s">
        <v>25687</v>
      </c>
      <c r="E342" s="62" t="s">
        <v>25089</v>
      </c>
      <c r="F342" s="62" t="s">
        <v>25066</v>
      </c>
      <c r="G342" s="81" t="s">
        <v>19285</v>
      </c>
      <c r="H342" s="63">
        <v>45126</v>
      </c>
      <c r="I342" s="63">
        <v>45140</v>
      </c>
      <c r="J342" s="62">
        <v>15</v>
      </c>
      <c r="K342" s="62">
        <v>15</v>
      </c>
      <c r="L342" s="62" t="s">
        <v>19262</v>
      </c>
      <c r="M342" s="62" t="s">
        <v>24995</v>
      </c>
      <c r="N342" s="62" t="s">
        <v>19263</v>
      </c>
      <c r="O342" s="62" t="s">
        <v>7737</v>
      </c>
      <c r="P342" s="42" t="str">
        <f>+IF(O342="","",IFERROR(VLOOKUP(O342,CODIGO_DIAGNOSTICO,2,0),"CÓDIGO NO ENCONTRADO"))</f>
        <v>ESGUINCES Y TORCEDURAS QUE COMPROMETEN EL LIGAMENTO CRUZADO (ANTERIOR) (POSTERIOR) DE LA RODILLA</v>
      </c>
      <c r="Q342" s="62" t="s">
        <v>25001</v>
      </c>
      <c r="R342" s="64"/>
      <c r="S342" s="75">
        <v>45274</v>
      </c>
      <c r="T342" s="75"/>
      <c r="U342" s="65">
        <f>SUM(W342/30)*J342</f>
        <v>636002.5</v>
      </c>
      <c r="V342" s="62" t="s">
        <v>25941</v>
      </c>
      <c r="W342" s="65">
        <v>1272005</v>
      </c>
      <c r="X342" s="62">
        <v>0</v>
      </c>
      <c r="Y342" s="65">
        <v>0</v>
      </c>
      <c r="Z342" s="73"/>
    </row>
    <row r="343" spans="1:26" ht="15.75" hidden="1" customHeight="1" x14ac:dyDescent="0.25">
      <c r="A343" s="67">
        <v>7</v>
      </c>
      <c r="B343" s="68">
        <v>1216713788</v>
      </c>
      <c r="C343" s="68" t="s">
        <v>24987</v>
      </c>
      <c r="D343" s="68" t="s">
        <v>25687</v>
      </c>
      <c r="E343" s="68" t="s">
        <v>25010</v>
      </c>
      <c r="F343" s="68" t="s">
        <v>25066</v>
      </c>
      <c r="G343" s="81" t="s">
        <v>19285</v>
      </c>
      <c r="H343" s="69">
        <v>45126</v>
      </c>
      <c r="I343" s="69">
        <v>45140</v>
      </c>
      <c r="J343" s="68">
        <v>15</v>
      </c>
      <c r="K343" s="68">
        <v>15</v>
      </c>
      <c r="L343" s="68" t="s">
        <v>19262</v>
      </c>
      <c r="M343" s="68" t="s">
        <v>24995</v>
      </c>
      <c r="N343" s="62" t="s">
        <v>19269</v>
      </c>
      <c r="O343" s="68" t="s">
        <v>7713</v>
      </c>
      <c r="P343" s="42" t="str">
        <f>+IF(O343="","",IFERROR(VLOOKUP(O343,CODIGO_DIAGNOSTICO,2,0),"CÓDIGO NO ENCONTRADO"))</f>
        <v>CONTUSION DE LA RODILLA</v>
      </c>
      <c r="Q343" s="68" t="s">
        <v>25001</v>
      </c>
      <c r="R343" s="67">
        <v>30543180</v>
      </c>
      <c r="S343" s="77">
        <v>45274</v>
      </c>
      <c r="T343" s="76"/>
      <c r="U343" s="65">
        <f>SUM(W343/30)</f>
        <v>42400.166666666664</v>
      </c>
      <c r="V343" s="68" t="s">
        <v>25941</v>
      </c>
      <c r="W343" s="70">
        <v>1272005</v>
      </c>
      <c r="X343" s="68">
        <v>0</v>
      </c>
      <c r="Y343" s="70">
        <v>84800</v>
      </c>
      <c r="Z343" s="72"/>
    </row>
    <row r="344" spans="1:26" ht="15.75" hidden="1" customHeight="1" x14ac:dyDescent="0.25">
      <c r="A344" s="64">
        <v>7</v>
      </c>
      <c r="B344" s="62">
        <v>71651935</v>
      </c>
      <c r="C344" s="62" t="s">
        <v>25635</v>
      </c>
      <c r="D344" s="62" t="s">
        <v>25480</v>
      </c>
      <c r="E344" s="62" t="s">
        <v>25282</v>
      </c>
      <c r="F344" s="62" t="s">
        <v>25028</v>
      </c>
      <c r="G344" s="81" t="s">
        <v>19285</v>
      </c>
      <c r="H344" s="63">
        <v>45127</v>
      </c>
      <c r="I344" s="63">
        <v>45156</v>
      </c>
      <c r="J344" s="62">
        <v>30</v>
      </c>
      <c r="K344" s="62">
        <v>30</v>
      </c>
      <c r="L344" s="62" t="s">
        <v>19262</v>
      </c>
      <c r="M344" s="62" t="s">
        <v>19262</v>
      </c>
      <c r="N344" s="62" t="s">
        <v>19269</v>
      </c>
      <c r="O344" s="62" t="s">
        <v>905</v>
      </c>
      <c r="P344" s="42" t="str">
        <f>+IF(O344="","",IFERROR(VLOOKUP(O344,CODIGO_DIAGNOSTICO,2,0),"CÓDIGO NO ENCONTRADO"))</f>
        <v>TUMOR MALIGNO DEL RECTO</v>
      </c>
      <c r="Q344" s="62" t="s">
        <v>24996</v>
      </c>
      <c r="R344" s="64"/>
      <c r="S344" s="75"/>
      <c r="T344" s="75"/>
      <c r="U344" s="65">
        <f>SUM(W344/30)</f>
        <v>42400.166666666664</v>
      </c>
      <c r="V344" s="62" t="s">
        <v>25941</v>
      </c>
      <c r="W344" s="65">
        <v>1272005</v>
      </c>
      <c r="X344" s="62">
        <v>0</v>
      </c>
      <c r="Y344" s="65">
        <v>84800</v>
      </c>
      <c r="Z344" s="73"/>
    </row>
    <row r="345" spans="1:26" ht="15.75" hidden="1" customHeight="1" x14ac:dyDescent="0.25">
      <c r="A345" s="67">
        <v>5</v>
      </c>
      <c r="B345" s="68">
        <v>8156170</v>
      </c>
      <c r="C345" s="68" t="s">
        <v>25061</v>
      </c>
      <c r="D345" s="68" t="s">
        <v>25062</v>
      </c>
      <c r="E345" s="68" t="s">
        <v>25063</v>
      </c>
      <c r="F345" s="68" t="s">
        <v>25064</v>
      </c>
      <c r="G345" s="81" t="s">
        <v>19285</v>
      </c>
      <c r="H345" s="69">
        <v>45128</v>
      </c>
      <c r="I345" s="69">
        <v>45131</v>
      </c>
      <c r="J345" s="68">
        <v>4</v>
      </c>
      <c r="K345" s="68">
        <v>4</v>
      </c>
      <c r="L345" s="68" t="s">
        <v>24995</v>
      </c>
      <c r="M345" s="68" t="s">
        <v>24995</v>
      </c>
      <c r="N345" s="62" t="s">
        <v>19269</v>
      </c>
      <c r="O345" s="68" t="s">
        <v>517</v>
      </c>
      <c r="P345" s="42" t="str">
        <f>+IF(O345="","",IFERROR(VLOOKUP(O345,CODIGO_DIAGNOSTICO,2,0),"CÓDIGO NO ENCONTRADO"))</f>
        <v>PAROTIDITIS, SIN COMPLICACIONES</v>
      </c>
      <c r="Q345" s="68" t="s">
        <v>19230</v>
      </c>
      <c r="R345" s="67"/>
      <c r="S345" s="77">
        <v>45132</v>
      </c>
      <c r="T345" s="76">
        <v>45134</v>
      </c>
      <c r="U345" s="65">
        <f>SUM(W345/30)</f>
        <v>42400.166666666664</v>
      </c>
      <c r="V345" s="68" t="s">
        <v>25941</v>
      </c>
      <c r="W345" s="70">
        <v>1272005</v>
      </c>
      <c r="X345" s="68">
        <v>0</v>
      </c>
      <c r="Y345" s="70">
        <v>84800</v>
      </c>
      <c r="Z345" s="72"/>
    </row>
    <row r="346" spans="1:26" ht="15.75" hidden="1" customHeight="1" x14ac:dyDescent="0.25">
      <c r="A346" s="64">
        <v>7</v>
      </c>
      <c r="B346" s="62">
        <v>1067892509</v>
      </c>
      <c r="C346" s="62" t="s">
        <v>25247</v>
      </c>
      <c r="D346" s="62" t="s">
        <v>25312</v>
      </c>
      <c r="E346" s="62" t="s">
        <v>25808</v>
      </c>
      <c r="F346" s="62" t="s">
        <v>25809</v>
      </c>
      <c r="G346" s="81" t="s">
        <v>19285</v>
      </c>
      <c r="H346" s="63">
        <v>45129</v>
      </c>
      <c r="I346" s="63">
        <v>45158</v>
      </c>
      <c r="J346" s="62">
        <v>30</v>
      </c>
      <c r="K346" s="62">
        <v>30</v>
      </c>
      <c r="L346" s="62" t="s">
        <v>19262</v>
      </c>
      <c r="M346" s="62" t="s">
        <v>19262</v>
      </c>
      <c r="N346" s="62" t="s">
        <v>19263</v>
      </c>
      <c r="O346" s="62" t="s">
        <v>7723</v>
      </c>
      <c r="P346" s="42" t="str">
        <f>+IF(O346="","",IFERROR(VLOOKUP(O346,CODIGO_DIAGNOSTICO,2,0),"CÓDIGO NO ENCONTRADO"))</f>
        <v>FRACTURA DE LA EPIFISIS SUPERIOR DE LA TIBIA</v>
      </c>
      <c r="Q346" s="62" t="s">
        <v>25001</v>
      </c>
      <c r="R346" s="64">
        <v>6905829</v>
      </c>
      <c r="S346" s="75">
        <v>45154</v>
      </c>
      <c r="T346" s="75">
        <v>45168</v>
      </c>
      <c r="U346" s="65">
        <f>SUM(W346/30)*J346</f>
        <v>1272005</v>
      </c>
      <c r="V346" s="62" t="s">
        <v>25941</v>
      </c>
      <c r="W346" s="65">
        <v>1272005</v>
      </c>
      <c r="X346" s="62">
        <v>0</v>
      </c>
      <c r="Y346" s="65">
        <v>0</v>
      </c>
      <c r="Z346" s="73"/>
    </row>
    <row r="347" spans="1:26" ht="15.75" hidden="1" customHeight="1" x14ac:dyDescent="0.25">
      <c r="A347" s="67">
        <v>7</v>
      </c>
      <c r="B347" s="68">
        <v>71664318</v>
      </c>
      <c r="C347" s="68" t="s">
        <v>25846</v>
      </c>
      <c r="D347" s="68" t="s">
        <v>25456</v>
      </c>
      <c r="E347" s="68" t="s">
        <v>25282</v>
      </c>
      <c r="F347" s="68" t="s">
        <v>25028</v>
      </c>
      <c r="G347" s="81" t="s">
        <v>19285</v>
      </c>
      <c r="H347" s="69">
        <v>45132</v>
      </c>
      <c r="I347" s="69">
        <v>45161</v>
      </c>
      <c r="J347" s="68">
        <v>30</v>
      </c>
      <c r="K347" s="68">
        <v>30</v>
      </c>
      <c r="L347" s="68" t="s">
        <v>24995</v>
      </c>
      <c r="M347" s="68" t="s">
        <v>24995</v>
      </c>
      <c r="N347" s="62" t="s">
        <v>19269</v>
      </c>
      <c r="O347" s="68" t="s">
        <v>4158</v>
      </c>
      <c r="P347" s="42" t="str">
        <f>+IF(O347="","",IFERROR(VLOOKUP(O347,CODIGO_DIAGNOSTICO,2,0),"CÓDIGO NO ENCONTRADO"))</f>
        <v>COLECISTITIS, NO ESPECIFICADA</v>
      </c>
      <c r="Q347" s="68" t="s">
        <v>19230</v>
      </c>
      <c r="R347" s="67"/>
      <c r="S347" s="77">
        <v>45152</v>
      </c>
      <c r="T347" s="76">
        <v>45169</v>
      </c>
      <c r="U347" s="65">
        <f>SUM(W347/30)</f>
        <v>42400.166666666664</v>
      </c>
      <c r="V347" s="68" t="s">
        <v>25941</v>
      </c>
      <c r="W347" s="70">
        <v>1272005</v>
      </c>
      <c r="X347" s="68">
        <v>0</v>
      </c>
      <c r="Y347" s="70">
        <v>84800</v>
      </c>
      <c r="Z347" s="72"/>
    </row>
    <row r="348" spans="1:26" ht="15.75" hidden="1" customHeight="1" x14ac:dyDescent="0.25">
      <c r="A348" s="64">
        <v>7</v>
      </c>
      <c r="B348" s="62">
        <v>15509928</v>
      </c>
      <c r="C348" s="62" t="s">
        <v>25361</v>
      </c>
      <c r="D348" s="62" t="s">
        <v>25214</v>
      </c>
      <c r="E348" s="62" t="s">
        <v>25442</v>
      </c>
      <c r="F348" s="62" t="s">
        <v>25416</v>
      </c>
      <c r="G348" s="81" t="s">
        <v>19285</v>
      </c>
      <c r="H348" s="63">
        <v>45132</v>
      </c>
      <c r="I348" s="63">
        <v>45133</v>
      </c>
      <c r="J348" s="62">
        <v>2</v>
      </c>
      <c r="K348" s="62">
        <v>2</v>
      </c>
      <c r="L348" s="62" t="s">
        <v>24995</v>
      </c>
      <c r="M348" s="62" t="s">
        <v>24995</v>
      </c>
      <c r="N348" s="62" t="s">
        <v>19269</v>
      </c>
      <c r="O348" s="62" t="s">
        <v>15281</v>
      </c>
      <c r="P348" s="42" t="str">
        <f>+IF(O348="","",IFERROR(VLOOKUP(O348,CODIGO_DIAGNOSTICO,2,0),"CÓDIGO NO ENCONTRADO"))</f>
        <v>RINOFARINGITIS AGUDA (RESFRIADO COMUN)</v>
      </c>
      <c r="Q348" s="62" t="s">
        <v>19230</v>
      </c>
      <c r="R348" s="64">
        <v>0</v>
      </c>
      <c r="S348" s="75"/>
      <c r="T348" s="75"/>
      <c r="U348" s="65">
        <f>SUM(W348/30)</f>
        <v>42400.166666666664</v>
      </c>
      <c r="V348" s="62" t="s">
        <v>25941</v>
      </c>
      <c r="W348" s="65">
        <v>1272005</v>
      </c>
      <c r="X348" s="62">
        <v>0</v>
      </c>
      <c r="Y348" s="65">
        <v>84800</v>
      </c>
      <c r="Z348" s="73"/>
    </row>
    <row r="349" spans="1:26" ht="15.75" hidden="1" customHeight="1" x14ac:dyDescent="0.25">
      <c r="A349" s="67">
        <v>7</v>
      </c>
      <c r="B349" s="68">
        <v>1001379162</v>
      </c>
      <c r="C349" s="68" t="s">
        <v>25423</v>
      </c>
      <c r="D349" s="68" t="s">
        <v>25423</v>
      </c>
      <c r="E349" s="68" t="s">
        <v>25110</v>
      </c>
      <c r="F349" s="68"/>
      <c r="G349" s="81" t="s">
        <v>19285</v>
      </c>
      <c r="H349" s="69">
        <v>45133</v>
      </c>
      <c r="I349" s="69">
        <v>45147</v>
      </c>
      <c r="J349" s="68">
        <v>13</v>
      </c>
      <c r="K349" s="68">
        <v>13</v>
      </c>
      <c r="L349" s="68" t="s">
        <v>19262</v>
      </c>
      <c r="M349" s="68" t="s">
        <v>24995</v>
      </c>
      <c r="N349" s="62" t="s">
        <v>19269</v>
      </c>
      <c r="O349" s="68" t="s">
        <v>4669</v>
      </c>
      <c r="P349" s="42" t="str">
        <f>+IF(O349="","",IFERROR(VLOOKUP(O349,CODIGO_DIAGNOSTICO,2,0),"CÓDIGO NO ENCONTRADO"))</f>
        <v>DEFORMIDADES ADQUIRIDAS DE LOS DEDOS DEL PIE, NO ESPECIFICADAS</v>
      </c>
      <c r="Q349" s="68" t="s">
        <v>24996</v>
      </c>
      <c r="R349" s="67" t="s">
        <v>26001</v>
      </c>
      <c r="S349" s="77">
        <v>45148</v>
      </c>
      <c r="T349" s="76">
        <v>45174</v>
      </c>
      <c r="U349" s="65">
        <f>SUM(W349/30)</f>
        <v>42400.166666666664</v>
      </c>
      <c r="V349" s="68" t="s">
        <v>25941</v>
      </c>
      <c r="W349" s="70">
        <v>1272005</v>
      </c>
      <c r="X349" s="68">
        <v>0</v>
      </c>
      <c r="Y349" s="70">
        <v>84800</v>
      </c>
      <c r="Z349" s="72"/>
    </row>
    <row r="350" spans="1:26" ht="15.75" hidden="1" customHeight="1" x14ac:dyDescent="0.25">
      <c r="A350" s="64">
        <v>7</v>
      </c>
      <c r="B350" s="62">
        <v>15509928</v>
      </c>
      <c r="C350" s="62" t="s">
        <v>25361</v>
      </c>
      <c r="D350" s="62" t="s">
        <v>25214</v>
      </c>
      <c r="E350" s="62" t="s">
        <v>25442</v>
      </c>
      <c r="F350" s="62" t="s">
        <v>25416</v>
      </c>
      <c r="G350" s="81" t="s">
        <v>19285</v>
      </c>
      <c r="H350" s="63">
        <v>45134</v>
      </c>
      <c r="I350" s="63">
        <v>45136</v>
      </c>
      <c r="J350" s="62">
        <v>3</v>
      </c>
      <c r="K350" s="62">
        <v>3</v>
      </c>
      <c r="L350" s="62" t="s">
        <v>19262</v>
      </c>
      <c r="M350" s="62" t="s">
        <v>24995</v>
      </c>
      <c r="N350" s="62" t="s">
        <v>19269</v>
      </c>
      <c r="O350" s="62" t="s">
        <v>3618</v>
      </c>
      <c r="P350" s="42" t="str">
        <f>+IF(O350="","",IFERROR(VLOOKUP(O350,CODIGO_DIAGNOSTICO,2,0),"CÓDIGO NO ENCONTRADO"))</f>
        <v>NEUMONIA, NO ESPECIFICADA</v>
      </c>
      <c r="Q350" s="62" t="s">
        <v>19230</v>
      </c>
      <c r="R350" s="64"/>
      <c r="S350" s="75">
        <v>45137</v>
      </c>
      <c r="T350" s="75">
        <v>45162</v>
      </c>
      <c r="U350" s="65">
        <f>SUM(W350/30)</f>
        <v>42400.166666666664</v>
      </c>
      <c r="V350" s="62" t="s">
        <v>25941</v>
      </c>
      <c r="W350" s="65">
        <v>1272005</v>
      </c>
      <c r="X350" s="62">
        <v>0</v>
      </c>
      <c r="Y350" s="65">
        <v>84800</v>
      </c>
      <c r="Z350" s="73"/>
    </row>
    <row r="351" spans="1:26" ht="15.75" hidden="1" customHeight="1" x14ac:dyDescent="0.25">
      <c r="A351" s="67">
        <v>7</v>
      </c>
      <c r="B351" s="68">
        <v>1027946541</v>
      </c>
      <c r="C351" s="68" t="s">
        <v>25030</v>
      </c>
      <c r="D351" s="68" t="s">
        <v>25034</v>
      </c>
      <c r="E351" s="68" t="s">
        <v>25035</v>
      </c>
      <c r="F351" s="68" t="s">
        <v>25010</v>
      </c>
      <c r="G351" s="81" t="s">
        <v>19285</v>
      </c>
      <c r="H351" s="69">
        <v>45134</v>
      </c>
      <c r="I351" s="69">
        <v>45136</v>
      </c>
      <c r="J351" s="68">
        <v>3</v>
      </c>
      <c r="K351" s="68">
        <v>3</v>
      </c>
      <c r="L351" s="68" t="s">
        <v>24995</v>
      </c>
      <c r="M351" s="68" t="s">
        <v>24995</v>
      </c>
      <c r="N351" s="62" t="s">
        <v>19269</v>
      </c>
      <c r="O351" s="68" t="s">
        <v>4838</v>
      </c>
      <c r="P351" s="42" t="str">
        <f>+IF(O351="","",IFERROR(VLOOKUP(O351,CODIGO_DIAGNOSTICO,2,0),"CÓDIGO NO ENCONTRADO"))</f>
        <v>LUMBAGO NO ESPECIFICADO</v>
      </c>
      <c r="Q351" s="68" t="s">
        <v>19230</v>
      </c>
      <c r="R351" s="67"/>
      <c r="S351" s="77">
        <v>45139</v>
      </c>
      <c r="T351" s="76">
        <v>45139</v>
      </c>
      <c r="U351" s="65">
        <f>SUM(W351/30)</f>
        <v>42400.166666666664</v>
      </c>
      <c r="V351" s="68" t="s">
        <v>25941</v>
      </c>
      <c r="W351" s="70">
        <v>1272005</v>
      </c>
      <c r="X351" s="68">
        <v>0</v>
      </c>
      <c r="Y351" s="70">
        <v>84800</v>
      </c>
      <c r="Z351" s="72"/>
    </row>
    <row r="352" spans="1:26" ht="15.75" hidden="1" customHeight="1" x14ac:dyDescent="0.25">
      <c r="A352" s="64">
        <v>5</v>
      </c>
      <c r="B352" s="62">
        <v>8364054</v>
      </c>
      <c r="C352" s="62" t="s">
        <v>25372</v>
      </c>
      <c r="D352" s="62" t="s">
        <v>25688</v>
      </c>
      <c r="E352" s="62" t="s">
        <v>25627</v>
      </c>
      <c r="F352" s="62" t="s">
        <v>25099</v>
      </c>
      <c r="G352" s="81" t="s">
        <v>19285</v>
      </c>
      <c r="H352" s="63">
        <v>45135</v>
      </c>
      <c r="I352" s="63">
        <v>45162</v>
      </c>
      <c r="J352" s="62">
        <v>28</v>
      </c>
      <c r="K352" s="62">
        <v>3</v>
      </c>
      <c r="L352" s="62" t="s">
        <v>24995</v>
      </c>
      <c r="M352" s="62" t="s">
        <v>24995</v>
      </c>
      <c r="N352" s="62" t="s">
        <v>19269</v>
      </c>
      <c r="O352" s="62" t="s">
        <v>7625</v>
      </c>
      <c r="P352" s="42" t="str">
        <f>+IF(O352="","",IFERROR(VLOOKUP(O352,CODIGO_DIAGNOSTICO,2,0),"CÓDIGO NO ENCONTRADO"))</f>
        <v>ESGUINCES Y TORCEDURAS DE LA MUÑECA</v>
      </c>
      <c r="Q352" s="62" t="s">
        <v>19230</v>
      </c>
      <c r="R352" s="64"/>
      <c r="S352" s="75">
        <v>45073</v>
      </c>
      <c r="T352" s="75">
        <v>45169</v>
      </c>
      <c r="U352" s="65">
        <f>SUM(W352/30)</f>
        <v>42400.166666666664</v>
      </c>
      <c r="V352" s="62" t="s">
        <v>25941</v>
      </c>
      <c r="W352" s="65">
        <v>1272005</v>
      </c>
      <c r="X352" s="62">
        <v>0</v>
      </c>
      <c r="Y352" s="65">
        <v>84800</v>
      </c>
      <c r="Z352" s="73"/>
    </row>
    <row r="353" spans="1:26" ht="15.75" hidden="1" customHeight="1" x14ac:dyDescent="0.25">
      <c r="A353" s="67">
        <v>7</v>
      </c>
      <c r="B353" s="68">
        <v>8364054</v>
      </c>
      <c r="C353" s="68" t="s">
        <v>25044</v>
      </c>
      <c r="D353" s="68" t="s">
        <v>25626</v>
      </c>
      <c r="E353" s="68" t="s">
        <v>25627</v>
      </c>
      <c r="F353" s="68" t="s">
        <v>25099</v>
      </c>
      <c r="G353" s="81" t="s">
        <v>19285</v>
      </c>
      <c r="H353" s="69">
        <v>45135</v>
      </c>
      <c r="I353" s="69">
        <v>45139</v>
      </c>
      <c r="J353" s="68">
        <v>5</v>
      </c>
      <c r="K353" s="68">
        <v>5</v>
      </c>
      <c r="L353" s="68" t="s">
        <v>24995</v>
      </c>
      <c r="M353" s="68" t="s">
        <v>24995</v>
      </c>
      <c r="N353" s="62" t="s">
        <v>19269</v>
      </c>
      <c r="O353" s="68" t="s">
        <v>7250</v>
      </c>
      <c r="P353" s="42" t="str">
        <f>+IF(O353="","",IFERROR(VLOOKUP(O353,CODIGO_DIAGNOSTICO,2,0),"CÓDIGO NO ENCONTRADO"))</f>
        <v>FRACTURA DE LOS HUESOS DE LA NARIZ</v>
      </c>
      <c r="Q353" s="68" t="s">
        <v>25025</v>
      </c>
      <c r="R353" s="67"/>
      <c r="S353" s="77">
        <v>45152</v>
      </c>
      <c r="T353" s="76">
        <v>45169</v>
      </c>
      <c r="U353" s="65">
        <f>SUM(W353/30)</f>
        <v>42400.166666666664</v>
      </c>
      <c r="V353" s="68" t="s">
        <v>25941</v>
      </c>
      <c r="W353" s="70">
        <v>1272005</v>
      </c>
      <c r="X353" s="68">
        <v>0</v>
      </c>
      <c r="Y353" s="70">
        <v>84800</v>
      </c>
      <c r="Z353" s="72"/>
    </row>
    <row r="354" spans="1:26" ht="15.75" hidden="1" customHeight="1" x14ac:dyDescent="0.25">
      <c r="A354" s="64">
        <v>7</v>
      </c>
      <c r="B354" s="62">
        <v>1033340803</v>
      </c>
      <c r="C354" s="62" t="s">
        <v>25350</v>
      </c>
      <c r="D354" s="62" t="s">
        <v>25351</v>
      </c>
      <c r="E354" s="62" t="s">
        <v>25352</v>
      </c>
      <c r="F354" s="62"/>
      <c r="G354" s="81" t="s">
        <v>19285</v>
      </c>
      <c r="H354" s="63">
        <v>45136</v>
      </c>
      <c r="I354" s="63">
        <v>45141</v>
      </c>
      <c r="J354" s="62">
        <v>6</v>
      </c>
      <c r="K354" s="62">
        <v>6</v>
      </c>
      <c r="L354" s="62" t="s">
        <v>24995</v>
      </c>
      <c r="M354" s="62" t="s">
        <v>24995</v>
      </c>
      <c r="N354" s="62" t="s">
        <v>19269</v>
      </c>
      <c r="O354" s="62" t="s">
        <v>5217</v>
      </c>
      <c r="P354" s="42" t="str">
        <f>+IF(O354="","",IFERROR(VLOOKUP(O354,CODIGO_DIAGNOSTICO,2,0),"CÓDIGO NO ENCONTRADO"))</f>
        <v>CALCULO DEL URETER</v>
      </c>
      <c r="Q354" s="62" t="s">
        <v>24996</v>
      </c>
      <c r="R354" s="64"/>
      <c r="S354" s="75"/>
      <c r="T354" s="75">
        <v>45161</v>
      </c>
      <c r="U354" s="65">
        <f>SUM(W354/30)</f>
        <v>42400.166666666664</v>
      </c>
      <c r="V354" s="62" t="s">
        <v>25941</v>
      </c>
      <c r="W354" s="65">
        <v>1272005</v>
      </c>
      <c r="X354" s="62">
        <v>0</v>
      </c>
      <c r="Y354" s="65">
        <v>84800</v>
      </c>
      <c r="Z354" s="73"/>
    </row>
    <row r="355" spans="1:26" ht="15.75" hidden="1" customHeight="1" x14ac:dyDescent="0.25">
      <c r="A355" s="67">
        <v>7</v>
      </c>
      <c r="B355" s="68">
        <v>3481465</v>
      </c>
      <c r="C355" s="68" t="s">
        <v>25204</v>
      </c>
      <c r="D355" s="68" t="s">
        <v>25205</v>
      </c>
      <c r="E355" s="68" t="s">
        <v>25206</v>
      </c>
      <c r="F355" s="68" t="s">
        <v>24982</v>
      </c>
      <c r="G355" s="81" t="s">
        <v>19285</v>
      </c>
      <c r="H355" s="69">
        <v>45137</v>
      </c>
      <c r="I355" s="69">
        <v>45166</v>
      </c>
      <c r="J355" s="68">
        <v>30</v>
      </c>
      <c r="K355" s="68">
        <v>30</v>
      </c>
      <c r="L355" s="68" t="s">
        <v>19262</v>
      </c>
      <c r="M355" s="68" t="s">
        <v>19262</v>
      </c>
      <c r="N355" s="62" t="s">
        <v>19269</v>
      </c>
      <c r="O355" s="68" t="s">
        <v>2068</v>
      </c>
      <c r="P355" s="42" t="str">
        <f>+IF(O355="","",IFERROR(VLOOKUP(O355,CODIGO_DIAGNOSTICO,2,0),"CÓDIGO NO ENCONTRADO"))</f>
        <v>DEMENCIA VASCULAR DE COMIENZO AGUDO</v>
      </c>
      <c r="Q355" s="68" t="s">
        <v>26059</v>
      </c>
      <c r="R355" s="67"/>
      <c r="S355" s="77"/>
      <c r="T355" s="76"/>
      <c r="U355" s="65">
        <f>SUM(W355/30)</f>
        <v>42400.166666666664</v>
      </c>
      <c r="V355" s="68" t="s">
        <v>25941</v>
      </c>
      <c r="W355" s="70">
        <v>1272005</v>
      </c>
      <c r="X355" s="68">
        <v>0</v>
      </c>
      <c r="Y355" s="70">
        <v>84800</v>
      </c>
      <c r="Z355" s="72"/>
    </row>
    <row r="356" spans="1:26" ht="15.75" hidden="1" customHeight="1" x14ac:dyDescent="0.25">
      <c r="A356" s="64">
        <v>7</v>
      </c>
      <c r="B356" s="62">
        <v>1073809676</v>
      </c>
      <c r="C356" s="62" t="s">
        <v>25142</v>
      </c>
      <c r="D356" s="62" t="s">
        <v>25143</v>
      </c>
      <c r="E356" s="62" t="s">
        <v>25144</v>
      </c>
      <c r="F356" s="62"/>
      <c r="G356" s="81" t="s">
        <v>19285</v>
      </c>
      <c r="H356" s="63">
        <v>45138</v>
      </c>
      <c r="I356" s="63">
        <v>45138</v>
      </c>
      <c r="J356" s="62">
        <v>1</v>
      </c>
      <c r="K356" s="62">
        <v>1</v>
      </c>
      <c r="L356" s="62" t="s">
        <v>24995</v>
      </c>
      <c r="M356" s="62" t="s">
        <v>24995</v>
      </c>
      <c r="N356" s="62" t="s">
        <v>19269</v>
      </c>
      <c r="O356" s="62" t="s">
        <v>15281</v>
      </c>
      <c r="P356" s="42" t="str">
        <f>+IF(O356="","",IFERROR(VLOOKUP(O356,CODIGO_DIAGNOSTICO,2,0),"CÓDIGO NO ENCONTRADO"))</f>
        <v>RINOFARINGITIS AGUDA (RESFRIADO COMUN)</v>
      </c>
      <c r="Q356" s="62" t="s">
        <v>19231</v>
      </c>
      <c r="R356" s="64">
        <v>0</v>
      </c>
      <c r="S356" s="75"/>
      <c r="T356" s="75">
        <v>0</v>
      </c>
      <c r="U356" s="65">
        <f>SUM(W356/30)</f>
        <v>42400.166666666664</v>
      </c>
      <c r="V356" s="62" t="s">
        <v>25941</v>
      </c>
      <c r="W356" s="65">
        <v>1272005</v>
      </c>
      <c r="X356" s="62">
        <v>0</v>
      </c>
      <c r="Y356" s="65">
        <v>84800</v>
      </c>
      <c r="Z356" s="73"/>
    </row>
    <row r="357" spans="1:26" ht="15.75" hidden="1" customHeight="1" x14ac:dyDescent="0.25">
      <c r="A357" s="67">
        <v>8</v>
      </c>
      <c r="B357" s="68">
        <v>3669363</v>
      </c>
      <c r="C357" s="68" t="s">
        <v>25173</v>
      </c>
      <c r="D357" s="68" t="s">
        <v>25046</v>
      </c>
      <c r="E357" s="68" t="s">
        <v>19287</v>
      </c>
      <c r="F357" s="68" t="s">
        <v>24982</v>
      </c>
      <c r="G357" s="81" t="s">
        <v>19285</v>
      </c>
      <c r="H357" s="69">
        <v>45139</v>
      </c>
      <c r="I357" s="69">
        <v>45139</v>
      </c>
      <c r="J357" s="68">
        <v>1</v>
      </c>
      <c r="K357" s="68">
        <v>1</v>
      </c>
      <c r="L357" s="68" t="s">
        <v>24995</v>
      </c>
      <c r="M357" s="68" t="s">
        <v>24995</v>
      </c>
      <c r="N357" s="62" t="s">
        <v>19269</v>
      </c>
      <c r="O357" s="68" t="s">
        <v>4647</v>
      </c>
      <c r="P357" s="42" t="str">
        <f>+IF(O357="","",IFERROR(VLOOKUP(O357,CODIGO_DIAGNOSTICO,2,0),"CÓDIGO NO ENCONTRADO"))</f>
        <v>OTRAS GONARTROSIS POSTRAUMATICAS</v>
      </c>
      <c r="Q357" s="68" t="s">
        <v>19230</v>
      </c>
      <c r="R357" s="67">
        <v>0</v>
      </c>
      <c r="S357" s="77"/>
      <c r="T357" s="76">
        <v>0</v>
      </c>
      <c r="U357" s="65">
        <f>SUM(W357/30)</f>
        <v>42400.166666666664</v>
      </c>
      <c r="V357" s="68" t="s">
        <v>25941</v>
      </c>
      <c r="W357" s="70">
        <v>1272005</v>
      </c>
      <c r="X357" s="68">
        <v>0</v>
      </c>
      <c r="Y357" s="70">
        <v>84800</v>
      </c>
      <c r="Z357" s="72"/>
    </row>
    <row r="358" spans="1:26" ht="15.75" hidden="1" customHeight="1" x14ac:dyDescent="0.25">
      <c r="A358" s="64">
        <v>8</v>
      </c>
      <c r="B358" s="62">
        <v>71711638</v>
      </c>
      <c r="C358" s="62" t="s">
        <v>25847</v>
      </c>
      <c r="D358" s="62" t="s">
        <v>25848</v>
      </c>
      <c r="E358" s="62" t="s">
        <v>25849</v>
      </c>
      <c r="F358" s="62" t="s">
        <v>25162</v>
      </c>
      <c r="G358" s="81" t="s">
        <v>19285</v>
      </c>
      <c r="H358" s="63">
        <v>45139</v>
      </c>
      <c r="I358" s="63">
        <v>45140</v>
      </c>
      <c r="J358" s="62">
        <v>2</v>
      </c>
      <c r="K358" s="62">
        <v>2</v>
      </c>
      <c r="L358" s="62" t="s">
        <v>24995</v>
      </c>
      <c r="M358" s="62" t="s">
        <v>24995</v>
      </c>
      <c r="N358" s="62" t="s">
        <v>19269</v>
      </c>
      <c r="O358" s="62" t="s">
        <v>4210</v>
      </c>
      <c r="P358" s="42" t="str">
        <f>+IF(O358="","",IFERROR(VLOOKUP(O358,CODIGO_DIAGNOSTICO,2,0),"CÓDIGO NO ENCONTRADO"))</f>
        <v>ABSCESO CUTANEO, FURUNCULO Y ANTRAX DE LA CUELLO</v>
      </c>
      <c r="Q358" s="62" t="s">
        <v>24996</v>
      </c>
      <c r="R358" s="64">
        <v>0</v>
      </c>
      <c r="S358" s="75"/>
      <c r="T358" s="75"/>
      <c r="U358" s="65">
        <f>SUM(W358/30)</f>
        <v>42400.166666666664</v>
      </c>
      <c r="V358" s="62" t="s">
        <v>25941</v>
      </c>
      <c r="W358" s="65">
        <v>1272005</v>
      </c>
      <c r="X358" s="62">
        <v>0</v>
      </c>
      <c r="Y358" s="65">
        <v>84800</v>
      </c>
      <c r="Z358" s="73"/>
    </row>
    <row r="359" spans="1:26" ht="15.75" hidden="1" customHeight="1" x14ac:dyDescent="0.25">
      <c r="A359" s="67">
        <v>8</v>
      </c>
      <c r="B359" s="68">
        <v>1216722370</v>
      </c>
      <c r="C359" s="68" t="s">
        <v>25247</v>
      </c>
      <c r="D359" s="68" t="s">
        <v>25348</v>
      </c>
      <c r="E359" s="68" t="s">
        <v>25851</v>
      </c>
      <c r="F359" s="68" t="s">
        <v>25060</v>
      </c>
      <c r="G359" s="81" t="s">
        <v>19285</v>
      </c>
      <c r="H359" s="69">
        <v>45139</v>
      </c>
      <c r="I359" s="69">
        <v>45168</v>
      </c>
      <c r="J359" s="68">
        <v>30</v>
      </c>
      <c r="K359" s="68">
        <v>30</v>
      </c>
      <c r="L359" s="68" t="s">
        <v>19262</v>
      </c>
      <c r="M359" s="68" t="s">
        <v>19262</v>
      </c>
      <c r="N359" s="62" t="s">
        <v>19269</v>
      </c>
      <c r="O359" s="68" t="s">
        <v>12446</v>
      </c>
      <c r="P359" s="42" t="str">
        <f>+IF(O359="","",IFERROR(VLOOKUP(O359,CODIGO_DIAGNOSTICO,2,0),"CÓDIGO NO ENCONTRADO"))</f>
        <v>OTROS ESTADOS POSTQUIRURGICOS ESPECIFICADOS</v>
      </c>
      <c r="Q359" s="68" t="s">
        <v>25025</v>
      </c>
      <c r="R359" s="67"/>
      <c r="S359" s="77"/>
      <c r="T359" s="76"/>
      <c r="U359" s="65">
        <f>SUM(W359/30)</f>
        <v>42400.166666666664</v>
      </c>
      <c r="V359" s="68" t="s">
        <v>25941</v>
      </c>
      <c r="W359" s="70">
        <v>1272005</v>
      </c>
      <c r="X359" s="68">
        <v>0</v>
      </c>
      <c r="Y359" s="70">
        <v>84800</v>
      </c>
      <c r="Z359" s="72"/>
    </row>
    <row r="360" spans="1:26" ht="15.75" hidden="1" customHeight="1" x14ac:dyDescent="0.25">
      <c r="A360" s="64">
        <v>8</v>
      </c>
      <c r="B360" s="62">
        <v>15509928</v>
      </c>
      <c r="C360" s="62" t="s">
        <v>25361</v>
      </c>
      <c r="D360" s="62" t="s">
        <v>25214</v>
      </c>
      <c r="E360" s="62" t="s">
        <v>25442</v>
      </c>
      <c r="F360" s="62" t="s">
        <v>25416</v>
      </c>
      <c r="G360" s="81" t="s">
        <v>19285</v>
      </c>
      <c r="H360" s="63">
        <v>45139</v>
      </c>
      <c r="I360" s="63">
        <v>45146</v>
      </c>
      <c r="J360" s="62">
        <v>8</v>
      </c>
      <c r="K360" s="62">
        <v>8</v>
      </c>
      <c r="L360" s="62" t="s">
        <v>19262</v>
      </c>
      <c r="M360" s="62" t="s">
        <v>24995</v>
      </c>
      <c r="N360" s="62" t="s">
        <v>19269</v>
      </c>
      <c r="O360" s="62" t="s">
        <v>3618</v>
      </c>
      <c r="P360" s="42" t="str">
        <f>+IF(O360="","",IFERROR(VLOOKUP(O360,CODIGO_DIAGNOSTICO,2,0),"CÓDIGO NO ENCONTRADO"))</f>
        <v>NEUMONIA, NO ESPECIFICADA</v>
      </c>
      <c r="Q360" s="62" t="s">
        <v>19230</v>
      </c>
      <c r="R360" s="64"/>
      <c r="S360" s="75"/>
      <c r="T360" s="75"/>
      <c r="U360" s="65">
        <f>SUM(W360/30)</f>
        <v>42400.166666666664</v>
      </c>
      <c r="V360" s="62" t="s">
        <v>25941</v>
      </c>
      <c r="W360" s="65">
        <v>1272005</v>
      </c>
      <c r="X360" s="62">
        <v>0</v>
      </c>
      <c r="Y360" s="65">
        <v>84800</v>
      </c>
      <c r="Z360" s="73"/>
    </row>
    <row r="361" spans="1:26" ht="15.75" hidden="1" customHeight="1" x14ac:dyDescent="0.25">
      <c r="A361" s="67">
        <v>8</v>
      </c>
      <c r="B361" s="68">
        <v>3669363</v>
      </c>
      <c r="C361" s="68" t="s">
        <v>25173</v>
      </c>
      <c r="D361" s="68" t="s">
        <v>25046</v>
      </c>
      <c r="E361" s="68" t="s">
        <v>19287</v>
      </c>
      <c r="F361" s="68" t="s">
        <v>24982</v>
      </c>
      <c r="G361" s="81" t="s">
        <v>19285</v>
      </c>
      <c r="H361" s="69">
        <v>45140</v>
      </c>
      <c r="I361" s="69">
        <v>45142</v>
      </c>
      <c r="J361" s="68">
        <v>3</v>
      </c>
      <c r="K361" s="68">
        <v>3</v>
      </c>
      <c r="L361" s="68" t="s">
        <v>19262</v>
      </c>
      <c r="M361" s="68" t="s">
        <v>24995</v>
      </c>
      <c r="N361" s="62" t="s">
        <v>19269</v>
      </c>
      <c r="O361" s="68" t="s">
        <v>4647</v>
      </c>
      <c r="P361" s="42" t="str">
        <f>+IF(O361="","",IFERROR(VLOOKUP(O361,CODIGO_DIAGNOSTICO,2,0),"CÓDIGO NO ENCONTRADO"))</f>
        <v>OTRAS GONARTROSIS POSTRAUMATICAS</v>
      </c>
      <c r="Q361" s="68" t="s">
        <v>19230</v>
      </c>
      <c r="R361" s="67"/>
      <c r="S361" s="77"/>
      <c r="T361" s="76"/>
      <c r="U361" s="65">
        <f>SUM(W361/30)</f>
        <v>42400.166666666664</v>
      </c>
      <c r="V361" s="68" t="s">
        <v>25941</v>
      </c>
      <c r="W361" s="70">
        <v>1272005</v>
      </c>
      <c r="X361" s="68">
        <v>0</v>
      </c>
      <c r="Y361" s="70">
        <v>84800</v>
      </c>
      <c r="Z361" s="72"/>
    </row>
    <row r="362" spans="1:26" ht="15.75" hidden="1" customHeight="1" x14ac:dyDescent="0.25">
      <c r="A362" s="64">
        <v>8</v>
      </c>
      <c r="B362" s="62">
        <v>1216713788</v>
      </c>
      <c r="C362" s="62" t="s">
        <v>24987</v>
      </c>
      <c r="D362" s="62" t="s">
        <v>25687</v>
      </c>
      <c r="E362" s="62" t="s">
        <v>25089</v>
      </c>
      <c r="F362" s="62" t="s">
        <v>25066</v>
      </c>
      <c r="G362" s="81" t="s">
        <v>19285</v>
      </c>
      <c r="H362" s="63">
        <v>45140</v>
      </c>
      <c r="I362" s="63">
        <v>45169</v>
      </c>
      <c r="J362" s="62">
        <v>30</v>
      </c>
      <c r="K362" s="62">
        <v>30</v>
      </c>
      <c r="L362" s="62" t="s">
        <v>19262</v>
      </c>
      <c r="M362" s="62" t="s">
        <v>19262</v>
      </c>
      <c r="N362" s="62" t="s">
        <v>19263</v>
      </c>
      <c r="O362" s="62" t="s">
        <v>4693</v>
      </c>
      <c r="P362" s="42" t="str">
        <f>+IF(O362="","",IFERROR(VLOOKUP(O362,CODIGO_DIAGNOSTICO,2,0),"CÓDIGO NO ENCONTRADO"))</f>
        <v>OTRA RUPTURA ESPONTANEA DEL (DE LOS) LIGAMENTO(S) DE LA RODILLA</v>
      </c>
      <c r="Q362" s="62" t="s">
        <v>25001</v>
      </c>
      <c r="R362" s="64">
        <v>6911595</v>
      </c>
      <c r="S362" s="75">
        <v>45161</v>
      </c>
      <c r="T362" s="75">
        <v>45169</v>
      </c>
      <c r="U362" s="65">
        <f>SUM(W362/30)*J362</f>
        <v>1272005</v>
      </c>
      <c r="V362" s="62" t="s">
        <v>25941</v>
      </c>
      <c r="W362" s="65">
        <v>1272005</v>
      </c>
      <c r="X362" s="62">
        <v>0</v>
      </c>
      <c r="Y362" s="65">
        <v>0</v>
      </c>
      <c r="Z362" s="73"/>
    </row>
    <row r="363" spans="1:26" ht="15.75" hidden="1" customHeight="1" x14ac:dyDescent="0.25">
      <c r="A363" s="67">
        <v>8</v>
      </c>
      <c r="B363" s="68">
        <v>1003077030</v>
      </c>
      <c r="C363" s="68" t="s">
        <v>25838</v>
      </c>
      <c r="D363" s="68" t="s">
        <v>25541</v>
      </c>
      <c r="E363" s="68" t="s">
        <v>25283</v>
      </c>
      <c r="F363" s="68" t="s">
        <v>25010</v>
      </c>
      <c r="G363" s="81" t="s">
        <v>19285</v>
      </c>
      <c r="H363" s="69">
        <v>45142</v>
      </c>
      <c r="I363" s="69">
        <v>45144</v>
      </c>
      <c r="J363" s="68">
        <v>3</v>
      </c>
      <c r="K363" s="68">
        <v>3</v>
      </c>
      <c r="L363" s="68" t="s">
        <v>24995</v>
      </c>
      <c r="M363" s="68" t="s">
        <v>24995</v>
      </c>
      <c r="N363" s="62" t="s">
        <v>19263</v>
      </c>
      <c r="O363" s="68" t="s">
        <v>7925</v>
      </c>
      <c r="P363" s="42" t="str">
        <f>+IF(O363="","",IFERROR(VLOOKUP(O363,CODIGO_DIAGNOSTICO,2,0),"CÓDIGO NO ENCONTRADO"))</f>
        <v>CUERPO EXTRAÑO EN OTRAS Y EN MULTIPLES PARTES DE LA PARTE EXTERNA DEL OJO</v>
      </c>
      <c r="Q363" s="68" t="s">
        <v>25001</v>
      </c>
      <c r="R363" s="67"/>
      <c r="S363" s="77">
        <v>45152</v>
      </c>
      <c r="T363" s="76">
        <v>45169</v>
      </c>
      <c r="U363" s="65">
        <f>SUM(W363/30)*J363</f>
        <v>127200.5</v>
      </c>
      <c r="V363" s="68" t="s">
        <v>25941</v>
      </c>
      <c r="W363" s="70">
        <v>1272005</v>
      </c>
      <c r="X363" s="68">
        <v>0</v>
      </c>
      <c r="Y363" s="70">
        <v>0</v>
      </c>
      <c r="Z363" s="72"/>
    </row>
    <row r="364" spans="1:26" ht="15.75" hidden="1" customHeight="1" x14ac:dyDescent="0.25">
      <c r="A364" s="64">
        <v>8</v>
      </c>
      <c r="B364" s="62">
        <v>1013556087</v>
      </c>
      <c r="C364" s="62" t="s">
        <v>25608</v>
      </c>
      <c r="D364" s="62" t="s">
        <v>25426</v>
      </c>
      <c r="E364" s="62" t="s">
        <v>25019</v>
      </c>
      <c r="F364" s="62" t="s">
        <v>25135</v>
      </c>
      <c r="G364" s="81" t="s">
        <v>19285</v>
      </c>
      <c r="H364" s="63">
        <v>45143</v>
      </c>
      <c r="I364" s="63">
        <v>45156</v>
      </c>
      <c r="J364" s="62">
        <v>2</v>
      </c>
      <c r="K364" s="62">
        <v>2</v>
      </c>
      <c r="L364" s="62" t="s">
        <v>24995</v>
      </c>
      <c r="M364" s="62" t="s">
        <v>24995</v>
      </c>
      <c r="N364" s="62" t="s">
        <v>19269</v>
      </c>
      <c r="O364" s="62" t="s">
        <v>5851</v>
      </c>
      <c r="P364" s="42" t="str">
        <f>+IF(O364="","",IFERROR(VLOOKUP(O364,CODIGO_DIAGNOSTICO,2,0),"CÓDIGO NO ENCONTRADO"))</f>
        <v>PARTO UNICO ESPONTANEO, PRESENTACION CEFALICA DE VERTICE</v>
      </c>
      <c r="Q364" s="62" t="s">
        <v>26059</v>
      </c>
      <c r="R364" s="64">
        <v>0</v>
      </c>
      <c r="S364" s="75"/>
      <c r="T364" s="75"/>
      <c r="U364" s="65">
        <f>SUM(W364/30)</f>
        <v>42400.166666666664</v>
      </c>
      <c r="V364" s="62" t="s">
        <v>25941</v>
      </c>
      <c r="W364" s="65">
        <v>1272005</v>
      </c>
      <c r="X364" s="62">
        <v>0</v>
      </c>
      <c r="Y364" s="65">
        <v>84800</v>
      </c>
      <c r="Z364" s="73"/>
    </row>
    <row r="365" spans="1:26" ht="15.75" hidden="1" customHeight="1" x14ac:dyDescent="0.25">
      <c r="A365" s="67">
        <v>8</v>
      </c>
      <c r="B365" s="68">
        <v>1035422013</v>
      </c>
      <c r="C365" s="68" t="s">
        <v>25105</v>
      </c>
      <c r="D365" s="68" t="s">
        <v>25098</v>
      </c>
      <c r="E365" s="68" t="s">
        <v>25170</v>
      </c>
      <c r="F365" s="68" t="s">
        <v>25110</v>
      </c>
      <c r="G365" s="81" t="s">
        <v>19285</v>
      </c>
      <c r="H365" s="69">
        <v>45144</v>
      </c>
      <c r="I365" s="69">
        <v>45164</v>
      </c>
      <c r="J365" s="68">
        <v>21</v>
      </c>
      <c r="K365" s="68">
        <v>21</v>
      </c>
      <c r="L365" s="68" t="s">
        <v>24995</v>
      </c>
      <c r="M365" s="68" t="s">
        <v>24995</v>
      </c>
      <c r="N365" s="62" t="s">
        <v>19269</v>
      </c>
      <c r="O365" s="68" t="s">
        <v>7508</v>
      </c>
      <c r="P365" s="42" t="str">
        <f>+IF(O365="","",IFERROR(VLOOKUP(O365,CODIGO_DIAGNOSTICO,2,0),"CÓDIGO NO ENCONTRADO"))</f>
        <v>LUXACION DE LA ARTICULACION DEL HOMBRO</v>
      </c>
      <c r="Q365" s="68" t="s">
        <v>24996</v>
      </c>
      <c r="R365" s="67"/>
      <c r="S365" s="77">
        <v>45165</v>
      </c>
      <c r="T365" s="76">
        <v>45177</v>
      </c>
      <c r="U365" s="65">
        <f>SUM(W365/30)</f>
        <v>42400.166666666664</v>
      </c>
      <c r="V365" s="68" t="s">
        <v>25941</v>
      </c>
      <c r="W365" s="70">
        <v>1272005</v>
      </c>
      <c r="X365" s="68">
        <v>0</v>
      </c>
      <c r="Y365" s="70">
        <v>84800</v>
      </c>
      <c r="Z365" s="72"/>
    </row>
    <row r="366" spans="1:26" ht="15.75" hidden="1" customHeight="1" x14ac:dyDescent="0.25">
      <c r="A366" s="64">
        <v>8</v>
      </c>
      <c r="B366" s="62">
        <v>71393606</v>
      </c>
      <c r="C366" s="62" t="s">
        <v>25635</v>
      </c>
      <c r="D366" s="62" t="s">
        <v>25836</v>
      </c>
      <c r="E366" s="62" t="s">
        <v>25837</v>
      </c>
      <c r="F366" s="62" t="s">
        <v>25066</v>
      </c>
      <c r="G366" s="81" t="s">
        <v>19285</v>
      </c>
      <c r="H366" s="63">
        <v>45146</v>
      </c>
      <c r="I366" s="63">
        <v>45147</v>
      </c>
      <c r="J366" s="62">
        <v>2</v>
      </c>
      <c r="K366" s="62">
        <v>2</v>
      </c>
      <c r="L366" s="62" t="s">
        <v>24995</v>
      </c>
      <c r="M366" s="62" t="s">
        <v>24995</v>
      </c>
      <c r="N366" s="62" t="s">
        <v>19269</v>
      </c>
      <c r="O366" s="62" t="s">
        <v>85</v>
      </c>
      <c r="P366" s="42" t="str">
        <f>+IF(O366="","",IFERROR(VLOOKUP(O366,CODIGO_DIAGNOSTICO,2,0),"CÓDIGO NO ENCONTRADO"))</f>
        <v>OTRAS ENTERITIS VIRALES</v>
      </c>
      <c r="Q366" s="62" t="s">
        <v>19230</v>
      </c>
      <c r="R366" s="64">
        <v>0</v>
      </c>
      <c r="S366" s="75"/>
      <c r="T366" s="75"/>
      <c r="U366" s="65">
        <f>SUM(W366/30)</f>
        <v>42400.166666666664</v>
      </c>
      <c r="V366" s="62" t="s">
        <v>25941</v>
      </c>
      <c r="W366" s="65">
        <v>1272005</v>
      </c>
      <c r="X366" s="62">
        <v>0</v>
      </c>
      <c r="Y366" s="65">
        <v>84800</v>
      </c>
      <c r="Z366" s="73"/>
    </row>
    <row r="367" spans="1:26" ht="15.75" hidden="1" customHeight="1" x14ac:dyDescent="0.25">
      <c r="A367" s="67">
        <v>8</v>
      </c>
      <c r="B367" s="68">
        <v>1000633959</v>
      </c>
      <c r="C367" s="68" t="s">
        <v>25219</v>
      </c>
      <c r="D367" s="68" t="s">
        <v>25085</v>
      </c>
      <c r="E367" s="68" t="s">
        <v>25089</v>
      </c>
      <c r="F367" s="68" t="s">
        <v>25157</v>
      </c>
      <c r="G367" s="81" t="s">
        <v>19285</v>
      </c>
      <c r="H367" s="69">
        <v>45146</v>
      </c>
      <c r="I367" s="69">
        <v>45146</v>
      </c>
      <c r="J367" s="68">
        <v>1</v>
      </c>
      <c r="K367" s="68">
        <v>1</v>
      </c>
      <c r="L367" s="68" t="s">
        <v>24995</v>
      </c>
      <c r="M367" s="68" t="s">
        <v>24995</v>
      </c>
      <c r="N367" s="62" t="s">
        <v>19269</v>
      </c>
      <c r="O367" s="68" t="s">
        <v>4026</v>
      </c>
      <c r="P367" s="42" t="str">
        <f>+IF(O367="","",IFERROR(VLOOKUP(O367,CODIGO_DIAGNOSTICO,2,0),"CÓDIGO NO ENCONTRADO"))</f>
        <v>COLITIS Y GASTROENTERITIS NO INFECCIOSAS, NO ESPECIFICADAS</v>
      </c>
      <c r="Q367" s="68" t="s">
        <v>19231</v>
      </c>
      <c r="R367" s="67">
        <v>0</v>
      </c>
      <c r="S367" s="77"/>
      <c r="T367" s="76">
        <v>0</v>
      </c>
      <c r="U367" s="65">
        <f>SUM(W367/30)</f>
        <v>42400.166666666664</v>
      </c>
      <c r="V367" s="68" t="s">
        <v>25941</v>
      </c>
      <c r="W367" s="70">
        <v>1272005</v>
      </c>
      <c r="X367" s="68">
        <v>0</v>
      </c>
      <c r="Y367" s="70">
        <v>84800</v>
      </c>
      <c r="Z367" s="72"/>
    </row>
    <row r="368" spans="1:26" ht="15.75" hidden="1" customHeight="1" x14ac:dyDescent="0.25">
      <c r="A368" s="64">
        <v>8</v>
      </c>
      <c r="B368" s="62">
        <v>71601851</v>
      </c>
      <c r="C368" s="62" t="s">
        <v>25340</v>
      </c>
      <c r="D368" s="62" t="s">
        <v>25179</v>
      </c>
      <c r="E368" s="62" t="s">
        <v>25466</v>
      </c>
      <c r="F368" s="62" t="s">
        <v>25023</v>
      </c>
      <c r="G368" s="81" t="s">
        <v>19285</v>
      </c>
      <c r="H368" s="63">
        <v>45146</v>
      </c>
      <c r="I368" s="63">
        <v>45160</v>
      </c>
      <c r="J368" s="62">
        <v>15</v>
      </c>
      <c r="K368" s="62">
        <v>15</v>
      </c>
      <c r="L368" s="62" t="s">
        <v>19262</v>
      </c>
      <c r="M368" s="62" t="s">
        <v>19262</v>
      </c>
      <c r="N368" s="62" t="s">
        <v>19269</v>
      </c>
      <c r="O368" s="62" t="s">
        <v>4695</v>
      </c>
      <c r="P368" s="42" t="str">
        <f>+IF(O368="","",IFERROR(VLOOKUP(O368,CODIGO_DIAGNOSTICO,2,0),"CÓDIGO NO ENCONTRADO"))</f>
        <v>TRASTORNOS INTERNO DE LA RODILLA, NO ESPECIFICADO</v>
      </c>
      <c r="Q368" s="62" t="s">
        <v>19231</v>
      </c>
      <c r="R368" s="64"/>
      <c r="S368" s="75"/>
      <c r="T368" s="75"/>
      <c r="U368" s="65">
        <f>SUM(W368/30)</f>
        <v>42400.166666666664</v>
      </c>
      <c r="V368" s="62" t="s">
        <v>25941</v>
      </c>
      <c r="W368" s="65">
        <v>1272005</v>
      </c>
      <c r="X368" s="62">
        <v>0</v>
      </c>
      <c r="Y368" s="65">
        <v>84800</v>
      </c>
      <c r="Z368" s="73"/>
    </row>
    <row r="369" spans="1:26" ht="15.75" hidden="1" customHeight="1" x14ac:dyDescent="0.25">
      <c r="A369" s="67">
        <v>8</v>
      </c>
      <c r="B369" s="68">
        <v>1035421360</v>
      </c>
      <c r="C369" s="68" t="s">
        <v>25435</v>
      </c>
      <c r="D369" s="68" t="s">
        <v>25436</v>
      </c>
      <c r="E369" s="68" t="s">
        <v>25437</v>
      </c>
      <c r="F369" s="68" t="s">
        <v>25741</v>
      </c>
      <c r="G369" s="81" t="s">
        <v>19285</v>
      </c>
      <c r="H369" s="69">
        <v>45147</v>
      </c>
      <c r="I369" s="69">
        <v>45147</v>
      </c>
      <c r="J369" s="68">
        <v>1</v>
      </c>
      <c r="K369" s="68">
        <v>1</v>
      </c>
      <c r="L369" s="68" t="s">
        <v>24995</v>
      </c>
      <c r="M369" s="68" t="s">
        <v>24995</v>
      </c>
      <c r="N369" s="62" t="s">
        <v>19269</v>
      </c>
      <c r="O369" s="68" t="s">
        <v>88</v>
      </c>
      <c r="P369" s="42" t="str">
        <f>+IF(O369="","",IFERROR(VLOOKUP(O369,CODIGO_DIAGNOSTICO,2,0),"CÓDIGO NO ENCONTRADO"))</f>
        <v>DIARREA Y GASTROENTERITIS DE PRESUNTO ORIGEN INFECCIOSO</v>
      </c>
      <c r="Q369" s="68" t="s">
        <v>19231</v>
      </c>
      <c r="R369" s="67">
        <v>0</v>
      </c>
      <c r="S369" s="77"/>
      <c r="T369" s="76">
        <v>0</v>
      </c>
      <c r="U369" s="65">
        <f>SUM(W369/30)</f>
        <v>42400.166666666664</v>
      </c>
      <c r="V369" s="68" t="s">
        <v>25941</v>
      </c>
      <c r="W369" s="70">
        <v>1272005</v>
      </c>
      <c r="X369" s="68">
        <v>0</v>
      </c>
      <c r="Y369" s="70">
        <v>84800</v>
      </c>
      <c r="Z369" s="72"/>
    </row>
    <row r="370" spans="1:26" ht="15.75" hidden="1" customHeight="1" x14ac:dyDescent="0.25">
      <c r="A370" s="64">
        <v>8</v>
      </c>
      <c r="B370" s="62">
        <v>1041267977</v>
      </c>
      <c r="C370" s="62" t="s">
        <v>25856</v>
      </c>
      <c r="D370" s="62" t="s">
        <v>25635</v>
      </c>
      <c r="E370" s="62" t="s">
        <v>25371</v>
      </c>
      <c r="F370" s="62" t="s">
        <v>25706</v>
      </c>
      <c r="G370" s="81" t="s">
        <v>19285</v>
      </c>
      <c r="H370" s="63">
        <v>45147</v>
      </c>
      <c r="I370" s="63">
        <v>45151</v>
      </c>
      <c r="J370" s="62">
        <v>5</v>
      </c>
      <c r="K370" s="62">
        <v>5</v>
      </c>
      <c r="L370" s="62" t="s">
        <v>24995</v>
      </c>
      <c r="M370" s="62" t="s">
        <v>24995</v>
      </c>
      <c r="N370" s="62" t="s">
        <v>19269</v>
      </c>
      <c r="O370" s="62" t="s">
        <v>7713</v>
      </c>
      <c r="P370" s="42" t="str">
        <f>+IF(O370="","",IFERROR(VLOOKUP(O370,CODIGO_DIAGNOSTICO,2,0),"CÓDIGO NO ENCONTRADO"))</f>
        <v>CONTUSION DE LA RODILLA</v>
      </c>
      <c r="Q370" s="62" t="s">
        <v>19230</v>
      </c>
      <c r="R370" s="64"/>
      <c r="S370" s="75">
        <v>45150</v>
      </c>
      <c r="T370" s="75">
        <v>45162</v>
      </c>
      <c r="U370" s="65">
        <f>SUM(W370/30)</f>
        <v>42400.166666666664</v>
      </c>
      <c r="V370" s="62" t="s">
        <v>25941</v>
      </c>
      <c r="W370" s="65">
        <v>1272005</v>
      </c>
      <c r="X370" s="62">
        <v>0</v>
      </c>
      <c r="Y370" s="65">
        <v>84800</v>
      </c>
      <c r="Z370" s="73"/>
    </row>
    <row r="371" spans="1:26" ht="15.75" hidden="1" customHeight="1" x14ac:dyDescent="0.25">
      <c r="A371" s="67">
        <v>8</v>
      </c>
      <c r="B371" s="68">
        <v>1003205624</v>
      </c>
      <c r="C371" s="68" t="s">
        <v>25696</v>
      </c>
      <c r="D371" s="68" t="s">
        <v>25336</v>
      </c>
      <c r="E371" s="68" t="s">
        <v>25035</v>
      </c>
      <c r="F371" s="68" t="s">
        <v>25010</v>
      </c>
      <c r="G371" s="81" t="s">
        <v>19285</v>
      </c>
      <c r="H371" s="69">
        <v>45149</v>
      </c>
      <c r="I371" s="69">
        <v>45169</v>
      </c>
      <c r="J371" s="68">
        <v>21</v>
      </c>
      <c r="K371" s="68">
        <v>21</v>
      </c>
      <c r="L371" s="68" t="s">
        <v>24995</v>
      </c>
      <c r="M371" s="68" t="s">
        <v>24995</v>
      </c>
      <c r="N371" s="62" t="s">
        <v>19269</v>
      </c>
      <c r="O371" s="68" t="s">
        <v>2673</v>
      </c>
      <c r="P371" s="42" t="str">
        <f>+IF(O371="","",IFERROR(VLOOKUP(O371,CODIGO_DIAGNOSTICO,2,0),"CÓDIGO NO ENCONTRADO"))</f>
        <v>SINDROME DEL TUNEL CALCANEO</v>
      </c>
      <c r="Q371" s="68" t="s">
        <v>24996</v>
      </c>
      <c r="R371" s="67"/>
      <c r="S371" s="77">
        <v>45174</v>
      </c>
      <c r="T371" s="76">
        <v>45189</v>
      </c>
      <c r="U371" s="65">
        <f>SUM(W371/30)</f>
        <v>42400.166666666664</v>
      </c>
      <c r="V371" s="68" t="s">
        <v>25941</v>
      </c>
      <c r="W371" s="70">
        <v>1272005</v>
      </c>
      <c r="X371" s="68">
        <v>0</v>
      </c>
      <c r="Y371" s="70">
        <v>84800</v>
      </c>
      <c r="Z371" s="72"/>
    </row>
    <row r="372" spans="1:26" ht="15.75" hidden="1" customHeight="1" x14ac:dyDescent="0.25">
      <c r="A372" s="64">
        <v>8</v>
      </c>
      <c r="B372" s="62">
        <v>1082979432</v>
      </c>
      <c r="C372" s="62" t="s">
        <v>25114</v>
      </c>
      <c r="D372" s="62" t="s">
        <v>25085</v>
      </c>
      <c r="E372" s="62" t="s">
        <v>25853</v>
      </c>
      <c r="F372" s="62" t="s">
        <v>25014</v>
      </c>
      <c r="G372" s="81" t="s">
        <v>19285</v>
      </c>
      <c r="H372" s="63">
        <v>45149</v>
      </c>
      <c r="I372" s="63">
        <v>45150</v>
      </c>
      <c r="J372" s="62">
        <v>2</v>
      </c>
      <c r="K372" s="62">
        <v>2</v>
      </c>
      <c r="L372" s="62" t="s">
        <v>24995</v>
      </c>
      <c r="M372" s="62" t="s">
        <v>24995</v>
      </c>
      <c r="N372" s="62" t="s">
        <v>19269</v>
      </c>
      <c r="O372" s="62" t="s">
        <v>85</v>
      </c>
      <c r="P372" s="42" t="str">
        <f>+IF(O372="","",IFERROR(VLOOKUP(O372,CODIGO_DIAGNOSTICO,2,0),"CÓDIGO NO ENCONTRADO"))</f>
        <v>OTRAS ENTERITIS VIRALES</v>
      </c>
      <c r="Q372" s="62" t="s">
        <v>24996</v>
      </c>
      <c r="R372" s="64">
        <v>0</v>
      </c>
      <c r="S372" s="75"/>
      <c r="T372" s="75"/>
      <c r="U372" s="65">
        <f>SUM(W372/30)</f>
        <v>42400.166666666664</v>
      </c>
      <c r="V372" s="62" t="s">
        <v>25941</v>
      </c>
      <c r="W372" s="65">
        <v>1272005</v>
      </c>
      <c r="X372" s="62">
        <v>0</v>
      </c>
      <c r="Y372" s="65">
        <v>84800</v>
      </c>
      <c r="Z372" s="73"/>
    </row>
    <row r="373" spans="1:26" ht="15.75" hidden="1" customHeight="1" x14ac:dyDescent="0.25">
      <c r="A373" s="67">
        <v>8</v>
      </c>
      <c r="B373" s="68">
        <v>1096187435</v>
      </c>
      <c r="C373" s="68" t="s">
        <v>25854</v>
      </c>
      <c r="D373" s="68" t="s">
        <v>25085</v>
      </c>
      <c r="E373" s="68" t="s">
        <v>25855</v>
      </c>
      <c r="F373" s="68" t="s">
        <v>25232</v>
      </c>
      <c r="G373" s="81" t="s">
        <v>19285</v>
      </c>
      <c r="H373" s="69">
        <v>45149</v>
      </c>
      <c r="I373" s="69">
        <v>45153</v>
      </c>
      <c r="J373" s="68">
        <v>5</v>
      </c>
      <c r="K373" s="68">
        <v>5</v>
      </c>
      <c r="L373" s="68" t="s">
        <v>24995</v>
      </c>
      <c r="M373" s="68" t="s">
        <v>24995</v>
      </c>
      <c r="N373" s="62" t="s">
        <v>19269</v>
      </c>
      <c r="O373" s="68" t="s">
        <v>2268</v>
      </c>
      <c r="P373" s="42" t="str">
        <f>+IF(O373="","",IFERROR(VLOOKUP(O373,CODIGO_DIAGNOSTICO,2,0),"CÓDIGO NO ENCONTRADO"))</f>
        <v>OTROS TRASTORNOS FOBICOS DE ANSIEDAD</v>
      </c>
      <c r="Q373" s="68" t="s">
        <v>26152</v>
      </c>
      <c r="R373" s="67"/>
      <c r="S373" s="77"/>
      <c r="T373" s="76"/>
      <c r="U373" s="65">
        <f>SUM(W373/30)</f>
        <v>42400.166666666664</v>
      </c>
      <c r="V373" s="68" t="s">
        <v>25941</v>
      </c>
      <c r="W373" s="70">
        <v>1272005</v>
      </c>
      <c r="X373" s="68">
        <v>0</v>
      </c>
      <c r="Y373" s="70">
        <v>84800</v>
      </c>
      <c r="Z373" s="72"/>
    </row>
    <row r="374" spans="1:26" ht="15.75" hidden="1" customHeight="1" x14ac:dyDescent="0.25">
      <c r="A374" s="64">
        <v>8</v>
      </c>
      <c r="B374" s="62">
        <v>71703181</v>
      </c>
      <c r="C374" s="62" t="s">
        <v>25857</v>
      </c>
      <c r="D374" s="62" t="s">
        <v>25137</v>
      </c>
      <c r="E374" s="62" t="s">
        <v>25119</v>
      </c>
      <c r="F374" s="62"/>
      <c r="G374" s="81" t="s">
        <v>19285</v>
      </c>
      <c r="H374" s="63">
        <v>45149</v>
      </c>
      <c r="I374" s="63">
        <v>45150</v>
      </c>
      <c r="J374" s="62">
        <v>2</v>
      </c>
      <c r="K374" s="62">
        <v>2</v>
      </c>
      <c r="L374" s="62" t="s">
        <v>24995</v>
      </c>
      <c r="M374" s="62" t="s">
        <v>24995</v>
      </c>
      <c r="N374" s="62" t="s">
        <v>19269</v>
      </c>
      <c r="O374" s="62" t="s">
        <v>7771</v>
      </c>
      <c r="P374" s="42" t="str">
        <f>+IF(O374="","",IFERROR(VLOOKUP(O374,CODIGO_DIAGNOSTICO,2,0),"CÓDIGO NO ENCONTRADO"))</f>
        <v>CONTUSION DE DEDO(S) DEL PIE, SIN DAÑO DE LA(S) UÑA(S)</v>
      </c>
      <c r="Q374" s="62" t="s">
        <v>26059</v>
      </c>
      <c r="R374" s="64">
        <v>0</v>
      </c>
      <c r="S374" s="75"/>
      <c r="T374" s="75"/>
      <c r="U374" s="65">
        <f>SUM(W374/30)</f>
        <v>42400.166666666664</v>
      </c>
      <c r="V374" s="62" t="s">
        <v>25941</v>
      </c>
      <c r="W374" s="65">
        <v>1272005</v>
      </c>
      <c r="X374" s="62">
        <v>0</v>
      </c>
      <c r="Y374" s="65">
        <v>84800</v>
      </c>
      <c r="Z374" s="73"/>
    </row>
    <row r="375" spans="1:26" ht="15.75" hidden="1" customHeight="1" x14ac:dyDescent="0.25">
      <c r="A375" s="67">
        <v>8</v>
      </c>
      <c r="B375" s="68">
        <v>71686928</v>
      </c>
      <c r="C375" s="68" t="s">
        <v>25149</v>
      </c>
      <c r="D375" s="68" t="s">
        <v>25829</v>
      </c>
      <c r="E375" s="68" t="s">
        <v>25830</v>
      </c>
      <c r="F375" s="68" t="s">
        <v>25151</v>
      </c>
      <c r="G375" s="81" t="s">
        <v>19285</v>
      </c>
      <c r="H375" s="69">
        <v>45149</v>
      </c>
      <c r="I375" s="69">
        <v>45178</v>
      </c>
      <c r="J375" s="68">
        <v>30</v>
      </c>
      <c r="K375" s="68">
        <v>30</v>
      </c>
      <c r="L375" s="68" t="s">
        <v>19262</v>
      </c>
      <c r="M375" s="68" t="s">
        <v>19262</v>
      </c>
      <c r="N375" s="62" t="s">
        <v>19269</v>
      </c>
      <c r="O375" s="68" t="s">
        <v>7723</v>
      </c>
      <c r="P375" s="42" t="str">
        <f>+IF(O375="","",IFERROR(VLOOKUP(O375,CODIGO_DIAGNOSTICO,2,0),"CÓDIGO NO ENCONTRADO"))</f>
        <v>FRACTURA DE LA EPIFISIS SUPERIOR DE LA TIBIA</v>
      </c>
      <c r="Q375" s="68" t="s">
        <v>25025</v>
      </c>
      <c r="R375" s="67"/>
      <c r="S375" s="77"/>
      <c r="T375" s="76"/>
      <c r="U375" s="65">
        <f>SUM(W375/30)</f>
        <v>42400.166666666664</v>
      </c>
      <c r="V375" s="68" t="s">
        <v>25941</v>
      </c>
      <c r="W375" s="70">
        <v>1272005</v>
      </c>
      <c r="X375" s="68">
        <v>0</v>
      </c>
      <c r="Y375" s="70">
        <v>84800</v>
      </c>
      <c r="Z375" s="72"/>
    </row>
    <row r="376" spans="1:26" ht="15.75" hidden="1" customHeight="1" x14ac:dyDescent="0.25">
      <c r="A376" s="64">
        <v>8</v>
      </c>
      <c r="B376" s="62">
        <v>71316478</v>
      </c>
      <c r="C376" s="62" t="s">
        <v>25443</v>
      </c>
      <c r="D376" s="62" t="s">
        <v>25070</v>
      </c>
      <c r="E376" s="62" t="s">
        <v>25515</v>
      </c>
      <c r="F376" s="62"/>
      <c r="G376" s="81" t="s">
        <v>19285</v>
      </c>
      <c r="H376" s="63">
        <v>45149</v>
      </c>
      <c r="I376" s="63">
        <v>45208</v>
      </c>
      <c r="J376" s="62">
        <v>30</v>
      </c>
      <c r="K376" s="62">
        <v>30</v>
      </c>
      <c r="L376" s="62" t="s">
        <v>24995</v>
      </c>
      <c r="M376" s="62" t="s">
        <v>24995</v>
      </c>
      <c r="N376" s="62" t="s">
        <v>19269</v>
      </c>
      <c r="O376" s="62" t="s">
        <v>3415</v>
      </c>
      <c r="P376" s="42" t="str">
        <f>+IF(O376="","",IFERROR(VLOOKUP(O376,CODIGO_DIAGNOSTICO,2,0),"CÓDIGO NO ENCONTRADO"))</f>
        <v>ACCIDENTE VASCULAR ENCEFALICO AGUDO, NO ESPECIFICADO COMO HEMORRAGICO O ISQUEMICO</v>
      </c>
      <c r="Q376" s="62" t="s">
        <v>19230</v>
      </c>
      <c r="R376" s="64">
        <v>8763420</v>
      </c>
      <c r="S376" s="75">
        <v>45239</v>
      </c>
      <c r="T376" s="75">
        <v>45239</v>
      </c>
      <c r="U376" s="65">
        <f>SUM(W376/30)</f>
        <v>42400.166666666664</v>
      </c>
      <c r="V376" s="62" t="s">
        <v>25941</v>
      </c>
      <c r="W376" s="65">
        <v>1272005</v>
      </c>
      <c r="X376" s="62">
        <v>0</v>
      </c>
      <c r="Y376" s="65">
        <v>84800</v>
      </c>
      <c r="Z376" s="73"/>
    </row>
    <row r="377" spans="1:26" ht="15.75" hidden="1" customHeight="1" x14ac:dyDescent="0.25">
      <c r="A377" s="67">
        <v>8</v>
      </c>
      <c r="B377" s="68">
        <v>71676289</v>
      </c>
      <c r="C377" s="68" t="s">
        <v>25702</v>
      </c>
      <c r="D377" s="68" t="s">
        <v>25012</v>
      </c>
      <c r="E377" s="68" t="s">
        <v>25016</v>
      </c>
      <c r="F377" s="68" t="s">
        <v>25004</v>
      </c>
      <c r="G377" s="81" t="s">
        <v>19285</v>
      </c>
      <c r="H377" s="69">
        <v>45150</v>
      </c>
      <c r="I377" s="69">
        <v>45164</v>
      </c>
      <c r="J377" s="68">
        <v>15</v>
      </c>
      <c r="K377" s="68">
        <v>15</v>
      </c>
      <c r="L377" s="68" t="s">
        <v>19262</v>
      </c>
      <c r="M377" s="68" t="s">
        <v>19262</v>
      </c>
      <c r="N377" s="62" t="s">
        <v>19269</v>
      </c>
      <c r="O377" s="68" t="s">
        <v>7822</v>
      </c>
      <c r="P377" s="42" t="str">
        <f>+IF(O377="","",IFERROR(VLOOKUP(O377,CODIGO_DIAGNOSTICO,2,0),"CÓDIGO NO ENCONTRADO"))</f>
        <v>AMPUTACION TRAUMATICA DE OTRAS PARTES DEL PIE</v>
      </c>
      <c r="Q377" s="68" t="s">
        <v>19230</v>
      </c>
      <c r="R377" s="67"/>
      <c r="S377" s="77"/>
      <c r="T377" s="76"/>
      <c r="U377" s="65">
        <f>SUM(W377/30)</f>
        <v>42400.166666666664</v>
      </c>
      <c r="V377" s="68" t="s">
        <v>25941</v>
      </c>
      <c r="W377" s="70">
        <v>1272005</v>
      </c>
      <c r="X377" s="68">
        <v>0</v>
      </c>
      <c r="Y377" s="70">
        <v>84800</v>
      </c>
      <c r="Z377" s="72"/>
    </row>
    <row r="378" spans="1:26" ht="15.75" hidden="1" customHeight="1" x14ac:dyDescent="0.25">
      <c r="A378" s="64">
        <v>8</v>
      </c>
      <c r="B378" s="62">
        <v>1017219474</v>
      </c>
      <c r="C378" s="62" t="s">
        <v>25852</v>
      </c>
      <c r="D378" s="62" t="s">
        <v>25159</v>
      </c>
      <c r="E378" s="62" t="s">
        <v>25352</v>
      </c>
      <c r="F378" s="62" t="s">
        <v>25092</v>
      </c>
      <c r="G378" s="81" t="s">
        <v>19285</v>
      </c>
      <c r="H378" s="63">
        <v>45150</v>
      </c>
      <c r="I378" s="63">
        <v>45153</v>
      </c>
      <c r="J378" s="62">
        <v>4</v>
      </c>
      <c r="K378" s="62">
        <v>4</v>
      </c>
      <c r="L378" s="62" t="s">
        <v>24995</v>
      </c>
      <c r="M378" s="62" t="s">
        <v>24995</v>
      </c>
      <c r="N378" s="62" t="s">
        <v>19269</v>
      </c>
      <c r="O378" s="62" t="s">
        <v>7416</v>
      </c>
      <c r="P378" s="42" t="str">
        <f>+IF(O378="","",IFERROR(VLOOKUP(O378,CODIGO_DIAGNOSTICO,2,0),"CÓDIGO NO ENCONTRADO"))</f>
        <v>CONTUSION DE LA REGION LUMBOSACRA Y DE LA PELVIS</v>
      </c>
      <c r="Q378" s="62" t="s">
        <v>19230</v>
      </c>
      <c r="R378" s="64"/>
      <c r="S378" s="75">
        <v>45161</v>
      </c>
      <c r="T378" s="75">
        <v>45169</v>
      </c>
      <c r="U378" s="65">
        <f>SUM(W378/30)</f>
        <v>42400.166666666664</v>
      </c>
      <c r="V378" s="62" t="s">
        <v>25941</v>
      </c>
      <c r="W378" s="65">
        <v>1272005</v>
      </c>
      <c r="X378" s="62">
        <v>0</v>
      </c>
      <c r="Y378" s="65">
        <v>84800</v>
      </c>
      <c r="Z378" s="73"/>
    </row>
    <row r="379" spans="1:26" ht="15.75" hidden="1" customHeight="1" x14ac:dyDescent="0.25">
      <c r="A379" s="67">
        <v>8</v>
      </c>
      <c r="B379" s="68">
        <v>15532746</v>
      </c>
      <c r="C379" s="68" t="s">
        <v>25553</v>
      </c>
      <c r="D379" s="68" t="s">
        <v>25127</v>
      </c>
      <c r="E379" s="68" t="s">
        <v>25358</v>
      </c>
      <c r="F379" s="68" t="s">
        <v>25005</v>
      </c>
      <c r="G379" s="81" t="s">
        <v>19285</v>
      </c>
      <c r="H379" s="69">
        <v>45152</v>
      </c>
      <c r="I379" s="69">
        <v>45181</v>
      </c>
      <c r="J379" s="68">
        <v>30</v>
      </c>
      <c r="K379" s="68">
        <v>30</v>
      </c>
      <c r="L379" s="68" t="s">
        <v>19262</v>
      </c>
      <c r="M379" s="68" t="s">
        <v>19262</v>
      </c>
      <c r="N379" s="62" t="s">
        <v>19269</v>
      </c>
      <c r="O379" s="68" t="s">
        <v>7724</v>
      </c>
      <c r="P379" s="42" t="str">
        <f>+IF(O379="","",IFERROR(VLOOKUP(O379,CODIGO_DIAGNOSTICO,2,0),"CÓDIGO NO ENCONTRADO"))</f>
        <v>FRACTURA DE LA DIAFISIS DE LA TIBIA</v>
      </c>
      <c r="Q379" s="68" t="s">
        <v>25025</v>
      </c>
      <c r="R379" s="67">
        <v>1128234234</v>
      </c>
      <c r="S379" s="77">
        <v>45258</v>
      </c>
      <c r="T379" s="76"/>
      <c r="U379" s="65">
        <f>SUM(W379/30)</f>
        <v>42400.166666666664</v>
      </c>
      <c r="V379" s="68" t="s">
        <v>25941</v>
      </c>
      <c r="W379" s="70">
        <v>1272005</v>
      </c>
      <c r="X379" s="68">
        <v>0</v>
      </c>
      <c r="Y379" s="70">
        <v>84800</v>
      </c>
      <c r="Z379" s="72"/>
    </row>
    <row r="380" spans="1:26" ht="15.75" hidden="1" customHeight="1" x14ac:dyDescent="0.25">
      <c r="A380" s="64">
        <v>8</v>
      </c>
      <c r="B380" s="62">
        <v>71719849</v>
      </c>
      <c r="C380" s="62" t="s">
        <v>25105</v>
      </c>
      <c r="D380" s="62" t="s">
        <v>25140</v>
      </c>
      <c r="E380" s="62" t="s">
        <v>25282</v>
      </c>
      <c r="F380" s="62" t="s">
        <v>25119</v>
      </c>
      <c r="G380" s="81" t="s">
        <v>19285</v>
      </c>
      <c r="H380" s="63">
        <v>45152</v>
      </c>
      <c r="I380" s="63">
        <v>45153</v>
      </c>
      <c r="J380" s="62">
        <v>2</v>
      </c>
      <c r="K380" s="62">
        <v>2</v>
      </c>
      <c r="L380" s="62" t="s">
        <v>24995</v>
      </c>
      <c r="M380" s="62" t="s">
        <v>24995</v>
      </c>
      <c r="N380" s="62" t="s">
        <v>19269</v>
      </c>
      <c r="O380" s="62" t="s">
        <v>430</v>
      </c>
      <c r="P380" s="42" t="str">
        <f>+IF(O380="","",IFERROR(VLOOKUP(O380,CODIGO_DIAGNOSTICO,2,0),"CÓDIGO NO ENCONTRADO"))</f>
        <v>INFECCION DEBIDA A EL VIRUS DEL HERPES, NO ESPECIFICADA</v>
      </c>
      <c r="Q380" s="62" t="s">
        <v>19230</v>
      </c>
      <c r="R380" s="64">
        <v>0</v>
      </c>
      <c r="S380" s="75"/>
      <c r="T380" s="75"/>
      <c r="U380" s="65">
        <f>SUM(W380/30)</f>
        <v>42400.166666666664</v>
      </c>
      <c r="V380" s="62" t="s">
        <v>25941</v>
      </c>
      <c r="W380" s="65">
        <v>1272005</v>
      </c>
      <c r="X380" s="62">
        <v>0</v>
      </c>
      <c r="Y380" s="65">
        <v>84800</v>
      </c>
      <c r="Z380" s="73"/>
    </row>
    <row r="381" spans="1:26" ht="15.75" hidden="1" customHeight="1" x14ac:dyDescent="0.25">
      <c r="A381" s="67">
        <v>8</v>
      </c>
      <c r="B381" s="68">
        <v>1037667211</v>
      </c>
      <c r="C381" s="68" t="s">
        <v>25990</v>
      </c>
      <c r="D381" s="68" t="s">
        <v>25991</v>
      </c>
      <c r="E381" s="68" t="s">
        <v>25089</v>
      </c>
      <c r="F381" s="68" t="s">
        <v>25157</v>
      </c>
      <c r="G381" s="81" t="s">
        <v>19285</v>
      </c>
      <c r="H381" s="69">
        <v>45152</v>
      </c>
      <c r="I381" s="69">
        <v>45157</v>
      </c>
      <c r="J381" s="68">
        <v>6</v>
      </c>
      <c r="K381" s="68">
        <v>6</v>
      </c>
      <c r="L381" s="68" t="s">
        <v>24995</v>
      </c>
      <c r="M381" s="68" t="s">
        <v>24995</v>
      </c>
      <c r="N381" s="62" t="s">
        <v>19269</v>
      </c>
      <c r="O381" s="68" t="s">
        <v>4396</v>
      </c>
      <c r="P381" s="42" t="str">
        <f>+IF(O381="","",IFERROR(VLOOKUP(O381,CODIGO_DIAGNOSTICO,2,0),"CÓDIGO NO ENCONTRADO"))</f>
        <v>UÑA ENCARNADA</v>
      </c>
      <c r="Q381" s="68" t="s">
        <v>19231</v>
      </c>
      <c r="R381" s="67">
        <v>9458504</v>
      </c>
      <c r="S381" s="77">
        <v>45156</v>
      </c>
      <c r="T381" s="76">
        <v>45208</v>
      </c>
      <c r="U381" s="65">
        <f>SUM(W381/30)</f>
        <v>42400.166666666664</v>
      </c>
      <c r="V381" s="68" t="s">
        <v>25941</v>
      </c>
      <c r="W381" s="70">
        <v>1272005</v>
      </c>
      <c r="X381" s="68">
        <v>0</v>
      </c>
      <c r="Y381" s="70">
        <v>84800</v>
      </c>
      <c r="Z381" s="72"/>
    </row>
    <row r="382" spans="1:26" ht="15.75" hidden="1" customHeight="1" x14ac:dyDescent="0.25">
      <c r="A382" s="64">
        <v>8</v>
      </c>
      <c r="B382" s="62">
        <v>1036622798</v>
      </c>
      <c r="C382" s="62" t="s">
        <v>25136</v>
      </c>
      <c r="D382" s="62" t="s">
        <v>25137</v>
      </c>
      <c r="E382" s="62" t="s">
        <v>25138</v>
      </c>
      <c r="F382" s="62" t="s">
        <v>25339</v>
      </c>
      <c r="G382" s="81" t="s">
        <v>19285</v>
      </c>
      <c r="H382" s="63">
        <v>45154</v>
      </c>
      <c r="I382" s="63">
        <v>45183</v>
      </c>
      <c r="J382" s="62">
        <v>30</v>
      </c>
      <c r="K382" s="62">
        <v>30</v>
      </c>
      <c r="L382" s="62" t="s">
        <v>19262</v>
      </c>
      <c r="M382" s="62" t="s">
        <v>19262</v>
      </c>
      <c r="N382" s="62" t="s">
        <v>19269</v>
      </c>
      <c r="O382" s="62" t="s">
        <v>7785</v>
      </c>
      <c r="P382" s="42" t="str">
        <f>+IF(O382="","",IFERROR(VLOOKUP(O382,CODIGO_DIAGNOSTICO,2,0),"CÓDIGO NO ENCONTRADO"))</f>
        <v>FRACTURA DE HUESO DEL METATARSO</v>
      </c>
      <c r="Q382" s="62" t="s">
        <v>19230</v>
      </c>
      <c r="R382" s="64"/>
      <c r="S382" s="75"/>
      <c r="T382" s="75"/>
      <c r="U382" s="65">
        <f>SUM(W382/30)</f>
        <v>42400.166666666664</v>
      </c>
      <c r="V382" s="62" t="s">
        <v>25941</v>
      </c>
      <c r="W382" s="65">
        <v>1272005</v>
      </c>
      <c r="X382" s="62">
        <v>0</v>
      </c>
      <c r="Y382" s="65">
        <v>84800</v>
      </c>
      <c r="Z382" s="73"/>
    </row>
    <row r="383" spans="1:26" ht="15.75" hidden="1" customHeight="1" x14ac:dyDescent="0.25">
      <c r="A383" s="67">
        <v>8</v>
      </c>
      <c r="B383" s="68">
        <v>71316478</v>
      </c>
      <c r="C383" s="68" t="s">
        <v>25443</v>
      </c>
      <c r="D383" s="68" t="s">
        <v>25514</v>
      </c>
      <c r="E383" s="68" t="s">
        <v>25515</v>
      </c>
      <c r="F383" s="68"/>
      <c r="G383" s="81" t="s">
        <v>19285</v>
      </c>
      <c r="H383" s="69">
        <v>45154</v>
      </c>
      <c r="I383" s="69">
        <v>45168</v>
      </c>
      <c r="J383" s="68">
        <v>15</v>
      </c>
      <c r="K383" s="68">
        <v>15</v>
      </c>
      <c r="L383" s="68" t="s">
        <v>24995</v>
      </c>
      <c r="M383" s="68" t="s">
        <v>19262</v>
      </c>
      <c r="N383" s="62" t="s">
        <v>19269</v>
      </c>
      <c r="O383" s="68" t="s">
        <v>12288</v>
      </c>
      <c r="P383" s="42" t="str">
        <f>+IF(O383="","",IFERROR(VLOOKUP(O383,CODIGO_DIAGNOSTICO,2,0),"CÓDIGO NO ENCONTRADO"))</f>
        <v>PERSONA EN CONTACTO CON LOS SERVICIOS DE SALUD EN CIRCUNSTANCIAS NO ESPECIFICADAS</v>
      </c>
      <c r="Q383" s="68" t="s">
        <v>25918</v>
      </c>
      <c r="R383" s="67"/>
      <c r="S383" s="77"/>
      <c r="T383" s="76"/>
      <c r="U383" s="65">
        <f>SUM(W383/30)</f>
        <v>42400.166666666664</v>
      </c>
      <c r="V383" s="68" t="s">
        <v>25941</v>
      </c>
      <c r="W383" s="70">
        <v>1272005</v>
      </c>
      <c r="X383" s="68">
        <v>0</v>
      </c>
      <c r="Y383" s="70">
        <v>84800</v>
      </c>
      <c r="Z383" s="72"/>
    </row>
    <row r="384" spans="1:26" ht="15.75" hidden="1" customHeight="1" x14ac:dyDescent="0.25">
      <c r="A384" s="64">
        <v>8</v>
      </c>
      <c r="B384" s="62">
        <v>1040374058</v>
      </c>
      <c r="C384" s="62" t="s">
        <v>25480</v>
      </c>
      <c r="D384" s="62" t="s">
        <v>25298</v>
      </c>
      <c r="E384" s="62" t="s">
        <v>25299</v>
      </c>
      <c r="F384" s="62" t="s">
        <v>25010</v>
      </c>
      <c r="G384" s="81" t="s">
        <v>19285</v>
      </c>
      <c r="H384" s="63">
        <v>45156</v>
      </c>
      <c r="I384" s="63">
        <v>45156</v>
      </c>
      <c r="J384" s="62">
        <v>1</v>
      </c>
      <c r="K384" s="62">
        <v>1</v>
      </c>
      <c r="L384" s="62" t="s">
        <v>24995</v>
      </c>
      <c r="M384" s="62" t="s">
        <v>24995</v>
      </c>
      <c r="N384" s="62" t="s">
        <v>19269</v>
      </c>
      <c r="O384" s="62" t="s">
        <v>2593</v>
      </c>
      <c r="P384" s="42" t="str">
        <f>+IF(O384="","",IFERROR(VLOOKUP(O384,CODIGO_DIAGNOSTICO,2,0),"CÓDIGO NO ENCONTRADO"))</f>
        <v>MIGRAÑA, NO ESPECIFICADA</v>
      </c>
      <c r="Q384" s="62" t="s">
        <v>26059</v>
      </c>
      <c r="R384" s="64">
        <v>0</v>
      </c>
      <c r="S384" s="75"/>
      <c r="T384" s="75">
        <v>0</v>
      </c>
      <c r="U384" s="65">
        <f>SUM(W384/30)</f>
        <v>42400.166666666664</v>
      </c>
      <c r="V384" s="62" t="s">
        <v>25941</v>
      </c>
      <c r="W384" s="65">
        <v>1272005</v>
      </c>
      <c r="X384" s="62">
        <v>0</v>
      </c>
      <c r="Y384" s="65">
        <v>84800</v>
      </c>
      <c r="Z384" s="73"/>
    </row>
    <row r="385" spans="1:26" ht="15.75" hidden="1" customHeight="1" x14ac:dyDescent="0.25">
      <c r="A385" s="67">
        <v>8</v>
      </c>
      <c r="B385" s="68">
        <v>98765066</v>
      </c>
      <c r="C385" s="68" t="s">
        <v>25472</v>
      </c>
      <c r="D385" s="68" t="s">
        <v>25424</v>
      </c>
      <c r="E385" s="68" t="s">
        <v>25433</v>
      </c>
      <c r="F385" s="68" t="s">
        <v>25283</v>
      </c>
      <c r="G385" s="81" t="s">
        <v>19285</v>
      </c>
      <c r="H385" s="69">
        <v>45156</v>
      </c>
      <c r="I385" s="69">
        <v>45170</v>
      </c>
      <c r="J385" s="68">
        <v>15</v>
      </c>
      <c r="K385" s="68">
        <v>15</v>
      </c>
      <c r="L385" s="68" t="s">
        <v>24995</v>
      </c>
      <c r="M385" s="68" t="s">
        <v>24995</v>
      </c>
      <c r="N385" s="62" t="s">
        <v>19269</v>
      </c>
      <c r="O385" s="68" t="s">
        <v>6939</v>
      </c>
      <c r="P385" s="42" t="str">
        <f>+IF(O385="","",IFERROR(VLOOKUP(O385,CODIGO_DIAGNOSTICO,2,0),"CÓDIGO NO ENCONTRADO"))</f>
        <v>OTROS DOLORES ABDOMINALES Y LOS NO ESPECIFICADOS</v>
      </c>
      <c r="Q385" s="68" t="s">
        <v>24996</v>
      </c>
      <c r="R385" s="67"/>
      <c r="S385" s="77"/>
      <c r="T385" s="76"/>
      <c r="U385" s="65">
        <f>SUM(W385/30)</f>
        <v>42400.166666666664</v>
      </c>
      <c r="V385" s="68" t="s">
        <v>25941</v>
      </c>
      <c r="W385" s="70">
        <v>1272005</v>
      </c>
      <c r="X385" s="68">
        <v>0</v>
      </c>
      <c r="Y385" s="70">
        <v>84800</v>
      </c>
      <c r="Z385" s="72"/>
    </row>
    <row r="386" spans="1:26" ht="15.75" hidden="1" customHeight="1" x14ac:dyDescent="0.25">
      <c r="A386" s="64">
        <v>8</v>
      </c>
      <c r="B386" s="62">
        <v>43117538</v>
      </c>
      <c r="C386" s="62" t="s">
        <v>24997</v>
      </c>
      <c r="D386" s="62" t="s">
        <v>25248</v>
      </c>
      <c r="E386" s="62" t="s">
        <v>25619</v>
      </c>
      <c r="F386" s="62" t="s">
        <v>25000</v>
      </c>
      <c r="G386" s="81" t="s">
        <v>19285</v>
      </c>
      <c r="H386" s="63">
        <v>45156</v>
      </c>
      <c r="I386" s="63">
        <v>45159</v>
      </c>
      <c r="J386" s="62">
        <v>4</v>
      </c>
      <c r="K386" s="62">
        <v>4</v>
      </c>
      <c r="L386" s="62" t="s">
        <v>24995</v>
      </c>
      <c r="M386" s="62" t="s">
        <v>24995</v>
      </c>
      <c r="N386" s="62" t="s">
        <v>19269</v>
      </c>
      <c r="O386" s="62" t="s">
        <v>2272</v>
      </c>
      <c r="P386" s="42" t="str">
        <f>+IF(O386="","",IFERROR(VLOOKUP(O386,CODIGO_DIAGNOSTICO,2,0),"CÓDIGO NO ENCONTRADO"))</f>
        <v>TRASTORNO MIXTO DE ANSIEDAD Y DEPRESION</v>
      </c>
      <c r="Q386" s="62" t="s">
        <v>26059</v>
      </c>
      <c r="R386" s="64"/>
      <c r="S386" s="75">
        <v>45169</v>
      </c>
      <c r="T386" s="75">
        <v>45174</v>
      </c>
      <c r="U386" s="65">
        <f>SUM(W386/30)</f>
        <v>42400.166666666664</v>
      </c>
      <c r="V386" s="62" t="s">
        <v>25941</v>
      </c>
      <c r="W386" s="65">
        <v>1272005</v>
      </c>
      <c r="X386" s="62">
        <v>0</v>
      </c>
      <c r="Y386" s="65">
        <v>84800</v>
      </c>
      <c r="Z386" s="73"/>
    </row>
    <row r="387" spans="1:26" ht="15.75" hidden="1" customHeight="1" x14ac:dyDescent="0.25">
      <c r="A387" s="67">
        <v>8</v>
      </c>
      <c r="B387" s="68">
        <v>70323164</v>
      </c>
      <c r="C387" s="68" t="s">
        <v>24992</v>
      </c>
      <c r="D387" s="68" t="s">
        <v>25062</v>
      </c>
      <c r="E387" s="68" t="s">
        <v>25188</v>
      </c>
      <c r="F387" s="68" t="s">
        <v>25146</v>
      </c>
      <c r="G387" s="81" t="s">
        <v>19285</v>
      </c>
      <c r="H387" s="69">
        <v>45156</v>
      </c>
      <c r="I387" s="69">
        <v>45160</v>
      </c>
      <c r="J387" s="68">
        <v>5</v>
      </c>
      <c r="K387" s="68">
        <v>5</v>
      </c>
      <c r="L387" s="68" t="s">
        <v>19262</v>
      </c>
      <c r="M387" s="68" t="s">
        <v>19262</v>
      </c>
      <c r="N387" s="62" t="s">
        <v>19269</v>
      </c>
      <c r="O387" s="68" t="s">
        <v>3646</v>
      </c>
      <c r="P387" s="42" t="str">
        <f>+IF(O387="","",IFERROR(VLOOKUP(O387,CODIGO_DIAGNOSTICO,2,0),"CÓDIGO NO ENCONTRADO"))</f>
        <v>OTRAS SINUSITIS CRONICAS</v>
      </c>
      <c r="Q387" s="68" t="s">
        <v>19230</v>
      </c>
      <c r="R387" s="67"/>
      <c r="S387" s="77"/>
      <c r="T387" s="76"/>
      <c r="U387" s="65">
        <f>SUM(W387/30)</f>
        <v>42400.166666666664</v>
      </c>
      <c r="V387" s="68" t="s">
        <v>25941</v>
      </c>
      <c r="W387" s="70">
        <v>1272005</v>
      </c>
      <c r="X387" s="68">
        <v>0</v>
      </c>
      <c r="Y387" s="70">
        <v>84800</v>
      </c>
      <c r="Z387" s="72"/>
    </row>
    <row r="388" spans="1:26" ht="15.75" hidden="1" customHeight="1" x14ac:dyDescent="0.25">
      <c r="A388" s="64">
        <v>9</v>
      </c>
      <c r="B388" s="62">
        <v>43600465</v>
      </c>
      <c r="C388" s="62" t="s">
        <v>25314</v>
      </c>
      <c r="D388" s="62" t="s">
        <v>25387</v>
      </c>
      <c r="E388" s="62" t="s">
        <v>25316</v>
      </c>
      <c r="F388" s="62" t="s">
        <v>25258</v>
      </c>
      <c r="G388" s="81" t="s">
        <v>19285</v>
      </c>
      <c r="H388" s="63">
        <v>45156</v>
      </c>
      <c r="I388" s="63">
        <v>45185</v>
      </c>
      <c r="J388" s="62">
        <v>30</v>
      </c>
      <c r="K388" s="62">
        <v>30</v>
      </c>
      <c r="L388" s="62" t="s">
        <v>24995</v>
      </c>
      <c r="M388" s="62" t="s">
        <v>19262</v>
      </c>
      <c r="N388" s="62" t="s">
        <v>19269</v>
      </c>
      <c r="O388" s="62" t="s">
        <v>4669</v>
      </c>
      <c r="P388" s="42" t="str">
        <f>+IF(O388="","",IFERROR(VLOOKUP(O388,CODIGO_DIAGNOSTICO,2,0),"CÓDIGO NO ENCONTRADO"))</f>
        <v>DEFORMIDADES ADQUIRIDAS DE LOS DEDOS DEL PIE, NO ESPECIFICADAS</v>
      </c>
      <c r="Q388" s="62" t="s">
        <v>19230</v>
      </c>
      <c r="R388" s="64"/>
      <c r="S388" s="75">
        <v>45170</v>
      </c>
      <c r="T388" s="75">
        <v>45075</v>
      </c>
      <c r="U388" s="65">
        <f>SUM(W388/30)</f>
        <v>42400.166666666664</v>
      </c>
      <c r="V388" s="62" t="s">
        <v>25941</v>
      </c>
      <c r="W388" s="65">
        <v>1272005</v>
      </c>
      <c r="X388" s="62">
        <v>0</v>
      </c>
      <c r="Y388" s="65">
        <v>84800</v>
      </c>
      <c r="Z388" s="73"/>
    </row>
    <row r="389" spans="1:26" ht="15.75" hidden="1" customHeight="1" x14ac:dyDescent="0.25">
      <c r="A389" s="67">
        <v>8</v>
      </c>
      <c r="B389" s="68">
        <v>71651935</v>
      </c>
      <c r="C389" s="68" t="s">
        <v>25635</v>
      </c>
      <c r="D389" s="68" t="s">
        <v>25480</v>
      </c>
      <c r="E389" s="68" t="s">
        <v>25282</v>
      </c>
      <c r="F389" s="68" t="s">
        <v>25028</v>
      </c>
      <c r="G389" s="81" t="s">
        <v>19285</v>
      </c>
      <c r="H389" s="69">
        <v>45157</v>
      </c>
      <c r="I389" s="69">
        <v>45186</v>
      </c>
      <c r="J389" s="68">
        <v>30</v>
      </c>
      <c r="K389" s="68">
        <v>30</v>
      </c>
      <c r="L389" s="68" t="s">
        <v>19262</v>
      </c>
      <c r="M389" s="68" t="s">
        <v>19262</v>
      </c>
      <c r="N389" s="62" t="s">
        <v>19269</v>
      </c>
      <c r="O389" s="68" t="s">
        <v>905</v>
      </c>
      <c r="P389" s="42" t="str">
        <f>+IF(O389="","",IFERROR(VLOOKUP(O389,CODIGO_DIAGNOSTICO,2,0),"CÓDIGO NO ENCONTRADO"))</f>
        <v>TUMOR MALIGNO DEL RECTO</v>
      </c>
      <c r="Q389" s="68" t="s">
        <v>24996</v>
      </c>
      <c r="R389" s="67"/>
      <c r="S389" s="77"/>
      <c r="T389" s="76"/>
      <c r="U389" s="65">
        <f>SUM(W389/30)</f>
        <v>42400.166666666664</v>
      </c>
      <c r="V389" s="68" t="s">
        <v>25941</v>
      </c>
      <c r="W389" s="70">
        <v>1272005</v>
      </c>
      <c r="X389" s="68">
        <v>0</v>
      </c>
      <c r="Y389" s="70">
        <v>84800</v>
      </c>
      <c r="Z389" s="72"/>
    </row>
    <row r="390" spans="1:26" ht="15.75" hidden="1" customHeight="1" x14ac:dyDescent="0.25">
      <c r="A390" s="64">
        <v>8</v>
      </c>
      <c r="B390" s="62">
        <v>1067892509</v>
      </c>
      <c r="C390" s="62" t="s">
        <v>25247</v>
      </c>
      <c r="D390" s="62" t="s">
        <v>25312</v>
      </c>
      <c r="E390" s="62" t="s">
        <v>25808</v>
      </c>
      <c r="F390" s="62" t="s">
        <v>25809</v>
      </c>
      <c r="G390" s="81" t="s">
        <v>19285</v>
      </c>
      <c r="H390" s="63">
        <v>45159</v>
      </c>
      <c r="I390" s="63">
        <v>45169</v>
      </c>
      <c r="J390" s="62">
        <v>11</v>
      </c>
      <c r="K390" s="62">
        <v>11</v>
      </c>
      <c r="L390" s="62" t="s">
        <v>19262</v>
      </c>
      <c r="M390" s="62" t="s">
        <v>19262</v>
      </c>
      <c r="N390" s="62" t="s">
        <v>19263</v>
      </c>
      <c r="O390" s="62" t="s">
        <v>7723</v>
      </c>
      <c r="P390" s="42" t="str">
        <f>+IF(O390="","",IFERROR(VLOOKUP(O390,CODIGO_DIAGNOSTICO,2,0),"CÓDIGO NO ENCONTRADO"))</f>
        <v>FRACTURA DE LA EPIFISIS SUPERIOR DE LA TIBIA</v>
      </c>
      <c r="Q390" s="62" t="s">
        <v>25001</v>
      </c>
      <c r="R390" s="64">
        <v>6912508</v>
      </c>
      <c r="S390" s="75">
        <v>45161</v>
      </c>
      <c r="T390" s="75">
        <v>45169</v>
      </c>
      <c r="U390" s="65">
        <f>SUM(W390/30)*J390</f>
        <v>466401.83333333331</v>
      </c>
      <c r="V390" s="62" t="s">
        <v>25941</v>
      </c>
      <c r="W390" s="65">
        <v>1272005</v>
      </c>
      <c r="X390" s="62">
        <v>0</v>
      </c>
      <c r="Y390" s="65">
        <v>0</v>
      </c>
      <c r="Z390" s="73"/>
    </row>
    <row r="391" spans="1:26" ht="15.75" hidden="1" customHeight="1" x14ac:dyDescent="0.25">
      <c r="A391" s="67">
        <v>8</v>
      </c>
      <c r="B391" s="68">
        <v>3556779</v>
      </c>
      <c r="C391" s="68" t="s">
        <v>25860</v>
      </c>
      <c r="D391" s="68" t="s">
        <v>24992</v>
      </c>
      <c r="E391" s="68" t="s">
        <v>25861</v>
      </c>
      <c r="F391" s="68" t="s">
        <v>25010</v>
      </c>
      <c r="G391" s="81" t="s">
        <v>19285</v>
      </c>
      <c r="H391" s="69">
        <v>45159</v>
      </c>
      <c r="I391" s="69">
        <v>45161</v>
      </c>
      <c r="J391" s="68">
        <v>3</v>
      </c>
      <c r="K391" s="68">
        <v>3</v>
      </c>
      <c r="L391" s="68" t="s">
        <v>24995</v>
      </c>
      <c r="M391" s="68" t="s">
        <v>24995</v>
      </c>
      <c r="N391" s="62" t="s">
        <v>19263</v>
      </c>
      <c r="O391" s="68" t="s">
        <v>7770</v>
      </c>
      <c r="P391" s="42" t="str">
        <f>+IF(O391="","",IFERROR(VLOOKUP(O391,CODIGO_DIAGNOSTICO,2,0),"CÓDIGO NO ENCONTRADO"))</f>
        <v>CONTUSION DEL TOBILLO</v>
      </c>
      <c r="Q391" s="68" t="s">
        <v>25001</v>
      </c>
      <c r="R391" s="67">
        <v>8743376</v>
      </c>
      <c r="S391" s="77">
        <v>45231</v>
      </c>
      <c r="T391" s="76">
        <v>45232</v>
      </c>
      <c r="U391" s="65">
        <f>SUM(W391/30)*J391</f>
        <v>127200.5</v>
      </c>
      <c r="V391" s="68" t="s">
        <v>25941</v>
      </c>
      <c r="W391" s="70">
        <v>1272005</v>
      </c>
      <c r="X391" s="68">
        <v>0</v>
      </c>
      <c r="Y391" s="70">
        <v>0</v>
      </c>
      <c r="Z391" s="72"/>
    </row>
    <row r="392" spans="1:26" ht="15.75" hidden="1" customHeight="1" x14ac:dyDescent="0.25">
      <c r="A392" s="64">
        <v>8</v>
      </c>
      <c r="B392" s="62">
        <v>1037323518</v>
      </c>
      <c r="C392" s="62" t="s">
        <v>25862</v>
      </c>
      <c r="D392" s="62" t="s">
        <v>25424</v>
      </c>
      <c r="E392" s="62" t="s">
        <v>25650</v>
      </c>
      <c r="F392" s="62" t="s">
        <v>24982</v>
      </c>
      <c r="G392" s="81" t="s">
        <v>19285</v>
      </c>
      <c r="H392" s="63">
        <v>45160</v>
      </c>
      <c r="I392" s="63">
        <v>45161</v>
      </c>
      <c r="J392" s="62">
        <v>2</v>
      </c>
      <c r="K392" s="62">
        <v>2</v>
      </c>
      <c r="L392" s="62" t="s">
        <v>24995</v>
      </c>
      <c r="M392" s="62" t="s">
        <v>24995</v>
      </c>
      <c r="N392" s="62" t="s">
        <v>19269</v>
      </c>
      <c r="O392" s="62" t="s">
        <v>2593</v>
      </c>
      <c r="P392" s="42" t="str">
        <f>+IF(O392="","",IFERROR(VLOOKUP(O392,CODIGO_DIAGNOSTICO,2,0),"CÓDIGO NO ENCONTRADO"))</f>
        <v>MIGRAÑA, NO ESPECIFICADA</v>
      </c>
      <c r="Q392" s="62" t="s">
        <v>19230</v>
      </c>
      <c r="R392" s="64">
        <v>0</v>
      </c>
      <c r="S392" s="75"/>
      <c r="T392" s="75"/>
      <c r="U392" s="65">
        <f>SUM(W392/30)</f>
        <v>42400.166666666664</v>
      </c>
      <c r="V392" s="62" t="s">
        <v>25941</v>
      </c>
      <c r="W392" s="65">
        <v>1272005</v>
      </c>
      <c r="X392" s="62">
        <v>0</v>
      </c>
      <c r="Y392" s="65">
        <v>84800</v>
      </c>
      <c r="Z392" s="73"/>
    </row>
    <row r="393" spans="1:26" ht="15.75" hidden="1" customHeight="1" x14ac:dyDescent="0.25">
      <c r="A393" s="67">
        <v>8</v>
      </c>
      <c r="B393" s="68">
        <v>71589781</v>
      </c>
      <c r="C393" s="68" t="s">
        <v>25812</v>
      </c>
      <c r="D393" s="68" t="s">
        <v>25813</v>
      </c>
      <c r="E393" s="68" t="s">
        <v>25210</v>
      </c>
      <c r="F393" s="68" t="s">
        <v>25064</v>
      </c>
      <c r="G393" s="81" t="s">
        <v>19285</v>
      </c>
      <c r="H393" s="69">
        <v>45160</v>
      </c>
      <c r="I393" s="69">
        <v>45179</v>
      </c>
      <c r="J393" s="68">
        <v>20</v>
      </c>
      <c r="K393" s="68">
        <v>20</v>
      </c>
      <c r="L393" s="68" t="s">
        <v>24995</v>
      </c>
      <c r="M393" s="68" t="s">
        <v>24995</v>
      </c>
      <c r="N393" s="62" t="s">
        <v>19269</v>
      </c>
      <c r="O393" s="68" t="s">
        <v>7509</v>
      </c>
      <c r="P393" s="42" t="str">
        <f>+IF(O393="","",IFERROR(VLOOKUP(O393,CODIGO_DIAGNOSTICO,2,0),"CÓDIGO NO ENCONTRADO"))</f>
        <v>LUXACION DE LA ARTICULACION ACROMIOCLAVICULAR</v>
      </c>
      <c r="Q393" s="68" t="s">
        <v>19230</v>
      </c>
      <c r="R393" s="67"/>
      <c r="S393" s="77">
        <v>45170</v>
      </c>
      <c r="T393" s="76">
        <v>45169</v>
      </c>
      <c r="U393" s="65">
        <f>SUM(W393/30)</f>
        <v>42400.166666666664</v>
      </c>
      <c r="V393" s="68" t="s">
        <v>25941</v>
      </c>
      <c r="W393" s="70">
        <v>1272005</v>
      </c>
      <c r="X393" s="68">
        <v>0</v>
      </c>
      <c r="Y393" s="70">
        <v>84800</v>
      </c>
      <c r="Z393" s="72"/>
    </row>
    <row r="394" spans="1:26" ht="15.75" hidden="1" customHeight="1" x14ac:dyDescent="0.25">
      <c r="A394" s="64">
        <v>8</v>
      </c>
      <c r="B394" s="62">
        <v>15259158</v>
      </c>
      <c r="C394" s="62" t="s">
        <v>25702</v>
      </c>
      <c r="D394" s="62" t="s">
        <v>25015</v>
      </c>
      <c r="E394" s="62" t="s">
        <v>25203</v>
      </c>
      <c r="F394" s="62" t="s">
        <v>25005</v>
      </c>
      <c r="G394" s="81" t="s">
        <v>19285</v>
      </c>
      <c r="H394" s="63">
        <v>45161</v>
      </c>
      <c r="I394" s="63">
        <v>45162</v>
      </c>
      <c r="J394" s="62">
        <v>2</v>
      </c>
      <c r="K394" s="62">
        <v>2</v>
      </c>
      <c r="L394" s="62" t="s">
        <v>24995</v>
      </c>
      <c r="M394" s="62" t="s">
        <v>24995</v>
      </c>
      <c r="N394" s="62" t="s">
        <v>19269</v>
      </c>
      <c r="O394" s="62" t="s">
        <v>88</v>
      </c>
      <c r="P394" s="42" t="str">
        <f>+IF(O394="","",IFERROR(VLOOKUP(O394,CODIGO_DIAGNOSTICO,2,0),"CÓDIGO NO ENCONTRADO"))</f>
        <v>DIARREA Y GASTROENTERITIS DE PRESUNTO ORIGEN INFECCIOSO</v>
      </c>
      <c r="Q394" s="62" t="s">
        <v>26152</v>
      </c>
      <c r="R394" s="64">
        <v>0</v>
      </c>
      <c r="S394" s="75"/>
      <c r="T394" s="75"/>
      <c r="U394" s="65">
        <f>SUM(W394/30)</f>
        <v>42400.166666666664</v>
      </c>
      <c r="V394" s="62" t="s">
        <v>25941</v>
      </c>
      <c r="W394" s="65">
        <v>1272005</v>
      </c>
      <c r="X394" s="62">
        <v>0</v>
      </c>
      <c r="Y394" s="65">
        <v>84800</v>
      </c>
      <c r="Z394" s="73"/>
    </row>
    <row r="395" spans="1:26" ht="15.75" hidden="1" customHeight="1" x14ac:dyDescent="0.25">
      <c r="A395" s="67">
        <v>8</v>
      </c>
      <c r="B395" s="68">
        <v>70323164</v>
      </c>
      <c r="C395" s="68" t="s">
        <v>24992</v>
      </c>
      <c r="D395" s="68" t="s">
        <v>25062</v>
      </c>
      <c r="E395" s="68" t="s">
        <v>25188</v>
      </c>
      <c r="F395" s="68" t="s">
        <v>25146</v>
      </c>
      <c r="G395" s="81" t="s">
        <v>19285</v>
      </c>
      <c r="H395" s="69">
        <v>45161</v>
      </c>
      <c r="I395" s="69">
        <v>45165</v>
      </c>
      <c r="J395" s="68">
        <v>5</v>
      </c>
      <c r="K395" s="68">
        <v>5</v>
      </c>
      <c r="L395" s="68" t="s">
        <v>19262</v>
      </c>
      <c r="M395" s="68" t="s">
        <v>19262</v>
      </c>
      <c r="N395" s="62" t="s">
        <v>19269</v>
      </c>
      <c r="O395" s="68" t="s">
        <v>3646</v>
      </c>
      <c r="P395" s="42" t="str">
        <f>+IF(O395="","",IFERROR(VLOOKUP(O395,CODIGO_DIAGNOSTICO,2,0),"CÓDIGO NO ENCONTRADO"))</f>
        <v>OTRAS SINUSITIS CRONICAS</v>
      </c>
      <c r="Q395" s="68" t="s">
        <v>19230</v>
      </c>
      <c r="R395" s="67"/>
      <c r="S395" s="77"/>
      <c r="T395" s="76"/>
      <c r="U395" s="65">
        <f>SUM(W395/30)</f>
        <v>42400.166666666664</v>
      </c>
      <c r="V395" s="68" t="s">
        <v>25941</v>
      </c>
      <c r="W395" s="70">
        <v>1272005</v>
      </c>
      <c r="X395" s="68">
        <v>0</v>
      </c>
      <c r="Y395" s="70">
        <v>84800</v>
      </c>
      <c r="Z395" s="72"/>
    </row>
    <row r="396" spans="1:26" ht="15.75" hidden="1" customHeight="1" x14ac:dyDescent="0.25">
      <c r="A396" s="64">
        <v>8</v>
      </c>
      <c r="B396" s="62">
        <v>71601851</v>
      </c>
      <c r="C396" s="62" t="s">
        <v>25178</v>
      </c>
      <c r="D396" s="62" t="s">
        <v>25179</v>
      </c>
      <c r="E396" s="62" t="s">
        <v>25180</v>
      </c>
      <c r="F396" s="62" t="s">
        <v>25023</v>
      </c>
      <c r="G396" s="81" t="s">
        <v>19285</v>
      </c>
      <c r="H396" s="63">
        <v>45161</v>
      </c>
      <c r="I396" s="63">
        <v>45184</v>
      </c>
      <c r="J396" s="62">
        <v>24</v>
      </c>
      <c r="K396" s="62">
        <v>8</v>
      </c>
      <c r="L396" s="62" t="s">
        <v>19262</v>
      </c>
      <c r="M396" s="62" t="s">
        <v>19262</v>
      </c>
      <c r="N396" s="62" t="s">
        <v>19269</v>
      </c>
      <c r="O396" s="62" t="s">
        <v>4695</v>
      </c>
      <c r="P396" s="42" t="str">
        <f>+IF(O396="","",IFERROR(VLOOKUP(O396,CODIGO_DIAGNOSTICO,2,0),"CÓDIGO NO ENCONTRADO"))</f>
        <v>TRASTORNOS INTERNO DE LA RODILLA, NO ESPECIFICADO</v>
      </c>
      <c r="Q396" s="62" t="s">
        <v>19231</v>
      </c>
      <c r="R396" s="64"/>
      <c r="S396" s="75"/>
      <c r="T396" s="75"/>
      <c r="U396" s="65">
        <f>SUM(W396/30)</f>
        <v>42400.166666666664</v>
      </c>
      <c r="V396" s="62" t="s">
        <v>25941</v>
      </c>
      <c r="W396" s="65">
        <v>1272005</v>
      </c>
      <c r="X396" s="62">
        <v>0</v>
      </c>
      <c r="Y396" s="65">
        <v>84800</v>
      </c>
      <c r="Z396" s="73"/>
    </row>
    <row r="397" spans="1:26" ht="15.75" hidden="1" customHeight="1" x14ac:dyDescent="0.25">
      <c r="A397" s="67">
        <v>8</v>
      </c>
      <c r="B397" s="68">
        <v>1039022416</v>
      </c>
      <c r="C397" s="68" t="s">
        <v>25721</v>
      </c>
      <c r="D397" s="68" t="s">
        <v>25833</v>
      </c>
      <c r="E397" s="68" t="s">
        <v>25035</v>
      </c>
      <c r="F397" s="68" t="s">
        <v>25010</v>
      </c>
      <c r="G397" s="81" t="s">
        <v>19285</v>
      </c>
      <c r="H397" s="69">
        <v>45161</v>
      </c>
      <c r="I397" s="69">
        <v>45161</v>
      </c>
      <c r="J397" s="68">
        <v>1</v>
      </c>
      <c r="K397" s="68">
        <v>1</v>
      </c>
      <c r="L397" s="68" t="s">
        <v>24995</v>
      </c>
      <c r="M397" s="68" t="s">
        <v>24995</v>
      </c>
      <c r="N397" s="62" t="s">
        <v>19269</v>
      </c>
      <c r="O397" s="68" t="s">
        <v>7057</v>
      </c>
      <c r="P397" s="42" t="str">
        <f>+IF(O397="","",IFERROR(VLOOKUP(O397,CODIGO_DIAGNOSTICO,2,0),"CÓDIGO NO ENCONTRADO"))</f>
        <v>CEFALEA</v>
      </c>
      <c r="Q397" s="68" t="s">
        <v>19230</v>
      </c>
      <c r="R397" s="67">
        <v>0</v>
      </c>
      <c r="S397" s="77"/>
      <c r="T397" s="76">
        <v>0</v>
      </c>
      <c r="U397" s="65">
        <f>SUM(W397/30)</f>
        <v>42400.166666666664</v>
      </c>
      <c r="V397" s="68" t="s">
        <v>25941</v>
      </c>
      <c r="W397" s="70">
        <v>1272005</v>
      </c>
      <c r="X397" s="68">
        <v>0</v>
      </c>
      <c r="Y397" s="70">
        <v>84800</v>
      </c>
      <c r="Z397" s="72"/>
    </row>
    <row r="398" spans="1:26" ht="15.75" hidden="1" customHeight="1" x14ac:dyDescent="0.25">
      <c r="A398" s="64">
        <v>8</v>
      </c>
      <c r="B398" s="62">
        <v>1003205624</v>
      </c>
      <c r="C398" s="62" t="s">
        <v>25696</v>
      </c>
      <c r="D398" s="62" t="s">
        <v>25336</v>
      </c>
      <c r="E398" s="62" t="s">
        <v>25035</v>
      </c>
      <c r="F398" s="62" t="s">
        <v>25010</v>
      </c>
      <c r="G398" s="81" t="s">
        <v>19285</v>
      </c>
      <c r="H398" s="63">
        <v>45161</v>
      </c>
      <c r="I398" s="63">
        <v>45180</v>
      </c>
      <c r="J398" s="62">
        <v>20</v>
      </c>
      <c r="K398" s="62">
        <v>20</v>
      </c>
      <c r="L398" s="62" t="s">
        <v>24995</v>
      </c>
      <c r="M398" s="62" t="s">
        <v>24995</v>
      </c>
      <c r="N398" s="62" t="s">
        <v>19269</v>
      </c>
      <c r="O398" s="62" t="s">
        <v>12446</v>
      </c>
      <c r="P398" s="42" t="str">
        <f>+IF(O398="","",IFERROR(VLOOKUP(O398,CODIGO_DIAGNOSTICO,2,0),"CÓDIGO NO ENCONTRADO"))</f>
        <v>OTROS ESTADOS POSTQUIRURGICOS ESPECIFICADOS</v>
      </c>
      <c r="Q398" s="62" t="s">
        <v>24996</v>
      </c>
      <c r="R398" s="64">
        <v>9252321657</v>
      </c>
      <c r="S398" s="75">
        <v>45194</v>
      </c>
      <c r="T398" s="75"/>
      <c r="U398" s="65">
        <f>SUM(W398/30)</f>
        <v>42400.166666666664</v>
      </c>
      <c r="V398" s="62" t="s">
        <v>25941</v>
      </c>
      <c r="W398" s="65">
        <v>1272005</v>
      </c>
      <c r="X398" s="62">
        <v>0</v>
      </c>
      <c r="Y398" s="65">
        <v>84800</v>
      </c>
      <c r="Z398" s="73"/>
    </row>
    <row r="399" spans="1:26" ht="15.75" hidden="1" customHeight="1" x14ac:dyDescent="0.25">
      <c r="A399" s="67">
        <v>8</v>
      </c>
      <c r="B399" s="68">
        <v>71721292</v>
      </c>
      <c r="C399" s="68" t="s">
        <v>25181</v>
      </c>
      <c r="D399" s="68" t="s">
        <v>25181</v>
      </c>
      <c r="E399" s="68" t="s">
        <v>25292</v>
      </c>
      <c r="F399" s="68" t="s">
        <v>25023</v>
      </c>
      <c r="G399" s="81" t="s">
        <v>19285</v>
      </c>
      <c r="H399" s="69">
        <v>45161</v>
      </c>
      <c r="I399" s="69">
        <v>45190</v>
      </c>
      <c r="J399" s="68">
        <v>30</v>
      </c>
      <c r="K399" s="68">
        <v>30</v>
      </c>
      <c r="L399" s="68" t="s">
        <v>19262</v>
      </c>
      <c r="M399" s="68" t="s">
        <v>24995</v>
      </c>
      <c r="N399" s="62" t="s">
        <v>19269</v>
      </c>
      <c r="O399" s="68" t="s">
        <v>4986</v>
      </c>
      <c r="P399" s="42" t="str">
        <f>+IF(O399="","",IFERROR(VLOOKUP(O399,CODIGO_DIAGNOSTICO,2,0),"CÓDIGO NO ENCONTRADO"))</f>
        <v>FRACTURA PATOLOGICA, NO CLASIFICADA EN OTRA PARTE</v>
      </c>
      <c r="Q399" s="68" t="s">
        <v>19232</v>
      </c>
      <c r="R399" s="67"/>
      <c r="S399" s="77">
        <v>45244</v>
      </c>
      <c r="T399" s="76"/>
      <c r="U399" s="65">
        <f>SUM(W399/30)</f>
        <v>42400.166666666664</v>
      </c>
      <c r="V399" s="68" t="s">
        <v>25941</v>
      </c>
      <c r="W399" s="70">
        <v>1272005</v>
      </c>
      <c r="X399" s="68">
        <v>0</v>
      </c>
      <c r="Y399" s="70">
        <v>84800</v>
      </c>
      <c r="Z399" s="72"/>
    </row>
    <row r="400" spans="1:26" ht="15.75" hidden="1" customHeight="1" x14ac:dyDescent="0.25">
      <c r="A400" s="64">
        <v>8</v>
      </c>
      <c r="B400" s="62">
        <v>71744485</v>
      </c>
      <c r="C400" s="62" t="s">
        <v>25284</v>
      </c>
      <c r="D400" s="62" t="s">
        <v>25111</v>
      </c>
      <c r="E400" s="62" t="s">
        <v>25210</v>
      </c>
      <c r="F400" s="62" t="s">
        <v>25110</v>
      </c>
      <c r="G400" s="81" t="s">
        <v>19285</v>
      </c>
      <c r="H400" s="63">
        <v>45162</v>
      </c>
      <c r="I400" s="63">
        <v>45163</v>
      </c>
      <c r="J400" s="62">
        <v>2</v>
      </c>
      <c r="K400" s="62">
        <v>2</v>
      </c>
      <c r="L400" s="62" t="s">
        <v>24995</v>
      </c>
      <c r="M400" s="62" t="s">
        <v>24995</v>
      </c>
      <c r="N400" s="62" t="s">
        <v>19269</v>
      </c>
      <c r="O400" s="62" t="s">
        <v>4922</v>
      </c>
      <c r="P400" s="42" t="str">
        <f>+IF(O400="","",IFERROR(VLOOKUP(O400,CODIGO_DIAGNOSTICO,2,0),"CÓDIGO NO ENCONTRADO"))</f>
        <v>TENDINITIS CALCIFICANTE DEL HOMBRO</v>
      </c>
      <c r="Q400" s="62" t="s">
        <v>24996</v>
      </c>
      <c r="R400" s="64">
        <v>0</v>
      </c>
      <c r="S400" s="75"/>
      <c r="T400" s="75"/>
      <c r="U400" s="65">
        <f>SUM(W400/30)</f>
        <v>42400.166666666664</v>
      </c>
      <c r="V400" s="62" t="s">
        <v>25941</v>
      </c>
      <c r="W400" s="65">
        <v>1272005</v>
      </c>
      <c r="X400" s="62">
        <v>0</v>
      </c>
      <c r="Y400" s="65">
        <v>84800</v>
      </c>
      <c r="Z400" s="73"/>
    </row>
    <row r="401" spans="1:26" ht="15.75" hidden="1" customHeight="1" x14ac:dyDescent="0.25">
      <c r="A401" s="67">
        <v>8</v>
      </c>
      <c r="B401" s="68">
        <v>1128399403</v>
      </c>
      <c r="C401" s="68" t="s">
        <v>25288</v>
      </c>
      <c r="D401" s="68" t="s">
        <v>25065</v>
      </c>
      <c r="E401" s="68" t="s">
        <v>25882</v>
      </c>
      <c r="F401" s="68"/>
      <c r="G401" s="81" t="s">
        <v>19285</v>
      </c>
      <c r="H401" s="69">
        <v>45162</v>
      </c>
      <c r="I401" s="69">
        <v>45165</v>
      </c>
      <c r="J401" s="68">
        <v>4</v>
      </c>
      <c r="K401" s="68">
        <v>4</v>
      </c>
      <c r="L401" s="68" t="s">
        <v>24995</v>
      </c>
      <c r="M401" s="68" t="s">
        <v>24995</v>
      </c>
      <c r="N401" s="62" t="s">
        <v>19263</v>
      </c>
      <c r="O401" s="68" t="s">
        <v>7728</v>
      </c>
      <c r="P401" s="42" t="str">
        <f>+IF(O401="","",IFERROR(VLOOKUP(O401,CODIGO_DIAGNOSTICO,2,0),"CÓDIGO NO ENCONTRADO"))</f>
        <v>FRACTURA DEL MALEOLO EXTERNO</v>
      </c>
      <c r="Q401" s="68" t="s">
        <v>25001</v>
      </c>
      <c r="R401" s="67">
        <v>6953548</v>
      </c>
      <c r="S401" s="77">
        <v>45195</v>
      </c>
      <c r="T401" s="76">
        <v>45202</v>
      </c>
      <c r="U401" s="65">
        <f>SUM(W401/30)*J401</f>
        <v>169600.66666666666</v>
      </c>
      <c r="V401" s="68" t="s">
        <v>25941</v>
      </c>
      <c r="W401" s="70">
        <v>1272005</v>
      </c>
      <c r="X401" s="68">
        <v>0</v>
      </c>
      <c r="Y401" s="70">
        <v>0</v>
      </c>
      <c r="Z401" s="72"/>
    </row>
    <row r="402" spans="1:26" ht="15.75" hidden="1" customHeight="1" x14ac:dyDescent="0.25">
      <c r="A402" s="64">
        <v>8</v>
      </c>
      <c r="B402" s="62">
        <v>1020471954</v>
      </c>
      <c r="C402" s="62" t="s">
        <v>25410</v>
      </c>
      <c r="D402" s="62" t="s">
        <v>25163</v>
      </c>
      <c r="E402" s="62" t="s">
        <v>25886</v>
      </c>
      <c r="F402" s="62"/>
      <c r="G402" s="81" t="s">
        <v>19285</v>
      </c>
      <c r="H402" s="63">
        <v>45163</v>
      </c>
      <c r="I402" s="63">
        <v>45169</v>
      </c>
      <c r="J402" s="62">
        <v>7</v>
      </c>
      <c r="K402" s="62">
        <v>7</v>
      </c>
      <c r="L402" s="62" t="s">
        <v>24995</v>
      </c>
      <c r="M402" s="62" t="s">
        <v>24995</v>
      </c>
      <c r="N402" s="62" t="s">
        <v>19269</v>
      </c>
      <c r="O402" s="62" t="s">
        <v>7773</v>
      </c>
      <c r="P402" s="42" t="str">
        <f>+IF(O402="","",IFERROR(VLOOKUP(O402,CODIGO_DIAGNOSTICO,2,0),"CÓDIGO NO ENCONTRADO"))</f>
        <v>CONTUSION DE OTRAS PARTES Y DE LAS NO ESPECIFICADAS DEL PIE</v>
      </c>
      <c r="Q402" s="62" t="s">
        <v>26059</v>
      </c>
      <c r="R402" s="64"/>
      <c r="S402" s="75">
        <v>45164</v>
      </c>
      <c r="T402" s="75">
        <v>45169</v>
      </c>
      <c r="U402" s="65">
        <f>SUM(W402/30)</f>
        <v>42400.166666666664</v>
      </c>
      <c r="V402" s="62" t="s">
        <v>25941</v>
      </c>
      <c r="W402" s="65">
        <v>1272005</v>
      </c>
      <c r="X402" s="62">
        <v>0</v>
      </c>
      <c r="Y402" s="65">
        <v>84800</v>
      </c>
      <c r="Z402" s="73"/>
    </row>
    <row r="403" spans="1:26" ht="15.75" hidden="1" customHeight="1" x14ac:dyDescent="0.25">
      <c r="A403" s="67">
        <v>8</v>
      </c>
      <c r="B403" s="68">
        <v>3669363</v>
      </c>
      <c r="C403" s="68" t="s">
        <v>25173</v>
      </c>
      <c r="D403" s="68" t="s">
        <v>24983</v>
      </c>
      <c r="E403" s="68" t="s">
        <v>19287</v>
      </c>
      <c r="F403" s="68" t="s">
        <v>25103</v>
      </c>
      <c r="G403" s="81" t="s">
        <v>19285</v>
      </c>
      <c r="H403" s="69">
        <v>45163</v>
      </c>
      <c r="I403" s="69">
        <v>45166</v>
      </c>
      <c r="J403" s="68">
        <v>4</v>
      </c>
      <c r="K403" s="68">
        <v>4</v>
      </c>
      <c r="L403" s="68" t="s">
        <v>19262</v>
      </c>
      <c r="M403" s="68" t="s">
        <v>24995</v>
      </c>
      <c r="N403" s="62" t="s">
        <v>19269</v>
      </c>
      <c r="O403" s="68" t="s">
        <v>4647</v>
      </c>
      <c r="P403" s="42" t="str">
        <f>+IF(O403="","",IFERROR(VLOOKUP(O403,CODIGO_DIAGNOSTICO,2,0),"CÓDIGO NO ENCONTRADO"))</f>
        <v>OTRAS GONARTROSIS POSTRAUMATICAS</v>
      </c>
      <c r="Q403" s="68" t="s">
        <v>26059</v>
      </c>
      <c r="R403" s="67"/>
      <c r="S403" s="77"/>
      <c r="T403" s="76"/>
      <c r="U403" s="65">
        <f>SUM(W403/30)</f>
        <v>42400.166666666664</v>
      </c>
      <c r="V403" s="68" t="s">
        <v>25941</v>
      </c>
      <c r="W403" s="70">
        <v>1272005</v>
      </c>
      <c r="X403" s="68">
        <v>0</v>
      </c>
      <c r="Y403" s="70">
        <v>84800</v>
      </c>
      <c r="Z403" s="72"/>
    </row>
    <row r="404" spans="1:26" ht="15.75" hidden="1" customHeight="1" x14ac:dyDescent="0.25">
      <c r="A404" s="64">
        <v>8</v>
      </c>
      <c r="B404" s="62">
        <v>15309929</v>
      </c>
      <c r="C404" s="62" t="s">
        <v>25047</v>
      </c>
      <c r="D404" s="62" t="s">
        <v>25012</v>
      </c>
      <c r="E404" s="62" t="s">
        <v>25048</v>
      </c>
      <c r="F404" s="62" t="s">
        <v>25014</v>
      </c>
      <c r="G404" s="81" t="s">
        <v>19285</v>
      </c>
      <c r="H404" s="63">
        <v>45164</v>
      </c>
      <c r="I404" s="63">
        <v>45178</v>
      </c>
      <c r="J404" s="62">
        <v>15</v>
      </c>
      <c r="K404" s="62">
        <v>15</v>
      </c>
      <c r="L404" s="62" t="s">
        <v>19262</v>
      </c>
      <c r="M404" s="62" t="s">
        <v>19262</v>
      </c>
      <c r="N404" s="62" t="s">
        <v>19269</v>
      </c>
      <c r="O404" s="62" t="s">
        <v>7734</v>
      </c>
      <c r="P404" s="42" t="str">
        <f>+IF(O404="","",IFERROR(VLOOKUP(O404,CODIGO_DIAGNOSTICO,2,0),"CÓDIGO NO ENCONTRADO"))</f>
        <v>DESGARRO DE MENISCOS, PRESENTE</v>
      </c>
      <c r="Q404" s="62" t="s">
        <v>19230</v>
      </c>
      <c r="R404" s="64"/>
      <c r="S404" s="75"/>
      <c r="T404" s="75"/>
      <c r="U404" s="65">
        <f>SUM(W404/30)</f>
        <v>42400.166666666664</v>
      </c>
      <c r="V404" s="62" t="s">
        <v>25941</v>
      </c>
      <c r="W404" s="65">
        <v>1272005</v>
      </c>
      <c r="X404" s="62">
        <v>0</v>
      </c>
      <c r="Y404" s="65">
        <v>84800</v>
      </c>
      <c r="Z404" s="73"/>
    </row>
    <row r="405" spans="1:26" ht="15.75" hidden="1" customHeight="1" x14ac:dyDescent="0.25">
      <c r="A405" s="67">
        <v>8</v>
      </c>
      <c r="B405" s="68">
        <v>71676289</v>
      </c>
      <c r="C405" s="68" t="s">
        <v>25015</v>
      </c>
      <c r="D405" s="68" t="s">
        <v>25012</v>
      </c>
      <c r="E405" s="68" t="s">
        <v>25016</v>
      </c>
      <c r="F405" s="68" t="s">
        <v>25004</v>
      </c>
      <c r="G405" s="81" t="s">
        <v>19285</v>
      </c>
      <c r="H405" s="69">
        <v>45165</v>
      </c>
      <c r="I405" s="69">
        <v>45165</v>
      </c>
      <c r="J405" s="68">
        <v>1</v>
      </c>
      <c r="K405" s="68">
        <v>1</v>
      </c>
      <c r="L405" s="68" t="s">
        <v>19262</v>
      </c>
      <c r="M405" s="68" t="s">
        <v>19262</v>
      </c>
      <c r="N405" s="62" t="s">
        <v>19269</v>
      </c>
      <c r="O405" s="68" t="s">
        <v>7823</v>
      </c>
      <c r="P405" s="42" t="str">
        <f>+IF(O405="","",IFERROR(VLOOKUP(O405,CODIGO_DIAGNOSTICO,2,0),"CÓDIGO NO ENCONTRADO"))</f>
        <v>AMPUTACION DEL PIE, NIVEL NO ESPECIFICADO</v>
      </c>
      <c r="Q405" s="68" t="s">
        <v>19230</v>
      </c>
      <c r="R405" s="67"/>
      <c r="S405" s="77"/>
      <c r="T405" s="76"/>
      <c r="U405" s="65">
        <f>SUM(W405/30)</f>
        <v>42400.166666666664</v>
      </c>
      <c r="V405" s="68" t="s">
        <v>25941</v>
      </c>
      <c r="W405" s="70">
        <v>1272005</v>
      </c>
      <c r="X405" s="68">
        <v>0</v>
      </c>
      <c r="Y405" s="70">
        <v>84800</v>
      </c>
      <c r="Z405" s="72"/>
    </row>
    <row r="406" spans="1:26" ht="15.75" hidden="1" customHeight="1" x14ac:dyDescent="0.25">
      <c r="A406" s="64">
        <v>8</v>
      </c>
      <c r="B406" s="62">
        <v>71676289</v>
      </c>
      <c r="C406" s="62" t="s">
        <v>25015</v>
      </c>
      <c r="D406" s="62" t="s">
        <v>25012</v>
      </c>
      <c r="E406" s="62" t="s">
        <v>25016</v>
      </c>
      <c r="F406" s="62" t="s">
        <v>25004</v>
      </c>
      <c r="G406" s="81" t="s">
        <v>19285</v>
      </c>
      <c r="H406" s="63">
        <v>45166</v>
      </c>
      <c r="I406" s="63">
        <v>45179</v>
      </c>
      <c r="J406" s="62">
        <v>14</v>
      </c>
      <c r="K406" s="62">
        <v>4</v>
      </c>
      <c r="L406" s="62" t="s">
        <v>24995</v>
      </c>
      <c r="M406" s="62" t="s">
        <v>19262</v>
      </c>
      <c r="N406" s="62" t="s">
        <v>19269</v>
      </c>
      <c r="O406" s="62" t="s">
        <v>7823</v>
      </c>
      <c r="P406" s="42" t="str">
        <f>+IF(O406="","",IFERROR(VLOOKUP(O406,CODIGO_DIAGNOSTICO,2,0),"CÓDIGO NO ENCONTRADO"))</f>
        <v>AMPUTACION DEL PIE, NIVEL NO ESPECIFICADO</v>
      </c>
      <c r="Q406" s="62" t="s">
        <v>19230</v>
      </c>
      <c r="R406" s="64"/>
      <c r="S406" s="75"/>
      <c r="T406" s="75"/>
      <c r="U406" s="65">
        <f>SUM(W406/30)</f>
        <v>42400.166666666664</v>
      </c>
      <c r="V406" s="62" t="s">
        <v>25941</v>
      </c>
      <c r="W406" s="65">
        <v>1272005</v>
      </c>
      <c r="X406" s="62">
        <v>0</v>
      </c>
      <c r="Y406" s="65">
        <v>84800</v>
      </c>
      <c r="Z406" s="73"/>
    </row>
    <row r="407" spans="1:26" ht="15.75" hidden="1" customHeight="1" x14ac:dyDescent="0.25">
      <c r="A407" s="67">
        <v>8</v>
      </c>
      <c r="B407" s="68">
        <v>1037323518</v>
      </c>
      <c r="C407" s="68" t="s">
        <v>25862</v>
      </c>
      <c r="D407" s="68" t="s">
        <v>25424</v>
      </c>
      <c r="E407" s="68" t="s">
        <v>24988</v>
      </c>
      <c r="F407" s="68" t="s">
        <v>25103</v>
      </c>
      <c r="G407" s="81" t="s">
        <v>19285</v>
      </c>
      <c r="H407" s="69">
        <v>45166</v>
      </c>
      <c r="I407" s="69">
        <v>45170</v>
      </c>
      <c r="J407" s="68">
        <v>5</v>
      </c>
      <c r="K407" s="68">
        <v>5</v>
      </c>
      <c r="L407" s="68" t="s">
        <v>24995</v>
      </c>
      <c r="M407" s="68" t="s">
        <v>24995</v>
      </c>
      <c r="N407" s="62" t="s">
        <v>19269</v>
      </c>
      <c r="O407" s="68" t="s">
        <v>7713</v>
      </c>
      <c r="P407" s="42" t="str">
        <f>+IF(O407="","",IFERROR(VLOOKUP(O407,CODIGO_DIAGNOSTICO,2,0),"CÓDIGO NO ENCONTRADO"))</f>
        <v>CONTUSION DE LA RODILLA</v>
      </c>
      <c r="Q407" s="68" t="s">
        <v>19288</v>
      </c>
      <c r="R407" s="67" t="s">
        <v>25957</v>
      </c>
      <c r="S407" s="77">
        <v>45201</v>
      </c>
      <c r="T407" s="76">
        <v>45202</v>
      </c>
      <c r="U407" s="65">
        <f>SUM(W407/30)</f>
        <v>42400.166666666664</v>
      </c>
      <c r="V407" s="68" t="s">
        <v>25941</v>
      </c>
      <c r="W407" s="70">
        <v>1272005</v>
      </c>
      <c r="X407" s="68">
        <v>0</v>
      </c>
      <c r="Y407" s="70">
        <v>84800</v>
      </c>
      <c r="Z407" s="72"/>
    </row>
    <row r="408" spans="1:26" ht="15.75" hidden="1" customHeight="1" x14ac:dyDescent="0.25">
      <c r="A408" s="64">
        <v>8</v>
      </c>
      <c r="B408" s="62">
        <v>70323164</v>
      </c>
      <c r="C408" s="62" t="s">
        <v>25145</v>
      </c>
      <c r="D408" s="62" t="s">
        <v>24985</v>
      </c>
      <c r="E408" s="62" t="s">
        <v>25188</v>
      </c>
      <c r="F408" s="62" t="s">
        <v>25146</v>
      </c>
      <c r="G408" s="81" t="s">
        <v>19285</v>
      </c>
      <c r="H408" s="63">
        <v>45166</v>
      </c>
      <c r="I408" s="63">
        <v>45170</v>
      </c>
      <c r="J408" s="62">
        <v>5</v>
      </c>
      <c r="K408" s="62">
        <v>5</v>
      </c>
      <c r="L408" s="62" t="s">
        <v>19262</v>
      </c>
      <c r="M408" s="62" t="s">
        <v>19262</v>
      </c>
      <c r="N408" s="62" t="s">
        <v>19269</v>
      </c>
      <c r="O408" s="62" t="s">
        <v>3646</v>
      </c>
      <c r="P408" s="42" t="str">
        <f>+IF(O408="","",IFERROR(VLOOKUP(O408,CODIGO_DIAGNOSTICO,2,0),"CÓDIGO NO ENCONTRADO"))</f>
        <v>OTRAS SINUSITIS CRONICAS</v>
      </c>
      <c r="Q408" s="62" t="s">
        <v>19230</v>
      </c>
      <c r="R408" s="64"/>
      <c r="S408" s="75"/>
      <c r="T408" s="75"/>
      <c r="U408" s="65">
        <f>SUM(W408/30)</f>
        <v>42400.166666666664</v>
      </c>
      <c r="V408" s="62" t="s">
        <v>25941</v>
      </c>
      <c r="W408" s="65">
        <v>1272005</v>
      </c>
      <c r="X408" s="62">
        <v>0</v>
      </c>
      <c r="Y408" s="65">
        <v>84800</v>
      </c>
      <c r="Z408" s="73"/>
    </row>
    <row r="409" spans="1:26" ht="15.75" hidden="1" customHeight="1" x14ac:dyDescent="0.25">
      <c r="A409" s="67">
        <v>8</v>
      </c>
      <c r="B409" s="68">
        <v>71875868</v>
      </c>
      <c r="C409" s="68" t="s">
        <v>25635</v>
      </c>
      <c r="D409" s="68" t="s">
        <v>25427</v>
      </c>
      <c r="E409" s="68" t="s">
        <v>25035</v>
      </c>
      <c r="F409" s="68" t="s">
        <v>25040</v>
      </c>
      <c r="G409" s="81" t="s">
        <v>19285</v>
      </c>
      <c r="H409" s="69">
        <v>45167</v>
      </c>
      <c r="I409" s="69">
        <v>45181</v>
      </c>
      <c r="J409" s="68">
        <v>15</v>
      </c>
      <c r="K409" s="68">
        <v>15</v>
      </c>
      <c r="L409" s="68" t="s">
        <v>24995</v>
      </c>
      <c r="M409" s="68" t="s">
        <v>24995</v>
      </c>
      <c r="N409" s="62" t="s">
        <v>19269</v>
      </c>
      <c r="O409" s="68" t="s">
        <v>3988</v>
      </c>
      <c r="P409" s="42" t="str">
        <f>+IF(O409="","",IFERROR(VLOOKUP(O409,CODIGO_DIAGNOSTICO,2,0),"CÓDIGO NO ENCONTRADO"))</f>
        <v>HERNIA INGUINAL UNILATERAL O NO ESPECIFICADA, SIN OBSTRUCION NI GANGRENA</v>
      </c>
      <c r="Q409" s="68" t="s">
        <v>19230</v>
      </c>
      <c r="R409" s="67">
        <v>8627616</v>
      </c>
      <c r="S409" s="77">
        <v>45195</v>
      </c>
      <c r="T409" s="76">
        <v>45197</v>
      </c>
      <c r="U409" s="65">
        <f>SUM(W409/30)</f>
        <v>42400.166666666664</v>
      </c>
      <c r="V409" s="68" t="s">
        <v>25941</v>
      </c>
      <c r="W409" s="70">
        <v>1272005</v>
      </c>
      <c r="X409" s="68">
        <v>0</v>
      </c>
      <c r="Y409" s="70">
        <v>84800</v>
      </c>
      <c r="Z409" s="72"/>
    </row>
    <row r="410" spans="1:26" ht="15.75" hidden="1" customHeight="1" x14ac:dyDescent="0.25">
      <c r="A410" s="64">
        <v>8</v>
      </c>
      <c r="B410" s="62">
        <v>3481465</v>
      </c>
      <c r="C410" s="62" t="s">
        <v>25421</v>
      </c>
      <c r="D410" s="62" t="s">
        <v>25006</v>
      </c>
      <c r="E410" s="62" t="s">
        <v>25308</v>
      </c>
      <c r="F410" s="62" t="s">
        <v>25103</v>
      </c>
      <c r="G410" s="81" t="s">
        <v>19285</v>
      </c>
      <c r="H410" s="63">
        <v>45167</v>
      </c>
      <c r="I410" s="63">
        <v>45196</v>
      </c>
      <c r="J410" s="62">
        <v>30</v>
      </c>
      <c r="K410" s="62">
        <v>30</v>
      </c>
      <c r="L410" s="62" t="s">
        <v>19262</v>
      </c>
      <c r="M410" s="62" t="s">
        <v>19262</v>
      </c>
      <c r="N410" s="62" t="s">
        <v>19269</v>
      </c>
      <c r="O410" s="62" t="s">
        <v>2068</v>
      </c>
      <c r="P410" s="42" t="str">
        <f>+IF(O410="","",IFERROR(VLOOKUP(O410,CODIGO_DIAGNOSTICO,2,0),"CÓDIGO NO ENCONTRADO"))</f>
        <v>DEMENCIA VASCULAR DE COMIENZO AGUDO</v>
      </c>
      <c r="Q410" s="62" t="s">
        <v>19230</v>
      </c>
      <c r="R410" s="64"/>
      <c r="S410" s="75"/>
      <c r="T410" s="75"/>
      <c r="U410" s="65">
        <f>SUM(W410/30)</f>
        <v>42400.166666666664</v>
      </c>
      <c r="V410" s="62" t="s">
        <v>25941</v>
      </c>
      <c r="W410" s="65">
        <v>1272005</v>
      </c>
      <c r="X410" s="62">
        <v>0</v>
      </c>
      <c r="Y410" s="65">
        <v>84800</v>
      </c>
      <c r="Z410" s="73"/>
    </row>
    <row r="411" spans="1:26" ht="15.75" hidden="1" customHeight="1" x14ac:dyDescent="0.25">
      <c r="A411" s="67">
        <v>9</v>
      </c>
      <c r="B411" s="68">
        <v>71316478</v>
      </c>
      <c r="C411" s="68" t="s">
        <v>25443</v>
      </c>
      <c r="D411" s="68" t="s">
        <v>25514</v>
      </c>
      <c r="E411" s="68" t="s">
        <v>25515</v>
      </c>
      <c r="F411" s="68"/>
      <c r="G411" s="81" t="s">
        <v>19285</v>
      </c>
      <c r="H411" s="69">
        <v>45170</v>
      </c>
      <c r="I411" s="69">
        <v>45184</v>
      </c>
      <c r="J411" s="68">
        <v>15</v>
      </c>
      <c r="K411" s="68">
        <v>15</v>
      </c>
      <c r="L411" s="68" t="s">
        <v>19262</v>
      </c>
      <c r="M411" s="68" t="s">
        <v>19262</v>
      </c>
      <c r="N411" s="62" t="s">
        <v>19269</v>
      </c>
      <c r="O411" s="68" t="s">
        <v>12288</v>
      </c>
      <c r="P411" s="42" t="str">
        <f>+IF(O411="","",IFERROR(VLOOKUP(O411,CODIGO_DIAGNOSTICO,2,0),"CÓDIGO NO ENCONTRADO"))</f>
        <v>PERSONA EN CONTACTO CON LOS SERVICIOS DE SALUD EN CIRCUNSTANCIAS NO ESPECIFICADAS</v>
      </c>
      <c r="Q411" s="68" t="s">
        <v>25918</v>
      </c>
      <c r="R411" s="67"/>
      <c r="S411" s="77"/>
      <c r="T411" s="76"/>
      <c r="U411" s="65">
        <f>SUM(W411/30)</f>
        <v>42400.166666666664</v>
      </c>
      <c r="V411" s="68" t="s">
        <v>25941</v>
      </c>
      <c r="W411" s="70">
        <v>1272005</v>
      </c>
      <c r="X411" s="68">
        <v>0</v>
      </c>
      <c r="Y411" s="70">
        <v>84800</v>
      </c>
      <c r="Z411" s="72"/>
    </row>
    <row r="412" spans="1:26" ht="15.75" hidden="1" customHeight="1" x14ac:dyDescent="0.25">
      <c r="A412" s="64">
        <v>9</v>
      </c>
      <c r="B412" s="62">
        <v>1003205624</v>
      </c>
      <c r="C412" s="62" t="s">
        <v>25696</v>
      </c>
      <c r="D412" s="62" t="s">
        <v>25390</v>
      </c>
      <c r="E412" s="62" t="s">
        <v>25035</v>
      </c>
      <c r="F412" s="62" t="s">
        <v>25010</v>
      </c>
      <c r="G412" s="81" t="s">
        <v>19285</v>
      </c>
      <c r="H412" s="63">
        <v>45170</v>
      </c>
      <c r="I412" s="63">
        <v>45180</v>
      </c>
      <c r="J412" s="62">
        <v>11</v>
      </c>
      <c r="K412" s="62">
        <v>11</v>
      </c>
      <c r="L412" s="62" t="s">
        <v>19262</v>
      </c>
      <c r="M412" s="62" t="s">
        <v>24995</v>
      </c>
      <c r="N412" s="62" t="s">
        <v>19269</v>
      </c>
      <c r="O412" s="62" t="s">
        <v>12446</v>
      </c>
      <c r="P412" s="42" t="str">
        <f>+IF(O412="","",IFERROR(VLOOKUP(O412,CODIGO_DIAGNOSTICO,2,0),"CÓDIGO NO ENCONTRADO"))</f>
        <v>OTROS ESTADOS POSTQUIRURGICOS ESPECIFICADOS</v>
      </c>
      <c r="Q412" s="62" t="s">
        <v>24996</v>
      </c>
      <c r="R412" s="64">
        <v>1004238480</v>
      </c>
      <c r="S412" s="75">
        <v>45203</v>
      </c>
      <c r="T412" s="75">
        <v>45209</v>
      </c>
      <c r="U412" s="65">
        <f>SUM(W412/30)</f>
        <v>42400.166666666664</v>
      </c>
      <c r="V412" s="62" t="s">
        <v>25941</v>
      </c>
      <c r="W412" s="65">
        <v>1272005</v>
      </c>
      <c r="X412" s="62">
        <v>0</v>
      </c>
      <c r="Y412" s="65">
        <v>84800</v>
      </c>
      <c r="Z412" s="73"/>
    </row>
    <row r="413" spans="1:26" ht="15.75" hidden="1" customHeight="1" x14ac:dyDescent="0.25">
      <c r="A413" s="67">
        <v>9</v>
      </c>
      <c r="B413" s="68">
        <v>70434145</v>
      </c>
      <c r="C413" s="68" t="s">
        <v>25472</v>
      </c>
      <c r="D413" s="68" t="s">
        <v>25804</v>
      </c>
      <c r="E413" s="68" t="s">
        <v>25627</v>
      </c>
      <c r="F413" s="68"/>
      <c r="G413" s="81" t="s">
        <v>19285</v>
      </c>
      <c r="H413" s="69">
        <v>45171</v>
      </c>
      <c r="I413" s="69">
        <v>45173</v>
      </c>
      <c r="J413" s="68">
        <v>3</v>
      </c>
      <c r="K413" s="68">
        <v>3</v>
      </c>
      <c r="L413" s="68" t="s">
        <v>24995</v>
      </c>
      <c r="M413" s="68" t="s">
        <v>24995</v>
      </c>
      <c r="N413" s="62" t="s">
        <v>19269</v>
      </c>
      <c r="O413" s="68" t="s">
        <v>7668</v>
      </c>
      <c r="P413" s="42" t="str">
        <f>+IF(O413="","",IFERROR(VLOOKUP(O413,CODIGO_DIAGNOSTICO,2,0),"CÓDIGO NO ENCONTRADO"))</f>
        <v>CONTUSION DEL MUSLO</v>
      </c>
      <c r="Q413" s="68" t="s">
        <v>19288</v>
      </c>
      <c r="R413" s="67" t="s">
        <v>25958</v>
      </c>
      <c r="S413" s="77">
        <v>45201</v>
      </c>
      <c r="T413" s="76">
        <v>45202</v>
      </c>
      <c r="U413" s="65">
        <f>SUM(W413/30)</f>
        <v>42400.166666666664</v>
      </c>
      <c r="V413" s="68" t="s">
        <v>25941</v>
      </c>
      <c r="W413" s="70">
        <v>1272005</v>
      </c>
      <c r="X413" s="68">
        <v>0</v>
      </c>
      <c r="Y413" s="70">
        <v>84800</v>
      </c>
      <c r="Z413" s="72"/>
    </row>
    <row r="414" spans="1:26" ht="15.75" hidden="1" customHeight="1" x14ac:dyDescent="0.25">
      <c r="A414" s="64">
        <v>9</v>
      </c>
      <c r="B414" s="62">
        <v>70323164</v>
      </c>
      <c r="C414" s="62" t="s">
        <v>25145</v>
      </c>
      <c r="D414" s="62" t="s">
        <v>24985</v>
      </c>
      <c r="E414" s="62" t="s">
        <v>25188</v>
      </c>
      <c r="F414" s="62" t="s">
        <v>25146</v>
      </c>
      <c r="G414" s="81" t="s">
        <v>19285</v>
      </c>
      <c r="H414" s="63">
        <v>45171</v>
      </c>
      <c r="I414" s="63">
        <v>45174</v>
      </c>
      <c r="J414" s="62">
        <v>4</v>
      </c>
      <c r="K414" s="62">
        <v>4</v>
      </c>
      <c r="L414" s="62" t="s">
        <v>19262</v>
      </c>
      <c r="M414" s="62" t="s">
        <v>19262</v>
      </c>
      <c r="N414" s="62" t="s">
        <v>19269</v>
      </c>
      <c r="O414" s="62" t="s">
        <v>3692</v>
      </c>
      <c r="P414" s="42" t="str">
        <f>+IF(O414="","",IFERROR(VLOOKUP(O414,CODIGO_DIAGNOSTICO,2,0),"CÓDIGO NO ENCONTRADO"))</f>
        <v>OTRAS ENFERMEDADES PULMONARES OBSTRUCTIVAS CRONICAS ESPECIFICADAS</v>
      </c>
      <c r="Q414" s="62" t="s">
        <v>19230</v>
      </c>
      <c r="R414" s="64"/>
      <c r="S414" s="75"/>
      <c r="T414" s="75"/>
      <c r="U414" s="65">
        <f>SUM(W414/30)</f>
        <v>42400.166666666664</v>
      </c>
      <c r="V414" s="62" t="s">
        <v>25941</v>
      </c>
      <c r="W414" s="65">
        <v>1272005</v>
      </c>
      <c r="X414" s="62">
        <v>0</v>
      </c>
      <c r="Y414" s="65">
        <v>84800</v>
      </c>
      <c r="Z414" s="73"/>
    </row>
    <row r="415" spans="1:26" ht="15.75" hidden="1" customHeight="1" x14ac:dyDescent="0.25">
      <c r="A415" s="67">
        <v>9</v>
      </c>
      <c r="B415" s="68">
        <v>71711638</v>
      </c>
      <c r="C415" s="68" t="s">
        <v>25847</v>
      </c>
      <c r="D415" s="68" t="s">
        <v>25848</v>
      </c>
      <c r="E415" s="68" t="s">
        <v>25849</v>
      </c>
      <c r="F415" s="68" t="s">
        <v>25162</v>
      </c>
      <c r="G415" s="81" t="s">
        <v>19285</v>
      </c>
      <c r="H415" s="69">
        <v>45171</v>
      </c>
      <c r="I415" s="69">
        <v>45200</v>
      </c>
      <c r="J415" s="68">
        <v>30</v>
      </c>
      <c r="K415" s="68">
        <v>30</v>
      </c>
      <c r="L415" s="68" t="s">
        <v>24995</v>
      </c>
      <c r="M415" s="68" t="s">
        <v>24995</v>
      </c>
      <c r="N415" s="62" t="s">
        <v>19269</v>
      </c>
      <c r="O415" s="68" t="s">
        <v>25890</v>
      </c>
      <c r="P415" s="42" t="str">
        <f>+IF(O415="","",IFERROR(VLOOKUP(O415,CODIGO_DIAGNOSTICO,2,0),"CÓDIGO NO ENCONTRADO"))</f>
        <v>HEMORROIDES DE TERCER GRADO</v>
      </c>
      <c r="Q415" s="68" t="s">
        <v>24996</v>
      </c>
      <c r="R415" s="67">
        <v>9252326244</v>
      </c>
      <c r="S415" s="77">
        <v>45194</v>
      </c>
      <c r="T415" s="76">
        <v>45209</v>
      </c>
      <c r="U415" s="65">
        <f>SUM(W415/30)</f>
        <v>42400.166666666664</v>
      </c>
      <c r="V415" s="68" t="s">
        <v>25941</v>
      </c>
      <c r="W415" s="70">
        <v>1272005</v>
      </c>
      <c r="X415" s="68">
        <v>0</v>
      </c>
      <c r="Y415" s="70">
        <v>84800</v>
      </c>
      <c r="Z415" s="72"/>
    </row>
    <row r="416" spans="1:26" ht="15.75" hidden="1" customHeight="1" x14ac:dyDescent="0.25">
      <c r="A416" s="64">
        <v>9</v>
      </c>
      <c r="B416" s="62">
        <v>1216713788</v>
      </c>
      <c r="C416" s="62" t="s">
        <v>24987</v>
      </c>
      <c r="D416" s="62" t="s">
        <v>25687</v>
      </c>
      <c r="E416" s="62" t="s">
        <v>25089</v>
      </c>
      <c r="F416" s="62" t="s">
        <v>25066</v>
      </c>
      <c r="G416" s="81" t="s">
        <v>19285</v>
      </c>
      <c r="H416" s="63">
        <v>45172</v>
      </c>
      <c r="I416" s="63">
        <v>45195</v>
      </c>
      <c r="J416" s="62">
        <v>24</v>
      </c>
      <c r="K416" s="62">
        <v>24</v>
      </c>
      <c r="L416" s="62" t="s">
        <v>19262</v>
      </c>
      <c r="M416" s="62" t="s">
        <v>24995</v>
      </c>
      <c r="N416" s="62" t="s">
        <v>19263</v>
      </c>
      <c r="O416" s="62" t="s">
        <v>7737</v>
      </c>
      <c r="P416" s="42" t="str">
        <f>+IF(O416="","",IFERROR(VLOOKUP(O416,CODIGO_DIAGNOSTICO,2,0),"CÓDIGO NO ENCONTRADO"))</f>
        <v>ESGUINCES Y TORCEDURAS QUE COMPROMETEN EL LIGAMENTO CRUZADO (ANTERIOR) (POSTERIOR) DE LA RODILLA</v>
      </c>
      <c r="Q416" s="62" t="s">
        <v>25001</v>
      </c>
      <c r="R416" s="64">
        <v>30458080</v>
      </c>
      <c r="S416" s="75">
        <v>45205</v>
      </c>
      <c r="T416" s="75">
        <v>45225</v>
      </c>
      <c r="U416" s="65">
        <f>SUM(W416/30)*J416</f>
        <v>1017604</v>
      </c>
      <c r="V416" s="62" t="s">
        <v>25941</v>
      </c>
      <c r="W416" s="65">
        <v>1272005</v>
      </c>
      <c r="X416" s="62">
        <v>0</v>
      </c>
      <c r="Y416" s="65">
        <v>0</v>
      </c>
      <c r="Z416" s="73"/>
    </row>
    <row r="417" spans="1:26" ht="15.75" hidden="1" customHeight="1" x14ac:dyDescent="0.25">
      <c r="A417" s="67">
        <v>9</v>
      </c>
      <c r="B417" s="68">
        <v>3669363</v>
      </c>
      <c r="C417" s="68" t="s">
        <v>19286</v>
      </c>
      <c r="D417" s="68" t="s">
        <v>24983</v>
      </c>
      <c r="E417" s="68" t="s">
        <v>25032</v>
      </c>
      <c r="F417" s="68" t="s">
        <v>25103</v>
      </c>
      <c r="G417" s="81" t="s">
        <v>19285</v>
      </c>
      <c r="H417" s="69">
        <v>45173</v>
      </c>
      <c r="I417" s="69">
        <v>45175</v>
      </c>
      <c r="J417" s="68">
        <v>3</v>
      </c>
      <c r="K417" s="68">
        <v>3</v>
      </c>
      <c r="L417" s="68" t="s">
        <v>24995</v>
      </c>
      <c r="M417" s="68" t="s">
        <v>24995</v>
      </c>
      <c r="N417" s="62" t="s">
        <v>19269</v>
      </c>
      <c r="O417" s="68" t="s">
        <v>3581</v>
      </c>
      <c r="P417" s="42" t="str">
        <f>+IF(O417="","",IFERROR(VLOOKUP(O417,CODIGO_DIAGNOSTICO,2,0),"CÓDIGO NO ENCONTRADO"))</f>
        <v>LARINGOFARINGITIS AGUDA</v>
      </c>
      <c r="Q417" s="68" t="s">
        <v>19230</v>
      </c>
      <c r="R417" s="67"/>
      <c r="S417" s="77"/>
      <c r="T417" s="76"/>
      <c r="U417" s="65">
        <f>SUM(W417/30)</f>
        <v>42400.166666666664</v>
      </c>
      <c r="V417" s="68" t="s">
        <v>25941</v>
      </c>
      <c r="W417" s="70">
        <v>1272005</v>
      </c>
      <c r="X417" s="68">
        <v>0</v>
      </c>
      <c r="Y417" s="70">
        <v>84800</v>
      </c>
      <c r="Z417" s="72"/>
    </row>
    <row r="418" spans="1:26" ht="15.75" hidden="1" customHeight="1" x14ac:dyDescent="0.25">
      <c r="A418" s="64">
        <v>9</v>
      </c>
      <c r="B418" s="62">
        <v>98601485</v>
      </c>
      <c r="C418" s="62" t="s">
        <v>25240</v>
      </c>
      <c r="D418" s="62"/>
      <c r="E418" s="62" t="s">
        <v>25241</v>
      </c>
      <c r="F418" s="62" t="s">
        <v>25103</v>
      </c>
      <c r="G418" s="81" t="s">
        <v>19285</v>
      </c>
      <c r="H418" s="63">
        <v>45175</v>
      </c>
      <c r="I418" s="63">
        <v>45177</v>
      </c>
      <c r="J418" s="62">
        <v>3</v>
      </c>
      <c r="K418" s="62">
        <v>3</v>
      </c>
      <c r="L418" s="62" t="s">
        <v>19262</v>
      </c>
      <c r="M418" s="62" t="s">
        <v>19262</v>
      </c>
      <c r="N418" s="62" t="s">
        <v>19269</v>
      </c>
      <c r="O418" s="62" t="s">
        <v>4650</v>
      </c>
      <c r="P418" s="42" t="str">
        <f>+IF(O418="","",IFERROR(VLOOKUP(O418,CODIGO_DIAGNOSTICO,2,0),"CÓDIGO NO ENCONTRADO"))</f>
        <v>GONARTROSIS, NO ESPECIFICADA</v>
      </c>
      <c r="Q418" s="62" t="s">
        <v>26059</v>
      </c>
      <c r="R418" s="64">
        <v>8622201</v>
      </c>
      <c r="S418" s="75">
        <v>45194</v>
      </c>
      <c r="T418" s="75">
        <v>45202</v>
      </c>
      <c r="U418" s="65">
        <f>SUM(W418/30)</f>
        <v>42400.166666666664</v>
      </c>
      <c r="V418" s="62" t="s">
        <v>25941</v>
      </c>
      <c r="W418" s="65">
        <v>1272005</v>
      </c>
      <c r="X418" s="62">
        <v>0</v>
      </c>
      <c r="Y418" s="65">
        <v>84800</v>
      </c>
      <c r="Z418" s="73"/>
    </row>
    <row r="419" spans="1:26" ht="15.75" hidden="1" customHeight="1" x14ac:dyDescent="0.25">
      <c r="A419" s="67">
        <v>9</v>
      </c>
      <c r="B419" s="68">
        <v>1067957772</v>
      </c>
      <c r="C419" s="68" t="s">
        <v>25375</v>
      </c>
      <c r="D419" s="68" t="s">
        <v>25073</v>
      </c>
      <c r="E419" s="68" t="s">
        <v>25376</v>
      </c>
      <c r="F419" s="68" t="s">
        <v>25091</v>
      </c>
      <c r="G419" s="81" t="s">
        <v>19285</v>
      </c>
      <c r="H419" s="69">
        <v>45175</v>
      </c>
      <c r="I419" s="69">
        <v>45175</v>
      </c>
      <c r="J419" s="68">
        <v>1</v>
      </c>
      <c r="K419" s="68">
        <v>1</v>
      </c>
      <c r="L419" s="68" t="s">
        <v>24995</v>
      </c>
      <c r="M419" s="68" t="s">
        <v>24995</v>
      </c>
      <c r="N419" s="62" t="s">
        <v>19269</v>
      </c>
      <c r="O419" s="68" t="s">
        <v>2961</v>
      </c>
      <c r="P419" s="42" t="str">
        <f>+IF(O419="","",IFERROR(VLOOKUP(O419,CODIGO_DIAGNOSTICO,2,0),"CÓDIGO NO ENCONTRADO"))</f>
        <v>OTROS TRASTORNOS ESPECIFICADOS DE LA RETINA</v>
      </c>
      <c r="Q419" s="68" t="s">
        <v>19230</v>
      </c>
      <c r="R419" s="67">
        <v>0</v>
      </c>
      <c r="S419" s="77"/>
      <c r="T419" s="76">
        <v>0</v>
      </c>
      <c r="U419" s="65">
        <f>SUM(W419/30)</f>
        <v>42400.166666666664</v>
      </c>
      <c r="V419" s="68" t="s">
        <v>25941</v>
      </c>
      <c r="W419" s="70">
        <v>1272005</v>
      </c>
      <c r="X419" s="68">
        <v>0</v>
      </c>
      <c r="Y419" s="70">
        <v>84800</v>
      </c>
      <c r="Z419" s="72"/>
    </row>
    <row r="420" spans="1:26" ht="15.75" hidden="1" customHeight="1" x14ac:dyDescent="0.25">
      <c r="A420" s="64">
        <v>9</v>
      </c>
      <c r="B420" s="62">
        <v>22188088</v>
      </c>
      <c r="C420" s="62" t="s">
        <v>25279</v>
      </c>
      <c r="D420" s="62" t="s">
        <v>25140</v>
      </c>
      <c r="E420" s="62" t="s">
        <v>25258</v>
      </c>
      <c r="F420" s="62" t="s">
        <v>25501</v>
      </c>
      <c r="G420" s="81" t="s">
        <v>19285</v>
      </c>
      <c r="H420" s="63">
        <v>45176</v>
      </c>
      <c r="I420" s="63">
        <v>45178</v>
      </c>
      <c r="J420" s="62">
        <v>3</v>
      </c>
      <c r="K420" s="62">
        <v>3</v>
      </c>
      <c r="L420" s="62" t="s">
        <v>24995</v>
      </c>
      <c r="M420" s="62" t="s">
        <v>24995</v>
      </c>
      <c r="N420" s="62" t="s">
        <v>19269</v>
      </c>
      <c r="O420" s="62" t="s">
        <v>7060</v>
      </c>
      <c r="P420" s="42" t="str">
        <f>+IF(O420="","",IFERROR(VLOOKUP(O420,CODIGO_DIAGNOSTICO,2,0),"CÓDIGO NO ENCONTRADO"))</f>
        <v>OTRO DOLOR CRONICO</v>
      </c>
      <c r="Q420" s="62" t="s">
        <v>19230</v>
      </c>
      <c r="R420" s="64" t="s">
        <v>25959</v>
      </c>
      <c r="S420" s="75">
        <v>45201</v>
      </c>
      <c r="T420" s="75">
        <v>45202</v>
      </c>
      <c r="U420" s="65">
        <f>SUM(W420/30)</f>
        <v>42400.166666666664</v>
      </c>
      <c r="V420" s="62" t="s">
        <v>25941</v>
      </c>
      <c r="W420" s="65">
        <v>1272005</v>
      </c>
      <c r="X420" s="62">
        <v>0</v>
      </c>
      <c r="Y420" s="65">
        <v>84800</v>
      </c>
      <c r="Z420" s="73"/>
    </row>
    <row r="421" spans="1:26" ht="15.75" hidden="1" customHeight="1" x14ac:dyDescent="0.25">
      <c r="A421" s="67">
        <v>9</v>
      </c>
      <c r="B421" s="68">
        <v>1002997006</v>
      </c>
      <c r="C421" s="68" t="s">
        <v>25924</v>
      </c>
      <c r="D421" s="68" t="s">
        <v>25346</v>
      </c>
      <c r="E421" s="68" t="s">
        <v>25926</v>
      </c>
      <c r="F421" s="68"/>
      <c r="G421" s="81" t="s">
        <v>19285</v>
      </c>
      <c r="H421" s="69">
        <v>45176</v>
      </c>
      <c r="I421" s="69">
        <v>45189</v>
      </c>
      <c r="J421" s="68">
        <v>14</v>
      </c>
      <c r="K421" s="68">
        <v>14</v>
      </c>
      <c r="L421" s="68" t="s">
        <v>24995</v>
      </c>
      <c r="M421" s="68" t="s">
        <v>24995</v>
      </c>
      <c r="N421" s="62" t="s">
        <v>19264</v>
      </c>
      <c r="O421" s="68" t="s">
        <v>5851</v>
      </c>
      <c r="P421" s="42" t="str">
        <f>+IF(O421="","",IFERROR(VLOOKUP(O421,CODIGO_DIAGNOSTICO,2,0),"CÓDIGO NO ENCONTRADO"))</f>
        <v>PARTO UNICO ESPONTANEO, PRESENTACION CEFALICA DE VERTICE</v>
      </c>
      <c r="Q421" s="68" t="s">
        <v>24996</v>
      </c>
      <c r="R421" s="67">
        <v>1004238235</v>
      </c>
      <c r="S421" s="77">
        <v>45203</v>
      </c>
      <c r="T421" s="76"/>
      <c r="U421" s="65">
        <f>SUM(W421/30)</f>
        <v>42400.166666666664</v>
      </c>
      <c r="V421" s="68" t="s">
        <v>25941</v>
      </c>
      <c r="W421" s="70">
        <v>1272005</v>
      </c>
      <c r="X421" s="68">
        <v>0</v>
      </c>
      <c r="Y421" s="70">
        <v>84800</v>
      </c>
      <c r="Z421" s="72"/>
    </row>
    <row r="422" spans="1:26" ht="15.75" hidden="1" customHeight="1" x14ac:dyDescent="0.25">
      <c r="A422" s="64">
        <v>9</v>
      </c>
      <c r="B422" s="62">
        <v>71257947</v>
      </c>
      <c r="C422" s="62" t="s">
        <v>24984</v>
      </c>
      <c r="D422" s="62" t="s">
        <v>25547</v>
      </c>
      <c r="E422" s="62" t="s">
        <v>25548</v>
      </c>
      <c r="F422" s="62"/>
      <c r="G422" s="81" t="s">
        <v>19285</v>
      </c>
      <c r="H422" s="63">
        <v>45177</v>
      </c>
      <c r="I422" s="63">
        <v>45184</v>
      </c>
      <c r="J422" s="62">
        <v>8</v>
      </c>
      <c r="K422" s="62">
        <v>8</v>
      </c>
      <c r="L422" s="62" t="s">
        <v>24995</v>
      </c>
      <c r="M422" s="62" t="s">
        <v>24995</v>
      </c>
      <c r="N422" s="62" t="s">
        <v>19263</v>
      </c>
      <c r="O422" s="62" t="s">
        <v>7553</v>
      </c>
      <c r="P422" s="42" t="str">
        <f>+IF(O422="","",IFERROR(VLOOKUP(O422,CODIGO_DIAGNOSTICO,2,0),"CÓDIGO NO ENCONTRADO"))</f>
        <v>HERIDAS DE OTRAS PARTES DEL ANTEBRAZO</v>
      </c>
      <c r="Q422" s="62" t="s">
        <v>25001</v>
      </c>
      <c r="R422" s="64">
        <v>6953572</v>
      </c>
      <c r="S422" s="75">
        <v>45195</v>
      </c>
      <c r="T422" s="75">
        <v>45216</v>
      </c>
      <c r="U422" s="65">
        <f>SUM(W422/30)*J422</f>
        <v>339201.33333333331</v>
      </c>
      <c r="V422" s="62" t="s">
        <v>25941</v>
      </c>
      <c r="W422" s="65">
        <v>1272005</v>
      </c>
      <c r="X422" s="62">
        <v>0</v>
      </c>
      <c r="Y422" s="65">
        <v>0</v>
      </c>
      <c r="Z422" s="73"/>
    </row>
    <row r="423" spans="1:26" ht="15.75" hidden="1" customHeight="1" x14ac:dyDescent="0.25">
      <c r="A423" s="67">
        <v>9</v>
      </c>
      <c r="B423" s="68">
        <v>1037073208</v>
      </c>
      <c r="C423" s="68" t="s">
        <v>25094</v>
      </c>
      <c r="D423" s="68" t="s">
        <v>25687</v>
      </c>
      <c r="E423" s="68" t="s">
        <v>25884</v>
      </c>
      <c r="F423" s="68" t="s">
        <v>25885</v>
      </c>
      <c r="G423" s="81" t="s">
        <v>19285</v>
      </c>
      <c r="H423" s="69">
        <v>45178</v>
      </c>
      <c r="I423" s="69">
        <v>45179</v>
      </c>
      <c r="J423" s="68">
        <v>2</v>
      </c>
      <c r="K423" s="68">
        <v>2</v>
      </c>
      <c r="L423" s="68" t="s">
        <v>24995</v>
      </c>
      <c r="M423" s="68" t="s">
        <v>24995</v>
      </c>
      <c r="N423" s="62" t="s">
        <v>19269</v>
      </c>
      <c r="O423" s="68" t="s">
        <v>2593</v>
      </c>
      <c r="P423" s="42" t="str">
        <f>+IF(O423="","",IFERROR(VLOOKUP(O423,CODIGO_DIAGNOSTICO,2,0),"CÓDIGO NO ENCONTRADO"))</f>
        <v>MIGRAÑA, NO ESPECIFICADA</v>
      </c>
      <c r="Q423" s="68" t="s">
        <v>19231</v>
      </c>
      <c r="R423" s="67">
        <v>0</v>
      </c>
      <c r="S423" s="77"/>
      <c r="T423" s="76"/>
      <c r="U423" s="65">
        <f>SUM(W423/30)</f>
        <v>42400.166666666664</v>
      </c>
      <c r="V423" s="68" t="s">
        <v>25941</v>
      </c>
      <c r="W423" s="70">
        <v>1272005</v>
      </c>
      <c r="X423" s="68">
        <v>0</v>
      </c>
      <c r="Y423" s="70">
        <v>84800</v>
      </c>
      <c r="Z423" s="72"/>
    </row>
    <row r="424" spans="1:26" ht="15.75" hidden="1" customHeight="1" x14ac:dyDescent="0.25">
      <c r="A424" s="64">
        <v>9</v>
      </c>
      <c r="B424" s="62">
        <v>98601485</v>
      </c>
      <c r="C424" s="62" t="s">
        <v>25240</v>
      </c>
      <c r="D424" s="62"/>
      <c r="E424" s="62" t="s">
        <v>25241</v>
      </c>
      <c r="F424" s="62" t="s">
        <v>25103</v>
      </c>
      <c r="G424" s="81" t="s">
        <v>19285</v>
      </c>
      <c r="H424" s="63">
        <v>45178</v>
      </c>
      <c r="I424" s="63">
        <v>45207</v>
      </c>
      <c r="J424" s="62">
        <v>30</v>
      </c>
      <c r="K424" s="62">
        <v>30</v>
      </c>
      <c r="L424" s="62" t="s">
        <v>19262</v>
      </c>
      <c r="M424" s="62" t="s">
        <v>19262</v>
      </c>
      <c r="N424" s="62" t="s">
        <v>19269</v>
      </c>
      <c r="O424" s="62" t="s">
        <v>4650</v>
      </c>
      <c r="P424" s="42" t="str">
        <f>+IF(O424="","",IFERROR(VLOOKUP(O424,CODIGO_DIAGNOSTICO,2,0),"CÓDIGO NO ENCONTRADO"))</f>
        <v>GONARTROSIS, NO ESPECIFICADA</v>
      </c>
      <c r="Q424" s="62" t="s">
        <v>26059</v>
      </c>
      <c r="R424" s="64">
        <v>8622254</v>
      </c>
      <c r="S424" s="75">
        <v>45194</v>
      </c>
      <c r="T424" s="75">
        <v>45178</v>
      </c>
      <c r="U424" s="65">
        <f>SUM(W424/30)</f>
        <v>42400.166666666664</v>
      </c>
      <c r="V424" s="62" t="s">
        <v>25941</v>
      </c>
      <c r="W424" s="65">
        <v>1272005</v>
      </c>
      <c r="X424" s="62">
        <v>0</v>
      </c>
      <c r="Y424" s="65">
        <v>84800</v>
      </c>
      <c r="Z424" s="73"/>
    </row>
    <row r="425" spans="1:26" ht="15.75" hidden="1" customHeight="1" x14ac:dyDescent="0.25">
      <c r="A425" s="67">
        <v>9</v>
      </c>
      <c r="B425" s="68">
        <v>73559558</v>
      </c>
      <c r="C425" s="68" t="s">
        <v>25269</v>
      </c>
      <c r="D425" s="68" t="s">
        <v>25521</v>
      </c>
      <c r="E425" s="68" t="s">
        <v>25283</v>
      </c>
      <c r="F425" s="68" t="s">
        <v>25010</v>
      </c>
      <c r="G425" s="81" t="s">
        <v>19285</v>
      </c>
      <c r="H425" s="69">
        <v>45178</v>
      </c>
      <c r="I425" s="69">
        <v>45179</v>
      </c>
      <c r="J425" s="68">
        <v>2</v>
      </c>
      <c r="K425" s="68">
        <v>2</v>
      </c>
      <c r="L425" s="68" t="s">
        <v>24995</v>
      </c>
      <c r="M425" s="68" t="s">
        <v>24995</v>
      </c>
      <c r="N425" s="62" t="s">
        <v>19269</v>
      </c>
      <c r="O425" s="68" t="s">
        <v>7307</v>
      </c>
      <c r="P425" s="42" t="str">
        <f>+IF(O425="","",IFERROR(VLOOKUP(O425,CODIGO_DIAGNOSTICO,2,0),"CÓDIGO NO ENCONTRADO"))</f>
        <v>TRAUMATISMO DE LA CABEZA, NO ESPECIFICADO</v>
      </c>
      <c r="Q425" s="68" t="s">
        <v>24996</v>
      </c>
      <c r="R425" s="67">
        <v>0</v>
      </c>
      <c r="S425" s="77"/>
      <c r="T425" s="76"/>
      <c r="U425" s="65">
        <f>SUM(W425/30)</f>
        <v>42400.166666666664</v>
      </c>
      <c r="V425" s="68" t="s">
        <v>25941</v>
      </c>
      <c r="W425" s="70">
        <v>1272005</v>
      </c>
      <c r="X425" s="68">
        <v>0</v>
      </c>
      <c r="Y425" s="70">
        <v>84800</v>
      </c>
      <c r="Z425" s="72"/>
    </row>
    <row r="426" spans="1:26" ht="15.75" hidden="1" customHeight="1" x14ac:dyDescent="0.25">
      <c r="A426" s="64">
        <v>9</v>
      </c>
      <c r="B426" s="62">
        <v>71187380</v>
      </c>
      <c r="C426" s="62" t="s">
        <v>25300</v>
      </c>
      <c r="D426" s="62" t="s">
        <v>25030</v>
      </c>
      <c r="E426" s="62" t="s">
        <v>25917</v>
      </c>
      <c r="F426" s="62" t="s">
        <v>24982</v>
      </c>
      <c r="G426" s="81" t="s">
        <v>19285</v>
      </c>
      <c r="H426" s="63">
        <v>45178</v>
      </c>
      <c r="I426" s="63">
        <v>45179</v>
      </c>
      <c r="J426" s="62">
        <v>2</v>
      </c>
      <c r="K426" s="62">
        <v>2</v>
      </c>
      <c r="L426" s="62" t="s">
        <v>24995</v>
      </c>
      <c r="M426" s="62" t="s">
        <v>24995</v>
      </c>
      <c r="N426" s="62" t="s">
        <v>19269</v>
      </c>
      <c r="O426" s="62" t="s">
        <v>7058</v>
      </c>
      <c r="P426" s="42" t="str">
        <f>+IF(O426="","",IFERROR(VLOOKUP(O426,CODIGO_DIAGNOSTICO,2,0),"CÓDIGO NO ENCONTRADO"))</f>
        <v>DOLOR AGUDO</v>
      </c>
      <c r="Q426" s="62" t="s">
        <v>19230</v>
      </c>
      <c r="R426" s="64">
        <v>0</v>
      </c>
      <c r="S426" s="75"/>
      <c r="T426" s="75"/>
      <c r="U426" s="65">
        <f>SUM(W426/30)</f>
        <v>42400.166666666664</v>
      </c>
      <c r="V426" s="62" t="s">
        <v>25941</v>
      </c>
      <c r="W426" s="65">
        <v>1272005</v>
      </c>
      <c r="X426" s="62">
        <v>0</v>
      </c>
      <c r="Y426" s="65">
        <v>84800</v>
      </c>
      <c r="Z426" s="73"/>
    </row>
    <row r="427" spans="1:26" ht="15.75" hidden="1" customHeight="1" x14ac:dyDescent="0.25">
      <c r="A427" s="67">
        <v>9</v>
      </c>
      <c r="B427" s="68">
        <v>1001591842</v>
      </c>
      <c r="C427" s="68" t="s">
        <v>25269</v>
      </c>
      <c r="D427" s="68" t="s">
        <v>25521</v>
      </c>
      <c r="E427" s="68" t="s">
        <v>25283</v>
      </c>
      <c r="F427" s="68" t="s">
        <v>25010</v>
      </c>
      <c r="G427" s="81" t="s">
        <v>19285</v>
      </c>
      <c r="H427" s="69">
        <v>45178</v>
      </c>
      <c r="I427" s="69">
        <v>45179</v>
      </c>
      <c r="J427" s="68">
        <v>2</v>
      </c>
      <c r="K427" s="68">
        <v>2</v>
      </c>
      <c r="L427" s="68" t="s">
        <v>24995</v>
      </c>
      <c r="M427" s="68" t="s">
        <v>24995</v>
      </c>
      <c r="N427" s="62" t="s">
        <v>19269</v>
      </c>
      <c r="O427" s="68" t="s">
        <v>7307</v>
      </c>
      <c r="P427" s="42" t="str">
        <f>+IF(O427="","",IFERROR(VLOOKUP(O427,CODIGO_DIAGNOSTICO,2,0),"CÓDIGO NO ENCONTRADO"))</f>
        <v>TRAUMATISMO DE LA CABEZA, NO ESPECIFICADO</v>
      </c>
      <c r="Q427" s="68" t="s">
        <v>24996</v>
      </c>
      <c r="R427" s="67">
        <v>0</v>
      </c>
      <c r="S427" s="77"/>
      <c r="T427" s="76"/>
      <c r="U427" s="65">
        <f>SUM(W427/30)</f>
        <v>42400.166666666664</v>
      </c>
      <c r="V427" s="68" t="s">
        <v>25941</v>
      </c>
      <c r="W427" s="70">
        <v>1272005</v>
      </c>
      <c r="X427" s="68">
        <v>0</v>
      </c>
      <c r="Y427" s="70">
        <v>84800</v>
      </c>
      <c r="Z427" s="72"/>
    </row>
    <row r="428" spans="1:26" ht="15.75" hidden="1" customHeight="1" x14ac:dyDescent="0.25">
      <c r="A428" s="64">
        <v>9</v>
      </c>
      <c r="B428" s="62">
        <v>70323164</v>
      </c>
      <c r="C428" s="62" t="s">
        <v>25145</v>
      </c>
      <c r="D428" s="62" t="s">
        <v>24985</v>
      </c>
      <c r="E428" s="62" t="s">
        <v>25188</v>
      </c>
      <c r="F428" s="62" t="s">
        <v>25146</v>
      </c>
      <c r="G428" s="81" t="s">
        <v>19285</v>
      </c>
      <c r="H428" s="63">
        <v>45179</v>
      </c>
      <c r="I428" s="63">
        <v>45182</v>
      </c>
      <c r="J428" s="62">
        <v>4</v>
      </c>
      <c r="K428" s="62">
        <v>4</v>
      </c>
      <c r="L428" s="62" t="s">
        <v>19262</v>
      </c>
      <c r="M428" s="62" t="s">
        <v>19262</v>
      </c>
      <c r="N428" s="62" t="s">
        <v>19269</v>
      </c>
      <c r="O428" s="62" t="s">
        <v>3692</v>
      </c>
      <c r="P428" s="42" t="str">
        <f>+IF(O428="","",IFERROR(VLOOKUP(O428,CODIGO_DIAGNOSTICO,2,0),"CÓDIGO NO ENCONTRADO"))</f>
        <v>OTRAS ENFERMEDADES PULMONARES OBSTRUCTIVAS CRONICAS ESPECIFICADAS</v>
      </c>
      <c r="Q428" s="62" t="s">
        <v>19230</v>
      </c>
      <c r="R428" s="64">
        <v>8622483</v>
      </c>
      <c r="S428" s="75">
        <v>45194</v>
      </c>
      <c r="T428" s="75">
        <v>45179</v>
      </c>
      <c r="U428" s="65">
        <f>SUM(W428/30)</f>
        <v>42400.166666666664</v>
      </c>
      <c r="V428" s="62" t="s">
        <v>25941</v>
      </c>
      <c r="W428" s="65">
        <v>1272005</v>
      </c>
      <c r="X428" s="62">
        <v>0</v>
      </c>
      <c r="Y428" s="65">
        <v>84800</v>
      </c>
      <c r="Z428" s="73"/>
    </row>
    <row r="429" spans="1:26" ht="15.75" hidden="1" customHeight="1" x14ac:dyDescent="0.25">
      <c r="A429" s="67">
        <v>9</v>
      </c>
      <c r="B429" s="68">
        <v>71316478</v>
      </c>
      <c r="C429" s="68" t="s">
        <v>25443</v>
      </c>
      <c r="D429" s="68" t="s">
        <v>25070</v>
      </c>
      <c r="E429" s="68" t="s">
        <v>25515</v>
      </c>
      <c r="F429" s="68"/>
      <c r="G429" s="81" t="s">
        <v>19285</v>
      </c>
      <c r="H429" s="69">
        <v>45179</v>
      </c>
      <c r="I429" s="69">
        <v>45208</v>
      </c>
      <c r="J429" s="68">
        <v>30</v>
      </c>
      <c r="K429" s="68">
        <v>30</v>
      </c>
      <c r="L429" s="68" t="s">
        <v>19262</v>
      </c>
      <c r="M429" s="68" t="s">
        <v>24995</v>
      </c>
      <c r="N429" s="62" t="s">
        <v>19269</v>
      </c>
      <c r="O429" s="68" t="s">
        <v>3415</v>
      </c>
      <c r="P429" s="42" t="str">
        <f>+IF(O429="","",IFERROR(VLOOKUP(O429,CODIGO_DIAGNOSTICO,2,0),"CÓDIGO NO ENCONTRADO"))</f>
        <v>ACCIDENTE VASCULAR ENCEFALICO AGUDO, NO ESPECIFICADO COMO HEMORRAGICO O ISQUEMICO</v>
      </c>
      <c r="Q429" s="68" t="s">
        <v>19230</v>
      </c>
      <c r="R429" s="67">
        <v>8763439</v>
      </c>
      <c r="S429" s="77">
        <v>45239</v>
      </c>
      <c r="T429" s="76">
        <v>45239</v>
      </c>
      <c r="U429" s="65">
        <f>SUM(W429/30)</f>
        <v>42400.166666666664</v>
      </c>
      <c r="V429" s="68" t="s">
        <v>25941</v>
      </c>
      <c r="W429" s="70">
        <v>1272005</v>
      </c>
      <c r="X429" s="68">
        <v>0</v>
      </c>
      <c r="Y429" s="70">
        <v>84800</v>
      </c>
      <c r="Z429" s="72"/>
    </row>
    <row r="430" spans="1:26" ht="15.75" hidden="1" customHeight="1" x14ac:dyDescent="0.25">
      <c r="A430" s="64">
        <v>9</v>
      </c>
      <c r="B430" s="62">
        <v>71676289</v>
      </c>
      <c r="C430" s="62" t="s">
        <v>25015</v>
      </c>
      <c r="D430" s="62" t="s">
        <v>25012</v>
      </c>
      <c r="E430" s="62" t="s">
        <v>25016</v>
      </c>
      <c r="F430" s="62" t="s">
        <v>25004</v>
      </c>
      <c r="G430" s="81" t="s">
        <v>19285</v>
      </c>
      <c r="H430" s="63">
        <v>45180</v>
      </c>
      <c r="I430" s="63">
        <v>45193</v>
      </c>
      <c r="J430" s="62">
        <v>14</v>
      </c>
      <c r="K430" s="62">
        <v>14</v>
      </c>
      <c r="L430" s="62" t="s">
        <v>19262</v>
      </c>
      <c r="M430" s="62" t="s">
        <v>19262</v>
      </c>
      <c r="N430" s="62" t="s">
        <v>19269</v>
      </c>
      <c r="O430" s="62" t="s">
        <v>7822</v>
      </c>
      <c r="P430" s="42" t="str">
        <f>+IF(O430="","",IFERROR(VLOOKUP(O430,CODIGO_DIAGNOSTICO,2,0),"CÓDIGO NO ENCONTRADO"))</f>
        <v>AMPUTACION TRAUMATICA DE OTRAS PARTES DEL PIE</v>
      </c>
      <c r="Q430" s="62" t="s">
        <v>26059</v>
      </c>
      <c r="R430" s="64"/>
      <c r="S430" s="75"/>
      <c r="T430" s="75"/>
      <c r="U430" s="65">
        <f>SUM(W430/30)</f>
        <v>42400.166666666664</v>
      </c>
      <c r="V430" s="62" t="s">
        <v>25941</v>
      </c>
      <c r="W430" s="65">
        <v>1272005</v>
      </c>
      <c r="X430" s="62">
        <v>0</v>
      </c>
      <c r="Y430" s="65">
        <v>84800</v>
      </c>
      <c r="Z430" s="73"/>
    </row>
    <row r="431" spans="1:26" ht="15.75" hidden="1" customHeight="1" x14ac:dyDescent="0.25">
      <c r="A431" s="67">
        <v>9</v>
      </c>
      <c r="B431" s="68">
        <v>71589781</v>
      </c>
      <c r="C431" s="68" t="s">
        <v>25812</v>
      </c>
      <c r="D431" s="68" t="s">
        <v>25813</v>
      </c>
      <c r="E431" s="68" t="s">
        <v>25210</v>
      </c>
      <c r="F431" s="68" t="s">
        <v>25064</v>
      </c>
      <c r="G431" s="81" t="s">
        <v>19285</v>
      </c>
      <c r="H431" s="69">
        <v>45180</v>
      </c>
      <c r="I431" s="69">
        <v>45186</v>
      </c>
      <c r="J431" s="68">
        <v>7</v>
      </c>
      <c r="K431" s="68">
        <v>7</v>
      </c>
      <c r="L431" s="68" t="s">
        <v>25951</v>
      </c>
      <c r="M431" s="68" t="s">
        <v>24995</v>
      </c>
      <c r="N431" s="62" t="s">
        <v>19269</v>
      </c>
      <c r="O431" s="68" t="s">
        <v>7509</v>
      </c>
      <c r="P431" s="42" t="str">
        <f>+IF(O431="","",IFERROR(VLOOKUP(O431,CODIGO_DIAGNOSTICO,2,0),"CÓDIGO NO ENCONTRADO"))</f>
        <v>LUXACION DE LA ARTICULACION ACROMIOCLAVICULAR</v>
      </c>
      <c r="Q431" s="68" t="s">
        <v>19230</v>
      </c>
      <c r="R431" s="67">
        <v>8622505</v>
      </c>
      <c r="S431" s="77">
        <v>45194</v>
      </c>
      <c r="T431" s="76">
        <v>45197</v>
      </c>
      <c r="U431" s="65">
        <f>SUM(W431/30)</f>
        <v>42400.166666666664</v>
      </c>
      <c r="V431" s="68" t="s">
        <v>25941</v>
      </c>
      <c r="W431" s="70">
        <v>1272005</v>
      </c>
      <c r="X431" s="68">
        <v>0</v>
      </c>
      <c r="Y431" s="70">
        <v>84800</v>
      </c>
      <c r="Z431" s="72"/>
    </row>
    <row r="432" spans="1:26" ht="15.75" hidden="1" customHeight="1" x14ac:dyDescent="0.25">
      <c r="A432" s="64">
        <v>9</v>
      </c>
      <c r="B432" s="62">
        <v>1040327673</v>
      </c>
      <c r="C432" s="62" t="s">
        <v>25639</v>
      </c>
      <c r="D432" s="62" t="s">
        <v>25459</v>
      </c>
      <c r="E432" s="62" t="s">
        <v>25920</v>
      </c>
      <c r="F432" s="62" t="s">
        <v>25064</v>
      </c>
      <c r="G432" s="81" t="s">
        <v>19285</v>
      </c>
      <c r="H432" s="63">
        <v>45181</v>
      </c>
      <c r="I432" s="63">
        <v>45182</v>
      </c>
      <c r="J432" s="62">
        <v>2</v>
      </c>
      <c r="K432" s="62">
        <v>2</v>
      </c>
      <c r="L432" s="62" t="s">
        <v>24995</v>
      </c>
      <c r="M432" s="62" t="s">
        <v>24995</v>
      </c>
      <c r="N432" s="62" t="s">
        <v>19269</v>
      </c>
      <c r="O432" s="62" t="s">
        <v>3575</v>
      </c>
      <c r="P432" s="42" t="str">
        <f>+IF(O432="","",IFERROR(VLOOKUP(O432,CODIGO_DIAGNOSTICO,2,0),"CÓDIGO NO ENCONTRADO"))</f>
        <v>AMIGDALITIS AGUDA, NO ESPECIFICADA</v>
      </c>
      <c r="Q432" s="62" t="s">
        <v>19231</v>
      </c>
      <c r="R432" s="64">
        <v>0</v>
      </c>
      <c r="S432" s="75"/>
      <c r="T432" s="75"/>
      <c r="U432" s="65">
        <f>SUM(W432/30)</f>
        <v>42400.166666666664</v>
      </c>
      <c r="V432" s="62" t="s">
        <v>25941</v>
      </c>
      <c r="W432" s="65">
        <v>1272005</v>
      </c>
      <c r="X432" s="62">
        <v>0</v>
      </c>
      <c r="Y432" s="65">
        <v>84800</v>
      </c>
      <c r="Z432" s="73"/>
    </row>
    <row r="433" spans="1:26" ht="15.75" hidden="1" customHeight="1" x14ac:dyDescent="0.25">
      <c r="A433" s="67">
        <v>9</v>
      </c>
      <c r="B433" s="68">
        <v>1003205624</v>
      </c>
      <c r="C433" s="68" t="s">
        <v>25335</v>
      </c>
      <c r="D433" s="68" t="s">
        <v>25336</v>
      </c>
      <c r="E433" s="68" t="s">
        <v>25035</v>
      </c>
      <c r="F433" s="68" t="s">
        <v>25010</v>
      </c>
      <c r="G433" s="81" t="s">
        <v>19285</v>
      </c>
      <c r="H433" s="69">
        <v>45181</v>
      </c>
      <c r="I433" s="69">
        <v>45210</v>
      </c>
      <c r="J433" s="68">
        <v>30</v>
      </c>
      <c r="K433" s="68">
        <v>30</v>
      </c>
      <c r="L433" s="68" t="s">
        <v>24995</v>
      </c>
      <c r="M433" s="68" t="s">
        <v>24995</v>
      </c>
      <c r="N433" s="62" t="s">
        <v>19269</v>
      </c>
      <c r="O433" s="68" t="s">
        <v>12446</v>
      </c>
      <c r="P433" s="42" t="str">
        <f>+IF(O433="","",IFERROR(VLOOKUP(O433,CODIGO_DIAGNOSTICO,2,0),"CÓDIGO NO ENCONTRADO"))</f>
        <v>OTROS ESTADOS POSTQUIRURGICOS ESPECIFICADOS</v>
      </c>
      <c r="Q433" s="68" t="s">
        <v>24996</v>
      </c>
      <c r="R433" s="67"/>
      <c r="S433" s="77">
        <v>45203</v>
      </c>
      <c r="T433" s="76">
        <v>45225</v>
      </c>
      <c r="U433" s="65">
        <f>SUM(W433/30)</f>
        <v>42400.166666666664</v>
      </c>
      <c r="V433" s="68" t="s">
        <v>25941</v>
      </c>
      <c r="W433" s="70">
        <v>1272005</v>
      </c>
      <c r="X433" s="68">
        <v>0</v>
      </c>
      <c r="Y433" s="70">
        <v>84800</v>
      </c>
      <c r="Z433" s="72"/>
    </row>
    <row r="434" spans="1:26" ht="15.75" hidden="1" customHeight="1" x14ac:dyDescent="0.25">
      <c r="A434" s="64">
        <v>9</v>
      </c>
      <c r="B434" s="62">
        <v>1214744146</v>
      </c>
      <c r="C434" s="62" t="s">
        <v>24998</v>
      </c>
      <c r="D434" s="62" t="s">
        <v>25341</v>
      </c>
      <c r="E434" s="62" t="s">
        <v>25056</v>
      </c>
      <c r="F434" s="62" t="s">
        <v>25010</v>
      </c>
      <c r="G434" s="81" t="s">
        <v>19285</v>
      </c>
      <c r="H434" s="63">
        <v>45182</v>
      </c>
      <c r="I434" s="63">
        <v>45187</v>
      </c>
      <c r="J434" s="62">
        <v>6</v>
      </c>
      <c r="K434" s="62">
        <v>6</v>
      </c>
      <c r="L434" s="62" t="s">
        <v>24995</v>
      </c>
      <c r="M434" s="62" t="s">
        <v>24995</v>
      </c>
      <c r="N434" s="62" t="s">
        <v>19263</v>
      </c>
      <c r="O434" s="62" t="s">
        <v>7770</v>
      </c>
      <c r="P434" s="42" t="str">
        <f>+IF(O434="","",IFERROR(VLOOKUP(O434,CODIGO_DIAGNOSTICO,2,0),"CÓDIGO NO ENCONTRADO"))</f>
        <v>CONTUSION DEL TOBILLO</v>
      </c>
      <c r="Q434" s="62" t="s">
        <v>25001</v>
      </c>
      <c r="R434" s="64">
        <v>6953594</v>
      </c>
      <c r="S434" s="75">
        <v>45195</v>
      </c>
      <c r="T434" s="75">
        <v>45202</v>
      </c>
      <c r="U434" s="65">
        <f>SUM(W434/30)*J434</f>
        <v>254401</v>
      </c>
      <c r="V434" s="62" t="s">
        <v>25941</v>
      </c>
      <c r="W434" s="65">
        <v>1272005</v>
      </c>
      <c r="X434" s="62">
        <v>0</v>
      </c>
      <c r="Y434" s="65">
        <v>0</v>
      </c>
      <c r="Z434" s="73"/>
    </row>
    <row r="435" spans="1:26" ht="15.75" hidden="1" customHeight="1" x14ac:dyDescent="0.25">
      <c r="A435" s="67">
        <v>9</v>
      </c>
      <c r="B435" s="68">
        <v>1017192273</v>
      </c>
      <c r="C435" s="68" t="s">
        <v>25921</v>
      </c>
      <c r="D435" s="68" t="s">
        <v>25459</v>
      </c>
      <c r="E435" s="68" t="s">
        <v>25676</v>
      </c>
      <c r="F435" s="68" t="s">
        <v>25648</v>
      </c>
      <c r="G435" s="81" t="s">
        <v>19285</v>
      </c>
      <c r="H435" s="69">
        <v>45182</v>
      </c>
      <c r="I435" s="69">
        <v>45183</v>
      </c>
      <c r="J435" s="68">
        <v>2</v>
      </c>
      <c r="K435" s="68">
        <v>2</v>
      </c>
      <c r="L435" s="68" t="s">
        <v>24995</v>
      </c>
      <c r="M435" s="68" t="s">
        <v>24995</v>
      </c>
      <c r="N435" s="62" t="s">
        <v>19269</v>
      </c>
      <c r="O435" s="68" t="s">
        <v>3856</v>
      </c>
      <c r="P435" s="42" t="str">
        <f>+IF(O435="","",IFERROR(VLOOKUP(O435,CODIGO_DIAGNOSTICO,2,0),"CÓDIGO NO ENCONTRADO"))</f>
        <v>RAIZ DENTAL RETENIDA</v>
      </c>
      <c r="Q435" s="68" t="s">
        <v>19230</v>
      </c>
      <c r="R435" s="67">
        <v>0</v>
      </c>
      <c r="S435" s="77"/>
      <c r="T435" s="76"/>
      <c r="U435" s="65">
        <f>SUM(W435/30)</f>
        <v>42400.166666666664</v>
      </c>
      <c r="V435" s="68" t="s">
        <v>25941</v>
      </c>
      <c r="W435" s="70">
        <v>1272005</v>
      </c>
      <c r="X435" s="68">
        <v>0</v>
      </c>
      <c r="Y435" s="70">
        <v>84800</v>
      </c>
      <c r="Z435" s="72"/>
    </row>
    <row r="436" spans="1:26" ht="15.75" hidden="1" customHeight="1" x14ac:dyDescent="0.25">
      <c r="A436" s="64">
        <v>9</v>
      </c>
      <c r="B436" s="62">
        <v>1036622798</v>
      </c>
      <c r="C436" s="62" t="s">
        <v>25136</v>
      </c>
      <c r="D436" s="62" t="s">
        <v>25137</v>
      </c>
      <c r="E436" s="62" t="s">
        <v>25138</v>
      </c>
      <c r="F436" s="62" t="s">
        <v>25339</v>
      </c>
      <c r="G436" s="81" t="s">
        <v>19285</v>
      </c>
      <c r="H436" s="63">
        <v>45184</v>
      </c>
      <c r="I436" s="63">
        <v>45213</v>
      </c>
      <c r="J436" s="62">
        <v>30</v>
      </c>
      <c r="K436" s="62">
        <v>30</v>
      </c>
      <c r="L436" s="62" t="s">
        <v>19262</v>
      </c>
      <c r="M436" s="62" t="s">
        <v>19262</v>
      </c>
      <c r="N436" s="62" t="s">
        <v>19269</v>
      </c>
      <c r="O436" s="62" t="s">
        <v>7793</v>
      </c>
      <c r="P436" s="42" t="str">
        <f>+IF(O436="","",IFERROR(VLOOKUP(O436,CODIGO_DIAGNOSTICO,2,0),"CÓDIGO NO ENCONTRADO"))</f>
        <v>LUXACION DE OTROS SITIOS Y LOS NO ESPECIFICADOS DEL PIE</v>
      </c>
      <c r="Q436" s="62" t="s">
        <v>19230</v>
      </c>
      <c r="R436" s="64"/>
      <c r="S436" s="75"/>
      <c r="T436" s="75"/>
      <c r="U436" s="65">
        <f>SUM(W436/30)</f>
        <v>42400.166666666664</v>
      </c>
      <c r="V436" s="62" t="s">
        <v>25941</v>
      </c>
      <c r="W436" s="65">
        <v>1272005</v>
      </c>
      <c r="X436" s="62">
        <v>0</v>
      </c>
      <c r="Y436" s="65">
        <v>84800</v>
      </c>
      <c r="Z436" s="73"/>
    </row>
    <row r="437" spans="1:26" ht="15.75" hidden="1" customHeight="1" x14ac:dyDescent="0.25">
      <c r="A437" s="67">
        <v>9</v>
      </c>
      <c r="B437" s="68">
        <v>1047421491</v>
      </c>
      <c r="C437" s="68" t="s">
        <v>25272</v>
      </c>
      <c r="D437" s="68" t="s">
        <v>25257</v>
      </c>
      <c r="E437" s="68" t="s">
        <v>25376</v>
      </c>
      <c r="F437" s="68" t="s">
        <v>25103</v>
      </c>
      <c r="G437" s="81" t="s">
        <v>19285</v>
      </c>
      <c r="H437" s="69">
        <v>45184</v>
      </c>
      <c r="I437" s="69">
        <v>45197</v>
      </c>
      <c r="J437" s="68">
        <v>14</v>
      </c>
      <c r="K437" s="68">
        <v>14</v>
      </c>
      <c r="L437" s="68" t="s">
        <v>24995</v>
      </c>
      <c r="M437" s="68" t="s">
        <v>24995</v>
      </c>
      <c r="N437" s="62" t="s">
        <v>19269</v>
      </c>
      <c r="O437" s="68" t="s">
        <v>5851</v>
      </c>
      <c r="P437" s="42" t="str">
        <f>+IF(O437="","",IFERROR(VLOOKUP(O437,CODIGO_DIAGNOSTICO,2,0),"CÓDIGO NO ENCONTRADO"))</f>
        <v>PARTO UNICO ESPONTANEO, PRESENTACION CEFALICA DE VERTICE</v>
      </c>
      <c r="Q437" s="68" t="s">
        <v>19230</v>
      </c>
      <c r="R437" s="67" t="s">
        <v>25960</v>
      </c>
      <c r="S437" s="77">
        <v>45194</v>
      </c>
      <c r="T437" s="76">
        <v>45197</v>
      </c>
      <c r="U437" s="65">
        <f>SUM(W437/30)</f>
        <v>42400.166666666664</v>
      </c>
      <c r="V437" s="68" t="s">
        <v>25941</v>
      </c>
      <c r="W437" s="70">
        <v>1272005</v>
      </c>
      <c r="X437" s="68">
        <v>0</v>
      </c>
      <c r="Y437" s="70">
        <v>84800</v>
      </c>
      <c r="Z437" s="72"/>
    </row>
    <row r="438" spans="1:26" ht="15.75" hidden="1" customHeight="1" x14ac:dyDescent="0.25">
      <c r="A438" s="64">
        <v>9</v>
      </c>
      <c r="B438" s="62">
        <v>71791250</v>
      </c>
      <c r="C438" s="62" t="s">
        <v>25348</v>
      </c>
      <c r="D438" s="62" t="s">
        <v>25510</v>
      </c>
      <c r="E438" s="62" t="s">
        <v>25198</v>
      </c>
      <c r="F438" s="62" t="s">
        <v>25213</v>
      </c>
      <c r="G438" s="81" t="s">
        <v>19285</v>
      </c>
      <c r="H438" s="63">
        <v>45185</v>
      </c>
      <c r="I438" s="63">
        <v>45187</v>
      </c>
      <c r="J438" s="62">
        <v>3</v>
      </c>
      <c r="K438" s="62">
        <v>3</v>
      </c>
      <c r="L438" s="62" t="s">
        <v>24995</v>
      </c>
      <c r="M438" s="62" t="s">
        <v>24995</v>
      </c>
      <c r="N438" s="62" t="s">
        <v>19269</v>
      </c>
      <c r="O438" s="62" t="s">
        <v>2582</v>
      </c>
      <c r="P438" s="42" t="str">
        <f>+IF(O438="","",IFERROR(VLOOKUP(O438,CODIGO_DIAGNOSTICO,2,0),"CÓDIGO NO ENCONTRADO"))</f>
        <v>EPILEPSIA, TIPO NO ESPECIFICADO</v>
      </c>
      <c r="Q438" s="62" t="s">
        <v>19230</v>
      </c>
      <c r="R438" s="64">
        <v>8617419</v>
      </c>
      <c r="S438" s="75">
        <v>45191</v>
      </c>
      <c r="T438" s="75">
        <v>45197</v>
      </c>
      <c r="U438" s="65">
        <f>SUM(W438/30)</f>
        <v>42400.166666666664</v>
      </c>
      <c r="V438" s="62" t="s">
        <v>25941</v>
      </c>
      <c r="W438" s="65">
        <v>1272005</v>
      </c>
      <c r="X438" s="62">
        <v>0</v>
      </c>
      <c r="Y438" s="65">
        <v>84800</v>
      </c>
      <c r="Z438" s="73"/>
    </row>
    <row r="439" spans="1:26" ht="15.75" hidden="1" customHeight="1" x14ac:dyDescent="0.25">
      <c r="A439" s="67">
        <v>9</v>
      </c>
      <c r="B439" s="68">
        <v>71601851</v>
      </c>
      <c r="C439" s="68" t="s">
        <v>25340</v>
      </c>
      <c r="D439" s="68" t="s">
        <v>25179</v>
      </c>
      <c r="E439" s="68" t="s">
        <v>25466</v>
      </c>
      <c r="F439" s="68" t="s">
        <v>25023</v>
      </c>
      <c r="G439" s="81" t="s">
        <v>19285</v>
      </c>
      <c r="H439" s="69">
        <v>45185</v>
      </c>
      <c r="I439" s="69">
        <v>45214</v>
      </c>
      <c r="J439" s="68">
        <v>30</v>
      </c>
      <c r="K439" s="68">
        <v>30</v>
      </c>
      <c r="L439" s="68" t="s">
        <v>19262</v>
      </c>
      <c r="M439" s="68" t="s">
        <v>19262</v>
      </c>
      <c r="N439" s="62" t="s">
        <v>19269</v>
      </c>
      <c r="O439" s="68" t="s">
        <v>4695</v>
      </c>
      <c r="P439" s="42" t="str">
        <f>+IF(O439="","",IFERROR(VLOOKUP(O439,CODIGO_DIAGNOSTICO,2,0),"CÓDIGO NO ENCONTRADO"))</f>
        <v>TRASTORNOS INTERNO DE LA RODILLA, NO ESPECIFICADO</v>
      </c>
      <c r="Q439" s="68" t="s">
        <v>19231</v>
      </c>
      <c r="R439" s="67"/>
      <c r="S439" s="77"/>
      <c r="T439" s="76"/>
      <c r="U439" s="65">
        <f>SUM(W439/30)</f>
        <v>42400.166666666664</v>
      </c>
      <c r="V439" s="68" t="s">
        <v>25941</v>
      </c>
      <c r="W439" s="70">
        <v>1272005</v>
      </c>
      <c r="X439" s="68">
        <v>0</v>
      </c>
      <c r="Y439" s="70">
        <v>84800</v>
      </c>
      <c r="Z439" s="72"/>
    </row>
    <row r="440" spans="1:26" ht="15.75" hidden="1" customHeight="1" x14ac:dyDescent="0.25">
      <c r="A440" s="64">
        <v>9</v>
      </c>
      <c r="B440" s="62">
        <v>71601851</v>
      </c>
      <c r="C440" s="62" t="s">
        <v>25178</v>
      </c>
      <c r="D440" s="62" t="s">
        <v>25179</v>
      </c>
      <c r="E440" s="62" t="s">
        <v>25180</v>
      </c>
      <c r="F440" s="62" t="s">
        <v>25023</v>
      </c>
      <c r="G440" s="81" t="s">
        <v>19285</v>
      </c>
      <c r="H440" s="63">
        <v>45185</v>
      </c>
      <c r="I440" s="63">
        <v>45214</v>
      </c>
      <c r="J440" s="62">
        <v>30</v>
      </c>
      <c r="K440" s="62">
        <v>30</v>
      </c>
      <c r="L440" s="62" t="s">
        <v>19262</v>
      </c>
      <c r="M440" s="62" t="s">
        <v>24995</v>
      </c>
      <c r="N440" s="62" t="s">
        <v>19269</v>
      </c>
      <c r="O440" s="62" t="s">
        <v>4695</v>
      </c>
      <c r="P440" s="42" t="str">
        <f>+IF(O440="","",IFERROR(VLOOKUP(O440,CODIGO_DIAGNOSTICO,2,0),"CÓDIGO NO ENCONTRADO"))</f>
        <v>TRASTORNOS INTERNO DE LA RODILLA, NO ESPECIFICADO</v>
      </c>
      <c r="Q440" s="62" t="s">
        <v>19231</v>
      </c>
      <c r="R440" s="64"/>
      <c r="S440" s="75">
        <v>45203</v>
      </c>
      <c r="T440" s="75"/>
      <c r="U440" s="65">
        <f>SUM(W440/30)</f>
        <v>42400.166666666664</v>
      </c>
      <c r="V440" s="62" t="s">
        <v>25941</v>
      </c>
      <c r="W440" s="65">
        <v>1272005</v>
      </c>
      <c r="X440" s="62">
        <v>0</v>
      </c>
      <c r="Y440" s="65">
        <v>84800</v>
      </c>
      <c r="Z440" s="73"/>
    </row>
    <row r="441" spans="1:26" ht="15.75" hidden="1" customHeight="1" x14ac:dyDescent="0.25">
      <c r="A441" s="67">
        <v>9</v>
      </c>
      <c r="B441" s="68">
        <v>43600465</v>
      </c>
      <c r="C441" s="68" t="s">
        <v>25314</v>
      </c>
      <c r="D441" s="68" t="s">
        <v>25387</v>
      </c>
      <c r="E441" s="68" t="s">
        <v>25933</v>
      </c>
      <c r="F441" s="68" t="s">
        <v>25258</v>
      </c>
      <c r="G441" s="81" t="s">
        <v>19285</v>
      </c>
      <c r="H441" s="69">
        <v>45186</v>
      </c>
      <c r="I441" s="69">
        <v>45199</v>
      </c>
      <c r="J441" s="68">
        <v>14</v>
      </c>
      <c r="K441" s="68">
        <v>14</v>
      </c>
      <c r="L441" s="68" t="s">
        <v>19262</v>
      </c>
      <c r="M441" s="68" t="s">
        <v>24995</v>
      </c>
      <c r="N441" s="62" t="s">
        <v>19269</v>
      </c>
      <c r="O441" s="68" t="s">
        <v>4669</v>
      </c>
      <c r="P441" s="42" t="str">
        <f>+IF(O441="","",IFERROR(VLOOKUP(O441,CODIGO_DIAGNOSTICO,2,0),"CÓDIGO NO ENCONTRADO"))</f>
        <v>DEFORMIDADES ADQUIRIDAS DE LOS DEDOS DEL PIE, NO ESPECIFICADAS</v>
      </c>
      <c r="Q441" s="68" t="s">
        <v>19230</v>
      </c>
      <c r="R441" s="67" t="s">
        <v>26002</v>
      </c>
      <c r="S441" s="77">
        <v>45188</v>
      </c>
      <c r="T441" s="76">
        <v>45202</v>
      </c>
      <c r="U441" s="65">
        <f>SUM(W441/30)</f>
        <v>42400.166666666664</v>
      </c>
      <c r="V441" s="68" t="s">
        <v>25941</v>
      </c>
      <c r="W441" s="70">
        <v>1272005</v>
      </c>
      <c r="X441" s="68">
        <v>0</v>
      </c>
      <c r="Y441" s="70">
        <v>84800</v>
      </c>
      <c r="Z441" s="72"/>
    </row>
    <row r="442" spans="1:26" ht="15.75" hidden="1" customHeight="1" x14ac:dyDescent="0.25">
      <c r="A442" s="64">
        <v>9</v>
      </c>
      <c r="B442" s="62">
        <v>70323164</v>
      </c>
      <c r="C442" s="62" t="s">
        <v>24992</v>
      </c>
      <c r="D442" s="62" t="s">
        <v>24985</v>
      </c>
      <c r="E442" s="62" t="s">
        <v>25091</v>
      </c>
      <c r="F442" s="62" t="s">
        <v>25146</v>
      </c>
      <c r="G442" s="81" t="s">
        <v>19285</v>
      </c>
      <c r="H442" s="63">
        <v>45187</v>
      </c>
      <c r="I442" s="63">
        <v>45190</v>
      </c>
      <c r="J442" s="62">
        <v>4</v>
      </c>
      <c r="K442" s="62">
        <v>4</v>
      </c>
      <c r="L442" s="62" t="s">
        <v>19262</v>
      </c>
      <c r="M442" s="62" t="s">
        <v>19262</v>
      </c>
      <c r="N442" s="62" t="s">
        <v>19269</v>
      </c>
      <c r="O442" s="62" t="s">
        <v>3692</v>
      </c>
      <c r="P442" s="42" t="str">
        <f>+IF(O442="","",IFERROR(VLOOKUP(O442,CODIGO_DIAGNOSTICO,2,0),"CÓDIGO NO ENCONTRADO"))</f>
        <v>OTRAS ENFERMEDADES PULMONARES OBSTRUCTIVAS CRONICAS ESPECIFICADAS</v>
      </c>
      <c r="Q442" s="62" t="s">
        <v>19230</v>
      </c>
      <c r="R442" s="64">
        <v>8622316</v>
      </c>
      <c r="S442" s="75">
        <v>45194</v>
      </c>
      <c r="T442" s="75">
        <v>45197</v>
      </c>
      <c r="U442" s="65">
        <f>SUM(W442/30)</f>
        <v>42400.166666666664</v>
      </c>
      <c r="V442" s="62" t="s">
        <v>25941</v>
      </c>
      <c r="W442" s="65">
        <v>1272005</v>
      </c>
      <c r="X442" s="62">
        <v>0</v>
      </c>
      <c r="Y442" s="65">
        <v>84800</v>
      </c>
      <c r="Z442" s="73"/>
    </row>
    <row r="443" spans="1:26" ht="15.75" hidden="1" customHeight="1" x14ac:dyDescent="0.25">
      <c r="A443" s="67">
        <v>9</v>
      </c>
      <c r="B443" s="68">
        <v>71651935</v>
      </c>
      <c r="C443" s="68" t="s">
        <v>25635</v>
      </c>
      <c r="D443" s="68" t="s">
        <v>25480</v>
      </c>
      <c r="E443" s="68" t="s">
        <v>25282</v>
      </c>
      <c r="F443" s="68" t="s">
        <v>25028</v>
      </c>
      <c r="G443" s="81" t="s">
        <v>19285</v>
      </c>
      <c r="H443" s="69">
        <v>45187</v>
      </c>
      <c r="I443" s="69">
        <v>45216</v>
      </c>
      <c r="J443" s="68">
        <v>30</v>
      </c>
      <c r="K443" s="68">
        <v>30</v>
      </c>
      <c r="L443" s="68" t="s">
        <v>19262</v>
      </c>
      <c r="M443" s="68" t="s">
        <v>19262</v>
      </c>
      <c r="N443" s="62" t="s">
        <v>19269</v>
      </c>
      <c r="O443" s="68" t="s">
        <v>905</v>
      </c>
      <c r="P443" s="42" t="str">
        <f>+IF(O443="","",IFERROR(VLOOKUP(O443,CODIGO_DIAGNOSTICO,2,0),"CÓDIGO NO ENCONTRADO"))</f>
        <v>TUMOR MALIGNO DEL RECTO</v>
      </c>
      <c r="Q443" s="68" t="s">
        <v>24996</v>
      </c>
      <c r="R443" s="67"/>
      <c r="S443" s="77"/>
      <c r="T443" s="76"/>
      <c r="U443" s="65">
        <f>SUM(W443/30)</f>
        <v>42400.166666666664</v>
      </c>
      <c r="V443" s="68" t="s">
        <v>25941</v>
      </c>
      <c r="W443" s="70">
        <v>1272005</v>
      </c>
      <c r="X443" s="68">
        <v>0</v>
      </c>
      <c r="Y443" s="70">
        <v>84800</v>
      </c>
      <c r="Z443" s="72"/>
    </row>
    <row r="444" spans="1:26" ht="15.75" hidden="1" customHeight="1" x14ac:dyDescent="0.25">
      <c r="A444" s="64">
        <v>9</v>
      </c>
      <c r="B444" s="62">
        <v>91002376</v>
      </c>
      <c r="C444" s="62" t="s">
        <v>25097</v>
      </c>
      <c r="D444" s="62" t="s">
        <v>25435</v>
      </c>
      <c r="E444" s="62" t="s">
        <v>25099</v>
      </c>
      <c r="F444" s="62"/>
      <c r="G444" s="81" t="s">
        <v>19285</v>
      </c>
      <c r="H444" s="63">
        <v>45187</v>
      </c>
      <c r="I444" s="63">
        <v>45187</v>
      </c>
      <c r="J444" s="62">
        <v>1</v>
      </c>
      <c r="K444" s="62">
        <v>1</v>
      </c>
      <c r="L444" s="62" t="s">
        <v>24995</v>
      </c>
      <c r="M444" s="62" t="s">
        <v>24995</v>
      </c>
      <c r="N444" s="62" t="s">
        <v>19269</v>
      </c>
      <c r="O444" s="62" t="s">
        <v>3958</v>
      </c>
      <c r="P444" s="42" t="str">
        <f>+IF(O444="","",IFERROR(VLOOKUP(O444,CODIGO_DIAGNOSTICO,2,0),"CÓDIGO NO ENCONTRADO"))</f>
        <v>GASTRITIS, NO ESPECIFICADA</v>
      </c>
      <c r="Q444" s="62" t="s">
        <v>24996</v>
      </c>
      <c r="R444" s="64">
        <v>0</v>
      </c>
      <c r="S444" s="75">
        <v>45196</v>
      </c>
      <c r="T444" s="75">
        <v>0</v>
      </c>
      <c r="U444" s="65">
        <f>SUM(W444/30)</f>
        <v>42400.166666666664</v>
      </c>
      <c r="V444" s="62" t="s">
        <v>25941</v>
      </c>
      <c r="W444" s="65">
        <v>1272005</v>
      </c>
      <c r="X444" s="62">
        <v>0</v>
      </c>
      <c r="Y444" s="65">
        <v>84800</v>
      </c>
      <c r="Z444" s="73"/>
    </row>
    <row r="445" spans="1:26" ht="15.75" hidden="1" customHeight="1" x14ac:dyDescent="0.25">
      <c r="A445" s="67">
        <v>9</v>
      </c>
      <c r="B445" s="68">
        <v>71382103</v>
      </c>
      <c r="C445" s="68" t="s">
        <v>25274</v>
      </c>
      <c r="D445" s="68" t="s">
        <v>25275</v>
      </c>
      <c r="E445" s="68" t="s">
        <v>25198</v>
      </c>
      <c r="F445" s="68" t="s">
        <v>25276</v>
      </c>
      <c r="G445" s="81" t="s">
        <v>19285</v>
      </c>
      <c r="H445" s="69">
        <v>45187</v>
      </c>
      <c r="I445" s="69">
        <v>45188</v>
      </c>
      <c r="J445" s="68">
        <v>2</v>
      </c>
      <c r="K445" s="68">
        <v>2</v>
      </c>
      <c r="L445" s="68" t="s">
        <v>24995</v>
      </c>
      <c r="M445" s="68" t="s">
        <v>24995</v>
      </c>
      <c r="N445" s="62" t="s">
        <v>19269</v>
      </c>
      <c r="O445" s="68" t="s">
        <v>4838</v>
      </c>
      <c r="P445" s="42" t="str">
        <f>+IF(O445="","",IFERROR(VLOOKUP(O445,CODIGO_DIAGNOSTICO,2,0),"CÓDIGO NO ENCONTRADO"))</f>
        <v>LUMBAGO NO ESPECIFICADO</v>
      </c>
      <c r="Q445" s="68" t="s">
        <v>19230</v>
      </c>
      <c r="R445" s="67">
        <v>0</v>
      </c>
      <c r="S445" s="77"/>
      <c r="T445" s="76"/>
      <c r="U445" s="65">
        <f>SUM(W445/30)</f>
        <v>42400.166666666664</v>
      </c>
      <c r="V445" s="68" t="s">
        <v>25941</v>
      </c>
      <c r="W445" s="70">
        <v>1272005</v>
      </c>
      <c r="X445" s="68">
        <v>0</v>
      </c>
      <c r="Y445" s="70">
        <v>84800</v>
      </c>
      <c r="Z445" s="72"/>
    </row>
    <row r="446" spans="1:26" ht="15.75" hidden="1" customHeight="1" x14ac:dyDescent="0.25">
      <c r="A446" s="64">
        <v>9</v>
      </c>
      <c r="B446" s="62">
        <v>71686928</v>
      </c>
      <c r="C446" s="62" t="s">
        <v>25149</v>
      </c>
      <c r="D446" s="62" t="s">
        <v>25114</v>
      </c>
      <c r="E446" s="62" t="s">
        <v>25830</v>
      </c>
      <c r="F446" s="62" t="s">
        <v>25151</v>
      </c>
      <c r="G446" s="81" t="s">
        <v>19285</v>
      </c>
      <c r="H446" s="63">
        <v>45189</v>
      </c>
      <c r="I446" s="63">
        <v>45198</v>
      </c>
      <c r="J446" s="62">
        <v>10</v>
      </c>
      <c r="K446" s="62">
        <v>10</v>
      </c>
      <c r="L446" s="62" t="s">
        <v>19262</v>
      </c>
      <c r="M446" s="62" t="s">
        <v>19262</v>
      </c>
      <c r="N446" s="62" t="s">
        <v>19269</v>
      </c>
      <c r="O446" s="62" t="s">
        <v>7723</v>
      </c>
      <c r="P446" s="42" t="str">
        <f>+IF(O446="","",IFERROR(VLOOKUP(O446,CODIGO_DIAGNOSTICO,2,0),"CÓDIGO NO ENCONTRADO"))</f>
        <v>FRACTURA DE LA EPIFISIS SUPERIOR DE LA TIBIA</v>
      </c>
      <c r="Q446" s="62" t="s">
        <v>26059</v>
      </c>
      <c r="R446" s="64">
        <v>8974692</v>
      </c>
      <c r="S446" s="75">
        <v>45313</v>
      </c>
      <c r="T446" s="75"/>
      <c r="U446" s="65"/>
      <c r="V446" s="62"/>
      <c r="W446" s="65"/>
      <c r="X446" s="62"/>
      <c r="Y446" s="65"/>
      <c r="Z446" s="73"/>
    </row>
    <row r="447" spans="1:26" ht="15.75" hidden="1" customHeight="1" x14ac:dyDescent="0.25">
      <c r="A447" s="67">
        <v>9</v>
      </c>
      <c r="B447" s="68">
        <v>3669363</v>
      </c>
      <c r="C447" s="68" t="s">
        <v>25173</v>
      </c>
      <c r="D447" s="68" t="s">
        <v>24983</v>
      </c>
      <c r="E447" s="68" t="s">
        <v>25032</v>
      </c>
      <c r="F447" s="68" t="s">
        <v>25103</v>
      </c>
      <c r="G447" s="81" t="s">
        <v>19285</v>
      </c>
      <c r="H447" s="69">
        <v>45190</v>
      </c>
      <c r="I447" s="69">
        <v>45192</v>
      </c>
      <c r="J447" s="68">
        <v>3</v>
      </c>
      <c r="K447" s="68">
        <v>3</v>
      </c>
      <c r="L447" s="68" t="s">
        <v>19262</v>
      </c>
      <c r="M447" s="68" t="s">
        <v>24995</v>
      </c>
      <c r="N447" s="62" t="s">
        <v>19269</v>
      </c>
      <c r="O447" s="68" t="s">
        <v>4647</v>
      </c>
      <c r="P447" s="42" t="str">
        <f>+IF(O447="","",IFERROR(VLOOKUP(O447,CODIGO_DIAGNOSTICO,2,0),"CÓDIGO NO ENCONTRADO"))</f>
        <v>OTRAS GONARTROSIS POSTRAUMATICAS</v>
      </c>
      <c r="Q447" s="68" t="s">
        <v>19230</v>
      </c>
      <c r="R447" s="67"/>
      <c r="S447" s="77"/>
      <c r="T447" s="76"/>
      <c r="U447" s="65">
        <f>SUM(W447/30)</f>
        <v>42400.166666666664</v>
      </c>
      <c r="V447" s="68" t="s">
        <v>25941</v>
      </c>
      <c r="W447" s="70">
        <v>1272005</v>
      </c>
      <c r="X447" s="68">
        <v>0</v>
      </c>
      <c r="Y447" s="70">
        <v>84800</v>
      </c>
      <c r="Z447" s="72"/>
    </row>
    <row r="448" spans="1:26" ht="15.75" hidden="1" customHeight="1" x14ac:dyDescent="0.25">
      <c r="A448" s="64">
        <v>9</v>
      </c>
      <c r="B448" s="62">
        <v>3482728</v>
      </c>
      <c r="C448" s="62" t="s">
        <v>25923</v>
      </c>
      <c r="D448" s="62" t="s">
        <v>25510</v>
      </c>
      <c r="E448" s="62" t="s">
        <v>25141</v>
      </c>
      <c r="F448" s="62" t="s">
        <v>25416</v>
      </c>
      <c r="G448" s="81" t="s">
        <v>19285</v>
      </c>
      <c r="H448" s="63">
        <v>45190</v>
      </c>
      <c r="I448" s="63">
        <v>45193</v>
      </c>
      <c r="J448" s="62">
        <v>4</v>
      </c>
      <c r="K448" s="62">
        <v>4</v>
      </c>
      <c r="L448" s="62" t="s">
        <v>24995</v>
      </c>
      <c r="M448" s="62" t="s">
        <v>24995</v>
      </c>
      <c r="N448" s="62" t="s">
        <v>19269</v>
      </c>
      <c r="O448" s="62" t="s">
        <v>7238</v>
      </c>
      <c r="P448" s="42" t="str">
        <f>+IF(O448="","",IFERROR(VLOOKUP(O448,CODIGO_DIAGNOSTICO,2,0),"CÓDIGO NO ENCONTRADO"))</f>
        <v>TRAUMATISMO SUPERFICIAL DE LA CABEZA, PARTE NO ESPECIFICADA</v>
      </c>
      <c r="Q448" s="62" t="s">
        <v>24978</v>
      </c>
      <c r="R448" s="64">
        <v>40003336</v>
      </c>
      <c r="S448" s="75">
        <v>45203</v>
      </c>
      <c r="T448" s="75">
        <v>45218</v>
      </c>
      <c r="U448" s="65">
        <f>SUM(W448/30)</f>
        <v>42400.166666666664</v>
      </c>
      <c r="V448" s="62" t="s">
        <v>25941</v>
      </c>
      <c r="W448" s="65">
        <v>1272005</v>
      </c>
      <c r="X448" s="62">
        <v>0</v>
      </c>
      <c r="Y448" s="65">
        <v>84800</v>
      </c>
      <c r="Z448" s="73"/>
    </row>
    <row r="449" spans="1:26" ht="15.75" hidden="1" customHeight="1" x14ac:dyDescent="0.25">
      <c r="A449" s="67">
        <v>9</v>
      </c>
      <c r="B449" s="68">
        <v>107744021</v>
      </c>
      <c r="C449" s="68" t="s">
        <v>25923</v>
      </c>
      <c r="D449" s="68" t="s">
        <v>25992</v>
      </c>
      <c r="E449" s="68" t="s">
        <v>25141</v>
      </c>
      <c r="F449" s="68" t="s">
        <v>25416</v>
      </c>
      <c r="G449" s="81" t="s">
        <v>19285</v>
      </c>
      <c r="H449" s="69">
        <v>45190</v>
      </c>
      <c r="I449" s="69">
        <v>45193</v>
      </c>
      <c r="J449" s="68">
        <v>4</v>
      </c>
      <c r="K449" s="68">
        <v>4</v>
      </c>
      <c r="L449" s="68" t="s">
        <v>24995</v>
      </c>
      <c r="M449" s="68" t="s">
        <v>24995</v>
      </c>
      <c r="N449" s="62" t="s">
        <v>19269</v>
      </c>
      <c r="O449" s="68" t="s">
        <v>7238</v>
      </c>
      <c r="P449" s="42" t="str">
        <f>+IF(O449="","",IFERROR(VLOOKUP(O449,CODIGO_DIAGNOSTICO,2,0),"CÓDIGO NO ENCONTRADO"))</f>
        <v>TRAUMATISMO SUPERFICIAL DE LA CABEZA, PARTE NO ESPECIFICADA</v>
      </c>
      <c r="Q449" s="68" t="s">
        <v>24978</v>
      </c>
      <c r="R449" s="67">
        <v>40003336</v>
      </c>
      <c r="S449" s="77">
        <v>45203</v>
      </c>
      <c r="T449" s="76"/>
      <c r="U449" s="65">
        <f>SUM(W449/30)</f>
        <v>42400.166666666664</v>
      </c>
      <c r="V449" s="68" t="s">
        <v>25941</v>
      </c>
      <c r="W449" s="70">
        <v>1272005</v>
      </c>
      <c r="X449" s="68">
        <v>0</v>
      </c>
      <c r="Y449" s="70">
        <v>84800</v>
      </c>
      <c r="Z449" s="72"/>
    </row>
    <row r="450" spans="1:26" ht="15.75" hidden="1" customHeight="1" x14ac:dyDescent="0.25">
      <c r="A450" s="64">
        <v>9</v>
      </c>
      <c r="B450" s="62">
        <v>70252687</v>
      </c>
      <c r="C450" s="62" t="s">
        <v>25178</v>
      </c>
      <c r="D450" s="62" t="s">
        <v>25248</v>
      </c>
      <c r="E450" s="62" t="s">
        <v>25131</v>
      </c>
      <c r="F450" s="62" t="s">
        <v>25020</v>
      </c>
      <c r="G450" s="81" t="s">
        <v>19285</v>
      </c>
      <c r="H450" s="63">
        <v>45190</v>
      </c>
      <c r="I450" s="63">
        <v>45219</v>
      </c>
      <c r="J450" s="62">
        <v>30</v>
      </c>
      <c r="K450" s="62">
        <v>30</v>
      </c>
      <c r="L450" s="62" t="s">
        <v>24995</v>
      </c>
      <c r="M450" s="62" t="s">
        <v>24995</v>
      </c>
      <c r="N450" s="62" t="s">
        <v>19269</v>
      </c>
      <c r="O450" s="62" t="s">
        <v>905</v>
      </c>
      <c r="P450" s="42" t="str">
        <f>+IF(O450="","",IFERROR(VLOOKUP(O450,CODIGO_DIAGNOSTICO,2,0),"CÓDIGO NO ENCONTRADO"))</f>
        <v>TUMOR MALIGNO DEL RECTO</v>
      </c>
      <c r="Q450" s="62" t="s">
        <v>19230</v>
      </c>
      <c r="R450" s="64" t="s">
        <v>26003</v>
      </c>
      <c r="S450" s="75">
        <v>45230</v>
      </c>
      <c r="T450" s="75">
        <v>45218</v>
      </c>
      <c r="U450" s="65">
        <f>SUM(W450/30)</f>
        <v>42400.166666666664</v>
      </c>
      <c r="V450" s="62" t="s">
        <v>25941</v>
      </c>
      <c r="W450" s="65">
        <v>1272005</v>
      </c>
      <c r="X450" s="62">
        <v>0</v>
      </c>
      <c r="Y450" s="65">
        <v>84800</v>
      </c>
      <c r="Z450" s="73"/>
    </row>
    <row r="451" spans="1:26" ht="15.75" hidden="1" customHeight="1" x14ac:dyDescent="0.25">
      <c r="A451" s="67">
        <v>9</v>
      </c>
      <c r="B451" s="68">
        <v>70323164</v>
      </c>
      <c r="C451" s="68" t="s">
        <v>24992</v>
      </c>
      <c r="D451" s="68" t="s">
        <v>24985</v>
      </c>
      <c r="E451" s="68" t="s">
        <v>25091</v>
      </c>
      <c r="F451" s="68" t="s">
        <v>25146</v>
      </c>
      <c r="G451" s="81" t="s">
        <v>19285</v>
      </c>
      <c r="H451" s="69">
        <v>45191</v>
      </c>
      <c r="I451" s="69">
        <v>45194</v>
      </c>
      <c r="J451" s="68">
        <v>4</v>
      </c>
      <c r="K451" s="68">
        <v>4</v>
      </c>
      <c r="L451" s="68" t="s">
        <v>19262</v>
      </c>
      <c r="M451" s="68" t="s">
        <v>19262</v>
      </c>
      <c r="N451" s="62" t="s">
        <v>19269</v>
      </c>
      <c r="O451" s="68" t="s">
        <v>3692</v>
      </c>
      <c r="P451" s="42" t="str">
        <f>+IF(O451="","",IFERROR(VLOOKUP(O451,CODIGO_DIAGNOSTICO,2,0),"CÓDIGO NO ENCONTRADO"))</f>
        <v>OTRAS ENFERMEDADES PULMONARES OBSTRUCTIVAS CRONICAS ESPECIFICADAS</v>
      </c>
      <c r="Q451" s="68" t="s">
        <v>19230</v>
      </c>
      <c r="R451" s="67">
        <v>8619298</v>
      </c>
      <c r="S451" s="77">
        <v>45191</v>
      </c>
      <c r="T451" s="76">
        <v>45197</v>
      </c>
      <c r="U451" s="65">
        <f>SUM(W451/30)</f>
        <v>42400.166666666664</v>
      </c>
      <c r="V451" s="68" t="s">
        <v>25941</v>
      </c>
      <c r="W451" s="70">
        <v>1272005</v>
      </c>
      <c r="X451" s="68">
        <v>0</v>
      </c>
      <c r="Y451" s="70">
        <v>84800</v>
      </c>
      <c r="Z451" s="72"/>
    </row>
    <row r="452" spans="1:26" ht="15.75" hidden="1" customHeight="1" x14ac:dyDescent="0.25">
      <c r="A452" s="64">
        <v>9</v>
      </c>
      <c r="B452" s="62">
        <v>1000634073</v>
      </c>
      <c r="C452" s="62" t="s">
        <v>25216</v>
      </c>
      <c r="D452" s="62" t="s">
        <v>25952</v>
      </c>
      <c r="E452" s="62" t="s">
        <v>25358</v>
      </c>
      <c r="F452" s="62" t="s">
        <v>25110</v>
      </c>
      <c r="G452" s="81" t="s">
        <v>19285</v>
      </c>
      <c r="H452" s="63">
        <v>45191</v>
      </c>
      <c r="I452" s="63">
        <v>45194</v>
      </c>
      <c r="J452" s="62">
        <v>4</v>
      </c>
      <c r="K452" s="62">
        <v>4</v>
      </c>
      <c r="L452" s="62" t="s">
        <v>24995</v>
      </c>
      <c r="M452" s="62" t="s">
        <v>24995</v>
      </c>
      <c r="N452" s="62" t="s">
        <v>19269</v>
      </c>
      <c r="O452" s="62" t="s">
        <v>88</v>
      </c>
      <c r="P452" s="42" t="str">
        <f>+IF(O452="","",IFERROR(VLOOKUP(O452,CODIGO_DIAGNOSTICO,2,0),"CÓDIGO NO ENCONTRADO"))</f>
        <v>DIARREA Y GASTROENTERITIS DE PRESUNTO ORIGEN INFECCIOSO</v>
      </c>
      <c r="Q452" s="62" t="s">
        <v>19230</v>
      </c>
      <c r="R452" s="64">
        <v>8655847</v>
      </c>
      <c r="S452" s="75">
        <v>45202</v>
      </c>
      <c r="T452" s="75"/>
      <c r="U452" s="65">
        <f>SUM(W452/30)</f>
        <v>42400.166666666664</v>
      </c>
      <c r="V452" s="62" t="s">
        <v>25941</v>
      </c>
      <c r="W452" s="65">
        <v>1272005</v>
      </c>
      <c r="X452" s="62">
        <v>0</v>
      </c>
      <c r="Y452" s="65">
        <v>84800</v>
      </c>
      <c r="Z452" s="73"/>
    </row>
    <row r="453" spans="1:26" ht="15.75" hidden="1" customHeight="1" x14ac:dyDescent="0.25">
      <c r="A453" s="67">
        <v>9</v>
      </c>
      <c r="B453" s="68">
        <v>1000634073</v>
      </c>
      <c r="C453" s="68" t="s">
        <v>25921</v>
      </c>
      <c r="D453" s="68" t="s">
        <v>25367</v>
      </c>
      <c r="E453" s="68" t="s">
        <v>25358</v>
      </c>
      <c r="F453" s="68" t="s">
        <v>25110</v>
      </c>
      <c r="G453" s="81" t="s">
        <v>19285</v>
      </c>
      <c r="H453" s="69">
        <v>45191</v>
      </c>
      <c r="I453" s="69">
        <v>45194</v>
      </c>
      <c r="J453" s="68">
        <v>4</v>
      </c>
      <c r="K453" s="68">
        <v>4</v>
      </c>
      <c r="L453" s="68" t="s">
        <v>24995</v>
      </c>
      <c r="M453" s="68" t="s">
        <v>24995</v>
      </c>
      <c r="N453" s="62" t="s">
        <v>19269</v>
      </c>
      <c r="O453" s="68" t="s">
        <v>88</v>
      </c>
      <c r="P453" s="42" t="str">
        <f>+IF(O453="","",IFERROR(VLOOKUP(O453,CODIGO_DIAGNOSTICO,2,0),"CÓDIGO NO ENCONTRADO"))</f>
        <v>DIARREA Y GASTROENTERITIS DE PRESUNTO ORIGEN INFECCIOSO</v>
      </c>
      <c r="Q453" s="68" t="s">
        <v>19230</v>
      </c>
      <c r="R453" s="67">
        <v>8655847</v>
      </c>
      <c r="S453" s="77">
        <v>45203</v>
      </c>
      <c r="T453" s="76">
        <v>45214</v>
      </c>
      <c r="U453" s="65">
        <f>SUM(W453/30)</f>
        <v>42400.166666666664</v>
      </c>
      <c r="V453" s="68" t="s">
        <v>25941</v>
      </c>
      <c r="W453" s="70">
        <v>1272005</v>
      </c>
      <c r="X453" s="68">
        <v>0</v>
      </c>
      <c r="Y453" s="70">
        <v>84800</v>
      </c>
      <c r="Z453" s="72"/>
    </row>
    <row r="454" spans="1:26" ht="15.75" hidden="1" customHeight="1" x14ac:dyDescent="0.25">
      <c r="A454" s="64">
        <v>9</v>
      </c>
      <c r="B454" s="62">
        <v>71721292</v>
      </c>
      <c r="C454" s="62" t="s">
        <v>25181</v>
      </c>
      <c r="D454" s="62" t="s">
        <v>25181</v>
      </c>
      <c r="E454" s="62" t="s">
        <v>25292</v>
      </c>
      <c r="F454" s="62" t="s">
        <v>25023</v>
      </c>
      <c r="G454" s="81" t="s">
        <v>19285</v>
      </c>
      <c r="H454" s="63">
        <v>45191</v>
      </c>
      <c r="I454" s="63">
        <v>45220</v>
      </c>
      <c r="J454" s="62">
        <v>30</v>
      </c>
      <c r="K454" s="62">
        <v>30</v>
      </c>
      <c r="L454" s="62" t="s">
        <v>19262</v>
      </c>
      <c r="M454" s="62" t="s">
        <v>24995</v>
      </c>
      <c r="N454" s="62" t="s">
        <v>19269</v>
      </c>
      <c r="O454" s="62" t="s">
        <v>4986</v>
      </c>
      <c r="P454" s="42" t="str">
        <f>+IF(O454="","",IFERROR(VLOOKUP(O454,CODIGO_DIAGNOSTICO,2,0),"CÓDIGO NO ENCONTRADO"))</f>
        <v>FRACTURA PATOLOGICA, NO CLASIFICADA EN OTRA PARTE</v>
      </c>
      <c r="Q454" s="62" t="s">
        <v>19232</v>
      </c>
      <c r="R454" s="64"/>
      <c r="S454" s="75">
        <v>45244</v>
      </c>
      <c r="T454" s="75"/>
      <c r="U454" s="65">
        <f>SUM(W454/30)</f>
        <v>42400.166666666664</v>
      </c>
      <c r="V454" s="62" t="s">
        <v>25941</v>
      </c>
      <c r="W454" s="65">
        <v>1272005</v>
      </c>
      <c r="X454" s="62">
        <v>0</v>
      </c>
      <c r="Y454" s="65">
        <v>84800</v>
      </c>
      <c r="Z454" s="73"/>
    </row>
    <row r="455" spans="1:26" ht="15.75" hidden="1" customHeight="1" x14ac:dyDescent="0.25">
      <c r="A455" s="67">
        <v>9</v>
      </c>
      <c r="B455" s="68">
        <v>1000634073</v>
      </c>
      <c r="C455" s="68" t="s">
        <v>25921</v>
      </c>
      <c r="D455" s="68" t="s">
        <v>25002</v>
      </c>
      <c r="E455" s="68" t="s">
        <v>25358</v>
      </c>
      <c r="F455" s="68" t="s">
        <v>25110</v>
      </c>
      <c r="G455" s="81" t="s">
        <v>19285</v>
      </c>
      <c r="H455" s="69">
        <v>45191</v>
      </c>
      <c r="I455" s="69">
        <v>45194</v>
      </c>
      <c r="J455" s="68">
        <v>4</v>
      </c>
      <c r="K455" s="68">
        <v>4</v>
      </c>
      <c r="L455" s="68" t="s">
        <v>24995</v>
      </c>
      <c r="M455" s="68" t="s">
        <v>24995</v>
      </c>
      <c r="N455" s="62" t="s">
        <v>19269</v>
      </c>
      <c r="O455" s="68" t="s">
        <v>88</v>
      </c>
      <c r="P455" s="42" t="str">
        <f>+IF(O455="","",IFERROR(VLOOKUP(O455,CODIGO_DIAGNOSTICO,2,0),"CÓDIGO NO ENCONTRADO"))</f>
        <v>DIARREA Y GASTROENTERITIS DE PRESUNTO ORIGEN INFECCIOSO</v>
      </c>
      <c r="Q455" s="68" t="s">
        <v>19230</v>
      </c>
      <c r="R455" s="67" t="s">
        <v>26021</v>
      </c>
      <c r="S455" s="77">
        <v>45251</v>
      </c>
      <c r="T455" s="76" t="s">
        <v>25942</v>
      </c>
      <c r="U455" s="65">
        <f>SUM(W455/30)</f>
        <v>42400.166666666664</v>
      </c>
      <c r="V455" s="68" t="s">
        <v>25941</v>
      </c>
      <c r="W455" s="70">
        <v>1272005</v>
      </c>
      <c r="X455" s="68">
        <v>0</v>
      </c>
      <c r="Y455" s="70">
        <v>84800</v>
      </c>
      <c r="Z455" s="72"/>
    </row>
    <row r="456" spans="1:26" ht="15.75" hidden="1" customHeight="1" x14ac:dyDescent="0.25">
      <c r="A456" s="64">
        <v>9</v>
      </c>
      <c r="B456" s="62">
        <v>15259158</v>
      </c>
      <c r="C456" s="62" t="s">
        <v>25702</v>
      </c>
      <c r="D456" s="62" t="s">
        <v>25015</v>
      </c>
      <c r="E456" s="62" t="s">
        <v>25203</v>
      </c>
      <c r="F456" s="62" t="s">
        <v>25005</v>
      </c>
      <c r="G456" s="81" t="s">
        <v>19285</v>
      </c>
      <c r="H456" s="63">
        <v>45192</v>
      </c>
      <c r="I456" s="63">
        <v>45206</v>
      </c>
      <c r="J456" s="62">
        <v>15</v>
      </c>
      <c r="K456" s="62">
        <v>15</v>
      </c>
      <c r="L456" s="62" t="s">
        <v>24995</v>
      </c>
      <c r="M456" s="62" t="s">
        <v>24995</v>
      </c>
      <c r="N456" s="62" t="s">
        <v>19269</v>
      </c>
      <c r="O456" s="62" t="s">
        <v>3997</v>
      </c>
      <c r="P456" s="42" t="str">
        <f>+IF(O456="","",IFERROR(VLOOKUP(O456,CODIGO_DIAGNOSTICO,2,0),"CÓDIGO NO ENCONTRADO"))</f>
        <v>HERNIA UMBILICAL SIN OBSTRUCCION NI GANGRENA</v>
      </c>
      <c r="Q456" s="62" t="s">
        <v>26152</v>
      </c>
      <c r="R456" s="64"/>
      <c r="S456" s="75"/>
      <c r="T456" s="75"/>
      <c r="U456" s="65">
        <f>SUM(W456/30)</f>
        <v>42400.166666666664</v>
      </c>
      <c r="V456" s="62" t="s">
        <v>25941</v>
      </c>
      <c r="W456" s="65">
        <v>1272005</v>
      </c>
      <c r="X456" s="62">
        <v>0</v>
      </c>
      <c r="Y456" s="65">
        <v>84800</v>
      </c>
      <c r="Z456" s="73"/>
    </row>
    <row r="457" spans="1:26" ht="15.75" hidden="1" customHeight="1" x14ac:dyDescent="0.25">
      <c r="A457" s="67">
        <v>9</v>
      </c>
      <c r="B457" s="68">
        <v>15259158</v>
      </c>
      <c r="C457" s="68" t="s">
        <v>25015</v>
      </c>
      <c r="D457" s="68" t="s">
        <v>25015</v>
      </c>
      <c r="E457" s="68" t="s">
        <v>25168</v>
      </c>
      <c r="F457" s="68" t="s">
        <v>25005</v>
      </c>
      <c r="G457" s="81" t="s">
        <v>19285</v>
      </c>
      <c r="H457" s="69">
        <v>45192</v>
      </c>
      <c r="I457" s="69">
        <v>45206</v>
      </c>
      <c r="J457" s="68">
        <v>15</v>
      </c>
      <c r="K457" s="68">
        <v>15</v>
      </c>
      <c r="L457" s="68" t="s">
        <v>24995</v>
      </c>
      <c r="M457" s="68" t="s">
        <v>24995</v>
      </c>
      <c r="N457" s="62" t="s">
        <v>19269</v>
      </c>
      <c r="O457" s="68" t="s">
        <v>3997</v>
      </c>
      <c r="P457" s="42" t="str">
        <f>+IF(O457="","",IFERROR(VLOOKUP(O457,CODIGO_DIAGNOSTICO,2,0),"CÓDIGO NO ENCONTRADO"))</f>
        <v>HERNIA UMBILICAL SIN OBSTRUCCION NI GANGRENA</v>
      </c>
      <c r="Q457" s="68" t="s">
        <v>26152</v>
      </c>
      <c r="R457" s="67"/>
      <c r="S457" s="77">
        <v>45203</v>
      </c>
      <c r="T457" s="76"/>
      <c r="U457" s="65">
        <f>SUM(W457/30)</f>
        <v>42400.166666666664</v>
      </c>
      <c r="V457" s="68" t="s">
        <v>25941</v>
      </c>
      <c r="W457" s="70">
        <v>1272005</v>
      </c>
      <c r="X457" s="68">
        <v>0</v>
      </c>
      <c r="Y457" s="70">
        <v>84800</v>
      </c>
      <c r="Z457" s="72"/>
    </row>
    <row r="458" spans="1:26" ht="15.75" hidden="1" customHeight="1" x14ac:dyDescent="0.25">
      <c r="A458" s="64">
        <v>9</v>
      </c>
      <c r="B458" s="62">
        <v>71676289</v>
      </c>
      <c r="C458" s="62" t="s">
        <v>25015</v>
      </c>
      <c r="D458" s="62" t="s">
        <v>25012</v>
      </c>
      <c r="E458" s="62" t="s">
        <v>25016</v>
      </c>
      <c r="F458" s="62" t="s">
        <v>25004</v>
      </c>
      <c r="G458" s="81" t="s">
        <v>19285</v>
      </c>
      <c r="H458" s="63">
        <v>45194</v>
      </c>
      <c r="I458" s="63">
        <v>45207</v>
      </c>
      <c r="J458" s="62">
        <v>14</v>
      </c>
      <c r="K458" s="62">
        <v>14</v>
      </c>
      <c r="L458" s="62" t="s">
        <v>19262</v>
      </c>
      <c r="M458" s="62" t="s">
        <v>19262</v>
      </c>
      <c r="N458" s="62" t="s">
        <v>19269</v>
      </c>
      <c r="O458" s="62" t="s">
        <v>7822</v>
      </c>
      <c r="P458" s="42" t="str">
        <f>+IF(O458="","",IFERROR(VLOOKUP(O458,CODIGO_DIAGNOSTICO,2,0),"CÓDIGO NO ENCONTRADO"))</f>
        <v>AMPUTACION TRAUMATICA DE OTRAS PARTES DEL PIE</v>
      </c>
      <c r="Q458" s="62" t="s">
        <v>26059</v>
      </c>
      <c r="R458" s="64">
        <v>8623085</v>
      </c>
      <c r="S458" s="75">
        <v>45194</v>
      </c>
      <c r="T458" s="75"/>
      <c r="U458" s="65">
        <f>SUM(W458/30)</f>
        <v>42400.166666666664</v>
      </c>
      <c r="V458" s="62" t="s">
        <v>25941</v>
      </c>
      <c r="W458" s="65">
        <v>1272005</v>
      </c>
      <c r="X458" s="62">
        <v>0</v>
      </c>
      <c r="Y458" s="65">
        <v>84800</v>
      </c>
      <c r="Z458" s="73"/>
    </row>
    <row r="459" spans="1:26" ht="15.75" hidden="1" customHeight="1" x14ac:dyDescent="0.25">
      <c r="A459" s="67">
        <v>9</v>
      </c>
      <c r="B459" s="68">
        <v>71781456</v>
      </c>
      <c r="C459" s="68" t="s">
        <v>25943</v>
      </c>
      <c r="D459" s="68" t="s">
        <v>25744</v>
      </c>
      <c r="E459" s="68" t="s">
        <v>24988</v>
      </c>
      <c r="F459" s="68" t="s">
        <v>25064</v>
      </c>
      <c r="G459" s="81" t="s">
        <v>19285</v>
      </c>
      <c r="H459" s="69">
        <v>45194</v>
      </c>
      <c r="I459" s="69">
        <v>45195</v>
      </c>
      <c r="J459" s="68">
        <v>2</v>
      </c>
      <c r="K459" s="68">
        <v>2</v>
      </c>
      <c r="L459" s="68" t="s">
        <v>24995</v>
      </c>
      <c r="M459" s="68" t="s">
        <v>24995</v>
      </c>
      <c r="N459" s="62" t="s">
        <v>19269</v>
      </c>
      <c r="O459" s="68" t="s">
        <v>4838</v>
      </c>
      <c r="P459" s="42" t="str">
        <f>+IF(O459="","",IFERROR(VLOOKUP(O459,CODIGO_DIAGNOSTICO,2,0),"CÓDIGO NO ENCONTRADO"))</f>
        <v>LUMBAGO NO ESPECIFICADO</v>
      </c>
      <c r="Q459" s="68" t="s">
        <v>19230</v>
      </c>
      <c r="R459" s="67">
        <v>0</v>
      </c>
      <c r="S459" s="77"/>
      <c r="T459" s="76"/>
      <c r="U459" s="65">
        <f>SUM(W459/30)</f>
        <v>42400.166666666664</v>
      </c>
      <c r="V459" s="68" t="s">
        <v>25941</v>
      </c>
      <c r="W459" s="70">
        <v>1272005</v>
      </c>
      <c r="X459" s="68">
        <v>0</v>
      </c>
      <c r="Y459" s="70">
        <v>84800</v>
      </c>
      <c r="Z459" s="72"/>
    </row>
    <row r="460" spans="1:26" ht="15.75" hidden="1" customHeight="1" x14ac:dyDescent="0.25">
      <c r="A460" s="64">
        <v>9</v>
      </c>
      <c r="B460" s="62">
        <v>70323164</v>
      </c>
      <c r="C460" s="62" t="s">
        <v>24992</v>
      </c>
      <c r="D460" s="62" t="s">
        <v>24985</v>
      </c>
      <c r="E460" s="62" t="s">
        <v>25091</v>
      </c>
      <c r="F460" s="62" t="s">
        <v>25146</v>
      </c>
      <c r="G460" s="81" t="s">
        <v>19285</v>
      </c>
      <c r="H460" s="63">
        <v>45195</v>
      </c>
      <c r="I460" s="63">
        <v>45204</v>
      </c>
      <c r="J460" s="62">
        <v>10</v>
      </c>
      <c r="K460" s="62">
        <v>10</v>
      </c>
      <c r="L460" s="62" t="s">
        <v>19262</v>
      </c>
      <c r="M460" s="62" t="s">
        <v>19262</v>
      </c>
      <c r="N460" s="62" t="s">
        <v>19269</v>
      </c>
      <c r="O460" s="62" t="s">
        <v>3692</v>
      </c>
      <c r="P460" s="42" t="str">
        <f>+IF(O460="","",IFERROR(VLOOKUP(O460,CODIGO_DIAGNOSTICO,2,0),"CÓDIGO NO ENCONTRADO"))</f>
        <v>OTRAS ENFERMEDADES PULMONARES OBSTRUCTIVAS CRONICAS ESPECIFICADAS</v>
      </c>
      <c r="Q460" s="62" t="s">
        <v>19230</v>
      </c>
      <c r="R460" s="64">
        <v>8636063</v>
      </c>
      <c r="S460" s="75">
        <v>45197</v>
      </c>
      <c r="T460" s="75">
        <v>45197</v>
      </c>
      <c r="U460" s="65">
        <f>SUM(W460/30)</f>
        <v>42400.166666666664</v>
      </c>
      <c r="V460" s="62" t="s">
        <v>25941</v>
      </c>
      <c r="W460" s="65">
        <v>1272005</v>
      </c>
      <c r="X460" s="62">
        <v>0</v>
      </c>
      <c r="Y460" s="65">
        <v>84800</v>
      </c>
      <c r="Z460" s="73"/>
    </row>
    <row r="461" spans="1:26" ht="15.75" hidden="1" customHeight="1" x14ac:dyDescent="0.25">
      <c r="A461" s="67">
        <v>9</v>
      </c>
      <c r="B461" s="68">
        <v>1216713788</v>
      </c>
      <c r="C461" s="68" t="s">
        <v>24987</v>
      </c>
      <c r="D461" s="68" t="s">
        <v>25687</v>
      </c>
      <c r="E461" s="68" t="s">
        <v>25089</v>
      </c>
      <c r="F461" s="68" t="s">
        <v>25066</v>
      </c>
      <c r="G461" s="81" t="s">
        <v>19285</v>
      </c>
      <c r="H461" s="69">
        <v>45196</v>
      </c>
      <c r="I461" s="69">
        <v>45225</v>
      </c>
      <c r="J461" s="68">
        <v>24</v>
      </c>
      <c r="K461" s="68">
        <v>24</v>
      </c>
      <c r="L461" s="68" t="s">
        <v>19262</v>
      </c>
      <c r="M461" s="68" t="s">
        <v>24995</v>
      </c>
      <c r="N461" s="62" t="s">
        <v>19263</v>
      </c>
      <c r="O461" s="68" t="s">
        <v>7737</v>
      </c>
      <c r="P461" s="42" t="str">
        <f>+IF(O461="","",IFERROR(VLOOKUP(O461,CODIGO_DIAGNOSTICO,2,0),"CÓDIGO NO ENCONTRADO"))</f>
        <v>ESGUINCES Y TORCEDURAS QUE COMPROMETEN EL LIGAMENTO CRUZADO (ANTERIOR) (POSTERIOR) DE LA RODILLA</v>
      </c>
      <c r="Q461" s="68" t="s">
        <v>25001</v>
      </c>
      <c r="R461" s="67"/>
      <c r="S461" s="77">
        <v>45205</v>
      </c>
      <c r="T461" s="76">
        <v>45225</v>
      </c>
      <c r="U461" s="65">
        <f>SUM(W461/30)*J461</f>
        <v>1017604</v>
      </c>
      <c r="V461" s="68" t="s">
        <v>25941</v>
      </c>
      <c r="W461" s="70">
        <v>1272005</v>
      </c>
      <c r="X461" s="68">
        <v>0</v>
      </c>
      <c r="Y461" s="70">
        <v>0</v>
      </c>
      <c r="Z461" s="72"/>
    </row>
    <row r="462" spans="1:26" ht="15.75" hidden="1" customHeight="1" x14ac:dyDescent="0.25">
      <c r="A462" s="64">
        <v>9</v>
      </c>
      <c r="B462" s="62">
        <v>1035225845</v>
      </c>
      <c r="C462" s="62" t="s">
        <v>25694</v>
      </c>
      <c r="D462" s="62" t="s">
        <v>25457</v>
      </c>
      <c r="E462" s="62" t="s">
        <v>25028</v>
      </c>
      <c r="F462" s="62" t="s">
        <v>25095</v>
      </c>
      <c r="G462" s="81" t="s">
        <v>19285</v>
      </c>
      <c r="H462" s="63">
        <v>45197</v>
      </c>
      <c r="I462" s="63">
        <v>45199</v>
      </c>
      <c r="J462" s="62">
        <v>3</v>
      </c>
      <c r="K462" s="62">
        <v>3</v>
      </c>
      <c r="L462" s="62" t="s">
        <v>24995</v>
      </c>
      <c r="M462" s="62" t="s">
        <v>24995</v>
      </c>
      <c r="N462" s="62" t="s">
        <v>19269</v>
      </c>
      <c r="O462" s="62" t="s">
        <v>539</v>
      </c>
      <c r="P462" s="42" t="str">
        <f>+IF(O462="","",IFERROR(VLOOKUP(O462,CODIGO_DIAGNOSTICO,2,0),"CÓDIGO NO ENCONTRADO"))</f>
        <v>INFECCION VIRAL, NO ESPECIFICADA</v>
      </c>
      <c r="Q462" s="62" t="s">
        <v>19231</v>
      </c>
      <c r="R462" s="64">
        <v>9626050</v>
      </c>
      <c r="S462" s="75">
        <v>45212</v>
      </c>
      <c r="T462" s="75">
        <v>45247</v>
      </c>
      <c r="U462" s="65">
        <f>SUM(W462/30)</f>
        <v>42400.166666666664</v>
      </c>
      <c r="V462" s="62" t="s">
        <v>25941</v>
      </c>
      <c r="W462" s="65">
        <v>1272005</v>
      </c>
      <c r="X462" s="62">
        <v>0</v>
      </c>
      <c r="Y462" s="65">
        <v>84800</v>
      </c>
      <c r="Z462" s="73"/>
    </row>
    <row r="463" spans="1:26" ht="15.75" hidden="1" customHeight="1" x14ac:dyDescent="0.25">
      <c r="A463" s="67">
        <v>9</v>
      </c>
      <c r="B463" s="68">
        <v>43323488</v>
      </c>
      <c r="C463" s="68" t="s">
        <v>25361</v>
      </c>
      <c r="D463" s="68"/>
      <c r="E463" s="68" t="s">
        <v>25698</v>
      </c>
      <c r="F463" s="68"/>
      <c r="G463" s="81" t="s">
        <v>19285</v>
      </c>
      <c r="H463" s="69">
        <v>45199</v>
      </c>
      <c r="I463" s="69">
        <v>45205</v>
      </c>
      <c r="J463" s="68">
        <v>7</v>
      </c>
      <c r="K463" s="68">
        <v>7</v>
      </c>
      <c r="L463" s="68" t="s">
        <v>24995</v>
      </c>
      <c r="M463" s="68" t="s">
        <v>24995</v>
      </c>
      <c r="N463" s="62" t="s">
        <v>19269</v>
      </c>
      <c r="O463" s="68" t="s">
        <v>4493</v>
      </c>
      <c r="P463" s="42" t="str">
        <f>+IF(O463="","",IFERROR(VLOOKUP(O463,CODIGO_DIAGNOSTICO,2,0),"CÓDIGO NO ENCONTRADO"))</f>
        <v>ELASTOSIS SERPIGINOSA PERFORANTE</v>
      </c>
      <c r="Q463" s="68" t="s">
        <v>19231</v>
      </c>
      <c r="R463" s="67"/>
      <c r="S463" s="77">
        <v>45202</v>
      </c>
      <c r="T463" s="76">
        <v>45254</v>
      </c>
      <c r="U463" s="65">
        <f>SUM(W463/30)</f>
        <v>42400.166666666664</v>
      </c>
      <c r="V463" s="68" t="s">
        <v>25941</v>
      </c>
      <c r="W463" s="70">
        <v>1272005</v>
      </c>
      <c r="X463" s="68">
        <v>0</v>
      </c>
      <c r="Y463" s="70">
        <v>84800</v>
      </c>
      <c r="Z463" s="72"/>
    </row>
    <row r="464" spans="1:26" ht="15.75" hidden="1" customHeight="1" x14ac:dyDescent="0.25">
      <c r="A464" s="64">
        <v>9</v>
      </c>
      <c r="B464" s="62">
        <v>43600465</v>
      </c>
      <c r="C464" s="62" t="s">
        <v>25314</v>
      </c>
      <c r="D464" s="62" t="s">
        <v>25387</v>
      </c>
      <c r="E464" s="62" t="s">
        <v>25933</v>
      </c>
      <c r="F464" s="62" t="s">
        <v>25258</v>
      </c>
      <c r="G464" s="81" t="s">
        <v>19285</v>
      </c>
      <c r="H464" s="63">
        <v>45200</v>
      </c>
      <c r="I464" s="63">
        <v>45213</v>
      </c>
      <c r="J464" s="62">
        <v>14</v>
      </c>
      <c r="K464" s="62">
        <v>14</v>
      </c>
      <c r="L464" s="62" t="s">
        <v>24995</v>
      </c>
      <c r="M464" s="62" t="s">
        <v>24995</v>
      </c>
      <c r="N464" s="62" t="s">
        <v>19269</v>
      </c>
      <c r="O464" s="62" t="s">
        <v>4669</v>
      </c>
      <c r="P464" s="42" t="str">
        <f>+IF(O464="","",IFERROR(VLOOKUP(O464,CODIGO_DIAGNOSTICO,2,0),"CÓDIGO NO ENCONTRADO"))</f>
        <v>DEFORMIDADES ADQUIRIDAS DE LOS DEDOS DEL PIE, NO ESPECIFICADAS</v>
      </c>
      <c r="Q464" s="62" t="s">
        <v>19230</v>
      </c>
      <c r="R464" s="64">
        <v>8654927</v>
      </c>
      <c r="S464" s="75">
        <v>45203</v>
      </c>
      <c r="T464" s="75">
        <v>45218</v>
      </c>
      <c r="U464" s="65">
        <f>SUM(W464/30)</f>
        <v>42400.166666666664</v>
      </c>
      <c r="V464" s="62" t="s">
        <v>25941</v>
      </c>
      <c r="W464" s="65">
        <v>1272005</v>
      </c>
      <c r="X464" s="62">
        <v>0</v>
      </c>
      <c r="Y464" s="65">
        <v>84800</v>
      </c>
      <c r="Z464" s="73"/>
    </row>
    <row r="465" spans="1:26" ht="15.75" hidden="1" customHeight="1" x14ac:dyDescent="0.25">
      <c r="A465" s="67">
        <v>10</v>
      </c>
      <c r="B465" s="68">
        <v>15309929</v>
      </c>
      <c r="C465" s="68" t="s">
        <v>25011</v>
      </c>
      <c r="D465" s="68" t="s">
        <v>25012</v>
      </c>
      <c r="E465" s="68" t="s">
        <v>25013</v>
      </c>
      <c r="F465" s="68" t="s">
        <v>25014</v>
      </c>
      <c r="G465" s="81" t="s">
        <v>19285</v>
      </c>
      <c r="H465" s="69">
        <v>45203</v>
      </c>
      <c r="I465" s="69">
        <v>45217</v>
      </c>
      <c r="J465" s="68">
        <v>15</v>
      </c>
      <c r="K465" s="68">
        <v>15</v>
      </c>
      <c r="L465" s="68" t="s">
        <v>19262</v>
      </c>
      <c r="M465" s="68" t="s">
        <v>24995</v>
      </c>
      <c r="N465" s="62" t="s">
        <v>19269</v>
      </c>
      <c r="O465" s="68" t="s">
        <v>7734</v>
      </c>
      <c r="P465" s="42" t="str">
        <f>+IF(O465="","",IFERROR(VLOOKUP(O465,CODIGO_DIAGNOSTICO,2,0),"CÓDIGO NO ENCONTRADO"))</f>
        <v>DESGARRO DE MENISCOS, PRESENTE</v>
      </c>
      <c r="Q465" s="68" t="s">
        <v>19230</v>
      </c>
      <c r="R465" s="67">
        <v>8653033</v>
      </c>
      <c r="S465" s="77">
        <v>45202</v>
      </c>
      <c r="T465" s="76"/>
      <c r="U465" s="65">
        <f>SUM(W465/30)</f>
        <v>42400.166666666664</v>
      </c>
      <c r="V465" s="68" t="s">
        <v>25941</v>
      </c>
      <c r="W465" s="70">
        <v>1272005</v>
      </c>
      <c r="X465" s="68">
        <v>0</v>
      </c>
      <c r="Y465" s="70">
        <v>84800</v>
      </c>
      <c r="Z465" s="72"/>
    </row>
    <row r="466" spans="1:26" ht="15.75" hidden="1" customHeight="1" x14ac:dyDescent="0.25">
      <c r="A466" s="64">
        <v>9</v>
      </c>
      <c r="B466" s="62">
        <v>70323164</v>
      </c>
      <c r="C466" s="62" t="s">
        <v>24992</v>
      </c>
      <c r="D466" s="62" t="s">
        <v>24985</v>
      </c>
      <c r="E466" s="62" t="s">
        <v>25091</v>
      </c>
      <c r="F466" s="62" t="s">
        <v>25953</v>
      </c>
      <c r="G466" s="81" t="s">
        <v>19285</v>
      </c>
      <c r="H466" s="63">
        <v>45205</v>
      </c>
      <c r="I466" s="63">
        <v>45184</v>
      </c>
      <c r="J466" s="62">
        <v>10</v>
      </c>
      <c r="K466" s="62">
        <v>10</v>
      </c>
      <c r="L466" s="62" t="s">
        <v>19262</v>
      </c>
      <c r="M466" s="62" t="s">
        <v>24995</v>
      </c>
      <c r="N466" s="62" t="s">
        <v>19269</v>
      </c>
      <c r="O466" s="62" t="s">
        <v>3693</v>
      </c>
      <c r="P466" s="42" t="str">
        <f>+IF(O466="","",IFERROR(VLOOKUP(O466,CODIGO_DIAGNOSTICO,2,0),"CÓDIGO NO ENCONTRADO"))</f>
        <v>ENFERMEDAD PULMONAR OBSTRUCTIVA CRONICA, NO ESPECIFICADA</v>
      </c>
      <c r="Q466" s="62" t="s">
        <v>19230</v>
      </c>
      <c r="R466" s="64" t="s">
        <v>26004</v>
      </c>
      <c r="S466" s="75">
        <v>45205</v>
      </c>
      <c r="T466" s="75">
        <v>45211</v>
      </c>
      <c r="U466" s="65">
        <f>SUM(W466/30)</f>
        <v>42400.166666666664</v>
      </c>
      <c r="V466" s="62" t="s">
        <v>25941</v>
      </c>
      <c r="W466" s="65">
        <v>1272005</v>
      </c>
      <c r="X466" s="62">
        <v>0</v>
      </c>
      <c r="Y466" s="65">
        <v>84800</v>
      </c>
      <c r="Z466" s="73"/>
    </row>
    <row r="467" spans="1:26" ht="15.75" hidden="1" customHeight="1" x14ac:dyDescent="0.25">
      <c r="A467" s="67">
        <v>10</v>
      </c>
      <c r="B467" s="68">
        <v>71686928</v>
      </c>
      <c r="C467" s="68" t="s">
        <v>25149</v>
      </c>
      <c r="D467" s="68" t="s">
        <v>25114</v>
      </c>
      <c r="E467" s="68" t="s">
        <v>25830</v>
      </c>
      <c r="F467" s="68" t="s">
        <v>25151</v>
      </c>
      <c r="G467" s="81" t="s">
        <v>19285</v>
      </c>
      <c r="H467" s="69">
        <v>45205</v>
      </c>
      <c r="I467" s="69">
        <v>45214</v>
      </c>
      <c r="J467" s="68">
        <v>10</v>
      </c>
      <c r="K467" s="68">
        <v>10</v>
      </c>
      <c r="L467" s="68" t="s">
        <v>19262</v>
      </c>
      <c r="M467" s="68" t="s">
        <v>19262</v>
      </c>
      <c r="N467" s="62" t="s">
        <v>19269</v>
      </c>
      <c r="O467" s="68" t="s">
        <v>7723</v>
      </c>
      <c r="P467" s="42" t="str">
        <f>+IF(O467="","",IFERROR(VLOOKUP(O467,CODIGO_DIAGNOSTICO,2,0),"CÓDIGO NO ENCONTRADO"))</f>
        <v>FRACTURA DE LA EPIFISIS SUPERIOR DE LA TIBIA</v>
      </c>
      <c r="Q467" s="68" t="s">
        <v>26059</v>
      </c>
      <c r="R467" s="67">
        <v>8974697</v>
      </c>
      <c r="S467" s="77">
        <v>45313</v>
      </c>
      <c r="T467" s="76"/>
      <c r="U467" s="65"/>
      <c r="V467" s="68"/>
      <c r="W467" s="70"/>
      <c r="X467" s="68"/>
      <c r="Y467" s="70"/>
      <c r="Z467" s="72"/>
    </row>
    <row r="468" spans="1:26" ht="15.75" hidden="1" customHeight="1" x14ac:dyDescent="0.25">
      <c r="A468" s="64">
        <v>10</v>
      </c>
      <c r="B468" s="62">
        <v>70783820</v>
      </c>
      <c r="C468" s="62" t="s">
        <v>25111</v>
      </c>
      <c r="D468" s="62" t="s">
        <v>25161</v>
      </c>
      <c r="E468" s="62" t="s">
        <v>25455</v>
      </c>
      <c r="F468" s="62" t="s">
        <v>25103</v>
      </c>
      <c r="G468" s="81" t="s">
        <v>19285</v>
      </c>
      <c r="H468" s="63">
        <v>45206</v>
      </c>
      <c r="I468" s="63">
        <v>45220</v>
      </c>
      <c r="J468" s="62">
        <v>15</v>
      </c>
      <c r="K468" s="62">
        <v>15</v>
      </c>
      <c r="L468" s="62" t="s">
        <v>24995</v>
      </c>
      <c r="M468" s="62" t="s">
        <v>24995</v>
      </c>
      <c r="N468" s="62" t="s">
        <v>19269</v>
      </c>
      <c r="O468" s="62" t="s">
        <v>4200</v>
      </c>
      <c r="P468" s="42" t="str">
        <f>+IF(O468="","",IFERROR(VLOOKUP(O468,CODIGO_DIAGNOSTICO,2,0),"CÓDIGO NO ENCONTRADO"))</f>
        <v>HEMORRAGIA GASTROINTESTINAL, NO ESPECIFICADA</v>
      </c>
      <c r="Q468" s="62" t="s">
        <v>19230</v>
      </c>
      <c r="R468" s="64">
        <v>8776013</v>
      </c>
      <c r="S468" s="75">
        <v>45244</v>
      </c>
      <c r="T468" s="75">
        <v>45246</v>
      </c>
      <c r="U468" s="65">
        <f>SUM(W468/30)</f>
        <v>42400.166666666664</v>
      </c>
      <c r="V468" s="62" t="s">
        <v>25941</v>
      </c>
      <c r="W468" s="65">
        <v>1272005</v>
      </c>
      <c r="X468" s="62">
        <v>0</v>
      </c>
      <c r="Y468" s="65">
        <v>84800</v>
      </c>
      <c r="Z468" s="73"/>
    </row>
    <row r="469" spans="1:26" ht="15.75" hidden="1" customHeight="1" x14ac:dyDescent="0.25">
      <c r="A469" s="67">
        <v>10</v>
      </c>
      <c r="B469" s="68">
        <v>71676289</v>
      </c>
      <c r="C469" s="68" t="s">
        <v>25702</v>
      </c>
      <c r="D469" s="68" t="s">
        <v>25012</v>
      </c>
      <c r="E469" s="68" t="s">
        <v>25920</v>
      </c>
      <c r="F469" s="68" t="s">
        <v>25004</v>
      </c>
      <c r="G469" s="81" t="s">
        <v>19285</v>
      </c>
      <c r="H469" s="69">
        <v>45208</v>
      </c>
      <c r="I469" s="69">
        <v>45221</v>
      </c>
      <c r="J469" s="68">
        <v>14</v>
      </c>
      <c r="K469" s="68">
        <v>14</v>
      </c>
      <c r="L469" s="68" t="s">
        <v>19262</v>
      </c>
      <c r="M469" s="68" t="s">
        <v>24995</v>
      </c>
      <c r="N469" s="62" t="s">
        <v>19269</v>
      </c>
      <c r="O469" s="68" t="s">
        <v>7822</v>
      </c>
      <c r="P469" s="42" t="str">
        <f>+IF(O469="","",IFERROR(VLOOKUP(O469,CODIGO_DIAGNOSTICO,2,0),"CÓDIGO NO ENCONTRADO"))</f>
        <v>AMPUTACION TRAUMATICA DE OTRAS PARTES DEL PIE</v>
      </c>
      <c r="Q469" s="68" t="s">
        <v>19230</v>
      </c>
      <c r="R469" s="67">
        <v>8688073</v>
      </c>
      <c r="S469" s="77">
        <v>45212</v>
      </c>
      <c r="T469" s="76"/>
      <c r="U469" s="65">
        <f>SUM(W469/30)</f>
        <v>42400.166666666664</v>
      </c>
      <c r="V469" s="68" t="s">
        <v>25941</v>
      </c>
      <c r="W469" s="70">
        <v>1272005</v>
      </c>
      <c r="X469" s="68">
        <v>0</v>
      </c>
      <c r="Y469" s="70">
        <v>84800</v>
      </c>
      <c r="Z469" s="72"/>
    </row>
    <row r="470" spans="1:26" ht="15.75" hidden="1" customHeight="1" x14ac:dyDescent="0.25">
      <c r="A470" s="64">
        <v>10</v>
      </c>
      <c r="B470" s="62">
        <v>98601485</v>
      </c>
      <c r="C470" s="62" t="s">
        <v>25240</v>
      </c>
      <c r="D470" s="62"/>
      <c r="E470" s="62" t="s">
        <v>25241</v>
      </c>
      <c r="F470" s="62" t="s">
        <v>25103</v>
      </c>
      <c r="G470" s="81" t="s">
        <v>19285</v>
      </c>
      <c r="H470" s="63">
        <v>45208</v>
      </c>
      <c r="I470" s="63">
        <v>45237</v>
      </c>
      <c r="J470" s="62">
        <v>30</v>
      </c>
      <c r="K470" s="62">
        <v>30</v>
      </c>
      <c r="L470" s="62" t="s">
        <v>19262</v>
      </c>
      <c r="M470" s="62" t="s">
        <v>24995</v>
      </c>
      <c r="N470" s="62" t="s">
        <v>19269</v>
      </c>
      <c r="O470" s="62" t="s">
        <v>4650</v>
      </c>
      <c r="P470" s="42" t="str">
        <f>+IF(O470="","",IFERROR(VLOOKUP(O470,CODIGO_DIAGNOSTICO,2,0),"CÓDIGO NO ENCONTRADO"))</f>
        <v>GONARTROSIS, NO ESPECIFICADA</v>
      </c>
      <c r="Q470" s="62" t="s">
        <v>19230</v>
      </c>
      <c r="R470" s="64">
        <v>8688116</v>
      </c>
      <c r="S470" s="75">
        <v>45212</v>
      </c>
      <c r="T470" s="75">
        <v>45218</v>
      </c>
      <c r="U470" s="65">
        <f>SUM(W470/30)</f>
        <v>42400.166666666664</v>
      </c>
      <c r="V470" s="62" t="s">
        <v>25941</v>
      </c>
      <c r="W470" s="65">
        <v>1272005</v>
      </c>
      <c r="X470" s="62">
        <v>0</v>
      </c>
      <c r="Y470" s="65">
        <v>84800</v>
      </c>
      <c r="Z470" s="73"/>
    </row>
    <row r="471" spans="1:26" ht="15.75" hidden="1" customHeight="1" x14ac:dyDescent="0.25">
      <c r="A471" s="67">
        <v>10</v>
      </c>
      <c r="B471" s="68">
        <v>1128467712</v>
      </c>
      <c r="C471" s="68" t="s">
        <v>25456</v>
      </c>
      <c r="D471" s="68" t="s">
        <v>19258</v>
      </c>
      <c r="E471" s="68" t="s">
        <v>25880</v>
      </c>
      <c r="F471" s="68" t="s">
        <v>25879</v>
      </c>
      <c r="G471" s="81" t="s">
        <v>19285</v>
      </c>
      <c r="H471" s="69">
        <v>45209</v>
      </c>
      <c r="I471" s="69">
        <v>45211</v>
      </c>
      <c r="J471" s="68">
        <v>3</v>
      </c>
      <c r="K471" s="68">
        <v>3</v>
      </c>
      <c r="L471" s="68" t="s">
        <v>24995</v>
      </c>
      <c r="M471" s="68" t="s">
        <v>24995</v>
      </c>
      <c r="N471" s="62" t="s">
        <v>19269</v>
      </c>
      <c r="O471" s="68" t="s">
        <v>7713</v>
      </c>
      <c r="P471" s="42" t="str">
        <f>+IF(O471="","",IFERROR(VLOOKUP(O471,CODIGO_DIAGNOSTICO,2,0),"CÓDIGO NO ENCONTRADO"))</f>
        <v>CONTUSION DE LA RODILLA</v>
      </c>
      <c r="Q471" s="68" t="s">
        <v>19230</v>
      </c>
      <c r="R471" s="67">
        <v>8686799</v>
      </c>
      <c r="S471" s="77">
        <v>45212</v>
      </c>
      <c r="T471" s="76">
        <v>45216</v>
      </c>
      <c r="U471" s="65">
        <f>SUM(W471/30)</f>
        <v>42400.166666666664</v>
      </c>
      <c r="V471" s="68" t="s">
        <v>25941</v>
      </c>
      <c r="W471" s="70">
        <v>1272005</v>
      </c>
      <c r="X471" s="68">
        <v>0</v>
      </c>
      <c r="Y471" s="70">
        <v>84800</v>
      </c>
      <c r="Z471" s="72"/>
    </row>
    <row r="472" spans="1:26" ht="15.75" hidden="1" customHeight="1" x14ac:dyDescent="0.25">
      <c r="A472" s="64">
        <v>10</v>
      </c>
      <c r="B472" s="62">
        <v>3669363</v>
      </c>
      <c r="C472" s="62" t="s">
        <v>25173</v>
      </c>
      <c r="D472" s="62" t="s">
        <v>24983</v>
      </c>
      <c r="E472" s="62" t="s">
        <v>25032</v>
      </c>
      <c r="F472" s="62" t="s">
        <v>25103</v>
      </c>
      <c r="G472" s="81" t="s">
        <v>19285</v>
      </c>
      <c r="H472" s="63">
        <v>45209</v>
      </c>
      <c r="I472" s="63">
        <v>45209</v>
      </c>
      <c r="J472" s="62">
        <v>1</v>
      </c>
      <c r="K472" s="62">
        <v>1</v>
      </c>
      <c r="L472" s="62" t="s">
        <v>19262</v>
      </c>
      <c r="M472" s="62" t="s">
        <v>24995</v>
      </c>
      <c r="N472" s="62" t="s">
        <v>19269</v>
      </c>
      <c r="O472" s="62" t="s">
        <v>4647</v>
      </c>
      <c r="P472" s="42" t="str">
        <f>+IF(O472="","",IFERROR(VLOOKUP(O472,CODIGO_DIAGNOSTICO,2,0),"CÓDIGO NO ENCONTRADO"))</f>
        <v>OTRAS GONARTROSIS POSTRAUMATICAS</v>
      </c>
      <c r="Q472" s="62" t="s">
        <v>19230</v>
      </c>
      <c r="R472" s="64">
        <v>8688106</v>
      </c>
      <c r="S472" s="75">
        <v>45212</v>
      </c>
      <c r="T472" s="75"/>
      <c r="U472" s="65">
        <f>SUM(W472/30)</f>
        <v>42400.166666666664</v>
      </c>
      <c r="V472" s="62" t="s">
        <v>25941</v>
      </c>
      <c r="W472" s="65">
        <v>1272005</v>
      </c>
      <c r="X472" s="62">
        <v>0</v>
      </c>
      <c r="Y472" s="65">
        <v>84800</v>
      </c>
      <c r="Z472" s="73"/>
    </row>
    <row r="473" spans="1:26" ht="15.75" hidden="1" customHeight="1" x14ac:dyDescent="0.25">
      <c r="A473" s="67">
        <v>10</v>
      </c>
      <c r="B473" s="68">
        <v>705351830</v>
      </c>
      <c r="C473" s="68" t="s">
        <v>25105</v>
      </c>
      <c r="D473" s="68" t="s">
        <v>25127</v>
      </c>
      <c r="E473" s="68" t="s">
        <v>25975</v>
      </c>
      <c r="F473" s="68" t="s">
        <v>25103</v>
      </c>
      <c r="G473" s="81" t="s">
        <v>19285</v>
      </c>
      <c r="H473" s="69">
        <v>45209</v>
      </c>
      <c r="I473" s="69">
        <v>45223</v>
      </c>
      <c r="J473" s="68">
        <v>15</v>
      </c>
      <c r="K473" s="68">
        <v>10</v>
      </c>
      <c r="L473" s="68" t="s">
        <v>24995</v>
      </c>
      <c r="M473" s="68" t="s">
        <v>24995</v>
      </c>
      <c r="N473" s="62" t="s">
        <v>19269</v>
      </c>
      <c r="O473" s="68" t="s">
        <v>4482</v>
      </c>
      <c r="P473" s="42" t="str">
        <f>+IF(O473="","",IFERROR(VLOOKUP(O473,CODIGO_DIAGNOSTICO,2,0),"CÓDIGO NO ENCONTRADO"))</f>
        <v>ACANTOSIS NIGRICANS</v>
      </c>
      <c r="Q473" s="68" t="s">
        <v>19231</v>
      </c>
      <c r="R473" s="67">
        <v>790476</v>
      </c>
      <c r="S473" s="77"/>
      <c r="T473" s="76"/>
      <c r="U473" s="65">
        <f>SUM(W473/30)</f>
        <v>42400.166666666664</v>
      </c>
      <c r="V473" s="68" t="s">
        <v>25941</v>
      </c>
      <c r="W473" s="70">
        <v>1272005</v>
      </c>
      <c r="X473" s="68">
        <v>0</v>
      </c>
      <c r="Y473" s="70">
        <v>84800</v>
      </c>
      <c r="Z473" s="72"/>
    </row>
    <row r="474" spans="1:26" ht="15.75" hidden="1" customHeight="1" x14ac:dyDescent="0.25">
      <c r="A474" s="64">
        <v>10</v>
      </c>
      <c r="B474" s="62">
        <v>71316478</v>
      </c>
      <c r="C474" s="62" t="s">
        <v>25443</v>
      </c>
      <c r="D474" s="62" t="s">
        <v>25070</v>
      </c>
      <c r="E474" s="62" t="s">
        <v>25515</v>
      </c>
      <c r="F474" s="62"/>
      <c r="G474" s="81" t="s">
        <v>19285</v>
      </c>
      <c r="H474" s="63">
        <v>45209</v>
      </c>
      <c r="I474" s="63">
        <v>45238</v>
      </c>
      <c r="J474" s="62">
        <v>30</v>
      </c>
      <c r="K474" s="62">
        <v>30</v>
      </c>
      <c r="L474" s="62" t="s">
        <v>19262</v>
      </c>
      <c r="M474" s="62" t="s">
        <v>24995</v>
      </c>
      <c r="N474" s="62" t="s">
        <v>19269</v>
      </c>
      <c r="O474" s="62" t="s">
        <v>3415</v>
      </c>
      <c r="P474" s="42" t="str">
        <f>+IF(O474="","",IFERROR(VLOOKUP(O474,CODIGO_DIAGNOSTICO,2,0),"CÓDIGO NO ENCONTRADO"))</f>
        <v>ACCIDENTE VASCULAR ENCEFALICO AGUDO, NO ESPECIFICADO COMO HEMORRAGICO O ISQUEMICO</v>
      </c>
      <c r="Q474" s="62" t="s">
        <v>19230</v>
      </c>
      <c r="R474" s="64">
        <v>8763461</v>
      </c>
      <c r="S474" s="75">
        <v>45239</v>
      </c>
      <c r="T474" s="75">
        <v>45239</v>
      </c>
      <c r="U474" s="65">
        <f>SUM(W474/30)</f>
        <v>42400.166666666664</v>
      </c>
      <c r="V474" s="62" t="s">
        <v>25941</v>
      </c>
      <c r="W474" s="65">
        <v>1272005</v>
      </c>
      <c r="X474" s="62">
        <v>0</v>
      </c>
      <c r="Y474" s="65">
        <v>84800</v>
      </c>
      <c r="Z474" s="73"/>
    </row>
    <row r="475" spans="1:26" ht="15.75" hidden="1" customHeight="1" x14ac:dyDescent="0.25">
      <c r="A475" s="67">
        <v>10</v>
      </c>
      <c r="B475" s="68">
        <v>43600465</v>
      </c>
      <c r="C475" s="68" t="s">
        <v>25314</v>
      </c>
      <c r="D475" s="68" t="s">
        <v>25387</v>
      </c>
      <c r="E475" s="68" t="s">
        <v>25933</v>
      </c>
      <c r="F475" s="68" t="s">
        <v>25258</v>
      </c>
      <c r="G475" s="81" t="s">
        <v>19285</v>
      </c>
      <c r="H475" s="69">
        <v>45214</v>
      </c>
      <c r="I475" s="69">
        <v>45225</v>
      </c>
      <c r="J475" s="68">
        <v>12</v>
      </c>
      <c r="K475" s="68">
        <v>12</v>
      </c>
      <c r="L475" s="68" t="s">
        <v>19262</v>
      </c>
      <c r="M475" s="68" t="s">
        <v>24995</v>
      </c>
      <c r="N475" s="62" t="s">
        <v>19269</v>
      </c>
      <c r="O475" s="68" t="s">
        <v>4669</v>
      </c>
      <c r="P475" s="42" t="str">
        <f>+IF(O475="","",IFERROR(VLOOKUP(O475,CODIGO_DIAGNOSTICO,2,0),"CÓDIGO NO ENCONTRADO"))</f>
        <v>DEFORMIDADES ADQUIRIDAS DE LOS DEDOS DEL PIE, NO ESPECIFICADAS</v>
      </c>
      <c r="Q475" s="68" t="s">
        <v>19230</v>
      </c>
      <c r="R475" s="67">
        <v>8729243</v>
      </c>
      <c r="S475" s="77">
        <v>45226</v>
      </c>
      <c r="T475" s="76">
        <v>45230</v>
      </c>
      <c r="U475" s="65">
        <f>SUM(W475/30)</f>
        <v>42400.166666666664</v>
      </c>
      <c r="V475" s="68" t="s">
        <v>25941</v>
      </c>
      <c r="W475" s="70">
        <v>1272005</v>
      </c>
      <c r="X475" s="68">
        <v>0</v>
      </c>
      <c r="Y475" s="70">
        <v>84800</v>
      </c>
      <c r="Z475" s="72"/>
    </row>
    <row r="476" spans="1:26" ht="15.75" hidden="1" customHeight="1" x14ac:dyDescent="0.25">
      <c r="A476" s="64">
        <v>10</v>
      </c>
      <c r="B476" s="62">
        <v>1036622798</v>
      </c>
      <c r="C476" s="62" t="s">
        <v>25136</v>
      </c>
      <c r="D476" s="62" t="s">
        <v>25993</v>
      </c>
      <c r="E476" s="62" t="s">
        <v>25138</v>
      </c>
      <c r="F476" s="62" t="s">
        <v>25339</v>
      </c>
      <c r="G476" s="81" t="s">
        <v>19285</v>
      </c>
      <c r="H476" s="63">
        <v>45214</v>
      </c>
      <c r="I476" s="63">
        <v>45211</v>
      </c>
      <c r="J476" s="62">
        <v>29</v>
      </c>
      <c r="K476" s="62">
        <v>29</v>
      </c>
      <c r="L476" s="62" t="s">
        <v>19262</v>
      </c>
      <c r="M476" s="62" t="s">
        <v>24995</v>
      </c>
      <c r="N476" s="62" t="s">
        <v>19269</v>
      </c>
      <c r="O476" s="62" t="s">
        <v>7793</v>
      </c>
      <c r="P476" s="42" t="str">
        <f>+IF(O476="","",IFERROR(VLOOKUP(O476,CODIGO_DIAGNOSTICO,2,0),"CÓDIGO NO ENCONTRADO"))</f>
        <v>LUXACION DE OTROS SITIOS Y LOS NO ESPECIFICADOS DEL PIE</v>
      </c>
      <c r="Q476" s="62" t="s">
        <v>19230</v>
      </c>
      <c r="R476" s="64">
        <v>8711082</v>
      </c>
      <c r="S476" s="75">
        <v>45222</v>
      </c>
      <c r="T476" s="75"/>
      <c r="U476" s="65">
        <f>SUM(W476/30)</f>
        <v>42400.166666666664</v>
      </c>
      <c r="V476" s="62" t="s">
        <v>25941</v>
      </c>
      <c r="W476" s="65">
        <v>1272005</v>
      </c>
      <c r="X476" s="62">
        <v>0</v>
      </c>
      <c r="Y476" s="65">
        <v>84800</v>
      </c>
      <c r="Z476" s="73"/>
    </row>
    <row r="477" spans="1:26" ht="15.75" hidden="1" customHeight="1" x14ac:dyDescent="0.25">
      <c r="A477" s="67">
        <v>10</v>
      </c>
      <c r="B477" s="68">
        <v>71601851</v>
      </c>
      <c r="C477" s="68" t="s">
        <v>25340</v>
      </c>
      <c r="D477" s="68" t="s">
        <v>25179</v>
      </c>
      <c r="E477" s="68" t="s">
        <v>25180</v>
      </c>
      <c r="F477" s="68" t="s">
        <v>25023</v>
      </c>
      <c r="G477" s="81" t="s">
        <v>19285</v>
      </c>
      <c r="H477" s="69">
        <v>45215</v>
      </c>
      <c r="I477" s="69">
        <v>45213</v>
      </c>
      <c r="J477" s="68">
        <v>30</v>
      </c>
      <c r="K477" s="68">
        <v>30</v>
      </c>
      <c r="L477" s="68" t="s">
        <v>19262</v>
      </c>
      <c r="M477" s="68" t="s">
        <v>24995</v>
      </c>
      <c r="N477" s="62" t="s">
        <v>19269</v>
      </c>
      <c r="O477" s="68" t="s">
        <v>4644</v>
      </c>
      <c r="P477" s="42" t="str">
        <f>+IF(O477="","",IFERROR(VLOOKUP(O477,CODIGO_DIAGNOSTICO,2,0),"CÓDIGO NO ENCONTRADO"))</f>
        <v>GONARTROSIS PRIMARIA, BILATERAL</v>
      </c>
      <c r="Q477" s="68" t="s">
        <v>19231</v>
      </c>
      <c r="R477" s="67"/>
      <c r="S477" s="77">
        <v>45223</v>
      </c>
      <c r="T477" s="76"/>
      <c r="U477" s="65">
        <f>SUM(W477/30)</f>
        <v>42400.166666666664</v>
      </c>
      <c r="V477" s="68" t="s">
        <v>25941</v>
      </c>
      <c r="W477" s="70">
        <v>1272005</v>
      </c>
      <c r="X477" s="68">
        <v>0</v>
      </c>
      <c r="Y477" s="70">
        <v>84800</v>
      </c>
      <c r="Z477" s="72"/>
    </row>
    <row r="478" spans="1:26" ht="15.75" hidden="1" customHeight="1" x14ac:dyDescent="0.25">
      <c r="A478" s="64">
        <v>10</v>
      </c>
      <c r="B478" s="62">
        <v>71686928</v>
      </c>
      <c r="C478" s="62" t="s">
        <v>25149</v>
      </c>
      <c r="D478" s="62" t="s">
        <v>25114</v>
      </c>
      <c r="E478" s="62" t="s">
        <v>25830</v>
      </c>
      <c r="F478" s="62" t="s">
        <v>25151</v>
      </c>
      <c r="G478" s="81" t="s">
        <v>19285</v>
      </c>
      <c r="H478" s="63">
        <v>45215</v>
      </c>
      <c r="I478" s="63">
        <v>45229</v>
      </c>
      <c r="J478" s="62">
        <v>15</v>
      </c>
      <c r="K478" s="62">
        <v>15</v>
      </c>
      <c r="L478" s="62" t="s">
        <v>19262</v>
      </c>
      <c r="M478" s="62" t="s">
        <v>24995</v>
      </c>
      <c r="N478" s="62" t="s">
        <v>19269</v>
      </c>
      <c r="O478" s="62" t="s">
        <v>7723</v>
      </c>
      <c r="P478" s="42" t="str">
        <f>+IF(O478="","",IFERROR(VLOOKUP(O478,CODIGO_DIAGNOSTICO,2,0),"CÓDIGO NO ENCONTRADO"))</f>
        <v>FRACTURA DE LA EPIFISIS SUPERIOR DE LA TIBIA</v>
      </c>
      <c r="Q478" s="62" t="s">
        <v>19230</v>
      </c>
      <c r="R478" s="64">
        <v>8799964</v>
      </c>
      <c r="S478" s="75">
        <v>45251</v>
      </c>
      <c r="T478" s="75">
        <v>45265</v>
      </c>
      <c r="U478" s="65">
        <f>SUM(W478/30)</f>
        <v>42400.166666666664</v>
      </c>
      <c r="V478" s="62" t="s">
        <v>25941</v>
      </c>
      <c r="W478" s="65">
        <v>1272005</v>
      </c>
      <c r="X478" s="62">
        <v>0</v>
      </c>
      <c r="Y478" s="65">
        <v>84800</v>
      </c>
      <c r="Z478" s="73"/>
    </row>
    <row r="479" spans="1:26" ht="15.75" hidden="1" customHeight="1" x14ac:dyDescent="0.25">
      <c r="A479" s="67">
        <v>10</v>
      </c>
      <c r="B479" s="68">
        <v>94262650</v>
      </c>
      <c r="C479" s="68" t="s">
        <v>25348</v>
      </c>
      <c r="D479" s="68" t="s">
        <v>24983</v>
      </c>
      <c r="E479" s="68" t="s">
        <v>25168</v>
      </c>
      <c r="F479" s="68" t="s">
        <v>25994</v>
      </c>
      <c r="G479" s="81" t="s">
        <v>19285</v>
      </c>
      <c r="H479" s="69">
        <v>45216</v>
      </c>
      <c r="I479" s="69">
        <v>45217</v>
      </c>
      <c r="J479" s="68">
        <v>2</v>
      </c>
      <c r="K479" s="68">
        <v>2</v>
      </c>
      <c r="L479" s="68" t="s">
        <v>24995</v>
      </c>
      <c r="M479" s="68" t="s">
        <v>24995</v>
      </c>
      <c r="N479" s="62" t="s">
        <v>19269</v>
      </c>
      <c r="O479" s="68" t="s">
        <v>4711</v>
      </c>
      <c r="P479" s="42" t="str">
        <f>+IF(O479="","",IFERROR(VLOOKUP(O479,CODIGO_DIAGNOSTICO,2,0),"CÓDIGO NO ENCONTRADO"))</f>
        <v>DOLOR EN ARTICULACION</v>
      </c>
      <c r="Q479" s="68" t="s">
        <v>19230</v>
      </c>
      <c r="R479" s="67">
        <v>0</v>
      </c>
      <c r="S479" s="77"/>
      <c r="T479" s="76"/>
      <c r="U479" s="65">
        <f>SUM(W479/30)</f>
        <v>42400.166666666664</v>
      </c>
      <c r="V479" s="68" t="s">
        <v>25941</v>
      </c>
      <c r="W479" s="70">
        <v>1272005</v>
      </c>
      <c r="X479" s="68">
        <v>0</v>
      </c>
      <c r="Y479" s="70">
        <v>84800</v>
      </c>
      <c r="Z479" s="72"/>
    </row>
    <row r="480" spans="1:26" ht="15.75" hidden="1" customHeight="1" x14ac:dyDescent="0.25">
      <c r="A480" s="64">
        <v>10</v>
      </c>
      <c r="B480" s="62">
        <v>71193583</v>
      </c>
      <c r="C480" s="62" t="s">
        <v>25044</v>
      </c>
      <c r="D480" s="62" t="s">
        <v>25373</v>
      </c>
      <c r="E480" s="62" t="s">
        <v>25282</v>
      </c>
      <c r="F480" s="62" t="s">
        <v>25283</v>
      </c>
      <c r="G480" s="81" t="s">
        <v>19285</v>
      </c>
      <c r="H480" s="63">
        <v>45216</v>
      </c>
      <c r="I480" s="63">
        <v>45217</v>
      </c>
      <c r="J480" s="62">
        <v>2</v>
      </c>
      <c r="K480" s="62">
        <v>2</v>
      </c>
      <c r="L480" s="62" t="s">
        <v>24995</v>
      </c>
      <c r="M480" s="62" t="s">
        <v>25995</v>
      </c>
      <c r="N480" s="62" t="s">
        <v>19269</v>
      </c>
      <c r="O480" s="62" t="s">
        <v>85</v>
      </c>
      <c r="P480" s="42" t="str">
        <f>+IF(O480="","",IFERROR(VLOOKUP(O480,CODIGO_DIAGNOSTICO,2,0),"CÓDIGO NO ENCONTRADO"))</f>
        <v>OTRAS ENTERITIS VIRALES</v>
      </c>
      <c r="Q480" s="62" t="s">
        <v>19230</v>
      </c>
      <c r="R480" s="64">
        <v>0</v>
      </c>
      <c r="S480" s="75"/>
      <c r="T480" s="75"/>
      <c r="U480" s="65">
        <f>SUM(W480/30)</f>
        <v>42400.166666666664</v>
      </c>
      <c r="V480" s="62" t="s">
        <v>25941</v>
      </c>
      <c r="W480" s="65">
        <v>1272005</v>
      </c>
      <c r="X480" s="62">
        <v>0</v>
      </c>
      <c r="Y480" s="65">
        <v>84800</v>
      </c>
      <c r="Z480" s="73"/>
    </row>
    <row r="481" spans="1:26" ht="15.75" hidden="1" customHeight="1" x14ac:dyDescent="0.25">
      <c r="A481" s="67">
        <v>10</v>
      </c>
      <c r="B481" s="68">
        <v>15309929</v>
      </c>
      <c r="C481" s="68" t="s">
        <v>25011</v>
      </c>
      <c r="D481" s="68" t="s">
        <v>25012</v>
      </c>
      <c r="E481" s="68" t="s">
        <v>25013</v>
      </c>
      <c r="F481" s="68" t="s">
        <v>25014</v>
      </c>
      <c r="G481" s="81" t="s">
        <v>19285</v>
      </c>
      <c r="H481" s="69">
        <v>45218</v>
      </c>
      <c r="I481" s="69">
        <v>45232</v>
      </c>
      <c r="J481" s="68">
        <v>15</v>
      </c>
      <c r="K481" s="68">
        <v>15</v>
      </c>
      <c r="L481" s="68" t="s">
        <v>19262</v>
      </c>
      <c r="M481" s="68" t="s">
        <v>24995</v>
      </c>
      <c r="N481" s="62" t="s">
        <v>19269</v>
      </c>
      <c r="O481" s="68" t="s">
        <v>7734</v>
      </c>
      <c r="P481" s="42" t="str">
        <f>+IF(O481="","",IFERROR(VLOOKUP(O481,CODIGO_DIAGNOSTICO,2,0),"CÓDIGO NO ENCONTRADO"))</f>
        <v>DESGARRO DE MENISCOS, PRESENTE</v>
      </c>
      <c r="Q481" s="68" t="s">
        <v>19230</v>
      </c>
      <c r="R481" s="67">
        <v>8739338</v>
      </c>
      <c r="S481" s="77">
        <v>45230</v>
      </c>
      <c r="T481" s="76"/>
      <c r="U481" s="65">
        <f>SUM(W481/30)</f>
        <v>42400.166666666664</v>
      </c>
      <c r="V481" s="68" t="s">
        <v>25941</v>
      </c>
      <c r="W481" s="70">
        <v>1272005</v>
      </c>
      <c r="X481" s="68">
        <v>0</v>
      </c>
      <c r="Y481" s="70">
        <v>84800</v>
      </c>
      <c r="Z481" s="72"/>
    </row>
    <row r="482" spans="1:26" ht="15.75" hidden="1" customHeight="1" x14ac:dyDescent="0.25">
      <c r="A482" s="64">
        <v>10</v>
      </c>
      <c r="B482" s="62">
        <v>11936325</v>
      </c>
      <c r="C482" s="62" t="s">
        <v>25105</v>
      </c>
      <c r="D482" s="62" t="s">
        <v>25343</v>
      </c>
      <c r="E482" s="62" t="s">
        <v>25183</v>
      </c>
      <c r="F482" s="62" t="s">
        <v>25185</v>
      </c>
      <c r="G482" s="81" t="s">
        <v>19285</v>
      </c>
      <c r="H482" s="63">
        <v>45219</v>
      </c>
      <c r="I482" s="63">
        <v>45226</v>
      </c>
      <c r="J482" s="62">
        <v>8</v>
      </c>
      <c r="K482" s="62">
        <v>8</v>
      </c>
      <c r="L482" s="62" t="s">
        <v>24995</v>
      </c>
      <c r="M482" s="62" t="s">
        <v>24995</v>
      </c>
      <c r="N482" s="62" t="s">
        <v>19269</v>
      </c>
      <c r="O482" s="62" t="s">
        <v>7786</v>
      </c>
      <c r="P482" s="42" t="str">
        <f>+IF(O482="","",IFERROR(VLOOKUP(O482,CODIGO_DIAGNOSTICO,2,0),"CÓDIGO NO ENCONTRADO"))</f>
        <v>FRACTURA DE LOS HUESOS DEL DEDO GORDO DEL PIE</v>
      </c>
      <c r="Q482" s="62" t="s">
        <v>19230</v>
      </c>
      <c r="R482" s="64">
        <v>8729268</v>
      </c>
      <c r="S482" s="75">
        <v>45223</v>
      </c>
      <c r="T482" s="75">
        <v>45230</v>
      </c>
      <c r="U482" s="65">
        <f>SUM(W482/30)</f>
        <v>42400.166666666664</v>
      </c>
      <c r="V482" s="62" t="s">
        <v>25941</v>
      </c>
      <c r="W482" s="65">
        <v>1272005</v>
      </c>
      <c r="X482" s="62">
        <v>0</v>
      </c>
      <c r="Y482" s="65">
        <v>84800</v>
      </c>
      <c r="Z482" s="73"/>
    </row>
    <row r="483" spans="1:26" ht="15.75" hidden="1" customHeight="1" x14ac:dyDescent="0.25">
      <c r="A483" s="67">
        <v>10</v>
      </c>
      <c r="B483" s="68">
        <v>94262650</v>
      </c>
      <c r="C483" s="68" t="s">
        <v>25348</v>
      </c>
      <c r="D483" s="68" t="s">
        <v>24983</v>
      </c>
      <c r="E483" s="68" t="s">
        <v>25168</v>
      </c>
      <c r="F483" s="68" t="s">
        <v>25994</v>
      </c>
      <c r="G483" s="81" t="s">
        <v>19285</v>
      </c>
      <c r="H483" s="69">
        <v>45219</v>
      </c>
      <c r="I483" s="69">
        <v>45221</v>
      </c>
      <c r="J483" s="68">
        <v>3</v>
      </c>
      <c r="K483" s="68">
        <v>3</v>
      </c>
      <c r="L483" s="68" t="s">
        <v>24995</v>
      </c>
      <c r="M483" s="68" t="s">
        <v>24995</v>
      </c>
      <c r="N483" s="62" t="s">
        <v>19269</v>
      </c>
      <c r="O483" s="68" t="s">
        <v>4838</v>
      </c>
      <c r="P483" s="42" t="str">
        <f>+IF(O483="","",IFERROR(VLOOKUP(O483,CODIGO_DIAGNOSTICO,2,0),"CÓDIGO NO ENCONTRADO"))</f>
        <v>LUMBAGO NO ESPECIFICADO</v>
      </c>
      <c r="Q483" s="68" t="s">
        <v>19230</v>
      </c>
      <c r="R483" s="67">
        <v>8760380</v>
      </c>
      <c r="S483" s="77">
        <v>45238</v>
      </c>
      <c r="T483" s="76">
        <v>45253</v>
      </c>
      <c r="U483" s="65">
        <f>SUM(W483/30)</f>
        <v>42400.166666666664</v>
      </c>
      <c r="V483" s="68" t="s">
        <v>25941</v>
      </c>
      <c r="W483" s="70">
        <v>1272005</v>
      </c>
      <c r="X483" s="68">
        <v>0</v>
      </c>
      <c r="Y483" s="70">
        <v>84800</v>
      </c>
      <c r="Z483" s="72"/>
    </row>
    <row r="484" spans="1:26" ht="15.75" hidden="1" customHeight="1" x14ac:dyDescent="0.25">
      <c r="A484" s="64">
        <v>10</v>
      </c>
      <c r="B484" s="62">
        <v>94262650</v>
      </c>
      <c r="C484" s="62" t="s">
        <v>25348</v>
      </c>
      <c r="D484" s="62" t="s">
        <v>24983</v>
      </c>
      <c r="E484" s="62" t="s">
        <v>25168</v>
      </c>
      <c r="F484" s="62" t="s">
        <v>25994</v>
      </c>
      <c r="G484" s="81" t="s">
        <v>19285</v>
      </c>
      <c r="H484" s="63">
        <v>45219</v>
      </c>
      <c r="I484" s="63">
        <v>45221</v>
      </c>
      <c r="J484" s="62">
        <v>3</v>
      </c>
      <c r="K484" s="62">
        <v>3</v>
      </c>
      <c r="L484" s="62" t="s">
        <v>24995</v>
      </c>
      <c r="M484" s="62" t="s">
        <v>24995</v>
      </c>
      <c r="N484" s="62" t="s">
        <v>19269</v>
      </c>
      <c r="O484" s="62" t="s">
        <v>4838</v>
      </c>
      <c r="P484" s="42" t="str">
        <f>+IF(O484="","",IFERROR(VLOOKUP(O484,CODIGO_DIAGNOSTICO,2,0),"CÓDIGO NO ENCONTRADO"))</f>
        <v>LUMBAGO NO ESPECIFICADO</v>
      </c>
      <c r="Q484" s="62" t="s">
        <v>19230</v>
      </c>
      <c r="R484" s="64"/>
      <c r="S484" s="75">
        <v>45238</v>
      </c>
      <c r="T484" s="75"/>
      <c r="U484" s="65">
        <f>SUM(W484/30)</f>
        <v>42400.166666666664</v>
      </c>
      <c r="V484" s="62" t="s">
        <v>25941</v>
      </c>
      <c r="W484" s="65">
        <v>1272005</v>
      </c>
      <c r="X484" s="62">
        <v>0</v>
      </c>
      <c r="Y484" s="65">
        <v>84800</v>
      </c>
      <c r="Z484" s="73"/>
    </row>
    <row r="485" spans="1:26" ht="15.75" hidden="1" customHeight="1" x14ac:dyDescent="0.25">
      <c r="A485" s="67">
        <v>10</v>
      </c>
      <c r="B485" s="68">
        <v>71193583</v>
      </c>
      <c r="C485" s="68" t="s">
        <v>25044</v>
      </c>
      <c r="D485" s="68" t="s">
        <v>25373</v>
      </c>
      <c r="E485" s="68" t="s">
        <v>25282</v>
      </c>
      <c r="F485" s="68" t="s">
        <v>25283</v>
      </c>
      <c r="G485" s="81" t="s">
        <v>19285</v>
      </c>
      <c r="H485" s="69">
        <v>45219</v>
      </c>
      <c r="I485" s="69">
        <v>45220</v>
      </c>
      <c r="J485" s="68">
        <v>2</v>
      </c>
      <c r="K485" s="68">
        <v>2</v>
      </c>
      <c r="L485" s="68" t="s">
        <v>19262</v>
      </c>
      <c r="M485" s="68" t="s">
        <v>25995</v>
      </c>
      <c r="N485" s="62" t="s">
        <v>19269</v>
      </c>
      <c r="O485" s="68" t="s">
        <v>88</v>
      </c>
      <c r="P485" s="42" t="str">
        <f>+IF(O485="","",IFERROR(VLOOKUP(O485,CODIGO_DIAGNOSTICO,2,0),"CÓDIGO NO ENCONTRADO"))</f>
        <v>DIARREA Y GASTROENTERITIS DE PRESUNTO ORIGEN INFECCIOSO</v>
      </c>
      <c r="Q485" s="68" t="s">
        <v>19230</v>
      </c>
      <c r="R485" s="67"/>
      <c r="S485" s="77">
        <v>45238</v>
      </c>
      <c r="T485" s="76">
        <v>45239</v>
      </c>
      <c r="U485" s="65">
        <f>SUM(W485/30)</f>
        <v>42400.166666666664</v>
      </c>
      <c r="V485" s="68" t="s">
        <v>25941</v>
      </c>
      <c r="W485" s="70">
        <v>1272005</v>
      </c>
      <c r="X485" s="68">
        <v>0</v>
      </c>
      <c r="Y485" s="70">
        <v>84800</v>
      </c>
      <c r="Z485" s="72"/>
    </row>
    <row r="486" spans="1:26" ht="15.75" hidden="1" customHeight="1" x14ac:dyDescent="0.25">
      <c r="A486" s="64">
        <v>10</v>
      </c>
      <c r="B486" s="62">
        <v>98648701</v>
      </c>
      <c r="C486" s="62" t="s">
        <v>25553</v>
      </c>
      <c r="D486" s="62" t="s">
        <v>25426</v>
      </c>
      <c r="E486" s="62" t="s">
        <v>25221</v>
      </c>
      <c r="F486" s="62" t="s">
        <v>25554</v>
      </c>
      <c r="G486" s="81" t="s">
        <v>19285</v>
      </c>
      <c r="H486" s="63">
        <v>45220</v>
      </c>
      <c r="I486" s="63">
        <v>45222</v>
      </c>
      <c r="J486" s="62">
        <v>3</v>
      </c>
      <c r="K486" s="62">
        <v>3</v>
      </c>
      <c r="L486" s="62" t="s">
        <v>24995</v>
      </c>
      <c r="M486" s="62" t="s">
        <v>24995</v>
      </c>
      <c r="N486" s="62" t="s">
        <v>19269</v>
      </c>
      <c r="O486" s="62" t="s">
        <v>4650</v>
      </c>
      <c r="P486" s="42" t="str">
        <f>+IF(O486="","",IFERROR(VLOOKUP(O486,CODIGO_DIAGNOSTICO,2,0),"CÓDIGO NO ENCONTRADO"))</f>
        <v>GONARTROSIS, NO ESPECIFICADA</v>
      </c>
      <c r="Q486" s="62" t="s">
        <v>19230</v>
      </c>
      <c r="R486" s="64"/>
      <c r="S486" s="75">
        <v>45229</v>
      </c>
      <c r="T486" s="75">
        <v>45244</v>
      </c>
      <c r="U486" s="65">
        <f>SUM(W486/30)</f>
        <v>42400.166666666664</v>
      </c>
      <c r="V486" s="62" t="s">
        <v>25941</v>
      </c>
      <c r="W486" s="65">
        <v>1272005</v>
      </c>
      <c r="X486" s="62">
        <v>0</v>
      </c>
      <c r="Y486" s="65">
        <v>84800</v>
      </c>
      <c r="Z486" s="73"/>
    </row>
    <row r="487" spans="1:26" ht="15.75" hidden="1" customHeight="1" x14ac:dyDescent="0.25">
      <c r="A487" s="67">
        <v>10</v>
      </c>
      <c r="B487" s="68">
        <v>70323164</v>
      </c>
      <c r="C487" s="68" t="s">
        <v>24992</v>
      </c>
      <c r="D487" s="68" t="s">
        <v>24985</v>
      </c>
      <c r="E487" s="68" t="s">
        <v>25188</v>
      </c>
      <c r="F487" s="68" t="s">
        <v>25996</v>
      </c>
      <c r="G487" s="81" t="s">
        <v>19285</v>
      </c>
      <c r="H487" s="69">
        <v>45221</v>
      </c>
      <c r="I487" s="69">
        <v>45223</v>
      </c>
      <c r="J487" s="68">
        <v>3</v>
      </c>
      <c r="K487" s="68">
        <v>3</v>
      </c>
      <c r="L487" s="68" t="s">
        <v>19262</v>
      </c>
      <c r="M487" s="68" t="s">
        <v>24995</v>
      </c>
      <c r="N487" s="62" t="s">
        <v>19269</v>
      </c>
      <c r="O487" s="68" t="s">
        <v>3693</v>
      </c>
      <c r="P487" s="42" t="str">
        <f>+IF(O487="","",IFERROR(VLOOKUP(O487,CODIGO_DIAGNOSTICO,2,0),"CÓDIGO NO ENCONTRADO"))</f>
        <v>ENFERMEDAD PULMONAR OBSTRUCTIVA CRONICA, NO ESPECIFICADA</v>
      </c>
      <c r="Q487" s="68" t="s">
        <v>19230</v>
      </c>
      <c r="R487" s="67">
        <v>8739326</v>
      </c>
      <c r="S487" s="77">
        <v>45230</v>
      </c>
      <c r="T487" s="76">
        <v>45230</v>
      </c>
      <c r="U487" s="65">
        <f>SUM(W487/30)</f>
        <v>42400.166666666664</v>
      </c>
      <c r="V487" s="68" t="s">
        <v>25941</v>
      </c>
      <c r="W487" s="70">
        <v>1272005</v>
      </c>
      <c r="X487" s="68">
        <v>0</v>
      </c>
      <c r="Y487" s="70">
        <v>84800</v>
      </c>
      <c r="Z487" s="72"/>
    </row>
    <row r="488" spans="1:26" ht="15.75" hidden="1" customHeight="1" x14ac:dyDescent="0.25">
      <c r="A488" s="64">
        <v>10</v>
      </c>
      <c r="B488" s="62">
        <v>71721292</v>
      </c>
      <c r="C488" s="62" t="s">
        <v>25181</v>
      </c>
      <c r="D488" s="62" t="s">
        <v>25181</v>
      </c>
      <c r="E488" s="62" t="s">
        <v>25292</v>
      </c>
      <c r="F488" s="62" t="s">
        <v>25023</v>
      </c>
      <c r="G488" s="81" t="s">
        <v>19285</v>
      </c>
      <c r="H488" s="63">
        <v>45221</v>
      </c>
      <c r="I488" s="63">
        <v>45250</v>
      </c>
      <c r="J488" s="62">
        <v>30</v>
      </c>
      <c r="K488" s="62">
        <v>30</v>
      </c>
      <c r="L488" s="62" t="s">
        <v>19262</v>
      </c>
      <c r="M488" s="62" t="s">
        <v>24995</v>
      </c>
      <c r="N488" s="62" t="s">
        <v>19269</v>
      </c>
      <c r="O488" s="62" t="s">
        <v>7682</v>
      </c>
      <c r="P488" s="42" t="str">
        <f>+IF(O488="","",IFERROR(VLOOKUP(O488,CODIGO_DIAGNOSTICO,2,0),"CÓDIGO NO ENCONTRADO"))</f>
        <v>FRACTURA DE OTRAS PARTES DEL FEMUR</v>
      </c>
      <c r="Q488" s="62" t="s">
        <v>19232</v>
      </c>
      <c r="R488" s="64"/>
      <c r="S488" s="75">
        <v>45244</v>
      </c>
      <c r="T488" s="75"/>
      <c r="U488" s="65">
        <f>SUM(W488/30)</f>
        <v>42400.166666666664</v>
      </c>
      <c r="V488" s="62" t="s">
        <v>25941</v>
      </c>
      <c r="W488" s="65">
        <v>1272005</v>
      </c>
      <c r="X488" s="62">
        <v>0</v>
      </c>
      <c r="Y488" s="65">
        <v>84800</v>
      </c>
      <c r="Z488" s="73"/>
    </row>
    <row r="489" spans="1:26" ht="15.75" hidden="1" customHeight="1" x14ac:dyDescent="0.25">
      <c r="A489" s="67">
        <v>10</v>
      </c>
      <c r="B489" s="68">
        <v>71676289</v>
      </c>
      <c r="C489" s="68" t="s">
        <v>25015</v>
      </c>
      <c r="D489" s="68" t="s">
        <v>25012</v>
      </c>
      <c r="E489" s="68" t="s">
        <v>25920</v>
      </c>
      <c r="F489" s="68" t="s">
        <v>25004</v>
      </c>
      <c r="G489" s="81" t="s">
        <v>19285</v>
      </c>
      <c r="H489" s="69">
        <v>45222</v>
      </c>
      <c r="I489" s="69">
        <v>45235</v>
      </c>
      <c r="J489" s="68">
        <v>14</v>
      </c>
      <c r="K489" s="68">
        <v>14</v>
      </c>
      <c r="L489" s="68" t="s">
        <v>19262</v>
      </c>
      <c r="M489" s="68" t="s">
        <v>24995</v>
      </c>
      <c r="N489" s="62" t="s">
        <v>19269</v>
      </c>
      <c r="O489" s="68" t="s">
        <v>7822</v>
      </c>
      <c r="P489" s="42" t="str">
        <f>+IF(O489="","",IFERROR(VLOOKUP(O489,CODIGO_DIAGNOSTICO,2,0),"CÓDIGO NO ENCONTRADO"))</f>
        <v>AMPUTACION TRAUMATICA DE OTRAS PARTES DEL PIE</v>
      </c>
      <c r="Q489" s="68" t="s">
        <v>19230</v>
      </c>
      <c r="R489" s="67">
        <v>8739310</v>
      </c>
      <c r="S489" s="77">
        <v>45230</v>
      </c>
      <c r="T489" s="76"/>
      <c r="U489" s="65">
        <f>SUM(W489/30)</f>
        <v>42400.166666666664</v>
      </c>
      <c r="V489" s="68" t="s">
        <v>25941</v>
      </c>
      <c r="W489" s="70">
        <v>1272005</v>
      </c>
      <c r="X489" s="68">
        <v>0</v>
      </c>
      <c r="Y489" s="70">
        <v>84800</v>
      </c>
      <c r="Z489" s="72"/>
    </row>
    <row r="490" spans="1:26" ht="15.75" hidden="1" customHeight="1" x14ac:dyDescent="0.25">
      <c r="A490" s="64">
        <v>10</v>
      </c>
      <c r="B490" s="62">
        <v>70323164</v>
      </c>
      <c r="C490" s="62" t="s">
        <v>24992</v>
      </c>
      <c r="D490" s="62" t="s">
        <v>24985</v>
      </c>
      <c r="E490" s="62" t="s">
        <v>25091</v>
      </c>
      <c r="F490" s="62" t="s">
        <v>25997</v>
      </c>
      <c r="G490" s="81" t="s">
        <v>19285</v>
      </c>
      <c r="H490" s="63">
        <v>45224</v>
      </c>
      <c r="I490" s="63">
        <v>45253</v>
      </c>
      <c r="J490" s="62">
        <v>30</v>
      </c>
      <c r="K490" s="62">
        <v>30</v>
      </c>
      <c r="L490" s="62" t="s">
        <v>19262</v>
      </c>
      <c r="M490" s="62" t="s">
        <v>24995</v>
      </c>
      <c r="N490" s="62" t="s">
        <v>19269</v>
      </c>
      <c r="O490" s="62" t="s">
        <v>3693</v>
      </c>
      <c r="P490" s="42" t="str">
        <f>+IF(O490="","",IFERROR(VLOOKUP(O490,CODIGO_DIAGNOSTICO,2,0),"CÓDIGO NO ENCONTRADO"))</f>
        <v>ENFERMEDAD PULMONAR OBSTRUCTIVA CRONICA, NO ESPECIFICADA</v>
      </c>
      <c r="Q490" s="62" t="s">
        <v>19230</v>
      </c>
      <c r="R490" s="64">
        <v>8729278</v>
      </c>
      <c r="S490" s="75">
        <v>45226</v>
      </c>
      <c r="T490" s="75">
        <v>45230</v>
      </c>
      <c r="U490" s="65">
        <f>SUM(W490/30)</f>
        <v>42400.166666666664</v>
      </c>
      <c r="V490" s="62" t="s">
        <v>25941</v>
      </c>
      <c r="W490" s="65">
        <v>1272005</v>
      </c>
      <c r="X490" s="62">
        <v>0</v>
      </c>
      <c r="Y490" s="65">
        <v>84800</v>
      </c>
      <c r="Z490" s="73"/>
    </row>
    <row r="491" spans="1:26" ht="15.75" hidden="1" customHeight="1" x14ac:dyDescent="0.25">
      <c r="A491" s="67">
        <v>10</v>
      </c>
      <c r="B491" s="68">
        <v>1040043423</v>
      </c>
      <c r="C491" s="68" t="s">
        <v>25733</v>
      </c>
      <c r="D491" s="68" t="s">
        <v>25358</v>
      </c>
      <c r="E491" s="68" t="s">
        <v>25020</v>
      </c>
      <c r="F491" s="68"/>
      <c r="G491" s="81" t="s">
        <v>19285</v>
      </c>
      <c r="H491" s="69">
        <v>45224</v>
      </c>
      <c r="I491" s="69">
        <v>45228</v>
      </c>
      <c r="J491" s="68">
        <v>5</v>
      </c>
      <c r="K491" s="68">
        <v>5</v>
      </c>
      <c r="L491" s="68" t="s">
        <v>24995</v>
      </c>
      <c r="M491" s="68" t="s">
        <v>24995</v>
      </c>
      <c r="N491" s="62" t="s">
        <v>19263</v>
      </c>
      <c r="O491" s="68" t="s">
        <v>7492</v>
      </c>
      <c r="P491" s="42" t="str">
        <f>+IF(O491="","",IFERROR(VLOOKUP(O491,CODIGO_DIAGNOSTICO,2,0),"CÓDIGO NO ENCONTRADO"))</f>
        <v>CONTUSION DEL HOMBRO Y DEL BRAZO</v>
      </c>
      <c r="Q491" s="68" t="s">
        <v>25001</v>
      </c>
      <c r="R491" s="67">
        <v>30488197</v>
      </c>
      <c r="S491" s="77">
        <v>45230</v>
      </c>
      <c r="T491" s="76">
        <v>45237</v>
      </c>
      <c r="U491" s="65">
        <f>SUM(W491/30)*J491</f>
        <v>212000.83333333331</v>
      </c>
      <c r="V491" s="68" t="s">
        <v>25941</v>
      </c>
      <c r="W491" s="70">
        <v>1272005</v>
      </c>
      <c r="X491" s="68">
        <v>0</v>
      </c>
      <c r="Y491" s="70">
        <v>0</v>
      </c>
      <c r="Z491" s="72"/>
    </row>
    <row r="492" spans="1:26" ht="15.75" hidden="1" customHeight="1" x14ac:dyDescent="0.25">
      <c r="A492" s="64">
        <v>10</v>
      </c>
      <c r="B492" s="62">
        <v>11801545</v>
      </c>
      <c r="C492" s="62" t="s">
        <v>25998</v>
      </c>
      <c r="D492" s="62" t="s">
        <v>25999</v>
      </c>
      <c r="E492" s="62" t="s">
        <v>26000</v>
      </c>
      <c r="F492" s="62"/>
      <c r="G492" s="81" t="s">
        <v>19285</v>
      </c>
      <c r="H492" s="63">
        <v>45226</v>
      </c>
      <c r="I492" s="63">
        <v>45226</v>
      </c>
      <c r="J492" s="62">
        <v>1</v>
      </c>
      <c r="K492" s="62">
        <v>1</v>
      </c>
      <c r="L492" s="62" t="s">
        <v>24995</v>
      </c>
      <c r="M492" s="62" t="s">
        <v>24995</v>
      </c>
      <c r="N492" s="62" t="s">
        <v>19269</v>
      </c>
      <c r="O492" s="62" t="s">
        <v>6929</v>
      </c>
      <c r="P492" s="42" t="str">
        <f>+IF(O492="","",IFERROR(VLOOKUP(O492,CODIGO_DIAGNOSTICO,2,0),"CÓDIGO NO ENCONTRADO"))</f>
        <v>DOLOR EN EL PECHO, NO ESPECIFICADO</v>
      </c>
      <c r="Q492" s="62" t="s">
        <v>26152</v>
      </c>
      <c r="R492" s="64">
        <v>0</v>
      </c>
      <c r="S492" s="75">
        <v>45238</v>
      </c>
      <c r="T492" s="75"/>
      <c r="U492" s="65">
        <f>SUM(W492/30)</f>
        <v>42400.166666666664</v>
      </c>
      <c r="V492" s="62" t="s">
        <v>25941</v>
      </c>
      <c r="W492" s="65">
        <v>1272005</v>
      </c>
      <c r="X492" s="62">
        <v>0</v>
      </c>
      <c r="Y492" s="65">
        <v>84800</v>
      </c>
      <c r="Z492" s="73"/>
    </row>
    <row r="493" spans="1:26" ht="15.75" hidden="1" customHeight="1" x14ac:dyDescent="0.25">
      <c r="A493" s="67">
        <v>10</v>
      </c>
      <c r="B493" s="68">
        <v>71686928</v>
      </c>
      <c r="C493" s="68" t="s">
        <v>25149</v>
      </c>
      <c r="D493" s="68" t="s">
        <v>25114</v>
      </c>
      <c r="E493" s="68" t="s">
        <v>25830</v>
      </c>
      <c r="F493" s="68" t="s">
        <v>25151</v>
      </c>
      <c r="G493" s="81" t="s">
        <v>19285</v>
      </c>
      <c r="H493" s="69">
        <v>45230</v>
      </c>
      <c r="I493" s="69">
        <v>45237</v>
      </c>
      <c r="J493" s="68">
        <v>8</v>
      </c>
      <c r="K493" s="68">
        <v>8</v>
      </c>
      <c r="L493" s="68" t="s">
        <v>19262</v>
      </c>
      <c r="M493" s="68" t="s">
        <v>24995</v>
      </c>
      <c r="N493" s="62" t="s">
        <v>19269</v>
      </c>
      <c r="O493" s="68" t="s">
        <v>7723</v>
      </c>
      <c r="P493" s="42" t="str">
        <f>+IF(O493="","",IFERROR(VLOOKUP(O493,CODIGO_DIAGNOSTICO,2,0),"CÓDIGO NO ENCONTRADO"))</f>
        <v>FRACTURA DE LA EPIFISIS SUPERIOR DE LA TIBIA</v>
      </c>
      <c r="Q493" s="68" t="s">
        <v>19230</v>
      </c>
      <c r="R493" s="67">
        <v>8800036</v>
      </c>
      <c r="S493" s="77">
        <v>45251</v>
      </c>
      <c r="T493" s="76">
        <v>45265</v>
      </c>
      <c r="U493" s="65">
        <f>SUM(W493/30)</f>
        <v>42400.166666666664</v>
      </c>
      <c r="V493" s="68" t="s">
        <v>25941</v>
      </c>
      <c r="W493" s="70">
        <v>1272005</v>
      </c>
      <c r="X493" s="68">
        <v>0</v>
      </c>
      <c r="Y493" s="70">
        <v>84800</v>
      </c>
      <c r="Z493" s="72"/>
    </row>
    <row r="494" spans="1:26" ht="15.75" hidden="1" customHeight="1" x14ac:dyDescent="0.25">
      <c r="A494" s="64">
        <v>11</v>
      </c>
      <c r="B494" s="62">
        <v>15309929</v>
      </c>
      <c r="C494" s="62" t="s">
        <v>25011</v>
      </c>
      <c r="D494" s="62" t="s">
        <v>25012</v>
      </c>
      <c r="E494" s="62" t="s">
        <v>25048</v>
      </c>
      <c r="F494" s="62" t="s">
        <v>25215</v>
      </c>
      <c r="G494" s="81" t="s">
        <v>19285</v>
      </c>
      <c r="H494" s="63">
        <v>45233</v>
      </c>
      <c r="I494" s="63">
        <v>45247</v>
      </c>
      <c r="J494" s="62">
        <v>15</v>
      </c>
      <c r="K494" s="62">
        <v>15</v>
      </c>
      <c r="L494" s="62" t="s">
        <v>19262</v>
      </c>
      <c r="M494" s="62" t="s">
        <v>24995</v>
      </c>
      <c r="N494" s="62" t="s">
        <v>19269</v>
      </c>
      <c r="O494" s="62" t="s">
        <v>7734</v>
      </c>
      <c r="P494" s="42" t="str">
        <f>+IF(O494="","",IFERROR(VLOOKUP(O494,CODIGO_DIAGNOSTICO,2,0),"CÓDIGO NO ENCONTRADO"))</f>
        <v>DESGARRO DE MENISCOS, PRESENTE</v>
      </c>
      <c r="Q494" s="62" t="s">
        <v>19230</v>
      </c>
      <c r="R494" s="64">
        <v>8872034</v>
      </c>
      <c r="S494" s="75"/>
      <c r="T494" s="75"/>
      <c r="U494" s="65">
        <f>SUM(W494/30)</f>
        <v>42400.166666666664</v>
      </c>
      <c r="V494" s="62" t="s">
        <v>25941</v>
      </c>
      <c r="W494" s="65">
        <v>1272005</v>
      </c>
      <c r="X494" s="62">
        <v>0</v>
      </c>
      <c r="Y494" s="65">
        <v>84800</v>
      </c>
      <c r="Z494" s="73"/>
    </row>
    <row r="495" spans="1:26" ht="15.75" hidden="1" customHeight="1" x14ac:dyDescent="0.25">
      <c r="A495" s="67">
        <v>11</v>
      </c>
      <c r="B495" s="68">
        <v>14572160</v>
      </c>
      <c r="C495" s="68" t="s">
        <v>25073</v>
      </c>
      <c r="D495" s="68" t="s">
        <v>25756</v>
      </c>
      <c r="E495" s="68" t="s">
        <v>25522</v>
      </c>
      <c r="F495" s="68" t="s">
        <v>25135</v>
      </c>
      <c r="G495" s="81" t="s">
        <v>19285</v>
      </c>
      <c r="H495" s="69">
        <v>45235</v>
      </c>
      <c r="I495" s="69">
        <v>45236</v>
      </c>
      <c r="J495" s="68">
        <v>2</v>
      </c>
      <c r="K495" s="68">
        <v>2</v>
      </c>
      <c r="L495" s="68" t="s">
        <v>24995</v>
      </c>
      <c r="M495" s="68" t="s">
        <v>24995</v>
      </c>
      <c r="N495" s="62" t="s">
        <v>19269</v>
      </c>
      <c r="O495" s="68" t="s">
        <v>85</v>
      </c>
      <c r="P495" s="42" t="str">
        <f>+IF(O495="","",IFERROR(VLOOKUP(O495,CODIGO_DIAGNOSTICO,2,0),"CÓDIGO NO ENCONTRADO"))</f>
        <v>OTRAS ENTERITIS VIRALES</v>
      </c>
      <c r="Q495" s="68" t="s">
        <v>19230</v>
      </c>
      <c r="R495" s="67">
        <v>0</v>
      </c>
      <c r="S495" s="77"/>
      <c r="T495" s="76"/>
      <c r="U495" s="65">
        <f>SUM(W495/30)</f>
        <v>42400.166666666664</v>
      </c>
      <c r="V495" s="68" t="s">
        <v>25941</v>
      </c>
      <c r="W495" s="70">
        <v>1272005</v>
      </c>
      <c r="X495" s="68">
        <v>0</v>
      </c>
      <c r="Y495" s="70">
        <v>84800</v>
      </c>
      <c r="Z495" s="72"/>
    </row>
    <row r="496" spans="1:26" ht="15.75" hidden="1" customHeight="1" x14ac:dyDescent="0.25">
      <c r="A496" s="64">
        <v>11</v>
      </c>
      <c r="B496" s="62">
        <v>71676289</v>
      </c>
      <c r="C496" s="62" t="s">
        <v>25015</v>
      </c>
      <c r="D496" s="62" t="s">
        <v>25012</v>
      </c>
      <c r="E496" s="62" t="s">
        <v>25920</v>
      </c>
      <c r="F496" s="62" t="s">
        <v>25004</v>
      </c>
      <c r="G496" s="81" t="s">
        <v>19285</v>
      </c>
      <c r="H496" s="63">
        <v>45236</v>
      </c>
      <c r="I496" s="63">
        <v>45249</v>
      </c>
      <c r="J496" s="62">
        <v>14</v>
      </c>
      <c r="K496" s="62">
        <v>14</v>
      </c>
      <c r="L496" s="62" t="s">
        <v>19262</v>
      </c>
      <c r="M496" s="62" t="s">
        <v>24995</v>
      </c>
      <c r="N496" s="62" t="s">
        <v>19269</v>
      </c>
      <c r="O496" s="62" t="s">
        <v>7822</v>
      </c>
      <c r="P496" s="42" t="str">
        <f>+IF(O496="","",IFERROR(VLOOKUP(O496,CODIGO_DIAGNOSTICO,2,0),"CÓDIGO NO ENCONTRADO"))</f>
        <v>AMPUTACION TRAUMATICA DE OTRAS PARTES DEL PIE</v>
      </c>
      <c r="Q496" s="62" t="s">
        <v>19230</v>
      </c>
      <c r="R496" s="64"/>
      <c r="S496" s="75">
        <v>45237</v>
      </c>
      <c r="T496" s="75"/>
      <c r="U496" s="65">
        <f>SUM(W496/30)</f>
        <v>42400.166666666664</v>
      </c>
      <c r="V496" s="62" t="s">
        <v>25941</v>
      </c>
      <c r="W496" s="65">
        <v>1272005</v>
      </c>
      <c r="X496" s="62">
        <v>0</v>
      </c>
      <c r="Y496" s="65">
        <v>84800</v>
      </c>
      <c r="Z496" s="73"/>
    </row>
    <row r="497" spans="1:26" ht="15.75" hidden="1" customHeight="1" x14ac:dyDescent="0.25">
      <c r="A497" s="67">
        <v>8</v>
      </c>
      <c r="B497" s="68">
        <v>98601485</v>
      </c>
      <c r="C497" s="68" t="s">
        <v>25240</v>
      </c>
      <c r="D497" s="68"/>
      <c r="E497" s="68" t="s">
        <v>25613</v>
      </c>
      <c r="F497" s="68" t="s">
        <v>25103</v>
      </c>
      <c r="G497" s="81" t="s">
        <v>19285</v>
      </c>
      <c r="H497" s="69">
        <v>45238</v>
      </c>
      <c r="I497" s="69">
        <v>45267</v>
      </c>
      <c r="J497" s="68">
        <v>30</v>
      </c>
      <c r="K497" s="68">
        <v>30</v>
      </c>
      <c r="L497" s="68" t="s">
        <v>19262</v>
      </c>
      <c r="M497" s="68" t="s">
        <v>24995</v>
      </c>
      <c r="N497" s="62" t="s">
        <v>19269</v>
      </c>
      <c r="O497" s="68" t="s">
        <v>4650</v>
      </c>
      <c r="P497" s="42" t="str">
        <f>+IF(O497="","",IFERROR(VLOOKUP(O497,CODIGO_DIAGNOSTICO,2,0),"CÓDIGO NO ENCONTRADO"))</f>
        <v>GONARTROSIS, NO ESPECIFICADA</v>
      </c>
      <c r="Q497" s="68" t="s">
        <v>19230</v>
      </c>
      <c r="R497" s="67"/>
      <c r="S497" s="77">
        <v>45247</v>
      </c>
      <c r="T497" s="76"/>
      <c r="U497" s="65">
        <f>SUM(W497/30)</f>
        <v>42400.166666666664</v>
      </c>
      <c r="V497" s="68" t="s">
        <v>25941</v>
      </c>
      <c r="W497" s="70">
        <v>1272005</v>
      </c>
      <c r="X497" s="68">
        <v>0</v>
      </c>
      <c r="Y497" s="70">
        <v>84800</v>
      </c>
      <c r="Z497" s="72"/>
    </row>
    <row r="498" spans="1:26" ht="15.75" hidden="1" customHeight="1" x14ac:dyDescent="0.25">
      <c r="A498" s="64">
        <v>11</v>
      </c>
      <c r="B498" s="62">
        <v>71686928</v>
      </c>
      <c r="C498" s="62" t="s">
        <v>25149</v>
      </c>
      <c r="D498" s="62" t="s">
        <v>25114</v>
      </c>
      <c r="E498" s="62" t="s">
        <v>25830</v>
      </c>
      <c r="F498" s="62" t="s">
        <v>25151</v>
      </c>
      <c r="G498" s="81" t="s">
        <v>19285</v>
      </c>
      <c r="H498" s="63">
        <v>45238</v>
      </c>
      <c r="I498" s="63">
        <v>45242</v>
      </c>
      <c r="J498" s="62">
        <v>5</v>
      </c>
      <c r="K498" s="62">
        <v>5</v>
      </c>
      <c r="L498" s="62" t="s">
        <v>19262</v>
      </c>
      <c r="M498" s="62" t="s">
        <v>24995</v>
      </c>
      <c r="N498" s="62" t="s">
        <v>19269</v>
      </c>
      <c r="O498" s="62" t="s">
        <v>7723</v>
      </c>
      <c r="P498" s="42" t="str">
        <f>+IF(O498="","",IFERROR(VLOOKUP(O498,CODIGO_DIAGNOSTICO,2,0),"CÓDIGO NO ENCONTRADO"))</f>
        <v>FRACTURA DE LA EPIFISIS SUPERIOR DE LA TIBIA</v>
      </c>
      <c r="Q498" s="62" t="s">
        <v>19230</v>
      </c>
      <c r="R498" s="64">
        <v>8807364</v>
      </c>
      <c r="S498" s="75">
        <v>45251</v>
      </c>
      <c r="T498" s="75">
        <v>45266</v>
      </c>
      <c r="U498" s="65">
        <f>SUM(W498/30)</f>
        <v>42400.166666666664</v>
      </c>
      <c r="V498" s="62" t="s">
        <v>25941</v>
      </c>
      <c r="W498" s="65">
        <v>1272005</v>
      </c>
      <c r="X498" s="62">
        <v>0</v>
      </c>
      <c r="Y498" s="65">
        <v>84800</v>
      </c>
      <c r="Z498" s="73"/>
    </row>
    <row r="499" spans="1:26" ht="15.75" hidden="1" customHeight="1" x14ac:dyDescent="0.25">
      <c r="A499" s="67">
        <v>11</v>
      </c>
      <c r="B499" s="68">
        <v>71744485</v>
      </c>
      <c r="C499" s="68" t="s">
        <v>25284</v>
      </c>
      <c r="D499" s="68" t="s">
        <v>25075</v>
      </c>
      <c r="E499" s="68" t="s">
        <v>25210</v>
      </c>
      <c r="F499" s="68" t="s">
        <v>25110</v>
      </c>
      <c r="G499" s="81" t="s">
        <v>19285</v>
      </c>
      <c r="H499" s="69">
        <v>45238</v>
      </c>
      <c r="I499" s="69">
        <v>45240</v>
      </c>
      <c r="J499" s="68">
        <v>3</v>
      </c>
      <c r="K499" s="68">
        <v>3</v>
      </c>
      <c r="L499" s="68" t="s">
        <v>24995</v>
      </c>
      <c r="M499" s="68" t="s">
        <v>24995</v>
      </c>
      <c r="N499" s="62" t="s">
        <v>19269</v>
      </c>
      <c r="O499" s="68" t="s">
        <v>4695</v>
      </c>
      <c r="P499" s="42" t="str">
        <f>+IF(O499="","",IFERROR(VLOOKUP(O499,CODIGO_DIAGNOSTICO,2,0),"CÓDIGO NO ENCONTRADO"))</f>
        <v>TRASTORNOS INTERNO DE LA RODILLA, NO ESPECIFICADO</v>
      </c>
      <c r="Q499" s="68" t="s">
        <v>19232</v>
      </c>
      <c r="R499" s="67">
        <v>11222310285</v>
      </c>
      <c r="S499" s="77" t="s">
        <v>26022</v>
      </c>
      <c r="T499" s="76">
        <v>38667</v>
      </c>
      <c r="U499" s="65">
        <f>SUM(W499/30)</f>
        <v>42400.166666666664</v>
      </c>
      <c r="V499" s="68" t="s">
        <v>25941</v>
      </c>
      <c r="W499" s="70">
        <v>1272005</v>
      </c>
      <c r="X499" s="68">
        <v>0</v>
      </c>
      <c r="Y499" s="70">
        <v>84800</v>
      </c>
      <c r="Z499" s="72"/>
    </row>
    <row r="500" spans="1:26" ht="15.75" hidden="1" customHeight="1" x14ac:dyDescent="0.25">
      <c r="A500" s="64">
        <v>11</v>
      </c>
      <c r="B500" s="62">
        <v>71316478</v>
      </c>
      <c r="C500" s="62" t="s">
        <v>25443</v>
      </c>
      <c r="D500" s="62" t="s">
        <v>25070</v>
      </c>
      <c r="E500" s="62" t="s">
        <v>25515</v>
      </c>
      <c r="F500" s="62"/>
      <c r="G500" s="81" t="s">
        <v>19285</v>
      </c>
      <c r="H500" s="63">
        <v>45239</v>
      </c>
      <c r="I500" s="63">
        <v>45268</v>
      </c>
      <c r="J500" s="62">
        <v>30</v>
      </c>
      <c r="K500" s="62">
        <v>30</v>
      </c>
      <c r="L500" s="62" t="s">
        <v>19262</v>
      </c>
      <c r="M500" s="62" t="s">
        <v>24995</v>
      </c>
      <c r="N500" s="62" t="s">
        <v>19269</v>
      </c>
      <c r="O500" s="62" t="s">
        <v>3415</v>
      </c>
      <c r="P500" s="42" t="str">
        <f>+IF(O500="","",IFERROR(VLOOKUP(O500,CODIGO_DIAGNOSTICO,2,0),"CÓDIGO NO ENCONTRADO"))</f>
        <v>ACCIDENTE VASCULAR ENCEFALICO AGUDO, NO ESPECIFICADO COMO HEMORRAGICO O ISQUEMICO</v>
      </c>
      <c r="Q500" s="62" t="s">
        <v>19230</v>
      </c>
      <c r="R500" s="64">
        <v>8776019</v>
      </c>
      <c r="S500" s="75">
        <v>45244</v>
      </c>
      <c r="T500" s="75"/>
      <c r="U500" s="65">
        <f>SUM(W500/30)</f>
        <v>42400.166666666664</v>
      </c>
      <c r="V500" s="62" t="s">
        <v>25941</v>
      </c>
      <c r="W500" s="65">
        <v>1272005</v>
      </c>
      <c r="X500" s="62">
        <v>0</v>
      </c>
      <c r="Y500" s="65">
        <v>84800</v>
      </c>
      <c r="Z500" s="73"/>
    </row>
    <row r="501" spans="1:26" ht="15.75" hidden="1" customHeight="1" x14ac:dyDescent="0.25">
      <c r="A501" s="67">
        <v>11</v>
      </c>
      <c r="B501" s="68">
        <v>1017219474</v>
      </c>
      <c r="C501" s="68" t="s">
        <v>25852</v>
      </c>
      <c r="D501" s="68" t="s">
        <v>25174</v>
      </c>
      <c r="E501" s="68" t="s">
        <v>25352</v>
      </c>
      <c r="F501" s="68" t="s">
        <v>25092</v>
      </c>
      <c r="G501" s="81" t="s">
        <v>19285</v>
      </c>
      <c r="H501" s="69">
        <v>45240</v>
      </c>
      <c r="I501" s="69">
        <v>45247</v>
      </c>
      <c r="J501" s="68">
        <v>8</v>
      </c>
      <c r="K501" s="68">
        <v>8</v>
      </c>
      <c r="L501" s="68" t="s">
        <v>24995</v>
      </c>
      <c r="M501" s="68" t="s">
        <v>24995</v>
      </c>
      <c r="N501" s="62" t="s">
        <v>19269</v>
      </c>
      <c r="O501" s="68" t="s">
        <v>4839</v>
      </c>
      <c r="P501" s="42" t="str">
        <f>+IF(O501="","",IFERROR(VLOOKUP(O501,CODIGO_DIAGNOSTICO,2,0),"CÓDIGO NO ENCONTRADO"))</f>
        <v>DOLOR EN LA COLUMNA DORSAL</v>
      </c>
      <c r="Q501" s="68" t="s">
        <v>19230</v>
      </c>
      <c r="R501" s="67">
        <v>8794068</v>
      </c>
      <c r="S501" s="77">
        <v>45244</v>
      </c>
      <c r="T501" s="76">
        <v>45265</v>
      </c>
      <c r="U501" s="65">
        <f>SUM(W501/30)</f>
        <v>42400.166666666664</v>
      </c>
      <c r="V501" s="68" t="s">
        <v>25941</v>
      </c>
      <c r="W501" s="70">
        <v>1272005</v>
      </c>
      <c r="X501" s="68">
        <v>0</v>
      </c>
      <c r="Y501" s="70">
        <v>84800</v>
      </c>
      <c r="Z501" s="72"/>
    </row>
    <row r="502" spans="1:26" ht="15.75" hidden="1" customHeight="1" x14ac:dyDescent="0.25">
      <c r="A502" s="64">
        <v>11</v>
      </c>
      <c r="B502" s="62">
        <v>78716505</v>
      </c>
      <c r="C502" s="62" t="s">
        <v>26013</v>
      </c>
      <c r="D502" s="62" t="s">
        <v>26014</v>
      </c>
      <c r="E502" s="62" t="s">
        <v>25014</v>
      </c>
      <c r="F502" s="62" t="s">
        <v>26015</v>
      </c>
      <c r="G502" s="81" t="s">
        <v>19285</v>
      </c>
      <c r="H502" s="63">
        <v>45240</v>
      </c>
      <c r="I502" s="63">
        <v>45244</v>
      </c>
      <c r="J502" s="62">
        <v>5</v>
      </c>
      <c r="K502" s="62">
        <v>5</v>
      </c>
      <c r="L502" s="62" t="s">
        <v>24995</v>
      </c>
      <c r="M502" s="62" t="s">
        <v>24995</v>
      </c>
      <c r="N502" s="62" t="s">
        <v>19269</v>
      </c>
      <c r="O502" s="62" t="s">
        <v>11980</v>
      </c>
      <c r="P502" s="42" t="str">
        <f>+IF(O502="","",IFERROR(VLOOKUP(O502,CODIGO_DIAGNOSTICO,2,0),"CÓDIGO NO ENCONTRADO"))</f>
        <v>ESTERILIZACION</v>
      </c>
      <c r="Q502" s="62" t="s">
        <v>19231</v>
      </c>
      <c r="R502" s="64">
        <v>790493</v>
      </c>
      <c r="S502" s="75">
        <v>45251</v>
      </c>
      <c r="T502" s="75">
        <v>45286</v>
      </c>
      <c r="U502" s="65">
        <f>SUM(W502/30)</f>
        <v>42400.166666666664</v>
      </c>
      <c r="V502" s="62" t="s">
        <v>25941</v>
      </c>
      <c r="W502" s="65">
        <v>1272005</v>
      </c>
      <c r="X502" s="62">
        <v>0</v>
      </c>
      <c r="Y502" s="65">
        <v>84800</v>
      </c>
      <c r="Z502" s="73"/>
    </row>
    <row r="503" spans="1:26" ht="15.75" hidden="1" customHeight="1" x14ac:dyDescent="0.25">
      <c r="A503" s="67">
        <v>11</v>
      </c>
      <c r="B503" s="68">
        <v>70252687</v>
      </c>
      <c r="C503" s="68" t="s">
        <v>25178</v>
      </c>
      <c r="D503" s="68" t="s">
        <v>25248</v>
      </c>
      <c r="E503" s="68" t="s">
        <v>25131</v>
      </c>
      <c r="F503" s="68" t="s">
        <v>25020</v>
      </c>
      <c r="G503" s="81" t="s">
        <v>19285</v>
      </c>
      <c r="H503" s="69">
        <v>45241</v>
      </c>
      <c r="I503" s="69">
        <v>45270</v>
      </c>
      <c r="J503" s="68">
        <v>30</v>
      </c>
      <c r="K503" s="68">
        <v>30</v>
      </c>
      <c r="L503" s="68" t="s">
        <v>19262</v>
      </c>
      <c r="M503" s="68" t="s">
        <v>19262</v>
      </c>
      <c r="N503" s="62" t="s">
        <v>19269</v>
      </c>
      <c r="O503" s="68" t="s">
        <v>905</v>
      </c>
      <c r="P503" s="42" t="str">
        <f>+IF(O503="","",IFERROR(VLOOKUP(O503,CODIGO_DIAGNOSTICO,2,0),"CÓDIGO NO ENCONTRADO"))</f>
        <v>TUMOR MALIGNO DEL RECTO</v>
      </c>
      <c r="Q503" s="68" t="s">
        <v>19230</v>
      </c>
      <c r="R503" s="67"/>
      <c r="S503" s="77">
        <v>45247</v>
      </c>
      <c r="T503" s="76"/>
      <c r="U503" s="65">
        <f>SUM(W503/30)</f>
        <v>42400.166666666664</v>
      </c>
      <c r="V503" s="68" t="s">
        <v>25941</v>
      </c>
      <c r="W503" s="70">
        <v>1272005</v>
      </c>
      <c r="X503" s="68">
        <v>0</v>
      </c>
      <c r="Y503" s="70">
        <v>84800</v>
      </c>
      <c r="Z503" s="72"/>
    </row>
    <row r="504" spans="1:26" ht="15.75" hidden="1" customHeight="1" x14ac:dyDescent="0.25">
      <c r="A504" s="64">
        <v>11</v>
      </c>
      <c r="B504" s="62">
        <v>1033371864</v>
      </c>
      <c r="C504" s="62" t="s">
        <v>26033</v>
      </c>
      <c r="D504" s="62" t="s">
        <v>26034</v>
      </c>
      <c r="E504" s="62" t="s">
        <v>25821</v>
      </c>
      <c r="F504" s="62" t="s">
        <v>25064</v>
      </c>
      <c r="G504" s="81" t="s">
        <v>19285</v>
      </c>
      <c r="H504" s="63">
        <v>45241</v>
      </c>
      <c r="I504" s="63">
        <v>45242</v>
      </c>
      <c r="J504" s="62">
        <v>2</v>
      </c>
      <c r="K504" s="62">
        <v>2</v>
      </c>
      <c r="L504" s="62" t="s">
        <v>24995</v>
      </c>
      <c r="M504" s="62" t="s">
        <v>24995</v>
      </c>
      <c r="N504" s="62" t="s">
        <v>19269</v>
      </c>
      <c r="O504" s="62" t="s">
        <v>85</v>
      </c>
      <c r="P504" s="42" t="str">
        <f>+IF(O504="","",IFERROR(VLOOKUP(O504,CODIGO_DIAGNOSTICO,2,0),"CÓDIGO NO ENCONTRADO"))</f>
        <v>OTRAS ENTERITIS VIRALES</v>
      </c>
      <c r="Q504" s="62" t="s">
        <v>19230</v>
      </c>
      <c r="R504" s="64">
        <v>0</v>
      </c>
      <c r="S504" s="75"/>
      <c r="T504" s="75"/>
      <c r="U504" s="65">
        <f>SUM(W504/30)</f>
        <v>42400.166666666664</v>
      </c>
      <c r="V504" s="62" t="s">
        <v>25941</v>
      </c>
      <c r="W504" s="65">
        <v>1272005</v>
      </c>
      <c r="X504" s="62">
        <v>0</v>
      </c>
      <c r="Y504" s="65">
        <v>84800</v>
      </c>
      <c r="Z504" s="73"/>
    </row>
    <row r="505" spans="1:26" ht="15.75" hidden="1" customHeight="1" x14ac:dyDescent="0.25">
      <c r="A505" s="67">
        <v>11</v>
      </c>
      <c r="B505" s="68">
        <v>1036622798</v>
      </c>
      <c r="C505" s="68" t="s">
        <v>25272</v>
      </c>
      <c r="D505" s="68" t="s">
        <v>25993</v>
      </c>
      <c r="E505" s="68" t="s">
        <v>25138</v>
      </c>
      <c r="F505" s="68" t="s">
        <v>25339</v>
      </c>
      <c r="G505" s="81" t="s">
        <v>19285</v>
      </c>
      <c r="H505" s="69">
        <v>45243</v>
      </c>
      <c r="I505" s="69">
        <v>45270</v>
      </c>
      <c r="J505" s="68">
        <v>28</v>
      </c>
      <c r="K505" s="68">
        <v>28</v>
      </c>
      <c r="L505" s="68" t="s">
        <v>19262</v>
      </c>
      <c r="M505" s="68" t="s">
        <v>24995</v>
      </c>
      <c r="N505" s="62" t="s">
        <v>19269</v>
      </c>
      <c r="O505" s="68" t="s">
        <v>7793</v>
      </c>
      <c r="P505" s="42" t="str">
        <f>+IF(O505="","",IFERROR(VLOOKUP(O505,CODIGO_DIAGNOSTICO,2,0),"CÓDIGO NO ENCONTRADO"))</f>
        <v>LUXACION DE OTROS SITIOS Y LOS NO ESPECIFICADOS DEL PIE</v>
      </c>
      <c r="Q505" s="68" t="s">
        <v>19230</v>
      </c>
      <c r="R505" s="67"/>
      <c r="S505" s="77">
        <v>45247</v>
      </c>
      <c r="T505" s="76"/>
      <c r="U505" s="65">
        <f>SUM(W505/30)</f>
        <v>42400.166666666664</v>
      </c>
      <c r="V505" s="68" t="s">
        <v>25941</v>
      </c>
      <c r="W505" s="70">
        <v>1272005</v>
      </c>
      <c r="X505" s="68">
        <v>0</v>
      </c>
      <c r="Y505" s="70">
        <v>84800</v>
      </c>
      <c r="Z505" s="72"/>
    </row>
    <row r="506" spans="1:26" ht="15.75" hidden="1" customHeight="1" x14ac:dyDescent="0.25">
      <c r="A506" s="64">
        <v>11</v>
      </c>
      <c r="B506" s="62">
        <v>70252687</v>
      </c>
      <c r="C506" s="62" t="s">
        <v>25178</v>
      </c>
      <c r="D506" s="62" t="s">
        <v>25248</v>
      </c>
      <c r="E506" s="62" t="s">
        <v>25131</v>
      </c>
      <c r="F506" s="62" t="s">
        <v>25020</v>
      </c>
      <c r="G506" s="81" t="s">
        <v>19285</v>
      </c>
      <c r="H506" s="63">
        <v>45245</v>
      </c>
      <c r="I506" s="63">
        <v>45253</v>
      </c>
      <c r="J506" s="62">
        <v>9</v>
      </c>
      <c r="K506" s="62">
        <v>9</v>
      </c>
      <c r="L506" s="62" t="s">
        <v>19262</v>
      </c>
      <c r="M506" s="62" t="s">
        <v>19262</v>
      </c>
      <c r="N506" s="62" t="s">
        <v>19269</v>
      </c>
      <c r="O506" s="62" t="s">
        <v>4644</v>
      </c>
      <c r="P506" s="42" t="str">
        <f>+IF(O506="","",IFERROR(VLOOKUP(O506,CODIGO_DIAGNOSTICO,2,0),"CÓDIGO NO ENCONTRADO"))</f>
        <v>GONARTROSIS PRIMARIA, BILATERAL</v>
      </c>
      <c r="Q506" s="62" t="s">
        <v>19231</v>
      </c>
      <c r="R506" s="64"/>
      <c r="S506" s="75">
        <v>45244</v>
      </c>
      <c r="T506" s="75"/>
      <c r="U506" s="65">
        <f>SUM(W506/30)</f>
        <v>42400.166666666664</v>
      </c>
      <c r="V506" s="62" t="s">
        <v>25941</v>
      </c>
      <c r="W506" s="65">
        <v>1272005</v>
      </c>
      <c r="X506" s="62">
        <v>0</v>
      </c>
      <c r="Y506" s="65">
        <v>84800</v>
      </c>
      <c r="Z506" s="73"/>
    </row>
    <row r="507" spans="1:26" ht="15.75" hidden="1" customHeight="1" x14ac:dyDescent="0.25">
      <c r="A507" s="67">
        <v>11</v>
      </c>
      <c r="B507" s="68">
        <v>1042768553</v>
      </c>
      <c r="C507" s="68" t="s">
        <v>25432</v>
      </c>
      <c r="D507" s="68" t="s">
        <v>25178</v>
      </c>
      <c r="E507" s="68" t="s">
        <v>26011</v>
      </c>
      <c r="F507" s="68" t="s">
        <v>26012</v>
      </c>
      <c r="G507" s="81" t="s">
        <v>19285</v>
      </c>
      <c r="H507" s="69">
        <v>45245</v>
      </c>
      <c r="I507" s="69">
        <v>45259</v>
      </c>
      <c r="J507" s="68">
        <v>15</v>
      </c>
      <c r="K507" s="68">
        <v>15</v>
      </c>
      <c r="L507" s="68" t="s">
        <v>24995</v>
      </c>
      <c r="M507" s="68" t="s">
        <v>24995</v>
      </c>
      <c r="N507" s="62" t="s">
        <v>19269</v>
      </c>
      <c r="O507" s="68" t="s">
        <v>1366</v>
      </c>
      <c r="P507" s="42" t="str">
        <f>+IF(O507="","",IFERROR(VLOOKUP(O507,CODIGO_DIAGNOSTICO,2,0),"CÓDIGO NO ENCONTRADO"))</f>
        <v>TUMOR BENIGNO LIPOMATOSO DE PIEL Y DE TEJIDO SUBCUTANEO DEL TRONCO</v>
      </c>
      <c r="Q507" s="68" t="s">
        <v>19230</v>
      </c>
      <c r="R507" s="67"/>
      <c r="S507" s="77">
        <v>45247</v>
      </c>
      <c r="T507" s="76">
        <v>45251</v>
      </c>
      <c r="U507" s="65">
        <f>SUM(W507/30)</f>
        <v>42400.166666666664</v>
      </c>
      <c r="V507" s="68" t="s">
        <v>25941</v>
      </c>
      <c r="W507" s="70">
        <v>1272005</v>
      </c>
      <c r="X507" s="68">
        <v>0</v>
      </c>
      <c r="Y507" s="70">
        <v>84800</v>
      </c>
      <c r="Z507" s="72"/>
    </row>
    <row r="508" spans="1:26" ht="15.75" hidden="1" customHeight="1" x14ac:dyDescent="0.25">
      <c r="A508" s="64">
        <v>11</v>
      </c>
      <c r="B508" s="62">
        <v>101792273</v>
      </c>
      <c r="C508" s="62" t="s">
        <v>25921</v>
      </c>
      <c r="D508" s="62" t="s">
        <v>25459</v>
      </c>
      <c r="E508" s="62" t="s">
        <v>25676</v>
      </c>
      <c r="F508" s="62" t="s">
        <v>26016</v>
      </c>
      <c r="G508" s="81" t="s">
        <v>19285</v>
      </c>
      <c r="H508" s="63">
        <v>45247</v>
      </c>
      <c r="I508" s="63">
        <v>45249</v>
      </c>
      <c r="J508" s="62">
        <v>3</v>
      </c>
      <c r="K508" s="62">
        <v>3</v>
      </c>
      <c r="L508" s="62" t="s">
        <v>24995</v>
      </c>
      <c r="M508" s="62" t="s">
        <v>24995</v>
      </c>
      <c r="N508" s="62" t="s">
        <v>19269</v>
      </c>
      <c r="O508" s="62" t="s">
        <v>3803</v>
      </c>
      <c r="P508" s="42" t="str">
        <f>+IF(O508="","",IFERROR(VLOOKUP(O508,CODIGO_DIAGNOSTICO,2,0),"CÓDIGO NO ENCONTRADO"))</f>
        <v>DIENTES INCLUIDOS</v>
      </c>
      <c r="Q508" s="62" t="s">
        <v>19230</v>
      </c>
      <c r="R508" s="64">
        <v>8799992</v>
      </c>
      <c r="S508" s="75">
        <v>45251</v>
      </c>
      <c r="T508" s="75"/>
      <c r="U508" s="65">
        <f>SUM(W508/30)</f>
        <v>42400.166666666664</v>
      </c>
      <c r="V508" s="62" t="s">
        <v>25941</v>
      </c>
      <c r="W508" s="65">
        <v>1272005</v>
      </c>
      <c r="X508" s="62">
        <v>0</v>
      </c>
      <c r="Y508" s="65">
        <v>84800</v>
      </c>
      <c r="Z508" s="73"/>
    </row>
    <row r="509" spans="1:26" ht="15.75" hidden="1" customHeight="1" x14ac:dyDescent="0.25">
      <c r="A509" s="67">
        <v>11</v>
      </c>
      <c r="B509" s="68">
        <v>72342994</v>
      </c>
      <c r="C509" s="68" t="s">
        <v>25200</v>
      </c>
      <c r="D509" s="68" t="s">
        <v>25177</v>
      </c>
      <c r="E509" s="68"/>
      <c r="F509" s="68"/>
      <c r="G509" s="81" t="s">
        <v>19285</v>
      </c>
      <c r="H509" s="69">
        <v>45247</v>
      </c>
      <c r="I509" s="69">
        <v>45249</v>
      </c>
      <c r="J509" s="68">
        <v>3</v>
      </c>
      <c r="K509" s="68">
        <v>3</v>
      </c>
      <c r="L509" s="68" t="s">
        <v>24995</v>
      </c>
      <c r="M509" s="68" t="s">
        <v>24995</v>
      </c>
      <c r="N509" s="62" t="s">
        <v>19269</v>
      </c>
      <c r="O509" s="68" t="s">
        <v>4787</v>
      </c>
      <c r="P509" s="42" t="str">
        <f>+IF(O509="","",IFERROR(VLOOKUP(O509,CODIGO_DIAGNOSTICO,2,0),"CÓDIGO NO ENCONTRADO"))</f>
        <v>SACROILIITIS, NO CLASIFICADA EN OTRA PARTE</v>
      </c>
      <c r="Q509" s="68" t="s">
        <v>19230</v>
      </c>
      <c r="R509" s="67">
        <v>8803317</v>
      </c>
      <c r="S509" s="77" t="s">
        <v>26022</v>
      </c>
      <c r="T509" s="76">
        <v>45265</v>
      </c>
      <c r="U509" s="65">
        <f>SUM(W509/30)</f>
        <v>42400.166666666664</v>
      </c>
      <c r="V509" s="68" t="s">
        <v>25941</v>
      </c>
      <c r="W509" s="70">
        <v>1272005</v>
      </c>
      <c r="X509" s="68">
        <v>0</v>
      </c>
      <c r="Y509" s="70">
        <v>84800</v>
      </c>
      <c r="Z509" s="72"/>
    </row>
    <row r="510" spans="1:26" ht="15.75" hidden="1" customHeight="1" x14ac:dyDescent="0.25">
      <c r="A510" s="64">
        <v>11</v>
      </c>
      <c r="B510" s="62">
        <v>15309929</v>
      </c>
      <c r="C510" s="62" t="s">
        <v>25011</v>
      </c>
      <c r="D510" s="62" t="s">
        <v>25012</v>
      </c>
      <c r="E510" s="62" t="s">
        <v>25048</v>
      </c>
      <c r="F510" s="62" t="s">
        <v>25014</v>
      </c>
      <c r="G510" s="81" t="s">
        <v>19285</v>
      </c>
      <c r="H510" s="63">
        <v>45248</v>
      </c>
      <c r="I510" s="63">
        <v>45262</v>
      </c>
      <c r="J510" s="62">
        <v>15</v>
      </c>
      <c r="K510" s="62">
        <v>15</v>
      </c>
      <c r="L510" s="62" t="s">
        <v>19262</v>
      </c>
      <c r="M510" s="62" t="s">
        <v>24995</v>
      </c>
      <c r="N510" s="62" t="s">
        <v>19269</v>
      </c>
      <c r="O510" s="62" t="s">
        <v>7734</v>
      </c>
      <c r="P510" s="42" t="str">
        <f>+IF(O510="","",IFERROR(VLOOKUP(O510,CODIGO_DIAGNOSTICO,2,0),"CÓDIGO NO ENCONTRADO"))</f>
        <v>DESGARRO DE MENISCOS, PRESENTE</v>
      </c>
      <c r="Q510" s="62" t="s">
        <v>19230</v>
      </c>
      <c r="R510" s="64">
        <v>8800028</v>
      </c>
      <c r="S510" s="75">
        <v>45251</v>
      </c>
      <c r="T510" s="75"/>
      <c r="U510" s="65">
        <f>SUM(W510/30)</f>
        <v>42400.166666666664</v>
      </c>
      <c r="V510" s="62" t="s">
        <v>25941</v>
      </c>
      <c r="W510" s="65">
        <v>1272005</v>
      </c>
      <c r="X510" s="62">
        <v>0</v>
      </c>
      <c r="Y510" s="65">
        <v>84800</v>
      </c>
      <c r="Z510" s="73"/>
    </row>
    <row r="511" spans="1:26" ht="15.75" hidden="1" customHeight="1" x14ac:dyDescent="0.25">
      <c r="A511" s="67">
        <v>11</v>
      </c>
      <c r="B511" s="68">
        <v>11527359</v>
      </c>
      <c r="C511" s="68" t="s">
        <v>26018</v>
      </c>
      <c r="D511" s="68" t="s">
        <v>25053</v>
      </c>
      <c r="E511" s="68" t="s">
        <v>25148</v>
      </c>
      <c r="F511" s="68"/>
      <c r="G511" s="81" t="s">
        <v>19285</v>
      </c>
      <c r="H511" s="69">
        <v>45248</v>
      </c>
      <c r="I511" s="69">
        <v>45252</v>
      </c>
      <c r="J511" s="68">
        <v>5</v>
      </c>
      <c r="K511" s="68">
        <v>5</v>
      </c>
      <c r="L511" s="68" t="s">
        <v>24995</v>
      </c>
      <c r="M511" s="68" t="s">
        <v>24995</v>
      </c>
      <c r="N511" s="62" t="s">
        <v>19269</v>
      </c>
      <c r="O511" s="68" t="s">
        <v>738</v>
      </c>
      <c r="P511" s="42" t="str">
        <f>+IF(O511="","",IFERROR(VLOOKUP(O511,CODIGO_DIAGNOSTICO,2,0),"CÓDIGO NO ENCONTRADO"))</f>
        <v>PARASITOSIS INTESTINAL, SIN OTRA ESPECIFICACION</v>
      </c>
      <c r="Q511" s="68" t="s">
        <v>19232</v>
      </c>
      <c r="R511" s="67">
        <v>11212324198</v>
      </c>
      <c r="S511" s="77">
        <v>45251</v>
      </c>
      <c r="T511" s="76"/>
      <c r="U511" s="65">
        <f>SUM(W511/30)</f>
        <v>42400.166666666664</v>
      </c>
      <c r="V511" s="68" t="s">
        <v>25941</v>
      </c>
      <c r="W511" s="70">
        <v>1272005</v>
      </c>
      <c r="X511" s="68">
        <v>0</v>
      </c>
      <c r="Y511" s="70">
        <v>84800</v>
      </c>
      <c r="Z511" s="72"/>
    </row>
    <row r="512" spans="1:26" ht="15.75" hidden="1" customHeight="1" x14ac:dyDescent="0.25">
      <c r="A512" s="64">
        <v>11</v>
      </c>
      <c r="B512" s="62">
        <v>98711080</v>
      </c>
      <c r="C512" s="62" t="s">
        <v>25219</v>
      </c>
      <c r="D512" s="62" t="s">
        <v>25443</v>
      </c>
      <c r="E512" s="62" t="s">
        <v>25798</v>
      </c>
      <c r="F512" s="62" t="s">
        <v>25119</v>
      </c>
      <c r="G512" s="81" t="s">
        <v>19285</v>
      </c>
      <c r="H512" s="63">
        <v>45248</v>
      </c>
      <c r="I512" s="63">
        <v>45250</v>
      </c>
      <c r="J512" s="62">
        <v>3</v>
      </c>
      <c r="K512" s="62">
        <v>3</v>
      </c>
      <c r="L512" s="62" t="s">
        <v>24995</v>
      </c>
      <c r="M512" s="62" t="s">
        <v>24995</v>
      </c>
      <c r="N512" s="62" t="s">
        <v>19269</v>
      </c>
      <c r="O512" s="62" t="s">
        <v>26019</v>
      </c>
      <c r="P512" s="42" t="str">
        <f>+IF(O512="","",IFERROR(VLOOKUP(O512,CODIGO_DIAGNOSTICO,2,0),"CÓDIGO NO ENCONTRADO"))</f>
        <v>HEMORRAGIA GASTROINTESTINAL, NO ESPECIFICADA</v>
      </c>
      <c r="Q512" s="62" t="s">
        <v>19230</v>
      </c>
      <c r="R512" s="64">
        <v>8821114</v>
      </c>
      <c r="S512" s="75">
        <v>45258</v>
      </c>
      <c r="T512" s="75">
        <v>45272</v>
      </c>
      <c r="U512" s="65">
        <f>SUM(W512/30)</f>
        <v>42400.166666666664</v>
      </c>
      <c r="V512" s="62" t="s">
        <v>25941</v>
      </c>
      <c r="W512" s="65">
        <v>1272005</v>
      </c>
      <c r="X512" s="62">
        <v>0</v>
      </c>
      <c r="Y512" s="65">
        <v>84800</v>
      </c>
      <c r="Z512" s="73"/>
    </row>
    <row r="513" spans="1:26" ht="15.75" hidden="1" customHeight="1" x14ac:dyDescent="0.25">
      <c r="A513" s="67">
        <v>11</v>
      </c>
      <c r="B513" s="68">
        <v>15309929</v>
      </c>
      <c r="C513" s="68" t="s">
        <v>25011</v>
      </c>
      <c r="D513" s="68" t="s">
        <v>25012</v>
      </c>
      <c r="E513" s="68" t="s">
        <v>25048</v>
      </c>
      <c r="F513" s="68" t="s">
        <v>25215</v>
      </c>
      <c r="G513" s="81" t="s">
        <v>19285</v>
      </c>
      <c r="H513" s="69">
        <v>45248</v>
      </c>
      <c r="I513" s="69">
        <v>45262</v>
      </c>
      <c r="J513" s="68">
        <v>15</v>
      </c>
      <c r="K513" s="68">
        <v>15</v>
      </c>
      <c r="L513" s="68" t="s">
        <v>19262</v>
      </c>
      <c r="M513" s="68" t="s">
        <v>24995</v>
      </c>
      <c r="N513" s="62" t="s">
        <v>19269</v>
      </c>
      <c r="O513" s="68" t="s">
        <v>7734</v>
      </c>
      <c r="P513" s="42" t="str">
        <f>+IF(O513="","",IFERROR(VLOOKUP(O513,CODIGO_DIAGNOSTICO,2,0),"CÓDIGO NO ENCONTRADO"))</f>
        <v>DESGARRO DE MENISCOS, PRESENTE</v>
      </c>
      <c r="Q513" s="68" t="s">
        <v>19230</v>
      </c>
      <c r="R513" s="67"/>
      <c r="S513" s="77"/>
      <c r="T513" s="76"/>
      <c r="U513" s="65">
        <f>SUM(W513/30)</f>
        <v>42400.166666666664</v>
      </c>
      <c r="V513" s="68" t="s">
        <v>25941</v>
      </c>
      <c r="W513" s="70">
        <v>1272005</v>
      </c>
      <c r="X513" s="68">
        <v>0</v>
      </c>
      <c r="Y513" s="70">
        <v>84800</v>
      </c>
      <c r="Z513" s="72"/>
    </row>
    <row r="514" spans="1:26" ht="15.75" hidden="1" customHeight="1" x14ac:dyDescent="0.25">
      <c r="A514" s="64">
        <v>11</v>
      </c>
      <c r="B514" s="62">
        <v>1152711359</v>
      </c>
      <c r="C514" s="62" t="s">
        <v>25147</v>
      </c>
      <c r="D514" s="62" t="s">
        <v>25053</v>
      </c>
      <c r="E514" s="62" t="s">
        <v>25148</v>
      </c>
      <c r="F514" s="62"/>
      <c r="G514" s="81" t="s">
        <v>19285</v>
      </c>
      <c r="H514" s="63">
        <v>45248</v>
      </c>
      <c r="I514" s="63">
        <v>45251</v>
      </c>
      <c r="J514" s="62">
        <v>3</v>
      </c>
      <c r="K514" s="62">
        <v>3</v>
      </c>
      <c r="L514" s="62" t="s">
        <v>24995</v>
      </c>
      <c r="M514" s="62" t="s">
        <v>24995</v>
      </c>
      <c r="N514" s="62" t="s">
        <v>19269</v>
      </c>
      <c r="O514" s="62" t="s">
        <v>4024</v>
      </c>
      <c r="P514" s="42" t="str">
        <f>+IF(O514="","",IFERROR(VLOOKUP(O514,CODIGO_DIAGNOSTICO,2,0),"CÓDIGO NO ENCONTRADO"))</f>
        <v>COLITIS Y GASTROENTERITIS ALERGICAS Y DIETETICAS</v>
      </c>
      <c r="Q514" s="62" t="s">
        <v>24996</v>
      </c>
      <c r="R514" s="64"/>
      <c r="S514" s="75">
        <v>45250</v>
      </c>
      <c r="T514" s="75">
        <v>45252</v>
      </c>
      <c r="U514" s="65">
        <f>SUM(W514/30)</f>
        <v>42400.166666666664</v>
      </c>
      <c r="V514" s="62" t="s">
        <v>25941</v>
      </c>
      <c r="W514" s="65">
        <v>1272005</v>
      </c>
      <c r="X514" s="62">
        <v>0</v>
      </c>
      <c r="Y514" s="65">
        <v>84800</v>
      </c>
      <c r="Z514" s="73"/>
    </row>
    <row r="515" spans="1:26" ht="15.75" hidden="1" customHeight="1" x14ac:dyDescent="0.25">
      <c r="A515" s="67">
        <v>11</v>
      </c>
      <c r="B515" s="68">
        <v>1048294218</v>
      </c>
      <c r="C515" s="68" t="s">
        <v>25652</v>
      </c>
      <c r="D515" s="68" t="s">
        <v>25034</v>
      </c>
      <c r="E515" s="68" t="s">
        <v>25564</v>
      </c>
      <c r="F515" s="68" t="s">
        <v>25028</v>
      </c>
      <c r="G515" s="81" t="s">
        <v>19285</v>
      </c>
      <c r="H515" s="69">
        <v>45250</v>
      </c>
      <c r="I515" s="69">
        <v>45254</v>
      </c>
      <c r="J515" s="68">
        <v>5</v>
      </c>
      <c r="K515" s="68">
        <v>5</v>
      </c>
      <c r="L515" s="68" t="s">
        <v>24995</v>
      </c>
      <c r="M515" s="68" t="s">
        <v>24995</v>
      </c>
      <c r="N515" s="62" t="s">
        <v>19269</v>
      </c>
      <c r="O515" s="68" t="s">
        <v>7673</v>
      </c>
      <c r="P515" s="42" t="str">
        <f>+IF(O515="","",IFERROR(VLOOKUP(O515,CODIGO_DIAGNOSTICO,2,0),"CÓDIGO NO ENCONTRADO"))</f>
        <v>HERIDA DEL MUSLO</v>
      </c>
      <c r="Q515" s="68" t="s">
        <v>19232</v>
      </c>
      <c r="R515" s="67">
        <v>11212324455</v>
      </c>
      <c r="S515" s="77">
        <v>45251</v>
      </c>
      <c r="T515" s="76"/>
      <c r="U515" s="65">
        <f>SUM(W515/30)</f>
        <v>42400.166666666664</v>
      </c>
      <c r="V515" s="68" t="s">
        <v>25941</v>
      </c>
      <c r="W515" s="70">
        <v>1272005</v>
      </c>
      <c r="X515" s="68">
        <v>0</v>
      </c>
      <c r="Y515" s="70">
        <v>84800</v>
      </c>
      <c r="Z515" s="72"/>
    </row>
    <row r="516" spans="1:26" ht="15.75" hidden="1" customHeight="1" x14ac:dyDescent="0.25">
      <c r="A516" s="64">
        <v>11</v>
      </c>
      <c r="B516" s="62">
        <v>72342994</v>
      </c>
      <c r="C516" s="62" t="s">
        <v>25200</v>
      </c>
      <c r="D516" s="62" t="s">
        <v>25177</v>
      </c>
      <c r="E516" s="62"/>
      <c r="F516" s="62"/>
      <c r="G516" s="81" t="s">
        <v>19285</v>
      </c>
      <c r="H516" s="63">
        <v>45250</v>
      </c>
      <c r="I516" s="63">
        <v>45252</v>
      </c>
      <c r="J516" s="62">
        <v>3</v>
      </c>
      <c r="K516" s="62">
        <v>3</v>
      </c>
      <c r="L516" s="62" t="s">
        <v>19262</v>
      </c>
      <c r="M516" s="62" t="s">
        <v>24995</v>
      </c>
      <c r="N516" s="62" t="s">
        <v>19269</v>
      </c>
      <c r="O516" s="62" t="s">
        <v>4787</v>
      </c>
      <c r="P516" s="42" t="str">
        <f>+IF(O516="","",IFERROR(VLOOKUP(O516,CODIGO_DIAGNOSTICO,2,0),"CÓDIGO NO ENCONTRADO"))</f>
        <v>SACROILIITIS, NO CLASIFICADA EN OTRA PARTE</v>
      </c>
      <c r="Q516" s="62" t="s">
        <v>19230</v>
      </c>
      <c r="R516" s="64">
        <v>8803337</v>
      </c>
      <c r="S516" s="75" t="s">
        <v>26022</v>
      </c>
      <c r="T516" s="75">
        <v>45265</v>
      </c>
      <c r="U516" s="65">
        <f>SUM(W516/30)</f>
        <v>42400.166666666664</v>
      </c>
      <c r="V516" s="62" t="s">
        <v>25941</v>
      </c>
      <c r="W516" s="65">
        <v>1272005</v>
      </c>
      <c r="X516" s="62">
        <v>0</v>
      </c>
      <c r="Y516" s="65">
        <v>84800</v>
      </c>
      <c r="Z516" s="73"/>
    </row>
    <row r="517" spans="1:26" ht="15.75" hidden="1" customHeight="1" x14ac:dyDescent="0.25">
      <c r="A517" s="67">
        <v>11</v>
      </c>
      <c r="B517" s="68">
        <v>716762289</v>
      </c>
      <c r="C517" s="68" t="s">
        <v>25015</v>
      </c>
      <c r="D517" s="68" t="s">
        <v>25012</v>
      </c>
      <c r="E517" s="68" t="s">
        <v>25920</v>
      </c>
      <c r="F517" s="68" t="s">
        <v>25004</v>
      </c>
      <c r="G517" s="81" t="s">
        <v>19285</v>
      </c>
      <c r="H517" s="69">
        <v>45250</v>
      </c>
      <c r="I517" s="69">
        <v>45263</v>
      </c>
      <c r="J517" s="68">
        <v>14</v>
      </c>
      <c r="K517" s="68">
        <v>14</v>
      </c>
      <c r="L517" s="68" t="s">
        <v>19262</v>
      </c>
      <c r="M517" s="68" t="s">
        <v>24995</v>
      </c>
      <c r="N517" s="62" t="s">
        <v>19269</v>
      </c>
      <c r="O517" s="68" t="s">
        <v>7822</v>
      </c>
      <c r="P517" s="42" t="str">
        <f>+IF(O517="","",IFERROR(VLOOKUP(O517,CODIGO_DIAGNOSTICO,2,0),"CÓDIGO NO ENCONTRADO"))</f>
        <v>AMPUTACION TRAUMATICA DE OTRAS PARTES DEL PIE</v>
      </c>
      <c r="Q517" s="68" t="s">
        <v>19230</v>
      </c>
      <c r="R517" s="67">
        <v>8839501</v>
      </c>
      <c r="S517" s="77">
        <v>45264</v>
      </c>
      <c r="T517" s="76"/>
      <c r="U517" s="65">
        <f>SUM(W517/30)</f>
        <v>42400.166666666664</v>
      </c>
      <c r="V517" s="68" t="s">
        <v>25941</v>
      </c>
      <c r="W517" s="70">
        <v>1272005</v>
      </c>
      <c r="X517" s="68">
        <v>0</v>
      </c>
      <c r="Y517" s="70">
        <v>84800</v>
      </c>
      <c r="Z517" s="72"/>
    </row>
    <row r="518" spans="1:26" ht="15.75" hidden="1" customHeight="1" x14ac:dyDescent="0.25">
      <c r="A518" s="64">
        <v>11</v>
      </c>
      <c r="B518" s="62">
        <v>11936325</v>
      </c>
      <c r="C518" s="62" t="s">
        <v>25105</v>
      </c>
      <c r="D518" s="62" t="s">
        <v>25343</v>
      </c>
      <c r="E518" s="62" t="s">
        <v>25183</v>
      </c>
      <c r="F518" s="62" t="s">
        <v>25185</v>
      </c>
      <c r="G518" s="81" t="s">
        <v>19285</v>
      </c>
      <c r="H518" s="63">
        <v>45250</v>
      </c>
      <c r="I518" s="63">
        <v>45253</v>
      </c>
      <c r="J518" s="62">
        <v>4</v>
      </c>
      <c r="K518" s="62">
        <v>4</v>
      </c>
      <c r="L518" s="62" t="s">
        <v>19262</v>
      </c>
      <c r="M518" s="62" t="s">
        <v>24995</v>
      </c>
      <c r="N518" s="62" t="s">
        <v>19269</v>
      </c>
      <c r="O518" s="62" t="s">
        <v>3698</v>
      </c>
      <c r="P518" s="42" t="str">
        <f>+IF(O518="","",IFERROR(VLOOKUP(O518,CODIGO_DIAGNOSTICO,2,0),"CÓDIGO NO ENCONTRADO"))</f>
        <v>ESTADO ASMATICO</v>
      </c>
      <c r="Q518" s="62" t="s">
        <v>19230</v>
      </c>
      <c r="R518" s="64">
        <v>8846124</v>
      </c>
      <c r="S518" s="75">
        <v>45265</v>
      </c>
      <c r="T518" s="75"/>
      <c r="U518" s="65">
        <f>SUM(W518/30)</f>
        <v>42400.166666666664</v>
      </c>
      <c r="V518" s="62" t="s">
        <v>25941</v>
      </c>
      <c r="W518" s="65">
        <v>1272005</v>
      </c>
      <c r="X518" s="62">
        <v>0</v>
      </c>
      <c r="Y518" s="65">
        <v>84800</v>
      </c>
      <c r="Z518" s="73"/>
    </row>
    <row r="519" spans="1:26" ht="15.75" hidden="1" customHeight="1" x14ac:dyDescent="0.25">
      <c r="A519" s="67">
        <v>11</v>
      </c>
      <c r="B519" s="68">
        <v>3669363</v>
      </c>
      <c r="C519" s="68" t="s">
        <v>25173</v>
      </c>
      <c r="D519" s="68" t="s">
        <v>24983</v>
      </c>
      <c r="E519" s="68" t="s">
        <v>25032</v>
      </c>
      <c r="F519" s="68" t="s">
        <v>25103</v>
      </c>
      <c r="G519" s="81" t="s">
        <v>19285</v>
      </c>
      <c r="H519" s="69">
        <v>45251</v>
      </c>
      <c r="I519" s="69">
        <v>45254</v>
      </c>
      <c r="J519" s="68">
        <v>11</v>
      </c>
      <c r="K519" s="68">
        <v>11</v>
      </c>
      <c r="L519" s="68" t="s">
        <v>19262</v>
      </c>
      <c r="M519" s="68" t="s">
        <v>24995</v>
      </c>
      <c r="N519" s="62" t="s">
        <v>19269</v>
      </c>
      <c r="O519" s="68" t="s">
        <v>4647</v>
      </c>
      <c r="P519" s="42" t="str">
        <f>+IF(O519="","",IFERROR(VLOOKUP(O519,CODIGO_DIAGNOSTICO,2,0),"CÓDIGO NO ENCONTRADO"))</f>
        <v>OTRAS GONARTROSIS POSTRAUMATICAS</v>
      </c>
      <c r="Q519" s="68" t="s">
        <v>19230</v>
      </c>
      <c r="R519" s="67">
        <v>8799992</v>
      </c>
      <c r="S519" s="77">
        <v>45251</v>
      </c>
      <c r="T519" s="76"/>
      <c r="U519" s="65">
        <f>SUM(W519/30)</f>
        <v>42400.166666666664</v>
      </c>
      <c r="V519" s="68" t="s">
        <v>25941</v>
      </c>
      <c r="W519" s="70">
        <v>1272005</v>
      </c>
      <c r="X519" s="68">
        <v>0</v>
      </c>
      <c r="Y519" s="70">
        <v>84800</v>
      </c>
      <c r="Z519" s="72"/>
    </row>
    <row r="520" spans="1:26" ht="15.75" hidden="1" customHeight="1" x14ac:dyDescent="0.25">
      <c r="A520" s="64">
        <v>11</v>
      </c>
      <c r="B520" s="62">
        <v>71721292</v>
      </c>
      <c r="C520" s="62" t="s">
        <v>25181</v>
      </c>
      <c r="D520" s="62" t="s">
        <v>25181</v>
      </c>
      <c r="E520" s="62" t="s">
        <v>26017</v>
      </c>
      <c r="F520" s="62" t="s">
        <v>25023</v>
      </c>
      <c r="G520" s="81" t="s">
        <v>19285</v>
      </c>
      <c r="H520" s="63">
        <v>45251</v>
      </c>
      <c r="I520" s="63">
        <v>45280</v>
      </c>
      <c r="J520" s="62">
        <v>30</v>
      </c>
      <c r="K520" s="62">
        <v>30</v>
      </c>
      <c r="L520" s="62" t="s">
        <v>19262</v>
      </c>
      <c r="M520" s="62" t="s">
        <v>24995</v>
      </c>
      <c r="N520" s="62" t="s">
        <v>19269</v>
      </c>
      <c r="O520" s="62" t="s">
        <v>7682</v>
      </c>
      <c r="P520" s="42" t="str">
        <f>+IF(O520="","",IFERROR(VLOOKUP(O520,CODIGO_DIAGNOSTICO,2,0),"CÓDIGO NO ENCONTRADO"))</f>
        <v>FRACTURA DE OTRAS PARTES DEL FEMUR</v>
      </c>
      <c r="Q520" s="62" t="s">
        <v>19232</v>
      </c>
      <c r="R520" s="64">
        <v>11212323888</v>
      </c>
      <c r="S520" s="75">
        <v>45251</v>
      </c>
      <c r="T520" s="75"/>
      <c r="U520" s="65">
        <f>SUM(W520/30)</f>
        <v>42400.166666666664</v>
      </c>
      <c r="V520" s="62" t="s">
        <v>25941</v>
      </c>
      <c r="W520" s="65">
        <v>1272005</v>
      </c>
      <c r="X520" s="62">
        <v>0</v>
      </c>
      <c r="Y520" s="65">
        <v>84800</v>
      </c>
      <c r="Z520" s="73"/>
    </row>
    <row r="521" spans="1:26" ht="15.75" hidden="1" customHeight="1" x14ac:dyDescent="0.25">
      <c r="A521" s="67">
        <v>11</v>
      </c>
      <c r="B521" s="68">
        <v>1037947698</v>
      </c>
      <c r="C521" s="68" t="s">
        <v>24985</v>
      </c>
      <c r="D521" s="68" t="s">
        <v>25680</v>
      </c>
      <c r="E521" s="68" t="s">
        <v>26020</v>
      </c>
      <c r="F521" s="68"/>
      <c r="G521" s="81" t="s">
        <v>19285</v>
      </c>
      <c r="H521" s="69">
        <v>45251</v>
      </c>
      <c r="I521" s="69">
        <v>45255</v>
      </c>
      <c r="J521" s="68">
        <v>5</v>
      </c>
      <c r="K521" s="68">
        <v>5</v>
      </c>
      <c r="L521" s="68" t="s">
        <v>24995</v>
      </c>
      <c r="M521" s="68" t="s">
        <v>24995</v>
      </c>
      <c r="N521" s="62" t="s">
        <v>19269</v>
      </c>
      <c r="O521" s="68" t="s">
        <v>7713</v>
      </c>
      <c r="P521" s="42" t="str">
        <f>+IF(O521="","",IFERROR(VLOOKUP(O521,CODIGO_DIAGNOSTICO,2,0),"CÓDIGO NO ENCONTRADO"))</f>
        <v>CONTUSION DE LA RODILLA</v>
      </c>
      <c r="Q521" s="68" t="s">
        <v>19232</v>
      </c>
      <c r="R521" s="67">
        <v>1128234709</v>
      </c>
      <c r="S521" s="77">
        <v>45258</v>
      </c>
      <c r="T521" s="76"/>
      <c r="U521" s="65">
        <f>SUM(W521/30)</f>
        <v>42400.166666666664</v>
      </c>
      <c r="V521" s="68" t="s">
        <v>25941</v>
      </c>
      <c r="W521" s="70">
        <v>1272005</v>
      </c>
      <c r="X521" s="68">
        <v>0</v>
      </c>
      <c r="Y521" s="70">
        <v>84800</v>
      </c>
      <c r="Z521" s="72"/>
    </row>
    <row r="522" spans="1:26" ht="15.75" hidden="1" customHeight="1" x14ac:dyDescent="0.25">
      <c r="A522" s="64">
        <v>11</v>
      </c>
      <c r="B522" s="62">
        <v>71382103</v>
      </c>
      <c r="C522" s="62" t="s">
        <v>25274</v>
      </c>
      <c r="D522" s="62" t="s">
        <v>25275</v>
      </c>
      <c r="E522" s="62" t="s">
        <v>25198</v>
      </c>
      <c r="F522" s="62" t="s">
        <v>26027</v>
      </c>
      <c r="G522" s="81" t="s">
        <v>19285</v>
      </c>
      <c r="H522" s="63">
        <v>45251</v>
      </c>
      <c r="I522" s="63">
        <v>45253</v>
      </c>
      <c r="J522" s="62">
        <v>3</v>
      </c>
      <c r="K522" s="62">
        <v>3</v>
      </c>
      <c r="L522" s="62" t="s">
        <v>24995</v>
      </c>
      <c r="M522" s="62" t="s">
        <v>24995</v>
      </c>
      <c r="N522" s="62" t="s">
        <v>19269</v>
      </c>
      <c r="O522" s="62" t="s">
        <v>4644</v>
      </c>
      <c r="P522" s="42" t="str">
        <f>+IF(O522="","",IFERROR(VLOOKUP(O522,CODIGO_DIAGNOSTICO,2,0),"CÓDIGO NO ENCONTRADO"))</f>
        <v>GONARTROSIS PRIMARIA, BILATERAL</v>
      </c>
      <c r="Q522" s="62" t="s">
        <v>19230</v>
      </c>
      <c r="R522" s="64"/>
      <c r="S522" s="75">
        <v>45244</v>
      </c>
      <c r="T522" s="75"/>
      <c r="U522" s="65">
        <f>SUM(W522/30)</f>
        <v>42400.166666666664</v>
      </c>
      <c r="V522" s="62" t="s">
        <v>25941</v>
      </c>
      <c r="W522" s="65">
        <v>1272005</v>
      </c>
      <c r="X522" s="62">
        <v>0</v>
      </c>
      <c r="Y522" s="65">
        <v>84800</v>
      </c>
      <c r="Z522" s="73"/>
    </row>
    <row r="523" spans="1:26" ht="15.75" hidden="1" customHeight="1" x14ac:dyDescent="0.25">
      <c r="A523" s="67">
        <v>11</v>
      </c>
      <c r="B523" s="68">
        <v>7559527</v>
      </c>
      <c r="C523" s="68" t="s">
        <v>25164</v>
      </c>
      <c r="D523" s="68"/>
      <c r="E523" s="68" t="s">
        <v>25188</v>
      </c>
      <c r="F523" s="68" t="s">
        <v>24986</v>
      </c>
      <c r="G523" s="81" t="s">
        <v>19285</v>
      </c>
      <c r="H523" s="69">
        <v>45251</v>
      </c>
      <c r="I523" s="69">
        <v>45265</v>
      </c>
      <c r="J523" s="68">
        <v>15</v>
      </c>
      <c r="K523" s="68">
        <v>15</v>
      </c>
      <c r="L523" s="68" t="s">
        <v>24995</v>
      </c>
      <c r="M523" s="68" t="s">
        <v>24995</v>
      </c>
      <c r="N523" s="62" t="s">
        <v>19269</v>
      </c>
      <c r="O523" s="68" t="s">
        <v>2850</v>
      </c>
      <c r="P523" s="42" t="str">
        <f>+IF(O523="","",IFERROR(VLOOKUP(O523,CODIGO_DIAGNOSTICO,2,0),"CÓDIGO NO ENCONTRADO"))</f>
        <v>PTERIGION</v>
      </c>
      <c r="Q523" s="68" t="s">
        <v>24996</v>
      </c>
      <c r="R523" s="67">
        <v>12142315146</v>
      </c>
      <c r="S523" s="77">
        <v>45274</v>
      </c>
      <c r="T523" s="76"/>
      <c r="U523" s="65">
        <f>SUM(W523/30)</f>
        <v>42400.166666666664</v>
      </c>
      <c r="V523" s="68" t="s">
        <v>25941</v>
      </c>
      <c r="W523" s="70">
        <v>1272005</v>
      </c>
      <c r="X523" s="68">
        <v>0</v>
      </c>
      <c r="Y523" s="70">
        <v>84800</v>
      </c>
      <c r="Z523" s="72"/>
    </row>
    <row r="524" spans="1:26" ht="15.75" hidden="1" customHeight="1" x14ac:dyDescent="0.25">
      <c r="A524" s="64">
        <v>11</v>
      </c>
      <c r="B524" s="62">
        <v>70137576</v>
      </c>
      <c r="C524" s="62" t="s">
        <v>25086</v>
      </c>
      <c r="D524" s="62" t="s">
        <v>25424</v>
      </c>
      <c r="E524" s="62" t="s">
        <v>25405</v>
      </c>
      <c r="F524" s="62" t="s">
        <v>26027</v>
      </c>
      <c r="G524" s="81" t="s">
        <v>19285</v>
      </c>
      <c r="H524" s="63">
        <v>45253</v>
      </c>
      <c r="I524" s="63">
        <v>45256</v>
      </c>
      <c r="J524" s="62">
        <v>4</v>
      </c>
      <c r="K524" s="62">
        <v>4</v>
      </c>
      <c r="L524" s="62" t="s">
        <v>19262</v>
      </c>
      <c r="M524" s="62" t="s">
        <v>24995</v>
      </c>
      <c r="N524" s="62" t="s">
        <v>19269</v>
      </c>
      <c r="O524" s="62" t="s">
        <v>3911</v>
      </c>
      <c r="P524" s="42" t="str">
        <f>+IF(O524="","",IFERROR(VLOOKUP(O524,CODIGO_DIAGNOSTICO,2,0),"CÓDIGO NO ENCONTRADO"))</f>
        <v>ENFERMEDAD DEL ESOFAGO, NO ESPECIFICADA</v>
      </c>
      <c r="Q524" s="62" t="s">
        <v>19230</v>
      </c>
      <c r="R524" s="64">
        <v>8839545</v>
      </c>
      <c r="S524" s="75">
        <v>45264</v>
      </c>
      <c r="T524" s="75"/>
      <c r="U524" s="65">
        <f>SUM(W524/30)</f>
        <v>42400.166666666664</v>
      </c>
      <c r="V524" s="62" t="s">
        <v>25941</v>
      </c>
      <c r="W524" s="65">
        <v>1272005</v>
      </c>
      <c r="X524" s="62">
        <v>0</v>
      </c>
      <c r="Y524" s="65">
        <v>84800</v>
      </c>
      <c r="Z524" s="73"/>
    </row>
    <row r="525" spans="1:26" ht="15.75" hidden="1" customHeight="1" x14ac:dyDescent="0.25">
      <c r="A525" s="67">
        <v>11</v>
      </c>
      <c r="B525" s="68">
        <v>71770967</v>
      </c>
      <c r="C525" s="68" t="s">
        <v>25362</v>
      </c>
      <c r="D525" s="68" t="s">
        <v>25093</v>
      </c>
      <c r="E525" s="68" t="s">
        <v>25221</v>
      </c>
      <c r="F525" s="68" t="s">
        <v>25066</v>
      </c>
      <c r="G525" s="81" t="s">
        <v>19285</v>
      </c>
      <c r="H525" s="69">
        <v>45254</v>
      </c>
      <c r="I525" s="69">
        <v>45256</v>
      </c>
      <c r="J525" s="68">
        <v>3</v>
      </c>
      <c r="K525" s="68">
        <v>3</v>
      </c>
      <c r="L525" s="68" t="s">
        <v>24995</v>
      </c>
      <c r="M525" s="68" t="s">
        <v>24995</v>
      </c>
      <c r="N525" s="62" t="s">
        <v>19269</v>
      </c>
      <c r="O525" s="68" t="s">
        <v>3606</v>
      </c>
      <c r="P525" s="42" t="str">
        <f>+IF(O525="","",IFERROR(VLOOKUP(O525,CODIGO_DIAGNOSTICO,2,0),"CÓDIGO NO ENCONTRADO"))</f>
        <v>NEUMONIA BACTERIANA, NO ESPECIFICADA</v>
      </c>
      <c r="Q525" s="68" t="s">
        <v>19230</v>
      </c>
      <c r="R525" s="67">
        <v>8872031</v>
      </c>
      <c r="S525" s="77"/>
      <c r="T525" s="76"/>
      <c r="U525" s="65">
        <f>SUM(W525/30)</f>
        <v>42400.166666666664</v>
      </c>
      <c r="V525" s="68" t="s">
        <v>25941</v>
      </c>
      <c r="W525" s="70">
        <v>1272005</v>
      </c>
      <c r="X525" s="68">
        <v>0</v>
      </c>
      <c r="Y525" s="70">
        <v>84800</v>
      </c>
      <c r="Z525" s="72"/>
    </row>
    <row r="526" spans="1:26" ht="15.75" hidden="1" customHeight="1" x14ac:dyDescent="0.25">
      <c r="A526" s="64">
        <v>11</v>
      </c>
      <c r="B526" s="62">
        <v>70323164</v>
      </c>
      <c r="C526" s="62" t="s">
        <v>24992</v>
      </c>
      <c r="D526" s="62" t="s">
        <v>24985</v>
      </c>
      <c r="E526" s="62" t="s">
        <v>25091</v>
      </c>
      <c r="F526" s="62" t="s">
        <v>25996</v>
      </c>
      <c r="G526" s="81" t="s">
        <v>19285</v>
      </c>
      <c r="H526" s="63">
        <v>45258</v>
      </c>
      <c r="I526" s="63">
        <v>45272</v>
      </c>
      <c r="J526" s="62">
        <v>15</v>
      </c>
      <c r="K526" s="62">
        <v>15</v>
      </c>
      <c r="L526" s="62" t="s">
        <v>19262</v>
      </c>
      <c r="M526" s="62" t="s">
        <v>24995</v>
      </c>
      <c r="N526" s="62" t="s">
        <v>19269</v>
      </c>
      <c r="O526" s="62" t="s">
        <v>3693</v>
      </c>
      <c r="P526" s="42" t="str">
        <f>+IF(O526="","",IFERROR(VLOOKUP(O526,CODIGO_DIAGNOSTICO,2,0),"CÓDIGO NO ENCONTRADO"))</f>
        <v>ENFERMEDAD PULMONAR OBSTRUCTIVA CRONICA, NO ESPECIFICADA</v>
      </c>
      <c r="Q526" s="62" t="s">
        <v>19230</v>
      </c>
      <c r="R526" s="64">
        <v>8825700</v>
      </c>
      <c r="S526" s="75">
        <v>45259</v>
      </c>
      <c r="T526" s="75">
        <v>45272</v>
      </c>
      <c r="U526" s="65">
        <f>SUM(W526/30)</f>
        <v>42400.166666666664</v>
      </c>
      <c r="V526" s="62" t="s">
        <v>25941</v>
      </c>
      <c r="W526" s="65">
        <v>1272005</v>
      </c>
      <c r="X526" s="62">
        <v>0</v>
      </c>
      <c r="Y526" s="65">
        <v>84800</v>
      </c>
      <c r="Z526" s="73"/>
    </row>
    <row r="527" spans="1:26" ht="15.75" hidden="1" customHeight="1" x14ac:dyDescent="0.25">
      <c r="A527" s="67">
        <v>11</v>
      </c>
      <c r="B527" s="68">
        <v>71382103</v>
      </c>
      <c r="C527" s="68" t="s">
        <v>25274</v>
      </c>
      <c r="D527" s="68" t="s">
        <v>25275</v>
      </c>
      <c r="E527" s="68" t="s">
        <v>25198</v>
      </c>
      <c r="F527" s="68" t="s">
        <v>26027</v>
      </c>
      <c r="G527" s="81" t="s">
        <v>19285</v>
      </c>
      <c r="H527" s="69">
        <v>45258</v>
      </c>
      <c r="I527" s="69">
        <v>45258</v>
      </c>
      <c r="J527" s="68">
        <v>1</v>
      </c>
      <c r="K527" s="68">
        <v>1</v>
      </c>
      <c r="L527" s="68" t="s">
        <v>19262</v>
      </c>
      <c r="M527" s="68" t="s">
        <v>24995</v>
      </c>
      <c r="N527" s="62" t="s">
        <v>19269</v>
      </c>
      <c r="O527" s="68" t="s">
        <v>4644</v>
      </c>
      <c r="P527" s="42" t="str">
        <f>+IF(O527="","",IFERROR(VLOOKUP(O527,CODIGO_DIAGNOSTICO,2,0),"CÓDIGO NO ENCONTRADO"))</f>
        <v>GONARTROSIS PRIMARIA, BILATERAL</v>
      </c>
      <c r="Q527" s="68" t="s">
        <v>19230</v>
      </c>
      <c r="R527" s="67">
        <v>8871995</v>
      </c>
      <c r="S527" s="77">
        <v>45244</v>
      </c>
      <c r="T527" s="76"/>
      <c r="U527" s="65">
        <f>SUM(W527/30)</f>
        <v>42400.166666666664</v>
      </c>
      <c r="V527" s="68" t="s">
        <v>25941</v>
      </c>
      <c r="W527" s="70">
        <v>1272005</v>
      </c>
      <c r="X527" s="68">
        <v>0</v>
      </c>
      <c r="Y527" s="70">
        <v>84800</v>
      </c>
      <c r="Z527" s="72"/>
    </row>
    <row r="528" spans="1:26" ht="15.75" hidden="1" customHeight="1" x14ac:dyDescent="0.25">
      <c r="A528" s="64">
        <v>12</v>
      </c>
      <c r="B528" s="62">
        <v>43117538</v>
      </c>
      <c r="C528" s="62" t="s">
        <v>25310</v>
      </c>
      <c r="D528" s="62" t="s">
        <v>25248</v>
      </c>
      <c r="E528" s="62" t="s">
        <v>25619</v>
      </c>
      <c r="F528" s="62" t="s">
        <v>25000</v>
      </c>
      <c r="G528" s="81" t="s">
        <v>19285</v>
      </c>
      <c r="H528" s="63">
        <v>45258</v>
      </c>
      <c r="I528" s="63">
        <v>45259</v>
      </c>
      <c r="J528" s="62">
        <v>2</v>
      </c>
      <c r="K528" s="62">
        <v>2</v>
      </c>
      <c r="L528" s="62" t="s">
        <v>24995</v>
      </c>
      <c r="M528" s="62" t="s">
        <v>24995</v>
      </c>
      <c r="N528" s="62" t="s">
        <v>19269</v>
      </c>
      <c r="O528" s="62" t="s">
        <v>15281</v>
      </c>
      <c r="P528" s="42" t="str">
        <f>+IF(O528="","",IFERROR(VLOOKUP(O528,CODIGO_DIAGNOSTICO,2,0),"CÓDIGO NO ENCONTRADO"))</f>
        <v>RINOFARINGITIS AGUDA (RESFRIADO COMUN)</v>
      </c>
      <c r="Q528" s="62" t="s">
        <v>19230</v>
      </c>
      <c r="R528" s="64">
        <v>0</v>
      </c>
      <c r="S528" s="75"/>
      <c r="T528" s="75"/>
      <c r="U528" s="65">
        <f>SUM(W528/30)</f>
        <v>42400.166666666664</v>
      </c>
      <c r="V528" s="62" t="s">
        <v>25941</v>
      </c>
      <c r="W528" s="65">
        <v>1272005</v>
      </c>
      <c r="X528" s="62">
        <v>0</v>
      </c>
      <c r="Y528" s="65">
        <v>84800</v>
      </c>
      <c r="Z528" s="73"/>
    </row>
    <row r="529" spans="1:26" ht="15.75" hidden="1" customHeight="1" x14ac:dyDescent="0.25">
      <c r="A529" s="67">
        <v>11</v>
      </c>
      <c r="B529" s="68">
        <v>3669363</v>
      </c>
      <c r="C529" s="68" t="s">
        <v>25173</v>
      </c>
      <c r="D529" s="68" t="s">
        <v>24983</v>
      </c>
      <c r="E529" s="68" t="s">
        <v>25032</v>
      </c>
      <c r="F529" s="68" t="s">
        <v>25103</v>
      </c>
      <c r="G529" s="81" t="s">
        <v>19285</v>
      </c>
      <c r="H529" s="69">
        <v>45259</v>
      </c>
      <c r="I529" s="69">
        <v>45263</v>
      </c>
      <c r="J529" s="68">
        <v>5</v>
      </c>
      <c r="K529" s="68">
        <v>5</v>
      </c>
      <c r="L529" s="68" t="s">
        <v>19262</v>
      </c>
      <c r="M529" s="68" t="s">
        <v>24995</v>
      </c>
      <c r="N529" s="62" t="s">
        <v>19269</v>
      </c>
      <c r="O529" s="68" t="s">
        <v>4647</v>
      </c>
      <c r="P529" s="42" t="str">
        <f>+IF(O529="","",IFERROR(VLOOKUP(O529,CODIGO_DIAGNOSTICO,2,0),"CÓDIGO NO ENCONTRADO"))</f>
        <v>OTRAS GONARTROSIS POSTRAUMATICAS</v>
      </c>
      <c r="Q529" s="68" t="s">
        <v>19230</v>
      </c>
      <c r="R529" s="67">
        <v>8837781</v>
      </c>
      <c r="S529" s="77">
        <v>45264</v>
      </c>
      <c r="T529" s="76"/>
      <c r="U529" s="65">
        <f>SUM(W529/30)</f>
        <v>42400.166666666664</v>
      </c>
      <c r="V529" s="68" t="s">
        <v>25941</v>
      </c>
      <c r="W529" s="70">
        <v>1272005</v>
      </c>
      <c r="X529" s="68">
        <v>0</v>
      </c>
      <c r="Y529" s="70">
        <v>84800</v>
      </c>
      <c r="Z529" s="72"/>
    </row>
    <row r="530" spans="1:26" ht="15.75" hidden="1" customHeight="1" x14ac:dyDescent="0.25">
      <c r="A530" s="64">
        <v>11</v>
      </c>
      <c r="B530" s="62">
        <v>71748300</v>
      </c>
      <c r="C530" s="62" t="s">
        <v>25300</v>
      </c>
      <c r="D530" s="62" t="s">
        <v>25161</v>
      </c>
      <c r="E530" s="62" t="s">
        <v>25056</v>
      </c>
      <c r="F530" s="62" t="s">
        <v>25162</v>
      </c>
      <c r="G530" s="81" t="s">
        <v>19285</v>
      </c>
      <c r="H530" s="63">
        <v>45259</v>
      </c>
      <c r="I530" s="63">
        <v>45261</v>
      </c>
      <c r="J530" s="62">
        <v>3</v>
      </c>
      <c r="K530" s="62">
        <v>3</v>
      </c>
      <c r="L530" s="62" t="s">
        <v>19262</v>
      </c>
      <c r="M530" s="62" t="s">
        <v>24995</v>
      </c>
      <c r="N530" s="62" t="s">
        <v>19269</v>
      </c>
      <c r="O530" s="62" t="s">
        <v>3628</v>
      </c>
      <c r="P530" s="42" t="str">
        <f>+IF(O530="","",IFERROR(VLOOKUP(O530,CODIGO_DIAGNOSTICO,2,0),"CÓDIGO NO ENCONTRADO"))</f>
        <v>BRONQUITIS AGUDA, NO ESPECIFICADA</v>
      </c>
      <c r="Q530" s="62" t="s">
        <v>19230</v>
      </c>
      <c r="R530" s="64">
        <v>8872019</v>
      </c>
      <c r="S530" s="75"/>
      <c r="T530" s="75"/>
      <c r="U530" s="65">
        <f>SUM(W530/30)</f>
        <v>42400.166666666664</v>
      </c>
      <c r="V530" s="62" t="s">
        <v>25941</v>
      </c>
      <c r="W530" s="65">
        <v>1272005</v>
      </c>
      <c r="X530" s="62">
        <v>0</v>
      </c>
      <c r="Y530" s="65">
        <v>84800</v>
      </c>
      <c r="Z530" s="73"/>
    </row>
    <row r="531" spans="1:26" ht="15.75" hidden="1" customHeight="1" x14ac:dyDescent="0.25">
      <c r="A531" s="67">
        <v>11</v>
      </c>
      <c r="B531" s="68">
        <v>78715778</v>
      </c>
      <c r="C531" s="68" t="s">
        <v>25561</v>
      </c>
      <c r="D531" s="68" t="s">
        <v>25585</v>
      </c>
      <c r="E531" s="68" t="s">
        <v>25056</v>
      </c>
      <c r="F531" s="68" t="s">
        <v>25586</v>
      </c>
      <c r="G531" s="81" t="s">
        <v>19285</v>
      </c>
      <c r="H531" s="69">
        <v>45260</v>
      </c>
      <c r="I531" s="69">
        <v>45261</v>
      </c>
      <c r="J531" s="68">
        <v>2</v>
      </c>
      <c r="K531" s="68">
        <v>2</v>
      </c>
      <c r="L531" s="68" t="s">
        <v>24995</v>
      </c>
      <c r="M531" s="68" t="s">
        <v>24995</v>
      </c>
      <c r="N531" s="62" t="s">
        <v>19269</v>
      </c>
      <c r="O531" s="68" t="s">
        <v>15281</v>
      </c>
      <c r="P531" s="42" t="str">
        <f>+IF(O531="","",IFERROR(VLOOKUP(O531,CODIGO_DIAGNOSTICO,2,0),"CÓDIGO NO ENCONTRADO"))</f>
        <v>RINOFARINGITIS AGUDA (RESFRIADO COMUN)</v>
      </c>
      <c r="Q531" s="68" t="s">
        <v>19230</v>
      </c>
      <c r="R531" s="67">
        <v>0</v>
      </c>
      <c r="S531" s="77"/>
      <c r="T531" s="76"/>
      <c r="U531" s="65">
        <f>SUM(W531/30)</f>
        <v>42400.166666666664</v>
      </c>
      <c r="V531" s="68" t="s">
        <v>25941</v>
      </c>
      <c r="W531" s="70">
        <v>1272005</v>
      </c>
      <c r="X531" s="68">
        <v>0</v>
      </c>
      <c r="Y531" s="70">
        <v>84800</v>
      </c>
      <c r="Z531" s="72"/>
    </row>
    <row r="532" spans="1:26" ht="15.75" hidden="1" customHeight="1" x14ac:dyDescent="0.25">
      <c r="A532" s="64">
        <v>11</v>
      </c>
      <c r="B532" s="62">
        <v>71382103</v>
      </c>
      <c r="C532" s="62" t="s">
        <v>25274</v>
      </c>
      <c r="D532" s="62" t="s">
        <v>25275</v>
      </c>
      <c r="E532" s="62" t="s">
        <v>25198</v>
      </c>
      <c r="F532" s="62" t="s">
        <v>26027</v>
      </c>
      <c r="G532" s="81" t="s">
        <v>19285</v>
      </c>
      <c r="H532" s="63">
        <v>45260</v>
      </c>
      <c r="I532" s="63">
        <v>45260</v>
      </c>
      <c r="J532" s="62">
        <v>1</v>
      </c>
      <c r="K532" s="62">
        <v>1</v>
      </c>
      <c r="L532" s="62" t="s">
        <v>19262</v>
      </c>
      <c r="M532" s="62" t="s">
        <v>24995</v>
      </c>
      <c r="N532" s="62" t="s">
        <v>19269</v>
      </c>
      <c r="O532" s="62" t="s">
        <v>4644</v>
      </c>
      <c r="P532" s="42" t="str">
        <f>+IF(O532="","",IFERROR(VLOOKUP(O532,CODIGO_DIAGNOSTICO,2,0),"CÓDIGO NO ENCONTRADO"))</f>
        <v>GONARTROSIS PRIMARIA, BILATERAL</v>
      </c>
      <c r="Q532" s="62" t="s">
        <v>19230</v>
      </c>
      <c r="R532" s="64">
        <v>8872013</v>
      </c>
      <c r="S532" s="75">
        <v>45244</v>
      </c>
      <c r="T532" s="75"/>
      <c r="U532" s="65">
        <f>SUM(W532/30)</f>
        <v>42400.166666666664</v>
      </c>
      <c r="V532" s="62" t="s">
        <v>25941</v>
      </c>
      <c r="W532" s="65">
        <v>1272005</v>
      </c>
      <c r="X532" s="62">
        <v>0</v>
      </c>
      <c r="Y532" s="65">
        <v>84800</v>
      </c>
      <c r="Z532" s="73"/>
    </row>
    <row r="533" spans="1:26" ht="15.75" hidden="1" customHeight="1" x14ac:dyDescent="0.25">
      <c r="A533" s="67">
        <v>12</v>
      </c>
      <c r="B533" s="68">
        <v>1017207367</v>
      </c>
      <c r="C533" s="68" t="s">
        <v>25053</v>
      </c>
      <c r="D533" s="68" t="s">
        <v>25140</v>
      </c>
      <c r="E533" s="68" t="s">
        <v>25135</v>
      </c>
      <c r="F533" s="68"/>
      <c r="G533" s="81" t="s">
        <v>19285</v>
      </c>
      <c r="H533" s="69">
        <v>45262</v>
      </c>
      <c r="I533" s="69">
        <v>45262</v>
      </c>
      <c r="J533" s="68">
        <v>1</v>
      </c>
      <c r="K533" s="68">
        <v>1</v>
      </c>
      <c r="L533" s="68" t="s">
        <v>24995</v>
      </c>
      <c r="M533" s="68" t="s">
        <v>24995</v>
      </c>
      <c r="N533" s="62" t="s">
        <v>19269</v>
      </c>
      <c r="O533" s="68" t="s">
        <v>6976</v>
      </c>
      <c r="P533" s="42" t="str">
        <f>+IF(O533="","",IFERROR(VLOOKUP(O533,CODIGO_DIAGNOSTICO,2,0),"CÓDIGO NO ENCONTRADO"))</f>
        <v>OTROS CAMBIOS DE LA PIEL Y LOS NO ESPECIFICADOS</v>
      </c>
      <c r="Q533" s="68" t="s">
        <v>19232</v>
      </c>
      <c r="R533" s="67">
        <v>0</v>
      </c>
      <c r="S533" s="77"/>
      <c r="T533" s="76"/>
      <c r="U533" s="65">
        <f>SUM(W533/30)</f>
        <v>42400.166666666664</v>
      </c>
      <c r="V533" s="68" t="s">
        <v>25941</v>
      </c>
      <c r="W533" s="70">
        <v>1272005</v>
      </c>
      <c r="X533" s="68">
        <v>0</v>
      </c>
      <c r="Y533" s="70">
        <v>84800</v>
      </c>
      <c r="Z533" s="72"/>
    </row>
    <row r="534" spans="1:26" ht="15.75" hidden="1" customHeight="1" x14ac:dyDescent="0.25">
      <c r="A534" s="64">
        <v>12</v>
      </c>
      <c r="B534" s="62">
        <v>15309929</v>
      </c>
      <c r="C534" s="62" t="s">
        <v>25011</v>
      </c>
      <c r="D534" s="62" t="s">
        <v>25214</v>
      </c>
      <c r="E534" s="62" t="s">
        <v>25048</v>
      </c>
      <c r="F534" s="62" t="s">
        <v>25215</v>
      </c>
      <c r="G534" s="81" t="s">
        <v>19285</v>
      </c>
      <c r="H534" s="63">
        <v>45263</v>
      </c>
      <c r="I534" s="63">
        <v>45277</v>
      </c>
      <c r="J534" s="62">
        <v>15</v>
      </c>
      <c r="K534" s="62">
        <v>15</v>
      </c>
      <c r="L534" s="62" t="s">
        <v>19262</v>
      </c>
      <c r="M534" s="62" t="s">
        <v>24995</v>
      </c>
      <c r="N534" s="62" t="s">
        <v>19269</v>
      </c>
      <c r="O534" s="62" t="s">
        <v>7734</v>
      </c>
      <c r="P534" s="42" t="str">
        <f>+IF(O534="","",IFERROR(VLOOKUP(O534,CODIGO_DIAGNOSTICO,2,0),"CÓDIGO NO ENCONTRADO"))</f>
        <v>DESGARRO DE MENISCOS, PRESENTE</v>
      </c>
      <c r="Q534" s="62" t="s">
        <v>19230</v>
      </c>
      <c r="R534" s="64">
        <v>8839518</v>
      </c>
      <c r="S534" s="75">
        <v>45264</v>
      </c>
      <c r="T534" s="75"/>
      <c r="U534" s="65">
        <f>SUM(W534/30)</f>
        <v>42400.166666666664</v>
      </c>
      <c r="V534" s="62" t="s">
        <v>25941</v>
      </c>
      <c r="W534" s="65">
        <v>1272005</v>
      </c>
      <c r="X534" s="62">
        <v>0</v>
      </c>
      <c r="Y534" s="65">
        <v>84800</v>
      </c>
      <c r="Z534" s="73"/>
    </row>
    <row r="535" spans="1:26" ht="15.75" hidden="1" customHeight="1" x14ac:dyDescent="0.25">
      <c r="A535" s="67">
        <v>12</v>
      </c>
      <c r="B535" s="68">
        <v>85453791</v>
      </c>
      <c r="C535" s="68" t="s">
        <v>25459</v>
      </c>
      <c r="D535" s="68" t="s">
        <v>25373</v>
      </c>
      <c r="E535" s="68" t="s">
        <v>25380</v>
      </c>
      <c r="F535" s="68" t="s">
        <v>25020</v>
      </c>
      <c r="G535" s="81" t="s">
        <v>19285</v>
      </c>
      <c r="H535" s="69">
        <v>45264</v>
      </c>
      <c r="I535" s="69">
        <v>45265</v>
      </c>
      <c r="J535" s="68">
        <v>2</v>
      </c>
      <c r="K535" s="68">
        <v>2</v>
      </c>
      <c r="L535" s="68" t="s">
        <v>24995</v>
      </c>
      <c r="M535" s="68" t="s">
        <v>24995</v>
      </c>
      <c r="N535" s="62" t="s">
        <v>19269</v>
      </c>
      <c r="O535" s="68" t="s">
        <v>3581</v>
      </c>
      <c r="P535" s="42" t="str">
        <f>+IF(O535="","",IFERROR(VLOOKUP(O535,CODIGO_DIAGNOSTICO,2,0),"CÓDIGO NO ENCONTRADO"))</f>
        <v>LARINGOFARINGITIS AGUDA</v>
      </c>
      <c r="Q535" s="68" t="s">
        <v>19230</v>
      </c>
      <c r="R535" s="67">
        <v>0</v>
      </c>
      <c r="S535" s="77"/>
      <c r="T535" s="76"/>
      <c r="U535" s="65">
        <f>SUM(W535/30)</f>
        <v>42400.166666666664</v>
      </c>
      <c r="V535" s="68" t="s">
        <v>25941</v>
      </c>
      <c r="W535" s="70">
        <v>1272005</v>
      </c>
      <c r="X535" s="68">
        <v>0</v>
      </c>
      <c r="Y535" s="70">
        <v>84800</v>
      </c>
      <c r="Z535" s="72"/>
    </row>
    <row r="536" spans="1:26" ht="15.75" hidden="1" customHeight="1" x14ac:dyDescent="0.25">
      <c r="A536" s="64">
        <v>12</v>
      </c>
      <c r="B536" s="62">
        <v>71676269</v>
      </c>
      <c r="C536" s="62" t="s">
        <v>25015</v>
      </c>
      <c r="D536" s="62" t="s">
        <v>25012</v>
      </c>
      <c r="E536" s="62" t="s">
        <v>25920</v>
      </c>
      <c r="F536" s="62" t="s">
        <v>25004</v>
      </c>
      <c r="G536" s="81" t="s">
        <v>19285</v>
      </c>
      <c r="H536" s="63">
        <v>45264</v>
      </c>
      <c r="I536" s="63">
        <v>45277</v>
      </c>
      <c r="J536" s="62">
        <v>14</v>
      </c>
      <c r="K536" s="62">
        <v>14</v>
      </c>
      <c r="L536" s="62" t="s">
        <v>19262</v>
      </c>
      <c r="M536" s="62" t="s">
        <v>24995</v>
      </c>
      <c r="N536" s="62" t="s">
        <v>19269</v>
      </c>
      <c r="O536" s="62" t="s">
        <v>7822</v>
      </c>
      <c r="P536" s="42" t="str">
        <f>+IF(O536="","",IFERROR(VLOOKUP(O536,CODIGO_DIAGNOSTICO,2,0),"CÓDIGO NO ENCONTRADO"))</f>
        <v>AMPUTACION TRAUMATICA DE OTRAS PARTES DEL PIE</v>
      </c>
      <c r="Q536" s="62" t="s">
        <v>19230</v>
      </c>
      <c r="R536" s="64">
        <v>8846113</v>
      </c>
      <c r="S536" s="75">
        <v>45265</v>
      </c>
      <c r="T536" s="75"/>
      <c r="U536" s="65">
        <f>SUM(W536/30)</f>
        <v>42400.166666666664</v>
      </c>
      <c r="V536" s="62" t="s">
        <v>25941</v>
      </c>
      <c r="W536" s="65">
        <v>1272005</v>
      </c>
      <c r="X536" s="62">
        <v>0</v>
      </c>
      <c r="Y536" s="65">
        <v>84800</v>
      </c>
      <c r="Z536" s="73"/>
    </row>
    <row r="537" spans="1:26" ht="15.75" hidden="1" customHeight="1" x14ac:dyDescent="0.25">
      <c r="A537" s="67">
        <v>12</v>
      </c>
      <c r="B537" s="68">
        <v>85453791</v>
      </c>
      <c r="C537" s="68" t="s">
        <v>25459</v>
      </c>
      <c r="D537" s="68" t="s">
        <v>25373</v>
      </c>
      <c r="E537" s="68" t="s">
        <v>25380</v>
      </c>
      <c r="F537" s="68" t="s">
        <v>25020</v>
      </c>
      <c r="G537" s="81" t="s">
        <v>19285</v>
      </c>
      <c r="H537" s="69">
        <v>45264</v>
      </c>
      <c r="I537" s="69">
        <v>45265</v>
      </c>
      <c r="J537" s="68">
        <v>2</v>
      </c>
      <c r="K537" s="68">
        <v>2</v>
      </c>
      <c r="L537" s="68" t="s">
        <v>24995</v>
      </c>
      <c r="M537" s="68" t="s">
        <v>24995</v>
      </c>
      <c r="N537" s="62" t="s">
        <v>19269</v>
      </c>
      <c r="O537" s="68" t="s">
        <v>3579</v>
      </c>
      <c r="P537" s="42" t="str">
        <f>+IF(O537="","",IFERROR(VLOOKUP(O537,CODIGO_DIAGNOSTICO,2,0),"CÓDIGO NO ENCONTRADO"))</f>
        <v>LARINGITIS OBSTRUCTIVA, AGUDA [CRUP]</v>
      </c>
      <c r="Q537" s="68" t="s">
        <v>19230</v>
      </c>
      <c r="R537" s="67">
        <v>0</v>
      </c>
      <c r="S537" s="77"/>
      <c r="T537" s="76"/>
      <c r="U537" s="65">
        <f>SUM(W537/30)</f>
        <v>42400.166666666664</v>
      </c>
      <c r="V537" s="68" t="s">
        <v>25941</v>
      </c>
      <c r="W537" s="70">
        <v>1272005</v>
      </c>
      <c r="X537" s="68">
        <v>0</v>
      </c>
      <c r="Y537" s="70">
        <v>84800</v>
      </c>
      <c r="Z537" s="72"/>
    </row>
    <row r="538" spans="1:26" ht="15.75" hidden="1" customHeight="1" x14ac:dyDescent="0.25">
      <c r="A538" s="64">
        <v>12</v>
      </c>
      <c r="B538" s="62">
        <v>71185910</v>
      </c>
      <c r="C538" s="62" t="s">
        <v>26041</v>
      </c>
      <c r="D538" s="62" t="s">
        <v>25513</v>
      </c>
      <c r="E538" s="62" t="s">
        <v>26042</v>
      </c>
      <c r="F538" s="62" t="s">
        <v>25135</v>
      </c>
      <c r="G538" s="81" t="s">
        <v>19285</v>
      </c>
      <c r="H538" s="63">
        <v>45264</v>
      </c>
      <c r="I538" s="63">
        <v>45293</v>
      </c>
      <c r="J538" s="62">
        <v>30</v>
      </c>
      <c r="K538" s="62">
        <v>30</v>
      </c>
      <c r="L538" s="62" t="s">
        <v>24995</v>
      </c>
      <c r="M538" s="62" t="s">
        <v>24995</v>
      </c>
      <c r="N538" s="62" t="s">
        <v>19269</v>
      </c>
      <c r="O538" s="62" t="s">
        <v>7734</v>
      </c>
      <c r="P538" s="42" t="str">
        <f>+IF(O538="","",IFERROR(VLOOKUP(O538,CODIGO_DIAGNOSTICO,2,0),"CÓDIGO NO ENCONTRADO"))</f>
        <v>DESGARRO DE MENISCOS, PRESENTE</v>
      </c>
      <c r="Q538" s="62" t="s">
        <v>19232</v>
      </c>
      <c r="R538" s="64"/>
      <c r="S538" s="75"/>
      <c r="T538" s="75"/>
      <c r="U538" s="65">
        <f>SUM(W538/30)</f>
        <v>42400.166666666664</v>
      </c>
      <c r="V538" s="62" t="s">
        <v>25941</v>
      </c>
      <c r="W538" s="65">
        <v>1272005</v>
      </c>
      <c r="X538" s="62">
        <v>0</v>
      </c>
      <c r="Y538" s="65">
        <v>84800</v>
      </c>
      <c r="Z538" s="73"/>
    </row>
    <row r="539" spans="1:26" ht="15.75" hidden="1" customHeight="1" x14ac:dyDescent="0.25">
      <c r="A539" s="67">
        <v>12</v>
      </c>
      <c r="B539" s="68">
        <v>71393487</v>
      </c>
      <c r="C539" s="68" t="s">
        <v>25174</v>
      </c>
      <c r="D539" s="68" t="s">
        <v>25572</v>
      </c>
      <c r="E539" s="68" t="s">
        <v>25573</v>
      </c>
      <c r="F539" s="68" t="s">
        <v>25574</v>
      </c>
      <c r="G539" s="81" t="s">
        <v>19285</v>
      </c>
      <c r="H539" s="69">
        <v>45265</v>
      </c>
      <c r="I539" s="69">
        <v>45265</v>
      </c>
      <c r="J539" s="68">
        <v>1</v>
      </c>
      <c r="K539" s="68">
        <v>1</v>
      </c>
      <c r="L539" s="68" t="s">
        <v>24995</v>
      </c>
      <c r="M539" s="68" t="s">
        <v>24995</v>
      </c>
      <c r="N539" s="62" t="s">
        <v>19269</v>
      </c>
      <c r="O539" s="68" t="s">
        <v>4838</v>
      </c>
      <c r="P539" s="42" t="str">
        <f>+IF(O539="","",IFERROR(VLOOKUP(O539,CODIGO_DIAGNOSTICO,2,0),"CÓDIGO NO ENCONTRADO"))</f>
        <v>LUMBAGO NO ESPECIFICADO</v>
      </c>
      <c r="Q539" s="68" t="s">
        <v>19230</v>
      </c>
      <c r="R539" s="67">
        <v>0</v>
      </c>
      <c r="S539" s="77">
        <v>45265</v>
      </c>
      <c r="T539" s="76" t="s">
        <v>26021</v>
      </c>
      <c r="U539" s="65">
        <f>SUM(W539/30)</f>
        <v>42400.166666666664</v>
      </c>
      <c r="V539" s="68" t="s">
        <v>25941</v>
      </c>
      <c r="W539" s="70">
        <v>1272005</v>
      </c>
      <c r="X539" s="68">
        <v>0</v>
      </c>
      <c r="Y539" s="70">
        <v>84800</v>
      </c>
      <c r="Z539" s="72"/>
    </row>
    <row r="540" spans="1:26" ht="15.75" hidden="1" customHeight="1" x14ac:dyDescent="0.25">
      <c r="A540" s="64">
        <v>12</v>
      </c>
      <c r="B540" s="62">
        <v>7559527</v>
      </c>
      <c r="C540" s="62" t="s">
        <v>25164</v>
      </c>
      <c r="D540" s="62"/>
      <c r="E540" s="62" t="s">
        <v>25188</v>
      </c>
      <c r="F540" s="62" t="s">
        <v>24986</v>
      </c>
      <c r="G540" s="81" t="s">
        <v>19285</v>
      </c>
      <c r="H540" s="63">
        <v>45266</v>
      </c>
      <c r="I540" s="63">
        <v>45268</v>
      </c>
      <c r="J540" s="62">
        <v>3</v>
      </c>
      <c r="K540" s="62">
        <v>3</v>
      </c>
      <c r="L540" s="62" t="s">
        <v>24995</v>
      </c>
      <c r="M540" s="62" t="s">
        <v>24995</v>
      </c>
      <c r="N540" s="62" t="s">
        <v>19269</v>
      </c>
      <c r="O540" s="62" t="s">
        <v>2850</v>
      </c>
      <c r="P540" s="42" t="str">
        <f>+IF(O540="","",IFERROR(VLOOKUP(O540,CODIGO_DIAGNOSTICO,2,0),"CÓDIGO NO ENCONTRADO"))</f>
        <v>PTERIGION</v>
      </c>
      <c r="Q540" s="62" t="s">
        <v>24996</v>
      </c>
      <c r="R540" s="64"/>
      <c r="S540" s="75"/>
      <c r="T540" s="75"/>
      <c r="U540" s="65">
        <f>SUM(W540/30)</f>
        <v>42400.166666666664</v>
      </c>
      <c r="V540" s="62" t="s">
        <v>25941</v>
      </c>
      <c r="W540" s="65">
        <v>1272005</v>
      </c>
      <c r="X540" s="62">
        <v>0</v>
      </c>
      <c r="Y540" s="65">
        <v>84800</v>
      </c>
      <c r="Z540" s="73"/>
    </row>
    <row r="541" spans="1:26" ht="15.75" hidden="1" customHeight="1" x14ac:dyDescent="0.25">
      <c r="A541" s="67">
        <v>12</v>
      </c>
      <c r="B541" s="68">
        <v>98601485</v>
      </c>
      <c r="C541" s="68" t="s">
        <v>25240</v>
      </c>
      <c r="D541" s="68"/>
      <c r="E541" s="68" t="s">
        <v>25241</v>
      </c>
      <c r="F541" s="68" t="s">
        <v>25103</v>
      </c>
      <c r="G541" s="81" t="s">
        <v>19285</v>
      </c>
      <c r="H541" s="69">
        <v>45268</v>
      </c>
      <c r="I541" s="69">
        <v>45270</v>
      </c>
      <c r="J541" s="68">
        <v>3</v>
      </c>
      <c r="K541" s="68">
        <v>3</v>
      </c>
      <c r="L541" s="68" t="s">
        <v>19262</v>
      </c>
      <c r="M541" s="68" t="s">
        <v>24995</v>
      </c>
      <c r="N541" s="62" t="s">
        <v>19269</v>
      </c>
      <c r="O541" s="68" t="s">
        <v>4650</v>
      </c>
      <c r="P541" s="42" t="str">
        <f>+IF(O541="","",IFERROR(VLOOKUP(O541,CODIGO_DIAGNOSTICO,2,0),"CÓDIGO NO ENCONTRADO"))</f>
        <v>GONARTROSIS, NO ESPECIFICADA</v>
      </c>
      <c r="Q541" s="68" t="s">
        <v>19230</v>
      </c>
      <c r="R541" s="67">
        <v>8872058</v>
      </c>
      <c r="S541" s="77"/>
      <c r="T541" s="76"/>
      <c r="U541" s="65">
        <f>SUM(W541/30)</f>
        <v>42400.166666666664</v>
      </c>
      <c r="V541" s="68" t="s">
        <v>25941</v>
      </c>
      <c r="W541" s="70">
        <v>1272005</v>
      </c>
      <c r="X541" s="68">
        <v>0</v>
      </c>
      <c r="Y541" s="70">
        <v>84800</v>
      </c>
      <c r="Z541" s="72"/>
    </row>
    <row r="542" spans="1:26" ht="15.75" hidden="1" customHeight="1" x14ac:dyDescent="0.25">
      <c r="A542" s="64">
        <v>12</v>
      </c>
      <c r="B542" s="62">
        <v>71316478</v>
      </c>
      <c r="C542" s="62" t="s">
        <v>25443</v>
      </c>
      <c r="D542" s="62"/>
      <c r="E542" s="62" t="s">
        <v>25070</v>
      </c>
      <c r="F542" s="62" t="s">
        <v>25515</v>
      </c>
      <c r="G542" s="81" t="s">
        <v>19285</v>
      </c>
      <c r="H542" s="63">
        <v>45269</v>
      </c>
      <c r="I542" s="63">
        <v>44933</v>
      </c>
      <c r="J542" s="62">
        <v>30</v>
      </c>
      <c r="K542" s="62">
        <v>30</v>
      </c>
      <c r="L542" s="62" t="s">
        <v>19262</v>
      </c>
      <c r="M542" s="62" t="s">
        <v>24995</v>
      </c>
      <c r="N542" s="62" t="s">
        <v>19269</v>
      </c>
      <c r="O542" s="62" t="s">
        <v>3415</v>
      </c>
      <c r="P542" s="42" t="str">
        <f>+IF(O542="","",IFERROR(VLOOKUP(O542,CODIGO_DIAGNOSTICO,2,0),"CÓDIGO NO ENCONTRADO"))</f>
        <v>ACCIDENTE VASCULAR ENCEFALICO AGUDO, NO ESPECIFICADO COMO HEMORRAGICO O ISQUEMICO</v>
      </c>
      <c r="Q542" s="62" t="s">
        <v>19230</v>
      </c>
      <c r="R542" s="64">
        <v>8872075</v>
      </c>
      <c r="S542" s="75"/>
      <c r="T542" s="75"/>
      <c r="U542" s="65">
        <f>SUM(W542/30)</f>
        <v>42400.166666666664</v>
      </c>
      <c r="V542" s="62" t="s">
        <v>25941</v>
      </c>
      <c r="W542" s="65">
        <v>1272005</v>
      </c>
      <c r="X542" s="62">
        <v>0</v>
      </c>
      <c r="Y542" s="65">
        <v>84800</v>
      </c>
      <c r="Z542" s="73"/>
    </row>
    <row r="543" spans="1:26" ht="15.75" hidden="1" customHeight="1" x14ac:dyDescent="0.25">
      <c r="A543" s="67">
        <v>12</v>
      </c>
      <c r="B543" s="68">
        <v>1000564417</v>
      </c>
      <c r="C543" s="68" t="s">
        <v>25079</v>
      </c>
      <c r="D543" s="68" t="s">
        <v>25233</v>
      </c>
      <c r="E543" s="68" t="s">
        <v>26040</v>
      </c>
      <c r="F543" s="68"/>
      <c r="G543" s="81" t="s">
        <v>19285</v>
      </c>
      <c r="H543" s="69">
        <v>45269</v>
      </c>
      <c r="I543" s="69">
        <v>45269</v>
      </c>
      <c r="J543" s="68">
        <v>1</v>
      </c>
      <c r="K543" s="68">
        <v>1</v>
      </c>
      <c r="L543" s="68" t="s">
        <v>24995</v>
      </c>
      <c r="M543" s="68" t="s">
        <v>24995</v>
      </c>
      <c r="N543" s="62" t="s">
        <v>19269</v>
      </c>
      <c r="O543" s="68" t="s">
        <v>88</v>
      </c>
      <c r="P543" s="42" t="str">
        <f>+IF(O543="","",IFERROR(VLOOKUP(O543,CODIGO_DIAGNOSTICO,2,0),"CÓDIGO NO ENCONTRADO"))</f>
        <v>DIARREA Y GASTROENTERITIS DE PRESUNTO ORIGEN INFECCIOSO</v>
      </c>
      <c r="Q543" s="68" t="s">
        <v>19232</v>
      </c>
      <c r="R543" s="67">
        <v>0</v>
      </c>
      <c r="S543" s="77"/>
      <c r="T543" s="76"/>
      <c r="U543" s="65">
        <f>SUM(W543/30)</f>
        <v>42400.166666666664</v>
      </c>
      <c r="V543" s="68" t="s">
        <v>25941</v>
      </c>
      <c r="W543" s="70">
        <v>1272005</v>
      </c>
      <c r="X543" s="68">
        <v>0</v>
      </c>
      <c r="Y543" s="70">
        <v>84800</v>
      </c>
      <c r="Z543" s="72"/>
    </row>
    <row r="544" spans="1:26" ht="15.75" hidden="1" customHeight="1" x14ac:dyDescent="0.25">
      <c r="A544" s="64">
        <v>12</v>
      </c>
      <c r="B544" s="62">
        <v>15509928</v>
      </c>
      <c r="C544" s="62" t="s">
        <v>25361</v>
      </c>
      <c r="D544" s="62" t="s">
        <v>25012</v>
      </c>
      <c r="E544" s="62" t="s">
        <v>25442</v>
      </c>
      <c r="F544" s="62" t="s">
        <v>25416</v>
      </c>
      <c r="G544" s="81" t="s">
        <v>19285</v>
      </c>
      <c r="H544" s="63">
        <v>45270</v>
      </c>
      <c r="I544" s="63">
        <v>45271</v>
      </c>
      <c r="J544" s="62">
        <v>2</v>
      </c>
      <c r="K544" s="62">
        <v>2</v>
      </c>
      <c r="L544" s="62" t="s">
        <v>24995</v>
      </c>
      <c r="M544" s="62" t="s">
        <v>24995</v>
      </c>
      <c r="N544" s="62" t="s">
        <v>19269</v>
      </c>
      <c r="O544" s="62" t="s">
        <v>88</v>
      </c>
      <c r="P544" s="42" t="str">
        <f>+IF(O544="","",IFERROR(VLOOKUP(O544,CODIGO_DIAGNOSTICO,2,0),"CÓDIGO NO ENCONTRADO"))</f>
        <v>DIARREA Y GASTROENTERITIS DE PRESUNTO ORIGEN INFECCIOSO</v>
      </c>
      <c r="Q544" s="62" t="s">
        <v>26059</v>
      </c>
      <c r="R544" s="64">
        <v>0</v>
      </c>
      <c r="S544" s="75"/>
      <c r="T544" s="75"/>
      <c r="U544" s="65">
        <f>SUM(W544/30)</f>
        <v>42400.166666666664</v>
      </c>
      <c r="V544" s="62" t="s">
        <v>25941</v>
      </c>
      <c r="W544" s="65">
        <v>1272005</v>
      </c>
      <c r="X544" s="62">
        <v>0</v>
      </c>
      <c r="Y544" s="65">
        <v>84800</v>
      </c>
      <c r="Z544" s="73"/>
    </row>
    <row r="545" spans="1:26" ht="15.75" hidden="1" customHeight="1" x14ac:dyDescent="0.25">
      <c r="A545" s="67">
        <v>12</v>
      </c>
      <c r="B545" s="68">
        <v>98601485</v>
      </c>
      <c r="C545" s="68" t="s">
        <v>25240</v>
      </c>
      <c r="D545" s="68"/>
      <c r="E545" s="68" t="s">
        <v>25241</v>
      </c>
      <c r="F545" s="68" t="s">
        <v>25103</v>
      </c>
      <c r="G545" s="81" t="s">
        <v>19285</v>
      </c>
      <c r="H545" s="69">
        <v>45271</v>
      </c>
      <c r="I545" s="69">
        <v>45290</v>
      </c>
      <c r="J545" s="68">
        <v>20</v>
      </c>
      <c r="K545" s="68">
        <v>20</v>
      </c>
      <c r="L545" s="68" t="s">
        <v>19262</v>
      </c>
      <c r="M545" s="68" t="s">
        <v>24995</v>
      </c>
      <c r="N545" s="62" t="s">
        <v>19269</v>
      </c>
      <c r="O545" s="68" t="s">
        <v>8415</v>
      </c>
      <c r="P545" s="42" t="str">
        <f>+IF(O545="","",IFERROR(VLOOKUP(O545,CODIGO_DIAGNOSTICO,2,0),"CÓDIGO NO ENCONTRADO"))</f>
        <v>COMPLICACION MECANICA DE PROTESIS ARTICULAR INTERNA</v>
      </c>
      <c r="Q545" s="68" t="s">
        <v>19230</v>
      </c>
      <c r="R545" s="67">
        <v>8872066</v>
      </c>
      <c r="S545" s="77"/>
      <c r="T545" s="76"/>
      <c r="U545" s="65">
        <f>SUM(W545/30)</f>
        <v>42400.166666666664</v>
      </c>
      <c r="V545" s="68" t="s">
        <v>25941</v>
      </c>
      <c r="W545" s="70">
        <v>1272005</v>
      </c>
      <c r="X545" s="68">
        <v>0</v>
      </c>
      <c r="Y545" s="70">
        <v>84800</v>
      </c>
      <c r="Z545" s="72"/>
    </row>
    <row r="546" spans="1:26" ht="15.75" hidden="1" customHeight="1" x14ac:dyDescent="0.25">
      <c r="A546" s="64">
        <v>12</v>
      </c>
      <c r="B546" s="62">
        <v>1036622798</v>
      </c>
      <c r="C546" s="62" t="s">
        <v>25272</v>
      </c>
      <c r="D546" s="62" t="s">
        <v>25993</v>
      </c>
      <c r="E546" s="62" t="s">
        <v>26035</v>
      </c>
      <c r="F546" s="62" t="s">
        <v>25339</v>
      </c>
      <c r="G546" s="81" t="s">
        <v>19285</v>
      </c>
      <c r="H546" s="63">
        <v>45271</v>
      </c>
      <c r="I546" s="63">
        <v>45300</v>
      </c>
      <c r="J546" s="62">
        <v>30</v>
      </c>
      <c r="K546" s="62">
        <v>3</v>
      </c>
      <c r="L546" s="62" t="s">
        <v>19262</v>
      </c>
      <c r="M546" s="62" t="s">
        <v>24995</v>
      </c>
      <c r="N546" s="62" t="s">
        <v>19269</v>
      </c>
      <c r="O546" s="62" t="s">
        <v>7789</v>
      </c>
      <c r="P546" s="42" t="str">
        <f>+IF(O546="","",IFERROR(VLOOKUP(O546,CODIGO_DIAGNOSTICO,2,0),"CÓDIGO NO ENCONTRADO"))</f>
        <v>FRACTURA DEL PIE, NO ESPECIFICADA</v>
      </c>
      <c r="Q546" s="62" t="s">
        <v>19230</v>
      </c>
      <c r="R546" s="64">
        <v>8872068</v>
      </c>
      <c r="S546" s="75"/>
      <c r="T546" s="75"/>
      <c r="U546" s="65">
        <f>SUM(W546/30)</f>
        <v>42400.166666666664</v>
      </c>
      <c r="V546" s="62" t="s">
        <v>25941</v>
      </c>
      <c r="W546" s="65">
        <v>1272005</v>
      </c>
      <c r="X546" s="62">
        <v>0</v>
      </c>
      <c r="Y546" s="65">
        <v>84800</v>
      </c>
      <c r="Z546" s="73"/>
    </row>
    <row r="547" spans="1:26" ht="15.75" hidden="1" customHeight="1" x14ac:dyDescent="0.25">
      <c r="A547" s="67">
        <v>12</v>
      </c>
      <c r="B547" s="68">
        <v>70252687</v>
      </c>
      <c r="C547" s="68" t="s">
        <v>25178</v>
      </c>
      <c r="D547" s="68" t="s">
        <v>25248</v>
      </c>
      <c r="E547" s="68" t="s">
        <v>25359</v>
      </c>
      <c r="F547" s="68" t="s">
        <v>25020</v>
      </c>
      <c r="G547" s="81" t="s">
        <v>19285</v>
      </c>
      <c r="H547" s="69">
        <v>45271</v>
      </c>
      <c r="I547" s="69">
        <v>44935</v>
      </c>
      <c r="J547" s="68">
        <v>30</v>
      </c>
      <c r="K547" s="68">
        <v>30</v>
      </c>
      <c r="L547" s="68" t="s">
        <v>19262</v>
      </c>
      <c r="M547" s="68" t="s">
        <v>19262</v>
      </c>
      <c r="N547" s="62" t="s">
        <v>19269</v>
      </c>
      <c r="O547" s="68" t="s">
        <v>905</v>
      </c>
      <c r="P547" s="42" t="str">
        <f>+IF(O547="","",IFERROR(VLOOKUP(O547,CODIGO_DIAGNOSTICO,2,0),"CÓDIGO NO ENCONTRADO"))</f>
        <v>TUMOR MALIGNO DEL RECTO</v>
      </c>
      <c r="Q547" s="68" t="s">
        <v>19230</v>
      </c>
      <c r="R547" s="67">
        <v>8874444</v>
      </c>
      <c r="S547" s="77">
        <v>45274</v>
      </c>
      <c r="T547" s="76"/>
      <c r="U547" s="65">
        <f>SUM(W547/30)</f>
        <v>42400.166666666664</v>
      </c>
      <c r="V547" s="68" t="s">
        <v>25941</v>
      </c>
      <c r="W547" s="70">
        <v>1272005</v>
      </c>
      <c r="X547" s="68">
        <v>0</v>
      </c>
      <c r="Y547" s="70">
        <v>84800</v>
      </c>
      <c r="Z547" s="72"/>
    </row>
    <row r="548" spans="1:26" ht="15.75" hidden="1" customHeight="1" x14ac:dyDescent="0.25">
      <c r="A548" s="64">
        <v>12</v>
      </c>
      <c r="B548" s="62">
        <v>15509928</v>
      </c>
      <c r="C548" s="62" t="s">
        <v>25361</v>
      </c>
      <c r="D548" s="62" t="s">
        <v>25012</v>
      </c>
      <c r="E548" s="62" t="s">
        <v>25442</v>
      </c>
      <c r="F548" s="62" t="s">
        <v>25416</v>
      </c>
      <c r="G548" s="81" t="s">
        <v>19285</v>
      </c>
      <c r="H548" s="63">
        <v>45272</v>
      </c>
      <c r="I548" s="63">
        <v>45273</v>
      </c>
      <c r="J548" s="62">
        <v>2</v>
      </c>
      <c r="K548" s="62">
        <v>2</v>
      </c>
      <c r="L548" s="62" t="s">
        <v>24995</v>
      </c>
      <c r="M548" s="62" t="s">
        <v>24995</v>
      </c>
      <c r="N548" s="62" t="s">
        <v>19269</v>
      </c>
      <c r="O548" s="62" t="s">
        <v>86</v>
      </c>
      <c r="P548" s="42" t="str">
        <f>+IF(O548="","",IFERROR(VLOOKUP(O548,CODIGO_DIAGNOSTICO,2,0),"CÓDIGO NO ENCONTRADO"))</f>
        <v>INFECCION INTESTINAL VIRAL, SIN OTRA ESPECIFICACION</v>
      </c>
      <c r="Q548" s="62" t="s">
        <v>26059</v>
      </c>
      <c r="R548" s="64">
        <v>0</v>
      </c>
      <c r="S548" s="75"/>
      <c r="T548" s="75"/>
      <c r="U548" s="65">
        <f>SUM(W548/30)</f>
        <v>42400.166666666664</v>
      </c>
      <c r="V548" s="62" t="s">
        <v>25941</v>
      </c>
      <c r="W548" s="65">
        <v>1272005</v>
      </c>
      <c r="X548" s="62">
        <v>0</v>
      </c>
      <c r="Y548" s="65">
        <v>84800</v>
      </c>
      <c r="Z548" s="73"/>
    </row>
    <row r="549" spans="1:26" ht="15.75" hidden="1" customHeight="1" x14ac:dyDescent="0.25">
      <c r="A549" s="67">
        <v>12</v>
      </c>
      <c r="B549" s="68">
        <v>70323164</v>
      </c>
      <c r="C549" s="68" t="s">
        <v>24992</v>
      </c>
      <c r="D549" s="68" t="s">
        <v>24985</v>
      </c>
      <c r="E549" s="68" t="s">
        <v>25091</v>
      </c>
      <c r="F549" s="68" t="s">
        <v>25996</v>
      </c>
      <c r="G549" s="81" t="s">
        <v>19285</v>
      </c>
      <c r="H549" s="69">
        <v>45273</v>
      </c>
      <c r="I549" s="69">
        <v>45287</v>
      </c>
      <c r="J549" s="68">
        <v>15</v>
      </c>
      <c r="K549" s="68">
        <v>15</v>
      </c>
      <c r="L549" s="68" t="s">
        <v>19262</v>
      </c>
      <c r="M549" s="68" t="s">
        <v>24995</v>
      </c>
      <c r="N549" s="62" t="s">
        <v>19269</v>
      </c>
      <c r="O549" s="68" t="s">
        <v>3693</v>
      </c>
      <c r="P549" s="42" t="str">
        <f>+IF(O549="","",IFERROR(VLOOKUP(O549,CODIGO_DIAGNOSTICO,2,0),"CÓDIGO NO ENCONTRADO"))</f>
        <v>ENFERMEDAD PULMONAR OBSTRUCTIVA CRONICA, NO ESPECIFICADA</v>
      </c>
      <c r="Q549" s="68" t="s">
        <v>19230</v>
      </c>
      <c r="R549" s="67">
        <v>8872051</v>
      </c>
      <c r="S549" s="77"/>
      <c r="T549" s="76"/>
      <c r="U549" s="65">
        <f>SUM(W549/30)</f>
        <v>42400.166666666664</v>
      </c>
      <c r="V549" s="68" t="s">
        <v>25941</v>
      </c>
      <c r="W549" s="70">
        <v>1272005</v>
      </c>
      <c r="X549" s="68">
        <v>0</v>
      </c>
      <c r="Y549" s="70">
        <v>84800</v>
      </c>
      <c r="Z549" s="72"/>
    </row>
    <row r="550" spans="1:26" ht="15.75" hidden="1" customHeight="1" x14ac:dyDescent="0.25">
      <c r="A550" s="64">
        <v>12</v>
      </c>
      <c r="B550" s="62">
        <v>11804878</v>
      </c>
      <c r="C550" s="62" t="s">
        <v>25857</v>
      </c>
      <c r="D550" s="62" t="s">
        <v>25999</v>
      </c>
      <c r="E550" s="62" t="s">
        <v>25490</v>
      </c>
      <c r="F550" s="62"/>
      <c r="G550" s="81" t="s">
        <v>19285</v>
      </c>
      <c r="H550" s="63">
        <v>45275</v>
      </c>
      <c r="I550" s="63">
        <v>45276</v>
      </c>
      <c r="J550" s="62">
        <v>2</v>
      </c>
      <c r="K550" s="62">
        <v>2</v>
      </c>
      <c r="L550" s="62" t="s">
        <v>24995</v>
      </c>
      <c r="M550" s="62" t="s">
        <v>24995</v>
      </c>
      <c r="N550" s="62" t="s">
        <v>19269</v>
      </c>
      <c r="O550" s="62" t="s">
        <v>5226</v>
      </c>
      <c r="P550" s="42" t="str">
        <f>+IF(O550="","",IFERROR(VLOOKUP(O550,CODIGO_DIAGNOSTICO,2,0),"CÓDIGO NO ENCONTRADO"))</f>
        <v>COLICO RENAL, NO ESPECIFICADO</v>
      </c>
      <c r="Q550" s="62" t="s">
        <v>19230</v>
      </c>
      <c r="R550" s="64">
        <v>0</v>
      </c>
      <c r="S550" s="75"/>
      <c r="T550" s="75"/>
      <c r="U550" s="65">
        <f>SUM(W550/30)</f>
        <v>42400.166666666664</v>
      </c>
      <c r="V550" s="62" t="s">
        <v>25941</v>
      </c>
      <c r="W550" s="65">
        <v>1272005</v>
      </c>
      <c r="X550" s="62">
        <v>0</v>
      </c>
      <c r="Y550" s="65">
        <v>84800</v>
      </c>
      <c r="Z550" s="73"/>
    </row>
    <row r="551" spans="1:26" ht="15.75" hidden="1" customHeight="1" x14ac:dyDescent="0.25">
      <c r="A551" s="67">
        <v>12</v>
      </c>
      <c r="B551" s="68">
        <v>98594342</v>
      </c>
      <c r="C551" s="68" t="s">
        <v>25424</v>
      </c>
      <c r="D551" s="68" t="s">
        <v>25164</v>
      </c>
      <c r="E551" s="68" t="s">
        <v>25493</v>
      </c>
      <c r="F551" s="68" t="s">
        <v>25020</v>
      </c>
      <c r="G551" s="81" t="s">
        <v>19285</v>
      </c>
      <c r="H551" s="69">
        <v>45275</v>
      </c>
      <c r="I551" s="69">
        <v>45294</v>
      </c>
      <c r="J551" s="68">
        <v>20</v>
      </c>
      <c r="K551" s="68">
        <v>20</v>
      </c>
      <c r="L551" s="68" t="s">
        <v>24995</v>
      </c>
      <c r="M551" s="68" t="s">
        <v>24995</v>
      </c>
      <c r="N551" s="62" t="s">
        <v>19269</v>
      </c>
      <c r="O551" s="68" t="s">
        <v>3515</v>
      </c>
      <c r="P551" s="42" t="str">
        <f>+IF(O551="","",IFERROR(VLOOKUP(O551,CODIGO_DIAGNOSTICO,2,0),"CÓDIGO NO ENCONTRADO"))</f>
        <v>VENAS VARICOSAS DE LOS MIEMBROS INFERIORES SIN ULCERA NI INFLAMACION</v>
      </c>
      <c r="Q551" s="68" t="s">
        <v>19232</v>
      </c>
      <c r="R551" s="67"/>
      <c r="S551" s="77"/>
      <c r="T551" s="76"/>
      <c r="U551" s="65">
        <f>SUM(W551/30)</f>
        <v>42400.166666666664</v>
      </c>
      <c r="V551" s="68" t="s">
        <v>25941</v>
      </c>
      <c r="W551" s="70">
        <v>1272005</v>
      </c>
      <c r="X551" s="68">
        <v>0</v>
      </c>
      <c r="Y551" s="70">
        <v>84800</v>
      </c>
      <c r="Z551" s="72"/>
    </row>
    <row r="552" spans="1:26" ht="15.75" hidden="1" customHeight="1" x14ac:dyDescent="0.25">
      <c r="A552" s="64">
        <v>12</v>
      </c>
      <c r="B552" s="62">
        <v>98709467</v>
      </c>
      <c r="C552" s="62" t="s">
        <v>25390</v>
      </c>
      <c r="D552" s="62" t="s">
        <v>26062</v>
      </c>
      <c r="E552" s="62" t="s">
        <v>25754</v>
      </c>
      <c r="F552" s="62" t="s">
        <v>25060</v>
      </c>
      <c r="G552" s="81" t="s">
        <v>19285</v>
      </c>
      <c r="H552" s="63">
        <v>45275</v>
      </c>
      <c r="I552" s="63">
        <v>45289</v>
      </c>
      <c r="J552" s="62">
        <v>15</v>
      </c>
      <c r="K552" s="62">
        <v>15</v>
      </c>
      <c r="L552" s="62" t="s">
        <v>24995</v>
      </c>
      <c r="M552" s="62" t="s">
        <v>24995</v>
      </c>
      <c r="N552" s="62" t="s">
        <v>19269</v>
      </c>
      <c r="O552" s="62" t="s">
        <v>4062</v>
      </c>
      <c r="P552" s="42" t="str">
        <f>+IF(O552="","",IFERROR(VLOOKUP(O552,CODIGO_DIAGNOSTICO,2,0),"CÓDIGO NO ENCONTRADO"))</f>
        <v>FISTULA ANORRECTAL</v>
      </c>
      <c r="Q552" s="62" t="s">
        <v>26059</v>
      </c>
      <c r="R552" s="64">
        <v>8918630</v>
      </c>
      <c r="S552" s="75">
        <v>45294</v>
      </c>
      <c r="T552" s="75"/>
      <c r="U552" s="65">
        <f>SUM(W552/30)</f>
        <v>42400.166666666664</v>
      </c>
      <c r="V552" s="62" t="s">
        <v>25941</v>
      </c>
      <c r="W552" s="65">
        <v>1272005</v>
      </c>
      <c r="X552" s="62">
        <v>0</v>
      </c>
      <c r="Y552" s="65">
        <v>84800</v>
      </c>
      <c r="Z552" s="73"/>
    </row>
    <row r="553" spans="1:26" ht="15.75" hidden="1" customHeight="1" x14ac:dyDescent="0.25">
      <c r="A553" s="67">
        <v>12</v>
      </c>
      <c r="B553" s="68">
        <v>71651935</v>
      </c>
      <c r="C553" s="68" t="s">
        <v>25635</v>
      </c>
      <c r="D553" s="68" t="s">
        <v>25480</v>
      </c>
      <c r="E553" s="68" t="s">
        <v>25282</v>
      </c>
      <c r="F553" s="68" t="s">
        <v>25028</v>
      </c>
      <c r="G553" s="81" t="s">
        <v>19285</v>
      </c>
      <c r="H553" s="69">
        <v>45277</v>
      </c>
      <c r="I553" s="69">
        <v>45306</v>
      </c>
      <c r="J553" s="68">
        <v>30</v>
      </c>
      <c r="K553" s="68">
        <v>30</v>
      </c>
      <c r="L553" s="68" t="s">
        <v>19262</v>
      </c>
      <c r="M553" s="68" t="s">
        <v>19262</v>
      </c>
      <c r="N553" s="62" t="s">
        <v>19269</v>
      </c>
      <c r="O553" s="68" t="s">
        <v>905</v>
      </c>
      <c r="P553" s="42" t="str">
        <f>+IF(O553="","",IFERROR(VLOOKUP(O553,CODIGO_DIAGNOSTICO,2,0),"CÓDIGO NO ENCONTRADO"))</f>
        <v>TUMOR MALIGNO DEL RECTO</v>
      </c>
      <c r="Q553" s="68" t="s">
        <v>24996</v>
      </c>
      <c r="R553" s="67"/>
      <c r="S553" s="77"/>
      <c r="T553" s="76"/>
      <c r="U553" s="65"/>
      <c r="V553" s="68"/>
      <c r="W553" s="70"/>
      <c r="X553" s="68"/>
      <c r="Y553" s="70"/>
      <c r="Z553" s="72"/>
    </row>
    <row r="554" spans="1:26" ht="15.75" hidden="1" customHeight="1" x14ac:dyDescent="0.25">
      <c r="A554" s="64">
        <v>12</v>
      </c>
      <c r="B554" s="62">
        <v>1216722370</v>
      </c>
      <c r="C554" s="62" t="s">
        <v>25030</v>
      </c>
      <c r="D554" s="62" t="s">
        <v>25348</v>
      </c>
      <c r="E554" s="62" t="s">
        <v>25851</v>
      </c>
      <c r="F554" s="62" t="s">
        <v>25060</v>
      </c>
      <c r="G554" s="81" t="s">
        <v>19285</v>
      </c>
      <c r="H554" s="63">
        <v>45278</v>
      </c>
      <c r="I554" s="63">
        <v>45285</v>
      </c>
      <c r="J554" s="62">
        <v>8</v>
      </c>
      <c r="K554" s="62">
        <v>8</v>
      </c>
      <c r="L554" s="62" t="s">
        <v>24995</v>
      </c>
      <c r="M554" s="62" t="s">
        <v>24995</v>
      </c>
      <c r="N554" s="62" t="s">
        <v>19269</v>
      </c>
      <c r="O554" s="62" t="s">
        <v>4984</v>
      </c>
      <c r="P554" s="42" t="str">
        <f>+IF(O554="","",IFERROR(VLOOKUP(O554,CODIGO_DIAGNOSTICO,2,0),"CÓDIGO NO ENCONTRADO"))</f>
        <v>CONSOLIDACION RETARDADA DE FRACTURA</v>
      </c>
      <c r="Q554" s="62" t="s">
        <v>19231</v>
      </c>
      <c r="R554" s="64">
        <v>837302</v>
      </c>
      <c r="S554" s="75">
        <v>45282</v>
      </c>
      <c r="T554" s="75"/>
      <c r="U554" s="65">
        <f>SUM(W554/30)</f>
        <v>42400.166666666664</v>
      </c>
      <c r="V554" s="62" t="s">
        <v>25941</v>
      </c>
      <c r="W554" s="65">
        <v>1272005</v>
      </c>
      <c r="X554" s="62">
        <v>0</v>
      </c>
      <c r="Y554" s="65">
        <v>84800</v>
      </c>
      <c r="Z554" s="73"/>
    </row>
    <row r="555" spans="1:26" ht="15.75" hidden="1" customHeight="1" x14ac:dyDescent="0.25">
      <c r="A555" s="67">
        <v>12</v>
      </c>
      <c r="B555" s="68">
        <v>15309929</v>
      </c>
      <c r="C555" s="68" t="s">
        <v>25047</v>
      </c>
      <c r="D555" s="68" t="s">
        <v>25214</v>
      </c>
      <c r="E555" s="68" t="s">
        <v>25048</v>
      </c>
      <c r="F555" s="68" t="s">
        <v>25014</v>
      </c>
      <c r="G555" s="81" t="s">
        <v>19285</v>
      </c>
      <c r="H555" s="69">
        <v>45278</v>
      </c>
      <c r="I555" s="69">
        <v>45383</v>
      </c>
      <c r="J555" s="68">
        <v>15</v>
      </c>
      <c r="K555" s="68">
        <v>15</v>
      </c>
      <c r="L555" s="68" t="s">
        <v>19262</v>
      </c>
      <c r="M555" s="68" t="s">
        <v>19262</v>
      </c>
      <c r="N555" s="62" t="s">
        <v>19269</v>
      </c>
      <c r="O555" s="68" t="s">
        <v>7734</v>
      </c>
      <c r="P555" s="42" t="str">
        <f>+IF(O555="","",IFERROR(VLOOKUP(O555,CODIGO_DIAGNOSTICO,2,0),"CÓDIGO NO ENCONTRADO"))</f>
        <v>DESGARRO DE MENISCOS, PRESENTE</v>
      </c>
      <c r="Q555" s="68" t="s">
        <v>26059</v>
      </c>
      <c r="R555" s="67">
        <v>8918580</v>
      </c>
      <c r="S555" s="77">
        <v>45294</v>
      </c>
      <c r="T555" s="76"/>
      <c r="U555" s="65">
        <f>SUM(W555/30)</f>
        <v>42400.166666666664</v>
      </c>
      <c r="V555" s="68" t="s">
        <v>25941</v>
      </c>
      <c r="W555" s="70">
        <v>1272005</v>
      </c>
      <c r="X555" s="68">
        <v>0</v>
      </c>
      <c r="Y555" s="70">
        <v>84800</v>
      </c>
      <c r="Z555" s="72"/>
    </row>
    <row r="556" spans="1:26" ht="15.75" hidden="1" customHeight="1" x14ac:dyDescent="0.25">
      <c r="A556" s="64">
        <v>12</v>
      </c>
      <c r="B556" s="62">
        <v>1039760977</v>
      </c>
      <c r="C556" s="62" t="s">
        <v>26036</v>
      </c>
      <c r="D556" s="62" t="s">
        <v>25094</v>
      </c>
      <c r="E556" s="62" t="s">
        <v>26037</v>
      </c>
      <c r="F556" s="62" t="s">
        <v>25051</v>
      </c>
      <c r="G556" s="81" t="s">
        <v>19285</v>
      </c>
      <c r="H556" s="63">
        <v>45279</v>
      </c>
      <c r="I556" s="63">
        <v>45285</v>
      </c>
      <c r="J556" s="62">
        <v>7</v>
      </c>
      <c r="K556" s="62">
        <v>7</v>
      </c>
      <c r="L556" s="62" t="s">
        <v>24995</v>
      </c>
      <c r="M556" s="62" t="s">
        <v>24995</v>
      </c>
      <c r="N556" s="62" t="s">
        <v>19269</v>
      </c>
      <c r="O556" s="62" t="s">
        <v>7720</v>
      </c>
      <c r="P556" s="42" t="str">
        <f>+IF(O556="","",IFERROR(VLOOKUP(O556,CODIGO_DIAGNOSTICO,2,0),"CÓDIGO NO ENCONTRADO"))</f>
        <v>HERIDA DE OTRAS PARTES DE LA PIERNA</v>
      </c>
      <c r="Q556" s="62" t="s">
        <v>19230</v>
      </c>
      <c r="R556" s="64">
        <v>8897168</v>
      </c>
      <c r="S556" s="75">
        <v>45281</v>
      </c>
      <c r="T556" s="75"/>
      <c r="U556" s="65">
        <f>SUM(W556/30)</f>
        <v>42400.166666666664</v>
      </c>
      <c r="V556" s="62" t="s">
        <v>25941</v>
      </c>
      <c r="W556" s="65">
        <v>1272005</v>
      </c>
      <c r="X556" s="62">
        <v>0</v>
      </c>
      <c r="Y556" s="65">
        <v>84800</v>
      </c>
      <c r="Z556" s="73"/>
    </row>
    <row r="557" spans="1:26" ht="15.75" hidden="1" customHeight="1" x14ac:dyDescent="0.25">
      <c r="A557" s="67">
        <v>12</v>
      </c>
      <c r="B557" s="68">
        <v>43709476</v>
      </c>
      <c r="C557" s="68" t="s">
        <v>25569</v>
      </c>
      <c r="D557" s="68" t="s">
        <v>25233</v>
      </c>
      <c r="E557" s="68" t="s">
        <v>25234</v>
      </c>
      <c r="F557" s="68" t="s">
        <v>25235</v>
      </c>
      <c r="G557" s="81" t="s">
        <v>19285</v>
      </c>
      <c r="H557" s="69">
        <v>45280</v>
      </c>
      <c r="I557" s="69">
        <v>45280</v>
      </c>
      <c r="J557" s="68">
        <v>1</v>
      </c>
      <c r="K557" s="68">
        <v>1</v>
      </c>
      <c r="L557" s="68" t="s">
        <v>24995</v>
      </c>
      <c r="M557" s="68" t="s">
        <v>24995</v>
      </c>
      <c r="N557" s="62" t="s">
        <v>19269</v>
      </c>
      <c r="O557" s="68" t="s">
        <v>539</v>
      </c>
      <c r="P557" s="42" t="str">
        <f>+IF(O557="","",IFERROR(VLOOKUP(O557,CODIGO_DIAGNOSTICO,2,0),"CÓDIGO NO ENCONTRADO"))</f>
        <v>INFECCION VIRAL, NO ESPECIFICADA</v>
      </c>
      <c r="Q557" s="68" t="s">
        <v>26059</v>
      </c>
      <c r="R557" s="67">
        <v>0</v>
      </c>
      <c r="S557" s="77"/>
      <c r="T557" s="76"/>
      <c r="U557" s="65">
        <v>42400</v>
      </c>
      <c r="V557" s="68" t="s">
        <v>25941</v>
      </c>
      <c r="W557" s="70">
        <v>1272005</v>
      </c>
      <c r="X557" s="68">
        <v>0</v>
      </c>
      <c r="Y557" s="70">
        <v>42400</v>
      </c>
      <c r="Z557" s="72"/>
    </row>
    <row r="558" spans="1:26" ht="15.75" hidden="1" customHeight="1" x14ac:dyDescent="0.25">
      <c r="A558" s="64">
        <v>12</v>
      </c>
      <c r="B558" s="62">
        <v>71721292</v>
      </c>
      <c r="C558" s="62" t="s">
        <v>25181</v>
      </c>
      <c r="D558" s="62" t="s">
        <v>25181</v>
      </c>
      <c r="E558" s="62" t="s">
        <v>25292</v>
      </c>
      <c r="F558" s="62" t="s">
        <v>25023</v>
      </c>
      <c r="G558" s="81" t="s">
        <v>19285</v>
      </c>
      <c r="H558" s="63">
        <v>45281</v>
      </c>
      <c r="I558" s="63">
        <v>44945</v>
      </c>
      <c r="J558" s="62">
        <v>30</v>
      </c>
      <c r="K558" s="62">
        <v>30</v>
      </c>
      <c r="L558" s="62" t="s">
        <v>19262</v>
      </c>
      <c r="M558" s="62" t="s">
        <v>19262</v>
      </c>
      <c r="N558" s="62" t="s">
        <v>19269</v>
      </c>
      <c r="O558" s="62" t="s">
        <v>7682</v>
      </c>
      <c r="P558" s="42" t="str">
        <f>+IF(O558="","",IFERROR(VLOOKUP(O558,CODIGO_DIAGNOSTICO,2,0),"CÓDIGO NO ENCONTRADO"))</f>
        <v>FRACTURA DE OTRAS PARTES DEL FEMUR</v>
      </c>
      <c r="Q558" s="62" t="s">
        <v>24996</v>
      </c>
      <c r="R558" s="64">
        <v>12212311941</v>
      </c>
      <c r="S558" s="75">
        <v>45281</v>
      </c>
      <c r="T558" s="75"/>
      <c r="U558" s="65">
        <f>SUM(W558/30)</f>
        <v>42400.166666666664</v>
      </c>
      <c r="V558" s="62" t="s">
        <v>25941</v>
      </c>
      <c r="W558" s="65">
        <v>1272005</v>
      </c>
      <c r="X558" s="62">
        <v>0</v>
      </c>
      <c r="Y558" s="65">
        <v>84800</v>
      </c>
      <c r="Z558" s="73"/>
    </row>
    <row r="559" spans="1:26" ht="15.75" hidden="1" customHeight="1" x14ac:dyDescent="0.25">
      <c r="A559" s="67">
        <v>12</v>
      </c>
      <c r="B559" s="68">
        <v>15457694</v>
      </c>
      <c r="C559" s="68" t="s">
        <v>25225</v>
      </c>
      <c r="D559" s="68" t="s">
        <v>25257</v>
      </c>
      <c r="E559" s="68" t="s">
        <v>25056</v>
      </c>
      <c r="F559" s="68" t="s">
        <v>25371</v>
      </c>
      <c r="G559" s="81" t="s">
        <v>19285</v>
      </c>
      <c r="H559" s="69">
        <v>45282</v>
      </c>
      <c r="I559" s="69">
        <v>45283</v>
      </c>
      <c r="J559" s="68">
        <v>2</v>
      </c>
      <c r="K559" s="68">
        <v>2</v>
      </c>
      <c r="L559" s="68" t="s">
        <v>24995</v>
      </c>
      <c r="M559" s="68" t="s">
        <v>24995</v>
      </c>
      <c r="N559" s="62" t="s">
        <v>19269</v>
      </c>
      <c r="O559" s="68" t="s">
        <v>539</v>
      </c>
      <c r="P559" s="42" t="str">
        <f>+IF(O559="","",IFERROR(VLOOKUP(O559,CODIGO_DIAGNOSTICO,2,0),"CÓDIGO NO ENCONTRADO"))</f>
        <v>INFECCION VIRAL, NO ESPECIFICADA</v>
      </c>
      <c r="Q559" s="68" t="s">
        <v>19230</v>
      </c>
      <c r="R559" s="67">
        <v>0</v>
      </c>
      <c r="S559" s="77"/>
      <c r="T559" s="76"/>
      <c r="U559" s="65">
        <f>SUM(W559/30)</f>
        <v>42400.166666666664</v>
      </c>
      <c r="V559" s="68" t="s">
        <v>25941</v>
      </c>
      <c r="W559" s="70">
        <v>1272005</v>
      </c>
      <c r="X559" s="68">
        <v>0</v>
      </c>
      <c r="Y559" s="70">
        <v>84800</v>
      </c>
      <c r="Z559" s="72"/>
    </row>
    <row r="560" spans="1:26" ht="15.75" hidden="1" customHeight="1" x14ac:dyDescent="0.25">
      <c r="A560" s="64">
        <v>12</v>
      </c>
      <c r="B560" s="62">
        <v>71601851</v>
      </c>
      <c r="C560" s="62" t="s">
        <v>25178</v>
      </c>
      <c r="D560" s="62" t="s">
        <v>25179</v>
      </c>
      <c r="E560" s="62" t="s">
        <v>25466</v>
      </c>
      <c r="F560" s="62" t="s">
        <v>25023</v>
      </c>
      <c r="G560" s="81" t="s">
        <v>19285</v>
      </c>
      <c r="H560" s="63">
        <v>45286</v>
      </c>
      <c r="I560" s="63">
        <v>45315</v>
      </c>
      <c r="J560" s="62">
        <v>30</v>
      </c>
      <c r="K560" s="62">
        <v>30</v>
      </c>
      <c r="L560" s="62" t="s">
        <v>19262</v>
      </c>
      <c r="M560" s="62" t="s">
        <v>19262</v>
      </c>
      <c r="N560" s="62" t="s">
        <v>19269</v>
      </c>
      <c r="O560" s="62" t="s">
        <v>4644</v>
      </c>
      <c r="P560" s="42" t="str">
        <f>+IF(O560="","",IFERROR(VLOOKUP(O560,CODIGO_DIAGNOSTICO,2,0),"CÓDIGO NO ENCONTRADO"))</f>
        <v>GONARTROSIS PRIMARIA, BILATERAL</v>
      </c>
      <c r="Q560" s="62" t="s">
        <v>19231</v>
      </c>
      <c r="R560" s="64">
        <v>9845068</v>
      </c>
      <c r="S560" s="75">
        <v>45287</v>
      </c>
      <c r="T560" s="75"/>
      <c r="U560" s="65">
        <f>SUM(W560/30)</f>
        <v>42400.166666666664</v>
      </c>
      <c r="V560" s="62" t="s">
        <v>25941</v>
      </c>
      <c r="W560" s="65">
        <v>1272005</v>
      </c>
      <c r="X560" s="62">
        <v>0</v>
      </c>
      <c r="Y560" s="65">
        <v>84800</v>
      </c>
      <c r="Z560" s="73"/>
    </row>
    <row r="561" spans="1:26" ht="15.75" hidden="1" customHeight="1" x14ac:dyDescent="0.25">
      <c r="A561" s="67">
        <v>12</v>
      </c>
      <c r="B561" s="68">
        <v>3592467</v>
      </c>
      <c r="C561" s="68" t="s">
        <v>25635</v>
      </c>
      <c r="D561" s="68" t="s">
        <v>25140</v>
      </c>
      <c r="E561" s="68" t="s">
        <v>25056</v>
      </c>
      <c r="F561" s="68" t="s">
        <v>25029</v>
      </c>
      <c r="G561" s="81" t="s">
        <v>19285</v>
      </c>
      <c r="H561" s="69">
        <v>45286</v>
      </c>
      <c r="I561" s="69">
        <v>45290</v>
      </c>
      <c r="J561" s="68">
        <v>5</v>
      </c>
      <c r="K561" s="68">
        <v>5</v>
      </c>
      <c r="L561" s="68" t="s">
        <v>24995</v>
      </c>
      <c r="M561" s="68" t="s">
        <v>24995</v>
      </c>
      <c r="N561" s="62" t="s">
        <v>19269</v>
      </c>
      <c r="O561" s="68" t="s">
        <v>8623</v>
      </c>
      <c r="P561" s="42" t="str">
        <f>+IF(O561="","",IFERROR(VLOOKUP(O561,CODIGO_DIAGNOSTICO,2,0),"CÓDIGO NO ENCONTRADO"))</f>
        <v>MOTOCICLISTA LESIONADO POR COLISION CON VEHICULO DE MOTOR DE DOS O TRES RUEDAS: MOTOCICLISTA NO ESPECIFICADO, LESIONADO EN ACCIDENTE DE TRANSITO</v>
      </c>
      <c r="Q561" s="68" t="s">
        <v>26060</v>
      </c>
      <c r="R561" s="67"/>
      <c r="S561" s="77"/>
      <c r="T561" s="76"/>
      <c r="U561" s="65">
        <f>SUM(W561/30)</f>
        <v>42400.166666666664</v>
      </c>
      <c r="V561" s="68" t="s">
        <v>25941</v>
      </c>
      <c r="W561" s="70">
        <v>1272005</v>
      </c>
      <c r="X561" s="68">
        <v>0</v>
      </c>
      <c r="Y561" s="70">
        <v>84800</v>
      </c>
      <c r="Z561" s="72"/>
    </row>
    <row r="562" spans="1:26" ht="15.75" hidden="1" customHeight="1" x14ac:dyDescent="0.25">
      <c r="A562" s="64">
        <v>12</v>
      </c>
      <c r="B562" s="62">
        <v>1036605153</v>
      </c>
      <c r="C562" s="62" t="s">
        <v>25553</v>
      </c>
      <c r="D562" s="62" t="s">
        <v>25319</v>
      </c>
      <c r="E562" s="62" t="s">
        <v>25985</v>
      </c>
      <c r="F562" s="62" t="s">
        <v>25060</v>
      </c>
      <c r="G562" s="81" t="s">
        <v>19285</v>
      </c>
      <c r="H562" s="63">
        <v>45287</v>
      </c>
      <c r="I562" s="63">
        <v>45287</v>
      </c>
      <c r="J562" s="62">
        <v>1</v>
      </c>
      <c r="K562" s="62">
        <v>1</v>
      </c>
      <c r="L562" s="62" t="s">
        <v>24995</v>
      </c>
      <c r="M562" s="62" t="s">
        <v>24995</v>
      </c>
      <c r="N562" s="62" t="s">
        <v>19269</v>
      </c>
      <c r="O562" s="62" t="s">
        <v>5279</v>
      </c>
      <c r="P562" s="42" t="str">
        <f>+IF(O562="","",IFERROR(VLOOKUP(O562,CODIGO_DIAGNOSTICO,2,0),"CÓDIGO NO ENCONTRADO"))</f>
        <v>INFECCION DE VIAS URINARIAS, SITIO NO ESPECIFICADO</v>
      </c>
      <c r="Q562" s="62" t="s">
        <v>24996</v>
      </c>
      <c r="R562" s="64">
        <v>0</v>
      </c>
      <c r="S562" s="75"/>
      <c r="T562" s="75"/>
      <c r="U562" s="65">
        <f>SUM(W562/30)</f>
        <v>42400.166666666664</v>
      </c>
      <c r="V562" s="62" t="s">
        <v>25941</v>
      </c>
      <c r="W562" s="65">
        <v>1272005</v>
      </c>
      <c r="X562" s="62">
        <v>0</v>
      </c>
      <c r="Y562" s="65">
        <v>84800</v>
      </c>
      <c r="Z562" s="73"/>
    </row>
    <row r="563" spans="1:26" ht="15.75" hidden="1" customHeight="1" x14ac:dyDescent="0.25">
      <c r="A563" s="67">
        <v>12</v>
      </c>
      <c r="B563" s="68">
        <v>11794362</v>
      </c>
      <c r="C563" s="68" t="s">
        <v>26066</v>
      </c>
      <c r="D563" s="68" t="s">
        <v>25238</v>
      </c>
      <c r="E563" s="68" t="s">
        <v>25864</v>
      </c>
      <c r="F563" s="68"/>
      <c r="G563" s="81" t="s">
        <v>19285</v>
      </c>
      <c r="H563" s="69">
        <v>45287</v>
      </c>
      <c r="I563" s="69">
        <v>45288</v>
      </c>
      <c r="J563" s="68">
        <v>2</v>
      </c>
      <c r="K563" s="68">
        <v>2</v>
      </c>
      <c r="L563" s="68" t="s">
        <v>24995</v>
      </c>
      <c r="M563" s="68" t="s">
        <v>24995</v>
      </c>
      <c r="N563" s="62" t="s">
        <v>19269</v>
      </c>
      <c r="O563" s="68" t="s">
        <v>3583</v>
      </c>
      <c r="P563" s="42" t="str">
        <f>+IF(O563="","",IFERROR(VLOOKUP(O563,CODIGO_DIAGNOSTICO,2,0),"CÓDIGO NO ENCONTRADO"))</f>
        <v>INFECCION AGUDA DE LAS VIAS RESPIRATORIAS SUPERIORES, NO ESPECIFICADA</v>
      </c>
      <c r="Q563" s="68" t="s">
        <v>26059</v>
      </c>
      <c r="R563" s="67">
        <v>0</v>
      </c>
      <c r="S563" s="77"/>
      <c r="T563" s="76"/>
      <c r="U563" s="65">
        <f>SUM(W563/30)</f>
        <v>42400.166666666664</v>
      </c>
      <c r="V563" s="68" t="s">
        <v>25941</v>
      </c>
      <c r="W563" s="70">
        <v>1272005</v>
      </c>
      <c r="X563" s="68">
        <v>0</v>
      </c>
      <c r="Y563" s="70">
        <v>84800</v>
      </c>
      <c r="Z563" s="72"/>
    </row>
    <row r="564" spans="1:26" ht="15.75" hidden="1" customHeight="1" x14ac:dyDescent="0.25">
      <c r="A564" s="64">
        <v>12</v>
      </c>
      <c r="B564" s="62">
        <v>43709476</v>
      </c>
      <c r="C564" s="62" t="s">
        <v>25569</v>
      </c>
      <c r="D564" s="62" t="s">
        <v>25233</v>
      </c>
      <c r="E564" s="62" t="s">
        <v>25234</v>
      </c>
      <c r="F564" s="62" t="s">
        <v>25235</v>
      </c>
      <c r="G564" s="81" t="s">
        <v>19285</v>
      </c>
      <c r="H564" s="63">
        <v>45287</v>
      </c>
      <c r="I564" s="63">
        <v>45288</v>
      </c>
      <c r="J564" s="62">
        <v>2</v>
      </c>
      <c r="K564" s="62">
        <v>2</v>
      </c>
      <c r="L564" s="62" t="s">
        <v>19262</v>
      </c>
      <c r="M564" s="62" t="s">
        <v>24995</v>
      </c>
      <c r="N564" s="62" t="s">
        <v>19269</v>
      </c>
      <c r="O564" s="62" t="s">
        <v>86</v>
      </c>
      <c r="P564" s="42" t="str">
        <f>+IF(O564="","",IFERROR(VLOOKUP(O564,CODIGO_DIAGNOSTICO,2,0),"CÓDIGO NO ENCONTRADO"))</f>
        <v>INFECCION INTESTINAL VIRAL, SIN OTRA ESPECIFICACION</v>
      </c>
      <c r="Q564" s="62" t="s">
        <v>26059</v>
      </c>
      <c r="R564" s="64">
        <v>8935072</v>
      </c>
      <c r="S564" s="75">
        <v>45301</v>
      </c>
      <c r="T564" s="75"/>
      <c r="U564" s="65">
        <v>84800</v>
      </c>
      <c r="V564" s="62" t="s">
        <v>26067</v>
      </c>
      <c r="W564" s="65">
        <v>1272005</v>
      </c>
      <c r="X564" s="62">
        <v>0</v>
      </c>
      <c r="Y564" s="65">
        <v>0</v>
      </c>
      <c r="Z564" s="73"/>
    </row>
    <row r="565" spans="1:26" ht="15.75" hidden="1" customHeight="1" x14ac:dyDescent="0.25">
      <c r="A565" s="67">
        <v>12</v>
      </c>
      <c r="B565" s="68">
        <v>70323164</v>
      </c>
      <c r="C565" s="68" t="s">
        <v>24992</v>
      </c>
      <c r="D565" s="68" t="s">
        <v>24985</v>
      </c>
      <c r="E565" s="68" t="s">
        <v>25188</v>
      </c>
      <c r="F565" s="68" t="s">
        <v>25146</v>
      </c>
      <c r="G565" s="81" t="s">
        <v>19285</v>
      </c>
      <c r="H565" s="69">
        <v>45288</v>
      </c>
      <c r="I565" s="69">
        <v>45302</v>
      </c>
      <c r="J565" s="68">
        <v>15</v>
      </c>
      <c r="K565" s="68">
        <v>15</v>
      </c>
      <c r="L565" s="68" t="s">
        <v>19262</v>
      </c>
      <c r="M565" s="68" t="s">
        <v>19262</v>
      </c>
      <c r="N565" s="62" t="s">
        <v>19269</v>
      </c>
      <c r="O565" s="68" t="s">
        <v>3693</v>
      </c>
      <c r="P565" s="42" t="str">
        <f>+IF(O565="","",IFERROR(VLOOKUP(O565,CODIGO_DIAGNOSTICO,2,0),"CÓDIGO NO ENCONTRADO"))</f>
        <v>ENFERMEDAD PULMONAR OBSTRUCTIVA CRONICA, NO ESPECIFICADA</v>
      </c>
      <c r="Q565" s="68" t="s">
        <v>19230</v>
      </c>
      <c r="R565" s="67">
        <v>8921321</v>
      </c>
      <c r="S565" s="77">
        <v>45294</v>
      </c>
      <c r="T565" s="76"/>
      <c r="U565" s="65">
        <f>SUM(W565/30)</f>
        <v>42400.166666666664</v>
      </c>
      <c r="V565" s="68" t="s">
        <v>25941</v>
      </c>
      <c r="W565" s="70">
        <v>1272005</v>
      </c>
      <c r="X565" s="68">
        <v>0</v>
      </c>
      <c r="Y565" s="70">
        <v>84800</v>
      </c>
      <c r="Z565" s="72"/>
    </row>
    <row r="566" spans="1:26" ht="15.75" hidden="1" customHeight="1" x14ac:dyDescent="0.25">
      <c r="A566" s="64">
        <v>12</v>
      </c>
      <c r="B566" s="62">
        <v>11794362</v>
      </c>
      <c r="C566" s="62" t="s">
        <v>26066</v>
      </c>
      <c r="D566" s="62" t="s">
        <v>25238</v>
      </c>
      <c r="E566" s="62" t="s">
        <v>25864</v>
      </c>
      <c r="F566" s="62"/>
      <c r="G566" s="81" t="s">
        <v>19285</v>
      </c>
      <c r="H566" s="63">
        <v>45289</v>
      </c>
      <c r="I566" s="63">
        <v>45291</v>
      </c>
      <c r="J566" s="62">
        <v>3</v>
      </c>
      <c r="K566" s="62">
        <v>3</v>
      </c>
      <c r="L566" s="62" t="s">
        <v>19262</v>
      </c>
      <c r="M566" s="62" t="s">
        <v>24995</v>
      </c>
      <c r="N566" s="62" t="s">
        <v>19269</v>
      </c>
      <c r="O566" s="62" t="s">
        <v>3628</v>
      </c>
      <c r="P566" s="42" t="str">
        <f>+IF(O566="","",IFERROR(VLOOKUP(O566,CODIGO_DIAGNOSTICO,2,0),"CÓDIGO NO ENCONTRADO"))</f>
        <v>BRONQUITIS AGUDA, NO ESPECIFICADA</v>
      </c>
      <c r="Q566" s="62" t="s">
        <v>26059</v>
      </c>
      <c r="R566" s="64"/>
      <c r="S566" s="75"/>
      <c r="T566" s="75"/>
      <c r="U566" s="65">
        <f>SUM(W566/30)</f>
        <v>42400.166666666664</v>
      </c>
      <c r="V566" s="62" t="s">
        <v>25941</v>
      </c>
      <c r="W566" s="65">
        <v>1272005</v>
      </c>
      <c r="X566" s="62">
        <v>0</v>
      </c>
      <c r="Y566" s="65">
        <v>84800</v>
      </c>
      <c r="Z566" s="73"/>
    </row>
    <row r="567" spans="1:26" ht="15.75" hidden="1" customHeight="1" x14ac:dyDescent="0.25">
      <c r="A567" s="67">
        <v>12</v>
      </c>
      <c r="B567" s="68">
        <v>98709467</v>
      </c>
      <c r="C567" s="68" t="s">
        <v>25390</v>
      </c>
      <c r="D567" s="68" t="s">
        <v>26062</v>
      </c>
      <c r="E567" s="68" t="s">
        <v>25754</v>
      </c>
      <c r="F567" s="68" t="s">
        <v>25060</v>
      </c>
      <c r="G567" s="81" t="s">
        <v>19285</v>
      </c>
      <c r="H567" s="69">
        <v>45290</v>
      </c>
      <c r="I567" s="69">
        <v>45306</v>
      </c>
      <c r="J567" s="68">
        <v>17</v>
      </c>
      <c r="K567" s="68">
        <v>17</v>
      </c>
      <c r="L567" s="68" t="s">
        <v>19262</v>
      </c>
      <c r="M567" s="68" t="s">
        <v>19262</v>
      </c>
      <c r="N567" s="62" t="s">
        <v>19269</v>
      </c>
      <c r="O567" s="68" t="s">
        <v>4060</v>
      </c>
      <c r="P567" s="42" t="str">
        <f>+IF(O567="","",IFERROR(VLOOKUP(O567,CODIGO_DIAGNOSTICO,2,0),"CÓDIGO NO ENCONTRADO"))</f>
        <v>FISURA ANAL</v>
      </c>
      <c r="Q567" s="68" t="s">
        <v>26059</v>
      </c>
      <c r="R567" s="67">
        <v>8918615</v>
      </c>
      <c r="S567" s="77">
        <v>45294</v>
      </c>
      <c r="T567" s="76"/>
      <c r="U567" s="65">
        <f>SUM(W567/30)</f>
        <v>42400.166666666664</v>
      </c>
      <c r="V567" s="68" t="s">
        <v>25941</v>
      </c>
      <c r="W567" s="70">
        <v>1272005</v>
      </c>
      <c r="X567" s="68">
        <v>0</v>
      </c>
      <c r="Y567" s="70">
        <v>84800</v>
      </c>
      <c r="Z567" s="72"/>
    </row>
    <row r="568" spans="1:26" ht="15.75" hidden="1" customHeight="1" x14ac:dyDescent="0.25">
      <c r="A568" s="64">
        <v>12</v>
      </c>
      <c r="B568" s="62">
        <v>98601485</v>
      </c>
      <c r="C568" s="62" t="s">
        <v>25240</v>
      </c>
      <c r="D568" s="62"/>
      <c r="E568" s="62" t="s">
        <v>25613</v>
      </c>
      <c r="F568" s="62" t="s">
        <v>25103</v>
      </c>
      <c r="G568" s="81" t="s">
        <v>19285</v>
      </c>
      <c r="H568" s="63">
        <v>45291</v>
      </c>
      <c r="I568" s="63">
        <v>45310</v>
      </c>
      <c r="J568" s="62">
        <v>20</v>
      </c>
      <c r="K568" s="62">
        <v>20</v>
      </c>
      <c r="L568" s="62" t="s">
        <v>19262</v>
      </c>
      <c r="M568" s="62" t="s">
        <v>19262</v>
      </c>
      <c r="N568" s="62" t="s">
        <v>19269</v>
      </c>
      <c r="O568" s="62" t="s">
        <v>8415</v>
      </c>
      <c r="P568" s="42" t="str">
        <f>+IF(O568="","",IFERROR(VLOOKUP(O568,CODIGO_DIAGNOSTICO,2,0),"CÓDIGO NO ENCONTRADO"))</f>
        <v>COMPLICACION MECANICA DE PROTESIS ARTICULAR INTERNA</v>
      </c>
      <c r="Q568" s="62" t="s">
        <v>26059</v>
      </c>
      <c r="R568" s="64">
        <v>8915877</v>
      </c>
      <c r="S568" s="75"/>
      <c r="T568" s="75"/>
      <c r="U568" s="65">
        <f>SUM(W568/30)</f>
        <v>42400.166666666664</v>
      </c>
      <c r="V568" s="62" t="s">
        <v>25941</v>
      </c>
      <c r="W568" s="65">
        <v>1272005</v>
      </c>
      <c r="X568" s="62">
        <v>0</v>
      </c>
      <c r="Y568" s="65">
        <v>84800</v>
      </c>
      <c r="Z568" s="73"/>
    </row>
    <row r="569" spans="1:26" ht="15.75" hidden="1" customHeight="1" x14ac:dyDescent="0.25">
      <c r="A569" s="67">
        <v>1</v>
      </c>
      <c r="B569" s="68">
        <v>71676289</v>
      </c>
      <c r="C569" s="68" t="s">
        <v>25015</v>
      </c>
      <c r="D569" s="68" t="s">
        <v>25012</v>
      </c>
      <c r="E569" s="68" t="s">
        <v>25016</v>
      </c>
      <c r="F569" s="68" t="s">
        <v>25004</v>
      </c>
      <c r="G569" s="81" t="s">
        <v>19285</v>
      </c>
      <c r="H569" s="69">
        <v>45292</v>
      </c>
      <c r="I569" s="69">
        <v>45305</v>
      </c>
      <c r="J569" s="68">
        <v>14</v>
      </c>
      <c r="K569" s="68">
        <v>14</v>
      </c>
      <c r="L569" s="68" t="s">
        <v>19262</v>
      </c>
      <c r="M569" s="68" t="s">
        <v>19262</v>
      </c>
      <c r="N569" s="62" t="s">
        <v>19269</v>
      </c>
      <c r="O569" s="68" t="s">
        <v>7822</v>
      </c>
      <c r="P569" s="42" t="str">
        <f>+IF(O569="","",IFERROR(VLOOKUP(O569,CODIGO_DIAGNOSTICO,2,0),"CÓDIGO NO ENCONTRADO"))</f>
        <v>AMPUTACION TRAUMATICA DE OTRAS PARTES DEL PIE</v>
      </c>
      <c r="Q569" s="68" t="s">
        <v>19230</v>
      </c>
      <c r="R569" s="67">
        <v>8920911</v>
      </c>
      <c r="S569" s="77">
        <v>45294</v>
      </c>
      <c r="T569" s="76"/>
      <c r="U569" s="65" t="s">
        <v>26148</v>
      </c>
      <c r="V569" s="68" t="s">
        <v>26083</v>
      </c>
      <c r="W569" s="70" t="s">
        <v>26149</v>
      </c>
      <c r="X569" s="68">
        <v>0</v>
      </c>
      <c r="Y569" s="70">
        <v>84.8</v>
      </c>
      <c r="Z569" s="72"/>
    </row>
    <row r="570" spans="1:26" ht="15.75" hidden="1" customHeight="1" x14ac:dyDescent="0.25">
      <c r="A570" s="64">
        <v>1</v>
      </c>
      <c r="B570" s="62">
        <v>1003714219</v>
      </c>
      <c r="C570" s="62" t="s">
        <v>25111</v>
      </c>
      <c r="D570" s="62" t="s">
        <v>25257</v>
      </c>
      <c r="E570" s="62" t="s">
        <v>25380</v>
      </c>
      <c r="F570" s="62" t="s">
        <v>25177</v>
      </c>
      <c r="G570" s="81" t="s">
        <v>19285</v>
      </c>
      <c r="H570" s="63">
        <v>45292</v>
      </c>
      <c r="I570" s="63">
        <v>45296</v>
      </c>
      <c r="J570" s="62">
        <v>5</v>
      </c>
      <c r="K570" s="62">
        <v>5</v>
      </c>
      <c r="L570" s="62" t="s">
        <v>24995</v>
      </c>
      <c r="M570" s="62" t="s">
        <v>24995</v>
      </c>
      <c r="N570" s="62" t="s">
        <v>19269</v>
      </c>
      <c r="O570" s="62" t="s">
        <v>7546</v>
      </c>
      <c r="P570" s="42" t="str">
        <f>+IF(O570="","",IFERROR(VLOOKUP(O570,CODIGO_DIAGNOSTICO,2,0),"CÓDIGO NO ENCONTRADO"))</f>
        <v>CONTUSION DEL CODO</v>
      </c>
      <c r="Q570" s="62" t="s">
        <v>25025</v>
      </c>
      <c r="R570" s="64"/>
      <c r="S570" s="75"/>
      <c r="T570" s="75"/>
      <c r="U570" s="65" t="s">
        <v>26148</v>
      </c>
      <c r="V570" s="62" t="s">
        <v>26083</v>
      </c>
      <c r="W570" s="65" t="s">
        <v>26149</v>
      </c>
      <c r="X570" s="62">
        <v>0</v>
      </c>
      <c r="Y570" s="65">
        <v>84.8</v>
      </c>
      <c r="Z570" s="73"/>
    </row>
    <row r="571" spans="1:26" ht="15.75" hidden="1" customHeight="1" x14ac:dyDescent="0.25">
      <c r="A571" s="67">
        <v>1</v>
      </c>
      <c r="B571" s="68">
        <v>10169639</v>
      </c>
      <c r="C571" s="68" t="s">
        <v>25073</v>
      </c>
      <c r="D571" s="68" t="s">
        <v>25053</v>
      </c>
      <c r="E571" s="68" t="s">
        <v>26150</v>
      </c>
      <c r="F571" s="68" t="s">
        <v>24986</v>
      </c>
      <c r="G571" s="81" t="s">
        <v>19285</v>
      </c>
      <c r="H571" s="69">
        <v>45292</v>
      </c>
      <c r="I571" s="69">
        <v>45301</v>
      </c>
      <c r="J571" s="68">
        <v>10</v>
      </c>
      <c r="K571" s="68">
        <v>10</v>
      </c>
      <c r="L571" s="68" t="s">
        <v>24995</v>
      </c>
      <c r="M571" s="68" t="s">
        <v>24995</v>
      </c>
      <c r="N571" s="62" t="s">
        <v>19269</v>
      </c>
      <c r="O571" s="68" t="s">
        <v>7370</v>
      </c>
      <c r="P571" s="42" t="str">
        <f>+IF(O571="","",IFERROR(VLOOKUP(O571,CODIGO_DIAGNOSTICO,2,0),"CÓDIGO NO ENCONTRADO"))</f>
        <v>FRACTURA DE COSTILLA</v>
      </c>
      <c r="Q571" s="68" t="s">
        <v>19230</v>
      </c>
      <c r="R571" s="67">
        <v>9001393</v>
      </c>
      <c r="S571" s="77">
        <v>45321</v>
      </c>
      <c r="T571" s="76">
        <v>45335</v>
      </c>
      <c r="U571" s="65">
        <v>346.66699999999997</v>
      </c>
      <c r="V571" s="68" t="s">
        <v>26084</v>
      </c>
      <c r="W571" s="70"/>
      <c r="X571" s="68"/>
      <c r="Y571" s="70"/>
      <c r="Z571" s="72"/>
    </row>
    <row r="572" spans="1:26" ht="15.75" hidden="1" customHeight="1" x14ac:dyDescent="0.25">
      <c r="A572" s="64">
        <v>1</v>
      </c>
      <c r="B572" s="62">
        <v>70470381</v>
      </c>
      <c r="C572" s="62" t="s">
        <v>25456</v>
      </c>
      <c r="D572" s="62" t="s">
        <v>26061</v>
      </c>
      <c r="E572" s="62" t="s">
        <v>25134</v>
      </c>
      <c r="F572" s="62" t="s">
        <v>25064</v>
      </c>
      <c r="G572" s="81" t="s">
        <v>19285</v>
      </c>
      <c r="H572" s="63">
        <v>45293</v>
      </c>
      <c r="I572" s="63">
        <v>45295</v>
      </c>
      <c r="J572" s="62">
        <v>2</v>
      </c>
      <c r="K572" s="62">
        <v>2</v>
      </c>
      <c r="L572" s="62" t="s">
        <v>24995</v>
      </c>
      <c r="M572" s="62" t="s">
        <v>24995</v>
      </c>
      <c r="N572" s="62" t="s">
        <v>19269</v>
      </c>
      <c r="O572" s="62" t="s">
        <v>85</v>
      </c>
      <c r="P572" s="42" t="str">
        <f>+IF(O572="","",IFERROR(VLOOKUP(O572,CODIGO_DIAGNOSTICO,2,0),"CÓDIGO NO ENCONTRADO"))</f>
        <v>OTRAS ENTERITIS VIRALES</v>
      </c>
      <c r="Q572" s="62" t="s">
        <v>19230</v>
      </c>
      <c r="R572" s="64">
        <v>0</v>
      </c>
      <c r="S572" s="75"/>
      <c r="T572" s="75"/>
      <c r="U572" s="65" t="s">
        <v>26148</v>
      </c>
      <c r="V572" s="62" t="s">
        <v>26083</v>
      </c>
      <c r="W572" s="65" t="s">
        <v>26149</v>
      </c>
      <c r="X572" s="62">
        <v>0</v>
      </c>
      <c r="Y572" s="65">
        <v>84.8</v>
      </c>
      <c r="Z572" s="73"/>
    </row>
    <row r="573" spans="1:26" ht="15.75" hidden="1" customHeight="1" x14ac:dyDescent="0.25">
      <c r="A573" s="67">
        <v>1</v>
      </c>
      <c r="B573" s="68">
        <v>21970057</v>
      </c>
      <c r="C573" s="68" t="s">
        <v>25432</v>
      </c>
      <c r="D573" s="68" t="s">
        <v>25480</v>
      </c>
      <c r="E573" s="68" t="s">
        <v>24999</v>
      </c>
      <c r="F573" s="68" t="s">
        <v>25232</v>
      </c>
      <c r="G573" s="81" t="s">
        <v>19285</v>
      </c>
      <c r="H573" s="69">
        <v>45293</v>
      </c>
      <c r="I573" s="69">
        <v>45295</v>
      </c>
      <c r="J573" s="68">
        <v>3</v>
      </c>
      <c r="K573" s="68">
        <v>3</v>
      </c>
      <c r="L573" s="68" t="s">
        <v>24995</v>
      </c>
      <c r="M573" s="68" t="s">
        <v>24995</v>
      </c>
      <c r="N573" s="62" t="s">
        <v>19269</v>
      </c>
      <c r="O573" s="68" t="s">
        <v>4152</v>
      </c>
      <c r="P573" s="42" t="str">
        <f>+IF(O573="","",IFERROR(VLOOKUP(O573,CODIGO_DIAGNOSTICO,2,0),"CÓDIGO NO ENCONTRADO"))</f>
        <v>CALCULO DE CONDUCTO BILIAR CON COLECISTITIS</v>
      </c>
      <c r="Q573" s="68" t="s">
        <v>19230</v>
      </c>
      <c r="R573" s="67">
        <v>8918646</v>
      </c>
      <c r="S573" s="77">
        <v>45294</v>
      </c>
      <c r="T573" s="76"/>
      <c r="U573" s="65"/>
      <c r="V573" s="68" t="s">
        <v>26083</v>
      </c>
      <c r="W573" s="70" t="s">
        <v>26149</v>
      </c>
      <c r="X573" s="68">
        <v>0</v>
      </c>
      <c r="Y573" s="70">
        <v>42.4</v>
      </c>
      <c r="Z573" s="72"/>
    </row>
    <row r="574" spans="1:26" ht="15.75" hidden="1" customHeight="1" x14ac:dyDescent="0.25">
      <c r="A574" s="64">
        <v>1</v>
      </c>
      <c r="B574" s="62">
        <v>15309929</v>
      </c>
      <c r="C574" s="62" t="s">
        <v>25011</v>
      </c>
      <c r="D574" s="62" t="s">
        <v>25012</v>
      </c>
      <c r="E574" s="62" t="s">
        <v>25013</v>
      </c>
      <c r="F574" s="62" t="s">
        <v>25014</v>
      </c>
      <c r="G574" s="81" t="s">
        <v>19285</v>
      </c>
      <c r="H574" s="63">
        <v>45293</v>
      </c>
      <c r="I574" s="63">
        <v>45307</v>
      </c>
      <c r="J574" s="62">
        <v>15</v>
      </c>
      <c r="K574" s="62">
        <v>15</v>
      </c>
      <c r="L574" s="62" t="s">
        <v>19262</v>
      </c>
      <c r="M574" s="62" t="s">
        <v>19262</v>
      </c>
      <c r="N574" s="62" t="s">
        <v>19269</v>
      </c>
      <c r="O574" s="62" t="s">
        <v>7734</v>
      </c>
      <c r="P574" s="42" t="str">
        <f>+IF(O574="","",IFERROR(VLOOKUP(O574,CODIGO_DIAGNOSTICO,2,0),"CÓDIGO NO ENCONTRADO"))</f>
        <v>DESGARRO DE MENISCOS, PRESENTE</v>
      </c>
      <c r="Q574" s="62" t="s">
        <v>19230</v>
      </c>
      <c r="R574" s="64">
        <v>8918663</v>
      </c>
      <c r="S574" s="75">
        <v>45294</v>
      </c>
      <c r="T574" s="75"/>
      <c r="U574" s="65"/>
      <c r="V574" s="62" t="s">
        <v>26141</v>
      </c>
      <c r="W574" s="65" t="s">
        <v>26151</v>
      </c>
      <c r="X574" s="62">
        <v>0</v>
      </c>
      <c r="Y574" s="65">
        <v>42.4</v>
      </c>
      <c r="Z574" s="73"/>
    </row>
    <row r="575" spans="1:26" ht="15.75" hidden="1" customHeight="1" x14ac:dyDescent="0.25">
      <c r="A575" s="67">
        <v>1</v>
      </c>
      <c r="B575" s="68">
        <v>52518327</v>
      </c>
      <c r="C575" s="68" t="s">
        <v>26063</v>
      </c>
      <c r="D575" s="68" t="s">
        <v>25109</v>
      </c>
      <c r="E575" s="68" t="s">
        <v>25834</v>
      </c>
      <c r="F575" s="68" t="s">
        <v>26064</v>
      </c>
      <c r="G575" s="81" t="s">
        <v>25768</v>
      </c>
      <c r="H575" s="69">
        <v>45293</v>
      </c>
      <c r="I575" s="69">
        <v>45297</v>
      </c>
      <c r="J575" s="68">
        <v>5</v>
      </c>
      <c r="K575" s="68">
        <v>5</v>
      </c>
      <c r="L575" s="68" t="s">
        <v>24995</v>
      </c>
      <c r="M575" s="68" t="s">
        <v>24995</v>
      </c>
      <c r="N575" s="62" t="s">
        <v>19269</v>
      </c>
      <c r="O575" s="68" t="s">
        <v>3564</v>
      </c>
      <c r="P575" s="42" t="str">
        <f>+IF(O575="","",IFERROR(VLOOKUP(O575,CODIGO_DIAGNOSTICO,2,0),"CÓDIGO NO ENCONTRADO"))</f>
        <v>SINUSITIS FRONTAL AGUDA</v>
      </c>
      <c r="Q575" s="68" t="s">
        <v>19230</v>
      </c>
      <c r="R575" s="67"/>
      <c r="S575" s="77"/>
      <c r="T575" s="76"/>
      <c r="U575" s="65" t="s">
        <v>26148</v>
      </c>
      <c r="V575" s="68" t="s">
        <v>26083</v>
      </c>
      <c r="W575" s="70" t="s">
        <v>26149</v>
      </c>
      <c r="X575" s="68">
        <v>0</v>
      </c>
      <c r="Y575" s="70">
        <v>42.4</v>
      </c>
      <c r="Z575" s="72"/>
    </row>
    <row r="576" spans="1:26" ht="15.75" hidden="1" customHeight="1" x14ac:dyDescent="0.25">
      <c r="A576" s="64">
        <v>1</v>
      </c>
      <c r="B576" s="62">
        <v>21532552</v>
      </c>
      <c r="C576" s="62" t="s">
        <v>25030</v>
      </c>
      <c r="D576" s="62" t="s">
        <v>25459</v>
      </c>
      <c r="E576" s="62" t="s">
        <v>25565</v>
      </c>
      <c r="F576" s="62" t="s">
        <v>25566</v>
      </c>
      <c r="G576" s="81" t="s">
        <v>19285</v>
      </c>
      <c r="H576" s="63">
        <v>45293</v>
      </c>
      <c r="I576" s="63">
        <v>45293</v>
      </c>
      <c r="J576" s="62">
        <v>1</v>
      </c>
      <c r="K576" s="62">
        <v>1</v>
      </c>
      <c r="L576" s="62" t="s">
        <v>24995</v>
      </c>
      <c r="M576" s="62" t="s">
        <v>24995</v>
      </c>
      <c r="N576" s="62" t="s">
        <v>19269</v>
      </c>
      <c r="O576" s="62" t="s">
        <v>12288</v>
      </c>
      <c r="P576" s="42" t="str">
        <f>+IF(O576="","",IFERROR(VLOOKUP(O576,CODIGO_DIAGNOSTICO,2,0),"CÓDIGO NO ENCONTRADO"))</f>
        <v>PERSONA EN CONTACTO CON LOS SERVICIOS DE SALUD EN CIRCUNSTANCIAS NO ESPECIFICADAS</v>
      </c>
      <c r="Q576" s="62" t="s">
        <v>19230</v>
      </c>
      <c r="R576" s="64">
        <v>0</v>
      </c>
      <c r="S576" s="75"/>
      <c r="T576" s="75"/>
      <c r="U576" s="65" t="s">
        <v>26148</v>
      </c>
      <c r="V576" s="62" t="s">
        <v>26083</v>
      </c>
      <c r="W576" s="65" t="s">
        <v>26149</v>
      </c>
      <c r="X576" s="62">
        <v>0</v>
      </c>
      <c r="Y576" s="65">
        <v>42.4</v>
      </c>
      <c r="Z576" s="73"/>
    </row>
    <row r="577" spans="1:26" ht="15.75" hidden="1" customHeight="1" x14ac:dyDescent="0.25">
      <c r="A577" s="67">
        <v>1</v>
      </c>
      <c r="B577" s="68">
        <v>98594342</v>
      </c>
      <c r="C577" s="68" t="s">
        <v>25424</v>
      </c>
      <c r="D577" s="68" t="s">
        <v>25164</v>
      </c>
      <c r="E577" s="68" t="s">
        <v>25672</v>
      </c>
      <c r="F577" s="68" t="s">
        <v>25020</v>
      </c>
      <c r="G577" s="81" t="s">
        <v>19285</v>
      </c>
      <c r="H577" s="69">
        <v>45294</v>
      </c>
      <c r="I577" s="69">
        <v>45298</v>
      </c>
      <c r="J577" s="68">
        <v>5</v>
      </c>
      <c r="K577" s="68">
        <v>5</v>
      </c>
      <c r="L577" s="68" t="s">
        <v>24995</v>
      </c>
      <c r="M577" s="68" t="s">
        <v>24995</v>
      </c>
      <c r="N577" s="62" t="s">
        <v>19269</v>
      </c>
      <c r="O577" s="68" t="s">
        <v>3533</v>
      </c>
      <c r="P577" s="42" t="str">
        <f>+IF(O577="","",IFERROR(VLOOKUP(O577,CODIGO_DIAGNOSTICO,2,0),"CÓDIGO NO ENCONTRADO"))</f>
        <v>VARICES EN OTROS SITIOS ESPECIFICADOS</v>
      </c>
      <c r="Q577" s="68" t="s">
        <v>19232</v>
      </c>
      <c r="R577" s="67">
        <v>1032425966</v>
      </c>
      <c r="S577" s="77">
        <v>45294</v>
      </c>
      <c r="T577" s="76"/>
      <c r="U577" s="65" t="s">
        <v>26148</v>
      </c>
      <c r="V577" s="68" t="s">
        <v>26083</v>
      </c>
      <c r="W577" s="70" t="s">
        <v>26149</v>
      </c>
      <c r="X577" s="68">
        <v>0</v>
      </c>
      <c r="Y577" s="70">
        <v>42.4</v>
      </c>
      <c r="Z577" s="72"/>
    </row>
    <row r="578" spans="1:26" ht="15.75" hidden="1" customHeight="1" x14ac:dyDescent="0.25">
      <c r="A578" s="64">
        <v>1</v>
      </c>
      <c r="B578" s="62">
        <v>1003195571</v>
      </c>
      <c r="C578" s="62" t="s">
        <v>25547</v>
      </c>
      <c r="D578" s="62" t="s">
        <v>26065</v>
      </c>
      <c r="E578" s="62" t="s">
        <v>25134</v>
      </c>
      <c r="F578" s="62" t="s">
        <v>25213</v>
      </c>
      <c r="G578" s="81" t="s">
        <v>26118</v>
      </c>
      <c r="H578" s="63">
        <v>45294</v>
      </c>
      <c r="I578" s="63">
        <v>45295</v>
      </c>
      <c r="J578" s="62">
        <v>2</v>
      </c>
      <c r="K578" s="62">
        <v>2</v>
      </c>
      <c r="L578" s="62" t="s">
        <v>24995</v>
      </c>
      <c r="M578" s="62" t="s">
        <v>24995</v>
      </c>
      <c r="N578" s="62" t="s">
        <v>19269</v>
      </c>
      <c r="O578" s="62" t="s">
        <v>15281</v>
      </c>
      <c r="P578" s="42" t="str">
        <f>+IF(O578="","",IFERROR(VLOOKUP(O578,CODIGO_DIAGNOSTICO,2,0),"CÓDIGO NO ENCONTRADO"))</f>
        <v>RINOFARINGITIS AGUDA (RESFRIADO COMUN)</v>
      </c>
      <c r="Q578" s="62" t="s">
        <v>26152</v>
      </c>
      <c r="R578" s="64">
        <v>0</v>
      </c>
      <c r="S578" s="75"/>
      <c r="T578" s="75"/>
      <c r="U578" s="65" t="s">
        <v>26148</v>
      </c>
      <c r="V578" s="62" t="s">
        <v>26083</v>
      </c>
      <c r="W578" s="65" t="s">
        <v>26153</v>
      </c>
      <c r="X578" s="62">
        <v>0</v>
      </c>
      <c r="Y578" s="65">
        <v>93.334000000000003</v>
      </c>
      <c r="Z578" s="73"/>
    </row>
    <row r="579" spans="1:26" ht="15.75" hidden="1" customHeight="1" x14ac:dyDescent="0.25">
      <c r="A579" s="67">
        <v>1</v>
      </c>
      <c r="B579" s="68">
        <v>71185910</v>
      </c>
      <c r="C579" s="68" t="s">
        <v>26077</v>
      </c>
      <c r="D579" s="68" t="s">
        <v>25443</v>
      </c>
      <c r="E579" s="68" t="s">
        <v>26042</v>
      </c>
      <c r="F579" s="68" t="s">
        <v>25135</v>
      </c>
      <c r="G579" s="81" t="s">
        <v>19285</v>
      </c>
      <c r="H579" s="69">
        <v>45294</v>
      </c>
      <c r="I579" s="69">
        <v>45303</v>
      </c>
      <c r="J579" s="68">
        <v>10</v>
      </c>
      <c r="K579" s="68">
        <v>10</v>
      </c>
      <c r="L579" s="68" t="s">
        <v>19262</v>
      </c>
      <c r="M579" s="68" t="s">
        <v>19262</v>
      </c>
      <c r="N579" s="62" t="s">
        <v>19269</v>
      </c>
      <c r="O579" s="68" t="s">
        <v>7734</v>
      </c>
      <c r="P579" s="42" t="str">
        <f>+IF(O579="","",IFERROR(VLOOKUP(O579,CODIGO_DIAGNOSTICO,2,0),"CÓDIGO NO ENCONTRADO"))</f>
        <v>DESGARRO DE MENISCOS, PRESENTE</v>
      </c>
      <c r="Q579" s="68" t="s">
        <v>19232</v>
      </c>
      <c r="R579" s="67">
        <v>2092415888</v>
      </c>
      <c r="S579" s="77">
        <v>45331</v>
      </c>
      <c r="T579" s="76">
        <v>45332</v>
      </c>
      <c r="U579" s="65">
        <v>346.66399999999999</v>
      </c>
      <c r="V579" s="68" t="s">
        <v>26084</v>
      </c>
      <c r="W579" s="70" t="s">
        <v>26149</v>
      </c>
      <c r="X579" s="68">
        <v>0</v>
      </c>
      <c r="Y579" s="70"/>
      <c r="Z579" s="72"/>
    </row>
    <row r="580" spans="1:26" ht="15.75" hidden="1" customHeight="1" x14ac:dyDescent="0.25">
      <c r="A580" s="64">
        <v>1</v>
      </c>
      <c r="B580" s="62">
        <v>1020401463</v>
      </c>
      <c r="C580" s="62" t="s">
        <v>25041</v>
      </c>
      <c r="D580" s="62" t="s">
        <v>25042</v>
      </c>
      <c r="E580" s="62" t="s">
        <v>25032</v>
      </c>
      <c r="F580" s="62" t="s">
        <v>25010</v>
      </c>
      <c r="G580" s="81" t="s">
        <v>19285</v>
      </c>
      <c r="H580" s="63">
        <v>45295</v>
      </c>
      <c r="I580" s="63">
        <v>45308</v>
      </c>
      <c r="J580" s="62">
        <v>14</v>
      </c>
      <c r="K580" s="62">
        <v>14</v>
      </c>
      <c r="L580" s="62" t="s">
        <v>24995</v>
      </c>
      <c r="M580" s="62" t="s">
        <v>24995</v>
      </c>
      <c r="N580" s="62" t="s">
        <v>19269</v>
      </c>
      <c r="O580" s="62" t="s">
        <v>3109</v>
      </c>
      <c r="P580" s="42" t="str">
        <f>+IF(O580="","",IFERROR(VLOOKUP(O580,CODIGO_DIAGNOSTICO,2,0),"CÓDIGO NO ENCONTRADO"))</f>
        <v>COLESTEATOMA DEL OIDO MEDIO</v>
      </c>
      <c r="Q580" s="62" t="s">
        <v>19230</v>
      </c>
      <c r="R580" s="64">
        <v>8935053</v>
      </c>
      <c r="S580" s="75">
        <v>45301</v>
      </c>
      <c r="T580" s="75">
        <v>45314</v>
      </c>
      <c r="U580" s="65">
        <v>520</v>
      </c>
      <c r="V580" s="62" t="s">
        <v>26084</v>
      </c>
      <c r="W580" s="65" t="s">
        <v>26151</v>
      </c>
      <c r="X580" s="62">
        <v>0</v>
      </c>
      <c r="Y580" s="65">
        <v>94.975999999999999</v>
      </c>
      <c r="Z580" s="73"/>
    </row>
    <row r="581" spans="1:26" ht="15.75" hidden="1" customHeight="1" x14ac:dyDescent="0.25">
      <c r="A581" s="67">
        <v>1</v>
      </c>
      <c r="B581" s="68">
        <v>70876723</v>
      </c>
      <c r="C581" s="68" t="s">
        <v>26154</v>
      </c>
      <c r="D581" s="68" t="s">
        <v>25410</v>
      </c>
      <c r="E581" s="68" t="s">
        <v>25416</v>
      </c>
      <c r="F581" s="68" t="s">
        <v>25004</v>
      </c>
      <c r="G581" s="81" t="s">
        <v>19285</v>
      </c>
      <c r="H581" s="69">
        <v>45295</v>
      </c>
      <c r="I581" s="69">
        <v>45296</v>
      </c>
      <c r="J581" s="68">
        <v>2</v>
      </c>
      <c r="K581" s="68">
        <v>2</v>
      </c>
      <c r="L581" s="68" t="s">
        <v>24995</v>
      </c>
      <c r="M581" s="68" t="s">
        <v>24995</v>
      </c>
      <c r="N581" s="62" t="s">
        <v>19269</v>
      </c>
      <c r="O581" s="68" t="s">
        <v>84</v>
      </c>
      <c r="P581" s="42" t="str">
        <f>+IF(O581="","",IFERROR(VLOOKUP(O581,CODIGO_DIAGNOSTICO,2,0),"CÓDIGO NO ENCONTRADO"))</f>
        <v>ENTERITIS DEBIDA A ADENOVIRUS</v>
      </c>
      <c r="Q581" s="68" t="s">
        <v>19230</v>
      </c>
      <c r="R581" s="67"/>
      <c r="S581" s="77"/>
      <c r="T581" s="76"/>
      <c r="U581" s="65"/>
      <c r="V581" s="68"/>
      <c r="W581" s="70"/>
      <c r="X581" s="68"/>
      <c r="Y581" s="70"/>
      <c r="Z581" s="72"/>
    </row>
    <row r="582" spans="1:26" ht="15.75" hidden="1" customHeight="1" x14ac:dyDescent="0.25">
      <c r="A582" s="64">
        <v>1</v>
      </c>
      <c r="B582" s="62">
        <v>21970057</v>
      </c>
      <c r="C582" s="62" t="s">
        <v>25432</v>
      </c>
      <c r="D582" s="62" t="s">
        <v>25480</v>
      </c>
      <c r="E582" s="62" t="s">
        <v>24999</v>
      </c>
      <c r="F582" s="62" t="s">
        <v>25232</v>
      </c>
      <c r="G582" s="81" t="s">
        <v>19285</v>
      </c>
      <c r="H582" s="63">
        <v>45297</v>
      </c>
      <c r="I582" s="63">
        <v>45316</v>
      </c>
      <c r="J582" s="62">
        <v>20</v>
      </c>
      <c r="K582" s="62">
        <v>20</v>
      </c>
      <c r="L582" s="62" t="s">
        <v>19262</v>
      </c>
      <c r="M582" s="62" t="s">
        <v>24995</v>
      </c>
      <c r="N582" s="62" t="s">
        <v>19269</v>
      </c>
      <c r="O582" s="62" t="s">
        <v>4154</v>
      </c>
      <c r="P582" s="42" t="str">
        <f>+IF(O582="","",IFERROR(VLOOKUP(O582,CODIGO_DIAGNOSTICO,2,0),"CÓDIGO NO ENCONTRADO"))</f>
        <v>OTRAS COLELITIASIS</v>
      </c>
      <c r="Q582" s="62" t="s">
        <v>19230</v>
      </c>
      <c r="R582" s="64">
        <v>9015482</v>
      </c>
      <c r="S582" s="75">
        <v>45325</v>
      </c>
      <c r="T582" s="75"/>
      <c r="U582" s="65"/>
      <c r="V582" s="62" t="s">
        <v>26083</v>
      </c>
      <c r="W582" s="65"/>
      <c r="X582" s="62"/>
      <c r="Y582" s="65"/>
      <c r="Z582" s="73"/>
    </row>
    <row r="583" spans="1:26" ht="15.75" hidden="1" customHeight="1" x14ac:dyDescent="0.25">
      <c r="A583" s="67">
        <v>1</v>
      </c>
      <c r="B583" s="68">
        <v>70162686</v>
      </c>
      <c r="C583" s="68" t="s">
        <v>25093</v>
      </c>
      <c r="D583" s="68" t="s">
        <v>25229</v>
      </c>
      <c r="E583" s="68" t="s">
        <v>26131</v>
      </c>
      <c r="F583" s="68" t="s">
        <v>25135</v>
      </c>
      <c r="G583" s="81" t="s">
        <v>19285</v>
      </c>
      <c r="H583" s="69">
        <v>45298</v>
      </c>
      <c r="I583" s="69">
        <v>45308</v>
      </c>
      <c r="J583" s="68">
        <v>11</v>
      </c>
      <c r="K583" s="68">
        <v>11</v>
      </c>
      <c r="L583" s="68" t="s">
        <v>24995</v>
      </c>
      <c r="M583" s="68" t="s">
        <v>24995</v>
      </c>
      <c r="N583" s="62" t="s">
        <v>19269</v>
      </c>
      <c r="O583" s="68" t="s">
        <v>5305</v>
      </c>
      <c r="P583" s="42" t="str">
        <f>+IF(O583="","",IFERROR(VLOOKUP(O583,CODIGO_DIAGNOSTICO,2,0),"CÓDIGO NO ENCONTRADO"))</f>
        <v>ORQUITIS, EPIDIDIMITIS Y ORQUIEPIDIDIMITIS SIN ABSCESO</v>
      </c>
      <c r="Q583" s="68" t="s">
        <v>19230</v>
      </c>
      <c r="R583" s="67"/>
      <c r="S583" s="77"/>
      <c r="T583" s="76"/>
      <c r="U583" s="65"/>
      <c r="V583" s="68"/>
      <c r="W583" s="70"/>
      <c r="X583" s="68"/>
      <c r="Y583" s="70"/>
      <c r="Z583" s="72"/>
    </row>
    <row r="584" spans="1:26" ht="15.75" hidden="1" customHeight="1" x14ac:dyDescent="0.25">
      <c r="A584" s="64">
        <v>1</v>
      </c>
      <c r="B584" s="62">
        <v>71316478</v>
      </c>
      <c r="C584" s="62" t="s">
        <v>25443</v>
      </c>
      <c r="D584" s="62"/>
      <c r="E584" s="62" t="s">
        <v>25514</v>
      </c>
      <c r="F584" s="62" t="s">
        <v>25515</v>
      </c>
      <c r="G584" s="81" t="s">
        <v>19285</v>
      </c>
      <c r="H584" s="63">
        <v>45299</v>
      </c>
      <c r="I584" s="63">
        <v>45312</v>
      </c>
      <c r="J584" s="62">
        <v>14</v>
      </c>
      <c r="K584" s="62">
        <v>14</v>
      </c>
      <c r="L584" s="62" t="s">
        <v>19262</v>
      </c>
      <c r="M584" s="62" t="s">
        <v>24995</v>
      </c>
      <c r="N584" s="62" t="s">
        <v>19269</v>
      </c>
      <c r="O584" s="62" t="s">
        <v>56</v>
      </c>
      <c r="P584" s="42" t="str">
        <f>+IF(O584="","",IFERROR(VLOOKUP(O584,CODIGO_DIAGNOSTICO,2,0),"CÓDIGO NO ENCONTRADO"))</f>
        <v>ENTEROCOLITIS DEBIDA A CLOSTRIDIUM DIFFICILE</v>
      </c>
      <c r="Q584" s="62" t="s">
        <v>19230</v>
      </c>
      <c r="R584" s="64">
        <v>9001474</v>
      </c>
      <c r="S584" s="75">
        <v>45321</v>
      </c>
      <c r="T584" s="75">
        <v>45335</v>
      </c>
      <c r="U584" s="65">
        <v>606.66700000000003</v>
      </c>
      <c r="V584" s="62" t="s">
        <v>26084</v>
      </c>
      <c r="W584" s="65"/>
      <c r="X584" s="62"/>
      <c r="Y584" s="65"/>
      <c r="Z584" s="73"/>
    </row>
    <row r="585" spans="1:26" ht="15.75" hidden="1" customHeight="1" x14ac:dyDescent="0.25">
      <c r="A585" s="67">
        <v>1</v>
      </c>
      <c r="B585" s="68">
        <v>1036622798</v>
      </c>
      <c r="C585" s="68" t="s">
        <v>25272</v>
      </c>
      <c r="D585" s="68" t="s">
        <v>25993</v>
      </c>
      <c r="E585" s="68" t="s">
        <v>26035</v>
      </c>
      <c r="F585" s="68" t="s">
        <v>25339</v>
      </c>
      <c r="G585" s="81" t="s">
        <v>19285</v>
      </c>
      <c r="H585" s="69">
        <v>45301</v>
      </c>
      <c r="I585" s="69">
        <v>45330</v>
      </c>
      <c r="J585" s="68">
        <v>30</v>
      </c>
      <c r="K585" s="68">
        <v>30</v>
      </c>
      <c r="L585" s="68" t="s">
        <v>19262</v>
      </c>
      <c r="M585" s="68" t="s">
        <v>19262</v>
      </c>
      <c r="N585" s="62" t="s">
        <v>19269</v>
      </c>
      <c r="O585" s="68" t="s">
        <v>7785</v>
      </c>
      <c r="P585" s="42" t="str">
        <f>+IF(O585="","",IFERROR(VLOOKUP(O585,CODIGO_DIAGNOSTICO,2,0),"CÓDIGO NO ENCONTRADO"))</f>
        <v>FRACTURA DE HUESO DEL METATARSO</v>
      </c>
      <c r="Q585" s="68" t="s">
        <v>19230</v>
      </c>
      <c r="R585" s="67"/>
      <c r="S585" s="77"/>
      <c r="T585" s="76"/>
      <c r="U585" s="65"/>
      <c r="V585" s="68" t="s">
        <v>26141</v>
      </c>
      <c r="W585" s="70"/>
      <c r="X585" s="68"/>
      <c r="Y585" s="70"/>
      <c r="Z585" s="72"/>
    </row>
    <row r="586" spans="1:26" ht="15.75" hidden="1" customHeight="1" x14ac:dyDescent="0.25">
      <c r="A586" s="64">
        <v>1</v>
      </c>
      <c r="B586" s="62">
        <v>43210112</v>
      </c>
      <c r="C586" s="62" t="s">
        <v>25257</v>
      </c>
      <c r="D586" s="62"/>
      <c r="E586" s="62" t="s">
        <v>25258</v>
      </c>
      <c r="F586" s="62" t="s">
        <v>25259</v>
      </c>
      <c r="G586" s="81" t="s">
        <v>19285</v>
      </c>
      <c r="H586" s="63">
        <v>45303</v>
      </c>
      <c r="I586" s="63">
        <v>45304</v>
      </c>
      <c r="J586" s="62">
        <v>2</v>
      </c>
      <c r="K586" s="62">
        <v>2</v>
      </c>
      <c r="L586" s="62" t="s">
        <v>24995</v>
      </c>
      <c r="M586" s="62" t="s">
        <v>24995</v>
      </c>
      <c r="N586" s="62" t="s">
        <v>19269</v>
      </c>
      <c r="O586" s="62" t="s">
        <v>539</v>
      </c>
      <c r="P586" s="42" t="str">
        <f>+IF(O586="","",IFERROR(VLOOKUP(O586,CODIGO_DIAGNOSTICO,2,0),"CÓDIGO NO ENCONTRADO"))</f>
        <v>INFECCION VIRAL, NO ESPECIFICADA</v>
      </c>
      <c r="Q586" s="62" t="s">
        <v>19230</v>
      </c>
      <c r="R586" s="64"/>
      <c r="S586" s="75"/>
      <c r="T586" s="75"/>
      <c r="U586" s="65"/>
      <c r="V586" s="62"/>
      <c r="W586" s="65"/>
      <c r="X586" s="62"/>
      <c r="Y586" s="65"/>
      <c r="Z586" s="73"/>
    </row>
    <row r="587" spans="1:26" ht="15.75" hidden="1" customHeight="1" x14ac:dyDescent="0.25">
      <c r="A587" s="67">
        <v>1</v>
      </c>
      <c r="B587" s="68">
        <v>70323164</v>
      </c>
      <c r="C587" s="68" t="s">
        <v>24992</v>
      </c>
      <c r="D587" s="68" t="s">
        <v>24985</v>
      </c>
      <c r="E587" s="68" t="s">
        <v>25091</v>
      </c>
      <c r="F587" s="68" t="s">
        <v>25146</v>
      </c>
      <c r="G587" s="81" t="s">
        <v>19285</v>
      </c>
      <c r="H587" s="69">
        <v>45303</v>
      </c>
      <c r="I587" s="69">
        <v>45317</v>
      </c>
      <c r="J587" s="68">
        <v>15</v>
      </c>
      <c r="K587" s="68">
        <v>15</v>
      </c>
      <c r="L587" s="68" t="s">
        <v>19262</v>
      </c>
      <c r="M587" s="68" t="s">
        <v>19262</v>
      </c>
      <c r="N587" s="62" t="s">
        <v>19269</v>
      </c>
      <c r="O587" s="68" t="s">
        <v>3693</v>
      </c>
      <c r="P587" s="42" t="str">
        <f>+IF(O587="","",IFERROR(VLOOKUP(O587,CODIGO_DIAGNOSTICO,2,0),"CÓDIGO NO ENCONTRADO"))</f>
        <v>ENFERMEDAD PULMONAR OBSTRUCTIVA CRONICA, NO ESPECIFICADA</v>
      </c>
      <c r="Q587" s="68" t="s">
        <v>19230</v>
      </c>
      <c r="R587" s="67"/>
      <c r="S587" s="77"/>
      <c r="T587" s="76"/>
      <c r="U587" s="65"/>
      <c r="V587" s="68"/>
      <c r="W587" s="70"/>
      <c r="X587" s="68"/>
      <c r="Y587" s="70"/>
      <c r="Z587" s="72"/>
    </row>
    <row r="588" spans="1:26" ht="15.75" hidden="1" customHeight="1" x14ac:dyDescent="0.25">
      <c r="A588" s="64">
        <v>1</v>
      </c>
      <c r="B588" s="62">
        <v>12625299</v>
      </c>
      <c r="C588" s="62" t="s">
        <v>25321</v>
      </c>
      <c r="D588" s="62" t="s">
        <v>25322</v>
      </c>
      <c r="E588" s="62" t="s">
        <v>25323</v>
      </c>
      <c r="F588" s="62" t="s">
        <v>25064</v>
      </c>
      <c r="G588" s="81" t="s">
        <v>19285</v>
      </c>
      <c r="H588" s="63">
        <v>45304</v>
      </c>
      <c r="I588" s="63">
        <v>45305</v>
      </c>
      <c r="J588" s="62">
        <v>2</v>
      </c>
      <c r="K588" s="62">
        <v>2</v>
      </c>
      <c r="L588" s="62" t="s">
        <v>24995</v>
      </c>
      <c r="M588" s="62" t="s">
        <v>24995</v>
      </c>
      <c r="N588" s="62" t="s">
        <v>19269</v>
      </c>
      <c r="O588" s="62" t="s">
        <v>88</v>
      </c>
      <c r="P588" s="42" t="str">
        <f>+IF(O588="","",IFERROR(VLOOKUP(O588,CODIGO_DIAGNOSTICO,2,0),"CÓDIGO NO ENCONTRADO"))</f>
        <v>DIARREA Y GASTROENTERITIS DE PRESUNTO ORIGEN INFECCIOSO</v>
      </c>
      <c r="Q588" s="62" t="s">
        <v>19230</v>
      </c>
      <c r="R588" s="64"/>
      <c r="S588" s="75"/>
      <c r="T588" s="75"/>
      <c r="U588" s="65"/>
      <c r="V588" s="62" t="s">
        <v>26083</v>
      </c>
      <c r="W588" s="65"/>
      <c r="X588" s="62"/>
      <c r="Y588" s="65"/>
      <c r="Z588" s="73"/>
    </row>
    <row r="589" spans="1:26" ht="15.75" hidden="1" customHeight="1" x14ac:dyDescent="0.25">
      <c r="A589" s="67">
        <v>1</v>
      </c>
      <c r="B589" s="68">
        <v>71185910</v>
      </c>
      <c r="C589" s="68" t="s">
        <v>26077</v>
      </c>
      <c r="D589" s="68" t="s">
        <v>25443</v>
      </c>
      <c r="E589" s="68" t="s">
        <v>26042</v>
      </c>
      <c r="F589" s="68" t="s">
        <v>25135</v>
      </c>
      <c r="G589" s="81" t="s">
        <v>19285</v>
      </c>
      <c r="H589" s="69">
        <v>45304</v>
      </c>
      <c r="I589" s="69">
        <v>45333</v>
      </c>
      <c r="J589" s="68">
        <v>30</v>
      </c>
      <c r="K589" s="68">
        <v>30</v>
      </c>
      <c r="L589" s="68" t="s">
        <v>19262</v>
      </c>
      <c r="M589" s="68" t="s">
        <v>19262</v>
      </c>
      <c r="N589" s="62" t="s">
        <v>19269</v>
      </c>
      <c r="O589" s="68" t="s">
        <v>7734</v>
      </c>
      <c r="P589" s="42" t="str">
        <f>+IF(O589="","",IFERROR(VLOOKUP(O589,CODIGO_DIAGNOSTICO,2,0),"CÓDIGO NO ENCONTRADO"))</f>
        <v>DESGARRO DE MENISCOS, PRESENTE</v>
      </c>
      <c r="Q589" s="68" t="s">
        <v>19232</v>
      </c>
      <c r="R589" s="67"/>
      <c r="S589" s="77"/>
      <c r="T589" s="76"/>
      <c r="U589" s="65">
        <v>42.4</v>
      </c>
      <c r="V589" s="68" t="s">
        <v>26083</v>
      </c>
      <c r="W589" s="70" t="s">
        <v>26149</v>
      </c>
      <c r="X589" s="68">
        <v>0</v>
      </c>
      <c r="Y589" s="70"/>
      <c r="Z589" s="72"/>
    </row>
    <row r="590" spans="1:26" ht="15.75" hidden="1" customHeight="1" x14ac:dyDescent="0.25">
      <c r="A590" s="64">
        <v>1</v>
      </c>
      <c r="B590" s="62">
        <v>12625299</v>
      </c>
      <c r="C590" s="62" t="s">
        <v>25321</v>
      </c>
      <c r="D590" s="62" t="s">
        <v>25322</v>
      </c>
      <c r="E590" s="62" t="s">
        <v>25323</v>
      </c>
      <c r="F590" s="62" t="s">
        <v>25064</v>
      </c>
      <c r="G590" s="81" t="s">
        <v>19285</v>
      </c>
      <c r="H590" s="63">
        <v>45306</v>
      </c>
      <c r="I590" s="63">
        <v>45307</v>
      </c>
      <c r="J590" s="62">
        <v>2</v>
      </c>
      <c r="K590" s="62">
        <v>2</v>
      </c>
      <c r="L590" s="62" t="s">
        <v>19262</v>
      </c>
      <c r="M590" s="62" t="s">
        <v>24995</v>
      </c>
      <c r="N590" s="62" t="s">
        <v>19269</v>
      </c>
      <c r="O590" s="62" t="s">
        <v>539</v>
      </c>
      <c r="P590" s="42" t="str">
        <f>+IF(O590="","",IFERROR(VLOOKUP(O590,CODIGO_DIAGNOSTICO,2,0),"CÓDIGO NO ENCONTRADO"))</f>
        <v>INFECCION VIRAL, NO ESPECIFICADA</v>
      </c>
      <c r="Q590" s="62" t="s">
        <v>19230</v>
      </c>
      <c r="R590" s="64">
        <v>9001415</v>
      </c>
      <c r="S590" s="75">
        <v>45321</v>
      </c>
      <c r="T590" s="75">
        <v>45335</v>
      </c>
      <c r="U590" s="65">
        <v>86.667000000000002</v>
      </c>
      <c r="V590" s="62" t="s">
        <v>26084</v>
      </c>
      <c r="W590" s="65"/>
      <c r="X590" s="62"/>
      <c r="Y590" s="65"/>
      <c r="Z590" s="73"/>
    </row>
    <row r="591" spans="1:26" ht="15.75" hidden="1" customHeight="1" x14ac:dyDescent="0.25">
      <c r="A591" s="67">
        <v>1</v>
      </c>
      <c r="B591" s="68">
        <v>32143746</v>
      </c>
      <c r="C591" s="68" t="s">
        <v>25373</v>
      </c>
      <c r="D591" s="68" t="s">
        <v>25034</v>
      </c>
      <c r="E591" s="68" t="s">
        <v>26070</v>
      </c>
      <c r="F591" s="68" t="s">
        <v>26071</v>
      </c>
      <c r="G591" s="81" t="s">
        <v>19285</v>
      </c>
      <c r="H591" s="69">
        <v>45307</v>
      </c>
      <c r="I591" s="69">
        <v>45308</v>
      </c>
      <c r="J591" s="68">
        <v>2</v>
      </c>
      <c r="K591" s="68">
        <v>2</v>
      </c>
      <c r="L591" s="68" t="s">
        <v>24995</v>
      </c>
      <c r="M591" s="68" t="s">
        <v>24995</v>
      </c>
      <c r="N591" s="62" t="s">
        <v>19269</v>
      </c>
      <c r="O591" s="68" t="s">
        <v>15281</v>
      </c>
      <c r="P591" s="42" t="str">
        <f>+IF(O591="","",IFERROR(VLOOKUP(O591,CODIGO_DIAGNOSTICO,2,0),"CÓDIGO NO ENCONTRADO"))</f>
        <v>RINOFARINGITIS AGUDA (RESFRIADO COMUN)</v>
      </c>
      <c r="Q591" s="68" t="s">
        <v>19230</v>
      </c>
      <c r="R591" s="67"/>
      <c r="S591" s="77"/>
      <c r="T591" s="76"/>
      <c r="U591" s="65"/>
      <c r="V591" s="68"/>
      <c r="W591" s="70"/>
      <c r="X591" s="68"/>
      <c r="Y591" s="70"/>
      <c r="Z591" s="72"/>
    </row>
    <row r="592" spans="1:26" ht="15.75" hidden="1" customHeight="1" x14ac:dyDescent="0.25">
      <c r="A592" s="64">
        <v>1</v>
      </c>
      <c r="B592" s="62">
        <v>71651935</v>
      </c>
      <c r="C592" s="62" t="s">
        <v>25635</v>
      </c>
      <c r="D592" s="62" t="s">
        <v>25480</v>
      </c>
      <c r="E592" s="62" t="s">
        <v>25282</v>
      </c>
      <c r="F592" s="62" t="s">
        <v>25028</v>
      </c>
      <c r="G592" s="81" t="s">
        <v>19285</v>
      </c>
      <c r="H592" s="63">
        <v>45307</v>
      </c>
      <c r="I592" s="63">
        <v>45336</v>
      </c>
      <c r="J592" s="62">
        <v>30</v>
      </c>
      <c r="K592" s="62">
        <v>30</v>
      </c>
      <c r="L592" s="62" t="s">
        <v>19262</v>
      </c>
      <c r="M592" s="62" t="s">
        <v>19262</v>
      </c>
      <c r="N592" s="62" t="s">
        <v>19269</v>
      </c>
      <c r="O592" s="62" t="s">
        <v>905</v>
      </c>
      <c r="P592" s="42" t="str">
        <f>+IF(O592="","",IFERROR(VLOOKUP(O592,CODIGO_DIAGNOSTICO,2,0),"CÓDIGO NO ENCONTRADO"))</f>
        <v>TUMOR MALIGNO DEL RECTO</v>
      </c>
      <c r="Q592" s="62" t="s">
        <v>24996</v>
      </c>
      <c r="R592" s="64"/>
      <c r="S592" s="75"/>
      <c r="T592" s="75"/>
      <c r="U592" s="65"/>
      <c r="V592" s="62"/>
      <c r="W592" s="65"/>
      <c r="X592" s="62"/>
      <c r="Y592" s="65"/>
      <c r="Z592" s="73"/>
    </row>
    <row r="593" spans="1:26" ht="15.75" hidden="1" customHeight="1" x14ac:dyDescent="0.25">
      <c r="A593" s="67">
        <v>1</v>
      </c>
      <c r="B593" s="68">
        <v>12625299</v>
      </c>
      <c r="C593" s="68" t="s">
        <v>25321</v>
      </c>
      <c r="D593" s="68" t="s">
        <v>25322</v>
      </c>
      <c r="E593" s="68" t="s">
        <v>25323</v>
      </c>
      <c r="F593" s="68" t="s">
        <v>25064</v>
      </c>
      <c r="G593" s="81" t="s">
        <v>19285</v>
      </c>
      <c r="H593" s="69">
        <v>45308</v>
      </c>
      <c r="I593" s="69">
        <v>45309</v>
      </c>
      <c r="J593" s="68">
        <v>2</v>
      </c>
      <c r="K593" s="68">
        <v>2</v>
      </c>
      <c r="L593" s="68" t="s">
        <v>24995</v>
      </c>
      <c r="M593" s="68" t="s">
        <v>24995</v>
      </c>
      <c r="N593" s="62" t="s">
        <v>19269</v>
      </c>
      <c r="O593" s="68" t="s">
        <v>4837</v>
      </c>
      <c r="P593" s="42" t="str">
        <f>+IF(O593="","",IFERROR(VLOOKUP(O593,CODIGO_DIAGNOSTICO,2,0),"CÓDIGO NO ENCONTRADO"))</f>
        <v>LUMBAGO CON CIATICA</v>
      </c>
      <c r="Q593" s="68" t="s">
        <v>19230</v>
      </c>
      <c r="R593" s="67"/>
      <c r="S593" s="77"/>
      <c r="T593" s="76"/>
      <c r="U593" s="65"/>
      <c r="V593" s="68"/>
      <c r="W593" s="70"/>
      <c r="X593" s="68"/>
      <c r="Y593" s="70"/>
      <c r="Z593" s="72"/>
    </row>
    <row r="594" spans="1:26" ht="15.75" hidden="1" customHeight="1" x14ac:dyDescent="0.25">
      <c r="A594" s="64">
        <v>1</v>
      </c>
      <c r="B594" s="62">
        <v>1216713788</v>
      </c>
      <c r="C594" s="62" t="s">
        <v>24987</v>
      </c>
      <c r="D594" s="62" t="s">
        <v>25687</v>
      </c>
      <c r="E594" s="62" t="s">
        <v>25010</v>
      </c>
      <c r="F594" s="62" t="s">
        <v>25066</v>
      </c>
      <c r="G594" s="81" t="s">
        <v>19285</v>
      </c>
      <c r="H594" s="63">
        <v>45308</v>
      </c>
      <c r="I594" s="63">
        <v>45321</v>
      </c>
      <c r="J594" s="62">
        <v>14</v>
      </c>
      <c r="K594" s="62">
        <v>14</v>
      </c>
      <c r="L594" s="62" t="s">
        <v>19262</v>
      </c>
      <c r="M594" s="62" t="s">
        <v>19262</v>
      </c>
      <c r="N594" s="62" t="s">
        <v>19263</v>
      </c>
      <c r="O594" s="62" t="s">
        <v>12131</v>
      </c>
      <c r="P594" s="42" t="str">
        <f>+IF(O594="","",IFERROR(VLOOKUP(O594,CODIGO_DIAGNOSTICO,2,0),"CÓDIGO NO ENCONTRADO"))</f>
        <v>CONVALECENCIA CONSECUTIVA A CIRUGIA</v>
      </c>
      <c r="Q594" s="62" t="s">
        <v>19254</v>
      </c>
      <c r="R594" s="64"/>
      <c r="S594" s="75"/>
      <c r="T594" s="75"/>
      <c r="U594" s="65"/>
      <c r="V594" s="62"/>
      <c r="W594" s="65"/>
      <c r="X594" s="62"/>
      <c r="Y594" s="65"/>
      <c r="Z594" s="73"/>
    </row>
    <row r="595" spans="1:26" ht="15.75" hidden="1" customHeight="1" x14ac:dyDescent="0.25">
      <c r="A595" s="67">
        <v>1</v>
      </c>
      <c r="B595" s="68">
        <v>1128471389</v>
      </c>
      <c r="C595" s="68" t="s">
        <v>25426</v>
      </c>
      <c r="D595" s="68" t="s">
        <v>25015</v>
      </c>
      <c r="E595" s="68" t="s">
        <v>26155</v>
      </c>
      <c r="F595" s="68" t="s">
        <v>25110</v>
      </c>
      <c r="G595" s="81" t="s">
        <v>19285</v>
      </c>
      <c r="H595" s="69">
        <v>45308</v>
      </c>
      <c r="I595" s="69">
        <v>45314</v>
      </c>
      <c r="J595" s="68">
        <v>7</v>
      </c>
      <c r="K595" s="68">
        <v>7</v>
      </c>
      <c r="L595" s="68" t="s">
        <v>24995</v>
      </c>
      <c r="M595" s="68" t="s">
        <v>24995</v>
      </c>
      <c r="N595" s="62" t="s">
        <v>19269</v>
      </c>
      <c r="O595" s="68" t="s">
        <v>2246</v>
      </c>
      <c r="P595" s="42" t="str">
        <f>+IF(O595="","",IFERROR(VLOOKUP(O595,CODIGO_DIAGNOSTICO,2,0),"CÓDIGO NO ENCONTRADO"))</f>
        <v>EPISODIO DEPRESIVO GRAVE SIN SINTOMAS PSICOTICOS</v>
      </c>
      <c r="Q595" s="68" t="s">
        <v>19232</v>
      </c>
      <c r="R595" s="67">
        <v>2092415321</v>
      </c>
      <c r="S595" s="77">
        <v>45331</v>
      </c>
      <c r="T595" s="76">
        <v>45332</v>
      </c>
      <c r="U595" s="65">
        <v>216.66499999999999</v>
      </c>
      <c r="V595" s="68"/>
      <c r="W595" s="70"/>
      <c r="X595" s="68"/>
      <c r="Y595" s="70"/>
      <c r="Z595" s="72"/>
    </row>
    <row r="596" spans="1:26" ht="15.75" hidden="1" customHeight="1" x14ac:dyDescent="0.25">
      <c r="A596" s="64">
        <v>1</v>
      </c>
      <c r="B596" s="62">
        <v>1216713788</v>
      </c>
      <c r="C596" s="62" t="s">
        <v>26156</v>
      </c>
      <c r="D596" s="62" t="s">
        <v>25687</v>
      </c>
      <c r="E596" s="62" t="s">
        <v>25010</v>
      </c>
      <c r="F596" s="62" t="s">
        <v>25066</v>
      </c>
      <c r="G596" s="81" t="s">
        <v>19285</v>
      </c>
      <c r="H596" s="63">
        <v>45308</v>
      </c>
      <c r="I596" s="63">
        <v>45321</v>
      </c>
      <c r="J596" s="62">
        <v>14</v>
      </c>
      <c r="K596" s="62">
        <v>14</v>
      </c>
      <c r="L596" s="62" t="s">
        <v>19262</v>
      </c>
      <c r="M596" s="62" t="s">
        <v>24995</v>
      </c>
      <c r="N596" s="62" t="s">
        <v>19263</v>
      </c>
      <c r="O596" s="62" t="s">
        <v>12131</v>
      </c>
      <c r="P596" s="42" t="str">
        <f>+IF(O596="","",IFERROR(VLOOKUP(O596,CODIGO_DIAGNOSTICO,2,0),"CÓDIGO NO ENCONTRADO"))</f>
        <v>CONVALECENCIA CONSECUTIVA A CIRUGIA</v>
      </c>
      <c r="Q596" s="62" t="s">
        <v>19254</v>
      </c>
      <c r="R596" s="64">
        <v>30594421</v>
      </c>
      <c r="S596" s="75">
        <v>45321</v>
      </c>
      <c r="T596" s="75"/>
      <c r="U596" s="65"/>
      <c r="V596" s="62"/>
      <c r="W596" s="65"/>
      <c r="X596" s="62"/>
      <c r="Y596" s="65"/>
      <c r="Z596" s="73"/>
    </row>
    <row r="597" spans="1:26" ht="15.75" hidden="1" customHeight="1" x14ac:dyDescent="0.25">
      <c r="A597" s="67">
        <v>1</v>
      </c>
      <c r="B597" s="68">
        <v>1128471389</v>
      </c>
      <c r="C597" s="68" t="s">
        <v>25426</v>
      </c>
      <c r="D597" s="68" t="s">
        <v>25015</v>
      </c>
      <c r="E597" s="68" t="s">
        <v>26155</v>
      </c>
      <c r="F597" s="68" t="s">
        <v>25110</v>
      </c>
      <c r="G597" s="81" t="s">
        <v>19285</v>
      </c>
      <c r="H597" s="69">
        <v>45308</v>
      </c>
      <c r="I597" s="69">
        <v>45314</v>
      </c>
      <c r="J597" s="68">
        <v>7</v>
      </c>
      <c r="K597" s="68">
        <v>7</v>
      </c>
      <c r="L597" s="68" t="s">
        <v>24995</v>
      </c>
      <c r="M597" s="68" t="s">
        <v>24995</v>
      </c>
      <c r="N597" s="62" t="s">
        <v>19269</v>
      </c>
      <c r="O597" s="68" t="s">
        <v>2246</v>
      </c>
      <c r="P597" s="42" t="str">
        <f>+IF(O597="","",IFERROR(VLOOKUP(O597,CODIGO_DIAGNOSTICO,2,0),"CÓDIGO NO ENCONTRADO"))</f>
        <v>EPISODIO DEPRESIVO GRAVE SIN SINTOMAS PSICOTICOS</v>
      </c>
      <c r="Q597" s="68" t="s">
        <v>19232</v>
      </c>
      <c r="R597" s="67"/>
      <c r="S597" s="77"/>
      <c r="T597" s="76"/>
      <c r="U597" s="65"/>
      <c r="V597" s="68"/>
      <c r="W597" s="70"/>
      <c r="X597" s="68"/>
      <c r="Y597" s="70"/>
      <c r="Z597" s="72"/>
    </row>
    <row r="598" spans="1:26" ht="15.75" hidden="1" customHeight="1" x14ac:dyDescent="0.25">
      <c r="A598" s="64">
        <v>1</v>
      </c>
      <c r="B598" s="62">
        <v>15309929</v>
      </c>
      <c r="C598" s="62" t="s">
        <v>25011</v>
      </c>
      <c r="D598" s="62" t="s">
        <v>25012</v>
      </c>
      <c r="E598" s="62" t="s">
        <v>25013</v>
      </c>
      <c r="F598" s="62" t="s">
        <v>25014</v>
      </c>
      <c r="G598" s="81" t="s">
        <v>19285</v>
      </c>
      <c r="H598" s="63">
        <v>45308</v>
      </c>
      <c r="I598" s="63">
        <v>45322</v>
      </c>
      <c r="J598" s="62">
        <v>15</v>
      </c>
      <c r="K598" s="62">
        <v>15</v>
      </c>
      <c r="L598" s="62" t="s">
        <v>19262</v>
      </c>
      <c r="M598" s="62" t="s">
        <v>24995</v>
      </c>
      <c r="N598" s="62" t="s">
        <v>19269</v>
      </c>
      <c r="O598" s="62" t="s">
        <v>7734</v>
      </c>
      <c r="P598" s="42" t="str">
        <f>+IF(O598="","",IFERROR(VLOOKUP(O598,CODIGO_DIAGNOSTICO,2,0),"CÓDIGO NO ENCONTRADO"))</f>
        <v>DESGARRO DE MENISCOS, PRESENTE</v>
      </c>
      <c r="Q598" s="62" t="s">
        <v>19230</v>
      </c>
      <c r="R598" s="64"/>
      <c r="S598" s="75">
        <v>45392</v>
      </c>
      <c r="T598" s="75"/>
      <c r="U598" s="65"/>
      <c r="V598" s="62" t="s">
        <v>26141</v>
      </c>
      <c r="W598" s="65" t="s">
        <v>26151</v>
      </c>
      <c r="X598" s="62"/>
      <c r="Y598" s="65"/>
      <c r="Z598" s="73"/>
    </row>
    <row r="599" spans="1:26" ht="15.75" hidden="1" customHeight="1" x14ac:dyDescent="0.25">
      <c r="A599" s="67">
        <v>1</v>
      </c>
      <c r="B599" s="68">
        <v>3669363</v>
      </c>
      <c r="C599" s="68" t="s">
        <v>25173</v>
      </c>
      <c r="D599" s="68" t="s">
        <v>24983</v>
      </c>
      <c r="E599" s="68" t="s">
        <v>25032</v>
      </c>
      <c r="F599" s="68" t="s">
        <v>25103</v>
      </c>
      <c r="G599" s="81" t="s">
        <v>19285</v>
      </c>
      <c r="H599" s="69">
        <v>45309</v>
      </c>
      <c r="I599" s="69">
        <v>45311</v>
      </c>
      <c r="J599" s="68">
        <v>3</v>
      </c>
      <c r="K599" s="68">
        <v>3</v>
      </c>
      <c r="L599" s="68" t="s">
        <v>24995</v>
      </c>
      <c r="M599" s="68" t="s">
        <v>24995</v>
      </c>
      <c r="N599" s="62" t="s">
        <v>19269</v>
      </c>
      <c r="O599" s="68" t="s">
        <v>7723</v>
      </c>
      <c r="P599" s="42" t="str">
        <f>+IF(O599="","",IFERROR(VLOOKUP(O599,CODIGO_DIAGNOSTICO,2,0),"CÓDIGO NO ENCONTRADO"))</f>
        <v>FRACTURA DE LA EPIFISIS SUPERIOR DE LA TIBIA</v>
      </c>
      <c r="Q599" s="68" t="s">
        <v>19230</v>
      </c>
      <c r="R599" s="67">
        <v>9001380</v>
      </c>
      <c r="S599" s="77">
        <v>45321</v>
      </c>
      <c r="T599" s="76"/>
      <c r="U599" s="65"/>
      <c r="V599" s="68" t="s">
        <v>26141</v>
      </c>
      <c r="W599" s="70"/>
      <c r="X599" s="68"/>
      <c r="Y599" s="70"/>
      <c r="Z599" s="72"/>
    </row>
    <row r="600" spans="1:26" ht="15.75" hidden="1" customHeight="1" x14ac:dyDescent="0.25">
      <c r="A600" s="64">
        <v>1</v>
      </c>
      <c r="B600" s="62">
        <v>12625299</v>
      </c>
      <c r="C600" s="62" t="s">
        <v>25321</v>
      </c>
      <c r="D600" s="62" t="s">
        <v>26145</v>
      </c>
      <c r="E600" s="62" t="s">
        <v>25323</v>
      </c>
      <c r="F600" s="62" t="s">
        <v>25064</v>
      </c>
      <c r="G600" s="81" t="s">
        <v>19285</v>
      </c>
      <c r="H600" s="63">
        <v>45310</v>
      </c>
      <c r="I600" s="63">
        <v>45310</v>
      </c>
      <c r="J600" s="62">
        <v>1</v>
      </c>
      <c r="K600" s="62">
        <v>1</v>
      </c>
      <c r="L600" s="62" t="s">
        <v>24995</v>
      </c>
      <c r="M600" s="62" t="s">
        <v>24995</v>
      </c>
      <c r="N600" s="62" t="s">
        <v>19269</v>
      </c>
      <c r="O600" s="62" t="s">
        <v>4217</v>
      </c>
      <c r="P600" s="42" t="str">
        <f>+IF(O600="","",IFERROR(VLOOKUP(O600,CODIGO_DIAGNOSTICO,2,0),"CÓDIGO NO ENCONTRADO"))</f>
        <v>CELULITIS DE OTRAS PARTES DE LOS MIEMBROS</v>
      </c>
      <c r="Q600" s="62" t="s">
        <v>19230</v>
      </c>
      <c r="R600" s="64">
        <v>37635122</v>
      </c>
      <c r="S600" s="75" t="s">
        <v>25942</v>
      </c>
      <c r="T600" s="75" t="s">
        <v>25942</v>
      </c>
      <c r="U600" s="65" t="s">
        <v>25942</v>
      </c>
      <c r="V600" s="62" t="s">
        <v>26083</v>
      </c>
      <c r="W600" s="65"/>
      <c r="X600" s="62"/>
      <c r="Y600" s="65"/>
      <c r="Z600" s="73"/>
    </row>
    <row r="601" spans="1:26" ht="15.75" hidden="1" customHeight="1" x14ac:dyDescent="0.25">
      <c r="A601" s="67">
        <v>1</v>
      </c>
      <c r="B601" s="68">
        <v>98601485</v>
      </c>
      <c r="C601" s="68" t="s">
        <v>25240</v>
      </c>
      <c r="D601" s="68"/>
      <c r="E601" s="68" t="s">
        <v>25241</v>
      </c>
      <c r="F601" s="68" t="s">
        <v>25103</v>
      </c>
      <c r="G601" s="81" t="s">
        <v>25328</v>
      </c>
      <c r="H601" s="69">
        <v>45311</v>
      </c>
      <c r="I601" s="69">
        <v>45330</v>
      </c>
      <c r="J601" s="68">
        <v>20</v>
      </c>
      <c r="K601" s="68">
        <v>20</v>
      </c>
      <c r="L601" s="68" t="s">
        <v>19262</v>
      </c>
      <c r="M601" s="68" t="s">
        <v>19262</v>
      </c>
      <c r="N601" s="62" t="s">
        <v>19269</v>
      </c>
      <c r="O601" s="68" t="s">
        <v>8415</v>
      </c>
      <c r="P601" s="42" t="str">
        <f>+IF(O601="","",IFERROR(VLOOKUP(O601,CODIGO_DIAGNOSTICO,2,0),"CÓDIGO NO ENCONTRADO"))</f>
        <v>COMPLICACION MECANICA DE PROTESIS ARTICULAR INTERNA</v>
      </c>
      <c r="Q601" s="68" t="s">
        <v>19230</v>
      </c>
      <c r="R601" s="67">
        <v>9001439</v>
      </c>
      <c r="S601" s="77">
        <v>45321</v>
      </c>
      <c r="T601" s="76"/>
      <c r="U601" s="65"/>
      <c r="V601" s="68" t="s">
        <v>26141</v>
      </c>
      <c r="W601" s="70" t="s">
        <v>26151</v>
      </c>
      <c r="X601" s="68"/>
      <c r="Y601" s="70"/>
      <c r="Z601" s="72"/>
    </row>
    <row r="602" spans="1:26" ht="15.75" hidden="1" customHeight="1" x14ac:dyDescent="0.25">
      <c r="A602" s="64">
        <v>1</v>
      </c>
      <c r="B602" s="62">
        <v>15932863</v>
      </c>
      <c r="C602" s="62" t="s">
        <v>24980</v>
      </c>
      <c r="D602" s="62" t="s">
        <v>25127</v>
      </c>
      <c r="E602" s="62" t="s">
        <v>26080</v>
      </c>
      <c r="F602" s="62" t="s">
        <v>25103</v>
      </c>
      <c r="G602" s="81" t="s">
        <v>19285</v>
      </c>
      <c r="H602" s="63">
        <v>45311</v>
      </c>
      <c r="I602" s="63">
        <v>45311</v>
      </c>
      <c r="J602" s="62">
        <v>1</v>
      </c>
      <c r="K602" s="62">
        <v>1</v>
      </c>
      <c r="L602" s="62" t="s">
        <v>24995</v>
      </c>
      <c r="M602" s="62" t="s">
        <v>24995</v>
      </c>
      <c r="N602" s="62" t="s">
        <v>19269</v>
      </c>
      <c r="O602" s="62" t="s">
        <v>4838</v>
      </c>
      <c r="P602" s="42" t="str">
        <f>+IF(O602="","",IFERROR(VLOOKUP(O602,CODIGO_DIAGNOSTICO,2,0),"CÓDIGO NO ENCONTRADO"))</f>
        <v>LUMBAGO NO ESPECIFICADO</v>
      </c>
      <c r="Q602" s="62" t="s">
        <v>19231</v>
      </c>
      <c r="R602" s="64">
        <v>10022526</v>
      </c>
      <c r="S602" s="75" t="s">
        <v>25942</v>
      </c>
      <c r="T602" s="75" t="s">
        <v>25942</v>
      </c>
      <c r="U602" s="65"/>
      <c r="V602" s="62" t="s">
        <v>26083</v>
      </c>
      <c r="W602" s="65"/>
      <c r="X602" s="62"/>
      <c r="Y602" s="65"/>
      <c r="Z602" s="73"/>
    </row>
    <row r="603" spans="1:26" ht="15.75" hidden="1" customHeight="1" x14ac:dyDescent="0.25">
      <c r="A603" s="67">
        <v>1</v>
      </c>
      <c r="B603" s="68">
        <v>12625299</v>
      </c>
      <c r="C603" s="68" t="s">
        <v>25321</v>
      </c>
      <c r="D603" s="68" t="s">
        <v>26145</v>
      </c>
      <c r="E603" s="68" t="s">
        <v>25323</v>
      </c>
      <c r="F603" s="68" t="s">
        <v>25064</v>
      </c>
      <c r="G603" s="81" t="s">
        <v>19285</v>
      </c>
      <c r="H603" s="69">
        <v>45311</v>
      </c>
      <c r="I603" s="69">
        <v>45374</v>
      </c>
      <c r="J603" s="68">
        <v>4</v>
      </c>
      <c r="K603" s="68">
        <v>4</v>
      </c>
      <c r="L603" s="68" t="s">
        <v>19262</v>
      </c>
      <c r="M603" s="68" t="s">
        <v>24995</v>
      </c>
      <c r="N603" s="62" t="s">
        <v>19269</v>
      </c>
      <c r="O603" s="68" t="s">
        <v>4221</v>
      </c>
      <c r="P603" s="42" t="str">
        <f>+IF(O603="","",IFERROR(VLOOKUP(O603,CODIGO_DIAGNOSTICO,2,0),"CÓDIGO NO ENCONTRADO"))</f>
        <v>CELULITIS DE SITIO NO ESPECIFICADO</v>
      </c>
      <c r="Q603" s="68" t="s">
        <v>19230</v>
      </c>
      <c r="R603" s="67">
        <v>9146419</v>
      </c>
      <c r="S603" s="77">
        <v>45365</v>
      </c>
      <c r="T603" s="76">
        <v>45378</v>
      </c>
      <c r="U603" s="65">
        <v>130</v>
      </c>
      <c r="V603" s="68" t="s">
        <v>26084</v>
      </c>
      <c r="W603" s="70"/>
      <c r="X603" s="68"/>
      <c r="Y603" s="70"/>
      <c r="Z603" s="72"/>
    </row>
    <row r="604" spans="1:26" ht="15.75" hidden="1" customHeight="1" x14ac:dyDescent="0.25">
      <c r="A604" s="64">
        <v>1</v>
      </c>
      <c r="B604" s="62">
        <v>12625299</v>
      </c>
      <c r="C604" s="62" t="s">
        <v>25321</v>
      </c>
      <c r="D604" s="62" t="s">
        <v>26145</v>
      </c>
      <c r="E604" s="62" t="s">
        <v>25323</v>
      </c>
      <c r="F604" s="62" t="s">
        <v>25064</v>
      </c>
      <c r="G604" s="81" t="s">
        <v>19285</v>
      </c>
      <c r="H604" s="63">
        <v>45311</v>
      </c>
      <c r="I604" s="63">
        <v>45314</v>
      </c>
      <c r="J604" s="62">
        <v>4</v>
      </c>
      <c r="K604" s="62">
        <v>4</v>
      </c>
      <c r="L604" s="62" t="s">
        <v>19262</v>
      </c>
      <c r="M604" s="62" t="s">
        <v>24995</v>
      </c>
      <c r="N604" s="62" t="s">
        <v>19269</v>
      </c>
      <c r="O604" s="62" t="s">
        <v>4221</v>
      </c>
      <c r="P604" s="42" t="str">
        <f>+IF(O604="","",IFERROR(VLOOKUP(O604,CODIGO_DIAGNOSTICO,2,0),"CÓDIGO NO ENCONTRADO"))</f>
        <v>CELULITIS DE SITIO NO ESPECIFICADO</v>
      </c>
      <c r="Q604" s="62" t="s">
        <v>19230</v>
      </c>
      <c r="R604" s="64"/>
      <c r="S604" s="75">
        <v>45372</v>
      </c>
      <c r="T604" s="75"/>
      <c r="U604" s="65"/>
      <c r="V604" s="62"/>
      <c r="W604" s="65"/>
      <c r="X604" s="62"/>
      <c r="Y604" s="65"/>
      <c r="Z604" s="73"/>
    </row>
    <row r="605" spans="1:26" ht="15.75" hidden="1" customHeight="1" x14ac:dyDescent="0.25">
      <c r="A605" s="67">
        <v>1</v>
      </c>
      <c r="B605" s="68">
        <v>71316478</v>
      </c>
      <c r="C605" s="68" t="s">
        <v>25443</v>
      </c>
      <c r="D605" s="68"/>
      <c r="E605" s="68" t="s">
        <v>25514</v>
      </c>
      <c r="F605" s="68" t="s">
        <v>25515</v>
      </c>
      <c r="G605" s="81" t="s">
        <v>19285</v>
      </c>
      <c r="H605" s="69">
        <v>45313</v>
      </c>
      <c r="I605" s="69">
        <v>45311</v>
      </c>
      <c r="J605" s="68">
        <v>30</v>
      </c>
      <c r="K605" s="68">
        <v>30</v>
      </c>
      <c r="L605" s="68" t="s">
        <v>19262</v>
      </c>
      <c r="M605" s="68" t="s">
        <v>24995</v>
      </c>
      <c r="N605" s="62" t="s">
        <v>19269</v>
      </c>
      <c r="O605" s="68" t="s">
        <v>56</v>
      </c>
      <c r="P605" s="42" t="str">
        <f>+IF(O605="","",IFERROR(VLOOKUP(O605,CODIGO_DIAGNOSTICO,2,0),"CÓDIGO NO ENCONTRADO"))</f>
        <v>ENTEROCOLITIS DEBIDA A CLOSTRIDIUM DIFFICILE</v>
      </c>
      <c r="Q605" s="68" t="s">
        <v>19230</v>
      </c>
      <c r="R605" s="67">
        <v>9001490</v>
      </c>
      <c r="S605" s="77">
        <v>45321</v>
      </c>
      <c r="T605" s="76">
        <v>45335</v>
      </c>
      <c r="U605" s="65">
        <v>693.33299999999997</v>
      </c>
      <c r="V605" s="68" t="s">
        <v>26084</v>
      </c>
      <c r="W605" s="70"/>
      <c r="X605" s="68"/>
      <c r="Y605" s="70"/>
      <c r="Z605" s="72"/>
    </row>
    <row r="606" spans="1:26" ht="15.75" hidden="1" customHeight="1" x14ac:dyDescent="0.25">
      <c r="A606" s="64">
        <v>1</v>
      </c>
      <c r="B606" s="62">
        <v>98711080</v>
      </c>
      <c r="C606" s="62" t="s">
        <v>25523</v>
      </c>
      <c r="D606" s="62" t="s">
        <v>25443</v>
      </c>
      <c r="E606" s="62" t="s">
        <v>25430</v>
      </c>
      <c r="F606" s="62" t="s">
        <v>25119</v>
      </c>
      <c r="G606" s="81" t="s">
        <v>19285</v>
      </c>
      <c r="H606" s="63">
        <v>45313</v>
      </c>
      <c r="I606" s="63">
        <v>45316</v>
      </c>
      <c r="J606" s="62">
        <v>4</v>
      </c>
      <c r="K606" s="62">
        <v>4</v>
      </c>
      <c r="L606" s="62" t="s">
        <v>24995</v>
      </c>
      <c r="M606" s="62" t="s">
        <v>24995</v>
      </c>
      <c r="N606" s="62" t="s">
        <v>19269</v>
      </c>
      <c r="O606" s="62" t="s">
        <v>7238</v>
      </c>
      <c r="P606" s="42" t="str">
        <f>+IF(O606="","",IFERROR(VLOOKUP(O606,CODIGO_DIAGNOSTICO,2,0),"CÓDIGO NO ENCONTRADO"))</f>
        <v>TRAUMATISMO SUPERFICIAL DE LA CABEZA, PARTE NO ESPECIFICADA</v>
      </c>
      <c r="Q606" s="62" t="s">
        <v>19230</v>
      </c>
      <c r="R606" s="64">
        <v>9066088</v>
      </c>
      <c r="S606" s="75">
        <v>45316</v>
      </c>
      <c r="T606" s="75">
        <v>45356</v>
      </c>
      <c r="U606" s="65">
        <v>86.667000000000002</v>
      </c>
      <c r="V606" s="62" t="s">
        <v>26084</v>
      </c>
      <c r="W606" s="65"/>
      <c r="X606" s="62"/>
      <c r="Y606" s="65"/>
      <c r="Z606" s="73"/>
    </row>
    <row r="607" spans="1:26" ht="15.75" hidden="1" customHeight="1" x14ac:dyDescent="0.25">
      <c r="A607" s="67">
        <v>1</v>
      </c>
      <c r="B607" s="68">
        <v>1001747329</v>
      </c>
      <c r="C607" s="68" t="s">
        <v>25727</v>
      </c>
      <c r="D607" s="68" t="s">
        <v>26078</v>
      </c>
      <c r="E607" s="68" t="s">
        <v>25255</v>
      </c>
      <c r="F607" s="68" t="s">
        <v>26079</v>
      </c>
      <c r="G607" s="81" t="s">
        <v>19285</v>
      </c>
      <c r="H607" s="69">
        <v>45313</v>
      </c>
      <c r="I607" s="69">
        <v>45315</v>
      </c>
      <c r="J607" s="68">
        <v>3</v>
      </c>
      <c r="K607" s="68">
        <v>3</v>
      </c>
      <c r="L607" s="68" t="s">
        <v>24995</v>
      </c>
      <c r="M607" s="68" t="s">
        <v>24995</v>
      </c>
      <c r="N607" s="62" t="s">
        <v>19269</v>
      </c>
      <c r="O607" s="68" t="s">
        <v>4216</v>
      </c>
      <c r="P607" s="42" t="str">
        <f>+IF(O607="","",IFERROR(VLOOKUP(O607,CODIGO_DIAGNOSTICO,2,0),"CÓDIGO NO ENCONTRADO"))</f>
        <v>CELULITIS DE LOS DEDOS DE LA MANO Y DEL PIE</v>
      </c>
      <c r="Q607" s="68" t="s">
        <v>19230</v>
      </c>
      <c r="R607" s="67">
        <v>9033601</v>
      </c>
      <c r="S607" s="77">
        <v>45331</v>
      </c>
      <c r="T607" s="76">
        <v>45343</v>
      </c>
      <c r="U607" s="65">
        <v>43.332999999999998</v>
      </c>
      <c r="V607" s="68" t="s">
        <v>26084</v>
      </c>
      <c r="W607" s="70"/>
      <c r="X607" s="68"/>
      <c r="Y607" s="70"/>
      <c r="Z607" s="72"/>
    </row>
    <row r="608" spans="1:26" ht="15.75" hidden="1" customHeight="1" x14ac:dyDescent="0.25">
      <c r="A608" s="64">
        <v>1</v>
      </c>
      <c r="B608" s="62">
        <v>70434145</v>
      </c>
      <c r="C608" s="62" t="s">
        <v>25588</v>
      </c>
      <c r="D608" s="62" t="s">
        <v>25905</v>
      </c>
      <c r="E608" s="62" t="s">
        <v>25545</v>
      </c>
      <c r="F608" s="62"/>
      <c r="G608" s="81" t="s">
        <v>25328</v>
      </c>
      <c r="H608" s="63">
        <v>45314</v>
      </c>
      <c r="I608" s="63">
        <v>45316</v>
      </c>
      <c r="J608" s="62">
        <v>3</v>
      </c>
      <c r="K608" s="62">
        <v>3</v>
      </c>
      <c r="L608" s="62" t="s">
        <v>24995</v>
      </c>
      <c r="M608" s="62" t="s">
        <v>24995</v>
      </c>
      <c r="N608" s="62" t="s">
        <v>19263</v>
      </c>
      <c r="O608" s="62" t="s">
        <v>7329</v>
      </c>
      <c r="P608" s="42" t="str">
        <f>+IF(O608="","",IFERROR(VLOOKUP(O608,CODIGO_DIAGNOSTICO,2,0),"CÓDIGO NO ENCONTRADO"))</f>
        <v>ESGUINCES Y TORCEDURAS DE LA COLUMNA CERVICAL</v>
      </c>
      <c r="Q608" s="62" t="s">
        <v>19254</v>
      </c>
      <c r="R608" s="64"/>
      <c r="S608" s="75"/>
      <c r="T608" s="75"/>
      <c r="U608" s="65"/>
      <c r="V608" s="62"/>
      <c r="W608" s="65"/>
      <c r="X608" s="62"/>
      <c r="Y608" s="65"/>
      <c r="Z608" s="73"/>
    </row>
    <row r="609" spans="1:26" ht="15.75" hidden="1" customHeight="1" x14ac:dyDescent="0.25">
      <c r="A609" s="67">
        <v>1</v>
      </c>
      <c r="B609" s="68">
        <v>70434145</v>
      </c>
      <c r="C609" s="68" t="s">
        <v>25905</v>
      </c>
      <c r="D609" s="68" t="s">
        <v>25588</v>
      </c>
      <c r="E609" s="68" t="s">
        <v>25545</v>
      </c>
      <c r="F609" s="68"/>
      <c r="G609" s="81" t="s">
        <v>19285</v>
      </c>
      <c r="H609" s="69">
        <v>45314</v>
      </c>
      <c r="I609" s="69">
        <v>45316</v>
      </c>
      <c r="J609" s="68">
        <v>3</v>
      </c>
      <c r="K609" s="68">
        <v>3</v>
      </c>
      <c r="L609" s="68" t="s">
        <v>24995</v>
      </c>
      <c r="M609" s="68" t="s">
        <v>24995</v>
      </c>
      <c r="N609" s="62" t="s">
        <v>19269</v>
      </c>
      <c r="O609" s="68" t="s">
        <v>7329</v>
      </c>
      <c r="P609" s="42" t="str">
        <f>+IF(O609="","",IFERROR(VLOOKUP(O609,CODIGO_DIAGNOSTICO,2,0),"CÓDIGO NO ENCONTRADO"))</f>
        <v>ESGUINCES Y TORCEDURAS DE LA COLUMNA CERVICAL</v>
      </c>
      <c r="Q609" s="68" t="s">
        <v>25001</v>
      </c>
      <c r="R609" s="67">
        <v>30603319</v>
      </c>
      <c r="S609" s="77"/>
      <c r="T609" s="76"/>
      <c r="U609" s="65"/>
      <c r="V609" s="68"/>
      <c r="W609" s="70"/>
      <c r="X609" s="68"/>
      <c r="Y609" s="70"/>
      <c r="Z609" s="72"/>
    </row>
    <row r="610" spans="1:26" ht="15.75" hidden="1" customHeight="1" x14ac:dyDescent="0.25">
      <c r="A610" s="64">
        <v>1</v>
      </c>
      <c r="B610" s="62">
        <v>12625299</v>
      </c>
      <c r="C610" s="62" t="s">
        <v>25321</v>
      </c>
      <c r="D610" s="62" t="s">
        <v>26145</v>
      </c>
      <c r="E610" s="62" t="s">
        <v>25323</v>
      </c>
      <c r="F610" s="62" t="s">
        <v>25064</v>
      </c>
      <c r="G610" s="81" t="s">
        <v>19285</v>
      </c>
      <c r="H610" s="63">
        <v>45315</v>
      </c>
      <c r="I610" s="63">
        <v>45326</v>
      </c>
      <c r="J610" s="62">
        <v>12</v>
      </c>
      <c r="K610" s="62">
        <v>12</v>
      </c>
      <c r="L610" s="62" t="s">
        <v>19262</v>
      </c>
      <c r="M610" s="62" t="s">
        <v>24995</v>
      </c>
      <c r="N610" s="62" t="s">
        <v>19269</v>
      </c>
      <c r="O610" s="62" t="s">
        <v>4834</v>
      </c>
      <c r="P610" s="42" t="str">
        <f>+IF(O610="","",IFERROR(VLOOKUP(O610,CODIGO_DIAGNOSTICO,2,0),"CÓDIGO NO ENCONTRADO"))</f>
        <v>RADICULOPATIA</v>
      </c>
      <c r="Q610" s="62" t="s">
        <v>19230</v>
      </c>
      <c r="R610" s="64">
        <v>9146424</v>
      </c>
      <c r="S610" s="75">
        <v>45365</v>
      </c>
      <c r="T610" s="75">
        <v>45378</v>
      </c>
      <c r="U610" s="65">
        <v>520</v>
      </c>
      <c r="V610" s="62" t="s">
        <v>26084</v>
      </c>
      <c r="W610" s="65"/>
      <c r="X610" s="62"/>
      <c r="Y610" s="65"/>
      <c r="Z610" s="73"/>
    </row>
    <row r="611" spans="1:26" ht="15.75" hidden="1" customHeight="1" x14ac:dyDescent="0.25">
      <c r="A611" s="67">
        <v>1</v>
      </c>
      <c r="B611" s="68">
        <v>104035659</v>
      </c>
      <c r="C611" s="68" t="s">
        <v>25989</v>
      </c>
      <c r="D611" s="68" t="s">
        <v>25609</v>
      </c>
      <c r="E611" s="68" t="s">
        <v>25241</v>
      </c>
      <c r="F611" s="68" t="s">
        <v>25064</v>
      </c>
      <c r="G611" s="81" t="s">
        <v>19285</v>
      </c>
      <c r="H611" s="69">
        <v>45316</v>
      </c>
      <c r="I611" s="69">
        <v>45317</v>
      </c>
      <c r="J611" s="68">
        <v>2</v>
      </c>
      <c r="K611" s="68">
        <v>2</v>
      </c>
      <c r="L611" s="68" t="s">
        <v>24995</v>
      </c>
      <c r="M611" s="68" t="s">
        <v>24995</v>
      </c>
      <c r="N611" s="62" t="s">
        <v>19269</v>
      </c>
      <c r="O611" s="68" t="s">
        <v>4835</v>
      </c>
      <c r="P611" s="42" t="str">
        <f>+IF(O611="","",IFERROR(VLOOKUP(O611,CODIGO_DIAGNOSTICO,2,0),"CÓDIGO NO ENCONTRADO"))</f>
        <v>CERVICALGIA</v>
      </c>
      <c r="Q611" s="68" t="s">
        <v>19230</v>
      </c>
      <c r="R611" s="67" t="s">
        <v>25942</v>
      </c>
      <c r="S611" s="77">
        <v>45325</v>
      </c>
      <c r="T611" s="76">
        <v>0</v>
      </c>
      <c r="U611" s="65" t="s">
        <v>26157</v>
      </c>
      <c r="V611" s="68" t="s">
        <v>26083</v>
      </c>
      <c r="W611" s="70"/>
      <c r="X611" s="68"/>
      <c r="Y611" s="70"/>
      <c r="Z611" s="72"/>
    </row>
    <row r="612" spans="1:26" ht="15.75" hidden="1" customHeight="1" x14ac:dyDescent="0.25">
      <c r="A612" s="64">
        <v>1</v>
      </c>
      <c r="B612" s="62">
        <v>43117538</v>
      </c>
      <c r="C612" s="62" t="s">
        <v>25310</v>
      </c>
      <c r="D612" s="62" t="s">
        <v>25248</v>
      </c>
      <c r="E612" s="62" t="s">
        <v>24999</v>
      </c>
      <c r="F612" s="62" t="s">
        <v>25000</v>
      </c>
      <c r="G612" s="81" t="s">
        <v>19285</v>
      </c>
      <c r="H612" s="63">
        <v>45316</v>
      </c>
      <c r="I612" s="63">
        <v>45317</v>
      </c>
      <c r="J612" s="62">
        <v>2</v>
      </c>
      <c r="K612" s="62">
        <v>2</v>
      </c>
      <c r="L612" s="62" t="s">
        <v>24995</v>
      </c>
      <c r="M612" s="62" t="s">
        <v>24995</v>
      </c>
      <c r="N612" s="62" t="s">
        <v>19269</v>
      </c>
      <c r="O612" s="62" t="s">
        <v>2251</v>
      </c>
      <c r="P612" s="42" t="str">
        <f>+IF(O612="","",IFERROR(VLOOKUP(O612,CODIGO_DIAGNOSTICO,2,0),"CÓDIGO NO ENCONTRADO"))</f>
        <v>TRASTORNO DEPRESIVO RECURRENTE, EPISODIO MODERADO PRESENTE</v>
      </c>
      <c r="Q612" s="62" t="s">
        <v>19230</v>
      </c>
      <c r="R612" s="64" t="s">
        <v>25942</v>
      </c>
      <c r="S612" s="75">
        <v>45325</v>
      </c>
      <c r="T612" s="75">
        <v>0</v>
      </c>
      <c r="U612" s="65" t="s">
        <v>26157</v>
      </c>
      <c r="V612" s="62" t="s">
        <v>26083</v>
      </c>
      <c r="W612" s="65"/>
      <c r="X612" s="62"/>
      <c r="Y612" s="65"/>
      <c r="Z612" s="73"/>
    </row>
    <row r="613" spans="1:26" ht="15.75" hidden="1" customHeight="1" x14ac:dyDescent="0.25">
      <c r="A613" s="67">
        <v>1</v>
      </c>
      <c r="B613" s="68">
        <v>1001747329</v>
      </c>
      <c r="C613" s="68" t="s">
        <v>25727</v>
      </c>
      <c r="D613" s="68" t="s">
        <v>26078</v>
      </c>
      <c r="E613" s="68" t="s">
        <v>25255</v>
      </c>
      <c r="F613" s="68" t="s">
        <v>26079</v>
      </c>
      <c r="G613" s="81" t="s">
        <v>19285</v>
      </c>
      <c r="H613" s="69">
        <v>45316</v>
      </c>
      <c r="I613" s="69">
        <v>45318</v>
      </c>
      <c r="J613" s="68">
        <v>3</v>
      </c>
      <c r="K613" s="68">
        <v>3</v>
      </c>
      <c r="L613" s="68" t="s">
        <v>19262</v>
      </c>
      <c r="M613" s="68" t="s">
        <v>24995</v>
      </c>
      <c r="N613" s="62" t="s">
        <v>19269</v>
      </c>
      <c r="O613" s="68" t="s">
        <v>4216</v>
      </c>
      <c r="P613" s="42" t="str">
        <f>+IF(O613="","",IFERROR(VLOOKUP(O613,CODIGO_DIAGNOSTICO,2,0),"CÓDIGO NO ENCONTRADO"))</f>
        <v>CELULITIS DE LOS DEDOS DE LA MANO Y DEL PIE</v>
      </c>
      <c r="Q613" s="68" t="s">
        <v>19230</v>
      </c>
      <c r="R613" s="67">
        <v>9033574</v>
      </c>
      <c r="S613" s="77">
        <v>45331</v>
      </c>
      <c r="T613" s="76">
        <v>45343</v>
      </c>
      <c r="U613" s="65">
        <v>130</v>
      </c>
      <c r="V613" s="68" t="s">
        <v>26084</v>
      </c>
      <c r="W613" s="70"/>
      <c r="X613" s="68"/>
      <c r="Y613" s="70"/>
      <c r="Z613" s="72"/>
    </row>
    <row r="614" spans="1:26" ht="15.75" hidden="1" customHeight="1" x14ac:dyDescent="0.25">
      <c r="A614" s="64">
        <v>1</v>
      </c>
      <c r="B614" s="62">
        <v>43117538</v>
      </c>
      <c r="C614" s="62" t="s">
        <v>25310</v>
      </c>
      <c r="D614" s="62" t="s">
        <v>25248</v>
      </c>
      <c r="E614" s="62" t="s">
        <v>24999</v>
      </c>
      <c r="F614" s="62" t="s">
        <v>25000</v>
      </c>
      <c r="G614" s="81" t="s">
        <v>19285</v>
      </c>
      <c r="H614" s="63">
        <v>45316</v>
      </c>
      <c r="I614" s="63">
        <v>45317</v>
      </c>
      <c r="J614" s="62">
        <v>2</v>
      </c>
      <c r="K614" s="62">
        <v>2</v>
      </c>
      <c r="L614" s="62" t="s">
        <v>24995</v>
      </c>
      <c r="M614" s="62" t="s">
        <v>24995</v>
      </c>
      <c r="N614" s="62" t="s">
        <v>19269</v>
      </c>
      <c r="O614" s="62" t="s">
        <v>2251</v>
      </c>
      <c r="P614" s="42" t="str">
        <f>+IF(O614="","",IFERROR(VLOOKUP(O614,CODIGO_DIAGNOSTICO,2,0),"CÓDIGO NO ENCONTRADO"))</f>
        <v>TRASTORNO DEPRESIVO RECURRENTE, EPISODIO MODERADO PRESENTE</v>
      </c>
      <c r="Q614" s="62" t="s">
        <v>19230</v>
      </c>
      <c r="R614" s="64" t="s">
        <v>25942</v>
      </c>
      <c r="S614" s="75" t="s">
        <v>25942</v>
      </c>
      <c r="T614" s="75" t="s">
        <v>25942</v>
      </c>
      <c r="U614" s="65" t="s">
        <v>25942</v>
      </c>
      <c r="V614" s="62"/>
      <c r="W614" s="65"/>
      <c r="X614" s="62"/>
      <c r="Y614" s="65"/>
      <c r="Z614" s="73"/>
    </row>
    <row r="615" spans="1:26" ht="15.75" hidden="1" customHeight="1" x14ac:dyDescent="0.25">
      <c r="A615" s="67">
        <v>1</v>
      </c>
      <c r="B615" s="68">
        <v>70323164</v>
      </c>
      <c r="C615" s="68" t="s">
        <v>24992</v>
      </c>
      <c r="D615" s="68" t="s">
        <v>24985</v>
      </c>
      <c r="E615" s="68" t="s">
        <v>25091</v>
      </c>
      <c r="F615" s="68" t="s">
        <v>25146</v>
      </c>
      <c r="G615" s="81" t="s">
        <v>19285</v>
      </c>
      <c r="H615" s="69">
        <v>45318</v>
      </c>
      <c r="I615" s="69">
        <v>45332</v>
      </c>
      <c r="J615" s="68">
        <v>15</v>
      </c>
      <c r="K615" s="68">
        <v>15</v>
      </c>
      <c r="L615" s="68" t="s">
        <v>19262</v>
      </c>
      <c r="M615" s="68" t="s">
        <v>19262</v>
      </c>
      <c r="N615" s="62" t="s">
        <v>19269</v>
      </c>
      <c r="O615" s="68" t="s">
        <v>3693</v>
      </c>
      <c r="P615" s="42" t="str">
        <f>+IF(O615="","",IFERROR(VLOOKUP(O615,CODIGO_DIAGNOSTICO,2,0),"CÓDIGO NO ENCONTRADO"))</f>
        <v>ENFERMEDAD PULMONAR OBSTRUCTIVA CRONICA, NO ESPECIFICADA</v>
      </c>
      <c r="Q615" s="68" t="s">
        <v>19230</v>
      </c>
      <c r="R615" s="67">
        <v>9015479</v>
      </c>
      <c r="S615" s="77">
        <v>45325</v>
      </c>
      <c r="T615" s="76">
        <v>45336</v>
      </c>
      <c r="U615" s="65">
        <v>650</v>
      </c>
      <c r="V615" s="68" t="s">
        <v>26084</v>
      </c>
      <c r="W615" s="70"/>
      <c r="X615" s="68"/>
      <c r="Y615" s="70"/>
      <c r="Z615" s="72"/>
    </row>
    <row r="616" spans="1:26" ht="15.75" hidden="1" customHeight="1" x14ac:dyDescent="0.25">
      <c r="A616" s="64">
        <v>1</v>
      </c>
      <c r="B616" s="62">
        <v>1013556087</v>
      </c>
      <c r="C616" s="62" t="s">
        <v>25608</v>
      </c>
      <c r="D616" s="62" t="s">
        <v>25426</v>
      </c>
      <c r="E616" s="62" t="s">
        <v>25019</v>
      </c>
      <c r="F616" s="62" t="s">
        <v>25135</v>
      </c>
      <c r="G616" s="81" t="s">
        <v>19285</v>
      </c>
      <c r="H616" s="63">
        <v>45318</v>
      </c>
      <c r="I616" s="63">
        <v>45319</v>
      </c>
      <c r="J616" s="62">
        <v>2</v>
      </c>
      <c r="K616" s="62">
        <v>2</v>
      </c>
      <c r="L616" s="62" t="s">
        <v>24995</v>
      </c>
      <c r="M616" s="62" t="s">
        <v>24995</v>
      </c>
      <c r="N616" s="62" t="s">
        <v>19269</v>
      </c>
      <c r="O616" s="62" t="s">
        <v>4024</v>
      </c>
      <c r="P616" s="42" t="str">
        <f>+IF(O616="","",IFERROR(VLOOKUP(O616,CODIGO_DIAGNOSTICO,2,0),"CÓDIGO NO ENCONTRADO"))</f>
        <v>COLITIS Y GASTROENTERITIS ALERGICAS Y DIETETICAS</v>
      </c>
      <c r="Q616" s="62" t="s">
        <v>19230</v>
      </c>
      <c r="R616" s="64" t="s">
        <v>25942</v>
      </c>
      <c r="S616" s="75" t="s">
        <v>25942</v>
      </c>
      <c r="T616" s="75" t="s">
        <v>25942</v>
      </c>
      <c r="U616" s="65" t="s">
        <v>25942</v>
      </c>
      <c r="V616" s="62"/>
      <c r="W616" s="65"/>
      <c r="X616" s="62"/>
      <c r="Y616" s="65"/>
      <c r="Z616" s="73"/>
    </row>
    <row r="617" spans="1:26" ht="15.75" hidden="1" customHeight="1" x14ac:dyDescent="0.25">
      <c r="A617" s="67">
        <v>1</v>
      </c>
      <c r="B617" s="68">
        <v>15676567</v>
      </c>
      <c r="C617" s="68" t="s">
        <v>25111</v>
      </c>
      <c r="D617" s="68" t="s">
        <v>25108</v>
      </c>
      <c r="E617" s="68" t="s">
        <v>26076</v>
      </c>
      <c r="F617" s="68" t="s">
        <v>26015</v>
      </c>
      <c r="G617" s="81" t="s">
        <v>19285</v>
      </c>
      <c r="H617" s="69">
        <v>45321</v>
      </c>
      <c r="I617" s="69">
        <v>45321</v>
      </c>
      <c r="J617" s="68">
        <v>1</v>
      </c>
      <c r="K617" s="68">
        <v>1</v>
      </c>
      <c r="L617" s="68" t="s">
        <v>24995</v>
      </c>
      <c r="M617" s="68" t="s">
        <v>24995</v>
      </c>
      <c r="N617" s="62" t="s">
        <v>19269</v>
      </c>
      <c r="O617" s="68" t="s">
        <v>4838</v>
      </c>
      <c r="P617" s="42" t="str">
        <f>+IF(O617="","",IFERROR(VLOOKUP(O617,CODIGO_DIAGNOSTICO,2,0),"CÓDIGO NO ENCONTRADO"))</f>
        <v>LUMBAGO NO ESPECIFICADO</v>
      </c>
      <c r="Q617" s="68" t="s">
        <v>19230</v>
      </c>
      <c r="R617" s="67" t="s">
        <v>25942</v>
      </c>
      <c r="S617" s="77">
        <v>45327</v>
      </c>
      <c r="T617" s="76">
        <v>0</v>
      </c>
      <c r="U617" s="65" t="s">
        <v>26157</v>
      </c>
      <c r="V617" s="68" t="s">
        <v>26083</v>
      </c>
      <c r="W617" s="70"/>
      <c r="X617" s="68"/>
      <c r="Y617" s="70"/>
      <c r="Z617" s="72"/>
    </row>
    <row r="618" spans="1:26" ht="15.75" hidden="1" customHeight="1" x14ac:dyDescent="0.25">
      <c r="A618" s="64">
        <v>1</v>
      </c>
      <c r="B618" s="62">
        <v>1062425279</v>
      </c>
      <c r="C618" s="62" t="s">
        <v>26081</v>
      </c>
      <c r="D618" s="62" t="s">
        <v>26082</v>
      </c>
      <c r="E618" s="62" t="s">
        <v>26158</v>
      </c>
      <c r="F618" s="62" t="s">
        <v>25308</v>
      </c>
      <c r="G618" s="81" t="s">
        <v>19285</v>
      </c>
      <c r="H618" s="63">
        <v>45321</v>
      </c>
      <c r="I618" s="63">
        <v>45334</v>
      </c>
      <c r="J618" s="62">
        <v>14</v>
      </c>
      <c r="K618" s="62">
        <v>14</v>
      </c>
      <c r="L618" s="62" t="s">
        <v>24995</v>
      </c>
      <c r="M618" s="62" t="s">
        <v>24995</v>
      </c>
      <c r="N618" s="62" t="s">
        <v>19264</v>
      </c>
      <c r="O618" s="62" t="s">
        <v>5851</v>
      </c>
      <c r="P618" s="42" t="str">
        <f>+IF(O618="","",IFERROR(VLOOKUP(O618,CODIGO_DIAGNOSTICO,2,0),"CÓDIGO NO ENCONTRADO"))</f>
        <v>PARTO UNICO ESPONTANEO, PRESENTACION CEFALICA DE VERTICE</v>
      </c>
      <c r="Q618" s="62" t="s">
        <v>19231</v>
      </c>
      <c r="R618" s="64">
        <v>909097</v>
      </c>
      <c r="S618" s="75">
        <v>45331</v>
      </c>
      <c r="T618" s="75"/>
      <c r="U618" s="65"/>
      <c r="V618" s="62"/>
      <c r="W618" s="65"/>
      <c r="X618" s="62"/>
      <c r="Y618" s="65"/>
      <c r="Z618" s="73"/>
    </row>
    <row r="619" spans="1:26" ht="15.75" hidden="1" customHeight="1" x14ac:dyDescent="0.25">
      <c r="A619" s="67">
        <v>1</v>
      </c>
      <c r="B619" s="68">
        <v>1128467712</v>
      </c>
      <c r="C619" s="68" t="s">
        <v>25456</v>
      </c>
      <c r="D619" s="68" t="s">
        <v>19258</v>
      </c>
      <c r="E619" s="68" t="s">
        <v>25879</v>
      </c>
      <c r="F619" s="68" t="s">
        <v>25880</v>
      </c>
      <c r="G619" s="81" t="s">
        <v>19285</v>
      </c>
      <c r="H619" s="69">
        <v>45322</v>
      </c>
      <c r="I619" s="69">
        <v>45322</v>
      </c>
      <c r="J619" s="68">
        <v>1</v>
      </c>
      <c r="K619" s="68">
        <v>1</v>
      </c>
      <c r="L619" s="68" t="s">
        <v>24995</v>
      </c>
      <c r="M619" s="68" t="s">
        <v>24995</v>
      </c>
      <c r="N619" s="62" t="s">
        <v>19269</v>
      </c>
      <c r="O619" s="68" t="s">
        <v>3370</v>
      </c>
      <c r="P619" s="42" t="str">
        <f>+IF(O619="","",IFERROR(VLOOKUP(O619,CODIGO_DIAGNOSTICO,2,0),"CÓDIGO NO ENCONTRADO"))</f>
        <v>INSUFICIENCIA CARDIACA, NO ESPECIFICADA</v>
      </c>
      <c r="Q619" s="68" t="s">
        <v>19230</v>
      </c>
      <c r="R619" s="67" t="s">
        <v>25942</v>
      </c>
      <c r="S619" s="77">
        <v>45325</v>
      </c>
      <c r="T619" s="76">
        <v>0</v>
      </c>
      <c r="U619" s="65" t="s">
        <v>26157</v>
      </c>
      <c r="V619" s="68" t="s">
        <v>26083</v>
      </c>
      <c r="W619" s="70"/>
      <c r="X619" s="68"/>
      <c r="Y619" s="70"/>
      <c r="Z619" s="72"/>
    </row>
    <row r="620" spans="1:26" ht="15.75" hidden="1" customHeight="1" x14ac:dyDescent="0.25">
      <c r="A620" s="64">
        <v>1</v>
      </c>
      <c r="B620" s="62">
        <v>1216713788</v>
      </c>
      <c r="C620" s="62" t="s">
        <v>24987</v>
      </c>
      <c r="D620" s="62" t="s">
        <v>25687</v>
      </c>
      <c r="E620" s="62" t="s">
        <v>25010</v>
      </c>
      <c r="F620" s="62" t="s">
        <v>25066</v>
      </c>
      <c r="G620" s="81" t="s">
        <v>19285</v>
      </c>
      <c r="H620" s="63">
        <v>45322</v>
      </c>
      <c r="I620" s="63">
        <v>45326</v>
      </c>
      <c r="J620" s="62">
        <v>5</v>
      </c>
      <c r="K620" s="62">
        <v>5</v>
      </c>
      <c r="L620" s="62" t="s">
        <v>19262</v>
      </c>
      <c r="M620" s="62" t="s">
        <v>24995</v>
      </c>
      <c r="N620" s="62" t="s">
        <v>19269</v>
      </c>
      <c r="O620" s="62" t="s">
        <v>12131</v>
      </c>
      <c r="P620" s="42" t="str">
        <f>+IF(O620="","",IFERROR(VLOOKUP(O620,CODIGO_DIAGNOSTICO,2,0),"CÓDIGO NO ENCONTRADO"))</f>
        <v>CONVALECENCIA CONSECUTIVA A CIRUGIA</v>
      </c>
      <c r="Q620" s="62" t="s">
        <v>25001</v>
      </c>
      <c r="R620" s="64">
        <v>30603154</v>
      </c>
      <c r="S620" s="75"/>
      <c r="T620" s="75"/>
      <c r="U620" s="65"/>
      <c r="V620" s="62"/>
      <c r="W620" s="65"/>
      <c r="X620" s="62"/>
      <c r="Y620" s="65"/>
      <c r="Z620" s="73"/>
    </row>
    <row r="621" spans="1:26" ht="15.75" hidden="1" customHeight="1" x14ac:dyDescent="0.25">
      <c r="A621" s="67">
        <v>2</v>
      </c>
      <c r="B621" s="68">
        <v>71382103</v>
      </c>
      <c r="C621" s="68" t="s">
        <v>25776</v>
      </c>
      <c r="D621" s="68" t="s">
        <v>25968</v>
      </c>
      <c r="E621" s="68" t="s">
        <v>25116</v>
      </c>
      <c r="F621" s="68" t="s">
        <v>26027</v>
      </c>
      <c r="G621" s="81" t="s">
        <v>19285</v>
      </c>
      <c r="H621" s="69">
        <v>45322</v>
      </c>
      <c r="I621" s="69">
        <v>45323</v>
      </c>
      <c r="J621" s="68">
        <v>2</v>
      </c>
      <c r="K621" s="68">
        <v>2</v>
      </c>
      <c r="L621" s="68" t="s">
        <v>24995</v>
      </c>
      <c r="M621" s="68" t="s">
        <v>24995</v>
      </c>
      <c r="N621" s="62" t="s">
        <v>19269</v>
      </c>
      <c r="O621" s="68" t="s">
        <v>4644</v>
      </c>
      <c r="P621" s="42" t="str">
        <f>+IF(O621="","",IFERROR(VLOOKUP(O621,CODIGO_DIAGNOSTICO,2,0),"CÓDIGO NO ENCONTRADO"))</f>
        <v>GONARTROSIS PRIMARIA, BILATERAL</v>
      </c>
      <c r="Q621" s="68" t="s">
        <v>19230</v>
      </c>
      <c r="R621" s="67" t="s">
        <v>25942</v>
      </c>
      <c r="S621" s="77" t="s">
        <v>25942</v>
      </c>
      <c r="T621" s="76" t="s">
        <v>25942</v>
      </c>
      <c r="U621" s="65" t="s">
        <v>25942</v>
      </c>
      <c r="V621" s="68" t="s">
        <v>26083</v>
      </c>
      <c r="W621" s="70"/>
      <c r="X621" s="68"/>
      <c r="Y621" s="70"/>
      <c r="Z621" s="72"/>
    </row>
    <row r="622" spans="1:26" ht="15.75" hidden="1" customHeight="1" x14ac:dyDescent="0.25">
      <c r="A622" s="64">
        <v>12</v>
      </c>
      <c r="B622" s="62">
        <v>82361903</v>
      </c>
      <c r="C622" s="62" t="s">
        <v>25038</v>
      </c>
      <c r="D622" s="62" t="s">
        <v>25238</v>
      </c>
      <c r="E622" s="62" t="s">
        <v>25442</v>
      </c>
      <c r="F622" s="62" t="s">
        <v>25213</v>
      </c>
      <c r="G622" s="81" t="s">
        <v>19285</v>
      </c>
      <c r="H622" s="63">
        <v>45322</v>
      </c>
      <c r="I622" s="63">
        <v>45658</v>
      </c>
      <c r="J622" s="62">
        <v>2</v>
      </c>
      <c r="K622" s="62">
        <v>2</v>
      </c>
      <c r="L622" s="62" t="s">
        <v>24995</v>
      </c>
      <c r="M622" s="62" t="s">
        <v>24995</v>
      </c>
      <c r="N622" s="62" t="s">
        <v>19269</v>
      </c>
      <c r="O622" s="62" t="s">
        <v>4026</v>
      </c>
      <c r="P622" s="42" t="str">
        <f>+IF(O622="","",IFERROR(VLOOKUP(O622,CODIGO_DIAGNOSTICO,2,0),"CÓDIGO NO ENCONTRADO"))</f>
        <v>COLITIS Y GASTROENTERITIS NO INFECCIOSAS, NO ESPECIFICADAS</v>
      </c>
      <c r="Q622" s="62" t="s">
        <v>24996</v>
      </c>
      <c r="R622" s="64"/>
      <c r="S622" s="75"/>
      <c r="T622" s="75"/>
      <c r="U622" s="65"/>
      <c r="V622" s="62"/>
      <c r="W622" s="65"/>
      <c r="X622" s="62"/>
      <c r="Y622" s="65"/>
      <c r="Z622" s="73"/>
    </row>
    <row r="623" spans="1:26" ht="15.75" hidden="1" customHeight="1" x14ac:dyDescent="0.25">
      <c r="A623" s="67">
        <v>2</v>
      </c>
      <c r="B623" s="68">
        <v>15309929</v>
      </c>
      <c r="C623" s="68" t="s">
        <v>25011</v>
      </c>
      <c r="D623" s="68" t="s">
        <v>25012</v>
      </c>
      <c r="E623" s="68" t="s">
        <v>25013</v>
      </c>
      <c r="F623" s="68" t="s">
        <v>25014</v>
      </c>
      <c r="G623" s="81" t="s">
        <v>19285</v>
      </c>
      <c r="H623" s="69">
        <v>45323</v>
      </c>
      <c r="I623" s="69">
        <v>45329</v>
      </c>
      <c r="J623" s="68">
        <v>7</v>
      </c>
      <c r="K623" s="68">
        <v>7</v>
      </c>
      <c r="L623" s="68" t="s">
        <v>19262</v>
      </c>
      <c r="M623" s="68" t="s">
        <v>19262</v>
      </c>
      <c r="N623" s="62" t="s">
        <v>19269</v>
      </c>
      <c r="O623" s="68" t="s">
        <v>7734</v>
      </c>
      <c r="P623" s="42" t="str">
        <f>+IF(O623="","",IFERROR(VLOOKUP(O623,CODIGO_DIAGNOSTICO,2,0),"CÓDIGO NO ENCONTRADO"))</f>
        <v>DESGARRO DE MENISCOS, PRESENTE</v>
      </c>
      <c r="Q623" s="68" t="s">
        <v>19230</v>
      </c>
      <c r="R623" s="67">
        <v>9015475</v>
      </c>
      <c r="S623" s="77">
        <v>45325</v>
      </c>
      <c r="T623" s="76"/>
      <c r="U623" s="65"/>
      <c r="V623" s="68" t="s">
        <v>26141</v>
      </c>
      <c r="W623" s="70" t="s">
        <v>26151</v>
      </c>
      <c r="X623" s="68">
        <v>0</v>
      </c>
      <c r="Y623" s="70">
        <v>42.4</v>
      </c>
      <c r="Z623" s="72"/>
    </row>
    <row r="624" spans="1:26" ht="15.75" hidden="1" customHeight="1" x14ac:dyDescent="0.25">
      <c r="A624" s="64">
        <v>2</v>
      </c>
      <c r="B624" s="62">
        <v>15309929</v>
      </c>
      <c r="C624" s="62" t="s">
        <v>25011</v>
      </c>
      <c r="D624" s="62" t="s">
        <v>25012</v>
      </c>
      <c r="E624" s="62" t="s">
        <v>25013</v>
      </c>
      <c r="F624" s="62" t="s">
        <v>25014</v>
      </c>
      <c r="G624" s="81" t="s">
        <v>19285</v>
      </c>
      <c r="H624" s="63">
        <v>45323</v>
      </c>
      <c r="I624" s="63">
        <v>45329</v>
      </c>
      <c r="J624" s="62">
        <v>7</v>
      </c>
      <c r="K624" s="62">
        <v>7</v>
      </c>
      <c r="L624" s="62" t="s">
        <v>19262</v>
      </c>
      <c r="M624" s="62" t="s">
        <v>24995</v>
      </c>
      <c r="N624" s="62" t="s">
        <v>19269</v>
      </c>
      <c r="O624" s="62" t="s">
        <v>7734</v>
      </c>
      <c r="P624" s="42" t="str">
        <f>+IF(O624="","",IFERROR(VLOOKUP(O624,CODIGO_DIAGNOSTICO,2,0),"CÓDIGO NO ENCONTRADO"))</f>
        <v>DESGARRO DE MENISCOS, PRESENTE</v>
      </c>
      <c r="Q624" s="62" t="s">
        <v>19230</v>
      </c>
      <c r="R624" s="64"/>
      <c r="S624" s="75">
        <v>45392</v>
      </c>
      <c r="T624" s="75"/>
      <c r="U624" s="65"/>
      <c r="V624" s="62" t="s">
        <v>26141</v>
      </c>
      <c r="W624" s="65" t="s">
        <v>26151</v>
      </c>
      <c r="X624" s="62"/>
      <c r="Y624" s="65"/>
      <c r="Z624" s="73"/>
    </row>
    <row r="625" spans="1:26" ht="15.75" hidden="1" customHeight="1" x14ac:dyDescent="0.25">
      <c r="A625" s="67">
        <v>2</v>
      </c>
      <c r="B625" s="68">
        <v>71382103</v>
      </c>
      <c r="C625" s="68" t="s">
        <v>25776</v>
      </c>
      <c r="D625" s="68" t="s">
        <v>25968</v>
      </c>
      <c r="E625" s="68" t="s">
        <v>25116</v>
      </c>
      <c r="F625" s="68" t="s">
        <v>26027</v>
      </c>
      <c r="G625" s="81" t="s">
        <v>19285</v>
      </c>
      <c r="H625" s="69">
        <v>45324</v>
      </c>
      <c r="I625" s="69">
        <v>45330</v>
      </c>
      <c r="J625" s="68">
        <v>7</v>
      </c>
      <c r="K625" s="68">
        <v>7</v>
      </c>
      <c r="L625" s="68" t="s">
        <v>19262</v>
      </c>
      <c r="M625" s="68" t="s">
        <v>24995</v>
      </c>
      <c r="N625" s="62" t="s">
        <v>19269</v>
      </c>
      <c r="O625" s="68" t="s">
        <v>4649</v>
      </c>
      <c r="P625" s="42" t="str">
        <f>+IF(O625="","",IFERROR(VLOOKUP(O625,CODIGO_DIAGNOSTICO,2,0),"CÓDIGO NO ENCONTRADO"))</f>
        <v>OTRAS GONARTROSIS SECUNDARIAS</v>
      </c>
      <c r="Q625" s="68" t="s">
        <v>19230</v>
      </c>
      <c r="R625" s="67">
        <v>37407974</v>
      </c>
      <c r="S625" s="77">
        <v>45342</v>
      </c>
      <c r="T625" s="76">
        <v>45356</v>
      </c>
      <c r="U625" s="65">
        <v>303.33300000000003</v>
      </c>
      <c r="V625" s="68" t="s">
        <v>26083</v>
      </c>
      <c r="W625" s="70"/>
      <c r="X625" s="68"/>
      <c r="Y625" s="70"/>
      <c r="Z625" s="72"/>
    </row>
    <row r="626" spans="1:26" ht="15.75" hidden="1" customHeight="1" x14ac:dyDescent="0.25">
      <c r="A626" s="64">
        <v>2</v>
      </c>
      <c r="B626" s="62">
        <v>12625299</v>
      </c>
      <c r="C626" s="62" t="s">
        <v>25321</v>
      </c>
      <c r="D626" s="62" t="s">
        <v>26145</v>
      </c>
      <c r="E626" s="62" t="s">
        <v>25323</v>
      </c>
      <c r="F626" s="62" t="s">
        <v>25064</v>
      </c>
      <c r="G626" s="81" t="s">
        <v>19285</v>
      </c>
      <c r="H626" s="63">
        <v>45327</v>
      </c>
      <c r="I626" s="63">
        <v>45355</v>
      </c>
      <c r="J626" s="62">
        <v>29</v>
      </c>
      <c r="K626" s="62">
        <v>29</v>
      </c>
      <c r="L626" s="62" t="s">
        <v>19262</v>
      </c>
      <c r="M626" s="62" t="s">
        <v>24995</v>
      </c>
      <c r="N626" s="62" t="s">
        <v>19269</v>
      </c>
      <c r="O626" s="62" t="s">
        <v>2697</v>
      </c>
      <c r="P626" s="42" t="str">
        <f>+IF(O626="","",IFERROR(VLOOKUP(O626,CODIGO_DIAGNOSTICO,2,0),"CÓDIGO NO ENCONTRADO"))</f>
        <v>POLINEUROPATIA, NO ESPECIFICADA</v>
      </c>
      <c r="Q626" s="62" t="s">
        <v>19230</v>
      </c>
      <c r="R626" s="64">
        <v>9146426</v>
      </c>
      <c r="S626" s="75">
        <v>45365</v>
      </c>
      <c r="T626" s="75">
        <v>45378</v>
      </c>
      <c r="U626" s="65" t="s">
        <v>26161</v>
      </c>
      <c r="V626" s="62" t="s">
        <v>26084</v>
      </c>
      <c r="W626" s="65"/>
      <c r="X626" s="62"/>
      <c r="Y626" s="65"/>
      <c r="Z626" s="73"/>
    </row>
    <row r="627" spans="1:26" ht="15.75" hidden="1" customHeight="1" x14ac:dyDescent="0.25">
      <c r="A627" s="67">
        <v>2</v>
      </c>
      <c r="B627" s="68">
        <v>1063277942</v>
      </c>
      <c r="C627" s="68" t="s">
        <v>25008</v>
      </c>
      <c r="D627" s="68" t="s">
        <v>26023</v>
      </c>
      <c r="E627" s="68" t="s">
        <v>26024</v>
      </c>
      <c r="F627" s="68" t="s">
        <v>26119</v>
      </c>
      <c r="G627" s="81" t="s">
        <v>19285</v>
      </c>
      <c r="H627" s="69">
        <v>45328</v>
      </c>
      <c r="I627" s="69">
        <v>45328</v>
      </c>
      <c r="J627" s="68">
        <v>1</v>
      </c>
      <c r="K627" s="68">
        <v>1</v>
      </c>
      <c r="L627" s="68" t="s">
        <v>24995</v>
      </c>
      <c r="M627" s="68" t="s">
        <v>24995</v>
      </c>
      <c r="N627" s="62" t="s">
        <v>19269</v>
      </c>
      <c r="O627" s="68" t="s">
        <v>4026</v>
      </c>
      <c r="P627" s="42" t="str">
        <f>+IF(O627="","",IFERROR(VLOOKUP(O627,CODIGO_DIAGNOSTICO,2,0),"CÓDIGO NO ENCONTRADO"))</f>
        <v>COLITIS Y GASTROENTERITIS NO INFECCIOSAS, NO ESPECIFICADAS</v>
      </c>
      <c r="Q627" s="68" t="s">
        <v>19232</v>
      </c>
      <c r="R627" s="67">
        <v>4464234</v>
      </c>
      <c r="S627" s="77" t="s">
        <v>25942</v>
      </c>
      <c r="T627" s="76" t="s">
        <v>25942</v>
      </c>
      <c r="U627" s="65" t="s">
        <v>25942</v>
      </c>
      <c r="V627" s="68" t="s">
        <v>26083</v>
      </c>
      <c r="W627" s="70"/>
      <c r="X627" s="68"/>
      <c r="Y627" s="70"/>
      <c r="Z627" s="72"/>
    </row>
    <row r="628" spans="1:26" ht="15.75" hidden="1" customHeight="1" x14ac:dyDescent="0.25">
      <c r="A628" s="64">
        <v>2</v>
      </c>
      <c r="B628" s="62">
        <v>71393487</v>
      </c>
      <c r="C628" s="62" t="s">
        <v>25174</v>
      </c>
      <c r="D628" s="62" t="s">
        <v>25572</v>
      </c>
      <c r="E628" s="62" t="s">
        <v>25573</v>
      </c>
      <c r="F628" s="62" t="s">
        <v>25574</v>
      </c>
      <c r="G628" s="81" t="s">
        <v>19285</v>
      </c>
      <c r="H628" s="63">
        <v>45329</v>
      </c>
      <c r="I628" s="63">
        <v>45331</v>
      </c>
      <c r="J628" s="62">
        <v>3</v>
      </c>
      <c r="K628" s="62">
        <v>3</v>
      </c>
      <c r="L628" s="62" t="s">
        <v>24995</v>
      </c>
      <c r="M628" s="62" t="s">
        <v>24995</v>
      </c>
      <c r="N628" s="62" t="s">
        <v>19269</v>
      </c>
      <c r="O628" s="62" t="s">
        <v>4650</v>
      </c>
      <c r="P628" s="42" t="str">
        <f>+IF(O628="","",IFERROR(VLOOKUP(O628,CODIGO_DIAGNOSTICO,2,0),"CÓDIGO NO ENCONTRADO"))</f>
        <v>GONARTROSIS, NO ESPECIFICADA</v>
      </c>
      <c r="Q628" s="62" t="s">
        <v>19230</v>
      </c>
      <c r="R628" s="64">
        <v>9033628</v>
      </c>
      <c r="S628" s="75">
        <v>45331</v>
      </c>
      <c r="T628" s="75">
        <v>45343</v>
      </c>
      <c r="U628" s="65">
        <v>43.332999999999998</v>
      </c>
      <c r="V628" s="62" t="s">
        <v>26084</v>
      </c>
      <c r="W628" s="65"/>
      <c r="X628" s="62"/>
      <c r="Y628" s="65"/>
      <c r="Z628" s="73"/>
    </row>
    <row r="629" spans="1:26" ht="15.75" hidden="1" customHeight="1" x14ac:dyDescent="0.25">
      <c r="A629" s="67">
        <v>2</v>
      </c>
      <c r="B629" s="68">
        <v>15309929</v>
      </c>
      <c r="C629" s="68" t="s">
        <v>25011</v>
      </c>
      <c r="D629" s="68" t="s">
        <v>25012</v>
      </c>
      <c r="E629" s="68" t="s">
        <v>25013</v>
      </c>
      <c r="F629" s="68" t="s">
        <v>25014</v>
      </c>
      <c r="G629" s="81" t="s">
        <v>19285</v>
      </c>
      <c r="H629" s="69">
        <v>45330</v>
      </c>
      <c r="I629" s="69">
        <v>45344</v>
      </c>
      <c r="J629" s="68">
        <v>15</v>
      </c>
      <c r="K629" s="68">
        <v>15</v>
      </c>
      <c r="L629" s="68" t="s">
        <v>19262</v>
      </c>
      <c r="M629" s="68" t="s">
        <v>24995</v>
      </c>
      <c r="N629" s="62" t="s">
        <v>19269</v>
      </c>
      <c r="O629" s="68" t="s">
        <v>7734</v>
      </c>
      <c r="P629" s="42" t="str">
        <f>+IF(O629="","",IFERROR(VLOOKUP(O629,CODIGO_DIAGNOSTICO,2,0),"CÓDIGO NO ENCONTRADO"))</f>
        <v>DESGARRO DE MENISCOS, PRESENTE</v>
      </c>
      <c r="Q629" s="68" t="s">
        <v>19230</v>
      </c>
      <c r="R629" s="67">
        <v>9033642</v>
      </c>
      <c r="S629" s="77">
        <v>45331</v>
      </c>
      <c r="T629" s="76"/>
      <c r="U629" s="65"/>
      <c r="V629" s="68" t="s">
        <v>26141</v>
      </c>
      <c r="W629" s="70" t="s">
        <v>26151</v>
      </c>
      <c r="X629" s="68"/>
      <c r="Y629" s="70"/>
      <c r="Z629" s="72"/>
    </row>
    <row r="630" spans="1:26" ht="15.75" hidden="1" customHeight="1" x14ac:dyDescent="0.25">
      <c r="A630" s="64">
        <v>2</v>
      </c>
      <c r="B630" s="62">
        <v>15444896</v>
      </c>
      <c r="C630" s="62" t="s">
        <v>25310</v>
      </c>
      <c r="D630" s="62" t="s">
        <v>25094</v>
      </c>
      <c r="E630" s="62" t="s">
        <v>25241</v>
      </c>
      <c r="F630" s="62" t="s">
        <v>25691</v>
      </c>
      <c r="G630" s="81" t="s">
        <v>19285</v>
      </c>
      <c r="H630" s="63">
        <v>45330</v>
      </c>
      <c r="I630" s="63">
        <v>45331</v>
      </c>
      <c r="J630" s="62">
        <v>2</v>
      </c>
      <c r="K630" s="62">
        <v>2</v>
      </c>
      <c r="L630" s="62" t="s">
        <v>24995</v>
      </c>
      <c r="M630" s="62" t="s">
        <v>24995</v>
      </c>
      <c r="N630" s="62" t="s">
        <v>19269</v>
      </c>
      <c r="O630" s="62" t="s">
        <v>4026</v>
      </c>
      <c r="P630" s="42" t="str">
        <f>+IF(O630="","",IFERROR(VLOOKUP(O630,CODIGO_DIAGNOSTICO,2,0),"CÓDIGO NO ENCONTRADO"))</f>
        <v>COLITIS Y GASTROENTERITIS NO INFECCIOSAS, NO ESPECIFICADAS</v>
      </c>
      <c r="Q630" s="62" t="s">
        <v>19232</v>
      </c>
      <c r="R630" s="64">
        <v>4471089</v>
      </c>
      <c r="S630" s="75" t="s">
        <v>25942</v>
      </c>
      <c r="T630" s="75" t="s">
        <v>25942</v>
      </c>
      <c r="U630" s="65" t="s">
        <v>25942</v>
      </c>
      <c r="V630" s="62" t="s">
        <v>26083</v>
      </c>
      <c r="W630" s="65"/>
      <c r="X630" s="62"/>
      <c r="Y630" s="65"/>
      <c r="Z630" s="73"/>
    </row>
    <row r="631" spans="1:26" ht="15.75" hidden="1" customHeight="1" x14ac:dyDescent="0.25">
      <c r="A631" s="67">
        <v>2</v>
      </c>
      <c r="B631" s="68">
        <v>15526159</v>
      </c>
      <c r="C631" s="68" t="s">
        <v>25865</v>
      </c>
      <c r="D631" s="68" t="s">
        <v>25284</v>
      </c>
      <c r="E631" s="68" t="s">
        <v>26159</v>
      </c>
      <c r="F631" s="68" t="s">
        <v>25103</v>
      </c>
      <c r="G631" s="81" t="s">
        <v>19285</v>
      </c>
      <c r="H631" s="69">
        <v>45330</v>
      </c>
      <c r="I631" s="69">
        <v>45332</v>
      </c>
      <c r="J631" s="68">
        <v>3</v>
      </c>
      <c r="K631" s="68">
        <v>3</v>
      </c>
      <c r="L631" s="68" t="s">
        <v>24995</v>
      </c>
      <c r="M631" s="68" t="s">
        <v>24995</v>
      </c>
      <c r="N631" s="62" t="s">
        <v>19269</v>
      </c>
      <c r="O631" s="68" t="s">
        <v>4838</v>
      </c>
      <c r="P631" s="42" t="str">
        <f>+IF(O631="","",IFERROR(VLOOKUP(O631,CODIGO_DIAGNOSTICO,2,0),"CÓDIGO NO ENCONTRADO"))</f>
        <v>LUMBAGO NO ESPECIFICADO</v>
      </c>
      <c r="Q631" s="68" t="s">
        <v>25001</v>
      </c>
      <c r="R631" s="67">
        <v>647247</v>
      </c>
      <c r="S631" s="77">
        <v>45329</v>
      </c>
      <c r="T631" s="76"/>
      <c r="U631" s="65"/>
      <c r="V631" s="68" t="s">
        <v>26160</v>
      </c>
      <c r="W631" s="70"/>
      <c r="X631" s="68"/>
      <c r="Y631" s="70"/>
      <c r="Z631" s="72"/>
    </row>
    <row r="632" spans="1:26" ht="15.75" hidden="1" customHeight="1" x14ac:dyDescent="0.25">
      <c r="A632" s="64">
        <v>2</v>
      </c>
      <c r="B632" s="62">
        <v>71382103</v>
      </c>
      <c r="C632" s="62" t="s">
        <v>25776</v>
      </c>
      <c r="D632" s="62" t="s">
        <v>25968</v>
      </c>
      <c r="E632" s="62" t="s">
        <v>25116</v>
      </c>
      <c r="F632" s="62" t="s">
        <v>26027</v>
      </c>
      <c r="G632" s="81" t="s">
        <v>19285</v>
      </c>
      <c r="H632" s="63">
        <v>45331</v>
      </c>
      <c r="I632" s="63">
        <v>45337</v>
      </c>
      <c r="J632" s="62">
        <v>7</v>
      </c>
      <c r="K632" s="62">
        <v>7</v>
      </c>
      <c r="L632" s="62" t="s">
        <v>19262</v>
      </c>
      <c r="M632" s="62" t="s">
        <v>24995</v>
      </c>
      <c r="N632" s="62" t="s">
        <v>19269</v>
      </c>
      <c r="O632" s="62" t="s">
        <v>4649</v>
      </c>
      <c r="P632" s="42" t="str">
        <f>+IF(O632="","",IFERROR(VLOOKUP(O632,CODIGO_DIAGNOSTICO,2,0),"CÓDIGO NO ENCONTRADO"))</f>
        <v>OTRAS GONARTROSIS SECUNDARIAS</v>
      </c>
      <c r="Q632" s="62" t="s">
        <v>19230</v>
      </c>
      <c r="R632" s="64">
        <v>9033648</v>
      </c>
      <c r="S632" s="75">
        <v>45331</v>
      </c>
      <c r="T632" s="75">
        <v>45343</v>
      </c>
      <c r="U632" s="65">
        <v>303.33300000000003</v>
      </c>
      <c r="V632" s="62" t="s">
        <v>26084</v>
      </c>
      <c r="W632" s="65"/>
      <c r="X632" s="62"/>
      <c r="Y632" s="65"/>
      <c r="Z632" s="73"/>
    </row>
    <row r="633" spans="1:26" ht="15.75" hidden="1" customHeight="1" x14ac:dyDescent="0.25">
      <c r="A633" s="67">
        <v>2</v>
      </c>
      <c r="B633" s="68">
        <v>98601485</v>
      </c>
      <c r="C633" s="68" t="s">
        <v>25240</v>
      </c>
      <c r="D633" s="68"/>
      <c r="E633" s="68" t="s">
        <v>25241</v>
      </c>
      <c r="F633" s="68" t="s">
        <v>25103</v>
      </c>
      <c r="G633" s="81" t="s">
        <v>25328</v>
      </c>
      <c r="H633" s="69">
        <v>45331</v>
      </c>
      <c r="I633" s="69">
        <v>45347</v>
      </c>
      <c r="J633" s="68">
        <v>17</v>
      </c>
      <c r="K633" s="68">
        <v>17</v>
      </c>
      <c r="L633" s="68" t="s">
        <v>19262</v>
      </c>
      <c r="M633" s="68" t="s">
        <v>24995</v>
      </c>
      <c r="N633" s="62" t="s">
        <v>19269</v>
      </c>
      <c r="O633" s="68" t="s">
        <v>8415</v>
      </c>
      <c r="P633" s="42" t="str">
        <f>+IF(O633="","",IFERROR(VLOOKUP(O633,CODIGO_DIAGNOSTICO,2,0),"CÓDIGO NO ENCONTRADO"))</f>
        <v>COMPLICACION MECANICA DE PROTESIS ARTICULAR INTERNA</v>
      </c>
      <c r="Q633" s="68" t="s">
        <v>19230</v>
      </c>
      <c r="R633" s="67">
        <v>9033656</v>
      </c>
      <c r="S633" s="77">
        <v>45331</v>
      </c>
      <c r="T633" s="76"/>
      <c r="U633" s="65"/>
      <c r="V633" s="68" t="s">
        <v>26141</v>
      </c>
      <c r="W633" s="70" t="s">
        <v>26151</v>
      </c>
      <c r="X633" s="68"/>
      <c r="Y633" s="70"/>
      <c r="Z633" s="72"/>
    </row>
    <row r="634" spans="1:26" ht="15.75" hidden="1" customHeight="1" x14ac:dyDescent="0.25">
      <c r="A634" s="64">
        <v>2</v>
      </c>
      <c r="B634" s="62">
        <v>98711080</v>
      </c>
      <c r="C634" s="62" t="s">
        <v>25523</v>
      </c>
      <c r="D634" s="62" t="s">
        <v>25443</v>
      </c>
      <c r="E634" s="62" t="s">
        <v>25430</v>
      </c>
      <c r="F634" s="62" t="s">
        <v>25119</v>
      </c>
      <c r="G634" s="81" t="s">
        <v>19285</v>
      </c>
      <c r="H634" s="63">
        <v>45331</v>
      </c>
      <c r="I634" s="63">
        <v>45360</v>
      </c>
      <c r="J634" s="62">
        <v>30</v>
      </c>
      <c r="K634" s="62">
        <v>30</v>
      </c>
      <c r="L634" s="62" t="s">
        <v>19262</v>
      </c>
      <c r="M634" s="62" t="s">
        <v>24995</v>
      </c>
      <c r="N634" s="62" t="s">
        <v>19269</v>
      </c>
      <c r="O634" s="62" t="s">
        <v>7793</v>
      </c>
      <c r="P634" s="42" t="str">
        <f>+IF(O634="","",IFERROR(VLOOKUP(O634,CODIGO_DIAGNOSTICO,2,0),"CÓDIGO NO ENCONTRADO"))</f>
        <v>LUXACION DE OTROS SITIOS Y LOS NO ESPECIFICADOS DEL PIE</v>
      </c>
      <c r="Q634" s="62" t="s">
        <v>19230</v>
      </c>
      <c r="R634" s="64">
        <v>0</v>
      </c>
      <c r="S634" s="75"/>
      <c r="T634" s="75"/>
      <c r="U634" s="65" t="s">
        <v>26148</v>
      </c>
      <c r="V634" s="62" t="s">
        <v>26083</v>
      </c>
      <c r="W634" s="65" t="s">
        <v>26149</v>
      </c>
      <c r="X634" s="62">
        <v>0</v>
      </c>
      <c r="Y634" s="65">
        <v>84.8</v>
      </c>
      <c r="Z634" s="73"/>
    </row>
    <row r="635" spans="1:26" ht="15.75" hidden="1" customHeight="1" x14ac:dyDescent="0.25">
      <c r="A635" s="67">
        <v>2</v>
      </c>
      <c r="B635" s="68">
        <v>1036622798</v>
      </c>
      <c r="C635" s="68" t="s">
        <v>25272</v>
      </c>
      <c r="D635" s="68" t="s">
        <v>25993</v>
      </c>
      <c r="E635" s="68" t="s">
        <v>26035</v>
      </c>
      <c r="F635" s="68" t="s">
        <v>25139</v>
      </c>
      <c r="G635" s="81" t="s">
        <v>19285</v>
      </c>
      <c r="H635" s="69">
        <v>45331</v>
      </c>
      <c r="I635" s="69">
        <v>45360</v>
      </c>
      <c r="J635" s="68">
        <v>30</v>
      </c>
      <c r="K635" s="68">
        <v>17</v>
      </c>
      <c r="L635" s="68" t="s">
        <v>24995</v>
      </c>
      <c r="M635" s="68" t="s">
        <v>19262</v>
      </c>
      <c r="N635" s="62" t="s">
        <v>19269</v>
      </c>
      <c r="O635" s="68" t="s">
        <v>7793</v>
      </c>
      <c r="P635" s="42" t="str">
        <f>+IF(O635="","",IFERROR(VLOOKUP(O635,CODIGO_DIAGNOSTICO,2,0),"CÓDIGO NO ENCONTRADO"))</f>
        <v>LUXACION DE OTROS SITIOS Y LOS NO ESPECIFICADOS DEL PIE</v>
      </c>
      <c r="Q635" s="68" t="s">
        <v>25025</v>
      </c>
      <c r="R635" s="67">
        <v>9080486</v>
      </c>
      <c r="S635" s="77">
        <v>45345</v>
      </c>
      <c r="T635" s="76"/>
      <c r="U635" s="65"/>
      <c r="V635" s="68" t="s">
        <v>26141</v>
      </c>
      <c r="W635" s="70" t="s">
        <v>26149</v>
      </c>
      <c r="X635" s="68">
        <v>0</v>
      </c>
      <c r="Y635" s="70">
        <v>84.8</v>
      </c>
      <c r="Z635" s="72"/>
    </row>
    <row r="636" spans="1:26" ht="15.75" hidden="1" customHeight="1" x14ac:dyDescent="0.25">
      <c r="A636" s="64">
        <v>2</v>
      </c>
      <c r="B636" s="62">
        <v>70323164</v>
      </c>
      <c r="C636" s="62" t="s">
        <v>24992</v>
      </c>
      <c r="D636" s="62" t="s">
        <v>24985</v>
      </c>
      <c r="E636" s="62" t="s">
        <v>25091</v>
      </c>
      <c r="F636" s="62" t="s">
        <v>25997</v>
      </c>
      <c r="G636" s="81" t="s">
        <v>19285</v>
      </c>
      <c r="H636" s="63">
        <v>45333</v>
      </c>
      <c r="I636" s="63">
        <v>45347</v>
      </c>
      <c r="J636" s="62">
        <v>15</v>
      </c>
      <c r="K636" s="62">
        <v>15</v>
      </c>
      <c r="L636" s="62" t="s">
        <v>19262</v>
      </c>
      <c r="M636" s="62" t="s">
        <v>24995</v>
      </c>
      <c r="N636" s="62" t="s">
        <v>19269</v>
      </c>
      <c r="O636" s="62" t="s">
        <v>3693</v>
      </c>
      <c r="P636" s="42" t="str">
        <f>+IF(O636="","",IFERROR(VLOOKUP(O636,CODIGO_DIAGNOSTICO,2,0),"CÓDIGO NO ENCONTRADO"))</f>
        <v>ENFERMEDAD PULMONAR OBSTRUCTIVA CRONICA, NO ESPECIFICADA</v>
      </c>
      <c r="Q636" s="62" t="s">
        <v>19230</v>
      </c>
      <c r="R636" s="64">
        <v>9080491</v>
      </c>
      <c r="S636" s="75">
        <v>45345</v>
      </c>
      <c r="T636" s="75">
        <v>45357</v>
      </c>
      <c r="U636" s="65">
        <v>650</v>
      </c>
      <c r="V636" s="62" t="s">
        <v>26084</v>
      </c>
      <c r="W636" s="65" t="s">
        <v>26149</v>
      </c>
      <c r="X636" s="62"/>
      <c r="Y636" s="65"/>
      <c r="Z636" s="73"/>
    </row>
    <row r="637" spans="1:26" ht="15.75" hidden="1" customHeight="1" x14ac:dyDescent="0.25">
      <c r="A637" s="67">
        <v>2</v>
      </c>
      <c r="B637" s="68">
        <v>43103123</v>
      </c>
      <c r="C637" s="68" t="s">
        <v>26165</v>
      </c>
      <c r="D637" s="68" t="s">
        <v>25164</v>
      </c>
      <c r="E637" s="68" t="s">
        <v>25834</v>
      </c>
      <c r="F637" s="68" t="s">
        <v>25166</v>
      </c>
      <c r="G637" s="81" t="s">
        <v>19285</v>
      </c>
      <c r="H637" s="69">
        <v>45333</v>
      </c>
      <c r="I637" s="69">
        <v>45347</v>
      </c>
      <c r="J637" s="68">
        <v>15</v>
      </c>
      <c r="K637" s="68">
        <v>15</v>
      </c>
      <c r="L637" s="68" t="s">
        <v>24995</v>
      </c>
      <c r="M637" s="68" t="s">
        <v>24995</v>
      </c>
      <c r="N637" s="62" t="s">
        <v>19269</v>
      </c>
      <c r="O637" s="68" t="s">
        <v>7621</v>
      </c>
      <c r="P637" s="42" t="str">
        <f>+IF(O637="","",IFERROR(VLOOKUP(O637,CODIGO_DIAGNOSTICO,2,0),"CÓDIGO NO ENCONTRADO"))</f>
        <v>LUXACION DE DEDOS DE LA MANO</v>
      </c>
      <c r="Q637" s="68" t="s">
        <v>19230</v>
      </c>
      <c r="R637" s="67">
        <v>37807413</v>
      </c>
      <c r="S637" s="77">
        <v>45392</v>
      </c>
      <c r="T637" s="76"/>
      <c r="U637" s="65"/>
      <c r="V637" s="68" t="s">
        <v>26084</v>
      </c>
      <c r="W637" s="70" t="s">
        <v>26151</v>
      </c>
      <c r="X637" s="68"/>
      <c r="Y637" s="70"/>
      <c r="Z637" s="72"/>
    </row>
    <row r="638" spans="1:26" ht="15.75" hidden="1" customHeight="1" x14ac:dyDescent="0.25">
      <c r="A638" s="64">
        <v>2</v>
      </c>
      <c r="B638" s="62">
        <v>71185910</v>
      </c>
      <c r="C638" s="62" t="s">
        <v>26077</v>
      </c>
      <c r="D638" s="62" t="s">
        <v>25443</v>
      </c>
      <c r="E638" s="62" t="s">
        <v>26042</v>
      </c>
      <c r="F638" s="62" t="s">
        <v>25135</v>
      </c>
      <c r="G638" s="81" t="s">
        <v>19285</v>
      </c>
      <c r="H638" s="63">
        <v>45334</v>
      </c>
      <c r="I638" s="63">
        <v>45343</v>
      </c>
      <c r="J638" s="62">
        <v>10</v>
      </c>
      <c r="K638" s="62">
        <v>10</v>
      </c>
      <c r="L638" s="62" t="s">
        <v>24995</v>
      </c>
      <c r="M638" s="62" t="s">
        <v>24995</v>
      </c>
      <c r="N638" s="62" t="s">
        <v>19269</v>
      </c>
      <c r="O638" s="62" t="s">
        <v>7734</v>
      </c>
      <c r="P638" s="42" t="str">
        <f>+IF(O638="","",IFERROR(VLOOKUP(O638,CODIGO_DIAGNOSTICO,2,0),"CÓDIGO NO ENCONTRADO"))</f>
        <v>DESGARRO DE MENISCOS, PRESENTE</v>
      </c>
      <c r="Q638" s="62" t="s">
        <v>19232</v>
      </c>
      <c r="R638" s="64">
        <v>2192413925</v>
      </c>
      <c r="S638" s="75">
        <v>45341</v>
      </c>
      <c r="T638" s="75"/>
      <c r="U638" s="65"/>
      <c r="V638" s="62"/>
      <c r="W638" s="65"/>
      <c r="X638" s="62"/>
      <c r="Y638" s="65"/>
      <c r="Z638" s="73"/>
    </row>
    <row r="639" spans="1:26" ht="15.75" hidden="1" customHeight="1" x14ac:dyDescent="0.25">
      <c r="A639" s="67">
        <v>2</v>
      </c>
      <c r="B639" s="68">
        <v>71651935</v>
      </c>
      <c r="C639" s="68" t="s">
        <v>25635</v>
      </c>
      <c r="D639" s="68" t="s">
        <v>25480</v>
      </c>
      <c r="E639" s="68" t="s">
        <v>25282</v>
      </c>
      <c r="F639" s="68" t="s">
        <v>25028</v>
      </c>
      <c r="G639" s="81" t="s">
        <v>19285</v>
      </c>
      <c r="H639" s="69">
        <v>45337</v>
      </c>
      <c r="I639" s="69">
        <v>45366</v>
      </c>
      <c r="J639" s="68">
        <v>30</v>
      </c>
      <c r="K639" s="68">
        <v>30</v>
      </c>
      <c r="L639" s="68" t="s">
        <v>19262</v>
      </c>
      <c r="M639" s="68" t="s">
        <v>19262</v>
      </c>
      <c r="N639" s="62" t="s">
        <v>19269</v>
      </c>
      <c r="O639" s="68" t="s">
        <v>905</v>
      </c>
      <c r="P639" s="42" t="str">
        <f>+IF(O639="","",IFERROR(VLOOKUP(O639,CODIGO_DIAGNOSTICO,2,0),"CÓDIGO NO ENCONTRADO"))</f>
        <v>TUMOR MALIGNO DEL RECTO</v>
      </c>
      <c r="Q639" s="68" t="s">
        <v>24996</v>
      </c>
      <c r="R639" s="67"/>
      <c r="S639" s="77"/>
      <c r="T639" s="76"/>
      <c r="U639" s="65"/>
      <c r="V639" s="68"/>
      <c r="W639" s="70"/>
      <c r="X639" s="68"/>
      <c r="Y639" s="70"/>
      <c r="Z639" s="72"/>
    </row>
    <row r="640" spans="1:26" ht="15.75" hidden="1" customHeight="1" x14ac:dyDescent="0.25">
      <c r="A640" s="64">
        <v>2</v>
      </c>
      <c r="B640" s="62">
        <v>1001668854</v>
      </c>
      <c r="C640" s="62" t="s">
        <v>26122</v>
      </c>
      <c r="D640" s="62" t="s">
        <v>25841</v>
      </c>
      <c r="E640" s="62" t="s">
        <v>25110</v>
      </c>
      <c r="F640" s="62" t="s">
        <v>25842</v>
      </c>
      <c r="G640" s="81" t="s">
        <v>19285</v>
      </c>
      <c r="H640" s="63">
        <v>45338</v>
      </c>
      <c r="I640" s="63">
        <v>45338</v>
      </c>
      <c r="J640" s="62">
        <v>1</v>
      </c>
      <c r="K640" s="62">
        <v>1</v>
      </c>
      <c r="L640" s="62" t="s">
        <v>24995</v>
      </c>
      <c r="M640" s="62" t="s">
        <v>24995</v>
      </c>
      <c r="N640" s="62" t="s">
        <v>19269</v>
      </c>
      <c r="O640" s="62" t="s">
        <v>15281</v>
      </c>
      <c r="P640" s="42" t="str">
        <f>+IF(O640="","",IFERROR(VLOOKUP(O640,CODIGO_DIAGNOSTICO,2,0),"CÓDIGO NO ENCONTRADO"))</f>
        <v>RINOFARINGITIS AGUDA (RESFRIADO COMUN)</v>
      </c>
      <c r="Q640" s="62" t="s">
        <v>19231</v>
      </c>
      <c r="R640" s="64">
        <v>10119284</v>
      </c>
      <c r="S640" s="75">
        <v>45358</v>
      </c>
      <c r="T640" s="75" t="s">
        <v>25942</v>
      </c>
      <c r="U640" s="65"/>
      <c r="V640" s="62" t="s">
        <v>26083</v>
      </c>
      <c r="W640" s="65"/>
      <c r="X640" s="62"/>
      <c r="Y640" s="65"/>
      <c r="Z640" s="73"/>
    </row>
    <row r="641" spans="1:26" ht="15.75" hidden="1" customHeight="1" x14ac:dyDescent="0.25">
      <c r="A641" s="67">
        <v>2</v>
      </c>
      <c r="B641" s="68">
        <v>71382103</v>
      </c>
      <c r="C641" s="68" t="s">
        <v>25776</v>
      </c>
      <c r="D641" s="68" t="s">
        <v>25968</v>
      </c>
      <c r="E641" s="68" t="s">
        <v>25116</v>
      </c>
      <c r="F641" s="68" t="s">
        <v>26027</v>
      </c>
      <c r="G641" s="81" t="s">
        <v>19285</v>
      </c>
      <c r="H641" s="69">
        <v>45338</v>
      </c>
      <c r="I641" s="69">
        <v>45344</v>
      </c>
      <c r="J641" s="68">
        <v>7</v>
      </c>
      <c r="K641" s="68">
        <v>7</v>
      </c>
      <c r="L641" s="68" t="s">
        <v>24995</v>
      </c>
      <c r="M641" s="68" t="s">
        <v>24995</v>
      </c>
      <c r="N641" s="62" t="s">
        <v>19269</v>
      </c>
      <c r="O641" s="68" t="s">
        <v>7779</v>
      </c>
      <c r="P641" s="42" t="str">
        <f>+IF(O641="","",IFERROR(VLOOKUP(O641,CODIGO_DIAGNOSTICO,2,0),"CÓDIGO NO ENCONTRADO"))</f>
        <v>HERIDA DE DEDO(S) DEL PIE CON DAÑO DE LA(S) UÑA(S)</v>
      </c>
      <c r="Q641" s="68" t="s">
        <v>19230</v>
      </c>
      <c r="R641" s="67">
        <v>9146414</v>
      </c>
      <c r="S641" s="77">
        <v>45329</v>
      </c>
      <c r="T641" s="76">
        <v>45349</v>
      </c>
      <c r="U641" s="65">
        <v>216.667</v>
      </c>
      <c r="V641" s="68" t="s">
        <v>26084</v>
      </c>
      <c r="W641" s="70"/>
      <c r="X641" s="68"/>
      <c r="Y641" s="70"/>
      <c r="Z641" s="72"/>
    </row>
    <row r="642" spans="1:26" ht="15.75" hidden="1" customHeight="1" x14ac:dyDescent="0.25">
      <c r="A642" s="64">
        <v>2</v>
      </c>
      <c r="B642" s="62">
        <v>17648535</v>
      </c>
      <c r="C642" s="62" t="s">
        <v>25049</v>
      </c>
      <c r="D642" s="62" t="s">
        <v>25049</v>
      </c>
      <c r="E642" s="62" t="s">
        <v>25255</v>
      </c>
      <c r="F642" s="62" t="s">
        <v>25135</v>
      </c>
      <c r="G642" s="81" t="s">
        <v>19285</v>
      </c>
      <c r="H642" s="63">
        <v>45344</v>
      </c>
      <c r="I642" s="63">
        <v>45345</v>
      </c>
      <c r="J642" s="62">
        <v>2</v>
      </c>
      <c r="K642" s="62">
        <v>2</v>
      </c>
      <c r="L642" s="62" t="s">
        <v>24995</v>
      </c>
      <c r="M642" s="62" t="s">
        <v>24995</v>
      </c>
      <c r="N642" s="62" t="s">
        <v>19269</v>
      </c>
      <c r="O642" s="62" t="s">
        <v>3958</v>
      </c>
      <c r="P642" s="42" t="str">
        <f>+IF(O642="","",IFERROR(VLOOKUP(O642,CODIGO_DIAGNOSTICO,2,0),"CÓDIGO NO ENCONTRADO"))</f>
        <v>GASTRITIS, NO ESPECIFICADA</v>
      </c>
      <c r="Q642" s="62" t="s">
        <v>19230</v>
      </c>
      <c r="R642" s="64">
        <v>37516170</v>
      </c>
      <c r="S642" s="75">
        <v>45358</v>
      </c>
      <c r="T642" s="75" t="s">
        <v>25942</v>
      </c>
      <c r="U642" s="65"/>
      <c r="V642" s="62" t="s">
        <v>26083</v>
      </c>
      <c r="W642" s="65"/>
      <c r="X642" s="62"/>
      <c r="Y642" s="65"/>
      <c r="Z642" s="73"/>
    </row>
    <row r="643" spans="1:26" ht="15.75" hidden="1" customHeight="1" x14ac:dyDescent="0.25">
      <c r="A643" s="67">
        <v>2</v>
      </c>
      <c r="B643" s="68">
        <v>15309929</v>
      </c>
      <c r="C643" s="68" t="s">
        <v>25011</v>
      </c>
      <c r="D643" s="68" t="s">
        <v>25012</v>
      </c>
      <c r="E643" s="68" t="s">
        <v>25013</v>
      </c>
      <c r="F643" s="68" t="s">
        <v>25014</v>
      </c>
      <c r="G643" s="81" t="s">
        <v>19285</v>
      </c>
      <c r="H643" s="69">
        <v>45345</v>
      </c>
      <c r="I643" s="69">
        <v>45359</v>
      </c>
      <c r="J643" s="68">
        <v>15</v>
      </c>
      <c r="K643" s="68">
        <v>15</v>
      </c>
      <c r="L643" s="68" t="s">
        <v>19262</v>
      </c>
      <c r="M643" s="68" t="s">
        <v>24995</v>
      </c>
      <c r="N643" s="62" t="s">
        <v>19269</v>
      </c>
      <c r="O643" s="68" t="s">
        <v>7734</v>
      </c>
      <c r="P643" s="42" t="str">
        <f>+IF(O643="","",IFERROR(VLOOKUP(O643,CODIGO_DIAGNOSTICO,2,0),"CÓDIGO NO ENCONTRADO"))</f>
        <v>DESGARRO DE MENISCOS, PRESENTE</v>
      </c>
      <c r="Q643" s="68" t="s">
        <v>19230</v>
      </c>
      <c r="R643" s="67">
        <v>9080481</v>
      </c>
      <c r="S643" s="77">
        <v>45345</v>
      </c>
      <c r="T643" s="76"/>
      <c r="U643" s="65"/>
      <c r="V643" s="68" t="s">
        <v>26141</v>
      </c>
      <c r="W643" s="70" t="s">
        <v>26151</v>
      </c>
      <c r="X643" s="68"/>
      <c r="Y643" s="70"/>
      <c r="Z643" s="72"/>
    </row>
    <row r="644" spans="1:26" ht="15.75" hidden="1" customHeight="1" x14ac:dyDescent="0.25">
      <c r="A644" s="64">
        <v>2</v>
      </c>
      <c r="B644" s="62">
        <v>71185910</v>
      </c>
      <c r="C644" s="62" t="s">
        <v>26077</v>
      </c>
      <c r="D644" s="62" t="s">
        <v>25443</v>
      </c>
      <c r="E644" s="62" t="s">
        <v>26042</v>
      </c>
      <c r="F644" s="62" t="s">
        <v>25135</v>
      </c>
      <c r="G644" s="81" t="s">
        <v>19285</v>
      </c>
      <c r="H644" s="63">
        <v>45345</v>
      </c>
      <c r="I644" s="63">
        <v>45354</v>
      </c>
      <c r="J644" s="62">
        <v>10</v>
      </c>
      <c r="K644" s="62">
        <v>10</v>
      </c>
      <c r="L644" s="62" t="s">
        <v>24995</v>
      </c>
      <c r="M644" s="62" t="s">
        <v>24995</v>
      </c>
      <c r="N644" s="62" t="s">
        <v>19269</v>
      </c>
      <c r="O644" s="62" t="s">
        <v>7734</v>
      </c>
      <c r="P644" s="42" t="str">
        <f>+IF(O644="","",IFERROR(VLOOKUP(O644,CODIGO_DIAGNOSTICO,2,0),"CÓDIGO NO ENCONTRADO"))</f>
        <v>DESGARRO DE MENISCOS, PRESENTE</v>
      </c>
      <c r="Q644" s="62" t="s">
        <v>19232</v>
      </c>
      <c r="R644" s="64">
        <v>4512067</v>
      </c>
      <c r="S644" s="75">
        <v>45358</v>
      </c>
      <c r="T644" s="75"/>
      <c r="U644" s="65"/>
      <c r="V644" s="62" t="s">
        <v>26084</v>
      </c>
      <c r="W644" s="65"/>
      <c r="X644" s="62"/>
      <c r="Y644" s="65"/>
      <c r="Z644" s="73"/>
    </row>
    <row r="645" spans="1:26" ht="15.75" hidden="1" customHeight="1" x14ac:dyDescent="0.25">
      <c r="A645" s="67">
        <v>2</v>
      </c>
      <c r="B645" s="68">
        <v>71382103</v>
      </c>
      <c r="C645" s="68" t="s">
        <v>25776</v>
      </c>
      <c r="D645" s="68" t="s">
        <v>25968</v>
      </c>
      <c r="E645" s="68" t="s">
        <v>25116</v>
      </c>
      <c r="F645" s="68" t="s">
        <v>26027</v>
      </c>
      <c r="G645" s="81" t="s">
        <v>19285</v>
      </c>
      <c r="H645" s="69">
        <v>45345</v>
      </c>
      <c r="I645" s="69">
        <v>45349</v>
      </c>
      <c r="J645" s="68">
        <v>5</v>
      </c>
      <c r="K645" s="68">
        <v>5</v>
      </c>
      <c r="L645" s="68" t="s">
        <v>19262</v>
      </c>
      <c r="M645" s="68" t="s">
        <v>24995</v>
      </c>
      <c r="N645" s="62" t="s">
        <v>19269</v>
      </c>
      <c r="O645" s="68" t="s">
        <v>7779</v>
      </c>
      <c r="P645" s="42" t="str">
        <f>+IF(O645="","",IFERROR(VLOOKUP(O645,CODIGO_DIAGNOSTICO,2,0),"CÓDIGO NO ENCONTRADO"))</f>
        <v>HERIDA DE DEDO(S) DEL PIE CON DAÑO DE LA(S) UÑA(S)</v>
      </c>
      <c r="Q645" s="68" t="s">
        <v>19230</v>
      </c>
      <c r="R645" s="67">
        <v>9124219</v>
      </c>
      <c r="S645" s="77">
        <v>45329</v>
      </c>
      <c r="T645" s="76">
        <v>45371</v>
      </c>
      <c r="U645" s="65">
        <v>216.667</v>
      </c>
      <c r="V645" s="68" t="s">
        <v>26084</v>
      </c>
      <c r="W645" s="70"/>
      <c r="X645" s="68"/>
      <c r="Y645" s="70"/>
      <c r="Z645" s="72"/>
    </row>
    <row r="646" spans="1:26" ht="15.75" hidden="1" customHeight="1" x14ac:dyDescent="0.25">
      <c r="A646" s="64">
        <v>2</v>
      </c>
      <c r="B646" s="62">
        <v>15259692</v>
      </c>
      <c r="C646" s="62" t="s">
        <v>25373</v>
      </c>
      <c r="D646" s="62" t="s">
        <v>24983</v>
      </c>
      <c r="E646" s="62" t="s">
        <v>25255</v>
      </c>
      <c r="F646" s="62" t="s">
        <v>25119</v>
      </c>
      <c r="G646" s="81" t="s">
        <v>19285</v>
      </c>
      <c r="H646" s="63">
        <v>45346</v>
      </c>
      <c r="I646" s="63">
        <v>45347</v>
      </c>
      <c r="J646" s="62">
        <v>2</v>
      </c>
      <c r="K646" s="62">
        <v>2</v>
      </c>
      <c r="L646" s="62" t="s">
        <v>24995</v>
      </c>
      <c r="M646" s="62" t="s">
        <v>24995</v>
      </c>
      <c r="N646" s="62" t="s">
        <v>19269</v>
      </c>
      <c r="O646" s="62" t="s">
        <v>85</v>
      </c>
      <c r="P646" s="42" t="str">
        <f>+IF(O646="","",IFERROR(VLOOKUP(O646,CODIGO_DIAGNOSTICO,2,0),"CÓDIGO NO ENCONTRADO"))</f>
        <v>OTRAS ENTERITIS VIRALES</v>
      </c>
      <c r="Q646" s="62" t="s">
        <v>19230</v>
      </c>
      <c r="R646" s="64">
        <v>37530037</v>
      </c>
      <c r="S646" s="75">
        <v>45358</v>
      </c>
      <c r="T646" s="75" t="s">
        <v>25942</v>
      </c>
      <c r="U646" s="65"/>
      <c r="V646" s="62" t="s">
        <v>26083</v>
      </c>
      <c r="W646" s="65"/>
      <c r="X646" s="62"/>
      <c r="Y646" s="65"/>
      <c r="Z646" s="73"/>
    </row>
    <row r="647" spans="1:26" ht="15.75" hidden="1" customHeight="1" x14ac:dyDescent="0.25">
      <c r="A647" s="67">
        <v>2</v>
      </c>
      <c r="B647" s="68">
        <v>98601485</v>
      </c>
      <c r="C647" s="68" t="s">
        <v>25240</v>
      </c>
      <c r="D647" s="68"/>
      <c r="E647" s="68" t="s">
        <v>25241</v>
      </c>
      <c r="F647" s="68" t="s">
        <v>25103</v>
      </c>
      <c r="G647" s="81" t="s">
        <v>19285</v>
      </c>
      <c r="H647" s="69">
        <v>45348</v>
      </c>
      <c r="I647" s="69">
        <v>45377</v>
      </c>
      <c r="J647" s="68">
        <v>30</v>
      </c>
      <c r="K647" s="68">
        <v>30</v>
      </c>
      <c r="L647" s="68" t="s">
        <v>19262</v>
      </c>
      <c r="M647" s="68" t="s">
        <v>24995</v>
      </c>
      <c r="N647" s="62" t="s">
        <v>19269</v>
      </c>
      <c r="O647" s="68" t="s">
        <v>4650</v>
      </c>
      <c r="P647" s="42" t="str">
        <f>+IF(O647="","",IFERROR(VLOOKUP(O647,CODIGO_DIAGNOSTICO,2,0),"CÓDIGO NO ENCONTRADO"))</f>
        <v>GONARTROSIS, NO ESPECIFICADA</v>
      </c>
      <c r="Q647" s="68" t="s">
        <v>19230</v>
      </c>
      <c r="R647" s="67">
        <v>9124227</v>
      </c>
      <c r="S647" s="77">
        <v>45329</v>
      </c>
      <c r="T647" s="76"/>
      <c r="U647" s="65"/>
      <c r="V647" s="68" t="s">
        <v>26084</v>
      </c>
      <c r="W647" s="70"/>
      <c r="X647" s="68"/>
      <c r="Y647" s="70"/>
      <c r="Z647" s="72"/>
    </row>
    <row r="648" spans="1:26" ht="15.75" hidden="1" customHeight="1" x14ac:dyDescent="0.25">
      <c r="A648" s="64">
        <v>2</v>
      </c>
      <c r="B648" s="62">
        <v>43103123</v>
      </c>
      <c r="C648" s="62" t="s">
        <v>26165</v>
      </c>
      <c r="D648" s="62" t="s">
        <v>25164</v>
      </c>
      <c r="E648" s="62" t="s">
        <v>25834</v>
      </c>
      <c r="F648" s="62" t="s">
        <v>25166</v>
      </c>
      <c r="G648" s="81" t="s">
        <v>19285</v>
      </c>
      <c r="H648" s="63">
        <v>45348</v>
      </c>
      <c r="I648" s="63">
        <v>45333</v>
      </c>
      <c r="J648" s="62">
        <v>15</v>
      </c>
      <c r="K648" s="62">
        <v>15</v>
      </c>
      <c r="L648" s="62" t="s">
        <v>19262</v>
      </c>
      <c r="M648" s="62" t="s">
        <v>24995</v>
      </c>
      <c r="N648" s="62" t="s">
        <v>19269</v>
      </c>
      <c r="O648" s="62" t="s">
        <v>7621</v>
      </c>
      <c r="P648" s="42" t="str">
        <f>+IF(O648="","",IFERROR(VLOOKUP(O648,CODIGO_DIAGNOSTICO,2,0),"CÓDIGO NO ENCONTRADO"))</f>
        <v>LUXACION DE DEDOS DE LA MANO</v>
      </c>
      <c r="Q648" s="62" t="s">
        <v>19230</v>
      </c>
      <c r="R648" s="64">
        <v>37807448</v>
      </c>
      <c r="S648" s="75">
        <v>45392</v>
      </c>
      <c r="T648" s="75"/>
      <c r="U648" s="65"/>
      <c r="V648" s="62" t="s">
        <v>26084</v>
      </c>
      <c r="W648" s="65" t="s">
        <v>26151</v>
      </c>
      <c r="X648" s="62"/>
      <c r="Y648" s="65"/>
      <c r="Z648" s="73"/>
    </row>
    <row r="649" spans="1:26" ht="15.75" hidden="1" customHeight="1" x14ac:dyDescent="0.25">
      <c r="A649" s="67">
        <v>2</v>
      </c>
      <c r="B649" s="68">
        <v>1128467712</v>
      </c>
      <c r="C649" s="68" t="s">
        <v>25456</v>
      </c>
      <c r="D649" s="68" t="s">
        <v>19258</v>
      </c>
      <c r="E649" s="68" t="s">
        <v>25880</v>
      </c>
      <c r="F649" s="68" t="s">
        <v>25879</v>
      </c>
      <c r="G649" s="81" t="s">
        <v>26166</v>
      </c>
      <c r="H649" s="69">
        <v>45349</v>
      </c>
      <c r="I649" s="69">
        <v>45350</v>
      </c>
      <c r="J649" s="68">
        <v>2</v>
      </c>
      <c r="K649" s="68">
        <v>2</v>
      </c>
      <c r="L649" s="68" t="s">
        <v>24995</v>
      </c>
      <c r="M649" s="68" t="s">
        <v>24995</v>
      </c>
      <c r="N649" s="62" t="s">
        <v>19269</v>
      </c>
      <c r="O649" s="68" t="s">
        <v>15281</v>
      </c>
      <c r="P649" s="42" t="str">
        <f>+IF(O649="","",IFERROR(VLOOKUP(O649,CODIGO_DIAGNOSTICO,2,0),"CÓDIGO NO ENCONTRADO"))</f>
        <v>RINOFARINGITIS AGUDA (RESFRIADO COMUN)</v>
      </c>
      <c r="Q649" s="68" t="s">
        <v>19230</v>
      </c>
      <c r="R649" s="67">
        <v>37542788</v>
      </c>
      <c r="S649" s="77">
        <v>45358</v>
      </c>
      <c r="T649" s="76" t="s">
        <v>25942</v>
      </c>
      <c r="U649" s="65"/>
      <c r="V649" s="68" t="s">
        <v>26083</v>
      </c>
      <c r="W649" s="70" t="s">
        <v>26149</v>
      </c>
      <c r="X649" s="68">
        <v>0</v>
      </c>
      <c r="Y649" s="70">
        <v>84.8</v>
      </c>
      <c r="Z649" s="72"/>
    </row>
    <row r="650" spans="1:26" ht="15.75" hidden="1" customHeight="1" x14ac:dyDescent="0.25">
      <c r="A650" s="64">
        <v>2</v>
      </c>
      <c r="B650" s="62">
        <v>1007843841</v>
      </c>
      <c r="C650" s="62" t="s">
        <v>25109</v>
      </c>
      <c r="D650" s="62" t="s">
        <v>19258</v>
      </c>
      <c r="E650" s="62" t="s">
        <v>26142</v>
      </c>
      <c r="F650" s="62" t="s">
        <v>26143</v>
      </c>
      <c r="G650" s="81" t="s">
        <v>26144</v>
      </c>
      <c r="H650" s="63">
        <v>45349</v>
      </c>
      <c r="I650" s="63">
        <v>45350</v>
      </c>
      <c r="J650" s="62">
        <v>2</v>
      </c>
      <c r="K650" s="62">
        <v>2</v>
      </c>
      <c r="L650" s="62" t="s">
        <v>24995</v>
      </c>
      <c r="M650" s="62" t="s">
        <v>24995</v>
      </c>
      <c r="N650" s="62" t="s">
        <v>19269</v>
      </c>
      <c r="O650" s="62" t="s">
        <v>3847</v>
      </c>
      <c r="P650" s="42" t="str">
        <f>+IF(O650="","",IFERROR(VLOOKUP(O650,CODIGO_DIAGNOSTICO,2,0),"CÓDIGO NO ENCONTRADO"))</f>
        <v>ANOMALIAS DE LA POSICION DEL DIENTE</v>
      </c>
      <c r="Q650" s="62" t="s">
        <v>19230</v>
      </c>
      <c r="R650" s="64">
        <v>3754660</v>
      </c>
      <c r="S650" s="75">
        <v>45358</v>
      </c>
      <c r="T650" s="75" t="s">
        <v>25942</v>
      </c>
      <c r="U650" s="65"/>
      <c r="V650" s="62" t="s">
        <v>26083</v>
      </c>
      <c r="W650" s="65"/>
      <c r="X650" s="62"/>
      <c r="Y650" s="65"/>
      <c r="Z650" s="73"/>
    </row>
    <row r="651" spans="1:26" ht="15.75" hidden="1" customHeight="1" x14ac:dyDescent="0.25">
      <c r="A651" s="67">
        <v>3</v>
      </c>
      <c r="B651" s="68">
        <v>71185910</v>
      </c>
      <c r="C651" s="68" t="s">
        <v>26077</v>
      </c>
      <c r="D651" s="68" t="s">
        <v>25443</v>
      </c>
      <c r="E651" s="68" t="s">
        <v>26042</v>
      </c>
      <c r="F651" s="68" t="s">
        <v>25135</v>
      </c>
      <c r="G651" s="81" t="s">
        <v>19285</v>
      </c>
      <c r="H651" s="69">
        <v>45355</v>
      </c>
      <c r="I651" s="69">
        <v>45364</v>
      </c>
      <c r="J651" s="68">
        <v>10</v>
      </c>
      <c r="K651" s="68">
        <v>10</v>
      </c>
      <c r="L651" s="68" t="s">
        <v>24995</v>
      </c>
      <c r="M651" s="68" t="s">
        <v>24995</v>
      </c>
      <c r="N651" s="62" t="s">
        <v>19269</v>
      </c>
      <c r="O651" s="68" t="s">
        <v>7734</v>
      </c>
      <c r="P651" s="42" t="str">
        <f>+IF(O651="","",IFERROR(VLOOKUP(O651,CODIGO_DIAGNOSTICO,2,0),"CÓDIGO NO ENCONTRADO"))</f>
        <v>DESGARRO DE MENISCOS, PRESENTE</v>
      </c>
      <c r="Q651" s="68" t="s">
        <v>19232</v>
      </c>
      <c r="R651" s="67"/>
      <c r="S651" s="77">
        <v>45365</v>
      </c>
      <c r="T651" s="76"/>
      <c r="U651" s="65"/>
      <c r="V651" s="68"/>
      <c r="W651" s="70"/>
      <c r="X651" s="68"/>
      <c r="Y651" s="70"/>
      <c r="Z651" s="72"/>
    </row>
    <row r="652" spans="1:26" ht="15.75" hidden="1" customHeight="1" x14ac:dyDescent="0.25">
      <c r="A652" s="64">
        <v>3</v>
      </c>
      <c r="B652" s="62">
        <v>12625299</v>
      </c>
      <c r="C652" s="62" t="s">
        <v>26170</v>
      </c>
      <c r="D652" s="62" t="s">
        <v>26145</v>
      </c>
      <c r="E652" s="62" t="s">
        <v>25323</v>
      </c>
      <c r="F652" s="62" t="s">
        <v>25064</v>
      </c>
      <c r="G652" s="81" t="s">
        <v>19285</v>
      </c>
      <c r="H652" s="63">
        <v>45356</v>
      </c>
      <c r="I652" s="63">
        <v>45385</v>
      </c>
      <c r="J652" s="62">
        <v>30</v>
      </c>
      <c r="K652" s="62">
        <v>30</v>
      </c>
      <c r="L652" s="62" t="s">
        <v>24995</v>
      </c>
      <c r="M652" s="62" t="s">
        <v>24995</v>
      </c>
      <c r="N652" s="62" t="s">
        <v>19269</v>
      </c>
      <c r="O652" s="62" t="s">
        <v>3284</v>
      </c>
      <c r="P652" s="42" t="str">
        <f>+IF(O652="","",IFERROR(VLOOKUP(O652,CODIGO_DIAGNOSTICO,2,0),"CÓDIGO NO ENCONTRADO"))</f>
        <v>ENDOCARDITIS INFECCIOSA AGUDA Y SUBAGUDA</v>
      </c>
      <c r="Q652" s="62" t="s">
        <v>19230</v>
      </c>
      <c r="R652" s="64"/>
      <c r="S652" s="75">
        <v>45372</v>
      </c>
      <c r="T652" s="75"/>
      <c r="U652" s="65"/>
      <c r="V652" s="62"/>
      <c r="W652" s="65"/>
      <c r="X652" s="62"/>
      <c r="Y652" s="65"/>
      <c r="Z652" s="73"/>
    </row>
    <row r="653" spans="1:26" ht="15.75" hidden="1" customHeight="1" x14ac:dyDescent="0.25">
      <c r="A653" s="67">
        <v>3</v>
      </c>
      <c r="B653" s="68">
        <v>70550977</v>
      </c>
      <c r="C653" s="68" t="s">
        <v>25128</v>
      </c>
      <c r="D653" s="68" t="s">
        <v>25127</v>
      </c>
      <c r="E653" s="68" t="s">
        <v>25130</v>
      </c>
      <c r="F653" s="68" t="s">
        <v>25592</v>
      </c>
      <c r="G653" s="81" t="s">
        <v>19285</v>
      </c>
      <c r="H653" s="69">
        <v>45359</v>
      </c>
      <c r="I653" s="69">
        <v>45361</v>
      </c>
      <c r="J653" s="68">
        <v>3</v>
      </c>
      <c r="K653" s="68">
        <v>3</v>
      </c>
      <c r="L653" s="68" t="s">
        <v>24995</v>
      </c>
      <c r="M653" s="68" t="s">
        <v>24995</v>
      </c>
      <c r="N653" s="62" t="s">
        <v>19269</v>
      </c>
      <c r="O653" s="68" t="s">
        <v>2616</v>
      </c>
      <c r="P653" s="42" t="str">
        <f>+IF(O653="","",IFERROR(VLOOKUP(O653,CODIGO_DIAGNOSTICO,2,0),"CÓDIGO NO ENCONTRADO"))</f>
        <v>TRASTORNOS DEL INICIO Y DEL MANTENIMIENTO DEL SUEÑO [INSOMNIOS]</v>
      </c>
      <c r="Q653" s="68" t="s">
        <v>19231</v>
      </c>
      <c r="R653" s="67">
        <v>10198941</v>
      </c>
      <c r="S653" s="77">
        <v>45392</v>
      </c>
      <c r="T653" s="76"/>
      <c r="U653" s="65"/>
      <c r="V653" s="68" t="s">
        <v>26084</v>
      </c>
      <c r="W653" s="70" t="s">
        <v>26151</v>
      </c>
      <c r="X653" s="68"/>
      <c r="Y653" s="70"/>
      <c r="Z653" s="72"/>
    </row>
    <row r="654" spans="1:26" ht="15.75" hidden="1" customHeight="1" x14ac:dyDescent="0.25">
      <c r="A654" s="64">
        <v>3</v>
      </c>
      <c r="B654" s="62">
        <v>153099929</v>
      </c>
      <c r="C654" s="62" t="s">
        <v>25011</v>
      </c>
      <c r="D654" s="62" t="s">
        <v>26162</v>
      </c>
      <c r="E654" s="62" t="s">
        <v>25013</v>
      </c>
      <c r="F654" s="62" t="s">
        <v>25014</v>
      </c>
      <c r="G654" s="81" t="s">
        <v>19285</v>
      </c>
      <c r="H654" s="63">
        <v>45360</v>
      </c>
      <c r="I654" s="63">
        <v>45374</v>
      </c>
      <c r="J654" s="62">
        <v>15</v>
      </c>
      <c r="K654" s="62">
        <v>15</v>
      </c>
      <c r="L654" s="62" t="s">
        <v>19262</v>
      </c>
      <c r="M654" s="62" t="s">
        <v>24995</v>
      </c>
      <c r="N654" s="62" t="s">
        <v>19269</v>
      </c>
      <c r="O654" s="62" t="s">
        <v>7734</v>
      </c>
      <c r="P654" s="42" t="str">
        <f>+IF(O654="","",IFERROR(VLOOKUP(O654,CODIGO_DIAGNOSTICO,2,0),"CÓDIGO NO ENCONTRADO"))</f>
        <v>DESGARRO DE MENISCOS, PRESENTE</v>
      </c>
      <c r="Q654" s="62" t="s">
        <v>19230</v>
      </c>
      <c r="R654" s="64">
        <v>9146446</v>
      </c>
      <c r="S654" s="75">
        <v>45365</v>
      </c>
      <c r="T654" s="75"/>
      <c r="U654" s="65"/>
      <c r="V654" s="62" t="s">
        <v>26141</v>
      </c>
      <c r="W654" s="65" t="s">
        <v>26151</v>
      </c>
      <c r="X654" s="62"/>
      <c r="Y654" s="65"/>
      <c r="Z654" s="73"/>
    </row>
    <row r="655" spans="1:26" ht="15.75" hidden="1" customHeight="1" x14ac:dyDescent="0.25">
      <c r="A655" s="67">
        <v>3</v>
      </c>
      <c r="B655" s="68">
        <v>1036622798</v>
      </c>
      <c r="C655" s="68" t="s">
        <v>25272</v>
      </c>
      <c r="D655" s="68" t="s">
        <v>25993</v>
      </c>
      <c r="E655" s="68" t="s">
        <v>26035</v>
      </c>
      <c r="F655" s="68" t="s">
        <v>26146</v>
      </c>
      <c r="G655" s="81" t="s">
        <v>19285</v>
      </c>
      <c r="H655" s="69">
        <v>45361</v>
      </c>
      <c r="I655" s="69">
        <v>45388</v>
      </c>
      <c r="J655" s="68">
        <v>28</v>
      </c>
      <c r="K655" s="68">
        <v>28</v>
      </c>
      <c r="L655" s="68" t="s">
        <v>19262</v>
      </c>
      <c r="M655" s="68" t="s">
        <v>24995</v>
      </c>
      <c r="N655" s="62" t="s">
        <v>19269</v>
      </c>
      <c r="O655" s="68" t="s">
        <v>7787</v>
      </c>
      <c r="P655" s="42" t="str">
        <f>+IF(O655="","",IFERROR(VLOOKUP(O655,CODIGO_DIAGNOSTICO,2,0),"CÓDIGO NO ENCONTRADO"))</f>
        <v>FRACTURA DE LOS HUESOS DE OTRO(S) DEDO(S) DEL PIE</v>
      </c>
      <c r="Q655" s="68" t="s">
        <v>19230</v>
      </c>
      <c r="R655" s="67">
        <v>9146458</v>
      </c>
      <c r="S655" s="77">
        <v>45365</v>
      </c>
      <c r="T655" s="76"/>
      <c r="U655" s="65"/>
      <c r="V655" s="68" t="s">
        <v>26084</v>
      </c>
      <c r="W655" s="70"/>
      <c r="X655" s="68"/>
      <c r="Y655" s="70"/>
      <c r="Z655" s="72"/>
    </row>
    <row r="656" spans="1:26" ht="15.75" hidden="1" customHeight="1" x14ac:dyDescent="0.25">
      <c r="A656" s="64">
        <v>3</v>
      </c>
      <c r="B656" s="62">
        <v>5632471</v>
      </c>
      <c r="C656" s="62" t="s">
        <v>26179</v>
      </c>
      <c r="D656" s="62" t="s">
        <v>26180</v>
      </c>
      <c r="E656" s="62" t="s">
        <v>25188</v>
      </c>
      <c r="F656" s="62" t="s">
        <v>25256</v>
      </c>
      <c r="G656" s="81" t="s">
        <v>19285</v>
      </c>
      <c r="H656" s="63">
        <v>45362</v>
      </c>
      <c r="I656" s="63">
        <v>45391</v>
      </c>
      <c r="J656" s="62">
        <v>30</v>
      </c>
      <c r="K656" s="62">
        <v>30</v>
      </c>
      <c r="L656" s="62" t="s">
        <v>24995</v>
      </c>
      <c r="M656" s="62" t="s">
        <v>19262</v>
      </c>
      <c r="N656" s="62" t="s">
        <v>19269</v>
      </c>
      <c r="O656" s="62" t="s">
        <v>7500</v>
      </c>
      <c r="P656" s="42" t="str">
        <f>+IF(O656="","",IFERROR(VLOOKUP(O656,CODIGO_DIAGNOSTICO,2,0),"CÓDIGO NO ENCONTRADO"))</f>
        <v>FRACTURA DE LA CLAVICULA</v>
      </c>
      <c r="Q656" s="62" t="s">
        <v>25305</v>
      </c>
      <c r="R656" s="64"/>
      <c r="S656" s="75"/>
      <c r="T656" s="75"/>
      <c r="U656" s="65"/>
      <c r="V656" s="62"/>
      <c r="W656" s="65"/>
      <c r="X656" s="62"/>
      <c r="Y656" s="65"/>
      <c r="Z656" s="73"/>
    </row>
    <row r="657" spans="1:26" ht="15.75" hidden="1" customHeight="1" x14ac:dyDescent="0.25">
      <c r="A657" s="67">
        <v>3</v>
      </c>
      <c r="B657" s="68">
        <v>43103123</v>
      </c>
      <c r="C657" s="68" t="s">
        <v>26165</v>
      </c>
      <c r="D657" s="68" t="s">
        <v>25164</v>
      </c>
      <c r="E657" s="68" t="s">
        <v>25834</v>
      </c>
      <c r="F657" s="68" t="s">
        <v>25166</v>
      </c>
      <c r="G657" s="81" t="s">
        <v>19285</v>
      </c>
      <c r="H657" s="69">
        <v>45363</v>
      </c>
      <c r="I657" s="69">
        <v>45367</v>
      </c>
      <c r="J657" s="68">
        <v>5</v>
      </c>
      <c r="K657" s="68">
        <v>5</v>
      </c>
      <c r="L657" s="68" t="s">
        <v>19262</v>
      </c>
      <c r="M657" s="68" t="s">
        <v>24995</v>
      </c>
      <c r="N657" s="62" t="s">
        <v>19269</v>
      </c>
      <c r="O657" s="68" t="s">
        <v>7621</v>
      </c>
      <c r="P657" s="42" t="str">
        <f>+IF(O657="","",IFERROR(VLOOKUP(O657,CODIGO_DIAGNOSTICO,2,0),"CÓDIGO NO ENCONTRADO"))</f>
        <v>LUXACION DE DEDOS DE LA MANO</v>
      </c>
      <c r="Q657" s="68" t="s">
        <v>19230</v>
      </c>
      <c r="R657" s="67">
        <v>37807483</v>
      </c>
      <c r="S657" s="77">
        <v>45392</v>
      </c>
      <c r="T657" s="76"/>
      <c r="U657" s="65"/>
      <c r="V657" s="68" t="s">
        <v>26084</v>
      </c>
      <c r="W657" s="70" t="s">
        <v>26151</v>
      </c>
      <c r="X657" s="68"/>
      <c r="Y657" s="70"/>
      <c r="Z657" s="72"/>
    </row>
    <row r="658" spans="1:26" ht="15.75" hidden="1" customHeight="1" x14ac:dyDescent="0.25">
      <c r="A658" s="64">
        <v>3</v>
      </c>
      <c r="B658" s="62">
        <v>1017188829</v>
      </c>
      <c r="C658" s="62" t="s">
        <v>25052</v>
      </c>
      <c r="D658" s="62" t="s">
        <v>25310</v>
      </c>
      <c r="E658" s="62" t="s">
        <v>26147</v>
      </c>
      <c r="F658" s="62"/>
      <c r="G658" s="81" t="s">
        <v>26167</v>
      </c>
      <c r="H658" s="63">
        <v>45364</v>
      </c>
      <c r="I658" s="63">
        <v>45365</v>
      </c>
      <c r="J658" s="62">
        <v>2</v>
      </c>
      <c r="K658" s="62">
        <v>2</v>
      </c>
      <c r="L658" s="62" t="s">
        <v>24995</v>
      </c>
      <c r="M658" s="62" t="s">
        <v>24995</v>
      </c>
      <c r="N658" s="62" t="s">
        <v>19269</v>
      </c>
      <c r="O658" s="62" t="s">
        <v>85</v>
      </c>
      <c r="P658" s="42" t="str">
        <f>+IF(O658="","",IFERROR(VLOOKUP(O658,CODIGO_DIAGNOSTICO,2,0),"CÓDIGO NO ENCONTRADO"))</f>
        <v>OTRAS ENTERITIS VIRALES</v>
      </c>
      <c r="Q658" s="62" t="s">
        <v>19230</v>
      </c>
      <c r="R658" s="64"/>
      <c r="S658" s="75">
        <v>45365</v>
      </c>
      <c r="T658" s="75"/>
      <c r="U658" s="65"/>
      <c r="V658" s="62"/>
      <c r="W658" s="65"/>
      <c r="X658" s="62"/>
      <c r="Y658" s="65"/>
      <c r="Z658" s="73"/>
    </row>
    <row r="659" spans="1:26" ht="15.75" hidden="1" customHeight="1" x14ac:dyDescent="0.25">
      <c r="A659" s="67">
        <v>3</v>
      </c>
      <c r="B659" s="68">
        <v>71185910</v>
      </c>
      <c r="C659" s="68" t="s">
        <v>26077</v>
      </c>
      <c r="D659" s="68" t="s">
        <v>25443</v>
      </c>
      <c r="E659" s="68" t="s">
        <v>26042</v>
      </c>
      <c r="F659" s="68" t="s">
        <v>25135</v>
      </c>
      <c r="G659" s="81" t="s">
        <v>19285</v>
      </c>
      <c r="H659" s="69">
        <v>45365</v>
      </c>
      <c r="I659" s="69">
        <v>45374</v>
      </c>
      <c r="J659" s="68">
        <v>10</v>
      </c>
      <c r="K659" s="68">
        <v>10</v>
      </c>
      <c r="L659" s="68" t="s">
        <v>19262</v>
      </c>
      <c r="M659" s="68" t="s">
        <v>24995</v>
      </c>
      <c r="N659" s="62" t="s">
        <v>19269</v>
      </c>
      <c r="O659" s="68" t="s">
        <v>7734</v>
      </c>
      <c r="P659" s="42" t="str">
        <f>+IF(O659="","",IFERROR(VLOOKUP(O659,CODIGO_DIAGNOSTICO,2,0),"CÓDIGO NO ENCONTRADO"))</f>
        <v>DESGARRO DE MENISCOS, PRESENTE</v>
      </c>
      <c r="Q659" s="68" t="s">
        <v>19232</v>
      </c>
      <c r="R659" s="67">
        <v>184538253</v>
      </c>
      <c r="S659" s="77">
        <v>45392</v>
      </c>
      <c r="T659" s="76"/>
      <c r="U659" s="65"/>
      <c r="V659" s="68" t="s">
        <v>26084</v>
      </c>
      <c r="W659" s="70" t="s">
        <v>26151</v>
      </c>
      <c r="X659" s="68"/>
      <c r="Y659" s="70"/>
      <c r="Z659" s="72"/>
    </row>
    <row r="660" spans="1:26" ht="15.75" hidden="1" customHeight="1" x14ac:dyDescent="0.25">
      <c r="A660" s="64">
        <v>3</v>
      </c>
      <c r="B660" s="62">
        <v>71651935</v>
      </c>
      <c r="C660" s="62" t="s">
        <v>25635</v>
      </c>
      <c r="D660" s="62" t="s">
        <v>25480</v>
      </c>
      <c r="E660" s="62" t="s">
        <v>25282</v>
      </c>
      <c r="F660" s="62" t="s">
        <v>25028</v>
      </c>
      <c r="G660" s="81" t="s">
        <v>19285</v>
      </c>
      <c r="H660" s="63">
        <v>45367</v>
      </c>
      <c r="I660" s="63">
        <v>45396</v>
      </c>
      <c r="J660" s="62">
        <v>30</v>
      </c>
      <c r="K660" s="62">
        <v>30</v>
      </c>
      <c r="L660" s="62" t="s">
        <v>19262</v>
      </c>
      <c r="M660" s="62" t="s">
        <v>19262</v>
      </c>
      <c r="N660" s="62" t="s">
        <v>19269</v>
      </c>
      <c r="O660" s="62" t="s">
        <v>905</v>
      </c>
      <c r="P660" s="42" t="str">
        <f>+IF(O660="","",IFERROR(VLOOKUP(O660,CODIGO_DIAGNOSTICO,2,0),"CÓDIGO NO ENCONTRADO"))</f>
        <v>TUMOR MALIGNO DEL RECTO</v>
      </c>
      <c r="Q660" s="62" t="s">
        <v>24996</v>
      </c>
      <c r="R660" s="64"/>
      <c r="S660" s="75"/>
      <c r="T660" s="75"/>
      <c r="U660" s="65"/>
      <c r="V660" s="62"/>
      <c r="W660" s="65"/>
      <c r="X660" s="62"/>
      <c r="Y660" s="65"/>
      <c r="Z660" s="73"/>
    </row>
    <row r="661" spans="1:26" ht="15.75" hidden="1" customHeight="1" x14ac:dyDescent="0.25">
      <c r="A661" s="67">
        <v>3</v>
      </c>
      <c r="B661" s="68">
        <v>71382103</v>
      </c>
      <c r="C661" s="68" t="s">
        <v>25776</v>
      </c>
      <c r="D661" s="68" t="s">
        <v>25968</v>
      </c>
      <c r="E661" s="68" t="s">
        <v>25116</v>
      </c>
      <c r="F661" s="68" t="s">
        <v>26027</v>
      </c>
      <c r="G661" s="81" t="s">
        <v>19285</v>
      </c>
      <c r="H661" s="69">
        <v>45371</v>
      </c>
      <c r="I661" s="69">
        <v>45371</v>
      </c>
      <c r="J661" s="68">
        <v>1</v>
      </c>
      <c r="K661" s="68">
        <v>1</v>
      </c>
      <c r="L661" s="68" t="s">
        <v>24995</v>
      </c>
      <c r="M661" s="68" t="s">
        <v>24995</v>
      </c>
      <c r="N661" s="62" t="s">
        <v>19269</v>
      </c>
      <c r="O661" s="68" t="s">
        <v>4644</v>
      </c>
      <c r="P661" s="42" t="str">
        <f>+IF(O661="","",IFERROR(VLOOKUP(O661,CODIGO_DIAGNOSTICO,2,0),"CÓDIGO NO ENCONTRADO"))</f>
        <v>GONARTROSIS PRIMARIA, BILATERAL</v>
      </c>
      <c r="Q661" s="68" t="s">
        <v>19230</v>
      </c>
      <c r="R661" s="67"/>
      <c r="S661" s="77">
        <v>45392</v>
      </c>
      <c r="T661" s="76" t="s">
        <v>25942</v>
      </c>
      <c r="U661" s="65" t="s">
        <v>25942</v>
      </c>
      <c r="V661" s="68" t="s">
        <v>26083</v>
      </c>
      <c r="W661" s="70" t="s">
        <v>26151</v>
      </c>
      <c r="X661" s="68"/>
      <c r="Y661" s="70"/>
      <c r="Z661" s="72"/>
    </row>
    <row r="662" spans="1:26" ht="15.75" hidden="1" customHeight="1" x14ac:dyDescent="0.25">
      <c r="A662" s="64">
        <v>3</v>
      </c>
      <c r="B662" s="62">
        <v>1007632849</v>
      </c>
      <c r="C662" s="62" t="s">
        <v>25167</v>
      </c>
      <c r="D662" s="62" t="s">
        <v>25175</v>
      </c>
      <c r="E662" s="62" t="s">
        <v>26171</v>
      </c>
      <c r="F662" s="62" t="s">
        <v>25177</v>
      </c>
      <c r="G662" s="81" t="s">
        <v>19285</v>
      </c>
      <c r="H662" s="63">
        <v>45372</v>
      </c>
      <c r="I662" s="63">
        <v>45374</v>
      </c>
      <c r="J662" s="62">
        <v>3</v>
      </c>
      <c r="K662" s="62">
        <v>3</v>
      </c>
      <c r="L662" s="62" t="s">
        <v>24995</v>
      </c>
      <c r="M662" s="62" t="s">
        <v>24995</v>
      </c>
      <c r="N662" s="62" t="s">
        <v>19269</v>
      </c>
      <c r="O662" s="62" t="s">
        <v>7780</v>
      </c>
      <c r="P662" s="42" t="str">
        <f>+IF(O662="","",IFERROR(VLOOKUP(O662,CODIGO_DIAGNOSTICO,2,0),"CÓDIGO NO ENCONTRADO"))</f>
        <v>HERIDAS DE OTRAS PARTES DEL PIE</v>
      </c>
      <c r="Q662" s="62" t="s">
        <v>25001</v>
      </c>
      <c r="R662" s="64"/>
      <c r="S662" s="75">
        <v>45393</v>
      </c>
      <c r="T662" s="75"/>
      <c r="U662" s="65"/>
      <c r="V662" s="62" t="s">
        <v>26160</v>
      </c>
      <c r="W662" s="65">
        <v>1424646</v>
      </c>
      <c r="X662" s="62"/>
      <c r="Y662" s="65"/>
      <c r="Z662" s="73"/>
    </row>
    <row r="663" spans="1:26" ht="15.75" hidden="1" customHeight="1" x14ac:dyDescent="0.25">
      <c r="A663" s="67">
        <v>4</v>
      </c>
      <c r="B663" s="68">
        <v>1007632849</v>
      </c>
      <c r="C663" s="68" t="s">
        <v>25167</v>
      </c>
      <c r="D663" s="68" t="s">
        <v>25361</v>
      </c>
      <c r="E663" s="68" t="s">
        <v>26171</v>
      </c>
      <c r="F663" s="68" t="s">
        <v>25177</v>
      </c>
      <c r="G663" s="81" t="s">
        <v>19285</v>
      </c>
      <c r="H663" s="69">
        <v>45372</v>
      </c>
      <c r="I663" s="69">
        <v>45374</v>
      </c>
      <c r="J663" s="68">
        <v>3</v>
      </c>
      <c r="K663" s="68">
        <v>3</v>
      </c>
      <c r="L663" s="68" t="s">
        <v>24995</v>
      </c>
      <c r="M663" s="68" t="s">
        <v>24995</v>
      </c>
      <c r="N663" s="62" t="s">
        <v>19263</v>
      </c>
      <c r="O663" s="68" t="s">
        <v>7780</v>
      </c>
      <c r="P663" s="42" t="str">
        <f>+IF(O663="","",IFERROR(VLOOKUP(O663,CODIGO_DIAGNOSTICO,2,0),"CÓDIGO NO ENCONTRADO"))</f>
        <v>HERIDAS DE OTRAS PARTES DEL PIE</v>
      </c>
      <c r="Q663" s="68" t="s">
        <v>19254</v>
      </c>
      <c r="R663" s="67"/>
      <c r="S663" s="77"/>
      <c r="T663" s="76"/>
      <c r="U663" s="65"/>
      <c r="V663" s="68"/>
      <c r="W663" s="70"/>
      <c r="X663" s="68"/>
      <c r="Y663" s="70"/>
      <c r="Z663" s="72"/>
    </row>
    <row r="664" spans="1:26" ht="15.75" hidden="1" customHeight="1" x14ac:dyDescent="0.25">
      <c r="A664" s="64">
        <v>3</v>
      </c>
      <c r="B664" s="62">
        <v>71170960</v>
      </c>
      <c r="C664" s="62" t="s">
        <v>25865</v>
      </c>
      <c r="D664" s="62" t="s">
        <v>25127</v>
      </c>
      <c r="E664" s="62" t="s">
        <v>26163</v>
      </c>
      <c r="F664" s="62" t="s">
        <v>25135</v>
      </c>
      <c r="G664" s="81" t="s">
        <v>19285</v>
      </c>
      <c r="H664" s="63">
        <v>45373</v>
      </c>
      <c r="I664" s="63">
        <v>45374</v>
      </c>
      <c r="J664" s="62">
        <v>2</v>
      </c>
      <c r="K664" s="62">
        <v>2</v>
      </c>
      <c r="L664" s="62" t="s">
        <v>24995</v>
      </c>
      <c r="M664" s="62" t="s">
        <v>24995</v>
      </c>
      <c r="N664" s="62" t="s">
        <v>19269</v>
      </c>
      <c r="O664" s="62" t="s">
        <v>88</v>
      </c>
      <c r="P664" s="42" t="str">
        <f>+IF(O664="","",IFERROR(VLOOKUP(O664,CODIGO_DIAGNOSTICO,2,0),"CÓDIGO NO ENCONTRADO"))</f>
        <v>DIARREA Y GASTROENTERITIS DE PRESUNTO ORIGEN INFECCIOSO</v>
      </c>
      <c r="Q664" s="62" t="s">
        <v>19231</v>
      </c>
      <c r="R664" s="64">
        <v>7001690459</v>
      </c>
      <c r="S664" s="75">
        <v>45392</v>
      </c>
      <c r="T664" s="75" t="s">
        <v>25942</v>
      </c>
      <c r="U664" s="65" t="s">
        <v>25942</v>
      </c>
      <c r="V664" s="62" t="s">
        <v>26083</v>
      </c>
      <c r="W664" s="65" t="s">
        <v>26151</v>
      </c>
      <c r="X664" s="62"/>
      <c r="Y664" s="65"/>
      <c r="Z664" s="73"/>
    </row>
    <row r="665" spans="1:26" ht="15.75" hidden="1" customHeight="1" x14ac:dyDescent="0.25">
      <c r="A665" s="67">
        <v>3</v>
      </c>
      <c r="B665" s="68">
        <v>78110695</v>
      </c>
      <c r="C665" s="68" t="s">
        <v>25429</v>
      </c>
      <c r="D665" s="68" t="s">
        <v>25403</v>
      </c>
      <c r="E665" s="68" t="s">
        <v>25130</v>
      </c>
      <c r="F665" s="68" t="s">
        <v>25255</v>
      </c>
      <c r="G665" s="81" t="s">
        <v>19285</v>
      </c>
      <c r="H665" s="69">
        <v>45374</v>
      </c>
      <c r="I665" s="69">
        <v>45375</v>
      </c>
      <c r="J665" s="68">
        <v>2</v>
      </c>
      <c r="K665" s="68">
        <v>2</v>
      </c>
      <c r="L665" s="68" t="s">
        <v>24995</v>
      </c>
      <c r="M665" s="68" t="s">
        <v>24995</v>
      </c>
      <c r="N665" s="62" t="s">
        <v>19269</v>
      </c>
      <c r="O665" s="68" t="s">
        <v>3960</v>
      </c>
      <c r="P665" s="42" t="str">
        <f>+IF(O665="","",IFERROR(VLOOKUP(O665,CODIGO_DIAGNOSTICO,2,0),"CÓDIGO NO ENCONTRADO"))</f>
        <v>GASTRODUODENITIS, NO ESPECIFICADA</v>
      </c>
      <c r="Q665" s="68" t="s">
        <v>19230</v>
      </c>
      <c r="R665" s="67">
        <v>37753264</v>
      </c>
      <c r="S665" s="77">
        <v>45392</v>
      </c>
      <c r="T665" s="76" t="s">
        <v>25942</v>
      </c>
      <c r="U665" s="65" t="s">
        <v>25942</v>
      </c>
      <c r="V665" s="68" t="s">
        <v>26083</v>
      </c>
      <c r="W665" s="70" t="s">
        <v>26151</v>
      </c>
      <c r="X665" s="68"/>
      <c r="Y665" s="70"/>
      <c r="Z665" s="72"/>
    </row>
    <row r="666" spans="1:26" ht="15.75" hidden="1" customHeight="1" x14ac:dyDescent="0.25">
      <c r="A666" s="64">
        <v>3</v>
      </c>
      <c r="B666" s="62">
        <v>70323164</v>
      </c>
      <c r="C666" s="62" t="s">
        <v>24992</v>
      </c>
      <c r="D666" s="62" t="s">
        <v>24985</v>
      </c>
      <c r="E666" s="62" t="s">
        <v>25091</v>
      </c>
      <c r="F666" s="62" t="s">
        <v>26164</v>
      </c>
      <c r="G666" s="81" t="s">
        <v>19285</v>
      </c>
      <c r="H666" s="63">
        <v>45377</v>
      </c>
      <c r="I666" s="63">
        <v>45385</v>
      </c>
      <c r="J666" s="62">
        <v>9</v>
      </c>
      <c r="K666" s="62">
        <v>9</v>
      </c>
      <c r="L666" s="62" t="s">
        <v>19262</v>
      </c>
      <c r="M666" s="62" t="s">
        <v>24995</v>
      </c>
      <c r="N666" s="62" t="s">
        <v>19269</v>
      </c>
      <c r="O666" s="62" t="s">
        <v>3693</v>
      </c>
      <c r="P666" s="42" t="str">
        <f>+IF(O666="","",IFERROR(VLOOKUP(O666,CODIGO_DIAGNOSTICO,2,0),"CÓDIGO NO ENCONTRADO"))</f>
        <v>ENFERMEDAD PULMONAR OBSTRUCTIVA CRONICA, NO ESPECIFICADA</v>
      </c>
      <c r="Q666" s="62" t="s">
        <v>19230</v>
      </c>
      <c r="R666" s="64">
        <v>9187748</v>
      </c>
      <c r="S666" s="75">
        <v>45383</v>
      </c>
      <c r="T666" s="75"/>
      <c r="U666" s="65"/>
      <c r="V666" s="62"/>
      <c r="W666" s="65"/>
      <c r="X666" s="62"/>
      <c r="Y666" s="65"/>
      <c r="Z666" s="73"/>
    </row>
    <row r="667" spans="1:26" ht="15.75" hidden="1" customHeight="1" x14ac:dyDescent="0.25">
      <c r="A667" s="67">
        <v>3</v>
      </c>
      <c r="B667" s="68">
        <v>71762788</v>
      </c>
      <c r="C667" s="68" t="s">
        <v>25393</v>
      </c>
      <c r="D667" s="68" t="s">
        <v>25126</v>
      </c>
      <c r="E667" s="68" t="s">
        <v>25056</v>
      </c>
      <c r="F667" s="68" t="s">
        <v>25177</v>
      </c>
      <c r="G667" s="81" t="s">
        <v>19285</v>
      </c>
      <c r="H667" s="69">
        <v>45378</v>
      </c>
      <c r="I667" s="69">
        <v>45382</v>
      </c>
      <c r="J667" s="68">
        <v>5</v>
      </c>
      <c r="K667" s="68">
        <v>5</v>
      </c>
      <c r="L667" s="68" t="s">
        <v>24995</v>
      </c>
      <c r="M667" s="68" t="s">
        <v>24995</v>
      </c>
      <c r="N667" s="62" t="s">
        <v>19269</v>
      </c>
      <c r="O667" s="68" t="s">
        <v>465</v>
      </c>
      <c r="P667" s="42" t="str">
        <f>+IF(O667="","",IFERROR(VLOOKUP(O667,CODIGO_DIAGNOSTICO,2,0),"CÓDIGO NO ENCONTRADO"))</f>
        <v>HEPATITIS AGUDA TIPO A, CON COMA HEPATICO</v>
      </c>
      <c r="Q667" s="68" t="s">
        <v>26059</v>
      </c>
      <c r="R667" s="67"/>
      <c r="S667" s="77"/>
      <c r="T667" s="76"/>
      <c r="U667" s="65"/>
      <c r="V667" s="68"/>
      <c r="W667" s="70"/>
      <c r="X667" s="68"/>
      <c r="Y667" s="70"/>
      <c r="Z667" s="72"/>
    </row>
    <row r="668" spans="1:26" ht="15.75" hidden="1" customHeight="1" x14ac:dyDescent="0.25">
      <c r="A668" s="64">
        <v>3</v>
      </c>
      <c r="B668" s="62">
        <v>1128472662</v>
      </c>
      <c r="C668" s="62" t="s">
        <v>25553</v>
      </c>
      <c r="D668" s="62" t="s">
        <v>25634</v>
      </c>
      <c r="E668" s="62" t="s">
        <v>25282</v>
      </c>
      <c r="F668" s="62" t="s">
        <v>25177</v>
      </c>
      <c r="G668" s="81" t="s">
        <v>26168</v>
      </c>
      <c r="H668" s="63">
        <v>45380</v>
      </c>
      <c r="I668" s="63">
        <v>45389</v>
      </c>
      <c r="J668" s="62">
        <v>10</v>
      </c>
      <c r="K668" s="62">
        <v>10</v>
      </c>
      <c r="L668" s="62" t="s">
        <v>24995</v>
      </c>
      <c r="M668" s="62" t="s">
        <v>24995</v>
      </c>
      <c r="N668" s="62" t="s">
        <v>19269</v>
      </c>
      <c r="O668" s="62" t="s">
        <v>3606</v>
      </c>
      <c r="P668" s="42" t="str">
        <f>+IF(O668="","",IFERROR(VLOOKUP(O668,CODIGO_DIAGNOSTICO,2,0),"CÓDIGO NO ENCONTRADO"))</f>
        <v>NEUMONIA BACTERIANA, NO ESPECIFICADA</v>
      </c>
      <c r="Q668" s="62" t="s">
        <v>26152</v>
      </c>
      <c r="R668" s="64"/>
      <c r="S668" s="75"/>
      <c r="T668" s="75"/>
      <c r="U668" s="65"/>
      <c r="V668" s="62"/>
      <c r="W668" s="65"/>
      <c r="X668" s="62"/>
      <c r="Y668" s="65"/>
      <c r="Z668" s="73"/>
    </row>
    <row r="669" spans="1:26" ht="15.75" hidden="1" customHeight="1" x14ac:dyDescent="0.25">
      <c r="A669" s="67">
        <v>4</v>
      </c>
      <c r="B669" s="68">
        <v>1073809676</v>
      </c>
      <c r="C669" s="68" t="s">
        <v>25224</v>
      </c>
      <c r="D669" s="68" t="s">
        <v>26172</v>
      </c>
      <c r="E669" s="68" t="s">
        <v>25397</v>
      </c>
      <c r="F669" s="68"/>
      <c r="G669" s="81" t="s">
        <v>19285</v>
      </c>
      <c r="H669" s="69">
        <v>45383</v>
      </c>
      <c r="I669" s="69">
        <v>45384</v>
      </c>
      <c r="J669" s="68">
        <v>2</v>
      </c>
      <c r="K669" s="68">
        <v>2</v>
      </c>
      <c r="L669" s="68" t="s">
        <v>24995</v>
      </c>
      <c r="M669" s="68" t="s">
        <v>24995</v>
      </c>
      <c r="N669" s="62" t="s">
        <v>19263</v>
      </c>
      <c r="O669" s="68" t="s">
        <v>7713</v>
      </c>
      <c r="P669" s="42" t="str">
        <f>+IF(O669="","",IFERROR(VLOOKUP(O669,CODIGO_DIAGNOSTICO,2,0),"CÓDIGO NO ENCONTRADO"))</f>
        <v>CONTUSION DE LA RODILLA</v>
      </c>
      <c r="Q669" s="68" t="s">
        <v>25001</v>
      </c>
      <c r="R669" s="67"/>
      <c r="S669" s="77"/>
      <c r="T669" s="76"/>
      <c r="U669" s="65"/>
      <c r="V669" s="68" t="s">
        <v>26084</v>
      </c>
      <c r="W669" s="70">
        <v>1424646</v>
      </c>
      <c r="X669" s="68"/>
      <c r="Y669" s="70"/>
      <c r="Z669" s="72"/>
    </row>
    <row r="670" spans="1:26" ht="15.75" hidden="1" customHeight="1" x14ac:dyDescent="0.25">
      <c r="A670" s="64">
        <v>4</v>
      </c>
      <c r="B670" s="62">
        <v>71762788</v>
      </c>
      <c r="C670" s="62" t="s">
        <v>25393</v>
      </c>
      <c r="D670" s="62" t="s">
        <v>25126</v>
      </c>
      <c r="E670" s="62" t="s">
        <v>25056</v>
      </c>
      <c r="F670" s="62" t="s">
        <v>25177</v>
      </c>
      <c r="G670" s="81" t="s">
        <v>19285</v>
      </c>
      <c r="H670" s="63">
        <v>45383</v>
      </c>
      <c r="I670" s="63">
        <v>45385</v>
      </c>
      <c r="J670" s="62">
        <v>3</v>
      </c>
      <c r="K670" s="62">
        <v>3</v>
      </c>
      <c r="L670" s="62" t="s">
        <v>19262</v>
      </c>
      <c r="M670" s="62" t="s">
        <v>24995</v>
      </c>
      <c r="N670" s="62" t="s">
        <v>19269</v>
      </c>
      <c r="O670" s="62" t="s">
        <v>465</v>
      </c>
      <c r="P670" s="42" t="str">
        <f>+IF(O670="","",IFERROR(VLOOKUP(O670,CODIGO_DIAGNOSTICO,2,0),"CÓDIGO NO ENCONTRADO"))</f>
        <v>HEPATITIS AGUDA TIPO A, CON COMA HEPATICO</v>
      </c>
      <c r="Q670" s="62" t="s">
        <v>26059</v>
      </c>
      <c r="R670" s="64"/>
      <c r="S670" s="75"/>
      <c r="T670" s="75"/>
      <c r="U670" s="65"/>
      <c r="V670" s="62"/>
      <c r="W670" s="65"/>
      <c r="X670" s="62"/>
      <c r="Y670" s="65"/>
      <c r="Z670" s="73"/>
    </row>
    <row r="671" spans="1:26" ht="15.75" hidden="1" customHeight="1" x14ac:dyDescent="0.25">
      <c r="A671" s="67">
        <v>4</v>
      </c>
      <c r="B671" s="68">
        <v>12625299</v>
      </c>
      <c r="C671" s="68" t="s">
        <v>25321</v>
      </c>
      <c r="D671" s="68" t="s">
        <v>26145</v>
      </c>
      <c r="E671" s="68" t="s">
        <v>25323</v>
      </c>
      <c r="F671" s="68" t="s">
        <v>25064</v>
      </c>
      <c r="G671" s="81" t="s">
        <v>19285</v>
      </c>
      <c r="H671" s="69">
        <v>45386</v>
      </c>
      <c r="I671" s="69">
        <v>45415</v>
      </c>
      <c r="J671" s="68">
        <v>30</v>
      </c>
      <c r="K671" s="68">
        <v>30</v>
      </c>
      <c r="L671" s="68" t="s">
        <v>19262</v>
      </c>
      <c r="M671" s="68" t="s">
        <v>24995</v>
      </c>
      <c r="N671" s="62" t="s">
        <v>19269</v>
      </c>
      <c r="O671" s="68" t="s">
        <v>3284</v>
      </c>
      <c r="P671" s="42" t="str">
        <f>+IF(O671="","",IFERROR(VLOOKUP(O671,CODIGO_DIAGNOSTICO,2,0),"CÓDIGO NO ENCONTRADO"))</f>
        <v>ENDOCARDITIS INFECCIOSA AGUDA Y SUBAGUDA</v>
      </c>
      <c r="Q671" s="68" t="s">
        <v>19230</v>
      </c>
      <c r="R671" s="67">
        <v>9219474</v>
      </c>
      <c r="S671" s="77">
        <v>45392</v>
      </c>
      <c r="T671" s="76"/>
      <c r="U671" s="65"/>
      <c r="V671" s="68" t="s">
        <v>26084</v>
      </c>
      <c r="W671" s="70" t="s">
        <v>26151</v>
      </c>
      <c r="X671" s="68"/>
      <c r="Y671" s="70"/>
      <c r="Z671" s="72"/>
    </row>
    <row r="672" spans="1:26" ht="15.75" hidden="1" customHeight="1" x14ac:dyDescent="0.25">
      <c r="A672" s="64">
        <v>4</v>
      </c>
      <c r="B672" s="62">
        <v>71724256</v>
      </c>
      <c r="C672" s="62" t="s">
        <v>25288</v>
      </c>
      <c r="D672" s="62" t="s">
        <v>25534</v>
      </c>
      <c r="E672" s="62" t="s">
        <v>25705</v>
      </c>
      <c r="F672" s="62"/>
      <c r="G672" s="81" t="s">
        <v>19285</v>
      </c>
      <c r="H672" s="63">
        <v>45386</v>
      </c>
      <c r="I672" s="63">
        <v>45392</v>
      </c>
      <c r="J672" s="62">
        <v>7</v>
      </c>
      <c r="K672" s="62">
        <v>7</v>
      </c>
      <c r="L672" s="62" t="s">
        <v>24995</v>
      </c>
      <c r="M672" s="62" t="s">
        <v>24995</v>
      </c>
      <c r="N672" s="62" t="s">
        <v>19269</v>
      </c>
      <c r="O672" s="62" t="s">
        <v>4268</v>
      </c>
      <c r="P672" s="42" t="str">
        <f>+IF(O672="","",IFERROR(VLOOKUP(O672,CODIGO_DIAGNOSTICO,2,0),"CÓDIGO NO ENCONTRADO"))</f>
        <v>DERMATITIS ALERGICA DE CONTACTO DEBIDA A DROGAS EN CONTACTO CON LA PIEL</v>
      </c>
      <c r="Q672" s="62" t="s">
        <v>26059</v>
      </c>
      <c r="R672" s="64"/>
      <c r="S672" s="75"/>
      <c r="T672" s="75"/>
      <c r="U672" s="65"/>
      <c r="V672" s="62"/>
      <c r="W672" s="65"/>
      <c r="X672" s="62"/>
      <c r="Y672" s="65"/>
      <c r="Z672" s="73"/>
    </row>
    <row r="673" spans="1:26" ht="15.75" hidden="1" customHeight="1" x14ac:dyDescent="0.25">
      <c r="A673" s="67">
        <v>4</v>
      </c>
      <c r="B673" s="68">
        <v>1128420512</v>
      </c>
      <c r="C673" s="68" t="s">
        <v>24987</v>
      </c>
      <c r="D673" s="68" t="s">
        <v>25661</v>
      </c>
      <c r="E673" s="68" t="s">
        <v>26173</v>
      </c>
      <c r="F673" s="68"/>
      <c r="G673" s="81" t="s">
        <v>19285</v>
      </c>
      <c r="H673" s="69">
        <v>45387</v>
      </c>
      <c r="I673" s="69">
        <v>45388</v>
      </c>
      <c r="J673" s="68">
        <v>2</v>
      </c>
      <c r="K673" s="68">
        <v>2</v>
      </c>
      <c r="L673" s="68" t="s">
        <v>24995</v>
      </c>
      <c r="M673" s="68" t="s">
        <v>24995</v>
      </c>
      <c r="N673" s="62" t="s">
        <v>19269</v>
      </c>
      <c r="O673" s="68" t="s">
        <v>88</v>
      </c>
      <c r="P673" s="42" t="str">
        <f>+IF(O673="","",IFERROR(VLOOKUP(O673,CODIGO_DIAGNOSTICO,2,0),"CÓDIGO NO ENCONTRADO"))</f>
        <v>DIARREA Y GASTROENTERITIS DE PRESUNTO ORIGEN INFECCIOSO</v>
      </c>
      <c r="Q673" s="68" t="s">
        <v>26152</v>
      </c>
      <c r="R673" s="67"/>
      <c r="S673" s="77"/>
      <c r="T673" s="76"/>
      <c r="U673" s="65"/>
      <c r="V673" s="68" t="s">
        <v>26084</v>
      </c>
      <c r="W673" s="70">
        <v>1424646</v>
      </c>
      <c r="X673" s="68"/>
      <c r="Y673" s="70"/>
      <c r="Z673" s="72"/>
    </row>
    <row r="674" spans="1:26" ht="15.75" hidden="1" customHeight="1" x14ac:dyDescent="0.25">
      <c r="A674" s="64">
        <v>4</v>
      </c>
      <c r="B674" s="62">
        <v>71185910</v>
      </c>
      <c r="C674" s="62" t="s">
        <v>26077</v>
      </c>
      <c r="D674" s="62" t="s">
        <v>25443</v>
      </c>
      <c r="E674" s="62" t="s">
        <v>26042</v>
      </c>
      <c r="F674" s="62" t="s">
        <v>25135</v>
      </c>
      <c r="G674" s="81" t="s">
        <v>19285</v>
      </c>
      <c r="H674" s="63">
        <v>45387</v>
      </c>
      <c r="I674" s="63">
        <v>45396</v>
      </c>
      <c r="J674" s="62">
        <v>10</v>
      </c>
      <c r="K674" s="62">
        <v>10</v>
      </c>
      <c r="L674" s="62" t="s">
        <v>19262</v>
      </c>
      <c r="M674" s="62" t="s">
        <v>24995</v>
      </c>
      <c r="N674" s="62" t="s">
        <v>19269</v>
      </c>
      <c r="O674" s="62" t="s">
        <v>7734</v>
      </c>
      <c r="P674" s="42" t="str">
        <f>+IF(O674="","",IFERROR(VLOOKUP(O674,CODIGO_DIAGNOSTICO,2,0),"CÓDIGO NO ENCONTRADO"))</f>
        <v>DESGARRO DE MENISCOS, PRESENTE</v>
      </c>
      <c r="Q674" s="62" t="s">
        <v>19232</v>
      </c>
      <c r="R674" s="64">
        <v>184538253</v>
      </c>
      <c r="S674" s="75">
        <v>45395</v>
      </c>
      <c r="T674" s="75"/>
      <c r="U674" s="65"/>
      <c r="V674" s="62" t="s">
        <v>26084</v>
      </c>
      <c r="W674" s="65">
        <v>1424646</v>
      </c>
      <c r="X674" s="62"/>
      <c r="Y674" s="65"/>
      <c r="Z674" s="73"/>
    </row>
    <row r="675" spans="1:26" ht="15.75" hidden="1" customHeight="1" x14ac:dyDescent="0.25">
      <c r="A675" s="67">
        <v>4</v>
      </c>
      <c r="B675" s="68">
        <v>98711080</v>
      </c>
      <c r="C675" s="68" t="s">
        <v>25219</v>
      </c>
      <c r="D675" s="68" t="s">
        <v>25513</v>
      </c>
      <c r="E675" s="68" t="s">
        <v>25798</v>
      </c>
      <c r="F675" s="68" t="s">
        <v>25119</v>
      </c>
      <c r="G675" s="81" t="s">
        <v>19285</v>
      </c>
      <c r="H675" s="69">
        <v>45387</v>
      </c>
      <c r="I675" s="69">
        <v>45388</v>
      </c>
      <c r="J675" s="68">
        <v>2</v>
      </c>
      <c r="K675" s="68">
        <v>2</v>
      </c>
      <c r="L675" s="68" t="s">
        <v>24995</v>
      </c>
      <c r="M675" s="68" t="s">
        <v>24995</v>
      </c>
      <c r="N675" s="62" t="s">
        <v>19269</v>
      </c>
      <c r="O675" s="68" t="s">
        <v>5226</v>
      </c>
      <c r="P675" s="42" t="str">
        <f>+IF(O675="","",IFERROR(VLOOKUP(O675,CODIGO_DIAGNOSTICO,2,0),"CÓDIGO NO ENCONTRADO"))</f>
        <v>COLICO RENAL, NO ESPECIFICADO</v>
      </c>
      <c r="Q675" s="68" t="s">
        <v>26059</v>
      </c>
      <c r="R675" s="67"/>
      <c r="S675" s="77"/>
      <c r="T675" s="76"/>
      <c r="U675" s="65"/>
      <c r="V675" s="68"/>
      <c r="W675" s="70"/>
      <c r="X675" s="68"/>
      <c r="Y675" s="70"/>
      <c r="Z675" s="72"/>
    </row>
    <row r="676" spans="1:26" ht="15.75" hidden="1" customHeight="1" x14ac:dyDescent="0.25">
      <c r="A676" s="64">
        <v>4</v>
      </c>
      <c r="B676" s="62">
        <v>1007115022</v>
      </c>
      <c r="C676" s="62" t="s">
        <v>25743</v>
      </c>
      <c r="D676" s="62" t="s">
        <v>25161</v>
      </c>
      <c r="E676" s="62" t="s">
        <v>26174</v>
      </c>
      <c r="F676" s="62" t="s">
        <v>26175</v>
      </c>
      <c r="G676" s="81" t="s">
        <v>19285</v>
      </c>
      <c r="H676" s="63">
        <v>45388</v>
      </c>
      <c r="I676" s="63">
        <v>45392</v>
      </c>
      <c r="J676" s="62">
        <v>5</v>
      </c>
      <c r="K676" s="62">
        <v>5</v>
      </c>
      <c r="L676" s="62" t="s">
        <v>24995</v>
      </c>
      <c r="M676" s="62" t="s">
        <v>24995</v>
      </c>
      <c r="N676" s="62" t="s">
        <v>19269</v>
      </c>
      <c r="O676" s="62" t="s">
        <v>7492</v>
      </c>
      <c r="P676" s="42" t="str">
        <f>+IF(O676="","",IFERROR(VLOOKUP(O676,CODIGO_DIAGNOSTICO,2,0),"CÓDIGO NO ENCONTRADO"))</f>
        <v>CONTUSION DEL HOMBRO Y DEL BRAZO</v>
      </c>
      <c r="Q676" s="62" t="s">
        <v>19230</v>
      </c>
      <c r="R676" s="64"/>
      <c r="S676" s="75" t="s">
        <v>25942</v>
      </c>
      <c r="T676" s="75"/>
      <c r="U676" s="65"/>
      <c r="V676" s="62" t="s">
        <v>26083</v>
      </c>
      <c r="W676" s="65">
        <v>1424646</v>
      </c>
      <c r="X676" s="62"/>
      <c r="Y676" s="65"/>
      <c r="Z676" s="73"/>
    </row>
    <row r="677" spans="1:26" ht="15.75" hidden="1" customHeight="1" x14ac:dyDescent="0.25">
      <c r="A677" s="67">
        <v>4</v>
      </c>
      <c r="B677" s="68">
        <v>1036622798</v>
      </c>
      <c r="C677" s="68" t="s">
        <v>25272</v>
      </c>
      <c r="D677" s="68" t="s">
        <v>25993</v>
      </c>
      <c r="E677" s="68" t="s">
        <v>26035</v>
      </c>
      <c r="F677" s="68" t="s">
        <v>25339</v>
      </c>
      <c r="G677" s="81" t="s">
        <v>19285</v>
      </c>
      <c r="H677" s="69">
        <v>45389</v>
      </c>
      <c r="I677" s="69">
        <v>45417</v>
      </c>
      <c r="J677" s="68">
        <v>29</v>
      </c>
      <c r="K677" s="68">
        <v>29</v>
      </c>
      <c r="L677" s="68" t="s">
        <v>24995</v>
      </c>
      <c r="M677" s="68" t="s">
        <v>24995</v>
      </c>
      <c r="N677" s="62" t="s">
        <v>19269</v>
      </c>
      <c r="O677" s="68" t="s">
        <v>4711</v>
      </c>
      <c r="P677" s="42" t="str">
        <f>+IF(O677="","",IFERROR(VLOOKUP(O677,CODIGO_DIAGNOSTICO,2,0),"CÓDIGO NO ENCONTRADO"))</f>
        <v>DOLOR EN ARTICULACION</v>
      </c>
      <c r="Q677" s="68" t="s">
        <v>19230</v>
      </c>
      <c r="R677" s="67">
        <v>9219471</v>
      </c>
      <c r="S677" s="77">
        <v>45392</v>
      </c>
      <c r="T677" s="76"/>
      <c r="U677" s="65"/>
      <c r="V677" s="68" t="s">
        <v>26084</v>
      </c>
      <c r="W677" s="70" t="s">
        <v>26151</v>
      </c>
      <c r="X677" s="68"/>
      <c r="Y677" s="70"/>
      <c r="Z677" s="72"/>
    </row>
    <row r="678" spans="1:26" ht="15.75" hidden="1" customHeight="1" x14ac:dyDescent="0.25">
      <c r="A678" s="64">
        <v>4</v>
      </c>
      <c r="B678" s="62">
        <v>15309929</v>
      </c>
      <c r="C678" s="62" t="s">
        <v>25047</v>
      </c>
      <c r="D678" s="62" t="s">
        <v>25012</v>
      </c>
      <c r="E678" s="62" t="s">
        <v>25048</v>
      </c>
      <c r="F678" s="62" t="s">
        <v>25014</v>
      </c>
      <c r="G678" s="81" t="s">
        <v>19285</v>
      </c>
      <c r="H678" s="63">
        <v>45390</v>
      </c>
      <c r="I678" s="63">
        <v>45404</v>
      </c>
      <c r="J678" s="62">
        <v>15</v>
      </c>
      <c r="K678" s="62">
        <v>15</v>
      </c>
      <c r="L678" s="62" t="s">
        <v>19262</v>
      </c>
      <c r="M678" s="62" t="s">
        <v>24995</v>
      </c>
      <c r="N678" s="62" t="s">
        <v>19269</v>
      </c>
      <c r="O678" s="62" t="s">
        <v>7734</v>
      </c>
      <c r="P678" s="42" t="str">
        <f>+IF(O678="","",IFERROR(VLOOKUP(O678,CODIGO_DIAGNOSTICO,2,0),"CÓDIGO NO ENCONTRADO"))</f>
        <v>DESGARRO DE MENISCOS, PRESENTE</v>
      </c>
      <c r="Q678" s="62" t="s">
        <v>19230</v>
      </c>
      <c r="R678" s="64">
        <v>9219452</v>
      </c>
      <c r="S678" s="75">
        <v>45392</v>
      </c>
      <c r="T678" s="75"/>
      <c r="U678" s="65"/>
      <c r="V678" s="62" t="s">
        <v>26084</v>
      </c>
      <c r="W678" s="65">
        <v>1424646</v>
      </c>
      <c r="X678" s="62"/>
      <c r="Y678" s="65"/>
      <c r="Z678" s="73"/>
    </row>
    <row r="679" spans="1:26" ht="15.75" hidden="1" customHeight="1" x14ac:dyDescent="0.25">
      <c r="A679" s="67">
        <v>4</v>
      </c>
      <c r="B679" s="68">
        <v>71382103</v>
      </c>
      <c r="C679" s="68" t="s">
        <v>25274</v>
      </c>
      <c r="D679" s="68" t="s">
        <v>25968</v>
      </c>
      <c r="E679" s="68" t="s">
        <v>25198</v>
      </c>
      <c r="F679" s="68" t="s">
        <v>25276</v>
      </c>
      <c r="G679" s="81" t="s">
        <v>19285</v>
      </c>
      <c r="H679" s="69">
        <v>45390</v>
      </c>
      <c r="I679" s="69">
        <v>45391</v>
      </c>
      <c r="J679" s="68">
        <v>2</v>
      </c>
      <c r="K679" s="68">
        <v>2</v>
      </c>
      <c r="L679" s="68" t="s">
        <v>24995</v>
      </c>
      <c r="M679" s="68" t="s">
        <v>24995</v>
      </c>
      <c r="N679" s="62" t="s">
        <v>19269</v>
      </c>
      <c r="O679" s="68" t="s">
        <v>4650</v>
      </c>
      <c r="P679" s="42" t="str">
        <f>+IF(O679="","",IFERROR(VLOOKUP(O679,CODIGO_DIAGNOSTICO,2,0),"CÓDIGO NO ENCONTRADO"))</f>
        <v>GONARTROSIS, NO ESPECIFICADA</v>
      </c>
      <c r="Q679" s="68" t="s">
        <v>26059</v>
      </c>
      <c r="R679" s="67"/>
      <c r="S679" s="77"/>
      <c r="T679" s="76"/>
      <c r="U679" s="65"/>
      <c r="V679" s="68"/>
      <c r="W679" s="70"/>
      <c r="X679" s="68"/>
      <c r="Y679" s="70"/>
      <c r="Z679" s="72"/>
    </row>
    <row r="680" spans="1:26" ht="15.75" hidden="1" customHeight="1" x14ac:dyDescent="0.25">
      <c r="A680" s="64">
        <v>4</v>
      </c>
      <c r="B680" s="62">
        <v>70252687</v>
      </c>
      <c r="C680" s="62" t="s">
        <v>25178</v>
      </c>
      <c r="D680" s="62" t="s">
        <v>25248</v>
      </c>
      <c r="E680" s="62" t="s">
        <v>25359</v>
      </c>
      <c r="F680" s="62" t="s">
        <v>25020</v>
      </c>
      <c r="G680" s="81" t="s">
        <v>19285</v>
      </c>
      <c r="H680" s="63">
        <v>45391</v>
      </c>
      <c r="I680" s="63">
        <v>45420</v>
      </c>
      <c r="J680" s="62">
        <v>30</v>
      </c>
      <c r="K680" s="62">
        <v>30</v>
      </c>
      <c r="L680" s="62" t="s">
        <v>19262</v>
      </c>
      <c r="M680" s="62" t="s">
        <v>19262</v>
      </c>
      <c r="N680" s="62" t="s">
        <v>19269</v>
      </c>
      <c r="O680" s="62" t="s">
        <v>905</v>
      </c>
      <c r="P680" s="42" t="str">
        <f>+IF(O680="","",IFERROR(VLOOKUP(O680,CODIGO_DIAGNOSTICO,2,0),"CÓDIGO NO ENCONTRADO"))</f>
        <v>TUMOR MALIGNO DEL RECTO</v>
      </c>
      <c r="Q680" s="62" t="s">
        <v>19230</v>
      </c>
      <c r="R680" s="64">
        <v>9241303</v>
      </c>
      <c r="S680" s="75">
        <v>45398</v>
      </c>
      <c r="T680" s="75"/>
      <c r="U680" s="65"/>
      <c r="V680" s="62" t="s">
        <v>26084</v>
      </c>
      <c r="W680" s="65"/>
      <c r="X680" s="62"/>
      <c r="Y680" s="65"/>
      <c r="Z680" s="73"/>
    </row>
    <row r="681" spans="1:26" ht="15.75" hidden="1" customHeight="1" x14ac:dyDescent="0.25">
      <c r="A681" s="67">
        <v>4</v>
      </c>
      <c r="B681" s="68">
        <v>5632471</v>
      </c>
      <c r="C681" s="68" t="s">
        <v>25986</v>
      </c>
      <c r="D681" s="68" t="s">
        <v>25987</v>
      </c>
      <c r="E681" s="68" t="s">
        <v>25091</v>
      </c>
      <c r="F681" s="68" t="s">
        <v>25256</v>
      </c>
      <c r="G681" s="81" t="s">
        <v>19285</v>
      </c>
      <c r="H681" s="69">
        <v>45392</v>
      </c>
      <c r="I681" s="69">
        <v>45421</v>
      </c>
      <c r="J681" s="68">
        <v>30</v>
      </c>
      <c r="K681" s="68">
        <v>30</v>
      </c>
      <c r="L681" s="68" t="s">
        <v>19262</v>
      </c>
      <c r="M681" s="68" t="s">
        <v>24995</v>
      </c>
      <c r="N681" s="62" t="s">
        <v>19269</v>
      </c>
      <c r="O681" s="68" t="s">
        <v>7500</v>
      </c>
      <c r="P681" s="42" t="str">
        <f>+IF(O681="","",IFERROR(VLOOKUP(O681,CODIGO_DIAGNOSTICO,2,0),"CÓDIGO NO ENCONTRADO"))</f>
        <v>FRACTURA DE LA CLAVICULA</v>
      </c>
      <c r="Q681" s="68" t="s">
        <v>19230</v>
      </c>
      <c r="R681" s="67"/>
      <c r="S681" s="77">
        <v>45392</v>
      </c>
      <c r="T681" s="76"/>
      <c r="U681" s="65"/>
      <c r="V681" s="68" t="s">
        <v>26084</v>
      </c>
      <c r="W681" s="70" t="s">
        <v>26151</v>
      </c>
      <c r="X681" s="68"/>
      <c r="Y681" s="70"/>
      <c r="Z681" s="72"/>
    </row>
    <row r="682" spans="1:26" ht="15.75" hidden="1" customHeight="1" x14ac:dyDescent="0.25">
      <c r="A682" s="64">
        <v>4</v>
      </c>
      <c r="B682" s="62">
        <v>71382103</v>
      </c>
      <c r="C682" s="62" t="s">
        <v>25274</v>
      </c>
      <c r="D682" s="62" t="s">
        <v>25968</v>
      </c>
      <c r="E682" s="62" t="s">
        <v>25198</v>
      </c>
      <c r="F682" s="62" t="s">
        <v>25276</v>
      </c>
      <c r="G682" s="81" t="s">
        <v>19285</v>
      </c>
      <c r="H682" s="63">
        <v>45392</v>
      </c>
      <c r="I682" s="63">
        <v>45396</v>
      </c>
      <c r="J682" s="62">
        <v>5</v>
      </c>
      <c r="K682" s="62">
        <v>5</v>
      </c>
      <c r="L682" s="62" t="s">
        <v>19262</v>
      </c>
      <c r="M682" s="62" t="s">
        <v>24995</v>
      </c>
      <c r="N682" s="62" t="s">
        <v>19269</v>
      </c>
      <c r="O682" s="62" t="s">
        <v>4649</v>
      </c>
      <c r="P682" s="42" t="str">
        <f>+IF(O682="","",IFERROR(VLOOKUP(O682,CODIGO_DIAGNOSTICO,2,0),"CÓDIGO NO ENCONTRADO"))</f>
        <v>OTRAS GONARTROSIS SECUNDARIAS</v>
      </c>
      <c r="Q682" s="62" t="s">
        <v>26059</v>
      </c>
      <c r="R682" s="64"/>
      <c r="S682" s="75"/>
      <c r="T682" s="75"/>
      <c r="U682" s="65"/>
      <c r="V682" s="62"/>
      <c r="W682" s="65"/>
      <c r="X682" s="62"/>
      <c r="Y682" s="65"/>
      <c r="Z682" s="73"/>
    </row>
    <row r="683" spans="1:26" ht="15.75" hidden="1" customHeight="1" x14ac:dyDescent="0.25">
      <c r="A683" s="67">
        <v>4</v>
      </c>
      <c r="B683" s="68">
        <v>1037323518</v>
      </c>
      <c r="C683" s="68" t="s">
        <v>25862</v>
      </c>
      <c r="D683" s="68" t="s">
        <v>25424</v>
      </c>
      <c r="E683" s="68" t="s">
        <v>24988</v>
      </c>
      <c r="F683" s="68" t="s">
        <v>25103</v>
      </c>
      <c r="G683" s="81" t="s">
        <v>19285</v>
      </c>
      <c r="H683" s="69">
        <v>45392</v>
      </c>
      <c r="I683" s="69">
        <v>45398</v>
      </c>
      <c r="J683" s="68">
        <v>7</v>
      </c>
      <c r="K683" s="68">
        <v>7</v>
      </c>
      <c r="L683" s="68" t="s">
        <v>24995</v>
      </c>
      <c r="M683" s="68" t="s">
        <v>24995</v>
      </c>
      <c r="N683" s="62" t="s">
        <v>19269</v>
      </c>
      <c r="O683" s="68" t="s">
        <v>7769</v>
      </c>
      <c r="P683" s="42" t="str">
        <f>+IF(O683="","",IFERROR(VLOOKUP(O683,CODIGO_DIAGNOSTICO,2,0),"CÓDIGO NO ENCONTRADO"))</f>
        <v>TRAUMATISMO DE LA PIERNA, NO ESPECIFICADO</v>
      </c>
      <c r="Q683" s="68" t="s">
        <v>25025</v>
      </c>
      <c r="R683" s="67"/>
      <c r="S683" s="77"/>
      <c r="T683" s="76"/>
      <c r="U683" s="65"/>
      <c r="V683" s="68"/>
      <c r="W683" s="70"/>
      <c r="X683" s="68"/>
      <c r="Y683" s="70"/>
      <c r="Z683" s="72"/>
    </row>
    <row r="684" spans="1:26" ht="15.75" hidden="1" customHeight="1" x14ac:dyDescent="0.25">
      <c r="A684" s="64">
        <v>4</v>
      </c>
      <c r="B684" s="62">
        <v>1128467712</v>
      </c>
      <c r="C684" s="62" t="s">
        <v>25534</v>
      </c>
      <c r="D684" s="62" t="s">
        <v>19258</v>
      </c>
      <c r="E684" s="62" t="s">
        <v>25879</v>
      </c>
      <c r="F684" s="62" t="s">
        <v>25880</v>
      </c>
      <c r="G684" s="81" t="s">
        <v>26166</v>
      </c>
      <c r="H684" s="63">
        <v>45393</v>
      </c>
      <c r="I684" s="63">
        <v>45394</v>
      </c>
      <c r="J684" s="62">
        <v>2</v>
      </c>
      <c r="K684" s="62">
        <v>2</v>
      </c>
      <c r="L684" s="62" t="s">
        <v>24995</v>
      </c>
      <c r="M684" s="62" t="s">
        <v>24995</v>
      </c>
      <c r="N684" s="62" t="s">
        <v>19269</v>
      </c>
      <c r="O684" s="62" t="s">
        <v>3697</v>
      </c>
      <c r="P684" s="42" t="str">
        <f>+IF(O684="","",IFERROR(VLOOKUP(O684,CODIGO_DIAGNOSTICO,2,0),"CÓDIGO NO ENCONTRADO"))</f>
        <v>ASMA, NO ESPECIFICADA</v>
      </c>
      <c r="Q684" s="62" t="s">
        <v>19230</v>
      </c>
      <c r="R684" s="64"/>
      <c r="S684" s="75"/>
      <c r="T684" s="75"/>
      <c r="U684" s="65"/>
      <c r="V684" s="62"/>
      <c r="W684" s="65"/>
      <c r="X684" s="62"/>
      <c r="Y684" s="65"/>
      <c r="Z684" s="73"/>
    </row>
    <row r="685" spans="1:26" ht="15.75" hidden="1" customHeight="1" x14ac:dyDescent="0.25">
      <c r="A685" s="67">
        <v>4</v>
      </c>
      <c r="B685" s="68">
        <v>1041148813</v>
      </c>
      <c r="C685" s="68" t="s">
        <v>26183</v>
      </c>
      <c r="D685" s="68" t="s">
        <v>25149</v>
      </c>
      <c r="E685" s="68" t="s">
        <v>26184</v>
      </c>
      <c r="F685" s="68" t="s">
        <v>25066</v>
      </c>
      <c r="G685" s="81" t="s">
        <v>19285</v>
      </c>
      <c r="H685" s="69">
        <v>45394</v>
      </c>
      <c r="I685" s="69">
        <v>45395</v>
      </c>
      <c r="J685" s="68">
        <v>2</v>
      </c>
      <c r="K685" s="68">
        <v>2</v>
      </c>
      <c r="L685" s="68" t="s">
        <v>24995</v>
      </c>
      <c r="M685" s="68" t="s">
        <v>24995</v>
      </c>
      <c r="N685" s="62" t="s">
        <v>19269</v>
      </c>
      <c r="O685" s="68" t="s">
        <v>4233</v>
      </c>
      <c r="P685" s="42" t="str">
        <f>+IF(O685="","",IFERROR(VLOOKUP(O685,CODIGO_DIAGNOSTICO,2,0),"CÓDIGO NO ENCONTRADO"))</f>
        <v>INFECCION LOCAL DE LA PIEL Y DEL TEJIDO SUBCUTANEO, NO ESPECIFICADA</v>
      </c>
      <c r="Q685" s="68" t="s">
        <v>26059</v>
      </c>
      <c r="R685" s="67"/>
      <c r="S685" s="77"/>
      <c r="T685" s="76"/>
      <c r="U685" s="65"/>
      <c r="V685" s="68"/>
      <c r="W685" s="70"/>
      <c r="X685" s="68"/>
      <c r="Y685" s="70"/>
      <c r="Z685" s="72"/>
    </row>
    <row r="686" spans="1:26" ht="15.75" hidden="1" customHeight="1" x14ac:dyDescent="0.25">
      <c r="A686" s="64">
        <v>4</v>
      </c>
      <c r="B686" s="62">
        <v>70323164</v>
      </c>
      <c r="C686" s="62" t="s">
        <v>24992</v>
      </c>
      <c r="D686" s="62" t="s">
        <v>24985</v>
      </c>
      <c r="E686" s="62" t="s">
        <v>25091</v>
      </c>
      <c r="F686" s="62" t="s">
        <v>25997</v>
      </c>
      <c r="G686" s="81" t="s">
        <v>19285</v>
      </c>
      <c r="H686" s="63">
        <v>45395</v>
      </c>
      <c r="I686" s="63">
        <v>45403</v>
      </c>
      <c r="J686" s="62">
        <v>9</v>
      </c>
      <c r="K686" s="62">
        <v>9</v>
      </c>
      <c r="L686" s="62" t="s">
        <v>19262</v>
      </c>
      <c r="M686" s="62" t="s">
        <v>24995</v>
      </c>
      <c r="N686" s="62" t="s">
        <v>19269</v>
      </c>
      <c r="O686" s="62" t="s">
        <v>3693</v>
      </c>
      <c r="P686" s="42" t="str">
        <f>+IF(O686="","",IFERROR(VLOOKUP(O686,CODIGO_DIAGNOSTICO,2,0),"CÓDIGO NO ENCONTRADO"))</f>
        <v>ENFERMEDAD PULMONAR OBSTRUCTIVA CRONICA, NO ESPECIFICADA</v>
      </c>
      <c r="Q686" s="62" t="s">
        <v>19230</v>
      </c>
      <c r="R686" s="64"/>
      <c r="S686" s="75">
        <v>45395</v>
      </c>
      <c r="T686" s="75"/>
      <c r="U686" s="65"/>
      <c r="V686" s="62" t="s">
        <v>26084</v>
      </c>
      <c r="W686" s="65">
        <v>1424646</v>
      </c>
      <c r="X686" s="62"/>
      <c r="Y686" s="65"/>
      <c r="Z686" s="73"/>
    </row>
    <row r="687" spans="1:26" ht="15.75" hidden="1" customHeight="1" x14ac:dyDescent="0.25">
      <c r="A687" s="67">
        <v>4</v>
      </c>
      <c r="B687" s="68">
        <v>98700897</v>
      </c>
      <c r="C687" s="68" t="s">
        <v>25326</v>
      </c>
      <c r="D687" s="68" t="s">
        <v>25462</v>
      </c>
      <c r="E687" s="68" t="s">
        <v>6</v>
      </c>
      <c r="F687" s="68" t="s">
        <v>25878</v>
      </c>
      <c r="G687" s="81" t="s">
        <v>19285</v>
      </c>
      <c r="H687" s="69">
        <v>45395</v>
      </c>
      <c r="I687" s="69">
        <v>45404</v>
      </c>
      <c r="J687" s="68">
        <v>10</v>
      </c>
      <c r="K687" s="68">
        <v>10</v>
      </c>
      <c r="L687" s="68" t="s">
        <v>24995</v>
      </c>
      <c r="M687" s="68" t="s">
        <v>24995</v>
      </c>
      <c r="N687" s="62" t="s">
        <v>19269</v>
      </c>
      <c r="O687" s="68" t="s">
        <v>5217</v>
      </c>
      <c r="P687" s="42" t="str">
        <f>+IF(O687="","",IFERROR(VLOOKUP(O687,CODIGO_DIAGNOSTICO,2,0),"CÓDIGO NO ENCONTRADO"))</f>
        <v>CALCULO DEL URETER</v>
      </c>
      <c r="Q687" s="68" t="s">
        <v>19230</v>
      </c>
      <c r="R687" s="67"/>
      <c r="S687" s="77">
        <v>45398</v>
      </c>
      <c r="T687" s="76"/>
      <c r="U687" s="65"/>
      <c r="V687" s="68" t="s">
        <v>26084</v>
      </c>
      <c r="W687" s="70"/>
      <c r="X687" s="68"/>
      <c r="Y687" s="70"/>
      <c r="Z687" s="72"/>
    </row>
    <row r="688" spans="1:26" ht="15.75" hidden="1" customHeight="1" x14ac:dyDescent="0.25">
      <c r="A688" s="64">
        <v>4</v>
      </c>
      <c r="B688" s="62">
        <v>71365601</v>
      </c>
      <c r="C688" s="62" t="s">
        <v>26176</v>
      </c>
      <c r="D688" s="62" t="s">
        <v>25373</v>
      </c>
      <c r="E688" s="62" t="s">
        <v>26177</v>
      </c>
      <c r="F688" s="62" t="s">
        <v>25177</v>
      </c>
      <c r="G688" s="81" t="s">
        <v>19285</v>
      </c>
      <c r="H688" s="63">
        <v>45396</v>
      </c>
      <c r="I688" s="63">
        <v>45402</v>
      </c>
      <c r="J688" s="62">
        <v>7</v>
      </c>
      <c r="K688" s="62">
        <v>7</v>
      </c>
      <c r="L688" s="62" t="s">
        <v>24995</v>
      </c>
      <c r="M688" s="62" t="s">
        <v>24995</v>
      </c>
      <c r="N688" s="62" t="s">
        <v>19269</v>
      </c>
      <c r="O688" s="62" t="s">
        <v>5279</v>
      </c>
      <c r="P688" s="42" t="str">
        <f>+IF(O688="","",IFERROR(VLOOKUP(O688,CODIGO_DIAGNOSTICO,2,0),"CÓDIGO NO ENCONTRADO"))</f>
        <v>INFECCION DE VIAS URINARIAS, SITIO NO ESPECIFICADO</v>
      </c>
      <c r="Q688" s="62" t="s">
        <v>19230</v>
      </c>
      <c r="R688" s="64">
        <v>9241339</v>
      </c>
      <c r="S688" s="75">
        <v>45398</v>
      </c>
      <c r="T688" s="75"/>
      <c r="U688" s="65"/>
      <c r="V688" s="62" t="s">
        <v>26084</v>
      </c>
      <c r="W688" s="65"/>
      <c r="X688" s="62"/>
      <c r="Y688" s="65"/>
      <c r="Z688" s="73"/>
    </row>
    <row r="689" spans="1:26" ht="15.75" hidden="1" customHeight="1" x14ac:dyDescent="0.25">
      <c r="A689" s="67">
        <v>4</v>
      </c>
      <c r="B689" s="68">
        <v>71382103</v>
      </c>
      <c r="C689" s="68" t="s">
        <v>25274</v>
      </c>
      <c r="D689" s="68" t="s">
        <v>25968</v>
      </c>
      <c r="E689" s="68" t="s">
        <v>25116</v>
      </c>
      <c r="F689" s="68" t="s">
        <v>26027</v>
      </c>
      <c r="G689" s="81" t="s">
        <v>19285</v>
      </c>
      <c r="H689" s="69">
        <v>45397</v>
      </c>
      <c r="I689" s="69">
        <v>45401</v>
      </c>
      <c r="J689" s="68">
        <v>5</v>
      </c>
      <c r="K689" s="68">
        <v>5</v>
      </c>
      <c r="L689" s="68" t="s">
        <v>19262</v>
      </c>
      <c r="M689" s="68" t="s">
        <v>24995</v>
      </c>
      <c r="N689" s="62" t="s">
        <v>19269</v>
      </c>
      <c r="O689" s="68" t="s">
        <v>4644</v>
      </c>
      <c r="P689" s="42" t="str">
        <f>+IF(O689="","",IFERROR(VLOOKUP(O689,CODIGO_DIAGNOSTICO,2,0),"CÓDIGO NO ENCONTRADO"))</f>
        <v>GONARTROSIS PRIMARIA, BILATERAL</v>
      </c>
      <c r="Q689" s="68" t="s">
        <v>26059</v>
      </c>
      <c r="R689" s="67"/>
      <c r="S689" s="77"/>
      <c r="T689" s="76"/>
      <c r="U689" s="65"/>
      <c r="V689" s="68"/>
      <c r="W689" s="70"/>
      <c r="X689" s="68"/>
      <c r="Y689" s="70"/>
      <c r="Z689" s="72"/>
    </row>
    <row r="690" spans="1:26" ht="15.75" hidden="1" customHeight="1" x14ac:dyDescent="0.25">
      <c r="A690" s="64">
        <v>4</v>
      </c>
      <c r="B690" s="62">
        <v>71612312</v>
      </c>
      <c r="C690" s="62" t="s">
        <v>25812</v>
      </c>
      <c r="D690" s="62" t="s">
        <v>25813</v>
      </c>
      <c r="E690" s="62" t="s">
        <v>25359</v>
      </c>
      <c r="F690" s="62" t="s">
        <v>25548</v>
      </c>
      <c r="G690" s="81" t="s">
        <v>19285</v>
      </c>
      <c r="H690" s="63">
        <v>45397</v>
      </c>
      <c r="I690" s="63">
        <v>45426</v>
      </c>
      <c r="J690" s="62">
        <v>30</v>
      </c>
      <c r="K690" s="62">
        <v>30</v>
      </c>
      <c r="L690" s="62" t="s">
        <v>24995</v>
      </c>
      <c r="M690" s="62" t="s">
        <v>19262</v>
      </c>
      <c r="N690" s="62" t="s">
        <v>19269</v>
      </c>
      <c r="O690" s="62" t="s">
        <v>7473</v>
      </c>
      <c r="P690" s="42" t="str">
        <f>+IF(O690="","",IFERROR(VLOOKUP(O690,CODIGO_DIAGNOSTICO,2,0),"CÓDIGO NO ENCONTRADO"))</f>
        <v>TRAUMATISMO DEL RIÑON</v>
      </c>
      <c r="Q690" s="62" t="s">
        <v>26059</v>
      </c>
      <c r="R690" s="64"/>
      <c r="S690" s="75"/>
      <c r="T690" s="75"/>
      <c r="U690" s="65"/>
      <c r="V690" s="62"/>
      <c r="W690" s="65"/>
      <c r="X690" s="62"/>
      <c r="Y690" s="65"/>
      <c r="Z690" s="73"/>
    </row>
    <row r="691" spans="1:26" ht="15.75" hidden="1" customHeight="1" x14ac:dyDescent="0.25">
      <c r="A691" s="67">
        <v>4</v>
      </c>
      <c r="B691" s="68">
        <v>71651935</v>
      </c>
      <c r="C691" s="68" t="s">
        <v>25635</v>
      </c>
      <c r="D691" s="68" t="s">
        <v>25480</v>
      </c>
      <c r="E691" s="68" t="s">
        <v>25282</v>
      </c>
      <c r="F691" s="68" t="s">
        <v>25028</v>
      </c>
      <c r="G691" s="81" t="s">
        <v>19285</v>
      </c>
      <c r="H691" s="69">
        <v>45397</v>
      </c>
      <c r="I691" s="69">
        <v>45426</v>
      </c>
      <c r="J691" s="68">
        <v>30</v>
      </c>
      <c r="K691" s="68">
        <v>30</v>
      </c>
      <c r="L691" s="68" t="s">
        <v>19262</v>
      </c>
      <c r="M691" s="68" t="s">
        <v>19262</v>
      </c>
      <c r="N691" s="62" t="s">
        <v>19269</v>
      </c>
      <c r="O691" s="68" t="s">
        <v>905</v>
      </c>
      <c r="P691" s="42" t="str">
        <f>+IF(O691="","",IFERROR(VLOOKUP(O691,CODIGO_DIAGNOSTICO,2,0),"CÓDIGO NO ENCONTRADO"))</f>
        <v>TUMOR MALIGNO DEL RECTO</v>
      </c>
      <c r="Q691" s="68" t="s">
        <v>24996</v>
      </c>
      <c r="R691" s="67"/>
      <c r="S691" s="77"/>
      <c r="T691" s="76"/>
      <c r="U691" s="65"/>
      <c r="V691" s="68"/>
      <c r="W691" s="70"/>
      <c r="X691" s="68"/>
      <c r="Y691" s="70"/>
      <c r="Z691" s="72"/>
    </row>
    <row r="692" spans="1:26" ht="15.75" hidden="1" customHeight="1" x14ac:dyDescent="0.25">
      <c r="A692" s="64">
        <v>4</v>
      </c>
      <c r="B692" s="62">
        <v>71185910</v>
      </c>
      <c r="C692" s="62" t="s">
        <v>26041</v>
      </c>
      <c r="D692" s="62" t="s">
        <v>25513</v>
      </c>
      <c r="E692" s="62" t="s">
        <v>26042</v>
      </c>
      <c r="F692" s="62" t="s">
        <v>25135</v>
      </c>
      <c r="G692" s="81" t="s">
        <v>19285</v>
      </c>
      <c r="H692" s="63">
        <v>45398</v>
      </c>
      <c r="I692" s="63">
        <v>45407</v>
      </c>
      <c r="J692" s="62">
        <v>10</v>
      </c>
      <c r="K692" s="62">
        <v>10</v>
      </c>
      <c r="L692" s="62" t="s">
        <v>19262</v>
      </c>
      <c r="M692" s="62" t="s">
        <v>19262</v>
      </c>
      <c r="N692" s="62" t="s">
        <v>19269</v>
      </c>
      <c r="O692" s="62" t="s">
        <v>7734</v>
      </c>
      <c r="P692" s="42" t="str">
        <f>+IF(O692="","",IFERROR(VLOOKUP(O692,CODIGO_DIAGNOSTICO,2,0),"CÓDIGO NO ENCONTRADO"))</f>
        <v>DESGARRO DE MENISCOS, PRESENTE</v>
      </c>
      <c r="Q692" s="62" t="s">
        <v>24996</v>
      </c>
      <c r="R692" s="64"/>
      <c r="S692" s="75"/>
      <c r="T692" s="75"/>
      <c r="U692" s="65"/>
      <c r="V692" s="62"/>
      <c r="W692" s="65"/>
      <c r="X692" s="62"/>
      <c r="Y692" s="65"/>
      <c r="Z692" s="73"/>
    </row>
    <row r="693" spans="1:26" ht="15.75" hidden="1" customHeight="1" x14ac:dyDescent="0.25">
      <c r="A693" s="67">
        <v>4</v>
      </c>
      <c r="B693" s="68">
        <v>1037073208</v>
      </c>
      <c r="C693" s="68" t="s">
        <v>25094</v>
      </c>
      <c r="D693" s="68" t="s">
        <v>25687</v>
      </c>
      <c r="E693" s="68" t="s">
        <v>25884</v>
      </c>
      <c r="F693" s="68" t="s">
        <v>25885</v>
      </c>
      <c r="G693" s="81" t="s">
        <v>19285</v>
      </c>
      <c r="H693" s="69">
        <v>45398</v>
      </c>
      <c r="I693" s="69">
        <v>45398</v>
      </c>
      <c r="J693" s="68">
        <v>1</v>
      </c>
      <c r="K693" s="68">
        <v>1</v>
      </c>
      <c r="L693" s="68" t="s">
        <v>24995</v>
      </c>
      <c r="M693" s="68" t="s">
        <v>24995</v>
      </c>
      <c r="N693" s="62" t="s">
        <v>19269</v>
      </c>
      <c r="O693" s="68" t="s">
        <v>2588</v>
      </c>
      <c r="P693" s="42" t="str">
        <f>+IF(O693="","",IFERROR(VLOOKUP(O693,CODIGO_DIAGNOSTICO,2,0),"CÓDIGO NO ENCONTRADO"))</f>
        <v>MIGRAÑA SIN AURA [MIGRAÑA COMUN]</v>
      </c>
      <c r="Q693" s="68" t="s">
        <v>19231</v>
      </c>
      <c r="R693" s="67"/>
      <c r="S693" s="77"/>
      <c r="T693" s="76"/>
      <c r="U693" s="65"/>
      <c r="V693" s="68"/>
      <c r="W693" s="70"/>
      <c r="X693" s="68"/>
      <c r="Y693" s="70"/>
      <c r="Z693" s="72"/>
    </row>
    <row r="694" spans="1:26" ht="15.75" hidden="1" customHeight="1" x14ac:dyDescent="0.25">
      <c r="A694" s="64">
        <v>4</v>
      </c>
      <c r="B694" s="62">
        <v>71383505</v>
      </c>
      <c r="C694" s="62" t="s">
        <v>25043</v>
      </c>
      <c r="D694" s="62" t="s">
        <v>25410</v>
      </c>
      <c r="E694" s="62" t="s">
        <v>25807</v>
      </c>
      <c r="F694" s="62" t="s">
        <v>25066</v>
      </c>
      <c r="G694" s="81" t="s">
        <v>19285</v>
      </c>
      <c r="H694" s="63">
        <v>45398</v>
      </c>
      <c r="I694" s="63">
        <v>45399</v>
      </c>
      <c r="J694" s="62">
        <v>2</v>
      </c>
      <c r="K694" s="62">
        <v>2</v>
      </c>
      <c r="L694" s="62" t="s">
        <v>24995</v>
      </c>
      <c r="M694" s="62" t="s">
        <v>24995</v>
      </c>
      <c r="N694" s="62" t="s">
        <v>19269</v>
      </c>
      <c r="O694" s="62" t="s">
        <v>85</v>
      </c>
      <c r="P694" s="42" t="str">
        <f>+IF(O694="","",IFERROR(VLOOKUP(O694,CODIGO_DIAGNOSTICO,2,0),"CÓDIGO NO ENCONTRADO"))</f>
        <v>OTRAS ENTERITIS VIRALES</v>
      </c>
      <c r="Q694" s="62" t="s">
        <v>26059</v>
      </c>
      <c r="R694" s="64"/>
      <c r="S694" s="75"/>
      <c r="T694" s="75"/>
      <c r="U694" s="65"/>
      <c r="V694" s="62"/>
      <c r="W694" s="65"/>
      <c r="X694" s="62"/>
      <c r="Y694" s="65"/>
      <c r="Z694" s="73"/>
    </row>
    <row r="695" spans="1:26" ht="15.75" hidden="1" customHeight="1" x14ac:dyDescent="0.25">
      <c r="A695" s="67">
        <v>4</v>
      </c>
      <c r="B695" s="68">
        <v>98601485</v>
      </c>
      <c r="C695" s="68" t="s">
        <v>25240</v>
      </c>
      <c r="D695" s="68"/>
      <c r="E695" s="68" t="s">
        <v>25613</v>
      </c>
      <c r="F695" s="68" t="s">
        <v>25103</v>
      </c>
      <c r="G695" s="81" t="s">
        <v>26178</v>
      </c>
      <c r="H695" s="69">
        <v>45399</v>
      </c>
      <c r="I695" s="69">
        <v>45413</v>
      </c>
      <c r="J695" s="68">
        <v>15</v>
      </c>
      <c r="K695" s="68">
        <v>15</v>
      </c>
      <c r="L695" s="68" t="s">
        <v>19262</v>
      </c>
      <c r="M695" s="68" t="s">
        <v>24995</v>
      </c>
      <c r="N695" s="62" t="s">
        <v>19269</v>
      </c>
      <c r="O695" s="68" t="s">
        <v>8415</v>
      </c>
      <c r="P695" s="42" t="str">
        <f>+IF(O695="","",IFERROR(VLOOKUP(O695,CODIGO_DIAGNOSTICO,2,0),"CÓDIGO NO ENCONTRADO"))</f>
        <v>COMPLICACION MECANICA DE PROTESIS ARTICULAR INTERNA</v>
      </c>
      <c r="Q695" s="68" t="s">
        <v>19230</v>
      </c>
      <c r="R695" s="67">
        <v>9241292</v>
      </c>
      <c r="S695" s="77">
        <v>45398</v>
      </c>
      <c r="T695" s="76"/>
      <c r="U695" s="65"/>
      <c r="V695" s="68" t="s">
        <v>26084</v>
      </c>
      <c r="W695" s="70"/>
      <c r="X695" s="68"/>
      <c r="Y695" s="70"/>
      <c r="Z695" s="72"/>
    </row>
    <row r="696" spans="1:26" ht="15.75" hidden="1" customHeight="1" x14ac:dyDescent="0.25">
      <c r="A696" s="64">
        <v>4</v>
      </c>
      <c r="B696" s="62">
        <v>98711080</v>
      </c>
      <c r="C696" s="62" t="s">
        <v>25523</v>
      </c>
      <c r="D696" s="62" t="s">
        <v>25443</v>
      </c>
      <c r="E696" s="62" t="s">
        <v>25798</v>
      </c>
      <c r="F696" s="62" t="s">
        <v>25119</v>
      </c>
      <c r="G696" s="81" t="s">
        <v>19285</v>
      </c>
      <c r="H696" s="63">
        <v>45400</v>
      </c>
      <c r="I696" s="63">
        <v>45402</v>
      </c>
      <c r="J696" s="62">
        <v>3</v>
      </c>
      <c r="K696" s="62">
        <v>3</v>
      </c>
      <c r="L696" s="62" t="s">
        <v>24995</v>
      </c>
      <c r="M696" s="62" t="s">
        <v>24995</v>
      </c>
      <c r="N696" s="62" t="s">
        <v>19269</v>
      </c>
      <c r="O696" s="62" t="s">
        <v>6939</v>
      </c>
      <c r="P696" s="42" t="str">
        <f>+IF(O696="","",IFERROR(VLOOKUP(O696,CODIGO_DIAGNOSTICO,2,0),"CÓDIGO NO ENCONTRADO"))</f>
        <v>OTROS DOLORES ABDOMINALES Y LOS NO ESPECIFICADOS</v>
      </c>
      <c r="Q696" s="62" t="s">
        <v>26059</v>
      </c>
      <c r="R696" s="64">
        <v>9302480</v>
      </c>
      <c r="S696" s="75">
        <v>45418</v>
      </c>
      <c r="T696" s="75"/>
      <c r="U696" s="65"/>
      <c r="V696" s="62"/>
      <c r="W696" s="65"/>
      <c r="X696" s="62"/>
      <c r="Y696" s="65"/>
      <c r="Z696" s="73"/>
    </row>
    <row r="697" spans="1:26" ht="15.75" hidden="1" customHeight="1" x14ac:dyDescent="0.25">
      <c r="A697" s="67">
        <v>4</v>
      </c>
      <c r="B697" s="68">
        <v>84033659</v>
      </c>
      <c r="C697" s="68" t="s">
        <v>25015</v>
      </c>
      <c r="D697" s="68" t="s">
        <v>25257</v>
      </c>
      <c r="E697" s="68" t="s">
        <v>26211</v>
      </c>
      <c r="F697" s="68" t="s">
        <v>25103</v>
      </c>
      <c r="G697" s="81" t="s">
        <v>19285</v>
      </c>
      <c r="H697" s="69">
        <v>45400</v>
      </c>
      <c r="I697" s="69">
        <v>45403</v>
      </c>
      <c r="J697" s="68">
        <v>4</v>
      </c>
      <c r="K697" s="68">
        <v>4</v>
      </c>
      <c r="L697" s="68" t="s">
        <v>24995</v>
      </c>
      <c r="M697" s="68" t="s">
        <v>24995</v>
      </c>
      <c r="N697" s="62" t="s">
        <v>19269</v>
      </c>
      <c r="O697" s="68" t="s">
        <v>7569</v>
      </c>
      <c r="P697" s="42" t="str">
        <f>+IF(O697="","",IFERROR(VLOOKUP(O697,CODIGO_DIAGNOSTICO,2,0),"CÓDIGO NO ENCONTRADO"))</f>
        <v>ESGUINCES Y TORCEDURAS DEL CODO</v>
      </c>
      <c r="Q697" s="68" t="s">
        <v>26059</v>
      </c>
      <c r="R697" s="67">
        <v>9302507</v>
      </c>
      <c r="S697" s="77">
        <v>45418</v>
      </c>
      <c r="T697" s="76"/>
      <c r="U697" s="65"/>
      <c r="V697" s="68"/>
      <c r="W697" s="70"/>
      <c r="X697" s="68"/>
      <c r="Y697" s="70"/>
      <c r="Z697" s="72"/>
    </row>
    <row r="698" spans="1:26" ht="15.75" hidden="1" customHeight="1" x14ac:dyDescent="0.25">
      <c r="A698" s="64">
        <v>4</v>
      </c>
      <c r="B698" s="62">
        <v>14572160</v>
      </c>
      <c r="C698" s="62" t="s">
        <v>25073</v>
      </c>
      <c r="D698" s="62" t="s">
        <v>25756</v>
      </c>
      <c r="E698" s="62" t="s">
        <v>25522</v>
      </c>
      <c r="F698" s="62" t="s">
        <v>25135</v>
      </c>
      <c r="G698" s="81" t="s">
        <v>19285</v>
      </c>
      <c r="H698" s="63">
        <v>45402</v>
      </c>
      <c r="I698" s="63">
        <v>45403</v>
      </c>
      <c r="J698" s="62">
        <v>2</v>
      </c>
      <c r="K698" s="62">
        <v>2</v>
      </c>
      <c r="L698" s="62" t="s">
        <v>24995</v>
      </c>
      <c r="M698" s="62" t="s">
        <v>24995</v>
      </c>
      <c r="N698" s="62" t="s">
        <v>19263</v>
      </c>
      <c r="O698" s="62" t="s">
        <v>7356</v>
      </c>
      <c r="P698" s="42" t="str">
        <f>+IF(O698="","",IFERROR(VLOOKUP(O698,CODIGO_DIAGNOSTICO,2,0),"CÓDIGO NO ENCONTRADO"))</f>
        <v>CONTUSION DEL TORAX</v>
      </c>
      <c r="Q698" s="62" t="s">
        <v>19254</v>
      </c>
      <c r="R698" s="64"/>
      <c r="S698" s="75"/>
      <c r="T698" s="75"/>
      <c r="U698" s="65"/>
      <c r="V698" s="62"/>
      <c r="W698" s="65"/>
      <c r="X698" s="62"/>
      <c r="Y698" s="65"/>
      <c r="Z698" s="73"/>
    </row>
    <row r="699" spans="1:26" ht="15.75" hidden="1" customHeight="1" x14ac:dyDescent="0.25">
      <c r="A699" s="67">
        <v>4</v>
      </c>
      <c r="B699" s="68">
        <v>1216722370</v>
      </c>
      <c r="C699" s="68" t="s">
        <v>25030</v>
      </c>
      <c r="D699" s="68" t="s">
        <v>25403</v>
      </c>
      <c r="E699" s="68" t="s">
        <v>25851</v>
      </c>
      <c r="F699" s="68" t="s">
        <v>25060</v>
      </c>
      <c r="G699" s="81" t="s">
        <v>19285</v>
      </c>
      <c r="H699" s="69">
        <v>45402</v>
      </c>
      <c r="I699" s="69">
        <v>45404</v>
      </c>
      <c r="J699" s="68">
        <v>3</v>
      </c>
      <c r="K699" s="68">
        <v>3</v>
      </c>
      <c r="L699" s="68" t="s">
        <v>24995</v>
      </c>
      <c r="M699" s="68" t="s">
        <v>24995</v>
      </c>
      <c r="N699" s="62" t="s">
        <v>19269</v>
      </c>
      <c r="O699" s="68" t="s">
        <v>7724</v>
      </c>
      <c r="P699" s="42" t="str">
        <f>+IF(O699="","",IFERROR(VLOOKUP(O699,CODIGO_DIAGNOSTICO,2,0),"CÓDIGO NO ENCONTRADO"))</f>
        <v>FRACTURA DE LA DIAFISIS DE LA TIBIA</v>
      </c>
      <c r="Q699" s="68" t="s">
        <v>25025</v>
      </c>
      <c r="R699" s="67"/>
      <c r="S699" s="77"/>
      <c r="T699" s="76"/>
      <c r="U699" s="65"/>
      <c r="V699" s="68"/>
      <c r="W699" s="70"/>
      <c r="X699" s="68"/>
      <c r="Y699" s="70"/>
      <c r="Z699" s="72"/>
    </row>
    <row r="700" spans="1:26" ht="15.75" hidden="1" customHeight="1" x14ac:dyDescent="0.25">
      <c r="A700" s="64">
        <v>4</v>
      </c>
      <c r="B700" s="62">
        <v>71382103</v>
      </c>
      <c r="C700" s="62" t="s">
        <v>25274</v>
      </c>
      <c r="D700" s="62" t="s">
        <v>25968</v>
      </c>
      <c r="E700" s="62" t="s">
        <v>25116</v>
      </c>
      <c r="F700" s="62" t="s">
        <v>26027</v>
      </c>
      <c r="G700" s="81" t="s">
        <v>19285</v>
      </c>
      <c r="H700" s="63">
        <v>45402</v>
      </c>
      <c r="I700" s="63">
        <v>45403</v>
      </c>
      <c r="J700" s="62">
        <v>2</v>
      </c>
      <c r="K700" s="62">
        <v>2</v>
      </c>
      <c r="L700" s="62" t="s">
        <v>19262</v>
      </c>
      <c r="M700" s="62" t="s">
        <v>24995</v>
      </c>
      <c r="N700" s="62" t="s">
        <v>19269</v>
      </c>
      <c r="O700" s="62" t="s">
        <v>4650</v>
      </c>
      <c r="P700" s="42" t="str">
        <f>+IF(O700="","",IFERROR(VLOOKUP(O700,CODIGO_DIAGNOSTICO,2,0),"CÓDIGO NO ENCONTRADO"))</f>
        <v>GONARTROSIS, NO ESPECIFICADA</v>
      </c>
      <c r="Q700" s="62" t="s">
        <v>26059</v>
      </c>
      <c r="R700" s="64"/>
      <c r="S700" s="75"/>
      <c r="T700" s="75"/>
      <c r="U700" s="65"/>
      <c r="V700" s="62"/>
      <c r="W700" s="65"/>
      <c r="X700" s="62"/>
      <c r="Y700" s="65"/>
      <c r="Z700" s="73"/>
    </row>
    <row r="701" spans="1:26" ht="15.75" hidden="1" customHeight="1" x14ac:dyDescent="0.25">
      <c r="A701" s="67">
        <v>4</v>
      </c>
      <c r="B701" s="68">
        <v>1062425279</v>
      </c>
      <c r="C701" s="68" t="s">
        <v>26081</v>
      </c>
      <c r="D701" s="68" t="s">
        <v>26209</v>
      </c>
      <c r="E701" s="68" t="s">
        <v>26210</v>
      </c>
      <c r="F701" s="68" t="s">
        <v>25308</v>
      </c>
      <c r="G701" s="81" t="s">
        <v>19285</v>
      </c>
      <c r="H701" s="69">
        <v>45403</v>
      </c>
      <c r="I701" s="69">
        <v>45404</v>
      </c>
      <c r="J701" s="68">
        <v>2</v>
      </c>
      <c r="K701" s="68">
        <v>2</v>
      </c>
      <c r="L701" s="68" t="s">
        <v>24995</v>
      </c>
      <c r="M701" s="68" t="s">
        <v>24995</v>
      </c>
      <c r="N701" s="62" t="s">
        <v>19269</v>
      </c>
      <c r="O701" s="68" t="s">
        <v>5216</v>
      </c>
      <c r="P701" s="42" t="str">
        <f>+IF(O701="","",IFERROR(VLOOKUP(O701,CODIGO_DIAGNOSTICO,2,0),"CÓDIGO NO ENCONTRADO"))</f>
        <v>CALCULO DEL RIÑON</v>
      </c>
      <c r="Q701" s="68" t="s">
        <v>19231</v>
      </c>
      <c r="R701" s="67"/>
      <c r="S701" s="77"/>
      <c r="T701" s="76"/>
      <c r="U701" s="65"/>
      <c r="V701" s="68"/>
      <c r="W701" s="70"/>
      <c r="X701" s="68"/>
      <c r="Y701" s="70"/>
      <c r="Z701" s="72"/>
    </row>
    <row r="702" spans="1:26" ht="15.75" hidden="1" customHeight="1" x14ac:dyDescent="0.25">
      <c r="A702" s="64">
        <v>4</v>
      </c>
      <c r="B702" s="62">
        <v>1017207367</v>
      </c>
      <c r="C702" s="62" t="s">
        <v>25491</v>
      </c>
      <c r="D702" s="62" t="s">
        <v>25140</v>
      </c>
      <c r="E702" s="62" t="s">
        <v>25135</v>
      </c>
      <c r="F702" s="62"/>
      <c r="G702" s="81" t="s">
        <v>25328</v>
      </c>
      <c r="H702" s="63">
        <v>45403</v>
      </c>
      <c r="I702" s="63">
        <v>45412</v>
      </c>
      <c r="J702" s="62">
        <v>10</v>
      </c>
      <c r="K702" s="62">
        <v>10</v>
      </c>
      <c r="L702" s="62" t="s">
        <v>24995</v>
      </c>
      <c r="M702" s="62" t="s">
        <v>19262</v>
      </c>
      <c r="N702" s="62" t="s">
        <v>19263</v>
      </c>
      <c r="O702" s="62" t="s">
        <v>12287</v>
      </c>
      <c r="P702" s="42" t="str">
        <f>+IF(O702="","",IFERROR(VLOOKUP(O702,CODIGO_DIAGNOSTICO,2,0),"CÓDIGO NO ENCONTRADO"))</f>
        <v>PERSONA EN CONTACTO CON LOS SERVICIOS DE SALUD EN OTRAS CIRCUNSTANCIAS ESPECIFICADAS</v>
      </c>
      <c r="Q702" s="62" t="s">
        <v>25918</v>
      </c>
      <c r="R702" s="64"/>
      <c r="S702" s="75"/>
      <c r="T702" s="75"/>
      <c r="U702" s="65"/>
      <c r="V702" s="62"/>
      <c r="W702" s="65"/>
      <c r="X702" s="62"/>
      <c r="Y702" s="65"/>
      <c r="Z702" s="73"/>
    </row>
    <row r="703" spans="1:26" ht="15.75" hidden="1" customHeight="1" x14ac:dyDescent="0.25">
      <c r="A703" s="67">
        <v>5</v>
      </c>
      <c r="B703" s="68">
        <v>1017207367</v>
      </c>
      <c r="C703" s="68" t="s">
        <v>25053</v>
      </c>
      <c r="D703" s="68" t="s">
        <v>25140</v>
      </c>
      <c r="E703" s="68" t="s">
        <v>25135</v>
      </c>
      <c r="F703" s="68"/>
      <c r="G703" s="81" t="s">
        <v>26178</v>
      </c>
      <c r="H703" s="69">
        <v>45403</v>
      </c>
      <c r="I703" s="69">
        <v>45432</v>
      </c>
      <c r="J703" s="68">
        <v>30</v>
      </c>
      <c r="K703" s="68">
        <v>30</v>
      </c>
      <c r="L703" s="68" t="s">
        <v>24995</v>
      </c>
      <c r="M703" s="68" t="s">
        <v>19262</v>
      </c>
      <c r="N703" s="62" t="s">
        <v>19263</v>
      </c>
      <c r="O703" s="68" t="s">
        <v>7615</v>
      </c>
      <c r="P703" s="42" t="str">
        <f>+IF(O703="","",IFERROR(VLOOKUP(O703,CODIGO_DIAGNOSTICO,2,0),"CÓDIGO NO ENCONTRADO"))</f>
        <v>FRACTURAS MULTIPLES DE HUESOS METACARPIANOS</v>
      </c>
      <c r="Q703" s="68" t="s">
        <v>25001</v>
      </c>
      <c r="R703" s="67"/>
      <c r="S703" s="77"/>
      <c r="T703" s="76"/>
      <c r="U703" s="65"/>
      <c r="V703" s="68"/>
      <c r="W703" s="70"/>
      <c r="X703" s="68"/>
      <c r="Y703" s="70"/>
      <c r="Z703" s="72"/>
    </row>
    <row r="704" spans="1:26" ht="15.75" hidden="1" customHeight="1" x14ac:dyDescent="0.25">
      <c r="A704" s="64">
        <v>4</v>
      </c>
      <c r="B704" s="62">
        <v>71382103</v>
      </c>
      <c r="C704" s="62" t="s">
        <v>25776</v>
      </c>
      <c r="D704" s="62" t="s">
        <v>25968</v>
      </c>
      <c r="E704" s="62" t="s">
        <v>25116</v>
      </c>
      <c r="F704" s="62" t="s">
        <v>26027</v>
      </c>
      <c r="G704" s="81" t="s">
        <v>19285</v>
      </c>
      <c r="H704" s="63">
        <v>45404</v>
      </c>
      <c r="I704" s="63">
        <v>45408</v>
      </c>
      <c r="J704" s="62">
        <v>5</v>
      </c>
      <c r="K704" s="62">
        <v>5</v>
      </c>
      <c r="L704" s="62" t="s">
        <v>19262</v>
      </c>
      <c r="M704" s="62" t="s">
        <v>19262</v>
      </c>
      <c r="N704" s="62" t="s">
        <v>19269</v>
      </c>
      <c r="O704" s="62" t="s">
        <v>4644</v>
      </c>
      <c r="P704" s="42" t="str">
        <f>+IF(O704="","",IFERROR(VLOOKUP(O704,CODIGO_DIAGNOSTICO,2,0),"CÓDIGO NO ENCONTRADO"))</f>
        <v>GONARTROSIS PRIMARIA, BILATERAL</v>
      </c>
      <c r="Q704" s="62" t="s">
        <v>26059</v>
      </c>
      <c r="R704" s="64">
        <v>9268121</v>
      </c>
      <c r="S704" s="75">
        <v>45406</v>
      </c>
      <c r="T704" s="75"/>
      <c r="U704" s="65"/>
      <c r="V704" s="62"/>
      <c r="W704" s="65"/>
      <c r="X704" s="62"/>
      <c r="Y704" s="65"/>
      <c r="Z704" s="73"/>
    </row>
    <row r="705" spans="1:26" ht="15.75" hidden="1" customHeight="1" x14ac:dyDescent="0.25">
      <c r="A705" s="67">
        <v>4</v>
      </c>
      <c r="B705" s="68">
        <v>70323164</v>
      </c>
      <c r="C705" s="68" t="s">
        <v>24992</v>
      </c>
      <c r="D705" s="68" t="s">
        <v>24985</v>
      </c>
      <c r="E705" s="68" t="s">
        <v>25188</v>
      </c>
      <c r="F705" s="68" t="s">
        <v>25146</v>
      </c>
      <c r="G705" s="81" t="s">
        <v>19285</v>
      </c>
      <c r="H705" s="69">
        <v>45404</v>
      </c>
      <c r="I705" s="69">
        <v>45412</v>
      </c>
      <c r="J705" s="68">
        <v>9</v>
      </c>
      <c r="K705" s="68">
        <v>9</v>
      </c>
      <c r="L705" s="68" t="s">
        <v>19262</v>
      </c>
      <c r="M705" s="68" t="s">
        <v>19262</v>
      </c>
      <c r="N705" s="62" t="s">
        <v>19269</v>
      </c>
      <c r="O705" s="68" t="s">
        <v>3693</v>
      </c>
      <c r="P705" s="42" t="str">
        <f>+IF(O705="","",IFERROR(VLOOKUP(O705,CODIGO_DIAGNOSTICO,2,0),"CÓDIGO NO ENCONTRADO"))</f>
        <v>ENFERMEDAD PULMONAR OBSTRUCTIVA CRONICA, NO ESPECIFICADA</v>
      </c>
      <c r="Q705" s="68" t="s">
        <v>19230</v>
      </c>
      <c r="R705" s="67">
        <v>9268707</v>
      </c>
      <c r="S705" s="77"/>
      <c r="T705" s="76"/>
      <c r="U705" s="65"/>
      <c r="V705" s="68"/>
      <c r="W705" s="70"/>
      <c r="X705" s="68"/>
      <c r="Y705" s="70"/>
      <c r="Z705" s="72"/>
    </row>
    <row r="706" spans="1:26" ht="15.75" hidden="1" customHeight="1" x14ac:dyDescent="0.25">
      <c r="A706" s="64">
        <v>4</v>
      </c>
      <c r="B706" s="62">
        <v>1017235942</v>
      </c>
      <c r="C706" s="62" t="s">
        <v>19258</v>
      </c>
      <c r="D706" s="62" t="s">
        <v>25498</v>
      </c>
      <c r="E706" s="62" t="s">
        <v>25430</v>
      </c>
      <c r="F706" s="62"/>
      <c r="G706" s="81" t="s">
        <v>19285</v>
      </c>
      <c r="H706" s="63">
        <v>45404</v>
      </c>
      <c r="I706" s="63">
        <v>45406</v>
      </c>
      <c r="J706" s="62">
        <v>3</v>
      </c>
      <c r="K706" s="62">
        <v>3</v>
      </c>
      <c r="L706" s="62" t="s">
        <v>24995</v>
      </c>
      <c r="M706" s="62" t="s">
        <v>24995</v>
      </c>
      <c r="N706" s="62" t="s">
        <v>19269</v>
      </c>
      <c r="O706" s="62" t="s">
        <v>7244</v>
      </c>
      <c r="P706" s="42" t="str">
        <f>+IF(O706="","",IFERROR(VLOOKUP(O706,CODIGO_DIAGNOSTICO,2,0),"CÓDIGO NO ENCONTRADO"))</f>
        <v>HERIDA DEL LABIO Y DE LA CAVIDAD BUCAL</v>
      </c>
      <c r="Q706" s="62" t="s">
        <v>26059</v>
      </c>
      <c r="R706" s="64">
        <v>9302503</v>
      </c>
      <c r="S706" s="75">
        <v>45418</v>
      </c>
      <c r="T706" s="75"/>
      <c r="U706" s="65"/>
      <c r="V706" s="62"/>
      <c r="W706" s="65"/>
      <c r="X706" s="62"/>
      <c r="Y706" s="65"/>
      <c r="Z706" s="73"/>
    </row>
    <row r="707" spans="1:26" ht="15.75" hidden="1" customHeight="1" x14ac:dyDescent="0.25">
      <c r="A707" s="67">
        <v>4</v>
      </c>
      <c r="B707" s="68">
        <v>15309929</v>
      </c>
      <c r="C707" s="68" t="s">
        <v>25047</v>
      </c>
      <c r="D707" s="68" t="s">
        <v>25012</v>
      </c>
      <c r="E707" s="68" t="s">
        <v>25048</v>
      </c>
      <c r="F707" s="68" t="s">
        <v>25014</v>
      </c>
      <c r="G707" s="81" t="s">
        <v>19285</v>
      </c>
      <c r="H707" s="69">
        <v>45405</v>
      </c>
      <c r="I707" s="69">
        <v>45419</v>
      </c>
      <c r="J707" s="68">
        <v>15</v>
      </c>
      <c r="K707" s="68">
        <v>15</v>
      </c>
      <c r="L707" s="68" t="s">
        <v>19262</v>
      </c>
      <c r="M707" s="68" t="s">
        <v>19262</v>
      </c>
      <c r="N707" s="62" t="s">
        <v>19269</v>
      </c>
      <c r="O707" s="68" t="s">
        <v>7734</v>
      </c>
      <c r="P707" s="42" t="str">
        <f>+IF(O707="","",IFERROR(VLOOKUP(O707,CODIGO_DIAGNOSTICO,2,0),"CÓDIGO NO ENCONTRADO"))</f>
        <v>DESGARRO DE MENISCOS, PRESENTE</v>
      </c>
      <c r="Q707" s="68" t="s">
        <v>19230</v>
      </c>
      <c r="R707" s="67">
        <v>9268126</v>
      </c>
      <c r="S707" s="77">
        <v>45406</v>
      </c>
      <c r="T707" s="76"/>
      <c r="U707" s="65"/>
      <c r="V707" s="68"/>
      <c r="W707" s="70"/>
      <c r="X707" s="68"/>
      <c r="Y707" s="70"/>
      <c r="Z707" s="72"/>
    </row>
    <row r="708" spans="1:26" ht="15.75" hidden="1" customHeight="1" x14ac:dyDescent="0.25">
      <c r="A708" s="64">
        <v>4</v>
      </c>
      <c r="B708" s="62">
        <v>8407241</v>
      </c>
      <c r="C708" s="62" t="s">
        <v>25776</v>
      </c>
      <c r="D708" s="62" t="s">
        <v>25030</v>
      </c>
      <c r="E708" s="62" t="s">
        <v>25358</v>
      </c>
      <c r="F708" s="62" t="s">
        <v>25005</v>
      </c>
      <c r="G708" s="81" t="s">
        <v>19285</v>
      </c>
      <c r="H708" s="63">
        <v>45405</v>
      </c>
      <c r="I708" s="63">
        <v>45407</v>
      </c>
      <c r="J708" s="62">
        <v>3</v>
      </c>
      <c r="K708" s="62">
        <v>3</v>
      </c>
      <c r="L708" s="62" t="s">
        <v>24995</v>
      </c>
      <c r="M708" s="62" t="s">
        <v>24995</v>
      </c>
      <c r="N708" s="62" t="s">
        <v>19269</v>
      </c>
      <c r="O708" s="62" t="s">
        <v>7667</v>
      </c>
      <c r="P708" s="42" t="str">
        <f>+IF(O708="","",IFERROR(VLOOKUP(O708,CODIGO_DIAGNOSTICO,2,0),"CÓDIGO NO ENCONTRADO"))</f>
        <v>CONTUSION DE LA CADERA</v>
      </c>
      <c r="Q708" s="62" t="s">
        <v>19230</v>
      </c>
      <c r="R708" s="64">
        <v>9268140</v>
      </c>
      <c r="S708" s="75">
        <v>45406</v>
      </c>
      <c r="T708" s="75"/>
      <c r="U708" s="65"/>
      <c r="V708" s="62"/>
      <c r="W708" s="65"/>
      <c r="X708" s="62"/>
      <c r="Y708" s="65"/>
      <c r="Z708" s="73"/>
    </row>
    <row r="709" spans="1:26" ht="15.75" hidden="1" customHeight="1" x14ac:dyDescent="0.25">
      <c r="A709" s="67">
        <v>4</v>
      </c>
      <c r="B709" s="68">
        <v>71382103</v>
      </c>
      <c r="C709" s="68" t="s">
        <v>25274</v>
      </c>
      <c r="D709" s="68" t="s">
        <v>25968</v>
      </c>
      <c r="E709" s="68" t="s">
        <v>25116</v>
      </c>
      <c r="F709" s="68" t="s">
        <v>26027</v>
      </c>
      <c r="G709" s="81" t="s">
        <v>19285</v>
      </c>
      <c r="H709" s="69">
        <v>45405</v>
      </c>
      <c r="I709" s="69">
        <v>45407</v>
      </c>
      <c r="J709" s="68">
        <v>3</v>
      </c>
      <c r="K709" s="68">
        <v>3</v>
      </c>
      <c r="L709" s="68" t="s">
        <v>24995</v>
      </c>
      <c r="M709" s="68" t="s">
        <v>24995</v>
      </c>
      <c r="N709" s="62" t="s">
        <v>19269</v>
      </c>
      <c r="O709" s="68" t="s">
        <v>7667</v>
      </c>
      <c r="P709" s="42" t="str">
        <f>+IF(O709="","",IFERROR(VLOOKUP(O709,CODIGO_DIAGNOSTICO,2,0),"CÓDIGO NO ENCONTRADO"))</f>
        <v>CONTUSION DE LA CADERA</v>
      </c>
      <c r="Q709" s="68" t="s">
        <v>26059</v>
      </c>
      <c r="R709" s="67"/>
      <c r="S709" s="77"/>
      <c r="T709" s="76"/>
      <c r="U709" s="65"/>
      <c r="V709" s="68"/>
      <c r="W709" s="70"/>
      <c r="X709" s="68"/>
      <c r="Y709" s="70"/>
      <c r="Z709" s="72"/>
    </row>
    <row r="710" spans="1:26" ht="15.75" hidden="1" customHeight="1" x14ac:dyDescent="0.25">
      <c r="A710" s="64">
        <v>4</v>
      </c>
      <c r="B710" s="62">
        <v>1128467712</v>
      </c>
      <c r="C710" s="62" t="s">
        <v>25456</v>
      </c>
      <c r="D710" s="62" t="s">
        <v>19258</v>
      </c>
      <c r="E710" s="62" t="s">
        <v>25879</v>
      </c>
      <c r="F710" s="62" t="s">
        <v>25880</v>
      </c>
      <c r="G710" s="81" t="s">
        <v>26166</v>
      </c>
      <c r="H710" s="63">
        <v>45406</v>
      </c>
      <c r="I710" s="63">
        <v>45408</v>
      </c>
      <c r="J710" s="62">
        <v>3</v>
      </c>
      <c r="K710" s="62">
        <v>3</v>
      </c>
      <c r="L710" s="62" t="s">
        <v>19262</v>
      </c>
      <c r="M710" s="62" t="s">
        <v>24995</v>
      </c>
      <c r="N710" s="62" t="s">
        <v>19269</v>
      </c>
      <c r="O710" s="62" t="s">
        <v>3681</v>
      </c>
      <c r="P710" s="42" t="str">
        <f>+IF(O710="","",IFERROR(VLOOKUP(O710,CODIGO_DIAGNOSTICO,2,0),"CÓDIGO NO ENCONTRADO"))</f>
        <v>BRONQUITIS CRONICA SIMPLE</v>
      </c>
      <c r="Q710" s="62" t="s">
        <v>26059</v>
      </c>
      <c r="R710" s="64">
        <v>9268112</v>
      </c>
      <c r="S710" s="75">
        <v>45406</v>
      </c>
      <c r="T710" s="75"/>
      <c r="U710" s="65"/>
      <c r="V710" s="62"/>
      <c r="W710" s="65"/>
      <c r="X710" s="62"/>
      <c r="Y710" s="65"/>
      <c r="Z710" s="73"/>
    </row>
    <row r="711" spans="1:26" ht="15.75" hidden="1" customHeight="1" x14ac:dyDescent="0.25">
      <c r="A711" s="67">
        <v>4</v>
      </c>
      <c r="B711" s="68">
        <v>1152705094</v>
      </c>
      <c r="C711" s="68" t="s">
        <v>25411</v>
      </c>
      <c r="D711" s="68" t="s">
        <v>25513</v>
      </c>
      <c r="E711" s="68" t="s">
        <v>26206</v>
      </c>
      <c r="F711" s="68"/>
      <c r="G711" s="81" t="s">
        <v>19285</v>
      </c>
      <c r="H711" s="69">
        <v>45407</v>
      </c>
      <c r="I711" s="69">
        <v>45407</v>
      </c>
      <c r="J711" s="68">
        <v>1</v>
      </c>
      <c r="K711" s="68">
        <v>1</v>
      </c>
      <c r="L711" s="68" t="s">
        <v>24995</v>
      </c>
      <c r="M711" s="68" t="s">
        <v>24995</v>
      </c>
      <c r="N711" s="62" t="s">
        <v>19269</v>
      </c>
      <c r="O711" s="68" t="s">
        <v>15281</v>
      </c>
      <c r="P711" s="42" t="str">
        <f>+IF(O711="","",IFERROR(VLOOKUP(O711,CODIGO_DIAGNOSTICO,2,0),"CÓDIGO NO ENCONTRADO"))</f>
        <v>RINOFARINGITIS AGUDA (RESFRIADO COMUN)</v>
      </c>
      <c r="Q711" s="68" t="s">
        <v>26059</v>
      </c>
      <c r="R711" s="67"/>
      <c r="S711" s="77"/>
      <c r="T711" s="76"/>
      <c r="U711" s="65"/>
      <c r="V711" s="68"/>
      <c r="W711" s="70"/>
      <c r="X711" s="68"/>
      <c r="Y711" s="70"/>
      <c r="Z711" s="72"/>
    </row>
    <row r="712" spans="1:26" ht="15.75" hidden="1" customHeight="1" x14ac:dyDescent="0.25">
      <c r="A712" s="64">
        <v>4</v>
      </c>
      <c r="B712" s="62">
        <v>71382103</v>
      </c>
      <c r="C712" s="62" t="s">
        <v>25274</v>
      </c>
      <c r="D712" s="62" t="s">
        <v>25968</v>
      </c>
      <c r="E712" s="62" t="s">
        <v>25116</v>
      </c>
      <c r="F712" s="62" t="s">
        <v>26027</v>
      </c>
      <c r="G712" s="81" t="s">
        <v>19285</v>
      </c>
      <c r="H712" s="63">
        <v>45408</v>
      </c>
      <c r="I712" s="63">
        <v>45408</v>
      </c>
      <c r="J712" s="62">
        <v>1</v>
      </c>
      <c r="K712" s="62">
        <v>1</v>
      </c>
      <c r="L712" s="62" t="s">
        <v>19262</v>
      </c>
      <c r="M712" s="62" t="s">
        <v>24995</v>
      </c>
      <c r="N712" s="62" t="s">
        <v>19269</v>
      </c>
      <c r="O712" s="62" t="s">
        <v>7667</v>
      </c>
      <c r="P712" s="42" t="str">
        <f>+IF(O712="","",IFERROR(VLOOKUP(O712,CODIGO_DIAGNOSTICO,2,0),"CÓDIGO NO ENCONTRADO"))</f>
        <v>CONTUSION DE LA CADERA</v>
      </c>
      <c r="Q712" s="62" t="s">
        <v>26059</v>
      </c>
      <c r="R712" s="64"/>
      <c r="S712" s="75"/>
      <c r="T712" s="75"/>
      <c r="U712" s="65"/>
      <c r="V712" s="62"/>
      <c r="W712" s="65"/>
      <c r="X712" s="62"/>
      <c r="Y712" s="65"/>
      <c r="Z712" s="73"/>
    </row>
    <row r="713" spans="1:26" ht="15.75" hidden="1" customHeight="1" x14ac:dyDescent="0.25">
      <c r="A713" s="67">
        <v>4</v>
      </c>
      <c r="B713" s="68">
        <v>71382103</v>
      </c>
      <c r="C713" s="68" t="s">
        <v>25274</v>
      </c>
      <c r="D713" s="68" t="s">
        <v>25968</v>
      </c>
      <c r="E713" s="68" t="s">
        <v>25116</v>
      </c>
      <c r="F713" s="68" t="s">
        <v>26027</v>
      </c>
      <c r="G713" s="81" t="s">
        <v>19285</v>
      </c>
      <c r="H713" s="69">
        <v>45409</v>
      </c>
      <c r="I713" s="69">
        <v>45413</v>
      </c>
      <c r="J713" s="68">
        <v>5</v>
      </c>
      <c r="K713" s="68">
        <v>5</v>
      </c>
      <c r="L713" s="68" t="s">
        <v>19262</v>
      </c>
      <c r="M713" s="68" t="s">
        <v>24995</v>
      </c>
      <c r="N713" s="62" t="s">
        <v>19269</v>
      </c>
      <c r="O713" s="68" t="s">
        <v>4644</v>
      </c>
      <c r="P713" s="42" t="str">
        <f>+IF(O713="","",IFERROR(VLOOKUP(O713,CODIGO_DIAGNOSTICO,2,0),"CÓDIGO NO ENCONTRADO"))</f>
        <v>GONARTROSIS PRIMARIA, BILATERAL</v>
      </c>
      <c r="Q713" s="68" t="s">
        <v>26059</v>
      </c>
      <c r="R713" s="67">
        <v>9302517</v>
      </c>
      <c r="S713" s="77">
        <v>45418</v>
      </c>
      <c r="T713" s="76"/>
      <c r="U713" s="65"/>
      <c r="V713" s="68"/>
      <c r="W713" s="70"/>
      <c r="X713" s="68"/>
      <c r="Y713" s="70"/>
      <c r="Z713" s="72"/>
    </row>
    <row r="714" spans="1:26" ht="15.75" hidden="1" customHeight="1" x14ac:dyDescent="0.25">
      <c r="A714" s="64">
        <v>4</v>
      </c>
      <c r="B714" s="62">
        <v>1007460505</v>
      </c>
      <c r="C714" s="62" t="s">
        <v>26207</v>
      </c>
      <c r="D714" s="62" t="s">
        <v>25666</v>
      </c>
      <c r="E714" s="62" t="s">
        <v>25471</v>
      </c>
      <c r="F714" s="62" t="s">
        <v>25283</v>
      </c>
      <c r="G714" s="81" t="s">
        <v>19285</v>
      </c>
      <c r="H714" s="63">
        <v>45409</v>
      </c>
      <c r="I714" s="63">
        <v>45413</v>
      </c>
      <c r="J714" s="62">
        <v>5</v>
      </c>
      <c r="K714" s="62">
        <v>5</v>
      </c>
      <c r="L714" s="62" t="s">
        <v>24995</v>
      </c>
      <c r="M714" s="62" t="s">
        <v>24995</v>
      </c>
      <c r="N714" s="62" t="s">
        <v>19269</v>
      </c>
      <c r="O714" s="62" t="s">
        <v>7882</v>
      </c>
      <c r="P714" s="42" t="str">
        <f>+IF(O714="","",IFERROR(VLOOKUP(O714,CODIGO_DIAGNOSTICO,2,0),"CÓDIGO NO ENCONTRADO"))</f>
        <v>TRAUMATISMOS MULTIPLES, NO ESPECIFICADOS</v>
      </c>
      <c r="Q714" s="62" t="s">
        <v>26059</v>
      </c>
      <c r="R714" s="64">
        <v>9309082</v>
      </c>
      <c r="S714" s="75">
        <v>45419</v>
      </c>
      <c r="T714" s="75"/>
      <c r="U714" s="65"/>
      <c r="V714" s="62"/>
      <c r="W714" s="65"/>
      <c r="X714" s="62"/>
      <c r="Y714" s="65"/>
      <c r="Z714" s="73"/>
    </row>
    <row r="715" spans="1:26" ht="15.75" hidden="1" customHeight="1" x14ac:dyDescent="0.25">
      <c r="A715" s="67">
        <v>4</v>
      </c>
      <c r="B715" s="68">
        <v>1069479322</v>
      </c>
      <c r="C715" s="68" t="s">
        <v>25553</v>
      </c>
      <c r="D715" s="68" t="s">
        <v>25021</v>
      </c>
      <c r="E715" s="68" t="s">
        <v>25425</v>
      </c>
      <c r="F715" s="68" t="s">
        <v>25213</v>
      </c>
      <c r="G715" s="81" t="s">
        <v>19285</v>
      </c>
      <c r="H715" s="69">
        <v>45411</v>
      </c>
      <c r="I715" s="69">
        <v>45412</v>
      </c>
      <c r="J715" s="68">
        <v>2</v>
      </c>
      <c r="K715" s="68">
        <v>2</v>
      </c>
      <c r="L715" s="68" t="s">
        <v>24995</v>
      </c>
      <c r="M715" s="68" t="s">
        <v>24995</v>
      </c>
      <c r="N715" s="62" t="s">
        <v>19269</v>
      </c>
      <c r="O715" s="68" t="s">
        <v>3806</v>
      </c>
      <c r="P715" s="42" t="str">
        <f>+IF(O715="","",IFERROR(VLOOKUP(O715,CODIGO_DIAGNOSTICO,2,0),"CÓDIGO NO ENCONTRADO"))</f>
        <v>CARIES DE LA DENTINA</v>
      </c>
      <c r="Q715" s="68" t="s">
        <v>19231</v>
      </c>
      <c r="R715" s="67"/>
      <c r="S715" s="77"/>
      <c r="T715" s="76"/>
      <c r="U715" s="65"/>
      <c r="V715" s="68"/>
      <c r="W715" s="70"/>
      <c r="X715" s="68"/>
      <c r="Y715" s="70"/>
      <c r="Z715" s="72"/>
    </row>
    <row r="716" spans="1:26" ht="15.75" hidden="1" customHeight="1" x14ac:dyDescent="0.25">
      <c r="A716" s="64">
        <v>4</v>
      </c>
      <c r="B716" s="62">
        <v>71742698</v>
      </c>
      <c r="C716" s="62" t="s">
        <v>25348</v>
      </c>
      <c r="D716" s="62" t="s">
        <v>24980</v>
      </c>
      <c r="E716" s="62" t="s">
        <v>25040</v>
      </c>
      <c r="F716" s="62" t="s">
        <v>25103</v>
      </c>
      <c r="G716" s="81" t="s">
        <v>19285</v>
      </c>
      <c r="H716" s="63">
        <v>45412</v>
      </c>
      <c r="I716" s="63">
        <v>45418</v>
      </c>
      <c r="J716" s="62">
        <v>7</v>
      </c>
      <c r="K716" s="62">
        <v>7</v>
      </c>
      <c r="L716" s="62" t="s">
        <v>24995</v>
      </c>
      <c r="M716" s="62" t="s">
        <v>24995</v>
      </c>
      <c r="N716" s="62" t="s">
        <v>19269</v>
      </c>
      <c r="O716" s="62" t="s">
        <v>3512</v>
      </c>
      <c r="P716" s="42" t="str">
        <f>+IF(O716="","",IFERROR(VLOOKUP(O716,CODIGO_DIAGNOSTICO,2,0),"CÓDIGO NO ENCONTRADO"))</f>
        <v>VENAS VARICOSAS DE LOS MIEMBROS INFERIORES CON ULCERA</v>
      </c>
      <c r="Q716" s="62" t="s">
        <v>26152</v>
      </c>
      <c r="R716" s="64"/>
      <c r="S716" s="75"/>
      <c r="T716" s="75"/>
      <c r="U716" s="65"/>
      <c r="V716" s="62"/>
      <c r="W716" s="65"/>
      <c r="X716" s="62"/>
      <c r="Y716" s="65"/>
      <c r="Z716" s="73"/>
    </row>
    <row r="717" spans="1:26" ht="15.75" hidden="1" customHeight="1" x14ac:dyDescent="0.25">
      <c r="A717" s="67">
        <v>5</v>
      </c>
      <c r="B717" s="68">
        <v>98700987</v>
      </c>
      <c r="C717" s="68" t="s">
        <v>25326</v>
      </c>
      <c r="D717" s="68" t="s">
        <v>25462</v>
      </c>
      <c r="E717" s="68" t="s">
        <v>6</v>
      </c>
      <c r="F717" s="68" t="s">
        <v>25878</v>
      </c>
      <c r="G717" s="81" t="s">
        <v>19285</v>
      </c>
      <c r="H717" s="69">
        <v>45412</v>
      </c>
      <c r="I717" s="69">
        <v>45412</v>
      </c>
      <c r="J717" s="68">
        <v>1</v>
      </c>
      <c r="K717" s="68">
        <v>1</v>
      </c>
      <c r="L717" s="68" t="s">
        <v>19262</v>
      </c>
      <c r="M717" s="68" t="s">
        <v>24995</v>
      </c>
      <c r="N717" s="62" t="s">
        <v>19269</v>
      </c>
      <c r="O717" s="68" t="s">
        <v>5226</v>
      </c>
      <c r="P717" s="42" t="str">
        <f>+IF(O717="","",IFERROR(VLOOKUP(O717,CODIGO_DIAGNOSTICO,2,0),"CÓDIGO NO ENCONTRADO"))</f>
        <v>COLICO RENAL, NO ESPECIFICADO</v>
      </c>
      <c r="Q717" s="68" t="s">
        <v>26059</v>
      </c>
      <c r="R717" s="67">
        <v>9352846</v>
      </c>
      <c r="S717" s="77">
        <v>45430</v>
      </c>
      <c r="T717" s="76"/>
      <c r="U717" s="65"/>
      <c r="V717" s="68"/>
      <c r="W717" s="70"/>
      <c r="X717" s="68"/>
      <c r="Y717" s="70"/>
      <c r="Z717" s="72"/>
    </row>
    <row r="718" spans="1:26" ht="15.75" hidden="1" customHeight="1" x14ac:dyDescent="0.25">
      <c r="A718" s="64">
        <v>5</v>
      </c>
      <c r="B718" s="62">
        <v>98700987</v>
      </c>
      <c r="C718" s="62" t="s">
        <v>25326</v>
      </c>
      <c r="D718" s="62" t="s">
        <v>25462</v>
      </c>
      <c r="E718" s="62" t="s">
        <v>6</v>
      </c>
      <c r="F718" s="62" t="s">
        <v>25878</v>
      </c>
      <c r="G718" s="81" t="s">
        <v>19285</v>
      </c>
      <c r="H718" s="63">
        <v>45413</v>
      </c>
      <c r="I718" s="63">
        <v>45422</v>
      </c>
      <c r="J718" s="62">
        <v>10</v>
      </c>
      <c r="K718" s="62">
        <v>10</v>
      </c>
      <c r="L718" s="62" t="s">
        <v>19262</v>
      </c>
      <c r="M718" s="62" t="s">
        <v>24995</v>
      </c>
      <c r="N718" s="62" t="s">
        <v>19269</v>
      </c>
      <c r="O718" s="62" t="s">
        <v>5217</v>
      </c>
      <c r="P718" s="42" t="str">
        <f>+IF(O718="","",IFERROR(VLOOKUP(O718,CODIGO_DIAGNOSTICO,2,0),"CÓDIGO NO ENCONTRADO"))</f>
        <v>CALCULO DEL URETER</v>
      </c>
      <c r="Q718" s="62" t="s">
        <v>26059</v>
      </c>
      <c r="R718" s="64">
        <v>9352843</v>
      </c>
      <c r="S718" s="75">
        <v>45430</v>
      </c>
      <c r="T718" s="75"/>
      <c r="U718" s="65"/>
      <c r="V718" s="62"/>
      <c r="W718" s="65"/>
      <c r="X718" s="62"/>
      <c r="Y718" s="65"/>
      <c r="Z718" s="73"/>
    </row>
    <row r="719" spans="1:26" ht="15.75" hidden="1" customHeight="1" x14ac:dyDescent="0.25">
      <c r="A719" s="67">
        <v>5</v>
      </c>
      <c r="B719" s="68">
        <v>70323164</v>
      </c>
      <c r="C719" s="68" t="s">
        <v>24992</v>
      </c>
      <c r="D719" s="68" t="s">
        <v>24985</v>
      </c>
      <c r="E719" s="68" t="s">
        <v>25188</v>
      </c>
      <c r="F719" s="68" t="s">
        <v>26208</v>
      </c>
      <c r="G719" s="81" t="s">
        <v>19285</v>
      </c>
      <c r="H719" s="69">
        <v>45414</v>
      </c>
      <c r="I719" s="69">
        <v>45422</v>
      </c>
      <c r="J719" s="68">
        <v>9</v>
      </c>
      <c r="K719" s="68">
        <v>9</v>
      </c>
      <c r="L719" s="68" t="s">
        <v>19262</v>
      </c>
      <c r="M719" s="68" t="s">
        <v>19262</v>
      </c>
      <c r="N719" s="62" t="s">
        <v>19269</v>
      </c>
      <c r="O719" s="68" t="s">
        <v>3693</v>
      </c>
      <c r="P719" s="42" t="str">
        <f>+IF(O719="","",IFERROR(VLOOKUP(O719,CODIGO_DIAGNOSTICO,2,0),"CÓDIGO NO ENCONTRADO"))</f>
        <v>ENFERMEDAD PULMONAR OBSTRUCTIVA CRONICA, NO ESPECIFICADA</v>
      </c>
      <c r="Q719" s="68" t="s">
        <v>26059</v>
      </c>
      <c r="R719" s="67">
        <v>9302512</v>
      </c>
      <c r="S719" s="77">
        <v>45418</v>
      </c>
      <c r="T719" s="76"/>
      <c r="U719" s="65"/>
      <c r="V719" s="68"/>
      <c r="W719" s="70"/>
      <c r="X719" s="68"/>
      <c r="Y719" s="70"/>
      <c r="Z719" s="72"/>
    </row>
    <row r="720" spans="1:26" ht="15.75" hidden="1" customHeight="1" x14ac:dyDescent="0.25">
      <c r="A720" s="64">
        <v>5</v>
      </c>
      <c r="B720" s="62">
        <v>98601485</v>
      </c>
      <c r="C720" s="62" t="s">
        <v>25240</v>
      </c>
      <c r="D720" s="62"/>
      <c r="E720" s="62" t="s">
        <v>25241</v>
      </c>
      <c r="F720" s="62" t="s">
        <v>25103</v>
      </c>
      <c r="G720" s="81" t="s">
        <v>25328</v>
      </c>
      <c r="H720" s="63">
        <v>45414</v>
      </c>
      <c r="I720" s="63">
        <v>45428</v>
      </c>
      <c r="J720" s="62">
        <v>15</v>
      </c>
      <c r="K720" s="62">
        <v>15</v>
      </c>
      <c r="L720" s="62" t="s">
        <v>19262</v>
      </c>
      <c r="M720" s="62" t="s">
        <v>19262</v>
      </c>
      <c r="N720" s="62" t="s">
        <v>19269</v>
      </c>
      <c r="O720" s="62" t="s">
        <v>8415</v>
      </c>
      <c r="P720" s="42" t="str">
        <f>+IF(O720="","",IFERROR(VLOOKUP(O720,CODIGO_DIAGNOSTICO,2,0),"CÓDIGO NO ENCONTRADO"))</f>
        <v>COMPLICACION MECANICA DE PROTESIS ARTICULAR INTERNA</v>
      </c>
      <c r="Q720" s="62" t="s">
        <v>19230</v>
      </c>
      <c r="R720" s="64">
        <v>9302499</v>
      </c>
      <c r="S720" s="75">
        <v>45418</v>
      </c>
      <c r="T720" s="75"/>
      <c r="U720" s="65"/>
      <c r="V720" s="62"/>
      <c r="W720" s="65"/>
      <c r="X720" s="62"/>
      <c r="Y720" s="65"/>
      <c r="Z720" s="73"/>
    </row>
    <row r="721" spans="1:26" ht="15.75" hidden="1" customHeight="1" x14ac:dyDescent="0.25">
      <c r="A721" s="67">
        <v>5</v>
      </c>
      <c r="B721" s="68">
        <v>1128467712</v>
      </c>
      <c r="C721" s="68" t="s">
        <v>25456</v>
      </c>
      <c r="D721" s="68" t="s">
        <v>19258</v>
      </c>
      <c r="E721" s="68" t="s">
        <v>25879</v>
      </c>
      <c r="F721" s="68" t="s">
        <v>25880</v>
      </c>
      <c r="G721" s="81" t="s">
        <v>26166</v>
      </c>
      <c r="H721" s="69">
        <v>45415</v>
      </c>
      <c r="I721" s="69">
        <v>45415</v>
      </c>
      <c r="J721" s="68">
        <v>1</v>
      </c>
      <c r="K721" s="68">
        <v>1</v>
      </c>
      <c r="L721" s="68" t="s">
        <v>19262</v>
      </c>
      <c r="M721" s="68" t="s">
        <v>24995</v>
      </c>
      <c r="N721" s="62" t="s">
        <v>19269</v>
      </c>
      <c r="O721" s="68" t="s">
        <v>86</v>
      </c>
      <c r="P721" s="42" t="str">
        <f>+IF(O721="","",IFERROR(VLOOKUP(O721,CODIGO_DIAGNOSTICO,2,0),"CÓDIGO NO ENCONTRADO"))</f>
        <v>INFECCION INTESTINAL VIRAL, SIN OTRA ESPECIFICACION</v>
      </c>
      <c r="Q721" s="68" t="s">
        <v>26059</v>
      </c>
      <c r="R721" s="67"/>
      <c r="S721" s="77"/>
      <c r="T721" s="76"/>
      <c r="U721" s="65"/>
      <c r="V721" s="68"/>
      <c r="W721" s="70"/>
      <c r="X721" s="68"/>
      <c r="Y721" s="70"/>
      <c r="Z721" s="72"/>
    </row>
    <row r="722" spans="1:26" ht="15.75" hidden="1" customHeight="1" x14ac:dyDescent="0.25">
      <c r="A722" s="64">
        <v>5</v>
      </c>
      <c r="B722" s="62">
        <v>71382103</v>
      </c>
      <c r="C722" s="62" t="s">
        <v>25776</v>
      </c>
      <c r="D722" s="62" t="s">
        <v>25968</v>
      </c>
      <c r="E722" s="62" t="s">
        <v>25116</v>
      </c>
      <c r="F722" s="62" t="s">
        <v>26027</v>
      </c>
      <c r="G722" s="81" t="s">
        <v>19285</v>
      </c>
      <c r="H722" s="63">
        <v>45416</v>
      </c>
      <c r="I722" s="63">
        <v>45420</v>
      </c>
      <c r="J722" s="62">
        <v>5</v>
      </c>
      <c r="K722" s="62">
        <v>5</v>
      </c>
      <c r="L722" s="62" t="s">
        <v>19262</v>
      </c>
      <c r="M722" s="62" t="s">
        <v>19262</v>
      </c>
      <c r="N722" s="62" t="s">
        <v>19269</v>
      </c>
      <c r="O722" s="62" t="s">
        <v>4645</v>
      </c>
      <c r="P722" s="42" t="str">
        <f>+IF(O722="","",IFERROR(VLOOKUP(O722,CODIGO_DIAGNOSTICO,2,0),"CÓDIGO NO ENCONTRADO"))</f>
        <v>OTRAS GONARTROSIS PRIMARIAS</v>
      </c>
      <c r="Q722" s="62" t="s">
        <v>26059</v>
      </c>
      <c r="R722" s="64"/>
      <c r="S722" s="75"/>
      <c r="T722" s="75"/>
      <c r="U722" s="65"/>
      <c r="V722" s="62"/>
      <c r="W722" s="65"/>
      <c r="X722" s="62"/>
      <c r="Y722" s="65"/>
      <c r="Z722" s="73"/>
    </row>
    <row r="723" spans="1:26" ht="15.75" hidden="1" customHeight="1" x14ac:dyDescent="0.25">
      <c r="A723" s="67">
        <v>5</v>
      </c>
      <c r="B723" s="68">
        <v>12625299</v>
      </c>
      <c r="C723" s="68" t="s">
        <v>25321</v>
      </c>
      <c r="D723" s="68" t="s">
        <v>25322</v>
      </c>
      <c r="E723" s="68" t="s">
        <v>25323</v>
      </c>
      <c r="F723" s="68" t="s">
        <v>25064</v>
      </c>
      <c r="G723" s="81" t="s">
        <v>19285</v>
      </c>
      <c r="H723" s="69">
        <v>45416</v>
      </c>
      <c r="I723" s="69">
        <v>45426</v>
      </c>
      <c r="J723" s="68">
        <v>11</v>
      </c>
      <c r="K723" s="68">
        <v>11</v>
      </c>
      <c r="L723" s="68" t="s">
        <v>24995</v>
      </c>
      <c r="M723" s="68" t="s">
        <v>19262</v>
      </c>
      <c r="N723" s="62" t="s">
        <v>19269</v>
      </c>
      <c r="O723" s="68" t="s">
        <v>4790</v>
      </c>
      <c r="P723" s="42" t="str">
        <f>+IF(O723="","",IFERROR(VLOOKUP(O723,CODIGO_DIAGNOSTICO,2,0),"CÓDIGO NO ENCONTRADO"))</f>
        <v>DISCITIS, NO ESPECIFICADA</v>
      </c>
      <c r="Q723" s="68" t="s">
        <v>26059</v>
      </c>
      <c r="R723" s="67">
        <v>9352838</v>
      </c>
      <c r="S723" s="77">
        <v>45430</v>
      </c>
      <c r="T723" s="76"/>
      <c r="U723" s="65"/>
      <c r="V723" s="68"/>
      <c r="W723" s="70"/>
      <c r="X723" s="68"/>
      <c r="Y723" s="70"/>
      <c r="Z723" s="72"/>
    </row>
    <row r="724" spans="1:26" ht="15.75" hidden="1" customHeight="1" x14ac:dyDescent="0.25">
      <c r="A724" s="64">
        <v>5</v>
      </c>
      <c r="B724" s="62">
        <v>8463537</v>
      </c>
      <c r="C724" s="62" t="s">
        <v>25246</v>
      </c>
      <c r="D724" s="62" t="s">
        <v>25257</v>
      </c>
      <c r="E724" s="62" t="s">
        <v>26212</v>
      </c>
      <c r="F724" s="62" t="s">
        <v>26055</v>
      </c>
      <c r="G724" s="81" t="s">
        <v>19285</v>
      </c>
      <c r="H724" s="63">
        <v>45419</v>
      </c>
      <c r="I724" s="63">
        <v>45422</v>
      </c>
      <c r="J724" s="62">
        <v>4</v>
      </c>
      <c r="K724" s="62">
        <v>4</v>
      </c>
      <c r="L724" s="62" t="s">
        <v>24995</v>
      </c>
      <c r="M724" s="62" t="s">
        <v>24995</v>
      </c>
      <c r="N724" s="62" t="s">
        <v>19269</v>
      </c>
      <c r="O724" s="62" t="s">
        <v>2627</v>
      </c>
      <c r="P724" s="42" t="str">
        <f>+IF(O724="","",IFERROR(VLOOKUP(O724,CODIGO_DIAGNOSTICO,2,0),"CÓDIGO NO ENCONTRADO"))</f>
        <v>PARALISIS DE BELL</v>
      </c>
      <c r="Q724" s="62" t="s">
        <v>19231</v>
      </c>
      <c r="R724" s="64" t="s">
        <v>26213</v>
      </c>
      <c r="S724" s="75">
        <v>45419</v>
      </c>
      <c r="T724" s="75"/>
      <c r="U724" s="65"/>
      <c r="V724" s="62"/>
      <c r="W724" s="65"/>
      <c r="X724" s="62"/>
      <c r="Y724" s="65"/>
      <c r="Z724" s="73"/>
    </row>
    <row r="725" spans="1:26" ht="15.75" hidden="1" customHeight="1" x14ac:dyDescent="0.25">
      <c r="A725" s="67">
        <v>5</v>
      </c>
      <c r="B725" s="68">
        <v>71742698</v>
      </c>
      <c r="C725" s="68" t="s">
        <v>25348</v>
      </c>
      <c r="D725" s="68" t="s">
        <v>24980</v>
      </c>
      <c r="E725" s="68" t="s">
        <v>25040</v>
      </c>
      <c r="F725" s="68" t="s">
        <v>25103</v>
      </c>
      <c r="G725" s="81" t="s">
        <v>19285</v>
      </c>
      <c r="H725" s="69">
        <v>45419</v>
      </c>
      <c r="I725" s="69">
        <v>45428</v>
      </c>
      <c r="J725" s="68">
        <v>10</v>
      </c>
      <c r="K725" s="68">
        <v>10</v>
      </c>
      <c r="L725" s="68" t="s">
        <v>24995</v>
      </c>
      <c r="M725" s="68" t="s">
        <v>24995</v>
      </c>
      <c r="N725" s="62" t="s">
        <v>19269</v>
      </c>
      <c r="O725" s="68" t="s">
        <v>3514</v>
      </c>
      <c r="P725" s="42" t="str">
        <f>+IF(O725="","",IFERROR(VLOOKUP(O725,CODIGO_DIAGNOSTICO,2,0),"CÓDIGO NO ENCONTRADO"))</f>
        <v>VENAS VARICOSAS DE LOS MIEMBROS INFERIORES CON ULCERA E INFLAMACION</v>
      </c>
      <c r="Q725" s="68" t="s">
        <v>26152</v>
      </c>
      <c r="R725" s="67"/>
      <c r="S725" s="77"/>
      <c r="T725" s="76"/>
      <c r="U725" s="65"/>
      <c r="V725" s="68"/>
      <c r="W725" s="70"/>
      <c r="X725" s="68"/>
      <c r="Y725" s="70"/>
      <c r="Z725" s="72"/>
    </row>
    <row r="726" spans="1:26" ht="15.75" hidden="1" customHeight="1" x14ac:dyDescent="0.25">
      <c r="A726" s="64">
        <v>5</v>
      </c>
      <c r="B726" s="62">
        <v>1036955521</v>
      </c>
      <c r="C726" s="62" t="s">
        <v>25682</v>
      </c>
      <c r="D726" s="62" t="s">
        <v>25498</v>
      </c>
      <c r="E726" s="62" t="s">
        <v>25683</v>
      </c>
      <c r="F726" s="62"/>
      <c r="G726" s="81" t="s">
        <v>19285</v>
      </c>
      <c r="H726" s="63">
        <v>45419</v>
      </c>
      <c r="I726" s="63">
        <v>45420</v>
      </c>
      <c r="J726" s="62">
        <v>2</v>
      </c>
      <c r="K726" s="62">
        <v>2</v>
      </c>
      <c r="L726" s="62" t="s">
        <v>24995</v>
      </c>
      <c r="M726" s="62" t="s">
        <v>24995</v>
      </c>
      <c r="N726" s="62" t="s">
        <v>19269</v>
      </c>
      <c r="O726" s="62" t="s">
        <v>3583</v>
      </c>
      <c r="P726" s="42" t="str">
        <f>+IF(O726="","",IFERROR(VLOOKUP(O726,CODIGO_DIAGNOSTICO,2,0),"CÓDIGO NO ENCONTRADO"))</f>
        <v>INFECCION AGUDA DE LAS VIAS RESPIRATORIAS SUPERIORES, NO ESPECIFICADA</v>
      </c>
      <c r="Q726" s="62" t="s">
        <v>26152</v>
      </c>
      <c r="R726" s="64"/>
      <c r="S726" s="75"/>
      <c r="T726" s="75"/>
      <c r="U726" s="65"/>
      <c r="V726" s="62"/>
      <c r="W726" s="65"/>
      <c r="X726" s="62"/>
      <c r="Y726" s="65"/>
      <c r="Z726" s="73"/>
    </row>
    <row r="727" spans="1:26" ht="15.75" hidden="1" customHeight="1" x14ac:dyDescent="0.25">
      <c r="A727" s="67">
        <v>7</v>
      </c>
      <c r="B727" s="68">
        <v>15309929</v>
      </c>
      <c r="C727" s="68" t="s">
        <v>25047</v>
      </c>
      <c r="D727" s="68" t="s">
        <v>25012</v>
      </c>
      <c r="E727" s="68" t="s">
        <v>25048</v>
      </c>
      <c r="F727" s="68" t="s">
        <v>25014</v>
      </c>
      <c r="G727" s="81" t="s">
        <v>19285</v>
      </c>
      <c r="H727" s="69">
        <v>45420</v>
      </c>
      <c r="I727" s="69">
        <v>45434</v>
      </c>
      <c r="J727" s="68">
        <v>15</v>
      </c>
      <c r="K727" s="68">
        <v>15</v>
      </c>
      <c r="L727" s="68" t="s">
        <v>19262</v>
      </c>
      <c r="M727" s="68" t="s">
        <v>19262</v>
      </c>
      <c r="N727" s="62" t="s">
        <v>19269</v>
      </c>
      <c r="O727" s="68" t="s">
        <v>7734</v>
      </c>
      <c r="P727" s="42" t="str">
        <f>+IF(O727="","",IFERROR(VLOOKUP(O727,CODIGO_DIAGNOSTICO,2,0),"CÓDIGO NO ENCONTRADO"))</f>
        <v>DESGARRO DE MENISCOS, PRESENTE</v>
      </c>
      <c r="Q727" s="68" t="s">
        <v>26059</v>
      </c>
      <c r="R727" s="67"/>
      <c r="S727" s="77"/>
      <c r="T727" s="76"/>
      <c r="U727" s="65"/>
      <c r="V727" s="68"/>
      <c r="W727" s="70"/>
      <c r="X727" s="68"/>
      <c r="Y727" s="70"/>
      <c r="Z727" s="72"/>
    </row>
    <row r="728" spans="1:26" ht="15.75" hidden="1" customHeight="1" x14ac:dyDescent="0.25">
      <c r="A728" s="64">
        <v>5</v>
      </c>
      <c r="B728" s="62">
        <v>3669363</v>
      </c>
      <c r="C728" s="62" t="s">
        <v>25173</v>
      </c>
      <c r="D728" s="62" t="s">
        <v>24983</v>
      </c>
      <c r="E728" s="62" t="s">
        <v>19287</v>
      </c>
      <c r="F728" s="62" t="s">
        <v>25103</v>
      </c>
      <c r="G728" s="81" t="s">
        <v>19285</v>
      </c>
      <c r="H728" s="63">
        <v>45421</v>
      </c>
      <c r="I728" s="63">
        <v>45422</v>
      </c>
      <c r="J728" s="62">
        <v>2</v>
      </c>
      <c r="K728" s="62">
        <v>2</v>
      </c>
      <c r="L728" s="62" t="s">
        <v>24995</v>
      </c>
      <c r="M728" s="62" t="s">
        <v>24995</v>
      </c>
      <c r="N728" s="62" t="s">
        <v>19269</v>
      </c>
      <c r="O728" s="62" t="s">
        <v>15281</v>
      </c>
      <c r="P728" s="42" t="str">
        <f>+IF(O728="","",IFERROR(VLOOKUP(O728,CODIGO_DIAGNOSTICO,2,0),"CÓDIGO NO ENCONTRADO"))</f>
        <v>RINOFARINGITIS AGUDA (RESFRIADO COMUN)</v>
      </c>
      <c r="Q728" s="62" t="s">
        <v>26059</v>
      </c>
      <c r="R728" s="64"/>
      <c r="S728" s="75"/>
      <c r="T728" s="75"/>
      <c r="U728" s="65"/>
      <c r="V728" s="62"/>
      <c r="W728" s="65"/>
      <c r="X728" s="62"/>
      <c r="Y728" s="65"/>
      <c r="Z728" s="73"/>
    </row>
    <row r="729" spans="1:26" ht="15.75" hidden="1" customHeight="1" x14ac:dyDescent="0.25">
      <c r="A729" s="67">
        <v>5</v>
      </c>
      <c r="B729" s="68">
        <v>1036955521</v>
      </c>
      <c r="C729" s="68" t="s">
        <v>25682</v>
      </c>
      <c r="D729" s="68" t="s">
        <v>25498</v>
      </c>
      <c r="E729" s="68" t="s">
        <v>25683</v>
      </c>
      <c r="F729" s="68"/>
      <c r="G729" s="81" t="s">
        <v>19285</v>
      </c>
      <c r="H729" s="69">
        <v>45421</v>
      </c>
      <c r="I729" s="69">
        <v>45423</v>
      </c>
      <c r="J729" s="68">
        <v>3</v>
      </c>
      <c r="K729" s="68">
        <v>3</v>
      </c>
      <c r="L729" s="68" t="s">
        <v>24995</v>
      </c>
      <c r="M729" s="68" t="s">
        <v>24995</v>
      </c>
      <c r="N729" s="62" t="s">
        <v>19269</v>
      </c>
      <c r="O729" s="68" t="s">
        <v>539</v>
      </c>
      <c r="P729" s="42" t="str">
        <f>+IF(O729="","",IFERROR(VLOOKUP(O729,CODIGO_DIAGNOSTICO,2,0),"CÓDIGO NO ENCONTRADO"))</f>
        <v>INFECCION VIRAL, NO ESPECIFICADA</v>
      </c>
      <c r="Q729" s="68" t="s">
        <v>26152</v>
      </c>
      <c r="R729" s="67"/>
      <c r="S729" s="77"/>
      <c r="T729" s="76"/>
      <c r="U729" s="65"/>
      <c r="V729" s="68"/>
      <c r="W729" s="70"/>
      <c r="X729" s="68"/>
      <c r="Y729" s="70"/>
      <c r="Z729" s="72"/>
    </row>
    <row r="730" spans="1:26" ht="15.75" hidden="1" customHeight="1" x14ac:dyDescent="0.25">
      <c r="A730" s="64">
        <v>5</v>
      </c>
      <c r="B730" s="62">
        <v>35221646</v>
      </c>
      <c r="C730" s="62" t="s">
        <v>25846</v>
      </c>
      <c r="D730" s="62" t="s">
        <v>25100</v>
      </c>
      <c r="E730" s="62" t="s">
        <v>26218</v>
      </c>
      <c r="F730" s="62" t="s">
        <v>26219</v>
      </c>
      <c r="G730" s="81" t="s">
        <v>19285</v>
      </c>
      <c r="H730" s="63">
        <v>45421</v>
      </c>
      <c r="I730" s="63">
        <v>45429</v>
      </c>
      <c r="J730" s="62">
        <v>9</v>
      </c>
      <c r="K730" s="62">
        <v>9</v>
      </c>
      <c r="L730" s="62" t="s">
        <v>24995</v>
      </c>
      <c r="M730" s="62" t="s">
        <v>24995</v>
      </c>
      <c r="N730" s="62" t="s">
        <v>19269</v>
      </c>
      <c r="O730" s="62" t="s">
        <v>4026</v>
      </c>
      <c r="P730" s="42" t="str">
        <f>+IF(O730="","",IFERROR(VLOOKUP(O730,CODIGO_DIAGNOSTICO,2,0),"CÓDIGO NO ENCONTRADO"))</f>
        <v>COLITIS Y GASTROENTERITIS NO INFECCIOSAS, NO ESPECIFICADAS</v>
      </c>
      <c r="Q730" s="62" t="s">
        <v>26152</v>
      </c>
      <c r="R730" s="64"/>
      <c r="S730" s="75"/>
      <c r="T730" s="75"/>
      <c r="U730" s="65"/>
      <c r="V730" s="62"/>
      <c r="W730" s="65"/>
      <c r="X730" s="62"/>
      <c r="Y730" s="65"/>
      <c r="Z730" s="73"/>
    </row>
    <row r="731" spans="1:26" ht="15.75" hidden="1" customHeight="1" x14ac:dyDescent="0.25">
      <c r="A731" s="67">
        <v>5</v>
      </c>
      <c r="B731" s="68">
        <v>8463537</v>
      </c>
      <c r="C731" s="68" t="s">
        <v>25246</v>
      </c>
      <c r="D731" s="68" t="s">
        <v>25257</v>
      </c>
      <c r="E731" s="68" t="s">
        <v>26212</v>
      </c>
      <c r="F731" s="68" t="s">
        <v>26055</v>
      </c>
      <c r="G731" s="81" t="s">
        <v>19285</v>
      </c>
      <c r="H731" s="69">
        <v>45422</v>
      </c>
      <c r="I731" s="69">
        <v>45428</v>
      </c>
      <c r="J731" s="68">
        <v>7</v>
      </c>
      <c r="K731" s="68">
        <v>7</v>
      </c>
      <c r="L731" s="68" t="s">
        <v>24995</v>
      </c>
      <c r="M731" s="68" t="s">
        <v>24995</v>
      </c>
      <c r="N731" s="62" t="s">
        <v>19269</v>
      </c>
      <c r="O731" s="68" t="s">
        <v>2627</v>
      </c>
      <c r="P731" s="42" t="str">
        <f>+IF(O731="","",IFERROR(VLOOKUP(O731,CODIGO_DIAGNOSTICO,2,0),"CÓDIGO NO ENCONTRADO"))</f>
        <v>PARALISIS DE BELL</v>
      </c>
      <c r="Q731" s="68" t="s">
        <v>19231</v>
      </c>
      <c r="R731" s="67"/>
      <c r="S731" s="77"/>
      <c r="T731" s="76"/>
      <c r="U731" s="65"/>
      <c r="V731" s="68"/>
      <c r="W731" s="70"/>
      <c r="X731" s="68"/>
      <c r="Y731" s="70"/>
      <c r="Z731" s="72"/>
    </row>
    <row r="732" spans="1:26" ht="15.75" hidden="1" customHeight="1" x14ac:dyDescent="0.25">
      <c r="A732" s="64">
        <v>5</v>
      </c>
      <c r="B732" s="62">
        <v>70323164</v>
      </c>
      <c r="C732" s="62" t="s">
        <v>24992</v>
      </c>
      <c r="D732" s="62" t="s">
        <v>24985</v>
      </c>
      <c r="E732" s="62" t="s">
        <v>25188</v>
      </c>
      <c r="F732" s="62" t="s">
        <v>25146</v>
      </c>
      <c r="G732" s="81" t="s">
        <v>19285</v>
      </c>
      <c r="H732" s="63">
        <v>45423</v>
      </c>
      <c r="I732" s="63">
        <v>45431</v>
      </c>
      <c r="J732" s="62">
        <v>9</v>
      </c>
      <c r="K732" s="62">
        <v>9</v>
      </c>
      <c r="L732" s="62" t="s">
        <v>19262</v>
      </c>
      <c r="M732" s="62" t="s">
        <v>19262</v>
      </c>
      <c r="N732" s="62" t="s">
        <v>19269</v>
      </c>
      <c r="O732" s="62" t="s">
        <v>3693</v>
      </c>
      <c r="P732" s="42" t="str">
        <f>+IF(O732="","",IFERROR(VLOOKUP(O732,CODIGO_DIAGNOSTICO,2,0),"CÓDIGO NO ENCONTRADO"))</f>
        <v>ENFERMEDAD PULMONAR OBSTRUCTIVA CRONICA, NO ESPECIFICADA</v>
      </c>
      <c r="Q732" s="62" t="s">
        <v>26059</v>
      </c>
      <c r="R732" s="64"/>
      <c r="S732" s="75"/>
      <c r="T732" s="75"/>
      <c r="U732" s="65"/>
      <c r="V732" s="62"/>
      <c r="W732" s="65"/>
      <c r="X732" s="62"/>
      <c r="Y732" s="65"/>
      <c r="Z732" s="73"/>
    </row>
    <row r="733" spans="1:26" ht="15.75" hidden="1" customHeight="1" x14ac:dyDescent="0.25">
      <c r="A733" s="67">
        <v>5</v>
      </c>
      <c r="B733" s="68">
        <v>98700987</v>
      </c>
      <c r="C733" s="68" t="s">
        <v>25326</v>
      </c>
      <c r="D733" s="68" t="s">
        <v>25462</v>
      </c>
      <c r="E733" s="68" t="s">
        <v>6</v>
      </c>
      <c r="F733" s="68" t="s">
        <v>25878</v>
      </c>
      <c r="G733" s="81" t="s">
        <v>19285</v>
      </c>
      <c r="H733" s="69">
        <v>45423</v>
      </c>
      <c r="I733" s="69">
        <v>45427</v>
      </c>
      <c r="J733" s="68">
        <v>5</v>
      </c>
      <c r="K733" s="68">
        <v>5</v>
      </c>
      <c r="L733" s="68" t="s">
        <v>19262</v>
      </c>
      <c r="M733" s="68" t="s">
        <v>24995</v>
      </c>
      <c r="N733" s="62" t="s">
        <v>19269</v>
      </c>
      <c r="O733" s="68" t="s">
        <v>5217</v>
      </c>
      <c r="P733" s="42" t="str">
        <f>+IF(O733="","",IFERROR(VLOOKUP(O733,CODIGO_DIAGNOSTICO,2,0),"CÓDIGO NO ENCONTRADO"))</f>
        <v>CALCULO DEL URETER</v>
      </c>
      <c r="Q733" s="68" t="s">
        <v>26059</v>
      </c>
      <c r="R733" s="67">
        <v>9352849</v>
      </c>
      <c r="S733" s="77">
        <v>45430</v>
      </c>
      <c r="T733" s="76"/>
      <c r="U733" s="65"/>
      <c r="V733" s="68"/>
      <c r="W733" s="70"/>
      <c r="X733" s="68"/>
      <c r="Y733" s="70"/>
      <c r="Z733" s="72"/>
    </row>
    <row r="734" spans="1:26" ht="15.75" hidden="1" customHeight="1" x14ac:dyDescent="0.25">
      <c r="A734" s="64">
        <v>5</v>
      </c>
      <c r="B734" s="62">
        <v>12625299</v>
      </c>
      <c r="C734" s="62" t="s">
        <v>25321</v>
      </c>
      <c r="D734" s="62" t="s">
        <v>25322</v>
      </c>
      <c r="E734" s="62" t="s">
        <v>25323</v>
      </c>
      <c r="F734" s="62" t="s">
        <v>25064</v>
      </c>
      <c r="G734" s="81" t="s">
        <v>19285</v>
      </c>
      <c r="H734" s="63">
        <v>45427</v>
      </c>
      <c r="I734" s="63">
        <v>45436</v>
      </c>
      <c r="J734" s="62">
        <v>10</v>
      </c>
      <c r="K734" s="62">
        <v>10</v>
      </c>
      <c r="L734" s="62" t="s">
        <v>19262</v>
      </c>
      <c r="M734" s="62" t="s">
        <v>19262</v>
      </c>
      <c r="N734" s="62" t="s">
        <v>19269</v>
      </c>
      <c r="O734" s="62" t="s">
        <v>4790</v>
      </c>
      <c r="P734" s="42" t="str">
        <f>+IF(O734="","",IFERROR(VLOOKUP(O734,CODIGO_DIAGNOSTICO,2,0),"CÓDIGO NO ENCONTRADO"))</f>
        <v>DISCITIS, NO ESPECIFICADA</v>
      </c>
      <c r="Q734" s="62" t="s">
        <v>26059</v>
      </c>
      <c r="R734" s="64">
        <v>9352839</v>
      </c>
      <c r="S734" s="75">
        <v>45430</v>
      </c>
      <c r="T734" s="75"/>
      <c r="U734" s="65"/>
      <c r="V734" s="62"/>
      <c r="W734" s="65"/>
      <c r="X734" s="62"/>
      <c r="Y734" s="65"/>
      <c r="Z734" s="73"/>
    </row>
    <row r="735" spans="1:26" ht="15.75" hidden="1" customHeight="1" x14ac:dyDescent="0.25">
      <c r="A735" s="67">
        <v>5</v>
      </c>
      <c r="B735" s="68">
        <v>71651935</v>
      </c>
      <c r="C735" s="68" t="s">
        <v>25635</v>
      </c>
      <c r="D735" s="68" t="s">
        <v>25480</v>
      </c>
      <c r="E735" s="68" t="s">
        <v>25282</v>
      </c>
      <c r="F735" s="68" t="s">
        <v>25028</v>
      </c>
      <c r="G735" s="81" t="s">
        <v>19285</v>
      </c>
      <c r="H735" s="69">
        <v>45427</v>
      </c>
      <c r="I735" s="69">
        <v>45456</v>
      </c>
      <c r="J735" s="68">
        <v>30</v>
      </c>
      <c r="K735" s="68">
        <v>30</v>
      </c>
      <c r="L735" s="68" t="s">
        <v>19262</v>
      </c>
      <c r="M735" s="68" t="s">
        <v>19262</v>
      </c>
      <c r="N735" s="62" t="s">
        <v>19269</v>
      </c>
      <c r="O735" s="68" t="s">
        <v>903</v>
      </c>
      <c r="P735" s="42" t="str">
        <f>+IF(O735="","",IFERROR(VLOOKUP(O735,CODIGO_DIAGNOSTICO,2,0),"CÓDIGO NO ENCONTRADO"))</f>
        <v>TUMOR MALIGNO DEL COLON, PARTE NO ESPECIFICADA</v>
      </c>
      <c r="Q735" s="68" t="s">
        <v>24996</v>
      </c>
      <c r="R735" s="67"/>
      <c r="S735" s="77"/>
      <c r="T735" s="76"/>
      <c r="U735" s="65"/>
      <c r="V735" s="68"/>
      <c r="W735" s="70"/>
      <c r="X735" s="68"/>
      <c r="Y735" s="70"/>
      <c r="Z735" s="72"/>
    </row>
    <row r="736" spans="1:26" ht="15.75" hidden="1" customHeight="1" x14ac:dyDescent="0.25">
      <c r="A736" s="64">
        <v>5</v>
      </c>
      <c r="B736" s="62">
        <v>71612312</v>
      </c>
      <c r="C736" s="62" t="s">
        <v>25812</v>
      </c>
      <c r="D736" s="62" t="s">
        <v>25813</v>
      </c>
      <c r="E736" s="62" t="s">
        <v>25359</v>
      </c>
      <c r="F736" s="62" t="s">
        <v>25548</v>
      </c>
      <c r="G736" s="81" t="s">
        <v>19285</v>
      </c>
      <c r="H736" s="63">
        <v>45427</v>
      </c>
      <c r="I736" s="63">
        <v>45456</v>
      </c>
      <c r="J736" s="62">
        <v>30</v>
      </c>
      <c r="K736" s="62">
        <v>30</v>
      </c>
      <c r="L736" s="62" t="s">
        <v>24995</v>
      </c>
      <c r="M736" s="62" t="s">
        <v>19262</v>
      </c>
      <c r="N736" s="62" t="s">
        <v>19269</v>
      </c>
      <c r="O736" s="62" t="s">
        <v>7367</v>
      </c>
      <c r="P736" s="42" t="str">
        <f>+IF(O736="","",IFERROR(VLOOKUP(O736,CODIGO_DIAGNOSTICO,2,0),"CÓDIGO NO ENCONTRADO"))</f>
        <v>FRACTURA DE VERTEBRA TORACICA</v>
      </c>
      <c r="Q736" s="62" t="s">
        <v>26059</v>
      </c>
      <c r="R736" s="64"/>
      <c r="S736" s="75"/>
      <c r="T736" s="75"/>
      <c r="U736" s="65"/>
      <c r="V736" s="62"/>
      <c r="W736" s="65"/>
      <c r="X736" s="62"/>
      <c r="Y736" s="65"/>
      <c r="Z736" s="73"/>
    </row>
    <row r="737" spans="1:26" ht="15.75" hidden="1" customHeight="1" x14ac:dyDescent="0.25">
      <c r="A737" s="67">
        <v>5</v>
      </c>
      <c r="B737" s="68">
        <v>15438636</v>
      </c>
      <c r="C737" s="68" t="s">
        <v>25993</v>
      </c>
      <c r="D737" s="68" t="s">
        <v>25373</v>
      </c>
      <c r="E737" s="68" t="s">
        <v>25691</v>
      </c>
      <c r="F737" s="68" t="s">
        <v>25110</v>
      </c>
      <c r="G737" s="81" t="s">
        <v>19285</v>
      </c>
      <c r="H737" s="69">
        <v>45428</v>
      </c>
      <c r="I737" s="69">
        <v>45429</v>
      </c>
      <c r="J737" s="68">
        <v>2</v>
      </c>
      <c r="K737" s="68">
        <v>2</v>
      </c>
      <c r="L737" s="68" t="s">
        <v>24995</v>
      </c>
      <c r="M737" s="68" t="s">
        <v>24995</v>
      </c>
      <c r="N737" s="62" t="s">
        <v>19269</v>
      </c>
      <c r="O737" s="68" t="s">
        <v>85</v>
      </c>
      <c r="P737" s="42" t="str">
        <f>+IF(O737="","",IFERROR(VLOOKUP(O737,CODIGO_DIAGNOSTICO,2,0),"CÓDIGO NO ENCONTRADO"))</f>
        <v>OTRAS ENTERITIS VIRALES</v>
      </c>
      <c r="Q737" s="68" t="s">
        <v>26059</v>
      </c>
      <c r="R737" s="67"/>
      <c r="S737" s="77"/>
      <c r="T737" s="76"/>
      <c r="U737" s="65"/>
      <c r="V737" s="68"/>
      <c r="W737" s="70"/>
      <c r="X737" s="68"/>
      <c r="Y737" s="70"/>
      <c r="Z737" s="72"/>
    </row>
    <row r="738" spans="1:26" ht="15.75" hidden="1" customHeight="1" x14ac:dyDescent="0.25">
      <c r="A738" s="64">
        <v>5</v>
      </c>
      <c r="B738" s="62">
        <v>1040737050</v>
      </c>
      <c r="C738" s="62" t="s">
        <v>25467</v>
      </c>
      <c r="D738" s="62" t="s">
        <v>26214</v>
      </c>
      <c r="E738" s="62" t="s">
        <v>25618</v>
      </c>
      <c r="F738" s="62" t="s">
        <v>25469</v>
      </c>
      <c r="G738" s="81" t="s">
        <v>19285</v>
      </c>
      <c r="H738" s="63">
        <v>45428</v>
      </c>
      <c r="I738" s="63">
        <v>45431</v>
      </c>
      <c r="J738" s="62">
        <v>4</v>
      </c>
      <c r="K738" s="62">
        <v>4</v>
      </c>
      <c r="L738" s="62" t="s">
        <v>24995</v>
      </c>
      <c r="M738" s="62" t="s">
        <v>24995</v>
      </c>
      <c r="N738" s="62" t="s">
        <v>19263</v>
      </c>
      <c r="O738" s="62" t="s">
        <v>7247</v>
      </c>
      <c r="P738" s="42" t="str">
        <f>+IF(O738="","",IFERROR(VLOOKUP(O738,CODIGO_DIAGNOSTICO,2,0),"CÓDIGO NO ENCONTRADO"))</f>
        <v>HERIDA DE LA CABEZA, PARTE NO ESPECIFICADA</v>
      </c>
      <c r="Q738" s="62" t="s">
        <v>25001</v>
      </c>
      <c r="R738" s="64"/>
      <c r="S738" s="75"/>
      <c r="T738" s="75"/>
      <c r="U738" s="65"/>
      <c r="V738" s="62"/>
      <c r="W738" s="65"/>
      <c r="X738" s="62"/>
      <c r="Y738" s="65"/>
      <c r="Z738" s="73"/>
    </row>
    <row r="739" spans="1:26" ht="15.75" hidden="1" customHeight="1" x14ac:dyDescent="0.25">
      <c r="A739" s="67">
        <v>5</v>
      </c>
      <c r="B739" s="68">
        <v>39416443</v>
      </c>
      <c r="C739" s="68" t="s">
        <v>24992</v>
      </c>
      <c r="D739" s="68" t="s">
        <v>26216</v>
      </c>
      <c r="E739" s="68" t="s">
        <v>26217</v>
      </c>
      <c r="F739" s="68"/>
      <c r="G739" s="81" t="s">
        <v>19285</v>
      </c>
      <c r="H739" s="69">
        <v>45428</v>
      </c>
      <c r="I739" s="69">
        <v>45429</v>
      </c>
      <c r="J739" s="68">
        <v>2</v>
      </c>
      <c r="K739" s="68">
        <v>2</v>
      </c>
      <c r="L739" s="68" t="s">
        <v>24995</v>
      </c>
      <c r="M739" s="68" t="s">
        <v>24995</v>
      </c>
      <c r="N739" s="62" t="s">
        <v>19269</v>
      </c>
      <c r="O739" s="68" t="s">
        <v>4951</v>
      </c>
      <c r="P739" s="42" t="str">
        <f>+IF(O739="","",IFERROR(VLOOKUP(O739,CODIGO_DIAGNOSTICO,2,0),"CÓDIGO NO ENCONTRADO"))</f>
        <v>DOLOR EN MIEMBRO</v>
      </c>
      <c r="Q739" s="68" t="s">
        <v>26059</v>
      </c>
      <c r="R739" s="67"/>
      <c r="S739" s="77"/>
      <c r="T739" s="76"/>
      <c r="U739" s="65"/>
      <c r="V739" s="68"/>
      <c r="W739" s="70"/>
      <c r="X739" s="68"/>
      <c r="Y739" s="70"/>
      <c r="Z739" s="72"/>
    </row>
    <row r="740" spans="1:26" ht="15.75" hidden="1" customHeight="1" x14ac:dyDescent="0.25">
      <c r="A740" s="64">
        <v>5</v>
      </c>
      <c r="B740" s="62">
        <v>15438636</v>
      </c>
      <c r="C740" s="62" t="s">
        <v>25137</v>
      </c>
      <c r="D740" s="62" t="s">
        <v>25373</v>
      </c>
      <c r="E740" s="62" t="s">
        <v>25691</v>
      </c>
      <c r="F740" s="62" t="s">
        <v>25110</v>
      </c>
      <c r="G740" s="81" t="s">
        <v>19285</v>
      </c>
      <c r="H740" s="63">
        <v>45428</v>
      </c>
      <c r="I740" s="63">
        <v>45429</v>
      </c>
      <c r="J740" s="62">
        <v>2</v>
      </c>
      <c r="K740" s="62">
        <v>2</v>
      </c>
      <c r="L740" s="62" t="s">
        <v>24995</v>
      </c>
      <c r="M740" s="62" t="s">
        <v>24995</v>
      </c>
      <c r="N740" s="62" t="s">
        <v>19269</v>
      </c>
      <c r="O740" s="62" t="s">
        <v>85</v>
      </c>
      <c r="P740" s="42" t="str">
        <f>+IF(O740="","",IFERROR(VLOOKUP(O740,CODIGO_DIAGNOSTICO,2,0),"CÓDIGO NO ENCONTRADO"))</f>
        <v>OTRAS ENTERITIS VIRALES</v>
      </c>
      <c r="Q740" s="62" t="s">
        <v>26059</v>
      </c>
      <c r="R740" s="64"/>
      <c r="S740" s="75"/>
      <c r="T740" s="75"/>
      <c r="U740" s="65"/>
      <c r="V740" s="62"/>
      <c r="W740" s="65"/>
      <c r="X740" s="62"/>
      <c r="Y740" s="65"/>
      <c r="Z740" s="73"/>
    </row>
    <row r="741" spans="1:26" ht="15.75" hidden="1" customHeight="1" x14ac:dyDescent="0.25">
      <c r="A741" s="67">
        <v>5</v>
      </c>
      <c r="B741" s="68">
        <v>71742698</v>
      </c>
      <c r="C741" s="68" t="s">
        <v>25348</v>
      </c>
      <c r="D741" s="68" t="s">
        <v>24980</v>
      </c>
      <c r="E741" s="68" t="s">
        <v>25448</v>
      </c>
      <c r="F741" s="68" t="s">
        <v>25103</v>
      </c>
      <c r="G741" s="81" t="s">
        <v>19285</v>
      </c>
      <c r="H741" s="69">
        <v>45429</v>
      </c>
      <c r="I741" s="69">
        <v>45434</v>
      </c>
      <c r="J741" s="68">
        <v>6</v>
      </c>
      <c r="K741" s="68">
        <v>6</v>
      </c>
      <c r="L741" s="68" t="s">
        <v>24995</v>
      </c>
      <c r="M741" s="68" t="s">
        <v>24995</v>
      </c>
      <c r="N741" s="62" t="s">
        <v>19269</v>
      </c>
      <c r="O741" s="68" t="s">
        <v>3514</v>
      </c>
      <c r="P741" s="42" t="str">
        <f>+IF(O741="","",IFERROR(VLOOKUP(O741,CODIGO_DIAGNOSTICO,2,0),"CÓDIGO NO ENCONTRADO"))</f>
        <v>VENAS VARICOSAS DE LOS MIEMBROS INFERIORES CON ULCERA E INFLAMACION</v>
      </c>
      <c r="Q741" s="68" t="s">
        <v>26152</v>
      </c>
      <c r="R741" s="67"/>
      <c r="S741" s="77"/>
      <c r="T741" s="76"/>
      <c r="U741" s="65"/>
      <c r="V741" s="68"/>
      <c r="W741" s="70"/>
      <c r="X741" s="68"/>
      <c r="Y741" s="70"/>
      <c r="Z741" s="72"/>
    </row>
    <row r="742" spans="1:26" ht="15.75" hidden="1" customHeight="1" x14ac:dyDescent="0.25">
      <c r="A742" s="64">
        <v>5</v>
      </c>
      <c r="B742" s="62">
        <v>8463537</v>
      </c>
      <c r="C742" s="62" t="s">
        <v>25246</v>
      </c>
      <c r="D742" s="62" t="s">
        <v>25257</v>
      </c>
      <c r="E742" s="62" t="s">
        <v>26212</v>
      </c>
      <c r="F742" s="62" t="s">
        <v>26055</v>
      </c>
      <c r="G742" s="81" t="s">
        <v>19285</v>
      </c>
      <c r="H742" s="63">
        <v>45429</v>
      </c>
      <c r="I742" s="63">
        <v>45433</v>
      </c>
      <c r="J742" s="62">
        <v>5</v>
      </c>
      <c r="K742" s="62">
        <v>5</v>
      </c>
      <c r="L742" s="62" t="s">
        <v>24995</v>
      </c>
      <c r="M742" s="62" t="s">
        <v>24995</v>
      </c>
      <c r="N742" s="62" t="s">
        <v>19269</v>
      </c>
      <c r="O742" s="62" t="s">
        <v>2633</v>
      </c>
      <c r="P742" s="42" t="str">
        <f>+IF(O742="","",IFERROR(VLOOKUP(O742,CODIGO_DIAGNOSTICO,2,0),"CÓDIGO NO ENCONTRADO"))</f>
        <v>TRASTORNOS DEL NERVIO FACIAL, NO ESPECIFICADO</v>
      </c>
      <c r="Q742" s="62" t="s">
        <v>19231</v>
      </c>
      <c r="R742" s="64"/>
      <c r="S742" s="75"/>
      <c r="T742" s="75"/>
      <c r="U742" s="65"/>
      <c r="V742" s="62"/>
      <c r="W742" s="65"/>
      <c r="X742" s="62"/>
      <c r="Y742" s="65"/>
      <c r="Z742" s="73"/>
    </row>
    <row r="743" spans="1:26" ht="15.75" hidden="1" customHeight="1" x14ac:dyDescent="0.25">
      <c r="A743" s="67">
        <v>6</v>
      </c>
      <c r="B743" s="68">
        <v>1020452896</v>
      </c>
      <c r="C743" s="68" t="s">
        <v>25829</v>
      </c>
      <c r="D743" s="68" t="s">
        <v>25197</v>
      </c>
      <c r="E743" s="68" t="s">
        <v>25116</v>
      </c>
      <c r="F743" s="68" t="s">
        <v>25010</v>
      </c>
      <c r="G743" s="81" t="s">
        <v>19285</v>
      </c>
      <c r="H743" s="69">
        <v>45429</v>
      </c>
      <c r="I743" s="69">
        <v>45431</v>
      </c>
      <c r="J743" s="68">
        <v>3</v>
      </c>
      <c r="K743" s="68">
        <v>3</v>
      </c>
      <c r="L743" s="68" t="s">
        <v>24995</v>
      </c>
      <c r="M743" s="68" t="s">
        <v>24995</v>
      </c>
      <c r="N743" s="62" t="s">
        <v>19269</v>
      </c>
      <c r="O743" s="68" t="s">
        <v>2802</v>
      </c>
      <c r="P743" s="42" t="str">
        <f>+IF(O743="","",IFERROR(VLOOKUP(O743,CODIGO_DIAGNOSTICO,2,0),"CÓDIGO NO ENCONTRADO"))</f>
        <v>ORZUELO Y OTRAS INFLAMACIONES PROFUNDAS DEL PARPADO</v>
      </c>
      <c r="Q743" s="68" t="s">
        <v>26059</v>
      </c>
      <c r="R743" s="67"/>
      <c r="S743" s="77"/>
      <c r="T743" s="76"/>
      <c r="U743" s="65"/>
      <c r="V743" s="68"/>
      <c r="W743" s="70"/>
      <c r="X743" s="68"/>
      <c r="Y743" s="70"/>
      <c r="Z743" s="72"/>
    </row>
    <row r="744" spans="1:26" ht="15.75" hidden="1" customHeight="1" x14ac:dyDescent="0.25">
      <c r="A744" s="64">
        <v>5</v>
      </c>
      <c r="B744" s="62">
        <v>98711080</v>
      </c>
      <c r="C744" s="62" t="s">
        <v>25523</v>
      </c>
      <c r="D744" s="62" t="s">
        <v>25443</v>
      </c>
      <c r="E744" s="62" t="s">
        <v>25430</v>
      </c>
      <c r="F744" s="62" t="s">
        <v>25119</v>
      </c>
      <c r="G744" s="81" t="s">
        <v>19285</v>
      </c>
      <c r="H744" s="63">
        <v>45431</v>
      </c>
      <c r="I744" s="63">
        <v>45433</v>
      </c>
      <c r="J744" s="62">
        <v>3</v>
      </c>
      <c r="K744" s="62">
        <v>3</v>
      </c>
      <c r="L744" s="62" t="s">
        <v>24995</v>
      </c>
      <c r="M744" s="62" t="s">
        <v>24995</v>
      </c>
      <c r="N744" s="62" t="s">
        <v>19269</v>
      </c>
      <c r="O744" s="62" t="s">
        <v>5226</v>
      </c>
      <c r="P744" s="42" t="str">
        <f>+IF(O744="","",IFERROR(VLOOKUP(O744,CODIGO_DIAGNOSTICO,2,0),"CÓDIGO NO ENCONTRADO"))</f>
        <v>COLICO RENAL, NO ESPECIFICADO</v>
      </c>
      <c r="Q744" s="62" t="s">
        <v>26059</v>
      </c>
      <c r="R744" s="64"/>
      <c r="S744" s="75"/>
      <c r="T744" s="75"/>
      <c r="U744" s="65"/>
      <c r="V744" s="62"/>
      <c r="W744" s="65"/>
      <c r="X744" s="62"/>
      <c r="Y744" s="65"/>
      <c r="Z744" s="73"/>
    </row>
    <row r="745" spans="1:26" ht="15.75" hidden="1" customHeight="1" x14ac:dyDescent="0.25">
      <c r="A745" s="67">
        <v>5</v>
      </c>
      <c r="B745" s="68">
        <v>71676289</v>
      </c>
      <c r="C745" s="68" t="s">
        <v>25702</v>
      </c>
      <c r="D745" s="68" t="s">
        <v>25012</v>
      </c>
      <c r="E745" s="68" t="s">
        <v>25016</v>
      </c>
      <c r="F745" s="68" t="s">
        <v>25004</v>
      </c>
      <c r="G745" s="81" t="s">
        <v>19285</v>
      </c>
      <c r="H745" s="69">
        <v>45431</v>
      </c>
      <c r="I745" s="69">
        <v>45460</v>
      </c>
      <c r="J745" s="68">
        <v>30</v>
      </c>
      <c r="K745" s="68">
        <v>30</v>
      </c>
      <c r="L745" s="68" t="s">
        <v>24995</v>
      </c>
      <c r="M745" s="68" t="s">
        <v>24995</v>
      </c>
      <c r="N745" s="62" t="s">
        <v>19269</v>
      </c>
      <c r="O745" s="68" t="s">
        <v>3483</v>
      </c>
      <c r="P745" s="42" t="str">
        <f>+IF(O745="","",IFERROR(VLOOKUP(O745,CODIGO_DIAGNOSTICO,2,0),"CÓDIGO NO ENCONTRADO"))</f>
        <v>ESTRECHEZ ARTERIAL</v>
      </c>
      <c r="Q745" s="68" t="s">
        <v>26059</v>
      </c>
      <c r="R745" s="67"/>
      <c r="S745" s="77"/>
      <c r="T745" s="76"/>
      <c r="U745" s="65"/>
      <c r="V745" s="68"/>
      <c r="W745" s="70"/>
      <c r="X745" s="68"/>
      <c r="Y745" s="70"/>
      <c r="Z745" s="72"/>
    </row>
    <row r="746" spans="1:26" ht="15.75" hidden="1" customHeight="1" x14ac:dyDescent="0.25">
      <c r="A746" s="64">
        <v>5</v>
      </c>
      <c r="B746" s="62">
        <v>70323164</v>
      </c>
      <c r="C746" s="62" t="s">
        <v>25145</v>
      </c>
      <c r="D746" s="62" t="s">
        <v>24985</v>
      </c>
      <c r="E746" s="62" t="s">
        <v>25188</v>
      </c>
      <c r="F746" s="62" t="s">
        <v>25146</v>
      </c>
      <c r="G746" s="81" t="s">
        <v>19285</v>
      </c>
      <c r="H746" s="63">
        <v>45432</v>
      </c>
      <c r="I746" s="63">
        <v>45440</v>
      </c>
      <c r="J746" s="62">
        <v>9</v>
      </c>
      <c r="K746" s="62">
        <v>9</v>
      </c>
      <c r="L746" s="62" t="s">
        <v>19262</v>
      </c>
      <c r="M746" s="62" t="s">
        <v>19262</v>
      </c>
      <c r="N746" s="62" t="s">
        <v>19269</v>
      </c>
      <c r="O746" s="62" t="s">
        <v>3693</v>
      </c>
      <c r="P746" s="42" t="str">
        <f>+IF(O746="","",IFERROR(VLOOKUP(O746,CODIGO_DIAGNOSTICO,2,0),"CÓDIGO NO ENCONTRADO"))</f>
        <v>ENFERMEDAD PULMONAR OBSTRUCTIVA CRONICA, NO ESPECIFICADA</v>
      </c>
      <c r="Q746" s="62" t="s">
        <v>26059</v>
      </c>
      <c r="R746" s="64"/>
      <c r="S746" s="75"/>
      <c r="T746" s="75"/>
      <c r="U746" s="65"/>
      <c r="V746" s="62"/>
      <c r="W746" s="65"/>
      <c r="X746" s="62"/>
      <c r="Y746" s="65"/>
      <c r="Z746" s="73"/>
    </row>
    <row r="747" spans="1:26" ht="15.75" hidden="1" customHeight="1" x14ac:dyDescent="0.25">
      <c r="A747" s="67">
        <v>5</v>
      </c>
      <c r="B747" s="68">
        <v>70108742</v>
      </c>
      <c r="C747" s="68" t="s">
        <v>25111</v>
      </c>
      <c r="D747" s="68" t="s">
        <v>25510</v>
      </c>
      <c r="E747" s="68" t="s">
        <v>25884</v>
      </c>
      <c r="F747" s="68"/>
      <c r="G747" s="81" t="s">
        <v>19285</v>
      </c>
      <c r="H747" s="69">
        <v>45432</v>
      </c>
      <c r="I747" s="69">
        <v>45433</v>
      </c>
      <c r="J747" s="68">
        <v>2</v>
      </c>
      <c r="K747" s="68">
        <v>2</v>
      </c>
      <c r="L747" s="68" t="s">
        <v>24995</v>
      </c>
      <c r="M747" s="68" t="s">
        <v>24995</v>
      </c>
      <c r="N747" s="62" t="s">
        <v>19269</v>
      </c>
      <c r="O747" s="68" t="s">
        <v>3631</v>
      </c>
      <c r="P747" s="42" t="str">
        <f>+IF(O747="","",IFERROR(VLOOKUP(O747,CODIGO_DIAGNOSTICO,2,0),"CÓDIGO NO ENCONTRADO"))</f>
        <v>BRONQUIOLITIS AGUDA, NO ESPECIFICADA</v>
      </c>
      <c r="Q747" s="68" t="s">
        <v>19230</v>
      </c>
      <c r="R747" s="67"/>
      <c r="S747" s="77"/>
      <c r="T747" s="76"/>
      <c r="U747" s="65"/>
      <c r="V747" s="68"/>
      <c r="W747" s="70"/>
      <c r="X747" s="68"/>
      <c r="Y747" s="70"/>
      <c r="Z747" s="72"/>
    </row>
    <row r="748" spans="1:26" ht="15.75" hidden="1" customHeight="1" x14ac:dyDescent="0.25">
      <c r="A748" s="64">
        <v>5</v>
      </c>
      <c r="B748" s="62">
        <v>1017207367</v>
      </c>
      <c r="C748" s="62" t="s">
        <v>25053</v>
      </c>
      <c r="D748" s="62" t="s">
        <v>25140</v>
      </c>
      <c r="E748" s="62" t="s">
        <v>25135</v>
      </c>
      <c r="F748" s="62"/>
      <c r="G748" s="81" t="s">
        <v>26178</v>
      </c>
      <c r="H748" s="63">
        <v>45433</v>
      </c>
      <c r="I748" s="63">
        <v>45462</v>
      </c>
      <c r="J748" s="62">
        <v>30</v>
      </c>
      <c r="K748" s="62">
        <v>30</v>
      </c>
      <c r="L748" s="62" t="s">
        <v>19262</v>
      </c>
      <c r="M748" s="62" t="s">
        <v>19262</v>
      </c>
      <c r="N748" s="62" t="s">
        <v>19263</v>
      </c>
      <c r="O748" s="62" t="s">
        <v>7725</v>
      </c>
      <c r="P748" s="42" t="str">
        <f>+IF(O748="","",IFERROR(VLOOKUP(O748,CODIGO_DIAGNOSTICO,2,0),"CÓDIGO NO ENCONTRADO"))</f>
        <v>FRACTURA DE LA EPIFISIS INFERIOR DE LA TIBIA</v>
      </c>
      <c r="Q748" s="62" t="s">
        <v>25001</v>
      </c>
      <c r="R748" s="64"/>
      <c r="S748" s="75"/>
      <c r="T748" s="75"/>
      <c r="U748" s="65"/>
      <c r="V748" s="62"/>
      <c r="W748" s="65"/>
      <c r="X748" s="62"/>
      <c r="Y748" s="65"/>
      <c r="Z748" s="73"/>
    </row>
    <row r="749" spans="1:26" ht="15.75" hidden="1" customHeight="1" x14ac:dyDescent="0.25">
      <c r="A749" s="67">
        <v>5</v>
      </c>
      <c r="B749" s="68">
        <v>98452593</v>
      </c>
      <c r="C749" s="68" t="s">
        <v>25747</v>
      </c>
      <c r="D749" s="68" t="s">
        <v>25748</v>
      </c>
      <c r="E749" s="68" t="s">
        <v>25663</v>
      </c>
      <c r="F749" s="68" t="s">
        <v>25333</v>
      </c>
      <c r="G749" s="81" t="s">
        <v>19285</v>
      </c>
      <c r="H749" s="69">
        <v>45433</v>
      </c>
      <c r="I749" s="69">
        <v>45447</v>
      </c>
      <c r="J749" s="68">
        <v>15</v>
      </c>
      <c r="K749" s="68">
        <v>15</v>
      </c>
      <c r="L749" s="68" t="s">
        <v>24995</v>
      </c>
      <c r="M749" s="68" t="s">
        <v>24995</v>
      </c>
      <c r="N749" s="62" t="s">
        <v>19269</v>
      </c>
      <c r="O749" s="68" t="s">
        <v>7058</v>
      </c>
      <c r="P749" s="42" t="str">
        <f>+IF(O749="","",IFERROR(VLOOKUP(O749,CODIGO_DIAGNOSTICO,2,0),"CÓDIGO NO ENCONTRADO"))</f>
        <v>DOLOR AGUDO</v>
      </c>
      <c r="Q749" s="68" t="s">
        <v>26059</v>
      </c>
      <c r="R749" s="67"/>
      <c r="S749" s="77"/>
      <c r="T749" s="76"/>
      <c r="U749" s="65"/>
      <c r="V749" s="68"/>
      <c r="W749" s="70"/>
      <c r="X749" s="68"/>
      <c r="Y749" s="70"/>
      <c r="Z749" s="72"/>
    </row>
    <row r="750" spans="1:26" ht="15.75" hidden="1" customHeight="1" x14ac:dyDescent="0.25">
      <c r="A750" s="64">
        <v>5</v>
      </c>
      <c r="B750" s="62">
        <v>1128467712</v>
      </c>
      <c r="C750" s="62" t="s">
        <v>25456</v>
      </c>
      <c r="D750" s="62" t="s">
        <v>19258</v>
      </c>
      <c r="E750" s="62" t="s">
        <v>25879</v>
      </c>
      <c r="F750" s="62" t="s">
        <v>25880</v>
      </c>
      <c r="G750" s="81" t="s">
        <v>26166</v>
      </c>
      <c r="H750" s="63">
        <v>45435</v>
      </c>
      <c r="I750" s="63">
        <v>45435</v>
      </c>
      <c r="J750" s="62">
        <v>1</v>
      </c>
      <c r="K750" s="62">
        <v>1</v>
      </c>
      <c r="L750" s="62" t="s">
        <v>19262</v>
      </c>
      <c r="M750" s="62" t="s">
        <v>24995</v>
      </c>
      <c r="N750" s="62" t="s">
        <v>19269</v>
      </c>
      <c r="O750" s="62" t="s">
        <v>86</v>
      </c>
      <c r="P750" s="42" t="str">
        <f>+IF(O750="","",IFERROR(VLOOKUP(O750,CODIGO_DIAGNOSTICO,2,0),"CÓDIGO NO ENCONTRADO"))</f>
        <v>INFECCION INTESTINAL VIRAL, SIN OTRA ESPECIFICACION</v>
      </c>
      <c r="Q750" s="62" t="s">
        <v>26059</v>
      </c>
      <c r="R750" s="64"/>
      <c r="S750" s="75"/>
      <c r="T750" s="75"/>
      <c r="U750" s="65"/>
      <c r="V750" s="62"/>
      <c r="W750" s="65"/>
      <c r="X750" s="62"/>
      <c r="Y750" s="65"/>
      <c r="Z750" s="73"/>
    </row>
    <row r="751" spans="1:26" ht="15.75" hidden="1" customHeight="1" x14ac:dyDescent="0.25">
      <c r="A751" s="67">
        <v>5</v>
      </c>
      <c r="B751" s="68">
        <v>71742698</v>
      </c>
      <c r="C751" s="68" t="s">
        <v>25348</v>
      </c>
      <c r="D751" s="68" t="s">
        <v>24980</v>
      </c>
      <c r="E751" s="68" t="s">
        <v>25040</v>
      </c>
      <c r="F751" s="68" t="s">
        <v>25103</v>
      </c>
      <c r="G751" s="81" t="s">
        <v>19285</v>
      </c>
      <c r="H751" s="69">
        <v>45435</v>
      </c>
      <c r="I751" s="69">
        <v>45439</v>
      </c>
      <c r="J751" s="68">
        <v>5</v>
      </c>
      <c r="K751" s="68">
        <v>5</v>
      </c>
      <c r="L751" s="68" t="s">
        <v>19262</v>
      </c>
      <c r="M751" s="68" t="s">
        <v>24995</v>
      </c>
      <c r="N751" s="62" t="s">
        <v>19269</v>
      </c>
      <c r="O751" s="68" t="s">
        <v>3514</v>
      </c>
      <c r="P751" s="42" t="str">
        <f>+IF(O751="","",IFERROR(VLOOKUP(O751,CODIGO_DIAGNOSTICO,2,0),"CÓDIGO NO ENCONTRADO"))</f>
        <v>VENAS VARICOSAS DE LOS MIEMBROS INFERIORES CON ULCERA E INFLAMACION</v>
      </c>
      <c r="Q751" s="68" t="s">
        <v>26152</v>
      </c>
      <c r="R751" s="67"/>
      <c r="S751" s="77"/>
      <c r="T751" s="76"/>
      <c r="U751" s="65"/>
      <c r="V751" s="68"/>
      <c r="W751" s="70"/>
      <c r="X751" s="68"/>
      <c r="Y751" s="70"/>
      <c r="Z751" s="72"/>
    </row>
    <row r="752" spans="1:26" ht="15.75" hidden="1" customHeight="1" x14ac:dyDescent="0.25">
      <c r="A752" s="64">
        <v>5</v>
      </c>
      <c r="B752" s="62">
        <v>1074001145</v>
      </c>
      <c r="C752" s="62" t="s">
        <v>25833</v>
      </c>
      <c r="D752" s="62" t="s">
        <v>25699</v>
      </c>
      <c r="E752" s="62" t="s">
        <v>25203</v>
      </c>
      <c r="F752" s="62" t="s">
        <v>25405</v>
      </c>
      <c r="G752" s="81" t="s">
        <v>19285</v>
      </c>
      <c r="H752" s="63">
        <v>45435</v>
      </c>
      <c r="I752" s="63">
        <v>45436</v>
      </c>
      <c r="J752" s="62">
        <v>2</v>
      </c>
      <c r="K752" s="62">
        <v>2</v>
      </c>
      <c r="L752" s="62" t="s">
        <v>24995</v>
      </c>
      <c r="M752" s="62" t="s">
        <v>24995</v>
      </c>
      <c r="N752" s="62" t="s">
        <v>19269</v>
      </c>
      <c r="O752" s="62" t="s">
        <v>85</v>
      </c>
      <c r="P752" s="42" t="str">
        <f>+IF(O752="","",IFERROR(VLOOKUP(O752,CODIGO_DIAGNOSTICO,2,0),"CÓDIGO NO ENCONTRADO"))</f>
        <v>OTRAS ENTERITIS VIRALES</v>
      </c>
      <c r="Q752" s="62" t="s">
        <v>24996</v>
      </c>
      <c r="R752" s="64"/>
      <c r="S752" s="75"/>
      <c r="T752" s="75"/>
      <c r="U752" s="65"/>
      <c r="V752" s="62"/>
      <c r="W752" s="65"/>
      <c r="X752" s="62"/>
      <c r="Y752" s="65"/>
      <c r="Z752" s="73"/>
    </row>
    <row r="753" spans="1:26" ht="15.75" hidden="1" customHeight="1" x14ac:dyDescent="0.25">
      <c r="A753" s="67">
        <v>5</v>
      </c>
      <c r="B753" s="68">
        <v>15309929</v>
      </c>
      <c r="C753" s="68" t="s">
        <v>25047</v>
      </c>
      <c r="D753" s="68" t="s">
        <v>25012</v>
      </c>
      <c r="E753" s="68" t="s">
        <v>25048</v>
      </c>
      <c r="F753" s="68" t="s">
        <v>25014</v>
      </c>
      <c r="G753" s="81" t="s">
        <v>19285</v>
      </c>
      <c r="H753" s="69">
        <v>45435</v>
      </c>
      <c r="I753" s="69">
        <v>45449</v>
      </c>
      <c r="J753" s="68">
        <v>15</v>
      </c>
      <c r="K753" s="68">
        <v>15</v>
      </c>
      <c r="L753" s="68" t="s">
        <v>19262</v>
      </c>
      <c r="M753" s="68" t="s">
        <v>19262</v>
      </c>
      <c r="N753" s="62" t="s">
        <v>19269</v>
      </c>
      <c r="O753" s="68" t="s">
        <v>7734</v>
      </c>
      <c r="P753" s="42" t="str">
        <f>+IF(O753="","",IFERROR(VLOOKUP(O753,CODIGO_DIAGNOSTICO,2,0),"CÓDIGO NO ENCONTRADO"))</f>
        <v>DESGARRO DE MENISCOS, PRESENTE</v>
      </c>
      <c r="Q753" s="68" t="s">
        <v>26059</v>
      </c>
      <c r="R753" s="67"/>
      <c r="S753" s="77"/>
      <c r="T753" s="76"/>
      <c r="U753" s="65"/>
      <c r="V753" s="68"/>
      <c r="W753" s="70"/>
      <c r="X753" s="68"/>
      <c r="Y753" s="70"/>
      <c r="Z753" s="72"/>
    </row>
    <row r="754" spans="1:26" ht="15.75" hidden="1" customHeight="1" x14ac:dyDescent="0.25">
      <c r="A754" s="64">
        <v>5</v>
      </c>
      <c r="B754" s="62">
        <v>1128467712</v>
      </c>
      <c r="C754" s="62" t="s">
        <v>25456</v>
      </c>
      <c r="D754" s="62" t="s">
        <v>19258</v>
      </c>
      <c r="E754" s="62" t="s">
        <v>25879</v>
      </c>
      <c r="F754" s="62" t="s">
        <v>25880</v>
      </c>
      <c r="G754" s="81" t="s">
        <v>26166</v>
      </c>
      <c r="H754" s="63">
        <v>45436</v>
      </c>
      <c r="I754" s="63">
        <v>45436</v>
      </c>
      <c r="J754" s="62">
        <v>1</v>
      </c>
      <c r="K754" s="62">
        <v>1</v>
      </c>
      <c r="L754" s="62" t="s">
        <v>19262</v>
      </c>
      <c r="M754" s="62" t="s">
        <v>24995</v>
      </c>
      <c r="N754" s="62" t="s">
        <v>19269</v>
      </c>
      <c r="O754" s="62" t="s">
        <v>86</v>
      </c>
      <c r="P754" s="42" t="str">
        <f>+IF(O754="","",IFERROR(VLOOKUP(O754,CODIGO_DIAGNOSTICO,2,0),"CÓDIGO NO ENCONTRADO"))</f>
        <v>INFECCION INTESTINAL VIRAL, SIN OTRA ESPECIFICACION</v>
      </c>
      <c r="Q754" s="62" t="s">
        <v>26059</v>
      </c>
      <c r="R754" s="64"/>
      <c r="S754" s="75"/>
      <c r="T754" s="75"/>
      <c r="U754" s="65"/>
      <c r="V754" s="62"/>
      <c r="W754" s="65"/>
      <c r="X754" s="62"/>
      <c r="Y754" s="65"/>
      <c r="Z754" s="73"/>
    </row>
    <row r="755" spans="1:26" ht="15.75" hidden="1" customHeight="1" x14ac:dyDescent="0.25">
      <c r="A755" s="67">
        <v>5</v>
      </c>
      <c r="B755" s="68">
        <v>1073809676</v>
      </c>
      <c r="C755" s="68" t="s">
        <v>25142</v>
      </c>
      <c r="D755" s="68" t="s">
        <v>26172</v>
      </c>
      <c r="E755" s="68" t="s">
        <v>25397</v>
      </c>
      <c r="F755" s="68"/>
      <c r="G755" s="81" t="s">
        <v>19285</v>
      </c>
      <c r="H755" s="69">
        <v>45437</v>
      </c>
      <c r="I755" s="69">
        <v>45437</v>
      </c>
      <c r="J755" s="68">
        <v>1</v>
      </c>
      <c r="K755" s="68">
        <v>1</v>
      </c>
      <c r="L755" s="68" t="s">
        <v>24995</v>
      </c>
      <c r="M755" s="68" t="s">
        <v>24995</v>
      </c>
      <c r="N755" s="62" t="s">
        <v>19269</v>
      </c>
      <c r="O755" s="68" t="s">
        <v>88</v>
      </c>
      <c r="P755" s="42" t="str">
        <f>+IF(O755="","",IFERROR(VLOOKUP(O755,CODIGO_DIAGNOSTICO,2,0),"CÓDIGO NO ENCONTRADO"))</f>
        <v>DIARREA Y GASTROENTERITIS DE PRESUNTO ORIGEN INFECCIOSO</v>
      </c>
      <c r="Q755" s="68" t="s">
        <v>19231</v>
      </c>
      <c r="R755" s="67"/>
      <c r="S755" s="77"/>
      <c r="T755" s="76"/>
      <c r="U755" s="65"/>
      <c r="V755" s="68"/>
      <c r="W755" s="70"/>
      <c r="X755" s="68"/>
      <c r="Y755" s="70"/>
      <c r="Z755" s="72"/>
    </row>
    <row r="756" spans="1:26" ht="15.75" hidden="1" customHeight="1" x14ac:dyDescent="0.25">
      <c r="A756" s="64">
        <v>5</v>
      </c>
      <c r="B756" s="62">
        <v>12625299</v>
      </c>
      <c r="C756" s="62" t="s">
        <v>25321</v>
      </c>
      <c r="D756" s="62" t="s">
        <v>26226</v>
      </c>
      <c r="E756" s="62" t="s">
        <v>25323</v>
      </c>
      <c r="F756" s="62" t="s">
        <v>25064</v>
      </c>
      <c r="G756" s="81" t="s">
        <v>19285</v>
      </c>
      <c r="H756" s="63">
        <v>45437</v>
      </c>
      <c r="I756" s="63">
        <v>45466</v>
      </c>
      <c r="J756" s="62">
        <v>30</v>
      </c>
      <c r="K756" s="62">
        <v>30</v>
      </c>
      <c r="L756" s="62" t="s">
        <v>19262</v>
      </c>
      <c r="M756" s="62" t="s">
        <v>19262</v>
      </c>
      <c r="N756" s="62" t="s">
        <v>19269</v>
      </c>
      <c r="O756" s="62" t="s">
        <v>3284</v>
      </c>
      <c r="P756" s="42" t="str">
        <f>+IF(O756="","",IFERROR(VLOOKUP(O756,CODIGO_DIAGNOSTICO,2,0),"CÓDIGO NO ENCONTRADO"))</f>
        <v>ENDOCARDITIS INFECCIOSA AGUDA Y SUBAGUDA</v>
      </c>
      <c r="Q756" s="62" t="s">
        <v>26059</v>
      </c>
      <c r="R756" s="64"/>
      <c r="S756" s="75"/>
      <c r="T756" s="75"/>
      <c r="U756" s="65"/>
      <c r="V756" s="62"/>
      <c r="W756" s="65"/>
      <c r="X756" s="62"/>
      <c r="Y756" s="65"/>
      <c r="Z756" s="73"/>
    </row>
    <row r="757" spans="1:26" ht="15.75" hidden="1" customHeight="1" x14ac:dyDescent="0.25">
      <c r="A757" s="67">
        <v>5</v>
      </c>
      <c r="B757" s="68">
        <v>1020452896</v>
      </c>
      <c r="C757" s="68" t="s">
        <v>25829</v>
      </c>
      <c r="D757" s="68" t="s">
        <v>25197</v>
      </c>
      <c r="E757" s="68" t="s">
        <v>25116</v>
      </c>
      <c r="F757" s="68" t="s">
        <v>25010</v>
      </c>
      <c r="G757" s="81" t="s">
        <v>19285</v>
      </c>
      <c r="H757" s="69">
        <v>45439</v>
      </c>
      <c r="I757" s="69">
        <v>45440</v>
      </c>
      <c r="J757" s="68">
        <v>2</v>
      </c>
      <c r="K757" s="68">
        <v>2</v>
      </c>
      <c r="L757" s="68" t="s">
        <v>24995</v>
      </c>
      <c r="M757" s="68" t="s">
        <v>24995</v>
      </c>
      <c r="N757" s="62" t="s">
        <v>19269</v>
      </c>
      <c r="O757" s="68" t="s">
        <v>2802</v>
      </c>
      <c r="P757" s="42" t="str">
        <f>+IF(O757="","",IFERROR(VLOOKUP(O757,CODIGO_DIAGNOSTICO,2,0),"CÓDIGO NO ENCONTRADO"))</f>
        <v>ORZUELO Y OTRAS INFLAMACIONES PROFUNDAS DEL PARPADO</v>
      </c>
      <c r="Q757" s="68" t="s">
        <v>26059</v>
      </c>
      <c r="R757" s="67"/>
      <c r="S757" s="77"/>
      <c r="T757" s="76"/>
      <c r="U757" s="65"/>
      <c r="V757" s="68"/>
      <c r="W757" s="70"/>
      <c r="X757" s="68"/>
      <c r="Y757" s="70"/>
      <c r="Z757" s="72"/>
    </row>
    <row r="758" spans="1:26" ht="15.75" hidden="1" customHeight="1" x14ac:dyDescent="0.25">
      <c r="A758" s="64">
        <v>5</v>
      </c>
      <c r="B758" s="62">
        <v>71742698</v>
      </c>
      <c r="C758" s="62" t="s">
        <v>25348</v>
      </c>
      <c r="D758" s="62" t="s">
        <v>24980</v>
      </c>
      <c r="E758" s="62" t="s">
        <v>25448</v>
      </c>
      <c r="F758" s="62" t="s">
        <v>25103</v>
      </c>
      <c r="G758" s="81" t="s">
        <v>19285</v>
      </c>
      <c r="H758" s="63">
        <v>45440</v>
      </c>
      <c r="I758" s="63">
        <v>45449</v>
      </c>
      <c r="J758" s="62">
        <v>10</v>
      </c>
      <c r="K758" s="62">
        <v>10</v>
      </c>
      <c r="L758" s="62" t="s">
        <v>19262</v>
      </c>
      <c r="M758" s="62" t="s">
        <v>19262</v>
      </c>
      <c r="N758" s="62" t="s">
        <v>19269</v>
      </c>
      <c r="O758" s="62" t="s">
        <v>3514</v>
      </c>
      <c r="P758" s="42" t="str">
        <f>+IF(O758="","",IFERROR(VLOOKUP(O758,CODIGO_DIAGNOSTICO,2,0),"CÓDIGO NO ENCONTRADO"))</f>
        <v>VENAS VARICOSAS DE LOS MIEMBROS INFERIORES CON ULCERA E INFLAMACION</v>
      </c>
      <c r="Q758" s="62" t="s">
        <v>26152</v>
      </c>
      <c r="R758" s="64"/>
      <c r="S758" s="75"/>
      <c r="T758" s="75"/>
      <c r="U758" s="65"/>
      <c r="V758" s="62"/>
      <c r="W758" s="65"/>
      <c r="X758" s="62"/>
      <c r="Y758" s="65"/>
      <c r="Z758" s="73"/>
    </row>
    <row r="759" spans="1:26" ht="15.75" hidden="1" customHeight="1" x14ac:dyDescent="0.25">
      <c r="A759" s="67">
        <v>5</v>
      </c>
      <c r="B759" s="68">
        <v>70323164</v>
      </c>
      <c r="C759" s="68" t="s">
        <v>24992</v>
      </c>
      <c r="D759" s="68" t="s">
        <v>24985</v>
      </c>
      <c r="E759" s="68" t="s">
        <v>25188</v>
      </c>
      <c r="F759" s="68" t="s">
        <v>25146</v>
      </c>
      <c r="G759" s="81" t="s">
        <v>19285</v>
      </c>
      <c r="H759" s="69">
        <v>45441</v>
      </c>
      <c r="I759" s="69">
        <v>45449</v>
      </c>
      <c r="J759" s="68">
        <v>9</v>
      </c>
      <c r="K759" s="68">
        <v>9</v>
      </c>
      <c r="L759" s="68" t="s">
        <v>19262</v>
      </c>
      <c r="M759" s="68" t="s">
        <v>19262</v>
      </c>
      <c r="N759" s="62" t="s">
        <v>19269</v>
      </c>
      <c r="O759" s="68" t="s">
        <v>3693</v>
      </c>
      <c r="P759" s="42" t="str">
        <f>+IF(O759="","",IFERROR(VLOOKUP(O759,CODIGO_DIAGNOSTICO,2,0),"CÓDIGO NO ENCONTRADO"))</f>
        <v>ENFERMEDAD PULMONAR OBSTRUCTIVA CRONICA, NO ESPECIFICADA</v>
      </c>
      <c r="Q759" s="68" t="s">
        <v>26059</v>
      </c>
      <c r="R759" s="67"/>
      <c r="S759" s="77"/>
      <c r="T759" s="76"/>
      <c r="U759" s="65"/>
      <c r="V759" s="68"/>
      <c r="W759" s="70"/>
      <c r="X759" s="68"/>
      <c r="Y759" s="70"/>
      <c r="Z759" s="72"/>
    </row>
    <row r="760" spans="1:26" ht="15.75" hidden="1" customHeight="1" x14ac:dyDescent="0.25">
      <c r="A760" s="64">
        <v>5</v>
      </c>
      <c r="B760" s="62">
        <v>1047421491</v>
      </c>
      <c r="C760" s="62" t="s">
        <v>25272</v>
      </c>
      <c r="D760" s="62" t="s">
        <v>25257</v>
      </c>
      <c r="E760" s="62" t="s">
        <v>25376</v>
      </c>
      <c r="F760" s="62" t="s">
        <v>25103</v>
      </c>
      <c r="G760" s="81" t="s">
        <v>19285</v>
      </c>
      <c r="H760" s="63">
        <v>45441</v>
      </c>
      <c r="I760" s="63">
        <v>45442</v>
      </c>
      <c r="J760" s="62">
        <v>2</v>
      </c>
      <c r="K760" s="62">
        <v>2</v>
      </c>
      <c r="L760" s="62" t="s">
        <v>24995</v>
      </c>
      <c r="M760" s="62" t="s">
        <v>24995</v>
      </c>
      <c r="N760" s="62" t="s">
        <v>19269</v>
      </c>
      <c r="O760" s="62" t="s">
        <v>15281</v>
      </c>
      <c r="P760" s="42" t="str">
        <f>+IF(O760="","",IFERROR(VLOOKUP(O760,CODIGO_DIAGNOSTICO,2,0),"CÓDIGO NO ENCONTRADO"))</f>
        <v>RINOFARINGITIS AGUDA (RESFRIADO COMUN)</v>
      </c>
      <c r="Q760" s="62" t="s">
        <v>26059</v>
      </c>
      <c r="R760" s="64"/>
      <c r="S760" s="75"/>
      <c r="T760" s="75"/>
      <c r="U760" s="65"/>
      <c r="V760" s="62"/>
      <c r="W760" s="65"/>
      <c r="X760" s="62"/>
      <c r="Y760" s="65"/>
      <c r="Z760" s="73"/>
    </row>
    <row r="761" spans="1:26" ht="15.75" hidden="1" customHeight="1" x14ac:dyDescent="0.25">
      <c r="A761" s="67">
        <v>5</v>
      </c>
      <c r="B761" s="68">
        <v>1020452896</v>
      </c>
      <c r="C761" s="68" t="s">
        <v>25829</v>
      </c>
      <c r="D761" s="68" t="s">
        <v>25197</v>
      </c>
      <c r="E761" s="68" t="s">
        <v>25116</v>
      </c>
      <c r="F761" s="68" t="s">
        <v>25010</v>
      </c>
      <c r="G761" s="81" t="s">
        <v>19285</v>
      </c>
      <c r="H761" s="69">
        <v>45441</v>
      </c>
      <c r="I761" s="69">
        <v>45441</v>
      </c>
      <c r="J761" s="68">
        <v>1</v>
      </c>
      <c r="K761" s="68">
        <v>1</v>
      </c>
      <c r="L761" s="68" t="s">
        <v>24995</v>
      </c>
      <c r="M761" s="68" t="s">
        <v>24995</v>
      </c>
      <c r="N761" s="62" t="s">
        <v>19269</v>
      </c>
      <c r="O761" s="68" t="s">
        <v>2802</v>
      </c>
      <c r="P761" s="42" t="str">
        <f>+IF(O761="","",IFERROR(VLOOKUP(O761,CODIGO_DIAGNOSTICO,2,0),"CÓDIGO NO ENCONTRADO"))</f>
        <v>ORZUELO Y OTRAS INFLAMACIONES PROFUNDAS DEL PARPADO</v>
      </c>
      <c r="Q761" s="68" t="s">
        <v>26059</v>
      </c>
      <c r="R761" s="67"/>
      <c r="S761" s="77"/>
      <c r="T761" s="76"/>
      <c r="U761" s="65"/>
      <c r="V761" s="68"/>
      <c r="W761" s="70"/>
      <c r="X761" s="68"/>
      <c r="Y761" s="70"/>
      <c r="Z761" s="72"/>
    </row>
    <row r="762" spans="1:26" ht="15.75" hidden="1" customHeight="1" x14ac:dyDescent="0.25">
      <c r="A762" s="64">
        <v>5</v>
      </c>
      <c r="B762" s="62">
        <v>21532552</v>
      </c>
      <c r="C762" s="62" t="s">
        <v>25030</v>
      </c>
      <c r="D762" s="62" t="s">
        <v>25459</v>
      </c>
      <c r="E762" s="62" t="s">
        <v>25565</v>
      </c>
      <c r="F762" s="62" t="s">
        <v>25566</v>
      </c>
      <c r="G762" s="81" t="s">
        <v>19285</v>
      </c>
      <c r="H762" s="63">
        <v>45442</v>
      </c>
      <c r="I762" s="63">
        <v>45444</v>
      </c>
      <c r="J762" s="62">
        <v>3</v>
      </c>
      <c r="K762" s="62">
        <v>3</v>
      </c>
      <c r="L762" s="62" t="s">
        <v>24995</v>
      </c>
      <c r="M762" s="62" t="s">
        <v>24995</v>
      </c>
      <c r="N762" s="62" t="s">
        <v>19269</v>
      </c>
      <c r="O762" s="62" t="s">
        <v>442</v>
      </c>
      <c r="P762" s="42" t="str">
        <f>+IF(O762="","",IFERROR(VLOOKUP(O762,CODIGO_DIAGNOSTICO,2,0),"CÓDIGO NO ENCONTRADO"))</f>
        <v>HERPES ZOSTER SIN COMPLICACIONES</v>
      </c>
      <c r="Q762" s="62" t="s">
        <v>26059</v>
      </c>
      <c r="R762" s="64"/>
      <c r="S762" s="75"/>
      <c r="T762" s="75"/>
      <c r="U762" s="65"/>
      <c r="V762" s="62"/>
      <c r="W762" s="65"/>
      <c r="X762" s="62"/>
      <c r="Y762" s="65"/>
      <c r="Z762" s="73"/>
    </row>
    <row r="763" spans="1:26" ht="15.75" hidden="1" customHeight="1" x14ac:dyDescent="0.25">
      <c r="A763" s="67">
        <v>6</v>
      </c>
      <c r="B763" s="68">
        <v>98601485</v>
      </c>
      <c r="C763" s="68" t="s">
        <v>25240</v>
      </c>
      <c r="D763" s="68"/>
      <c r="E763" s="68" t="s">
        <v>25241</v>
      </c>
      <c r="F763" s="68" t="s">
        <v>25103</v>
      </c>
      <c r="G763" s="81" t="s">
        <v>25328</v>
      </c>
      <c r="H763" s="69">
        <v>45447</v>
      </c>
      <c r="I763" s="69">
        <v>45476</v>
      </c>
      <c r="J763" s="68">
        <v>30</v>
      </c>
      <c r="K763" s="68">
        <v>30</v>
      </c>
      <c r="L763" s="68" t="s">
        <v>19262</v>
      </c>
      <c r="M763" s="68" t="s">
        <v>19262</v>
      </c>
      <c r="N763" s="62" t="s">
        <v>19269</v>
      </c>
      <c r="O763" s="68" t="s">
        <v>8419</v>
      </c>
      <c r="P763" s="42" t="str">
        <f>+IF(O763="","",IFERROR(VLOOKUP(O763,CODIGO_DIAGNOSTICO,2,0),"CÓDIGO NO ENCONTRADO"))</f>
        <v>COMPLICACION MECANICA DE OTROS DISPOSITIVOS PROTESICOS, IMPLANTES E INJERTOS ORTOPEDICOS INTERNOS</v>
      </c>
      <c r="Q763" s="68" t="s">
        <v>26059</v>
      </c>
      <c r="R763" s="67"/>
      <c r="S763" s="77"/>
      <c r="T763" s="76"/>
      <c r="U763" s="65"/>
      <c r="V763" s="68"/>
      <c r="W763" s="70"/>
      <c r="X763" s="68"/>
      <c r="Y763" s="70"/>
      <c r="Z763" s="72"/>
    </row>
    <row r="764" spans="1:26" ht="15.75" hidden="1" customHeight="1" x14ac:dyDescent="0.25">
      <c r="A764" s="64">
        <v>6</v>
      </c>
      <c r="B764" s="62">
        <v>15526159</v>
      </c>
      <c r="C764" s="62" t="s">
        <v>25865</v>
      </c>
      <c r="D764" s="62" t="s">
        <v>25284</v>
      </c>
      <c r="E764" s="62" t="s">
        <v>25141</v>
      </c>
      <c r="F764" s="62" t="s">
        <v>25103</v>
      </c>
      <c r="G764" s="81" t="s">
        <v>19285</v>
      </c>
      <c r="H764" s="63">
        <v>45448</v>
      </c>
      <c r="I764" s="63">
        <v>45450</v>
      </c>
      <c r="J764" s="62">
        <v>3</v>
      </c>
      <c r="K764" s="62">
        <v>3</v>
      </c>
      <c r="L764" s="62" t="s">
        <v>24995</v>
      </c>
      <c r="M764" s="62" t="s">
        <v>24995</v>
      </c>
      <c r="N764" s="62" t="s">
        <v>19269</v>
      </c>
      <c r="O764" s="62" t="s">
        <v>3014</v>
      </c>
      <c r="P764" s="42" t="str">
        <f>+IF(O764="","",IFERROR(VLOOKUP(O764,CODIGO_DIAGNOSTICO,2,0),"CÓDIGO NO ENCONTRADO"))</f>
        <v>ESTRABISMO CONCOMITANTE CONVERGENTE</v>
      </c>
      <c r="Q764" s="62" t="s">
        <v>26059</v>
      </c>
      <c r="R764" s="64"/>
      <c r="S764" s="75"/>
      <c r="T764" s="75"/>
      <c r="U764" s="65"/>
      <c r="V764" s="62"/>
      <c r="W764" s="65"/>
      <c r="X764" s="62"/>
      <c r="Y764" s="65"/>
      <c r="Z764" s="73"/>
    </row>
    <row r="765" spans="1:26" ht="15.75" hidden="1" customHeight="1" x14ac:dyDescent="0.25">
      <c r="A765" s="67">
        <v>6</v>
      </c>
      <c r="B765" s="68">
        <v>7537251</v>
      </c>
      <c r="C765" s="68" t="s">
        <v>25058</v>
      </c>
      <c r="D765" s="68" t="s">
        <v>25262</v>
      </c>
      <c r="E765" s="68" t="s">
        <v>25134</v>
      </c>
      <c r="F765" s="68"/>
      <c r="G765" s="81" t="s">
        <v>19285</v>
      </c>
      <c r="H765" s="69">
        <v>45448</v>
      </c>
      <c r="I765" s="69">
        <v>45462</v>
      </c>
      <c r="J765" s="68">
        <v>15</v>
      </c>
      <c r="K765" s="68">
        <v>15</v>
      </c>
      <c r="L765" s="68" t="s">
        <v>24995</v>
      </c>
      <c r="M765" s="68" t="s">
        <v>24995</v>
      </c>
      <c r="N765" s="62" t="s">
        <v>19269</v>
      </c>
      <c r="O765" s="68" t="s">
        <v>12427</v>
      </c>
      <c r="P765" s="42" t="str">
        <f>+IF(O765="","",IFERROR(VLOOKUP(O765,CODIGO_DIAGNOSTICO,2,0),"CÓDIGO NO ENCONTRADO"))</f>
        <v>PRESENCIA DE LENTES INTRAOCULARES</v>
      </c>
      <c r="Q765" s="68" t="s">
        <v>19231</v>
      </c>
      <c r="R765" s="67"/>
      <c r="S765" s="77"/>
      <c r="T765" s="76"/>
      <c r="U765" s="65"/>
      <c r="V765" s="68"/>
      <c r="W765" s="70"/>
      <c r="X765" s="68"/>
      <c r="Y765" s="70"/>
      <c r="Z765" s="72"/>
    </row>
    <row r="766" spans="1:26" ht="15.75" hidden="1" customHeight="1" x14ac:dyDescent="0.25">
      <c r="A766" s="64">
        <v>6</v>
      </c>
      <c r="B766" s="62">
        <v>70133821</v>
      </c>
      <c r="C766" s="62" t="s">
        <v>26245</v>
      </c>
      <c r="D766" s="62" t="s">
        <v>25523</v>
      </c>
      <c r="E766" s="62" t="s">
        <v>25203</v>
      </c>
      <c r="F766" s="62" t="s">
        <v>25005</v>
      </c>
      <c r="G766" s="81" t="s">
        <v>19285</v>
      </c>
      <c r="H766" s="63">
        <v>45449</v>
      </c>
      <c r="I766" s="63">
        <v>45478</v>
      </c>
      <c r="J766" s="62">
        <v>30</v>
      </c>
      <c r="K766" s="62">
        <v>30</v>
      </c>
      <c r="L766" s="62" t="s">
        <v>24995</v>
      </c>
      <c r="M766" s="62" t="s">
        <v>19262</v>
      </c>
      <c r="N766" s="62" t="s">
        <v>19269</v>
      </c>
      <c r="O766" s="62" t="s">
        <v>4000</v>
      </c>
      <c r="P766" s="42" t="str">
        <f>+IF(O766="","",IFERROR(VLOOKUP(O766,CODIGO_DIAGNOSTICO,2,0),"CÓDIGO NO ENCONTRADO"))</f>
        <v>HERNIA VENTRAL SIN OBSTRUCCION NI GANGRENA</v>
      </c>
      <c r="Q766" s="62" t="s">
        <v>26059</v>
      </c>
      <c r="R766" s="64"/>
      <c r="S766" s="75"/>
      <c r="T766" s="75"/>
      <c r="U766" s="65"/>
      <c r="V766" s="62"/>
      <c r="W766" s="65"/>
      <c r="X766" s="62"/>
      <c r="Y766" s="65"/>
      <c r="Z766" s="73"/>
    </row>
    <row r="767" spans="1:26" ht="15.75" hidden="1" customHeight="1" x14ac:dyDescent="0.25">
      <c r="A767" s="67">
        <v>6</v>
      </c>
      <c r="B767" s="68">
        <v>153099929</v>
      </c>
      <c r="C767" s="68" t="s">
        <v>25011</v>
      </c>
      <c r="D767" s="68" t="s">
        <v>25012</v>
      </c>
      <c r="E767" s="68" t="s">
        <v>25013</v>
      </c>
      <c r="F767" s="68" t="s">
        <v>25215</v>
      </c>
      <c r="G767" s="81" t="s">
        <v>19285</v>
      </c>
      <c r="H767" s="69">
        <v>45450</v>
      </c>
      <c r="I767" s="69">
        <v>45464</v>
      </c>
      <c r="J767" s="68">
        <v>15</v>
      </c>
      <c r="K767" s="68">
        <v>15</v>
      </c>
      <c r="L767" s="68" t="s">
        <v>19262</v>
      </c>
      <c r="M767" s="68" t="s">
        <v>19262</v>
      </c>
      <c r="N767" s="62" t="s">
        <v>19269</v>
      </c>
      <c r="O767" s="68" t="s">
        <v>7734</v>
      </c>
      <c r="P767" s="42" t="str">
        <f>+IF(O767="","",IFERROR(VLOOKUP(O767,CODIGO_DIAGNOSTICO,2,0),"CÓDIGO NO ENCONTRADO"))</f>
        <v>DESGARRO DE MENISCOS, PRESENTE</v>
      </c>
      <c r="Q767" s="68" t="s">
        <v>19230</v>
      </c>
      <c r="R767" s="67"/>
      <c r="S767" s="77"/>
      <c r="T767" s="76"/>
      <c r="U767" s="65"/>
      <c r="V767" s="68"/>
      <c r="W767" s="70"/>
      <c r="X767" s="68"/>
      <c r="Y767" s="70"/>
      <c r="Z767" s="72"/>
    </row>
    <row r="768" spans="1:26" ht="15.75" hidden="1" customHeight="1" x14ac:dyDescent="0.25">
      <c r="A768" s="64">
        <v>6</v>
      </c>
      <c r="B768" s="62">
        <v>70323164</v>
      </c>
      <c r="C768" s="62" t="s">
        <v>24992</v>
      </c>
      <c r="D768" s="62" t="s">
        <v>24985</v>
      </c>
      <c r="E768" s="62" t="s">
        <v>25188</v>
      </c>
      <c r="F768" s="62" t="s">
        <v>25146</v>
      </c>
      <c r="G768" s="81" t="s">
        <v>19285</v>
      </c>
      <c r="H768" s="63">
        <v>45450</v>
      </c>
      <c r="I768" s="63">
        <v>45454</v>
      </c>
      <c r="J768" s="62">
        <v>5</v>
      </c>
      <c r="K768" s="62">
        <v>5</v>
      </c>
      <c r="L768" s="62" t="s">
        <v>19262</v>
      </c>
      <c r="M768" s="62" t="s">
        <v>19262</v>
      </c>
      <c r="N768" s="62" t="s">
        <v>19269</v>
      </c>
      <c r="O768" s="62" t="s">
        <v>3693</v>
      </c>
      <c r="P768" s="42" t="str">
        <f>+IF(O768="","",IFERROR(VLOOKUP(O768,CODIGO_DIAGNOSTICO,2,0),"CÓDIGO NO ENCONTRADO"))</f>
        <v>ENFERMEDAD PULMONAR OBSTRUCTIVA CRONICA, NO ESPECIFICADA</v>
      </c>
      <c r="Q768" s="62" t="s">
        <v>26059</v>
      </c>
      <c r="R768" s="64"/>
      <c r="S768" s="75"/>
      <c r="T768" s="75"/>
      <c r="U768" s="65"/>
      <c r="V768" s="62"/>
      <c r="W768" s="65"/>
      <c r="X768" s="62"/>
      <c r="Y768" s="65"/>
      <c r="Z768" s="73"/>
    </row>
    <row r="769" spans="1:26" ht="15.75" hidden="1" customHeight="1" x14ac:dyDescent="0.25">
      <c r="A769" s="67">
        <v>6</v>
      </c>
      <c r="B769" s="68">
        <v>71742698</v>
      </c>
      <c r="C769" s="68" t="s">
        <v>25348</v>
      </c>
      <c r="D769" s="68" t="s">
        <v>24980</v>
      </c>
      <c r="E769" s="68" t="s">
        <v>25448</v>
      </c>
      <c r="F769" s="68" t="s">
        <v>25103</v>
      </c>
      <c r="G769" s="81" t="s">
        <v>19285</v>
      </c>
      <c r="H769" s="69">
        <v>45450</v>
      </c>
      <c r="I769" s="69">
        <v>45453</v>
      </c>
      <c r="J769" s="68">
        <v>4</v>
      </c>
      <c r="K769" s="68">
        <v>4</v>
      </c>
      <c r="L769" s="68" t="s">
        <v>19262</v>
      </c>
      <c r="M769" s="68" t="s">
        <v>19262</v>
      </c>
      <c r="N769" s="62" t="s">
        <v>19269</v>
      </c>
      <c r="O769" s="68" t="s">
        <v>3514</v>
      </c>
      <c r="P769" s="42" t="str">
        <f>+IF(O769="","",IFERROR(VLOOKUP(O769,CODIGO_DIAGNOSTICO,2,0),"CÓDIGO NO ENCONTRADO"))</f>
        <v>VENAS VARICOSAS DE LOS MIEMBROS INFERIORES CON ULCERA E INFLAMACION</v>
      </c>
      <c r="Q769" s="68" t="s">
        <v>26152</v>
      </c>
      <c r="R769" s="67"/>
      <c r="S769" s="77"/>
      <c r="T769" s="76"/>
      <c r="U769" s="65"/>
      <c r="V769" s="68"/>
      <c r="W769" s="70"/>
      <c r="X769" s="68"/>
      <c r="Y769" s="70"/>
      <c r="Z769" s="72"/>
    </row>
    <row r="770" spans="1:26" ht="15.75" hidden="1" customHeight="1" x14ac:dyDescent="0.25">
      <c r="A770" s="64">
        <v>6</v>
      </c>
      <c r="B770" s="62">
        <v>1007734426</v>
      </c>
      <c r="C770" s="62" t="s">
        <v>26229</v>
      </c>
      <c r="D770" s="62" t="s">
        <v>25202</v>
      </c>
      <c r="E770" s="62" t="s">
        <v>25186</v>
      </c>
      <c r="F770" s="62" t="s">
        <v>25878</v>
      </c>
      <c r="G770" s="81" t="s">
        <v>19285</v>
      </c>
      <c r="H770" s="63">
        <v>45452</v>
      </c>
      <c r="I770" s="63">
        <v>45455</v>
      </c>
      <c r="J770" s="62">
        <v>4</v>
      </c>
      <c r="K770" s="62">
        <v>4</v>
      </c>
      <c r="L770" s="62" t="s">
        <v>24995</v>
      </c>
      <c r="M770" s="62" t="s">
        <v>24995</v>
      </c>
      <c r="N770" s="62" t="s">
        <v>19269</v>
      </c>
      <c r="O770" s="62" t="s">
        <v>2599</v>
      </c>
      <c r="P770" s="42" t="str">
        <f>+IF(O770="","",IFERROR(VLOOKUP(O770,CODIGO_DIAGNOSTICO,2,0),"CÓDIGO NO ENCONTRADO"))</f>
        <v>OTROS SINDROMES DE CEFALEA ESPECIFICADOS</v>
      </c>
      <c r="Q770" s="62" t="s">
        <v>26230</v>
      </c>
      <c r="R770" s="64"/>
      <c r="S770" s="75"/>
      <c r="T770" s="75"/>
      <c r="U770" s="65"/>
      <c r="V770" s="62"/>
      <c r="W770" s="65"/>
      <c r="X770" s="62"/>
      <c r="Y770" s="65"/>
      <c r="Z770" s="73"/>
    </row>
    <row r="771" spans="1:26" ht="15.75" hidden="1" customHeight="1" x14ac:dyDescent="0.25">
      <c r="A771" s="67">
        <v>6</v>
      </c>
      <c r="B771" s="68">
        <v>1000633959</v>
      </c>
      <c r="C771" s="68" t="s">
        <v>25219</v>
      </c>
      <c r="D771" s="68" t="s">
        <v>25109</v>
      </c>
      <c r="E771" s="68" t="s">
        <v>25010</v>
      </c>
      <c r="F771" s="68" t="s">
        <v>25157</v>
      </c>
      <c r="G771" s="81" t="s">
        <v>19285</v>
      </c>
      <c r="H771" s="69">
        <v>45452</v>
      </c>
      <c r="I771" s="69">
        <v>45453</v>
      </c>
      <c r="J771" s="68">
        <v>2</v>
      </c>
      <c r="K771" s="68">
        <v>2</v>
      </c>
      <c r="L771" s="68" t="s">
        <v>24995</v>
      </c>
      <c r="M771" s="68" t="s">
        <v>24995</v>
      </c>
      <c r="N771" s="62" t="s">
        <v>19269</v>
      </c>
      <c r="O771" s="68" t="s">
        <v>15281</v>
      </c>
      <c r="P771" s="42" t="str">
        <f>+IF(O771="","",IFERROR(VLOOKUP(O771,CODIGO_DIAGNOSTICO,2,0),"CÓDIGO NO ENCONTRADO"))</f>
        <v>RINOFARINGITIS AGUDA (RESFRIADO COMUN)</v>
      </c>
      <c r="Q771" s="68" t="s">
        <v>24996</v>
      </c>
      <c r="R771" s="67"/>
      <c r="S771" s="77"/>
      <c r="T771" s="76"/>
      <c r="U771" s="65"/>
      <c r="V771" s="68"/>
      <c r="W771" s="70"/>
      <c r="X771" s="68"/>
      <c r="Y771" s="70"/>
      <c r="Z771" s="72"/>
    </row>
    <row r="772" spans="1:26" ht="15.75" hidden="1" customHeight="1" x14ac:dyDescent="0.25">
      <c r="A772" s="64">
        <v>6</v>
      </c>
      <c r="B772" s="62">
        <v>78110695</v>
      </c>
      <c r="C772" s="62" t="s">
        <v>25429</v>
      </c>
      <c r="D772" s="62" t="s">
        <v>25403</v>
      </c>
      <c r="E772" s="62" t="s">
        <v>25130</v>
      </c>
      <c r="F772" s="62" t="s">
        <v>25255</v>
      </c>
      <c r="G772" s="81" t="s">
        <v>19285</v>
      </c>
      <c r="H772" s="63">
        <v>45452</v>
      </c>
      <c r="I772" s="63">
        <v>45452</v>
      </c>
      <c r="J772" s="62">
        <v>1</v>
      </c>
      <c r="K772" s="62">
        <v>1</v>
      </c>
      <c r="L772" s="62" t="s">
        <v>24995</v>
      </c>
      <c r="M772" s="62" t="s">
        <v>24995</v>
      </c>
      <c r="N772" s="62" t="s">
        <v>19269</v>
      </c>
      <c r="O772" s="62" t="s">
        <v>5226</v>
      </c>
      <c r="P772" s="42" t="str">
        <f>+IF(O772="","",IFERROR(VLOOKUP(O772,CODIGO_DIAGNOSTICO,2,0),"CÓDIGO NO ENCONTRADO"))</f>
        <v>COLICO RENAL, NO ESPECIFICADO</v>
      </c>
      <c r="Q772" s="62" t="s">
        <v>26059</v>
      </c>
      <c r="R772" s="64"/>
      <c r="S772" s="75"/>
      <c r="T772" s="75"/>
      <c r="U772" s="65"/>
      <c r="V772" s="62"/>
      <c r="W772" s="65"/>
      <c r="X772" s="62"/>
      <c r="Y772" s="65"/>
      <c r="Z772" s="73"/>
    </row>
    <row r="773" spans="1:26" ht="15.75" hidden="1" customHeight="1" x14ac:dyDescent="0.25">
      <c r="A773" s="67">
        <v>6</v>
      </c>
      <c r="B773" s="68">
        <v>1007110380</v>
      </c>
      <c r="C773" s="68" t="s">
        <v>25410</v>
      </c>
      <c r="D773" s="68" t="s">
        <v>26228</v>
      </c>
      <c r="E773" s="68" t="s">
        <v>26182</v>
      </c>
      <c r="F773" s="68" t="s">
        <v>25135</v>
      </c>
      <c r="G773" s="81" t="s">
        <v>19285</v>
      </c>
      <c r="H773" s="69">
        <v>45453</v>
      </c>
      <c r="I773" s="69">
        <v>45457</v>
      </c>
      <c r="J773" s="68">
        <v>5</v>
      </c>
      <c r="K773" s="68">
        <v>5</v>
      </c>
      <c r="L773" s="68" t="s">
        <v>24995</v>
      </c>
      <c r="M773" s="68" t="s">
        <v>24995</v>
      </c>
      <c r="N773" s="62" t="s">
        <v>19269</v>
      </c>
      <c r="O773" s="68" t="s">
        <v>8674</v>
      </c>
      <c r="P773" s="42" t="str">
        <f>+IF(O773="","",IFERROR(VLOOKUP(O773,CODIGO_DIAGNOSTICO,2,0),"CÓDIGO NO ENCONTRADO"))</f>
        <v>MOTOCICLISTA [CUALQUIERA] LESIONADO EN ACCIDENTE DE TRANSITO NO ESPECIFICADO</v>
      </c>
      <c r="Q773" s="68" t="s">
        <v>25025</v>
      </c>
      <c r="R773" s="67"/>
      <c r="S773" s="77"/>
      <c r="T773" s="76"/>
      <c r="U773" s="65"/>
      <c r="V773" s="68"/>
      <c r="W773" s="70"/>
      <c r="X773" s="68"/>
      <c r="Y773" s="70"/>
      <c r="Z773" s="72"/>
    </row>
    <row r="774" spans="1:26" ht="15.75" hidden="1" customHeight="1" x14ac:dyDescent="0.25">
      <c r="A774" s="64">
        <v>6</v>
      </c>
      <c r="B774" s="62">
        <v>1106770128</v>
      </c>
      <c r="C774" s="62" t="s">
        <v>25757</v>
      </c>
      <c r="D774" s="62" t="s">
        <v>25758</v>
      </c>
      <c r="E774" s="62" t="s">
        <v>26231</v>
      </c>
      <c r="F774" s="62"/>
      <c r="G774" s="81" t="s">
        <v>19285</v>
      </c>
      <c r="H774" s="63">
        <v>45454</v>
      </c>
      <c r="I774" s="63">
        <v>45454</v>
      </c>
      <c r="J774" s="62">
        <v>1</v>
      </c>
      <c r="K774" s="62">
        <v>1</v>
      </c>
      <c r="L774" s="62" t="s">
        <v>24995</v>
      </c>
      <c r="M774" s="62" t="s">
        <v>24995</v>
      </c>
      <c r="N774" s="62" t="s">
        <v>19269</v>
      </c>
      <c r="O774" s="62" t="s">
        <v>2596</v>
      </c>
      <c r="P774" s="42" t="str">
        <f>+IF(O774="","",IFERROR(VLOOKUP(O774,CODIGO_DIAGNOSTICO,2,0),"CÓDIGO NO ENCONTRADO"))</f>
        <v>CEFALEA DEBIDA A TENSION</v>
      </c>
      <c r="Q774" s="62" t="s">
        <v>26232</v>
      </c>
      <c r="R774" s="64"/>
      <c r="S774" s="75"/>
      <c r="T774" s="75"/>
      <c r="U774" s="65"/>
      <c r="V774" s="62"/>
      <c r="W774" s="65"/>
      <c r="X774" s="62"/>
      <c r="Y774" s="65"/>
      <c r="Z774" s="73"/>
    </row>
    <row r="775" spans="1:26" ht="15.75" hidden="1" customHeight="1" x14ac:dyDescent="0.25">
      <c r="A775" s="67">
        <v>6</v>
      </c>
      <c r="B775" s="68">
        <v>1000633959</v>
      </c>
      <c r="C775" s="68" t="s">
        <v>25219</v>
      </c>
      <c r="D775" s="68" t="s">
        <v>25109</v>
      </c>
      <c r="E775" s="68" t="s">
        <v>25010</v>
      </c>
      <c r="F775" s="68" t="s">
        <v>25157</v>
      </c>
      <c r="G775" s="81" t="s">
        <v>19285</v>
      </c>
      <c r="H775" s="69">
        <v>45454</v>
      </c>
      <c r="I775" s="69">
        <v>45455</v>
      </c>
      <c r="J775" s="68">
        <v>2</v>
      </c>
      <c r="K775" s="68">
        <v>2</v>
      </c>
      <c r="L775" s="68" t="s">
        <v>24995</v>
      </c>
      <c r="M775" s="68" t="s">
        <v>24995</v>
      </c>
      <c r="N775" s="62" t="s">
        <v>19269</v>
      </c>
      <c r="O775" s="68" t="s">
        <v>392</v>
      </c>
      <c r="P775" s="42" t="str">
        <f>+IF(O775="","",IFERROR(VLOOKUP(O775,CODIGO_DIAGNOSTICO,2,0),"CÓDIGO NO ENCONTRADO"))</f>
        <v>FIEBRE DEL DENGUE [DENGUE CLASICO]</v>
      </c>
      <c r="Q775" s="68" t="s">
        <v>24996</v>
      </c>
      <c r="R775" s="67"/>
      <c r="S775" s="77"/>
      <c r="T775" s="76"/>
      <c r="U775" s="65"/>
      <c r="V775" s="68"/>
      <c r="W775" s="70"/>
      <c r="X775" s="68"/>
      <c r="Y775" s="70"/>
      <c r="Z775" s="72"/>
    </row>
    <row r="776" spans="1:26" ht="15.75" hidden="1" customHeight="1" x14ac:dyDescent="0.25">
      <c r="A776" s="64">
        <v>6</v>
      </c>
      <c r="B776" s="62">
        <v>1074001145</v>
      </c>
      <c r="C776" s="62" t="s">
        <v>25833</v>
      </c>
      <c r="D776" s="62" t="s">
        <v>25699</v>
      </c>
      <c r="E776" s="62" t="s">
        <v>25203</v>
      </c>
      <c r="F776" s="62" t="s">
        <v>25405</v>
      </c>
      <c r="G776" s="81" t="s">
        <v>19285</v>
      </c>
      <c r="H776" s="63">
        <v>45455</v>
      </c>
      <c r="I776" s="63">
        <v>45455</v>
      </c>
      <c r="J776" s="62">
        <v>1</v>
      </c>
      <c r="K776" s="62">
        <v>1</v>
      </c>
      <c r="L776" s="62" t="s">
        <v>24995</v>
      </c>
      <c r="M776" s="62" t="s">
        <v>24995</v>
      </c>
      <c r="N776" s="62" t="s">
        <v>19269</v>
      </c>
      <c r="O776" s="62" t="s">
        <v>85</v>
      </c>
      <c r="P776" s="42" t="str">
        <f>+IF(O776="","",IFERROR(VLOOKUP(O776,CODIGO_DIAGNOSTICO,2,0),"CÓDIGO NO ENCONTRADO"))</f>
        <v>OTRAS ENTERITIS VIRALES</v>
      </c>
      <c r="Q776" s="62" t="s">
        <v>24996</v>
      </c>
      <c r="R776" s="64"/>
      <c r="S776" s="75"/>
      <c r="T776" s="75"/>
      <c r="U776" s="65"/>
      <c r="V776" s="62"/>
      <c r="W776" s="65"/>
      <c r="X776" s="62"/>
      <c r="Y776" s="65"/>
      <c r="Z776" s="73"/>
    </row>
    <row r="777" spans="1:26" ht="15.75" hidden="1" customHeight="1" x14ac:dyDescent="0.25">
      <c r="A777" s="67">
        <v>6</v>
      </c>
      <c r="B777" s="68">
        <v>70323164</v>
      </c>
      <c r="C777" s="68" t="s">
        <v>25145</v>
      </c>
      <c r="D777" s="68" t="s">
        <v>24985</v>
      </c>
      <c r="E777" s="68" t="s">
        <v>25188</v>
      </c>
      <c r="F777" s="68" t="s">
        <v>26208</v>
      </c>
      <c r="G777" s="81" t="s">
        <v>19285</v>
      </c>
      <c r="H777" s="69">
        <v>45455</v>
      </c>
      <c r="I777" s="69">
        <v>45463</v>
      </c>
      <c r="J777" s="68">
        <v>9</v>
      </c>
      <c r="K777" s="68">
        <v>9</v>
      </c>
      <c r="L777" s="68" t="s">
        <v>19262</v>
      </c>
      <c r="M777" s="68" t="s">
        <v>19262</v>
      </c>
      <c r="N777" s="62" t="s">
        <v>19269</v>
      </c>
      <c r="O777" s="68" t="s">
        <v>3693</v>
      </c>
      <c r="P777" s="42" t="str">
        <f>+IF(O777="","",IFERROR(VLOOKUP(O777,CODIGO_DIAGNOSTICO,2,0),"CÓDIGO NO ENCONTRADO"))</f>
        <v>ENFERMEDAD PULMONAR OBSTRUCTIVA CRONICA, NO ESPECIFICADA</v>
      </c>
      <c r="Q777" s="68" t="s">
        <v>26059</v>
      </c>
      <c r="R777" s="67"/>
      <c r="S777" s="77"/>
      <c r="T777" s="76"/>
      <c r="U777" s="65"/>
      <c r="V777" s="68"/>
      <c r="W777" s="70"/>
      <c r="X777" s="68"/>
      <c r="Y777" s="70"/>
      <c r="Z777" s="72"/>
    </row>
    <row r="778" spans="1:26" ht="15.75" hidden="1" customHeight="1" x14ac:dyDescent="0.25">
      <c r="A778" s="64">
        <v>6</v>
      </c>
      <c r="B778" s="62">
        <v>1152705094</v>
      </c>
      <c r="C778" s="62" t="s">
        <v>25411</v>
      </c>
      <c r="D778" s="62" t="s">
        <v>25513</v>
      </c>
      <c r="E778" s="62" t="s">
        <v>26206</v>
      </c>
      <c r="F778" s="62"/>
      <c r="G778" s="81" t="s">
        <v>26241</v>
      </c>
      <c r="H778" s="63">
        <v>45455</v>
      </c>
      <c r="I778" s="63">
        <v>45456</v>
      </c>
      <c r="J778" s="62">
        <v>2</v>
      </c>
      <c r="K778" s="62">
        <v>2</v>
      </c>
      <c r="L778" s="62" t="s">
        <v>24995</v>
      </c>
      <c r="M778" s="62" t="s">
        <v>24995</v>
      </c>
      <c r="N778" s="62" t="s">
        <v>19269</v>
      </c>
      <c r="O778" s="62" t="s">
        <v>4347</v>
      </c>
      <c r="P778" s="42" t="str">
        <f>+IF(O778="","",IFERROR(VLOOKUP(O778,CODIGO_DIAGNOSTICO,2,0),"CÓDIGO NO ENCONTRADO"))</f>
        <v>URTICARIA ALERGICA</v>
      </c>
      <c r="Q778" s="62" t="s">
        <v>26059</v>
      </c>
      <c r="R778" s="64"/>
      <c r="S778" s="75"/>
      <c r="T778" s="75"/>
      <c r="U778" s="65"/>
      <c r="V778" s="62"/>
      <c r="W778" s="65"/>
      <c r="X778" s="62"/>
      <c r="Y778" s="65"/>
      <c r="Z778" s="73"/>
    </row>
    <row r="779" spans="1:26" ht="15.75" hidden="1" customHeight="1" x14ac:dyDescent="0.25">
      <c r="A779" s="67">
        <v>6</v>
      </c>
      <c r="B779" s="68">
        <v>71531263</v>
      </c>
      <c r="C779" s="68" t="s">
        <v>25429</v>
      </c>
      <c r="D779" s="68" t="s">
        <v>25506</v>
      </c>
      <c r="E779" s="68" t="s">
        <v>25056</v>
      </c>
      <c r="F779" s="68" t="s">
        <v>25029</v>
      </c>
      <c r="G779" s="81" t="s">
        <v>19285</v>
      </c>
      <c r="H779" s="69">
        <v>45456</v>
      </c>
      <c r="I779" s="69">
        <v>45457</v>
      </c>
      <c r="J779" s="68">
        <v>2</v>
      </c>
      <c r="K779" s="68">
        <v>2</v>
      </c>
      <c r="L779" s="68" t="s">
        <v>24995</v>
      </c>
      <c r="M779" s="68" t="s">
        <v>24995</v>
      </c>
      <c r="N779" s="62" t="s">
        <v>19269</v>
      </c>
      <c r="O779" s="68" t="s">
        <v>4838</v>
      </c>
      <c r="P779" s="42" t="str">
        <f>+IF(O779="","",IFERROR(VLOOKUP(O779,CODIGO_DIAGNOSTICO,2,0),"CÓDIGO NO ENCONTRADO"))</f>
        <v>LUMBAGO NO ESPECIFICADO</v>
      </c>
      <c r="Q779" s="68" t="s">
        <v>26059</v>
      </c>
      <c r="R779" s="67"/>
      <c r="S779" s="77"/>
      <c r="T779" s="76"/>
      <c r="U779" s="65"/>
      <c r="V779" s="68"/>
      <c r="W779" s="70"/>
      <c r="X779" s="68"/>
      <c r="Y779" s="70"/>
      <c r="Z779" s="72"/>
    </row>
    <row r="780" spans="1:26" ht="15.75" hidden="1" customHeight="1" x14ac:dyDescent="0.25">
      <c r="A780" s="64">
        <v>6</v>
      </c>
      <c r="B780" s="62">
        <v>43826892</v>
      </c>
      <c r="C780" s="62" t="s">
        <v>25464</v>
      </c>
      <c r="D780" s="62" t="s">
        <v>26242</v>
      </c>
      <c r="E780" s="62" t="s">
        <v>25231</v>
      </c>
      <c r="F780" s="62" t="s">
        <v>26243</v>
      </c>
      <c r="G780" s="81" t="s">
        <v>19285</v>
      </c>
      <c r="H780" s="63">
        <v>45456</v>
      </c>
      <c r="I780" s="63">
        <v>45457</v>
      </c>
      <c r="J780" s="62">
        <v>2</v>
      </c>
      <c r="K780" s="62">
        <v>2</v>
      </c>
      <c r="L780" s="62" t="s">
        <v>24995</v>
      </c>
      <c r="M780" s="62" t="s">
        <v>24995</v>
      </c>
      <c r="N780" s="62" t="s">
        <v>19269</v>
      </c>
      <c r="O780" s="62" t="s">
        <v>3536</v>
      </c>
      <c r="P780" s="42" t="s">
        <v>15262</v>
      </c>
      <c r="Q780" s="62" t="s">
        <v>24996</v>
      </c>
      <c r="R780" s="64"/>
      <c r="S780" s="75"/>
      <c r="T780" s="75"/>
      <c r="U780" s="65"/>
      <c r="V780" s="62"/>
      <c r="W780" s="65"/>
      <c r="X780" s="62"/>
      <c r="Y780" s="65"/>
      <c r="Z780" s="73"/>
    </row>
    <row r="781" spans="1:26" ht="15.75" hidden="1" customHeight="1" x14ac:dyDescent="0.25">
      <c r="A781" s="67">
        <v>6</v>
      </c>
      <c r="B781" s="68">
        <v>43117538</v>
      </c>
      <c r="C781" s="68" t="s">
        <v>25310</v>
      </c>
      <c r="D781" s="68" t="s">
        <v>25248</v>
      </c>
      <c r="E781" s="68" t="s">
        <v>24999</v>
      </c>
      <c r="F781" s="68" t="s">
        <v>25000</v>
      </c>
      <c r="G781" s="81" t="s">
        <v>19285</v>
      </c>
      <c r="H781" s="69">
        <v>45457</v>
      </c>
      <c r="I781" s="69">
        <v>45459</v>
      </c>
      <c r="J781" s="68">
        <v>3</v>
      </c>
      <c r="K781" s="68">
        <v>3</v>
      </c>
      <c r="L781" s="68" t="s">
        <v>24995</v>
      </c>
      <c r="M781" s="68" t="s">
        <v>24995</v>
      </c>
      <c r="N781" s="62" t="s">
        <v>19269</v>
      </c>
      <c r="O781" s="68" t="s">
        <v>2272</v>
      </c>
      <c r="P781" s="42" t="str">
        <f>+IF(O781="","",IFERROR(VLOOKUP(O781,CODIGO_DIAGNOSTICO,2,0),"CÓDIGO NO ENCONTRADO"))</f>
        <v>TRASTORNO MIXTO DE ANSIEDAD Y DEPRESION</v>
      </c>
      <c r="Q781" s="68" t="s">
        <v>26059</v>
      </c>
      <c r="R781" s="67"/>
      <c r="S781" s="77"/>
      <c r="T781" s="76"/>
      <c r="U781" s="65"/>
      <c r="V781" s="68"/>
      <c r="W781" s="70"/>
      <c r="X781" s="68"/>
      <c r="Y781" s="70"/>
      <c r="Z781" s="72"/>
    </row>
    <row r="782" spans="1:26" ht="15.75" hidden="1" customHeight="1" x14ac:dyDescent="0.25">
      <c r="A782" s="64">
        <v>6</v>
      </c>
      <c r="B782" s="62">
        <v>10531748</v>
      </c>
      <c r="C782" s="62" t="s">
        <v>25219</v>
      </c>
      <c r="D782" s="62" t="s">
        <v>25733</v>
      </c>
      <c r="E782" s="62" t="s">
        <v>26244</v>
      </c>
      <c r="F782" s="62" t="s">
        <v>25416</v>
      </c>
      <c r="G782" s="81" t="s">
        <v>19285</v>
      </c>
      <c r="H782" s="63">
        <v>45457</v>
      </c>
      <c r="I782" s="63">
        <v>45458</v>
      </c>
      <c r="J782" s="62">
        <v>2</v>
      </c>
      <c r="K782" s="62">
        <v>2</v>
      </c>
      <c r="L782" s="62" t="s">
        <v>24995</v>
      </c>
      <c r="M782" s="62" t="s">
        <v>24995</v>
      </c>
      <c r="N782" s="62" t="s">
        <v>19269</v>
      </c>
      <c r="O782" s="62" t="s">
        <v>15281</v>
      </c>
      <c r="P782" s="42" t="str">
        <f>+IF(O782="","",IFERROR(VLOOKUP(O782,CODIGO_DIAGNOSTICO,2,0),"CÓDIGO NO ENCONTRADO"))</f>
        <v>RINOFARINGITIS AGUDA (RESFRIADO COMUN)</v>
      </c>
      <c r="Q782" s="62" t="s">
        <v>26059</v>
      </c>
      <c r="R782" s="64"/>
      <c r="S782" s="75"/>
      <c r="T782" s="75"/>
      <c r="U782" s="65"/>
      <c r="V782" s="62"/>
      <c r="W782" s="65"/>
      <c r="X782" s="62"/>
      <c r="Y782" s="65"/>
      <c r="Z782" s="73"/>
    </row>
    <row r="783" spans="1:26" ht="15.75" hidden="1" customHeight="1" x14ac:dyDescent="0.25">
      <c r="A783" s="67">
        <v>6</v>
      </c>
      <c r="B783" s="68">
        <v>1017235942</v>
      </c>
      <c r="C783" s="68" t="s">
        <v>25341</v>
      </c>
      <c r="D783" s="68" t="s">
        <v>25498</v>
      </c>
      <c r="E783" s="68" t="s">
        <v>25430</v>
      </c>
      <c r="F783" s="68"/>
      <c r="G783" s="81" t="s">
        <v>19285</v>
      </c>
      <c r="H783" s="69">
        <v>45457</v>
      </c>
      <c r="I783" s="69">
        <v>45461</v>
      </c>
      <c r="J783" s="68">
        <v>5</v>
      </c>
      <c r="K783" s="68">
        <v>5</v>
      </c>
      <c r="L783" s="68" t="s">
        <v>24995</v>
      </c>
      <c r="M783" s="68" t="s">
        <v>24995</v>
      </c>
      <c r="N783" s="62" t="s">
        <v>19269</v>
      </c>
      <c r="O783" s="68" t="s">
        <v>11980</v>
      </c>
      <c r="P783" s="42" t="str">
        <f>+IF(O783="","",IFERROR(VLOOKUP(O783,CODIGO_DIAGNOSTICO,2,0),"CÓDIGO NO ENCONTRADO"))</f>
        <v>ESTERILIZACION</v>
      </c>
      <c r="Q783" s="68" t="s">
        <v>26059</v>
      </c>
      <c r="R783" s="67"/>
      <c r="S783" s="77"/>
      <c r="T783" s="76"/>
      <c r="U783" s="65"/>
      <c r="V783" s="68"/>
      <c r="W783" s="70"/>
      <c r="X783" s="68"/>
      <c r="Y783" s="70"/>
      <c r="Z783" s="72"/>
    </row>
    <row r="784" spans="1:26" ht="15.75" hidden="1" customHeight="1" x14ac:dyDescent="0.25">
      <c r="A784" s="64">
        <v>6</v>
      </c>
      <c r="B784" s="62">
        <v>71612312</v>
      </c>
      <c r="C784" s="62" t="s">
        <v>25812</v>
      </c>
      <c r="D784" s="62" t="s">
        <v>25813</v>
      </c>
      <c r="E784" s="62" t="s">
        <v>25359</v>
      </c>
      <c r="F784" s="62" t="s">
        <v>25548</v>
      </c>
      <c r="G784" s="81" t="s">
        <v>19285</v>
      </c>
      <c r="H784" s="63">
        <v>45457</v>
      </c>
      <c r="I784" s="63">
        <v>45486</v>
      </c>
      <c r="J784" s="62">
        <v>30</v>
      </c>
      <c r="K784" s="62">
        <v>30</v>
      </c>
      <c r="L784" s="62" t="s">
        <v>19262</v>
      </c>
      <c r="M784" s="62" t="s">
        <v>19262</v>
      </c>
      <c r="N784" s="62" t="s">
        <v>19269</v>
      </c>
      <c r="O784" s="62" t="s">
        <v>8470</v>
      </c>
      <c r="P784" s="42" t="str">
        <f>+IF(O784="","",IFERROR(VLOOKUP(O784,CODIGO_DIAGNOSTICO,2,0),"CÓDIGO NO ENCONTRADO"))</f>
        <v>SECUELAS DE TRAUMATISMO DE LA MEDULA ESPINAL</v>
      </c>
      <c r="Q784" s="62" t="s">
        <v>26059</v>
      </c>
      <c r="R784" s="64"/>
      <c r="S784" s="75"/>
      <c r="T784" s="75"/>
      <c r="U784" s="65"/>
      <c r="V784" s="62"/>
      <c r="W784" s="65"/>
      <c r="X784" s="62"/>
      <c r="Y784" s="65"/>
      <c r="Z784" s="73"/>
    </row>
    <row r="785" spans="1:26" ht="15.75" hidden="1" customHeight="1" x14ac:dyDescent="0.25">
      <c r="A785" s="67">
        <v>6</v>
      </c>
      <c r="B785" s="68">
        <v>43826892</v>
      </c>
      <c r="C785" s="68" t="s">
        <v>25464</v>
      </c>
      <c r="D785" s="68" t="s">
        <v>26242</v>
      </c>
      <c r="E785" s="68" t="s">
        <v>25231</v>
      </c>
      <c r="F785" s="68" t="s">
        <v>26243</v>
      </c>
      <c r="G785" s="81" t="s">
        <v>19285</v>
      </c>
      <c r="H785" s="69">
        <v>45458</v>
      </c>
      <c r="I785" s="69">
        <v>45458</v>
      </c>
      <c r="J785" s="68">
        <v>1</v>
      </c>
      <c r="K785" s="68">
        <v>1</v>
      </c>
      <c r="L785" s="68" t="s">
        <v>24995</v>
      </c>
      <c r="M785" s="68" t="s">
        <v>24995</v>
      </c>
      <c r="N785" s="62" t="s">
        <v>19269</v>
      </c>
      <c r="O785" s="68" t="s">
        <v>3536</v>
      </c>
      <c r="P785" s="42" t="str">
        <f>+IF(O785="","",IFERROR(VLOOKUP(O785,CODIGO_DIAGNOSTICO,2,0),"CÓDIGO NO ENCONTRADO"))</f>
        <v>INSUFICIENCIA VENOSA (CRONICA) (PERIFERICA)</v>
      </c>
      <c r="Q785" s="68" t="s">
        <v>24996</v>
      </c>
      <c r="R785" s="67"/>
      <c r="S785" s="77"/>
      <c r="T785" s="76"/>
      <c r="U785" s="65"/>
      <c r="V785" s="68"/>
      <c r="W785" s="70"/>
      <c r="X785" s="68"/>
      <c r="Y785" s="70"/>
      <c r="Z785" s="72"/>
    </row>
    <row r="786" spans="1:26" ht="15.75" hidden="1" customHeight="1" x14ac:dyDescent="0.25">
      <c r="A786" s="64">
        <v>6</v>
      </c>
      <c r="B786" s="62">
        <v>71382103</v>
      </c>
      <c r="C786" s="62" t="s">
        <v>25776</v>
      </c>
      <c r="D786" s="62" t="s">
        <v>25968</v>
      </c>
      <c r="E786" s="62" t="s">
        <v>25116</v>
      </c>
      <c r="F786" s="62" t="s">
        <v>26027</v>
      </c>
      <c r="G786" s="81" t="s">
        <v>19285</v>
      </c>
      <c r="H786" s="63">
        <v>45458</v>
      </c>
      <c r="I786" s="63">
        <v>45487</v>
      </c>
      <c r="J786" s="62">
        <v>30</v>
      </c>
      <c r="K786" s="62">
        <v>30</v>
      </c>
      <c r="L786" s="62" t="s">
        <v>24995</v>
      </c>
      <c r="M786" s="62" t="s">
        <v>19262</v>
      </c>
      <c r="N786" s="62" t="s">
        <v>19269</v>
      </c>
      <c r="O786" s="62" t="s">
        <v>4671</v>
      </c>
      <c r="P786" s="42" t="str">
        <f>+IF(O786="","",IFERROR(VLOOKUP(O786,CODIGO_DIAGNOSTICO,2,0),"CÓDIGO NO ENCONTRADO"))</f>
        <v>DEFORMIDAD EN VARO, NO CLASIFICADA EN OTRA</v>
      </c>
      <c r="Q786" s="62" t="s">
        <v>26059</v>
      </c>
      <c r="R786" s="64"/>
      <c r="S786" s="75"/>
      <c r="T786" s="75"/>
      <c r="U786" s="65"/>
      <c r="V786" s="62"/>
      <c r="W786" s="65"/>
      <c r="X786" s="62"/>
      <c r="Y786" s="65"/>
      <c r="Z786" s="73"/>
    </row>
    <row r="787" spans="1:26" ht="15.75" hidden="1" customHeight="1" x14ac:dyDescent="0.25">
      <c r="A787" s="67">
        <v>6</v>
      </c>
      <c r="B787" s="68">
        <v>1001025115</v>
      </c>
      <c r="C787" s="68" t="s">
        <v>25274</v>
      </c>
      <c r="D787" s="68" t="s">
        <v>25769</v>
      </c>
      <c r="E787" s="68" t="s">
        <v>25770</v>
      </c>
      <c r="F787" s="68" t="s">
        <v>25028</v>
      </c>
      <c r="G787" s="81" t="s">
        <v>19285</v>
      </c>
      <c r="H787" s="69">
        <v>45459</v>
      </c>
      <c r="I787" s="69">
        <v>45460</v>
      </c>
      <c r="J787" s="68">
        <v>2</v>
      </c>
      <c r="K787" s="68">
        <v>2</v>
      </c>
      <c r="L787" s="68" t="s">
        <v>24995</v>
      </c>
      <c r="M787" s="68" t="s">
        <v>24995</v>
      </c>
      <c r="N787" s="62" t="s">
        <v>19269</v>
      </c>
      <c r="O787" s="68" t="s">
        <v>86</v>
      </c>
      <c r="P787" s="42" t="str">
        <f>+IF(O787="","",IFERROR(VLOOKUP(O787,CODIGO_DIAGNOSTICO,2,0),"CÓDIGO NO ENCONTRADO"))</f>
        <v>INFECCION INTESTINAL VIRAL, SIN OTRA ESPECIFICACION</v>
      </c>
      <c r="Q787" s="68" t="s">
        <v>26059</v>
      </c>
      <c r="R787" s="67"/>
      <c r="S787" s="77"/>
      <c r="T787" s="76"/>
      <c r="U787" s="65"/>
      <c r="V787" s="68"/>
      <c r="W787" s="70"/>
      <c r="X787" s="68"/>
      <c r="Y787" s="70"/>
      <c r="Z787" s="72"/>
    </row>
    <row r="788" spans="1:26" ht="15.75" hidden="1" customHeight="1" x14ac:dyDescent="0.25">
      <c r="A788" s="64">
        <v>6</v>
      </c>
      <c r="B788" s="62">
        <v>1000633959</v>
      </c>
      <c r="C788" s="62" t="s">
        <v>25219</v>
      </c>
      <c r="D788" s="62" t="s">
        <v>25109</v>
      </c>
      <c r="E788" s="62" t="s">
        <v>25010</v>
      </c>
      <c r="F788" s="62" t="s">
        <v>25157</v>
      </c>
      <c r="G788" s="81" t="s">
        <v>19285</v>
      </c>
      <c r="H788" s="63">
        <v>45460</v>
      </c>
      <c r="I788" s="63">
        <v>45460</v>
      </c>
      <c r="J788" s="62">
        <v>1</v>
      </c>
      <c r="K788" s="62">
        <v>1</v>
      </c>
      <c r="L788" s="62" t="s">
        <v>24995</v>
      </c>
      <c r="M788" s="62" t="s">
        <v>24995</v>
      </c>
      <c r="N788" s="62" t="s">
        <v>19269</v>
      </c>
      <c r="O788" s="62" t="s">
        <v>2593</v>
      </c>
      <c r="P788" s="42" t="str">
        <f>+IF(O788="","",IFERROR(VLOOKUP(O788,CODIGO_DIAGNOSTICO,2,0),"CÓDIGO NO ENCONTRADO"))</f>
        <v>MIGRAÑA, NO ESPECIFICADA</v>
      </c>
      <c r="Q788" s="62" t="s">
        <v>24996</v>
      </c>
      <c r="R788" s="64"/>
      <c r="S788" s="75"/>
      <c r="T788" s="75"/>
      <c r="U788" s="65"/>
      <c r="V788" s="62"/>
      <c r="W788" s="65"/>
      <c r="X788" s="62"/>
      <c r="Y788" s="65"/>
      <c r="Z788" s="73"/>
    </row>
    <row r="789" spans="1:26" ht="15.75" hidden="1" customHeight="1" x14ac:dyDescent="0.25">
      <c r="A789" s="67">
        <v>6</v>
      </c>
      <c r="B789" s="68">
        <v>1128467712</v>
      </c>
      <c r="C789" s="68" t="s">
        <v>25456</v>
      </c>
      <c r="D789" s="68" t="s">
        <v>19258</v>
      </c>
      <c r="E789" s="68" t="s">
        <v>25879</v>
      </c>
      <c r="F789" s="68" t="s">
        <v>25880</v>
      </c>
      <c r="G789" s="81" t="s">
        <v>26047</v>
      </c>
      <c r="H789" s="69">
        <v>45460</v>
      </c>
      <c r="I789" s="69">
        <v>45461</v>
      </c>
      <c r="J789" s="68">
        <v>2</v>
      </c>
      <c r="K789" s="68">
        <v>2</v>
      </c>
      <c r="L789" s="68" t="s">
        <v>24995</v>
      </c>
      <c r="M789" s="68" t="s">
        <v>24995</v>
      </c>
      <c r="N789" s="62" t="s">
        <v>19269</v>
      </c>
      <c r="O789" s="68" t="s">
        <v>15281</v>
      </c>
      <c r="P789" s="42" t="str">
        <f>+IF(O789="","",IFERROR(VLOOKUP(O789,CODIGO_DIAGNOSTICO,2,0),"CÓDIGO NO ENCONTRADO"))</f>
        <v>RINOFARINGITIS AGUDA (RESFRIADO COMUN)</v>
      </c>
      <c r="Q789" s="68" t="s">
        <v>26059</v>
      </c>
      <c r="R789" s="67"/>
      <c r="S789" s="77"/>
      <c r="T789" s="76"/>
      <c r="U789" s="65"/>
      <c r="V789" s="68"/>
      <c r="W789" s="70"/>
      <c r="X789" s="68"/>
      <c r="Y789" s="70"/>
      <c r="Z789" s="72"/>
    </row>
    <row r="790" spans="1:26" ht="15.75" hidden="1" customHeight="1" x14ac:dyDescent="0.25">
      <c r="A790" s="64">
        <v>6</v>
      </c>
      <c r="B790" s="62">
        <v>71676289</v>
      </c>
      <c r="C790" s="62" t="s">
        <v>25702</v>
      </c>
      <c r="D790" s="62" t="s">
        <v>25012</v>
      </c>
      <c r="E790" s="62" t="s">
        <v>25016</v>
      </c>
      <c r="F790" s="62" t="s">
        <v>25004</v>
      </c>
      <c r="G790" s="81" t="s">
        <v>19285</v>
      </c>
      <c r="H790" s="63">
        <v>45461</v>
      </c>
      <c r="I790" s="63">
        <v>45399</v>
      </c>
      <c r="J790" s="62">
        <v>30</v>
      </c>
      <c r="K790" s="62">
        <v>30</v>
      </c>
      <c r="L790" s="62" t="s">
        <v>19262</v>
      </c>
      <c r="M790" s="62" t="s">
        <v>19262</v>
      </c>
      <c r="N790" s="62" t="s">
        <v>19269</v>
      </c>
      <c r="O790" s="62" t="s">
        <v>3483</v>
      </c>
      <c r="P790" s="42" t="str">
        <f>+IF(O790="","",IFERROR(VLOOKUP(O790,CODIGO_DIAGNOSTICO,2,0),"CÓDIGO NO ENCONTRADO"))</f>
        <v>ESTRECHEZ ARTERIAL</v>
      </c>
      <c r="Q790" s="62" t="s">
        <v>26059</v>
      </c>
      <c r="R790" s="64"/>
      <c r="S790" s="75"/>
      <c r="T790" s="75"/>
      <c r="U790" s="65"/>
      <c r="V790" s="62"/>
      <c r="W790" s="65"/>
      <c r="X790" s="62"/>
      <c r="Y790" s="65"/>
      <c r="Z790" s="73"/>
    </row>
    <row r="791" spans="1:26" ht="15.75" hidden="1" customHeight="1" x14ac:dyDescent="0.25">
      <c r="A791" s="67">
        <v>6</v>
      </c>
      <c r="B791" s="68">
        <v>1017207367</v>
      </c>
      <c r="C791" s="68" t="s">
        <v>25053</v>
      </c>
      <c r="D791" s="68" t="s">
        <v>25140</v>
      </c>
      <c r="E791" s="68" t="s">
        <v>25135</v>
      </c>
      <c r="F791" s="68"/>
      <c r="G791" s="81" t="s">
        <v>25328</v>
      </c>
      <c r="H791" s="69">
        <v>45463</v>
      </c>
      <c r="I791" s="69">
        <v>45492</v>
      </c>
      <c r="J791" s="68">
        <v>30</v>
      </c>
      <c r="K791" s="68">
        <v>30</v>
      </c>
      <c r="L791" s="68" t="s">
        <v>19262</v>
      </c>
      <c r="M791" s="68" t="s">
        <v>19262</v>
      </c>
      <c r="N791" s="62" t="s">
        <v>19263</v>
      </c>
      <c r="O791" s="68" t="s">
        <v>7433</v>
      </c>
      <c r="P791" s="42" t="str">
        <f>+IF(O791="","",IFERROR(VLOOKUP(O791,CODIGO_DIAGNOSTICO,2,0),"CÓDIGO NO ENCONTRADO"))</f>
        <v>FRACTURA DEL HUESO ILIACO</v>
      </c>
      <c r="Q791" s="68" t="s">
        <v>25001</v>
      </c>
      <c r="R791" s="67"/>
      <c r="S791" s="77"/>
      <c r="T791" s="76"/>
      <c r="U791" s="65"/>
      <c r="V791" s="68"/>
      <c r="W791" s="70"/>
      <c r="X791" s="68"/>
      <c r="Y791" s="70"/>
      <c r="Z791" s="72"/>
    </row>
    <row r="792" spans="1:26" ht="15.75" hidden="1" customHeight="1" x14ac:dyDescent="0.25">
      <c r="A792" s="64">
        <v>6</v>
      </c>
      <c r="B792" s="62">
        <v>70323164</v>
      </c>
      <c r="C792" s="62" t="s">
        <v>25145</v>
      </c>
      <c r="D792" s="62" t="s">
        <v>24985</v>
      </c>
      <c r="E792" s="62" t="s">
        <v>25188</v>
      </c>
      <c r="F792" s="62" t="s">
        <v>25146</v>
      </c>
      <c r="G792" s="81" t="s">
        <v>19285</v>
      </c>
      <c r="H792" s="63">
        <v>45464</v>
      </c>
      <c r="I792" s="63">
        <v>45472</v>
      </c>
      <c r="J792" s="62">
        <v>9</v>
      </c>
      <c r="K792" s="62">
        <v>9</v>
      </c>
      <c r="L792" s="62" t="s">
        <v>19262</v>
      </c>
      <c r="M792" s="62" t="s">
        <v>19262</v>
      </c>
      <c r="N792" s="62" t="s">
        <v>19269</v>
      </c>
      <c r="O792" s="62" t="s">
        <v>3693</v>
      </c>
      <c r="P792" s="42" t="str">
        <f>+IF(O792="","",IFERROR(VLOOKUP(O792,CODIGO_DIAGNOSTICO,2,0),"CÓDIGO NO ENCONTRADO"))</f>
        <v>ENFERMEDAD PULMONAR OBSTRUCTIVA CRONICA, NO ESPECIFICADA</v>
      </c>
      <c r="Q792" s="62" t="s">
        <v>26059</v>
      </c>
      <c r="R792" s="64"/>
      <c r="S792" s="75"/>
      <c r="T792" s="75"/>
      <c r="U792" s="65"/>
      <c r="V792" s="62"/>
      <c r="W792" s="65"/>
      <c r="X792" s="62"/>
      <c r="Y792" s="65"/>
      <c r="Z792" s="73"/>
    </row>
    <row r="793" spans="1:26" ht="15.75" hidden="1" customHeight="1" x14ac:dyDescent="0.25">
      <c r="A793" s="67">
        <v>6</v>
      </c>
      <c r="B793" s="68">
        <v>15309929</v>
      </c>
      <c r="C793" s="68" t="s">
        <v>25047</v>
      </c>
      <c r="D793" s="68" t="s">
        <v>25012</v>
      </c>
      <c r="E793" s="68" t="s">
        <v>25048</v>
      </c>
      <c r="F793" s="68" t="s">
        <v>25014</v>
      </c>
      <c r="G793" s="81" t="s">
        <v>19285</v>
      </c>
      <c r="H793" s="69">
        <v>45465</v>
      </c>
      <c r="I793" s="69">
        <v>45479</v>
      </c>
      <c r="J793" s="68">
        <v>15</v>
      </c>
      <c r="K793" s="68">
        <v>15</v>
      </c>
      <c r="L793" s="68" t="s">
        <v>24995</v>
      </c>
      <c r="M793" s="68" t="s">
        <v>24995</v>
      </c>
      <c r="N793" s="62" t="s">
        <v>19269</v>
      </c>
      <c r="O793" s="68" t="s">
        <v>7734</v>
      </c>
      <c r="P793" s="42" t="str">
        <f>+IF(O793="","",IFERROR(VLOOKUP(O793,CODIGO_DIAGNOSTICO,2,0),"CÓDIGO NO ENCONTRADO"))</f>
        <v>DESGARRO DE MENISCOS, PRESENTE</v>
      </c>
      <c r="Q793" s="68" t="s">
        <v>26059</v>
      </c>
      <c r="R793" s="67"/>
      <c r="S793" s="77"/>
      <c r="T793" s="76"/>
      <c r="U793" s="65"/>
      <c r="V793" s="68"/>
      <c r="W793" s="70"/>
      <c r="X793" s="68"/>
      <c r="Y793" s="70"/>
      <c r="Z793" s="72"/>
    </row>
    <row r="794" spans="1:26" ht="15.75" hidden="1" customHeight="1" x14ac:dyDescent="0.25">
      <c r="A794" s="64">
        <v>6</v>
      </c>
      <c r="B794" s="62">
        <v>71762684</v>
      </c>
      <c r="C794" s="62" t="s">
        <v>25105</v>
      </c>
      <c r="D794" s="62" t="s">
        <v>25733</v>
      </c>
      <c r="E794" s="62" t="s">
        <v>25405</v>
      </c>
      <c r="F794" s="62" t="s">
        <v>25734</v>
      </c>
      <c r="G794" s="81" t="s">
        <v>19285</v>
      </c>
      <c r="H794" s="63">
        <v>45467</v>
      </c>
      <c r="I794" s="63">
        <v>45468</v>
      </c>
      <c r="J794" s="62">
        <v>2</v>
      </c>
      <c r="K794" s="62">
        <v>2</v>
      </c>
      <c r="L794" s="62" t="s">
        <v>24995</v>
      </c>
      <c r="M794" s="62" t="s">
        <v>24995</v>
      </c>
      <c r="N794" s="62" t="s">
        <v>19269</v>
      </c>
      <c r="O794" s="62" t="s">
        <v>85</v>
      </c>
      <c r="P794" s="42" t="str">
        <f>+IF(O794="","",IFERROR(VLOOKUP(O794,CODIGO_DIAGNOSTICO,2,0),"CÓDIGO NO ENCONTRADO"))</f>
        <v>OTRAS ENTERITIS VIRALES</v>
      </c>
      <c r="Q794" s="62" t="s">
        <v>26059</v>
      </c>
      <c r="R794" s="64"/>
      <c r="S794" s="75"/>
      <c r="T794" s="75"/>
      <c r="U794" s="65"/>
      <c r="V794" s="62"/>
      <c r="W794" s="65"/>
      <c r="X794" s="62"/>
      <c r="Y794" s="65"/>
      <c r="Z794" s="73"/>
    </row>
    <row r="795" spans="1:26" ht="15.75" hidden="1" customHeight="1" x14ac:dyDescent="0.25">
      <c r="A795" s="67">
        <v>6</v>
      </c>
      <c r="B795" s="68">
        <v>12625299</v>
      </c>
      <c r="C795" s="68" t="s">
        <v>25321</v>
      </c>
      <c r="D795" s="68" t="s">
        <v>26226</v>
      </c>
      <c r="E795" s="68" t="s">
        <v>25323</v>
      </c>
      <c r="F795" s="68" t="s">
        <v>25064</v>
      </c>
      <c r="G795" s="81" t="s">
        <v>19285</v>
      </c>
      <c r="H795" s="69">
        <v>45467</v>
      </c>
      <c r="I795" s="69">
        <v>45496</v>
      </c>
      <c r="J795" s="68">
        <v>30</v>
      </c>
      <c r="K795" s="68">
        <v>30</v>
      </c>
      <c r="L795" s="68" t="s">
        <v>19262</v>
      </c>
      <c r="M795" s="68" t="s">
        <v>19262</v>
      </c>
      <c r="N795" s="62" t="s">
        <v>19269</v>
      </c>
      <c r="O795" s="68" t="s">
        <v>3284</v>
      </c>
      <c r="P795" s="42" t="str">
        <f>+IF(O795="","",IFERROR(VLOOKUP(O795,CODIGO_DIAGNOSTICO,2,0),"CÓDIGO NO ENCONTRADO"))</f>
        <v>ENDOCARDITIS INFECCIOSA AGUDA Y SUBAGUDA</v>
      </c>
      <c r="Q795" s="68" t="s">
        <v>26059</v>
      </c>
      <c r="R795" s="67"/>
      <c r="S795" s="77"/>
      <c r="T795" s="76"/>
      <c r="U795" s="65"/>
      <c r="V795" s="68"/>
      <c r="W795" s="70"/>
      <c r="X795" s="68"/>
      <c r="Y795" s="70"/>
      <c r="Z795" s="72"/>
    </row>
    <row r="796" spans="1:26" ht="15.75" hidden="1" customHeight="1" x14ac:dyDescent="0.25">
      <c r="A796" s="64">
        <v>6</v>
      </c>
      <c r="B796" s="62">
        <v>1047482608</v>
      </c>
      <c r="C796" s="62" t="s">
        <v>25928</v>
      </c>
      <c r="D796" s="62" t="s">
        <v>25929</v>
      </c>
      <c r="E796" s="62" t="s">
        <v>25754</v>
      </c>
      <c r="F796" s="62" t="s">
        <v>25099</v>
      </c>
      <c r="G796" s="81" t="s">
        <v>19285</v>
      </c>
      <c r="H796" s="63">
        <v>45472</v>
      </c>
      <c r="I796" s="63">
        <v>45475</v>
      </c>
      <c r="J796" s="62">
        <v>4</v>
      </c>
      <c r="K796" s="62">
        <v>4</v>
      </c>
      <c r="L796" s="62" t="s">
        <v>24995</v>
      </c>
      <c r="M796" s="62" t="s">
        <v>24995</v>
      </c>
      <c r="N796" s="62" t="s">
        <v>19269</v>
      </c>
      <c r="O796" s="62" t="s">
        <v>442</v>
      </c>
      <c r="P796" s="42" t="str">
        <f>+IF(O796="","",IFERROR(VLOOKUP(O796,CODIGO_DIAGNOSTICO,2,0),"CÓDIGO NO ENCONTRADO"))</f>
        <v>HERPES ZOSTER SIN COMPLICACIONES</v>
      </c>
      <c r="Q796" s="62" t="s">
        <v>26152</v>
      </c>
      <c r="R796" s="64"/>
      <c r="S796" s="75"/>
      <c r="T796" s="75"/>
      <c r="U796" s="65"/>
      <c r="V796" s="62"/>
      <c r="W796" s="65"/>
      <c r="X796" s="62"/>
      <c r="Y796" s="65"/>
      <c r="Z796" s="73"/>
    </row>
    <row r="797" spans="1:26" ht="15.75" hidden="1" customHeight="1" x14ac:dyDescent="0.25">
      <c r="A797" s="67">
        <v>6</v>
      </c>
      <c r="B797" s="68">
        <v>70323164</v>
      </c>
      <c r="C797" s="68" t="s">
        <v>24992</v>
      </c>
      <c r="D797" s="68" t="s">
        <v>24985</v>
      </c>
      <c r="E797" s="68" t="s">
        <v>25188</v>
      </c>
      <c r="F797" s="68" t="s">
        <v>25146</v>
      </c>
      <c r="G797" s="81" t="s">
        <v>19285</v>
      </c>
      <c r="H797" s="69">
        <v>45473</v>
      </c>
      <c r="I797" s="69">
        <v>45481</v>
      </c>
      <c r="J797" s="68">
        <v>9</v>
      </c>
      <c r="K797" s="68">
        <v>9</v>
      </c>
      <c r="L797" s="68" t="s">
        <v>19262</v>
      </c>
      <c r="M797" s="68" t="s">
        <v>19262</v>
      </c>
      <c r="N797" s="62" t="s">
        <v>19269</v>
      </c>
      <c r="O797" s="68" t="s">
        <v>3693</v>
      </c>
      <c r="P797" s="42" t="str">
        <f>+IF(O797="","",IFERROR(VLOOKUP(O797,CODIGO_DIAGNOSTICO,2,0),"CÓDIGO NO ENCONTRADO"))</f>
        <v>ENFERMEDAD PULMONAR OBSTRUCTIVA CRONICA, NO ESPECIFICADA</v>
      </c>
      <c r="Q797" s="68" t="s">
        <v>26059</v>
      </c>
      <c r="R797" s="67"/>
      <c r="S797" s="77"/>
      <c r="T797" s="76"/>
      <c r="U797" s="65"/>
      <c r="V797" s="68"/>
      <c r="W797" s="70"/>
      <c r="X797" s="68"/>
      <c r="Y797" s="70"/>
      <c r="Z797" s="72"/>
    </row>
    <row r="798" spans="1:26" ht="15.75" hidden="1" customHeight="1" x14ac:dyDescent="0.25">
      <c r="A798" s="64">
        <v>7</v>
      </c>
      <c r="B798" s="62">
        <v>1037583233</v>
      </c>
      <c r="C798" s="62" t="s">
        <v>25062</v>
      </c>
      <c r="D798" s="62" t="s">
        <v>25140</v>
      </c>
      <c r="E798" s="62" t="s">
        <v>25198</v>
      </c>
      <c r="F798" s="62" t="s">
        <v>25010</v>
      </c>
      <c r="G798" s="81" t="s">
        <v>25328</v>
      </c>
      <c r="H798" s="63">
        <v>45474</v>
      </c>
      <c r="I798" s="63">
        <v>45477</v>
      </c>
      <c r="J798" s="62">
        <v>4</v>
      </c>
      <c r="K798" s="62">
        <v>4</v>
      </c>
      <c r="L798" s="62" t="s">
        <v>24995</v>
      </c>
      <c r="M798" s="62" t="s">
        <v>24995</v>
      </c>
      <c r="N798" s="62" t="s">
        <v>19263</v>
      </c>
      <c r="O798" s="62" t="s">
        <v>7713</v>
      </c>
      <c r="P798" s="42" t="str">
        <f>+IF(O798="","",IFERROR(VLOOKUP(O798,CODIGO_DIAGNOSTICO,2,0),"CÓDIGO NO ENCONTRADO"))</f>
        <v>CONTUSION DE LA RODILLA</v>
      </c>
      <c r="Q798" s="62" t="s">
        <v>25001</v>
      </c>
      <c r="R798" s="64"/>
      <c r="S798" s="75"/>
      <c r="T798" s="75"/>
      <c r="U798" s="65"/>
      <c r="V798" s="62"/>
      <c r="W798" s="65"/>
      <c r="X798" s="62"/>
      <c r="Y798" s="65"/>
      <c r="Z798" s="73"/>
    </row>
    <row r="799" spans="1:26" ht="15.75" hidden="1" customHeight="1" x14ac:dyDescent="0.25">
      <c r="A799" s="67">
        <v>7</v>
      </c>
      <c r="B799" s="68">
        <v>1038799598</v>
      </c>
      <c r="C799" s="68" t="s">
        <v>25391</v>
      </c>
      <c r="D799" s="68" t="s">
        <v>25338</v>
      </c>
      <c r="E799" s="68" t="s">
        <v>25869</v>
      </c>
      <c r="F799" s="68"/>
      <c r="G799" s="81" t="s">
        <v>19285</v>
      </c>
      <c r="H799" s="69">
        <v>45476</v>
      </c>
      <c r="I799" s="69">
        <v>45477</v>
      </c>
      <c r="J799" s="68">
        <v>2</v>
      </c>
      <c r="K799" s="68">
        <v>2</v>
      </c>
      <c r="L799" s="68" t="s">
        <v>24995</v>
      </c>
      <c r="M799" s="68" t="s">
        <v>24995</v>
      </c>
      <c r="N799" s="62" t="s">
        <v>19269</v>
      </c>
      <c r="O799" s="68" t="s">
        <v>85</v>
      </c>
      <c r="P799" s="42" t="str">
        <f>+IF(O799="","",IFERROR(VLOOKUP(O799,CODIGO_DIAGNOSTICO,2,0),"CÓDIGO NO ENCONTRADO"))</f>
        <v>OTRAS ENTERITIS VIRALES</v>
      </c>
      <c r="Q799" s="68" t="s">
        <v>26059</v>
      </c>
      <c r="R799" s="67"/>
      <c r="S799" s="77"/>
      <c r="T799" s="76"/>
      <c r="U799" s="65"/>
      <c r="V799" s="68"/>
      <c r="W799" s="70"/>
      <c r="X799" s="68"/>
      <c r="Y799" s="70"/>
      <c r="Z799" s="72"/>
    </row>
    <row r="800" spans="1:26" ht="15.75" hidden="1" customHeight="1" x14ac:dyDescent="0.25">
      <c r="A800" s="64">
        <v>7</v>
      </c>
      <c r="B800" s="62">
        <v>1041148813</v>
      </c>
      <c r="C800" s="62" t="s">
        <v>25086</v>
      </c>
      <c r="D800" s="62" t="s">
        <v>25149</v>
      </c>
      <c r="E800" s="62" t="s">
        <v>26184</v>
      </c>
      <c r="F800" s="62" t="s">
        <v>25066</v>
      </c>
      <c r="G800" s="81" t="s">
        <v>19285</v>
      </c>
      <c r="H800" s="63">
        <v>45477</v>
      </c>
      <c r="I800" s="63">
        <v>45478</v>
      </c>
      <c r="J800" s="62">
        <v>2</v>
      </c>
      <c r="K800" s="62">
        <v>2</v>
      </c>
      <c r="L800" s="62" t="s">
        <v>24995</v>
      </c>
      <c r="M800" s="62" t="s">
        <v>24995</v>
      </c>
      <c r="N800" s="62" t="s">
        <v>19269</v>
      </c>
      <c r="O800" s="62" t="s">
        <v>15281</v>
      </c>
      <c r="P800" s="42" t="str">
        <f>+IF(O800="","",IFERROR(VLOOKUP(O800,CODIGO_DIAGNOSTICO,2,0),"CÓDIGO NO ENCONTRADO"))</f>
        <v>RINOFARINGITIS AGUDA (RESFRIADO COMUN)</v>
      </c>
      <c r="Q800" s="62" t="s">
        <v>26059</v>
      </c>
      <c r="R800" s="64"/>
      <c r="S800" s="75"/>
      <c r="T800" s="75"/>
      <c r="U800" s="65"/>
      <c r="V800" s="62"/>
      <c r="W800" s="65"/>
      <c r="X800" s="62"/>
      <c r="Y800" s="65"/>
      <c r="Z800" s="73"/>
    </row>
    <row r="801" spans="1:26" ht="15.75" hidden="1" customHeight="1" x14ac:dyDescent="0.25">
      <c r="A801" s="67">
        <v>7</v>
      </c>
      <c r="B801" s="68">
        <v>21970057</v>
      </c>
      <c r="C801" s="68" t="s">
        <v>25432</v>
      </c>
      <c r="D801" s="68" t="s">
        <v>25480</v>
      </c>
      <c r="E801" s="68" t="s">
        <v>24999</v>
      </c>
      <c r="F801" s="68" t="s">
        <v>25232</v>
      </c>
      <c r="G801" s="81" t="s">
        <v>19285</v>
      </c>
      <c r="H801" s="69">
        <v>45477</v>
      </c>
      <c r="I801" s="69">
        <v>45478</v>
      </c>
      <c r="J801" s="68">
        <v>2</v>
      </c>
      <c r="K801" s="68">
        <v>2</v>
      </c>
      <c r="L801" s="68" t="s">
        <v>24995</v>
      </c>
      <c r="M801" s="68" t="s">
        <v>24995</v>
      </c>
      <c r="N801" s="62" t="s">
        <v>19269</v>
      </c>
      <c r="O801" s="68" t="s">
        <v>15281</v>
      </c>
      <c r="P801" s="42" t="str">
        <f>+IF(O801="","",IFERROR(VLOOKUP(O801,CODIGO_DIAGNOSTICO,2,0),"CÓDIGO NO ENCONTRADO"))</f>
        <v>RINOFARINGITIS AGUDA (RESFRIADO COMUN)</v>
      </c>
      <c r="Q801" s="68" t="s">
        <v>26059</v>
      </c>
      <c r="R801" s="67"/>
      <c r="S801" s="77"/>
      <c r="T801" s="76"/>
      <c r="U801" s="65"/>
      <c r="V801" s="68"/>
      <c r="W801" s="70"/>
      <c r="X801" s="68"/>
      <c r="Y801" s="70"/>
      <c r="Z801" s="72"/>
    </row>
    <row r="802" spans="1:26" ht="15.75" hidden="1" customHeight="1" x14ac:dyDescent="0.25">
      <c r="A802" s="64">
        <v>7</v>
      </c>
      <c r="B802" s="62">
        <v>98601485</v>
      </c>
      <c r="C802" s="62" t="s">
        <v>25240</v>
      </c>
      <c r="D802" s="62"/>
      <c r="E802" s="62" t="s">
        <v>25241</v>
      </c>
      <c r="F802" s="62" t="s">
        <v>25103</v>
      </c>
      <c r="G802" s="81" t="s">
        <v>19285</v>
      </c>
      <c r="H802" s="63">
        <v>45477</v>
      </c>
      <c r="I802" s="63">
        <v>45483</v>
      </c>
      <c r="J802" s="62">
        <v>7</v>
      </c>
      <c r="K802" s="62">
        <v>7</v>
      </c>
      <c r="L802" s="62" t="s">
        <v>19262</v>
      </c>
      <c r="M802" s="62" t="s">
        <v>19262</v>
      </c>
      <c r="N802" s="62" t="s">
        <v>19269</v>
      </c>
      <c r="O802" s="62" t="s">
        <v>8419</v>
      </c>
      <c r="P802" s="42" t="str">
        <f>+IF(O802="","",IFERROR(VLOOKUP(O802,CODIGO_DIAGNOSTICO,2,0),"CÓDIGO NO ENCONTRADO"))</f>
        <v>COMPLICACION MECANICA DE OTROS DISPOSITIVOS PROTESICOS, IMPLANTES E INJERTOS ORTOPEDICOS INTERNOS</v>
      </c>
      <c r="Q802" s="62" t="s">
        <v>19230</v>
      </c>
      <c r="R802" s="64"/>
      <c r="S802" s="75">
        <v>45111</v>
      </c>
      <c r="T802" s="75">
        <v>45118</v>
      </c>
      <c r="U802" s="65">
        <v>42400.166666666664</v>
      </c>
      <c r="V802" s="62" t="s">
        <v>25941</v>
      </c>
      <c r="W802" s="65">
        <v>1272005</v>
      </c>
      <c r="X802" s="62">
        <v>0</v>
      </c>
      <c r="Y802" s="65">
        <v>84800</v>
      </c>
      <c r="Z802" s="73"/>
    </row>
    <row r="803" spans="1:26" ht="15.75" hidden="1" customHeight="1" x14ac:dyDescent="0.25">
      <c r="A803" s="67">
        <v>7</v>
      </c>
      <c r="B803" s="68">
        <v>1037073208</v>
      </c>
      <c r="C803" s="68" t="s">
        <v>25306</v>
      </c>
      <c r="D803" s="68" t="s">
        <v>25687</v>
      </c>
      <c r="E803" s="68" t="s">
        <v>25884</v>
      </c>
      <c r="F803" s="68" t="s">
        <v>25885</v>
      </c>
      <c r="G803" s="81" t="s">
        <v>19285</v>
      </c>
      <c r="H803" s="69">
        <v>45479</v>
      </c>
      <c r="I803" s="69">
        <v>45480</v>
      </c>
      <c r="J803" s="68">
        <v>2</v>
      </c>
      <c r="K803" s="68">
        <v>2</v>
      </c>
      <c r="L803" s="68" t="s">
        <v>24995</v>
      </c>
      <c r="M803" s="68" t="s">
        <v>24995</v>
      </c>
      <c r="N803" s="62" t="s">
        <v>19269</v>
      </c>
      <c r="O803" s="68" t="s">
        <v>7794</v>
      </c>
      <c r="P803" s="42" t="str">
        <f>+IF(O803="","",IFERROR(VLOOKUP(O803,CODIGO_DIAGNOSTICO,2,0),"CÓDIGO NO ENCONTRADO"))</f>
        <v>ESGUINCES Y TORCEDURAS DEL TOBILLO</v>
      </c>
      <c r="Q803" s="68" t="s">
        <v>19231</v>
      </c>
      <c r="R803" s="67"/>
      <c r="S803" s="77"/>
      <c r="T803" s="76"/>
      <c r="U803" s="65"/>
      <c r="V803" s="68"/>
      <c r="W803" s="70"/>
      <c r="X803" s="68"/>
      <c r="Y803" s="70"/>
      <c r="Z803" s="72"/>
    </row>
    <row r="804" spans="1:26" ht="15.75" hidden="1" customHeight="1" x14ac:dyDescent="0.25">
      <c r="A804" s="64">
        <v>7</v>
      </c>
      <c r="B804" s="62">
        <v>98594342</v>
      </c>
      <c r="C804" s="62" t="s">
        <v>25190</v>
      </c>
      <c r="D804" s="62" t="s">
        <v>25164</v>
      </c>
      <c r="E804" s="62" t="s">
        <v>25493</v>
      </c>
      <c r="F804" s="62" t="s">
        <v>25020</v>
      </c>
      <c r="G804" s="81" t="s">
        <v>19285</v>
      </c>
      <c r="H804" s="63">
        <v>45479</v>
      </c>
      <c r="I804" s="63">
        <v>45480</v>
      </c>
      <c r="J804" s="62">
        <v>2</v>
      </c>
      <c r="K804" s="62">
        <v>2</v>
      </c>
      <c r="L804" s="62" t="s">
        <v>24995</v>
      </c>
      <c r="M804" s="62" t="s">
        <v>24995</v>
      </c>
      <c r="N804" s="62" t="s">
        <v>19269</v>
      </c>
      <c r="O804" s="62" t="s">
        <v>4643</v>
      </c>
      <c r="P804" s="42" t="str">
        <f>+IF(O804="","",IFERROR(VLOOKUP(O804,CODIGO_DIAGNOSTICO,2,0),"CÓDIGO NO ENCONTRADO"))</f>
        <v>COXARTROSIS, NO ESPECIFICADA</v>
      </c>
      <c r="Q804" s="62" t="s">
        <v>19232</v>
      </c>
      <c r="R804" s="64"/>
      <c r="S804" s="75"/>
      <c r="T804" s="75"/>
      <c r="U804" s="65"/>
      <c r="V804" s="62"/>
      <c r="W804" s="65"/>
      <c r="X804" s="62"/>
      <c r="Y804" s="65"/>
      <c r="Z804" s="73"/>
    </row>
    <row r="805" spans="1:26" ht="15.75" hidden="1" customHeight="1" x14ac:dyDescent="0.25">
      <c r="A805" s="67">
        <v>7</v>
      </c>
      <c r="B805" s="68">
        <v>15309929</v>
      </c>
      <c r="C805" s="68" t="s">
        <v>25047</v>
      </c>
      <c r="D805" s="68" t="s">
        <v>25012</v>
      </c>
      <c r="E805" s="68" t="s">
        <v>25048</v>
      </c>
      <c r="F805" s="68" t="s">
        <v>25014</v>
      </c>
      <c r="G805" s="81" t="s">
        <v>19285</v>
      </c>
      <c r="H805" s="69">
        <v>45480</v>
      </c>
      <c r="I805" s="69">
        <v>45494</v>
      </c>
      <c r="J805" s="68">
        <v>15</v>
      </c>
      <c r="K805" s="68">
        <v>15</v>
      </c>
      <c r="L805" s="68" t="s">
        <v>19262</v>
      </c>
      <c r="M805" s="68" t="s">
        <v>19262</v>
      </c>
      <c r="N805" s="62" t="s">
        <v>19269</v>
      </c>
      <c r="O805" s="68" t="s">
        <v>7734</v>
      </c>
      <c r="P805" s="42" t="str">
        <f>+IF(O805="","",IFERROR(VLOOKUP(O805,CODIGO_DIAGNOSTICO,2,0),"CÓDIGO NO ENCONTRADO"))</f>
        <v>DESGARRO DE MENISCOS, PRESENTE</v>
      </c>
      <c r="Q805" s="68" t="s">
        <v>26059</v>
      </c>
      <c r="R805" s="67"/>
      <c r="S805" s="77"/>
      <c r="T805" s="76"/>
      <c r="U805" s="65"/>
      <c r="V805" s="68"/>
      <c r="W805" s="70"/>
      <c r="X805" s="68"/>
      <c r="Y805" s="70"/>
      <c r="Z805" s="72"/>
    </row>
    <row r="806" spans="1:26" ht="15.75" hidden="1" customHeight="1" x14ac:dyDescent="0.25">
      <c r="A806" s="64">
        <v>7</v>
      </c>
      <c r="B806" s="62">
        <v>70323164</v>
      </c>
      <c r="C806" s="62" t="s">
        <v>24992</v>
      </c>
      <c r="D806" s="62" t="s">
        <v>24985</v>
      </c>
      <c r="E806" s="62" t="s">
        <v>25188</v>
      </c>
      <c r="F806" s="62" t="s">
        <v>25146</v>
      </c>
      <c r="G806" s="81" t="s">
        <v>19285</v>
      </c>
      <c r="H806" s="63">
        <v>45482</v>
      </c>
      <c r="I806" s="63">
        <v>45490</v>
      </c>
      <c r="J806" s="62">
        <v>9</v>
      </c>
      <c r="K806" s="62">
        <v>9</v>
      </c>
      <c r="L806" s="62" t="s">
        <v>19262</v>
      </c>
      <c r="M806" s="62" t="s">
        <v>19262</v>
      </c>
      <c r="N806" s="62" t="s">
        <v>19269</v>
      </c>
      <c r="O806" s="62" t="s">
        <v>3693</v>
      </c>
      <c r="P806" s="42" t="str">
        <f>+IF(O806="","",IFERROR(VLOOKUP(O806,CODIGO_DIAGNOSTICO,2,0),"CÓDIGO NO ENCONTRADO"))</f>
        <v>ENFERMEDAD PULMONAR OBSTRUCTIVA CRONICA, NO ESPECIFICADA</v>
      </c>
      <c r="Q806" s="62" t="s">
        <v>26059</v>
      </c>
      <c r="R806" s="64"/>
      <c r="S806" s="75"/>
      <c r="T806" s="75"/>
      <c r="U806" s="65"/>
      <c r="V806" s="62"/>
      <c r="W806" s="65"/>
      <c r="X806" s="62"/>
      <c r="Y806" s="65"/>
      <c r="Z806" s="73"/>
    </row>
    <row r="807" spans="1:26" ht="15.75" hidden="1" customHeight="1" x14ac:dyDescent="0.25">
      <c r="A807" s="67">
        <v>7</v>
      </c>
      <c r="B807" s="68">
        <v>15526159</v>
      </c>
      <c r="C807" s="68" t="s">
        <v>25865</v>
      </c>
      <c r="D807" s="68" t="s">
        <v>25284</v>
      </c>
      <c r="E807" s="68" t="s">
        <v>26159</v>
      </c>
      <c r="F807" s="68" t="s">
        <v>25103</v>
      </c>
      <c r="G807" s="81" t="s">
        <v>19285</v>
      </c>
      <c r="H807" s="69">
        <v>45482</v>
      </c>
      <c r="I807" s="69">
        <v>45484</v>
      </c>
      <c r="J807" s="68">
        <v>3</v>
      </c>
      <c r="K807" s="68">
        <v>3</v>
      </c>
      <c r="L807" s="68" t="s">
        <v>19262</v>
      </c>
      <c r="M807" s="68" t="s">
        <v>24995</v>
      </c>
      <c r="N807" s="62" t="s">
        <v>19269</v>
      </c>
      <c r="O807" s="68" t="s">
        <v>3014</v>
      </c>
      <c r="P807" s="42" t="str">
        <f>+IF(O807="","",IFERROR(VLOOKUP(O807,CODIGO_DIAGNOSTICO,2,0),"CÓDIGO NO ENCONTRADO"))</f>
        <v>ESTRABISMO CONCOMITANTE CONVERGENTE</v>
      </c>
      <c r="Q807" s="68" t="s">
        <v>26059</v>
      </c>
      <c r="R807" s="67"/>
      <c r="S807" s="77"/>
      <c r="T807" s="76"/>
      <c r="U807" s="65"/>
      <c r="V807" s="68"/>
      <c r="W807" s="70"/>
      <c r="X807" s="68"/>
      <c r="Y807" s="70"/>
      <c r="Z807" s="72"/>
    </row>
    <row r="808" spans="1:26" ht="15.75" hidden="1" customHeight="1" x14ac:dyDescent="0.25">
      <c r="A808" s="64">
        <v>7</v>
      </c>
      <c r="B808" s="62">
        <v>98601485</v>
      </c>
      <c r="C808" s="62" t="s">
        <v>25240</v>
      </c>
      <c r="D808" s="62"/>
      <c r="E808" s="62" t="s">
        <v>25241</v>
      </c>
      <c r="F808" s="62" t="s">
        <v>25103</v>
      </c>
      <c r="G808" s="81" t="s">
        <v>19285</v>
      </c>
      <c r="H808" s="63">
        <v>45484</v>
      </c>
      <c r="I808" s="63">
        <v>45493</v>
      </c>
      <c r="J808" s="62">
        <v>10</v>
      </c>
      <c r="K808" s="62">
        <v>10</v>
      </c>
      <c r="L808" s="62" t="s">
        <v>19262</v>
      </c>
      <c r="M808" s="62" t="s">
        <v>19262</v>
      </c>
      <c r="N808" s="62" t="s">
        <v>19269</v>
      </c>
      <c r="O808" s="62" t="s">
        <v>8419</v>
      </c>
      <c r="P808" s="42" t="str">
        <f>+IF(O808="","",IFERROR(VLOOKUP(O808,CODIGO_DIAGNOSTICO,2,0),"CÓDIGO NO ENCONTRADO"))</f>
        <v>COMPLICACION MECANICA DE OTROS DISPOSITIVOS PROTESICOS, IMPLANTES E INJERTOS ORTOPEDICOS INTERNOS</v>
      </c>
      <c r="Q808" s="62" t="s">
        <v>19230</v>
      </c>
      <c r="R808" s="64"/>
      <c r="S808" s="75">
        <v>45111</v>
      </c>
      <c r="T808" s="75">
        <v>45118</v>
      </c>
      <c r="U808" s="65">
        <v>42400.166666666664</v>
      </c>
      <c r="V808" s="62" t="s">
        <v>25941</v>
      </c>
      <c r="W808" s="65">
        <v>1272005</v>
      </c>
      <c r="X808" s="62">
        <v>0</v>
      </c>
      <c r="Y808" s="65">
        <v>84800</v>
      </c>
      <c r="Z808" s="73"/>
    </row>
    <row r="809" spans="1:26" ht="15.75" hidden="1" customHeight="1" x14ac:dyDescent="0.25">
      <c r="A809" s="67">
        <v>7</v>
      </c>
      <c r="B809" s="68">
        <v>15526159</v>
      </c>
      <c r="C809" s="68" t="s">
        <v>25865</v>
      </c>
      <c r="D809" s="68" t="s">
        <v>25284</v>
      </c>
      <c r="E809" s="68" t="s">
        <v>26159</v>
      </c>
      <c r="F809" s="68" t="s">
        <v>25103</v>
      </c>
      <c r="G809" s="81" t="s">
        <v>19285</v>
      </c>
      <c r="H809" s="69">
        <v>45485</v>
      </c>
      <c r="I809" s="69">
        <v>45514</v>
      </c>
      <c r="J809" s="68">
        <v>30</v>
      </c>
      <c r="K809" s="68">
        <v>30</v>
      </c>
      <c r="L809" s="68" t="s">
        <v>24995</v>
      </c>
      <c r="M809" s="68" t="s">
        <v>19262</v>
      </c>
      <c r="N809" s="62" t="s">
        <v>19269</v>
      </c>
      <c r="O809" s="68" t="s">
        <v>3014</v>
      </c>
      <c r="P809" s="42" t="str">
        <f>+IF(O809="","",IFERROR(VLOOKUP(O809,CODIGO_DIAGNOSTICO,2,0),"CÓDIGO NO ENCONTRADO"))</f>
        <v>ESTRABISMO CONCOMITANTE CONVERGENTE</v>
      </c>
      <c r="Q809" s="68" t="s">
        <v>26059</v>
      </c>
      <c r="R809" s="67"/>
      <c r="S809" s="77"/>
      <c r="T809" s="76"/>
      <c r="U809" s="65"/>
      <c r="V809" s="68"/>
      <c r="W809" s="70"/>
      <c r="X809" s="68"/>
      <c r="Y809" s="70"/>
      <c r="Z809" s="72"/>
    </row>
    <row r="810" spans="1:26" ht="15.75" hidden="1" customHeight="1" x14ac:dyDescent="0.25">
      <c r="A810" s="64">
        <v>7</v>
      </c>
      <c r="B810" s="62">
        <v>52518327</v>
      </c>
      <c r="C810" s="62" t="s">
        <v>26258</v>
      </c>
      <c r="D810" s="62" t="s">
        <v>25109</v>
      </c>
      <c r="E810" s="62" t="s">
        <v>25165</v>
      </c>
      <c r="F810" s="62" t="s">
        <v>26259</v>
      </c>
      <c r="G810" s="81" t="s">
        <v>25768</v>
      </c>
      <c r="H810" s="63">
        <v>45486</v>
      </c>
      <c r="I810" s="63">
        <v>45489</v>
      </c>
      <c r="J810" s="62">
        <v>4</v>
      </c>
      <c r="K810" s="62">
        <v>4</v>
      </c>
      <c r="L810" s="62" t="s">
        <v>24995</v>
      </c>
      <c r="M810" s="62" t="s">
        <v>24995</v>
      </c>
      <c r="N810" s="62" t="s">
        <v>19269</v>
      </c>
      <c r="O810" s="62" t="s">
        <v>7713</v>
      </c>
      <c r="P810" s="42" t="str">
        <f>+IF(O810="","",IFERROR(VLOOKUP(O810,CODIGO_DIAGNOSTICO,2,0),"CÓDIGO NO ENCONTRADO"))</f>
        <v>CONTUSION DE LA RODILLA</v>
      </c>
      <c r="Q810" s="62" t="s">
        <v>26059</v>
      </c>
      <c r="R810" s="64"/>
      <c r="S810" s="75"/>
      <c r="T810" s="75"/>
      <c r="U810" s="65"/>
      <c r="V810" s="62"/>
      <c r="W810" s="65"/>
      <c r="X810" s="62"/>
      <c r="Y810" s="65"/>
      <c r="Z810" s="73"/>
    </row>
    <row r="811" spans="1:26" ht="15.75" hidden="1" customHeight="1" x14ac:dyDescent="0.25">
      <c r="A811" s="67">
        <v>7</v>
      </c>
      <c r="B811" s="68">
        <v>71612312</v>
      </c>
      <c r="C811" s="68" t="s">
        <v>25812</v>
      </c>
      <c r="D811" s="68" t="s">
        <v>25813</v>
      </c>
      <c r="E811" s="68" t="s">
        <v>25359</v>
      </c>
      <c r="F811" s="68" t="s">
        <v>25548</v>
      </c>
      <c r="G811" s="81" t="s">
        <v>19285</v>
      </c>
      <c r="H811" s="69">
        <v>45487</v>
      </c>
      <c r="I811" s="69">
        <v>45516</v>
      </c>
      <c r="J811" s="68">
        <v>30</v>
      </c>
      <c r="K811" s="68">
        <v>30</v>
      </c>
      <c r="L811" s="68" t="s">
        <v>19262</v>
      </c>
      <c r="M811" s="68" t="s">
        <v>19262</v>
      </c>
      <c r="N811" s="62" t="s">
        <v>19269</v>
      </c>
      <c r="O811" s="68" t="s">
        <v>8470</v>
      </c>
      <c r="P811" s="42" t="str">
        <f>+IF(O811="","",IFERROR(VLOOKUP(O811,CODIGO_DIAGNOSTICO,2,0),"CÓDIGO NO ENCONTRADO"))</f>
        <v>SECUELAS DE TRAUMATISMO DE LA MEDULA ESPINAL</v>
      </c>
      <c r="Q811" s="68" t="s">
        <v>26059</v>
      </c>
      <c r="R811" s="67"/>
      <c r="S811" s="77"/>
      <c r="T811" s="76"/>
      <c r="U811" s="65"/>
      <c r="V811" s="68"/>
      <c r="W811" s="70"/>
      <c r="X811" s="68"/>
      <c r="Y811" s="70"/>
      <c r="Z811" s="72"/>
    </row>
    <row r="812" spans="1:26" ht="15.75" hidden="1" customHeight="1" x14ac:dyDescent="0.25">
      <c r="A812" s="64">
        <v>7</v>
      </c>
      <c r="B812" s="62">
        <v>71651935</v>
      </c>
      <c r="C812" s="62" t="s">
        <v>25635</v>
      </c>
      <c r="D812" s="62" t="s">
        <v>25480</v>
      </c>
      <c r="E812" s="62" t="s">
        <v>25282</v>
      </c>
      <c r="F812" s="62" t="s">
        <v>25028</v>
      </c>
      <c r="G812" s="81" t="s">
        <v>19285</v>
      </c>
      <c r="H812" s="63">
        <v>45487</v>
      </c>
      <c r="I812" s="63">
        <v>45516</v>
      </c>
      <c r="J812" s="62">
        <v>30</v>
      </c>
      <c r="K812" s="62">
        <v>30</v>
      </c>
      <c r="L812" s="62" t="s">
        <v>19262</v>
      </c>
      <c r="M812" s="62" t="s">
        <v>19262</v>
      </c>
      <c r="N812" s="62" t="s">
        <v>19269</v>
      </c>
      <c r="O812" s="62" t="s">
        <v>905</v>
      </c>
      <c r="P812" s="42" t="str">
        <f>+IF(O812="","",IFERROR(VLOOKUP(O812,CODIGO_DIAGNOSTICO,2,0),"CÓDIGO NO ENCONTRADO"))</f>
        <v>TUMOR MALIGNO DEL RECTO</v>
      </c>
      <c r="Q812" s="62"/>
      <c r="R812" s="64"/>
      <c r="S812" s="75"/>
      <c r="T812" s="75"/>
      <c r="U812" s="65"/>
      <c r="V812" s="62"/>
      <c r="W812" s="65"/>
      <c r="X812" s="62"/>
      <c r="Y812" s="65"/>
      <c r="Z812" s="73"/>
    </row>
    <row r="813" spans="1:26" ht="15.75" hidden="1" customHeight="1" x14ac:dyDescent="0.25">
      <c r="A813" s="67">
        <v>7</v>
      </c>
      <c r="B813" s="68">
        <v>91444147</v>
      </c>
      <c r="C813" s="68" t="s">
        <v>25269</v>
      </c>
      <c r="D813" s="68" t="s">
        <v>25608</v>
      </c>
      <c r="E813" s="68" t="s">
        <v>25745</v>
      </c>
      <c r="F813" s="68" t="s">
        <v>25746</v>
      </c>
      <c r="G813" s="81" t="s">
        <v>19285</v>
      </c>
      <c r="H813" s="69">
        <v>45488</v>
      </c>
      <c r="I813" s="69">
        <v>45507</v>
      </c>
      <c r="J813" s="68">
        <v>20</v>
      </c>
      <c r="K813" s="68">
        <v>20</v>
      </c>
      <c r="L813" s="68" t="s">
        <v>24995</v>
      </c>
      <c r="M813" s="68" t="s">
        <v>24995</v>
      </c>
      <c r="N813" s="62" t="s">
        <v>19269</v>
      </c>
      <c r="O813" s="68" t="s">
        <v>7610</v>
      </c>
      <c r="P813" s="42" t="str">
        <f>+IF(O813="","",IFERROR(VLOOKUP(O813,CODIGO_DIAGNOSTICO,2,0),"CÓDIGO NO ENCONTRADO"))</f>
        <v>HERIDA DE LA MUÑECA Y DE LA MANO, PARTE NO ESPECIFICADA</v>
      </c>
      <c r="Q813" s="68" t="s">
        <v>26059</v>
      </c>
      <c r="R813" s="67"/>
      <c r="S813" s="77"/>
      <c r="T813" s="76"/>
      <c r="U813" s="65"/>
      <c r="V813" s="68"/>
      <c r="W813" s="70"/>
      <c r="X813" s="68"/>
      <c r="Y813" s="70"/>
      <c r="Z813" s="72"/>
    </row>
    <row r="814" spans="1:26" ht="15.75" hidden="1" customHeight="1" x14ac:dyDescent="0.25">
      <c r="A814" s="64">
        <v>7</v>
      </c>
      <c r="B814" s="62">
        <v>71382103</v>
      </c>
      <c r="C814" s="62" t="s">
        <v>25274</v>
      </c>
      <c r="D814" s="62" t="s">
        <v>25275</v>
      </c>
      <c r="E814" s="62" t="s">
        <v>25198</v>
      </c>
      <c r="F814" s="62" t="s">
        <v>25276</v>
      </c>
      <c r="G814" s="81" t="s">
        <v>19285</v>
      </c>
      <c r="H814" s="63">
        <v>45488</v>
      </c>
      <c r="I814" s="63">
        <v>45517</v>
      </c>
      <c r="J814" s="62">
        <v>30</v>
      </c>
      <c r="K814" s="62">
        <v>30</v>
      </c>
      <c r="L814" s="62" t="s">
        <v>19262</v>
      </c>
      <c r="M814" s="62" t="s">
        <v>19262</v>
      </c>
      <c r="N814" s="62" t="s">
        <v>19269</v>
      </c>
      <c r="O814" s="62" t="s">
        <v>4671</v>
      </c>
      <c r="P814" s="42" t="str">
        <f>+IF(O814="","",IFERROR(VLOOKUP(O814,CODIGO_DIAGNOSTICO,2,0),"CÓDIGO NO ENCONTRADO"))</f>
        <v>DEFORMIDAD EN VARO, NO CLASIFICADA EN OTRA</v>
      </c>
      <c r="Q814" s="62" t="s">
        <v>26059</v>
      </c>
      <c r="R814" s="64"/>
      <c r="S814" s="75"/>
      <c r="T814" s="75"/>
      <c r="U814" s="65"/>
      <c r="V814" s="62"/>
      <c r="W814" s="65"/>
      <c r="X814" s="62"/>
      <c r="Y814" s="65"/>
      <c r="Z814" s="73"/>
    </row>
    <row r="815" spans="1:26" ht="15.75" hidden="1" customHeight="1" x14ac:dyDescent="0.25">
      <c r="A815" s="67">
        <v>7</v>
      </c>
      <c r="B815" s="68">
        <v>71676289</v>
      </c>
      <c r="C815" s="68" t="s">
        <v>25702</v>
      </c>
      <c r="D815" s="68" t="s">
        <v>25012</v>
      </c>
      <c r="E815" s="68" t="s">
        <v>25016</v>
      </c>
      <c r="F815" s="68" t="s">
        <v>25004</v>
      </c>
      <c r="G815" s="81" t="s">
        <v>19285</v>
      </c>
      <c r="H815" s="69">
        <v>45491</v>
      </c>
      <c r="I815" s="69">
        <v>45504</v>
      </c>
      <c r="J815" s="68">
        <v>14</v>
      </c>
      <c r="K815" s="68">
        <v>14</v>
      </c>
      <c r="L815" s="68" t="s">
        <v>19262</v>
      </c>
      <c r="M815" s="68" t="s">
        <v>19262</v>
      </c>
      <c r="N815" s="62" t="s">
        <v>19269</v>
      </c>
      <c r="O815" s="68" t="s">
        <v>3483</v>
      </c>
      <c r="P815" s="42" t="str">
        <f>+IF(O815="","",IFERROR(VLOOKUP(O815,CODIGO_DIAGNOSTICO,2,0),"CÓDIGO NO ENCONTRADO"))</f>
        <v>ESTRECHEZ ARTERIAL</v>
      </c>
      <c r="Q815" s="68" t="s">
        <v>26059</v>
      </c>
      <c r="R815" s="67"/>
      <c r="S815" s="77"/>
      <c r="T815" s="76"/>
      <c r="U815" s="65"/>
      <c r="V815" s="68"/>
      <c r="W815" s="70"/>
      <c r="X815" s="68"/>
      <c r="Y815" s="70"/>
      <c r="Z815" s="72"/>
    </row>
    <row r="816" spans="1:26" ht="15.75" hidden="1" customHeight="1" x14ac:dyDescent="0.25">
      <c r="A816" s="64">
        <v>7</v>
      </c>
      <c r="B816" s="62">
        <v>12986251</v>
      </c>
      <c r="C816" s="62" t="s">
        <v>25547</v>
      </c>
      <c r="D816" s="62" t="s">
        <v>25498</v>
      </c>
      <c r="E816" s="62" t="s">
        <v>25188</v>
      </c>
      <c r="F816" s="62" t="s">
        <v>26280</v>
      </c>
      <c r="G816" s="81" t="s">
        <v>26281</v>
      </c>
      <c r="H816" s="63">
        <v>45491</v>
      </c>
      <c r="I816" s="63">
        <v>45492</v>
      </c>
      <c r="J816" s="62">
        <v>2</v>
      </c>
      <c r="K816" s="62">
        <v>2</v>
      </c>
      <c r="L816" s="62" t="s">
        <v>24995</v>
      </c>
      <c r="M816" s="62" t="s">
        <v>24995</v>
      </c>
      <c r="N816" s="62" t="s">
        <v>19269</v>
      </c>
      <c r="O816" s="62" t="s">
        <v>4942</v>
      </c>
      <c r="P816" s="42" t="str">
        <f>+IF(O816="","",IFERROR(VLOOKUP(O816,CODIGO_DIAGNOSTICO,2,0),"CÓDIGO NO ENCONTRADO"))</f>
        <v>OTRAS ENTESOPATIAS DEL PIE</v>
      </c>
      <c r="Q816" s="62" t="s">
        <v>26059</v>
      </c>
      <c r="R816" s="64"/>
      <c r="S816" s="75"/>
      <c r="T816" s="75"/>
      <c r="U816" s="65"/>
      <c r="V816" s="62"/>
      <c r="W816" s="65"/>
      <c r="X816" s="62"/>
      <c r="Y816" s="65"/>
      <c r="Z816" s="73"/>
    </row>
    <row r="817" spans="1:26" ht="15.75" hidden="1" customHeight="1" x14ac:dyDescent="0.25">
      <c r="A817" s="67">
        <v>7</v>
      </c>
      <c r="B817" s="68">
        <v>98595783</v>
      </c>
      <c r="C817" s="68" t="s">
        <v>25348</v>
      </c>
      <c r="D817" s="68" t="s">
        <v>24983</v>
      </c>
      <c r="E817" s="68" t="s">
        <v>25830</v>
      </c>
      <c r="F817" s="68" t="s">
        <v>26215</v>
      </c>
      <c r="G817" s="81" t="s">
        <v>19285</v>
      </c>
      <c r="H817" s="69">
        <v>45493</v>
      </c>
      <c r="I817" s="69">
        <v>45495</v>
      </c>
      <c r="J817" s="68">
        <v>3</v>
      </c>
      <c r="K817" s="68">
        <v>3</v>
      </c>
      <c r="L817" s="68" t="s">
        <v>24995</v>
      </c>
      <c r="M817" s="68" t="s">
        <v>24995</v>
      </c>
      <c r="N817" s="62" t="s">
        <v>19263</v>
      </c>
      <c r="O817" s="68" t="s">
        <v>4839</v>
      </c>
      <c r="P817" s="42" t="str">
        <f>+IF(O817="","",IFERROR(VLOOKUP(O817,CODIGO_DIAGNOSTICO,2,0),"CÓDIGO NO ENCONTRADO"))</f>
        <v>DOLOR EN LA COLUMNA DORSAL</v>
      </c>
      <c r="Q817" s="68" t="s">
        <v>25001</v>
      </c>
      <c r="R817" s="67"/>
      <c r="S817" s="77"/>
      <c r="T817" s="76"/>
      <c r="U817" s="65"/>
      <c r="V817" s="68"/>
      <c r="W817" s="70"/>
      <c r="X817" s="68"/>
      <c r="Y817" s="70"/>
      <c r="Z817" s="72"/>
    </row>
    <row r="818" spans="1:26" ht="15.75" hidden="1" customHeight="1" x14ac:dyDescent="0.25">
      <c r="A818" s="64">
        <v>7</v>
      </c>
      <c r="B818" s="62">
        <v>15309929</v>
      </c>
      <c r="C818" s="62" t="s">
        <v>25047</v>
      </c>
      <c r="D818" s="62" t="s">
        <v>25012</v>
      </c>
      <c r="E818" s="62" t="s">
        <v>25048</v>
      </c>
      <c r="F818" s="62" t="s">
        <v>25014</v>
      </c>
      <c r="G818" s="81" t="s">
        <v>19285</v>
      </c>
      <c r="H818" s="63">
        <v>45495</v>
      </c>
      <c r="I818" s="63">
        <v>45509</v>
      </c>
      <c r="J818" s="62">
        <v>15</v>
      </c>
      <c r="K818" s="62">
        <v>15</v>
      </c>
      <c r="L818" s="62" t="s">
        <v>19262</v>
      </c>
      <c r="M818" s="62" t="s">
        <v>19262</v>
      </c>
      <c r="N818" s="62" t="s">
        <v>19269</v>
      </c>
      <c r="O818" s="62" t="s">
        <v>7734</v>
      </c>
      <c r="P818" s="42" t="str">
        <f>+IF(O818="","",IFERROR(VLOOKUP(O818,CODIGO_DIAGNOSTICO,2,0),"CÓDIGO NO ENCONTRADO"))</f>
        <v>DESGARRO DE MENISCOS, PRESENTE</v>
      </c>
      <c r="Q818" s="62" t="s">
        <v>26059</v>
      </c>
      <c r="R818" s="64"/>
      <c r="S818" s="75"/>
      <c r="T818" s="75"/>
      <c r="U818" s="65"/>
      <c r="V818" s="62"/>
      <c r="W818" s="65"/>
      <c r="X818" s="62"/>
      <c r="Y818" s="65"/>
      <c r="Z818" s="73"/>
    </row>
    <row r="819" spans="1:26" ht="15.75" hidden="1" customHeight="1" x14ac:dyDescent="0.25">
      <c r="A819" s="67">
        <v>7</v>
      </c>
      <c r="B819" s="68">
        <v>98595783</v>
      </c>
      <c r="C819" s="68" t="s">
        <v>25348</v>
      </c>
      <c r="D819" s="68" t="s">
        <v>24983</v>
      </c>
      <c r="E819" s="68" t="s">
        <v>25830</v>
      </c>
      <c r="F819" s="68" t="s">
        <v>26215</v>
      </c>
      <c r="G819" s="81" t="s">
        <v>19285</v>
      </c>
      <c r="H819" s="69">
        <v>45496</v>
      </c>
      <c r="I819" s="69">
        <v>45497</v>
      </c>
      <c r="J819" s="68">
        <v>2</v>
      </c>
      <c r="K819" s="68">
        <v>2</v>
      </c>
      <c r="L819" s="68" t="s">
        <v>24995</v>
      </c>
      <c r="M819" s="68" t="s">
        <v>24995</v>
      </c>
      <c r="N819" s="62" t="s">
        <v>19263</v>
      </c>
      <c r="O819" s="68" t="s">
        <v>4858</v>
      </c>
      <c r="P819" s="42" t="str">
        <f>+IF(O819="","",IFERROR(VLOOKUP(O819,CODIGO_DIAGNOSTICO,2,0),"CÓDIGO NO ENCONTRADO"))</f>
        <v>CONTRACTURA MUSCULAR</v>
      </c>
      <c r="Q819" s="68" t="s">
        <v>25001</v>
      </c>
      <c r="R819" s="67"/>
      <c r="S819" s="77"/>
      <c r="T819" s="76"/>
      <c r="U819" s="65"/>
      <c r="V819" s="68"/>
      <c r="W819" s="70"/>
      <c r="X819" s="68"/>
      <c r="Y819" s="70"/>
      <c r="Z819" s="72"/>
    </row>
    <row r="820" spans="1:26" ht="15.75" hidden="1" customHeight="1" x14ac:dyDescent="0.25">
      <c r="A820" s="64">
        <v>7</v>
      </c>
      <c r="B820" s="62">
        <v>71650158</v>
      </c>
      <c r="C820" s="62" t="s">
        <v>24998</v>
      </c>
      <c r="D820" s="62" t="s">
        <v>25332</v>
      </c>
      <c r="E820" s="62" t="s">
        <v>25358</v>
      </c>
      <c r="F820" s="62" t="s">
        <v>25005</v>
      </c>
      <c r="G820" s="81" t="s">
        <v>19285</v>
      </c>
      <c r="H820" s="63">
        <v>45496</v>
      </c>
      <c r="I820" s="63">
        <v>45500</v>
      </c>
      <c r="J820" s="62">
        <v>5</v>
      </c>
      <c r="K820" s="62">
        <v>5</v>
      </c>
      <c r="L820" s="62" t="s">
        <v>24995</v>
      </c>
      <c r="M820" s="62" t="s">
        <v>24995</v>
      </c>
      <c r="N820" s="62" t="s">
        <v>19269</v>
      </c>
      <c r="O820" s="62" t="s">
        <v>517</v>
      </c>
      <c r="P820" s="42" t="str">
        <f>+IF(O820="","",IFERROR(VLOOKUP(O820,CODIGO_DIAGNOSTICO,2,0),"CÓDIGO NO ENCONTRADO"))</f>
        <v>PAROTIDITIS, SIN COMPLICACIONES</v>
      </c>
      <c r="Q820" s="62" t="s">
        <v>26059</v>
      </c>
      <c r="R820" s="64"/>
      <c r="S820" s="75"/>
      <c r="T820" s="75"/>
      <c r="U820" s="65"/>
      <c r="V820" s="62"/>
      <c r="W820" s="65"/>
      <c r="X820" s="62"/>
      <c r="Y820" s="65"/>
      <c r="Z820" s="73"/>
    </row>
    <row r="821" spans="1:26" ht="15.75" hidden="1" customHeight="1" x14ac:dyDescent="0.25">
      <c r="A821" s="67">
        <v>7</v>
      </c>
      <c r="B821" s="68">
        <v>12625299</v>
      </c>
      <c r="C821" s="68" t="s">
        <v>25321</v>
      </c>
      <c r="D821" s="68" t="s">
        <v>25322</v>
      </c>
      <c r="E821" s="68" t="s">
        <v>25323</v>
      </c>
      <c r="F821" s="68" t="s">
        <v>25064</v>
      </c>
      <c r="G821" s="81" t="s">
        <v>19285</v>
      </c>
      <c r="H821" s="69">
        <v>45497</v>
      </c>
      <c r="I821" s="69">
        <v>45526</v>
      </c>
      <c r="J821" s="68">
        <v>30</v>
      </c>
      <c r="K821" s="68">
        <v>30</v>
      </c>
      <c r="L821" s="68" t="s">
        <v>19262</v>
      </c>
      <c r="M821" s="68" t="s">
        <v>19262</v>
      </c>
      <c r="N821" s="62" t="s">
        <v>19269</v>
      </c>
      <c r="O821" s="68" t="s">
        <v>3284</v>
      </c>
      <c r="P821" s="42" t="str">
        <f>+IF(O821="","",IFERROR(VLOOKUP(O821,CODIGO_DIAGNOSTICO,2,0),"CÓDIGO NO ENCONTRADO"))</f>
        <v>ENDOCARDITIS INFECCIOSA AGUDA Y SUBAGUDA</v>
      </c>
      <c r="Q821" s="68" t="s">
        <v>26059</v>
      </c>
      <c r="R821" s="67"/>
      <c r="S821" s="77"/>
      <c r="T821" s="76"/>
      <c r="U821" s="65"/>
      <c r="V821" s="68"/>
      <c r="W821" s="70"/>
      <c r="X821" s="68"/>
      <c r="Y821" s="70"/>
      <c r="Z821" s="72"/>
    </row>
    <row r="822" spans="1:26" ht="15.75" hidden="1" customHeight="1" x14ac:dyDescent="0.25">
      <c r="A822" s="64">
        <v>7</v>
      </c>
      <c r="B822" s="62">
        <v>1082979432</v>
      </c>
      <c r="C822" s="62" t="s">
        <v>25114</v>
      </c>
      <c r="D822" s="62" t="s">
        <v>25109</v>
      </c>
      <c r="E822" s="62" t="s">
        <v>25853</v>
      </c>
      <c r="F822" s="62" t="s">
        <v>25014</v>
      </c>
      <c r="G822" s="81" t="s">
        <v>19285</v>
      </c>
      <c r="H822" s="63">
        <v>45499</v>
      </c>
      <c r="I822" s="63">
        <v>45503</v>
      </c>
      <c r="J822" s="62">
        <v>5</v>
      </c>
      <c r="K822" s="62">
        <v>5</v>
      </c>
      <c r="L822" s="62" t="s">
        <v>24995</v>
      </c>
      <c r="M822" s="62" t="s">
        <v>24995</v>
      </c>
      <c r="N822" s="62" t="s">
        <v>19269</v>
      </c>
      <c r="O822" s="62" t="s">
        <v>4396</v>
      </c>
      <c r="P822" s="42" t="str">
        <f>+IF(O822="","",IFERROR(VLOOKUP(O822,CODIGO_DIAGNOSTICO,2,0),"CÓDIGO NO ENCONTRADO"))</f>
        <v>UÑA ENCARNADA</v>
      </c>
      <c r="Q822" s="62" t="s">
        <v>24996</v>
      </c>
      <c r="R822" s="64"/>
      <c r="S822" s="75"/>
      <c r="T822" s="75"/>
      <c r="U822" s="65"/>
      <c r="V822" s="62"/>
      <c r="W822" s="65"/>
      <c r="X822" s="62"/>
      <c r="Y822" s="65"/>
      <c r="Z822" s="73"/>
    </row>
    <row r="823" spans="1:26" ht="15.75" hidden="1" customHeight="1" x14ac:dyDescent="0.25">
      <c r="A823" s="67">
        <v>7</v>
      </c>
      <c r="B823" s="68">
        <v>70323164</v>
      </c>
      <c r="C823" s="68" t="s">
        <v>24992</v>
      </c>
      <c r="D823" s="68" t="s">
        <v>24985</v>
      </c>
      <c r="E823" s="68" t="s">
        <v>25188</v>
      </c>
      <c r="F823" s="68" t="s">
        <v>26208</v>
      </c>
      <c r="G823" s="81" t="s">
        <v>19285</v>
      </c>
      <c r="H823" s="69">
        <v>45500</v>
      </c>
      <c r="I823" s="69">
        <v>45502</v>
      </c>
      <c r="J823" s="68">
        <v>3</v>
      </c>
      <c r="K823" s="68">
        <v>3</v>
      </c>
      <c r="L823" s="68" t="s">
        <v>19262</v>
      </c>
      <c r="M823" s="68" t="s">
        <v>19262</v>
      </c>
      <c r="N823" s="62" t="s">
        <v>19269</v>
      </c>
      <c r="O823" s="68" t="s">
        <v>3693</v>
      </c>
      <c r="P823" s="42" t="str">
        <f>+IF(O823="","",IFERROR(VLOOKUP(O823,CODIGO_DIAGNOSTICO,2,0),"CÓDIGO NO ENCONTRADO"))</f>
        <v>ENFERMEDAD PULMONAR OBSTRUCTIVA CRONICA, NO ESPECIFICADA</v>
      </c>
      <c r="Q823" s="68" t="s">
        <v>26059</v>
      </c>
      <c r="R823" s="67"/>
      <c r="S823" s="77"/>
      <c r="T823" s="76"/>
      <c r="U823" s="65"/>
      <c r="V823" s="68"/>
      <c r="W823" s="70"/>
      <c r="X823" s="68"/>
      <c r="Y823" s="70"/>
      <c r="Z823" s="72"/>
    </row>
    <row r="824" spans="1:26" ht="15.75" hidden="1" customHeight="1" x14ac:dyDescent="0.25">
      <c r="A824" s="64">
        <v>7</v>
      </c>
      <c r="B824" s="62">
        <v>71650158</v>
      </c>
      <c r="C824" s="62" t="s">
        <v>24998</v>
      </c>
      <c r="D824" s="62" t="s">
        <v>26274</v>
      </c>
      <c r="E824" s="62" t="s">
        <v>25358</v>
      </c>
      <c r="F824" s="62" t="s">
        <v>25005</v>
      </c>
      <c r="G824" s="81" t="s">
        <v>19285</v>
      </c>
      <c r="H824" s="63">
        <v>45501</v>
      </c>
      <c r="I824" s="63">
        <v>45503</v>
      </c>
      <c r="J824" s="62">
        <v>3</v>
      </c>
      <c r="K824" s="62">
        <v>3</v>
      </c>
      <c r="L824" s="62" t="s">
        <v>19262</v>
      </c>
      <c r="M824" s="62" t="s">
        <v>24995</v>
      </c>
      <c r="N824" s="62" t="s">
        <v>19269</v>
      </c>
      <c r="O824" s="62" t="s">
        <v>517</v>
      </c>
      <c r="P824" s="42" t="str">
        <f>+IF(O824="","",IFERROR(VLOOKUP(O824,CODIGO_DIAGNOSTICO,2,0),"CÓDIGO NO ENCONTRADO"))</f>
        <v>PAROTIDITIS, SIN COMPLICACIONES</v>
      </c>
      <c r="Q824" s="62" t="s">
        <v>26059</v>
      </c>
      <c r="R824" s="64"/>
      <c r="S824" s="75"/>
      <c r="T824" s="75"/>
      <c r="U824" s="65"/>
      <c r="V824" s="62"/>
      <c r="W824" s="65"/>
      <c r="X824" s="62"/>
      <c r="Y824" s="65"/>
      <c r="Z824" s="73"/>
    </row>
    <row r="825" spans="1:26" ht="15.75" hidden="1" customHeight="1" x14ac:dyDescent="0.25">
      <c r="A825" s="67">
        <v>7</v>
      </c>
      <c r="B825" s="68">
        <v>3556779</v>
      </c>
      <c r="C825" s="68" t="s">
        <v>25008</v>
      </c>
      <c r="D825" s="68" t="s">
        <v>24992</v>
      </c>
      <c r="E825" s="68" t="s">
        <v>25861</v>
      </c>
      <c r="F825" s="68" t="s">
        <v>25010</v>
      </c>
      <c r="G825" s="81" t="s">
        <v>19285</v>
      </c>
      <c r="H825" s="69">
        <v>45502</v>
      </c>
      <c r="I825" s="69">
        <v>45504</v>
      </c>
      <c r="J825" s="68">
        <v>3</v>
      </c>
      <c r="K825" s="68">
        <v>3</v>
      </c>
      <c r="L825" s="68" t="s">
        <v>24995</v>
      </c>
      <c r="M825" s="68" t="s">
        <v>24995</v>
      </c>
      <c r="N825" s="62" t="s">
        <v>19269</v>
      </c>
      <c r="O825" s="68" t="s">
        <v>7713</v>
      </c>
      <c r="P825" s="42" t="str">
        <f>+IF(O825="","",IFERROR(VLOOKUP(O825,CODIGO_DIAGNOSTICO,2,0),"CÓDIGO NO ENCONTRADO"))</f>
        <v>CONTUSION DE LA RODILLA</v>
      </c>
      <c r="Q825" s="68" t="s">
        <v>26059</v>
      </c>
      <c r="R825" s="67"/>
      <c r="S825" s="77"/>
      <c r="T825" s="76"/>
      <c r="U825" s="65"/>
      <c r="V825" s="68"/>
      <c r="W825" s="70"/>
      <c r="X825" s="68"/>
      <c r="Y825" s="70"/>
      <c r="Z825" s="72"/>
    </row>
    <row r="826" spans="1:26" ht="15.75" hidden="1" customHeight="1" x14ac:dyDescent="0.25">
      <c r="A826" s="64">
        <v>7</v>
      </c>
      <c r="B826" s="62">
        <v>43709476</v>
      </c>
      <c r="C826" s="62" t="s">
        <v>25569</v>
      </c>
      <c r="D826" s="62" t="s">
        <v>25233</v>
      </c>
      <c r="E826" s="62" t="s">
        <v>25234</v>
      </c>
      <c r="F826" s="62" t="s">
        <v>25235</v>
      </c>
      <c r="G826" s="81" t="s">
        <v>19285</v>
      </c>
      <c r="H826" s="63">
        <v>45502</v>
      </c>
      <c r="I826" s="63">
        <v>45504</v>
      </c>
      <c r="J826" s="62">
        <v>3</v>
      </c>
      <c r="K826" s="62">
        <v>3</v>
      </c>
      <c r="L826" s="62" t="s">
        <v>24995</v>
      </c>
      <c r="M826" s="62" t="s">
        <v>24995</v>
      </c>
      <c r="N826" s="62" t="s">
        <v>19269</v>
      </c>
      <c r="O826" s="62" t="s">
        <v>5279</v>
      </c>
      <c r="P826" s="42" t="str">
        <f>+IF(O826="","",IFERROR(VLOOKUP(O826,CODIGO_DIAGNOSTICO,2,0),"CÓDIGO NO ENCONTRADO"))</f>
        <v>INFECCION DE VIAS URINARIAS, SITIO NO ESPECIFICADO</v>
      </c>
      <c r="Q826" s="62" t="s">
        <v>26059</v>
      </c>
      <c r="R826" s="64"/>
      <c r="S826" s="75"/>
      <c r="T826" s="75"/>
      <c r="U826" s="65"/>
      <c r="V826" s="62"/>
      <c r="W826" s="65"/>
      <c r="X826" s="62"/>
      <c r="Y826" s="65"/>
      <c r="Z826" s="73"/>
    </row>
    <row r="827" spans="1:26" ht="15.75" hidden="1" customHeight="1" x14ac:dyDescent="0.25">
      <c r="A827" s="67">
        <v>7</v>
      </c>
      <c r="B827" s="68">
        <v>1007843841</v>
      </c>
      <c r="C827" s="68" t="s">
        <v>25085</v>
      </c>
      <c r="D827" s="68" t="s">
        <v>19258</v>
      </c>
      <c r="E827" s="68" t="s">
        <v>26142</v>
      </c>
      <c r="F827" s="68" t="s">
        <v>26143</v>
      </c>
      <c r="G827" s="81" t="s">
        <v>26270</v>
      </c>
      <c r="H827" s="69">
        <v>45503</v>
      </c>
      <c r="I827" s="69">
        <v>45505</v>
      </c>
      <c r="J827" s="68">
        <v>3</v>
      </c>
      <c r="K827" s="68">
        <v>3</v>
      </c>
      <c r="L827" s="68" t="s">
        <v>24995</v>
      </c>
      <c r="M827" s="68" t="s">
        <v>24995</v>
      </c>
      <c r="N827" s="62" t="s">
        <v>19269</v>
      </c>
      <c r="O827" s="68" t="s">
        <v>3866</v>
      </c>
      <c r="P827" s="42" t="str">
        <f>+IF(O827="","",IFERROR(VLOOKUP(O827,CODIGO_DIAGNOSTICO,2,0),"CÓDIGO NO ENCONTRADO"))</f>
        <v>AFECCIONES INFLAMATORIAS DE LOS MAXILARES</v>
      </c>
      <c r="Q827" s="68" t="s">
        <v>26059</v>
      </c>
      <c r="R827" s="67"/>
      <c r="S827" s="77"/>
      <c r="T827" s="76"/>
      <c r="U827" s="65"/>
      <c r="V827" s="68"/>
      <c r="W827" s="70"/>
      <c r="X827" s="68"/>
      <c r="Y827" s="70"/>
      <c r="Z827" s="72"/>
    </row>
    <row r="828" spans="1:26" ht="15.75" hidden="1" customHeight="1" x14ac:dyDescent="0.25">
      <c r="A828" s="64">
        <v>7</v>
      </c>
      <c r="B828" s="62">
        <v>70323164</v>
      </c>
      <c r="C828" s="62" t="s">
        <v>24992</v>
      </c>
      <c r="D828" s="62" t="s">
        <v>24985</v>
      </c>
      <c r="E828" s="62" t="s">
        <v>25091</v>
      </c>
      <c r="F828" s="62" t="s">
        <v>25146</v>
      </c>
      <c r="G828" s="81" t="s">
        <v>19285</v>
      </c>
      <c r="H828" s="63">
        <v>45503</v>
      </c>
      <c r="I828" s="63">
        <v>45505</v>
      </c>
      <c r="J828" s="62">
        <v>3</v>
      </c>
      <c r="K828" s="62">
        <v>3</v>
      </c>
      <c r="L828" s="62" t="s">
        <v>19262</v>
      </c>
      <c r="M828" s="62" t="s">
        <v>19262</v>
      </c>
      <c r="N828" s="62" t="s">
        <v>19269</v>
      </c>
      <c r="O828" s="62" t="s">
        <v>3692</v>
      </c>
      <c r="P828" s="42" t="str">
        <f>+IF(O828="","",IFERROR(VLOOKUP(O828,CODIGO_DIAGNOSTICO,2,0),"CÓDIGO NO ENCONTRADO"))</f>
        <v>OTRAS ENFERMEDADES PULMONARES OBSTRUCTIVAS CRONICAS ESPECIFICADAS</v>
      </c>
      <c r="Q828" s="62" t="s">
        <v>26059</v>
      </c>
      <c r="R828" s="64"/>
      <c r="S828" s="75"/>
      <c r="T828" s="75"/>
      <c r="U828" s="65"/>
      <c r="V828" s="62"/>
      <c r="W828" s="65"/>
      <c r="X828" s="62"/>
      <c r="Y828" s="65"/>
      <c r="Z828" s="73"/>
    </row>
    <row r="829" spans="1:26" ht="15.75" hidden="1" customHeight="1" x14ac:dyDescent="0.25">
      <c r="A829" s="67">
        <v>7</v>
      </c>
      <c r="B829" s="68">
        <v>98700987</v>
      </c>
      <c r="C829" s="68" t="s">
        <v>25133</v>
      </c>
      <c r="D829" s="68" t="s">
        <v>25462</v>
      </c>
      <c r="E829" s="68" t="s">
        <v>6</v>
      </c>
      <c r="F829" s="68" t="s">
        <v>25878</v>
      </c>
      <c r="G829" s="81" t="s">
        <v>19285</v>
      </c>
      <c r="H829" s="69">
        <v>45503</v>
      </c>
      <c r="I829" s="69">
        <v>45522</v>
      </c>
      <c r="J829" s="68">
        <v>20</v>
      </c>
      <c r="K829" s="68">
        <v>20</v>
      </c>
      <c r="L829" s="68" t="s">
        <v>24995</v>
      </c>
      <c r="M829" s="68" t="s">
        <v>24995</v>
      </c>
      <c r="N829" s="62" t="s">
        <v>19269</v>
      </c>
      <c r="O829" s="68" t="s">
        <v>5216</v>
      </c>
      <c r="P829" s="42" t="str">
        <f>+IF(O829="","",IFERROR(VLOOKUP(O829,CODIGO_DIAGNOSTICO,2,0),"CÓDIGO NO ENCONTRADO"))</f>
        <v>CALCULO DEL RIÑON</v>
      </c>
      <c r="Q829" s="68" t="s">
        <v>26059</v>
      </c>
      <c r="R829" s="67"/>
      <c r="S829" s="77"/>
      <c r="T829" s="76"/>
      <c r="U829" s="65"/>
      <c r="V829" s="68"/>
      <c r="W829" s="70"/>
      <c r="X829" s="68"/>
      <c r="Y829" s="70"/>
      <c r="Z829" s="72"/>
    </row>
    <row r="830" spans="1:26" ht="15.75" hidden="1" customHeight="1" x14ac:dyDescent="0.25">
      <c r="A830" s="64">
        <v>7</v>
      </c>
      <c r="B830" s="62">
        <v>1152705094</v>
      </c>
      <c r="C830" s="62" t="s">
        <v>25411</v>
      </c>
      <c r="D830" s="62" t="s">
        <v>25443</v>
      </c>
      <c r="E830" s="62" t="s">
        <v>26206</v>
      </c>
      <c r="F830" s="62"/>
      <c r="G830" s="81" t="s">
        <v>26241</v>
      </c>
      <c r="H830" s="63">
        <v>45504</v>
      </c>
      <c r="I830" s="63">
        <v>45504</v>
      </c>
      <c r="J830" s="62">
        <v>1</v>
      </c>
      <c r="K830" s="62">
        <v>1</v>
      </c>
      <c r="L830" s="62" t="s">
        <v>24995</v>
      </c>
      <c r="M830" s="62" t="s">
        <v>24995</v>
      </c>
      <c r="N830" s="62" t="s">
        <v>19269</v>
      </c>
      <c r="O830" s="62" t="s">
        <v>4315</v>
      </c>
      <c r="P830" s="42" t="str">
        <f>+IF(O830="","",IFERROR(VLOOKUP(O830,CODIGO_DIAGNOSTICO,2,0),"CÓDIGO NO ENCONTRADO"))</f>
        <v>DERMATITIS, NO ESPECIFICADA</v>
      </c>
      <c r="Q830" s="62" t="s">
        <v>26059</v>
      </c>
      <c r="R830" s="64"/>
      <c r="S830" s="75"/>
      <c r="T830" s="75"/>
      <c r="U830" s="65"/>
      <c r="V830" s="62"/>
      <c r="W830" s="65"/>
      <c r="X830" s="62"/>
      <c r="Y830" s="65"/>
      <c r="Z830" s="73"/>
    </row>
    <row r="831" spans="1:26" ht="15.75" hidden="1" customHeight="1" x14ac:dyDescent="0.25">
      <c r="A831" s="67">
        <v>8</v>
      </c>
      <c r="B831" s="68">
        <v>98496895</v>
      </c>
      <c r="C831" s="68" t="s">
        <v>25054</v>
      </c>
      <c r="D831" s="68" t="s">
        <v>25372</v>
      </c>
      <c r="E831" s="68" t="s">
        <v>25028</v>
      </c>
      <c r="F831" s="68" t="s">
        <v>25064</v>
      </c>
      <c r="G831" s="81" t="s">
        <v>19285</v>
      </c>
      <c r="H831" s="69">
        <v>45505</v>
      </c>
      <c r="I831" s="69">
        <v>45506</v>
      </c>
      <c r="J831" s="68">
        <v>2</v>
      </c>
      <c r="K831" s="68">
        <v>2</v>
      </c>
      <c r="L831" s="68" t="s">
        <v>24995</v>
      </c>
      <c r="M831" s="68" t="s">
        <v>24995</v>
      </c>
      <c r="N831" s="62" t="s">
        <v>19269</v>
      </c>
      <c r="O831" s="68" t="s">
        <v>4940</v>
      </c>
      <c r="P831" s="42" t="str">
        <f>+IF(O831="","",IFERROR(VLOOKUP(O831,CODIGO_DIAGNOSTICO,2,0),"CÓDIGO NO ENCONTRADO"))</f>
        <v>ESPOLON CALCANEO</v>
      </c>
      <c r="Q831" s="68" t="s">
        <v>26152</v>
      </c>
      <c r="R831" s="67"/>
      <c r="S831" s="77"/>
      <c r="T831" s="76"/>
      <c r="U831" s="65"/>
      <c r="V831" s="68"/>
      <c r="W831" s="70"/>
      <c r="X831" s="68"/>
      <c r="Y831" s="70"/>
      <c r="Z831" s="72"/>
    </row>
    <row r="832" spans="1:26" ht="15.75" hidden="1" customHeight="1" x14ac:dyDescent="0.25">
      <c r="A832" s="64">
        <v>8</v>
      </c>
      <c r="B832" s="62">
        <v>71676289</v>
      </c>
      <c r="C832" s="62" t="s">
        <v>25015</v>
      </c>
      <c r="D832" s="62" t="s">
        <v>25012</v>
      </c>
      <c r="E832" s="62" t="s">
        <v>25016</v>
      </c>
      <c r="F832" s="62" t="s">
        <v>25004</v>
      </c>
      <c r="G832" s="81" t="s">
        <v>19285</v>
      </c>
      <c r="H832" s="63">
        <v>45505</v>
      </c>
      <c r="I832" s="63">
        <v>45519</v>
      </c>
      <c r="J832" s="62">
        <v>15</v>
      </c>
      <c r="K832" s="62">
        <v>15</v>
      </c>
      <c r="L832" s="62" t="s">
        <v>19262</v>
      </c>
      <c r="M832" s="62" t="s">
        <v>19262</v>
      </c>
      <c r="N832" s="62" t="s">
        <v>19269</v>
      </c>
      <c r="O832" s="62" t="s">
        <v>4537</v>
      </c>
      <c r="P832" s="42" t="str">
        <f>+IF(O832="","",IFERROR(VLOOKUP(O832,CODIGO_DIAGNOSTICO,2,0),"CÓDIGO NO ENCONTRADO"))</f>
        <v>ULCERA CRONICA DE LA PIEL, NO CLASIFICADA EN OTRA PARTE</v>
      </c>
      <c r="Q832" s="62" t="s">
        <v>26059</v>
      </c>
      <c r="R832" s="64"/>
      <c r="S832" s="75"/>
      <c r="T832" s="75"/>
      <c r="U832" s="65"/>
      <c r="V832" s="62"/>
      <c r="W832" s="65"/>
      <c r="X832" s="62"/>
      <c r="Y832" s="65"/>
      <c r="Z832" s="73"/>
    </row>
    <row r="833" spans="1:26" ht="15.75" hidden="1" customHeight="1" x14ac:dyDescent="0.25">
      <c r="A833" s="67">
        <v>8</v>
      </c>
      <c r="B833" s="68">
        <v>70323164</v>
      </c>
      <c r="C833" s="68" t="s">
        <v>25145</v>
      </c>
      <c r="D833" s="68" t="s">
        <v>24985</v>
      </c>
      <c r="E833" s="68" t="s">
        <v>25091</v>
      </c>
      <c r="F833" s="68" t="s">
        <v>25146</v>
      </c>
      <c r="G833" s="81" t="s">
        <v>19285</v>
      </c>
      <c r="H833" s="69">
        <v>45506</v>
      </c>
      <c r="I833" s="69">
        <v>45508</v>
      </c>
      <c r="J833" s="68">
        <v>3</v>
      </c>
      <c r="K833" s="68">
        <v>3</v>
      </c>
      <c r="L833" s="68" t="s">
        <v>19262</v>
      </c>
      <c r="M833" s="68" t="s">
        <v>19262</v>
      </c>
      <c r="N833" s="62" t="s">
        <v>19269</v>
      </c>
      <c r="O833" s="68" t="s">
        <v>3692</v>
      </c>
      <c r="P833" s="42" t="str">
        <f>+IF(O833="","",IFERROR(VLOOKUP(O833,CODIGO_DIAGNOSTICO,2,0),"CÓDIGO NO ENCONTRADO"))</f>
        <v>OTRAS ENFERMEDADES PULMONARES OBSTRUCTIVAS CRONICAS ESPECIFICADAS</v>
      </c>
      <c r="Q833" s="68" t="s">
        <v>26059</v>
      </c>
      <c r="R833" s="67"/>
      <c r="S833" s="77"/>
      <c r="T833" s="76"/>
      <c r="U833" s="65"/>
      <c r="V833" s="68"/>
      <c r="W833" s="70"/>
      <c r="X833" s="68"/>
      <c r="Y833" s="70"/>
      <c r="Z833" s="72"/>
    </row>
    <row r="834" spans="1:26" ht="15.75" hidden="1" customHeight="1" x14ac:dyDescent="0.25">
      <c r="A834" s="64">
        <v>8</v>
      </c>
      <c r="B834" s="62">
        <v>98496895</v>
      </c>
      <c r="C834" s="62" t="s">
        <v>25756</v>
      </c>
      <c r="D834" s="62" t="s">
        <v>25372</v>
      </c>
      <c r="E834" s="62" t="s">
        <v>25056</v>
      </c>
      <c r="F834" s="62" t="s">
        <v>25064</v>
      </c>
      <c r="G834" s="81" t="s">
        <v>19285</v>
      </c>
      <c r="H834" s="63">
        <v>45507</v>
      </c>
      <c r="I834" s="63">
        <v>45508</v>
      </c>
      <c r="J834" s="62">
        <v>2</v>
      </c>
      <c r="K834" s="62">
        <v>2</v>
      </c>
      <c r="L834" s="62" t="s">
        <v>19262</v>
      </c>
      <c r="M834" s="62" t="s">
        <v>24995</v>
      </c>
      <c r="N834" s="62" t="s">
        <v>19269</v>
      </c>
      <c r="O834" s="62" t="s">
        <v>4940</v>
      </c>
      <c r="P834" s="42" t="str">
        <f>+IF(O834="","",IFERROR(VLOOKUP(O834,CODIGO_DIAGNOSTICO,2,0),"CÓDIGO NO ENCONTRADO"))</f>
        <v>ESPOLON CALCANEO</v>
      </c>
      <c r="Q834" s="62" t="s">
        <v>26152</v>
      </c>
      <c r="R834" s="64"/>
      <c r="S834" s="75"/>
      <c r="T834" s="75"/>
      <c r="U834" s="65"/>
      <c r="V834" s="62"/>
      <c r="W834" s="65"/>
      <c r="X834" s="62"/>
      <c r="Y834" s="65"/>
      <c r="Z834" s="73"/>
    </row>
    <row r="835" spans="1:26" ht="15.75" hidden="1" customHeight="1" x14ac:dyDescent="0.25">
      <c r="A835" s="67">
        <v>8</v>
      </c>
      <c r="B835" s="68">
        <v>70568787</v>
      </c>
      <c r="C835" s="68" t="s">
        <v>25948</v>
      </c>
      <c r="D835" s="68" t="s">
        <v>25230</v>
      </c>
      <c r="E835" s="68" t="s">
        <v>25255</v>
      </c>
      <c r="F835" s="68" t="s">
        <v>24986</v>
      </c>
      <c r="G835" s="81" t="s">
        <v>19285</v>
      </c>
      <c r="H835" s="69">
        <v>45508</v>
      </c>
      <c r="I835" s="69">
        <v>45510</v>
      </c>
      <c r="J835" s="68">
        <v>3</v>
      </c>
      <c r="K835" s="68">
        <v>3</v>
      </c>
      <c r="L835" s="68" t="s">
        <v>24995</v>
      </c>
      <c r="M835" s="68" t="s">
        <v>24995</v>
      </c>
      <c r="N835" s="62" t="s">
        <v>19269</v>
      </c>
      <c r="O835" s="68" t="s">
        <v>2592</v>
      </c>
      <c r="P835" s="42" t="str">
        <f>+IF(O835="","",IFERROR(VLOOKUP(O835,CODIGO_DIAGNOSTICO,2,0),"CÓDIGO NO ENCONTRADO"))</f>
        <v>OTRAS MIGRAÑAS</v>
      </c>
      <c r="Q835" s="68" t="s">
        <v>26059</v>
      </c>
      <c r="R835" s="67"/>
      <c r="S835" s="77"/>
      <c r="T835" s="76"/>
      <c r="U835" s="65"/>
      <c r="V835" s="68"/>
      <c r="W835" s="70"/>
      <c r="X835" s="68"/>
      <c r="Y835" s="70"/>
      <c r="Z835" s="72"/>
    </row>
    <row r="836" spans="1:26" ht="15.75" hidden="1" customHeight="1" x14ac:dyDescent="0.25">
      <c r="A836" s="64">
        <v>8</v>
      </c>
      <c r="B836" s="62">
        <v>91444147</v>
      </c>
      <c r="C836" s="62" t="s">
        <v>25269</v>
      </c>
      <c r="D836" s="62" t="s">
        <v>25608</v>
      </c>
      <c r="E836" s="62" t="s">
        <v>25745</v>
      </c>
      <c r="F836" s="62" t="s">
        <v>25746</v>
      </c>
      <c r="G836" s="81" t="s">
        <v>19285</v>
      </c>
      <c r="H836" s="63">
        <v>45508</v>
      </c>
      <c r="I836" s="63">
        <v>45537</v>
      </c>
      <c r="J836" s="62">
        <v>30</v>
      </c>
      <c r="K836" s="62">
        <v>30</v>
      </c>
      <c r="L836" s="62" t="s">
        <v>19262</v>
      </c>
      <c r="M836" s="62" t="s">
        <v>19262</v>
      </c>
      <c r="N836" s="62" t="s">
        <v>19269</v>
      </c>
      <c r="O836" s="62" t="s">
        <v>7610</v>
      </c>
      <c r="P836" s="42" t="str">
        <f>+IF(O836="","",IFERROR(VLOOKUP(O836,CODIGO_DIAGNOSTICO,2,0),"CÓDIGO NO ENCONTRADO"))</f>
        <v>HERIDA DE LA MUÑECA Y DE LA MANO, PARTE NO ESPECIFICADA</v>
      </c>
      <c r="Q836" s="62" t="s">
        <v>26059</v>
      </c>
      <c r="R836" s="64"/>
      <c r="S836" s="75"/>
      <c r="T836" s="75"/>
      <c r="U836" s="65"/>
      <c r="V836" s="62"/>
      <c r="W836" s="65"/>
      <c r="X836" s="62"/>
      <c r="Y836" s="65"/>
      <c r="Z836" s="73"/>
    </row>
    <row r="837" spans="1:26" ht="15.75" hidden="1" customHeight="1" x14ac:dyDescent="0.25">
      <c r="A837" s="67">
        <v>8</v>
      </c>
      <c r="B837" s="68">
        <v>1001755835</v>
      </c>
      <c r="C837" s="68" t="s">
        <v>25272</v>
      </c>
      <c r="D837" s="68" t="s">
        <v>26271</v>
      </c>
      <c r="E837" s="68" t="s">
        <v>25524</v>
      </c>
      <c r="F837" s="68"/>
      <c r="G837" s="81" t="s">
        <v>19285</v>
      </c>
      <c r="H837" s="69">
        <v>45509</v>
      </c>
      <c r="I837" s="69">
        <v>45513</v>
      </c>
      <c r="J837" s="68">
        <v>5</v>
      </c>
      <c r="K837" s="68">
        <v>5</v>
      </c>
      <c r="L837" s="68" t="s">
        <v>24995</v>
      </c>
      <c r="M837" s="68" t="s">
        <v>24995</v>
      </c>
      <c r="N837" s="62" t="s">
        <v>19269</v>
      </c>
      <c r="O837" s="68" t="s">
        <v>7770</v>
      </c>
      <c r="P837" s="42" t="str">
        <f>+IF(O837="","",IFERROR(VLOOKUP(O837,CODIGO_DIAGNOSTICO,2,0),"CÓDIGO NO ENCONTRADO"))</f>
        <v>CONTUSION DEL TOBILLO</v>
      </c>
      <c r="Q837" s="68" t="s">
        <v>26059</v>
      </c>
      <c r="R837" s="67"/>
      <c r="S837" s="77"/>
      <c r="T837" s="76"/>
      <c r="U837" s="65"/>
      <c r="V837" s="68"/>
      <c r="W837" s="70"/>
      <c r="X837" s="68"/>
      <c r="Y837" s="70"/>
      <c r="Z837" s="72"/>
    </row>
    <row r="838" spans="1:26" ht="15.75" hidden="1" customHeight="1" x14ac:dyDescent="0.25">
      <c r="A838" s="64">
        <v>8</v>
      </c>
      <c r="B838" s="62">
        <v>15309929</v>
      </c>
      <c r="C838" s="62" t="s">
        <v>25047</v>
      </c>
      <c r="D838" s="62" t="s">
        <v>25012</v>
      </c>
      <c r="E838" s="62" t="s">
        <v>25048</v>
      </c>
      <c r="F838" s="62" t="s">
        <v>25014</v>
      </c>
      <c r="G838" s="81" t="s">
        <v>19285</v>
      </c>
      <c r="H838" s="63">
        <v>45510</v>
      </c>
      <c r="I838" s="63">
        <v>45524</v>
      </c>
      <c r="J838" s="62">
        <v>15</v>
      </c>
      <c r="K838" s="62">
        <v>15</v>
      </c>
      <c r="L838" s="62" t="s">
        <v>19262</v>
      </c>
      <c r="M838" s="62" t="s">
        <v>19262</v>
      </c>
      <c r="N838" s="62" t="s">
        <v>19269</v>
      </c>
      <c r="O838" s="62" t="s">
        <v>7734</v>
      </c>
      <c r="P838" s="42" t="str">
        <f>+IF(O838="","",IFERROR(VLOOKUP(O838,CODIGO_DIAGNOSTICO,2,0),"CÓDIGO NO ENCONTRADO"))</f>
        <v>DESGARRO DE MENISCOS, PRESENTE</v>
      </c>
      <c r="Q838" s="62" t="s">
        <v>26059</v>
      </c>
      <c r="R838" s="64"/>
      <c r="S838" s="75"/>
      <c r="T838" s="75"/>
      <c r="U838" s="65"/>
      <c r="V838" s="62"/>
      <c r="W838" s="65"/>
      <c r="X838" s="62"/>
      <c r="Y838" s="65"/>
      <c r="Z838" s="73"/>
    </row>
    <row r="839" spans="1:26" ht="15.75" hidden="1" customHeight="1" x14ac:dyDescent="0.25">
      <c r="A839" s="67">
        <v>8</v>
      </c>
      <c r="B839" s="68">
        <v>43986499</v>
      </c>
      <c r="C839" s="68" t="s">
        <v>26275</v>
      </c>
      <c r="D839" s="68" t="s">
        <v>25634</v>
      </c>
      <c r="E839" s="68" t="s">
        <v>25855</v>
      </c>
      <c r="F839" s="68" t="s">
        <v>25232</v>
      </c>
      <c r="G839" s="81" t="s">
        <v>26270</v>
      </c>
      <c r="H839" s="69">
        <v>45512</v>
      </c>
      <c r="I839" s="69">
        <v>45513</v>
      </c>
      <c r="J839" s="68">
        <v>2</v>
      </c>
      <c r="K839" s="68">
        <v>2</v>
      </c>
      <c r="L839" s="68" t="s">
        <v>24995</v>
      </c>
      <c r="M839" s="68" t="s">
        <v>24995</v>
      </c>
      <c r="N839" s="62" t="s">
        <v>19269</v>
      </c>
      <c r="O839" s="68" t="s">
        <v>15281</v>
      </c>
      <c r="P839" s="42" t="str">
        <f>+IF(O839="","",IFERROR(VLOOKUP(O839,CODIGO_DIAGNOSTICO,2,0),"CÓDIGO NO ENCONTRADO"))</f>
        <v>RINOFARINGITIS AGUDA (RESFRIADO COMUN)</v>
      </c>
      <c r="Q839" s="68" t="s">
        <v>26152</v>
      </c>
      <c r="R839" s="67"/>
      <c r="S839" s="77"/>
      <c r="T839" s="76"/>
      <c r="U839" s="65"/>
      <c r="V839" s="68"/>
      <c r="W839" s="70"/>
      <c r="X839" s="68"/>
      <c r="Y839" s="70"/>
      <c r="Z839" s="72"/>
    </row>
    <row r="840" spans="1:26" ht="15.75" hidden="1" customHeight="1" x14ac:dyDescent="0.25">
      <c r="A840" s="64">
        <v>8</v>
      </c>
      <c r="B840" s="62">
        <v>98496895</v>
      </c>
      <c r="C840" s="62" t="s">
        <v>25756</v>
      </c>
      <c r="D840" s="62" t="s">
        <v>25372</v>
      </c>
      <c r="E840" s="62" t="s">
        <v>25028</v>
      </c>
      <c r="F840" s="62" t="s">
        <v>25064</v>
      </c>
      <c r="G840" s="81" t="s">
        <v>19285</v>
      </c>
      <c r="H840" s="63">
        <v>45513</v>
      </c>
      <c r="I840" s="63">
        <v>45517</v>
      </c>
      <c r="J840" s="62">
        <v>5</v>
      </c>
      <c r="K840" s="62">
        <v>5</v>
      </c>
      <c r="L840" s="62" t="s">
        <v>24995</v>
      </c>
      <c r="M840" s="62" t="s">
        <v>24995</v>
      </c>
      <c r="N840" s="62" t="s">
        <v>19269</v>
      </c>
      <c r="O840" s="62" t="s">
        <v>7713</v>
      </c>
      <c r="P840" s="42" t="str">
        <f>+IF(O840="","",IFERROR(VLOOKUP(O840,CODIGO_DIAGNOSTICO,2,0),"CÓDIGO NO ENCONTRADO"))</f>
        <v>CONTUSION DE LA RODILLA</v>
      </c>
      <c r="Q840" s="62" t="s">
        <v>25025</v>
      </c>
      <c r="R840" s="64"/>
      <c r="S840" s="75"/>
      <c r="T840" s="75"/>
      <c r="U840" s="65"/>
      <c r="V840" s="62"/>
      <c r="W840" s="65"/>
      <c r="X840" s="62"/>
      <c r="Y840" s="65"/>
      <c r="Z840" s="73"/>
    </row>
    <row r="841" spans="1:26" ht="15.75" hidden="1" customHeight="1" x14ac:dyDescent="0.25">
      <c r="A841" s="67">
        <v>8</v>
      </c>
      <c r="B841" s="68">
        <v>32143746</v>
      </c>
      <c r="C841" s="68" t="s">
        <v>25373</v>
      </c>
      <c r="D841" s="68" t="s">
        <v>25034</v>
      </c>
      <c r="E841" s="68" t="s">
        <v>26070</v>
      </c>
      <c r="F841" s="68" t="s">
        <v>26071</v>
      </c>
      <c r="G841" s="81" t="s">
        <v>19285</v>
      </c>
      <c r="H841" s="69">
        <v>45513</v>
      </c>
      <c r="I841" s="69">
        <v>45513</v>
      </c>
      <c r="J841" s="68">
        <v>1</v>
      </c>
      <c r="K841" s="68">
        <v>1</v>
      </c>
      <c r="L841" s="68" t="s">
        <v>24995</v>
      </c>
      <c r="M841" s="68" t="s">
        <v>24995</v>
      </c>
      <c r="N841" s="62" t="s">
        <v>19269</v>
      </c>
      <c r="O841" s="68" t="s">
        <v>86</v>
      </c>
      <c r="P841" s="42" t="str">
        <f>+IF(O841="","",IFERROR(VLOOKUP(O841,CODIGO_DIAGNOSTICO,2,0),"CÓDIGO NO ENCONTRADO"))</f>
        <v>INFECCION INTESTINAL VIRAL, SIN OTRA ESPECIFICACION</v>
      </c>
      <c r="Q841" s="68" t="s">
        <v>26059</v>
      </c>
      <c r="R841" s="67"/>
      <c r="S841" s="77"/>
      <c r="T841" s="76"/>
      <c r="U841" s="65"/>
      <c r="V841" s="68"/>
      <c r="W841" s="70"/>
      <c r="X841" s="68"/>
      <c r="Y841" s="70"/>
      <c r="Z841" s="72"/>
    </row>
    <row r="842" spans="1:26" ht="15.75" hidden="1" customHeight="1" x14ac:dyDescent="0.25">
      <c r="A842" s="64">
        <v>8</v>
      </c>
      <c r="B842" s="62">
        <v>71987067</v>
      </c>
      <c r="C842" s="62" t="s">
        <v>25128</v>
      </c>
      <c r="D842" s="62" t="s">
        <v>25129</v>
      </c>
      <c r="E842" s="62" t="s">
        <v>25130</v>
      </c>
      <c r="F842" s="62" t="s">
        <v>25131</v>
      </c>
      <c r="G842" s="81" t="s">
        <v>19285</v>
      </c>
      <c r="H842" s="63">
        <v>45514</v>
      </c>
      <c r="I842" s="63">
        <v>45515</v>
      </c>
      <c r="J842" s="62">
        <v>2</v>
      </c>
      <c r="K842" s="62">
        <v>2</v>
      </c>
      <c r="L842" s="62" t="s">
        <v>24995</v>
      </c>
      <c r="M842" s="62" t="s">
        <v>24995</v>
      </c>
      <c r="N842" s="62" t="s">
        <v>19263</v>
      </c>
      <c r="O842" s="62" t="s">
        <v>7602</v>
      </c>
      <c r="P842" s="42" t="str">
        <f>+IF(O842="","",IFERROR(VLOOKUP(O842,CODIGO_DIAGNOSTICO,2,0),"CÓDIGO NO ENCONTRADO"))</f>
        <v>CONTUSION DE OTRAS PARTES DE LA MUÑECA Y DE LA MANO</v>
      </c>
      <c r="Q842" s="62" t="s">
        <v>25001</v>
      </c>
      <c r="R842" s="64"/>
      <c r="S842" s="75"/>
      <c r="T842" s="75"/>
      <c r="U842" s="65"/>
      <c r="V842" s="62"/>
      <c r="W842" s="65"/>
      <c r="X842" s="62"/>
      <c r="Y842" s="65"/>
      <c r="Z842" s="73"/>
    </row>
    <row r="843" spans="1:26" ht="15.75" hidden="1" customHeight="1" x14ac:dyDescent="0.25">
      <c r="A843" s="67">
        <v>8</v>
      </c>
      <c r="B843" s="68">
        <v>52518327</v>
      </c>
      <c r="C843" s="68" t="s">
        <v>26063</v>
      </c>
      <c r="D843" s="68" t="s">
        <v>25109</v>
      </c>
      <c r="E843" s="68" t="s">
        <v>25165</v>
      </c>
      <c r="F843" s="68" t="s">
        <v>26064</v>
      </c>
      <c r="G843" s="81" t="s">
        <v>26273</v>
      </c>
      <c r="H843" s="69">
        <v>45516</v>
      </c>
      <c r="I843" s="69">
        <v>45517</v>
      </c>
      <c r="J843" s="68">
        <v>2</v>
      </c>
      <c r="K843" s="68">
        <v>2</v>
      </c>
      <c r="L843" s="68" t="s">
        <v>24995</v>
      </c>
      <c r="M843" s="68" t="s">
        <v>24995</v>
      </c>
      <c r="N843" s="62" t="s">
        <v>19269</v>
      </c>
      <c r="O843" s="68" t="s">
        <v>2272</v>
      </c>
      <c r="P843" s="42" t="str">
        <f>+IF(O843="","",IFERROR(VLOOKUP(O843,CODIGO_DIAGNOSTICO,2,0),"CÓDIGO NO ENCONTRADO"))</f>
        <v>TRASTORNO MIXTO DE ANSIEDAD Y DEPRESION</v>
      </c>
      <c r="Q843" s="68" t="s">
        <v>26059</v>
      </c>
      <c r="R843" s="67"/>
      <c r="S843" s="77"/>
      <c r="T843" s="76"/>
      <c r="U843" s="65"/>
      <c r="V843" s="68"/>
      <c r="W843" s="70"/>
      <c r="X843" s="68"/>
      <c r="Y843" s="70"/>
      <c r="Z843" s="72"/>
    </row>
    <row r="844" spans="1:26" ht="15.75" hidden="1" customHeight="1" x14ac:dyDescent="0.25">
      <c r="A844" s="64">
        <v>8</v>
      </c>
      <c r="B844" s="62">
        <v>8364054</v>
      </c>
      <c r="C844" s="62" t="s">
        <v>25372</v>
      </c>
      <c r="D844" s="62" t="s">
        <v>25688</v>
      </c>
      <c r="E844" s="62" t="s">
        <v>25545</v>
      </c>
      <c r="F844" s="62" t="s">
        <v>25099</v>
      </c>
      <c r="G844" s="81" t="s">
        <v>19285</v>
      </c>
      <c r="H844" s="63">
        <v>45516</v>
      </c>
      <c r="I844" s="63">
        <v>45518</v>
      </c>
      <c r="J844" s="62">
        <v>3</v>
      </c>
      <c r="K844" s="62">
        <v>3</v>
      </c>
      <c r="L844" s="62" t="s">
        <v>24995</v>
      </c>
      <c r="M844" s="62" t="s">
        <v>24995</v>
      </c>
      <c r="N844" s="62" t="s">
        <v>19269</v>
      </c>
      <c r="O844" s="62" t="s">
        <v>3618</v>
      </c>
      <c r="P844" s="42" t="str">
        <f>+IF(O844="","",IFERROR(VLOOKUP(O844,CODIGO_DIAGNOSTICO,2,0),"CÓDIGO NO ENCONTRADO"))</f>
        <v>NEUMONIA, NO ESPECIFICADA</v>
      </c>
      <c r="Q844" s="62" t="s">
        <v>26059</v>
      </c>
      <c r="R844" s="64"/>
      <c r="S844" s="75"/>
      <c r="T844" s="75"/>
      <c r="U844" s="65"/>
      <c r="V844" s="62"/>
      <c r="W844" s="65"/>
      <c r="X844" s="62"/>
      <c r="Y844" s="65"/>
      <c r="Z844" s="73"/>
    </row>
    <row r="845" spans="1:26" ht="15.75" hidden="1" customHeight="1" x14ac:dyDescent="0.25">
      <c r="A845" s="67">
        <v>8</v>
      </c>
      <c r="B845" s="68">
        <v>71612312</v>
      </c>
      <c r="C845" s="68" t="s">
        <v>25812</v>
      </c>
      <c r="D845" s="68" t="s">
        <v>25813</v>
      </c>
      <c r="E845" s="68" t="s">
        <v>25359</v>
      </c>
      <c r="F845" s="68" t="s">
        <v>25548</v>
      </c>
      <c r="G845" s="81" t="s">
        <v>19285</v>
      </c>
      <c r="H845" s="69">
        <v>45517</v>
      </c>
      <c r="I845" s="69">
        <v>45546</v>
      </c>
      <c r="J845" s="68">
        <v>30</v>
      </c>
      <c r="K845" s="68">
        <v>30</v>
      </c>
      <c r="L845" s="68" t="s">
        <v>19262</v>
      </c>
      <c r="M845" s="68" t="s">
        <v>19262</v>
      </c>
      <c r="N845" s="62" t="s">
        <v>19269</v>
      </c>
      <c r="O845" s="68" t="s">
        <v>8470</v>
      </c>
      <c r="P845" s="42" t="str">
        <f>+IF(O845="","",IFERROR(VLOOKUP(O845,CODIGO_DIAGNOSTICO,2,0),"CÓDIGO NO ENCONTRADO"))</f>
        <v>SECUELAS DE TRAUMATISMO DE LA MEDULA ESPINAL</v>
      </c>
      <c r="Q845" s="68" t="s">
        <v>26059</v>
      </c>
      <c r="R845" s="67"/>
      <c r="S845" s="77"/>
      <c r="T845" s="76"/>
      <c r="U845" s="65"/>
      <c r="V845" s="68"/>
      <c r="W845" s="70"/>
      <c r="X845" s="68"/>
      <c r="Y845" s="70"/>
      <c r="Z845" s="72"/>
    </row>
    <row r="846" spans="1:26" ht="15.75" hidden="1" customHeight="1" x14ac:dyDescent="0.25">
      <c r="A846" s="64">
        <v>8</v>
      </c>
      <c r="B846" s="62">
        <v>71651935</v>
      </c>
      <c r="C846" s="62" t="s">
        <v>25635</v>
      </c>
      <c r="D846" s="62" t="s">
        <v>25480</v>
      </c>
      <c r="E846" s="62" t="s">
        <v>25282</v>
      </c>
      <c r="F846" s="62" t="s">
        <v>25028</v>
      </c>
      <c r="G846" s="81" t="s">
        <v>19285</v>
      </c>
      <c r="H846" s="63">
        <v>45517</v>
      </c>
      <c r="I846" s="63">
        <v>45537</v>
      </c>
      <c r="J846" s="62">
        <v>21</v>
      </c>
      <c r="K846" s="62">
        <v>21</v>
      </c>
      <c r="L846" s="62" t="s">
        <v>19262</v>
      </c>
      <c r="M846" s="62" t="s">
        <v>19262</v>
      </c>
      <c r="N846" s="62" t="s">
        <v>19269</v>
      </c>
      <c r="O846" s="62" t="s">
        <v>905</v>
      </c>
      <c r="P846" s="42" t="str">
        <f>+IF(O846="","",IFERROR(VLOOKUP(O846,CODIGO_DIAGNOSTICO,2,0),"CÓDIGO NO ENCONTRADO"))</f>
        <v>TUMOR MALIGNO DEL RECTO</v>
      </c>
      <c r="Q846" s="62"/>
      <c r="R846" s="64"/>
      <c r="S846" s="75"/>
      <c r="T846" s="75"/>
      <c r="U846" s="65"/>
      <c r="V846" s="62"/>
      <c r="W846" s="65"/>
      <c r="X846" s="62"/>
      <c r="Y846" s="65"/>
      <c r="Z846" s="73"/>
    </row>
    <row r="847" spans="1:26" ht="15.75" hidden="1" customHeight="1" x14ac:dyDescent="0.25">
      <c r="A847" s="67">
        <v>8</v>
      </c>
      <c r="B847" s="68">
        <v>70632666</v>
      </c>
      <c r="C847" s="68" t="s">
        <v>25281</v>
      </c>
      <c r="D847" s="68" t="s">
        <v>25401</v>
      </c>
      <c r="E847" s="68" t="s">
        <v>25151</v>
      </c>
      <c r="F847" s="68" t="s">
        <v>25064</v>
      </c>
      <c r="G847" s="81" t="s">
        <v>19285</v>
      </c>
      <c r="H847" s="69">
        <v>45518</v>
      </c>
      <c r="I847" s="69">
        <v>45524</v>
      </c>
      <c r="J847" s="68">
        <v>7</v>
      </c>
      <c r="K847" s="68">
        <v>7</v>
      </c>
      <c r="L847" s="68" t="s">
        <v>24995</v>
      </c>
      <c r="M847" s="68" t="s">
        <v>25995</v>
      </c>
      <c r="N847" s="62" t="s">
        <v>19269</v>
      </c>
      <c r="O847" s="68" t="s">
        <v>7508</v>
      </c>
      <c r="P847" s="42" t="str">
        <f>+IF(O847="","",IFERROR(VLOOKUP(O847,CODIGO_DIAGNOSTICO,2,0),"CÓDIGO NO ENCONTRADO"))</f>
        <v>LUXACION DE LA ARTICULACION DEL HOMBRO</v>
      </c>
      <c r="Q847" s="68" t="s">
        <v>26059</v>
      </c>
      <c r="R847" s="67"/>
      <c r="S847" s="77"/>
      <c r="T847" s="76"/>
      <c r="U847" s="65"/>
      <c r="V847" s="68"/>
      <c r="W847" s="70"/>
      <c r="X847" s="68"/>
      <c r="Y847" s="70"/>
      <c r="Z847" s="72"/>
    </row>
    <row r="848" spans="1:26" ht="15.75" hidden="1" customHeight="1" x14ac:dyDescent="0.25">
      <c r="A848" s="64">
        <v>8</v>
      </c>
      <c r="B848" s="62">
        <v>71382103</v>
      </c>
      <c r="C848" s="62" t="s">
        <v>25274</v>
      </c>
      <c r="D848" s="62" t="s">
        <v>25275</v>
      </c>
      <c r="E848" s="62" t="s">
        <v>25198</v>
      </c>
      <c r="F848" s="62" t="s">
        <v>25276</v>
      </c>
      <c r="G848" s="81" t="s">
        <v>19285</v>
      </c>
      <c r="H848" s="63">
        <v>45518</v>
      </c>
      <c r="I848" s="63">
        <v>45532</v>
      </c>
      <c r="J848" s="62">
        <v>15</v>
      </c>
      <c r="K848" s="62">
        <v>15</v>
      </c>
      <c r="L848" s="62" t="s">
        <v>19262</v>
      </c>
      <c r="M848" s="62" t="s">
        <v>19262</v>
      </c>
      <c r="N848" s="62" t="s">
        <v>19269</v>
      </c>
      <c r="O848" s="62" t="s">
        <v>4671</v>
      </c>
      <c r="P848" s="42" t="str">
        <f>+IF(O848="","",IFERROR(VLOOKUP(O848,CODIGO_DIAGNOSTICO,2,0),"CÓDIGO NO ENCONTRADO"))</f>
        <v>DEFORMIDAD EN VARO, NO CLASIFICADA EN OTRA</v>
      </c>
      <c r="Q848" s="62" t="s">
        <v>26059</v>
      </c>
      <c r="R848" s="64"/>
      <c r="S848" s="75"/>
      <c r="T848" s="75"/>
      <c r="U848" s="65"/>
      <c r="V848" s="62"/>
      <c r="W848" s="65"/>
      <c r="X848" s="62"/>
      <c r="Y848" s="65"/>
      <c r="Z848" s="73"/>
    </row>
    <row r="849" spans="1:26" ht="15.75" hidden="1" customHeight="1" x14ac:dyDescent="0.25">
      <c r="A849" s="67">
        <v>8</v>
      </c>
      <c r="B849" s="68">
        <v>71676289</v>
      </c>
      <c r="C849" s="68" t="s">
        <v>25015</v>
      </c>
      <c r="D849" s="68" t="s">
        <v>25012</v>
      </c>
      <c r="E849" s="68" t="s">
        <v>25016</v>
      </c>
      <c r="F849" s="68" t="s">
        <v>25004</v>
      </c>
      <c r="G849" s="81" t="s">
        <v>19285</v>
      </c>
      <c r="H849" s="69">
        <v>45520</v>
      </c>
      <c r="I849" s="69">
        <v>45535</v>
      </c>
      <c r="J849" s="68">
        <v>16</v>
      </c>
      <c r="K849" s="68">
        <v>16</v>
      </c>
      <c r="L849" s="68" t="s">
        <v>19262</v>
      </c>
      <c r="M849" s="68" t="s">
        <v>19262</v>
      </c>
      <c r="N849" s="62" t="s">
        <v>19269</v>
      </c>
      <c r="O849" s="68" t="s">
        <v>4537</v>
      </c>
      <c r="P849" s="42" t="str">
        <f>+IF(O849="","",IFERROR(VLOOKUP(O849,CODIGO_DIAGNOSTICO,2,0),"CÓDIGO NO ENCONTRADO"))</f>
        <v>ULCERA CRONICA DE LA PIEL, NO CLASIFICADA EN OTRA PARTE</v>
      </c>
      <c r="Q849" s="68" t="s">
        <v>26059</v>
      </c>
      <c r="R849" s="67"/>
      <c r="S849" s="77"/>
      <c r="T849" s="76"/>
      <c r="U849" s="65"/>
      <c r="V849" s="68"/>
      <c r="W849" s="70"/>
      <c r="X849" s="68"/>
      <c r="Y849" s="70"/>
      <c r="Z849" s="72"/>
    </row>
    <row r="850" spans="1:26" ht="15.75" hidden="1" customHeight="1" x14ac:dyDescent="0.25">
      <c r="A850" s="64">
        <v>8</v>
      </c>
      <c r="B850" s="62">
        <v>71362201</v>
      </c>
      <c r="C850" s="62" t="s">
        <v>26188</v>
      </c>
      <c r="D850" s="62" t="s">
        <v>25331</v>
      </c>
      <c r="E850" s="62" t="s">
        <v>25725</v>
      </c>
      <c r="F850" s="62"/>
      <c r="G850" s="81" t="s">
        <v>19285</v>
      </c>
      <c r="H850" s="63">
        <v>45522</v>
      </c>
      <c r="I850" s="63">
        <v>45529</v>
      </c>
      <c r="J850" s="62">
        <v>8</v>
      </c>
      <c r="K850" s="62">
        <v>8</v>
      </c>
      <c r="L850" s="62" t="s">
        <v>24995</v>
      </c>
      <c r="M850" s="62" t="s">
        <v>24995</v>
      </c>
      <c r="N850" s="62" t="s">
        <v>19269</v>
      </c>
      <c r="O850" s="62" t="s">
        <v>7625</v>
      </c>
      <c r="P850" s="42" t="str">
        <f>+IF(O850="","",IFERROR(VLOOKUP(O850,CODIGO_DIAGNOSTICO,2,0),"CÓDIGO NO ENCONTRADO"))</f>
        <v>ESGUINCES Y TORCEDURAS DE LA MUÑECA</v>
      </c>
      <c r="Q850" s="62" t="s">
        <v>25025</v>
      </c>
      <c r="R850" s="64"/>
      <c r="S850" s="75"/>
      <c r="T850" s="75"/>
      <c r="U850" s="65"/>
      <c r="V850" s="62"/>
      <c r="W850" s="65"/>
      <c r="X850" s="62"/>
      <c r="Y850" s="65"/>
      <c r="Z850" s="73"/>
    </row>
    <row r="851" spans="1:26" ht="15.75" hidden="1" customHeight="1" x14ac:dyDescent="0.25">
      <c r="A851" s="67">
        <v>8</v>
      </c>
      <c r="B851" s="68">
        <v>1017207367</v>
      </c>
      <c r="C851" s="68" t="s">
        <v>25053</v>
      </c>
      <c r="D851" s="68" t="s">
        <v>25140</v>
      </c>
      <c r="E851" s="68" t="s">
        <v>25135</v>
      </c>
      <c r="F851" s="68"/>
      <c r="G851" s="81" t="s">
        <v>25328</v>
      </c>
      <c r="H851" s="69">
        <v>45523</v>
      </c>
      <c r="I851" s="69">
        <v>45552</v>
      </c>
      <c r="J851" s="68">
        <v>30</v>
      </c>
      <c r="K851" s="68">
        <v>30</v>
      </c>
      <c r="L851" s="68" t="s">
        <v>19262</v>
      </c>
      <c r="M851" s="68" t="s">
        <v>19262</v>
      </c>
      <c r="N851" s="62" t="s">
        <v>19263</v>
      </c>
      <c r="O851" s="68" t="s">
        <v>7725</v>
      </c>
      <c r="P851" s="42" t="str">
        <f>+IF(O851="","",IFERROR(VLOOKUP(O851,CODIGO_DIAGNOSTICO,2,0),"CÓDIGO NO ENCONTRADO"))</f>
        <v>FRACTURA DE LA EPIFISIS INFERIOR DE LA TIBIA</v>
      </c>
      <c r="Q851" s="68" t="s">
        <v>25001</v>
      </c>
      <c r="R851" s="67"/>
      <c r="S851" s="77"/>
      <c r="T851" s="76"/>
      <c r="U851" s="65"/>
      <c r="V851" s="68"/>
      <c r="W851" s="70"/>
      <c r="X851" s="68"/>
      <c r="Y851" s="70"/>
      <c r="Z851" s="72"/>
    </row>
    <row r="852" spans="1:26" ht="15.75" hidden="1" customHeight="1" x14ac:dyDescent="0.25">
      <c r="A852" s="64">
        <v>8</v>
      </c>
      <c r="B852" s="62">
        <v>98648701</v>
      </c>
      <c r="C852" s="62" t="s">
        <v>25553</v>
      </c>
      <c r="D852" s="62" t="s">
        <v>25426</v>
      </c>
      <c r="E852" s="62" t="s">
        <v>25221</v>
      </c>
      <c r="F852" s="62" t="s">
        <v>25554</v>
      </c>
      <c r="G852" s="81" t="s">
        <v>19285</v>
      </c>
      <c r="H852" s="63">
        <v>45524</v>
      </c>
      <c r="I852" s="63">
        <v>45525</v>
      </c>
      <c r="J852" s="62">
        <v>2</v>
      </c>
      <c r="K852" s="62">
        <v>2</v>
      </c>
      <c r="L852" s="62" t="s">
        <v>24995</v>
      </c>
      <c r="M852" s="62" t="s">
        <v>24995</v>
      </c>
      <c r="N852" s="62" t="s">
        <v>19269</v>
      </c>
      <c r="O852" s="62" t="s">
        <v>2596</v>
      </c>
      <c r="P852" s="42" t="str">
        <f>+IF(O852="","",IFERROR(VLOOKUP(O852,CODIGO_DIAGNOSTICO,2,0),"CÓDIGO NO ENCONTRADO"))</f>
        <v>CEFALEA DEBIDA A TENSION</v>
      </c>
      <c r="Q852" s="62" t="s">
        <v>26059</v>
      </c>
      <c r="R852" s="64"/>
      <c r="S852" s="75"/>
      <c r="T852" s="75"/>
      <c r="U852" s="65"/>
      <c r="V852" s="62"/>
      <c r="W852" s="65"/>
      <c r="X852" s="62"/>
      <c r="Y852" s="65"/>
      <c r="Z852" s="73"/>
    </row>
    <row r="853" spans="1:26" ht="15.75" hidden="1" customHeight="1" x14ac:dyDescent="0.25">
      <c r="A853" s="67">
        <v>8</v>
      </c>
      <c r="B853" s="68">
        <v>1035879495</v>
      </c>
      <c r="C853" s="68" t="s">
        <v>25065</v>
      </c>
      <c r="D853" s="68" t="s">
        <v>25041</v>
      </c>
      <c r="E853" s="68" t="s">
        <v>25089</v>
      </c>
      <c r="F853" s="68" t="s">
        <v>25157</v>
      </c>
      <c r="G853" s="81" t="s">
        <v>26279</v>
      </c>
      <c r="H853" s="69">
        <v>45525</v>
      </c>
      <c r="I853" s="69">
        <v>45526</v>
      </c>
      <c r="J853" s="68">
        <v>2</v>
      </c>
      <c r="K853" s="68">
        <v>2</v>
      </c>
      <c r="L853" s="68" t="s">
        <v>24995</v>
      </c>
      <c r="M853" s="68" t="s">
        <v>24995</v>
      </c>
      <c r="N853" s="62" t="s">
        <v>19269</v>
      </c>
      <c r="O853" s="68" t="s">
        <v>85</v>
      </c>
      <c r="P853" s="42" t="str">
        <f>+IF(O853="","",IFERROR(VLOOKUP(O853,CODIGO_DIAGNOSTICO,2,0),"CÓDIGO NO ENCONTRADO"))</f>
        <v>OTRAS ENTERITIS VIRALES</v>
      </c>
      <c r="Q853" s="68" t="s">
        <v>26059</v>
      </c>
      <c r="R853" s="67"/>
      <c r="S853" s="77"/>
      <c r="T853" s="76"/>
      <c r="U853" s="65"/>
      <c r="V853" s="68"/>
      <c r="W853" s="70"/>
      <c r="X853" s="68"/>
      <c r="Y853" s="70"/>
      <c r="Z853" s="72"/>
    </row>
    <row r="854" spans="1:26" ht="15.75" hidden="1" customHeight="1" x14ac:dyDescent="0.25">
      <c r="A854" s="64">
        <v>8</v>
      </c>
      <c r="B854" s="62">
        <v>15309929</v>
      </c>
      <c r="C854" s="62" t="s">
        <v>25011</v>
      </c>
      <c r="D854" s="62" t="s">
        <v>25012</v>
      </c>
      <c r="E854" s="62" t="s">
        <v>25013</v>
      </c>
      <c r="F854" s="62" t="s">
        <v>25014</v>
      </c>
      <c r="G854" s="81" t="s">
        <v>19285</v>
      </c>
      <c r="H854" s="63">
        <v>45525</v>
      </c>
      <c r="I854" s="63">
        <v>45539</v>
      </c>
      <c r="J854" s="62">
        <v>15</v>
      </c>
      <c r="K854" s="62">
        <v>15</v>
      </c>
      <c r="L854" s="62" t="s">
        <v>19262</v>
      </c>
      <c r="M854" s="62" t="s">
        <v>19262</v>
      </c>
      <c r="N854" s="62" t="s">
        <v>19269</v>
      </c>
      <c r="O854" s="62" t="s">
        <v>7734</v>
      </c>
      <c r="P854" s="42" t="str">
        <f>+IF(O854="","",IFERROR(VLOOKUP(O854,CODIGO_DIAGNOSTICO,2,0),"CÓDIGO NO ENCONTRADO"))</f>
        <v>DESGARRO DE MENISCOS, PRESENTE</v>
      </c>
      <c r="Q854" s="62" t="s">
        <v>26059</v>
      </c>
      <c r="R854" s="64"/>
      <c r="S854" s="75"/>
      <c r="T854" s="75"/>
      <c r="U854" s="65"/>
      <c r="V854" s="62"/>
      <c r="W854" s="65"/>
      <c r="X854" s="62"/>
      <c r="Y854" s="65"/>
      <c r="Z854" s="73"/>
    </row>
    <row r="855" spans="1:26" ht="15.75" hidden="1" customHeight="1" x14ac:dyDescent="0.25">
      <c r="A855" s="67">
        <v>8</v>
      </c>
      <c r="B855" s="68">
        <v>1000399903</v>
      </c>
      <c r="C855" s="68" t="s">
        <v>25257</v>
      </c>
      <c r="D855" s="68" t="s">
        <v>25030</v>
      </c>
      <c r="E855" s="68" t="s">
        <v>25886</v>
      </c>
      <c r="F855" s="68" t="s">
        <v>25755</v>
      </c>
      <c r="G855" s="81" t="s">
        <v>19285</v>
      </c>
      <c r="H855" s="69">
        <v>45527</v>
      </c>
      <c r="I855" s="69">
        <v>45531</v>
      </c>
      <c r="J855" s="68">
        <v>5</v>
      </c>
      <c r="K855" s="68">
        <v>5</v>
      </c>
      <c r="L855" s="68" t="s">
        <v>24995</v>
      </c>
      <c r="M855" s="68" t="s">
        <v>24995</v>
      </c>
      <c r="N855" s="62" t="s">
        <v>19263</v>
      </c>
      <c r="O855" s="68" t="s">
        <v>7770</v>
      </c>
      <c r="P855" s="42" t="str">
        <f>+IF(O855="","",IFERROR(VLOOKUP(O855,CODIGO_DIAGNOSTICO,2,0),"CÓDIGO NO ENCONTRADO"))</f>
        <v>CONTUSION DEL TOBILLO</v>
      </c>
      <c r="Q855" s="68" t="s">
        <v>25001</v>
      </c>
      <c r="R855" s="67"/>
      <c r="S855" s="77"/>
      <c r="T855" s="76"/>
      <c r="U855" s="65"/>
      <c r="V855" s="68"/>
      <c r="W855" s="70"/>
      <c r="X855" s="68"/>
      <c r="Y855" s="70"/>
      <c r="Z855" s="72"/>
    </row>
    <row r="856" spans="1:26" ht="15.75" hidden="1" customHeight="1" x14ac:dyDescent="0.25">
      <c r="A856" s="64">
        <v>8</v>
      </c>
      <c r="B856" s="62">
        <v>12625299</v>
      </c>
      <c r="C856" s="62" t="s">
        <v>25321</v>
      </c>
      <c r="D856" s="62" t="s">
        <v>25322</v>
      </c>
      <c r="E856" s="62" t="s">
        <v>25323</v>
      </c>
      <c r="F856" s="62" t="s">
        <v>25064</v>
      </c>
      <c r="G856" s="81" t="s">
        <v>19285</v>
      </c>
      <c r="H856" s="63">
        <v>45527</v>
      </c>
      <c r="I856" s="63">
        <v>45556</v>
      </c>
      <c r="J856" s="62">
        <v>30</v>
      </c>
      <c r="K856" s="62">
        <v>30</v>
      </c>
      <c r="L856" s="62" t="s">
        <v>19262</v>
      </c>
      <c r="M856" s="62" t="s">
        <v>19262</v>
      </c>
      <c r="N856" s="62" t="s">
        <v>19269</v>
      </c>
      <c r="O856" s="62" t="s">
        <v>3284</v>
      </c>
      <c r="P856" s="42" t="str">
        <f>+IF(O856="","",IFERROR(VLOOKUP(O856,CODIGO_DIAGNOSTICO,2,0),"CÓDIGO NO ENCONTRADO"))</f>
        <v>ENDOCARDITIS INFECCIOSA AGUDA Y SUBAGUDA</v>
      </c>
      <c r="Q856" s="62" t="s">
        <v>26059</v>
      </c>
      <c r="R856" s="64"/>
      <c r="S856" s="75"/>
      <c r="T856" s="75"/>
      <c r="U856" s="65"/>
      <c r="V856" s="62"/>
      <c r="W856" s="65"/>
      <c r="X856" s="62"/>
      <c r="Y856" s="65"/>
      <c r="Z856" s="73"/>
    </row>
    <row r="857" spans="1:26" ht="15.75" hidden="1" customHeight="1" x14ac:dyDescent="0.25">
      <c r="A857" s="67">
        <v>8</v>
      </c>
      <c r="B857" s="68">
        <v>1023802215</v>
      </c>
      <c r="C857" s="68" t="s">
        <v>26299</v>
      </c>
      <c r="D857" s="68" t="s">
        <v>25177</v>
      </c>
      <c r="E857" s="68" t="s">
        <v>26300</v>
      </c>
      <c r="F857" s="68" t="s">
        <v>26301</v>
      </c>
      <c r="G857" s="81" t="s">
        <v>19285</v>
      </c>
      <c r="H857" s="69">
        <v>45528</v>
      </c>
      <c r="I857" s="69">
        <v>45541</v>
      </c>
      <c r="J857" s="68">
        <v>14</v>
      </c>
      <c r="K857" s="68">
        <v>14</v>
      </c>
      <c r="L857" s="68" t="s">
        <v>24995</v>
      </c>
      <c r="M857" s="68" t="s">
        <v>24995</v>
      </c>
      <c r="N857" s="62" t="s">
        <v>19269</v>
      </c>
      <c r="O857" s="68" t="s">
        <v>5851</v>
      </c>
      <c r="P857" s="42" t="str">
        <f>+IF(O857="","",IFERROR(VLOOKUP(O857,CODIGO_DIAGNOSTICO,2,0),"CÓDIGO NO ENCONTRADO"))</f>
        <v>PARTO UNICO ESPONTANEO, PRESENTACION CEFALICA DE VERTICE</v>
      </c>
      <c r="Q857" s="68" t="s">
        <v>26059</v>
      </c>
      <c r="R857" s="67"/>
      <c r="S857" s="77"/>
      <c r="T857" s="76"/>
      <c r="U857" s="65"/>
      <c r="V857" s="68"/>
      <c r="W857" s="70"/>
      <c r="X857" s="68"/>
      <c r="Y857" s="70"/>
      <c r="Z857" s="72"/>
    </row>
    <row r="858" spans="1:26" ht="15.75" hidden="1" customHeight="1" x14ac:dyDescent="0.25">
      <c r="A858" s="64">
        <v>8</v>
      </c>
      <c r="B858" s="62">
        <v>98601485</v>
      </c>
      <c r="C858" s="62" t="s">
        <v>25240</v>
      </c>
      <c r="D858" s="62"/>
      <c r="E858" s="62" t="s">
        <v>25241</v>
      </c>
      <c r="F858" s="62" t="s">
        <v>25103</v>
      </c>
      <c r="G858" s="81" t="s">
        <v>25328</v>
      </c>
      <c r="H858" s="63">
        <v>45528</v>
      </c>
      <c r="I858" s="63">
        <v>45547</v>
      </c>
      <c r="J858" s="62">
        <v>20</v>
      </c>
      <c r="K858" s="62">
        <v>20</v>
      </c>
      <c r="L858" s="62" t="s">
        <v>19262</v>
      </c>
      <c r="M858" s="62" t="s">
        <v>19262</v>
      </c>
      <c r="N858" s="62" t="s">
        <v>19269</v>
      </c>
      <c r="O858" s="62" t="s">
        <v>8419</v>
      </c>
      <c r="P858" s="42" t="str">
        <f>+IF(O858="","",IFERROR(VLOOKUP(O858,CODIGO_DIAGNOSTICO,2,0),"CÓDIGO NO ENCONTRADO"))</f>
        <v>COMPLICACION MECANICA DE OTROS DISPOSITIVOS PROTESICOS, IMPLANTES E INJERTOS ORTOPEDICOS INTERNOS</v>
      </c>
      <c r="Q858" s="62" t="s">
        <v>26059</v>
      </c>
      <c r="R858" s="64"/>
      <c r="S858" s="75"/>
      <c r="T858" s="75"/>
      <c r="U858" s="65"/>
      <c r="V858" s="62"/>
      <c r="W858" s="65"/>
      <c r="X858" s="62"/>
      <c r="Y858" s="65"/>
      <c r="Z858" s="73"/>
    </row>
    <row r="859" spans="1:26" ht="15.75" hidden="1" customHeight="1" x14ac:dyDescent="0.25">
      <c r="A859" s="67">
        <v>8</v>
      </c>
      <c r="B859" s="68">
        <v>1013556087</v>
      </c>
      <c r="C859" s="68" t="s">
        <v>25199</v>
      </c>
      <c r="D859" s="68" t="s">
        <v>25426</v>
      </c>
      <c r="E859" s="68" t="s">
        <v>25291</v>
      </c>
      <c r="F859" s="68" t="s">
        <v>25135</v>
      </c>
      <c r="G859" s="81" t="s">
        <v>25328</v>
      </c>
      <c r="H859" s="69">
        <v>45532</v>
      </c>
      <c r="I859" s="69">
        <v>45535</v>
      </c>
      <c r="J859" s="68">
        <v>4</v>
      </c>
      <c r="K859" s="68">
        <v>4</v>
      </c>
      <c r="L859" s="68" t="s">
        <v>24995</v>
      </c>
      <c r="M859" s="68" t="s">
        <v>24995</v>
      </c>
      <c r="N859" s="62" t="s">
        <v>19269</v>
      </c>
      <c r="O859" s="68" t="s">
        <v>4207</v>
      </c>
      <c r="P859" s="42" t="str">
        <f>+IF(O859="","",IFERROR(VLOOKUP(O859,CODIGO_DIAGNOSTICO,2,0),"CÓDIGO NO ENCONTRADO"))</f>
        <v>IMPETIGO [CUALQUIER SITIO ANATOMICO] [CUALQUIER ORGANISMO]</v>
      </c>
      <c r="Q859" s="68" t="s">
        <v>26059</v>
      </c>
      <c r="R859" s="67"/>
      <c r="S859" s="77"/>
      <c r="T859" s="76"/>
      <c r="U859" s="65"/>
      <c r="V859" s="68"/>
      <c r="W859" s="70"/>
      <c r="X859" s="68"/>
      <c r="Y859" s="70"/>
      <c r="Z859" s="72"/>
    </row>
    <row r="860" spans="1:26" ht="15.75" hidden="1" customHeight="1" x14ac:dyDescent="0.25">
      <c r="A860" s="64">
        <v>8</v>
      </c>
      <c r="B860" s="62">
        <v>70323164</v>
      </c>
      <c r="C860" s="62" t="s">
        <v>25145</v>
      </c>
      <c r="D860" s="62" t="s">
        <v>25062</v>
      </c>
      <c r="E860" s="62" t="s">
        <v>25091</v>
      </c>
      <c r="F860" s="62" t="s">
        <v>25146</v>
      </c>
      <c r="G860" s="81" t="s">
        <v>19285</v>
      </c>
      <c r="H860" s="63">
        <v>45532</v>
      </c>
      <c r="I860" s="63">
        <v>45533</v>
      </c>
      <c r="J860" s="62">
        <v>2</v>
      </c>
      <c r="K860" s="62">
        <v>2</v>
      </c>
      <c r="L860" s="62" t="s">
        <v>19262</v>
      </c>
      <c r="M860" s="62" t="s">
        <v>19262</v>
      </c>
      <c r="N860" s="62" t="s">
        <v>19269</v>
      </c>
      <c r="O860" s="62" t="s">
        <v>3693</v>
      </c>
      <c r="P860" s="42" t="str">
        <f>+IF(O860="","",IFERROR(VLOOKUP(O860,CODIGO_DIAGNOSTICO,2,0),"CÓDIGO NO ENCONTRADO"))</f>
        <v>ENFERMEDAD PULMONAR OBSTRUCTIVA CRONICA, NO ESPECIFICADA</v>
      </c>
      <c r="Q860" s="62" t="s">
        <v>26059</v>
      </c>
      <c r="R860" s="64"/>
      <c r="S860" s="75"/>
      <c r="T860" s="75"/>
      <c r="U860" s="65"/>
      <c r="V860" s="62"/>
      <c r="W860" s="65"/>
      <c r="X860" s="62"/>
      <c r="Y860" s="65"/>
      <c r="Z860" s="73"/>
    </row>
    <row r="861" spans="1:26" ht="15.75" hidden="1" customHeight="1" x14ac:dyDescent="0.25">
      <c r="A861" s="67">
        <v>8</v>
      </c>
      <c r="B861" s="68">
        <v>71382103</v>
      </c>
      <c r="C861" s="68" t="s">
        <v>25776</v>
      </c>
      <c r="D861" s="68" t="s">
        <v>25968</v>
      </c>
      <c r="E861" s="68" t="s">
        <v>25116</v>
      </c>
      <c r="F861" s="68" t="s">
        <v>26027</v>
      </c>
      <c r="G861" s="81" t="s">
        <v>19285</v>
      </c>
      <c r="H861" s="69">
        <v>45533</v>
      </c>
      <c r="I861" s="69">
        <v>45562</v>
      </c>
      <c r="J861" s="68">
        <v>30</v>
      </c>
      <c r="K861" s="68">
        <v>30</v>
      </c>
      <c r="L861" s="68" t="s">
        <v>19262</v>
      </c>
      <c r="M861" s="68" t="s">
        <v>19262</v>
      </c>
      <c r="N861" s="62" t="s">
        <v>19269</v>
      </c>
      <c r="O861" s="68" t="s">
        <v>4650</v>
      </c>
      <c r="P861" s="42" t="str">
        <f>+IF(O861="","",IFERROR(VLOOKUP(O861,CODIGO_DIAGNOSTICO,2,0),"CÓDIGO NO ENCONTRADO"))</f>
        <v>GONARTROSIS, NO ESPECIFICADA</v>
      </c>
      <c r="Q861" s="68" t="s">
        <v>26059</v>
      </c>
      <c r="R861" s="67"/>
      <c r="S861" s="77"/>
      <c r="T861" s="76"/>
      <c r="U861" s="65"/>
      <c r="V861" s="68"/>
      <c r="W861" s="70"/>
      <c r="X861" s="68"/>
      <c r="Y861" s="70"/>
      <c r="Z861" s="72"/>
    </row>
    <row r="862" spans="1:26" ht="15.75" hidden="1" customHeight="1" x14ac:dyDescent="0.25">
      <c r="A862" s="64">
        <v>8</v>
      </c>
      <c r="B862" s="62">
        <v>70323164</v>
      </c>
      <c r="C862" s="62" t="s">
        <v>24992</v>
      </c>
      <c r="D862" s="62" t="s">
        <v>24985</v>
      </c>
      <c r="E862" s="62" t="s">
        <v>25091</v>
      </c>
      <c r="F862" s="62" t="s">
        <v>25146</v>
      </c>
      <c r="G862" s="81" t="s">
        <v>19285</v>
      </c>
      <c r="H862" s="63">
        <v>45534</v>
      </c>
      <c r="I862" s="63">
        <v>45542</v>
      </c>
      <c r="J862" s="62">
        <v>9</v>
      </c>
      <c r="K862" s="62">
        <v>9</v>
      </c>
      <c r="L862" s="62" t="s">
        <v>19262</v>
      </c>
      <c r="M862" s="62" t="s">
        <v>19262</v>
      </c>
      <c r="N862" s="62" t="s">
        <v>19269</v>
      </c>
      <c r="O862" s="62" t="s">
        <v>3693</v>
      </c>
      <c r="P862" s="42" t="str">
        <f>+IF(O862="","",IFERROR(VLOOKUP(O862,CODIGO_DIAGNOSTICO,2,0),"CÓDIGO NO ENCONTRADO"))</f>
        <v>ENFERMEDAD PULMONAR OBSTRUCTIVA CRONICA, NO ESPECIFICADA</v>
      </c>
      <c r="Q862" s="62" t="s">
        <v>26059</v>
      </c>
      <c r="R862" s="64"/>
      <c r="S862" s="75"/>
      <c r="T862" s="75"/>
      <c r="U862" s="65"/>
      <c r="V862" s="62"/>
      <c r="W862" s="65"/>
      <c r="X862" s="62"/>
      <c r="Y862" s="65"/>
      <c r="Z862" s="73"/>
    </row>
    <row r="863" spans="1:26" ht="15.75" hidden="1" customHeight="1" x14ac:dyDescent="0.25">
      <c r="A863" s="67">
        <v>8</v>
      </c>
      <c r="B863" s="68">
        <v>71267562</v>
      </c>
      <c r="C863" s="68" t="s">
        <v>25006</v>
      </c>
      <c r="D863" s="68" t="s">
        <v>25714</v>
      </c>
      <c r="E863" s="68" t="s">
        <v>25019</v>
      </c>
      <c r="F863" s="68" t="s">
        <v>25020</v>
      </c>
      <c r="G863" s="81" t="s">
        <v>19285</v>
      </c>
      <c r="H863" s="69">
        <v>45534</v>
      </c>
      <c r="I863" s="69">
        <v>45535</v>
      </c>
      <c r="J863" s="68">
        <v>2</v>
      </c>
      <c r="K863" s="68">
        <v>2</v>
      </c>
      <c r="L863" s="68" t="s">
        <v>24995</v>
      </c>
      <c r="M863" s="68" t="s">
        <v>24995</v>
      </c>
      <c r="N863" s="62" t="s">
        <v>19269</v>
      </c>
      <c r="O863" s="68" t="s">
        <v>86</v>
      </c>
      <c r="P863" s="42" t="str">
        <f>+IF(O863="","",IFERROR(VLOOKUP(O863,CODIGO_DIAGNOSTICO,2,0),"CÓDIGO NO ENCONTRADO"))</f>
        <v>INFECCION INTESTINAL VIRAL, SIN OTRA ESPECIFICACION</v>
      </c>
      <c r="Q863" s="68" t="s">
        <v>26059</v>
      </c>
      <c r="R863" s="67"/>
      <c r="S863" s="77"/>
      <c r="T863" s="76"/>
      <c r="U863" s="65"/>
      <c r="V863" s="68"/>
      <c r="W863" s="70"/>
      <c r="X863" s="68"/>
      <c r="Y863" s="70"/>
      <c r="Z863" s="72"/>
    </row>
    <row r="864" spans="1:26" ht="15.75" hidden="1" customHeight="1" x14ac:dyDescent="0.25">
      <c r="A864" s="64">
        <v>9</v>
      </c>
      <c r="B864" s="62">
        <v>1128438267</v>
      </c>
      <c r="C864" s="62" t="s">
        <v>26302</v>
      </c>
      <c r="D864" s="62" t="s">
        <v>25593</v>
      </c>
      <c r="E864" s="62" t="s">
        <v>26303</v>
      </c>
      <c r="F864" s="62" t="s">
        <v>24986</v>
      </c>
      <c r="G864" s="81" t="s">
        <v>19285</v>
      </c>
      <c r="H864" s="63">
        <v>45538</v>
      </c>
      <c r="I864" s="63">
        <v>45539</v>
      </c>
      <c r="J864" s="62">
        <v>2</v>
      </c>
      <c r="K864" s="62">
        <v>2</v>
      </c>
      <c r="L864" s="62" t="s">
        <v>24995</v>
      </c>
      <c r="M864" s="62" t="s">
        <v>24995</v>
      </c>
      <c r="N864" s="62" t="s">
        <v>19269</v>
      </c>
      <c r="O864" s="62" t="s">
        <v>85</v>
      </c>
      <c r="P864" s="42" t="str">
        <f>+IF(O864="","",IFERROR(VLOOKUP(O864,CODIGO_DIAGNOSTICO,2,0),"CÓDIGO NO ENCONTRADO"))</f>
        <v>OTRAS ENTERITIS VIRALES</v>
      </c>
      <c r="Q864" s="62" t="s">
        <v>26059</v>
      </c>
      <c r="R864" s="64"/>
      <c r="S864" s="75"/>
      <c r="T864" s="75"/>
      <c r="U864" s="65"/>
      <c r="V864" s="62"/>
      <c r="W864" s="65"/>
      <c r="X864" s="62"/>
      <c r="Y864" s="65"/>
      <c r="Z864" s="73"/>
    </row>
    <row r="865" spans="1:26" ht="15.75" hidden="1" customHeight="1" x14ac:dyDescent="0.25">
      <c r="A865" s="67">
        <v>9</v>
      </c>
      <c r="B865" s="68">
        <v>39416443</v>
      </c>
      <c r="C865" s="68" t="s">
        <v>25145</v>
      </c>
      <c r="D865" s="68" t="s">
        <v>26216</v>
      </c>
      <c r="E865" s="68" t="s">
        <v>26217</v>
      </c>
      <c r="F865" s="68"/>
      <c r="G865" s="81" t="s">
        <v>19285</v>
      </c>
      <c r="H865" s="69">
        <v>45538</v>
      </c>
      <c r="I865" s="69">
        <v>45539</v>
      </c>
      <c r="J865" s="68">
        <v>2</v>
      </c>
      <c r="K865" s="68">
        <v>2</v>
      </c>
      <c r="L865" s="68" t="s">
        <v>24995</v>
      </c>
      <c r="M865" s="68" t="s">
        <v>24995</v>
      </c>
      <c r="N865" s="62" t="s">
        <v>19269</v>
      </c>
      <c r="O865" s="68" t="s">
        <v>3095</v>
      </c>
      <c r="P865" s="42" t="str">
        <f>+IF(O865="","",IFERROR(VLOOKUP(O865,CODIGO_DIAGNOSTICO,2,0),"CÓDIGO NO ENCONTRADO"))</f>
        <v>OTITIS MEDIA, NO ESPECIFICADA</v>
      </c>
      <c r="Q865" s="68" t="s">
        <v>26059</v>
      </c>
      <c r="R865" s="67"/>
      <c r="S865" s="77"/>
      <c r="T865" s="76"/>
      <c r="U865" s="65"/>
      <c r="V865" s="68"/>
      <c r="W865" s="70"/>
      <c r="X865" s="68"/>
      <c r="Y865" s="70"/>
      <c r="Z865" s="72"/>
    </row>
    <row r="866" spans="1:26" ht="15.75" hidden="1" customHeight="1" x14ac:dyDescent="0.25">
      <c r="A866" s="64">
        <v>9</v>
      </c>
      <c r="B866" s="62">
        <v>1003339120</v>
      </c>
      <c r="C866" s="62" t="s">
        <v>25406</v>
      </c>
      <c r="D866" s="62" t="s">
        <v>25799</v>
      </c>
      <c r="E866" s="62" t="s">
        <v>25408</v>
      </c>
      <c r="F866" s="62" t="s">
        <v>25028</v>
      </c>
      <c r="G866" s="81" t="s">
        <v>19285</v>
      </c>
      <c r="H866" s="63">
        <v>45539</v>
      </c>
      <c r="I866" s="63">
        <v>45539</v>
      </c>
      <c r="J866" s="62">
        <v>1</v>
      </c>
      <c r="K866" s="62">
        <v>1</v>
      </c>
      <c r="L866" s="62" t="s">
        <v>24995</v>
      </c>
      <c r="M866" s="62" t="s">
        <v>24995</v>
      </c>
      <c r="N866" s="62" t="s">
        <v>19269</v>
      </c>
      <c r="O866" s="62" t="s">
        <v>2589</v>
      </c>
      <c r="P866" s="42" t="str">
        <f>+IF(O866="","",IFERROR(VLOOKUP(O866,CODIGO_DIAGNOSTICO,2,0),"CÓDIGO NO ENCONTRADO"))</f>
        <v>MIGRAÑA CON AURA [MIGRAÑA CLASICA]</v>
      </c>
      <c r="Q866" s="62" t="s">
        <v>26059</v>
      </c>
      <c r="R866" s="64"/>
      <c r="S866" s="75"/>
      <c r="T866" s="75"/>
      <c r="U866" s="65"/>
      <c r="V866" s="62"/>
      <c r="W866" s="65"/>
      <c r="X866" s="62"/>
      <c r="Y866" s="65"/>
      <c r="Z866" s="73"/>
    </row>
    <row r="867" spans="1:26" ht="15.75" hidden="1" customHeight="1" x14ac:dyDescent="0.25">
      <c r="A867" s="67">
        <v>9</v>
      </c>
      <c r="B867" s="68">
        <v>1112098907</v>
      </c>
      <c r="C867" s="68" t="s">
        <v>26294</v>
      </c>
      <c r="D867" s="68" t="s">
        <v>25426</v>
      </c>
      <c r="E867" s="68" t="s">
        <v>26316</v>
      </c>
      <c r="F867" s="68" t="s">
        <v>25023</v>
      </c>
      <c r="G867" s="81" t="s">
        <v>19285</v>
      </c>
      <c r="H867" s="69">
        <v>45539</v>
      </c>
      <c r="I867" s="69">
        <v>45543</v>
      </c>
      <c r="J867" s="68">
        <v>5</v>
      </c>
      <c r="K867" s="68">
        <v>5</v>
      </c>
      <c r="L867" s="68" t="s">
        <v>24995</v>
      </c>
      <c r="M867" s="68" t="s">
        <v>24995</v>
      </c>
      <c r="N867" s="62" t="s">
        <v>19269</v>
      </c>
      <c r="O867" s="68" t="s">
        <v>8674</v>
      </c>
      <c r="P867" s="42" t="str">
        <f>+IF(O867="","",IFERROR(VLOOKUP(O867,CODIGO_DIAGNOSTICO,2,0),"CÓDIGO NO ENCONTRADO"))</f>
        <v>MOTOCICLISTA [CUALQUIERA] LESIONADO EN ACCIDENTE DE TRANSITO NO ESPECIFICADO</v>
      </c>
      <c r="Q867" s="68" t="s">
        <v>25025</v>
      </c>
      <c r="R867" s="67"/>
      <c r="S867" s="77"/>
      <c r="T867" s="76"/>
      <c r="U867" s="65"/>
      <c r="V867" s="68"/>
      <c r="W867" s="70"/>
      <c r="X867" s="68"/>
      <c r="Y867" s="70"/>
      <c r="Z867" s="72"/>
    </row>
    <row r="868" spans="1:26" ht="15.75" hidden="1" customHeight="1" x14ac:dyDescent="0.25">
      <c r="A868" s="64">
        <v>9</v>
      </c>
      <c r="B868" s="62">
        <v>15526159</v>
      </c>
      <c r="C868" s="62" t="s">
        <v>25903</v>
      </c>
      <c r="D868" s="62" t="s">
        <v>25284</v>
      </c>
      <c r="E868" s="62" t="s">
        <v>26159</v>
      </c>
      <c r="F868" s="62" t="s">
        <v>25103</v>
      </c>
      <c r="G868" s="81" t="s">
        <v>19285</v>
      </c>
      <c r="H868" s="63">
        <v>45540</v>
      </c>
      <c r="I868" s="63">
        <v>45551</v>
      </c>
      <c r="J868" s="62">
        <v>12</v>
      </c>
      <c r="K868" s="62">
        <v>12</v>
      </c>
      <c r="L868" s="62" t="s">
        <v>24995</v>
      </c>
      <c r="M868" s="62" t="s">
        <v>24995</v>
      </c>
      <c r="N868" s="62" t="s">
        <v>19269</v>
      </c>
      <c r="O868" s="62" t="s">
        <v>3014</v>
      </c>
      <c r="P868" s="42" t="str">
        <f>+IF(O868="","",IFERROR(VLOOKUP(O868,CODIGO_DIAGNOSTICO,2,0),"CÓDIGO NO ENCONTRADO"))</f>
        <v>ESTRABISMO CONCOMITANTE CONVERGENTE</v>
      </c>
      <c r="Q868" s="62" t="s">
        <v>26059</v>
      </c>
      <c r="R868" s="64"/>
      <c r="S868" s="75"/>
      <c r="T868" s="75"/>
      <c r="U868" s="65"/>
      <c r="V868" s="62"/>
      <c r="W868" s="65"/>
      <c r="X868" s="62"/>
      <c r="Y868" s="65"/>
      <c r="Z868" s="73"/>
    </row>
    <row r="869" spans="1:26" ht="15.75" hidden="1" customHeight="1" x14ac:dyDescent="0.25">
      <c r="A869" s="67">
        <v>9</v>
      </c>
      <c r="B869" s="68">
        <v>15309929</v>
      </c>
      <c r="C869" s="68" t="s">
        <v>25011</v>
      </c>
      <c r="D869" s="68" t="s">
        <v>25012</v>
      </c>
      <c r="E869" s="68" t="s">
        <v>25048</v>
      </c>
      <c r="F869" s="68" t="s">
        <v>25014</v>
      </c>
      <c r="G869" s="81" t="s">
        <v>19285</v>
      </c>
      <c r="H869" s="69">
        <v>45541</v>
      </c>
      <c r="I869" s="69">
        <v>45555</v>
      </c>
      <c r="J869" s="68">
        <v>15</v>
      </c>
      <c r="K869" s="68">
        <v>15</v>
      </c>
      <c r="L869" s="68" t="s">
        <v>19262</v>
      </c>
      <c r="M869" s="68" t="s">
        <v>19262</v>
      </c>
      <c r="N869" s="62" t="s">
        <v>19269</v>
      </c>
      <c r="O869" s="68" t="s">
        <v>7734</v>
      </c>
      <c r="P869" s="42" t="str">
        <f>+IF(O869="","",IFERROR(VLOOKUP(O869,CODIGO_DIAGNOSTICO,2,0),"CÓDIGO NO ENCONTRADO"))</f>
        <v>DESGARRO DE MENISCOS, PRESENTE</v>
      </c>
      <c r="Q869" s="68" t="s">
        <v>26059</v>
      </c>
      <c r="R869" s="67"/>
      <c r="S869" s="77"/>
      <c r="T869" s="76"/>
      <c r="U869" s="65"/>
      <c r="V869" s="68"/>
      <c r="W869" s="70"/>
      <c r="X869" s="68"/>
      <c r="Y869" s="70"/>
      <c r="Z869" s="72"/>
    </row>
    <row r="870" spans="1:26" ht="15.75" hidden="1" customHeight="1" x14ac:dyDescent="0.25">
      <c r="A870" s="64">
        <v>9</v>
      </c>
      <c r="B870" s="62">
        <v>70568787</v>
      </c>
      <c r="C870" s="62" t="s">
        <v>25948</v>
      </c>
      <c r="D870" s="62" t="s">
        <v>26242</v>
      </c>
      <c r="E870" s="62" t="s">
        <v>25255</v>
      </c>
      <c r="F870" s="62" t="s">
        <v>24986</v>
      </c>
      <c r="G870" s="81" t="s">
        <v>19285</v>
      </c>
      <c r="H870" s="63">
        <v>45542</v>
      </c>
      <c r="I870" s="63">
        <v>45543</v>
      </c>
      <c r="J870" s="62">
        <v>2</v>
      </c>
      <c r="K870" s="62">
        <v>2</v>
      </c>
      <c r="L870" s="62" t="s">
        <v>24995</v>
      </c>
      <c r="M870" s="62" t="s">
        <v>24995</v>
      </c>
      <c r="N870" s="62" t="s">
        <v>19269</v>
      </c>
      <c r="O870" s="62" t="s">
        <v>2593</v>
      </c>
      <c r="P870" s="42" t="str">
        <f>+IF(O870="","",IFERROR(VLOOKUP(O870,CODIGO_DIAGNOSTICO,2,0),"CÓDIGO NO ENCONTRADO"))</f>
        <v>MIGRAÑA, NO ESPECIFICADA</v>
      </c>
      <c r="Q870" s="62" t="s">
        <v>26059</v>
      </c>
      <c r="R870" s="64"/>
      <c r="S870" s="75"/>
      <c r="T870" s="75"/>
      <c r="U870" s="65"/>
      <c r="V870" s="62"/>
      <c r="W870" s="65"/>
      <c r="X870" s="62"/>
      <c r="Y870" s="65"/>
      <c r="Z870" s="73"/>
    </row>
    <row r="871" spans="1:26" ht="15.75" hidden="1" customHeight="1" x14ac:dyDescent="0.25">
      <c r="A871" s="67">
        <v>9</v>
      </c>
      <c r="B871" s="68">
        <v>12124967</v>
      </c>
      <c r="C871" s="68" t="s">
        <v>25398</v>
      </c>
      <c r="D871" s="68" t="s">
        <v>25303</v>
      </c>
      <c r="E871" s="68" t="s">
        <v>25399</v>
      </c>
      <c r="F871" s="68"/>
      <c r="G871" s="81" t="s">
        <v>19285</v>
      </c>
      <c r="H871" s="69">
        <v>45542</v>
      </c>
      <c r="I871" s="69">
        <v>45543</v>
      </c>
      <c r="J871" s="68">
        <v>2</v>
      </c>
      <c r="K871" s="68">
        <v>2</v>
      </c>
      <c r="L871" s="68" t="s">
        <v>24995</v>
      </c>
      <c r="M871" s="68" t="s">
        <v>24995</v>
      </c>
      <c r="N871" s="62" t="s">
        <v>19269</v>
      </c>
      <c r="O871" s="68" t="s">
        <v>1769</v>
      </c>
      <c r="P871" s="42" t="str">
        <f>+IF(O871="","",IFERROR(VLOOKUP(O871,CODIGO_DIAGNOSTICO,2,0),"CÓDIGO NO ENCONTRADO"))</f>
        <v>DIABETES MELLITUS NO INSULINODEPENDIENTE SIN MENCION DE COMPLICACION</v>
      </c>
      <c r="Q871" s="68" t="s">
        <v>25305</v>
      </c>
      <c r="R871" s="67"/>
      <c r="S871" s="77"/>
      <c r="T871" s="76"/>
      <c r="U871" s="65"/>
      <c r="V871" s="68"/>
      <c r="W871" s="70"/>
      <c r="X871" s="68"/>
      <c r="Y871" s="70"/>
      <c r="Z871" s="72"/>
    </row>
    <row r="872" spans="1:26" ht="15.75" hidden="1" customHeight="1" x14ac:dyDescent="0.25">
      <c r="A872" s="64">
        <v>9</v>
      </c>
      <c r="B872" s="62">
        <v>70323164</v>
      </c>
      <c r="C872" s="62" t="s">
        <v>24992</v>
      </c>
      <c r="D872" s="62" t="s">
        <v>24985</v>
      </c>
      <c r="E872" s="62" t="s">
        <v>25091</v>
      </c>
      <c r="F872" s="62" t="s">
        <v>25146</v>
      </c>
      <c r="G872" s="81" t="s">
        <v>19285</v>
      </c>
      <c r="H872" s="63">
        <v>45543</v>
      </c>
      <c r="I872" s="63">
        <v>45551</v>
      </c>
      <c r="J872" s="62">
        <v>9</v>
      </c>
      <c r="K872" s="62">
        <v>9</v>
      </c>
      <c r="L872" s="62" t="s">
        <v>19262</v>
      </c>
      <c r="M872" s="62" t="s">
        <v>19262</v>
      </c>
      <c r="N872" s="62" t="s">
        <v>19269</v>
      </c>
      <c r="O872" s="62" t="s">
        <v>3693</v>
      </c>
      <c r="P872" s="42" t="str">
        <f>+IF(O872="","",IFERROR(VLOOKUP(O872,CODIGO_DIAGNOSTICO,2,0),"CÓDIGO NO ENCONTRADO"))</f>
        <v>ENFERMEDAD PULMONAR OBSTRUCTIVA CRONICA, NO ESPECIFICADA</v>
      </c>
      <c r="Q872" s="62" t="s">
        <v>26059</v>
      </c>
      <c r="R872" s="64"/>
      <c r="S872" s="75"/>
      <c r="T872" s="75"/>
      <c r="U872" s="65"/>
      <c r="V872" s="62"/>
      <c r="W872" s="65"/>
      <c r="X872" s="62"/>
      <c r="Y872" s="65"/>
      <c r="Z872" s="73"/>
    </row>
    <row r="873" spans="1:26" ht="15.75" hidden="1" customHeight="1" x14ac:dyDescent="0.25">
      <c r="A873" s="67">
        <v>9</v>
      </c>
      <c r="B873" s="68">
        <v>1038112223</v>
      </c>
      <c r="C873" s="68" t="s">
        <v>26269</v>
      </c>
      <c r="D873" s="68" t="s">
        <v>25108</v>
      </c>
      <c r="E873" s="68" t="s">
        <v>25019</v>
      </c>
      <c r="F873" s="68" t="s">
        <v>25010</v>
      </c>
      <c r="G873" s="81" t="s">
        <v>19285</v>
      </c>
      <c r="H873" s="69">
        <v>45545</v>
      </c>
      <c r="I873" s="69">
        <v>45546</v>
      </c>
      <c r="J873" s="68">
        <v>2</v>
      </c>
      <c r="K873" s="68">
        <v>2</v>
      </c>
      <c r="L873" s="68" t="s">
        <v>24995</v>
      </c>
      <c r="M873" s="68" t="s">
        <v>24995</v>
      </c>
      <c r="N873" s="62" t="s">
        <v>19269</v>
      </c>
      <c r="O873" s="68" t="s">
        <v>6900</v>
      </c>
      <c r="P873" s="42" t="str">
        <f>+IF(O873="","",IFERROR(VLOOKUP(O873,CODIGO_DIAGNOSTICO,2,0),"CÓDIGO NO ENCONTRADO"))</f>
        <v>TAQUICARDIA, NO ESPECIFICADA</v>
      </c>
      <c r="Q873" s="68" t="s">
        <v>19231</v>
      </c>
      <c r="R873" s="67"/>
      <c r="S873" s="77"/>
      <c r="T873" s="76"/>
      <c r="U873" s="65"/>
      <c r="V873" s="68"/>
      <c r="W873" s="70"/>
      <c r="X873" s="68"/>
      <c r="Y873" s="70"/>
      <c r="Z873" s="72"/>
    </row>
    <row r="874" spans="1:26" ht="15.75" hidden="1" customHeight="1" x14ac:dyDescent="0.25">
      <c r="A874" s="64">
        <v>9</v>
      </c>
      <c r="B874" s="62">
        <v>1214737996</v>
      </c>
      <c r="C874" s="62" t="s">
        <v>25547</v>
      </c>
      <c r="D874" s="62" t="s">
        <v>26337</v>
      </c>
      <c r="E874" s="62" t="s">
        <v>26338</v>
      </c>
      <c r="F874" s="62" t="s">
        <v>25755</v>
      </c>
      <c r="G874" s="81" t="s">
        <v>19285</v>
      </c>
      <c r="H874" s="63">
        <v>45546</v>
      </c>
      <c r="I874" s="63">
        <v>45575</v>
      </c>
      <c r="J874" s="62">
        <v>30</v>
      </c>
      <c r="K874" s="62">
        <v>30</v>
      </c>
      <c r="L874" s="62" t="s">
        <v>24995</v>
      </c>
      <c r="M874" s="62" t="s">
        <v>19262</v>
      </c>
      <c r="N874" s="62" t="s">
        <v>19269</v>
      </c>
      <c r="O874" s="62" t="s">
        <v>7723</v>
      </c>
      <c r="P874" s="42" t="str">
        <f>+IF(O874="","",IFERROR(VLOOKUP(O874,CODIGO_DIAGNOSTICO,2,0),"CÓDIGO NO ENCONTRADO"))</f>
        <v>FRACTURA DE LA EPIFISIS SUPERIOR DE LA TIBIA</v>
      </c>
      <c r="Q874" s="62" t="s">
        <v>26339</v>
      </c>
      <c r="R874" s="64"/>
      <c r="S874" s="75"/>
      <c r="T874" s="75"/>
      <c r="U874" s="65"/>
      <c r="V874" s="62"/>
      <c r="W874" s="65"/>
      <c r="X874" s="62"/>
      <c r="Y874" s="65"/>
      <c r="Z874" s="73"/>
    </row>
    <row r="875" spans="1:26" ht="15.75" hidden="1" customHeight="1" x14ac:dyDescent="0.25">
      <c r="A875" s="67">
        <v>9</v>
      </c>
      <c r="B875" s="68">
        <v>98601485</v>
      </c>
      <c r="C875" s="68" t="s">
        <v>25240</v>
      </c>
      <c r="D875" s="68"/>
      <c r="E875" s="68" t="s">
        <v>25241</v>
      </c>
      <c r="F875" s="68" t="s">
        <v>25103</v>
      </c>
      <c r="G875" s="81" t="s">
        <v>25328</v>
      </c>
      <c r="H875" s="69">
        <v>45547</v>
      </c>
      <c r="I875" s="69">
        <v>45562</v>
      </c>
      <c r="J875" s="68">
        <v>15</v>
      </c>
      <c r="K875" s="68">
        <v>15</v>
      </c>
      <c r="L875" s="68" t="s">
        <v>19262</v>
      </c>
      <c r="M875" s="68" t="s">
        <v>19262</v>
      </c>
      <c r="N875" s="62" t="s">
        <v>19269</v>
      </c>
      <c r="O875" s="68" t="s">
        <v>8419</v>
      </c>
      <c r="P875" s="42" t="str">
        <f>+IF(O875="","",IFERROR(VLOOKUP(O875,CODIGO_DIAGNOSTICO,2,0),"CÓDIGO NO ENCONTRADO"))</f>
        <v>COMPLICACION MECANICA DE OTROS DISPOSITIVOS PROTESICOS, IMPLANTES E INJERTOS ORTOPEDICOS INTERNOS</v>
      </c>
      <c r="Q875" s="68" t="s">
        <v>26059</v>
      </c>
      <c r="R875" s="67"/>
      <c r="S875" s="77"/>
      <c r="T875" s="76"/>
      <c r="U875" s="65"/>
      <c r="V875" s="68"/>
      <c r="W875" s="70"/>
      <c r="X875" s="68"/>
      <c r="Y875" s="70"/>
      <c r="Z875" s="72"/>
    </row>
    <row r="876" spans="1:26" ht="15.75" hidden="1" customHeight="1" x14ac:dyDescent="0.25">
      <c r="A876" s="64">
        <v>9</v>
      </c>
      <c r="B876" s="62">
        <v>1000105696</v>
      </c>
      <c r="C876" s="62" t="s">
        <v>25017</v>
      </c>
      <c r="D876" s="62" t="s">
        <v>25561</v>
      </c>
      <c r="E876" s="62" t="s">
        <v>26307</v>
      </c>
      <c r="F876" s="62"/>
      <c r="G876" s="81" t="s">
        <v>19285</v>
      </c>
      <c r="H876" s="63">
        <v>45548</v>
      </c>
      <c r="I876" s="63">
        <v>45548</v>
      </c>
      <c r="J876" s="62">
        <v>1</v>
      </c>
      <c r="K876" s="62">
        <v>1</v>
      </c>
      <c r="L876" s="62" t="s">
        <v>24995</v>
      </c>
      <c r="M876" s="62" t="s">
        <v>24995</v>
      </c>
      <c r="N876" s="62" t="s">
        <v>19269</v>
      </c>
      <c r="O876" s="62" t="s">
        <v>7015</v>
      </c>
      <c r="P876" s="42" t="str">
        <f>+IF(O876="","",IFERROR(VLOOKUP(O876,CODIGO_DIAGNOSTICO,2,0),"CÓDIGO NO ENCONTRADO"))</f>
        <v>MAREO Y DESVANECIMIENTO</v>
      </c>
      <c r="Q876" s="62" t="s">
        <v>26059</v>
      </c>
      <c r="R876" s="64"/>
      <c r="S876" s="75"/>
      <c r="T876" s="75"/>
      <c r="U876" s="65"/>
      <c r="V876" s="62"/>
      <c r="W876" s="65"/>
      <c r="X876" s="62"/>
      <c r="Y876" s="65"/>
      <c r="Z876" s="73"/>
    </row>
    <row r="877" spans="1:26" ht="15.75" hidden="1" customHeight="1" x14ac:dyDescent="0.25">
      <c r="A877" s="67">
        <v>9</v>
      </c>
      <c r="B877" s="68">
        <v>94150593</v>
      </c>
      <c r="C877" s="68" t="s">
        <v>26314</v>
      </c>
      <c r="D877" s="68" t="s">
        <v>25401</v>
      </c>
      <c r="E877" s="68" t="s">
        <v>25066</v>
      </c>
      <c r="F877" s="68" t="s">
        <v>24986</v>
      </c>
      <c r="G877" s="81" t="s">
        <v>25768</v>
      </c>
      <c r="H877" s="69">
        <v>45548</v>
      </c>
      <c r="I877" s="69">
        <v>45561</v>
      </c>
      <c r="J877" s="68">
        <v>14</v>
      </c>
      <c r="K877" s="68">
        <v>14</v>
      </c>
      <c r="L877" s="68" t="s">
        <v>24995</v>
      </c>
      <c r="M877" s="68" t="s">
        <v>25995</v>
      </c>
      <c r="N877" s="62" t="s">
        <v>19269</v>
      </c>
      <c r="O877" s="68" t="s">
        <v>3988</v>
      </c>
      <c r="P877" s="42" t="str">
        <f>+IF(O877="","",IFERROR(VLOOKUP(O877,CODIGO_DIAGNOSTICO,2,0),"CÓDIGO NO ENCONTRADO"))</f>
        <v>HERNIA INGUINAL UNILATERAL O NO ESPECIFICADA, SIN OBSTRUCION NI GANGRENA</v>
      </c>
      <c r="Q877" s="68" t="s">
        <v>26315</v>
      </c>
      <c r="R877" s="67"/>
      <c r="S877" s="77"/>
      <c r="T877" s="76"/>
      <c r="U877" s="65"/>
      <c r="V877" s="68"/>
      <c r="W877" s="70"/>
      <c r="X877" s="68"/>
      <c r="Y877" s="70"/>
      <c r="Z877" s="72"/>
    </row>
    <row r="878" spans="1:26" ht="15.75" hidden="1" customHeight="1" x14ac:dyDescent="0.25">
      <c r="A878" s="64">
        <v>9</v>
      </c>
      <c r="B878" s="62">
        <v>15526159</v>
      </c>
      <c r="C878" s="62" t="s">
        <v>25865</v>
      </c>
      <c r="D878" s="62" t="s">
        <v>25284</v>
      </c>
      <c r="E878" s="62" t="s">
        <v>26159</v>
      </c>
      <c r="F878" s="62" t="s">
        <v>25103</v>
      </c>
      <c r="G878" s="81" t="s">
        <v>19285</v>
      </c>
      <c r="H878" s="63">
        <v>45552</v>
      </c>
      <c r="I878" s="63">
        <v>45581</v>
      </c>
      <c r="J878" s="62">
        <v>30</v>
      </c>
      <c r="K878" s="62">
        <v>30</v>
      </c>
      <c r="L878" s="62" t="s">
        <v>19262</v>
      </c>
      <c r="M878" s="62" t="s">
        <v>19262</v>
      </c>
      <c r="N878" s="62" t="s">
        <v>19269</v>
      </c>
      <c r="O878" s="62" t="s">
        <v>3014</v>
      </c>
      <c r="P878" s="42" t="str">
        <f>+IF(O878="","",IFERROR(VLOOKUP(O878,CODIGO_DIAGNOSTICO,2,0),"CÓDIGO NO ENCONTRADO"))</f>
        <v>ESTRABISMO CONCOMITANTE CONVERGENTE</v>
      </c>
      <c r="Q878" s="62" t="s">
        <v>26059</v>
      </c>
      <c r="R878" s="64"/>
      <c r="S878" s="75"/>
      <c r="T878" s="75"/>
      <c r="U878" s="65"/>
      <c r="V878" s="62"/>
      <c r="W878" s="65"/>
      <c r="X878" s="62"/>
      <c r="Y878" s="65"/>
      <c r="Z878" s="73"/>
    </row>
    <row r="879" spans="1:26" ht="15.75" hidden="1" customHeight="1" x14ac:dyDescent="0.25">
      <c r="A879" s="67">
        <v>9</v>
      </c>
      <c r="B879" s="68">
        <v>82361903</v>
      </c>
      <c r="C879" s="68" t="s">
        <v>25038</v>
      </c>
      <c r="D879" s="68" t="s">
        <v>25238</v>
      </c>
      <c r="E879" s="68" t="s">
        <v>25442</v>
      </c>
      <c r="F879" s="68" t="s">
        <v>25213</v>
      </c>
      <c r="G879" s="81" t="s">
        <v>19285</v>
      </c>
      <c r="H879" s="69">
        <v>45552</v>
      </c>
      <c r="I879" s="69">
        <v>45553</v>
      </c>
      <c r="J879" s="68">
        <v>2</v>
      </c>
      <c r="K879" s="68">
        <v>2</v>
      </c>
      <c r="L879" s="68" t="s">
        <v>24995</v>
      </c>
      <c r="M879" s="68" t="s">
        <v>24995</v>
      </c>
      <c r="N879" s="62" t="s">
        <v>19269</v>
      </c>
      <c r="O879" s="68" t="s">
        <v>2599</v>
      </c>
      <c r="P879" s="42" t="str">
        <f>+IF(O879="","",IFERROR(VLOOKUP(O879,CODIGO_DIAGNOSTICO,2,0),"CÓDIGO NO ENCONTRADO"))</f>
        <v>OTROS SINDROMES DE CEFALEA ESPECIFICADOS</v>
      </c>
      <c r="Q879" s="68" t="s">
        <v>24996</v>
      </c>
      <c r="R879" s="67"/>
      <c r="S879" s="77"/>
      <c r="T879" s="76"/>
      <c r="U879" s="65"/>
      <c r="V879" s="68"/>
      <c r="W879" s="70"/>
      <c r="X879" s="68"/>
      <c r="Y879" s="70"/>
      <c r="Z879" s="72"/>
    </row>
    <row r="880" spans="1:26" ht="15.75" hidden="1" customHeight="1" x14ac:dyDescent="0.25">
      <c r="A880" s="64">
        <v>9</v>
      </c>
      <c r="B880" s="62">
        <v>12625299</v>
      </c>
      <c r="C880" s="62" t="s">
        <v>26170</v>
      </c>
      <c r="D880" s="62" t="s">
        <v>25322</v>
      </c>
      <c r="E880" s="62" t="s">
        <v>26336</v>
      </c>
      <c r="F880" s="62" t="s">
        <v>25057</v>
      </c>
      <c r="G880" s="81" t="s">
        <v>19285</v>
      </c>
      <c r="H880" s="63">
        <v>45557</v>
      </c>
      <c r="I880" s="63">
        <v>45586</v>
      </c>
      <c r="J880" s="62">
        <v>30</v>
      </c>
      <c r="K880" s="62">
        <v>30</v>
      </c>
      <c r="L880" s="62" t="s">
        <v>19262</v>
      </c>
      <c r="M880" s="62" t="s">
        <v>19262</v>
      </c>
      <c r="N880" s="62" t="s">
        <v>19269</v>
      </c>
      <c r="O880" s="62" t="s">
        <v>3284</v>
      </c>
      <c r="P880" s="42" t="str">
        <f>+IF(O880="","",IFERROR(VLOOKUP(O880,CODIGO_DIAGNOSTICO,2,0),"CÓDIGO NO ENCONTRADO"))</f>
        <v>ENDOCARDITIS INFECCIOSA AGUDA Y SUBAGUDA</v>
      </c>
      <c r="Q880" s="62" t="s">
        <v>26059</v>
      </c>
      <c r="R880" s="64"/>
      <c r="S880" s="75"/>
      <c r="T880" s="75"/>
      <c r="U880" s="65"/>
      <c r="V880" s="62"/>
      <c r="W880" s="65"/>
      <c r="X880" s="62"/>
      <c r="Y880" s="65"/>
      <c r="Z880" s="73"/>
    </row>
    <row r="881" spans="1:26" ht="15.75" hidden="1" customHeight="1" x14ac:dyDescent="0.25">
      <c r="A881" s="67">
        <v>9</v>
      </c>
      <c r="B881" s="68">
        <v>1033374378</v>
      </c>
      <c r="C881" s="68" t="s">
        <v>26341</v>
      </c>
      <c r="D881" s="68" t="s">
        <v>24980</v>
      </c>
      <c r="E881" s="68" t="s">
        <v>25282</v>
      </c>
      <c r="F881" s="68" t="s">
        <v>25177</v>
      </c>
      <c r="G881" s="81" t="s">
        <v>19285</v>
      </c>
      <c r="H881" s="69">
        <v>45559</v>
      </c>
      <c r="I881" s="69">
        <v>45572</v>
      </c>
      <c r="J881" s="68">
        <v>14</v>
      </c>
      <c r="K881" s="68">
        <v>14</v>
      </c>
      <c r="L881" s="68" t="s">
        <v>24995</v>
      </c>
      <c r="M881" s="68" t="s">
        <v>24995</v>
      </c>
      <c r="N881" s="62" t="s">
        <v>19269</v>
      </c>
      <c r="O881" s="68" t="s">
        <v>5851</v>
      </c>
      <c r="P881" s="42" t="str">
        <f>+IF(O881="","",IFERROR(VLOOKUP(O881,CODIGO_DIAGNOSTICO,2,0),"CÓDIGO NO ENCONTRADO"))</f>
        <v>PARTO UNICO ESPONTANEO, PRESENTACION CEFALICA DE VERTICE</v>
      </c>
      <c r="Q881" s="68" t="s">
        <v>24996</v>
      </c>
      <c r="R881" s="67"/>
      <c r="S881" s="77"/>
      <c r="T881" s="76"/>
      <c r="U881" s="65"/>
      <c r="V881" s="68"/>
      <c r="W881" s="70"/>
      <c r="X881" s="68"/>
      <c r="Y881" s="70"/>
      <c r="Z881" s="72"/>
    </row>
    <row r="882" spans="1:26" ht="15.75" hidden="1" customHeight="1" x14ac:dyDescent="0.25">
      <c r="A882" s="64">
        <v>9</v>
      </c>
      <c r="B882" s="62">
        <v>70323164</v>
      </c>
      <c r="C882" s="62" t="s">
        <v>24992</v>
      </c>
      <c r="D882" s="62" t="s">
        <v>24985</v>
      </c>
      <c r="E882" s="62" t="s">
        <v>25091</v>
      </c>
      <c r="F882" s="62" t="s">
        <v>25146</v>
      </c>
      <c r="G882" s="81" t="s">
        <v>19285</v>
      </c>
      <c r="H882" s="63">
        <v>45561</v>
      </c>
      <c r="I882" s="63">
        <v>45569</v>
      </c>
      <c r="J882" s="62">
        <v>9</v>
      </c>
      <c r="K882" s="62">
        <v>9</v>
      </c>
      <c r="L882" s="62" t="s">
        <v>19262</v>
      </c>
      <c r="M882" s="62" t="s">
        <v>19262</v>
      </c>
      <c r="N882" s="62" t="s">
        <v>19269</v>
      </c>
      <c r="O882" s="62" t="s">
        <v>3693</v>
      </c>
      <c r="P882" s="42" t="str">
        <f>+IF(O882="","",IFERROR(VLOOKUP(O882,CODIGO_DIAGNOSTICO,2,0),"CÓDIGO NO ENCONTRADO"))</f>
        <v>ENFERMEDAD PULMONAR OBSTRUCTIVA CRONICA, NO ESPECIFICADA</v>
      </c>
      <c r="Q882" s="62" t="s">
        <v>26059</v>
      </c>
      <c r="R882" s="64"/>
      <c r="S882" s="75"/>
      <c r="T882" s="75"/>
      <c r="U882" s="65"/>
      <c r="V882" s="62"/>
      <c r="W882" s="65"/>
      <c r="X882" s="62"/>
      <c r="Y882" s="65"/>
      <c r="Z882" s="73"/>
    </row>
    <row r="883" spans="1:26" ht="15.75" hidden="1" customHeight="1" x14ac:dyDescent="0.25">
      <c r="A883" s="67">
        <v>9</v>
      </c>
      <c r="B883" s="68">
        <v>1036622798</v>
      </c>
      <c r="C883" s="68" t="s">
        <v>25136</v>
      </c>
      <c r="D883" s="68" t="s">
        <v>25993</v>
      </c>
      <c r="E883" s="68" t="s">
        <v>26035</v>
      </c>
      <c r="F883" s="68" t="s">
        <v>25339</v>
      </c>
      <c r="G883" s="81" t="s">
        <v>19285</v>
      </c>
      <c r="H883" s="69">
        <v>45561</v>
      </c>
      <c r="I883" s="69">
        <v>45561</v>
      </c>
      <c r="J883" s="68">
        <v>1</v>
      </c>
      <c r="K883" s="68">
        <v>1</v>
      </c>
      <c r="L883" s="68" t="s">
        <v>24995</v>
      </c>
      <c r="M883" s="68" t="s">
        <v>24995</v>
      </c>
      <c r="N883" s="62" t="s">
        <v>19269</v>
      </c>
      <c r="O883" s="68" t="s">
        <v>85</v>
      </c>
      <c r="P883" s="42" t="str">
        <f>+IF(O883="","",IFERROR(VLOOKUP(O883,CODIGO_DIAGNOSTICO,2,0),"CÓDIGO NO ENCONTRADO"))</f>
        <v>OTRAS ENTERITIS VIRALES</v>
      </c>
      <c r="Q883" s="68" t="s">
        <v>26059</v>
      </c>
      <c r="R883" s="67"/>
      <c r="S883" s="77"/>
      <c r="T883" s="76"/>
      <c r="U883" s="65"/>
      <c r="V883" s="68"/>
      <c r="W883" s="70"/>
      <c r="X883" s="68"/>
      <c r="Y883" s="70"/>
      <c r="Z883" s="72"/>
    </row>
    <row r="884" spans="1:26" ht="15.75" hidden="1" customHeight="1" x14ac:dyDescent="0.25">
      <c r="A884" s="64">
        <v>9</v>
      </c>
      <c r="B884" s="62">
        <v>71052271</v>
      </c>
      <c r="C884" s="62" t="s">
        <v>25411</v>
      </c>
      <c r="D884" s="62" t="s">
        <v>24987</v>
      </c>
      <c r="E884" s="62" t="s">
        <v>25162</v>
      </c>
      <c r="F884" s="62" t="s">
        <v>25103</v>
      </c>
      <c r="G884" s="81" t="s">
        <v>19285</v>
      </c>
      <c r="H884" s="63">
        <v>45561</v>
      </c>
      <c r="I884" s="63">
        <v>45567</v>
      </c>
      <c r="J884" s="62">
        <v>7</v>
      </c>
      <c r="K884" s="62">
        <v>7</v>
      </c>
      <c r="L884" s="62" t="s">
        <v>24995</v>
      </c>
      <c r="M884" s="62" t="s">
        <v>24995</v>
      </c>
      <c r="N884" s="62" t="s">
        <v>19269</v>
      </c>
      <c r="O884" s="62" t="s">
        <v>4216</v>
      </c>
      <c r="P884" s="42" t="str">
        <f>+IF(O884="","",IFERROR(VLOOKUP(O884,CODIGO_DIAGNOSTICO,2,0),"CÓDIGO NO ENCONTRADO"))</f>
        <v>CELULITIS DE LOS DEDOS DE LA MANO Y DEL PIE</v>
      </c>
      <c r="Q884" s="62" t="s">
        <v>26339</v>
      </c>
      <c r="R884" s="64"/>
      <c r="S884" s="75"/>
      <c r="T884" s="75"/>
      <c r="U884" s="65"/>
      <c r="V884" s="62"/>
      <c r="W884" s="65"/>
      <c r="X884" s="62"/>
      <c r="Y884" s="65"/>
      <c r="Z884" s="73"/>
    </row>
    <row r="885" spans="1:26" ht="15.75" hidden="1" customHeight="1" x14ac:dyDescent="0.25">
      <c r="A885" s="67">
        <v>9</v>
      </c>
      <c r="B885" s="68">
        <v>71382103</v>
      </c>
      <c r="C885" s="68" t="s">
        <v>25776</v>
      </c>
      <c r="D885" s="68" t="s">
        <v>25968</v>
      </c>
      <c r="E885" s="68" t="s">
        <v>25116</v>
      </c>
      <c r="F885" s="68" t="s">
        <v>26027</v>
      </c>
      <c r="G885" s="81" t="s">
        <v>19285</v>
      </c>
      <c r="H885" s="69">
        <v>45563</v>
      </c>
      <c r="I885" s="69">
        <v>45577</v>
      </c>
      <c r="J885" s="68">
        <v>15</v>
      </c>
      <c r="K885" s="68">
        <v>15</v>
      </c>
      <c r="L885" s="68" t="s">
        <v>19262</v>
      </c>
      <c r="M885" s="68" t="s">
        <v>19262</v>
      </c>
      <c r="N885" s="62" t="s">
        <v>19269</v>
      </c>
      <c r="O885" s="68" t="s">
        <v>5005</v>
      </c>
      <c r="P885" s="42" t="str">
        <f>+IF(O885="","",IFERROR(VLOOKUP(O885,CODIGO_DIAGNOSTICO,2,0),"CÓDIGO NO ENCONTRADO"))</f>
        <v>OTRAS OSTEOMIELITIS</v>
      </c>
      <c r="Q885" s="68" t="s">
        <v>26059</v>
      </c>
      <c r="R885" s="67"/>
      <c r="S885" s="77"/>
      <c r="T885" s="76"/>
      <c r="U885" s="65"/>
      <c r="V885" s="68"/>
      <c r="W885" s="70"/>
      <c r="X885" s="68"/>
      <c r="Y885" s="70"/>
      <c r="Z885" s="72"/>
    </row>
    <row r="886" spans="1:26" ht="15.75" hidden="1" customHeight="1" x14ac:dyDescent="0.25">
      <c r="A886" s="64">
        <v>10</v>
      </c>
      <c r="B886" s="62">
        <v>98601485</v>
      </c>
      <c r="C886" s="62" t="s">
        <v>25240</v>
      </c>
      <c r="D886" s="62"/>
      <c r="E886" s="62" t="s">
        <v>25241</v>
      </c>
      <c r="F886" s="62" t="s">
        <v>25103</v>
      </c>
      <c r="G886" s="81" t="s">
        <v>25328</v>
      </c>
      <c r="H886" s="63">
        <v>45563</v>
      </c>
      <c r="I886" s="63">
        <v>45577</v>
      </c>
      <c r="J886" s="62">
        <v>15</v>
      </c>
      <c r="K886" s="62">
        <v>15</v>
      </c>
      <c r="L886" s="62" t="s">
        <v>19262</v>
      </c>
      <c r="M886" s="62" t="s">
        <v>19262</v>
      </c>
      <c r="N886" s="62" t="s">
        <v>19269</v>
      </c>
      <c r="O886" s="62" t="s">
        <v>8419</v>
      </c>
      <c r="P886" s="42" t="str">
        <f>+IF(O886="","",IFERROR(VLOOKUP(O886,CODIGO_DIAGNOSTICO,2,0),"CÓDIGO NO ENCONTRADO"))</f>
        <v>COMPLICACION MECANICA DE OTROS DISPOSITIVOS PROTESICOS, IMPLANTES E INJERTOS ORTOPEDICOS INTERNOS</v>
      </c>
      <c r="Q886" s="62" t="s">
        <v>26059</v>
      </c>
      <c r="R886" s="64"/>
      <c r="S886" s="75"/>
      <c r="T886" s="75"/>
      <c r="U886" s="65"/>
      <c r="V886" s="62"/>
      <c r="W886" s="65"/>
      <c r="X886" s="62"/>
      <c r="Y886" s="65"/>
      <c r="Z886" s="73"/>
    </row>
    <row r="887" spans="1:26" ht="15.75" hidden="1" customHeight="1" x14ac:dyDescent="0.25">
      <c r="A887" s="67">
        <v>9</v>
      </c>
      <c r="B887" s="68">
        <v>1001508073</v>
      </c>
      <c r="C887" s="68" t="s">
        <v>25244</v>
      </c>
      <c r="D887" s="68" t="s">
        <v>25244</v>
      </c>
      <c r="E887" s="68" t="s">
        <v>26289</v>
      </c>
      <c r="F887" s="68" t="s">
        <v>25596</v>
      </c>
      <c r="G887" s="81" t="s">
        <v>19285</v>
      </c>
      <c r="H887" s="69">
        <v>45564</v>
      </c>
      <c r="I887" s="69">
        <v>45583</v>
      </c>
      <c r="J887" s="68">
        <v>20</v>
      </c>
      <c r="K887" s="68">
        <v>20</v>
      </c>
      <c r="L887" s="68" t="s">
        <v>19262</v>
      </c>
      <c r="M887" s="68" t="s">
        <v>19262</v>
      </c>
      <c r="N887" s="62" t="s">
        <v>19269</v>
      </c>
      <c r="O887" s="68" t="s">
        <v>7553</v>
      </c>
      <c r="P887" s="42" t="str">
        <f>+IF(O887="","",IFERROR(VLOOKUP(O887,CODIGO_DIAGNOSTICO,2,0),"CÓDIGO NO ENCONTRADO"))</f>
        <v>HERIDAS DE OTRAS PARTES DEL ANTEBRAZO</v>
      </c>
      <c r="Q887" s="68" t="s">
        <v>26059</v>
      </c>
      <c r="R887" s="67"/>
      <c r="S887" s="77"/>
      <c r="T887" s="76"/>
      <c r="U887" s="65"/>
      <c r="V887" s="68"/>
      <c r="W887" s="70"/>
      <c r="X887" s="68"/>
      <c r="Y887" s="70"/>
      <c r="Z887" s="72"/>
    </row>
    <row r="888" spans="1:26" ht="15.75" hidden="1" customHeight="1" x14ac:dyDescent="0.25">
      <c r="A888" s="64">
        <v>9</v>
      </c>
      <c r="B888" s="62">
        <v>79506156</v>
      </c>
      <c r="C888" s="62" t="s">
        <v>25017</v>
      </c>
      <c r="D888" s="62" t="s">
        <v>24980</v>
      </c>
      <c r="E888" s="62" t="s">
        <v>25512</v>
      </c>
      <c r="F888" s="62"/>
      <c r="G888" s="81" t="s">
        <v>26340</v>
      </c>
      <c r="H888" s="63">
        <v>45565</v>
      </c>
      <c r="I888" s="63">
        <v>45585</v>
      </c>
      <c r="J888" s="62">
        <v>21</v>
      </c>
      <c r="K888" s="62">
        <v>21</v>
      </c>
      <c r="L888" s="62" t="s">
        <v>24995</v>
      </c>
      <c r="M888" s="62" t="s">
        <v>19262</v>
      </c>
      <c r="N888" s="62" t="s">
        <v>19269</v>
      </c>
      <c r="O888" s="62" t="s">
        <v>7547</v>
      </c>
      <c r="P888" s="42" t="str">
        <f>+IF(O888="","",IFERROR(VLOOKUP(O888,CODIGO_DIAGNOSTICO,2,0),"CÓDIGO NO ENCONTRADO"))</f>
        <v>CONTUSION DE OTRAS PARTES DEL ANTEBRAZO Y DE LAS NO ESPECIFICADAS</v>
      </c>
      <c r="Q888" s="62" t="s">
        <v>26059</v>
      </c>
      <c r="R888" s="64"/>
      <c r="S888" s="75"/>
      <c r="T888" s="75"/>
      <c r="U888" s="65"/>
      <c r="V888" s="62"/>
      <c r="W888" s="65"/>
      <c r="X888" s="62"/>
      <c r="Y888" s="65"/>
      <c r="Z888" s="73"/>
    </row>
    <row r="889" spans="1:26" ht="15.75" hidden="1" customHeight="1" x14ac:dyDescent="0.25">
      <c r="A889" s="67">
        <v>10</v>
      </c>
      <c r="B889" s="68">
        <v>1054552858</v>
      </c>
      <c r="C889" s="68" t="s">
        <v>26344</v>
      </c>
      <c r="D889" s="68" t="s">
        <v>26345</v>
      </c>
      <c r="E889" s="68" t="s">
        <v>25455</v>
      </c>
      <c r="F889" s="68" t="s">
        <v>26266</v>
      </c>
      <c r="G889" s="81" t="s">
        <v>19285</v>
      </c>
      <c r="H889" s="69">
        <v>45567</v>
      </c>
      <c r="I889" s="69">
        <v>45576</v>
      </c>
      <c r="J889" s="68">
        <v>10</v>
      </c>
      <c r="K889" s="68">
        <v>10</v>
      </c>
      <c r="L889" s="68" t="s">
        <v>24995</v>
      </c>
      <c r="M889" s="68" t="s">
        <v>24995</v>
      </c>
      <c r="N889" s="62" t="s">
        <v>19269</v>
      </c>
      <c r="O889" s="68" t="s">
        <v>7508</v>
      </c>
      <c r="P889" s="42" t="str">
        <f>+IF(O889="","",IFERROR(VLOOKUP(O889,CODIGO_DIAGNOSTICO,2,0),"CÓDIGO NO ENCONTRADO"))</f>
        <v>LUXACION DE LA ARTICULACION DEL HOMBRO</v>
      </c>
      <c r="Q889" s="68" t="s">
        <v>25025</v>
      </c>
      <c r="R889" s="67"/>
      <c r="S889" s="77"/>
      <c r="T889" s="76"/>
      <c r="U889" s="65"/>
      <c r="V889" s="68"/>
      <c r="W889" s="70"/>
      <c r="X889" s="68"/>
      <c r="Y889" s="70"/>
      <c r="Z889" s="72"/>
    </row>
    <row r="890" spans="1:26" ht="15.75" hidden="1" customHeight="1" x14ac:dyDescent="0.25">
      <c r="A890" s="64">
        <v>10</v>
      </c>
      <c r="B890" s="62">
        <v>70137576</v>
      </c>
      <c r="C890" s="62" t="s">
        <v>25086</v>
      </c>
      <c r="D890" s="62" t="s">
        <v>25424</v>
      </c>
      <c r="E890" s="62" t="s">
        <v>25405</v>
      </c>
      <c r="F890" s="62" t="s">
        <v>26027</v>
      </c>
      <c r="G890" s="81" t="s">
        <v>19285</v>
      </c>
      <c r="H890" s="63">
        <v>45567</v>
      </c>
      <c r="I890" s="63">
        <v>45586</v>
      </c>
      <c r="J890" s="62">
        <v>20</v>
      </c>
      <c r="K890" s="62">
        <v>20</v>
      </c>
      <c r="L890" s="62" t="s">
        <v>24995</v>
      </c>
      <c r="M890" s="62" t="s">
        <v>19262</v>
      </c>
      <c r="N890" s="62" t="s">
        <v>19269</v>
      </c>
      <c r="O890" s="62" t="s">
        <v>4000</v>
      </c>
      <c r="P890" s="42" t="str">
        <f>+IF(O890="","",IFERROR(VLOOKUP(O890,CODIGO_DIAGNOSTICO,2,0),"CÓDIGO NO ENCONTRADO"))</f>
        <v>HERNIA VENTRAL SIN OBSTRUCCION NI GANGRENA</v>
      </c>
      <c r="Q890" s="62" t="s">
        <v>26059</v>
      </c>
      <c r="R890" s="64"/>
      <c r="S890" s="75"/>
      <c r="T890" s="75"/>
      <c r="U890" s="65"/>
      <c r="V890" s="62"/>
      <c r="W890" s="65"/>
      <c r="X890" s="62"/>
      <c r="Y890" s="65"/>
      <c r="Z890" s="73"/>
    </row>
    <row r="891" spans="1:26" ht="15.75" hidden="1" customHeight="1" x14ac:dyDescent="0.25">
      <c r="A891" s="67">
        <v>10</v>
      </c>
      <c r="B891" s="68">
        <v>70323164</v>
      </c>
      <c r="C891" s="68" t="s">
        <v>24992</v>
      </c>
      <c r="D891" s="68" t="s">
        <v>24985</v>
      </c>
      <c r="E891" s="68" t="s">
        <v>25091</v>
      </c>
      <c r="F891" s="68" t="s">
        <v>26208</v>
      </c>
      <c r="G891" s="81" t="s">
        <v>19285</v>
      </c>
      <c r="H891" s="69">
        <v>45570</v>
      </c>
      <c r="I891" s="69">
        <v>45578</v>
      </c>
      <c r="J891" s="68">
        <v>9</v>
      </c>
      <c r="K891" s="68">
        <v>9</v>
      </c>
      <c r="L891" s="68" t="s">
        <v>19262</v>
      </c>
      <c r="M891" s="68" t="s">
        <v>19262</v>
      </c>
      <c r="N891" s="62" t="s">
        <v>19269</v>
      </c>
      <c r="O891" s="68" t="s">
        <v>3693</v>
      </c>
      <c r="P891" s="42" t="str">
        <f>+IF(O891="","",IFERROR(VLOOKUP(O891,CODIGO_DIAGNOSTICO,2,0),"CÓDIGO NO ENCONTRADO"))</f>
        <v>ENFERMEDAD PULMONAR OBSTRUCTIVA CRONICA, NO ESPECIFICADA</v>
      </c>
      <c r="Q891" s="68" t="s">
        <v>26059</v>
      </c>
      <c r="R891" s="67"/>
      <c r="S891" s="77"/>
      <c r="T891" s="76"/>
      <c r="U891" s="65"/>
      <c r="V891" s="68"/>
      <c r="W891" s="70"/>
      <c r="X891" s="68"/>
      <c r="Y891" s="70"/>
      <c r="Z891" s="72"/>
    </row>
    <row r="892" spans="1:26" ht="15.75" hidden="1" customHeight="1" x14ac:dyDescent="0.25">
      <c r="A892" s="64">
        <v>10</v>
      </c>
      <c r="B892" s="62">
        <v>15309929</v>
      </c>
      <c r="C892" s="62" t="s">
        <v>25011</v>
      </c>
      <c r="D892" s="62" t="s">
        <v>25012</v>
      </c>
      <c r="E892" s="62" t="s">
        <v>26342</v>
      </c>
      <c r="F892" s="62" t="s">
        <v>25014</v>
      </c>
      <c r="G892" s="81" t="s">
        <v>19285</v>
      </c>
      <c r="H892" s="63">
        <v>45571</v>
      </c>
      <c r="I892" s="63">
        <v>45585</v>
      </c>
      <c r="J892" s="62">
        <v>15</v>
      </c>
      <c r="K892" s="62">
        <v>15</v>
      </c>
      <c r="L892" s="62" t="s">
        <v>19262</v>
      </c>
      <c r="M892" s="62" t="s">
        <v>19262</v>
      </c>
      <c r="N892" s="62" t="s">
        <v>19269</v>
      </c>
      <c r="O892" s="62" t="s">
        <v>7734</v>
      </c>
      <c r="P892" s="42" t="str">
        <f>+IF(O892="","",IFERROR(VLOOKUP(O892,CODIGO_DIAGNOSTICO,2,0),"CÓDIGO NO ENCONTRADO"))</f>
        <v>DESGARRO DE MENISCOS, PRESENTE</v>
      </c>
      <c r="Q892" s="62" t="s">
        <v>26059</v>
      </c>
      <c r="R892" s="64"/>
      <c r="S892" s="75"/>
      <c r="T892" s="75"/>
      <c r="U892" s="65"/>
      <c r="V892" s="62"/>
      <c r="W892" s="65"/>
      <c r="X892" s="62"/>
      <c r="Y892" s="65"/>
      <c r="Z892" s="73"/>
    </row>
    <row r="893" spans="1:26" ht="15.75" hidden="1" customHeight="1" x14ac:dyDescent="0.25">
      <c r="A893" s="67">
        <v>10</v>
      </c>
      <c r="B893" s="68">
        <v>11936325</v>
      </c>
      <c r="C893" s="68" t="s">
        <v>25105</v>
      </c>
      <c r="D893" s="68" t="s">
        <v>25343</v>
      </c>
      <c r="E893" s="68" t="s">
        <v>25282</v>
      </c>
      <c r="F893" s="68" t="s">
        <v>25185</v>
      </c>
      <c r="G893" s="81" t="s">
        <v>19285</v>
      </c>
      <c r="H893" s="69">
        <v>45572</v>
      </c>
      <c r="I893" s="69">
        <v>45573</v>
      </c>
      <c r="J893" s="68">
        <v>2</v>
      </c>
      <c r="K893" s="68">
        <v>2</v>
      </c>
      <c r="L893" s="68" t="s">
        <v>24995</v>
      </c>
      <c r="M893" s="68" t="s">
        <v>24995</v>
      </c>
      <c r="N893" s="62" t="s">
        <v>19269</v>
      </c>
      <c r="O893" s="68" t="s">
        <v>3697</v>
      </c>
      <c r="P893" s="42" t="str">
        <f>+IF(O893="","",IFERROR(VLOOKUP(O893,CODIGO_DIAGNOSTICO,2,0),"CÓDIGO NO ENCONTRADO"))</f>
        <v>ASMA, NO ESPECIFICADA</v>
      </c>
      <c r="Q893" s="68" t="s">
        <v>26059</v>
      </c>
      <c r="R893" s="67"/>
      <c r="S893" s="77"/>
      <c r="T893" s="76"/>
      <c r="U893" s="65"/>
      <c r="V893" s="68"/>
      <c r="W893" s="70"/>
      <c r="X893" s="68"/>
      <c r="Y893" s="70"/>
      <c r="Z893" s="72"/>
    </row>
    <row r="894" spans="1:26" ht="15.75" hidden="1" customHeight="1" x14ac:dyDescent="0.25">
      <c r="A894" s="64">
        <v>10</v>
      </c>
      <c r="B894" s="62">
        <v>71642375</v>
      </c>
      <c r="C894" s="62" t="s">
        <v>25271</v>
      </c>
      <c r="D894" s="62" t="s">
        <v>25272</v>
      </c>
      <c r="E894" s="62" t="s">
        <v>25283</v>
      </c>
      <c r="F894" s="62" t="s">
        <v>25135</v>
      </c>
      <c r="G894" s="81" t="s">
        <v>19285</v>
      </c>
      <c r="H894" s="63">
        <v>45572</v>
      </c>
      <c r="I894" s="63">
        <v>45573</v>
      </c>
      <c r="J894" s="62">
        <v>2</v>
      </c>
      <c r="K894" s="62">
        <v>2</v>
      </c>
      <c r="L894" s="62" t="s">
        <v>24995</v>
      </c>
      <c r="M894" s="62" t="s">
        <v>24995</v>
      </c>
      <c r="N894" s="62" t="s">
        <v>19269</v>
      </c>
      <c r="O894" s="62" t="s">
        <v>85</v>
      </c>
      <c r="P894" s="42" t="str">
        <f>+IF(O894="","",IFERROR(VLOOKUP(O894,CODIGO_DIAGNOSTICO,2,0),"CÓDIGO NO ENCONTRADO"))</f>
        <v>OTRAS ENTERITIS VIRALES</v>
      </c>
      <c r="Q894" s="62" t="s">
        <v>26343</v>
      </c>
      <c r="R894" s="64"/>
      <c r="S894" s="75"/>
      <c r="T894" s="75"/>
      <c r="U894" s="65"/>
      <c r="V894" s="62"/>
      <c r="W894" s="65"/>
      <c r="X894" s="62"/>
      <c r="Y894" s="65"/>
      <c r="Z894" s="73"/>
    </row>
    <row r="895" spans="1:26" ht="15.75" hidden="1" customHeight="1" x14ac:dyDescent="0.25">
      <c r="A895" s="67">
        <v>10</v>
      </c>
      <c r="B895" s="68">
        <v>3367406</v>
      </c>
      <c r="C895" s="68" t="s">
        <v>25461</v>
      </c>
      <c r="D895" s="68" t="s">
        <v>25126</v>
      </c>
      <c r="E895" s="68" t="s">
        <v>25807</v>
      </c>
      <c r="F895" s="68" t="s">
        <v>25103</v>
      </c>
      <c r="G895" s="81" t="s">
        <v>19285</v>
      </c>
      <c r="H895" s="69">
        <v>45572</v>
      </c>
      <c r="I895" s="69">
        <v>45572</v>
      </c>
      <c r="J895" s="68">
        <v>1</v>
      </c>
      <c r="K895" s="68">
        <v>1</v>
      </c>
      <c r="L895" s="68" t="s">
        <v>24995</v>
      </c>
      <c r="M895" s="68" t="s">
        <v>24995</v>
      </c>
      <c r="N895" s="62" t="s">
        <v>19269</v>
      </c>
      <c r="O895" s="68" t="s">
        <v>7015</v>
      </c>
      <c r="P895" s="42" t="str">
        <f>+IF(O895="","",IFERROR(VLOOKUP(O895,CODIGO_DIAGNOSTICO,2,0),"CÓDIGO NO ENCONTRADO"))</f>
        <v>MAREO Y DESVANECIMIENTO</v>
      </c>
      <c r="Q895" s="68" t="s">
        <v>26059</v>
      </c>
      <c r="R895" s="67"/>
      <c r="S895" s="77"/>
      <c r="T895" s="76"/>
      <c r="U895" s="65"/>
      <c r="V895" s="68"/>
      <c r="W895" s="70"/>
      <c r="X895" s="68"/>
      <c r="Y895" s="70"/>
      <c r="Z895" s="72"/>
    </row>
    <row r="896" spans="1:26" ht="15.75" hidden="1" customHeight="1" x14ac:dyDescent="0.25">
      <c r="A896" s="64">
        <v>10</v>
      </c>
      <c r="B896" s="62">
        <v>11936325</v>
      </c>
      <c r="C896" s="62" t="s">
        <v>25105</v>
      </c>
      <c r="D896" s="62" t="s">
        <v>25343</v>
      </c>
      <c r="E896" s="62" t="s">
        <v>25282</v>
      </c>
      <c r="F896" s="62" t="s">
        <v>25185</v>
      </c>
      <c r="G896" s="81" t="s">
        <v>19285</v>
      </c>
      <c r="H896" s="63">
        <v>45572</v>
      </c>
      <c r="I896" s="63">
        <v>45573</v>
      </c>
      <c r="J896" s="62">
        <v>2</v>
      </c>
      <c r="K896" s="62">
        <v>2</v>
      </c>
      <c r="L896" s="62" t="s">
        <v>24995</v>
      </c>
      <c r="M896" s="62" t="s">
        <v>24995</v>
      </c>
      <c r="N896" s="62" t="s">
        <v>19269</v>
      </c>
      <c r="O896" s="62" t="s">
        <v>3697</v>
      </c>
      <c r="P896" s="42" t="str">
        <f>+IF(O896="","",IFERROR(VLOOKUP(O896,CODIGO_DIAGNOSTICO,2,0),"CÓDIGO NO ENCONTRADO"))</f>
        <v>ASMA, NO ESPECIFICADA</v>
      </c>
      <c r="Q896" s="62" t="s">
        <v>26059</v>
      </c>
      <c r="R896" s="64"/>
      <c r="S896" s="75"/>
      <c r="T896" s="75"/>
      <c r="U896" s="65"/>
      <c r="V896" s="62"/>
      <c r="W896" s="65"/>
      <c r="X896" s="62"/>
      <c r="Y896" s="65"/>
      <c r="Z896" s="73"/>
    </row>
    <row r="897" spans="1:26" ht="15.75" hidden="1" customHeight="1" x14ac:dyDescent="0.25">
      <c r="A897" s="67">
        <v>10</v>
      </c>
      <c r="B897" s="68">
        <v>98496895</v>
      </c>
      <c r="C897" s="68" t="s">
        <v>25756</v>
      </c>
      <c r="D897" s="68" t="s">
        <v>25372</v>
      </c>
      <c r="E897" s="68" t="s">
        <v>25056</v>
      </c>
      <c r="F897" s="68" t="s">
        <v>25064</v>
      </c>
      <c r="G897" s="81" t="s">
        <v>19285</v>
      </c>
      <c r="H897" s="69">
        <v>45574</v>
      </c>
      <c r="I897" s="69">
        <v>45582</v>
      </c>
      <c r="J897" s="68">
        <v>9</v>
      </c>
      <c r="K897" s="68">
        <v>9</v>
      </c>
      <c r="L897" s="68" t="s">
        <v>24995</v>
      </c>
      <c r="M897" s="68" t="s">
        <v>24995</v>
      </c>
      <c r="N897" s="62" t="s">
        <v>19269</v>
      </c>
      <c r="O897" s="68" t="s">
        <v>5300</v>
      </c>
      <c r="P897" s="42" t="str">
        <f>+IF(O897="","",IFERROR(VLOOKUP(O897,CODIGO_DIAGNOSTICO,2,0),"CÓDIGO NO ENCONTRADO"))</f>
        <v>OTRAS HIDROCELES</v>
      </c>
      <c r="Q897" s="68" t="s">
        <v>26152</v>
      </c>
      <c r="R897" s="67"/>
      <c r="S897" s="77"/>
      <c r="T897" s="76"/>
      <c r="U897" s="65"/>
      <c r="V897" s="68"/>
      <c r="W897" s="70"/>
      <c r="X897" s="68"/>
      <c r="Y897" s="70"/>
      <c r="Z897" s="72"/>
    </row>
    <row r="898" spans="1:26" ht="15.75" hidden="1" customHeight="1" x14ac:dyDescent="0.25">
      <c r="A898" s="64">
        <v>10</v>
      </c>
      <c r="B898" s="62">
        <v>93396256</v>
      </c>
      <c r="C898" s="62" t="s">
        <v>25505</v>
      </c>
      <c r="D898" s="62" t="s">
        <v>25480</v>
      </c>
      <c r="E898" s="62" t="s">
        <v>26348</v>
      </c>
      <c r="F898" s="62" t="s">
        <v>25135</v>
      </c>
      <c r="G898" s="81" t="s">
        <v>19285</v>
      </c>
      <c r="H898" s="63">
        <v>45576</v>
      </c>
      <c r="I898" s="63">
        <v>45579</v>
      </c>
      <c r="J898" s="62">
        <v>4</v>
      </c>
      <c r="K898" s="62">
        <v>4</v>
      </c>
      <c r="L898" s="62" t="s">
        <v>24995</v>
      </c>
      <c r="M898" s="62" t="s">
        <v>24995</v>
      </c>
      <c r="N898" s="62" t="s">
        <v>19269</v>
      </c>
      <c r="O898" s="62" t="s">
        <v>4924</v>
      </c>
      <c r="P898" s="42" t="str">
        <f>+IF(O898="","",IFERROR(VLOOKUP(O898,CODIGO_DIAGNOSTICO,2,0),"CÓDIGO NO ENCONTRADO"))</f>
        <v>BURSITIS DEL HOMBRO</v>
      </c>
      <c r="Q898" s="62" t="s">
        <v>24996</v>
      </c>
      <c r="R898" s="64"/>
      <c r="S898" s="75"/>
      <c r="T898" s="75"/>
      <c r="U898" s="65"/>
      <c r="V898" s="62"/>
      <c r="W898" s="65"/>
      <c r="X898" s="62"/>
      <c r="Y898" s="65"/>
      <c r="Z898" s="73"/>
    </row>
    <row r="899" spans="1:26" ht="15.75" hidden="1" customHeight="1" x14ac:dyDescent="0.25">
      <c r="A899" s="67">
        <v>10</v>
      </c>
      <c r="B899" s="68">
        <v>71612312</v>
      </c>
      <c r="C899" s="68" t="s">
        <v>25812</v>
      </c>
      <c r="D899" s="68" t="s">
        <v>25813</v>
      </c>
      <c r="E899" s="68" t="s">
        <v>25359</v>
      </c>
      <c r="F899" s="68" t="s">
        <v>25548</v>
      </c>
      <c r="G899" s="81" t="s">
        <v>19285</v>
      </c>
      <c r="H899" s="69">
        <v>45577</v>
      </c>
      <c r="I899" s="69">
        <v>45606</v>
      </c>
      <c r="J899" s="68">
        <v>30</v>
      </c>
      <c r="K899" s="68">
        <v>30</v>
      </c>
      <c r="L899" s="68" t="s">
        <v>19262</v>
      </c>
      <c r="M899" s="68" t="s">
        <v>19262</v>
      </c>
      <c r="N899" s="62" t="s">
        <v>19269</v>
      </c>
      <c r="O899" s="68" t="s">
        <v>8470</v>
      </c>
      <c r="P899" s="42" t="str">
        <f>+IF(O899="","",IFERROR(VLOOKUP(O899,CODIGO_DIAGNOSTICO,2,0),"CÓDIGO NO ENCONTRADO"))</f>
        <v>SECUELAS DE TRAUMATISMO DE LA MEDULA ESPINAL</v>
      </c>
      <c r="Q899" s="68" t="s">
        <v>26059</v>
      </c>
      <c r="R899" s="67"/>
      <c r="S899" s="77"/>
      <c r="T899" s="76"/>
      <c r="U899" s="65"/>
      <c r="V899" s="68"/>
      <c r="W899" s="70"/>
      <c r="X899" s="68"/>
      <c r="Y899" s="70"/>
      <c r="Z899" s="72"/>
    </row>
    <row r="900" spans="1:26" ht="15.75" hidden="1" customHeight="1" x14ac:dyDescent="0.25">
      <c r="A900" s="64">
        <v>10</v>
      </c>
      <c r="B900" s="62">
        <v>71651935</v>
      </c>
      <c r="C900" s="62" t="s">
        <v>25635</v>
      </c>
      <c r="D900" s="62" t="s">
        <v>25480</v>
      </c>
      <c r="E900" s="62" t="s">
        <v>25282</v>
      </c>
      <c r="F900" s="62" t="s">
        <v>25028</v>
      </c>
      <c r="G900" s="81" t="s">
        <v>19285</v>
      </c>
      <c r="H900" s="63">
        <v>45577</v>
      </c>
      <c r="I900" s="63">
        <v>45597</v>
      </c>
      <c r="J900" s="62">
        <v>20</v>
      </c>
      <c r="K900" s="62">
        <v>20</v>
      </c>
      <c r="L900" s="62" t="s">
        <v>24995</v>
      </c>
      <c r="M900" s="62" t="s">
        <v>19262</v>
      </c>
      <c r="N900" s="62" t="s">
        <v>19269</v>
      </c>
      <c r="O900" s="62" t="s">
        <v>903</v>
      </c>
      <c r="P900" s="42" t="str">
        <f>+IF(O900="","",IFERROR(VLOOKUP(O900,CODIGO_DIAGNOSTICO,2,0),"CÓDIGO NO ENCONTRADO"))</f>
        <v>TUMOR MALIGNO DEL COLON, PARTE NO ESPECIFICADA</v>
      </c>
      <c r="Q900" s="62"/>
      <c r="R900" s="64"/>
      <c r="S900" s="75"/>
      <c r="T900" s="75"/>
      <c r="U900" s="65"/>
      <c r="V900" s="62"/>
      <c r="W900" s="65"/>
      <c r="X900" s="62"/>
      <c r="Y900" s="65"/>
      <c r="Z900" s="73"/>
    </row>
    <row r="901" spans="1:26" ht="15.75" hidden="1" customHeight="1" x14ac:dyDescent="0.25">
      <c r="A901" s="67">
        <v>10</v>
      </c>
      <c r="B901" s="68">
        <v>1000406256</v>
      </c>
      <c r="C901" s="68" t="s">
        <v>25513</v>
      </c>
      <c r="D901" s="68" t="s">
        <v>26081</v>
      </c>
      <c r="E901" s="68" t="s">
        <v>25282</v>
      </c>
      <c r="F901" s="68" t="s">
        <v>25286</v>
      </c>
      <c r="G901" s="81" t="s">
        <v>19285</v>
      </c>
      <c r="H901" s="69">
        <v>45578</v>
      </c>
      <c r="I901" s="69">
        <v>45579</v>
      </c>
      <c r="J901" s="68">
        <v>2</v>
      </c>
      <c r="K901" s="68">
        <v>2</v>
      </c>
      <c r="L901" s="68" t="s">
        <v>24995</v>
      </c>
      <c r="M901" s="68" t="s">
        <v>24995</v>
      </c>
      <c r="N901" s="62" t="s">
        <v>19269</v>
      </c>
      <c r="O901" s="68" t="s">
        <v>15281</v>
      </c>
      <c r="P901" s="42" t="str">
        <f>+IF(O901="","",IFERROR(VLOOKUP(O901,CODIGO_DIAGNOSTICO,2,0),"CÓDIGO NO ENCONTRADO"))</f>
        <v>RINOFARINGITIS AGUDA (RESFRIADO COMUN)</v>
      </c>
      <c r="Q901" s="68" t="s">
        <v>19232</v>
      </c>
      <c r="R901" s="67"/>
      <c r="S901" s="77"/>
      <c r="T901" s="76"/>
      <c r="U901" s="65"/>
      <c r="V901" s="68"/>
      <c r="W901" s="70"/>
      <c r="X901" s="68"/>
      <c r="Y901" s="70"/>
      <c r="Z901" s="72"/>
    </row>
    <row r="902" spans="1:26" ht="15.75" hidden="1" customHeight="1" x14ac:dyDescent="0.25">
      <c r="A902" s="64">
        <v>10</v>
      </c>
      <c r="B902" s="62">
        <v>71382103</v>
      </c>
      <c r="C902" s="62" t="s">
        <v>25776</v>
      </c>
      <c r="D902" s="62" t="s">
        <v>25968</v>
      </c>
      <c r="E902" s="62" t="s">
        <v>25198</v>
      </c>
      <c r="F902" s="62" t="s">
        <v>25276</v>
      </c>
      <c r="G902" s="81" t="s">
        <v>19285</v>
      </c>
      <c r="H902" s="63">
        <v>45578</v>
      </c>
      <c r="I902" s="63">
        <v>45607</v>
      </c>
      <c r="J902" s="62">
        <v>30</v>
      </c>
      <c r="K902" s="62">
        <v>30</v>
      </c>
      <c r="L902" s="62" t="s">
        <v>19262</v>
      </c>
      <c r="M902" s="62" t="s">
        <v>19262</v>
      </c>
      <c r="N902" s="62" t="s">
        <v>19269</v>
      </c>
      <c r="O902" s="62" t="s">
        <v>4671</v>
      </c>
      <c r="P902" s="42" t="str">
        <f>+IF(O902="","",IFERROR(VLOOKUP(O902,CODIGO_DIAGNOSTICO,2,0),"CÓDIGO NO ENCONTRADO"))</f>
        <v>DEFORMIDAD EN VARO, NO CLASIFICADA EN OTRA</v>
      </c>
      <c r="Q902" s="62" t="s">
        <v>26059</v>
      </c>
      <c r="R902" s="64"/>
      <c r="S902" s="75"/>
      <c r="T902" s="75"/>
      <c r="U902" s="65"/>
      <c r="V902" s="62"/>
      <c r="W902" s="65"/>
      <c r="X902" s="62"/>
      <c r="Y902" s="65"/>
      <c r="Z902" s="73"/>
    </row>
    <row r="903" spans="1:26" ht="15.75" hidden="1" customHeight="1" x14ac:dyDescent="0.25">
      <c r="A903" s="67">
        <v>10</v>
      </c>
      <c r="B903" s="68">
        <v>71946868</v>
      </c>
      <c r="C903" s="68" t="s">
        <v>25443</v>
      </c>
      <c r="D903" s="68" t="s">
        <v>25015</v>
      </c>
      <c r="E903" s="68" t="s">
        <v>25130</v>
      </c>
      <c r="F903" s="68" t="s">
        <v>25592</v>
      </c>
      <c r="G903" s="81" t="s">
        <v>19285</v>
      </c>
      <c r="H903" s="69">
        <v>45579</v>
      </c>
      <c r="I903" s="69">
        <v>45583</v>
      </c>
      <c r="J903" s="68">
        <v>5</v>
      </c>
      <c r="K903" s="68">
        <v>5</v>
      </c>
      <c r="L903" s="68" t="s">
        <v>24995</v>
      </c>
      <c r="M903" s="68" t="s">
        <v>24995</v>
      </c>
      <c r="N903" s="62" t="s">
        <v>19263</v>
      </c>
      <c r="O903" s="68" t="s">
        <v>4838</v>
      </c>
      <c r="P903" s="42" t="str">
        <f>+IF(O903="","",IFERROR(VLOOKUP(O903,CODIGO_DIAGNOSTICO,2,0),"CÓDIGO NO ENCONTRADO"))</f>
        <v>LUMBAGO NO ESPECIFICADO</v>
      </c>
      <c r="Q903" s="68" t="s">
        <v>25001</v>
      </c>
      <c r="R903" s="67"/>
      <c r="S903" s="77"/>
      <c r="T903" s="76"/>
      <c r="U903" s="65"/>
      <c r="V903" s="68"/>
      <c r="W903" s="70"/>
      <c r="X903" s="68"/>
      <c r="Y903" s="70"/>
      <c r="Z903" s="72"/>
    </row>
    <row r="904" spans="1:26" ht="15.75" hidden="1" customHeight="1" x14ac:dyDescent="0.25">
      <c r="A904" s="64">
        <v>10</v>
      </c>
      <c r="B904" s="62">
        <v>70323164</v>
      </c>
      <c r="C904" s="62" t="s">
        <v>25145</v>
      </c>
      <c r="D904" s="62" t="s">
        <v>24985</v>
      </c>
      <c r="E904" s="62" t="s">
        <v>25091</v>
      </c>
      <c r="F904" s="62" t="s">
        <v>26208</v>
      </c>
      <c r="G904" s="81" t="s">
        <v>19285</v>
      </c>
      <c r="H904" s="63">
        <v>45579</v>
      </c>
      <c r="I904" s="63">
        <v>45587</v>
      </c>
      <c r="J904" s="62">
        <v>9</v>
      </c>
      <c r="K904" s="62">
        <v>9</v>
      </c>
      <c r="L904" s="62" t="s">
        <v>19262</v>
      </c>
      <c r="M904" s="62" t="s">
        <v>19262</v>
      </c>
      <c r="N904" s="62" t="s">
        <v>19269</v>
      </c>
      <c r="O904" s="62" t="s">
        <v>3693</v>
      </c>
      <c r="P904" s="42" t="str">
        <f>+IF(O904="","",IFERROR(VLOOKUP(O904,CODIGO_DIAGNOSTICO,2,0),"CÓDIGO NO ENCONTRADO"))</f>
        <v>ENFERMEDAD PULMONAR OBSTRUCTIVA CRONICA, NO ESPECIFICADA</v>
      </c>
      <c r="Q904" s="62" t="s">
        <v>26059</v>
      </c>
      <c r="R904" s="64"/>
      <c r="S904" s="75"/>
      <c r="T904" s="75"/>
      <c r="U904" s="65"/>
      <c r="V904" s="62"/>
      <c r="W904" s="65"/>
      <c r="X904" s="62"/>
      <c r="Y904" s="65"/>
      <c r="Z904" s="73"/>
    </row>
    <row r="905" spans="1:26" ht="15.75" hidden="1" customHeight="1" x14ac:dyDescent="0.25">
      <c r="A905" s="67">
        <v>10</v>
      </c>
      <c r="B905" s="68">
        <v>98601485</v>
      </c>
      <c r="C905" s="68" t="s">
        <v>25240</v>
      </c>
      <c r="D905" s="68"/>
      <c r="E905" s="68" t="s">
        <v>25613</v>
      </c>
      <c r="F905" s="68" t="s">
        <v>25103</v>
      </c>
      <c r="G905" s="81" t="s">
        <v>25328</v>
      </c>
      <c r="H905" s="69">
        <v>45580</v>
      </c>
      <c r="I905" s="69">
        <v>45594</v>
      </c>
      <c r="J905" s="68">
        <v>15</v>
      </c>
      <c r="K905" s="68">
        <v>15</v>
      </c>
      <c r="L905" s="68" t="s">
        <v>19262</v>
      </c>
      <c r="M905" s="68" t="s">
        <v>19262</v>
      </c>
      <c r="N905" s="62" t="s">
        <v>19269</v>
      </c>
      <c r="O905" s="68" t="s">
        <v>8419</v>
      </c>
      <c r="P905" s="42" t="str">
        <f>+IF(O905="","",IFERROR(VLOOKUP(O905,CODIGO_DIAGNOSTICO,2,0),"CÓDIGO NO ENCONTRADO"))</f>
        <v>COMPLICACION MECANICA DE OTROS DISPOSITIVOS PROTESICOS, IMPLANTES E INJERTOS ORTOPEDICOS INTERNOS</v>
      </c>
      <c r="Q905" s="68" t="s">
        <v>26059</v>
      </c>
      <c r="R905" s="67"/>
      <c r="S905" s="77"/>
      <c r="T905" s="76"/>
      <c r="U905" s="65"/>
      <c r="V905" s="68"/>
      <c r="W905" s="70"/>
      <c r="X905" s="68"/>
      <c r="Y905" s="70"/>
      <c r="Z905" s="72"/>
    </row>
    <row r="906" spans="1:26" ht="15.75" hidden="1" customHeight="1" x14ac:dyDescent="0.25">
      <c r="A906" s="64">
        <v>10</v>
      </c>
      <c r="B906" s="62">
        <v>1128467712</v>
      </c>
      <c r="C906" s="62" t="s">
        <v>25456</v>
      </c>
      <c r="D906" s="62" t="s">
        <v>19258</v>
      </c>
      <c r="E906" s="62" t="s">
        <v>25879</v>
      </c>
      <c r="F906" s="62" t="s">
        <v>25880</v>
      </c>
      <c r="G906" s="81" t="s">
        <v>19285</v>
      </c>
      <c r="H906" s="63">
        <v>45581</v>
      </c>
      <c r="I906" s="63">
        <v>45582</v>
      </c>
      <c r="J906" s="62">
        <v>2</v>
      </c>
      <c r="K906" s="62">
        <v>2</v>
      </c>
      <c r="L906" s="62" t="s">
        <v>24995</v>
      </c>
      <c r="M906" s="62" t="s">
        <v>24995</v>
      </c>
      <c r="N906" s="62" t="s">
        <v>19269</v>
      </c>
      <c r="O906" s="62" t="s">
        <v>4838</v>
      </c>
      <c r="P906" s="42" t="str">
        <f>+IF(O906="","",IFERROR(VLOOKUP(O906,CODIGO_DIAGNOSTICO,2,0),"CÓDIGO NO ENCONTRADO"))</f>
        <v>LUMBAGO NO ESPECIFICADO</v>
      </c>
      <c r="Q906" s="62" t="s">
        <v>26059</v>
      </c>
      <c r="R906" s="64"/>
      <c r="S906" s="75"/>
      <c r="T906" s="75"/>
      <c r="U906" s="65"/>
      <c r="V906" s="62"/>
      <c r="W906" s="65"/>
      <c r="X906" s="62"/>
      <c r="Y906" s="65"/>
      <c r="Z906" s="73"/>
    </row>
    <row r="907" spans="1:26" ht="15.75" hidden="1" customHeight="1" x14ac:dyDescent="0.25">
      <c r="A907" s="67">
        <v>10</v>
      </c>
      <c r="B907" s="68">
        <v>15526159</v>
      </c>
      <c r="C907" s="68" t="s">
        <v>25865</v>
      </c>
      <c r="D907" s="68" t="s">
        <v>25284</v>
      </c>
      <c r="E907" s="68" t="s">
        <v>25141</v>
      </c>
      <c r="F907" s="68" t="s">
        <v>25103</v>
      </c>
      <c r="G907" s="81" t="s">
        <v>19285</v>
      </c>
      <c r="H907" s="69">
        <v>45582</v>
      </c>
      <c r="I907" s="69">
        <v>45584</v>
      </c>
      <c r="J907" s="68">
        <v>3</v>
      </c>
      <c r="K907" s="68">
        <v>3</v>
      </c>
      <c r="L907" s="68" t="s">
        <v>19262</v>
      </c>
      <c r="M907" s="68" t="s">
        <v>19262</v>
      </c>
      <c r="N907" s="62" t="s">
        <v>19269</v>
      </c>
      <c r="O907" s="68" t="s">
        <v>3014</v>
      </c>
      <c r="P907" s="42" t="str">
        <f>+IF(O907="","",IFERROR(VLOOKUP(O907,CODIGO_DIAGNOSTICO,2,0),"CÓDIGO NO ENCONTRADO"))</f>
        <v>ESTRABISMO CONCOMITANTE CONVERGENTE</v>
      </c>
      <c r="Q907" s="68" t="s">
        <v>26059</v>
      </c>
      <c r="R907" s="67"/>
      <c r="S907" s="77"/>
      <c r="T907" s="76"/>
      <c r="U907" s="65"/>
      <c r="V907" s="68"/>
      <c r="W907" s="70"/>
      <c r="X907" s="68"/>
      <c r="Y907" s="70"/>
      <c r="Z907" s="72"/>
    </row>
    <row r="908" spans="1:26" ht="15.75" hidden="1" customHeight="1" x14ac:dyDescent="0.25">
      <c r="A908" s="64">
        <v>10</v>
      </c>
      <c r="B908" s="62">
        <v>1214737996</v>
      </c>
      <c r="C908" s="62" t="s">
        <v>25547</v>
      </c>
      <c r="D908" s="62" t="s">
        <v>25969</v>
      </c>
      <c r="E908" s="62" t="s">
        <v>25970</v>
      </c>
      <c r="F908" s="62" t="s">
        <v>25755</v>
      </c>
      <c r="G908" s="81" t="s">
        <v>19285</v>
      </c>
      <c r="H908" s="63">
        <v>45582</v>
      </c>
      <c r="I908" s="63">
        <v>45611</v>
      </c>
      <c r="J908" s="62">
        <v>30</v>
      </c>
      <c r="K908" s="62">
        <v>15</v>
      </c>
      <c r="L908" s="62" t="s">
        <v>24995</v>
      </c>
      <c r="M908" s="62" t="s">
        <v>19262</v>
      </c>
      <c r="N908" s="62" t="s">
        <v>19269</v>
      </c>
      <c r="O908" s="62" t="s">
        <v>7723</v>
      </c>
      <c r="P908" s="42" t="str">
        <f>+IF(O908="","",IFERROR(VLOOKUP(O908,CODIGO_DIAGNOSTICO,2,0),"CÓDIGO NO ENCONTRADO"))</f>
        <v>FRACTURA DE LA EPIFISIS SUPERIOR DE LA TIBIA</v>
      </c>
      <c r="Q908" s="62" t="s">
        <v>25025</v>
      </c>
      <c r="R908" s="64"/>
      <c r="S908" s="75"/>
      <c r="T908" s="75"/>
      <c r="U908" s="65"/>
      <c r="V908" s="62"/>
      <c r="W908" s="65"/>
      <c r="X908" s="62"/>
      <c r="Y908" s="65"/>
      <c r="Z908" s="73"/>
    </row>
    <row r="909" spans="1:26" ht="15.75" hidden="1" customHeight="1" x14ac:dyDescent="0.25">
      <c r="A909" s="67">
        <v>10</v>
      </c>
      <c r="B909" s="68">
        <v>1000397898</v>
      </c>
      <c r="C909" s="68" t="s">
        <v>25420</v>
      </c>
      <c r="D909" s="68" t="s">
        <v>26351</v>
      </c>
      <c r="E909" s="68" t="s">
        <v>26352</v>
      </c>
      <c r="F909" s="68" t="s">
        <v>25566</v>
      </c>
      <c r="G909" s="81" t="s">
        <v>19285</v>
      </c>
      <c r="H909" s="69">
        <v>45582</v>
      </c>
      <c r="I909" s="69">
        <v>45583</v>
      </c>
      <c r="J909" s="68">
        <v>2</v>
      </c>
      <c r="K909" s="68">
        <v>2</v>
      </c>
      <c r="L909" s="68" t="s">
        <v>24995</v>
      </c>
      <c r="M909" s="68" t="s">
        <v>24995</v>
      </c>
      <c r="N909" s="62" t="s">
        <v>19269</v>
      </c>
      <c r="O909" s="68" t="s">
        <v>15281</v>
      </c>
      <c r="P909" s="42" t="str">
        <f>+IF(O909="","",IFERROR(VLOOKUP(O909,CODIGO_DIAGNOSTICO,2,0),"CÓDIGO NO ENCONTRADO"))</f>
        <v>RINOFARINGITIS AGUDA (RESFRIADO COMUN)</v>
      </c>
      <c r="Q909" s="68" t="s">
        <v>26060</v>
      </c>
      <c r="R909" s="67"/>
      <c r="S909" s="77"/>
      <c r="T909" s="76"/>
      <c r="U909" s="65"/>
      <c r="V909" s="68"/>
      <c r="W909" s="70"/>
      <c r="X909" s="68"/>
      <c r="Y909" s="70"/>
      <c r="Z909" s="72"/>
    </row>
    <row r="910" spans="1:26" ht="15.75" hidden="1" customHeight="1" x14ac:dyDescent="0.25">
      <c r="A910" s="64">
        <v>10</v>
      </c>
      <c r="B910" s="62">
        <v>15526159</v>
      </c>
      <c r="C910" s="62" t="s">
        <v>25865</v>
      </c>
      <c r="D910" s="62" t="s">
        <v>25284</v>
      </c>
      <c r="E910" s="62" t="s">
        <v>25141</v>
      </c>
      <c r="F910" s="62" t="s">
        <v>25103</v>
      </c>
      <c r="G910" s="81" t="s">
        <v>19285</v>
      </c>
      <c r="H910" s="63">
        <v>45585</v>
      </c>
      <c r="I910" s="63">
        <v>45587</v>
      </c>
      <c r="J910" s="62">
        <v>3</v>
      </c>
      <c r="K910" s="62">
        <v>3</v>
      </c>
      <c r="L910" s="62" t="s">
        <v>19262</v>
      </c>
      <c r="M910" s="62" t="s">
        <v>19262</v>
      </c>
      <c r="N910" s="62" t="s">
        <v>19269</v>
      </c>
      <c r="O910" s="62" t="s">
        <v>3038</v>
      </c>
      <c r="P910" s="42" t="str">
        <f>+IF(O910="","",IFERROR(VLOOKUP(O910,CODIGO_DIAGNOSTICO,2,0),"CÓDIGO NO ENCONTRADO"))</f>
        <v>DIPLOPIA</v>
      </c>
      <c r="Q910" s="62" t="s">
        <v>26059</v>
      </c>
      <c r="R910" s="64"/>
      <c r="S910" s="75"/>
      <c r="T910" s="75"/>
      <c r="U910" s="65"/>
      <c r="V910" s="62"/>
      <c r="W910" s="65"/>
      <c r="X910" s="62"/>
      <c r="Y910" s="65"/>
      <c r="Z910" s="73"/>
    </row>
    <row r="911" spans="1:26" ht="15.75" hidden="1" customHeight="1" x14ac:dyDescent="0.25">
      <c r="A911" s="67">
        <v>10</v>
      </c>
      <c r="B911" s="68">
        <v>1040356597</v>
      </c>
      <c r="C911" s="68" t="s">
        <v>25989</v>
      </c>
      <c r="D911" s="68" t="s">
        <v>25609</v>
      </c>
      <c r="E911" s="68" t="s">
        <v>25241</v>
      </c>
      <c r="F911" s="68" t="s">
        <v>25064</v>
      </c>
      <c r="G911" s="81" t="s">
        <v>19285</v>
      </c>
      <c r="H911" s="69">
        <v>45586</v>
      </c>
      <c r="I911" s="69">
        <v>45587</v>
      </c>
      <c r="J911" s="68">
        <v>1</v>
      </c>
      <c r="K911" s="68">
        <v>1</v>
      </c>
      <c r="L911" s="68" t="s">
        <v>24995</v>
      </c>
      <c r="M911" s="68" t="s">
        <v>24995</v>
      </c>
      <c r="N911" s="62" t="s">
        <v>19269</v>
      </c>
      <c r="O911" s="68" t="s">
        <v>86</v>
      </c>
      <c r="P911" s="42" t="str">
        <f>+IF(O911="","",IFERROR(VLOOKUP(O911,CODIGO_DIAGNOSTICO,2,0),"CÓDIGO NO ENCONTRADO"))</f>
        <v>INFECCION INTESTINAL VIRAL, SIN OTRA ESPECIFICACION</v>
      </c>
      <c r="Q911" s="68" t="s">
        <v>26059</v>
      </c>
      <c r="R911" s="67"/>
      <c r="S911" s="77"/>
      <c r="T911" s="76"/>
      <c r="U911" s="65"/>
      <c r="V911" s="68"/>
      <c r="W911" s="70"/>
      <c r="X911" s="68"/>
      <c r="Y911" s="70"/>
      <c r="Z911" s="72"/>
    </row>
    <row r="912" spans="1:26" ht="15.75" hidden="1" customHeight="1" x14ac:dyDescent="0.25">
      <c r="A912" s="64">
        <v>10</v>
      </c>
      <c r="B912" s="62">
        <v>12625299</v>
      </c>
      <c r="C912" s="62" t="s">
        <v>26170</v>
      </c>
      <c r="D912" s="62" t="s">
        <v>25322</v>
      </c>
      <c r="E912" s="62" t="s">
        <v>25323</v>
      </c>
      <c r="F912" s="62" t="s">
        <v>25064</v>
      </c>
      <c r="G912" s="81" t="s">
        <v>19285</v>
      </c>
      <c r="H912" s="63">
        <v>45587</v>
      </c>
      <c r="I912" s="63">
        <v>45616</v>
      </c>
      <c r="J912" s="62">
        <v>30</v>
      </c>
      <c r="K912" s="62">
        <v>30</v>
      </c>
      <c r="L912" s="62" t="s">
        <v>19262</v>
      </c>
      <c r="M912" s="62" t="s">
        <v>19262</v>
      </c>
      <c r="N912" s="62" t="s">
        <v>19269</v>
      </c>
      <c r="O912" s="62" t="s">
        <v>3284</v>
      </c>
      <c r="P912" s="42" t="str">
        <f>+IF(O912="","",IFERROR(VLOOKUP(O912,CODIGO_DIAGNOSTICO,2,0),"CÓDIGO NO ENCONTRADO"))</f>
        <v>ENDOCARDITIS INFECCIOSA AGUDA Y SUBAGUDA</v>
      </c>
      <c r="Q912" s="62" t="s">
        <v>26059</v>
      </c>
      <c r="R912" s="64"/>
      <c r="S912" s="75"/>
      <c r="T912" s="75"/>
      <c r="U912" s="65"/>
      <c r="V912" s="62"/>
      <c r="W912" s="65"/>
      <c r="X912" s="62"/>
      <c r="Y912" s="65"/>
      <c r="Z912" s="73"/>
    </row>
    <row r="913" spans="1:26" ht="15.75" hidden="1" customHeight="1" x14ac:dyDescent="0.25">
      <c r="A913" s="67">
        <v>10</v>
      </c>
      <c r="B913" s="68">
        <v>15526159</v>
      </c>
      <c r="C913" s="68" t="s">
        <v>25865</v>
      </c>
      <c r="D913" s="68" t="s">
        <v>25284</v>
      </c>
      <c r="E913" s="68" t="s">
        <v>25141</v>
      </c>
      <c r="F913" s="68" t="s">
        <v>25103</v>
      </c>
      <c r="G913" s="81" t="s">
        <v>19285</v>
      </c>
      <c r="H913" s="69">
        <v>45588</v>
      </c>
      <c r="I913" s="69">
        <v>45590</v>
      </c>
      <c r="J913" s="68">
        <v>3</v>
      </c>
      <c r="K913" s="68">
        <v>3</v>
      </c>
      <c r="L913" s="68" t="s">
        <v>19262</v>
      </c>
      <c r="M913" s="68" t="s">
        <v>19262</v>
      </c>
      <c r="N913" s="62" t="s">
        <v>19269</v>
      </c>
      <c r="O913" s="68" t="s">
        <v>3038</v>
      </c>
      <c r="P913" s="42" t="str">
        <f>+IF(O913="","",IFERROR(VLOOKUP(O913,CODIGO_DIAGNOSTICO,2,0),"CÓDIGO NO ENCONTRADO"))</f>
        <v>DIPLOPIA</v>
      </c>
      <c r="Q913" s="68" t="s">
        <v>26059</v>
      </c>
      <c r="R913" s="67"/>
      <c r="S913" s="77"/>
      <c r="T913" s="76"/>
      <c r="U913" s="65"/>
      <c r="V913" s="68"/>
      <c r="W913" s="70"/>
      <c r="X913" s="68"/>
      <c r="Y913" s="70"/>
      <c r="Z913" s="72"/>
    </row>
    <row r="914" spans="1:26" ht="15.75" hidden="1" customHeight="1" x14ac:dyDescent="0.25">
      <c r="A914" s="64">
        <v>10</v>
      </c>
      <c r="B914" s="62">
        <v>70323164</v>
      </c>
      <c r="C914" s="62" t="s">
        <v>24992</v>
      </c>
      <c r="D914" s="62" t="s">
        <v>24985</v>
      </c>
      <c r="E914" s="62" t="s">
        <v>25188</v>
      </c>
      <c r="F914" s="62" t="s">
        <v>25146</v>
      </c>
      <c r="G914" s="81" t="s">
        <v>19285</v>
      </c>
      <c r="H914" s="63">
        <v>45588</v>
      </c>
      <c r="I914" s="63">
        <v>45590</v>
      </c>
      <c r="J914" s="62">
        <v>3</v>
      </c>
      <c r="K914" s="62">
        <v>3</v>
      </c>
      <c r="L914" s="62" t="s">
        <v>19262</v>
      </c>
      <c r="M914" s="62" t="s">
        <v>19262</v>
      </c>
      <c r="N914" s="62" t="s">
        <v>19269</v>
      </c>
      <c r="O914" s="62" t="s">
        <v>3692</v>
      </c>
      <c r="P914" s="42" t="str">
        <f>+IF(O914="","",IFERROR(VLOOKUP(O914,CODIGO_DIAGNOSTICO,2,0),"CÓDIGO NO ENCONTRADO"))</f>
        <v>OTRAS ENFERMEDADES PULMONARES OBSTRUCTIVAS CRONICAS ESPECIFICADAS</v>
      </c>
      <c r="Q914" s="62" t="s">
        <v>26059</v>
      </c>
      <c r="R914" s="64"/>
      <c r="S914" s="75"/>
      <c r="T914" s="75"/>
      <c r="U914" s="65"/>
      <c r="V914" s="62"/>
      <c r="W914" s="65"/>
      <c r="X914" s="62"/>
      <c r="Y914" s="65"/>
      <c r="Z914" s="73"/>
    </row>
    <row r="915" spans="1:26" ht="15.75" hidden="1" customHeight="1" x14ac:dyDescent="0.25">
      <c r="A915" s="67">
        <v>10</v>
      </c>
      <c r="B915" s="68">
        <v>71651935</v>
      </c>
      <c r="C915" s="68" t="s">
        <v>25635</v>
      </c>
      <c r="D915" s="68" t="s">
        <v>25480</v>
      </c>
      <c r="E915" s="68" t="s">
        <v>25282</v>
      </c>
      <c r="F915" s="68" t="s">
        <v>25028</v>
      </c>
      <c r="G915" s="81" t="s">
        <v>19285</v>
      </c>
      <c r="H915" s="69">
        <v>45590</v>
      </c>
      <c r="I915" s="69">
        <v>45604</v>
      </c>
      <c r="J915" s="68">
        <v>15</v>
      </c>
      <c r="K915" s="68">
        <v>15</v>
      </c>
      <c r="L915" s="68" t="s">
        <v>24995</v>
      </c>
      <c r="M915" s="68" t="s">
        <v>19262</v>
      </c>
      <c r="N915" s="62" t="s">
        <v>19269</v>
      </c>
      <c r="O915" s="68" t="s">
        <v>903</v>
      </c>
      <c r="P915" s="42" t="str">
        <f>+IF(O915="","",IFERROR(VLOOKUP(O915,CODIGO_DIAGNOSTICO,2,0),"CÓDIGO NO ENCONTRADO"))</f>
        <v>TUMOR MALIGNO DEL COLON, PARTE NO ESPECIFICADA</v>
      </c>
      <c r="Q915" s="68"/>
      <c r="R915" s="67"/>
      <c r="S915" s="77"/>
      <c r="T915" s="76"/>
      <c r="U915" s="65"/>
      <c r="V915" s="68"/>
      <c r="W915" s="70"/>
      <c r="X915" s="68"/>
      <c r="Y915" s="70"/>
      <c r="Z915" s="72"/>
    </row>
    <row r="916" spans="1:26" ht="15.75" hidden="1" customHeight="1" x14ac:dyDescent="0.25">
      <c r="A916" s="64">
        <v>10</v>
      </c>
      <c r="B916" s="62">
        <v>70323164</v>
      </c>
      <c r="C916" s="62" t="s">
        <v>24992</v>
      </c>
      <c r="D916" s="62" t="s">
        <v>25062</v>
      </c>
      <c r="E916" s="62" t="s">
        <v>25188</v>
      </c>
      <c r="F916" s="62" t="s">
        <v>25146</v>
      </c>
      <c r="G916" s="81" t="s">
        <v>19285</v>
      </c>
      <c r="H916" s="63">
        <v>45594</v>
      </c>
      <c r="I916" s="63">
        <v>45596</v>
      </c>
      <c r="J916" s="62">
        <v>3</v>
      </c>
      <c r="K916" s="62">
        <v>3</v>
      </c>
      <c r="L916" s="62" t="s">
        <v>19262</v>
      </c>
      <c r="M916" s="62" t="s">
        <v>19262</v>
      </c>
      <c r="N916" s="62" t="s">
        <v>19269</v>
      </c>
      <c r="O916" s="62" t="s">
        <v>3693</v>
      </c>
      <c r="P916" s="42" t="str">
        <f>+IF(O916="","",IFERROR(VLOOKUP(O916,CODIGO_DIAGNOSTICO,2,0),"CÓDIGO NO ENCONTRADO"))</f>
        <v>ENFERMEDAD PULMONAR OBSTRUCTIVA CRONICA, NO ESPECIFICADA</v>
      </c>
      <c r="Q916" s="62" t="s">
        <v>26059</v>
      </c>
      <c r="R916" s="64"/>
      <c r="S916" s="75"/>
      <c r="T916" s="75"/>
      <c r="U916" s="65"/>
      <c r="V916" s="62"/>
      <c r="W916" s="65"/>
      <c r="X916" s="62"/>
      <c r="Y916" s="65"/>
      <c r="Z916" s="73"/>
    </row>
    <row r="917" spans="1:26" ht="15.75" hidden="1" customHeight="1" x14ac:dyDescent="0.25">
      <c r="A917" s="67">
        <v>10</v>
      </c>
      <c r="B917" s="68">
        <v>1040737050</v>
      </c>
      <c r="C917" s="68" t="s">
        <v>25467</v>
      </c>
      <c r="D917" s="68" t="s">
        <v>25468</v>
      </c>
      <c r="E917" s="68" t="s">
        <v>25618</v>
      </c>
      <c r="F917" s="68" t="s">
        <v>25469</v>
      </c>
      <c r="G917" s="81" t="s">
        <v>19285</v>
      </c>
      <c r="H917" s="69">
        <v>45595</v>
      </c>
      <c r="I917" s="69">
        <v>45599</v>
      </c>
      <c r="J917" s="68">
        <v>5</v>
      </c>
      <c r="K917" s="68">
        <v>5</v>
      </c>
      <c r="L917" s="68" t="s">
        <v>24995</v>
      </c>
      <c r="M917" s="68" t="s">
        <v>24995</v>
      </c>
      <c r="N917" s="62" t="s">
        <v>19269</v>
      </c>
      <c r="O917" s="68" t="s">
        <v>4873</v>
      </c>
      <c r="P917" s="42" t="str">
        <f>+IF(O917="","",IFERROR(VLOOKUP(O917,CODIGO_DIAGNOSTICO,2,0),"CÓDIGO NO ENCONTRADO"))</f>
        <v>OTRAS SINOVITIS Y TENOSINOVITIS</v>
      </c>
      <c r="Q917" s="68" t="s">
        <v>24996</v>
      </c>
      <c r="R917" s="67"/>
      <c r="S917" s="77"/>
      <c r="T917" s="76"/>
      <c r="U917" s="65"/>
      <c r="V917" s="68"/>
      <c r="W917" s="70"/>
      <c r="X917" s="68"/>
      <c r="Y917" s="70"/>
      <c r="Z917" s="72"/>
    </row>
    <row r="918" spans="1:26" ht="15.75" hidden="1" customHeight="1" x14ac:dyDescent="0.25">
      <c r="A918" s="64">
        <v>10</v>
      </c>
      <c r="B918" s="62">
        <v>98601485</v>
      </c>
      <c r="C918" s="62" t="s">
        <v>25240</v>
      </c>
      <c r="D918" s="62"/>
      <c r="E918" s="62" t="s">
        <v>25241</v>
      </c>
      <c r="F918" s="62" t="s">
        <v>25103</v>
      </c>
      <c r="G918" s="81" t="s">
        <v>25328</v>
      </c>
      <c r="H918" s="63">
        <v>45595</v>
      </c>
      <c r="I918" s="63">
        <v>45609</v>
      </c>
      <c r="J918" s="62">
        <v>15</v>
      </c>
      <c r="K918" s="62">
        <v>15</v>
      </c>
      <c r="L918" s="62" t="s">
        <v>19262</v>
      </c>
      <c r="M918" s="62" t="s">
        <v>19262</v>
      </c>
      <c r="N918" s="62" t="s">
        <v>19269</v>
      </c>
      <c r="O918" s="62" t="s">
        <v>8415</v>
      </c>
      <c r="P918" s="42" t="str">
        <f>+IF(O918="","",IFERROR(VLOOKUP(O918,CODIGO_DIAGNOSTICO,2,0),"CÓDIGO NO ENCONTRADO"))</f>
        <v>COMPLICACION MECANICA DE PROTESIS ARTICULAR INTERNA</v>
      </c>
      <c r="Q918" s="62" t="s">
        <v>26059</v>
      </c>
      <c r="R918" s="64"/>
      <c r="S918" s="75"/>
      <c r="T918" s="75"/>
      <c r="U918" s="65"/>
      <c r="V918" s="62"/>
      <c r="W918" s="65"/>
      <c r="X918" s="62"/>
      <c r="Y918" s="65"/>
      <c r="Z918" s="73"/>
    </row>
    <row r="919" spans="1:26" ht="15.75" hidden="1" customHeight="1" x14ac:dyDescent="0.25">
      <c r="A919" s="67">
        <v>10</v>
      </c>
      <c r="B919" s="68">
        <v>71250978</v>
      </c>
      <c r="C919" s="68" t="s">
        <v>25968</v>
      </c>
      <c r="D919" s="68"/>
      <c r="E919" s="68" t="s">
        <v>25282</v>
      </c>
      <c r="F919" s="68" t="s">
        <v>25663</v>
      </c>
      <c r="G919" s="81" t="s">
        <v>19285</v>
      </c>
      <c r="H919" s="69">
        <v>45595</v>
      </c>
      <c r="I919" s="69">
        <v>45606</v>
      </c>
      <c r="J919" s="68">
        <v>12</v>
      </c>
      <c r="K919" s="68">
        <v>12</v>
      </c>
      <c r="L919" s="68" t="s">
        <v>24995</v>
      </c>
      <c r="M919" s="68" t="s">
        <v>19262</v>
      </c>
      <c r="N919" s="62" t="s">
        <v>19269</v>
      </c>
      <c r="O919" s="68" t="s">
        <v>3438</v>
      </c>
      <c r="P919" s="42" t="str">
        <f>+IF(O919="","",IFERROR(VLOOKUP(O919,CODIGO_DIAGNOSTICO,2,0),"CÓDIGO NO ENCONTRADO"))</f>
        <v>ENFERMEDAD CEREBROVASCULAR, NO ESPECIFICADA</v>
      </c>
      <c r="Q919" s="68" t="s">
        <v>26059</v>
      </c>
      <c r="R919" s="67"/>
      <c r="S919" s="77"/>
      <c r="T919" s="76"/>
      <c r="U919" s="65"/>
      <c r="V919" s="68"/>
      <c r="W919" s="70"/>
      <c r="X919" s="68"/>
      <c r="Y919" s="70"/>
      <c r="Z919" s="72"/>
    </row>
    <row r="920" spans="1:26" ht="15.75" hidden="1" customHeight="1" x14ac:dyDescent="0.25">
      <c r="A920" s="64">
        <v>11</v>
      </c>
      <c r="B920" s="62">
        <v>15526159</v>
      </c>
      <c r="C920" s="62" t="s">
        <v>25865</v>
      </c>
      <c r="D920" s="62" t="s">
        <v>25284</v>
      </c>
      <c r="E920" s="62" t="s">
        <v>25141</v>
      </c>
      <c r="F920" s="62" t="s">
        <v>25103</v>
      </c>
      <c r="G920" s="81" t="s">
        <v>19285</v>
      </c>
      <c r="H920" s="63">
        <v>45597</v>
      </c>
      <c r="I920" s="63">
        <v>45599</v>
      </c>
      <c r="J920" s="62">
        <v>3</v>
      </c>
      <c r="K920" s="62">
        <v>3</v>
      </c>
      <c r="L920" s="62" t="s">
        <v>19262</v>
      </c>
      <c r="M920" s="62" t="s">
        <v>19262</v>
      </c>
      <c r="N920" s="62" t="s">
        <v>19269</v>
      </c>
      <c r="O920" s="62" t="s">
        <v>3038</v>
      </c>
      <c r="P920" s="42" t="str">
        <f>+IF(O920="","",IFERROR(VLOOKUP(O920,CODIGO_DIAGNOSTICO,2,0),"CÓDIGO NO ENCONTRADO"))</f>
        <v>DIPLOPIA</v>
      </c>
      <c r="Q920" s="62" t="s">
        <v>26059</v>
      </c>
      <c r="R920" s="64"/>
      <c r="S920" s="75"/>
      <c r="T920" s="75"/>
      <c r="U920" s="65"/>
      <c r="V920" s="62"/>
      <c r="W920" s="65"/>
      <c r="X920" s="62"/>
      <c r="Y920" s="65"/>
      <c r="Z920" s="73"/>
    </row>
    <row r="921" spans="1:26" ht="15.75" hidden="1" customHeight="1" x14ac:dyDescent="0.25">
      <c r="A921" s="67">
        <v>11</v>
      </c>
      <c r="B921" s="68">
        <v>71781456</v>
      </c>
      <c r="C921" s="68" t="s">
        <v>25743</v>
      </c>
      <c r="D921" s="68" t="s">
        <v>25744</v>
      </c>
      <c r="E921" s="68" t="s">
        <v>24988</v>
      </c>
      <c r="F921" s="68" t="s">
        <v>25064</v>
      </c>
      <c r="G921" s="81" t="s">
        <v>19285</v>
      </c>
      <c r="H921" s="69">
        <v>45597</v>
      </c>
      <c r="I921" s="69">
        <v>45597</v>
      </c>
      <c r="J921" s="68">
        <v>1</v>
      </c>
      <c r="K921" s="68">
        <v>1</v>
      </c>
      <c r="L921" s="68" t="s">
        <v>24995</v>
      </c>
      <c r="M921" s="68" t="s">
        <v>24995</v>
      </c>
      <c r="N921" s="62" t="s">
        <v>19269</v>
      </c>
      <c r="O921" s="68" t="s">
        <v>3838</v>
      </c>
      <c r="P921" s="42" t="str">
        <f>+IF(O921="","",IFERROR(VLOOKUP(O921,CODIGO_DIAGNOSTICO,2,0),"CÓDIGO NO ENCONTRADO"))</f>
        <v>ENFERMEDAD DE PERIODONTO, NO ESPECIFICADA</v>
      </c>
      <c r="Q921" s="68" t="s">
        <v>26059</v>
      </c>
      <c r="R921" s="67"/>
      <c r="S921" s="77"/>
      <c r="T921" s="76"/>
      <c r="U921" s="65"/>
      <c r="V921" s="68"/>
      <c r="W921" s="70"/>
      <c r="X921" s="68"/>
      <c r="Y921" s="70"/>
      <c r="Z921" s="72"/>
    </row>
    <row r="922" spans="1:26" ht="15.75" hidden="1" customHeight="1" x14ac:dyDescent="0.25">
      <c r="A922" s="64">
        <v>11</v>
      </c>
      <c r="B922" s="62">
        <v>71676289</v>
      </c>
      <c r="C922" s="62" t="s">
        <v>25015</v>
      </c>
      <c r="D922" s="62" t="s">
        <v>25012</v>
      </c>
      <c r="E922" s="62" t="s">
        <v>25016</v>
      </c>
      <c r="F922" s="62" t="s">
        <v>25004</v>
      </c>
      <c r="G922" s="81" t="s">
        <v>19285</v>
      </c>
      <c r="H922" s="63">
        <v>45597</v>
      </c>
      <c r="I922" s="63">
        <v>45611</v>
      </c>
      <c r="J922" s="62">
        <v>15</v>
      </c>
      <c r="K922" s="62">
        <v>15</v>
      </c>
      <c r="L922" s="62" t="s">
        <v>24995</v>
      </c>
      <c r="M922" s="62" t="s">
        <v>19262</v>
      </c>
      <c r="N922" s="62" t="s">
        <v>19269</v>
      </c>
      <c r="O922" s="62" t="s">
        <v>5006</v>
      </c>
      <c r="P922" s="42" t="str">
        <f>+IF(O922="","",IFERROR(VLOOKUP(O922,CODIGO_DIAGNOSTICO,2,0),"CÓDIGO NO ENCONTRADO"))</f>
        <v>OSTEOMIELITIS, NO ESPECIFICADA</v>
      </c>
      <c r="Q922" s="62" t="s">
        <v>26059</v>
      </c>
      <c r="R922" s="64"/>
      <c r="S922" s="75"/>
      <c r="T922" s="75"/>
      <c r="U922" s="65"/>
      <c r="V922" s="62"/>
      <c r="W922" s="65"/>
      <c r="X922" s="62"/>
      <c r="Y922" s="65"/>
      <c r="Z922" s="73"/>
    </row>
    <row r="923" spans="1:26" ht="15.75" hidden="1" customHeight="1" x14ac:dyDescent="0.25">
      <c r="A923" s="67">
        <v>11</v>
      </c>
      <c r="B923" s="68">
        <v>15526159</v>
      </c>
      <c r="C923" s="68" t="s">
        <v>25903</v>
      </c>
      <c r="D923" s="68" t="s">
        <v>25284</v>
      </c>
      <c r="E923" s="68" t="s">
        <v>25141</v>
      </c>
      <c r="F923" s="68" t="s">
        <v>25103</v>
      </c>
      <c r="G923" s="81" t="s">
        <v>19285</v>
      </c>
      <c r="H923" s="69">
        <v>45601</v>
      </c>
      <c r="I923" s="69">
        <v>45603</v>
      </c>
      <c r="J923" s="68">
        <v>3</v>
      </c>
      <c r="K923" s="68">
        <v>3</v>
      </c>
      <c r="L923" s="68" t="s">
        <v>19262</v>
      </c>
      <c r="M923" s="68" t="s">
        <v>19262</v>
      </c>
      <c r="N923" s="62" t="s">
        <v>19269</v>
      </c>
      <c r="O923" s="68" t="s">
        <v>3038</v>
      </c>
      <c r="P923" s="42" t="str">
        <f>+IF(O923="","",IFERROR(VLOOKUP(O923,CODIGO_DIAGNOSTICO,2,0),"CÓDIGO NO ENCONTRADO"))</f>
        <v>DIPLOPIA</v>
      </c>
      <c r="Q923" s="68" t="s">
        <v>26059</v>
      </c>
      <c r="R923" s="67"/>
      <c r="S923" s="77"/>
      <c r="T923" s="76"/>
      <c r="U923" s="65"/>
      <c r="V923" s="68"/>
      <c r="W923" s="70"/>
      <c r="X923" s="68"/>
      <c r="Y923" s="70"/>
      <c r="Z923" s="72"/>
    </row>
    <row r="924" spans="1:26" ht="15.75" hidden="1" customHeight="1" x14ac:dyDescent="0.25">
      <c r="A924" s="64">
        <v>11</v>
      </c>
      <c r="B924" s="62">
        <v>15309929</v>
      </c>
      <c r="C924" s="62" t="s">
        <v>25011</v>
      </c>
      <c r="D924" s="62" t="s">
        <v>25012</v>
      </c>
      <c r="E924" s="62" t="s">
        <v>25048</v>
      </c>
      <c r="F924" s="62" t="s">
        <v>25215</v>
      </c>
      <c r="G924" s="81" t="s">
        <v>19285</v>
      </c>
      <c r="H924" s="63">
        <v>45601</v>
      </c>
      <c r="I924" s="63">
        <v>45615</v>
      </c>
      <c r="J924" s="62">
        <v>15</v>
      </c>
      <c r="K924" s="62">
        <v>15</v>
      </c>
      <c r="L924" s="62" t="s">
        <v>19262</v>
      </c>
      <c r="M924" s="62" t="s">
        <v>19262</v>
      </c>
      <c r="N924" s="62" t="s">
        <v>19269</v>
      </c>
      <c r="O924" s="62" t="s">
        <v>7734</v>
      </c>
      <c r="P924" s="42" t="str">
        <f>+IF(O924="","",IFERROR(VLOOKUP(O924,CODIGO_DIAGNOSTICO,2,0),"CÓDIGO NO ENCONTRADO"))</f>
        <v>DESGARRO DE MENISCOS, PRESENTE</v>
      </c>
      <c r="Q924" s="62" t="s">
        <v>26059</v>
      </c>
      <c r="R924" s="64"/>
      <c r="S924" s="75"/>
      <c r="T924" s="75"/>
      <c r="U924" s="65"/>
      <c r="V924" s="62"/>
      <c r="W924" s="65"/>
      <c r="X924" s="62"/>
      <c r="Y924" s="65"/>
      <c r="Z924" s="73"/>
    </row>
    <row r="925" spans="1:26" ht="15.75" hidden="1" customHeight="1" x14ac:dyDescent="0.25">
      <c r="A925" s="67">
        <v>11</v>
      </c>
      <c r="B925" s="68">
        <v>10900792</v>
      </c>
      <c r="C925" s="68" t="s">
        <v>26013</v>
      </c>
      <c r="D925" s="68" t="s">
        <v>26014</v>
      </c>
      <c r="E925" s="68" t="s">
        <v>25853</v>
      </c>
      <c r="F925" s="68" t="s">
        <v>25213</v>
      </c>
      <c r="G925" s="81" t="s">
        <v>19285</v>
      </c>
      <c r="H925" s="69">
        <v>45601</v>
      </c>
      <c r="I925" s="69">
        <v>45602</v>
      </c>
      <c r="J925" s="68">
        <v>2</v>
      </c>
      <c r="K925" s="68">
        <v>2</v>
      </c>
      <c r="L925" s="68" t="s">
        <v>24995</v>
      </c>
      <c r="M925" s="68" t="s">
        <v>24995</v>
      </c>
      <c r="N925" s="62" t="s">
        <v>19269</v>
      </c>
      <c r="O925" s="68" t="s">
        <v>5285</v>
      </c>
      <c r="P925" s="42" t="str">
        <f>+IF(O925="","",IFERROR(VLOOKUP(O925,CODIGO_DIAGNOSTICO,2,0),"CÓDIGO NO ENCONTRADO"))</f>
        <v>TRASTORNO DEL SISTEMA URINARIO, NO ESPECIFICADO</v>
      </c>
      <c r="Q925" s="68" t="s">
        <v>26339</v>
      </c>
      <c r="R925" s="67"/>
      <c r="S925" s="77"/>
      <c r="T925" s="76"/>
      <c r="U925" s="65"/>
      <c r="V925" s="68"/>
      <c r="W925" s="70"/>
      <c r="X925" s="68"/>
      <c r="Y925" s="70"/>
      <c r="Z925" s="72"/>
    </row>
    <row r="926" spans="1:26" ht="15.75" hidden="1" customHeight="1" x14ac:dyDescent="0.25">
      <c r="A926" s="64">
        <v>11</v>
      </c>
      <c r="B926" s="62">
        <v>71737677</v>
      </c>
      <c r="C926" s="62" t="s">
        <v>25181</v>
      </c>
      <c r="D926" s="62" t="s">
        <v>25326</v>
      </c>
      <c r="E926" s="62" t="s">
        <v>26369</v>
      </c>
      <c r="F926" s="62" t="s">
        <v>25066</v>
      </c>
      <c r="G926" s="81" t="s">
        <v>19285</v>
      </c>
      <c r="H926" s="63">
        <v>45601</v>
      </c>
      <c r="I926" s="63">
        <v>45607</v>
      </c>
      <c r="J926" s="62">
        <v>7</v>
      </c>
      <c r="K926" s="62">
        <v>7</v>
      </c>
      <c r="L926" s="62" t="s">
        <v>24995</v>
      </c>
      <c r="M926" s="62" t="s">
        <v>24995</v>
      </c>
      <c r="N926" s="62" t="s">
        <v>19269</v>
      </c>
      <c r="O926" s="62" t="s">
        <v>4798</v>
      </c>
      <c r="P926" s="42" t="str">
        <f>+IF(O926="","",IFERROR(VLOOKUP(O926,CODIGO_DIAGNOSTICO,2,0),"CÓDIGO NO ENCONTRADO"))</f>
        <v>ESPONDILOSIS, NO ESPECIFICADA</v>
      </c>
      <c r="Q926" s="62" t="s">
        <v>26370</v>
      </c>
      <c r="R926" s="64"/>
      <c r="S926" s="75"/>
      <c r="T926" s="75"/>
      <c r="U926" s="65"/>
      <c r="V926" s="62"/>
      <c r="W926" s="65"/>
      <c r="X926" s="62"/>
      <c r="Y926" s="65"/>
      <c r="Z926" s="73"/>
    </row>
    <row r="927" spans="1:26" ht="15.75" hidden="1" customHeight="1" x14ac:dyDescent="0.25">
      <c r="A927" s="67">
        <v>11</v>
      </c>
      <c r="B927" s="68">
        <v>6275085</v>
      </c>
      <c r="C927" s="68" t="s">
        <v>25348</v>
      </c>
      <c r="D927" s="68" t="s">
        <v>25450</v>
      </c>
      <c r="E927" s="68" t="s">
        <v>26316</v>
      </c>
      <c r="F927" s="68" t="s">
        <v>25135</v>
      </c>
      <c r="G927" s="81" t="s">
        <v>19285</v>
      </c>
      <c r="H927" s="69">
        <v>45602</v>
      </c>
      <c r="I927" s="69">
        <v>45631</v>
      </c>
      <c r="J927" s="68">
        <v>30</v>
      </c>
      <c r="K927" s="68">
        <v>30</v>
      </c>
      <c r="L927" s="68" t="s">
        <v>24995</v>
      </c>
      <c r="M927" s="68" t="s">
        <v>19262</v>
      </c>
      <c r="N927" s="62" t="s">
        <v>19263</v>
      </c>
      <c r="O927" s="68" t="s">
        <v>7648</v>
      </c>
      <c r="P927" s="42" t="str">
        <f>+IF(O927="","",IFERROR(VLOOKUP(O927,CODIGO_DIAGNOSTICO,2,0),"CÓDIGO NO ENCONTRADO"))</f>
        <v>TRAUMATISMO DEL TENDON Y MUSCULO EXTENSOR DE OTRO(S) DEDO(S) A NIVEL DE LA MUÑECA Y DE LA MANO</v>
      </c>
      <c r="Q927" s="68" t="s">
        <v>25001</v>
      </c>
      <c r="R927" s="67"/>
      <c r="S927" s="77"/>
      <c r="T927" s="76"/>
      <c r="U927" s="65"/>
      <c r="V927" s="68"/>
      <c r="W927" s="70"/>
      <c r="X927" s="68"/>
      <c r="Y927" s="70"/>
      <c r="Z927" s="72"/>
    </row>
    <row r="928" spans="1:26" ht="15.75" hidden="1" customHeight="1" x14ac:dyDescent="0.25">
      <c r="A928" s="64">
        <v>11</v>
      </c>
      <c r="B928" s="62">
        <v>10201537</v>
      </c>
      <c r="C928" s="62" t="s">
        <v>25492</v>
      </c>
      <c r="D928" s="62" t="s">
        <v>25149</v>
      </c>
      <c r="E928" s="62" t="s">
        <v>26371</v>
      </c>
      <c r="F928" s="62" t="s">
        <v>25292</v>
      </c>
      <c r="G928" s="81" t="s">
        <v>19285</v>
      </c>
      <c r="H928" s="63">
        <v>45604</v>
      </c>
      <c r="I928" s="63">
        <v>45612</v>
      </c>
      <c r="J928" s="62">
        <v>9</v>
      </c>
      <c r="K928" s="62">
        <v>9</v>
      </c>
      <c r="L928" s="62" t="s">
        <v>24995</v>
      </c>
      <c r="M928" s="62" t="s">
        <v>24995</v>
      </c>
      <c r="N928" s="62" t="s">
        <v>19269</v>
      </c>
      <c r="O928" s="62" t="s">
        <v>4221</v>
      </c>
      <c r="P928" s="42" t="str">
        <f>+IF(O928="","",IFERROR(VLOOKUP(O928,CODIGO_DIAGNOSTICO,2,0),"CÓDIGO NO ENCONTRADO"))</f>
        <v>CELULITIS DE SITIO NO ESPECIFICADO</v>
      </c>
      <c r="Q928" s="62" t="s">
        <v>26339</v>
      </c>
      <c r="R928" s="64"/>
      <c r="S928" s="75"/>
      <c r="T928" s="75"/>
      <c r="U928" s="65"/>
      <c r="V928" s="62"/>
      <c r="W928" s="65"/>
      <c r="X928" s="62"/>
      <c r="Y928" s="65"/>
      <c r="Z928" s="73"/>
    </row>
    <row r="929" spans="1:26" ht="15.75" hidden="1" customHeight="1" x14ac:dyDescent="0.25">
      <c r="A929" s="67">
        <v>11</v>
      </c>
      <c r="B929" s="68">
        <v>98584305</v>
      </c>
      <c r="C929" s="68" t="s">
        <v>25898</v>
      </c>
      <c r="D929" s="68" t="s">
        <v>25257</v>
      </c>
      <c r="E929" s="68" t="s">
        <v>25556</v>
      </c>
      <c r="F929" s="68" t="s">
        <v>25020</v>
      </c>
      <c r="G929" s="81" t="s">
        <v>19285</v>
      </c>
      <c r="H929" s="69">
        <v>45604</v>
      </c>
      <c r="I929" s="69">
        <v>45611</v>
      </c>
      <c r="J929" s="68">
        <v>8</v>
      </c>
      <c r="K929" s="68">
        <v>8</v>
      </c>
      <c r="L929" s="68" t="s">
        <v>24995</v>
      </c>
      <c r="M929" s="68" t="s">
        <v>24995</v>
      </c>
      <c r="N929" s="62" t="s">
        <v>19269</v>
      </c>
      <c r="O929" s="68" t="s">
        <v>2850</v>
      </c>
      <c r="P929" s="42" t="str">
        <f>+IF(O929="","",IFERROR(VLOOKUP(O929,CODIGO_DIAGNOSTICO,2,0),"CÓDIGO NO ENCONTRADO"))</f>
        <v>PTERIGION</v>
      </c>
      <c r="Q929" s="68" t="s">
        <v>19230</v>
      </c>
      <c r="R929" s="67"/>
      <c r="S929" s="77"/>
      <c r="T929" s="76"/>
      <c r="U929" s="65"/>
      <c r="V929" s="68"/>
      <c r="W929" s="70"/>
      <c r="X929" s="68"/>
      <c r="Y929" s="70"/>
      <c r="Z929" s="72"/>
    </row>
    <row r="930" spans="1:26" ht="15.75" hidden="1" customHeight="1" x14ac:dyDescent="0.25">
      <c r="A930" s="64">
        <v>11</v>
      </c>
      <c r="B930" s="62">
        <v>1152446902</v>
      </c>
      <c r="C930" s="62" t="s">
        <v>25030</v>
      </c>
      <c r="D930" s="62" t="s">
        <v>25031</v>
      </c>
      <c r="E930" s="62" t="s">
        <v>25032</v>
      </c>
      <c r="F930" s="62" t="s">
        <v>25033</v>
      </c>
      <c r="G930" s="81" t="s">
        <v>25328</v>
      </c>
      <c r="H930" s="63">
        <v>45606</v>
      </c>
      <c r="I930" s="63">
        <v>45606</v>
      </c>
      <c r="J930" s="62">
        <v>1</v>
      </c>
      <c r="K930" s="62">
        <v>1</v>
      </c>
      <c r="L930" s="62" t="s">
        <v>24995</v>
      </c>
      <c r="M930" s="62" t="s">
        <v>24995</v>
      </c>
      <c r="N930" s="62" t="s">
        <v>19269</v>
      </c>
      <c r="O930" s="62" t="s">
        <v>4057</v>
      </c>
      <c r="P930" s="42" t="str">
        <f>+IF(O930="","",IFERROR(VLOOKUP(O930,CODIGO_DIAGNOSTICO,2,0),"CÓDIGO NO ENCONTRADO"))</f>
        <v>FISURA ANAL AGUDA</v>
      </c>
      <c r="Q930" s="62" t="s">
        <v>26059</v>
      </c>
      <c r="R930" s="64"/>
      <c r="S930" s="75"/>
      <c r="T930" s="75"/>
      <c r="U930" s="65"/>
      <c r="V930" s="62"/>
      <c r="W930" s="65"/>
      <c r="X930" s="62"/>
      <c r="Y930" s="65"/>
      <c r="Z930" s="73"/>
    </row>
    <row r="931" spans="1:26" ht="15.75" hidden="1" customHeight="1" x14ac:dyDescent="0.25">
      <c r="A931" s="67">
        <v>11</v>
      </c>
      <c r="B931" s="68">
        <v>15526159</v>
      </c>
      <c r="C931" s="68" t="s">
        <v>25865</v>
      </c>
      <c r="D931" s="68" t="s">
        <v>25284</v>
      </c>
      <c r="E931" s="68" t="s">
        <v>25141</v>
      </c>
      <c r="F931" s="68" t="s">
        <v>24982</v>
      </c>
      <c r="G931" s="81" t="s">
        <v>19285</v>
      </c>
      <c r="H931" s="69">
        <v>45607</v>
      </c>
      <c r="I931" s="69">
        <v>45609</v>
      </c>
      <c r="J931" s="68">
        <v>3</v>
      </c>
      <c r="K931" s="68">
        <v>3</v>
      </c>
      <c r="L931" s="68" t="s">
        <v>19262</v>
      </c>
      <c r="M931" s="68" t="s">
        <v>19262</v>
      </c>
      <c r="N931" s="62" t="s">
        <v>19269</v>
      </c>
      <c r="O931" s="68" t="s">
        <v>3038</v>
      </c>
      <c r="P931" s="42" t="str">
        <f>+IF(O931="","",IFERROR(VLOOKUP(O931,CODIGO_DIAGNOSTICO,2,0),"CÓDIGO NO ENCONTRADO"))</f>
        <v>DIPLOPIA</v>
      </c>
      <c r="Q931" s="68" t="s">
        <v>26059</v>
      </c>
      <c r="R931" s="67"/>
      <c r="S931" s="77"/>
      <c r="T931" s="76"/>
      <c r="U931" s="65"/>
      <c r="V931" s="68"/>
      <c r="W931" s="70"/>
      <c r="X931" s="68"/>
      <c r="Y931" s="70"/>
      <c r="Z931" s="72"/>
    </row>
    <row r="932" spans="1:26" ht="15.75" hidden="1" customHeight="1" x14ac:dyDescent="0.25">
      <c r="A932" s="64">
        <v>11</v>
      </c>
      <c r="B932" s="62">
        <v>71612312</v>
      </c>
      <c r="C932" s="62" t="s">
        <v>25812</v>
      </c>
      <c r="D932" s="62" t="s">
        <v>25813</v>
      </c>
      <c r="E932" s="62" t="s">
        <v>25359</v>
      </c>
      <c r="F932" s="62" t="s">
        <v>25548</v>
      </c>
      <c r="G932" s="81" t="s">
        <v>19285</v>
      </c>
      <c r="H932" s="63">
        <v>45607</v>
      </c>
      <c r="I932" s="63">
        <v>45636</v>
      </c>
      <c r="J932" s="62">
        <v>30</v>
      </c>
      <c r="K932" s="62">
        <v>30</v>
      </c>
      <c r="L932" s="62" t="s">
        <v>19262</v>
      </c>
      <c r="M932" s="62" t="s">
        <v>19262</v>
      </c>
      <c r="N932" s="62" t="s">
        <v>19269</v>
      </c>
      <c r="O932" s="62" t="s">
        <v>8470</v>
      </c>
      <c r="P932" s="42" t="str">
        <f>+IF(O932="","",IFERROR(VLOOKUP(O932,CODIGO_DIAGNOSTICO,2,0),"CÓDIGO NO ENCONTRADO"))</f>
        <v>SECUELAS DE TRAUMATISMO DE LA MEDULA ESPINAL</v>
      </c>
      <c r="Q932" s="62" t="s">
        <v>26059</v>
      </c>
      <c r="R932" s="64"/>
      <c r="S932" s="75"/>
      <c r="T932" s="75"/>
      <c r="U932" s="65"/>
      <c r="V932" s="62"/>
      <c r="W932" s="65"/>
      <c r="X932" s="62"/>
      <c r="Y932" s="65"/>
      <c r="Z932" s="73"/>
    </row>
    <row r="933" spans="1:26" ht="15.75" hidden="1" customHeight="1" x14ac:dyDescent="0.25">
      <c r="A933" s="67">
        <v>11</v>
      </c>
      <c r="B933" s="68">
        <v>71382103</v>
      </c>
      <c r="C933" s="68" t="s">
        <v>25776</v>
      </c>
      <c r="D933" s="68" t="s">
        <v>25968</v>
      </c>
      <c r="E933" s="68" t="s">
        <v>25116</v>
      </c>
      <c r="F933" s="68" t="s">
        <v>26027</v>
      </c>
      <c r="G933" s="81" t="s">
        <v>19285</v>
      </c>
      <c r="H933" s="69">
        <v>45608</v>
      </c>
      <c r="I933" s="69">
        <v>45610</v>
      </c>
      <c r="J933" s="68">
        <v>3</v>
      </c>
      <c r="K933" s="68">
        <v>3</v>
      </c>
      <c r="L933" s="68" t="s">
        <v>19262</v>
      </c>
      <c r="M933" s="68" t="s">
        <v>19262</v>
      </c>
      <c r="N933" s="62" t="s">
        <v>19269</v>
      </c>
      <c r="O933" s="68" t="s">
        <v>8390</v>
      </c>
      <c r="P933" s="42" t="str">
        <f>+IF(O933="","",IFERROR(VLOOKUP(O933,CODIGO_DIAGNOSTICO,2,0),"CÓDIGO NO ENCONTRADO"))</f>
        <v>INFECCION CONSECUTIVA A PROCEDIMIENTO, NO CLASIFICADA EN OTRA PARTE</v>
      </c>
      <c r="Q933" s="68" t="s">
        <v>26059</v>
      </c>
      <c r="R933" s="67"/>
      <c r="S933" s="77"/>
      <c r="T933" s="76"/>
      <c r="U933" s="65"/>
      <c r="V933" s="68"/>
      <c r="W933" s="70"/>
      <c r="X933" s="68"/>
      <c r="Y933" s="70"/>
      <c r="Z933" s="72"/>
    </row>
    <row r="934" spans="1:26" ht="15.75" hidden="1" customHeight="1" x14ac:dyDescent="0.25">
      <c r="A934" s="64">
        <v>11</v>
      </c>
      <c r="B934" s="62">
        <v>98601485</v>
      </c>
      <c r="C934" s="62" t="s">
        <v>25240</v>
      </c>
      <c r="D934" s="62"/>
      <c r="E934" s="62" t="s">
        <v>25241</v>
      </c>
      <c r="F934" s="62" t="s">
        <v>24982</v>
      </c>
      <c r="G934" s="81" t="s">
        <v>25328</v>
      </c>
      <c r="H934" s="63">
        <v>45610</v>
      </c>
      <c r="I934" s="63">
        <v>45624</v>
      </c>
      <c r="J934" s="62">
        <v>15</v>
      </c>
      <c r="K934" s="62">
        <v>15</v>
      </c>
      <c r="L934" s="62" t="s">
        <v>19262</v>
      </c>
      <c r="M934" s="62" t="s">
        <v>19262</v>
      </c>
      <c r="N934" s="62" t="s">
        <v>19269</v>
      </c>
      <c r="O934" s="62" t="s">
        <v>8419</v>
      </c>
      <c r="P934" s="42" t="str">
        <f>+IF(O934="","",IFERROR(VLOOKUP(O934,CODIGO_DIAGNOSTICO,2,0),"CÓDIGO NO ENCONTRADO"))</f>
        <v>COMPLICACION MECANICA DE OTROS DISPOSITIVOS PROTESICOS, IMPLANTES E INJERTOS ORTOPEDICOS INTERNOS</v>
      </c>
      <c r="Q934" s="62" t="s">
        <v>26059</v>
      </c>
      <c r="R934" s="64"/>
      <c r="S934" s="75"/>
      <c r="T934" s="75"/>
      <c r="U934" s="65"/>
      <c r="V934" s="62"/>
      <c r="W934" s="65"/>
      <c r="X934" s="62"/>
      <c r="Y934" s="65"/>
      <c r="Z934" s="73"/>
    </row>
    <row r="935" spans="1:26" ht="15.75" hidden="1" customHeight="1" x14ac:dyDescent="0.25">
      <c r="A935" s="67">
        <v>11</v>
      </c>
      <c r="B935" s="68">
        <v>71382103</v>
      </c>
      <c r="C935" s="68" t="s">
        <v>25776</v>
      </c>
      <c r="D935" s="68" t="s">
        <v>25968</v>
      </c>
      <c r="E935" s="68" t="s">
        <v>25116</v>
      </c>
      <c r="F935" s="68" t="s">
        <v>26027</v>
      </c>
      <c r="G935" s="81" t="s">
        <v>19285</v>
      </c>
      <c r="H935" s="69">
        <v>45611</v>
      </c>
      <c r="I935" s="69">
        <v>45625</v>
      </c>
      <c r="J935" s="68">
        <v>15</v>
      </c>
      <c r="K935" s="68">
        <v>15</v>
      </c>
      <c r="L935" s="68" t="s">
        <v>19262</v>
      </c>
      <c r="M935" s="68" t="s">
        <v>19262</v>
      </c>
      <c r="N935" s="62" t="s">
        <v>19269</v>
      </c>
      <c r="O935" s="68" t="s">
        <v>5006</v>
      </c>
      <c r="P935" s="42" t="str">
        <f>+IF(O935="","",IFERROR(VLOOKUP(O935,CODIGO_DIAGNOSTICO,2,0),"CÓDIGO NO ENCONTRADO"))</f>
        <v>OSTEOMIELITIS, NO ESPECIFICADA</v>
      </c>
      <c r="Q935" s="68" t="s">
        <v>26059</v>
      </c>
      <c r="R935" s="67"/>
      <c r="S935" s="77"/>
      <c r="T935" s="76"/>
      <c r="U935" s="65"/>
      <c r="V935" s="68"/>
      <c r="W935" s="70"/>
      <c r="X935" s="68"/>
      <c r="Y935" s="70"/>
      <c r="Z935" s="72"/>
    </row>
    <row r="936" spans="1:26" ht="15.75" hidden="1" customHeight="1" x14ac:dyDescent="0.25">
      <c r="A936" s="64">
        <v>11</v>
      </c>
      <c r="B936" s="62">
        <v>1020398409</v>
      </c>
      <c r="C936" s="62" t="s">
        <v>26375</v>
      </c>
      <c r="D936" s="62" t="s">
        <v>26376</v>
      </c>
      <c r="E936" s="62" t="s">
        <v>26377</v>
      </c>
      <c r="F936" s="62" t="s">
        <v>25028</v>
      </c>
      <c r="G936" s="81" t="s">
        <v>19285</v>
      </c>
      <c r="H936" s="63">
        <v>45611</v>
      </c>
      <c r="I936" s="63">
        <v>45612</v>
      </c>
      <c r="J936" s="62">
        <v>2</v>
      </c>
      <c r="K936" s="62">
        <v>2</v>
      </c>
      <c r="L936" s="62" t="s">
        <v>24995</v>
      </c>
      <c r="M936" s="62" t="s">
        <v>24995</v>
      </c>
      <c r="N936" s="62" t="s">
        <v>19269</v>
      </c>
      <c r="O936" s="62" t="s">
        <v>4692</v>
      </c>
      <c r="P936" s="42" t="str">
        <f>+IF(O936="","",IFERROR(VLOOKUP(O936,CODIGO_DIAGNOSTICO,2,0),"CÓDIGO NO ENCONTRADO"))</f>
        <v>INESTABILIDAD CRONICA DE LA RODILLA</v>
      </c>
      <c r="Q936" s="62" t="s">
        <v>24996</v>
      </c>
      <c r="R936" s="64"/>
      <c r="S936" s="75"/>
      <c r="T936" s="75"/>
      <c r="U936" s="65"/>
      <c r="V936" s="62"/>
      <c r="W936" s="65"/>
      <c r="X936" s="62"/>
      <c r="Y936" s="65"/>
      <c r="Z936" s="73"/>
    </row>
    <row r="937" spans="1:26" ht="15.75" hidden="1" customHeight="1" x14ac:dyDescent="0.25">
      <c r="A937" s="67">
        <v>11</v>
      </c>
      <c r="B937" s="68">
        <v>71676289</v>
      </c>
      <c r="C937" s="68" t="s">
        <v>25015</v>
      </c>
      <c r="D937" s="68" t="s">
        <v>25012</v>
      </c>
      <c r="E937" s="68" t="s">
        <v>25016</v>
      </c>
      <c r="F937" s="68" t="s">
        <v>25004</v>
      </c>
      <c r="G937" s="81" t="s">
        <v>19285</v>
      </c>
      <c r="H937" s="69">
        <v>45612</v>
      </c>
      <c r="I937" s="69">
        <v>45626</v>
      </c>
      <c r="J937" s="68">
        <v>15</v>
      </c>
      <c r="K937" s="68">
        <v>15</v>
      </c>
      <c r="L937" s="68" t="s">
        <v>19262</v>
      </c>
      <c r="M937" s="68" t="s">
        <v>19262</v>
      </c>
      <c r="N937" s="62" t="s">
        <v>19269</v>
      </c>
      <c r="O937" s="68" t="s">
        <v>5006</v>
      </c>
      <c r="P937" s="42" t="str">
        <f>+IF(O937="","",IFERROR(VLOOKUP(O937,CODIGO_DIAGNOSTICO,2,0),"CÓDIGO NO ENCONTRADO"))</f>
        <v>OSTEOMIELITIS, NO ESPECIFICADA</v>
      </c>
      <c r="Q937" s="68" t="s">
        <v>26059</v>
      </c>
      <c r="R937" s="67"/>
      <c r="S937" s="77"/>
      <c r="T937" s="76"/>
      <c r="U937" s="65"/>
      <c r="V937" s="68"/>
      <c r="W937" s="70"/>
      <c r="X937" s="68"/>
      <c r="Y937" s="70"/>
      <c r="Z937" s="72"/>
    </row>
    <row r="938" spans="1:26" ht="15.75" hidden="1" customHeight="1" x14ac:dyDescent="0.25">
      <c r="A938" s="64">
        <v>11</v>
      </c>
      <c r="B938" s="62">
        <v>1214737996</v>
      </c>
      <c r="C938" s="62" t="s">
        <v>25547</v>
      </c>
      <c r="D938" s="62" t="s">
        <v>25969</v>
      </c>
      <c r="E938" s="62" t="s">
        <v>25970</v>
      </c>
      <c r="F938" s="62" t="s">
        <v>25755</v>
      </c>
      <c r="G938" s="81" t="s">
        <v>19285</v>
      </c>
      <c r="H938" s="63">
        <v>45612</v>
      </c>
      <c r="I938" s="63">
        <v>45623</v>
      </c>
      <c r="J938" s="62">
        <v>12</v>
      </c>
      <c r="K938" s="62">
        <v>12</v>
      </c>
      <c r="L938" s="62" t="s">
        <v>19262</v>
      </c>
      <c r="M938" s="62" t="s">
        <v>19262</v>
      </c>
      <c r="N938" s="62" t="s">
        <v>19269</v>
      </c>
      <c r="O938" s="62" t="s">
        <v>12446</v>
      </c>
      <c r="P938" s="42" t="str">
        <f>+IF(O938="","",IFERROR(VLOOKUP(O938,CODIGO_DIAGNOSTICO,2,0),"CÓDIGO NO ENCONTRADO"))</f>
        <v>OTROS ESTADOS POSTQUIRURGICOS ESPECIFICADOS</v>
      </c>
      <c r="Q938" s="62" t="s">
        <v>19231</v>
      </c>
      <c r="R938" s="64"/>
      <c r="S938" s="75"/>
      <c r="T938" s="75"/>
      <c r="U938" s="65"/>
      <c r="V938" s="62"/>
      <c r="W938" s="65"/>
      <c r="X938" s="62"/>
      <c r="Y938" s="65"/>
      <c r="Z938" s="73"/>
    </row>
    <row r="939" spans="1:26" ht="15.75" hidden="1" customHeight="1" x14ac:dyDescent="0.25">
      <c r="A939" s="67">
        <v>11</v>
      </c>
      <c r="B939" s="68">
        <v>42731660</v>
      </c>
      <c r="C939" s="68" t="s">
        <v>25061</v>
      </c>
      <c r="D939" s="68" t="s">
        <v>25164</v>
      </c>
      <c r="E939" s="68" t="s">
        <v>25611</v>
      </c>
      <c r="F939" s="68" t="s">
        <v>26224</v>
      </c>
      <c r="G939" s="81" t="s">
        <v>19285</v>
      </c>
      <c r="H939" s="69">
        <v>45615</v>
      </c>
      <c r="I939" s="69">
        <v>45616</v>
      </c>
      <c r="J939" s="68">
        <v>2</v>
      </c>
      <c r="K939" s="68">
        <v>2</v>
      </c>
      <c r="L939" s="68" t="s">
        <v>24995</v>
      </c>
      <c r="M939" s="68" t="s">
        <v>24995</v>
      </c>
      <c r="N939" s="62" t="s">
        <v>19269</v>
      </c>
      <c r="O939" s="68" t="s">
        <v>2593</v>
      </c>
      <c r="P939" s="42" t="str">
        <f>+IF(O939="","",IFERROR(VLOOKUP(O939,CODIGO_DIAGNOSTICO,2,0),"CÓDIGO NO ENCONTRADO"))</f>
        <v>MIGRAÑA, NO ESPECIFICADA</v>
      </c>
      <c r="Q939" s="68" t="s">
        <v>26059</v>
      </c>
      <c r="R939" s="67"/>
      <c r="S939" s="77"/>
      <c r="T939" s="76"/>
      <c r="U939" s="65"/>
      <c r="V939" s="68"/>
      <c r="W939" s="70"/>
      <c r="X939" s="68"/>
      <c r="Y939" s="70"/>
      <c r="Z939" s="72"/>
    </row>
    <row r="940" spans="1:26" ht="15.75" hidden="1" customHeight="1" x14ac:dyDescent="0.25">
      <c r="A940" s="64">
        <v>11</v>
      </c>
      <c r="B940" s="62">
        <v>1040754073</v>
      </c>
      <c r="C940" s="62" t="s">
        <v>25569</v>
      </c>
      <c r="D940" s="62" t="s">
        <v>25065</v>
      </c>
      <c r="E940" s="62" t="s">
        <v>25596</v>
      </c>
      <c r="F940" s="62" t="s">
        <v>26289</v>
      </c>
      <c r="G940" s="81" t="s">
        <v>19285</v>
      </c>
      <c r="H940" s="63">
        <v>45617</v>
      </c>
      <c r="I940" s="63">
        <v>45618</v>
      </c>
      <c r="J940" s="62">
        <v>2</v>
      </c>
      <c r="K940" s="62">
        <v>2</v>
      </c>
      <c r="L940" s="62" t="s">
        <v>24995</v>
      </c>
      <c r="M940" s="62" t="s">
        <v>24995</v>
      </c>
      <c r="N940" s="62" t="s">
        <v>19269</v>
      </c>
      <c r="O940" s="62" t="s">
        <v>4026</v>
      </c>
      <c r="P940" s="42" t="str">
        <f>+IF(O940="","",IFERROR(VLOOKUP(O940,CODIGO_DIAGNOSTICO,2,0),"CÓDIGO NO ENCONTRADO"))</f>
        <v>COLITIS Y GASTROENTERITIS NO INFECCIOSAS, NO ESPECIFICADAS</v>
      </c>
      <c r="Q940" s="62" t="s">
        <v>24996</v>
      </c>
      <c r="R940" s="64"/>
      <c r="S940" s="75"/>
      <c r="T940" s="75"/>
      <c r="U940" s="65"/>
      <c r="V940" s="62"/>
      <c r="W940" s="65"/>
      <c r="X940" s="62"/>
      <c r="Y940" s="65"/>
      <c r="Z940" s="73"/>
    </row>
    <row r="941" spans="1:26" ht="15.75" hidden="1" customHeight="1" x14ac:dyDescent="0.25">
      <c r="A941" s="67">
        <v>11</v>
      </c>
      <c r="B941" s="68">
        <v>1077082734</v>
      </c>
      <c r="C941" s="68" t="s">
        <v>26140</v>
      </c>
      <c r="D941" s="68"/>
      <c r="E941" s="68" t="s">
        <v>25255</v>
      </c>
      <c r="F941" s="68" t="s">
        <v>25213</v>
      </c>
      <c r="G941" s="81" t="s">
        <v>19285</v>
      </c>
      <c r="H941" s="69">
        <v>45617</v>
      </c>
      <c r="I941" s="69">
        <v>45631</v>
      </c>
      <c r="J941" s="68">
        <v>15</v>
      </c>
      <c r="K941" s="68">
        <v>15</v>
      </c>
      <c r="L941" s="68" t="s">
        <v>24995</v>
      </c>
      <c r="M941" s="68" t="s">
        <v>24995</v>
      </c>
      <c r="N941" s="62" t="s">
        <v>19269</v>
      </c>
      <c r="O941" s="68" t="s">
        <v>3974</v>
      </c>
      <c r="P941" s="42" t="str">
        <f>+IF(O941="","",IFERROR(VLOOKUP(O941,CODIGO_DIAGNOSTICO,2,0),"CÓDIGO NO ENCONTRADO"))</f>
        <v>APENDICITIS AGUDA, NO ESPECIFICADA</v>
      </c>
      <c r="Q941" s="68" t="s">
        <v>24996</v>
      </c>
      <c r="R941" s="67"/>
      <c r="S941" s="77"/>
      <c r="T941" s="76"/>
      <c r="U941" s="65"/>
      <c r="V941" s="68"/>
      <c r="W941" s="70"/>
      <c r="X941" s="68"/>
      <c r="Y941" s="70"/>
      <c r="Z941" s="72"/>
    </row>
    <row r="942" spans="1:26" ht="15.75" hidden="1" customHeight="1" x14ac:dyDescent="0.25">
      <c r="A942" s="64">
        <v>11</v>
      </c>
      <c r="B942" s="62">
        <v>12625299</v>
      </c>
      <c r="C942" s="62" t="s">
        <v>25321</v>
      </c>
      <c r="D942" s="62" t="s">
        <v>25322</v>
      </c>
      <c r="E942" s="62" t="s">
        <v>25323</v>
      </c>
      <c r="F942" s="62" t="s">
        <v>25064</v>
      </c>
      <c r="G942" s="81" t="s">
        <v>19285</v>
      </c>
      <c r="H942" s="63">
        <v>45617</v>
      </c>
      <c r="I942" s="63">
        <v>45646</v>
      </c>
      <c r="J942" s="62">
        <v>30</v>
      </c>
      <c r="K942" s="62">
        <v>30</v>
      </c>
      <c r="L942" s="62" t="s">
        <v>19262</v>
      </c>
      <c r="M942" s="62" t="s">
        <v>19262</v>
      </c>
      <c r="N942" s="62" t="s">
        <v>19269</v>
      </c>
      <c r="O942" s="62" t="s">
        <v>3284</v>
      </c>
      <c r="P942" s="42" t="str">
        <f>+IF(O942="","",IFERROR(VLOOKUP(O942,CODIGO_DIAGNOSTICO,2,0),"CÓDIGO NO ENCONTRADO"))</f>
        <v>ENDOCARDITIS INFECCIOSA AGUDA Y SUBAGUDA</v>
      </c>
      <c r="Q942" s="62" t="s">
        <v>26059</v>
      </c>
      <c r="R942" s="64"/>
      <c r="S942" s="75"/>
      <c r="T942" s="75"/>
      <c r="U942" s="65"/>
      <c r="V942" s="62"/>
      <c r="W942" s="65"/>
      <c r="X942" s="62"/>
      <c r="Y942" s="65"/>
      <c r="Z942" s="73"/>
    </row>
    <row r="943" spans="1:26" ht="15.75" hidden="1" customHeight="1" x14ac:dyDescent="0.25">
      <c r="A943" s="67">
        <v>11</v>
      </c>
      <c r="B943" s="68">
        <v>39416443</v>
      </c>
      <c r="C943" s="68" t="s">
        <v>24992</v>
      </c>
      <c r="D943" s="68" t="s">
        <v>26216</v>
      </c>
      <c r="E943" s="68" t="s">
        <v>26217</v>
      </c>
      <c r="F943" s="68"/>
      <c r="G943" s="81" t="s">
        <v>19285</v>
      </c>
      <c r="H943" s="69">
        <v>45618</v>
      </c>
      <c r="I943" s="69">
        <v>45620</v>
      </c>
      <c r="J943" s="68">
        <v>3</v>
      </c>
      <c r="K943" s="68">
        <v>3</v>
      </c>
      <c r="L943" s="68" t="s">
        <v>24995</v>
      </c>
      <c r="M943" s="68" t="s">
        <v>24995</v>
      </c>
      <c r="N943" s="62" t="s">
        <v>19269</v>
      </c>
      <c r="O943" s="68" t="s">
        <v>4396</v>
      </c>
      <c r="P943" s="42" t="str">
        <f>+IF(O943="","",IFERROR(VLOOKUP(O943,CODIGO_DIAGNOSTICO,2,0),"CÓDIGO NO ENCONTRADO"))</f>
        <v>UÑA ENCARNADA</v>
      </c>
      <c r="Q943" s="68" t="s">
        <v>26059</v>
      </c>
      <c r="R943" s="67"/>
      <c r="S943" s="77"/>
      <c r="T943" s="76"/>
      <c r="U943" s="65"/>
      <c r="V943" s="68"/>
      <c r="W943" s="70"/>
      <c r="X943" s="68"/>
      <c r="Y943" s="70"/>
      <c r="Z943" s="72"/>
    </row>
    <row r="944" spans="1:26" ht="15.75" hidden="1" customHeight="1" x14ac:dyDescent="0.25">
      <c r="A944" s="64">
        <v>11</v>
      </c>
      <c r="B944" s="62">
        <v>98648701</v>
      </c>
      <c r="C944" s="62" t="s">
        <v>25553</v>
      </c>
      <c r="D944" s="62" t="s">
        <v>25426</v>
      </c>
      <c r="E944" s="62" t="s">
        <v>25977</v>
      </c>
      <c r="F944" s="62" t="s">
        <v>25554</v>
      </c>
      <c r="G944" s="81" t="s">
        <v>19285</v>
      </c>
      <c r="H944" s="63">
        <v>45619</v>
      </c>
      <c r="I944" s="63">
        <v>45622</v>
      </c>
      <c r="J944" s="62">
        <v>4</v>
      </c>
      <c r="K944" s="62">
        <v>4</v>
      </c>
      <c r="L944" s="62" t="s">
        <v>24995</v>
      </c>
      <c r="M944" s="62" t="s">
        <v>24995</v>
      </c>
      <c r="N944" s="62" t="s">
        <v>19269</v>
      </c>
      <c r="O944" s="62" t="s">
        <v>7685</v>
      </c>
      <c r="P944" s="42" t="str">
        <f>+IF(O944="","",IFERROR(VLOOKUP(O944,CODIGO_DIAGNOSTICO,2,0),"CÓDIGO NO ENCONTRADO"))</f>
        <v>ESGUINCES Y TORCEDURAS DE LA CADERA</v>
      </c>
      <c r="Q944" s="62" t="s">
        <v>26059</v>
      </c>
      <c r="R944" s="64"/>
      <c r="S944" s="75"/>
      <c r="T944" s="75"/>
      <c r="U944" s="65"/>
      <c r="V944" s="62"/>
      <c r="W944" s="65"/>
      <c r="X944" s="62"/>
      <c r="Y944" s="65"/>
      <c r="Z944" s="73"/>
    </row>
    <row r="945" spans="1:26" ht="15.75" hidden="1" customHeight="1" x14ac:dyDescent="0.25">
      <c r="A945" s="67">
        <v>11</v>
      </c>
      <c r="B945" s="68">
        <v>15309929</v>
      </c>
      <c r="C945" s="68" t="s">
        <v>25047</v>
      </c>
      <c r="D945" s="68" t="s">
        <v>25012</v>
      </c>
      <c r="E945" s="68" t="s">
        <v>25013</v>
      </c>
      <c r="F945" s="68" t="s">
        <v>25014</v>
      </c>
      <c r="G945" s="81" t="s">
        <v>19285</v>
      </c>
      <c r="H945" s="69">
        <v>45621</v>
      </c>
      <c r="I945" s="69">
        <v>45635</v>
      </c>
      <c r="J945" s="68">
        <v>15</v>
      </c>
      <c r="K945" s="68">
        <v>15</v>
      </c>
      <c r="L945" s="68" t="s">
        <v>19262</v>
      </c>
      <c r="M945" s="68" t="s">
        <v>19262</v>
      </c>
      <c r="N945" s="62" t="s">
        <v>19269</v>
      </c>
      <c r="O945" s="68" t="s">
        <v>7734</v>
      </c>
      <c r="P945" s="42" t="str">
        <f>+IF(O945="","",IFERROR(VLOOKUP(O945,CODIGO_DIAGNOSTICO,2,0),"CÓDIGO NO ENCONTRADO"))</f>
        <v>DESGARRO DE MENISCOS, PRESENTE</v>
      </c>
      <c r="Q945" s="68" t="s">
        <v>26059</v>
      </c>
      <c r="R945" s="67"/>
      <c r="S945" s="77"/>
      <c r="T945" s="76"/>
      <c r="U945" s="65"/>
      <c r="V945" s="68"/>
      <c r="W945" s="70"/>
      <c r="X945" s="68"/>
      <c r="Y945" s="70"/>
      <c r="Z945" s="72"/>
    </row>
    <row r="946" spans="1:26" ht="15.75" hidden="1" customHeight="1" x14ac:dyDescent="0.25">
      <c r="A946" s="64">
        <v>11</v>
      </c>
      <c r="B946" s="62">
        <v>15526159</v>
      </c>
      <c r="C946" s="62" t="s">
        <v>25865</v>
      </c>
      <c r="D946" s="62" t="s">
        <v>25284</v>
      </c>
      <c r="E946" s="62" t="s">
        <v>26159</v>
      </c>
      <c r="F946" s="62" t="s">
        <v>25103</v>
      </c>
      <c r="G946" s="81" t="s">
        <v>19285</v>
      </c>
      <c r="H946" s="63">
        <v>45622</v>
      </c>
      <c r="I946" s="63">
        <v>45628</v>
      </c>
      <c r="J946" s="62">
        <v>7</v>
      </c>
      <c r="K946" s="62">
        <v>7</v>
      </c>
      <c r="L946" s="62" t="s">
        <v>19262</v>
      </c>
      <c r="M946" s="62" t="s">
        <v>19262</v>
      </c>
      <c r="N946" s="62" t="s">
        <v>19269</v>
      </c>
      <c r="O946" s="62" t="s">
        <v>3014</v>
      </c>
      <c r="P946" s="42" t="str">
        <f>+IF(O946="","",IFERROR(VLOOKUP(O946,CODIGO_DIAGNOSTICO,2,0),"CÓDIGO NO ENCONTRADO"))</f>
        <v>ESTRABISMO CONCOMITANTE CONVERGENTE</v>
      </c>
      <c r="Q946" s="62" t="s">
        <v>26059</v>
      </c>
      <c r="R946" s="64"/>
      <c r="S946" s="75"/>
      <c r="T946" s="75"/>
      <c r="U946" s="65"/>
      <c r="V946" s="62"/>
      <c r="W946" s="65"/>
      <c r="X946" s="62"/>
      <c r="Y946" s="65"/>
      <c r="Z946" s="73"/>
    </row>
    <row r="947" spans="1:26" ht="15.75" hidden="1" customHeight="1" x14ac:dyDescent="0.25">
      <c r="A947" s="67">
        <v>11</v>
      </c>
      <c r="B947" s="68">
        <v>1214737996</v>
      </c>
      <c r="C947" s="68" t="s">
        <v>25547</v>
      </c>
      <c r="D947" s="68" t="s">
        <v>25969</v>
      </c>
      <c r="E947" s="68" t="s">
        <v>25970</v>
      </c>
      <c r="F947" s="68" t="s">
        <v>25755</v>
      </c>
      <c r="G947" s="81" t="s">
        <v>19285</v>
      </c>
      <c r="H947" s="69">
        <v>45623</v>
      </c>
      <c r="I947" s="69">
        <v>45652</v>
      </c>
      <c r="J947" s="68">
        <v>30</v>
      </c>
      <c r="K947" s="68">
        <v>30</v>
      </c>
      <c r="L947" s="68" t="s">
        <v>19262</v>
      </c>
      <c r="M947" s="68" t="s">
        <v>19262</v>
      </c>
      <c r="N947" s="62" t="s">
        <v>19269</v>
      </c>
      <c r="O947" s="68" t="s">
        <v>7723</v>
      </c>
      <c r="P947" s="42" t="str">
        <f>+IF(O947="","",IFERROR(VLOOKUP(O947,CODIGO_DIAGNOSTICO,2,0),"CÓDIGO NO ENCONTRADO"))</f>
        <v>FRACTURA DE LA EPIFISIS SUPERIOR DE LA TIBIA</v>
      </c>
      <c r="Q947" s="68" t="s">
        <v>19231</v>
      </c>
      <c r="R947" s="67"/>
      <c r="S947" s="77"/>
      <c r="T947" s="76"/>
      <c r="U947" s="65"/>
      <c r="V947" s="68"/>
      <c r="W947" s="70"/>
      <c r="X947" s="68"/>
      <c r="Y947" s="70"/>
      <c r="Z947" s="72"/>
    </row>
    <row r="948" spans="1:26" ht="15.75" hidden="1" customHeight="1" x14ac:dyDescent="0.25">
      <c r="A948" s="64">
        <v>11</v>
      </c>
      <c r="B948" s="62">
        <v>71382103</v>
      </c>
      <c r="C948" s="62" t="s">
        <v>25274</v>
      </c>
      <c r="D948" s="62" t="s">
        <v>25968</v>
      </c>
      <c r="E948" s="62" t="s">
        <v>25116</v>
      </c>
      <c r="F948" s="62" t="s">
        <v>26027</v>
      </c>
      <c r="G948" s="81" t="s">
        <v>19285</v>
      </c>
      <c r="H948" s="63">
        <v>45626</v>
      </c>
      <c r="I948" s="63">
        <v>45655</v>
      </c>
      <c r="J948" s="62">
        <v>30</v>
      </c>
      <c r="K948" s="62">
        <v>30</v>
      </c>
      <c r="L948" s="62" t="s">
        <v>19262</v>
      </c>
      <c r="M948" s="62" t="s">
        <v>19262</v>
      </c>
      <c r="N948" s="62" t="s">
        <v>19269</v>
      </c>
      <c r="O948" s="62" t="s">
        <v>4671</v>
      </c>
      <c r="P948" s="42" t="str">
        <f>+IF(O948="","",IFERROR(VLOOKUP(O948,CODIGO_DIAGNOSTICO,2,0),"CÓDIGO NO ENCONTRADO"))</f>
        <v>DEFORMIDAD EN VARO, NO CLASIFICADA EN OTRA</v>
      </c>
      <c r="Q948" s="62" t="s">
        <v>26059</v>
      </c>
      <c r="R948" s="64"/>
      <c r="S948" s="75"/>
      <c r="T948" s="75"/>
      <c r="U948" s="65"/>
      <c r="V948" s="62"/>
      <c r="W948" s="65"/>
      <c r="X948" s="62"/>
      <c r="Y948" s="65"/>
      <c r="Z948" s="73"/>
    </row>
    <row r="949" spans="1:26" ht="15.75" hidden="1" customHeight="1" x14ac:dyDescent="0.25">
      <c r="A949" s="67">
        <v>11</v>
      </c>
      <c r="B949" s="68">
        <v>1037073208</v>
      </c>
      <c r="C949" s="68" t="s">
        <v>25094</v>
      </c>
      <c r="D949" s="68" t="s">
        <v>25687</v>
      </c>
      <c r="E949" s="68" t="s">
        <v>25884</v>
      </c>
      <c r="F949" s="68" t="s">
        <v>25885</v>
      </c>
      <c r="G949" s="81" t="s">
        <v>19285</v>
      </c>
      <c r="H949" s="69">
        <v>45626</v>
      </c>
      <c r="I949" s="69">
        <v>45627</v>
      </c>
      <c r="J949" s="68">
        <v>3</v>
      </c>
      <c r="K949" s="68">
        <v>3</v>
      </c>
      <c r="L949" s="68" t="s">
        <v>24995</v>
      </c>
      <c r="M949" s="68" t="s">
        <v>24995</v>
      </c>
      <c r="N949" s="62" t="s">
        <v>19269</v>
      </c>
      <c r="O949" s="68" t="s">
        <v>4347</v>
      </c>
      <c r="P949" s="42" t="str">
        <f>+IF(O949="","",IFERROR(VLOOKUP(O949,CODIGO_DIAGNOSTICO,2,0),"CÓDIGO NO ENCONTRADO"))</f>
        <v>URTICARIA ALERGICA</v>
      </c>
      <c r="Q949" s="68" t="s">
        <v>19231</v>
      </c>
      <c r="R949" s="67"/>
      <c r="S949" s="77"/>
      <c r="T949" s="76"/>
      <c r="U949" s="65"/>
      <c r="V949" s="68"/>
      <c r="W949" s="70"/>
      <c r="X949" s="68"/>
      <c r="Y949" s="70"/>
      <c r="Z949" s="72"/>
    </row>
    <row r="950" spans="1:26" ht="15.75" hidden="1" customHeight="1" x14ac:dyDescent="0.25">
      <c r="A950" s="64">
        <v>12</v>
      </c>
      <c r="B950" s="62">
        <v>1082979432</v>
      </c>
      <c r="C950" s="62" t="s">
        <v>25114</v>
      </c>
      <c r="D950" s="62" t="s">
        <v>25109</v>
      </c>
      <c r="E950" s="62" t="s">
        <v>25853</v>
      </c>
      <c r="F950" s="62" t="s">
        <v>25014</v>
      </c>
      <c r="G950" s="81" t="s">
        <v>19285</v>
      </c>
      <c r="H950" s="63">
        <v>45627</v>
      </c>
      <c r="I950" s="63">
        <v>45646</v>
      </c>
      <c r="J950" s="62">
        <v>20</v>
      </c>
      <c r="K950" s="62">
        <v>20</v>
      </c>
      <c r="L950" s="62" t="s">
        <v>24995</v>
      </c>
      <c r="M950" s="62" t="s">
        <v>24995</v>
      </c>
      <c r="N950" s="62" t="s">
        <v>19269</v>
      </c>
      <c r="O950" s="62" t="s">
        <v>4396</v>
      </c>
      <c r="P950" s="42" t="str">
        <f>+IF(O950="","",IFERROR(VLOOKUP(O950,CODIGO_DIAGNOSTICO,2,0),"CÓDIGO NO ENCONTRADO"))</f>
        <v>UÑA ENCARNADA</v>
      </c>
      <c r="Q950" s="62" t="s">
        <v>24996</v>
      </c>
      <c r="R950" s="64"/>
      <c r="S950" s="75"/>
      <c r="T950" s="75"/>
      <c r="U950" s="65"/>
      <c r="V950" s="62"/>
      <c r="W950" s="65"/>
      <c r="X950" s="62"/>
      <c r="Y950" s="65"/>
      <c r="Z950" s="73"/>
    </row>
    <row r="951" spans="1:26" ht="15.75" hidden="1" customHeight="1" x14ac:dyDescent="0.25">
      <c r="A951" s="67">
        <v>12</v>
      </c>
      <c r="B951" s="68">
        <v>71676289</v>
      </c>
      <c r="C951" s="68" t="s">
        <v>25015</v>
      </c>
      <c r="D951" s="68" t="s">
        <v>25012</v>
      </c>
      <c r="E951" s="68" t="s">
        <v>25016</v>
      </c>
      <c r="F951" s="68" t="s">
        <v>25004</v>
      </c>
      <c r="G951" s="81" t="s">
        <v>19285</v>
      </c>
      <c r="H951" s="69">
        <v>45627</v>
      </c>
      <c r="I951" s="69">
        <v>45641</v>
      </c>
      <c r="J951" s="68">
        <v>15</v>
      </c>
      <c r="K951" s="68">
        <v>15</v>
      </c>
      <c r="L951" s="68" t="s">
        <v>19262</v>
      </c>
      <c r="M951" s="68" t="s">
        <v>19262</v>
      </c>
      <c r="N951" s="62" t="s">
        <v>19269</v>
      </c>
      <c r="O951" s="68" t="s">
        <v>5006</v>
      </c>
      <c r="P951" s="42" t="str">
        <f>+IF(O951="","",IFERROR(VLOOKUP(O951,CODIGO_DIAGNOSTICO,2,0),"CÓDIGO NO ENCONTRADO"))</f>
        <v>OSTEOMIELITIS, NO ESPECIFICADA</v>
      </c>
      <c r="Q951" s="68" t="s">
        <v>26059</v>
      </c>
      <c r="R951" s="67"/>
      <c r="S951" s="77"/>
      <c r="T951" s="76"/>
      <c r="U951" s="65"/>
      <c r="V951" s="68"/>
      <c r="W951" s="70"/>
      <c r="X951" s="68"/>
      <c r="Y951" s="70"/>
      <c r="Z951" s="72"/>
    </row>
    <row r="952" spans="1:26" ht="15.75" hidden="1" customHeight="1" x14ac:dyDescent="0.25">
      <c r="A952" s="64">
        <v>12</v>
      </c>
      <c r="B952" s="62">
        <v>1037073208</v>
      </c>
      <c r="C952" s="62" t="s">
        <v>25094</v>
      </c>
      <c r="D952" s="62" t="s">
        <v>25687</v>
      </c>
      <c r="E952" s="62" t="s">
        <v>25884</v>
      </c>
      <c r="F952" s="62" t="s">
        <v>25885</v>
      </c>
      <c r="G952" s="81" t="s">
        <v>19285</v>
      </c>
      <c r="H952" s="63">
        <v>45628</v>
      </c>
      <c r="I952" s="63">
        <v>45630</v>
      </c>
      <c r="J952" s="62">
        <v>3</v>
      </c>
      <c r="K952" s="62">
        <v>3</v>
      </c>
      <c r="L952" s="62" t="s">
        <v>19262</v>
      </c>
      <c r="M952" s="62" t="s">
        <v>24995</v>
      </c>
      <c r="N952" s="62" t="s">
        <v>19269</v>
      </c>
      <c r="O952" s="62" t="s">
        <v>4347</v>
      </c>
      <c r="P952" s="42" t="str">
        <f>+IF(O952="","",IFERROR(VLOOKUP(O952,CODIGO_DIAGNOSTICO,2,0),"CÓDIGO NO ENCONTRADO"))</f>
        <v>URTICARIA ALERGICA</v>
      </c>
      <c r="Q952" s="62" t="s">
        <v>26339</v>
      </c>
      <c r="R952" s="64"/>
      <c r="S952" s="75"/>
      <c r="T952" s="75"/>
      <c r="U952" s="65"/>
      <c r="V952" s="62"/>
      <c r="W952" s="65"/>
      <c r="X952" s="62"/>
      <c r="Y952" s="65"/>
      <c r="Z952" s="73"/>
    </row>
    <row r="953" spans="1:26" ht="15.75" hidden="1" customHeight="1" x14ac:dyDescent="0.25">
      <c r="A953" s="67">
        <v>12</v>
      </c>
      <c r="B953" s="68">
        <v>91444147</v>
      </c>
      <c r="C953" s="68" t="s">
        <v>25269</v>
      </c>
      <c r="D953" s="68" t="s">
        <v>25608</v>
      </c>
      <c r="E953" s="68" t="s">
        <v>25745</v>
      </c>
      <c r="F953" s="68" t="s">
        <v>25746</v>
      </c>
      <c r="G953" s="81" t="s">
        <v>19285</v>
      </c>
      <c r="H953" s="69">
        <v>45629</v>
      </c>
      <c r="I953" s="69">
        <v>45632</v>
      </c>
      <c r="J953" s="68">
        <v>4</v>
      </c>
      <c r="K953" s="68">
        <v>4</v>
      </c>
      <c r="L953" s="68" t="s">
        <v>24995</v>
      </c>
      <c r="M953" s="68" t="s">
        <v>24995</v>
      </c>
      <c r="N953" s="62" t="s">
        <v>19269</v>
      </c>
      <c r="O953" s="68" t="s">
        <v>3693</v>
      </c>
      <c r="P953" s="42" t="str">
        <f>+IF(O953="","",IFERROR(VLOOKUP(O953,CODIGO_DIAGNOSTICO,2,0),"CÓDIGO NO ENCONTRADO"))</f>
        <v>ENFERMEDAD PULMONAR OBSTRUCTIVA CRONICA, NO ESPECIFICADA</v>
      </c>
      <c r="Q953" s="68" t="s">
        <v>26059</v>
      </c>
      <c r="R953" s="67"/>
      <c r="S953" s="77"/>
      <c r="T953" s="76"/>
      <c r="U953" s="65"/>
      <c r="V953" s="68"/>
      <c r="W953" s="70"/>
      <c r="X953" s="68"/>
      <c r="Y953" s="70"/>
      <c r="Z953" s="72"/>
    </row>
    <row r="954" spans="1:26" ht="15.75" hidden="1" customHeight="1" x14ac:dyDescent="0.25">
      <c r="A954" s="64">
        <v>12</v>
      </c>
      <c r="B954" s="62">
        <v>1066524629</v>
      </c>
      <c r="C954" s="62" t="s">
        <v>26378</v>
      </c>
      <c r="D954" s="62" t="s">
        <v>25109</v>
      </c>
      <c r="E954" s="62" t="s">
        <v>25359</v>
      </c>
      <c r="F954" s="62" t="s">
        <v>25010</v>
      </c>
      <c r="G954" s="81" t="s">
        <v>19285</v>
      </c>
      <c r="H954" s="63">
        <v>45630</v>
      </c>
      <c r="I954" s="63">
        <v>45632</v>
      </c>
      <c r="J954" s="62">
        <v>3</v>
      </c>
      <c r="K954" s="62">
        <v>3</v>
      </c>
      <c r="L954" s="62" t="s">
        <v>24995</v>
      </c>
      <c r="M954" s="62" t="s">
        <v>24995</v>
      </c>
      <c r="N954" s="62" t="s">
        <v>19269</v>
      </c>
      <c r="O954" s="62" t="s">
        <v>7619</v>
      </c>
      <c r="P954" s="42" t="str">
        <f>+IF(O954="","",IFERROR(VLOOKUP(O954,CODIGO_DIAGNOSTICO,2,0),"CÓDIGO NO ENCONTRADO"))</f>
        <v>FRACTURA DE OTRAS PARTES Y DE LAS NO ESPECIFICADAS DE LA MUÑECA Y DE LA MANO</v>
      </c>
      <c r="Q954" s="62" t="s">
        <v>26339</v>
      </c>
      <c r="R954" s="64"/>
      <c r="S954" s="75"/>
      <c r="T954" s="75"/>
      <c r="U954" s="65"/>
      <c r="V954" s="62"/>
      <c r="W954" s="65"/>
      <c r="X954" s="62"/>
      <c r="Y954" s="65"/>
      <c r="Z954" s="73"/>
    </row>
    <row r="955" spans="1:26" ht="15.75" hidden="1" customHeight="1" x14ac:dyDescent="0.25">
      <c r="A955" s="67">
        <v>12</v>
      </c>
      <c r="B955" s="68">
        <v>1128467712</v>
      </c>
      <c r="C955" s="68" t="s">
        <v>25456</v>
      </c>
      <c r="D955" s="68" t="s">
        <v>19258</v>
      </c>
      <c r="E955" s="68" t="s">
        <v>25879</v>
      </c>
      <c r="F955" s="68" t="s">
        <v>25880</v>
      </c>
      <c r="G955" s="81" t="s">
        <v>26047</v>
      </c>
      <c r="H955" s="69">
        <v>45631</v>
      </c>
      <c r="I955" s="69">
        <v>45634</v>
      </c>
      <c r="J955" s="68">
        <v>4</v>
      </c>
      <c r="K955" s="68">
        <v>4</v>
      </c>
      <c r="L955" s="68" t="s">
        <v>24995</v>
      </c>
      <c r="M955" s="68" t="s">
        <v>24995</v>
      </c>
      <c r="N955" s="62" t="s">
        <v>19269</v>
      </c>
      <c r="O955" s="68" t="s">
        <v>4837</v>
      </c>
      <c r="P955" s="42" t="str">
        <f>+IF(O955="","",IFERROR(VLOOKUP(O955,CODIGO_DIAGNOSTICO,2,0),"CÓDIGO NO ENCONTRADO"))</f>
        <v>LUMBAGO CON CIATICA</v>
      </c>
      <c r="Q955" s="68" t="s">
        <v>26059</v>
      </c>
      <c r="R955" s="67"/>
      <c r="S955" s="77"/>
      <c r="T955" s="76"/>
      <c r="U955" s="65"/>
      <c r="V955" s="68"/>
      <c r="W955" s="70"/>
      <c r="X955" s="68"/>
      <c r="Y955" s="70"/>
      <c r="Z955" s="72"/>
    </row>
    <row r="956" spans="1:26" ht="15.75" hidden="1" customHeight="1" x14ac:dyDescent="0.25">
      <c r="A956" s="64">
        <v>12</v>
      </c>
      <c r="B956" s="62">
        <v>71657563</v>
      </c>
      <c r="C956" s="62" t="s">
        <v>25901</v>
      </c>
      <c r="D956" s="62" t="s">
        <v>25065</v>
      </c>
      <c r="E956" s="62" t="s">
        <v>25945</v>
      </c>
      <c r="F956" s="62" t="s">
        <v>25103</v>
      </c>
      <c r="G956" s="81" t="s">
        <v>19285</v>
      </c>
      <c r="H956" s="63">
        <v>45631</v>
      </c>
      <c r="I956" s="63">
        <v>45640</v>
      </c>
      <c r="J956" s="62">
        <v>10</v>
      </c>
      <c r="K956" s="62">
        <v>10</v>
      </c>
      <c r="L956" s="62" t="s">
        <v>24995</v>
      </c>
      <c r="M956" s="62" t="s">
        <v>24995</v>
      </c>
      <c r="N956" s="62" t="s">
        <v>19269</v>
      </c>
      <c r="O956" s="62" t="s">
        <v>11782</v>
      </c>
      <c r="P956" s="42" t="str">
        <f>+IF(O956="","",IFERROR(VLOOKUP(O956,CODIGO_DIAGNOSTICO,2,0),"CÓDIGO NO ENCONTRADO"))</f>
        <v>OTROS PROCEDIMIENTOS QUIRURGICOS</v>
      </c>
      <c r="Q956" s="62" t="s">
        <v>26339</v>
      </c>
      <c r="R956" s="64"/>
      <c r="S956" s="75"/>
      <c r="T956" s="75"/>
      <c r="U956" s="65"/>
      <c r="V956" s="62"/>
      <c r="W956" s="65"/>
      <c r="X956" s="62"/>
      <c r="Y956" s="65"/>
      <c r="Z956" s="73"/>
    </row>
    <row r="957" spans="1:26" ht="15.75" hidden="1" customHeight="1" x14ac:dyDescent="0.25">
      <c r="A957" s="67">
        <v>12</v>
      </c>
      <c r="B957" s="68">
        <v>1037073208</v>
      </c>
      <c r="C957" s="68" t="s">
        <v>25094</v>
      </c>
      <c r="D957" s="68" t="s">
        <v>25687</v>
      </c>
      <c r="E957" s="68" t="s">
        <v>25884</v>
      </c>
      <c r="F957" s="68" t="s">
        <v>25885</v>
      </c>
      <c r="G957" s="81" t="s">
        <v>19285</v>
      </c>
      <c r="H957" s="69">
        <v>45631</v>
      </c>
      <c r="I957" s="69">
        <v>45644</v>
      </c>
      <c r="J957" s="68">
        <v>14</v>
      </c>
      <c r="K957" s="68">
        <v>14</v>
      </c>
      <c r="L957" s="68" t="s">
        <v>19262</v>
      </c>
      <c r="M957" s="68" t="s">
        <v>19262</v>
      </c>
      <c r="N957" s="62" t="s">
        <v>19263</v>
      </c>
      <c r="O957" s="68" t="s">
        <v>4347</v>
      </c>
      <c r="P957" s="42" t="str">
        <f>+IF(O957="","",IFERROR(VLOOKUP(O957,CODIGO_DIAGNOSTICO,2,0),"CÓDIGO NO ENCONTRADO"))</f>
        <v>URTICARIA ALERGICA</v>
      </c>
      <c r="Q957" s="68" t="s">
        <v>25001</v>
      </c>
      <c r="R957" s="67"/>
      <c r="S957" s="77"/>
      <c r="T957" s="76"/>
      <c r="U957" s="65"/>
      <c r="V957" s="68"/>
      <c r="W957" s="70"/>
      <c r="X957" s="68"/>
      <c r="Y957" s="70"/>
      <c r="Z957" s="72"/>
    </row>
    <row r="958" spans="1:26" ht="15.75" hidden="1" customHeight="1" x14ac:dyDescent="0.25">
      <c r="A958" s="64">
        <v>12</v>
      </c>
      <c r="B958" s="62">
        <v>1038112223</v>
      </c>
      <c r="C958" s="62" t="s">
        <v>26269</v>
      </c>
      <c r="D958" s="62" t="s">
        <v>25108</v>
      </c>
      <c r="E958" s="62" t="s">
        <v>25019</v>
      </c>
      <c r="F958" s="62" t="s">
        <v>25010</v>
      </c>
      <c r="G958" s="81" t="s">
        <v>19285</v>
      </c>
      <c r="H958" s="63">
        <v>45632</v>
      </c>
      <c r="I958" s="63">
        <v>45633</v>
      </c>
      <c r="J958" s="62">
        <v>2</v>
      </c>
      <c r="K958" s="62">
        <v>2</v>
      </c>
      <c r="L958" s="62" t="s">
        <v>24995</v>
      </c>
      <c r="M958" s="62" t="s">
        <v>24995</v>
      </c>
      <c r="N958" s="62" t="s">
        <v>19269</v>
      </c>
      <c r="O958" s="62" t="s">
        <v>88</v>
      </c>
      <c r="P958" s="42" t="str">
        <f>+IF(O958="","",IFERROR(VLOOKUP(O958,CODIGO_DIAGNOSTICO,2,0),"CÓDIGO NO ENCONTRADO"))</f>
        <v>DIARREA Y GASTROENTERITIS DE PRESUNTO ORIGEN INFECCIOSO</v>
      </c>
      <c r="Q958" s="62" t="s">
        <v>26339</v>
      </c>
      <c r="R958" s="64"/>
      <c r="S958" s="75"/>
      <c r="T958" s="75"/>
      <c r="U958" s="65"/>
      <c r="V958" s="62"/>
      <c r="W958" s="65"/>
      <c r="X958" s="62"/>
      <c r="Y958" s="65"/>
      <c r="Z958" s="73"/>
    </row>
    <row r="959" spans="1:26" ht="15.75" hidden="1" customHeight="1" x14ac:dyDescent="0.25">
      <c r="A959" s="67">
        <v>12</v>
      </c>
      <c r="B959" s="68">
        <v>10531748</v>
      </c>
      <c r="C959" s="68" t="s">
        <v>25523</v>
      </c>
      <c r="D959" s="68" t="s">
        <v>25733</v>
      </c>
      <c r="E959" s="68" t="s">
        <v>25005</v>
      </c>
      <c r="F959" s="68" t="s">
        <v>25416</v>
      </c>
      <c r="G959" s="81" t="s">
        <v>19285</v>
      </c>
      <c r="H959" s="69">
        <v>45635</v>
      </c>
      <c r="I959" s="69">
        <v>45637</v>
      </c>
      <c r="J959" s="68">
        <v>3</v>
      </c>
      <c r="K959" s="68">
        <v>3</v>
      </c>
      <c r="L959" s="68" t="s">
        <v>24995</v>
      </c>
      <c r="M959" s="68" t="s">
        <v>24995</v>
      </c>
      <c r="N959" s="62" t="s">
        <v>19269</v>
      </c>
      <c r="O959" s="68" t="s">
        <v>3691</v>
      </c>
      <c r="P959" s="42" t="str">
        <f>+IF(O959="","",IFERROR(VLOOKUP(O959,CODIGO_DIAGNOSTICO,2,0),"CÓDIGO NO ENCONTRADO"))</f>
        <v>ENFERMEDAD PULMONAR OBSTRUCTIVA CRONICA CON EXACERBACION AGUDA, NO ESPECIFICADA</v>
      </c>
      <c r="Q959" s="68" t="s">
        <v>26059</v>
      </c>
      <c r="R959" s="67"/>
      <c r="S959" s="77"/>
      <c r="T959" s="76"/>
      <c r="U959" s="65"/>
      <c r="V959" s="68"/>
      <c r="W959" s="70"/>
      <c r="X959" s="68"/>
      <c r="Y959" s="70"/>
      <c r="Z959" s="72"/>
    </row>
    <row r="960" spans="1:26" ht="15.75" hidden="1" customHeight="1" x14ac:dyDescent="0.25">
      <c r="A960" s="64">
        <v>12</v>
      </c>
      <c r="B960" s="62">
        <v>71278466</v>
      </c>
      <c r="C960" s="62" t="s">
        <v>25420</v>
      </c>
      <c r="D960" s="62" t="s">
        <v>25645</v>
      </c>
      <c r="E960" s="62" t="s">
        <v>25358</v>
      </c>
      <c r="F960" s="62" t="s">
        <v>25500</v>
      </c>
      <c r="G960" s="81" t="s">
        <v>19285</v>
      </c>
      <c r="H960" s="63">
        <v>45635</v>
      </c>
      <c r="I960" s="63">
        <v>45636</v>
      </c>
      <c r="J960" s="62">
        <v>2</v>
      </c>
      <c r="K960" s="62">
        <v>2</v>
      </c>
      <c r="L960" s="62" t="s">
        <v>24995</v>
      </c>
      <c r="M960" s="62" t="s">
        <v>24995</v>
      </c>
      <c r="N960" s="62" t="s">
        <v>19269</v>
      </c>
      <c r="O960" s="62" t="s">
        <v>15281</v>
      </c>
      <c r="P960" s="42" t="str">
        <f>+IF(O960="","",IFERROR(VLOOKUP(O960,CODIGO_DIAGNOSTICO,2,0),"CÓDIGO NO ENCONTRADO"))</f>
        <v>RINOFARINGITIS AGUDA (RESFRIADO COMUN)</v>
      </c>
      <c r="Q960" s="62" t="s">
        <v>26059</v>
      </c>
      <c r="R960" s="64"/>
      <c r="S960" s="75"/>
      <c r="T960" s="75"/>
      <c r="U960" s="65"/>
      <c r="V960" s="62"/>
      <c r="W960" s="65"/>
      <c r="X960" s="62"/>
      <c r="Y960" s="65"/>
      <c r="Z960" s="73"/>
    </row>
    <row r="961" spans="1:26" ht="15.75" hidden="1" customHeight="1" x14ac:dyDescent="0.25">
      <c r="A961" s="67">
        <v>12</v>
      </c>
      <c r="B961" s="68">
        <v>1007632849</v>
      </c>
      <c r="C961" s="68" t="s">
        <v>25167</v>
      </c>
      <c r="D961" s="68" t="s">
        <v>25175</v>
      </c>
      <c r="E961" s="68" t="s">
        <v>26171</v>
      </c>
      <c r="F961" s="68" t="s">
        <v>25177</v>
      </c>
      <c r="G961" s="81" t="s">
        <v>19285</v>
      </c>
      <c r="H961" s="69">
        <v>45635</v>
      </c>
      <c r="I961" s="69">
        <v>45639</v>
      </c>
      <c r="J961" s="68">
        <v>5</v>
      </c>
      <c r="K961" s="68">
        <v>5</v>
      </c>
      <c r="L961" s="68" t="s">
        <v>24995</v>
      </c>
      <c r="M961" s="68" t="s">
        <v>24995</v>
      </c>
      <c r="N961" s="62" t="s">
        <v>19269</v>
      </c>
      <c r="O961" s="68" t="s">
        <v>6929</v>
      </c>
      <c r="P961" s="42" t="str">
        <f>+IF(O961="","",IFERROR(VLOOKUP(O961,CODIGO_DIAGNOSTICO,2,0),"CÓDIGO NO ENCONTRADO"))</f>
        <v>DOLOR EN EL PECHO, NO ESPECIFICADO</v>
      </c>
      <c r="Q961" s="68" t="s">
        <v>24996</v>
      </c>
      <c r="R961" s="67"/>
      <c r="S961" s="77"/>
      <c r="T961" s="76"/>
      <c r="U961" s="65"/>
      <c r="V961" s="68"/>
      <c r="W961" s="70"/>
      <c r="X961" s="68"/>
      <c r="Y961" s="70"/>
      <c r="Z961" s="72"/>
    </row>
    <row r="962" spans="1:26" ht="15.75" hidden="1" customHeight="1" x14ac:dyDescent="0.25">
      <c r="A962" s="64">
        <v>12</v>
      </c>
      <c r="B962" s="62">
        <v>15526159</v>
      </c>
      <c r="C962" s="62" t="s">
        <v>25865</v>
      </c>
      <c r="D962" s="62" t="s">
        <v>25284</v>
      </c>
      <c r="E962" s="62" t="s">
        <v>25141</v>
      </c>
      <c r="F962" s="62" t="s">
        <v>25103</v>
      </c>
      <c r="G962" s="81" t="s">
        <v>19285</v>
      </c>
      <c r="H962" s="63">
        <v>45636</v>
      </c>
      <c r="I962" s="63">
        <v>45637</v>
      </c>
      <c r="J962" s="62">
        <v>2</v>
      </c>
      <c r="K962" s="62">
        <v>2</v>
      </c>
      <c r="L962" s="62" t="s">
        <v>19262</v>
      </c>
      <c r="M962" s="62" t="s">
        <v>24995</v>
      </c>
      <c r="N962" s="62" t="s">
        <v>19269</v>
      </c>
      <c r="O962" s="62" t="s">
        <v>3014</v>
      </c>
      <c r="P962" s="42" t="str">
        <f>+IF(O962="","",IFERROR(VLOOKUP(O962,CODIGO_DIAGNOSTICO,2,0),"CÓDIGO NO ENCONTRADO"))</f>
        <v>ESTRABISMO CONCOMITANTE CONVERGENTE</v>
      </c>
      <c r="Q962" s="62" t="s">
        <v>26059</v>
      </c>
      <c r="R962" s="64"/>
      <c r="S962" s="75"/>
      <c r="T962" s="75"/>
      <c r="U962" s="65"/>
      <c r="V962" s="62"/>
      <c r="W962" s="65"/>
      <c r="X962" s="62"/>
      <c r="Y962" s="65"/>
      <c r="Z962" s="73"/>
    </row>
    <row r="963" spans="1:26" ht="15.75" hidden="1" customHeight="1" x14ac:dyDescent="0.25">
      <c r="A963" s="67">
        <v>12</v>
      </c>
      <c r="B963" s="68">
        <v>15309929</v>
      </c>
      <c r="C963" s="68" t="s">
        <v>25011</v>
      </c>
      <c r="D963" s="68" t="s">
        <v>25012</v>
      </c>
      <c r="E963" s="68" t="s">
        <v>25013</v>
      </c>
      <c r="F963" s="68" t="s">
        <v>25014</v>
      </c>
      <c r="G963" s="81" t="s">
        <v>19285</v>
      </c>
      <c r="H963" s="69">
        <v>45636</v>
      </c>
      <c r="I963" s="69">
        <v>45650</v>
      </c>
      <c r="J963" s="68">
        <v>15</v>
      </c>
      <c r="K963" s="68">
        <v>15</v>
      </c>
      <c r="L963" s="68" t="s">
        <v>19262</v>
      </c>
      <c r="M963" s="68" t="s">
        <v>19262</v>
      </c>
      <c r="N963" s="62" t="s">
        <v>19269</v>
      </c>
      <c r="O963" s="68" t="s">
        <v>7734</v>
      </c>
      <c r="P963" s="42" t="str">
        <f>+IF(O963="","",IFERROR(VLOOKUP(O963,CODIGO_DIAGNOSTICO,2,0),"CÓDIGO NO ENCONTRADO"))</f>
        <v>DESGARRO DE MENISCOS, PRESENTE</v>
      </c>
      <c r="Q963" s="68" t="s">
        <v>26059</v>
      </c>
      <c r="R963" s="67"/>
      <c r="S963" s="77"/>
      <c r="T963" s="76"/>
      <c r="U963" s="65"/>
      <c r="V963" s="68"/>
      <c r="W963" s="70"/>
      <c r="X963" s="68"/>
      <c r="Y963" s="70"/>
      <c r="Z963" s="72"/>
    </row>
    <row r="964" spans="1:26" ht="15.75" hidden="1" customHeight="1" x14ac:dyDescent="0.25">
      <c r="A964" s="64">
        <v>12</v>
      </c>
      <c r="B964" s="62">
        <v>1020398409</v>
      </c>
      <c r="C964" s="62" t="s">
        <v>26375</v>
      </c>
      <c r="D964" s="62" t="s">
        <v>26376</v>
      </c>
      <c r="E964" s="62" t="s">
        <v>26377</v>
      </c>
      <c r="F964" s="62" t="s">
        <v>25028</v>
      </c>
      <c r="G964" s="81" t="s">
        <v>19285</v>
      </c>
      <c r="H964" s="63">
        <v>45637</v>
      </c>
      <c r="I964" s="63">
        <v>45638</v>
      </c>
      <c r="J964" s="62">
        <v>2</v>
      </c>
      <c r="K964" s="62">
        <v>2</v>
      </c>
      <c r="L964" s="62" t="s">
        <v>24995</v>
      </c>
      <c r="M964" s="62" t="s">
        <v>24995</v>
      </c>
      <c r="N964" s="62" t="s">
        <v>19269</v>
      </c>
      <c r="O964" s="62" t="s">
        <v>4895</v>
      </c>
      <c r="P964" s="42" t="str">
        <f>+IF(O964="","",IFERROR(VLOOKUP(O964,CODIGO_DIAGNOSTICO,2,0),"CÓDIGO NO ENCONTRADO"))</f>
        <v>OTRAS BURSITIS DE LA RODILLA</v>
      </c>
      <c r="Q964" s="62" t="s">
        <v>24996</v>
      </c>
      <c r="R964" s="64"/>
      <c r="S964" s="75"/>
      <c r="T964" s="75"/>
      <c r="U964" s="65"/>
      <c r="V964" s="62"/>
      <c r="W964" s="65"/>
      <c r="X964" s="62"/>
      <c r="Y964" s="65"/>
      <c r="Z964" s="73"/>
    </row>
    <row r="965" spans="1:26" ht="15.75" hidden="1" customHeight="1" x14ac:dyDescent="0.25">
      <c r="A965" s="67">
        <v>12</v>
      </c>
      <c r="B965" s="68">
        <v>1045435590</v>
      </c>
      <c r="C965" s="68" t="s">
        <v>26188</v>
      </c>
      <c r="D965" s="68" t="s">
        <v>25498</v>
      </c>
      <c r="E965" s="68" t="s">
        <v>25074</v>
      </c>
      <c r="F965" s="68" t="s">
        <v>25442</v>
      </c>
      <c r="G965" s="81" t="s">
        <v>25328</v>
      </c>
      <c r="H965" s="69">
        <v>45638</v>
      </c>
      <c r="I965" s="69">
        <v>45639</v>
      </c>
      <c r="J965" s="68">
        <v>2</v>
      </c>
      <c r="K965" s="68">
        <v>2</v>
      </c>
      <c r="L965" s="68" t="s">
        <v>24995</v>
      </c>
      <c r="M965" s="68" t="s">
        <v>24995</v>
      </c>
      <c r="N965" s="62" t="s">
        <v>19269</v>
      </c>
      <c r="O965" s="68" t="s">
        <v>15281</v>
      </c>
      <c r="P965" s="42" t="str">
        <f>+IF(O965="","",IFERROR(VLOOKUP(O965,CODIGO_DIAGNOSTICO,2,0),"CÓDIGO NO ENCONTRADO"))</f>
        <v>RINOFARINGITIS AGUDA (RESFRIADO COMUN)</v>
      </c>
      <c r="Q965" s="68" t="s">
        <v>24996</v>
      </c>
      <c r="R965" s="67"/>
      <c r="S965" s="77"/>
      <c r="T965" s="76"/>
      <c r="U965" s="65"/>
      <c r="V965" s="68"/>
      <c r="W965" s="70"/>
      <c r="X965" s="68"/>
      <c r="Y965" s="70"/>
      <c r="Z965" s="72"/>
    </row>
    <row r="966" spans="1:26" ht="15.75" hidden="1" customHeight="1" x14ac:dyDescent="0.25">
      <c r="A966" s="64">
        <v>12</v>
      </c>
      <c r="B966" s="62">
        <v>15385995</v>
      </c>
      <c r="C966" s="62" t="s">
        <v>25411</v>
      </c>
      <c r="D966" s="62" t="s">
        <v>25312</v>
      </c>
      <c r="E966" s="62" t="s">
        <v>25282</v>
      </c>
      <c r="F966" s="62" t="s">
        <v>25157</v>
      </c>
      <c r="G966" s="81" t="s">
        <v>19285</v>
      </c>
      <c r="H966" s="63">
        <v>45638</v>
      </c>
      <c r="I966" s="63">
        <v>45640</v>
      </c>
      <c r="J966" s="62">
        <v>3</v>
      </c>
      <c r="K966" s="62">
        <v>3</v>
      </c>
      <c r="L966" s="62" t="s">
        <v>24995</v>
      </c>
      <c r="M966" s="62" t="s">
        <v>24995</v>
      </c>
      <c r="N966" s="62" t="s">
        <v>19269</v>
      </c>
      <c r="O966" s="62" t="s">
        <v>5226</v>
      </c>
      <c r="P966" s="42" t="str">
        <f>+IF(O966="","",IFERROR(VLOOKUP(O966,CODIGO_DIAGNOSTICO,2,0),"CÓDIGO NO ENCONTRADO"))</f>
        <v>COLICO RENAL, NO ESPECIFICADO</v>
      </c>
      <c r="Q966" s="62" t="s">
        <v>26339</v>
      </c>
      <c r="R966" s="64"/>
      <c r="S966" s="75"/>
      <c r="T966" s="75"/>
      <c r="U966" s="65"/>
      <c r="V966" s="62"/>
      <c r="W966" s="65"/>
      <c r="X966" s="62"/>
      <c r="Y966" s="65"/>
      <c r="Z966" s="73"/>
    </row>
    <row r="967" spans="1:26" ht="15.75" hidden="1" customHeight="1" x14ac:dyDescent="0.25">
      <c r="A967" s="67">
        <v>12</v>
      </c>
      <c r="B967" s="68">
        <v>15526159</v>
      </c>
      <c r="C967" s="68" t="s">
        <v>25865</v>
      </c>
      <c r="D967" s="68" t="s">
        <v>25284</v>
      </c>
      <c r="E967" s="68" t="s">
        <v>26159</v>
      </c>
      <c r="F967" s="68" t="s">
        <v>24982</v>
      </c>
      <c r="G967" s="81" t="s">
        <v>19285</v>
      </c>
      <c r="H967" s="69">
        <v>45638</v>
      </c>
      <c r="I967" s="69">
        <v>45640</v>
      </c>
      <c r="J967" s="68">
        <v>3</v>
      </c>
      <c r="K967" s="68">
        <v>3</v>
      </c>
      <c r="L967" s="68" t="s">
        <v>19262</v>
      </c>
      <c r="M967" s="68" t="s">
        <v>19262</v>
      </c>
      <c r="N967" s="62" t="s">
        <v>19269</v>
      </c>
      <c r="O967" s="68" t="s">
        <v>3014</v>
      </c>
      <c r="P967" s="42" t="str">
        <f>+IF(O967="","",IFERROR(VLOOKUP(O967,CODIGO_DIAGNOSTICO,2,0),"CÓDIGO NO ENCONTRADO"))</f>
        <v>ESTRABISMO CONCOMITANTE CONVERGENTE</v>
      </c>
      <c r="Q967" s="68" t="s">
        <v>26059</v>
      </c>
      <c r="R967" s="67"/>
      <c r="S967" s="77"/>
      <c r="T967" s="76"/>
      <c r="U967" s="65"/>
      <c r="V967" s="68"/>
      <c r="W967" s="70"/>
      <c r="X967" s="68"/>
      <c r="Y967" s="70"/>
      <c r="Z967" s="72"/>
    </row>
    <row r="968" spans="1:26" ht="15.75" hidden="1" customHeight="1" x14ac:dyDescent="0.25">
      <c r="A968" s="64">
        <v>12</v>
      </c>
      <c r="B968" s="62">
        <v>98601485</v>
      </c>
      <c r="C968" s="62" t="s">
        <v>25240</v>
      </c>
      <c r="D968" s="62"/>
      <c r="E968" s="62" t="s">
        <v>25241</v>
      </c>
      <c r="F968" s="62" t="s">
        <v>25103</v>
      </c>
      <c r="G968" s="81" t="s">
        <v>19285</v>
      </c>
      <c r="H968" s="63">
        <v>45640</v>
      </c>
      <c r="I968" s="63">
        <v>45654</v>
      </c>
      <c r="J968" s="62">
        <v>15</v>
      </c>
      <c r="K968" s="62">
        <v>15</v>
      </c>
      <c r="L968" s="62" t="s">
        <v>19262</v>
      </c>
      <c r="M968" s="62" t="s">
        <v>19262</v>
      </c>
      <c r="N968" s="62" t="s">
        <v>19269</v>
      </c>
      <c r="O968" s="62" t="s">
        <v>8419</v>
      </c>
      <c r="P968" s="42" t="str">
        <f>+IF(O968="","",IFERROR(VLOOKUP(O968,CODIGO_DIAGNOSTICO,2,0),"CÓDIGO NO ENCONTRADO"))</f>
        <v>COMPLICACION MECANICA DE OTROS DISPOSITIVOS PROTESICOS, IMPLANTES E INJERTOS ORTOPEDICOS INTERNOS</v>
      </c>
      <c r="Q968" s="62" t="s">
        <v>26059</v>
      </c>
      <c r="R968" s="64"/>
      <c r="S968" s="75"/>
      <c r="T968" s="75"/>
      <c r="U968" s="65"/>
      <c r="V968" s="62"/>
      <c r="W968" s="65"/>
      <c r="X968" s="62"/>
      <c r="Y968" s="65"/>
      <c r="Z968" s="73"/>
    </row>
    <row r="969" spans="1:26" ht="15.75" hidden="1" customHeight="1" x14ac:dyDescent="0.25">
      <c r="A969" s="67">
        <v>12</v>
      </c>
      <c r="B969" s="68">
        <v>1045435590</v>
      </c>
      <c r="C969" s="68" t="s">
        <v>26188</v>
      </c>
      <c r="D969" s="68" t="s">
        <v>25498</v>
      </c>
      <c r="E969" s="68" t="s">
        <v>25074</v>
      </c>
      <c r="F969" s="68" t="s">
        <v>25442</v>
      </c>
      <c r="G969" s="81" t="s">
        <v>25328</v>
      </c>
      <c r="H969" s="69">
        <v>45641</v>
      </c>
      <c r="I969" s="69">
        <v>45643</v>
      </c>
      <c r="J969" s="68">
        <v>3</v>
      </c>
      <c r="K969" s="68">
        <v>3</v>
      </c>
      <c r="L969" s="68" t="s">
        <v>24995</v>
      </c>
      <c r="M969" s="68" t="s">
        <v>24995</v>
      </c>
      <c r="N969" s="62" t="s">
        <v>19263</v>
      </c>
      <c r="O969" s="68" t="s">
        <v>7602</v>
      </c>
      <c r="P969" s="42" t="str">
        <f>+IF(O969="","",IFERROR(VLOOKUP(O969,CODIGO_DIAGNOSTICO,2,0),"CÓDIGO NO ENCONTRADO"))</f>
        <v>CONTUSION DE OTRAS PARTES DE LA MUÑECA Y DE LA MANO</v>
      </c>
      <c r="Q969" s="68" t="s">
        <v>25001</v>
      </c>
      <c r="R969" s="67"/>
      <c r="S969" s="77"/>
      <c r="T969" s="76"/>
      <c r="U969" s="65"/>
      <c r="V969" s="68"/>
      <c r="W969" s="70"/>
      <c r="X969" s="68"/>
      <c r="Y969" s="70"/>
      <c r="Z969" s="72"/>
    </row>
    <row r="970" spans="1:26" ht="15.75" hidden="1" customHeight="1" x14ac:dyDescent="0.25">
      <c r="A970" s="64">
        <v>12</v>
      </c>
      <c r="B970" s="62">
        <v>98594342</v>
      </c>
      <c r="C970" s="62" t="s">
        <v>25190</v>
      </c>
      <c r="D970" s="62" t="s">
        <v>25164</v>
      </c>
      <c r="E970" s="62" t="s">
        <v>25493</v>
      </c>
      <c r="F970" s="62" t="s">
        <v>25020</v>
      </c>
      <c r="G970" s="81" t="s">
        <v>19285</v>
      </c>
      <c r="H970" s="63">
        <v>45642</v>
      </c>
      <c r="I970" s="63">
        <v>45643</v>
      </c>
      <c r="J970" s="62">
        <v>2</v>
      </c>
      <c r="K970" s="62">
        <v>2</v>
      </c>
      <c r="L970" s="62" t="s">
        <v>24995</v>
      </c>
      <c r="M970" s="62" t="s">
        <v>24995</v>
      </c>
      <c r="N970" s="62" t="s">
        <v>19269</v>
      </c>
      <c r="O970" s="62" t="s">
        <v>3517</v>
      </c>
      <c r="P970" s="42" t="str">
        <f>+IF(O970="","",IFERROR(VLOOKUP(O970,CODIGO_DIAGNOSTICO,2,0),"CÓDIGO NO ENCONTRADO"))</f>
        <v>HEMORROIDES INTERNAS CON OTRAS COMPLICACIONES</v>
      </c>
      <c r="Q970" s="62" t="s">
        <v>24996</v>
      </c>
      <c r="R970" s="64"/>
      <c r="S970" s="75"/>
      <c r="T970" s="75"/>
      <c r="U970" s="65"/>
      <c r="V970" s="62"/>
      <c r="W970" s="65"/>
      <c r="X970" s="62"/>
      <c r="Y970" s="65"/>
      <c r="Z970" s="73"/>
    </row>
    <row r="971" spans="1:26" ht="15.75" hidden="1" customHeight="1" x14ac:dyDescent="0.25">
      <c r="A971" s="67">
        <v>12</v>
      </c>
      <c r="B971" s="68">
        <v>1128438267</v>
      </c>
      <c r="C971" s="68" t="s">
        <v>26302</v>
      </c>
      <c r="D971" s="68" t="s">
        <v>25593</v>
      </c>
      <c r="E971" s="68" t="s">
        <v>26303</v>
      </c>
      <c r="F971" s="68" t="s">
        <v>24986</v>
      </c>
      <c r="G971" s="81" t="s">
        <v>19285</v>
      </c>
      <c r="H971" s="69">
        <v>45642</v>
      </c>
      <c r="I971" s="69">
        <v>45642</v>
      </c>
      <c r="J971" s="68">
        <v>1</v>
      </c>
      <c r="K971" s="68">
        <v>1</v>
      </c>
      <c r="L971" s="68" t="s">
        <v>24995</v>
      </c>
      <c r="M971" s="68" t="s">
        <v>24995</v>
      </c>
      <c r="N971" s="62" t="s">
        <v>19269</v>
      </c>
      <c r="O971" s="68" t="s">
        <v>4835</v>
      </c>
      <c r="P971" s="42" t="str">
        <f>+IF(O971="","",IFERROR(VLOOKUP(O971,CODIGO_DIAGNOSTICO,2,0),"CÓDIGO NO ENCONTRADO"))</f>
        <v>CERVICALGIA</v>
      </c>
      <c r="Q971" s="68" t="s">
        <v>26059</v>
      </c>
      <c r="R971" s="67"/>
      <c r="S971" s="77"/>
      <c r="T971" s="76"/>
      <c r="U971" s="65"/>
      <c r="V971" s="68"/>
      <c r="W971" s="70"/>
      <c r="X971" s="68"/>
      <c r="Y971" s="70"/>
      <c r="Z971" s="72"/>
    </row>
    <row r="972" spans="1:26" ht="15.75" hidden="1" customHeight="1" x14ac:dyDescent="0.25">
      <c r="A972" s="64">
        <v>12</v>
      </c>
      <c r="B972" s="62">
        <v>71676289</v>
      </c>
      <c r="C972" s="62" t="s">
        <v>25015</v>
      </c>
      <c r="D972" s="62" t="s">
        <v>25012</v>
      </c>
      <c r="E972" s="62" t="s">
        <v>25016</v>
      </c>
      <c r="F972" s="62" t="s">
        <v>25004</v>
      </c>
      <c r="G972" s="81" t="s">
        <v>19285</v>
      </c>
      <c r="H972" s="63">
        <v>45642</v>
      </c>
      <c r="I972" s="63">
        <v>45656</v>
      </c>
      <c r="J972" s="62">
        <v>15</v>
      </c>
      <c r="K972" s="62">
        <v>15</v>
      </c>
      <c r="L972" s="62" t="s">
        <v>19262</v>
      </c>
      <c r="M972" s="62" t="s">
        <v>19262</v>
      </c>
      <c r="N972" s="62" t="s">
        <v>19269</v>
      </c>
      <c r="O972" s="62" t="s">
        <v>5006</v>
      </c>
      <c r="P972" s="42" t="str">
        <f>+IF(O972="","",IFERROR(VLOOKUP(O972,CODIGO_DIAGNOSTICO,2,0),"CÓDIGO NO ENCONTRADO"))</f>
        <v>OSTEOMIELITIS, NO ESPECIFICADA</v>
      </c>
      <c r="Q972" s="62" t="s">
        <v>26059</v>
      </c>
      <c r="R972" s="64"/>
      <c r="S972" s="75"/>
      <c r="T972" s="75"/>
      <c r="U972" s="65"/>
      <c r="V972" s="62"/>
      <c r="W972" s="65"/>
      <c r="X972" s="62"/>
      <c r="Y972" s="65"/>
      <c r="Z972" s="73"/>
    </row>
    <row r="973" spans="1:26" ht="15.75" hidden="1" customHeight="1" x14ac:dyDescent="0.25">
      <c r="A973" s="67">
        <v>12</v>
      </c>
      <c r="B973" s="68">
        <v>93396256</v>
      </c>
      <c r="C973" s="68" t="s">
        <v>25505</v>
      </c>
      <c r="D973" s="68" t="s">
        <v>25480</v>
      </c>
      <c r="E973" s="68" t="s">
        <v>26348</v>
      </c>
      <c r="F973" s="68" t="s">
        <v>25135</v>
      </c>
      <c r="G973" s="81" t="s">
        <v>19285</v>
      </c>
      <c r="H973" s="69">
        <v>45643</v>
      </c>
      <c r="I973" s="69">
        <v>45647</v>
      </c>
      <c r="J973" s="68">
        <v>5</v>
      </c>
      <c r="K973" s="68">
        <v>5</v>
      </c>
      <c r="L973" s="68" t="s">
        <v>24995</v>
      </c>
      <c r="M973" s="68" t="s">
        <v>24995</v>
      </c>
      <c r="N973" s="62" t="s">
        <v>19269</v>
      </c>
      <c r="O973" s="68" t="s">
        <v>12418</v>
      </c>
      <c r="P973" s="42" t="str">
        <f>+IF(O973="","",IFERROR(VLOOKUP(O973,CODIGO_DIAGNOSTICO,2,0),"CÓDIGO NO ENCONTRADO"))</f>
        <v>PRESENCIA DE MARCAPASO CARDIACO</v>
      </c>
      <c r="Q973" s="68" t="s">
        <v>24996</v>
      </c>
      <c r="R973" s="67"/>
      <c r="S973" s="77"/>
      <c r="T973" s="76"/>
      <c r="U973" s="65"/>
      <c r="V973" s="68"/>
      <c r="W973" s="70"/>
      <c r="X973" s="68"/>
      <c r="Y973" s="70"/>
      <c r="Z973" s="72"/>
    </row>
    <row r="974" spans="1:26" ht="15.75" hidden="1" customHeight="1" x14ac:dyDescent="0.25">
      <c r="A974" s="64">
        <v>12</v>
      </c>
      <c r="B974" s="62">
        <v>72296401</v>
      </c>
      <c r="C974" s="62" t="s">
        <v>25599</v>
      </c>
      <c r="D974" s="62" t="s">
        <v>26382</v>
      </c>
      <c r="E974" s="62" t="s">
        <v>19256</v>
      </c>
      <c r="F974" s="62" t="s">
        <v>25005</v>
      </c>
      <c r="G974" s="81" t="s">
        <v>19285</v>
      </c>
      <c r="H974" s="63">
        <v>45643</v>
      </c>
      <c r="I974" s="63">
        <v>45644</v>
      </c>
      <c r="J974" s="62">
        <v>2</v>
      </c>
      <c r="K974" s="62">
        <v>2</v>
      </c>
      <c r="L974" s="62" t="s">
        <v>24995</v>
      </c>
      <c r="M974" s="62" t="s">
        <v>24995</v>
      </c>
      <c r="N974" s="62" t="s">
        <v>19269</v>
      </c>
      <c r="O974" s="62" t="s">
        <v>15281</v>
      </c>
      <c r="P974" s="42" t="str">
        <f>+IF(O974="","",IFERROR(VLOOKUP(O974,CODIGO_DIAGNOSTICO,2,0),"CÓDIGO NO ENCONTRADO"))</f>
        <v>RINOFARINGITIS AGUDA (RESFRIADO COMUN)</v>
      </c>
      <c r="Q974" s="62" t="s">
        <v>26059</v>
      </c>
      <c r="R974" s="64"/>
      <c r="S974" s="75"/>
      <c r="T974" s="75"/>
      <c r="U974" s="65"/>
      <c r="V974" s="62"/>
      <c r="W974" s="65"/>
      <c r="X974" s="62"/>
      <c r="Y974" s="65"/>
      <c r="Z974" s="73"/>
    </row>
    <row r="975" spans="1:26" ht="15.75" hidden="1" customHeight="1" x14ac:dyDescent="0.25">
      <c r="A975" s="67">
        <v>12</v>
      </c>
      <c r="B975" s="68">
        <v>98453736</v>
      </c>
      <c r="C975" s="68" t="s">
        <v>25432</v>
      </c>
      <c r="D975" s="68"/>
      <c r="E975" s="68" t="s">
        <v>25263</v>
      </c>
      <c r="F975" s="68" t="s">
        <v>25071</v>
      </c>
      <c r="G975" s="81" t="s">
        <v>19285</v>
      </c>
      <c r="H975" s="69">
        <v>45643</v>
      </c>
      <c r="I975" s="69">
        <v>45647</v>
      </c>
      <c r="J975" s="68">
        <v>5</v>
      </c>
      <c r="K975" s="68">
        <v>5</v>
      </c>
      <c r="L975" s="68" t="s">
        <v>24995</v>
      </c>
      <c r="M975" s="68" t="s">
        <v>24995</v>
      </c>
      <c r="N975" s="62" t="s">
        <v>19269</v>
      </c>
      <c r="O975" s="68" t="s">
        <v>3628</v>
      </c>
      <c r="P975" s="42" t="str">
        <f>+IF(O975="","",IFERROR(VLOOKUP(O975,CODIGO_DIAGNOSTICO,2,0),"CÓDIGO NO ENCONTRADO"))</f>
        <v>BRONQUITIS AGUDA, NO ESPECIFICADA</v>
      </c>
      <c r="Q975" s="68" t="s">
        <v>26339</v>
      </c>
      <c r="R975" s="67"/>
      <c r="S975" s="77"/>
      <c r="T975" s="76"/>
      <c r="U975" s="65"/>
      <c r="V975" s="68"/>
      <c r="W975" s="70"/>
      <c r="X975" s="68"/>
      <c r="Y975" s="70"/>
      <c r="Z975" s="72"/>
    </row>
    <row r="976" spans="1:26" ht="15.75" hidden="1" customHeight="1" x14ac:dyDescent="0.25">
      <c r="A976" s="64">
        <v>12</v>
      </c>
      <c r="B976" s="62">
        <v>71175425</v>
      </c>
      <c r="C976" s="62" t="s">
        <v>25030</v>
      </c>
      <c r="D976" s="62" t="s">
        <v>25042</v>
      </c>
      <c r="E976" s="62" t="s">
        <v>26379</v>
      </c>
      <c r="F976" s="62" t="s">
        <v>25110</v>
      </c>
      <c r="G976" s="81" t="s">
        <v>19285</v>
      </c>
      <c r="H976" s="63">
        <v>45644</v>
      </c>
      <c r="I976" s="63">
        <v>45645</v>
      </c>
      <c r="J976" s="62">
        <v>2</v>
      </c>
      <c r="K976" s="62">
        <v>2</v>
      </c>
      <c r="L976" s="62" t="s">
        <v>24995</v>
      </c>
      <c r="M976" s="62" t="s">
        <v>24995</v>
      </c>
      <c r="N976" s="62" t="s">
        <v>19269</v>
      </c>
      <c r="O976" s="62" t="s">
        <v>7547</v>
      </c>
      <c r="P976" s="42" t="str">
        <f>+IF(O976="","",IFERROR(VLOOKUP(O976,CODIGO_DIAGNOSTICO,2,0),"CÓDIGO NO ENCONTRADO"))</f>
        <v>CONTUSION DE OTRAS PARTES DEL ANTEBRAZO Y DE LAS NO ESPECIFICADAS</v>
      </c>
      <c r="Q976" s="62" t="s">
        <v>19232</v>
      </c>
      <c r="R976" s="64"/>
      <c r="S976" s="75"/>
      <c r="T976" s="75"/>
      <c r="U976" s="65"/>
      <c r="V976" s="62"/>
      <c r="W976" s="65"/>
      <c r="X976" s="62"/>
      <c r="Y976" s="65"/>
      <c r="Z976" s="73"/>
    </row>
    <row r="977" spans="1:26" ht="15.75" hidden="1" customHeight="1" x14ac:dyDescent="0.25">
      <c r="A977" s="67">
        <v>12</v>
      </c>
      <c r="B977" s="68">
        <v>1013556087</v>
      </c>
      <c r="C977" s="68" t="s">
        <v>25199</v>
      </c>
      <c r="D977" s="68" t="s">
        <v>25426</v>
      </c>
      <c r="E977" s="68" t="s">
        <v>25019</v>
      </c>
      <c r="F977" s="68" t="s">
        <v>25135</v>
      </c>
      <c r="G977" s="81" t="s">
        <v>25328</v>
      </c>
      <c r="H977" s="69">
        <v>45644</v>
      </c>
      <c r="I977" s="69">
        <v>45645</v>
      </c>
      <c r="J977" s="68">
        <v>2</v>
      </c>
      <c r="K977" s="68">
        <v>2</v>
      </c>
      <c r="L977" s="68" t="s">
        <v>24995</v>
      </c>
      <c r="M977" s="68" t="s">
        <v>24995</v>
      </c>
      <c r="N977" s="62" t="s">
        <v>19269</v>
      </c>
      <c r="O977" s="68" t="s">
        <v>4314</v>
      </c>
      <c r="P977" s="42" t="str">
        <f>+IF(O977="","",IFERROR(VLOOKUP(O977,CODIGO_DIAGNOSTICO,2,0),"CÓDIGO NO ENCONTRADO"))</f>
        <v>OTRAS DERMATITIS ESPECIFICADAS</v>
      </c>
      <c r="Q977" s="68" t="s">
        <v>26059</v>
      </c>
      <c r="R977" s="67"/>
      <c r="S977" s="77"/>
      <c r="T977" s="76"/>
      <c r="U977" s="65"/>
      <c r="V977" s="68"/>
      <c r="W977" s="70"/>
      <c r="X977" s="68"/>
      <c r="Y977" s="70"/>
      <c r="Z977" s="72"/>
    </row>
    <row r="978" spans="1:26" ht="15.75" hidden="1" customHeight="1" x14ac:dyDescent="0.25">
      <c r="A978" s="64">
        <v>12</v>
      </c>
      <c r="B978" s="62">
        <v>1037073208</v>
      </c>
      <c r="C978" s="62" t="s">
        <v>25306</v>
      </c>
      <c r="D978" s="62" t="s">
        <v>25296</v>
      </c>
      <c r="E978" s="62" t="s">
        <v>25884</v>
      </c>
      <c r="F978" s="62" t="s">
        <v>25193</v>
      </c>
      <c r="G978" s="81" t="s">
        <v>19285</v>
      </c>
      <c r="H978" s="63">
        <v>45645</v>
      </c>
      <c r="I978" s="63">
        <v>45659</v>
      </c>
      <c r="J978" s="62">
        <v>15</v>
      </c>
      <c r="K978" s="62">
        <v>15</v>
      </c>
      <c r="L978" s="62" t="s">
        <v>19262</v>
      </c>
      <c r="M978" s="62" t="s">
        <v>19262</v>
      </c>
      <c r="N978" s="62" t="s">
        <v>19263</v>
      </c>
      <c r="O978" s="62" t="s">
        <v>4347</v>
      </c>
      <c r="P978" s="42" t="str">
        <f>+IF(O978="","",IFERROR(VLOOKUP(O978,CODIGO_DIAGNOSTICO,2,0),"CÓDIGO NO ENCONTRADO"))</f>
        <v>URTICARIA ALERGICA</v>
      </c>
      <c r="Q978" s="62" t="s">
        <v>25001</v>
      </c>
      <c r="R978" s="64"/>
      <c r="S978" s="75"/>
      <c r="T978" s="75"/>
      <c r="U978" s="65"/>
      <c r="V978" s="62"/>
      <c r="W978" s="65"/>
      <c r="X978" s="62"/>
      <c r="Y978" s="65"/>
      <c r="Z978" s="73"/>
    </row>
    <row r="979" spans="1:26" ht="15.75" hidden="1" customHeight="1" x14ac:dyDescent="0.25">
      <c r="A979" s="67">
        <v>12</v>
      </c>
      <c r="B979" s="68">
        <v>72296401</v>
      </c>
      <c r="C979" s="68" t="s">
        <v>25599</v>
      </c>
      <c r="D979" s="68" t="s">
        <v>26382</v>
      </c>
      <c r="E979" s="68" t="s">
        <v>19256</v>
      </c>
      <c r="F979" s="68" t="s">
        <v>25005</v>
      </c>
      <c r="G979" s="81" t="s">
        <v>19285</v>
      </c>
      <c r="H979" s="69">
        <v>45645</v>
      </c>
      <c r="I979" s="69">
        <v>45647</v>
      </c>
      <c r="J979" s="68">
        <v>3</v>
      </c>
      <c r="K979" s="68">
        <v>3</v>
      </c>
      <c r="L979" s="68" t="s">
        <v>24995</v>
      </c>
      <c r="M979" s="68" t="s">
        <v>24995</v>
      </c>
      <c r="N979" s="62" t="s">
        <v>19269</v>
      </c>
      <c r="O979" s="68" t="s">
        <v>3581</v>
      </c>
      <c r="P979" s="42" t="str">
        <f>+IF(O979="","",IFERROR(VLOOKUP(O979,CODIGO_DIAGNOSTICO,2,0),"CÓDIGO NO ENCONTRADO"))</f>
        <v>LARINGOFARINGITIS AGUDA</v>
      </c>
      <c r="Q979" s="68" t="s">
        <v>26059</v>
      </c>
      <c r="R979" s="67"/>
      <c r="S979" s="77"/>
      <c r="T979" s="76"/>
      <c r="U979" s="65"/>
      <c r="V979" s="68"/>
      <c r="W979" s="70"/>
      <c r="X979" s="68"/>
      <c r="Y979" s="70"/>
      <c r="Z979" s="72"/>
    </row>
    <row r="980" spans="1:26" ht="15.75" hidden="1" customHeight="1" x14ac:dyDescent="0.25">
      <c r="A980" s="64">
        <v>12</v>
      </c>
      <c r="B980" s="62">
        <v>1152185934</v>
      </c>
      <c r="C980" s="62" t="s">
        <v>25747</v>
      </c>
      <c r="D980" s="62" t="s">
        <v>26113</v>
      </c>
      <c r="E980" s="62" t="s">
        <v>25920</v>
      </c>
      <c r="F980" s="62" t="s">
        <v>25196</v>
      </c>
      <c r="G980" s="81" t="s">
        <v>19285</v>
      </c>
      <c r="H980" s="63">
        <v>45645</v>
      </c>
      <c r="I980" s="63">
        <v>45646</v>
      </c>
      <c r="J980" s="62">
        <v>2</v>
      </c>
      <c r="K980" s="62">
        <v>2</v>
      </c>
      <c r="L980" s="62" t="s">
        <v>24995</v>
      </c>
      <c r="M980" s="62" t="s">
        <v>24995</v>
      </c>
      <c r="N980" s="62" t="s">
        <v>19269</v>
      </c>
      <c r="O980" s="62" t="s">
        <v>4838</v>
      </c>
      <c r="P980" s="42" t="str">
        <f>+IF(O980="","",IFERROR(VLOOKUP(O980,CODIGO_DIAGNOSTICO,2,0),"CÓDIGO NO ENCONTRADO"))</f>
        <v>LUMBAGO NO ESPECIFICADO</v>
      </c>
      <c r="Q980" s="62" t="s">
        <v>24996</v>
      </c>
      <c r="R980" s="64"/>
      <c r="S980" s="75"/>
      <c r="T980" s="75"/>
      <c r="U980" s="65"/>
      <c r="V980" s="62"/>
      <c r="W980" s="65"/>
      <c r="X980" s="62"/>
      <c r="Y980" s="65"/>
      <c r="Z980" s="73"/>
    </row>
    <row r="981" spans="1:26" ht="15.75" hidden="1" customHeight="1" x14ac:dyDescent="0.25">
      <c r="A981" s="67">
        <v>12</v>
      </c>
      <c r="B981" s="68">
        <v>12625299</v>
      </c>
      <c r="C981" s="68" t="s">
        <v>26170</v>
      </c>
      <c r="D981" s="68" t="s">
        <v>25322</v>
      </c>
      <c r="E981" s="68" t="s">
        <v>25323</v>
      </c>
      <c r="F981" s="68" t="s">
        <v>25064</v>
      </c>
      <c r="G981" s="81" t="s">
        <v>19285</v>
      </c>
      <c r="H981" s="69">
        <v>45647</v>
      </c>
      <c r="I981" s="69">
        <v>45676</v>
      </c>
      <c r="J981" s="68">
        <v>30</v>
      </c>
      <c r="K981" s="68">
        <v>30</v>
      </c>
      <c r="L981" s="68" t="s">
        <v>19262</v>
      </c>
      <c r="M981" s="68" t="s">
        <v>19262</v>
      </c>
      <c r="N981" s="62" t="s">
        <v>19269</v>
      </c>
      <c r="O981" s="68" t="s">
        <v>3284</v>
      </c>
      <c r="P981" s="42" t="str">
        <f>+IF(O981="","",IFERROR(VLOOKUP(O981,CODIGO_DIAGNOSTICO,2,0),"CÓDIGO NO ENCONTRADO"))</f>
        <v>ENDOCARDITIS INFECCIOSA AGUDA Y SUBAGUDA</v>
      </c>
      <c r="Q981" s="68" t="s">
        <v>26059</v>
      </c>
      <c r="R981" s="67"/>
      <c r="S981" s="77"/>
      <c r="T981" s="76"/>
      <c r="U981" s="65"/>
      <c r="V981" s="68"/>
      <c r="W981" s="70"/>
      <c r="X981" s="68"/>
      <c r="Y981" s="70"/>
      <c r="Z981" s="72"/>
    </row>
    <row r="982" spans="1:26" ht="15.75" hidden="1" customHeight="1" x14ac:dyDescent="0.25">
      <c r="A982" s="64">
        <v>12</v>
      </c>
      <c r="B982" s="62">
        <v>72296401</v>
      </c>
      <c r="C982" s="62" t="s">
        <v>25599</v>
      </c>
      <c r="D982" s="62" t="s">
        <v>26382</v>
      </c>
      <c r="E982" s="62" t="s">
        <v>25358</v>
      </c>
      <c r="F982" s="62" t="s">
        <v>25005</v>
      </c>
      <c r="G982" s="81" t="s">
        <v>19285</v>
      </c>
      <c r="H982" s="63">
        <v>45648</v>
      </c>
      <c r="I982" s="63">
        <v>45649</v>
      </c>
      <c r="J982" s="62">
        <v>2</v>
      </c>
      <c r="K982" s="62">
        <v>2</v>
      </c>
      <c r="L982" s="62" t="s">
        <v>19262</v>
      </c>
      <c r="M982" s="62" t="s">
        <v>24995</v>
      </c>
      <c r="N982" s="62" t="s">
        <v>19269</v>
      </c>
      <c r="O982" s="62" t="s">
        <v>15281</v>
      </c>
      <c r="P982" s="42" t="str">
        <f>+IF(O982="","",IFERROR(VLOOKUP(O982,CODIGO_DIAGNOSTICO,2,0),"CÓDIGO NO ENCONTRADO"))</f>
        <v>RINOFARINGITIS AGUDA (RESFRIADO COMUN)</v>
      </c>
      <c r="Q982" s="62" t="s">
        <v>19230</v>
      </c>
      <c r="R982" s="64"/>
      <c r="S982" s="75"/>
      <c r="T982" s="75"/>
      <c r="U982" s="65"/>
      <c r="V982" s="62"/>
      <c r="W982" s="65"/>
      <c r="X982" s="62"/>
      <c r="Y982" s="65"/>
      <c r="Z982" s="73"/>
    </row>
    <row r="983" spans="1:26" ht="15.75" hidden="1" customHeight="1" x14ac:dyDescent="0.25">
      <c r="A983" s="67">
        <v>12</v>
      </c>
      <c r="B983" s="68">
        <v>72296401</v>
      </c>
      <c r="C983" s="68" t="s">
        <v>25599</v>
      </c>
      <c r="D983" s="68" t="s">
        <v>26382</v>
      </c>
      <c r="E983" s="68" t="s">
        <v>19256</v>
      </c>
      <c r="F983" s="68" t="s">
        <v>25005</v>
      </c>
      <c r="G983" s="81" t="s">
        <v>19285</v>
      </c>
      <c r="H983" s="69">
        <v>45650</v>
      </c>
      <c r="I983" s="69">
        <v>45650</v>
      </c>
      <c r="J983" s="68">
        <v>1</v>
      </c>
      <c r="K983" s="68">
        <v>1</v>
      </c>
      <c r="L983" s="68" t="s">
        <v>19262</v>
      </c>
      <c r="M983" s="68" t="s">
        <v>24995</v>
      </c>
      <c r="N983" s="62" t="s">
        <v>19269</v>
      </c>
      <c r="O983" s="68" t="s">
        <v>15281</v>
      </c>
      <c r="P983" s="42" t="str">
        <f>+IF(O983="","",IFERROR(VLOOKUP(O983,CODIGO_DIAGNOSTICO,2,0),"CÓDIGO NO ENCONTRADO"))</f>
        <v>RINOFARINGITIS AGUDA (RESFRIADO COMUN)</v>
      </c>
      <c r="Q983" s="68" t="s">
        <v>26059</v>
      </c>
      <c r="R983" s="67"/>
      <c r="S983" s="77"/>
      <c r="T983" s="76"/>
      <c r="U983" s="65"/>
      <c r="V983" s="68"/>
      <c r="W983" s="70"/>
      <c r="X983" s="68"/>
      <c r="Y983" s="70"/>
      <c r="Z983" s="72"/>
    </row>
    <row r="984" spans="1:26" ht="15.75" hidden="1" customHeight="1" x14ac:dyDescent="0.25">
      <c r="A984" s="64">
        <v>12</v>
      </c>
      <c r="B984" s="62">
        <v>71694302</v>
      </c>
      <c r="C984" s="62" t="s">
        <v>25432</v>
      </c>
      <c r="D984" s="62" t="s">
        <v>25181</v>
      </c>
      <c r="E984" s="62" t="s">
        <v>25263</v>
      </c>
      <c r="F984" s="62" t="s">
        <v>25162</v>
      </c>
      <c r="G984" s="81" t="s">
        <v>19285</v>
      </c>
      <c r="H984" s="63">
        <v>45650</v>
      </c>
      <c r="I984" s="63">
        <v>45650</v>
      </c>
      <c r="J984" s="62">
        <v>1</v>
      </c>
      <c r="K984" s="62">
        <v>1</v>
      </c>
      <c r="L984" s="62" t="s">
        <v>24995</v>
      </c>
      <c r="M984" s="62" t="s">
        <v>24995</v>
      </c>
      <c r="N984" s="62" t="s">
        <v>19269</v>
      </c>
      <c r="O984" s="62" t="s">
        <v>15281</v>
      </c>
      <c r="P984" s="42" t="str">
        <f>+IF(O984="","",IFERROR(VLOOKUP(O984,CODIGO_DIAGNOSTICO,2,0),"CÓDIGO NO ENCONTRADO"))</f>
        <v>RINOFARINGITIS AGUDA (RESFRIADO COMUN)</v>
      </c>
      <c r="Q984" s="62" t="s">
        <v>24996</v>
      </c>
      <c r="R984" s="64"/>
      <c r="S984" s="75"/>
      <c r="T984" s="75"/>
      <c r="U984" s="65"/>
      <c r="V984" s="62"/>
      <c r="W984" s="65"/>
      <c r="X984" s="62"/>
      <c r="Y984" s="65"/>
      <c r="Z984" s="73"/>
    </row>
    <row r="985" spans="1:26" ht="15.75" hidden="1" customHeight="1" x14ac:dyDescent="0.25">
      <c r="A985" s="67">
        <v>12</v>
      </c>
      <c r="B985" s="68">
        <v>71651935</v>
      </c>
      <c r="C985" s="68" t="s">
        <v>25635</v>
      </c>
      <c r="D985" s="68" t="s">
        <v>25480</v>
      </c>
      <c r="E985" s="68" t="s">
        <v>25282</v>
      </c>
      <c r="F985" s="68" t="s">
        <v>25028</v>
      </c>
      <c r="G985" s="81" t="s">
        <v>19285</v>
      </c>
      <c r="H985" s="69">
        <v>45650</v>
      </c>
      <c r="I985" s="69">
        <v>45679</v>
      </c>
      <c r="J985" s="68">
        <v>30</v>
      </c>
      <c r="K985" s="68">
        <v>30</v>
      </c>
      <c r="L985" s="68" t="s">
        <v>19262</v>
      </c>
      <c r="M985" s="68" t="s">
        <v>19262</v>
      </c>
      <c r="N985" s="62" t="s">
        <v>19269</v>
      </c>
      <c r="O985" s="68" t="s">
        <v>905</v>
      </c>
      <c r="P985" s="42" t="str">
        <f>+IF(O985="","",IFERROR(VLOOKUP(O985,CODIGO_DIAGNOSTICO,2,0),"CÓDIGO NO ENCONTRADO"))</f>
        <v>TUMOR MALIGNO DEL RECTO</v>
      </c>
      <c r="Q985" s="68" t="s">
        <v>24996</v>
      </c>
      <c r="R985" s="67"/>
      <c r="S985" s="77"/>
      <c r="T985" s="76"/>
      <c r="U985" s="65"/>
      <c r="V985" s="68"/>
      <c r="W985" s="70"/>
      <c r="X985" s="68"/>
      <c r="Y985" s="70"/>
      <c r="Z985" s="72"/>
    </row>
    <row r="986" spans="1:26" ht="15.75" hidden="1" customHeight="1" x14ac:dyDescent="0.25">
      <c r="A986" s="64">
        <v>12</v>
      </c>
      <c r="B986" s="62">
        <v>98648253</v>
      </c>
      <c r="C986" s="62" t="s">
        <v>25764</v>
      </c>
      <c r="D986" s="62" t="s">
        <v>25462</v>
      </c>
      <c r="E986" s="62" t="s">
        <v>25765</v>
      </c>
      <c r="F986" s="62" t="s">
        <v>25110</v>
      </c>
      <c r="G986" s="81" t="s">
        <v>19285</v>
      </c>
      <c r="H986" s="63">
        <v>45652</v>
      </c>
      <c r="I986" s="63">
        <v>45671</v>
      </c>
      <c r="J986" s="62">
        <v>20</v>
      </c>
      <c r="K986" s="62">
        <v>20</v>
      </c>
      <c r="L986" s="62" t="s">
        <v>24995</v>
      </c>
      <c r="M986" s="62" t="s">
        <v>24995</v>
      </c>
      <c r="N986" s="62" t="s">
        <v>19269</v>
      </c>
      <c r="O986" s="62" t="s">
        <v>3988</v>
      </c>
      <c r="P986" s="42" t="str">
        <f>+IF(O986="","",IFERROR(VLOOKUP(O986,CODIGO_DIAGNOSTICO,2,0),"CÓDIGO NO ENCONTRADO"))</f>
        <v>HERNIA INGUINAL UNILATERAL O NO ESPECIFICADA, SIN OBSTRUCION NI GANGRENA</v>
      </c>
      <c r="Q986" s="62" t="s">
        <v>26059</v>
      </c>
      <c r="R986" s="64"/>
      <c r="S986" s="75"/>
      <c r="T986" s="75"/>
      <c r="U986" s="65"/>
      <c r="V986" s="62"/>
      <c r="W986" s="65"/>
      <c r="X986" s="62"/>
      <c r="Y986" s="65"/>
      <c r="Z986" s="73"/>
    </row>
    <row r="987" spans="1:26" ht="15.75" hidden="1" customHeight="1" x14ac:dyDescent="0.25">
      <c r="A987" s="67">
        <v>12</v>
      </c>
      <c r="B987" s="68">
        <v>98648253</v>
      </c>
      <c r="C987" s="68" t="s">
        <v>25764</v>
      </c>
      <c r="D987" s="68" t="s">
        <v>25462</v>
      </c>
      <c r="E987" s="68" t="s">
        <v>25765</v>
      </c>
      <c r="F987" s="68" t="s">
        <v>25110</v>
      </c>
      <c r="G987" s="81" t="s">
        <v>19285</v>
      </c>
      <c r="H987" s="69">
        <v>45652</v>
      </c>
      <c r="I987" s="69">
        <v>45671</v>
      </c>
      <c r="J987" s="68">
        <v>20</v>
      </c>
      <c r="K987" s="68">
        <v>20</v>
      </c>
      <c r="L987" s="68" t="s">
        <v>24995</v>
      </c>
      <c r="M987" s="68" t="s">
        <v>24995</v>
      </c>
      <c r="N987" s="62" t="s">
        <v>19269</v>
      </c>
      <c r="O987" s="68" t="s">
        <v>3988</v>
      </c>
      <c r="P987" s="42" t="str">
        <f>+IF(O987="","",IFERROR(VLOOKUP(O987,CODIGO_DIAGNOSTICO,2,0),"CÓDIGO NO ENCONTRADO"))</f>
        <v>HERNIA INGUINAL UNILATERAL O NO ESPECIFICADA, SIN OBSTRUCION NI GANGRENA</v>
      </c>
      <c r="Q987" s="68" t="s">
        <v>26059</v>
      </c>
      <c r="R987" s="67"/>
      <c r="S987" s="77"/>
      <c r="T987" s="76"/>
      <c r="U987" s="65"/>
      <c r="V987" s="68"/>
      <c r="W987" s="70"/>
      <c r="X987" s="68"/>
      <c r="Y987" s="70"/>
      <c r="Z987" s="72"/>
    </row>
    <row r="988" spans="1:26" ht="15.75" hidden="1" customHeight="1" x14ac:dyDescent="0.25">
      <c r="A988" s="64">
        <v>12</v>
      </c>
      <c r="B988" s="62">
        <v>1214737996</v>
      </c>
      <c r="C988" s="62" t="s">
        <v>25547</v>
      </c>
      <c r="D988" s="62" t="s">
        <v>25969</v>
      </c>
      <c r="E988" s="62" t="s">
        <v>25970</v>
      </c>
      <c r="F988" s="62" t="s">
        <v>25755</v>
      </c>
      <c r="G988" s="81" t="s">
        <v>19285</v>
      </c>
      <c r="H988" s="63">
        <v>45653</v>
      </c>
      <c r="I988" s="63">
        <v>45672</v>
      </c>
      <c r="J988" s="62">
        <v>20</v>
      </c>
      <c r="K988" s="62">
        <v>20</v>
      </c>
      <c r="L988" s="62" t="s">
        <v>19262</v>
      </c>
      <c r="M988" s="62" t="s">
        <v>19262</v>
      </c>
      <c r="N988" s="62" t="s">
        <v>19269</v>
      </c>
      <c r="O988" s="62" t="s">
        <v>7723</v>
      </c>
      <c r="P988" s="42" t="str">
        <f>+IF(O988="","",IFERROR(VLOOKUP(O988,CODIGO_DIAGNOSTICO,2,0),"CÓDIGO NO ENCONTRADO"))</f>
        <v>FRACTURA DE LA EPIFISIS SUPERIOR DE LA TIBIA</v>
      </c>
      <c r="Q988" s="62" t="s">
        <v>19231</v>
      </c>
      <c r="R988" s="64"/>
      <c r="S988" s="75"/>
      <c r="T988" s="75"/>
      <c r="U988" s="65"/>
      <c r="V988" s="62"/>
      <c r="W988" s="65"/>
      <c r="X988" s="62"/>
      <c r="Y988" s="65"/>
      <c r="Z988" s="73"/>
    </row>
    <row r="989" spans="1:26" ht="15.75" hidden="1" customHeight="1" x14ac:dyDescent="0.25">
      <c r="A989" s="67">
        <v>12</v>
      </c>
      <c r="B989" s="68">
        <v>1001227607</v>
      </c>
      <c r="C989" s="68" t="s">
        <v>25257</v>
      </c>
      <c r="D989" s="68" t="s">
        <v>25052</v>
      </c>
      <c r="E989" s="68" t="s">
        <v>26380</v>
      </c>
      <c r="F989" s="68" t="s">
        <v>26381</v>
      </c>
      <c r="G989" s="81" t="s">
        <v>19285</v>
      </c>
      <c r="H989" s="69">
        <v>45653</v>
      </c>
      <c r="I989" s="69">
        <v>45654</v>
      </c>
      <c r="J989" s="68">
        <v>2</v>
      </c>
      <c r="K989" s="68">
        <v>2</v>
      </c>
      <c r="L989" s="68" t="s">
        <v>24995</v>
      </c>
      <c r="M989" s="68" t="s">
        <v>24995</v>
      </c>
      <c r="N989" s="62" t="s">
        <v>19269</v>
      </c>
      <c r="O989" s="68" t="s">
        <v>15281</v>
      </c>
      <c r="P989" s="42" t="str">
        <f>+IF(O989="","",IFERROR(VLOOKUP(O989,CODIGO_DIAGNOSTICO,2,0),"CÓDIGO NO ENCONTRADO"))</f>
        <v>RINOFARINGITIS AGUDA (RESFRIADO COMUN)</v>
      </c>
      <c r="Q989" s="68" t="s">
        <v>26059</v>
      </c>
      <c r="R989" s="67"/>
      <c r="S989" s="77"/>
      <c r="T989" s="76"/>
      <c r="U989" s="65"/>
      <c r="V989" s="68"/>
      <c r="W989" s="70"/>
      <c r="X989" s="68"/>
      <c r="Y989" s="70"/>
      <c r="Z989" s="72"/>
    </row>
    <row r="990" spans="1:26" ht="15.75" hidden="1" customHeight="1" x14ac:dyDescent="0.25">
      <c r="A990" s="64">
        <v>12</v>
      </c>
      <c r="B990" s="62">
        <v>15259158</v>
      </c>
      <c r="C990" s="62" t="s">
        <v>25702</v>
      </c>
      <c r="D990" s="62" t="s">
        <v>25015</v>
      </c>
      <c r="E990" s="62" t="s">
        <v>25203</v>
      </c>
      <c r="F990" s="62" t="s">
        <v>25005</v>
      </c>
      <c r="G990" s="81" t="s">
        <v>19285</v>
      </c>
      <c r="H990" s="63">
        <v>45653</v>
      </c>
      <c r="I990" s="63">
        <v>45659</v>
      </c>
      <c r="J990" s="62">
        <v>7</v>
      </c>
      <c r="K990" s="62">
        <v>7</v>
      </c>
      <c r="L990" s="62" t="s">
        <v>24995</v>
      </c>
      <c r="M990" s="62" t="s">
        <v>24995</v>
      </c>
      <c r="N990" s="62" t="s">
        <v>19269</v>
      </c>
      <c r="O990" s="62" t="s">
        <v>1769</v>
      </c>
      <c r="P990" s="42" t="str">
        <f>+IF(O990="","",IFERROR(VLOOKUP(O990,CODIGO_DIAGNOSTICO,2,0),"CÓDIGO NO ENCONTRADO"))</f>
        <v>DIABETES MELLITUS NO INSULINODEPENDIENTE SIN MENCION DE COMPLICACION</v>
      </c>
      <c r="Q990" s="62" t="s">
        <v>26152</v>
      </c>
      <c r="R990" s="64"/>
      <c r="S990" s="75"/>
      <c r="T990" s="75"/>
      <c r="U990" s="65"/>
      <c r="V990" s="62"/>
      <c r="W990" s="65"/>
      <c r="X990" s="62"/>
      <c r="Y990" s="65"/>
      <c r="Z990" s="73"/>
    </row>
    <row r="991" spans="1:26" ht="15.75" hidden="1" customHeight="1" x14ac:dyDescent="0.25">
      <c r="A991" s="67">
        <v>12</v>
      </c>
      <c r="B991" s="68">
        <v>15309929</v>
      </c>
      <c r="C991" s="68" t="s">
        <v>25011</v>
      </c>
      <c r="D991" s="68" t="s">
        <v>25012</v>
      </c>
      <c r="E991" s="68" t="s">
        <v>25048</v>
      </c>
      <c r="F991" s="68" t="s">
        <v>25014</v>
      </c>
      <c r="G991" s="81" t="s">
        <v>19285</v>
      </c>
      <c r="H991" s="69">
        <v>45654</v>
      </c>
      <c r="I991" s="69">
        <v>45658</v>
      </c>
      <c r="J991" s="68">
        <v>5</v>
      </c>
      <c r="K991" s="68">
        <v>5</v>
      </c>
      <c r="L991" s="68" t="s">
        <v>24995</v>
      </c>
      <c r="M991" s="68" t="s">
        <v>24995</v>
      </c>
      <c r="N991" s="62" t="s">
        <v>19269</v>
      </c>
      <c r="O991" s="68" t="s">
        <v>4838</v>
      </c>
      <c r="P991" s="42" t="str">
        <f>+IF(O991="","",IFERROR(VLOOKUP(O991,CODIGO_DIAGNOSTICO,2,0),"CÓDIGO NO ENCONTRADO"))</f>
        <v>LUMBAGO NO ESPECIFICADO</v>
      </c>
      <c r="Q991" s="68" t="s">
        <v>26059</v>
      </c>
      <c r="R991" s="67"/>
      <c r="S991" s="77"/>
      <c r="T991" s="76"/>
      <c r="U991" s="65"/>
      <c r="V991" s="68"/>
      <c r="W991" s="70"/>
      <c r="X991" s="68"/>
      <c r="Y991" s="70"/>
      <c r="Z991" s="72"/>
    </row>
    <row r="992" spans="1:26" ht="15.75" hidden="1" customHeight="1" x14ac:dyDescent="0.25">
      <c r="A992" s="64">
        <v>12</v>
      </c>
      <c r="B992" s="62">
        <v>98601485</v>
      </c>
      <c r="C992" s="62" t="s">
        <v>25240</v>
      </c>
      <c r="D992" s="62"/>
      <c r="E992" s="62" t="s">
        <v>25241</v>
      </c>
      <c r="F992" s="62" t="s">
        <v>24982</v>
      </c>
      <c r="G992" s="81" t="s">
        <v>25328</v>
      </c>
      <c r="H992" s="63">
        <v>45656</v>
      </c>
      <c r="I992" s="63">
        <v>45304</v>
      </c>
      <c r="J992" s="62">
        <v>15</v>
      </c>
      <c r="K992" s="62">
        <v>15</v>
      </c>
      <c r="L992" s="62" t="s">
        <v>19262</v>
      </c>
      <c r="M992" s="62" t="s">
        <v>19262</v>
      </c>
      <c r="N992" s="62" t="s">
        <v>19269</v>
      </c>
      <c r="O992" s="62" t="s">
        <v>8419</v>
      </c>
      <c r="P992" s="42" t="str">
        <f>+IF(O992="","",IFERROR(VLOOKUP(O992,CODIGO_DIAGNOSTICO,2,0),"CÓDIGO NO ENCONTRADO"))</f>
        <v>COMPLICACION MECANICA DE OTROS DISPOSITIVOS PROTESICOS, IMPLANTES E INJERTOS ORTOPEDICOS INTERNOS</v>
      </c>
      <c r="Q992" s="62" t="s">
        <v>26059</v>
      </c>
      <c r="R992" s="64"/>
      <c r="S992" s="75"/>
      <c r="T992" s="75"/>
      <c r="U992" s="65"/>
      <c r="V992" s="62"/>
      <c r="W992" s="65"/>
      <c r="X992" s="62"/>
      <c r="Y992" s="65"/>
      <c r="Z992" s="73"/>
    </row>
    <row r="993" spans="1:26" ht="15.75" hidden="1" customHeight="1" x14ac:dyDescent="0.25">
      <c r="A993" s="67">
        <v>12</v>
      </c>
      <c r="B993" s="68">
        <v>70563853</v>
      </c>
      <c r="C993" s="68" t="s">
        <v>25105</v>
      </c>
      <c r="D993" s="68" t="s">
        <v>25127</v>
      </c>
      <c r="E993" s="68" t="s">
        <v>26225</v>
      </c>
      <c r="F993" s="68" t="s">
        <v>25064</v>
      </c>
      <c r="G993" s="81" t="s">
        <v>19285</v>
      </c>
      <c r="H993" s="69">
        <v>45656</v>
      </c>
      <c r="I993" s="69">
        <v>45660</v>
      </c>
      <c r="J993" s="68">
        <v>5</v>
      </c>
      <c r="K993" s="68">
        <v>5</v>
      </c>
      <c r="L993" s="68" t="s">
        <v>24995</v>
      </c>
      <c r="M993" s="68" t="s">
        <v>24995</v>
      </c>
      <c r="N993" s="62" t="s">
        <v>19269</v>
      </c>
      <c r="O993" s="68" t="s">
        <v>3618</v>
      </c>
      <c r="P993" s="42" t="str">
        <f>+IF(O993="","",IFERROR(VLOOKUP(O993,CODIGO_DIAGNOSTICO,2,0),"CÓDIGO NO ENCONTRADO"))</f>
        <v>NEUMONIA, NO ESPECIFICADA</v>
      </c>
      <c r="Q993" s="68" t="s">
        <v>26059</v>
      </c>
      <c r="R993" s="67"/>
      <c r="S993" s="77"/>
      <c r="T993" s="76"/>
      <c r="U993" s="65"/>
      <c r="V993" s="68"/>
      <c r="W993" s="70"/>
      <c r="X993" s="68"/>
      <c r="Y993" s="70"/>
      <c r="Z993" s="72"/>
    </row>
    <row r="994" spans="1:26" ht="15.75" hidden="1" customHeight="1" x14ac:dyDescent="0.25">
      <c r="A994" s="64">
        <v>12</v>
      </c>
      <c r="B994" s="62">
        <v>71382103</v>
      </c>
      <c r="C994" s="62" t="s">
        <v>25274</v>
      </c>
      <c r="D994" s="62" t="s">
        <v>25968</v>
      </c>
      <c r="E994" s="62" t="s">
        <v>25116</v>
      </c>
      <c r="F994" s="62" t="s">
        <v>26027</v>
      </c>
      <c r="G994" s="81" t="s">
        <v>19285</v>
      </c>
      <c r="H994" s="63">
        <v>45656</v>
      </c>
      <c r="I994" s="63">
        <v>45670</v>
      </c>
      <c r="J994" s="62">
        <v>15</v>
      </c>
      <c r="K994" s="62">
        <v>15</v>
      </c>
      <c r="L994" s="62" t="s">
        <v>19262</v>
      </c>
      <c r="M994" s="62" t="s">
        <v>19262</v>
      </c>
      <c r="N994" s="62" t="s">
        <v>19269</v>
      </c>
      <c r="O994" s="62" t="s">
        <v>4671</v>
      </c>
      <c r="P994" s="42" t="str">
        <f>+IF(O994="","",IFERROR(VLOOKUP(O994,CODIGO_DIAGNOSTICO,2,0),"CÓDIGO NO ENCONTRADO"))</f>
        <v>DEFORMIDAD EN VARO, NO CLASIFICADA EN OTRA</v>
      </c>
      <c r="Q994" s="62" t="s">
        <v>26059</v>
      </c>
      <c r="R994" s="64"/>
      <c r="S994" s="75"/>
      <c r="T994" s="75"/>
      <c r="U994" s="65"/>
      <c r="V994" s="62"/>
      <c r="W994" s="65"/>
      <c r="X994" s="62"/>
      <c r="Y994" s="65"/>
      <c r="Z994" s="73"/>
    </row>
    <row r="995" spans="1:26" ht="15.75" hidden="1" customHeight="1" x14ac:dyDescent="0.25">
      <c r="A995" s="67">
        <v>12</v>
      </c>
      <c r="B995" s="68">
        <v>71676289</v>
      </c>
      <c r="C995" s="68" t="s">
        <v>25015</v>
      </c>
      <c r="D995" s="68" t="s">
        <v>25012</v>
      </c>
      <c r="E995" s="68" t="s">
        <v>25016</v>
      </c>
      <c r="F995" s="68" t="s">
        <v>25004</v>
      </c>
      <c r="G995" s="81" t="s">
        <v>19285</v>
      </c>
      <c r="H995" s="69">
        <v>45657</v>
      </c>
      <c r="I995" s="69">
        <v>45671</v>
      </c>
      <c r="J995" s="68">
        <v>15</v>
      </c>
      <c r="K995" s="68">
        <v>15</v>
      </c>
      <c r="L995" s="68" t="s">
        <v>19262</v>
      </c>
      <c r="M995" s="68" t="s">
        <v>19262</v>
      </c>
      <c r="N995" s="62" t="s">
        <v>19269</v>
      </c>
      <c r="O995" s="68" t="s">
        <v>5006</v>
      </c>
      <c r="P995" s="42" t="str">
        <f>+IF(O995="","",IFERROR(VLOOKUP(O995,CODIGO_DIAGNOSTICO,2,0),"CÓDIGO NO ENCONTRADO"))</f>
        <v>OSTEOMIELITIS, NO ESPECIFICADA</v>
      </c>
      <c r="Q995" s="68" t="s">
        <v>26059</v>
      </c>
      <c r="R995" s="67"/>
      <c r="S995" s="77"/>
      <c r="T995" s="76"/>
      <c r="U995" s="65"/>
      <c r="V995" s="68"/>
      <c r="W995" s="70"/>
      <c r="X995" s="68"/>
      <c r="Y995" s="70"/>
      <c r="Z995" s="72"/>
    </row>
    <row r="996" spans="1:26" ht="15.75" hidden="1" customHeight="1" x14ac:dyDescent="0.25">
      <c r="A996" s="64">
        <v>1</v>
      </c>
      <c r="B996" s="62">
        <v>70253233</v>
      </c>
      <c r="C996" s="62" t="s">
        <v>25930</v>
      </c>
      <c r="D996" s="62" t="s">
        <v>25061</v>
      </c>
      <c r="E996" s="62" t="s">
        <v>25255</v>
      </c>
      <c r="F996" s="62" t="s">
        <v>25135</v>
      </c>
      <c r="G996" s="81" t="s">
        <v>19285</v>
      </c>
      <c r="H996" s="63">
        <v>45660</v>
      </c>
      <c r="I996" s="63">
        <v>45661</v>
      </c>
      <c r="J996" s="62">
        <v>2</v>
      </c>
      <c r="K996" s="62">
        <v>2</v>
      </c>
      <c r="L996" s="62" t="s">
        <v>24995</v>
      </c>
      <c r="M996" s="62" t="s">
        <v>24995</v>
      </c>
      <c r="N996" s="62" t="s">
        <v>19269</v>
      </c>
      <c r="O996" s="62" t="s">
        <v>4838</v>
      </c>
      <c r="P996" s="42" t="str">
        <f>+IF(O996="","",IFERROR(VLOOKUP(O996,CODIGO_DIAGNOSTICO,2,0),"CÓDIGO NO ENCONTRADO"))</f>
        <v>LUMBAGO NO ESPECIFICADO</v>
      </c>
      <c r="Q996" s="62" t="s">
        <v>26059</v>
      </c>
      <c r="R996" s="64"/>
      <c r="S996" s="75"/>
      <c r="T996" s="75"/>
      <c r="U996" s="65"/>
      <c r="V996" s="62"/>
      <c r="W996" s="65"/>
      <c r="X996" s="62"/>
      <c r="Y996" s="65"/>
      <c r="Z996" s="73"/>
    </row>
    <row r="997" spans="1:26" ht="15.75" hidden="1" customHeight="1" x14ac:dyDescent="0.25">
      <c r="A997" s="67">
        <v>1</v>
      </c>
      <c r="B997" s="68">
        <v>98493617</v>
      </c>
      <c r="C997" s="68" t="s">
        <v>25109</v>
      </c>
      <c r="D997" s="68" t="s">
        <v>25497</v>
      </c>
      <c r="E997" s="68" t="s">
        <v>25188</v>
      </c>
      <c r="F997" s="68" t="s">
        <v>25064</v>
      </c>
      <c r="G997" s="81" t="s">
        <v>19285</v>
      </c>
      <c r="H997" s="69">
        <v>45661</v>
      </c>
      <c r="I997" s="69">
        <v>45662</v>
      </c>
      <c r="J997" s="68">
        <v>2</v>
      </c>
      <c r="K997" s="68">
        <v>2</v>
      </c>
      <c r="L997" s="68" t="s">
        <v>24995</v>
      </c>
      <c r="M997" s="68" t="s">
        <v>24995</v>
      </c>
      <c r="N997" s="62" t="s">
        <v>19269</v>
      </c>
      <c r="O997" s="68" t="s">
        <v>15281</v>
      </c>
      <c r="P997" s="42" t="str">
        <f>+IF(O997="","",IFERROR(VLOOKUP(O997,CODIGO_DIAGNOSTICO,2,0),"CÓDIGO NO ENCONTRADO"))</f>
        <v>RINOFARINGITIS AGUDA (RESFRIADO COMUN)</v>
      </c>
      <c r="Q997" s="68" t="s">
        <v>26059</v>
      </c>
      <c r="R997" s="67"/>
      <c r="S997" s="77"/>
      <c r="T997" s="76"/>
      <c r="U997" s="65"/>
      <c r="V997" s="68"/>
      <c r="W997" s="70"/>
      <c r="X997" s="68"/>
      <c r="Y997" s="70"/>
      <c r="Z997" s="72"/>
    </row>
    <row r="998" spans="1:26" ht="15.75" hidden="1" customHeight="1" x14ac:dyDescent="0.25">
      <c r="A998" s="64">
        <v>1</v>
      </c>
      <c r="B998" s="62">
        <v>15309929</v>
      </c>
      <c r="C998" s="62" t="s">
        <v>25011</v>
      </c>
      <c r="D998" s="62" t="s">
        <v>25012</v>
      </c>
      <c r="E998" s="62" t="s">
        <v>25048</v>
      </c>
      <c r="F998" s="62" t="s">
        <v>25014</v>
      </c>
      <c r="G998" s="81" t="s">
        <v>19285</v>
      </c>
      <c r="H998" s="63">
        <v>45661</v>
      </c>
      <c r="I998" s="63">
        <v>45670</v>
      </c>
      <c r="J998" s="62">
        <v>10</v>
      </c>
      <c r="K998" s="62">
        <v>10</v>
      </c>
      <c r="L998" s="62" t="s">
        <v>19262</v>
      </c>
      <c r="M998" s="62" t="s">
        <v>19262</v>
      </c>
      <c r="N998" s="62" t="s">
        <v>19269</v>
      </c>
      <c r="O998" s="62" t="s">
        <v>4838</v>
      </c>
      <c r="P998" s="42" t="str">
        <f>+IF(O998="","",IFERROR(VLOOKUP(O998,CODIGO_DIAGNOSTICO,2,0),"CÓDIGO NO ENCONTRADO"))</f>
        <v>LUMBAGO NO ESPECIFICADO</v>
      </c>
      <c r="Q998" s="62" t="s">
        <v>26059</v>
      </c>
      <c r="R998" s="64"/>
      <c r="S998" s="75"/>
      <c r="T998" s="75"/>
      <c r="U998" s="65"/>
      <c r="V998" s="62"/>
      <c r="W998" s="65"/>
      <c r="X998" s="62"/>
      <c r="Y998" s="65"/>
      <c r="Z998" s="73"/>
    </row>
    <row r="999" spans="1:26" ht="15.75" hidden="1" customHeight="1" x14ac:dyDescent="0.25">
      <c r="A999" s="67">
        <v>1</v>
      </c>
      <c r="B999" s="68">
        <v>1036965715</v>
      </c>
      <c r="C999" s="68" t="s">
        <v>25361</v>
      </c>
      <c r="D999" s="68" t="s">
        <v>25828</v>
      </c>
      <c r="E999" s="68" t="s">
        <v>26383</v>
      </c>
      <c r="F999" s="68" t="s">
        <v>25048</v>
      </c>
      <c r="G999" s="81" t="s">
        <v>19285</v>
      </c>
      <c r="H999" s="69">
        <v>45662</v>
      </c>
      <c r="I999" s="69">
        <v>45667</v>
      </c>
      <c r="J999" s="68">
        <v>6</v>
      </c>
      <c r="K999" s="68">
        <v>6</v>
      </c>
      <c r="L999" s="68" t="s">
        <v>24995</v>
      </c>
      <c r="M999" s="68" t="s">
        <v>24995</v>
      </c>
      <c r="N999" s="62" t="s">
        <v>19269</v>
      </c>
      <c r="O999" s="68" t="s">
        <v>7794</v>
      </c>
      <c r="P999" s="42" t="str">
        <f>+IF(O999="","",IFERROR(VLOOKUP(O999,CODIGO_DIAGNOSTICO,2,0),"CÓDIGO NO ENCONTRADO"))</f>
        <v>ESGUINCES Y TORCEDURAS DEL TOBILLO</v>
      </c>
      <c r="Q999" s="68" t="s">
        <v>19288</v>
      </c>
      <c r="R999" s="67"/>
      <c r="S999" s="77"/>
      <c r="T999" s="76"/>
      <c r="U999" s="65"/>
      <c r="V999" s="68"/>
      <c r="W999" s="70"/>
      <c r="X999" s="68"/>
      <c r="Y999" s="70"/>
      <c r="Z999" s="72"/>
    </row>
    <row r="1000" spans="1:26" ht="15.75" hidden="1" customHeight="1" x14ac:dyDescent="0.25">
      <c r="A1000" s="64">
        <v>1</v>
      </c>
      <c r="B1000" s="62">
        <v>1000399903</v>
      </c>
      <c r="C1000" s="62" t="s">
        <v>25257</v>
      </c>
      <c r="D1000" s="62" t="s">
        <v>25030</v>
      </c>
      <c r="E1000" s="62" t="s">
        <v>25886</v>
      </c>
      <c r="F1000" s="62" t="s">
        <v>25755</v>
      </c>
      <c r="G1000" s="81" t="s">
        <v>19285</v>
      </c>
      <c r="H1000" s="63">
        <v>45665</v>
      </c>
      <c r="I1000" s="63">
        <v>45694</v>
      </c>
      <c r="J1000" s="62">
        <v>30</v>
      </c>
      <c r="K1000" s="62">
        <v>30</v>
      </c>
      <c r="L1000" s="62" t="s">
        <v>24995</v>
      </c>
      <c r="M1000" s="62" t="s">
        <v>19262</v>
      </c>
      <c r="N1000" s="62" t="s">
        <v>19269</v>
      </c>
      <c r="O1000" s="62" t="s">
        <v>4838</v>
      </c>
      <c r="P1000" s="42" t="str">
        <f>+IF(O1000="","",IFERROR(VLOOKUP(O1000,CODIGO_DIAGNOSTICO,2,0),"CÓDIGO NO ENCONTRADO"))</f>
        <v>LUMBAGO NO ESPECIFICADO</v>
      </c>
      <c r="Q1000" s="62" t="s">
        <v>26059</v>
      </c>
      <c r="R1000" s="64"/>
      <c r="S1000" s="75"/>
      <c r="T1000" s="75"/>
      <c r="U1000" s="65"/>
      <c r="V1000" s="62"/>
      <c r="W1000" s="65"/>
      <c r="X1000" s="62"/>
      <c r="Y1000" s="65"/>
      <c r="Z1000" s="73"/>
    </row>
    <row r="1001" spans="1:26" ht="15.75" hidden="1" customHeight="1" x14ac:dyDescent="0.25">
      <c r="A1001" s="67">
        <v>1</v>
      </c>
      <c r="B1001" s="68">
        <v>1036839894</v>
      </c>
      <c r="C1001" s="68" t="s">
        <v>25288</v>
      </c>
      <c r="D1001" s="68"/>
      <c r="E1001" s="68" t="s">
        <v>26136</v>
      </c>
      <c r="F1001" s="68"/>
      <c r="G1001" s="81" t="s">
        <v>19285</v>
      </c>
      <c r="H1001" s="69">
        <v>45668</v>
      </c>
      <c r="I1001" s="69">
        <v>45670</v>
      </c>
      <c r="J1001" s="68">
        <v>3</v>
      </c>
      <c r="K1001" s="68">
        <v>3</v>
      </c>
      <c r="L1001" s="68" t="s">
        <v>24995</v>
      </c>
      <c r="M1001" s="68" t="s">
        <v>24995</v>
      </c>
      <c r="N1001" s="62" t="s">
        <v>19269</v>
      </c>
      <c r="O1001" s="68" t="s">
        <v>5226</v>
      </c>
      <c r="P1001" s="42" t="str">
        <f>+IF(O1001="","",IFERROR(VLOOKUP(O1001,CODIGO_DIAGNOSTICO,2,0),"CÓDIGO NO ENCONTRADO"))</f>
        <v>COLICO RENAL, NO ESPECIFICADO</v>
      </c>
      <c r="Q1001" s="68" t="s">
        <v>26339</v>
      </c>
      <c r="R1001" s="67"/>
      <c r="S1001" s="77"/>
      <c r="T1001" s="76"/>
      <c r="U1001" s="65"/>
      <c r="V1001" s="68"/>
      <c r="W1001" s="70"/>
      <c r="X1001" s="68"/>
      <c r="Y1001" s="70"/>
      <c r="Z1001" s="72"/>
    </row>
    <row r="1002" spans="1:26" ht="15.75" hidden="1" customHeight="1" x14ac:dyDescent="0.25">
      <c r="A1002" s="64">
        <v>1</v>
      </c>
      <c r="B1002" s="62">
        <v>43709476</v>
      </c>
      <c r="C1002" s="62" t="s">
        <v>25569</v>
      </c>
      <c r="D1002" s="62" t="s">
        <v>26385</v>
      </c>
      <c r="E1002" s="62" t="s">
        <v>25234</v>
      </c>
      <c r="F1002" s="62" t="s">
        <v>25235</v>
      </c>
      <c r="G1002" s="81" t="s">
        <v>19285</v>
      </c>
      <c r="H1002" s="63">
        <v>45670</v>
      </c>
      <c r="I1002" s="63">
        <v>45671</v>
      </c>
      <c r="J1002" s="62">
        <v>2</v>
      </c>
      <c r="K1002" s="62">
        <v>2</v>
      </c>
      <c r="L1002" s="62" t="s">
        <v>24995</v>
      </c>
      <c r="M1002" s="62" t="s">
        <v>24995</v>
      </c>
      <c r="N1002" s="62" t="s">
        <v>19269</v>
      </c>
      <c r="O1002" s="62" t="s">
        <v>3572</v>
      </c>
      <c r="P1002" s="42" t="str">
        <f>+IF(O1002="","",IFERROR(VLOOKUP(O1002,CODIGO_DIAGNOSTICO,2,0),"CÓDIGO NO ENCONTRADO"))</f>
        <v>FARINGITIS AGUDA, NO ESPECIFICADA</v>
      </c>
      <c r="Q1002" s="62" t="s">
        <v>26059</v>
      </c>
      <c r="R1002" s="64"/>
      <c r="S1002" s="75"/>
      <c r="T1002" s="75"/>
      <c r="U1002" s="65"/>
      <c r="V1002" s="62"/>
      <c r="W1002" s="65"/>
      <c r="X1002" s="62"/>
      <c r="Y1002" s="65"/>
      <c r="Z1002" s="73"/>
    </row>
    <row r="1003" spans="1:26" ht="15.75" hidden="1" customHeight="1" x14ac:dyDescent="0.25">
      <c r="A1003" s="67">
        <v>1</v>
      </c>
      <c r="B1003" s="68">
        <v>71382103</v>
      </c>
      <c r="C1003" s="68" t="s">
        <v>25274</v>
      </c>
      <c r="D1003" s="68" t="s">
        <v>25968</v>
      </c>
      <c r="E1003" s="68" t="s">
        <v>25116</v>
      </c>
      <c r="F1003" s="68" t="s">
        <v>26027</v>
      </c>
      <c r="G1003" s="81" t="s">
        <v>19285</v>
      </c>
      <c r="H1003" s="69">
        <v>45671</v>
      </c>
      <c r="I1003" s="69">
        <v>45685</v>
      </c>
      <c r="J1003" s="68">
        <v>15</v>
      </c>
      <c r="K1003" s="68">
        <v>15</v>
      </c>
      <c r="L1003" s="68" t="s">
        <v>19262</v>
      </c>
      <c r="M1003" s="68" t="s">
        <v>19262</v>
      </c>
      <c r="N1003" s="62" t="s">
        <v>19269</v>
      </c>
      <c r="O1003" s="68" t="s">
        <v>4671</v>
      </c>
      <c r="P1003" s="42" t="str">
        <f>+IF(O1003="","",IFERROR(VLOOKUP(O1003,CODIGO_DIAGNOSTICO,2,0),"CÓDIGO NO ENCONTRADO"))</f>
        <v>DEFORMIDAD EN VARO, NO CLASIFICADA EN OTRA</v>
      </c>
      <c r="Q1003" s="68" t="s">
        <v>26059</v>
      </c>
      <c r="R1003" s="67"/>
      <c r="S1003" s="77"/>
      <c r="T1003" s="76"/>
      <c r="U1003" s="65"/>
      <c r="V1003" s="68"/>
      <c r="W1003" s="70"/>
      <c r="X1003" s="68"/>
      <c r="Y1003" s="70"/>
      <c r="Z1003" s="72"/>
    </row>
    <row r="1004" spans="1:26" ht="15.75" hidden="1" customHeight="1" x14ac:dyDescent="0.25">
      <c r="A1004" s="64">
        <v>1</v>
      </c>
      <c r="B1004" s="62">
        <v>98601485</v>
      </c>
      <c r="C1004" s="62" t="s">
        <v>25240</v>
      </c>
      <c r="D1004" s="62"/>
      <c r="E1004" s="62" t="s">
        <v>25241</v>
      </c>
      <c r="F1004" s="62" t="s">
        <v>24982</v>
      </c>
      <c r="G1004" s="81" t="s">
        <v>25328</v>
      </c>
      <c r="H1004" s="63">
        <v>45671</v>
      </c>
      <c r="I1004" s="63">
        <v>45685</v>
      </c>
      <c r="J1004" s="62">
        <v>15</v>
      </c>
      <c r="K1004" s="62">
        <v>15</v>
      </c>
      <c r="L1004" s="62" t="s">
        <v>19262</v>
      </c>
      <c r="M1004" s="62" t="s">
        <v>19262</v>
      </c>
      <c r="N1004" s="62" t="s">
        <v>19269</v>
      </c>
      <c r="O1004" s="62" t="s">
        <v>8419</v>
      </c>
      <c r="P1004" s="42" t="str">
        <f>+IF(O1004="","",IFERROR(VLOOKUP(O1004,CODIGO_DIAGNOSTICO,2,0),"CÓDIGO NO ENCONTRADO"))</f>
        <v>COMPLICACION MECANICA DE OTROS DISPOSITIVOS PROTESICOS, IMPLANTES E INJERTOS ORTOPEDICOS INTERNOS</v>
      </c>
      <c r="Q1004" s="62" t="s">
        <v>26059</v>
      </c>
      <c r="R1004" s="64"/>
      <c r="S1004" s="75"/>
      <c r="T1004" s="75"/>
      <c r="U1004" s="65"/>
      <c r="V1004" s="62"/>
      <c r="W1004" s="65"/>
      <c r="X1004" s="62"/>
      <c r="Y1004" s="65"/>
      <c r="Z1004" s="73"/>
    </row>
    <row r="1005" spans="1:26" ht="15.75" hidden="1" customHeight="1" x14ac:dyDescent="0.25">
      <c r="A1005" s="67">
        <v>1</v>
      </c>
      <c r="B1005" s="68">
        <v>15259158</v>
      </c>
      <c r="C1005" s="68" t="s">
        <v>25702</v>
      </c>
      <c r="D1005" s="68" t="s">
        <v>25702</v>
      </c>
      <c r="E1005" s="68" t="s">
        <v>25203</v>
      </c>
      <c r="F1005" s="68" t="s">
        <v>25005</v>
      </c>
      <c r="G1005" s="81" t="s">
        <v>19285</v>
      </c>
      <c r="H1005" s="69">
        <v>45672</v>
      </c>
      <c r="I1005" s="69">
        <v>45676</v>
      </c>
      <c r="J1005" s="68">
        <v>5</v>
      </c>
      <c r="K1005" s="68">
        <v>5</v>
      </c>
      <c r="L1005" s="68" t="s">
        <v>24995</v>
      </c>
      <c r="M1005" s="68" t="s">
        <v>24995</v>
      </c>
      <c r="N1005" s="62" t="s">
        <v>19269</v>
      </c>
      <c r="O1005" s="68" t="s">
        <v>4532</v>
      </c>
      <c r="P1005" s="42" t="str">
        <f>+IF(O1005="","",IFERROR(VLOOKUP(O1005,CODIGO_DIAGNOSTICO,2,0),"CÓDIGO NO ENCONTRADO"))</f>
        <v>ULCERA DEL MIEMBRO INFERIOR, NO CLASIFICADA EN OTRA PARTE</v>
      </c>
      <c r="Q1005" s="68" t="s">
        <v>26152</v>
      </c>
      <c r="R1005" s="67"/>
      <c r="S1005" s="77"/>
      <c r="T1005" s="76"/>
      <c r="U1005" s="65"/>
      <c r="V1005" s="68"/>
      <c r="W1005" s="70"/>
      <c r="X1005" s="68"/>
      <c r="Y1005" s="70"/>
      <c r="Z1005" s="72"/>
    </row>
    <row r="1006" spans="1:26" ht="15.75" hidden="1" customHeight="1" x14ac:dyDescent="0.25">
      <c r="A1006" s="64">
        <v>1</v>
      </c>
      <c r="B1006" s="62">
        <v>1214737996</v>
      </c>
      <c r="C1006" s="62" t="s">
        <v>25604</v>
      </c>
      <c r="D1006" s="62" t="s">
        <v>25969</v>
      </c>
      <c r="E1006" s="62" t="s">
        <v>25970</v>
      </c>
      <c r="F1006" s="62" t="s">
        <v>25060</v>
      </c>
      <c r="G1006" s="81" t="s">
        <v>19285</v>
      </c>
      <c r="H1006" s="63">
        <v>45673</v>
      </c>
      <c r="I1006" s="63">
        <v>45677</v>
      </c>
      <c r="J1006" s="62">
        <v>5</v>
      </c>
      <c r="K1006" s="62">
        <v>5</v>
      </c>
      <c r="L1006" s="62" t="s">
        <v>19262</v>
      </c>
      <c r="M1006" s="62" t="s">
        <v>19262</v>
      </c>
      <c r="N1006" s="62" t="s">
        <v>19269</v>
      </c>
      <c r="O1006" s="62" t="s">
        <v>7723</v>
      </c>
      <c r="P1006" s="42" t="str">
        <f>+IF(O1006="","",IFERROR(VLOOKUP(O1006,CODIGO_DIAGNOSTICO,2,0),"CÓDIGO NO ENCONTRADO"))</f>
        <v>FRACTURA DE LA EPIFISIS SUPERIOR DE LA TIBIA</v>
      </c>
      <c r="Q1006" s="62" t="s">
        <v>26339</v>
      </c>
      <c r="R1006" s="64"/>
      <c r="S1006" s="75"/>
      <c r="T1006" s="75"/>
      <c r="U1006" s="65"/>
      <c r="V1006" s="62"/>
      <c r="W1006" s="65"/>
      <c r="X1006" s="62"/>
      <c r="Y1006" s="65"/>
      <c r="Z1006" s="73"/>
    </row>
    <row r="1007" spans="1:26" ht="15.75" hidden="1" customHeight="1" x14ac:dyDescent="0.25">
      <c r="A1007" s="67">
        <v>1</v>
      </c>
      <c r="B1007" s="68">
        <v>1047371882</v>
      </c>
      <c r="C1007" s="68" t="s">
        <v>6</v>
      </c>
      <c r="D1007" s="68" t="s">
        <v>25325</v>
      </c>
      <c r="E1007" s="68" t="s">
        <v>25059</v>
      </c>
      <c r="F1007" s="68" t="s">
        <v>25135</v>
      </c>
      <c r="G1007" s="81" t="s">
        <v>19285</v>
      </c>
      <c r="H1007" s="69">
        <v>45677</v>
      </c>
      <c r="I1007" s="69">
        <v>45679</v>
      </c>
      <c r="J1007" s="68">
        <v>3</v>
      </c>
      <c r="K1007" s="68">
        <v>3</v>
      </c>
      <c r="L1007" s="68" t="s">
        <v>24995</v>
      </c>
      <c r="M1007" s="68" t="s">
        <v>24995</v>
      </c>
      <c r="N1007" s="62" t="s">
        <v>19269</v>
      </c>
      <c r="O1007" s="68" t="s">
        <v>7492</v>
      </c>
      <c r="P1007" s="42" t="str">
        <f>+IF(O1007="","",IFERROR(VLOOKUP(O1007,CODIGO_DIAGNOSTICO,2,0),"CÓDIGO NO ENCONTRADO"))</f>
        <v>CONTUSION DEL HOMBRO Y DEL BRAZO</v>
      </c>
      <c r="Q1007" s="68" t="s">
        <v>19232</v>
      </c>
      <c r="R1007" s="67"/>
      <c r="S1007" s="77"/>
      <c r="T1007" s="76"/>
      <c r="U1007" s="65"/>
      <c r="V1007" s="68"/>
      <c r="W1007" s="70"/>
      <c r="X1007" s="68"/>
      <c r="Y1007" s="70"/>
      <c r="Z1007" s="72"/>
    </row>
    <row r="1008" spans="1:26" ht="15.75" hidden="1" customHeight="1" x14ac:dyDescent="0.25">
      <c r="A1008" s="64">
        <v>1</v>
      </c>
      <c r="B1008" s="62">
        <v>12625299</v>
      </c>
      <c r="C1008" s="62" t="s">
        <v>26170</v>
      </c>
      <c r="D1008" s="62" t="s">
        <v>25322</v>
      </c>
      <c r="E1008" s="62" t="s">
        <v>25323</v>
      </c>
      <c r="F1008" s="62" t="s">
        <v>25064</v>
      </c>
      <c r="G1008" s="81" t="s">
        <v>19285</v>
      </c>
      <c r="H1008" s="63">
        <v>45677</v>
      </c>
      <c r="I1008" s="63">
        <v>45706</v>
      </c>
      <c r="J1008" s="62">
        <v>30</v>
      </c>
      <c r="K1008" s="62">
        <v>30</v>
      </c>
      <c r="L1008" s="62" t="s">
        <v>19262</v>
      </c>
      <c r="M1008" s="62" t="s">
        <v>19262</v>
      </c>
      <c r="N1008" s="62" t="s">
        <v>19269</v>
      </c>
      <c r="O1008" s="62" t="s">
        <v>3284</v>
      </c>
      <c r="P1008" s="42" t="str">
        <f>+IF(O1008="","",IFERROR(VLOOKUP(O1008,CODIGO_DIAGNOSTICO,2,0),"CÓDIGO NO ENCONTRADO"))</f>
        <v>ENDOCARDITIS INFECCIOSA AGUDA Y SUBAGUDA</v>
      </c>
      <c r="Q1008" s="62" t="s">
        <v>26059</v>
      </c>
      <c r="R1008" s="64"/>
      <c r="S1008" s="75"/>
      <c r="T1008" s="75"/>
      <c r="U1008" s="65"/>
      <c r="V1008" s="62"/>
      <c r="W1008" s="65"/>
      <c r="X1008" s="62"/>
      <c r="Y1008" s="65"/>
      <c r="Z1008" s="73"/>
    </row>
    <row r="1009" spans="1:26" ht="15.75" hidden="1" customHeight="1" x14ac:dyDescent="0.25">
      <c r="A1009" s="67">
        <v>1</v>
      </c>
      <c r="B1009" s="68">
        <v>1214737996</v>
      </c>
      <c r="C1009" s="68" t="s">
        <v>25604</v>
      </c>
      <c r="D1009" s="68" t="s">
        <v>25969</v>
      </c>
      <c r="E1009" s="68" t="s">
        <v>25970</v>
      </c>
      <c r="F1009" s="68" t="s">
        <v>25060</v>
      </c>
      <c r="G1009" s="81" t="s">
        <v>19285</v>
      </c>
      <c r="H1009" s="69">
        <v>45678</v>
      </c>
      <c r="I1009" s="69">
        <v>45707</v>
      </c>
      <c r="J1009" s="68">
        <v>30</v>
      </c>
      <c r="K1009" s="68">
        <v>30</v>
      </c>
      <c r="L1009" s="68" t="s">
        <v>19262</v>
      </c>
      <c r="M1009" s="68" t="s">
        <v>19262</v>
      </c>
      <c r="N1009" s="62" t="s">
        <v>19269</v>
      </c>
      <c r="O1009" s="68" t="s">
        <v>7723</v>
      </c>
      <c r="P1009" s="42" t="str">
        <f>+IF(O1009="","",IFERROR(VLOOKUP(O1009,CODIGO_DIAGNOSTICO,2,0),"CÓDIGO NO ENCONTRADO"))</f>
        <v>FRACTURA DE LA EPIFISIS SUPERIOR DE LA TIBIA</v>
      </c>
      <c r="Q1009" s="68" t="s">
        <v>26339</v>
      </c>
      <c r="R1009" s="67"/>
      <c r="S1009" s="77"/>
      <c r="T1009" s="76"/>
      <c r="U1009" s="65"/>
      <c r="V1009" s="68"/>
      <c r="W1009" s="70"/>
      <c r="X1009" s="68"/>
      <c r="Y1009" s="70"/>
      <c r="Z1009" s="72"/>
    </row>
    <row r="1010" spans="1:26" ht="15.75" hidden="1" customHeight="1" x14ac:dyDescent="0.25">
      <c r="A1010" s="64">
        <v>1</v>
      </c>
      <c r="B1010" s="62">
        <v>43986499</v>
      </c>
      <c r="C1010" s="62" t="s">
        <v>26275</v>
      </c>
      <c r="D1010" s="62" t="s">
        <v>25634</v>
      </c>
      <c r="E1010" s="62" t="s">
        <v>25855</v>
      </c>
      <c r="F1010" s="62" t="s">
        <v>25232</v>
      </c>
      <c r="G1010" s="81" t="s">
        <v>26386</v>
      </c>
      <c r="H1010" s="63">
        <v>45682</v>
      </c>
      <c r="I1010" s="63">
        <v>45691</v>
      </c>
      <c r="J1010" s="62">
        <v>10</v>
      </c>
      <c r="K1010" s="62">
        <v>10</v>
      </c>
      <c r="L1010" s="62" t="s">
        <v>24995</v>
      </c>
      <c r="M1010" s="62" t="s">
        <v>24995</v>
      </c>
      <c r="N1010" s="62" t="s">
        <v>19269</v>
      </c>
      <c r="O1010" s="62" t="s">
        <v>3654</v>
      </c>
      <c r="P1010" s="42" t="str">
        <f>+IF(O1010="","",IFERROR(VLOOKUP(O1010,CODIGO_DIAGNOSTICO,2,0),"CÓDIGO NO ENCONTRADO"))</f>
        <v>DESVIACION DEL TABIQUE NASAL</v>
      </c>
      <c r="Q1010" s="62" t="s">
        <v>26152</v>
      </c>
      <c r="R1010" s="64"/>
      <c r="S1010" s="75"/>
      <c r="T1010" s="75"/>
      <c r="U1010" s="65"/>
      <c r="V1010" s="62"/>
      <c r="W1010" s="65"/>
      <c r="X1010" s="62"/>
      <c r="Y1010" s="65"/>
      <c r="Z1010" s="73"/>
    </row>
    <row r="1011" spans="1:26" ht="15.75" hidden="1" customHeight="1" x14ac:dyDescent="0.25">
      <c r="A1011" s="67">
        <v>1</v>
      </c>
      <c r="B1011" s="68">
        <v>7537251</v>
      </c>
      <c r="C1011" s="68" t="s">
        <v>25319</v>
      </c>
      <c r="D1011" s="68" t="s">
        <v>25262</v>
      </c>
      <c r="E1011" s="68" t="s">
        <v>25134</v>
      </c>
      <c r="F1011" s="68"/>
      <c r="G1011" s="81" t="s">
        <v>19285</v>
      </c>
      <c r="H1011" s="69">
        <v>45683</v>
      </c>
      <c r="I1011" s="69">
        <v>45692</v>
      </c>
      <c r="J1011" s="68">
        <v>20</v>
      </c>
      <c r="K1011" s="68">
        <v>20</v>
      </c>
      <c r="L1011" s="68" t="s">
        <v>24995</v>
      </c>
      <c r="M1011" s="68" t="s">
        <v>24995</v>
      </c>
      <c r="N1011" s="62" t="s">
        <v>19269</v>
      </c>
      <c r="O1011" s="68" t="s">
        <v>12446</v>
      </c>
      <c r="P1011" s="42" t="str">
        <f>+IF(O1011="","",IFERROR(VLOOKUP(O1011,CODIGO_DIAGNOSTICO,2,0),"CÓDIGO NO ENCONTRADO"))</f>
        <v>OTROS ESTADOS POSTQUIRURGICOS ESPECIFICADOS</v>
      </c>
      <c r="Q1011" s="68" t="s">
        <v>26339</v>
      </c>
      <c r="R1011" s="67"/>
      <c r="S1011" s="77"/>
      <c r="T1011" s="76"/>
      <c r="U1011" s="65"/>
      <c r="V1011" s="68"/>
      <c r="W1011" s="70"/>
      <c r="X1011" s="68"/>
      <c r="Y1011" s="70"/>
      <c r="Z1011" s="72"/>
    </row>
    <row r="1012" spans="1:26" ht="15.75" hidden="1" customHeight="1" x14ac:dyDescent="0.25">
      <c r="A1012" s="64">
        <v>1</v>
      </c>
      <c r="B1012" s="62">
        <v>71382103</v>
      </c>
      <c r="C1012" s="62" t="s">
        <v>25776</v>
      </c>
      <c r="D1012" s="62" t="s">
        <v>25968</v>
      </c>
      <c r="E1012" s="62" t="s">
        <v>25116</v>
      </c>
      <c r="F1012" s="62" t="s">
        <v>26027</v>
      </c>
      <c r="G1012" s="81" t="s">
        <v>19285</v>
      </c>
      <c r="H1012" s="63">
        <v>45686</v>
      </c>
      <c r="I1012" s="63">
        <v>45695</v>
      </c>
      <c r="J1012" s="62">
        <v>10</v>
      </c>
      <c r="K1012" s="62">
        <v>10</v>
      </c>
      <c r="L1012" s="62" t="s">
        <v>19262</v>
      </c>
      <c r="M1012" s="62" t="s">
        <v>19262</v>
      </c>
      <c r="N1012" s="62" t="s">
        <v>19269</v>
      </c>
      <c r="O1012" s="62" t="s">
        <v>4671</v>
      </c>
      <c r="P1012" s="42" t="str">
        <f>+IF(O1012="","",IFERROR(VLOOKUP(O1012,CODIGO_DIAGNOSTICO,2,0),"CÓDIGO NO ENCONTRADO"))</f>
        <v>DEFORMIDAD EN VARO, NO CLASIFICADA EN OTRA</v>
      </c>
      <c r="Q1012" s="62"/>
      <c r="R1012" s="64"/>
      <c r="S1012" s="75"/>
      <c r="T1012" s="75"/>
      <c r="U1012" s="65"/>
      <c r="V1012" s="62"/>
      <c r="W1012" s="65"/>
      <c r="X1012" s="62"/>
      <c r="Y1012" s="65"/>
      <c r="Z1012" s="73"/>
    </row>
    <row r="1013" spans="1:26" ht="15.75" hidden="1" customHeight="1" x14ac:dyDescent="0.25">
      <c r="A1013" s="67">
        <v>2</v>
      </c>
      <c r="B1013" s="68">
        <v>71261572</v>
      </c>
      <c r="C1013" s="68" t="s">
        <v>25043</v>
      </c>
      <c r="D1013" s="68" t="s">
        <v>25149</v>
      </c>
      <c r="E1013" s="68" t="s">
        <v>25556</v>
      </c>
      <c r="F1013" s="68" t="s">
        <v>25465</v>
      </c>
      <c r="G1013" s="81" t="s">
        <v>19285</v>
      </c>
      <c r="H1013" s="69">
        <v>45688</v>
      </c>
      <c r="I1013" s="69">
        <v>45689</v>
      </c>
      <c r="J1013" s="68">
        <v>2</v>
      </c>
      <c r="K1013" s="68">
        <v>2</v>
      </c>
      <c r="L1013" s="68" t="s">
        <v>24995</v>
      </c>
      <c r="M1013" s="68" t="s">
        <v>24995</v>
      </c>
      <c r="N1013" s="62" t="s">
        <v>19269</v>
      </c>
      <c r="O1013" s="68" t="s">
        <v>2596</v>
      </c>
      <c r="P1013" s="42" t="str">
        <f>+IF(O1013="","",IFERROR(VLOOKUP(O1013,CODIGO_DIAGNOSTICO,2,0),"CÓDIGO NO ENCONTRADO"))</f>
        <v>CEFALEA DEBIDA A TENSION</v>
      </c>
      <c r="Q1013" s="68" t="s">
        <v>24996</v>
      </c>
      <c r="R1013" s="67"/>
      <c r="S1013" s="77"/>
      <c r="T1013" s="76"/>
      <c r="U1013" s="65"/>
      <c r="V1013" s="68"/>
      <c r="W1013" s="70"/>
      <c r="X1013" s="68"/>
      <c r="Y1013" s="70"/>
      <c r="Z1013" s="72"/>
    </row>
    <row r="1014" spans="1:26" ht="15.75" hidden="1" customHeight="1" x14ac:dyDescent="0.25">
      <c r="A1014" s="64">
        <v>2</v>
      </c>
      <c r="B1014" s="62">
        <v>71175425</v>
      </c>
      <c r="C1014" s="62" t="s">
        <v>25030</v>
      </c>
      <c r="D1014" s="62" t="s">
        <v>25042</v>
      </c>
      <c r="E1014" s="62" t="s">
        <v>26379</v>
      </c>
      <c r="F1014" s="62" t="s">
        <v>25110</v>
      </c>
      <c r="G1014" s="81" t="s">
        <v>19285</v>
      </c>
      <c r="H1014" s="63">
        <v>45689</v>
      </c>
      <c r="I1014" s="63">
        <v>45690</v>
      </c>
      <c r="J1014" s="62">
        <v>2</v>
      </c>
      <c r="K1014" s="62">
        <v>2</v>
      </c>
      <c r="L1014" s="62" t="s">
        <v>24995</v>
      </c>
      <c r="M1014" s="62" t="s">
        <v>24995</v>
      </c>
      <c r="N1014" s="62" t="s">
        <v>19269</v>
      </c>
      <c r="O1014" s="62" t="s">
        <v>3997</v>
      </c>
      <c r="P1014" s="42" t="str">
        <f>+IF(O1014="","",IFERROR(VLOOKUP(O1014,CODIGO_DIAGNOSTICO,2,0),"CÓDIGO NO ENCONTRADO"))</f>
        <v>HERNIA UMBILICAL SIN OBSTRUCCION NI GANGRENA</v>
      </c>
      <c r="Q1014" s="62" t="s">
        <v>24996</v>
      </c>
      <c r="R1014" s="64"/>
      <c r="S1014" s="75"/>
      <c r="T1014" s="75"/>
      <c r="U1014" s="65"/>
      <c r="V1014" s="62"/>
      <c r="W1014" s="65"/>
      <c r="X1014" s="62"/>
      <c r="Y1014" s="65"/>
      <c r="Z1014" s="73"/>
    </row>
    <row r="1015" spans="1:26" ht="15.75" hidden="1" customHeight="1" x14ac:dyDescent="0.25">
      <c r="A1015" s="67">
        <v>2</v>
      </c>
      <c r="B1015" s="68">
        <v>1020398409</v>
      </c>
      <c r="C1015" s="68" t="s">
        <v>26375</v>
      </c>
      <c r="D1015" s="68" t="s">
        <v>26376</v>
      </c>
      <c r="E1015" s="68" t="s">
        <v>26391</v>
      </c>
      <c r="F1015" s="68" t="s">
        <v>25028</v>
      </c>
      <c r="G1015" s="81" t="s">
        <v>19285</v>
      </c>
      <c r="H1015" s="69">
        <v>45693</v>
      </c>
      <c r="I1015" s="69">
        <v>45694</v>
      </c>
      <c r="J1015" s="68">
        <v>2</v>
      </c>
      <c r="K1015" s="68">
        <v>2</v>
      </c>
      <c r="L1015" s="68" t="s">
        <v>24995</v>
      </c>
      <c r="M1015" s="68" t="s">
        <v>24995</v>
      </c>
      <c r="N1015" s="62" t="s">
        <v>19269</v>
      </c>
      <c r="O1015" s="68" t="s">
        <v>4026</v>
      </c>
      <c r="P1015" s="42" t="str">
        <f>+IF(O1015="","",IFERROR(VLOOKUP(O1015,CODIGO_DIAGNOSTICO,2,0),"CÓDIGO NO ENCONTRADO"))</f>
        <v>COLITIS Y GASTROENTERITIS NO INFECCIOSAS, NO ESPECIFICADAS</v>
      </c>
      <c r="Q1015" s="68" t="s">
        <v>19232</v>
      </c>
      <c r="R1015" s="67"/>
      <c r="S1015" s="77"/>
      <c r="T1015" s="76"/>
      <c r="U1015" s="65"/>
      <c r="V1015" s="68"/>
      <c r="W1015" s="70"/>
      <c r="X1015" s="68"/>
      <c r="Y1015" s="70"/>
      <c r="Z1015" s="72"/>
    </row>
    <row r="1016" spans="1:26" ht="15.75" hidden="1" customHeight="1" x14ac:dyDescent="0.25">
      <c r="A1016" s="64">
        <v>2</v>
      </c>
      <c r="B1016" s="62">
        <v>1020398409</v>
      </c>
      <c r="C1016" s="62" t="s">
        <v>26403</v>
      </c>
      <c r="D1016" s="62" t="s">
        <v>26376</v>
      </c>
      <c r="E1016" s="62" t="s">
        <v>26377</v>
      </c>
      <c r="F1016" s="62" t="s">
        <v>25028</v>
      </c>
      <c r="G1016" s="81" t="s">
        <v>19285</v>
      </c>
      <c r="H1016" s="63">
        <v>45693</v>
      </c>
      <c r="I1016" s="63">
        <v>45694</v>
      </c>
      <c r="J1016" s="62">
        <v>2</v>
      </c>
      <c r="K1016" s="62">
        <v>2</v>
      </c>
      <c r="L1016" s="62" t="s">
        <v>24995</v>
      </c>
      <c r="M1016" s="62" t="s">
        <v>24995</v>
      </c>
      <c r="N1016" s="62" t="s">
        <v>19269</v>
      </c>
      <c r="O1016" s="62" t="s">
        <v>4026</v>
      </c>
      <c r="P1016" s="42" t="str">
        <f>+IF(O1016="","",IFERROR(VLOOKUP(O1016,CODIGO_DIAGNOSTICO,2,0),"CÓDIGO NO ENCONTRADO"))</f>
        <v>COLITIS Y GASTROENTERITIS NO INFECCIOSAS, NO ESPECIFICADAS</v>
      </c>
      <c r="Q1016" s="62" t="s">
        <v>24996</v>
      </c>
      <c r="R1016" s="64"/>
      <c r="S1016" s="75"/>
      <c r="T1016" s="75"/>
      <c r="U1016" s="65"/>
      <c r="V1016" s="62"/>
      <c r="W1016" s="65"/>
      <c r="X1016" s="62"/>
      <c r="Y1016" s="65"/>
      <c r="Z1016" s="73"/>
    </row>
    <row r="1017" spans="1:26" ht="15.75" hidden="1" customHeight="1" x14ac:dyDescent="0.25">
      <c r="A1017" s="67">
        <v>2</v>
      </c>
      <c r="B1017" s="68">
        <v>1082997484</v>
      </c>
      <c r="C1017" s="68" t="s">
        <v>26389</v>
      </c>
      <c r="D1017" s="68" t="s">
        <v>26390</v>
      </c>
      <c r="E1017" s="68" t="s">
        <v>26303</v>
      </c>
      <c r="F1017" s="68" t="s">
        <v>25283</v>
      </c>
      <c r="G1017" s="81" t="s">
        <v>19285</v>
      </c>
      <c r="H1017" s="69">
        <v>45694</v>
      </c>
      <c r="I1017" s="69">
        <v>45695</v>
      </c>
      <c r="J1017" s="68">
        <v>2</v>
      </c>
      <c r="K1017" s="68">
        <v>2</v>
      </c>
      <c r="L1017" s="68" t="s">
        <v>24995</v>
      </c>
      <c r="M1017" s="68" t="s">
        <v>24995</v>
      </c>
      <c r="N1017" s="62" t="s">
        <v>19269</v>
      </c>
      <c r="O1017" s="68" t="s">
        <v>6957</v>
      </c>
      <c r="P1017" s="42" t="str">
        <f>+IF(O1017="","",IFERROR(VLOOKUP(O1017,CODIGO_DIAGNOSTICO,2,0),"CÓDIGO NO ENCONTRADO"))</f>
        <v>OTROS SINTOMAS Y SIGNOS ESPECIFICADOS QUE INVOLUCRAN EL SISTEMA DIGESTIVO Y EL ABDOMEN</v>
      </c>
      <c r="Q1017" s="68" t="s">
        <v>26339</v>
      </c>
      <c r="R1017" s="67"/>
      <c r="S1017" s="77"/>
      <c r="T1017" s="76"/>
      <c r="U1017" s="65"/>
      <c r="V1017" s="68"/>
      <c r="W1017" s="70"/>
      <c r="X1017" s="68"/>
      <c r="Y1017" s="70"/>
      <c r="Z1017" s="72"/>
    </row>
    <row r="1018" spans="1:26" ht="15.75" hidden="1" customHeight="1" x14ac:dyDescent="0.25">
      <c r="A1018" s="64">
        <v>2</v>
      </c>
      <c r="B1018" s="62">
        <v>1000399903</v>
      </c>
      <c r="C1018" s="62" t="s">
        <v>25257</v>
      </c>
      <c r="D1018" s="62" t="s">
        <v>25030</v>
      </c>
      <c r="E1018" s="62" t="s">
        <v>25886</v>
      </c>
      <c r="F1018" s="62" t="s">
        <v>25755</v>
      </c>
      <c r="G1018" s="81" t="s">
        <v>19285</v>
      </c>
      <c r="H1018" s="63">
        <v>45695</v>
      </c>
      <c r="I1018" s="63">
        <v>45704</v>
      </c>
      <c r="J1018" s="62">
        <v>10</v>
      </c>
      <c r="K1018" s="62">
        <v>10</v>
      </c>
      <c r="L1018" s="62" t="s">
        <v>19262</v>
      </c>
      <c r="M1018" s="62" t="s">
        <v>19262</v>
      </c>
      <c r="N1018" s="62" t="s">
        <v>19269</v>
      </c>
      <c r="O1018" s="62" t="s">
        <v>4838</v>
      </c>
      <c r="P1018" s="42" t="str">
        <f>+IF(O1018="","",IFERROR(VLOOKUP(O1018,CODIGO_DIAGNOSTICO,2,0),"CÓDIGO NO ENCONTRADO"))</f>
        <v>LUMBAGO NO ESPECIFICADO</v>
      </c>
      <c r="Q1018" s="62" t="s">
        <v>26059</v>
      </c>
      <c r="R1018" s="64"/>
      <c r="S1018" s="75"/>
      <c r="T1018" s="75"/>
      <c r="U1018" s="65"/>
      <c r="V1018" s="62"/>
      <c r="W1018" s="65"/>
      <c r="X1018" s="62"/>
      <c r="Y1018" s="65"/>
      <c r="Z1018" s="73"/>
    </row>
    <row r="1019" spans="1:26" ht="15.75" hidden="1" customHeight="1" x14ac:dyDescent="0.25">
      <c r="A1019" s="67">
        <v>2</v>
      </c>
      <c r="B1019" s="68">
        <v>71382103</v>
      </c>
      <c r="C1019" s="68" t="s">
        <v>25776</v>
      </c>
      <c r="D1019" s="68" t="s">
        <v>25968</v>
      </c>
      <c r="E1019" s="68" t="s">
        <v>25116</v>
      </c>
      <c r="F1019" s="68" t="s">
        <v>26027</v>
      </c>
      <c r="G1019" s="81" t="s">
        <v>19285</v>
      </c>
      <c r="H1019" s="69">
        <v>45696</v>
      </c>
      <c r="I1019" s="69">
        <v>45705</v>
      </c>
      <c r="J1019" s="68">
        <v>10</v>
      </c>
      <c r="K1019" s="68">
        <v>10</v>
      </c>
      <c r="L1019" s="68" t="s">
        <v>19262</v>
      </c>
      <c r="M1019" s="68" t="s">
        <v>19262</v>
      </c>
      <c r="N1019" s="62" t="s">
        <v>19269</v>
      </c>
      <c r="O1019" s="68" t="s">
        <v>8390</v>
      </c>
      <c r="P1019" s="42" t="str">
        <f>+IF(O1019="","",IFERROR(VLOOKUP(O1019,CODIGO_DIAGNOSTICO,2,0),"CÓDIGO NO ENCONTRADO"))</f>
        <v>INFECCION CONSECUTIVA A PROCEDIMIENTO, NO CLASIFICADA EN OTRA PARTE</v>
      </c>
      <c r="Q1019" s="68"/>
      <c r="R1019" s="67"/>
      <c r="S1019" s="77"/>
      <c r="T1019" s="76"/>
      <c r="U1019" s="65"/>
      <c r="V1019" s="68"/>
      <c r="W1019" s="70"/>
      <c r="X1019" s="68"/>
      <c r="Y1019" s="70"/>
      <c r="Z1019" s="72"/>
    </row>
    <row r="1020" spans="1:26" ht="15.75" hidden="1" customHeight="1" x14ac:dyDescent="0.25">
      <c r="A1020" s="64">
        <v>2</v>
      </c>
      <c r="B1020" s="62">
        <v>1041610064</v>
      </c>
      <c r="C1020" s="62" t="s">
        <v>25341</v>
      </c>
      <c r="D1020" s="62" t="s">
        <v>25061</v>
      </c>
      <c r="E1020" s="62" t="s">
        <v>25231</v>
      </c>
      <c r="F1020" s="62" t="s">
        <v>26394</v>
      </c>
      <c r="G1020" s="81" t="s">
        <v>19285</v>
      </c>
      <c r="H1020" s="63">
        <v>45697</v>
      </c>
      <c r="I1020" s="63">
        <v>45699</v>
      </c>
      <c r="J1020" s="62">
        <v>3</v>
      </c>
      <c r="K1020" s="62">
        <v>3</v>
      </c>
      <c r="L1020" s="62" t="s">
        <v>24995</v>
      </c>
      <c r="M1020" s="62" t="s">
        <v>24995</v>
      </c>
      <c r="N1020" s="62" t="s">
        <v>19263</v>
      </c>
      <c r="O1020" s="62" t="s">
        <v>7776</v>
      </c>
      <c r="P1020" s="42" t="str">
        <f>+IF(O1020="","",IFERROR(VLOOKUP(O1020,CODIGO_DIAGNOSTICO,2,0),"CÓDIGO NO ENCONTRADO"))</f>
        <v>TRAUMATISMO SUPERFICIAL DEL PIE Y DEL TOBILLO, NO ESPECIFICADO</v>
      </c>
      <c r="Q1020" s="62" t="s">
        <v>25001</v>
      </c>
      <c r="R1020" s="64"/>
      <c r="S1020" s="75"/>
      <c r="T1020" s="75"/>
      <c r="U1020" s="65"/>
      <c r="V1020" s="62"/>
      <c r="W1020" s="65"/>
      <c r="X1020" s="62"/>
      <c r="Y1020" s="65"/>
      <c r="Z1020" s="73"/>
    </row>
    <row r="1021" spans="1:26" ht="15.75" hidden="1" customHeight="1" x14ac:dyDescent="0.25">
      <c r="A1021" s="67">
        <v>2</v>
      </c>
      <c r="B1021" s="68">
        <v>12124967</v>
      </c>
      <c r="C1021" s="68" t="s">
        <v>25398</v>
      </c>
      <c r="D1021" s="68" t="s">
        <v>25303</v>
      </c>
      <c r="E1021" s="68" t="s">
        <v>25399</v>
      </c>
      <c r="F1021" s="68"/>
      <c r="G1021" s="81" t="s">
        <v>19285</v>
      </c>
      <c r="H1021" s="69">
        <v>45698</v>
      </c>
      <c r="I1021" s="69">
        <v>45701</v>
      </c>
      <c r="J1021" s="68">
        <v>4</v>
      </c>
      <c r="K1021" s="68">
        <v>4</v>
      </c>
      <c r="L1021" s="68" t="s">
        <v>24995</v>
      </c>
      <c r="M1021" s="68" t="s">
        <v>24995</v>
      </c>
      <c r="N1021" s="62" t="s">
        <v>19269</v>
      </c>
      <c r="O1021" s="68" t="s">
        <v>12128</v>
      </c>
      <c r="P1021" s="42" t="str">
        <f>+IF(O1021="","",IFERROR(VLOOKUP(O1021,CODIGO_DIAGNOSTICO,2,0),"CÓDIGO NO ENCONTRADO"))</f>
        <v>PROCEDIMIENTO NO REALIZADO POR DECISION DEL PACIENTE, POR OTRAS RAZONES Y LAS NO ESPECIFICADAS</v>
      </c>
      <c r="Q1021" s="68" t="s">
        <v>25305</v>
      </c>
      <c r="R1021" s="67"/>
      <c r="S1021" s="77"/>
      <c r="T1021" s="76"/>
      <c r="U1021" s="65"/>
      <c r="V1021" s="68"/>
      <c r="W1021" s="70"/>
      <c r="X1021" s="68"/>
      <c r="Y1021" s="70"/>
      <c r="Z1021" s="72"/>
    </row>
    <row r="1022" spans="1:26" ht="15.75" hidden="1" customHeight="1" x14ac:dyDescent="0.25">
      <c r="A1022" s="64">
        <v>2</v>
      </c>
      <c r="B1022" s="62">
        <v>39189119</v>
      </c>
      <c r="C1022" s="62" t="s">
        <v>19258</v>
      </c>
      <c r="D1022" s="62" t="s">
        <v>26395</v>
      </c>
      <c r="E1022" s="62" t="s">
        <v>26396</v>
      </c>
      <c r="F1022" s="62" t="s">
        <v>25232</v>
      </c>
      <c r="G1022" s="81" t="s">
        <v>19285</v>
      </c>
      <c r="H1022" s="63">
        <v>45698</v>
      </c>
      <c r="I1022" s="63">
        <v>45700</v>
      </c>
      <c r="J1022" s="62">
        <v>3</v>
      </c>
      <c r="K1022" s="62">
        <v>3</v>
      </c>
      <c r="L1022" s="62" t="s">
        <v>24995</v>
      </c>
      <c r="M1022" s="62" t="s">
        <v>24995</v>
      </c>
      <c r="N1022" s="62" t="s">
        <v>19269</v>
      </c>
      <c r="O1022" s="62" t="s">
        <v>4932</v>
      </c>
      <c r="P1022" s="42" t="str">
        <f>+IF(O1022="","",IFERROR(VLOOKUP(O1022,CODIGO_DIAGNOSTICO,2,0),"CÓDIGO NO ENCONTRADO"))</f>
        <v>TENDINITIS ROTULIANA</v>
      </c>
      <c r="Q1022" s="62" t="s">
        <v>26059</v>
      </c>
      <c r="R1022" s="64"/>
      <c r="S1022" s="75"/>
      <c r="T1022" s="75"/>
      <c r="U1022" s="65"/>
      <c r="V1022" s="62"/>
      <c r="W1022" s="65"/>
      <c r="X1022" s="62"/>
      <c r="Y1022" s="65"/>
      <c r="Z1022" s="73"/>
    </row>
    <row r="1023" spans="1:26" ht="15.75" hidden="1" customHeight="1" x14ac:dyDescent="0.25">
      <c r="A1023" s="67">
        <v>2</v>
      </c>
      <c r="B1023" s="68">
        <v>1020452896</v>
      </c>
      <c r="C1023" s="68" t="s">
        <v>25829</v>
      </c>
      <c r="D1023" s="68" t="s">
        <v>25197</v>
      </c>
      <c r="E1023" s="68" t="s">
        <v>25116</v>
      </c>
      <c r="F1023" s="68" t="s">
        <v>25010</v>
      </c>
      <c r="G1023" s="81" t="s">
        <v>19285</v>
      </c>
      <c r="H1023" s="69">
        <v>45699</v>
      </c>
      <c r="I1023" s="69">
        <v>45713</v>
      </c>
      <c r="J1023" s="68">
        <v>15</v>
      </c>
      <c r="K1023" s="68">
        <v>15</v>
      </c>
      <c r="L1023" s="68" t="s">
        <v>24995</v>
      </c>
      <c r="M1023" s="68" t="s">
        <v>24995</v>
      </c>
      <c r="N1023" s="62" t="s">
        <v>19269</v>
      </c>
      <c r="O1023" s="68" t="s">
        <v>7554</v>
      </c>
      <c r="P1023" s="42" t="str">
        <f>+IF(O1023="","",IFERROR(VLOOKUP(O1023,CODIGO_DIAGNOSTICO,2,0),"CÓDIGO NO ENCONTRADO"))</f>
        <v>HERIDAS DEL ANTEBRAZO, PARTE NO ESPECIFICADA</v>
      </c>
      <c r="Q1023" s="68" t="s">
        <v>26059</v>
      </c>
      <c r="R1023" s="67"/>
      <c r="S1023" s="77"/>
      <c r="T1023" s="76"/>
      <c r="U1023" s="65"/>
      <c r="V1023" s="68"/>
      <c r="W1023" s="70"/>
      <c r="X1023" s="68"/>
      <c r="Y1023" s="70"/>
      <c r="Z1023" s="72"/>
    </row>
    <row r="1024" spans="1:26" ht="15.75" hidden="1" customHeight="1" x14ac:dyDescent="0.25">
      <c r="A1024" s="64">
        <v>2</v>
      </c>
      <c r="B1024" s="62">
        <v>8405674</v>
      </c>
      <c r="C1024" s="62" t="s">
        <v>25288</v>
      </c>
      <c r="D1024" s="62" t="s">
        <v>26397</v>
      </c>
      <c r="E1024" s="62" t="s">
        <v>25871</v>
      </c>
      <c r="F1024" s="62" t="s">
        <v>24982</v>
      </c>
      <c r="G1024" s="81" t="s">
        <v>19285</v>
      </c>
      <c r="H1024" s="63">
        <v>45700</v>
      </c>
      <c r="I1024" s="63">
        <v>45701</v>
      </c>
      <c r="J1024" s="62">
        <v>2</v>
      </c>
      <c r="K1024" s="62">
        <v>2</v>
      </c>
      <c r="L1024" s="62" t="s">
        <v>24995</v>
      </c>
      <c r="M1024" s="62" t="s">
        <v>24995</v>
      </c>
      <c r="N1024" s="62" t="s">
        <v>19269</v>
      </c>
      <c r="O1024" s="62" t="s">
        <v>4026</v>
      </c>
      <c r="P1024" s="42" t="str">
        <f>+IF(O1024="","",IFERROR(VLOOKUP(O1024,CODIGO_DIAGNOSTICO,2,0),"CÓDIGO NO ENCONTRADO"))</f>
        <v>COLITIS Y GASTROENTERITIS NO INFECCIOSAS, NO ESPECIFICADAS</v>
      </c>
      <c r="Q1024" s="62" t="s">
        <v>26339</v>
      </c>
      <c r="R1024" s="64"/>
      <c r="S1024" s="75"/>
      <c r="T1024" s="75"/>
      <c r="U1024" s="65"/>
      <c r="V1024" s="62"/>
      <c r="W1024" s="65"/>
      <c r="X1024" s="62"/>
      <c r="Y1024" s="65"/>
      <c r="Z1024" s="73"/>
    </row>
    <row r="1025" spans="1:26" ht="15.75" hidden="1" customHeight="1" x14ac:dyDescent="0.25">
      <c r="A1025" s="67">
        <v>2</v>
      </c>
      <c r="B1025" s="68">
        <v>71676289</v>
      </c>
      <c r="C1025" s="68" t="s">
        <v>25702</v>
      </c>
      <c r="D1025" s="68" t="s">
        <v>25214</v>
      </c>
      <c r="E1025" s="68" t="s">
        <v>25016</v>
      </c>
      <c r="F1025" s="68" t="s">
        <v>25814</v>
      </c>
      <c r="G1025" s="81" t="s">
        <v>19285</v>
      </c>
      <c r="H1025" s="69">
        <v>45702</v>
      </c>
      <c r="I1025" s="69">
        <v>45716</v>
      </c>
      <c r="J1025" s="68">
        <v>15</v>
      </c>
      <c r="K1025" s="68">
        <v>15</v>
      </c>
      <c r="L1025" s="68" t="s">
        <v>19262</v>
      </c>
      <c r="M1025" s="68" t="s">
        <v>19262</v>
      </c>
      <c r="N1025" s="62" t="s">
        <v>19269</v>
      </c>
      <c r="O1025" s="68" t="s">
        <v>5006</v>
      </c>
      <c r="P1025" s="42" t="str">
        <f>+IF(O1025="","",IFERROR(VLOOKUP(O1025,CODIGO_DIAGNOSTICO,2,0),"CÓDIGO NO ENCONTRADO"))</f>
        <v>OSTEOMIELITIS, NO ESPECIFICADA</v>
      </c>
      <c r="Q1025" s="68" t="s">
        <v>26059</v>
      </c>
      <c r="R1025" s="67"/>
      <c r="S1025" s="77"/>
      <c r="T1025" s="76"/>
      <c r="U1025" s="65"/>
      <c r="V1025" s="68"/>
      <c r="W1025" s="70"/>
      <c r="X1025" s="68"/>
      <c r="Y1025" s="70"/>
      <c r="Z1025" s="72"/>
    </row>
    <row r="1026" spans="1:26" ht="15.75" hidden="1" customHeight="1" x14ac:dyDescent="0.25">
      <c r="A1026" s="64">
        <v>4</v>
      </c>
      <c r="B1026" s="62">
        <v>3367406</v>
      </c>
      <c r="C1026" s="62" t="s">
        <v>25461</v>
      </c>
      <c r="D1026" s="62" t="s">
        <v>25126</v>
      </c>
      <c r="E1026" s="62" t="s">
        <v>25807</v>
      </c>
      <c r="F1026" s="62" t="s">
        <v>25103</v>
      </c>
      <c r="G1026" s="81" t="s">
        <v>19285</v>
      </c>
      <c r="H1026" s="63">
        <v>45702</v>
      </c>
      <c r="I1026" s="63">
        <v>45703</v>
      </c>
      <c r="J1026" s="62">
        <v>2</v>
      </c>
      <c r="K1026" s="62">
        <v>2</v>
      </c>
      <c r="L1026" s="62" t="s">
        <v>24995</v>
      </c>
      <c r="M1026" s="62" t="s">
        <v>24995</v>
      </c>
      <c r="N1026" s="62" t="s">
        <v>19269</v>
      </c>
      <c r="O1026" s="62" t="s">
        <v>3136</v>
      </c>
      <c r="P1026" s="42" t="str">
        <f>+IF(O1026="","",IFERROR(VLOOKUP(O1026,CODIGO_DIAGNOSTICO,2,0),"CÓDIGO NO ENCONTRADO"))</f>
        <v>OTROS VERTIGOS PERIFERICOS</v>
      </c>
      <c r="Q1026" s="62" t="s">
        <v>26059</v>
      </c>
      <c r="R1026" s="64"/>
      <c r="S1026" s="75"/>
      <c r="T1026" s="75"/>
      <c r="U1026" s="65"/>
      <c r="V1026" s="62"/>
      <c r="W1026" s="65"/>
      <c r="X1026" s="62"/>
      <c r="Y1026" s="65"/>
      <c r="Z1026" s="73"/>
    </row>
    <row r="1027" spans="1:26" ht="15.75" hidden="1" customHeight="1" x14ac:dyDescent="0.25">
      <c r="A1027" s="67">
        <v>2</v>
      </c>
      <c r="B1027" s="68">
        <v>70568787</v>
      </c>
      <c r="C1027" s="68" t="s">
        <v>25889</v>
      </c>
      <c r="D1027" s="68" t="s">
        <v>25230</v>
      </c>
      <c r="E1027" s="68" t="s">
        <v>19278</v>
      </c>
      <c r="F1027" s="68" t="s">
        <v>24986</v>
      </c>
      <c r="G1027" s="81" t="s">
        <v>19285</v>
      </c>
      <c r="H1027" s="69">
        <v>45703</v>
      </c>
      <c r="I1027" s="69">
        <v>45705</v>
      </c>
      <c r="J1027" s="68">
        <v>3</v>
      </c>
      <c r="K1027" s="68">
        <v>3</v>
      </c>
      <c r="L1027" s="68" t="s">
        <v>24995</v>
      </c>
      <c r="M1027" s="68" t="s">
        <v>24995</v>
      </c>
      <c r="N1027" s="62" t="s">
        <v>19269</v>
      </c>
      <c r="O1027" s="68" t="s">
        <v>3211</v>
      </c>
      <c r="P1027" s="42" t="str">
        <f>+IF(O1027="","",IFERROR(VLOOKUP(O1027,CODIGO_DIAGNOSTICO,2,0),"CÓDIGO NO ENCONTRADO"))</f>
        <v>HIPERTENSION ESENCIAL (PRIMARIA)</v>
      </c>
      <c r="Q1027" s="68" t="s">
        <v>26059</v>
      </c>
      <c r="R1027" s="67"/>
      <c r="S1027" s="77"/>
      <c r="T1027" s="76"/>
      <c r="U1027" s="65"/>
      <c r="V1027" s="68"/>
      <c r="W1027" s="70"/>
      <c r="X1027" s="68"/>
      <c r="Y1027" s="70"/>
      <c r="Z1027" s="72"/>
    </row>
    <row r="1028" spans="1:26" ht="15.75" hidden="1" customHeight="1" x14ac:dyDescent="0.25">
      <c r="A1028" s="64">
        <v>2</v>
      </c>
      <c r="B1028" s="62">
        <v>3556779</v>
      </c>
      <c r="C1028" s="62" t="s">
        <v>25008</v>
      </c>
      <c r="D1028" s="62" t="s">
        <v>25145</v>
      </c>
      <c r="E1028" s="62" t="s">
        <v>26406</v>
      </c>
      <c r="F1028" s="62" t="s">
        <v>25010</v>
      </c>
      <c r="G1028" s="81" t="s">
        <v>19285</v>
      </c>
      <c r="H1028" s="63">
        <v>45704</v>
      </c>
      <c r="I1028" s="63">
        <v>45706</v>
      </c>
      <c r="J1028" s="62">
        <v>3</v>
      </c>
      <c r="K1028" s="62">
        <v>3</v>
      </c>
      <c r="L1028" s="62" t="s">
        <v>24995</v>
      </c>
      <c r="M1028" s="62" t="s">
        <v>24995</v>
      </c>
      <c r="N1028" s="62" t="s">
        <v>19263</v>
      </c>
      <c r="O1028" s="62" t="s">
        <v>7416</v>
      </c>
      <c r="P1028" s="42" t="str">
        <f>+IF(O1028="","",IFERROR(VLOOKUP(O1028,CODIGO_DIAGNOSTICO,2,0),"CÓDIGO NO ENCONTRADO"))</f>
        <v>CONTUSION DE LA REGION LUMBOSACRA Y DE LA PELVIS</v>
      </c>
      <c r="Q1028" s="62" t="s">
        <v>25001</v>
      </c>
      <c r="R1028" s="64"/>
      <c r="S1028" s="75"/>
      <c r="T1028" s="75"/>
      <c r="U1028" s="65"/>
      <c r="V1028" s="62"/>
      <c r="W1028" s="65"/>
      <c r="X1028" s="62"/>
      <c r="Y1028" s="65"/>
      <c r="Z1028" s="73"/>
    </row>
    <row r="1029" spans="1:26" ht="15.75" hidden="1" customHeight="1" x14ac:dyDescent="0.25">
      <c r="A1029" s="67">
        <v>2</v>
      </c>
      <c r="B1029" s="68">
        <v>71335134</v>
      </c>
      <c r="C1029" s="68" t="s">
        <v>25839</v>
      </c>
      <c r="D1029" s="68" t="s">
        <v>25310</v>
      </c>
      <c r="E1029" s="68" t="s">
        <v>25358</v>
      </c>
      <c r="F1029" s="68" t="s">
        <v>25005</v>
      </c>
      <c r="G1029" s="81" t="s">
        <v>19285</v>
      </c>
      <c r="H1029" s="69">
        <v>45705</v>
      </c>
      <c r="I1029" s="69">
        <v>45707</v>
      </c>
      <c r="J1029" s="68">
        <v>3</v>
      </c>
      <c r="K1029" s="68">
        <v>3</v>
      </c>
      <c r="L1029" s="68" t="s">
        <v>24995</v>
      </c>
      <c r="M1029" s="68" t="s">
        <v>24995</v>
      </c>
      <c r="N1029" s="62" t="s">
        <v>19269</v>
      </c>
      <c r="O1029" s="68" t="s">
        <v>4154</v>
      </c>
      <c r="P1029" s="42" t="str">
        <f>+IF(O1029="","",IFERROR(VLOOKUP(O1029,CODIGO_DIAGNOSTICO,2,0),"CÓDIGO NO ENCONTRADO"))</f>
        <v>OTRAS COLELITIASIS</v>
      </c>
      <c r="Q1029" s="68" t="s">
        <v>26059</v>
      </c>
      <c r="R1029" s="67"/>
      <c r="S1029" s="77"/>
      <c r="T1029" s="76"/>
      <c r="U1029" s="65"/>
      <c r="V1029" s="68"/>
      <c r="W1029" s="70"/>
      <c r="X1029" s="68"/>
      <c r="Y1029" s="70"/>
      <c r="Z1029" s="72"/>
    </row>
    <row r="1030" spans="1:26" ht="15.75" hidden="1" customHeight="1" x14ac:dyDescent="0.25">
      <c r="A1030" s="64">
        <v>2</v>
      </c>
      <c r="B1030" s="62">
        <v>1035422013</v>
      </c>
      <c r="C1030" s="62" t="s">
        <v>25140</v>
      </c>
      <c r="D1030" s="62" t="s">
        <v>25435</v>
      </c>
      <c r="E1030" s="62" t="s">
        <v>25170</v>
      </c>
      <c r="F1030" s="62" t="s">
        <v>25333</v>
      </c>
      <c r="G1030" s="81" t="s">
        <v>19285</v>
      </c>
      <c r="H1030" s="63">
        <v>45705</v>
      </c>
      <c r="I1030" s="63">
        <v>45734</v>
      </c>
      <c r="J1030" s="62">
        <v>30</v>
      </c>
      <c r="K1030" s="62">
        <v>30</v>
      </c>
      <c r="L1030" s="62" t="s">
        <v>24995</v>
      </c>
      <c r="M1030" s="62" t="s">
        <v>24995</v>
      </c>
      <c r="N1030" s="62" t="s">
        <v>19269</v>
      </c>
      <c r="O1030" s="62" t="s">
        <v>7508</v>
      </c>
      <c r="P1030" s="42" t="str">
        <f>+IF(O1030="","",IFERROR(VLOOKUP(O1030,CODIGO_DIAGNOSTICO,2,0),"CÓDIGO NO ENCONTRADO"))</f>
        <v>LUXACION DE LA ARTICULACION DEL HOMBRO</v>
      </c>
      <c r="Q1030" s="62" t="s">
        <v>24996</v>
      </c>
      <c r="R1030" s="64"/>
      <c r="S1030" s="75"/>
      <c r="T1030" s="75"/>
      <c r="U1030" s="65"/>
      <c r="V1030" s="62"/>
      <c r="W1030" s="65"/>
      <c r="X1030" s="62"/>
      <c r="Y1030" s="65"/>
      <c r="Z1030" s="73"/>
    </row>
    <row r="1031" spans="1:26" ht="15.75" hidden="1" customHeight="1" x14ac:dyDescent="0.25">
      <c r="A1031" s="67">
        <v>3</v>
      </c>
      <c r="B1031" s="68">
        <v>1000399903</v>
      </c>
      <c r="C1031" s="68" t="s">
        <v>25257</v>
      </c>
      <c r="D1031" s="68" t="s">
        <v>25030</v>
      </c>
      <c r="E1031" s="68" t="s">
        <v>25886</v>
      </c>
      <c r="F1031" s="68" t="s">
        <v>25755</v>
      </c>
      <c r="G1031" s="81" t="s">
        <v>19285</v>
      </c>
      <c r="H1031" s="69">
        <v>45705</v>
      </c>
      <c r="I1031" s="69">
        <v>45730</v>
      </c>
      <c r="J1031" s="68">
        <v>30</v>
      </c>
      <c r="K1031" s="68">
        <v>30</v>
      </c>
      <c r="L1031" s="68" t="s">
        <v>19262</v>
      </c>
      <c r="M1031" s="68" t="s">
        <v>19262</v>
      </c>
      <c r="N1031" s="62" t="s">
        <v>19269</v>
      </c>
      <c r="O1031" s="68" t="s">
        <v>4777</v>
      </c>
      <c r="P1031" s="42" t="str">
        <f>+IF(O1031="","",IFERROR(VLOOKUP(O1031,CODIGO_DIAGNOSTICO,2,0),"CÓDIGO NO ENCONTRADO"))</f>
        <v>ESPONDILOLISTESIS</v>
      </c>
      <c r="Q1031" s="68" t="s">
        <v>26059</v>
      </c>
      <c r="R1031" s="67"/>
      <c r="S1031" s="77"/>
      <c r="T1031" s="76"/>
      <c r="U1031" s="65"/>
      <c r="V1031" s="68"/>
      <c r="W1031" s="70"/>
      <c r="X1031" s="68"/>
      <c r="Y1031" s="70"/>
      <c r="Z1031" s="72"/>
    </row>
    <row r="1032" spans="1:26" ht="15.75" hidden="1" customHeight="1" x14ac:dyDescent="0.25">
      <c r="A1032" s="64">
        <v>2</v>
      </c>
      <c r="B1032" s="62">
        <v>71382103</v>
      </c>
      <c r="C1032" s="62" t="s">
        <v>25776</v>
      </c>
      <c r="D1032" s="62" t="s">
        <v>25968</v>
      </c>
      <c r="E1032" s="62" t="s">
        <v>25116</v>
      </c>
      <c r="F1032" s="62" t="s">
        <v>26027</v>
      </c>
      <c r="G1032" s="81" t="s">
        <v>19285</v>
      </c>
      <c r="H1032" s="63">
        <v>45706</v>
      </c>
      <c r="I1032" s="63">
        <v>45715</v>
      </c>
      <c r="J1032" s="62">
        <v>10</v>
      </c>
      <c r="K1032" s="62">
        <v>10</v>
      </c>
      <c r="L1032" s="62" t="s">
        <v>19262</v>
      </c>
      <c r="M1032" s="62" t="s">
        <v>19262</v>
      </c>
      <c r="N1032" s="62" t="s">
        <v>19269</v>
      </c>
      <c r="O1032" s="62" t="s">
        <v>4671</v>
      </c>
      <c r="P1032" s="42" t="str">
        <f>+IF(O1032="","",IFERROR(VLOOKUP(O1032,CODIGO_DIAGNOSTICO,2,0),"CÓDIGO NO ENCONTRADO"))</f>
        <v>DEFORMIDAD EN VARO, NO CLASIFICADA EN OTRA</v>
      </c>
      <c r="Q1032" s="62"/>
      <c r="R1032" s="64"/>
      <c r="S1032" s="75"/>
      <c r="T1032" s="75"/>
      <c r="U1032" s="65"/>
      <c r="V1032" s="62"/>
      <c r="W1032" s="65"/>
      <c r="X1032" s="62"/>
      <c r="Y1032" s="65"/>
      <c r="Z1032" s="73"/>
    </row>
    <row r="1033" spans="1:26" ht="15.75" hidden="1" customHeight="1" x14ac:dyDescent="0.25">
      <c r="A1033" s="67">
        <v>2</v>
      </c>
      <c r="B1033" s="68">
        <v>98715357</v>
      </c>
      <c r="C1033" s="68" t="s">
        <v>25142</v>
      </c>
      <c r="D1033" s="68" t="s">
        <v>24998</v>
      </c>
      <c r="E1033" s="68" t="s">
        <v>25035</v>
      </c>
      <c r="F1033" s="68" t="s">
        <v>25276</v>
      </c>
      <c r="G1033" s="81" t="s">
        <v>19285</v>
      </c>
      <c r="H1033" s="69">
        <v>45707</v>
      </c>
      <c r="I1033" s="69">
        <v>45708</v>
      </c>
      <c r="J1033" s="68">
        <v>2</v>
      </c>
      <c r="K1033" s="68">
        <v>2</v>
      </c>
      <c r="L1033" s="68" t="s">
        <v>24995</v>
      </c>
      <c r="M1033" s="68" t="s">
        <v>24995</v>
      </c>
      <c r="N1033" s="62" t="s">
        <v>19269</v>
      </c>
      <c r="O1033" s="68" t="s">
        <v>4951</v>
      </c>
      <c r="P1033" s="42" t="str">
        <f>+IF(O1033="","",IFERROR(VLOOKUP(O1033,CODIGO_DIAGNOSTICO,2,0),"CÓDIGO NO ENCONTRADO"))</f>
        <v>DOLOR EN MIEMBRO</v>
      </c>
      <c r="Q1033" s="68" t="s">
        <v>19230</v>
      </c>
      <c r="R1033" s="67"/>
      <c r="S1033" s="77"/>
      <c r="T1033" s="76"/>
      <c r="U1033" s="65"/>
      <c r="V1033" s="68"/>
      <c r="W1033" s="70"/>
      <c r="X1033" s="68"/>
      <c r="Y1033" s="70"/>
      <c r="Z1033" s="72"/>
    </row>
    <row r="1034" spans="1:26" ht="15.75" hidden="1" customHeight="1" x14ac:dyDescent="0.25">
      <c r="A1034" s="64">
        <v>2</v>
      </c>
      <c r="B1034" s="62">
        <v>1026159387</v>
      </c>
      <c r="C1034" s="62" t="s">
        <v>26261</v>
      </c>
      <c r="D1034" s="62" t="s">
        <v>26402</v>
      </c>
      <c r="E1034" s="62" t="s">
        <v>25433</v>
      </c>
      <c r="F1034" s="62" t="s">
        <v>25010</v>
      </c>
      <c r="G1034" s="81" t="s">
        <v>19285</v>
      </c>
      <c r="H1034" s="63">
        <v>45707</v>
      </c>
      <c r="I1034" s="63">
        <v>45713</v>
      </c>
      <c r="J1034" s="62">
        <v>7</v>
      </c>
      <c r="K1034" s="62">
        <v>7</v>
      </c>
      <c r="L1034" s="62" t="s">
        <v>24995</v>
      </c>
      <c r="M1034" s="62" t="s">
        <v>24995</v>
      </c>
      <c r="N1034" s="62" t="s">
        <v>19269</v>
      </c>
      <c r="O1034" s="62" t="s">
        <v>7794</v>
      </c>
      <c r="P1034" s="42" t="str">
        <f>+IF(O1034="","",IFERROR(VLOOKUP(O1034,CODIGO_DIAGNOSTICO,2,0),"CÓDIGO NO ENCONTRADO"))</f>
        <v>ESGUINCES Y TORCEDURAS DEL TOBILLO</v>
      </c>
      <c r="Q1034" s="62" t="s">
        <v>26059</v>
      </c>
      <c r="R1034" s="64"/>
      <c r="S1034" s="75"/>
      <c r="T1034" s="75"/>
      <c r="U1034" s="65"/>
      <c r="V1034" s="62"/>
      <c r="W1034" s="65"/>
      <c r="X1034" s="62"/>
      <c r="Y1034" s="65"/>
      <c r="Z1034" s="73"/>
    </row>
    <row r="1035" spans="1:26" ht="15.75" hidden="1" customHeight="1" x14ac:dyDescent="0.25">
      <c r="A1035" s="67">
        <v>2</v>
      </c>
      <c r="B1035" s="68">
        <v>12625299</v>
      </c>
      <c r="C1035" s="68" t="s">
        <v>26170</v>
      </c>
      <c r="D1035" s="68" t="s">
        <v>25322</v>
      </c>
      <c r="E1035" s="68" t="s">
        <v>26336</v>
      </c>
      <c r="F1035" s="68" t="s">
        <v>25057</v>
      </c>
      <c r="G1035" s="81" t="s">
        <v>19285</v>
      </c>
      <c r="H1035" s="69">
        <v>45707</v>
      </c>
      <c r="I1035" s="69">
        <v>45736</v>
      </c>
      <c r="J1035" s="68">
        <v>30</v>
      </c>
      <c r="K1035" s="68">
        <v>30</v>
      </c>
      <c r="L1035" s="68" t="s">
        <v>19262</v>
      </c>
      <c r="M1035" s="68" t="s">
        <v>19262</v>
      </c>
      <c r="N1035" s="62" t="s">
        <v>19269</v>
      </c>
      <c r="O1035" s="68" t="s">
        <v>3284</v>
      </c>
      <c r="P1035" s="42" t="str">
        <f>+IF(O1035="","",IFERROR(VLOOKUP(O1035,CODIGO_DIAGNOSTICO,2,0),"CÓDIGO NO ENCONTRADO"))</f>
        <v>ENDOCARDITIS INFECCIOSA AGUDA Y SUBAGUDA</v>
      </c>
      <c r="Q1035" s="68" t="s">
        <v>26059</v>
      </c>
      <c r="R1035" s="67"/>
      <c r="S1035" s="77"/>
      <c r="T1035" s="76"/>
      <c r="U1035" s="65"/>
      <c r="V1035" s="68"/>
      <c r="W1035" s="70"/>
      <c r="X1035" s="68"/>
      <c r="Y1035" s="70"/>
      <c r="Z1035" s="72"/>
    </row>
    <row r="1036" spans="1:26" ht="15.75" hidden="1" customHeight="1" x14ac:dyDescent="0.25">
      <c r="A1036" s="64">
        <v>2</v>
      </c>
      <c r="B1036" s="62">
        <v>8056876</v>
      </c>
      <c r="C1036" s="62" t="s">
        <v>25314</v>
      </c>
      <c r="D1036" s="62" t="s">
        <v>25254</v>
      </c>
      <c r="E1036" s="62" t="s">
        <v>25039</v>
      </c>
      <c r="F1036" s="62" t="s">
        <v>25040</v>
      </c>
      <c r="G1036" s="81" t="s">
        <v>19285</v>
      </c>
      <c r="H1036" s="63">
        <v>45707</v>
      </c>
      <c r="I1036" s="63">
        <v>45726</v>
      </c>
      <c r="J1036" s="62">
        <v>20</v>
      </c>
      <c r="K1036" s="62">
        <v>20</v>
      </c>
      <c r="L1036" s="62" t="s">
        <v>24995</v>
      </c>
      <c r="M1036" s="62" t="s">
        <v>24995</v>
      </c>
      <c r="N1036" s="62" t="s">
        <v>19269</v>
      </c>
      <c r="O1036" s="62" t="s">
        <v>8512</v>
      </c>
      <c r="P1036" s="42" t="str">
        <f>+IF(O1036="","",IFERROR(VLOOKUP(O1036,CODIGO_DIAGNOSTICO,2,0),"CÓDIGO NO ENCONTRADO"))</f>
        <v>PEATON LESIONADO POR COLISION CON VEHICULO DE MOTOR DE DOS O TRES RUEDAS: ACCIDENTE DE TRANSITO</v>
      </c>
      <c r="Q1036" s="62" t="s">
        <v>19288</v>
      </c>
      <c r="R1036" s="64"/>
      <c r="S1036" s="75"/>
      <c r="T1036" s="75"/>
      <c r="U1036" s="65"/>
      <c r="V1036" s="62"/>
      <c r="W1036" s="65"/>
      <c r="X1036" s="62"/>
      <c r="Y1036" s="65"/>
      <c r="Z1036" s="73"/>
    </row>
    <row r="1037" spans="1:26" ht="15.75" hidden="1" customHeight="1" x14ac:dyDescent="0.25">
      <c r="A1037" s="67">
        <v>2</v>
      </c>
      <c r="B1037" s="68">
        <v>1050840334</v>
      </c>
      <c r="C1037" s="68" t="s">
        <v>26404</v>
      </c>
      <c r="D1037" s="68" t="s">
        <v>25449</v>
      </c>
      <c r="E1037" s="68" t="s">
        <v>25177</v>
      </c>
      <c r="F1037" s="68"/>
      <c r="G1037" s="81" t="s">
        <v>19285</v>
      </c>
      <c r="H1037" s="69">
        <v>45707</v>
      </c>
      <c r="I1037" s="69">
        <v>45708</v>
      </c>
      <c r="J1037" s="68">
        <v>2</v>
      </c>
      <c r="K1037" s="68">
        <v>2</v>
      </c>
      <c r="L1037" s="68" t="s">
        <v>24995</v>
      </c>
      <c r="M1037" s="68" t="s">
        <v>24995</v>
      </c>
      <c r="N1037" s="62" t="s">
        <v>19269</v>
      </c>
      <c r="O1037" s="68" t="s">
        <v>5055</v>
      </c>
      <c r="P1037" s="42" t="str">
        <f>+IF(O1037="","",IFERROR(VLOOKUP(O1037,CODIGO_DIAGNOSTICO,2,0),"CÓDIGO NO ENCONTRADO"))</f>
        <v>SINDROME DE LA ARTICULACION CONDROCOSTAL [TIETZE]</v>
      </c>
      <c r="Q1037" s="68" t="s">
        <v>24996</v>
      </c>
      <c r="R1037" s="67"/>
      <c r="S1037" s="77"/>
      <c r="T1037" s="76"/>
      <c r="U1037" s="65"/>
      <c r="V1037" s="68"/>
      <c r="W1037" s="70"/>
      <c r="X1037" s="68"/>
      <c r="Y1037" s="70"/>
      <c r="Z1037" s="72"/>
    </row>
    <row r="1038" spans="1:26" ht="15.75" hidden="1" customHeight="1" x14ac:dyDescent="0.25">
      <c r="A1038" s="64">
        <v>2</v>
      </c>
      <c r="B1038" s="62">
        <v>43117538</v>
      </c>
      <c r="C1038" s="62" t="s">
        <v>25310</v>
      </c>
      <c r="D1038" s="62" t="s">
        <v>24998</v>
      </c>
      <c r="E1038" s="62" t="s">
        <v>24999</v>
      </c>
      <c r="F1038" s="62" t="s">
        <v>25000</v>
      </c>
      <c r="G1038" s="81" t="s">
        <v>19285</v>
      </c>
      <c r="H1038" s="63">
        <v>45707</v>
      </c>
      <c r="I1038" s="63">
        <v>45708</v>
      </c>
      <c r="J1038" s="62">
        <v>2</v>
      </c>
      <c r="K1038" s="62">
        <v>2</v>
      </c>
      <c r="L1038" s="62" t="s">
        <v>24995</v>
      </c>
      <c r="M1038" s="62" t="s">
        <v>24995</v>
      </c>
      <c r="N1038" s="62" t="s">
        <v>19269</v>
      </c>
      <c r="O1038" s="62" t="s">
        <v>4711</v>
      </c>
      <c r="P1038" s="42" t="str">
        <f>+IF(O1038="","",IFERROR(VLOOKUP(O1038,CODIGO_DIAGNOSTICO,2,0),"CÓDIGO NO ENCONTRADO"))</f>
        <v>DOLOR EN ARTICULACION</v>
      </c>
      <c r="Q1038" s="62" t="s">
        <v>26059</v>
      </c>
      <c r="R1038" s="64"/>
      <c r="S1038" s="75"/>
      <c r="T1038" s="75"/>
      <c r="U1038" s="65"/>
      <c r="V1038" s="62"/>
      <c r="W1038" s="65"/>
      <c r="X1038" s="62"/>
      <c r="Y1038" s="65"/>
      <c r="Z1038" s="73"/>
    </row>
    <row r="1039" spans="1:26" ht="15.75" hidden="1" customHeight="1" x14ac:dyDescent="0.25">
      <c r="A1039" s="67">
        <v>2</v>
      </c>
      <c r="B1039" s="68">
        <v>1214737996</v>
      </c>
      <c r="C1039" s="68" t="s">
        <v>25604</v>
      </c>
      <c r="D1039" s="68" t="s">
        <v>25969</v>
      </c>
      <c r="E1039" s="68" t="s">
        <v>25970</v>
      </c>
      <c r="F1039" s="68" t="s">
        <v>25060</v>
      </c>
      <c r="G1039" s="81" t="s">
        <v>19285</v>
      </c>
      <c r="H1039" s="69">
        <v>45708</v>
      </c>
      <c r="I1039" s="69">
        <v>45722</v>
      </c>
      <c r="J1039" s="68">
        <v>15</v>
      </c>
      <c r="K1039" s="68">
        <v>15</v>
      </c>
      <c r="L1039" s="68" t="s">
        <v>19262</v>
      </c>
      <c r="M1039" s="68" t="s">
        <v>19262</v>
      </c>
      <c r="N1039" s="62" t="s">
        <v>19269</v>
      </c>
      <c r="O1039" s="68" t="s">
        <v>7723</v>
      </c>
      <c r="P1039" s="42" t="str">
        <f>+IF(O1039="","",IFERROR(VLOOKUP(O1039,CODIGO_DIAGNOSTICO,2,0),"CÓDIGO NO ENCONTRADO"))</f>
        <v>FRACTURA DE LA EPIFISIS SUPERIOR DE LA TIBIA</v>
      </c>
      <c r="Q1039" s="68" t="s">
        <v>26339</v>
      </c>
      <c r="R1039" s="67"/>
      <c r="S1039" s="77"/>
      <c r="T1039" s="76"/>
      <c r="U1039" s="65"/>
      <c r="V1039" s="68"/>
      <c r="W1039" s="70"/>
      <c r="X1039" s="68"/>
      <c r="Y1039" s="70"/>
      <c r="Z1039" s="72"/>
    </row>
    <row r="1040" spans="1:26" ht="15.75" hidden="1" customHeight="1" x14ac:dyDescent="0.25">
      <c r="A1040" s="64">
        <v>2</v>
      </c>
      <c r="B1040" s="62">
        <v>71651935</v>
      </c>
      <c r="C1040" s="62" t="s">
        <v>25635</v>
      </c>
      <c r="D1040" s="62" t="s">
        <v>25480</v>
      </c>
      <c r="E1040" s="62" t="s">
        <v>25282</v>
      </c>
      <c r="F1040" s="62" t="s">
        <v>25028</v>
      </c>
      <c r="G1040" s="81" t="s">
        <v>19285</v>
      </c>
      <c r="H1040" s="63">
        <v>45709</v>
      </c>
      <c r="I1040" s="63">
        <v>45718</v>
      </c>
      <c r="J1040" s="62">
        <v>10</v>
      </c>
      <c r="K1040" s="62">
        <v>10</v>
      </c>
      <c r="L1040" s="62" t="s">
        <v>19262</v>
      </c>
      <c r="M1040" s="62" t="s">
        <v>19262</v>
      </c>
      <c r="N1040" s="62" t="s">
        <v>19269</v>
      </c>
      <c r="O1040" s="62" t="s">
        <v>905</v>
      </c>
      <c r="P1040" s="42" t="str">
        <f>+IF(O1040="","",IFERROR(VLOOKUP(O1040,CODIGO_DIAGNOSTICO,2,0),"CÓDIGO NO ENCONTRADO"))</f>
        <v>TUMOR MALIGNO DEL RECTO</v>
      </c>
      <c r="Q1040" s="62" t="s">
        <v>24996</v>
      </c>
      <c r="R1040" s="64"/>
      <c r="S1040" s="75"/>
      <c r="T1040" s="75"/>
      <c r="U1040" s="65"/>
      <c r="V1040" s="62"/>
      <c r="W1040" s="65"/>
      <c r="X1040" s="62"/>
      <c r="Y1040" s="65"/>
      <c r="Z1040" s="73"/>
    </row>
    <row r="1041" spans="1:26" ht="15.75" hidden="1" customHeight="1" x14ac:dyDescent="0.25">
      <c r="A1041" s="67">
        <v>3</v>
      </c>
      <c r="B1041" s="68">
        <v>1020452896</v>
      </c>
      <c r="C1041" s="68" t="s">
        <v>25829</v>
      </c>
      <c r="D1041" s="68" t="s">
        <v>25197</v>
      </c>
      <c r="E1041" s="68" t="s">
        <v>25116</v>
      </c>
      <c r="F1041" s="68" t="s">
        <v>25010</v>
      </c>
      <c r="G1041" s="81" t="s">
        <v>19285</v>
      </c>
      <c r="H1041" s="69">
        <v>45714</v>
      </c>
      <c r="I1041" s="69">
        <v>45717</v>
      </c>
      <c r="J1041" s="68">
        <v>4</v>
      </c>
      <c r="K1041" s="68">
        <v>4</v>
      </c>
      <c r="L1041" s="68" t="s">
        <v>24995</v>
      </c>
      <c r="M1041" s="68" t="s">
        <v>24995</v>
      </c>
      <c r="N1041" s="62" t="s">
        <v>19269</v>
      </c>
      <c r="O1041" s="68" t="s">
        <v>7554</v>
      </c>
      <c r="P1041" s="42" t="str">
        <f>+IF(O1041="","",IFERROR(VLOOKUP(O1041,CODIGO_DIAGNOSTICO,2,0),"CÓDIGO NO ENCONTRADO"))</f>
        <v>HERIDAS DEL ANTEBRAZO, PARTE NO ESPECIFICADA</v>
      </c>
      <c r="Q1041" s="68" t="s">
        <v>26059</v>
      </c>
      <c r="R1041" s="67"/>
      <c r="S1041" s="77"/>
      <c r="T1041" s="76"/>
      <c r="U1041" s="65"/>
      <c r="V1041" s="68"/>
      <c r="W1041" s="70"/>
      <c r="X1041" s="68"/>
      <c r="Y1041" s="70"/>
      <c r="Z1041" s="72"/>
    </row>
    <row r="1042" spans="1:26" ht="15.75" hidden="1" customHeight="1" x14ac:dyDescent="0.25">
      <c r="A1042" s="64">
        <v>2</v>
      </c>
      <c r="B1042" s="62">
        <v>70252687</v>
      </c>
      <c r="C1042" s="62" t="s">
        <v>25340</v>
      </c>
      <c r="D1042" s="62" t="s">
        <v>24998</v>
      </c>
      <c r="E1042" s="62" t="s">
        <v>25359</v>
      </c>
      <c r="F1042" s="62" t="s">
        <v>25020</v>
      </c>
      <c r="G1042" s="81" t="s">
        <v>19285</v>
      </c>
      <c r="H1042" s="63">
        <v>45714</v>
      </c>
      <c r="I1042" s="63">
        <v>45743</v>
      </c>
      <c r="J1042" s="62">
        <v>30</v>
      </c>
      <c r="K1042" s="62">
        <v>30</v>
      </c>
      <c r="L1042" s="62" t="s">
        <v>19262</v>
      </c>
      <c r="M1042" s="62" t="s">
        <v>19262</v>
      </c>
      <c r="N1042" s="62" t="s">
        <v>19269</v>
      </c>
      <c r="O1042" s="62" t="s">
        <v>1073</v>
      </c>
      <c r="P1042" s="42" t="str">
        <f>+IF(O1042="","",IFERROR(VLOOKUP(O1042,CODIGO_DIAGNOSTICO,2,0),"CÓDIGO NO ENCONTRADO"))</f>
        <v>TUMOR MALIGNO DE LA PROSTATA</v>
      </c>
      <c r="Q1042" s="62" t="s">
        <v>26059</v>
      </c>
      <c r="R1042" s="64"/>
      <c r="S1042" s="75"/>
      <c r="T1042" s="75"/>
      <c r="U1042" s="65"/>
      <c r="V1042" s="62"/>
      <c r="W1042" s="65"/>
      <c r="X1042" s="62"/>
      <c r="Y1042" s="65"/>
      <c r="Z1042" s="73"/>
    </row>
    <row r="1043" spans="1:26" ht="15.75" hidden="1" customHeight="1" x14ac:dyDescent="0.25">
      <c r="A1043" s="67">
        <v>2</v>
      </c>
      <c r="B1043" s="68">
        <v>98601485</v>
      </c>
      <c r="C1043" s="68" t="s">
        <v>25240</v>
      </c>
      <c r="D1043" s="68"/>
      <c r="E1043" s="68" t="s">
        <v>25241</v>
      </c>
      <c r="F1043" s="68" t="s">
        <v>24982</v>
      </c>
      <c r="G1043" s="81" t="s">
        <v>25328</v>
      </c>
      <c r="H1043" s="69">
        <v>45716</v>
      </c>
      <c r="I1043" s="69">
        <v>45730</v>
      </c>
      <c r="J1043" s="68">
        <v>15</v>
      </c>
      <c r="K1043" s="68">
        <v>15</v>
      </c>
      <c r="L1043" s="68" t="s">
        <v>19262</v>
      </c>
      <c r="M1043" s="68" t="s">
        <v>19262</v>
      </c>
      <c r="N1043" s="62" t="s">
        <v>19269</v>
      </c>
      <c r="O1043" s="68" t="s">
        <v>8419</v>
      </c>
      <c r="P1043" s="42" t="str">
        <f>+IF(O1043="","",IFERROR(VLOOKUP(O1043,CODIGO_DIAGNOSTICO,2,0),"CÓDIGO NO ENCONTRADO"))</f>
        <v>COMPLICACION MECANICA DE OTROS DISPOSITIVOS PROTESICOS, IMPLANTES E INJERTOS ORTOPEDICOS INTERNOS</v>
      </c>
      <c r="Q1043" s="68" t="s">
        <v>26059</v>
      </c>
      <c r="R1043" s="67"/>
      <c r="S1043" s="77"/>
      <c r="T1043" s="76"/>
      <c r="U1043" s="65"/>
      <c r="V1043" s="68"/>
      <c r="W1043" s="70"/>
      <c r="X1043" s="68"/>
      <c r="Y1043" s="70"/>
      <c r="Z1043" s="72"/>
    </row>
    <row r="1044" spans="1:26" ht="15.75" hidden="1" customHeight="1" x14ac:dyDescent="0.25">
      <c r="A1044" s="64">
        <v>3</v>
      </c>
      <c r="B1044" s="62">
        <v>1000394285</v>
      </c>
      <c r="C1044" s="62" t="s">
        <v>26188</v>
      </c>
      <c r="D1044" s="62" t="s">
        <v>26399</v>
      </c>
      <c r="E1044" s="62" t="s">
        <v>26411</v>
      </c>
      <c r="F1044" s="62" t="s">
        <v>25177</v>
      </c>
      <c r="G1044" s="81" t="s">
        <v>19285</v>
      </c>
      <c r="H1044" s="63">
        <v>45716</v>
      </c>
      <c r="I1044" s="63">
        <v>45722</v>
      </c>
      <c r="J1044" s="62">
        <v>7</v>
      </c>
      <c r="K1044" s="62">
        <v>7</v>
      </c>
      <c r="L1044" s="62" t="s">
        <v>24995</v>
      </c>
      <c r="M1044" s="62" t="s">
        <v>24995</v>
      </c>
      <c r="N1044" s="62" t="s">
        <v>19269</v>
      </c>
      <c r="O1044" s="62" t="s">
        <v>3757</v>
      </c>
      <c r="P1044" s="42" t="str">
        <f>+IF(O1044="","",IFERROR(VLOOKUP(O1044,CODIGO_DIAGNOSTICO,2,0),"CÓDIGO NO ENCONTRADO"))</f>
        <v>DERRAME PLEURAL NO CLASIFICADO EN OTRA PARTE</v>
      </c>
      <c r="Q1044" s="62" t="s">
        <v>26059</v>
      </c>
      <c r="R1044" s="64"/>
      <c r="S1044" s="75"/>
      <c r="T1044" s="75"/>
      <c r="U1044" s="65"/>
      <c r="V1044" s="62"/>
      <c r="W1044" s="65"/>
      <c r="X1044" s="62"/>
      <c r="Y1044" s="65"/>
      <c r="Z1044" s="73"/>
    </row>
    <row r="1045" spans="1:26" ht="15.75" hidden="1" customHeight="1" x14ac:dyDescent="0.25">
      <c r="A1045" s="67">
        <v>2</v>
      </c>
      <c r="B1045" s="68">
        <v>71382103</v>
      </c>
      <c r="C1045" s="68" t="s">
        <v>25776</v>
      </c>
      <c r="D1045" s="68" t="s">
        <v>25968</v>
      </c>
      <c r="E1045" s="68" t="s">
        <v>25116</v>
      </c>
      <c r="F1045" s="68" t="s">
        <v>26027</v>
      </c>
      <c r="G1045" s="81" t="s">
        <v>19285</v>
      </c>
      <c r="H1045" s="69">
        <v>45716</v>
      </c>
      <c r="I1045" s="69">
        <v>45725</v>
      </c>
      <c r="J1045" s="68">
        <v>10</v>
      </c>
      <c r="K1045" s="68">
        <v>10</v>
      </c>
      <c r="L1045" s="68" t="s">
        <v>19262</v>
      </c>
      <c r="M1045" s="68" t="s">
        <v>19262</v>
      </c>
      <c r="N1045" s="62" t="s">
        <v>19269</v>
      </c>
      <c r="O1045" s="68" t="s">
        <v>4671</v>
      </c>
      <c r="P1045" s="42" t="str">
        <f>+IF(O1045="","",IFERROR(VLOOKUP(O1045,CODIGO_DIAGNOSTICO,2,0),"CÓDIGO NO ENCONTRADO"))</f>
        <v>DEFORMIDAD EN VARO, NO CLASIFICADA EN OTRA</v>
      </c>
      <c r="Q1045" s="68"/>
      <c r="R1045" s="67"/>
      <c r="S1045" s="77"/>
      <c r="T1045" s="76"/>
      <c r="U1045" s="65"/>
      <c r="V1045" s="68"/>
      <c r="W1045" s="70"/>
      <c r="X1045" s="68"/>
      <c r="Y1045" s="70"/>
      <c r="Z1045" s="72"/>
    </row>
    <row r="1046" spans="1:26" ht="15.75" hidden="1" customHeight="1" x14ac:dyDescent="0.25">
      <c r="A1046" s="64">
        <v>3</v>
      </c>
      <c r="B1046" s="62">
        <v>39189119</v>
      </c>
      <c r="C1046" s="62" t="s">
        <v>19258</v>
      </c>
      <c r="D1046" s="62" t="s">
        <v>26395</v>
      </c>
      <c r="E1046" s="62" t="s">
        <v>26396</v>
      </c>
      <c r="F1046" s="62" t="s">
        <v>25232</v>
      </c>
      <c r="G1046" s="81" t="s">
        <v>19285</v>
      </c>
      <c r="H1046" s="63">
        <v>45717</v>
      </c>
      <c r="I1046" s="63">
        <v>45717</v>
      </c>
      <c r="J1046" s="62">
        <v>1</v>
      </c>
      <c r="K1046" s="62">
        <v>1</v>
      </c>
      <c r="L1046" s="62" t="s">
        <v>19262</v>
      </c>
      <c r="M1046" s="62" t="s">
        <v>24995</v>
      </c>
      <c r="N1046" s="62" t="s">
        <v>19269</v>
      </c>
      <c r="O1046" s="62" t="s">
        <v>4932</v>
      </c>
      <c r="P1046" s="42" t="str">
        <f>+IF(O1046="","",IFERROR(VLOOKUP(O1046,CODIGO_DIAGNOSTICO,2,0),"CÓDIGO NO ENCONTRADO"))</f>
        <v>TENDINITIS ROTULIANA</v>
      </c>
      <c r="Q1046" s="62" t="s">
        <v>26059</v>
      </c>
      <c r="R1046" s="64"/>
      <c r="S1046" s="75"/>
      <c r="T1046" s="75"/>
      <c r="U1046" s="65"/>
      <c r="V1046" s="62"/>
      <c r="W1046" s="65"/>
      <c r="X1046" s="62"/>
      <c r="Y1046" s="65"/>
      <c r="Z1046" s="73"/>
    </row>
    <row r="1047" spans="1:26" ht="15.75" hidden="1" customHeight="1" x14ac:dyDescent="0.25">
      <c r="A1047" s="67">
        <v>3</v>
      </c>
      <c r="B1047" s="68">
        <v>1020452896</v>
      </c>
      <c r="C1047" s="68" t="s">
        <v>25829</v>
      </c>
      <c r="D1047" s="68" t="s">
        <v>25197</v>
      </c>
      <c r="E1047" s="68" t="s">
        <v>25116</v>
      </c>
      <c r="F1047" s="68" t="s">
        <v>25010</v>
      </c>
      <c r="G1047" s="81" t="s">
        <v>19285</v>
      </c>
      <c r="H1047" s="69">
        <v>45718</v>
      </c>
      <c r="I1047" s="69">
        <v>45721</v>
      </c>
      <c r="J1047" s="68">
        <v>4</v>
      </c>
      <c r="K1047" s="68">
        <v>4</v>
      </c>
      <c r="L1047" s="68" t="s">
        <v>19262</v>
      </c>
      <c r="M1047" s="68" t="s">
        <v>19262</v>
      </c>
      <c r="N1047" s="62" t="s">
        <v>19269</v>
      </c>
      <c r="O1047" s="68" t="s">
        <v>7554</v>
      </c>
      <c r="P1047" s="42" t="str">
        <f>+IF(O1047="","",IFERROR(VLOOKUP(O1047,CODIGO_DIAGNOSTICO,2,0),"CÓDIGO NO ENCONTRADO"))</f>
        <v>HERIDAS DEL ANTEBRAZO, PARTE NO ESPECIFICADA</v>
      </c>
      <c r="Q1047" s="68" t="s">
        <v>26059</v>
      </c>
      <c r="R1047" s="67"/>
      <c r="S1047" s="77"/>
      <c r="T1047" s="76"/>
      <c r="U1047" s="65"/>
      <c r="V1047" s="68"/>
      <c r="W1047" s="70"/>
      <c r="X1047" s="68"/>
      <c r="Y1047" s="70"/>
      <c r="Z1047" s="72"/>
    </row>
    <row r="1048" spans="1:26" ht="15.75" hidden="1" customHeight="1" x14ac:dyDescent="0.25">
      <c r="A1048" s="64">
        <v>3</v>
      </c>
      <c r="B1048" s="62">
        <v>1020398409</v>
      </c>
      <c r="C1048" s="62" t="s">
        <v>26375</v>
      </c>
      <c r="D1048" s="62" t="s">
        <v>26376</v>
      </c>
      <c r="E1048" s="62" t="s">
        <v>26377</v>
      </c>
      <c r="F1048" s="62" t="s">
        <v>25028</v>
      </c>
      <c r="G1048" s="81" t="s">
        <v>19285</v>
      </c>
      <c r="H1048" s="63">
        <v>45720</v>
      </c>
      <c r="I1048" s="63">
        <v>45721</v>
      </c>
      <c r="J1048" s="62">
        <v>2</v>
      </c>
      <c r="K1048" s="62">
        <v>2</v>
      </c>
      <c r="L1048" s="62" t="s">
        <v>24995</v>
      </c>
      <c r="M1048" s="62" t="s">
        <v>24995</v>
      </c>
      <c r="N1048" s="62" t="s">
        <v>19269</v>
      </c>
      <c r="O1048" s="62" t="s">
        <v>7713</v>
      </c>
      <c r="P1048" s="42" t="str">
        <f>+IF(O1048="","",IFERROR(VLOOKUP(O1048,CODIGO_DIAGNOSTICO,2,0),"CÓDIGO NO ENCONTRADO"))</f>
        <v>CONTUSION DE LA RODILLA</v>
      </c>
      <c r="Q1048" s="62" t="s">
        <v>24996</v>
      </c>
      <c r="R1048" s="64"/>
      <c r="S1048" s="75"/>
      <c r="T1048" s="75"/>
      <c r="U1048" s="65"/>
      <c r="V1048" s="62"/>
      <c r="W1048" s="65"/>
      <c r="X1048" s="62"/>
      <c r="Y1048" s="65"/>
      <c r="Z1048" s="73"/>
    </row>
    <row r="1049" spans="1:26" ht="15.75" hidden="1" customHeight="1" x14ac:dyDescent="0.25">
      <c r="A1049" s="67">
        <v>3</v>
      </c>
      <c r="B1049" s="68">
        <v>70852525</v>
      </c>
      <c r="C1049" s="68" t="s">
        <v>26049</v>
      </c>
      <c r="D1049" s="68" t="s">
        <v>26050</v>
      </c>
      <c r="E1049" s="68" t="s">
        <v>26080</v>
      </c>
      <c r="F1049" s="68" t="s">
        <v>25064</v>
      </c>
      <c r="G1049" s="81" t="s">
        <v>19285</v>
      </c>
      <c r="H1049" s="69">
        <v>45721</v>
      </c>
      <c r="I1049" s="69">
        <v>45727</v>
      </c>
      <c r="J1049" s="68">
        <v>7</v>
      </c>
      <c r="K1049" s="68">
        <v>7</v>
      </c>
      <c r="L1049" s="68" t="s">
        <v>24995</v>
      </c>
      <c r="M1049" s="68" t="s">
        <v>24995</v>
      </c>
      <c r="N1049" s="62" t="s">
        <v>19269</v>
      </c>
      <c r="O1049" s="68" t="s">
        <v>4038</v>
      </c>
      <c r="P1049" s="42" t="str">
        <f>+IF(O1049="","",IFERROR(VLOOKUP(O1049,CODIGO_DIAGNOSTICO,2,0),"CÓDIGO NO ENCONTRADO"))</f>
        <v>OTRAS OBSTRUCCIONES INTESTINALES Y LAS NO ESPECIFICADAS</v>
      </c>
      <c r="Q1049" s="68" t="s">
        <v>24996</v>
      </c>
      <c r="R1049" s="67"/>
      <c r="S1049" s="77"/>
      <c r="T1049" s="76"/>
      <c r="U1049" s="65"/>
      <c r="V1049" s="68"/>
      <c r="W1049" s="70"/>
      <c r="X1049" s="68"/>
      <c r="Y1049" s="70"/>
      <c r="Z1049" s="72"/>
    </row>
    <row r="1050" spans="1:26" ht="15.75" hidden="1" customHeight="1" x14ac:dyDescent="0.25">
      <c r="A1050" s="64">
        <v>3</v>
      </c>
      <c r="B1050" s="62">
        <v>1082997484</v>
      </c>
      <c r="C1050" s="62" t="s">
        <v>26389</v>
      </c>
      <c r="D1050" s="62" t="s">
        <v>26390</v>
      </c>
      <c r="E1050" s="62" t="s">
        <v>26303</v>
      </c>
      <c r="F1050" s="62" t="s">
        <v>25283</v>
      </c>
      <c r="G1050" s="81" t="s">
        <v>19285</v>
      </c>
      <c r="H1050" s="63">
        <v>45722</v>
      </c>
      <c r="I1050" s="63">
        <v>45723</v>
      </c>
      <c r="J1050" s="62">
        <v>2</v>
      </c>
      <c r="K1050" s="62">
        <v>2</v>
      </c>
      <c r="L1050" s="62" t="s">
        <v>24995</v>
      </c>
      <c r="M1050" s="62" t="s">
        <v>24995</v>
      </c>
      <c r="N1050" s="62" t="s">
        <v>19269</v>
      </c>
      <c r="O1050" s="62" t="s">
        <v>88</v>
      </c>
      <c r="P1050" s="42" t="str">
        <f>+IF(O1050="","",IFERROR(VLOOKUP(O1050,CODIGO_DIAGNOSTICO,2,0),"CÓDIGO NO ENCONTRADO"))</f>
        <v>DIARREA Y GASTROENTERITIS DE PRESUNTO ORIGEN INFECCIOSO</v>
      </c>
      <c r="Q1050" s="62" t="s">
        <v>26339</v>
      </c>
      <c r="R1050" s="64"/>
      <c r="S1050" s="75"/>
      <c r="T1050" s="75"/>
      <c r="U1050" s="65"/>
      <c r="V1050" s="62"/>
      <c r="W1050" s="65"/>
      <c r="X1050" s="62"/>
      <c r="Y1050" s="65"/>
      <c r="Z1050" s="73"/>
    </row>
    <row r="1051" spans="1:26" ht="15.75" hidden="1" customHeight="1" x14ac:dyDescent="0.25">
      <c r="A1051" s="67">
        <v>3</v>
      </c>
      <c r="B1051" s="68">
        <v>3556779</v>
      </c>
      <c r="C1051" s="68" t="s">
        <v>25008</v>
      </c>
      <c r="D1051" s="68" t="s">
        <v>25145</v>
      </c>
      <c r="E1051" s="68" t="s">
        <v>26406</v>
      </c>
      <c r="F1051" s="68" t="s">
        <v>25010</v>
      </c>
      <c r="G1051" s="81" t="s">
        <v>19285</v>
      </c>
      <c r="H1051" s="69">
        <v>45722</v>
      </c>
      <c r="I1051" s="69">
        <v>45724</v>
      </c>
      <c r="J1051" s="68">
        <v>3</v>
      </c>
      <c r="K1051" s="68">
        <v>3</v>
      </c>
      <c r="L1051" s="68" t="s">
        <v>24995</v>
      </c>
      <c r="M1051" s="68" t="s">
        <v>24995</v>
      </c>
      <c r="N1051" s="62" t="s">
        <v>19269</v>
      </c>
      <c r="O1051" s="68" t="s">
        <v>3572</v>
      </c>
      <c r="P1051" s="42" t="str">
        <f>+IF(O1051="","",IFERROR(VLOOKUP(O1051,CODIGO_DIAGNOSTICO,2,0),"CÓDIGO NO ENCONTRADO"))</f>
        <v>FARINGITIS AGUDA, NO ESPECIFICADA</v>
      </c>
      <c r="Q1051" s="68" t="s">
        <v>26059</v>
      </c>
      <c r="R1051" s="67"/>
      <c r="S1051" s="77"/>
      <c r="T1051" s="76"/>
      <c r="U1051" s="65"/>
      <c r="V1051" s="68"/>
      <c r="W1051" s="70"/>
      <c r="X1051" s="68"/>
      <c r="Y1051" s="70"/>
      <c r="Z1051" s="72"/>
    </row>
    <row r="1052" spans="1:26" ht="15.75" hidden="1" customHeight="1" x14ac:dyDescent="0.25">
      <c r="A1052" s="64">
        <v>3</v>
      </c>
      <c r="B1052" s="62">
        <v>1214737996</v>
      </c>
      <c r="C1052" s="62" t="s">
        <v>25604</v>
      </c>
      <c r="D1052" s="62" t="s">
        <v>25969</v>
      </c>
      <c r="E1052" s="62" t="s">
        <v>25970</v>
      </c>
      <c r="F1052" s="62" t="s">
        <v>25060</v>
      </c>
      <c r="G1052" s="81" t="s">
        <v>19285</v>
      </c>
      <c r="H1052" s="63">
        <v>45723</v>
      </c>
      <c r="I1052" s="63">
        <v>45737</v>
      </c>
      <c r="J1052" s="62">
        <v>15</v>
      </c>
      <c r="K1052" s="62">
        <v>15</v>
      </c>
      <c r="L1052" s="62" t="s">
        <v>19262</v>
      </c>
      <c r="M1052" s="62" t="s">
        <v>19262</v>
      </c>
      <c r="N1052" s="62" t="s">
        <v>19269</v>
      </c>
      <c r="O1052" s="62" t="s">
        <v>7723</v>
      </c>
      <c r="P1052" s="42" t="str">
        <f>+IF(O1052="","",IFERROR(VLOOKUP(O1052,CODIGO_DIAGNOSTICO,2,0),"CÓDIGO NO ENCONTRADO"))</f>
        <v>FRACTURA DE LA EPIFISIS SUPERIOR DE LA TIBIA</v>
      </c>
      <c r="Q1052" s="62" t="s">
        <v>26339</v>
      </c>
      <c r="R1052" s="64"/>
      <c r="S1052" s="75"/>
      <c r="T1052" s="75"/>
      <c r="U1052" s="65"/>
      <c r="V1052" s="62"/>
      <c r="W1052" s="65"/>
      <c r="X1052" s="62"/>
      <c r="Y1052" s="65"/>
      <c r="Z1052" s="73"/>
    </row>
    <row r="1053" spans="1:26" ht="15.75" hidden="1" customHeight="1" x14ac:dyDescent="0.25">
      <c r="A1053" s="67">
        <v>3</v>
      </c>
      <c r="B1053" s="68">
        <v>1000394285</v>
      </c>
      <c r="C1053" s="68" t="s">
        <v>26188</v>
      </c>
      <c r="D1053" s="68" t="s">
        <v>26399</v>
      </c>
      <c r="E1053" s="68" t="s">
        <v>26411</v>
      </c>
      <c r="F1053" s="68" t="s">
        <v>25177</v>
      </c>
      <c r="G1053" s="81" t="s">
        <v>19285</v>
      </c>
      <c r="H1053" s="69">
        <v>45723</v>
      </c>
      <c r="I1053" s="69">
        <v>45752</v>
      </c>
      <c r="J1053" s="68">
        <v>30</v>
      </c>
      <c r="K1053" s="68">
        <v>30</v>
      </c>
      <c r="L1053" s="68" t="s">
        <v>24995</v>
      </c>
      <c r="M1053" s="68" t="s">
        <v>19262</v>
      </c>
      <c r="N1053" s="62" t="s">
        <v>19269</v>
      </c>
      <c r="O1053" s="68" t="s">
        <v>95</v>
      </c>
      <c r="P1053" s="42" t="str">
        <f>+IF(O1053="","",IFERROR(VLOOKUP(O1053,CODIGO_DIAGNOSTICO,2,0),"CÓDIGO NO ENCONTRADO"))</f>
        <v>PLEURESIA TUBERCULOSA, CONFIRMADA BACTERIOLOGICA E HISTOLOGICAMENTE</v>
      </c>
      <c r="Q1053" s="68" t="s">
        <v>26059</v>
      </c>
      <c r="R1053" s="67"/>
      <c r="S1053" s="77"/>
      <c r="T1053" s="76"/>
      <c r="U1053" s="65"/>
      <c r="V1053" s="68"/>
      <c r="W1053" s="70"/>
      <c r="X1053" s="68"/>
      <c r="Y1053" s="70"/>
      <c r="Z1053" s="72"/>
    </row>
    <row r="1054" spans="1:26" ht="15.75" hidden="1" customHeight="1" x14ac:dyDescent="0.25">
      <c r="A1054" s="64">
        <v>3</v>
      </c>
      <c r="B1054" s="62">
        <v>15305525</v>
      </c>
      <c r="C1054" s="62" t="s">
        <v>26417</v>
      </c>
      <c r="D1054" s="62" t="s">
        <v>25026</v>
      </c>
      <c r="E1054" s="62" t="s">
        <v>26418</v>
      </c>
      <c r="F1054" s="62" t="s">
        <v>24982</v>
      </c>
      <c r="G1054" s="81" t="s">
        <v>19285</v>
      </c>
      <c r="H1054" s="63">
        <v>45723</v>
      </c>
      <c r="I1054" s="63">
        <v>45724</v>
      </c>
      <c r="J1054" s="62">
        <v>2</v>
      </c>
      <c r="K1054" s="62">
        <v>2</v>
      </c>
      <c r="L1054" s="62" t="s">
        <v>24995</v>
      </c>
      <c r="M1054" s="62" t="s">
        <v>24995</v>
      </c>
      <c r="N1054" s="62" t="s">
        <v>19269</v>
      </c>
      <c r="O1054" s="62" t="s">
        <v>6939</v>
      </c>
      <c r="P1054" s="42" t="str">
        <f>+IF(O1054="","",IFERROR(VLOOKUP(O1054,CODIGO_DIAGNOSTICO,2,0),"CÓDIGO NO ENCONTRADO"))</f>
        <v>OTROS DOLORES ABDOMINALES Y LOS NO ESPECIFICADOS</v>
      </c>
      <c r="Q1054" s="62" t="s">
        <v>26059</v>
      </c>
      <c r="R1054" s="64"/>
      <c r="S1054" s="75"/>
      <c r="T1054" s="75"/>
      <c r="U1054" s="65"/>
      <c r="V1054" s="62"/>
      <c r="W1054" s="65"/>
      <c r="X1054" s="62"/>
      <c r="Y1054" s="65"/>
      <c r="Z1054" s="73"/>
    </row>
    <row r="1055" spans="1:26" ht="15.75" hidden="1" customHeight="1" x14ac:dyDescent="0.25">
      <c r="A1055" s="67">
        <v>3</v>
      </c>
      <c r="B1055" s="68">
        <v>98603135</v>
      </c>
      <c r="C1055" s="68" t="s">
        <v>25361</v>
      </c>
      <c r="D1055" s="68" t="s">
        <v>25415</v>
      </c>
      <c r="E1055" s="68" t="s">
        <v>25091</v>
      </c>
      <c r="F1055" s="68" t="s">
        <v>26405</v>
      </c>
      <c r="G1055" s="81" t="s">
        <v>19285</v>
      </c>
      <c r="H1055" s="69">
        <v>45724</v>
      </c>
      <c r="I1055" s="69">
        <v>45730</v>
      </c>
      <c r="J1055" s="68">
        <v>7</v>
      </c>
      <c r="K1055" s="68">
        <v>7</v>
      </c>
      <c r="L1055" s="68" t="s">
        <v>24995</v>
      </c>
      <c r="M1055" s="68" t="s">
        <v>24995</v>
      </c>
      <c r="N1055" s="62" t="s">
        <v>19263</v>
      </c>
      <c r="O1055" s="68" t="s">
        <v>7606</v>
      </c>
      <c r="P1055" s="42" t="str">
        <f>+IF(O1055="","",IFERROR(VLOOKUP(O1055,CODIGO_DIAGNOSTICO,2,0),"CÓDIGO NO ENCONTRADO"))</f>
        <v>HERIDA DE DEDO(S) DE LA MANO, SIN DAÑO DE LA(S) UÑA(S)</v>
      </c>
      <c r="Q1055" s="68" t="s">
        <v>25001</v>
      </c>
      <c r="R1055" s="67"/>
      <c r="S1055" s="77"/>
      <c r="T1055" s="76"/>
      <c r="U1055" s="65"/>
      <c r="V1055" s="68"/>
      <c r="W1055" s="70"/>
      <c r="X1055" s="68"/>
      <c r="Y1055" s="70"/>
      <c r="Z1055" s="72"/>
    </row>
    <row r="1056" spans="1:26" ht="15.75" hidden="1" customHeight="1" x14ac:dyDescent="0.25">
      <c r="A1056" s="64">
        <v>3</v>
      </c>
      <c r="B1056" s="62">
        <v>71642375</v>
      </c>
      <c r="C1056" s="62" t="s">
        <v>25271</v>
      </c>
      <c r="D1056" s="62" t="s">
        <v>25272</v>
      </c>
      <c r="E1056" s="62" t="s">
        <v>25283</v>
      </c>
      <c r="F1056" s="62" t="s">
        <v>25135</v>
      </c>
      <c r="G1056" s="81" t="s">
        <v>19285</v>
      </c>
      <c r="H1056" s="63">
        <v>45724</v>
      </c>
      <c r="I1056" s="63">
        <v>45730</v>
      </c>
      <c r="J1056" s="62">
        <v>7</v>
      </c>
      <c r="K1056" s="62">
        <v>7</v>
      </c>
      <c r="L1056" s="62" t="s">
        <v>24995</v>
      </c>
      <c r="M1056" s="62" t="s">
        <v>24995</v>
      </c>
      <c r="N1056" s="62" t="s">
        <v>19269</v>
      </c>
      <c r="O1056" s="62" t="s">
        <v>12427</v>
      </c>
      <c r="P1056" s="42" t="str">
        <f>+IF(O1056="","",IFERROR(VLOOKUP(O1056,CODIGO_DIAGNOSTICO,2,0),"CÓDIGO NO ENCONTRADO"))</f>
        <v>PRESENCIA DE LENTES INTRAOCULARES</v>
      </c>
      <c r="Q1056" s="62" t="s">
        <v>26059</v>
      </c>
      <c r="R1056" s="64"/>
      <c r="S1056" s="75"/>
      <c r="T1056" s="75"/>
      <c r="U1056" s="65"/>
      <c r="V1056" s="62"/>
      <c r="W1056" s="65"/>
      <c r="X1056" s="62"/>
      <c r="Y1056" s="65"/>
      <c r="Z1056" s="73"/>
    </row>
    <row r="1057" spans="1:26" ht="15.75" hidden="1" customHeight="1" x14ac:dyDescent="0.25">
      <c r="A1057" s="67">
        <v>3</v>
      </c>
      <c r="B1057" s="68">
        <v>1082997484</v>
      </c>
      <c r="C1057" s="68" t="s">
        <v>26389</v>
      </c>
      <c r="D1057" s="68" t="s">
        <v>26390</v>
      </c>
      <c r="E1057" s="68" t="s">
        <v>26303</v>
      </c>
      <c r="F1057" s="68" t="s">
        <v>25283</v>
      </c>
      <c r="G1057" s="81" t="s">
        <v>19285</v>
      </c>
      <c r="H1057" s="69">
        <v>45724</v>
      </c>
      <c r="I1057" s="69">
        <v>45725</v>
      </c>
      <c r="J1057" s="68">
        <v>2</v>
      </c>
      <c r="K1057" s="68">
        <v>2</v>
      </c>
      <c r="L1057" s="68" t="s">
        <v>24995</v>
      </c>
      <c r="M1057" s="68" t="s">
        <v>24995</v>
      </c>
      <c r="N1057" s="62" t="s">
        <v>19269</v>
      </c>
      <c r="O1057" s="68" t="s">
        <v>26407</v>
      </c>
      <c r="P1057" s="42" t="str">
        <f>+IF(O1057="","",IFERROR(VLOOKUP(O1057,CODIGO_DIAGNOSTICO,2,0),"CÓDIGO NO ENCONTRADO"))</f>
        <v>CÓDIGO NO ENCONTRADO</v>
      </c>
      <c r="Q1057" s="68" t="s">
        <v>26339</v>
      </c>
      <c r="R1057" s="67"/>
      <c r="S1057" s="77"/>
      <c r="T1057" s="76"/>
      <c r="U1057" s="65"/>
      <c r="V1057" s="68"/>
      <c r="W1057" s="70"/>
      <c r="X1057" s="68"/>
      <c r="Y1057" s="70"/>
      <c r="Z1057" s="72"/>
    </row>
    <row r="1058" spans="1:26" ht="15.75" hidden="1" customHeight="1" x14ac:dyDescent="0.25">
      <c r="A1058" s="64">
        <v>3</v>
      </c>
      <c r="B1058" s="62">
        <v>1062876589</v>
      </c>
      <c r="C1058" s="62" t="s">
        <v>25747</v>
      </c>
      <c r="D1058" s="62" t="s">
        <v>26408</v>
      </c>
      <c r="E1058" s="62" t="s">
        <v>25255</v>
      </c>
      <c r="F1058" s="62" t="s">
        <v>25208</v>
      </c>
      <c r="G1058" s="81" t="s">
        <v>19285</v>
      </c>
      <c r="H1058" s="63">
        <v>45725</v>
      </c>
      <c r="I1058" s="63">
        <v>45725</v>
      </c>
      <c r="J1058" s="62">
        <v>1</v>
      </c>
      <c r="K1058" s="62">
        <v>1</v>
      </c>
      <c r="L1058" s="62" t="s">
        <v>24995</v>
      </c>
      <c r="M1058" s="62" t="s">
        <v>24995</v>
      </c>
      <c r="N1058" s="62" t="s">
        <v>19263</v>
      </c>
      <c r="O1058" s="62" t="s">
        <v>8603</v>
      </c>
      <c r="P1058" s="42" t="str">
        <f>+IF(O1058="","",IFERROR(VLOOKUP(O1058,CODIGO_DIAGNOSTICO,2,0),"CÓDIGO NO ENCONTRADO"))</f>
        <v>MOTOCICLISTA LESIONADO POR COLISION CON PEATON O ANIMAL: CONDUCTOR LESIONADO EN ACCIDENTE NO DE TRANSITO</v>
      </c>
      <c r="Q1058" s="62" t="s">
        <v>25001</v>
      </c>
      <c r="R1058" s="64"/>
      <c r="S1058" s="75"/>
      <c r="T1058" s="75"/>
      <c r="U1058" s="65"/>
      <c r="V1058" s="62"/>
      <c r="W1058" s="65"/>
      <c r="X1058" s="62"/>
      <c r="Y1058" s="65"/>
      <c r="Z1058" s="73"/>
    </row>
    <row r="1059" spans="1:26" ht="15.75" hidden="1" customHeight="1" x14ac:dyDescent="0.25">
      <c r="A1059" s="67">
        <v>3</v>
      </c>
      <c r="B1059" s="68">
        <v>43210112</v>
      </c>
      <c r="C1059" s="68" t="s">
        <v>25257</v>
      </c>
      <c r="D1059" s="68"/>
      <c r="E1059" s="68" t="s">
        <v>25231</v>
      </c>
      <c r="F1059" s="68" t="s">
        <v>25259</v>
      </c>
      <c r="G1059" s="81" t="s">
        <v>19285</v>
      </c>
      <c r="H1059" s="69">
        <v>45725</v>
      </c>
      <c r="I1059" s="69">
        <v>45754</v>
      </c>
      <c r="J1059" s="68">
        <v>30</v>
      </c>
      <c r="K1059" s="68">
        <v>30</v>
      </c>
      <c r="L1059" s="68" t="s">
        <v>24995</v>
      </c>
      <c r="M1059" s="68" t="s">
        <v>19262</v>
      </c>
      <c r="N1059" s="62" t="s">
        <v>19269</v>
      </c>
      <c r="O1059" s="68" t="s">
        <v>1410</v>
      </c>
      <c r="P1059" s="42" t="str">
        <f>+IF(O1059="","",IFERROR(VLOOKUP(O1059,CODIGO_DIAGNOSTICO,2,0),"CÓDIGO NO ENCONTRADO"))</f>
        <v>LEIOMIOMA INTRAMURAL DEL UTERO</v>
      </c>
      <c r="Q1059" s="68" t="s">
        <v>26059</v>
      </c>
      <c r="R1059" s="67"/>
      <c r="S1059" s="77"/>
      <c r="T1059" s="76"/>
      <c r="U1059" s="65"/>
      <c r="V1059" s="68"/>
      <c r="W1059" s="70"/>
      <c r="X1059" s="68"/>
      <c r="Y1059" s="70"/>
      <c r="Z1059" s="72"/>
    </row>
    <row r="1060" spans="1:26" ht="15.75" hidden="1" customHeight="1" x14ac:dyDescent="0.25">
      <c r="A1060" s="64">
        <v>3</v>
      </c>
      <c r="B1060" s="62">
        <v>5632471</v>
      </c>
      <c r="C1060" s="62" t="s">
        <v>25986</v>
      </c>
      <c r="D1060" s="62" t="s">
        <v>25987</v>
      </c>
      <c r="E1060" s="62" t="s">
        <v>25091</v>
      </c>
      <c r="F1060" s="62" t="s">
        <v>25256</v>
      </c>
      <c r="G1060" s="81" t="s">
        <v>19285</v>
      </c>
      <c r="H1060" s="63">
        <v>45726</v>
      </c>
      <c r="I1060" s="63">
        <v>45746</v>
      </c>
      <c r="J1060" s="62">
        <v>21</v>
      </c>
      <c r="K1060" s="62">
        <v>21</v>
      </c>
      <c r="L1060" s="62" t="s">
        <v>24995</v>
      </c>
      <c r="M1060" s="62" t="s">
        <v>24995</v>
      </c>
      <c r="N1060" s="62" t="s">
        <v>19269</v>
      </c>
      <c r="O1060" s="62" t="s">
        <v>12446</v>
      </c>
      <c r="P1060" s="42" t="str">
        <f>+IF(O1060="","",IFERROR(VLOOKUP(O1060,CODIGO_DIAGNOSTICO,2,0),"CÓDIGO NO ENCONTRADO"))</f>
        <v>OTROS ESTADOS POSTQUIRURGICOS ESPECIFICADOS</v>
      </c>
      <c r="Q1060" s="62" t="s">
        <v>19288</v>
      </c>
      <c r="R1060" s="64"/>
      <c r="S1060" s="75"/>
      <c r="T1060" s="75"/>
      <c r="U1060" s="65"/>
      <c r="V1060" s="62"/>
      <c r="W1060" s="65"/>
      <c r="X1060" s="62"/>
      <c r="Y1060" s="65"/>
      <c r="Z1060" s="73"/>
    </row>
    <row r="1061" spans="1:26" ht="15.75" hidden="1" customHeight="1" x14ac:dyDescent="0.25">
      <c r="A1061" s="67">
        <v>3</v>
      </c>
      <c r="B1061" s="68">
        <v>43600465</v>
      </c>
      <c r="C1061" s="68" t="s">
        <v>25314</v>
      </c>
      <c r="D1061" s="68" t="s">
        <v>25387</v>
      </c>
      <c r="E1061" s="68" t="s">
        <v>25316</v>
      </c>
      <c r="F1061" s="68" t="s">
        <v>25258</v>
      </c>
      <c r="G1061" s="81" t="s">
        <v>26413</v>
      </c>
      <c r="H1061" s="69">
        <v>45726</v>
      </c>
      <c r="I1061" s="69">
        <v>45727</v>
      </c>
      <c r="J1061" s="68">
        <v>2</v>
      </c>
      <c r="K1061" s="68">
        <v>2</v>
      </c>
      <c r="L1061" s="68" t="s">
        <v>24995</v>
      </c>
      <c r="M1061" s="68" t="s">
        <v>24995</v>
      </c>
      <c r="N1061" s="62" t="s">
        <v>19269</v>
      </c>
      <c r="O1061" s="68" t="s">
        <v>5054</v>
      </c>
      <c r="P1061" s="42" t="str">
        <f>+IF(O1061="","",IFERROR(VLOOKUP(O1061,CODIGO_DIAGNOSTICO,2,0),"CÓDIGO NO ENCONTRADO"))</f>
        <v>OSTEOCONDROPATIA, NO ESPECIFICADA</v>
      </c>
      <c r="Q1061" s="68" t="s">
        <v>26059</v>
      </c>
      <c r="R1061" s="67"/>
      <c r="S1061" s="77"/>
      <c r="T1061" s="76"/>
      <c r="U1061" s="65"/>
      <c r="V1061" s="68"/>
      <c r="W1061" s="70"/>
      <c r="X1061" s="68"/>
      <c r="Y1061" s="70"/>
      <c r="Z1061" s="72"/>
    </row>
    <row r="1062" spans="1:26" ht="15.75" hidden="1" customHeight="1" x14ac:dyDescent="0.25">
      <c r="A1062" s="64">
        <v>3</v>
      </c>
      <c r="B1062" s="62">
        <v>71382103</v>
      </c>
      <c r="C1062" s="62" t="s">
        <v>25776</v>
      </c>
      <c r="D1062" s="62" t="s">
        <v>25968</v>
      </c>
      <c r="E1062" s="62" t="s">
        <v>25116</v>
      </c>
      <c r="F1062" s="62" t="s">
        <v>26027</v>
      </c>
      <c r="G1062" s="81" t="s">
        <v>19285</v>
      </c>
      <c r="H1062" s="63">
        <v>45726</v>
      </c>
      <c r="I1062" s="63">
        <v>45735</v>
      </c>
      <c r="J1062" s="62">
        <v>10</v>
      </c>
      <c r="K1062" s="62">
        <v>10</v>
      </c>
      <c r="L1062" s="62" t="s">
        <v>19262</v>
      </c>
      <c r="M1062" s="62" t="s">
        <v>19262</v>
      </c>
      <c r="N1062" s="62" t="s">
        <v>19269</v>
      </c>
      <c r="O1062" s="62" t="s">
        <v>4671</v>
      </c>
      <c r="P1062" s="42" t="str">
        <f>+IF(O1062="","",IFERROR(VLOOKUP(O1062,CODIGO_DIAGNOSTICO,2,0),"CÓDIGO NO ENCONTRADO"))</f>
        <v>DEFORMIDAD EN VARO, NO CLASIFICADA EN OTRA</v>
      </c>
      <c r="Q1062" s="62"/>
      <c r="R1062" s="64"/>
      <c r="S1062" s="75"/>
      <c r="T1062" s="75"/>
      <c r="U1062" s="65"/>
      <c r="V1062" s="62"/>
      <c r="W1062" s="65"/>
      <c r="X1062" s="62"/>
      <c r="Y1062" s="65"/>
      <c r="Z1062" s="73"/>
    </row>
    <row r="1063" spans="1:26" ht="15.75" hidden="1" customHeight="1" x14ac:dyDescent="0.25">
      <c r="A1063" s="67">
        <v>3</v>
      </c>
      <c r="B1063" s="68">
        <v>71395375</v>
      </c>
      <c r="C1063" s="68" t="s">
        <v>25702</v>
      </c>
      <c r="D1063" s="68" t="s">
        <v>25279</v>
      </c>
      <c r="E1063" s="68" t="s">
        <v>25358</v>
      </c>
      <c r="F1063" s="68" t="s">
        <v>26409</v>
      </c>
      <c r="G1063" s="81" t="s">
        <v>19285</v>
      </c>
      <c r="H1063" s="69">
        <v>45727</v>
      </c>
      <c r="I1063" s="69">
        <v>45731</v>
      </c>
      <c r="J1063" s="68">
        <v>5</v>
      </c>
      <c r="K1063" s="68">
        <v>5</v>
      </c>
      <c r="L1063" s="68" t="s">
        <v>24995</v>
      </c>
      <c r="M1063" s="68" t="s">
        <v>24995</v>
      </c>
      <c r="N1063" s="62" t="s">
        <v>19269</v>
      </c>
      <c r="O1063" s="68" t="s">
        <v>6938</v>
      </c>
      <c r="P1063" s="42" t="str">
        <f>+IF(O1063="","",IFERROR(VLOOKUP(O1063,CODIGO_DIAGNOSTICO,2,0),"CÓDIGO NO ENCONTRADO"))</f>
        <v>DOLOR LOCALIZADO EN OTRAS PARTES INFERIORES DEL ABDOMEN</v>
      </c>
      <c r="Q1063" s="68" t="s">
        <v>26059</v>
      </c>
      <c r="R1063" s="67"/>
      <c r="S1063" s="77"/>
      <c r="T1063" s="76"/>
      <c r="U1063" s="65"/>
      <c r="V1063" s="68"/>
      <c r="W1063" s="70"/>
      <c r="X1063" s="68"/>
      <c r="Y1063" s="70"/>
      <c r="Z1063" s="72"/>
    </row>
    <row r="1064" spans="1:26" ht="15.75" hidden="1" customHeight="1" x14ac:dyDescent="0.25">
      <c r="A1064" s="64">
        <v>3</v>
      </c>
      <c r="B1064" s="62">
        <v>8056876</v>
      </c>
      <c r="C1064" s="62" t="s">
        <v>25314</v>
      </c>
      <c r="D1064" s="62" t="s">
        <v>25254</v>
      </c>
      <c r="E1064" s="62" t="s">
        <v>24986</v>
      </c>
      <c r="F1064" s="62" t="s">
        <v>25040</v>
      </c>
      <c r="G1064" s="81" t="s">
        <v>19285</v>
      </c>
      <c r="H1064" s="63">
        <v>45727</v>
      </c>
      <c r="I1064" s="63">
        <v>45746</v>
      </c>
      <c r="J1064" s="62">
        <v>20</v>
      </c>
      <c r="K1064" s="62">
        <v>20</v>
      </c>
      <c r="L1064" s="62" t="s">
        <v>19262</v>
      </c>
      <c r="M1064" s="62" t="s">
        <v>26434</v>
      </c>
      <c r="N1064" s="62" t="s">
        <v>19269</v>
      </c>
      <c r="O1064" s="62" t="s">
        <v>7238</v>
      </c>
      <c r="P1064" s="42" t="str">
        <f>+IF(O1064="","",IFERROR(VLOOKUP(O1064,CODIGO_DIAGNOSTICO,2,0),"CÓDIGO NO ENCONTRADO"))</f>
        <v>TRAUMATISMO SUPERFICIAL DE LA CABEZA, PARTE NO ESPECIFICADA</v>
      </c>
      <c r="Q1064" s="62" t="s">
        <v>19288</v>
      </c>
      <c r="R1064" s="64"/>
      <c r="S1064" s="75"/>
      <c r="T1064" s="75"/>
      <c r="U1064" s="65"/>
      <c r="V1064" s="62"/>
      <c r="W1064" s="65"/>
      <c r="X1064" s="62"/>
      <c r="Y1064" s="65"/>
      <c r="Z1064" s="73"/>
    </row>
    <row r="1065" spans="1:26" ht="15.75" hidden="1" customHeight="1" x14ac:dyDescent="0.25">
      <c r="A1065" s="67">
        <v>3</v>
      </c>
      <c r="B1065" s="68">
        <v>43600465</v>
      </c>
      <c r="C1065" s="68" t="s">
        <v>25314</v>
      </c>
      <c r="D1065" s="68" t="s">
        <v>25387</v>
      </c>
      <c r="E1065" s="68" t="s">
        <v>25316</v>
      </c>
      <c r="F1065" s="68" t="s">
        <v>25258</v>
      </c>
      <c r="G1065" s="81" t="s">
        <v>26413</v>
      </c>
      <c r="H1065" s="69">
        <v>45728</v>
      </c>
      <c r="I1065" s="69">
        <v>45729</v>
      </c>
      <c r="J1065" s="68">
        <v>2</v>
      </c>
      <c r="K1065" s="68">
        <v>2</v>
      </c>
      <c r="L1065" s="68" t="s">
        <v>19262</v>
      </c>
      <c r="M1065" s="68" t="s">
        <v>24995</v>
      </c>
      <c r="N1065" s="62" t="s">
        <v>19269</v>
      </c>
      <c r="O1065" s="68" t="s">
        <v>5054</v>
      </c>
      <c r="P1065" s="42" t="str">
        <f>+IF(O1065="","",IFERROR(VLOOKUP(O1065,CODIGO_DIAGNOSTICO,2,0),"CÓDIGO NO ENCONTRADO"))</f>
        <v>OSTEOCONDROPATIA, NO ESPECIFICADA</v>
      </c>
      <c r="Q1065" s="68" t="s">
        <v>26059</v>
      </c>
      <c r="R1065" s="67"/>
      <c r="S1065" s="77"/>
      <c r="T1065" s="76"/>
      <c r="U1065" s="65"/>
      <c r="V1065" s="68"/>
      <c r="W1065" s="70"/>
      <c r="X1065" s="68"/>
      <c r="Y1065" s="70"/>
      <c r="Z1065" s="72"/>
    </row>
    <row r="1066" spans="1:26" ht="15.75" hidden="1" customHeight="1" x14ac:dyDescent="0.25">
      <c r="A1066" s="64">
        <v>3</v>
      </c>
      <c r="B1066" s="62">
        <v>39189119</v>
      </c>
      <c r="C1066" s="62" t="s">
        <v>25341</v>
      </c>
      <c r="D1066" s="62" t="s">
        <v>26395</v>
      </c>
      <c r="E1066" s="62" t="s">
        <v>26396</v>
      </c>
      <c r="F1066" s="62" t="s">
        <v>25232</v>
      </c>
      <c r="G1066" s="81" t="s">
        <v>19285</v>
      </c>
      <c r="H1066" s="63">
        <v>45729</v>
      </c>
      <c r="I1066" s="63">
        <v>45730</v>
      </c>
      <c r="J1066" s="62">
        <v>2</v>
      </c>
      <c r="K1066" s="62">
        <v>2</v>
      </c>
      <c r="L1066" s="62" t="s">
        <v>24995</v>
      </c>
      <c r="M1066" s="62" t="s">
        <v>24995</v>
      </c>
      <c r="N1066" s="62" t="s">
        <v>19269</v>
      </c>
      <c r="O1066" s="62" t="s">
        <v>15281</v>
      </c>
      <c r="P1066" s="42" t="str">
        <f>+IF(O1066="","",IFERROR(VLOOKUP(O1066,CODIGO_DIAGNOSTICO,2,0),"CÓDIGO NO ENCONTRADO"))</f>
        <v>RINOFARINGITIS AGUDA (RESFRIADO COMUN)</v>
      </c>
      <c r="Q1066" s="62" t="s">
        <v>26059</v>
      </c>
      <c r="R1066" s="64"/>
      <c r="S1066" s="75"/>
      <c r="T1066" s="75"/>
      <c r="U1066" s="65"/>
      <c r="V1066" s="62"/>
      <c r="W1066" s="65"/>
      <c r="X1066" s="62"/>
      <c r="Y1066" s="65"/>
      <c r="Z1066" s="73"/>
    </row>
    <row r="1067" spans="1:26" ht="15.75" hidden="1" customHeight="1" x14ac:dyDescent="0.25">
      <c r="A1067" s="67">
        <v>3</v>
      </c>
      <c r="B1067" s="68">
        <v>71651935</v>
      </c>
      <c r="C1067" s="68" t="s">
        <v>25635</v>
      </c>
      <c r="D1067" s="68" t="s">
        <v>25480</v>
      </c>
      <c r="E1067" s="68" t="s">
        <v>25282</v>
      </c>
      <c r="F1067" s="68" t="s">
        <v>25028</v>
      </c>
      <c r="G1067" s="81" t="s">
        <v>19285</v>
      </c>
      <c r="H1067" s="69">
        <v>45729</v>
      </c>
      <c r="I1067" s="69">
        <v>45738</v>
      </c>
      <c r="J1067" s="68">
        <v>10</v>
      </c>
      <c r="K1067" s="68">
        <v>10</v>
      </c>
      <c r="L1067" s="68" t="s">
        <v>19262</v>
      </c>
      <c r="M1067" s="68" t="s">
        <v>19262</v>
      </c>
      <c r="N1067" s="62" t="s">
        <v>19269</v>
      </c>
      <c r="O1067" s="68" t="s">
        <v>905</v>
      </c>
      <c r="P1067" s="42" t="str">
        <f>+IF(O1067="","",IFERROR(VLOOKUP(O1067,CODIGO_DIAGNOSTICO,2,0),"CÓDIGO NO ENCONTRADO"))</f>
        <v>TUMOR MALIGNO DEL RECTO</v>
      </c>
      <c r="Q1067" s="68"/>
      <c r="R1067" s="67"/>
      <c r="S1067" s="77"/>
      <c r="T1067" s="76"/>
      <c r="U1067" s="65"/>
      <c r="V1067" s="68"/>
      <c r="W1067" s="70"/>
      <c r="X1067" s="68"/>
      <c r="Y1067" s="70"/>
      <c r="Z1067" s="72"/>
    </row>
    <row r="1068" spans="1:26" ht="15.75" hidden="1" customHeight="1" x14ac:dyDescent="0.25">
      <c r="A1068" s="64">
        <v>3</v>
      </c>
      <c r="B1068" s="62">
        <v>98762319</v>
      </c>
      <c r="C1068" s="62" t="s">
        <v>25355</v>
      </c>
      <c r="D1068" s="62" t="s">
        <v>25454</v>
      </c>
      <c r="E1068" s="62" t="s">
        <v>26412</v>
      </c>
      <c r="F1068" s="62" t="s">
        <v>26177</v>
      </c>
      <c r="G1068" s="81" t="s">
        <v>19285</v>
      </c>
      <c r="H1068" s="63">
        <v>45730</v>
      </c>
      <c r="I1068" s="63">
        <v>45734</v>
      </c>
      <c r="J1068" s="62">
        <v>5</v>
      </c>
      <c r="K1068" s="62">
        <v>5</v>
      </c>
      <c r="L1068" s="62" t="s">
        <v>24995</v>
      </c>
      <c r="M1068" s="62" t="s">
        <v>24995</v>
      </c>
      <c r="N1068" s="62" t="s">
        <v>19269</v>
      </c>
      <c r="O1068" s="62" t="s">
        <v>7495</v>
      </c>
      <c r="P1068" s="42" t="str">
        <f>+IF(O1068="","",IFERROR(VLOOKUP(O1068,CODIGO_DIAGNOSTICO,2,0),"CÓDIGO NO ENCONTRADO"))</f>
        <v>TRAUMATISMO SUPERFICIAL NO ESPECIFICADO DEL HOMBRO Y DEL BRAZO</v>
      </c>
      <c r="Q1068" s="62" t="s">
        <v>19288</v>
      </c>
      <c r="R1068" s="64"/>
      <c r="S1068" s="75"/>
      <c r="T1068" s="75"/>
      <c r="U1068" s="65"/>
      <c r="V1068" s="62"/>
      <c r="W1068" s="65"/>
      <c r="X1068" s="62"/>
      <c r="Y1068" s="65"/>
      <c r="Z1068" s="73"/>
    </row>
    <row r="1069" spans="1:26" ht="15.75" hidden="1" customHeight="1" x14ac:dyDescent="0.25">
      <c r="A1069" s="67">
        <v>3</v>
      </c>
      <c r="B1069" s="68">
        <v>1128467712</v>
      </c>
      <c r="C1069" s="68" t="s">
        <v>25456</v>
      </c>
      <c r="D1069" s="68" t="s">
        <v>19258</v>
      </c>
      <c r="E1069" s="68" t="s">
        <v>25879</v>
      </c>
      <c r="F1069" s="68" t="s">
        <v>25880</v>
      </c>
      <c r="G1069" s="81" t="s">
        <v>26047</v>
      </c>
      <c r="H1069" s="69">
        <v>45730</v>
      </c>
      <c r="I1069" s="69">
        <v>45731</v>
      </c>
      <c r="J1069" s="68">
        <v>2</v>
      </c>
      <c r="K1069" s="68">
        <v>2</v>
      </c>
      <c r="L1069" s="68" t="s">
        <v>24995</v>
      </c>
      <c r="M1069" s="68" t="s">
        <v>24995</v>
      </c>
      <c r="N1069" s="62" t="s">
        <v>19269</v>
      </c>
      <c r="O1069" s="68" t="s">
        <v>4837</v>
      </c>
      <c r="P1069" s="42" t="str">
        <f>+IF(O1069="","",IFERROR(VLOOKUP(O1069,CODIGO_DIAGNOSTICO,2,0),"CÓDIGO NO ENCONTRADO"))</f>
        <v>LUMBAGO CON CIATICA</v>
      </c>
      <c r="Q1069" s="68" t="s">
        <v>26059</v>
      </c>
      <c r="R1069" s="67"/>
      <c r="S1069" s="77"/>
      <c r="T1069" s="76"/>
      <c r="U1069" s="65"/>
      <c r="V1069" s="68"/>
      <c r="W1069" s="70"/>
      <c r="X1069" s="68"/>
      <c r="Y1069" s="70"/>
      <c r="Z1069" s="72"/>
    </row>
    <row r="1070" spans="1:26" ht="15.75" hidden="1" customHeight="1" x14ac:dyDescent="0.25">
      <c r="A1070" s="64">
        <v>3</v>
      </c>
      <c r="B1070" s="62">
        <v>43600465</v>
      </c>
      <c r="C1070" s="62" t="s">
        <v>25314</v>
      </c>
      <c r="D1070" s="62" t="s">
        <v>25387</v>
      </c>
      <c r="E1070" s="62" t="s">
        <v>25316</v>
      </c>
      <c r="F1070" s="62" t="s">
        <v>25258</v>
      </c>
      <c r="G1070" s="81" t="s">
        <v>26413</v>
      </c>
      <c r="H1070" s="63">
        <v>45730</v>
      </c>
      <c r="I1070" s="63">
        <v>45732</v>
      </c>
      <c r="J1070" s="62">
        <v>3</v>
      </c>
      <c r="K1070" s="62">
        <v>3</v>
      </c>
      <c r="L1070" s="62" t="s">
        <v>19262</v>
      </c>
      <c r="M1070" s="62" t="s">
        <v>24995</v>
      </c>
      <c r="N1070" s="62" t="s">
        <v>19269</v>
      </c>
      <c r="O1070" s="62" t="s">
        <v>5053</v>
      </c>
      <c r="P1070" s="42" t="str">
        <f>+IF(O1070="","",IFERROR(VLOOKUP(O1070,CODIGO_DIAGNOSTICO,2,0),"CÓDIGO NO ENCONTRADO"))</f>
        <v>OTRAS OSTEOCONDROPATIAS ESPECIFICADAS</v>
      </c>
      <c r="Q1070" s="62" t="s">
        <v>26059</v>
      </c>
      <c r="R1070" s="64"/>
      <c r="S1070" s="75"/>
      <c r="T1070" s="75"/>
      <c r="U1070" s="65"/>
      <c r="V1070" s="62"/>
      <c r="W1070" s="65"/>
      <c r="X1070" s="62"/>
      <c r="Y1070" s="65"/>
      <c r="Z1070" s="73"/>
    </row>
    <row r="1071" spans="1:26" ht="15.75" hidden="1" customHeight="1" x14ac:dyDescent="0.25">
      <c r="A1071" s="67">
        <v>3</v>
      </c>
      <c r="B1071" s="68">
        <v>98601485</v>
      </c>
      <c r="C1071" s="68" t="s">
        <v>25240</v>
      </c>
      <c r="D1071" s="68"/>
      <c r="E1071" s="68" t="s">
        <v>25241</v>
      </c>
      <c r="F1071" s="68" t="s">
        <v>24982</v>
      </c>
      <c r="G1071" s="81" t="s">
        <v>25328</v>
      </c>
      <c r="H1071" s="69">
        <v>45731</v>
      </c>
      <c r="I1071" s="69">
        <v>45745</v>
      </c>
      <c r="J1071" s="68">
        <v>15</v>
      </c>
      <c r="K1071" s="68">
        <v>15</v>
      </c>
      <c r="L1071" s="68" t="s">
        <v>19262</v>
      </c>
      <c r="M1071" s="68" t="s">
        <v>19262</v>
      </c>
      <c r="N1071" s="62" t="s">
        <v>19269</v>
      </c>
      <c r="O1071" s="68" t="s">
        <v>8419</v>
      </c>
      <c r="P1071" s="42" t="str">
        <f>+IF(O1071="","",IFERROR(VLOOKUP(O1071,CODIGO_DIAGNOSTICO,2,0),"CÓDIGO NO ENCONTRADO"))</f>
        <v>COMPLICACION MECANICA DE OTROS DISPOSITIVOS PROTESICOS, IMPLANTES E INJERTOS ORTOPEDICOS INTERNOS</v>
      </c>
      <c r="Q1071" s="68" t="s">
        <v>26059</v>
      </c>
      <c r="R1071" s="67"/>
      <c r="S1071" s="77"/>
      <c r="T1071" s="76"/>
      <c r="U1071" s="65"/>
      <c r="V1071" s="68"/>
      <c r="W1071" s="70"/>
      <c r="X1071" s="68"/>
      <c r="Y1071" s="70"/>
      <c r="Z1071" s="72"/>
    </row>
    <row r="1072" spans="1:26" ht="15.75" hidden="1" customHeight="1" x14ac:dyDescent="0.25">
      <c r="A1072" s="64">
        <v>3</v>
      </c>
      <c r="B1072" s="62">
        <v>71753184</v>
      </c>
      <c r="C1072" s="62" t="s">
        <v>25030</v>
      </c>
      <c r="D1072" s="62" t="s">
        <v>25498</v>
      </c>
      <c r="E1072" s="62" t="s">
        <v>25282</v>
      </c>
      <c r="F1072" s="62" t="s">
        <v>25157</v>
      </c>
      <c r="G1072" s="81" t="s">
        <v>19285</v>
      </c>
      <c r="H1072" s="63">
        <v>45731</v>
      </c>
      <c r="I1072" s="63">
        <v>45732</v>
      </c>
      <c r="J1072" s="62">
        <v>2</v>
      </c>
      <c r="K1072" s="62">
        <v>2</v>
      </c>
      <c r="L1072" s="62" t="s">
        <v>24995</v>
      </c>
      <c r="M1072" s="62" t="s">
        <v>24995</v>
      </c>
      <c r="N1072" s="62" t="s">
        <v>19269</v>
      </c>
      <c r="O1072" s="62" t="s">
        <v>86</v>
      </c>
      <c r="P1072" s="42" t="str">
        <f>+IF(O1072="","",IFERROR(VLOOKUP(O1072,CODIGO_DIAGNOSTICO,2,0),"CÓDIGO NO ENCONTRADO"))</f>
        <v>INFECCION INTESTINAL VIRAL, SIN OTRA ESPECIFICACION</v>
      </c>
      <c r="Q1072" s="62" t="s">
        <v>19230</v>
      </c>
      <c r="R1072" s="64"/>
      <c r="S1072" s="75"/>
      <c r="T1072" s="75"/>
      <c r="U1072" s="65"/>
      <c r="V1072" s="62"/>
      <c r="W1072" s="65"/>
      <c r="X1072" s="62"/>
      <c r="Y1072" s="65"/>
      <c r="Z1072" s="73"/>
    </row>
    <row r="1073" spans="1:26" ht="15.75" hidden="1" customHeight="1" x14ac:dyDescent="0.25">
      <c r="A1073" s="67">
        <v>3</v>
      </c>
      <c r="B1073" s="68">
        <v>1040049016</v>
      </c>
      <c r="C1073" s="68" t="s">
        <v>25930</v>
      </c>
      <c r="D1073" s="68" t="s">
        <v>25230</v>
      </c>
      <c r="E1073" s="68" t="s">
        <v>26289</v>
      </c>
      <c r="F1073" s="68"/>
      <c r="G1073" s="81" t="s">
        <v>19285</v>
      </c>
      <c r="H1073" s="69">
        <v>45731</v>
      </c>
      <c r="I1073" s="69">
        <v>45732</v>
      </c>
      <c r="J1073" s="68">
        <v>2</v>
      </c>
      <c r="K1073" s="68">
        <v>2</v>
      </c>
      <c r="L1073" s="68" t="s">
        <v>24995</v>
      </c>
      <c r="M1073" s="68" t="s">
        <v>24995</v>
      </c>
      <c r="N1073" s="62" t="s">
        <v>19269</v>
      </c>
      <c r="O1073" s="68" t="s">
        <v>3582</v>
      </c>
      <c r="P1073" s="42" t="str">
        <f>+IF(O1073="","",IFERROR(VLOOKUP(O1073,CODIGO_DIAGNOSTICO,2,0),"CÓDIGO NO ENCONTRADO"))</f>
        <v>OTRAS INFECCIONES AGUDAS DE SITIOS MULTIPLES DE LAS VIAS RESPIRATORIAS SUPERIORES</v>
      </c>
      <c r="Q1073" s="68" t="s">
        <v>26059</v>
      </c>
      <c r="R1073" s="67"/>
      <c r="S1073" s="77"/>
      <c r="T1073" s="76"/>
      <c r="U1073" s="65"/>
      <c r="V1073" s="68"/>
      <c r="W1073" s="70"/>
      <c r="X1073" s="68"/>
      <c r="Y1073" s="70"/>
      <c r="Z1073" s="72"/>
    </row>
    <row r="1074" spans="1:26" ht="15.75" hidden="1" customHeight="1" x14ac:dyDescent="0.25">
      <c r="A1074" s="64">
        <v>3</v>
      </c>
      <c r="B1074" s="62">
        <v>71676289</v>
      </c>
      <c r="C1074" s="62" t="s">
        <v>25702</v>
      </c>
      <c r="D1074" s="62" t="s">
        <v>25214</v>
      </c>
      <c r="E1074" s="62" t="s">
        <v>25560</v>
      </c>
      <c r="F1074" s="62" t="s">
        <v>25814</v>
      </c>
      <c r="G1074" s="81" t="s">
        <v>19285</v>
      </c>
      <c r="H1074" s="63">
        <v>45732</v>
      </c>
      <c r="I1074" s="63">
        <v>45746</v>
      </c>
      <c r="J1074" s="62">
        <v>15</v>
      </c>
      <c r="K1074" s="62">
        <v>15</v>
      </c>
      <c r="L1074" s="62" t="s">
        <v>19262</v>
      </c>
      <c r="M1074" s="62" t="s">
        <v>19262</v>
      </c>
      <c r="N1074" s="62" t="s">
        <v>19269</v>
      </c>
      <c r="O1074" s="62" t="s">
        <v>5006</v>
      </c>
      <c r="P1074" s="42" t="str">
        <f>+IF(O1074="","",IFERROR(VLOOKUP(O1074,CODIGO_DIAGNOSTICO,2,0),"CÓDIGO NO ENCONTRADO"))</f>
        <v>OSTEOMIELITIS, NO ESPECIFICADA</v>
      </c>
      <c r="Q1074" s="62" t="s">
        <v>26059</v>
      </c>
      <c r="R1074" s="64"/>
      <c r="S1074" s="75"/>
      <c r="T1074" s="75"/>
      <c r="U1074" s="65"/>
      <c r="V1074" s="62"/>
      <c r="W1074" s="65"/>
      <c r="X1074" s="62"/>
      <c r="Y1074" s="65"/>
      <c r="Z1074" s="73"/>
    </row>
    <row r="1075" spans="1:26" ht="15.75" hidden="1" customHeight="1" x14ac:dyDescent="0.25">
      <c r="A1075" s="67">
        <v>3</v>
      </c>
      <c r="B1075" s="68">
        <v>1128438267</v>
      </c>
      <c r="C1075" s="68" t="s">
        <v>26302</v>
      </c>
      <c r="D1075" s="68" t="s">
        <v>25847</v>
      </c>
      <c r="E1075" s="68" t="s">
        <v>26303</v>
      </c>
      <c r="F1075" s="68" t="s">
        <v>24986</v>
      </c>
      <c r="G1075" s="81" t="s">
        <v>19285</v>
      </c>
      <c r="H1075" s="69">
        <v>45733</v>
      </c>
      <c r="I1075" s="69">
        <v>45734</v>
      </c>
      <c r="J1075" s="68">
        <v>2</v>
      </c>
      <c r="K1075" s="68">
        <v>2</v>
      </c>
      <c r="L1075" s="68" t="s">
        <v>24995</v>
      </c>
      <c r="M1075" s="68" t="s">
        <v>24995</v>
      </c>
      <c r="N1075" s="62" t="s">
        <v>19269</v>
      </c>
      <c r="O1075" s="68" t="s">
        <v>3573</v>
      </c>
      <c r="P1075" s="42" t="str">
        <f>+IF(O1075="","",IFERROR(VLOOKUP(O1075,CODIGO_DIAGNOSTICO,2,0),"CÓDIGO NO ENCONTRADO"))</f>
        <v>AMIGDALITIS ESTREPTOCOCICA</v>
      </c>
      <c r="Q1075" s="68" t="s">
        <v>26059</v>
      </c>
      <c r="R1075" s="67"/>
      <c r="S1075" s="77"/>
      <c r="T1075" s="76"/>
      <c r="U1075" s="65"/>
      <c r="V1075" s="68"/>
      <c r="W1075" s="70"/>
      <c r="X1075" s="68"/>
      <c r="Y1075" s="70"/>
      <c r="Z1075" s="72"/>
    </row>
    <row r="1076" spans="1:26" ht="15.75" hidden="1" customHeight="1" x14ac:dyDescent="0.25">
      <c r="A1076" s="64">
        <v>3</v>
      </c>
      <c r="B1076" s="62">
        <v>43600465</v>
      </c>
      <c r="C1076" s="62" t="s">
        <v>25314</v>
      </c>
      <c r="D1076" s="62" t="s">
        <v>25387</v>
      </c>
      <c r="E1076" s="62" t="s">
        <v>25316</v>
      </c>
      <c r="F1076" s="62" t="s">
        <v>25258</v>
      </c>
      <c r="G1076" s="81" t="s">
        <v>26413</v>
      </c>
      <c r="H1076" s="63">
        <v>45733</v>
      </c>
      <c r="I1076" s="63">
        <v>45734</v>
      </c>
      <c r="J1076" s="62">
        <v>2</v>
      </c>
      <c r="K1076" s="62">
        <v>2</v>
      </c>
      <c r="L1076" s="62" t="s">
        <v>19262</v>
      </c>
      <c r="M1076" s="62" t="s">
        <v>24995</v>
      </c>
      <c r="N1076" s="62" t="s">
        <v>19269</v>
      </c>
      <c r="O1076" s="62" t="s">
        <v>5054</v>
      </c>
      <c r="P1076" s="42" t="str">
        <f>+IF(O1076="","",IFERROR(VLOOKUP(O1076,CODIGO_DIAGNOSTICO,2,0),"CÓDIGO NO ENCONTRADO"))</f>
        <v>OSTEOCONDROPATIA, NO ESPECIFICADA</v>
      </c>
      <c r="Q1076" s="62" t="s">
        <v>26059</v>
      </c>
      <c r="R1076" s="64"/>
      <c r="S1076" s="75"/>
      <c r="T1076" s="75"/>
      <c r="U1076" s="65"/>
      <c r="V1076" s="62"/>
      <c r="W1076" s="65"/>
      <c r="X1076" s="62"/>
      <c r="Y1076" s="65"/>
      <c r="Z1076" s="73"/>
    </row>
    <row r="1077" spans="1:26" ht="15.75" hidden="1" customHeight="1" x14ac:dyDescent="0.25">
      <c r="A1077" s="67">
        <v>3</v>
      </c>
      <c r="B1077" s="68">
        <v>1035422013</v>
      </c>
      <c r="C1077" s="68" t="s">
        <v>25140</v>
      </c>
      <c r="D1077" s="68" t="s">
        <v>25435</v>
      </c>
      <c r="E1077" s="68" t="s">
        <v>25170</v>
      </c>
      <c r="F1077" s="68" t="s">
        <v>25333</v>
      </c>
      <c r="G1077" s="81" t="s">
        <v>19285</v>
      </c>
      <c r="H1077" s="69">
        <v>45735</v>
      </c>
      <c r="I1077" s="69">
        <v>45764</v>
      </c>
      <c r="J1077" s="68">
        <v>30</v>
      </c>
      <c r="K1077" s="68">
        <v>30</v>
      </c>
      <c r="L1077" s="68" t="s">
        <v>19262</v>
      </c>
      <c r="M1077" s="68" t="s">
        <v>19262</v>
      </c>
      <c r="N1077" s="62" t="s">
        <v>19269</v>
      </c>
      <c r="O1077" s="68" t="s">
        <v>7508</v>
      </c>
      <c r="P1077" s="42" t="str">
        <f>+IF(O1077="","",IFERROR(VLOOKUP(O1077,CODIGO_DIAGNOSTICO,2,0),"CÓDIGO NO ENCONTRADO"))</f>
        <v>LUXACION DE LA ARTICULACION DEL HOMBRO</v>
      </c>
      <c r="Q1077" s="68" t="s">
        <v>24996</v>
      </c>
      <c r="R1077" s="67"/>
      <c r="S1077" s="77"/>
      <c r="T1077" s="76"/>
      <c r="U1077" s="65"/>
      <c r="V1077" s="68"/>
      <c r="W1077" s="70"/>
      <c r="X1077" s="68"/>
      <c r="Y1077" s="70"/>
      <c r="Z1077" s="72"/>
    </row>
    <row r="1078" spans="1:26" ht="15.75" hidden="1" customHeight="1" x14ac:dyDescent="0.25">
      <c r="A1078" s="64">
        <v>3</v>
      </c>
      <c r="B1078" s="62">
        <v>43600465</v>
      </c>
      <c r="C1078" s="62" t="s">
        <v>25314</v>
      </c>
      <c r="D1078" s="62" t="s">
        <v>25387</v>
      </c>
      <c r="E1078" s="62" t="s">
        <v>25316</v>
      </c>
      <c r="F1078" s="62" t="s">
        <v>25258</v>
      </c>
      <c r="G1078" s="81" t="s">
        <v>26413</v>
      </c>
      <c r="H1078" s="63">
        <v>45735</v>
      </c>
      <c r="I1078" s="63">
        <v>45736</v>
      </c>
      <c r="J1078" s="62">
        <v>2</v>
      </c>
      <c r="K1078" s="62">
        <v>2</v>
      </c>
      <c r="L1078" s="62" t="s">
        <v>19262</v>
      </c>
      <c r="M1078" s="62" t="s">
        <v>24995</v>
      </c>
      <c r="N1078" s="62" t="s">
        <v>19269</v>
      </c>
      <c r="O1078" s="62" t="s">
        <v>5054</v>
      </c>
      <c r="P1078" s="42" t="str">
        <f>+IF(O1078="","",IFERROR(VLOOKUP(O1078,CODIGO_DIAGNOSTICO,2,0),"CÓDIGO NO ENCONTRADO"))</f>
        <v>OSTEOCONDROPATIA, NO ESPECIFICADA</v>
      </c>
      <c r="Q1078" s="62" t="s">
        <v>26059</v>
      </c>
      <c r="R1078" s="64"/>
      <c r="S1078" s="75"/>
      <c r="T1078" s="75"/>
      <c r="U1078" s="65"/>
      <c r="V1078" s="62"/>
      <c r="W1078" s="65"/>
      <c r="X1078" s="62"/>
      <c r="Y1078" s="65"/>
      <c r="Z1078" s="73"/>
    </row>
    <row r="1079" spans="1:26" ht="15.75" hidden="1" customHeight="1" x14ac:dyDescent="0.25">
      <c r="A1079" s="67">
        <v>3</v>
      </c>
      <c r="B1079" s="68">
        <v>1037947968</v>
      </c>
      <c r="C1079" s="68" t="s">
        <v>24985</v>
      </c>
      <c r="D1079" s="68" t="s">
        <v>25680</v>
      </c>
      <c r="E1079" s="68" t="s">
        <v>26020</v>
      </c>
      <c r="F1079" s="68"/>
      <c r="G1079" s="81" t="s">
        <v>19285</v>
      </c>
      <c r="H1079" s="69">
        <v>45736</v>
      </c>
      <c r="I1079" s="69">
        <v>45738</v>
      </c>
      <c r="J1079" s="68">
        <v>3</v>
      </c>
      <c r="K1079" s="68">
        <v>3</v>
      </c>
      <c r="L1079" s="68" t="s">
        <v>24995</v>
      </c>
      <c r="M1079" s="68" t="s">
        <v>24995</v>
      </c>
      <c r="N1079" s="62" t="s">
        <v>19269</v>
      </c>
      <c r="O1079" s="68" t="s">
        <v>7794</v>
      </c>
      <c r="P1079" s="42" t="str">
        <f>+IF(O1079="","",IFERROR(VLOOKUP(O1079,CODIGO_DIAGNOSTICO,2,0),"CÓDIGO NO ENCONTRADO"))</f>
        <v>ESGUINCES Y TORCEDURAS DEL TOBILLO</v>
      </c>
      <c r="Q1079" s="68" t="s">
        <v>24996</v>
      </c>
      <c r="R1079" s="67"/>
      <c r="S1079" s="77"/>
      <c r="T1079" s="76"/>
      <c r="U1079" s="65"/>
      <c r="V1079" s="68"/>
      <c r="W1079" s="70"/>
      <c r="X1079" s="68"/>
      <c r="Y1079" s="70"/>
      <c r="Z1079" s="72"/>
    </row>
    <row r="1080" spans="1:26" ht="15.75" hidden="1" customHeight="1" x14ac:dyDescent="0.25">
      <c r="A1080" s="64">
        <v>3</v>
      </c>
      <c r="B1080" s="62">
        <v>71382103</v>
      </c>
      <c r="C1080" s="62" t="s">
        <v>25776</v>
      </c>
      <c r="D1080" s="62" t="s">
        <v>25968</v>
      </c>
      <c r="E1080" s="62" t="s">
        <v>25116</v>
      </c>
      <c r="F1080" s="62" t="s">
        <v>26027</v>
      </c>
      <c r="G1080" s="81" t="s">
        <v>19285</v>
      </c>
      <c r="H1080" s="63">
        <v>45736</v>
      </c>
      <c r="I1080" s="63">
        <v>45745</v>
      </c>
      <c r="J1080" s="62">
        <v>10</v>
      </c>
      <c r="K1080" s="62">
        <v>10</v>
      </c>
      <c r="L1080" s="62" t="s">
        <v>19262</v>
      </c>
      <c r="M1080" s="62" t="s">
        <v>19262</v>
      </c>
      <c r="N1080" s="62" t="s">
        <v>19269</v>
      </c>
      <c r="O1080" s="62" t="s">
        <v>4671</v>
      </c>
      <c r="P1080" s="42" t="str">
        <f>+IF(O1080="","",IFERROR(VLOOKUP(O1080,CODIGO_DIAGNOSTICO,2,0),"CÓDIGO NO ENCONTRADO"))</f>
        <v>DEFORMIDAD EN VARO, NO CLASIFICADA EN OTRA</v>
      </c>
      <c r="Q1080" s="62"/>
      <c r="R1080" s="64"/>
      <c r="S1080" s="75"/>
      <c r="T1080" s="75"/>
      <c r="U1080" s="65"/>
      <c r="V1080" s="62"/>
      <c r="W1080" s="65"/>
      <c r="X1080" s="62"/>
      <c r="Y1080" s="65"/>
      <c r="Z1080" s="73"/>
    </row>
    <row r="1081" spans="1:26" ht="15.75" hidden="1" customHeight="1" x14ac:dyDescent="0.25">
      <c r="A1081" s="67">
        <v>3</v>
      </c>
      <c r="B1081" s="68">
        <v>71753184</v>
      </c>
      <c r="C1081" s="68" t="s">
        <v>25030</v>
      </c>
      <c r="D1081" s="68" t="s">
        <v>25498</v>
      </c>
      <c r="E1081" s="68" t="s">
        <v>25282</v>
      </c>
      <c r="F1081" s="68" t="s">
        <v>25157</v>
      </c>
      <c r="G1081" s="81" t="s">
        <v>19285</v>
      </c>
      <c r="H1081" s="69">
        <v>45737</v>
      </c>
      <c r="I1081" s="69">
        <v>45738</v>
      </c>
      <c r="J1081" s="68">
        <v>2</v>
      </c>
      <c r="K1081" s="68">
        <v>2</v>
      </c>
      <c r="L1081" s="68" t="s">
        <v>24995</v>
      </c>
      <c r="M1081" s="68" t="s">
        <v>24995</v>
      </c>
      <c r="N1081" s="62" t="s">
        <v>19269</v>
      </c>
      <c r="O1081" s="68" t="s">
        <v>7103</v>
      </c>
      <c r="P1081" s="42" t="str">
        <f>+IF(O1081="","",IFERROR(VLOOKUP(O1081,CODIGO_DIAGNOSTICO,2,0),"CÓDIGO NO ENCONTRADO"))</f>
        <v>HIPERGLICEMIA, NO ESPECIFICADA</v>
      </c>
      <c r="Q1081" s="68" t="s">
        <v>26059</v>
      </c>
      <c r="R1081" s="67"/>
      <c r="S1081" s="77"/>
      <c r="T1081" s="76"/>
      <c r="U1081" s="65"/>
      <c r="V1081" s="68"/>
      <c r="W1081" s="70"/>
      <c r="X1081" s="68"/>
      <c r="Y1081" s="70"/>
      <c r="Z1081" s="72"/>
    </row>
    <row r="1082" spans="1:26" ht="15.75" hidden="1" customHeight="1" x14ac:dyDescent="0.25">
      <c r="A1082" s="64">
        <v>3</v>
      </c>
      <c r="B1082" s="62">
        <v>12625299</v>
      </c>
      <c r="C1082" s="62" t="s">
        <v>25321</v>
      </c>
      <c r="D1082" s="62" t="s">
        <v>25322</v>
      </c>
      <c r="E1082" s="62" t="s">
        <v>25323</v>
      </c>
      <c r="F1082" s="62" t="s">
        <v>25057</v>
      </c>
      <c r="G1082" s="81" t="s">
        <v>19285</v>
      </c>
      <c r="H1082" s="63">
        <v>45737</v>
      </c>
      <c r="I1082" s="63">
        <v>45751</v>
      </c>
      <c r="J1082" s="62">
        <v>15</v>
      </c>
      <c r="K1082" s="62">
        <v>15</v>
      </c>
      <c r="L1082" s="62" t="s">
        <v>19262</v>
      </c>
      <c r="M1082" s="62" t="s">
        <v>19262</v>
      </c>
      <c r="N1082" s="62" t="s">
        <v>19269</v>
      </c>
      <c r="O1082" s="62" t="s">
        <v>4790</v>
      </c>
      <c r="P1082" s="42" t="str">
        <f>+IF(O1082="","",IFERROR(VLOOKUP(O1082,CODIGO_DIAGNOSTICO,2,0),"CÓDIGO NO ENCONTRADO"))</f>
        <v>DISCITIS, NO ESPECIFICADA</v>
      </c>
      <c r="Q1082" s="62" t="s">
        <v>26059</v>
      </c>
      <c r="R1082" s="64"/>
      <c r="S1082" s="75"/>
      <c r="T1082" s="75"/>
      <c r="U1082" s="65"/>
      <c r="V1082" s="62"/>
      <c r="W1082" s="65"/>
      <c r="X1082" s="62"/>
      <c r="Y1082" s="65"/>
      <c r="Z1082" s="73"/>
    </row>
    <row r="1083" spans="1:26" ht="15.75" hidden="1" customHeight="1" x14ac:dyDescent="0.25">
      <c r="A1083" s="67">
        <v>3</v>
      </c>
      <c r="B1083" s="68">
        <v>1214737996</v>
      </c>
      <c r="C1083" s="68" t="s">
        <v>25604</v>
      </c>
      <c r="D1083" s="68" t="s">
        <v>25969</v>
      </c>
      <c r="E1083" s="68" t="s">
        <v>25970</v>
      </c>
      <c r="F1083" s="68" t="s">
        <v>25060</v>
      </c>
      <c r="G1083" s="81" t="s">
        <v>19285</v>
      </c>
      <c r="H1083" s="69">
        <v>45738</v>
      </c>
      <c r="I1083" s="69">
        <v>45767</v>
      </c>
      <c r="J1083" s="68">
        <v>30</v>
      </c>
      <c r="K1083" s="68">
        <v>30</v>
      </c>
      <c r="L1083" s="68" t="s">
        <v>19262</v>
      </c>
      <c r="M1083" s="68" t="s">
        <v>19262</v>
      </c>
      <c r="N1083" s="62" t="s">
        <v>19269</v>
      </c>
      <c r="O1083" s="68" t="s">
        <v>7723</v>
      </c>
      <c r="P1083" s="42" t="str">
        <f>+IF(O1083="","",IFERROR(VLOOKUP(O1083,CODIGO_DIAGNOSTICO,2,0),"CÓDIGO NO ENCONTRADO"))</f>
        <v>FRACTURA DE LA EPIFISIS SUPERIOR DE LA TIBIA</v>
      </c>
      <c r="Q1083" s="68" t="s">
        <v>26339</v>
      </c>
      <c r="R1083" s="67"/>
      <c r="S1083" s="77"/>
      <c r="T1083" s="76"/>
      <c r="U1083" s="65"/>
      <c r="V1083" s="68"/>
      <c r="W1083" s="70"/>
      <c r="X1083" s="68"/>
      <c r="Y1083" s="70"/>
      <c r="Z1083" s="72"/>
    </row>
    <row r="1084" spans="1:26" ht="15.75" hidden="1" customHeight="1" x14ac:dyDescent="0.25">
      <c r="A1084" s="64">
        <v>3</v>
      </c>
      <c r="B1084" s="62">
        <v>1000633959</v>
      </c>
      <c r="C1084" s="62" t="s">
        <v>25219</v>
      </c>
      <c r="D1084" s="62" t="s">
        <v>25109</v>
      </c>
      <c r="E1084" s="62" t="s">
        <v>25010</v>
      </c>
      <c r="F1084" s="62" t="s">
        <v>25157</v>
      </c>
      <c r="G1084" s="81" t="s">
        <v>19285</v>
      </c>
      <c r="H1084" s="63">
        <v>45739</v>
      </c>
      <c r="I1084" s="63">
        <v>45740</v>
      </c>
      <c r="J1084" s="62">
        <v>2</v>
      </c>
      <c r="K1084" s="62">
        <v>2</v>
      </c>
      <c r="L1084" s="62" t="s">
        <v>24995</v>
      </c>
      <c r="M1084" s="62" t="s">
        <v>24995</v>
      </c>
      <c r="N1084" s="62" t="s">
        <v>19269</v>
      </c>
      <c r="O1084" s="62" t="s">
        <v>85</v>
      </c>
      <c r="P1084" s="42" t="str">
        <f>+IF(O1084="","",IFERROR(VLOOKUP(O1084,CODIGO_DIAGNOSTICO,2,0),"CÓDIGO NO ENCONTRADO"))</f>
        <v>OTRAS ENTERITIS VIRALES</v>
      </c>
      <c r="Q1084" s="62" t="s">
        <v>24996</v>
      </c>
      <c r="R1084" s="64"/>
      <c r="S1084" s="75"/>
      <c r="T1084" s="75"/>
      <c r="U1084" s="65"/>
      <c r="V1084" s="62"/>
      <c r="W1084" s="65"/>
      <c r="X1084" s="62"/>
      <c r="Y1084" s="65"/>
      <c r="Z1084" s="73"/>
    </row>
    <row r="1085" spans="1:26" ht="15.75" hidden="1" customHeight="1" x14ac:dyDescent="0.25">
      <c r="A1085" s="67">
        <v>3</v>
      </c>
      <c r="B1085" s="68">
        <v>1152711359</v>
      </c>
      <c r="C1085" s="68" t="s">
        <v>25147</v>
      </c>
      <c r="D1085" s="68" t="s">
        <v>25491</v>
      </c>
      <c r="E1085" s="68" t="s">
        <v>26414</v>
      </c>
      <c r="F1085" s="68"/>
      <c r="G1085" s="81" t="s">
        <v>19285</v>
      </c>
      <c r="H1085" s="69">
        <v>45740</v>
      </c>
      <c r="I1085" s="69">
        <v>45741</v>
      </c>
      <c r="J1085" s="68">
        <v>2</v>
      </c>
      <c r="K1085" s="68">
        <v>2</v>
      </c>
      <c r="L1085" s="68" t="s">
        <v>24995</v>
      </c>
      <c r="M1085" s="68" t="s">
        <v>24995</v>
      </c>
      <c r="N1085" s="62" t="s">
        <v>19269</v>
      </c>
      <c r="O1085" s="68" t="s">
        <v>7713</v>
      </c>
      <c r="P1085" s="42" t="str">
        <f>+IF(O1085="","",IFERROR(VLOOKUP(O1085,CODIGO_DIAGNOSTICO,2,0),"CÓDIGO NO ENCONTRADO"))</f>
        <v>CONTUSION DE LA RODILLA</v>
      </c>
      <c r="Q1085" s="68" t="s">
        <v>24996</v>
      </c>
      <c r="R1085" s="67"/>
      <c r="S1085" s="77"/>
      <c r="T1085" s="76"/>
      <c r="U1085" s="65"/>
      <c r="V1085" s="68"/>
      <c r="W1085" s="70"/>
      <c r="X1085" s="68"/>
      <c r="Y1085" s="70"/>
      <c r="Z1085" s="72"/>
    </row>
    <row r="1086" spans="1:26" ht="15.75" hidden="1" customHeight="1" x14ac:dyDescent="0.25">
      <c r="A1086" s="64">
        <v>3</v>
      </c>
      <c r="B1086" s="62">
        <v>11794362</v>
      </c>
      <c r="C1086" s="62" t="s">
        <v>26066</v>
      </c>
      <c r="D1086" s="62" t="s">
        <v>25238</v>
      </c>
      <c r="E1086" s="62" t="s">
        <v>25864</v>
      </c>
      <c r="F1086" s="62"/>
      <c r="G1086" s="81" t="s">
        <v>19285</v>
      </c>
      <c r="H1086" s="63">
        <v>45741</v>
      </c>
      <c r="I1086" s="63">
        <v>45749</v>
      </c>
      <c r="J1086" s="62">
        <v>9</v>
      </c>
      <c r="K1086" s="62">
        <v>9</v>
      </c>
      <c r="L1086" s="62" t="s">
        <v>24995</v>
      </c>
      <c r="M1086" s="62" t="s">
        <v>24995</v>
      </c>
      <c r="N1086" s="62" t="s">
        <v>19269</v>
      </c>
      <c r="O1086" s="62" t="s">
        <v>2850</v>
      </c>
      <c r="P1086" s="42" t="str">
        <f>+IF(O1086="","",IFERROR(VLOOKUP(O1086,CODIGO_DIAGNOSTICO,2,0),"CÓDIGO NO ENCONTRADO"))</f>
        <v>PTERIGION</v>
      </c>
      <c r="Q1086" s="62" t="s">
        <v>26059</v>
      </c>
      <c r="R1086" s="64"/>
      <c r="S1086" s="75"/>
      <c r="T1086" s="75"/>
      <c r="U1086" s="65"/>
      <c r="V1086" s="62"/>
      <c r="W1086" s="65"/>
      <c r="X1086" s="62"/>
      <c r="Y1086" s="65"/>
      <c r="Z1086" s="73"/>
    </row>
    <row r="1087" spans="1:26" ht="15.75" hidden="1" customHeight="1" x14ac:dyDescent="0.25">
      <c r="A1087" s="67">
        <v>3</v>
      </c>
      <c r="B1087" s="68">
        <v>1017238882</v>
      </c>
      <c r="C1087" s="68" t="s">
        <v>25008</v>
      </c>
      <c r="D1087" s="68" t="s">
        <v>24980</v>
      </c>
      <c r="E1087" s="68" t="s">
        <v>26135</v>
      </c>
      <c r="F1087" s="68" t="s">
        <v>26136</v>
      </c>
      <c r="G1087" s="81" t="s">
        <v>26415</v>
      </c>
      <c r="H1087" s="69">
        <v>45743</v>
      </c>
      <c r="I1087" s="69">
        <v>45745</v>
      </c>
      <c r="J1087" s="68">
        <v>3</v>
      </c>
      <c r="K1087" s="68">
        <v>3</v>
      </c>
      <c r="L1087" s="68" t="s">
        <v>24995</v>
      </c>
      <c r="M1087" s="68" t="s">
        <v>24995</v>
      </c>
      <c r="N1087" s="62" t="s">
        <v>19269</v>
      </c>
      <c r="O1087" s="68" t="s">
        <v>4946</v>
      </c>
      <c r="P1087" s="42" t="str">
        <f>+IF(O1087="","",IFERROR(VLOOKUP(O1087,CODIGO_DIAGNOSTICO,2,0),"CÓDIGO NO ENCONTRADO"))</f>
        <v>MIALGIA</v>
      </c>
      <c r="Q1087" s="68" t="s">
        <v>26152</v>
      </c>
      <c r="R1087" s="67"/>
      <c r="S1087" s="77"/>
      <c r="T1087" s="76"/>
      <c r="U1087" s="65"/>
      <c r="V1087" s="68"/>
      <c r="W1087" s="70"/>
      <c r="X1087" s="68"/>
      <c r="Y1087" s="70"/>
      <c r="Z1087" s="72"/>
    </row>
    <row r="1088" spans="1:26" ht="15.75" hidden="1" customHeight="1" x14ac:dyDescent="0.25">
      <c r="A1088" s="64">
        <v>3</v>
      </c>
      <c r="B1088" s="62">
        <v>98601485</v>
      </c>
      <c r="C1088" s="62" t="s">
        <v>25240</v>
      </c>
      <c r="D1088" s="62"/>
      <c r="E1088" s="62" t="s">
        <v>25241</v>
      </c>
      <c r="F1088" s="62" t="s">
        <v>24982</v>
      </c>
      <c r="G1088" s="81" t="s">
        <v>25328</v>
      </c>
      <c r="H1088" s="63">
        <v>45743</v>
      </c>
      <c r="I1088" s="63">
        <v>45757</v>
      </c>
      <c r="J1088" s="62">
        <v>15</v>
      </c>
      <c r="K1088" s="62">
        <v>15</v>
      </c>
      <c r="L1088" s="62" t="s">
        <v>24995</v>
      </c>
      <c r="M1088" s="62" t="s">
        <v>24995</v>
      </c>
      <c r="N1088" s="62" t="s">
        <v>19269</v>
      </c>
      <c r="O1088" s="62" t="s">
        <v>6376</v>
      </c>
      <c r="P1088" s="42" t="str">
        <f>+IF(O1088="","",IFERROR(VLOOKUP(O1088,CODIGO_DIAGNOSTICO,2,0),"CÓDIGO NO ENCONTRADO"))</f>
        <v>OTRAS MALFORMACIONES DE LAS HENDIDURAS BRANQUIALES</v>
      </c>
      <c r="Q1088" s="62" t="s">
        <v>26059</v>
      </c>
      <c r="R1088" s="64"/>
      <c r="S1088" s="75"/>
      <c r="T1088" s="75"/>
      <c r="U1088" s="65"/>
      <c r="V1088" s="62"/>
      <c r="W1088" s="65"/>
      <c r="X1088" s="62"/>
      <c r="Y1088" s="65"/>
      <c r="Z1088" s="73"/>
    </row>
    <row r="1089" spans="1:26" ht="15.75" hidden="1" customHeight="1" x14ac:dyDescent="0.25">
      <c r="A1089" s="67">
        <v>3</v>
      </c>
      <c r="B1089" s="68">
        <v>15305525</v>
      </c>
      <c r="C1089" s="68" t="s">
        <v>26417</v>
      </c>
      <c r="D1089" s="68" t="s">
        <v>25026</v>
      </c>
      <c r="E1089" s="68" t="s">
        <v>26418</v>
      </c>
      <c r="F1089" s="68" t="s">
        <v>25103</v>
      </c>
      <c r="G1089" s="81" t="s">
        <v>19285</v>
      </c>
      <c r="H1089" s="69">
        <v>45743</v>
      </c>
      <c r="I1089" s="69">
        <v>45754</v>
      </c>
      <c r="J1089" s="68">
        <v>12</v>
      </c>
      <c r="K1089" s="68">
        <v>12</v>
      </c>
      <c r="L1089" s="68" t="s">
        <v>24995</v>
      </c>
      <c r="M1089" s="68" t="s">
        <v>24995</v>
      </c>
      <c r="N1089" s="62" t="s">
        <v>19269</v>
      </c>
      <c r="O1089" s="68" t="s">
        <v>3985</v>
      </c>
      <c r="P1089" s="42" t="str">
        <f>+IF(O1089="","",IFERROR(VLOOKUP(O1089,CODIGO_DIAGNOSTICO,2,0),"CÓDIGO NO ENCONTRADO"))</f>
        <v>HERNIA INGUINAL BILATERAL, SIN OBSTRUCCION NI GANGRENA</v>
      </c>
      <c r="Q1089" s="68" t="s">
        <v>26059</v>
      </c>
      <c r="R1089" s="67"/>
      <c r="S1089" s="77"/>
      <c r="T1089" s="76"/>
      <c r="U1089" s="65"/>
      <c r="V1089" s="68"/>
      <c r="W1089" s="70"/>
      <c r="X1089" s="68"/>
      <c r="Y1089" s="70"/>
      <c r="Z1089" s="72"/>
    </row>
    <row r="1090" spans="1:26" ht="15.75" hidden="1" customHeight="1" x14ac:dyDescent="0.25">
      <c r="A1090" s="64">
        <v>3</v>
      </c>
      <c r="B1090" s="62">
        <v>1001227607</v>
      </c>
      <c r="C1090" s="62" t="s">
        <v>25257</v>
      </c>
      <c r="D1090" s="62" t="s">
        <v>25052</v>
      </c>
      <c r="E1090" s="62" t="s">
        <v>26380</v>
      </c>
      <c r="F1090" s="62" t="s">
        <v>26381</v>
      </c>
      <c r="G1090" s="81" t="s">
        <v>19285</v>
      </c>
      <c r="H1090" s="63">
        <v>45744</v>
      </c>
      <c r="I1090" s="63">
        <v>45745</v>
      </c>
      <c r="J1090" s="62">
        <v>2</v>
      </c>
      <c r="K1090" s="62">
        <v>2</v>
      </c>
      <c r="L1090" s="62" t="s">
        <v>24995</v>
      </c>
      <c r="M1090" s="62" t="s">
        <v>24995</v>
      </c>
      <c r="N1090" s="62" t="s">
        <v>19269</v>
      </c>
      <c r="O1090" s="62" t="s">
        <v>2596</v>
      </c>
      <c r="P1090" s="42" t="str">
        <f>+IF(O1090="","",IFERROR(VLOOKUP(O1090,CODIGO_DIAGNOSTICO,2,0),"CÓDIGO NO ENCONTRADO"))</f>
        <v>CEFALEA DEBIDA A TENSION</v>
      </c>
      <c r="Q1090" s="62" t="s">
        <v>26059</v>
      </c>
      <c r="R1090" s="64"/>
      <c r="S1090" s="75"/>
      <c r="T1090" s="75"/>
      <c r="U1090" s="65"/>
      <c r="V1090" s="62"/>
      <c r="W1090" s="65"/>
      <c r="X1090" s="62"/>
      <c r="Y1090" s="65"/>
      <c r="Z1090" s="73"/>
    </row>
    <row r="1091" spans="1:26" ht="15.75" hidden="1" customHeight="1" x14ac:dyDescent="0.25">
      <c r="A1091" s="67">
        <v>3</v>
      </c>
      <c r="B1091" s="68">
        <v>70252687</v>
      </c>
      <c r="C1091" s="68" t="s">
        <v>25340</v>
      </c>
      <c r="D1091" s="68" t="s">
        <v>24998</v>
      </c>
      <c r="E1091" s="68" t="s">
        <v>25359</v>
      </c>
      <c r="F1091" s="68" t="s">
        <v>25020</v>
      </c>
      <c r="G1091" s="81" t="s">
        <v>19285</v>
      </c>
      <c r="H1091" s="69">
        <v>45744</v>
      </c>
      <c r="I1091" s="69">
        <v>45773</v>
      </c>
      <c r="J1091" s="68">
        <v>30</v>
      </c>
      <c r="K1091" s="68">
        <v>30</v>
      </c>
      <c r="L1091" s="68" t="s">
        <v>19262</v>
      </c>
      <c r="M1091" s="68" t="s">
        <v>19262</v>
      </c>
      <c r="N1091" s="62" t="s">
        <v>19269</v>
      </c>
      <c r="O1091" s="68" t="s">
        <v>1073</v>
      </c>
      <c r="P1091" s="42" t="str">
        <f>+IF(O1091="","",IFERROR(VLOOKUP(O1091,CODIGO_DIAGNOSTICO,2,0),"CÓDIGO NO ENCONTRADO"))</f>
        <v>TUMOR MALIGNO DE LA PROSTATA</v>
      </c>
      <c r="Q1091" s="68" t="s">
        <v>26059</v>
      </c>
      <c r="R1091" s="67"/>
      <c r="S1091" s="77"/>
      <c r="T1091" s="76"/>
      <c r="U1091" s="65"/>
      <c r="V1091" s="68"/>
      <c r="W1091" s="70"/>
      <c r="X1091" s="68"/>
      <c r="Y1091" s="70"/>
      <c r="Z1091" s="72"/>
    </row>
    <row r="1092" spans="1:26" ht="15.75" hidden="1" customHeight="1" x14ac:dyDescent="0.25">
      <c r="A1092" s="64">
        <v>3</v>
      </c>
      <c r="B1092" s="62">
        <v>71651935</v>
      </c>
      <c r="C1092" s="62" t="s">
        <v>25635</v>
      </c>
      <c r="D1092" s="62" t="s">
        <v>25480</v>
      </c>
      <c r="E1092" s="62" t="s">
        <v>25282</v>
      </c>
      <c r="F1092" s="62" t="s">
        <v>25028</v>
      </c>
      <c r="G1092" s="81" t="s">
        <v>19285</v>
      </c>
      <c r="H1092" s="63">
        <v>45744</v>
      </c>
      <c r="I1092" s="63">
        <v>45773</v>
      </c>
      <c r="J1092" s="62">
        <v>30</v>
      </c>
      <c r="K1092" s="62">
        <v>30</v>
      </c>
      <c r="L1092" s="62" t="s">
        <v>19262</v>
      </c>
      <c r="M1092" s="62" t="s">
        <v>19262</v>
      </c>
      <c r="N1092" s="62" t="s">
        <v>19269</v>
      </c>
      <c r="O1092" s="62" t="s">
        <v>905</v>
      </c>
      <c r="P1092" s="42" t="str">
        <f>+IF(O1092="","",IFERROR(VLOOKUP(O1092,CODIGO_DIAGNOSTICO,2,0),"CÓDIGO NO ENCONTRADO"))</f>
        <v>TUMOR MALIGNO DEL RECTO</v>
      </c>
      <c r="Q1092" s="62"/>
      <c r="R1092" s="64"/>
      <c r="S1092" s="75"/>
      <c r="T1092" s="75"/>
      <c r="U1092" s="65"/>
      <c r="V1092" s="62"/>
      <c r="W1092" s="65"/>
      <c r="X1092" s="62"/>
      <c r="Y1092" s="65"/>
      <c r="Z1092" s="73"/>
    </row>
    <row r="1093" spans="1:26" ht="15.75" hidden="1" customHeight="1" x14ac:dyDescent="0.25">
      <c r="A1093" s="67">
        <v>3</v>
      </c>
      <c r="B1093" s="68">
        <v>1035421360</v>
      </c>
      <c r="C1093" s="68" t="s">
        <v>25435</v>
      </c>
      <c r="D1093" s="68" t="s">
        <v>25436</v>
      </c>
      <c r="E1093" s="68" t="s">
        <v>25437</v>
      </c>
      <c r="F1093" s="68" t="s">
        <v>25438</v>
      </c>
      <c r="G1093" s="81" t="s">
        <v>19285</v>
      </c>
      <c r="H1093" s="69">
        <v>45745</v>
      </c>
      <c r="I1093" s="69">
        <v>45749</v>
      </c>
      <c r="J1093" s="68">
        <v>5</v>
      </c>
      <c r="K1093" s="68">
        <v>5</v>
      </c>
      <c r="L1093" s="68" t="s">
        <v>24995</v>
      </c>
      <c r="M1093" s="68" t="s">
        <v>24995</v>
      </c>
      <c r="N1093" s="62" t="s">
        <v>19269</v>
      </c>
      <c r="O1093" s="68" t="s">
        <v>5219</v>
      </c>
      <c r="P1093" s="42" t="str">
        <f>+IF(O1093="","",IFERROR(VLOOKUP(O1093,CODIGO_DIAGNOSTICO,2,0),"CÓDIGO NO ENCONTRADO"))</f>
        <v>CALCULO URINARIO, NO ESPECIFICADO</v>
      </c>
      <c r="Q1093" s="68" t="s">
        <v>26339</v>
      </c>
      <c r="R1093" s="67"/>
      <c r="S1093" s="77"/>
      <c r="T1093" s="76"/>
      <c r="U1093" s="65"/>
      <c r="V1093" s="68"/>
      <c r="W1093" s="70"/>
      <c r="X1093" s="68"/>
      <c r="Y1093" s="70"/>
      <c r="Z1093" s="72"/>
    </row>
    <row r="1094" spans="1:26" ht="15.75" hidden="1" customHeight="1" x14ac:dyDescent="0.25">
      <c r="A1094" s="64">
        <v>3</v>
      </c>
      <c r="B1094" s="62">
        <v>7277314</v>
      </c>
      <c r="C1094" s="62" t="s">
        <v>26420</v>
      </c>
      <c r="D1094" s="62" t="s">
        <v>25279</v>
      </c>
      <c r="E1094" s="62" t="s">
        <v>25188</v>
      </c>
      <c r="F1094" s="62" t="s">
        <v>25739</v>
      </c>
      <c r="G1094" s="81" t="s">
        <v>19285</v>
      </c>
      <c r="H1094" s="63">
        <v>45746</v>
      </c>
      <c r="I1094" s="63">
        <v>45749</v>
      </c>
      <c r="J1094" s="62">
        <v>4</v>
      </c>
      <c r="K1094" s="62">
        <v>4</v>
      </c>
      <c r="L1094" s="62" t="s">
        <v>24995</v>
      </c>
      <c r="M1094" s="62" t="s">
        <v>24995</v>
      </c>
      <c r="N1094" s="62" t="s">
        <v>19263</v>
      </c>
      <c r="O1094" s="62" t="s">
        <v>7713</v>
      </c>
      <c r="P1094" s="42" t="str">
        <f>+IF(O1094="","",IFERROR(VLOOKUP(O1094,CODIGO_DIAGNOSTICO,2,0),"CÓDIGO NO ENCONTRADO"))</f>
        <v>CONTUSION DE LA RODILLA</v>
      </c>
      <c r="Q1094" s="62" t="s">
        <v>25001</v>
      </c>
      <c r="R1094" s="64"/>
      <c r="S1094" s="75"/>
      <c r="T1094" s="75"/>
      <c r="U1094" s="65"/>
      <c r="V1094" s="62"/>
      <c r="W1094" s="65"/>
      <c r="X1094" s="62"/>
      <c r="Y1094" s="65"/>
      <c r="Z1094" s="73"/>
    </row>
    <row r="1095" spans="1:26" ht="15.75" hidden="1" customHeight="1" x14ac:dyDescent="0.25">
      <c r="A1095" s="67">
        <v>3</v>
      </c>
      <c r="B1095" s="68">
        <v>71382103</v>
      </c>
      <c r="C1095" s="68" t="s">
        <v>25776</v>
      </c>
      <c r="D1095" s="68" t="s">
        <v>25968</v>
      </c>
      <c r="E1095" s="68" t="s">
        <v>25116</v>
      </c>
      <c r="F1095" s="68" t="s">
        <v>26027</v>
      </c>
      <c r="G1095" s="81" t="s">
        <v>19285</v>
      </c>
      <c r="H1095" s="69">
        <v>45746</v>
      </c>
      <c r="I1095" s="69">
        <v>45755</v>
      </c>
      <c r="J1095" s="68">
        <v>10</v>
      </c>
      <c r="K1095" s="68">
        <v>10</v>
      </c>
      <c r="L1095" s="68" t="s">
        <v>19262</v>
      </c>
      <c r="M1095" s="68" t="s">
        <v>19262</v>
      </c>
      <c r="N1095" s="62" t="s">
        <v>19269</v>
      </c>
      <c r="O1095" s="68" t="s">
        <v>4671</v>
      </c>
      <c r="P1095" s="42" t="str">
        <f>+IF(O1095="","",IFERROR(VLOOKUP(O1095,CODIGO_DIAGNOSTICO,2,0),"CÓDIGO NO ENCONTRADO"))</f>
        <v>DEFORMIDAD EN VARO, NO CLASIFICADA EN OTRA</v>
      </c>
      <c r="Q1095" s="68"/>
      <c r="R1095" s="67"/>
      <c r="S1095" s="77"/>
      <c r="T1095" s="76"/>
      <c r="U1095" s="65"/>
      <c r="V1095" s="68"/>
      <c r="W1095" s="70"/>
      <c r="X1095" s="68"/>
      <c r="Y1095" s="70"/>
      <c r="Z1095" s="72"/>
    </row>
    <row r="1096" spans="1:26" ht="15.75" hidden="1" customHeight="1" x14ac:dyDescent="0.25">
      <c r="A1096" s="64">
        <v>3</v>
      </c>
      <c r="B1096" s="62">
        <v>71692130</v>
      </c>
      <c r="C1096" s="62" t="s">
        <v>25561</v>
      </c>
      <c r="D1096" s="62" t="s">
        <v>26416</v>
      </c>
      <c r="E1096" s="62" t="s">
        <v>25455</v>
      </c>
      <c r="F1096" s="62" t="s">
        <v>25213</v>
      </c>
      <c r="G1096" s="81" t="s">
        <v>19285</v>
      </c>
      <c r="H1096" s="63">
        <v>45747</v>
      </c>
      <c r="I1096" s="63">
        <v>45753</v>
      </c>
      <c r="J1096" s="62">
        <v>7</v>
      </c>
      <c r="K1096" s="62">
        <v>7</v>
      </c>
      <c r="L1096" s="62" t="s">
        <v>24995</v>
      </c>
      <c r="M1096" s="62" t="s">
        <v>24995</v>
      </c>
      <c r="N1096" s="62" t="s">
        <v>19269</v>
      </c>
      <c r="O1096" s="62" t="s">
        <v>7736</v>
      </c>
      <c r="P1096" s="42" t="str">
        <f>+IF(O1096="","",IFERROR(VLOOKUP(O1096,CODIGO_DIAGNOSTICO,2,0),"CÓDIGO NO ENCONTRADO"))</f>
        <v>ESGUINCES Y TORCEDURAS QUE COMPROMETEN LOS LIGAMENTOS LATERALES (EXTERNO) (INTERNO) DE LA RODILLA</v>
      </c>
      <c r="Q1096" s="62" t="s">
        <v>26059</v>
      </c>
      <c r="R1096" s="64"/>
      <c r="S1096" s="75"/>
      <c r="T1096" s="75"/>
      <c r="U1096" s="65"/>
      <c r="V1096" s="62"/>
      <c r="W1096" s="65"/>
      <c r="X1096" s="62"/>
      <c r="Y1096" s="65"/>
      <c r="Z1096" s="73"/>
    </row>
    <row r="1097" spans="1:26" ht="15.75" hidden="1" customHeight="1" x14ac:dyDescent="0.25">
      <c r="A1097" s="67">
        <v>3</v>
      </c>
      <c r="B1097" s="68">
        <v>8056876</v>
      </c>
      <c r="C1097" s="68" t="s">
        <v>25314</v>
      </c>
      <c r="D1097" s="68" t="s">
        <v>25254</v>
      </c>
      <c r="E1097" s="68" t="s">
        <v>25039</v>
      </c>
      <c r="F1097" s="68" t="s">
        <v>25040</v>
      </c>
      <c r="G1097" s="81" t="s">
        <v>19285</v>
      </c>
      <c r="H1097" s="69">
        <v>45747</v>
      </c>
      <c r="I1097" s="69">
        <v>45776</v>
      </c>
      <c r="J1097" s="68">
        <v>30</v>
      </c>
      <c r="K1097" s="68">
        <v>30</v>
      </c>
      <c r="L1097" s="68" t="s">
        <v>19262</v>
      </c>
      <c r="M1097" s="68" t="s">
        <v>19262</v>
      </c>
      <c r="N1097" s="62" t="s">
        <v>19269</v>
      </c>
      <c r="O1097" s="68" t="s">
        <v>7238</v>
      </c>
      <c r="P1097" s="42" t="str">
        <f>+IF(O1097="","",IFERROR(VLOOKUP(O1097,CODIGO_DIAGNOSTICO,2,0),"CÓDIGO NO ENCONTRADO"))</f>
        <v>TRAUMATISMO SUPERFICIAL DE LA CABEZA, PARTE NO ESPECIFICADA</v>
      </c>
      <c r="Q1097" s="68" t="s">
        <v>19288</v>
      </c>
      <c r="R1097" s="67"/>
      <c r="S1097" s="77"/>
      <c r="T1097" s="76"/>
      <c r="U1097" s="65"/>
      <c r="V1097" s="68"/>
      <c r="W1097" s="70"/>
      <c r="X1097" s="68"/>
      <c r="Y1097" s="70"/>
      <c r="Z1097" s="72"/>
    </row>
    <row r="1098" spans="1:26" ht="15.75" hidden="1" customHeight="1" x14ac:dyDescent="0.25">
      <c r="A1098" s="64">
        <v>3</v>
      </c>
      <c r="B1098" s="62">
        <v>15459418</v>
      </c>
      <c r="C1098" s="62" t="s">
        <v>25338</v>
      </c>
      <c r="D1098" s="62" t="s">
        <v>26302</v>
      </c>
      <c r="E1098" s="62" t="s">
        <v>25282</v>
      </c>
      <c r="F1098" s="62" t="s">
        <v>25640</v>
      </c>
      <c r="G1098" s="81" t="s">
        <v>19285</v>
      </c>
      <c r="H1098" s="63">
        <v>45747</v>
      </c>
      <c r="I1098" s="63">
        <v>45761</v>
      </c>
      <c r="J1098" s="62">
        <v>15</v>
      </c>
      <c r="K1098" s="62">
        <v>15</v>
      </c>
      <c r="L1098" s="62" t="s">
        <v>24995</v>
      </c>
      <c r="M1098" s="62" t="s">
        <v>24995</v>
      </c>
      <c r="N1098" s="62" t="s">
        <v>19269</v>
      </c>
      <c r="O1098" s="62" t="s">
        <v>2850</v>
      </c>
      <c r="P1098" s="42" t="str">
        <f>+IF(O1098="","",IFERROR(VLOOKUP(O1098,CODIGO_DIAGNOSTICO,2,0),"CÓDIGO NO ENCONTRADO"))</f>
        <v>PTERIGION</v>
      </c>
      <c r="Q1098" s="62" t="s">
        <v>26059</v>
      </c>
      <c r="R1098" s="64"/>
      <c r="S1098" s="75"/>
      <c r="T1098" s="75"/>
      <c r="U1098" s="65"/>
      <c r="V1098" s="62"/>
      <c r="W1098" s="65"/>
      <c r="X1098" s="62"/>
      <c r="Y1098" s="65"/>
      <c r="Z1098" s="73"/>
    </row>
    <row r="1099" spans="1:26" ht="15.75" hidden="1" customHeight="1" x14ac:dyDescent="0.25">
      <c r="A1099" s="67">
        <v>4</v>
      </c>
      <c r="B1099" s="68">
        <v>70501443</v>
      </c>
      <c r="C1099" s="68" t="s">
        <v>25314</v>
      </c>
      <c r="D1099" s="68" t="s">
        <v>25105</v>
      </c>
      <c r="E1099" s="68" t="s">
        <v>25057</v>
      </c>
      <c r="F1099" s="68" t="s">
        <v>26421</v>
      </c>
      <c r="G1099" s="81" t="s">
        <v>25768</v>
      </c>
      <c r="H1099" s="69">
        <v>45748</v>
      </c>
      <c r="I1099" s="69">
        <v>45755</v>
      </c>
      <c r="J1099" s="68">
        <v>8</v>
      </c>
      <c r="K1099" s="68">
        <v>8</v>
      </c>
      <c r="L1099" s="68" t="s">
        <v>24995</v>
      </c>
      <c r="M1099" s="68" t="s">
        <v>24995</v>
      </c>
      <c r="N1099" s="62" t="s">
        <v>19269</v>
      </c>
      <c r="O1099" s="68" t="s">
        <v>1142</v>
      </c>
      <c r="P1099" s="42" t="str">
        <f>+IF(O1099="","",IFERROR(VLOOKUP(O1099,CODIGO_DIAGNOSTICO,2,0),"CÓDIGO NO ENCONTRADO"))</f>
        <v>TUMOR MALIGNO DE LA CABEZA, CARA Y CUELLO</v>
      </c>
      <c r="Q1099" s="68" t="s">
        <v>26059</v>
      </c>
      <c r="R1099" s="67"/>
      <c r="S1099" s="77"/>
      <c r="T1099" s="76"/>
      <c r="U1099" s="65"/>
      <c r="V1099" s="68"/>
      <c r="W1099" s="70"/>
      <c r="X1099" s="68"/>
      <c r="Y1099" s="70"/>
      <c r="Z1099" s="72"/>
    </row>
    <row r="1100" spans="1:26" ht="15.75" hidden="1" customHeight="1" x14ac:dyDescent="0.25">
      <c r="A1100" s="64">
        <v>4</v>
      </c>
      <c r="B1100" s="62">
        <v>71704175</v>
      </c>
      <c r="C1100" s="62" t="s">
        <v>26089</v>
      </c>
      <c r="D1100" s="62" t="s">
        <v>25751</v>
      </c>
      <c r="E1100" s="62" t="s">
        <v>25358</v>
      </c>
      <c r="F1100" s="62" t="s">
        <v>25196</v>
      </c>
      <c r="G1100" s="81" t="s">
        <v>19285</v>
      </c>
      <c r="H1100" s="63">
        <v>45748</v>
      </c>
      <c r="I1100" s="63">
        <v>45750</v>
      </c>
      <c r="J1100" s="62">
        <v>3</v>
      </c>
      <c r="K1100" s="62">
        <v>3</v>
      </c>
      <c r="L1100" s="62" t="s">
        <v>24995</v>
      </c>
      <c r="M1100" s="62" t="s">
        <v>24995</v>
      </c>
      <c r="N1100" s="62" t="s">
        <v>19269</v>
      </c>
      <c r="O1100" s="62" t="s">
        <v>4220</v>
      </c>
      <c r="P1100" s="42" t="str">
        <f>+IF(O1100="","",IFERROR(VLOOKUP(O1100,CODIGO_DIAGNOSTICO,2,0),"CÓDIGO NO ENCONTRADO"))</f>
        <v>CELULITIS DE OTROS SITIOS</v>
      </c>
      <c r="Q1100" s="62" t="s">
        <v>26059</v>
      </c>
      <c r="R1100" s="64"/>
      <c r="S1100" s="75"/>
      <c r="T1100" s="75"/>
      <c r="U1100" s="65"/>
      <c r="V1100" s="62"/>
      <c r="W1100" s="65"/>
      <c r="X1100" s="62"/>
      <c r="Y1100" s="65"/>
      <c r="Z1100" s="73"/>
    </row>
    <row r="1101" spans="1:26" ht="15.75" hidden="1" customHeight="1" x14ac:dyDescent="0.25">
      <c r="A1101" s="67">
        <v>4</v>
      </c>
      <c r="B1101" s="68">
        <v>1152705094</v>
      </c>
      <c r="C1101" s="68" t="s">
        <v>25411</v>
      </c>
      <c r="D1101" s="68" t="s">
        <v>25443</v>
      </c>
      <c r="E1101" s="68" t="s">
        <v>26206</v>
      </c>
      <c r="F1101" s="68"/>
      <c r="G1101" s="81" t="s">
        <v>26241</v>
      </c>
      <c r="H1101" s="69">
        <v>45749</v>
      </c>
      <c r="I1101" s="69">
        <v>45749</v>
      </c>
      <c r="J1101" s="68">
        <v>1</v>
      </c>
      <c r="K1101" s="68">
        <v>1</v>
      </c>
      <c r="L1101" s="68" t="s">
        <v>24995</v>
      </c>
      <c r="M1101" s="68" t="s">
        <v>24995</v>
      </c>
      <c r="N1101" s="62" t="s">
        <v>19269</v>
      </c>
      <c r="O1101" s="68" t="s">
        <v>3698</v>
      </c>
      <c r="P1101" s="42" t="str">
        <f>+IF(O1101="","",IFERROR(VLOOKUP(O1101,CODIGO_DIAGNOSTICO,2,0),"CÓDIGO NO ENCONTRADO"))</f>
        <v>ESTADO ASMATICO</v>
      </c>
      <c r="Q1101" s="68" t="s">
        <v>26059</v>
      </c>
      <c r="R1101" s="67"/>
      <c r="S1101" s="77"/>
      <c r="T1101" s="76"/>
      <c r="U1101" s="65"/>
      <c r="V1101" s="68"/>
      <c r="W1101" s="70"/>
      <c r="X1101" s="68"/>
      <c r="Y1101" s="70"/>
      <c r="Z1101" s="72"/>
    </row>
    <row r="1102" spans="1:26" ht="15.75" hidden="1" customHeight="1" x14ac:dyDescent="0.25">
      <c r="A1102" s="64">
        <v>4</v>
      </c>
      <c r="B1102" s="62">
        <v>1001227607</v>
      </c>
      <c r="C1102" s="62" t="s">
        <v>25257</v>
      </c>
      <c r="D1102" s="62" t="s">
        <v>25052</v>
      </c>
      <c r="E1102" s="62" t="s">
        <v>26380</v>
      </c>
      <c r="F1102" s="62" t="s">
        <v>26381</v>
      </c>
      <c r="G1102" s="81" t="s">
        <v>19285</v>
      </c>
      <c r="H1102" s="63">
        <v>45751</v>
      </c>
      <c r="I1102" s="63">
        <v>45751</v>
      </c>
      <c r="J1102" s="62">
        <v>1</v>
      </c>
      <c r="K1102" s="62">
        <v>1</v>
      </c>
      <c r="L1102" s="62" t="s">
        <v>24995</v>
      </c>
      <c r="M1102" s="62" t="s">
        <v>24995</v>
      </c>
      <c r="N1102" s="62" t="s">
        <v>19269</v>
      </c>
      <c r="O1102" s="62" t="s">
        <v>4396</v>
      </c>
      <c r="P1102" s="42" t="str">
        <f>+IF(O1102="","",IFERROR(VLOOKUP(O1102,CODIGO_DIAGNOSTICO,2,0),"CÓDIGO NO ENCONTRADO"))</f>
        <v>UÑA ENCARNADA</v>
      </c>
      <c r="Q1102" s="62" t="s">
        <v>26059</v>
      </c>
      <c r="R1102" s="64"/>
      <c r="S1102" s="75"/>
      <c r="T1102" s="75"/>
      <c r="U1102" s="65"/>
      <c r="V1102" s="62"/>
      <c r="W1102" s="65"/>
      <c r="X1102" s="62"/>
      <c r="Y1102" s="65"/>
      <c r="Z1102" s="73"/>
    </row>
    <row r="1103" spans="1:26" ht="15.75" hidden="1" customHeight="1" x14ac:dyDescent="0.25">
      <c r="A1103" s="67">
        <v>4</v>
      </c>
      <c r="B1103" s="68">
        <v>15259158</v>
      </c>
      <c r="C1103" s="68" t="s">
        <v>25702</v>
      </c>
      <c r="D1103" s="68" t="s">
        <v>25015</v>
      </c>
      <c r="E1103" s="68" t="s">
        <v>25203</v>
      </c>
      <c r="F1103" s="68" t="s">
        <v>25005</v>
      </c>
      <c r="G1103" s="81" t="s">
        <v>19285</v>
      </c>
      <c r="H1103" s="69">
        <v>45751</v>
      </c>
      <c r="I1103" s="69">
        <v>45753</v>
      </c>
      <c r="J1103" s="68">
        <v>3</v>
      </c>
      <c r="K1103" s="68">
        <v>3</v>
      </c>
      <c r="L1103" s="68" t="s">
        <v>24995</v>
      </c>
      <c r="M1103" s="68" t="s">
        <v>24995</v>
      </c>
      <c r="N1103" s="62" t="s">
        <v>19269</v>
      </c>
      <c r="O1103" s="68" t="s">
        <v>4532</v>
      </c>
      <c r="P1103" s="42" t="str">
        <f>+IF(O1103="","",IFERROR(VLOOKUP(O1103,CODIGO_DIAGNOSTICO,2,0),"CÓDIGO NO ENCONTRADO"))</f>
        <v>ULCERA DEL MIEMBRO INFERIOR, NO CLASIFICADA EN OTRA PARTE</v>
      </c>
      <c r="Q1103" s="68" t="s">
        <v>26152</v>
      </c>
      <c r="R1103" s="67"/>
      <c r="S1103" s="77"/>
      <c r="T1103" s="76"/>
      <c r="U1103" s="65"/>
      <c r="V1103" s="68"/>
      <c r="W1103" s="70"/>
      <c r="X1103" s="68"/>
      <c r="Y1103" s="70"/>
      <c r="Z1103" s="72"/>
    </row>
    <row r="1104" spans="1:26" ht="15.75" hidden="1" customHeight="1" x14ac:dyDescent="0.25">
      <c r="A1104" s="64">
        <v>4</v>
      </c>
      <c r="B1104" s="62">
        <v>15305525</v>
      </c>
      <c r="C1104" s="62" t="s">
        <v>26417</v>
      </c>
      <c r="D1104" s="62" t="s">
        <v>25026</v>
      </c>
      <c r="E1104" s="62" t="s">
        <v>26418</v>
      </c>
      <c r="F1104" s="62" t="s">
        <v>25103</v>
      </c>
      <c r="G1104" s="81" t="s">
        <v>19285</v>
      </c>
      <c r="H1104" s="63">
        <v>45755</v>
      </c>
      <c r="I1104" s="63">
        <v>45762</v>
      </c>
      <c r="J1104" s="62">
        <v>8</v>
      </c>
      <c r="K1104" s="62">
        <v>8</v>
      </c>
      <c r="L1104" s="62" t="s">
        <v>19262</v>
      </c>
      <c r="M1104" s="62" t="s">
        <v>24995</v>
      </c>
      <c r="N1104" s="62" t="s">
        <v>19269</v>
      </c>
      <c r="O1104" s="62" t="s">
        <v>3985</v>
      </c>
      <c r="P1104" s="42" t="str">
        <f>+IF(O1104="","",IFERROR(VLOOKUP(O1104,CODIGO_DIAGNOSTICO,2,0),"CÓDIGO NO ENCONTRADO"))</f>
        <v>HERNIA INGUINAL BILATERAL, SIN OBSTRUCCION NI GANGRENA</v>
      </c>
      <c r="Q1104" s="62" t="s">
        <v>26059</v>
      </c>
      <c r="R1104" s="64"/>
      <c r="S1104" s="75"/>
      <c r="T1104" s="75"/>
      <c r="U1104" s="65"/>
      <c r="V1104" s="62"/>
      <c r="W1104" s="65"/>
      <c r="X1104" s="62"/>
      <c r="Y1104" s="65"/>
      <c r="Z1104" s="73"/>
    </row>
    <row r="1105" spans="1:26" ht="15.75" hidden="1" customHeight="1" x14ac:dyDescent="0.25">
      <c r="A1105" s="67">
        <v>4</v>
      </c>
      <c r="B1105" s="68">
        <v>1000397898</v>
      </c>
      <c r="C1105" s="68" t="s">
        <v>25420</v>
      </c>
      <c r="D1105" s="68" t="s">
        <v>26351</v>
      </c>
      <c r="E1105" s="68" t="s">
        <v>26425</v>
      </c>
      <c r="F1105" s="68" t="s">
        <v>25566</v>
      </c>
      <c r="G1105" s="81" t="s">
        <v>26241</v>
      </c>
      <c r="H1105" s="69">
        <v>45755</v>
      </c>
      <c r="I1105" s="69">
        <v>45756</v>
      </c>
      <c r="J1105" s="68">
        <v>2</v>
      </c>
      <c r="K1105" s="68">
        <v>2</v>
      </c>
      <c r="L1105" s="68" t="s">
        <v>24995</v>
      </c>
      <c r="M1105" s="68" t="s">
        <v>24995</v>
      </c>
      <c r="N1105" s="62" t="s">
        <v>19269</v>
      </c>
      <c r="O1105" s="68" t="s">
        <v>3575</v>
      </c>
      <c r="P1105" s="42" t="str">
        <f>+IF(O1105="","",IFERROR(VLOOKUP(O1105,CODIGO_DIAGNOSTICO,2,0),"CÓDIGO NO ENCONTRADO"))</f>
        <v>AMIGDALITIS AGUDA, NO ESPECIFICADA</v>
      </c>
      <c r="Q1105" s="68" t="s">
        <v>26060</v>
      </c>
      <c r="R1105" s="67"/>
      <c r="S1105" s="77"/>
      <c r="T1105" s="76"/>
      <c r="U1105" s="65"/>
      <c r="V1105" s="68"/>
      <c r="W1105" s="70"/>
      <c r="X1105" s="68"/>
      <c r="Y1105" s="70"/>
      <c r="Z1105" s="72"/>
    </row>
    <row r="1106" spans="1:26" ht="15.75" hidden="1" customHeight="1" x14ac:dyDescent="0.25">
      <c r="A1106" s="64">
        <v>4</v>
      </c>
      <c r="B1106" s="62">
        <v>1003435905</v>
      </c>
      <c r="C1106" s="62" t="s">
        <v>26424</v>
      </c>
      <c r="D1106" s="62" t="s">
        <v>25118</v>
      </c>
      <c r="E1106" s="62" t="s">
        <v>25048</v>
      </c>
      <c r="F1106" s="62"/>
      <c r="G1106" s="81" t="s">
        <v>19285</v>
      </c>
      <c r="H1106" s="63">
        <v>45756</v>
      </c>
      <c r="I1106" s="63">
        <v>45757</v>
      </c>
      <c r="J1106" s="62">
        <v>2</v>
      </c>
      <c r="K1106" s="62">
        <v>2</v>
      </c>
      <c r="L1106" s="62" t="s">
        <v>24995</v>
      </c>
      <c r="M1106" s="62" t="s">
        <v>24995</v>
      </c>
      <c r="N1106" s="62" t="s">
        <v>19269</v>
      </c>
      <c r="O1106" s="62" t="s">
        <v>15281</v>
      </c>
      <c r="P1106" s="42" t="str">
        <f>+IF(O1106="","",IFERROR(VLOOKUP(O1106,CODIGO_DIAGNOSTICO,2,0),"CÓDIGO NO ENCONTRADO"))</f>
        <v>RINOFARINGITIS AGUDA (RESFRIADO COMUN)</v>
      </c>
      <c r="Q1106" s="62" t="s">
        <v>26059</v>
      </c>
      <c r="R1106" s="64"/>
      <c r="S1106" s="75"/>
      <c r="T1106" s="75"/>
      <c r="U1106" s="65"/>
      <c r="V1106" s="62"/>
      <c r="W1106" s="65"/>
      <c r="X1106" s="62"/>
      <c r="Y1106" s="65"/>
      <c r="Z1106" s="73"/>
    </row>
    <row r="1107" spans="1:26" ht="15.75" hidden="1" customHeight="1" x14ac:dyDescent="0.25">
      <c r="A1107" s="67">
        <v>4</v>
      </c>
      <c r="B1107" s="68">
        <v>71382103</v>
      </c>
      <c r="C1107" s="68" t="s">
        <v>25776</v>
      </c>
      <c r="D1107" s="68" t="s">
        <v>25968</v>
      </c>
      <c r="E1107" s="68" t="s">
        <v>25116</v>
      </c>
      <c r="F1107" s="68" t="s">
        <v>26027</v>
      </c>
      <c r="G1107" s="81" t="s">
        <v>19285</v>
      </c>
      <c r="H1107" s="69">
        <v>45756</v>
      </c>
      <c r="I1107" s="69">
        <v>45765</v>
      </c>
      <c r="J1107" s="68">
        <v>10</v>
      </c>
      <c r="K1107" s="68">
        <v>10</v>
      </c>
      <c r="L1107" s="68" t="s">
        <v>19262</v>
      </c>
      <c r="M1107" s="68" t="s">
        <v>19262</v>
      </c>
      <c r="N1107" s="62" t="s">
        <v>19269</v>
      </c>
      <c r="O1107" s="68" t="s">
        <v>4671</v>
      </c>
      <c r="P1107" s="42" t="str">
        <f>+IF(O1107="","",IFERROR(VLOOKUP(O1107,CODIGO_DIAGNOSTICO,2,0),"CÓDIGO NO ENCONTRADO"))</f>
        <v>DEFORMIDAD EN VARO, NO CLASIFICADA EN OTRA</v>
      </c>
      <c r="Q1107" s="68" t="s">
        <v>26343</v>
      </c>
      <c r="R1107" s="67"/>
      <c r="S1107" s="77"/>
      <c r="T1107" s="76"/>
      <c r="U1107" s="65"/>
      <c r="V1107" s="68"/>
      <c r="W1107" s="70"/>
      <c r="X1107" s="68"/>
      <c r="Y1107" s="70"/>
      <c r="Z1107" s="72"/>
    </row>
    <row r="1108" spans="1:26" ht="15.75" hidden="1" customHeight="1" x14ac:dyDescent="0.25">
      <c r="A1108" s="64">
        <v>4</v>
      </c>
      <c r="B1108" s="62">
        <v>1000633959</v>
      </c>
      <c r="C1108" s="62" t="s">
        <v>25219</v>
      </c>
      <c r="D1108" s="62" t="s">
        <v>25109</v>
      </c>
      <c r="E1108" s="62" t="s">
        <v>25010</v>
      </c>
      <c r="F1108" s="62" t="s">
        <v>25157</v>
      </c>
      <c r="G1108" s="81" t="s">
        <v>19285</v>
      </c>
      <c r="H1108" s="63">
        <v>45757</v>
      </c>
      <c r="I1108" s="63">
        <v>45758</v>
      </c>
      <c r="J1108" s="62">
        <v>2</v>
      </c>
      <c r="K1108" s="62">
        <v>2</v>
      </c>
      <c r="L1108" s="62" t="s">
        <v>24995</v>
      </c>
      <c r="M1108" s="62" t="s">
        <v>24995</v>
      </c>
      <c r="N1108" s="62" t="s">
        <v>19269</v>
      </c>
      <c r="O1108" s="62" t="s">
        <v>85</v>
      </c>
      <c r="P1108" s="42" t="str">
        <f>+IF(O1108="","",IFERROR(VLOOKUP(O1108,CODIGO_DIAGNOSTICO,2,0),"CÓDIGO NO ENCONTRADO"))</f>
        <v>OTRAS ENTERITIS VIRALES</v>
      </c>
      <c r="Q1108" s="62" t="s">
        <v>19232</v>
      </c>
      <c r="R1108" s="64"/>
      <c r="S1108" s="75"/>
      <c r="T1108" s="75"/>
      <c r="U1108" s="65"/>
      <c r="V1108" s="62"/>
      <c r="W1108" s="65"/>
      <c r="X1108" s="62"/>
      <c r="Y1108" s="65"/>
      <c r="Z1108" s="73"/>
    </row>
    <row r="1109" spans="1:26" ht="15.75" hidden="1" customHeight="1" x14ac:dyDescent="0.25">
      <c r="A1109" s="67">
        <v>4</v>
      </c>
      <c r="B1109" s="68">
        <v>98470793</v>
      </c>
      <c r="C1109" s="68" t="s">
        <v>25314</v>
      </c>
      <c r="D1109" s="68" t="s">
        <v>25421</v>
      </c>
      <c r="E1109" s="68" t="s">
        <v>25028</v>
      </c>
      <c r="F1109" s="68" t="s">
        <v>25213</v>
      </c>
      <c r="G1109" s="81" t="s">
        <v>19285</v>
      </c>
      <c r="H1109" s="69">
        <v>45757</v>
      </c>
      <c r="I1109" s="69">
        <v>45763</v>
      </c>
      <c r="J1109" s="68">
        <v>7</v>
      </c>
      <c r="K1109" s="68">
        <v>7</v>
      </c>
      <c r="L1109" s="68" t="s">
        <v>24995</v>
      </c>
      <c r="M1109" s="68" t="s">
        <v>24995</v>
      </c>
      <c r="N1109" s="62" t="s">
        <v>19269</v>
      </c>
      <c r="O1109" s="68" t="s">
        <v>7713</v>
      </c>
      <c r="P1109" s="42" t="str">
        <f>+IF(O1109="","",IFERROR(VLOOKUP(O1109,CODIGO_DIAGNOSTICO,2,0),"CÓDIGO NO ENCONTRADO"))</f>
        <v>CONTUSION DE LA RODILLA</v>
      </c>
      <c r="Q1109" s="68" t="s">
        <v>24996</v>
      </c>
      <c r="R1109" s="67"/>
      <c r="S1109" s="77"/>
      <c r="T1109" s="76"/>
      <c r="U1109" s="65"/>
      <c r="V1109" s="68"/>
      <c r="W1109" s="70"/>
      <c r="X1109" s="68"/>
      <c r="Y1109" s="70"/>
      <c r="Z1109" s="72"/>
    </row>
    <row r="1110" spans="1:26" ht="15.75" hidden="1" customHeight="1" x14ac:dyDescent="0.25">
      <c r="A1110" s="64">
        <v>4</v>
      </c>
      <c r="B1110" s="62">
        <v>71762684</v>
      </c>
      <c r="C1110" s="62" t="s">
        <v>25105</v>
      </c>
      <c r="D1110" s="62" t="s">
        <v>25733</v>
      </c>
      <c r="E1110" s="62" t="s">
        <v>25405</v>
      </c>
      <c r="F1110" s="62" t="s">
        <v>25051</v>
      </c>
      <c r="G1110" s="81" t="s">
        <v>19285</v>
      </c>
      <c r="H1110" s="63">
        <v>45757</v>
      </c>
      <c r="I1110" s="63">
        <v>45758</v>
      </c>
      <c r="J1110" s="62">
        <v>2</v>
      </c>
      <c r="K1110" s="62">
        <v>2</v>
      </c>
      <c r="L1110" s="62" t="s">
        <v>24995</v>
      </c>
      <c r="M1110" s="62" t="s">
        <v>24995</v>
      </c>
      <c r="N1110" s="62" t="s">
        <v>19269</v>
      </c>
      <c r="O1110" s="62" t="s">
        <v>1962</v>
      </c>
      <c r="P1110" s="42" t="str">
        <f>+IF(O1110="","",IFERROR(VLOOKUP(O1110,CODIGO_DIAGNOSTICO,2,0),"CÓDIGO NO ENCONTRADO"))</f>
        <v>TRASTORNOS DEL METABOLISMO DE LOS ACIDOS GRASOS</v>
      </c>
      <c r="Q1110" s="62" t="s">
        <v>26059</v>
      </c>
      <c r="R1110" s="64"/>
      <c r="S1110" s="75"/>
      <c r="T1110" s="75"/>
      <c r="U1110" s="65"/>
      <c r="V1110" s="62"/>
      <c r="W1110" s="65"/>
      <c r="X1110" s="62"/>
      <c r="Y1110" s="65"/>
      <c r="Z1110" s="73"/>
    </row>
    <row r="1111" spans="1:26" ht="15.75" hidden="1" customHeight="1" x14ac:dyDescent="0.25">
      <c r="A1111" s="67">
        <v>4</v>
      </c>
      <c r="B1111" s="68">
        <v>71753184</v>
      </c>
      <c r="C1111" s="68" t="s">
        <v>25030</v>
      </c>
      <c r="D1111" s="68" t="s">
        <v>25498</v>
      </c>
      <c r="E1111" s="68" t="s">
        <v>25282</v>
      </c>
      <c r="F1111" s="68" t="s">
        <v>25157</v>
      </c>
      <c r="G1111" s="81" t="s">
        <v>19285</v>
      </c>
      <c r="H1111" s="69">
        <v>45757</v>
      </c>
      <c r="I1111" s="69">
        <v>45758</v>
      </c>
      <c r="J1111" s="68">
        <v>2</v>
      </c>
      <c r="K1111" s="68">
        <v>2</v>
      </c>
      <c r="L1111" s="68" t="s">
        <v>24995</v>
      </c>
      <c r="M1111" s="68" t="s">
        <v>24995</v>
      </c>
      <c r="N1111" s="62" t="s">
        <v>19269</v>
      </c>
      <c r="O1111" s="68" t="s">
        <v>85</v>
      </c>
      <c r="P1111" s="42" t="str">
        <f>+IF(O1111="","",IFERROR(VLOOKUP(O1111,CODIGO_DIAGNOSTICO,2,0),"CÓDIGO NO ENCONTRADO"))</f>
        <v>OTRAS ENTERITIS VIRALES</v>
      </c>
      <c r="Q1111" s="68" t="s">
        <v>26059</v>
      </c>
      <c r="R1111" s="67"/>
      <c r="S1111" s="77"/>
      <c r="T1111" s="76"/>
      <c r="U1111" s="65"/>
      <c r="V1111" s="68"/>
      <c r="W1111" s="70"/>
      <c r="X1111" s="68"/>
      <c r="Y1111" s="70"/>
      <c r="Z1111" s="72"/>
    </row>
    <row r="1112" spans="1:26" ht="15.75" hidden="1" customHeight="1" x14ac:dyDescent="0.25">
      <c r="A1112" s="64">
        <v>4</v>
      </c>
      <c r="B1112" s="62">
        <v>98601485</v>
      </c>
      <c r="C1112" s="62" t="s">
        <v>25240</v>
      </c>
      <c r="D1112" s="62"/>
      <c r="E1112" s="62" t="s">
        <v>25241</v>
      </c>
      <c r="F1112" s="62" t="s">
        <v>25103</v>
      </c>
      <c r="G1112" s="81" t="s">
        <v>19285</v>
      </c>
      <c r="H1112" s="63">
        <v>45758</v>
      </c>
      <c r="I1112" s="63">
        <v>45762</v>
      </c>
      <c r="J1112" s="62">
        <v>5</v>
      </c>
      <c r="K1112" s="62">
        <v>5</v>
      </c>
      <c r="L1112" s="62" t="s">
        <v>19262</v>
      </c>
      <c r="M1112" s="62" t="s">
        <v>19262</v>
      </c>
      <c r="N1112" s="62" t="s">
        <v>19269</v>
      </c>
      <c r="O1112" s="62" t="s">
        <v>6376</v>
      </c>
      <c r="P1112" s="42" t="str">
        <f>+IF(O1112="","",IFERROR(VLOOKUP(O1112,CODIGO_DIAGNOSTICO,2,0),"CÓDIGO NO ENCONTRADO"))</f>
        <v>OTRAS MALFORMACIONES DE LAS HENDIDURAS BRANQUIALES</v>
      </c>
      <c r="Q1112" s="62" t="s">
        <v>26059</v>
      </c>
      <c r="R1112" s="64"/>
      <c r="S1112" s="75"/>
      <c r="T1112" s="75"/>
      <c r="U1112" s="65"/>
      <c r="V1112" s="62"/>
      <c r="W1112" s="65"/>
      <c r="X1112" s="62"/>
      <c r="Y1112" s="65"/>
      <c r="Z1112" s="73"/>
    </row>
    <row r="1113" spans="1:26" ht="15.75" hidden="1" customHeight="1" x14ac:dyDescent="0.25">
      <c r="A1113" s="67">
        <v>4</v>
      </c>
      <c r="B1113" s="68">
        <v>77027311</v>
      </c>
      <c r="C1113" s="68" t="s">
        <v>25079</v>
      </c>
      <c r="D1113" s="68" t="s">
        <v>25212</v>
      </c>
      <c r="E1113" s="68" t="s">
        <v>25028</v>
      </c>
      <c r="F1113" s="68" t="s">
        <v>25213</v>
      </c>
      <c r="G1113" s="81" t="s">
        <v>19285</v>
      </c>
      <c r="H1113" s="69">
        <v>45761</v>
      </c>
      <c r="I1113" s="69">
        <v>45762</v>
      </c>
      <c r="J1113" s="68">
        <v>2</v>
      </c>
      <c r="K1113" s="68">
        <v>2</v>
      </c>
      <c r="L1113" s="68" t="s">
        <v>24995</v>
      </c>
      <c r="M1113" s="68" t="s">
        <v>24995</v>
      </c>
      <c r="N1113" s="62" t="s">
        <v>19269</v>
      </c>
      <c r="O1113" s="68" t="s">
        <v>4838</v>
      </c>
      <c r="P1113" s="42" t="str">
        <f>+IF(O1113="","",IFERROR(VLOOKUP(O1113,CODIGO_DIAGNOSTICO,2,0),"CÓDIGO NO ENCONTRADO"))</f>
        <v>LUMBAGO NO ESPECIFICADO</v>
      </c>
      <c r="Q1113" s="68" t="s">
        <v>19232</v>
      </c>
      <c r="R1113" s="67"/>
      <c r="S1113" s="77"/>
      <c r="T1113" s="76"/>
      <c r="U1113" s="65"/>
      <c r="V1113" s="68"/>
      <c r="W1113" s="70"/>
      <c r="X1113" s="68"/>
      <c r="Y1113" s="70"/>
      <c r="Z1113" s="72"/>
    </row>
    <row r="1114" spans="1:26" ht="15.75" hidden="1" customHeight="1" x14ac:dyDescent="0.25">
      <c r="A1114" s="64">
        <v>4</v>
      </c>
      <c r="B1114" s="62">
        <v>71382103</v>
      </c>
      <c r="C1114" s="62" t="s">
        <v>25776</v>
      </c>
      <c r="D1114" s="62" t="s">
        <v>25968</v>
      </c>
      <c r="E1114" s="62" t="s">
        <v>25116</v>
      </c>
      <c r="F1114" s="62" t="s">
        <v>26027</v>
      </c>
      <c r="G1114" s="81" t="s">
        <v>19285</v>
      </c>
      <c r="H1114" s="63">
        <v>45766</v>
      </c>
      <c r="I1114" s="63">
        <v>45775</v>
      </c>
      <c r="J1114" s="62">
        <v>10</v>
      </c>
      <c r="K1114" s="62">
        <v>10</v>
      </c>
      <c r="L1114" s="62" t="s">
        <v>19262</v>
      </c>
      <c r="M1114" s="62" t="s">
        <v>19262</v>
      </c>
      <c r="N1114" s="62" t="s">
        <v>19269</v>
      </c>
      <c r="O1114" s="62" t="s">
        <v>4671</v>
      </c>
      <c r="P1114" s="42" t="str">
        <f>+IF(O1114="","",IFERROR(VLOOKUP(O1114,CODIGO_DIAGNOSTICO,2,0),"CÓDIGO NO ENCONTRADO"))</f>
        <v>DEFORMIDAD EN VARO, NO CLASIFICADA EN OTRA</v>
      </c>
      <c r="Q1114" s="62" t="s">
        <v>26059</v>
      </c>
      <c r="R1114" s="64"/>
      <c r="S1114" s="75"/>
      <c r="T1114" s="75"/>
      <c r="U1114" s="65"/>
      <c r="V1114" s="62"/>
      <c r="W1114" s="65"/>
      <c r="X1114" s="62"/>
      <c r="Y1114" s="65"/>
      <c r="Z1114" s="73"/>
    </row>
    <row r="1115" spans="1:26" ht="15.75" hidden="1" customHeight="1" x14ac:dyDescent="0.25">
      <c r="A1115" s="67">
        <v>4</v>
      </c>
      <c r="B1115" s="68">
        <v>39189119</v>
      </c>
      <c r="C1115" s="68" t="s">
        <v>19258</v>
      </c>
      <c r="D1115" s="68" t="s">
        <v>26395</v>
      </c>
      <c r="E1115" s="68" t="s">
        <v>26396</v>
      </c>
      <c r="F1115" s="68" t="s">
        <v>25232</v>
      </c>
      <c r="G1115" s="81" t="s">
        <v>19285</v>
      </c>
      <c r="H1115" s="69">
        <v>45767</v>
      </c>
      <c r="I1115" s="69">
        <v>45767</v>
      </c>
      <c r="J1115" s="68">
        <v>1</v>
      </c>
      <c r="K1115" s="68">
        <v>1</v>
      </c>
      <c r="L1115" s="68" t="s">
        <v>24995</v>
      </c>
      <c r="M1115" s="68" t="s">
        <v>24995</v>
      </c>
      <c r="N1115" s="62" t="s">
        <v>19269</v>
      </c>
      <c r="O1115" s="68" t="s">
        <v>2593</v>
      </c>
      <c r="P1115" s="42" t="str">
        <f>+IF(O1115="","",IFERROR(VLOOKUP(O1115,CODIGO_DIAGNOSTICO,2,0),"CÓDIGO NO ENCONTRADO"))</f>
        <v>MIGRAÑA, NO ESPECIFICADA</v>
      </c>
      <c r="Q1115" s="68" t="s">
        <v>19230</v>
      </c>
      <c r="R1115" s="67"/>
      <c r="S1115" s="77"/>
      <c r="T1115" s="76"/>
      <c r="U1115" s="65"/>
      <c r="V1115" s="68"/>
      <c r="W1115" s="70"/>
      <c r="X1115" s="68"/>
      <c r="Y1115" s="70"/>
      <c r="Z1115" s="72"/>
    </row>
    <row r="1116" spans="1:26" ht="15.75" hidden="1" customHeight="1" x14ac:dyDescent="0.25">
      <c r="A1116" s="64">
        <v>4</v>
      </c>
      <c r="B1116" s="62">
        <v>12625299</v>
      </c>
      <c r="C1116" s="62" t="s">
        <v>25321</v>
      </c>
      <c r="D1116" s="62" t="s">
        <v>25322</v>
      </c>
      <c r="E1116" s="62" t="s">
        <v>25323</v>
      </c>
      <c r="F1116" s="62" t="s">
        <v>25057</v>
      </c>
      <c r="G1116" s="81" t="s">
        <v>19285</v>
      </c>
      <c r="H1116" s="63">
        <v>45767</v>
      </c>
      <c r="I1116" s="63">
        <v>45781</v>
      </c>
      <c r="J1116" s="62">
        <v>15</v>
      </c>
      <c r="K1116" s="62">
        <v>15</v>
      </c>
      <c r="L1116" s="62" t="s">
        <v>19262</v>
      </c>
      <c r="M1116" s="62" t="s">
        <v>19262</v>
      </c>
      <c r="N1116" s="62" t="s">
        <v>19269</v>
      </c>
      <c r="O1116" s="62" t="s">
        <v>4790</v>
      </c>
      <c r="P1116" s="42" t="str">
        <f>+IF(O1116="","",IFERROR(VLOOKUP(O1116,CODIGO_DIAGNOSTICO,2,0),"CÓDIGO NO ENCONTRADO"))</f>
        <v>DISCITIS, NO ESPECIFICADA</v>
      </c>
      <c r="Q1116" s="62" t="s">
        <v>19230</v>
      </c>
      <c r="R1116" s="64"/>
      <c r="S1116" s="75"/>
      <c r="T1116" s="75"/>
      <c r="U1116" s="65"/>
      <c r="V1116" s="62"/>
      <c r="W1116" s="65"/>
      <c r="X1116" s="62"/>
      <c r="Y1116" s="65"/>
      <c r="Z1116" s="73"/>
    </row>
    <row r="1117" spans="1:26" ht="15.75" hidden="1" customHeight="1" x14ac:dyDescent="0.25">
      <c r="A1117" s="67">
        <v>4</v>
      </c>
      <c r="B1117" s="68">
        <v>39189119</v>
      </c>
      <c r="C1117" s="68" t="s">
        <v>19258</v>
      </c>
      <c r="D1117" s="68" t="s">
        <v>26395</v>
      </c>
      <c r="E1117" s="68" t="s">
        <v>26396</v>
      </c>
      <c r="F1117" s="68" t="s">
        <v>25232</v>
      </c>
      <c r="G1117" s="81" t="s">
        <v>19285</v>
      </c>
      <c r="H1117" s="69">
        <v>45768</v>
      </c>
      <c r="I1117" s="69">
        <v>45769</v>
      </c>
      <c r="J1117" s="68">
        <v>2</v>
      </c>
      <c r="K1117" s="68">
        <v>2</v>
      </c>
      <c r="L1117" s="68" t="s">
        <v>19262</v>
      </c>
      <c r="M1117" s="68" t="s">
        <v>24995</v>
      </c>
      <c r="N1117" s="62" t="s">
        <v>19269</v>
      </c>
      <c r="O1117" s="68" t="s">
        <v>2593</v>
      </c>
      <c r="P1117" s="42" t="str">
        <f>+IF(O1117="","",IFERROR(VLOOKUP(O1117,CODIGO_DIAGNOSTICO,2,0),"CÓDIGO NO ENCONTRADO"))</f>
        <v>MIGRAÑA, NO ESPECIFICADA</v>
      </c>
      <c r="Q1117" s="68" t="s">
        <v>19230</v>
      </c>
      <c r="R1117" s="67"/>
      <c r="S1117" s="77"/>
      <c r="T1117" s="76"/>
      <c r="U1117" s="65"/>
      <c r="V1117" s="68"/>
      <c r="W1117" s="70"/>
      <c r="X1117" s="68"/>
      <c r="Y1117" s="70"/>
      <c r="Z1117" s="72"/>
    </row>
    <row r="1118" spans="1:26" ht="15.75" hidden="1" customHeight="1" x14ac:dyDescent="0.25">
      <c r="A1118" s="64">
        <v>4</v>
      </c>
      <c r="B1118" s="62">
        <v>1036933747</v>
      </c>
      <c r="C1118" s="62" t="s">
        <v>25094</v>
      </c>
      <c r="D1118" s="62" t="s">
        <v>25608</v>
      </c>
      <c r="E1118" s="62" t="s">
        <v>26426</v>
      </c>
      <c r="F1118" s="62" t="s">
        <v>25632</v>
      </c>
      <c r="G1118" s="81" t="s">
        <v>19285</v>
      </c>
      <c r="H1118" s="63">
        <v>45768</v>
      </c>
      <c r="I1118" s="63">
        <v>45779</v>
      </c>
      <c r="J1118" s="62">
        <v>12</v>
      </c>
      <c r="K1118" s="62">
        <v>12</v>
      </c>
      <c r="L1118" s="62" t="s">
        <v>24995</v>
      </c>
      <c r="M1118" s="62" t="s">
        <v>24995</v>
      </c>
      <c r="N1118" s="62" t="s">
        <v>19269</v>
      </c>
      <c r="O1118" s="62" t="s">
        <v>1182</v>
      </c>
      <c r="P1118" s="42" t="str">
        <f>+IF(O1118="","",IFERROR(VLOOKUP(O1118,CODIGO_DIAGNOSTICO,2,0),"CÓDIGO NO ENCONTRADO"))</f>
        <v>ENFERMEDAD DE HODGKIN, NO ESPECIFICADA</v>
      </c>
      <c r="Q1118" s="62" t="s">
        <v>26059</v>
      </c>
      <c r="R1118" s="64"/>
      <c r="S1118" s="75"/>
      <c r="T1118" s="75"/>
      <c r="U1118" s="65"/>
      <c r="V1118" s="62"/>
      <c r="W1118" s="65"/>
      <c r="X1118" s="62"/>
      <c r="Y1118" s="65"/>
      <c r="Z1118" s="73"/>
    </row>
    <row r="1119" spans="1:26" ht="15.75" hidden="1" customHeight="1" x14ac:dyDescent="0.25">
      <c r="A1119" s="67">
        <v>4</v>
      </c>
      <c r="B1119" s="68">
        <v>39189119</v>
      </c>
      <c r="C1119" s="68" t="s">
        <v>19258</v>
      </c>
      <c r="D1119" s="68" t="s">
        <v>26395</v>
      </c>
      <c r="E1119" s="68" t="s">
        <v>26396</v>
      </c>
      <c r="F1119" s="68" t="s">
        <v>25232</v>
      </c>
      <c r="G1119" s="81" t="s">
        <v>19285</v>
      </c>
      <c r="H1119" s="69">
        <v>45770</v>
      </c>
      <c r="I1119" s="69">
        <v>45771</v>
      </c>
      <c r="J1119" s="68">
        <v>2</v>
      </c>
      <c r="K1119" s="68">
        <v>2</v>
      </c>
      <c r="L1119" s="68" t="s">
        <v>19262</v>
      </c>
      <c r="M1119" s="68" t="s">
        <v>24995</v>
      </c>
      <c r="N1119" s="62" t="s">
        <v>19269</v>
      </c>
      <c r="O1119" s="68" t="s">
        <v>2591</v>
      </c>
      <c r="P1119" s="42" t="str">
        <f>+IF(O1119="","",IFERROR(VLOOKUP(O1119,CODIGO_DIAGNOSTICO,2,0),"CÓDIGO NO ENCONTRADO"))</f>
        <v>MIGRAÑA COMPLICADA</v>
      </c>
      <c r="Q1119" s="68" t="s">
        <v>26059</v>
      </c>
      <c r="R1119" s="67"/>
      <c r="S1119" s="77"/>
      <c r="T1119" s="76"/>
      <c r="U1119" s="65"/>
      <c r="V1119" s="68"/>
      <c r="W1119" s="70"/>
      <c r="X1119" s="68"/>
      <c r="Y1119" s="70"/>
      <c r="Z1119" s="72"/>
    </row>
    <row r="1120" spans="1:26" ht="15.75" hidden="1" customHeight="1" x14ac:dyDescent="0.25">
      <c r="A1120" s="64">
        <v>4</v>
      </c>
      <c r="B1120" s="62">
        <v>1017192273</v>
      </c>
      <c r="C1120" s="62" t="s">
        <v>25921</v>
      </c>
      <c r="D1120" s="62" t="s">
        <v>25459</v>
      </c>
      <c r="E1120" s="62" t="s">
        <v>25676</v>
      </c>
      <c r="F1120" s="62" t="s">
        <v>25648</v>
      </c>
      <c r="G1120" s="81" t="s">
        <v>19285</v>
      </c>
      <c r="H1120" s="63">
        <v>45771</v>
      </c>
      <c r="I1120" s="63">
        <v>45772</v>
      </c>
      <c r="J1120" s="62">
        <v>2</v>
      </c>
      <c r="K1120" s="62">
        <v>2</v>
      </c>
      <c r="L1120" s="62" t="s">
        <v>24995</v>
      </c>
      <c r="M1120" s="62" t="s">
        <v>24995</v>
      </c>
      <c r="N1120" s="62" t="s">
        <v>19269</v>
      </c>
      <c r="O1120" s="62" t="s">
        <v>86</v>
      </c>
      <c r="P1120" s="42" t="str">
        <f>+IF(O1120="","",IFERROR(VLOOKUP(O1120,CODIGO_DIAGNOSTICO,2,0),"CÓDIGO NO ENCONTRADO"))</f>
        <v>INFECCION INTESTINAL VIRAL, SIN OTRA ESPECIFICACION</v>
      </c>
      <c r="Q1120" s="62" t="s">
        <v>26059</v>
      </c>
      <c r="R1120" s="64"/>
      <c r="S1120" s="75"/>
      <c r="T1120" s="75"/>
      <c r="U1120" s="65"/>
      <c r="V1120" s="62"/>
      <c r="W1120" s="65"/>
      <c r="X1120" s="62"/>
      <c r="Y1120" s="65"/>
      <c r="Z1120" s="73"/>
    </row>
    <row r="1121" spans="1:26" ht="15.75" hidden="1" customHeight="1" x14ac:dyDescent="0.25">
      <c r="A1121" s="67">
        <v>4</v>
      </c>
      <c r="B1121" s="68">
        <v>71753184</v>
      </c>
      <c r="C1121" s="68" t="s">
        <v>25030</v>
      </c>
      <c r="D1121" s="68" t="s">
        <v>25498</v>
      </c>
      <c r="E1121" s="68" t="s">
        <v>25282</v>
      </c>
      <c r="F1121" s="68" t="s">
        <v>25157</v>
      </c>
      <c r="G1121" s="81" t="s">
        <v>19285</v>
      </c>
      <c r="H1121" s="69">
        <v>45771</v>
      </c>
      <c r="I1121" s="69">
        <v>45771</v>
      </c>
      <c r="J1121" s="68">
        <v>1</v>
      </c>
      <c r="K1121" s="68">
        <v>1</v>
      </c>
      <c r="L1121" s="68" t="s">
        <v>24995</v>
      </c>
      <c r="M1121" s="68" t="s">
        <v>24995</v>
      </c>
      <c r="N1121" s="62" t="s">
        <v>19269</v>
      </c>
      <c r="O1121" s="68" t="s">
        <v>4050</v>
      </c>
      <c r="P1121" s="42" t="str">
        <f>+IF(O1121="","",IFERROR(VLOOKUP(O1121,CODIGO_DIAGNOSTICO,2,0),"CÓDIGO NO ENCONTRADO"))</f>
        <v>CONSTIPACION</v>
      </c>
      <c r="Q1121" s="68" t="s">
        <v>26059</v>
      </c>
      <c r="R1121" s="67"/>
      <c r="S1121" s="77"/>
      <c r="T1121" s="76"/>
      <c r="U1121" s="65"/>
      <c r="V1121" s="68"/>
      <c r="W1121" s="70"/>
      <c r="X1121" s="68"/>
      <c r="Y1121" s="70"/>
      <c r="Z1121" s="72"/>
    </row>
    <row r="1122" spans="1:26" ht="15.75" hidden="1" customHeight="1" x14ac:dyDescent="0.25">
      <c r="A1122" s="64">
        <v>4</v>
      </c>
      <c r="B1122" s="62">
        <v>1003435905</v>
      </c>
      <c r="C1122" s="62" t="s">
        <v>26429</v>
      </c>
      <c r="D1122" s="62" t="s">
        <v>25118</v>
      </c>
      <c r="E1122" s="62" t="s">
        <v>25048</v>
      </c>
      <c r="F1122" s="62"/>
      <c r="G1122" s="81" t="s">
        <v>19285</v>
      </c>
      <c r="H1122" s="63">
        <v>45771</v>
      </c>
      <c r="I1122" s="63">
        <v>45772</v>
      </c>
      <c r="J1122" s="62">
        <v>2</v>
      </c>
      <c r="K1122" s="62">
        <v>2</v>
      </c>
      <c r="L1122" s="62" t="s">
        <v>24995</v>
      </c>
      <c r="M1122" s="62" t="s">
        <v>24995</v>
      </c>
      <c r="N1122" s="62" t="s">
        <v>19269</v>
      </c>
      <c r="O1122" s="62" t="s">
        <v>86</v>
      </c>
      <c r="P1122" s="42" t="str">
        <f>+IF(O1122="","",IFERROR(VLOOKUP(O1122,CODIGO_DIAGNOSTICO,2,0),"CÓDIGO NO ENCONTRADO"))</f>
        <v>INFECCION INTESTINAL VIRAL, SIN OTRA ESPECIFICACION</v>
      </c>
      <c r="Q1122" s="62" t="s">
        <v>26059</v>
      </c>
      <c r="R1122" s="64"/>
      <c r="S1122" s="75"/>
      <c r="T1122" s="75"/>
      <c r="U1122" s="65"/>
      <c r="V1122" s="62"/>
      <c r="W1122" s="65"/>
      <c r="X1122" s="62"/>
      <c r="Y1122" s="65"/>
      <c r="Z1122" s="73"/>
    </row>
    <row r="1123" spans="1:26" ht="15.75" hidden="1" customHeight="1" x14ac:dyDescent="0.25">
      <c r="A1123" s="67">
        <v>4</v>
      </c>
      <c r="B1123" s="68">
        <v>1036397158</v>
      </c>
      <c r="C1123" s="68" t="s">
        <v>25411</v>
      </c>
      <c r="D1123" s="68" t="s">
        <v>26427</v>
      </c>
      <c r="E1123" s="68" t="s">
        <v>25368</v>
      </c>
      <c r="F1123" s="68" t="s">
        <v>26428</v>
      </c>
      <c r="G1123" s="81" t="s">
        <v>19285</v>
      </c>
      <c r="H1123" s="69">
        <v>45772</v>
      </c>
      <c r="I1123" s="69">
        <v>45772</v>
      </c>
      <c r="J1123" s="68">
        <v>1</v>
      </c>
      <c r="K1123" s="68">
        <v>1</v>
      </c>
      <c r="L1123" s="68" t="s">
        <v>24995</v>
      </c>
      <c r="M1123" s="68" t="s">
        <v>24995</v>
      </c>
      <c r="N1123" s="62" t="s">
        <v>19269</v>
      </c>
      <c r="O1123" s="68" t="s">
        <v>4924</v>
      </c>
      <c r="P1123" s="42" t="str">
        <f>+IF(O1123="","",IFERROR(VLOOKUP(O1123,CODIGO_DIAGNOSTICO,2,0),"CÓDIGO NO ENCONTRADO"))</f>
        <v>BURSITIS DEL HOMBRO</v>
      </c>
      <c r="Q1123" s="68" t="s">
        <v>26059</v>
      </c>
      <c r="R1123" s="67"/>
      <c r="S1123" s="77"/>
      <c r="T1123" s="76"/>
      <c r="U1123" s="65"/>
      <c r="V1123" s="68"/>
      <c r="W1123" s="70"/>
      <c r="X1123" s="68"/>
      <c r="Y1123" s="70"/>
      <c r="Z1123" s="72"/>
    </row>
    <row r="1124" spans="1:26" ht="15.75" hidden="1" customHeight="1" x14ac:dyDescent="0.25">
      <c r="A1124" s="64">
        <v>5</v>
      </c>
      <c r="B1124" s="62">
        <v>70252687</v>
      </c>
      <c r="C1124" s="62" t="s">
        <v>25340</v>
      </c>
      <c r="D1124" s="62" t="s">
        <v>25248</v>
      </c>
      <c r="E1124" s="62" t="s">
        <v>25359</v>
      </c>
      <c r="F1124" s="62" t="s">
        <v>25020</v>
      </c>
      <c r="G1124" s="81" t="s">
        <v>19285</v>
      </c>
      <c r="H1124" s="63">
        <v>45774</v>
      </c>
      <c r="I1124" s="63">
        <v>45803</v>
      </c>
      <c r="J1124" s="62">
        <v>30</v>
      </c>
      <c r="K1124" s="62">
        <v>30</v>
      </c>
      <c r="L1124" s="62" t="s">
        <v>19262</v>
      </c>
      <c r="M1124" s="62" t="s">
        <v>19262</v>
      </c>
      <c r="N1124" s="62" t="s">
        <v>19269</v>
      </c>
      <c r="O1124" s="62" t="s">
        <v>905</v>
      </c>
      <c r="P1124" s="42" t="str">
        <f>+IF(O1124="","",IFERROR(VLOOKUP(O1124,CODIGO_DIAGNOSTICO,2,0),"CÓDIGO NO ENCONTRADO"))</f>
        <v>TUMOR MALIGNO DEL RECTO</v>
      </c>
      <c r="Q1124" s="62" t="s">
        <v>26059</v>
      </c>
      <c r="R1124" s="64"/>
      <c r="S1124" s="75"/>
      <c r="T1124" s="75"/>
      <c r="U1124" s="65"/>
      <c r="V1124" s="62"/>
      <c r="W1124" s="65"/>
      <c r="X1124" s="62"/>
      <c r="Y1124" s="65"/>
      <c r="Z1124" s="73"/>
    </row>
    <row r="1125" spans="1:26" ht="15.75" hidden="1" customHeight="1" x14ac:dyDescent="0.25">
      <c r="A1125" s="67">
        <v>4</v>
      </c>
      <c r="B1125" s="68">
        <v>8056876</v>
      </c>
      <c r="C1125" s="68" t="s">
        <v>25314</v>
      </c>
      <c r="D1125" s="68" t="s">
        <v>25254</v>
      </c>
      <c r="E1125" s="68" t="s">
        <v>24986</v>
      </c>
      <c r="F1125" s="68" t="s">
        <v>25040</v>
      </c>
      <c r="G1125" s="81" t="s">
        <v>19285</v>
      </c>
      <c r="H1125" s="69">
        <v>45776</v>
      </c>
      <c r="I1125" s="69">
        <v>45783</v>
      </c>
      <c r="J1125" s="68">
        <v>8</v>
      </c>
      <c r="K1125" s="68">
        <v>8</v>
      </c>
      <c r="L1125" s="68" t="s">
        <v>24995</v>
      </c>
      <c r="M1125" s="68" t="s">
        <v>24995</v>
      </c>
      <c r="N1125" s="62" t="s">
        <v>19269</v>
      </c>
      <c r="O1125" s="68" t="s">
        <v>3654</v>
      </c>
      <c r="P1125" s="42" t="str">
        <f>+IF(O1125="","",IFERROR(VLOOKUP(O1125,CODIGO_DIAGNOSTICO,2,0),"CÓDIGO NO ENCONTRADO"))</f>
        <v>DESVIACION DEL TABIQUE NASAL</v>
      </c>
      <c r="Q1125" s="68" t="s">
        <v>19288</v>
      </c>
      <c r="R1125" s="67"/>
      <c r="S1125" s="77"/>
      <c r="T1125" s="76"/>
      <c r="U1125" s="65"/>
      <c r="V1125" s="68"/>
      <c r="W1125" s="70"/>
      <c r="X1125" s="68"/>
      <c r="Y1125" s="70"/>
      <c r="Z1125" s="72"/>
    </row>
    <row r="1126" spans="1:26" ht="15.75" hidden="1" customHeight="1" x14ac:dyDescent="0.25">
      <c r="A1126" s="64">
        <v>4</v>
      </c>
      <c r="B1126" s="62">
        <v>71382103</v>
      </c>
      <c r="C1126" s="62" t="s">
        <v>25776</v>
      </c>
      <c r="D1126" s="62" t="s">
        <v>25968</v>
      </c>
      <c r="E1126" s="62" t="s">
        <v>25116</v>
      </c>
      <c r="F1126" s="62" t="s">
        <v>26027</v>
      </c>
      <c r="G1126" s="81" t="s">
        <v>19285</v>
      </c>
      <c r="H1126" s="63">
        <v>45776</v>
      </c>
      <c r="I1126" s="63">
        <v>45785</v>
      </c>
      <c r="J1126" s="62">
        <v>10</v>
      </c>
      <c r="K1126" s="62">
        <v>10</v>
      </c>
      <c r="L1126" s="62" t="s">
        <v>19262</v>
      </c>
      <c r="M1126" s="62" t="s">
        <v>19262</v>
      </c>
      <c r="N1126" s="62" t="s">
        <v>19269</v>
      </c>
      <c r="O1126" s="62" t="s">
        <v>4671</v>
      </c>
      <c r="P1126" s="42" t="str">
        <f>+IF(O1126="","",IFERROR(VLOOKUP(O1126,CODIGO_DIAGNOSTICO,2,0),"CÓDIGO NO ENCONTRADO"))</f>
        <v>DEFORMIDAD EN VARO, NO CLASIFICADA EN OTRA</v>
      </c>
      <c r="Q1126" s="62" t="s">
        <v>26059</v>
      </c>
      <c r="R1126" s="64"/>
      <c r="S1126" s="75"/>
      <c r="T1126" s="75"/>
      <c r="U1126" s="65"/>
      <c r="V1126" s="62"/>
      <c r="W1126" s="65"/>
      <c r="X1126" s="62"/>
      <c r="Y1126" s="65"/>
      <c r="Z1126" s="73"/>
    </row>
    <row r="1127" spans="1:26" ht="15.75" hidden="1" customHeight="1" x14ac:dyDescent="0.25">
      <c r="A1127" s="67">
        <v>5</v>
      </c>
      <c r="B1127" s="68">
        <v>1020398409</v>
      </c>
      <c r="C1127" s="68" t="s">
        <v>26375</v>
      </c>
      <c r="D1127" s="68" t="s">
        <v>26376</v>
      </c>
      <c r="E1127" s="68" t="s">
        <v>26391</v>
      </c>
      <c r="F1127" s="68" t="s">
        <v>25028</v>
      </c>
      <c r="G1127" s="81" t="s">
        <v>19285</v>
      </c>
      <c r="H1127" s="69">
        <v>45779</v>
      </c>
      <c r="I1127" s="69">
        <v>45780</v>
      </c>
      <c r="J1127" s="68">
        <v>2</v>
      </c>
      <c r="K1127" s="68">
        <v>2</v>
      </c>
      <c r="L1127" s="68" t="s">
        <v>25995</v>
      </c>
      <c r="M1127" s="68" t="s">
        <v>24995</v>
      </c>
      <c r="N1127" s="62" t="s">
        <v>19269</v>
      </c>
      <c r="O1127" s="68" t="s">
        <v>4026</v>
      </c>
      <c r="P1127" s="42" t="str">
        <f>+IF(O1127="","",IFERROR(VLOOKUP(O1127,CODIGO_DIAGNOSTICO,2,0),"CÓDIGO NO ENCONTRADO"))</f>
        <v>COLITIS Y GASTROENTERITIS NO INFECCIOSAS, NO ESPECIFICADAS</v>
      </c>
      <c r="Q1127" s="68" t="s">
        <v>24996</v>
      </c>
      <c r="R1127" s="67"/>
      <c r="S1127" s="77"/>
      <c r="T1127" s="76"/>
      <c r="U1127" s="65"/>
      <c r="V1127" s="68"/>
      <c r="W1127" s="70"/>
      <c r="X1127" s="68"/>
      <c r="Y1127" s="70"/>
      <c r="Z1127" s="72"/>
    </row>
    <row r="1128" spans="1:26" ht="15.75" hidden="1" customHeight="1" x14ac:dyDescent="0.25">
      <c r="A1128" s="64">
        <v>5</v>
      </c>
      <c r="B1128" s="62">
        <v>1007640349</v>
      </c>
      <c r="C1128" s="62" t="s">
        <v>26139</v>
      </c>
      <c r="D1128" s="62" t="s">
        <v>25254</v>
      </c>
      <c r="E1128" s="62" t="s">
        <v>25130</v>
      </c>
      <c r="F1128" s="62" t="s">
        <v>25010</v>
      </c>
      <c r="G1128" s="81" t="s">
        <v>19285</v>
      </c>
      <c r="H1128" s="63">
        <v>45780</v>
      </c>
      <c r="I1128" s="63">
        <v>45781</v>
      </c>
      <c r="J1128" s="62">
        <v>2</v>
      </c>
      <c r="K1128" s="62">
        <v>2</v>
      </c>
      <c r="L1128" s="62" t="s">
        <v>24995</v>
      </c>
      <c r="M1128" s="62" t="s">
        <v>24995</v>
      </c>
      <c r="N1128" s="62" t="s">
        <v>19269</v>
      </c>
      <c r="O1128" s="62" t="s">
        <v>3572</v>
      </c>
      <c r="P1128" s="42" t="str">
        <f>+IF(O1128="","",IFERROR(VLOOKUP(O1128,CODIGO_DIAGNOSTICO,2,0),"CÓDIGO NO ENCONTRADO"))</f>
        <v>FARINGITIS AGUDA, NO ESPECIFICADA</v>
      </c>
      <c r="Q1128" s="62" t="s">
        <v>26059</v>
      </c>
      <c r="R1128" s="64"/>
      <c r="S1128" s="75"/>
      <c r="T1128" s="75"/>
      <c r="U1128" s="65"/>
      <c r="V1128" s="62"/>
      <c r="W1128" s="65"/>
      <c r="X1128" s="62"/>
      <c r="Y1128" s="65"/>
      <c r="Z1128" s="73"/>
    </row>
    <row r="1129" spans="1:26" ht="15.75" hidden="1" customHeight="1" x14ac:dyDescent="0.25">
      <c r="A1129" s="67">
        <v>5</v>
      </c>
      <c r="B1129" s="68">
        <v>1216713788</v>
      </c>
      <c r="C1129" s="68" t="s">
        <v>25295</v>
      </c>
      <c r="D1129" s="68" t="s">
        <v>25296</v>
      </c>
      <c r="E1129" s="68" t="s">
        <v>25089</v>
      </c>
      <c r="F1129" s="68" t="s">
        <v>25066</v>
      </c>
      <c r="G1129" s="81" t="s">
        <v>19285</v>
      </c>
      <c r="H1129" s="69">
        <v>45780</v>
      </c>
      <c r="I1129" s="69">
        <v>45780</v>
      </c>
      <c r="J1129" s="68">
        <v>1</v>
      </c>
      <c r="K1129" s="68">
        <v>1</v>
      </c>
      <c r="L1129" s="68" t="s">
        <v>24995</v>
      </c>
      <c r="M1129" s="68" t="s">
        <v>24995</v>
      </c>
      <c r="N1129" s="62" t="s">
        <v>19269</v>
      </c>
      <c r="O1129" s="68" t="s">
        <v>15281</v>
      </c>
      <c r="P1129" s="42" t="str">
        <f>+IF(O1129="","",IFERROR(VLOOKUP(O1129,CODIGO_DIAGNOSTICO,2,0),"CÓDIGO NO ENCONTRADO"))</f>
        <v>RINOFARINGITIS AGUDA (RESFRIADO COMUN)</v>
      </c>
      <c r="Q1129" s="68" t="s">
        <v>26059</v>
      </c>
      <c r="R1129" s="67"/>
      <c r="S1129" s="77"/>
      <c r="T1129" s="76"/>
      <c r="U1129" s="65"/>
      <c r="V1129" s="68"/>
      <c r="W1129" s="70"/>
      <c r="X1129" s="68"/>
      <c r="Y1129" s="70"/>
      <c r="Z1129" s="72"/>
    </row>
    <row r="1130" spans="1:26" ht="15.75" hidden="1" customHeight="1" x14ac:dyDescent="0.25">
      <c r="A1130" s="64">
        <v>5</v>
      </c>
      <c r="B1130" s="62">
        <v>1216713788</v>
      </c>
      <c r="C1130" s="62" t="s">
        <v>25295</v>
      </c>
      <c r="D1130" s="62" t="s">
        <v>25296</v>
      </c>
      <c r="E1130" s="62" t="s">
        <v>25089</v>
      </c>
      <c r="F1130" s="62" t="s">
        <v>25066</v>
      </c>
      <c r="G1130" s="81" t="s">
        <v>19285</v>
      </c>
      <c r="H1130" s="63">
        <v>45782</v>
      </c>
      <c r="I1130" s="63">
        <v>45783</v>
      </c>
      <c r="J1130" s="62">
        <v>2</v>
      </c>
      <c r="K1130" s="62">
        <v>2</v>
      </c>
      <c r="L1130" s="62" t="s">
        <v>24995</v>
      </c>
      <c r="M1130" s="62" t="s">
        <v>24995</v>
      </c>
      <c r="N1130" s="62" t="s">
        <v>19269</v>
      </c>
      <c r="O1130" s="62" t="s">
        <v>85</v>
      </c>
      <c r="P1130" s="42" t="str">
        <f>+IF(O1130="","",IFERROR(VLOOKUP(O1130,CODIGO_DIAGNOSTICO,2,0),"CÓDIGO NO ENCONTRADO"))</f>
        <v>OTRAS ENTERITIS VIRALES</v>
      </c>
      <c r="Q1130" s="62" t="s">
        <v>26059</v>
      </c>
      <c r="R1130" s="64"/>
      <c r="S1130" s="75"/>
      <c r="T1130" s="75"/>
      <c r="U1130" s="65"/>
      <c r="V1130" s="62"/>
      <c r="W1130" s="65"/>
      <c r="X1130" s="62"/>
      <c r="Y1130" s="65"/>
      <c r="Z1130" s="73"/>
    </row>
    <row r="1131" spans="1:26" ht="15.75" hidden="1" customHeight="1" x14ac:dyDescent="0.25">
      <c r="A1131" s="67">
        <v>5</v>
      </c>
      <c r="B1131" s="68">
        <v>8056876</v>
      </c>
      <c r="C1131" s="68" t="s">
        <v>25314</v>
      </c>
      <c r="D1131" s="68" t="s">
        <v>25254</v>
      </c>
      <c r="E1131" s="68" t="s">
        <v>24986</v>
      </c>
      <c r="F1131" s="68" t="s">
        <v>25040</v>
      </c>
      <c r="G1131" s="81" t="s">
        <v>19285</v>
      </c>
      <c r="H1131" s="69">
        <v>45785</v>
      </c>
      <c r="I1131" s="69">
        <v>45788</v>
      </c>
      <c r="J1131" s="68">
        <v>4</v>
      </c>
      <c r="K1131" s="68">
        <v>4</v>
      </c>
      <c r="L1131" s="68" t="s">
        <v>24995</v>
      </c>
      <c r="M1131" s="68" t="s">
        <v>19262</v>
      </c>
      <c r="N1131" s="62" t="s">
        <v>19269</v>
      </c>
      <c r="O1131" s="68" t="s">
        <v>7827</v>
      </c>
      <c r="P1131" s="42" t="str">
        <f>+IF(O1131="","",IFERROR(VLOOKUP(O1131,CODIGO_DIAGNOSTICO,2,0),"CÓDIGO NO ENCONTRADO"))</f>
        <v>TRAUMATISMOS SUPERFICIALES QUE AFECTAN LA CABEZA CON EL CUELLO</v>
      </c>
      <c r="Q1131" s="68" t="s">
        <v>26339</v>
      </c>
      <c r="R1131" s="67"/>
      <c r="S1131" s="77"/>
      <c r="T1131" s="76"/>
      <c r="U1131" s="65"/>
      <c r="V1131" s="68"/>
      <c r="W1131" s="70"/>
      <c r="X1131" s="68"/>
      <c r="Y1131" s="70"/>
      <c r="Z1131" s="72"/>
    </row>
    <row r="1132" spans="1:26" ht="15.75" hidden="1" customHeight="1" x14ac:dyDescent="0.25">
      <c r="A1132" s="64">
        <v>5</v>
      </c>
      <c r="B1132" s="62">
        <v>43600465</v>
      </c>
      <c r="C1132" s="62" t="s">
        <v>25314</v>
      </c>
      <c r="D1132" s="62" t="s">
        <v>25387</v>
      </c>
      <c r="E1132" s="62" t="s">
        <v>25316</v>
      </c>
      <c r="F1132" s="62" t="s">
        <v>25258</v>
      </c>
      <c r="G1132" s="81" t="s">
        <v>26413</v>
      </c>
      <c r="H1132" s="63">
        <v>45785</v>
      </c>
      <c r="I1132" s="63">
        <v>45814</v>
      </c>
      <c r="J1132" s="62">
        <v>30</v>
      </c>
      <c r="K1132" s="62">
        <v>30</v>
      </c>
      <c r="L1132" s="62" t="s">
        <v>24995</v>
      </c>
      <c r="M1132" s="62" t="s">
        <v>24995</v>
      </c>
      <c r="N1132" s="62" t="s">
        <v>19269</v>
      </c>
      <c r="O1132" s="62" t="s">
        <v>4664</v>
      </c>
      <c r="P1132" s="42" t="str">
        <f>+IF(O1132="","",IFERROR(VLOOKUP(O1132,CODIGO_DIAGNOSTICO,2,0),"CÓDIGO NO ENCONTRADO"))</f>
        <v>HALLUX VALGUS (ADQUIRIDO)</v>
      </c>
      <c r="Q1132" s="62" t="s">
        <v>26059</v>
      </c>
      <c r="R1132" s="64"/>
      <c r="S1132" s="75"/>
      <c r="T1132" s="75"/>
      <c r="U1132" s="65"/>
      <c r="V1132" s="62"/>
      <c r="W1132" s="65"/>
      <c r="X1132" s="62"/>
      <c r="Y1132" s="65"/>
      <c r="Z1132" s="73"/>
    </row>
    <row r="1133" spans="1:26" ht="15.75" hidden="1" customHeight="1" x14ac:dyDescent="0.25">
      <c r="A1133" s="67">
        <v>5</v>
      </c>
      <c r="B1133" s="68">
        <v>1039758945</v>
      </c>
      <c r="C1133" s="68" t="s">
        <v>25197</v>
      </c>
      <c r="D1133" s="68" t="s">
        <v>25723</v>
      </c>
      <c r="E1133" s="68" t="s">
        <v>25110</v>
      </c>
      <c r="F1133" s="68" t="s">
        <v>24982</v>
      </c>
      <c r="G1133" s="81" t="s">
        <v>25328</v>
      </c>
      <c r="H1133" s="69">
        <v>45786</v>
      </c>
      <c r="I1133" s="69">
        <v>45787</v>
      </c>
      <c r="J1133" s="68">
        <v>2</v>
      </c>
      <c r="K1133" s="68">
        <v>2</v>
      </c>
      <c r="L1133" s="68" t="s">
        <v>24995</v>
      </c>
      <c r="M1133" s="68" t="s">
        <v>24995</v>
      </c>
      <c r="N1133" s="62" t="s">
        <v>19269</v>
      </c>
      <c r="O1133" s="68" t="s">
        <v>3677</v>
      </c>
      <c r="P1133" s="42" t="str">
        <f>+IF(O1133="","",IFERROR(VLOOKUP(O1133,CODIGO_DIAGNOSTICO,2,0),"CÓDIGO NO ENCONTRADO"))</f>
        <v>REACCION DE HIPERSENSIBILIDAD DE LAS VIAS RESPIRATORIAS SUPERIORES, SITIO NO ESPECIFICADO</v>
      </c>
      <c r="Q1133" s="68" t="s">
        <v>26059</v>
      </c>
      <c r="R1133" s="67"/>
      <c r="S1133" s="77"/>
      <c r="T1133" s="76"/>
      <c r="U1133" s="65"/>
      <c r="V1133" s="68"/>
      <c r="W1133" s="70"/>
      <c r="X1133" s="68"/>
      <c r="Y1133" s="70"/>
      <c r="Z1133" s="72"/>
    </row>
    <row r="1134" spans="1:26" ht="15.75" hidden="1" customHeight="1" x14ac:dyDescent="0.25">
      <c r="A1134" s="64">
        <v>5</v>
      </c>
      <c r="B1134" s="62">
        <v>71382103</v>
      </c>
      <c r="C1134" s="62" t="s">
        <v>25776</v>
      </c>
      <c r="D1134" s="62" t="s">
        <v>25968</v>
      </c>
      <c r="E1134" s="62" t="s">
        <v>25116</v>
      </c>
      <c r="F1134" s="62" t="s">
        <v>26027</v>
      </c>
      <c r="G1134" s="81" t="s">
        <v>19285</v>
      </c>
      <c r="H1134" s="63">
        <v>45786</v>
      </c>
      <c r="I1134" s="63">
        <v>45787</v>
      </c>
      <c r="J1134" s="62">
        <v>2</v>
      </c>
      <c r="K1134" s="62">
        <v>2</v>
      </c>
      <c r="L1134" s="62" t="s">
        <v>19262</v>
      </c>
      <c r="M1134" s="62" t="s">
        <v>19262</v>
      </c>
      <c r="N1134" s="62" t="s">
        <v>19269</v>
      </c>
      <c r="O1134" s="62" t="s">
        <v>4671</v>
      </c>
      <c r="P1134" s="42" t="str">
        <f>+IF(O1134="","",IFERROR(VLOOKUP(O1134,CODIGO_DIAGNOSTICO,2,0),"CÓDIGO NO ENCONTRADO"))</f>
        <v>DEFORMIDAD EN VARO, NO CLASIFICADA EN OTRA</v>
      </c>
      <c r="Q1134" s="62"/>
      <c r="R1134" s="64"/>
      <c r="S1134" s="75"/>
      <c r="T1134" s="75"/>
      <c r="U1134" s="65"/>
      <c r="V1134" s="62"/>
      <c r="W1134" s="65"/>
      <c r="X1134" s="62"/>
      <c r="Y1134" s="65"/>
      <c r="Z1134" s="73"/>
    </row>
    <row r="1135" spans="1:26" ht="15.75" hidden="1" customHeight="1" x14ac:dyDescent="0.25">
      <c r="A1135" s="67">
        <v>5</v>
      </c>
      <c r="B1135" s="68">
        <v>8414876</v>
      </c>
      <c r="C1135" s="68" t="s">
        <v>25923</v>
      </c>
      <c r="D1135" s="68" t="s">
        <v>25639</v>
      </c>
      <c r="E1135" s="68" t="s">
        <v>25074</v>
      </c>
      <c r="F1135" s="68" t="s">
        <v>25641</v>
      </c>
      <c r="G1135" s="81" t="s">
        <v>19285</v>
      </c>
      <c r="H1135" s="69">
        <v>45786</v>
      </c>
      <c r="I1135" s="69">
        <v>45787</v>
      </c>
      <c r="J1135" s="68">
        <v>2</v>
      </c>
      <c r="K1135" s="68">
        <v>2</v>
      </c>
      <c r="L1135" s="68" t="s">
        <v>24995</v>
      </c>
      <c r="M1135" s="68" t="s">
        <v>24995</v>
      </c>
      <c r="N1135" s="62" t="s">
        <v>19269</v>
      </c>
      <c r="O1135" s="68" t="s">
        <v>5286</v>
      </c>
      <c r="P1135" s="42" t="str">
        <f>+IF(O1135="","",IFERROR(VLOOKUP(O1135,CODIGO_DIAGNOSTICO,2,0),"CÓDIGO NO ENCONTRADO"))</f>
        <v>HIPERPLASIA DE LA PROSTATA</v>
      </c>
      <c r="Q1135" s="68" t="s">
        <v>19230</v>
      </c>
      <c r="R1135" s="67"/>
      <c r="S1135" s="77"/>
      <c r="T1135" s="76"/>
      <c r="U1135" s="65"/>
      <c r="V1135" s="68"/>
      <c r="W1135" s="70"/>
      <c r="X1135" s="68"/>
      <c r="Y1135" s="70"/>
      <c r="Z1135" s="72"/>
    </row>
    <row r="1136" spans="1:26" ht="15.75" hidden="1" customHeight="1" x14ac:dyDescent="0.25">
      <c r="A1136" s="64">
        <v>5</v>
      </c>
      <c r="B1136" s="62">
        <v>1036685623</v>
      </c>
      <c r="C1136" s="62" t="s">
        <v>25498</v>
      </c>
      <c r="D1136" s="62" t="s">
        <v>26432</v>
      </c>
      <c r="E1136" s="62" t="s">
        <v>26433</v>
      </c>
      <c r="F1136" s="62"/>
      <c r="G1136" s="81" t="s">
        <v>19285</v>
      </c>
      <c r="H1136" s="63">
        <v>45787</v>
      </c>
      <c r="I1136" s="63">
        <v>45791</v>
      </c>
      <c r="J1136" s="62">
        <v>5</v>
      </c>
      <c r="K1136" s="62">
        <v>5</v>
      </c>
      <c r="L1136" s="62" t="s">
        <v>24995</v>
      </c>
      <c r="M1136" s="62" t="s">
        <v>24995</v>
      </c>
      <c r="N1136" s="62" t="s">
        <v>19269</v>
      </c>
      <c r="O1136" s="62" t="s">
        <v>9829</v>
      </c>
      <c r="P1136" s="42" t="str">
        <f>+IF(O1136="","",IFERROR(VLOOKUP(O1136,CODIGO_DIAGNOSTICO,2,0),"CÓDIGO NO ENCONTRADO"))</f>
        <v>MORDEDURA O PICADURA DE INSECTOS Y OTROS ARTROPODOS NO VENENOSOS: CALLES Y CARRETERAS</v>
      </c>
      <c r="Q1136" s="62" t="s">
        <v>26059</v>
      </c>
      <c r="R1136" s="64"/>
      <c r="S1136" s="75"/>
      <c r="T1136" s="75"/>
      <c r="U1136" s="65"/>
      <c r="V1136" s="62"/>
      <c r="W1136" s="65"/>
      <c r="X1136" s="62"/>
      <c r="Y1136" s="65"/>
      <c r="Z1136" s="73"/>
    </row>
    <row r="1137" spans="1:26" ht="15.75" hidden="1" customHeight="1" x14ac:dyDescent="0.25">
      <c r="A1137" s="67">
        <v>5</v>
      </c>
      <c r="B1137" s="68">
        <v>1128438267</v>
      </c>
      <c r="C1137" s="68" t="s">
        <v>26302</v>
      </c>
      <c r="D1137" s="68" t="s">
        <v>26438</v>
      </c>
      <c r="E1137" s="68" t="s">
        <v>25524</v>
      </c>
      <c r="F1137" s="68" t="s">
        <v>24986</v>
      </c>
      <c r="G1137" s="81" t="s">
        <v>19285</v>
      </c>
      <c r="H1137" s="69">
        <v>45789</v>
      </c>
      <c r="I1137" s="69">
        <v>45790</v>
      </c>
      <c r="J1137" s="68">
        <v>2</v>
      </c>
      <c r="K1137" s="68">
        <v>2</v>
      </c>
      <c r="L1137" s="68" t="s">
        <v>24995</v>
      </c>
      <c r="M1137" s="68" t="s">
        <v>24995</v>
      </c>
      <c r="N1137" s="62" t="s">
        <v>19269</v>
      </c>
      <c r="O1137" s="68" t="s">
        <v>4838</v>
      </c>
      <c r="P1137" s="42" t="str">
        <f>+IF(O1137="","",IFERROR(VLOOKUP(O1137,CODIGO_DIAGNOSTICO,2,0),"CÓDIGO NO ENCONTRADO"))</f>
        <v>LUMBAGO NO ESPECIFICADO</v>
      </c>
      <c r="Q1137" s="68" t="s">
        <v>26059</v>
      </c>
      <c r="R1137" s="67"/>
      <c r="S1137" s="77"/>
      <c r="T1137" s="76"/>
      <c r="U1137" s="65"/>
      <c r="V1137" s="68"/>
      <c r="W1137" s="70"/>
      <c r="X1137" s="68"/>
      <c r="Y1137" s="70"/>
      <c r="Z1137" s="72"/>
    </row>
    <row r="1138" spans="1:26" ht="15.75" hidden="1" customHeight="1" x14ac:dyDescent="0.25">
      <c r="A1138" s="64">
        <v>5</v>
      </c>
      <c r="B1138" s="62">
        <v>71382103</v>
      </c>
      <c r="C1138" s="62" t="s">
        <v>25776</v>
      </c>
      <c r="D1138" s="62" t="s">
        <v>25968</v>
      </c>
      <c r="E1138" s="62" t="s">
        <v>25116</v>
      </c>
      <c r="F1138" s="62" t="s">
        <v>26027</v>
      </c>
      <c r="G1138" s="81" t="s">
        <v>19285</v>
      </c>
      <c r="H1138" s="63">
        <v>45789</v>
      </c>
      <c r="I1138" s="63">
        <v>45793</v>
      </c>
      <c r="J1138" s="62">
        <v>5</v>
      </c>
      <c r="K1138" s="62">
        <v>5</v>
      </c>
      <c r="L1138" s="62" t="s">
        <v>19262</v>
      </c>
      <c r="M1138" s="62" t="s">
        <v>19262</v>
      </c>
      <c r="N1138" s="62" t="s">
        <v>19269</v>
      </c>
      <c r="O1138" s="62" t="s">
        <v>4671</v>
      </c>
      <c r="P1138" s="42" t="str">
        <f>+IF(O1138="","",IFERROR(VLOOKUP(O1138,CODIGO_DIAGNOSTICO,2,0),"CÓDIGO NO ENCONTRADO"))</f>
        <v>DEFORMIDAD EN VARO, NO CLASIFICADA EN OTRA</v>
      </c>
      <c r="Q1138" s="62"/>
      <c r="R1138" s="64"/>
      <c r="S1138" s="75"/>
      <c r="T1138" s="75"/>
      <c r="U1138" s="65"/>
      <c r="V1138" s="62"/>
      <c r="W1138" s="65"/>
      <c r="X1138" s="62"/>
      <c r="Y1138" s="65"/>
      <c r="Z1138" s="73"/>
    </row>
    <row r="1139" spans="1:26" ht="15.75" hidden="1" customHeight="1" x14ac:dyDescent="0.25">
      <c r="A1139" s="67">
        <v>5</v>
      </c>
      <c r="B1139" s="68">
        <v>8056876</v>
      </c>
      <c r="C1139" s="68" t="s">
        <v>25314</v>
      </c>
      <c r="D1139" s="68" t="s">
        <v>25254</v>
      </c>
      <c r="E1139" s="68" t="s">
        <v>24986</v>
      </c>
      <c r="F1139" s="68" t="s">
        <v>25040</v>
      </c>
      <c r="G1139" s="81" t="s">
        <v>19285</v>
      </c>
      <c r="H1139" s="69">
        <v>45789</v>
      </c>
      <c r="I1139" s="69">
        <v>45803</v>
      </c>
      <c r="J1139" s="68">
        <v>15</v>
      </c>
      <c r="K1139" s="68">
        <v>15</v>
      </c>
      <c r="L1139" s="68" t="s">
        <v>19262</v>
      </c>
      <c r="M1139" s="68" t="s">
        <v>19262</v>
      </c>
      <c r="N1139" s="62" t="s">
        <v>19269</v>
      </c>
      <c r="O1139" s="68" t="s">
        <v>3654</v>
      </c>
      <c r="P1139" s="42" t="str">
        <f>+IF(O1139="","",IFERROR(VLOOKUP(O1139,CODIGO_DIAGNOSTICO,2,0),"CÓDIGO NO ENCONTRADO"))</f>
        <v>DESVIACION DEL TABIQUE NASAL</v>
      </c>
      <c r="Q1139" s="68" t="s">
        <v>26339</v>
      </c>
      <c r="R1139" s="67"/>
      <c r="S1139" s="77"/>
      <c r="T1139" s="76"/>
      <c r="U1139" s="65"/>
      <c r="V1139" s="68"/>
      <c r="W1139" s="70"/>
      <c r="X1139" s="68"/>
      <c r="Y1139" s="70"/>
      <c r="Z1139" s="72"/>
    </row>
    <row r="1140" spans="1:26" ht="15.75" hidden="1" customHeight="1" x14ac:dyDescent="0.25">
      <c r="A1140" s="64">
        <v>5</v>
      </c>
      <c r="B1140" s="62">
        <v>43117538</v>
      </c>
      <c r="C1140" s="62" t="s">
        <v>24997</v>
      </c>
      <c r="D1140" s="62" t="s">
        <v>25248</v>
      </c>
      <c r="E1140" s="62" t="s">
        <v>25619</v>
      </c>
      <c r="F1140" s="62" t="s">
        <v>25000</v>
      </c>
      <c r="G1140" s="81" t="s">
        <v>19285</v>
      </c>
      <c r="H1140" s="63">
        <v>45789</v>
      </c>
      <c r="I1140" s="63">
        <v>45790</v>
      </c>
      <c r="J1140" s="62">
        <v>2</v>
      </c>
      <c r="K1140" s="62">
        <v>2</v>
      </c>
      <c r="L1140" s="62" t="s">
        <v>24995</v>
      </c>
      <c r="M1140" s="62" t="s">
        <v>24995</v>
      </c>
      <c r="N1140" s="62" t="s">
        <v>19269</v>
      </c>
      <c r="O1140" s="62" t="s">
        <v>85</v>
      </c>
      <c r="P1140" s="42" t="str">
        <f>+IF(O1140="","",IFERROR(VLOOKUP(O1140,CODIGO_DIAGNOSTICO,2,0),"CÓDIGO NO ENCONTRADO"))</f>
        <v>OTRAS ENTERITIS VIRALES</v>
      </c>
      <c r="Q1140" s="62" t="s">
        <v>26059</v>
      </c>
      <c r="R1140" s="64"/>
      <c r="S1140" s="75"/>
      <c r="T1140" s="75"/>
      <c r="U1140" s="65"/>
      <c r="V1140" s="62"/>
      <c r="W1140" s="65"/>
      <c r="X1140" s="62"/>
      <c r="Y1140" s="65"/>
      <c r="Z1140" s="73"/>
    </row>
    <row r="1141" spans="1:26" ht="15.75" hidden="1" customHeight="1" x14ac:dyDescent="0.25">
      <c r="A1141" s="67">
        <v>5</v>
      </c>
      <c r="B1141" s="68">
        <v>1020435559</v>
      </c>
      <c r="C1141" s="68" t="s">
        <v>25086</v>
      </c>
      <c r="D1141" s="68" t="s">
        <v>25269</v>
      </c>
      <c r="E1141" s="68" t="s">
        <v>25556</v>
      </c>
      <c r="F1141" s="68" t="s">
        <v>25465</v>
      </c>
      <c r="G1141" s="81" t="s">
        <v>19285</v>
      </c>
      <c r="H1141" s="69">
        <v>45790</v>
      </c>
      <c r="I1141" s="69">
        <v>45791</v>
      </c>
      <c r="J1141" s="68">
        <v>2</v>
      </c>
      <c r="K1141" s="68">
        <v>2</v>
      </c>
      <c r="L1141" s="68" t="s">
        <v>24995</v>
      </c>
      <c r="M1141" s="68" t="s">
        <v>24995</v>
      </c>
      <c r="N1141" s="62" t="s">
        <v>19269</v>
      </c>
      <c r="O1141" s="68" t="s">
        <v>3225</v>
      </c>
      <c r="P1141" s="42" t="str">
        <f>+IF(O1141="","",IFERROR(VLOOKUP(O1141,CODIGO_DIAGNOSTICO,2,0),"CÓDIGO NO ENCONTRADO"))</f>
        <v>ANGINA INESTABLE</v>
      </c>
      <c r="Q1141" s="68" t="s">
        <v>26059</v>
      </c>
      <c r="R1141" s="67"/>
      <c r="S1141" s="77"/>
      <c r="T1141" s="76"/>
      <c r="U1141" s="65"/>
      <c r="V1141" s="68"/>
      <c r="W1141" s="70"/>
      <c r="X1141" s="68"/>
      <c r="Y1141" s="70"/>
      <c r="Z1141" s="72"/>
    </row>
    <row r="1142" spans="1:26" ht="15.75" hidden="1" customHeight="1" x14ac:dyDescent="0.25">
      <c r="A1142" s="64">
        <v>5</v>
      </c>
      <c r="B1142" s="62">
        <v>71676289</v>
      </c>
      <c r="C1142" s="62" t="s">
        <v>25702</v>
      </c>
      <c r="D1142" s="62" t="s">
        <v>25214</v>
      </c>
      <c r="E1142" s="62" t="s">
        <v>25016</v>
      </c>
      <c r="F1142" s="62" t="s">
        <v>25004</v>
      </c>
      <c r="G1142" s="81" t="s">
        <v>19285</v>
      </c>
      <c r="H1142" s="63">
        <v>45792</v>
      </c>
      <c r="I1142" s="63">
        <v>45806</v>
      </c>
      <c r="J1142" s="62">
        <v>15</v>
      </c>
      <c r="K1142" s="62">
        <v>15</v>
      </c>
      <c r="L1142" s="62" t="s">
        <v>19262</v>
      </c>
      <c r="M1142" s="62" t="s">
        <v>19262</v>
      </c>
      <c r="N1142" s="62" t="s">
        <v>19269</v>
      </c>
      <c r="O1142" s="62" t="s">
        <v>5006</v>
      </c>
      <c r="P1142" s="42" t="str">
        <f>+IF(O1142="","",IFERROR(VLOOKUP(O1142,CODIGO_DIAGNOSTICO,2,0),"CÓDIGO NO ENCONTRADO"))</f>
        <v>OSTEOMIELITIS, NO ESPECIFICADA</v>
      </c>
      <c r="Q1142" s="62" t="s">
        <v>26059</v>
      </c>
      <c r="R1142" s="64"/>
      <c r="S1142" s="75"/>
      <c r="T1142" s="75"/>
      <c r="U1142" s="65"/>
      <c r="V1142" s="62"/>
      <c r="W1142" s="65"/>
      <c r="X1142" s="62"/>
      <c r="Y1142" s="65"/>
      <c r="Z1142" s="73"/>
    </row>
    <row r="1143" spans="1:26" ht="15.75" hidden="1" customHeight="1" x14ac:dyDescent="0.25">
      <c r="A1143" s="67">
        <v>5</v>
      </c>
      <c r="B1143" s="68">
        <v>10531748</v>
      </c>
      <c r="C1143" s="68" t="s">
        <v>25219</v>
      </c>
      <c r="D1143" s="68" t="s">
        <v>26260</v>
      </c>
      <c r="E1143" s="68" t="s">
        <v>26169</v>
      </c>
      <c r="F1143" s="68" t="s">
        <v>26357</v>
      </c>
      <c r="G1143" s="81" t="s">
        <v>19285</v>
      </c>
      <c r="H1143" s="69">
        <v>45792</v>
      </c>
      <c r="I1143" s="69">
        <v>45792</v>
      </c>
      <c r="J1143" s="68">
        <v>1</v>
      </c>
      <c r="K1143" s="68">
        <v>1</v>
      </c>
      <c r="L1143" s="68" t="s">
        <v>24995</v>
      </c>
      <c r="M1143" s="68" t="s">
        <v>24995</v>
      </c>
      <c r="N1143" s="62" t="s">
        <v>19269</v>
      </c>
      <c r="O1143" s="68" t="s">
        <v>7059</v>
      </c>
      <c r="P1143" s="42" t="str">
        <f>+IF(O1143="","",IFERROR(VLOOKUP(O1143,CODIGO_DIAGNOSTICO,2,0),"CÓDIGO NO ENCONTRADO"))</f>
        <v>DOLOR CRONICO INTRATABLE</v>
      </c>
      <c r="Q1143" s="68" t="s">
        <v>26059</v>
      </c>
      <c r="R1143" s="67"/>
      <c r="S1143" s="77"/>
      <c r="T1143" s="76"/>
      <c r="U1143" s="65"/>
      <c r="V1143" s="68"/>
      <c r="W1143" s="70"/>
      <c r="X1143" s="68"/>
      <c r="Y1143" s="70"/>
      <c r="Z1143" s="72"/>
    </row>
    <row r="1144" spans="1:26" ht="15.75" hidden="1" customHeight="1" x14ac:dyDescent="0.25">
      <c r="A1144" s="64">
        <v>5</v>
      </c>
      <c r="B1144" s="62">
        <v>98601485</v>
      </c>
      <c r="C1144" s="62" t="s">
        <v>25240</v>
      </c>
      <c r="D1144" s="62"/>
      <c r="E1144" s="62" t="s">
        <v>25241</v>
      </c>
      <c r="F1144" s="62" t="s">
        <v>24982</v>
      </c>
      <c r="G1144" s="81" t="s">
        <v>25328</v>
      </c>
      <c r="H1144" s="63">
        <v>45793</v>
      </c>
      <c r="I1144" s="63">
        <v>45807</v>
      </c>
      <c r="J1144" s="62">
        <v>15</v>
      </c>
      <c r="K1144" s="62">
        <v>15</v>
      </c>
      <c r="L1144" s="62" t="s">
        <v>24995</v>
      </c>
      <c r="M1144" s="62" t="s">
        <v>19262</v>
      </c>
      <c r="N1144" s="62" t="s">
        <v>19269</v>
      </c>
      <c r="O1144" s="62" t="s">
        <v>8419</v>
      </c>
      <c r="P1144" s="42" t="str">
        <f>+IF(O1144="","",IFERROR(VLOOKUP(O1144,CODIGO_DIAGNOSTICO,2,0),"CÓDIGO NO ENCONTRADO"))</f>
        <v>COMPLICACION MECANICA DE OTROS DISPOSITIVOS PROTESICOS, IMPLANTES E INJERTOS ORTOPEDICOS INTERNOS</v>
      </c>
      <c r="Q1144" s="62" t="s">
        <v>26059</v>
      </c>
      <c r="R1144" s="64"/>
      <c r="S1144" s="75"/>
      <c r="T1144" s="75"/>
      <c r="U1144" s="65"/>
      <c r="V1144" s="62"/>
      <c r="W1144" s="65"/>
      <c r="X1144" s="62"/>
      <c r="Y1144" s="65"/>
      <c r="Z1144" s="73"/>
    </row>
    <row r="1145" spans="1:26" ht="15.75" hidden="1" customHeight="1" x14ac:dyDescent="0.25">
      <c r="A1145" s="67">
        <v>5</v>
      </c>
      <c r="B1145" s="68">
        <v>71382103</v>
      </c>
      <c r="C1145" s="68" t="s">
        <v>25776</v>
      </c>
      <c r="D1145" s="68" t="s">
        <v>25968</v>
      </c>
      <c r="E1145" s="68" t="s">
        <v>25116</v>
      </c>
      <c r="F1145" s="68" t="s">
        <v>26027</v>
      </c>
      <c r="G1145" s="81" t="s">
        <v>19285</v>
      </c>
      <c r="H1145" s="69">
        <v>45794</v>
      </c>
      <c r="I1145" s="69">
        <v>45895</v>
      </c>
      <c r="J1145" s="68">
        <v>10</v>
      </c>
      <c r="K1145" s="68">
        <v>10</v>
      </c>
      <c r="L1145" s="68" t="s">
        <v>19262</v>
      </c>
      <c r="M1145" s="68" t="s">
        <v>19262</v>
      </c>
      <c r="N1145" s="62" t="s">
        <v>19269</v>
      </c>
      <c r="O1145" s="68" t="s">
        <v>4671</v>
      </c>
      <c r="P1145" s="42" t="str">
        <f>+IF(O1145="","",IFERROR(VLOOKUP(O1145,CODIGO_DIAGNOSTICO,2,0),"CÓDIGO NO ENCONTRADO"))</f>
        <v>DEFORMIDAD EN VARO, NO CLASIFICADA EN OTRA</v>
      </c>
      <c r="Q1145" s="68" t="s">
        <v>19230</v>
      </c>
      <c r="R1145" s="67"/>
      <c r="S1145" s="77"/>
      <c r="T1145" s="76"/>
      <c r="U1145" s="65"/>
      <c r="V1145" s="68"/>
      <c r="W1145" s="70"/>
      <c r="X1145" s="68"/>
      <c r="Y1145" s="70"/>
      <c r="Z1145" s="72"/>
    </row>
    <row r="1146" spans="1:26" ht="15.75" hidden="1" customHeight="1" x14ac:dyDescent="0.25">
      <c r="A1146" s="64">
        <v>5</v>
      </c>
      <c r="B1146" s="62">
        <v>78726824</v>
      </c>
      <c r="C1146" s="62" t="s">
        <v>25928</v>
      </c>
      <c r="D1146" s="62" t="s">
        <v>25094</v>
      </c>
      <c r="E1146" s="62" t="s">
        <v>25358</v>
      </c>
      <c r="F1146" s="62" t="s">
        <v>25215</v>
      </c>
      <c r="G1146" s="81" t="s">
        <v>19285</v>
      </c>
      <c r="H1146" s="63">
        <v>45794</v>
      </c>
      <c r="I1146" s="63">
        <v>45795</v>
      </c>
      <c r="J1146" s="62">
        <v>2</v>
      </c>
      <c r="K1146" s="62">
        <v>2</v>
      </c>
      <c r="L1146" s="62" t="s">
        <v>24995</v>
      </c>
      <c r="M1146" s="62" t="s">
        <v>24995</v>
      </c>
      <c r="N1146" s="62" t="s">
        <v>19269</v>
      </c>
      <c r="O1146" s="62" t="s">
        <v>7546</v>
      </c>
      <c r="P1146" s="42" t="str">
        <f>+IF(O1146="","",IFERROR(VLOOKUP(O1146,CODIGO_DIAGNOSTICO,2,0),"CÓDIGO NO ENCONTRADO"))</f>
        <v>CONTUSION DEL CODO</v>
      </c>
      <c r="Q1146" s="62" t="s">
        <v>26059</v>
      </c>
      <c r="R1146" s="64"/>
      <c r="S1146" s="75"/>
      <c r="T1146" s="75"/>
      <c r="U1146" s="65"/>
      <c r="V1146" s="62"/>
      <c r="W1146" s="65"/>
      <c r="X1146" s="62"/>
      <c r="Y1146" s="65"/>
      <c r="Z1146" s="73"/>
    </row>
    <row r="1147" spans="1:26" ht="15.75" hidden="1" customHeight="1" x14ac:dyDescent="0.25">
      <c r="A1147" s="67">
        <v>5</v>
      </c>
      <c r="B1147" s="68">
        <v>15259692</v>
      </c>
      <c r="C1147" s="68" t="s">
        <v>25373</v>
      </c>
      <c r="D1147" s="68" t="s">
        <v>24983</v>
      </c>
      <c r="E1147" s="68" t="s">
        <v>19278</v>
      </c>
      <c r="F1147" s="68" t="s">
        <v>25119</v>
      </c>
      <c r="G1147" s="81" t="s">
        <v>19285</v>
      </c>
      <c r="H1147" s="69">
        <v>45796</v>
      </c>
      <c r="I1147" s="69">
        <v>45796</v>
      </c>
      <c r="J1147" s="68">
        <v>1</v>
      </c>
      <c r="K1147" s="68">
        <v>1</v>
      </c>
      <c r="L1147" s="68" t="s">
        <v>24995</v>
      </c>
      <c r="M1147" s="68" t="s">
        <v>24995</v>
      </c>
      <c r="N1147" s="62" t="s">
        <v>19269</v>
      </c>
      <c r="O1147" s="68" t="s">
        <v>7720</v>
      </c>
      <c r="P1147" s="42" t="str">
        <f>+IF(O1147="","",IFERROR(VLOOKUP(O1147,CODIGO_DIAGNOSTICO,2,0),"CÓDIGO NO ENCONTRADO"))</f>
        <v>HERIDA DE OTRAS PARTES DE LA PIERNA</v>
      </c>
      <c r="Q1147" s="68" t="s">
        <v>26059</v>
      </c>
      <c r="R1147" s="67"/>
      <c r="S1147" s="77"/>
      <c r="T1147" s="76"/>
      <c r="U1147" s="65"/>
      <c r="V1147" s="68"/>
      <c r="W1147" s="70"/>
      <c r="X1147" s="68"/>
      <c r="Y1147" s="70"/>
      <c r="Z1147" s="72"/>
    </row>
    <row r="1148" spans="1:26" ht="15.75" hidden="1" customHeight="1" x14ac:dyDescent="0.25">
      <c r="A1148" s="64">
        <v>5</v>
      </c>
      <c r="B1148" s="62">
        <v>43323488</v>
      </c>
      <c r="C1148" s="62" t="s">
        <v>25361</v>
      </c>
      <c r="D1148" s="62"/>
      <c r="E1148" s="62" t="s">
        <v>25698</v>
      </c>
      <c r="F1148" s="62"/>
      <c r="G1148" s="81" t="s">
        <v>19285</v>
      </c>
      <c r="H1148" s="63">
        <v>45799</v>
      </c>
      <c r="I1148" s="63">
        <v>45813</v>
      </c>
      <c r="J1148" s="62">
        <v>15</v>
      </c>
      <c r="K1148" s="62">
        <v>15</v>
      </c>
      <c r="L1148" s="62" t="s">
        <v>24995</v>
      </c>
      <c r="M1148" s="62" t="s">
        <v>24995</v>
      </c>
      <c r="N1148" s="62" t="s">
        <v>19269</v>
      </c>
      <c r="O1148" s="62" t="s">
        <v>3515</v>
      </c>
      <c r="P1148" s="42" t="str">
        <f>+IF(O1148="","",IFERROR(VLOOKUP(O1148,CODIGO_DIAGNOSTICO,2,0),"CÓDIGO NO ENCONTRADO"))</f>
        <v>VENAS VARICOSAS DE LOS MIEMBROS INFERIORES SIN ULCERA NI INFLAMACION</v>
      </c>
      <c r="Q1148" s="62" t="s">
        <v>26339</v>
      </c>
      <c r="R1148" s="64"/>
      <c r="S1148" s="75"/>
      <c r="T1148" s="75"/>
      <c r="U1148" s="65"/>
      <c r="V1148" s="62"/>
      <c r="W1148" s="65"/>
      <c r="X1148" s="62"/>
      <c r="Y1148" s="65"/>
      <c r="Z1148" s="73"/>
    </row>
    <row r="1149" spans="1:26" ht="15.75" hidden="1" customHeight="1" x14ac:dyDescent="0.25">
      <c r="A1149" s="67">
        <v>5</v>
      </c>
      <c r="B1149" s="68">
        <v>1214737996</v>
      </c>
      <c r="C1149" s="68" t="s">
        <v>25547</v>
      </c>
      <c r="D1149" s="68" t="s">
        <v>25969</v>
      </c>
      <c r="E1149" s="68" t="s">
        <v>25970</v>
      </c>
      <c r="F1149" s="68" t="s">
        <v>25060</v>
      </c>
      <c r="G1149" s="81" t="s">
        <v>19285</v>
      </c>
      <c r="H1149" s="69">
        <v>45803</v>
      </c>
      <c r="I1149" s="69">
        <v>45817</v>
      </c>
      <c r="J1149" s="68">
        <v>15</v>
      </c>
      <c r="K1149" s="68">
        <v>15</v>
      </c>
      <c r="L1149" s="68" t="s">
        <v>19262</v>
      </c>
      <c r="M1149" s="68" t="s">
        <v>19262</v>
      </c>
      <c r="N1149" s="62" t="s">
        <v>19269</v>
      </c>
      <c r="O1149" s="68" t="s">
        <v>7723</v>
      </c>
      <c r="P1149" s="42" t="str">
        <f>+IF(O1149="","",IFERROR(VLOOKUP(O1149,CODIGO_DIAGNOSTICO,2,0),"CÓDIGO NO ENCONTRADO"))</f>
        <v>FRACTURA DE LA EPIFISIS SUPERIOR DE LA TIBIA</v>
      </c>
      <c r="Q1149" s="68" t="s">
        <v>19231</v>
      </c>
      <c r="R1149" s="67"/>
      <c r="S1149" s="77"/>
      <c r="T1149" s="76"/>
      <c r="U1149" s="65"/>
      <c r="V1149" s="68"/>
      <c r="W1149" s="70"/>
      <c r="X1149" s="68"/>
      <c r="Y1149" s="70"/>
      <c r="Z1149" s="72"/>
    </row>
    <row r="1150" spans="1:26" ht="15.75" hidden="1" customHeight="1" x14ac:dyDescent="0.25">
      <c r="A1150" s="64">
        <v>5</v>
      </c>
      <c r="B1150" s="62">
        <v>71382103</v>
      </c>
      <c r="C1150" s="62" t="s">
        <v>25776</v>
      </c>
      <c r="D1150" s="62" t="s">
        <v>25968</v>
      </c>
      <c r="E1150" s="62" t="s">
        <v>25116</v>
      </c>
      <c r="F1150" s="62" t="s">
        <v>26027</v>
      </c>
      <c r="G1150" s="81" t="s">
        <v>19285</v>
      </c>
      <c r="H1150" s="63">
        <v>45804</v>
      </c>
      <c r="I1150" s="63">
        <v>45818</v>
      </c>
      <c r="J1150" s="62">
        <v>15</v>
      </c>
      <c r="K1150" s="62">
        <v>15</v>
      </c>
      <c r="L1150" s="62" t="s">
        <v>19262</v>
      </c>
      <c r="M1150" s="62" t="s">
        <v>19262</v>
      </c>
      <c r="N1150" s="62" t="s">
        <v>19269</v>
      </c>
      <c r="O1150" s="62" t="s">
        <v>4671</v>
      </c>
      <c r="P1150" s="42" t="str">
        <f>+IF(O1150="","",IFERROR(VLOOKUP(O1150,CODIGO_DIAGNOSTICO,2,0),"CÓDIGO NO ENCONTRADO"))</f>
        <v>DEFORMIDAD EN VARO, NO CLASIFICADA EN OTRA</v>
      </c>
      <c r="Q1150" s="62" t="s">
        <v>26059</v>
      </c>
      <c r="R1150" s="64"/>
      <c r="S1150" s="75"/>
      <c r="T1150" s="75"/>
      <c r="U1150" s="65"/>
      <c r="V1150" s="62"/>
      <c r="W1150" s="65"/>
      <c r="X1150" s="62"/>
      <c r="Y1150" s="65"/>
      <c r="Z1150" s="73"/>
    </row>
    <row r="1151" spans="1:26" ht="15.75" hidden="1" customHeight="1" x14ac:dyDescent="0.25">
      <c r="A1151" s="67">
        <v>5</v>
      </c>
      <c r="B1151" s="68">
        <v>70252687</v>
      </c>
      <c r="C1151" s="68" t="s">
        <v>25340</v>
      </c>
      <c r="D1151" s="68" t="s">
        <v>25248</v>
      </c>
      <c r="E1151" s="68" t="s">
        <v>25359</v>
      </c>
      <c r="F1151" s="68" t="s">
        <v>25020</v>
      </c>
      <c r="G1151" s="81" t="s">
        <v>19285</v>
      </c>
      <c r="H1151" s="69">
        <v>45804</v>
      </c>
      <c r="I1151" s="69">
        <v>45833</v>
      </c>
      <c r="J1151" s="68">
        <v>30</v>
      </c>
      <c r="K1151" s="68">
        <v>30</v>
      </c>
      <c r="L1151" s="68" t="s">
        <v>19262</v>
      </c>
      <c r="M1151" s="68" t="s">
        <v>19262</v>
      </c>
      <c r="N1151" s="62" t="s">
        <v>19269</v>
      </c>
      <c r="O1151" s="68" t="s">
        <v>1073</v>
      </c>
      <c r="P1151" s="42" t="str">
        <f>+IF(O1151="","",IFERROR(VLOOKUP(O1151,CODIGO_DIAGNOSTICO,2,0),"CÓDIGO NO ENCONTRADO"))</f>
        <v>TUMOR MALIGNO DE LA PROSTATA</v>
      </c>
      <c r="Q1151" s="68" t="s">
        <v>26059</v>
      </c>
      <c r="R1151" s="67"/>
      <c r="S1151" s="77"/>
      <c r="T1151" s="76"/>
      <c r="U1151" s="65"/>
      <c r="V1151" s="68"/>
      <c r="W1151" s="70"/>
      <c r="X1151" s="68"/>
      <c r="Y1151" s="70"/>
      <c r="Z1151" s="72"/>
    </row>
    <row r="1152" spans="1:26" ht="15.75" hidden="1" customHeight="1" x14ac:dyDescent="0.25">
      <c r="A1152" s="64">
        <v>5</v>
      </c>
      <c r="B1152" s="62">
        <v>1214716619</v>
      </c>
      <c r="C1152" s="62" t="s">
        <v>25219</v>
      </c>
      <c r="D1152" s="62" t="s">
        <v>25456</v>
      </c>
      <c r="E1152" s="62" t="s">
        <v>25352</v>
      </c>
      <c r="F1152" s="62"/>
      <c r="G1152" s="81" t="s">
        <v>19285</v>
      </c>
      <c r="H1152" s="63">
        <v>45805</v>
      </c>
      <c r="I1152" s="63">
        <v>45807</v>
      </c>
      <c r="J1152" s="62">
        <v>3</v>
      </c>
      <c r="K1152" s="62">
        <v>3</v>
      </c>
      <c r="L1152" s="62" t="s">
        <v>24995</v>
      </c>
      <c r="M1152" s="62" t="s">
        <v>24995</v>
      </c>
      <c r="N1152" s="62" t="s">
        <v>19269</v>
      </c>
      <c r="O1152" s="62" t="s">
        <v>7738</v>
      </c>
      <c r="P1152" s="42" t="str">
        <f>+IF(O1152="","",IFERROR(VLOOKUP(O1152,CODIGO_DIAGNOSTICO,2,0),"CÓDIGO NO ENCONTRADO"))</f>
        <v>ESGUINCES Y TORCEDURAS DE OTRAS PARTES Y LAS NO ESPECIFICADAS DE LA RODILLA</v>
      </c>
      <c r="Q1152" s="62" t="s">
        <v>19230</v>
      </c>
      <c r="R1152" s="64"/>
      <c r="S1152" s="75"/>
      <c r="T1152" s="75"/>
      <c r="U1152" s="65"/>
      <c r="V1152" s="62"/>
      <c r="W1152" s="65"/>
      <c r="X1152" s="62"/>
      <c r="Y1152" s="65"/>
      <c r="Z1152" s="73"/>
    </row>
    <row r="1153" spans="1:26" ht="15.75" hidden="1" customHeight="1" x14ac:dyDescent="0.25">
      <c r="A1153" s="67">
        <v>5</v>
      </c>
      <c r="B1153" s="68">
        <v>1036622798</v>
      </c>
      <c r="C1153" s="68" t="s">
        <v>25272</v>
      </c>
      <c r="D1153" s="68" t="s">
        <v>25137</v>
      </c>
      <c r="E1153" s="68" t="s">
        <v>26035</v>
      </c>
      <c r="F1153" s="68" t="s">
        <v>26146</v>
      </c>
      <c r="G1153" s="81" t="s">
        <v>19285</v>
      </c>
      <c r="H1153" s="69">
        <v>45806</v>
      </c>
      <c r="I1153" s="69">
        <v>45807</v>
      </c>
      <c r="J1153" s="68">
        <v>2</v>
      </c>
      <c r="K1153" s="68">
        <v>2</v>
      </c>
      <c r="L1153" s="68" t="s">
        <v>24995</v>
      </c>
      <c r="M1153" s="68" t="s">
        <v>24995</v>
      </c>
      <c r="N1153" s="62" t="s">
        <v>19269</v>
      </c>
      <c r="O1153" s="68" t="s">
        <v>3575</v>
      </c>
      <c r="P1153" s="42" t="str">
        <f>+IF(O1153="","",IFERROR(VLOOKUP(O1153,CODIGO_DIAGNOSTICO,2,0),"CÓDIGO NO ENCONTRADO"))</f>
        <v>AMIGDALITIS AGUDA, NO ESPECIFICADA</v>
      </c>
      <c r="Q1153" s="68" t="s">
        <v>26059</v>
      </c>
      <c r="R1153" s="67"/>
      <c r="S1153" s="77"/>
      <c r="T1153" s="76"/>
      <c r="U1153" s="65"/>
      <c r="V1153" s="68"/>
      <c r="W1153" s="70"/>
      <c r="X1153" s="68"/>
      <c r="Y1153" s="70"/>
      <c r="Z1153" s="72"/>
    </row>
    <row r="1154" spans="1:26" ht="15.75" hidden="1" customHeight="1" x14ac:dyDescent="0.25">
      <c r="A1154" s="64">
        <v>5</v>
      </c>
      <c r="B1154" s="62">
        <v>71676289</v>
      </c>
      <c r="C1154" s="62" t="s">
        <v>25702</v>
      </c>
      <c r="D1154" s="62" t="s">
        <v>25214</v>
      </c>
      <c r="E1154" s="62" t="s">
        <v>25016</v>
      </c>
      <c r="F1154" s="62" t="s">
        <v>25004</v>
      </c>
      <c r="G1154" s="81" t="s">
        <v>19285</v>
      </c>
      <c r="H1154" s="63">
        <v>45807</v>
      </c>
      <c r="I1154" s="63">
        <v>45821</v>
      </c>
      <c r="J1154" s="62">
        <v>15</v>
      </c>
      <c r="K1154" s="62">
        <v>15</v>
      </c>
      <c r="L1154" s="62" t="s">
        <v>19262</v>
      </c>
      <c r="M1154" s="62" t="s">
        <v>19262</v>
      </c>
      <c r="N1154" s="62" t="s">
        <v>19269</v>
      </c>
      <c r="O1154" s="62" t="s">
        <v>5006</v>
      </c>
      <c r="P1154" s="42" t="str">
        <f>+IF(O1154="","",IFERROR(VLOOKUP(O1154,CODIGO_DIAGNOSTICO,2,0),"CÓDIGO NO ENCONTRADO"))</f>
        <v>OSTEOMIELITIS, NO ESPECIFICADA</v>
      </c>
      <c r="Q1154" s="62" t="s">
        <v>26059</v>
      </c>
      <c r="R1154" s="64"/>
      <c r="S1154" s="75"/>
      <c r="T1154" s="75"/>
      <c r="U1154" s="65"/>
      <c r="V1154" s="62"/>
      <c r="W1154" s="65"/>
      <c r="X1154" s="62"/>
      <c r="Y1154" s="65"/>
      <c r="Z1154" s="73"/>
    </row>
    <row r="1155" spans="1:26" ht="15.75" hidden="1" customHeight="1" x14ac:dyDescent="0.25">
      <c r="A1155" s="67">
        <v>5</v>
      </c>
      <c r="B1155" s="68">
        <v>1193146088</v>
      </c>
      <c r="C1155" s="68" t="s">
        <v>25553</v>
      </c>
      <c r="D1155" s="68" t="s">
        <v>25372</v>
      </c>
      <c r="E1155" s="68" t="s">
        <v>26439</v>
      </c>
      <c r="F1155" s="68"/>
      <c r="G1155" s="81" t="s">
        <v>19285</v>
      </c>
      <c r="H1155" s="69">
        <v>45808</v>
      </c>
      <c r="I1155" s="69">
        <v>45778</v>
      </c>
      <c r="J1155" s="68">
        <v>2</v>
      </c>
      <c r="K1155" s="68">
        <v>2</v>
      </c>
      <c r="L1155" s="68" t="s">
        <v>24995</v>
      </c>
      <c r="M1155" s="68" t="s">
        <v>24995</v>
      </c>
      <c r="N1155" s="62" t="s">
        <v>19269</v>
      </c>
      <c r="O1155" s="68" t="s">
        <v>3586</v>
      </c>
      <c r="P1155" s="42" t="str">
        <f>+IF(O1155="","",IFERROR(VLOOKUP(O1155,CODIGO_DIAGNOSTICO,2,0),"CÓDIGO NO ENCONTRADO"))</f>
        <v>INFLUENZA, CON OTRAS MANIFESTACIONES, DEBIDA A VIRUS DE LA INFLUENZA IDENTIFICADO</v>
      </c>
      <c r="Q1155" s="68" t="s">
        <v>26059</v>
      </c>
      <c r="R1155" s="67"/>
      <c r="S1155" s="77"/>
      <c r="T1155" s="76"/>
      <c r="U1155" s="65"/>
      <c r="V1155" s="68"/>
      <c r="W1155" s="70"/>
      <c r="X1155" s="68"/>
      <c r="Y1155" s="70"/>
      <c r="Z1155" s="72"/>
    </row>
    <row r="1156" spans="1:26" ht="15.75" hidden="1" customHeight="1" x14ac:dyDescent="0.25">
      <c r="A1156" s="64">
        <v>6</v>
      </c>
      <c r="B1156" s="62">
        <v>1000763840</v>
      </c>
      <c r="C1156" s="62" t="s">
        <v>24998</v>
      </c>
      <c r="D1156" s="62" t="s">
        <v>25177</v>
      </c>
      <c r="E1156" s="62" t="s">
        <v>25524</v>
      </c>
      <c r="F1156" s="62"/>
      <c r="G1156" s="81" t="s">
        <v>19285</v>
      </c>
      <c r="H1156" s="63">
        <v>45809</v>
      </c>
      <c r="I1156" s="63">
        <v>45822</v>
      </c>
      <c r="J1156" s="62">
        <v>14</v>
      </c>
      <c r="K1156" s="62">
        <v>14</v>
      </c>
      <c r="L1156" s="62" t="s">
        <v>24995</v>
      </c>
      <c r="M1156" s="62" t="s">
        <v>24995</v>
      </c>
      <c r="N1156" s="62" t="s">
        <v>19269</v>
      </c>
      <c r="O1156" s="62" t="s">
        <v>5851</v>
      </c>
      <c r="P1156" s="42" t="str">
        <f>+IF(O1156="","",IFERROR(VLOOKUP(O1156,CODIGO_DIAGNOSTICO,2,0),"CÓDIGO NO ENCONTRADO"))</f>
        <v>PARTO UNICO ESPONTANEO, PRESENTACION CEFALICA DE VERTICE</v>
      </c>
      <c r="Q1156" s="62" t="s">
        <v>26059</v>
      </c>
      <c r="R1156" s="64"/>
      <c r="S1156" s="75"/>
      <c r="T1156" s="75"/>
      <c r="U1156" s="65"/>
      <c r="V1156" s="62"/>
      <c r="W1156" s="65"/>
      <c r="X1156" s="62"/>
      <c r="Y1156" s="65"/>
      <c r="Z1156" s="73"/>
    </row>
    <row r="1157" spans="1:26" ht="15.75" hidden="1" customHeight="1" x14ac:dyDescent="0.25">
      <c r="A1157" s="67">
        <v>6</v>
      </c>
      <c r="B1157" s="68">
        <v>98601485</v>
      </c>
      <c r="C1157" s="68" t="s">
        <v>25240</v>
      </c>
      <c r="D1157" s="68"/>
      <c r="E1157" s="68" t="s">
        <v>25241</v>
      </c>
      <c r="F1157" s="68" t="s">
        <v>25103</v>
      </c>
      <c r="G1157" s="81" t="s">
        <v>25328</v>
      </c>
      <c r="H1157" s="69">
        <v>45811</v>
      </c>
      <c r="I1157" s="69">
        <v>45825</v>
      </c>
      <c r="J1157" s="68">
        <v>15</v>
      </c>
      <c r="K1157" s="68">
        <v>15</v>
      </c>
      <c r="L1157" s="68" t="s">
        <v>19262</v>
      </c>
      <c r="M1157" s="68" t="s">
        <v>19262</v>
      </c>
      <c r="N1157" s="62" t="s">
        <v>19269</v>
      </c>
      <c r="O1157" s="68" t="s">
        <v>8419</v>
      </c>
      <c r="P1157" s="42" t="str">
        <f>+IF(O1157="","",IFERROR(VLOOKUP(O1157,CODIGO_DIAGNOSTICO,2,0),"CÓDIGO NO ENCONTRADO"))</f>
        <v>COMPLICACION MECANICA DE OTROS DISPOSITIVOS PROTESICOS, IMPLANTES E INJERTOS ORTOPEDICOS INTERNOS</v>
      </c>
      <c r="Q1157" s="68" t="s">
        <v>26059</v>
      </c>
      <c r="R1157" s="67"/>
      <c r="S1157" s="77"/>
      <c r="T1157" s="76"/>
      <c r="U1157" s="65"/>
      <c r="V1157" s="68"/>
      <c r="W1157" s="70"/>
      <c r="X1157" s="68"/>
      <c r="Y1157" s="70"/>
      <c r="Z1157" s="72"/>
    </row>
    <row r="1158" spans="1:26" ht="15.75" hidden="1" customHeight="1" x14ac:dyDescent="0.25">
      <c r="A1158" s="64">
        <v>6</v>
      </c>
      <c r="B1158" s="62">
        <v>71771838</v>
      </c>
      <c r="C1158" s="62" t="s">
        <v>26441</v>
      </c>
      <c r="D1158" s="62" t="s">
        <v>25379</v>
      </c>
      <c r="E1158" s="62" t="s">
        <v>25603</v>
      </c>
      <c r="F1158" s="62"/>
      <c r="G1158" s="81" t="s">
        <v>19285</v>
      </c>
      <c r="H1158" s="63">
        <v>45811</v>
      </c>
      <c r="I1158" s="63">
        <v>45819</v>
      </c>
      <c r="J1158" s="62">
        <v>9</v>
      </c>
      <c r="K1158" s="62">
        <v>9</v>
      </c>
      <c r="L1158" s="62" t="s">
        <v>24995</v>
      </c>
      <c r="M1158" s="62" t="s">
        <v>24995</v>
      </c>
      <c r="N1158" s="62" t="s">
        <v>19269</v>
      </c>
      <c r="O1158" s="62" t="s">
        <v>7077</v>
      </c>
      <c r="P1158" s="42" t="str">
        <f>+IF(O1158="","",IFERROR(VLOOKUP(O1158,CODIGO_DIAGNOSTICO,2,0),"CÓDIGO NO ENCONTRADO"))</f>
        <v>EDEMA, NO ESPECIFICADO</v>
      </c>
      <c r="Q1158" s="62" t="s">
        <v>26059</v>
      </c>
      <c r="R1158" s="64"/>
      <c r="S1158" s="75"/>
      <c r="T1158" s="75"/>
      <c r="U1158" s="65"/>
      <c r="V1158" s="62"/>
      <c r="W1158" s="65"/>
      <c r="X1158" s="62"/>
      <c r="Y1158" s="65"/>
      <c r="Z1158" s="73"/>
    </row>
    <row r="1159" spans="1:26" ht="15.75" hidden="1" customHeight="1" x14ac:dyDescent="0.25">
      <c r="A1159" s="67">
        <v>6</v>
      </c>
      <c r="B1159" s="68">
        <v>1146442150</v>
      </c>
      <c r="C1159" s="68" t="s">
        <v>25449</v>
      </c>
      <c r="D1159" s="68" t="s">
        <v>25498</v>
      </c>
      <c r="E1159" s="68" t="s">
        <v>19278</v>
      </c>
      <c r="F1159" s="68" t="s">
        <v>26257</v>
      </c>
      <c r="G1159" s="81" t="s">
        <v>19285</v>
      </c>
      <c r="H1159" s="69">
        <v>45812</v>
      </c>
      <c r="I1159" s="69">
        <v>45841</v>
      </c>
      <c r="J1159" s="68">
        <v>30</v>
      </c>
      <c r="K1159" s="68">
        <v>30</v>
      </c>
      <c r="L1159" s="68" t="s">
        <v>19262</v>
      </c>
      <c r="M1159" s="68" t="s">
        <v>19262</v>
      </c>
      <c r="N1159" s="62" t="s">
        <v>19269</v>
      </c>
      <c r="O1159" s="68" t="s">
        <v>7503</v>
      </c>
      <c r="P1159" s="42" t="str">
        <f>+IF(O1159="","",IFERROR(VLOOKUP(O1159,CODIGO_DIAGNOSTICO,2,0),"CÓDIGO NO ENCONTRADO"))</f>
        <v>FRACTURA DE LA DIAFISIS DEL HUMERO</v>
      </c>
      <c r="Q1159" s="68" t="s">
        <v>19288</v>
      </c>
      <c r="R1159" s="67"/>
      <c r="S1159" s="77"/>
      <c r="T1159" s="76"/>
      <c r="U1159" s="65"/>
      <c r="V1159" s="68"/>
      <c r="W1159" s="70"/>
      <c r="X1159" s="68"/>
      <c r="Y1159" s="70"/>
      <c r="Z1159" s="72"/>
    </row>
    <row r="1160" spans="1:26" ht="15.75" hidden="1" customHeight="1" x14ac:dyDescent="0.25">
      <c r="A1160" s="64">
        <v>6</v>
      </c>
      <c r="B1160" s="62">
        <v>12625299</v>
      </c>
      <c r="C1160" s="62" t="s">
        <v>25321</v>
      </c>
      <c r="D1160" s="62" t="s">
        <v>25322</v>
      </c>
      <c r="E1160" s="62" t="s">
        <v>25323</v>
      </c>
      <c r="F1160" s="62" t="s">
        <v>25057</v>
      </c>
      <c r="G1160" s="81" t="s">
        <v>19285</v>
      </c>
      <c r="H1160" s="63">
        <v>45812</v>
      </c>
      <c r="I1160" s="63">
        <v>45826</v>
      </c>
      <c r="J1160" s="62">
        <v>15</v>
      </c>
      <c r="K1160" s="62">
        <v>15</v>
      </c>
      <c r="L1160" s="62" t="s">
        <v>19262</v>
      </c>
      <c r="M1160" s="62" t="s">
        <v>19262</v>
      </c>
      <c r="N1160" s="62" t="s">
        <v>19269</v>
      </c>
      <c r="O1160" s="62" t="s">
        <v>3284</v>
      </c>
      <c r="P1160" s="42" t="str">
        <f>+IF(O1160="","",IFERROR(VLOOKUP(O1160,CODIGO_DIAGNOSTICO,2,0),"CÓDIGO NO ENCONTRADO"))</f>
        <v>ENDOCARDITIS INFECCIOSA AGUDA Y SUBAGUDA</v>
      </c>
      <c r="Q1160" s="62" t="s">
        <v>26059</v>
      </c>
      <c r="R1160" s="64"/>
      <c r="S1160" s="75"/>
      <c r="T1160" s="75"/>
      <c r="U1160" s="65"/>
      <c r="V1160" s="62"/>
      <c r="W1160" s="65"/>
      <c r="X1160" s="62"/>
      <c r="Y1160" s="65"/>
      <c r="Z1160" s="73"/>
    </row>
    <row r="1161" spans="1:26" ht="15.75" hidden="1" customHeight="1" x14ac:dyDescent="0.25">
      <c r="A1161" s="67">
        <v>6</v>
      </c>
      <c r="B1161" s="68">
        <v>1146442150</v>
      </c>
      <c r="C1161" s="68" t="s">
        <v>25449</v>
      </c>
      <c r="D1161" s="68" t="s">
        <v>25498</v>
      </c>
      <c r="E1161" s="68" t="s">
        <v>19278</v>
      </c>
      <c r="F1161" s="68" t="s">
        <v>26257</v>
      </c>
      <c r="G1161" s="81" t="s">
        <v>19285</v>
      </c>
      <c r="H1161" s="69">
        <v>45812</v>
      </c>
      <c r="I1161" s="69">
        <v>45841</v>
      </c>
      <c r="J1161" s="68">
        <v>30</v>
      </c>
      <c r="K1161" s="68">
        <v>30</v>
      </c>
      <c r="L1161" s="68" t="s">
        <v>19262</v>
      </c>
      <c r="M1161" s="68" t="s">
        <v>19262</v>
      </c>
      <c r="N1161" s="62" t="s">
        <v>19269</v>
      </c>
      <c r="O1161" s="68" t="s">
        <v>7503</v>
      </c>
      <c r="P1161" s="42" t="str">
        <f>+IF(O1161="","",IFERROR(VLOOKUP(O1161,CODIGO_DIAGNOSTICO,2,0),"CÓDIGO NO ENCONTRADO"))</f>
        <v>FRACTURA DE LA DIAFISIS DEL HUMERO</v>
      </c>
      <c r="Q1161" s="68" t="s">
        <v>25025</v>
      </c>
      <c r="R1161" s="67"/>
      <c r="S1161" s="77"/>
      <c r="T1161" s="76"/>
      <c r="U1161" s="65"/>
      <c r="V1161" s="68"/>
      <c r="W1161" s="70"/>
      <c r="X1161" s="68"/>
      <c r="Y1161" s="70"/>
      <c r="Z1161" s="72"/>
    </row>
    <row r="1162" spans="1:26" ht="15.75" hidden="1" customHeight="1" x14ac:dyDescent="0.25">
      <c r="A1162" s="64">
        <v>6</v>
      </c>
      <c r="B1162" s="62">
        <v>70162686</v>
      </c>
      <c r="C1162" s="62" t="s">
        <v>25093</v>
      </c>
      <c r="D1162" s="62" t="s">
        <v>25229</v>
      </c>
      <c r="E1162" s="62" t="s">
        <v>26131</v>
      </c>
      <c r="F1162" s="62" t="s">
        <v>25135</v>
      </c>
      <c r="G1162" s="81" t="s">
        <v>19285</v>
      </c>
      <c r="H1162" s="63">
        <v>45813</v>
      </c>
      <c r="I1162" s="63">
        <v>45820</v>
      </c>
      <c r="J1162" s="62">
        <v>8</v>
      </c>
      <c r="K1162" s="62">
        <v>8</v>
      </c>
      <c r="L1162" s="62" t="s">
        <v>25995</v>
      </c>
      <c r="M1162" s="62" t="s">
        <v>24995</v>
      </c>
      <c r="N1162" s="62" t="s">
        <v>19269</v>
      </c>
      <c r="O1162" s="62" t="s">
        <v>7721</v>
      </c>
      <c r="P1162" s="42" t="str">
        <f>+IF(O1162="","",IFERROR(VLOOKUP(O1162,CODIGO_DIAGNOSTICO,2,0),"CÓDIGO NO ENCONTRADO"))</f>
        <v>HERIDA DE LA PIERNA, PARTE NO ESPECIFICADA</v>
      </c>
      <c r="Q1162" s="62" t="s">
        <v>25025</v>
      </c>
      <c r="R1162" s="64"/>
      <c r="S1162" s="75"/>
      <c r="T1162" s="75"/>
      <c r="U1162" s="65"/>
      <c r="V1162" s="62"/>
      <c r="W1162" s="65"/>
      <c r="X1162" s="62"/>
      <c r="Y1162" s="65"/>
      <c r="Z1162" s="73"/>
    </row>
    <row r="1163" spans="1:26" ht="15.75" hidden="1" customHeight="1" x14ac:dyDescent="0.25">
      <c r="A1163" s="67">
        <v>6</v>
      </c>
      <c r="B1163" s="68">
        <v>1038799598</v>
      </c>
      <c r="C1163" s="68" t="s">
        <v>25391</v>
      </c>
      <c r="D1163" s="68" t="s">
        <v>25338</v>
      </c>
      <c r="E1163" s="68" t="s">
        <v>25869</v>
      </c>
      <c r="F1163" s="68"/>
      <c r="G1163" s="81" t="s">
        <v>19285</v>
      </c>
      <c r="H1163" s="69">
        <v>45815</v>
      </c>
      <c r="I1163" s="69">
        <v>45816</v>
      </c>
      <c r="J1163" s="68">
        <v>2</v>
      </c>
      <c r="K1163" s="68">
        <v>2</v>
      </c>
      <c r="L1163" s="68" t="s">
        <v>24995</v>
      </c>
      <c r="M1163" s="68" t="s">
        <v>24995</v>
      </c>
      <c r="N1163" s="62" t="s">
        <v>19269</v>
      </c>
      <c r="O1163" s="68" t="s">
        <v>15281</v>
      </c>
      <c r="P1163" s="42" t="str">
        <f>+IF(O1163="","",IFERROR(VLOOKUP(O1163,CODIGO_DIAGNOSTICO,2,0),"CÓDIGO NO ENCONTRADO"))</f>
        <v>RINOFARINGITIS AGUDA (RESFRIADO COMUN)</v>
      </c>
      <c r="Q1163" s="68" t="s">
        <v>26059</v>
      </c>
      <c r="R1163" s="67"/>
      <c r="S1163" s="77"/>
      <c r="T1163" s="76"/>
      <c r="U1163" s="65"/>
      <c r="V1163" s="68"/>
      <c r="W1163" s="70"/>
      <c r="X1163" s="68"/>
      <c r="Y1163" s="70"/>
      <c r="Z1163" s="72"/>
    </row>
    <row r="1164" spans="1:26" ht="15.75" hidden="1" customHeight="1" x14ac:dyDescent="0.25">
      <c r="A1164" s="64">
        <v>6</v>
      </c>
      <c r="B1164" s="62">
        <v>1037975510</v>
      </c>
      <c r="C1164" s="62" t="s">
        <v>24998</v>
      </c>
      <c r="D1164" s="62" t="s">
        <v>25127</v>
      </c>
      <c r="E1164" s="62" t="s">
        <v>25056</v>
      </c>
      <c r="F1164" s="62" t="s">
        <v>25010</v>
      </c>
      <c r="G1164" s="81" t="s">
        <v>19285</v>
      </c>
      <c r="H1164" s="63">
        <v>45815</v>
      </c>
      <c r="I1164" s="63">
        <v>45817</v>
      </c>
      <c r="J1164" s="62">
        <v>3</v>
      </c>
      <c r="K1164" s="62">
        <v>3</v>
      </c>
      <c r="L1164" s="62" t="s">
        <v>24995</v>
      </c>
      <c r="M1164" s="62" t="s">
        <v>24995</v>
      </c>
      <c r="N1164" s="62" t="s">
        <v>19269</v>
      </c>
      <c r="O1164" s="62" t="s">
        <v>4215</v>
      </c>
      <c r="P1164" s="42" t="str">
        <f>+IF(O1164="","",IFERROR(VLOOKUP(O1164,CODIGO_DIAGNOSTICO,2,0),"CÓDIGO NO ENCONTRADO"))</f>
        <v>ABSCESO CUTANEO, FURUNCULO Y ANTRAX DE SITIO NO ESPECIFICADO</v>
      </c>
      <c r="Q1164" s="62" t="s">
        <v>26339</v>
      </c>
      <c r="R1164" s="64"/>
      <c r="S1164" s="75"/>
      <c r="T1164" s="75"/>
      <c r="U1164" s="65"/>
      <c r="V1164" s="62"/>
      <c r="W1164" s="65"/>
      <c r="X1164" s="62"/>
      <c r="Y1164" s="65"/>
      <c r="Z1164" s="73"/>
    </row>
    <row r="1165" spans="1:26" ht="15.75" hidden="1" customHeight="1" x14ac:dyDescent="0.25">
      <c r="A1165" s="67">
        <v>6</v>
      </c>
      <c r="B1165" s="68">
        <v>1041610064</v>
      </c>
      <c r="C1165" s="68" t="s">
        <v>25341</v>
      </c>
      <c r="D1165" s="68" t="s">
        <v>25061</v>
      </c>
      <c r="E1165" s="68" t="s">
        <v>25231</v>
      </c>
      <c r="F1165" s="68" t="s">
        <v>26394</v>
      </c>
      <c r="G1165" s="81" t="s">
        <v>19285</v>
      </c>
      <c r="H1165" s="69">
        <v>45815</v>
      </c>
      <c r="I1165" s="69">
        <v>45815</v>
      </c>
      <c r="J1165" s="68">
        <v>1</v>
      </c>
      <c r="K1165" s="68">
        <v>1</v>
      </c>
      <c r="L1165" s="68" t="s">
        <v>24995</v>
      </c>
      <c r="M1165" s="68" t="s">
        <v>24995</v>
      </c>
      <c r="N1165" s="62" t="s">
        <v>19269</v>
      </c>
      <c r="O1165" s="68" t="s">
        <v>3961</v>
      </c>
      <c r="P1165" s="42" t="str">
        <f>+IF(O1165="","",IFERROR(VLOOKUP(O1165,CODIGO_DIAGNOSTICO,2,0),"CÓDIGO NO ENCONTRADO"))</f>
        <v>DISPEPSIA</v>
      </c>
      <c r="Q1165" s="68" t="s">
        <v>24996</v>
      </c>
      <c r="R1165" s="67"/>
      <c r="S1165" s="77"/>
      <c r="T1165" s="76"/>
      <c r="U1165" s="65"/>
      <c r="V1165" s="68"/>
      <c r="W1165" s="70"/>
      <c r="X1165" s="68"/>
      <c r="Y1165" s="70"/>
      <c r="Z1165" s="72"/>
    </row>
    <row r="1166" spans="1:26" ht="15.75" hidden="1" customHeight="1" x14ac:dyDescent="0.25">
      <c r="A1166" s="64">
        <v>6</v>
      </c>
      <c r="B1166" s="62">
        <v>43600465</v>
      </c>
      <c r="C1166" s="62" t="s">
        <v>25314</v>
      </c>
      <c r="D1166" s="62" t="s">
        <v>25387</v>
      </c>
      <c r="E1166" s="62" t="s">
        <v>25316</v>
      </c>
      <c r="F1166" s="62" t="s">
        <v>25258</v>
      </c>
      <c r="G1166" s="81" t="s">
        <v>26413</v>
      </c>
      <c r="H1166" s="63">
        <v>45815</v>
      </c>
      <c r="I1166" s="63">
        <v>45828</v>
      </c>
      <c r="J1166" s="62">
        <v>14</v>
      </c>
      <c r="K1166" s="62">
        <v>14</v>
      </c>
      <c r="L1166" s="62" t="s">
        <v>19262</v>
      </c>
      <c r="M1166" s="62" t="s">
        <v>19262</v>
      </c>
      <c r="N1166" s="62" t="s">
        <v>19269</v>
      </c>
      <c r="O1166" s="62" t="s">
        <v>4664</v>
      </c>
      <c r="P1166" s="42" t="str">
        <f>+IF(O1166="","",IFERROR(VLOOKUP(O1166,CODIGO_DIAGNOSTICO,2,0),"CÓDIGO NO ENCONTRADO"))</f>
        <v>HALLUX VALGUS (ADQUIRIDO)</v>
      </c>
      <c r="Q1166" s="62" t="s">
        <v>26059</v>
      </c>
      <c r="R1166" s="64"/>
      <c r="S1166" s="75"/>
      <c r="T1166" s="75"/>
      <c r="U1166" s="65"/>
      <c r="V1166" s="62"/>
      <c r="W1166" s="65"/>
      <c r="X1166" s="62"/>
      <c r="Y1166" s="65"/>
      <c r="Z1166" s="73"/>
    </row>
    <row r="1167" spans="1:26" ht="15.75" hidden="1" customHeight="1" x14ac:dyDescent="0.25">
      <c r="A1167" s="67">
        <v>6</v>
      </c>
      <c r="B1167" s="68">
        <v>1037975510</v>
      </c>
      <c r="C1167" s="68" t="s">
        <v>24998</v>
      </c>
      <c r="D1167" s="68" t="s">
        <v>25127</v>
      </c>
      <c r="E1167" s="68" t="s">
        <v>25056</v>
      </c>
      <c r="F1167" s="68" t="s">
        <v>25010</v>
      </c>
      <c r="G1167" s="81" t="s">
        <v>19285</v>
      </c>
      <c r="H1167" s="69">
        <v>45815</v>
      </c>
      <c r="I1167" s="69">
        <v>45817</v>
      </c>
      <c r="J1167" s="68">
        <v>3</v>
      </c>
      <c r="K1167" s="68">
        <v>3</v>
      </c>
      <c r="L1167" s="68" t="s">
        <v>24995</v>
      </c>
      <c r="M1167" s="68" t="s">
        <v>24995</v>
      </c>
      <c r="N1167" s="62" t="s">
        <v>19269</v>
      </c>
      <c r="O1167" s="68" t="s">
        <v>4215</v>
      </c>
      <c r="P1167" s="42" t="str">
        <f>+IF(O1167="","",IFERROR(VLOOKUP(O1167,CODIGO_DIAGNOSTICO,2,0),"CÓDIGO NO ENCONTRADO"))</f>
        <v>ABSCESO CUTANEO, FURUNCULO Y ANTRAX DE SITIO NO ESPECIFICADO</v>
      </c>
      <c r="Q1167" s="68" t="s">
        <v>26339</v>
      </c>
      <c r="R1167" s="67"/>
      <c r="S1167" s="77"/>
      <c r="T1167" s="76"/>
      <c r="U1167" s="65"/>
      <c r="V1167" s="68"/>
      <c r="W1167" s="70"/>
      <c r="X1167" s="68"/>
      <c r="Y1167" s="70"/>
      <c r="Z1167" s="72"/>
    </row>
    <row r="1168" spans="1:26" ht="15.75" hidden="1" customHeight="1" x14ac:dyDescent="0.25">
      <c r="A1168" s="64">
        <v>6</v>
      </c>
      <c r="B1168" s="62">
        <v>15932863</v>
      </c>
      <c r="C1168" s="62" t="s">
        <v>25269</v>
      </c>
      <c r="D1168" s="62" t="s">
        <v>25083</v>
      </c>
      <c r="E1168" s="62" t="s">
        <v>26080</v>
      </c>
      <c r="F1168" s="62"/>
      <c r="G1168" s="81" t="s">
        <v>19285</v>
      </c>
      <c r="H1168" s="63">
        <v>45817</v>
      </c>
      <c r="I1168" s="63">
        <v>45817</v>
      </c>
      <c r="J1168" s="62">
        <v>1</v>
      </c>
      <c r="K1168" s="62">
        <v>1</v>
      </c>
      <c r="L1168" s="62" t="s">
        <v>24995</v>
      </c>
      <c r="M1168" s="62" t="s">
        <v>24995</v>
      </c>
      <c r="N1168" s="62" t="s">
        <v>19269</v>
      </c>
      <c r="O1168" s="62" t="s">
        <v>4650</v>
      </c>
      <c r="P1168" s="42" t="str">
        <f>+IF(O1168="","",IFERROR(VLOOKUP(O1168,CODIGO_DIAGNOSTICO,2,0),"CÓDIGO NO ENCONTRADO"))</f>
        <v>GONARTROSIS, NO ESPECIFICADA</v>
      </c>
      <c r="Q1168" s="62" t="s">
        <v>26339</v>
      </c>
      <c r="R1168" s="64"/>
      <c r="S1168" s="75"/>
      <c r="T1168" s="75"/>
      <c r="U1168" s="65"/>
      <c r="V1168" s="62"/>
      <c r="W1168" s="65"/>
      <c r="X1168" s="62"/>
      <c r="Y1168" s="65"/>
      <c r="Z1168" s="73"/>
    </row>
    <row r="1169" spans="1:26" ht="15.75" hidden="1" customHeight="1" x14ac:dyDescent="0.25">
      <c r="A1169" s="67">
        <v>6</v>
      </c>
      <c r="B1169" s="68">
        <v>1214737996</v>
      </c>
      <c r="C1169" s="68" t="s">
        <v>25547</v>
      </c>
      <c r="D1169" s="68" t="s">
        <v>25969</v>
      </c>
      <c r="E1169" s="68" t="s">
        <v>25970</v>
      </c>
      <c r="F1169" s="68" t="s">
        <v>25060</v>
      </c>
      <c r="G1169" s="81" t="s">
        <v>19285</v>
      </c>
      <c r="H1169" s="69">
        <v>45818</v>
      </c>
      <c r="I1169" s="69">
        <v>45834</v>
      </c>
      <c r="J1169" s="68">
        <v>17</v>
      </c>
      <c r="K1169" s="68">
        <v>17</v>
      </c>
      <c r="L1169" s="68" t="s">
        <v>19262</v>
      </c>
      <c r="M1169" s="68" t="s">
        <v>19262</v>
      </c>
      <c r="N1169" s="62" t="s">
        <v>19269</v>
      </c>
      <c r="O1169" s="68" t="s">
        <v>7723</v>
      </c>
      <c r="P1169" s="42" t="str">
        <f>+IF(O1169="","",IFERROR(VLOOKUP(O1169,CODIGO_DIAGNOSTICO,2,0),"CÓDIGO NO ENCONTRADO"))</f>
        <v>FRACTURA DE LA EPIFISIS SUPERIOR DE LA TIBIA</v>
      </c>
      <c r="Q1169" s="68" t="s">
        <v>26339</v>
      </c>
      <c r="R1169" s="67"/>
      <c r="S1169" s="77"/>
      <c r="T1169" s="76"/>
      <c r="U1169" s="65"/>
      <c r="V1169" s="68"/>
      <c r="W1169" s="70"/>
      <c r="X1169" s="68"/>
      <c r="Y1169" s="70"/>
      <c r="Z1169" s="72"/>
    </row>
    <row r="1170" spans="1:26" ht="15.75" hidden="1" customHeight="1" x14ac:dyDescent="0.25">
      <c r="A1170" s="64">
        <v>6</v>
      </c>
      <c r="B1170" s="62">
        <v>15932863</v>
      </c>
      <c r="C1170" s="62" t="s">
        <v>25269</v>
      </c>
      <c r="D1170" s="62" t="s">
        <v>25083</v>
      </c>
      <c r="E1170" s="62" t="s">
        <v>26080</v>
      </c>
      <c r="F1170" s="62"/>
      <c r="G1170" s="81" t="s">
        <v>19285</v>
      </c>
      <c r="H1170" s="63">
        <v>45819</v>
      </c>
      <c r="I1170" s="63">
        <v>45828</v>
      </c>
      <c r="J1170" s="62">
        <v>10</v>
      </c>
      <c r="K1170" s="62">
        <v>10</v>
      </c>
      <c r="L1170" s="62" t="s">
        <v>24995</v>
      </c>
      <c r="M1170" s="62" t="s">
        <v>24995</v>
      </c>
      <c r="N1170" s="62" t="s">
        <v>19269</v>
      </c>
      <c r="O1170" s="62" t="s">
        <v>4650</v>
      </c>
      <c r="P1170" s="42" t="str">
        <f>+IF(O1170="","",IFERROR(VLOOKUP(O1170,CODIGO_DIAGNOSTICO,2,0),"CÓDIGO NO ENCONTRADO"))</f>
        <v>GONARTROSIS, NO ESPECIFICADA</v>
      </c>
      <c r="Q1170" s="62" t="s">
        <v>26339</v>
      </c>
      <c r="R1170" s="64"/>
      <c r="S1170" s="75"/>
      <c r="T1170" s="75"/>
      <c r="U1170" s="65"/>
      <c r="V1170" s="62"/>
      <c r="W1170" s="65"/>
      <c r="X1170" s="62"/>
      <c r="Y1170" s="65"/>
      <c r="Z1170" s="73"/>
    </row>
    <row r="1171" spans="1:26" ht="15.75" hidden="1" customHeight="1" x14ac:dyDescent="0.25">
      <c r="A1171" s="67">
        <v>6</v>
      </c>
      <c r="B1171" s="68">
        <v>8056876</v>
      </c>
      <c r="C1171" s="68" t="s">
        <v>25314</v>
      </c>
      <c r="D1171" s="68" t="s">
        <v>25254</v>
      </c>
      <c r="E1171" s="68" t="s">
        <v>24986</v>
      </c>
      <c r="F1171" s="68" t="s">
        <v>25040</v>
      </c>
      <c r="G1171" s="81" t="s">
        <v>19285</v>
      </c>
      <c r="H1171" s="69">
        <v>45819</v>
      </c>
      <c r="I1171" s="69">
        <v>45833</v>
      </c>
      <c r="J1171" s="68">
        <v>15</v>
      </c>
      <c r="K1171" s="68">
        <v>15</v>
      </c>
      <c r="L1171" s="68" t="s">
        <v>24995</v>
      </c>
      <c r="M1171" s="68" t="s">
        <v>24995</v>
      </c>
      <c r="N1171" s="62" t="s">
        <v>19269</v>
      </c>
      <c r="O1171" s="68" t="s">
        <v>7720</v>
      </c>
      <c r="P1171" s="42" t="str">
        <f>+IF(O1171="","",IFERROR(VLOOKUP(O1171,CODIGO_DIAGNOSTICO,2,0),"CÓDIGO NO ENCONTRADO"))</f>
        <v>HERIDA DE OTRAS PARTES DE LA PIERNA</v>
      </c>
      <c r="Q1171" s="68" t="s">
        <v>19288</v>
      </c>
      <c r="R1171" s="67"/>
      <c r="S1171" s="77"/>
      <c r="T1171" s="76"/>
      <c r="U1171" s="65"/>
      <c r="V1171" s="68"/>
      <c r="W1171" s="70"/>
      <c r="X1171" s="68"/>
      <c r="Y1171" s="70"/>
      <c r="Z1171" s="72"/>
    </row>
    <row r="1172" spans="1:26" ht="15.75" hidden="1" customHeight="1" x14ac:dyDescent="0.25">
      <c r="A1172" s="64">
        <v>6</v>
      </c>
      <c r="B1172" s="62">
        <v>1040049016</v>
      </c>
      <c r="C1172" s="62" t="s">
        <v>25930</v>
      </c>
      <c r="D1172" s="62" t="s">
        <v>25230</v>
      </c>
      <c r="E1172" s="62" t="s">
        <v>26289</v>
      </c>
      <c r="F1172" s="62"/>
      <c r="G1172" s="81" t="s">
        <v>19285</v>
      </c>
      <c r="H1172" s="63">
        <v>45819</v>
      </c>
      <c r="I1172" s="63">
        <v>45820</v>
      </c>
      <c r="J1172" s="62">
        <v>2</v>
      </c>
      <c r="K1172" s="62">
        <v>2</v>
      </c>
      <c r="L1172" s="62" t="s">
        <v>24995</v>
      </c>
      <c r="M1172" s="62" t="s">
        <v>24995</v>
      </c>
      <c r="N1172" s="62" t="s">
        <v>19269</v>
      </c>
      <c r="O1172" s="62" t="s">
        <v>4695</v>
      </c>
      <c r="P1172" s="42" t="str">
        <f>+IF(O1172="","",IFERROR(VLOOKUP(O1172,CODIGO_DIAGNOSTICO,2,0),"CÓDIGO NO ENCONTRADO"))</f>
        <v>TRASTORNOS INTERNO DE LA RODILLA, NO ESPECIFICADO</v>
      </c>
      <c r="Q1172" s="62" t="s">
        <v>26059</v>
      </c>
      <c r="R1172" s="64"/>
      <c r="S1172" s="75"/>
      <c r="T1172" s="75"/>
      <c r="U1172" s="65"/>
      <c r="V1172" s="62"/>
      <c r="W1172" s="65"/>
      <c r="X1172" s="62"/>
      <c r="Y1172" s="65"/>
      <c r="Z1172" s="73"/>
    </row>
    <row r="1173" spans="1:26" ht="15.75" hidden="1" customHeight="1" x14ac:dyDescent="0.25">
      <c r="A1173" s="67">
        <v>6</v>
      </c>
      <c r="B1173" s="68">
        <v>1000394285</v>
      </c>
      <c r="C1173" s="68" t="s">
        <v>26188</v>
      </c>
      <c r="D1173" s="68" t="s">
        <v>26399</v>
      </c>
      <c r="E1173" s="68" t="s">
        <v>26411</v>
      </c>
      <c r="F1173" s="68" t="s">
        <v>25177</v>
      </c>
      <c r="G1173" s="81" t="s">
        <v>19285</v>
      </c>
      <c r="H1173" s="69">
        <v>45819</v>
      </c>
      <c r="I1173" s="69">
        <v>45824</v>
      </c>
      <c r="J1173" s="68">
        <v>6</v>
      </c>
      <c r="K1173" s="68">
        <v>6</v>
      </c>
      <c r="L1173" s="68" t="s">
        <v>24995</v>
      </c>
      <c r="M1173" s="68" t="s">
        <v>24995</v>
      </c>
      <c r="N1173" s="62" t="s">
        <v>19269</v>
      </c>
      <c r="O1173" s="68" t="s">
        <v>3757</v>
      </c>
      <c r="P1173" s="42" t="str">
        <f>+IF(O1173="","",IFERROR(VLOOKUP(O1173,CODIGO_DIAGNOSTICO,2,0),"CÓDIGO NO ENCONTRADO"))</f>
        <v>DERRAME PLEURAL NO CLASIFICADO EN OTRA PARTE</v>
      </c>
      <c r="Q1173" s="68" t="s">
        <v>26059</v>
      </c>
      <c r="R1173" s="67"/>
      <c r="S1173" s="77"/>
      <c r="T1173" s="76"/>
      <c r="U1173" s="65"/>
      <c r="V1173" s="68"/>
      <c r="W1173" s="70"/>
      <c r="X1173" s="68"/>
      <c r="Y1173" s="70"/>
      <c r="Z1173" s="72"/>
    </row>
    <row r="1174" spans="1:26" ht="15.75" hidden="1" customHeight="1" x14ac:dyDescent="0.25">
      <c r="A1174" s="64">
        <v>6</v>
      </c>
      <c r="B1174" s="62">
        <v>71771838</v>
      </c>
      <c r="C1174" s="62" t="s">
        <v>26441</v>
      </c>
      <c r="D1174" s="62" t="s">
        <v>25379</v>
      </c>
      <c r="E1174" s="62" t="s">
        <v>25603</v>
      </c>
      <c r="F1174" s="62"/>
      <c r="G1174" s="81" t="s">
        <v>19285</v>
      </c>
      <c r="H1174" s="63">
        <v>45820</v>
      </c>
      <c r="I1174" s="63">
        <v>45821</v>
      </c>
      <c r="J1174" s="62">
        <v>2</v>
      </c>
      <c r="K1174" s="62">
        <v>2</v>
      </c>
      <c r="L1174" s="62" t="s">
        <v>24995</v>
      </c>
      <c r="M1174" s="62" t="s">
        <v>24995</v>
      </c>
      <c r="N1174" s="62" t="s">
        <v>19269</v>
      </c>
      <c r="O1174" s="62" t="s">
        <v>6916</v>
      </c>
      <c r="P1174" s="42" t="str">
        <f>+IF(O1174="","",IFERROR(VLOOKUP(O1174,CODIGO_DIAGNOSTICO,2,0),"CÓDIGO NO ENCONTRADO"))</f>
        <v>DISNEA</v>
      </c>
      <c r="Q1174" s="62" t="s">
        <v>26059</v>
      </c>
      <c r="R1174" s="64"/>
      <c r="S1174" s="75"/>
      <c r="T1174" s="75"/>
      <c r="U1174" s="65"/>
      <c r="V1174" s="62"/>
      <c r="W1174" s="65"/>
      <c r="X1174" s="62"/>
      <c r="Y1174" s="65"/>
      <c r="Z1174" s="73"/>
    </row>
    <row r="1175" spans="1:26" ht="15.75" hidden="1" customHeight="1" x14ac:dyDescent="0.25">
      <c r="A1175" s="67">
        <v>6</v>
      </c>
      <c r="B1175" s="68">
        <v>15305525</v>
      </c>
      <c r="C1175" s="68" t="s">
        <v>26417</v>
      </c>
      <c r="D1175" s="68" t="s">
        <v>25026</v>
      </c>
      <c r="E1175" s="68" t="s">
        <v>26418</v>
      </c>
      <c r="F1175" s="68" t="s">
        <v>24982</v>
      </c>
      <c r="G1175" s="81" t="s">
        <v>19285</v>
      </c>
      <c r="H1175" s="69">
        <v>45820</v>
      </c>
      <c r="I1175" s="69">
        <v>45822</v>
      </c>
      <c r="J1175" s="68">
        <v>3</v>
      </c>
      <c r="K1175" s="68">
        <v>3</v>
      </c>
      <c r="L1175" s="68" t="s">
        <v>24995</v>
      </c>
      <c r="M1175" s="68" t="s">
        <v>24995</v>
      </c>
      <c r="N1175" s="62" t="s">
        <v>19269</v>
      </c>
      <c r="O1175" s="68" t="s">
        <v>5137</v>
      </c>
      <c r="P1175" s="42" t="str">
        <f>+IF(O1175="","",IFERROR(VLOOKUP(O1175,CODIGO_DIAGNOSTICO,2,0),"CÓDIGO NO ENCONTRADO"))</f>
        <v>SINDROME NEFROTICO: NO ESPECIFICADA</v>
      </c>
      <c r="Q1175" s="68" t="s">
        <v>19230</v>
      </c>
      <c r="R1175" s="67"/>
      <c r="S1175" s="77"/>
      <c r="T1175" s="76"/>
      <c r="U1175" s="65"/>
      <c r="V1175" s="68"/>
      <c r="W1175" s="70"/>
      <c r="X1175" s="68"/>
      <c r="Y1175" s="70"/>
      <c r="Z1175" s="72"/>
    </row>
    <row r="1176" spans="1:26" ht="15.75" hidden="1" customHeight="1" x14ac:dyDescent="0.25">
      <c r="A1176" s="64">
        <v>6</v>
      </c>
      <c r="B1176" s="62">
        <v>1152200240</v>
      </c>
      <c r="C1176" s="62" t="s">
        <v>26442</v>
      </c>
      <c r="D1176" s="62" t="s">
        <v>25594</v>
      </c>
      <c r="E1176" s="62" t="s">
        <v>25855</v>
      </c>
      <c r="F1176" s="62" t="s">
        <v>26443</v>
      </c>
      <c r="G1176" s="81" t="s">
        <v>19285</v>
      </c>
      <c r="H1176" s="63">
        <v>45821</v>
      </c>
      <c r="I1176" s="63">
        <v>45821</v>
      </c>
      <c r="J1176" s="62">
        <v>1</v>
      </c>
      <c r="K1176" s="62">
        <v>1</v>
      </c>
      <c r="L1176" s="62" t="s">
        <v>24995</v>
      </c>
      <c r="M1176" s="62" t="s">
        <v>24995</v>
      </c>
      <c r="N1176" s="62" t="s">
        <v>19269</v>
      </c>
      <c r="O1176" s="62" t="s">
        <v>6939</v>
      </c>
      <c r="P1176" s="42" t="str">
        <f>+IF(O1176="","",IFERROR(VLOOKUP(O1176,CODIGO_DIAGNOSTICO,2,0),"CÓDIGO NO ENCONTRADO"))</f>
        <v>OTROS DOLORES ABDOMINALES Y LOS NO ESPECIFICADOS</v>
      </c>
      <c r="Q1176" s="62" t="s">
        <v>26059</v>
      </c>
      <c r="R1176" s="64"/>
      <c r="S1176" s="75"/>
      <c r="T1176" s="75"/>
      <c r="U1176" s="65"/>
      <c r="V1176" s="62"/>
      <c r="W1176" s="65"/>
      <c r="X1176" s="62"/>
      <c r="Y1176" s="65"/>
      <c r="Z1176" s="73"/>
    </row>
    <row r="1177" spans="1:26" ht="15.75" hidden="1" customHeight="1" x14ac:dyDescent="0.25">
      <c r="A1177" s="67">
        <v>6</v>
      </c>
      <c r="B1177" s="68">
        <v>32184373</v>
      </c>
      <c r="C1177" s="68" t="s">
        <v>25332</v>
      </c>
      <c r="D1177" s="68" t="s">
        <v>25159</v>
      </c>
      <c r="E1177" s="68" t="s">
        <v>26448</v>
      </c>
      <c r="F1177" s="68" t="s">
        <v>25544</v>
      </c>
      <c r="G1177" s="81" t="s">
        <v>19285</v>
      </c>
      <c r="H1177" s="69">
        <v>45821</v>
      </c>
      <c r="I1177" s="69">
        <v>45822</v>
      </c>
      <c r="J1177" s="68">
        <v>2</v>
      </c>
      <c r="K1177" s="68">
        <v>2</v>
      </c>
      <c r="L1177" s="68" t="s">
        <v>24995</v>
      </c>
      <c r="M1177" s="68" t="s">
        <v>24995</v>
      </c>
      <c r="N1177" s="62" t="s">
        <v>19269</v>
      </c>
      <c r="O1177" s="68" t="s">
        <v>4000</v>
      </c>
      <c r="P1177" s="42" t="str">
        <f>+IF(O1177="","",IFERROR(VLOOKUP(O1177,CODIGO_DIAGNOSTICO,2,0),"CÓDIGO NO ENCONTRADO"))</f>
        <v>HERNIA VENTRAL SIN OBSTRUCCION NI GANGRENA</v>
      </c>
      <c r="Q1177" s="68" t="s">
        <v>19230</v>
      </c>
      <c r="R1177" s="67"/>
      <c r="S1177" s="77"/>
      <c r="T1177" s="76"/>
      <c r="U1177" s="65"/>
      <c r="V1177" s="68"/>
      <c r="W1177" s="70"/>
      <c r="X1177" s="68"/>
      <c r="Y1177" s="70"/>
      <c r="Z1177" s="72"/>
    </row>
    <row r="1178" spans="1:26" ht="15.75" hidden="1" customHeight="1" x14ac:dyDescent="0.25">
      <c r="A1178" s="64">
        <v>6</v>
      </c>
      <c r="B1178" s="62">
        <v>1021802687</v>
      </c>
      <c r="C1178" s="62" t="s">
        <v>25810</v>
      </c>
      <c r="D1178" s="62" t="s">
        <v>25743</v>
      </c>
      <c r="E1178" s="62" t="s">
        <v>25282</v>
      </c>
      <c r="F1178" s="62" t="s">
        <v>25413</v>
      </c>
      <c r="G1178" s="81" t="s">
        <v>19285</v>
      </c>
      <c r="H1178" s="63">
        <v>45822</v>
      </c>
      <c r="I1178" s="63">
        <v>45851</v>
      </c>
      <c r="J1178" s="62">
        <v>30</v>
      </c>
      <c r="K1178" s="62">
        <v>30</v>
      </c>
      <c r="L1178" s="62" t="s">
        <v>24995</v>
      </c>
      <c r="M1178" s="62" t="s">
        <v>19262</v>
      </c>
      <c r="N1178" s="62" t="s">
        <v>19269</v>
      </c>
      <c r="O1178" s="62" t="s">
        <v>7785</v>
      </c>
      <c r="P1178" s="42" t="str">
        <f>+IF(O1178="","",IFERROR(VLOOKUP(O1178,CODIGO_DIAGNOSTICO,2,0),"CÓDIGO NO ENCONTRADO"))</f>
        <v>FRACTURA DE HUESO DEL METATARSO</v>
      </c>
      <c r="Q1178" s="62" t="s">
        <v>24996</v>
      </c>
      <c r="R1178" s="64"/>
      <c r="S1178" s="75"/>
      <c r="T1178" s="75"/>
      <c r="U1178" s="65"/>
      <c r="V1178" s="62"/>
      <c r="W1178" s="65"/>
      <c r="X1178" s="62"/>
      <c r="Y1178" s="65"/>
      <c r="Z1178" s="73"/>
    </row>
    <row r="1179" spans="1:26" ht="15.75" hidden="1" customHeight="1" x14ac:dyDescent="0.25">
      <c r="A1179" s="67">
        <v>6</v>
      </c>
      <c r="B1179" s="68">
        <v>1000758396</v>
      </c>
      <c r="C1179" s="68" t="s">
        <v>25244</v>
      </c>
      <c r="D1179" s="68"/>
      <c r="E1179" s="68" t="s">
        <v>25282</v>
      </c>
      <c r="F1179" s="68" t="s">
        <v>25096</v>
      </c>
      <c r="G1179" s="81" t="s">
        <v>19285</v>
      </c>
      <c r="H1179" s="69">
        <v>45822</v>
      </c>
      <c r="I1179" s="69">
        <v>45822</v>
      </c>
      <c r="J1179" s="68">
        <v>1</v>
      </c>
      <c r="K1179" s="68">
        <v>1</v>
      </c>
      <c r="L1179" s="68" t="s">
        <v>24995</v>
      </c>
      <c r="M1179" s="68" t="s">
        <v>24995</v>
      </c>
      <c r="N1179" s="62" t="s">
        <v>19269</v>
      </c>
      <c r="O1179" s="68" t="s">
        <v>85</v>
      </c>
      <c r="P1179" s="42" t="str">
        <f>+IF(O1179="","",IFERROR(VLOOKUP(O1179,CODIGO_DIAGNOSTICO,2,0),"CÓDIGO NO ENCONTRADO"))</f>
        <v>OTRAS ENTERITIS VIRALES</v>
      </c>
      <c r="Q1179" s="68" t="s">
        <v>26059</v>
      </c>
      <c r="R1179" s="67"/>
      <c r="S1179" s="77"/>
      <c r="T1179" s="76"/>
      <c r="U1179" s="65"/>
      <c r="V1179" s="68"/>
      <c r="W1179" s="70"/>
      <c r="X1179" s="68"/>
      <c r="Y1179" s="70"/>
      <c r="Z1179" s="72"/>
    </row>
    <row r="1180" spans="1:26" ht="15.75" hidden="1" customHeight="1" x14ac:dyDescent="0.25">
      <c r="A1180" s="64">
        <v>6</v>
      </c>
      <c r="B1180" s="62">
        <v>71771838</v>
      </c>
      <c r="C1180" s="62" t="s">
        <v>26441</v>
      </c>
      <c r="D1180" s="62" t="s">
        <v>25379</v>
      </c>
      <c r="E1180" s="62" t="s">
        <v>25603</v>
      </c>
      <c r="F1180" s="62"/>
      <c r="G1180" s="81" t="s">
        <v>19285</v>
      </c>
      <c r="H1180" s="63">
        <v>45822</v>
      </c>
      <c r="I1180" s="63">
        <v>45824</v>
      </c>
      <c r="J1180" s="62">
        <v>3</v>
      </c>
      <c r="K1180" s="62">
        <v>3</v>
      </c>
      <c r="L1180" s="62" t="s">
        <v>24995</v>
      </c>
      <c r="M1180" s="62" t="s">
        <v>24995</v>
      </c>
      <c r="N1180" s="62" t="s">
        <v>19269</v>
      </c>
      <c r="O1180" s="62" t="s">
        <v>3543</v>
      </c>
      <c r="P1180" s="42" t="str">
        <f>+IF(O1180="","",IFERROR(VLOOKUP(O1180,CODIGO_DIAGNOSTICO,2,0),"CÓDIGO NO ENCONTRADO"))</f>
        <v>LINFEDEMA, NO CLASIFICADO EN OTRA PARTE</v>
      </c>
      <c r="Q1180" s="62" t="s">
        <v>26059</v>
      </c>
      <c r="R1180" s="64"/>
      <c r="S1180" s="75"/>
      <c r="T1180" s="75"/>
      <c r="U1180" s="65"/>
      <c r="V1180" s="62"/>
      <c r="W1180" s="65"/>
      <c r="X1180" s="62"/>
      <c r="Y1180" s="65"/>
      <c r="Z1180" s="73"/>
    </row>
    <row r="1181" spans="1:26" ht="15.75" hidden="1" customHeight="1" x14ac:dyDescent="0.25">
      <c r="A1181" s="67">
        <v>6</v>
      </c>
      <c r="B1181" s="68">
        <v>71676289</v>
      </c>
      <c r="C1181" s="68" t="s">
        <v>25702</v>
      </c>
      <c r="D1181" s="68" t="s">
        <v>25214</v>
      </c>
      <c r="E1181" s="68" t="s">
        <v>25016</v>
      </c>
      <c r="F1181" s="68" t="s">
        <v>25004</v>
      </c>
      <c r="G1181" s="81" t="s">
        <v>19285</v>
      </c>
      <c r="H1181" s="69">
        <v>45822</v>
      </c>
      <c r="I1181" s="69">
        <v>45836</v>
      </c>
      <c r="J1181" s="68">
        <v>15</v>
      </c>
      <c r="K1181" s="68">
        <v>15</v>
      </c>
      <c r="L1181" s="68" t="s">
        <v>19262</v>
      </c>
      <c r="M1181" s="68" t="s">
        <v>19262</v>
      </c>
      <c r="N1181" s="62" t="s">
        <v>19269</v>
      </c>
      <c r="O1181" s="68" t="s">
        <v>5004</v>
      </c>
      <c r="P1181" s="42" t="str">
        <f>+IF(O1181="","",IFERROR(VLOOKUP(O1181,CODIGO_DIAGNOSTICO,2,0),"CÓDIGO NO ENCONTRADO"))</f>
        <v>OTRAS OSTEOMIELITIS CRONICAS</v>
      </c>
      <c r="Q1181" s="68" t="s">
        <v>26059</v>
      </c>
      <c r="R1181" s="67"/>
      <c r="S1181" s="77"/>
      <c r="T1181" s="76"/>
      <c r="U1181" s="65"/>
      <c r="V1181" s="68"/>
      <c r="W1181" s="70"/>
      <c r="X1181" s="68"/>
      <c r="Y1181" s="70"/>
      <c r="Z1181" s="72"/>
    </row>
    <row r="1182" spans="1:26" ht="15.75" hidden="1" customHeight="1" x14ac:dyDescent="0.25">
      <c r="A1182" s="64">
        <v>6</v>
      </c>
      <c r="B1182" s="62">
        <v>1037664442</v>
      </c>
      <c r="C1182" s="62" t="s">
        <v>25670</v>
      </c>
      <c r="D1182" s="62" t="s">
        <v>25160</v>
      </c>
      <c r="E1182" s="62" t="s">
        <v>25203</v>
      </c>
      <c r="F1182" s="62" t="s">
        <v>25110</v>
      </c>
      <c r="G1182" s="81" t="s">
        <v>19285</v>
      </c>
      <c r="H1182" s="63">
        <v>45823</v>
      </c>
      <c r="I1182" s="63">
        <v>45826</v>
      </c>
      <c r="J1182" s="62">
        <v>4</v>
      </c>
      <c r="K1182" s="62">
        <v>4</v>
      </c>
      <c r="L1182" s="62" t="s">
        <v>24995</v>
      </c>
      <c r="M1182" s="62" t="s">
        <v>24995</v>
      </c>
      <c r="N1182" s="62" t="s">
        <v>19269</v>
      </c>
      <c r="O1182" s="62" t="s">
        <v>4026</v>
      </c>
      <c r="P1182" s="42" t="str">
        <f>+IF(O1182="","",IFERROR(VLOOKUP(O1182,CODIGO_DIAGNOSTICO,2,0),"CÓDIGO NO ENCONTRADO"))</f>
        <v>COLITIS Y GASTROENTERITIS NO INFECCIOSAS, NO ESPECIFICADAS</v>
      </c>
      <c r="Q1182" s="62" t="s">
        <v>19232</v>
      </c>
      <c r="R1182" s="64"/>
      <c r="S1182" s="75"/>
      <c r="T1182" s="75"/>
      <c r="U1182" s="65"/>
      <c r="V1182" s="62"/>
      <c r="W1182" s="65"/>
      <c r="X1182" s="62"/>
      <c r="Y1182" s="65"/>
      <c r="Z1182" s="73"/>
    </row>
    <row r="1183" spans="1:26" ht="15.75" hidden="1" customHeight="1" x14ac:dyDescent="0.25">
      <c r="A1183" s="67">
        <v>6</v>
      </c>
      <c r="B1183" s="68">
        <v>98554838</v>
      </c>
      <c r="C1183" s="68" t="s">
        <v>25295</v>
      </c>
      <c r="D1183" s="68" t="s">
        <v>25426</v>
      </c>
      <c r="E1183" s="68" t="s">
        <v>25282</v>
      </c>
      <c r="F1183" s="68" t="s">
        <v>25028</v>
      </c>
      <c r="G1183" s="81" t="s">
        <v>19285</v>
      </c>
      <c r="H1183" s="69">
        <v>45824</v>
      </c>
      <c r="I1183" s="69">
        <v>45825</v>
      </c>
      <c r="J1183" s="68">
        <v>2</v>
      </c>
      <c r="K1183" s="68">
        <v>2</v>
      </c>
      <c r="L1183" s="68" t="s">
        <v>24995</v>
      </c>
      <c r="M1183" s="68" t="s">
        <v>24995</v>
      </c>
      <c r="N1183" s="62" t="s">
        <v>19269</v>
      </c>
      <c r="O1183" s="68" t="s">
        <v>86</v>
      </c>
      <c r="P1183" s="42" t="str">
        <f>+IF(O1183="","",IFERROR(VLOOKUP(O1183,CODIGO_DIAGNOSTICO,2,0),"CÓDIGO NO ENCONTRADO"))</f>
        <v>INFECCION INTESTINAL VIRAL, SIN OTRA ESPECIFICACION</v>
      </c>
      <c r="Q1183" s="68" t="s">
        <v>26059</v>
      </c>
      <c r="R1183" s="67"/>
      <c r="S1183" s="77"/>
      <c r="T1183" s="76"/>
      <c r="U1183" s="65"/>
      <c r="V1183" s="68"/>
      <c r="W1183" s="70"/>
      <c r="X1183" s="68"/>
      <c r="Y1183" s="70"/>
      <c r="Z1183" s="72"/>
    </row>
    <row r="1184" spans="1:26" ht="15.75" hidden="1" customHeight="1" x14ac:dyDescent="0.25">
      <c r="A1184" s="64">
        <v>6</v>
      </c>
      <c r="B1184" s="62">
        <v>1000394285</v>
      </c>
      <c r="C1184" s="62" t="s">
        <v>26188</v>
      </c>
      <c r="D1184" s="62" t="s">
        <v>26399</v>
      </c>
      <c r="E1184" s="62" t="s">
        <v>26411</v>
      </c>
      <c r="F1184" s="62" t="s">
        <v>25177</v>
      </c>
      <c r="G1184" s="81" t="s">
        <v>19285</v>
      </c>
      <c r="H1184" s="63">
        <v>45824</v>
      </c>
      <c r="I1184" s="63">
        <v>45853</v>
      </c>
      <c r="J1184" s="62">
        <v>30</v>
      </c>
      <c r="K1184" s="62">
        <v>30</v>
      </c>
      <c r="L1184" s="62" t="s">
        <v>24995</v>
      </c>
      <c r="M1184" s="62" t="s">
        <v>24995</v>
      </c>
      <c r="N1184" s="62" t="s">
        <v>19269</v>
      </c>
      <c r="O1184" s="62" t="s">
        <v>120</v>
      </c>
      <c r="P1184" s="42" t="str">
        <f>+IF(O1184="","",IFERROR(VLOOKUP(O1184,CODIGO_DIAGNOSTICO,2,0),"CÓDIGO NO ENCONTRADO"))</f>
        <v>TUBERCULOSIS DE OTROS ORGANOS ESPECIFICADOS</v>
      </c>
      <c r="Q1184" s="62" t="s">
        <v>26059</v>
      </c>
      <c r="R1184" s="64"/>
      <c r="S1184" s="75"/>
      <c r="T1184" s="75"/>
      <c r="U1184" s="65"/>
      <c r="V1184" s="62"/>
      <c r="W1184" s="65"/>
      <c r="X1184" s="62"/>
      <c r="Y1184" s="65"/>
      <c r="Z1184" s="73"/>
    </row>
    <row r="1185" spans="1:26" ht="15.75" hidden="1" customHeight="1" x14ac:dyDescent="0.25">
      <c r="A1185" s="67">
        <v>6</v>
      </c>
      <c r="B1185" s="68">
        <v>1003142368</v>
      </c>
      <c r="C1185" s="68" t="s">
        <v>25288</v>
      </c>
      <c r="D1185" s="68" t="s">
        <v>26195</v>
      </c>
      <c r="E1185" s="68" t="s">
        <v>19278</v>
      </c>
      <c r="F1185" s="68" t="s">
        <v>24986</v>
      </c>
      <c r="G1185" s="81" t="s">
        <v>19285</v>
      </c>
      <c r="H1185" s="69">
        <v>45825</v>
      </c>
      <c r="I1185" s="69">
        <v>45827</v>
      </c>
      <c r="J1185" s="68">
        <v>3</v>
      </c>
      <c r="K1185" s="68">
        <v>3</v>
      </c>
      <c r="L1185" s="68" t="s">
        <v>24995</v>
      </c>
      <c r="M1185" s="68" t="s">
        <v>24995</v>
      </c>
      <c r="N1185" s="62" t="s">
        <v>19269</v>
      </c>
      <c r="O1185" s="68" t="s">
        <v>7794</v>
      </c>
      <c r="P1185" s="42" t="str">
        <f>+IF(O1185="","",IFERROR(VLOOKUP(O1185,CODIGO_DIAGNOSTICO,2,0),"CÓDIGO NO ENCONTRADO"))</f>
        <v>ESGUINCES Y TORCEDURAS DEL TOBILLO</v>
      </c>
      <c r="Q1185" s="68" t="s">
        <v>26339</v>
      </c>
      <c r="R1185" s="67"/>
      <c r="S1185" s="77"/>
      <c r="T1185" s="76"/>
      <c r="U1185" s="65"/>
      <c r="V1185" s="68"/>
      <c r="W1185" s="70"/>
      <c r="X1185" s="68"/>
      <c r="Y1185" s="70"/>
      <c r="Z1185" s="72"/>
    </row>
    <row r="1186" spans="1:26" ht="15.75" hidden="1" customHeight="1" x14ac:dyDescent="0.25">
      <c r="A1186" s="64">
        <v>6</v>
      </c>
      <c r="B1186" s="62">
        <v>39189119</v>
      </c>
      <c r="C1186" s="62" t="s">
        <v>19258</v>
      </c>
      <c r="D1186" s="62" t="s">
        <v>26395</v>
      </c>
      <c r="E1186" s="62" t="s">
        <v>26449</v>
      </c>
      <c r="F1186" s="62" t="s">
        <v>25232</v>
      </c>
      <c r="G1186" s="81" t="s">
        <v>19285</v>
      </c>
      <c r="H1186" s="63">
        <v>45825</v>
      </c>
      <c r="I1186" s="63">
        <v>45826</v>
      </c>
      <c r="J1186" s="62">
        <v>2</v>
      </c>
      <c r="K1186" s="62">
        <v>2</v>
      </c>
      <c r="L1186" s="62" t="s">
        <v>24995</v>
      </c>
      <c r="M1186" s="62" t="s">
        <v>24995</v>
      </c>
      <c r="N1186" s="62" t="s">
        <v>19269</v>
      </c>
      <c r="O1186" s="62" t="s">
        <v>539</v>
      </c>
      <c r="P1186" s="42" t="str">
        <f>+IF(O1186="","",IFERROR(VLOOKUP(O1186,CODIGO_DIAGNOSTICO,2,0),"CÓDIGO NO ENCONTRADO"))</f>
        <v>INFECCION VIRAL, NO ESPECIFICADA</v>
      </c>
      <c r="Q1186" s="62" t="s">
        <v>19230</v>
      </c>
      <c r="R1186" s="64"/>
      <c r="S1186" s="75"/>
      <c r="T1186" s="75"/>
      <c r="U1186" s="65"/>
      <c r="V1186" s="62"/>
      <c r="W1186" s="65"/>
      <c r="X1186" s="62"/>
      <c r="Y1186" s="65"/>
      <c r="Z1186" s="73"/>
    </row>
    <row r="1187" spans="1:26" ht="15.75" hidden="1" customHeight="1" x14ac:dyDescent="0.25">
      <c r="A1187" s="67">
        <v>6</v>
      </c>
      <c r="B1187" s="68">
        <v>98601485</v>
      </c>
      <c r="C1187" s="68" t="s">
        <v>25240</v>
      </c>
      <c r="D1187" s="68"/>
      <c r="E1187" s="68" t="s">
        <v>25241</v>
      </c>
      <c r="F1187" s="68" t="s">
        <v>25103</v>
      </c>
      <c r="G1187" s="81" t="s">
        <v>19285</v>
      </c>
      <c r="H1187" s="69">
        <v>45826</v>
      </c>
      <c r="I1187" s="69">
        <v>45840</v>
      </c>
      <c r="J1187" s="68">
        <v>15</v>
      </c>
      <c r="K1187" s="68">
        <v>15</v>
      </c>
      <c r="L1187" s="68" t="s">
        <v>19262</v>
      </c>
      <c r="M1187" s="68" t="s">
        <v>19262</v>
      </c>
      <c r="N1187" s="62" t="s">
        <v>19269</v>
      </c>
      <c r="O1187" s="68" t="s">
        <v>8419</v>
      </c>
      <c r="P1187" s="42" t="str">
        <f>+IF(O1187="","",IFERROR(VLOOKUP(O1187,CODIGO_DIAGNOSTICO,2,0),"CÓDIGO NO ENCONTRADO"))</f>
        <v>COMPLICACION MECANICA DE OTROS DISPOSITIVOS PROTESICOS, IMPLANTES E INJERTOS ORTOPEDICOS INTERNOS</v>
      </c>
      <c r="Q1187" s="68" t="s">
        <v>26059</v>
      </c>
      <c r="R1187" s="67"/>
      <c r="S1187" s="77"/>
      <c r="T1187" s="76"/>
      <c r="U1187" s="65"/>
      <c r="V1187" s="68"/>
      <c r="W1187" s="70"/>
      <c r="X1187" s="68"/>
      <c r="Y1187" s="70"/>
      <c r="Z1187" s="72"/>
    </row>
    <row r="1188" spans="1:26" ht="15.75" hidden="1" customHeight="1" x14ac:dyDescent="0.25">
      <c r="A1188" s="64">
        <v>6</v>
      </c>
      <c r="B1188" s="62">
        <v>43261371</v>
      </c>
      <c r="C1188" s="62" t="s">
        <v>25083</v>
      </c>
      <c r="D1188" s="62" t="s">
        <v>26062</v>
      </c>
      <c r="E1188" s="62" t="s">
        <v>25231</v>
      </c>
      <c r="F1188" s="62" t="s">
        <v>25235</v>
      </c>
      <c r="G1188" s="81" t="s">
        <v>19285</v>
      </c>
      <c r="H1188" s="63">
        <v>45826</v>
      </c>
      <c r="I1188" s="63">
        <v>45835</v>
      </c>
      <c r="J1188" s="62">
        <v>10</v>
      </c>
      <c r="K1188" s="62">
        <v>10</v>
      </c>
      <c r="L1188" s="62" t="s">
        <v>24995</v>
      </c>
      <c r="M1188" s="62" t="s">
        <v>24995</v>
      </c>
      <c r="N1188" s="62" t="s">
        <v>19269</v>
      </c>
      <c r="O1188" s="62" t="s">
        <v>5346</v>
      </c>
      <c r="P1188" s="42" t="str">
        <f>+IF(O1188="","",IFERROR(VLOOKUP(O1188,CODIGO_DIAGNOSTICO,2,0),"CÓDIGO NO ENCONTRADO"))</f>
        <v>OTROS TRASTORNOS ESPECIFICADOS DE LA MAMA</v>
      </c>
      <c r="Q1188" s="62" t="s">
        <v>26059</v>
      </c>
      <c r="R1188" s="64"/>
      <c r="S1188" s="75"/>
      <c r="T1188" s="75"/>
      <c r="U1188" s="65"/>
      <c r="V1188" s="62"/>
      <c r="W1188" s="65"/>
      <c r="X1188" s="62"/>
      <c r="Y1188" s="65"/>
      <c r="Z1188" s="73"/>
    </row>
    <row r="1189" spans="1:26" ht="15.75" hidden="1" customHeight="1" x14ac:dyDescent="0.25">
      <c r="A1189" s="67">
        <v>6</v>
      </c>
      <c r="B1189" s="68">
        <v>1036965715</v>
      </c>
      <c r="C1189" s="68" t="s">
        <v>25361</v>
      </c>
      <c r="D1189" s="68" t="s">
        <v>25828</v>
      </c>
      <c r="E1189" s="68" t="s">
        <v>26383</v>
      </c>
      <c r="F1189" s="68" t="s">
        <v>25048</v>
      </c>
      <c r="G1189" s="81" t="s">
        <v>19285</v>
      </c>
      <c r="H1189" s="69">
        <v>45827</v>
      </c>
      <c r="I1189" s="69">
        <v>45828</v>
      </c>
      <c r="J1189" s="68">
        <v>2</v>
      </c>
      <c r="K1189" s="68">
        <v>2</v>
      </c>
      <c r="L1189" s="68" t="s">
        <v>24995</v>
      </c>
      <c r="M1189" s="68" t="s">
        <v>24995</v>
      </c>
      <c r="N1189" s="62" t="s">
        <v>19269</v>
      </c>
      <c r="O1189" s="68" t="s">
        <v>3804</v>
      </c>
      <c r="P1189" s="42" t="str">
        <f>+IF(O1189="","",IFERROR(VLOOKUP(O1189,CODIGO_DIAGNOSTICO,2,0),"CÓDIGO NO ENCONTRADO"))</f>
        <v>DIENTES IMPACTADOS</v>
      </c>
      <c r="Q1189" s="68" t="s">
        <v>26059</v>
      </c>
      <c r="R1189" s="67"/>
      <c r="S1189" s="77"/>
      <c r="T1189" s="76"/>
      <c r="U1189" s="65"/>
      <c r="V1189" s="68"/>
      <c r="W1189" s="70"/>
      <c r="X1189" s="68"/>
      <c r="Y1189" s="70"/>
      <c r="Z1189" s="72"/>
    </row>
    <row r="1190" spans="1:26" ht="15.75" hidden="1" customHeight="1" x14ac:dyDescent="0.25">
      <c r="A1190" s="64">
        <v>6</v>
      </c>
      <c r="B1190" s="62">
        <v>43918754</v>
      </c>
      <c r="C1190" s="62" t="s">
        <v>25079</v>
      </c>
      <c r="D1190" s="62" t="s">
        <v>25046</v>
      </c>
      <c r="E1190" s="62" t="s">
        <v>25165</v>
      </c>
      <c r="F1190" s="62" t="s">
        <v>25832</v>
      </c>
      <c r="G1190" s="81" t="s">
        <v>19285</v>
      </c>
      <c r="H1190" s="63">
        <v>45827</v>
      </c>
      <c r="I1190" s="63">
        <v>45828</v>
      </c>
      <c r="J1190" s="62">
        <v>2</v>
      </c>
      <c r="K1190" s="62">
        <v>2</v>
      </c>
      <c r="L1190" s="62" t="s">
        <v>24995</v>
      </c>
      <c r="M1190" s="62" t="s">
        <v>24995</v>
      </c>
      <c r="N1190" s="62" t="s">
        <v>19269</v>
      </c>
      <c r="O1190" s="62" t="s">
        <v>85</v>
      </c>
      <c r="P1190" s="42" t="str">
        <f>+IF(O1190="","",IFERROR(VLOOKUP(O1190,CODIGO_DIAGNOSTICO,2,0),"CÓDIGO NO ENCONTRADO"))</f>
        <v>OTRAS ENTERITIS VIRALES</v>
      </c>
      <c r="Q1190" s="62" t="s">
        <v>24996</v>
      </c>
      <c r="R1190" s="64"/>
      <c r="S1190" s="75"/>
      <c r="T1190" s="75"/>
      <c r="U1190" s="65"/>
      <c r="V1190" s="62"/>
      <c r="W1190" s="65"/>
      <c r="X1190" s="62"/>
      <c r="Y1190" s="65"/>
      <c r="Z1190" s="73"/>
    </row>
    <row r="1191" spans="1:26" ht="15.75" hidden="1" customHeight="1" x14ac:dyDescent="0.25">
      <c r="A1191" s="67">
        <v>6</v>
      </c>
      <c r="B1191" s="68">
        <v>43261371</v>
      </c>
      <c r="C1191" s="68" t="s">
        <v>25083</v>
      </c>
      <c r="D1191" s="68" t="s">
        <v>26062</v>
      </c>
      <c r="E1191" s="68" t="s">
        <v>25231</v>
      </c>
      <c r="F1191" s="68" t="s">
        <v>25235</v>
      </c>
      <c r="G1191" s="81" t="s">
        <v>19285</v>
      </c>
      <c r="H1191" s="69">
        <v>45828</v>
      </c>
      <c r="I1191" s="69">
        <v>45839</v>
      </c>
      <c r="J1191" s="68">
        <v>12</v>
      </c>
      <c r="K1191" s="68">
        <v>12</v>
      </c>
      <c r="L1191" s="68" t="s">
        <v>24995</v>
      </c>
      <c r="M1191" s="68" t="s">
        <v>24995</v>
      </c>
      <c r="N1191" s="62" t="s">
        <v>19269</v>
      </c>
      <c r="O1191" s="68" t="s">
        <v>5346</v>
      </c>
      <c r="P1191" s="42" t="str">
        <f>+IF(O1191="","",IFERROR(VLOOKUP(O1191,CODIGO_DIAGNOSTICO,2,0),"CÓDIGO NO ENCONTRADO"))</f>
        <v>OTROS TRASTORNOS ESPECIFICADOS DE LA MAMA</v>
      </c>
      <c r="Q1191" s="68" t="s">
        <v>26059</v>
      </c>
      <c r="R1191" s="67"/>
      <c r="S1191" s="77"/>
      <c r="T1191" s="76"/>
      <c r="U1191" s="65"/>
      <c r="V1191" s="68"/>
      <c r="W1191" s="70"/>
      <c r="X1191" s="68"/>
      <c r="Y1191" s="70"/>
      <c r="Z1191" s="72"/>
    </row>
    <row r="1192" spans="1:26" ht="15.75" hidden="1" customHeight="1" x14ac:dyDescent="0.25">
      <c r="A1192" s="64">
        <v>6</v>
      </c>
      <c r="B1192" s="62">
        <v>1036965715</v>
      </c>
      <c r="C1192" s="62" t="s">
        <v>25361</v>
      </c>
      <c r="D1192" s="62" t="s">
        <v>25828</v>
      </c>
      <c r="E1192" s="62" t="s">
        <v>26383</v>
      </c>
      <c r="F1192" s="62" t="s">
        <v>25048</v>
      </c>
      <c r="G1192" s="81" t="s">
        <v>19285</v>
      </c>
      <c r="H1192" s="63">
        <v>45829</v>
      </c>
      <c r="I1192" s="63">
        <v>45830</v>
      </c>
      <c r="J1192" s="62">
        <v>2</v>
      </c>
      <c r="K1192" s="62">
        <v>2</v>
      </c>
      <c r="L1192" s="62" t="s">
        <v>19262</v>
      </c>
      <c r="M1192" s="62" t="s">
        <v>24995</v>
      </c>
      <c r="N1192" s="62" t="s">
        <v>19269</v>
      </c>
      <c r="O1192" s="62" t="s">
        <v>3803</v>
      </c>
      <c r="P1192" s="42" t="str">
        <f>+IF(O1192="","",IFERROR(VLOOKUP(O1192,CODIGO_DIAGNOSTICO,2,0),"CÓDIGO NO ENCONTRADO"))</f>
        <v>DIENTES INCLUIDOS</v>
      </c>
      <c r="Q1192" s="62" t="s">
        <v>26059</v>
      </c>
      <c r="R1192" s="64"/>
      <c r="S1192" s="75"/>
      <c r="T1192" s="75"/>
      <c r="U1192" s="65"/>
      <c r="V1192" s="62"/>
      <c r="W1192" s="65"/>
      <c r="X1192" s="62"/>
      <c r="Y1192" s="65"/>
      <c r="Z1192" s="73"/>
    </row>
    <row r="1193" spans="1:26" ht="15.75" hidden="1" customHeight="1" x14ac:dyDescent="0.25">
      <c r="A1193" s="67">
        <v>6</v>
      </c>
      <c r="B1193" s="68">
        <v>43600465</v>
      </c>
      <c r="C1193" s="68" t="s">
        <v>25314</v>
      </c>
      <c r="D1193" s="68" t="s">
        <v>25387</v>
      </c>
      <c r="E1193" s="68" t="s">
        <v>25316</v>
      </c>
      <c r="F1193" s="68" t="s">
        <v>25258</v>
      </c>
      <c r="G1193" s="81" t="s">
        <v>26413</v>
      </c>
      <c r="H1193" s="69">
        <v>45832</v>
      </c>
      <c r="I1193" s="69">
        <v>45838</v>
      </c>
      <c r="J1193" s="68">
        <v>7</v>
      </c>
      <c r="K1193" s="68">
        <v>7</v>
      </c>
      <c r="L1193" s="68" t="s">
        <v>19262</v>
      </c>
      <c r="M1193" s="68" t="s">
        <v>19262</v>
      </c>
      <c r="N1193" s="62" t="s">
        <v>19269</v>
      </c>
      <c r="O1193" s="68" t="s">
        <v>7787</v>
      </c>
      <c r="P1193" s="42" t="str">
        <f>+IF(O1193="","",IFERROR(VLOOKUP(O1193,CODIGO_DIAGNOSTICO,2,0),"CÓDIGO NO ENCONTRADO"))</f>
        <v>FRACTURA DE LOS HUESOS DE OTRO(S) DEDO(S) DEL PIE</v>
      </c>
      <c r="Q1193" s="68" t="s">
        <v>26059</v>
      </c>
      <c r="R1193" s="67"/>
      <c r="S1193" s="77"/>
      <c r="T1193" s="76"/>
      <c r="U1193" s="65"/>
      <c r="V1193" s="68"/>
      <c r="W1193" s="70"/>
      <c r="X1193" s="68"/>
      <c r="Y1193" s="70"/>
      <c r="Z1193" s="72"/>
    </row>
    <row r="1194" spans="1:26" ht="15.75" hidden="1" customHeight="1" x14ac:dyDescent="0.25">
      <c r="A1194" s="64">
        <v>6</v>
      </c>
      <c r="B1194" s="62">
        <v>43709476</v>
      </c>
      <c r="C1194" s="62" t="s">
        <v>25569</v>
      </c>
      <c r="D1194" s="62" t="s">
        <v>25233</v>
      </c>
      <c r="E1194" s="62" t="s">
        <v>25234</v>
      </c>
      <c r="F1194" s="62" t="s">
        <v>25235</v>
      </c>
      <c r="G1194" s="81" t="s">
        <v>19285</v>
      </c>
      <c r="H1194" s="63">
        <v>45832</v>
      </c>
      <c r="I1194" s="63">
        <v>45834</v>
      </c>
      <c r="J1194" s="62">
        <v>3</v>
      </c>
      <c r="K1194" s="62">
        <v>3</v>
      </c>
      <c r="L1194" s="62" t="s">
        <v>24995</v>
      </c>
      <c r="M1194" s="62" t="s">
        <v>24995</v>
      </c>
      <c r="N1194" s="62" t="s">
        <v>19269</v>
      </c>
      <c r="O1194" s="62" t="s">
        <v>4936</v>
      </c>
      <c r="P1194" s="42" t="str">
        <f>+IF(O1194="","",IFERROR(VLOOKUP(O1194,CODIGO_DIAGNOSTICO,2,0),"CÓDIGO NO ENCONTRADO"))</f>
        <v>ENTESOPATIA DEL MIEMBRO INFERIOR, NO ESPECIFICADA</v>
      </c>
      <c r="Q1194" s="62" t="s">
        <v>26059</v>
      </c>
      <c r="R1194" s="64"/>
      <c r="S1194" s="75"/>
      <c r="T1194" s="75"/>
      <c r="U1194" s="65"/>
      <c r="V1194" s="62"/>
      <c r="W1194" s="65"/>
      <c r="X1194" s="62"/>
      <c r="Y1194" s="65"/>
      <c r="Z1194" s="73"/>
    </row>
    <row r="1195" spans="1:26" ht="15.75" hidden="1" customHeight="1" x14ac:dyDescent="0.25">
      <c r="A1195" s="67">
        <v>6</v>
      </c>
      <c r="B1195" s="68">
        <v>1020398409</v>
      </c>
      <c r="C1195" s="68" t="s">
        <v>26403</v>
      </c>
      <c r="D1195" s="68" t="s">
        <v>26376</v>
      </c>
      <c r="E1195" s="68" t="s">
        <v>26377</v>
      </c>
      <c r="F1195" s="68" t="s">
        <v>25056</v>
      </c>
      <c r="G1195" s="81" t="s">
        <v>19285</v>
      </c>
      <c r="H1195" s="69">
        <v>45834</v>
      </c>
      <c r="I1195" s="69">
        <v>45835</v>
      </c>
      <c r="J1195" s="68">
        <v>2</v>
      </c>
      <c r="K1195" s="68">
        <v>2</v>
      </c>
      <c r="L1195" s="68" t="s">
        <v>24995</v>
      </c>
      <c r="M1195" s="68" t="s">
        <v>24995</v>
      </c>
      <c r="N1195" s="62" t="s">
        <v>19269</v>
      </c>
      <c r="O1195" s="68" t="s">
        <v>4051</v>
      </c>
      <c r="P1195" s="42" t="str">
        <f>+IF(O1195="","",IFERROR(VLOOKUP(O1195,CODIGO_DIAGNOSTICO,2,0),"CÓDIGO NO ENCONTRADO"))</f>
        <v>DIARREA FUNCIONAL</v>
      </c>
      <c r="Q1195" s="68" t="s">
        <v>24996</v>
      </c>
      <c r="R1195" s="67"/>
      <c r="S1195" s="77"/>
      <c r="T1195" s="76"/>
      <c r="U1195" s="65"/>
      <c r="V1195" s="68"/>
      <c r="W1195" s="70"/>
      <c r="X1195" s="68"/>
      <c r="Y1195" s="70"/>
      <c r="Z1195" s="72"/>
    </row>
    <row r="1196" spans="1:26" ht="15.75" hidden="1" customHeight="1" x14ac:dyDescent="0.25">
      <c r="A1196" s="64">
        <v>6</v>
      </c>
      <c r="B1196" s="62">
        <v>1214737996</v>
      </c>
      <c r="C1196" s="62" t="s">
        <v>25547</v>
      </c>
      <c r="D1196" s="62" t="s">
        <v>25969</v>
      </c>
      <c r="E1196" s="62" t="s">
        <v>25970</v>
      </c>
      <c r="F1196" s="62" t="s">
        <v>25060</v>
      </c>
      <c r="G1196" s="81" t="s">
        <v>19285</v>
      </c>
      <c r="H1196" s="63">
        <v>45835</v>
      </c>
      <c r="I1196" s="63">
        <v>45864</v>
      </c>
      <c r="J1196" s="62">
        <v>30</v>
      </c>
      <c r="K1196" s="62">
        <v>30</v>
      </c>
      <c r="L1196" s="62" t="s">
        <v>19262</v>
      </c>
      <c r="M1196" s="62" t="s">
        <v>19262</v>
      </c>
      <c r="N1196" s="62" t="s">
        <v>19269</v>
      </c>
      <c r="O1196" s="62" t="s">
        <v>7724</v>
      </c>
      <c r="P1196" s="42" t="str">
        <f>+IF(O1196="","",IFERROR(VLOOKUP(O1196,CODIGO_DIAGNOSTICO,2,0),"CÓDIGO NO ENCONTRADO"))</f>
        <v>FRACTURA DE LA DIAFISIS DE LA TIBIA</v>
      </c>
      <c r="Q1196" s="62" t="s">
        <v>26339</v>
      </c>
      <c r="R1196" s="64"/>
      <c r="S1196" s="75"/>
      <c r="T1196" s="75"/>
      <c r="U1196" s="65"/>
      <c r="V1196" s="62"/>
      <c r="W1196" s="65"/>
      <c r="X1196" s="62"/>
      <c r="Y1196" s="65"/>
      <c r="Z1196" s="73"/>
    </row>
    <row r="1197" spans="1:26" ht="15.75" hidden="1" customHeight="1" x14ac:dyDescent="0.25">
      <c r="A1197" s="67">
        <v>6</v>
      </c>
      <c r="B1197" s="68">
        <v>98648701</v>
      </c>
      <c r="C1197" s="68" t="s">
        <v>25553</v>
      </c>
      <c r="D1197" s="68" t="s">
        <v>25426</v>
      </c>
      <c r="E1197" s="68" t="s">
        <v>25221</v>
      </c>
      <c r="F1197" s="68" t="s">
        <v>25554</v>
      </c>
      <c r="G1197" s="81" t="s">
        <v>19285</v>
      </c>
      <c r="H1197" s="69">
        <v>45836</v>
      </c>
      <c r="I1197" s="69">
        <v>45839</v>
      </c>
      <c r="J1197" s="68">
        <v>4</v>
      </c>
      <c r="K1197" s="68">
        <v>4</v>
      </c>
      <c r="L1197" s="68" t="s">
        <v>24995</v>
      </c>
      <c r="M1197" s="68" t="s">
        <v>24995</v>
      </c>
      <c r="N1197" s="62" t="s">
        <v>19263</v>
      </c>
      <c r="O1197" s="68" t="s">
        <v>7713</v>
      </c>
      <c r="P1197" s="42" t="str">
        <f>+IF(O1197="","",IFERROR(VLOOKUP(O1197,CODIGO_DIAGNOSTICO,2,0),"CÓDIGO NO ENCONTRADO"))</f>
        <v>CONTUSION DE LA RODILLA</v>
      </c>
      <c r="Q1197" s="68" t="s">
        <v>25001</v>
      </c>
      <c r="R1197" s="67"/>
      <c r="S1197" s="77"/>
      <c r="T1197" s="76"/>
      <c r="U1197" s="65"/>
      <c r="V1197" s="68"/>
      <c r="W1197" s="70"/>
      <c r="X1197" s="68"/>
      <c r="Y1197" s="70"/>
      <c r="Z1197" s="72"/>
    </row>
    <row r="1198" spans="1:26" ht="15.75" hidden="1" customHeight="1" x14ac:dyDescent="0.25">
      <c r="A1198" s="64">
        <v>6</v>
      </c>
      <c r="B1198" s="62">
        <v>71676289</v>
      </c>
      <c r="C1198" s="62" t="s">
        <v>25702</v>
      </c>
      <c r="D1198" s="62" t="s">
        <v>25214</v>
      </c>
      <c r="E1198" s="62" t="s">
        <v>25016</v>
      </c>
      <c r="F1198" s="62" t="s">
        <v>25004</v>
      </c>
      <c r="G1198" s="81" t="s">
        <v>19285</v>
      </c>
      <c r="H1198" s="63">
        <v>45837</v>
      </c>
      <c r="I1198" s="63">
        <v>45851</v>
      </c>
      <c r="J1198" s="62">
        <v>15</v>
      </c>
      <c r="K1198" s="62">
        <v>15</v>
      </c>
      <c r="L1198" s="62" t="s">
        <v>19262</v>
      </c>
      <c r="M1198" s="62" t="s">
        <v>19262</v>
      </c>
      <c r="N1198" s="62" t="s">
        <v>19269</v>
      </c>
      <c r="O1198" s="62" t="s">
        <v>5004</v>
      </c>
      <c r="P1198" s="42" t="str">
        <f>+IF(O1198="","",IFERROR(VLOOKUP(O1198,CODIGO_DIAGNOSTICO,2,0),"CÓDIGO NO ENCONTRADO"))</f>
        <v>OTRAS OSTEOMIELITIS CRONICAS</v>
      </c>
      <c r="Q1198" s="62" t="s">
        <v>26059</v>
      </c>
      <c r="R1198" s="64"/>
      <c r="S1198" s="75"/>
      <c r="T1198" s="75"/>
      <c r="U1198" s="65"/>
      <c r="V1198" s="62"/>
      <c r="W1198" s="65"/>
      <c r="X1198" s="62"/>
      <c r="Y1198" s="65"/>
      <c r="Z1198" s="73"/>
    </row>
    <row r="1199" spans="1:26" ht="15.75" hidden="1" customHeight="1" x14ac:dyDescent="0.25">
      <c r="A1199" s="67">
        <v>7</v>
      </c>
      <c r="B1199" s="68">
        <v>71382103</v>
      </c>
      <c r="C1199" s="68" t="s">
        <v>25776</v>
      </c>
      <c r="D1199" s="68" t="s">
        <v>25968</v>
      </c>
      <c r="E1199" s="68" t="s">
        <v>25116</v>
      </c>
      <c r="F1199" s="68" t="s">
        <v>26027</v>
      </c>
      <c r="G1199" s="81" t="s">
        <v>19285</v>
      </c>
      <c r="H1199" s="69">
        <v>45839</v>
      </c>
      <c r="I1199" s="69">
        <v>45840</v>
      </c>
      <c r="J1199" s="68">
        <v>2</v>
      </c>
      <c r="K1199" s="68">
        <v>2</v>
      </c>
      <c r="L1199" s="68" t="s">
        <v>24995</v>
      </c>
      <c r="M1199" s="68" t="s">
        <v>24995</v>
      </c>
      <c r="N1199" s="62" t="s">
        <v>19269</v>
      </c>
      <c r="O1199" s="68" t="s">
        <v>4951</v>
      </c>
      <c r="P1199" s="42" t="str">
        <f>+IF(O1199="","",IFERROR(VLOOKUP(O1199,CODIGO_DIAGNOSTICO,2,0),"CÓDIGO NO ENCONTRADO"))</f>
        <v>DOLOR EN MIEMBRO</v>
      </c>
      <c r="Q1199" s="68" t="s">
        <v>26059</v>
      </c>
      <c r="R1199" s="67"/>
      <c r="S1199" s="77"/>
      <c r="T1199" s="76"/>
      <c r="U1199" s="65"/>
      <c r="V1199" s="68"/>
      <c r="W1199" s="70"/>
      <c r="X1199" s="68"/>
      <c r="Y1199" s="70"/>
      <c r="Z1199" s="72"/>
    </row>
    <row r="1200" spans="1:26" ht="15.75" hidden="1" customHeight="1" x14ac:dyDescent="0.25">
      <c r="A1200" s="64">
        <v>7</v>
      </c>
      <c r="B1200" s="62">
        <v>98715357</v>
      </c>
      <c r="C1200" s="62" t="s">
        <v>25224</v>
      </c>
      <c r="D1200" s="62" t="s">
        <v>25248</v>
      </c>
      <c r="E1200" s="62" t="s">
        <v>25035</v>
      </c>
      <c r="F1200" s="62" t="s">
        <v>25276</v>
      </c>
      <c r="G1200" s="81" t="s">
        <v>19285</v>
      </c>
      <c r="H1200" s="63">
        <v>45839</v>
      </c>
      <c r="I1200" s="63">
        <v>45840</v>
      </c>
      <c r="J1200" s="62">
        <v>2</v>
      </c>
      <c r="K1200" s="62">
        <v>2</v>
      </c>
      <c r="L1200" s="62" t="s">
        <v>24995</v>
      </c>
      <c r="M1200" s="62" t="s">
        <v>24995</v>
      </c>
      <c r="N1200" s="62" t="s">
        <v>19269</v>
      </c>
      <c r="O1200" s="62" t="s">
        <v>4650</v>
      </c>
      <c r="P1200" s="42" t="str">
        <f>+IF(O1200="","",IFERROR(VLOOKUP(O1200,CODIGO_DIAGNOSTICO,2,0),"CÓDIGO NO ENCONTRADO"))</f>
        <v>GONARTROSIS, NO ESPECIFICADA</v>
      </c>
      <c r="Q1200" s="62" t="s">
        <v>26059</v>
      </c>
      <c r="R1200" s="64"/>
      <c r="S1200" s="75"/>
      <c r="T1200" s="75"/>
      <c r="U1200" s="65"/>
      <c r="V1200" s="62"/>
      <c r="W1200" s="65"/>
      <c r="X1200" s="62"/>
      <c r="Y1200" s="65"/>
      <c r="Z1200" s="73"/>
    </row>
    <row r="1201" spans="1:26" ht="15.75" hidden="1" customHeight="1" x14ac:dyDescent="0.25">
      <c r="A1201" s="67">
        <v>7</v>
      </c>
      <c r="B1201" s="68">
        <v>15309929</v>
      </c>
      <c r="C1201" s="68" t="s">
        <v>25047</v>
      </c>
      <c r="D1201" s="68" t="s">
        <v>25012</v>
      </c>
      <c r="E1201" s="68" t="s">
        <v>25048</v>
      </c>
      <c r="F1201" s="68" t="s">
        <v>25014</v>
      </c>
      <c r="G1201" s="81" t="s">
        <v>19285</v>
      </c>
      <c r="H1201" s="69">
        <v>45839</v>
      </c>
      <c r="I1201" s="69">
        <v>45845</v>
      </c>
      <c r="J1201" s="68">
        <v>7</v>
      </c>
      <c r="K1201" s="68">
        <v>7</v>
      </c>
      <c r="L1201" s="68" t="s">
        <v>24995</v>
      </c>
      <c r="M1201" s="68" t="s">
        <v>24995</v>
      </c>
      <c r="N1201" s="62" t="s">
        <v>19269</v>
      </c>
      <c r="O1201" s="68" t="s">
        <v>2283</v>
      </c>
      <c r="P1201" s="42" t="str">
        <f>+IF(O1201="","",IFERROR(VLOOKUP(O1201,CODIGO_DIAGNOSTICO,2,0),"CÓDIGO NO ENCONTRADO"))</f>
        <v>TRASTORNOS DE ADAPTACION</v>
      </c>
      <c r="Q1201" s="68" t="s">
        <v>26059</v>
      </c>
      <c r="R1201" s="67"/>
      <c r="S1201" s="77"/>
      <c r="T1201" s="76"/>
      <c r="U1201" s="65"/>
      <c r="V1201" s="68"/>
      <c r="W1201" s="70"/>
      <c r="X1201" s="68"/>
      <c r="Y1201" s="70"/>
      <c r="Z1201" s="72"/>
    </row>
    <row r="1202" spans="1:26" ht="15.75" hidden="1" customHeight="1" x14ac:dyDescent="0.25">
      <c r="A1202" s="64">
        <v>7</v>
      </c>
      <c r="B1202" s="62">
        <v>71277209</v>
      </c>
      <c r="C1202" s="62" t="s">
        <v>25082</v>
      </c>
      <c r="D1202" s="62" t="s">
        <v>26467</v>
      </c>
      <c r="E1202" s="62" t="s">
        <v>25056</v>
      </c>
      <c r="F1202" s="62" t="s">
        <v>25064</v>
      </c>
      <c r="G1202" s="81" t="s">
        <v>19285</v>
      </c>
      <c r="H1202" s="63">
        <v>45839</v>
      </c>
      <c r="I1202" s="63">
        <v>45840</v>
      </c>
      <c r="J1202" s="62">
        <v>2</v>
      </c>
      <c r="K1202" s="62">
        <v>2</v>
      </c>
      <c r="L1202" s="62" t="s">
        <v>24995</v>
      </c>
      <c r="M1202" s="62" t="s">
        <v>24995</v>
      </c>
      <c r="N1202" s="62" t="s">
        <v>19269</v>
      </c>
      <c r="O1202" s="62" t="s">
        <v>3831</v>
      </c>
      <c r="P1202" s="42" t="str">
        <f>+IF(O1202="","",IFERROR(VLOOKUP(O1202,CODIGO_DIAGNOSTICO,2,0),"CÓDIGO NO ENCONTRADO"))</f>
        <v>OTRAS ENFERMEDADES Y LAS NO ESPECIFICADAS DE LA PULPA Y DEL TEJIDO PERIAPICAL</v>
      </c>
      <c r="Q1202" s="62" t="s">
        <v>26339</v>
      </c>
      <c r="R1202" s="64"/>
      <c r="S1202" s="75"/>
      <c r="T1202" s="75"/>
      <c r="U1202" s="65"/>
      <c r="V1202" s="62"/>
      <c r="W1202" s="65"/>
      <c r="X1202" s="62"/>
      <c r="Y1202" s="65"/>
      <c r="Z1202" s="73"/>
    </row>
    <row r="1203" spans="1:26" ht="15.75" hidden="1" customHeight="1" x14ac:dyDescent="0.25">
      <c r="A1203" s="67">
        <v>7</v>
      </c>
      <c r="B1203" s="68">
        <v>70127902</v>
      </c>
      <c r="C1203" s="68" t="s">
        <v>25391</v>
      </c>
      <c r="D1203" s="68" t="s">
        <v>25400</v>
      </c>
      <c r="E1203" s="68" t="s">
        <v>25837</v>
      </c>
      <c r="F1203" s="68" t="s">
        <v>25162</v>
      </c>
      <c r="G1203" s="81" t="s">
        <v>19285</v>
      </c>
      <c r="H1203" s="69">
        <v>45840</v>
      </c>
      <c r="I1203" s="69">
        <v>45841</v>
      </c>
      <c r="J1203" s="68">
        <v>2</v>
      </c>
      <c r="K1203" s="68">
        <v>2</v>
      </c>
      <c r="L1203" s="68" t="s">
        <v>24995</v>
      </c>
      <c r="M1203" s="68" t="s">
        <v>24995</v>
      </c>
      <c r="N1203" s="62" t="s">
        <v>19269</v>
      </c>
      <c r="O1203" s="68" t="s">
        <v>4650</v>
      </c>
      <c r="P1203" s="42" t="str">
        <f>+IF(O1203="","",IFERROR(VLOOKUP(O1203,CODIGO_DIAGNOSTICO,2,0),"CÓDIGO NO ENCONTRADO"))</f>
        <v>GONARTROSIS, NO ESPECIFICADA</v>
      </c>
      <c r="Q1203" s="68" t="s">
        <v>26059</v>
      </c>
      <c r="R1203" s="67"/>
      <c r="S1203" s="77"/>
      <c r="T1203" s="76"/>
      <c r="U1203" s="65"/>
      <c r="V1203" s="68"/>
      <c r="W1203" s="70"/>
      <c r="X1203" s="68"/>
      <c r="Y1203" s="70"/>
      <c r="Z1203" s="72"/>
    </row>
    <row r="1204" spans="1:26" ht="15.75" hidden="1" customHeight="1" x14ac:dyDescent="0.25">
      <c r="A1204" s="64">
        <v>7</v>
      </c>
      <c r="B1204" s="62">
        <v>26988317</v>
      </c>
      <c r="C1204" s="62" t="s">
        <v>25553</v>
      </c>
      <c r="D1204" s="62" t="s">
        <v>25969</v>
      </c>
      <c r="E1204" s="62" t="s">
        <v>26455</v>
      </c>
      <c r="F1204" s="62" t="s">
        <v>26456</v>
      </c>
      <c r="G1204" s="81" t="s">
        <v>19285</v>
      </c>
      <c r="H1204" s="63">
        <v>45840</v>
      </c>
      <c r="I1204" s="63">
        <v>45840</v>
      </c>
      <c r="J1204" s="62">
        <v>1</v>
      </c>
      <c r="K1204" s="62">
        <v>1</v>
      </c>
      <c r="L1204" s="62" t="s">
        <v>24995</v>
      </c>
      <c r="M1204" s="62" t="s">
        <v>24995</v>
      </c>
      <c r="N1204" s="62" t="s">
        <v>19269</v>
      </c>
      <c r="O1204" s="62" t="s">
        <v>2591</v>
      </c>
      <c r="P1204" s="42" t="str">
        <f>+IF(O1204="","",IFERROR(VLOOKUP(O1204,CODIGO_DIAGNOSTICO,2,0),"CÓDIGO NO ENCONTRADO"))</f>
        <v>MIGRAÑA COMPLICADA</v>
      </c>
      <c r="Q1204" s="62" t="s">
        <v>26152</v>
      </c>
      <c r="R1204" s="64"/>
      <c r="S1204" s="75"/>
      <c r="T1204" s="75"/>
      <c r="U1204" s="65"/>
      <c r="V1204" s="62"/>
      <c r="W1204" s="65"/>
      <c r="X1204" s="62"/>
      <c r="Y1204" s="65"/>
      <c r="Z1204" s="73"/>
    </row>
    <row r="1205" spans="1:26" ht="15.75" hidden="1" customHeight="1" x14ac:dyDescent="0.25">
      <c r="A1205" s="67">
        <v>7</v>
      </c>
      <c r="B1205" s="68">
        <v>43261371</v>
      </c>
      <c r="C1205" s="68" t="s">
        <v>25083</v>
      </c>
      <c r="D1205" s="68" t="s">
        <v>26062</v>
      </c>
      <c r="E1205" s="68" t="s">
        <v>25231</v>
      </c>
      <c r="F1205" s="68" t="s">
        <v>25235</v>
      </c>
      <c r="G1205" s="81" t="s">
        <v>19285</v>
      </c>
      <c r="H1205" s="69">
        <v>45840</v>
      </c>
      <c r="I1205" s="69">
        <v>45851</v>
      </c>
      <c r="J1205" s="68">
        <v>12</v>
      </c>
      <c r="K1205" s="68">
        <v>12</v>
      </c>
      <c r="L1205" s="68" t="s">
        <v>24995</v>
      </c>
      <c r="M1205" s="68" t="s">
        <v>24995</v>
      </c>
      <c r="N1205" s="62" t="s">
        <v>19269</v>
      </c>
      <c r="O1205" s="68" t="s">
        <v>5337</v>
      </c>
      <c r="P1205" s="42" t="str">
        <f>+IF(O1205="","",IFERROR(VLOOKUP(O1205,CODIGO_DIAGNOSTICO,2,0),"CÓDIGO NO ENCONTRADO"))</f>
        <v>TRASTORNOS INFLAMATORIOS DE LA MAMA</v>
      </c>
      <c r="Q1205" s="68" t="s">
        <v>26059</v>
      </c>
      <c r="R1205" s="67"/>
      <c r="S1205" s="77"/>
      <c r="T1205" s="76"/>
      <c r="U1205" s="65"/>
      <c r="V1205" s="68"/>
      <c r="W1205" s="70"/>
      <c r="X1205" s="68"/>
      <c r="Y1205" s="70"/>
      <c r="Z1205" s="72"/>
    </row>
    <row r="1206" spans="1:26" ht="15.75" hidden="1" customHeight="1" x14ac:dyDescent="0.25">
      <c r="A1206" s="64">
        <v>7</v>
      </c>
      <c r="B1206" s="62">
        <v>1040740156</v>
      </c>
      <c r="C1206" s="62" t="s">
        <v>25445</v>
      </c>
      <c r="D1206" s="62" t="s">
        <v>25086</v>
      </c>
      <c r="E1206" s="62" t="s">
        <v>26359</v>
      </c>
      <c r="F1206" s="62" t="s">
        <v>25010</v>
      </c>
      <c r="G1206" s="81" t="s">
        <v>19285</v>
      </c>
      <c r="H1206" s="63">
        <v>45841</v>
      </c>
      <c r="I1206" s="63">
        <v>45842</v>
      </c>
      <c r="J1206" s="62">
        <v>2</v>
      </c>
      <c r="K1206" s="62">
        <v>2</v>
      </c>
      <c r="L1206" s="62" t="s">
        <v>24995</v>
      </c>
      <c r="M1206" s="62" t="s">
        <v>24995</v>
      </c>
      <c r="N1206" s="62" t="s">
        <v>19269</v>
      </c>
      <c r="O1206" s="62" t="s">
        <v>6937</v>
      </c>
      <c r="P1206" s="42" t="str">
        <f>+IF(O1206="","",IFERROR(VLOOKUP(O1206,CODIGO_DIAGNOSTICO,2,0),"CÓDIGO NO ENCONTRADO"))</f>
        <v>DOLOR PELVICO Y PERINEAL</v>
      </c>
      <c r="Q1206" s="62" t="s">
        <v>26339</v>
      </c>
      <c r="R1206" s="64"/>
      <c r="S1206" s="75"/>
      <c r="T1206" s="75"/>
      <c r="U1206" s="65"/>
      <c r="V1206" s="62"/>
      <c r="W1206" s="65"/>
      <c r="X1206" s="62"/>
      <c r="Y1206" s="65"/>
      <c r="Z1206" s="73"/>
    </row>
    <row r="1207" spans="1:26" ht="15.75" hidden="1" customHeight="1" x14ac:dyDescent="0.25">
      <c r="A1207" s="67">
        <v>7</v>
      </c>
      <c r="B1207" s="68">
        <v>71382103</v>
      </c>
      <c r="C1207" s="68" t="s">
        <v>25776</v>
      </c>
      <c r="D1207" s="68" t="s">
        <v>25968</v>
      </c>
      <c r="E1207" s="68" t="s">
        <v>25116</v>
      </c>
      <c r="F1207" s="68" t="s">
        <v>26027</v>
      </c>
      <c r="G1207" s="81" t="s">
        <v>19285</v>
      </c>
      <c r="H1207" s="69">
        <v>45841</v>
      </c>
      <c r="I1207" s="69">
        <v>45843</v>
      </c>
      <c r="J1207" s="68">
        <v>3</v>
      </c>
      <c r="K1207" s="68">
        <v>3</v>
      </c>
      <c r="L1207" s="68" t="s">
        <v>24995</v>
      </c>
      <c r="M1207" s="68" t="s">
        <v>24995</v>
      </c>
      <c r="N1207" s="62" t="s">
        <v>19269</v>
      </c>
      <c r="O1207" s="68" t="s">
        <v>4220</v>
      </c>
      <c r="P1207" s="42" t="str">
        <f>+IF(O1207="","",IFERROR(VLOOKUP(O1207,CODIGO_DIAGNOSTICO,2,0),"CÓDIGO NO ENCONTRADO"))</f>
        <v>CELULITIS DE OTROS SITIOS</v>
      </c>
      <c r="Q1207" s="68" t="s">
        <v>26059</v>
      </c>
      <c r="R1207" s="67"/>
      <c r="S1207" s="77"/>
      <c r="T1207" s="76"/>
      <c r="U1207" s="65"/>
      <c r="V1207" s="68"/>
      <c r="W1207" s="70"/>
      <c r="X1207" s="68"/>
      <c r="Y1207" s="70"/>
      <c r="Z1207" s="72"/>
    </row>
    <row r="1208" spans="1:26" ht="15.75" hidden="1" customHeight="1" x14ac:dyDescent="0.25">
      <c r="A1208" s="64">
        <v>7</v>
      </c>
      <c r="B1208" s="62">
        <v>1020103241</v>
      </c>
      <c r="C1208" s="62" t="s">
        <v>25295</v>
      </c>
      <c r="D1208" s="62" t="s">
        <v>25714</v>
      </c>
      <c r="E1208" s="62" t="s">
        <v>25711</v>
      </c>
      <c r="F1208" s="62"/>
      <c r="G1208" s="81" t="s">
        <v>19285</v>
      </c>
      <c r="H1208" s="63">
        <v>45841</v>
      </c>
      <c r="I1208" s="63">
        <v>45842</v>
      </c>
      <c r="J1208" s="62">
        <v>2</v>
      </c>
      <c r="K1208" s="62">
        <v>2</v>
      </c>
      <c r="L1208" s="62" t="s">
        <v>24995</v>
      </c>
      <c r="M1208" s="62" t="s">
        <v>24995</v>
      </c>
      <c r="N1208" s="62" t="s">
        <v>19269</v>
      </c>
      <c r="O1208" s="62" t="s">
        <v>88</v>
      </c>
      <c r="P1208" s="42" t="str">
        <f>+IF(O1208="","",IFERROR(VLOOKUP(O1208,CODIGO_DIAGNOSTICO,2,0),"CÓDIGO NO ENCONTRADO"))</f>
        <v>DIARREA Y GASTROENTERITIS DE PRESUNTO ORIGEN INFECCIOSO</v>
      </c>
      <c r="Q1208" s="62" t="s">
        <v>26060</v>
      </c>
      <c r="R1208" s="64"/>
      <c r="S1208" s="75"/>
      <c r="T1208" s="75"/>
      <c r="U1208" s="65"/>
      <c r="V1208" s="62"/>
      <c r="W1208" s="65"/>
      <c r="X1208" s="62"/>
      <c r="Y1208" s="65"/>
      <c r="Z1208" s="73"/>
    </row>
    <row r="1209" spans="1:26" ht="15.75" hidden="1" customHeight="1" x14ac:dyDescent="0.25">
      <c r="A1209" s="67">
        <v>7</v>
      </c>
      <c r="B1209" s="68">
        <v>1020398409</v>
      </c>
      <c r="C1209" s="68" t="s">
        <v>26403</v>
      </c>
      <c r="D1209" s="68" t="s">
        <v>26376</v>
      </c>
      <c r="E1209" s="68" t="s">
        <v>26377</v>
      </c>
      <c r="F1209" s="68" t="s">
        <v>25056</v>
      </c>
      <c r="G1209" s="81" t="s">
        <v>19285</v>
      </c>
      <c r="H1209" s="69">
        <v>45841</v>
      </c>
      <c r="I1209" s="69">
        <v>45842</v>
      </c>
      <c r="J1209" s="68">
        <v>2</v>
      </c>
      <c r="K1209" s="68">
        <v>2</v>
      </c>
      <c r="L1209" s="68" t="s">
        <v>24995</v>
      </c>
      <c r="M1209" s="68" t="s">
        <v>24995</v>
      </c>
      <c r="N1209" s="62" t="s">
        <v>19269</v>
      </c>
      <c r="O1209" s="68" t="s">
        <v>15281</v>
      </c>
      <c r="P1209" s="42" t="str">
        <f>+IF(O1209="","",IFERROR(VLOOKUP(O1209,CODIGO_DIAGNOSTICO,2,0),"CÓDIGO NO ENCONTRADO"))</f>
        <v>RINOFARINGITIS AGUDA (RESFRIADO COMUN)</v>
      </c>
      <c r="Q1209" s="68" t="s">
        <v>19232</v>
      </c>
      <c r="R1209" s="67"/>
      <c r="S1209" s="77"/>
      <c r="T1209" s="76"/>
      <c r="U1209" s="65"/>
      <c r="V1209" s="68"/>
      <c r="W1209" s="70"/>
      <c r="X1209" s="68"/>
      <c r="Y1209" s="70"/>
      <c r="Z1209" s="72"/>
    </row>
    <row r="1210" spans="1:26" ht="15.75" hidden="1" customHeight="1" x14ac:dyDescent="0.25">
      <c r="A1210" s="64">
        <v>7</v>
      </c>
      <c r="B1210" s="62">
        <v>1128393833</v>
      </c>
      <c r="C1210" s="62" t="s">
        <v>26457</v>
      </c>
      <c r="D1210" s="62" t="s">
        <v>25699</v>
      </c>
      <c r="E1210" s="62" t="s">
        <v>25056</v>
      </c>
      <c r="F1210" s="62" t="s">
        <v>25371</v>
      </c>
      <c r="G1210" s="81" t="s">
        <v>19285</v>
      </c>
      <c r="H1210" s="63">
        <v>45841</v>
      </c>
      <c r="I1210" s="63">
        <v>45848</v>
      </c>
      <c r="J1210" s="62">
        <v>8</v>
      </c>
      <c r="K1210" s="62">
        <v>8</v>
      </c>
      <c r="L1210" s="62" t="s">
        <v>24995</v>
      </c>
      <c r="M1210" s="62" t="s">
        <v>24995</v>
      </c>
      <c r="N1210" s="62" t="s">
        <v>19269</v>
      </c>
      <c r="O1210" s="62" t="s">
        <v>6908</v>
      </c>
      <c r="P1210" s="42" t="str">
        <f>+IF(O1210="","",IFERROR(VLOOKUP(O1210,CODIGO_DIAGNOSTICO,2,0),"CÓDIGO NO ENCONTRADO"))</f>
        <v>LECTURA ELEVADA DE LA PRESION SANGUINEA, SIN DIAGNOSTICO DE HIPERTENSION</v>
      </c>
      <c r="Q1210" s="62" t="s">
        <v>24996</v>
      </c>
      <c r="R1210" s="64"/>
      <c r="S1210" s="75"/>
      <c r="T1210" s="75"/>
      <c r="U1210" s="65"/>
      <c r="V1210" s="62"/>
      <c r="W1210" s="65"/>
      <c r="X1210" s="62"/>
      <c r="Y1210" s="65"/>
      <c r="Z1210" s="73"/>
    </row>
    <row r="1211" spans="1:26" ht="15.75" hidden="1" customHeight="1" x14ac:dyDescent="0.25">
      <c r="A1211" s="67"/>
      <c r="B1211" s="68">
        <v>1152685109</v>
      </c>
      <c r="C1211" s="68" t="s">
        <v>25372</v>
      </c>
      <c r="D1211" s="68"/>
      <c r="E1211" s="68" t="s">
        <v>25130</v>
      </c>
      <c r="F1211" s="68" t="s">
        <v>26027</v>
      </c>
      <c r="G1211" s="81" t="s">
        <v>19285</v>
      </c>
      <c r="H1211" s="69">
        <v>45841</v>
      </c>
      <c r="I1211" s="69">
        <v>45845</v>
      </c>
      <c r="J1211" s="68">
        <v>5</v>
      </c>
      <c r="K1211" s="68">
        <v>5</v>
      </c>
      <c r="L1211" s="68" t="s">
        <v>24995</v>
      </c>
      <c r="M1211" s="68" t="s">
        <v>24995</v>
      </c>
      <c r="N1211" s="62" t="s">
        <v>19269</v>
      </c>
      <c r="O1211" s="68" t="s">
        <v>7992</v>
      </c>
      <c r="P1211" s="42" t="str">
        <f>+IF(O1211="","",IFERROR(VLOOKUP(O1211,CODIGO_DIAGNOSTICO,2,0),"CÓDIGO NO ENCONTRADO"))</f>
        <v>QUEMADURA DEL TOBILLO Y DEL PIE, DE SEGUNDO GRADO</v>
      </c>
      <c r="Q1211" s="68" t="s">
        <v>19230</v>
      </c>
      <c r="R1211" s="67"/>
      <c r="S1211" s="77"/>
      <c r="T1211" s="76"/>
      <c r="U1211" s="65"/>
      <c r="V1211" s="68"/>
      <c r="W1211" s="70"/>
      <c r="X1211" s="68"/>
      <c r="Y1211" s="70"/>
      <c r="Z1211" s="72"/>
    </row>
    <row r="1212" spans="1:26" ht="15.75" hidden="1" customHeight="1" x14ac:dyDescent="0.25">
      <c r="A1212" s="64">
        <v>7</v>
      </c>
      <c r="B1212" s="62">
        <v>1102890114</v>
      </c>
      <c r="C1212" s="62" t="s">
        <v>25109</v>
      </c>
      <c r="D1212" s="62" t="s">
        <v>26375</v>
      </c>
      <c r="E1212" s="62" t="s">
        <v>26466</v>
      </c>
      <c r="F1212" s="62" t="s">
        <v>25010</v>
      </c>
      <c r="G1212" s="81" t="s">
        <v>19285</v>
      </c>
      <c r="H1212" s="63">
        <v>45842</v>
      </c>
      <c r="I1212" s="63">
        <v>45843</v>
      </c>
      <c r="J1212" s="62">
        <v>2</v>
      </c>
      <c r="K1212" s="62">
        <v>2</v>
      </c>
      <c r="L1212" s="62" t="s">
        <v>24995</v>
      </c>
      <c r="M1212" s="62" t="s">
        <v>24995</v>
      </c>
      <c r="N1212" s="62" t="s">
        <v>19269</v>
      </c>
      <c r="O1212" s="62" t="s">
        <v>2593</v>
      </c>
      <c r="P1212" s="42" t="str">
        <f>+IF(O1212="","",IFERROR(VLOOKUP(O1212,CODIGO_DIAGNOSTICO,2,0),"CÓDIGO NO ENCONTRADO"))</f>
        <v>MIGRAÑA, NO ESPECIFICADA</v>
      </c>
      <c r="Q1212" s="62" t="s">
        <v>24996</v>
      </c>
      <c r="R1212" s="64"/>
      <c r="S1212" s="75"/>
      <c r="T1212" s="75"/>
      <c r="U1212" s="65"/>
      <c r="V1212" s="62"/>
      <c r="W1212" s="65"/>
      <c r="X1212" s="62"/>
      <c r="Y1212" s="65"/>
      <c r="Z1212" s="73"/>
    </row>
    <row r="1213" spans="1:26" ht="15.75" hidden="1" customHeight="1" x14ac:dyDescent="0.25">
      <c r="A1213" s="67">
        <v>7</v>
      </c>
      <c r="B1213" s="68">
        <v>1020109719</v>
      </c>
      <c r="C1213" s="68" t="s">
        <v>25553</v>
      </c>
      <c r="D1213" s="68" t="s">
        <v>25521</v>
      </c>
      <c r="E1213" s="68" t="s">
        <v>25096</v>
      </c>
      <c r="F1213" s="68"/>
      <c r="G1213" s="81" t="s">
        <v>19285</v>
      </c>
      <c r="H1213" s="69">
        <v>45843</v>
      </c>
      <c r="I1213" s="69">
        <v>45846</v>
      </c>
      <c r="J1213" s="68">
        <v>4</v>
      </c>
      <c r="K1213" s="68">
        <v>4</v>
      </c>
      <c r="L1213" s="68" t="s">
        <v>24995</v>
      </c>
      <c r="M1213" s="68" t="s">
        <v>24995</v>
      </c>
      <c r="N1213" s="62" t="s">
        <v>19269</v>
      </c>
      <c r="O1213" s="68" t="s">
        <v>7307</v>
      </c>
      <c r="P1213" s="42" t="str">
        <f>+IF(O1213="","",IFERROR(VLOOKUP(O1213,CODIGO_DIAGNOSTICO,2,0),"CÓDIGO NO ENCONTRADO"))</f>
        <v>TRAUMATISMO DE LA CABEZA, NO ESPECIFICADO</v>
      </c>
      <c r="Q1213" s="68" t="s">
        <v>26462</v>
      </c>
      <c r="R1213" s="67"/>
      <c r="S1213" s="77"/>
      <c r="T1213" s="76"/>
      <c r="U1213" s="65"/>
      <c r="V1213" s="68"/>
      <c r="W1213" s="70"/>
      <c r="X1213" s="68"/>
      <c r="Y1213" s="70"/>
      <c r="Z1213" s="72"/>
    </row>
    <row r="1214" spans="1:26" ht="15.75" hidden="1" customHeight="1" x14ac:dyDescent="0.25">
      <c r="A1214" s="64">
        <v>7</v>
      </c>
      <c r="B1214" s="62">
        <v>1017238420</v>
      </c>
      <c r="C1214" s="62" t="s">
        <v>26463</v>
      </c>
      <c r="D1214" s="62" t="s">
        <v>26464</v>
      </c>
      <c r="E1214" s="62" t="s">
        <v>25282</v>
      </c>
      <c r="F1214" s="62" t="s">
        <v>25185</v>
      </c>
      <c r="G1214" s="81" t="s">
        <v>19285</v>
      </c>
      <c r="H1214" s="63">
        <v>45843</v>
      </c>
      <c r="I1214" s="63">
        <v>45844</v>
      </c>
      <c r="J1214" s="62">
        <v>2</v>
      </c>
      <c r="K1214" s="62">
        <v>2</v>
      </c>
      <c r="L1214" s="62" t="s">
        <v>24995</v>
      </c>
      <c r="M1214" s="62" t="s">
        <v>24995</v>
      </c>
      <c r="N1214" s="62" t="s">
        <v>19269</v>
      </c>
      <c r="O1214" s="62" t="s">
        <v>85</v>
      </c>
      <c r="P1214" s="42" t="str">
        <f>+IF(O1214="","",IFERROR(VLOOKUP(O1214,CODIGO_DIAGNOSTICO,2,0),"CÓDIGO NO ENCONTRADO"))</f>
        <v>OTRAS ENTERITIS VIRALES</v>
      </c>
      <c r="Q1214" s="62" t="s">
        <v>26059</v>
      </c>
      <c r="R1214" s="64"/>
      <c r="S1214" s="75"/>
      <c r="T1214" s="75"/>
      <c r="U1214" s="65"/>
      <c r="V1214" s="62"/>
      <c r="W1214" s="65"/>
      <c r="X1214" s="62"/>
      <c r="Y1214" s="65"/>
      <c r="Z1214" s="73"/>
    </row>
    <row r="1215" spans="1:26" ht="15.75" hidden="1" customHeight="1" x14ac:dyDescent="0.25">
      <c r="A1215" s="67">
        <v>7</v>
      </c>
      <c r="B1215" s="68">
        <v>98525106</v>
      </c>
      <c r="C1215" s="68" t="s">
        <v>25133</v>
      </c>
      <c r="D1215" s="68" t="s">
        <v>25594</v>
      </c>
      <c r="E1215" s="68" t="s">
        <v>25203</v>
      </c>
      <c r="F1215" s="68" t="s">
        <v>25005</v>
      </c>
      <c r="G1215" s="81" t="s">
        <v>19285</v>
      </c>
      <c r="H1215" s="69">
        <v>45846</v>
      </c>
      <c r="I1215" s="69">
        <v>45850</v>
      </c>
      <c r="J1215" s="68">
        <v>5</v>
      </c>
      <c r="K1215" s="68">
        <v>5</v>
      </c>
      <c r="L1215" s="68" t="s">
        <v>24995</v>
      </c>
      <c r="M1215" s="68" t="s">
        <v>24995</v>
      </c>
      <c r="N1215" s="62" t="s">
        <v>19269</v>
      </c>
      <c r="O1215" s="68" t="s">
        <v>7606</v>
      </c>
      <c r="P1215" s="42" t="str">
        <f>+IF(O1215="","",IFERROR(VLOOKUP(O1215,CODIGO_DIAGNOSTICO,2,0),"CÓDIGO NO ENCONTRADO"))</f>
        <v>HERIDA DE DEDO(S) DE LA MANO, SIN DAÑO DE LA(S) UÑA(S)</v>
      </c>
      <c r="Q1215" s="68" t="s">
        <v>26059</v>
      </c>
      <c r="R1215" s="67"/>
      <c r="S1215" s="77"/>
      <c r="T1215" s="76"/>
      <c r="U1215" s="65"/>
      <c r="V1215" s="68"/>
      <c r="W1215" s="70"/>
      <c r="X1215" s="68"/>
      <c r="Y1215" s="70"/>
      <c r="Z1215" s="72"/>
    </row>
    <row r="1216" spans="1:26" ht="15.75" hidden="1" customHeight="1" x14ac:dyDescent="0.25">
      <c r="A1216" s="64">
        <v>7</v>
      </c>
      <c r="B1216" s="62">
        <v>3400406</v>
      </c>
      <c r="C1216" s="62" t="s">
        <v>25529</v>
      </c>
      <c r="D1216" s="62" t="s">
        <v>25272</v>
      </c>
      <c r="E1216" s="62" t="s">
        <v>26465</v>
      </c>
      <c r="F1216" s="62" t="s">
        <v>25637</v>
      </c>
      <c r="G1216" s="81" t="s">
        <v>19285</v>
      </c>
      <c r="H1216" s="63">
        <v>45846</v>
      </c>
      <c r="I1216" s="63">
        <v>45847</v>
      </c>
      <c r="J1216" s="62">
        <v>2</v>
      </c>
      <c r="K1216" s="62">
        <v>2</v>
      </c>
      <c r="L1216" s="62" t="s">
        <v>24995</v>
      </c>
      <c r="M1216" s="62" t="s">
        <v>24995</v>
      </c>
      <c r="N1216" s="62" t="s">
        <v>19269</v>
      </c>
      <c r="O1216" s="62" t="s">
        <v>88</v>
      </c>
      <c r="P1216" s="42" t="str">
        <f>+IF(O1216="","",IFERROR(VLOOKUP(O1216,CODIGO_DIAGNOSTICO,2,0),"CÓDIGO NO ENCONTRADO"))</f>
        <v>DIARREA Y GASTROENTERITIS DE PRESUNTO ORIGEN INFECCIOSO</v>
      </c>
      <c r="Q1216" s="62" t="s">
        <v>19289</v>
      </c>
      <c r="R1216" s="64"/>
      <c r="S1216" s="75"/>
      <c r="T1216" s="75"/>
      <c r="U1216" s="65"/>
      <c r="V1216" s="62"/>
      <c r="W1216" s="65"/>
      <c r="X1216" s="62"/>
      <c r="Y1216" s="65"/>
      <c r="Z1216" s="73"/>
    </row>
    <row r="1217" spans="1:26" ht="15.75" hidden="1" customHeight="1" x14ac:dyDescent="0.25">
      <c r="A1217" s="67">
        <v>7</v>
      </c>
      <c r="B1217" s="68">
        <v>1128393833</v>
      </c>
      <c r="C1217" s="68" t="s">
        <v>26457</v>
      </c>
      <c r="D1217" s="68" t="s">
        <v>25699</v>
      </c>
      <c r="E1217" s="68" t="s">
        <v>25056</v>
      </c>
      <c r="F1217" s="68" t="s">
        <v>25371</v>
      </c>
      <c r="G1217" s="81" t="s">
        <v>19285</v>
      </c>
      <c r="H1217" s="69">
        <v>45848</v>
      </c>
      <c r="I1217" s="69">
        <v>45850</v>
      </c>
      <c r="J1217" s="68">
        <v>3</v>
      </c>
      <c r="K1217" s="68">
        <v>3</v>
      </c>
      <c r="L1217" s="68" t="s">
        <v>24995</v>
      </c>
      <c r="M1217" s="68" t="s">
        <v>24995</v>
      </c>
      <c r="N1217" s="62" t="s">
        <v>19269</v>
      </c>
      <c r="O1217" s="68" t="s">
        <v>2627</v>
      </c>
      <c r="P1217" s="42" t="str">
        <f>+IF(O1217="","",IFERROR(VLOOKUP(O1217,CODIGO_DIAGNOSTICO,2,0),"CÓDIGO NO ENCONTRADO"))</f>
        <v>PARALISIS DE BELL</v>
      </c>
      <c r="Q1217" s="68" t="s">
        <v>24996</v>
      </c>
      <c r="R1217" s="67"/>
      <c r="S1217" s="77"/>
      <c r="T1217" s="76"/>
      <c r="U1217" s="65"/>
      <c r="V1217" s="68"/>
      <c r="W1217" s="70"/>
      <c r="X1217" s="68"/>
      <c r="Y1217" s="70"/>
      <c r="Z1217" s="72"/>
    </row>
    <row r="1218" spans="1:26" ht="15.75" hidden="1" customHeight="1" x14ac:dyDescent="0.25">
      <c r="A1218" s="64">
        <v>7</v>
      </c>
      <c r="B1218" s="62">
        <v>1152461364</v>
      </c>
      <c r="C1218" s="62" t="s">
        <v>26062</v>
      </c>
      <c r="D1218" s="62" t="s">
        <v>25403</v>
      </c>
      <c r="E1218" s="62" t="s">
        <v>25157</v>
      </c>
      <c r="F1218" s="62"/>
      <c r="G1218" s="81" t="s">
        <v>19285</v>
      </c>
      <c r="H1218" s="63">
        <v>45848</v>
      </c>
      <c r="I1218" s="63">
        <v>45861</v>
      </c>
      <c r="J1218" s="62">
        <v>14</v>
      </c>
      <c r="K1218" s="62">
        <v>14</v>
      </c>
      <c r="L1218" s="62" t="s">
        <v>24995</v>
      </c>
      <c r="M1218" s="62" t="s">
        <v>24995</v>
      </c>
      <c r="N1218" s="62" t="s">
        <v>19269</v>
      </c>
      <c r="O1218" s="62" t="s">
        <v>5851</v>
      </c>
      <c r="P1218" s="42" t="str">
        <f>+IF(O1218="","",IFERROR(VLOOKUP(O1218,CODIGO_DIAGNOSTICO,2,0),"CÓDIGO NO ENCONTRADO"))</f>
        <v>PARTO UNICO ESPONTANEO, PRESENTACION CEFALICA DE VERTICE</v>
      </c>
      <c r="Q1218" s="62" t="s">
        <v>26059</v>
      </c>
      <c r="R1218" s="64"/>
      <c r="S1218" s="75"/>
      <c r="T1218" s="75"/>
      <c r="U1218" s="65"/>
      <c r="V1218" s="62"/>
      <c r="W1218" s="65"/>
      <c r="X1218" s="62"/>
      <c r="Y1218" s="65"/>
      <c r="Z1218" s="73"/>
    </row>
    <row r="1219" spans="1:26" ht="15.75" hidden="1" customHeight="1" x14ac:dyDescent="0.25">
      <c r="A1219" s="67">
        <v>7</v>
      </c>
      <c r="B1219" s="68">
        <v>98594342</v>
      </c>
      <c r="C1219" s="68" t="s">
        <v>25190</v>
      </c>
      <c r="D1219" s="68" t="s">
        <v>25164</v>
      </c>
      <c r="E1219" s="68" t="s">
        <v>25493</v>
      </c>
      <c r="F1219" s="68" t="s">
        <v>25020</v>
      </c>
      <c r="G1219" s="81" t="s">
        <v>19285</v>
      </c>
      <c r="H1219" s="69">
        <v>45849</v>
      </c>
      <c r="I1219" s="69">
        <v>45851</v>
      </c>
      <c r="J1219" s="68">
        <v>3</v>
      </c>
      <c r="K1219" s="68">
        <v>3</v>
      </c>
      <c r="L1219" s="68" t="s">
        <v>24995</v>
      </c>
      <c r="M1219" s="68" t="s">
        <v>24995</v>
      </c>
      <c r="N1219" s="62" t="s">
        <v>19269</v>
      </c>
      <c r="O1219" s="68" t="s">
        <v>8603</v>
      </c>
      <c r="P1219" s="42" t="str">
        <f>+IF(O1219="","",IFERROR(VLOOKUP(O1219,CODIGO_DIAGNOSTICO,2,0),"CÓDIGO NO ENCONTRADO"))</f>
        <v>MOTOCICLISTA LESIONADO POR COLISION CON PEATON O ANIMAL: CONDUCTOR LESIONADO EN ACCIDENTE NO DE TRANSITO</v>
      </c>
      <c r="Q1219" s="68" t="s">
        <v>26517</v>
      </c>
      <c r="R1219" s="67"/>
      <c r="S1219" s="77"/>
      <c r="T1219" s="76"/>
      <c r="U1219" s="65"/>
      <c r="V1219" s="68"/>
      <c r="W1219" s="70"/>
      <c r="X1219" s="68"/>
      <c r="Y1219" s="70"/>
      <c r="Z1219" s="72"/>
    </row>
    <row r="1220" spans="1:26" ht="15.75" hidden="1" customHeight="1" x14ac:dyDescent="0.25">
      <c r="A1220" s="64">
        <v>7</v>
      </c>
      <c r="B1220" s="62">
        <v>1152192457</v>
      </c>
      <c r="C1220" s="62" t="s">
        <v>26468</v>
      </c>
      <c r="D1220" s="62" t="s">
        <v>26469</v>
      </c>
      <c r="E1220" s="62" t="s">
        <v>26470</v>
      </c>
      <c r="F1220" s="62"/>
      <c r="G1220" s="81" t="s">
        <v>19285</v>
      </c>
      <c r="H1220" s="63">
        <v>45849</v>
      </c>
      <c r="I1220" s="63">
        <v>45850</v>
      </c>
      <c r="J1220" s="62">
        <v>2</v>
      </c>
      <c r="K1220" s="62">
        <v>2</v>
      </c>
      <c r="L1220" s="62" t="s">
        <v>24995</v>
      </c>
      <c r="M1220" s="62" t="s">
        <v>24995</v>
      </c>
      <c r="N1220" s="62" t="s">
        <v>19269</v>
      </c>
      <c r="O1220" s="62" t="s">
        <v>85</v>
      </c>
      <c r="P1220" s="42" t="str">
        <f>+IF(O1220="","",IFERROR(VLOOKUP(O1220,CODIGO_DIAGNOSTICO,2,0),"CÓDIGO NO ENCONTRADO"))</f>
        <v>OTRAS ENTERITIS VIRALES</v>
      </c>
      <c r="Q1220" s="62" t="s">
        <v>24996</v>
      </c>
      <c r="R1220" s="64"/>
      <c r="S1220" s="75"/>
      <c r="T1220" s="75"/>
      <c r="U1220" s="65"/>
      <c r="V1220" s="62"/>
      <c r="W1220" s="65"/>
      <c r="X1220" s="62"/>
      <c r="Y1220" s="65"/>
      <c r="Z1220" s="73"/>
    </row>
    <row r="1221" spans="1:26" ht="15.75" hidden="1" customHeight="1" x14ac:dyDescent="0.25">
      <c r="A1221" s="67">
        <v>7</v>
      </c>
      <c r="B1221" s="68">
        <v>98525106</v>
      </c>
      <c r="C1221" s="68" t="s">
        <v>25133</v>
      </c>
      <c r="D1221" s="68" t="s">
        <v>25594</v>
      </c>
      <c r="E1221" s="68" t="s">
        <v>25203</v>
      </c>
      <c r="F1221" s="68" t="s">
        <v>25005</v>
      </c>
      <c r="G1221" s="81" t="s">
        <v>19285</v>
      </c>
      <c r="H1221" s="69">
        <v>45851</v>
      </c>
      <c r="I1221" s="69">
        <v>45853</v>
      </c>
      <c r="J1221" s="68">
        <v>3</v>
      </c>
      <c r="K1221" s="68">
        <v>3</v>
      </c>
      <c r="L1221" s="68" t="s">
        <v>24995</v>
      </c>
      <c r="M1221" s="68" t="s">
        <v>24995</v>
      </c>
      <c r="N1221" s="62" t="s">
        <v>19269</v>
      </c>
      <c r="O1221" s="68" t="s">
        <v>7608</v>
      </c>
      <c r="P1221" s="42" t="str">
        <f>+IF(O1221="","",IFERROR(VLOOKUP(O1221,CODIGO_DIAGNOSTICO,2,0),"CÓDIGO NO ENCONTRADO"))</f>
        <v>HERIDAS MULTIPLES DE LA MUÑECA Y DE LA MANO</v>
      </c>
      <c r="Q1221" s="68" t="s">
        <v>26059</v>
      </c>
      <c r="R1221" s="67"/>
      <c r="S1221" s="77"/>
      <c r="T1221" s="76"/>
      <c r="U1221" s="65"/>
      <c r="V1221" s="68"/>
      <c r="W1221" s="70"/>
      <c r="X1221" s="68"/>
      <c r="Y1221" s="70"/>
      <c r="Z1221" s="72"/>
    </row>
    <row r="1222" spans="1:26" ht="15.75" hidden="1" customHeight="1" x14ac:dyDescent="0.25">
      <c r="A1222" s="64">
        <v>7</v>
      </c>
      <c r="B1222" s="62">
        <v>43600465</v>
      </c>
      <c r="C1222" s="62" t="s">
        <v>25037</v>
      </c>
      <c r="D1222" s="62" t="s">
        <v>25387</v>
      </c>
      <c r="E1222" s="62" t="s">
        <v>25316</v>
      </c>
      <c r="F1222" s="62" t="s">
        <v>25258</v>
      </c>
      <c r="G1222" s="81" t="s">
        <v>26413</v>
      </c>
      <c r="H1222" s="63">
        <v>45853</v>
      </c>
      <c r="I1222" s="63">
        <v>45859</v>
      </c>
      <c r="J1222" s="62">
        <v>7</v>
      </c>
      <c r="K1222" s="62">
        <v>7</v>
      </c>
      <c r="L1222" s="62" t="s">
        <v>19262</v>
      </c>
      <c r="M1222" s="62" t="s">
        <v>19262</v>
      </c>
      <c r="N1222" s="62" t="s">
        <v>19269</v>
      </c>
      <c r="O1222" s="62" t="s">
        <v>7787</v>
      </c>
      <c r="P1222" s="42" t="str">
        <f>+IF(O1222="","",IFERROR(VLOOKUP(O1222,CODIGO_DIAGNOSTICO,2,0),"CÓDIGO NO ENCONTRADO"))</f>
        <v>FRACTURA DE LOS HUESOS DE OTRO(S) DEDO(S) DEL PIE</v>
      </c>
      <c r="Q1222" s="62" t="s">
        <v>26059</v>
      </c>
      <c r="R1222" s="64"/>
      <c r="S1222" s="75"/>
      <c r="T1222" s="75"/>
      <c r="U1222" s="65"/>
      <c r="V1222" s="62"/>
      <c r="W1222" s="65"/>
      <c r="X1222" s="62"/>
      <c r="Y1222" s="65"/>
      <c r="Z1222" s="73"/>
    </row>
    <row r="1223" spans="1:26" ht="15.75" hidden="1" customHeight="1" x14ac:dyDescent="0.25">
      <c r="A1223" s="67">
        <v>7</v>
      </c>
      <c r="B1223" s="68">
        <v>43918754</v>
      </c>
      <c r="C1223" s="68" t="s">
        <v>25079</v>
      </c>
      <c r="D1223" s="68" t="s">
        <v>24983</v>
      </c>
      <c r="E1223" s="68" t="s">
        <v>25165</v>
      </c>
      <c r="F1223" s="68" t="s">
        <v>25832</v>
      </c>
      <c r="G1223" s="81" t="s">
        <v>19285</v>
      </c>
      <c r="H1223" s="69">
        <v>45853</v>
      </c>
      <c r="I1223" s="69">
        <v>45854</v>
      </c>
      <c r="J1223" s="68">
        <v>2</v>
      </c>
      <c r="K1223" s="68">
        <v>2</v>
      </c>
      <c r="L1223" s="68" t="s">
        <v>24995</v>
      </c>
      <c r="M1223" s="68" t="s">
        <v>24995</v>
      </c>
      <c r="N1223" s="62" t="s">
        <v>19269</v>
      </c>
      <c r="O1223" s="68" t="s">
        <v>4838</v>
      </c>
      <c r="P1223" s="42" t="str">
        <f>+IF(O1223="","",IFERROR(VLOOKUP(O1223,CODIGO_DIAGNOSTICO,2,0),"CÓDIGO NO ENCONTRADO"))</f>
        <v>LUMBAGO NO ESPECIFICADO</v>
      </c>
      <c r="Q1223" s="68" t="s">
        <v>24996</v>
      </c>
      <c r="R1223" s="67"/>
      <c r="S1223" s="77"/>
      <c r="T1223" s="76"/>
      <c r="U1223" s="65"/>
      <c r="V1223" s="68"/>
      <c r="W1223" s="70"/>
      <c r="X1223" s="68"/>
      <c r="Y1223" s="70"/>
      <c r="Z1223" s="72"/>
    </row>
    <row r="1224" spans="1:26" ht="15.75" hidden="1" customHeight="1" x14ac:dyDescent="0.25">
      <c r="A1224" s="64">
        <v>7</v>
      </c>
      <c r="B1224" s="62">
        <v>1000534970</v>
      </c>
      <c r="C1224" s="62" t="s">
        <v>25030</v>
      </c>
      <c r="D1224" s="62" t="s">
        <v>24992</v>
      </c>
      <c r="E1224" s="62" t="s">
        <v>26471</v>
      </c>
      <c r="F1224" s="62"/>
      <c r="G1224" s="81" t="s">
        <v>19285</v>
      </c>
      <c r="H1224" s="63">
        <v>45854</v>
      </c>
      <c r="I1224" s="63">
        <v>45855</v>
      </c>
      <c r="J1224" s="62">
        <v>2</v>
      </c>
      <c r="K1224" s="62">
        <v>2</v>
      </c>
      <c r="L1224" s="62" t="s">
        <v>24995</v>
      </c>
      <c r="M1224" s="62" t="s">
        <v>24995</v>
      </c>
      <c r="N1224" s="62" t="s">
        <v>19269</v>
      </c>
      <c r="O1224" s="62" t="s">
        <v>3958</v>
      </c>
      <c r="P1224" s="42" t="str">
        <f>+IF(O1224="","",IFERROR(VLOOKUP(O1224,CODIGO_DIAGNOSTICO,2,0),"CÓDIGO NO ENCONTRADO"))</f>
        <v>GASTRITIS, NO ESPECIFICADA</v>
      </c>
      <c r="Q1224" s="62" t="s">
        <v>24976</v>
      </c>
      <c r="R1224" s="64"/>
      <c r="S1224" s="75"/>
      <c r="T1224" s="75"/>
      <c r="U1224" s="65"/>
      <c r="V1224" s="62"/>
      <c r="W1224" s="65"/>
      <c r="X1224" s="62"/>
      <c r="Y1224" s="65"/>
      <c r="Z1224" s="73"/>
    </row>
    <row r="1225" spans="1:26" ht="15.75" hidden="1" customHeight="1" x14ac:dyDescent="0.25">
      <c r="A1225" s="67">
        <v>7</v>
      </c>
      <c r="B1225" s="68">
        <v>1082997484</v>
      </c>
      <c r="C1225" s="68" t="s">
        <v>26389</v>
      </c>
      <c r="D1225" s="68" t="s">
        <v>26390</v>
      </c>
      <c r="E1225" s="68" t="s">
        <v>26303</v>
      </c>
      <c r="F1225" s="68" t="s">
        <v>25283</v>
      </c>
      <c r="G1225" s="81" t="s">
        <v>19285</v>
      </c>
      <c r="H1225" s="69">
        <v>45854</v>
      </c>
      <c r="I1225" s="69">
        <v>45856</v>
      </c>
      <c r="J1225" s="68">
        <v>3</v>
      </c>
      <c r="K1225" s="68">
        <v>3</v>
      </c>
      <c r="L1225" s="68" t="s">
        <v>24995</v>
      </c>
      <c r="M1225" s="68" t="s">
        <v>24995</v>
      </c>
      <c r="N1225" s="62" t="s">
        <v>19269</v>
      </c>
      <c r="O1225" s="68" t="s">
        <v>3628</v>
      </c>
      <c r="P1225" s="42" t="str">
        <f>+IF(O1225="","",IFERROR(VLOOKUP(O1225,CODIGO_DIAGNOSTICO,2,0),"CÓDIGO NO ENCONTRADO"))</f>
        <v>BRONQUITIS AGUDA, NO ESPECIFICADA</v>
      </c>
      <c r="Q1225" s="68" t="s">
        <v>19231</v>
      </c>
      <c r="R1225" s="67"/>
      <c r="S1225" s="77"/>
      <c r="T1225" s="76"/>
      <c r="U1225" s="65"/>
      <c r="V1225" s="68"/>
      <c r="W1225" s="70"/>
      <c r="X1225" s="68"/>
      <c r="Y1225" s="70"/>
      <c r="Z1225" s="72"/>
    </row>
    <row r="1226" spans="1:26" ht="15.75" hidden="1" customHeight="1" x14ac:dyDescent="0.25">
      <c r="A1226" s="64">
        <v>8</v>
      </c>
      <c r="B1226" s="62">
        <v>98601485</v>
      </c>
      <c r="C1226" s="62" t="s">
        <v>25240</v>
      </c>
      <c r="D1226" s="62"/>
      <c r="E1226" s="62" t="s">
        <v>25241</v>
      </c>
      <c r="F1226" s="62" t="s">
        <v>24982</v>
      </c>
      <c r="G1226" s="81" t="s">
        <v>25328</v>
      </c>
      <c r="H1226" s="63">
        <v>45856</v>
      </c>
      <c r="I1226" s="63">
        <v>45885</v>
      </c>
      <c r="J1226" s="62">
        <v>30</v>
      </c>
      <c r="K1226" s="62">
        <v>30</v>
      </c>
      <c r="L1226" s="62" t="s">
        <v>19262</v>
      </c>
      <c r="M1226" s="62" t="s">
        <v>19262</v>
      </c>
      <c r="N1226" s="62" t="s">
        <v>19269</v>
      </c>
      <c r="O1226" s="62" t="s">
        <v>8419</v>
      </c>
      <c r="P1226" s="42" t="str">
        <f>+IF(O1226="","",IFERROR(VLOOKUP(O1226,CODIGO_DIAGNOSTICO,2,0),"CÓDIGO NO ENCONTRADO"))</f>
        <v>COMPLICACION MECANICA DE OTROS DISPOSITIVOS PROTESICOS, IMPLANTES E INJERTOS ORTOPEDICOS INTERNOS</v>
      </c>
      <c r="Q1226" s="62" t="s">
        <v>26059</v>
      </c>
      <c r="R1226" s="64"/>
      <c r="S1226" s="75"/>
      <c r="T1226" s="75"/>
      <c r="U1226" s="65"/>
      <c r="V1226" s="62"/>
      <c r="W1226" s="65"/>
      <c r="X1226" s="62"/>
      <c r="Y1226" s="65"/>
      <c r="Z1226" s="73"/>
    </row>
    <row r="1227" spans="1:26" ht="15.75" hidden="1" customHeight="1" x14ac:dyDescent="0.25">
      <c r="A1227" s="67">
        <v>7</v>
      </c>
      <c r="B1227" s="68">
        <v>12625299</v>
      </c>
      <c r="C1227" s="68" t="s">
        <v>25321</v>
      </c>
      <c r="D1227" s="68" t="s">
        <v>25322</v>
      </c>
      <c r="E1227" s="68" t="s">
        <v>25323</v>
      </c>
      <c r="F1227" s="68" t="s">
        <v>25064</v>
      </c>
      <c r="G1227" s="81" t="s">
        <v>19285</v>
      </c>
      <c r="H1227" s="69">
        <v>45857</v>
      </c>
      <c r="I1227" s="69">
        <v>45871</v>
      </c>
      <c r="J1227" s="68">
        <v>15</v>
      </c>
      <c r="K1227" s="68">
        <v>15</v>
      </c>
      <c r="L1227" s="68" t="s">
        <v>19262</v>
      </c>
      <c r="M1227" s="68" t="s">
        <v>19262</v>
      </c>
      <c r="N1227" s="62" t="s">
        <v>19269</v>
      </c>
      <c r="O1227" s="68" t="s">
        <v>3284</v>
      </c>
      <c r="P1227" s="42" t="str">
        <f>+IF(O1227="","",IFERROR(VLOOKUP(O1227,CODIGO_DIAGNOSTICO,2,0),"CÓDIGO NO ENCONTRADO"))</f>
        <v>ENDOCARDITIS INFECCIOSA AGUDA Y SUBAGUDA</v>
      </c>
      <c r="Q1227" s="68" t="s">
        <v>26059</v>
      </c>
      <c r="R1227" s="67"/>
      <c r="S1227" s="77"/>
      <c r="T1227" s="76"/>
      <c r="U1227" s="65"/>
      <c r="V1227" s="68"/>
      <c r="W1227" s="70"/>
      <c r="X1227" s="68"/>
      <c r="Y1227" s="70"/>
      <c r="Z1227" s="72"/>
    </row>
    <row r="1228" spans="1:26" ht="15.75" hidden="1" customHeight="1" x14ac:dyDescent="0.25">
      <c r="A1228" s="64">
        <v>7</v>
      </c>
      <c r="B1228" s="62">
        <v>6275085</v>
      </c>
      <c r="C1228" s="62" t="s">
        <v>25348</v>
      </c>
      <c r="D1228" s="62" t="s">
        <v>25450</v>
      </c>
      <c r="E1228" s="62" t="s">
        <v>26316</v>
      </c>
      <c r="F1228" s="62" t="s">
        <v>25135</v>
      </c>
      <c r="G1228" s="81" t="s">
        <v>19285</v>
      </c>
      <c r="H1228" s="63">
        <v>45857</v>
      </c>
      <c r="I1228" s="63">
        <v>45871</v>
      </c>
      <c r="J1228" s="62">
        <v>15</v>
      </c>
      <c r="K1228" s="62">
        <v>15</v>
      </c>
      <c r="L1228" s="62" t="s">
        <v>24995</v>
      </c>
      <c r="M1228" s="62" t="s">
        <v>24995</v>
      </c>
      <c r="N1228" s="62" t="s">
        <v>19269</v>
      </c>
      <c r="O1228" s="62" t="s">
        <v>3691</v>
      </c>
      <c r="P1228" s="42" t="str">
        <f>+IF(O1228="","",IFERROR(VLOOKUP(O1228,CODIGO_DIAGNOSTICO,2,0),"CÓDIGO NO ENCONTRADO"))</f>
        <v>ENFERMEDAD PULMONAR OBSTRUCTIVA CRONICA CON EXACERBACION AGUDA, NO ESPECIFICADA</v>
      </c>
      <c r="Q1228" s="62" t="s">
        <v>26059</v>
      </c>
      <c r="R1228" s="64"/>
      <c r="S1228" s="75"/>
      <c r="T1228" s="75"/>
      <c r="U1228" s="65"/>
      <c r="V1228" s="62"/>
      <c r="W1228" s="65"/>
      <c r="X1228" s="62"/>
      <c r="Y1228" s="65"/>
      <c r="Z1228" s="73"/>
    </row>
    <row r="1229" spans="1:26" ht="15.75" hidden="1" customHeight="1" x14ac:dyDescent="0.25">
      <c r="A1229" s="67">
        <v>7</v>
      </c>
      <c r="B1229" s="68">
        <v>1102890114</v>
      </c>
      <c r="C1229" s="68" t="s">
        <v>25085</v>
      </c>
      <c r="D1229" s="68" t="s">
        <v>26375</v>
      </c>
      <c r="E1229" s="68" t="s">
        <v>26466</v>
      </c>
      <c r="F1229" s="68" t="s">
        <v>25010</v>
      </c>
      <c r="G1229" s="81" t="s">
        <v>19285</v>
      </c>
      <c r="H1229" s="69">
        <v>45858</v>
      </c>
      <c r="I1229" s="69">
        <v>45859</v>
      </c>
      <c r="J1229" s="68">
        <v>2</v>
      </c>
      <c r="K1229" s="68">
        <v>2</v>
      </c>
      <c r="L1229" s="68" t="s">
        <v>24995</v>
      </c>
      <c r="M1229" s="68" t="s">
        <v>24995</v>
      </c>
      <c r="N1229" s="62" t="s">
        <v>19269</v>
      </c>
      <c r="O1229" s="68" t="s">
        <v>7057</v>
      </c>
      <c r="P1229" s="42" t="str">
        <f>+IF(O1229="","",IFERROR(VLOOKUP(O1229,CODIGO_DIAGNOSTICO,2,0),"CÓDIGO NO ENCONTRADO"))</f>
        <v>CEFALEA</v>
      </c>
      <c r="Q1229" s="68" t="s">
        <v>19232</v>
      </c>
      <c r="R1229" s="67"/>
      <c r="S1229" s="77"/>
      <c r="T1229" s="76"/>
      <c r="U1229" s="65"/>
      <c r="V1229" s="68"/>
      <c r="W1229" s="70"/>
      <c r="X1229" s="68"/>
      <c r="Y1229" s="70"/>
      <c r="Z1229" s="72"/>
    </row>
    <row r="1230" spans="1:26" ht="15.75" hidden="1" customHeight="1" x14ac:dyDescent="0.25">
      <c r="A1230" s="64">
        <v>7</v>
      </c>
      <c r="B1230" s="62">
        <v>1000112049</v>
      </c>
      <c r="C1230" s="62" t="s">
        <v>26188</v>
      </c>
      <c r="D1230" s="62" t="s">
        <v>25588</v>
      </c>
      <c r="E1230" s="62" t="s">
        <v>25096</v>
      </c>
      <c r="F1230" s="62"/>
      <c r="G1230" s="81" t="s">
        <v>19285</v>
      </c>
      <c r="H1230" s="63">
        <v>45858</v>
      </c>
      <c r="I1230" s="63">
        <v>45867</v>
      </c>
      <c r="J1230" s="62">
        <v>10</v>
      </c>
      <c r="K1230" s="62">
        <v>10</v>
      </c>
      <c r="L1230" s="62" t="s">
        <v>24995</v>
      </c>
      <c r="M1230" s="62" t="s">
        <v>24995</v>
      </c>
      <c r="N1230" s="62" t="s">
        <v>19269</v>
      </c>
      <c r="O1230" s="62" t="s">
        <v>7725</v>
      </c>
      <c r="P1230" s="42" t="str">
        <f>+IF(O1230="","",IFERROR(VLOOKUP(O1230,CODIGO_DIAGNOSTICO,2,0),"CÓDIGO NO ENCONTRADO"))</f>
        <v>FRACTURA DE LA EPIFISIS INFERIOR DE LA TIBIA</v>
      </c>
      <c r="Q1230" s="62" t="s">
        <v>19288</v>
      </c>
      <c r="R1230" s="64"/>
      <c r="S1230" s="75"/>
      <c r="T1230" s="75"/>
      <c r="U1230" s="65"/>
      <c r="V1230" s="62"/>
      <c r="W1230" s="65"/>
      <c r="X1230" s="62"/>
      <c r="Y1230" s="65"/>
      <c r="Z1230" s="73"/>
    </row>
    <row r="1231" spans="1:26" ht="15.75" hidden="1" customHeight="1" x14ac:dyDescent="0.25">
      <c r="A1231" s="67">
        <v>7</v>
      </c>
      <c r="B1231" s="68">
        <v>1039284741</v>
      </c>
      <c r="C1231" s="68" t="s">
        <v>25472</v>
      </c>
      <c r="D1231" s="68" t="s">
        <v>25109</v>
      </c>
      <c r="E1231" s="68" t="s">
        <v>26450</v>
      </c>
      <c r="F1231" s="68"/>
      <c r="G1231" s="81" t="s">
        <v>19285</v>
      </c>
      <c r="H1231" s="69">
        <v>45859</v>
      </c>
      <c r="I1231" s="69">
        <v>45860</v>
      </c>
      <c r="J1231" s="68">
        <v>2</v>
      </c>
      <c r="K1231" s="68">
        <v>2</v>
      </c>
      <c r="L1231" s="68" t="s">
        <v>24995</v>
      </c>
      <c r="M1231" s="68" t="s">
        <v>24995</v>
      </c>
      <c r="N1231" s="62" t="s">
        <v>19269</v>
      </c>
      <c r="O1231" s="68" t="s">
        <v>11903</v>
      </c>
      <c r="P1231" s="42" t="str">
        <f>+IF(O1231="","",IFERROR(VLOOKUP(O1231,CODIGO_DIAGNOSTICO,2,0),"CÓDIGO NO ENCONTRADO"))</f>
        <v>EXAMEN DE PESQUISA ESPECIAL PARA TUMOR DE LA MAMA</v>
      </c>
      <c r="Q1231" s="68" t="s">
        <v>19289</v>
      </c>
      <c r="R1231" s="67"/>
      <c r="S1231" s="77"/>
      <c r="T1231" s="76"/>
      <c r="U1231" s="65"/>
      <c r="V1231" s="68"/>
      <c r="W1231" s="70"/>
      <c r="X1231" s="68"/>
      <c r="Y1231" s="70"/>
      <c r="Z1231" s="72"/>
    </row>
    <row r="1232" spans="1:26" ht="15.75" hidden="1" customHeight="1" x14ac:dyDescent="0.25">
      <c r="A1232" s="64">
        <v>7</v>
      </c>
      <c r="B1232" s="62">
        <v>1017188829</v>
      </c>
      <c r="C1232" s="62" t="s">
        <v>25052</v>
      </c>
      <c r="D1232" s="62" t="s">
        <v>25310</v>
      </c>
      <c r="E1232" s="62" t="s">
        <v>26383</v>
      </c>
      <c r="F1232" s="62"/>
      <c r="G1232" s="81" t="s">
        <v>26472</v>
      </c>
      <c r="H1232" s="63">
        <v>45859</v>
      </c>
      <c r="I1232" s="63">
        <v>45888</v>
      </c>
      <c r="J1232" s="62">
        <v>30</v>
      </c>
      <c r="K1232" s="62">
        <v>30</v>
      </c>
      <c r="L1232" s="62" t="s">
        <v>24995</v>
      </c>
      <c r="M1232" s="62" t="s">
        <v>19262</v>
      </c>
      <c r="N1232" s="62" t="s">
        <v>19269</v>
      </c>
      <c r="O1232" s="62" t="s">
        <v>7560</v>
      </c>
      <c r="P1232" s="42" t="str">
        <f>+IF(O1232="","",IFERROR(VLOOKUP(O1232,CODIGO_DIAGNOSTICO,2,0),"CÓDIGO NO ENCONTRADO"))</f>
        <v>FRACTURA DE LA EPIFISIS INFERIOR DEL RADIO</v>
      </c>
      <c r="Q1232" s="62" t="s">
        <v>26473</v>
      </c>
      <c r="R1232" s="64"/>
      <c r="S1232" s="75"/>
      <c r="T1232" s="75"/>
      <c r="U1232" s="65"/>
      <c r="V1232" s="62"/>
      <c r="W1232" s="65"/>
      <c r="X1232" s="62"/>
      <c r="Y1232" s="65"/>
      <c r="Z1232" s="73"/>
    </row>
    <row r="1233" spans="1:26" ht="15.75" hidden="1" customHeight="1" x14ac:dyDescent="0.25">
      <c r="A1233" s="67">
        <v>7</v>
      </c>
      <c r="B1233" s="68">
        <v>43600465</v>
      </c>
      <c r="C1233" s="68" t="s">
        <v>25037</v>
      </c>
      <c r="D1233" s="68" t="s">
        <v>25387</v>
      </c>
      <c r="E1233" s="68" t="s">
        <v>25316</v>
      </c>
      <c r="F1233" s="68" t="s">
        <v>25258</v>
      </c>
      <c r="G1233" s="81" t="s">
        <v>26413</v>
      </c>
      <c r="H1233" s="69">
        <v>45860</v>
      </c>
      <c r="I1233" s="69">
        <v>45866</v>
      </c>
      <c r="J1233" s="68">
        <v>7</v>
      </c>
      <c r="K1233" s="68">
        <v>7</v>
      </c>
      <c r="L1233" s="68" t="s">
        <v>19262</v>
      </c>
      <c r="M1233" s="68" t="s">
        <v>19262</v>
      </c>
      <c r="N1233" s="62" t="s">
        <v>19269</v>
      </c>
      <c r="O1233" s="68" t="s">
        <v>7787</v>
      </c>
      <c r="P1233" s="42" t="str">
        <f>+IF(O1233="","",IFERROR(VLOOKUP(O1233,CODIGO_DIAGNOSTICO,2,0),"CÓDIGO NO ENCONTRADO"))</f>
        <v>FRACTURA DE LOS HUESOS DE OTRO(S) DEDO(S) DEL PIE</v>
      </c>
      <c r="Q1233" s="68" t="s">
        <v>26059</v>
      </c>
      <c r="R1233" s="67"/>
      <c r="S1233" s="77"/>
      <c r="T1233" s="76"/>
      <c r="U1233" s="65"/>
      <c r="V1233" s="68"/>
      <c r="W1233" s="70"/>
      <c r="X1233" s="68"/>
      <c r="Y1233" s="70"/>
      <c r="Z1233" s="72"/>
    </row>
    <row r="1234" spans="1:26" ht="15.75" hidden="1" customHeight="1" x14ac:dyDescent="0.25">
      <c r="A1234" s="64">
        <v>7</v>
      </c>
      <c r="B1234" s="62">
        <v>15457694</v>
      </c>
      <c r="C1234" s="62" t="s">
        <v>25225</v>
      </c>
      <c r="D1234" s="62" t="s">
        <v>26062</v>
      </c>
      <c r="E1234" s="62" t="s">
        <v>25056</v>
      </c>
      <c r="F1234" s="62" t="s">
        <v>25371</v>
      </c>
      <c r="G1234" s="81" t="s">
        <v>19285</v>
      </c>
      <c r="H1234" s="63">
        <v>45860</v>
      </c>
      <c r="I1234" s="63">
        <v>45860</v>
      </c>
      <c r="J1234" s="62">
        <v>1</v>
      </c>
      <c r="K1234" s="62">
        <v>1</v>
      </c>
      <c r="L1234" s="62" t="s">
        <v>24995</v>
      </c>
      <c r="M1234" s="62" t="s">
        <v>24995</v>
      </c>
      <c r="N1234" s="62" t="s">
        <v>19269</v>
      </c>
      <c r="O1234" s="62" t="s">
        <v>539</v>
      </c>
      <c r="P1234" s="42" t="str">
        <f>+IF(O1234="","",IFERROR(VLOOKUP(O1234,CODIGO_DIAGNOSTICO,2,0),"CÓDIGO NO ENCONTRADO"))</f>
        <v>INFECCION VIRAL, NO ESPECIFICADA</v>
      </c>
      <c r="Q1234" s="62" t="s">
        <v>26059</v>
      </c>
      <c r="R1234" s="64"/>
      <c r="S1234" s="75"/>
      <c r="T1234" s="75"/>
      <c r="U1234" s="65"/>
      <c r="V1234" s="62"/>
      <c r="W1234" s="65"/>
      <c r="X1234" s="62"/>
      <c r="Y1234" s="65"/>
      <c r="Z1234" s="73"/>
    </row>
    <row r="1235" spans="1:26" ht="15.75" hidden="1" customHeight="1" x14ac:dyDescent="0.25">
      <c r="A1235" s="67">
        <v>7</v>
      </c>
      <c r="B1235" s="68">
        <v>1039023335</v>
      </c>
      <c r="C1235" s="68" t="s">
        <v>25348</v>
      </c>
      <c r="D1235" s="68" t="s">
        <v>26416</v>
      </c>
      <c r="E1235" s="68" t="s">
        <v>26175</v>
      </c>
      <c r="F1235" s="68"/>
      <c r="G1235" s="81" t="s">
        <v>19285</v>
      </c>
      <c r="H1235" s="69">
        <v>45860</v>
      </c>
      <c r="I1235" s="69">
        <v>45860</v>
      </c>
      <c r="J1235" s="68">
        <v>1</v>
      </c>
      <c r="K1235" s="68">
        <v>1</v>
      </c>
      <c r="L1235" s="68" t="s">
        <v>24995</v>
      </c>
      <c r="M1235" s="68" t="s">
        <v>24995</v>
      </c>
      <c r="N1235" s="62" t="s">
        <v>19269</v>
      </c>
      <c r="O1235" s="68" t="s">
        <v>7666</v>
      </c>
      <c r="P1235" s="42" t="str">
        <f>+IF(O1235="","",IFERROR(VLOOKUP(O1235,CODIGO_DIAGNOSTICO,2,0),"CÓDIGO NO ENCONTRADO"))</f>
        <v>TRAUMATISMO NO ESPECIFICADO DE LA MUÑECA Y DE LA MANO</v>
      </c>
      <c r="Q1235" s="68" t="s">
        <v>26339</v>
      </c>
      <c r="R1235" s="67"/>
      <c r="S1235" s="77"/>
      <c r="T1235" s="76"/>
      <c r="U1235" s="65"/>
      <c r="V1235" s="68"/>
      <c r="W1235" s="70"/>
      <c r="X1235" s="68"/>
      <c r="Y1235" s="70"/>
      <c r="Z1235" s="72"/>
    </row>
    <row r="1236" spans="1:26" ht="15.75" hidden="1" customHeight="1" x14ac:dyDescent="0.25">
      <c r="A1236" s="64">
        <v>7</v>
      </c>
      <c r="B1236" s="62">
        <v>8463537</v>
      </c>
      <c r="C1236" s="62" t="s">
        <v>25246</v>
      </c>
      <c r="D1236" s="62" t="s">
        <v>26062</v>
      </c>
      <c r="E1236" s="62" t="s">
        <v>26054</v>
      </c>
      <c r="F1236" s="62" t="s">
        <v>26055</v>
      </c>
      <c r="G1236" s="81" t="s">
        <v>19285</v>
      </c>
      <c r="H1236" s="63">
        <v>45862</v>
      </c>
      <c r="I1236" s="63">
        <v>45876</v>
      </c>
      <c r="J1236" s="62">
        <v>15</v>
      </c>
      <c r="K1236" s="62">
        <v>15</v>
      </c>
      <c r="L1236" s="62" t="s">
        <v>24995</v>
      </c>
      <c r="M1236" s="62" t="s">
        <v>24995</v>
      </c>
      <c r="N1236" s="62" t="s">
        <v>19269</v>
      </c>
      <c r="O1236" s="62" t="s">
        <v>2271</v>
      </c>
      <c r="P1236" s="42" t="str">
        <f>+IF(O1236="","",IFERROR(VLOOKUP(O1236,CODIGO_DIAGNOSTICO,2,0),"CÓDIGO NO ENCONTRADO"))</f>
        <v>TRASTORNO DE ANSIEDAD GENERALIZADA</v>
      </c>
      <c r="Q1236" s="62" t="s">
        <v>19231</v>
      </c>
      <c r="R1236" s="64"/>
      <c r="S1236" s="75"/>
      <c r="T1236" s="75"/>
      <c r="U1236" s="65"/>
      <c r="V1236" s="62"/>
      <c r="W1236" s="65"/>
      <c r="X1236" s="62"/>
      <c r="Y1236" s="65"/>
      <c r="Z1236" s="73"/>
    </row>
    <row r="1237" spans="1:26" ht="15.75" hidden="1" customHeight="1" x14ac:dyDescent="0.25">
      <c r="A1237" s="67">
        <v>7</v>
      </c>
      <c r="B1237" s="68">
        <v>43117538</v>
      </c>
      <c r="C1237" s="68" t="s">
        <v>24997</v>
      </c>
      <c r="D1237" s="68" t="s">
        <v>25248</v>
      </c>
      <c r="E1237" s="68" t="s">
        <v>24999</v>
      </c>
      <c r="F1237" s="68" t="s">
        <v>25000</v>
      </c>
      <c r="G1237" s="81" t="s">
        <v>19285</v>
      </c>
      <c r="H1237" s="69">
        <v>45862</v>
      </c>
      <c r="I1237" s="69">
        <v>45862</v>
      </c>
      <c r="J1237" s="68">
        <v>1</v>
      </c>
      <c r="K1237" s="68">
        <v>1</v>
      </c>
      <c r="L1237" s="68" t="s">
        <v>24995</v>
      </c>
      <c r="M1237" s="68" t="s">
        <v>24995</v>
      </c>
      <c r="N1237" s="62" t="s">
        <v>19269</v>
      </c>
      <c r="O1237" s="68" t="s">
        <v>5055</v>
      </c>
      <c r="P1237" s="42" t="str">
        <f>+IF(O1237="","",IFERROR(VLOOKUP(O1237,CODIGO_DIAGNOSTICO,2,0),"CÓDIGO NO ENCONTRADO"))</f>
        <v>SINDROME DE LA ARTICULACION CONDROCOSTAL [TIETZE]</v>
      </c>
      <c r="Q1237" s="68" t="s">
        <v>26059</v>
      </c>
      <c r="R1237" s="67"/>
      <c r="S1237" s="77"/>
      <c r="T1237" s="76"/>
      <c r="U1237" s="65"/>
      <c r="V1237" s="68"/>
      <c r="W1237" s="70"/>
      <c r="X1237" s="68"/>
      <c r="Y1237" s="70"/>
      <c r="Z1237" s="72"/>
    </row>
    <row r="1238" spans="1:26" ht="15.75" hidden="1" customHeight="1" x14ac:dyDescent="0.25">
      <c r="A1238" s="64">
        <v>7</v>
      </c>
      <c r="B1238" s="62">
        <v>71393606</v>
      </c>
      <c r="C1238" s="62" t="s">
        <v>25426</v>
      </c>
      <c r="D1238" s="62" t="s">
        <v>25836</v>
      </c>
      <c r="E1238" s="62" t="s">
        <v>25837</v>
      </c>
      <c r="F1238" s="62" t="s">
        <v>25066</v>
      </c>
      <c r="G1238" s="81" t="s">
        <v>19285</v>
      </c>
      <c r="H1238" s="63">
        <v>45863</v>
      </c>
      <c r="I1238" s="63">
        <v>45864</v>
      </c>
      <c r="J1238" s="62">
        <v>2</v>
      </c>
      <c r="K1238" s="62">
        <v>2</v>
      </c>
      <c r="L1238" s="62" t="s">
        <v>24995</v>
      </c>
      <c r="M1238" s="62" t="s">
        <v>24995</v>
      </c>
      <c r="N1238" s="62" t="s">
        <v>19269</v>
      </c>
      <c r="O1238" s="62" t="s">
        <v>15281</v>
      </c>
      <c r="P1238" s="42" t="str">
        <f>+IF(O1238="","",IFERROR(VLOOKUP(O1238,CODIGO_DIAGNOSTICO,2,0),"CÓDIGO NO ENCONTRADO"))</f>
        <v>RINOFARINGITIS AGUDA (RESFRIADO COMUN)</v>
      </c>
      <c r="Q1238" s="62" t="s">
        <v>26059</v>
      </c>
      <c r="R1238" s="64"/>
      <c r="S1238" s="75"/>
      <c r="T1238" s="75"/>
      <c r="U1238" s="65"/>
      <c r="V1238" s="62"/>
      <c r="W1238" s="65"/>
      <c r="X1238" s="62"/>
      <c r="Y1238" s="65"/>
      <c r="Z1238" s="73"/>
    </row>
    <row r="1239" spans="1:26" ht="15.75" hidden="1" customHeight="1" x14ac:dyDescent="0.25">
      <c r="A1239" s="67">
        <v>7</v>
      </c>
      <c r="B1239" s="68">
        <v>32143746</v>
      </c>
      <c r="C1239" s="68" t="s">
        <v>25281</v>
      </c>
      <c r="D1239" s="68" t="s">
        <v>25034</v>
      </c>
      <c r="E1239" s="68" t="s">
        <v>26070</v>
      </c>
      <c r="F1239" s="68" t="s">
        <v>26071</v>
      </c>
      <c r="G1239" s="81" t="s">
        <v>19285</v>
      </c>
      <c r="H1239" s="69">
        <v>45863</v>
      </c>
      <c r="I1239" s="69">
        <v>45864</v>
      </c>
      <c r="J1239" s="68">
        <v>2</v>
      </c>
      <c r="K1239" s="68">
        <v>2</v>
      </c>
      <c r="L1239" s="68" t="s">
        <v>24995</v>
      </c>
      <c r="M1239" s="68" t="s">
        <v>24995</v>
      </c>
      <c r="N1239" s="62" t="s">
        <v>19269</v>
      </c>
      <c r="O1239" s="68" t="s">
        <v>2596</v>
      </c>
      <c r="P1239" s="42" t="str">
        <f>+IF(O1239="","",IFERROR(VLOOKUP(O1239,CODIGO_DIAGNOSTICO,2,0),"CÓDIGO NO ENCONTRADO"))</f>
        <v>CEFALEA DEBIDA A TENSION</v>
      </c>
      <c r="Q1239" s="68" t="s">
        <v>26059</v>
      </c>
      <c r="R1239" s="67"/>
      <c r="S1239" s="77"/>
      <c r="T1239" s="76"/>
      <c r="U1239" s="65"/>
      <c r="V1239" s="68"/>
      <c r="W1239" s="70"/>
      <c r="X1239" s="68"/>
      <c r="Y1239" s="70"/>
      <c r="Z1239" s="72"/>
    </row>
    <row r="1240" spans="1:26" ht="15.75" hidden="1" customHeight="1" x14ac:dyDescent="0.25">
      <c r="A1240" s="64">
        <v>7</v>
      </c>
      <c r="B1240" s="62">
        <v>70252687</v>
      </c>
      <c r="C1240" s="62" t="s">
        <v>25340</v>
      </c>
      <c r="D1240" s="62" t="s">
        <v>24998</v>
      </c>
      <c r="E1240" s="62" t="s">
        <v>25359</v>
      </c>
      <c r="F1240" s="62" t="s">
        <v>25020</v>
      </c>
      <c r="G1240" s="81" t="s">
        <v>19285</v>
      </c>
      <c r="H1240" s="63">
        <v>45864</v>
      </c>
      <c r="I1240" s="63">
        <v>45862</v>
      </c>
      <c r="J1240" s="62">
        <v>30</v>
      </c>
      <c r="K1240" s="62">
        <v>30</v>
      </c>
      <c r="L1240" s="62" t="s">
        <v>19262</v>
      </c>
      <c r="M1240" s="62" t="s">
        <v>19262</v>
      </c>
      <c r="N1240" s="62" t="s">
        <v>19269</v>
      </c>
      <c r="O1240" s="62" t="s">
        <v>905</v>
      </c>
      <c r="P1240" s="42" t="str">
        <f>+IF(O1240="","",IFERROR(VLOOKUP(O1240,CODIGO_DIAGNOSTICO,2,0),"CÓDIGO NO ENCONTRADO"))</f>
        <v>TUMOR MALIGNO DEL RECTO</v>
      </c>
      <c r="Q1240" s="62" t="s">
        <v>19230</v>
      </c>
      <c r="R1240" s="64"/>
      <c r="S1240" s="75"/>
      <c r="T1240" s="75"/>
      <c r="U1240" s="65"/>
      <c r="V1240" s="62"/>
      <c r="W1240" s="65"/>
      <c r="X1240" s="62"/>
      <c r="Y1240" s="65"/>
      <c r="Z1240" s="73"/>
    </row>
    <row r="1241" spans="1:26" ht="15.75" hidden="1" customHeight="1" x14ac:dyDescent="0.25">
      <c r="A1241" s="67">
        <v>7</v>
      </c>
      <c r="B1241" s="68">
        <v>71393606</v>
      </c>
      <c r="C1241" s="68" t="s">
        <v>25426</v>
      </c>
      <c r="D1241" s="68" t="s">
        <v>25836</v>
      </c>
      <c r="E1241" s="68" t="s">
        <v>25837</v>
      </c>
      <c r="F1241" s="68" t="s">
        <v>25066</v>
      </c>
      <c r="G1241" s="81" t="s">
        <v>19285</v>
      </c>
      <c r="H1241" s="69">
        <v>45865</v>
      </c>
      <c r="I1241" s="69">
        <v>45866</v>
      </c>
      <c r="J1241" s="68">
        <v>2</v>
      </c>
      <c r="K1241" s="68">
        <v>2</v>
      </c>
      <c r="L1241" s="68" t="s">
        <v>19262</v>
      </c>
      <c r="M1241" s="68" t="s">
        <v>24995</v>
      </c>
      <c r="N1241" s="62" t="s">
        <v>19269</v>
      </c>
      <c r="O1241" s="68" t="s">
        <v>15281</v>
      </c>
      <c r="P1241" s="42" t="str">
        <f>+IF(O1241="","",IFERROR(VLOOKUP(O1241,CODIGO_DIAGNOSTICO,2,0),"CÓDIGO NO ENCONTRADO"))</f>
        <v>RINOFARINGITIS AGUDA (RESFRIADO COMUN)</v>
      </c>
      <c r="Q1241" s="68" t="s">
        <v>26059</v>
      </c>
      <c r="R1241" s="67"/>
      <c r="S1241" s="77"/>
      <c r="T1241" s="76"/>
      <c r="U1241" s="65"/>
      <c r="V1241" s="68"/>
      <c r="W1241" s="70"/>
      <c r="X1241" s="68"/>
      <c r="Y1241" s="70"/>
      <c r="Z1241" s="72"/>
    </row>
    <row r="1242" spans="1:26" ht="15.75" hidden="1" customHeight="1" x14ac:dyDescent="0.25">
      <c r="A1242" s="64">
        <v>7</v>
      </c>
      <c r="B1242" s="62">
        <v>1214737996</v>
      </c>
      <c r="C1242" s="62" t="s">
        <v>25547</v>
      </c>
      <c r="D1242" s="62" t="s">
        <v>25969</v>
      </c>
      <c r="E1242" s="62" t="s">
        <v>25970</v>
      </c>
      <c r="F1242" s="62" t="s">
        <v>25060</v>
      </c>
      <c r="G1242" s="81" t="s">
        <v>19285</v>
      </c>
      <c r="H1242" s="63">
        <v>45865</v>
      </c>
      <c r="I1242" s="63">
        <v>45879</v>
      </c>
      <c r="J1242" s="62">
        <v>15</v>
      </c>
      <c r="K1242" s="62">
        <v>15</v>
      </c>
      <c r="L1242" s="62" t="s">
        <v>24995</v>
      </c>
      <c r="M1242" s="62" t="s">
        <v>19262</v>
      </c>
      <c r="N1242" s="62" t="s">
        <v>19269</v>
      </c>
      <c r="O1242" s="62" t="s">
        <v>7723</v>
      </c>
      <c r="P1242" s="42" t="str">
        <f>+IF(O1242="","",IFERROR(VLOOKUP(O1242,CODIGO_DIAGNOSTICO,2,0),"CÓDIGO NO ENCONTRADO"))</f>
        <v>FRACTURA DE LA EPIFISIS SUPERIOR DE LA TIBIA</v>
      </c>
      <c r="Q1242" s="62" t="s">
        <v>26339</v>
      </c>
      <c r="R1242" s="64"/>
      <c r="S1242" s="75"/>
      <c r="T1242" s="75"/>
      <c r="U1242" s="65"/>
      <c r="V1242" s="62"/>
      <c r="W1242" s="65"/>
      <c r="X1242" s="62"/>
      <c r="Y1242" s="65"/>
      <c r="Z1242" s="73"/>
    </row>
    <row r="1243" spans="1:26" ht="15.75" hidden="1" customHeight="1" x14ac:dyDescent="0.25">
      <c r="A1243" s="67">
        <v>7</v>
      </c>
      <c r="B1243" s="68">
        <v>71676289</v>
      </c>
      <c r="C1243" s="68" t="s">
        <v>25702</v>
      </c>
      <c r="D1243" s="68" t="s">
        <v>25012</v>
      </c>
      <c r="E1243" s="68" t="s">
        <v>25016</v>
      </c>
      <c r="F1243" s="68" t="s">
        <v>25004</v>
      </c>
      <c r="G1243" s="81" t="s">
        <v>19285</v>
      </c>
      <c r="H1243" s="69">
        <v>45865</v>
      </c>
      <c r="I1243" s="69">
        <v>45894</v>
      </c>
      <c r="J1243" s="68">
        <v>30</v>
      </c>
      <c r="K1243" s="68">
        <v>30</v>
      </c>
      <c r="L1243" s="68" t="s">
        <v>24995</v>
      </c>
      <c r="M1243" s="68" t="s">
        <v>19262</v>
      </c>
      <c r="N1243" s="62" t="s">
        <v>19269</v>
      </c>
      <c r="O1243" s="68" t="s">
        <v>3483</v>
      </c>
      <c r="P1243" s="42" t="str">
        <f>+IF(O1243="","",IFERROR(VLOOKUP(O1243,CODIGO_DIAGNOSTICO,2,0),"CÓDIGO NO ENCONTRADO"))</f>
        <v>ESTRECHEZ ARTERIAL</v>
      </c>
      <c r="Q1243" s="68" t="s">
        <v>26059</v>
      </c>
      <c r="R1243" s="67"/>
      <c r="S1243" s="77"/>
      <c r="T1243" s="76"/>
      <c r="U1243" s="65"/>
      <c r="V1243" s="68"/>
      <c r="W1243" s="70"/>
      <c r="X1243" s="68"/>
      <c r="Y1243" s="70"/>
      <c r="Z1243" s="72"/>
    </row>
    <row r="1244" spans="1:26" ht="15.75" hidden="1" customHeight="1" x14ac:dyDescent="0.25">
      <c r="A1244" s="64">
        <v>7</v>
      </c>
      <c r="B1244" s="62">
        <v>71339743</v>
      </c>
      <c r="C1244" s="62" t="s">
        <v>25094</v>
      </c>
      <c r="D1244" s="62" t="s">
        <v>25509</v>
      </c>
      <c r="E1244" s="62" t="s">
        <v>25282</v>
      </c>
      <c r="F1244" s="62" t="s">
        <v>24986</v>
      </c>
      <c r="G1244" s="81" t="s">
        <v>19285</v>
      </c>
      <c r="H1244" s="63">
        <v>45867</v>
      </c>
      <c r="I1244" s="63">
        <v>45869</v>
      </c>
      <c r="J1244" s="62">
        <v>3</v>
      </c>
      <c r="K1244" s="62">
        <v>3</v>
      </c>
      <c r="L1244" s="62" t="s">
        <v>24995</v>
      </c>
      <c r="M1244" s="62" t="s">
        <v>24995</v>
      </c>
      <c r="N1244" s="62" t="s">
        <v>19269</v>
      </c>
      <c r="O1244" s="62" t="s">
        <v>88</v>
      </c>
      <c r="P1244" s="42" t="str">
        <f>+IF(O1244="","",IFERROR(VLOOKUP(O1244,CODIGO_DIAGNOSTICO,2,0),"CÓDIGO NO ENCONTRADO"))</f>
        <v>DIARREA Y GASTROENTERITIS DE PRESUNTO ORIGEN INFECCIOSO</v>
      </c>
      <c r="Q1244" s="62" t="s">
        <v>26059</v>
      </c>
      <c r="R1244" s="64"/>
      <c r="S1244" s="75"/>
      <c r="T1244" s="75"/>
      <c r="U1244" s="65"/>
      <c r="V1244" s="62"/>
      <c r="W1244" s="65"/>
      <c r="X1244" s="62"/>
      <c r="Y1244" s="65"/>
      <c r="Z1244" s="73"/>
    </row>
    <row r="1245" spans="1:26" ht="15.75" hidden="1" customHeight="1" x14ac:dyDescent="0.25">
      <c r="A1245" s="67">
        <v>7</v>
      </c>
      <c r="B1245" s="68">
        <v>71393606</v>
      </c>
      <c r="C1245" s="68" t="s">
        <v>25426</v>
      </c>
      <c r="D1245" s="68" t="s">
        <v>25836</v>
      </c>
      <c r="E1245" s="68" t="s">
        <v>25837</v>
      </c>
      <c r="F1245" s="68" t="s">
        <v>25066</v>
      </c>
      <c r="G1245" s="81" t="s">
        <v>19285</v>
      </c>
      <c r="H1245" s="69">
        <v>45867</v>
      </c>
      <c r="I1245" s="69">
        <v>45869</v>
      </c>
      <c r="J1245" s="68">
        <v>3</v>
      </c>
      <c r="K1245" s="68">
        <v>3</v>
      </c>
      <c r="L1245" s="68" t="s">
        <v>24995</v>
      </c>
      <c r="M1245" s="68" t="s">
        <v>24995</v>
      </c>
      <c r="N1245" s="62" t="s">
        <v>19269</v>
      </c>
      <c r="O1245" s="68" t="s">
        <v>66</v>
      </c>
      <c r="P1245" s="42" t="str">
        <f>+IF(O1245="","",IFERROR(VLOOKUP(O1245,CODIGO_DIAGNOSTICO,2,0),"CÓDIGO NO ENCONTRADO"))</f>
        <v>DISENTERIA AMEBIANA AGUDA</v>
      </c>
      <c r="Q1245" s="68" t="s">
        <v>26059</v>
      </c>
      <c r="R1245" s="67"/>
      <c r="S1245" s="77"/>
      <c r="T1245" s="76"/>
      <c r="U1245" s="65"/>
      <c r="V1245" s="68"/>
      <c r="W1245" s="70"/>
      <c r="X1245" s="68"/>
      <c r="Y1245" s="70"/>
      <c r="Z1245" s="72"/>
    </row>
    <row r="1246" spans="1:26" ht="15.75" hidden="1" customHeight="1" x14ac:dyDescent="0.25">
      <c r="A1246" s="64">
        <v>7</v>
      </c>
      <c r="B1246" s="62">
        <v>1000105696</v>
      </c>
      <c r="C1246" s="62" t="s">
        <v>25049</v>
      </c>
      <c r="D1246" s="62" t="s">
        <v>26464</v>
      </c>
      <c r="E1246" s="62" t="s">
        <v>26307</v>
      </c>
      <c r="F1246" s="62"/>
      <c r="G1246" s="81" t="s">
        <v>19285</v>
      </c>
      <c r="H1246" s="63">
        <v>45869</v>
      </c>
      <c r="I1246" s="63">
        <v>45869</v>
      </c>
      <c r="J1246" s="62">
        <v>1</v>
      </c>
      <c r="K1246" s="62">
        <v>1</v>
      </c>
      <c r="L1246" s="62" t="s">
        <v>24995</v>
      </c>
      <c r="M1246" s="62" t="s">
        <v>24995</v>
      </c>
      <c r="N1246" s="62" t="s">
        <v>19269</v>
      </c>
      <c r="O1246" s="62" t="s">
        <v>4838</v>
      </c>
      <c r="P1246" s="42" t="str">
        <f>+IF(O1246="","",IFERROR(VLOOKUP(O1246,CODIGO_DIAGNOSTICO,2,0),"CÓDIGO NO ENCONTRADO"))</f>
        <v>LUMBAGO NO ESPECIFICADO</v>
      </c>
      <c r="Q1246" s="62" t="s">
        <v>26059</v>
      </c>
      <c r="R1246" s="64"/>
      <c r="S1246" s="75"/>
      <c r="T1246" s="75"/>
      <c r="U1246" s="65"/>
      <c r="V1246" s="62"/>
      <c r="W1246" s="65"/>
      <c r="X1246" s="62"/>
      <c r="Y1246" s="65"/>
      <c r="Z1246" s="73"/>
    </row>
    <row r="1247" spans="1:26" ht="15.75" hidden="1" customHeight="1" x14ac:dyDescent="0.25">
      <c r="A1247" s="67">
        <v>8</v>
      </c>
      <c r="B1247" s="68">
        <v>1128466202</v>
      </c>
      <c r="C1247" s="68" t="s">
        <v>26482</v>
      </c>
      <c r="D1247" s="68" t="s">
        <v>25733</v>
      </c>
      <c r="E1247" s="68" t="s">
        <v>25188</v>
      </c>
      <c r="F1247" s="68" t="s">
        <v>25092</v>
      </c>
      <c r="G1247" s="81" t="s">
        <v>19285</v>
      </c>
      <c r="H1247" s="69">
        <v>45872</v>
      </c>
      <c r="I1247" s="69">
        <v>45874</v>
      </c>
      <c r="J1247" s="68">
        <v>3</v>
      </c>
      <c r="K1247" s="68">
        <v>3</v>
      </c>
      <c r="L1247" s="68" t="s">
        <v>24995</v>
      </c>
      <c r="M1247" s="68" t="s">
        <v>24995</v>
      </c>
      <c r="N1247" s="62" t="s">
        <v>19269</v>
      </c>
      <c r="O1247" s="68" t="s">
        <v>7602</v>
      </c>
      <c r="P1247" s="42" t="str">
        <f>+IF(O1247="","",IFERROR(VLOOKUP(O1247,CODIGO_DIAGNOSTICO,2,0),"CÓDIGO NO ENCONTRADO"))</f>
        <v>CONTUSION DE OTRAS PARTES DE LA MUÑECA Y DE LA MANO</v>
      </c>
      <c r="Q1247" s="68" t="s">
        <v>26059</v>
      </c>
      <c r="R1247" s="67"/>
      <c r="S1247" s="77"/>
      <c r="T1247" s="76"/>
      <c r="U1247" s="65"/>
      <c r="V1247" s="68"/>
      <c r="W1247" s="70"/>
      <c r="X1247" s="68"/>
      <c r="Y1247" s="70"/>
      <c r="Z1247" s="72"/>
    </row>
    <row r="1248" spans="1:26" ht="15.75" hidden="1" customHeight="1" x14ac:dyDescent="0.25">
      <c r="A1248" s="64">
        <v>8</v>
      </c>
      <c r="B1248" s="62">
        <v>71770967</v>
      </c>
      <c r="C1248" s="62" t="s">
        <v>25362</v>
      </c>
      <c r="D1248" s="62" t="s">
        <v>25093</v>
      </c>
      <c r="E1248" s="62" t="s">
        <v>25977</v>
      </c>
      <c r="F1248" s="62" t="s">
        <v>25066</v>
      </c>
      <c r="G1248" s="81" t="s">
        <v>25328</v>
      </c>
      <c r="H1248" s="63">
        <v>45872</v>
      </c>
      <c r="I1248" s="63">
        <v>45876</v>
      </c>
      <c r="J1248" s="62">
        <v>5</v>
      </c>
      <c r="K1248" s="62">
        <v>5</v>
      </c>
      <c r="L1248" s="62" t="s">
        <v>24995</v>
      </c>
      <c r="M1248" s="62" t="s">
        <v>24995</v>
      </c>
      <c r="N1248" s="62" t="s">
        <v>19263</v>
      </c>
      <c r="O1248" s="62" t="s">
        <v>7794</v>
      </c>
      <c r="P1248" s="42" t="str">
        <f>+IF(O1248="","",IFERROR(VLOOKUP(O1248,CODIGO_DIAGNOSTICO,2,0),"CÓDIGO NO ENCONTRADO"))</f>
        <v>ESGUINCES Y TORCEDURAS DEL TOBILLO</v>
      </c>
      <c r="Q1248" s="62" t="s">
        <v>25001</v>
      </c>
      <c r="R1248" s="64"/>
      <c r="S1248" s="75"/>
      <c r="T1248" s="75"/>
      <c r="U1248" s="65"/>
      <c r="V1248" s="62"/>
      <c r="W1248" s="65"/>
      <c r="X1248" s="62"/>
      <c r="Y1248" s="65"/>
      <c r="Z1248" s="73"/>
    </row>
    <row r="1249" spans="1:26" ht="15.75" hidden="1" customHeight="1" x14ac:dyDescent="0.25">
      <c r="A1249" s="67">
        <v>8</v>
      </c>
      <c r="B1249" s="68">
        <v>1041148813</v>
      </c>
      <c r="C1249" s="68" t="s">
        <v>25086</v>
      </c>
      <c r="D1249" s="68" t="s">
        <v>25128</v>
      </c>
      <c r="E1249" s="68" t="s">
        <v>25695</v>
      </c>
      <c r="F1249" s="68" t="s">
        <v>25066</v>
      </c>
      <c r="G1249" s="81" t="s">
        <v>19285</v>
      </c>
      <c r="H1249" s="69">
        <v>45873</v>
      </c>
      <c r="I1249" s="69">
        <v>45873</v>
      </c>
      <c r="J1249" s="68">
        <v>1</v>
      </c>
      <c r="K1249" s="68">
        <v>1</v>
      </c>
      <c r="L1249" s="68" t="s">
        <v>24995</v>
      </c>
      <c r="M1249" s="68" t="s">
        <v>24995</v>
      </c>
      <c r="N1249" s="62" t="s">
        <v>19269</v>
      </c>
      <c r="O1249" s="68" t="s">
        <v>3136</v>
      </c>
      <c r="P1249" s="42" t="str">
        <f>+IF(O1249="","",IFERROR(VLOOKUP(O1249,CODIGO_DIAGNOSTICO,2,0),"CÓDIGO NO ENCONTRADO"))</f>
        <v>OTROS VERTIGOS PERIFERICOS</v>
      </c>
      <c r="Q1249" s="68" t="s">
        <v>26059</v>
      </c>
      <c r="R1249" s="67"/>
      <c r="S1249" s="77"/>
      <c r="T1249" s="76"/>
      <c r="U1249" s="65"/>
      <c r="V1249" s="68"/>
      <c r="W1249" s="70"/>
      <c r="X1249" s="68"/>
      <c r="Y1249" s="70"/>
      <c r="Z1249" s="72"/>
    </row>
    <row r="1250" spans="1:26" ht="15.75" hidden="1" customHeight="1" x14ac:dyDescent="0.25">
      <c r="A1250" s="64">
        <v>8</v>
      </c>
      <c r="B1250" s="62">
        <v>1037620782</v>
      </c>
      <c r="C1250" s="62" t="s">
        <v>25164</v>
      </c>
      <c r="D1250" s="62" t="s">
        <v>25079</v>
      </c>
      <c r="E1250" s="62" t="s">
        <v>26475</v>
      </c>
      <c r="F1250" s="62" t="s">
        <v>25566</v>
      </c>
      <c r="G1250" s="81" t="s">
        <v>19285</v>
      </c>
      <c r="H1250" s="63">
        <v>45873</v>
      </c>
      <c r="I1250" s="63">
        <v>45874</v>
      </c>
      <c r="J1250" s="62">
        <v>2</v>
      </c>
      <c r="K1250" s="62">
        <v>2</v>
      </c>
      <c r="L1250" s="62" t="s">
        <v>24995</v>
      </c>
      <c r="M1250" s="62" t="s">
        <v>24995</v>
      </c>
      <c r="N1250" s="62" t="s">
        <v>19269</v>
      </c>
      <c r="O1250" s="62" t="s">
        <v>3089</v>
      </c>
      <c r="P1250" s="42" t="str">
        <f>+IF(O1250="","",IFERROR(VLOOKUP(O1250,CODIGO_DIAGNOSTICO,2,0),"CÓDIGO NO ENCONTRADO"))</f>
        <v>OTITIS MEDIA NO SUPURATIVA, SIN OTRA ESPECIFICACION</v>
      </c>
      <c r="Q1250" s="62" t="s">
        <v>24996</v>
      </c>
      <c r="R1250" s="64"/>
      <c r="S1250" s="75"/>
      <c r="T1250" s="75"/>
      <c r="U1250" s="65"/>
      <c r="V1250" s="62"/>
      <c r="W1250" s="65"/>
      <c r="X1250" s="62"/>
      <c r="Y1250" s="65"/>
      <c r="Z1250" s="73"/>
    </row>
    <row r="1251" spans="1:26" ht="15.75" hidden="1" customHeight="1" x14ac:dyDescent="0.25">
      <c r="A1251" s="67">
        <v>8</v>
      </c>
      <c r="B1251" s="68">
        <v>1001137627</v>
      </c>
      <c r="C1251" s="68" t="s">
        <v>25776</v>
      </c>
      <c r="D1251" s="68" t="s">
        <v>25429</v>
      </c>
      <c r="E1251" s="68" t="s">
        <v>25803</v>
      </c>
      <c r="F1251" s="68" t="s">
        <v>25010</v>
      </c>
      <c r="G1251" s="81" t="s">
        <v>19285</v>
      </c>
      <c r="H1251" s="69">
        <v>45873</v>
      </c>
      <c r="I1251" s="69">
        <v>45874</v>
      </c>
      <c r="J1251" s="68">
        <v>2</v>
      </c>
      <c r="K1251" s="68">
        <v>2</v>
      </c>
      <c r="L1251" s="68" t="s">
        <v>24995</v>
      </c>
      <c r="M1251" s="68" t="s">
        <v>24995</v>
      </c>
      <c r="N1251" s="62" t="s">
        <v>19269</v>
      </c>
      <c r="O1251" s="68" t="s">
        <v>3573</v>
      </c>
      <c r="P1251" s="42" t="str">
        <f>+IF(O1251="","",IFERROR(VLOOKUP(O1251,CODIGO_DIAGNOSTICO,2,0),"CÓDIGO NO ENCONTRADO"))</f>
        <v>AMIGDALITIS ESTREPTOCOCICA</v>
      </c>
      <c r="Q1251" s="68" t="s">
        <v>24996</v>
      </c>
      <c r="R1251" s="67"/>
      <c r="S1251" s="77"/>
      <c r="T1251" s="76"/>
      <c r="U1251" s="65"/>
      <c r="V1251" s="68"/>
      <c r="W1251" s="70"/>
      <c r="X1251" s="68"/>
      <c r="Y1251" s="70"/>
      <c r="Z1251" s="72"/>
    </row>
    <row r="1252" spans="1:26" ht="15.75" hidden="1" customHeight="1" x14ac:dyDescent="0.25">
      <c r="A1252" s="64">
        <v>8</v>
      </c>
      <c r="B1252" s="62">
        <v>1001652259</v>
      </c>
      <c r="C1252" s="62" t="s">
        <v>25137</v>
      </c>
      <c r="D1252" s="62" t="s">
        <v>25284</v>
      </c>
      <c r="E1252" s="62" t="s">
        <v>26480</v>
      </c>
      <c r="F1252" s="62"/>
      <c r="G1252" s="81" t="s">
        <v>19285</v>
      </c>
      <c r="H1252" s="63">
        <v>45876</v>
      </c>
      <c r="I1252" s="63">
        <v>45880</v>
      </c>
      <c r="J1252" s="62">
        <v>5</v>
      </c>
      <c r="K1252" s="62">
        <v>5</v>
      </c>
      <c r="L1252" s="62" t="s">
        <v>24995</v>
      </c>
      <c r="M1252" s="62" t="s">
        <v>24995</v>
      </c>
      <c r="N1252" s="62" t="s">
        <v>19263</v>
      </c>
      <c r="O1252" s="62" t="s">
        <v>7794</v>
      </c>
      <c r="P1252" s="42" t="str">
        <f>+IF(O1252="","",IFERROR(VLOOKUP(O1252,CODIGO_DIAGNOSTICO,2,0),"CÓDIGO NO ENCONTRADO"))</f>
        <v>ESGUINCES Y TORCEDURAS DEL TOBILLO</v>
      </c>
      <c r="Q1252" s="62" t="s">
        <v>25001</v>
      </c>
      <c r="R1252" s="64"/>
      <c r="S1252" s="75"/>
      <c r="T1252" s="75"/>
      <c r="U1252" s="65"/>
      <c r="V1252" s="62"/>
      <c r="W1252" s="65"/>
      <c r="X1252" s="62"/>
      <c r="Y1252" s="65"/>
      <c r="Z1252" s="73"/>
    </row>
    <row r="1253" spans="1:26" ht="15.75" hidden="1" customHeight="1" x14ac:dyDescent="0.25">
      <c r="A1253" s="67">
        <v>8</v>
      </c>
      <c r="B1253" s="68">
        <v>8463537</v>
      </c>
      <c r="C1253" s="68" t="s">
        <v>25246</v>
      </c>
      <c r="D1253" s="68" t="s">
        <v>26062</v>
      </c>
      <c r="E1253" s="68" t="s">
        <v>26054</v>
      </c>
      <c r="F1253" s="68" t="s">
        <v>26055</v>
      </c>
      <c r="G1253" s="81" t="s">
        <v>19285</v>
      </c>
      <c r="H1253" s="69">
        <v>45877</v>
      </c>
      <c r="I1253" s="69">
        <v>45891</v>
      </c>
      <c r="J1253" s="68">
        <v>15</v>
      </c>
      <c r="K1253" s="68">
        <v>15</v>
      </c>
      <c r="L1253" s="68" t="s">
        <v>24995</v>
      </c>
      <c r="M1253" s="68" t="s">
        <v>24995</v>
      </c>
      <c r="N1253" s="62" t="s">
        <v>19269</v>
      </c>
      <c r="O1253" s="68" t="s">
        <v>2271</v>
      </c>
      <c r="P1253" s="42" t="str">
        <f>+IF(O1253="","",IFERROR(VLOOKUP(O1253,CODIGO_DIAGNOSTICO,2,0),"CÓDIGO NO ENCONTRADO"))</f>
        <v>TRASTORNO DE ANSIEDAD GENERALIZADA</v>
      </c>
      <c r="Q1253" s="68" t="s">
        <v>26339</v>
      </c>
      <c r="R1253" s="67"/>
      <c r="S1253" s="77"/>
      <c r="T1253" s="76"/>
      <c r="U1253" s="65"/>
      <c r="V1253" s="68"/>
      <c r="W1253" s="70"/>
      <c r="X1253" s="68"/>
      <c r="Y1253" s="70"/>
      <c r="Z1253" s="72"/>
    </row>
    <row r="1254" spans="1:26" ht="15.75" hidden="1" customHeight="1" x14ac:dyDescent="0.25">
      <c r="A1254" s="64">
        <v>8</v>
      </c>
      <c r="B1254" s="62">
        <v>1128466202</v>
      </c>
      <c r="C1254" s="62" t="s">
        <v>26482</v>
      </c>
      <c r="D1254" s="62" t="s">
        <v>25733</v>
      </c>
      <c r="E1254" s="62" t="s">
        <v>25188</v>
      </c>
      <c r="F1254" s="62" t="s">
        <v>25092</v>
      </c>
      <c r="G1254" s="81" t="s">
        <v>19285</v>
      </c>
      <c r="H1254" s="63">
        <v>45878</v>
      </c>
      <c r="I1254" s="63">
        <v>45880</v>
      </c>
      <c r="J1254" s="62">
        <v>3</v>
      </c>
      <c r="K1254" s="62">
        <v>3</v>
      </c>
      <c r="L1254" s="62" t="s">
        <v>19262</v>
      </c>
      <c r="M1254" s="62" t="s">
        <v>24995</v>
      </c>
      <c r="N1254" s="62" t="s">
        <v>19269</v>
      </c>
      <c r="O1254" s="62" t="s">
        <v>7625</v>
      </c>
      <c r="P1254" s="42" t="str">
        <f>+IF(O1254="","",IFERROR(VLOOKUP(O1254,CODIGO_DIAGNOSTICO,2,0),"CÓDIGO NO ENCONTRADO"))</f>
        <v>ESGUINCES Y TORCEDURAS DE LA MUÑECA</v>
      </c>
      <c r="Q1254" s="62" t="s">
        <v>26059</v>
      </c>
      <c r="R1254" s="64"/>
      <c r="S1254" s="75"/>
      <c r="T1254" s="75"/>
      <c r="U1254" s="65"/>
      <c r="V1254" s="62"/>
      <c r="W1254" s="65"/>
      <c r="X1254" s="62"/>
      <c r="Y1254" s="65"/>
      <c r="Z1254" s="73"/>
    </row>
    <row r="1255" spans="1:26" ht="15.75" hidden="1" customHeight="1" x14ac:dyDescent="0.25">
      <c r="A1255" s="67">
        <v>8</v>
      </c>
      <c r="B1255" s="68">
        <v>1036955521</v>
      </c>
      <c r="C1255" s="68" t="s">
        <v>25682</v>
      </c>
      <c r="D1255" s="68" t="s">
        <v>25498</v>
      </c>
      <c r="E1255" s="68" t="s">
        <v>25683</v>
      </c>
      <c r="F1255" s="68"/>
      <c r="G1255" s="81" t="s">
        <v>19285</v>
      </c>
      <c r="H1255" s="69">
        <v>45880</v>
      </c>
      <c r="I1255" s="69">
        <v>45882</v>
      </c>
      <c r="J1255" s="68">
        <v>3</v>
      </c>
      <c r="K1255" s="68">
        <v>3</v>
      </c>
      <c r="L1255" s="68" t="s">
        <v>24995</v>
      </c>
      <c r="M1255" s="68" t="s">
        <v>24995</v>
      </c>
      <c r="N1255" s="62" t="s">
        <v>19269</v>
      </c>
      <c r="O1255" s="68" t="s">
        <v>4838</v>
      </c>
      <c r="P1255" s="42" t="str">
        <f>+IF(O1255="","",IFERROR(VLOOKUP(O1255,CODIGO_DIAGNOSTICO,2,0),"CÓDIGO NO ENCONTRADO"))</f>
        <v>LUMBAGO NO ESPECIFICADO</v>
      </c>
      <c r="Q1255" s="68" t="s">
        <v>24976</v>
      </c>
      <c r="R1255" s="67"/>
      <c r="S1255" s="77"/>
      <c r="T1255" s="76"/>
      <c r="U1255" s="65"/>
      <c r="V1255" s="68"/>
      <c r="W1255" s="70"/>
      <c r="X1255" s="68"/>
      <c r="Y1255" s="70"/>
      <c r="Z1255" s="72"/>
    </row>
    <row r="1256" spans="1:26" ht="15.75" hidden="1" customHeight="1" x14ac:dyDescent="0.25">
      <c r="A1256" s="64">
        <v>8</v>
      </c>
      <c r="B1256" s="62">
        <v>8407241</v>
      </c>
      <c r="C1256" s="62" t="s">
        <v>25776</v>
      </c>
      <c r="D1256" s="62" t="s">
        <v>25030</v>
      </c>
      <c r="E1256" s="62" t="s">
        <v>25203</v>
      </c>
      <c r="F1256" s="62" t="s">
        <v>25005</v>
      </c>
      <c r="G1256" s="81" t="s">
        <v>19285</v>
      </c>
      <c r="H1256" s="63">
        <v>45880</v>
      </c>
      <c r="I1256" s="63">
        <v>45882</v>
      </c>
      <c r="J1256" s="62">
        <v>3</v>
      </c>
      <c r="K1256" s="62">
        <v>3</v>
      </c>
      <c r="L1256" s="62" t="s">
        <v>24995</v>
      </c>
      <c r="M1256" s="62" t="s">
        <v>24995</v>
      </c>
      <c r="N1256" s="62" t="s">
        <v>19269</v>
      </c>
      <c r="O1256" s="62" t="s">
        <v>994</v>
      </c>
      <c r="P1256" s="42" t="str">
        <f>+IF(O1256="","",IFERROR(VLOOKUP(O1256,CODIGO_DIAGNOSTICO,2,0),"CÓDIGO NO ENCONTRADO"))</f>
        <v>TUMOR MALIGNO DE LA PIEL DEL MIEMBRO SUPERIOR, INCLUIDO EL HOMBRO</v>
      </c>
      <c r="Q1256" s="62" t="s">
        <v>26059</v>
      </c>
      <c r="R1256" s="64"/>
      <c r="S1256" s="75"/>
      <c r="T1256" s="75"/>
      <c r="U1256" s="65"/>
      <c r="V1256" s="62"/>
      <c r="W1256" s="65"/>
      <c r="X1256" s="62"/>
      <c r="Y1256" s="65"/>
      <c r="Z1256" s="73"/>
    </row>
    <row r="1257" spans="1:26" ht="15.75" hidden="1" customHeight="1" x14ac:dyDescent="0.25">
      <c r="A1257" s="67">
        <v>8</v>
      </c>
      <c r="B1257" s="68">
        <v>1214737996</v>
      </c>
      <c r="C1257" s="68" t="s">
        <v>25547</v>
      </c>
      <c r="D1257" s="68" t="s">
        <v>25969</v>
      </c>
      <c r="E1257" s="68" t="s">
        <v>25970</v>
      </c>
      <c r="F1257" s="68" t="s">
        <v>25060</v>
      </c>
      <c r="G1257" s="81" t="s">
        <v>19285</v>
      </c>
      <c r="H1257" s="69">
        <v>45880</v>
      </c>
      <c r="I1257" s="69">
        <v>45887</v>
      </c>
      <c r="J1257" s="68">
        <v>23</v>
      </c>
      <c r="K1257" s="68">
        <v>23</v>
      </c>
      <c r="L1257" s="68" t="s">
        <v>19262</v>
      </c>
      <c r="M1257" s="68" t="s">
        <v>19262</v>
      </c>
      <c r="N1257" s="62" t="s">
        <v>19269</v>
      </c>
      <c r="O1257" s="68" t="s">
        <v>7723</v>
      </c>
      <c r="P1257" s="42" t="str">
        <f>+IF(O1257="","",IFERROR(VLOOKUP(O1257,CODIGO_DIAGNOSTICO,2,0),"CÓDIGO NO ENCONTRADO"))</f>
        <v>FRACTURA DE LA EPIFISIS SUPERIOR DE LA TIBIA</v>
      </c>
      <c r="Q1257" s="68" t="s">
        <v>19231</v>
      </c>
      <c r="R1257" s="67"/>
      <c r="S1257" s="77"/>
      <c r="T1257" s="76"/>
      <c r="U1257" s="65"/>
      <c r="V1257" s="68"/>
      <c r="W1257" s="70"/>
      <c r="X1257" s="68"/>
      <c r="Y1257" s="70"/>
      <c r="Z1257" s="72"/>
    </row>
    <row r="1258" spans="1:26" ht="15.75" hidden="1" customHeight="1" x14ac:dyDescent="0.25">
      <c r="A1258" s="64">
        <v>8</v>
      </c>
      <c r="B1258" s="62">
        <v>71797878</v>
      </c>
      <c r="C1258" s="62" t="s">
        <v>25699</v>
      </c>
      <c r="D1258" s="62" t="s">
        <v>25578</v>
      </c>
      <c r="E1258" s="62" t="s">
        <v>25700</v>
      </c>
      <c r="F1258" s="62" t="s">
        <v>25580</v>
      </c>
      <c r="G1258" s="81" t="s">
        <v>19285</v>
      </c>
      <c r="H1258" s="63">
        <v>45882</v>
      </c>
      <c r="I1258" s="63">
        <v>45886</v>
      </c>
      <c r="J1258" s="62">
        <v>5</v>
      </c>
      <c r="K1258" s="62">
        <v>5</v>
      </c>
      <c r="L1258" s="62" t="s">
        <v>24995</v>
      </c>
      <c r="M1258" s="62" t="s">
        <v>24995</v>
      </c>
      <c r="N1258" s="62" t="s">
        <v>19269</v>
      </c>
      <c r="O1258" s="62" t="s">
        <v>7609</v>
      </c>
      <c r="P1258" s="42" t="str">
        <f>+IF(O1258="","",IFERROR(VLOOKUP(O1258,CODIGO_DIAGNOSTICO,2,0),"CÓDIGO NO ENCONTRADO"))</f>
        <v>HERIDAS DE OTRAS PARTES DE LA MUÑECA Y DE LA MANO</v>
      </c>
      <c r="Q1258" s="62" t="s">
        <v>26059</v>
      </c>
      <c r="R1258" s="64"/>
      <c r="S1258" s="75"/>
      <c r="T1258" s="75"/>
      <c r="U1258" s="65"/>
      <c r="V1258" s="62"/>
      <c r="W1258" s="65"/>
      <c r="X1258" s="62"/>
      <c r="Y1258" s="65"/>
      <c r="Z1258" s="73"/>
    </row>
    <row r="1259" spans="1:26" ht="15.75" hidden="1" customHeight="1" x14ac:dyDescent="0.25">
      <c r="A1259" s="67">
        <v>8</v>
      </c>
      <c r="B1259" s="68">
        <v>1001652259</v>
      </c>
      <c r="C1259" s="68" t="s">
        <v>25137</v>
      </c>
      <c r="D1259" s="68" t="s">
        <v>25284</v>
      </c>
      <c r="E1259" s="68" t="s">
        <v>26480</v>
      </c>
      <c r="F1259" s="68"/>
      <c r="G1259" s="81" t="s">
        <v>19285</v>
      </c>
      <c r="H1259" s="69">
        <v>45883</v>
      </c>
      <c r="I1259" s="69">
        <v>45885</v>
      </c>
      <c r="J1259" s="68">
        <v>3</v>
      </c>
      <c r="K1259" s="68">
        <v>3</v>
      </c>
      <c r="L1259" s="68" t="s">
        <v>24995</v>
      </c>
      <c r="M1259" s="68" t="s">
        <v>24995</v>
      </c>
      <c r="N1259" s="62" t="s">
        <v>19269</v>
      </c>
      <c r="O1259" s="68" t="s">
        <v>7794</v>
      </c>
      <c r="P1259" s="42" t="str">
        <f>+IF(O1259="","",IFERROR(VLOOKUP(O1259,CODIGO_DIAGNOSTICO,2,0),"CÓDIGO NO ENCONTRADO"))</f>
        <v>ESGUINCES Y TORCEDURAS DEL TOBILLO</v>
      </c>
      <c r="Q1259" s="68" t="s">
        <v>26059</v>
      </c>
      <c r="R1259" s="67"/>
      <c r="S1259" s="77"/>
      <c r="T1259" s="76"/>
      <c r="U1259" s="65"/>
      <c r="V1259" s="68"/>
      <c r="W1259" s="70"/>
      <c r="X1259" s="68"/>
      <c r="Y1259" s="70"/>
      <c r="Z1259" s="72"/>
    </row>
    <row r="1260" spans="1:26" ht="15.75" hidden="1" customHeight="1" x14ac:dyDescent="0.25">
      <c r="A1260" s="64">
        <v>8</v>
      </c>
      <c r="B1260" s="62">
        <v>71771180</v>
      </c>
      <c r="C1260" s="62" t="s">
        <v>25503</v>
      </c>
      <c r="D1260" s="62" t="s">
        <v>25748</v>
      </c>
      <c r="E1260" s="62" t="s">
        <v>25490</v>
      </c>
      <c r="F1260" s="62" t="s">
        <v>25103</v>
      </c>
      <c r="G1260" s="81" t="s">
        <v>19285</v>
      </c>
      <c r="H1260" s="63">
        <v>45883</v>
      </c>
      <c r="I1260" s="63">
        <v>45885</v>
      </c>
      <c r="J1260" s="62">
        <v>3</v>
      </c>
      <c r="K1260" s="62">
        <v>3</v>
      </c>
      <c r="L1260" s="62" t="s">
        <v>24995</v>
      </c>
      <c r="M1260" s="62" t="s">
        <v>24995</v>
      </c>
      <c r="N1260" s="62" t="s">
        <v>19269</v>
      </c>
      <c r="O1260" s="62" t="s">
        <v>4396</v>
      </c>
      <c r="P1260" s="42" t="str">
        <f>+IF(O1260="","",IFERROR(VLOOKUP(O1260,CODIGO_DIAGNOSTICO,2,0),"CÓDIGO NO ENCONTRADO"))</f>
        <v>UÑA ENCARNADA</v>
      </c>
      <c r="Q1260" s="62" t="s">
        <v>26059</v>
      </c>
      <c r="R1260" s="64"/>
      <c r="S1260" s="75"/>
      <c r="T1260" s="75"/>
      <c r="U1260" s="65"/>
      <c r="V1260" s="62"/>
      <c r="W1260" s="65"/>
      <c r="X1260" s="62"/>
      <c r="Y1260" s="65"/>
      <c r="Z1260" s="73"/>
    </row>
    <row r="1261" spans="1:26" ht="15.75" hidden="1" customHeight="1" x14ac:dyDescent="0.25">
      <c r="A1261" s="67">
        <v>8</v>
      </c>
      <c r="B1261" s="68">
        <v>1038799598</v>
      </c>
      <c r="C1261" s="68" t="s">
        <v>25391</v>
      </c>
      <c r="D1261" s="68" t="s">
        <v>25338</v>
      </c>
      <c r="E1261" s="68" t="s">
        <v>25869</v>
      </c>
      <c r="F1261" s="68"/>
      <c r="G1261" s="81" t="s">
        <v>19285</v>
      </c>
      <c r="H1261" s="69">
        <v>45884</v>
      </c>
      <c r="I1261" s="69">
        <v>45884</v>
      </c>
      <c r="J1261" s="68">
        <v>1</v>
      </c>
      <c r="K1261" s="68">
        <v>1</v>
      </c>
      <c r="L1261" s="68" t="s">
        <v>24995</v>
      </c>
      <c r="M1261" s="68" t="s">
        <v>24995</v>
      </c>
      <c r="N1261" s="62" t="s">
        <v>19269</v>
      </c>
      <c r="O1261" s="68" t="s">
        <v>3575</v>
      </c>
      <c r="P1261" s="42" t="str">
        <f>+IF(O1261="","",IFERROR(VLOOKUP(O1261,CODIGO_DIAGNOSTICO,2,0),"CÓDIGO NO ENCONTRADO"))</f>
        <v>AMIGDALITIS AGUDA, NO ESPECIFICADA</v>
      </c>
      <c r="Q1261" s="68" t="s">
        <v>26059</v>
      </c>
      <c r="R1261" s="67"/>
      <c r="S1261" s="77"/>
      <c r="T1261" s="76"/>
      <c r="U1261" s="65"/>
      <c r="V1261" s="68"/>
      <c r="W1261" s="70"/>
      <c r="X1261" s="68"/>
      <c r="Y1261" s="70"/>
      <c r="Z1261" s="72"/>
    </row>
    <row r="1262" spans="1:26" ht="15.75" hidden="1" customHeight="1" x14ac:dyDescent="0.25">
      <c r="A1262" s="64">
        <v>8</v>
      </c>
      <c r="B1262" s="62">
        <v>98601485</v>
      </c>
      <c r="C1262" s="62" t="s">
        <v>25240</v>
      </c>
      <c r="D1262" s="62"/>
      <c r="E1262" s="62" t="s">
        <v>25241</v>
      </c>
      <c r="F1262" s="62" t="s">
        <v>24982</v>
      </c>
      <c r="G1262" s="81" t="s">
        <v>25328</v>
      </c>
      <c r="H1262" s="63">
        <v>45886</v>
      </c>
      <c r="I1262" s="63">
        <v>45915</v>
      </c>
      <c r="J1262" s="62">
        <v>30</v>
      </c>
      <c r="K1262" s="62">
        <v>30</v>
      </c>
      <c r="L1262" s="62" t="s">
        <v>19262</v>
      </c>
      <c r="M1262" s="62" t="s">
        <v>19262</v>
      </c>
      <c r="N1262" s="62" t="s">
        <v>19269</v>
      </c>
      <c r="O1262" s="62" t="s">
        <v>8419</v>
      </c>
      <c r="P1262" s="42" t="str">
        <f>+IF(O1262="","",IFERROR(VLOOKUP(O1262,CODIGO_DIAGNOSTICO,2,0),"CÓDIGO NO ENCONTRADO"))</f>
        <v>COMPLICACION MECANICA DE OTROS DISPOSITIVOS PROTESICOS, IMPLANTES E INJERTOS ORTOPEDICOS INTERNOS</v>
      </c>
      <c r="Q1262" s="62" t="s">
        <v>19230</v>
      </c>
      <c r="R1262" s="64"/>
      <c r="S1262" s="75"/>
      <c r="T1262" s="75"/>
      <c r="U1262" s="65"/>
      <c r="V1262" s="62"/>
      <c r="W1262" s="65"/>
      <c r="X1262" s="62"/>
      <c r="Y1262" s="65"/>
      <c r="Z1262" s="73"/>
    </row>
    <row r="1263" spans="1:26" ht="15.75" hidden="1" customHeight="1" x14ac:dyDescent="0.25">
      <c r="A1263" s="67">
        <v>8</v>
      </c>
      <c r="B1263" s="68">
        <v>98601485</v>
      </c>
      <c r="C1263" s="68" t="s">
        <v>25240</v>
      </c>
      <c r="D1263" s="68"/>
      <c r="E1263" s="68" t="s">
        <v>25241</v>
      </c>
      <c r="F1263" s="68" t="s">
        <v>24982</v>
      </c>
      <c r="G1263" s="81" t="s">
        <v>25328</v>
      </c>
      <c r="H1263" s="69">
        <v>45887</v>
      </c>
      <c r="I1263" s="69">
        <v>45915</v>
      </c>
      <c r="J1263" s="68">
        <v>30</v>
      </c>
      <c r="K1263" s="68">
        <v>30</v>
      </c>
      <c r="L1263" s="68" t="s">
        <v>19262</v>
      </c>
      <c r="M1263" s="68" t="s">
        <v>19262</v>
      </c>
      <c r="N1263" s="62" t="s">
        <v>19269</v>
      </c>
      <c r="O1263" s="68" t="s">
        <v>8419</v>
      </c>
      <c r="P1263" s="42" t="str">
        <f>+IF(O1263="","",IFERROR(VLOOKUP(O1263,CODIGO_DIAGNOSTICO,2,0),"CÓDIGO NO ENCONTRADO"))</f>
        <v>COMPLICACION MECANICA DE OTROS DISPOSITIVOS PROTESICOS, IMPLANTES E INJERTOS ORTOPEDICOS INTERNOS</v>
      </c>
      <c r="Q1263" s="68" t="s">
        <v>19230</v>
      </c>
      <c r="R1263" s="67"/>
      <c r="S1263" s="77"/>
      <c r="T1263" s="76"/>
      <c r="U1263" s="65"/>
      <c r="V1263" s="68"/>
      <c r="W1263" s="70"/>
      <c r="X1263" s="68"/>
      <c r="Y1263" s="70"/>
      <c r="Z1263" s="72"/>
    </row>
    <row r="1264" spans="1:26" ht="15.75" hidden="1" customHeight="1" x14ac:dyDescent="0.25">
      <c r="A1264" s="64">
        <v>8</v>
      </c>
      <c r="B1264" s="62">
        <v>1017149200</v>
      </c>
      <c r="C1264" s="62" t="s">
        <v>25083</v>
      </c>
      <c r="D1264" s="62" t="s">
        <v>25593</v>
      </c>
      <c r="E1264" s="62" t="s">
        <v>26481</v>
      </c>
      <c r="F1264" s="62" t="s">
        <v>25774</v>
      </c>
      <c r="G1264" s="81" t="s">
        <v>19285</v>
      </c>
      <c r="H1264" s="63">
        <v>45887</v>
      </c>
      <c r="I1264" s="63">
        <v>45893</v>
      </c>
      <c r="J1264" s="62">
        <v>7</v>
      </c>
      <c r="K1264" s="62">
        <v>7</v>
      </c>
      <c r="L1264" s="62" t="s">
        <v>19262</v>
      </c>
      <c r="M1264" s="62" t="s">
        <v>24995</v>
      </c>
      <c r="N1264" s="62" t="s">
        <v>19269</v>
      </c>
      <c r="O1264" s="62" t="s">
        <v>5650</v>
      </c>
      <c r="P1264" s="42" t="str">
        <f>+IF(O1264="","",IFERROR(VLOOKUP(O1264,CODIGO_DIAGNOSTICO,2,0),"CÓDIGO NO ENCONTRADO"))</f>
        <v>SUBLUXACION DE LA SINFISIS (DEL PUBIS) EN EL EMBARAZO, EL PARTO Y EL PUERPERIO</v>
      </c>
      <c r="Q1264" s="62" t="s">
        <v>26059</v>
      </c>
      <c r="R1264" s="64"/>
      <c r="S1264" s="75"/>
      <c r="T1264" s="75"/>
      <c r="U1264" s="65"/>
      <c r="V1264" s="62"/>
      <c r="W1264" s="65"/>
      <c r="X1264" s="62"/>
      <c r="Y1264" s="65"/>
      <c r="Z1264" s="73"/>
    </row>
    <row r="1265" spans="1:26" ht="15.75" hidden="1" customHeight="1" x14ac:dyDescent="0.25">
      <c r="A1265" s="67">
        <v>8</v>
      </c>
      <c r="B1265" s="68">
        <v>71382103</v>
      </c>
      <c r="C1265" s="68" t="s">
        <v>25776</v>
      </c>
      <c r="D1265" s="68" t="s">
        <v>25968</v>
      </c>
      <c r="E1265" s="68" t="s">
        <v>25198</v>
      </c>
      <c r="F1265" s="68" t="s">
        <v>25276</v>
      </c>
      <c r="G1265" s="81" t="s">
        <v>19285</v>
      </c>
      <c r="H1265" s="69">
        <v>45888</v>
      </c>
      <c r="I1265" s="69">
        <v>45889</v>
      </c>
      <c r="J1265" s="68">
        <v>2</v>
      </c>
      <c r="K1265" s="68">
        <v>2</v>
      </c>
      <c r="L1265" s="68" t="s">
        <v>24995</v>
      </c>
      <c r="M1265" s="68" t="s">
        <v>24995</v>
      </c>
      <c r="N1265" s="62" t="s">
        <v>19269</v>
      </c>
      <c r="O1265" s="68" t="s">
        <v>5226</v>
      </c>
      <c r="P1265" s="42" t="str">
        <f>+IF(O1265="","",IFERROR(VLOOKUP(O1265,CODIGO_DIAGNOSTICO,2,0),"CÓDIGO NO ENCONTRADO"))</f>
        <v>COLICO RENAL, NO ESPECIFICADO</v>
      </c>
      <c r="Q1265" s="68" t="s">
        <v>26059</v>
      </c>
      <c r="R1265" s="67"/>
      <c r="S1265" s="77"/>
      <c r="T1265" s="76"/>
      <c r="U1265" s="65"/>
      <c r="V1265" s="68"/>
      <c r="W1265" s="70"/>
      <c r="X1265" s="68"/>
      <c r="Y1265" s="70"/>
      <c r="Z1265" s="72"/>
    </row>
    <row r="1266" spans="1:26" ht="15.75" hidden="1" customHeight="1" x14ac:dyDescent="0.25">
      <c r="A1266" s="64">
        <v>8</v>
      </c>
      <c r="B1266" s="62">
        <v>1214737996</v>
      </c>
      <c r="C1266" s="62" t="s">
        <v>25547</v>
      </c>
      <c r="D1266" s="62" t="s">
        <v>25969</v>
      </c>
      <c r="E1266" s="62" t="s">
        <v>25970</v>
      </c>
      <c r="F1266" s="62" t="s">
        <v>25060</v>
      </c>
      <c r="G1266" s="81" t="s">
        <v>19285</v>
      </c>
      <c r="H1266" s="63">
        <v>45888</v>
      </c>
      <c r="I1266" s="63">
        <v>45917</v>
      </c>
      <c r="J1266" s="62">
        <v>30</v>
      </c>
      <c r="K1266" s="62">
        <v>30</v>
      </c>
      <c r="L1266" s="62" t="s">
        <v>19262</v>
      </c>
      <c r="M1266" s="62" t="s">
        <v>19262</v>
      </c>
      <c r="N1266" s="62" t="s">
        <v>19269</v>
      </c>
      <c r="O1266" s="62" t="s">
        <v>4650</v>
      </c>
      <c r="P1266" s="42" t="str">
        <f>+IF(O1266="","",IFERROR(VLOOKUP(O1266,CODIGO_DIAGNOSTICO,2,0),"CÓDIGO NO ENCONTRADO"))</f>
        <v>GONARTROSIS, NO ESPECIFICADA</v>
      </c>
      <c r="Q1266" s="62" t="s">
        <v>26339</v>
      </c>
      <c r="R1266" s="64"/>
      <c r="S1266" s="75"/>
      <c r="T1266" s="75"/>
      <c r="U1266" s="65"/>
      <c r="V1266" s="62"/>
      <c r="W1266" s="65"/>
      <c r="X1266" s="62"/>
      <c r="Y1266" s="65"/>
      <c r="Z1266" s="73"/>
    </row>
    <row r="1267" spans="1:26" ht="15.75" hidden="1" customHeight="1" x14ac:dyDescent="0.25">
      <c r="A1267" s="67">
        <v>8</v>
      </c>
      <c r="B1267" s="68">
        <v>70568787</v>
      </c>
      <c r="C1267" s="68" t="s">
        <v>25948</v>
      </c>
      <c r="D1267" s="68" t="s">
        <v>25230</v>
      </c>
      <c r="E1267" s="68" t="s">
        <v>19278</v>
      </c>
      <c r="F1267" s="68" t="s">
        <v>24986</v>
      </c>
      <c r="G1267" s="81" t="s">
        <v>19285</v>
      </c>
      <c r="H1267" s="69">
        <v>45889</v>
      </c>
      <c r="I1267" s="69">
        <v>45890</v>
      </c>
      <c r="J1267" s="68">
        <v>2</v>
      </c>
      <c r="K1267" s="68">
        <v>2</v>
      </c>
      <c r="L1267" s="68" t="s">
        <v>24995</v>
      </c>
      <c r="M1267" s="68" t="s">
        <v>24995</v>
      </c>
      <c r="N1267" s="62" t="s">
        <v>19269</v>
      </c>
      <c r="O1267" s="68" t="s">
        <v>85</v>
      </c>
      <c r="P1267" s="42" t="str">
        <f>+IF(O1267="","",IFERROR(VLOOKUP(O1267,CODIGO_DIAGNOSTICO,2,0),"CÓDIGO NO ENCONTRADO"))</f>
        <v>OTRAS ENTERITIS VIRALES</v>
      </c>
      <c r="Q1267" s="68" t="s">
        <v>26059</v>
      </c>
      <c r="R1267" s="67"/>
      <c r="S1267" s="77"/>
      <c r="T1267" s="76"/>
      <c r="U1267" s="65"/>
      <c r="V1267" s="68"/>
      <c r="W1267" s="70"/>
      <c r="X1267" s="68"/>
      <c r="Y1267" s="70"/>
      <c r="Z1267" s="72"/>
    </row>
    <row r="1268" spans="1:26" ht="15.75" hidden="1" customHeight="1" x14ac:dyDescent="0.25">
      <c r="A1268" s="64">
        <v>8</v>
      </c>
      <c r="B1268" s="62">
        <v>70568787</v>
      </c>
      <c r="C1268" s="62" t="s">
        <v>25948</v>
      </c>
      <c r="D1268" s="62" t="s">
        <v>25230</v>
      </c>
      <c r="E1268" s="62" t="s">
        <v>19278</v>
      </c>
      <c r="F1268" s="62" t="s">
        <v>24986</v>
      </c>
      <c r="G1268" s="81" t="s">
        <v>19285</v>
      </c>
      <c r="H1268" s="63">
        <v>45889</v>
      </c>
      <c r="I1268" s="63">
        <v>45890</v>
      </c>
      <c r="J1268" s="62">
        <v>2</v>
      </c>
      <c r="K1268" s="62">
        <v>2</v>
      </c>
      <c r="L1268" s="62" t="s">
        <v>24995</v>
      </c>
      <c r="M1268" s="62" t="s">
        <v>24995</v>
      </c>
      <c r="N1268" s="62" t="s">
        <v>19269</v>
      </c>
      <c r="O1268" s="62" t="s">
        <v>85</v>
      </c>
      <c r="P1268" s="42" t="str">
        <f>+IF(O1268="","",IFERROR(VLOOKUP(O1268,CODIGO_DIAGNOSTICO,2,0),"CÓDIGO NO ENCONTRADO"))</f>
        <v>OTRAS ENTERITIS VIRALES</v>
      </c>
      <c r="Q1268" s="62" t="s">
        <v>26059</v>
      </c>
      <c r="R1268" s="64"/>
      <c r="S1268" s="75"/>
      <c r="T1268" s="75"/>
      <c r="U1268" s="65"/>
      <c r="V1268" s="62"/>
      <c r="W1268" s="65"/>
      <c r="X1268" s="62"/>
      <c r="Y1268" s="65"/>
      <c r="Z1268" s="73"/>
    </row>
    <row r="1269" spans="1:26" ht="15.75" hidden="1" customHeight="1" x14ac:dyDescent="0.25">
      <c r="A1269" s="67">
        <v>8</v>
      </c>
      <c r="B1269" s="68">
        <v>71382103</v>
      </c>
      <c r="C1269" s="68" t="s">
        <v>25776</v>
      </c>
      <c r="D1269" s="68" t="s">
        <v>25968</v>
      </c>
      <c r="E1269" s="68" t="s">
        <v>25198</v>
      </c>
      <c r="F1269" s="68" t="s">
        <v>25276</v>
      </c>
      <c r="G1269" s="81" t="s">
        <v>19285</v>
      </c>
      <c r="H1269" s="69">
        <v>45890</v>
      </c>
      <c r="I1269" s="69">
        <v>45891</v>
      </c>
      <c r="J1269" s="68">
        <v>2</v>
      </c>
      <c r="K1269" s="68">
        <v>2</v>
      </c>
      <c r="L1269" s="68" t="s">
        <v>19262</v>
      </c>
      <c r="M1269" s="68" t="s">
        <v>24995</v>
      </c>
      <c r="N1269" s="62" t="s">
        <v>19269</v>
      </c>
      <c r="O1269" s="68" t="s">
        <v>5226</v>
      </c>
      <c r="P1269" s="42" t="str">
        <f>+IF(O1269="","",IFERROR(VLOOKUP(O1269,CODIGO_DIAGNOSTICO,2,0),"CÓDIGO NO ENCONTRADO"))</f>
        <v>COLICO RENAL, NO ESPECIFICADO</v>
      </c>
      <c r="Q1269" s="68" t="s">
        <v>26059</v>
      </c>
      <c r="R1269" s="67"/>
      <c r="S1269" s="77"/>
      <c r="T1269" s="76"/>
      <c r="U1269" s="65"/>
      <c r="V1269" s="68"/>
      <c r="W1269" s="70"/>
      <c r="X1269" s="68"/>
      <c r="Y1269" s="70"/>
      <c r="Z1269" s="72"/>
    </row>
    <row r="1270" spans="1:26" ht="15.75" hidden="1" customHeight="1" x14ac:dyDescent="0.25">
      <c r="A1270" s="64">
        <v>8</v>
      </c>
      <c r="B1270" s="62">
        <v>1042418175</v>
      </c>
      <c r="C1270" s="62" t="s">
        <v>25747</v>
      </c>
      <c r="D1270" s="62" t="s">
        <v>25964</v>
      </c>
      <c r="E1270" s="62" t="s">
        <v>25965</v>
      </c>
      <c r="F1270" s="62" t="s">
        <v>25966</v>
      </c>
      <c r="G1270" s="81" t="s">
        <v>19285</v>
      </c>
      <c r="H1270" s="63">
        <v>45890</v>
      </c>
      <c r="I1270" s="63">
        <v>45892</v>
      </c>
      <c r="J1270" s="62">
        <v>3</v>
      </c>
      <c r="K1270" s="62">
        <v>3</v>
      </c>
      <c r="L1270" s="62" t="s">
        <v>24995</v>
      </c>
      <c r="M1270" s="62" t="s">
        <v>24995</v>
      </c>
      <c r="N1270" s="62" t="s">
        <v>19269</v>
      </c>
      <c r="O1270" s="62" t="s">
        <v>5279</v>
      </c>
      <c r="P1270" s="42" t="str">
        <f>+IF(O1270="","",IFERROR(VLOOKUP(O1270,CODIGO_DIAGNOSTICO,2,0),"CÓDIGO NO ENCONTRADO"))</f>
        <v>INFECCION DE VIAS URINARIAS, SITIO NO ESPECIFICADO</v>
      </c>
      <c r="Q1270" s="62" t="s">
        <v>26339</v>
      </c>
      <c r="R1270" s="64"/>
      <c r="S1270" s="75"/>
      <c r="T1270" s="75"/>
      <c r="U1270" s="65"/>
      <c r="V1270" s="62"/>
      <c r="W1270" s="65"/>
      <c r="X1270" s="62"/>
      <c r="Y1270" s="65"/>
      <c r="Z1270" s="73"/>
    </row>
    <row r="1271" spans="1:26" ht="15.75" hidden="1" customHeight="1" x14ac:dyDescent="0.25">
      <c r="A1271" s="67">
        <v>8</v>
      </c>
      <c r="B1271" s="68">
        <v>1082997484</v>
      </c>
      <c r="C1271" s="68" t="s">
        <v>26389</v>
      </c>
      <c r="D1271" s="68" t="s">
        <v>26390</v>
      </c>
      <c r="E1271" s="68" t="s">
        <v>26303</v>
      </c>
      <c r="F1271" s="68" t="s">
        <v>25283</v>
      </c>
      <c r="G1271" s="81" t="s">
        <v>19285</v>
      </c>
      <c r="H1271" s="69">
        <v>45891</v>
      </c>
      <c r="I1271" s="69">
        <v>45892</v>
      </c>
      <c r="J1271" s="68">
        <v>2</v>
      </c>
      <c r="K1271" s="68">
        <v>2</v>
      </c>
      <c r="L1271" s="68" t="s">
        <v>24995</v>
      </c>
      <c r="M1271" s="68" t="s">
        <v>24995</v>
      </c>
      <c r="N1271" s="62" t="s">
        <v>19263</v>
      </c>
      <c r="O1271" s="68" t="s">
        <v>7545</v>
      </c>
      <c r="P1271" s="42" t="str">
        <f>+IF(O1271="","",IFERROR(VLOOKUP(O1271,CODIGO_DIAGNOSTICO,2,0),"CÓDIGO NO ENCONTRADO"))</f>
        <v>TRAUMATISMOS NO ESPECIFICADOS DEL HOMBRO Y DEL BRAZO</v>
      </c>
      <c r="Q1271" s="68" t="s">
        <v>25001</v>
      </c>
      <c r="R1271" s="67"/>
      <c r="S1271" s="77"/>
      <c r="T1271" s="76"/>
      <c r="U1271" s="65"/>
      <c r="V1271" s="68"/>
      <c r="W1271" s="70"/>
      <c r="X1271" s="68"/>
      <c r="Y1271" s="70"/>
      <c r="Z1271" s="72"/>
    </row>
    <row r="1272" spans="1:26" ht="15.75" hidden="1" customHeight="1" x14ac:dyDescent="0.25">
      <c r="A1272" s="64">
        <v>8</v>
      </c>
      <c r="B1272" s="62">
        <v>1042770077</v>
      </c>
      <c r="C1272" s="62" t="s">
        <v>25747</v>
      </c>
      <c r="D1272" s="62" t="s">
        <v>25426</v>
      </c>
      <c r="E1272" s="62" t="s">
        <v>26487</v>
      </c>
      <c r="F1272" s="62" t="s">
        <v>25177</v>
      </c>
      <c r="G1272" s="81" t="s">
        <v>19285</v>
      </c>
      <c r="H1272" s="63">
        <v>45891</v>
      </c>
      <c r="I1272" s="63">
        <v>45892</v>
      </c>
      <c r="J1272" s="62">
        <v>2</v>
      </c>
      <c r="K1272" s="62">
        <v>2</v>
      </c>
      <c r="L1272" s="62" t="s">
        <v>24995</v>
      </c>
      <c r="M1272" s="62" t="s">
        <v>24995</v>
      </c>
      <c r="N1272" s="62" t="s">
        <v>19269</v>
      </c>
      <c r="O1272" s="62" t="s">
        <v>539</v>
      </c>
      <c r="P1272" s="42" t="str">
        <f>+IF(O1272="","",IFERROR(VLOOKUP(O1272,CODIGO_DIAGNOSTICO,2,0),"CÓDIGO NO ENCONTRADO"))</f>
        <v>INFECCION VIRAL, NO ESPECIFICADA</v>
      </c>
      <c r="Q1272" s="62" t="s">
        <v>26339</v>
      </c>
      <c r="R1272" s="64"/>
      <c r="S1272" s="75"/>
      <c r="T1272" s="75"/>
      <c r="U1272" s="65"/>
      <c r="V1272" s="62"/>
      <c r="W1272" s="65"/>
      <c r="X1272" s="62"/>
      <c r="Y1272" s="65"/>
      <c r="Z1272" s="73"/>
    </row>
    <row r="1273" spans="1:26" ht="15.75" hidden="1" customHeight="1" x14ac:dyDescent="0.25">
      <c r="A1273" s="67">
        <v>8</v>
      </c>
      <c r="B1273" s="68">
        <v>70326266</v>
      </c>
      <c r="C1273" s="68" t="s">
        <v>24984</v>
      </c>
      <c r="D1273" s="68"/>
      <c r="E1273" s="68" t="s">
        <v>25102</v>
      </c>
      <c r="F1273" s="68" t="s">
        <v>26257</v>
      </c>
      <c r="G1273" s="81" t="s">
        <v>19285</v>
      </c>
      <c r="H1273" s="69">
        <v>45891</v>
      </c>
      <c r="I1273" s="69">
        <v>45892</v>
      </c>
      <c r="J1273" s="68">
        <v>2</v>
      </c>
      <c r="K1273" s="68">
        <v>2</v>
      </c>
      <c r="L1273" s="68" t="s">
        <v>24995</v>
      </c>
      <c r="M1273" s="68" t="s">
        <v>24995</v>
      </c>
      <c r="N1273" s="62" t="s">
        <v>19269</v>
      </c>
      <c r="O1273" s="68" t="s">
        <v>15281</v>
      </c>
      <c r="P1273" s="42" t="str">
        <f>+IF(O1273="","",IFERROR(VLOOKUP(O1273,CODIGO_DIAGNOSTICO,2,0),"CÓDIGO NO ENCONTRADO"))</f>
        <v>RINOFARINGITIS AGUDA (RESFRIADO COMUN)</v>
      </c>
      <c r="Q1273" s="68" t="s">
        <v>26059</v>
      </c>
      <c r="R1273" s="67"/>
      <c r="S1273" s="77"/>
      <c r="T1273" s="76"/>
      <c r="U1273" s="65"/>
      <c r="V1273" s="68"/>
      <c r="W1273" s="70"/>
      <c r="X1273" s="68"/>
      <c r="Y1273" s="70"/>
      <c r="Z1273" s="72"/>
    </row>
    <row r="1274" spans="1:26" ht="15.75" hidden="1" customHeight="1" x14ac:dyDescent="0.25">
      <c r="A1274" s="64">
        <v>8</v>
      </c>
      <c r="B1274" s="62">
        <v>8463537</v>
      </c>
      <c r="C1274" s="62" t="s">
        <v>25246</v>
      </c>
      <c r="D1274" s="62" t="s">
        <v>26062</v>
      </c>
      <c r="E1274" s="62" t="s">
        <v>26054</v>
      </c>
      <c r="F1274" s="62" t="s">
        <v>26055</v>
      </c>
      <c r="G1274" s="81" t="s">
        <v>19285</v>
      </c>
      <c r="H1274" s="63">
        <v>45892</v>
      </c>
      <c r="I1274" s="63">
        <v>45906</v>
      </c>
      <c r="J1274" s="62">
        <v>15</v>
      </c>
      <c r="K1274" s="62">
        <v>15</v>
      </c>
      <c r="L1274" s="62" t="s">
        <v>19262</v>
      </c>
      <c r="M1274" s="62" t="s">
        <v>19262</v>
      </c>
      <c r="N1274" s="62" t="s">
        <v>19269</v>
      </c>
      <c r="O1274" s="62" t="s">
        <v>2271</v>
      </c>
      <c r="P1274" s="42" t="str">
        <f>+IF(O1274="","",IFERROR(VLOOKUP(O1274,CODIGO_DIAGNOSTICO,2,0),"CÓDIGO NO ENCONTRADO"))</f>
        <v>TRASTORNO DE ANSIEDAD GENERALIZADA</v>
      </c>
      <c r="Q1274" s="62" t="s">
        <v>26339</v>
      </c>
      <c r="R1274" s="64"/>
      <c r="S1274" s="75"/>
      <c r="T1274" s="75"/>
      <c r="U1274" s="65"/>
      <c r="V1274" s="62"/>
      <c r="W1274" s="65"/>
      <c r="X1274" s="62"/>
      <c r="Y1274" s="65"/>
      <c r="Z1274" s="73"/>
    </row>
    <row r="1275" spans="1:26" ht="15.75" hidden="1" customHeight="1" x14ac:dyDescent="0.25">
      <c r="A1275" s="67">
        <v>8</v>
      </c>
      <c r="B1275" s="68">
        <v>71382103</v>
      </c>
      <c r="C1275" s="68" t="s">
        <v>25776</v>
      </c>
      <c r="D1275" s="68" t="s">
        <v>25968</v>
      </c>
      <c r="E1275" s="68" t="s">
        <v>25198</v>
      </c>
      <c r="F1275" s="68" t="s">
        <v>25276</v>
      </c>
      <c r="G1275" s="81" t="s">
        <v>19285</v>
      </c>
      <c r="H1275" s="69">
        <v>45892</v>
      </c>
      <c r="I1275" s="69">
        <v>45893</v>
      </c>
      <c r="J1275" s="68">
        <v>2</v>
      </c>
      <c r="K1275" s="68">
        <v>2</v>
      </c>
      <c r="L1275" s="68" t="s">
        <v>24995</v>
      </c>
      <c r="M1275" s="68" t="s">
        <v>24995</v>
      </c>
      <c r="N1275" s="62" t="s">
        <v>19269</v>
      </c>
      <c r="O1275" s="68" t="s">
        <v>5279</v>
      </c>
      <c r="P1275" s="42" t="str">
        <f>+IF(O1275="","",IFERROR(VLOOKUP(O1275,CODIGO_DIAGNOSTICO,2,0),"CÓDIGO NO ENCONTRADO"))</f>
        <v>INFECCION DE VIAS URINARIAS, SITIO NO ESPECIFICADO</v>
      </c>
      <c r="Q1275" s="68" t="s">
        <v>26059</v>
      </c>
      <c r="R1275" s="67"/>
      <c r="S1275" s="77"/>
      <c r="T1275" s="76"/>
      <c r="U1275" s="65"/>
      <c r="V1275" s="68"/>
      <c r="W1275" s="70"/>
      <c r="X1275" s="68"/>
      <c r="Y1275" s="70"/>
      <c r="Z1275" s="72"/>
    </row>
    <row r="1276" spans="1:26" ht="15.75" hidden="1" customHeight="1" x14ac:dyDescent="0.25">
      <c r="A1276" s="64">
        <v>8</v>
      </c>
      <c r="B1276" s="62">
        <v>12625299</v>
      </c>
      <c r="C1276" s="62" t="s">
        <v>25321</v>
      </c>
      <c r="D1276" s="62" t="s">
        <v>25322</v>
      </c>
      <c r="E1276" s="62" t="s">
        <v>25323</v>
      </c>
      <c r="F1276" s="62" t="s">
        <v>25064</v>
      </c>
      <c r="G1276" s="81" t="s">
        <v>19285</v>
      </c>
      <c r="H1276" s="63">
        <v>45893</v>
      </c>
      <c r="I1276" s="63">
        <v>45912</v>
      </c>
      <c r="J1276" s="62">
        <v>20</v>
      </c>
      <c r="K1276" s="62">
        <v>20</v>
      </c>
      <c r="L1276" s="62" t="s">
        <v>19262</v>
      </c>
      <c r="M1276" s="62" t="s">
        <v>19262</v>
      </c>
      <c r="N1276" s="62" t="s">
        <v>19269</v>
      </c>
      <c r="O1276" s="62" t="s">
        <v>4790</v>
      </c>
      <c r="P1276" s="42" t="str">
        <f>+IF(O1276="","",IFERROR(VLOOKUP(O1276,CODIGO_DIAGNOSTICO,2,0),"CÓDIGO NO ENCONTRADO"))</f>
        <v>DISCITIS, NO ESPECIFICADA</v>
      </c>
      <c r="Q1276" s="62" t="s">
        <v>26059</v>
      </c>
      <c r="R1276" s="64"/>
      <c r="S1276" s="75"/>
      <c r="T1276" s="75"/>
      <c r="U1276" s="65"/>
      <c r="V1276" s="62"/>
      <c r="W1276" s="65"/>
      <c r="X1276" s="62"/>
      <c r="Y1276" s="65"/>
      <c r="Z1276" s="73"/>
    </row>
    <row r="1277" spans="1:26" ht="15.75" hidden="1" customHeight="1" x14ac:dyDescent="0.25">
      <c r="A1277" s="67">
        <v>8</v>
      </c>
      <c r="B1277" s="68">
        <v>1017149200</v>
      </c>
      <c r="C1277" s="68" t="s">
        <v>25083</v>
      </c>
      <c r="D1277" s="68" t="s">
        <v>25593</v>
      </c>
      <c r="E1277" s="68" t="s">
        <v>26481</v>
      </c>
      <c r="F1277" s="68" t="s">
        <v>25774</v>
      </c>
      <c r="G1277" s="81" t="s">
        <v>19285</v>
      </c>
      <c r="H1277" s="69">
        <v>45894</v>
      </c>
      <c r="I1277" s="69">
        <v>45900</v>
      </c>
      <c r="J1277" s="68">
        <v>7</v>
      </c>
      <c r="K1277" s="68">
        <v>7</v>
      </c>
      <c r="L1277" s="68" t="s">
        <v>19262</v>
      </c>
      <c r="M1277" s="68" t="s">
        <v>24995</v>
      </c>
      <c r="N1277" s="62" t="s">
        <v>19269</v>
      </c>
      <c r="O1277" s="68" t="s">
        <v>5650</v>
      </c>
      <c r="P1277" s="42" t="str">
        <f>+IF(O1277="","",IFERROR(VLOOKUP(O1277,CODIGO_DIAGNOSTICO,2,0),"CÓDIGO NO ENCONTRADO"))</f>
        <v>SUBLUXACION DE LA SINFISIS (DEL PUBIS) EN EL EMBARAZO, EL PARTO Y EL PUERPERIO</v>
      </c>
      <c r="Q1277" s="68" t="s">
        <v>26059</v>
      </c>
      <c r="R1277" s="67"/>
      <c r="S1277" s="77"/>
      <c r="T1277" s="76"/>
      <c r="U1277" s="65"/>
      <c r="V1277" s="68"/>
      <c r="W1277" s="70"/>
      <c r="X1277" s="68"/>
      <c r="Y1277" s="70"/>
      <c r="Z1277" s="72"/>
    </row>
    <row r="1278" spans="1:26" ht="15.75" hidden="1" customHeight="1" x14ac:dyDescent="0.25">
      <c r="A1278" s="64">
        <v>8</v>
      </c>
      <c r="B1278" s="62">
        <v>70252687</v>
      </c>
      <c r="C1278" s="62" t="s">
        <v>25340</v>
      </c>
      <c r="D1278" s="62" t="s">
        <v>24998</v>
      </c>
      <c r="E1278" s="62" t="s">
        <v>25359</v>
      </c>
      <c r="F1278" s="62" t="s">
        <v>25020</v>
      </c>
      <c r="G1278" s="81" t="s">
        <v>19285</v>
      </c>
      <c r="H1278" s="63">
        <v>45894</v>
      </c>
      <c r="I1278" s="63">
        <v>45923</v>
      </c>
      <c r="J1278" s="62">
        <v>30</v>
      </c>
      <c r="K1278" s="62">
        <v>30</v>
      </c>
      <c r="L1278" s="62" t="s">
        <v>19262</v>
      </c>
      <c r="M1278" s="62" t="s">
        <v>19262</v>
      </c>
      <c r="N1278" s="62" t="s">
        <v>19269</v>
      </c>
      <c r="O1278" s="62" t="s">
        <v>905</v>
      </c>
      <c r="P1278" s="42" t="str">
        <f>+IF(O1278="","",IFERROR(VLOOKUP(O1278,CODIGO_DIAGNOSTICO,2,0),"CÓDIGO NO ENCONTRADO"))</f>
        <v>TUMOR MALIGNO DEL RECTO</v>
      </c>
      <c r="Q1278" s="62" t="s">
        <v>26059</v>
      </c>
      <c r="R1278" s="64"/>
      <c r="S1278" s="75"/>
      <c r="T1278" s="75"/>
      <c r="U1278" s="65"/>
      <c r="V1278" s="62"/>
      <c r="W1278" s="65"/>
      <c r="X1278" s="62"/>
      <c r="Y1278" s="65"/>
      <c r="Z1278" s="73"/>
    </row>
    <row r="1279" spans="1:26" ht="15.75" hidden="1" customHeight="1" x14ac:dyDescent="0.25">
      <c r="A1279" s="67">
        <v>8</v>
      </c>
      <c r="B1279" s="68">
        <v>1038334649</v>
      </c>
      <c r="C1279" s="68" t="s">
        <v>25281</v>
      </c>
      <c r="D1279" s="68" t="s">
        <v>25456</v>
      </c>
      <c r="E1279" s="68" t="s">
        <v>25116</v>
      </c>
      <c r="F1279" s="68" t="s">
        <v>25010</v>
      </c>
      <c r="G1279" s="81" t="s">
        <v>19285</v>
      </c>
      <c r="H1279" s="69">
        <v>45895</v>
      </c>
      <c r="I1279" s="69">
        <v>45914</v>
      </c>
      <c r="J1279" s="68">
        <v>20</v>
      </c>
      <c r="K1279" s="68">
        <v>20</v>
      </c>
      <c r="L1279" s="68" t="s">
        <v>24995</v>
      </c>
      <c r="M1279" s="68" t="s">
        <v>19262</v>
      </c>
      <c r="N1279" s="62" t="s">
        <v>19269</v>
      </c>
      <c r="O1279" s="68" t="s">
        <v>7614</v>
      </c>
      <c r="P1279" s="42" t="str">
        <f>+IF(O1279="","",IFERROR(VLOOKUP(O1279,CODIGO_DIAGNOSTICO,2,0),"CÓDIGO NO ENCONTRADO"))</f>
        <v>FRACTURA DE OTROS HUESOS METACARPIANOS</v>
      </c>
      <c r="Q1279" s="68" t="s">
        <v>26059</v>
      </c>
      <c r="R1279" s="67"/>
      <c r="S1279" s="77"/>
      <c r="T1279" s="76"/>
      <c r="U1279" s="65"/>
      <c r="V1279" s="68"/>
      <c r="W1279" s="70"/>
      <c r="X1279" s="68"/>
      <c r="Y1279" s="70"/>
      <c r="Z1279" s="72"/>
    </row>
    <row r="1280" spans="1:26" ht="15.75" hidden="1" customHeight="1" x14ac:dyDescent="0.25">
      <c r="A1280" s="64">
        <v>8</v>
      </c>
      <c r="B1280" s="62">
        <v>71676289</v>
      </c>
      <c r="C1280" s="62" t="s">
        <v>25702</v>
      </c>
      <c r="D1280" s="62" t="s">
        <v>25012</v>
      </c>
      <c r="E1280" s="62" t="s">
        <v>25016</v>
      </c>
      <c r="F1280" s="62" t="s">
        <v>25004</v>
      </c>
      <c r="G1280" s="81" t="s">
        <v>19285</v>
      </c>
      <c r="H1280" s="63">
        <v>45895</v>
      </c>
      <c r="I1280" s="63">
        <v>45908</v>
      </c>
      <c r="J1280" s="62">
        <v>14</v>
      </c>
      <c r="K1280" s="62">
        <v>14</v>
      </c>
      <c r="L1280" s="62" t="s">
        <v>19262</v>
      </c>
      <c r="M1280" s="62" t="s">
        <v>19262</v>
      </c>
      <c r="N1280" s="62" t="s">
        <v>19269</v>
      </c>
      <c r="O1280" s="62" t="s">
        <v>3483</v>
      </c>
      <c r="P1280" s="42" t="str">
        <f>+IF(O1280="","",IFERROR(VLOOKUP(O1280,CODIGO_DIAGNOSTICO,2,0),"CÓDIGO NO ENCONTRADO"))</f>
        <v>ESTRECHEZ ARTERIAL</v>
      </c>
      <c r="Q1280" s="62" t="s">
        <v>26059</v>
      </c>
      <c r="R1280" s="64"/>
      <c r="S1280" s="75"/>
      <c r="T1280" s="75"/>
      <c r="U1280" s="65"/>
      <c r="V1280" s="62"/>
      <c r="W1280" s="65"/>
      <c r="X1280" s="62"/>
      <c r="Y1280" s="65"/>
      <c r="Z1280" s="73"/>
    </row>
    <row r="1281" spans="1:26" ht="15.75" hidden="1" customHeight="1" x14ac:dyDescent="0.25">
      <c r="A1281" s="67">
        <v>8</v>
      </c>
      <c r="B1281" s="68">
        <v>79684163</v>
      </c>
      <c r="C1281" s="68" t="s">
        <v>25910</v>
      </c>
      <c r="D1281" s="68" t="s">
        <v>26103</v>
      </c>
      <c r="E1281" s="68" t="s">
        <v>26104</v>
      </c>
      <c r="F1281" s="68" t="s">
        <v>25110</v>
      </c>
      <c r="G1281" s="81" t="s">
        <v>19285</v>
      </c>
      <c r="H1281" s="69">
        <v>45897</v>
      </c>
      <c r="I1281" s="69">
        <v>45900</v>
      </c>
      <c r="J1281" s="68">
        <v>4</v>
      </c>
      <c r="K1281" s="68">
        <v>4</v>
      </c>
      <c r="L1281" s="68" t="s">
        <v>24995</v>
      </c>
      <c r="M1281" s="68" t="s">
        <v>24995</v>
      </c>
      <c r="N1281" s="62" t="s">
        <v>19269</v>
      </c>
      <c r="O1281" s="68" t="s">
        <v>2627</v>
      </c>
      <c r="P1281" s="42" t="str">
        <f>+IF(O1281="","",IFERROR(VLOOKUP(O1281,CODIGO_DIAGNOSTICO,2,0),"CÓDIGO NO ENCONTRADO"))</f>
        <v>PARALISIS DE BELL</v>
      </c>
      <c r="Q1281" s="68" t="s">
        <v>25305</v>
      </c>
      <c r="R1281" s="67"/>
      <c r="S1281" s="77"/>
      <c r="T1281" s="76"/>
      <c r="U1281" s="65"/>
      <c r="V1281" s="68"/>
      <c r="W1281" s="70"/>
      <c r="X1281" s="68"/>
      <c r="Y1281" s="70"/>
      <c r="Z1281" s="72"/>
    </row>
    <row r="1282" spans="1:26" ht="15.75" hidden="1" customHeight="1" x14ac:dyDescent="0.25">
      <c r="A1282" s="64">
        <v>8</v>
      </c>
      <c r="B1282" s="62">
        <v>98648253</v>
      </c>
      <c r="C1282" s="62" t="s">
        <v>25764</v>
      </c>
      <c r="D1282" s="62" t="s">
        <v>25462</v>
      </c>
      <c r="E1282" s="62" t="s">
        <v>25483</v>
      </c>
      <c r="F1282" s="62" t="s">
        <v>25110</v>
      </c>
      <c r="G1282" s="81" t="s">
        <v>19285</v>
      </c>
      <c r="H1282" s="63">
        <v>45897</v>
      </c>
      <c r="I1282" s="63">
        <v>7</v>
      </c>
      <c r="J1282" s="62">
        <v>2</v>
      </c>
      <c r="K1282" s="62">
        <v>2</v>
      </c>
      <c r="L1282" s="62" t="s">
        <v>24995</v>
      </c>
      <c r="M1282" s="62" t="s">
        <v>24995</v>
      </c>
      <c r="N1282" s="62" t="s">
        <v>19269</v>
      </c>
      <c r="O1282" s="62" t="s">
        <v>2625</v>
      </c>
      <c r="P1282" s="42" t="str">
        <f>+IF(O1282="","",IFERROR(VLOOKUP(O1282,CODIGO_DIAGNOSTICO,2,0),"CÓDIGO NO ENCONTRADO"))</f>
        <v>OTROS TRASTORNOS DEL TRIGEMINO</v>
      </c>
      <c r="Q1282" s="62" t="s">
        <v>19230</v>
      </c>
      <c r="R1282" s="64"/>
      <c r="S1282" s="75"/>
      <c r="T1282" s="75"/>
      <c r="U1282" s="65"/>
      <c r="V1282" s="62"/>
      <c r="W1282" s="65"/>
      <c r="X1282" s="62"/>
      <c r="Y1282" s="65"/>
      <c r="Z1282" s="73"/>
    </row>
    <row r="1283" spans="1:26" ht="15.75" hidden="1" customHeight="1" x14ac:dyDescent="0.25">
      <c r="A1283" s="67">
        <v>8</v>
      </c>
      <c r="B1283" s="68">
        <v>78716505</v>
      </c>
      <c r="C1283" s="68" t="s">
        <v>26013</v>
      </c>
      <c r="D1283" s="68" t="s">
        <v>26014</v>
      </c>
      <c r="E1283" s="68" t="s">
        <v>25014</v>
      </c>
      <c r="F1283" s="68" t="s">
        <v>26015</v>
      </c>
      <c r="G1283" s="81" t="s">
        <v>19285</v>
      </c>
      <c r="H1283" s="69">
        <v>45899</v>
      </c>
      <c r="I1283" s="69">
        <v>45900</v>
      </c>
      <c r="J1283" s="68">
        <v>2</v>
      </c>
      <c r="K1283" s="68">
        <v>2</v>
      </c>
      <c r="L1283" s="68" t="s">
        <v>24995</v>
      </c>
      <c r="M1283" s="68" t="s">
        <v>24995</v>
      </c>
      <c r="N1283" s="62" t="s">
        <v>19269</v>
      </c>
      <c r="O1283" s="68" t="s">
        <v>4026</v>
      </c>
      <c r="P1283" s="42" t="str">
        <f>+IF(O1283="","",IFERROR(VLOOKUP(O1283,CODIGO_DIAGNOSTICO,2,0),"CÓDIGO NO ENCONTRADO"))</f>
        <v>COLITIS Y GASTROENTERITIS NO INFECCIOSAS, NO ESPECIFICADAS</v>
      </c>
      <c r="Q1283" s="68" t="s">
        <v>19232</v>
      </c>
      <c r="R1283" s="67"/>
      <c r="S1283" s="77"/>
      <c r="T1283" s="76"/>
      <c r="U1283" s="65"/>
      <c r="V1283" s="68"/>
      <c r="W1283" s="70"/>
      <c r="X1283" s="68"/>
      <c r="Y1283" s="70"/>
      <c r="Z1283" s="72"/>
    </row>
    <row r="1284" spans="1:26" ht="15.75" hidden="1" customHeight="1" x14ac:dyDescent="0.25">
      <c r="A1284" s="64">
        <v>8</v>
      </c>
      <c r="B1284" s="62">
        <v>98643777</v>
      </c>
      <c r="C1284" s="62" t="s">
        <v>26188</v>
      </c>
      <c r="D1284" s="62" t="s">
        <v>25109</v>
      </c>
      <c r="E1284" s="62" t="s">
        <v>25358</v>
      </c>
      <c r="F1284" s="62" t="s">
        <v>25110</v>
      </c>
      <c r="G1284" s="81" t="s">
        <v>19285</v>
      </c>
      <c r="H1284" s="63">
        <v>45900</v>
      </c>
      <c r="I1284" s="63">
        <v>45901</v>
      </c>
      <c r="J1284" s="62">
        <v>2</v>
      </c>
      <c r="K1284" s="62">
        <v>2</v>
      </c>
      <c r="L1284" s="62" t="s">
        <v>24995</v>
      </c>
      <c r="M1284" s="62" t="s">
        <v>24995</v>
      </c>
      <c r="N1284" s="62" t="s">
        <v>19269</v>
      </c>
      <c r="O1284" s="62" t="s">
        <v>4838</v>
      </c>
      <c r="P1284" s="42" t="str">
        <f>+IF(O1284="","",IFERROR(VLOOKUP(O1284,CODIGO_DIAGNOSTICO,2,0),"CÓDIGO NO ENCONTRADO"))</f>
        <v>LUMBAGO NO ESPECIFICADO</v>
      </c>
      <c r="Q1284" s="62" t="s">
        <v>26059</v>
      </c>
      <c r="R1284" s="64"/>
      <c r="S1284" s="75"/>
      <c r="T1284" s="75"/>
      <c r="U1284" s="65"/>
      <c r="V1284" s="62"/>
      <c r="W1284" s="65"/>
      <c r="X1284" s="62"/>
      <c r="Y1284" s="65"/>
      <c r="Z1284" s="73"/>
    </row>
    <row r="1285" spans="1:26" ht="15.75" hidden="1" customHeight="1" x14ac:dyDescent="0.25">
      <c r="A1285" s="67">
        <v>8</v>
      </c>
      <c r="B1285" s="68">
        <v>71335134</v>
      </c>
      <c r="C1285" s="68" t="s">
        <v>25839</v>
      </c>
      <c r="D1285" s="68" t="s">
        <v>25310</v>
      </c>
      <c r="E1285" s="68" t="s">
        <v>25358</v>
      </c>
      <c r="F1285" s="68" t="s">
        <v>25005</v>
      </c>
      <c r="G1285" s="81" t="s">
        <v>19285</v>
      </c>
      <c r="H1285" s="69">
        <v>45901</v>
      </c>
      <c r="I1285" s="69">
        <v>45902</v>
      </c>
      <c r="J1285" s="68">
        <v>2</v>
      </c>
      <c r="K1285" s="68">
        <v>2</v>
      </c>
      <c r="L1285" s="68" t="s">
        <v>24995</v>
      </c>
      <c r="M1285" s="68" t="s">
        <v>24995</v>
      </c>
      <c r="N1285" s="62" t="s">
        <v>19269</v>
      </c>
      <c r="O1285" s="68" t="s">
        <v>6968</v>
      </c>
      <c r="P1285" s="42" t="str">
        <f>+IF(O1285="","",IFERROR(VLOOKUP(O1285,CODIGO_DIAGNOSTICO,2,0),"CÓDIGO NO ENCONTRADO"))</f>
        <v>TUMEFACCION, MASA O PROMINENCIA LOCALIZADA EN EL MIEMBRO INFERIOR</v>
      </c>
      <c r="Q1285" s="68" t="s">
        <v>26059</v>
      </c>
      <c r="R1285" s="67"/>
      <c r="S1285" s="77"/>
      <c r="T1285" s="76"/>
      <c r="U1285" s="65"/>
      <c r="V1285" s="68"/>
      <c r="W1285" s="70"/>
      <c r="X1285" s="68"/>
      <c r="Y1285" s="70"/>
      <c r="Z1285" s="72"/>
    </row>
    <row r="1286" spans="1:26" ht="15.75" hidden="1" customHeight="1" x14ac:dyDescent="0.25">
      <c r="A1286" s="64">
        <v>8</v>
      </c>
      <c r="B1286" s="62">
        <v>70550977</v>
      </c>
      <c r="C1286" s="62" t="s">
        <v>25128</v>
      </c>
      <c r="D1286" s="62" t="s">
        <v>25127</v>
      </c>
      <c r="E1286" s="62" t="s">
        <v>25130</v>
      </c>
      <c r="F1286" s="62" t="s">
        <v>25592</v>
      </c>
      <c r="G1286" s="81" t="s">
        <v>19285</v>
      </c>
      <c r="H1286" s="63">
        <v>45902</v>
      </c>
      <c r="I1286" s="63">
        <v>45902</v>
      </c>
      <c r="J1286" s="62">
        <v>1</v>
      </c>
      <c r="K1286" s="62">
        <v>1</v>
      </c>
      <c r="L1286" s="62" t="s">
        <v>24995</v>
      </c>
      <c r="M1286" s="62" t="s">
        <v>24995</v>
      </c>
      <c r="N1286" s="62" t="s">
        <v>19269</v>
      </c>
      <c r="O1286" s="62" t="s">
        <v>3835</v>
      </c>
      <c r="P1286" s="42" t="str">
        <f>+IF(O1286="","",IFERROR(VLOOKUP(O1286,CODIGO_DIAGNOSTICO,2,0),"CÓDIGO NO ENCONTRADO"))</f>
        <v>PERIODONTITIS CRONICA</v>
      </c>
      <c r="Q1286" s="62" t="s">
        <v>26339</v>
      </c>
      <c r="R1286" s="64"/>
      <c r="S1286" s="75"/>
      <c r="T1286" s="75"/>
      <c r="U1286" s="65"/>
      <c r="V1286" s="62"/>
      <c r="W1286" s="65"/>
      <c r="X1286" s="62"/>
      <c r="Y1286" s="65"/>
      <c r="Z1286" s="73"/>
    </row>
    <row r="1287" spans="1:26" ht="15.75" hidden="1" customHeight="1" x14ac:dyDescent="0.25">
      <c r="A1287" s="67">
        <v>9</v>
      </c>
      <c r="B1287" s="68">
        <v>1082997484</v>
      </c>
      <c r="C1287" s="68" t="s">
        <v>26389</v>
      </c>
      <c r="D1287" s="68" t="s">
        <v>26390</v>
      </c>
      <c r="E1287" s="68" t="s">
        <v>26303</v>
      </c>
      <c r="F1287" s="68" t="s">
        <v>25283</v>
      </c>
      <c r="G1287" s="81" t="s">
        <v>19285</v>
      </c>
      <c r="H1287" s="69">
        <v>45902</v>
      </c>
      <c r="I1287" s="69">
        <v>45911</v>
      </c>
      <c r="J1287" s="68">
        <v>10</v>
      </c>
      <c r="K1287" s="68">
        <v>10</v>
      </c>
      <c r="L1287" s="68" t="s">
        <v>24995</v>
      </c>
      <c r="M1287" s="68" t="s">
        <v>24995</v>
      </c>
      <c r="N1287" s="62" t="s">
        <v>19263</v>
      </c>
      <c r="O1287" s="68" t="s">
        <v>4858</v>
      </c>
      <c r="P1287" s="42" t="str">
        <f>+IF(O1287="","",IFERROR(VLOOKUP(O1287,CODIGO_DIAGNOSTICO,2,0),"CÓDIGO NO ENCONTRADO"))</f>
        <v>CONTRACTURA MUSCULAR</v>
      </c>
      <c r="Q1287" s="68" t="s">
        <v>25001</v>
      </c>
      <c r="R1287" s="67"/>
      <c r="S1287" s="77"/>
      <c r="T1287" s="76"/>
      <c r="U1287" s="65"/>
      <c r="V1287" s="68"/>
      <c r="W1287" s="70"/>
      <c r="X1287" s="68"/>
      <c r="Y1287" s="70"/>
      <c r="Z1287" s="72"/>
    </row>
    <row r="1288" spans="1:26" ht="15.75" hidden="1" customHeight="1" x14ac:dyDescent="0.25">
      <c r="A1288" s="64">
        <v>9</v>
      </c>
      <c r="B1288" s="62">
        <v>98643777</v>
      </c>
      <c r="C1288" s="62" t="s">
        <v>26188</v>
      </c>
      <c r="D1288" s="62" t="s">
        <v>25109</v>
      </c>
      <c r="E1288" s="62" t="s">
        <v>25358</v>
      </c>
      <c r="F1288" s="62" t="s">
        <v>25110</v>
      </c>
      <c r="G1288" s="81" t="s">
        <v>19285</v>
      </c>
      <c r="H1288" s="63">
        <v>45902</v>
      </c>
      <c r="I1288" s="63">
        <v>45904</v>
      </c>
      <c r="J1288" s="62">
        <v>3</v>
      </c>
      <c r="K1288" s="62">
        <v>3</v>
      </c>
      <c r="L1288" s="62" t="s">
        <v>24995</v>
      </c>
      <c r="M1288" s="62" t="s">
        <v>24995</v>
      </c>
      <c r="N1288" s="62" t="s">
        <v>19269</v>
      </c>
      <c r="O1288" s="62" t="s">
        <v>4838</v>
      </c>
      <c r="P1288" s="42" t="str">
        <f>+IF(O1288="","",IFERROR(VLOOKUP(O1288,CODIGO_DIAGNOSTICO,2,0),"CÓDIGO NO ENCONTRADO"))</f>
        <v>LUMBAGO NO ESPECIFICADO</v>
      </c>
      <c r="Q1288" s="62" t="s">
        <v>26059</v>
      </c>
      <c r="R1288" s="64"/>
      <c r="S1288" s="75"/>
      <c r="T1288" s="75"/>
      <c r="U1288" s="65"/>
      <c r="V1288" s="62"/>
      <c r="W1288" s="65"/>
      <c r="X1288" s="62"/>
      <c r="Y1288" s="65"/>
      <c r="Z1288" s="73"/>
    </row>
    <row r="1289" spans="1:26" ht="15.75" hidden="1" customHeight="1" x14ac:dyDescent="0.25">
      <c r="A1289" s="67">
        <v>9</v>
      </c>
      <c r="B1289" s="68">
        <v>1042418175</v>
      </c>
      <c r="C1289" s="68" t="s">
        <v>25747</v>
      </c>
      <c r="D1289" s="68" t="s">
        <v>25964</v>
      </c>
      <c r="E1289" s="68" t="s">
        <v>25965</v>
      </c>
      <c r="F1289" s="68" t="s">
        <v>25966</v>
      </c>
      <c r="G1289" s="81" t="s">
        <v>19285</v>
      </c>
      <c r="H1289" s="69">
        <v>45902</v>
      </c>
      <c r="I1289" s="69">
        <v>45909</v>
      </c>
      <c r="J1289" s="68">
        <v>8</v>
      </c>
      <c r="K1289" s="68">
        <v>8</v>
      </c>
      <c r="L1289" s="68" t="s">
        <v>24995</v>
      </c>
      <c r="M1289" s="68" t="s">
        <v>24995</v>
      </c>
      <c r="N1289" s="62" t="s">
        <v>19269</v>
      </c>
      <c r="O1289" s="68" t="s">
        <v>5363</v>
      </c>
      <c r="P1289" s="42" t="str">
        <f>+IF(O1289="","",IFERROR(VLOOKUP(O1289,CODIGO_DIAGNOSTICO,2,0),"CÓDIGO NO ENCONTRADO"))</f>
        <v>ENFERMEDAD INFLAMATORIA PELVICA FEMENINA, NO ESPECIFICADA</v>
      </c>
      <c r="Q1289" s="68" t="s">
        <v>19231</v>
      </c>
      <c r="R1289" s="67"/>
      <c r="S1289" s="77"/>
      <c r="T1289" s="76"/>
      <c r="U1289" s="65"/>
      <c r="V1289" s="68"/>
      <c r="W1289" s="70"/>
      <c r="X1289" s="68"/>
      <c r="Y1289" s="70"/>
      <c r="Z1289" s="72"/>
    </row>
    <row r="1290" spans="1:26" ht="15.75" hidden="1" customHeight="1" x14ac:dyDescent="0.25">
      <c r="A1290" s="64">
        <v>9</v>
      </c>
      <c r="B1290" s="62">
        <v>98643777</v>
      </c>
      <c r="C1290" s="62" t="s">
        <v>26188</v>
      </c>
      <c r="D1290" s="62" t="s">
        <v>25109</v>
      </c>
      <c r="E1290" s="62" t="s">
        <v>25358</v>
      </c>
      <c r="F1290" s="62" t="s">
        <v>25110</v>
      </c>
      <c r="G1290" s="81" t="s">
        <v>19285</v>
      </c>
      <c r="H1290" s="63">
        <v>45905</v>
      </c>
      <c r="I1290" s="63">
        <v>45906</v>
      </c>
      <c r="J1290" s="62">
        <v>2</v>
      </c>
      <c r="K1290" s="62">
        <v>2</v>
      </c>
      <c r="L1290" s="62" t="s">
        <v>19262</v>
      </c>
      <c r="M1290" s="62" t="s">
        <v>24995</v>
      </c>
      <c r="N1290" s="62" t="s">
        <v>19269</v>
      </c>
      <c r="O1290" s="62" t="s">
        <v>4838</v>
      </c>
      <c r="P1290" s="42" t="str">
        <f>+IF(O1290="","",IFERROR(VLOOKUP(O1290,CODIGO_DIAGNOSTICO,2,0),"CÓDIGO NO ENCONTRADO"))</f>
        <v>LUMBAGO NO ESPECIFICADO</v>
      </c>
      <c r="Q1290" s="62" t="s">
        <v>26059</v>
      </c>
      <c r="R1290" s="64"/>
      <c r="S1290" s="75"/>
      <c r="T1290" s="75"/>
      <c r="U1290" s="65"/>
      <c r="V1290" s="62"/>
      <c r="W1290" s="65"/>
      <c r="X1290" s="62"/>
      <c r="Y1290" s="65"/>
      <c r="Z1290" s="73"/>
    </row>
    <row r="1291" spans="1:26" ht="15.75" hidden="1" customHeight="1" x14ac:dyDescent="0.25">
      <c r="A1291" s="67">
        <v>9</v>
      </c>
      <c r="B1291" s="68">
        <v>1037449223</v>
      </c>
      <c r="C1291" s="68" t="s">
        <v>25340</v>
      </c>
      <c r="D1291" s="68" t="s">
        <v>25429</v>
      </c>
      <c r="E1291" s="68" t="s">
        <v>25035</v>
      </c>
      <c r="F1291" s="68" t="s">
        <v>25255</v>
      </c>
      <c r="G1291" s="81" t="s">
        <v>19285</v>
      </c>
      <c r="H1291" s="69">
        <v>45905</v>
      </c>
      <c r="I1291" s="69">
        <v>45906</v>
      </c>
      <c r="J1291" s="68">
        <v>2</v>
      </c>
      <c r="K1291" s="68">
        <v>2</v>
      </c>
      <c r="L1291" s="68" t="s">
        <v>24995</v>
      </c>
      <c r="M1291" s="68" t="s">
        <v>24995</v>
      </c>
      <c r="N1291" s="62" t="s">
        <v>19269</v>
      </c>
      <c r="O1291" s="68" t="s">
        <v>3576</v>
      </c>
      <c r="P1291" s="42" t="str">
        <f>+IF(O1291="","",IFERROR(VLOOKUP(O1291,CODIGO_DIAGNOSTICO,2,0),"CÓDIGO NO ENCONTRADO"))</f>
        <v>LARINGITIS AGUDA</v>
      </c>
      <c r="Q1291" s="68" t="s">
        <v>26059</v>
      </c>
      <c r="R1291" s="67"/>
      <c r="S1291" s="77"/>
      <c r="T1291" s="76"/>
      <c r="U1291" s="65"/>
      <c r="V1291" s="68"/>
      <c r="W1291" s="70"/>
      <c r="X1291" s="68"/>
      <c r="Y1291" s="70"/>
      <c r="Z1291" s="72"/>
    </row>
    <row r="1292" spans="1:26" ht="15.75" hidden="1" customHeight="1" x14ac:dyDescent="0.25">
      <c r="A1292" s="64">
        <v>9</v>
      </c>
      <c r="B1292" s="62">
        <v>98594342</v>
      </c>
      <c r="C1292" s="62" t="s">
        <v>25190</v>
      </c>
      <c r="D1292" s="62" t="s">
        <v>25164</v>
      </c>
      <c r="E1292" s="62" t="s">
        <v>25493</v>
      </c>
      <c r="F1292" s="62" t="s">
        <v>25020</v>
      </c>
      <c r="G1292" s="81" t="s">
        <v>19285</v>
      </c>
      <c r="H1292" s="63">
        <v>45907</v>
      </c>
      <c r="I1292" s="63">
        <v>45911</v>
      </c>
      <c r="J1292" s="62">
        <v>5</v>
      </c>
      <c r="K1292" s="62">
        <v>5</v>
      </c>
      <c r="L1292" s="62" t="s">
        <v>24995</v>
      </c>
      <c r="M1292" s="62" t="s">
        <v>24995</v>
      </c>
      <c r="N1292" s="62" t="s">
        <v>19269</v>
      </c>
      <c r="O1292" s="62" t="s">
        <v>7713</v>
      </c>
      <c r="P1292" s="42" t="str">
        <f>+IF(O1292="","",IFERROR(VLOOKUP(O1292,CODIGO_DIAGNOSTICO,2,0),"CÓDIGO NO ENCONTRADO"))</f>
        <v>CONTUSION DE LA RODILLA</v>
      </c>
      <c r="Q1292" s="62" t="s">
        <v>19232</v>
      </c>
      <c r="R1292" s="64"/>
      <c r="S1292" s="75"/>
      <c r="T1292" s="75"/>
      <c r="U1292" s="65"/>
      <c r="V1292" s="62"/>
      <c r="W1292" s="65"/>
      <c r="X1292" s="62"/>
      <c r="Y1292" s="65"/>
      <c r="Z1292" s="73"/>
    </row>
    <row r="1293" spans="1:26" ht="15.75" hidden="1" customHeight="1" x14ac:dyDescent="0.25">
      <c r="A1293" s="67">
        <v>9</v>
      </c>
      <c r="B1293" s="68">
        <v>1036682985</v>
      </c>
      <c r="C1293" s="68" t="s">
        <v>25002</v>
      </c>
      <c r="D1293" s="68" t="s">
        <v>26495</v>
      </c>
      <c r="E1293" s="68" t="s">
        <v>26496</v>
      </c>
      <c r="F1293" s="68" t="s">
        <v>25632</v>
      </c>
      <c r="G1293" s="81" t="s">
        <v>19285</v>
      </c>
      <c r="H1293" s="69">
        <v>45909</v>
      </c>
      <c r="I1293" s="69">
        <v>45911</v>
      </c>
      <c r="J1293" s="68">
        <v>3</v>
      </c>
      <c r="K1293" s="68">
        <v>3</v>
      </c>
      <c r="L1293" s="68" t="s">
        <v>24995</v>
      </c>
      <c r="M1293" s="68" t="s">
        <v>24995</v>
      </c>
      <c r="N1293" s="62" t="s">
        <v>19269</v>
      </c>
      <c r="O1293" s="68" t="s">
        <v>88</v>
      </c>
      <c r="P1293" s="42" t="str">
        <f>+IF(O1293="","",IFERROR(VLOOKUP(O1293,CODIGO_DIAGNOSTICO,2,0),"CÓDIGO NO ENCONTRADO"))</f>
        <v>DIARREA Y GASTROENTERITIS DE PRESUNTO ORIGEN INFECCIOSO</v>
      </c>
      <c r="Q1293" s="68" t="s">
        <v>19289</v>
      </c>
      <c r="R1293" s="67"/>
      <c r="S1293" s="77"/>
      <c r="T1293" s="76"/>
      <c r="U1293" s="65"/>
      <c r="V1293" s="68"/>
      <c r="W1293" s="70"/>
      <c r="X1293" s="68"/>
      <c r="Y1293" s="70"/>
      <c r="Z1293" s="72"/>
    </row>
    <row r="1294" spans="1:26" ht="15.75" hidden="1" customHeight="1" x14ac:dyDescent="0.25">
      <c r="A1294" s="64">
        <v>9</v>
      </c>
      <c r="B1294" s="62">
        <v>1042418175</v>
      </c>
      <c r="C1294" s="62" t="s">
        <v>25747</v>
      </c>
      <c r="D1294" s="62" t="s">
        <v>25964</v>
      </c>
      <c r="E1294" s="62" t="s">
        <v>25965</v>
      </c>
      <c r="F1294" s="62" t="s">
        <v>25966</v>
      </c>
      <c r="G1294" s="81" t="s">
        <v>19285</v>
      </c>
      <c r="H1294" s="63">
        <v>45909</v>
      </c>
      <c r="I1294" s="63">
        <v>45918</v>
      </c>
      <c r="J1294" s="62">
        <v>10</v>
      </c>
      <c r="K1294" s="62">
        <v>10</v>
      </c>
      <c r="L1294" s="62" t="s">
        <v>24995</v>
      </c>
      <c r="M1294" s="62" t="s">
        <v>24995</v>
      </c>
      <c r="N1294" s="62" t="s">
        <v>19269</v>
      </c>
      <c r="O1294" s="62" t="s">
        <v>5362</v>
      </c>
      <c r="P1294" s="42" t="str">
        <f>+IF(O1294="","",IFERROR(VLOOKUP(O1294,CODIGO_DIAGNOSTICO,2,0),"CÓDIGO NO ENCONTRADO"))</f>
        <v>OTRAS ENFERMEDADES INFLAMATORIAS PELVICAS FEMENINAS</v>
      </c>
      <c r="Q1294" s="62" t="s">
        <v>26339</v>
      </c>
      <c r="R1294" s="64"/>
      <c r="S1294" s="75"/>
      <c r="T1294" s="75"/>
      <c r="U1294" s="65"/>
      <c r="V1294" s="62"/>
      <c r="W1294" s="65"/>
      <c r="X1294" s="62"/>
      <c r="Y1294" s="65"/>
      <c r="Z1294" s="73"/>
    </row>
    <row r="1295" spans="1:26" ht="15.75" hidden="1" customHeight="1" x14ac:dyDescent="0.25">
      <c r="A1295" s="67">
        <v>9</v>
      </c>
      <c r="B1295" s="68">
        <v>43201943</v>
      </c>
      <c r="C1295" s="68" t="s">
        <v>25477</v>
      </c>
      <c r="D1295" s="68" t="s">
        <v>25181</v>
      </c>
      <c r="E1295" s="68" t="s">
        <v>25478</v>
      </c>
      <c r="F1295" s="68" t="s">
        <v>25479</v>
      </c>
      <c r="G1295" s="81" t="s">
        <v>19285</v>
      </c>
      <c r="H1295" s="69">
        <v>45912</v>
      </c>
      <c r="I1295" s="69">
        <v>45941</v>
      </c>
      <c r="J1295" s="68">
        <v>30</v>
      </c>
      <c r="K1295" s="68">
        <v>30</v>
      </c>
      <c r="L1295" s="68" t="s">
        <v>24995</v>
      </c>
      <c r="M1295" s="68" t="s">
        <v>19262</v>
      </c>
      <c r="N1295" s="62" t="s">
        <v>19269</v>
      </c>
      <c r="O1295" s="68" t="s">
        <v>1410</v>
      </c>
      <c r="P1295" s="42" t="str">
        <f>+IF(O1295="","",IFERROR(VLOOKUP(O1295,CODIGO_DIAGNOSTICO,2,0),"CÓDIGO NO ENCONTRADO"))</f>
        <v>LEIOMIOMA INTRAMURAL DEL UTERO</v>
      </c>
      <c r="Q1295" s="68" t="s">
        <v>26339</v>
      </c>
      <c r="R1295" s="67"/>
      <c r="S1295" s="77"/>
      <c r="T1295" s="76"/>
      <c r="U1295" s="65"/>
      <c r="V1295" s="68"/>
      <c r="W1295" s="70"/>
      <c r="X1295" s="68"/>
      <c r="Y1295" s="70"/>
      <c r="Z1295" s="72"/>
    </row>
    <row r="1296" spans="1:26" ht="15.75" hidden="1" customHeight="1" x14ac:dyDescent="0.25">
      <c r="A1296" s="64">
        <v>9</v>
      </c>
      <c r="B1296" s="62">
        <v>71676289</v>
      </c>
      <c r="C1296" s="62" t="s">
        <v>25702</v>
      </c>
      <c r="D1296" s="62" t="s">
        <v>25012</v>
      </c>
      <c r="E1296" s="62" t="s">
        <v>25016</v>
      </c>
      <c r="F1296" s="62" t="s">
        <v>25004</v>
      </c>
      <c r="G1296" s="81" t="s">
        <v>19285</v>
      </c>
      <c r="H1296" s="63">
        <v>45912</v>
      </c>
      <c r="I1296" s="63">
        <v>45941</v>
      </c>
      <c r="J1296" s="62">
        <v>30</v>
      </c>
      <c r="K1296" s="62">
        <v>30</v>
      </c>
      <c r="L1296" s="62" t="s">
        <v>19262</v>
      </c>
      <c r="M1296" s="62" t="s">
        <v>19262</v>
      </c>
      <c r="N1296" s="62" t="s">
        <v>19269</v>
      </c>
      <c r="O1296" s="62" t="s">
        <v>3483</v>
      </c>
      <c r="P1296" s="42" t="str">
        <f>+IF(O1296="","",IFERROR(VLOOKUP(O1296,CODIGO_DIAGNOSTICO,2,0),"CÓDIGO NO ENCONTRADO"))</f>
        <v>ESTRECHEZ ARTERIAL</v>
      </c>
      <c r="Q1296" s="62" t="s">
        <v>26498</v>
      </c>
      <c r="R1296" s="64"/>
      <c r="S1296" s="75"/>
      <c r="T1296" s="75"/>
      <c r="U1296" s="65"/>
      <c r="V1296" s="62"/>
      <c r="W1296" s="65"/>
      <c r="X1296" s="62"/>
      <c r="Y1296" s="65"/>
      <c r="Z1296" s="73"/>
    </row>
    <row r="1297" spans="1:26" ht="15.75" hidden="1" customHeight="1" x14ac:dyDescent="0.25">
      <c r="A1297" s="67">
        <v>9</v>
      </c>
      <c r="B1297" s="68">
        <v>1040754073</v>
      </c>
      <c r="C1297" s="68" t="s">
        <v>25569</v>
      </c>
      <c r="D1297" s="68" t="s">
        <v>25065</v>
      </c>
      <c r="E1297" s="68" t="s">
        <v>25596</v>
      </c>
      <c r="F1297" s="68" t="s">
        <v>26289</v>
      </c>
      <c r="G1297" s="81" t="s">
        <v>19285</v>
      </c>
      <c r="H1297" s="69">
        <v>45913</v>
      </c>
      <c r="I1297" s="69">
        <v>45913</v>
      </c>
      <c r="J1297" s="68">
        <v>1</v>
      </c>
      <c r="K1297" s="68">
        <v>1</v>
      </c>
      <c r="L1297" s="68" t="s">
        <v>24995</v>
      </c>
      <c r="M1297" s="68" t="s">
        <v>24995</v>
      </c>
      <c r="N1297" s="62" t="s">
        <v>19269</v>
      </c>
      <c r="O1297" s="68" t="s">
        <v>4048</v>
      </c>
      <c r="P1297" s="42" t="str">
        <f>+IF(O1297="","",IFERROR(VLOOKUP(O1297,CODIGO_DIAGNOSTICO,2,0),"CÓDIGO NO ENCONTRADO"))</f>
        <v>SINDROME DEL COLON IRRITABLE CON DIARREA</v>
      </c>
      <c r="Q1297" s="68" t="s">
        <v>24996</v>
      </c>
      <c r="R1297" s="67"/>
      <c r="S1297" s="77"/>
      <c r="T1297" s="76"/>
      <c r="U1297" s="65"/>
      <c r="V1297" s="68"/>
      <c r="W1297" s="70"/>
      <c r="X1297" s="68"/>
      <c r="Y1297" s="70"/>
      <c r="Z1297" s="72"/>
    </row>
    <row r="1298" spans="1:26" ht="15.75" hidden="1" customHeight="1" x14ac:dyDescent="0.25">
      <c r="A1298" s="64">
        <v>9</v>
      </c>
      <c r="B1298" s="62">
        <v>1028008211</v>
      </c>
      <c r="C1298" s="62" t="s">
        <v>25723</v>
      </c>
      <c r="D1298" s="62" t="s">
        <v>25587</v>
      </c>
      <c r="E1298" s="62" t="s">
        <v>26303</v>
      </c>
      <c r="F1298" s="62" t="s">
        <v>25092</v>
      </c>
      <c r="G1298" s="81" t="s">
        <v>19285</v>
      </c>
      <c r="H1298" s="63">
        <v>45914</v>
      </c>
      <c r="I1298" s="63">
        <v>45923</v>
      </c>
      <c r="J1298" s="62">
        <v>10</v>
      </c>
      <c r="K1298" s="62">
        <v>10</v>
      </c>
      <c r="L1298" s="62" t="s">
        <v>24995</v>
      </c>
      <c r="M1298" s="62" t="s">
        <v>24995</v>
      </c>
      <c r="N1298" s="62" t="s">
        <v>19269</v>
      </c>
      <c r="O1298" s="62" t="s">
        <v>1751</v>
      </c>
      <c r="P1298" s="42" t="str">
        <f>+IF(O1298="","",IFERROR(VLOOKUP(O1298,CODIGO_DIAGNOSTICO,2,0),"CÓDIGO NO ENCONTRADO"))</f>
        <v>DIABETES MELLITUS INSULINODEPENDIENTE CON CETOACIDOSIS</v>
      </c>
      <c r="Q1298" s="62" t="s">
        <v>26059</v>
      </c>
      <c r="R1298" s="64"/>
      <c r="S1298" s="75"/>
      <c r="T1298" s="75"/>
      <c r="U1298" s="65"/>
      <c r="V1298" s="62"/>
      <c r="W1298" s="65"/>
      <c r="X1298" s="62"/>
      <c r="Y1298" s="65"/>
      <c r="Z1298" s="73"/>
    </row>
    <row r="1299" spans="1:26" ht="15.75" hidden="1" customHeight="1" x14ac:dyDescent="0.25">
      <c r="A1299" s="67">
        <v>9</v>
      </c>
      <c r="B1299" s="68">
        <v>1038334649</v>
      </c>
      <c r="C1299" s="68" t="s">
        <v>25281</v>
      </c>
      <c r="D1299" s="68" t="s">
        <v>25456</v>
      </c>
      <c r="E1299" s="68" t="s">
        <v>25198</v>
      </c>
      <c r="F1299" s="68" t="s">
        <v>25010</v>
      </c>
      <c r="G1299" s="81" t="s">
        <v>19285</v>
      </c>
      <c r="H1299" s="69">
        <v>45915</v>
      </c>
      <c r="I1299" s="69">
        <v>45942</v>
      </c>
      <c r="J1299" s="68">
        <v>28</v>
      </c>
      <c r="K1299" s="68">
        <v>28</v>
      </c>
      <c r="L1299" s="68" t="s">
        <v>19262</v>
      </c>
      <c r="M1299" s="68" t="s">
        <v>19262</v>
      </c>
      <c r="N1299" s="62" t="s">
        <v>19269</v>
      </c>
      <c r="O1299" s="68" t="s">
        <v>7614</v>
      </c>
      <c r="P1299" s="42" t="str">
        <f>+IF(O1299="","",IFERROR(VLOOKUP(O1299,CODIGO_DIAGNOSTICO,2,0),"CÓDIGO NO ENCONTRADO"))</f>
        <v>FRACTURA DE OTROS HUESOS METACARPIANOS</v>
      </c>
      <c r="Q1299" s="68" t="s">
        <v>26059</v>
      </c>
      <c r="R1299" s="67"/>
      <c r="S1299" s="77"/>
      <c r="T1299" s="76"/>
      <c r="U1299" s="65"/>
      <c r="V1299" s="68"/>
      <c r="W1299" s="70"/>
      <c r="X1299" s="68"/>
      <c r="Y1299" s="70"/>
      <c r="Z1299" s="72"/>
    </row>
    <row r="1300" spans="1:26" ht="15.75" hidden="1" customHeight="1" x14ac:dyDescent="0.25">
      <c r="A1300" s="64">
        <v>9</v>
      </c>
      <c r="B1300" s="62">
        <v>98601485</v>
      </c>
      <c r="C1300" s="62" t="s">
        <v>25240</v>
      </c>
      <c r="D1300" s="62"/>
      <c r="E1300" s="62" t="s">
        <v>25241</v>
      </c>
      <c r="F1300" s="62" t="s">
        <v>24982</v>
      </c>
      <c r="G1300" s="81" t="s">
        <v>25328</v>
      </c>
      <c r="H1300" s="63">
        <v>45916</v>
      </c>
      <c r="I1300" s="63">
        <v>45930</v>
      </c>
      <c r="J1300" s="62">
        <v>15</v>
      </c>
      <c r="K1300" s="62">
        <v>15</v>
      </c>
      <c r="L1300" s="62" t="s">
        <v>19262</v>
      </c>
      <c r="M1300" s="62" t="s">
        <v>19262</v>
      </c>
      <c r="N1300" s="62" t="s">
        <v>19269</v>
      </c>
      <c r="O1300" s="62" t="s">
        <v>8419</v>
      </c>
      <c r="P1300" s="42" t="str">
        <f>+IF(O1300="","",IFERROR(VLOOKUP(O1300,CODIGO_DIAGNOSTICO,2,0),"CÓDIGO NO ENCONTRADO"))</f>
        <v>COMPLICACION MECANICA DE OTROS DISPOSITIVOS PROTESICOS, IMPLANTES E INJERTOS ORTOPEDICOS INTERNOS</v>
      </c>
      <c r="Q1300" s="62" t="s">
        <v>19230</v>
      </c>
      <c r="R1300" s="64"/>
      <c r="S1300" s="75"/>
      <c r="T1300" s="75"/>
      <c r="U1300" s="65"/>
      <c r="V1300" s="62"/>
      <c r="W1300" s="65"/>
      <c r="X1300" s="62"/>
      <c r="Y1300" s="65"/>
      <c r="Z1300" s="73"/>
    </row>
    <row r="1301" spans="1:26" ht="15.75" hidden="1" customHeight="1" x14ac:dyDescent="0.25">
      <c r="A1301" s="67">
        <v>9</v>
      </c>
      <c r="B1301" s="68">
        <v>1000633959</v>
      </c>
      <c r="C1301" s="68" t="s">
        <v>25523</v>
      </c>
      <c r="D1301" s="68" t="s">
        <v>25109</v>
      </c>
      <c r="E1301" s="68" t="s">
        <v>25010</v>
      </c>
      <c r="F1301" s="68" t="s">
        <v>25157</v>
      </c>
      <c r="G1301" s="81" t="s">
        <v>19285</v>
      </c>
      <c r="H1301" s="69">
        <v>45916</v>
      </c>
      <c r="I1301" s="69">
        <v>45917</v>
      </c>
      <c r="J1301" s="68">
        <v>2</v>
      </c>
      <c r="K1301" s="68">
        <v>2</v>
      </c>
      <c r="L1301" s="68" t="s">
        <v>24995</v>
      </c>
      <c r="M1301" s="68" t="s">
        <v>24995</v>
      </c>
      <c r="N1301" s="62" t="s">
        <v>19269</v>
      </c>
      <c r="O1301" s="68" t="s">
        <v>3583</v>
      </c>
      <c r="P1301" s="42" t="str">
        <f>+IF(O1301="","",IFERROR(VLOOKUP(O1301,CODIGO_DIAGNOSTICO,2,0),"CÓDIGO NO ENCONTRADO"))</f>
        <v>INFECCION AGUDA DE LAS VIAS RESPIRATORIAS SUPERIORES, NO ESPECIFICADA</v>
      </c>
      <c r="Q1301" s="68" t="s">
        <v>24996</v>
      </c>
      <c r="R1301" s="67"/>
      <c r="S1301" s="77"/>
      <c r="T1301" s="76"/>
      <c r="U1301" s="65"/>
      <c r="V1301" s="68"/>
      <c r="W1301" s="70"/>
      <c r="X1301" s="68"/>
      <c r="Y1301" s="70"/>
      <c r="Z1301" s="72"/>
    </row>
    <row r="1302" spans="1:26" ht="15.75" hidden="1" customHeight="1" x14ac:dyDescent="0.25">
      <c r="A1302" s="64">
        <v>9</v>
      </c>
      <c r="B1302" s="62">
        <v>80503831</v>
      </c>
      <c r="C1302" s="62" t="s">
        <v>25702</v>
      </c>
      <c r="D1302" s="62" t="s">
        <v>25726</v>
      </c>
      <c r="E1302" s="62" t="s">
        <v>26497</v>
      </c>
      <c r="F1302" s="62" t="s">
        <v>25010</v>
      </c>
      <c r="G1302" s="81" t="s">
        <v>19285</v>
      </c>
      <c r="H1302" s="63">
        <v>45916</v>
      </c>
      <c r="I1302" s="63">
        <v>45918</v>
      </c>
      <c r="J1302" s="62">
        <v>3</v>
      </c>
      <c r="K1302" s="62">
        <v>3</v>
      </c>
      <c r="L1302" s="62" t="s">
        <v>24995</v>
      </c>
      <c r="M1302" s="62" t="s">
        <v>24995</v>
      </c>
      <c r="N1302" s="62" t="s">
        <v>19269</v>
      </c>
      <c r="O1302" s="62" t="s">
        <v>3536</v>
      </c>
      <c r="P1302" s="42" t="str">
        <f>+IF(O1302="","",IFERROR(VLOOKUP(O1302,CODIGO_DIAGNOSTICO,2,0),"CÓDIGO NO ENCONTRADO"))</f>
        <v>INSUFICIENCIA VENOSA (CRONICA) (PERIFERICA)</v>
      </c>
      <c r="Q1302" s="62" t="s">
        <v>24976</v>
      </c>
      <c r="R1302" s="64"/>
      <c r="S1302" s="75"/>
      <c r="T1302" s="75"/>
      <c r="U1302" s="65"/>
      <c r="V1302" s="62"/>
      <c r="W1302" s="65"/>
      <c r="X1302" s="62"/>
      <c r="Y1302" s="65"/>
      <c r="Z1302" s="73"/>
    </row>
    <row r="1303" spans="1:26" ht="15.75" hidden="1" customHeight="1" x14ac:dyDescent="0.25">
      <c r="A1303" s="67">
        <v>9</v>
      </c>
      <c r="B1303" s="68">
        <v>1017149200</v>
      </c>
      <c r="C1303" s="68" t="s">
        <v>25083</v>
      </c>
      <c r="D1303" s="68" t="s">
        <v>25593</v>
      </c>
      <c r="E1303" s="68" t="s">
        <v>26481</v>
      </c>
      <c r="F1303" s="68" t="s">
        <v>25774</v>
      </c>
      <c r="G1303" s="81" t="s">
        <v>19285</v>
      </c>
      <c r="H1303" s="69">
        <v>45916</v>
      </c>
      <c r="I1303" s="69">
        <v>45930</v>
      </c>
      <c r="J1303" s="68">
        <v>15</v>
      </c>
      <c r="K1303" s="68">
        <v>15</v>
      </c>
      <c r="L1303" s="68" t="s">
        <v>24995</v>
      </c>
      <c r="M1303" s="68" t="s">
        <v>24995</v>
      </c>
      <c r="N1303" s="62" t="s">
        <v>19269</v>
      </c>
      <c r="O1303" s="68" t="s">
        <v>5851</v>
      </c>
      <c r="P1303" s="42" t="str">
        <f>+IF(O1303="","",IFERROR(VLOOKUP(O1303,CODIGO_DIAGNOSTICO,2,0),"CÓDIGO NO ENCONTRADO"))</f>
        <v>PARTO UNICO ESPONTANEO, PRESENTACION CEFALICA DE VERTICE</v>
      </c>
      <c r="Q1303" s="68" t="s">
        <v>19230</v>
      </c>
      <c r="R1303" s="67"/>
      <c r="S1303" s="77"/>
      <c r="T1303" s="76"/>
      <c r="U1303" s="65"/>
      <c r="V1303" s="68"/>
      <c r="W1303" s="70"/>
      <c r="X1303" s="68"/>
      <c r="Y1303" s="70"/>
      <c r="Z1303" s="72"/>
    </row>
    <row r="1304" spans="1:26" ht="15.75" hidden="1" customHeight="1" x14ac:dyDescent="0.25">
      <c r="A1304" s="64">
        <v>9</v>
      </c>
      <c r="B1304" s="62">
        <v>11936325</v>
      </c>
      <c r="C1304" s="62" t="s">
        <v>25105</v>
      </c>
      <c r="D1304" s="62" t="s">
        <v>25343</v>
      </c>
      <c r="E1304" s="62" t="s">
        <v>25282</v>
      </c>
      <c r="F1304" s="62" t="s">
        <v>25185</v>
      </c>
      <c r="G1304" s="81" t="s">
        <v>19285</v>
      </c>
      <c r="H1304" s="63">
        <v>45917</v>
      </c>
      <c r="I1304" s="63">
        <v>45919</v>
      </c>
      <c r="J1304" s="62">
        <v>3</v>
      </c>
      <c r="K1304" s="62">
        <v>3</v>
      </c>
      <c r="L1304" s="62" t="s">
        <v>24995</v>
      </c>
      <c r="M1304" s="62" t="s">
        <v>24995</v>
      </c>
      <c r="N1304" s="62" t="s">
        <v>19269</v>
      </c>
      <c r="O1304" s="62" t="s">
        <v>3698</v>
      </c>
      <c r="P1304" s="42" t="str">
        <f>+IF(O1304="","",IFERROR(VLOOKUP(O1304,CODIGO_DIAGNOSTICO,2,0),"CÓDIGO NO ENCONTRADO"))</f>
        <v>ESTADO ASMATICO</v>
      </c>
      <c r="Q1304" s="62" t="s">
        <v>26059</v>
      </c>
      <c r="R1304" s="64"/>
      <c r="S1304" s="75"/>
      <c r="T1304" s="75"/>
      <c r="U1304" s="65"/>
      <c r="V1304" s="62"/>
      <c r="W1304" s="65"/>
      <c r="X1304" s="62"/>
      <c r="Y1304" s="65"/>
      <c r="Z1304" s="73"/>
    </row>
    <row r="1305" spans="1:26" ht="15.75" hidden="1" customHeight="1" x14ac:dyDescent="0.25">
      <c r="A1305" s="67">
        <v>9</v>
      </c>
      <c r="B1305" s="68">
        <v>43986499</v>
      </c>
      <c r="C1305" s="68" t="s">
        <v>26326</v>
      </c>
      <c r="D1305" s="68" t="s">
        <v>25634</v>
      </c>
      <c r="E1305" s="68" t="s">
        <v>25855</v>
      </c>
      <c r="F1305" s="68" t="s">
        <v>25232</v>
      </c>
      <c r="G1305" s="81" t="s">
        <v>26499</v>
      </c>
      <c r="H1305" s="69">
        <v>45917</v>
      </c>
      <c r="I1305" s="69">
        <v>45936</v>
      </c>
      <c r="J1305" s="68">
        <v>20</v>
      </c>
      <c r="K1305" s="68">
        <v>20</v>
      </c>
      <c r="L1305" s="68" t="s">
        <v>24995</v>
      </c>
      <c r="M1305" s="68" t="s">
        <v>19262</v>
      </c>
      <c r="N1305" s="62" t="s">
        <v>19269</v>
      </c>
      <c r="O1305" s="68" t="s">
        <v>3114</v>
      </c>
      <c r="P1305" s="42" t="str">
        <f>+IF(O1305="","",IFERROR(VLOOKUP(O1305,CODIGO_DIAGNOSTICO,2,0),"CÓDIGO NO ENCONTRADO"))</f>
        <v>PERFORACION DE LA MEMBRANA TIMPANICA, SIN OTRA ESPECIFICACION</v>
      </c>
      <c r="Q1305" s="68" t="s">
        <v>24976</v>
      </c>
      <c r="R1305" s="67"/>
      <c r="S1305" s="77"/>
      <c r="T1305" s="76"/>
      <c r="U1305" s="65"/>
      <c r="V1305" s="68"/>
      <c r="W1305" s="70"/>
      <c r="X1305" s="68"/>
      <c r="Y1305" s="70"/>
      <c r="Z1305" s="72"/>
    </row>
    <row r="1306" spans="1:26" ht="15.75" hidden="1" customHeight="1" x14ac:dyDescent="0.25">
      <c r="A1306" s="64">
        <v>9</v>
      </c>
      <c r="B1306" s="62">
        <v>98715357</v>
      </c>
      <c r="C1306" s="62" t="s">
        <v>25224</v>
      </c>
      <c r="D1306" s="62" t="s">
        <v>24998</v>
      </c>
      <c r="E1306" s="62" t="s">
        <v>25130</v>
      </c>
      <c r="F1306" s="62" t="s">
        <v>25276</v>
      </c>
      <c r="G1306" s="81" t="s">
        <v>19285</v>
      </c>
      <c r="H1306" s="63">
        <v>45918</v>
      </c>
      <c r="I1306" s="63">
        <v>45918</v>
      </c>
      <c r="J1306" s="62">
        <v>1</v>
      </c>
      <c r="K1306" s="62">
        <v>1</v>
      </c>
      <c r="L1306" s="62" t="s">
        <v>24995</v>
      </c>
      <c r="M1306" s="62" t="s">
        <v>24995</v>
      </c>
      <c r="N1306" s="62" t="s">
        <v>19269</v>
      </c>
      <c r="O1306" s="62" t="s">
        <v>7062</v>
      </c>
      <c r="P1306" s="42" t="str">
        <f>+IF(O1306="","",IFERROR(VLOOKUP(O1306,CODIGO_DIAGNOSTICO,2,0),"CÓDIGO NO ENCONTRADO"))</f>
        <v>MALESTAR Y FATIGA</v>
      </c>
      <c r="Q1306" s="62" t="s">
        <v>26059</v>
      </c>
      <c r="R1306" s="64"/>
      <c r="S1306" s="75"/>
      <c r="T1306" s="75"/>
      <c r="U1306" s="65"/>
      <c r="V1306" s="62"/>
      <c r="W1306" s="65"/>
      <c r="X1306" s="62"/>
      <c r="Y1306" s="65"/>
      <c r="Z1306" s="73"/>
    </row>
    <row r="1307" spans="1:26" ht="15.75" hidden="1" customHeight="1" x14ac:dyDescent="0.25">
      <c r="A1307" s="67">
        <v>9</v>
      </c>
      <c r="B1307" s="68">
        <v>1214737996</v>
      </c>
      <c r="C1307" s="68" t="s">
        <v>25547</v>
      </c>
      <c r="D1307" s="68" t="s">
        <v>25969</v>
      </c>
      <c r="E1307" s="68" t="s">
        <v>26338</v>
      </c>
      <c r="F1307" s="68" t="s">
        <v>25060</v>
      </c>
      <c r="G1307" s="81" t="s">
        <v>19285</v>
      </c>
      <c r="H1307" s="69">
        <v>45918</v>
      </c>
      <c r="I1307" s="69">
        <v>45932</v>
      </c>
      <c r="J1307" s="68">
        <v>15</v>
      </c>
      <c r="K1307" s="68">
        <v>15</v>
      </c>
      <c r="L1307" s="68" t="s">
        <v>19262</v>
      </c>
      <c r="M1307" s="68" t="s">
        <v>19262</v>
      </c>
      <c r="N1307" s="62" t="s">
        <v>19269</v>
      </c>
      <c r="O1307" s="68" t="s">
        <v>4650</v>
      </c>
      <c r="P1307" s="42" t="str">
        <f>+IF(O1307="","",IFERROR(VLOOKUP(O1307,CODIGO_DIAGNOSTICO,2,0),"CÓDIGO NO ENCONTRADO"))</f>
        <v>GONARTROSIS, NO ESPECIFICADA</v>
      </c>
      <c r="Q1307" s="68" t="s">
        <v>26339</v>
      </c>
      <c r="R1307" s="67"/>
      <c r="S1307" s="77"/>
      <c r="T1307" s="76"/>
      <c r="U1307" s="65"/>
      <c r="V1307" s="68"/>
      <c r="W1307" s="70"/>
      <c r="X1307" s="68"/>
      <c r="Y1307" s="70"/>
      <c r="Z1307" s="72"/>
    </row>
    <row r="1308" spans="1:26" ht="15.75" hidden="1" customHeight="1" x14ac:dyDescent="0.25">
      <c r="A1308" s="64">
        <v>9</v>
      </c>
      <c r="B1308" s="62">
        <v>1040754073</v>
      </c>
      <c r="C1308" s="62" t="s">
        <v>25569</v>
      </c>
      <c r="D1308" s="62" t="s">
        <v>25065</v>
      </c>
      <c r="E1308" s="62" t="s">
        <v>25596</v>
      </c>
      <c r="F1308" s="62" t="s">
        <v>26289</v>
      </c>
      <c r="G1308" s="81" t="s">
        <v>19285</v>
      </c>
      <c r="H1308" s="63">
        <v>45921</v>
      </c>
      <c r="I1308" s="63">
        <v>45921</v>
      </c>
      <c r="J1308" s="62">
        <v>1</v>
      </c>
      <c r="K1308" s="62">
        <v>1</v>
      </c>
      <c r="L1308" s="62" t="s">
        <v>24995</v>
      </c>
      <c r="M1308" s="62" t="s">
        <v>24995</v>
      </c>
      <c r="N1308" s="62" t="s">
        <v>19269</v>
      </c>
      <c r="O1308" s="62" t="s">
        <v>4026</v>
      </c>
      <c r="P1308" s="42" t="str">
        <f>+IF(O1308="","",IFERROR(VLOOKUP(O1308,CODIGO_DIAGNOSTICO,2,0),"CÓDIGO NO ENCONTRADO"))</f>
        <v>COLITIS Y GASTROENTERITIS NO INFECCIOSAS, NO ESPECIFICADAS</v>
      </c>
      <c r="Q1308" s="62" t="s">
        <v>24996</v>
      </c>
      <c r="R1308" s="64"/>
      <c r="S1308" s="75"/>
      <c r="T1308" s="75"/>
      <c r="U1308" s="65"/>
      <c r="V1308" s="62"/>
      <c r="W1308" s="65"/>
      <c r="X1308" s="62"/>
      <c r="Y1308" s="65"/>
      <c r="Z1308" s="73"/>
    </row>
    <row r="1309" spans="1:26" ht="15.75" hidden="1" customHeight="1" x14ac:dyDescent="0.25">
      <c r="A1309" s="67">
        <v>9</v>
      </c>
      <c r="B1309" s="68">
        <v>70108742</v>
      </c>
      <c r="C1309" s="68" t="s">
        <v>25075</v>
      </c>
      <c r="D1309" s="68" t="s">
        <v>25510</v>
      </c>
      <c r="E1309" s="68" t="s">
        <v>25884</v>
      </c>
      <c r="F1309" s="68"/>
      <c r="G1309" s="81" t="s">
        <v>19285</v>
      </c>
      <c r="H1309" s="69">
        <v>45923</v>
      </c>
      <c r="I1309" s="69">
        <v>45923</v>
      </c>
      <c r="J1309" s="68">
        <v>1</v>
      </c>
      <c r="K1309" s="68">
        <v>1</v>
      </c>
      <c r="L1309" s="68" t="s">
        <v>24995</v>
      </c>
      <c r="M1309" s="68" t="s">
        <v>24995</v>
      </c>
      <c r="N1309" s="62" t="s">
        <v>19269</v>
      </c>
      <c r="O1309" s="68" t="s">
        <v>5279</v>
      </c>
      <c r="P1309" s="42" t="str">
        <f>+IF(O1309="","",IFERROR(VLOOKUP(O1309,CODIGO_DIAGNOSTICO,2,0),"CÓDIGO NO ENCONTRADO"))</f>
        <v>INFECCION DE VIAS URINARIAS, SITIO NO ESPECIFICADO</v>
      </c>
      <c r="Q1309" s="68" t="s">
        <v>26059</v>
      </c>
      <c r="R1309" s="67"/>
      <c r="S1309" s="77"/>
      <c r="T1309" s="76"/>
      <c r="U1309" s="65"/>
      <c r="V1309" s="68"/>
      <c r="W1309" s="70"/>
      <c r="X1309" s="68"/>
      <c r="Y1309" s="70"/>
      <c r="Z1309" s="72"/>
    </row>
    <row r="1310" spans="1:26" ht="15.75" hidden="1" customHeight="1" x14ac:dyDescent="0.25">
      <c r="A1310" s="64">
        <v>9</v>
      </c>
      <c r="B1310" s="62">
        <v>72296401</v>
      </c>
      <c r="C1310" s="62" t="s">
        <v>25484</v>
      </c>
      <c r="D1310" s="62" t="s">
        <v>25600</v>
      </c>
      <c r="E1310" s="62" t="s">
        <v>25358</v>
      </c>
      <c r="F1310" s="62" t="s">
        <v>25005</v>
      </c>
      <c r="G1310" s="81" t="s">
        <v>19285</v>
      </c>
      <c r="H1310" s="63">
        <v>45923</v>
      </c>
      <c r="I1310" s="63">
        <v>45933</v>
      </c>
      <c r="J1310" s="62">
        <v>11</v>
      </c>
      <c r="K1310" s="62">
        <v>11</v>
      </c>
      <c r="L1310" s="62" t="s">
        <v>24995</v>
      </c>
      <c r="M1310" s="62" t="s">
        <v>24995</v>
      </c>
      <c r="N1310" s="62" t="s">
        <v>19269</v>
      </c>
      <c r="O1310" s="62" t="s">
        <v>2850</v>
      </c>
      <c r="P1310" s="42" t="str">
        <f>+IF(O1310="","",IFERROR(VLOOKUP(O1310,CODIGO_DIAGNOSTICO,2,0),"CÓDIGO NO ENCONTRADO"))</f>
        <v>PTERIGION</v>
      </c>
      <c r="Q1310" s="62" t="s">
        <v>26059</v>
      </c>
      <c r="R1310" s="64"/>
      <c r="S1310" s="75"/>
      <c r="T1310" s="75"/>
      <c r="U1310" s="65"/>
      <c r="V1310" s="62"/>
      <c r="W1310" s="65"/>
      <c r="X1310" s="62"/>
      <c r="Y1310" s="65"/>
      <c r="Z1310" s="73"/>
    </row>
    <row r="1311" spans="1:26" ht="15.75" hidden="1" customHeight="1" x14ac:dyDescent="0.25">
      <c r="A1311" s="67">
        <v>9</v>
      </c>
      <c r="B1311" s="68">
        <v>70108742</v>
      </c>
      <c r="C1311" s="68" t="s">
        <v>25075</v>
      </c>
      <c r="D1311" s="68" t="s">
        <v>25510</v>
      </c>
      <c r="E1311" s="68" t="s">
        <v>25884</v>
      </c>
      <c r="F1311" s="68"/>
      <c r="G1311" s="81" t="s">
        <v>19285</v>
      </c>
      <c r="H1311" s="69">
        <v>45924</v>
      </c>
      <c r="I1311" s="69">
        <v>45933</v>
      </c>
      <c r="J1311" s="68">
        <v>10</v>
      </c>
      <c r="K1311" s="68">
        <v>10</v>
      </c>
      <c r="L1311" s="68" t="s">
        <v>19262</v>
      </c>
      <c r="M1311" s="68" t="s">
        <v>24995</v>
      </c>
      <c r="N1311" s="62" t="s">
        <v>19269</v>
      </c>
      <c r="O1311" s="68" t="s">
        <v>5279</v>
      </c>
      <c r="P1311" s="42" t="str">
        <f>+IF(O1311="","",IFERROR(VLOOKUP(O1311,CODIGO_DIAGNOSTICO,2,0),"CÓDIGO NO ENCONTRADO"))</f>
        <v>INFECCION DE VIAS URINARIAS, SITIO NO ESPECIFICADO</v>
      </c>
      <c r="Q1311" s="68" t="s">
        <v>26059</v>
      </c>
      <c r="R1311" s="67"/>
      <c r="S1311" s="77"/>
      <c r="T1311" s="76"/>
      <c r="U1311" s="65"/>
      <c r="V1311" s="68"/>
      <c r="W1311" s="70"/>
      <c r="X1311" s="68"/>
      <c r="Y1311" s="70"/>
      <c r="Z1311" s="72"/>
    </row>
    <row r="1312" spans="1:26" ht="15.75" hidden="1" customHeight="1" x14ac:dyDescent="0.25">
      <c r="A1312" s="64">
        <v>9</v>
      </c>
      <c r="B1312" s="62">
        <v>70252687</v>
      </c>
      <c r="C1312" s="62" t="s">
        <v>25340</v>
      </c>
      <c r="D1312" s="62" t="s">
        <v>24998</v>
      </c>
      <c r="E1312" s="62" t="s">
        <v>25359</v>
      </c>
      <c r="F1312" s="62" t="s">
        <v>25020</v>
      </c>
      <c r="G1312" s="81" t="s">
        <v>19285</v>
      </c>
      <c r="H1312" s="63">
        <v>45924</v>
      </c>
      <c r="I1312" s="63">
        <v>45953</v>
      </c>
      <c r="J1312" s="62">
        <v>30</v>
      </c>
      <c r="K1312" s="62">
        <v>30</v>
      </c>
      <c r="L1312" s="62" t="s">
        <v>19262</v>
      </c>
      <c r="M1312" s="62" t="s">
        <v>19262</v>
      </c>
      <c r="N1312" s="62" t="s">
        <v>19269</v>
      </c>
      <c r="O1312" s="62" t="s">
        <v>1073</v>
      </c>
      <c r="P1312" s="42" t="str">
        <f>+IF(O1312="","",IFERROR(VLOOKUP(O1312,CODIGO_DIAGNOSTICO,2,0),"CÓDIGO NO ENCONTRADO"))</f>
        <v>TUMOR MALIGNO DE LA PROSTATA</v>
      </c>
      <c r="Q1312" s="62" t="s">
        <v>26059</v>
      </c>
      <c r="R1312" s="64"/>
      <c r="S1312" s="75"/>
      <c r="T1312" s="75"/>
      <c r="U1312" s="65"/>
      <c r="V1312" s="62"/>
      <c r="W1312" s="65"/>
      <c r="X1312" s="62"/>
      <c r="Y1312" s="65"/>
      <c r="Z1312" s="73"/>
    </row>
    <row r="1313" spans="1:26" ht="15.75" hidden="1" customHeight="1" x14ac:dyDescent="0.25">
      <c r="A1313" s="67">
        <v>9</v>
      </c>
      <c r="B1313" s="68">
        <v>70108742</v>
      </c>
      <c r="C1313" s="68" t="s">
        <v>25075</v>
      </c>
      <c r="D1313" s="68" t="s">
        <v>25510</v>
      </c>
      <c r="E1313" s="68" t="s">
        <v>25884</v>
      </c>
      <c r="F1313" s="68"/>
      <c r="G1313" s="81" t="s">
        <v>19285</v>
      </c>
      <c r="H1313" s="69">
        <v>45924</v>
      </c>
      <c r="I1313" s="69">
        <v>45933</v>
      </c>
      <c r="J1313" s="68">
        <v>10</v>
      </c>
      <c r="K1313" s="68">
        <v>10</v>
      </c>
      <c r="L1313" s="68" t="s">
        <v>19262</v>
      </c>
      <c r="M1313" s="68" t="s">
        <v>24995</v>
      </c>
      <c r="N1313" s="62" t="s">
        <v>19269</v>
      </c>
      <c r="O1313" s="68" t="s">
        <v>5279</v>
      </c>
      <c r="P1313" s="42" t="str">
        <f>+IF(O1313="","",IFERROR(VLOOKUP(O1313,CODIGO_DIAGNOSTICO,2,0),"CÓDIGO NO ENCONTRADO"))</f>
        <v>INFECCION DE VIAS URINARIAS, SITIO NO ESPECIFICADO</v>
      </c>
      <c r="Q1313" s="68" t="s">
        <v>26059</v>
      </c>
      <c r="R1313" s="67"/>
      <c r="S1313" s="77"/>
      <c r="T1313" s="76"/>
      <c r="U1313" s="65"/>
      <c r="V1313" s="68"/>
      <c r="W1313" s="70"/>
      <c r="X1313" s="68"/>
      <c r="Y1313" s="70"/>
      <c r="Z1313" s="72"/>
    </row>
    <row r="1314" spans="1:26" ht="15.75" hidden="1" customHeight="1" x14ac:dyDescent="0.25">
      <c r="A1314" s="64">
        <v>9</v>
      </c>
      <c r="B1314" s="62">
        <v>1017192273</v>
      </c>
      <c r="C1314" s="62" t="s">
        <v>25921</v>
      </c>
      <c r="D1314" s="62" t="s">
        <v>25459</v>
      </c>
      <c r="E1314" s="62" t="s">
        <v>25676</v>
      </c>
      <c r="F1314" s="62" t="s">
        <v>25648</v>
      </c>
      <c r="G1314" s="81" t="s">
        <v>19285</v>
      </c>
      <c r="H1314" s="63">
        <v>45926</v>
      </c>
      <c r="I1314" s="63">
        <v>45927</v>
      </c>
      <c r="J1314" s="62">
        <v>2</v>
      </c>
      <c r="K1314" s="62">
        <v>2</v>
      </c>
      <c r="L1314" s="62" t="s">
        <v>24995</v>
      </c>
      <c r="M1314" s="62" t="s">
        <v>24995</v>
      </c>
      <c r="N1314" s="62" t="s">
        <v>19269</v>
      </c>
      <c r="O1314" s="62" t="s">
        <v>4858</v>
      </c>
      <c r="P1314" s="42" t="str">
        <f>+IF(O1314="","",IFERROR(VLOOKUP(O1314,CODIGO_DIAGNOSTICO,2,0),"CÓDIGO NO ENCONTRADO"))</f>
        <v>CONTRACTURA MUSCULAR</v>
      </c>
      <c r="Q1314" s="62" t="s">
        <v>26059</v>
      </c>
      <c r="R1314" s="64"/>
      <c r="S1314" s="75"/>
      <c r="T1314" s="75"/>
      <c r="U1314" s="65"/>
      <c r="V1314" s="62"/>
      <c r="W1314" s="65"/>
      <c r="X1314" s="62"/>
      <c r="Y1314" s="65"/>
      <c r="Z1314" s="73"/>
    </row>
    <row r="1315" spans="1:26" ht="15.75" hidden="1" customHeight="1" x14ac:dyDescent="0.25">
      <c r="A1315" s="67">
        <v>9</v>
      </c>
      <c r="B1315" s="68">
        <v>12625299</v>
      </c>
      <c r="C1315" s="68" t="s">
        <v>25321</v>
      </c>
      <c r="D1315" s="68" t="s">
        <v>25322</v>
      </c>
      <c r="E1315" s="68" t="s">
        <v>25323</v>
      </c>
      <c r="F1315" s="68" t="s">
        <v>25064</v>
      </c>
      <c r="G1315" s="81" t="s">
        <v>19285</v>
      </c>
      <c r="H1315" s="69">
        <v>45928</v>
      </c>
      <c r="I1315" s="69">
        <v>45942</v>
      </c>
      <c r="J1315" s="68">
        <v>15</v>
      </c>
      <c r="K1315" s="68">
        <v>15</v>
      </c>
      <c r="L1315" s="68" t="s">
        <v>19262</v>
      </c>
      <c r="M1315" s="68" t="s">
        <v>19262</v>
      </c>
      <c r="N1315" s="62" t="s">
        <v>19269</v>
      </c>
      <c r="O1315" s="68" t="s">
        <v>3284</v>
      </c>
      <c r="P1315" s="42" t="str">
        <f>+IF(O1315="","",IFERROR(VLOOKUP(O1315,CODIGO_DIAGNOSTICO,2,0),"CÓDIGO NO ENCONTRADO"))</f>
        <v>ENDOCARDITIS INFECCIOSA AGUDA Y SUBAGUDA</v>
      </c>
      <c r="Q1315" s="68" t="s">
        <v>26059</v>
      </c>
      <c r="R1315" s="67"/>
      <c r="S1315" s="77"/>
      <c r="T1315" s="76"/>
      <c r="U1315" s="65"/>
      <c r="V1315" s="68"/>
      <c r="W1315" s="70"/>
      <c r="X1315" s="68"/>
      <c r="Y1315" s="70"/>
      <c r="Z1315" s="72"/>
    </row>
    <row r="1316" spans="1:26" ht="15.75" hidden="1" customHeight="1" x14ac:dyDescent="0.25">
      <c r="A1316" s="64">
        <v>9</v>
      </c>
      <c r="B1316" s="62">
        <v>32143746</v>
      </c>
      <c r="C1316" s="62" t="s">
        <v>25281</v>
      </c>
      <c r="D1316" s="62" t="s">
        <v>25034</v>
      </c>
      <c r="E1316" s="62" t="s">
        <v>26070</v>
      </c>
      <c r="F1316" s="62" t="s">
        <v>26071</v>
      </c>
      <c r="G1316" s="81" t="s">
        <v>19285</v>
      </c>
      <c r="H1316" s="63">
        <v>45929</v>
      </c>
      <c r="I1316" s="63">
        <v>45930</v>
      </c>
      <c r="J1316" s="62">
        <v>2</v>
      </c>
      <c r="K1316" s="62">
        <v>2</v>
      </c>
      <c r="L1316" s="62" t="s">
        <v>24995</v>
      </c>
      <c r="M1316" s="62" t="s">
        <v>24995</v>
      </c>
      <c r="N1316" s="62" t="s">
        <v>19269</v>
      </c>
      <c r="O1316" s="62" t="s">
        <v>85</v>
      </c>
      <c r="P1316" s="42" t="str">
        <f>+IF(O1316="","",IFERROR(VLOOKUP(O1316,CODIGO_DIAGNOSTICO,2,0),"CÓDIGO NO ENCONTRADO"))</f>
        <v>OTRAS ENTERITIS VIRALES</v>
      </c>
      <c r="Q1316" s="62" t="s">
        <v>26059</v>
      </c>
      <c r="R1316" s="64"/>
      <c r="S1316" s="75"/>
      <c r="T1316" s="75"/>
      <c r="U1316" s="65"/>
      <c r="V1316" s="62"/>
      <c r="W1316" s="65"/>
      <c r="X1316" s="62"/>
      <c r="Y1316" s="65"/>
      <c r="Z1316" s="73"/>
    </row>
    <row r="1317" spans="1:26" ht="15.75" hidden="1" customHeight="1" x14ac:dyDescent="0.25">
      <c r="A1317" s="67">
        <v>10</v>
      </c>
      <c r="B1317" s="68">
        <v>98601485</v>
      </c>
      <c r="C1317" s="68" t="s">
        <v>25240</v>
      </c>
      <c r="D1317" s="68"/>
      <c r="E1317" s="68" t="s">
        <v>25241</v>
      </c>
      <c r="F1317" s="68" t="s">
        <v>24982</v>
      </c>
      <c r="G1317" s="81" t="s">
        <v>25328</v>
      </c>
      <c r="H1317" s="69">
        <v>45931</v>
      </c>
      <c r="I1317" s="69">
        <v>45960</v>
      </c>
      <c r="J1317" s="68">
        <v>30</v>
      </c>
      <c r="K1317" s="68">
        <v>30</v>
      </c>
      <c r="L1317" s="68" t="s">
        <v>19262</v>
      </c>
      <c r="M1317" s="68" t="s">
        <v>19262</v>
      </c>
      <c r="N1317" s="62" t="s">
        <v>19269</v>
      </c>
      <c r="O1317" s="68" t="s">
        <v>8419</v>
      </c>
      <c r="P1317" s="42" t="str">
        <f>+IF(O1317="","",IFERROR(VLOOKUP(O1317,CODIGO_DIAGNOSTICO,2,0),"CÓDIGO NO ENCONTRADO"))</f>
        <v>COMPLICACION MECANICA DE OTROS DISPOSITIVOS PROTESICOS, IMPLANTES E INJERTOS ORTOPEDICOS INTERNOS</v>
      </c>
      <c r="Q1317" s="68" t="s">
        <v>26059</v>
      </c>
      <c r="R1317" s="67"/>
      <c r="S1317" s="77"/>
      <c r="T1317" s="76"/>
      <c r="U1317" s="65"/>
      <c r="V1317" s="68"/>
      <c r="W1317" s="70"/>
      <c r="X1317" s="68"/>
      <c r="Y1317" s="70"/>
      <c r="Z1317" s="72"/>
    </row>
    <row r="1318" spans="1:26" ht="15.75" hidden="1" customHeight="1" x14ac:dyDescent="0.25">
      <c r="A1318" s="64">
        <v>10</v>
      </c>
      <c r="B1318" s="62">
        <v>1017149200</v>
      </c>
      <c r="C1318" s="62" t="s">
        <v>25083</v>
      </c>
      <c r="D1318" s="62" t="s">
        <v>25593</v>
      </c>
      <c r="E1318" s="62" t="s">
        <v>26481</v>
      </c>
      <c r="F1318" s="62" t="s">
        <v>25774</v>
      </c>
      <c r="G1318" s="81" t="s">
        <v>19285</v>
      </c>
      <c r="H1318" s="63">
        <v>45931</v>
      </c>
      <c r="I1318" s="63">
        <v>45961</v>
      </c>
      <c r="J1318" s="62">
        <v>31</v>
      </c>
      <c r="K1318" s="62">
        <v>31</v>
      </c>
      <c r="L1318" s="62" t="s">
        <v>24995</v>
      </c>
      <c r="M1318" s="62" t="s">
        <v>24995</v>
      </c>
      <c r="N1318" s="62" t="s">
        <v>19269</v>
      </c>
      <c r="O1318" s="62" t="s">
        <v>5851</v>
      </c>
      <c r="P1318" s="42" t="str">
        <f>+IF(O1318="","",IFERROR(VLOOKUP(O1318,CODIGO_DIAGNOSTICO,2,0),"CÓDIGO NO ENCONTRADO"))</f>
        <v>PARTO UNICO ESPONTANEO, PRESENTACION CEFALICA DE VERTICE</v>
      </c>
      <c r="Q1318" s="62" t="s">
        <v>19230</v>
      </c>
      <c r="R1318" s="64"/>
      <c r="S1318" s="75"/>
      <c r="T1318" s="75"/>
      <c r="U1318" s="65"/>
      <c r="V1318" s="62"/>
      <c r="W1318" s="65"/>
      <c r="X1318" s="62"/>
      <c r="Y1318" s="65"/>
      <c r="Z1318" s="73"/>
    </row>
    <row r="1319" spans="1:26" ht="15.75" hidden="1" customHeight="1" x14ac:dyDescent="0.25">
      <c r="A1319" s="67">
        <v>10</v>
      </c>
      <c r="B1319" s="68">
        <v>1041150055</v>
      </c>
      <c r="C1319" s="68" t="s">
        <v>25409</v>
      </c>
      <c r="D1319" s="68" t="s">
        <v>25523</v>
      </c>
      <c r="E1319" s="68" t="s">
        <v>26374</v>
      </c>
      <c r="F1319" s="68"/>
      <c r="G1319" s="81" t="s">
        <v>19285</v>
      </c>
      <c r="H1319" s="69">
        <v>45931</v>
      </c>
      <c r="I1319" s="69">
        <v>45932</v>
      </c>
      <c r="J1319" s="68">
        <v>2</v>
      </c>
      <c r="K1319" s="68">
        <v>2</v>
      </c>
      <c r="L1319" s="68" t="s">
        <v>24995</v>
      </c>
      <c r="M1319" s="68" t="s">
        <v>24995</v>
      </c>
      <c r="N1319" s="62" t="s">
        <v>19269</v>
      </c>
      <c r="O1319" s="68" t="s">
        <v>2590</v>
      </c>
      <c r="P1319" s="42" t="str">
        <f>+IF(O1319="","",IFERROR(VLOOKUP(O1319,CODIGO_DIAGNOSTICO,2,0),"CÓDIGO NO ENCONTRADO"))</f>
        <v>ESTADO MIGRAÑOSO</v>
      </c>
      <c r="Q1319" s="68" t="s">
        <v>19230</v>
      </c>
      <c r="R1319" s="67"/>
      <c r="S1319" s="77"/>
      <c r="T1319" s="76"/>
      <c r="U1319" s="65"/>
      <c r="V1319" s="68"/>
      <c r="W1319" s="70"/>
      <c r="X1319" s="68"/>
      <c r="Y1319" s="70"/>
      <c r="Z1319" s="72"/>
    </row>
    <row r="1320" spans="1:26" ht="15.75" hidden="1" customHeight="1" x14ac:dyDescent="0.25">
      <c r="A1320" s="64">
        <v>10</v>
      </c>
      <c r="B1320" s="62">
        <v>71681366</v>
      </c>
      <c r="C1320" s="62" t="s">
        <v>25523</v>
      </c>
      <c r="D1320" s="62" t="s">
        <v>25459</v>
      </c>
      <c r="E1320" s="62" t="s">
        <v>25130</v>
      </c>
      <c r="F1320" s="62" t="s">
        <v>25213</v>
      </c>
      <c r="G1320" s="81" t="s">
        <v>19285</v>
      </c>
      <c r="H1320" s="63">
        <v>45932</v>
      </c>
      <c r="I1320" s="63">
        <v>45933</v>
      </c>
      <c r="J1320" s="62">
        <v>2</v>
      </c>
      <c r="K1320" s="62">
        <v>2</v>
      </c>
      <c r="L1320" s="62" t="s">
        <v>24995</v>
      </c>
      <c r="M1320" s="62" t="s">
        <v>24995</v>
      </c>
      <c r="N1320" s="62" t="s">
        <v>19263</v>
      </c>
      <c r="O1320" s="62" t="s">
        <v>7796</v>
      </c>
      <c r="P1320" s="42" t="str">
        <f>+IF(O1320="","",IFERROR(VLOOKUP(O1320,CODIGO_DIAGNOSTICO,2,0),"CÓDIGO NO ENCONTRADO"))</f>
        <v>ESGUINCES Y TORCEDURAS DE OTROS SITIOS Y DE LOS NO ESPECIFICADOS DEL PIE</v>
      </c>
      <c r="Q1320" s="62" t="s">
        <v>25001</v>
      </c>
      <c r="R1320" s="64"/>
      <c r="S1320" s="75"/>
      <c r="T1320" s="75"/>
      <c r="U1320" s="65"/>
      <c r="V1320" s="62"/>
      <c r="W1320" s="65"/>
      <c r="X1320" s="62"/>
      <c r="Y1320" s="65"/>
      <c r="Z1320" s="73"/>
    </row>
    <row r="1321" spans="1:26" ht="15.75" hidden="1" customHeight="1" x14ac:dyDescent="0.25">
      <c r="A1321" s="67">
        <v>10</v>
      </c>
      <c r="B1321" s="68">
        <v>1007382155</v>
      </c>
      <c r="C1321" s="68" t="s">
        <v>25046</v>
      </c>
      <c r="D1321" s="68" t="s">
        <v>25372</v>
      </c>
      <c r="E1321" s="68" t="s">
        <v>25282</v>
      </c>
      <c r="F1321" s="68" t="s">
        <v>25185</v>
      </c>
      <c r="G1321" s="81" t="s">
        <v>19285</v>
      </c>
      <c r="H1321" s="69">
        <v>45933</v>
      </c>
      <c r="I1321" s="69">
        <v>45935</v>
      </c>
      <c r="J1321" s="68">
        <v>3</v>
      </c>
      <c r="K1321" s="68">
        <v>3</v>
      </c>
      <c r="L1321" s="68" t="s">
        <v>24995</v>
      </c>
      <c r="M1321" s="68" t="s">
        <v>24995</v>
      </c>
      <c r="N1321" s="62" t="s">
        <v>19269</v>
      </c>
      <c r="O1321" s="68" t="s">
        <v>4218</v>
      </c>
      <c r="P1321" s="42" t="str">
        <f>+IF(O1321="","",IFERROR(VLOOKUP(O1321,CODIGO_DIAGNOSTICO,2,0),"CÓDIGO NO ENCONTRADO"))</f>
        <v>CELULITIS DE LA CARA</v>
      </c>
      <c r="Q1321" s="68" t="s">
        <v>26059</v>
      </c>
      <c r="R1321" s="67"/>
      <c r="S1321" s="77"/>
      <c r="T1321" s="76"/>
      <c r="U1321" s="65"/>
      <c r="V1321" s="68"/>
      <c r="W1321" s="70"/>
      <c r="X1321" s="68"/>
      <c r="Y1321" s="70"/>
      <c r="Z1321" s="72"/>
    </row>
    <row r="1322" spans="1:26" ht="15.75" hidden="1" customHeight="1" x14ac:dyDescent="0.25">
      <c r="A1322" s="64">
        <v>10</v>
      </c>
      <c r="B1322" s="62">
        <v>1214737996</v>
      </c>
      <c r="C1322" s="62" t="s">
        <v>25547</v>
      </c>
      <c r="D1322" s="62" t="s">
        <v>25969</v>
      </c>
      <c r="E1322" s="62" t="s">
        <v>26338</v>
      </c>
      <c r="F1322" s="62" t="s">
        <v>25060</v>
      </c>
      <c r="G1322" s="81" t="s">
        <v>19285</v>
      </c>
      <c r="H1322" s="63">
        <v>45933</v>
      </c>
      <c r="I1322" s="63">
        <v>45947</v>
      </c>
      <c r="J1322" s="62">
        <v>15</v>
      </c>
      <c r="K1322" s="62">
        <v>15</v>
      </c>
      <c r="L1322" s="62" t="s">
        <v>24995</v>
      </c>
      <c r="M1322" s="62" t="s">
        <v>19262</v>
      </c>
      <c r="N1322" s="62" t="s">
        <v>19269</v>
      </c>
      <c r="O1322" s="62" t="s">
        <v>7723</v>
      </c>
      <c r="P1322" s="42" t="str">
        <f>+IF(O1322="","",IFERROR(VLOOKUP(O1322,CODIGO_DIAGNOSTICO,2,0),"CÓDIGO NO ENCONTRADO"))</f>
        <v>FRACTURA DE LA EPIFISIS SUPERIOR DE LA TIBIA</v>
      </c>
      <c r="Q1322" s="62" t="s">
        <v>26339</v>
      </c>
      <c r="R1322" s="64"/>
      <c r="S1322" s="75"/>
      <c r="T1322" s="75"/>
      <c r="U1322" s="65"/>
      <c r="V1322" s="62"/>
      <c r="W1322" s="65"/>
      <c r="X1322" s="62"/>
      <c r="Y1322" s="65"/>
      <c r="Z1322" s="73"/>
    </row>
    <row r="1323" spans="1:26" ht="15.75" hidden="1" customHeight="1" x14ac:dyDescent="0.25">
      <c r="A1323" s="67">
        <v>10</v>
      </c>
      <c r="B1323" s="68">
        <v>70108742</v>
      </c>
      <c r="C1323" s="68" t="s">
        <v>25075</v>
      </c>
      <c r="D1323" s="68" t="s">
        <v>25510</v>
      </c>
      <c r="E1323" s="68" t="s">
        <v>25884</v>
      </c>
      <c r="F1323" s="68"/>
      <c r="G1323" s="81" t="s">
        <v>19285</v>
      </c>
      <c r="H1323" s="69">
        <v>45934</v>
      </c>
      <c r="I1323" s="69">
        <v>45936</v>
      </c>
      <c r="J1323" s="68">
        <v>3</v>
      </c>
      <c r="K1323" s="68">
        <v>3</v>
      </c>
      <c r="L1323" s="68" t="s">
        <v>19262</v>
      </c>
      <c r="M1323" s="68" t="s">
        <v>24995</v>
      </c>
      <c r="N1323" s="62" t="s">
        <v>19269</v>
      </c>
      <c r="O1323" s="68" t="s">
        <v>5279</v>
      </c>
      <c r="P1323" s="42" t="str">
        <f>+IF(O1323="","",IFERROR(VLOOKUP(O1323,CODIGO_DIAGNOSTICO,2,0),"CÓDIGO NO ENCONTRADO"))</f>
        <v>INFECCION DE VIAS URINARIAS, SITIO NO ESPECIFICADO</v>
      </c>
      <c r="Q1323" s="68" t="s">
        <v>26059</v>
      </c>
      <c r="R1323" s="67"/>
      <c r="S1323" s="77"/>
      <c r="T1323" s="76"/>
      <c r="U1323" s="65"/>
      <c r="V1323" s="68"/>
      <c r="W1323" s="70"/>
      <c r="X1323" s="68"/>
      <c r="Y1323" s="70"/>
      <c r="Z1323" s="72"/>
    </row>
    <row r="1324" spans="1:26" ht="15.75" hidden="1" customHeight="1" x14ac:dyDescent="0.25">
      <c r="A1324" s="64">
        <v>10</v>
      </c>
      <c r="B1324" s="62">
        <v>39189119</v>
      </c>
      <c r="C1324" s="62" t="s">
        <v>19258</v>
      </c>
      <c r="D1324" s="62" t="s">
        <v>25990</v>
      </c>
      <c r="E1324" s="62" t="s">
        <v>26396</v>
      </c>
      <c r="F1324" s="62" t="s">
        <v>25232</v>
      </c>
      <c r="G1324" s="81" t="s">
        <v>19285</v>
      </c>
      <c r="H1324" s="63">
        <v>45936</v>
      </c>
      <c r="I1324" s="63">
        <v>45937</v>
      </c>
      <c r="J1324" s="62">
        <v>2</v>
      </c>
      <c r="K1324" s="62">
        <v>2</v>
      </c>
      <c r="L1324" s="62" t="s">
        <v>24995</v>
      </c>
      <c r="M1324" s="62" t="s">
        <v>24995</v>
      </c>
      <c r="N1324" s="62" t="s">
        <v>19269</v>
      </c>
      <c r="O1324" s="62" t="s">
        <v>85</v>
      </c>
      <c r="P1324" s="42" t="str">
        <f>+IF(O1324="","",IFERROR(VLOOKUP(O1324,CODIGO_DIAGNOSTICO,2,0),"CÓDIGO NO ENCONTRADO"))</f>
        <v>OTRAS ENTERITIS VIRALES</v>
      </c>
      <c r="Q1324" s="62" t="s">
        <v>26059</v>
      </c>
      <c r="R1324" s="64"/>
      <c r="S1324" s="75"/>
      <c r="T1324" s="75"/>
      <c r="U1324" s="65"/>
      <c r="V1324" s="62"/>
      <c r="W1324" s="65"/>
      <c r="X1324" s="62"/>
      <c r="Y1324" s="65"/>
      <c r="Z1324" s="73"/>
    </row>
    <row r="1325" spans="1:26" ht="15.75" hidden="1" customHeight="1" x14ac:dyDescent="0.25">
      <c r="A1325" s="67">
        <v>10</v>
      </c>
      <c r="B1325" s="68">
        <v>10169639</v>
      </c>
      <c r="C1325" s="68" t="s">
        <v>26069</v>
      </c>
      <c r="D1325" s="68" t="s">
        <v>25053</v>
      </c>
      <c r="E1325" s="68" t="s">
        <v>26150</v>
      </c>
      <c r="F1325" s="68" t="s">
        <v>24986</v>
      </c>
      <c r="G1325" s="81" t="s">
        <v>19285</v>
      </c>
      <c r="H1325" s="69">
        <v>45941</v>
      </c>
      <c r="I1325" s="69">
        <v>45944</v>
      </c>
      <c r="J1325" s="68">
        <v>4</v>
      </c>
      <c r="K1325" s="68">
        <v>4</v>
      </c>
      <c r="L1325" s="68" t="s">
        <v>24995</v>
      </c>
      <c r="M1325" s="68" t="s">
        <v>19262</v>
      </c>
      <c r="N1325" s="62" t="s">
        <v>19269</v>
      </c>
      <c r="O1325" s="68" t="s">
        <v>3997</v>
      </c>
      <c r="P1325" s="42" t="str">
        <f>+IF(O1325="","",IFERROR(VLOOKUP(O1325,CODIGO_DIAGNOSTICO,2,0),"CÓDIGO NO ENCONTRADO"))</f>
        <v>HERNIA UMBILICAL SIN OBSTRUCCION NI GANGRENA</v>
      </c>
      <c r="Q1325" s="68" t="s">
        <v>26059</v>
      </c>
      <c r="R1325" s="67"/>
      <c r="S1325" s="77"/>
      <c r="T1325" s="76"/>
      <c r="U1325" s="65"/>
      <c r="V1325" s="68"/>
      <c r="W1325" s="70"/>
      <c r="X1325" s="68"/>
      <c r="Y1325" s="70"/>
      <c r="Z1325" s="72"/>
    </row>
    <row r="1326" spans="1:26" ht="15.75" hidden="1" customHeight="1" x14ac:dyDescent="0.25">
      <c r="A1326" s="64">
        <v>10</v>
      </c>
      <c r="B1326" s="62">
        <v>1039758945</v>
      </c>
      <c r="C1326" s="62" t="s">
        <v>25197</v>
      </c>
      <c r="D1326" s="62" t="s">
        <v>25723</v>
      </c>
      <c r="E1326" s="62" t="s">
        <v>25110</v>
      </c>
      <c r="F1326" s="62" t="s">
        <v>24982</v>
      </c>
      <c r="G1326" s="81" t="s">
        <v>19285</v>
      </c>
      <c r="H1326" s="63">
        <v>45942</v>
      </c>
      <c r="I1326" s="63">
        <v>45942</v>
      </c>
      <c r="J1326" s="62">
        <v>1</v>
      </c>
      <c r="K1326" s="62">
        <v>1</v>
      </c>
      <c r="L1326" s="62" t="s">
        <v>24995</v>
      </c>
      <c r="M1326" s="62" t="s">
        <v>24995</v>
      </c>
      <c r="N1326" s="62" t="s">
        <v>19269</v>
      </c>
      <c r="O1326" s="62" t="s">
        <v>15281</v>
      </c>
      <c r="P1326" s="42" t="str">
        <f>+IF(O1326="","",IFERROR(VLOOKUP(O1326,CODIGO_DIAGNOSTICO,2,0),"CÓDIGO NO ENCONTRADO"))</f>
        <v>RINOFARINGITIS AGUDA (RESFRIADO COMUN)</v>
      </c>
      <c r="Q1326" s="62" t="s">
        <v>26059</v>
      </c>
      <c r="R1326" s="64"/>
      <c r="S1326" s="75"/>
      <c r="T1326" s="75"/>
      <c r="U1326" s="65"/>
      <c r="V1326" s="62"/>
      <c r="W1326" s="65"/>
      <c r="X1326" s="62"/>
      <c r="Y1326" s="65"/>
      <c r="Z1326" s="73"/>
    </row>
    <row r="1327" spans="1:26" ht="15.75" hidden="1" customHeight="1" x14ac:dyDescent="0.25">
      <c r="A1327" s="67">
        <v>10</v>
      </c>
      <c r="B1327" s="68">
        <v>71676289</v>
      </c>
      <c r="C1327" s="68" t="s">
        <v>25702</v>
      </c>
      <c r="D1327" s="68" t="s">
        <v>25012</v>
      </c>
      <c r="E1327" s="68" t="s">
        <v>25016</v>
      </c>
      <c r="F1327" s="68" t="s">
        <v>25004</v>
      </c>
      <c r="G1327" s="81" t="s">
        <v>19285</v>
      </c>
      <c r="H1327" s="69">
        <v>45942</v>
      </c>
      <c r="I1327" s="69">
        <v>45961</v>
      </c>
      <c r="J1327" s="68">
        <v>20</v>
      </c>
      <c r="K1327" s="68">
        <v>20</v>
      </c>
      <c r="L1327" s="68" t="s">
        <v>19262</v>
      </c>
      <c r="M1327" s="68" t="s">
        <v>19262</v>
      </c>
      <c r="N1327" s="62" t="s">
        <v>19269</v>
      </c>
      <c r="O1327" s="68" t="s">
        <v>3483</v>
      </c>
      <c r="P1327" s="42" t="str">
        <f>+IF(O1327="","",IFERROR(VLOOKUP(O1327,CODIGO_DIAGNOSTICO,2,0),"CÓDIGO NO ENCONTRADO"))</f>
        <v>ESTRECHEZ ARTERIAL</v>
      </c>
      <c r="Q1327" s="68" t="s">
        <v>26059</v>
      </c>
      <c r="R1327" s="67"/>
      <c r="S1327" s="77"/>
      <c r="T1327" s="76"/>
      <c r="U1327" s="65"/>
      <c r="V1327" s="68"/>
      <c r="W1327" s="70"/>
      <c r="X1327" s="68"/>
      <c r="Y1327" s="70"/>
      <c r="Z1327" s="72"/>
    </row>
    <row r="1328" spans="1:26" ht="15.75" hidden="1" customHeight="1" x14ac:dyDescent="0.25">
      <c r="A1328" s="64">
        <v>10</v>
      </c>
      <c r="B1328" s="62">
        <v>1128467712</v>
      </c>
      <c r="C1328" s="62" t="s">
        <v>25456</v>
      </c>
      <c r="D1328" s="62" t="s">
        <v>19258</v>
      </c>
      <c r="E1328" s="62" t="s">
        <v>25879</v>
      </c>
      <c r="F1328" s="62" t="s">
        <v>25880</v>
      </c>
      <c r="G1328" s="81" t="s">
        <v>26047</v>
      </c>
      <c r="H1328" s="63">
        <v>45945</v>
      </c>
      <c r="I1328" s="63">
        <v>45954</v>
      </c>
      <c r="J1328" s="62">
        <v>10</v>
      </c>
      <c r="K1328" s="62">
        <v>10</v>
      </c>
      <c r="L1328" s="62" t="s">
        <v>24995</v>
      </c>
      <c r="M1328" s="62" t="s">
        <v>24995</v>
      </c>
      <c r="N1328" s="62" t="s">
        <v>19269</v>
      </c>
      <c r="O1328" s="62" t="s">
        <v>2619</v>
      </c>
      <c r="P1328" s="42" t="str">
        <f>+IF(O1328="","",IFERROR(VLOOKUP(O1328,CODIGO_DIAGNOSTICO,2,0),"CÓDIGO NO ENCONTRADO"))</f>
        <v>APNEA DEL SUEÑO</v>
      </c>
      <c r="Q1328" s="62" t="s">
        <v>26059</v>
      </c>
      <c r="R1328" s="64"/>
      <c r="S1328" s="75"/>
      <c r="T1328" s="75"/>
      <c r="U1328" s="65"/>
      <c r="V1328" s="62"/>
      <c r="W1328" s="65"/>
      <c r="X1328" s="62"/>
      <c r="Y1328" s="65"/>
      <c r="Z1328" s="73"/>
    </row>
    <row r="1329" spans="1:26" ht="15.75" hidden="1" customHeight="1" x14ac:dyDescent="0.25">
      <c r="A1329" s="67">
        <v>10</v>
      </c>
      <c r="B1329" s="68">
        <v>10169639</v>
      </c>
      <c r="C1329" s="68" t="s">
        <v>26069</v>
      </c>
      <c r="D1329" s="68" t="s">
        <v>25053</v>
      </c>
      <c r="E1329" s="68" t="s">
        <v>26150</v>
      </c>
      <c r="F1329" s="68" t="s">
        <v>24986</v>
      </c>
      <c r="G1329" s="81" t="s">
        <v>19285</v>
      </c>
      <c r="H1329" s="69">
        <v>45945</v>
      </c>
      <c r="I1329" s="69">
        <v>45947</v>
      </c>
      <c r="J1329" s="68">
        <v>3</v>
      </c>
      <c r="K1329" s="68">
        <v>3</v>
      </c>
      <c r="L1329" s="68" t="s">
        <v>19262</v>
      </c>
      <c r="M1329" s="68" t="s">
        <v>19262</v>
      </c>
      <c r="N1329" s="62" t="s">
        <v>19269</v>
      </c>
      <c r="O1329" s="68" t="s">
        <v>12446</v>
      </c>
      <c r="P1329" s="42" t="str">
        <f>+IF(O1329="","",IFERROR(VLOOKUP(O1329,CODIGO_DIAGNOSTICO,2,0),"CÓDIGO NO ENCONTRADO"))</f>
        <v>OTROS ESTADOS POSTQUIRURGICOS ESPECIFICADOS</v>
      </c>
      <c r="Q1329" s="68" t="s">
        <v>26059</v>
      </c>
      <c r="R1329" s="67"/>
      <c r="S1329" s="77"/>
      <c r="T1329" s="76"/>
      <c r="U1329" s="65"/>
      <c r="V1329" s="68"/>
      <c r="W1329" s="70"/>
      <c r="X1329" s="68"/>
      <c r="Y1329" s="70"/>
      <c r="Z1329" s="72"/>
    </row>
    <row r="1330" spans="1:26" ht="15.75" hidden="1" customHeight="1" x14ac:dyDescent="0.25">
      <c r="A1330" s="64">
        <v>10</v>
      </c>
      <c r="B1330" s="62">
        <v>93396256</v>
      </c>
      <c r="C1330" s="62" t="s">
        <v>25505</v>
      </c>
      <c r="D1330" s="62" t="s">
        <v>25079</v>
      </c>
      <c r="E1330" s="62" t="s">
        <v>25102</v>
      </c>
      <c r="F1330" s="62" t="s">
        <v>25135</v>
      </c>
      <c r="G1330" s="81" t="s">
        <v>19285</v>
      </c>
      <c r="H1330" s="63">
        <v>45946</v>
      </c>
      <c r="I1330" s="63">
        <v>45947</v>
      </c>
      <c r="J1330" s="62">
        <v>2</v>
      </c>
      <c r="K1330" s="62">
        <v>2</v>
      </c>
      <c r="L1330" s="62" t="s">
        <v>24995</v>
      </c>
      <c r="M1330" s="62" t="s">
        <v>24995</v>
      </c>
      <c r="N1330" s="62" t="s">
        <v>19269</v>
      </c>
      <c r="O1330" s="62" t="s">
        <v>88</v>
      </c>
      <c r="P1330" s="42" t="str">
        <f>+IF(O1330="","",IFERROR(VLOOKUP(O1330,CODIGO_DIAGNOSTICO,2,0),"CÓDIGO NO ENCONTRADO"))</f>
        <v>DIARREA Y GASTROENTERITIS DE PRESUNTO ORIGEN INFECCIOSO</v>
      </c>
      <c r="Q1330" s="62" t="s">
        <v>24996</v>
      </c>
      <c r="R1330" s="64"/>
      <c r="S1330" s="75"/>
      <c r="T1330" s="75"/>
      <c r="U1330" s="65"/>
      <c r="V1330" s="62"/>
      <c r="W1330" s="65"/>
      <c r="X1330" s="62"/>
      <c r="Y1330" s="65"/>
      <c r="Z1330" s="73"/>
    </row>
    <row r="1331" spans="1:26" ht="15.75" hidden="1" customHeight="1" x14ac:dyDescent="0.25">
      <c r="A1331" s="67">
        <v>10</v>
      </c>
      <c r="B1331" s="68">
        <v>78741278</v>
      </c>
      <c r="C1331" s="68" t="s">
        <v>26502</v>
      </c>
      <c r="D1331" s="68" t="s">
        <v>25378</v>
      </c>
      <c r="E1331" s="68" t="s">
        <v>26267</v>
      </c>
      <c r="F1331" s="68"/>
      <c r="G1331" s="81" t="s">
        <v>19285</v>
      </c>
      <c r="H1331" s="69">
        <v>45951</v>
      </c>
      <c r="I1331" s="69">
        <v>45954</v>
      </c>
      <c r="J1331" s="68">
        <v>4</v>
      </c>
      <c r="K1331" s="68">
        <v>4</v>
      </c>
      <c r="L1331" s="68" t="s">
        <v>24995</v>
      </c>
      <c r="M1331" s="68" t="s">
        <v>24995</v>
      </c>
      <c r="N1331" s="62" t="s">
        <v>19269</v>
      </c>
      <c r="O1331" s="68" t="s">
        <v>88</v>
      </c>
      <c r="P1331" s="42" t="str">
        <f>+IF(O1331="","",IFERROR(VLOOKUP(O1331,CODIGO_DIAGNOSTICO,2,0),"CÓDIGO NO ENCONTRADO"))</f>
        <v>DIARREA Y GASTROENTERITIS DE PRESUNTO ORIGEN INFECCIOSO</v>
      </c>
      <c r="Q1331" s="68" t="s">
        <v>26339</v>
      </c>
      <c r="R1331" s="67"/>
      <c r="S1331" s="77"/>
      <c r="T1331" s="76"/>
      <c r="U1331" s="65"/>
      <c r="V1331" s="68"/>
      <c r="W1331" s="70"/>
      <c r="X1331" s="68"/>
      <c r="Y1331" s="70"/>
      <c r="Z1331" s="72"/>
    </row>
    <row r="1332" spans="1:26" ht="15.75" hidden="1" customHeight="1" x14ac:dyDescent="0.25">
      <c r="A1332" s="64">
        <v>10</v>
      </c>
      <c r="B1332" s="62">
        <v>1001550034</v>
      </c>
      <c r="C1332" s="62" t="s">
        <v>26500</v>
      </c>
      <c r="D1332" s="62" t="s">
        <v>25054</v>
      </c>
      <c r="E1332" s="62" t="s">
        <v>26501</v>
      </c>
      <c r="F1332" s="62" t="s">
        <v>25010</v>
      </c>
      <c r="G1332" s="81" t="s">
        <v>19285</v>
      </c>
      <c r="H1332" s="63">
        <v>45952</v>
      </c>
      <c r="I1332" s="63">
        <v>45953</v>
      </c>
      <c r="J1332" s="62">
        <v>2</v>
      </c>
      <c r="K1332" s="62">
        <v>2</v>
      </c>
      <c r="L1332" s="62" t="s">
        <v>24995</v>
      </c>
      <c r="M1332" s="62" t="s">
        <v>24995</v>
      </c>
      <c r="N1332" s="62" t="s">
        <v>19269</v>
      </c>
      <c r="O1332" s="62" t="s">
        <v>4026</v>
      </c>
      <c r="P1332" s="42" t="str">
        <f>+IF(O1332="","",IFERROR(VLOOKUP(O1332,CODIGO_DIAGNOSTICO,2,0),"CÓDIGO NO ENCONTRADO"))</f>
        <v>COLITIS Y GASTROENTERITIS NO INFECCIOSAS, NO ESPECIFICADAS</v>
      </c>
      <c r="Q1332" s="62" t="s">
        <v>19230</v>
      </c>
      <c r="R1332" s="64"/>
      <c r="S1332" s="75"/>
      <c r="T1332" s="75"/>
      <c r="U1332" s="65"/>
      <c r="V1332" s="62"/>
      <c r="W1332" s="65"/>
      <c r="X1332" s="62"/>
      <c r="Y1332" s="65"/>
      <c r="Z1332" s="73"/>
    </row>
    <row r="1333" spans="1:26" ht="15.75" hidden="1" customHeight="1" x14ac:dyDescent="0.25">
      <c r="A1333" s="67">
        <v>10</v>
      </c>
      <c r="B1333" s="68">
        <v>70252687</v>
      </c>
      <c r="C1333" s="68" t="s">
        <v>25340</v>
      </c>
      <c r="D1333" s="68" t="s">
        <v>24998</v>
      </c>
      <c r="E1333" s="68" t="s">
        <v>25359</v>
      </c>
      <c r="F1333" s="68" t="s">
        <v>25020</v>
      </c>
      <c r="G1333" s="81" t="s">
        <v>19285</v>
      </c>
      <c r="H1333" s="69">
        <v>45954</v>
      </c>
      <c r="I1333" s="69">
        <v>45983</v>
      </c>
      <c r="J1333" s="68">
        <v>30</v>
      </c>
      <c r="K1333" s="68">
        <v>30</v>
      </c>
      <c r="L1333" s="68" t="s">
        <v>19262</v>
      </c>
      <c r="M1333" s="68" t="s">
        <v>19262</v>
      </c>
      <c r="N1333" s="62" t="s">
        <v>19269</v>
      </c>
      <c r="O1333" s="68" t="s">
        <v>905</v>
      </c>
      <c r="P1333" s="42" t="str">
        <f>+IF(O1333="","",IFERROR(VLOOKUP(O1333,CODIGO_DIAGNOSTICO,2,0),"CÓDIGO NO ENCONTRADO"))</f>
        <v>TUMOR MALIGNO DEL RECTO</v>
      </c>
      <c r="Q1333" s="68" t="s">
        <v>26059</v>
      </c>
      <c r="R1333" s="67"/>
      <c r="S1333" s="77"/>
      <c r="T1333" s="76"/>
      <c r="U1333" s="65"/>
      <c r="V1333" s="68"/>
      <c r="W1333" s="70"/>
      <c r="X1333" s="68"/>
      <c r="Y1333" s="70"/>
      <c r="Z1333" s="72"/>
    </row>
    <row r="1334" spans="1:26" ht="15.75" hidden="1" customHeight="1" x14ac:dyDescent="0.25">
      <c r="A1334" s="64">
        <v>10</v>
      </c>
      <c r="B1334" s="62">
        <v>1020108340</v>
      </c>
      <c r="C1334" s="62" t="s">
        <v>25034</v>
      </c>
      <c r="D1334" s="62" t="s">
        <v>25523</v>
      </c>
      <c r="E1334" s="62" t="s">
        <v>26411</v>
      </c>
      <c r="F1334" s="62"/>
      <c r="G1334" s="81" t="s">
        <v>19285</v>
      </c>
      <c r="H1334" s="63">
        <v>45955</v>
      </c>
      <c r="I1334" s="63">
        <v>45956</v>
      </c>
      <c r="J1334" s="62">
        <v>2</v>
      </c>
      <c r="K1334" s="62">
        <v>2</v>
      </c>
      <c r="L1334" s="62" t="s">
        <v>24995</v>
      </c>
      <c r="M1334" s="62" t="s">
        <v>24995</v>
      </c>
      <c r="N1334" s="62" t="s">
        <v>19269</v>
      </c>
      <c r="O1334" s="62" t="s">
        <v>88</v>
      </c>
      <c r="P1334" s="42" t="str">
        <f>+IF(O1334="","",IFERROR(VLOOKUP(O1334,CODIGO_DIAGNOSTICO,2,0),"CÓDIGO NO ENCONTRADO"))</f>
        <v>DIARREA Y GASTROENTERITIS DE PRESUNTO ORIGEN INFECCIOSO</v>
      </c>
      <c r="Q1334" s="62" t="s">
        <v>24976</v>
      </c>
      <c r="R1334" s="64"/>
      <c r="S1334" s="75"/>
      <c r="T1334" s="75"/>
      <c r="U1334" s="65"/>
      <c r="V1334" s="62"/>
      <c r="W1334" s="65"/>
      <c r="X1334" s="62"/>
      <c r="Y1334" s="65"/>
      <c r="Z1334" s="73"/>
    </row>
    <row r="1335" spans="1:26" ht="15.75" hidden="1" customHeight="1" x14ac:dyDescent="0.25">
      <c r="A1335" s="67">
        <v>10</v>
      </c>
      <c r="B1335" s="68">
        <v>70108742</v>
      </c>
      <c r="C1335" s="68" t="s">
        <v>25075</v>
      </c>
      <c r="D1335" s="68" t="s">
        <v>25510</v>
      </c>
      <c r="E1335" s="68" t="s">
        <v>25884</v>
      </c>
      <c r="F1335" s="68"/>
      <c r="G1335" s="81" t="s">
        <v>19285</v>
      </c>
      <c r="H1335" s="69">
        <v>45958</v>
      </c>
      <c r="I1335" s="69">
        <v>45959</v>
      </c>
      <c r="J1335" s="68">
        <v>2</v>
      </c>
      <c r="K1335" s="68">
        <v>2</v>
      </c>
      <c r="L1335" s="68" t="s">
        <v>24995</v>
      </c>
      <c r="M1335" s="68" t="s">
        <v>24995</v>
      </c>
      <c r="N1335" s="62" t="s">
        <v>19269</v>
      </c>
      <c r="O1335" s="68" t="s">
        <v>4259</v>
      </c>
      <c r="P1335" s="42" t="str">
        <f>+IF(O1335="","",IFERROR(VLOOKUP(O1335,CODIGO_DIAGNOSTICO,2,0),"CÓDIGO NO ENCONTRADO"))</f>
        <v>DERMATITIS ATOPICA, NO ESPECIFICADA</v>
      </c>
      <c r="Q1335" s="68" t="s">
        <v>19230</v>
      </c>
      <c r="R1335" s="67"/>
      <c r="S1335" s="77"/>
      <c r="T1335" s="76"/>
      <c r="U1335" s="65"/>
      <c r="V1335" s="68"/>
      <c r="W1335" s="70"/>
      <c r="X1335" s="68"/>
      <c r="Y1335" s="70"/>
      <c r="Z1335" s="72"/>
    </row>
    <row r="1336" spans="1:26" ht="15.75" hidden="1" customHeight="1" x14ac:dyDescent="0.25">
      <c r="A1336" s="64">
        <v>10</v>
      </c>
      <c r="B1336" s="62">
        <v>1035864866</v>
      </c>
      <c r="C1336" s="62" t="s">
        <v>25248</v>
      </c>
      <c r="D1336" s="62" t="s">
        <v>25118</v>
      </c>
      <c r="E1336" s="62" t="s">
        <v>25231</v>
      </c>
      <c r="F1336" s="62" t="s">
        <v>26503</v>
      </c>
      <c r="G1336" s="81" t="s">
        <v>19285</v>
      </c>
      <c r="H1336" s="63">
        <v>45959</v>
      </c>
      <c r="I1336" s="63">
        <v>45959</v>
      </c>
      <c r="J1336" s="62">
        <v>1</v>
      </c>
      <c r="K1336" s="62">
        <v>1</v>
      </c>
      <c r="L1336" s="62" t="s">
        <v>24995</v>
      </c>
      <c r="M1336" s="62" t="s">
        <v>24995</v>
      </c>
      <c r="N1336" s="62" t="s">
        <v>19269</v>
      </c>
      <c r="O1336" s="62" t="s">
        <v>15281</v>
      </c>
      <c r="P1336" s="42" t="str">
        <f>+IF(O1336="","",IFERROR(VLOOKUP(O1336,CODIGO_DIAGNOSTICO,2,0),"CÓDIGO NO ENCONTRADO"))</f>
        <v>RINOFARINGITIS AGUDA (RESFRIADO COMUN)</v>
      </c>
      <c r="Q1336" s="62" t="s">
        <v>26059</v>
      </c>
      <c r="R1336" s="64"/>
      <c r="S1336" s="75"/>
      <c r="T1336" s="75"/>
      <c r="U1336" s="65"/>
      <c r="V1336" s="62"/>
      <c r="W1336" s="65"/>
      <c r="X1336" s="62"/>
      <c r="Y1336" s="65"/>
      <c r="Z1336" s="73"/>
    </row>
    <row r="1337" spans="1:26" ht="15.75" hidden="1" customHeight="1" x14ac:dyDescent="0.25">
      <c r="A1337" s="67">
        <v>10</v>
      </c>
      <c r="B1337" s="68">
        <v>78741278</v>
      </c>
      <c r="C1337" s="68" t="s">
        <v>26502</v>
      </c>
      <c r="D1337" s="68" t="s">
        <v>25378</v>
      </c>
      <c r="E1337" s="68" t="s">
        <v>26267</v>
      </c>
      <c r="F1337" s="68"/>
      <c r="G1337" s="81" t="s">
        <v>19285</v>
      </c>
      <c r="H1337" s="69">
        <v>45959</v>
      </c>
      <c r="I1337" s="69">
        <v>45961</v>
      </c>
      <c r="J1337" s="68">
        <v>3</v>
      </c>
      <c r="K1337" s="68">
        <v>3</v>
      </c>
      <c r="L1337" s="68" t="s">
        <v>24995</v>
      </c>
      <c r="M1337" s="68" t="s">
        <v>24995</v>
      </c>
      <c r="N1337" s="62" t="s">
        <v>19269</v>
      </c>
      <c r="O1337" s="68" t="s">
        <v>15281</v>
      </c>
      <c r="P1337" s="42" t="str">
        <f>+IF(O1337="","",IFERROR(VLOOKUP(O1337,CODIGO_DIAGNOSTICO,2,0),"CÓDIGO NO ENCONTRADO"))</f>
        <v>RINOFARINGITIS AGUDA (RESFRIADO COMUN)</v>
      </c>
      <c r="Q1337" s="68" t="s">
        <v>19231</v>
      </c>
      <c r="R1337" s="67"/>
      <c r="S1337" s="77"/>
      <c r="T1337" s="76"/>
      <c r="U1337" s="65"/>
      <c r="V1337" s="68"/>
      <c r="W1337" s="70"/>
      <c r="X1337" s="68"/>
      <c r="Y1337" s="70"/>
      <c r="Z1337" s="72"/>
    </row>
    <row r="1338" spans="1:26" ht="15.75" hidden="1" customHeight="1" x14ac:dyDescent="0.25">
      <c r="A1338" s="64">
        <v>10</v>
      </c>
      <c r="B1338" s="62">
        <v>98528134</v>
      </c>
      <c r="C1338" s="62" t="s">
        <v>25670</v>
      </c>
      <c r="D1338" s="62" t="s">
        <v>25174</v>
      </c>
      <c r="E1338" s="62" t="s">
        <v>19278</v>
      </c>
      <c r="F1338" s="62" t="s">
        <v>25028</v>
      </c>
      <c r="G1338" s="81" t="s">
        <v>19285</v>
      </c>
      <c r="H1338" s="63">
        <v>45960</v>
      </c>
      <c r="I1338" s="63">
        <v>45962</v>
      </c>
      <c r="J1338" s="62">
        <v>3</v>
      </c>
      <c r="K1338" s="62">
        <v>3</v>
      </c>
      <c r="L1338" s="62" t="s">
        <v>24995</v>
      </c>
      <c r="M1338" s="62" t="s">
        <v>24995</v>
      </c>
      <c r="N1338" s="62" t="s">
        <v>19269</v>
      </c>
      <c r="O1338" s="62" t="s">
        <v>4933</v>
      </c>
      <c r="P1338" s="42" t="str">
        <f>+IF(O1338="","",IFERROR(VLOOKUP(O1338,CODIGO_DIAGNOSTICO,2,0),"CÓDIGO NO ENCONTRADO"))</f>
        <v>TENDINITIS AQUILIANA</v>
      </c>
      <c r="Q1338" s="62" t="s">
        <v>26059</v>
      </c>
      <c r="R1338" s="64"/>
      <c r="S1338" s="75"/>
      <c r="T1338" s="75"/>
      <c r="U1338" s="65"/>
      <c r="V1338" s="62"/>
      <c r="W1338" s="65"/>
      <c r="X1338" s="62"/>
      <c r="Y1338" s="65"/>
      <c r="Z1338" s="73"/>
    </row>
    <row r="1339" spans="1:26" ht="15.75" hidden="1" customHeight="1" x14ac:dyDescent="0.25">
      <c r="A1339" s="67">
        <v>10</v>
      </c>
      <c r="B1339" s="68">
        <v>8463537</v>
      </c>
      <c r="C1339" s="68" t="s">
        <v>25246</v>
      </c>
      <c r="D1339" s="68" t="s">
        <v>25257</v>
      </c>
      <c r="E1339" s="68" t="s">
        <v>26054</v>
      </c>
      <c r="F1339" s="68" t="s">
        <v>26055</v>
      </c>
      <c r="G1339" s="81" t="s">
        <v>19285</v>
      </c>
      <c r="H1339" s="69">
        <v>45960</v>
      </c>
      <c r="I1339" s="69">
        <v>45961</v>
      </c>
      <c r="J1339" s="68">
        <v>2</v>
      </c>
      <c r="K1339" s="68">
        <v>2</v>
      </c>
      <c r="L1339" s="68" t="s">
        <v>24995</v>
      </c>
      <c r="M1339" s="68" t="s">
        <v>24995</v>
      </c>
      <c r="N1339" s="62" t="s">
        <v>19269</v>
      </c>
      <c r="O1339" s="68" t="s">
        <v>3856</v>
      </c>
      <c r="P1339" s="42" t="str">
        <f>+IF(O1339="","",IFERROR(VLOOKUP(O1339,CODIGO_DIAGNOSTICO,2,0),"CÓDIGO NO ENCONTRADO"))</f>
        <v>RAIZ DENTAL RETENIDA</v>
      </c>
      <c r="Q1339" s="68" t="s">
        <v>26339</v>
      </c>
      <c r="R1339" s="67"/>
      <c r="S1339" s="77"/>
      <c r="T1339" s="76"/>
      <c r="U1339" s="65"/>
      <c r="V1339" s="68"/>
      <c r="W1339" s="70"/>
      <c r="X1339" s="68"/>
      <c r="Y1339" s="70"/>
      <c r="Z1339" s="72"/>
    </row>
    <row r="1340" spans="1:26" ht="15.75" hidden="1" customHeight="1" x14ac:dyDescent="0.25">
      <c r="A1340" s="64">
        <v>10</v>
      </c>
      <c r="B1340" s="62">
        <v>71382103</v>
      </c>
      <c r="C1340" s="62" t="s">
        <v>25776</v>
      </c>
      <c r="D1340" s="62" t="s">
        <v>25968</v>
      </c>
      <c r="E1340" s="62" t="s">
        <v>25198</v>
      </c>
      <c r="F1340" s="62" t="s">
        <v>25276</v>
      </c>
      <c r="G1340" s="81" t="s">
        <v>19285</v>
      </c>
      <c r="H1340" s="63">
        <v>45961</v>
      </c>
      <c r="I1340" s="63">
        <v>45962</v>
      </c>
      <c r="J1340" s="62">
        <v>2</v>
      </c>
      <c r="K1340" s="62">
        <v>2</v>
      </c>
      <c r="L1340" s="62" t="s">
        <v>24995</v>
      </c>
      <c r="M1340" s="62" t="s">
        <v>24995</v>
      </c>
      <c r="N1340" s="62" t="s">
        <v>19269</v>
      </c>
      <c r="O1340" s="62" t="s">
        <v>4694</v>
      </c>
      <c r="P1340" s="42" t="str">
        <f>+IF(O1340="","",IFERROR(VLOOKUP(O1340,CODIGO_DIAGNOSTICO,2,0),"CÓDIGO NO ENCONTRADO"))</f>
        <v>OTROS TRASTORNOS INTERNOS DE LA RODILLA</v>
      </c>
      <c r="Q1340" s="62" t="s">
        <v>26059</v>
      </c>
      <c r="R1340" s="64"/>
      <c r="S1340" s="75"/>
      <c r="T1340" s="75"/>
      <c r="U1340" s="65"/>
      <c r="V1340" s="62"/>
      <c r="W1340" s="65"/>
      <c r="X1340" s="62"/>
      <c r="Y1340" s="65"/>
      <c r="Z1340" s="73"/>
    </row>
    <row r="1341" spans="1:26" ht="15.75" hidden="1" customHeight="1" x14ac:dyDescent="0.25">
      <c r="A1341" s="67">
        <v>10</v>
      </c>
      <c r="B1341" s="68">
        <v>26988317</v>
      </c>
      <c r="C1341" s="68" t="s">
        <v>25034</v>
      </c>
      <c r="D1341" s="68" t="s">
        <v>25969</v>
      </c>
      <c r="E1341" s="68" t="s">
        <v>26506</v>
      </c>
      <c r="F1341" s="68" t="s">
        <v>26507</v>
      </c>
      <c r="G1341" s="81" t="s">
        <v>19285</v>
      </c>
      <c r="H1341" s="69">
        <v>45961</v>
      </c>
      <c r="I1341" s="69">
        <v>45961</v>
      </c>
      <c r="J1341" s="68">
        <v>1</v>
      </c>
      <c r="K1341" s="68">
        <v>1</v>
      </c>
      <c r="L1341" s="68" t="s">
        <v>24995</v>
      </c>
      <c r="M1341" s="68" t="s">
        <v>24995</v>
      </c>
      <c r="N1341" s="62" t="s">
        <v>19269</v>
      </c>
      <c r="O1341" s="68" t="s">
        <v>2593</v>
      </c>
      <c r="P1341" s="42" t="str">
        <f>+IF(O1341="","",IFERROR(VLOOKUP(O1341,CODIGO_DIAGNOSTICO,2,0),"CÓDIGO NO ENCONTRADO"))</f>
        <v>MIGRAÑA, NO ESPECIFICADA</v>
      </c>
      <c r="Q1341" s="68" t="s">
        <v>24976</v>
      </c>
      <c r="R1341" s="67"/>
      <c r="S1341" s="77"/>
      <c r="T1341" s="76"/>
      <c r="U1341" s="65"/>
      <c r="V1341" s="68"/>
      <c r="W1341" s="70"/>
      <c r="X1341" s="68"/>
      <c r="Y1341" s="70"/>
      <c r="Z1341" s="72"/>
    </row>
    <row r="1342" spans="1:26" ht="15.75" hidden="1" customHeight="1" x14ac:dyDescent="0.25">
      <c r="A1342" s="64">
        <v>11</v>
      </c>
      <c r="B1342" s="62">
        <v>98601485</v>
      </c>
      <c r="C1342" s="62" t="s">
        <v>25240</v>
      </c>
      <c r="D1342" s="62"/>
      <c r="E1342" s="62" t="s">
        <v>25241</v>
      </c>
      <c r="F1342" s="62" t="s">
        <v>24982</v>
      </c>
      <c r="G1342" s="81" t="s">
        <v>25328</v>
      </c>
      <c r="H1342" s="63">
        <v>45961</v>
      </c>
      <c r="I1342" s="63">
        <v>45990</v>
      </c>
      <c r="J1342" s="62">
        <v>30</v>
      </c>
      <c r="K1342" s="62">
        <v>30</v>
      </c>
      <c r="L1342" s="62" t="s">
        <v>19262</v>
      </c>
      <c r="M1342" s="62" t="s">
        <v>19262</v>
      </c>
      <c r="N1342" s="62" t="s">
        <v>19269</v>
      </c>
      <c r="O1342" s="62" t="s">
        <v>8419</v>
      </c>
      <c r="P1342" s="42" t="str">
        <f>+IF(O1342="","",IFERROR(VLOOKUP(O1342,CODIGO_DIAGNOSTICO,2,0),"CÓDIGO NO ENCONTRADO"))</f>
        <v>COMPLICACION MECANICA DE OTROS DISPOSITIVOS PROTESICOS, IMPLANTES E INJERTOS ORTOPEDICOS INTERNOS</v>
      </c>
      <c r="Q1342" s="62" t="s">
        <v>26059</v>
      </c>
      <c r="R1342" s="64"/>
      <c r="S1342" s="75"/>
      <c r="T1342" s="75"/>
      <c r="U1342" s="65"/>
      <c r="V1342" s="62"/>
      <c r="W1342" s="65"/>
      <c r="X1342" s="62"/>
      <c r="Y1342" s="65"/>
      <c r="Z1342" s="73"/>
    </row>
    <row r="1343" spans="1:26" ht="15.75" hidden="1" customHeight="1" x14ac:dyDescent="0.25">
      <c r="A1343" s="67">
        <v>11</v>
      </c>
      <c r="B1343" s="68">
        <v>1017149200</v>
      </c>
      <c r="C1343" s="68" t="s">
        <v>25083</v>
      </c>
      <c r="D1343" s="68" t="s">
        <v>25593</v>
      </c>
      <c r="E1343" s="68" t="s">
        <v>26481</v>
      </c>
      <c r="F1343" s="68" t="s">
        <v>25774</v>
      </c>
      <c r="G1343" s="81" t="s">
        <v>19285</v>
      </c>
      <c r="H1343" s="69">
        <v>45962</v>
      </c>
      <c r="I1343" s="69">
        <v>45991</v>
      </c>
      <c r="J1343" s="68">
        <v>30</v>
      </c>
      <c r="K1343" s="68">
        <v>30</v>
      </c>
      <c r="L1343" s="68" t="s">
        <v>24995</v>
      </c>
      <c r="M1343" s="68" t="s">
        <v>24995</v>
      </c>
      <c r="N1343" s="62" t="s">
        <v>19269</v>
      </c>
      <c r="O1343" s="68" t="s">
        <v>5851</v>
      </c>
      <c r="P1343" s="42" t="str">
        <f>+IF(O1343="","",IFERROR(VLOOKUP(O1343,CODIGO_DIAGNOSTICO,2,0),"CÓDIGO NO ENCONTRADO"))</f>
        <v>PARTO UNICO ESPONTANEO, PRESENTACION CEFALICA DE VERTICE</v>
      </c>
      <c r="Q1343" s="68" t="s">
        <v>19230</v>
      </c>
      <c r="R1343" s="67"/>
      <c r="S1343" s="77"/>
      <c r="T1343" s="76"/>
      <c r="U1343" s="65"/>
      <c r="V1343" s="68"/>
      <c r="W1343" s="70"/>
      <c r="X1343" s="68"/>
      <c r="Y1343" s="70"/>
      <c r="Z1343" s="72"/>
    </row>
    <row r="1344" spans="1:26" ht="15.75" hidden="1" customHeight="1" x14ac:dyDescent="0.25">
      <c r="A1344" s="64">
        <v>11</v>
      </c>
      <c r="B1344" s="62">
        <v>70134297</v>
      </c>
      <c r="C1344" s="62" t="s">
        <v>25002</v>
      </c>
      <c r="D1344" s="62" t="s">
        <v>25127</v>
      </c>
      <c r="E1344" s="62" t="s">
        <v>25074</v>
      </c>
      <c r="F1344" s="62" t="s">
        <v>25135</v>
      </c>
      <c r="G1344" s="81" t="s">
        <v>19285</v>
      </c>
      <c r="H1344" s="63">
        <v>45962</v>
      </c>
      <c r="I1344" s="63">
        <v>45976</v>
      </c>
      <c r="J1344" s="62">
        <v>15</v>
      </c>
      <c r="K1344" s="62">
        <v>15</v>
      </c>
      <c r="L1344" s="62" t="s">
        <v>24995</v>
      </c>
      <c r="M1344" s="62" t="s">
        <v>26505</v>
      </c>
      <c r="N1344" s="62" t="s">
        <v>19269</v>
      </c>
      <c r="O1344" s="62" t="s">
        <v>4000</v>
      </c>
      <c r="P1344" s="42" t="str">
        <f>+IF(O1344="","",IFERROR(VLOOKUP(O1344,CODIGO_DIAGNOSTICO,2,0),"CÓDIGO NO ENCONTRADO"))</f>
        <v>HERNIA VENTRAL SIN OBSTRUCCION NI GANGRENA</v>
      </c>
      <c r="Q1344" s="62" t="s">
        <v>26504</v>
      </c>
      <c r="R1344" s="64"/>
      <c r="S1344" s="75"/>
      <c r="T1344" s="75"/>
      <c r="U1344" s="65"/>
      <c r="V1344" s="62"/>
      <c r="W1344" s="65"/>
      <c r="X1344" s="62"/>
      <c r="Y1344" s="65"/>
      <c r="Z1344" s="73"/>
    </row>
    <row r="1345" spans="1:26" ht="15.75" hidden="1" customHeight="1" x14ac:dyDescent="0.25">
      <c r="A1345" s="67">
        <v>11</v>
      </c>
      <c r="B1345" s="68">
        <v>1214737996</v>
      </c>
      <c r="C1345" s="68" t="s">
        <v>25547</v>
      </c>
      <c r="D1345" s="68" t="s">
        <v>25969</v>
      </c>
      <c r="E1345" s="68" t="s">
        <v>26338</v>
      </c>
      <c r="F1345" s="68" t="s">
        <v>25060</v>
      </c>
      <c r="G1345" s="81" t="s">
        <v>19285</v>
      </c>
      <c r="H1345" s="69">
        <v>45963</v>
      </c>
      <c r="I1345" s="69">
        <v>45979</v>
      </c>
      <c r="J1345" s="68">
        <v>17</v>
      </c>
      <c r="K1345" s="68">
        <v>17</v>
      </c>
      <c r="L1345" s="68" t="s">
        <v>19262</v>
      </c>
      <c r="M1345" s="68" t="s">
        <v>19262</v>
      </c>
      <c r="N1345" s="62" t="s">
        <v>19269</v>
      </c>
      <c r="O1345" s="68" t="s">
        <v>7723</v>
      </c>
      <c r="P1345" s="42" t="str">
        <f>+IF(O1345="","",IFERROR(VLOOKUP(O1345,CODIGO_DIAGNOSTICO,2,0),"CÓDIGO NO ENCONTRADO"))</f>
        <v>FRACTURA DE LA EPIFISIS SUPERIOR DE LA TIBIA</v>
      </c>
      <c r="Q1345" s="68" t="s">
        <v>26339</v>
      </c>
      <c r="R1345" s="67"/>
      <c r="S1345" s="77"/>
      <c r="T1345" s="76"/>
      <c r="U1345" s="65"/>
      <c r="V1345" s="68"/>
      <c r="W1345" s="70"/>
      <c r="X1345" s="68"/>
      <c r="Y1345" s="70"/>
      <c r="Z1345" s="72"/>
    </row>
    <row r="1346" spans="1:26" ht="15.75" hidden="1" customHeight="1" x14ac:dyDescent="0.25">
      <c r="A1346" s="64">
        <v>11</v>
      </c>
      <c r="B1346" s="62">
        <v>71187940</v>
      </c>
      <c r="C1346" s="62" t="s">
        <v>25411</v>
      </c>
      <c r="D1346" s="62" t="s">
        <v>25288</v>
      </c>
      <c r="E1346" s="62" t="s">
        <v>25188</v>
      </c>
      <c r="F1346" s="62" t="s">
        <v>26512</v>
      </c>
      <c r="G1346" s="81" t="s">
        <v>19285</v>
      </c>
      <c r="H1346" s="63">
        <v>45964</v>
      </c>
      <c r="I1346" s="63">
        <v>45968</v>
      </c>
      <c r="J1346" s="62">
        <v>5</v>
      </c>
      <c r="K1346" s="62">
        <v>5</v>
      </c>
      <c r="L1346" s="62" t="s">
        <v>24995</v>
      </c>
      <c r="M1346" s="62" t="s">
        <v>24995</v>
      </c>
      <c r="N1346" s="62" t="s">
        <v>19269</v>
      </c>
      <c r="O1346" s="62" t="s">
        <v>5217</v>
      </c>
      <c r="P1346" s="42" t="str">
        <f>+IF(O1346="","",IFERROR(VLOOKUP(O1346,CODIGO_DIAGNOSTICO,2,0),"CÓDIGO NO ENCONTRADO"))</f>
        <v>CALCULO DEL URETER</v>
      </c>
      <c r="Q1346" s="62" t="s">
        <v>26059</v>
      </c>
      <c r="R1346" s="64"/>
      <c r="S1346" s="75"/>
      <c r="T1346" s="75"/>
      <c r="U1346" s="65"/>
      <c r="V1346" s="62"/>
      <c r="W1346" s="65"/>
      <c r="X1346" s="62"/>
      <c r="Y1346" s="65"/>
      <c r="Z1346" s="73"/>
    </row>
    <row r="1347" spans="1:26" ht="15.75" hidden="1" customHeight="1" x14ac:dyDescent="0.25">
      <c r="A1347" s="67">
        <v>11</v>
      </c>
      <c r="B1347" s="68">
        <v>1082997484</v>
      </c>
      <c r="C1347" s="68" t="s">
        <v>26389</v>
      </c>
      <c r="D1347" s="68" t="s">
        <v>26390</v>
      </c>
      <c r="E1347" s="68" t="s">
        <v>26303</v>
      </c>
      <c r="F1347" s="68" t="s">
        <v>25283</v>
      </c>
      <c r="G1347" s="81" t="s">
        <v>19285</v>
      </c>
      <c r="H1347" s="69">
        <v>45965</v>
      </c>
      <c r="I1347" s="69">
        <v>45971</v>
      </c>
      <c r="J1347" s="68">
        <v>7</v>
      </c>
      <c r="K1347" s="68">
        <v>7</v>
      </c>
      <c r="L1347" s="68" t="s">
        <v>24995</v>
      </c>
      <c r="M1347" s="68" t="s">
        <v>24995</v>
      </c>
      <c r="N1347" s="62" t="s">
        <v>19269</v>
      </c>
      <c r="O1347" s="68" t="s">
        <v>7356</v>
      </c>
      <c r="P1347" s="42" t="str">
        <f>+IF(O1347="","",IFERROR(VLOOKUP(O1347,CODIGO_DIAGNOSTICO,2,0),"CÓDIGO NO ENCONTRADO"))</f>
        <v>CONTUSION DEL TORAX</v>
      </c>
      <c r="Q1347" s="68" t="s">
        <v>25025</v>
      </c>
      <c r="R1347" s="67"/>
      <c r="S1347" s="77"/>
      <c r="T1347" s="76"/>
      <c r="U1347" s="65"/>
      <c r="V1347" s="68"/>
      <c r="W1347" s="70"/>
      <c r="X1347" s="68"/>
      <c r="Y1347" s="70"/>
      <c r="Z1347" s="72"/>
    </row>
    <row r="1348" spans="1:26" ht="15.75" hidden="1" customHeight="1" x14ac:dyDescent="0.25">
      <c r="A1348" s="64">
        <v>11</v>
      </c>
      <c r="B1348" s="62">
        <v>15373306</v>
      </c>
      <c r="C1348" s="62" t="s">
        <v>25061</v>
      </c>
      <c r="D1348" s="62" t="s">
        <v>25094</v>
      </c>
      <c r="E1348" s="62" t="s">
        <v>26508</v>
      </c>
      <c r="F1348" s="62"/>
      <c r="G1348" s="81" t="s">
        <v>19285</v>
      </c>
      <c r="H1348" s="63">
        <v>45965</v>
      </c>
      <c r="I1348" s="63">
        <v>45969</v>
      </c>
      <c r="J1348" s="62">
        <v>5</v>
      </c>
      <c r="K1348" s="62">
        <v>5</v>
      </c>
      <c r="L1348" s="62" t="s">
        <v>24995</v>
      </c>
      <c r="M1348" s="62" t="s">
        <v>24995</v>
      </c>
      <c r="N1348" s="62" t="s">
        <v>19269</v>
      </c>
      <c r="O1348" s="62" t="s">
        <v>7714</v>
      </c>
      <c r="P1348" s="42" t="str">
        <f>+IF(O1348="","",IFERROR(VLOOKUP(O1348,CODIGO_DIAGNOSTICO,2,0),"CÓDIGO NO ENCONTRADO"))</f>
        <v>CONTUSION DE OTRAS PARTES Y LAS NO ESPECIFICADAS DE LA PIERNA</v>
      </c>
      <c r="Q1348" s="62" t="s">
        <v>25025</v>
      </c>
      <c r="R1348" s="64"/>
      <c r="S1348" s="75"/>
      <c r="T1348" s="75"/>
      <c r="U1348" s="65"/>
      <c r="V1348" s="62"/>
      <c r="W1348" s="65"/>
      <c r="X1348" s="62"/>
      <c r="Y1348" s="65"/>
      <c r="Z1348" s="73"/>
    </row>
    <row r="1349" spans="1:26" ht="15.75" hidden="1" customHeight="1" x14ac:dyDescent="0.25">
      <c r="A1349" s="67">
        <v>11</v>
      </c>
      <c r="B1349" s="68">
        <v>71676289</v>
      </c>
      <c r="C1349" s="68" t="s">
        <v>25702</v>
      </c>
      <c r="D1349" s="68" t="s">
        <v>25012</v>
      </c>
      <c r="E1349" s="68" t="s">
        <v>25016</v>
      </c>
      <c r="F1349" s="68" t="s">
        <v>25004</v>
      </c>
      <c r="G1349" s="81" t="s">
        <v>19285</v>
      </c>
      <c r="H1349" s="69">
        <v>45965</v>
      </c>
      <c r="I1349" s="69">
        <v>45971</v>
      </c>
      <c r="J1349" s="68">
        <v>7</v>
      </c>
      <c r="K1349" s="68">
        <v>7</v>
      </c>
      <c r="L1349" s="68" t="s">
        <v>19262</v>
      </c>
      <c r="M1349" s="68" t="s">
        <v>19262</v>
      </c>
      <c r="N1349" s="62" t="s">
        <v>19269</v>
      </c>
      <c r="O1349" s="68" t="s">
        <v>5004</v>
      </c>
      <c r="P1349" s="42" t="str">
        <f>+IF(O1349="","",IFERROR(VLOOKUP(O1349,CODIGO_DIAGNOSTICO,2,0),"CÓDIGO NO ENCONTRADO"))</f>
        <v>OTRAS OSTEOMIELITIS CRONICAS</v>
      </c>
      <c r="Q1349" s="68" t="s">
        <v>26059</v>
      </c>
      <c r="R1349" s="67"/>
      <c r="S1349" s="77"/>
      <c r="T1349" s="76"/>
      <c r="U1349" s="65"/>
      <c r="V1349" s="68"/>
      <c r="W1349" s="70"/>
      <c r="X1349" s="68"/>
      <c r="Y1349" s="70"/>
      <c r="Z1349" s="72"/>
    </row>
    <row r="1350" spans="1:26" ht="15.75" hidden="1" customHeight="1" x14ac:dyDescent="0.25">
      <c r="A1350" s="64">
        <v>11</v>
      </c>
      <c r="B1350" s="62">
        <v>70108742</v>
      </c>
      <c r="C1350" s="62" t="s">
        <v>25075</v>
      </c>
      <c r="D1350" s="62" t="s">
        <v>25510</v>
      </c>
      <c r="E1350" s="62" t="s">
        <v>25884</v>
      </c>
      <c r="F1350" s="62"/>
      <c r="G1350" s="81" t="s">
        <v>19285</v>
      </c>
      <c r="H1350" s="63">
        <v>45965</v>
      </c>
      <c r="I1350" s="63">
        <v>45966</v>
      </c>
      <c r="J1350" s="62">
        <v>2</v>
      </c>
      <c r="K1350" s="62">
        <v>2</v>
      </c>
      <c r="L1350" s="62" t="s">
        <v>24995</v>
      </c>
      <c r="M1350" s="62" t="s">
        <v>24995</v>
      </c>
      <c r="N1350" s="62" t="s">
        <v>19269</v>
      </c>
      <c r="O1350" s="62" t="s">
        <v>3618</v>
      </c>
      <c r="P1350" s="42" t="str">
        <f>+IF(O1350="","",IFERROR(VLOOKUP(O1350,CODIGO_DIAGNOSTICO,2,0),"CÓDIGO NO ENCONTRADO"))</f>
        <v>NEUMONIA, NO ESPECIFICADA</v>
      </c>
      <c r="Q1350" s="62" t="s">
        <v>26059</v>
      </c>
      <c r="R1350" s="64"/>
      <c r="S1350" s="75"/>
      <c r="T1350" s="75"/>
      <c r="U1350" s="65"/>
      <c r="V1350" s="62"/>
      <c r="W1350" s="65"/>
      <c r="X1350" s="62"/>
      <c r="Y1350" s="65"/>
      <c r="Z1350" s="73"/>
    </row>
    <row r="1351" spans="1:26" ht="15.75" hidden="1" customHeight="1" x14ac:dyDescent="0.25">
      <c r="A1351" s="67">
        <v>11</v>
      </c>
      <c r="B1351" s="68">
        <v>70108742</v>
      </c>
      <c r="C1351" s="68" t="s">
        <v>25075</v>
      </c>
      <c r="D1351" s="68" t="s">
        <v>25510</v>
      </c>
      <c r="E1351" s="68" t="s">
        <v>25884</v>
      </c>
      <c r="F1351" s="68"/>
      <c r="G1351" s="81" t="s">
        <v>19285</v>
      </c>
      <c r="H1351" s="69">
        <v>45967</v>
      </c>
      <c r="I1351" s="69">
        <v>45972</v>
      </c>
      <c r="J1351" s="68">
        <v>6</v>
      </c>
      <c r="K1351" s="68">
        <v>6</v>
      </c>
      <c r="L1351" s="68" t="s">
        <v>24995</v>
      </c>
      <c r="M1351" s="68" t="s">
        <v>24995</v>
      </c>
      <c r="N1351" s="62" t="s">
        <v>19269</v>
      </c>
      <c r="O1351" s="68" t="s">
        <v>3606</v>
      </c>
      <c r="P1351" s="42" t="str">
        <f>+IF(O1351="","",IFERROR(VLOOKUP(O1351,CODIGO_DIAGNOSTICO,2,0),"CÓDIGO NO ENCONTRADO"))</f>
        <v>NEUMONIA BACTERIANA, NO ESPECIFICADA</v>
      </c>
      <c r="Q1351" s="68" t="s">
        <v>26232</v>
      </c>
      <c r="R1351" s="67"/>
      <c r="S1351" s="77"/>
      <c r="T1351" s="76"/>
      <c r="U1351" s="65"/>
      <c r="V1351" s="68"/>
      <c r="W1351" s="70"/>
      <c r="X1351" s="68"/>
      <c r="Y1351" s="70"/>
      <c r="Z1351" s="72"/>
    </row>
    <row r="1352" spans="1:26" ht="15.75" hidden="1" customHeight="1" x14ac:dyDescent="0.25">
      <c r="A1352" s="64">
        <v>11</v>
      </c>
      <c r="B1352" s="62">
        <v>15444896</v>
      </c>
      <c r="C1352" s="62" t="s">
        <v>25310</v>
      </c>
      <c r="D1352" s="62" t="s">
        <v>25094</v>
      </c>
      <c r="E1352" s="62" t="s">
        <v>25241</v>
      </c>
      <c r="F1352" s="62" t="s">
        <v>25691</v>
      </c>
      <c r="G1352" s="81" t="s">
        <v>19285</v>
      </c>
      <c r="H1352" s="63">
        <v>45971</v>
      </c>
      <c r="I1352" s="63">
        <v>45972</v>
      </c>
      <c r="J1352" s="62">
        <v>2</v>
      </c>
      <c r="K1352" s="62">
        <v>2</v>
      </c>
      <c r="L1352" s="62" t="s">
        <v>24995</v>
      </c>
      <c r="M1352" s="62" t="s">
        <v>24995</v>
      </c>
      <c r="N1352" s="62" t="s">
        <v>19269</v>
      </c>
      <c r="O1352" s="62" t="s">
        <v>3856</v>
      </c>
      <c r="P1352" s="42" t="str">
        <f>+IF(O1352="","",IFERROR(VLOOKUP(O1352,CODIGO_DIAGNOSTICO,2,0),"CÓDIGO NO ENCONTRADO"))</f>
        <v>RAIZ DENTAL RETENIDA</v>
      </c>
      <c r="Q1352" s="62" t="s">
        <v>24996</v>
      </c>
      <c r="R1352" s="64"/>
      <c r="S1352" s="75"/>
      <c r="T1352" s="75"/>
      <c r="U1352" s="65"/>
      <c r="V1352" s="62"/>
      <c r="W1352" s="65"/>
      <c r="X1352" s="62"/>
      <c r="Y1352" s="65"/>
      <c r="Z1352" s="73"/>
    </row>
    <row r="1353" spans="1:26" ht="15.75" hidden="1" customHeight="1" x14ac:dyDescent="0.25">
      <c r="A1353" s="67">
        <v>11</v>
      </c>
      <c r="B1353" s="68">
        <v>1007310584</v>
      </c>
      <c r="C1353" s="68" t="s">
        <v>25972</v>
      </c>
      <c r="D1353" s="68" t="s">
        <v>25930</v>
      </c>
      <c r="E1353" s="68" t="s">
        <v>25413</v>
      </c>
      <c r="F1353" s="68"/>
      <c r="G1353" s="81" t="s">
        <v>19285</v>
      </c>
      <c r="H1353" s="69">
        <v>45971</v>
      </c>
      <c r="I1353" s="69">
        <v>45973</v>
      </c>
      <c r="J1353" s="68">
        <v>3</v>
      </c>
      <c r="K1353" s="68">
        <v>3</v>
      </c>
      <c r="L1353" s="68" t="s">
        <v>24995</v>
      </c>
      <c r="M1353" s="68" t="s">
        <v>24995</v>
      </c>
      <c r="N1353" s="62" t="s">
        <v>19269</v>
      </c>
      <c r="O1353" s="68" t="s">
        <v>3573</v>
      </c>
      <c r="P1353" s="42" t="str">
        <f>+IF(O1353="","",IFERROR(VLOOKUP(O1353,CODIGO_DIAGNOSTICO,2,0),"CÓDIGO NO ENCONTRADO"))</f>
        <v>AMIGDALITIS ESTREPTOCOCICA</v>
      </c>
      <c r="Q1353" s="68" t="s">
        <v>24996</v>
      </c>
      <c r="R1353" s="67"/>
      <c r="S1353" s="77"/>
      <c r="T1353" s="76"/>
      <c r="U1353" s="65"/>
      <c r="V1353" s="68"/>
      <c r="W1353" s="70"/>
      <c r="X1353" s="68"/>
      <c r="Y1353" s="70"/>
      <c r="Z1353" s="72"/>
    </row>
    <row r="1354" spans="1:26" ht="15.75" hidden="1" customHeight="1" x14ac:dyDescent="0.25">
      <c r="A1354" s="64">
        <v>11</v>
      </c>
      <c r="B1354" s="62">
        <v>71676289</v>
      </c>
      <c r="C1354" s="62" t="s">
        <v>25702</v>
      </c>
      <c r="D1354" s="62" t="s">
        <v>25012</v>
      </c>
      <c r="E1354" s="62" t="s">
        <v>25016</v>
      </c>
      <c r="F1354" s="62" t="s">
        <v>25004</v>
      </c>
      <c r="G1354" s="81" t="s">
        <v>19285</v>
      </c>
      <c r="H1354" s="63">
        <v>45972</v>
      </c>
      <c r="I1354" s="63">
        <v>45978</v>
      </c>
      <c r="J1354" s="62">
        <v>7</v>
      </c>
      <c r="K1354" s="62">
        <v>7</v>
      </c>
      <c r="L1354" s="62" t="s">
        <v>19262</v>
      </c>
      <c r="M1354" s="62" t="s">
        <v>19262</v>
      </c>
      <c r="N1354" s="62" t="s">
        <v>19269</v>
      </c>
      <c r="O1354" s="62" t="s">
        <v>5004</v>
      </c>
      <c r="P1354" s="42" t="str">
        <f>+IF(O1354="","",IFERROR(VLOOKUP(O1354,CODIGO_DIAGNOSTICO,2,0),"CÓDIGO NO ENCONTRADO"))</f>
        <v>OTRAS OSTEOMIELITIS CRONICAS</v>
      </c>
      <c r="Q1354" s="62" t="s">
        <v>26059</v>
      </c>
      <c r="R1354" s="64"/>
      <c r="S1354" s="75"/>
      <c r="T1354" s="75"/>
      <c r="U1354" s="65"/>
      <c r="V1354" s="62"/>
      <c r="W1354" s="65"/>
      <c r="X1354" s="62"/>
      <c r="Y1354" s="65"/>
      <c r="Z1354" s="73"/>
    </row>
    <row r="1355" spans="1:26" ht="15.75" hidden="1" customHeight="1" x14ac:dyDescent="0.25">
      <c r="A1355" s="67">
        <v>11</v>
      </c>
      <c r="B1355" s="68">
        <v>98579583</v>
      </c>
      <c r="C1355" s="68" t="s">
        <v>25108</v>
      </c>
      <c r="D1355" s="68" t="s">
        <v>25506</v>
      </c>
      <c r="E1355" s="68" t="s">
        <v>25507</v>
      </c>
      <c r="F1355" s="68" t="s">
        <v>24982</v>
      </c>
      <c r="G1355" s="81" t="s">
        <v>19285</v>
      </c>
      <c r="H1355" s="69">
        <v>45972</v>
      </c>
      <c r="I1355" s="69">
        <v>45974</v>
      </c>
      <c r="J1355" s="68">
        <v>3</v>
      </c>
      <c r="K1355" s="68">
        <v>3</v>
      </c>
      <c r="L1355" s="68" t="s">
        <v>24995</v>
      </c>
      <c r="M1355" s="68" t="s">
        <v>24995</v>
      </c>
      <c r="N1355" s="62" t="s">
        <v>19269</v>
      </c>
      <c r="O1355" s="68" t="s">
        <v>86</v>
      </c>
      <c r="P1355" s="42" t="str">
        <f>+IF(O1355="","",IFERROR(VLOOKUP(O1355,CODIGO_DIAGNOSTICO,2,0),"CÓDIGO NO ENCONTRADO"))</f>
        <v>INFECCION INTESTINAL VIRAL, SIN OTRA ESPECIFICACION</v>
      </c>
      <c r="Q1355" s="68" t="s">
        <v>26339</v>
      </c>
      <c r="R1355" s="67"/>
      <c r="S1355" s="77"/>
      <c r="T1355" s="76"/>
      <c r="U1355" s="65"/>
      <c r="V1355" s="68"/>
      <c r="W1355" s="70"/>
      <c r="X1355" s="68"/>
      <c r="Y1355" s="70"/>
      <c r="Z1355" s="72"/>
    </row>
    <row r="1356" spans="1:26" ht="15.75" hidden="1" customHeight="1" x14ac:dyDescent="0.25">
      <c r="A1356" s="64">
        <v>11</v>
      </c>
      <c r="B1356" s="62">
        <v>70108742</v>
      </c>
      <c r="C1356" s="62" t="s">
        <v>25075</v>
      </c>
      <c r="D1356" s="62" t="s">
        <v>25510</v>
      </c>
      <c r="E1356" s="62" t="s">
        <v>25884</v>
      </c>
      <c r="F1356" s="62"/>
      <c r="G1356" s="81" t="s">
        <v>19285</v>
      </c>
      <c r="H1356" s="63">
        <v>45972</v>
      </c>
      <c r="I1356" s="63">
        <v>46001</v>
      </c>
      <c r="J1356" s="62">
        <v>30</v>
      </c>
      <c r="K1356" s="62">
        <v>30</v>
      </c>
      <c r="L1356" s="62" t="s">
        <v>24995</v>
      </c>
      <c r="M1356" s="62" t="s">
        <v>19262</v>
      </c>
      <c r="N1356" s="62" t="s">
        <v>19269</v>
      </c>
      <c r="O1356" s="62" t="s">
        <v>1480</v>
      </c>
      <c r="P1356" s="42" t="str">
        <f>+IF(O1356="","",IFERROR(VLOOKUP(O1356,CODIGO_DIAGNOSTICO,2,0),"CÓDIGO NO ENCONTRADO"))</f>
        <v>TUMOR DE COMPORTAMIENTO INCIERTO O DESCONOCIDO DE LA TRAQUEA, DE LOS BRONQUIOS Y DEL PULMON</v>
      </c>
      <c r="Q1356" s="62" t="s">
        <v>26059</v>
      </c>
      <c r="R1356" s="64"/>
      <c r="S1356" s="75"/>
      <c r="T1356" s="75"/>
      <c r="U1356" s="65"/>
      <c r="V1356" s="62"/>
      <c r="W1356" s="65"/>
      <c r="X1356" s="62"/>
      <c r="Y1356" s="65"/>
      <c r="Z1356" s="73"/>
    </row>
    <row r="1357" spans="1:26" ht="15.75" hidden="1" customHeight="1" x14ac:dyDescent="0.25">
      <c r="A1357" s="67">
        <v>11</v>
      </c>
      <c r="B1357" s="68">
        <v>71676289</v>
      </c>
      <c r="C1357" s="68" t="s">
        <v>25702</v>
      </c>
      <c r="D1357" s="68" t="s">
        <v>25012</v>
      </c>
      <c r="E1357" s="68" t="s">
        <v>25016</v>
      </c>
      <c r="F1357" s="68" t="s">
        <v>25004</v>
      </c>
      <c r="G1357" s="81" t="s">
        <v>19285</v>
      </c>
      <c r="H1357" s="69">
        <v>45972</v>
      </c>
      <c r="I1357" s="69">
        <v>45978</v>
      </c>
      <c r="J1357" s="68">
        <v>7</v>
      </c>
      <c r="K1357" s="68">
        <v>7</v>
      </c>
      <c r="L1357" s="68" t="s">
        <v>19262</v>
      </c>
      <c r="M1357" s="68" t="s">
        <v>19262</v>
      </c>
      <c r="N1357" s="62" t="s">
        <v>19269</v>
      </c>
      <c r="O1357" s="68" t="s">
        <v>5004</v>
      </c>
      <c r="P1357" s="42" t="str">
        <f>+IF(O1357="","",IFERROR(VLOOKUP(O1357,CODIGO_DIAGNOSTICO,2,0),"CÓDIGO NO ENCONTRADO"))</f>
        <v>OTRAS OSTEOMIELITIS CRONICAS</v>
      </c>
      <c r="Q1357" s="68" t="s">
        <v>26059</v>
      </c>
      <c r="R1357" s="67"/>
      <c r="S1357" s="77"/>
      <c r="T1357" s="76"/>
      <c r="U1357" s="65"/>
      <c r="V1357" s="68"/>
      <c r="W1357" s="70"/>
      <c r="X1357" s="68"/>
      <c r="Y1357" s="70"/>
      <c r="Z1357" s="72"/>
    </row>
    <row r="1358" spans="1:26" ht="15.75" hidden="1" customHeight="1" x14ac:dyDescent="0.25">
      <c r="A1358" s="64">
        <v>11</v>
      </c>
      <c r="B1358" s="62">
        <v>71672469</v>
      </c>
      <c r="C1358" s="62" t="s">
        <v>25269</v>
      </c>
      <c r="D1358" s="62" t="s">
        <v>25224</v>
      </c>
      <c r="E1358" s="62" t="s">
        <v>26286</v>
      </c>
      <c r="F1358" s="62" t="s">
        <v>25103</v>
      </c>
      <c r="G1358" s="81" t="s">
        <v>19285</v>
      </c>
      <c r="H1358" s="63">
        <v>45975</v>
      </c>
      <c r="I1358" s="63">
        <v>45975</v>
      </c>
      <c r="J1358" s="62">
        <v>1</v>
      </c>
      <c r="K1358" s="62">
        <v>1</v>
      </c>
      <c r="L1358" s="62" t="s">
        <v>24995</v>
      </c>
      <c r="M1358" s="62" t="s">
        <v>24995</v>
      </c>
      <c r="N1358" s="62" t="s">
        <v>19269</v>
      </c>
      <c r="O1358" s="62" t="s">
        <v>15281</v>
      </c>
      <c r="P1358" s="42" t="str">
        <f>+IF(O1358="","",IFERROR(VLOOKUP(O1358,CODIGO_DIAGNOSTICO,2,0),"CÓDIGO NO ENCONTRADO"))</f>
        <v>RINOFARINGITIS AGUDA (RESFRIADO COMUN)</v>
      </c>
      <c r="Q1358" s="62" t="s">
        <v>19230</v>
      </c>
      <c r="R1358" s="64"/>
      <c r="S1358" s="75"/>
      <c r="T1358" s="75"/>
      <c r="U1358" s="65"/>
      <c r="V1358" s="62"/>
      <c r="W1358" s="65"/>
      <c r="X1358" s="62"/>
      <c r="Y1358" s="65"/>
      <c r="Z1358" s="73"/>
    </row>
    <row r="1359" spans="1:26" ht="15.75" hidden="1" customHeight="1" x14ac:dyDescent="0.25">
      <c r="A1359" s="67">
        <v>11</v>
      </c>
      <c r="B1359" s="68">
        <v>98648701</v>
      </c>
      <c r="C1359" s="68" t="s">
        <v>25034</v>
      </c>
      <c r="D1359" s="68" t="s">
        <v>25426</v>
      </c>
      <c r="E1359" s="68" t="s">
        <v>25977</v>
      </c>
      <c r="F1359" s="68" t="s">
        <v>25554</v>
      </c>
      <c r="G1359" s="81" t="s">
        <v>19285</v>
      </c>
      <c r="H1359" s="69">
        <v>45978</v>
      </c>
      <c r="I1359" s="69">
        <v>45979</v>
      </c>
      <c r="J1359" s="68">
        <v>2</v>
      </c>
      <c r="K1359" s="68">
        <v>2</v>
      </c>
      <c r="L1359" s="68" t="s">
        <v>24995</v>
      </c>
      <c r="M1359" s="68" t="s">
        <v>24995</v>
      </c>
      <c r="N1359" s="62" t="s">
        <v>19269</v>
      </c>
      <c r="O1359" s="68" t="s">
        <v>2593</v>
      </c>
      <c r="P1359" s="42" t="str">
        <f>+IF(O1359="","",IFERROR(VLOOKUP(O1359,CODIGO_DIAGNOSTICO,2,0),"CÓDIGO NO ENCONTRADO"))</f>
        <v>MIGRAÑA, NO ESPECIFICADA</v>
      </c>
      <c r="Q1359" s="68" t="s">
        <v>26059</v>
      </c>
      <c r="R1359" s="67"/>
      <c r="S1359" s="77"/>
      <c r="T1359" s="76"/>
      <c r="U1359" s="65"/>
      <c r="V1359" s="68"/>
      <c r="W1359" s="70"/>
      <c r="X1359" s="68"/>
      <c r="Y1359" s="70"/>
      <c r="Z1359" s="72"/>
    </row>
    <row r="1360" spans="1:26" ht="15.75" hidden="1" customHeight="1" x14ac:dyDescent="0.25">
      <c r="A1360" s="64">
        <v>11</v>
      </c>
      <c r="B1360" s="62">
        <v>1037073208</v>
      </c>
      <c r="C1360" s="62" t="s">
        <v>25306</v>
      </c>
      <c r="D1360" s="62" t="s">
        <v>25687</v>
      </c>
      <c r="E1360" s="62" t="s">
        <v>25884</v>
      </c>
      <c r="F1360" s="62" t="s">
        <v>25193</v>
      </c>
      <c r="G1360" s="81" t="s">
        <v>19285</v>
      </c>
      <c r="H1360" s="63">
        <v>45978</v>
      </c>
      <c r="I1360" s="63">
        <v>45992</v>
      </c>
      <c r="J1360" s="62">
        <v>14</v>
      </c>
      <c r="K1360" s="62">
        <v>14</v>
      </c>
      <c r="L1360" s="62" t="s">
        <v>24995</v>
      </c>
      <c r="M1360" s="62" t="s">
        <v>24995</v>
      </c>
      <c r="N1360" s="62" t="s">
        <v>19269</v>
      </c>
      <c r="O1360" s="62" t="s">
        <v>5851</v>
      </c>
      <c r="P1360" s="42" t="str">
        <f>+IF(O1360="","",IFERROR(VLOOKUP(O1360,CODIGO_DIAGNOSTICO,2,0),"CÓDIGO NO ENCONTRADO"))</f>
        <v>PARTO UNICO ESPONTANEO, PRESENTACION CEFALICA DE VERTICE</v>
      </c>
      <c r="Q1360" s="62" t="s">
        <v>26339</v>
      </c>
      <c r="R1360" s="64"/>
      <c r="S1360" s="75"/>
      <c r="T1360" s="75"/>
      <c r="U1360" s="65"/>
      <c r="V1360" s="62"/>
      <c r="W1360" s="65"/>
      <c r="X1360" s="62"/>
      <c r="Y1360" s="65"/>
      <c r="Z1360" s="73"/>
    </row>
    <row r="1361" spans="1:26" ht="15.75" hidden="1" customHeight="1" x14ac:dyDescent="0.25">
      <c r="A1361" s="67">
        <v>11</v>
      </c>
      <c r="B1361" s="68">
        <v>71676289</v>
      </c>
      <c r="C1361" s="68" t="s">
        <v>25702</v>
      </c>
      <c r="D1361" s="68" t="s">
        <v>25012</v>
      </c>
      <c r="E1361" s="68" t="s">
        <v>25016</v>
      </c>
      <c r="F1361" s="68" t="s">
        <v>25004</v>
      </c>
      <c r="G1361" s="81" t="s">
        <v>19285</v>
      </c>
      <c r="H1361" s="69">
        <v>45979</v>
      </c>
      <c r="I1361" s="69">
        <v>45988</v>
      </c>
      <c r="J1361" s="68">
        <v>10</v>
      </c>
      <c r="K1361" s="68">
        <v>10</v>
      </c>
      <c r="L1361" s="68" t="s">
        <v>19262</v>
      </c>
      <c r="M1361" s="68" t="s">
        <v>19262</v>
      </c>
      <c r="N1361" s="62" t="s">
        <v>19269</v>
      </c>
      <c r="O1361" s="68" t="s">
        <v>5004</v>
      </c>
      <c r="P1361" s="42" t="str">
        <f>+IF(O1361="","",IFERROR(VLOOKUP(O1361,CODIGO_DIAGNOSTICO,2,0),"CÓDIGO NO ENCONTRADO"))</f>
        <v>OTRAS OSTEOMIELITIS CRONICAS</v>
      </c>
      <c r="Q1361" s="68" t="s">
        <v>19230</v>
      </c>
      <c r="R1361" s="67"/>
      <c r="S1361" s="77"/>
      <c r="T1361" s="76"/>
      <c r="U1361" s="65"/>
      <c r="V1361" s="68"/>
      <c r="W1361" s="70"/>
      <c r="X1361" s="68"/>
      <c r="Y1361" s="70"/>
      <c r="Z1361" s="72"/>
    </row>
    <row r="1362" spans="1:26" ht="15.75" hidden="1" customHeight="1" x14ac:dyDescent="0.25">
      <c r="A1362" s="64">
        <v>11</v>
      </c>
      <c r="B1362" s="62">
        <v>1214737996</v>
      </c>
      <c r="C1362" s="62" t="s">
        <v>25547</v>
      </c>
      <c r="D1362" s="62" t="s">
        <v>25969</v>
      </c>
      <c r="E1362" s="62" t="s">
        <v>26338</v>
      </c>
      <c r="F1362" s="62" t="s">
        <v>25060</v>
      </c>
      <c r="G1362" s="81" t="s">
        <v>19285</v>
      </c>
      <c r="H1362" s="63">
        <v>45980</v>
      </c>
      <c r="I1362" s="63">
        <v>46009</v>
      </c>
      <c r="J1362" s="62">
        <v>30</v>
      </c>
      <c r="K1362" s="62">
        <v>30</v>
      </c>
      <c r="L1362" s="62" t="s">
        <v>19262</v>
      </c>
      <c r="M1362" s="62" t="s">
        <v>19262</v>
      </c>
      <c r="N1362" s="62" t="s">
        <v>19269</v>
      </c>
      <c r="O1362" s="62" t="s">
        <v>7723</v>
      </c>
      <c r="P1362" s="42" t="str">
        <f>+IF(O1362="","",IFERROR(VLOOKUP(O1362,CODIGO_DIAGNOSTICO,2,0),"CÓDIGO NO ENCONTRADO"))</f>
        <v>FRACTURA DE LA EPIFISIS SUPERIOR DE LA TIBIA</v>
      </c>
      <c r="Q1362" s="62" t="s">
        <v>26339</v>
      </c>
      <c r="R1362" s="64"/>
      <c r="S1362" s="75"/>
      <c r="T1362" s="75"/>
      <c r="U1362" s="65"/>
      <c r="V1362" s="62"/>
      <c r="W1362" s="65"/>
      <c r="X1362" s="62"/>
      <c r="Y1362" s="65"/>
      <c r="Z1362" s="73"/>
    </row>
    <row r="1363" spans="1:26" ht="15.75" hidden="1" customHeight="1" x14ac:dyDescent="0.25">
      <c r="A1363" s="67">
        <v>11</v>
      </c>
      <c r="B1363" s="68">
        <v>98566804</v>
      </c>
      <c r="C1363" s="68" t="s">
        <v>26513</v>
      </c>
      <c r="D1363" s="68" t="s">
        <v>24992</v>
      </c>
      <c r="E1363" s="68" t="s">
        <v>26163</v>
      </c>
      <c r="F1363" s="68" t="s">
        <v>25091</v>
      </c>
      <c r="G1363" s="81" t="s">
        <v>19285</v>
      </c>
      <c r="H1363" s="69">
        <v>45980</v>
      </c>
      <c r="I1363" s="69">
        <v>45981</v>
      </c>
      <c r="J1363" s="68">
        <v>2</v>
      </c>
      <c r="K1363" s="68">
        <v>2</v>
      </c>
      <c r="L1363" s="68" t="s">
        <v>24995</v>
      </c>
      <c r="M1363" s="68" t="s">
        <v>24995</v>
      </c>
      <c r="N1363" s="62" t="s">
        <v>19269</v>
      </c>
      <c r="O1363" s="68" t="s">
        <v>85</v>
      </c>
      <c r="P1363" s="42" t="str">
        <f>+IF(O1363="","",IFERROR(VLOOKUP(O1363,CODIGO_DIAGNOSTICO,2,0),"CÓDIGO NO ENCONTRADO"))</f>
        <v>OTRAS ENTERITIS VIRALES</v>
      </c>
      <c r="Q1363" s="68" t="s">
        <v>26059</v>
      </c>
      <c r="R1363" s="67"/>
      <c r="S1363" s="77"/>
      <c r="T1363" s="76"/>
      <c r="U1363" s="65"/>
      <c r="V1363" s="68"/>
      <c r="W1363" s="70"/>
      <c r="X1363" s="68"/>
      <c r="Y1363" s="70"/>
      <c r="Z1363" s="72"/>
    </row>
    <row r="1364" spans="1:26" ht="15.75" hidden="1" customHeight="1" x14ac:dyDescent="0.25">
      <c r="A1364" s="64">
        <v>11</v>
      </c>
      <c r="B1364" s="62">
        <v>98496895</v>
      </c>
      <c r="C1364" s="62" t="s">
        <v>25756</v>
      </c>
      <c r="D1364" s="62" t="s">
        <v>25372</v>
      </c>
      <c r="E1364" s="62" t="s">
        <v>25028</v>
      </c>
      <c r="F1364" s="62" t="s">
        <v>25064</v>
      </c>
      <c r="G1364" s="81" t="s">
        <v>19285</v>
      </c>
      <c r="H1364" s="63">
        <v>45982</v>
      </c>
      <c r="I1364" s="63">
        <v>45984</v>
      </c>
      <c r="J1364" s="62">
        <v>3</v>
      </c>
      <c r="K1364" s="62">
        <v>3</v>
      </c>
      <c r="L1364" s="62" t="s">
        <v>24995</v>
      </c>
      <c r="M1364" s="62" t="s">
        <v>24995</v>
      </c>
      <c r="N1364" s="62" t="s">
        <v>19263</v>
      </c>
      <c r="O1364" s="62" t="s">
        <v>7794</v>
      </c>
      <c r="P1364" s="42" t="str">
        <f>+IF(O1364="","",IFERROR(VLOOKUP(O1364,CODIGO_DIAGNOSTICO,2,0),"CÓDIGO NO ENCONTRADO"))</f>
        <v>ESGUINCES Y TORCEDURAS DEL TOBILLO</v>
      </c>
      <c r="Q1364" s="62" t="s">
        <v>25001</v>
      </c>
      <c r="R1364" s="64"/>
      <c r="S1364" s="75"/>
      <c r="T1364" s="75"/>
      <c r="U1364" s="65"/>
      <c r="V1364" s="62"/>
      <c r="W1364" s="65"/>
      <c r="X1364" s="62"/>
      <c r="Y1364" s="65"/>
      <c r="Z1364" s="73"/>
    </row>
    <row r="1365" spans="1:26" ht="15.75" hidden="1" customHeight="1" x14ac:dyDescent="0.25">
      <c r="A1365" s="67">
        <v>11</v>
      </c>
      <c r="B1365" s="68">
        <v>1100081071</v>
      </c>
      <c r="C1365" s="68" t="s">
        <v>25306</v>
      </c>
      <c r="D1365" s="68" t="s">
        <v>25034</v>
      </c>
      <c r="E1365" s="68" t="s">
        <v>19278</v>
      </c>
      <c r="F1365" s="68" t="s">
        <v>25019</v>
      </c>
      <c r="G1365" s="81" t="s">
        <v>19285</v>
      </c>
      <c r="H1365" s="69">
        <v>45983</v>
      </c>
      <c r="I1365" s="69">
        <v>45985</v>
      </c>
      <c r="J1365" s="68">
        <v>3</v>
      </c>
      <c r="K1365" s="68">
        <v>3</v>
      </c>
      <c r="L1365" s="68" t="s">
        <v>24995</v>
      </c>
      <c r="M1365" s="68" t="s">
        <v>24995</v>
      </c>
      <c r="N1365" s="62" t="s">
        <v>19263</v>
      </c>
      <c r="O1365" s="68" t="s">
        <v>7713</v>
      </c>
      <c r="P1365" s="42" t="str">
        <f>+IF(O1365="","",IFERROR(VLOOKUP(O1365,CODIGO_DIAGNOSTICO,2,0),"CÓDIGO NO ENCONTRADO"))</f>
        <v>CONTUSION DE LA RODILLA</v>
      </c>
      <c r="Q1365" s="68" t="s">
        <v>25001</v>
      </c>
      <c r="R1365" s="67"/>
      <c r="S1365" s="77"/>
      <c r="T1365" s="76"/>
      <c r="U1365" s="65"/>
      <c r="V1365" s="68"/>
      <c r="W1365" s="70"/>
      <c r="X1365" s="68"/>
      <c r="Y1365" s="70"/>
      <c r="Z1365" s="72"/>
    </row>
    <row r="1366" spans="1:26" ht="15.75" hidden="1" customHeight="1" x14ac:dyDescent="0.25">
      <c r="A1366" s="64">
        <v>11</v>
      </c>
      <c r="B1366" s="62">
        <v>71382103</v>
      </c>
      <c r="C1366" s="62" t="s">
        <v>25776</v>
      </c>
      <c r="D1366" s="62" t="s">
        <v>25968</v>
      </c>
      <c r="E1366" s="62" t="s">
        <v>25198</v>
      </c>
      <c r="F1366" s="62" t="s">
        <v>25276</v>
      </c>
      <c r="G1366" s="81" t="s">
        <v>19285</v>
      </c>
      <c r="H1366" s="63">
        <v>45986</v>
      </c>
      <c r="I1366" s="63">
        <v>45988</v>
      </c>
      <c r="J1366" s="62">
        <v>3</v>
      </c>
      <c r="K1366" s="62">
        <v>3</v>
      </c>
      <c r="L1366" s="62" t="s">
        <v>24995</v>
      </c>
      <c r="M1366" s="62" t="s">
        <v>24995</v>
      </c>
      <c r="N1366" s="62" t="s">
        <v>19269</v>
      </c>
      <c r="O1366" s="62" t="s">
        <v>4650</v>
      </c>
      <c r="P1366" s="42" t="str">
        <f>+IF(O1366="","",IFERROR(VLOOKUP(O1366,CODIGO_DIAGNOSTICO,2,0),"CÓDIGO NO ENCONTRADO"))</f>
        <v>GONARTROSIS, NO ESPECIFICADA</v>
      </c>
      <c r="Q1366" s="62" t="s">
        <v>26059</v>
      </c>
      <c r="R1366" s="64"/>
      <c r="S1366" s="75"/>
      <c r="T1366" s="75"/>
      <c r="U1366" s="65"/>
      <c r="V1366" s="62"/>
      <c r="W1366" s="65"/>
      <c r="X1366" s="62"/>
      <c r="Y1366" s="65"/>
      <c r="Z1366" s="73"/>
    </row>
    <row r="1367" spans="1:26" ht="15.75" hidden="1" customHeight="1" x14ac:dyDescent="0.25">
      <c r="A1367" s="67">
        <v>11</v>
      </c>
      <c r="B1367" s="68">
        <v>1042768553</v>
      </c>
      <c r="C1367" s="68" t="s">
        <v>25432</v>
      </c>
      <c r="D1367" s="68" t="s">
        <v>25178</v>
      </c>
      <c r="E1367" s="68" t="s">
        <v>26514</v>
      </c>
      <c r="F1367" s="68" t="s">
        <v>26012</v>
      </c>
      <c r="G1367" s="81" t="s">
        <v>19285</v>
      </c>
      <c r="H1367" s="69">
        <v>45986</v>
      </c>
      <c r="I1367" s="69">
        <v>46364</v>
      </c>
      <c r="J1367" s="68">
        <v>14</v>
      </c>
      <c r="K1367" s="68">
        <v>14</v>
      </c>
      <c r="L1367" s="68" t="s">
        <v>24995</v>
      </c>
      <c r="M1367" s="68" t="s">
        <v>24995</v>
      </c>
      <c r="N1367" s="62" t="s">
        <v>19269</v>
      </c>
      <c r="O1367" s="68" t="s">
        <v>5851</v>
      </c>
      <c r="P1367" s="42" t="str">
        <f>+IF(O1367="","",IFERROR(VLOOKUP(O1367,CODIGO_DIAGNOSTICO,2,0),"CÓDIGO NO ENCONTRADO"))</f>
        <v>PARTO UNICO ESPONTANEO, PRESENTACION CEFALICA DE VERTICE</v>
      </c>
      <c r="Q1367" s="68" t="s">
        <v>19230</v>
      </c>
      <c r="R1367" s="67"/>
      <c r="S1367" s="77"/>
      <c r="T1367" s="76"/>
      <c r="U1367" s="65"/>
      <c r="V1367" s="68"/>
      <c r="W1367" s="70"/>
      <c r="X1367" s="68"/>
      <c r="Y1367" s="70"/>
      <c r="Z1367" s="72"/>
    </row>
    <row r="1368" spans="1:26" ht="15.75" hidden="1" customHeight="1" x14ac:dyDescent="0.25">
      <c r="A1368" s="64">
        <v>11</v>
      </c>
      <c r="B1368" s="62">
        <v>71382103</v>
      </c>
      <c r="C1368" s="62" t="s">
        <v>25776</v>
      </c>
      <c r="D1368" s="62" t="s">
        <v>25968</v>
      </c>
      <c r="E1368" s="62" t="s">
        <v>25198</v>
      </c>
      <c r="F1368" s="62" t="s">
        <v>25276</v>
      </c>
      <c r="G1368" s="81" t="s">
        <v>19285</v>
      </c>
      <c r="H1368" s="63">
        <v>45987</v>
      </c>
      <c r="I1368" s="63">
        <v>45989</v>
      </c>
      <c r="J1368" s="62">
        <v>3</v>
      </c>
      <c r="K1368" s="62">
        <v>3</v>
      </c>
      <c r="L1368" s="62" t="s">
        <v>24995</v>
      </c>
      <c r="M1368" s="62" t="s">
        <v>24995</v>
      </c>
      <c r="N1368" s="62" t="s">
        <v>19269</v>
      </c>
      <c r="O1368" s="62" t="s">
        <v>4650</v>
      </c>
      <c r="P1368" s="42" t="str">
        <f>+IF(O1368="","",IFERROR(VLOOKUP(O1368,CODIGO_DIAGNOSTICO,2,0),"CÓDIGO NO ENCONTRADO"))</f>
        <v>GONARTROSIS, NO ESPECIFICADA</v>
      </c>
      <c r="Q1368" s="62" t="s">
        <v>26059</v>
      </c>
      <c r="R1368" s="64"/>
      <c r="S1368" s="75"/>
      <c r="T1368" s="75"/>
      <c r="U1368" s="65"/>
      <c r="V1368" s="62"/>
      <c r="W1368" s="65"/>
      <c r="X1368" s="62"/>
      <c r="Y1368" s="65"/>
      <c r="Z1368" s="73"/>
    </row>
    <row r="1369" spans="1:26" ht="15.75" hidden="1" customHeight="1" x14ac:dyDescent="0.25">
      <c r="A1369" s="67">
        <v>11</v>
      </c>
      <c r="B1369" s="68">
        <v>1038334649</v>
      </c>
      <c r="C1369" s="68" t="s">
        <v>25281</v>
      </c>
      <c r="D1369" s="68" t="s">
        <v>25456</v>
      </c>
      <c r="E1369" s="68" t="s">
        <v>25198</v>
      </c>
      <c r="F1369" s="68" t="s">
        <v>25010</v>
      </c>
      <c r="G1369" s="81" t="s">
        <v>19285</v>
      </c>
      <c r="H1369" s="69">
        <v>45988</v>
      </c>
      <c r="I1369" s="69">
        <v>45989</v>
      </c>
      <c r="J1369" s="68">
        <v>2</v>
      </c>
      <c r="K1369" s="68">
        <v>2</v>
      </c>
      <c r="L1369" s="68" t="s">
        <v>24995</v>
      </c>
      <c r="M1369" s="68" t="s">
        <v>24995</v>
      </c>
      <c r="N1369" s="62" t="s">
        <v>19269</v>
      </c>
      <c r="O1369" s="68" t="s">
        <v>3628</v>
      </c>
      <c r="P1369" s="42" t="str">
        <f>+IF(O1369="","",IFERROR(VLOOKUP(O1369,CODIGO_DIAGNOSTICO,2,0),"CÓDIGO NO ENCONTRADO"))</f>
        <v>BRONQUITIS AGUDA, NO ESPECIFICADA</v>
      </c>
      <c r="Q1369" s="68" t="s">
        <v>26059</v>
      </c>
      <c r="R1369" s="67"/>
      <c r="S1369" s="77"/>
      <c r="T1369" s="76"/>
      <c r="U1369" s="65"/>
      <c r="V1369" s="68"/>
      <c r="W1369" s="70"/>
      <c r="X1369" s="68"/>
      <c r="Y1369" s="70"/>
      <c r="Z1369" s="72"/>
    </row>
    <row r="1370" spans="1:26" ht="15.75" hidden="1" customHeight="1" x14ac:dyDescent="0.25">
      <c r="A1370" s="64">
        <v>12</v>
      </c>
      <c r="B1370" s="62">
        <v>1017149200</v>
      </c>
      <c r="C1370" s="62" t="s">
        <v>25083</v>
      </c>
      <c r="D1370" s="62" t="s">
        <v>25593</v>
      </c>
      <c r="E1370" s="62" t="s">
        <v>26481</v>
      </c>
      <c r="F1370" s="62" t="s">
        <v>25774</v>
      </c>
      <c r="G1370" s="81" t="s">
        <v>19285</v>
      </c>
      <c r="H1370" s="63">
        <v>45992</v>
      </c>
      <c r="I1370" s="63">
        <v>46022</v>
      </c>
      <c r="J1370" s="62">
        <v>31</v>
      </c>
      <c r="K1370" s="62">
        <v>31</v>
      </c>
      <c r="L1370" s="62" t="s">
        <v>24995</v>
      </c>
      <c r="M1370" s="62" t="s">
        <v>24995</v>
      </c>
      <c r="N1370" s="62" t="s">
        <v>19269</v>
      </c>
      <c r="O1370" s="62" t="s">
        <v>5851</v>
      </c>
      <c r="P1370" s="42" t="str">
        <f>+IF(O1370="","",IFERROR(VLOOKUP(O1370,CODIGO_DIAGNOSTICO,2,0),"CÓDIGO NO ENCONTRADO"))</f>
        <v>PARTO UNICO ESPONTANEO, PRESENTACION CEFALICA DE VERTICE</v>
      </c>
      <c r="Q1370" s="62" t="s">
        <v>19230</v>
      </c>
      <c r="R1370" s="64"/>
      <c r="S1370" s="75"/>
      <c r="T1370" s="75"/>
      <c r="U1370" s="65"/>
      <c r="V1370" s="62"/>
      <c r="W1370" s="65"/>
      <c r="X1370" s="62"/>
      <c r="Y1370" s="65"/>
      <c r="Z1370" s="73"/>
    </row>
    <row r="1371" spans="1:26" ht="15.75" hidden="1" customHeight="1" x14ac:dyDescent="0.25">
      <c r="A1371" s="67">
        <v>12</v>
      </c>
      <c r="B1371" s="68">
        <v>1033368823</v>
      </c>
      <c r="C1371" s="68" t="s">
        <v>25928</v>
      </c>
      <c r="D1371" s="68" t="s">
        <v>26424</v>
      </c>
      <c r="E1371" s="68" t="s">
        <v>25434</v>
      </c>
      <c r="F1371" s="68" t="s">
        <v>25091</v>
      </c>
      <c r="G1371" s="81" t="s">
        <v>19285</v>
      </c>
      <c r="H1371" s="69">
        <v>45992</v>
      </c>
      <c r="I1371" s="69">
        <v>45992</v>
      </c>
      <c r="J1371" s="68">
        <v>1</v>
      </c>
      <c r="K1371" s="68">
        <v>1</v>
      </c>
      <c r="L1371" s="68" t="s">
        <v>24995</v>
      </c>
      <c r="M1371" s="68" t="s">
        <v>24995</v>
      </c>
      <c r="N1371" s="62" t="s">
        <v>19269</v>
      </c>
      <c r="O1371" s="68" t="s">
        <v>88</v>
      </c>
      <c r="P1371" s="42" t="str">
        <f>+IF(O1371="","",IFERROR(VLOOKUP(O1371,CODIGO_DIAGNOSTICO,2,0),"CÓDIGO NO ENCONTRADO"))</f>
        <v>DIARREA Y GASTROENTERITIS DE PRESUNTO ORIGEN INFECCIOSO</v>
      </c>
      <c r="Q1371" s="68" t="s">
        <v>24996</v>
      </c>
      <c r="R1371" s="67"/>
      <c r="S1371" s="77"/>
      <c r="T1371" s="76"/>
      <c r="U1371" s="65"/>
      <c r="V1371" s="68"/>
      <c r="W1371" s="70"/>
      <c r="X1371" s="68"/>
      <c r="Y1371" s="70"/>
      <c r="Z1371" s="72"/>
    </row>
    <row r="1372" spans="1:26" ht="15.75" hidden="1" customHeight="1" x14ac:dyDescent="0.25">
      <c r="A1372" s="64">
        <v>12</v>
      </c>
      <c r="B1372" s="62">
        <v>1036685623</v>
      </c>
      <c r="C1372" s="62" t="s">
        <v>25288</v>
      </c>
      <c r="D1372" s="62" t="s">
        <v>26432</v>
      </c>
      <c r="E1372" s="62" t="s">
        <v>26433</v>
      </c>
      <c r="F1372" s="62"/>
      <c r="G1372" s="81" t="s">
        <v>19285</v>
      </c>
      <c r="H1372" s="63">
        <v>45994</v>
      </c>
      <c r="I1372" s="63">
        <v>45994</v>
      </c>
      <c r="J1372" s="62">
        <v>1</v>
      </c>
      <c r="K1372" s="62">
        <v>1</v>
      </c>
      <c r="L1372" s="62" t="s">
        <v>24995</v>
      </c>
      <c r="M1372" s="62" t="s">
        <v>24995</v>
      </c>
      <c r="N1372" s="62" t="s">
        <v>19269</v>
      </c>
      <c r="O1372" s="62" t="s">
        <v>4026</v>
      </c>
      <c r="P1372" s="42" t="str">
        <f>+IF(O1372="","",IFERROR(VLOOKUP(O1372,CODIGO_DIAGNOSTICO,2,0),"CÓDIGO NO ENCONTRADO"))</f>
        <v>COLITIS Y GASTROENTERITIS NO INFECCIOSAS, NO ESPECIFICADAS</v>
      </c>
      <c r="Q1372" s="62" t="s">
        <v>26059</v>
      </c>
      <c r="R1372" s="64"/>
      <c r="S1372" s="75"/>
      <c r="T1372" s="75"/>
      <c r="U1372" s="65"/>
      <c r="V1372" s="62"/>
      <c r="W1372" s="65"/>
      <c r="X1372" s="62"/>
      <c r="Y1372" s="65"/>
      <c r="Z1372" s="73"/>
    </row>
    <row r="1373" spans="1:26" ht="15.75" hidden="1" customHeight="1" x14ac:dyDescent="0.25">
      <c r="A1373" s="67">
        <v>12</v>
      </c>
      <c r="B1373" s="68">
        <v>70192470</v>
      </c>
      <c r="C1373" s="68" t="s">
        <v>25065</v>
      </c>
      <c r="D1373" s="68" t="s">
        <v>25303</v>
      </c>
      <c r="E1373" s="68" t="s">
        <v>25545</v>
      </c>
      <c r="F1373" s="68" t="s">
        <v>25019</v>
      </c>
      <c r="G1373" s="81" t="s">
        <v>19285</v>
      </c>
      <c r="H1373" s="69">
        <v>45994</v>
      </c>
      <c r="I1373" s="69">
        <v>45996</v>
      </c>
      <c r="J1373" s="68">
        <v>3</v>
      </c>
      <c r="K1373" s="68">
        <v>3</v>
      </c>
      <c r="L1373" s="68" t="s">
        <v>24995</v>
      </c>
      <c r="M1373" s="68" t="s">
        <v>24995</v>
      </c>
      <c r="N1373" s="62" t="s">
        <v>19263</v>
      </c>
      <c r="O1373" s="68" t="s">
        <v>7416</v>
      </c>
      <c r="P1373" s="42" t="str">
        <f>+IF(O1373="","",IFERROR(VLOOKUP(O1373,CODIGO_DIAGNOSTICO,2,0),"CÓDIGO NO ENCONTRADO"))</f>
        <v>CONTUSION DE LA REGION LUMBOSACRA Y DE LA PELVIS</v>
      </c>
      <c r="Q1373" s="68" t="s">
        <v>25001</v>
      </c>
      <c r="R1373" s="67"/>
      <c r="S1373" s="77"/>
      <c r="T1373" s="76"/>
      <c r="U1373" s="65"/>
      <c r="V1373" s="68"/>
      <c r="W1373" s="70"/>
      <c r="X1373" s="68"/>
      <c r="Y1373" s="70"/>
      <c r="Z1373" s="72"/>
    </row>
    <row r="1374" spans="1:26" ht="15.75" hidden="1" customHeight="1" x14ac:dyDescent="0.25">
      <c r="A1374" s="64">
        <v>12</v>
      </c>
      <c r="B1374" s="62">
        <v>1037269145</v>
      </c>
      <c r="C1374" s="62" t="s">
        <v>25714</v>
      </c>
      <c r="D1374" s="62" t="s">
        <v>25432</v>
      </c>
      <c r="E1374" s="62" t="s">
        <v>26267</v>
      </c>
      <c r="F1374" s="62" t="s">
        <v>25033</v>
      </c>
      <c r="G1374" s="81" t="s">
        <v>19285</v>
      </c>
      <c r="H1374" s="63">
        <v>45994</v>
      </c>
      <c r="I1374" s="63">
        <v>45995</v>
      </c>
      <c r="J1374" s="62">
        <v>2</v>
      </c>
      <c r="K1374" s="62">
        <v>2</v>
      </c>
      <c r="L1374" s="62" t="s">
        <v>24995</v>
      </c>
      <c r="M1374" s="62" t="s">
        <v>24995</v>
      </c>
      <c r="N1374" s="62" t="s">
        <v>19269</v>
      </c>
      <c r="O1374" s="62" t="s">
        <v>2275</v>
      </c>
      <c r="P1374" s="42" t="str">
        <f>+IF(O1374="","",IFERROR(VLOOKUP(O1374,CODIGO_DIAGNOSTICO,2,0),"CÓDIGO NO ENCONTRADO"))</f>
        <v>TRASTORNO DE ANSIEDAD , NO ESPECIFICADO</v>
      </c>
      <c r="Q1374" s="62" t="s">
        <v>19230</v>
      </c>
      <c r="R1374" s="64"/>
      <c r="S1374" s="75"/>
      <c r="T1374" s="75"/>
      <c r="U1374" s="65"/>
      <c r="V1374" s="62"/>
      <c r="W1374" s="65"/>
      <c r="X1374" s="62"/>
      <c r="Y1374" s="65"/>
      <c r="Z1374" s="73"/>
    </row>
    <row r="1375" spans="1:26" ht="15.75" hidden="1" customHeight="1" x14ac:dyDescent="0.25">
      <c r="A1375" s="67">
        <v>12</v>
      </c>
      <c r="B1375" s="68">
        <v>98528134</v>
      </c>
      <c r="C1375" s="68" t="s">
        <v>25670</v>
      </c>
      <c r="D1375" s="68" t="s">
        <v>25174</v>
      </c>
      <c r="E1375" s="68" t="s">
        <v>19278</v>
      </c>
      <c r="F1375" s="68" t="s">
        <v>25028</v>
      </c>
      <c r="G1375" s="81" t="s">
        <v>19285</v>
      </c>
      <c r="H1375" s="69">
        <v>45994</v>
      </c>
      <c r="I1375" s="69">
        <v>45996</v>
      </c>
      <c r="J1375" s="68">
        <v>3</v>
      </c>
      <c r="K1375" s="68">
        <v>3</v>
      </c>
      <c r="L1375" s="68" t="s">
        <v>24995</v>
      </c>
      <c r="M1375" s="68" t="s">
        <v>24995</v>
      </c>
      <c r="N1375" s="62" t="s">
        <v>19269</v>
      </c>
      <c r="O1375" s="68" t="s">
        <v>4933</v>
      </c>
      <c r="P1375" s="42" t="str">
        <f>+IF(O1375="","",IFERROR(VLOOKUP(O1375,CODIGO_DIAGNOSTICO,2,0),"CÓDIGO NO ENCONTRADO"))</f>
        <v>TENDINITIS AQUILIANA</v>
      </c>
      <c r="Q1375" s="68" t="s">
        <v>26059</v>
      </c>
      <c r="R1375" s="67"/>
      <c r="S1375" s="77"/>
      <c r="T1375" s="76"/>
      <c r="U1375" s="65"/>
      <c r="V1375" s="68"/>
      <c r="W1375" s="70"/>
      <c r="X1375" s="68"/>
      <c r="Y1375" s="70"/>
      <c r="Z1375" s="72"/>
    </row>
    <row r="1376" spans="1:26" ht="15.75" hidden="1" customHeight="1" x14ac:dyDescent="0.25">
      <c r="A1376" s="64">
        <v>12</v>
      </c>
      <c r="B1376" s="62">
        <v>1000399903</v>
      </c>
      <c r="C1376" s="62" t="s">
        <v>25257</v>
      </c>
      <c r="D1376" s="62" t="s">
        <v>25030</v>
      </c>
      <c r="E1376" s="62" t="s">
        <v>25886</v>
      </c>
      <c r="F1376" s="62" t="s">
        <v>25060</v>
      </c>
      <c r="G1376" s="81" t="s">
        <v>19285</v>
      </c>
      <c r="H1376" s="63">
        <v>45995</v>
      </c>
      <c r="I1376" s="63">
        <v>45998</v>
      </c>
      <c r="J1376" s="62">
        <v>4</v>
      </c>
      <c r="K1376" s="62">
        <v>4</v>
      </c>
      <c r="L1376" s="62" t="s">
        <v>24995</v>
      </c>
      <c r="M1376" s="62" t="s">
        <v>24995</v>
      </c>
      <c r="N1376" s="62" t="s">
        <v>19263</v>
      </c>
      <c r="O1376" s="62" t="s">
        <v>7770</v>
      </c>
      <c r="P1376" s="42" t="str">
        <f>+IF(O1376="","",IFERROR(VLOOKUP(O1376,CODIGO_DIAGNOSTICO,2,0),"CÓDIGO NO ENCONTRADO"))</f>
        <v>CONTUSION DEL TOBILLO</v>
      </c>
      <c r="Q1376" s="62" t="s">
        <v>25001</v>
      </c>
      <c r="R1376" s="64"/>
      <c r="S1376" s="75"/>
      <c r="T1376" s="75"/>
      <c r="U1376" s="65"/>
      <c r="V1376" s="62"/>
      <c r="W1376" s="65"/>
      <c r="X1376" s="62"/>
      <c r="Y1376" s="65"/>
      <c r="Z1376" s="73"/>
    </row>
    <row r="1377" spans="1:26" ht="15.75" hidden="1" customHeight="1" x14ac:dyDescent="0.25">
      <c r="A1377" s="67">
        <v>12</v>
      </c>
      <c r="B1377" s="68">
        <v>1037620782</v>
      </c>
      <c r="C1377" s="68" t="s">
        <v>25164</v>
      </c>
      <c r="D1377" s="68" t="s">
        <v>25079</v>
      </c>
      <c r="E1377" s="68" t="s">
        <v>25250</v>
      </c>
      <c r="F1377" s="68" t="s">
        <v>25566</v>
      </c>
      <c r="G1377" s="81" t="s">
        <v>19285</v>
      </c>
      <c r="H1377" s="69">
        <v>45996</v>
      </c>
      <c r="I1377" s="69">
        <v>45998</v>
      </c>
      <c r="J1377" s="68">
        <v>3</v>
      </c>
      <c r="K1377" s="68">
        <v>3</v>
      </c>
      <c r="L1377" s="68" t="s">
        <v>24995</v>
      </c>
      <c r="M1377" s="68" t="s">
        <v>24995</v>
      </c>
      <c r="N1377" s="62" t="s">
        <v>19269</v>
      </c>
      <c r="O1377" s="68" t="s">
        <v>3572</v>
      </c>
      <c r="P1377" s="42" t="str">
        <f>+IF(O1377="","",IFERROR(VLOOKUP(O1377,CODIGO_DIAGNOSTICO,2,0),"CÓDIGO NO ENCONTRADO"))</f>
        <v>FARINGITIS AGUDA, NO ESPECIFICADA</v>
      </c>
      <c r="Q1377" s="68" t="s">
        <v>24996</v>
      </c>
      <c r="R1377" s="67"/>
      <c r="S1377" s="77"/>
      <c r="T1377" s="76"/>
      <c r="U1377" s="65"/>
      <c r="V1377" s="68"/>
      <c r="W1377" s="70"/>
      <c r="X1377" s="68"/>
      <c r="Y1377" s="70"/>
      <c r="Z1377" s="72"/>
    </row>
    <row r="1378" spans="1:26" ht="15.75" hidden="1" customHeight="1" x14ac:dyDescent="0.25">
      <c r="A1378" s="64">
        <v>12</v>
      </c>
      <c r="B1378" s="62">
        <v>1017192273</v>
      </c>
      <c r="C1378" s="62" t="s">
        <v>25921</v>
      </c>
      <c r="D1378" s="62" t="s">
        <v>25459</v>
      </c>
      <c r="E1378" s="62" t="s">
        <v>25676</v>
      </c>
      <c r="F1378" s="62" t="s">
        <v>25648</v>
      </c>
      <c r="G1378" s="81" t="s">
        <v>19285</v>
      </c>
      <c r="H1378" s="63">
        <v>45996</v>
      </c>
      <c r="I1378" s="63">
        <v>45998</v>
      </c>
      <c r="J1378" s="62">
        <v>3</v>
      </c>
      <c r="K1378" s="62">
        <v>3</v>
      </c>
      <c r="L1378" s="62" t="s">
        <v>24995</v>
      </c>
      <c r="M1378" s="62" t="s">
        <v>24995</v>
      </c>
      <c r="N1378" s="62" t="s">
        <v>19269</v>
      </c>
      <c r="O1378" s="62" t="s">
        <v>7882</v>
      </c>
      <c r="P1378" s="42" t="str">
        <f>+IF(O1378="","",IFERROR(VLOOKUP(O1378,CODIGO_DIAGNOSTICO,2,0),"CÓDIGO NO ENCONTRADO"))</f>
        <v>TRAUMATISMOS MULTIPLES, NO ESPECIFICADOS</v>
      </c>
      <c r="Q1378" s="62" t="s">
        <v>25025</v>
      </c>
      <c r="R1378" s="64"/>
      <c r="S1378" s="75"/>
      <c r="T1378" s="75"/>
      <c r="U1378" s="65"/>
      <c r="V1378" s="62"/>
      <c r="W1378" s="65"/>
      <c r="X1378" s="62"/>
      <c r="Y1378" s="65"/>
      <c r="Z1378" s="73"/>
    </row>
    <row r="1379" spans="1:26" ht="15.75" hidden="1" customHeight="1" x14ac:dyDescent="0.25">
      <c r="A1379" s="67">
        <v>12</v>
      </c>
      <c r="B1379" s="68">
        <v>1001137627</v>
      </c>
      <c r="C1379" s="68" t="s">
        <v>25776</v>
      </c>
      <c r="D1379" s="68" t="s">
        <v>25429</v>
      </c>
      <c r="E1379" s="68" t="s">
        <v>26471</v>
      </c>
      <c r="F1379" s="68" t="s">
        <v>25010</v>
      </c>
      <c r="G1379" s="81" t="s">
        <v>19285</v>
      </c>
      <c r="H1379" s="69">
        <v>45996</v>
      </c>
      <c r="I1379" s="69">
        <v>46016</v>
      </c>
      <c r="J1379" s="68">
        <v>21</v>
      </c>
      <c r="K1379" s="68">
        <v>21</v>
      </c>
      <c r="L1379" s="68" t="s">
        <v>24995</v>
      </c>
      <c r="M1379" s="68" t="s">
        <v>19262</v>
      </c>
      <c r="N1379" s="62" t="s">
        <v>19269</v>
      </c>
      <c r="O1379" s="68" t="s">
        <v>7614</v>
      </c>
      <c r="P1379" s="42" t="str">
        <f>+IF(O1379="","",IFERROR(VLOOKUP(O1379,CODIGO_DIAGNOSTICO,2,0),"CÓDIGO NO ENCONTRADO"))</f>
        <v>FRACTURA DE OTROS HUESOS METACARPIANOS</v>
      </c>
      <c r="Q1379" s="68" t="s">
        <v>25025</v>
      </c>
      <c r="R1379" s="67"/>
      <c r="S1379" s="77"/>
      <c r="T1379" s="76"/>
      <c r="U1379" s="65"/>
      <c r="V1379" s="68"/>
      <c r="W1379" s="70"/>
      <c r="X1379" s="68"/>
      <c r="Y1379" s="70"/>
      <c r="Z1379" s="72"/>
    </row>
    <row r="1380" spans="1:26" ht="15.75" hidden="1" customHeight="1" x14ac:dyDescent="0.25">
      <c r="A1380" s="64">
        <v>12</v>
      </c>
      <c r="B1380" s="62">
        <v>1193143408</v>
      </c>
      <c r="C1380" s="62" t="s">
        <v>25248</v>
      </c>
      <c r="D1380" s="62" t="s">
        <v>26515</v>
      </c>
      <c r="E1380" s="62" t="s">
        <v>25028</v>
      </c>
      <c r="F1380" s="62" t="s">
        <v>25064</v>
      </c>
      <c r="G1380" s="81" t="s">
        <v>19285</v>
      </c>
      <c r="H1380" s="63">
        <v>45996</v>
      </c>
      <c r="I1380" s="63">
        <v>45997</v>
      </c>
      <c r="J1380" s="62">
        <v>2</v>
      </c>
      <c r="K1380" s="62">
        <v>2</v>
      </c>
      <c r="L1380" s="62" t="s">
        <v>24995</v>
      </c>
      <c r="M1380" s="62" t="s">
        <v>24995</v>
      </c>
      <c r="N1380" s="62" t="s">
        <v>19269</v>
      </c>
      <c r="O1380" s="62" t="s">
        <v>539</v>
      </c>
      <c r="P1380" s="42" t="str">
        <f>+IF(O1380="","",IFERROR(VLOOKUP(O1380,CODIGO_DIAGNOSTICO,2,0),"CÓDIGO NO ENCONTRADO"))</f>
        <v>INFECCION VIRAL, NO ESPECIFICADA</v>
      </c>
      <c r="Q1380" s="62" t="s">
        <v>26339</v>
      </c>
      <c r="R1380" s="64"/>
      <c r="S1380" s="75"/>
      <c r="T1380" s="75"/>
      <c r="U1380" s="65"/>
      <c r="V1380" s="62"/>
      <c r="W1380" s="65"/>
      <c r="X1380" s="62"/>
      <c r="Y1380" s="65"/>
      <c r="Z1380" s="73"/>
    </row>
    <row r="1381" spans="1:26" ht="15.75" hidden="1" customHeight="1" x14ac:dyDescent="0.25">
      <c r="A1381" s="67">
        <v>12</v>
      </c>
      <c r="B1381" s="68">
        <v>71642375</v>
      </c>
      <c r="C1381" s="68" t="s">
        <v>25658</v>
      </c>
      <c r="D1381" s="68" t="s">
        <v>25272</v>
      </c>
      <c r="E1381" s="68" t="s">
        <v>25283</v>
      </c>
      <c r="F1381" s="68" t="s">
        <v>25135</v>
      </c>
      <c r="G1381" s="81" t="s">
        <v>19285</v>
      </c>
      <c r="H1381" s="69">
        <v>45998</v>
      </c>
      <c r="I1381" s="69">
        <v>45999</v>
      </c>
      <c r="J1381" s="68">
        <v>2</v>
      </c>
      <c r="K1381" s="68">
        <v>2</v>
      </c>
      <c r="L1381" s="68" t="s">
        <v>24995</v>
      </c>
      <c r="M1381" s="68" t="s">
        <v>24995</v>
      </c>
      <c r="N1381" s="62" t="s">
        <v>19269</v>
      </c>
      <c r="O1381" s="68" t="s">
        <v>4026</v>
      </c>
      <c r="P1381" s="42" t="str">
        <f>+IF(O1381="","",IFERROR(VLOOKUP(O1381,CODIGO_DIAGNOSTICO,2,0),"CÓDIGO NO ENCONTRADO"))</f>
        <v>COLITIS Y GASTROENTERITIS NO INFECCIOSAS, NO ESPECIFICADAS</v>
      </c>
      <c r="Q1381" s="68" t="s">
        <v>26059</v>
      </c>
      <c r="R1381" s="67"/>
      <c r="S1381" s="77"/>
      <c r="T1381" s="76"/>
      <c r="U1381" s="65"/>
      <c r="V1381" s="68"/>
      <c r="W1381" s="70"/>
      <c r="X1381" s="68"/>
      <c r="Y1381" s="70"/>
      <c r="Z1381" s="72"/>
    </row>
    <row r="1382" spans="1:26" ht="15.75" hidden="1" customHeight="1" x14ac:dyDescent="0.25">
      <c r="A1382" s="64">
        <v>12</v>
      </c>
      <c r="B1382" s="62">
        <v>1152685109</v>
      </c>
      <c r="C1382" s="62" t="s">
        <v>25372</v>
      </c>
      <c r="D1382" s="62"/>
      <c r="E1382" s="62" t="s">
        <v>25130</v>
      </c>
      <c r="F1382" s="62" t="s">
        <v>25276</v>
      </c>
      <c r="G1382" s="81" t="s">
        <v>19285</v>
      </c>
      <c r="H1382" s="63">
        <v>45998</v>
      </c>
      <c r="I1382" s="63">
        <v>45998</v>
      </c>
      <c r="J1382" s="62">
        <v>1</v>
      </c>
      <c r="K1382" s="62">
        <v>1</v>
      </c>
      <c r="L1382" s="62" t="s">
        <v>24995</v>
      </c>
      <c r="M1382" s="62" t="s">
        <v>24995</v>
      </c>
      <c r="N1382" s="62" t="s">
        <v>19269</v>
      </c>
      <c r="O1382" s="62" t="s">
        <v>3211</v>
      </c>
      <c r="P1382" s="42" t="str">
        <f>+IF(O1382="","",IFERROR(VLOOKUP(O1382,CODIGO_DIAGNOSTICO,2,0),"CÓDIGO NO ENCONTRADO"))</f>
        <v>HIPERTENSION ESENCIAL (PRIMARIA)</v>
      </c>
      <c r="Q1382" s="62" t="s">
        <v>26059</v>
      </c>
      <c r="R1382" s="64"/>
      <c r="S1382" s="75"/>
      <c r="T1382" s="75"/>
      <c r="U1382" s="65"/>
      <c r="V1382" s="62"/>
      <c r="W1382" s="65"/>
      <c r="X1382" s="62"/>
      <c r="Y1382" s="65"/>
      <c r="Z1382" s="73"/>
    </row>
    <row r="1383" spans="1:26" ht="15.75" hidden="1" customHeight="1" x14ac:dyDescent="0.25">
      <c r="A1383" s="67">
        <v>12</v>
      </c>
      <c r="B1383" s="68">
        <v>71382103</v>
      </c>
      <c r="C1383" s="68" t="s">
        <v>25274</v>
      </c>
      <c r="D1383" s="68" t="s">
        <v>25968</v>
      </c>
      <c r="E1383" s="68" t="s">
        <v>25198</v>
      </c>
      <c r="F1383" s="68" t="s">
        <v>25276</v>
      </c>
      <c r="G1383" s="81" t="s">
        <v>19285</v>
      </c>
      <c r="H1383" s="69">
        <v>46000</v>
      </c>
      <c r="I1383" s="69">
        <v>46003</v>
      </c>
      <c r="J1383" s="68">
        <v>4</v>
      </c>
      <c r="K1383" s="68">
        <v>4</v>
      </c>
      <c r="L1383" s="68" t="s">
        <v>19262</v>
      </c>
      <c r="M1383" s="68" t="s">
        <v>19262</v>
      </c>
      <c r="N1383" s="62" t="s">
        <v>19269</v>
      </c>
      <c r="O1383" s="68" t="s">
        <v>4650</v>
      </c>
      <c r="P1383" s="42" t="str">
        <f>+IF(O1383="","",IFERROR(VLOOKUP(O1383,CODIGO_DIAGNOSTICO,2,0),"CÓDIGO NO ENCONTRADO"))</f>
        <v>GONARTROSIS, NO ESPECIFICADA</v>
      </c>
      <c r="Q1383" s="68" t="s">
        <v>26059</v>
      </c>
      <c r="R1383" s="67"/>
      <c r="S1383" s="77"/>
      <c r="T1383" s="76"/>
      <c r="U1383" s="65"/>
      <c r="V1383" s="68"/>
      <c r="W1383" s="70"/>
      <c r="X1383" s="68"/>
      <c r="Y1383" s="70"/>
      <c r="Z1383" s="72"/>
    </row>
    <row r="1384" spans="1:26" ht="15.75" hidden="1" customHeight="1" x14ac:dyDescent="0.25">
      <c r="A1384" s="64">
        <v>12</v>
      </c>
      <c r="B1384" s="62">
        <v>42731660</v>
      </c>
      <c r="C1384" s="62" t="s">
        <v>25061</v>
      </c>
      <c r="D1384" s="62" t="s">
        <v>25164</v>
      </c>
      <c r="E1384" s="62" t="s">
        <v>25611</v>
      </c>
      <c r="F1384" s="62" t="s">
        <v>26224</v>
      </c>
      <c r="G1384" s="81" t="s">
        <v>19285</v>
      </c>
      <c r="H1384" s="63">
        <v>46000</v>
      </c>
      <c r="I1384" s="63">
        <v>46010</v>
      </c>
      <c r="J1384" s="62">
        <v>11</v>
      </c>
      <c r="K1384" s="62">
        <v>11</v>
      </c>
      <c r="L1384" s="62" t="s">
        <v>24995</v>
      </c>
      <c r="M1384" s="62" t="s">
        <v>24995</v>
      </c>
      <c r="N1384" s="62" t="s">
        <v>19269</v>
      </c>
      <c r="O1384" s="62" t="s">
        <v>2850</v>
      </c>
      <c r="P1384" s="42" t="str">
        <f>+IF(O1384="","",IFERROR(VLOOKUP(O1384,CODIGO_DIAGNOSTICO,2,0),"CÓDIGO NO ENCONTRADO"))</f>
        <v>PTERIGION</v>
      </c>
      <c r="Q1384" s="62" t="s">
        <v>26059</v>
      </c>
      <c r="R1384" s="64"/>
      <c r="S1384" s="75"/>
      <c r="T1384" s="75"/>
      <c r="U1384" s="65"/>
      <c r="V1384" s="62"/>
      <c r="W1384" s="65"/>
      <c r="X1384" s="62"/>
      <c r="Y1384" s="65"/>
      <c r="Z1384" s="73"/>
    </row>
    <row r="1385" spans="1:26" ht="15.75" hidden="1" customHeight="1" x14ac:dyDescent="0.25">
      <c r="A1385" s="67">
        <v>12</v>
      </c>
      <c r="B1385" s="68">
        <v>8322373</v>
      </c>
      <c r="C1385" s="68" t="s">
        <v>25346</v>
      </c>
      <c r="D1385" s="68" t="s">
        <v>25288</v>
      </c>
      <c r="E1385" s="68" t="s">
        <v>26406</v>
      </c>
      <c r="F1385" s="68"/>
      <c r="G1385" s="81" t="s">
        <v>19285</v>
      </c>
      <c r="H1385" s="69">
        <v>46000</v>
      </c>
      <c r="I1385" s="69">
        <v>46002</v>
      </c>
      <c r="J1385" s="68">
        <v>3</v>
      </c>
      <c r="K1385" s="68">
        <v>3</v>
      </c>
      <c r="L1385" s="68" t="s">
        <v>24995</v>
      </c>
      <c r="M1385" s="68" t="s">
        <v>24995</v>
      </c>
      <c r="N1385" s="62" t="s">
        <v>19269</v>
      </c>
      <c r="O1385" s="68" t="s">
        <v>2692</v>
      </c>
      <c r="P1385" s="42" t="str">
        <f>+IF(O1385="","",IFERROR(VLOOKUP(O1385,CODIGO_DIAGNOSTICO,2,0),"CÓDIGO NO ENCONTRADO"))</f>
        <v>POLINEUROPATIA INFLAMATORIA, NO ESPECIFICADA</v>
      </c>
      <c r="Q1385" s="68" t="s">
        <v>24996</v>
      </c>
      <c r="R1385" s="67"/>
      <c r="S1385" s="77"/>
      <c r="T1385" s="76"/>
      <c r="U1385" s="65"/>
      <c r="V1385" s="68"/>
      <c r="W1385" s="70"/>
      <c r="X1385" s="68"/>
      <c r="Y1385" s="70"/>
      <c r="Z1385" s="72"/>
    </row>
    <row r="1386" spans="1:26" ht="15.75" hidden="1" customHeight="1" x14ac:dyDescent="0.25">
      <c r="A1386" s="64">
        <v>12</v>
      </c>
      <c r="B1386" s="62">
        <v>98514610</v>
      </c>
      <c r="C1386" s="62" t="s">
        <v>24987</v>
      </c>
      <c r="D1386" s="62" t="s">
        <v>24984</v>
      </c>
      <c r="E1386" s="62" t="s">
        <v>19278</v>
      </c>
      <c r="F1386" s="62" t="s">
        <v>24986</v>
      </c>
      <c r="G1386" s="81" t="s">
        <v>19285</v>
      </c>
      <c r="H1386" s="63">
        <v>46002</v>
      </c>
      <c r="I1386" s="63">
        <v>46006</v>
      </c>
      <c r="J1386" s="62">
        <v>5</v>
      </c>
      <c r="K1386" s="62">
        <v>5</v>
      </c>
      <c r="L1386" s="62" t="s">
        <v>24995</v>
      </c>
      <c r="M1386" s="62" t="s">
        <v>24995</v>
      </c>
      <c r="N1386" s="62" t="s">
        <v>19269</v>
      </c>
      <c r="O1386" s="62" t="s">
        <v>4690</v>
      </c>
      <c r="P1386" s="42" t="str">
        <f>+IF(O1386="","",IFERROR(VLOOKUP(O1386,CODIGO_DIAGNOSTICO,2,0),"CÓDIGO NO ENCONTRADO"))</f>
        <v>OTROS TRASTORNOS DE LOS MENISCOS</v>
      </c>
      <c r="Q1386" s="62" t="s">
        <v>26059</v>
      </c>
      <c r="R1386" s="64"/>
      <c r="S1386" s="75"/>
      <c r="T1386" s="75"/>
      <c r="U1386" s="65"/>
      <c r="V1386" s="62"/>
      <c r="W1386" s="65"/>
      <c r="X1386" s="62"/>
      <c r="Y1386" s="65"/>
      <c r="Z1386" s="73"/>
    </row>
    <row r="1387" spans="1:26" ht="15.75" hidden="1" customHeight="1" x14ac:dyDescent="0.25">
      <c r="A1387" s="67">
        <v>12</v>
      </c>
      <c r="B1387" s="68">
        <v>70108742</v>
      </c>
      <c r="C1387" s="68" t="s">
        <v>25075</v>
      </c>
      <c r="D1387" s="68" t="s">
        <v>25510</v>
      </c>
      <c r="E1387" s="68" t="s">
        <v>25884</v>
      </c>
      <c r="F1387" s="68"/>
      <c r="G1387" s="81" t="s">
        <v>19285</v>
      </c>
      <c r="H1387" s="69">
        <v>46002</v>
      </c>
      <c r="I1387" s="69">
        <v>45666</v>
      </c>
      <c r="J1387" s="68">
        <v>30</v>
      </c>
      <c r="K1387" s="68">
        <v>30</v>
      </c>
      <c r="L1387" s="68" t="s">
        <v>24995</v>
      </c>
      <c r="M1387" s="68" t="s">
        <v>19262</v>
      </c>
      <c r="N1387" s="62" t="s">
        <v>19269</v>
      </c>
      <c r="O1387" s="68" t="s">
        <v>1270</v>
      </c>
      <c r="P1387" s="42" t="str">
        <f>+IF(O1387="","",IFERROR(VLOOKUP(O1387,CODIGO_DIAGNOSTICO,2,0),"CÓDIGO NO ENCONTRADO"))</f>
        <v>CARCINOMA IN SITU DEL BRONQUIO Y DEL PULMON</v>
      </c>
      <c r="Q1387" s="68" t="s">
        <v>26059</v>
      </c>
      <c r="R1387" s="67"/>
      <c r="S1387" s="77"/>
      <c r="T1387" s="76"/>
      <c r="U1387" s="65"/>
      <c r="V1387" s="68"/>
      <c r="W1387" s="70"/>
      <c r="X1387" s="68"/>
      <c r="Y1387" s="70"/>
      <c r="Z1387" s="72"/>
    </row>
    <row r="1388" spans="1:26" ht="15.75" hidden="1" customHeight="1" x14ac:dyDescent="0.25">
      <c r="A1388" s="64">
        <v>12</v>
      </c>
      <c r="B1388" s="62">
        <v>15309929</v>
      </c>
      <c r="C1388" s="62" t="s">
        <v>25011</v>
      </c>
      <c r="D1388" s="62" t="s">
        <v>25012</v>
      </c>
      <c r="E1388" s="62" t="s">
        <v>25048</v>
      </c>
      <c r="F1388" s="62" t="s">
        <v>25014</v>
      </c>
      <c r="G1388" s="81" t="s">
        <v>19285</v>
      </c>
      <c r="H1388" s="63">
        <v>46003</v>
      </c>
      <c r="I1388" s="63">
        <v>46024</v>
      </c>
      <c r="J1388" s="62">
        <v>22</v>
      </c>
      <c r="K1388" s="62">
        <v>22</v>
      </c>
      <c r="L1388" s="62" t="s">
        <v>24995</v>
      </c>
      <c r="M1388" s="62" t="s">
        <v>19262</v>
      </c>
      <c r="N1388" s="62" t="s">
        <v>19269</v>
      </c>
      <c r="O1388" s="62" t="s">
        <v>2661</v>
      </c>
      <c r="P1388" s="42" t="str">
        <f>+IF(O1388="","",IFERROR(VLOOKUP(O1388,CODIGO_DIAGNOSTICO,2,0),"CÓDIGO NO ENCONTRADO"))</f>
        <v>SINDROME DEL TUNEL CARPIANO</v>
      </c>
      <c r="Q1388" s="62" t="s">
        <v>26059</v>
      </c>
      <c r="R1388" s="64"/>
      <c r="S1388" s="75"/>
      <c r="T1388" s="75"/>
      <c r="U1388" s="65"/>
      <c r="V1388" s="62"/>
      <c r="W1388" s="65"/>
      <c r="X1388" s="62"/>
      <c r="Y1388" s="65"/>
      <c r="Z1388" s="73"/>
    </row>
    <row r="1389" spans="1:26" ht="15.75" hidden="1" customHeight="1" x14ac:dyDescent="0.25">
      <c r="A1389" s="67">
        <v>12</v>
      </c>
      <c r="B1389" s="68">
        <v>98594342</v>
      </c>
      <c r="C1389" s="68" t="s">
        <v>25424</v>
      </c>
      <c r="D1389" s="68" t="s">
        <v>25164</v>
      </c>
      <c r="E1389" s="68" t="s">
        <v>25493</v>
      </c>
      <c r="F1389" s="68" t="s">
        <v>25020</v>
      </c>
      <c r="G1389" s="81" t="s">
        <v>19285</v>
      </c>
      <c r="H1389" s="69">
        <v>46004</v>
      </c>
      <c r="I1389" s="69">
        <v>46011</v>
      </c>
      <c r="J1389" s="68">
        <v>8</v>
      </c>
      <c r="K1389" s="68">
        <v>8</v>
      </c>
      <c r="L1389" s="68" t="s">
        <v>24995</v>
      </c>
      <c r="M1389" s="68" t="s">
        <v>24995</v>
      </c>
      <c r="N1389" s="62" t="s">
        <v>19269</v>
      </c>
      <c r="O1389" s="68" t="s">
        <v>7718</v>
      </c>
      <c r="P1389" s="42" t="str">
        <f>+IF(O1389="","",IFERROR(VLOOKUP(O1389,CODIGO_DIAGNOSTICO,2,0),"CÓDIGO NO ENCONTRADO"))</f>
        <v>HERIDA DE LA RODILLA</v>
      </c>
      <c r="Q1389" s="68" t="s">
        <v>25025</v>
      </c>
      <c r="R1389" s="67"/>
      <c r="S1389" s="77"/>
      <c r="T1389" s="76"/>
      <c r="U1389" s="65"/>
      <c r="V1389" s="68"/>
      <c r="W1389" s="70"/>
      <c r="X1389" s="68"/>
      <c r="Y1389" s="70"/>
      <c r="Z1389" s="72"/>
    </row>
    <row r="1390" spans="1:26" ht="15.75" hidden="1" customHeight="1" x14ac:dyDescent="0.25">
      <c r="A1390" s="64">
        <v>12</v>
      </c>
      <c r="B1390" s="62">
        <v>71676289</v>
      </c>
      <c r="C1390" s="62" t="s">
        <v>25702</v>
      </c>
      <c r="D1390" s="62" t="s">
        <v>25012</v>
      </c>
      <c r="E1390" s="62" t="s">
        <v>25016</v>
      </c>
      <c r="F1390" s="62" t="s">
        <v>25004</v>
      </c>
      <c r="G1390" s="81" t="s">
        <v>19285</v>
      </c>
      <c r="H1390" s="63">
        <v>46004</v>
      </c>
      <c r="I1390" s="63">
        <v>46018</v>
      </c>
      <c r="J1390" s="62">
        <v>15</v>
      </c>
      <c r="K1390" s="62">
        <v>15</v>
      </c>
      <c r="L1390" s="62" t="s">
        <v>19262</v>
      </c>
      <c r="M1390" s="62" t="s">
        <v>19262</v>
      </c>
      <c r="N1390" s="62" t="s">
        <v>19269</v>
      </c>
      <c r="O1390" s="62" t="s">
        <v>5004</v>
      </c>
      <c r="P1390" s="42" t="str">
        <f>+IF(O1390="","",IFERROR(VLOOKUP(O1390,CODIGO_DIAGNOSTICO,2,0),"CÓDIGO NO ENCONTRADO"))</f>
        <v>OTRAS OSTEOMIELITIS CRONICAS</v>
      </c>
      <c r="Q1390" s="62" t="s">
        <v>26059</v>
      </c>
      <c r="R1390" s="64"/>
      <c r="S1390" s="75"/>
      <c r="T1390" s="75"/>
      <c r="U1390" s="65"/>
      <c r="V1390" s="62"/>
      <c r="W1390" s="65"/>
      <c r="X1390" s="62"/>
      <c r="Y1390" s="65"/>
      <c r="Z1390" s="73"/>
    </row>
    <row r="1391" spans="1:26" ht="15.75" hidden="1" customHeight="1" x14ac:dyDescent="0.25">
      <c r="A1391" s="67">
        <v>12</v>
      </c>
      <c r="B1391" s="68">
        <v>70434710</v>
      </c>
      <c r="C1391" s="68" t="s">
        <v>25463</v>
      </c>
      <c r="D1391" s="68" t="s">
        <v>26489</v>
      </c>
      <c r="E1391" s="68" t="s">
        <v>26516</v>
      </c>
      <c r="F1391" s="68"/>
      <c r="G1391" s="81" t="s">
        <v>19285</v>
      </c>
      <c r="H1391" s="69">
        <v>46007</v>
      </c>
      <c r="I1391" s="69">
        <v>46016</v>
      </c>
      <c r="J1391" s="68">
        <v>10</v>
      </c>
      <c r="K1391" s="68">
        <v>10</v>
      </c>
      <c r="L1391" s="68" t="s">
        <v>24995</v>
      </c>
      <c r="M1391" s="68" t="s">
        <v>24995</v>
      </c>
      <c r="N1391" s="62" t="s">
        <v>19269</v>
      </c>
      <c r="O1391" s="68" t="s">
        <v>7546</v>
      </c>
      <c r="P1391" s="42" t="str">
        <f>+IF(O1391="","",IFERROR(VLOOKUP(O1391,CODIGO_DIAGNOSTICO,2,0),"CÓDIGO NO ENCONTRADO"))</f>
        <v>CONTUSION DEL CODO</v>
      </c>
      <c r="Q1391" s="68" t="s">
        <v>25025</v>
      </c>
      <c r="R1391" s="67"/>
      <c r="S1391" s="77"/>
      <c r="T1391" s="76"/>
      <c r="U1391" s="65"/>
      <c r="V1391" s="68"/>
      <c r="W1391" s="70"/>
      <c r="X1391" s="68"/>
      <c r="Y1391" s="70"/>
      <c r="Z1391" s="72"/>
    </row>
    <row r="1392" spans="1:26" ht="15.75" hidden="1" customHeight="1" x14ac:dyDescent="0.25">
      <c r="A1392" s="64">
        <v>12</v>
      </c>
      <c r="B1392" s="62">
        <v>71382103</v>
      </c>
      <c r="C1392" s="62" t="s">
        <v>25776</v>
      </c>
      <c r="D1392" s="62" t="s">
        <v>25968</v>
      </c>
      <c r="E1392" s="62" t="s">
        <v>25198</v>
      </c>
      <c r="F1392" s="62" t="s">
        <v>25276</v>
      </c>
      <c r="G1392" s="81" t="s">
        <v>19285</v>
      </c>
      <c r="H1392" s="63">
        <v>46007</v>
      </c>
      <c r="I1392" s="63">
        <v>46009</v>
      </c>
      <c r="J1392" s="62">
        <v>3</v>
      </c>
      <c r="K1392" s="62">
        <v>3</v>
      </c>
      <c r="L1392" s="62" t="s">
        <v>24995</v>
      </c>
      <c r="M1392" s="62" t="s">
        <v>19262</v>
      </c>
      <c r="N1392" s="62" t="s">
        <v>19269</v>
      </c>
      <c r="O1392" s="62" t="s">
        <v>4837</v>
      </c>
      <c r="P1392" s="42" t="str">
        <f>+IF(O1392="","",IFERROR(VLOOKUP(O1392,CODIGO_DIAGNOSTICO,2,0),"CÓDIGO NO ENCONTRADO"))</f>
        <v>LUMBAGO CON CIATICA</v>
      </c>
      <c r="Q1392" s="62" t="s">
        <v>26059</v>
      </c>
      <c r="R1392" s="64"/>
      <c r="S1392" s="75"/>
      <c r="T1392" s="75"/>
      <c r="U1392" s="65"/>
      <c r="V1392" s="62"/>
      <c r="W1392" s="65"/>
      <c r="X1392" s="62"/>
      <c r="Y1392" s="65"/>
      <c r="Z1392" s="73"/>
    </row>
    <row r="1393" spans="1:26" ht="15.75" hidden="1" customHeight="1" x14ac:dyDescent="0.25">
      <c r="A1393" s="67">
        <v>12</v>
      </c>
      <c r="B1393" s="68">
        <v>70192470</v>
      </c>
      <c r="C1393" s="68" t="s">
        <v>25065</v>
      </c>
      <c r="D1393" s="68" t="s">
        <v>25303</v>
      </c>
      <c r="E1393" s="68" t="s">
        <v>25545</v>
      </c>
      <c r="F1393" s="68" t="s">
        <v>25019</v>
      </c>
      <c r="G1393" s="81" t="s">
        <v>19285</v>
      </c>
      <c r="H1393" s="69">
        <v>46009</v>
      </c>
      <c r="I1393" s="69">
        <v>46018</v>
      </c>
      <c r="J1393" s="68">
        <v>10</v>
      </c>
      <c r="K1393" s="68">
        <v>10</v>
      </c>
      <c r="L1393" s="68" t="s">
        <v>19262</v>
      </c>
      <c r="M1393" s="68" t="s">
        <v>19262</v>
      </c>
      <c r="N1393" s="62" t="s">
        <v>19263</v>
      </c>
      <c r="O1393" s="68" t="s">
        <v>7416</v>
      </c>
      <c r="P1393" s="42" t="str">
        <f>+IF(O1393="","",IFERROR(VLOOKUP(O1393,CODIGO_DIAGNOSTICO,2,0),"CÓDIGO NO ENCONTRADO"))</f>
        <v>CONTUSION DE LA REGION LUMBOSACRA Y DE LA PELVIS</v>
      </c>
      <c r="Q1393" s="68" t="s">
        <v>25001</v>
      </c>
      <c r="R1393" s="67"/>
      <c r="S1393" s="77"/>
      <c r="T1393" s="76"/>
      <c r="U1393" s="65"/>
      <c r="V1393" s="68"/>
      <c r="W1393" s="70"/>
      <c r="X1393" s="68"/>
      <c r="Y1393" s="70"/>
      <c r="Z1393" s="72"/>
    </row>
    <row r="1394" spans="1:26" ht="15.75" hidden="1" customHeight="1" x14ac:dyDescent="0.25">
      <c r="A1394" s="64">
        <v>12</v>
      </c>
      <c r="B1394" s="62">
        <v>71382103</v>
      </c>
      <c r="C1394" s="62" t="s">
        <v>25776</v>
      </c>
      <c r="D1394" s="62" t="s">
        <v>25968</v>
      </c>
      <c r="E1394" s="62" t="s">
        <v>25198</v>
      </c>
      <c r="F1394" s="62" t="s">
        <v>25276</v>
      </c>
      <c r="G1394" s="81" t="s">
        <v>19285</v>
      </c>
      <c r="H1394" s="63">
        <v>46010</v>
      </c>
      <c r="I1394" s="63">
        <v>46013</v>
      </c>
      <c r="J1394" s="62">
        <v>4</v>
      </c>
      <c r="K1394" s="62">
        <v>4</v>
      </c>
      <c r="L1394" s="62" t="s">
        <v>19262</v>
      </c>
      <c r="M1394" s="62" t="s">
        <v>19262</v>
      </c>
      <c r="N1394" s="62" t="s">
        <v>19269</v>
      </c>
      <c r="O1394" s="62" t="s">
        <v>7060</v>
      </c>
      <c r="P1394" s="42" t="str">
        <f>+IF(O1394="","",IFERROR(VLOOKUP(O1394,CODIGO_DIAGNOSTICO,2,0),"CÓDIGO NO ENCONTRADO"))</f>
        <v>OTRO DOLOR CRONICO</v>
      </c>
      <c r="Q1394" s="62" t="s">
        <v>19230</v>
      </c>
      <c r="R1394" s="64"/>
      <c r="S1394" s="75"/>
      <c r="T1394" s="75"/>
      <c r="U1394" s="65"/>
      <c r="V1394" s="62"/>
      <c r="W1394" s="65"/>
      <c r="X1394" s="62"/>
      <c r="Y1394" s="65"/>
      <c r="Z1394" s="73"/>
    </row>
    <row r="1395" spans="1:26" ht="15.75" hidden="1" customHeight="1" x14ac:dyDescent="0.25">
      <c r="A1395" s="67">
        <v>12</v>
      </c>
      <c r="B1395" s="68">
        <v>1214737996</v>
      </c>
      <c r="C1395" s="68" t="s">
        <v>25547</v>
      </c>
      <c r="D1395" s="68" t="s">
        <v>25969</v>
      </c>
      <c r="E1395" s="68" t="s">
        <v>26338</v>
      </c>
      <c r="F1395" s="68" t="s">
        <v>25060</v>
      </c>
      <c r="G1395" s="81" t="s">
        <v>19285</v>
      </c>
      <c r="H1395" s="69">
        <v>46010</v>
      </c>
      <c r="I1395" s="69">
        <v>46012</v>
      </c>
      <c r="J1395" s="68">
        <v>3</v>
      </c>
      <c r="K1395" s="68">
        <v>3</v>
      </c>
      <c r="L1395" s="68" t="s">
        <v>19262</v>
      </c>
      <c r="M1395" s="68" t="s">
        <v>19262</v>
      </c>
      <c r="N1395" s="62" t="s">
        <v>19269</v>
      </c>
      <c r="O1395" s="68" t="s">
        <v>7723</v>
      </c>
      <c r="P1395" s="42" t="str">
        <f>+IF(O1395="","",IFERROR(VLOOKUP(O1395,CODIGO_DIAGNOSTICO,2,0),"CÓDIGO NO ENCONTRADO"))</f>
        <v>FRACTURA DE LA EPIFISIS SUPERIOR DE LA TIBIA</v>
      </c>
      <c r="Q1395" s="68" t="s">
        <v>26339</v>
      </c>
      <c r="R1395" s="67"/>
      <c r="S1395" s="77"/>
      <c r="T1395" s="76"/>
      <c r="U1395" s="65"/>
      <c r="V1395" s="68"/>
      <c r="W1395" s="70"/>
      <c r="X1395" s="68"/>
      <c r="Y1395" s="70"/>
      <c r="Z1395" s="72"/>
    </row>
    <row r="1396" spans="1:26" ht="15.75" hidden="1" customHeight="1" x14ac:dyDescent="0.25">
      <c r="A1396" s="64">
        <v>12</v>
      </c>
      <c r="B1396" s="62">
        <v>42731660</v>
      </c>
      <c r="C1396" s="62" t="s">
        <v>25061</v>
      </c>
      <c r="D1396" s="62" t="s">
        <v>25164</v>
      </c>
      <c r="E1396" s="62" t="s">
        <v>25611</v>
      </c>
      <c r="F1396" s="62" t="s">
        <v>26224</v>
      </c>
      <c r="G1396" s="81" t="s">
        <v>19285</v>
      </c>
      <c r="H1396" s="63">
        <v>46011</v>
      </c>
      <c r="I1396" s="63">
        <v>46012</v>
      </c>
      <c r="J1396" s="62">
        <v>2</v>
      </c>
      <c r="K1396" s="62">
        <v>2</v>
      </c>
      <c r="L1396" s="62" t="s">
        <v>19262</v>
      </c>
      <c r="M1396" s="62" t="s">
        <v>24995</v>
      </c>
      <c r="N1396" s="62" t="s">
        <v>19269</v>
      </c>
      <c r="O1396" s="62" t="s">
        <v>2850</v>
      </c>
      <c r="P1396" s="42" t="str">
        <f>+IF(O1396="","",IFERROR(VLOOKUP(O1396,CODIGO_DIAGNOSTICO,2,0),"CÓDIGO NO ENCONTRADO"))</f>
        <v>PTERIGION</v>
      </c>
      <c r="Q1396" s="62" t="s">
        <v>26059</v>
      </c>
      <c r="R1396" s="64"/>
      <c r="S1396" s="75"/>
      <c r="T1396" s="75"/>
      <c r="U1396" s="65"/>
      <c r="V1396" s="62"/>
      <c r="W1396" s="65"/>
      <c r="X1396" s="62"/>
      <c r="Y1396" s="65"/>
      <c r="Z1396" s="73"/>
    </row>
    <row r="1397" spans="1:26" ht="15.75" hidden="1" customHeight="1" x14ac:dyDescent="0.25">
      <c r="A1397" s="67">
        <v>12</v>
      </c>
      <c r="B1397" s="68">
        <v>8408459</v>
      </c>
      <c r="C1397" s="68" t="s">
        <v>25284</v>
      </c>
      <c r="D1397" s="68" t="s">
        <v>25164</v>
      </c>
      <c r="E1397" s="68" t="s">
        <v>25820</v>
      </c>
      <c r="F1397" s="68" t="s">
        <v>25103</v>
      </c>
      <c r="G1397" s="81" t="s">
        <v>19285</v>
      </c>
      <c r="H1397" s="69">
        <v>46013</v>
      </c>
      <c r="I1397" s="69">
        <v>46014</v>
      </c>
      <c r="J1397" s="68">
        <v>2</v>
      </c>
      <c r="K1397" s="68">
        <v>2</v>
      </c>
      <c r="L1397" s="68" t="s">
        <v>24995</v>
      </c>
      <c r="M1397" s="68" t="s">
        <v>24995</v>
      </c>
      <c r="N1397" s="62" t="s">
        <v>19269</v>
      </c>
      <c r="O1397" s="68" t="s">
        <v>85</v>
      </c>
      <c r="P1397" s="42" t="str">
        <f>+IF(O1397="","",IFERROR(VLOOKUP(O1397,CODIGO_DIAGNOSTICO,2,0),"CÓDIGO NO ENCONTRADO"))</f>
        <v>OTRAS ENTERITIS VIRALES</v>
      </c>
      <c r="Q1397" s="68" t="s">
        <v>19230</v>
      </c>
      <c r="R1397" s="67"/>
      <c r="S1397" s="77"/>
      <c r="T1397" s="76"/>
      <c r="U1397" s="65"/>
      <c r="V1397" s="68"/>
      <c r="W1397" s="70"/>
      <c r="X1397" s="68"/>
      <c r="Y1397" s="70"/>
      <c r="Z1397" s="72"/>
    </row>
    <row r="1398" spans="1:26" ht="15.75" hidden="1" customHeight="1" x14ac:dyDescent="0.25">
      <c r="A1398" s="64">
        <v>12</v>
      </c>
      <c r="B1398" s="62">
        <v>75037732</v>
      </c>
      <c r="C1398" s="62" t="s">
        <v>26457</v>
      </c>
      <c r="D1398" s="62" t="s">
        <v>25061</v>
      </c>
      <c r="E1398" s="62" t="s">
        <v>26497</v>
      </c>
      <c r="F1398" s="62" t="s">
        <v>25103</v>
      </c>
      <c r="G1398" s="81" t="s">
        <v>19285</v>
      </c>
      <c r="H1398" s="63">
        <v>46013</v>
      </c>
      <c r="I1398" s="63">
        <v>46042</v>
      </c>
      <c r="J1398" s="62">
        <v>30</v>
      </c>
      <c r="K1398" s="62">
        <v>30</v>
      </c>
      <c r="L1398" s="62" t="s">
        <v>25995</v>
      </c>
      <c r="M1398" s="62" t="s">
        <v>19262</v>
      </c>
      <c r="N1398" s="62" t="s">
        <v>19263</v>
      </c>
      <c r="O1398" s="62" t="s">
        <v>7726</v>
      </c>
      <c r="P1398" s="42" t="str">
        <f>+IF(O1398="","",IFERROR(VLOOKUP(O1398,CODIGO_DIAGNOSTICO,2,0),"CÓDIGO NO ENCONTRADO"))</f>
        <v>FRACTURA DEL PERONE SOLAMENTE</v>
      </c>
      <c r="Q1398" s="62" t="s">
        <v>25001</v>
      </c>
      <c r="R1398" s="64"/>
      <c r="S1398" s="75"/>
      <c r="T1398" s="75"/>
      <c r="U1398" s="65"/>
      <c r="V1398" s="62"/>
      <c r="W1398" s="65"/>
      <c r="X1398" s="62"/>
      <c r="Y1398" s="65"/>
      <c r="Z1398" s="73"/>
    </row>
    <row r="1399" spans="1:26" ht="15.75" hidden="1" customHeight="1" x14ac:dyDescent="0.25">
      <c r="A1399" s="67">
        <v>12</v>
      </c>
      <c r="B1399" s="68">
        <v>98700987</v>
      </c>
      <c r="C1399" s="68" t="s">
        <v>25326</v>
      </c>
      <c r="D1399" s="68" t="s">
        <v>25462</v>
      </c>
      <c r="E1399" s="68" t="s">
        <v>6</v>
      </c>
      <c r="F1399" s="68" t="s">
        <v>25878</v>
      </c>
      <c r="G1399" s="81" t="s">
        <v>19285</v>
      </c>
      <c r="H1399" s="69">
        <v>46013</v>
      </c>
      <c r="I1399" s="69">
        <v>46027</v>
      </c>
      <c r="J1399" s="68">
        <v>15</v>
      </c>
      <c r="K1399" s="68">
        <v>15</v>
      </c>
      <c r="L1399" s="68" t="s">
        <v>24995</v>
      </c>
      <c r="M1399" s="68" t="s">
        <v>19262</v>
      </c>
      <c r="N1399" s="62" t="s">
        <v>19269</v>
      </c>
      <c r="O1399" s="68" t="s">
        <v>7784</v>
      </c>
      <c r="P1399" s="42" t="str">
        <f>+IF(O1399="","",IFERROR(VLOOKUP(O1399,CODIGO_DIAGNOSTICO,2,0),"CÓDIGO NO ENCONTRADO"))</f>
        <v>FRACTURA DE OTRO(S) HUESO(S) DEL TARSO</v>
      </c>
      <c r="Q1399" s="68" t="s">
        <v>26059</v>
      </c>
      <c r="R1399" s="67"/>
      <c r="S1399" s="77"/>
      <c r="T1399" s="76"/>
      <c r="U1399" s="65"/>
      <c r="V1399" s="68"/>
      <c r="W1399" s="70"/>
      <c r="X1399" s="68"/>
      <c r="Y1399" s="70"/>
      <c r="Z1399" s="72"/>
    </row>
    <row r="1400" spans="1:26" ht="15.75" hidden="1" customHeight="1" x14ac:dyDescent="0.25">
      <c r="A1400" s="64">
        <v>12</v>
      </c>
      <c r="B1400" s="62">
        <v>1214737996</v>
      </c>
      <c r="C1400" s="62" t="s">
        <v>25547</v>
      </c>
      <c r="D1400" s="62" t="s">
        <v>25969</v>
      </c>
      <c r="E1400" s="62" t="s">
        <v>26338</v>
      </c>
      <c r="F1400" s="62" t="s">
        <v>25060</v>
      </c>
      <c r="G1400" s="81" t="s">
        <v>19285</v>
      </c>
      <c r="H1400" s="63">
        <v>46013</v>
      </c>
      <c r="I1400" s="63">
        <v>46042</v>
      </c>
      <c r="J1400" s="62">
        <v>30</v>
      </c>
      <c r="K1400" s="62">
        <v>30</v>
      </c>
      <c r="L1400" s="62" t="s">
        <v>19262</v>
      </c>
      <c r="M1400" s="62" t="s">
        <v>19262</v>
      </c>
      <c r="N1400" s="62" t="s">
        <v>19269</v>
      </c>
      <c r="O1400" s="62" t="s">
        <v>7723</v>
      </c>
      <c r="P1400" s="42" t="str">
        <f>+IF(O1400="","",IFERROR(VLOOKUP(O1400,CODIGO_DIAGNOSTICO,2,0),"CÓDIGO NO ENCONTRADO"))</f>
        <v>FRACTURA DE LA EPIFISIS SUPERIOR DE LA TIBIA</v>
      </c>
      <c r="Q1400" s="62" t="s">
        <v>26339</v>
      </c>
      <c r="R1400" s="64"/>
      <c r="S1400" s="75"/>
      <c r="T1400" s="75"/>
      <c r="U1400" s="65"/>
      <c r="V1400" s="62"/>
      <c r="W1400" s="65"/>
      <c r="X1400" s="62"/>
      <c r="Y1400" s="65"/>
      <c r="Z1400" s="73"/>
    </row>
    <row r="1401" spans="1:26" ht="15.75" hidden="1" customHeight="1" x14ac:dyDescent="0.25">
      <c r="A1401" s="67">
        <v>12</v>
      </c>
      <c r="B1401" s="68">
        <v>71382103</v>
      </c>
      <c r="C1401" s="68" t="s">
        <v>25776</v>
      </c>
      <c r="D1401" s="68" t="s">
        <v>25968</v>
      </c>
      <c r="E1401" s="68" t="s">
        <v>25198</v>
      </c>
      <c r="F1401" s="68" t="s">
        <v>25276</v>
      </c>
      <c r="G1401" s="81" t="s">
        <v>19285</v>
      </c>
      <c r="H1401" s="69">
        <v>46014</v>
      </c>
      <c r="I1401" s="69">
        <v>46017</v>
      </c>
      <c r="J1401" s="68">
        <v>4</v>
      </c>
      <c r="K1401" s="68">
        <v>4</v>
      </c>
      <c r="L1401" s="68" t="s">
        <v>19262</v>
      </c>
      <c r="M1401" s="68" t="s">
        <v>19262</v>
      </c>
      <c r="N1401" s="62" t="s">
        <v>19269</v>
      </c>
      <c r="O1401" s="68" t="s">
        <v>4837</v>
      </c>
      <c r="P1401" s="42" t="str">
        <f>+IF(O1401="","",IFERROR(VLOOKUP(O1401,CODIGO_DIAGNOSTICO,2,0),"CÓDIGO NO ENCONTRADO"))</f>
        <v>LUMBAGO CON CIATICA</v>
      </c>
      <c r="Q1401" s="68" t="s">
        <v>26059</v>
      </c>
      <c r="R1401" s="67"/>
      <c r="S1401" s="77"/>
      <c r="T1401" s="76"/>
      <c r="U1401" s="65"/>
      <c r="V1401" s="68"/>
      <c r="W1401" s="70"/>
      <c r="X1401" s="68"/>
      <c r="Y1401" s="70"/>
      <c r="Z1401" s="72"/>
    </row>
    <row r="1402" spans="1:26" ht="15.75" hidden="1" customHeight="1" x14ac:dyDescent="0.25">
      <c r="A1402" s="64">
        <v>12</v>
      </c>
      <c r="B1402" s="62">
        <v>43709476</v>
      </c>
      <c r="C1402" s="62" t="s">
        <v>25023</v>
      </c>
      <c r="D1402" s="62" t="s">
        <v>25233</v>
      </c>
      <c r="E1402" s="62" t="s">
        <v>25234</v>
      </c>
      <c r="F1402" s="62" t="s">
        <v>25235</v>
      </c>
      <c r="G1402" s="81" t="s">
        <v>19285</v>
      </c>
      <c r="H1402" s="63">
        <v>46015</v>
      </c>
      <c r="I1402" s="63">
        <v>46019</v>
      </c>
      <c r="J1402" s="62">
        <v>5</v>
      </c>
      <c r="K1402" s="62">
        <v>5</v>
      </c>
      <c r="L1402" s="62" t="s">
        <v>24995</v>
      </c>
      <c r="M1402" s="62" t="s">
        <v>24995</v>
      </c>
      <c r="N1402" s="62" t="s">
        <v>19269</v>
      </c>
      <c r="O1402" s="62" t="s">
        <v>4902</v>
      </c>
      <c r="P1402" s="42" t="str">
        <f>+IF(O1402="","",IFERROR(VLOOKUP(O1402,CODIGO_DIAGNOSTICO,2,0),"CÓDIGO NO ENCONTRADO"))</f>
        <v>QUISTE SINOVIAL DEL HUECO POPLITEO [DE BAKER]</v>
      </c>
      <c r="Q1402" s="62" t="s">
        <v>26059</v>
      </c>
      <c r="R1402" s="64"/>
      <c r="S1402" s="75"/>
      <c r="T1402" s="75"/>
      <c r="U1402" s="65"/>
      <c r="V1402" s="62"/>
      <c r="W1402" s="65"/>
      <c r="X1402" s="62"/>
      <c r="Y1402" s="65"/>
      <c r="Z1402" s="73"/>
    </row>
    <row r="1403" spans="1:26" ht="15.75" hidden="1" customHeight="1" x14ac:dyDescent="0.25">
      <c r="A1403" s="67">
        <v>12</v>
      </c>
      <c r="B1403" s="68">
        <v>16224293</v>
      </c>
      <c r="C1403" s="68" t="s">
        <v>25509</v>
      </c>
      <c r="D1403" s="68" t="s">
        <v>25372</v>
      </c>
      <c r="E1403" s="68" t="s">
        <v>25130</v>
      </c>
      <c r="F1403" s="68" t="s">
        <v>25131</v>
      </c>
      <c r="G1403" s="81" t="s">
        <v>19285</v>
      </c>
      <c r="H1403" s="69">
        <v>46016</v>
      </c>
      <c r="I1403" s="69">
        <v>46010</v>
      </c>
      <c r="J1403" s="68">
        <v>25</v>
      </c>
      <c r="K1403" s="68">
        <v>25</v>
      </c>
      <c r="L1403" s="68" t="s">
        <v>24995</v>
      </c>
      <c r="M1403" s="68" t="s">
        <v>19262</v>
      </c>
      <c r="N1403" s="62" t="s">
        <v>19269</v>
      </c>
      <c r="O1403" s="68" t="s">
        <v>11783</v>
      </c>
      <c r="P1403" s="42" t="str">
        <f>+IF(O1403="","",IFERROR(VLOOKUP(O1403,CODIGO_DIAGNOSTICO,2,0),"CÓDIGO NO ENCONTRADO"))</f>
        <v>PROCEDIMIENTO QUIRURGICO NO ESPECIFICADO</v>
      </c>
      <c r="Q1403" s="68" t="s">
        <v>25025</v>
      </c>
      <c r="R1403" s="67"/>
      <c r="S1403" s="77"/>
      <c r="T1403" s="76"/>
      <c r="U1403" s="65"/>
      <c r="V1403" s="68"/>
      <c r="W1403" s="70"/>
      <c r="X1403" s="68"/>
      <c r="Y1403" s="70"/>
      <c r="Z1403" s="72"/>
    </row>
    <row r="1404" spans="1:26" ht="15.75" hidden="1" customHeight="1" x14ac:dyDescent="0.25">
      <c r="A1404" s="64">
        <v>12</v>
      </c>
      <c r="B1404" s="62">
        <v>3132230</v>
      </c>
      <c r="C1404" s="62" t="s">
        <v>25061</v>
      </c>
      <c r="D1404" s="62" t="s">
        <v>24998</v>
      </c>
      <c r="E1404" s="62" t="s">
        <v>25028</v>
      </c>
      <c r="F1404" s="62" t="s">
        <v>25822</v>
      </c>
      <c r="G1404" s="81" t="s">
        <v>19285</v>
      </c>
      <c r="H1404" s="63">
        <v>46017</v>
      </c>
      <c r="I1404" s="63">
        <v>46018</v>
      </c>
      <c r="J1404" s="62">
        <v>2</v>
      </c>
      <c r="K1404" s="62">
        <v>2</v>
      </c>
      <c r="L1404" s="62" t="s">
        <v>24995</v>
      </c>
      <c r="M1404" s="62" t="s">
        <v>24995</v>
      </c>
      <c r="N1404" s="62" t="s">
        <v>19269</v>
      </c>
      <c r="O1404" s="62" t="s">
        <v>4858</v>
      </c>
      <c r="P1404" s="42" t="str">
        <f>+IF(O1404="","",IFERROR(VLOOKUP(O1404,CODIGO_DIAGNOSTICO,2,0),"CÓDIGO NO ENCONTRADO"))</f>
        <v>CONTRACTURA MUSCULAR</v>
      </c>
      <c r="Q1404" s="62" t="s">
        <v>26339</v>
      </c>
      <c r="R1404" s="64"/>
      <c r="S1404" s="75"/>
      <c r="T1404" s="75"/>
      <c r="U1404" s="65"/>
      <c r="V1404" s="62"/>
      <c r="W1404" s="65"/>
      <c r="X1404" s="62"/>
      <c r="Y1404" s="65"/>
      <c r="Z1404" s="73"/>
    </row>
    <row r="1405" spans="1:26" ht="15.75" hidden="1" customHeight="1" x14ac:dyDescent="0.25">
      <c r="A1405" s="67">
        <v>12</v>
      </c>
      <c r="B1405" s="68">
        <v>98594342</v>
      </c>
      <c r="C1405" s="68" t="s">
        <v>25424</v>
      </c>
      <c r="D1405" s="68" t="s">
        <v>25164</v>
      </c>
      <c r="E1405" s="68" t="s">
        <v>25493</v>
      </c>
      <c r="F1405" s="68" t="s">
        <v>25020</v>
      </c>
      <c r="G1405" s="81" t="s">
        <v>19285</v>
      </c>
      <c r="H1405" s="69">
        <v>46018</v>
      </c>
      <c r="I1405" s="69">
        <v>46027</v>
      </c>
      <c r="J1405" s="68">
        <v>10</v>
      </c>
      <c r="K1405" s="68">
        <v>10</v>
      </c>
      <c r="L1405" s="68" t="s">
        <v>24995</v>
      </c>
      <c r="M1405" s="68" t="s">
        <v>24995</v>
      </c>
      <c r="N1405" s="62" t="s">
        <v>19269</v>
      </c>
      <c r="O1405" s="68" t="s">
        <v>7718</v>
      </c>
      <c r="P1405" s="42" t="str">
        <f>+IF(O1405="","",IFERROR(VLOOKUP(O1405,CODIGO_DIAGNOSTICO,2,0),"CÓDIGO NO ENCONTRADO"))</f>
        <v>HERIDA DE LA RODILLA</v>
      </c>
      <c r="Q1405" s="68" t="s">
        <v>25025</v>
      </c>
      <c r="R1405" s="67"/>
      <c r="S1405" s="77"/>
      <c r="T1405" s="76"/>
      <c r="U1405" s="65"/>
      <c r="V1405" s="68"/>
      <c r="W1405" s="70"/>
      <c r="X1405" s="68"/>
      <c r="Y1405" s="70"/>
      <c r="Z1405" s="72"/>
    </row>
    <row r="1406" spans="1:26" ht="15.75" hidden="1" customHeight="1" x14ac:dyDescent="0.25">
      <c r="A1406" s="64">
        <v>12</v>
      </c>
      <c r="B1406" s="62">
        <v>71382103</v>
      </c>
      <c r="C1406" s="62" t="s">
        <v>25776</v>
      </c>
      <c r="D1406" s="62" t="s">
        <v>25968</v>
      </c>
      <c r="E1406" s="62" t="s">
        <v>25198</v>
      </c>
      <c r="F1406" s="62" t="s">
        <v>25276</v>
      </c>
      <c r="G1406" s="81" t="s">
        <v>19285</v>
      </c>
      <c r="H1406" s="63">
        <v>46018</v>
      </c>
      <c r="I1406" s="63">
        <v>46021</v>
      </c>
      <c r="J1406" s="62">
        <v>4</v>
      </c>
      <c r="K1406" s="62">
        <v>4</v>
      </c>
      <c r="L1406" s="62" t="s">
        <v>19262</v>
      </c>
      <c r="M1406" s="62" t="s">
        <v>19262</v>
      </c>
      <c r="N1406" s="62" t="s">
        <v>19269</v>
      </c>
      <c r="O1406" s="62" t="s">
        <v>4837</v>
      </c>
      <c r="P1406" s="42" t="str">
        <f>+IF(O1406="","",IFERROR(VLOOKUP(O1406,CODIGO_DIAGNOSTICO,2,0),"CÓDIGO NO ENCONTRADO"))</f>
        <v>LUMBAGO CON CIATICA</v>
      </c>
      <c r="Q1406" s="62" t="s">
        <v>19230</v>
      </c>
      <c r="R1406" s="64"/>
      <c r="S1406" s="75"/>
      <c r="T1406" s="75"/>
      <c r="U1406" s="65"/>
      <c r="V1406" s="62"/>
      <c r="W1406" s="65"/>
      <c r="X1406" s="62"/>
      <c r="Y1406" s="65"/>
      <c r="Z1406" s="73"/>
    </row>
    <row r="1407" spans="1:26" ht="15.75" hidden="1" customHeight="1" x14ac:dyDescent="0.25">
      <c r="A1407" s="67">
        <v>12</v>
      </c>
      <c r="B1407" s="68">
        <v>78741278</v>
      </c>
      <c r="C1407" s="68" t="s">
        <v>26502</v>
      </c>
      <c r="D1407" s="68" t="s">
        <v>25378</v>
      </c>
      <c r="E1407" s="68" t="s">
        <v>26267</v>
      </c>
      <c r="F1407" s="68"/>
      <c r="G1407" s="81" t="s">
        <v>19285</v>
      </c>
      <c r="H1407" s="69">
        <v>46018</v>
      </c>
      <c r="I1407" s="69">
        <v>46020</v>
      </c>
      <c r="J1407" s="68">
        <v>3</v>
      </c>
      <c r="K1407" s="68">
        <v>3</v>
      </c>
      <c r="L1407" s="68" t="s">
        <v>24995</v>
      </c>
      <c r="M1407" s="68" t="s">
        <v>24995</v>
      </c>
      <c r="N1407" s="62" t="s">
        <v>19269</v>
      </c>
      <c r="O1407" s="68" t="s">
        <v>88</v>
      </c>
      <c r="P1407" s="42" t="str">
        <f>+IF(O1407="","",IFERROR(VLOOKUP(O1407,CODIGO_DIAGNOSTICO,2,0),"CÓDIGO NO ENCONTRADO"))</f>
        <v>DIARREA Y GASTROENTERITIS DE PRESUNTO ORIGEN INFECCIOSO</v>
      </c>
      <c r="Q1407" s="68" t="s">
        <v>26059</v>
      </c>
      <c r="R1407" s="67"/>
      <c r="S1407" s="77"/>
      <c r="T1407" s="76"/>
      <c r="U1407" s="65"/>
      <c r="V1407" s="68"/>
      <c r="W1407" s="70"/>
      <c r="X1407" s="68"/>
      <c r="Y1407" s="70"/>
      <c r="Z1407" s="72"/>
    </row>
    <row r="1408" spans="1:26" ht="15.75" hidden="1" customHeight="1" x14ac:dyDescent="0.25">
      <c r="A1408" s="64">
        <v>12</v>
      </c>
      <c r="B1408" s="62">
        <v>71676289</v>
      </c>
      <c r="C1408" s="62" t="s">
        <v>25702</v>
      </c>
      <c r="D1408" s="62" t="s">
        <v>25012</v>
      </c>
      <c r="E1408" s="62" t="s">
        <v>25016</v>
      </c>
      <c r="F1408" s="62" t="s">
        <v>25004</v>
      </c>
      <c r="G1408" s="81" t="s">
        <v>19285</v>
      </c>
      <c r="H1408" s="63">
        <v>46019</v>
      </c>
      <c r="I1408" s="63">
        <v>46033</v>
      </c>
      <c r="J1408" s="62">
        <v>15</v>
      </c>
      <c r="K1408" s="62">
        <v>15</v>
      </c>
      <c r="L1408" s="62" t="s">
        <v>19262</v>
      </c>
      <c r="M1408" s="62" t="s">
        <v>19262</v>
      </c>
      <c r="N1408" s="62" t="s">
        <v>19269</v>
      </c>
      <c r="O1408" s="62" t="s">
        <v>5004</v>
      </c>
      <c r="P1408" s="42" t="str">
        <f>+IF(O1408="","",IFERROR(VLOOKUP(O1408,CODIGO_DIAGNOSTICO,2,0),"CÓDIGO NO ENCONTRADO"))</f>
        <v>OTRAS OSTEOMIELITIS CRONICAS</v>
      </c>
      <c r="Q1408" s="62" t="s">
        <v>26059</v>
      </c>
      <c r="R1408" s="64"/>
      <c r="S1408" s="75"/>
      <c r="T1408" s="75"/>
      <c r="U1408" s="65"/>
      <c r="V1408" s="62"/>
      <c r="W1408" s="65"/>
      <c r="X1408" s="62"/>
      <c r="Y1408" s="65"/>
      <c r="Z1408" s="73"/>
    </row>
    <row r="1409" spans="1:26" ht="15.75" hidden="1" customHeight="1" x14ac:dyDescent="0.25">
      <c r="A1409" s="67">
        <v>12</v>
      </c>
      <c r="B1409" s="68">
        <v>1001379162</v>
      </c>
      <c r="C1409" s="68" t="s">
        <v>25423</v>
      </c>
      <c r="D1409" s="68" t="s">
        <v>25423</v>
      </c>
      <c r="E1409" s="68" t="s">
        <v>25110</v>
      </c>
      <c r="F1409" s="68"/>
      <c r="G1409" s="81" t="s">
        <v>19285</v>
      </c>
      <c r="H1409" s="69">
        <v>46020</v>
      </c>
      <c r="I1409" s="69">
        <v>46023</v>
      </c>
      <c r="J1409" s="68">
        <v>4</v>
      </c>
      <c r="K1409" s="68">
        <v>4</v>
      </c>
      <c r="L1409" s="68" t="s">
        <v>24995</v>
      </c>
      <c r="M1409" s="68" t="s">
        <v>24995</v>
      </c>
      <c r="N1409" s="62" t="s">
        <v>19269</v>
      </c>
      <c r="O1409" s="68" t="s">
        <v>4837</v>
      </c>
      <c r="P1409" s="42" t="str">
        <f>+IF(O1409="","",IFERROR(VLOOKUP(O1409,CODIGO_DIAGNOSTICO,2,0),"CÓDIGO NO ENCONTRADO"))</f>
        <v>LUMBAGO CON CIATICA</v>
      </c>
      <c r="Q1409" s="68" t="s">
        <v>24996</v>
      </c>
      <c r="R1409" s="67"/>
      <c r="S1409" s="77"/>
      <c r="T1409" s="76"/>
      <c r="U1409" s="65"/>
      <c r="V1409" s="68"/>
      <c r="W1409" s="70"/>
      <c r="X1409" s="68"/>
      <c r="Y1409" s="70"/>
      <c r="Z1409" s="72"/>
    </row>
    <row r="1410" spans="1:26" ht="15.75" hidden="1" customHeight="1" x14ac:dyDescent="0.25">
      <c r="A1410" s="64">
        <v>12</v>
      </c>
      <c r="B1410" s="62">
        <v>10900792</v>
      </c>
      <c r="C1410" s="62" t="s">
        <v>26013</v>
      </c>
      <c r="D1410" s="62" t="s">
        <v>26014</v>
      </c>
      <c r="E1410" s="62" t="s">
        <v>25853</v>
      </c>
      <c r="F1410" s="62" t="s">
        <v>25213</v>
      </c>
      <c r="G1410" s="81" t="s">
        <v>19285</v>
      </c>
      <c r="H1410" s="63">
        <v>46021</v>
      </c>
      <c r="I1410" s="63">
        <v>46022</v>
      </c>
      <c r="J1410" s="62">
        <v>2</v>
      </c>
      <c r="K1410" s="62">
        <v>2</v>
      </c>
      <c r="L1410" s="62" t="s">
        <v>24995</v>
      </c>
      <c r="M1410" s="62" t="s">
        <v>24995</v>
      </c>
      <c r="N1410" s="62" t="s">
        <v>19269</v>
      </c>
      <c r="O1410" s="62" t="s">
        <v>3828</v>
      </c>
      <c r="P1410" s="42" t="str">
        <f>+IF(O1410="","",IFERROR(VLOOKUP(O1410,CODIGO_DIAGNOSTICO,2,0),"CÓDIGO NO ENCONTRADO"))</f>
        <v>ABSCESO PERIAPICAL CON FISTULA</v>
      </c>
      <c r="Q1410" s="62" t="s">
        <v>26339</v>
      </c>
      <c r="R1410" s="64"/>
      <c r="S1410" s="75"/>
      <c r="T1410" s="75"/>
      <c r="U1410" s="65"/>
      <c r="V1410" s="62"/>
      <c r="W1410" s="65"/>
      <c r="X1410" s="62"/>
      <c r="Y1410" s="65"/>
      <c r="Z1410" s="73"/>
    </row>
    <row r="1411" spans="1:26" ht="15.75" hidden="1" customHeight="1" x14ac:dyDescent="0.25">
      <c r="A1411" s="67">
        <v>12</v>
      </c>
      <c r="B1411" s="68">
        <v>98601485</v>
      </c>
      <c r="C1411" s="68" t="s">
        <v>25240</v>
      </c>
      <c r="D1411" s="68"/>
      <c r="E1411" s="68" t="s">
        <v>25241</v>
      </c>
      <c r="F1411" s="68" t="s">
        <v>25103</v>
      </c>
      <c r="G1411" s="81" t="s">
        <v>25328</v>
      </c>
      <c r="H1411" s="69">
        <v>46022</v>
      </c>
      <c r="I1411" s="69">
        <v>46036</v>
      </c>
      <c r="J1411" s="68">
        <v>15</v>
      </c>
      <c r="K1411" s="68">
        <v>15</v>
      </c>
      <c r="L1411" s="68" t="s">
        <v>19262</v>
      </c>
      <c r="M1411" s="68" t="s">
        <v>19262</v>
      </c>
      <c r="N1411" s="62" t="s">
        <v>19269</v>
      </c>
      <c r="O1411" s="68" t="s">
        <v>8419</v>
      </c>
      <c r="P1411" s="42" t="str">
        <f>+IF(O1411="","",IFERROR(VLOOKUP(O1411,CODIGO_DIAGNOSTICO,2,0),"CÓDIGO NO ENCONTRADO"))</f>
        <v>COMPLICACION MECANICA DE OTROS DISPOSITIVOS PROTESICOS, IMPLANTES E INJERTOS ORTOPEDICOS INTERNOS</v>
      </c>
      <c r="Q1411" s="68" t="s">
        <v>26059</v>
      </c>
      <c r="R1411" s="67"/>
      <c r="S1411" s="77"/>
      <c r="T1411" s="76"/>
      <c r="U1411" s="65"/>
      <c r="V1411" s="68"/>
      <c r="W1411" s="70"/>
      <c r="X1411" s="68"/>
      <c r="Y1411" s="70"/>
      <c r="Z1411" s="72"/>
    </row>
    <row r="1412" spans="1:26" ht="15.75" hidden="1" customHeight="1" x14ac:dyDescent="0.25">
      <c r="A1412" s="64">
        <v>12</v>
      </c>
      <c r="B1412" s="62">
        <v>1128480310</v>
      </c>
      <c r="C1412" s="62" t="s">
        <v>26518</v>
      </c>
      <c r="D1412" s="62" t="s">
        <v>25508</v>
      </c>
      <c r="E1412" s="62" t="s">
        <v>25010</v>
      </c>
      <c r="F1412" s="62" t="s">
        <v>25135</v>
      </c>
      <c r="G1412" s="81" t="s">
        <v>19285</v>
      </c>
      <c r="H1412" s="63">
        <v>46022</v>
      </c>
      <c r="I1412" s="63">
        <v>46023</v>
      </c>
      <c r="J1412" s="62">
        <v>2</v>
      </c>
      <c r="K1412" s="62">
        <v>2</v>
      </c>
      <c r="L1412" s="62" t="s">
        <v>24995</v>
      </c>
      <c r="M1412" s="62" t="s">
        <v>24995</v>
      </c>
      <c r="N1412" s="62" t="s">
        <v>19269</v>
      </c>
      <c r="O1412" s="62" t="s">
        <v>85</v>
      </c>
      <c r="P1412" s="42" t="str">
        <f>+IF(O1412="","",IFERROR(VLOOKUP(O1412,CODIGO_DIAGNOSTICO,2,0),"CÓDIGO NO ENCONTRADO"))</f>
        <v>OTRAS ENTERITIS VIRALES</v>
      </c>
      <c r="Q1412" s="62" t="s">
        <v>26059</v>
      </c>
      <c r="R1412" s="64"/>
      <c r="S1412" s="75"/>
      <c r="T1412" s="75"/>
      <c r="U1412" s="65"/>
      <c r="V1412" s="62"/>
      <c r="W1412" s="65"/>
      <c r="X1412" s="62"/>
      <c r="Y1412" s="65"/>
      <c r="Z1412" s="73"/>
    </row>
    <row r="1413" spans="1:26" ht="15.75" hidden="1" customHeight="1" x14ac:dyDescent="0.25">
      <c r="A1413" s="67">
        <v>12</v>
      </c>
      <c r="B1413" s="68">
        <v>1001550034</v>
      </c>
      <c r="C1413" s="68" t="s">
        <v>26519</v>
      </c>
      <c r="D1413" s="68" t="s">
        <v>25756</v>
      </c>
      <c r="E1413" s="68" t="s">
        <v>25937</v>
      </c>
      <c r="F1413" s="68" t="s">
        <v>25010</v>
      </c>
      <c r="G1413" s="81" t="s">
        <v>19285</v>
      </c>
      <c r="H1413" s="69">
        <v>46022</v>
      </c>
      <c r="I1413" s="69">
        <v>46023</v>
      </c>
      <c r="J1413" s="68">
        <v>2</v>
      </c>
      <c r="K1413" s="68">
        <v>2</v>
      </c>
      <c r="L1413" s="68" t="s">
        <v>24995</v>
      </c>
      <c r="M1413" s="68" t="s">
        <v>24995</v>
      </c>
      <c r="N1413" s="62" t="s">
        <v>19269</v>
      </c>
      <c r="O1413" s="68" t="s">
        <v>85</v>
      </c>
      <c r="P1413" s="42" t="str">
        <f>+IF(O1413="","",IFERROR(VLOOKUP(O1413,CODIGO_DIAGNOSTICO,2,0),"CÓDIGO NO ENCONTRADO"))</f>
        <v>OTRAS ENTERITIS VIRALES</v>
      </c>
      <c r="Q1413" s="68" t="s">
        <v>26059</v>
      </c>
      <c r="R1413" s="67"/>
      <c r="S1413" s="77"/>
      <c r="T1413" s="76"/>
      <c r="U1413" s="65"/>
      <c r="V1413" s="68"/>
      <c r="W1413" s="70"/>
      <c r="X1413" s="68"/>
      <c r="Y1413" s="70"/>
      <c r="Z1413" s="72"/>
    </row>
    <row r="1414" spans="1:26" ht="15.75" hidden="1" customHeight="1" x14ac:dyDescent="0.25">
      <c r="A1414" s="64">
        <v>12</v>
      </c>
      <c r="B1414" s="62">
        <v>71382103</v>
      </c>
      <c r="C1414" s="62" t="s">
        <v>25776</v>
      </c>
      <c r="D1414" s="62" t="s">
        <v>25968</v>
      </c>
      <c r="E1414" s="62" t="s">
        <v>25198</v>
      </c>
      <c r="F1414" s="62" t="s">
        <v>25276</v>
      </c>
      <c r="G1414" s="81" t="s">
        <v>19285</v>
      </c>
      <c r="H1414" s="63">
        <v>46022</v>
      </c>
      <c r="I1414" s="63">
        <v>46026</v>
      </c>
      <c r="J1414" s="62">
        <v>5</v>
      </c>
      <c r="K1414" s="62">
        <v>5</v>
      </c>
      <c r="L1414" s="62" t="s">
        <v>19262</v>
      </c>
      <c r="M1414" s="62" t="s">
        <v>19262</v>
      </c>
      <c r="N1414" s="62" t="s">
        <v>19269</v>
      </c>
      <c r="O1414" s="62" t="s">
        <v>4837</v>
      </c>
      <c r="P1414" s="42" t="str">
        <f>+IF(O1414="","",IFERROR(VLOOKUP(O1414,CODIGO_DIAGNOSTICO,2,0),"CÓDIGO NO ENCONTRADO"))</f>
        <v>LUMBAGO CON CIATICA</v>
      </c>
      <c r="Q1414" s="62" t="s">
        <v>26059</v>
      </c>
      <c r="R1414" s="64"/>
      <c r="S1414" s="75"/>
      <c r="T1414" s="75"/>
      <c r="U1414" s="65"/>
      <c r="V1414" s="62"/>
      <c r="W1414" s="65"/>
      <c r="X1414" s="62"/>
      <c r="Y1414" s="65"/>
      <c r="Z1414" s="73"/>
    </row>
    <row r="1415" spans="1:26" ht="15.75" hidden="1" customHeight="1" x14ac:dyDescent="0.25">
      <c r="A1415" s="67">
        <v>1</v>
      </c>
      <c r="B1415" s="68">
        <v>1017149200</v>
      </c>
      <c r="C1415" s="68" t="s">
        <v>25083</v>
      </c>
      <c r="D1415" s="68" t="s">
        <v>25593</v>
      </c>
      <c r="E1415" s="68" t="s">
        <v>26481</v>
      </c>
      <c r="F1415" s="68" t="s">
        <v>25774</v>
      </c>
      <c r="G1415" s="81" t="s">
        <v>19285</v>
      </c>
      <c r="H1415" s="69">
        <v>46023</v>
      </c>
      <c r="I1415" s="69">
        <v>46041</v>
      </c>
      <c r="J1415" s="68">
        <v>19</v>
      </c>
      <c r="K1415" s="68">
        <v>19</v>
      </c>
      <c r="L1415" s="68" t="s">
        <v>24995</v>
      </c>
      <c r="M1415" s="68" t="s">
        <v>24995</v>
      </c>
      <c r="N1415" s="62" t="s">
        <v>19269</v>
      </c>
      <c r="O1415" s="68" t="s">
        <v>5851</v>
      </c>
      <c r="P1415" s="42" t="str">
        <f>+IF(O1415="","",IFERROR(VLOOKUP(O1415,CODIGO_DIAGNOSTICO,2,0),"CÓDIGO NO ENCONTRADO"))</f>
        <v>PARTO UNICO ESPONTANEO, PRESENTACION CEFALICA DE VERTICE</v>
      </c>
      <c r="Q1415" s="68" t="s">
        <v>19230</v>
      </c>
      <c r="R1415" s="67"/>
      <c r="S1415" s="77"/>
      <c r="T1415" s="76"/>
      <c r="U1415" s="65"/>
      <c r="V1415" s="68"/>
      <c r="W1415" s="70"/>
      <c r="X1415" s="68"/>
      <c r="Y1415" s="70"/>
      <c r="Z1415" s="72"/>
    </row>
    <row r="1416" spans="1:26" ht="15.75" hidden="1" customHeight="1" x14ac:dyDescent="0.25">
      <c r="A1416" s="64">
        <v>1</v>
      </c>
      <c r="B1416" s="62">
        <v>1002206888</v>
      </c>
      <c r="C1416" s="62" t="s">
        <v>25307</v>
      </c>
      <c r="D1416" s="62" t="s">
        <v>25173</v>
      </c>
      <c r="E1416" s="62" t="s">
        <v>26520</v>
      </c>
      <c r="F1416" s="62"/>
      <c r="G1416" s="81" t="s">
        <v>19285</v>
      </c>
      <c r="H1416" s="63">
        <v>46024</v>
      </c>
      <c r="I1416" s="63">
        <v>46024</v>
      </c>
      <c r="J1416" s="62">
        <v>2</v>
      </c>
      <c r="K1416" s="62">
        <v>2</v>
      </c>
      <c r="L1416" s="62" t="s">
        <v>24995</v>
      </c>
      <c r="M1416" s="62" t="s">
        <v>24995</v>
      </c>
      <c r="N1416" s="62" t="s">
        <v>19269</v>
      </c>
      <c r="O1416" s="62" t="s">
        <v>2596</v>
      </c>
      <c r="P1416" s="42" t="str">
        <f>+IF(O1416="","",IFERROR(VLOOKUP(O1416,CODIGO_DIAGNOSTICO,2,0),"CÓDIGO NO ENCONTRADO"))</f>
        <v>CEFALEA DEBIDA A TENSION</v>
      </c>
      <c r="Q1416" s="62" t="s">
        <v>26059</v>
      </c>
      <c r="R1416" s="64"/>
      <c r="S1416" s="75"/>
      <c r="T1416" s="75"/>
      <c r="U1416" s="65"/>
      <c r="V1416" s="62"/>
      <c r="W1416" s="65"/>
      <c r="X1416" s="62"/>
      <c r="Y1416" s="65"/>
      <c r="Z1416" s="73"/>
    </row>
    <row r="1417" spans="1:26" ht="15.75" hidden="1" customHeight="1" x14ac:dyDescent="0.25">
      <c r="A1417" s="67">
        <v>1</v>
      </c>
      <c r="B1417" s="68">
        <v>26988317</v>
      </c>
      <c r="C1417" s="68" t="s">
        <v>25034</v>
      </c>
      <c r="D1417" s="68" t="s">
        <v>25969</v>
      </c>
      <c r="E1417" s="68" t="s">
        <v>26506</v>
      </c>
      <c r="F1417" s="68" t="s">
        <v>26507</v>
      </c>
      <c r="G1417" s="81" t="s">
        <v>19285</v>
      </c>
      <c r="H1417" s="69">
        <v>46027</v>
      </c>
      <c r="I1417" s="69">
        <v>46028</v>
      </c>
      <c r="J1417" s="68">
        <v>2</v>
      </c>
      <c r="K1417" s="68">
        <v>2</v>
      </c>
      <c r="L1417" s="68" t="s">
        <v>24995</v>
      </c>
      <c r="M1417" s="68" t="s">
        <v>24995</v>
      </c>
      <c r="N1417" s="62" t="s">
        <v>19269</v>
      </c>
      <c r="O1417" s="68" t="s">
        <v>2593</v>
      </c>
      <c r="P1417" s="42" t="str">
        <f>+IF(O1417="","",IFERROR(VLOOKUP(O1417,CODIGO_DIAGNOSTICO,2,0),"CÓDIGO NO ENCONTRADO"))</f>
        <v>MIGRAÑA, NO ESPECIFICADA</v>
      </c>
      <c r="Q1417" s="68" t="s">
        <v>24976</v>
      </c>
      <c r="R1417" s="67"/>
      <c r="S1417" s="77"/>
      <c r="T1417" s="76"/>
      <c r="U1417" s="65"/>
      <c r="V1417" s="68"/>
      <c r="W1417" s="70"/>
      <c r="X1417" s="68"/>
      <c r="Y1417" s="70"/>
      <c r="Z1417" s="72"/>
    </row>
    <row r="1418" spans="1:26" ht="15.75" hidden="1" customHeight="1" x14ac:dyDescent="0.25">
      <c r="A1418" s="64">
        <v>1</v>
      </c>
      <c r="B1418" s="62">
        <v>10531748</v>
      </c>
      <c r="C1418" s="62" t="s">
        <v>25523</v>
      </c>
      <c r="D1418" s="62" t="s">
        <v>25733</v>
      </c>
      <c r="E1418" s="62" t="s">
        <v>25005</v>
      </c>
      <c r="F1418" s="62" t="s">
        <v>25416</v>
      </c>
      <c r="G1418" s="81" t="s">
        <v>19285</v>
      </c>
      <c r="H1418" s="63">
        <v>46027</v>
      </c>
      <c r="I1418" s="63">
        <v>46028</v>
      </c>
      <c r="J1418" s="62">
        <v>2</v>
      </c>
      <c r="K1418" s="62">
        <v>2</v>
      </c>
      <c r="L1418" s="62" t="s">
        <v>24995</v>
      </c>
      <c r="M1418" s="62" t="s">
        <v>24995</v>
      </c>
      <c r="N1418" s="62" t="s">
        <v>19269</v>
      </c>
      <c r="O1418" s="62" t="s">
        <v>85</v>
      </c>
      <c r="P1418" s="42" t="str">
        <f>+IF(O1418="","",IFERROR(VLOOKUP(O1418,CODIGO_DIAGNOSTICO,2,0),"CÓDIGO NO ENCONTRADO"))</f>
        <v>OTRAS ENTERITIS VIRALES</v>
      </c>
      <c r="Q1418" s="62" t="s">
        <v>26059</v>
      </c>
      <c r="R1418" s="64"/>
      <c r="S1418" s="75"/>
      <c r="T1418" s="75"/>
      <c r="U1418" s="65"/>
      <c r="V1418" s="62"/>
      <c r="W1418" s="65"/>
      <c r="X1418" s="62"/>
      <c r="Y1418" s="65"/>
      <c r="Z1418" s="73"/>
    </row>
    <row r="1419" spans="1:26" ht="15.75" hidden="1" customHeight="1" x14ac:dyDescent="0.25">
      <c r="A1419" s="67"/>
      <c r="B1419" s="68">
        <v>98514610</v>
      </c>
      <c r="C1419" s="68" t="s">
        <v>24987</v>
      </c>
      <c r="D1419" s="68" t="s">
        <v>24984</v>
      </c>
      <c r="E1419" s="68" t="s">
        <v>19278</v>
      </c>
      <c r="F1419" s="68" t="s">
        <v>24986</v>
      </c>
      <c r="G1419" s="81" t="s">
        <v>19285</v>
      </c>
      <c r="H1419" s="69">
        <v>46027</v>
      </c>
      <c r="I1419" s="69">
        <v>46028</v>
      </c>
      <c r="J1419" s="68">
        <v>2</v>
      </c>
      <c r="K1419" s="68">
        <v>2</v>
      </c>
      <c r="L1419" s="68" t="s">
        <v>24995</v>
      </c>
      <c r="M1419" s="68" t="s">
        <v>24995</v>
      </c>
      <c r="N1419" s="62" t="s">
        <v>19269</v>
      </c>
      <c r="O1419" s="68" t="s">
        <v>7736</v>
      </c>
      <c r="P1419" s="42" t="str">
        <f>+IF(O1419="","",IFERROR(VLOOKUP(O1419,CODIGO_DIAGNOSTICO,2,0),"CÓDIGO NO ENCONTRADO"))</f>
        <v>ESGUINCES Y TORCEDURAS QUE COMPROMETEN LOS LIGAMENTOS LATERALES (EXTERNO) (INTERNO) DE LA RODILLA</v>
      </c>
      <c r="Q1419" s="68" t="s">
        <v>19230</v>
      </c>
      <c r="R1419" s="67"/>
      <c r="S1419" s="77"/>
      <c r="T1419" s="76"/>
      <c r="U1419" s="65"/>
      <c r="V1419" s="68"/>
      <c r="W1419" s="70"/>
      <c r="X1419" s="68"/>
      <c r="Y1419" s="70"/>
      <c r="Z1419" s="72"/>
    </row>
    <row r="1420" spans="1:26" ht="15.75" hidden="1" customHeight="1" x14ac:dyDescent="0.25">
      <c r="A1420" s="64">
        <v>1</v>
      </c>
      <c r="B1420" s="62">
        <v>98700987</v>
      </c>
      <c r="C1420" s="62" t="s">
        <v>25326</v>
      </c>
      <c r="D1420" s="62" t="s">
        <v>25462</v>
      </c>
      <c r="E1420" s="62" t="s">
        <v>6</v>
      </c>
      <c r="F1420" s="62" t="s">
        <v>25878</v>
      </c>
      <c r="G1420" s="81" t="s">
        <v>19285</v>
      </c>
      <c r="H1420" s="63">
        <v>46028</v>
      </c>
      <c r="I1420" s="63">
        <v>46029</v>
      </c>
      <c r="J1420" s="62">
        <v>2</v>
      </c>
      <c r="K1420" s="62">
        <v>2</v>
      </c>
      <c r="L1420" s="62" t="s">
        <v>24995</v>
      </c>
      <c r="M1420" s="62" t="s">
        <v>24995</v>
      </c>
      <c r="N1420" s="62" t="s">
        <v>19269</v>
      </c>
      <c r="O1420" s="62" t="s">
        <v>442</v>
      </c>
      <c r="P1420" s="42" t="str">
        <f>+IF(O1420="","",IFERROR(VLOOKUP(O1420,CODIGO_DIAGNOSTICO,2,0),"CÓDIGO NO ENCONTRADO"))</f>
        <v>HERPES ZOSTER SIN COMPLICACIONES</v>
      </c>
      <c r="Q1420" s="62" t="s">
        <v>26059</v>
      </c>
      <c r="R1420" s="64"/>
      <c r="S1420" s="75"/>
      <c r="T1420" s="75"/>
      <c r="U1420" s="65"/>
      <c r="V1420" s="62"/>
      <c r="W1420" s="65"/>
      <c r="X1420" s="62"/>
      <c r="Y1420" s="65"/>
      <c r="Z1420" s="73"/>
    </row>
    <row r="1421" spans="1:26" ht="15.75" hidden="1" customHeight="1" x14ac:dyDescent="0.25">
      <c r="A1421" s="67">
        <v>1</v>
      </c>
      <c r="B1421" s="68">
        <v>1035225845</v>
      </c>
      <c r="C1421" s="68" t="s">
        <v>25694</v>
      </c>
      <c r="D1421" s="68" t="s">
        <v>25457</v>
      </c>
      <c r="E1421" s="68" t="s">
        <v>25056</v>
      </c>
      <c r="F1421" s="68" t="s">
        <v>25095</v>
      </c>
      <c r="G1421" s="81" t="s">
        <v>19285</v>
      </c>
      <c r="H1421" s="69">
        <v>46028</v>
      </c>
      <c r="I1421" s="69">
        <v>46031</v>
      </c>
      <c r="J1421" s="68">
        <v>4</v>
      </c>
      <c r="K1421" s="68">
        <v>4</v>
      </c>
      <c r="L1421" s="68" t="s">
        <v>24995</v>
      </c>
      <c r="M1421" s="68" t="s">
        <v>24995</v>
      </c>
      <c r="N1421" s="62" t="s">
        <v>19269</v>
      </c>
      <c r="O1421" s="68" t="s">
        <v>3134</v>
      </c>
      <c r="P1421" s="42" t="str">
        <f>+IF(O1421="","",IFERROR(VLOOKUP(O1421,CODIGO_DIAGNOSTICO,2,0),"CÓDIGO NO ENCONTRADO"))</f>
        <v>VERTIGO PAROXISTICO BENIGNO</v>
      </c>
      <c r="Q1421" s="68" t="s">
        <v>26339</v>
      </c>
      <c r="R1421" s="67"/>
      <c r="S1421" s="77"/>
      <c r="T1421" s="76"/>
      <c r="U1421" s="65"/>
      <c r="V1421" s="68"/>
      <c r="W1421" s="70"/>
      <c r="X1421" s="68"/>
      <c r="Y1421" s="70"/>
      <c r="Z1421" s="72"/>
    </row>
    <row r="1422" spans="1:26" ht="15.75" hidden="1" customHeight="1" x14ac:dyDescent="0.25">
      <c r="A1422" s="64">
        <v>1</v>
      </c>
      <c r="B1422" s="62">
        <v>71382103</v>
      </c>
      <c r="C1422" s="62" t="s">
        <v>25776</v>
      </c>
      <c r="D1422" s="62" t="s">
        <v>25968</v>
      </c>
      <c r="E1422" s="62" t="s">
        <v>25198</v>
      </c>
      <c r="F1422" s="62" t="s">
        <v>25276</v>
      </c>
      <c r="G1422" s="81" t="s">
        <v>19285</v>
      </c>
      <c r="H1422" s="63">
        <v>46028</v>
      </c>
      <c r="I1422" s="63">
        <v>46031</v>
      </c>
      <c r="J1422" s="62">
        <v>4</v>
      </c>
      <c r="K1422" s="62">
        <v>4</v>
      </c>
      <c r="L1422" s="62" t="s">
        <v>19262</v>
      </c>
      <c r="M1422" s="62" t="s">
        <v>24995</v>
      </c>
      <c r="N1422" s="62" t="s">
        <v>19269</v>
      </c>
      <c r="O1422" s="62" t="s">
        <v>4650</v>
      </c>
      <c r="P1422" s="42" t="str">
        <f>+IF(O1422="","",IFERROR(VLOOKUP(O1422,CODIGO_DIAGNOSTICO,2,0),"CÓDIGO NO ENCONTRADO"))</f>
        <v>GONARTROSIS, NO ESPECIFICADA</v>
      </c>
      <c r="Q1422" s="62" t="s">
        <v>26059</v>
      </c>
      <c r="R1422" s="64"/>
      <c r="S1422" s="75"/>
      <c r="T1422" s="75"/>
      <c r="U1422" s="65"/>
      <c r="V1422" s="62"/>
      <c r="W1422" s="65"/>
      <c r="X1422" s="62"/>
      <c r="Y1422" s="65"/>
      <c r="Z1422" s="73"/>
    </row>
    <row r="1423" spans="1:26" ht="15.75" hidden="1" customHeight="1" x14ac:dyDescent="0.25">
      <c r="A1423" s="67">
        <v>1</v>
      </c>
      <c r="B1423" s="68">
        <v>70564602</v>
      </c>
      <c r="C1423" s="68" t="s">
        <v>25105</v>
      </c>
      <c r="D1423" s="68" t="s">
        <v>25736</v>
      </c>
      <c r="E1423" s="68" t="s">
        <v>25099</v>
      </c>
      <c r="F1423" s="68" t="s">
        <v>25135</v>
      </c>
      <c r="G1423" s="81" t="s">
        <v>19285</v>
      </c>
      <c r="H1423" s="69">
        <v>46030</v>
      </c>
      <c r="I1423" s="69">
        <v>46031</v>
      </c>
      <c r="J1423" s="68">
        <v>2</v>
      </c>
      <c r="K1423" s="68">
        <v>2</v>
      </c>
      <c r="L1423" s="68" t="s">
        <v>24995</v>
      </c>
      <c r="M1423" s="68" t="s">
        <v>24995</v>
      </c>
      <c r="N1423" s="62" t="s">
        <v>19269</v>
      </c>
      <c r="O1423" s="68" t="s">
        <v>15281</v>
      </c>
      <c r="P1423" s="42" t="str">
        <f>+IF(O1423="","",IFERROR(VLOOKUP(O1423,CODIGO_DIAGNOSTICO,2,0),"CÓDIGO NO ENCONTRADO"))</f>
        <v>RINOFARINGITIS AGUDA (RESFRIADO COMUN)</v>
      </c>
      <c r="Q1423" s="68" t="s">
        <v>26059</v>
      </c>
      <c r="R1423" s="67"/>
      <c r="S1423" s="77"/>
      <c r="T1423" s="76"/>
      <c r="U1423" s="65"/>
      <c r="V1423" s="68"/>
      <c r="W1423" s="70"/>
      <c r="X1423" s="68"/>
      <c r="Y1423" s="70"/>
      <c r="Z1423" s="72"/>
    </row>
    <row r="1424" spans="1:26" ht="15.75" hidden="1" customHeight="1" x14ac:dyDescent="0.25">
      <c r="A1424" s="64">
        <v>1</v>
      </c>
      <c r="B1424" s="62">
        <v>98496895</v>
      </c>
      <c r="C1424" s="62" t="s">
        <v>25756</v>
      </c>
      <c r="D1424" s="62" t="s">
        <v>25372</v>
      </c>
      <c r="E1424" s="62" t="s">
        <v>25028</v>
      </c>
      <c r="F1424" s="62" t="s">
        <v>25064</v>
      </c>
      <c r="G1424" s="81" t="s">
        <v>19285</v>
      </c>
      <c r="H1424" s="63">
        <v>46031</v>
      </c>
      <c r="I1424" s="63">
        <v>46032</v>
      </c>
      <c r="J1424" s="62">
        <v>2</v>
      </c>
      <c r="K1424" s="62">
        <v>2</v>
      </c>
      <c r="L1424" s="62" t="s">
        <v>24995</v>
      </c>
      <c r="M1424" s="62" t="s">
        <v>24995</v>
      </c>
      <c r="N1424" s="62" t="s">
        <v>19269</v>
      </c>
      <c r="O1424" s="62" t="s">
        <v>3638</v>
      </c>
      <c r="P1424" s="42" t="str">
        <f>+IF(O1424="","",IFERROR(VLOOKUP(O1424,CODIGO_DIAGNOSTICO,2,0),"CÓDIGO NO ENCONTRADO"))</f>
        <v>RINITIS CRONICA</v>
      </c>
      <c r="Q1424" s="62" t="s">
        <v>24976</v>
      </c>
      <c r="R1424" s="64"/>
      <c r="S1424" s="75"/>
      <c r="T1424" s="75"/>
      <c r="U1424" s="65"/>
      <c r="V1424" s="62"/>
      <c r="W1424" s="65"/>
      <c r="X1424" s="62"/>
      <c r="Y1424" s="65"/>
      <c r="Z1424" s="73"/>
    </row>
    <row r="1425" spans="1:26" ht="15.75" hidden="1" customHeight="1" x14ac:dyDescent="0.25">
      <c r="A1425" s="67">
        <v>1</v>
      </c>
      <c r="B1425" s="68">
        <v>98762319</v>
      </c>
      <c r="C1425" s="68" t="s">
        <v>25331</v>
      </c>
      <c r="D1425" s="68" t="s">
        <v>25454</v>
      </c>
      <c r="E1425" s="68" t="s">
        <v>26196</v>
      </c>
      <c r="F1425" s="68" t="s">
        <v>26177</v>
      </c>
      <c r="G1425" s="81" t="s">
        <v>19285</v>
      </c>
      <c r="H1425" s="69">
        <v>46031</v>
      </c>
      <c r="I1425" s="69">
        <v>46032</v>
      </c>
      <c r="J1425" s="68">
        <v>2</v>
      </c>
      <c r="K1425" s="68">
        <v>2</v>
      </c>
      <c r="L1425" s="68" t="s">
        <v>24995</v>
      </c>
      <c r="M1425" s="68" t="s">
        <v>24995</v>
      </c>
      <c r="N1425" s="62" t="s">
        <v>19269</v>
      </c>
      <c r="O1425" s="68" t="s">
        <v>3569</v>
      </c>
      <c r="P1425" s="42" t="str">
        <f>+IF(O1425="","",IFERROR(VLOOKUP(O1425,CODIGO_DIAGNOSTICO,2,0),"CÓDIGO NO ENCONTRADO"))</f>
        <v>SINUSITIS AGUDA, NO ESPECIFICADA</v>
      </c>
      <c r="Q1425" s="68" t="s">
        <v>26059</v>
      </c>
      <c r="R1425" s="67"/>
      <c r="S1425" s="77"/>
      <c r="T1425" s="76"/>
      <c r="U1425" s="65"/>
      <c r="V1425" s="68"/>
      <c r="W1425" s="70"/>
      <c r="X1425" s="68"/>
      <c r="Y1425" s="70"/>
      <c r="Z1425" s="72"/>
    </row>
    <row r="1426" spans="1:26" ht="15.75" hidden="1" customHeight="1" x14ac:dyDescent="0.25">
      <c r="A1426" s="64">
        <v>1</v>
      </c>
      <c r="B1426" s="62">
        <v>1121529815</v>
      </c>
      <c r="C1426" s="62" t="s">
        <v>25083</v>
      </c>
      <c r="D1426" s="62" t="s">
        <v>26521</v>
      </c>
      <c r="E1426" s="62" t="s">
        <v>26522</v>
      </c>
      <c r="F1426" s="62" t="s">
        <v>26523</v>
      </c>
      <c r="G1426" s="81" t="s">
        <v>19285</v>
      </c>
      <c r="H1426" s="63">
        <v>46031</v>
      </c>
      <c r="I1426" s="63">
        <v>46033</v>
      </c>
      <c r="J1426" s="62">
        <v>3</v>
      </c>
      <c r="K1426" s="62">
        <v>3</v>
      </c>
      <c r="L1426" s="62" t="s">
        <v>24995</v>
      </c>
      <c r="M1426" s="62" t="s">
        <v>24995</v>
      </c>
      <c r="N1426" s="62" t="s">
        <v>19269</v>
      </c>
      <c r="O1426" s="62" t="s">
        <v>4835</v>
      </c>
      <c r="P1426" s="42" t="str">
        <f>+IF(O1426="","",IFERROR(VLOOKUP(O1426,CODIGO_DIAGNOSTICO,2,0),"CÓDIGO NO ENCONTRADO"))</f>
        <v>CERVICALGIA</v>
      </c>
      <c r="Q1426" s="62" t="s">
        <v>25025</v>
      </c>
      <c r="R1426" s="64"/>
      <c r="S1426" s="75"/>
      <c r="T1426" s="75"/>
      <c r="U1426" s="65"/>
      <c r="V1426" s="62"/>
      <c r="W1426" s="65"/>
      <c r="X1426" s="62"/>
      <c r="Y1426" s="65"/>
      <c r="Z1426" s="73"/>
    </row>
    <row r="1427" spans="1:26" ht="15.75" hidden="1" customHeight="1" x14ac:dyDescent="0.25">
      <c r="A1427" s="67">
        <v>1</v>
      </c>
      <c r="B1427" s="68">
        <v>1038361110</v>
      </c>
      <c r="C1427" s="68" t="s">
        <v>25065</v>
      </c>
      <c r="D1427" s="68" t="s">
        <v>25065</v>
      </c>
      <c r="E1427" s="68" t="s">
        <v>25203</v>
      </c>
      <c r="F1427" s="68" t="s">
        <v>25110</v>
      </c>
      <c r="G1427" s="81" t="s">
        <v>19285</v>
      </c>
      <c r="H1427" s="69">
        <v>46031</v>
      </c>
      <c r="I1427" s="69">
        <v>46034</v>
      </c>
      <c r="J1427" s="68">
        <v>4</v>
      </c>
      <c r="K1427" s="68">
        <v>4</v>
      </c>
      <c r="L1427" s="68" t="s">
        <v>24995</v>
      </c>
      <c r="M1427" s="68" t="s">
        <v>24995</v>
      </c>
      <c r="N1427" s="62" t="s">
        <v>19269</v>
      </c>
      <c r="O1427" s="68" t="s">
        <v>7713</v>
      </c>
      <c r="P1427" s="42" t="str">
        <f>+IF(O1427="","",IFERROR(VLOOKUP(O1427,CODIGO_DIAGNOSTICO,2,0),"CÓDIGO NO ENCONTRADO"))</f>
        <v>CONTUSION DE LA RODILLA</v>
      </c>
      <c r="Q1427" s="68" t="s">
        <v>25025</v>
      </c>
      <c r="R1427" s="67"/>
      <c r="S1427" s="77"/>
      <c r="T1427" s="76"/>
      <c r="U1427" s="65"/>
      <c r="V1427" s="68"/>
      <c r="W1427" s="70"/>
      <c r="X1427" s="68"/>
      <c r="Y1427" s="70"/>
      <c r="Z1427" s="72"/>
    </row>
    <row r="1428" spans="1:26" ht="15.75" hidden="1" customHeight="1" x14ac:dyDescent="0.25">
      <c r="A1428" s="64">
        <v>1</v>
      </c>
      <c r="B1428" s="62">
        <v>70108742</v>
      </c>
      <c r="C1428" s="62" t="s">
        <v>25075</v>
      </c>
      <c r="D1428" s="62" t="s">
        <v>25510</v>
      </c>
      <c r="E1428" s="62" t="s">
        <v>25884</v>
      </c>
      <c r="F1428" s="62"/>
      <c r="G1428" s="81" t="s">
        <v>19285</v>
      </c>
      <c r="H1428" s="63">
        <v>46032</v>
      </c>
      <c r="I1428" s="63">
        <v>46061</v>
      </c>
      <c r="J1428" s="62">
        <v>30</v>
      </c>
      <c r="K1428" s="62">
        <v>30</v>
      </c>
      <c r="L1428" s="62" t="s">
        <v>19262</v>
      </c>
      <c r="M1428" s="62" t="s">
        <v>19262</v>
      </c>
      <c r="N1428" s="62" t="s">
        <v>19269</v>
      </c>
      <c r="O1428" s="62" t="s">
        <v>1270</v>
      </c>
      <c r="P1428" s="42" t="str">
        <f>+IF(O1428="","",IFERROR(VLOOKUP(O1428,CODIGO_DIAGNOSTICO,2,0),"CÓDIGO NO ENCONTRADO"))</f>
        <v>CARCINOMA IN SITU DEL BRONQUIO Y DEL PULMON</v>
      </c>
      <c r="Q1428" s="62" t="s">
        <v>26059</v>
      </c>
      <c r="R1428" s="64"/>
      <c r="S1428" s="75"/>
      <c r="T1428" s="75"/>
      <c r="U1428" s="65"/>
      <c r="V1428" s="62"/>
      <c r="W1428" s="65"/>
      <c r="X1428" s="62"/>
      <c r="Y1428" s="65"/>
      <c r="Z1428" s="73"/>
    </row>
    <row r="1429" spans="1:26" ht="15.75" hidden="1" customHeight="1" x14ac:dyDescent="0.25">
      <c r="A1429" s="67">
        <v>1</v>
      </c>
      <c r="B1429" s="68">
        <v>70434145</v>
      </c>
      <c r="C1429" s="68" t="s">
        <v>25588</v>
      </c>
      <c r="D1429" s="68" t="s">
        <v>25905</v>
      </c>
      <c r="E1429" s="68" t="s">
        <v>25545</v>
      </c>
      <c r="F1429" s="68"/>
      <c r="G1429" s="81" t="s">
        <v>25328</v>
      </c>
      <c r="H1429" s="69">
        <v>46032</v>
      </c>
      <c r="I1429" s="69">
        <v>46034</v>
      </c>
      <c r="J1429" s="68">
        <v>3</v>
      </c>
      <c r="K1429" s="68">
        <v>3</v>
      </c>
      <c r="L1429" s="68" t="s">
        <v>24995</v>
      </c>
      <c r="M1429" s="68" t="s">
        <v>24995</v>
      </c>
      <c r="N1429" s="62" t="s">
        <v>19263</v>
      </c>
      <c r="O1429" s="68" t="s">
        <v>2845</v>
      </c>
      <c r="P1429" s="42" t="str">
        <f>+IF(O1429="","",IFERROR(VLOOKUP(O1429,CODIGO_DIAGNOSTICO,2,0),"CÓDIGO NO ENCONTRADO"))</f>
        <v>CONJUNTIVITIS AGUDA, NO ESPECIFICADA</v>
      </c>
      <c r="Q1429" s="68" t="s">
        <v>25001</v>
      </c>
      <c r="R1429" s="67"/>
      <c r="S1429" s="77"/>
      <c r="T1429" s="76"/>
      <c r="U1429" s="65"/>
      <c r="V1429" s="68"/>
      <c r="W1429" s="70"/>
      <c r="X1429" s="68"/>
      <c r="Y1429" s="70"/>
      <c r="Z1429" s="72"/>
    </row>
    <row r="1430" spans="1:26" ht="15.75" hidden="1" customHeight="1" x14ac:dyDescent="0.25">
      <c r="A1430" s="64">
        <v>1</v>
      </c>
      <c r="B1430" s="62">
        <v>71987067</v>
      </c>
      <c r="C1430" s="62" t="s">
        <v>25128</v>
      </c>
      <c r="D1430" s="62" t="s">
        <v>25129</v>
      </c>
      <c r="E1430" s="62" t="s">
        <v>25130</v>
      </c>
      <c r="F1430" s="62" t="s">
        <v>25131</v>
      </c>
      <c r="G1430" s="81" t="s">
        <v>19285</v>
      </c>
      <c r="H1430" s="63">
        <v>46032</v>
      </c>
      <c r="I1430" s="63">
        <v>46032</v>
      </c>
      <c r="J1430" s="62">
        <v>1</v>
      </c>
      <c r="K1430" s="62">
        <v>1</v>
      </c>
      <c r="L1430" s="62" t="s">
        <v>24995</v>
      </c>
      <c r="M1430" s="62" t="s">
        <v>24995</v>
      </c>
      <c r="N1430" s="62" t="s">
        <v>19269</v>
      </c>
      <c r="O1430" s="62" t="s">
        <v>4650</v>
      </c>
      <c r="P1430" s="42" t="str">
        <f>+IF(O1430="","",IFERROR(VLOOKUP(O1430,CODIGO_DIAGNOSTICO,2,0),"CÓDIGO NO ENCONTRADO"))</f>
        <v>GONARTROSIS, NO ESPECIFICADA</v>
      </c>
      <c r="Q1430" s="62" t="s">
        <v>26059</v>
      </c>
      <c r="R1430" s="64"/>
      <c r="S1430" s="75"/>
      <c r="T1430" s="75"/>
      <c r="U1430" s="65"/>
      <c r="V1430" s="62"/>
      <c r="W1430" s="65"/>
      <c r="X1430" s="62"/>
      <c r="Y1430" s="65"/>
      <c r="Z1430" s="73"/>
    </row>
    <row r="1431" spans="1:26" ht="15.75" hidden="1" customHeight="1" x14ac:dyDescent="0.25">
      <c r="A1431" s="67">
        <v>1</v>
      </c>
      <c r="B1431" s="68">
        <v>1128438267</v>
      </c>
      <c r="C1431" s="68" t="s">
        <v>26302</v>
      </c>
      <c r="D1431" s="68" t="s">
        <v>25593</v>
      </c>
      <c r="E1431" s="68" t="s">
        <v>26303</v>
      </c>
      <c r="F1431" s="68" t="s">
        <v>24986</v>
      </c>
      <c r="G1431" s="81" t="s">
        <v>19285</v>
      </c>
      <c r="H1431" s="69">
        <v>46032</v>
      </c>
      <c r="I1431" s="69">
        <v>46032</v>
      </c>
      <c r="J1431" s="68">
        <v>1</v>
      </c>
      <c r="K1431" s="68">
        <v>1</v>
      </c>
      <c r="L1431" s="68" t="s">
        <v>24995</v>
      </c>
      <c r="M1431" s="68" t="s">
        <v>24995</v>
      </c>
      <c r="N1431" s="62" t="s">
        <v>19269</v>
      </c>
      <c r="O1431" s="68" t="s">
        <v>4026</v>
      </c>
      <c r="P1431" s="42" t="str">
        <f>+IF(O1431="","",IFERROR(VLOOKUP(O1431,CODIGO_DIAGNOSTICO,2,0),"CÓDIGO NO ENCONTRADO"))</f>
        <v>COLITIS Y GASTROENTERITIS NO INFECCIOSAS, NO ESPECIFICADAS</v>
      </c>
      <c r="Q1431" s="68" t="s">
        <v>19230</v>
      </c>
      <c r="R1431" s="67"/>
      <c r="S1431" s="77"/>
      <c r="T1431" s="76"/>
      <c r="U1431" s="65"/>
      <c r="V1431" s="68"/>
      <c r="W1431" s="70"/>
      <c r="X1431" s="68"/>
      <c r="Y1431" s="70"/>
      <c r="Z1431" s="72"/>
    </row>
    <row r="1432" spans="1:26" ht="15.75" hidden="1" customHeight="1" x14ac:dyDescent="0.25">
      <c r="A1432" s="64">
        <v>1</v>
      </c>
      <c r="B1432" s="62">
        <v>1020415944</v>
      </c>
      <c r="C1432" s="62" t="s">
        <v>26511</v>
      </c>
      <c r="D1432" s="62" t="s">
        <v>25118</v>
      </c>
      <c r="E1432" s="62" t="s">
        <v>25177</v>
      </c>
      <c r="F1432" s="62" t="s">
        <v>25413</v>
      </c>
      <c r="G1432" s="81" t="s">
        <v>19285</v>
      </c>
      <c r="H1432" s="63">
        <v>46032</v>
      </c>
      <c r="I1432" s="63">
        <v>46033</v>
      </c>
      <c r="J1432" s="62">
        <v>2</v>
      </c>
      <c r="K1432" s="62">
        <v>2</v>
      </c>
      <c r="L1432" s="62" t="s">
        <v>24995</v>
      </c>
      <c r="M1432" s="62" t="s">
        <v>24995</v>
      </c>
      <c r="N1432" s="62" t="s">
        <v>19269</v>
      </c>
      <c r="O1432" s="62" t="s">
        <v>2590</v>
      </c>
      <c r="P1432" s="42" t="str">
        <f>+IF(O1432="","",IFERROR(VLOOKUP(O1432,CODIGO_DIAGNOSTICO,2,0),"CÓDIGO NO ENCONTRADO"))</f>
        <v>ESTADO MIGRAÑOSO</v>
      </c>
      <c r="Q1432" s="62" t="s">
        <v>26059</v>
      </c>
      <c r="R1432" s="64"/>
      <c r="S1432" s="75"/>
      <c r="T1432" s="75"/>
      <c r="U1432" s="65"/>
      <c r="V1432" s="62"/>
      <c r="W1432" s="65"/>
      <c r="X1432" s="62"/>
      <c r="Y1432" s="65"/>
      <c r="Z1432" s="73"/>
    </row>
    <row r="1433" spans="1:26" ht="15.75" hidden="1" customHeight="1" x14ac:dyDescent="0.25">
      <c r="A1433" s="67">
        <v>1</v>
      </c>
      <c r="B1433" s="68">
        <v>71382103</v>
      </c>
      <c r="C1433" s="68" t="s">
        <v>25776</v>
      </c>
      <c r="D1433" s="68" t="s">
        <v>25968</v>
      </c>
      <c r="E1433" s="68" t="s">
        <v>25198</v>
      </c>
      <c r="F1433" s="68" t="s">
        <v>25276</v>
      </c>
      <c r="G1433" s="81" t="s">
        <v>19285</v>
      </c>
      <c r="H1433" s="69">
        <v>46032</v>
      </c>
      <c r="I1433" s="69">
        <v>46037</v>
      </c>
      <c r="J1433" s="68">
        <v>6</v>
      </c>
      <c r="K1433" s="68">
        <v>6</v>
      </c>
      <c r="L1433" s="68" t="s">
        <v>19262</v>
      </c>
      <c r="M1433" s="68" t="s">
        <v>24995</v>
      </c>
      <c r="N1433" s="62" t="s">
        <v>19269</v>
      </c>
      <c r="O1433" s="68" t="s">
        <v>4650</v>
      </c>
      <c r="P1433" s="42" t="str">
        <f>+IF(O1433="","",IFERROR(VLOOKUP(O1433,CODIGO_DIAGNOSTICO,2,0),"CÓDIGO NO ENCONTRADO"))</f>
        <v>GONARTROSIS, NO ESPECIFICADA</v>
      </c>
      <c r="Q1433" s="68" t="s">
        <v>26059</v>
      </c>
      <c r="R1433" s="67"/>
      <c r="S1433" s="77"/>
      <c r="T1433" s="76"/>
      <c r="U1433" s="65"/>
      <c r="V1433" s="68"/>
      <c r="W1433" s="70"/>
      <c r="X1433" s="68"/>
      <c r="Y1433" s="70"/>
      <c r="Z1433" s="72"/>
    </row>
    <row r="1434" spans="1:26" ht="15.75" hidden="1" customHeight="1" x14ac:dyDescent="0.25">
      <c r="A1434" s="64">
        <v>1</v>
      </c>
      <c r="B1434" s="62">
        <v>71770967</v>
      </c>
      <c r="C1434" s="62" t="s">
        <v>25362</v>
      </c>
      <c r="D1434" s="62" t="s">
        <v>25093</v>
      </c>
      <c r="E1434" s="62" t="s">
        <v>25221</v>
      </c>
      <c r="F1434" s="62" t="s">
        <v>25066</v>
      </c>
      <c r="G1434" s="81" t="s">
        <v>25328</v>
      </c>
      <c r="H1434" s="63">
        <v>46033</v>
      </c>
      <c r="I1434" s="63">
        <v>46036</v>
      </c>
      <c r="J1434" s="62">
        <v>4</v>
      </c>
      <c r="K1434" s="62">
        <v>3</v>
      </c>
      <c r="L1434" s="62" t="s">
        <v>24995</v>
      </c>
      <c r="M1434" s="62" t="s">
        <v>24995</v>
      </c>
      <c r="N1434" s="62" t="s">
        <v>19269</v>
      </c>
      <c r="O1434" s="62" t="s">
        <v>3606</v>
      </c>
      <c r="P1434" s="42" t="str">
        <f>+IF(O1434="","",IFERROR(VLOOKUP(O1434,CODIGO_DIAGNOSTICO,2,0),"CÓDIGO NO ENCONTRADO"))</f>
        <v>NEUMONIA BACTERIANA, NO ESPECIFICADA</v>
      </c>
      <c r="Q1434" s="62" t="s">
        <v>26059</v>
      </c>
      <c r="R1434" s="64"/>
      <c r="S1434" s="75"/>
      <c r="T1434" s="75"/>
      <c r="U1434" s="65"/>
      <c r="V1434" s="62"/>
      <c r="W1434" s="65"/>
      <c r="X1434" s="62"/>
      <c r="Y1434" s="65"/>
      <c r="Z1434" s="73"/>
    </row>
    <row r="1435" spans="1:26" ht="15.75" hidden="1" customHeight="1" x14ac:dyDescent="0.25">
      <c r="A1435" s="67">
        <v>1</v>
      </c>
      <c r="B1435" s="68">
        <v>71676289</v>
      </c>
      <c r="C1435" s="68" t="s">
        <v>25702</v>
      </c>
      <c r="D1435" s="68" t="s">
        <v>25012</v>
      </c>
      <c r="E1435" s="68" t="s">
        <v>25016</v>
      </c>
      <c r="F1435" s="68" t="s">
        <v>25004</v>
      </c>
      <c r="G1435" s="81" t="s">
        <v>19285</v>
      </c>
      <c r="H1435" s="69">
        <v>46034</v>
      </c>
      <c r="I1435" s="69">
        <v>46048</v>
      </c>
      <c r="J1435" s="68">
        <v>15</v>
      </c>
      <c r="K1435" s="68">
        <v>15</v>
      </c>
      <c r="L1435" s="68" t="s">
        <v>24995</v>
      </c>
      <c r="M1435" s="68" t="s">
        <v>24995</v>
      </c>
      <c r="N1435" s="62" t="s">
        <v>19269</v>
      </c>
      <c r="O1435" s="68" t="s">
        <v>5004</v>
      </c>
      <c r="P1435" s="42" t="str">
        <f>+IF(O1435="","",IFERROR(VLOOKUP(O1435,CODIGO_DIAGNOSTICO,2,0),"CÓDIGO NO ENCONTRADO"))</f>
        <v>OTRAS OSTEOMIELITIS CRONICAS</v>
      </c>
      <c r="Q1435" s="68" t="s">
        <v>26059</v>
      </c>
      <c r="R1435" s="67"/>
      <c r="S1435" s="77"/>
      <c r="T1435" s="76"/>
      <c r="U1435" s="65"/>
      <c r="V1435" s="68"/>
      <c r="W1435" s="70"/>
      <c r="X1435" s="68"/>
      <c r="Y1435" s="70"/>
      <c r="Z1435" s="72"/>
    </row>
    <row r="1436" spans="1:26" ht="15.75" hidden="1" customHeight="1" x14ac:dyDescent="0.25">
      <c r="A1436" s="64">
        <v>1</v>
      </c>
      <c r="B1436" s="62">
        <v>1038361110</v>
      </c>
      <c r="C1436" s="62" t="s">
        <v>25065</v>
      </c>
      <c r="D1436" s="62" t="s">
        <v>25065</v>
      </c>
      <c r="E1436" s="62" t="s">
        <v>25203</v>
      </c>
      <c r="F1436" s="62" t="s">
        <v>25110</v>
      </c>
      <c r="G1436" s="81" t="s">
        <v>19285</v>
      </c>
      <c r="H1436" s="63">
        <v>46035</v>
      </c>
      <c r="I1436" s="63">
        <v>46037</v>
      </c>
      <c r="J1436" s="62">
        <v>3</v>
      </c>
      <c r="K1436" s="62">
        <v>3</v>
      </c>
      <c r="L1436" s="62" t="s">
        <v>24995</v>
      </c>
      <c r="M1436" s="62" t="s">
        <v>24995</v>
      </c>
      <c r="N1436" s="62" t="s">
        <v>19269</v>
      </c>
      <c r="O1436" s="62" t="s">
        <v>7293</v>
      </c>
      <c r="P1436" s="42" t="str">
        <f>+IF(O1436="","",IFERROR(VLOOKUP(O1436,CODIGO_DIAGNOSTICO,2,0),"CÓDIGO NO ENCONTRADO"))</f>
        <v>TRAUMATISMO INTRACRANEAL, NO ESPECIFICADO</v>
      </c>
      <c r="Q1436" s="62" t="s">
        <v>25025</v>
      </c>
      <c r="R1436" s="64"/>
      <c r="S1436" s="75"/>
      <c r="T1436" s="75"/>
      <c r="U1436" s="65"/>
      <c r="V1436" s="62"/>
      <c r="W1436" s="65"/>
      <c r="X1436" s="62"/>
      <c r="Y1436" s="65"/>
      <c r="Z1436" s="73"/>
    </row>
    <row r="1437" spans="1:26" ht="15.75" hidden="1" customHeight="1" x14ac:dyDescent="0.25">
      <c r="A1437" s="67">
        <v>1</v>
      </c>
      <c r="B1437" s="68">
        <v>1000633959</v>
      </c>
      <c r="C1437" s="68" t="s">
        <v>25523</v>
      </c>
      <c r="D1437" s="68" t="s">
        <v>25109</v>
      </c>
      <c r="E1437" s="68" t="s">
        <v>25010</v>
      </c>
      <c r="F1437" s="68" t="s">
        <v>26108</v>
      </c>
      <c r="G1437" s="81" t="s">
        <v>19285</v>
      </c>
      <c r="H1437" s="69">
        <v>46035</v>
      </c>
      <c r="I1437" s="69">
        <v>46039</v>
      </c>
      <c r="J1437" s="68">
        <v>5</v>
      </c>
      <c r="K1437" s="68">
        <v>5</v>
      </c>
      <c r="L1437" s="68" t="s">
        <v>24995</v>
      </c>
      <c r="M1437" s="68" t="s">
        <v>24995</v>
      </c>
      <c r="N1437" s="62" t="s">
        <v>19269</v>
      </c>
      <c r="O1437" s="68" t="s">
        <v>7713</v>
      </c>
      <c r="P1437" s="42" t="str">
        <f>+IF(O1437="","",IFERROR(VLOOKUP(O1437,CODIGO_DIAGNOSTICO,2,0),"CÓDIGO NO ENCONTRADO"))</f>
        <v>CONTUSION DE LA RODILLA</v>
      </c>
      <c r="Q1437" s="68" t="s">
        <v>24996</v>
      </c>
      <c r="R1437" s="67"/>
      <c r="S1437" s="77"/>
      <c r="T1437" s="76"/>
      <c r="U1437" s="65"/>
      <c r="V1437" s="68"/>
      <c r="W1437" s="70"/>
      <c r="X1437" s="68"/>
      <c r="Y1437" s="70"/>
      <c r="Z1437" s="72"/>
    </row>
    <row r="1438" spans="1:26" ht="15.75" hidden="1" customHeight="1" x14ac:dyDescent="0.25">
      <c r="A1438" s="64">
        <v>1</v>
      </c>
      <c r="B1438" s="62">
        <v>71770967</v>
      </c>
      <c r="C1438" s="62" t="s">
        <v>25362</v>
      </c>
      <c r="D1438" s="62" t="s">
        <v>25093</v>
      </c>
      <c r="E1438" s="62" t="s">
        <v>25977</v>
      </c>
      <c r="F1438" s="62" t="s">
        <v>25066</v>
      </c>
      <c r="G1438" s="81" t="s">
        <v>25328</v>
      </c>
      <c r="H1438" s="63">
        <v>46037</v>
      </c>
      <c r="I1438" s="63">
        <v>46038</v>
      </c>
      <c r="J1438" s="62">
        <v>2</v>
      </c>
      <c r="K1438" s="62">
        <v>2</v>
      </c>
      <c r="L1438" s="62" t="s">
        <v>24995</v>
      </c>
      <c r="M1438" s="62" t="s">
        <v>24995</v>
      </c>
      <c r="N1438" s="62" t="s">
        <v>19269</v>
      </c>
      <c r="O1438" s="62" t="s">
        <v>3572</v>
      </c>
      <c r="P1438" s="42" t="str">
        <f>+IF(O1438="","",IFERROR(VLOOKUP(O1438,CODIGO_DIAGNOSTICO,2,0),"CÓDIGO NO ENCONTRADO"))</f>
        <v>FARINGITIS AGUDA, NO ESPECIFICADA</v>
      </c>
      <c r="Q1438" s="62" t="s">
        <v>26059</v>
      </c>
      <c r="R1438" s="64"/>
      <c r="S1438" s="75"/>
      <c r="T1438" s="75"/>
      <c r="U1438" s="65"/>
      <c r="V1438" s="62"/>
      <c r="W1438" s="65"/>
      <c r="X1438" s="62"/>
      <c r="Y1438" s="65"/>
      <c r="Z1438" s="73"/>
    </row>
    <row r="1439" spans="1:26" ht="15.75" hidden="1" customHeight="1" x14ac:dyDescent="0.25">
      <c r="A1439" s="67">
        <v>1</v>
      </c>
      <c r="B1439" s="68">
        <v>71642375</v>
      </c>
      <c r="C1439" s="68" t="s">
        <v>25658</v>
      </c>
      <c r="D1439" s="68" t="s">
        <v>25272</v>
      </c>
      <c r="E1439" s="68" t="s">
        <v>25283</v>
      </c>
      <c r="F1439" s="68" t="s">
        <v>25135</v>
      </c>
      <c r="G1439" s="81" t="s">
        <v>19285</v>
      </c>
      <c r="H1439" s="69">
        <v>46037</v>
      </c>
      <c r="I1439" s="69">
        <v>46038</v>
      </c>
      <c r="J1439" s="68">
        <v>2</v>
      </c>
      <c r="K1439" s="68">
        <v>2</v>
      </c>
      <c r="L1439" s="68" t="s">
        <v>24995</v>
      </c>
      <c r="M1439" s="68" t="s">
        <v>24995</v>
      </c>
      <c r="N1439" s="62" t="s">
        <v>19269</v>
      </c>
      <c r="O1439" s="68" t="s">
        <v>3583</v>
      </c>
      <c r="P1439" s="42" t="str">
        <f>+IF(O1439="","",IFERROR(VLOOKUP(O1439,CODIGO_DIAGNOSTICO,2,0),"CÓDIGO NO ENCONTRADO"))</f>
        <v>INFECCION AGUDA DE LAS VIAS RESPIRATORIAS SUPERIORES, NO ESPECIFICADA</v>
      </c>
      <c r="Q1439" s="68" t="s">
        <v>26059</v>
      </c>
      <c r="R1439" s="67"/>
      <c r="S1439" s="77"/>
      <c r="T1439" s="76"/>
      <c r="U1439" s="65"/>
      <c r="V1439" s="68"/>
      <c r="W1439" s="70"/>
      <c r="X1439" s="68"/>
      <c r="Y1439" s="70"/>
      <c r="Z1439" s="72"/>
    </row>
    <row r="1440" spans="1:26" ht="15.75" hidden="1" customHeight="1" x14ac:dyDescent="0.25">
      <c r="A1440" s="64">
        <v>1</v>
      </c>
      <c r="B1440" s="62">
        <v>98601485</v>
      </c>
      <c r="C1440" s="62" t="s">
        <v>25240</v>
      </c>
      <c r="D1440" s="62"/>
      <c r="E1440" s="62" t="s">
        <v>25241</v>
      </c>
      <c r="F1440" s="62" t="s">
        <v>25103</v>
      </c>
      <c r="G1440" s="81" t="s">
        <v>25328</v>
      </c>
      <c r="H1440" s="63">
        <v>46037</v>
      </c>
      <c r="I1440" s="63">
        <v>46051</v>
      </c>
      <c r="J1440" s="62">
        <v>15</v>
      </c>
      <c r="K1440" s="62">
        <v>15</v>
      </c>
      <c r="L1440" s="62" t="s">
        <v>19262</v>
      </c>
      <c r="M1440" s="62" t="s">
        <v>19262</v>
      </c>
      <c r="N1440" s="62" t="s">
        <v>19269</v>
      </c>
      <c r="O1440" s="62" t="s">
        <v>8419</v>
      </c>
      <c r="P1440" s="42" t="str">
        <f>+IF(O1440="","",IFERROR(VLOOKUP(O1440,CODIGO_DIAGNOSTICO,2,0),"CÓDIGO NO ENCONTRADO"))</f>
        <v>COMPLICACION MECANICA DE OTROS DISPOSITIVOS PROTESICOS, IMPLANTES E INJERTOS ORTOPEDICOS INTERNOS</v>
      </c>
      <c r="Q1440" s="62" t="s">
        <v>19230</v>
      </c>
      <c r="R1440" s="64"/>
      <c r="S1440" s="75"/>
      <c r="T1440" s="75"/>
      <c r="U1440" s="65"/>
      <c r="V1440" s="62"/>
      <c r="W1440" s="65"/>
      <c r="X1440" s="62"/>
      <c r="Y1440" s="65"/>
      <c r="Z1440" s="73"/>
    </row>
    <row r="1441" spans="1:26" ht="15.75" hidden="1" customHeight="1" x14ac:dyDescent="0.25">
      <c r="A1441" s="67">
        <v>1</v>
      </c>
      <c r="B1441" s="68">
        <v>1020415944</v>
      </c>
      <c r="C1441" s="68" t="s">
        <v>26511</v>
      </c>
      <c r="D1441" s="68" t="s">
        <v>25118</v>
      </c>
      <c r="E1441" s="68" t="s">
        <v>25177</v>
      </c>
      <c r="F1441" s="68" t="s">
        <v>25413</v>
      </c>
      <c r="G1441" s="81" t="s">
        <v>19285</v>
      </c>
      <c r="H1441" s="69">
        <v>46037</v>
      </c>
      <c r="I1441" s="69">
        <v>46038</v>
      </c>
      <c r="J1441" s="68">
        <v>2</v>
      </c>
      <c r="K1441" s="68">
        <v>2</v>
      </c>
      <c r="L1441" s="68" t="s">
        <v>24995</v>
      </c>
      <c r="M1441" s="68" t="s">
        <v>24995</v>
      </c>
      <c r="N1441" s="62" t="s">
        <v>19269</v>
      </c>
      <c r="O1441" s="68" t="s">
        <v>2593</v>
      </c>
      <c r="P1441" s="42" t="str">
        <f>+IF(O1441="","",IFERROR(VLOOKUP(O1441,CODIGO_DIAGNOSTICO,2,0),"CÓDIGO NO ENCONTRADO"))</f>
        <v>MIGRAÑA, NO ESPECIFICADA</v>
      </c>
      <c r="Q1441" s="68" t="s">
        <v>26059</v>
      </c>
      <c r="R1441" s="67"/>
      <c r="S1441" s="77"/>
      <c r="T1441" s="76"/>
      <c r="U1441" s="65"/>
      <c r="V1441" s="68"/>
      <c r="W1441" s="70"/>
      <c r="X1441" s="68"/>
      <c r="Y1441" s="70"/>
      <c r="Z1441" s="72"/>
    </row>
    <row r="1442" spans="1:26" ht="15.75" hidden="1" customHeight="1" x14ac:dyDescent="0.25">
      <c r="A1442" s="64">
        <v>1</v>
      </c>
      <c r="B1442" s="62">
        <v>71382103</v>
      </c>
      <c r="C1442" s="62" t="s">
        <v>25776</v>
      </c>
      <c r="D1442" s="62" t="s">
        <v>25968</v>
      </c>
      <c r="E1442" s="62" t="s">
        <v>25198</v>
      </c>
      <c r="F1442" s="62" t="s">
        <v>25276</v>
      </c>
      <c r="G1442" s="81" t="s">
        <v>19285</v>
      </c>
      <c r="H1442" s="63">
        <v>46038</v>
      </c>
      <c r="I1442" s="63">
        <v>46043</v>
      </c>
      <c r="J1442" s="62">
        <v>6</v>
      </c>
      <c r="K1442" s="62">
        <v>6</v>
      </c>
      <c r="L1442" s="62" t="s">
        <v>19262</v>
      </c>
      <c r="M1442" s="62" t="s">
        <v>19262</v>
      </c>
      <c r="N1442" s="62" t="s">
        <v>19269</v>
      </c>
      <c r="O1442" s="62" t="s">
        <v>4650</v>
      </c>
      <c r="P1442" s="42" t="str">
        <f>+IF(O1442="","",IFERROR(VLOOKUP(O1442,CODIGO_DIAGNOSTICO,2,0),"CÓDIGO NO ENCONTRADO"))</f>
        <v>GONARTROSIS, NO ESPECIFICADA</v>
      </c>
      <c r="Q1442" s="62" t="s">
        <v>26059</v>
      </c>
      <c r="R1442" s="64"/>
      <c r="S1442" s="75"/>
      <c r="T1442" s="75"/>
      <c r="U1442" s="65"/>
      <c r="V1442" s="62"/>
      <c r="W1442" s="65"/>
      <c r="X1442" s="62"/>
      <c r="Y1442" s="65"/>
      <c r="Z1442" s="73"/>
    </row>
    <row r="1443" spans="1:26" ht="15.75" hidden="1" customHeight="1" x14ac:dyDescent="0.25">
      <c r="A1443" s="67">
        <v>1</v>
      </c>
      <c r="B1443" s="68">
        <v>1007330131</v>
      </c>
      <c r="C1443" s="68" t="s">
        <v>25828</v>
      </c>
      <c r="D1443" s="68" t="s">
        <v>25427</v>
      </c>
      <c r="E1443" s="68" t="s">
        <v>26277</v>
      </c>
      <c r="F1443" s="68" t="s">
        <v>25632</v>
      </c>
      <c r="G1443" s="81" t="s">
        <v>19285</v>
      </c>
      <c r="H1443" s="69">
        <v>46038</v>
      </c>
      <c r="I1443" s="69">
        <v>46044</v>
      </c>
      <c r="J1443" s="68">
        <v>7</v>
      </c>
      <c r="K1443" s="68">
        <v>7</v>
      </c>
      <c r="L1443" s="68" t="s">
        <v>24995</v>
      </c>
      <c r="M1443" s="68" t="s">
        <v>24995</v>
      </c>
      <c r="N1443" s="62" t="s">
        <v>19269</v>
      </c>
      <c r="O1443" s="68" t="s">
        <v>3632</v>
      </c>
      <c r="P1443" s="42" t="str">
        <f>+IF(O1443="","",IFERROR(VLOOKUP(O1443,CODIGO_DIAGNOSTICO,2,0),"CÓDIGO NO ENCONTRADO"))</f>
        <v>INFECCION AGUDA NO ESPECIFICADA DE LAS VIAS RESPIRATORIAS INFERIORES</v>
      </c>
      <c r="Q1443" s="68" t="s">
        <v>24996</v>
      </c>
      <c r="R1443" s="67"/>
      <c r="S1443" s="77"/>
      <c r="T1443" s="76"/>
      <c r="U1443" s="65"/>
      <c r="V1443" s="68"/>
      <c r="W1443" s="70"/>
      <c r="X1443" s="68"/>
      <c r="Y1443" s="70"/>
      <c r="Z1443" s="72"/>
    </row>
    <row r="1444" spans="1:26" ht="15.75" hidden="1" customHeight="1" x14ac:dyDescent="0.25">
      <c r="A1444" s="64">
        <v>1</v>
      </c>
      <c r="B1444" s="62">
        <v>71170091</v>
      </c>
      <c r="C1444" s="62" t="s">
        <v>25233</v>
      </c>
      <c r="D1444" s="62" t="s">
        <v>25726</v>
      </c>
      <c r="E1444" s="62" t="s">
        <v>25099</v>
      </c>
      <c r="F1444" s="62" t="s">
        <v>25188</v>
      </c>
      <c r="G1444" s="81" t="s">
        <v>19285</v>
      </c>
      <c r="H1444" s="63">
        <v>46039</v>
      </c>
      <c r="I1444" s="63">
        <v>46068</v>
      </c>
      <c r="J1444" s="62">
        <v>30</v>
      </c>
      <c r="K1444" s="62">
        <v>30</v>
      </c>
      <c r="L1444" s="62" t="s">
        <v>24995</v>
      </c>
      <c r="M1444" s="62" t="s">
        <v>19262</v>
      </c>
      <c r="N1444" s="62" t="s">
        <v>19269</v>
      </c>
      <c r="O1444" s="62" t="s">
        <v>5286</v>
      </c>
      <c r="P1444" s="42" t="str">
        <f>+IF(O1444="","",IFERROR(VLOOKUP(O1444,CODIGO_DIAGNOSTICO,2,0),"CÓDIGO NO ENCONTRADO"))</f>
        <v>HIPERPLASIA DE LA PROSTATA</v>
      </c>
      <c r="Q1444" s="62" t="s">
        <v>24996</v>
      </c>
      <c r="R1444" s="64"/>
      <c r="S1444" s="75"/>
      <c r="T1444" s="75"/>
      <c r="U1444" s="65"/>
      <c r="V1444" s="62"/>
      <c r="W1444" s="65"/>
      <c r="X1444" s="62"/>
      <c r="Y1444" s="65"/>
      <c r="Z1444" s="73"/>
    </row>
    <row r="1445" spans="1:26" ht="15.75" hidden="1" customHeight="1" x14ac:dyDescent="0.25">
      <c r="A1445" s="67">
        <v>1</v>
      </c>
      <c r="B1445" s="68">
        <v>98496544</v>
      </c>
      <c r="C1445" s="68" t="s">
        <v>25529</v>
      </c>
      <c r="D1445" s="68" t="s">
        <v>19258</v>
      </c>
      <c r="E1445" s="68" t="s">
        <v>25066</v>
      </c>
      <c r="F1445" s="68"/>
      <c r="G1445" s="81" t="s">
        <v>19285</v>
      </c>
      <c r="H1445" s="69">
        <v>46041</v>
      </c>
      <c r="I1445" s="69">
        <v>46042</v>
      </c>
      <c r="J1445" s="68">
        <v>2</v>
      </c>
      <c r="K1445" s="68">
        <v>2</v>
      </c>
      <c r="L1445" s="68" t="s">
        <v>24995</v>
      </c>
      <c r="M1445" s="68" t="s">
        <v>24995</v>
      </c>
      <c r="N1445" s="62" t="s">
        <v>19269</v>
      </c>
      <c r="O1445" s="68" t="s">
        <v>86</v>
      </c>
      <c r="P1445" s="42" t="str">
        <f>+IF(O1445="","",IFERROR(VLOOKUP(O1445,CODIGO_DIAGNOSTICO,2,0),"CÓDIGO NO ENCONTRADO"))</f>
        <v>INFECCION INTESTINAL VIRAL, SIN OTRA ESPECIFICACION</v>
      </c>
      <c r="Q1445" s="68" t="s">
        <v>19230</v>
      </c>
      <c r="R1445" s="67"/>
      <c r="S1445" s="77"/>
      <c r="T1445" s="76"/>
      <c r="U1445" s="65"/>
      <c r="V1445" s="68"/>
      <c r="W1445" s="70"/>
      <c r="X1445" s="68"/>
      <c r="Y1445" s="70"/>
      <c r="Z1445" s="72"/>
    </row>
    <row r="1446" spans="1:26" ht="15.75" hidden="1" customHeight="1" x14ac:dyDescent="0.25">
      <c r="A1446" s="64">
        <v>1</v>
      </c>
      <c r="B1446" s="62">
        <v>71762684</v>
      </c>
      <c r="C1446" s="62" t="s">
        <v>25105</v>
      </c>
      <c r="D1446" s="62" t="s">
        <v>25733</v>
      </c>
      <c r="E1446" s="62" t="s">
        <v>25405</v>
      </c>
      <c r="F1446" s="62" t="s">
        <v>25051</v>
      </c>
      <c r="G1446" s="81" t="s">
        <v>19285</v>
      </c>
      <c r="H1446" s="63">
        <v>46041</v>
      </c>
      <c r="I1446" s="63">
        <v>46055</v>
      </c>
      <c r="J1446" s="62">
        <v>15</v>
      </c>
      <c r="K1446" s="62">
        <v>15</v>
      </c>
      <c r="L1446" s="62" t="s">
        <v>24995</v>
      </c>
      <c r="M1446" s="62" t="s">
        <v>24995</v>
      </c>
      <c r="N1446" s="62" t="s">
        <v>19269</v>
      </c>
      <c r="O1446" s="62" t="s">
        <v>2850</v>
      </c>
      <c r="P1446" s="42" t="str">
        <f>+IF(O1446="","",IFERROR(VLOOKUP(O1446,CODIGO_DIAGNOSTICO,2,0),"CÓDIGO NO ENCONTRADO"))</f>
        <v>PTERIGION</v>
      </c>
      <c r="Q1446" s="62" t="s">
        <v>19230</v>
      </c>
      <c r="R1446" s="64"/>
      <c r="S1446" s="75"/>
      <c r="T1446" s="75"/>
      <c r="U1446" s="65"/>
      <c r="V1446" s="62"/>
      <c r="W1446" s="65"/>
      <c r="X1446" s="62"/>
      <c r="Y1446" s="65"/>
      <c r="Z1446" s="73"/>
    </row>
    <row r="1447" spans="1:26" ht="15.75" hidden="1" customHeight="1" x14ac:dyDescent="0.25">
      <c r="A1447" s="67">
        <v>1</v>
      </c>
      <c r="B1447" s="68">
        <v>1000399903</v>
      </c>
      <c r="C1447" s="68" t="s">
        <v>25257</v>
      </c>
      <c r="D1447" s="68" t="s">
        <v>25030</v>
      </c>
      <c r="E1447" s="68" t="s">
        <v>25886</v>
      </c>
      <c r="F1447" s="68" t="s">
        <v>25060</v>
      </c>
      <c r="G1447" s="81" t="s">
        <v>19285</v>
      </c>
      <c r="H1447" s="69">
        <v>46043</v>
      </c>
      <c r="I1447" s="69">
        <v>46045</v>
      </c>
      <c r="J1447" s="68">
        <v>3</v>
      </c>
      <c r="K1447" s="68">
        <v>3</v>
      </c>
      <c r="L1447" s="68" t="s">
        <v>24995</v>
      </c>
      <c r="M1447" s="68" t="s">
        <v>24995</v>
      </c>
      <c r="N1447" s="62" t="s">
        <v>19269</v>
      </c>
      <c r="O1447" s="68" t="s">
        <v>4821</v>
      </c>
      <c r="P1447" s="42" t="str">
        <f>+IF(O1447="","",IFERROR(VLOOKUP(O1447,CODIGO_DIAGNOSTICO,2,0),"CÓDIGO NO ENCONTRADO"))</f>
        <v>TRASTORNO DE DISCO LUMBAR Y OTROS, CON RADICULOPATIA</v>
      </c>
      <c r="Q1447" s="68" t="s">
        <v>19230</v>
      </c>
      <c r="R1447" s="67"/>
      <c r="S1447" s="77"/>
      <c r="T1447" s="76"/>
      <c r="U1447" s="65"/>
      <c r="V1447" s="68"/>
      <c r="W1447" s="70"/>
      <c r="X1447" s="68"/>
      <c r="Y1447" s="70"/>
      <c r="Z1447" s="72"/>
    </row>
    <row r="1448" spans="1:26" ht="15.75" hidden="1" customHeight="1" x14ac:dyDescent="0.25">
      <c r="A1448" s="64">
        <v>1</v>
      </c>
      <c r="B1448" s="62">
        <v>1214737996</v>
      </c>
      <c r="C1448" s="62" t="s">
        <v>25547</v>
      </c>
      <c r="D1448" s="62" t="s">
        <v>25969</v>
      </c>
      <c r="E1448" s="62" t="s">
        <v>26338</v>
      </c>
      <c r="F1448" s="62" t="s">
        <v>25060</v>
      </c>
      <c r="G1448" s="81" t="s">
        <v>19285</v>
      </c>
      <c r="H1448" s="63">
        <v>46043</v>
      </c>
      <c r="I1448" s="63">
        <v>46057</v>
      </c>
      <c r="J1448" s="62">
        <v>15</v>
      </c>
      <c r="K1448" s="62">
        <v>15</v>
      </c>
      <c r="L1448" s="62" t="s">
        <v>19262</v>
      </c>
      <c r="M1448" s="62" t="s">
        <v>19262</v>
      </c>
      <c r="N1448" s="62" t="s">
        <v>19269</v>
      </c>
      <c r="O1448" s="62" t="s">
        <v>7723</v>
      </c>
      <c r="P1448" s="42" t="str">
        <f>+IF(O1448="","",IFERROR(VLOOKUP(O1448,CODIGO_DIAGNOSTICO,2,0),"CÓDIGO NO ENCONTRADO"))</f>
        <v>FRACTURA DE LA EPIFISIS SUPERIOR DE LA TIBIA</v>
      </c>
      <c r="Q1448" s="62" t="s">
        <v>26339</v>
      </c>
      <c r="R1448" s="64"/>
      <c r="S1448" s="75"/>
      <c r="T1448" s="75"/>
      <c r="U1448" s="65"/>
      <c r="V1448" s="62"/>
      <c r="W1448" s="65"/>
      <c r="X1448" s="62"/>
      <c r="Y1448" s="65"/>
      <c r="Z1448" s="73"/>
    </row>
    <row r="1449" spans="1:26" ht="15.75" hidden="1" customHeight="1" x14ac:dyDescent="0.25">
      <c r="A1449" s="67">
        <v>1</v>
      </c>
      <c r="B1449" s="68">
        <v>1037975510</v>
      </c>
      <c r="C1449" s="68" t="s">
        <v>24998</v>
      </c>
      <c r="D1449" s="68" t="s">
        <v>25083</v>
      </c>
      <c r="E1449" s="68" t="s">
        <v>25056</v>
      </c>
      <c r="F1449" s="68" t="s">
        <v>25010</v>
      </c>
      <c r="G1449" s="81" t="s">
        <v>19285</v>
      </c>
      <c r="H1449" s="69">
        <v>46043</v>
      </c>
      <c r="I1449" s="69">
        <v>46056</v>
      </c>
      <c r="J1449" s="68">
        <v>14</v>
      </c>
      <c r="K1449" s="68">
        <v>14</v>
      </c>
      <c r="L1449" s="68" t="s">
        <v>24995</v>
      </c>
      <c r="M1449" s="68" t="s">
        <v>24995</v>
      </c>
      <c r="N1449" s="62" t="s">
        <v>19269</v>
      </c>
      <c r="O1449" s="68" t="s">
        <v>11996</v>
      </c>
      <c r="P1449" s="42" t="str">
        <f>+IF(O1449="","",IFERROR(VLOOKUP(O1449,CODIGO_DIAGNOSTICO,2,0),"CÓDIGO NO ENCONTRADO"))</f>
        <v>EMBARAZO CONFIRMADO</v>
      </c>
      <c r="Q1449" s="68" t="s">
        <v>26339</v>
      </c>
      <c r="R1449" s="67"/>
      <c r="S1449" s="77"/>
      <c r="T1449" s="76"/>
      <c r="U1449" s="65"/>
      <c r="V1449" s="68"/>
      <c r="W1449" s="70"/>
      <c r="X1449" s="68"/>
      <c r="Y1449" s="70"/>
      <c r="Z1449" s="72"/>
    </row>
    <row r="1450" spans="1:26" ht="15.75" hidden="1" customHeight="1" x14ac:dyDescent="0.25">
      <c r="A1450" s="64">
        <v>1</v>
      </c>
      <c r="B1450" s="62">
        <v>75037732</v>
      </c>
      <c r="C1450" s="62" t="s">
        <v>26457</v>
      </c>
      <c r="D1450" s="62" t="s">
        <v>25061</v>
      </c>
      <c r="E1450" s="62" t="s">
        <v>26497</v>
      </c>
      <c r="F1450" s="62" t="s">
        <v>25103</v>
      </c>
      <c r="G1450" s="81" t="s">
        <v>19285</v>
      </c>
      <c r="H1450" s="63">
        <v>46043</v>
      </c>
      <c r="I1450" s="63">
        <v>46072</v>
      </c>
      <c r="J1450" s="62">
        <v>30</v>
      </c>
      <c r="K1450" s="62">
        <v>30</v>
      </c>
      <c r="L1450" s="62" t="s">
        <v>19262</v>
      </c>
      <c r="M1450" s="62" t="s">
        <v>19262</v>
      </c>
      <c r="N1450" s="62" t="s">
        <v>19263</v>
      </c>
      <c r="O1450" s="62" t="s">
        <v>7726</v>
      </c>
      <c r="P1450" s="42" t="str">
        <f>+IF(O1450="","",IFERROR(VLOOKUP(O1450,CODIGO_DIAGNOSTICO,2,0),"CÓDIGO NO ENCONTRADO"))</f>
        <v>FRACTURA DEL PERONE SOLAMENTE</v>
      </c>
      <c r="Q1450" s="62" t="s">
        <v>25001</v>
      </c>
      <c r="R1450" s="64"/>
      <c r="S1450" s="75"/>
      <c r="T1450" s="75"/>
      <c r="U1450" s="65"/>
      <c r="V1450" s="62"/>
      <c r="W1450" s="65"/>
      <c r="X1450" s="62"/>
      <c r="Y1450" s="65"/>
      <c r="Z1450" s="73"/>
    </row>
    <row r="1451" spans="1:26" ht="15.75" hidden="1" customHeight="1" x14ac:dyDescent="0.25">
      <c r="A1451" s="67">
        <v>1</v>
      </c>
      <c r="B1451" s="68">
        <v>11936325</v>
      </c>
      <c r="C1451" s="68" t="s">
        <v>25140</v>
      </c>
      <c r="D1451" s="68" t="s">
        <v>25343</v>
      </c>
      <c r="E1451" s="68" t="s">
        <v>25282</v>
      </c>
      <c r="F1451" s="68" t="s">
        <v>25286</v>
      </c>
      <c r="G1451" s="81" t="s">
        <v>19285</v>
      </c>
      <c r="H1451" s="69">
        <v>46043</v>
      </c>
      <c r="I1451" s="69">
        <v>46052</v>
      </c>
      <c r="J1451" s="68">
        <v>10</v>
      </c>
      <c r="K1451" s="68">
        <v>10</v>
      </c>
      <c r="L1451" s="68" t="s">
        <v>24995</v>
      </c>
      <c r="M1451" s="68" t="s">
        <v>24995</v>
      </c>
      <c r="N1451" s="62" t="s">
        <v>19269</v>
      </c>
      <c r="O1451" s="68" t="s">
        <v>3697</v>
      </c>
      <c r="P1451" s="42" t="str">
        <f>+IF(O1451="","",IFERROR(VLOOKUP(O1451,CODIGO_DIAGNOSTICO,2,0),"CÓDIGO NO ENCONTRADO"))</f>
        <v>ASMA, NO ESPECIFICADA</v>
      </c>
      <c r="Q1451" s="68" t="s">
        <v>26059</v>
      </c>
      <c r="R1451" s="67"/>
      <c r="S1451" s="77"/>
      <c r="T1451" s="76"/>
      <c r="U1451" s="65"/>
      <c r="V1451" s="68"/>
      <c r="W1451" s="70"/>
      <c r="X1451" s="68"/>
      <c r="Y1451" s="70"/>
      <c r="Z1451" s="72"/>
    </row>
    <row r="1452" spans="1:26" ht="15.75" hidden="1" customHeight="1" x14ac:dyDescent="0.25">
      <c r="A1452" s="64">
        <v>1</v>
      </c>
      <c r="B1452" s="62">
        <v>71382103</v>
      </c>
      <c r="C1452" s="62" t="s">
        <v>25776</v>
      </c>
      <c r="D1452" s="62" t="s">
        <v>25968</v>
      </c>
      <c r="E1452" s="62" t="s">
        <v>25198</v>
      </c>
      <c r="F1452" s="62" t="s">
        <v>25276</v>
      </c>
      <c r="G1452" s="81" t="s">
        <v>19285</v>
      </c>
      <c r="H1452" s="63">
        <v>46044</v>
      </c>
      <c r="I1452" s="63">
        <v>46049</v>
      </c>
      <c r="J1452" s="62">
        <v>6</v>
      </c>
      <c r="K1452" s="62">
        <v>6</v>
      </c>
      <c r="L1452" s="62" t="s">
        <v>19262</v>
      </c>
      <c r="M1452" s="62" t="s">
        <v>19262</v>
      </c>
      <c r="N1452" s="62" t="s">
        <v>19269</v>
      </c>
      <c r="O1452" s="62" t="s">
        <v>4650</v>
      </c>
      <c r="P1452" s="42" t="str">
        <f>+IF(O1452="","",IFERROR(VLOOKUP(O1452,CODIGO_DIAGNOSTICO,2,0),"CÓDIGO NO ENCONTRADO"))</f>
        <v>GONARTROSIS, NO ESPECIFICADA</v>
      </c>
      <c r="Q1452" s="62" t="s">
        <v>26059</v>
      </c>
      <c r="R1452" s="64"/>
      <c r="S1452" s="75"/>
      <c r="T1452" s="75"/>
      <c r="U1452" s="65"/>
      <c r="V1452" s="62"/>
      <c r="W1452" s="65"/>
      <c r="X1452" s="62"/>
      <c r="Y1452" s="65"/>
      <c r="Z1452" s="73"/>
    </row>
    <row r="1453" spans="1:26" ht="15.75" hidden="1" customHeight="1" x14ac:dyDescent="0.25">
      <c r="A1453" s="67">
        <v>1</v>
      </c>
      <c r="B1453" s="68">
        <v>71770967</v>
      </c>
      <c r="C1453" s="68" t="s">
        <v>25362</v>
      </c>
      <c r="D1453" s="68" t="s">
        <v>25093</v>
      </c>
      <c r="E1453" s="68" t="s">
        <v>25977</v>
      </c>
      <c r="F1453" s="68" t="s">
        <v>25066</v>
      </c>
      <c r="G1453" s="81" t="s">
        <v>25328</v>
      </c>
      <c r="H1453" s="69">
        <v>46045</v>
      </c>
      <c r="I1453" s="69">
        <v>46050</v>
      </c>
      <c r="J1453" s="68">
        <v>6</v>
      </c>
      <c r="K1453" s="68">
        <v>6</v>
      </c>
      <c r="L1453" s="68" t="s">
        <v>24995</v>
      </c>
      <c r="M1453" s="68" t="s">
        <v>24995</v>
      </c>
      <c r="N1453" s="62" t="s">
        <v>19269</v>
      </c>
      <c r="O1453" s="68" t="s">
        <v>3606</v>
      </c>
      <c r="P1453" s="42" t="str">
        <f>+IF(O1453="","",IFERROR(VLOOKUP(O1453,CODIGO_DIAGNOSTICO,2,0),"CÓDIGO NO ENCONTRADO"))</f>
        <v>NEUMONIA BACTERIANA, NO ESPECIFICADA</v>
      </c>
      <c r="Q1453" s="68" t="s">
        <v>26059</v>
      </c>
      <c r="R1453" s="67"/>
      <c r="S1453" s="77"/>
      <c r="T1453" s="76"/>
      <c r="U1453" s="65"/>
      <c r="V1453" s="68"/>
      <c r="W1453" s="70"/>
      <c r="X1453" s="68"/>
      <c r="Y1453" s="70"/>
      <c r="Z1453" s="72"/>
    </row>
    <row r="1454" spans="1:26" ht="15.75" hidden="1" customHeight="1" x14ac:dyDescent="0.25">
      <c r="A1454" s="64">
        <v>1</v>
      </c>
      <c r="B1454" s="62">
        <v>1102815009</v>
      </c>
      <c r="C1454" s="62" t="s">
        <v>25257</v>
      </c>
      <c r="D1454" s="62" t="s">
        <v>26121</v>
      </c>
      <c r="E1454" s="62" t="s">
        <v>25347</v>
      </c>
      <c r="F1454" s="62" t="s">
        <v>26428</v>
      </c>
      <c r="G1454" s="81" t="s">
        <v>19285</v>
      </c>
      <c r="H1454" s="63">
        <v>46045</v>
      </c>
      <c r="I1454" s="63">
        <v>46045</v>
      </c>
      <c r="J1454" s="62">
        <v>1</v>
      </c>
      <c r="K1454" s="62">
        <v>1</v>
      </c>
      <c r="L1454" s="62" t="s">
        <v>24995</v>
      </c>
      <c r="M1454" s="62" t="s">
        <v>24995</v>
      </c>
      <c r="N1454" s="62" t="s">
        <v>19269</v>
      </c>
      <c r="O1454" s="62" t="s">
        <v>3854</v>
      </c>
      <c r="P1454" s="42" t="str">
        <f>+IF(O1454="","",IFERROR(VLOOKUP(O1454,CODIGO_DIAGNOSTICO,2,0),"CÓDIGO NO ENCONTRADO"))</f>
        <v>PERDIDA DE DIENTES DEBIDA A ACCIDENTE, EXTRACCION O ENFERMEDAD PERIODONTAL LOCAL</v>
      </c>
      <c r="Q1454" s="62" t="s">
        <v>24996</v>
      </c>
      <c r="R1454" s="64"/>
      <c r="S1454" s="75"/>
      <c r="T1454" s="75"/>
      <c r="U1454" s="65"/>
      <c r="V1454" s="62"/>
      <c r="W1454" s="65"/>
      <c r="X1454" s="62"/>
      <c r="Y1454" s="65"/>
      <c r="Z1454" s="73"/>
    </row>
    <row r="1455" spans="1:26" ht="15.75" hidden="1" customHeight="1" x14ac:dyDescent="0.25">
      <c r="A1455" s="67">
        <v>1</v>
      </c>
      <c r="B1455" s="68">
        <v>1041150055</v>
      </c>
      <c r="C1455" s="68" t="s">
        <v>26524</v>
      </c>
      <c r="D1455" s="68" t="s">
        <v>25523</v>
      </c>
      <c r="E1455" s="68" t="s">
        <v>26374</v>
      </c>
      <c r="F1455" s="68"/>
      <c r="G1455" s="81" t="s">
        <v>19285</v>
      </c>
      <c r="H1455" s="69">
        <v>46046</v>
      </c>
      <c r="I1455" s="69">
        <v>46046</v>
      </c>
      <c r="J1455" s="68">
        <v>1</v>
      </c>
      <c r="K1455" s="68">
        <v>1</v>
      </c>
      <c r="L1455" s="68" t="s">
        <v>24995</v>
      </c>
      <c r="M1455" s="68" t="s">
        <v>24995</v>
      </c>
      <c r="N1455" s="62" t="s">
        <v>19269</v>
      </c>
      <c r="O1455" s="68" t="s">
        <v>3823</v>
      </c>
      <c r="P1455" s="42" t="str">
        <f>+IF(O1455="","",IFERROR(VLOOKUP(O1455,CODIGO_DIAGNOSTICO,2,0),"CÓDIGO NO ENCONTRADO"))</f>
        <v>NECROSIS DE LA PULPA</v>
      </c>
      <c r="Q1455" s="68" t="s">
        <v>19289</v>
      </c>
      <c r="R1455" s="67"/>
      <c r="S1455" s="77"/>
      <c r="T1455" s="76"/>
      <c r="U1455" s="65"/>
      <c r="V1455" s="68"/>
      <c r="W1455" s="70"/>
      <c r="X1455" s="68"/>
      <c r="Y1455" s="70"/>
      <c r="Z1455" s="72"/>
    </row>
    <row r="1456" spans="1:26" ht="15.75" hidden="1" customHeight="1" x14ac:dyDescent="0.25">
      <c r="A1456" s="64">
        <v>1</v>
      </c>
      <c r="B1456" s="62">
        <v>1152216380</v>
      </c>
      <c r="C1456" s="62" t="s">
        <v>26526</v>
      </c>
      <c r="D1456" s="62" t="s">
        <v>24983</v>
      </c>
      <c r="E1456" s="62" t="s">
        <v>25711</v>
      </c>
      <c r="F1456" s="62"/>
      <c r="G1456" s="81" t="s">
        <v>19285</v>
      </c>
      <c r="H1456" s="63">
        <v>46046</v>
      </c>
      <c r="I1456" s="63">
        <v>46047</v>
      </c>
      <c r="J1456" s="62">
        <v>2</v>
      </c>
      <c r="K1456" s="62">
        <v>2</v>
      </c>
      <c r="L1456" s="62" t="s">
        <v>24995</v>
      </c>
      <c r="M1456" s="62" t="s">
        <v>24995</v>
      </c>
      <c r="N1456" s="62" t="s">
        <v>19269</v>
      </c>
      <c r="O1456" s="62" t="s">
        <v>86</v>
      </c>
      <c r="P1456" s="42" t="str">
        <f>+IF(O1456="","",IFERROR(VLOOKUP(O1456,CODIGO_DIAGNOSTICO,2,0),"CÓDIGO NO ENCONTRADO"))</f>
        <v>INFECCION INTESTINAL VIRAL, SIN OTRA ESPECIFICACION</v>
      </c>
      <c r="Q1456" s="62" t="s">
        <v>26059</v>
      </c>
      <c r="R1456" s="64"/>
      <c r="S1456" s="75"/>
      <c r="T1456" s="75"/>
      <c r="U1456" s="65"/>
      <c r="V1456" s="62"/>
      <c r="W1456" s="65"/>
      <c r="X1456" s="62"/>
      <c r="Y1456" s="65"/>
      <c r="Z1456" s="73"/>
    </row>
    <row r="1457" spans="1:26" ht="15.75" hidden="1" customHeight="1" x14ac:dyDescent="0.25">
      <c r="A1457" s="67">
        <v>1</v>
      </c>
      <c r="B1457" s="68">
        <v>15532746</v>
      </c>
      <c r="C1457" s="68" t="s">
        <v>25034</v>
      </c>
      <c r="D1457" s="68" t="s">
        <v>25127</v>
      </c>
      <c r="E1457" s="68" t="s">
        <v>25358</v>
      </c>
      <c r="F1457" s="68" t="s">
        <v>25005</v>
      </c>
      <c r="G1457" s="81" t="s">
        <v>19285</v>
      </c>
      <c r="H1457" s="69">
        <v>46048</v>
      </c>
      <c r="I1457" s="69">
        <v>46077</v>
      </c>
      <c r="J1457" s="68">
        <v>30</v>
      </c>
      <c r="K1457" s="68">
        <v>30</v>
      </c>
      <c r="L1457" s="68" t="s">
        <v>24995</v>
      </c>
      <c r="M1457" s="68" t="s">
        <v>19262</v>
      </c>
      <c r="N1457" s="62" t="s">
        <v>19269</v>
      </c>
      <c r="O1457" s="68" t="s">
        <v>5006</v>
      </c>
      <c r="P1457" s="42" t="str">
        <f>+IF(O1457="","",IFERROR(VLOOKUP(O1457,CODIGO_DIAGNOSTICO,2,0),"CÓDIGO NO ENCONTRADO"))</f>
        <v>OSTEOMIELITIS, NO ESPECIFICADA</v>
      </c>
      <c r="Q1457" s="68" t="s">
        <v>26059</v>
      </c>
      <c r="R1457" s="67"/>
      <c r="S1457" s="77"/>
      <c r="T1457" s="76"/>
      <c r="U1457" s="65"/>
      <c r="V1457" s="68"/>
      <c r="W1457" s="70"/>
      <c r="X1457" s="68"/>
      <c r="Y1457" s="70"/>
      <c r="Z1457" s="72"/>
    </row>
    <row r="1458" spans="1:26" ht="15.75" hidden="1" customHeight="1" x14ac:dyDescent="0.25">
      <c r="A1458" s="64">
        <v>1</v>
      </c>
      <c r="B1458" s="62">
        <v>1003714219</v>
      </c>
      <c r="C1458" s="62" t="s">
        <v>25075</v>
      </c>
      <c r="D1458" s="62" t="s">
        <v>25257</v>
      </c>
      <c r="E1458" s="62" t="s">
        <v>25837</v>
      </c>
      <c r="F1458" s="62" t="s">
        <v>25177</v>
      </c>
      <c r="G1458" s="81" t="s">
        <v>19285</v>
      </c>
      <c r="H1458" s="63">
        <v>46048</v>
      </c>
      <c r="I1458" s="63">
        <v>46048</v>
      </c>
      <c r="J1458" s="62">
        <v>1</v>
      </c>
      <c r="K1458" s="62">
        <v>1</v>
      </c>
      <c r="L1458" s="62" t="s">
        <v>24995</v>
      </c>
      <c r="M1458" s="62" t="s">
        <v>24995</v>
      </c>
      <c r="N1458" s="62" t="s">
        <v>19269</v>
      </c>
      <c r="O1458" s="62" t="s">
        <v>3856</v>
      </c>
      <c r="P1458" s="42" t="str">
        <f>+IF(O1458="","",IFERROR(VLOOKUP(O1458,CODIGO_DIAGNOSTICO,2,0),"CÓDIGO NO ENCONTRADO"))</f>
        <v>RAIZ DENTAL RETENIDA</v>
      </c>
      <c r="Q1458" s="62" t="s">
        <v>24996</v>
      </c>
      <c r="R1458" s="64"/>
      <c r="S1458" s="75"/>
      <c r="T1458" s="75"/>
      <c r="U1458" s="65"/>
      <c r="V1458" s="62"/>
      <c r="W1458" s="65"/>
      <c r="X1458" s="62"/>
      <c r="Y1458" s="65"/>
      <c r="Z1458" s="73"/>
    </row>
    <row r="1459" spans="1:26" ht="15.75" hidden="1" customHeight="1" x14ac:dyDescent="0.25">
      <c r="A1459" s="67">
        <v>1</v>
      </c>
      <c r="B1459" s="68">
        <v>71676289</v>
      </c>
      <c r="C1459" s="68" t="s">
        <v>25702</v>
      </c>
      <c r="D1459" s="68" t="s">
        <v>25012</v>
      </c>
      <c r="E1459" s="68" t="s">
        <v>25016</v>
      </c>
      <c r="F1459" s="68" t="s">
        <v>25004</v>
      </c>
      <c r="G1459" s="81" t="s">
        <v>19285</v>
      </c>
      <c r="H1459" s="69">
        <v>46049</v>
      </c>
      <c r="I1459" s="69">
        <v>46063</v>
      </c>
      <c r="J1459" s="68">
        <v>15</v>
      </c>
      <c r="K1459" s="68">
        <v>15</v>
      </c>
      <c r="L1459" s="68" t="s">
        <v>19262</v>
      </c>
      <c r="M1459" s="68" t="s">
        <v>19262</v>
      </c>
      <c r="N1459" s="62" t="s">
        <v>19269</v>
      </c>
      <c r="O1459" s="68" t="s">
        <v>5004</v>
      </c>
      <c r="P1459" s="42" t="str">
        <f>+IF(O1459="","",IFERROR(VLOOKUP(O1459,CODIGO_DIAGNOSTICO,2,0),"CÓDIGO NO ENCONTRADO"))</f>
        <v>OTRAS OSTEOMIELITIS CRONICAS</v>
      </c>
      <c r="Q1459" s="68" t="s">
        <v>26059</v>
      </c>
      <c r="R1459" s="67"/>
      <c r="S1459" s="77"/>
      <c r="T1459" s="76"/>
      <c r="U1459" s="65"/>
      <c r="V1459" s="68"/>
      <c r="W1459" s="70"/>
      <c r="X1459" s="68"/>
      <c r="Y1459" s="70"/>
      <c r="Z1459" s="72"/>
    </row>
    <row r="1460" spans="1:26" ht="15.75" hidden="1" customHeight="1" x14ac:dyDescent="0.25">
      <c r="A1460" s="64">
        <v>1</v>
      </c>
      <c r="B1460" s="62">
        <v>98601485</v>
      </c>
      <c r="C1460" s="62" t="s">
        <v>25240</v>
      </c>
      <c r="D1460" s="62"/>
      <c r="E1460" s="62" t="s">
        <v>25241</v>
      </c>
      <c r="F1460" s="62" t="s">
        <v>25103</v>
      </c>
      <c r="G1460" s="81" t="s">
        <v>25328</v>
      </c>
      <c r="H1460" s="63">
        <v>46052</v>
      </c>
      <c r="I1460" s="63">
        <v>46066</v>
      </c>
      <c r="J1460" s="62">
        <v>15</v>
      </c>
      <c r="K1460" s="62">
        <v>15</v>
      </c>
      <c r="L1460" s="62" t="s">
        <v>19262</v>
      </c>
      <c r="M1460" s="62" t="s">
        <v>19262</v>
      </c>
      <c r="N1460" s="62" t="s">
        <v>19269</v>
      </c>
      <c r="O1460" s="62" t="s">
        <v>8419</v>
      </c>
      <c r="P1460" s="42" t="str">
        <f>+IF(O1460="","",IFERROR(VLOOKUP(O1460,CODIGO_DIAGNOSTICO,2,0),"CÓDIGO NO ENCONTRADO"))</f>
        <v>COMPLICACION MECANICA DE OTROS DISPOSITIVOS PROTESICOS, IMPLANTES E INJERTOS ORTOPEDICOS INTERNOS</v>
      </c>
      <c r="Q1460" s="62" t="s">
        <v>26059</v>
      </c>
      <c r="R1460" s="64"/>
      <c r="S1460" s="75"/>
      <c r="T1460" s="75"/>
      <c r="U1460" s="65"/>
      <c r="V1460" s="62"/>
      <c r="W1460" s="65"/>
      <c r="X1460" s="62"/>
      <c r="Y1460" s="65"/>
      <c r="Z1460" s="73"/>
    </row>
    <row r="1461" spans="1:26" ht="15.75" hidden="1" customHeight="1" x14ac:dyDescent="0.25">
      <c r="A1461" s="67">
        <v>1</v>
      </c>
      <c r="B1461" s="68">
        <v>71382103</v>
      </c>
      <c r="C1461" s="68" t="s">
        <v>25776</v>
      </c>
      <c r="D1461" s="68" t="s">
        <v>25968</v>
      </c>
      <c r="E1461" s="68" t="s">
        <v>25198</v>
      </c>
      <c r="F1461" s="68" t="s">
        <v>25276</v>
      </c>
      <c r="G1461" s="81" t="s">
        <v>19285</v>
      </c>
      <c r="H1461" s="69">
        <v>46052</v>
      </c>
      <c r="I1461" s="69">
        <v>46057</v>
      </c>
      <c r="J1461" s="68">
        <v>6</v>
      </c>
      <c r="K1461" s="68">
        <v>6</v>
      </c>
      <c r="L1461" s="68" t="s">
        <v>19262</v>
      </c>
      <c r="M1461" s="68" t="s">
        <v>19262</v>
      </c>
      <c r="N1461" s="62" t="s">
        <v>19269</v>
      </c>
      <c r="O1461" s="68" t="s">
        <v>4650</v>
      </c>
      <c r="P1461" s="42" t="str">
        <f>+IF(O1461="","",IFERROR(VLOOKUP(O1461,CODIGO_DIAGNOSTICO,2,0),"CÓDIGO NO ENCONTRADO"))</f>
        <v>GONARTROSIS, NO ESPECIFICADA</v>
      </c>
      <c r="Q1461" s="68" t="s">
        <v>26059</v>
      </c>
      <c r="R1461" s="67"/>
      <c r="S1461" s="77"/>
      <c r="T1461" s="76"/>
      <c r="U1461" s="65"/>
      <c r="V1461" s="68"/>
      <c r="W1461" s="70"/>
      <c r="X1461" s="68"/>
      <c r="Y1461" s="70"/>
      <c r="Z1461" s="72"/>
    </row>
    <row r="1462" spans="1:26" ht="15.75" hidden="1" customHeight="1" x14ac:dyDescent="0.25">
      <c r="A1462" s="64">
        <v>1</v>
      </c>
      <c r="B1462" s="62">
        <v>11936325</v>
      </c>
      <c r="C1462" s="62" t="s">
        <v>25140</v>
      </c>
      <c r="D1462" s="62" t="s">
        <v>25343</v>
      </c>
      <c r="E1462" s="62" t="s">
        <v>25282</v>
      </c>
      <c r="F1462" s="62" t="s">
        <v>25286</v>
      </c>
      <c r="G1462" s="81" t="s">
        <v>19285</v>
      </c>
      <c r="H1462" s="63">
        <v>46053</v>
      </c>
      <c r="I1462" s="63">
        <v>46055</v>
      </c>
      <c r="J1462" s="62">
        <v>3</v>
      </c>
      <c r="K1462" s="62">
        <v>3</v>
      </c>
      <c r="L1462" s="62" t="s">
        <v>19262</v>
      </c>
      <c r="M1462" s="62" t="s">
        <v>19262</v>
      </c>
      <c r="N1462" s="62" t="s">
        <v>19269</v>
      </c>
      <c r="O1462" s="62" t="s">
        <v>3636</v>
      </c>
      <c r="P1462" s="42" t="str">
        <f>+IF(O1462="","",IFERROR(VLOOKUP(O1462,CODIGO_DIAGNOSTICO,2,0),"CÓDIGO NO ENCONTRADO"))</f>
        <v>OTRAS RINITIS ALERGICAS</v>
      </c>
      <c r="Q1462" s="62" t="s">
        <v>26059</v>
      </c>
      <c r="R1462" s="64"/>
      <c r="S1462" s="75"/>
      <c r="T1462" s="75"/>
      <c r="U1462" s="65"/>
      <c r="V1462" s="62"/>
      <c r="W1462" s="65"/>
      <c r="X1462" s="62"/>
      <c r="Y1462" s="65"/>
      <c r="Z1462" s="73"/>
    </row>
    <row r="1463" spans="1:26" ht="15.75" hidden="1" customHeight="1" x14ac:dyDescent="0.25">
      <c r="A1463" s="67">
        <v>2</v>
      </c>
      <c r="B1463" s="68">
        <v>98528134</v>
      </c>
      <c r="C1463" s="68" t="s">
        <v>25158</v>
      </c>
      <c r="D1463" s="68" t="s">
        <v>25159</v>
      </c>
      <c r="E1463" s="68" t="s">
        <v>19278</v>
      </c>
      <c r="F1463" s="68" t="s">
        <v>25028</v>
      </c>
      <c r="G1463" s="81" t="s">
        <v>19285</v>
      </c>
      <c r="H1463" s="69">
        <v>46055</v>
      </c>
      <c r="I1463" s="69">
        <v>46055</v>
      </c>
      <c r="J1463" s="68">
        <v>1</v>
      </c>
      <c r="K1463" s="68">
        <v>1</v>
      </c>
      <c r="L1463" s="68" t="s">
        <v>24995</v>
      </c>
      <c r="M1463" s="68" t="s">
        <v>24995</v>
      </c>
      <c r="N1463" s="62" t="s">
        <v>19269</v>
      </c>
      <c r="O1463" s="68" t="s">
        <v>7058</v>
      </c>
      <c r="P1463" s="42" t="str">
        <f>+IF(O1463="","",IFERROR(VLOOKUP(O1463,CODIGO_DIAGNOSTICO,2,0),"CÓDIGO NO ENCONTRADO"))</f>
        <v>DOLOR AGUDO</v>
      </c>
      <c r="Q1463" s="68" t="s">
        <v>19230</v>
      </c>
      <c r="R1463" s="67"/>
      <c r="S1463" s="77"/>
      <c r="T1463" s="76"/>
      <c r="U1463" s="65"/>
      <c r="V1463" s="68"/>
      <c r="W1463" s="70"/>
      <c r="X1463" s="68"/>
      <c r="Y1463" s="70"/>
      <c r="Z1463" s="72"/>
    </row>
    <row r="1464" spans="1:26" ht="15.75" hidden="1" customHeight="1" x14ac:dyDescent="0.25">
      <c r="A1464" s="64">
        <v>2</v>
      </c>
      <c r="B1464" s="62">
        <v>11936325</v>
      </c>
      <c r="C1464" s="62" t="s">
        <v>25140</v>
      </c>
      <c r="D1464" s="62" t="s">
        <v>25343</v>
      </c>
      <c r="E1464" s="62" t="s">
        <v>25282</v>
      </c>
      <c r="F1464" s="62" t="s">
        <v>25286</v>
      </c>
      <c r="G1464" s="81" t="s">
        <v>19285</v>
      </c>
      <c r="H1464" s="63">
        <v>46055</v>
      </c>
      <c r="I1464" s="63">
        <v>46059</v>
      </c>
      <c r="J1464" s="62">
        <v>5</v>
      </c>
      <c r="K1464" s="62">
        <v>5</v>
      </c>
      <c r="L1464" s="62" t="s">
        <v>24995</v>
      </c>
      <c r="M1464" s="62" t="s">
        <v>24995</v>
      </c>
      <c r="N1464" s="62" t="s">
        <v>19269</v>
      </c>
      <c r="O1464" s="62" t="s">
        <v>8362</v>
      </c>
      <c r="P1464" s="42" t="str">
        <f>+IF(O1464="","",IFERROR(VLOOKUP(O1464,CODIGO_DIAGNOSTICO,2,0),"CÓDIGO NO ENCONTRADO"))</f>
        <v>CHOQUE ANAFILACTICO, NO ESPECIFICADO</v>
      </c>
      <c r="Q1464" s="62" t="s">
        <v>26059</v>
      </c>
      <c r="R1464" s="64"/>
      <c r="S1464" s="75"/>
      <c r="T1464" s="75"/>
      <c r="U1464" s="65"/>
      <c r="V1464" s="62"/>
      <c r="W1464" s="65"/>
      <c r="X1464" s="62"/>
      <c r="Y1464" s="65"/>
      <c r="Z1464" s="73"/>
    </row>
    <row r="1465" spans="1:26" ht="15.75" hidden="1" customHeight="1" x14ac:dyDescent="0.25">
      <c r="A1465" s="67">
        <v>2</v>
      </c>
      <c r="B1465" s="68">
        <v>18506437</v>
      </c>
      <c r="C1465" s="68" t="s">
        <v>25269</v>
      </c>
      <c r="D1465" s="68" t="s">
        <v>25658</v>
      </c>
      <c r="E1465" s="68" t="s">
        <v>19278</v>
      </c>
      <c r="F1465" s="68" t="s">
        <v>25005</v>
      </c>
      <c r="G1465" s="81" t="s">
        <v>19285</v>
      </c>
      <c r="H1465" s="69">
        <v>46055</v>
      </c>
      <c r="I1465" s="69">
        <v>46061</v>
      </c>
      <c r="J1465" s="68">
        <v>7</v>
      </c>
      <c r="K1465" s="68">
        <v>7</v>
      </c>
      <c r="L1465" s="68" t="s">
        <v>24995</v>
      </c>
      <c r="M1465" s="68" t="s">
        <v>24995</v>
      </c>
      <c r="N1465" s="62" t="s">
        <v>19269</v>
      </c>
      <c r="O1465" s="68" t="s">
        <v>4695</v>
      </c>
      <c r="P1465" s="42" t="str">
        <f>+IF(O1465="","",IFERROR(VLOOKUP(O1465,CODIGO_DIAGNOSTICO,2,0),"CÓDIGO NO ENCONTRADO"))</f>
        <v>TRASTORNOS INTERNO DE LA RODILLA, NO ESPECIFICADO</v>
      </c>
      <c r="Q1465" s="68" t="s">
        <v>26339</v>
      </c>
      <c r="R1465" s="67"/>
      <c r="S1465" s="77"/>
      <c r="T1465" s="76"/>
      <c r="U1465" s="65"/>
      <c r="V1465" s="68"/>
      <c r="W1465" s="70"/>
      <c r="X1465" s="68"/>
      <c r="Y1465" s="70"/>
      <c r="Z1465" s="72"/>
    </row>
    <row r="1466" spans="1:26" ht="15.75" hidden="1" customHeight="1" x14ac:dyDescent="0.25">
      <c r="A1466" s="64">
        <v>2</v>
      </c>
      <c r="B1466" s="62">
        <v>71771838</v>
      </c>
      <c r="C1466" s="62" t="s">
        <v>26441</v>
      </c>
      <c r="D1466" s="62" t="s">
        <v>26533</v>
      </c>
      <c r="E1466" s="62" t="s">
        <v>25603</v>
      </c>
      <c r="F1466" s="62"/>
      <c r="G1466" s="81" t="s">
        <v>19285</v>
      </c>
      <c r="H1466" s="63">
        <v>46056</v>
      </c>
      <c r="I1466" s="63">
        <v>46057</v>
      </c>
      <c r="J1466" s="62">
        <v>2</v>
      </c>
      <c r="K1466" s="62">
        <v>2</v>
      </c>
      <c r="L1466" s="62" t="s">
        <v>24995</v>
      </c>
      <c r="M1466" s="62" t="s">
        <v>24995</v>
      </c>
      <c r="N1466" s="62" t="s">
        <v>19269</v>
      </c>
      <c r="O1466" s="62" t="s">
        <v>7060</v>
      </c>
      <c r="P1466" s="42" t="str">
        <f>+IF(O1466="","",IFERROR(VLOOKUP(O1466,CODIGO_DIAGNOSTICO,2,0),"CÓDIGO NO ENCONTRADO"))</f>
        <v>OTRO DOLOR CRONICO</v>
      </c>
      <c r="Q1466" s="62" t="s">
        <v>26059</v>
      </c>
      <c r="R1466" s="64"/>
      <c r="S1466" s="75"/>
      <c r="T1466" s="75"/>
      <c r="U1466" s="65"/>
      <c r="V1466" s="62"/>
      <c r="W1466" s="65"/>
      <c r="X1466" s="62"/>
      <c r="Y1466" s="65"/>
      <c r="Z1466" s="73"/>
    </row>
    <row r="1467" spans="1:26" ht="15.75" hidden="1" customHeight="1" x14ac:dyDescent="0.25">
      <c r="A1467" s="67">
        <v>2</v>
      </c>
      <c r="B1467" s="68">
        <v>1035422013</v>
      </c>
      <c r="C1467" s="68" t="s">
        <v>25105</v>
      </c>
      <c r="D1467" s="68" t="s">
        <v>25098</v>
      </c>
      <c r="E1467" s="68" t="s">
        <v>25170</v>
      </c>
      <c r="F1467" s="68" t="s">
        <v>25110</v>
      </c>
      <c r="G1467" s="81" t="s">
        <v>19285</v>
      </c>
      <c r="H1467" s="69">
        <v>46057</v>
      </c>
      <c r="I1467" s="69">
        <v>46058</v>
      </c>
      <c r="J1467" s="68">
        <v>2</v>
      </c>
      <c r="K1467" s="68">
        <v>2</v>
      </c>
      <c r="L1467" s="68" t="s">
        <v>24995</v>
      </c>
      <c r="M1467" s="68" t="s">
        <v>24995</v>
      </c>
      <c r="N1467" s="62" t="s">
        <v>19269</v>
      </c>
      <c r="O1467" s="68" t="s">
        <v>85</v>
      </c>
      <c r="P1467" s="42" t="str">
        <f>+IF(O1467="","",IFERROR(VLOOKUP(O1467,CODIGO_DIAGNOSTICO,2,0),"CÓDIGO NO ENCONTRADO"))</f>
        <v>OTRAS ENTERITIS VIRALES</v>
      </c>
      <c r="Q1467" s="68" t="s">
        <v>24996</v>
      </c>
      <c r="R1467" s="67"/>
      <c r="S1467" s="77"/>
      <c r="T1467" s="76"/>
      <c r="U1467" s="65"/>
      <c r="V1467" s="68"/>
      <c r="W1467" s="70"/>
      <c r="X1467" s="68"/>
      <c r="Y1467" s="70"/>
      <c r="Z1467" s="72"/>
    </row>
    <row r="1468" spans="1:26" ht="15.75" hidden="1" customHeight="1" x14ac:dyDescent="0.25">
      <c r="A1468" s="64">
        <v>2</v>
      </c>
      <c r="B1468" s="62">
        <v>1152685109</v>
      </c>
      <c r="C1468" s="62" t="s">
        <v>25372</v>
      </c>
      <c r="D1468" s="62"/>
      <c r="E1468" s="62" t="s">
        <v>25035</v>
      </c>
      <c r="F1468" s="62" t="s">
        <v>25276</v>
      </c>
      <c r="G1468" s="81" t="s">
        <v>19285</v>
      </c>
      <c r="H1468" s="63">
        <v>46058</v>
      </c>
      <c r="I1468" s="63">
        <v>46058</v>
      </c>
      <c r="J1468" s="62">
        <v>1</v>
      </c>
      <c r="K1468" s="62">
        <v>1</v>
      </c>
      <c r="L1468" s="62" t="s">
        <v>24995</v>
      </c>
      <c r="M1468" s="62" t="s">
        <v>24995</v>
      </c>
      <c r="N1468" s="62" t="s">
        <v>19269</v>
      </c>
      <c r="O1468" s="62" t="s">
        <v>5054</v>
      </c>
      <c r="P1468" s="42" t="str">
        <f>+IF(O1468="","",IFERROR(VLOOKUP(O1468,CODIGO_DIAGNOSTICO,2,0),"CÓDIGO NO ENCONTRADO"))</f>
        <v>OSTEOCONDROPATIA, NO ESPECIFICADA</v>
      </c>
      <c r="Q1468" s="62" t="s">
        <v>26059</v>
      </c>
      <c r="R1468" s="64"/>
      <c r="S1468" s="75"/>
      <c r="T1468" s="75"/>
      <c r="U1468" s="65"/>
      <c r="V1468" s="62"/>
      <c r="W1468" s="65"/>
      <c r="X1468" s="62"/>
      <c r="Y1468" s="65"/>
      <c r="Z1468" s="73"/>
    </row>
    <row r="1469" spans="1:26" ht="15.75" hidden="1" customHeight="1" x14ac:dyDescent="0.25">
      <c r="A1469" s="67">
        <v>2</v>
      </c>
      <c r="B1469" s="68">
        <v>1214737996</v>
      </c>
      <c r="C1469" s="68" t="s">
        <v>25604</v>
      </c>
      <c r="D1469" s="68" t="s">
        <v>26337</v>
      </c>
      <c r="E1469" s="68" t="s">
        <v>26338</v>
      </c>
      <c r="F1469" s="68" t="s">
        <v>25060</v>
      </c>
      <c r="G1469" s="81" t="s">
        <v>19285</v>
      </c>
      <c r="H1469" s="69">
        <v>46058</v>
      </c>
      <c r="I1469" s="69">
        <v>46072</v>
      </c>
      <c r="J1469" s="68">
        <v>15</v>
      </c>
      <c r="K1469" s="68">
        <v>15</v>
      </c>
      <c r="L1469" s="68" t="s">
        <v>19262</v>
      </c>
      <c r="M1469" s="68" t="s">
        <v>19262</v>
      </c>
      <c r="N1469" s="62" t="s">
        <v>19269</v>
      </c>
      <c r="O1469" s="68" t="s">
        <v>7723</v>
      </c>
      <c r="P1469" s="42" t="str">
        <f>+IF(O1469="","",IFERROR(VLOOKUP(O1469,CODIGO_DIAGNOSTICO,2,0),"CÓDIGO NO ENCONTRADO"))</f>
        <v>FRACTURA DE LA EPIFISIS SUPERIOR DE LA TIBIA</v>
      </c>
      <c r="Q1469" s="68" t="s">
        <v>26339</v>
      </c>
      <c r="R1469" s="67"/>
      <c r="S1469" s="77"/>
      <c r="T1469" s="76"/>
      <c r="U1469" s="65"/>
      <c r="V1469" s="68"/>
      <c r="W1469" s="70"/>
      <c r="X1469" s="68"/>
      <c r="Y1469" s="70"/>
      <c r="Z1469" s="72"/>
    </row>
    <row r="1470" spans="1:26" ht="15.75" hidden="1" customHeight="1" x14ac:dyDescent="0.25">
      <c r="A1470" s="64">
        <v>2</v>
      </c>
      <c r="B1470" s="62">
        <v>71692130</v>
      </c>
      <c r="C1470" s="62" t="s">
        <v>25561</v>
      </c>
      <c r="D1470" s="62" t="s">
        <v>26529</v>
      </c>
      <c r="E1470" s="62" t="s">
        <v>25455</v>
      </c>
      <c r="F1470" s="62" t="s">
        <v>25213</v>
      </c>
      <c r="G1470" s="81" t="s">
        <v>19285</v>
      </c>
      <c r="H1470" s="63">
        <v>46059</v>
      </c>
      <c r="I1470" s="63">
        <v>46088</v>
      </c>
      <c r="J1470" s="62">
        <v>30</v>
      </c>
      <c r="K1470" s="62">
        <v>30</v>
      </c>
      <c r="L1470" s="62" t="s">
        <v>24995</v>
      </c>
      <c r="M1470" s="62" t="s">
        <v>19262</v>
      </c>
      <c r="N1470" s="62" t="s">
        <v>19269</v>
      </c>
      <c r="O1470" s="62" t="s">
        <v>7734</v>
      </c>
      <c r="P1470" s="42" t="str">
        <f>+IF(O1470="","",IFERROR(VLOOKUP(O1470,CODIGO_DIAGNOSTICO,2,0),"CÓDIGO NO ENCONTRADO"))</f>
        <v>DESGARRO DE MENISCOS, PRESENTE</v>
      </c>
      <c r="Q1470" s="62" t="s">
        <v>26059</v>
      </c>
      <c r="R1470" s="64"/>
      <c r="S1470" s="75"/>
      <c r="T1470" s="75"/>
      <c r="U1470" s="65"/>
      <c r="V1470" s="62"/>
      <c r="W1470" s="65"/>
      <c r="X1470" s="62"/>
      <c r="Y1470" s="65"/>
      <c r="Z1470" s="73"/>
    </row>
    <row r="1471" spans="1:26" ht="15.75" hidden="1" customHeight="1" x14ac:dyDescent="0.25">
      <c r="A1471" s="67">
        <v>2</v>
      </c>
      <c r="B1471" s="68">
        <v>1004797151</v>
      </c>
      <c r="C1471" s="68" t="s">
        <v>25017</v>
      </c>
      <c r="D1471" s="68" t="s">
        <v>25480</v>
      </c>
      <c r="E1471" s="68" t="s">
        <v>25258</v>
      </c>
      <c r="F1471" s="68" t="s">
        <v>25596</v>
      </c>
      <c r="G1471" s="81" t="s">
        <v>19285</v>
      </c>
      <c r="H1471" s="69">
        <v>46059</v>
      </c>
      <c r="I1471" s="69">
        <v>46062</v>
      </c>
      <c r="J1471" s="68">
        <v>4</v>
      </c>
      <c r="K1471" s="68">
        <v>4</v>
      </c>
      <c r="L1471" s="68" t="s">
        <v>24995</v>
      </c>
      <c r="M1471" s="68" t="s">
        <v>24995</v>
      </c>
      <c r="N1471" s="62" t="s">
        <v>19263</v>
      </c>
      <c r="O1471" s="68" t="s">
        <v>7770</v>
      </c>
      <c r="P1471" s="42" t="str">
        <f>+IF(O1471="","",IFERROR(VLOOKUP(O1471,CODIGO_DIAGNOSTICO,2,0),"CÓDIGO NO ENCONTRADO"))</f>
        <v>CONTUSION DEL TOBILLO</v>
      </c>
      <c r="Q1471" s="68" t="s">
        <v>25001</v>
      </c>
      <c r="R1471" s="67"/>
      <c r="S1471" s="77"/>
      <c r="T1471" s="76"/>
      <c r="U1471" s="65"/>
      <c r="V1471" s="68"/>
      <c r="W1471" s="70"/>
      <c r="X1471" s="68"/>
      <c r="Y1471" s="70"/>
      <c r="Z1471" s="72"/>
    </row>
    <row r="1472" spans="1:26" ht="15.75" hidden="1" customHeight="1" x14ac:dyDescent="0.25">
      <c r="A1472" s="64">
        <v>2</v>
      </c>
      <c r="B1472" s="62">
        <v>71382103</v>
      </c>
      <c r="C1472" s="62" t="s">
        <v>25776</v>
      </c>
      <c r="D1472" s="62" t="s">
        <v>25968</v>
      </c>
      <c r="E1472" s="62" t="s">
        <v>25198</v>
      </c>
      <c r="F1472" s="62" t="s">
        <v>25276</v>
      </c>
      <c r="G1472" s="81" t="s">
        <v>19285</v>
      </c>
      <c r="H1472" s="63">
        <v>46060</v>
      </c>
      <c r="I1472" s="63">
        <v>46089</v>
      </c>
      <c r="J1472" s="62">
        <v>30</v>
      </c>
      <c r="K1472" s="62">
        <v>30</v>
      </c>
      <c r="L1472" s="62" t="s">
        <v>24995</v>
      </c>
      <c r="M1472" s="62" t="s">
        <v>24995</v>
      </c>
      <c r="N1472" s="62" t="s">
        <v>19269</v>
      </c>
      <c r="O1472" s="62" t="s">
        <v>4671</v>
      </c>
      <c r="P1472" s="42" t="str">
        <f>+IF(O1472="","",IFERROR(VLOOKUP(O1472,CODIGO_DIAGNOSTICO,2,0),"CÓDIGO NO ENCONTRADO"))</f>
        <v>DEFORMIDAD EN VARO, NO CLASIFICADA EN OTRA</v>
      </c>
      <c r="Q1472" s="62" t="s">
        <v>26059</v>
      </c>
      <c r="R1472" s="64"/>
      <c r="S1472" s="75"/>
      <c r="T1472" s="75"/>
      <c r="U1472" s="65"/>
      <c r="V1472" s="62"/>
      <c r="W1472" s="65"/>
      <c r="X1472" s="62"/>
      <c r="Y1472" s="65"/>
      <c r="Z1472" s="73"/>
    </row>
    <row r="1473" spans="1:26" ht="15.75" hidden="1" customHeight="1" x14ac:dyDescent="0.25">
      <c r="A1473" s="67">
        <v>2</v>
      </c>
      <c r="B1473" s="68">
        <v>1214716619</v>
      </c>
      <c r="C1473" s="68" t="s">
        <v>25523</v>
      </c>
      <c r="D1473" s="68" t="s">
        <v>25456</v>
      </c>
      <c r="E1473" s="68" t="s">
        <v>26534</v>
      </c>
      <c r="F1473" s="68"/>
      <c r="G1473" s="81" t="s">
        <v>19285</v>
      </c>
      <c r="H1473" s="69">
        <v>46061</v>
      </c>
      <c r="I1473" s="69">
        <v>46064</v>
      </c>
      <c r="J1473" s="68">
        <v>4</v>
      </c>
      <c r="K1473" s="68">
        <v>4</v>
      </c>
      <c r="L1473" s="68" t="s">
        <v>24995</v>
      </c>
      <c r="M1473" s="68" t="s">
        <v>24995</v>
      </c>
      <c r="N1473" s="62" t="s">
        <v>19269</v>
      </c>
      <c r="O1473" s="68" t="s">
        <v>7794</v>
      </c>
      <c r="P1473" s="42" t="str">
        <f>+IF(O1473="","",IFERROR(VLOOKUP(O1473,CODIGO_DIAGNOSTICO,2,0),"CÓDIGO NO ENCONTRADO"))</f>
        <v>ESGUINCES Y TORCEDURAS DEL TOBILLO</v>
      </c>
      <c r="Q1473" s="68" t="s">
        <v>26059</v>
      </c>
      <c r="R1473" s="67"/>
      <c r="S1473" s="77"/>
      <c r="T1473" s="76"/>
      <c r="U1473" s="65"/>
      <c r="V1473" s="68"/>
      <c r="W1473" s="70"/>
      <c r="X1473" s="68"/>
      <c r="Y1473" s="70"/>
      <c r="Z1473" s="72"/>
    </row>
    <row r="1474" spans="1:26" ht="15.75" hidden="1" customHeight="1" x14ac:dyDescent="0.25">
      <c r="A1474" s="64">
        <v>2</v>
      </c>
      <c r="B1474" s="62">
        <v>98528134</v>
      </c>
      <c r="C1474" s="62" t="s">
        <v>25158</v>
      </c>
      <c r="D1474" s="62" t="s">
        <v>25159</v>
      </c>
      <c r="E1474" s="62" t="s">
        <v>19278</v>
      </c>
      <c r="F1474" s="62" t="s">
        <v>25028</v>
      </c>
      <c r="G1474" s="81" t="s">
        <v>19285</v>
      </c>
      <c r="H1474" s="63">
        <v>46062</v>
      </c>
      <c r="I1474" s="63">
        <v>46064</v>
      </c>
      <c r="J1474" s="62">
        <v>3</v>
      </c>
      <c r="K1474" s="62">
        <v>3</v>
      </c>
      <c r="L1474" s="62" t="s">
        <v>24995</v>
      </c>
      <c r="M1474" s="62" t="s">
        <v>24995</v>
      </c>
      <c r="N1474" s="62" t="s">
        <v>19269</v>
      </c>
      <c r="O1474" s="62" t="s">
        <v>4940</v>
      </c>
      <c r="P1474" s="42" t="str">
        <f>+IF(O1474="","",IFERROR(VLOOKUP(O1474,CODIGO_DIAGNOSTICO,2,0),"CÓDIGO NO ENCONTRADO"))</f>
        <v>ESPOLON CALCANEO</v>
      </c>
      <c r="Q1474" s="62" t="s">
        <v>26059</v>
      </c>
      <c r="R1474" s="64"/>
      <c r="S1474" s="75"/>
      <c r="T1474" s="75"/>
      <c r="U1474" s="65"/>
      <c r="V1474" s="62"/>
      <c r="W1474" s="65"/>
      <c r="X1474" s="62"/>
      <c r="Y1474" s="65"/>
      <c r="Z1474" s="73"/>
    </row>
    <row r="1475" spans="1:26" ht="15.75" hidden="1" customHeight="1" x14ac:dyDescent="0.25">
      <c r="A1475" s="67">
        <v>2</v>
      </c>
      <c r="B1475" s="68">
        <v>70108742</v>
      </c>
      <c r="C1475" s="68" t="s">
        <v>25075</v>
      </c>
      <c r="D1475" s="68" t="s">
        <v>25510</v>
      </c>
      <c r="E1475" s="68" t="s">
        <v>25884</v>
      </c>
      <c r="F1475" s="68"/>
      <c r="G1475" s="81" t="s">
        <v>19285</v>
      </c>
      <c r="H1475" s="69">
        <v>46062</v>
      </c>
      <c r="I1475" s="69">
        <v>46091</v>
      </c>
      <c r="J1475" s="68">
        <v>30</v>
      </c>
      <c r="K1475" s="68">
        <v>30</v>
      </c>
      <c r="L1475" s="68" t="s">
        <v>19262</v>
      </c>
      <c r="M1475" s="68" t="s">
        <v>19262</v>
      </c>
      <c r="N1475" s="62" t="s">
        <v>19269</v>
      </c>
      <c r="O1475" s="68" t="s">
        <v>1270</v>
      </c>
      <c r="P1475" s="42" t="str">
        <f>+IF(O1475="","",IFERROR(VLOOKUP(O1475,CODIGO_DIAGNOSTICO,2,0),"CÓDIGO NO ENCONTRADO"))</f>
        <v>CARCINOMA IN SITU DEL BRONQUIO Y DEL PULMON</v>
      </c>
      <c r="Q1475" s="68" t="s">
        <v>26059</v>
      </c>
      <c r="R1475" s="67"/>
      <c r="S1475" s="77"/>
      <c r="T1475" s="76"/>
      <c r="U1475" s="65"/>
      <c r="V1475" s="68"/>
      <c r="W1475" s="70"/>
      <c r="X1475" s="68"/>
      <c r="Y1475" s="70"/>
      <c r="Z1475" s="72"/>
    </row>
    <row r="1476" spans="1:26" ht="15.75" hidden="1" customHeight="1" x14ac:dyDescent="0.25">
      <c r="A1476" s="64">
        <v>2</v>
      </c>
      <c r="B1476" s="62">
        <v>93407635</v>
      </c>
      <c r="C1476" s="62" t="s">
        <v>25457</v>
      </c>
      <c r="D1476" s="62"/>
      <c r="E1476" s="62" t="s">
        <v>25837</v>
      </c>
      <c r="F1476" s="62" t="s">
        <v>25434</v>
      </c>
      <c r="G1476" s="81" t="s">
        <v>19285</v>
      </c>
      <c r="H1476" s="63">
        <v>46063</v>
      </c>
      <c r="I1476" s="63">
        <v>46064</v>
      </c>
      <c r="J1476" s="62">
        <v>2</v>
      </c>
      <c r="K1476" s="62">
        <v>2</v>
      </c>
      <c r="L1476" s="62" t="s">
        <v>24995</v>
      </c>
      <c r="M1476" s="62" t="s">
        <v>24995</v>
      </c>
      <c r="N1476" s="62" t="s">
        <v>19269</v>
      </c>
      <c r="O1476" s="62" t="s">
        <v>88</v>
      </c>
      <c r="P1476" s="42" t="str">
        <f>+IF(O1476="","",IFERROR(VLOOKUP(O1476,CODIGO_DIAGNOSTICO,2,0),"CÓDIGO NO ENCONTRADO"))</f>
        <v>DIARREA Y GASTROENTERITIS DE PRESUNTO ORIGEN INFECCIOSO</v>
      </c>
      <c r="Q1476" s="62" t="s">
        <v>26059</v>
      </c>
      <c r="R1476" s="64"/>
      <c r="S1476" s="75"/>
      <c r="T1476" s="75"/>
      <c r="U1476" s="65"/>
      <c r="V1476" s="62"/>
      <c r="W1476" s="65"/>
      <c r="X1476" s="62"/>
      <c r="Y1476" s="65"/>
      <c r="Z1476" s="73"/>
    </row>
    <row r="1477" spans="1:26" ht="15.75" hidden="1" customHeight="1" x14ac:dyDescent="0.25">
      <c r="A1477" s="67">
        <v>2</v>
      </c>
      <c r="B1477" s="68">
        <v>1033371864</v>
      </c>
      <c r="C1477" s="68" t="s">
        <v>26033</v>
      </c>
      <c r="D1477" s="68" t="s">
        <v>26034</v>
      </c>
      <c r="E1477" s="68" t="s">
        <v>25821</v>
      </c>
      <c r="F1477" s="68" t="s">
        <v>25064</v>
      </c>
      <c r="G1477" s="81" t="s">
        <v>19285</v>
      </c>
      <c r="H1477" s="69">
        <v>46064</v>
      </c>
      <c r="I1477" s="69">
        <v>46065</v>
      </c>
      <c r="J1477" s="68">
        <v>2</v>
      </c>
      <c r="K1477" s="68">
        <v>2</v>
      </c>
      <c r="L1477" s="68" t="s">
        <v>24995</v>
      </c>
      <c r="M1477" s="68" t="s">
        <v>24995</v>
      </c>
      <c r="N1477" s="62" t="s">
        <v>19269</v>
      </c>
      <c r="O1477" s="68" t="s">
        <v>4048</v>
      </c>
      <c r="P1477" s="42" t="str">
        <f>+IF(O1477="","",IFERROR(VLOOKUP(O1477,CODIGO_DIAGNOSTICO,2,0),"CÓDIGO NO ENCONTRADO"))</f>
        <v>SINDROME DEL COLON IRRITABLE CON DIARREA</v>
      </c>
      <c r="Q1477" s="68" t="s">
        <v>26059</v>
      </c>
      <c r="R1477" s="67"/>
      <c r="S1477" s="77"/>
      <c r="T1477" s="76"/>
      <c r="U1477" s="65"/>
      <c r="V1477" s="68"/>
      <c r="W1477" s="70"/>
      <c r="X1477" s="68"/>
      <c r="Y1477" s="70"/>
      <c r="Z1477" s="72"/>
    </row>
    <row r="1478" spans="1:26" ht="15.75" hidden="1" customHeight="1" x14ac:dyDescent="0.25">
      <c r="A1478" s="64">
        <v>2</v>
      </c>
      <c r="B1478" s="62">
        <v>1128198069</v>
      </c>
      <c r="C1478" s="62" t="s">
        <v>25775</v>
      </c>
      <c r="D1478" s="62" t="s">
        <v>25098</v>
      </c>
      <c r="E1478" s="62" t="s">
        <v>25282</v>
      </c>
      <c r="F1478" s="62" t="s">
        <v>25028</v>
      </c>
      <c r="G1478" s="81" t="s">
        <v>19285</v>
      </c>
      <c r="H1478" s="63">
        <v>46064</v>
      </c>
      <c r="I1478" s="63">
        <v>46066</v>
      </c>
      <c r="J1478" s="62">
        <v>3</v>
      </c>
      <c r="K1478" s="62">
        <v>3</v>
      </c>
      <c r="L1478" s="62" t="s">
        <v>24995</v>
      </c>
      <c r="M1478" s="62" t="s">
        <v>24995</v>
      </c>
      <c r="N1478" s="62" t="s">
        <v>19269</v>
      </c>
      <c r="O1478" s="62" t="s">
        <v>3804</v>
      </c>
      <c r="P1478" s="42" t="str">
        <f>+IF(O1478="","",IFERROR(VLOOKUP(O1478,CODIGO_DIAGNOSTICO,2,0),"CÓDIGO NO ENCONTRADO"))</f>
        <v>DIENTES IMPACTADOS</v>
      </c>
      <c r="Q1478" s="62" t="s">
        <v>26059</v>
      </c>
      <c r="R1478" s="64"/>
      <c r="S1478" s="75"/>
      <c r="T1478" s="75"/>
      <c r="U1478" s="65"/>
      <c r="V1478" s="62"/>
      <c r="W1478" s="65"/>
      <c r="X1478" s="62"/>
      <c r="Y1478" s="65"/>
      <c r="Z1478" s="73"/>
    </row>
    <row r="1479" spans="1:26" ht="15.75" hidden="1" customHeight="1" x14ac:dyDescent="0.25">
      <c r="A1479" s="67">
        <v>2</v>
      </c>
      <c r="B1479" s="68">
        <v>71769823</v>
      </c>
      <c r="C1479" s="68" t="s">
        <v>25498</v>
      </c>
      <c r="D1479" s="68" t="s">
        <v>26385</v>
      </c>
      <c r="E1479" s="68" t="s">
        <v>25144</v>
      </c>
      <c r="F1479" s="68" t="s">
        <v>25057</v>
      </c>
      <c r="G1479" s="81" t="s">
        <v>19285</v>
      </c>
      <c r="H1479" s="69">
        <v>46065</v>
      </c>
      <c r="I1479" s="69">
        <v>46065</v>
      </c>
      <c r="J1479" s="68">
        <v>1</v>
      </c>
      <c r="K1479" s="68">
        <v>1</v>
      </c>
      <c r="L1479" s="68" t="s">
        <v>24995</v>
      </c>
      <c r="M1479" s="68" t="s">
        <v>24995</v>
      </c>
      <c r="N1479" s="62" t="s">
        <v>19269</v>
      </c>
      <c r="O1479" s="68" t="s">
        <v>2845</v>
      </c>
      <c r="P1479" s="42" t="str">
        <f>+IF(O1479="","",IFERROR(VLOOKUP(O1479,CODIGO_DIAGNOSTICO,2,0),"CÓDIGO NO ENCONTRADO"))</f>
        <v>CONJUNTIVITIS AGUDA, NO ESPECIFICADA</v>
      </c>
      <c r="Q1479" s="68" t="s">
        <v>26059</v>
      </c>
      <c r="R1479" s="67"/>
      <c r="S1479" s="77"/>
      <c r="T1479" s="76"/>
      <c r="U1479" s="65"/>
      <c r="V1479" s="68"/>
      <c r="W1479" s="70"/>
      <c r="X1479" s="68"/>
      <c r="Y1479" s="70"/>
      <c r="Z1479" s="72"/>
    </row>
    <row r="1480" spans="1:26" ht="15.75" hidden="1" customHeight="1" x14ac:dyDescent="0.25">
      <c r="A1480" s="64">
        <v>2</v>
      </c>
      <c r="B1480" s="62">
        <v>1036965715</v>
      </c>
      <c r="C1480" s="62" t="s">
        <v>25175</v>
      </c>
      <c r="D1480" s="62" t="s">
        <v>25828</v>
      </c>
      <c r="E1480" s="62" t="s">
        <v>25311</v>
      </c>
      <c r="F1480" s="62" t="s">
        <v>25013</v>
      </c>
      <c r="G1480" s="81" t="s">
        <v>19285</v>
      </c>
      <c r="H1480" s="63">
        <v>46065</v>
      </c>
      <c r="I1480" s="63">
        <v>46066</v>
      </c>
      <c r="J1480" s="62">
        <v>2</v>
      </c>
      <c r="K1480" s="62">
        <v>2</v>
      </c>
      <c r="L1480" s="62" t="s">
        <v>24995</v>
      </c>
      <c r="M1480" s="62" t="s">
        <v>24995</v>
      </c>
      <c r="N1480" s="62" t="s">
        <v>19269</v>
      </c>
      <c r="O1480" s="62" t="s">
        <v>4838</v>
      </c>
      <c r="P1480" s="42" t="str">
        <f>+IF(O1480="","",IFERROR(VLOOKUP(O1480,CODIGO_DIAGNOSTICO,2,0),"CÓDIGO NO ENCONTRADO"))</f>
        <v>LUMBAGO NO ESPECIFICADO</v>
      </c>
      <c r="Q1480" s="62" t="s">
        <v>26059</v>
      </c>
      <c r="R1480" s="64"/>
      <c r="S1480" s="75"/>
      <c r="T1480" s="75"/>
      <c r="U1480" s="65"/>
      <c r="V1480" s="62"/>
      <c r="W1480" s="65"/>
      <c r="X1480" s="62"/>
      <c r="Y1480" s="65"/>
      <c r="Z1480" s="73"/>
    </row>
    <row r="1481" spans="1:26" ht="15.75" hidden="1" customHeight="1" x14ac:dyDescent="0.25">
      <c r="A1481" s="67">
        <v>2</v>
      </c>
      <c r="B1481" s="68">
        <v>98514610</v>
      </c>
      <c r="C1481" s="68" t="s">
        <v>24987</v>
      </c>
      <c r="D1481" s="68" t="s">
        <v>24984</v>
      </c>
      <c r="E1481" s="68" t="s">
        <v>19278</v>
      </c>
      <c r="F1481" s="68" t="s">
        <v>24986</v>
      </c>
      <c r="G1481" s="81" t="s">
        <v>19285</v>
      </c>
      <c r="H1481" s="69">
        <v>46065</v>
      </c>
      <c r="I1481" s="69">
        <v>46066</v>
      </c>
      <c r="J1481" s="68">
        <v>2</v>
      </c>
      <c r="K1481" s="68">
        <v>2</v>
      </c>
      <c r="L1481" s="68" t="s">
        <v>24995</v>
      </c>
      <c r="M1481" s="68" t="s">
        <v>24995</v>
      </c>
      <c r="N1481" s="62" t="s">
        <v>19269</v>
      </c>
      <c r="O1481" s="68" t="s">
        <v>7736</v>
      </c>
      <c r="P1481" s="42" t="str">
        <f>+IF(O1481="","",IFERROR(VLOOKUP(O1481,CODIGO_DIAGNOSTICO,2,0),"CÓDIGO NO ENCONTRADO"))</f>
        <v>ESGUINCES Y TORCEDURAS QUE COMPROMETEN LOS LIGAMENTOS LATERALES (EXTERNO) (INTERNO) DE LA RODILLA</v>
      </c>
      <c r="Q1481" s="68" t="s">
        <v>26059</v>
      </c>
      <c r="R1481" s="67"/>
      <c r="S1481" s="77"/>
      <c r="T1481" s="76"/>
      <c r="U1481" s="65"/>
      <c r="V1481" s="68"/>
      <c r="W1481" s="70"/>
      <c r="X1481" s="68"/>
      <c r="Y1481" s="70"/>
      <c r="Z1481" s="72"/>
    </row>
    <row r="1482" spans="1:26" ht="15.75" hidden="1" customHeight="1" x14ac:dyDescent="0.25">
      <c r="A1482" s="64">
        <v>2</v>
      </c>
      <c r="B1482" s="62">
        <v>43261371</v>
      </c>
      <c r="C1482" s="62" t="s">
        <v>25127</v>
      </c>
      <c r="D1482" s="62" t="s">
        <v>25257</v>
      </c>
      <c r="E1482" s="62" t="s">
        <v>25231</v>
      </c>
      <c r="F1482" s="62" t="s">
        <v>25235</v>
      </c>
      <c r="G1482" s="81" t="s">
        <v>19285</v>
      </c>
      <c r="H1482" s="63">
        <v>46069</v>
      </c>
      <c r="I1482" s="63">
        <v>46075</v>
      </c>
      <c r="J1482" s="62">
        <v>7</v>
      </c>
      <c r="K1482" s="62">
        <v>7</v>
      </c>
      <c r="L1482" s="62" t="s">
        <v>24995</v>
      </c>
      <c r="M1482" s="62" t="s">
        <v>24995</v>
      </c>
      <c r="N1482" s="62" t="s">
        <v>19269</v>
      </c>
      <c r="O1482" s="62" t="s">
        <v>527</v>
      </c>
      <c r="P1482" s="42" t="str">
        <f>+IF(O1482="","",IFERROR(VLOOKUP(O1482,CODIGO_DIAGNOSTICO,2,0),"CÓDIGO NO ENCONTRADO"))</f>
        <v>CONJUNTIVITIS VIRAL, SIN OTRA ESPECIFICACION</v>
      </c>
      <c r="Q1482" s="62" t="s">
        <v>26059</v>
      </c>
      <c r="R1482" s="64"/>
      <c r="S1482" s="75"/>
      <c r="T1482" s="75"/>
      <c r="U1482" s="65"/>
      <c r="V1482" s="62"/>
      <c r="W1482" s="65"/>
      <c r="X1482" s="62"/>
      <c r="Y1482" s="65"/>
      <c r="Z1482" s="73"/>
    </row>
    <row r="1483" spans="1:26" ht="15.75" hidden="1" customHeight="1" x14ac:dyDescent="0.25">
      <c r="A1483" s="67">
        <v>2</v>
      </c>
      <c r="B1483" s="68">
        <v>1214737996</v>
      </c>
      <c r="C1483" s="68" t="s">
        <v>25604</v>
      </c>
      <c r="D1483" s="68" t="s">
        <v>26337</v>
      </c>
      <c r="E1483" s="68" t="s">
        <v>26338</v>
      </c>
      <c r="F1483" s="68" t="s">
        <v>25060</v>
      </c>
      <c r="G1483" s="81" t="s">
        <v>19285</v>
      </c>
      <c r="H1483" s="69">
        <v>46073</v>
      </c>
      <c r="I1483" s="69">
        <v>46087</v>
      </c>
      <c r="J1483" s="68">
        <v>15</v>
      </c>
      <c r="K1483" s="68">
        <v>15</v>
      </c>
      <c r="L1483" s="68" t="s">
        <v>19262</v>
      </c>
      <c r="M1483" s="68" t="s">
        <v>19262</v>
      </c>
      <c r="N1483" s="62" t="s">
        <v>19269</v>
      </c>
      <c r="O1483" s="68" t="s">
        <v>7723</v>
      </c>
      <c r="P1483" s="42" t="str">
        <f>+IF(O1483="","",IFERROR(VLOOKUP(O1483,CODIGO_DIAGNOSTICO,2,0),"CÓDIGO NO ENCONTRADO"))</f>
        <v>FRACTURA DE LA EPIFISIS SUPERIOR DE LA TIBIA</v>
      </c>
      <c r="Q1483" s="68" t="s">
        <v>26339</v>
      </c>
      <c r="R1483" s="67"/>
      <c r="S1483" s="77"/>
      <c r="T1483" s="76"/>
      <c r="U1483" s="65"/>
      <c r="V1483" s="68"/>
      <c r="W1483" s="70"/>
      <c r="X1483" s="68"/>
      <c r="Y1483" s="70"/>
      <c r="Z1483" s="72"/>
    </row>
    <row r="1484" spans="1:26" ht="15.75" hidden="1" customHeight="1" x14ac:dyDescent="0.25">
      <c r="A1484" s="64">
        <v>2</v>
      </c>
      <c r="B1484" s="62">
        <v>75037732</v>
      </c>
      <c r="C1484" s="62" t="s">
        <v>26457</v>
      </c>
      <c r="D1484" s="62" t="s">
        <v>25061</v>
      </c>
      <c r="E1484" s="62" t="s">
        <v>26497</v>
      </c>
      <c r="F1484" s="62" t="s">
        <v>25103</v>
      </c>
      <c r="G1484" s="81" t="s">
        <v>19285</v>
      </c>
      <c r="H1484" s="63">
        <v>46073</v>
      </c>
      <c r="I1484" s="63">
        <v>46086</v>
      </c>
      <c r="J1484" s="62">
        <v>21</v>
      </c>
      <c r="K1484" s="62">
        <v>21</v>
      </c>
      <c r="L1484" s="62" t="s">
        <v>19262</v>
      </c>
      <c r="M1484" s="62" t="s">
        <v>19262</v>
      </c>
      <c r="N1484" s="62" t="s">
        <v>19263</v>
      </c>
      <c r="O1484" s="62" t="s">
        <v>7726</v>
      </c>
      <c r="P1484" s="42" t="str">
        <f>+IF(O1484="","",IFERROR(VLOOKUP(O1484,CODIGO_DIAGNOSTICO,2,0),"CÓDIGO NO ENCONTRADO"))</f>
        <v>FRACTURA DEL PERONE SOLAMENTE</v>
      </c>
      <c r="Q1484" s="62" t="s">
        <v>25001</v>
      </c>
      <c r="R1484" s="64"/>
      <c r="S1484" s="75"/>
      <c r="T1484" s="75"/>
      <c r="U1484" s="65"/>
      <c r="V1484" s="62"/>
      <c r="W1484" s="65"/>
      <c r="X1484" s="62"/>
      <c r="Y1484" s="65"/>
      <c r="Z1484" s="73"/>
    </row>
    <row r="1485" spans="1:26" ht="15.75" hidden="1" customHeight="1" x14ac:dyDescent="0.25">
      <c r="A1485" s="67">
        <v>2</v>
      </c>
      <c r="B1485" s="68">
        <v>1003290712</v>
      </c>
      <c r="C1485" s="68" t="s">
        <v>19258</v>
      </c>
      <c r="D1485" s="68" t="s">
        <v>26525</v>
      </c>
      <c r="E1485" s="68" t="s">
        <v>25066</v>
      </c>
      <c r="F1485" s="68" t="s">
        <v>25010</v>
      </c>
      <c r="G1485" s="81" t="s">
        <v>19285</v>
      </c>
      <c r="H1485" s="69">
        <v>46073</v>
      </c>
      <c r="I1485" s="69">
        <v>46087</v>
      </c>
      <c r="J1485" s="68">
        <v>15</v>
      </c>
      <c r="K1485" s="68">
        <v>15</v>
      </c>
      <c r="L1485" s="68" t="s">
        <v>24995</v>
      </c>
      <c r="M1485" s="68" t="s">
        <v>24995</v>
      </c>
      <c r="N1485" s="62" t="s">
        <v>19269</v>
      </c>
      <c r="O1485" s="68" t="s">
        <v>4925</v>
      </c>
      <c r="P1485" s="42" t="str">
        <f>+IF(O1485="","",IFERROR(VLOOKUP(O1485,CODIGO_DIAGNOSTICO,2,0),"CÓDIGO NO ENCONTRADO"))</f>
        <v>OTRAS LESIONES DEL HOMBRO</v>
      </c>
      <c r="Q1485" s="68" t="s">
        <v>25025</v>
      </c>
      <c r="R1485" s="67"/>
      <c r="S1485" s="77"/>
      <c r="T1485" s="76"/>
      <c r="U1485" s="65"/>
      <c r="V1485" s="68"/>
      <c r="W1485" s="70"/>
      <c r="X1485" s="68"/>
      <c r="Y1485" s="70"/>
      <c r="Z1485" s="72"/>
    </row>
    <row r="1486" spans="1:26" ht="15.75" hidden="1" customHeight="1" x14ac:dyDescent="0.25">
      <c r="A1486" s="64">
        <v>2</v>
      </c>
      <c r="B1486" s="62">
        <v>43103123</v>
      </c>
      <c r="C1486" s="62" t="s">
        <v>25163</v>
      </c>
      <c r="D1486" s="62" t="s">
        <v>25164</v>
      </c>
      <c r="E1486" s="62" t="s">
        <v>25834</v>
      </c>
      <c r="F1486" s="62" t="s">
        <v>26538</v>
      </c>
      <c r="G1486" s="81" t="s">
        <v>19285</v>
      </c>
      <c r="H1486" s="63">
        <v>46075</v>
      </c>
      <c r="I1486" s="63">
        <v>46084</v>
      </c>
      <c r="J1486" s="62">
        <v>10</v>
      </c>
      <c r="K1486" s="62">
        <v>10</v>
      </c>
      <c r="L1486" s="62" t="s">
        <v>24995</v>
      </c>
      <c r="M1486" s="62" t="s">
        <v>24995</v>
      </c>
      <c r="N1486" s="62" t="s">
        <v>19269</v>
      </c>
      <c r="O1486" s="62" t="s">
        <v>5217</v>
      </c>
      <c r="P1486" s="42" t="str">
        <f>+IF(O1486="","",IFERROR(VLOOKUP(O1486,CODIGO_DIAGNOSTICO,2,0),"CÓDIGO NO ENCONTRADO"))</f>
        <v>CALCULO DEL URETER</v>
      </c>
      <c r="Q1486" s="62" t="s">
        <v>26059</v>
      </c>
      <c r="R1486" s="64"/>
      <c r="S1486" s="75"/>
      <c r="T1486" s="75"/>
      <c r="U1486" s="65"/>
      <c r="V1486" s="62"/>
      <c r="W1486" s="65"/>
      <c r="X1486" s="62"/>
      <c r="Y1486" s="65"/>
      <c r="Z1486" s="73"/>
    </row>
    <row r="1487" spans="1:26" ht="15.75" hidden="1" customHeight="1" x14ac:dyDescent="0.25">
      <c r="A1487" s="67">
        <v>2</v>
      </c>
      <c r="B1487" s="68">
        <v>43261371</v>
      </c>
      <c r="C1487" s="68" t="s">
        <v>25127</v>
      </c>
      <c r="D1487" s="68" t="s">
        <v>25257</v>
      </c>
      <c r="E1487" s="68" t="s">
        <v>25231</v>
      </c>
      <c r="F1487" s="68" t="s">
        <v>25235</v>
      </c>
      <c r="G1487" s="81" t="s">
        <v>19285</v>
      </c>
      <c r="H1487" s="69">
        <v>46077</v>
      </c>
      <c r="I1487" s="69">
        <v>46079</v>
      </c>
      <c r="J1487" s="68">
        <v>3</v>
      </c>
      <c r="K1487" s="68">
        <v>3</v>
      </c>
      <c r="L1487" s="68" t="s">
        <v>24995</v>
      </c>
      <c r="M1487" s="68" t="s">
        <v>24995</v>
      </c>
      <c r="N1487" s="62" t="s">
        <v>19269</v>
      </c>
      <c r="O1487" s="68" t="s">
        <v>4695</v>
      </c>
      <c r="P1487" s="42" t="str">
        <f>+IF(O1487="","",IFERROR(VLOOKUP(O1487,CODIGO_DIAGNOSTICO,2,0),"CÓDIGO NO ENCONTRADO"))</f>
        <v>TRASTORNOS INTERNO DE LA RODILLA, NO ESPECIFICADO</v>
      </c>
      <c r="Q1487" s="68" t="s">
        <v>26059</v>
      </c>
      <c r="R1487" s="67"/>
      <c r="S1487" s="77"/>
      <c r="T1487" s="76"/>
      <c r="U1487" s="65"/>
      <c r="V1487" s="68"/>
      <c r="W1487" s="70"/>
      <c r="X1487" s="68"/>
      <c r="Y1487" s="70"/>
      <c r="Z1487" s="72"/>
    </row>
    <row r="1488" spans="1:26" ht="15.75" hidden="1" customHeight="1" x14ac:dyDescent="0.25">
      <c r="A1488" s="64">
        <v>2</v>
      </c>
      <c r="B1488" s="62">
        <v>10900792</v>
      </c>
      <c r="C1488" s="62" t="s">
        <v>26013</v>
      </c>
      <c r="D1488" s="62" t="s">
        <v>26014</v>
      </c>
      <c r="E1488" s="62" t="s">
        <v>25853</v>
      </c>
      <c r="F1488" s="62" t="s">
        <v>25213</v>
      </c>
      <c r="G1488" s="81" t="s">
        <v>19285</v>
      </c>
      <c r="H1488" s="63">
        <v>46077</v>
      </c>
      <c r="I1488" s="63">
        <v>46078</v>
      </c>
      <c r="J1488" s="62">
        <v>2</v>
      </c>
      <c r="K1488" s="62">
        <v>2</v>
      </c>
      <c r="L1488" s="62" t="s">
        <v>24995</v>
      </c>
      <c r="M1488" s="62" t="s">
        <v>24995</v>
      </c>
      <c r="N1488" s="62" t="s">
        <v>19269</v>
      </c>
      <c r="O1488" s="62" t="s">
        <v>3856</v>
      </c>
      <c r="P1488" s="42" t="str">
        <f>+IF(O1488="","",IFERROR(VLOOKUP(O1488,CODIGO_DIAGNOSTICO,2,0),"CÓDIGO NO ENCONTRADO"))</f>
        <v>RAIZ DENTAL RETENIDA</v>
      </c>
      <c r="Q1488" s="62" t="s">
        <v>26339</v>
      </c>
      <c r="R1488" s="64"/>
      <c r="S1488" s="75"/>
      <c r="T1488" s="75"/>
      <c r="U1488" s="65"/>
      <c r="V1488" s="62"/>
      <c r="W1488" s="65"/>
      <c r="X1488" s="62"/>
      <c r="Y1488" s="65"/>
      <c r="Z1488" s="73"/>
    </row>
    <row r="1489" spans="1:26" ht="15.75" hidden="1" customHeight="1" x14ac:dyDescent="0.25">
      <c r="A1489" s="67">
        <v>2</v>
      </c>
      <c r="B1489" s="68">
        <v>7277314</v>
      </c>
      <c r="C1489" s="68" t="s">
        <v>26435</v>
      </c>
      <c r="D1489" s="68" t="s">
        <v>25003</v>
      </c>
      <c r="E1489" s="68" t="s">
        <v>25091</v>
      </c>
      <c r="F1489" s="68" t="s">
        <v>25739</v>
      </c>
      <c r="G1489" s="81" t="s">
        <v>19285</v>
      </c>
      <c r="H1489" s="69">
        <v>46079</v>
      </c>
      <c r="I1489" s="69">
        <v>46086</v>
      </c>
      <c r="J1489" s="68">
        <v>8</v>
      </c>
      <c r="K1489" s="68">
        <v>8</v>
      </c>
      <c r="L1489" s="68" t="s">
        <v>24995</v>
      </c>
      <c r="M1489" s="68" t="s">
        <v>24995</v>
      </c>
      <c r="N1489" s="62" t="s">
        <v>19269</v>
      </c>
      <c r="O1489" s="68" t="s">
        <v>5114</v>
      </c>
      <c r="P1489" s="42" t="str">
        <f>+IF(O1489="","",IFERROR(VLOOKUP(O1489,CODIGO_DIAGNOSTICO,2,0),"CÓDIGO NO ENCONTRADO"))</f>
        <v>HEMATURIA RECURRENTE Y PERSISTENTE: ENFERMEDAD POR DEPOSITOS DENSOS</v>
      </c>
      <c r="Q1489" s="68" t="s">
        <v>24996</v>
      </c>
      <c r="R1489" s="67"/>
      <c r="S1489" s="77"/>
      <c r="T1489" s="76"/>
      <c r="U1489" s="65"/>
      <c r="V1489" s="68"/>
      <c r="W1489" s="70"/>
      <c r="X1489" s="68"/>
      <c r="Y1489" s="70"/>
      <c r="Z1489" s="72"/>
    </row>
    <row r="1490" spans="1:26" ht="15.75" hidden="1" customHeight="1" x14ac:dyDescent="0.25">
      <c r="A1490" s="64">
        <v>2</v>
      </c>
      <c r="B1490" s="62">
        <v>1002206888</v>
      </c>
      <c r="C1490" s="62" t="s">
        <v>25307</v>
      </c>
      <c r="D1490" s="62" t="s">
        <v>25173</v>
      </c>
      <c r="E1490" s="62" t="s">
        <v>26520</v>
      </c>
      <c r="F1490" s="62"/>
      <c r="G1490" s="81" t="s">
        <v>19285</v>
      </c>
      <c r="H1490" s="63">
        <v>46079</v>
      </c>
      <c r="I1490" s="63">
        <v>46081</v>
      </c>
      <c r="J1490" s="62">
        <v>3</v>
      </c>
      <c r="K1490" s="62">
        <v>3</v>
      </c>
      <c r="L1490" s="62" t="s">
        <v>24995</v>
      </c>
      <c r="M1490" s="62" t="s">
        <v>24995</v>
      </c>
      <c r="N1490" s="62" t="s">
        <v>19269</v>
      </c>
      <c r="O1490" s="62" t="s">
        <v>4026</v>
      </c>
      <c r="P1490" s="42" t="str">
        <f>+IF(O1490="","",IFERROR(VLOOKUP(O1490,CODIGO_DIAGNOSTICO,2,0),"CÓDIGO NO ENCONTRADO"))</f>
        <v>COLITIS Y GASTROENTERITIS NO INFECCIOSAS, NO ESPECIFICADAS</v>
      </c>
      <c r="Q1490" s="62" t="s">
        <v>19230</v>
      </c>
      <c r="R1490" s="64"/>
      <c r="S1490" s="75"/>
      <c r="T1490" s="75"/>
      <c r="U1490" s="65"/>
      <c r="V1490" s="62"/>
      <c r="W1490" s="65"/>
      <c r="X1490" s="62"/>
      <c r="Y1490" s="65"/>
      <c r="Z1490" s="73"/>
    </row>
    <row r="1491" spans="1:26" ht="15.75" hidden="1" customHeight="1" x14ac:dyDescent="0.25">
      <c r="A1491" s="67">
        <v>2</v>
      </c>
      <c r="B1491" s="68">
        <v>98601485</v>
      </c>
      <c r="C1491" s="68" t="s">
        <v>25240</v>
      </c>
      <c r="D1491" s="68"/>
      <c r="E1491" s="68" t="s">
        <v>25241</v>
      </c>
      <c r="F1491" s="68" t="s">
        <v>25103</v>
      </c>
      <c r="G1491" s="81" t="s">
        <v>25328</v>
      </c>
      <c r="H1491" s="69">
        <v>46081</v>
      </c>
      <c r="I1491" s="69">
        <v>46110</v>
      </c>
      <c r="J1491" s="68">
        <v>30</v>
      </c>
      <c r="K1491" s="68">
        <v>30</v>
      </c>
      <c r="L1491" s="68" t="s">
        <v>19262</v>
      </c>
      <c r="M1491" s="68" t="s">
        <v>19262</v>
      </c>
      <c r="N1491" s="62" t="s">
        <v>19269</v>
      </c>
      <c r="O1491" s="68" t="s">
        <v>8419</v>
      </c>
      <c r="P1491" s="42" t="str">
        <f>+IF(O1491="","",IFERROR(VLOOKUP(O1491,CODIGO_DIAGNOSTICO,2,0),"CÓDIGO NO ENCONTRADO"))</f>
        <v>COMPLICACION MECANICA DE OTROS DISPOSITIVOS PROTESICOS, IMPLANTES E INJERTOS ORTOPEDICOS INTERNOS</v>
      </c>
      <c r="Q1491" s="68" t="s">
        <v>26059</v>
      </c>
      <c r="R1491" s="67"/>
      <c r="S1491" s="77"/>
      <c r="T1491" s="76"/>
      <c r="U1491" s="65"/>
      <c r="V1491" s="68"/>
      <c r="W1491" s="70"/>
      <c r="X1491" s="68"/>
      <c r="Y1491" s="70"/>
      <c r="Z1491" s="72"/>
    </row>
    <row r="1492" spans="1:26" ht="15.75" hidden="1" customHeight="1" x14ac:dyDescent="0.25">
      <c r="A1492" s="64">
        <v>2</v>
      </c>
      <c r="B1492" s="62">
        <v>1214716619</v>
      </c>
      <c r="C1492" s="62" t="s">
        <v>25219</v>
      </c>
      <c r="D1492" s="62" t="s">
        <v>25456</v>
      </c>
      <c r="E1492" s="62" t="s">
        <v>25647</v>
      </c>
      <c r="F1492" s="62"/>
      <c r="G1492" s="81" t="s">
        <v>19285</v>
      </c>
      <c r="H1492" s="63">
        <v>46081</v>
      </c>
      <c r="I1492" s="63">
        <v>46083</v>
      </c>
      <c r="J1492" s="62">
        <v>3</v>
      </c>
      <c r="K1492" s="62">
        <v>3</v>
      </c>
      <c r="L1492" s="62" t="s">
        <v>24995</v>
      </c>
      <c r="M1492" s="62" t="s">
        <v>24995</v>
      </c>
      <c r="N1492" s="62" t="s">
        <v>19269</v>
      </c>
      <c r="O1492" s="62" t="s">
        <v>7770</v>
      </c>
      <c r="P1492" s="42" t="str">
        <f>+IF(O1492="","",IFERROR(VLOOKUP(O1492,CODIGO_DIAGNOSTICO,2,0),"CÓDIGO NO ENCONTRADO"))</f>
        <v>CONTUSION DEL TOBILLO</v>
      </c>
      <c r="Q1492" s="62" t="s">
        <v>26059</v>
      </c>
      <c r="R1492" s="64"/>
      <c r="S1492" s="75"/>
      <c r="T1492" s="75"/>
      <c r="U1492" s="65"/>
      <c r="V1492" s="62"/>
      <c r="W1492" s="65"/>
      <c r="X1492" s="62"/>
      <c r="Y1492" s="65"/>
      <c r="Z1492" s="73"/>
    </row>
    <row r="1493" spans="1:26" ht="15.75" hidden="1" customHeight="1" x14ac:dyDescent="0.25">
      <c r="A1493" s="67">
        <v>3</v>
      </c>
      <c r="B1493" s="68">
        <v>1007843841</v>
      </c>
      <c r="C1493" s="68" t="s">
        <v>25085</v>
      </c>
      <c r="D1493" s="68" t="s">
        <v>19258</v>
      </c>
      <c r="E1493" s="68" t="s">
        <v>26142</v>
      </c>
      <c r="F1493" s="68" t="s">
        <v>26143</v>
      </c>
      <c r="G1493" s="81" t="s">
        <v>19285</v>
      </c>
      <c r="H1493" s="69">
        <v>46083</v>
      </c>
      <c r="I1493" s="69">
        <v>46084</v>
      </c>
      <c r="J1493" s="68">
        <v>2</v>
      </c>
      <c r="K1493" s="68">
        <v>2</v>
      </c>
      <c r="L1493" s="68" t="s">
        <v>24995</v>
      </c>
      <c r="M1493" s="68" t="s">
        <v>24995</v>
      </c>
      <c r="N1493" s="62" t="s">
        <v>19269</v>
      </c>
      <c r="O1493" s="68" t="s">
        <v>4838</v>
      </c>
      <c r="P1493" s="42" t="str">
        <f>+IF(O1493="","",IFERROR(VLOOKUP(O1493,CODIGO_DIAGNOSTICO,2,0),"CÓDIGO NO ENCONTRADO"))</f>
        <v>LUMBAGO NO ESPECIFICADO</v>
      </c>
      <c r="Q1493" s="68" t="s">
        <v>26059</v>
      </c>
      <c r="R1493" s="67"/>
      <c r="S1493" s="77"/>
      <c r="T1493" s="76"/>
      <c r="U1493" s="65"/>
      <c r="V1493" s="68"/>
      <c r="W1493" s="70"/>
      <c r="X1493" s="68"/>
      <c r="Y1493" s="70"/>
      <c r="Z1493" s="72"/>
    </row>
    <row r="1494" spans="1:26" ht="15.75" hidden="1" customHeight="1" x14ac:dyDescent="0.25">
      <c r="A1494" s="64">
        <v>3</v>
      </c>
      <c r="B1494" s="62">
        <v>71701610</v>
      </c>
      <c r="C1494" s="62" t="s">
        <v>25634</v>
      </c>
      <c r="D1494" s="62" t="s">
        <v>25509</v>
      </c>
      <c r="E1494" s="62" t="s">
        <v>25739</v>
      </c>
      <c r="F1494" s="62" t="s">
        <v>25051</v>
      </c>
      <c r="G1494" s="81" t="s">
        <v>19285</v>
      </c>
      <c r="H1494" s="63">
        <v>46083</v>
      </c>
      <c r="I1494" s="63">
        <v>46098</v>
      </c>
      <c r="J1494" s="62">
        <v>16</v>
      </c>
      <c r="K1494" s="62">
        <v>16</v>
      </c>
      <c r="L1494" s="62" t="s">
        <v>24995</v>
      </c>
      <c r="M1494" s="62" t="s">
        <v>19262</v>
      </c>
      <c r="N1494" s="62" t="s">
        <v>19269</v>
      </c>
      <c r="O1494" s="62" t="s">
        <v>3234</v>
      </c>
      <c r="P1494" s="42" t="str">
        <f>+IF(O1494="","",IFERROR(VLOOKUP(O1494,CODIGO_DIAGNOSTICO,2,0),"CÓDIGO NO ENCONTRADO"))</f>
        <v>INFARTO AGUDO DEL MIOCARDIO, SIN OTRA ESPECIFICACION</v>
      </c>
      <c r="Q1494" s="62" t="s">
        <v>26339</v>
      </c>
      <c r="R1494" s="64"/>
      <c r="S1494" s="75"/>
      <c r="T1494" s="75"/>
      <c r="U1494" s="65"/>
      <c r="V1494" s="62"/>
      <c r="W1494" s="65"/>
      <c r="X1494" s="62"/>
      <c r="Y1494" s="65"/>
      <c r="Z1494" s="73"/>
    </row>
    <row r="1495" spans="1:26" ht="15.75" hidden="1" customHeight="1" x14ac:dyDescent="0.25">
      <c r="A1495" s="67">
        <v>3</v>
      </c>
      <c r="B1495" s="68">
        <v>1020459110</v>
      </c>
      <c r="C1495" s="68" t="s">
        <v>25306</v>
      </c>
      <c r="D1495" s="68" t="s">
        <v>25159</v>
      </c>
      <c r="E1495" s="68" t="s">
        <v>26539</v>
      </c>
      <c r="F1495" s="68" t="s">
        <v>26540</v>
      </c>
      <c r="G1495" s="81" t="s">
        <v>19285</v>
      </c>
      <c r="H1495" s="69">
        <v>46084</v>
      </c>
      <c r="I1495" s="69">
        <v>46085</v>
      </c>
      <c r="J1495" s="68">
        <v>2</v>
      </c>
      <c r="K1495" s="68">
        <v>2</v>
      </c>
      <c r="L1495" s="68" t="s">
        <v>24995</v>
      </c>
      <c r="M1495" s="68" t="s">
        <v>24995</v>
      </c>
      <c r="N1495" s="62" t="s">
        <v>19269</v>
      </c>
      <c r="O1495" s="68" t="s">
        <v>4048</v>
      </c>
      <c r="P1495" s="42" t="str">
        <f>+IF(O1495="","",IFERROR(VLOOKUP(O1495,CODIGO_DIAGNOSTICO,2,0),"CÓDIGO NO ENCONTRADO"))</f>
        <v>SINDROME DEL COLON IRRITABLE CON DIARREA</v>
      </c>
      <c r="Q1495" s="68" t="s">
        <v>26059</v>
      </c>
      <c r="R1495" s="67"/>
      <c r="S1495" s="77"/>
      <c r="T1495" s="76"/>
      <c r="U1495" s="65"/>
      <c r="V1495" s="68"/>
      <c r="W1495" s="70"/>
      <c r="X1495" s="68"/>
      <c r="Y1495" s="70"/>
      <c r="Z1495" s="72"/>
    </row>
    <row r="1496" spans="1:26" ht="15.75" hidden="1" customHeight="1" x14ac:dyDescent="0.25">
      <c r="A1496" s="64">
        <v>3</v>
      </c>
      <c r="B1496" s="62">
        <v>1020459110</v>
      </c>
      <c r="C1496" s="62" t="s">
        <v>25306</v>
      </c>
      <c r="D1496" s="62" t="s">
        <v>25159</v>
      </c>
      <c r="E1496" s="62" t="s">
        <v>26539</v>
      </c>
      <c r="F1496" s="62" t="s">
        <v>26540</v>
      </c>
      <c r="G1496" s="81" t="s">
        <v>19285</v>
      </c>
      <c r="H1496" s="63">
        <v>46084</v>
      </c>
      <c r="I1496" s="63">
        <v>46085</v>
      </c>
      <c r="J1496" s="62">
        <v>2</v>
      </c>
      <c r="K1496" s="62">
        <v>2</v>
      </c>
      <c r="L1496" s="62" t="s">
        <v>24995</v>
      </c>
      <c r="M1496" s="62" t="s">
        <v>24995</v>
      </c>
      <c r="N1496" s="62" t="s">
        <v>19269</v>
      </c>
      <c r="O1496" s="62" t="s">
        <v>4048</v>
      </c>
      <c r="P1496" s="42" t="str">
        <f>+IF(O1496="","",IFERROR(VLOOKUP(O1496,CODIGO_DIAGNOSTICO,2,0),"CÓDIGO NO ENCONTRADO"))</f>
        <v>SINDROME DEL COLON IRRITABLE CON DIARREA</v>
      </c>
      <c r="Q1496" s="62" t="s">
        <v>26059</v>
      </c>
      <c r="R1496" s="64"/>
      <c r="S1496" s="75"/>
      <c r="T1496" s="75"/>
      <c r="U1496" s="65"/>
      <c r="V1496" s="62"/>
      <c r="W1496" s="65"/>
      <c r="X1496" s="62"/>
      <c r="Y1496" s="65"/>
      <c r="Z1496" s="73"/>
    </row>
    <row r="1497" spans="1:26" ht="15.75" hidden="1" customHeight="1" x14ac:dyDescent="0.25">
      <c r="A1497" s="67">
        <v>3</v>
      </c>
      <c r="B1497" s="68">
        <v>43103123</v>
      </c>
      <c r="C1497" s="68" t="s">
        <v>25163</v>
      </c>
      <c r="D1497" s="68" t="s">
        <v>25164</v>
      </c>
      <c r="E1497" s="68" t="s">
        <v>25834</v>
      </c>
      <c r="F1497" s="68" t="s">
        <v>26538</v>
      </c>
      <c r="G1497" s="81" t="s">
        <v>19285</v>
      </c>
      <c r="H1497" s="69">
        <v>46085</v>
      </c>
      <c r="I1497" s="69">
        <v>46087</v>
      </c>
      <c r="J1497" s="68">
        <v>3</v>
      </c>
      <c r="K1497" s="68">
        <v>3</v>
      </c>
      <c r="L1497" s="68" t="s">
        <v>19262</v>
      </c>
      <c r="M1497" s="68" t="s">
        <v>24995</v>
      </c>
      <c r="N1497" s="62" t="s">
        <v>19269</v>
      </c>
      <c r="O1497" s="68" t="s">
        <v>5217</v>
      </c>
      <c r="P1497" s="42" t="str">
        <f>+IF(O1497="","",IFERROR(VLOOKUP(O1497,CODIGO_DIAGNOSTICO,2,0),"CÓDIGO NO ENCONTRADO"))</f>
        <v>CALCULO DEL URETER</v>
      </c>
      <c r="Q1497" s="68" t="s">
        <v>26059</v>
      </c>
      <c r="R1497" s="67"/>
      <c r="S1497" s="77"/>
      <c r="T1497" s="76"/>
      <c r="U1497" s="65"/>
      <c r="V1497" s="68"/>
      <c r="W1497" s="70"/>
      <c r="X1497" s="68"/>
      <c r="Y1497" s="70"/>
      <c r="Z1497" s="72"/>
    </row>
    <row r="1498" spans="1:26" ht="15.75" hidden="1" customHeight="1" x14ac:dyDescent="0.25">
      <c r="A1498" s="64">
        <v>3</v>
      </c>
      <c r="B1498" s="62">
        <v>75037732</v>
      </c>
      <c r="C1498" s="62" t="s">
        <v>26457</v>
      </c>
      <c r="D1498" s="62" t="s">
        <v>25061</v>
      </c>
      <c r="E1498" s="62" t="s">
        <v>26497</v>
      </c>
      <c r="F1498" s="62" t="s">
        <v>25103</v>
      </c>
      <c r="G1498" s="81" t="s">
        <v>19285</v>
      </c>
      <c r="H1498" s="63">
        <v>46086</v>
      </c>
      <c r="I1498" s="63">
        <v>46115</v>
      </c>
      <c r="J1498" s="62">
        <v>30</v>
      </c>
      <c r="K1498" s="62">
        <v>30</v>
      </c>
      <c r="L1498" s="62" t="s">
        <v>19262</v>
      </c>
      <c r="M1498" s="62" t="s">
        <v>19262</v>
      </c>
      <c r="N1498" s="62" t="s">
        <v>19263</v>
      </c>
      <c r="O1498" s="62" t="s">
        <v>7726</v>
      </c>
      <c r="P1498" s="42" t="str">
        <f>+IF(O1498="","",IFERROR(VLOOKUP(O1498,CODIGO_DIAGNOSTICO,2,0),"CÓDIGO NO ENCONTRADO"))</f>
        <v>FRACTURA DEL PERONE SOLAMENTE</v>
      </c>
      <c r="Q1498" s="62" t="s">
        <v>25001</v>
      </c>
      <c r="R1498" s="64"/>
      <c r="S1498" s="75"/>
      <c r="T1498" s="75"/>
      <c r="U1498" s="65"/>
      <c r="V1498" s="62"/>
      <c r="W1498" s="65"/>
      <c r="X1498" s="62"/>
      <c r="Y1498" s="65"/>
      <c r="Z1498" s="73"/>
    </row>
    <row r="1499" spans="1:26" ht="15.75" hidden="1" customHeight="1" x14ac:dyDescent="0.25">
      <c r="A1499" s="67">
        <v>3</v>
      </c>
      <c r="B1499" s="68">
        <v>1128472662</v>
      </c>
      <c r="C1499" s="68" t="s">
        <v>25034</v>
      </c>
      <c r="D1499" s="68" t="s">
        <v>25634</v>
      </c>
      <c r="E1499" s="68" t="s">
        <v>25282</v>
      </c>
      <c r="F1499" s="68" t="s">
        <v>25177</v>
      </c>
      <c r="G1499" s="81" t="s">
        <v>26541</v>
      </c>
      <c r="H1499" s="69">
        <v>46087</v>
      </c>
      <c r="I1499" s="69">
        <v>46099</v>
      </c>
      <c r="J1499" s="68">
        <v>13</v>
      </c>
      <c r="K1499" s="68">
        <v>13</v>
      </c>
      <c r="L1499" s="68" t="s">
        <v>24995</v>
      </c>
      <c r="M1499" s="68" t="s">
        <v>19262</v>
      </c>
      <c r="N1499" s="62" t="s">
        <v>19269</v>
      </c>
      <c r="O1499" s="68" t="s">
        <v>3976</v>
      </c>
      <c r="P1499" s="42" t="str">
        <f>+IF(O1499="","",IFERROR(VLOOKUP(O1499,CODIGO_DIAGNOSTICO,2,0),"CÓDIGO NO ENCONTRADO"))</f>
        <v>APENDICITIS, NO ESPECIFICADA</v>
      </c>
      <c r="Q1499" s="68" t="s">
        <v>24976</v>
      </c>
      <c r="R1499" s="67"/>
      <c r="S1499" s="77"/>
      <c r="T1499" s="76"/>
      <c r="U1499" s="65"/>
      <c r="V1499" s="68"/>
      <c r="W1499" s="70"/>
      <c r="X1499" s="68"/>
      <c r="Y1499" s="70"/>
      <c r="Z1499" s="72"/>
    </row>
    <row r="1500" spans="1:26" ht="15.75" hidden="1" customHeight="1" x14ac:dyDescent="0.25">
      <c r="A1500" s="64">
        <v>3</v>
      </c>
      <c r="B1500" s="62">
        <v>70326266</v>
      </c>
      <c r="C1500" s="62" t="s">
        <v>24984</v>
      </c>
      <c r="D1500" s="62"/>
      <c r="E1500" s="62" t="s">
        <v>25102</v>
      </c>
      <c r="F1500" s="62" t="s">
        <v>26257</v>
      </c>
      <c r="G1500" s="81" t="s">
        <v>19285</v>
      </c>
      <c r="H1500" s="63">
        <v>46088</v>
      </c>
      <c r="I1500" s="63">
        <v>46101</v>
      </c>
      <c r="J1500" s="62">
        <v>14</v>
      </c>
      <c r="K1500" s="62">
        <v>14</v>
      </c>
      <c r="L1500" s="62" t="s">
        <v>24995</v>
      </c>
      <c r="M1500" s="62" t="s">
        <v>24995</v>
      </c>
      <c r="N1500" s="62" t="s">
        <v>19269</v>
      </c>
      <c r="O1500" s="62" t="s">
        <v>5851</v>
      </c>
      <c r="P1500" s="42" t="str">
        <f>+IF(O1500="","",IFERROR(VLOOKUP(O1500,CODIGO_DIAGNOSTICO,2,0),"CÓDIGO NO ENCONTRADO"))</f>
        <v>PARTO UNICO ESPONTANEO, PRESENTACION CEFALICA DE VERTICE</v>
      </c>
      <c r="Q1500" s="62" t="s">
        <v>26059</v>
      </c>
      <c r="R1500" s="64"/>
      <c r="S1500" s="75"/>
      <c r="T1500" s="75"/>
      <c r="U1500" s="65"/>
      <c r="V1500" s="62"/>
      <c r="W1500" s="65"/>
      <c r="X1500" s="62"/>
      <c r="Y1500" s="65"/>
      <c r="Z1500" s="73"/>
    </row>
    <row r="1501" spans="1:26" ht="15.75" hidden="1" customHeight="1" x14ac:dyDescent="0.25">
      <c r="A1501" s="67">
        <v>3</v>
      </c>
      <c r="B1501" s="68">
        <v>1007734426</v>
      </c>
      <c r="C1501" s="68" t="s">
        <v>26263</v>
      </c>
      <c r="D1501" s="68" t="s">
        <v>25410</v>
      </c>
      <c r="E1501" s="68" t="s">
        <v>6</v>
      </c>
      <c r="F1501" s="68" t="s">
        <v>25878</v>
      </c>
      <c r="G1501" s="81" t="s">
        <v>19285</v>
      </c>
      <c r="H1501" s="69">
        <v>46088</v>
      </c>
      <c r="I1501" s="69">
        <v>46092</v>
      </c>
      <c r="J1501" s="68">
        <v>5</v>
      </c>
      <c r="K1501" s="68">
        <v>5</v>
      </c>
      <c r="L1501" s="68" t="s">
        <v>24995</v>
      </c>
      <c r="M1501" s="68" t="s">
        <v>24995</v>
      </c>
      <c r="N1501" s="62" t="s">
        <v>19269</v>
      </c>
      <c r="O1501" s="68" t="s">
        <v>3618</v>
      </c>
      <c r="P1501" s="42" t="str">
        <f>+IF(O1501="","",IFERROR(VLOOKUP(O1501,CODIGO_DIAGNOSTICO,2,0),"CÓDIGO NO ENCONTRADO"))</f>
        <v>NEUMONIA, NO ESPECIFICADA</v>
      </c>
      <c r="Q1501" s="68" t="s">
        <v>26339</v>
      </c>
      <c r="R1501" s="67"/>
      <c r="S1501" s="77"/>
      <c r="T1501" s="76"/>
      <c r="U1501" s="65"/>
      <c r="V1501" s="68"/>
      <c r="W1501" s="70"/>
      <c r="X1501" s="68"/>
      <c r="Y1501" s="70"/>
      <c r="Z1501" s="72"/>
    </row>
    <row r="1502" spans="1:26" ht="15.75" hidden="1" customHeight="1" x14ac:dyDescent="0.25">
      <c r="A1502" s="64">
        <v>3</v>
      </c>
      <c r="B1502" s="62">
        <v>71382103</v>
      </c>
      <c r="C1502" s="62" t="s">
        <v>25776</v>
      </c>
      <c r="D1502" s="62" t="s">
        <v>25968</v>
      </c>
      <c r="E1502" s="62" t="s">
        <v>25198</v>
      </c>
      <c r="F1502" s="62" t="s">
        <v>25276</v>
      </c>
      <c r="G1502" s="81" t="s">
        <v>19285</v>
      </c>
      <c r="H1502" s="63">
        <v>46090</v>
      </c>
      <c r="I1502" s="63">
        <v>46119</v>
      </c>
      <c r="J1502" s="62">
        <v>30</v>
      </c>
      <c r="K1502" s="62">
        <v>30</v>
      </c>
      <c r="L1502" s="62" t="s">
        <v>19262</v>
      </c>
      <c r="M1502" s="62" t="s">
        <v>19262</v>
      </c>
      <c r="N1502" s="62" t="s">
        <v>19269</v>
      </c>
      <c r="O1502" s="62" t="s">
        <v>4671</v>
      </c>
      <c r="P1502" s="42" t="str">
        <f>+IF(O1502="","",IFERROR(VLOOKUP(O1502,CODIGO_DIAGNOSTICO,2,0),"CÓDIGO NO ENCONTRADO"))</f>
        <v>DEFORMIDAD EN VARO, NO CLASIFICADA EN OTRA</v>
      </c>
      <c r="Q1502" s="62" t="s">
        <v>26059</v>
      </c>
      <c r="R1502" s="64"/>
      <c r="S1502" s="75"/>
      <c r="T1502" s="75"/>
      <c r="U1502" s="65"/>
      <c r="V1502" s="62"/>
      <c r="W1502" s="65"/>
      <c r="X1502" s="62"/>
      <c r="Y1502" s="65"/>
      <c r="Z1502" s="73"/>
    </row>
    <row r="1503" spans="1:26" ht="15.75" hidden="1" customHeight="1" x14ac:dyDescent="0.25">
      <c r="A1503" s="67">
        <v>3</v>
      </c>
      <c r="B1503" s="68">
        <v>70253233</v>
      </c>
      <c r="C1503" s="68" t="s">
        <v>25930</v>
      </c>
      <c r="D1503" s="68" t="s">
        <v>25061</v>
      </c>
      <c r="E1503" s="68" t="s">
        <v>25255</v>
      </c>
      <c r="F1503" s="68" t="s">
        <v>25135</v>
      </c>
      <c r="G1503" s="81" t="s">
        <v>19285</v>
      </c>
      <c r="H1503" s="69">
        <v>46090</v>
      </c>
      <c r="I1503" s="69">
        <v>46091</v>
      </c>
      <c r="J1503" s="68">
        <v>2</v>
      </c>
      <c r="K1503" s="68">
        <v>2</v>
      </c>
      <c r="L1503" s="68" t="s">
        <v>24995</v>
      </c>
      <c r="M1503" s="68" t="s">
        <v>24995</v>
      </c>
      <c r="N1503" s="62" t="s">
        <v>19269</v>
      </c>
      <c r="O1503" s="68" t="s">
        <v>4937</v>
      </c>
      <c r="P1503" s="42" t="str">
        <f>+IF(O1503="","",IFERROR(VLOOKUP(O1503,CODIGO_DIAGNOSTICO,2,0),"CÓDIGO NO ENCONTRADO"))</f>
        <v>EPICONDILITIS MEDIA</v>
      </c>
      <c r="Q1503" s="68" t="s">
        <v>26059</v>
      </c>
      <c r="R1503" s="67"/>
      <c r="S1503" s="77"/>
      <c r="T1503" s="76"/>
      <c r="U1503" s="65"/>
      <c r="V1503" s="68"/>
      <c r="W1503" s="70"/>
      <c r="X1503" s="68"/>
      <c r="Y1503" s="70"/>
      <c r="Z1503" s="72"/>
    </row>
    <row r="1504" spans="1:26" ht="15.75" hidden="1" customHeight="1" x14ac:dyDescent="0.25">
      <c r="A1504" s="64">
        <v>3</v>
      </c>
      <c r="B1504" s="62">
        <v>15444896</v>
      </c>
      <c r="C1504" s="62" t="s">
        <v>25310</v>
      </c>
      <c r="D1504" s="62" t="s">
        <v>25094</v>
      </c>
      <c r="E1504" s="62" t="s">
        <v>25241</v>
      </c>
      <c r="F1504" s="62" t="s">
        <v>25691</v>
      </c>
      <c r="G1504" s="81" t="s">
        <v>19285</v>
      </c>
      <c r="H1504" s="63">
        <v>46091</v>
      </c>
      <c r="I1504" s="63">
        <v>46093</v>
      </c>
      <c r="J1504" s="62">
        <v>3</v>
      </c>
      <c r="K1504" s="62">
        <v>3</v>
      </c>
      <c r="L1504" s="62" t="s">
        <v>24995</v>
      </c>
      <c r="M1504" s="62" t="s">
        <v>24995</v>
      </c>
      <c r="N1504" s="62" t="s">
        <v>19269</v>
      </c>
      <c r="O1504" s="62" t="s">
        <v>8458</v>
      </c>
      <c r="P1504" s="42" t="str">
        <f>+IF(O1504="","",IFERROR(VLOOKUP(O1504,CODIGO_DIAGNOSTICO,2,0),"CÓDIGO NO ENCONTRADO"))</f>
        <v>COMPLICACIONES NO ESPECIFICADAS DE LA ATENCION MEDICA Y QUIRURGICA</v>
      </c>
      <c r="Q1504" s="62" t="s">
        <v>24996</v>
      </c>
      <c r="R1504" s="64"/>
      <c r="S1504" s="75"/>
      <c r="T1504" s="75"/>
      <c r="U1504" s="65"/>
      <c r="V1504" s="62"/>
      <c r="W1504" s="65"/>
      <c r="X1504" s="62"/>
      <c r="Y1504" s="65"/>
      <c r="Z1504" s="73"/>
    </row>
    <row r="1505" spans="1:26" ht="15.75" hidden="1" customHeight="1" x14ac:dyDescent="0.25">
      <c r="A1505" s="67">
        <v>3</v>
      </c>
      <c r="B1505" s="68">
        <v>98528134</v>
      </c>
      <c r="C1505" s="68" t="s">
        <v>25158</v>
      </c>
      <c r="D1505" s="68" t="s">
        <v>25159</v>
      </c>
      <c r="E1505" s="68" t="s">
        <v>25255</v>
      </c>
      <c r="F1505" s="68" t="s">
        <v>25028</v>
      </c>
      <c r="G1505" s="81" t="s">
        <v>19285</v>
      </c>
      <c r="H1505" s="69">
        <v>46092</v>
      </c>
      <c r="I1505" s="69">
        <v>46093</v>
      </c>
      <c r="J1505" s="68">
        <v>2</v>
      </c>
      <c r="K1505" s="68">
        <v>2</v>
      </c>
      <c r="L1505" s="68" t="s">
        <v>24995</v>
      </c>
      <c r="M1505" s="68" t="s">
        <v>24995</v>
      </c>
      <c r="N1505" s="62" t="s">
        <v>19269</v>
      </c>
      <c r="O1505" s="68" t="s">
        <v>5054</v>
      </c>
      <c r="P1505" s="42" t="str">
        <f>+IF(O1505="","",IFERROR(VLOOKUP(O1505,CODIGO_DIAGNOSTICO,2,0),"CÓDIGO NO ENCONTRADO"))</f>
        <v>OSTEOCONDROPATIA, NO ESPECIFICADA</v>
      </c>
      <c r="Q1505" s="68" t="s">
        <v>26059</v>
      </c>
      <c r="R1505" s="67"/>
      <c r="S1505" s="77"/>
      <c r="T1505" s="76"/>
      <c r="U1505" s="65"/>
      <c r="V1505" s="68"/>
      <c r="W1505" s="70"/>
      <c r="X1505" s="68"/>
      <c r="Y1505" s="70"/>
      <c r="Z1505" s="72"/>
    </row>
    <row r="1506" spans="1:26" ht="15.75" hidden="1" customHeight="1" x14ac:dyDescent="0.25">
      <c r="A1506" s="64">
        <v>3</v>
      </c>
      <c r="B1506" s="62">
        <v>98648253</v>
      </c>
      <c r="C1506" s="62" t="s">
        <v>25343</v>
      </c>
      <c r="D1506" s="62" t="s">
        <v>25462</v>
      </c>
      <c r="E1506" s="62" t="s">
        <v>25483</v>
      </c>
      <c r="F1506" s="62" t="s">
        <v>25110</v>
      </c>
      <c r="G1506" s="81" t="s">
        <v>19285</v>
      </c>
      <c r="H1506" s="63">
        <v>46092</v>
      </c>
      <c r="I1506" s="63">
        <v>46099</v>
      </c>
      <c r="J1506" s="62">
        <v>8</v>
      </c>
      <c r="K1506" s="62">
        <v>8</v>
      </c>
      <c r="L1506" s="62" t="s">
        <v>19262</v>
      </c>
      <c r="M1506" s="62" t="s">
        <v>24995</v>
      </c>
      <c r="N1506" s="62" t="s">
        <v>19269</v>
      </c>
      <c r="O1506" s="62" t="s">
        <v>1476</v>
      </c>
      <c r="P1506" s="42" t="str">
        <f>+IF(O1506="","",IFERROR(VLOOKUP(O1506,CODIGO_DIAGNOSTICO,2,0),"CÓDIGO NO ENCONTRADO"))</f>
        <v>TUMOR DE COMPORTAMIENTO INCIERTO O DESCONOCIDO DEL HIGADO, DE LA VESICULA BILIAR Y DEL CONDUCTO BILIAR</v>
      </c>
      <c r="Q1506" s="62" t="s">
        <v>26059</v>
      </c>
      <c r="R1506" s="64"/>
      <c r="S1506" s="75"/>
      <c r="T1506" s="75"/>
      <c r="U1506" s="65"/>
      <c r="V1506" s="62"/>
      <c r="W1506" s="65"/>
      <c r="X1506" s="62"/>
      <c r="Y1506" s="65"/>
      <c r="Z1506" s="73"/>
    </row>
    <row r="1507" spans="1:26" ht="15.75" hidden="1" customHeight="1" x14ac:dyDescent="0.25">
      <c r="A1507" s="67">
        <v>3</v>
      </c>
      <c r="B1507" s="68">
        <v>1007734426</v>
      </c>
      <c r="C1507" s="68" t="s">
        <v>26263</v>
      </c>
      <c r="D1507" s="68" t="s">
        <v>25410</v>
      </c>
      <c r="E1507" s="68" t="s">
        <v>6</v>
      </c>
      <c r="F1507" s="68" t="s">
        <v>25878</v>
      </c>
      <c r="G1507" s="81" t="s">
        <v>19285</v>
      </c>
      <c r="H1507" s="69">
        <v>46093</v>
      </c>
      <c r="I1507" s="69">
        <v>46095</v>
      </c>
      <c r="J1507" s="68">
        <v>3</v>
      </c>
      <c r="K1507" s="68">
        <v>3</v>
      </c>
      <c r="L1507" s="68" t="s">
        <v>24995</v>
      </c>
      <c r="M1507" s="68" t="s">
        <v>24995</v>
      </c>
      <c r="N1507" s="62" t="s">
        <v>19269</v>
      </c>
      <c r="O1507" s="68" t="s">
        <v>3618</v>
      </c>
      <c r="P1507" s="42" t="str">
        <f>+IF(O1507="","",IFERROR(VLOOKUP(O1507,CODIGO_DIAGNOSTICO,2,0),"CÓDIGO NO ENCONTRADO"))</f>
        <v>NEUMONIA, NO ESPECIFICADA</v>
      </c>
      <c r="Q1507" s="68" t="s">
        <v>26339</v>
      </c>
      <c r="R1507" s="67"/>
      <c r="S1507" s="77"/>
      <c r="T1507" s="76"/>
      <c r="U1507" s="65"/>
      <c r="V1507" s="68"/>
      <c r="W1507" s="70"/>
      <c r="X1507" s="68"/>
      <c r="Y1507" s="70"/>
      <c r="Z1507" s="72"/>
    </row>
    <row r="1508" spans="1:26" ht="15.75" hidden="1" customHeight="1" x14ac:dyDescent="0.25">
      <c r="A1508" s="64">
        <v>3</v>
      </c>
      <c r="B1508" s="62">
        <v>1017171980</v>
      </c>
      <c r="C1508" s="62" t="s">
        <v>25006</v>
      </c>
      <c r="D1508" s="62" t="s">
        <v>25326</v>
      </c>
      <c r="E1508" s="62" t="s">
        <v>25668</v>
      </c>
      <c r="F1508" s="62" t="s">
        <v>26542</v>
      </c>
      <c r="G1508" s="81" t="s">
        <v>19285</v>
      </c>
      <c r="H1508" s="63">
        <v>46093</v>
      </c>
      <c r="I1508" s="63">
        <v>46097</v>
      </c>
      <c r="J1508" s="62">
        <v>5</v>
      </c>
      <c r="K1508" s="62">
        <v>5</v>
      </c>
      <c r="L1508" s="62" t="s">
        <v>24995</v>
      </c>
      <c r="M1508" s="62" t="s">
        <v>24995</v>
      </c>
      <c r="N1508" s="62" t="s">
        <v>19263</v>
      </c>
      <c r="O1508" s="62" t="s">
        <v>7773</v>
      </c>
      <c r="P1508" s="42" t="str">
        <f>+IF(O1508="","",IFERROR(VLOOKUP(O1508,CODIGO_DIAGNOSTICO,2,0),"CÓDIGO NO ENCONTRADO"))</f>
        <v>CONTUSION DE OTRAS PARTES Y DE LAS NO ESPECIFICADAS DEL PIE</v>
      </c>
      <c r="Q1508" s="62" t="s">
        <v>25001</v>
      </c>
      <c r="R1508" s="64"/>
      <c r="S1508" s="75"/>
      <c r="T1508" s="75"/>
      <c r="U1508" s="65"/>
      <c r="V1508" s="62"/>
      <c r="W1508" s="65"/>
      <c r="X1508" s="62"/>
      <c r="Y1508" s="65"/>
      <c r="Z1508" s="73"/>
    </row>
    <row r="1509" spans="1:26" ht="15.75" hidden="1" customHeight="1" x14ac:dyDescent="0.25">
      <c r="A1509" s="67">
        <v>3</v>
      </c>
      <c r="B1509" s="68">
        <v>71642375</v>
      </c>
      <c r="C1509" s="68" t="s">
        <v>25658</v>
      </c>
      <c r="D1509" s="68" t="s">
        <v>25272</v>
      </c>
      <c r="E1509" s="68" t="s">
        <v>25283</v>
      </c>
      <c r="F1509" s="68" t="s">
        <v>25135</v>
      </c>
      <c r="G1509" s="81" t="s">
        <v>19285</v>
      </c>
      <c r="H1509" s="69">
        <v>46097</v>
      </c>
      <c r="I1509" s="69">
        <v>46098</v>
      </c>
      <c r="J1509" s="68">
        <v>2</v>
      </c>
      <c r="K1509" s="68">
        <v>2</v>
      </c>
      <c r="L1509" s="68" t="s">
        <v>24995</v>
      </c>
      <c r="M1509" s="68" t="s">
        <v>24995</v>
      </c>
      <c r="N1509" s="62" t="s">
        <v>19269</v>
      </c>
      <c r="O1509" s="68" t="s">
        <v>4838</v>
      </c>
      <c r="P1509" s="42" t="str">
        <f>+IF(O1509="","",IFERROR(VLOOKUP(O1509,CODIGO_DIAGNOSTICO,2,0),"CÓDIGO NO ENCONTRADO"))</f>
        <v>LUMBAGO NO ESPECIFICADO</v>
      </c>
      <c r="Q1509" s="68" t="s">
        <v>26059</v>
      </c>
      <c r="R1509" s="67"/>
      <c r="S1509" s="77"/>
      <c r="T1509" s="76"/>
      <c r="U1509" s="65"/>
      <c r="V1509" s="68"/>
      <c r="W1509" s="70"/>
      <c r="X1509" s="68"/>
      <c r="Y1509" s="70"/>
      <c r="Z1509" s="72"/>
    </row>
    <row r="1510" spans="1:26" ht="15.75" hidden="1" customHeight="1" x14ac:dyDescent="0.25">
      <c r="A1510" s="64">
        <v>3</v>
      </c>
      <c r="B1510" s="62">
        <v>70108742</v>
      </c>
      <c r="C1510" s="62" t="s">
        <v>25075</v>
      </c>
      <c r="D1510" s="62" t="s">
        <v>25510</v>
      </c>
      <c r="E1510" s="62" t="s">
        <v>25884</v>
      </c>
      <c r="F1510" s="62"/>
      <c r="G1510" s="81" t="s">
        <v>19285</v>
      </c>
      <c r="H1510" s="63">
        <v>46097</v>
      </c>
      <c r="I1510" s="63">
        <v>46124</v>
      </c>
      <c r="J1510" s="62">
        <v>28</v>
      </c>
      <c r="K1510" s="62">
        <v>28</v>
      </c>
      <c r="L1510" s="62" t="s">
        <v>19262</v>
      </c>
      <c r="M1510" s="62" t="s">
        <v>19262</v>
      </c>
      <c r="N1510" s="62" t="s">
        <v>19269</v>
      </c>
      <c r="O1510" s="62" t="s">
        <v>954</v>
      </c>
      <c r="P1510" s="42" t="str">
        <f>+IF(O1510="","",IFERROR(VLOOKUP(O1510,CODIGO_DIAGNOSTICO,2,0),"CÓDIGO NO ENCONTRADO"))</f>
        <v>TUMOR MALIGNO DE LOS BRONQUIOS O DEL PULMON, PARTE NO ESPECIFICADA</v>
      </c>
      <c r="Q1510" s="62" t="s">
        <v>26059</v>
      </c>
      <c r="R1510" s="64"/>
      <c r="S1510" s="75"/>
      <c r="T1510" s="75"/>
      <c r="U1510" s="65"/>
      <c r="V1510" s="62"/>
      <c r="W1510" s="65"/>
      <c r="X1510" s="62"/>
      <c r="Y1510" s="65"/>
      <c r="Z1510" s="73"/>
    </row>
    <row r="1511" spans="1:26" ht="15.75" hidden="1" customHeight="1" x14ac:dyDescent="0.25">
      <c r="A1511" s="67">
        <v>3</v>
      </c>
      <c r="B1511" s="68">
        <v>71536344</v>
      </c>
      <c r="C1511" s="68" t="s">
        <v>25617</v>
      </c>
      <c r="D1511" s="68" t="s">
        <v>25245</v>
      </c>
      <c r="E1511" s="68" t="s">
        <v>25210</v>
      </c>
      <c r="F1511" s="68" t="s">
        <v>25755</v>
      </c>
      <c r="G1511" s="81" t="s">
        <v>19285</v>
      </c>
      <c r="H1511" s="69">
        <v>46098</v>
      </c>
      <c r="I1511" s="69">
        <v>46099</v>
      </c>
      <c r="J1511" s="68">
        <v>2</v>
      </c>
      <c r="K1511" s="68">
        <v>2</v>
      </c>
      <c r="L1511" s="68" t="s">
        <v>24995</v>
      </c>
      <c r="M1511" s="68" t="s">
        <v>24995</v>
      </c>
      <c r="N1511" s="62" t="s">
        <v>19269</v>
      </c>
      <c r="O1511" s="68" t="s">
        <v>4838</v>
      </c>
      <c r="P1511" s="42" t="str">
        <f>+IF(O1511="","",IFERROR(VLOOKUP(O1511,CODIGO_DIAGNOSTICO,2,0),"CÓDIGO NO ENCONTRADO"))</f>
        <v>LUMBAGO NO ESPECIFICADO</v>
      </c>
      <c r="Q1511" s="68" t="s">
        <v>19289</v>
      </c>
      <c r="R1511" s="67"/>
      <c r="S1511" s="77"/>
      <c r="T1511" s="76"/>
      <c r="U1511" s="65"/>
      <c r="V1511" s="68"/>
      <c r="W1511" s="70"/>
      <c r="X1511" s="68"/>
      <c r="Y1511" s="70"/>
      <c r="Z1511" s="72"/>
    </row>
    <row r="1512" spans="1:26" ht="15.75" hidden="1" customHeight="1" x14ac:dyDescent="0.25">
      <c r="A1512" s="64">
        <v>3</v>
      </c>
      <c r="B1512" s="62">
        <v>1040323443</v>
      </c>
      <c r="C1512" s="62" t="s">
        <v>26132</v>
      </c>
      <c r="D1512" s="62" t="s">
        <v>25498</v>
      </c>
      <c r="E1512" s="62" t="s">
        <v>25151</v>
      </c>
      <c r="F1512" s="62" t="s">
        <v>25010</v>
      </c>
      <c r="G1512" s="81" t="s">
        <v>19285</v>
      </c>
      <c r="H1512" s="63">
        <v>46099</v>
      </c>
      <c r="I1512" s="63">
        <v>47206</v>
      </c>
      <c r="J1512" s="62">
        <v>12</v>
      </c>
      <c r="K1512" s="62">
        <v>12</v>
      </c>
      <c r="L1512" s="62" t="s">
        <v>24995</v>
      </c>
      <c r="M1512" s="62" t="s">
        <v>19262</v>
      </c>
      <c r="N1512" s="62" t="s">
        <v>19269</v>
      </c>
      <c r="O1512" s="62" t="s">
        <v>3988</v>
      </c>
      <c r="P1512" s="42" t="str">
        <f>+IF(O1512="","",IFERROR(VLOOKUP(O1512,CODIGO_DIAGNOSTICO,2,0),"CÓDIGO NO ENCONTRADO"))</f>
        <v>HERNIA INGUINAL UNILATERAL O NO ESPECIFICADA, SIN OBSTRUCION NI GANGRENA</v>
      </c>
      <c r="Q1512" s="62" t="s">
        <v>19230</v>
      </c>
      <c r="R1512" s="64"/>
      <c r="S1512" s="75"/>
      <c r="T1512" s="75"/>
      <c r="U1512" s="65"/>
      <c r="V1512" s="62"/>
      <c r="W1512" s="65"/>
      <c r="X1512" s="62"/>
      <c r="Y1512" s="65"/>
      <c r="Z1512" s="73"/>
    </row>
    <row r="1513" spans="1:26" ht="15.75" hidden="1" customHeight="1" x14ac:dyDescent="0.25">
      <c r="A1513" s="67">
        <v>3</v>
      </c>
      <c r="B1513" s="68">
        <v>71701610</v>
      </c>
      <c r="C1513" s="68" t="s">
        <v>25634</v>
      </c>
      <c r="D1513" s="68" t="s">
        <v>25509</v>
      </c>
      <c r="E1513" s="68" t="s">
        <v>25739</v>
      </c>
      <c r="F1513" s="68" t="s">
        <v>25051</v>
      </c>
      <c r="G1513" s="81" t="s">
        <v>19285</v>
      </c>
      <c r="H1513" s="69">
        <v>46099</v>
      </c>
      <c r="I1513" s="69">
        <v>46112</v>
      </c>
      <c r="J1513" s="68">
        <v>30</v>
      </c>
      <c r="K1513" s="68">
        <v>30</v>
      </c>
      <c r="L1513" s="68" t="s">
        <v>19262</v>
      </c>
      <c r="M1513" s="68" t="s">
        <v>19262</v>
      </c>
      <c r="N1513" s="62" t="s">
        <v>19269</v>
      </c>
      <c r="O1513" s="68" t="s">
        <v>3238</v>
      </c>
      <c r="P1513" s="42" t="str">
        <f>+IF(O1513="","",IFERROR(VLOOKUP(O1513,CODIGO_DIAGNOSTICO,2,0),"CÓDIGO NO ENCONTRADO"))</f>
        <v>INFARTO SUBSECUENTE DEL MIOCARDIO DE PARTE NO ESPECIFICADA</v>
      </c>
      <c r="Q1513" s="68" t="s">
        <v>26339</v>
      </c>
      <c r="R1513" s="67"/>
      <c r="S1513" s="77"/>
      <c r="T1513" s="76"/>
      <c r="U1513" s="65"/>
      <c r="V1513" s="68"/>
      <c r="W1513" s="70"/>
      <c r="X1513" s="68"/>
      <c r="Y1513" s="70"/>
      <c r="Z1513" s="72"/>
    </row>
    <row r="1514" spans="1:26" ht="15.75" hidden="1" customHeight="1" x14ac:dyDescent="0.25">
      <c r="A1514" s="64">
        <v>3</v>
      </c>
      <c r="B1514" s="62">
        <v>1147957427</v>
      </c>
      <c r="C1514" s="62" t="s">
        <v>25401</v>
      </c>
      <c r="D1514" s="62" t="s">
        <v>25008</v>
      </c>
      <c r="E1514" s="62" t="s">
        <v>25203</v>
      </c>
      <c r="F1514" s="62" t="s">
        <v>25439</v>
      </c>
      <c r="G1514" s="81" t="s">
        <v>19285</v>
      </c>
      <c r="H1514" s="63">
        <v>46100</v>
      </c>
      <c r="I1514" s="63">
        <v>46114</v>
      </c>
      <c r="J1514" s="62">
        <v>15</v>
      </c>
      <c r="K1514" s="62">
        <v>15</v>
      </c>
      <c r="L1514" s="62" t="s">
        <v>24995</v>
      </c>
      <c r="M1514" s="62" t="s">
        <v>19262</v>
      </c>
      <c r="N1514" s="62" t="s">
        <v>19269</v>
      </c>
      <c r="O1514" s="62" t="s">
        <v>89</v>
      </c>
      <c r="P1514" s="42" t="str">
        <f>+IF(O1514="","",IFERROR(VLOOKUP(O1514,CODIGO_DIAGNOSTICO,2,0),"CÓDIGO NO ENCONTRADO"))</f>
        <v>TUBERCULOSIS DEL PULMON, CONFIRMADA POR HALLAZGO MICROSCOPICO DEL BACILO TUBERCULOSO EN ESPUTO, CON O SIN CULTIVO</v>
      </c>
      <c r="Q1514" s="62" t="s">
        <v>24996</v>
      </c>
      <c r="R1514" s="64"/>
      <c r="S1514" s="75"/>
      <c r="T1514" s="75"/>
      <c r="U1514" s="65"/>
      <c r="V1514" s="62"/>
      <c r="W1514" s="65"/>
      <c r="X1514" s="62"/>
      <c r="Y1514" s="65"/>
      <c r="Z1514" s="73"/>
    </row>
    <row r="1515" spans="1:26" ht="15.75" hidden="1" customHeight="1" x14ac:dyDescent="0.25">
      <c r="A1515" s="67">
        <v>3</v>
      </c>
      <c r="B1515" s="68">
        <v>94150593</v>
      </c>
      <c r="C1515" s="68" t="s">
        <v>26314</v>
      </c>
      <c r="D1515" s="68" t="s">
        <v>25401</v>
      </c>
      <c r="E1515" s="68" t="s">
        <v>25066</v>
      </c>
      <c r="F1515" s="68" t="s">
        <v>24986</v>
      </c>
      <c r="G1515" s="81" t="s">
        <v>25768</v>
      </c>
      <c r="H1515" s="69">
        <v>46101</v>
      </c>
      <c r="I1515" s="69">
        <v>46107</v>
      </c>
      <c r="J1515" s="68">
        <v>7</v>
      </c>
      <c r="K1515" s="68">
        <v>7</v>
      </c>
      <c r="L1515" s="68" t="s">
        <v>24995</v>
      </c>
      <c r="M1515" s="68" t="s">
        <v>24995</v>
      </c>
      <c r="N1515" s="62" t="s">
        <v>19269</v>
      </c>
      <c r="O1515" s="68" t="s">
        <v>4694</v>
      </c>
      <c r="P1515" s="42" t="str">
        <f>+IF(O1515="","",IFERROR(VLOOKUP(O1515,CODIGO_DIAGNOSTICO,2,0),"CÓDIGO NO ENCONTRADO"))</f>
        <v>OTROS TRASTORNOS INTERNOS DE LA RODILLA</v>
      </c>
      <c r="Q1515" s="68" t="s">
        <v>26059</v>
      </c>
      <c r="R1515" s="67"/>
      <c r="S1515" s="77"/>
      <c r="T1515" s="76"/>
      <c r="U1515" s="65"/>
      <c r="V1515" s="68"/>
      <c r="W1515" s="70"/>
      <c r="X1515" s="68"/>
      <c r="Y1515" s="70"/>
      <c r="Z1515" s="72"/>
    </row>
    <row r="1516" spans="1:26" ht="15.75" hidden="1" customHeight="1" x14ac:dyDescent="0.25">
      <c r="A1516" s="64">
        <v>3</v>
      </c>
      <c r="B1516" s="62">
        <v>1143438827</v>
      </c>
      <c r="C1516" s="62" t="s">
        <v>25200</v>
      </c>
      <c r="D1516" s="62" t="s">
        <v>25034</v>
      </c>
      <c r="E1516" s="62" t="s">
        <v>26543</v>
      </c>
      <c r="F1516" s="62" t="s">
        <v>25103</v>
      </c>
      <c r="G1516" s="81" t="s">
        <v>19285</v>
      </c>
      <c r="H1516" s="63">
        <v>46102</v>
      </c>
      <c r="I1516" s="63">
        <v>46103</v>
      </c>
      <c r="J1516" s="62">
        <v>2</v>
      </c>
      <c r="K1516" s="62">
        <v>2</v>
      </c>
      <c r="L1516" s="62" t="s">
        <v>24995</v>
      </c>
      <c r="M1516" s="62" t="s">
        <v>24995</v>
      </c>
      <c r="N1516" s="62" t="s">
        <v>19269</v>
      </c>
      <c r="O1516" s="62" t="s">
        <v>7056</v>
      </c>
      <c r="P1516" s="42" t="str">
        <f>+IF(O1516="","",IFERROR(VLOOKUP(O1516,CODIGO_DIAGNOSTICO,2,0),"CÓDIGO NO ENCONTRADO"))</f>
        <v>FIEBRE, NO ESPECIFICADA</v>
      </c>
      <c r="Q1516" s="62" t="s">
        <v>24996</v>
      </c>
      <c r="R1516" s="64"/>
      <c r="S1516" s="75"/>
      <c r="T1516" s="75"/>
      <c r="U1516" s="65"/>
      <c r="V1516" s="62"/>
      <c r="W1516" s="65"/>
      <c r="X1516" s="62"/>
      <c r="Y1516" s="65"/>
      <c r="Z1516" s="73"/>
    </row>
    <row r="1517" spans="1:26" ht="15.75" hidden="1" customHeight="1" x14ac:dyDescent="0.25">
      <c r="A1517" s="67">
        <v>3</v>
      </c>
      <c r="B1517" s="68">
        <v>43260673</v>
      </c>
      <c r="C1517" s="68" t="s">
        <v>25132</v>
      </c>
      <c r="D1517" s="68" t="s">
        <v>25420</v>
      </c>
      <c r="E1517" s="68" t="s">
        <v>26544</v>
      </c>
      <c r="F1517" s="68" t="s">
        <v>25258</v>
      </c>
      <c r="G1517" s="81" t="s">
        <v>19285</v>
      </c>
      <c r="H1517" s="69">
        <v>46105</v>
      </c>
      <c r="I1517" s="69">
        <v>46106</v>
      </c>
      <c r="J1517" s="68">
        <v>2</v>
      </c>
      <c r="K1517" s="68">
        <v>2</v>
      </c>
      <c r="L1517" s="68" t="s">
        <v>24995</v>
      </c>
      <c r="M1517" s="68" t="s">
        <v>24995</v>
      </c>
      <c r="N1517" s="62" t="s">
        <v>19269</v>
      </c>
      <c r="O1517" s="68" t="s">
        <v>4694</v>
      </c>
      <c r="P1517" s="42" t="str">
        <f>+IF(O1517="","",IFERROR(VLOOKUP(O1517,CODIGO_DIAGNOSTICO,2,0),"CÓDIGO NO ENCONTRADO"))</f>
        <v>OTROS TRASTORNOS INTERNOS DE LA RODILLA</v>
      </c>
      <c r="Q1517" s="68" t="s">
        <v>26059</v>
      </c>
      <c r="R1517" s="67"/>
      <c r="S1517" s="77"/>
      <c r="T1517" s="76"/>
      <c r="U1517" s="65"/>
      <c r="V1517" s="68"/>
      <c r="W1517" s="70"/>
      <c r="X1517" s="68"/>
      <c r="Y1517" s="70"/>
      <c r="Z1517" s="72"/>
    </row>
    <row r="1518" spans="1:26" ht="15.75" hidden="1" customHeight="1" x14ac:dyDescent="0.25">
      <c r="A1518" s="64">
        <v>3</v>
      </c>
      <c r="B1518" s="62">
        <v>1044100295</v>
      </c>
      <c r="C1518" s="62" t="s">
        <v>25164</v>
      </c>
      <c r="D1518" s="62" t="s">
        <v>25662</v>
      </c>
      <c r="E1518" s="62" t="s">
        <v>25066</v>
      </c>
      <c r="F1518" s="62" t="s">
        <v>25110</v>
      </c>
      <c r="G1518" s="81" t="s">
        <v>19285</v>
      </c>
      <c r="H1518" s="63">
        <v>46105</v>
      </c>
      <c r="I1518" s="63">
        <v>46106</v>
      </c>
      <c r="J1518" s="62">
        <v>2</v>
      </c>
      <c r="K1518" s="62">
        <v>2</v>
      </c>
      <c r="L1518" s="62" t="s">
        <v>24995</v>
      </c>
      <c r="M1518" s="62" t="s">
        <v>24995</v>
      </c>
      <c r="N1518" s="62" t="s">
        <v>19269</v>
      </c>
      <c r="O1518" s="62" t="s">
        <v>7773</v>
      </c>
      <c r="P1518" s="42" t="str">
        <f>+IF(O1518="","",IFERROR(VLOOKUP(O1518,CODIGO_DIAGNOSTICO,2,0),"CÓDIGO NO ENCONTRADO"))</f>
        <v>CONTUSION DE OTRAS PARTES Y DE LAS NO ESPECIFICADAS DEL PIE</v>
      </c>
      <c r="Q1518" s="62" t="s">
        <v>26059</v>
      </c>
      <c r="R1518" s="64"/>
      <c r="S1518" s="75"/>
      <c r="T1518" s="75"/>
      <c r="U1518" s="65"/>
      <c r="V1518" s="62"/>
      <c r="W1518" s="65"/>
      <c r="X1518" s="62"/>
      <c r="Y1518" s="65"/>
      <c r="Z1518" s="73"/>
    </row>
    <row r="1519" spans="1:26" ht="15.75" hidden="1" customHeight="1" x14ac:dyDescent="0.25">
      <c r="A1519" s="67">
        <v>3</v>
      </c>
      <c r="B1519" s="68">
        <v>93407635</v>
      </c>
      <c r="C1519" s="68" t="s">
        <v>25457</v>
      </c>
      <c r="D1519" s="68"/>
      <c r="E1519" s="68" t="s">
        <v>25837</v>
      </c>
      <c r="F1519" s="68" t="s">
        <v>25434</v>
      </c>
      <c r="G1519" s="81" t="s">
        <v>19285</v>
      </c>
      <c r="H1519" s="69">
        <v>46105</v>
      </c>
      <c r="I1519" s="69">
        <v>46111</v>
      </c>
      <c r="J1519" s="68">
        <v>7</v>
      </c>
      <c r="K1519" s="68">
        <v>7</v>
      </c>
      <c r="L1519" s="68" t="s">
        <v>19262</v>
      </c>
      <c r="M1519" s="68" t="s">
        <v>19262</v>
      </c>
      <c r="N1519" s="62" t="s">
        <v>19263</v>
      </c>
      <c r="O1519" s="68" t="s">
        <v>4839</v>
      </c>
      <c r="P1519" s="42" t="str">
        <f>+IF(O1519="","",IFERROR(VLOOKUP(O1519,CODIGO_DIAGNOSTICO,2,0),"CÓDIGO NO ENCONTRADO"))</f>
        <v>DOLOR EN LA COLUMNA DORSAL</v>
      </c>
      <c r="Q1519" s="68" t="s">
        <v>25001</v>
      </c>
      <c r="R1519" s="67"/>
      <c r="S1519" s="77"/>
      <c r="T1519" s="76"/>
      <c r="U1519" s="65"/>
      <c r="V1519" s="68"/>
      <c r="W1519" s="70"/>
      <c r="X1519" s="68"/>
      <c r="Y1519" s="70"/>
      <c r="Z1519" s="72"/>
    </row>
    <row r="1520" spans="1:26" ht="15.75" hidden="1" customHeight="1" x14ac:dyDescent="0.25">
      <c r="A1520" s="64">
        <v>3</v>
      </c>
      <c r="B1520" s="62">
        <v>94150593</v>
      </c>
      <c r="C1520" s="62" t="s">
        <v>26314</v>
      </c>
      <c r="D1520" s="62" t="s">
        <v>25401</v>
      </c>
      <c r="E1520" s="62" t="s">
        <v>25066</v>
      </c>
      <c r="F1520" s="62" t="s">
        <v>24986</v>
      </c>
      <c r="G1520" s="81" t="s">
        <v>25768</v>
      </c>
      <c r="H1520" s="63">
        <v>46107</v>
      </c>
      <c r="I1520" s="63">
        <v>46126</v>
      </c>
      <c r="J1520" s="62">
        <v>20</v>
      </c>
      <c r="K1520" s="62">
        <v>20</v>
      </c>
      <c r="L1520" s="62" t="s">
        <v>19262</v>
      </c>
      <c r="M1520" s="62" t="s">
        <v>19262</v>
      </c>
      <c r="N1520" s="62" t="s">
        <v>19269</v>
      </c>
      <c r="O1520" s="62" t="s">
        <v>7058</v>
      </c>
      <c r="P1520" s="42" t="str">
        <f>+IF(O1520="","",IFERROR(VLOOKUP(O1520,CODIGO_DIAGNOSTICO,2,0),"CÓDIGO NO ENCONTRADO"))</f>
        <v>DOLOR AGUDO</v>
      </c>
      <c r="Q1520" s="62" t="s">
        <v>26059</v>
      </c>
      <c r="R1520" s="64"/>
      <c r="S1520" s="75"/>
      <c r="T1520" s="75"/>
      <c r="U1520" s="65"/>
      <c r="V1520" s="62"/>
      <c r="W1520" s="65"/>
      <c r="X1520" s="62"/>
      <c r="Y1520" s="65"/>
      <c r="Z1520" s="73"/>
    </row>
    <row r="1521" spans="1:26" ht="15.75" hidden="1" customHeight="1" x14ac:dyDescent="0.25">
      <c r="A1521" s="67">
        <v>3</v>
      </c>
      <c r="B1521" s="68">
        <v>78726824</v>
      </c>
      <c r="C1521" s="68" t="s">
        <v>25928</v>
      </c>
      <c r="D1521" s="68" t="s">
        <v>25094</v>
      </c>
      <c r="E1521" s="68" t="s">
        <v>19256</v>
      </c>
      <c r="F1521" s="68" t="s">
        <v>25014</v>
      </c>
      <c r="G1521" s="81" t="s">
        <v>19285</v>
      </c>
      <c r="H1521" s="69">
        <v>46107</v>
      </c>
      <c r="I1521" s="69">
        <v>46109</v>
      </c>
      <c r="J1521" s="68">
        <v>3</v>
      </c>
      <c r="K1521" s="68">
        <v>3</v>
      </c>
      <c r="L1521" s="68" t="s">
        <v>24995</v>
      </c>
      <c r="M1521" s="68" t="s">
        <v>24995</v>
      </c>
      <c r="N1521" s="62" t="s">
        <v>19269</v>
      </c>
      <c r="O1521" s="68" t="s">
        <v>7671</v>
      </c>
      <c r="P1521" s="42" t="str">
        <f>+IF(O1521="","",IFERROR(VLOOKUP(O1521,CODIGO_DIAGNOSTICO,2,0),"CÓDIGO NO ENCONTRADO"))</f>
        <v>TRAUMATISMO SUPERFICIAL DE LA CADERA Y DEL MUSLO, NO ESPECIFICADO</v>
      </c>
      <c r="Q1521" s="68" t="s">
        <v>24996</v>
      </c>
      <c r="R1521" s="67"/>
      <c r="S1521" s="77"/>
      <c r="T1521" s="76"/>
      <c r="U1521" s="65"/>
      <c r="V1521" s="68"/>
      <c r="W1521" s="70"/>
      <c r="X1521" s="68"/>
      <c r="Y1521" s="70"/>
      <c r="Z1521" s="72"/>
    </row>
    <row r="1522" spans="1:26" ht="15.75" hidden="1" customHeight="1" x14ac:dyDescent="0.25">
      <c r="A1522" s="64">
        <v>3</v>
      </c>
      <c r="B1522" s="62">
        <v>1060266498</v>
      </c>
      <c r="C1522" s="62" t="s">
        <v>25034</v>
      </c>
      <c r="D1522" s="62" t="s">
        <v>25343</v>
      </c>
      <c r="E1522" s="62" t="s">
        <v>26454</v>
      </c>
      <c r="F1522" s="62"/>
      <c r="G1522" s="81" t="s">
        <v>19285</v>
      </c>
      <c r="H1522" s="63">
        <v>46108</v>
      </c>
      <c r="I1522" s="63">
        <v>46109</v>
      </c>
      <c r="J1522" s="62">
        <v>2</v>
      </c>
      <c r="K1522" s="62">
        <v>2</v>
      </c>
      <c r="L1522" s="62" t="s">
        <v>24995</v>
      </c>
      <c r="M1522" s="62" t="s">
        <v>24995</v>
      </c>
      <c r="N1522" s="62" t="s">
        <v>19269</v>
      </c>
      <c r="O1522" s="62" t="s">
        <v>3856</v>
      </c>
      <c r="P1522" s="42" t="str">
        <f>+IF(O1522="","",IFERROR(VLOOKUP(O1522,CODIGO_DIAGNOSTICO,2,0),"CÓDIGO NO ENCONTRADO"))</f>
        <v>RAIZ DENTAL RETENIDA</v>
      </c>
      <c r="Q1522" s="62" t="s">
        <v>26059</v>
      </c>
      <c r="R1522" s="64"/>
      <c r="S1522" s="75"/>
      <c r="T1522" s="75"/>
      <c r="U1522" s="65"/>
      <c r="V1522" s="62"/>
      <c r="W1522" s="65"/>
      <c r="X1522" s="62"/>
      <c r="Y1522" s="65"/>
      <c r="Z1522" s="73"/>
    </row>
    <row r="1523" spans="1:26" ht="15.75" hidden="1" customHeight="1" x14ac:dyDescent="0.25">
      <c r="A1523" s="67">
        <v>3</v>
      </c>
      <c r="B1523" s="68">
        <v>98601485</v>
      </c>
      <c r="C1523" s="68" t="s">
        <v>25240</v>
      </c>
      <c r="D1523" s="68"/>
      <c r="E1523" s="68" t="s">
        <v>25241</v>
      </c>
      <c r="F1523" s="68" t="s">
        <v>25103</v>
      </c>
      <c r="G1523" s="81" t="s">
        <v>25328</v>
      </c>
      <c r="H1523" s="69">
        <v>46111</v>
      </c>
      <c r="I1523" s="69">
        <v>46140</v>
      </c>
      <c r="J1523" s="68">
        <v>30</v>
      </c>
      <c r="K1523" s="68">
        <v>30</v>
      </c>
      <c r="L1523" s="68" t="s">
        <v>19262</v>
      </c>
      <c r="M1523" s="68" t="s">
        <v>19262</v>
      </c>
      <c r="N1523" s="62" t="s">
        <v>19269</v>
      </c>
      <c r="O1523" s="68" t="s">
        <v>8419</v>
      </c>
      <c r="P1523" s="42" t="str">
        <f>+IF(O1523="","",IFERROR(VLOOKUP(O1523,CODIGO_DIAGNOSTICO,2,0),"CÓDIGO NO ENCONTRADO"))</f>
        <v>COMPLICACION MECANICA DE OTROS DISPOSITIVOS PROTESICOS, IMPLANTES E INJERTOS ORTOPEDICOS INTERNOS</v>
      </c>
      <c r="Q1523" s="68" t="s">
        <v>26059</v>
      </c>
      <c r="R1523" s="67"/>
      <c r="S1523" s="77"/>
      <c r="T1523" s="76"/>
      <c r="U1523" s="65"/>
      <c r="V1523" s="68"/>
      <c r="W1523" s="70"/>
      <c r="X1523" s="68"/>
      <c r="Y1523" s="70"/>
      <c r="Z1523" s="72"/>
    </row>
    <row r="1524" spans="1:26" ht="15.75" hidden="1" customHeight="1" x14ac:dyDescent="0.25">
      <c r="A1524" s="64">
        <v>3</v>
      </c>
      <c r="B1524" s="62">
        <v>43986499</v>
      </c>
      <c r="C1524" s="62" t="s">
        <v>26275</v>
      </c>
      <c r="D1524" s="62" t="s">
        <v>25634</v>
      </c>
      <c r="E1524" s="62" t="s">
        <v>25855</v>
      </c>
      <c r="F1524" s="62" t="s">
        <v>25232</v>
      </c>
      <c r="G1524" s="81" t="s">
        <v>26499</v>
      </c>
      <c r="H1524" s="63">
        <v>46111</v>
      </c>
      <c r="I1524" s="63">
        <v>46125</v>
      </c>
      <c r="J1524" s="62">
        <v>15</v>
      </c>
      <c r="K1524" s="62">
        <v>15</v>
      </c>
      <c r="L1524" s="62" t="s">
        <v>24995</v>
      </c>
      <c r="M1524" s="62" t="s">
        <v>24995</v>
      </c>
      <c r="N1524" s="62" t="s">
        <v>19269</v>
      </c>
      <c r="O1524" s="62" t="s">
        <v>1942</v>
      </c>
      <c r="P1524" s="42" t="str">
        <f>+IF(O1524="","",IFERROR(VLOOKUP(O1524,CODIGO_DIAGNOSTICO,2,0),"CÓDIGO NO ENCONTRADO"))</f>
        <v>OBESIDAD DEBIDA A EXCESO DE CALORIAS</v>
      </c>
      <c r="Q1524" s="62" t="s">
        <v>24976</v>
      </c>
      <c r="R1524" s="64"/>
      <c r="S1524" s="75"/>
      <c r="T1524" s="75"/>
      <c r="U1524" s="65"/>
      <c r="V1524" s="62"/>
      <c r="W1524" s="65"/>
      <c r="X1524" s="62"/>
      <c r="Y1524" s="65"/>
      <c r="Z1524" s="73"/>
    </row>
    <row r="1525" spans="1:26" ht="15.75" hidden="1" customHeight="1" x14ac:dyDescent="0.25">
      <c r="A1525" s="67">
        <v>3</v>
      </c>
      <c r="B1525" s="68">
        <v>1060266498</v>
      </c>
      <c r="C1525" s="68" t="s">
        <v>25034</v>
      </c>
      <c r="D1525" s="68" t="s">
        <v>25343</v>
      </c>
      <c r="E1525" s="68" t="s">
        <v>26454</v>
      </c>
      <c r="F1525" s="68"/>
      <c r="G1525" s="81" t="s">
        <v>19285</v>
      </c>
      <c r="H1525" s="69">
        <v>46112</v>
      </c>
      <c r="I1525" s="69">
        <v>46112</v>
      </c>
      <c r="J1525" s="68">
        <v>1</v>
      </c>
      <c r="K1525" s="68">
        <v>1</v>
      </c>
      <c r="L1525" s="68" t="s">
        <v>24995</v>
      </c>
      <c r="M1525" s="68" t="s">
        <v>24995</v>
      </c>
      <c r="N1525" s="62" t="s">
        <v>19269</v>
      </c>
      <c r="O1525" s="68" t="s">
        <v>3854</v>
      </c>
      <c r="P1525" s="42" t="str">
        <f>+IF(O1525="","",IFERROR(VLOOKUP(O1525,CODIGO_DIAGNOSTICO,2,0),"CÓDIGO NO ENCONTRADO"))</f>
        <v>PERDIDA DE DIENTES DEBIDA A ACCIDENTE, EXTRACCION O ENFERMEDAD PERIODONTAL LOCAL</v>
      </c>
      <c r="Q1525" s="68" t="s">
        <v>19230</v>
      </c>
      <c r="R1525" s="67"/>
      <c r="S1525" s="77"/>
      <c r="T1525" s="76"/>
      <c r="U1525" s="65"/>
      <c r="V1525" s="68"/>
      <c r="W1525" s="70"/>
      <c r="X1525" s="68"/>
      <c r="Y1525" s="70"/>
      <c r="Z1525" s="72"/>
    </row>
    <row r="1526" spans="1:26" ht="15.75" hidden="1" customHeight="1" x14ac:dyDescent="0.25">
      <c r="A1526" s="64">
        <v>4</v>
      </c>
      <c r="B1526" s="62">
        <v>98528134</v>
      </c>
      <c r="C1526" s="62" t="s">
        <v>25158</v>
      </c>
      <c r="D1526" s="62" t="s">
        <v>25159</v>
      </c>
      <c r="E1526" s="62" t="s">
        <v>19278</v>
      </c>
      <c r="F1526" s="62" t="s">
        <v>25028</v>
      </c>
      <c r="G1526" s="81" t="s">
        <v>19285</v>
      </c>
      <c r="H1526" s="63">
        <v>46112</v>
      </c>
      <c r="I1526" s="63">
        <v>46131</v>
      </c>
      <c r="J1526" s="62">
        <v>20</v>
      </c>
      <c r="K1526" s="62">
        <v>20</v>
      </c>
      <c r="L1526" s="62" t="s">
        <v>24995</v>
      </c>
      <c r="M1526" s="62" t="s">
        <v>24995</v>
      </c>
      <c r="N1526" s="62" t="s">
        <v>19269</v>
      </c>
      <c r="O1526" s="62" t="s">
        <v>983</v>
      </c>
      <c r="P1526" s="42" t="str">
        <f>+IF(O1526="","",IFERROR(VLOOKUP(O1526,CODIGO_DIAGNOSTICO,2,0),"CÓDIGO NO ENCONTRADO"))</f>
        <v>MELANOMA MALIGNO DEL TRONCO</v>
      </c>
      <c r="Q1526" s="62" t="s">
        <v>26059</v>
      </c>
      <c r="R1526" s="64"/>
      <c r="S1526" s="75"/>
      <c r="T1526" s="75"/>
      <c r="U1526" s="65"/>
      <c r="V1526" s="62"/>
      <c r="W1526" s="65"/>
      <c r="X1526" s="62"/>
      <c r="Y1526" s="65"/>
      <c r="Z1526" s="73"/>
    </row>
    <row r="1527" spans="1:26" ht="15.75" hidden="1" customHeight="1" x14ac:dyDescent="0.25">
      <c r="A1527" s="67">
        <v>4</v>
      </c>
      <c r="B1527" s="68">
        <v>1147957427</v>
      </c>
      <c r="C1527" s="68" t="s">
        <v>25401</v>
      </c>
      <c r="D1527" s="68" t="s">
        <v>25008</v>
      </c>
      <c r="E1527" s="68" t="s">
        <v>19256</v>
      </c>
      <c r="F1527" s="68" t="s">
        <v>25439</v>
      </c>
      <c r="G1527" s="81" t="s">
        <v>19285</v>
      </c>
      <c r="H1527" s="69">
        <v>46112</v>
      </c>
      <c r="I1527" s="69">
        <v>46141</v>
      </c>
      <c r="J1527" s="68">
        <v>30</v>
      </c>
      <c r="K1527" s="68">
        <v>30</v>
      </c>
      <c r="L1527" s="68" t="s">
        <v>19262</v>
      </c>
      <c r="M1527" s="68" t="s">
        <v>19262</v>
      </c>
      <c r="N1527" s="62" t="s">
        <v>19269</v>
      </c>
      <c r="O1527" s="68" t="s">
        <v>89</v>
      </c>
      <c r="P1527" s="42" t="str">
        <f>+IF(O1527="","",IFERROR(VLOOKUP(O1527,CODIGO_DIAGNOSTICO,2,0),"CÓDIGO NO ENCONTRADO"))</f>
        <v>TUBERCULOSIS DEL PULMON, CONFIRMADA POR HALLAZGO MICROSCOPICO DEL BACILO TUBERCULOSO EN ESPUTO, CON O SIN CULTIVO</v>
      </c>
      <c r="Q1527" s="68" t="s">
        <v>24996</v>
      </c>
      <c r="R1527" s="67"/>
      <c r="S1527" s="77"/>
      <c r="T1527" s="76"/>
      <c r="U1527" s="65"/>
      <c r="V1527" s="68"/>
      <c r="W1527" s="70"/>
      <c r="X1527" s="68"/>
      <c r="Y1527" s="70"/>
      <c r="Z1527" s="72"/>
    </row>
    <row r="1528" spans="1:26" ht="15.75" hidden="1" customHeight="1" x14ac:dyDescent="0.25">
      <c r="A1528" s="64">
        <v>4</v>
      </c>
      <c r="B1528" s="62">
        <v>15309929</v>
      </c>
      <c r="C1528" s="62" t="s">
        <v>25011</v>
      </c>
      <c r="D1528" s="62" t="s">
        <v>25012</v>
      </c>
      <c r="E1528" s="62" t="s">
        <v>25013</v>
      </c>
      <c r="F1528" s="62" t="s">
        <v>25014</v>
      </c>
      <c r="G1528" s="81" t="s">
        <v>19285</v>
      </c>
      <c r="H1528" s="63">
        <v>46113</v>
      </c>
      <c r="I1528" s="63">
        <v>46115</v>
      </c>
      <c r="J1528" s="62">
        <v>3</v>
      </c>
      <c r="K1528" s="62">
        <v>3</v>
      </c>
      <c r="L1528" s="62" t="s">
        <v>24995</v>
      </c>
      <c r="M1528" s="62" t="s">
        <v>24995</v>
      </c>
      <c r="N1528" s="62" t="s">
        <v>19269</v>
      </c>
      <c r="O1528" s="62" t="s">
        <v>4711</v>
      </c>
      <c r="P1528" s="42" t="str">
        <f>+IF(O1528="","",IFERROR(VLOOKUP(O1528,CODIGO_DIAGNOSTICO,2,0),"CÓDIGO NO ENCONTRADO"))</f>
        <v>DOLOR EN ARTICULACION</v>
      </c>
      <c r="Q1528" s="62" t="s">
        <v>26059</v>
      </c>
      <c r="R1528" s="64"/>
      <c r="S1528" s="75"/>
      <c r="T1528" s="75"/>
      <c r="U1528" s="65"/>
      <c r="V1528" s="62"/>
      <c r="W1528" s="65"/>
      <c r="X1528" s="62"/>
      <c r="Y1528" s="65"/>
      <c r="Z1528" s="73"/>
    </row>
    <row r="1529" spans="1:26" ht="15.75" hidden="1" customHeight="1" x14ac:dyDescent="0.25">
      <c r="A1529" s="67">
        <v>4</v>
      </c>
      <c r="B1529" s="68">
        <v>26988317</v>
      </c>
      <c r="C1529" s="68" t="s">
        <v>25034</v>
      </c>
      <c r="D1529" s="68" t="s">
        <v>26337</v>
      </c>
      <c r="E1529" s="68" t="s">
        <v>26455</v>
      </c>
      <c r="F1529" s="68" t="s">
        <v>26551</v>
      </c>
      <c r="G1529" s="81" t="s">
        <v>19285</v>
      </c>
      <c r="H1529" s="69">
        <v>46113</v>
      </c>
      <c r="I1529" s="69">
        <v>46120</v>
      </c>
      <c r="J1529" s="68">
        <v>2</v>
      </c>
      <c r="K1529" s="68">
        <v>2</v>
      </c>
      <c r="L1529" s="68" t="s">
        <v>24995</v>
      </c>
      <c r="M1529" s="68" t="s">
        <v>24995</v>
      </c>
      <c r="N1529" s="62" t="s">
        <v>19269</v>
      </c>
      <c r="O1529" s="68" t="s">
        <v>12288</v>
      </c>
      <c r="P1529" s="42" t="str">
        <f>+IF(O1529="","",IFERROR(VLOOKUP(O1529,CODIGO_DIAGNOSTICO,2,0),"CÓDIGO NO ENCONTRADO"))</f>
        <v>PERSONA EN CONTACTO CON LOS SERVICIOS DE SALUD EN CIRCUNSTANCIAS NO ESPECIFICADAS</v>
      </c>
      <c r="Q1529" s="68" t="s">
        <v>24976</v>
      </c>
      <c r="R1529" s="67"/>
      <c r="S1529" s="77"/>
      <c r="T1529" s="76"/>
      <c r="U1529" s="65"/>
      <c r="V1529" s="68"/>
      <c r="W1529" s="70"/>
      <c r="X1529" s="68"/>
      <c r="Y1529" s="70"/>
      <c r="Z1529" s="72"/>
    </row>
    <row r="1530" spans="1:26" ht="15.75" hidden="1" customHeight="1" x14ac:dyDescent="0.25">
      <c r="A1530" s="64">
        <v>4</v>
      </c>
      <c r="B1530" s="62">
        <v>71701610</v>
      </c>
      <c r="C1530" s="62" t="s">
        <v>25634</v>
      </c>
      <c r="D1530" s="62" t="s">
        <v>25509</v>
      </c>
      <c r="E1530" s="62" t="s">
        <v>25739</v>
      </c>
      <c r="F1530" s="62" t="s">
        <v>25051</v>
      </c>
      <c r="G1530" s="81" t="s">
        <v>19285</v>
      </c>
      <c r="H1530" s="63">
        <v>46113</v>
      </c>
      <c r="I1530" s="63">
        <v>46142</v>
      </c>
      <c r="J1530" s="62">
        <v>30</v>
      </c>
      <c r="K1530" s="62">
        <v>30</v>
      </c>
      <c r="L1530" s="62" t="s">
        <v>19262</v>
      </c>
      <c r="M1530" s="62" t="s">
        <v>19262</v>
      </c>
      <c r="N1530" s="62" t="s">
        <v>19269</v>
      </c>
      <c r="O1530" s="62" t="s">
        <v>3238</v>
      </c>
      <c r="P1530" s="42" t="str">
        <f>+IF(O1530="","",IFERROR(VLOOKUP(O1530,CODIGO_DIAGNOSTICO,2,0),"CÓDIGO NO ENCONTRADO"))</f>
        <v>INFARTO SUBSECUENTE DEL MIOCARDIO DE PARTE NO ESPECIFICADA</v>
      </c>
      <c r="Q1530" s="62" t="s">
        <v>26339</v>
      </c>
      <c r="R1530" s="64"/>
      <c r="S1530" s="75"/>
      <c r="T1530" s="75"/>
      <c r="U1530" s="65"/>
      <c r="V1530" s="62"/>
      <c r="W1530" s="65"/>
      <c r="X1530" s="62"/>
      <c r="Y1530" s="65"/>
      <c r="Z1530" s="73"/>
    </row>
    <row r="1531" spans="1:26" ht="15.75" hidden="1" customHeight="1" x14ac:dyDescent="0.25">
      <c r="A1531" s="67">
        <v>4</v>
      </c>
      <c r="B1531" s="68">
        <v>78726139</v>
      </c>
      <c r="C1531" s="68" t="s">
        <v>25269</v>
      </c>
      <c r="D1531" s="68" t="s">
        <v>25696</v>
      </c>
      <c r="E1531" s="68" t="s">
        <v>26550</v>
      </c>
      <c r="F1531" s="68" t="s">
        <v>25099</v>
      </c>
      <c r="G1531" s="81" t="s">
        <v>19285</v>
      </c>
      <c r="H1531" s="69">
        <v>46116</v>
      </c>
      <c r="I1531" s="69">
        <v>46116</v>
      </c>
      <c r="J1531" s="68">
        <v>1</v>
      </c>
      <c r="K1531" s="68">
        <v>1</v>
      </c>
      <c r="L1531" s="68" t="s">
        <v>24995</v>
      </c>
      <c r="M1531" s="68" t="s">
        <v>24995</v>
      </c>
      <c r="N1531" s="62" t="s">
        <v>19269</v>
      </c>
      <c r="O1531" s="68" t="s">
        <v>3575</v>
      </c>
      <c r="P1531" s="42" t="str">
        <f>+IF(O1531="","",IFERROR(VLOOKUP(O1531,CODIGO_DIAGNOSTICO,2,0),"CÓDIGO NO ENCONTRADO"))</f>
        <v>AMIGDALITIS AGUDA, NO ESPECIFICADA</v>
      </c>
      <c r="Q1531" s="68" t="s">
        <v>26059</v>
      </c>
      <c r="R1531" s="67"/>
      <c r="S1531" s="77"/>
      <c r="T1531" s="76"/>
      <c r="U1531" s="65"/>
      <c r="V1531" s="68"/>
      <c r="W1531" s="70"/>
      <c r="X1531" s="68"/>
      <c r="Y1531" s="70"/>
      <c r="Z1531" s="72"/>
    </row>
    <row r="1532" spans="1:26" ht="15.75" hidden="1" customHeight="1" x14ac:dyDescent="0.25">
      <c r="A1532" s="64">
        <v>4</v>
      </c>
      <c r="B1532" s="62">
        <v>43260673</v>
      </c>
      <c r="C1532" s="62" t="s">
        <v>25132</v>
      </c>
      <c r="D1532" s="62" t="s">
        <v>25420</v>
      </c>
      <c r="E1532" s="62" t="s">
        <v>26544</v>
      </c>
      <c r="F1532" s="62" t="s">
        <v>25258</v>
      </c>
      <c r="G1532" s="81" t="s">
        <v>19285</v>
      </c>
      <c r="H1532" s="63">
        <v>46116</v>
      </c>
      <c r="I1532" s="63">
        <v>46118</v>
      </c>
      <c r="J1532" s="62">
        <v>3</v>
      </c>
      <c r="K1532" s="62">
        <v>3</v>
      </c>
      <c r="L1532" s="62" t="s">
        <v>24995</v>
      </c>
      <c r="M1532" s="62" t="s">
        <v>24995</v>
      </c>
      <c r="N1532" s="62" t="s">
        <v>19263</v>
      </c>
      <c r="O1532" s="62" t="s">
        <v>7713</v>
      </c>
      <c r="P1532" s="42" t="str">
        <f>+IF(O1532="","",IFERROR(VLOOKUP(O1532,CODIGO_DIAGNOSTICO,2,0),"CÓDIGO NO ENCONTRADO"))</f>
        <v>CONTUSION DE LA RODILLA</v>
      </c>
      <c r="Q1532" s="62" t="s">
        <v>25001</v>
      </c>
      <c r="R1532" s="64"/>
      <c r="S1532" s="75"/>
      <c r="T1532" s="75"/>
      <c r="U1532" s="65"/>
      <c r="V1532" s="62"/>
      <c r="W1532" s="65"/>
      <c r="X1532" s="62"/>
      <c r="Y1532" s="65"/>
      <c r="Z1532" s="73"/>
    </row>
    <row r="1533" spans="1:26" ht="15.75" hidden="1" customHeight="1" x14ac:dyDescent="0.25">
      <c r="A1533" s="67">
        <v>4</v>
      </c>
      <c r="B1533" s="68">
        <v>21532552</v>
      </c>
      <c r="C1533" s="68" t="s">
        <v>25247</v>
      </c>
      <c r="D1533" s="68" t="s">
        <v>25459</v>
      </c>
      <c r="E1533" s="68" t="s">
        <v>25565</v>
      </c>
      <c r="F1533" s="68" t="s">
        <v>25566</v>
      </c>
      <c r="G1533" s="81" t="s">
        <v>19285</v>
      </c>
      <c r="H1533" s="69">
        <v>46116</v>
      </c>
      <c r="I1533" s="69">
        <v>46117</v>
      </c>
      <c r="J1533" s="68">
        <v>2</v>
      </c>
      <c r="K1533" s="68">
        <v>2</v>
      </c>
      <c r="L1533" s="68" t="s">
        <v>24995</v>
      </c>
      <c r="M1533" s="68" t="s">
        <v>24995</v>
      </c>
      <c r="N1533" s="62" t="s">
        <v>19269</v>
      </c>
      <c r="O1533" s="68" t="s">
        <v>4050</v>
      </c>
      <c r="P1533" s="42" t="str">
        <f>+IF(O1533="","",IFERROR(VLOOKUP(O1533,CODIGO_DIAGNOSTICO,2,0),"CÓDIGO NO ENCONTRADO"))</f>
        <v>CONSTIPACION</v>
      </c>
      <c r="Q1533" s="68" t="s">
        <v>26059</v>
      </c>
      <c r="R1533" s="67"/>
      <c r="S1533" s="77"/>
      <c r="T1533" s="76"/>
      <c r="U1533" s="65"/>
      <c r="V1533" s="68"/>
      <c r="W1533" s="70"/>
      <c r="X1533" s="68"/>
      <c r="Y1533" s="70"/>
      <c r="Z1533" s="72"/>
    </row>
    <row r="1534" spans="1:26" ht="15.75" hidden="1" customHeight="1" x14ac:dyDescent="0.25">
      <c r="A1534" s="64">
        <v>4</v>
      </c>
      <c r="B1534" s="62">
        <v>71692130</v>
      </c>
      <c r="C1534" s="62" t="s">
        <v>25561</v>
      </c>
      <c r="D1534" s="62" t="s">
        <v>26529</v>
      </c>
      <c r="E1534" s="62" t="s">
        <v>25455</v>
      </c>
      <c r="F1534" s="62" t="s">
        <v>25213</v>
      </c>
      <c r="G1534" s="81" t="s">
        <v>19285</v>
      </c>
      <c r="H1534" s="63">
        <v>46119</v>
      </c>
      <c r="I1534" s="63">
        <v>46127</v>
      </c>
      <c r="J1534" s="62">
        <v>9</v>
      </c>
      <c r="K1534" s="62">
        <v>9</v>
      </c>
      <c r="L1534" s="62" t="s">
        <v>19262</v>
      </c>
      <c r="M1534" s="62" t="s">
        <v>19262</v>
      </c>
      <c r="N1534" s="62" t="s">
        <v>19269</v>
      </c>
      <c r="O1534" s="62" t="s">
        <v>7734</v>
      </c>
      <c r="P1534" s="42" t="str">
        <f>+IF(O1534="","",IFERROR(VLOOKUP(O1534,CODIGO_DIAGNOSTICO,2,0),"CÓDIGO NO ENCONTRADO"))</f>
        <v>DESGARRO DE MENISCOS, PRESENTE</v>
      </c>
      <c r="Q1534" s="62" t="s">
        <v>26059</v>
      </c>
      <c r="R1534" s="64"/>
      <c r="S1534" s="75"/>
      <c r="T1534" s="75"/>
      <c r="U1534" s="65"/>
      <c r="V1534" s="62"/>
      <c r="W1534" s="65"/>
      <c r="X1534" s="62"/>
      <c r="Y1534" s="65"/>
      <c r="Z1534" s="73"/>
    </row>
    <row r="1535" spans="1:26" ht="15.75" hidden="1" customHeight="1" x14ac:dyDescent="0.25">
      <c r="A1535" s="67">
        <v>4</v>
      </c>
      <c r="B1535" s="68">
        <v>15609339</v>
      </c>
      <c r="C1535" s="68" t="s">
        <v>25034</v>
      </c>
      <c r="D1535" s="68" t="s">
        <v>25053</v>
      </c>
      <c r="E1535" s="68" t="s">
        <v>26556</v>
      </c>
      <c r="F1535" s="68" t="s">
        <v>26557</v>
      </c>
      <c r="G1535" s="81" t="s">
        <v>19285</v>
      </c>
      <c r="H1535" s="69">
        <v>46119</v>
      </c>
      <c r="I1535" s="69">
        <v>46121</v>
      </c>
      <c r="J1535" s="68">
        <v>3</v>
      </c>
      <c r="K1535" s="68">
        <v>3</v>
      </c>
      <c r="L1535" s="68" t="s">
        <v>24995</v>
      </c>
      <c r="M1535" s="68" t="s">
        <v>24995</v>
      </c>
      <c r="N1535" s="62" t="s">
        <v>19269</v>
      </c>
      <c r="O1535" s="68" t="s">
        <v>5226</v>
      </c>
      <c r="P1535" s="42" t="str">
        <f>+IF(O1535="","",IFERROR(VLOOKUP(O1535,CODIGO_DIAGNOSTICO,2,0),"CÓDIGO NO ENCONTRADO"))</f>
        <v>COLICO RENAL, NO ESPECIFICADO</v>
      </c>
      <c r="Q1535" s="68" t="s">
        <v>19230</v>
      </c>
      <c r="R1535" s="67"/>
      <c r="S1535" s="77"/>
      <c r="T1535" s="76"/>
      <c r="U1535" s="65"/>
      <c r="V1535" s="68"/>
      <c r="W1535" s="70"/>
      <c r="X1535" s="68"/>
      <c r="Y1535" s="70"/>
      <c r="Z1535" s="72"/>
    </row>
    <row r="1536" spans="1:26" ht="15.75" hidden="1" customHeight="1" x14ac:dyDescent="0.25">
      <c r="A1536" s="64">
        <v>4</v>
      </c>
      <c r="B1536" s="62">
        <v>71382103</v>
      </c>
      <c r="C1536" s="62" t="s">
        <v>25776</v>
      </c>
      <c r="D1536" s="62" t="s">
        <v>25968</v>
      </c>
      <c r="E1536" s="62" t="s">
        <v>25198</v>
      </c>
      <c r="F1536" s="62" t="s">
        <v>25276</v>
      </c>
      <c r="G1536" s="81" t="s">
        <v>19285</v>
      </c>
      <c r="H1536" s="63">
        <v>46120</v>
      </c>
      <c r="I1536" s="63">
        <v>46134</v>
      </c>
      <c r="J1536" s="62">
        <v>15</v>
      </c>
      <c r="K1536" s="62">
        <v>15</v>
      </c>
      <c r="L1536" s="62" t="s">
        <v>19262</v>
      </c>
      <c r="M1536" s="62" t="s">
        <v>19262</v>
      </c>
      <c r="N1536" s="62" t="s">
        <v>19269</v>
      </c>
      <c r="O1536" s="62" t="s">
        <v>7734</v>
      </c>
      <c r="P1536" s="42" t="str">
        <f>+IF(O1536="","",IFERROR(VLOOKUP(O1536,CODIGO_DIAGNOSTICO,2,0),"CÓDIGO NO ENCONTRADO"))</f>
        <v>DESGARRO DE MENISCOS, PRESENTE</v>
      </c>
      <c r="Q1536" s="62" t="s">
        <v>26059</v>
      </c>
      <c r="R1536" s="64"/>
      <c r="S1536" s="75"/>
      <c r="T1536" s="75"/>
      <c r="U1536" s="65"/>
      <c r="V1536" s="62"/>
      <c r="W1536" s="65"/>
      <c r="X1536" s="62"/>
      <c r="Y1536" s="65"/>
      <c r="Z1536" s="73"/>
    </row>
    <row r="1537" spans="1:26" ht="15.75" hidden="1" customHeight="1" x14ac:dyDescent="0.25">
      <c r="A1537" s="67">
        <v>4</v>
      </c>
      <c r="B1537" s="68">
        <v>1214737996</v>
      </c>
      <c r="C1537" s="68" t="s">
        <v>25604</v>
      </c>
      <c r="D1537" s="68" t="s">
        <v>25969</v>
      </c>
      <c r="E1537" s="68" t="s">
        <v>26338</v>
      </c>
      <c r="F1537" s="68" t="s">
        <v>25755</v>
      </c>
      <c r="G1537" s="81" t="s">
        <v>19285</v>
      </c>
      <c r="H1537" s="69">
        <v>46120</v>
      </c>
      <c r="I1537" s="69">
        <v>46134</v>
      </c>
      <c r="J1537" s="68">
        <v>15</v>
      </c>
      <c r="K1537" s="68">
        <v>15</v>
      </c>
      <c r="L1537" s="68" t="s">
        <v>19262</v>
      </c>
      <c r="M1537" s="68" t="s">
        <v>19262</v>
      </c>
      <c r="N1537" s="62" t="s">
        <v>19269</v>
      </c>
      <c r="O1537" s="68" t="s">
        <v>7723</v>
      </c>
      <c r="P1537" s="42" t="str">
        <f>+IF(O1537="","",IFERROR(VLOOKUP(O1537,CODIGO_DIAGNOSTICO,2,0),"CÓDIGO NO ENCONTRADO"))</f>
        <v>FRACTURA DE LA EPIFISIS SUPERIOR DE LA TIBIA</v>
      </c>
      <c r="Q1537" s="68" t="s">
        <v>26339</v>
      </c>
      <c r="R1537" s="67"/>
      <c r="S1537" s="77"/>
      <c r="T1537" s="76"/>
      <c r="U1537" s="65"/>
      <c r="V1537" s="68"/>
      <c r="W1537" s="70"/>
      <c r="X1537" s="68"/>
      <c r="Y1537" s="70"/>
      <c r="Z1537" s="72"/>
    </row>
    <row r="1538" spans="1:26" ht="15.75" hidden="1" customHeight="1" x14ac:dyDescent="0.25">
      <c r="A1538" s="64">
        <v>4</v>
      </c>
      <c r="B1538" s="62">
        <v>1099682488</v>
      </c>
      <c r="C1538" s="62" t="s">
        <v>26446</v>
      </c>
      <c r="D1538" s="62" t="s">
        <v>26552</v>
      </c>
      <c r="E1538" s="62" t="s">
        <v>25490</v>
      </c>
      <c r="F1538" s="62" t="s">
        <v>26428</v>
      </c>
      <c r="G1538" s="81" t="s">
        <v>19285</v>
      </c>
      <c r="H1538" s="63">
        <v>46121</v>
      </c>
      <c r="I1538" s="63">
        <v>46125</v>
      </c>
      <c r="J1538" s="62">
        <v>5</v>
      </c>
      <c r="K1538" s="62">
        <v>5</v>
      </c>
      <c r="L1538" s="62" t="s">
        <v>24995</v>
      </c>
      <c r="M1538" s="62" t="s">
        <v>24995</v>
      </c>
      <c r="N1538" s="62" t="s">
        <v>19269</v>
      </c>
      <c r="O1538" s="62" t="s">
        <v>7794</v>
      </c>
      <c r="P1538" s="42" t="str">
        <f>+IF(O1538="","",IFERROR(VLOOKUP(O1538,CODIGO_DIAGNOSTICO,2,0),"CÓDIGO NO ENCONTRADO"))</f>
        <v>ESGUINCES Y TORCEDURAS DEL TOBILLO</v>
      </c>
      <c r="Q1538" s="62" t="s">
        <v>26059</v>
      </c>
      <c r="R1538" s="64"/>
      <c r="S1538" s="75"/>
      <c r="T1538" s="75"/>
      <c r="U1538" s="65"/>
      <c r="V1538" s="62"/>
      <c r="W1538" s="65"/>
      <c r="X1538" s="62"/>
      <c r="Y1538" s="65"/>
      <c r="Z1538" s="73"/>
    </row>
    <row r="1539" spans="1:26" ht="15.75" hidden="1" customHeight="1" x14ac:dyDescent="0.25">
      <c r="A1539" s="67">
        <v>4</v>
      </c>
      <c r="B1539" s="68">
        <v>98648253</v>
      </c>
      <c r="C1539" s="68" t="s">
        <v>25343</v>
      </c>
      <c r="D1539" s="68" t="s">
        <v>25462</v>
      </c>
      <c r="E1539" s="68" t="s">
        <v>25483</v>
      </c>
      <c r="F1539" s="68" t="s">
        <v>25110</v>
      </c>
      <c r="G1539" s="81" t="s">
        <v>19285</v>
      </c>
      <c r="H1539" s="69">
        <v>46122</v>
      </c>
      <c r="I1539" s="69">
        <v>46136</v>
      </c>
      <c r="J1539" s="68">
        <v>15</v>
      </c>
      <c r="K1539" s="68">
        <v>15</v>
      </c>
      <c r="L1539" s="68" t="s">
        <v>19262</v>
      </c>
      <c r="M1539" s="68" t="s">
        <v>19262</v>
      </c>
      <c r="N1539" s="62" t="s">
        <v>19269</v>
      </c>
      <c r="O1539" s="68" t="s">
        <v>4128</v>
      </c>
      <c r="P1539" s="42" t="str">
        <f>+IF(O1539="","",IFERROR(VLOOKUP(O1539,CODIGO_DIAGNOSTICO,2,0),"CÓDIGO NO ENCONTRADO"))</f>
        <v>OTRAS CIRROSIS DEL HIGADO Y LA NO ESPECIFICADAS</v>
      </c>
      <c r="Q1539" s="68" t="s">
        <v>26059</v>
      </c>
      <c r="R1539" s="67"/>
      <c r="S1539" s="77"/>
      <c r="T1539" s="76"/>
      <c r="U1539" s="65"/>
      <c r="V1539" s="68"/>
      <c r="W1539" s="70"/>
      <c r="X1539" s="68"/>
      <c r="Y1539" s="70"/>
      <c r="Z1539" s="72"/>
    </row>
    <row r="1540" spans="1:26" ht="15.75" hidden="1" customHeight="1" x14ac:dyDescent="0.25">
      <c r="A1540" s="64">
        <v>4</v>
      </c>
      <c r="B1540" s="62">
        <v>98648253</v>
      </c>
      <c r="C1540" s="62" t="s">
        <v>25343</v>
      </c>
      <c r="D1540" s="62" t="s">
        <v>25462</v>
      </c>
      <c r="E1540" s="62" t="s">
        <v>25483</v>
      </c>
      <c r="F1540" s="62" t="s">
        <v>25110</v>
      </c>
      <c r="G1540" s="81" t="s">
        <v>19285</v>
      </c>
      <c r="H1540" s="63">
        <v>46123</v>
      </c>
      <c r="I1540" s="63">
        <v>46136</v>
      </c>
      <c r="J1540" s="62">
        <v>14</v>
      </c>
      <c r="K1540" s="62">
        <v>14</v>
      </c>
      <c r="L1540" s="62" t="s">
        <v>19262</v>
      </c>
      <c r="M1540" s="62" t="s">
        <v>19262</v>
      </c>
      <c r="N1540" s="62" t="s">
        <v>19269</v>
      </c>
      <c r="O1540" s="62" t="s">
        <v>2004</v>
      </c>
      <c r="P1540" s="42" t="str">
        <f>+IF(O1540="","",IFERROR(VLOOKUP(O1540,CODIGO_DIAGNOSTICO,2,0),"CÓDIGO NO ENCONTRADO"))</f>
        <v>HIPERLIPIDEMIA NO ESPECIFICADA</v>
      </c>
      <c r="Q1540" s="62" t="s">
        <v>26059</v>
      </c>
      <c r="R1540" s="64"/>
      <c r="S1540" s="75"/>
      <c r="T1540" s="75"/>
      <c r="U1540" s="65"/>
      <c r="V1540" s="62"/>
      <c r="W1540" s="65"/>
      <c r="X1540" s="62"/>
      <c r="Y1540" s="65"/>
      <c r="Z1540" s="73"/>
    </row>
    <row r="1541" spans="1:26" ht="15.75" hidden="1" customHeight="1" x14ac:dyDescent="0.25">
      <c r="A1541" s="67">
        <v>4</v>
      </c>
      <c r="B1541" s="68">
        <v>3985121</v>
      </c>
      <c r="C1541" s="68" t="s">
        <v>26565</v>
      </c>
      <c r="D1541" s="68"/>
      <c r="E1541" s="68" t="s">
        <v>25150</v>
      </c>
      <c r="F1541" s="68"/>
      <c r="G1541" s="81" t="s">
        <v>19285</v>
      </c>
      <c r="H1541" s="69">
        <v>46125</v>
      </c>
      <c r="I1541" s="69">
        <v>46154</v>
      </c>
      <c r="J1541" s="68">
        <v>30</v>
      </c>
      <c r="K1541" s="68">
        <v>30</v>
      </c>
      <c r="L1541" s="68" t="s">
        <v>24995</v>
      </c>
      <c r="M1541" s="68" t="s">
        <v>19262</v>
      </c>
      <c r="N1541" s="62" t="s">
        <v>19269</v>
      </c>
      <c r="O1541" s="68" t="s">
        <v>7724</v>
      </c>
      <c r="P1541" s="42" t="str">
        <f>+IF(O1541="","",IFERROR(VLOOKUP(O1541,CODIGO_DIAGNOSTICO,2,0),"CÓDIGO NO ENCONTRADO"))</f>
        <v>FRACTURA DE LA DIAFISIS DE LA TIBIA</v>
      </c>
      <c r="Q1541" s="68" t="s">
        <v>25025</v>
      </c>
      <c r="R1541" s="67"/>
      <c r="S1541" s="77"/>
      <c r="T1541" s="76"/>
      <c r="U1541" s="65"/>
      <c r="V1541" s="68"/>
      <c r="W1541" s="70"/>
      <c r="X1541" s="68"/>
      <c r="Y1541" s="70"/>
      <c r="Z1541" s="72"/>
    </row>
    <row r="1542" spans="1:26" ht="15.75" hidden="1" customHeight="1" x14ac:dyDescent="0.25">
      <c r="A1542" s="64">
        <v>4</v>
      </c>
      <c r="B1542" s="62">
        <v>70108742</v>
      </c>
      <c r="C1542" s="62" t="s">
        <v>25075</v>
      </c>
      <c r="D1542" s="62" t="s">
        <v>25510</v>
      </c>
      <c r="E1542" s="62" t="s">
        <v>25884</v>
      </c>
      <c r="F1542" s="62"/>
      <c r="G1542" s="81" t="s">
        <v>19285</v>
      </c>
      <c r="H1542" s="63">
        <v>46125</v>
      </c>
      <c r="I1542" s="63">
        <v>46154</v>
      </c>
      <c r="J1542" s="62">
        <v>30</v>
      </c>
      <c r="K1542" s="62">
        <v>30</v>
      </c>
      <c r="L1542" s="62" t="s">
        <v>19262</v>
      </c>
      <c r="M1542" s="62" t="s">
        <v>19262</v>
      </c>
      <c r="N1542" s="62" t="s">
        <v>19269</v>
      </c>
      <c r="O1542" s="62" t="s">
        <v>954</v>
      </c>
      <c r="P1542" s="42" t="str">
        <f>+IF(O1542="","",IFERROR(VLOOKUP(O1542,CODIGO_DIAGNOSTICO,2,0),"CÓDIGO NO ENCONTRADO"))</f>
        <v>TUMOR MALIGNO DE LOS BRONQUIOS O DEL PULMON, PARTE NO ESPECIFICADA</v>
      </c>
      <c r="Q1542" s="62" t="s">
        <v>26059</v>
      </c>
      <c r="R1542" s="64"/>
      <c r="S1542" s="75"/>
      <c r="T1542" s="75"/>
      <c r="U1542" s="65"/>
      <c r="V1542" s="62"/>
      <c r="W1542" s="65"/>
      <c r="X1542" s="62"/>
      <c r="Y1542" s="65"/>
      <c r="Z1542" s="73"/>
    </row>
    <row r="1543" spans="1:26" ht="15.75" hidden="1" customHeight="1" x14ac:dyDescent="0.25">
      <c r="A1543" s="67">
        <v>4</v>
      </c>
      <c r="B1543" s="68">
        <v>1128420512</v>
      </c>
      <c r="C1543" s="68" t="s">
        <v>24987</v>
      </c>
      <c r="D1543" s="68" t="s">
        <v>25661</v>
      </c>
      <c r="E1543" s="68" t="s">
        <v>26553</v>
      </c>
      <c r="F1543" s="68"/>
      <c r="G1543" s="81" t="s">
        <v>26554</v>
      </c>
      <c r="H1543" s="69">
        <v>46126</v>
      </c>
      <c r="I1543" s="69">
        <v>46130</v>
      </c>
      <c r="J1543" s="68">
        <v>5</v>
      </c>
      <c r="K1543" s="68">
        <v>5</v>
      </c>
      <c r="L1543" s="68" t="s">
        <v>24995</v>
      </c>
      <c r="M1543" s="68" t="s">
        <v>24995</v>
      </c>
      <c r="N1543" s="62" t="s">
        <v>19269</v>
      </c>
      <c r="O1543" s="68" t="s">
        <v>2633</v>
      </c>
      <c r="P1543" s="42" t="str">
        <f>+IF(O1543="","",IFERROR(VLOOKUP(O1543,CODIGO_DIAGNOSTICO,2,0),"CÓDIGO NO ENCONTRADO"))</f>
        <v>TRASTORNOS DEL NERVIO FACIAL, NO ESPECIFICADO</v>
      </c>
      <c r="Q1543" s="68" t="s">
        <v>24976</v>
      </c>
      <c r="R1543" s="67"/>
      <c r="S1543" s="77"/>
      <c r="T1543" s="76"/>
      <c r="U1543" s="65"/>
      <c r="V1543" s="68"/>
      <c r="W1543" s="70"/>
      <c r="X1543" s="68"/>
      <c r="Y1543" s="70"/>
      <c r="Z1543" s="72"/>
    </row>
    <row r="1544" spans="1:26" ht="15.75" hidden="1" customHeight="1" x14ac:dyDescent="0.25">
      <c r="A1544" s="64">
        <v>4</v>
      </c>
      <c r="B1544" s="62">
        <v>32143746</v>
      </c>
      <c r="C1544" s="62" t="s">
        <v>25373</v>
      </c>
      <c r="D1544" s="62" t="s">
        <v>25034</v>
      </c>
      <c r="E1544" s="62" t="s">
        <v>26070</v>
      </c>
      <c r="F1544" s="62" t="s">
        <v>26071</v>
      </c>
      <c r="G1544" s="81" t="s">
        <v>19285</v>
      </c>
      <c r="H1544" s="63">
        <v>46126</v>
      </c>
      <c r="I1544" s="63">
        <v>46128</v>
      </c>
      <c r="J1544" s="62">
        <v>3</v>
      </c>
      <c r="K1544" s="62">
        <v>3</v>
      </c>
      <c r="L1544" s="62" t="s">
        <v>24995</v>
      </c>
      <c r="M1544" s="62" t="s">
        <v>24995</v>
      </c>
      <c r="N1544" s="62" t="s">
        <v>19269</v>
      </c>
      <c r="O1544" s="62" t="s">
        <v>4837</v>
      </c>
      <c r="P1544" s="42" t="str">
        <f>+IF(O1544="","",IFERROR(VLOOKUP(O1544,CODIGO_DIAGNOSTICO,2,0),"CÓDIGO NO ENCONTRADO"))</f>
        <v>LUMBAGO CON CIATICA</v>
      </c>
      <c r="Q1544" s="62" t="s">
        <v>26059</v>
      </c>
      <c r="R1544" s="64"/>
      <c r="S1544" s="75"/>
      <c r="T1544" s="75"/>
      <c r="U1544" s="65"/>
      <c r="V1544" s="62"/>
      <c r="W1544" s="65"/>
      <c r="X1544" s="62"/>
      <c r="Y1544" s="65"/>
      <c r="Z1544" s="73"/>
    </row>
    <row r="1545" spans="1:26" ht="15.75" hidden="1" customHeight="1" x14ac:dyDescent="0.25">
      <c r="A1545" s="67">
        <v>4</v>
      </c>
      <c r="B1545" s="68">
        <v>1020459110</v>
      </c>
      <c r="C1545" s="68" t="s">
        <v>25306</v>
      </c>
      <c r="D1545" s="68" t="s">
        <v>25159</v>
      </c>
      <c r="E1545" s="68" t="s">
        <v>26539</v>
      </c>
      <c r="F1545" s="68" t="s">
        <v>26540</v>
      </c>
      <c r="G1545" s="81" t="s">
        <v>26568</v>
      </c>
      <c r="H1545" s="69">
        <v>46126</v>
      </c>
      <c r="I1545" s="69">
        <v>46132</v>
      </c>
      <c r="J1545" s="68">
        <v>7</v>
      </c>
      <c r="K1545" s="68">
        <v>7</v>
      </c>
      <c r="L1545" s="68" t="s">
        <v>24995</v>
      </c>
      <c r="M1545" s="68" t="s">
        <v>24995</v>
      </c>
      <c r="N1545" s="62" t="s">
        <v>19269</v>
      </c>
      <c r="O1545" s="68" t="s">
        <v>2270</v>
      </c>
      <c r="P1545" s="42" t="str">
        <f>+IF(O1545="","",IFERROR(VLOOKUP(O1545,CODIGO_DIAGNOSTICO,2,0),"CÓDIGO NO ENCONTRADO"))</f>
        <v>TRASTORNO DE PANICO [ANSIEDAD PAROXISTICA EPISODICA]</v>
      </c>
      <c r="Q1545" s="68" t="s">
        <v>26059</v>
      </c>
      <c r="R1545" s="67"/>
      <c r="S1545" s="77"/>
      <c r="T1545" s="76"/>
      <c r="U1545" s="65"/>
      <c r="V1545" s="68"/>
      <c r="W1545" s="70"/>
      <c r="X1545" s="68"/>
      <c r="Y1545" s="70"/>
      <c r="Z1545" s="72"/>
    </row>
    <row r="1546" spans="1:26" ht="15.75" hidden="1" customHeight="1" x14ac:dyDescent="0.25">
      <c r="A1546" s="64">
        <v>4</v>
      </c>
      <c r="B1546" s="62">
        <v>70725637</v>
      </c>
      <c r="C1546" s="62" t="s">
        <v>25443</v>
      </c>
      <c r="D1546" s="62" t="s">
        <v>25030</v>
      </c>
      <c r="E1546" s="62" t="s">
        <v>25558</v>
      </c>
      <c r="F1546" s="62" t="s">
        <v>25103</v>
      </c>
      <c r="G1546" s="81" t="s">
        <v>19285</v>
      </c>
      <c r="H1546" s="63">
        <v>46127</v>
      </c>
      <c r="I1546" s="63">
        <v>46130</v>
      </c>
      <c r="J1546" s="62">
        <v>4</v>
      </c>
      <c r="K1546" s="62">
        <v>4</v>
      </c>
      <c r="L1546" s="62" t="s">
        <v>24995</v>
      </c>
      <c r="M1546" s="62" t="s">
        <v>24995</v>
      </c>
      <c r="N1546" s="62" t="s">
        <v>19269</v>
      </c>
      <c r="O1546" s="62" t="s">
        <v>7307</v>
      </c>
      <c r="P1546" s="42" t="str">
        <f>+IF(O1546="","",IFERROR(VLOOKUP(O1546,CODIGO_DIAGNOSTICO,2,0),"CÓDIGO NO ENCONTRADO"))</f>
        <v>TRAUMATISMO DE LA CABEZA, NO ESPECIFICADO</v>
      </c>
      <c r="Q1546" s="62" t="s">
        <v>26059</v>
      </c>
      <c r="R1546" s="64"/>
      <c r="S1546" s="75"/>
      <c r="T1546" s="75"/>
      <c r="U1546" s="65"/>
      <c r="V1546" s="62"/>
      <c r="W1546" s="65"/>
      <c r="X1546" s="62"/>
      <c r="Y1546" s="65"/>
      <c r="Z1546" s="73"/>
    </row>
    <row r="1547" spans="1:26" ht="15.75" hidden="1" customHeight="1" x14ac:dyDescent="0.25">
      <c r="A1547" s="67">
        <v>4</v>
      </c>
      <c r="B1547" s="68">
        <v>71692130</v>
      </c>
      <c r="C1547" s="68" t="s">
        <v>25561</v>
      </c>
      <c r="D1547" s="68" t="s">
        <v>26529</v>
      </c>
      <c r="E1547" s="68" t="s">
        <v>25455</v>
      </c>
      <c r="F1547" s="68" t="s">
        <v>25213</v>
      </c>
      <c r="G1547" s="81" t="s">
        <v>19285</v>
      </c>
      <c r="H1547" s="69">
        <v>46128</v>
      </c>
      <c r="I1547" s="69">
        <v>46157</v>
      </c>
      <c r="J1547" s="68">
        <v>30</v>
      </c>
      <c r="K1547" s="68">
        <v>30</v>
      </c>
      <c r="L1547" s="68" t="s">
        <v>19262</v>
      </c>
      <c r="M1547" s="68" t="s">
        <v>19262</v>
      </c>
      <c r="N1547" s="62" t="s">
        <v>19269</v>
      </c>
      <c r="O1547" s="68" t="s">
        <v>7734</v>
      </c>
      <c r="P1547" s="42" t="str">
        <f>+IF(O1547="","",IFERROR(VLOOKUP(O1547,CODIGO_DIAGNOSTICO,2,0),"CÓDIGO NO ENCONTRADO"))</f>
        <v>DESGARRO DE MENISCOS, PRESENTE</v>
      </c>
      <c r="Q1547" s="68" t="s">
        <v>26059</v>
      </c>
      <c r="R1547" s="67"/>
      <c r="S1547" s="77"/>
      <c r="T1547" s="76"/>
      <c r="U1547" s="65"/>
      <c r="V1547" s="68"/>
      <c r="W1547" s="70"/>
      <c r="X1547" s="68"/>
      <c r="Y1547" s="70"/>
      <c r="Z1547" s="72"/>
    </row>
    <row r="1548" spans="1:26" ht="15.75" hidden="1" customHeight="1" x14ac:dyDescent="0.25">
      <c r="A1548" s="64">
        <v>4</v>
      </c>
      <c r="B1548" s="62">
        <v>71536344</v>
      </c>
      <c r="C1548" s="62" t="s">
        <v>25617</v>
      </c>
      <c r="D1548" s="62" t="s">
        <v>25245</v>
      </c>
      <c r="E1548" s="62" t="s">
        <v>25663</v>
      </c>
      <c r="F1548" s="62" t="s">
        <v>25755</v>
      </c>
      <c r="G1548" s="81" t="s">
        <v>19285</v>
      </c>
      <c r="H1548" s="63">
        <v>46128</v>
      </c>
      <c r="I1548" s="63">
        <v>46129</v>
      </c>
      <c r="J1548" s="62">
        <v>2</v>
      </c>
      <c r="K1548" s="62">
        <v>2</v>
      </c>
      <c r="L1548" s="62" t="s">
        <v>24995</v>
      </c>
      <c r="M1548" s="62" t="s">
        <v>24995</v>
      </c>
      <c r="N1548" s="62" t="s">
        <v>19269</v>
      </c>
      <c r="O1548" s="62" t="s">
        <v>4026</v>
      </c>
      <c r="P1548" s="42" t="str">
        <f>+IF(O1548="","",IFERROR(VLOOKUP(O1548,CODIGO_DIAGNOSTICO,2,0),"CÓDIGO NO ENCONTRADO"))</f>
        <v>COLITIS Y GASTROENTERITIS NO INFECCIOSAS, NO ESPECIFICADAS</v>
      </c>
      <c r="Q1548" s="62" t="s">
        <v>19289</v>
      </c>
      <c r="R1548" s="64"/>
      <c r="S1548" s="75"/>
      <c r="T1548" s="75"/>
      <c r="U1548" s="65"/>
      <c r="V1548" s="62"/>
      <c r="W1548" s="65"/>
      <c r="X1548" s="62"/>
      <c r="Y1548" s="65"/>
      <c r="Z1548" s="73"/>
    </row>
    <row r="1549" spans="1:26" ht="15.75" hidden="1" customHeight="1" x14ac:dyDescent="0.25">
      <c r="A1549" s="67">
        <v>4</v>
      </c>
      <c r="B1549" s="68">
        <v>1038799598</v>
      </c>
      <c r="C1549" s="68" t="s">
        <v>26555</v>
      </c>
      <c r="D1549" s="68" t="s">
        <v>25338</v>
      </c>
      <c r="E1549" s="68" t="s">
        <v>25869</v>
      </c>
      <c r="F1549" s="68"/>
      <c r="G1549" s="81" t="s">
        <v>19285</v>
      </c>
      <c r="H1549" s="69">
        <v>46130</v>
      </c>
      <c r="I1549" s="69">
        <v>46131</v>
      </c>
      <c r="J1549" s="68">
        <v>2</v>
      </c>
      <c r="K1549" s="68">
        <v>2</v>
      </c>
      <c r="L1549" s="68" t="s">
        <v>24995</v>
      </c>
      <c r="M1549" s="68" t="s">
        <v>24995</v>
      </c>
      <c r="N1549" s="62" t="s">
        <v>19269</v>
      </c>
      <c r="O1549" s="68" t="s">
        <v>2048</v>
      </c>
      <c r="P1549" s="42" t="str">
        <f>+IF(O1549="","",IFERROR(VLOOKUP(O1549,CODIGO_DIAGNOSTICO,2,0),"CÓDIGO NO ENCONTRADO"))</f>
        <v>OTROS TRASTORNOS DEL EQUILIBRIO DE LOS ELECTROLITOS Y DE LOS LIQUIDOS, NO CLASIFICADOS EN OTRA PARTE</v>
      </c>
      <c r="Q1549" s="68" t="s">
        <v>26059</v>
      </c>
      <c r="R1549" s="67"/>
      <c r="S1549" s="77"/>
      <c r="T1549" s="76"/>
      <c r="U1549" s="65"/>
      <c r="V1549" s="68"/>
      <c r="W1549" s="70"/>
      <c r="X1549" s="68"/>
      <c r="Y1549" s="70"/>
      <c r="Z1549" s="72"/>
    </row>
    <row r="1550" spans="1:26" ht="15.75" hidden="1" customHeight="1" x14ac:dyDescent="0.25">
      <c r="A1550" s="64">
        <v>4</v>
      </c>
      <c r="B1550" s="62">
        <v>43261371</v>
      </c>
      <c r="C1550" s="62" t="s">
        <v>25127</v>
      </c>
      <c r="D1550" s="62" t="s">
        <v>25257</v>
      </c>
      <c r="E1550" s="62" t="s">
        <v>25258</v>
      </c>
      <c r="F1550" s="62" t="s">
        <v>25235</v>
      </c>
      <c r="G1550" s="81" t="s">
        <v>19285</v>
      </c>
      <c r="H1550" s="63">
        <v>46132</v>
      </c>
      <c r="I1550" s="63">
        <v>46138</v>
      </c>
      <c r="J1550" s="62">
        <v>7</v>
      </c>
      <c r="K1550" s="62">
        <v>7</v>
      </c>
      <c r="L1550" s="62" t="s">
        <v>24995</v>
      </c>
      <c r="M1550" s="62" t="s">
        <v>24995</v>
      </c>
      <c r="N1550" s="62" t="s">
        <v>19269</v>
      </c>
      <c r="O1550" s="62" t="s">
        <v>4695</v>
      </c>
      <c r="P1550" s="42" t="str">
        <f>+IF(O1550="","",IFERROR(VLOOKUP(O1550,CODIGO_DIAGNOSTICO,2,0),"CÓDIGO NO ENCONTRADO"))</f>
        <v>TRASTORNOS INTERNO DE LA RODILLA, NO ESPECIFICADO</v>
      </c>
      <c r="Q1550" s="62" t="s">
        <v>26059</v>
      </c>
      <c r="R1550" s="64"/>
      <c r="S1550" s="75"/>
      <c r="T1550" s="75"/>
      <c r="U1550" s="65"/>
      <c r="V1550" s="62"/>
      <c r="W1550" s="65"/>
      <c r="X1550" s="62"/>
      <c r="Y1550" s="65"/>
      <c r="Z1550" s="73"/>
    </row>
    <row r="1551" spans="1:26" ht="15.75" hidden="1" customHeight="1" x14ac:dyDescent="0.25">
      <c r="A1551" s="67">
        <v>4</v>
      </c>
      <c r="B1551" s="68">
        <v>98528134</v>
      </c>
      <c r="C1551" s="68" t="s">
        <v>25158</v>
      </c>
      <c r="D1551" s="68" t="s">
        <v>25159</v>
      </c>
      <c r="E1551" s="68" t="s">
        <v>25255</v>
      </c>
      <c r="F1551" s="68" t="s">
        <v>25028</v>
      </c>
      <c r="G1551" s="81" t="s">
        <v>19285</v>
      </c>
      <c r="H1551" s="69">
        <v>46133</v>
      </c>
      <c r="I1551" s="69">
        <v>46142</v>
      </c>
      <c r="J1551" s="68">
        <v>10</v>
      </c>
      <c r="K1551" s="68">
        <v>10</v>
      </c>
      <c r="L1551" s="68" t="s">
        <v>19262</v>
      </c>
      <c r="M1551" s="68" t="s">
        <v>19262</v>
      </c>
      <c r="N1551" s="62" t="s">
        <v>19269</v>
      </c>
      <c r="O1551" s="68" t="s">
        <v>983</v>
      </c>
      <c r="P1551" s="42" t="str">
        <f>+IF(O1551="","",IFERROR(VLOOKUP(O1551,CODIGO_DIAGNOSTICO,2,0),"CÓDIGO NO ENCONTRADO"))</f>
        <v>MELANOMA MALIGNO DEL TRONCO</v>
      </c>
      <c r="Q1551" s="68" t="s">
        <v>26059</v>
      </c>
      <c r="R1551" s="67"/>
      <c r="S1551" s="77"/>
      <c r="T1551" s="76"/>
      <c r="U1551" s="65"/>
      <c r="V1551" s="68"/>
      <c r="W1551" s="70"/>
      <c r="X1551" s="68"/>
      <c r="Y1551" s="70"/>
      <c r="Z1551" s="72"/>
    </row>
    <row r="1552" spans="1:26" ht="15.75" hidden="1" customHeight="1" x14ac:dyDescent="0.25">
      <c r="A1552" s="64">
        <v>4</v>
      </c>
      <c r="B1552" s="62">
        <v>1002206888</v>
      </c>
      <c r="C1552" s="62" t="s">
        <v>25307</v>
      </c>
      <c r="D1552" s="62" t="s">
        <v>25173</v>
      </c>
      <c r="E1552" s="62" t="s">
        <v>26520</v>
      </c>
      <c r="F1552" s="62"/>
      <c r="G1552" s="81" t="s">
        <v>19285</v>
      </c>
      <c r="H1552" s="63">
        <v>46133</v>
      </c>
      <c r="I1552" s="63">
        <v>46134</v>
      </c>
      <c r="J1552" s="62">
        <v>2</v>
      </c>
      <c r="K1552" s="62">
        <v>2</v>
      </c>
      <c r="L1552" s="62" t="s">
        <v>24995</v>
      </c>
      <c r="M1552" s="62" t="s">
        <v>24995</v>
      </c>
      <c r="N1552" s="62" t="s">
        <v>19269</v>
      </c>
      <c r="O1552" s="62" t="s">
        <v>2588</v>
      </c>
      <c r="P1552" s="42" t="str">
        <f>+IF(O1552="","",IFERROR(VLOOKUP(O1552,CODIGO_DIAGNOSTICO,2,0),"CÓDIGO NO ENCONTRADO"))</f>
        <v>MIGRAÑA SIN AURA [MIGRAÑA COMUN]</v>
      </c>
      <c r="Q1552" s="62" t="s">
        <v>26059</v>
      </c>
      <c r="R1552" s="64"/>
      <c r="S1552" s="75"/>
      <c r="T1552" s="75"/>
      <c r="U1552" s="65"/>
      <c r="V1552" s="62"/>
      <c r="W1552" s="65"/>
      <c r="X1552" s="62"/>
      <c r="Y1552" s="65"/>
      <c r="Z1552" s="73"/>
    </row>
    <row r="1553" spans="1:26" ht="15.75" hidden="1" customHeight="1" x14ac:dyDescent="0.25">
      <c r="A1553" s="67">
        <v>4</v>
      </c>
      <c r="B1553" s="68">
        <v>1214737996</v>
      </c>
      <c r="C1553" s="68" t="s">
        <v>25547</v>
      </c>
      <c r="D1553" s="68" t="s">
        <v>26337</v>
      </c>
      <c r="E1553" s="68" t="s">
        <v>26338</v>
      </c>
      <c r="F1553" s="68" t="s">
        <v>25755</v>
      </c>
      <c r="G1553" s="81" t="s">
        <v>19285</v>
      </c>
      <c r="H1553" s="69">
        <v>46135</v>
      </c>
      <c r="I1553" s="69">
        <v>46149</v>
      </c>
      <c r="J1553" s="68">
        <v>15</v>
      </c>
      <c r="K1553" s="68">
        <v>15</v>
      </c>
      <c r="L1553" s="68" t="s">
        <v>19262</v>
      </c>
      <c r="M1553" s="68" t="s">
        <v>19262</v>
      </c>
      <c r="N1553" s="62" t="s">
        <v>19269</v>
      </c>
      <c r="O1553" s="68" t="s">
        <v>7723</v>
      </c>
      <c r="P1553" s="42" t="str">
        <f>+IF(O1553="","",IFERROR(VLOOKUP(O1553,CODIGO_DIAGNOSTICO,2,0),"CÓDIGO NO ENCONTRADO"))</f>
        <v>FRACTURA DE LA EPIFISIS SUPERIOR DE LA TIBIA</v>
      </c>
      <c r="Q1553" s="68" t="s">
        <v>26339</v>
      </c>
      <c r="R1553" s="67"/>
      <c r="S1553" s="77"/>
      <c r="T1553" s="76"/>
      <c r="U1553" s="65"/>
      <c r="V1553" s="68"/>
      <c r="W1553" s="70"/>
      <c r="X1553" s="68"/>
      <c r="Y1553" s="70"/>
      <c r="Z1553" s="72"/>
    </row>
    <row r="1554" spans="1:26" ht="15.75" hidden="1" customHeight="1" x14ac:dyDescent="0.25">
      <c r="A1554" s="64">
        <v>4</v>
      </c>
      <c r="B1554" s="62">
        <v>71382103</v>
      </c>
      <c r="C1554" s="62" t="s">
        <v>25274</v>
      </c>
      <c r="D1554" s="62" t="s">
        <v>25275</v>
      </c>
      <c r="E1554" s="62" t="s">
        <v>25198</v>
      </c>
      <c r="F1554" s="62" t="s">
        <v>25276</v>
      </c>
      <c r="G1554" s="81" t="s">
        <v>19285</v>
      </c>
      <c r="H1554" s="63">
        <v>46135</v>
      </c>
      <c r="I1554" s="63">
        <v>46149</v>
      </c>
      <c r="J1554" s="62">
        <v>15</v>
      </c>
      <c r="K1554" s="62">
        <v>15</v>
      </c>
      <c r="L1554" s="62" t="s">
        <v>19262</v>
      </c>
      <c r="M1554" s="62" t="s">
        <v>19262</v>
      </c>
      <c r="N1554" s="62" t="s">
        <v>19269</v>
      </c>
      <c r="O1554" s="62" t="s">
        <v>7734</v>
      </c>
      <c r="P1554" s="42" t="str">
        <f>+IF(O1554="","",IFERROR(VLOOKUP(O1554,CODIGO_DIAGNOSTICO,2,0),"CÓDIGO NO ENCONTRADO"))</f>
        <v>DESGARRO DE MENISCOS, PRESENTE</v>
      </c>
      <c r="Q1554" s="62" t="s">
        <v>26059</v>
      </c>
      <c r="R1554" s="64"/>
      <c r="S1554" s="75"/>
      <c r="T1554" s="75"/>
      <c r="U1554" s="65"/>
      <c r="V1554" s="62"/>
      <c r="W1554" s="65"/>
      <c r="X1554" s="62"/>
      <c r="Y1554" s="65"/>
      <c r="Z1554" s="73"/>
    </row>
    <row r="1555" spans="1:26" ht="15.75" hidden="1" customHeight="1" x14ac:dyDescent="0.25">
      <c r="A1555" s="67">
        <v>4</v>
      </c>
      <c r="B1555" s="68">
        <v>32184373</v>
      </c>
      <c r="C1555" s="68" t="s">
        <v>25332</v>
      </c>
      <c r="D1555" s="68" t="s">
        <v>25159</v>
      </c>
      <c r="E1555" s="68" t="s">
        <v>25543</v>
      </c>
      <c r="F1555" s="68" t="s">
        <v>25544</v>
      </c>
      <c r="G1555" s="81" t="s">
        <v>19285</v>
      </c>
      <c r="H1555" s="69">
        <v>46136</v>
      </c>
      <c r="I1555" s="69">
        <v>46136</v>
      </c>
      <c r="J1555" s="68">
        <v>1</v>
      </c>
      <c r="K1555" s="68">
        <v>1</v>
      </c>
      <c r="L1555" s="68" t="s">
        <v>24995</v>
      </c>
      <c r="M1555" s="68" t="s">
        <v>24995</v>
      </c>
      <c r="N1555" s="62" t="s">
        <v>19269</v>
      </c>
      <c r="O1555" s="68" t="s">
        <v>6939</v>
      </c>
      <c r="P1555" s="42" t="str">
        <f>+IF(O1555="","",IFERROR(VLOOKUP(O1555,CODIGO_DIAGNOSTICO,2,0),"CÓDIGO NO ENCONTRADO"))</f>
        <v>OTROS DOLORES ABDOMINALES Y LOS NO ESPECIFICADOS</v>
      </c>
      <c r="Q1555" s="68" t="s">
        <v>26059</v>
      </c>
      <c r="R1555" s="67"/>
      <c r="S1555" s="77"/>
      <c r="T1555" s="76"/>
      <c r="U1555" s="65"/>
      <c r="V1555" s="68"/>
      <c r="W1555" s="70"/>
      <c r="X1555" s="68"/>
      <c r="Y1555" s="70"/>
      <c r="Z1555" s="72"/>
    </row>
    <row r="1556" spans="1:26" ht="15.75" hidden="1" customHeight="1" x14ac:dyDescent="0.25">
      <c r="A1556" s="64">
        <v>4</v>
      </c>
      <c r="B1556" s="62">
        <v>98648253</v>
      </c>
      <c r="C1556" s="62" t="s">
        <v>25343</v>
      </c>
      <c r="D1556" s="62" t="s">
        <v>25462</v>
      </c>
      <c r="E1556" s="62" t="s">
        <v>25483</v>
      </c>
      <c r="F1556" s="62" t="s">
        <v>25110</v>
      </c>
      <c r="G1556" s="81" t="s">
        <v>19285</v>
      </c>
      <c r="H1556" s="63">
        <v>46137</v>
      </c>
      <c r="I1556" s="63">
        <v>46166</v>
      </c>
      <c r="J1556" s="62">
        <v>30</v>
      </c>
      <c r="K1556" s="62">
        <v>30</v>
      </c>
      <c r="L1556" s="62" t="s">
        <v>19262</v>
      </c>
      <c r="M1556" s="62" t="s">
        <v>19262</v>
      </c>
      <c r="N1556" s="62" t="s">
        <v>19269</v>
      </c>
      <c r="O1556" s="62" t="s">
        <v>6945</v>
      </c>
      <c r="P1556" s="42" t="str">
        <f>+IF(O1556="","",IFERROR(VLOOKUP(O1556,CODIGO_DIAGNOSTICO,2,0),"CÓDIGO NO ENCONTRADO"))</f>
        <v>HEPATOMEGALIA, NO CLASIFICADA EN OTRA PARTE</v>
      </c>
      <c r="Q1556" s="62" t="s">
        <v>19230</v>
      </c>
      <c r="R1556" s="64"/>
      <c r="S1556" s="75"/>
      <c r="T1556" s="75"/>
      <c r="U1556" s="65"/>
      <c r="V1556" s="62"/>
      <c r="W1556" s="65"/>
      <c r="X1556" s="62"/>
      <c r="Y1556" s="65"/>
      <c r="Z1556" s="73"/>
    </row>
    <row r="1557" spans="1:26" ht="15.75" hidden="1" customHeight="1" x14ac:dyDescent="0.25">
      <c r="A1557" s="67">
        <v>4</v>
      </c>
      <c r="B1557" s="68">
        <v>1017192273</v>
      </c>
      <c r="C1557" s="68" t="s">
        <v>25921</v>
      </c>
      <c r="D1557" s="68" t="s">
        <v>25459</v>
      </c>
      <c r="E1557" s="68" t="s">
        <v>25676</v>
      </c>
      <c r="F1557" s="68" t="s">
        <v>25648</v>
      </c>
      <c r="G1557" s="81" t="s">
        <v>19285</v>
      </c>
      <c r="H1557" s="69">
        <v>46137</v>
      </c>
      <c r="I1557" s="69">
        <v>46137</v>
      </c>
      <c r="J1557" s="68">
        <v>1</v>
      </c>
      <c r="K1557" s="68">
        <v>1</v>
      </c>
      <c r="L1557" s="68" t="s">
        <v>24995</v>
      </c>
      <c r="M1557" s="68" t="s">
        <v>24995</v>
      </c>
      <c r="N1557" s="62" t="s">
        <v>19269</v>
      </c>
      <c r="O1557" s="68" t="s">
        <v>4025</v>
      </c>
      <c r="P1557" s="42" t="str">
        <f>+IF(O1557="","",IFERROR(VLOOKUP(O1557,CODIGO_DIAGNOSTICO,2,0),"CÓDIGO NO ENCONTRADO"))</f>
        <v>OTRAS COLITIS Y GASTROENTERITIS NO INFECCIOSAS ESPECIFICADAS</v>
      </c>
      <c r="Q1557" s="68" t="s">
        <v>19230</v>
      </c>
      <c r="R1557" s="67"/>
      <c r="S1557" s="77"/>
      <c r="T1557" s="76"/>
      <c r="U1557" s="65"/>
      <c r="V1557" s="68"/>
      <c r="W1557" s="70"/>
      <c r="X1557" s="68"/>
      <c r="Y1557" s="70"/>
      <c r="Z1557" s="72"/>
    </row>
    <row r="1558" spans="1:26" ht="15.75" hidden="1" customHeight="1" x14ac:dyDescent="0.25">
      <c r="A1558" s="64">
        <v>4</v>
      </c>
      <c r="B1558" s="62">
        <v>1039022416</v>
      </c>
      <c r="C1558" s="62" t="s">
        <v>25930</v>
      </c>
      <c r="D1558" s="62" t="s">
        <v>26430</v>
      </c>
      <c r="E1558" s="62" t="s">
        <v>25035</v>
      </c>
      <c r="F1558" s="62" t="s">
        <v>25010</v>
      </c>
      <c r="G1558" s="81" t="s">
        <v>19285</v>
      </c>
      <c r="H1558" s="63">
        <v>46139</v>
      </c>
      <c r="I1558" s="63">
        <v>46152</v>
      </c>
      <c r="J1558" s="62">
        <v>14</v>
      </c>
      <c r="K1558" s="62">
        <v>14</v>
      </c>
      <c r="L1558" s="62" t="s">
        <v>24995</v>
      </c>
      <c r="M1558" s="62" t="s">
        <v>24995</v>
      </c>
      <c r="N1558" s="62" t="s">
        <v>19269</v>
      </c>
      <c r="O1558" s="62" t="s">
        <v>5851</v>
      </c>
      <c r="P1558" s="42" t="str">
        <f>+IF(O1558="","",IFERROR(VLOOKUP(O1558,CODIGO_DIAGNOSTICO,2,0),"CÓDIGO NO ENCONTRADO"))</f>
        <v>PARTO UNICO ESPONTANEO, PRESENTACION CEFALICA DE VERTICE</v>
      </c>
      <c r="Q1558" s="62" t="s">
        <v>26569</v>
      </c>
      <c r="R1558" s="64"/>
      <c r="S1558" s="75"/>
      <c r="T1558" s="75"/>
      <c r="U1558" s="65"/>
      <c r="V1558" s="62"/>
      <c r="W1558" s="65"/>
      <c r="X1558" s="62"/>
      <c r="Y1558" s="65"/>
      <c r="Z1558" s="73"/>
    </row>
    <row r="1559" spans="1:26" ht="15.75" hidden="1" customHeight="1" x14ac:dyDescent="0.25">
      <c r="A1559" s="67">
        <v>4</v>
      </c>
      <c r="B1559" s="68">
        <v>70142991</v>
      </c>
      <c r="C1559" s="68" t="s">
        <v>25401</v>
      </c>
      <c r="D1559" s="68"/>
      <c r="E1559" s="68" t="s">
        <v>25255</v>
      </c>
      <c r="F1559" s="68" t="s">
        <v>24986</v>
      </c>
      <c r="G1559" s="81" t="s">
        <v>19285</v>
      </c>
      <c r="H1559" s="69">
        <v>46139</v>
      </c>
      <c r="I1559" s="69">
        <v>46152</v>
      </c>
      <c r="J1559" s="68">
        <v>14</v>
      </c>
      <c r="K1559" s="68">
        <v>14</v>
      </c>
      <c r="L1559" s="68" t="s">
        <v>24995</v>
      </c>
      <c r="M1559" s="68" t="s">
        <v>24995</v>
      </c>
      <c r="N1559" s="62" t="s">
        <v>19269</v>
      </c>
      <c r="O1559" s="68" t="s">
        <v>5851</v>
      </c>
      <c r="P1559" s="42" t="str">
        <f>+IF(O1559="","",IFERROR(VLOOKUP(O1559,CODIGO_DIAGNOSTICO,2,0),"CÓDIGO NO ENCONTRADO"))</f>
        <v>PARTO UNICO ESPONTANEO, PRESENTACION CEFALICA DE VERTICE</v>
      </c>
      <c r="Q1559" s="68" t="s">
        <v>26059</v>
      </c>
      <c r="R1559" s="67"/>
      <c r="S1559" s="77"/>
      <c r="T1559" s="76"/>
      <c r="U1559" s="65"/>
      <c r="V1559" s="68"/>
      <c r="W1559" s="70"/>
      <c r="X1559" s="68"/>
      <c r="Y1559" s="70"/>
      <c r="Z1559" s="72"/>
    </row>
    <row r="1560" spans="1:26" ht="15.75" hidden="1" customHeight="1" x14ac:dyDescent="0.25">
      <c r="A1560" s="64">
        <v>4</v>
      </c>
      <c r="B1560" s="62">
        <v>70852525</v>
      </c>
      <c r="C1560" s="62" t="s">
        <v>26567</v>
      </c>
      <c r="D1560" s="62" t="s">
        <v>26050</v>
      </c>
      <c r="E1560" s="62" t="s">
        <v>26080</v>
      </c>
      <c r="F1560" s="62" t="s">
        <v>25064</v>
      </c>
      <c r="G1560" s="81" t="s">
        <v>19285</v>
      </c>
      <c r="H1560" s="63">
        <v>46141</v>
      </c>
      <c r="I1560" s="63">
        <v>46144</v>
      </c>
      <c r="J1560" s="62">
        <v>4</v>
      </c>
      <c r="K1560" s="62">
        <v>4</v>
      </c>
      <c r="L1560" s="62" t="s">
        <v>24995</v>
      </c>
      <c r="M1560" s="62" t="s">
        <v>24995</v>
      </c>
      <c r="N1560" s="62" t="s">
        <v>19269</v>
      </c>
      <c r="O1560" s="62" t="s">
        <v>7738</v>
      </c>
      <c r="P1560" s="42" t="str">
        <f>+IF(O1560="","",IFERROR(VLOOKUP(O1560,CODIGO_DIAGNOSTICO,2,0),"CÓDIGO NO ENCONTRADO"))</f>
        <v>ESGUINCES Y TORCEDURAS DE OTRAS PARTES Y LAS NO ESPECIFICADAS DE LA RODILLA</v>
      </c>
      <c r="Q1560" s="62" t="s">
        <v>24996</v>
      </c>
      <c r="R1560" s="64"/>
      <c r="S1560" s="75"/>
      <c r="T1560" s="75"/>
      <c r="U1560" s="65"/>
      <c r="V1560" s="62"/>
      <c r="W1560" s="65"/>
      <c r="X1560" s="62"/>
      <c r="Y1560" s="65"/>
      <c r="Z1560" s="73"/>
    </row>
    <row r="1561" spans="1:26" ht="15.75" hidden="1" customHeight="1" x14ac:dyDescent="0.25">
      <c r="A1561" s="67">
        <v>4</v>
      </c>
      <c r="B1561" s="68">
        <v>98601485</v>
      </c>
      <c r="C1561" s="68" t="s">
        <v>25240</v>
      </c>
      <c r="D1561" s="68"/>
      <c r="E1561" s="68" t="s">
        <v>25241</v>
      </c>
      <c r="F1561" s="68" t="s">
        <v>25103</v>
      </c>
      <c r="G1561" s="81" t="s">
        <v>25328</v>
      </c>
      <c r="H1561" s="69">
        <v>46141</v>
      </c>
      <c r="I1561" s="69">
        <v>46170</v>
      </c>
      <c r="J1561" s="68">
        <v>30</v>
      </c>
      <c r="K1561" s="68">
        <v>30</v>
      </c>
      <c r="L1561" s="68" t="s">
        <v>19262</v>
      </c>
      <c r="M1561" s="68" t="s">
        <v>19262</v>
      </c>
      <c r="N1561" s="62" t="s">
        <v>19269</v>
      </c>
      <c r="O1561" s="68" t="s">
        <v>8419</v>
      </c>
      <c r="P1561" s="42" t="str">
        <f>+IF(O1561="","",IFERROR(VLOOKUP(O1561,CODIGO_DIAGNOSTICO,2,0),"CÓDIGO NO ENCONTRADO"))</f>
        <v>COMPLICACION MECANICA DE OTROS DISPOSITIVOS PROTESICOS, IMPLANTES E INJERTOS ORTOPEDICOS INTERNOS</v>
      </c>
      <c r="Q1561" s="68" t="s">
        <v>26059</v>
      </c>
      <c r="R1561" s="67"/>
      <c r="S1561" s="77"/>
      <c r="T1561" s="76"/>
      <c r="U1561" s="65"/>
      <c r="V1561" s="68"/>
      <c r="W1561" s="70"/>
      <c r="X1561" s="68"/>
      <c r="Y1561" s="70"/>
      <c r="Z1561" s="72"/>
    </row>
    <row r="1562" spans="1:26" ht="15.75" hidden="1" customHeight="1" x14ac:dyDescent="0.25">
      <c r="A1562" s="64">
        <v>4</v>
      </c>
      <c r="B1562" s="62">
        <v>8407241</v>
      </c>
      <c r="C1562" s="62" t="s">
        <v>25776</v>
      </c>
      <c r="D1562" s="62" t="s">
        <v>25030</v>
      </c>
      <c r="E1562" s="62" t="s">
        <v>19256</v>
      </c>
      <c r="F1562" s="62" t="s">
        <v>25005</v>
      </c>
      <c r="G1562" s="81" t="s">
        <v>19285</v>
      </c>
      <c r="H1562" s="63">
        <v>46142</v>
      </c>
      <c r="I1562" s="63">
        <v>46144</v>
      </c>
      <c r="J1562" s="62">
        <v>3</v>
      </c>
      <c r="K1562" s="62">
        <v>3</v>
      </c>
      <c r="L1562" s="62" t="s">
        <v>24995</v>
      </c>
      <c r="M1562" s="62" t="s">
        <v>24995</v>
      </c>
      <c r="N1562" s="62" t="s">
        <v>19269</v>
      </c>
      <c r="O1562" s="62" t="s">
        <v>4711</v>
      </c>
      <c r="P1562" s="42" t="str">
        <f>+IF(O1562="","",IFERROR(VLOOKUP(O1562,CODIGO_DIAGNOSTICO,2,0),"CÓDIGO NO ENCONTRADO"))</f>
        <v>DOLOR EN ARTICULACION</v>
      </c>
      <c r="Q1562" s="62" t="s">
        <v>26059</v>
      </c>
      <c r="R1562" s="64"/>
      <c r="S1562" s="75"/>
      <c r="T1562" s="75"/>
      <c r="U1562" s="65"/>
      <c r="V1562" s="62"/>
      <c r="W1562" s="65"/>
      <c r="X1562" s="62"/>
      <c r="Y1562" s="65"/>
      <c r="Z1562" s="73"/>
    </row>
    <row r="1563" spans="1:26" ht="15.75" hidden="1" customHeight="1" x14ac:dyDescent="0.25">
      <c r="A1563" s="67">
        <v>5</v>
      </c>
      <c r="B1563" s="68">
        <v>71701610</v>
      </c>
      <c r="C1563" s="68" t="s">
        <v>25634</v>
      </c>
      <c r="D1563" s="68" t="s">
        <v>25509</v>
      </c>
      <c r="E1563" s="68" t="s">
        <v>25739</v>
      </c>
      <c r="F1563" s="68" t="s">
        <v>25051</v>
      </c>
      <c r="G1563" s="81" t="s">
        <v>19285</v>
      </c>
      <c r="H1563" s="69">
        <v>46143</v>
      </c>
      <c r="I1563" s="69">
        <v>46158</v>
      </c>
      <c r="J1563" s="68">
        <v>16</v>
      </c>
      <c r="K1563" s="68">
        <v>16</v>
      </c>
      <c r="L1563" s="68" t="s">
        <v>19262</v>
      </c>
      <c r="M1563" s="68" t="s">
        <v>19262</v>
      </c>
      <c r="N1563" s="62" t="s">
        <v>19269</v>
      </c>
      <c r="O1563" s="68" t="s">
        <v>3259</v>
      </c>
      <c r="P1563" s="42" t="str">
        <f>+IF(O1563="","",IFERROR(VLOOKUP(O1563,CODIGO_DIAGNOSTICO,2,0),"CÓDIGO NO ENCONTRADO"))</f>
        <v>ENFERMEDAD ISQUEMIA CRONICA DEL CORAZON, NO ESPECIFICADA</v>
      </c>
      <c r="Q1563" s="68" t="s">
        <v>26339</v>
      </c>
      <c r="R1563" s="67"/>
      <c r="S1563" s="77"/>
      <c r="T1563" s="76"/>
      <c r="U1563" s="65"/>
      <c r="V1563" s="68"/>
      <c r="W1563" s="70"/>
      <c r="X1563" s="68"/>
      <c r="Y1563" s="70"/>
      <c r="Z1563" s="72"/>
    </row>
    <row r="1564" spans="1:26" ht="15.75" hidden="1" customHeight="1" x14ac:dyDescent="0.25">
      <c r="A1564" s="64">
        <v>5</v>
      </c>
      <c r="B1564" s="62">
        <v>1002997006</v>
      </c>
      <c r="C1564" s="62" t="s">
        <v>25345</v>
      </c>
      <c r="D1564" s="62" t="s">
        <v>25925</v>
      </c>
      <c r="E1564" s="62" t="s">
        <v>25347</v>
      </c>
      <c r="F1564" s="62"/>
      <c r="G1564" s="81" t="s">
        <v>19285</v>
      </c>
      <c r="H1564" s="63">
        <v>46144</v>
      </c>
      <c r="I1564" s="63">
        <v>46145</v>
      </c>
      <c r="J1564" s="62">
        <v>2</v>
      </c>
      <c r="K1564" s="62">
        <v>2</v>
      </c>
      <c r="L1564" s="62" t="s">
        <v>24995</v>
      </c>
      <c r="M1564" s="62" t="s">
        <v>24995</v>
      </c>
      <c r="N1564" s="62" t="s">
        <v>19269</v>
      </c>
      <c r="O1564" s="62" t="s">
        <v>85</v>
      </c>
      <c r="P1564" s="42" t="str">
        <f>+IF(O1564="","",IFERROR(VLOOKUP(O1564,CODIGO_DIAGNOSTICO,2,0),"CÓDIGO NO ENCONTRADO"))</f>
        <v>OTRAS ENTERITIS VIRALES</v>
      </c>
      <c r="Q1564" s="62" t="s">
        <v>24996</v>
      </c>
      <c r="R1564" s="64"/>
      <c r="S1564" s="75"/>
      <c r="T1564" s="75"/>
      <c r="U1564" s="65"/>
      <c r="V1564" s="62"/>
      <c r="W1564" s="65"/>
      <c r="X1564" s="62"/>
      <c r="Y1564" s="65"/>
      <c r="Z1564" s="73"/>
    </row>
    <row r="1565" spans="1:26" ht="15.75" hidden="1" customHeight="1" x14ac:dyDescent="0.25">
      <c r="A1565" s="67">
        <v>5</v>
      </c>
      <c r="B1565" s="68">
        <v>71642375</v>
      </c>
      <c r="C1565" s="68" t="s">
        <v>25658</v>
      </c>
      <c r="D1565" s="68" t="s">
        <v>25272</v>
      </c>
      <c r="E1565" s="68" t="s">
        <v>25283</v>
      </c>
      <c r="F1565" s="68" t="s">
        <v>25135</v>
      </c>
      <c r="G1565" s="81" t="s">
        <v>19285</v>
      </c>
      <c r="H1565" s="69">
        <v>46146</v>
      </c>
      <c r="I1565" s="69">
        <v>46147</v>
      </c>
      <c r="J1565" s="68">
        <v>2</v>
      </c>
      <c r="K1565" s="68">
        <v>2</v>
      </c>
      <c r="L1565" s="68" t="s">
        <v>24995</v>
      </c>
      <c r="M1565" s="68" t="s">
        <v>24995</v>
      </c>
      <c r="N1565" s="62" t="s">
        <v>19269</v>
      </c>
      <c r="O1565" s="68" t="s">
        <v>4838</v>
      </c>
      <c r="P1565" s="42" t="str">
        <f>+IF(O1565="","",IFERROR(VLOOKUP(O1565,CODIGO_DIAGNOSTICO,2,0),"CÓDIGO NO ENCONTRADO"))</f>
        <v>LUMBAGO NO ESPECIFICADO</v>
      </c>
      <c r="Q1565" s="68" t="s">
        <v>26059</v>
      </c>
      <c r="R1565" s="67"/>
      <c r="S1565" s="77"/>
      <c r="T1565" s="76"/>
      <c r="U1565" s="65"/>
      <c r="V1565" s="68"/>
      <c r="W1565" s="70"/>
      <c r="X1565" s="68"/>
      <c r="Y1565" s="70"/>
      <c r="Z1565" s="72"/>
    </row>
    <row r="1566" spans="1:26" ht="15.75" hidden="1" customHeight="1" x14ac:dyDescent="0.25">
      <c r="A1566" s="64">
        <v>5</v>
      </c>
      <c r="B1566" s="62">
        <v>8407241</v>
      </c>
      <c r="C1566" s="62" t="s">
        <v>25776</v>
      </c>
      <c r="D1566" s="62" t="s">
        <v>25030</v>
      </c>
      <c r="E1566" s="62" t="s">
        <v>19256</v>
      </c>
      <c r="F1566" s="62" t="s">
        <v>25005</v>
      </c>
      <c r="G1566" s="81" t="s">
        <v>19285</v>
      </c>
      <c r="H1566" s="63">
        <v>46146</v>
      </c>
      <c r="I1566" s="63">
        <v>46147</v>
      </c>
      <c r="J1566" s="62">
        <v>2</v>
      </c>
      <c r="K1566" s="62">
        <v>2</v>
      </c>
      <c r="L1566" s="62" t="s">
        <v>24995</v>
      </c>
      <c r="M1566" s="62" t="s">
        <v>24995</v>
      </c>
      <c r="N1566" s="62" t="s">
        <v>19269</v>
      </c>
      <c r="O1566" s="62" t="s">
        <v>4920</v>
      </c>
      <c r="P1566" s="42" t="str">
        <f>+IF(O1566="","",IFERROR(VLOOKUP(O1566,CODIGO_DIAGNOSTICO,2,0),"CÓDIGO NO ENCONTRADO"))</f>
        <v>SINDROME DE MANGUITO ROTATORIO</v>
      </c>
      <c r="Q1566" s="62" t="s">
        <v>26059</v>
      </c>
      <c r="R1566" s="64"/>
      <c r="S1566" s="75"/>
      <c r="T1566" s="75"/>
      <c r="U1566" s="65"/>
      <c r="V1566" s="62"/>
      <c r="W1566" s="65"/>
      <c r="X1566" s="62"/>
      <c r="Y1566" s="65"/>
      <c r="Z1566" s="73"/>
    </row>
    <row r="1567" spans="1:26" ht="15.75" hidden="1" customHeight="1" x14ac:dyDescent="0.25">
      <c r="A1567" s="67">
        <v>5</v>
      </c>
      <c r="B1567" s="68">
        <v>39191687</v>
      </c>
      <c r="C1567" s="68" t="s">
        <v>25248</v>
      </c>
      <c r="D1567" s="68" t="s">
        <v>25246</v>
      </c>
      <c r="E1567" s="68" t="s">
        <v>26570</v>
      </c>
      <c r="F1567" s="68" t="s">
        <v>26571</v>
      </c>
      <c r="G1567" s="81" t="s">
        <v>19285</v>
      </c>
      <c r="H1567" s="69">
        <v>46147</v>
      </c>
      <c r="I1567" s="69">
        <v>46148</v>
      </c>
      <c r="J1567" s="68">
        <v>2</v>
      </c>
      <c r="K1567" s="68">
        <v>2</v>
      </c>
      <c r="L1567" s="68" t="s">
        <v>24995</v>
      </c>
      <c r="M1567" s="68" t="s">
        <v>24995</v>
      </c>
      <c r="N1567" s="62" t="s">
        <v>19269</v>
      </c>
      <c r="O1567" s="68" t="s">
        <v>15281</v>
      </c>
      <c r="P1567" s="42" t="str">
        <f>+IF(O1567="","",IFERROR(VLOOKUP(O1567,CODIGO_DIAGNOSTICO,2,0),"CÓDIGO NO ENCONTRADO"))</f>
        <v>RINOFARINGITIS AGUDA (RESFRIADO COMUN)</v>
      </c>
      <c r="Q1567" s="68" t="s">
        <v>26059</v>
      </c>
      <c r="R1567" s="67"/>
      <c r="S1567" s="77"/>
      <c r="T1567" s="76"/>
      <c r="U1567" s="65"/>
      <c r="V1567" s="68"/>
      <c r="W1567" s="70"/>
      <c r="X1567" s="68"/>
      <c r="Y1567" s="70"/>
      <c r="Z1567" s="72"/>
    </row>
    <row r="1568" spans="1:26" ht="15.75" hidden="1" customHeight="1" x14ac:dyDescent="0.25">
      <c r="A1568" s="64">
        <v>5</v>
      </c>
      <c r="B1568" s="62">
        <v>8407241</v>
      </c>
      <c r="C1568" s="62" t="s">
        <v>25776</v>
      </c>
      <c r="D1568" s="62" t="s">
        <v>25030</v>
      </c>
      <c r="E1568" s="62" t="s">
        <v>19256</v>
      </c>
      <c r="F1568" s="62" t="s">
        <v>25005</v>
      </c>
      <c r="G1568" s="81" t="s">
        <v>19285</v>
      </c>
      <c r="H1568" s="63">
        <v>46148</v>
      </c>
      <c r="I1568" s="63">
        <v>46150</v>
      </c>
      <c r="J1568" s="62">
        <v>3</v>
      </c>
      <c r="K1568" s="62">
        <v>3</v>
      </c>
      <c r="L1568" s="62" t="s">
        <v>19262</v>
      </c>
      <c r="M1568" s="62" t="s">
        <v>24995</v>
      </c>
      <c r="N1568" s="62" t="s">
        <v>19269</v>
      </c>
      <c r="O1568" s="62" t="s">
        <v>4920</v>
      </c>
      <c r="P1568" s="42" t="str">
        <f>+IF(O1568="","",IFERROR(VLOOKUP(O1568,CODIGO_DIAGNOSTICO,2,0),"CÓDIGO NO ENCONTRADO"))</f>
        <v>SINDROME DE MANGUITO ROTATORIO</v>
      </c>
      <c r="Q1568" s="62" t="s">
        <v>26059</v>
      </c>
      <c r="R1568" s="64"/>
      <c r="S1568" s="75"/>
      <c r="T1568" s="75"/>
      <c r="U1568" s="65"/>
      <c r="V1568" s="62"/>
      <c r="W1568" s="65"/>
      <c r="X1568" s="62"/>
      <c r="Y1568" s="65"/>
      <c r="Z1568" s="73"/>
    </row>
    <row r="1569" spans="1:26" ht="15.75" hidden="1" customHeight="1" x14ac:dyDescent="0.25">
      <c r="A1569" s="67">
        <v>5</v>
      </c>
      <c r="B1569" s="68">
        <v>8462739</v>
      </c>
      <c r="C1569" s="68" t="s">
        <v>25747</v>
      </c>
      <c r="D1569" s="68"/>
      <c r="E1569" s="68" t="s">
        <v>25035</v>
      </c>
      <c r="F1569" s="68" t="s">
        <v>25592</v>
      </c>
      <c r="G1569" s="81" t="s">
        <v>19285</v>
      </c>
      <c r="H1569" s="69">
        <v>46150</v>
      </c>
      <c r="I1569" s="69">
        <v>46154</v>
      </c>
      <c r="J1569" s="68">
        <v>5</v>
      </c>
      <c r="K1569" s="68">
        <v>5</v>
      </c>
      <c r="L1569" s="68" t="s">
        <v>24995</v>
      </c>
      <c r="M1569" s="68" t="s">
        <v>24995</v>
      </c>
      <c r="N1569" s="62" t="s">
        <v>19269</v>
      </c>
      <c r="O1569" s="68" t="s">
        <v>11782</v>
      </c>
      <c r="P1569" s="42" t="str">
        <f>+IF(O1569="","",IFERROR(VLOOKUP(O1569,CODIGO_DIAGNOSTICO,2,0),"CÓDIGO NO ENCONTRADO"))</f>
        <v>OTROS PROCEDIMIENTOS QUIRURGICOS</v>
      </c>
      <c r="Q1569" s="68"/>
      <c r="R1569" s="67"/>
      <c r="S1569" s="77"/>
      <c r="T1569" s="76"/>
      <c r="U1569" s="65"/>
      <c r="V1569" s="68"/>
      <c r="W1569" s="70"/>
      <c r="X1569" s="68"/>
      <c r="Y1569" s="70"/>
      <c r="Z1569" s="72"/>
    </row>
    <row r="1570" spans="1:26" ht="15.75" hidden="1" customHeight="1" x14ac:dyDescent="0.25">
      <c r="A1570" s="64">
        <v>5</v>
      </c>
      <c r="B1570" s="62">
        <v>71382103</v>
      </c>
      <c r="C1570" s="62" t="s">
        <v>25776</v>
      </c>
      <c r="D1570" s="62" t="s">
        <v>25968</v>
      </c>
      <c r="E1570" s="62" t="s">
        <v>25198</v>
      </c>
      <c r="F1570" s="62" t="s">
        <v>25276</v>
      </c>
      <c r="G1570" s="81" t="s">
        <v>19285</v>
      </c>
      <c r="H1570" s="63">
        <v>46150</v>
      </c>
      <c r="I1570" s="63">
        <v>46164</v>
      </c>
      <c r="J1570" s="62">
        <v>15</v>
      </c>
      <c r="K1570" s="62">
        <v>15</v>
      </c>
      <c r="L1570" s="62" t="s">
        <v>19262</v>
      </c>
      <c r="M1570" s="62" t="s">
        <v>19262</v>
      </c>
      <c r="N1570" s="62" t="s">
        <v>19269</v>
      </c>
      <c r="O1570" s="62" t="s">
        <v>7734</v>
      </c>
      <c r="P1570" s="42" t="str">
        <f>+IF(O1570="","",IFERROR(VLOOKUP(O1570,CODIGO_DIAGNOSTICO,2,0),"CÓDIGO NO ENCONTRADO"))</f>
        <v>DESGARRO DE MENISCOS, PRESENTE</v>
      </c>
      <c r="Q1570" s="62" t="s">
        <v>26059</v>
      </c>
      <c r="R1570" s="64"/>
      <c r="S1570" s="75"/>
      <c r="T1570" s="75"/>
      <c r="U1570" s="65"/>
      <c r="V1570" s="62"/>
      <c r="W1570" s="65"/>
      <c r="X1570" s="62"/>
      <c r="Y1570" s="65"/>
      <c r="Z1570" s="73"/>
    </row>
    <row r="1571" spans="1:26" ht="15.75" hidden="1" customHeight="1" x14ac:dyDescent="0.25">
      <c r="A1571" s="67">
        <v>5</v>
      </c>
      <c r="B1571" s="68">
        <v>1214737996</v>
      </c>
      <c r="C1571" s="68" t="s">
        <v>25547</v>
      </c>
      <c r="D1571" s="68" t="s">
        <v>25969</v>
      </c>
      <c r="E1571" s="68" t="s">
        <v>26338</v>
      </c>
      <c r="F1571" s="68" t="s">
        <v>25755</v>
      </c>
      <c r="G1571" s="81" t="s">
        <v>19285</v>
      </c>
      <c r="H1571" s="69">
        <v>46150</v>
      </c>
      <c r="I1571" s="69">
        <v>46164</v>
      </c>
      <c r="J1571" s="68">
        <v>15</v>
      </c>
      <c r="K1571" s="68">
        <v>15</v>
      </c>
      <c r="L1571" s="68" t="s">
        <v>24995</v>
      </c>
      <c r="M1571" s="68" t="s">
        <v>19262</v>
      </c>
      <c r="N1571" s="62" t="s">
        <v>19269</v>
      </c>
      <c r="O1571" s="68" t="s">
        <v>8417</v>
      </c>
      <c r="P1571" s="42" t="str">
        <f>+IF(O1571="","",IFERROR(VLOOKUP(O1571,CODIGO_DIAGNOSTICO,2,0),"CÓDIGO NO ENCONTRADO"))</f>
        <v>COMPLICACION MECANICA DE DISPOSITIVO DE FIJACION INTERNA DE OTROS HUESOS</v>
      </c>
      <c r="Q1571" s="68" t="s">
        <v>26339</v>
      </c>
      <c r="R1571" s="67"/>
      <c r="S1571" s="77"/>
      <c r="T1571" s="76"/>
      <c r="U1571" s="65"/>
      <c r="V1571" s="68"/>
      <c r="W1571" s="70"/>
      <c r="X1571" s="68"/>
      <c r="Y1571" s="70"/>
      <c r="Z1571" s="72"/>
    </row>
    <row r="1572" spans="1:26" ht="15.75" hidden="1" customHeight="1" x14ac:dyDescent="0.25">
      <c r="A1572" s="64">
        <v>5</v>
      </c>
      <c r="B1572" s="62">
        <v>8407241</v>
      </c>
      <c r="C1572" s="62" t="s">
        <v>25776</v>
      </c>
      <c r="D1572" s="62" t="s">
        <v>25030</v>
      </c>
      <c r="E1572" s="62" t="s">
        <v>19256</v>
      </c>
      <c r="F1572" s="62" t="s">
        <v>25005</v>
      </c>
      <c r="G1572" s="81" t="s">
        <v>19285</v>
      </c>
      <c r="H1572" s="63">
        <v>46151</v>
      </c>
      <c r="I1572" s="63">
        <v>46160</v>
      </c>
      <c r="J1572" s="62">
        <v>10</v>
      </c>
      <c r="K1572" s="62">
        <v>10</v>
      </c>
      <c r="L1572" s="62" t="s">
        <v>19262</v>
      </c>
      <c r="M1572" s="62" t="s">
        <v>19262</v>
      </c>
      <c r="N1572" s="62" t="s">
        <v>19269</v>
      </c>
      <c r="O1572" s="62" t="s">
        <v>4924</v>
      </c>
      <c r="P1572" s="42" t="str">
        <f>+IF(O1572="","",IFERROR(VLOOKUP(O1572,CODIGO_DIAGNOSTICO,2,0),"CÓDIGO NO ENCONTRADO"))</f>
        <v>BURSITIS DEL HOMBRO</v>
      </c>
      <c r="Q1572" s="62" t="s">
        <v>26059</v>
      </c>
      <c r="R1572" s="64"/>
      <c r="S1572" s="75"/>
      <c r="T1572" s="75"/>
      <c r="U1572" s="65"/>
      <c r="V1572" s="62"/>
      <c r="W1572" s="65"/>
      <c r="X1572" s="62"/>
      <c r="Y1572" s="65"/>
      <c r="Z1572" s="73"/>
    </row>
    <row r="1573" spans="1:26" ht="15.75" hidden="1" customHeight="1" x14ac:dyDescent="0.25">
      <c r="A1573" s="67">
        <v>5</v>
      </c>
      <c r="B1573" s="68">
        <v>71771838</v>
      </c>
      <c r="C1573" s="68" t="s">
        <v>26441</v>
      </c>
      <c r="D1573" s="68" t="s">
        <v>25379</v>
      </c>
      <c r="E1573" s="68" t="s">
        <v>25603</v>
      </c>
      <c r="F1573" s="68"/>
      <c r="G1573" s="81" t="s">
        <v>19285</v>
      </c>
      <c r="H1573" s="69">
        <v>46152</v>
      </c>
      <c r="I1573" s="69">
        <v>46156</v>
      </c>
      <c r="J1573" s="68">
        <v>5</v>
      </c>
      <c r="K1573" s="68">
        <v>5</v>
      </c>
      <c r="L1573" s="68" t="s">
        <v>24995</v>
      </c>
      <c r="M1573" s="68" t="s">
        <v>24995</v>
      </c>
      <c r="N1573" s="62" t="s">
        <v>19269</v>
      </c>
      <c r="O1573" s="68" t="s">
        <v>4643</v>
      </c>
      <c r="P1573" s="42" t="str">
        <f>+IF(O1573="","",IFERROR(VLOOKUP(O1573,CODIGO_DIAGNOSTICO,2,0),"CÓDIGO NO ENCONTRADO"))</f>
        <v>COXARTROSIS, NO ESPECIFICADA</v>
      </c>
      <c r="Q1573" s="68" t="s">
        <v>26059</v>
      </c>
      <c r="R1573" s="67"/>
      <c r="S1573" s="77"/>
      <c r="T1573" s="76"/>
      <c r="U1573" s="65"/>
      <c r="V1573" s="68"/>
      <c r="W1573" s="70"/>
      <c r="X1573" s="68"/>
      <c r="Y1573" s="70"/>
      <c r="Z1573" s="72"/>
    </row>
    <row r="1574" spans="1:26" ht="15.75" hidden="1" customHeight="1" x14ac:dyDescent="0.25">
      <c r="A1574" s="64">
        <v>5</v>
      </c>
      <c r="B1574" s="62">
        <v>1128467712</v>
      </c>
      <c r="C1574" s="62" t="s">
        <v>25534</v>
      </c>
      <c r="D1574" s="62" t="s">
        <v>19258</v>
      </c>
      <c r="E1574" s="62" t="s">
        <v>25879</v>
      </c>
      <c r="F1574" s="62" t="s">
        <v>25880</v>
      </c>
      <c r="G1574" s="81" t="s">
        <v>26047</v>
      </c>
      <c r="H1574" s="63">
        <v>46152</v>
      </c>
      <c r="I1574" s="63">
        <v>46154</v>
      </c>
      <c r="J1574" s="62">
        <v>3</v>
      </c>
      <c r="K1574" s="62">
        <v>3</v>
      </c>
      <c r="L1574" s="62" t="s">
        <v>24995</v>
      </c>
      <c r="M1574" s="62" t="s">
        <v>24995</v>
      </c>
      <c r="N1574" s="62" t="s">
        <v>19269</v>
      </c>
      <c r="O1574" s="62" t="s">
        <v>7713</v>
      </c>
      <c r="P1574" s="42" t="str">
        <f>+IF(O1574="","",IFERROR(VLOOKUP(O1574,CODIGO_DIAGNOSTICO,2,0),"CÓDIGO NO ENCONTRADO"))</f>
        <v>CONTUSION DE LA RODILLA</v>
      </c>
      <c r="Q1574" s="62" t="s">
        <v>26059</v>
      </c>
      <c r="R1574" s="64"/>
      <c r="S1574" s="75"/>
      <c r="T1574" s="75"/>
      <c r="U1574" s="65"/>
      <c r="V1574" s="62"/>
      <c r="W1574" s="65"/>
      <c r="X1574" s="62"/>
      <c r="Y1574" s="65"/>
      <c r="Z1574" s="73"/>
    </row>
    <row r="1575" spans="1:26" ht="15.75" hidden="1" customHeight="1" x14ac:dyDescent="0.25">
      <c r="A1575" s="67">
        <v>5</v>
      </c>
      <c r="B1575" s="68">
        <v>26988317</v>
      </c>
      <c r="C1575" s="68" t="s">
        <v>25034</v>
      </c>
      <c r="D1575" s="68" t="s">
        <v>25969</v>
      </c>
      <c r="E1575" s="68" t="s">
        <v>26455</v>
      </c>
      <c r="F1575" s="68" t="s">
        <v>26551</v>
      </c>
      <c r="G1575" s="81" t="s">
        <v>19285</v>
      </c>
      <c r="H1575" s="69">
        <v>46153</v>
      </c>
      <c r="I1575" s="69">
        <v>46154</v>
      </c>
      <c r="J1575" s="68">
        <v>2</v>
      </c>
      <c r="K1575" s="68">
        <v>2</v>
      </c>
      <c r="L1575" s="68" t="s">
        <v>24995</v>
      </c>
      <c r="M1575" s="68" t="s">
        <v>24995</v>
      </c>
      <c r="N1575" s="62" t="s">
        <v>19269</v>
      </c>
      <c r="O1575" s="68" t="s">
        <v>5279</v>
      </c>
      <c r="P1575" s="42" t="str">
        <f>+IF(O1575="","",IFERROR(VLOOKUP(O1575,CODIGO_DIAGNOSTICO,2,0),"CÓDIGO NO ENCONTRADO"))</f>
        <v>INFECCION DE VIAS URINARIAS, SITIO NO ESPECIFICADO</v>
      </c>
      <c r="Q1575" s="68" t="s">
        <v>24976</v>
      </c>
      <c r="R1575" s="67"/>
      <c r="S1575" s="77"/>
      <c r="T1575" s="76"/>
      <c r="U1575" s="65"/>
      <c r="V1575" s="68"/>
      <c r="W1575" s="70"/>
      <c r="X1575" s="68"/>
      <c r="Y1575" s="70"/>
      <c r="Z1575" s="72"/>
    </row>
    <row r="1576" spans="1:26" ht="15.75" hidden="1" customHeight="1" x14ac:dyDescent="0.25">
      <c r="A1576" s="64">
        <v>5</v>
      </c>
      <c r="B1576" s="62">
        <v>70137576</v>
      </c>
      <c r="C1576" s="62" t="s">
        <v>25086</v>
      </c>
      <c r="D1576" s="62" t="s">
        <v>25424</v>
      </c>
      <c r="E1576" s="62" t="s">
        <v>25405</v>
      </c>
      <c r="F1576" s="62" t="s">
        <v>25276</v>
      </c>
      <c r="G1576" s="81" t="s">
        <v>19285</v>
      </c>
      <c r="H1576" s="63">
        <v>46153</v>
      </c>
      <c r="I1576" s="63">
        <v>46182</v>
      </c>
      <c r="J1576" s="62">
        <v>30</v>
      </c>
      <c r="K1576" s="62">
        <v>30</v>
      </c>
      <c r="L1576" s="62" t="s">
        <v>24995</v>
      </c>
      <c r="M1576" s="62" t="s">
        <v>24995</v>
      </c>
      <c r="N1576" s="62" t="s">
        <v>19269</v>
      </c>
      <c r="O1576" s="62" t="s">
        <v>4650</v>
      </c>
      <c r="P1576" s="42" t="str">
        <f>+IF(O1576="","",IFERROR(VLOOKUP(O1576,CODIGO_DIAGNOSTICO,2,0),"CÓDIGO NO ENCONTRADO"))</f>
        <v>GONARTROSIS, NO ESPECIFICADA</v>
      </c>
      <c r="Q1576" s="62" t="s">
        <v>26059</v>
      </c>
      <c r="R1576" s="64"/>
      <c r="S1576" s="75"/>
      <c r="T1576" s="75"/>
      <c r="U1576" s="65"/>
      <c r="V1576" s="62"/>
      <c r="W1576" s="65"/>
      <c r="X1576" s="62"/>
      <c r="Y1576" s="65"/>
      <c r="Z1576" s="73"/>
    </row>
    <row r="1577" spans="1:26" ht="15.75" hidden="1" customHeight="1" x14ac:dyDescent="0.25">
      <c r="A1577" s="67">
        <v>5</v>
      </c>
      <c r="B1577" s="68">
        <v>1128467712</v>
      </c>
      <c r="C1577" s="68" t="s">
        <v>25534</v>
      </c>
      <c r="D1577" s="68" t="s">
        <v>19258</v>
      </c>
      <c r="E1577" s="68" t="s">
        <v>25879</v>
      </c>
      <c r="F1577" s="68" t="s">
        <v>25880</v>
      </c>
      <c r="G1577" s="81" t="s">
        <v>26047</v>
      </c>
      <c r="H1577" s="69">
        <v>46155</v>
      </c>
      <c r="I1577" s="69">
        <v>46157</v>
      </c>
      <c r="J1577" s="68">
        <v>3</v>
      </c>
      <c r="K1577" s="68">
        <v>3</v>
      </c>
      <c r="L1577" s="68" t="s">
        <v>19262</v>
      </c>
      <c r="M1577" s="68" t="s">
        <v>24995</v>
      </c>
      <c r="N1577" s="62" t="s">
        <v>19269</v>
      </c>
      <c r="O1577" s="68" t="s">
        <v>7738</v>
      </c>
      <c r="P1577" s="42" t="str">
        <f>+IF(O1577="","",IFERROR(VLOOKUP(O1577,CODIGO_DIAGNOSTICO,2,0),"CÓDIGO NO ENCONTRADO"))</f>
        <v>ESGUINCES Y TORCEDURAS DE OTRAS PARTES Y LAS NO ESPECIFICADAS DE LA RODILLA</v>
      </c>
      <c r="Q1577" s="68" t="s">
        <v>26059</v>
      </c>
      <c r="R1577" s="67"/>
      <c r="S1577" s="77"/>
      <c r="T1577" s="76"/>
      <c r="U1577" s="65"/>
      <c r="V1577" s="68"/>
      <c r="W1577" s="70"/>
      <c r="X1577" s="68"/>
      <c r="Y1577" s="70"/>
      <c r="Z1577" s="72"/>
    </row>
    <row r="1578" spans="1:26" ht="15.75" hidden="1" customHeight="1" x14ac:dyDescent="0.25">
      <c r="A1578" s="64">
        <v>5</v>
      </c>
      <c r="B1578" s="62">
        <v>70108742</v>
      </c>
      <c r="C1578" s="62" t="s">
        <v>25075</v>
      </c>
      <c r="D1578" s="62" t="s">
        <v>25510</v>
      </c>
      <c r="E1578" s="62" t="s">
        <v>25884</v>
      </c>
      <c r="F1578" s="62"/>
      <c r="G1578" s="81" t="s">
        <v>19285</v>
      </c>
      <c r="H1578" s="63">
        <v>46155</v>
      </c>
      <c r="I1578" s="63">
        <v>46184</v>
      </c>
      <c r="J1578" s="62">
        <v>30</v>
      </c>
      <c r="K1578" s="62">
        <v>30</v>
      </c>
      <c r="L1578" s="62" t="s">
        <v>19262</v>
      </c>
      <c r="M1578" s="62" t="s">
        <v>19262</v>
      </c>
      <c r="N1578" s="62" t="s">
        <v>19269</v>
      </c>
      <c r="O1578" s="62" t="s">
        <v>954</v>
      </c>
      <c r="P1578" s="42" t="str">
        <f>+IF(O1578="","",IFERROR(VLOOKUP(O1578,CODIGO_DIAGNOSTICO,2,0),"CÓDIGO NO ENCONTRADO"))</f>
        <v>TUMOR MALIGNO DE LOS BRONQUIOS O DEL PULMON, PARTE NO ESPECIFICADA</v>
      </c>
      <c r="Q1578" s="62" t="s">
        <v>26059</v>
      </c>
      <c r="R1578" s="64"/>
      <c r="S1578" s="75"/>
      <c r="T1578" s="75"/>
      <c r="U1578" s="65"/>
      <c r="V1578" s="62"/>
      <c r="W1578" s="65"/>
      <c r="X1578" s="62"/>
      <c r="Y1578" s="65"/>
      <c r="Z1578" s="73"/>
    </row>
    <row r="1579" spans="1:26" ht="15.75" hidden="1" customHeight="1" x14ac:dyDescent="0.25">
      <c r="A1579" s="67">
        <v>5</v>
      </c>
      <c r="B1579" s="68">
        <v>8462739</v>
      </c>
      <c r="C1579" s="68" t="s">
        <v>25747</v>
      </c>
      <c r="D1579" s="68"/>
      <c r="E1579" s="68" t="s">
        <v>25035</v>
      </c>
      <c r="F1579" s="68" t="s">
        <v>25592</v>
      </c>
      <c r="G1579" s="81" t="s">
        <v>19285</v>
      </c>
      <c r="H1579" s="69">
        <v>46155</v>
      </c>
      <c r="I1579" s="69">
        <v>46159</v>
      </c>
      <c r="J1579" s="68">
        <v>5</v>
      </c>
      <c r="K1579" s="68">
        <v>5</v>
      </c>
      <c r="L1579" s="68" t="s">
        <v>25995</v>
      </c>
      <c r="M1579" s="68" t="s">
        <v>24995</v>
      </c>
      <c r="N1579" s="62" t="s">
        <v>19269</v>
      </c>
      <c r="O1579" s="68" t="s">
        <v>4396</v>
      </c>
      <c r="P1579" s="42" t="str">
        <f>+IF(O1579="","",IFERROR(VLOOKUP(O1579,CODIGO_DIAGNOSTICO,2,0),"CÓDIGO NO ENCONTRADO"))</f>
        <v>UÑA ENCARNADA</v>
      </c>
      <c r="Q1579" s="68" t="s">
        <v>24996</v>
      </c>
      <c r="R1579" s="67"/>
      <c r="S1579" s="77"/>
      <c r="T1579" s="76"/>
      <c r="U1579" s="65"/>
      <c r="V1579" s="68"/>
      <c r="W1579" s="70"/>
      <c r="X1579" s="68"/>
      <c r="Y1579" s="70"/>
      <c r="Z1579" s="72"/>
    </row>
    <row r="1580" spans="1:26" ht="15.75" hidden="1" customHeight="1" x14ac:dyDescent="0.25">
      <c r="A1580" s="64">
        <v>5</v>
      </c>
      <c r="B1580" s="62">
        <v>77027311</v>
      </c>
      <c r="C1580" s="62" t="s">
        <v>25079</v>
      </c>
      <c r="D1580" s="62" t="s">
        <v>25212</v>
      </c>
      <c r="E1580" s="62" t="s">
        <v>25056</v>
      </c>
      <c r="F1580" s="62" t="s">
        <v>25213</v>
      </c>
      <c r="G1580" s="81" t="s">
        <v>19285</v>
      </c>
      <c r="H1580" s="63">
        <v>46155</v>
      </c>
      <c r="I1580" s="63">
        <v>46157</v>
      </c>
      <c r="J1580" s="62">
        <v>3</v>
      </c>
      <c r="K1580" s="62">
        <v>3</v>
      </c>
      <c r="L1580" s="62" t="s">
        <v>24995</v>
      </c>
      <c r="M1580" s="62" t="s">
        <v>24995</v>
      </c>
      <c r="N1580" s="62" t="s">
        <v>19269</v>
      </c>
      <c r="O1580" s="62" t="s">
        <v>4838</v>
      </c>
      <c r="P1580" s="42" t="str">
        <f>+IF(O1580="","",IFERROR(VLOOKUP(O1580,CODIGO_DIAGNOSTICO,2,0),"CÓDIGO NO ENCONTRADO"))</f>
        <v>LUMBAGO NO ESPECIFICADO</v>
      </c>
      <c r="Q1580" s="62" t="s">
        <v>24996</v>
      </c>
      <c r="R1580" s="64"/>
      <c r="S1580" s="75"/>
      <c r="T1580" s="75"/>
      <c r="U1580" s="65"/>
      <c r="V1580" s="62"/>
      <c r="W1580" s="65"/>
      <c r="X1580" s="62"/>
      <c r="Y1580" s="65"/>
      <c r="Z1580" s="73"/>
    </row>
    <row r="1581" spans="1:26" ht="15.75" hidden="1" customHeight="1" x14ac:dyDescent="0.25">
      <c r="A1581" s="67">
        <v>5</v>
      </c>
      <c r="B1581" s="68">
        <v>1002206888</v>
      </c>
      <c r="C1581" s="68" t="s">
        <v>25307</v>
      </c>
      <c r="D1581" s="68" t="s">
        <v>25173</v>
      </c>
      <c r="E1581" s="68" t="s">
        <v>26520</v>
      </c>
      <c r="F1581" s="68"/>
      <c r="G1581" s="81" t="s">
        <v>19285</v>
      </c>
      <c r="H1581" s="69">
        <v>46155</v>
      </c>
      <c r="I1581" s="69">
        <v>46156</v>
      </c>
      <c r="J1581" s="68">
        <v>2</v>
      </c>
      <c r="K1581" s="68">
        <v>2</v>
      </c>
      <c r="L1581" s="68" t="s">
        <v>24995</v>
      </c>
      <c r="M1581" s="68" t="s">
        <v>24995</v>
      </c>
      <c r="N1581" s="62" t="s">
        <v>19269</v>
      </c>
      <c r="O1581" s="68" t="s">
        <v>2272</v>
      </c>
      <c r="P1581" s="42" t="str">
        <f>+IF(O1581="","",IFERROR(VLOOKUP(O1581,CODIGO_DIAGNOSTICO,2,0),"CÓDIGO NO ENCONTRADO"))</f>
        <v>TRASTORNO MIXTO DE ANSIEDAD Y DEPRESION</v>
      </c>
      <c r="Q1581" s="68" t="s">
        <v>26059</v>
      </c>
      <c r="R1581" s="67"/>
      <c r="S1581" s="77"/>
      <c r="T1581" s="76"/>
      <c r="U1581" s="65"/>
      <c r="V1581" s="68"/>
      <c r="W1581" s="70"/>
      <c r="X1581" s="68"/>
      <c r="Y1581" s="70"/>
      <c r="Z1581" s="72"/>
    </row>
    <row r="1582" spans="1:26" ht="15.75" hidden="1" customHeight="1" x14ac:dyDescent="0.25">
      <c r="A1582" s="64">
        <v>5</v>
      </c>
      <c r="B1582" s="62">
        <v>26988317</v>
      </c>
      <c r="C1582" s="62" t="s">
        <v>25034</v>
      </c>
      <c r="D1582" s="62" t="s">
        <v>25969</v>
      </c>
      <c r="E1582" s="62" t="s">
        <v>26455</v>
      </c>
      <c r="F1582" s="62" t="s">
        <v>26574</v>
      </c>
      <c r="G1582" s="81" t="s">
        <v>19285</v>
      </c>
      <c r="H1582" s="63">
        <v>46156</v>
      </c>
      <c r="I1582" s="63">
        <v>46157</v>
      </c>
      <c r="J1582" s="62">
        <v>2</v>
      </c>
      <c r="K1582" s="62">
        <v>2</v>
      </c>
      <c r="L1582" s="62" t="s">
        <v>24995</v>
      </c>
      <c r="M1582" s="62" t="s">
        <v>24995</v>
      </c>
      <c r="N1582" s="62" t="s">
        <v>19269</v>
      </c>
      <c r="O1582" s="62" t="s">
        <v>5216</v>
      </c>
      <c r="P1582" s="42" t="str">
        <f>+IF(O1582="","",IFERROR(VLOOKUP(O1582,CODIGO_DIAGNOSTICO,2,0),"CÓDIGO NO ENCONTRADO"))</f>
        <v>CALCULO DEL RIÑON</v>
      </c>
      <c r="Q1582" s="62" t="s">
        <v>24976</v>
      </c>
      <c r="R1582" s="64"/>
      <c r="S1582" s="75"/>
      <c r="T1582" s="75"/>
      <c r="U1582" s="65"/>
      <c r="V1582" s="62"/>
      <c r="W1582" s="65"/>
      <c r="X1582" s="62"/>
      <c r="Y1582" s="65"/>
      <c r="Z1582" s="73"/>
    </row>
    <row r="1583" spans="1:26" ht="15.75" hidden="1" customHeight="1" x14ac:dyDescent="0.25">
      <c r="A1583" s="67">
        <v>5</v>
      </c>
      <c r="B1583" s="68">
        <v>39191587</v>
      </c>
      <c r="C1583" s="68" t="s">
        <v>25248</v>
      </c>
      <c r="D1583" s="68" t="s">
        <v>25246</v>
      </c>
      <c r="E1583" s="68" t="s">
        <v>26570</v>
      </c>
      <c r="F1583" s="68" t="s">
        <v>26571</v>
      </c>
      <c r="G1583" s="81" t="s">
        <v>19285</v>
      </c>
      <c r="H1583" s="69">
        <v>46157</v>
      </c>
      <c r="I1583" s="69">
        <v>46157</v>
      </c>
      <c r="J1583" s="68">
        <v>1</v>
      </c>
      <c r="K1583" s="68">
        <v>1</v>
      </c>
      <c r="L1583" s="68" t="s">
        <v>24995</v>
      </c>
      <c r="M1583" s="68" t="s">
        <v>24995</v>
      </c>
      <c r="N1583" s="62" t="s">
        <v>19269</v>
      </c>
      <c r="O1583" s="68" t="s">
        <v>7060</v>
      </c>
      <c r="P1583" s="42" t="str">
        <f>+IF(O1583="","",IFERROR(VLOOKUP(O1583,CODIGO_DIAGNOSTICO,2,0),"CÓDIGO NO ENCONTRADO"))</f>
        <v>OTRO DOLOR CRONICO</v>
      </c>
      <c r="Q1583" s="68" t="s">
        <v>26059</v>
      </c>
      <c r="R1583" s="67"/>
      <c r="S1583" s="77"/>
      <c r="T1583" s="76"/>
      <c r="U1583" s="65"/>
      <c r="V1583" s="68"/>
      <c r="W1583" s="70"/>
      <c r="X1583" s="68"/>
      <c r="Y1583" s="70"/>
      <c r="Z1583" s="72"/>
    </row>
    <row r="1584" spans="1:26" ht="15.75" hidden="1" customHeight="1" x14ac:dyDescent="0.25">
      <c r="A1584" s="64">
        <v>5</v>
      </c>
      <c r="B1584" s="62">
        <v>3985121</v>
      </c>
      <c r="C1584" s="62" t="s">
        <v>26565</v>
      </c>
      <c r="D1584" s="62"/>
      <c r="E1584" s="62" t="s">
        <v>25150</v>
      </c>
      <c r="F1584" s="62"/>
      <c r="G1584" s="81" t="s">
        <v>19285</v>
      </c>
      <c r="H1584" s="63">
        <v>46158</v>
      </c>
      <c r="I1584" s="63">
        <v>46187</v>
      </c>
      <c r="J1584" s="62">
        <v>30</v>
      </c>
      <c r="K1584" s="62">
        <v>30</v>
      </c>
      <c r="L1584" s="62" t="s">
        <v>19262</v>
      </c>
      <c r="M1584" s="62" t="s">
        <v>19262</v>
      </c>
      <c r="N1584" s="62" t="s">
        <v>19269</v>
      </c>
      <c r="O1584" s="62" t="s">
        <v>7724</v>
      </c>
      <c r="P1584" s="42" t="str">
        <f>+IF(O1584="","",IFERROR(VLOOKUP(O1584,CODIGO_DIAGNOSTICO,2,0),"CÓDIGO NO ENCONTRADO"))</f>
        <v>FRACTURA DE LA DIAFISIS DE LA TIBIA</v>
      </c>
      <c r="Q1584" s="62" t="s">
        <v>25025</v>
      </c>
      <c r="R1584" s="64"/>
      <c r="S1584" s="75"/>
      <c r="T1584" s="75"/>
      <c r="U1584" s="65"/>
      <c r="V1584" s="62"/>
      <c r="W1584" s="65"/>
      <c r="X1584" s="62"/>
      <c r="Y1584" s="65"/>
      <c r="Z1584" s="73"/>
    </row>
    <row r="1585" spans="1:26" ht="15.75" hidden="1" customHeight="1" x14ac:dyDescent="0.25">
      <c r="A1585" s="67">
        <v>5</v>
      </c>
      <c r="B1585" s="68">
        <v>98701261</v>
      </c>
      <c r="C1585" s="68" t="s">
        <v>25128</v>
      </c>
      <c r="D1585" s="68" t="s">
        <v>25454</v>
      </c>
      <c r="E1585" s="68" t="s">
        <v>25203</v>
      </c>
      <c r="F1585" s="68" t="s">
        <v>25405</v>
      </c>
      <c r="G1585" s="81" t="s">
        <v>19285</v>
      </c>
      <c r="H1585" s="69">
        <v>46158</v>
      </c>
      <c r="I1585" s="69">
        <v>46159</v>
      </c>
      <c r="J1585" s="68">
        <v>2</v>
      </c>
      <c r="K1585" s="68">
        <v>2</v>
      </c>
      <c r="L1585" s="68" t="s">
        <v>24995</v>
      </c>
      <c r="M1585" s="68" t="s">
        <v>24995</v>
      </c>
      <c r="N1585" s="62" t="s">
        <v>19269</v>
      </c>
      <c r="O1585" s="68" t="s">
        <v>4603</v>
      </c>
      <c r="P1585" s="42" t="str">
        <f>+IF(O1585="","",IFERROR(VLOOKUP(O1585,CODIGO_DIAGNOSTICO,2,0),"CÓDIGO NO ENCONTRADO"))</f>
        <v>GOTA, NO ESPECIFICADA</v>
      </c>
      <c r="Q1585" s="68" t="s">
        <v>26059</v>
      </c>
      <c r="R1585" s="67"/>
      <c r="S1585" s="77"/>
      <c r="T1585" s="76"/>
      <c r="U1585" s="65"/>
      <c r="V1585" s="68"/>
      <c r="W1585" s="70"/>
      <c r="X1585" s="68"/>
      <c r="Y1585" s="70"/>
      <c r="Z1585" s="72"/>
    </row>
    <row r="1586" spans="1:26" ht="15.75" hidden="1" customHeight="1" x14ac:dyDescent="0.25">
      <c r="A1586" s="64">
        <v>5</v>
      </c>
      <c r="B1586" s="62">
        <v>71692130</v>
      </c>
      <c r="C1586" s="62" t="s">
        <v>25561</v>
      </c>
      <c r="D1586" s="62" t="s">
        <v>25117</v>
      </c>
      <c r="E1586" s="62" t="s">
        <v>25455</v>
      </c>
      <c r="F1586" s="62" t="s">
        <v>25213</v>
      </c>
      <c r="G1586" s="81" t="s">
        <v>19285</v>
      </c>
      <c r="H1586" s="63">
        <v>46158</v>
      </c>
      <c r="I1586" s="63">
        <v>46187</v>
      </c>
      <c r="J1586" s="62">
        <v>30</v>
      </c>
      <c r="K1586" s="62">
        <v>30</v>
      </c>
      <c r="L1586" s="62" t="s">
        <v>19262</v>
      </c>
      <c r="M1586" s="62" t="s">
        <v>19262</v>
      </c>
      <c r="N1586" s="62" t="s">
        <v>19269</v>
      </c>
      <c r="O1586" s="62" t="s">
        <v>7734</v>
      </c>
      <c r="P1586" s="42" t="str">
        <f>+IF(O1586="","",IFERROR(VLOOKUP(O1586,CODIGO_DIAGNOSTICO,2,0),"CÓDIGO NO ENCONTRADO"))</f>
        <v>DESGARRO DE MENISCOS, PRESENTE</v>
      </c>
      <c r="Q1586" s="62" t="s">
        <v>26059</v>
      </c>
      <c r="R1586" s="64"/>
      <c r="S1586" s="75"/>
      <c r="T1586" s="75"/>
      <c r="U1586" s="65"/>
      <c r="V1586" s="62"/>
      <c r="W1586" s="65"/>
      <c r="X1586" s="62"/>
      <c r="Y1586" s="65"/>
      <c r="Z1586" s="73"/>
    </row>
    <row r="1587" spans="1:26" ht="15.75" hidden="1" customHeight="1" x14ac:dyDescent="0.25">
      <c r="A1587" s="67">
        <v>6</v>
      </c>
      <c r="B1587" s="68">
        <v>71701610</v>
      </c>
      <c r="C1587" s="68" t="s">
        <v>25634</v>
      </c>
      <c r="D1587" s="68" t="s">
        <v>25509</v>
      </c>
      <c r="E1587" s="68" t="s">
        <v>25739</v>
      </c>
      <c r="F1587" s="68" t="s">
        <v>25051</v>
      </c>
      <c r="G1587" s="81" t="s">
        <v>19285</v>
      </c>
      <c r="H1587" s="69">
        <v>46159</v>
      </c>
      <c r="I1587" s="69">
        <v>46172</v>
      </c>
      <c r="J1587" s="68">
        <v>14</v>
      </c>
      <c r="K1587" s="68">
        <v>14</v>
      </c>
      <c r="L1587" s="68" t="s">
        <v>19262</v>
      </c>
      <c r="M1587" s="68" t="s">
        <v>19262</v>
      </c>
      <c r="N1587" s="62" t="s">
        <v>19269</v>
      </c>
      <c r="O1587" s="68" t="s">
        <v>3259</v>
      </c>
      <c r="P1587" s="42" t="str">
        <f>+IF(O1587="","",IFERROR(VLOOKUP(O1587,CODIGO_DIAGNOSTICO,2,0),"CÓDIGO NO ENCONTRADO"))</f>
        <v>ENFERMEDAD ISQUEMIA CRONICA DEL CORAZON, NO ESPECIFICADA</v>
      </c>
      <c r="Q1587" s="68" t="s">
        <v>26339</v>
      </c>
      <c r="R1587" s="67"/>
      <c r="S1587" s="77"/>
      <c r="T1587" s="76"/>
      <c r="U1587" s="65"/>
      <c r="V1587" s="68"/>
      <c r="W1587" s="70"/>
      <c r="X1587" s="68"/>
      <c r="Y1587" s="70"/>
      <c r="Z1587" s="72"/>
    </row>
    <row r="1588" spans="1:26" ht="15.75" hidden="1" customHeight="1" x14ac:dyDescent="0.25">
      <c r="A1588" s="64">
        <v>5</v>
      </c>
      <c r="B1588" s="62">
        <v>1128467712</v>
      </c>
      <c r="C1588" s="62" t="s">
        <v>25534</v>
      </c>
      <c r="D1588" s="62" t="s">
        <v>19258</v>
      </c>
      <c r="E1588" s="62" t="s">
        <v>25879</v>
      </c>
      <c r="F1588" s="62" t="s">
        <v>25880</v>
      </c>
      <c r="G1588" s="81" t="s">
        <v>26047</v>
      </c>
      <c r="H1588" s="63">
        <v>46161</v>
      </c>
      <c r="I1588" s="63">
        <v>46164</v>
      </c>
      <c r="J1588" s="62">
        <v>4</v>
      </c>
      <c r="K1588" s="62">
        <v>4</v>
      </c>
      <c r="L1588" s="62" t="s">
        <v>19262</v>
      </c>
      <c r="M1588" s="62" t="s">
        <v>24995</v>
      </c>
      <c r="N1588" s="62" t="s">
        <v>19269</v>
      </c>
      <c r="O1588" s="62" t="s">
        <v>7737</v>
      </c>
      <c r="P1588" s="42" t="str">
        <f>+IF(O1588="","",IFERROR(VLOOKUP(O1588,CODIGO_DIAGNOSTICO,2,0),"CÓDIGO NO ENCONTRADO"))</f>
        <v>ESGUINCES Y TORCEDURAS QUE COMPROMETEN EL LIGAMENTO CRUZADO (ANTERIOR) (POSTERIOR) DE LA RODILLA</v>
      </c>
      <c r="Q1588" s="62" t="s">
        <v>26059</v>
      </c>
      <c r="R1588" s="64"/>
      <c r="S1588" s="75"/>
      <c r="T1588" s="75"/>
      <c r="U1588" s="65"/>
      <c r="V1588" s="62"/>
      <c r="W1588" s="65"/>
      <c r="X1588" s="62"/>
      <c r="Y1588" s="65"/>
      <c r="Z1588" s="73"/>
    </row>
    <row r="1589" spans="1:26" ht="15.75" hidden="1" customHeight="1" x14ac:dyDescent="0.25">
      <c r="A1589" s="67">
        <v>5</v>
      </c>
      <c r="B1589" s="68">
        <v>8407241</v>
      </c>
      <c r="C1589" s="68" t="s">
        <v>25776</v>
      </c>
      <c r="D1589" s="68" t="s">
        <v>25030</v>
      </c>
      <c r="E1589" s="68" t="s">
        <v>25358</v>
      </c>
      <c r="F1589" s="68" t="s">
        <v>25005</v>
      </c>
      <c r="G1589" s="81" t="s">
        <v>19285</v>
      </c>
      <c r="H1589" s="69">
        <v>46161</v>
      </c>
      <c r="I1589" s="69">
        <v>46163</v>
      </c>
      <c r="J1589" s="68">
        <v>3</v>
      </c>
      <c r="K1589" s="68">
        <v>3</v>
      </c>
      <c r="L1589" s="68" t="s">
        <v>19262</v>
      </c>
      <c r="M1589" s="68" t="s">
        <v>19262</v>
      </c>
      <c r="N1589" s="62" t="s">
        <v>19269</v>
      </c>
      <c r="O1589" s="68" t="s">
        <v>4920</v>
      </c>
      <c r="P1589" s="42" t="str">
        <f>+IF(O1589="","",IFERROR(VLOOKUP(O1589,CODIGO_DIAGNOSTICO,2,0),"CÓDIGO NO ENCONTRADO"))</f>
        <v>SINDROME DE MANGUITO ROTATORIO</v>
      </c>
      <c r="Q1589" s="68" t="s">
        <v>26059</v>
      </c>
      <c r="R1589" s="67"/>
      <c r="S1589" s="77"/>
      <c r="T1589" s="76"/>
      <c r="U1589" s="65"/>
      <c r="V1589" s="68"/>
      <c r="W1589" s="70"/>
      <c r="X1589" s="68"/>
      <c r="Y1589" s="70"/>
      <c r="Z1589" s="72"/>
    </row>
    <row r="1590" spans="1:26" ht="15.75" hidden="1" customHeight="1" x14ac:dyDescent="0.25">
      <c r="A1590" s="64">
        <v>5</v>
      </c>
      <c r="B1590" s="62">
        <v>1128198069</v>
      </c>
      <c r="C1590" s="62" t="s">
        <v>25775</v>
      </c>
      <c r="D1590" s="62" t="s">
        <v>25098</v>
      </c>
      <c r="E1590" s="62" t="s">
        <v>25282</v>
      </c>
      <c r="F1590" s="62" t="s">
        <v>25028</v>
      </c>
      <c r="G1590" s="81" t="s">
        <v>19285</v>
      </c>
      <c r="H1590" s="63">
        <v>46162</v>
      </c>
      <c r="I1590" s="63">
        <v>46164</v>
      </c>
      <c r="J1590" s="62">
        <v>3</v>
      </c>
      <c r="K1590" s="62">
        <v>3</v>
      </c>
      <c r="L1590" s="62" t="s">
        <v>24995</v>
      </c>
      <c r="M1590" s="62" t="s">
        <v>24995</v>
      </c>
      <c r="N1590" s="62" t="s">
        <v>19269</v>
      </c>
      <c r="O1590" s="62" t="s">
        <v>7713</v>
      </c>
      <c r="P1590" s="42" t="str">
        <f>+IF(O1590="","",IFERROR(VLOOKUP(O1590,CODIGO_DIAGNOSTICO,2,0),"CÓDIGO NO ENCONTRADO"))</f>
        <v>CONTUSION DE LA RODILLA</v>
      </c>
      <c r="Q1590" s="62" t="s">
        <v>26059</v>
      </c>
      <c r="R1590" s="64"/>
      <c r="S1590" s="75"/>
      <c r="T1590" s="75"/>
      <c r="U1590" s="65"/>
      <c r="V1590" s="62"/>
      <c r="W1590" s="65"/>
      <c r="X1590" s="62"/>
      <c r="Y1590" s="65"/>
      <c r="Z1590" s="73"/>
    </row>
    <row r="1591" spans="1:26" ht="15.75" hidden="1" customHeight="1" x14ac:dyDescent="0.25">
      <c r="A1591" s="67">
        <v>5</v>
      </c>
      <c r="B1591" s="68">
        <v>26988317</v>
      </c>
      <c r="C1591" s="68" t="s">
        <v>25034</v>
      </c>
      <c r="D1591" s="68" t="s">
        <v>25969</v>
      </c>
      <c r="E1591" s="68" t="s">
        <v>26455</v>
      </c>
      <c r="F1591" s="68" t="s">
        <v>26574</v>
      </c>
      <c r="G1591" s="81" t="s">
        <v>19285</v>
      </c>
      <c r="H1591" s="69">
        <v>46163</v>
      </c>
      <c r="I1591" s="69">
        <v>46174</v>
      </c>
      <c r="J1591" s="68">
        <v>12</v>
      </c>
      <c r="K1591" s="68">
        <v>12</v>
      </c>
      <c r="L1591" s="68" t="s">
        <v>24995</v>
      </c>
      <c r="M1591" s="68" t="s">
        <v>24995</v>
      </c>
      <c r="N1591" s="62" t="s">
        <v>19269</v>
      </c>
      <c r="O1591" s="68" t="s">
        <v>3502</v>
      </c>
      <c r="P1591" s="42" t="str">
        <f>+IF(O1591="","",IFERROR(VLOOKUP(O1591,CODIGO_DIAGNOSTICO,2,0),"CÓDIGO NO ENCONTRADO"))</f>
        <v>FLEBITIS Y TROMBOFLEBITIS DE LOS MIEMBROS INFERIORES, NO ESPECIFICADA</v>
      </c>
      <c r="Q1591" s="68" t="s">
        <v>24976</v>
      </c>
      <c r="R1591" s="67"/>
      <c r="S1591" s="77"/>
      <c r="T1591" s="76"/>
      <c r="U1591" s="65"/>
      <c r="V1591" s="68"/>
      <c r="W1591" s="70"/>
      <c r="X1591" s="68"/>
      <c r="Y1591" s="70"/>
      <c r="Z1591" s="72"/>
    </row>
    <row r="1592" spans="1:26" ht="15.75" hidden="1" customHeight="1" x14ac:dyDescent="0.25">
      <c r="A1592" s="64">
        <v>5</v>
      </c>
      <c r="B1592" s="62">
        <v>8407241</v>
      </c>
      <c r="C1592" s="62" t="s">
        <v>25776</v>
      </c>
      <c r="D1592" s="62" t="s">
        <v>25030</v>
      </c>
      <c r="E1592" s="62" t="s">
        <v>19256</v>
      </c>
      <c r="F1592" s="62" t="s">
        <v>25005</v>
      </c>
      <c r="G1592" s="81" t="s">
        <v>19285</v>
      </c>
      <c r="H1592" s="63">
        <v>46164</v>
      </c>
      <c r="I1592" s="63">
        <v>46173</v>
      </c>
      <c r="J1592" s="62">
        <v>10</v>
      </c>
      <c r="K1592" s="62">
        <v>10</v>
      </c>
      <c r="L1592" s="62" t="s">
        <v>19262</v>
      </c>
      <c r="M1592" s="62" t="s">
        <v>19262</v>
      </c>
      <c r="N1592" s="62" t="s">
        <v>19269</v>
      </c>
      <c r="O1592" s="62" t="s">
        <v>4920</v>
      </c>
      <c r="P1592" s="42" t="str">
        <f>+IF(O1592="","",IFERROR(VLOOKUP(O1592,CODIGO_DIAGNOSTICO,2,0),"CÓDIGO NO ENCONTRADO"))</f>
        <v>SINDROME DE MANGUITO ROTATORIO</v>
      </c>
      <c r="Q1592" s="62" t="s">
        <v>26059</v>
      </c>
      <c r="R1592" s="64"/>
      <c r="S1592" s="75"/>
      <c r="T1592" s="75"/>
      <c r="U1592" s="65"/>
      <c r="V1592" s="62"/>
      <c r="W1592" s="65"/>
      <c r="X1592" s="62"/>
      <c r="Y1592" s="65"/>
      <c r="Z1592" s="73"/>
    </row>
    <row r="1593" spans="1:26" ht="15.75" hidden="1" customHeight="1" x14ac:dyDescent="0.25">
      <c r="A1593" s="67">
        <v>5</v>
      </c>
      <c r="B1593" s="68">
        <v>1128467712</v>
      </c>
      <c r="C1593" s="68" t="s">
        <v>25534</v>
      </c>
      <c r="D1593" s="68" t="s">
        <v>19258</v>
      </c>
      <c r="E1593" s="68" t="s">
        <v>25879</v>
      </c>
      <c r="F1593" s="68" t="s">
        <v>25880</v>
      </c>
      <c r="G1593" s="81" t="s">
        <v>26047</v>
      </c>
      <c r="H1593" s="69">
        <v>46165</v>
      </c>
      <c r="I1593" s="69">
        <v>46172</v>
      </c>
      <c r="J1593" s="68">
        <v>8</v>
      </c>
      <c r="K1593" s="68">
        <v>8</v>
      </c>
      <c r="L1593" s="68" t="s">
        <v>19262</v>
      </c>
      <c r="M1593" s="68" t="s">
        <v>19262</v>
      </c>
      <c r="N1593" s="62" t="s">
        <v>19269</v>
      </c>
      <c r="O1593" s="68" t="s">
        <v>7713</v>
      </c>
      <c r="P1593" s="42" t="str">
        <f>+IF(O1593="","",IFERROR(VLOOKUP(O1593,CODIGO_DIAGNOSTICO,2,0),"CÓDIGO NO ENCONTRADO"))</f>
        <v>CONTUSION DE LA RODILLA</v>
      </c>
      <c r="Q1593" s="68" t="s">
        <v>26059</v>
      </c>
      <c r="R1593" s="67"/>
      <c r="S1593" s="77"/>
      <c r="T1593" s="76"/>
      <c r="U1593" s="65"/>
      <c r="V1593" s="68"/>
      <c r="W1593" s="70"/>
      <c r="X1593" s="68"/>
      <c r="Y1593" s="70"/>
      <c r="Z1593" s="72"/>
    </row>
    <row r="1594" spans="1:26" ht="15.75" hidden="1" customHeight="1" x14ac:dyDescent="0.25">
      <c r="A1594" s="64">
        <v>5</v>
      </c>
      <c r="B1594" s="62">
        <v>1214737996</v>
      </c>
      <c r="C1594" s="62" t="s">
        <v>25547</v>
      </c>
      <c r="D1594" s="62" t="s">
        <v>25969</v>
      </c>
      <c r="E1594" s="62" t="s">
        <v>26338</v>
      </c>
      <c r="F1594" s="62" t="s">
        <v>25755</v>
      </c>
      <c r="G1594" s="81" t="s">
        <v>19285</v>
      </c>
      <c r="H1594" s="63">
        <v>46165</v>
      </c>
      <c r="I1594" s="63">
        <v>46179</v>
      </c>
      <c r="J1594" s="62">
        <v>15</v>
      </c>
      <c r="K1594" s="62">
        <v>15</v>
      </c>
      <c r="L1594" s="62" t="s">
        <v>24995</v>
      </c>
      <c r="M1594" s="62" t="s">
        <v>19262</v>
      </c>
      <c r="N1594" s="62" t="s">
        <v>19269</v>
      </c>
      <c r="O1594" s="62" t="s">
        <v>8417</v>
      </c>
      <c r="P1594" s="42" t="str">
        <f>+IF(O1594="","",IFERROR(VLOOKUP(O1594,CODIGO_DIAGNOSTICO,2,0),"CÓDIGO NO ENCONTRADO"))</f>
        <v>COMPLICACION MECANICA DE DISPOSITIVO DE FIJACION INTERNA DE OTROS HUESOS</v>
      </c>
      <c r="Q1594" s="62" t="s">
        <v>26339</v>
      </c>
      <c r="R1594" s="64"/>
      <c r="S1594" s="75"/>
      <c r="T1594" s="75"/>
      <c r="U1594" s="65"/>
      <c r="V1594" s="62"/>
      <c r="W1594" s="65"/>
      <c r="X1594" s="62"/>
      <c r="Y1594" s="65"/>
      <c r="Z1594" s="73"/>
    </row>
    <row r="1595" spans="1:26" ht="15.75" hidden="1" customHeight="1" x14ac:dyDescent="0.25">
      <c r="A1595" s="67">
        <v>5</v>
      </c>
      <c r="B1595" s="68">
        <v>71382103</v>
      </c>
      <c r="C1595" s="68" t="s">
        <v>25776</v>
      </c>
      <c r="D1595" s="68" t="s">
        <v>25968</v>
      </c>
      <c r="E1595" s="68" t="s">
        <v>25198</v>
      </c>
      <c r="F1595" s="68" t="s">
        <v>25276</v>
      </c>
      <c r="G1595" s="81" t="s">
        <v>19285</v>
      </c>
      <c r="H1595" s="69">
        <v>46165</v>
      </c>
      <c r="I1595" s="69">
        <v>46179</v>
      </c>
      <c r="J1595" s="68">
        <v>15</v>
      </c>
      <c r="K1595" s="68">
        <v>15</v>
      </c>
      <c r="L1595" s="68" t="s">
        <v>19262</v>
      </c>
      <c r="M1595" s="68" t="s">
        <v>19262</v>
      </c>
      <c r="N1595" s="62" t="s">
        <v>19269</v>
      </c>
      <c r="O1595" s="68" t="s">
        <v>7734</v>
      </c>
      <c r="P1595" s="42" t="str">
        <f>+IF(O1595="","",IFERROR(VLOOKUP(O1595,CODIGO_DIAGNOSTICO,2,0),"CÓDIGO NO ENCONTRADO"))</f>
        <v>DESGARRO DE MENISCOS, PRESENTE</v>
      </c>
      <c r="Q1595" s="68" t="s">
        <v>26059</v>
      </c>
      <c r="R1595" s="67"/>
      <c r="S1595" s="77"/>
      <c r="T1595" s="76"/>
      <c r="U1595" s="65"/>
      <c r="V1595" s="68"/>
      <c r="W1595" s="70"/>
      <c r="X1595" s="68"/>
      <c r="Y1595" s="70"/>
      <c r="Z1595" s="72"/>
    </row>
    <row r="1596" spans="1:26" ht="15.75" hidden="1" customHeight="1" x14ac:dyDescent="0.25">
      <c r="A1596" s="64">
        <v>5</v>
      </c>
      <c r="B1596" s="62">
        <v>98648253</v>
      </c>
      <c r="C1596" s="62" t="s">
        <v>25343</v>
      </c>
      <c r="D1596" s="62" t="s">
        <v>25462</v>
      </c>
      <c r="E1596" s="62" t="s">
        <v>25483</v>
      </c>
      <c r="F1596" s="62" t="s">
        <v>25110</v>
      </c>
      <c r="G1596" s="81" t="s">
        <v>19285</v>
      </c>
      <c r="H1596" s="63">
        <v>46167</v>
      </c>
      <c r="I1596" s="63">
        <v>46176</v>
      </c>
      <c r="J1596" s="62">
        <v>10</v>
      </c>
      <c r="K1596" s="62">
        <v>10</v>
      </c>
      <c r="L1596" s="62" t="s">
        <v>19262</v>
      </c>
      <c r="M1596" s="62" t="s">
        <v>19262</v>
      </c>
      <c r="N1596" s="62" t="s">
        <v>19269</v>
      </c>
      <c r="O1596" s="62" t="s">
        <v>4128</v>
      </c>
      <c r="P1596" s="42" t="str">
        <f>+IF(O1596="","",IFERROR(VLOOKUP(O1596,CODIGO_DIAGNOSTICO,2,0),"CÓDIGO NO ENCONTRADO"))</f>
        <v>OTRAS CIRROSIS DEL HIGADO Y LA NO ESPECIFICADAS</v>
      </c>
      <c r="Q1596" s="62" t="s">
        <v>26059</v>
      </c>
      <c r="R1596" s="64"/>
      <c r="S1596" s="75"/>
      <c r="T1596" s="75"/>
      <c r="U1596" s="65"/>
      <c r="V1596" s="62"/>
      <c r="W1596" s="65"/>
      <c r="X1596" s="62"/>
      <c r="Y1596" s="65"/>
      <c r="Z1596" s="73"/>
    </row>
    <row r="1597" spans="1:26" ht="15.75" hidden="1" customHeight="1" x14ac:dyDescent="0.25">
      <c r="A1597" s="67">
        <v>5</v>
      </c>
      <c r="B1597" s="68">
        <v>1036677247</v>
      </c>
      <c r="C1597" s="68" t="s">
        <v>25247</v>
      </c>
      <c r="D1597" s="68" t="s">
        <v>25373</v>
      </c>
      <c r="E1597" s="68" t="s">
        <v>25524</v>
      </c>
      <c r="F1597" s="68"/>
      <c r="G1597" s="81" t="s">
        <v>19285</v>
      </c>
      <c r="H1597" s="69">
        <v>46168</v>
      </c>
      <c r="I1597" s="69">
        <v>46178</v>
      </c>
      <c r="J1597" s="68">
        <v>11</v>
      </c>
      <c r="K1597" s="68">
        <v>11</v>
      </c>
      <c r="L1597" s="68" t="s">
        <v>24995</v>
      </c>
      <c r="M1597" s="68" t="s">
        <v>24995</v>
      </c>
      <c r="N1597" s="62" t="s">
        <v>19269</v>
      </c>
      <c r="O1597" s="68" t="s">
        <v>5216</v>
      </c>
      <c r="P1597" s="42" t="str">
        <f>+IF(O1597="","",IFERROR(VLOOKUP(O1597,CODIGO_DIAGNOSTICO,2,0),"CÓDIGO NO ENCONTRADO"))</f>
        <v>CALCULO DEL RIÑON</v>
      </c>
      <c r="Q1597" s="68" t="s">
        <v>26059</v>
      </c>
      <c r="R1597" s="67"/>
      <c r="S1597" s="77"/>
      <c r="T1597" s="76"/>
      <c r="U1597" s="65"/>
      <c r="V1597" s="68"/>
      <c r="W1597" s="70"/>
      <c r="X1597" s="68"/>
      <c r="Y1597" s="70"/>
      <c r="Z1597" s="72"/>
    </row>
    <row r="1598" spans="1:26" ht="15.75" hidden="1" customHeight="1" x14ac:dyDescent="0.25">
      <c r="A1598" s="64">
        <v>5</v>
      </c>
      <c r="B1598" s="62">
        <v>70253233</v>
      </c>
      <c r="C1598" s="62" t="s">
        <v>25930</v>
      </c>
      <c r="D1598" s="62" t="s">
        <v>25061</v>
      </c>
      <c r="E1598" s="62" t="s">
        <v>25255</v>
      </c>
      <c r="F1598" s="62" t="s">
        <v>25135</v>
      </c>
      <c r="G1598" s="81" t="s">
        <v>19285</v>
      </c>
      <c r="H1598" s="63">
        <v>46170</v>
      </c>
      <c r="I1598" s="63">
        <v>46171</v>
      </c>
      <c r="J1598" s="62">
        <v>2</v>
      </c>
      <c r="K1598" s="62">
        <v>2</v>
      </c>
      <c r="L1598" s="62" t="s">
        <v>24995</v>
      </c>
      <c r="M1598" s="62" t="s">
        <v>24995</v>
      </c>
      <c r="N1598" s="62" t="s">
        <v>19269</v>
      </c>
      <c r="O1598" s="62" t="s">
        <v>87</v>
      </c>
      <c r="P1598" s="42" t="str">
        <f>+IF(O1598="","",IFERROR(VLOOKUP(O1598,CODIGO_DIAGNOSTICO,2,0),"CÓDIGO NO ENCONTRADO"))</f>
        <v>OTRAS INFECCIONES INTESTINALES ESPECIFICADAS</v>
      </c>
      <c r="Q1598" s="62" t="s">
        <v>26059</v>
      </c>
      <c r="R1598" s="64"/>
      <c r="S1598" s="75"/>
      <c r="T1598" s="75"/>
      <c r="U1598" s="65"/>
      <c r="V1598" s="62"/>
      <c r="W1598" s="65"/>
      <c r="X1598" s="62"/>
      <c r="Y1598" s="65"/>
      <c r="Z1598" s="73"/>
    </row>
    <row r="1599" spans="1:26" ht="15.75" hidden="1" customHeight="1" x14ac:dyDescent="0.25">
      <c r="A1599" s="67">
        <v>5</v>
      </c>
      <c r="B1599" s="68">
        <v>98592173</v>
      </c>
      <c r="C1599" s="68" t="s">
        <v>25105</v>
      </c>
      <c r="D1599" s="68" t="s">
        <v>26109</v>
      </c>
      <c r="E1599" s="68" t="s">
        <v>25624</v>
      </c>
      <c r="F1599" s="68" t="s">
        <v>25004</v>
      </c>
      <c r="G1599" s="81" t="s">
        <v>19285</v>
      </c>
      <c r="H1599" s="69">
        <v>46170</v>
      </c>
      <c r="I1599" s="69">
        <v>46172</v>
      </c>
      <c r="J1599" s="68">
        <v>3</v>
      </c>
      <c r="K1599" s="68">
        <v>3</v>
      </c>
      <c r="L1599" s="68" t="s">
        <v>24995</v>
      </c>
      <c r="M1599" s="68" t="s">
        <v>24995</v>
      </c>
      <c r="N1599" s="62" t="s">
        <v>19269</v>
      </c>
      <c r="O1599" s="68" t="s">
        <v>5216</v>
      </c>
      <c r="P1599" s="42" t="str">
        <f>+IF(O1599="","",IFERROR(VLOOKUP(O1599,CODIGO_DIAGNOSTICO,2,0),"CÓDIGO NO ENCONTRADO"))</f>
        <v>CALCULO DEL RIÑON</v>
      </c>
      <c r="Q1599" s="68" t="s">
        <v>26059</v>
      </c>
      <c r="R1599" s="67"/>
      <c r="S1599" s="77"/>
      <c r="T1599" s="76"/>
      <c r="U1599" s="65"/>
      <c r="V1599" s="68"/>
      <c r="W1599" s="70"/>
      <c r="X1599" s="68"/>
      <c r="Y1599" s="70"/>
      <c r="Z1599" s="72"/>
    </row>
    <row r="1600" spans="1:26" ht="15.75" hidden="1" customHeight="1" x14ac:dyDescent="0.25">
      <c r="A1600" s="64">
        <v>5</v>
      </c>
      <c r="B1600" s="62">
        <v>98601485</v>
      </c>
      <c r="C1600" s="62" t="s">
        <v>25240</v>
      </c>
      <c r="D1600" s="62"/>
      <c r="E1600" s="62" t="s">
        <v>25241</v>
      </c>
      <c r="F1600" s="62" t="s">
        <v>25103</v>
      </c>
      <c r="G1600" s="81" t="s">
        <v>19285</v>
      </c>
      <c r="H1600" s="63">
        <v>46171</v>
      </c>
      <c r="I1600" s="63">
        <v>46200</v>
      </c>
      <c r="J1600" s="62">
        <v>30</v>
      </c>
      <c r="K1600" s="62">
        <v>30</v>
      </c>
      <c r="L1600" s="62" t="s">
        <v>19262</v>
      </c>
      <c r="M1600" s="62" t="s">
        <v>19262</v>
      </c>
      <c r="N1600" s="62" t="s">
        <v>19269</v>
      </c>
      <c r="O1600" s="62" t="s">
        <v>8419</v>
      </c>
      <c r="P1600" s="42" t="str">
        <f>+IF(O1600="","",IFERROR(VLOOKUP(O1600,CODIGO_DIAGNOSTICO,2,0),"CÓDIGO NO ENCONTRADO"))</f>
        <v>COMPLICACION MECANICA DE OTROS DISPOSITIVOS PROTESICOS, IMPLANTES E INJERTOS ORTOPEDICOS INTERNOS</v>
      </c>
      <c r="Q1600" s="62" t="s">
        <v>26059</v>
      </c>
      <c r="R1600" s="64"/>
      <c r="S1600" s="75"/>
      <c r="T1600" s="75"/>
      <c r="U1600" s="65"/>
      <c r="V1600" s="62"/>
      <c r="W1600" s="65"/>
      <c r="X1600" s="62"/>
      <c r="Y1600" s="65"/>
      <c r="Z1600" s="73"/>
    </row>
    <row r="1601" spans="1:26" ht="15.75" hidden="1" customHeight="1" x14ac:dyDescent="0.25">
      <c r="A1601" s="67">
        <v>5</v>
      </c>
      <c r="B1601" s="68">
        <v>1007316053</v>
      </c>
      <c r="C1601" s="68" t="s">
        <v>25160</v>
      </c>
      <c r="D1601" s="68" t="s">
        <v>26577</v>
      </c>
      <c r="E1601" s="68" t="s">
        <v>25056</v>
      </c>
      <c r="F1601" s="68" t="s">
        <v>25308</v>
      </c>
      <c r="G1601" s="81" t="s">
        <v>19285</v>
      </c>
      <c r="H1601" s="69">
        <v>46171</v>
      </c>
      <c r="I1601" s="69">
        <v>46172</v>
      </c>
      <c r="J1601" s="68">
        <v>2</v>
      </c>
      <c r="K1601" s="68">
        <v>2</v>
      </c>
      <c r="L1601" s="68" t="s">
        <v>24995</v>
      </c>
      <c r="M1601" s="68" t="s">
        <v>24995</v>
      </c>
      <c r="N1601" s="62" t="s">
        <v>19269</v>
      </c>
      <c r="O1601" s="68" t="s">
        <v>539</v>
      </c>
      <c r="P1601" s="42" t="str">
        <f>+IF(O1601="","",IFERROR(VLOOKUP(O1601,CODIGO_DIAGNOSTICO,2,0),"CÓDIGO NO ENCONTRADO"))</f>
        <v>INFECCION VIRAL, NO ESPECIFICADA</v>
      </c>
      <c r="Q1601" s="68" t="s">
        <v>26059</v>
      </c>
      <c r="R1601" s="67"/>
      <c r="S1601" s="77"/>
      <c r="T1601" s="76"/>
      <c r="U1601" s="65"/>
      <c r="V1601" s="68"/>
      <c r="W1601" s="70"/>
      <c r="X1601" s="68"/>
      <c r="Y1601" s="70"/>
      <c r="Z1601" s="72"/>
    </row>
    <row r="1602" spans="1:26" ht="15.75" hidden="1" customHeight="1" x14ac:dyDescent="0.25">
      <c r="A1602" s="64">
        <v>5</v>
      </c>
      <c r="B1602" s="62">
        <v>71267562</v>
      </c>
      <c r="C1602" s="62" t="s">
        <v>25205</v>
      </c>
      <c r="D1602" s="62" t="s">
        <v>25714</v>
      </c>
      <c r="E1602" s="62" t="s">
        <v>25019</v>
      </c>
      <c r="F1602" s="62" t="s">
        <v>25020</v>
      </c>
      <c r="G1602" s="81" t="s">
        <v>19285</v>
      </c>
      <c r="H1602" s="63">
        <v>46172</v>
      </c>
      <c r="I1602" s="63">
        <v>46174</v>
      </c>
      <c r="J1602" s="62">
        <v>3</v>
      </c>
      <c r="K1602" s="62">
        <v>3</v>
      </c>
      <c r="L1602" s="62" t="s">
        <v>24995</v>
      </c>
      <c r="M1602" s="62" t="s">
        <v>24995</v>
      </c>
      <c r="N1602" s="62" t="s">
        <v>19269</v>
      </c>
      <c r="O1602" s="62" t="s">
        <v>7714</v>
      </c>
      <c r="P1602" s="42" t="str">
        <f>+IF(O1602="","",IFERROR(VLOOKUP(O1602,CODIGO_DIAGNOSTICO,2,0),"CÓDIGO NO ENCONTRADO"))</f>
        <v>CONTUSION DE OTRAS PARTES Y LAS NO ESPECIFICADAS DE LA PIERNA</v>
      </c>
      <c r="Q1602" s="62" t="s">
        <v>26059</v>
      </c>
      <c r="R1602" s="64"/>
      <c r="S1602" s="75"/>
      <c r="T1602" s="75"/>
      <c r="U1602" s="65"/>
      <c r="V1602" s="62"/>
      <c r="W1602" s="65"/>
      <c r="X1602" s="62"/>
      <c r="Y1602" s="65"/>
      <c r="Z1602" s="73"/>
    </row>
    <row r="1603" spans="1:26" ht="15.75" hidden="1" customHeight="1" x14ac:dyDescent="0.25">
      <c r="A1603" s="67">
        <v>5</v>
      </c>
      <c r="B1603" s="68">
        <v>71701610</v>
      </c>
      <c r="C1603" s="68" t="s">
        <v>25634</v>
      </c>
      <c r="D1603" s="68" t="s">
        <v>25509</v>
      </c>
      <c r="E1603" s="68" t="s">
        <v>25739</v>
      </c>
      <c r="F1603" s="68" t="s">
        <v>25734</v>
      </c>
      <c r="G1603" s="81" t="s">
        <v>19285</v>
      </c>
      <c r="H1603" s="69">
        <v>46173</v>
      </c>
      <c r="I1603" s="69">
        <v>46186</v>
      </c>
      <c r="J1603" s="68">
        <v>14</v>
      </c>
      <c r="K1603" s="68">
        <v>14</v>
      </c>
      <c r="L1603" s="68" t="s">
        <v>19262</v>
      </c>
      <c r="M1603" s="68" t="s">
        <v>19262</v>
      </c>
      <c r="N1603" s="62" t="s">
        <v>19269</v>
      </c>
      <c r="O1603" s="68" t="s">
        <v>3259</v>
      </c>
      <c r="P1603" s="42" t="str">
        <f>+IF(O1603="","",IFERROR(VLOOKUP(O1603,CODIGO_DIAGNOSTICO,2,0),"CÓDIGO NO ENCONTRADO"))</f>
        <v>ENFERMEDAD ISQUEMIA CRONICA DEL CORAZON, NO ESPECIFICADA</v>
      </c>
      <c r="Q1603" s="68" t="s">
        <v>26339</v>
      </c>
      <c r="R1603" s="67"/>
      <c r="S1603" s="77"/>
      <c r="T1603" s="76"/>
      <c r="U1603" s="65"/>
      <c r="V1603" s="68"/>
      <c r="W1603" s="70"/>
      <c r="X1603" s="68"/>
      <c r="Y1603" s="70"/>
      <c r="Z1603" s="72"/>
    </row>
    <row r="1604" spans="1:26" ht="15.75" customHeight="1" x14ac:dyDescent="0.25">
      <c r="A1604" s="64">
        <v>6</v>
      </c>
      <c r="B1604" s="62">
        <v>8407241</v>
      </c>
      <c r="C1604" s="62" t="s">
        <v>25776</v>
      </c>
      <c r="D1604" s="62" t="s">
        <v>25030</v>
      </c>
      <c r="E1604" s="62" t="s">
        <v>19256</v>
      </c>
      <c r="F1604" s="62" t="s">
        <v>25005</v>
      </c>
      <c r="G1604" s="81" t="s">
        <v>19285</v>
      </c>
      <c r="H1604" s="63">
        <v>46174</v>
      </c>
      <c r="I1604" s="63">
        <v>46175</v>
      </c>
      <c r="J1604" s="62">
        <v>2</v>
      </c>
      <c r="K1604" s="62">
        <v>2</v>
      </c>
      <c r="L1604" s="62" t="s">
        <v>24995</v>
      </c>
      <c r="M1604" s="62" t="s">
        <v>24995</v>
      </c>
      <c r="N1604" s="62" t="s">
        <v>19269</v>
      </c>
      <c r="O1604" s="62" t="s">
        <v>4951</v>
      </c>
      <c r="P1604" s="42" t="str">
        <f>+IF(O1604="","",IFERROR(VLOOKUP(O1604,CODIGO_DIAGNOSTICO,2,0),"CÓDIGO NO ENCONTRADO"))</f>
        <v>DOLOR EN MIEMBRO</v>
      </c>
      <c r="Q1604" s="62" t="s">
        <v>26059</v>
      </c>
      <c r="R1604" s="64"/>
      <c r="S1604" s="75"/>
      <c r="T1604" s="75"/>
      <c r="U1604" s="65"/>
      <c r="V1604" s="62"/>
      <c r="W1604" s="65"/>
      <c r="X1604" s="62"/>
      <c r="Y1604" s="65"/>
      <c r="Z1604" s="73"/>
    </row>
    <row r="1605" spans="1:26" ht="15.75" customHeight="1" x14ac:dyDescent="0.25">
      <c r="A1605" s="67">
        <v>6</v>
      </c>
      <c r="B1605" s="68">
        <v>8407241</v>
      </c>
      <c r="C1605" s="68" t="s">
        <v>25776</v>
      </c>
      <c r="D1605" s="68" t="s">
        <v>25030</v>
      </c>
      <c r="E1605" s="68" t="s">
        <v>19256</v>
      </c>
      <c r="F1605" s="68" t="s">
        <v>25005</v>
      </c>
      <c r="G1605" s="81" t="s">
        <v>19285</v>
      </c>
      <c r="H1605" s="69">
        <v>46176</v>
      </c>
      <c r="I1605" s="69">
        <v>46178</v>
      </c>
      <c r="J1605" s="68">
        <v>3</v>
      </c>
      <c r="K1605" s="68">
        <v>3</v>
      </c>
      <c r="L1605" s="68" t="s">
        <v>19262</v>
      </c>
      <c r="M1605" s="68" t="s">
        <v>19262</v>
      </c>
      <c r="N1605" s="62" t="s">
        <v>19269</v>
      </c>
      <c r="O1605" s="68" t="s">
        <v>4920</v>
      </c>
      <c r="P1605" s="42" t="str">
        <f>+IF(O1605="","",IFERROR(VLOOKUP(O1605,CODIGO_DIAGNOSTICO,2,0),"CÓDIGO NO ENCONTRADO"))</f>
        <v>SINDROME DE MANGUITO ROTATORIO</v>
      </c>
      <c r="Q1605" s="68" t="s">
        <v>26059</v>
      </c>
      <c r="R1605" s="67"/>
      <c r="S1605" s="77"/>
      <c r="T1605" s="76"/>
      <c r="U1605" s="65"/>
      <c r="V1605" s="68"/>
      <c r="W1605" s="70"/>
      <c r="X1605" s="68"/>
      <c r="Y1605" s="70"/>
      <c r="Z1605" s="72"/>
    </row>
    <row r="1606" spans="1:26" ht="15.75" customHeight="1" x14ac:dyDescent="0.25">
      <c r="A1606" s="64">
        <v>6</v>
      </c>
      <c r="B1606" s="62">
        <v>1216716253</v>
      </c>
      <c r="C1606" s="62" t="s">
        <v>25372</v>
      </c>
      <c r="D1606" s="62" t="s">
        <v>25109</v>
      </c>
      <c r="E1606" s="62" t="s">
        <v>26539</v>
      </c>
      <c r="F1606" s="62" t="s">
        <v>26540</v>
      </c>
      <c r="G1606" s="81" t="s">
        <v>19285</v>
      </c>
      <c r="H1606" s="63">
        <v>46176</v>
      </c>
      <c r="I1606" s="63">
        <v>46181</v>
      </c>
      <c r="J1606" s="62">
        <v>5</v>
      </c>
      <c r="K1606" s="62">
        <v>5</v>
      </c>
      <c r="L1606" s="62" t="s">
        <v>24995</v>
      </c>
      <c r="M1606" s="62" t="s">
        <v>24995</v>
      </c>
      <c r="N1606" s="62" t="s">
        <v>19263</v>
      </c>
      <c r="O1606" s="62" t="s">
        <v>7794</v>
      </c>
      <c r="P1606" s="42" t="str">
        <f>+IF(O1606="","",IFERROR(VLOOKUP(O1606,CODIGO_DIAGNOSTICO,2,0),"CÓDIGO NO ENCONTRADO"))</f>
        <v>ESGUINCES Y TORCEDURAS DEL TOBILLO</v>
      </c>
      <c r="Q1606" s="62" t="s">
        <v>25001</v>
      </c>
      <c r="R1606" s="64"/>
      <c r="S1606" s="75"/>
      <c r="T1606" s="75"/>
      <c r="U1606" s="65"/>
      <c r="V1606" s="62"/>
      <c r="W1606" s="65"/>
      <c r="X1606" s="62"/>
      <c r="Y1606" s="65"/>
      <c r="Z1606" s="73"/>
    </row>
    <row r="1607" spans="1:26" ht="15.75" customHeight="1" x14ac:dyDescent="0.25">
      <c r="A1607" s="67">
        <v>6</v>
      </c>
      <c r="B1607" s="68">
        <v>98493617</v>
      </c>
      <c r="C1607" s="68" t="s">
        <v>25085</v>
      </c>
      <c r="D1607" s="68" t="s">
        <v>25497</v>
      </c>
      <c r="E1607" s="68" t="s">
        <v>25188</v>
      </c>
      <c r="F1607" s="68" t="s">
        <v>25064</v>
      </c>
      <c r="G1607" s="81" t="s">
        <v>19285</v>
      </c>
      <c r="H1607" s="69">
        <v>46176</v>
      </c>
      <c r="I1607" s="69">
        <v>46178</v>
      </c>
      <c r="J1607" s="68">
        <v>3</v>
      </c>
      <c r="K1607" s="68">
        <v>3</v>
      </c>
      <c r="L1607" s="68" t="s">
        <v>24995</v>
      </c>
      <c r="M1607" s="68" t="s">
        <v>24995</v>
      </c>
      <c r="N1607" s="62" t="s">
        <v>19269</v>
      </c>
      <c r="O1607" s="68" t="s">
        <v>4396</v>
      </c>
      <c r="P1607" s="42" t="str">
        <f>+IF(O1607="","",IFERROR(VLOOKUP(O1607,CODIGO_DIAGNOSTICO,2,0),"CÓDIGO NO ENCONTRADO"))</f>
        <v>UÑA ENCARNADA</v>
      </c>
      <c r="Q1607" s="68" t="s">
        <v>26059</v>
      </c>
      <c r="R1607" s="67"/>
      <c r="S1607" s="77"/>
      <c r="T1607" s="76"/>
      <c r="U1607" s="65"/>
      <c r="V1607" s="68"/>
      <c r="W1607" s="70"/>
      <c r="X1607" s="68"/>
      <c r="Y1607" s="70"/>
      <c r="Z1607" s="72"/>
    </row>
    <row r="1608" spans="1:26" ht="15.75" customHeight="1" x14ac:dyDescent="0.25">
      <c r="A1608" s="64">
        <v>6</v>
      </c>
      <c r="B1608" s="62">
        <v>1066527574</v>
      </c>
      <c r="C1608" s="62" t="s">
        <v>26578</v>
      </c>
      <c r="D1608" s="62" t="s">
        <v>26579</v>
      </c>
      <c r="E1608" s="62" t="s">
        <v>26580</v>
      </c>
      <c r="F1608" s="62" t="s">
        <v>26581</v>
      </c>
      <c r="G1608" s="81" t="s">
        <v>19285</v>
      </c>
      <c r="H1608" s="63">
        <v>46176</v>
      </c>
      <c r="I1608" s="63">
        <v>46177</v>
      </c>
      <c r="J1608" s="62">
        <v>2</v>
      </c>
      <c r="K1608" s="62">
        <v>2</v>
      </c>
      <c r="L1608" s="62" t="s">
        <v>24995</v>
      </c>
      <c r="M1608" s="62" t="s">
        <v>24995</v>
      </c>
      <c r="N1608" s="62" t="s">
        <v>19269</v>
      </c>
      <c r="O1608" s="62" t="s">
        <v>6929</v>
      </c>
      <c r="P1608" s="42" t="str">
        <f>+IF(O1608="","",IFERROR(VLOOKUP(O1608,CODIGO_DIAGNOSTICO,2,0),"CÓDIGO NO ENCONTRADO"))</f>
        <v>DOLOR EN EL PECHO, NO ESPECIFICADO</v>
      </c>
      <c r="Q1608" s="62" t="s">
        <v>26059</v>
      </c>
      <c r="R1608" s="64"/>
      <c r="S1608" s="75"/>
      <c r="T1608" s="75"/>
      <c r="U1608" s="65"/>
      <c r="V1608" s="62"/>
      <c r="W1608" s="65"/>
      <c r="X1608" s="62"/>
      <c r="Y1608" s="65"/>
      <c r="Z1608" s="73"/>
    </row>
    <row r="1609" spans="1:26" ht="15.75" customHeight="1" x14ac:dyDescent="0.25">
      <c r="A1609" s="67">
        <v>6</v>
      </c>
      <c r="B1609" s="68">
        <v>8407241</v>
      </c>
      <c r="C1609" s="68" t="s">
        <v>25776</v>
      </c>
      <c r="D1609" s="68" t="s">
        <v>25030</v>
      </c>
      <c r="E1609" s="68" t="s">
        <v>19256</v>
      </c>
      <c r="F1609" s="68" t="s">
        <v>25005</v>
      </c>
      <c r="G1609" s="81" t="s">
        <v>19285</v>
      </c>
      <c r="H1609" s="69">
        <v>46177</v>
      </c>
      <c r="I1609" s="69">
        <v>46191</v>
      </c>
      <c r="J1609" s="68">
        <v>15</v>
      </c>
      <c r="K1609" s="68">
        <v>15</v>
      </c>
      <c r="L1609" s="68" t="s">
        <v>24995</v>
      </c>
      <c r="M1609" s="68" t="s">
        <v>19262</v>
      </c>
      <c r="N1609" s="62" t="s">
        <v>19269</v>
      </c>
      <c r="O1609" s="68" t="s">
        <v>982</v>
      </c>
      <c r="P1609" s="42" t="str">
        <f>+IF(O1609="","",IFERROR(VLOOKUP(O1609,CODIGO_DIAGNOSTICO,2,0),"CÓDIGO NO ENCONTRADO"))</f>
        <v>MELANOMA MALIGNO DEL CUERO CABELLUDO Y DEL CUELLO</v>
      </c>
      <c r="Q1609" s="68" t="s">
        <v>26059</v>
      </c>
      <c r="R1609" s="67"/>
      <c r="S1609" s="77"/>
      <c r="T1609" s="76"/>
      <c r="U1609" s="65"/>
      <c r="V1609" s="68"/>
      <c r="W1609" s="70"/>
      <c r="X1609" s="68"/>
      <c r="Y1609" s="70"/>
      <c r="Z1609" s="72"/>
    </row>
    <row r="1610" spans="1:26" ht="15.75" customHeight="1" x14ac:dyDescent="0.25">
      <c r="A1610" s="64">
        <v>6</v>
      </c>
      <c r="B1610" s="62">
        <v>98499486</v>
      </c>
      <c r="C1610" s="62" t="s">
        <v>25281</v>
      </c>
      <c r="D1610" s="62" t="s">
        <v>25424</v>
      </c>
      <c r="E1610" s="62" t="s">
        <v>25425</v>
      </c>
      <c r="F1610" s="62" t="s">
        <v>25020</v>
      </c>
      <c r="G1610" s="81" t="s">
        <v>19285</v>
      </c>
      <c r="H1610" s="63">
        <v>46177</v>
      </c>
      <c r="I1610" s="63">
        <v>46178</v>
      </c>
      <c r="J1610" s="62">
        <v>2</v>
      </c>
      <c r="K1610" s="62">
        <v>2</v>
      </c>
      <c r="L1610" s="62" t="s">
        <v>24995</v>
      </c>
      <c r="M1610" s="62" t="s">
        <v>24995</v>
      </c>
      <c r="N1610" s="62" t="s">
        <v>19269</v>
      </c>
      <c r="O1610" s="62" t="s">
        <v>1756</v>
      </c>
      <c r="P1610" s="42" t="str">
        <f>+IF(O1610="","",IFERROR(VLOOKUP(O1610,CODIGO_DIAGNOSTICO,2,0),"CÓDIGO NO ENCONTRADO"))</f>
        <v>DIABETES MELLITUS INSULINODEPENDIENTE CON OTRAS COMPLICACIONES ESPECIFICADAS</v>
      </c>
      <c r="Q1610" s="62" t="s">
        <v>19230</v>
      </c>
      <c r="R1610" s="64"/>
      <c r="S1610" s="75"/>
      <c r="T1610" s="75"/>
      <c r="U1610" s="65"/>
      <c r="V1610" s="62"/>
      <c r="W1610" s="65"/>
      <c r="X1610" s="62"/>
      <c r="Y1610" s="65"/>
      <c r="Z1610" s="73"/>
    </row>
    <row r="1611" spans="1:26" ht="15.75" customHeight="1" x14ac:dyDescent="0.25">
      <c r="A1611" s="67">
        <v>6</v>
      </c>
      <c r="B1611" s="68">
        <v>94150593</v>
      </c>
      <c r="C1611" s="68" t="s">
        <v>26585</v>
      </c>
      <c r="D1611" s="68" t="s">
        <v>25862</v>
      </c>
      <c r="E1611" s="68" t="s">
        <v>25066</v>
      </c>
      <c r="F1611" s="68" t="s">
        <v>24986</v>
      </c>
      <c r="G1611" s="81" t="s">
        <v>25768</v>
      </c>
      <c r="H1611" s="69">
        <v>46177</v>
      </c>
      <c r="I1611" s="69">
        <v>46206</v>
      </c>
      <c r="J1611" s="68">
        <v>30</v>
      </c>
      <c r="K1611" s="68">
        <v>30</v>
      </c>
      <c r="L1611" s="68" t="s">
        <v>24995</v>
      </c>
      <c r="M1611" s="68" t="s">
        <v>19262</v>
      </c>
      <c r="N1611" s="62" t="s">
        <v>19269</v>
      </c>
      <c r="O1611" s="68" t="s">
        <v>7737</v>
      </c>
      <c r="P1611" s="42" t="str">
        <f>+IF(O1611="","",IFERROR(VLOOKUP(O1611,CODIGO_DIAGNOSTICO,2,0),"CÓDIGO NO ENCONTRADO"))</f>
        <v>ESGUINCES Y TORCEDURAS QUE COMPROMETEN EL LIGAMENTO CRUZADO (ANTERIOR) (POSTERIOR) DE LA RODILLA</v>
      </c>
      <c r="Q1611" s="68" t="s">
        <v>26059</v>
      </c>
      <c r="R1611" s="67"/>
      <c r="S1611" s="77"/>
      <c r="T1611" s="76"/>
      <c r="U1611" s="65"/>
      <c r="V1611" s="68"/>
      <c r="W1611" s="70"/>
      <c r="X1611" s="68"/>
      <c r="Y1611" s="70"/>
      <c r="Z1611" s="72"/>
    </row>
    <row r="1612" spans="1:26" ht="15.75" customHeight="1" x14ac:dyDescent="0.25">
      <c r="A1612" s="64">
        <v>6</v>
      </c>
      <c r="B1612" s="62">
        <v>1128444383</v>
      </c>
      <c r="C1612" s="62" t="s">
        <v>25340</v>
      </c>
      <c r="D1612" s="62" t="s">
        <v>25248</v>
      </c>
      <c r="E1612" s="62" t="s">
        <v>25297</v>
      </c>
      <c r="F1612" s="62" t="s">
        <v>25064</v>
      </c>
      <c r="G1612" s="81" t="s">
        <v>19285</v>
      </c>
      <c r="H1612" s="63">
        <v>46179</v>
      </c>
      <c r="I1612" s="63">
        <v>46181</v>
      </c>
      <c r="J1612" s="62">
        <v>3</v>
      </c>
      <c r="K1612" s="62">
        <v>3</v>
      </c>
      <c r="L1612" s="62" t="s">
        <v>24995</v>
      </c>
      <c r="M1612" s="62" t="s">
        <v>24995</v>
      </c>
      <c r="N1612" s="62" t="s">
        <v>19269</v>
      </c>
      <c r="O1612" s="62" t="s">
        <v>4533</v>
      </c>
      <c r="P1612" s="42" t="str">
        <f>+IF(O1612="","",IFERROR(VLOOKUP(O1612,CODIGO_DIAGNOSTICO,2,0),"CÓDIGO NO ENCONTRADO"))</f>
        <v>GRANULOMA PIOGENO</v>
      </c>
      <c r="Q1612" s="62" t="s">
        <v>24996</v>
      </c>
      <c r="R1612" s="64"/>
      <c r="S1612" s="75"/>
      <c r="T1612" s="75"/>
      <c r="U1612" s="65"/>
      <c r="V1612" s="62"/>
      <c r="W1612" s="65"/>
      <c r="X1612" s="62"/>
      <c r="Y1612" s="65"/>
      <c r="Z1612" s="73"/>
    </row>
    <row r="1613" spans="1:26" ht="15.75" customHeight="1" x14ac:dyDescent="0.25">
      <c r="A1613" s="67">
        <v>6</v>
      </c>
      <c r="B1613" s="68">
        <v>1041150055</v>
      </c>
      <c r="C1613" s="68" t="s">
        <v>26524</v>
      </c>
      <c r="D1613" s="68" t="s">
        <v>25523</v>
      </c>
      <c r="E1613" s="68" t="s">
        <v>26374</v>
      </c>
      <c r="F1613" s="68"/>
      <c r="G1613" s="81" t="s">
        <v>19285</v>
      </c>
      <c r="H1613" s="69">
        <v>46180</v>
      </c>
      <c r="I1613" s="69">
        <v>46181</v>
      </c>
      <c r="J1613" s="68">
        <v>2</v>
      </c>
      <c r="K1613" s="68">
        <v>2</v>
      </c>
      <c r="L1613" s="68" t="s">
        <v>24995</v>
      </c>
      <c r="M1613" s="68" t="s">
        <v>24995</v>
      </c>
      <c r="N1613" s="62" t="s">
        <v>19269</v>
      </c>
      <c r="O1613" s="68" t="s">
        <v>5482</v>
      </c>
      <c r="P1613" s="42" t="str">
        <f>+IF(O1613="","",IFERROR(VLOOKUP(O1613,CODIGO_DIAGNOSTICO,2,0),"CÓDIGO NO ENCONTRADO"))</f>
        <v>HEMORRAGIA POSTCOITO Y POSTCONTACTO</v>
      </c>
      <c r="Q1613" s="68" t="s">
        <v>19289</v>
      </c>
      <c r="R1613" s="67"/>
      <c r="S1613" s="77"/>
      <c r="T1613" s="76"/>
      <c r="U1613" s="65"/>
      <c r="V1613" s="68"/>
      <c r="W1613" s="70"/>
      <c r="X1613" s="68"/>
      <c r="Y1613" s="70"/>
      <c r="Z1613" s="72"/>
    </row>
    <row r="1614" spans="1:26" ht="15.75" customHeight="1" x14ac:dyDescent="0.25">
      <c r="A1614" s="64">
        <v>6</v>
      </c>
      <c r="B1614" s="62">
        <v>71382103</v>
      </c>
      <c r="C1614" s="62" t="s">
        <v>25776</v>
      </c>
      <c r="D1614" s="62" t="s">
        <v>25968</v>
      </c>
      <c r="E1614" s="62" t="s">
        <v>25198</v>
      </c>
      <c r="F1614" s="62" t="s">
        <v>25276</v>
      </c>
      <c r="G1614" s="81" t="s">
        <v>19285</v>
      </c>
      <c r="H1614" s="63">
        <v>46180</v>
      </c>
      <c r="I1614" s="63">
        <v>46209</v>
      </c>
      <c r="J1614" s="62">
        <v>30</v>
      </c>
      <c r="K1614" s="62">
        <v>30</v>
      </c>
      <c r="L1614" s="62" t="s">
        <v>19262</v>
      </c>
      <c r="M1614" s="62" t="s">
        <v>19262</v>
      </c>
      <c r="N1614" s="62" t="s">
        <v>19269</v>
      </c>
      <c r="O1614" s="62" t="s">
        <v>4671</v>
      </c>
      <c r="P1614" s="42" t="str">
        <f>+IF(O1614="","",IFERROR(VLOOKUP(O1614,CODIGO_DIAGNOSTICO,2,0),"CÓDIGO NO ENCONTRADO"))</f>
        <v>DEFORMIDAD EN VARO, NO CLASIFICADA EN OTRA</v>
      </c>
      <c r="Q1614" s="62" t="s">
        <v>26059</v>
      </c>
      <c r="R1614" s="64"/>
      <c r="S1614" s="75"/>
      <c r="T1614" s="75"/>
      <c r="U1614" s="65"/>
      <c r="V1614" s="62"/>
      <c r="W1614" s="65"/>
      <c r="X1614" s="62"/>
      <c r="Y1614" s="65"/>
      <c r="Z1614" s="73"/>
    </row>
    <row r="1615" spans="1:26" ht="15.75" customHeight="1" x14ac:dyDescent="0.25">
      <c r="A1615" s="67">
        <v>6</v>
      </c>
      <c r="B1615" s="68">
        <v>98528134</v>
      </c>
      <c r="C1615" s="68" t="s">
        <v>25158</v>
      </c>
      <c r="D1615" s="68" t="s">
        <v>25174</v>
      </c>
      <c r="E1615" s="68" t="s">
        <v>25255</v>
      </c>
      <c r="F1615" s="68" t="s">
        <v>25028</v>
      </c>
      <c r="G1615" s="81" t="s">
        <v>19285</v>
      </c>
      <c r="H1615" s="69">
        <v>46181</v>
      </c>
      <c r="I1615" s="69">
        <v>46190</v>
      </c>
      <c r="J1615" s="68">
        <v>10</v>
      </c>
      <c r="K1615" s="68">
        <v>10</v>
      </c>
      <c r="L1615" s="68" t="s">
        <v>24995</v>
      </c>
      <c r="M1615" s="68" t="s">
        <v>19262</v>
      </c>
      <c r="N1615" s="62" t="s">
        <v>19269</v>
      </c>
      <c r="O1615" s="68" t="s">
        <v>983</v>
      </c>
      <c r="P1615" s="42" t="str">
        <f>+IF(O1615="","",IFERROR(VLOOKUP(O1615,CODIGO_DIAGNOSTICO,2,0),"CÓDIGO NO ENCONTRADO"))</f>
        <v>MELANOMA MALIGNO DEL TRONCO</v>
      </c>
      <c r="Q1615" s="68" t="s">
        <v>26059</v>
      </c>
      <c r="R1615" s="67"/>
      <c r="S1615" s="77"/>
      <c r="T1615" s="76"/>
      <c r="U1615" s="65"/>
      <c r="V1615" s="68"/>
      <c r="W1615" s="70"/>
      <c r="X1615" s="68"/>
      <c r="Y1615" s="70"/>
      <c r="Z1615" s="72"/>
    </row>
    <row r="1616" spans="1:26" ht="15.75" customHeight="1" x14ac:dyDescent="0.25">
      <c r="A1616" s="64">
        <v>6</v>
      </c>
      <c r="B1616" s="62">
        <v>1040737050</v>
      </c>
      <c r="C1616" s="62" t="s">
        <v>25467</v>
      </c>
      <c r="D1616" s="62" t="s">
        <v>25468</v>
      </c>
      <c r="E1616" s="62" t="s">
        <v>25618</v>
      </c>
      <c r="F1616" s="62" t="s">
        <v>25469</v>
      </c>
      <c r="G1616" s="81" t="s">
        <v>19285</v>
      </c>
      <c r="H1616" s="63">
        <v>46182</v>
      </c>
      <c r="I1616" s="63">
        <v>46183</v>
      </c>
      <c r="J1616" s="62">
        <v>2</v>
      </c>
      <c r="K1616" s="62">
        <v>2</v>
      </c>
      <c r="L1616" s="62" t="s">
        <v>24995</v>
      </c>
      <c r="M1616" s="62" t="s">
        <v>24995</v>
      </c>
      <c r="N1616" s="62" t="s">
        <v>19269</v>
      </c>
      <c r="O1616" s="62" t="s">
        <v>85</v>
      </c>
      <c r="P1616" s="42" t="str">
        <f>+IF(O1616="","",IFERROR(VLOOKUP(O1616,CODIGO_DIAGNOSTICO,2,0),"CÓDIGO NO ENCONTRADO"))</f>
        <v>OTRAS ENTERITIS VIRALES</v>
      </c>
      <c r="Q1616" s="62" t="s">
        <v>24996</v>
      </c>
      <c r="R1616" s="64"/>
      <c r="S1616" s="75"/>
      <c r="T1616" s="75"/>
      <c r="U1616" s="65"/>
      <c r="V1616" s="62"/>
      <c r="W1616" s="65"/>
      <c r="X1616" s="62"/>
      <c r="Y1616" s="65"/>
      <c r="Z1616" s="73"/>
    </row>
    <row r="1617" spans="1:26" ht="15.75" customHeight="1" x14ac:dyDescent="0.25">
      <c r="A1617" s="67">
        <v>6</v>
      </c>
      <c r="B1617" s="68">
        <v>1007993178</v>
      </c>
      <c r="C1617" s="68" t="s">
        <v>26582</v>
      </c>
      <c r="D1617" s="68" t="s">
        <v>26583</v>
      </c>
      <c r="E1617" s="68" t="s">
        <v>26584</v>
      </c>
      <c r="F1617" s="68" t="s">
        <v>25258</v>
      </c>
      <c r="G1617" s="81" t="s">
        <v>19285</v>
      </c>
      <c r="H1617" s="69">
        <v>46182</v>
      </c>
      <c r="I1617" s="69">
        <v>46186</v>
      </c>
      <c r="J1617" s="68">
        <v>5</v>
      </c>
      <c r="K1617" s="68">
        <v>5</v>
      </c>
      <c r="L1617" s="68" t="s">
        <v>24995</v>
      </c>
      <c r="M1617" s="68" t="s">
        <v>24995</v>
      </c>
      <c r="N1617" s="62" t="s">
        <v>19263</v>
      </c>
      <c r="O1617" s="68" t="s">
        <v>7625</v>
      </c>
      <c r="P1617" s="42" t="str">
        <f>+IF(O1617="","",IFERROR(VLOOKUP(O1617,CODIGO_DIAGNOSTICO,2,0),"CÓDIGO NO ENCONTRADO"))</f>
        <v>ESGUINCES Y TORCEDURAS DE LA MUÑECA</v>
      </c>
      <c r="Q1617" s="68" t="s">
        <v>25001</v>
      </c>
      <c r="R1617" s="67"/>
      <c r="S1617" s="77"/>
      <c r="T1617" s="76"/>
      <c r="U1617" s="65"/>
      <c r="V1617" s="68"/>
      <c r="W1617" s="70"/>
      <c r="X1617" s="68"/>
      <c r="Y1617" s="70"/>
      <c r="Z1617" s="72"/>
    </row>
    <row r="1618" spans="1:26" ht="15.75" customHeight="1" x14ac:dyDescent="0.25">
      <c r="A1618" s="64">
        <v>6</v>
      </c>
      <c r="B1618" s="62">
        <v>91271796</v>
      </c>
      <c r="C1618" s="62" t="s">
        <v>25306</v>
      </c>
      <c r="D1618" s="62" t="s">
        <v>25109</v>
      </c>
      <c r="E1618" s="62" t="s">
        <v>25131</v>
      </c>
      <c r="F1618" s="62" t="s">
        <v>25368</v>
      </c>
      <c r="G1618" s="81" t="s">
        <v>19285</v>
      </c>
      <c r="H1618" s="63">
        <v>46182</v>
      </c>
      <c r="I1618" s="63">
        <v>46211</v>
      </c>
      <c r="J1618" s="62">
        <v>30</v>
      </c>
      <c r="K1618" s="62">
        <v>30</v>
      </c>
      <c r="L1618" s="62" t="s">
        <v>24995</v>
      </c>
      <c r="M1618" s="62" t="s">
        <v>19262</v>
      </c>
      <c r="N1618" s="62" t="s">
        <v>19263</v>
      </c>
      <c r="O1618" s="62" t="s">
        <v>4877</v>
      </c>
      <c r="P1618" s="42" t="str">
        <f>+IF(O1618="","",IFERROR(VLOOKUP(O1618,CODIGO_DIAGNOSTICO,2,0),"CÓDIGO NO ENCONTRADO"))</f>
        <v>RUPTURA ESPONTANEA DE TENDONES EXTENSORES</v>
      </c>
      <c r="Q1618" s="62" t="s">
        <v>25001</v>
      </c>
      <c r="R1618" s="64"/>
      <c r="S1618" s="75"/>
      <c r="T1618" s="75"/>
      <c r="U1618" s="65"/>
      <c r="V1618" s="62"/>
      <c r="W1618" s="65"/>
      <c r="X1618" s="62"/>
      <c r="Y1618" s="65"/>
      <c r="Z1618" s="73"/>
    </row>
    <row r="1619" spans="1:26" ht="15.75" customHeight="1" x14ac:dyDescent="0.25">
      <c r="A1619" s="67">
        <v>6</v>
      </c>
      <c r="B1619" s="68">
        <v>98493617</v>
      </c>
      <c r="C1619" s="68" t="s">
        <v>25085</v>
      </c>
      <c r="D1619" s="68" t="s">
        <v>25497</v>
      </c>
      <c r="E1619" s="68" t="s">
        <v>25188</v>
      </c>
      <c r="F1619" s="68" t="s">
        <v>25064</v>
      </c>
      <c r="G1619" s="81" t="s">
        <v>19285</v>
      </c>
      <c r="H1619" s="69">
        <v>46182</v>
      </c>
      <c r="I1619" s="69">
        <v>46195</v>
      </c>
      <c r="J1619" s="68">
        <v>14</v>
      </c>
      <c r="K1619" s="68">
        <v>14</v>
      </c>
      <c r="L1619" s="68" t="s">
        <v>24995</v>
      </c>
      <c r="M1619" s="68" t="s">
        <v>19262</v>
      </c>
      <c r="N1619" s="62" t="s">
        <v>19269</v>
      </c>
      <c r="O1619" s="68" t="s">
        <v>3997</v>
      </c>
      <c r="P1619" s="42" t="str">
        <f>+IF(O1619="","",IFERROR(VLOOKUP(O1619,CODIGO_DIAGNOSTICO,2,0),"CÓDIGO NO ENCONTRADO"))</f>
        <v>HERNIA UMBILICAL SIN OBSTRUCCION NI GANGRENA</v>
      </c>
      <c r="Q1619" s="68" t="s">
        <v>26059</v>
      </c>
      <c r="R1619" s="67"/>
      <c r="S1619" s="77"/>
      <c r="T1619" s="76"/>
      <c r="U1619" s="65"/>
      <c r="V1619" s="68"/>
      <c r="W1619" s="70"/>
      <c r="X1619" s="68"/>
      <c r="Y1619" s="70"/>
      <c r="Z1619" s="72"/>
    </row>
    <row r="1620" spans="1:26" ht="15.75" customHeight="1" x14ac:dyDescent="0.25">
      <c r="A1620" s="64">
        <v>6</v>
      </c>
      <c r="B1620" s="62">
        <v>70137576</v>
      </c>
      <c r="C1620" s="62" t="s">
        <v>25086</v>
      </c>
      <c r="D1620" s="62" t="s">
        <v>25424</v>
      </c>
      <c r="E1620" s="62" t="s">
        <v>25405</v>
      </c>
      <c r="F1620" s="62" t="s">
        <v>25276</v>
      </c>
      <c r="G1620" s="81" t="s">
        <v>19285</v>
      </c>
      <c r="H1620" s="63">
        <v>46183</v>
      </c>
      <c r="I1620" s="63">
        <v>46212</v>
      </c>
      <c r="J1620" s="62">
        <v>30</v>
      </c>
      <c r="K1620" s="62">
        <v>30</v>
      </c>
      <c r="L1620" s="62" t="s">
        <v>19262</v>
      </c>
      <c r="M1620" s="62" t="s">
        <v>19262</v>
      </c>
      <c r="N1620" s="62" t="s">
        <v>19269</v>
      </c>
      <c r="O1620" s="62" t="s">
        <v>4650</v>
      </c>
      <c r="P1620" s="42" t="str">
        <f>+IF(O1620="","",IFERROR(VLOOKUP(O1620,CODIGO_DIAGNOSTICO,2,0),"CÓDIGO NO ENCONTRADO"))</f>
        <v>GONARTROSIS, NO ESPECIFICADA</v>
      </c>
      <c r="Q1620" s="62" t="s">
        <v>26059</v>
      </c>
      <c r="R1620" s="64"/>
      <c r="S1620" s="75"/>
      <c r="T1620" s="75"/>
      <c r="U1620" s="65"/>
      <c r="V1620" s="62"/>
      <c r="W1620" s="65"/>
      <c r="X1620" s="62"/>
      <c r="Y1620" s="65"/>
      <c r="Z1620" s="73"/>
    </row>
    <row r="1621" spans="1:26" ht="15.75" customHeight="1" x14ac:dyDescent="0.25">
      <c r="A1621" s="67">
        <v>6</v>
      </c>
      <c r="B1621" s="68">
        <v>1152714284</v>
      </c>
      <c r="C1621" s="68" t="s">
        <v>26558</v>
      </c>
      <c r="D1621" s="68" t="s">
        <v>25905</v>
      </c>
      <c r="E1621" s="68" t="s">
        <v>26559</v>
      </c>
      <c r="F1621" s="68" t="s">
        <v>25596</v>
      </c>
      <c r="G1621" s="81" t="s">
        <v>19285</v>
      </c>
      <c r="H1621" s="69">
        <v>46183</v>
      </c>
      <c r="I1621" s="69">
        <v>46197</v>
      </c>
      <c r="J1621" s="68">
        <v>14</v>
      </c>
      <c r="K1621" s="68">
        <v>14</v>
      </c>
      <c r="L1621" s="68" t="s">
        <v>24995</v>
      </c>
      <c r="M1621" s="68" t="s">
        <v>24995</v>
      </c>
      <c r="N1621" s="62" t="s">
        <v>19269</v>
      </c>
      <c r="O1621" s="68" t="s">
        <v>5531</v>
      </c>
      <c r="P1621" s="42" t="str">
        <f>+IF(O1621="","",IFERROR(VLOOKUP(O1621,CODIGO_DIAGNOSTICO,2,0),"CÓDIGO NO ENCONTRADO"))</f>
        <v>ABORTO RETENIDO</v>
      </c>
      <c r="Q1621" s="68" t="s">
        <v>26059</v>
      </c>
      <c r="R1621" s="67"/>
      <c r="S1621" s="77"/>
      <c r="T1621" s="76"/>
      <c r="U1621" s="65"/>
      <c r="V1621" s="68"/>
      <c r="W1621" s="70"/>
      <c r="X1621" s="68"/>
      <c r="Y1621" s="70"/>
      <c r="Z1621" s="72"/>
    </row>
    <row r="1622" spans="1:26" ht="15.75" customHeight="1" x14ac:dyDescent="0.25">
      <c r="A1622" s="64">
        <v>6</v>
      </c>
      <c r="B1622" s="62">
        <v>70108742</v>
      </c>
      <c r="C1622" s="62" t="s">
        <v>25075</v>
      </c>
      <c r="D1622" s="62" t="s">
        <v>25510</v>
      </c>
      <c r="E1622" s="62" t="s">
        <v>25884</v>
      </c>
      <c r="F1622" s="62"/>
      <c r="G1622" s="81" t="s">
        <v>19285</v>
      </c>
      <c r="H1622" s="63">
        <v>46185</v>
      </c>
      <c r="I1622" s="63">
        <v>46214</v>
      </c>
      <c r="J1622" s="62">
        <v>30</v>
      </c>
      <c r="K1622" s="62">
        <v>30</v>
      </c>
      <c r="L1622" s="62" t="s">
        <v>19262</v>
      </c>
      <c r="M1622" s="62" t="s">
        <v>19262</v>
      </c>
      <c r="N1622" s="62" t="s">
        <v>19269</v>
      </c>
      <c r="O1622" s="62" t="s">
        <v>954</v>
      </c>
      <c r="P1622" s="42" t="str">
        <f>+IF(O1622="","",IFERROR(VLOOKUP(O1622,CODIGO_DIAGNOSTICO,2,0),"CÓDIGO NO ENCONTRADO"))</f>
        <v>TUMOR MALIGNO DE LOS BRONQUIOS O DEL PULMON, PARTE NO ESPECIFICADA</v>
      </c>
      <c r="Q1622" s="62" t="s">
        <v>26059</v>
      </c>
      <c r="R1622" s="64"/>
      <c r="S1622" s="75"/>
      <c r="T1622" s="75"/>
      <c r="U1622" s="65"/>
      <c r="V1622" s="62"/>
      <c r="W1622" s="65"/>
      <c r="X1622" s="62"/>
      <c r="Y1622" s="65"/>
      <c r="Z1622" s="73"/>
    </row>
    <row r="1623" spans="1:26" ht="15.75" customHeight="1" x14ac:dyDescent="0.25">
      <c r="A1623" s="67">
        <v>6</v>
      </c>
      <c r="B1623" s="68">
        <v>1020463461</v>
      </c>
      <c r="C1623" s="68" t="s">
        <v>25175</v>
      </c>
      <c r="D1623" s="68" t="s">
        <v>25480</v>
      </c>
      <c r="E1623" s="68" t="s">
        <v>26589</v>
      </c>
      <c r="F1623" s="68" t="s">
        <v>25110</v>
      </c>
      <c r="G1623" s="81" t="s">
        <v>19285</v>
      </c>
      <c r="H1623" s="69">
        <v>46186</v>
      </c>
      <c r="I1623" s="69">
        <v>46186</v>
      </c>
      <c r="J1623" s="68">
        <v>1</v>
      </c>
      <c r="K1623" s="68">
        <v>1</v>
      </c>
      <c r="L1623" s="68" t="s">
        <v>24995</v>
      </c>
      <c r="M1623" s="68" t="s">
        <v>24995</v>
      </c>
      <c r="N1623" s="62" t="s">
        <v>19269</v>
      </c>
      <c r="O1623" s="68" t="s">
        <v>293</v>
      </c>
      <c r="P1623" s="42" t="str">
        <f>+IF(O1623="","",IFERROR(VLOOKUP(O1623,CODIGO_DIAGNOSTICO,2,0),"CÓDIGO NO ENCONTRADO"))</f>
        <v>CHANCRO BLANDO</v>
      </c>
      <c r="Q1623" s="68" t="s">
        <v>26059</v>
      </c>
      <c r="R1623" s="67"/>
      <c r="S1623" s="77"/>
      <c r="T1623" s="76"/>
      <c r="U1623" s="65"/>
      <c r="V1623" s="68"/>
      <c r="W1623" s="70"/>
      <c r="X1623" s="68"/>
      <c r="Y1623" s="70"/>
      <c r="Z1623" s="72"/>
    </row>
    <row r="1624" spans="1:26" ht="15.75" customHeight="1" x14ac:dyDescent="0.25">
      <c r="A1624" s="64">
        <v>6</v>
      </c>
      <c r="B1624" s="62">
        <v>98648253</v>
      </c>
      <c r="C1624" s="62" t="s">
        <v>25343</v>
      </c>
      <c r="D1624" s="62" t="s">
        <v>25462</v>
      </c>
      <c r="E1624" s="62" t="s">
        <v>25483</v>
      </c>
      <c r="F1624" s="62" t="s">
        <v>25110</v>
      </c>
      <c r="G1624" s="81" t="s">
        <v>19285</v>
      </c>
      <c r="H1624" s="63">
        <v>46189</v>
      </c>
      <c r="I1624" s="63">
        <v>46195</v>
      </c>
      <c r="J1624" s="62">
        <v>7</v>
      </c>
      <c r="K1624" s="62">
        <v>7</v>
      </c>
      <c r="L1624" s="62" t="s">
        <v>19262</v>
      </c>
      <c r="M1624" s="62" t="s">
        <v>24995</v>
      </c>
      <c r="N1624" s="62" t="s">
        <v>19269</v>
      </c>
      <c r="O1624" s="62" t="s">
        <v>6936</v>
      </c>
      <c r="P1624" s="42" t="str">
        <f>+IF(O1624="","",IFERROR(VLOOKUP(O1624,CODIGO_DIAGNOSTICO,2,0),"CÓDIGO NO ENCONTRADO"))</f>
        <v>DOLOR ABDOMINAL LOCALIZADO EN PARTE SUPERIOR</v>
      </c>
      <c r="Q1624" s="62" t="s">
        <v>26059</v>
      </c>
      <c r="R1624" s="64"/>
      <c r="S1624" s="75"/>
      <c r="T1624" s="75"/>
      <c r="U1624" s="65"/>
      <c r="V1624" s="62"/>
      <c r="W1624" s="65"/>
      <c r="X1624" s="62"/>
      <c r="Y1624" s="65"/>
      <c r="Z1624" s="73"/>
    </row>
    <row r="1625" spans="1:26" ht="15.75" customHeight="1" x14ac:dyDescent="0.25">
      <c r="A1625" s="67">
        <v>6</v>
      </c>
      <c r="B1625" s="68">
        <v>72216318</v>
      </c>
      <c r="C1625" s="68" t="s">
        <v>25401</v>
      </c>
      <c r="D1625" s="68" t="s">
        <v>26590</v>
      </c>
      <c r="E1625" s="68" t="s">
        <v>26150</v>
      </c>
      <c r="F1625" s="68"/>
      <c r="G1625" s="81" t="s">
        <v>19285</v>
      </c>
      <c r="H1625" s="69">
        <v>46189</v>
      </c>
      <c r="I1625" s="69">
        <v>46203</v>
      </c>
      <c r="J1625" s="68">
        <v>15</v>
      </c>
      <c r="K1625" s="68">
        <v>15</v>
      </c>
      <c r="L1625" s="68" t="s">
        <v>24995</v>
      </c>
      <c r="M1625" s="68" t="s">
        <v>24995</v>
      </c>
      <c r="N1625" s="62" t="s">
        <v>19269</v>
      </c>
      <c r="O1625" s="68" t="s">
        <v>2850</v>
      </c>
      <c r="P1625" s="42" t="str">
        <f>+IF(O1625="","",IFERROR(VLOOKUP(O1625,CODIGO_DIAGNOSTICO,2,0),"CÓDIGO NO ENCONTRADO"))</f>
        <v>PTERIGION</v>
      </c>
      <c r="Q1625" s="68" t="s">
        <v>26059</v>
      </c>
      <c r="R1625" s="67"/>
      <c r="S1625" s="77"/>
      <c r="T1625" s="76"/>
      <c r="U1625" s="65"/>
      <c r="V1625" s="68"/>
      <c r="W1625" s="70"/>
      <c r="X1625" s="68"/>
      <c r="Y1625" s="70"/>
      <c r="Z1625" s="72"/>
    </row>
    <row r="1626" spans="1:26" ht="15.75" customHeight="1" x14ac:dyDescent="0.25">
      <c r="A1626" s="64">
        <v>6</v>
      </c>
      <c r="B1626" s="62">
        <v>15309929</v>
      </c>
      <c r="C1626" s="62" t="s">
        <v>25011</v>
      </c>
      <c r="D1626" s="62" t="s">
        <v>25012</v>
      </c>
      <c r="E1626" s="62" t="s">
        <v>25048</v>
      </c>
      <c r="F1626" s="62" t="s">
        <v>25014</v>
      </c>
      <c r="G1626" s="81" t="s">
        <v>19285</v>
      </c>
      <c r="H1626" s="63">
        <v>46189</v>
      </c>
      <c r="I1626" s="63">
        <v>46189</v>
      </c>
      <c r="J1626" s="62">
        <v>1</v>
      </c>
      <c r="K1626" s="62">
        <v>1</v>
      </c>
      <c r="L1626" s="62" t="s">
        <v>24995</v>
      </c>
      <c r="M1626" s="62" t="s">
        <v>24995</v>
      </c>
      <c r="N1626" s="62" t="s">
        <v>19269</v>
      </c>
      <c r="O1626" s="62" t="s">
        <v>4871</v>
      </c>
      <c r="P1626" s="42" t="str">
        <f>+IF(O1626="","",IFERROR(VLOOKUP(O1626,CODIGO_DIAGNOSTICO,2,0),"CÓDIGO NO ENCONTRADO"))</f>
        <v>DEDO EN GATILLO</v>
      </c>
      <c r="Q1626" s="62" t="s">
        <v>26059</v>
      </c>
      <c r="R1626" s="64"/>
      <c r="S1626" s="75"/>
      <c r="T1626" s="75"/>
      <c r="U1626" s="65"/>
      <c r="V1626" s="62"/>
      <c r="W1626" s="65"/>
      <c r="X1626" s="62"/>
      <c r="Y1626" s="65"/>
      <c r="Z1626" s="73"/>
    </row>
    <row r="1627" spans="1:26" ht="15.75" customHeight="1" x14ac:dyDescent="0.25">
      <c r="A1627" s="67">
        <v>6</v>
      </c>
      <c r="B1627" s="68">
        <v>1000105696</v>
      </c>
      <c r="C1627" s="68" t="s">
        <v>25017</v>
      </c>
      <c r="D1627" s="68" t="s">
        <v>25561</v>
      </c>
      <c r="E1627" s="68" t="s">
        <v>26307</v>
      </c>
      <c r="F1627" s="68"/>
      <c r="G1627" s="81" t="s">
        <v>19285</v>
      </c>
      <c r="H1627" s="69">
        <v>46190</v>
      </c>
      <c r="I1627" s="69">
        <v>46191</v>
      </c>
      <c r="J1627" s="68">
        <v>2</v>
      </c>
      <c r="K1627" s="68">
        <v>2</v>
      </c>
      <c r="L1627" s="68" t="s">
        <v>24995</v>
      </c>
      <c r="M1627" s="68" t="s">
        <v>24995</v>
      </c>
      <c r="N1627" s="62" t="s">
        <v>19269</v>
      </c>
      <c r="O1627" s="68" t="s">
        <v>15281</v>
      </c>
      <c r="P1627" s="42" t="str">
        <f>+IF(O1627="","",IFERROR(VLOOKUP(O1627,CODIGO_DIAGNOSTICO,2,0),"CÓDIGO NO ENCONTRADO"))</f>
        <v>RINOFARINGITIS AGUDA (RESFRIADO COMUN)</v>
      </c>
      <c r="Q1627" s="68" t="s">
        <v>26059</v>
      </c>
      <c r="R1627" s="67"/>
      <c r="S1627" s="77"/>
      <c r="T1627" s="76"/>
      <c r="U1627" s="65"/>
      <c r="V1627" s="68"/>
      <c r="W1627" s="70"/>
      <c r="X1627" s="68"/>
      <c r="Y1627" s="70"/>
      <c r="Z1627" s="72"/>
    </row>
    <row r="1628" spans="1:26" ht="15.75" customHeight="1" x14ac:dyDescent="0.25">
      <c r="A1628" s="64">
        <v>6</v>
      </c>
      <c r="B1628" s="62">
        <v>98648701</v>
      </c>
      <c r="C1628" s="62" t="s">
        <v>25034</v>
      </c>
      <c r="D1628" s="62" t="s">
        <v>25426</v>
      </c>
      <c r="E1628" s="62" t="s">
        <v>25977</v>
      </c>
      <c r="F1628" s="62" t="s">
        <v>25554</v>
      </c>
      <c r="G1628" s="81" t="s">
        <v>19285</v>
      </c>
      <c r="H1628" s="63">
        <v>46191</v>
      </c>
      <c r="I1628" s="63">
        <v>46194</v>
      </c>
      <c r="J1628" s="62">
        <v>4</v>
      </c>
      <c r="K1628" s="62">
        <v>4</v>
      </c>
      <c r="L1628" s="62" t="s">
        <v>24995</v>
      </c>
      <c r="M1628" s="62" t="s">
        <v>24995</v>
      </c>
      <c r="N1628" s="62" t="s">
        <v>19269</v>
      </c>
      <c r="O1628" s="62" t="s">
        <v>7607</v>
      </c>
      <c r="P1628" s="42" t="str">
        <f>+IF(O1628="","",IFERROR(VLOOKUP(O1628,CODIGO_DIAGNOSTICO,2,0),"CÓDIGO NO ENCONTRADO"))</f>
        <v>HERIDA DE DEDO(S) DE LA MANO, CON DAÑO DE LA(S) UÑA(S)</v>
      </c>
      <c r="Q1628" s="62" t="s">
        <v>26059</v>
      </c>
      <c r="R1628" s="64"/>
      <c r="S1628" s="75"/>
      <c r="T1628" s="75"/>
      <c r="U1628" s="65"/>
      <c r="V1628" s="62"/>
      <c r="W1628" s="65"/>
      <c r="X1628" s="62"/>
      <c r="Y1628" s="65"/>
      <c r="Z1628" s="73"/>
    </row>
    <row r="1629" spans="1:26" ht="15.75" customHeight="1" x14ac:dyDescent="0.25">
      <c r="A1629" s="67">
        <v>6</v>
      </c>
      <c r="B1629" s="68">
        <v>1090537263</v>
      </c>
      <c r="C1629" s="68" t="s">
        <v>25601</v>
      </c>
      <c r="D1629" s="68" t="s">
        <v>25703</v>
      </c>
      <c r="E1629" s="68" t="s">
        <v>25569</v>
      </c>
      <c r="F1629" s="68" t="s">
        <v>26593</v>
      </c>
      <c r="G1629" s="81" t="s">
        <v>19285</v>
      </c>
      <c r="H1629" s="69">
        <v>46191</v>
      </c>
      <c r="I1629" s="69">
        <v>46192</v>
      </c>
      <c r="J1629" s="68">
        <v>2</v>
      </c>
      <c r="K1629" s="68">
        <v>2</v>
      </c>
      <c r="L1629" s="68" t="s">
        <v>24995</v>
      </c>
      <c r="M1629" s="68" t="s">
        <v>24995</v>
      </c>
      <c r="N1629" s="62" t="s">
        <v>19269</v>
      </c>
      <c r="O1629" s="68" t="s">
        <v>7057</v>
      </c>
      <c r="P1629" s="42" t="str">
        <f>+IF(O1629="","",IFERROR(VLOOKUP(O1629,CODIGO_DIAGNOSTICO,2,0),"CÓDIGO NO ENCONTRADO"))</f>
        <v>CEFALEA</v>
      </c>
      <c r="Q1629" s="68" t="s">
        <v>24996</v>
      </c>
      <c r="R1629" s="67"/>
      <c r="S1629" s="77"/>
      <c r="T1629" s="76"/>
      <c r="U1629" s="65"/>
      <c r="V1629" s="68"/>
      <c r="W1629" s="70"/>
      <c r="X1629" s="68"/>
      <c r="Y1629" s="70"/>
      <c r="Z1629" s="72"/>
    </row>
    <row r="1630" spans="1:26" ht="15.75" customHeight="1" x14ac:dyDescent="0.25">
      <c r="A1630" s="64">
        <v>6</v>
      </c>
      <c r="B1630" s="62">
        <v>8407241</v>
      </c>
      <c r="C1630" s="62" t="s">
        <v>25776</v>
      </c>
      <c r="D1630" s="62" t="s">
        <v>25030</v>
      </c>
      <c r="E1630" s="62" t="s">
        <v>19256</v>
      </c>
      <c r="F1630" s="62" t="s">
        <v>25005</v>
      </c>
      <c r="G1630" s="81" t="s">
        <v>19285</v>
      </c>
      <c r="H1630" s="63">
        <v>46192</v>
      </c>
      <c r="I1630" s="63">
        <v>46201</v>
      </c>
      <c r="J1630" s="62">
        <v>10</v>
      </c>
      <c r="K1630" s="62">
        <v>10</v>
      </c>
      <c r="L1630" s="62" t="s">
        <v>24995</v>
      </c>
      <c r="M1630" s="62" t="s">
        <v>19262</v>
      </c>
      <c r="N1630" s="62" t="s">
        <v>19269</v>
      </c>
      <c r="O1630" s="62" t="s">
        <v>986</v>
      </c>
      <c r="P1630" s="42" t="str">
        <f>+IF(O1630="","",IFERROR(VLOOKUP(O1630,CODIGO_DIAGNOSTICO,2,0),"CÓDIGO NO ENCONTRADO"))</f>
        <v>MELANOMA MALIGNO DE SITIOS CONTIGUOS DE LA PIEL</v>
      </c>
      <c r="Q1630" s="62" t="s">
        <v>26059</v>
      </c>
      <c r="R1630" s="64"/>
      <c r="S1630" s="75"/>
      <c r="T1630" s="75"/>
      <c r="U1630" s="65"/>
      <c r="V1630" s="62"/>
      <c r="W1630" s="65"/>
      <c r="X1630" s="62"/>
      <c r="Y1630" s="65"/>
      <c r="Z1630" s="73"/>
    </row>
    <row r="1631" spans="1:26" ht="15.75" customHeight="1" x14ac:dyDescent="0.25">
      <c r="A1631" s="67">
        <v>6</v>
      </c>
      <c r="B1631" s="68">
        <v>3570700</v>
      </c>
      <c r="C1631" s="68" t="s">
        <v>25856</v>
      </c>
      <c r="D1631" s="68"/>
      <c r="E1631" s="68" t="s">
        <v>25255</v>
      </c>
      <c r="F1631" s="68" t="s">
        <v>25028</v>
      </c>
      <c r="G1631" s="81" t="s">
        <v>19285</v>
      </c>
      <c r="H1631" s="69">
        <v>46192</v>
      </c>
      <c r="I1631" s="69">
        <v>46193</v>
      </c>
      <c r="J1631" s="68">
        <v>2</v>
      </c>
      <c r="K1631" s="68">
        <v>2</v>
      </c>
      <c r="L1631" s="68" t="s">
        <v>24995</v>
      </c>
      <c r="M1631" s="68" t="s">
        <v>24995</v>
      </c>
      <c r="N1631" s="62" t="s">
        <v>19269</v>
      </c>
      <c r="O1631" s="68" t="s">
        <v>15281</v>
      </c>
      <c r="P1631" s="42" t="str">
        <f>+IF(O1631="","",IFERROR(VLOOKUP(O1631,CODIGO_DIAGNOSTICO,2,0),"CÓDIGO NO ENCONTRADO"))</f>
        <v>RINOFARINGITIS AGUDA (RESFRIADO COMUN)</v>
      </c>
      <c r="Q1631" s="68" t="s">
        <v>26059</v>
      </c>
      <c r="R1631" s="67"/>
      <c r="S1631" s="77"/>
      <c r="T1631" s="76"/>
      <c r="U1631" s="65"/>
      <c r="V1631" s="68"/>
      <c r="W1631" s="70"/>
      <c r="X1631" s="68"/>
      <c r="Y1631" s="70"/>
      <c r="Z1631" s="72"/>
    </row>
    <row r="1632" spans="1:26" ht="15.75" customHeight="1" x14ac:dyDescent="0.25">
      <c r="A1632" s="64">
        <v>6</v>
      </c>
      <c r="B1632" s="62">
        <v>98648701</v>
      </c>
      <c r="C1632" s="62" t="s">
        <v>25034</v>
      </c>
      <c r="D1632" s="62" t="s">
        <v>25426</v>
      </c>
      <c r="E1632" s="62" t="s">
        <v>25977</v>
      </c>
      <c r="F1632" s="62" t="s">
        <v>25554</v>
      </c>
      <c r="G1632" s="81" t="s">
        <v>19285</v>
      </c>
      <c r="H1632" s="63">
        <v>46195</v>
      </c>
      <c r="I1632" s="63">
        <v>46196</v>
      </c>
      <c r="J1632" s="62">
        <v>2</v>
      </c>
      <c r="K1632" s="62">
        <v>2</v>
      </c>
      <c r="L1632" s="62" t="s">
        <v>19262</v>
      </c>
      <c r="M1632" s="62" t="s">
        <v>24995</v>
      </c>
      <c r="N1632" s="62" t="s">
        <v>19269</v>
      </c>
      <c r="O1632" s="62" t="s">
        <v>7607</v>
      </c>
      <c r="P1632" s="42" t="str">
        <f>+IF(O1632="","",IFERROR(VLOOKUP(O1632,CODIGO_DIAGNOSTICO,2,0),"CÓDIGO NO ENCONTRADO"))</f>
        <v>HERIDA DE DEDO(S) DE LA MANO, CON DAÑO DE LA(S) UÑA(S)</v>
      </c>
      <c r="Q1632" s="62" t="s">
        <v>26059</v>
      </c>
      <c r="R1632" s="64"/>
      <c r="S1632" s="75"/>
      <c r="T1632" s="75"/>
      <c r="U1632" s="65"/>
      <c r="V1632" s="62"/>
      <c r="W1632" s="65"/>
      <c r="X1632" s="62"/>
      <c r="Y1632" s="65"/>
      <c r="Z1632" s="73"/>
    </row>
    <row r="1633" spans="1:26" ht="15.75" customHeight="1" x14ac:dyDescent="0.25">
      <c r="A1633" s="67">
        <v>6</v>
      </c>
      <c r="B1633" s="68">
        <v>1002206888</v>
      </c>
      <c r="C1633" s="68" t="s">
        <v>25307</v>
      </c>
      <c r="D1633" s="68" t="s">
        <v>25173</v>
      </c>
      <c r="E1633" s="68" t="s">
        <v>26520</v>
      </c>
      <c r="F1633" s="68"/>
      <c r="G1633" s="81" t="s">
        <v>19285</v>
      </c>
      <c r="H1633" s="69">
        <v>46195</v>
      </c>
      <c r="I1633" s="69">
        <v>46195</v>
      </c>
      <c r="J1633" s="68">
        <v>1</v>
      </c>
      <c r="K1633" s="68">
        <v>1</v>
      </c>
      <c r="L1633" s="68" t="s">
        <v>24995</v>
      </c>
      <c r="M1633" s="68" t="s">
        <v>24995</v>
      </c>
      <c r="N1633" s="62" t="s">
        <v>19269</v>
      </c>
      <c r="O1633" s="68" t="s">
        <v>5279</v>
      </c>
      <c r="P1633" s="42" t="str">
        <f>+IF(O1633="","",IFERROR(VLOOKUP(O1633,CODIGO_DIAGNOSTICO,2,0),"CÓDIGO NO ENCONTRADO"))</f>
        <v>INFECCION DE VIAS URINARIAS, SITIO NO ESPECIFICADO</v>
      </c>
      <c r="Q1633" s="68" t="s">
        <v>19230</v>
      </c>
      <c r="R1633" s="67"/>
      <c r="S1633" s="77"/>
      <c r="T1633" s="76"/>
      <c r="U1633" s="65"/>
      <c r="V1633" s="68"/>
      <c r="W1633" s="70"/>
      <c r="X1633" s="68"/>
      <c r="Y1633" s="70"/>
      <c r="Z1633" s="72"/>
    </row>
    <row r="1634" spans="1:26" ht="15.75" customHeight="1" x14ac:dyDescent="0.25">
      <c r="A1634" s="64">
        <v>6</v>
      </c>
      <c r="B1634" s="62">
        <v>98648253</v>
      </c>
      <c r="C1634" s="62" t="s">
        <v>25343</v>
      </c>
      <c r="D1634" s="62" t="s">
        <v>25462</v>
      </c>
      <c r="E1634" s="62" t="s">
        <v>25483</v>
      </c>
      <c r="F1634" s="62" t="s">
        <v>25110</v>
      </c>
      <c r="G1634" s="81" t="s">
        <v>19285</v>
      </c>
      <c r="H1634" s="63">
        <v>46196</v>
      </c>
      <c r="I1634" s="63">
        <v>46197</v>
      </c>
      <c r="J1634" s="62">
        <v>2</v>
      </c>
      <c r="K1634" s="62">
        <v>2</v>
      </c>
      <c r="L1634" s="62" t="s">
        <v>19262</v>
      </c>
      <c r="M1634" s="62" t="s">
        <v>19262</v>
      </c>
      <c r="N1634" s="62" t="s">
        <v>19269</v>
      </c>
      <c r="O1634" s="62" t="s">
        <v>6936</v>
      </c>
      <c r="P1634" s="42" t="str">
        <f>+IF(O1634="","",IFERROR(VLOOKUP(O1634,CODIGO_DIAGNOSTICO,2,0),"CÓDIGO NO ENCONTRADO"))</f>
        <v>DOLOR ABDOMINAL LOCALIZADO EN PARTE SUPERIOR</v>
      </c>
      <c r="Q1634" s="62" t="s">
        <v>26059</v>
      </c>
      <c r="R1634" s="64"/>
      <c r="S1634" s="75"/>
      <c r="T1634" s="75"/>
      <c r="U1634" s="65"/>
      <c r="V1634" s="62"/>
      <c r="W1634" s="65"/>
      <c r="X1634" s="62"/>
      <c r="Y1634" s="65"/>
      <c r="Z1634" s="73"/>
    </row>
    <row r="1635" spans="1:26" ht="15.75" customHeight="1" x14ac:dyDescent="0.25">
      <c r="A1635" s="67">
        <v>6</v>
      </c>
      <c r="B1635" s="68">
        <v>1003261731</v>
      </c>
      <c r="C1635" s="68" t="s">
        <v>25108</v>
      </c>
      <c r="D1635" s="68" t="s">
        <v>26595</v>
      </c>
      <c r="E1635" s="68" t="s">
        <v>25962</v>
      </c>
      <c r="F1635" s="68" t="s">
        <v>25010</v>
      </c>
      <c r="G1635" s="81" t="s">
        <v>19285</v>
      </c>
      <c r="H1635" s="69">
        <v>46197</v>
      </c>
      <c r="I1635" s="69">
        <v>46198</v>
      </c>
      <c r="J1635" s="68">
        <v>2</v>
      </c>
      <c r="K1635" s="68">
        <v>2</v>
      </c>
      <c r="L1635" s="68" t="s">
        <v>24995</v>
      </c>
      <c r="M1635" s="68" t="s">
        <v>24995</v>
      </c>
      <c r="N1635" s="62" t="s">
        <v>19269</v>
      </c>
      <c r="O1635" s="68" t="s">
        <v>506</v>
      </c>
      <c r="P1635" s="42" t="str">
        <f>+IF(O1635="","",IFERROR(VLOOKUP(O1635,CODIGO_DIAGNOSTICO,2,0),"CÓDIGO NO ENCONTRADO"))</f>
        <v>ENFERMEDAD POR VIRUS DE LA INMUNODEFICIENCIA HUMANA (VIH), SIN OTRA ESPECIFICACION</v>
      </c>
      <c r="Q1635" s="68" t="s">
        <v>24996</v>
      </c>
      <c r="R1635" s="67"/>
      <c r="S1635" s="77"/>
      <c r="T1635" s="76"/>
      <c r="U1635" s="65"/>
      <c r="V1635" s="68"/>
      <c r="W1635" s="70"/>
      <c r="X1635" s="68"/>
      <c r="Y1635" s="70"/>
      <c r="Z1635" s="72"/>
    </row>
    <row r="1636" spans="1:26" ht="15.75" customHeight="1" x14ac:dyDescent="0.25">
      <c r="A1636" s="64">
        <v>6</v>
      </c>
      <c r="B1636" s="62">
        <v>1216716253</v>
      </c>
      <c r="C1636" s="62" t="s">
        <v>25372</v>
      </c>
      <c r="D1636" s="62" t="s">
        <v>25109</v>
      </c>
      <c r="E1636" s="62" t="s">
        <v>26539</v>
      </c>
      <c r="F1636" s="62" t="s">
        <v>26540</v>
      </c>
      <c r="G1636" s="81" t="s">
        <v>19285</v>
      </c>
      <c r="H1636" s="63">
        <v>46199</v>
      </c>
      <c r="I1636" s="63">
        <v>46200</v>
      </c>
      <c r="J1636" s="62">
        <v>2</v>
      </c>
      <c r="K1636" s="62">
        <v>2</v>
      </c>
      <c r="L1636" s="62" t="s">
        <v>24995</v>
      </c>
      <c r="M1636" s="62" t="s">
        <v>24995</v>
      </c>
      <c r="N1636" s="62" t="s">
        <v>19269</v>
      </c>
      <c r="O1636" s="62" t="s">
        <v>6937</v>
      </c>
      <c r="P1636" s="42" t="str">
        <f>+IF(O1636="","",IFERROR(VLOOKUP(O1636,CODIGO_DIAGNOSTICO,2,0),"CÓDIGO NO ENCONTRADO"))</f>
        <v>DOLOR PELVICO Y PERINEAL</v>
      </c>
      <c r="Q1636" s="62" t="s">
        <v>26059</v>
      </c>
      <c r="R1636" s="64"/>
      <c r="S1636" s="75"/>
      <c r="T1636" s="75"/>
      <c r="U1636" s="65"/>
      <c r="V1636" s="62"/>
      <c r="W1636" s="65"/>
      <c r="X1636" s="62"/>
      <c r="Y1636" s="65"/>
      <c r="Z1636" s="73"/>
    </row>
    <row r="1637" spans="1:26" ht="15.75" customHeight="1" x14ac:dyDescent="0.25">
      <c r="A1637" s="67">
        <v>6</v>
      </c>
      <c r="B1637" s="68">
        <v>15309929</v>
      </c>
      <c r="C1637" s="68" t="s">
        <v>25011</v>
      </c>
      <c r="D1637" s="68" t="s">
        <v>25012</v>
      </c>
      <c r="E1637" s="68" t="s">
        <v>25048</v>
      </c>
      <c r="F1637" s="68" t="s">
        <v>25014</v>
      </c>
      <c r="G1637" s="81" t="s">
        <v>19285</v>
      </c>
      <c r="H1637" s="69">
        <v>46197</v>
      </c>
      <c r="I1637" s="69">
        <v>46206</v>
      </c>
      <c r="J1637" s="68">
        <v>10</v>
      </c>
      <c r="K1637" s="68">
        <v>10</v>
      </c>
      <c r="L1637" s="68" t="s">
        <v>19262</v>
      </c>
      <c r="M1637" s="68" t="s">
        <v>19262</v>
      </c>
      <c r="N1637" s="62" t="s">
        <v>19269</v>
      </c>
      <c r="O1637" s="68" t="s">
        <v>3135</v>
      </c>
      <c r="P1637" s="42" t="str">
        <f>+IF(O1637="","",IFERROR(VLOOKUP(O1637,CODIGO_DIAGNOSTICO,2,0),"CÓDIGO NO ENCONTRADO"))</f>
        <v>NEURONITIS VESTIBULAR</v>
      </c>
      <c r="Q1637" s="68" t="s">
        <v>26059</v>
      </c>
      <c r="R1637" s="67"/>
      <c r="S1637" s="77"/>
      <c r="T1637" s="76"/>
      <c r="U1637" s="65"/>
      <c r="V1637" s="68"/>
      <c r="W1637" s="70"/>
      <c r="X1637" s="68"/>
      <c r="Y1637" s="70"/>
      <c r="Z1637" s="72"/>
    </row>
    <row r="1638" spans="1:26" ht="15.75" customHeight="1" x14ac:dyDescent="0.25">
      <c r="A1638" s="64">
        <v>6</v>
      </c>
      <c r="B1638" s="68">
        <v>15309929</v>
      </c>
      <c r="C1638" s="68" t="s">
        <v>25011</v>
      </c>
      <c r="D1638" s="62" t="s">
        <v>25012</v>
      </c>
      <c r="E1638" s="62" t="s">
        <v>25048</v>
      </c>
      <c r="F1638" s="62" t="s">
        <v>25014</v>
      </c>
      <c r="G1638" s="81" t="s">
        <v>19285</v>
      </c>
      <c r="H1638" s="63">
        <v>46195</v>
      </c>
      <c r="I1638" s="63">
        <v>46196</v>
      </c>
      <c r="J1638" s="62">
        <v>2</v>
      </c>
      <c r="K1638" s="62">
        <v>2</v>
      </c>
      <c r="L1638" s="62" t="s">
        <v>24995</v>
      </c>
      <c r="M1638" s="62" t="s">
        <v>24995</v>
      </c>
      <c r="N1638" s="62" t="s">
        <v>19269</v>
      </c>
      <c r="O1638" s="68" t="s">
        <v>3135</v>
      </c>
      <c r="P1638" s="42" t="str">
        <f>+IF(O1638="","",IFERROR(VLOOKUP(O1638,CODIGO_DIAGNOSTICO,2,0),"CÓDIGO NO ENCONTRADO"))</f>
        <v>NEURONITIS VESTIBULAR</v>
      </c>
      <c r="Q1638" s="62" t="s">
        <v>26059</v>
      </c>
      <c r="R1638" s="64"/>
      <c r="S1638" s="75"/>
      <c r="T1638" s="75"/>
      <c r="U1638" s="65"/>
      <c r="V1638" s="62"/>
      <c r="W1638" s="65"/>
      <c r="X1638" s="62"/>
      <c r="Y1638" s="65"/>
      <c r="Z1638" s="73"/>
    </row>
    <row r="1639" spans="1:26" ht="15.75" customHeight="1" x14ac:dyDescent="0.25">
      <c r="A1639" s="67">
        <v>6</v>
      </c>
      <c r="B1639" s="68">
        <v>1214737996</v>
      </c>
      <c r="C1639" s="68" t="s">
        <v>25547</v>
      </c>
      <c r="D1639" s="68" t="s">
        <v>25969</v>
      </c>
      <c r="E1639" s="68" t="s">
        <v>26338</v>
      </c>
      <c r="F1639" s="68" t="s">
        <v>25755</v>
      </c>
      <c r="G1639" s="81" t="s">
        <v>19285</v>
      </c>
      <c r="H1639" s="69">
        <v>46197</v>
      </c>
      <c r="I1639" s="69">
        <v>46211</v>
      </c>
      <c r="J1639" s="68">
        <v>15</v>
      </c>
      <c r="K1639" s="68">
        <v>15</v>
      </c>
      <c r="L1639" s="68" t="s">
        <v>19262</v>
      </c>
      <c r="M1639" s="68" t="s">
        <v>19262</v>
      </c>
      <c r="N1639" s="62" t="s">
        <v>19269</v>
      </c>
      <c r="O1639" s="68" t="s">
        <v>8417</v>
      </c>
      <c r="P1639" s="42" t="str">
        <f>+IF(O1639="","",IFERROR(VLOOKUP(O1639,CODIGO_DIAGNOSTICO,2,0),"CÓDIGO NO ENCONTRADO"))</f>
        <v>COMPLICACION MECANICA DE DISPOSITIVO DE FIJACION INTERNA DE OTROS HUESOS</v>
      </c>
      <c r="Q1639" s="68" t="s">
        <v>26339</v>
      </c>
      <c r="R1639" s="67"/>
      <c r="S1639" s="77"/>
      <c r="T1639" s="76"/>
      <c r="U1639" s="65"/>
      <c r="V1639" s="68"/>
      <c r="W1639" s="70"/>
      <c r="X1639" s="68"/>
      <c r="Y1639" s="70"/>
      <c r="Z1639" s="72"/>
    </row>
    <row r="1640" spans="1:26" ht="15.75" customHeight="1" x14ac:dyDescent="0.25">
      <c r="A1640" s="64">
        <v>6</v>
      </c>
      <c r="B1640" s="62">
        <v>1037583233</v>
      </c>
      <c r="C1640" s="62" t="s">
        <v>24985</v>
      </c>
      <c r="D1640" s="62" t="s">
        <v>25105</v>
      </c>
      <c r="E1640" s="62" t="s">
        <v>25198</v>
      </c>
      <c r="F1640" s="62" t="s">
        <v>25010</v>
      </c>
      <c r="G1640" s="81" t="s">
        <v>25328</v>
      </c>
      <c r="H1640" s="63">
        <v>46198</v>
      </c>
      <c r="I1640" s="63">
        <v>46200</v>
      </c>
      <c r="J1640" s="62">
        <v>3</v>
      </c>
      <c r="K1640" s="62">
        <v>3</v>
      </c>
      <c r="L1640" s="62" t="s">
        <v>24995</v>
      </c>
      <c r="M1640" s="62" t="s">
        <v>24995</v>
      </c>
      <c r="N1640" s="62" t="s">
        <v>19269</v>
      </c>
      <c r="O1640" s="62" t="s">
        <v>7545</v>
      </c>
      <c r="P1640" s="42" t="str">
        <f>+IF(O1640="","",IFERROR(VLOOKUP(O1640,CODIGO_DIAGNOSTICO,2,0),"CÓDIGO NO ENCONTRADO"))</f>
        <v>TRAUMATISMOS NO ESPECIFICADOS DEL HOMBRO Y DEL BRAZO</v>
      </c>
      <c r="Q1640" s="62" t="s">
        <v>26059</v>
      </c>
      <c r="R1640" s="64"/>
      <c r="S1640" s="75"/>
      <c r="T1640" s="75"/>
      <c r="U1640" s="65"/>
      <c r="V1640" s="62"/>
      <c r="W1640" s="65"/>
      <c r="X1640" s="62"/>
      <c r="Y1640" s="65"/>
      <c r="Z1640" s="73"/>
    </row>
    <row r="1641" spans="1:26" ht="15.75" customHeight="1" x14ac:dyDescent="0.25">
      <c r="A1641" s="67">
        <v>7</v>
      </c>
      <c r="B1641" s="68">
        <v>98592173</v>
      </c>
      <c r="C1641" s="68" t="s">
        <v>25105</v>
      </c>
      <c r="D1641" s="68" t="s">
        <v>26109</v>
      </c>
      <c r="E1641" s="68" t="s">
        <v>25624</v>
      </c>
      <c r="F1641" s="68" t="s">
        <v>25004</v>
      </c>
      <c r="G1641" s="81" t="s">
        <v>19285</v>
      </c>
      <c r="H1641" s="69">
        <v>46207</v>
      </c>
      <c r="I1641" s="69">
        <v>46209</v>
      </c>
      <c r="J1641" s="68">
        <v>3</v>
      </c>
      <c r="K1641" s="68">
        <v>3</v>
      </c>
      <c r="L1641" s="68" t="s">
        <v>24995</v>
      </c>
      <c r="M1641" s="68" t="s">
        <v>24995</v>
      </c>
      <c r="N1641" s="62" t="s">
        <v>19269</v>
      </c>
      <c r="O1641" s="68" t="s">
        <v>4838</v>
      </c>
      <c r="P1641" s="42" t="str">
        <f>+IF(O1641="","",IFERROR(VLOOKUP(O1641,CODIGO_DIAGNOSTICO,2,0),"CÓDIGO NO ENCONTRADO"))</f>
        <v>LUMBAGO NO ESPECIFICADO</v>
      </c>
      <c r="Q1641" s="68" t="s">
        <v>19230</v>
      </c>
      <c r="R1641" s="67"/>
      <c r="S1641" s="77"/>
      <c r="T1641" s="76"/>
      <c r="U1641" s="65"/>
      <c r="V1641" s="68"/>
      <c r="W1641" s="70"/>
      <c r="X1641" s="68"/>
      <c r="Y1641" s="70"/>
      <c r="Z1641" s="72"/>
    </row>
    <row r="1642" spans="1:26" ht="15.75" hidden="1" customHeight="1" x14ac:dyDescent="0.25">
      <c r="A1642" s="64"/>
      <c r="B1642" s="62"/>
      <c r="C1642" s="62"/>
      <c r="D1642" s="62"/>
      <c r="E1642" s="62"/>
      <c r="F1642" s="62"/>
      <c r="G1642" s="81"/>
      <c r="H1642" s="63"/>
      <c r="I1642" s="63"/>
      <c r="J1642" s="62"/>
      <c r="K1642" s="62"/>
      <c r="L1642" s="62"/>
      <c r="M1642" s="62"/>
      <c r="N1642" s="62"/>
      <c r="O1642" s="62"/>
      <c r="P1642" s="42" t="str">
        <f>+IF(O1642="","",IFERROR(VLOOKUP(O1642,CODIGO_DIAGNOSTICO,2,0),"CÓDIGO NO ENCONTRADO"))</f>
        <v/>
      </c>
      <c r="Q1642" s="62"/>
      <c r="R1642" s="64"/>
      <c r="S1642" s="75"/>
      <c r="T1642" s="75"/>
      <c r="U1642" s="65"/>
      <c r="V1642" s="62"/>
      <c r="W1642" s="65"/>
      <c r="X1642" s="62"/>
      <c r="Y1642" s="65"/>
      <c r="Z1642" s="73"/>
    </row>
    <row r="1643" spans="1:26" ht="15.75" hidden="1" customHeight="1" x14ac:dyDescent="0.25">
      <c r="A1643" s="67"/>
      <c r="B1643" s="68"/>
      <c r="C1643" s="68"/>
      <c r="D1643" s="68"/>
      <c r="E1643" s="68"/>
      <c r="F1643" s="68"/>
      <c r="G1643" s="81"/>
      <c r="H1643" s="69"/>
      <c r="I1643" s="69"/>
      <c r="J1643" s="68"/>
      <c r="K1643" s="68"/>
      <c r="L1643" s="68"/>
      <c r="M1643" s="68"/>
      <c r="N1643" s="62"/>
      <c r="O1643" s="68"/>
      <c r="P1643" s="42" t="str">
        <f>+IF(O1643="","",IFERROR(VLOOKUP(O1643,CODIGO_DIAGNOSTICO,2,0),"CÓDIGO NO ENCONTRADO"))</f>
        <v/>
      </c>
      <c r="Q1643" s="68"/>
      <c r="R1643" s="67"/>
      <c r="S1643" s="77"/>
      <c r="T1643" s="76"/>
      <c r="U1643" s="65"/>
      <c r="V1643" s="68"/>
      <c r="W1643" s="70"/>
      <c r="X1643" s="68"/>
      <c r="Y1643" s="70"/>
      <c r="Z1643" s="72"/>
    </row>
    <row r="1644" spans="1:26" ht="15.75" hidden="1" customHeight="1" x14ac:dyDescent="0.25">
      <c r="A1644" s="64"/>
      <c r="B1644" s="62"/>
      <c r="C1644" s="62"/>
      <c r="D1644" s="62"/>
      <c r="E1644" s="62"/>
      <c r="F1644" s="62"/>
      <c r="G1644" s="81"/>
      <c r="H1644" s="63"/>
      <c r="I1644" s="63"/>
      <c r="J1644" s="62"/>
      <c r="K1644" s="62"/>
      <c r="L1644" s="62"/>
      <c r="M1644" s="62"/>
      <c r="N1644" s="62"/>
      <c r="O1644" s="62"/>
      <c r="P1644" s="42" t="str">
        <f>+IF(O1644="","",IFERROR(VLOOKUP(O1644,CODIGO_DIAGNOSTICO,2,0),"CÓDIGO NO ENCONTRADO"))</f>
        <v/>
      </c>
      <c r="Q1644" s="62"/>
      <c r="R1644" s="64"/>
      <c r="S1644" s="75"/>
      <c r="T1644" s="75"/>
      <c r="U1644" s="65"/>
      <c r="V1644" s="62"/>
      <c r="W1644" s="65"/>
      <c r="X1644" s="62"/>
      <c r="Y1644" s="65"/>
      <c r="Z1644" s="73"/>
    </row>
    <row r="1645" spans="1:26" ht="15.75" hidden="1" customHeight="1" x14ac:dyDescent="0.25">
      <c r="A1645" s="67"/>
      <c r="B1645" s="68"/>
      <c r="C1645" s="68"/>
      <c r="D1645" s="68"/>
      <c r="E1645" s="68"/>
      <c r="F1645" s="68"/>
      <c r="G1645" s="81"/>
      <c r="H1645" s="69"/>
      <c r="I1645" s="69"/>
      <c r="J1645" s="68"/>
      <c r="K1645" s="68"/>
      <c r="L1645" s="68"/>
      <c r="M1645" s="68"/>
      <c r="N1645" s="62"/>
      <c r="O1645" s="68"/>
      <c r="P1645" s="42" t="str">
        <f>+IF(O1645="","",IFERROR(VLOOKUP(O1645,CODIGO_DIAGNOSTICO,2,0),"CÓDIGO NO ENCONTRADO"))</f>
        <v/>
      </c>
      <c r="Q1645" s="68"/>
      <c r="R1645" s="67"/>
      <c r="S1645" s="77"/>
      <c r="T1645" s="76"/>
      <c r="U1645" s="65"/>
      <c r="V1645" s="68"/>
      <c r="W1645" s="70"/>
      <c r="X1645" s="68"/>
      <c r="Y1645" s="70"/>
      <c r="Z1645" s="72"/>
    </row>
    <row r="1646" spans="1:26" ht="15.75" hidden="1" customHeight="1" x14ac:dyDescent="0.25">
      <c r="A1646" s="64"/>
      <c r="B1646" s="62"/>
      <c r="C1646" s="62"/>
      <c r="D1646" s="62"/>
      <c r="E1646" s="62"/>
      <c r="F1646" s="62"/>
      <c r="G1646" s="81"/>
      <c r="H1646" s="63"/>
      <c r="I1646" s="63"/>
      <c r="J1646" s="62"/>
      <c r="K1646" s="62"/>
      <c r="L1646" s="62"/>
      <c r="M1646" s="62"/>
      <c r="N1646" s="62"/>
      <c r="O1646" s="62"/>
      <c r="P1646" s="42" t="str">
        <f>+IF(O1646="","",IFERROR(VLOOKUP(O1646,CODIGO_DIAGNOSTICO,2,0),"CÓDIGO NO ENCONTRADO"))</f>
        <v/>
      </c>
      <c r="Q1646" s="62"/>
      <c r="R1646" s="64"/>
      <c r="S1646" s="75"/>
      <c r="T1646" s="75"/>
      <c r="U1646" s="65"/>
      <c r="V1646" s="62"/>
      <c r="W1646" s="65"/>
      <c r="X1646" s="62"/>
      <c r="Y1646" s="65"/>
      <c r="Z1646" s="73"/>
    </row>
    <row r="1647" spans="1:26" ht="15.75" hidden="1" customHeight="1" x14ac:dyDescent="0.25">
      <c r="A1647" s="67"/>
      <c r="B1647" s="68"/>
      <c r="C1647" s="68"/>
      <c r="D1647" s="68"/>
      <c r="E1647" s="68"/>
      <c r="F1647" s="68"/>
      <c r="G1647" s="81"/>
      <c r="H1647" s="69"/>
      <c r="I1647" s="69"/>
      <c r="J1647" s="68"/>
      <c r="K1647" s="68"/>
      <c r="L1647" s="68"/>
      <c r="M1647" s="68"/>
      <c r="N1647" s="62"/>
      <c r="O1647" s="68"/>
      <c r="P1647" s="42" t="str">
        <f>+IF(O1647="","",IFERROR(VLOOKUP(O1647,CODIGO_DIAGNOSTICO,2,0),"CÓDIGO NO ENCONTRADO"))</f>
        <v/>
      </c>
      <c r="Q1647" s="68"/>
      <c r="R1647" s="67"/>
      <c r="S1647" s="77"/>
      <c r="T1647" s="76"/>
      <c r="U1647" s="65"/>
      <c r="V1647" s="68"/>
      <c r="W1647" s="70"/>
      <c r="X1647" s="68"/>
      <c r="Y1647" s="70"/>
      <c r="Z1647" s="72"/>
    </row>
    <row r="1648" spans="1:26" ht="15.75" hidden="1" customHeight="1" x14ac:dyDescent="0.25">
      <c r="A1648" s="64"/>
      <c r="B1648" s="62"/>
      <c r="C1648" s="62"/>
      <c r="D1648" s="62"/>
      <c r="E1648" s="62"/>
      <c r="F1648" s="62"/>
      <c r="G1648" s="81"/>
      <c r="H1648" s="63"/>
      <c r="I1648" s="63"/>
      <c r="J1648" s="62"/>
      <c r="K1648" s="62"/>
      <c r="L1648" s="62"/>
      <c r="M1648" s="62"/>
      <c r="N1648" s="62"/>
      <c r="O1648" s="62"/>
      <c r="P1648" s="42" t="str">
        <f>+IF(O1648="","",IFERROR(VLOOKUP(O1648,CODIGO_DIAGNOSTICO,2,0),"CÓDIGO NO ENCONTRADO"))</f>
        <v/>
      </c>
      <c r="Q1648" s="62"/>
      <c r="R1648" s="64"/>
      <c r="S1648" s="75"/>
      <c r="T1648" s="75"/>
      <c r="U1648" s="65"/>
      <c r="V1648" s="62"/>
      <c r="W1648" s="65"/>
      <c r="X1648" s="62"/>
      <c r="Y1648" s="65"/>
      <c r="Z1648" s="73"/>
    </row>
    <row r="1649" spans="1:26" ht="15.75" hidden="1" customHeight="1" x14ac:dyDescent="0.25">
      <c r="A1649" s="67"/>
      <c r="B1649" s="68"/>
      <c r="C1649" s="68"/>
      <c r="D1649" s="68"/>
      <c r="E1649" s="68"/>
      <c r="F1649" s="68"/>
      <c r="G1649" s="81"/>
      <c r="H1649" s="69"/>
      <c r="I1649" s="69"/>
      <c r="J1649" s="68"/>
      <c r="K1649" s="68"/>
      <c r="L1649" s="68"/>
      <c r="M1649" s="68"/>
      <c r="N1649" s="62"/>
      <c r="O1649" s="68"/>
      <c r="P1649" s="42" t="str">
        <f>+IF(O1649="","",IFERROR(VLOOKUP(O1649,CODIGO_DIAGNOSTICO,2,0),"CÓDIGO NO ENCONTRADO"))</f>
        <v/>
      </c>
      <c r="Q1649" s="68"/>
      <c r="R1649" s="67"/>
      <c r="S1649" s="77"/>
      <c r="T1649" s="76"/>
      <c r="U1649" s="65"/>
      <c r="V1649" s="68"/>
      <c r="W1649" s="70"/>
      <c r="X1649" s="68"/>
      <c r="Y1649" s="70"/>
      <c r="Z1649" s="72"/>
    </row>
    <row r="1650" spans="1:26" ht="15.75" hidden="1" customHeight="1" x14ac:dyDescent="0.25">
      <c r="A1650" s="64"/>
      <c r="B1650" s="62"/>
      <c r="C1650" s="62"/>
      <c r="D1650" s="62"/>
      <c r="E1650" s="62"/>
      <c r="F1650" s="62"/>
      <c r="G1650" s="81"/>
      <c r="H1650" s="63"/>
      <c r="I1650" s="63"/>
      <c r="J1650" s="62"/>
      <c r="K1650" s="62"/>
      <c r="L1650" s="62"/>
      <c r="M1650" s="62"/>
      <c r="N1650" s="62"/>
      <c r="O1650" s="62"/>
      <c r="P1650" s="42" t="str">
        <f>+IF(O1650="","",IFERROR(VLOOKUP(O1650,CODIGO_DIAGNOSTICO,2,0),"CÓDIGO NO ENCONTRADO"))</f>
        <v/>
      </c>
      <c r="Q1650" s="62"/>
      <c r="R1650" s="64"/>
      <c r="S1650" s="75"/>
      <c r="T1650" s="75"/>
      <c r="U1650" s="65"/>
      <c r="V1650" s="62"/>
      <c r="W1650" s="65"/>
      <c r="X1650" s="62"/>
      <c r="Y1650" s="65"/>
      <c r="Z1650" s="73"/>
    </row>
    <row r="1651" spans="1:26" ht="15.75" hidden="1" customHeight="1" x14ac:dyDescent="0.25">
      <c r="A1651" s="67"/>
      <c r="B1651" s="68"/>
      <c r="C1651" s="68"/>
      <c r="D1651" s="68"/>
      <c r="E1651" s="68"/>
      <c r="F1651" s="68"/>
      <c r="G1651" s="81"/>
      <c r="H1651" s="69"/>
      <c r="I1651" s="69"/>
      <c r="J1651" s="68"/>
      <c r="K1651" s="68"/>
      <c r="L1651" s="68"/>
      <c r="M1651" s="68"/>
      <c r="N1651" s="62"/>
      <c r="O1651" s="68"/>
      <c r="P1651" s="42" t="str">
        <f>+IF(O1651="","",IFERROR(VLOOKUP(O1651,CODIGO_DIAGNOSTICO,2,0),"CÓDIGO NO ENCONTRADO"))</f>
        <v/>
      </c>
      <c r="Q1651" s="68"/>
      <c r="R1651" s="67"/>
      <c r="S1651" s="77"/>
      <c r="T1651" s="76"/>
      <c r="U1651" s="65"/>
      <c r="V1651" s="68"/>
      <c r="W1651" s="70"/>
      <c r="X1651" s="68"/>
      <c r="Y1651" s="70"/>
      <c r="Z1651" s="72"/>
    </row>
    <row r="1652" spans="1:26" ht="15.75" hidden="1" customHeight="1" x14ac:dyDescent="0.25">
      <c r="A1652" s="64"/>
      <c r="B1652" s="62"/>
      <c r="C1652" s="62"/>
      <c r="D1652" s="62"/>
      <c r="E1652" s="62"/>
      <c r="F1652" s="62"/>
      <c r="G1652" s="81"/>
      <c r="H1652" s="63"/>
      <c r="I1652" s="63"/>
      <c r="J1652" s="62"/>
      <c r="K1652" s="62"/>
      <c r="L1652" s="62"/>
      <c r="M1652" s="62"/>
      <c r="N1652" s="62"/>
      <c r="O1652" s="62"/>
      <c r="P1652" s="42" t="str">
        <f>+IF(O1652="","",IFERROR(VLOOKUP(O1652,CODIGO_DIAGNOSTICO,2,0),"CÓDIGO NO ENCONTRADO"))</f>
        <v/>
      </c>
      <c r="Q1652" s="62"/>
      <c r="R1652" s="64"/>
      <c r="S1652" s="75"/>
      <c r="T1652" s="75"/>
      <c r="U1652" s="65"/>
      <c r="V1652" s="62"/>
      <c r="W1652" s="65"/>
      <c r="X1652" s="62"/>
      <c r="Y1652" s="65"/>
      <c r="Z1652" s="73"/>
    </row>
    <row r="1653" spans="1:26" ht="15.75" hidden="1" customHeight="1" x14ac:dyDescent="0.25">
      <c r="A1653" s="67"/>
      <c r="B1653" s="68"/>
      <c r="C1653" s="68"/>
      <c r="D1653" s="68"/>
      <c r="E1653" s="68"/>
      <c r="F1653" s="68"/>
      <c r="G1653" s="81"/>
      <c r="H1653" s="69"/>
      <c r="I1653" s="69"/>
      <c r="J1653" s="68"/>
      <c r="K1653" s="68"/>
      <c r="L1653" s="68"/>
      <c r="M1653" s="68"/>
      <c r="N1653" s="62"/>
      <c r="O1653" s="68"/>
      <c r="P1653" s="42" t="str">
        <f>+IF(O1653="","",IFERROR(VLOOKUP(O1653,CODIGO_DIAGNOSTICO,2,0),"CÓDIGO NO ENCONTRADO"))</f>
        <v/>
      </c>
      <c r="Q1653" s="68"/>
      <c r="R1653" s="67"/>
      <c r="S1653" s="77"/>
      <c r="T1653" s="76"/>
      <c r="U1653" s="65"/>
      <c r="V1653" s="68"/>
      <c r="W1653" s="70"/>
      <c r="X1653" s="68"/>
      <c r="Y1653" s="70"/>
      <c r="Z1653" s="72"/>
    </row>
    <row r="1654" spans="1:26" ht="15.75" hidden="1" customHeight="1" x14ac:dyDescent="0.25">
      <c r="A1654" s="64"/>
      <c r="B1654" s="62"/>
      <c r="C1654" s="62"/>
      <c r="D1654" s="62"/>
      <c r="E1654" s="62"/>
      <c r="F1654" s="62"/>
      <c r="G1654" s="81"/>
      <c r="H1654" s="63"/>
      <c r="I1654" s="63"/>
      <c r="J1654" s="62"/>
      <c r="K1654" s="62"/>
      <c r="L1654" s="62"/>
      <c r="M1654" s="62"/>
      <c r="N1654" s="62"/>
      <c r="O1654" s="62"/>
      <c r="P1654" s="42" t="str">
        <f>+IF(O1654="","",IFERROR(VLOOKUP(O1654,CODIGO_DIAGNOSTICO,2,0),"CÓDIGO NO ENCONTRADO"))</f>
        <v/>
      </c>
      <c r="Q1654" s="62"/>
      <c r="R1654" s="64"/>
      <c r="S1654" s="75"/>
      <c r="T1654" s="75"/>
      <c r="U1654" s="65"/>
      <c r="V1654" s="62"/>
      <c r="W1654" s="65"/>
      <c r="X1654" s="62"/>
      <c r="Y1654" s="65"/>
      <c r="Z1654" s="73"/>
    </row>
    <row r="1655" spans="1:26" ht="15.75" hidden="1" customHeight="1" x14ac:dyDescent="0.25">
      <c r="A1655" s="67"/>
      <c r="B1655" s="68"/>
      <c r="C1655" s="68"/>
      <c r="D1655" s="68"/>
      <c r="E1655" s="68"/>
      <c r="F1655" s="68"/>
      <c r="G1655" s="81"/>
      <c r="H1655" s="69"/>
      <c r="I1655" s="69"/>
      <c r="J1655" s="68"/>
      <c r="K1655" s="68"/>
      <c r="L1655" s="68"/>
      <c r="M1655" s="68"/>
      <c r="N1655" s="62"/>
      <c r="O1655" s="68"/>
      <c r="P1655" s="42" t="str">
        <f>+IF(O1655="","",IFERROR(VLOOKUP(O1655,CODIGO_DIAGNOSTICO,2,0),"CÓDIGO NO ENCONTRADO"))</f>
        <v/>
      </c>
      <c r="Q1655" s="68"/>
      <c r="R1655" s="67"/>
      <c r="S1655" s="77"/>
      <c r="T1655" s="76"/>
      <c r="U1655" s="65"/>
      <c r="V1655" s="68"/>
      <c r="W1655" s="70"/>
      <c r="X1655" s="68"/>
      <c r="Y1655" s="70"/>
      <c r="Z1655" s="72"/>
    </row>
    <row r="1656" spans="1:26" ht="15.75" hidden="1" customHeight="1" x14ac:dyDescent="0.25">
      <c r="A1656" s="64"/>
      <c r="B1656" s="62"/>
      <c r="C1656" s="62"/>
      <c r="D1656" s="62"/>
      <c r="E1656" s="62"/>
      <c r="F1656" s="62"/>
      <c r="G1656" s="81"/>
      <c r="H1656" s="63"/>
      <c r="I1656" s="63"/>
      <c r="J1656" s="62"/>
      <c r="K1656" s="62"/>
      <c r="L1656" s="62"/>
      <c r="M1656" s="62"/>
      <c r="N1656" s="62"/>
      <c r="O1656" s="62"/>
      <c r="P1656" s="42" t="str">
        <f>+IF(O1656="","",IFERROR(VLOOKUP(O1656,CODIGO_DIAGNOSTICO,2,0),"CÓDIGO NO ENCONTRADO"))</f>
        <v/>
      </c>
      <c r="Q1656" s="62"/>
      <c r="R1656" s="64"/>
      <c r="S1656" s="75"/>
      <c r="T1656" s="75"/>
      <c r="U1656" s="65"/>
      <c r="V1656" s="62"/>
      <c r="W1656" s="65"/>
      <c r="X1656" s="62"/>
      <c r="Y1656" s="65"/>
      <c r="Z1656" s="73"/>
    </row>
    <row r="1657" spans="1:26" ht="15.75" hidden="1" customHeight="1" x14ac:dyDescent="0.25">
      <c r="A1657" s="67"/>
      <c r="B1657" s="68"/>
      <c r="C1657" s="68"/>
      <c r="D1657" s="68"/>
      <c r="E1657" s="68"/>
      <c r="F1657" s="68"/>
      <c r="G1657" s="81"/>
      <c r="H1657" s="69"/>
      <c r="I1657" s="69"/>
      <c r="J1657" s="68"/>
      <c r="K1657" s="68"/>
      <c r="L1657" s="68"/>
      <c r="M1657" s="68"/>
      <c r="N1657" s="62"/>
      <c r="O1657" s="68"/>
      <c r="P1657" s="42" t="str">
        <f>+IF(O1657="","",IFERROR(VLOOKUP(O1657,CODIGO_DIAGNOSTICO,2,0),"CÓDIGO NO ENCONTRADO"))</f>
        <v/>
      </c>
      <c r="Q1657" s="68"/>
      <c r="R1657" s="67"/>
      <c r="S1657" s="77"/>
      <c r="T1657" s="76"/>
      <c r="U1657" s="65"/>
      <c r="V1657" s="68"/>
      <c r="W1657" s="70"/>
      <c r="X1657" s="68"/>
      <c r="Y1657" s="70"/>
      <c r="Z1657" s="72"/>
    </row>
    <row r="1658" spans="1:26" ht="15.75" hidden="1" customHeight="1" x14ac:dyDescent="0.25">
      <c r="A1658" s="64"/>
      <c r="B1658" s="62"/>
      <c r="C1658" s="62"/>
      <c r="D1658" s="62"/>
      <c r="E1658" s="62"/>
      <c r="F1658" s="62"/>
      <c r="G1658" s="81"/>
      <c r="H1658" s="63"/>
      <c r="I1658" s="63"/>
      <c r="J1658" s="62"/>
      <c r="K1658" s="62"/>
      <c r="L1658" s="62"/>
      <c r="M1658" s="62"/>
      <c r="N1658" s="62"/>
      <c r="O1658" s="62"/>
      <c r="P1658" s="42" t="str">
        <f>+IF(O1658="","",IFERROR(VLOOKUP(O1658,CODIGO_DIAGNOSTICO,2,0),"CÓDIGO NO ENCONTRADO"))</f>
        <v/>
      </c>
      <c r="Q1658" s="62"/>
      <c r="R1658" s="64"/>
      <c r="S1658" s="75"/>
      <c r="T1658" s="75"/>
      <c r="U1658" s="65"/>
      <c r="V1658" s="62"/>
      <c r="W1658" s="65"/>
      <c r="X1658" s="62"/>
      <c r="Y1658" s="65"/>
      <c r="Z1658" s="73"/>
    </row>
    <row r="1659" spans="1:26" ht="15.75" hidden="1" customHeight="1" x14ac:dyDescent="0.25">
      <c r="A1659" s="67"/>
      <c r="B1659" s="68"/>
      <c r="C1659" s="68"/>
      <c r="D1659" s="68"/>
      <c r="E1659" s="68"/>
      <c r="F1659" s="68"/>
      <c r="G1659" s="81"/>
      <c r="H1659" s="69"/>
      <c r="I1659" s="69"/>
      <c r="J1659" s="68"/>
      <c r="K1659" s="68"/>
      <c r="L1659" s="68"/>
      <c r="M1659" s="68"/>
      <c r="N1659" s="62"/>
      <c r="O1659" s="68"/>
      <c r="P1659" s="42" t="str">
        <f>+IF(O1659="","",IFERROR(VLOOKUP(O1659,CODIGO_DIAGNOSTICO,2,0),"CÓDIGO NO ENCONTRADO"))</f>
        <v/>
      </c>
      <c r="Q1659" s="68"/>
      <c r="R1659" s="67"/>
      <c r="S1659" s="77"/>
      <c r="T1659" s="76"/>
      <c r="U1659" s="65"/>
      <c r="V1659" s="68"/>
      <c r="W1659" s="70"/>
      <c r="X1659" s="68"/>
      <c r="Y1659" s="70"/>
      <c r="Z1659" s="72"/>
    </row>
    <row r="1660" spans="1:26" ht="15.75" hidden="1" customHeight="1" x14ac:dyDescent="0.25">
      <c r="A1660" s="64"/>
      <c r="B1660" s="62"/>
      <c r="C1660" s="62"/>
      <c r="D1660" s="62"/>
      <c r="E1660" s="62"/>
      <c r="F1660" s="62"/>
      <c r="G1660" s="81"/>
      <c r="H1660" s="63"/>
      <c r="I1660" s="63"/>
      <c r="J1660" s="62"/>
      <c r="K1660" s="62"/>
      <c r="L1660" s="62"/>
      <c r="M1660" s="62"/>
      <c r="N1660" s="62"/>
      <c r="O1660" s="62"/>
      <c r="P1660" s="42" t="str">
        <f>+IF(O1660="","",IFERROR(VLOOKUP(O1660,CODIGO_DIAGNOSTICO,2,0),"CÓDIGO NO ENCONTRADO"))</f>
        <v/>
      </c>
      <c r="Q1660" s="62"/>
      <c r="R1660" s="64"/>
      <c r="S1660" s="75"/>
      <c r="T1660" s="75"/>
      <c r="U1660" s="65"/>
      <c r="V1660" s="62"/>
      <c r="W1660" s="65"/>
      <c r="X1660" s="62"/>
      <c r="Y1660" s="65"/>
      <c r="Z1660" s="73"/>
    </row>
    <row r="1661" spans="1:26" ht="15.75" hidden="1" customHeight="1" x14ac:dyDescent="0.25">
      <c r="A1661" s="67"/>
      <c r="B1661" s="68"/>
      <c r="C1661" s="68"/>
      <c r="D1661" s="68"/>
      <c r="E1661" s="68"/>
      <c r="F1661" s="68"/>
      <c r="G1661" s="81"/>
      <c r="H1661" s="69"/>
      <c r="I1661" s="69"/>
      <c r="J1661" s="68"/>
      <c r="K1661" s="68"/>
      <c r="L1661" s="68"/>
      <c r="M1661" s="68"/>
      <c r="N1661" s="62"/>
      <c r="O1661" s="68"/>
      <c r="P1661" s="42" t="str">
        <f>+IF(O1661="","",IFERROR(VLOOKUP(O1661,CODIGO_DIAGNOSTICO,2,0),"CÓDIGO NO ENCONTRADO"))</f>
        <v/>
      </c>
      <c r="Q1661" s="68"/>
      <c r="R1661" s="67"/>
      <c r="S1661" s="77"/>
      <c r="T1661" s="76"/>
      <c r="U1661" s="65"/>
      <c r="V1661" s="68"/>
      <c r="W1661" s="70"/>
      <c r="X1661" s="68"/>
      <c r="Y1661" s="70"/>
      <c r="Z1661" s="72"/>
    </row>
    <row r="1662" spans="1:26" ht="15.75" hidden="1" customHeight="1" x14ac:dyDescent="0.25">
      <c r="A1662" s="64"/>
      <c r="B1662" s="62"/>
      <c r="C1662" s="62"/>
      <c r="D1662" s="62"/>
      <c r="E1662" s="62"/>
      <c r="F1662" s="62"/>
      <c r="G1662" s="81"/>
      <c r="H1662" s="63"/>
      <c r="I1662" s="63"/>
      <c r="J1662" s="62"/>
      <c r="K1662" s="62"/>
      <c r="L1662" s="62"/>
      <c r="M1662" s="62"/>
      <c r="N1662" s="62"/>
      <c r="O1662" s="62"/>
      <c r="P1662" s="42" t="str">
        <f>+IF(O1662="","",IFERROR(VLOOKUP(O1662,CODIGO_DIAGNOSTICO,2,0),"CÓDIGO NO ENCONTRADO"))</f>
        <v/>
      </c>
      <c r="Q1662" s="62"/>
      <c r="R1662" s="64"/>
      <c r="S1662" s="75"/>
      <c r="T1662" s="75"/>
      <c r="U1662" s="65"/>
      <c r="V1662" s="62"/>
      <c r="W1662" s="65"/>
      <c r="X1662" s="62"/>
      <c r="Y1662" s="65"/>
      <c r="Z1662" s="73"/>
    </row>
    <row r="1663" spans="1:26" ht="15.75" hidden="1" customHeight="1" x14ac:dyDescent="0.25">
      <c r="A1663" s="67"/>
      <c r="B1663" s="68"/>
      <c r="C1663" s="68"/>
      <c r="D1663" s="68"/>
      <c r="E1663" s="68"/>
      <c r="F1663" s="68"/>
      <c r="G1663" s="81"/>
      <c r="H1663" s="69"/>
      <c r="I1663" s="69"/>
      <c r="J1663" s="68"/>
      <c r="K1663" s="68"/>
      <c r="L1663" s="68"/>
      <c r="M1663" s="68"/>
      <c r="N1663" s="62"/>
      <c r="O1663" s="68"/>
      <c r="P1663" s="42" t="str">
        <f>+IF(O1663="","",IFERROR(VLOOKUP(O1663,CODIGO_DIAGNOSTICO,2,0),"CÓDIGO NO ENCONTRADO"))</f>
        <v/>
      </c>
      <c r="Q1663" s="68"/>
      <c r="R1663" s="67"/>
      <c r="S1663" s="77"/>
      <c r="T1663" s="76"/>
      <c r="U1663" s="65"/>
      <c r="V1663" s="68"/>
      <c r="W1663" s="70"/>
      <c r="X1663" s="68"/>
      <c r="Y1663" s="70"/>
      <c r="Z1663" s="72"/>
    </row>
    <row r="1664" spans="1:26" ht="15.75" hidden="1" customHeight="1" x14ac:dyDescent="0.25">
      <c r="A1664" s="64"/>
      <c r="B1664" s="62"/>
      <c r="C1664" s="62"/>
      <c r="D1664" s="62"/>
      <c r="E1664" s="62"/>
      <c r="F1664" s="62"/>
      <c r="G1664" s="81"/>
      <c r="H1664" s="63"/>
      <c r="I1664" s="63"/>
      <c r="J1664" s="62"/>
      <c r="K1664" s="62"/>
      <c r="L1664" s="62"/>
      <c r="M1664" s="62"/>
      <c r="N1664" s="62"/>
      <c r="O1664" s="62"/>
      <c r="P1664" s="42" t="str">
        <f>+IF(O1664="","",IFERROR(VLOOKUP(O1664,CODIGO_DIAGNOSTICO,2,0),"CÓDIGO NO ENCONTRADO"))</f>
        <v/>
      </c>
      <c r="Q1664" s="62"/>
      <c r="R1664" s="64"/>
      <c r="S1664" s="75"/>
      <c r="T1664" s="75"/>
      <c r="U1664" s="65"/>
      <c r="V1664" s="62"/>
      <c r="W1664" s="65"/>
      <c r="X1664" s="62"/>
      <c r="Y1664" s="65"/>
      <c r="Z1664" s="73"/>
    </row>
    <row r="1665" spans="1:26" ht="15.75" hidden="1" customHeight="1" x14ac:dyDescent="0.25">
      <c r="A1665" s="67"/>
      <c r="B1665" s="68"/>
      <c r="C1665" s="68"/>
      <c r="D1665" s="68"/>
      <c r="E1665" s="68"/>
      <c r="F1665" s="68"/>
      <c r="G1665" s="81"/>
      <c r="H1665" s="69"/>
      <c r="I1665" s="69"/>
      <c r="J1665" s="68"/>
      <c r="K1665" s="68"/>
      <c r="L1665" s="68"/>
      <c r="M1665" s="68"/>
      <c r="N1665" s="62"/>
      <c r="O1665" s="68"/>
      <c r="P1665" s="42" t="str">
        <f>+IF(O1665="","",IFERROR(VLOOKUP(O1665,CODIGO_DIAGNOSTICO,2,0),"CÓDIGO NO ENCONTRADO"))</f>
        <v/>
      </c>
      <c r="Q1665" s="68"/>
      <c r="R1665" s="67"/>
      <c r="S1665" s="77"/>
      <c r="T1665" s="76"/>
      <c r="U1665" s="65"/>
      <c r="V1665" s="68"/>
      <c r="W1665" s="70"/>
      <c r="X1665" s="68"/>
      <c r="Y1665" s="70"/>
      <c r="Z1665" s="72"/>
    </row>
    <row r="1666" spans="1:26" ht="15.75" hidden="1" customHeight="1" x14ac:dyDescent="0.25">
      <c r="A1666" s="64"/>
      <c r="B1666" s="62"/>
      <c r="C1666" s="62"/>
      <c r="D1666" s="62"/>
      <c r="E1666" s="62"/>
      <c r="F1666" s="62"/>
      <c r="G1666" s="81"/>
      <c r="H1666" s="63"/>
      <c r="I1666" s="63"/>
      <c r="J1666" s="62"/>
      <c r="K1666" s="62"/>
      <c r="L1666" s="62"/>
      <c r="M1666" s="62"/>
      <c r="N1666" s="62"/>
      <c r="O1666" s="62"/>
      <c r="P1666" s="42" t="str">
        <f>+IF(O1666="","",IFERROR(VLOOKUP(O1666,CODIGO_DIAGNOSTICO,2,0),"CÓDIGO NO ENCONTRADO"))</f>
        <v/>
      </c>
      <c r="Q1666" s="62"/>
      <c r="R1666" s="64"/>
      <c r="S1666" s="75"/>
      <c r="T1666" s="75"/>
      <c r="U1666" s="65"/>
      <c r="V1666" s="62"/>
      <c r="W1666" s="65"/>
      <c r="X1666" s="62"/>
      <c r="Y1666" s="65"/>
      <c r="Z1666" s="73"/>
    </row>
    <row r="1667" spans="1:26" ht="15.75" hidden="1" customHeight="1" x14ac:dyDescent="0.25">
      <c r="A1667" s="67"/>
      <c r="B1667" s="68"/>
      <c r="C1667" s="68"/>
      <c r="D1667" s="68"/>
      <c r="E1667" s="68"/>
      <c r="F1667" s="68"/>
      <c r="G1667" s="81"/>
      <c r="H1667" s="69"/>
      <c r="I1667" s="69"/>
      <c r="J1667" s="68"/>
      <c r="K1667" s="68"/>
      <c r="L1667" s="68"/>
      <c r="M1667" s="68"/>
      <c r="N1667" s="62"/>
      <c r="O1667" s="68"/>
      <c r="P1667" s="42" t="str">
        <f>+IF(O1667="","",IFERROR(VLOOKUP(O1667,CODIGO_DIAGNOSTICO,2,0),"CÓDIGO NO ENCONTRADO"))</f>
        <v/>
      </c>
      <c r="Q1667" s="68"/>
      <c r="R1667" s="67"/>
      <c r="S1667" s="77"/>
      <c r="T1667" s="76"/>
      <c r="U1667" s="65"/>
      <c r="V1667" s="68"/>
      <c r="W1667" s="70"/>
      <c r="X1667" s="68"/>
      <c r="Y1667" s="70"/>
      <c r="Z1667" s="72"/>
    </row>
    <row r="1668" spans="1:26" ht="15.75" hidden="1" customHeight="1" x14ac:dyDescent="0.25">
      <c r="A1668" s="64"/>
      <c r="B1668" s="62"/>
      <c r="C1668" s="62"/>
      <c r="D1668" s="62"/>
      <c r="E1668" s="62"/>
      <c r="F1668" s="62"/>
      <c r="G1668" s="81"/>
      <c r="H1668" s="63"/>
      <c r="I1668" s="63"/>
      <c r="J1668" s="62"/>
      <c r="K1668" s="62"/>
      <c r="L1668" s="62"/>
      <c r="M1668" s="62"/>
      <c r="N1668" s="62"/>
      <c r="O1668" s="62"/>
      <c r="P1668" s="42" t="str">
        <f>+IF(O1668="","",IFERROR(VLOOKUP(O1668,CODIGO_DIAGNOSTICO,2,0),"CÓDIGO NO ENCONTRADO"))</f>
        <v/>
      </c>
      <c r="Q1668" s="62"/>
      <c r="R1668" s="64"/>
      <c r="S1668" s="75"/>
      <c r="T1668" s="75"/>
      <c r="U1668" s="65"/>
      <c r="V1668" s="62"/>
      <c r="W1668" s="65"/>
      <c r="X1668" s="62"/>
      <c r="Y1668" s="65"/>
      <c r="Z1668" s="73"/>
    </row>
    <row r="1669" spans="1:26" ht="15.75" hidden="1" customHeight="1" x14ac:dyDescent="0.25">
      <c r="A1669" s="67"/>
      <c r="B1669" s="68"/>
      <c r="C1669" s="68"/>
      <c r="D1669" s="68"/>
      <c r="E1669" s="68"/>
      <c r="F1669" s="68"/>
      <c r="G1669" s="81"/>
      <c r="H1669" s="69"/>
      <c r="I1669" s="69"/>
      <c r="J1669" s="68"/>
      <c r="K1669" s="68"/>
      <c r="L1669" s="68"/>
      <c r="M1669" s="68"/>
      <c r="N1669" s="62"/>
      <c r="O1669" s="68"/>
      <c r="P1669" s="42" t="str">
        <f>+IF(O1669="","",IFERROR(VLOOKUP(O1669,CODIGO_DIAGNOSTICO,2,0),"CÓDIGO NO ENCONTRADO"))</f>
        <v/>
      </c>
      <c r="Q1669" s="68"/>
      <c r="R1669" s="67"/>
      <c r="S1669" s="77"/>
      <c r="T1669" s="76"/>
      <c r="U1669" s="65"/>
      <c r="V1669" s="68"/>
      <c r="W1669" s="70"/>
      <c r="X1669" s="68"/>
      <c r="Y1669" s="70"/>
      <c r="Z1669" s="72"/>
    </row>
    <row r="1670" spans="1:26" ht="15.75" hidden="1" customHeight="1" x14ac:dyDescent="0.25">
      <c r="A1670" s="64"/>
      <c r="B1670" s="62"/>
      <c r="C1670" s="62"/>
      <c r="D1670" s="62"/>
      <c r="E1670" s="62"/>
      <c r="F1670" s="62"/>
      <c r="G1670" s="81"/>
      <c r="H1670" s="63"/>
      <c r="I1670" s="63"/>
      <c r="J1670" s="62"/>
      <c r="K1670" s="62"/>
      <c r="L1670" s="62"/>
      <c r="M1670" s="62"/>
      <c r="N1670" s="62"/>
      <c r="O1670" s="62"/>
      <c r="P1670" s="42" t="str">
        <f>+IF(O1670="","",IFERROR(VLOOKUP(O1670,CODIGO_DIAGNOSTICO,2,0),"CÓDIGO NO ENCONTRADO"))</f>
        <v/>
      </c>
      <c r="Q1670" s="62"/>
      <c r="R1670" s="64"/>
      <c r="S1670" s="75"/>
      <c r="T1670" s="75"/>
      <c r="U1670" s="65"/>
      <c r="V1670" s="62"/>
      <c r="W1670" s="65"/>
      <c r="X1670" s="62"/>
      <c r="Y1670" s="65"/>
      <c r="Z1670" s="73"/>
    </row>
    <row r="1671" spans="1:26" ht="15.75" hidden="1" customHeight="1" x14ac:dyDescent="0.25">
      <c r="A1671" s="67"/>
      <c r="B1671" s="68"/>
      <c r="C1671" s="68"/>
      <c r="D1671" s="68"/>
      <c r="E1671" s="68"/>
      <c r="F1671" s="68"/>
      <c r="G1671" s="81"/>
      <c r="H1671" s="69"/>
      <c r="I1671" s="69"/>
      <c r="J1671" s="68"/>
      <c r="K1671" s="68"/>
      <c r="L1671" s="68"/>
      <c r="M1671" s="68"/>
      <c r="N1671" s="62"/>
      <c r="O1671" s="68"/>
      <c r="P1671" s="42" t="str">
        <f>+IF(O1671="","",IFERROR(VLOOKUP(O1671,CODIGO_DIAGNOSTICO,2,0),"CÓDIGO NO ENCONTRADO"))</f>
        <v/>
      </c>
      <c r="Q1671" s="68"/>
      <c r="R1671" s="67"/>
      <c r="S1671" s="77"/>
      <c r="T1671" s="76"/>
      <c r="U1671" s="65"/>
      <c r="V1671" s="68"/>
      <c r="W1671" s="70"/>
      <c r="X1671" s="68"/>
      <c r="Y1671" s="70"/>
      <c r="Z1671" s="72"/>
    </row>
    <row r="1672" spans="1:26" ht="15.75" hidden="1" customHeight="1" x14ac:dyDescent="0.25">
      <c r="A1672" s="64"/>
      <c r="B1672" s="62"/>
      <c r="C1672" s="62"/>
      <c r="D1672" s="62"/>
      <c r="E1672" s="62"/>
      <c r="F1672" s="62"/>
      <c r="G1672" s="81"/>
      <c r="H1672" s="63"/>
      <c r="I1672" s="63"/>
      <c r="J1672" s="62"/>
      <c r="K1672" s="62"/>
      <c r="L1672" s="62"/>
      <c r="M1672" s="62"/>
      <c r="N1672" s="62"/>
      <c r="O1672" s="62"/>
      <c r="P1672" s="42" t="str">
        <f>+IF(O1672="","",IFERROR(VLOOKUP(O1672,CODIGO_DIAGNOSTICO,2,0),"CÓDIGO NO ENCONTRADO"))</f>
        <v/>
      </c>
      <c r="Q1672" s="62"/>
      <c r="R1672" s="64"/>
      <c r="S1672" s="75"/>
      <c r="T1672" s="75"/>
      <c r="U1672" s="65"/>
      <c r="V1672" s="62"/>
      <c r="W1672" s="65"/>
      <c r="X1672" s="62"/>
      <c r="Y1672" s="65"/>
      <c r="Z1672" s="73"/>
    </row>
    <row r="1673" spans="1:26" ht="15.75" hidden="1" customHeight="1" x14ac:dyDescent="0.25">
      <c r="A1673" s="67"/>
      <c r="B1673" s="68"/>
      <c r="C1673" s="68"/>
      <c r="D1673" s="68"/>
      <c r="E1673" s="68"/>
      <c r="F1673" s="68"/>
      <c r="G1673" s="81"/>
      <c r="H1673" s="69"/>
      <c r="I1673" s="69"/>
      <c r="J1673" s="68"/>
      <c r="K1673" s="68"/>
      <c r="L1673" s="68"/>
      <c r="M1673" s="68"/>
      <c r="N1673" s="62"/>
      <c r="O1673" s="68"/>
      <c r="P1673" s="42" t="str">
        <f>+IF(O1673="","",IFERROR(VLOOKUP(O1673,CODIGO_DIAGNOSTICO,2,0),"CÓDIGO NO ENCONTRADO"))</f>
        <v/>
      </c>
      <c r="Q1673" s="68"/>
      <c r="R1673" s="67"/>
      <c r="S1673" s="77"/>
      <c r="T1673" s="76"/>
      <c r="U1673" s="65"/>
      <c r="V1673" s="68"/>
      <c r="W1673" s="70"/>
      <c r="X1673" s="68"/>
      <c r="Y1673" s="70"/>
      <c r="Z1673" s="72"/>
    </row>
    <row r="1674" spans="1:26" ht="15.75" hidden="1" customHeight="1" x14ac:dyDescent="0.25">
      <c r="A1674" s="64"/>
      <c r="B1674" s="62"/>
      <c r="C1674" s="62"/>
      <c r="D1674" s="62"/>
      <c r="E1674" s="62"/>
      <c r="F1674" s="62"/>
      <c r="G1674" s="81"/>
      <c r="H1674" s="63"/>
      <c r="I1674" s="63"/>
      <c r="J1674" s="62"/>
      <c r="K1674" s="62"/>
      <c r="L1674" s="62"/>
      <c r="M1674" s="62"/>
      <c r="N1674" s="62"/>
      <c r="O1674" s="62"/>
      <c r="P1674" s="42" t="str">
        <f>+IF(O1674="","",IFERROR(VLOOKUP(O1674,CODIGO_DIAGNOSTICO,2,0),"CÓDIGO NO ENCONTRADO"))</f>
        <v/>
      </c>
      <c r="Q1674" s="62"/>
      <c r="R1674" s="64"/>
      <c r="S1674" s="75"/>
      <c r="T1674" s="75"/>
      <c r="U1674" s="65"/>
      <c r="V1674" s="62"/>
      <c r="W1674" s="65"/>
      <c r="X1674" s="62"/>
      <c r="Y1674" s="65"/>
      <c r="Z1674" s="73"/>
    </row>
    <row r="1675" spans="1:26" ht="15.75" hidden="1" customHeight="1" x14ac:dyDescent="0.25">
      <c r="A1675" s="67"/>
      <c r="B1675" s="68"/>
      <c r="C1675" s="68"/>
      <c r="D1675" s="68"/>
      <c r="E1675" s="68"/>
      <c r="F1675" s="68"/>
      <c r="G1675" s="81"/>
      <c r="H1675" s="69"/>
      <c r="I1675" s="69"/>
      <c r="J1675" s="68"/>
      <c r="K1675" s="68"/>
      <c r="L1675" s="68"/>
      <c r="M1675" s="68"/>
      <c r="N1675" s="62"/>
      <c r="O1675" s="68"/>
      <c r="P1675" s="42" t="str">
        <f>+IF(O1675="","",IFERROR(VLOOKUP(O1675,CODIGO_DIAGNOSTICO,2,0),"CÓDIGO NO ENCONTRADO"))</f>
        <v/>
      </c>
      <c r="Q1675" s="68"/>
      <c r="R1675" s="67"/>
      <c r="S1675" s="77"/>
      <c r="T1675" s="76"/>
      <c r="U1675" s="65"/>
      <c r="V1675" s="68"/>
      <c r="W1675" s="70"/>
      <c r="X1675" s="68"/>
      <c r="Y1675" s="70"/>
      <c r="Z1675" s="72"/>
    </row>
    <row r="1676" spans="1:26" ht="15.75" hidden="1" customHeight="1" x14ac:dyDescent="0.25">
      <c r="A1676" s="64"/>
      <c r="B1676" s="62"/>
      <c r="C1676" s="62"/>
      <c r="D1676" s="62"/>
      <c r="E1676" s="62"/>
      <c r="F1676" s="62"/>
      <c r="G1676" s="81"/>
      <c r="H1676" s="63"/>
      <c r="I1676" s="63"/>
      <c r="J1676" s="62"/>
      <c r="K1676" s="62"/>
      <c r="L1676" s="62"/>
      <c r="M1676" s="62"/>
      <c r="N1676" s="62"/>
      <c r="O1676" s="62"/>
      <c r="P1676" s="42" t="str">
        <f>+IF(O1676="","",IFERROR(VLOOKUP(O1676,CODIGO_DIAGNOSTICO,2,0),"CÓDIGO NO ENCONTRADO"))</f>
        <v/>
      </c>
      <c r="Q1676" s="62"/>
      <c r="R1676" s="64"/>
      <c r="S1676" s="75"/>
      <c r="T1676" s="75"/>
      <c r="U1676" s="65"/>
      <c r="V1676" s="62"/>
      <c r="W1676" s="65"/>
      <c r="X1676" s="62"/>
      <c r="Y1676" s="65"/>
      <c r="Z1676" s="73"/>
    </row>
    <row r="1677" spans="1:26" ht="15.75" hidden="1" customHeight="1" x14ac:dyDescent="0.25">
      <c r="A1677" s="67"/>
      <c r="B1677" s="68"/>
      <c r="C1677" s="68"/>
      <c r="D1677" s="68"/>
      <c r="E1677" s="68"/>
      <c r="F1677" s="68"/>
      <c r="G1677" s="81"/>
      <c r="H1677" s="69"/>
      <c r="I1677" s="69"/>
      <c r="J1677" s="68"/>
      <c r="K1677" s="68"/>
      <c r="L1677" s="68"/>
      <c r="M1677" s="68"/>
      <c r="N1677" s="62"/>
      <c r="O1677" s="68"/>
      <c r="P1677" s="42" t="str">
        <f>+IF(O1677="","",IFERROR(VLOOKUP(O1677,CODIGO_DIAGNOSTICO,2,0),"CÓDIGO NO ENCONTRADO"))</f>
        <v/>
      </c>
      <c r="Q1677" s="68"/>
      <c r="R1677" s="67"/>
      <c r="S1677" s="77"/>
      <c r="T1677" s="76"/>
      <c r="U1677" s="65"/>
      <c r="V1677" s="68"/>
      <c r="W1677" s="70"/>
      <c r="X1677" s="68"/>
      <c r="Y1677" s="70"/>
      <c r="Z1677" s="72"/>
    </row>
    <row r="1678" spans="1:26" ht="15.75" hidden="1" customHeight="1" x14ac:dyDescent="0.25">
      <c r="A1678" s="64"/>
      <c r="B1678" s="62"/>
      <c r="C1678" s="62"/>
      <c r="D1678" s="62"/>
      <c r="E1678" s="62"/>
      <c r="F1678" s="62"/>
      <c r="G1678" s="81"/>
      <c r="H1678" s="63"/>
      <c r="I1678" s="63"/>
      <c r="J1678" s="62"/>
      <c r="K1678" s="62"/>
      <c r="L1678" s="62"/>
      <c r="M1678" s="62"/>
      <c r="N1678" s="62"/>
      <c r="O1678" s="62"/>
      <c r="P1678" s="42" t="str">
        <f>+IF(O1678="","",IFERROR(VLOOKUP(O1678,CODIGO_DIAGNOSTICO,2,0),"CÓDIGO NO ENCONTRADO"))</f>
        <v/>
      </c>
      <c r="Q1678" s="62"/>
      <c r="R1678" s="64"/>
      <c r="S1678" s="75"/>
      <c r="T1678" s="75"/>
      <c r="U1678" s="65"/>
      <c r="V1678" s="62"/>
      <c r="W1678" s="65"/>
      <c r="X1678" s="62"/>
      <c r="Y1678" s="65"/>
      <c r="Z1678" s="73"/>
    </row>
    <row r="1679" spans="1:26" ht="15.75" hidden="1" customHeight="1" x14ac:dyDescent="0.25">
      <c r="A1679" s="67"/>
      <c r="B1679" s="68"/>
      <c r="C1679" s="68"/>
      <c r="D1679" s="68"/>
      <c r="E1679" s="68"/>
      <c r="F1679" s="68"/>
      <c r="G1679" s="81"/>
      <c r="H1679" s="69"/>
      <c r="I1679" s="69"/>
      <c r="J1679" s="68"/>
      <c r="K1679" s="68"/>
      <c r="L1679" s="68"/>
      <c r="M1679" s="68"/>
      <c r="N1679" s="62"/>
      <c r="O1679" s="68"/>
      <c r="P1679" s="42" t="str">
        <f>+IF(O1679="","",IFERROR(VLOOKUP(O1679,CODIGO_DIAGNOSTICO,2,0),"CÓDIGO NO ENCONTRADO"))</f>
        <v/>
      </c>
      <c r="Q1679" s="68"/>
      <c r="R1679" s="67"/>
      <c r="S1679" s="77"/>
      <c r="T1679" s="76"/>
      <c r="U1679" s="65"/>
      <c r="V1679" s="68"/>
      <c r="W1679" s="70"/>
      <c r="X1679" s="68"/>
      <c r="Y1679" s="70"/>
      <c r="Z1679" s="72"/>
    </row>
    <row r="1680" spans="1:26" ht="15.75" hidden="1" customHeight="1" x14ac:dyDescent="0.25">
      <c r="A1680" s="64"/>
      <c r="B1680" s="62"/>
      <c r="C1680" s="62"/>
      <c r="D1680" s="62"/>
      <c r="E1680" s="62"/>
      <c r="F1680" s="62"/>
      <c r="G1680" s="81"/>
      <c r="H1680" s="63"/>
      <c r="I1680" s="63"/>
      <c r="J1680" s="62"/>
      <c r="K1680" s="62"/>
      <c r="L1680" s="62"/>
      <c r="M1680" s="62"/>
      <c r="N1680" s="62"/>
      <c r="O1680" s="62"/>
      <c r="P1680" s="42" t="str">
        <f>+IF(O1680="","",IFERROR(VLOOKUP(O1680,CODIGO_DIAGNOSTICO,2,0),"CÓDIGO NO ENCONTRADO"))</f>
        <v/>
      </c>
      <c r="Q1680" s="62"/>
      <c r="R1680" s="64"/>
      <c r="S1680" s="75"/>
      <c r="T1680" s="75"/>
      <c r="U1680" s="65"/>
      <c r="V1680" s="62"/>
      <c r="W1680" s="65"/>
      <c r="X1680" s="62"/>
      <c r="Y1680" s="65"/>
      <c r="Z1680" s="73"/>
    </row>
    <row r="1681" spans="1:26" ht="15.75" hidden="1" customHeight="1" x14ac:dyDescent="0.25">
      <c r="A1681" s="67"/>
      <c r="B1681" s="68"/>
      <c r="C1681" s="68"/>
      <c r="D1681" s="68"/>
      <c r="E1681" s="68"/>
      <c r="F1681" s="68"/>
      <c r="G1681" s="81"/>
      <c r="H1681" s="69"/>
      <c r="I1681" s="69"/>
      <c r="J1681" s="68"/>
      <c r="K1681" s="68"/>
      <c r="L1681" s="68"/>
      <c r="M1681" s="68"/>
      <c r="N1681" s="62"/>
      <c r="O1681" s="68"/>
      <c r="P1681" s="42" t="str">
        <f>+IF(O1681="","",IFERROR(VLOOKUP(O1681,CODIGO_DIAGNOSTICO,2,0),"CÓDIGO NO ENCONTRADO"))</f>
        <v/>
      </c>
      <c r="Q1681" s="68"/>
      <c r="R1681" s="67"/>
      <c r="S1681" s="77"/>
      <c r="T1681" s="76"/>
      <c r="U1681" s="65"/>
      <c r="V1681" s="68"/>
      <c r="W1681" s="70"/>
      <c r="X1681" s="68"/>
      <c r="Y1681" s="70"/>
      <c r="Z1681" s="72"/>
    </row>
    <row r="1682" spans="1:26" ht="15.75" hidden="1" customHeight="1" x14ac:dyDescent="0.25">
      <c r="A1682" s="64"/>
      <c r="B1682" s="62"/>
      <c r="C1682" s="62"/>
      <c r="D1682" s="62"/>
      <c r="E1682" s="62"/>
      <c r="F1682" s="62"/>
      <c r="G1682" s="81"/>
      <c r="H1682" s="63"/>
      <c r="I1682" s="63"/>
      <c r="J1682" s="62"/>
      <c r="K1682" s="62"/>
      <c r="L1682" s="62"/>
      <c r="M1682" s="62"/>
      <c r="N1682" s="62"/>
      <c r="O1682" s="62"/>
      <c r="P1682" s="42" t="str">
        <f>+IF(O1682="","",IFERROR(VLOOKUP(O1682,CODIGO_DIAGNOSTICO,2,0),"CÓDIGO NO ENCONTRADO"))</f>
        <v/>
      </c>
      <c r="Q1682" s="62"/>
      <c r="R1682" s="64"/>
      <c r="S1682" s="75"/>
      <c r="T1682" s="75"/>
      <c r="U1682" s="65"/>
      <c r="V1682" s="62"/>
      <c r="W1682" s="65"/>
      <c r="X1682" s="62"/>
      <c r="Y1682" s="65"/>
      <c r="Z1682" s="73"/>
    </row>
    <row r="1683" spans="1:26" ht="15.75" hidden="1" customHeight="1" x14ac:dyDescent="0.25">
      <c r="A1683" s="67"/>
      <c r="B1683" s="68"/>
      <c r="C1683" s="68"/>
      <c r="D1683" s="68"/>
      <c r="E1683" s="68"/>
      <c r="F1683" s="68"/>
      <c r="G1683" s="81"/>
      <c r="H1683" s="69"/>
      <c r="I1683" s="69"/>
      <c r="J1683" s="68"/>
      <c r="K1683" s="68"/>
      <c r="L1683" s="68"/>
      <c r="M1683" s="68"/>
      <c r="N1683" s="62"/>
      <c r="O1683" s="68"/>
      <c r="P1683" s="42" t="str">
        <f>+IF(O1683="","",IFERROR(VLOOKUP(O1683,CODIGO_DIAGNOSTICO,2,0),"CÓDIGO NO ENCONTRADO"))</f>
        <v/>
      </c>
      <c r="Q1683" s="68"/>
      <c r="R1683" s="67"/>
      <c r="S1683" s="77"/>
      <c r="T1683" s="76"/>
      <c r="U1683" s="65"/>
      <c r="V1683" s="68"/>
      <c r="W1683" s="70"/>
      <c r="X1683" s="68"/>
      <c r="Y1683" s="70"/>
      <c r="Z1683" s="72"/>
    </row>
    <row r="1684" spans="1:26" ht="15.75" hidden="1" customHeight="1" x14ac:dyDescent="0.25">
      <c r="A1684" s="64"/>
      <c r="B1684" s="62"/>
      <c r="C1684" s="62"/>
      <c r="D1684" s="62"/>
      <c r="E1684" s="62"/>
      <c r="F1684" s="62"/>
      <c r="G1684" s="81"/>
      <c r="H1684" s="63"/>
      <c r="I1684" s="63"/>
      <c r="J1684" s="62"/>
      <c r="K1684" s="62"/>
      <c r="L1684" s="62"/>
      <c r="M1684" s="62"/>
      <c r="N1684" s="62"/>
      <c r="O1684" s="62"/>
      <c r="P1684" s="42" t="str">
        <f>+IF(O1684="","",IFERROR(VLOOKUP(O1684,CODIGO_DIAGNOSTICO,2,0),"CÓDIGO NO ENCONTRADO"))</f>
        <v/>
      </c>
      <c r="Q1684" s="62"/>
      <c r="R1684" s="64"/>
      <c r="S1684" s="75"/>
      <c r="T1684" s="75"/>
      <c r="U1684" s="65"/>
      <c r="V1684" s="62"/>
      <c r="W1684" s="65"/>
      <c r="X1684" s="62"/>
      <c r="Y1684" s="65"/>
      <c r="Z1684" s="73"/>
    </row>
    <row r="1685" spans="1:26" ht="15.75" hidden="1" customHeight="1" x14ac:dyDescent="0.25">
      <c r="A1685" s="67"/>
      <c r="B1685" s="68"/>
      <c r="C1685" s="68"/>
      <c r="D1685" s="68"/>
      <c r="E1685" s="68"/>
      <c r="F1685" s="68"/>
      <c r="G1685" s="81"/>
      <c r="H1685" s="69"/>
      <c r="I1685" s="69"/>
      <c r="J1685" s="68"/>
      <c r="K1685" s="68"/>
      <c r="L1685" s="68"/>
      <c r="M1685" s="68"/>
      <c r="N1685" s="62"/>
      <c r="O1685" s="68"/>
      <c r="P1685" s="42" t="str">
        <f>+IF(O1685="","",IFERROR(VLOOKUP(O1685,CODIGO_DIAGNOSTICO,2,0),"CÓDIGO NO ENCONTRADO"))</f>
        <v/>
      </c>
      <c r="Q1685" s="68"/>
      <c r="R1685" s="67"/>
      <c r="S1685" s="77"/>
      <c r="T1685" s="76"/>
      <c r="U1685" s="65"/>
      <c r="V1685" s="68"/>
      <c r="W1685" s="70"/>
      <c r="X1685" s="68"/>
      <c r="Y1685" s="70"/>
      <c r="Z1685" s="72"/>
    </row>
    <row r="1686" spans="1:26" ht="15.75" hidden="1" customHeight="1" x14ac:dyDescent="0.25">
      <c r="A1686" s="64"/>
      <c r="B1686" s="62"/>
      <c r="C1686" s="62"/>
      <c r="D1686" s="62"/>
      <c r="E1686" s="62"/>
      <c r="F1686" s="62"/>
      <c r="G1686" s="81"/>
      <c r="H1686" s="63"/>
      <c r="I1686" s="63"/>
      <c r="J1686" s="62"/>
      <c r="K1686" s="62"/>
      <c r="L1686" s="62"/>
      <c r="M1686" s="62"/>
      <c r="N1686" s="62"/>
      <c r="O1686" s="62"/>
      <c r="P1686" s="42" t="str">
        <f>+IF(O1686="","",IFERROR(VLOOKUP(O1686,CODIGO_DIAGNOSTICO,2,0),"CÓDIGO NO ENCONTRADO"))</f>
        <v/>
      </c>
      <c r="Q1686" s="62"/>
      <c r="R1686" s="64"/>
      <c r="S1686" s="75"/>
      <c r="T1686" s="75"/>
      <c r="U1686" s="65"/>
      <c r="V1686" s="62"/>
      <c r="W1686" s="65"/>
      <c r="X1686" s="62"/>
      <c r="Y1686" s="65"/>
      <c r="Z1686" s="73"/>
    </row>
    <row r="1687" spans="1:26" ht="15.75" hidden="1" customHeight="1" x14ac:dyDescent="0.25">
      <c r="A1687" s="67"/>
      <c r="B1687" s="68"/>
      <c r="C1687" s="68"/>
      <c r="D1687" s="68"/>
      <c r="E1687" s="68"/>
      <c r="F1687" s="68"/>
      <c r="G1687" s="81"/>
      <c r="H1687" s="69"/>
      <c r="I1687" s="69"/>
      <c r="J1687" s="68"/>
      <c r="K1687" s="68"/>
      <c r="L1687" s="68"/>
      <c r="M1687" s="68"/>
      <c r="N1687" s="62"/>
      <c r="O1687" s="68"/>
      <c r="P1687" s="42" t="str">
        <f>+IF(O1687="","",IFERROR(VLOOKUP(O1687,CODIGO_DIAGNOSTICO,2,0),"CÓDIGO NO ENCONTRADO"))</f>
        <v/>
      </c>
      <c r="Q1687" s="68"/>
      <c r="R1687" s="67"/>
      <c r="S1687" s="77"/>
      <c r="T1687" s="76"/>
      <c r="U1687" s="65"/>
      <c r="V1687" s="68"/>
      <c r="W1687" s="70"/>
      <c r="X1687" s="68"/>
      <c r="Y1687" s="70"/>
      <c r="Z1687" s="72"/>
    </row>
    <row r="1688" spans="1:26" ht="15.75" hidden="1" customHeight="1" x14ac:dyDescent="0.25">
      <c r="A1688" s="64"/>
      <c r="B1688" s="62"/>
      <c r="C1688" s="62"/>
      <c r="D1688" s="62"/>
      <c r="E1688" s="62"/>
      <c r="F1688" s="62"/>
      <c r="G1688" s="81"/>
      <c r="H1688" s="63"/>
      <c r="I1688" s="63"/>
      <c r="J1688" s="62"/>
      <c r="K1688" s="62"/>
      <c r="L1688" s="62"/>
      <c r="M1688" s="62"/>
      <c r="N1688" s="62"/>
      <c r="O1688" s="62"/>
      <c r="P1688" s="42" t="str">
        <f>+IF(O1688="","",IFERROR(VLOOKUP(O1688,CODIGO_DIAGNOSTICO,2,0),"CÓDIGO NO ENCONTRADO"))</f>
        <v/>
      </c>
      <c r="Q1688" s="62"/>
      <c r="R1688" s="64"/>
      <c r="S1688" s="75"/>
      <c r="T1688" s="75"/>
      <c r="U1688" s="65"/>
      <c r="V1688" s="62"/>
      <c r="W1688" s="65"/>
      <c r="X1688" s="62"/>
      <c r="Y1688" s="65"/>
      <c r="Z1688" s="73"/>
    </row>
    <row r="1689" spans="1:26" ht="15.75" hidden="1" customHeight="1" x14ac:dyDescent="0.25">
      <c r="A1689" s="67"/>
      <c r="B1689" s="68"/>
      <c r="C1689" s="68"/>
      <c r="D1689" s="68"/>
      <c r="E1689" s="68"/>
      <c r="F1689" s="68"/>
      <c r="G1689" s="81"/>
      <c r="H1689" s="69"/>
      <c r="I1689" s="69"/>
      <c r="J1689" s="68"/>
      <c r="K1689" s="68"/>
      <c r="L1689" s="68"/>
      <c r="M1689" s="68"/>
      <c r="N1689" s="62"/>
      <c r="O1689" s="68"/>
      <c r="P1689" s="42" t="str">
        <f>+IF(O1689="","",IFERROR(VLOOKUP(O1689,CODIGO_DIAGNOSTICO,2,0),"CÓDIGO NO ENCONTRADO"))</f>
        <v/>
      </c>
      <c r="Q1689" s="68"/>
      <c r="R1689" s="67"/>
      <c r="S1689" s="77"/>
      <c r="T1689" s="76"/>
      <c r="U1689" s="65"/>
      <c r="V1689" s="68"/>
      <c r="W1689" s="70"/>
      <c r="X1689" s="68"/>
      <c r="Y1689" s="70"/>
      <c r="Z1689" s="72"/>
    </row>
    <row r="1690" spans="1:26" ht="15.75" hidden="1" customHeight="1" x14ac:dyDescent="0.25">
      <c r="A1690" s="64"/>
      <c r="B1690" s="62"/>
      <c r="C1690" s="62"/>
      <c r="D1690" s="62"/>
      <c r="E1690" s="62"/>
      <c r="F1690" s="62"/>
      <c r="G1690" s="81"/>
      <c r="H1690" s="63"/>
      <c r="I1690" s="63"/>
      <c r="J1690" s="62"/>
      <c r="K1690" s="62"/>
      <c r="L1690" s="62"/>
      <c r="M1690" s="62"/>
      <c r="N1690" s="62"/>
      <c r="O1690" s="62"/>
      <c r="P1690" s="42" t="str">
        <f>+IF(O1690="","",IFERROR(VLOOKUP(O1690,CODIGO_DIAGNOSTICO,2,0),"CÓDIGO NO ENCONTRADO"))</f>
        <v/>
      </c>
      <c r="Q1690" s="62"/>
      <c r="R1690" s="64"/>
      <c r="S1690" s="75"/>
      <c r="T1690" s="75"/>
      <c r="U1690" s="65"/>
      <c r="V1690" s="62"/>
      <c r="W1690" s="65"/>
      <c r="X1690" s="62"/>
      <c r="Y1690" s="65"/>
      <c r="Z1690" s="73"/>
    </row>
    <row r="1691" spans="1:26" ht="15.75" hidden="1" customHeight="1" x14ac:dyDescent="0.25">
      <c r="A1691" s="67"/>
      <c r="B1691" s="68"/>
      <c r="C1691" s="68"/>
      <c r="D1691" s="68"/>
      <c r="E1691" s="68"/>
      <c r="F1691" s="68"/>
      <c r="G1691" s="81"/>
      <c r="H1691" s="69"/>
      <c r="I1691" s="69"/>
      <c r="J1691" s="68"/>
      <c r="K1691" s="68"/>
      <c r="L1691" s="68"/>
      <c r="M1691" s="68"/>
      <c r="N1691" s="62"/>
      <c r="O1691" s="68"/>
      <c r="P1691" s="42" t="str">
        <f>+IF(O1691="","",IFERROR(VLOOKUP(O1691,CODIGO_DIAGNOSTICO,2,0),"CÓDIGO NO ENCONTRADO"))</f>
        <v/>
      </c>
      <c r="Q1691" s="68"/>
      <c r="R1691" s="67"/>
      <c r="S1691" s="77"/>
      <c r="T1691" s="76"/>
      <c r="U1691" s="65"/>
      <c r="V1691" s="68"/>
      <c r="W1691" s="70"/>
      <c r="X1691" s="68"/>
      <c r="Y1691" s="70"/>
      <c r="Z1691" s="72"/>
    </row>
    <row r="1692" spans="1:26" ht="15.75" hidden="1" customHeight="1" x14ac:dyDescent="0.25">
      <c r="A1692" s="64"/>
      <c r="B1692" s="62"/>
      <c r="C1692" s="62"/>
      <c r="D1692" s="62"/>
      <c r="E1692" s="62"/>
      <c r="F1692" s="62"/>
      <c r="G1692" s="81"/>
      <c r="H1692" s="63"/>
      <c r="I1692" s="63"/>
      <c r="J1692" s="62"/>
      <c r="K1692" s="62"/>
      <c r="L1692" s="62"/>
      <c r="M1692" s="62"/>
      <c r="N1692" s="62"/>
      <c r="O1692" s="62"/>
      <c r="P1692" s="42" t="str">
        <f>+IF(O1692="","",IFERROR(VLOOKUP(O1692,CODIGO_DIAGNOSTICO,2,0),"CÓDIGO NO ENCONTRADO"))</f>
        <v/>
      </c>
      <c r="Q1692" s="62"/>
      <c r="R1692" s="64"/>
      <c r="S1692" s="75"/>
      <c r="T1692" s="75"/>
      <c r="U1692" s="65"/>
      <c r="V1692" s="62"/>
      <c r="W1692" s="65"/>
      <c r="X1692" s="62"/>
      <c r="Y1692" s="65"/>
      <c r="Z1692" s="73"/>
    </row>
    <row r="1693" spans="1:26" ht="15.75" hidden="1" customHeight="1" x14ac:dyDescent="0.25">
      <c r="A1693" s="67"/>
      <c r="B1693" s="68"/>
      <c r="C1693" s="68"/>
      <c r="D1693" s="68"/>
      <c r="E1693" s="68"/>
      <c r="F1693" s="68"/>
      <c r="G1693" s="81"/>
      <c r="H1693" s="69"/>
      <c r="I1693" s="69"/>
      <c r="J1693" s="68"/>
      <c r="K1693" s="68"/>
      <c r="L1693" s="68"/>
      <c r="M1693" s="68"/>
      <c r="N1693" s="62"/>
      <c r="O1693" s="68"/>
      <c r="P1693" s="42" t="str">
        <f>+IF(O1693="","",IFERROR(VLOOKUP(O1693,CODIGO_DIAGNOSTICO,2,0),"CÓDIGO NO ENCONTRADO"))</f>
        <v/>
      </c>
      <c r="Q1693" s="68"/>
      <c r="R1693" s="67"/>
      <c r="S1693" s="77"/>
      <c r="T1693" s="76"/>
      <c r="U1693" s="65"/>
      <c r="V1693" s="68"/>
      <c r="W1693" s="70"/>
      <c r="X1693" s="68"/>
      <c r="Y1693" s="70"/>
      <c r="Z1693" s="72"/>
    </row>
    <row r="1694" spans="1:26" ht="15.75" hidden="1" customHeight="1" x14ac:dyDescent="0.25">
      <c r="A1694" s="64"/>
      <c r="B1694" s="62"/>
      <c r="C1694" s="62"/>
      <c r="D1694" s="62"/>
      <c r="E1694" s="62"/>
      <c r="F1694" s="62"/>
      <c r="G1694" s="81"/>
      <c r="H1694" s="63"/>
      <c r="I1694" s="63"/>
      <c r="J1694" s="62"/>
      <c r="K1694" s="62"/>
      <c r="L1694" s="62"/>
      <c r="M1694" s="62"/>
      <c r="N1694" s="62"/>
      <c r="O1694" s="62"/>
      <c r="P1694" s="42" t="str">
        <f>+IF(O1694="","",IFERROR(VLOOKUP(O1694,CODIGO_DIAGNOSTICO,2,0),"CÓDIGO NO ENCONTRADO"))</f>
        <v/>
      </c>
      <c r="Q1694" s="62"/>
      <c r="R1694" s="64"/>
      <c r="S1694" s="75"/>
      <c r="T1694" s="75"/>
      <c r="U1694" s="65"/>
      <c r="V1694" s="62"/>
      <c r="W1694" s="65"/>
      <c r="X1694" s="62"/>
      <c r="Y1694" s="65"/>
      <c r="Z1694" s="73"/>
    </row>
    <row r="1695" spans="1:26" ht="15.75" hidden="1" customHeight="1" x14ac:dyDescent="0.25">
      <c r="A1695" s="67"/>
      <c r="B1695" s="68"/>
      <c r="C1695" s="68"/>
      <c r="D1695" s="68"/>
      <c r="E1695" s="68"/>
      <c r="F1695" s="68"/>
      <c r="G1695" s="81"/>
      <c r="H1695" s="69"/>
      <c r="I1695" s="69"/>
      <c r="J1695" s="68"/>
      <c r="K1695" s="68"/>
      <c r="L1695" s="68"/>
      <c r="M1695" s="68"/>
      <c r="N1695" s="62"/>
      <c r="O1695" s="68"/>
      <c r="P1695" s="42" t="str">
        <f>+IF(O1695="","",IFERROR(VLOOKUP(O1695,CODIGO_DIAGNOSTICO,2,0),"CÓDIGO NO ENCONTRADO"))</f>
        <v/>
      </c>
      <c r="Q1695" s="68"/>
      <c r="R1695" s="67"/>
      <c r="S1695" s="77"/>
      <c r="T1695" s="76"/>
      <c r="U1695" s="65"/>
      <c r="V1695" s="68"/>
      <c r="W1695" s="70"/>
      <c r="X1695" s="68"/>
      <c r="Y1695" s="70"/>
      <c r="Z1695" s="72"/>
    </row>
    <row r="1696" spans="1:26" ht="15.75" hidden="1" customHeight="1" x14ac:dyDescent="0.25">
      <c r="A1696" s="64"/>
      <c r="B1696" s="62"/>
      <c r="C1696" s="62"/>
      <c r="D1696" s="62"/>
      <c r="E1696" s="62"/>
      <c r="F1696" s="62"/>
      <c r="G1696" s="81"/>
      <c r="H1696" s="63"/>
      <c r="I1696" s="63"/>
      <c r="J1696" s="62"/>
      <c r="K1696" s="62"/>
      <c r="L1696" s="62"/>
      <c r="M1696" s="62"/>
      <c r="N1696" s="62"/>
      <c r="O1696" s="62"/>
      <c r="P1696" s="42" t="str">
        <f>+IF(O1696="","",IFERROR(VLOOKUP(O1696,CODIGO_DIAGNOSTICO,2,0),"CÓDIGO NO ENCONTRADO"))</f>
        <v/>
      </c>
      <c r="Q1696" s="62"/>
      <c r="R1696" s="64"/>
      <c r="S1696" s="75"/>
      <c r="T1696" s="75"/>
      <c r="U1696" s="65"/>
      <c r="V1696" s="62"/>
      <c r="W1696" s="65"/>
      <c r="X1696" s="62"/>
      <c r="Y1696" s="65"/>
      <c r="Z1696" s="73"/>
    </row>
    <row r="1697" spans="1:26" ht="15.75" hidden="1" customHeight="1" x14ac:dyDescent="0.25">
      <c r="A1697" s="67"/>
      <c r="B1697" s="68"/>
      <c r="C1697" s="68"/>
      <c r="D1697" s="68"/>
      <c r="E1697" s="68"/>
      <c r="F1697" s="68"/>
      <c r="G1697" s="81"/>
      <c r="H1697" s="69"/>
      <c r="I1697" s="69"/>
      <c r="J1697" s="68"/>
      <c r="K1697" s="68"/>
      <c r="L1697" s="68"/>
      <c r="M1697" s="68"/>
      <c r="N1697" s="62"/>
      <c r="O1697" s="68"/>
      <c r="P1697" s="42" t="str">
        <f>+IF(O1697="","",IFERROR(VLOOKUP(O1697,CODIGO_DIAGNOSTICO,2,0),"CÓDIGO NO ENCONTRADO"))</f>
        <v/>
      </c>
      <c r="Q1697" s="68"/>
      <c r="R1697" s="67"/>
      <c r="S1697" s="77"/>
      <c r="T1697" s="76"/>
      <c r="U1697" s="65"/>
      <c r="V1697" s="68"/>
      <c r="W1697" s="70"/>
      <c r="X1697" s="68"/>
      <c r="Y1697" s="70"/>
      <c r="Z1697" s="72"/>
    </row>
    <row r="1698" spans="1:26" ht="15.75" hidden="1" customHeight="1" x14ac:dyDescent="0.25">
      <c r="A1698" s="64"/>
      <c r="B1698" s="62"/>
      <c r="C1698" s="62"/>
      <c r="D1698" s="62"/>
      <c r="E1698" s="62"/>
      <c r="F1698" s="62"/>
      <c r="G1698" s="81"/>
      <c r="H1698" s="63"/>
      <c r="I1698" s="63"/>
      <c r="J1698" s="62"/>
      <c r="K1698" s="62"/>
      <c r="L1698" s="62"/>
      <c r="M1698" s="62"/>
      <c r="N1698" s="62"/>
      <c r="O1698" s="62"/>
      <c r="P1698" s="42" t="str">
        <f>+IF(O1698="","",IFERROR(VLOOKUP(O1698,CODIGO_DIAGNOSTICO,2,0),"CÓDIGO NO ENCONTRADO"))</f>
        <v/>
      </c>
      <c r="Q1698" s="62"/>
      <c r="R1698" s="64"/>
      <c r="S1698" s="75"/>
      <c r="T1698" s="75"/>
      <c r="U1698" s="65"/>
      <c r="V1698" s="62"/>
      <c r="W1698" s="65"/>
      <c r="X1698" s="62"/>
      <c r="Y1698" s="65"/>
      <c r="Z1698" s="73"/>
    </row>
    <row r="1699" spans="1:26" ht="15.75" hidden="1" customHeight="1" x14ac:dyDescent="0.25">
      <c r="A1699" s="67"/>
      <c r="B1699" s="68"/>
      <c r="C1699" s="68"/>
      <c r="D1699" s="68"/>
      <c r="E1699" s="68"/>
      <c r="F1699" s="68"/>
      <c r="G1699" s="81"/>
      <c r="H1699" s="69"/>
      <c r="I1699" s="69"/>
      <c r="J1699" s="68"/>
      <c r="K1699" s="68"/>
      <c r="L1699" s="68"/>
      <c r="M1699" s="68"/>
      <c r="N1699" s="62"/>
      <c r="O1699" s="68"/>
      <c r="P1699" s="42" t="str">
        <f>+IF(O1699="","",IFERROR(VLOOKUP(O1699,CODIGO_DIAGNOSTICO,2,0),"CÓDIGO NO ENCONTRADO"))</f>
        <v/>
      </c>
      <c r="Q1699" s="68"/>
      <c r="R1699" s="67"/>
      <c r="S1699" s="77"/>
      <c r="T1699" s="76"/>
      <c r="U1699" s="65"/>
      <c r="V1699" s="68"/>
      <c r="W1699" s="70"/>
      <c r="X1699" s="68"/>
      <c r="Y1699" s="70"/>
      <c r="Z1699" s="72"/>
    </row>
    <row r="1700" spans="1:26" ht="15.75" hidden="1" customHeight="1" x14ac:dyDescent="0.25">
      <c r="A1700" s="64"/>
      <c r="B1700" s="62"/>
      <c r="C1700" s="62"/>
      <c r="D1700" s="62"/>
      <c r="E1700" s="62"/>
      <c r="F1700" s="62"/>
      <c r="G1700" s="81"/>
      <c r="H1700" s="63"/>
      <c r="I1700" s="63"/>
      <c r="J1700" s="62"/>
      <c r="K1700" s="62"/>
      <c r="L1700" s="62"/>
      <c r="M1700" s="62"/>
      <c r="N1700" s="62"/>
      <c r="O1700" s="62"/>
      <c r="P1700" s="42" t="str">
        <f>+IF(O1700="","",IFERROR(VLOOKUP(O1700,CODIGO_DIAGNOSTICO,2,0),"CÓDIGO NO ENCONTRADO"))</f>
        <v/>
      </c>
      <c r="Q1700" s="62"/>
      <c r="R1700" s="64"/>
      <c r="S1700" s="75"/>
      <c r="T1700" s="75"/>
      <c r="U1700" s="65"/>
      <c r="V1700" s="62"/>
      <c r="W1700" s="65"/>
      <c r="X1700" s="62"/>
      <c r="Y1700" s="65"/>
      <c r="Z1700" s="73"/>
    </row>
    <row r="1701" spans="1:26" ht="15.75" hidden="1" customHeight="1" x14ac:dyDescent="0.25">
      <c r="A1701" s="67"/>
      <c r="B1701" s="68"/>
      <c r="C1701" s="68"/>
      <c r="D1701" s="68"/>
      <c r="E1701" s="68"/>
      <c r="F1701" s="68"/>
      <c r="G1701" s="81"/>
      <c r="H1701" s="69"/>
      <c r="I1701" s="69"/>
      <c r="J1701" s="68"/>
      <c r="K1701" s="68"/>
      <c r="L1701" s="68"/>
      <c r="M1701" s="68"/>
      <c r="N1701" s="62"/>
      <c r="O1701" s="68"/>
      <c r="P1701" s="42" t="str">
        <f>+IF(O1701="","",IFERROR(VLOOKUP(O1701,CODIGO_DIAGNOSTICO,2,0),"CÓDIGO NO ENCONTRADO"))</f>
        <v/>
      </c>
      <c r="Q1701" s="68"/>
      <c r="R1701" s="67"/>
      <c r="S1701" s="77"/>
      <c r="T1701" s="76"/>
      <c r="U1701" s="65"/>
      <c r="V1701" s="68"/>
      <c r="W1701" s="70"/>
      <c r="X1701" s="68"/>
      <c r="Y1701" s="70"/>
      <c r="Z1701" s="72"/>
    </row>
    <row r="1702" spans="1:26" ht="15.75" hidden="1" customHeight="1" x14ac:dyDescent="0.25">
      <c r="A1702" s="64"/>
      <c r="B1702" s="62"/>
      <c r="C1702" s="62"/>
      <c r="D1702" s="62"/>
      <c r="E1702" s="62"/>
      <c r="F1702" s="62"/>
      <c r="G1702" s="81"/>
      <c r="H1702" s="63"/>
      <c r="I1702" s="63"/>
      <c r="J1702" s="62"/>
      <c r="K1702" s="62"/>
      <c r="L1702" s="62"/>
      <c r="M1702" s="62"/>
      <c r="N1702" s="62"/>
      <c r="O1702" s="62"/>
      <c r="P1702" s="42" t="str">
        <f>+IF(O1702="","",IFERROR(VLOOKUP(O1702,CODIGO_DIAGNOSTICO,2,0),"CÓDIGO NO ENCONTRADO"))</f>
        <v/>
      </c>
      <c r="Q1702" s="62"/>
      <c r="R1702" s="64"/>
      <c r="S1702" s="75"/>
      <c r="T1702" s="75"/>
      <c r="U1702" s="65"/>
      <c r="V1702" s="62"/>
      <c r="W1702" s="65"/>
      <c r="X1702" s="62"/>
      <c r="Y1702" s="65"/>
      <c r="Z1702" s="73"/>
    </row>
    <row r="1703" spans="1:26" ht="15.75" hidden="1" customHeight="1" x14ac:dyDescent="0.25">
      <c r="A1703" s="67"/>
      <c r="B1703" s="68"/>
      <c r="C1703" s="68"/>
      <c r="D1703" s="68"/>
      <c r="E1703" s="68"/>
      <c r="F1703" s="68"/>
      <c r="G1703" s="81"/>
      <c r="H1703" s="69"/>
      <c r="I1703" s="69"/>
      <c r="J1703" s="68"/>
      <c r="K1703" s="68"/>
      <c r="L1703" s="68"/>
      <c r="M1703" s="68"/>
      <c r="N1703" s="62"/>
      <c r="O1703" s="68"/>
      <c r="P1703" s="42" t="str">
        <f>+IF(O1703="","",IFERROR(VLOOKUP(O1703,CODIGO_DIAGNOSTICO,2,0),"CÓDIGO NO ENCONTRADO"))</f>
        <v/>
      </c>
      <c r="Q1703" s="68"/>
      <c r="R1703" s="67"/>
      <c r="S1703" s="77"/>
      <c r="T1703" s="76"/>
      <c r="U1703" s="65"/>
      <c r="V1703" s="68"/>
      <c r="W1703" s="70"/>
      <c r="X1703" s="68"/>
      <c r="Y1703" s="70"/>
      <c r="Z1703" s="72"/>
    </row>
    <row r="1704" spans="1:26" ht="15.75" hidden="1" customHeight="1" x14ac:dyDescent="0.25">
      <c r="A1704" s="64"/>
      <c r="B1704" s="62"/>
      <c r="C1704" s="62"/>
      <c r="D1704" s="62"/>
      <c r="E1704" s="62"/>
      <c r="F1704" s="62"/>
      <c r="G1704" s="81"/>
      <c r="H1704" s="63"/>
      <c r="I1704" s="63"/>
      <c r="J1704" s="62"/>
      <c r="K1704" s="62"/>
      <c r="L1704" s="62"/>
      <c r="M1704" s="62"/>
      <c r="N1704" s="62"/>
      <c r="O1704" s="62"/>
      <c r="P1704" s="42" t="str">
        <f>+IF(O1704="","",IFERROR(VLOOKUP(O1704,CODIGO_DIAGNOSTICO,2,0),"CÓDIGO NO ENCONTRADO"))</f>
        <v/>
      </c>
      <c r="Q1704" s="62"/>
      <c r="R1704" s="64"/>
      <c r="S1704" s="75"/>
      <c r="T1704" s="75"/>
      <c r="U1704" s="65"/>
      <c r="V1704" s="62"/>
      <c r="W1704" s="65"/>
      <c r="X1704" s="62"/>
      <c r="Y1704" s="65"/>
      <c r="Z1704" s="73"/>
    </row>
    <row r="1705" spans="1:26" ht="15.75" hidden="1" customHeight="1" x14ac:dyDescent="0.25">
      <c r="A1705" s="67"/>
      <c r="B1705" s="68"/>
      <c r="C1705" s="68"/>
      <c r="D1705" s="68"/>
      <c r="E1705" s="68"/>
      <c r="F1705" s="68"/>
      <c r="G1705" s="81"/>
      <c r="H1705" s="69"/>
      <c r="I1705" s="69"/>
      <c r="J1705" s="68"/>
      <c r="K1705" s="68"/>
      <c r="L1705" s="68"/>
      <c r="M1705" s="68"/>
      <c r="N1705" s="62"/>
      <c r="O1705" s="68"/>
      <c r="P1705" s="42" t="str">
        <f>+IF(O1705="","",IFERROR(VLOOKUP(O1705,CODIGO_DIAGNOSTICO,2,0),"CÓDIGO NO ENCONTRADO"))</f>
        <v/>
      </c>
      <c r="Q1705" s="68"/>
      <c r="R1705" s="67"/>
      <c r="S1705" s="77"/>
      <c r="T1705" s="76"/>
      <c r="U1705" s="65"/>
      <c r="V1705" s="68"/>
      <c r="W1705" s="70"/>
      <c r="X1705" s="68"/>
      <c r="Y1705" s="70"/>
      <c r="Z1705" s="72"/>
    </row>
    <row r="1706" spans="1:26" ht="15.75" hidden="1" customHeight="1" x14ac:dyDescent="0.25">
      <c r="A1706" s="64"/>
      <c r="B1706" s="62"/>
      <c r="C1706" s="62"/>
      <c r="D1706" s="62"/>
      <c r="E1706" s="62"/>
      <c r="F1706" s="62"/>
      <c r="G1706" s="81"/>
      <c r="H1706" s="63"/>
      <c r="I1706" s="63"/>
      <c r="J1706" s="62"/>
      <c r="K1706" s="62"/>
      <c r="L1706" s="62"/>
      <c r="M1706" s="62"/>
      <c r="N1706" s="62"/>
      <c r="O1706" s="62"/>
      <c r="P1706" s="42" t="str">
        <f>+IF(O1706="","",IFERROR(VLOOKUP(O1706,CODIGO_DIAGNOSTICO,2,0),"CÓDIGO NO ENCONTRADO"))</f>
        <v/>
      </c>
      <c r="Q1706" s="62"/>
      <c r="R1706" s="64"/>
      <c r="S1706" s="75"/>
      <c r="T1706" s="75"/>
      <c r="U1706" s="65"/>
      <c r="V1706" s="62"/>
      <c r="W1706" s="65"/>
      <c r="X1706" s="62"/>
      <c r="Y1706" s="65"/>
      <c r="Z1706" s="73"/>
    </row>
    <row r="1707" spans="1:26" ht="15.75" hidden="1" customHeight="1" x14ac:dyDescent="0.25">
      <c r="A1707" s="67"/>
      <c r="B1707" s="68"/>
      <c r="C1707" s="68"/>
      <c r="D1707" s="68"/>
      <c r="E1707" s="68"/>
      <c r="F1707" s="68"/>
      <c r="G1707" s="81"/>
      <c r="H1707" s="69"/>
      <c r="I1707" s="69"/>
      <c r="J1707" s="68"/>
      <c r="K1707" s="68"/>
      <c r="L1707" s="68"/>
      <c r="M1707" s="68"/>
      <c r="N1707" s="62"/>
      <c r="O1707" s="68"/>
      <c r="P1707" s="42" t="str">
        <f>+IF(O1707="","",IFERROR(VLOOKUP(O1707,CODIGO_DIAGNOSTICO,2,0),"CÓDIGO NO ENCONTRADO"))</f>
        <v/>
      </c>
      <c r="Q1707" s="68"/>
      <c r="R1707" s="67"/>
      <c r="S1707" s="77"/>
      <c r="T1707" s="76"/>
      <c r="U1707" s="65"/>
      <c r="V1707" s="68"/>
      <c r="W1707" s="70"/>
      <c r="X1707" s="68"/>
      <c r="Y1707" s="70"/>
      <c r="Z1707" s="72"/>
    </row>
    <row r="1708" spans="1:26" ht="15.75" hidden="1" customHeight="1" x14ac:dyDescent="0.25">
      <c r="A1708" s="64"/>
      <c r="B1708" s="62"/>
      <c r="C1708" s="62"/>
      <c r="D1708" s="62"/>
      <c r="E1708" s="62"/>
      <c r="F1708" s="62"/>
      <c r="G1708" s="81"/>
      <c r="H1708" s="63"/>
      <c r="I1708" s="63"/>
      <c r="J1708" s="62"/>
      <c r="K1708" s="62"/>
      <c r="L1708" s="62"/>
      <c r="M1708" s="62"/>
      <c r="N1708" s="62"/>
      <c r="O1708" s="62"/>
      <c r="P1708" s="42" t="str">
        <f>+IF(O1708="","",IFERROR(VLOOKUP(O1708,CODIGO_DIAGNOSTICO,2,0),"CÓDIGO NO ENCONTRADO"))</f>
        <v/>
      </c>
      <c r="Q1708" s="62"/>
      <c r="R1708" s="64"/>
      <c r="S1708" s="75"/>
      <c r="T1708" s="75"/>
      <c r="U1708" s="65"/>
      <c r="V1708" s="62"/>
      <c r="W1708" s="65"/>
      <c r="X1708" s="62"/>
      <c r="Y1708" s="65"/>
      <c r="Z1708" s="73"/>
    </row>
    <row r="1709" spans="1:26" ht="15.75" hidden="1" customHeight="1" x14ac:dyDescent="0.25">
      <c r="A1709" s="67"/>
      <c r="B1709" s="68"/>
      <c r="C1709" s="68"/>
      <c r="D1709" s="68"/>
      <c r="E1709" s="68"/>
      <c r="F1709" s="68"/>
      <c r="G1709" s="81"/>
      <c r="H1709" s="69"/>
      <c r="I1709" s="69"/>
      <c r="J1709" s="68"/>
      <c r="K1709" s="68"/>
      <c r="L1709" s="68"/>
      <c r="M1709" s="68"/>
      <c r="N1709" s="62"/>
      <c r="O1709" s="68"/>
      <c r="P1709" s="42" t="str">
        <f>+IF(O1709="","",IFERROR(VLOOKUP(O1709,CODIGO_DIAGNOSTICO,2,0),"CÓDIGO NO ENCONTRADO"))</f>
        <v/>
      </c>
      <c r="Q1709" s="68"/>
      <c r="R1709" s="67"/>
      <c r="S1709" s="77"/>
      <c r="T1709" s="76"/>
      <c r="U1709" s="65"/>
      <c r="V1709" s="68"/>
      <c r="W1709" s="70"/>
      <c r="X1709" s="68"/>
      <c r="Y1709" s="70"/>
      <c r="Z1709" s="72"/>
    </row>
    <row r="1710" spans="1:26" ht="15.75" hidden="1" customHeight="1" x14ac:dyDescent="0.25">
      <c r="A1710" s="64"/>
      <c r="B1710" s="62"/>
      <c r="C1710" s="62"/>
      <c r="D1710" s="62"/>
      <c r="E1710" s="62"/>
      <c r="F1710" s="62"/>
      <c r="G1710" s="81"/>
      <c r="H1710" s="63"/>
      <c r="I1710" s="63"/>
      <c r="J1710" s="62"/>
      <c r="K1710" s="62"/>
      <c r="L1710" s="62"/>
      <c r="M1710" s="62"/>
      <c r="N1710" s="62"/>
      <c r="O1710" s="62"/>
      <c r="P1710" s="42" t="str">
        <f>+IF(O1710="","",IFERROR(VLOOKUP(O1710,CODIGO_DIAGNOSTICO,2,0),"CÓDIGO NO ENCONTRADO"))</f>
        <v/>
      </c>
      <c r="Q1710" s="62"/>
      <c r="R1710" s="64"/>
      <c r="S1710" s="75"/>
      <c r="T1710" s="75"/>
      <c r="U1710" s="65"/>
      <c r="V1710" s="62"/>
      <c r="W1710" s="65"/>
      <c r="X1710" s="62"/>
      <c r="Y1710" s="65"/>
      <c r="Z1710" s="73"/>
    </row>
    <row r="1711" spans="1:26" ht="15.75" hidden="1" customHeight="1" x14ac:dyDescent="0.25">
      <c r="A1711" s="67"/>
      <c r="B1711" s="68"/>
      <c r="C1711" s="68"/>
      <c r="D1711" s="68"/>
      <c r="E1711" s="68"/>
      <c r="F1711" s="68"/>
      <c r="G1711" s="81"/>
      <c r="H1711" s="69"/>
      <c r="I1711" s="69"/>
      <c r="J1711" s="68"/>
      <c r="K1711" s="68"/>
      <c r="L1711" s="68"/>
      <c r="M1711" s="68"/>
      <c r="N1711" s="62"/>
      <c r="O1711" s="68"/>
      <c r="P1711" s="42" t="str">
        <f>+IF(O1711="","",IFERROR(VLOOKUP(O1711,CODIGO_DIAGNOSTICO,2,0),"CÓDIGO NO ENCONTRADO"))</f>
        <v/>
      </c>
      <c r="Q1711" s="68"/>
      <c r="R1711" s="67"/>
      <c r="S1711" s="77"/>
      <c r="T1711" s="76"/>
      <c r="U1711" s="65"/>
      <c r="V1711" s="68"/>
      <c r="W1711" s="70"/>
      <c r="X1711" s="68"/>
      <c r="Y1711" s="70"/>
      <c r="Z1711" s="72"/>
    </row>
    <row r="1712" spans="1:26" ht="15.75" hidden="1" customHeight="1" x14ac:dyDescent="0.25">
      <c r="A1712" s="64"/>
      <c r="B1712" s="62"/>
      <c r="C1712" s="62"/>
      <c r="D1712" s="62"/>
      <c r="E1712" s="62"/>
      <c r="F1712" s="62"/>
      <c r="G1712" s="81"/>
      <c r="H1712" s="63"/>
      <c r="I1712" s="63"/>
      <c r="J1712" s="62"/>
      <c r="K1712" s="62"/>
      <c r="L1712" s="62"/>
      <c r="M1712" s="62"/>
      <c r="N1712" s="62"/>
      <c r="O1712" s="62"/>
      <c r="P1712" s="42" t="str">
        <f>+IF(O1712="","",IFERROR(VLOOKUP(O1712,CODIGO_DIAGNOSTICO,2,0),"CÓDIGO NO ENCONTRADO"))</f>
        <v/>
      </c>
      <c r="Q1712" s="62"/>
      <c r="R1712" s="64"/>
      <c r="S1712" s="75"/>
      <c r="T1712" s="75"/>
      <c r="U1712" s="65"/>
      <c r="V1712" s="62"/>
      <c r="W1712" s="65"/>
      <c r="X1712" s="62"/>
      <c r="Y1712" s="65"/>
      <c r="Z1712" s="73"/>
    </row>
    <row r="1713" spans="1:26" ht="15.75" hidden="1" customHeight="1" x14ac:dyDescent="0.25">
      <c r="A1713" s="67"/>
      <c r="B1713" s="68"/>
      <c r="C1713" s="68"/>
      <c r="D1713" s="68"/>
      <c r="E1713" s="68"/>
      <c r="F1713" s="68"/>
      <c r="G1713" s="81"/>
      <c r="H1713" s="69"/>
      <c r="I1713" s="69"/>
      <c r="J1713" s="68"/>
      <c r="K1713" s="68"/>
      <c r="L1713" s="68"/>
      <c r="M1713" s="68"/>
      <c r="N1713" s="62"/>
      <c r="O1713" s="68"/>
      <c r="P1713" s="42" t="str">
        <f>+IF(O1713="","",IFERROR(VLOOKUP(O1713,CODIGO_DIAGNOSTICO,2,0),"CÓDIGO NO ENCONTRADO"))</f>
        <v/>
      </c>
      <c r="Q1713" s="68"/>
      <c r="R1713" s="67"/>
      <c r="S1713" s="77"/>
      <c r="T1713" s="76"/>
      <c r="U1713" s="65"/>
      <c r="V1713" s="68"/>
      <c r="W1713" s="70"/>
      <c r="X1713" s="68"/>
      <c r="Y1713" s="70"/>
      <c r="Z1713" s="72"/>
    </row>
    <row r="1714" spans="1:26" ht="15.75" hidden="1" customHeight="1" x14ac:dyDescent="0.25">
      <c r="A1714" s="64"/>
      <c r="B1714" s="62"/>
      <c r="C1714" s="62"/>
      <c r="D1714" s="62"/>
      <c r="E1714" s="62"/>
      <c r="F1714" s="62"/>
      <c r="G1714" s="81"/>
      <c r="H1714" s="63"/>
      <c r="I1714" s="63"/>
      <c r="J1714" s="62"/>
      <c r="K1714" s="62"/>
      <c r="L1714" s="62"/>
      <c r="M1714" s="62"/>
      <c r="N1714" s="62"/>
      <c r="O1714" s="62"/>
      <c r="P1714" s="42" t="str">
        <f>+IF(O1714="","",IFERROR(VLOOKUP(O1714,CODIGO_DIAGNOSTICO,2,0),"CÓDIGO NO ENCONTRADO"))</f>
        <v/>
      </c>
      <c r="Q1714" s="62"/>
      <c r="R1714" s="64"/>
      <c r="S1714" s="75"/>
      <c r="T1714" s="75"/>
      <c r="U1714" s="65"/>
      <c r="V1714" s="62"/>
      <c r="W1714" s="65"/>
      <c r="X1714" s="62"/>
      <c r="Y1714" s="65"/>
      <c r="Z1714" s="73"/>
    </row>
    <row r="1715" spans="1:26" ht="15.75" hidden="1" customHeight="1" x14ac:dyDescent="0.25">
      <c r="A1715" s="67"/>
      <c r="B1715" s="68"/>
      <c r="C1715" s="68"/>
      <c r="D1715" s="68"/>
      <c r="E1715" s="68"/>
      <c r="F1715" s="68"/>
      <c r="G1715" s="81"/>
      <c r="H1715" s="69"/>
      <c r="I1715" s="69"/>
      <c r="J1715" s="68"/>
      <c r="K1715" s="68"/>
      <c r="L1715" s="68"/>
      <c r="M1715" s="68"/>
      <c r="N1715" s="62"/>
      <c r="O1715" s="68"/>
      <c r="P1715" s="42" t="str">
        <f>+IF(O1715="","",IFERROR(VLOOKUP(O1715,CODIGO_DIAGNOSTICO,2,0),"CÓDIGO NO ENCONTRADO"))</f>
        <v/>
      </c>
      <c r="Q1715" s="68"/>
      <c r="R1715" s="67"/>
      <c r="S1715" s="77"/>
      <c r="T1715" s="76"/>
      <c r="U1715" s="65"/>
      <c r="V1715" s="68"/>
      <c r="W1715" s="70"/>
      <c r="X1715" s="68"/>
      <c r="Y1715" s="70"/>
      <c r="Z1715" s="72"/>
    </row>
    <row r="1716" spans="1:26" ht="15.75" hidden="1" customHeight="1" x14ac:dyDescent="0.25">
      <c r="A1716" s="64"/>
      <c r="B1716" s="62"/>
      <c r="C1716" s="62"/>
      <c r="D1716" s="62"/>
      <c r="E1716" s="62"/>
      <c r="F1716" s="62"/>
      <c r="G1716" s="81"/>
      <c r="H1716" s="63"/>
      <c r="I1716" s="63"/>
      <c r="J1716" s="62"/>
      <c r="K1716" s="62"/>
      <c r="L1716" s="62"/>
      <c r="M1716" s="62"/>
      <c r="N1716" s="62"/>
      <c r="O1716" s="62"/>
      <c r="P1716" s="42" t="str">
        <f>+IF(O1716="","",IFERROR(VLOOKUP(O1716,CODIGO_DIAGNOSTICO,2,0),"CÓDIGO NO ENCONTRADO"))</f>
        <v/>
      </c>
      <c r="Q1716" s="62"/>
      <c r="R1716" s="64"/>
      <c r="S1716" s="75"/>
      <c r="T1716" s="75"/>
      <c r="U1716" s="65"/>
      <c r="V1716" s="62"/>
      <c r="W1716" s="65"/>
      <c r="X1716" s="62"/>
      <c r="Y1716" s="65"/>
      <c r="Z1716" s="73"/>
    </row>
    <row r="1717" spans="1:26" ht="15.75" hidden="1" customHeight="1" x14ac:dyDescent="0.25">
      <c r="A1717" s="67"/>
      <c r="B1717" s="68"/>
      <c r="C1717" s="68"/>
      <c r="D1717" s="68"/>
      <c r="E1717" s="68"/>
      <c r="F1717" s="68"/>
      <c r="G1717" s="81"/>
      <c r="H1717" s="69"/>
      <c r="I1717" s="69"/>
      <c r="J1717" s="68"/>
      <c r="K1717" s="68"/>
      <c r="L1717" s="68"/>
      <c r="M1717" s="68"/>
      <c r="N1717" s="62"/>
      <c r="O1717" s="68"/>
      <c r="P1717" s="42" t="str">
        <f>+IF(O1717="","",IFERROR(VLOOKUP(O1717,CODIGO_DIAGNOSTICO,2,0),"CÓDIGO NO ENCONTRADO"))</f>
        <v/>
      </c>
      <c r="Q1717" s="68"/>
      <c r="R1717" s="67"/>
      <c r="S1717" s="77"/>
      <c r="T1717" s="76"/>
      <c r="U1717" s="65"/>
      <c r="V1717" s="68"/>
      <c r="W1717" s="70"/>
      <c r="X1717" s="68"/>
      <c r="Y1717" s="70"/>
      <c r="Z1717" s="72"/>
    </row>
    <row r="1718" spans="1:26" ht="15.75" hidden="1" customHeight="1" x14ac:dyDescent="0.25">
      <c r="A1718" s="64"/>
      <c r="B1718" s="62"/>
      <c r="C1718" s="62"/>
      <c r="D1718" s="62"/>
      <c r="E1718" s="62"/>
      <c r="F1718" s="62"/>
      <c r="G1718" s="81"/>
      <c r="H1718" s="63"/>
      <c r="I1718" s="63"/>
      <c r="J1718" s="62"/>
      <c r="K1718" s="62"/>
      <c r="L1718" s="62"/>
      <c r="M1718" s="62"/>
      <c r="N1718" s="62"/>
      <c r="O1718" s="62"/>
      <c r="P1718" s="42" t="str">
        <f>+IF(O1718="","",IFERROR(VLOOKUP(O1718,CODIGO_DIAGNOSTICO,2,0),"CÓDIGO NO ENCONTRADO"))</f>
        <v/>
      </c>
      <c r="Q1718" s="62"/>
      <c r="R1718" s="64"/>
      <c r="S1718" s="75"/>
      <c r="T1718" s="75"/>
      <c r="U1718" s="65"/>
      <c r="V1718" s="62"/>
      <c r="W1718" s="65"/>
      <c r="X1718" s="62"/>
      <c r="Y1718" s="65"/>
      <c r="Z1718" s="73"/>
    </row>
    <row r="1719" spans="1:26" ht="15.75" hidden="1" customHeight="1" x14ac:dyDescent="0.25">
      <c r="A1719" s="67"/>
      <c r="B1719" s="68"/>
      <c r="C1719" s="68"/>
      <c r="D1719" s="68"/>
      <c r="E1719" s="68"/>
      <c r="F1719" s="68"/>
      <c r="G1719" s="81"/>
      <c r="H1719" s="69"/>
      <c r="I1719" s="69"/>
      <c r="J1719" s="68"/>
      <c r="K1719" s="68"/>
      <c r="L1719" s="68"/>
      <c r="M1719" s="68"/>
      <c r="N1719" s="62"/>
      <c r="O1719" s="68"/>
      <c r="P1719" s="42" t="str">
        <f>+IF(O1719="","",IFERROR(VLOOKUP(O1719,CODIGO_DIAGNOSTICO,2,0),"CÓDIGO NO ENCONTRADO"))</f>
        <v/>
      </c>
      <c r="Q1719" s="68"/>
      <c r="R1719" s="67"/>
      <c r="S1719" s="77"/>
      <c r="T1719" s="76"/>
      <c r="U1719" s="65"/>
      <c r="V1719" s="68"/>
      <c r="W1719" s="70"/>
      <c r="X1719" s="68"/>
      <c r="Y1719" s="70"/>
      <c r="Z1719" s="72"/>
    </row>
    <row r="1720" spans="1:26" ht="15.75" hidden="1" customHeight="1" x14ac:dyDescent="0.25">
      <c r="A1720" s="64"/>
      <c r="B1720" s="62"/>
      <c r="C1720" s="62"/>
      <c r="D1720" s="62"/>
      <c r="E1720" s="62"/>
      <c r="F1720" s="62"/>
      <c r="G1720" s="81"/>
      <c r="H1720" s="63"/>
      <c r="I1720" s="63"/>
      <c r="J1720" s="62"/>
      <c r="K1720" s="62"/>
      <c r="L1720" s="62"/>
      <c r="M1720" s="62"/>
      <c r="N1720" s="62"/>
      <c r="O1720" s="62"/>
      <c r="P1720" s="42" t="str">
        <f>+IF(O1720="","",IFERROR(VLOOKUP(O1720,CODIGO_DIAGNOSTICO,2,0),"CÓDIGO NO ENCONTRADO"))</f>
        <v/>
      </c>
      <c r="Q1720" s="62"/>
      <c r="R1720" s="64"/>
      <c r="S1720" s="75"/>
      <c r="T1720" s="75"/>
      <c r="U1720" s="65"/>
      <c r="V1720" s="62"/>
      <c r="W1720" s="65"/>
      <c r="X1720" s="62"/>
      <c r="Y1720" s="65"/>
      <c r="Z1720" s="73"/>
    </row>
    <row r="1721" spans="1:26" ht="15.75" hidden="1" customHeight="1" x14ac:dyDescent="0.25">
      <c r="A1721" s="67"/>
      <c r="B1721" s="68"/>
      <c r="C1721" s="68"/>
      <c r="D1721" s="68"/>
      <c r="E1721" s="68"/>
      <c r="F1721" s="68"/>
      <c r="G1721" s="81"/>
      <c r="H1721" s="69"/>
      <c r="I1721" s="69"/>
      <c r="J1721" s="68"/>
      <c r="K1721" s="68"/>
      <c r="L1721" s="68"/>
      <c r="M1721" s="68"/>
      <c r="N1721" s="62"/>
      <c r="O1721" s="68"/>
      <c r="P1721" s="42" t="str">
        <f>+IF(O1721="","",IFERROR(VLOOKUP(O1721,CODIGO_DIAGNOSTICO,2,0),"CÓDIGO NO ENCONTRADO"))</f>
        <v/>
      </c>
      <c r="Q1721" s="68"/>
      <c r="R1721" s="67"/>
      <c r="S1721" s="77"/>
      <c r="T1721" s="76"/>
      <c r="U1721" s="65"/>
      <c r="V1721" s="68"/>
      <c r="W1721" s="70"/>
      <c r="X1721" s="68"/>
      <c r="Y1721" s="70"/>
      <c r="Z1721" s="72"/>
    </row>
    <row r="1722" spans="1:26" ht="15.75" hidden="1" customHeight="1" x14ac:dyDescent="0.25">
      <c r="A1722" s="64"/>
      <c r="B1722" s="62"/>
      <c r="C1722" s="62"/>
      <c r="D1722" s="62"/>
      <c r="E1722" s="62"/>
      <c r="F1722" s="62"/>
      <c r="G1722" s="81"/>
      <c r="H1722" s="63"/>
      <c r="I1722" s="63"/>
      <c r="J1722" s="62"/>
      <c r="K1722" s="62"/>
      <c r="L1722" s="62"/>
      <c r="M1722" s="62"/>
      <c r="N1722" s="62"/>
      <c r="O1722" s="62"/>
      <c r="P1722" s="42" t="str">
        <f>+IF(O1722="","",IFERROR(VLOOKUP(O1722,CODIGO_DIAGNOSTICO,2,0),"CÓDIGO NO ENCONTRADO"))</f>
        <v/>
      </c>
      <c r="Q1722" s="62"/>
      <c r="R1722" s="64"/>
      <c r="S1722" s="75"/>
      <c r="T1722" s="75"/>
      <c r="U1722" s="65"/>
      <c r="V1722" s="62"/>
      <c r="W1722" s="65"/>
      <c r="X1722" s="62"/>
      <c r="Y1722" s="65"/>
      <c r="Z1722" s="73"/>
    </row>
    <row r="1723" spans="1:26" ht="15.75" hidden="1" customHeight="1" x14ac:dyDescent="0.25">
      <c r="A1723" s="67"/>
      <c r="B1723" s="68"/>
      <c r="C1723" s="68"/>
      <c r="D1723" s="68"/>
      <c r="E1723" s="68"/>
      <c r="F1723" s="68"/>
      <c r="G1723" s="81"/>
      <c r="H1723" s="69"/>
      <c r="I1723" s="69"/>
      <c r="J1723" s="68"/>
      <c r="K1723" s="68"/>
      <c r="L1723" s="68"/>
      <c r="M1723" s="68"/>
      <c r="N1723" s="62"/>
      <c r="O1723" s="68"/>
      <c r="P1723" s="42" t="str">
        <f>+IF(O1723="","",IFERROR(VLOOKUP(O1723,CODIGO_DIAGNOSTICO,2,0),"CÓDIGO NO ENCONTRADO"))</f>
        <v/>
      </c>
      <c r="Q1723" s="68"/>
      <c r="R1723" s="67"/>
      <c r="S1723" s="77"/>
      <c r="T1723" s="76"/>
      <c r="U1723" s="65"/>
      <c r="V1723" s="68"/>
      <c r="W1723" s="70"/>
      <c r="X1723" s="68"/>
      <c r="Y1723" s="70"/>
      <c r="Z1723" s="72"/>
    </row>
    <row r="1724" spans="1:26" ht="15.75" hidden="1" customHeight="1" x14ac:dyDescent="0.25">
      <c r="A1724" s="64"/>
      <c r="B1724" s="62"/>
      <c r="C1724" s="62"/>
      <c r="D1724" s="62"/>
      <c r="E1724" s="62"/>
      <c r="F1724" s="62"/>
      <c r="G1724" s="81"/>
      <c r="H1724" s="63"/>
      <c r="I1724" s="63"/>
      <c r="J1724" s="62"/>
      <c r="K1724" s="62"/>
      <c r="L1724" s="62"/>
      <c r="M1724" s="62"/>
      <c r="N1724" s="62"/>
      <c r="O1724" s="62"/>
      <c r="P1724" s="42" t="str">
        <f>+IF(O1724="","",IFERROR(VLOOKUP(O1724,CODIGO_DIAGNOSTICO,2,0),"CÓDIGO NO ENCONTRADO"))</f>
        <v/>
      </c>
      <c r="Q1724" s="62"/>
      <c r="R1724" s="64"/>
      <c r="S1724" s="75"/>
      <c r="T1724" s="75"/>
      <c r="U1724" s="65"/>
      <c r="V1724" s="62"/>
      <c r="W1724" s="65"/>
      <c r="X1724" s="62"/>
      <c r="Y1724" s="65"/>
      <c r="Z1724" s="73"/>
    </row>
    <row r="1725" spans="1:26" ht="15.75" hidden="1" customHeight="1" x14ac:dyDescent="0.25">
      <c r="A1725" s="67"/>
      <c r="B1725" s="68"/>
      <c r="C1725" s="68"/>
      <c r="D1725" s="68"/>
      <c r="E1725" s="68"/>
      <c r="F1725" s="68"/>
      <c r="G1725" s="81"/>
      <c r="H1725" s="69"/>
      <c r="I1725" s="69"/>
      <c r="J1725" s="68"/>
      <c r="K1725" s="68"/>
      <c r="L1725" s="68"/>
      <c r="M1725" s="68"/>
      <c r="N1725" s="62"/>
      <c r="O1725" s="68"/>
      <c r="P1725" s="42" t="str">
        <f>+IF(O1725="","",IFERROR(VLOOKUP(O1725,CODIGO_DIAGNOSTICO,2,0),"CÓDIGO NO ENCONTRADO"))</f>
        <v/>
      </c>
      <c r="Q1725" s="68"/>
      <c r="R1725" s="67"/>
      <c r="S1725" s="77"/>
      <c r="T1725" s="76"/>
      <c r="U1725" s="65"/>
      <c r="V1725" s="68"/>
      <c r="W1725" s="70"/>
      <c r="X1725" s="68"/>
      <c r="Y1725" s="70"/>
      <c r="Z1725" s="72"/>
    </row>
    <row r="1726" spans="1:26" ht="15.75" hidden="1" customHeight="1" x14ac:dyDescent="0.25">
      <c r="A1726" s="64"/>
      <c r="B1726" s="62"/>
      <c r="C1726" s="62"/>
      <c r="D1726" s="62"/>
      <c r="E1726" s="62"/>
      <c r="F1726" s="62"/>
      <c r="G1726" s="81"/>
      <c r="H1726" s="63"/>
      <c r="I1726" s="63"/>
      <c r="J1726" s="62"/>
      <c r="K1726" s="62"/>
      <c r="L1726" s="62"/>
      <c r="M1726" s="62"/>
      <c r="N1726" s="62"/>
      <c r="O1726" s="62"/>
      <c r="P1726" s="42" t="str">
        <f>+IF(O1726="","",IFERROR(VLOOKUP(O1726,CODIGO_DIAGNOSTICO,2,0),"CÓDIGO NO ENCONTRADO"))</f>
        <v/>
      </c>
      <c r="Q1726" s="62"/>
      <c r="R1726" s="64"/>
      <c r="S1726" s="75"/>
      <c r="T1726" s="75"/>
      <c r="U1726" s="65"/>
      <c r="V1726" s="62"/>
      <c r="W1726" s="65"/>
      <c r="X1726" s="62"/>
      <c r="Y1726" s="65"/>
      <c r="Z1726" s="73"/>
    </row>
    <row r="1727" spans="1:26" ht="15.75" hidden="1" customHeight="1" x14ac:dyDescent="0.25">
      <c r="A1727" s="67"/>
      <c r="B1727" s="68"/>
      <c r="C1727" s="68"/>
      <c r="D1727" s="68"/>
      <c r="E1727" s="68"/>
      <c r="F1727" s="68"/>
      <c r="G1727" s="81"/>
      <c r="H1727" s="69"/>
      <c r="I1727" s="69"/>
      <c r="J1727" s="68"/>
      <c r="K1727" s="68"/>
      <c r="L1727" s="68"/>
      <c r="M1727" s="68"/>
      <c r="N1727" s="62"/>
      <c r="O1727" s="68"/>
      <c r="P1727" s="42" t="str">
        <f>+IF(O1727="","",IFERROR(VLOOKUP(O1727,CODIGO_DIAGNOSTICO,2,0),"CÓDIGO NO ENCONTRADO"))</f>
        <v/>
      </c>
      <c r="Q1727" s="68"/>
      <c r="R1727" s="67"/>
      <c r="S1727" s="77"/>
      <c r="T1727" s="76"/>
      <c r="U1727" s="65"/>
      <c r="V1727" s="68"/>
      <c r="W1727" s="70"/>
      <c r="X1727" s="68"/>
      <c r="Y1727" s="70"/>
      <c r="Z1727" s="72"/>
    </row>
    <row r="1728" spans="1:26" ht="15.75" hidden="1" customHeight="1" x14ac:dyDescent="0.25">
      <c r="A1728" s="64"/>
      <c r="B1728" s="62"/>
      <c r="C1728" s="62"/>
      <c r="D1728" s="62"/>
      <c r="E1728" s="62"/>
      <c r="F1728" s="62"/>
      <c r="G1728" s="81"/>
      <c r="H1728" s="63"/>
      <c r="I1728" s="63"/>
      <c r="J1728" s="62"/>
      <c r="K1728" s="62"/>
      <c r="L1728" s="62"/>
      <c r="M1728" s="62"/>
      <c r="N1728" s="62"/>
      <c r="O1728" s="62"/>
      <c r="P1728" s="42" t="str">
        <f>+IF(O1728="","",IFERROR(VLOOKUP(O1728,CODIGO_DIAGNOSTICO,2,0),"CÓDIGO NO ENCONTRADO"))</f>
        <v/>
      </c>
      <c r="Q1728" s="62"/>
      <c r="R1728" s="64"/>
      <c r="S1728" s="75"/>
      <c r="T1728" s="75"/>
      <c r="U1728" s="65"/>
      <c r="V1728" s="62"/>
      <c r="W1728" s="65"/>
      <c r="X1728" s="62"/>
      <c r="Y1728" s="65"/>
      <c r="Z1728" s="73"/>
    </row>
    <row r="1729" spans="1:26" ht="15.75" hidden="1" customHeight="1" x14ac:dyDescent="0.25">
      <c r="A1729" s="67"/>
      <c r="B1729" s="68"/>
      <c r="C1729" s="68"/>
      <c r="D1729" s="68"/>
      <c r="E1729" s="68"/>
      <c r="F1729" s="68"/>
      <c r="G1729" s="81"/>
      <c r="H1729" s="69"/>
      <c r="I1729" s="69"/>
      <c r="J1729" s="68"/>
      <c r="K1729" s="68"/>
      <c r="L1729" s="68"/>
      <c r="M1729" s="68"/>
      <c r="N1729" s="62"/>
      <c r="O1729" s="68"/>
      <c r="P1729" s="42" t="str">
        <f>+IF(O1729="","",IFERROR(VLOOKUP(O1729,CODIGO_DIAGNOSTICO,2,0),"CÓDIGO NO ENCONTRADO"))</f>
        <v/>
      </c>
      <c r="Q1729" s="68"/>
      <c r="R1729" s="67"/>
      <c r="S1729" s="77"/>
      <c r="T1729" s="76"/>
      <c r="U1729" s="65"/>
      <c r="V1729" s="68"/>
      <c r="W1729" s="70"/>
      <c r="X1729" s="68"/>
      <c r="Y1729" s="70"/>
      <c r="Z1729" s="72"/>
    </row>
    <row r="1730" spans="1:26" ht="15.75" hidden="1" customHeight="1" x14ac:dyDescent="0.25">
      <c r="A1730" s="64"/>
      <c r="B1730" s="62"/>
      <c r="C1730" s="62"/>
      <c r="D1730" s="62"/>
      <c r="E1730" s="62"/>
      <c r="F1730" s="62"/>
      <c r="G1730" s="81"/>
      <c r="H1730" s="63"/>
      <c r="I1730" s="63"/>
      <c r="J1730" s="62"/>
      <c r="K1730" s="62"/>
      <c r="L1730" s="62"/>
      <c r="M1730" s="62"/>
      <c r="N1730" s="62"/>
      <c r="O1730" s="62"/>
      <c r="P1730" s="42" t="str">
        <f>+IF(O1730="","",IFERROR(VLOOKUP(O1730,CODIGO_DIAGNOSTICO,2,0),"CÓDIGO NO ENCONTRADO"))</f>
        <v/>
      </c>
      <c r="Q1730" s="62"/>
      <c r="R1730" s="64"/>
      <c r="S1730" s="75"/>
      <c r="T1730" s="75"/>
      <c r="U1730" s="65"/>
      <c r="V1730" s="62"/>
      <c r="W1730" s="65"/>
      <c r="X1730" s="62"/>
      <c r="Y1730" s="65"/>
      <c r="Z1730" s="73"/>
    </row>
    <row r="1731" spans="1:26" ht="15.75" hidden="1" customHeight="1" x14ac:dyDescent="0.25">
      <c r="A1731" s="67"/>
      <c r="B1731" s="68"/>
      <c r="C1731" s="68"/>
      <c r="D1731" s="68"/>
      <c r="E1731" s="68"/>
      <c r="F1731" s="68"/>
      <c r="G1731" s="81"/>
      <c r="H1731" s="69"/>
      <c r="I1731" s="69"/>
      <c r="J1731" s="68"/>
      <c r="K1731" s="68"/>
      <c r="L1731" s="68"/>
      <c r="M1731" s="68"/>
      <c r="N1731" s="62"/>
      <c r="O1731" s="68"/>
      <c r="P1731" s="42" t="str">
        <f>+IF(O1731="","",IFERROR(VLOOKUP(O1731,CODIGO_DIAGNOSTICO,2,0),"CÓDIGO NO ENCONTRADO"))</f>
        <v/>
      </c>
      <c r="Q1731" s="68"/>
      <c r="R1731" s="67"/>
      <c r="S1731" s="77"/>
      <c r="T1731" s="76"/>
      <c r="U1731" s="65"/>
      <c r="V1731" s="68"/>
      <c r="W1731" s="70"/>
      <c r="X1731" s="68"/>
      <c r="Y1731" s="70"/>
      <c r="Z1731" s="72"/>
    </row>
    <row r="1732" spans="1:26" ht="15.75" hidden="1" customHeight="1" x14ac:dyDescent="0.25">
      <c r="A1732" s="64"/>
      <c r="B1732" s="62"/>
      <c r="C1732" s="62"/>
      <c r="D1732" s="62"/>
      <c r="E1732" s="62"/>
      <c r="F1732" s="62"/>
      <c r="G1732" s="81"/>
      <c r="H1732" s="63"/>
      <c r="I1732" s="63"/>
      <c r="J1732" s="62"/>
      <c r="K1732" s="62"/>
      <c r="L1732" s="62"/>
      <c r="M1732" s="62"/>
      <c r="N1732" s="62"/>
      <c r="O1732" s="62"/>
      <c r="P1732" s="42" t="str">
        <f>+IF(O1732="","",IFERROR(VLOOKUP(O1732,CODIGO_DIAGNOSTICO,2,0),"CÓDIGO NO ENCONTRADO"))</f>
        <v/>
      </c>
      <c r="Q1732" s="62"/>
      <c r="R1732" s="64"/>
      <c r="S1732" s="75"/>
      <c r="T1732" s="75"/>
      <c r="U1732" s="65"/>
      <c r="V1732" s="62"/>
      <c r="W1732" s="65"/>
      <c r="X1732" s="62"/>
      <c r="Y1732" s="65"/>
      <c r="Z1732" s="73"/>
    </row>
    <row r="1733" spans="1:26" ht="15.75" hidden="1" customHeight="1" x14ac:dyDescent="0.25">
      <c r="A1733" s="67"/>
      <c r="B1733" s="68"/>
      <c r="C1733" s="68"/>
      <c r="D1733" s="68"/>
      <c r="E1733" s="68"/>
      <c r="F1733" s="68"/>
      <c r="G1733" s="81"/>
      <c r="H1733" s="69"/>
      <c r="I1733" s="69"/>
      <c r="J1733" s="68"/>
      <c r="K1733" s="68"/>
      <c r="L1733" s="68"/>
      <c r="M1733" s="68"/>
      <c r="N1733" s="62"/>
      <c r="O1733" s="68"/>
      <c r="P1733" s="42" t="str">
        <f>+IF(O1733="","",IFERROR(VLOOKUP(O1733,CODIGO_DIAGNOSTICO,2,0),"CÓDIGO NO ENCONTRADO"))</f>
        <v/>
      </c>
      <c r="Q1733" s="68"/>
      <c r="R1733" s="67"/>
      <c r="S1733" s="77"/>
      <c r="T1733" s="76"/>
      <c r="U1733" s="65"/>
      <c r="V1733" s="68"/>
      <c r="W1733" s="70"/>
      <c r="X1733" s="68"/>
      <c r="Y1733" s="70"/>
      <c r="Z1733" s="72"/>
    </row>
    <row r="1734" spans="1:26" ht="15.75" hidden="1" customHeight="1" x14ac:dyDescent="0.25">
      <c r="A1734" s="64"/>
      <c r="B1734" s="62"/>
      <c r="C1734" s="62"/>
      <c r="D1734" s="62"/>
      <c r="E1734" s="62"/>
      <c r="F1734" s="62"/>
      <c r="G1734" s="81"/>
      <c r="H1734" s="63"/>
      <c r="I1734" s="63"/>
      <c r="J1734" s="62"/>
      <c r="K1734" s="62"/>
      <c r="L1734" s="62"/>
      <c r="M1734" s="62"/>
      <c r="N1734" s="62"/>
      <c r="O1734" s="62"/>
      <c r="P1734" s="42" t="str">
        <f>+IF(O1734="","",IFERROR(VLOOKUP(O1734,CODIGO_DIAGNOSTICO,2,0),"CÓDIGO NO ENCONTRADO"))</f>
        <v/>
      </c>
      <c r="Q1734" s="62"/>
      <c r="R1734" s="64"/>
      <c r="S1734" s="75"/>
      <c r="T1734" s="75"/>
      <c r="U1734" s="65"/>
      <c r="V1734" s="62"/>
      <c r="W1734" s="65"/>
      <c r="X1734" s="62"/>
      <c r="Y1734" s="65"/>
      <c r="Z1734" s="73"/>
    </row>
    <row r="1735" spans="1:26" ht="15.75" hidden="1" customHeight="1" x14ac:dyDescent="0.25">
      <c r="A1735" s="67"/>
      <c r="B1735" s="68"/>
      <c r="C1735" s="68"/>
      <c r="D1735" s="68"/>
      <c r="E1735" s="68"/>
      <c r="F1735" s="68"/>
      <c r="G1735" s="81"/>
      <c r="H1735" s="69"/>
      <c r="I1735" s="69"/>
      <c r="J1735" s="68"/>
      <c r="K1735" s="68"/>
      <c r="L1735" s="68"/>
      <c r="M1735" s="68"/>
      <c r="N1735" s="62"/>
      <c r="O1735" s="68"/>
      <c r="P1735" s="42" t="str">
        <f>+IF(O1735="","",IFERROR(VLOOKUP(O1735,CODIGO_DIAGNOSTICO,2,0),"CÓDIGO NO ENCONTRADO"))</f>
        <v/>
      </c>
      <c r="Q1735" s="68"/>
      <c r="R1735" s="67"/>
      <c r="S1735" s="77"/>
      <c r="T1735" s="76"/>
      <c r="U1735" s="65"/>
      <c r="V1735" s="68"/>
      <c r="W1735" s="70"/>
      <c r="X1735" s="68"/>
      <c r="Y1735" s="70"/>
      <c r="Z1735" s="72"/>
    </row>
    <row r="1736" spans="1:26" ht="15.75" hidden="1" customHeight="1" x14ac:dyDescent="0.25">
      <c r="A1736" s="64"/>
      <c r="B1736" s="62"/>
      <c r="C1736" s="62"/>
      <c r="D1736" s="62"/>
      <c r="E1736" s="62"/>
      <c r="F1736" s="62"/>
      <c r="G1736" s="81"/>
      <c r="H1736" s="63"/>
      <c r="I1736" s="63"/>
      <c r="J1736" s="62"/>
      <c r="K1736" s="62"/>
      <c r="L1736" s="62"/>
      <c r="M1736" s="62"/>
      <c r="N1736" s="62"/>
      <c r="O1736" s="62"/>
      <c r="P1736" s="42" t="str">
        <f>+IF(O1736="","",IFERROR(VLOOKUP(O1736,CODIGO_DIAGNOSTICO,2,0),"CÓDIGO NO ENCONTRADO"))</f>
        <v/>
      </c>
      <c r="Q1736" s="62"/>
      <c r="R1736" s="64"/>
      <c r="S1736" s="75"/>
      <c r="T1736" s="75"/>
      <c r="U1736" s="65"/>
      <c r="V1736" s="62"/>
      <c r="W1736" s="65"/>
      <c r="X1736" s="62"/>
      <c r="Y1736" s="65"/>
      <c r="Z1736" s="73"/>
    </row>
    <row r="1737" spans="1:26" ht="15.75" hidden="1" customHeight="1" x14ac:dyDescent="0.25">
      <c r="A1737" s="67"/>
      <c r="B1737" s="68"/>
      <c r="C1737" s="68"/>
      <c r="D1737" s="68"/>
      <c r="E1737" s="68"/>
      <c r="F1737" s="68"/>
      <c r="G1737" s="81"/>
      <c r="H1737" s="69"/>
      <c r="I1737" s="69"/>
      <c r="J1737" s="68"/>
      <c r="K1737" s="68"/>
      <c r="L1737" s="68"/>
      <c r="M1737" s="68"/>
      <c r="N1737" s="62"/>
      <c r="O1737" s="68"/>
      <c r="P1737" s="42" t="str">
        <f>+IF(O1737="","",IFERROR(VLOOKUP(O1737,CODIGO_DIAGNOSTICO,2,0),"CÓDIGO NO ENCONTRADO"))</f>
        <v/>
      </c>
      <c r="Q1737" s="68"/>
      <c r="R1737" s="67"/>
      <c r="S1737" s="77"/>
      <c r="T1737" s="76"/>
      <c r="U1737" s="65"/>
      <c r="V1737" s="68"/>
      <c r="W1737" s="70"/>
      <c r="X1737" s="68"/>
      <c r="Y1737" s="70"/>
      <c r="Z1737" s="72"/>
    </row>
    <row r="1738" spans="1:26" ht="15.75" hidden="1" customHeight="1" x14ac:dyDescent="0.25">
      <c r="A1738" s="64"/>
      <c r="B1738" s="62"/>
      <c r="C1738" s="62"/>
      <c r="D1738" s="62"/>
      <c r="E1738" s="62"/>
      <c r="F1738" s="62"/>
      <c r="G1738" s="81"/>
      <c r="H1738" s="63"/>
      <c r="I1738" s="63"/>
      <c r="J1738" s="62"/>
      <c r="K1738" s="62"/>
      <c r="L1738" s="62"/>
      <c r="M1738" s="62"/>
      <c r="N1738" s="62"/>
      <c r="O1738" s="62"/>
      <c r="P1738" s="42" t="str">
        <f>+IF(O1738="","",IFERROR(VLOOKUP(O1738,CODIGO_DIAGNOSTICO,2,0),"CÓDIGO NO ENCONTRADO"))</f>
        <v/>
      </c>
      <c r="Q1738" s="62"/>
      <c r="R1738" s="64"/>
      <c r="S1738" s="75"/>
      <c r="T1738" s="75"/>
      <c r="U1738" s="65"/>
      <c r="V1738" s="62"/>
      <c r="W1738" s="65"/>
      <c r="X1738" s="62"/>
      <c r="Y1738" s="65"/>
      <c r="Z1738" s="73"/>
    </row>
    <row r="1739" spans="1:26" ht="15.75" hidden="1" customHeight="1" x14ac:dyDescent="0.25">
      <c r="A1739" s="67"/>
      <c r="B1739" s="68"/>
      <c r="C1739" s="68"/>
      <c r="D1739" s="68"/>
      <c r="E1739" s="68"/>
      <c r="F1739" s="68"/>
      <c r="G1739" s="81"/>
      <c r="H1739" s="69"/>
      <c r="I1739" s="69"/>
      <c r="J1739" s="68"/>
      <c r="K1739" s="68"/>
      <c r="L1739" s="68"/>
      <c r="M1739" s="68"/>
      <c r="N1739" s="62"/>
      <c r="O1739" s="68"/>
      <c r="P1739" s="42" t="str">
        <f>+IF(O1739="","",IFERROR(VLOOKUP(O1739,CODIGO_DIAGNOSTICO,2,0),"CÓDIGO NO ENCONTRADO"))</f>
        <v/>
      </c>
      <c r="Q1739" s="68"/>
      <c r="R1739" s="67"/>
      <c r="S1739" s="77"/>
      <c r="T1739" s="76"/>
      <c r="U1739" s="65"/>
      <c r="V1739" s="68"/>
      <c r="W1739" s="70"/>
      <c r="X1739" s="68"/>
      <c r="Y1739" s="70"/>
      <c r="Z1739" s="72"/>
    </row>
    <row r="1740" spans="1:26" ht="15.75" hidden="1" customHeight="1" x14ac:dyDescent="0.25">
      <c r="A1740" s="64"/>
      <c r="B1740" s="62"/>
      <c r="C1740" s="62"/>
      <c r="D1740" s="62"/>
      <c r="E1740" s="62"/>
      <c r="F1740" s="62"/>
      <c r="G1740" s="81"/>
      <c r="H1740" s="63"/>
      <c r="I1740" s="63"/>
      <c r="J1740" s="62"/>
      <c r="K1740" s="62"/>
      <c r="L1740" s="62"/>
      <c r="M1740" s="62"/>
      <c r="N1740" s="62"/>
      <c r="O1740" s="62"/>
      <c r="P1740" s="42" t="str">
        <f>+IF(O1740="","",IFERROR(VLOOKUP(O1740,CODIGO_DIAGNOSTICO,2,0),"CÓDIGO NO ENCONTRADO"))</f>
        <v/>
      </c>
      <c r="Q1740" s="62"/>
      <c r="R1740" s="64"/>
      <c r="S1740" s="75"/>
      <c r="T1740" s="75"/>
      <c r="U1740" s="65"/>
      <c r="V1740" s="62"/>
      <c r="W1740" s="65"/>
      <c r="X1740" s="62"/>
      <c r="Y1740" s="65"/>
      <c r="Z1740" s="73"/>
    </row>
    <row r="1741" spans="1:26" ht="15.75" hidden="1" customHeight="1" x14ac:dyDescent="0.25">
      <c r="A1741" s="67"/>
      <c r="B1741" s="68"/>
      <c r="C1741" s="68"/>
      <c r="D1741" s="68"/>
      <c r="E1741" s="68"/>
      <c r="F1741" s="68"/>
      <c r="G1741" s="81"/>
      <c r="H1741" s="69"/>
      <c r="I1741" s="69"/>
      <c r="J1741" s="68"/>
      <c r="K1741" s="68"/>
      <c r="L1741" s="68"/>
      <c r="M1741" s="68"/>
      <c r="N1741" s="62"/>
      <c r="O1741" s="68"/>
      <c r="P1741" s="42" t="str">
        <f>+IF(O1741="","",IFERROR(VLOOKUP(O1741,CODIGO_DIAGNOSTICO,2,0),"CÓDIGO NO ENCONTRADO"))</f>
        <v/>
      </c>
      <c r="Q1741" s="68"/>
      <c r="R1741" s="67"/>
      <c r="S1741" s="77"/>
      <c r="T1741" s="76"/>
      <c r="U1741" s="65"/>
      <c r="V1741" s="68"/>
      <c r="W1741" s="70"/>
      <c r="X1741" s="68"/>
      <c r="Y1741" s="70"/>
      <c r="Z1741" s="72"/>
    </row>
    <row r="1742" spans="1:26" ht="15.75" hidden="1" customHeight="1" x14ac:dyDescent="0.25">
      <c r="A1742" s="64"/>
      <c r="B1742" s="62"/>
      <c r="C1742" s="62"/>
      <c r="D1742" s="62"/>
      <c r="E1742" s="62"/>
      <c r="F1742" s="62"/>
      <c r="G1742" s="81"/>
      <c r="H1742" s="63"/>
      <c r="I1742" s="63"/>
      <c r="J1742" s="62"/>
      <c r="K1742" s="62"/>
      <c r="L1742" s="62"/>
      <c r="M1742" s="62"/>
      <c r="N1742" s="62"/>
      <c r="O1742" s="62"/>
      <c r="P1742" s="42" t="str">
        <f>+IF(O1742="","",IFERROR(VLOOKUP(O1742,CODIGO_DIAGNOSTICO,2,0),"CÓDIGO NO ENCONTRADO"))</f>
        <v/>
      </c>
      <c r="Q1742" s="62"/>
      <c r="R1742" s="64"/>
      <c r="S1742" s="75"/>
      <c r="T1742" s="75"/>
      <c r="U1742" s="65"/>
      <c r="V1742" s="62"/>
      <c r="W1742" s="65"/>
      <c r="X1742" s="62"/>
      <c r="Y1742" s="65"/>
      <c r="Z1742" s="73"/>
    </row>
    <row r="1743" spans="1:26" ht="15.75" hidden="1" customHeight="1" x14ac:dyDescent="0.25">
      <c r="A1743" s="67"/>
      <c r="B1743" s="68"/>
      <c r="C1743" s="68"/>
      <c r="D1743" s="68"/>
      <c r="E1743" s="68"/>
      <c r="F1743" s="68"/>
      <c r="G1743" s="81"/>
      <c r="H1743" s="69"/>
      <c r="I1743" s="69"/>
      <c r="J1743" s="68"/>
      <c r="K1743" s="68"/>
      <c r="L1743" s="68"/>
      <c r="M1743" s="68"/>
      <c r="N1743" s="62"/>
      <c r="O1743" s="68"/>
      <c r="P1743" s="42" t="str">
        <f>+IF(O1743="","",IFERROR(VLOOKUP(O1743,CODIGO_DIAGNOSTICO,2,0),"CÓDIGO NO ENCONTRADO"))</f>
        <v/>
      </c>
      <c r="Q1743" s="68"/>
      <c r="R1743" s="67"/>
      <c r="S1743" s="77"/>
      <c r="T1743" s="76"/>
      <c r="U1743" s="65"/>
      <c r="V1743" s="68"/>
      <c r="W1743" s="70"/>
      <c r="X1743" s="68"/>
      <c r="Y1743" s="70"/>
      <c r="Z1743" s="72"/>
    </row>
    <row r="1744" spans="1:26" ht="15.75" hidden="1" customHeight="1" x14ac:dyDescent="0.25">
      <c r="A1744" s="64"/>
      <c r="B1744" s="62"/>
      <c r="C1744" s="62"/>
      <c r="D1744" s="62"/>
      <c r="E1744" s="62"/>
      <c r="F1744" s="62"/>
      <c r="G1744" s="81"/>
      <c r="H1744" s="63"/>
      <c r="I1744" s="63"/>
      <c r="J1744" s="62"/>
      <c r="K1744" s="62"/>
      <c r="L1744" s="62"/>
      <c r="M1744" s="62"/>
      <c r="N1744" s="62"/>
      <c r="O1744" s="62"/>
      <c r="P1744" s="42" t="str">
        <f>+IF(O1744="","",IFERROR(VLOOKUP(O1744,CODIGO_DIAGNOSTICO,2,0),"CÓDIGO NO ENCONTRADO"))</f>
        <v/>
      </c>
      <c r="Q1744" s="62"/>
      <c r="R1744" s="64"/>
      <c r="S1744" s="75"/>
      <c r="T1744" s="75"/>
      <c r="U1744" s="65"/>
      <c r="V1744" s="62"/>
      <c r="W1744" s="65"/>
      <c r="X1744" s="62"/>
      <c r="Y1744" s="65"/>
      <c r="Z1744" s="73"/>
    </row>
    <row r="1745" spans="1:26" ht="15.75" hidden="1" customHeight="1" x14ac:dyDescent="0.25">
      <c r="A1745" s="67"/>
      <c r="B1745" s="68"/>
      <c r="C1745" s="68"/>
      <c r="D1745" s="68"/>
      <c r="E1745" s="68"/>
      <c r="F1745" s="68"/>
      <c r="G1745" s="81"/>
      <c r="H1745" s="69"/>
      <c r="I1745" s="69"/>
      <c r="J1745" s="68"/>
      <c r="K1745" s="68"/>
      <c r="L1745" s="68"/>
      <c r="M1745" s="68"/>
      <c r="N1745" s="62"/>
      <c r="O1745" s="68"/>
      <c r="P1745" s="42" t="str">
        <f>+IF(O1745="","",IFERROR(VLOOKUP(O1745,CODIGO_DIAGNOSTICO,2,0),"CÓDIGO NO ENCONTRADO"))</f>
        <v/>
      </c>
      <c r="Q1745" s="68"/>
      <c r="R1745" s="67"/>
      <c r="S1745" s="77"/>
      <c r="T1745" s="76"/>
      <c r="U1745" s="65"/>
      <c r="V1745" s="68"/>
      <c r="W1745" s="70"/>
      <c r="X1745" s="68"/>
      <c r="Y1745" s="70"/>
      <c r="Z1745" s="72"/>
    </row>
    <row r="1746" spans="1:26" ht="15.75" hidden="1" customHeight="1" x14ac:dyDescent="0.25">
      <c r="A1746" s="64"/>
      <c r="B1746" s="62"/>
      <c r="C1746" s="62"/>
      <c r="D1746" s="62"/>
      <c r="E1746" s="62"/>
      <c r="F1746" s="62"/>
      <c r="G1746" s="81"/>
      <c r="H1746" s="63"/>
      <c r="I1746" s="63"/>
      <c r="J1746" s="62"/>
      <c r="K1746" s="62"/>
      <c r="L1746" s="62"/>
      <c r="M1746" s="62"/>
      <c r="N1746" s="62"/>
      <c r="O1746" s="62"/>
      <c r="P1746" s="42" t="str">
        <f>+IF(O1746="","",IFERROR(VLOOKUP(O1746,CODIGO_DIAGNOSTICO,2,0),"CÓDIGO NO ENCONTRADO"))</f>
        <v/>
      </c>
      <c r="Q1746" s="62"/>
      <c r="R1746" s="64"/>
      <c r="S1746" s="75"/>
      <c r="T1746" s="75"/>
      <c r="U1746" s="65"/>
      <c r="V1746" s="62"/>
      <c r="W1746" s="65"/>
      <c r="X1746" s="62"/>
      <c r="Y1746" s="65"/>
      <c r="Z1746" s="73"/>
    </row>
    <row r="1747" spans="1:26" ht="15.75" hidden="1" customHeight="1" x14ac:dyDescent="0.25">
      <c r="A1747" s="67"/>
      <c r="B1747" s="68"/>
      <c r="C1747" s="68"/>
      <c r="D1747" s="68"/>
      <c r="E1747" s="68"/>
      <c r="F1747" s="68"/>
      <c r="G1747" s="81"/>
      <c r="H1747" s="69"/>
      <c r="I1747" s="69"/>
      <c r="J1747" s="68"/>
      <c r="K1747" s="68"/>
      <c r="L1747" s="68"/>
      <c r="M1747" s="68"/>
      <c r="N1747" s="62"/>
      <c r="O1747" s="68"/>
      <c r="P1747" s="42" t="str">
        <f>+IF(O1747="","",IFERROR(VLOOKUP(O1747,CODIGO_DIAGNOSTICO,2,0),"CÓDIGO NO ENCONTRADO"))</f>
        <v/>
      </c>
      <c r="Q1747" s="68"/>
      <c r="R1747" s="67"/>
      <c r="S1747" s="77"/>
      <c r="T1747" s="76"/>
      <c r="U1747" s="65"/>
      <c r="V1747" s="68"/>
      <c r="W1747" s="70"/>
      <c r="X1747" s="68"/>
      <c r="Y1747" s="70"/>
      <c r="Z1747" s="72"/>
    </row>
    <row r="1748" spans="1:26" ht="15.75" hidden="1" customHeight="1" x14ac:dyDescent="0.25">
      <c r="A1748" s="64"/>
      <c r="B1748" s="62"/>
      <c r="C1748" s="62"/>
      <c r="D1748" s="62"/>
      <c r="E1748" s="62"/>
      <c r="F1748" s="62"/>
      <c r="G1748" s="81"/>
      <c r="H1748" s="63"/>
      <c r="I1748" s="63"/>
      <c r="J1748" s="62"/>
      <c r="K1748" s="62"/>
      <c r="L1748" s="62"/>
      <c r="M1748" s="62"/>
      <c r="N1748" s="62"/>
      <c r="O1748" s="62"/>
      <c r="P1748" s="42" t="str">
        <f>+IF(O1748="","",IFERROR(VLOOKUP(O1748,CODIGO_DIAGNOSTICO,2,0),"CÓDIGO NO ENCONTRADO"))</f>
        <v/>
      </c>
      <c r="Q1748" s="62"/>
      <c r="R1748" s="64"/>
      <c r="S1748" s="75"/>
      <c r="T1748" s="75"/>
      <c r="U1748" s="65"/>
      <c r="V1748" s="62"/>
      <c r="W1748" s="65"/>
      <c r="X1748" s="62"/>
      <c r="Y1748" s="65"/>
      <c r="Z1748" s="73"/>
    </row>
    <row r="1749" spans="1:26" ht="15.75" hidden="1" customHeight="1" x14ac:dyDescent="0.25">
      <c r="A1749" s="67"/>
      <c r="B1749" s="68"/>
      <c r="C1749" s="68"/>
      <c r="D1749" s="68"/>
      <c r="E1749" s="68"/>
      <c r="F1749" s="68"/>
      <c r="G1749" s="81"/>
      <c r="H1749" s="69"/>
      <c r="I1749" s="69"/>
      <c r="J1749" s="68"/>
      <c r="K1749" s="68"/>
      <c r="L1749" s="68"/>
      <c r="M1749" s="68"/>
      <c r="N1749" s="62"/>
      <c r="O1749" s="68"/>
      <c r="P1749" s="42" t="str">
        <f>+IF(O1749="","",IFERROR(VLOOKUP(O1749,CODIGO_DIAGNOSTICO,2,0),"CÓDIGO NO ENCONTRADO"))</f>
        <v/>
      </c>
      <c r="Q1749" s="68"/>
      <c r="R1749" s="67"/>
      <c r="S1749" s="77"/>
      <c r="T1749" s="76"/>
      <c r="U1749" s="65"/>
      <c r="V1749" s="68"/>
      <c r="W1749" s="70"/>
      <c r="X1749" s="68"/>
      <c r="Y1749" s="70"/>
      <c r="Z1749" s="72"/>
    </row>
    <row r="1750" spans="1:26" ht="15.75" hidden="1" customHeight="1" x14ac:dyDescent="0.25">
      <c r="A1750" s="64"/>
      <c r="B1750" s="62"/>
      <c r="C1750" s="62"/>
      <c r="D1750" s="62"/>
      <c r="E1750" s="62"/>
      <c r="F1750" s="62"/>
      <c r="G1750" s="81"/>
      <c r="H1750" s="63"/>
      <c r="I1750" s="63"/>
      <c r="J1750" s="62"/>
      <c r="K1750" s="62"/>
      <c r="L1750" s="62"/>
      <c r="M1750" s="62"/>
      <c r="N1750" s="62"/>
      <c r="O1750" s="62"/>
      <c r="P1750" s="42" t="str">
        <f>+IF(O1750="","",IFERROR(VLOOKUP(O1750,CODIGO_DIAGNOSTICO,2,0),"CÓDIGO NO ENCONTRADO"))</f>
        <v/>
      </c>
      <c r="Q1750" s="62"/>
      <c r="R1750" s="64"/>
      <c r="S1750" s="75"/>
      <c r="T1750" s="75"/>
      <c r="U1750" s="65"/>
      <c r="V1750" s="62"/>
      <c r="W1750" s="65"/>
      <c r="X1750" s="62"/>
      <c r="Y1750" s="65"/>
      <c r="Z1750" s="73"/>
    </row>
    <row r="1751" spans="1:26" ht="15.75" hidden="1" customHeight="1" x14ac:dyDescent="0.25">
      <c r="A1751" s="67"/>
      <c r="B1751" s="68"/>
      <c r="C1751" s="68"/>
      <c r="D1751" s="68"/>
      <c r="E1751" s="68"/>
      <c r="F1751" s="68"/>
      <c r="G1751" s="81"/>
      <c r="H1751" s="69"/>
      <c r="I1751" s="69"/>
      <c r="J1751" s="68"/>
      <c r="K1751" s="68"/>
      <c r="L1751" s="68"/>
      <c r="M1751" s="68"/>
      <c r="N1751" s="62"/>
      <c r="O1751" s="68"/>
      <c r="P1751" s="42" t="str">
        <f>+IF(O1751="","",IFERROR(VLOOKUP(O1751,CODIGO_DIAGNOSTICO,2,0),"CÓDIGO NO ENCONTRADO"))</f>
        <v/>
      </c>
      <c r="Q1751" s="68"/>
      <c r="R1751" s="67"/>
      <c r="S1751" s="77"/>
      <c r="T1751" s="76"/>
      <c r="U1751" s="65"/>
      <c r="V1751" s="68"/>
      <c r="W1751" s="70"/>
      <c r="X1751" s="68"/>
      <c r="Y1751" s="70"/>
      <c r="Z1751" s="72"/>
    </row>
    <row r="1752" spans="1:26" ht="15.75" hidden="1" customHeight="1" x14ac:dyDescent="0.25">
      <c r="A1752" s="64"/>
      <c r="B1752" s="62"/>
      <c r="C1752" s="62"/>
      <c r="D1752" s="62"/>
      <c r="E1752" s="62"/>
      <c r="F1752" s="62"/>
      <c r="G1752" s="81"/>
      <c r="H1752" s="63"/>
      <c r="I1752" s="63"/>
      <c r="J1752" s="62"/>
      <c r="K1752" s="62"/>
      <c r="L1752" s="62"/>
      <c r="M1752" s="62"/>
      <c r="N1752" s="62"/>
      <c r="O1752" s="62"/>
      <c r="P1752" s="42" t="str">
        <f>+IF(O1752="","",IFERROR(VLOOKUP(O1752,CODIGO_DIAGNOSTICO,2,0),"CÓDIGO NO ENCONTRADO"))</f>
        <v/>
      </c>
      <c r="Q1752" s="62"/>
      <c r="R1752" s="64"/>
      <c r="S1752" s="75"/>
      <c r="T1752" s="75"/>
      <c r="U1752" s="65"/>
      <c r="V1752" s="62"/>
      <c r="W1752" s="65"/>
      <c r="X1752" s="62"/>
      <c r="Y1752" s="65"/>
      <c r="Z1752" s="73"/>
    </row>
    <row r="1753" spans="1:26" ht="15.75" hidden="1" customHeight="1" x14ac:dyDescent="0.25">
      <c r="A1753" s="67"/>
      <c r="B1753" s="68"/>
      <c r="C1753" s="68"/>
      <c r="D1753" s="68"/>
      <c r="E1753" s="68"/>
      <c r="F1753" s="68"/>
      <c r="G1753" s="81"/>
      <c r="H1753" s="69"/>
      <c r="I1753" s="69"/>
      <c r="J1753" s="68"/>
      <c r="K1753" s="68"/>
      <c r="L1753" s="68"/>
      <c r="M1753" s="68"/>
      <c r="N1753" s="62"/>
      <c r="O1753" s="68"/>
      <c r="P1753" s="42" t="str">
        <f>+IF(O1753="","",IFERROR(VLOOKUP(O1753,CODIGO_DIAGNOSTICO,2,0),"CÓDIGO NO ENCONTRADO"))</f>
        <v/>
      </c>
      <c r="Q1753" s="68"/>
      <c r="R1753" s="67"/>
      <c r="S1753" s="77"/>
      <c r="T1753" s="76"/>
      <c r="U1753" s="65"/>
      <c r="V1753" s="68"/>
      <c r="W1753" s="70"/>
      <c r="X1753" s="68"/>
      <c r="Y1753" s="70"/>
      <c r="Z1753" s="72"/>
    </row>
    <row r="1754" spans="1:26" ht="15.75" hidden="1" customHeight="1" x14ac:dyDescent="0.25">
      <c r="A1754" s="64"/>
      <c r="B1754" s="62"/>
      <c r="C1754" s="62"/>
      <c r="D1754" s="62"/>
      <c r="E1754" s="62"/>
      <c r="F1754" s="62"/>
      <c r="G1754" s="81"/>
      <c r="H1754" s="63"/>
      <c r="I1754" s="63"/>
      <c r="J1754" s="62"/>
      <c r="K1754" s="62"/>
      <c r="L1754" s="62"/>
      <c r="M1754" s="62"/>
      <c r="N1754" s="62"/>
      <c r="O1754" s="62"/>
      <c r="P1754" s="42" t="str">
        <f>+IF(O1754="","",IFERROR(VLOOKUP(O1754,CODIGO_DIAGNOSTICO,2,0),"CÓDIGO NO ENCONTRADO"))</f>
        <v/>
      </c>
      <c r="Q1754" s="62"/>
      <c r="R1754" s="64"/>
      <c r="S1754" s="75"/>
      <c r="T1754" s="75"/>
      <c r="U1754" s="65"/>
      <c r="V1754" s="62"/>
      <c r="W1754" s="65"/>
      <c r="X1754" s="62"/>
      <c r="Y1754" s="65"/>
      <c r="Z1754" s="73"/>
    </row>
    <row r="1755" spans="1:26" ht="15.75" hidden="1" customHeight="1" x14ac:dyDescent="0.25">
      <c r="A1755" s="67"/>
      <c r="B1755" s="68"/>
      <c r="C1755" s="68"/>
      <c r="D1755" s="68"/>
      <c r="E1755" s="68"/>
      <c r="F1755" s="68"/>
      <c r="G1755" s="81"/>
      <c r="H1755" s="69"/>
      <c r="I1755" s="69"/>
      <c r="J1755" s="68"/>
      <c r="K1755" s="68"/>
      <c r="L1755" s="68"/>
      <c r="M1755" s="68"/>
      <c r="N1755" s="62"/>
      <c r="O1755" s="68"/>
      <c r="P1755" s="42" t="str">
        <f>+IF(O1755="","",IFERROR(VLOOKUP(O1755,CODIGO_DIAGNOSTICO,2,0),"CÓDIGO NO ENCONTRADO"))</f>
        <v/>
      </c>
      <c r="Q1755" s="68"/>
      <c r="R1755" s="67"/>
      <c r="S1755" s="77"/>
      <c r="T1755" s="76"/>
      <c r="U1755" s="65"/>
      <c r="V1755" s="68"/>
      <c r="W1755" s="70"/>
      <c r="X1755" s="68"/>
      <c r="Y1755" s="70"/>
      <c r="Z1755" s="72"/>
    </row>
    <row r="1756" spans="1:26" ht="15.75" hidden="1" customHeight="1" x14ac:dyDescent="0.25">
      <c r="A1756" s="64"/>
      <c r="B1756" s="62"/>
      <c r="C1756" s="62"/>
      <c r="D1756" s="62"/>
      <c r="E1756" s="62"/>
      <c r="F1756" s="62"/>
      <c r="G1756" s="81"/>
      <c r="H1756" s="63"/>
      <c r="I1756" s="63"/>
      <c r="J1756" s="62"/>
      <c r="K1756" s="62"/>
      <c r="L1756" s="62"/>
      <c r="M1756" s="62"/>
      <c r="N1756" s="62"/>
      <c r="O1756" s="62"/>
      <c r="P1756" s="42" t="str">
        <f>+IF(O1756="","",IFERROR(VLOOKUP(O1756,CODIGO_DIAGNOSTICO,2,0),"CÓDIGO NO ENCONTRADO"))</f>
        <v/>
      </c>
      <c r="Q1756" s="62"/>
      <c r="R1756" s="64"/>
      <c r="S1756" s="75"/>
      <c r="T1756" s="75"/>
      <c r="U1756" s="65"/>
      <c r="V1756" s="62"/>
      <c r="W1756" s="65"/>
      <c r="X1756" s="62"/>
      <c r="Y1756" s="65"/>
      <c r="Z1756" s="73"/>
    </row>
    <row r="1757" spans="1:26" ht="15.75" hidden="1" customHeight="1" x14ac:dyDescent="0.25">
      <c r="A1757" s="67"/>
      <c r="B1757" s="68"/>
      <c r="C1757" s="68"/>
      <c r="D1757" s="68"/>
      <c r="E1757" s="68"/>
      <c r="F1757" s="68"/>
      <c r="G1757" s="81"/>
      <c r="H1757" s="69"/>
      <c r="I1757" s="69"/>
      <c r="J1757" s="68"/>
      <c r="K1757" s="68"/>
      <c r="L1757" s="68"/>
      <c r="M1757" s="68"/>
      <c r="N1757" s="62"/>
      <c r="O1757" s="68"/>
      <c r="P1757" s="42" t="str">
        <f>+IF(O1757="","",IFERROR(VLOOKUP(O1757,CODIGO_DIAGNOSTICO,2,0),"CÓDIGO NO ENCONTRADO"))</f>
        <v/>
      </c>
      <c r="Q1757" s="68"/>
      <c r="R1757" s="67"/>
      <c r="S1757" s="77"/>
      <c r="T1757" s="76"/>
      <c r="U1757" s="65"/>
      <c r="V1757" s="68"/>
      <c r="W1757" s="70"/>
      <c r="X1757" s="68"/>
      <c r="Y1757" s="70"/>
      <c r="Z1757" s="72"/>
    </row>
    <row r="1758" spans="1:26" ht="15.75" hidden="1" customHeight="1" x14ac:dyDescent="0.25">
      <c r="A1758" s="64"/>
      <c r="B1758" s="62"/>
      <c r="C1758" s="62"/>
      <c r="D1758" s="62"/>
      <c r="E1758" s="62"/>
      <c r="F1758" s="62"/>
      <c r="G1758" s="81"/>
      <c r="H1758" s="63"/>
      <c r="I1758" s="63"/>
      <c r="J1758" s="62"/>
      <c r="K1758" s="62"/>
      <c r="L1758" s="62"/>
      <c r="M1758" s="62"/>
      <c r="N1758" s="62"/>
      <c r="O1758" s="62"/>
      <c r="P1758" s="42" t="str">
        <f>+IF(O1758="","",IFERROR(VLOOKUP(O1758,CODIGO_DIAGNOSTICO,2,0),"CÓDIGO NO ENCONTRADO"))</f>
        <v/>
      </c>
      <c r="Q1758" s="62"/>
      <c r="R1758" s="64"/>
      <c r="S1758" s="75"/>
      <c r="T1758" s="75"/>
      <c r="U1758" s="65"/>
      <c r="V1758" s="62"/>
      <c r="W1758" s="65"/>
      <c r="X1758" s="62"/>
      <c r="Y1758" s="65"/>
      <c r="Z1758" s="73"/>
    </row>
    <row r="1759" spans="1:26" ht="15.75" hidden="1" customHeight="1" x14ac:dyDescent="0.25">
      <c r="A1759" s="67"/>
      <c r="B1759" s="68"/>
      <c r="C1759" s="68"/>
      <c r="D1759" s="68"/>
      <c r="E1759" s="68"/>
      <c r="F1759" s="68"/>
      <c r="G1759" s="81"/>
      <c r="H1759" s="69"/>
      <c r="I1759" s="69"/>
      <c r="J1759" s="68"/>
      <c r="K1759" s="68"/>
      <c r="L1759" s="68"/>
      <c r="M1759" s="68"/>
      <c r="N1759" s="62"/>
      <c r="O1759" s="68"/>
      <c r="P1759" s="42" t="str">
        <f>+IF(O1759="","",IFERROR(VLOOKUP(O1759,CODIGO_DIAGNOSTICO,2,0),"CÓDIGO NO ENCONTRADO"))</f>
        <v/>
      </c>
      <c r="Q1759" s="68"/>
      <c r="R1759" s="67"/>
      <c r="S1759" s="77"/>
      <c r="T1759" s="76"/>
      <c r="U1759" s="65"/>
      <c r="V1759" s="68"/>
      <c r="W1759" s="70"/>
      <c r="X1759" s="68"/>
      <c r="Y1759" s="70"/>
      <c r="Z1759" s="72"/>
    </row>
    <row r="1760" spans="1:26" ht="15.75" hidden="1" customHeight="1" x14ac:dyDescent="0.25">
      <c r="A1760" s="64"/>
      <c r="B1760" s="62"/>
      <c r="C1760" s="62"/>
      <c r="D1760" s="62"/>
      <c r="E1760" s="62"/>
      <c r="F1760" s="62"/>
      <c r="G1760" s="81"/>
      <c r="H1760" s="63"/>
      <c r="I1760" s="63"/>
      <c r="J1760" s="62"/>
      <c r="K1760" s="62"/>
      <c r="L1760" s="62"/>
      <c r="M1760" s="62"/>
      <c r="N1760" s="62"/>
      <c r="O1760" s="62"/>
      <c r="P1760" s="42" t="str">
        <f>+IF(O1760="","",IFERROR(VLOOKUP(O1760,CODIGO_DIAGNOSTICO,2,0),"CÓDIGO NO ENCONTRADO"))</f>
        <v/>
      </c>
      <c r="Q1760" s="62"/>
      <c r="R1760" s="64"/>
      <c r="S1760" s="75"/>
      <c r="T1760" s="75"/>
      <c r="U1760" s="65"/>
      <c r="V1760" s="62"/>
      <c r="W1760" s="65"/>
      <c r="X1760" s="62"/>
      <c r="Y1760" s="65"/>
      <c r="Z1760" s="73"/>
    </row>
    <row r="1761" spans="1:26" ht="15.75" hidden="1" customHeight="1" x14ac:dyDescent="0.25">
      <c r="A1761" s="67"/>
      <c r="B1761" s="68"/>
      <c r="C1761" s="68"/>
      <c r="D1761" s="68"/>
      <c r="E1761" s="68"/>
      <c r="F1761" s="68"/>
      <c r="G1761" s="81"/>
      <c r="H1761" s="69"/>
      <c r="I1761" s="69"/>
      <c r="J1761" s="68"/>
      <c r="K1761" s="68"/>
      <c r="L1761" s="68"/>
      <c r="M1761" s="68"/>
      <c r="N1761" s="62"/>
      <c r="O1761" s="68"/>
      <c r="P1761" s="42" t="str">
        <f>+IF(O1761="","",IFERROR(VLOOKUP(O1761,CODIGO_DIAGNOSTICO,2,0),"CÓDIGO NO ENCONTRADO"))</f>
        <v/>
      </c>
      <c r="Q1761" s="68"/>
      <c r="R1761" s="67"/>
      <c r="S1761" s="77"/>
      <c r="T1761" s="76"/>
      <c r="U1761" s="65"/>
      <c r="V1761" s="68"/>
      <c r="W1761" s="70"/>
      <c r="X1761" s="68"/>
      <c r="Y1761" s="70"/>
      <c r="Z1761" s="72"/>
    </row>
    <row r="1762" spans="1:26" ht="15.75" hidden="1" customHeight="1" x14ac:dyDescent="0.25">
      <c r="A1762" s="64"/>
      <c r="B1762" s="62"/>
      <c r="C1762" s="62"/>
      <c r="D1762" s="62"/>
      <c r="E1762" s="62"/>
      <c r="F1762" s="62"/>
      <c r="G1762" s="81"/>
      <c r="H1762" s="63"/>
      <c r="I1762" s="63"/>
      <c r="J1762" s="62"/>
      <c r="K1762" s="62"/>
      <c r="L1762" s="62"/>
      <c r="M1762" s="62"/>
      <c r="N1762" s="62"/>
      <c r="O1762" s="62"/>
      <c r="P1762" s="42" t="str">
        <f>+IF(O1762="","",IFERROR(VLOOKUP(O1762,CODIGO_DIAGNOSTICO,2,0),"CÓDIGO NO ENCONTRADO"))</f>
        <v/>
      </c>
      <c r="Q1762" s="62"/>
      <c r="R1762" s="64"/>
      <c r="S1762" s="75"/>
      <c r="T1762" s="75"/>
      <c r="U1762" s="65"/>
      <c r="V1762" s="62"/>
      <c r="W1762" s="65"/>
      <c r="X1762" s="62"/>
      <c r="Y1762" s="65"/>
      <c r="Z1762" s="73"/>
    </row>
    <row r="1763" spans="1:26" ht="15.75" hidden="1" customHeight="1" x14ac:dyDescent="0.25">
      <c r="A1763" s="67"/>
      <c r="B1763" s="68"/>
      <c r="C1763" s="68"/>
      <c r="D1763" s="68"/>
      <c r="E1763" s="68"/>
      <c r="F1763" s="68"/>
      <c r="G1763" s="81"/>
      <c r="H1763" s="69"/>
      <c r="I1763" s="69"/>
      <c r="J1763" s="68"/>
      <c r="K1763" s="68"/>
      <c r="L1763" s="68"/>
      <c r="M1763" s="68"/>
      <c r="N1763" s="62"/>
      <c r="O1763" s="68"/>
      <c r="P1763" s="42" t="str">
        <f>+IF(O1763="","",IFERROR(VLOOKUP(O1763,CODIGO_DIAGNOSTICO,2,0),"CÓDIGO NO ENCONTRADO"))</f>
        <v/>
      </c>
      <c r="Q1763" s="68"/>
      <c r="R1763" s="67"/>
      <c r="S1763" s="77"/>
      <c r="T1763" s="76"/>
      <c r="U1763" s="65"/>
      <c r="V1763" s="68"/>
      <c r="W1763" s="70"/>
      <c r="X1763" s="68"/>
      <c r="Y1763" s="70"/>
      <c r="Z1763" s="72"/>
    </row>
    <row r="1764" spans="1:26" ht="15.75" hidden="1" customHeight="1" x14ac:dyDescent="0.25">
      <c r="A1764" s="64"/>
      <c r="B1764" s="62"/>
      <c r="C1764" s="62"/>
      <c r="D1764" s="62"/>
      <c r="E1764" s="62"/>
      <c r="F1764" s="62"/>
      <c r="G1764" s="81"/>
      <c r="H1764" s="63"/>
      <c r="I1764" s="63"/>
      <c r="J1764" s="62"/>
      <c r="K1764" s="62"/>
      <c r="L1764" s="62"/>
      <c r="M1764" s="62"/>
      <c r="N1764" s="62"/>
      <c r="O1764" s="62"/>
      <c r="P1764" s="42" t="str">
        <f>+IF(O1764="","",IFERROR(VLOOKUP(O1764,CODIGO_DIAGNOSTICO,2,0),"CÓDIGO NO ENCONTRADO"))</f>
        <v/>
      </c>
      <c r="Q1764" s="62"/>
      <c r="R1764" s="64"/>
      <c r="S1764" s="75"/>
      <c r="T1764" s="75"/>
      <c r="U1764" s="65"/>
      <c r="V1764" s="62"/>
      <c r="W1764" s="65"/>
      <c r="X1764" s="62"/>
      <c r="Y1764" s="65"/>
      <c r="Z1764" s="73"/>
    </row>
    <row r="1765" spans="1:26" ht="15.75" hidden="1" customHeight="1" x14ac:dyDescent="0.25">
      <c r="A1765" s="67"/>
      <c r="B1765" s="68"/>
      <c r="C1765" s="68"/>
      <c r="D1765" s="68"/>
      <c r="E1765" s="68"/>
      <c r="F1765" s="68"/>
      <c r="G1765" s="81"/>
      <c r="H1765" s="69"/>
      <c r="I1765" s="69"/>
      <c r="J1765" s="68"/>
      <c r="K1765" s="68"/>
      <c r="L1765" s="68"/>
      <c r="M1765" s="68"/>
      <c r="N1765" s="62"/>
      <c r="O1765" s="68"/>
      <c r="P1765" s="42" t="str">
        <f>+IF(O1765="","",IFERROR(VLOOKUP(O1765,CODIGO_DIAGNOSTICO,2,0),"CÓDIGO NO ENCONTRADO"))</f>
        <v/>
      </c>
      <c r="Q1765" s="68"/>
      <c r="R1765" s="67"/>
      <c r="S1765" s="77"/>
      <c r="T1765" s="76"/>
      <c r="U1765" s="65"/>
      <c r="V1765" s="68"/>
      <c r="W1765" s="70"/>
      <c r="X1765" s="68"/>
      <c r="Y1765" s="70"/>
      <c r="Z1765" s="72"/>
    </row>
    <row r="1766" spans="1:26" ht="15.75" hidden="1" customHeight="1" x14ac:dyDescent="0.25">
      <c r="A1766" s="64"/>
      <c r="B1766" s="62"/>
      <c r="C1766" s="62"/>
      <c r="D1766" s="62"/>
      <c r="E1766" s="62"/>
      <c r="F1766" s="62"/>
      <c r="G1766" s="81"/>
      <c r="H1766" s="63"/>
      <c r="I1766" s="63"/>
      <c r="J1766" s="62"/>
      <c r="K1766" s="62"/>
      <c r="L1766" s="62"/>
      <c r="M1766" s="62"/>
      <c r="N1766" s="62"/>
      <c r="O1766" s="62"/>
      <c r="P1766" s="42" t="str">
        <f>+IF(O1766="","",IFERROR(VLOOKUP(O1766,CODIGO_DIAGNOSTICO,2,0),"CÓDIGO NO ENCONTRADO"))</f>
        <v/>
      </c>
      <c r="Q1766" s="62"/>
      <c r="R1766" s="64"/>
      <c r="S1766" s="75"/>
      <c r="T1766" s="75"/>
      <c r="U1766" s="65"/>
      <c r="V1766" s="62"/>
      <c r="W1766" s="65"/>
      <c r="X1766" s="62"/>
      <c r="Y1766" s="65"/>
      <c r="Z1766" s="73"/>
    </row>
    <row r="1767" spans="1:26" ht="15.75" hidden="1" customHeight="1" x14ac:dyDescent="0.25">
      <c r="A1767" s="67"/>
      <c r="B1767" s="68"/>
      <c r="C1767" s="68"/>
      <c r="D1767" s="68"/>
      <c r="E1767" s="68"/>
      <c r="F1767" s="68"/>
      <c r="G1767" s="81"/>
      <c r="H1767" s="69"/>
      <c r="I1767" s="69"/>
      <c r="J1767" s="68"/>
      <c r="K1767" s="68"/>
      <c r="L1767" s="68"/>
      <c r="M1767" s="68"/>
      <c r="N1767" s="62"/>
      <c r="O1767" s="68"/>
      <c r="P1767" s="42" t="str">
        <f>+IF(O1767="","",IFERROR(VLOOKUP(O1767,CODIGO_DIAGNOSTICO,2,0),"CÓDIGO NO ENCONTRADO"))</f>
        <v/>
      </c>
      <c r="Q1767" s="68"/>
      <c r="R1767" s="67"/>
      <c r="S1767" s="77"/>
      <c r="T1767" s="76"/>
      <c r="U1767" s="65"/>
      <c r="V1767" s="68"/>
      <c r="W1767" s="70"/>
      <c r="X1767" s="68"/>
      <c r="Y1767" s="70"/>
      <c r="Z1767" s="72"/>
    </row>
    <row r="1768" spans="1:26" ht="15.75" hidden="1" customHeight="1" x14ac:dyDescent="0.25">
      <c r="A1768" s="64"/>
      <c r="B1768" s="62"/>
      <c r="C1768" s="62"/>
      <c r="D1768" s="62"/>
      <c r="E1768" s="62"/>
      <c r="F1768" s="62"/>
      <c r="G1768" s="81"/>
      <c r="H1768" s="63"/>
      <c r="I1768" s="63"/>
      <c r="J1768" s="62"/>
      <c r="K1768" s="62"/>
      <c r="L1768" s="62"/>
      <c r="M1768" s="62"/>
      <c r="N1768" s="62"/>
      <c r="O1768" s="62"/>
      <c r="P1768" s="42" t="str">
        <f>+IF(O1768="","",IFERROR(VLOOKUP(O1768,CODIGO_DIAGNOSTICO,2,0),"CÓDIGO NO ENCONTRADO"))</f>
        <v/>
      </c>
      <c r="Q1768" s="62"/>
      <c r="R1768" s="64"/>
      <c r="S1768" s="75"/>
      <c r="T1768" s="75"/>
      <c r="U1768" s="65"/>
      <c r="V1768" s="62"/>
      <c r="W1768" s="65"/>
      <c r="X1768" s="62"/>
      <c r="Y1768" s="65"/>
      <c r="Z1768" s="73"/>
    </row>
    <row r="1769" spans="1:26" ht="15.75" hidden="1" customHeight="1" x14ac:dyDescent="0.25">
      <c r="A1769" s="67"/>
      <c r="B1769" s="68"/>
      <c r="C1769" s="68"/>
      <c r="D1769" s="68"/>
      <c r="E1769" s="68"/>
      <c r="F1769" s="68"/>
      <c r="G1769" s="81"/>
      <c r="H1769" s="69"/>
      <c r="I1769" s="69"/>
      <c r="J1769" s="68"/>
      <c r="K1769" s="68"/>
      <c r="L1769" s="68"/>
      <c r="M1769" s="68"/>
      <c r="N1769" s="62"/>
      <c r="O1769" s="68"/>
      <c r="P1769" s="42" t="str">
        <f>+IF(O1769="","",IFERROR(VLOOKUP(O1769,CODIGO_DIAGNOSTICO,2,0),"CÓDIGO NO ENCONTRADO"))</f>
        <v/>
      </c>
      <c r="Q1769" s="68"/>
      <c r="R1769" s="67"/>
      <c r="S1769" s="77"/>
      <c r="T1769" s="76"/>
      <c r="U1769" s="65"/>
      <c r="V1769" s="68"/>
      <c r="W1769" s="70"/>
      <c r="X1769" s="68"/>
      <c r="Y1769" s="70"/>
      <c r="Z1769" s="72"/>
    </row>
    <row r="1770" spans="1:26" ht="15.75" hidden="1" customHeight="1" x14ac:dyDescent="0.25">
      <c r="A1770" s="64"/>
      <c r="B1770" s="62"/>
      <c r="C1770" s="62"/>
      <c r="D1770" s="62"/>
      <c r="E1770" s="62"/>
      <c r="F1770" s="62"/>
      <c r="G1770" s="81"/>
      <c r="H1770" s="63"/>
      <c r="I1770" s="63"/>
      <c r="J1770" s="62"/>
      <c r="K1770" s="62"/>
      <c r="L1770" s="62"/>
      <c r="M1770" s="62"/>
      <c r="N1770" s="62"/>
      <c r="O1770" s="62"/>
      <c r="P1770" s="42" t="str">
        <f>+IF(O1770="","",IFERROR(VLOOKUP(O1770,CODIGO_DIAGNOSTICO,2,0),"CÓDIGO NO ENCONTRADO"))</f>
        <v/>
      </c>
      <c r="Q1770" s="62"/>
      <c r="R1770" s="64"/>
      <c r="S1770" s="75"/>
      <c r="T1770" s="75"/>
      <c r="U1770" s="65"/>
      <c r="V1770" s="62"/>
      <c r="W1770" s="65"/>
      <c r="X1770" s="62"/>
      <c r="Y1770" s="65"/>
      <c r="Z1770" s="73"/>
    </row>
    <row r="1771" spans="1:26" ht="15.75" hidden="1" customHeight="1" x14ac:dyDescent="0.25">
      <c r="A1771" s="67"/>
      <c r="B1771" s="68"/>
      <c r="C1771" s="68"/>
      <c r="D1771" s="68"/>
      <c r="E1771" s="68"/>
      <c r="F1771" s="68"/>
      <c r="G1771" s="81"/>
      <c r="H1771" s="69"/>
      <c r="I1771" s="69"/>
      <c r="J1771" s="68"/>
      <c r="K1771" s="68"/>
      <c r="L1771" s="68"/>
      <c r="M1771" s="68"/>
      <c r="N1771" s="62"/>
      <c r="O1771" s="68"/>
      <c r="P1771" s="42" t="str">
        <f>+IF(O1771="","",IFERROR(VLOOKUP(O1771,CODIGO_DIAGNOSTICO,2,0),"CÓDIGO NO ENCONTRADO"))</f>
        <v/>
      </c>
      <c r="Q1771" s="68"/>
      <c r="R1771" s="67"/>
      <c r="S1771" s="77"/>
      <c r="T1771" s="76"/>
      <c r="U1771" s="65"/>
      <c r="V1771" s="68"/>
      <c r="W1771" s="70"/>
      <c r="X1771" s="68"/>
      <c r="Y1771" s="70"/>
      <c r="Z1771" s="72"/>
    </row>
    <row r="1772" spans="1:26" ht="15.75" hidden="1" customHeight="1" x14ac:dyDescent="0.25">
      <c r="A1772" s="64"/>
      <c r="B1772" s="62"/>
      <c r="C1772" s="62"/>
      <c r="D1772" s="62"/>
      <c r="E1772" s="62"/>
      <c r="F1772" s="62"/>
      <c r="G1772" s="81"/>
      <c r="H1772" s="63"/>
      <c r="I1772" s="63"/>
      <c r="J1772" s="62"/>
      <c r="K1772" s="62"/>
      <c r="L1772" s="62"/>
      <c r="M1772" s="62"/>
      <c r="N1772" s="62"/>
      <c r="O1772" s="62"/>
      <c r="P1772" s="42" t="str">
        <f>+IF(O1772="","",IFERROR(VLOOKUP(O1772,CODIGO_DIAGNOSTICO,2,0),"CÓDIGO NO ENCONTRADO"))</f>
        <v/>
      </c>
      <c r="Q1772" s="62"/>
      <c r="R1772" s="64"/>
      <c r="S1772" s="75"/>
      <c r="T1772" s="75"/>
      <c r="U1772" s="65"/>
      <c r="V1772" s="62"/>
      <c r="W1772" s="65"/>
      <c r="X1772" s="62"/>
      <c r="Y1772" s="65"/>
      <c r="Z1772" s="73"/>
    </row>
    <row r="1773" spans="1:26" ht="15.75" hidden="1" customHeight="1" x14ac:dyDescent="0.25">
      <c r="A1773" s="67"/>
      <c r="B1773" s="68"/>
      <c r="C1773" s="68"/>
      <c r="D1773" s="68"/>
      <c r="E1773" s="68"/>
      <c r="F1773" s="68"/>
      <c r="G1773" s="81"/>
      <c r="H1773" s="69"/>
      <c r="I1773" s="69"/>
      <c r="J1773" s="68"/>
      <c r="K1773" s="68"/>
      <c r="L1773" s="68"/>
      <c r="M1773" s="68"/>
      <c r="N1773" s="62"/>
      <c r="O1773" s="68"/>
      <c r="P1773" s="42" t="str">
        <f>+IF(O1773="","",IFERROR(VLOOKUP(O1773,CODIGO_DIAGNOSTICO,2,0),"CÓDIGO NO ENCONTRADO"))</f>
        <v/>
      </c>
      <c r="Q1773" s="68"/>
      <c r="R1773" s="67"/>
      <c r="S1773" s="77"/>
      <c r="T1773" s="76"/>
      <c r="U1773" s="65"/>
      <c r="V1773" s="68"/>
      <c r="W1773" s="70"/>
      <c r="X1773" s="68"/>
      <c r="Y1773" s="70"/>
      <c r="Z1773" s="72"/>
    </row>
    <row r="1774" spans="1:26" ht="15.75" hidden="1" customHeight="1" x14ac:dyDescent="0.25">
      <c r="A1774" s="64"/>
      <c r="B1774" s="62"/>
      <c r="C1774" s="62"/>
      <c r="D1774" s="62"/>
      <c r="E1774" s="62"/>
      <c r="F1774" s="62"/>
      <c r="G1774" s="81"/>
      <c r="H1774" s="63"/>
      <c r="I1774" s="63"/>
      <c r="J1774" s="62"/>
      <c r="K1774" s="62"/>
      <c r="L1774" s="62"/>
      <c r="M1774" s="62"/>
      <c r="N1774" s="62"/>
      <c r="O1774" s="62"/>
      <c r="P1774" s="42" t="str">
        <f>+IF(O1774="","",IFERROR(VLOOKUP(O1774,CODIGO_DIAGNOSTICO,2,0),"CÓDIGO NO ENCONTRADO"))</f>
        <v/>
      </c>
      <c r="Q1774" s="62"/>
      <c r="R1774" s="64"/>
      <c r="S1774" s="75"/>
      <c r="T1774" s="75"/>
      <c r="U1774" s="65"/>
      <c r="V1774" s="62"/>
      <c r="W1774" s="65"/>
      <c r="X1774" s="62"/>
      <c r="Y1774" s="65"/>
      <c r="Z1774" s="73"/>
    </row>
    <row r="1775" spans="1:26" ht="15.75" hidden="1" customHeight="1" x14ac:dyDescent="0.25">
      <c r="A1775" s="67"/>
      <c r="B1775" s="68"/>
      <c r="C1775" s="68"/>
      <c r="D1775" s="68"/>
      <c r="E1775" s="68"/>
      <c r="F1775" s="68"/>
      <c r="G1775" s="81"/>
      <c r="H1775" s="69"/>
      <c r="I1775" s="69"/>
      <c r="J1775" s="68"/>
      <c r="K1775" s="68"/>
      <c r="L1775" s="68"/>
      <c r="M1775" s="68"/>
      <c r="N1775" s="62"/>
      <c r="O1775" s="68"/>
      <c r="P1775" s="42" t="str">
        <f>+IF(O1775="","",IFERROR(VLOOKUP(O1775,CODIGO_DIAGNOSTICO,2,0),"CÓDIGO NO ENCONTRADO"))</f>
        <v/>
      </c>
      <c r="Q1775" s="68"/>
      <c r="R1775" s="67"/>
      <c r="S1775" s="77"/>
      <c r="T1775" s="76"/>
      <c r="U1775" s="65"/>
      <c r="V1775" s="68"/>
      <c r="W1775" s="70"/>
      <c r="X1775" s="68"/>
      <c r="Y1775" s="70"/>
      <c r="Z1775" s="72"/>
    </row>
    <row r="1776" spans="1:26" ht="15.75" hidden="1" customHeight="1" x14ac:dyDescent="0.25">
      <c r="A1776" s="64"/>
      <c r="B1776" s="62"/>
      <c r="C1776" s="62"/>
      <c r="D1776" s="62"/>
      <c r="E1776" s="62"/>
      <c r="F1776" s="62"/>
      <c r="G1776" s="81"/>
      <c r="H1776" s="63"/>
      <c r="I1776" s="63"/>
      <c r="J1776" s="62"/>
      <c r="K1776" s="62"/>
      <c r="L1776" s="62"/>
      <c r="M1776" s="62"/>
      <c r="N1776" s="62"/>
      <c r="O1776" s="62"/>
      <c r="P1776" s="42" t="str">
        <f>+IF(O1776="","",IFERROR(VLOOKUP(O1776,CODIGO_DIAGNOSTICO,2,0),"CÓDIGO NO ENCONTRADO"))</f>
        <v/>
      </c>
      <c r="Q1776" s="62"/>
      <c r="R1776" s="64"/>
      <c r="S1776" s="75"/>
      <c r="T1776" s="75"/>
      <c r="U1776" s="65"/>
      <c r="V1776" s="62"/>
      <c r="W1776" s="65"/>
      <c r="X1776" s="62"/>
      <c r="Y1776" s="65"/>
      <c r="Z1776" s="73"/>
    </row>
    <row r="1777" spans="1:26" ht="15.75" hidden="1" customHeight="1" x14ac:dyDescent="0.25">
      <c r="A1777" s="67"/>
      <c r="B1777" s="68"/>
      <c r="C1777" s="68"/>
      <c r="D1777" s="68"/>
      <c r="E1777" s="68"/>
      <c r="F1777" s="68"/>
      <c r="G1777" s="81"/>
      <c r="H1777" s="69"/>
      <c r="I1777" s="69"/>
      <c r="J1777" s="68"/>
      <c r="K1777" s="68"/>
      <c r="L1777" s="68"/>
      <c r="M1777" s="68"/>
      <c r="N1777" s="62"/>
      <c r="O1777" s="68"/>
      <c r="P1777" s="42" t="str">
        <f>+IF(O1777="","",IFERROR(VLOOKUP(O1777,CODIGO_DIAGNOSTICO,2,0),"CÓDIGO NO ENCONTRADO"))</f>
        <v/>
      </c>
      <c r="Q1777" s="68"/>
      <c r="R1777" s="67"/>
      <c r="S1777" s="77"/>
      <c r="T1777" s="76"/>
      <c r="U1777" s="65"/>
      <c r="V1777" s="68"/>
      <c r="W1777" s="70"/>
      <c r="X1777" s="68"/>
      <c r="Y1777" s="70"/>
      <c r="Z1777" s="72"/>
    </row>
    <row r="1778" spans="1:26" ht="15.75" hidden="1" customHeight="1" x14ac:dyDescent="0.25">
      <c r="A1778" s="64"/>
      <c r="B1778" s="62"/>
      <c r="C1778" s="62"/>
      <c r="D1778" s="62"/>
      <c r="E1778" s="62"/>
      <c r="F1778" s="62"/>
      <c r="G1778" s="81"/>
      <c r="H1778" s="63"/>
      <c r="I1778" s="63"/>
      <c r="J1778" s="62"/>
      <c r="K1778" s="62"/>
      <c r="L1778" s="62"/>
      <c r="M1778" s="62"/>
      <c r="N1778" s="62"/>
      <c r="O1778" s="62"/>
      <c r="P1778" s="42" t="str">
        <f>+IF(O1778="","",IFERROR(VLOOKUP(O1778,CODIGO_DIAGNOSTICO,2,0),"CÓDIGO NO ENCONTRADO"))</f>
        <v/>
      </c>
      <c r="Q1778" s="62"/>
      <c r="R1778" s="64"/>
      <c r="S1778" s="75"/>
      <c r="T1778" s="75"/>
      <c r="U1778" s="65"/>
      <c r="V1778" s="62"/>
      <c r="W1778" s="65"/>
      <c r="X1778" s="62"/>
      <c r="Y1778" s="65"/>
      <c r="Z1778" s="73"/>
    </row>
    <row r="1779" spans="1:26" hidden="1" x14ac:dyDescent="0.25">
      <c r="A1779" s="67"/>
      <c r="B1779" s="68"/>
      <c r="C1779" s="68"/>
      <c r="D1779" s="68"/>
      <c r="E1779" s="68"/>
      <c r="F1779" s="68"/>
      <c r="G1779" s="82"/>
      <c r="H1779" s="78"/>
      <c r="I1779" s="78"/>
      <c r="J1779" s="68"/>
      <c r="K1779" s="68"/>
      <c r="L1779" s="68"/>
      <c r="M1779" s="68"/>
      <c r="N1779" s="62"/>
      <c r="O1779" s="68"/>
      <c r="P1779" s="42" t="str">
        <f>+IF(O1779="","",IFERROR(VLOOKUP(O1779,CODIGO_DIAGNOSTICO,2,0),"CÓDIGO NO ENCONTRADO"))</f>
        <v/>
      </c>
      <c r="Q1779" s="68"/>
      <c r="R1779" s="67"/>
      <c r="S1779" s="77"/>
      <c r="T1779" s="76"/>
      <c r="U1779" s="79"/>
      <c r="V1779" s="68"/>
      <c r="W1779" s="70"/>
      <c r="X1779" s="68"/>
      <c r="Y1779" s="80"/>
    </row>
    <row r="1780" spans="1:26" ht="15.75" customHeight="1" x14ac:dyDescent="0.25">
      <c r="A1780" s="64">
        <v>6</v>
      </c>
      <c r="B1780" s="62">
        <v>1017192273</v>
      </c>
      <c r="C1780" s="62" t="s">
        <v>25921</v>
      </c>
      <c r="D1780" s="62" t="s">
        <v>25459</v>
      </c>
      <c r="E1780" s="62" t="s">
        <v>25217</v>
      </c>
      <c r="F1780" s="62" t="s">
        <v>25648</v>
      </c>
      <c r="G1780" s="81" t="s">
        <v>19285</v>
      </c>
      <c r="H1780" s="63">
        <v>46182</v>
      </c>
      <c r="I1780" s="63">
        <v>46182</v>
      </c>
      <c r="J1780" s="62">
        <v>1</v>
      </c>
      <c r="K1780" s="62">
        <v>1</v>
      </c>
      <c r="L1780" s="62" t="s">
        <v>24995</v>
      </c>
      <c r="M1780" s="62" t="s">
        <v>24995</v>
      </c>
      <c r="N1780" s="62" t="s">
        <v>19269</v>
      </c>
      <c r="O1780" s="62" t="s">
        <v>15281</v>
      </c>
      <c r="P1780" s="86" t="e">
        <f>+IF(O1780="","",IFERROR(VLOOKUP(O1780,CODIGO_DIAGNOSTICO,2,0),"CÓDIGO NO ENCONTRADO"))</f>
        <v>#VALUE!</v>
      </c>
      <c r="Q1780" s="62" t="s">
        <v>19230</v>
      </c>
      <c r="R1780" s="64"/>
      <c r="S1780" s="75"/>
      <c r="T1780" s="75"/>
      <c r="U1780" s="65"/>
      <c r="V1780" s="62"/>
      <c r="W1780" s="65"/>
      <c r="X1780" s="62"/>
      <c r="Y1780" s="65"/>
      <c r="Z1780" s="73"/>
    </row>
    <row r="1781" spans="1:26" ht="15.75" customHeight="1" x14ac:dyDescent="0.25">
      <c r="A1781" s="67">
        <v>6</v>
      </c>
      <c r="B1781" s="68">
        <v>43841605</v>
      </c>
      <c r="C1781" s="68" t="s">
        <v>25254</v>
      </c>
      <c r="D1781" s="68" t="s">
        <v>25523</v>
      </c>
      <c r="E1781" s="68" t="s">
        <v>26597</v>
      </c>
      <c r="F1781" s="68"/>
      <c r="G1781" s="81" t="s">
        <v>19229</v>
      </c>
      <c r="H1781" s="69">
        <v>46191</v>
      </c>
      <c r="I1781" s="69">
        <v>46193</v>
      </c>
      <c r="J1781" s="68">
        <v>3</v>
      </c>
      <c r="K1781" s="68">
        <v>3</v>
      </c>
      <c r="L1781" s="68" t="s">
        <v>24995</v>
      </c>
      <c r="M1781" s="68" t="s">
        <v>24995</v>
      </c>
      <c r="N1781" s="62" t="s">
        <v>19269</v>
      </c>
      <c r="O1781" s="68" t="s">
        <v>2599</v>
      </c>
      <c r="P1781" s="42"/>
      <c r="Q1781" s="68" t="s">
        <v>19230</v>
      </c>
      <c r="R1781" s="67"/>
      <c r="S1781" s="77"/>
      <c r="T1781" s="76"/>
      <c r="U1781" s="65"/>
      <c r="V1781" s="68"/>
      <c r="W1781" s="70"/>
      <c r="X1781" s="68"/>
      <c r="Y1781" s="70"/>
      <c r="Z1781" s="72"/>
    </row>
    <row r="1782" spans="1:26" ht="15.75" customHeight="1" x14ac:dyDescent="0.25">
      <c r="A1782" s="64">
        <v>6</v>
      </c>
      <c r="B1782" s="62">
        <v>1002206888</v>
      </c>
      <c r="C1782" s="62" t="s">
        <v>25307</v>
      </c>
      <c r="D1782" s="62" t="s">
        <v>25173</v>
      </c>
      <c r="E1782" s="62" t="s">
        <v>26520</v>
      </c>
      <c r="F1782" s="62"/>
      <c r="G1782" s="81" t="s">
        <v>19229</v>
      </c>
      <c r="H1782" s="63">
        <v>46044</v>
      </c>
      <c r="I1782" s="63">
        <v>46044</v>
      </c>
      <c r="J1782" s="62">
        <v>1</v>
      </c>
      <c r="K1782" s="62">
        <v>1</v>
      </c>
      <c r="L1782" s="62" t="s">
        <v>24995</v>
      </c>
      <c r="M1782" s="62" t="s">
        <v>24995</v>
      </c>
      <c r="N1782" s="62" t="s">
        <v>19269</v>
      </c>
      <c r="O1782" s="62" t="s">
        <v>5279</v>
      </c>
      <c r="P1782" s="86"/>
      <c r="Q1782" s="62" t="s">
        <v>19230</v>
      </c>
      <c r="R1782" s="64"/>
      <c r="S1782" s="75"/>
      <c r="T1782" s="75"/>
      <c r="U1782" s="65"/>
      <c r="V1782" s="62"/>
      <c r="W1782" s="65"/>
      <c r="X1782" s="62"/>
      <c r="Y1782" s="65"/>
      <c r="Z1782" s="73"/>
    </row>
    <row r="1783" spans="1:26" ht="15.75" customHeight="1" x14ac:dyDescent="0.25">
      <c r="A1783" s="67">
        <v>6</v>
      </c>
      <c r="B1783" s="68">
        <v>98493617</v>
      </c>
      <c r="C1783" s="68" t="s">
        <v>25109</v>
      </c>
      <c r="D1783" s="68" t="s">
        <v>25497</v>
      </c>
      <c r="E1783" s="68" t="s">
        <v>25188</v>
      </c>
      <c r="F1783" s="68" t="s">
        <v>25064</v>
      </c>
      <c r="G1783" s="81" t="s">
        <v>19229</v>
      </c>
      <c r="H1783" s="69">
        <v>46196</v>
      </c>
      <c r="I1783" s="69">
        <v>46198</v>
      </c>
      <c r="J1783" s="68">
        <v>3</v>
      </c>
      <c r="K1783" s="68">
        <v>3</v>
      </c>
      <c r="L1783" s="68" t="s">
        <v>24995</v>
      </c>
      <c r="M1783" s="68" t="s">
        <v>24995</v>
      </c>
      <c r="N1783" s="62" t="s">
        <v>19269</v>
      </c>
      <c r="O1783" s="68" t="s">
        <v>3583</v>
      </c>
      <c r="P1783" s="42"/>
      <c r="Q1783" s="68" t="s">
        <v>19230</v>
      </c>
      <c r="R1783" s="67"/>
      <c r="S1783" s="77"/>
      <c r="T1783" s="76"/>
      <c r="U1783" s="65"/>
      <c r="V1783" s="68"/>
      <c r="W1783" s="70"/>
      <c r="X1783" s="68"/>
      <c r="Y1783" s="70"/>
      <c r="Z1783" s="72"/>
    </row>
    <row r="1784" spans="1:26" ht="15.75" customHeight="1" x14ac:dyDescent="0.25">
      <c r="A1784" s="64">
        <v>6</v>
      </c>
      <c r="B1784" s="62">
        <v>98648253</v>
      </c>
      <c r="C1784" s="62" t="s">
        <v>25343</v>
      </c>
      <c r="D1784" s="62" t="s">
        <v>25462</v>
      </c>
      <c r="E1784" s="62" t="s">
        <v>25483</v>
      </c>
      <c r="F1784" s="62" t="s">
        <v>25110</v>
      </c>
      <c r="G1784" s="81" t="s">
        <v>19229</v>
      </c>
      <c r="H1784" s="63">
        <v>46198</v>
      </c>
      <c r="I1784" s="63">
        <v>46204</v>
      </c>
      <c r="J1784" s="62">
        <v>7</v>
      </c>
      <c r="K1784" s="62">
        <v>7</v>
      </c>
      <c r="L1784" s="62" t="s">
        <v>19262</v>
      </c>
      <c r="M1784" s="62" t="s">
        <v>24995</v>
      </c>
      <c r="N1784" s="62" t="s">
        <v>19269</v>
      </c>
      <c r="O1784" s="62" t="s">
        <v>6936</v>
      </c>
      <c r="P1784" s="86"/>
      <c r="Q1784" s="62" t="s">
        <v>19230</v>
      </c>
      <c r="R1784" s="64"/>
      <c r="S1784" s="75"/>
      <c r="T1784" s="75"/>
      <c r="U1784" s="65"/>
      <c r="V1784" s="62"/>
      <c r="W1784" s="65"/>
      <c r="X1784" s="62"/>
      <c r="Y1784" s="65"/>
      <c r="Z1784" s="73"/>
    </row>
    <row r="1785" spans="1:26" ht="15.75" customHeight="1" x14ac:dyDescent="0.25">
      <c r="A1785" s="67">
        <v>6</v>
      </c>
      <c r="B1785" s="68">
        <v>32143746</v>
      </c>
      <c r="C1785" s="68" t="s">
        <v>25373</v>
      </c>
      <c r="D1785" s="68" t="s">
        <v>25034</v>
      </c>
      <c r="E1785" s="68" t="s">
        <v>26070</v>
      </c>
      <c r="F1785" s="68" t="s">
        <v>26071</v>
      </c>
      <c r="G1785" s="81" t="s">
        <v>19229</v>
      </c>
      <c r="H1785" s="69">
        <v>46198</v>
      </c>
      <c r="I1785" s="69">
        <v>46199</v>
      </c>
      <c r="J1785" s="68">
        <v>2</v>
      </c>
      <c r="K1785" s="68">
        <v>2</v>
      </c>
      <c r="L1785" s="68" t="s">
        <v>24995</v>
      </c>
      <c r="M1785" s="68" t="s">
        <v>24995</v>
      </c>
      <c r="N1785" s="62" t="s">
        <v>19269</v>
      </c>
      <c r="O1785" s="68" t="s">
        <v>4837</v>
      </c>
      <c r="P1785" s="42"/>
      <c r="Q1785" s="68" t="s">
        <v>19230</v>
      </c>
      <c r="R1785" s="67"/>
      <c r="S1785" s="77"/>
      <c r="T1785" s="76"/>
      <c r="U1785" s="65"/>
      <c r="V1785" s="68"/>
      <c r="W1785" s="70"/>
      <c r="X1785" s="68"/>
      <c r="Y1785" s="70"/>
      <c r="Z1785" s="72"/>
    </row>
    <row r="1786" spans="1:26" ht="15.75" customHeight="1" x14ac:dyDescent="0.25">
      <c r="A1786" s="64">
        <v>6</v>
      </c>
      <c r="B1786" s="62">
        <v>71794185</v>
      </c>
      <c r="C1786" s="62" t="s">
        <v>25331</v>
      </c>
      <c r="D1786" s="62" t="s">
        <v>25356</v>
      </c>
      <c r="E1786" s="62" t="s">
        <v>25056</v>
      </c>
      <c r="F1786" s="62" t="s">
        <v>25110</v>
      </c>
      <c r="G1786" s="81" t="s">
        <v>19229</v>
      </c>
      <c r="H1786" s="63">
        <v>46199</v>
      </c>
      <c r="I1786" s="63">
        <v>46200</v>
      </c>
      <c r="J1786" s="62">
        <v>2</v>
      </c>
      <c r="K1786" s="62">
        <v>2</v>
      </c>
      <c r="L1786" s="62" t="s">
        <v>24995</v>
      </c>
      <c r="M1786" s="62" t="s">
        <v>24995</v>
      </c>
      <c r="N1786" s="62" t="s">
        <v>19269</v>
      </c>
      <c r="O1786" s="62" t="s">
        <v>2588</v>
      </c>
      <c r="P1786" s="86"/>
      <c r="Q1786" s="62" t="s">
        <v>19230</v>
      </c>
      <c r="R1786" s="64"/>
      <c r="S1786" s="75"/>
      <c r="T1786" s="75"/>
      <c r="U1786" s="65"/>
      <c r="V1786" s="62"/>
      <c r="W1786" s="65"/>
      <c r="X1786" s="62"/>
      <c r="Y1786" s="65"/>
      <c r="Z1786" s="73"/>
    </row>
    <row r="1787" spans="1:26" x14ac:dyDescent="0.25">
      <c r="A1787" s="57">
        <v>6</v>
      </c>
      <c r="B1787">
        <v>1214737996</v>
      </c>
      <c r="C1787" s="88" t="s">
        <v>25547</v>
      </c>
      <c r="D1787" s="88" t="s">
        <v>25969</v>
      </c>
      <c r="E1787" s="88" t="s">
        <v>25970</v>
      </c>
      <c r="F1787" s="88" t="s">
        <v>25755</v>
      </c>
      <c r="G1787" s="57" t="s">
        <v>19229</v>
      </c>
      <c r="H1787" s="83">
        <v>46197</v>
      </c>
      <c r="I1787" s="83">
        <v>46211</v>
      </c>
      <c r="J1787" s="88">
        <v>15</v>
      </c>
      <c r="K1787" s="88">
        <v>6</v>
      </c>
      <c r="L1787" s="88" t="s">
        <v>19262</v>
      </c>
      <c r="M1787" s="88" t="s">
        <v>24995</v>
      </c>
      <c r="N1787" s="62" t="s">
        <v>19269</v>
      </c>
      <c r="O1787" s="88" t="s">
        <v>8417</v>
      </c>
      <c r="Q1787" s="88" t="s">
        <v>19231</v>
      </c>
    </row>
    <row r="1788" spans="1:26" x14ac:dyDescent="0.25">
      <c r="A1788" s="57">
        <v>6</v>
      </c>
      <c r="B1788" s="87">
        <v>98601485</v>
      </c>
      <c r="C1788" s="87" t="s">
        <v>25240</v>
      </c>
      <c r="D1788" s="87"/>
      <c r="E1788" s="87" t="s">
        <v>25241</v>
      </c>
      <c r="F1788" s="87" t="s">
        <v>25103</v>
      </c>
      <c r="G1788" s="57" t="s">
        <v>25328</v>
      </c>
      <c r="H1788" s="83">
        <v>46201</v>
      </c>
      <c r="I1788" s="83">
        <v>46215</v>
      </c>
      <c r="J1788" s="89">
        <v>15</v>
      </c>
      <c r="K1788" s="89">
        <v>2</v>
      </c>
      <c r="L1788" s="89" t="s">
        <v>19262</v>
      </c>
      <c r="M1788" s="89" t="s">
        <v>24995</v>
      </c>
      <c r="N1788" s="62" t="s">
        <v>19269</v>
      </c>
      <c r="O1788" s="89" t="s">
        <v>8419</v>
      </c>
      <c r="Q1788" s="89" t="s">
        <v>19230</v>
      </c>
    </row>
    <row r="1789" spans="1:26" x14ac:dyDescent="0.25">
      <c r="A1789" s="57">
        <v>6</v>
      </c>
      <c r="B1789" s="90">
        <v>71701610</v>
      </c>
      <c r="C1789" s="90" t="s">
        <v>25634</v>
      </c>
      <c r="D1789" s="90" t="s">
        <v>25509</v>
      </c>
      <c r="E1789" s="90" t="s">
        <v>25739</v>
      </c>
      <c r="F1789" s="90" t="s">
        <v>25734</v>
      </c>
      <c r="G1789" s="84" t="s">
        <v>19285</v>
      </c>
      <c r="H1789" s="83">
        <v>46187</v>
      </c>
      <c r="I1789" s="83">
        <v>46201</v>
      </c>
      <c r="J1789" s="88">
        <v>15</v>
      </c>
      <c r="K1789" s="88">
        <v>14</v>
      </c>
      <c r="L1789" s="88" t="s">
        <v>19262</v>
      </c>
      <c r="M1789" s="88" t="s">
        <v>24995</v>
      </c>
      <c r="N1789" s="62" t="s">
        <v>19269</v>
      </c>
      <c r="O1789" s="88" t="s">
        <v>3259</v>
      </c>
      <c r="Q1789" s="88" t="s">
        <v>19231</v>
      </c>
    </row>
    <row r="1790" spans="1:26" ht="15.75" customHeight="1" x14ac:dyDescent="0.25">
      <c r="A1790" s="64">
        <v>6</v>
      </c>
      <c r="B1790" s="62">
        <v>15405524</v>
      </c>
      <c r="C1790" s="62" t="s">
        <v>25049</v>
      </c>
      <c r="D1790" s="62" t="s">
        <v>25127</v>
      </c>
      <c r="E1790" s="62" t="s">
        <v>26307</v>
      </c>
      <c r="F1790" s="62"/>
      <c r="G1790" s="81" t="s">
        <v>19229</v>
      </c>
      <c r="H1790" s="63">
        <v>46198</v>
      </c>
      <c r="I1790" s="63">
        <v>46202</v>
      </c>
      <c r="J1790" s="62">
        <v>5</v>
      </c>
      <c r="K1790" s="62">
        <v>5</v>
      </c>
      <c r="L1790" s="62" t="s">
        <v>24995</v>
      </c>
      <c r="M1790" s="62" t="s">
        <v>24995</v>
      </c>
      <c r="N1790" s="62" t="s">
        <v>19269</v>
      </c>
      <c r="O1790" s="62" t="s">
        <v>6936</v>
      </c>
      <c r="P1790" s="86"/>
      <c r="Q1790" s="62" t="s">
        <v>26598</v>
      </c>
      <c r="R1790" s="64"/>
      <c r="S1790" s="75"/>
      <c r="T1790" s="75"/>
      <c r="U1790" s="65"/>
      <c r="V1790" s="62"/>
      <c r="W1790" s="65"/>
      <c r="X1790" s="62"/>
      <c r="Y1790" s="65"/>
      <c r="Z1790" s="73"/>
    </row>
    <row r="1791" spans="1:26" x14ac:dyDescent="0.25">
      <c r="A1791" s="57">
        <v>7</v>
      </c>
      <c r="B1791" s="90">
        <v>15405524</v>
      </c>
      <c r="C1791" s="90" t="s">
        <v>25049</v>
      </c>
      <c r="D1791" s="90" t="s">
        <v>25127</v>
      </c>
      <c r="E1791" s="90" t="s">
        <v>26307</v>
      </c>
      <c r="F1791" s="90"/>
      <c r="G1791" s="84" t="s">
        <v>19229</v>
      </c>
      <c r="H1791" s="83">
        <v>46204</v>
      </c>
      <c r="I1791" s="83">
        <v>46210</v>
      </c>
      <c r="J1791" s="88">
        <v>7</v>
      </c>
      <c r="K1791" s="88">
        <v>7</v>
      </c>
      <c r="L1791" s="88" t="s">
        <v>24995</v>
      </c>
      <c r="M1791" s="88" t="s">
        <v>24995</v>
      </c>
      <c r="N1791" s="62" t="s">
        <v>19269</v>
      </c>
      <c r="O1791" s="88" t="s">
        <v>4148</v>
      </c>
      <c r="Q1791" s="88" t="s">
        <v>26598</v>
      </c>
    </row>
    <row r="1792" spans="1:26" ht="15.75" customHeight="1" x14ac:dyDescent="0.25">
      <c r="A1792" s="64">
        <v>7</v>
      </c>
      <c r="B1792" s="62">
        <v>8373954</v>
      </c>
      <c r="C1792" s="62" t="s">
        <v>25723</v>
      </c>
      <c r="D1792" s="62" t="s">
        <v>25576</v>
      </c>
      <c r="E1792" s="62" t="s">
        <v>26007</v>
      </c>
      <c r="F1792" s="62"/>
      <c r="G1792" s="81" t="s">
        <v>19229</v>
      </c>
      <c r="H1792" s="63">
        <v>46204</v>
      </c>
      <c r="I1792" s="63">
        <v>46218</v>
      </c>
      <c r="J1792" s="62">
        <v>15</v>
      </c>
      <c r="K1792" s="62">
        <v>15</v>
      </c>
      <c r="L1792" s="62" t="s">
        <v>24995</v>
      </c>
      <c r="M1792" s="62" t="s">
        <v>24995</v>
      </c>
      <c r="N1792" s="62" t="s">
        <v>19269</v>
      </c>
      <c r="O1792" s="62" t="s">
        <v>2271</v>
      </c>
      <c r="P1792" s="86"/>
      <c r="Q1792" s="62" t="s">
        <v>19230</v>
      </c>
      <c r="R1792" s="64"/>
      <c r="S1792" s="75"/>
      <c r="T1792" s="75"/>
      <c r="U1792" s="65"/>
      <c r="V1792" s="62"/>
      <c r="W1792" s="65"/>
      <c r="X1792" s="62"/>
      <c r="Y1792" s="65"/>
      <c r="Z1792" s="73"/>
    </row>
    <row r="1793" spans="1:26" x14ac:dyDescent="0.25">
      <c r="A1793" s="57">
        <v>7</v>
      </c>
      <c r="B1793" s="90">
        <v>71083889</v>
      </c>
      <c r="C1793" s="90" t="s">
        <v>25043</v>
      </c>
      <c r="D1793" s="90" t="s">
        <v>25901</v>
      </c>
      <c r="E1793" s="90" t="s">
        <v>26572</v>
      </c>
      <c r="F1793" s="90" t="s">
        <v>25064</v>
      </c>
      <c r="G1793" s="84" t="s">
        <v>19229</v>
      </c>
      <c r="H1793" s="83">
        <v>46205</v>
      </c>
      <c r="I1793" s="83">
        <v>46205</v>
      </c>
      <c r="J1793" s="88">
        <v>1</v>
      </c>
      <c r="K1793" s="88">
        <v>1</v>
      </c>
      <c r="L1793" s="88" t="s">
        <v>24995</v>
      </c>
      <c r="M1793" s="88" t="s">
        <v>24995</v>
      </c>
      <c r="N1793" s="62" t="s">
        <v>19269</v>
      </c>
      <c r="O1793" s="88" t="s">
        <v>15281</v>
      </c>
      <c r="Q1793" s="88" t="s">
        <v>19232</v>
      </c>
    </row>
    <row r="1794" spans="1:26" ht="15.75" customHeight="1" x14ac:dyDescent="0.25">
      <c r="A1794" s="64">
        <v>6</v>
      </c>
      <c r="B1794" s="62">
        <v>1002206888</v>
      </c>
      <c r="C1794" s="62" t="s">
        <v>25307</v>
      </c>
      <c r="D1794" s="62" t="s">
        <v>25173</v>
      </c>
      <c r="E1794" s="62" t="s">
        <v>26520</v>
      </c>
      <c r="F1794" s="62"/>
      <c r="G1794" s="81" t="s">
        <v>19229</v>
      </c>
      <c r="H1794" s="63">
        <v>46196</v>
      </c>
      <c r="I1794" s="63">
        <v>46202</v>
      </c>
      <c r="J1794" s="62">
        <v>7</v>
      </c>
      <c r="K1794" s="62">
        <v>7</v>
      </c>
      <c r="L1794" s="62" t="s">
        <v>24995</v>
      </c>
      <c r="M1794" s="62" t="s">
        <v>24995</v>
      </c>
      <c r="N1794" s="62" t="s">
        <v>19269</v>
      </c>
      <c r="O1794" s="62" t="s">
        <v>5279</v>
      </c>
      <c r="P1794" s="86"/>
      <c r="Q1794" s="62" t="s">
        <v>19230</v>
      </c>
      <c r="R1794" s="64"/>
      <c r="S1794" s="75"/>
      <c r="T1794" s="75"/>
      <c r="U1794" s="65"/>
      <c r="V1794" s="62"/>
      <c r="W1794" s="65"/>
      <c r="X1794" s="62"/>
      <c r="Y1794" s="65"/>
      <c r="Z1794" s="73"/>
    </row>
    <row r="1795" spans="1:26" x14ac:dyDescent="0.25">
      <c r="A1795" s="57">
        <v>6</v>
      </c>
      <c r="B1795" s="90">
        <v>3985121</v>
      </c>
      <c r="C1795" s="90" t="s">
        <v>26565</v>
      </c>
      <c r="D1795" s="90"/>
      <c r="E1795" s="90" t="s">
        <v>25150</v>
      </c>
      <c r="F1795" s="90"/>
      <c r="G1795" s="84" t="s">
        <v>26599</v>
      </c>
      <c r="H1795" s="83">
        <v>46192</v>
      </c>
      <c r="I1795" s="83">
        <v>46206</v>
      </c>
      <c r="J1795" s="88">
        <v>15</v>
      </c>
      <c r="K1795" s="88">
        <v>11</v>
      </c>
      <c r="L1795" s="88" t="s">
        <v>24995</v>
      </c>
      <c r="M1795" s="88" t="s">
        <v>24995</v>
      </c>
      <c r="N1795" s="62" t="s">
        <v>19269</v>
      </c>
      <c r="O1795" s="88" t="s">
        <v>7724</v>
      </c>
      <c r="Q1795" s="88" t="s">
        <v>19230</v>
      </c>
    </row>
    <row r="1796" spans="1:26" x14ac:dyDescent="0.25">
      <c r="A1796" s="57">
        <v>6</v>
      </c>
      <c r="B1796" s="91">
        <v>98493617</v>
      </c>
      <c r="C1796" s="91" t="s">
        <v>25085</v>
      </c>
      <c r="D1796" s="90" t="s">
        <v>25497</v>
      </c>
      <c r="E1796" s="90" t="s">
        <v>25188</v>
      </c>
      <c r="F1796" s="90" t="s">
        <v>25064</v>
      </c>
      <c r="G1796" s="57" t="s">
        <v>19229</v>
      </c>
      <c r="H1796" s="83">
        <v>46196</v>
      </c>
      <c r="I1796" s="83">
        <v>46198</v>
      </c>
      <c r="J1796" s="89">
        <v>2</v>
      </c>
      <c r="K1796" s="89">
        <v>2</v>
      </c>
      <c r="L1796" s="89" t="s">
        <v>24995</v>
      </c>
      <c r="M1796" s="89" t="s">
        <v>24995</v>
      </c>
      <c r="N1796" s="62" t="s">
        <v>19269</v>
      </c>
      <c r="O1796" s="89" t="s">
        <v>3583</v>
      </c>
      <c r="Q1796" s="89" t="s">
        <v>19230</v>
      </c>
    </row>
    <row r="1797" spans="1:26" x14ac:dyDescent="0.25">
      <c r="A1797" s="57">
        <v>6</v>
      </c>
      <c r="B1797" s="85">
        <v>8407241</v>
      </c>
      <c r="C1797" s="85" t="s">
        <v>25776</v>
      </c>
      <c r="D1797" s="87" t="s">
        <v>25030</v>
      </c>
      <c r="E1797" s="87" t="s">
        <v>19256</v>
      </c>
      <c r="F1797" s="87" t="s">
        <v>25005</v>
      </c>
      <c r="G1797" s="84" t="s">
        <v>19285</v>
      </c>
      <c r="H1797" s="83">
        <v>46051</v>
      </c>
      <c r="I1797" s="83">
        <v>46204</v>
      </c>
      <c r="J1797" s="88">
        <v>2</v>
      </c>
      <c r="K1797" s="88">
        <v>1</v>
      </c>
      <c r="L1797" s="88" t="s">
        <v>19262</v>
      </c>
      <c r="M1797" s="88" t="s">
        <v>24995</v>
      </c>
      <c r="N1797" s="62" t="s">
        <v>19269</v>
      </c>
      <c r="O1797" s="88" t="s">
        <v>3988</v>
      </c>
      <c r="Q1797" s="88" t="s">
        <v>19230</v>
      </c>
    </row>
    <row r="1798" spans="1:26" x14ac:dyDescent="0.25">
      <c r="A1798" s="57">
        <v>7</v>
      </c>
      <c r="B1798" s="85">
        <v>8407241</v>
      </c>
      <c r="C1798" s="85" t="s">
        <v>25776</v>
      </c>
      <c r="D1798" s="87" t="s">
        <v>25030</v>
      </c>
      <c r="E1798" s="87" t="s">
        <v>19256</v>
      </c>
      <c r="F1798" s="87" t="s">
        <v>25005</v>
      </c>
      <c r="G1798" s="84" t="s">
        <v>19285</v>
      </c>
      <c r="H1798" s="83">
        <v>46205</v>
      </c>
      <c r="I1798" s="83">
        <v>46207</v>
      </c>
      <c r="J1798" s="89">
        <v>3</v>
      </c>
      <c r="K1798" s="89">
        <v>3</v>
      </c>
      <c r="L1798" s="89" t="s">
        <v>19262</v>
      </c>
      <c r="M1798" s="89" t="s">
        <v>24995</v>
      </c>
      <c r="N1798" s="62" t="s">
        <v>19269</v>
      </c>
      <c r="O1798" s="88" t="s">
        <v>3988</v>
      </c>
      <c r="Q1798" s="88" t="s">
        <v>19230</v>
      </c>
    </row>
    <row r="1799" spans="1:26" x14ac:dyDescent="0.25">
      <c r="A1799" s="57">
        <v>7</v>
      </c>
      <c r="B1799" s="85">
        <v>8407241</v>
      </c>
      <c r="C1799" s="85" t="s">
        <v>25776</v>
      </c>
      <c r="D1799" s="87" t="s">
        <v>25030</v>
      </c>
      <c r="E1799" s="87" t="s">
        <v>19256</v>
      </c>
      <c r="F1799" s="87" t="s">
        <v>25005</v>
      </c>
      <c r="G1799" s="84" t="s">
        <v>19285</v>
      </c>
      <c r="H1799" s="83">
        <v>46208</v>
      </c>
      <c r="I1799" s="83">
        <v>46209</v>
      </c>
      <c r="J1799" s="88">
        <v>2</v>
      </c>
      <c r="K1799" s="88">
        <v>2</v>
      </c>
      <c r="L1799" s="88" t="s">
        <v>19262</v>
      </c>
      <c r="M1799" s="88" t="s">
        <v>24995</v>
      </c>
      <c r="N1799" s="62" t="s">
        <v>19269</v>
      </c>
      <c r="O1799" s="88" t="s">
        <v>3988</v>
      </c>
      <c r="Q1799" s="88" t="s">
        <v>19230</v>
      </c>
    </row>
    <row r="1800" spans="1:26" x14ac:dyDescent="0.25">
      <c r="A1800" s="57">
        <v>7</v>
      </c>
      <c r="B1800" s="85">
        <v>1039023335</v>
      </c>
      <c r="C1800" s="85" t="s">
        <v>25403</v>
      </c>
      <c r="D1800" s="87" t="s">
        <v>25117</v>
      </c>
      <c r="E1800" s="87" t="s">
        <v>26175</v>
      </c>
      <c r="F1800" s="87"/>
      <c r="G1800" s="84" t="s">
        <v>19229</v>
      </c>
      <c r="H1800" s="83">
        <v>46207</v>
      </c>
      <c r="I1800" s="83">
        <v>46207</v>
      </c>
      <c r="J1800" s="88">
        <v>1</v>
      </c>
      <c r="K1800" s="88">
        <v>1</v>
      </c>
      <c r="L1800" s="88" t="s">
        <v>24995</v>
      </c>
      <c r="M1800" s="88" t="s">
        <v>24995</v>
      </c>
      <c r="N1800" s="62" t="s">
        <v>19269</v>
      </c>
      <c r="O1800" s="88" t="s">
        <v>2593</v>
      </c>
      <c r="Q1800" s="88" t="s">
        <v>19230</v>
      </c>
    </row>
    <row r="1801" spans="1:26" x14ac:dyDescent="0.25">
      <c r="A1801" s="57">
        <v>7</v>
      </c>
      <c r="B1801" s="87">
        <v>1216716253</v>
      </c>
      <c r="C1801" s="87" t="s">
        <v>25372</v>
      </c>
      <c r="D1801" s="87" t="s">
        <v>25109</v>
      </c>
      <c r="E1801" s="87" t="s">
        <v>26539</v>
      </c>
      <c r="F1801" s="87" t="s">
        <v>26540</v>
      </c>
      <c r="G1801" s="84" t="s">
        <v>19229</v>
      </c>
      <c r="H1801" s="83">
        <v>46207</v>
      </c>
      <c r="I1801" s="83">
        <v>46207</v>
      </c>
      <c r="J1801" s="88">
        <v>1</v>
      </c>
      <c r="K1801" s="88">
        <v>1</v>
      </c>
      <c r="L1801" s="88" t="s">
        <v>24995</v>
      </c>
      <c r="M1801" s="88" t="s">
        <v>24995</v>
      </c>
      <c r="N1801" s="62" t="s">
        <v>19269</v>
      </c>
      <c r="O1801" s="88" t="s">
        <v>5247</v>
      </c>
      <c r="Q1801" s="88" t="s">
        <v>19230</v>
      </c>
    </row>
    <row r="1802" spans="1:26" x14ac:dyDescent="0.25">
      <c r="A1802" s="57">
        <v>6</v>
      </c>
      <c r="B1802" s="92">
        <v>1000657770</v>
      </c>
      <c r="C1802" s="92" t="s">
        <v>24980</v>
      </c>
      <c r="D1802" s="92" t="s">
        <v>26601</v>
      </c>
      <c r="E1802" s="92" t="s">
        <v>25096</v>
      </c>
      <c r="G1802" s="57" t="s">
        <v>19229</v>
      </c>
      <c r="H1802" s="83">
        <v>46198</v>
      </c>
      <c r="I1802" s="83">
        <v>46211</v>
      </c>
      <c r="J1802" s="88">
        <v>15</v>
      </c>
      <c r="K1802" s="88">
        <v>5</v>
      </c>
      <c r="L1802" s="88" t="s">
        <v>24995</v>
      </c>
      <c r="M1802" s="88" t="s">
        <v>24995</v>
      </c>
      <c r="N1802" s="62" t="s">
        <v>19269</v>
      </c>
      <c r="O1802" s="88" t="s">
        <v>5851</v>
      </c>
      <c r="Q1802" s="88" t="s">
        <v>19230</v>
      </c>
    </row>
    <row r="1803" spans="1:26" x14ac:dyDescent="0.25">
      <c r="A1803" s="57">
        <v>7</v>
      </c>
      <c r="B1803" s="92">
        <v>8407241</v>
      </c>
      <c r="C1803" s="92" t="s">
        <v>25776</v>
      </c>
      <c r="D1803" s="92" t="s">
        <v>25030</v>
      </c>
      <c r="E1803" s="92" t="s">
        <v>25168</v>
      </c>
      <c r="F1803" s="98" t="s">
        <v>25005</v>
      </c>
      <c r="G1803" s="57" t="s">
        <v>19229</v>
      </c>
      <c r="H1803" s="83">
        <v>46211</v>
      </c>
      <c r="I1803" s="83">
        <v>46212</v>
      </c>
      <c r="J1803" s="88">
        <v>2</v>
      </c>
      <c r="K1803" s="88">
        <v>2</v>
      </c>
      <c r="L1803" s="88" t="s">
        <v>19262</v>
      </c>
      <c r="M1803" s="88" t="s">
        <v>24995</v>
      </c>
      <c r="N1803" s="99" t="s">
        <v>19269</v>
      </c>
      <c r="O1803" s="88" t="s">
        <v>3985</v>
      </c>
      <c r="Q1803" s="88" t="s">
        <v>19230</v>
      </c>
    </row>
    <row r="1804" spans="1:26" x14ac:dyDescent="0.25">
      <c r="A1804" s="57">
        <v>7</v>
      </c>
      <c r="B1804" s="100">
        <v>71753196</v>
      </c>
      <c r="C1804" s="92" t="s">
        <v>25707</v>
      </c>
      <c r="D1804" s="92" t="s">
        <v>25593</v>
      </c>
      <c r="E1804" s="92" t="s">
        <v>25203</v>
      </c>
      <c r="F1804" s="98" t="s">
        <v>25909</v>
      </c>
      <c r="G1804" s="57" t="s">
        <v>19229</v>
      </c>
      <c r="H1804" s="83">
        <v>46210</v>
      </c>
      <c r="I1804" s="83">
        <v>46211</v>
      </c>
      <c r="J1804" s="88">
        <v>2</v>
      </c>
      <c r="K1804" s="88">
        <v>2</v>
      </c>
      <c r="L1804" s="88" t="s">
        <v>24995</v>
      </c>
      <c r="M1804" s="88" t="s">
        <v>24995</v>
      </c>
      <c r="N1804" s="99" t="s">
        <v>19263</v>
      </c>
      <c r="O1804" s="88" t="s">
        <v>7231</v>
      </c>
      <c r="Q1804" s="88" t="s">
        <v>19254</v>
      </c>
    </row>
    <row r="1805" spans="1:26" x14ac:dyDescent="0.25">
      <c r="A1805" s="57">
        <v>7</v>
      </c>
      <c r="B1805" s="101">
        <v>71185910</v>
      </c>
      <c r="C1805" s="92" t="s">
        <v>26077</v>
      </c>
      <c r="D1805" s="92" t="s">
        <v>25443</v>
      </c>
      <c r="E1805" s="92" t="s">
        <v>25789</v>
      </c>
      <c r="F1805" s="98" t="s">
        <v>25135</v>
      </c>
      <c r="G1805" s="57" t="s">
        <v>19229</v>
      </c>
      <c r="H1805" s="83">
        <v>46206</v>
      </c>
      <c r="I1805" s="83">
        <v>46212</v>
      </c>
      <c r="J1805" s="88">
        <v>7</v>
      </c>
      <c r="K1805" s="88">
        <v>7</v>
      </c>
      <c r="L1805" s="88" t="s">
        <v>24995</v>
      </c>
      <c r="M1805" s="88" t="s">
        <v>24995</v>
      </c>
      <c r="N1805" s="99" t="s">
        <v>19269</v>
      </c>
      <c r="O1805" s="88" t="s">
        <v>1365</v>
      </c>
    </row>
  </sheetData>
  <phoneticPr fontId="14" type="noConversion"/>
  <dataValidations count="5">
    <dataValidation type="date" allowBlank="1" showInputMessage="1" showErrorMessage="1" sqref="H541:I567 H675:I813" xr:uid="{00000000-0002-0000-0000-000000000000}">
      <formula1>44562</formula1>
      <formula2>47848</formula2>
    </dataValidation>
    <dataValidation type="decimal" allowBlank="1" showErrorMessage="1" sqref="B292" xr:uid="{00000000-0002-0000-0000-000001000000}">
      <formula1>1000000</formula1>
      <formula2>2000000000</formula2>
    </dataValidation>
    <dataValidation type="date" allowBlank="1" showErrorMessage="1" sqref="H4:I460 I461 H655:I667 H669:I674 H462:I540" xr:uid="{00000000-0002-0000-0000-000002000000}">
      <formula1>44562</formula1>
      <formula2>47848</formula2>
    </dataValidation>
    <dataValidation type="whole" allowBlank="1" showInputMessage="1" showErrorMessage="1" sqref="B1486 B1494 B1786 B1790:B1793 B1795 B1800" xr:uid="{DCA7F811-A67D-441D-B828-28CCB4F2C83A}">
      <formula1>1000000</formula1>
      <formula2>2000000000</formula2>
    </dataValidation>
    <dataValidation allowBlank="1" showInputMessage="1" showErrorMessage="1" promptTitle="NOMBRE DEL DIAGNOSTICO" prompt="¡NO DIGITAR!" sqref="P4:P1780" xr:uid="{00000000-0002-0000-0000-000003000000}"/>
  </dataValidations>
  <pageMargins left="0.7" right="0.7" top="0.75" bottom="0.75" header="0.3" footer="0.3"/>
  <pageSetup paperSize="14" scale="1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Y2267"/>
  <sheetViews>
    <sheetView zoomScale="90" zoomScaleNormal="90" workbookViewId="0">
      <pane ySplit="1" topLeftCell="A1587" activePane="bottomLeft" state="frozen"/>
      <selection pane="bottomLeft" activeCell="N1614" sqref="N1614"/>
    </sheetView>
  </sheetViews>
  <sheetFormatPr baseColWidth="10" defaultColWidth="11.42578125" defaultRowHeight="15" x14ac:dyDescent="0.25"/>
  <cols>
    <col min="1" max="1" width="14.7109375" style="31" customWidth="1"/>
    <col min="2" max="2" width="14.140625" style="31" customWidth="1"/>
    <col min="3" max="3" width="14.7109375" style="31" customWidth="1"/>
    <col min="4" max="4" width="14.42578125" style="31" customWidth="1"/>
    <col min="5" max="5" width="13.28515625" style="31" customWidth="1"/>
    <col min="6" max="6" width="18.5703125" style="31" customWidth="1"/>
    <col min="7" max="7" width="16.5703125" style="31" customWidth="1"/>
    <col min="8" max="8" width="23.7109375" style="31" customWidth="1"/>
    <col min="9" max="10" width="12.42578125" style="31" customWidth="1"/>
    <col min="11" max="11" width="11.42578125" style="31" customWidth="1"/>
    <col min="12" max="12" width="10.85546875" style="32" customWidth="1"/>
    <col min="13" max="13" width="32.42578125" style="26" customWidth="1"/>
    <col min="14" max="16" width="16.5703125" style="26" customWidth="1"/>
    <col min="17" max="17" width="14.85546875" style="26" customWidth="1"/>
    <col min="18" max="16384" width="11.42578125" style="26"/>
  </cols>
  <sheetData>
    <row r="1" spans="1:25" ht="28.5" customHeight="1" x14ac:dyDescent="0.25">
      <c r="A1" s="39" t="s">
        <v>19242</v>
      </c>
      <c r="B1" s="47" t="s">
        <v>19237</v>
      </c>
      <c r="C1" s="39" t="s">
        <v>19233</v>
      </c>
      <c r="D1" s="39" t="s">
        <v>19234</v>
      </c>
      <c r="E1" s="39" t="s">
        <v>19235</v>
      </c>
      <c r="F1" s="39" t="s">
        <v>19236</v>
      </c>
      <c r="G1" s="47" t="s">
        <v>13</v>
      </c>
      <c r="H1" s="39" t="s">
        <v>19255</v>
      </c>
      <c r="I1" s="39" t="s">
        <v>19282</v>
      </c>
      <c r="J1" s="39" t="s">
        <v>19283</v>
      </c>
      <c r="K1" s="47" t="s">
        <v>19241</v>
      </c>
      <c r="L1" s="33" t="s">
        <v>19245</v>
      </c>
      <c r="M1" s="47" t="s">
        <v>14</v>
      </c>
      <c r="N1" s="48" t="s">
        <v>12476</v>
      </c>
      <c r="O1" s="48" t="s">
        <v>12477</v>
      </c>
      <c r="P1" s="48" t="s">
        <v>12482</v>
      </c>
      <c r="Q1" s="34" t="s">
        <v>19247</v>
      </c>
    </row>
    <row r="2" spans="1:25" ht="17.25" customHeight="1" x14ac:dyDescent="0.25">
      <c r="A2" s="28" t="s">
        <v>9</v>
      </c>
      <c r="B2" s="28">
        <v>1017238420</v>
      </c>
      <c r="C2" s="38" t="s">
        <v>25659</v>
      </c>
      <c r="D2" s="38" t="s">
        <v>25561</v>
      </c>
      <c r="E2" s="38" t="s">
        <v>25183</v>
      </c>
      <c r="F2" s="38" t="s">
        <v>25185</v>
      </c>
      <c r="G2" s="28" t="s">
        <v>19285</v>
      </c>
      <c r="H2" s="28" t="s">
        <v>19238</v>
      </c>
      <c r="I2" s="30">
        <v>1017</v>
      </c>
      <c r="J2" s="30">
        <v>45206</v>
      </c>
      <c r="K2" s="51">
        <v>15</v>
      </c>
      <c r="L2" s="29"/>
      <c r="M2" s="27" t="s">
        <v>19257</v>
      </c>
      <c r="N2" s="27"/>
      <c r="O2" s="27"/>
      <c r="P2" s="27"/>
      <c r="Q2" s="27"/>
      <c r="R2" s="27"/>
      <c r="S2" s="27"/>
      <c r="T2" s="27"/>
      <c r="U2" s="27"/>
      <c r="V2" s="27"/>
      <c r="W2" s="27"/>
      <c r="X2" s="27"/>
      <c r="Y2" s="27"/>
    </row>
    <row r="3" spans="1:25" ht="17.25" customHeight="1" x14ac:dyDescent="0.25">
      <c r="A3" s="28" t="s">
        <v>0</v>
      </c>
      <c r="B3" s="28">
        <v>1007640349</v>
      </c>
      <c r="C3" s="28" t="s">
        <v>25088</v>
      </c>
      <c r="D3" s="28" t="s">
        <v>25038</v>
      </c>
      <c r="E3" s="28" t="s">
        <v>25035</v>
      </c>
      <c r="F3" s="28" t="s">
        <v>25089</v>
      </c>
      <c r="G3" s="28" t="s">
        <v>19229</v>
      </c>
      <c r="H3" s="19" t="s">
        <v>19239</v>
      </c>
      <c r="I3" s="20">
        <v>44585</v>
      </c>
      <c r="J3" s="20">
        <v>44585</v>
      </c>
      <c r="K3" s="24">
        <v>1</v>
      </c>
      <c r="L3" s="29">
        <v>6</v>
      </c>
      <c r="M3" s="27" t="s">
        <v>25036</v>
      </c>
      <c r="N3" s="27"/>
      <c r="O3" s="27"/>
      <c r="P3" s="27"/>
      <c r="Q3" s="27"/>
      <c r="R3" s="27"/>
      <c r="S3" s="27"/>
      <c r="T3" s="27"/>
      <c r="U3" s="27"/>
      <c r="V3" s="27"/>
      <c r="W3" s="27"/>
      <c r="X3" s="27"/>
      <c r="Y3" s="27"/>
    </row>
    <row r="4" spans="1:25" ht="17.25" customHeight="1" x14ac:dyDescent="0.25">
      <c r="A4" s="28" t="s">
        <v>0</v>
      </c>
      <c r="B4" s="28">
        <v>1017171191</v>
      </c>
      <c r="C4" s="38" t="s">
        <v>24980</v>
      </c>
      <c r="D4" s="38" t="s">
        <v>19258</v>
      </c>
      <c r="E4" s="38" t="s">
        <v>19256</v>
      </c>
      <c r="F4" s="38" t="s">
        <v>24988</v>
      </c>
      <c r="G4" s="28" t="s">
        <v>19229</v>
      </c>
      <c r="H4" s="28" t="s">
        <v>19238</v>
      </c>
      <c r="I4" s="30">
        <v>44732</v>
      </c>
      <c r="J4" s="30">
        <v>44739</v>
      </c>
      <c r="K4" s="51">
        <v>8</v>
      </c>
      <c r="L4" s="29"/>
      <c r="M4" s="27" t="s">
        <v>19257</v>
      </c>
      <c r="N4" s="27"/>
      <c r="O4" s="27"/>
      <c r="P4" s="27"/>
      <c r="Q4" s="27"/>
      <c r="R4" s="27"/>
      <c r="S4" s="27"/>
      <c r="T4" s="27"/>
      <c r="U4" s="27"/>
      <c r="V4" s="27"/>
      <c r="W4" s="27"/>
      <c r="X4" s="27"/>
      <c r="Y4" s="27"/>
    </row>
    <row r="5" spans="1:25" ht="17.25" customHeight="1" x14ac:dyDescent="0.25">
      <c r="A5" s="28" t="s">
        <v>0</v>
      </c>
      <c r="B5" s="25">
        <v>1033373975</v>
      </c>
      <c r="C5" s="25" t="s">
        <v>25072</v>
      </c>
      <c r="D5" s="25" t="s">
        <v>25073</v>
      </c>
      <c r="E5" s="25" t="s">
        <v>25074</v>
      </c>
      <c r="F5" s="25" t="s">
        <v>25023</v>
      </c>
      <c r="G5" s="25" t="s">
        <v>19229</v>
      </c>
      <c r="H5" s="21" t="s">
        <v>19240</v>
      </c>
      <c r="I5" s="22">
        <v>44927</v>
      </c>
      <c r="J5" s="22">
        <v>44941</v>
      </c>
      <c r="K5" s="35">
        <v>9</v>
      </c>
      <c r="L5" s="23"/>
      <c r="M5" s="36" t="s">
        <v>24991</v>
      </c>
      <c r="N5" s="27"/>
      <c r="O5" s="27"/>
      <c r="P5" s="27"/>
      <c r="Q5" s="27"/>
      <c r="R5" s="27"/>
      <c r="S5" s="27"/>
      <c r="T5" s="27"/>
      <c r="U5" s="27"/>
      <c r="V5" s="27"/>
      <c r="W5" s="27"/>
      <c r="X5" s="27"/>
      <c r="Y5" s="27"/>
    </row>
    <row r="6" spans="1:25" ht="17.25" customHeight="1" x14ac:dyDescent="0.25">
      <c r="A6" s="28" t="s">
        <v>0</v>
      </c>
      <c r="B6" s="25">
        <v>98514610</v>
      </c>
      <c r="C6" s="25" t="s">
        <v>24987</v>
      </c>
      <c r="D6" s="25" t="s">
        <v>24984</v>
      </c>
      <c r="E6" s="25" t="s">
        <v>19278</v>
      </c>
      <c r="F6" s="25" t="s">
        <v>24986</v>
      </c>
      <c r="G6" s="25" t="s">
        <v>19229</v>
      </c>
      <c r="H6" s="21" t="s">
        <v>19238</v>
      </c>
      <c r="I6" s="22">
        <v>44928</v>
      </c>
      <c r="J6" s="22">
        <v>45170</v>
      </c>
      <c r="K6" s="35">
        <v>8</v>
      </c>
      <c r="L6" s="23"/>
      <c r="M6" s="36" t="s">
        <v>19257</v>
      </c>
      <c r="N6" s="27"/>
      <c r="O6" s="27"/>
      <c r="P6" s="27"/>
      <c r="Q6" s="27"/>
      <c r="R6" s="27"/>
      <c r="S6" s="27"/>
      <c r="T6" s="27"/>
      <c r="U6" s="27"/>
      <c r="V6" s="27"/>
      <c r="W6" s="27"/>
      <c r="X6" s="27"/>
      <c r="Y6" s="27"/>
    </row>
    <row r="7" spans="1:25" ht="17.25" customHeight="1" x14ac:dyDescent="0.25">
      <c r="A7" s="28" t="s">
        <v>0</v>
      </c>
      <c r="B7" s="25">
        <v>3556779</v>
      </c>
      <c r="C7" s="25" t="s">
        <v>25008</v>
      </c>
      <c r="D7" s="25" t="s">
        <v>24992</v>
      </c>
      <c r="E7" s="25" t="s">
        <v>25009</v>
      </c>
      <c r="F7" s="25" t="s">
        <v>25010</v>
      </c>
      <c r="G7" s="25" t="s">
        <v>19229</v>
      </c>
      <c r="H7" s="21" t="s">
        <v>19240</v>
      </c>
      <c r="I7" s="22">
        <v>44928</v>
      </c>
      <c r="J7" s="22">
        <v>44928</v>
      </c>
      <c r="K7" s="35">
        <v>1</v>
      </c>
      <c r="L7" s="23"/>
      <c r="M7" s="36" t="s">
        <v>24991</v>
      </c>
      <c r="N7" s="27"/>
      <c r="O7" s="27"/>
      <c r="P7" s="27"/>
      <c r="Q7" s="27"/>
      <c r="R7" s="27"/>
      <c r="S7" s="27"/>
      <c r="T7" s="27"/>
      <c r="U7" s="27"/>
      <c r="V7" s="27"/>
      <c r="W7" s="27"/>
      <c r="X7" s="27"/>
      <c r="Y7" s="27"/>
    </row>
    <row r="8" spans="1:25" ht="17.25" customHeight="1" x14ac:dyDescent="0.25">
      <c r="A8" s="28" t="s">
        <v>0</v>
      </c>
      <c r="B8" s="28">
        <v>98643777</v>
      </c>
      <c r="C8" s="38" t="s">
        <v>25108</v>
      </c>
      <c r="D8" s="38" t="s">
        <v>25109</v>
      </c>
      <c r="E8" s="38" t="s">
        <v>19256</v>
      </c>
      <c r="F8" s="38" t="s">
        <v>25110</v>
      </c>
      <c r="G8" s="28" t="s">
        <v>19229</v>
      </c>
      <c r="H8" s="19" t="s">
        <v>19238</v>
      </c>
      <c r="I8" s="30">
        <v>44928</v>
      </c>
      <c r="J8" s="30">
        <v>44942</v>
      </c>
      <c r="K8" s="28">
        <v>15</v>
      </c>
      <c r="L8" s="29"/>
      <c r="M8" s="27" t="s">
        <v>19257</v>
      </c>
      <c r="N8" s="27"/>
      <c r="O8" s="27"/>
      <c r="P8" s="27"/>
      <c r="Q8" s="27"/>
      <c r="R8" s="27"/>
      <c r="S8" s="27"/>
      <c r="T8" s="27"/>
      <c r="U8" s="27"/>
      <c r="V8" s="27"/>
      <c r="W8" s="27"/>
      <c r="X8" s="27"/>
      <c r="Y8" s="27"/>
    </row>
    <row r="9" spans="1:25" ht="17.25" customHeight="1" x14ac:dyDescent="0.25">
      <c r="A9" s="28" t="s">
        <v>0</v>
      </c>
      <c r="B9" s="28">
        <v>1102229670</v>
      </c>
      <c r="C9" s="28" t="s">
        <v>25111</v>
      </c>
      <c r="D9" s="28" t="s">
        <v>25112</v>
      </c>
      <c r="E9" s="28" t="s">
        <v>25113</v>
      </c>
      <c r="F9" s="28" t="s">
        <v>25091</v>
      </c>
      <c r="G9" s="28" t="s">
        <v>19229</v>
      </c>
      <c r="H9" s="19" t="s">
        <v>19238</v>
      </c>
      <c r="I9" s="30">
        <v>44928</v>
      </c>
      <c r="J9" s="30">
        <v>44935</v>
      </c>
      <c r="K9" s="28">
        <v>16</v>
      </c>
      <c r="L9" s="29"/>
      <c r="M9" s="27" t="s">
        <v>19257</v>
      </c>
      <c r="N9" s="27"/>
      <c r="O9" s="27"/>
      <c r="P9" s="27"/>
      <c r="Q9" s="27"/>
      <c r="R9" s="27"/>
      <c r="S9" s="27"/>
      <c r="T9" s="27"/>
      <c r="U9" s="27"/>
      <c r="V9" s="27"/>
      <c r="W9" s="27"/>
      <c r="X9" s="27"/>
      <c r="Y9" s="27"/>
    </row>
    <row r="10" spans="1:25" ht="17.25" customHeight="1" x14ac:dyDescent="0.25">
      <c r="A10" s="28" t="s">
        <v>0</v>
      </c>
      <c r="B10" s="25">
        <v>71950509</v>
      </c>
      <c r="C10" s="25" t="s">
        <v>24985</v>
      </c>
      <c r="D10" s="25" t="s">
        <v>24990</v>
      </c>
      <c r="E10" s="25" t="s">
        <v>24981</v>
      </c>
      <c r="F10" s="25" t="s">
        <v>24986</v>
      </c>
      <c r="G10" s="25" t="s">
        <v>19229</v>
      </c>
      <c r="H10" s="21" t="s">
        <v>19240</v>
      </c>
      <c r="I10" s="22">
        <v>44929</v>
      </c>
      <c r="J10" s="22">
        <v>44929</v>
      </c>
      <c r="K10" s="35">
        <v>1</v>
      </c>
      <c r="L10" s="23"/>
      <c r="M10" s="36" t="s">
        <v>24991</v>
      </c>
      <c r="N10" s="27"/>
      <c r="O10" s="27"/>
      <c r="P10" s="27"/>
      <c r="Q10" s="27"/>
      <c r="R10" s="27"/>
      <c r="S10" s="27"/>
      <c r="T10" s="27"/>
      <c r="U10" s="27"/>
      <c r="V10" s="27"/>
      <c r="W10" s="27"/>
      <c r="X10" s="27"/>
      <c r="Y10" s="27"/>
    </row>
    <row r="11" spans="1:25" ht="17.25" customHeight="1" x14ac:dyDescent="0.25">
      <c r="A11" s="28" t="s">
        <v>0</v>
      </c>
      <c r="B11" s="28">
        <v>3411306</v>
      </c>
      <c r="C11" s="38" t="s">
        <v>25254</v>
      </c>
      <c r="D11" s="38" t="s">
        <v>24980</v>
      </c>
      <c r="E11" s="38" t="s">
        <v>25255</v>
      </c>
      <c r="F11" s="38" t="s">
        <v>25256</v>
      </c>
      <c r="G11" s="28" t="s">
        <v>19285</v>
      </c>
      <c r="H11" s="28" t="s">
        <v>19240</v>
      </c>
      <c r="I11" s="30">
        <v>44929</v>
      </c>
      <c r="J11" s="30">
        <v>44932</v>
      </c>
      <c r="K11" s="28">
        <v>4</v>
      </c>
      <c r="L11" s="29"/>
      <c r="M11" s="27" t="s">
        <v>24991</v>
      </c>
      <c r="N11" s="27"/>
      <c r="O11" s="27"/>
      <c r="P11" s="27"/>
      <c r="Q11" s="27"/>
      <c r="R11" s="27"/>
      <c r="S11" s="27"/>
      <c r="T11" s="27"/>
      <c r="U11" s="27"/>
      <c r="V11" s="27"/>
      <c r="W11" s="27"/>
      <c r="X11" s="27"/>
      <c r="Y11" s="27"/>
    </row>
    <row r="12" spans="1:25" ht="17.25" customHeight="1" x14ac:dyDescent="0.25">
      <c r="A12" s="28" t="s">
        <v>0</v>
      </c>
      <c r="B12" s="25">
        <v>1152446902</v>
      </c>
      <c r="C12" s="25" t="s">
        <v>25030</v>
      </c>
      <c r="D12" s="25" t="s">
        <v>25031</v>
      </c>
      <c r="E12" s="25" t="s">
        <v>25032</v>
      </c>
      <c r="F12" s="25" t="s">
        <v>25033</v>
      </c>
      <c r="G12" s="25" t="s">
        <v>19229</v>
      </c>
      <c r="H12" s="21" t="s">
        <v>19240</v>
      </c>
      <c r="I12" s="22">
        <v>44931</v>
      </c>
      <c r="J12" s="22">
        <v>44937</v>
      </c>
      <c r="K12" s="35">
        <v>7</v>
      </c>
      <c r="L12" s="23"/>
      <c r="M12" s="36" t="s">
        <v>24991</v>
      </c>
      <c r="N12" s="27"/>
      <c r="O12" s="27"/>
      <c r="P12" s="27"/>
      <c r="Q12" s="27"/>
      <c r="R12" s="27"/>
      <c r="S12" s="27"/>
      <c r="T12" s="27"/>
      <c r="U12" s="27"/>
      <c r="V12" s="27"/>
      <c r="W12" s="27"/>
      <c r="X12" s="27"/>
      <c r="Y12" s="27"/>
    </row>
    <row r="13" spans="1:25" ht="17.25" customHeight="1" x14ac:dyDescent="0.25">
      <c r="A13" s="28" t="s">
        <v>0</v>
      </c>
      <c r="B13" s="25">
        <v>1152446902</v>
      </c>
      <c r="C13" s="25" t="s">
        <v>25030</v>
      </c>
      <c r="D13" s="25" t="s">
        <v>25031</v>
      </c>
      <c r="E13" s="25" t="s">
        <v>25032</v>
      </c>
      <c r="F13" s="25" t="s">
        <v>25033</v>
      </c>
      <c r="G13" s="28" t="s">
        <v>19229</v>
      </c>
      <c r="H13" s="28" t="s">
        <v>19240</v>
      </c>
      <c r="I13" s="30">
        <v>44931</v>
      </c>
      <c r="J13" s="30">
        <v>44937</v>
      </c>
      <c r="K13" s="28">
        <v>7</v>
      </c>
      <c r="L13" s="29"/>
      <c r="M13" s="27" t="s">
        <v>24991</v>
      </c>
      <c r="N13" s="27"/>
      <c r="O13" s="27"/>
      <c r="P13" s="27"/>
      <c r="Q13" s="27"/>
      <c r="R13" s="27"/>
      <c r="S13" s="27"/>
      <c r="T13" s="27"/>
      <c r="U13" s="27"/>
      <c r="V13" s="27"/>
      <c r="W13" s="27"/>
      <c r="X13" s="27"/>
      <c r="Y13" s="27"/>
    </row>
    <row r="14" spans="1:25" ht="17.25" customHeight="1" x14ac:dyDescent="0.25">
      <c r="A14" s="28" t="s">
        <v>0</v>
      </c>
      <c r="B14" s="28">
        <v>71652357</v>
      </c>
      <c r="C14" s="28" t="s">
        <v>25117</v>
      </c>
      <c r="D14" s="28" t="s">
        <v>25118</v>
      </c>
      <c r="E14" s="28" t="s">
        <v>25119</v>
      </c>
      <c r="F14" s="28" t="s">
        <v>25004</v>
      </c>
      <c r="G14" s="28" t="s">
        <v>19229</v>
      </c>
      <c r="H14" s="19" t="s">
        <v>19240</v>
      </c>
      <c r="I14" s="30">
        <v>44933</v>
      </c>
      <c r="J14" s="30">
        <v>44935</v>
      </c>
      <c r="K14" s="28">
        <v>2</v>
      </c>
      <c r="L14" s="29"/>
      <c r="M14" s="27" t="s">
        <v>26223</v>
      </c>
      <c r="N14" s="27"/>
      <c r="O14" s="27"/>
      <c r="P14" s="27"/>
      <c r="Q14" s="27"/>
      <c r="R14" s="27"/>
      <c r="S14" s="27"/>
      <c r="T14" s="27"/>
      <c r="U14" s="27"/>
      <c r="V14" s="27"/>
      <c r="W14" s="27"/>
      <c r="X14" s="27"/>
      <c r="Y14" s="27"/>
    </row>
    <row r="15" spans="1:25" ht="17.25" customHeight="1" x14ac:dyDescent="0.25">
      <c r="A15" s="28" t="s">
        <v>0</v>
      </c>
      <c r="B15" s="25">
        <v>98514610</v>
      </c>
      <c r="C15" s="25" t="s">
        <v>24987</v>
      </c>
      <c r="D15" s="25" t="s">
        <v>24984</v>
      </c>
      <c r="E15" s="25" t="s">
        <v>19278</v>
      </c>
      <c r="F15" s="25" t="s">
        <v>24986</v>
      </c>
      <c r="G15" s="25" t="s">
        <v>19229</v>
      </c>
      <c r="H15" s="21" t="s">
        <v>19238</v>
      </c>
      <c r="I15" s="22">
        <v>44936</v>
      </c>
      <c r="J15" s="22">
        <v>44943</v>
      </c>
      <c r="K15" s="35">
        <v>8</v>
      </c>
      <c r="L15" s="23"/>
      <c r="M15" s="36" t="s">
        <v>19257</v>
      </c>
      <c r="N15" s="27"/>
      <c r="O15" s="27"/>
      <c r="P15" s="27"/>
      <c r="Q15" s="27"/>
      <c r="R15" s="27"/>
      <c r="S15" s="27"/>
      <c r="T15" s="27"/>
      <c r="U15" s="27"/>
      <c r="V15" s="27"/>
      <c r="W15" s="27"/>
      <c r="X15" s="27"/>
      <c r="Y15" s="27"/>
    </row>
    <row r="16" spans="1:25" ht="17.25" customHeight="1" x14ac:dyDescent="0.25">
      <c r="A16" s="28" t="s">
        <v>0</v>
      </c>
      <c r="B16" s="25">
        <v>1068813296</v>
      </c>
      <c r="C16" s="25" t="s">
        <v>25026</v>
      </c>
      <c r="D16" s="25" t="s">
        <v>25027</v>
      </c>
      <c r="E16" s="25" t="s">
        <v>25028</v>
      </c>
      <c r="F16" s="25" t="s">
        <v>25029</v>
      </c>
      <c r="G16" s="25" t="s">
        <v>19229</v>
      </c>
      <c r="H16" s="21" t="s">
        <v>19240</v>
      </c>
      <c r="I16" s="22">
        <v>44936</v>
      </c>
      <c r="J16" s="22">
        <v>44938</v>
      </c>
      <c r="K16" s="35">
        <v>3</v>
      </c>
      <c r="L16" s="23"/>
      <c r="M16" s="36" t="s">
        <v>24991</v>
      </c>
      <c r="N16" s="27"/>
      <c r="O16" s="27"/>
      <c r="P16" s="27"/>
      <c r="Q16" s="27"/>
      <c r="R16" s="27"/>
      <c r="S16" s="27"/>
      <c r="T16" s="27"/>
      <c r="U16" s="27"/>
      <c r="V16" s="27"/>
      <c r="W16" s="27"/>
      <c r="X16" s="27"/>
      <c r="Y16" s="27"/>
    </row>
    <row r="17" spans="1:25" ht="17.25" customHeight="1" x14ac:dyDescent="0.25">
      <c r="A17" s="28" t="s">
        <v>0</v>
      </c>
      <c r="B17" s="28">
        <v>1068813296</v>
      </c>
      <c r="C17" s="28" t="s">
        <v>25026</v>
      </c>
      <c r="D17" s="28" t="s">
        <v>25027</v>
      </c>
      <c r="E17" s="28" t="s">
        <v>25028</v>
      </c>
      <c r="F17" s="28" t="s">
        <v>25029</v>
      </c>
      <c r="G17" s="28" t="s">
        <v>19229</v>
      </c>
      <c r="H17" s="28" t="s">
        <v>19240</v>
      </c>
      <c r="I17" s="30">
        <v>44936</v>
      </c>
      <c r="J17" s="30">
        <v>44938</v>
      </c>
      <c r="K17" s="28">
        <v>3</v>
      </c>
      <c r="L17" s="29"/>
      <c r="M17" s="27" t="s">
        <v>24991</v>
      </c>
      <c r="N17" s="27"/>
      <c r="O17" s="27"/>
      <c r="P17" s="27"/>
      <c r="Q17" s="27"/>
      <c r="R17" s="27"/>
      <c r="S17" s="27"/>
      <c r="T17" s="27"/>
      <c r="U17" s="27"/>
      <c r="V17" s="27"/>
      <c r="W17" s="27"/>
      <c r="X17" s="27"/>
      <c r="Y17" s="27"/>
    </row>
    <row r="18" spans="1:25" ht="17.25" customHeight="1" x14ac:dyDescent="0.25">
      <c r="A18" s="28" t="s">
        <v>0</v>
      </c>
      <c r="B18" s="28">
        <v>71252199</v>
      </c>
      <c r="C18" s="38" t="s">
        <v>25108</v>
      </c>
      <c r="D18" s="38" t="s">
        <v>25120</v>
      </c>
      <c r="E18" s="38" t="s">
        <v>25121</v>
      </c>
      <c r="F18" s="38" t="s">
        <v>25122</v>
      </c>
      <c r="G18" s="28" t="s">
        <v>19229</v>
      </c>
      <c r="H18" s="28" t="s">
        <v>19240</v>
      </c>
      <c r="I18" s="30">
        <v>44938</v>
      </c>
      <c r="J18" s="30">
        <v>44939</v>
      </c>
      <c r="K18" s="28">
        <v>2</v>
      </c>
      <c r="L18" s="29"/>
      <c r="M18" s="27" t="s">
        <v>24991</v>
      </c>
      <c r="N18" s="27"/>
      <c r="O18" s="27"/>
      <c r="P18" s="27"/>
      <c r="Q18" s="27"/>
      <c r="R18" s="27"/>
      <c r="S18" s="27"/>
      <c r="T18" s="27"/>
      <c r="U18" s="27"/>
      <c r="V18" s="27"/>
      <c r="W18" s="27"/>
      <c r="X18" s="27"/>
      <c r="Y18" s="27"/>
    </row>
    <row r="19" spans="1:25" ht="17.25" customHeight="1" x14ac:dyDescent="0.25">
      <c r="A19" s="28" t="s">
        <v>0</v>
      </c>
      <c r="B19" s="37">
        <v>71734050</v>
      </c>
      <c r="C19" s="18" t="s">
        <v>25085</v>
      </c>
      <c r="D19" s="18" t="s">
        <v>25086</v>
      </c>
      <c r="E19" s="18" t="s">
        <v>25087</v>
      </c>
      <c r="F19" s="18"/>
      <c r="G19" s="25" t="s">
        <v>19229</v>
      </c>
      <c r="H19" s="19" t="s">
        <v>19239</v>
      </c>
      <c r="I19" s="20">
        <v>44939</v>
      </c>
      <c r="J19" s="20">
        <v>44939</v>
      </c>
      <c r="K19" s="24">
        <v>5</v>
      </c>
      <c r="L19" s="23">
        <v>1</v>
      </c>
      <c r="M19" s="36" t="s">
        <v>25036</v>
      </c>
      <c r="N19" s="27"/>
      <c r="O19" s="27"/>
      <c r="P19" s="27"/>
      <c r="Q19" s="27"/>
      <c r="R19" s="27"/>
      <c r="S19" s="27"/>
      <c r="T19" s="27"/>
      <c r="U19" s="27"/>
      <c r="V19" s="27"/>
      <c r="W19" s="27"/>
      <c r="X19" s="27"/>
      <c r="Y19" s="27"/>
    </row>
    <row r="20" spans="1:25" s="27" customFormat="1" ht="17.25" customHeight="1" x14ac:dyDescent="0.25">
      <c r="A20" s="28" t="s">
        <v>0</v>
      </c>
      <c r="B20" s="28">
        <v>1020452896</v>
      </c>
      <c r="C20" s="28" t="s">
        <v>25114</v>
      </c>
      <c r="D20" s="28" t="s">
        <v>25115</v>
      </c>
      <c r="E20" s="28" t="s">
        <v>25116</v>
      </c>
      <c r="F20" s="28" t="s">
        <v>25010</v>
      </c>
      <c r="G20" s="28" t="s">
        <v>19229</v>
      </c>
      <c r="H20" s="19" t="s">
        <v>19240</v>
      </c>
      <c r="I20" s="30">
        <v>44939</v>
      </c>
      <c r="J20" s="30">
        <v>44943</v>
      </c>
      <c r="K20" s="28">
        <v>5</v>
      </c>
      <c r="L20" s="29"/>
      <c r="M20" s="27" t="s">
        <v>24991</v>
      </c>
    </row>
    <row r="21" spans="1:25" s="27" customFormat="1" ht="17.25" customHeight="1" x14ac:dyDescent="0.25">
      <c r="A21" s="28" t="s">
        <v>0</v>
      </c>
      <c r="B21" s="25">
        <v>1027946541</v>
      </c>
      <c r="C21" s="25" t="s">
        <v>25030</v>
      </c>
      <c r="D21" s="25" t="s">
        <v>25034</v>
      </c>
      <c r="E21" s="25" t="s">
        <v>25035</v>
      </c>
      <c r="F21" s="25" t="s">
        <v>25010</v>
      </c>
      <c r="G21" s="25" t="s">
        <v>19229</v>
      </c>
      <c r="H21" s="21" t="s">
        <v>19239</v>
      </c>
      <c r="I21" s="22">
        <v>44942</v>
      </c>
      <c r="J21" s="22">
        <v>44946</v>
      </c>
      <c r="K21" s="35">
        <v>5</v>
      </c>
      <c r="L21" s="23">
        <v>21</v>
      </c>
      <c r="M21" s="36" t="s">
        <v>25036</v>
      </c>
    </row>
    <row r="22" spans="1:25" s="27" customFormat="1" ht="17.25" customHeight="1" x14ac:dyDescent="0.25">
      <c r="A22" s="28" t="s">
        <v>0</v>
      </c>
      <c r="B22" s="25">
        <v>1020401463</v>
      </c>
      <c r="C22" s="25" t="s">
        <v>25041</v>
      </c>
      <c r="D22" s="25" t="s">
        <v>25042</v>
      </c>
      <c r="E22" s="25" t="s">
        <v>19287</v>
      </c>
      <c r="F22" s="25" t="s">
        <v>25010</v>
      </c>
      <c r="G22" s="25" t="s">
        <v>19229</v>
      </c>
      <c r="H22" s="21" t="s">
        <v>19239</v>
      </c>
      <c r="I22" s="22">
        <v>44942</v>
      </c>
      <c r="J22" s="22">
        <v>44946</v>
      </c>
      <c r="K22" s="35">
        <v>5</v>
      </c>
      <c r="L22" s="23">
        <v>15</v>
      </c>
      <c r="M22" s="36" t="s">
        <v>25036</v>
      </c>
    </row>
    <row r="23" spans="1:25" s="27" customFormat="1" ht="17.25" customHeight="1" x14ac:dyDescent="0.25">
      <c r="A23" s="28" t="s">
        <v>0</v>
      </c>
      <c r="B23" s="25">
        <v>1038770992</v>
      </c>
      <c r="C23" s="25" t="s">
        <v>25043</v>
      </c>
      <c r="D23" s="25" t="s">
        <v>25044</v>
      </c>
      <c r="E23" s="25" t="s">
        <v>25045</v>
      </c>
      <c r="F23" s="25"/>
      <c r="G23" s="25" t="s">
        <v>19229</v>
      </c>
      <c r="H23" s="21" t="s">
        <v>19239</v>
      </c>
      <c r="I23" s="22">
        <v>44942</v>
      </c>
      <c r="J23" s="22">
        <v>44946</v>
      </c>
      <c r="K23" s="35">
        <v>5</v>
      </c>
      <c r="L23" s="23">
        <v>1</v>
      </c>
      <c r="M23" s="36" t="s">
        <v>25036</v>
      </c>
    </row>
    <row r="24" spans="1:25" s="27" customFormat="1" ht="17.25" customHeight="1" x14ac:dyDescent="0.25">
      <c r="A24" s="28" t="s">
        <v>0</v>
      </c>
      <c r="B24" s="25">
        <v>1036928635</v>
      </c>
      <c r="C24" s="25" t="s">
        <v>25053</v>
      </c>
      <c r="D24" s="25" t="s">
        <v>25065</v>
      </c>
      <c r="E24" s="25" t="s">
        <v>25066</v>
      </c>
      <c r="F24" s="25"/>
      <c r="G24" s="25" t="s">
        <v>19229</v>
      </c>
      <c r="H24" s="21" t="s">
        <v>19239</v>
      </c>
      <c r="I24" s="22">
        <v>44942</v>
      </c>
      <c r="J24" s="22">
        <v>44944</v>
      </c>
      <c r="K24" s="35">
        <v>3</v>
      </c>
      <c r="L24" s="23">
        <v>6</v>
      </c>
      <c r="M24" s="36" t="s">
        <v>25067</v>
      </c>
    </row>
    <row r="25" spans="1:25" s="27" customFormat="1" ht="17.25" customHeight="1" x14ac:dyDescent="0.25">
      <c r="A25" s="28" t="s">
        <v>0</v>
      </c>
      <c r="B25" s="28">
        <v>71950509</v>
      </c>
      <c r="C25" s="28" t="s">
        <v>24985</v>
      </c>
      <c r="D25" s="28" t="s">
        <v>24990</v>
      </c>
      <c r="E25" s="28" t="s">
        <v>24981</v>
      </c>
      <c r="F25" s="28" t="s">
        <v>24986</v>
      </c>
      <c r="G25" s="28" t="s">
        <v>19229</v>
      </c>
      <c r="H25" s="19" t="s">
        <v>19238</v>
      </c>
      <c r="I25" s="30">
        <v>44942</v>
      </c>
      <c r="J25" s="30">
        <v>44957</v>
      </c>
      <c r="K25" s="28">
        <v>15</v>
      </c>
      <c r="L25" s="29"/>
      <c r="M25" s="27" t="s">
        <v>19257</v>
      </c>
    </row>
    <row r="26" spans="1:25" s="27" customFormat="1" ht="17.25" customHeight="1" x14ac:dyDescent="0.25">
      <c r="A26" s="28" t="s">
        <v>0</v>
      </c>
      <c r="B26" s="28">
        <v>1114882338</v>
      </c>
      <c r="C26" s="28" t="s">
        <v>25123</v>
      </c>
      <c r="D26" s="28" t="s">
        <v>25124</v>
      </c>
      <c r="E26" s="28" t="s">
        <v>25125</v>
      </c>
      <c r="F26" s="28" t="s">
        <v>25110</v>
      </c>
      <c r="G26" s="28" t="s">
        <v>19229</v>
      </c>
      <c r="H26" s="28" t="s">
        <v>19240</v>
      </c>
      <c r="I26" s="30">
        <v>44942</v>
      </c>
      <c r="J26" s="30">
        <v>44944</v>
      </c>
      <c r="K26" s="28">
        <v>3</v>
      </c>
      <c r="L26" s="29"/>
      <c r="M26" s="27" t="s">
        <v>26223</v>
      </c>
    </row>
    <row r="27" spans="1:25" s="27" customFormat="1" ht="17.25" customHeight="1" x14ac:dyDescent="0.25">
      <c r="A27" s="28" t="s">
        <v>0</v>
      </c>
      <c r="B27" s="28">
        <v>94386740</v>
      </c>
      <c r="C27" s="38" t="s">
        <v>25073</v>
      </c>
      <c r="D27" s="38" t="s">
        <v>25364</v>
      </c>
      <c r="E27" s="38" t="s">
        <v>25396</v>
      </c>
      <c r="F27" s="38" t="s">
        <v>25135</v>
      </c>
      <c r="G27" s="28" t="s">
        <v>19229</v>
      </c>
      <c r="H27" s="28" t="s">
        <v>19240</v>
      </c>
      <c r="I27" s="30">
        <v>44942</v>
      </c>
      <c r="J27" s="30">
        <v>44945</v>
      </c>
      <c r="K27" s="28">
        <v>4</v>
      </c>
      <c r="L27" s="29"/>
      <c r="M27" s="27" t="s">
        <v>24991</v>
      </c>
    </row>
    <row r="28" spans="1:25" s="27" customFormat="1" ht="17.25" customHeight="1" x14ac:dyDescent="0.25">
      <c r="A28" s="28" t="s">
        <v>0</v>
      </c>
      <c r="B28" s="25">
        <v>8156170</v>
      </c>
      <c r="C28" s="25" t="s">
        <v>25061</v>
      </c>
      <c r="D28" s="25" t="s">
        <v>25062</v>
      </c>
      <c r="E28" s="25" t="s">
        <v>25063</v>
      </c>
      <c r="F28" s="25" t="s">
        <v>25064</v>
      </c>
      <c r="G28" s="25" t="s">
        <v>19229</v>
      </c>
      <c r="H28" s="21" t="s">
        <v>19240</v>
      </c>
      <c r="I28" s="22">
        <v>44944</v>
      </c>
      <c r="J28" s="22">
        <v>44945</v>
      </c>
      <c r="K28" s="35">
        <v>2</v>
      </c>
      <c r="L28" s="23"/>
      <c r="M28" s="36" t="s">
        <v>24991</v>
      </c>
    </row>
    <row r="29" spans="1:25" s="27" customFormat="1" ht="17.25" customHeight="1" x14ac:dyDescent="0.25">
      <c r="A29" s="28" t="s">
        <v>0</v>
      </c>
      <c r="B29" s="28">
        <v>71188981</v>
      </c>
      <c r="C29" s="28" t="s">
        <v>25082</v>
      </c>
      <c r="D29" s="28" t="s">
        <v>25083</v>
      </c>
      <c r="E29" s="28" t="s">
        <v>25084</v>
      </c>
      <c r="F29" s="28" t="s">
        <v>24982</v>
      </c>
      <c r="G29" s="28" t="s">
        <v>19229</v>
      </c>
      <c r="H29" s="19" t="s">
        <v>19239</v>
      </c>
      <c r="I29" s="30">
        <v>44944</v>
      </c>
      <c r="J29" s="30">
        <v>44948</v>
      </c>
      <c r="K29" s="28">
        <v>5</v>
      </c>
      <c r="L29" s="29">
        <v>1</v>
      </c>
      <c r="M29" s="27" t="s">
        <v>25036</v>
      </c>
    </row>
    <row r="30" spans="1:25" s="27" customFormat="1" ht="17.25" customHeight="1" x14ac:dyDescent="0.25">
      <c r="A30" s="28" t="s">
        <v>0</v>
      </c>
      <c r="B30" s="25">
        <v>8056876</v>
      </c>
      <c r="C30" s="25" t="s">
        <v>25037</v>
      </c>
      <c r="D30" s="25" t="s">
        <v>25038</v>
      </c>
      <c r="E30" s="25" t="s">
        <v>25039</v>
      </c>
      <c r="F30" s="25" t="s">
        <v>25040</v>
      </c>
      <c r="G30" s="25" t="s">
        <v>19229</v>
      </c>
      <c r="H30" s="21" t="s">
        <v>19239</v>
      </c>
      <c r="I30" s="22">
        <v>44945</v>
      </c>
      <c r="J30" s="22">
        <v>44949</v>
      </c>
      <c r="K30" s="35">
        <v>5</v>
      </c>
      <c r="L30" s="23">
        <v>22</v>
      </c>
      <c r="M30" s="36" t="s">
        <v>25036</v>
      </c>
    </row>
    <row r="31" spans="1:25" s="27" customFormat="1" ht="17.25" customHeight="1" x14ac:dyDescent="0.25">
      <c r="A31" s="28" t="s">
        <v>0</v>
      </c>
      <c r="B31" s="28">
        <v>1037591521</v>
      </c>
      <c r="C31" s="38" t="s">
        <v>25085</v>
      </c>
      <c r="D31" s="38" t="s">
        <v>25128</v>
      </c>
      <c r="E31" s="38" t="s">
        <v>25324</v>
      </c>
      <c r="F31" s="38"/>
      <c r="G31" s="28" t="s">
        <v>19285</v>
      </c>
      <c r="H31" s="28" t="s">
        <v>19240</v>
      </c>
      <c r="I31" s="30">
        <v>44945</v>
      </c>
      <c r="J31" s="30">
        <v>44945</v>
      </c>
      <c r="K31" s="28">
        <v>1</v>
      </c>
      <c r="L31" s="29"/>
      <c r="M31" s="27" t="s">
        <v>24991</v>
      </c>
    </row>
    <row r="32" spans="1:25" s="27" customFormat="1" ht="17.25" customHeight="1" x14ac:dyDescent="0.25">
      <c r="A32" s="28" t="s">
        <v>0</v>
      </c>
      <c r="B32" s="28">
        <v>1099993376</v>
      </c>
      <c r="C32" s="28" t="s">
        <v>25027</v>
      </c>
      <c r="D32" s="28" t="s">
        <v>25090</v>
      </c>
      <c r="E32" s="28" t="s">
        <v>25091</v>
      </c>
      <c r="F32" s="28" t="s">
        <v>25092</v>
      </c>
      <c r="G32" s="28" t="s">
        <v>19229</v>
      </c>
      <c r="H32" s="28" t="s">
        <v>19238</v>
      </c>
      <c r="I32" s="30">
        <v>44947</v>
      </c>
      <c r="J32" s="30">
        <v>44961</v>
      </c>
      <c r="K32" s="28">
        <v>15</v>
      </c>
      <c r="L32" s="29"/>
      <c r="M32" s="27" t="s">
        <v>19257</v>
      </c>
    </row>
    <row r="33" spans="1:13" s="27" customFormat="1" ht="17.25" customHeight="1" x14ac:dyDescent="0.25">
      <c r="A33" s="28" t="s">
        <v>0</v>
      </c>
      <c r="B33" s="28">
        <v>91002376</v>
      </c>
      <c r="C33" s="28" t="s">
        <v>25097</v>
      </c>
      <c r="D33" s="28" t="s">
        <v>25098</v>
      </c>
      <c r="E33" s="28" t="s">
        <v>25099</v>
      </c>
      <c r="F33" s="28"/>
      <c r="G33" s="28" t="s">
        <v>19229</v>
      </c>
      <c r="H33" s="19" t="s">
        <v>19238</v>
      </c>
      <c r="I33" s="30">
        <v>44947</v>
      </c>
      <c r="J33" s="30">
        <v>44955</v>
      </c>
      <c r="K33" s="28">
        <v>9</v>
      </c>
      <c r="L33" s="29"/>
      <c r="M33" s="27" t="s">
        <v>19257</v>
      </c>
    </row>
    <row r="34" spans="1:13" s="27" customFormat="1" ht="17.25" customHeight="1" x14ac:dyDescent="0.25">
      <c r="A34" s="28" t="s">
        <v>0</v>
      </c>
      <c r="B34" s="28">
        <v>71193190</v>
      </c>
      <c r="C34" s="28" t="s">
        <v>25155</v>
      </c>
      <c r="D34" s="28" t="s">
        <v>25156</v>
      </c>
      <c r="E34" s="28" t="s">
        <v>25157</v>
      </c>
      <c r="F34" s="28" t="s">
        <v>25010</v>
      </c>
      <c r="G34" s="28" t="s">
        <v>19285</v>
      </c>
      <c r="H34" s="28" t="s">
        <v>19240</v>
      </c>
      <c r="I34" s="30">
        <v>44947</v>
      </c>
      <c r="J34" s="30">
        <v>44947</v>
      </c>
      <c r="K34" s="28">
        <v>1</v>
      </c>
      <c r="L34" s="29"/>
      <c r="M34" s="27" t="s">
        <v>24991</v>
      </c>
    </row>
    <row r="35" spans="1:13" s="27" customFormat="1" ht="17.25" customHeight="1" x14ac:dyDescent="0.25">
      <c r="A35" s="28" t="s">
        <v>0</v>
      </c>
      <c r="B35" s="25">
        <v>71387716</v>
      </c>
      <c r="C35" s="25" t="s">
        <v>25079</v>
      </c>
      <c r="D35" s="25"/>
      <c r="E35" s="25" t="s">
        <v>25080</v>
      </c>
      <c r="F35" s="25" t="s">
        <v>25081</v>
      </c>
      <c r="G35" s="25" t="s">
        <v>19229</v>
      </c>
      <c r="H35" s="21" t="s">
        <v>19239</v>
      </c>
      <c r="I35" s="22">
        <v>44948</v>
      </c>
      <c r="J35" s="22">
        <v>44948</v>
      </c>
      <c r="K35" s="35">
        <v>1</v>
      </c>
      <c r="L35" s="23">
        <v>6</v>
      </c>
      <c r="M35" s="36" t="s">
        <v>25036</v>
      </c>
    </row>
    <row r="36" spans="1:13" s="27" customFormat="1" ht="17.25" customHeight="1" x14ac:dyDescent="0.25">
      <c r="A36" s="28" t="s">
        <v>0</v>
      </c>
      <c r="B36" s="28">
        <v>70563853</v>
      </c>
      <c r="C36" s="28" t="s">
        <v>25105</v>
      </c>
      <c r="D36" s="28" t="s">
        <v>25127</v>
      </c>
      <c r="E36" s="28" t="s">
        <v>25005</v>
      </c>
      <c r="F36" s="28" t="s">
        <v>25064</v>
      </c>
      <c r="G36" s="28" t="s">
        <v>19229</v>
      </c>
      <c r="H36" s="28" t="s">
        <v>19240</v>
      </c>
      <c r="I36" s="30">
        <v>44948</v>
      </c>
      <c r="J36" s="30">
        <v>44952</v>
      </c>
      <c r="K36" s="28">
        <v>5</v>
      </c>
      <c r="L36" s="29"/>
      <c r="M36" s="27" t="s">
        <v>24991</v>
      </c>
    </row>
    <row r="37" spans="1:13" s="27" customFormat="1" ht="17.25" customHeight="1" x14ac:dyDescent="0.25">
      <c r="A37" s="28" t="s">
        <v>0</v>
      </c>
      <c r="B37" s="25">
        <v>72043118</v>
      </c>
      <c r="C37" s="25" t="s">
        <v>25068</v>
      </c>
      <c r="D37" s="25" t="s">
        <v>25069</v>
      </c>
      <c r="E37" s="25" t="s">
        <v>25070</v>
      </c>
      <c r="F37" s="25" t="s">
        <v>25071</v>
      </c>
      <c r="G37" s="25" t="s">
        <v>19229</v>
      </c>
      <c r="H37" s="21" t="s">
        <v>19240</v>
      </c>
      <c r="I37" s="22">
        <v>44949</v>
      </c>
      <c r="J37" s="22">
        <v>44949</v>
      </c>
      <c r="K37" s="35">
        <v>1</v>
      </c>
      <c r="L37" s="23"/>
      <c r="M37" s="36" t="s">
        <v>24991</v>
      </c>
    </row>
    <row r="38" spans="1:13" s="27" customFormat="1" ht="17.25" customHeight="1" x14ac:dyDescent="0.25">
      <c r="A38" s="28" t="s">
        <v>0</v>
      </c>
      <c r="B38" s="28">
        <v>1128415686</v>
      </c>
      <c r="C38" s="28" t="s">
        <v>25093</v>
      </c>
      <c r="D38" s="28" t="s">
        <v>25094</v>
      </c>
      <c r="E38" s="28" t="s">
        <v>25095</v>
      </c>
      <c r="F38" s="28" t="s">
        <v>25096</v>
      </c>
      <c r="G38" s="28" t="s">
        <v>19229</v>
      </c>
      <c r="H38" s="19" t="s">
        <v>19238</v>
      </c>
      <c r="I38" s="30">
        <v>44949</v>
      </c>
      <c r="J38" s="30">
        <v>44963</v>
      </c>
      <c r="K38" s="28">
        <v>15</v>
      </c>
      <c r="L38" s="29"/>
      <c r="M38" s="27" t="s">
        <v>19257</v>
      </c>
    </row>
    <row r="39" spans="1:13" s="27" customFormat="1" ht="17.25" customHeight="1" x14ac:dyDescent="0.25">
      <c r="A39" s="28" t="s">
        <v>0</v>
      </c>
      <c r="B39" s="28">
        <v>70601688</v>
      </c>
      <c r="C39" s="28" t="s">
        <v>25100</v>
      </c>
      <c r="D39" s="28" t="s">
        <v>25101</v>
      </c>
      <c r="E39" s="28" t="s">
        <v>25102</v>
      </c>
      <c r="F39" s="28" t="s">
        <v>25103</v>
      </c>
      <c r="G39" s="28" t="s">
        <v>19229</v>
      </c>
      <c r="H39" s="19" t="s">
        <v>19238</v>
      </c>
      <c r="I39" s="30">
        <v>44949</v>
      </c>
      <c r="J39" s="30">
        <v>44963</v>
      </c>
      <c r="K39" s="28">
        <v>15</v>
      </c>
      <c r="L39" s="29"/>
      <c r="M39" s="27" t="s">
        <v>19257</v>
      </c>
    </row>
    <row r="40" spans="1:13" s="27" customFormat="1" ht="17.25" customHeight="1" x14ac:dyDescent="0.25">
      <c r="A40" s="28" t="s">
        <v>0</v>
      </c>
      <c r="B40" s="28">
        <v>3514167</v>
      </c>
      <c r="C40" s="38" t="s">
        <v>25094</v>
      </c>
      <c r="D40" s="38" t="s">
        <v>24980</v>
      </c>
      <c r="E40" s="38" t="s">
        <v>25029</v>
      </c>
      <c r="F40" s="38" t="s">
        <v>25103</v>
      </c>
      <c r="G40" s="28" t="s">
        <v>19229</v>
      </c>
      <c r="H40" s="19" t="s">
        <v>19238</v>
      </c>
      <c r="I40" s="30">
        <v>44949</v>
      </c>
      <c r="J40" s="30">
        <v>44932</v>
      </c>
      <c r="K40" s="28">
        <v>15</v>
      </c>
      <c r="L40" s="29"/>
      <c r="M40" s="27" t="s">
        <v>19257</v>
      </c>
    </row>
    <row r="41" spans="1:13" s="27" customFormat="1" ht="17.25" customHeight="1" x14ac:dyDescent="0.25">
      <c r="A41" s="28" t="s">
        <v>0</v>
      </c>
      <c r="B41" s="25">
        <v>1036605153</v>
      </c>
      <c r="C41" s="25" t="s">
        <v>25034</v>
      </c>
      <c r="D41" s="25" t="s">
        <v>25058</v>
      </c>
      <c r="E41" s="25" t="s">
        <v>25059</v>
      </c>
      <c r="F41" s="25" t="s">
        <v>25060</v>
      </c>
      <c r="G41" s="25" t="s">
        <v>19229</v>
      </c>
      <c r="H41" s="21" t="s">
        <v>19239</v>
      </c>
      <c r="I41" s="22">
        <v>44950</v>
      </c>
      <c r="J41" s="22">
        <v>44950</v>
      </c>
      <c r="K41" s="35">
        <v>1</v>
      </c>
      <c r="L41" s="23">
        <v>6</v>
      </c>
      <c r="M41" s="36" t="s">
        <v>25036</v>
      </c>
    </row>
    <row r="42" spans="1:13" s="27" customFormat="1" ht="17.25" customHeight="1" x14ac:dyDescent="0.25">
      <c r="A42" s="28" t="s">
        <v>0</v>
      </c>
      <c r="B42" s="25">
        <v>1020490423</v>
      </c>
      <c r="C42" s="25" t="s">
        <v>25075</v>
      </c>
      <c r="D42" s="25" t="s">
        <v>25076</v>
      </c>
      <c r="E42" s="25" t="s">
        <v>25077</v>
      </c>
      <c r="F42" s="25" t="s">
        <v>25078</v>
      </c>
      <c r="G42" s="25" t="s">
        <v>19229</v>
      </c>
      <c r="H42" s="21" t="s">
        <v>19239</v>
      </c>
      <c r="I42" s="22">
        <v>44950</v>
      </c>
      <c r="J42" s="22">
        <v>44950</v>
      </c>
      <c r="K42" s="35">
        <v>1</v>
      </c>
      <c r="L42" s="23">
        <v>4</v>
      </c>
      <c r="M42" s="36" t="s">
        <v>25036</v>
      </c>
    </row>
    <row r="43" spans="1:13" s="27" customFormat="1" ht="17.25" customHeight="1" x14ac:dyDescent="0.25">
      <c r="A43" s="28" t="s">
        <v>0</v>
      </c>
      <c r="B43" s="28">
        <v>70830641</v>
      </c>
      <c r="C43" s="28" t="s">
        <v>25104</v>
      </c>
      <c r="D43" s="28" t="s">
        <v>25105</v>
      </c>
      <c r="E43" s="28" t="s">
        <v>25106</v>
      </c>
      <c r="F43" s="28" t="s">
        <v>25107</v>
      </c>
      <c r="G43" s="28" t="s">
        <v>19229</v>
      </c>
      <c r="H43" s="19" t="s">
        <v>19238</v>
      </c>
      <c r="I43" s="30">
        <v>44950</v>
      </c>
      <c r="J43" s="30">
        <v>44964</v>
      </c>
      <c r="K43" s="28">
        <v>15</v>
      </c>
      <c r="L43" s="29"/>
      <c r="M43" s="27" t="s">
        <v>19257</v>
      </c>
    </row>
    <row r="44" spans="1:13" s="27" customFormat="1" ht="17.25" customHeight="1" x14ac:dyDescent="0.25">
      <c r="A44" s="28" t="s">
        <v>0</v>
      </c>
      <c r="B44" s="28">
        <v>3570700</v>
      </c>
      <c r="C44" s="28" t="s">
        <v>25126</v>
      </c>
      <c r="D44" s="28"/>
      <c r="E44" s="28" t="s">
        <v>19278</v>
      </c>
      <c r="F44" s="28" t="s">
        <v>25028</v>
      </c>
      <c r="G44" s="28" t="s">
        <v>19229</v>
      </c>
      <c r="H44" s="28" t="s">
        <v>19240</v>
      </c>
      <c r="I44" s="30">
        <v>44950</v>
      </c>
      <c r="J44" s="30">
        <v>44950</v>
      </c>
      <c r="K44" s="28">
        <v>1</v>
      </c>
      <c r="L44" s="29"/>
      <c r="M44" s="27" t="s">
        <v>24991</v>
      </c>
    </row>
    <row r="45" spans="1:13" s="27" customFormat="1" ht="17.25" customHeight="1" x14ac:dyDescent="0.25">
      <c r="A45" s="28" t="s">
        <v>0</v>
      </c>
      <c r="B45" s="28">
        <v>1035232629</v>
      </c>
      <c r="C45" s="38" t="s">
        <v>25132</v>
      </c>
      <c r="D45" s="38" t="s">
        <v>25133</v>
      </c>
      <c r="E45" s="38" t="s">
        <v>25134</v>
      </c>
      <c r="F45" s="38" t="s">
        <v>25135</v>
      </c>
      <c r="G45" s="28" t="s">
        <v>19229</v>
      </c>
      <c r="H45" s="28" t="s">
        <v>19238</v>
      </c>
      <c r="I45" s="30">
        <v>44951</v>
      </c>
      <c r="J45" s="30">
        <v>44965</v>
      </c>
      <c r="K45" s="28">
        <v>15</v>
      </c>
      <c r="L45" s="29"/>
      <c r="M45" s="27" t="s">
        <v>19257</v>
      </c>
    </row>
    <row r="46" spans="1:13" s="27" customFormat="1" ht="17.25" customHeight="1" x14ac:dyDescent="0.25">
      <c r="A46" s="28" t="s">
        <v>0</v>
      </c>
      <c r="B46" s="28">
        <v>70854779</v>
      </c>
      <c r="C46" s="38" t="s">
        <v>25034</v>
      </c>
      <c r="D46" s="38" t="s">
        <v>24983</v>
      </c>
      <c r="E46" s="38" t="s">
        <v>25089</v>
      </c>
      <c r="F46" s="38" t="s">
        <v>25193</v>
      </c>
      <c r="G46" s="28" t="s">
        <v>19285</v>
      </c>
      <c r="H46" s="28" t="s">
        <v>19238</v>
      </c>
      <c r="I46" s="30">
        <v>44951</v>
      </c>
      <c r="J46" s="30">
        <v>44966</v>
      </c>
      <c r="K46" s="28">
        <v>16</v>
      </c>
      <c r="L46" s="29"/>
      <c r="M46" s="27" t="s">
        <v>19257</v>
      </c>
    </row>
    <row r="47" spans="1:13" s="27" customFormat="1" ht="17.25" customHeight="1" x14ac:dyDescent="0.25">
      <c r="A47" s="28" t="s">
        <v>0</v>
      </c>
      <c r="B47" s="28">
        <v>1020452896</v>
      </c>
      <c r="C47" s="28" t="s">
        <v>25114</v>
      </c>
      <c r="D47" s="28" t="s">
        <v>25197</v>
      </c>
      <c r="E47" s="28" t="s">
        <v>25198</v>
      </c>
      <c r="F47" s="28" t="s">
        <v>25089</v>
      </c>
      <c r="G47" s="28" t="s">
        <v>19285</v>
      </c>
      <c r="H47" s="28" t="s">
        <v>19239</v>
      </c>
      <c r="I47" s="30">
        <v>44951</v>
      </c>
      <c r="J47" s="30">
        <v>44953</v>
      </c>
      <c r="K47" s="28">
        <v>3</v>
      </c>
      <c r="L47" s="29">
        <v>10</v>
      </c>
      <c r="M47" s="27" t="s">
        <v>25036</v>
      </c>
    </row>
    <row r="48" spans="1:13" s="27" customFormat="1" ht="17.25" customHeight="1" x14ac:dyDescent="0.25">
      <c r="A48" s="28" t="s">
        <v>0</v>
      </c>
      <c r="B48" s="28">
        <v>71576519</v>
      </c>
      <c r="C48" s="28" t="s">
        <v>25153</v>
      </c>
      <c r="D48" s="28"/>
      <c r="E48" s="28" t="s">
        <v>25228</v>
      </c>
      <c r="F48" s="28" t="s">
        <v>25135</v>
      </c>
      <c r="G48" s="28" t="s">
        <v>19285</v>
      </c>
      <c r="H48" s="28" t="s">
        <v>19238</v>
      </c>
      <c r="I48" s="30">
        <v>44951</v>
      </c>
      <c r="J48" s="30">
        <v>44965</v>
      </c>
      <c r="K48" s="28">
        <v>17</v>
      </c>
      <c r="L48" s="29"/>
      <c r="M48" s="27" t="s">
        <v>19257</v>
      </c>
    </row>
    <row r="49" spans="1:13" s="27" customFormat="1" ht="17.25" customHeight="1" x14ac:dyDescent="0.25">
      <c r="A49" s="28" t="s">
        <v>0</v>
      </c>
      <c r="B49" s="28">
        <v>71784176</v>
      </c>
      <c r="C49" s="38" t="s">
        <v>25244</v>
      </c>
      <c r="D49" s="38" t="s">
        <v>25245</v>
      </c>
      <c r="E49" s="38" t="s">
        <v>25110</v>
      </c>
      <c r="F49" s="38"/>
      <c r="G49" s="28" t="s">
        <v>19285</v>
      </c>
      <c r="H49" s="28" t="s">
        <v>19240</v>
      </c>
      <c r="I49" s="30">
        <v>44951</v>
      </c>
      <c r="J49" s="30">
        <v>44951</v>
      </c>
      <c r="K49" s="28">
        <v>1</v>
      </c>
      <c r="L49" s="29"/>
      <c r="M49" s="27" t="s">
        <v>24991</v>
      </c>
    </row>
    <row r="50" spans="1:13" s="27" customFormat="1" ht="17.25" customHeight="1" x14ac:dyDescent="0.25">
      <c r="A50" s="28" t="s">
        <v>0</v>
      </c>
      <c r="B50" s="28">
        <v>70854779</v>
      </c>
      <c r="C50" s="38" t="s">
        <v>25034</v>
      </c>
      <c r="D50" s="38" t="s">
        <v>24983</v>
      </c>
      <c r="E50" s="38" t="s">
        <v>25089</v>
      </c>
      <c r="F50" s="38" t="s">
        <v>25193</v>
      </c>
      <c r="G50" s="28" t="s">
        <v>19229</v>
      </c>
      <c r="H50" s="28" t="s">
        <v>19238</v>
      </c>
      <c r="I50" s="30">
        <v>44951</v>
      </c>
      <c r="J50" s="30">
        <v>44966</v>
      </c>
      <c r="K50" s="28">
        <v>16</v>
      </c>
      <c r="L50" s="29"/>
      <c r="M50" s="27" t="s">
        <v>19257</v>
      </c>
    </row>
    <row r="51" spans="1:13" s="27" customFormat="1" ht="17.25" customHeight="1" x14ac:dyDescent="0.25">
      <c r="A51" s="28" t="s">
        <v>0</v>
      </c>
      <c r="B51" s="28">
        <v>71784176</v>
      </c>
      <c r="C51" s="28" t="s">
        <v>25244</v>
      </c>
      <c r="D51" s="38" t="s">
        <v>25245</v>
      </c>
      <c r="E51" s="38" t="s">
        <v>25110</v>
      </c>
      <c r="F51" s="38"/>
      <c r="G51" s="28" t="s">
        <v>19229</v>
      </c>
      <c r="H51" s="28" t="s">
        <v>19240</v>
      </c>
      <c r="I51" s="30">
        <v>44951</v>
      </c>
      <c r="J51" s="30">
        <v>44951</v>
      </c>
      <c r="K51" s="28">
        <v>1</v>
      </c>
      <c r="L51" s="29"/>
      <c r="M51" s="27" t="s">
        <v>24991</v>
      </c>
    </row>
    <row r="52" spans="1:13" s="27" customFormat="1" ht="17.25" customHeight="1" x14ac:dyDescent="0.25">
      <c r="A52" s="28" t="s">
        <v>0</v>
      </c>
      <c r="B52" s="28">
        <v>71987067</v>
      </c>
      <c r="C52" s="38" t="s">
        <v>25128</v>
      </c>
      <c r="D52" s="38" t="s">
        <v>25129</v>
      </c>
      <c r="E52" s="38" t="s">
        <v>25130</v>
      </c>
      <c r="F52" s="38" t="s">
        <v>25131</v>
      </c>
      <c r="G52" s="28" t="s">
        <v>19229</v>
      </c>
      <c r="H52" s="28" t="s">
        <v>19238</v>
      </c>
      <c r="I52" s="30">
        <v>44952</v>
      </c>
      <c r="J52" s="30">
        <v>44966</v>
      </c>
      <c r="K52" s="51">
        <v>15</v>
      </c>
      <c r="L52" s="29"/>
      <c r="M52" s="27" t="s">
        <v>19257</v>
      </c>
    </row>
    <row r="53" spans="1:13" s="27" customFormat="1" ht="17.25" customHeight="1" x14ac:dyDescent="0.25">
      <c r="A53" s="28" t="s">
        <v>0</v>
      </c>
      <c r="B53" s="28">
        <v>1000490423</v>
      </c>
      <c r="C53" s="28" t="s">
        <v>25075</v>
      </c>
      <c r="D53" s="28" t="s">
        <v>25076</v>
      </c>
      <c r="E53" s="28" t="s">
        <v>25077</v>
      </c>
      <c r="F53" s="28" t="s">
        <v>25078</v>
      </c>
      <c r="G53" s="28" t="s">
        <v>19229</v>
      </c>
      <c r="H53" s="28" t="s">
        <v>19239</v>
      </c>
      <c r="I53" s="30">
        <v>44952</v>
      </c>
      <c r="J53" s="30">
        <v>44954</v>
      </c>
      <c r="K53" s="28">
        <v>3</v>
      </c>
      <c r="L53" s="29">
        <v>4</v>
      </c>
      <c r="M53" s="27" t="s">
        <v>25067</v>
      </c>
    </row>
    <row r="54" spans="1:13" s="27" customFormat="1" ht="17.25" customHeight="1" x14ac:dyDescent="0.25">
      <c r="A54" s="28" t="s">
        <v>0</v>
      </c>
      <c r="B54" s="28">
        <v>12625299</v>
      </c>
      <c r="C54" s="38" t="s">
        <v>25321</v>
      </c>
      <c r="D54" s="38" t="s">
        <v>25322</v>
      </c>
      <c r="E54" s="38" t="s">
        <v>25323</v>
      </c>
      <c r="F54" s="38" t="s">
        <v>25064</v>
      </c>
      <c r="G54" s="28" t="s">
        <v>19285</v>
      </c>
      <c r="H54" s="28" t="s">
        <v>19240</v>
      </c>
      <c r="I54" s="30">
        <v>44952</v>
      </c>
      <c r="J54" s="30">
        <v>44956</v>
      </c>
      <c r="K54" s="28">
        <v>5</v>
      </c>
      <c r="L54" s="29"/>
      <c r="M54" s="27" t="s">
        <v>26223</v>
      </c>
    </row>
    <row r="55" spans="1:13" s="27" customFormat="1" ht="17.25" customHeight="1" x14ac:dyDescent="0.25">
      <c r="A55" s="28" t="s">
        <v>0</v>
      </c>
      <c r="B55" s="28">
        <v>1020412158</v>
      </c>
      <c r="C55" s="28" t="s">
        <v>25194</v>
      </c>
      <c r="D55" s="28" t="s">
        <v>25109</v>
      </c>
      <c r="E55" s="28" t="s">
        <v>25195</v>
      </c>
      <c r="F55" s="28" t="s">
        <v>25196</v>
      </c>
      <c r="G55" s="28" t="s">
        <v>19285</v>
      </c>
      <c r="H55" s="28" t="s">
        <v>19239</v>
      </c>
      <c r="I55" s="30">
        <v>44953</v>
      </c>
      <c r="J55" s="30">
        <v>44953</v>
      </c>
      <c r="K55" s="28">
        <v>1</v>
      </c>
      <c r="L55" s="29">
        <v>6</v>
      </c>
      <c r="M55" s="27" t="s">
        <v>25036</v>
      </c>
    </row>
    <row r="56" spans="1:13" s="27" customFormat="1" ht="17.25" customHeight="1" x14ac:dyDescent="0.25">
      <c r="A56" s="28" t="s">
        <v>0</v>
      </c>
      <c r="B56" s="28">
        <v>71695483</v>
      </c>
      <c r="C56" s="38" t="s">
        <v>25128</v>
      </c>
      <c r="D56" s="38" t="s">
        <v>25061</v>
      </c>
      <c r="E56" s="38" t="s">
        <v>25236</v>
      </c>
      <c r="F56" s="38" t="s">
        <v>25237</v>
      </c>
      <c r="G56" s="28" t="s">
        <v>19285</v>
      </c>
      <c r="H56" s="28" t="s">
        <v>19238</v>
      </c>
      <c r="I56" s="30">
        <v>44953</v>
      </c>
      <c r="J56" s="30">
        <v>44967</v>
      </c>
      <c r="K56" s="28">
        <v>15</v>
      </c>
      <c r="L56" s="29"/>
      <c r="M56" s="27" t="s">
        <v>19257</v>
      </c>
    </row>
    <row r="57" spans="1:13" s="27" customFormat="1" ht="17.25" customHeight="1" x14ac:dyDescent="0.25">
      <c r="A57" s="28" t="s">
        <v>0</v>
      </c>
      <c r="B57" s="28">
        <v>11810977</v>
      </c>
      <c r="C57" s="38" t="s">
        <v>25199</v>
      </c>
      <c r="D57" s="38" t="s">
        <v>25200</v>
      </c>
      <c r="E57" s="38" t="s">
        <v>25056</v>
      </c>
      <c r="F57" s="38" t="s">
        <v>25089</v>
      </c>
      <c r="G57" s="28" t="s">
        <v>19285</v>
      </c>
      <c r="H57" s="28" t="s">
        <v>19239</v>
      </c>
      <c r="I57" s="30">
        <v>44956</v>
      </c>
      <c r="J57" s="30">
        <v>44960</v>
      </c>
      <c r="K57" s="28">
        <v>5</v>
      </c>
      <c r="L57" s="29">
        <v>22</v>
      </c>
      <c r="M57" s="27" t="s">
        <v>25036</v>
      </c>
    </row>
    <row r="58" spans="1:13" s="27" customFormat="1" ht="17.25" customHeight="1" x14ac:dyDescent="0.25">
      <c r="A58" s="28" t="s">
        <v>0</v>
      </c>
      <c r="B58" s="28">
        <v>71991931</v>
      </c>
      <c r="C58" s="38" t="s">
        <v>25223</v>
      </c>
      <c r="D58" s="38" t="s">
        <v>25224</v>
      </c>
      <c r="E58" s="38" t="s">
        <v>25057</v>
      </c>
      <c r="F58" s="38" t="s">
        <v>24982</v>
      </c>
      <c r="G58" s="28" t="s">
        <v>19285</v>
      </c>
      <c r="H58" s="28" t="s">
        <v>19239</v>
      </c>
      <c r="I58" s="30">
        <v>44956</v>
      </c>
      <c r="J58" s="30">
        <v>44956</v>
      </c>
      <c r="K58" s="28">
        <v>1</v>
      </c>
      <c r="L58" s="29">
        <v>6</v>
      </c>
      <c r="M58" s="27" t="s">
        <v>25036</v>
      </c>
    </row>
    <row r="59" spans="1:13" s="27" customFormat="1" ht="17.25" customHeight="1" x14ac:dyDescent="0.25">
      <c r="A59" s="28" t="s">
        <v>0</v>
      </c>
      <c r="B59" s="28">
        <v>98663441</v>
      </c>
      <c r="C59" s="28" t="s">
        <v>25225</v>
      </c>
      <c r="D59" s="28" t="s">
        <v>25226</v>
      </c>
      <c r="E59" s="28" t="s">
        <v>19278</v>
      </c>
      <c r="F59" s="28" t="s">
        <v>25227</v>
      </c>
      <c r="G59" s="28" t="s">
        <v>19285</v>
      </c>
      <c r="H59" s="28" t="s">
        <v>19239</v>
      </c>
      <c r="I59" s="30">
        <v>44956</v>
      </c>
      <c r="J59" s="30">
        <v>44956</v>
      </c>
      <c r="K59" s="28">
        <v>1</v>
      </c>
      <c r="L59" s="29">
        <v>4</v>
      </c>
      <c r="M59" s="27" t="s">
        <v>25036</v>
      </c>
    </row>
    <row r="60" spans="1:13" s="27" customFormat="1" ht="17.25" customHeight="1" x14ac:dyDescent="0.25">
      <c r="A60" s="28" t="s">
        <v>0</v>
      </c>
      <c r="B60" s="28">
        <v>43826892</v>
      </c>
      <c r="C60" s="28" t="s">
        <v>25229</v>
      </c>
      <c r="D60" s="28" t="s">
        <v>25230</v>
      </c>
      <c r="E60" s="28" t="s">
        <v>25231</v>
      </c>
      <c r="F60" s="28" t="s">
        <v>25232</v>
      </c>
      <c r="G60" s="28" t="s">
        <v>19285</v>
      </c>
      <c r="H60" s="28" t="s">
        <v>19238</v>
      </c>
      <c r="I60" s="30">
        <v>44956</v>
      </c>
      <c r="J60" s="30">
        <v>44970</v>
      </c>
      <c r="K60" s="28">
        <v>15</v>
      </c>
      <c r="L60" s="29"/>
      <c r="M60" s="27" t="s">
        <v>19257</v>
      </c>
    </row>
    <row r="61" spans="1:13" s="27" customFormat="1" ht="17.25" customHeight="1" x14ac:dyDescent="0.25">
      <c r="A61" s="28" t="s">
        <v>0</v>
      </c>
      <c r="B61" s="28">
        <v>8472629</v>
      </c>
      <c r="C61" s="38" t="s">
        <v>25030</v>
      </c>
      <c r="D61" s="38" t="s">
        <v>25109</v>
      </c>
      <c r="E61" s="38" t="s">
        <v>25040</v>
      </c>
      <c r="F61" s="38" t="s">
        <v>25103</v>
      </c>
      <c r="G61" s="28" t="s">
        <v>19285</v>
      </c>
      <c r="H61" s="28" t="s">
        <v>19238</v>
      </c>
      <c r="I61" s="30">
        <v>44956</v>
      </c>
      <c r="J61" s="30">
        <v>44963</v>
      </c>
      <c r="K61" s="28">
        <v>8</v>
      </c>
      <c r="L61" s="29"/>
      <c r="M61" s="27" t="s">
        <v>19257</v>
      </c>
    </row>
    <row r="62" spans="1:13" s="27" customFormat="1" ht="17.25" customHeight="1" x14ac:dyDescent="0.25">
      <c r="A62" s="28" t="s">
        <v>0</v>
      </c>
      <c r="B62" s="28">
        <v>11793045</v>
      </c>
      <c r="C62" s="38" t="s">
        <v>25238</v>
      </c>
      <c r="D62" s="38" t="s">
        <v>25238</v>
      </c>
      <c r="E62" s="38" t="s">
        <v>25239</v>
      </c>
      <c r="F62" s="38"/>
      <c r="G62" s="28" t="s">
        <v>19285</v>
      </c>
      <c r="H62" s="28" t="s">
        <v>19238</v>
      </c>
      <c r="I62" s="30">
        <v>44956</v>
      </c>
      <c r="J62" s="30">
        <v>44972</v>
      </c>
      <c r="K62" s="28">
        <v>15</v>
      </c>
      <c r="L62" s="29"/>
      <c r="M62" s="27" t="s">
        <v>19257</v>
      </c>
    </row>
    <row r="63" spans="1:13" s="27" customFormat="1" ht="17.25" customHeight="1" x14ac:dyDescent="0.25">
      <c r="A63" s="28" t="s">
        <v>0</v>
      </c>
      <c r="B63" s="28">
        <v>71275284</v>
      </c>
      <c r="C63" s="28" t="s">
        <v>25219</v>
      </c>
      <c r="D63" s="28" t="s">
        <v>25220</v>
      </c>
      <c r="E63" s="28" t="s">
        <v>25221</v>
      </c>
      <c r="F63" s="28" t="s">
        <v>25222</v>
      </c>
      <c r="G63" s="28" t="s">
        <v>19285</v>
      </c>
      <c r="H63" s="28" t="s">
        <v>19239</v>
      </c>
      <c r="I63" s="30">
        <v>44957</v>
      </c>
      <c r="J63" s="30">
        <v>44957</v>
      </c>
      <c r="K63" s="28">
        <v>1</v>
      </c>
      <c r="L63" s="29">
        <v>6</v>
      </c>
      <c r="M63" s="27" t="s">
        <v>25036</v>
      </c>
    </row>
    <row r="64" spans="1:13" s="27" customFormat="1" ht="17.25" customHeight="1" x14ac:dyDescent="0.25">
      <c r="A64" s="28" t="s">
        <v>0</v>
      </c>
      <c r="B64" s="28">
        <v>43709476</v>
      </c>
      <c r="C64" s="38" t="s">
        <v>25023</v>
      </c>
      <c r="D64" s="38" t="s">
        <v>25233</v>
      </c>
      <c r="E64" s="38" t="s">
        <v>25234</v>
      </c>
      <c r="F64" s="38" t="s">
        <v>25235</v>
      </c>
      <c r="G64" s="28" t="s">
        <v>19285</v>
      </c>
      <c r="H64" s="28" t="s">
        <v>19238</v>
      </c>
      <c r="I64" s="30">
        <v>44957</v>
      </c>
      <c r="J64" s="30">
        <v>44971</v>
      </c>
      <c r="K64" s="28">
        <v>15</v>
      </c>
      <c r="L64" s="29"/>
      <c r="M64" s="27" t="s">
        <v>19257</v>
      </c>
    </row>
    <row r="65" spans="1:13" s="27" customFormat="1" ht="17.25" customHeight="1" x14ac:dyDescent="0.25">
      <c r="A65" s="28" t="s">
        <v>0</v>
      </c>
      <c r="B65" s="28">
        <v>43210112</v>
      </c>
      <c r="C65" s="38" t="s">
        <v>25257</v>
      </c>
      <c r="D65" s="38"/>
      <c r="E65" s="38" t="s">
        <v>25258</v>
      </c>
      <c r="F65" s="38" t="s">
        <v>25259</v>
      </c>
      <c r="G65" s="28" t="s">
        <v>19285</v>
      </c>
      <c r="H65" s="28" t="s">
        <v>19240</v>
      </c>
      <c r="I65" s="30">
        <v>44957</v>
      </c>
      <c r="J65" s="30">
        <v>44957</v>
      </c>
      <c r="K65" s="28">
        <v>1</v>
      </c>
      <c r="L65" s="29"/>
      <c r="M65" s="27" t="s">
        <v>24991</v>
      </c>
    </row>
    <row r="66" spans="1:13" s="27" customFormat="1" ht="17.25" customHeight="1" x14ac:dyDescent="0.25">
      <c r="A66" s="28" t="s">
        <v>0</v>
      </c>
      <c r="B66" s="28">
        <v>98577033</v>
      </c>
      <c r="C66" s="38" t="s">
        <v>25260</v>
      </c>
      <c r="D66" s="38" t="s">
        <v>25052</v>
      </c>
      <c r="E66" s="38" t="s">
        <v>25261</v>
      </c>
      <c r="F66" s="38" t="s">
        <v>25005</v>
      </c>
      <c r="G66" s="28" t="s">
        <v>19285</v>
      </c>
      <c r="H66" s="28" t="s">
        <v>19240</v>
      </c>
      <c r="I66" s="30">
        <v>44957</v>
      </c>
      <c r="J66" s="30">
        <v>44957</v>
      </c>
      <c r="K66" s="28">
        <v>1</v>
      </c>
      <c r="L66" s="29"/>
      <c r="M66" s="27" t="s">
        <v>24991</v>
      </c>
    </row>
    <row r="67" spans="1:13" s="27" customFormat="1" ht="17.25" customHeight="1" x14ac:dyDescent="0.25">
      <c r="A67" s="28" t="s">
        <v>0</v>
      </c>
      <c r="B67" s="28">
        <v>98577033</v>
      </c>
      <c r="C67" s="38" t="s">
        <v>25260</v>
      </c>
      <c r="D67" s="38" t="s">
        <v>25052</v>
      </c>
      <c r="E67" s="38" t="s">
        <v>25261</v>
      </c>
      <c r="F67" s="38" t="s">
        <v>25005</v>
      </c>
      <c r="G67" s="28" t="s">
        <v>19229</v>
      </c>
      <c r="H67" s="28" t="s">
        <v>19240</v>
      </c>
      <c r="I67" s="30">
        <v>44957</v>
      </c>
      <c r="J67" s="30">
        <v>44957</v>
      </c>
      <c r="K67" s="28">
        <v>1</v>
      </c>
      <c r="L67" s="29"/>
      <c r="M67" s="27" t="s">
        <v>24991</v>
      </c>
    </row>
    <row r="68" spans="1:13" s="27" customFormat="1" ht="17.25" customHeight="1" x14ac:dyDescent="0.25">
      <c r="A68" s="28" t="s">
        <v>1</v>
      </c>
      <c r="B68" s="28">
        <v>98601485</v>
      </c>
      <c r="C68" s="38" t="s">
        <v>25240</v>
      </c>
      <c r="D68" s="38"/>
      <c r="E68" s="38" t="s">
        <v>25241</v>
      </c>
      <c r="F68" s="38" t="s">
        <v>25103</v>
      </c>
      <c r="G68" s="28" t="s">
        <v>19285</v>
      </c>
      <c r="H68" s="28" t="s">
        <v>19238</v>
      </c>
      <c r="I68" s="30">
        <v>44958</v>
      </c>
      <c r="J68" s="30">
        <v>44965</v>
      </c>
      <c r="K68" s="28">
        <v>8</v>
      </c>
      <c r="L68" s="29"/>
      <c r="M68" s="27" t="s">
        <v>19257</v>
      </c>
    </row>
    <row r="69" spans="1:13" s="27" customFormat="1" ht="17.25" customHeight="1" x14ac:dyDescent="0.25">
      <c r="A69" s="28" t="s">
        <v>1</v>
      </c>
      <c r="B69" s="28">
        <v>71950509</v>
      </c>
      <c r="C69" s="38" t="s">
        <v>24985</v>
      </c>
      <c r="D69" s="38" t="s">
        <v>24990</v>
      </c>
      <c r="E69" s="38" t="s">
        <v>24981</v>
      </c>
      <c r="F69" s="38" t="s">
        <v>24986</v>
      </c>
      <c r="G69" s="28" t="s">
        <v>19285</v>
      </c>
      <c r="H69" s="28" t="s">
        <v>19240</v>
      </c>
      <c r="I69" s="30">
        <v>44958</v>
      </c>
      <c r="J69" s="30">
        <v>44973</v>
      </c>
      <c r="K69" s="28">
        <v>16</v>
      </c>
      <c r="L69" s="29"/>
      <c r="M69" s="27" t="s">
        <v>24991</v>
      </c>
    </row>
    <row r="70" spans="1:13" s="27" customFormat="1" ht="17.25" customHeight="1" x14ac:dyDescent="0.25">
      <c r="A70" s="28" t="s">
        <v>1</v>
      </c>
      <c r="B70" s="28">
        <v>10900408</v>
      </c>
      <c r="C70" s="38" t="s">
        <v>25326</v>
      </c>
      <c r="D70" s="38" t="s">
        <v>25094</v>
      </c>
      <c r="E70" s="38" t="s">
        <v>25032</v>
      </c>
      <c r="F70" s="38" t="s">
        <v>25051</v>
      </c>
      <c r="G70" s="28" t="s">
        <v>19285</v>
      </c>
      <c r="H70" s="28" t="s">
        <v>19240</v>
      </c>
      <c r="I70" s="30">
        <v>44958</v>
      </c>
      <c r="J70" s="30">
        <v>44962</v>
      </c>
      <c r="K70" s="28">
        <v>5</v>
      </c>
      <c r="L70" s="29"/>
      <c r="M70" s="27" t="s">
        <v>26223</v>
      </c>
    </row>
    <row r="71" spans="1:13" s="27" customFormat="1" ht="17.25" customHeight="1" x14ac:dyDescent="0.25">
      <c r="A71" s="28" t="s">
        <v>1</v>
      </c>
      <c r="B71" s="28">
        <v>1002997006</v>
      </c>
      <c r="C71" s="38" t="s">
        <v>25345</v>
      </c>
      <c r="D71" s="38" t="s">
        <v>25346</v>
      </c>
      <c r="E71" s="38" t="s">
        <v>25347</v>
      </c>
      <c r="F71" s="38"/>
      <c r="G71" s="28" t="s">
        <v>19229</v>
      </c>
      <c r="H71" s="28" t="s">
        <v>19240</v>
      </c>
      <c r="I71" s="30">
        <v>44958</v>
      </c>
      <c r="J71" s="30">
        <v>44962</v>
      </c>
      <c r="K71" s="28">
        <v>5</v>
      </c>
      <c r="L71" s="29"/>
      <c r="M71" s="27" t="s">
        <v>26223</v>
      </c>
    </row>
    <row r="72" spans="1:13" s="27" customFormat="1" ht="17.25" customHeight="1" x14ac:dyDescent="0.25">
      <c r="A72" s="28" t="s">
        <v>1</v>
      </c>
      <c r="B72" s="28">
        <v>71373029</v>
      </c>
      <c r="C72" s="38" t="s">
        <v>25314</v>
      </c>
      <c r="D72" s="38" t="s">
        <v>25387</v>
      </c>
      <c r="E72" s="38" t="s">
        <v>25388</v>
      </c>
      <c r="F72" s="38" t="s">
        <v>25064</v>
      </c>
      <c r="G72" s="28" t="s">
        <v>25389</v>
      </c>
      <c r="H72" s="28" t="s">
        <v>19238</v>
      </c>
      <c r="I72" s="30">
        <v>44958</v>
      </c>
      <c r="J72" s="30">
        <v>44966</v>
      </c>
      <c r="K72" s="28">
        <v>9</v>
      </c>
      <c r="L72" s="29"/>
      <c r="M72" s="27" t="s">
        <v>19257</v>
      </c>
    </row>
    <row r="73" spans="1:13" s="27" customFormat="1" ht="17.25" customHeight="1" x14ac:dyDescent="0.25">
      <c r="A73" s="28" t="s">
        <v>1</v>
      </c>
      <c r="B73" s="28">
        <v>1020403449</v>
      </c>
      <c r="C73" s="38" t="s">
        <v>25021</v>
      </c>
      <c r="D73" s="38" t="s">
        <v>25022</v>
      </c>
      <c r="E73" s="38" t="s">
        <v>25023</v>
      </c>
      <c r="F73" s="38" t="s">
        <v>25024</v>
      </c>
      <c r="G73" s="28" t="s">
        <v>19229</v>
      </c>
      <c r="H73" s="28" t="s">
        <v>19238</v>
      </c>
      <c r="I73" s="30">
        <v>44958</v>
      </c>
      <c r="J73" s="30">
        <v>44972</v>
      </c>
      <c r="K73" s="28">
        <v>15</v>
      </c>
      <c r="L73" s="29"/>
      <c r="M73" s="27" t="s">
        <v>19257</v>
      </c>
    </row>
    <row r="74" spans="1:13" s="27" customFormat="1" ht="17.25" customHeight="1" x14ac:dyDescent="0.25">
      <c r="A74" s="28" t="s">
        <v>1</v>
      </c>
      <c r="B74" s="28">
        <v>14605912</v>
      </c>
      <c r="C74" s="38" t="s">
        <v>25414</v>
      </c>
      <c r="D74" s="38" t="s">
        <v>25415</v>
      </c>
      <c r="E74" s="38" t="s">
        <v>25188</v>
      </c>
      <c r="F74" s="38" t="s">
        <v>25416</v>
      </c>
      <c r="G74" s="28" t="s">
        <v>19229</v>
      </c>
      <c r="H74" s="28" t="s">
        <v>19238</v>
      </c>
      <c r="I74" s="30">
        <v>44958</v>
      </c>
      <c r="J74" s="30">
        <v>44972</v>
      </c>
      <c r="K74" s="28">
        <v>15</v>
      </c>
      <c r="L74" s="29"/>
      <c r="M74" s="27" t="s">
        <v>19257</v>
      </c>
    </row>
    <row r="75" spans="1:13" s="27" customFormat="1" ht="17.25" customHeight="1" x14ac:dyDescent="0.25">
      <c r="A75" s="28" t="s">
        <v>1</v>
      </c>
      <c r="B75" s="28">
        <v>11811390</v>
      </c>
      <c r="C75" s="38" t="s">
        <v>25417</v>
      </c>
      <c r="D75" s="38" t="s">
        <v>25418</v>
      </c>
      <c r="E75" s="38" t="s">
        <v>25134</v>
      </c>
      <c r="F75" s="38" t="s">
        <v>25419</v>
      </c>
      <c r="G75" s="28" t="s">
        <v>19229</v>
      </c>
      <c r="H75" s="28" t="s">
        <v>19238</v>
      </c>
      <c r="I75" s="30">
        <v>44958</v>
      </c>
      <c r="J75" s="30">
        <v>44974</v>
      </c>
      <c r="K75" s="28">
        <v>17</v>
      </c>
      <c r="L75" s="29"/>
      <c r="M75" s="27" t="s">
        <v>19257</v>
      </c>
    </row>
    <row r="76" spans="1:13" s="27" customFormat="1" ht="17.25" customHeight="1" x14ac:dyDescent="0.25">
      <c r="A76" s="28" t="s">
        <v>1</v>
      </c>
      <c r="B76" s="28">
        <v>71619744</v>
      </c>
      <c r="C76" s="38" t="s">
        <v>25319</v>
      </c>
      <c r="D76" s="38" t="s">
        <v>25109</v>
      </c>
      <c r="E76" s="38" t="s">
        <v>25188</v>
      </c>
      <c r="F76" s="38" t="s">
        <v>25320</v>
      </c>
      <c r="G76" s="28" t="s">
        <v>19285</v>
      </c>
      <c r="H76" s="28" t="s">
        <v>19239</v>
      </c>
      <c r="I76" s="30">
        <v>44959</v>
      </c>
      <c r="J76" s="30">
        <v>44961</v>
      </c>
      <c r="K76" s="28">
        <v>3</v>
      </c>
      <c r="L76" s="29">
        <v>6</v>
      </c>
      <c r="M76" s="27" t="s">
        <v>25067</v>
      </c>
    </row>
    <row r="77" spans="1:13" s="27" customFormat="1" ht="17.25" customHeight="1" x14ac:dyDescent="0.25">
      <c r="A77" s="28" t="s">
        <v>1</v>
      </c>
      <c r="B77" s="28">
        <v>71748300</v>
      </c>
      <c r="C77" s="38" t="s">
        <v>25160</v>
      </c>
      <c r="D77" s="38" t="s">
        <v>25161</v>
      </c>
      <c r="E77" s="38" t="s">
        <v>25028</v>
      </c>
      <c r="F77" s="38" t="s">
        <v>25162</v>
      </c>
      <c r="G77" s="28" t="s">
        <v>19285</v>
      </c>
      <c r="H77" s="28" t="s">
        <v>19238</v>
      </c>
      <c r="I77" s="30">
        <v>44960</v>
      </c>
      <c r="J77" s="30">
        <v>44974</v>
      </c>
      <c r="K77" s="28">
        <v>15</v>
      </c>
      <c r="L77" s="29"/>
      <c r="M77" s="27" t="s">
        <v>19257</v>
      </c>
    </row>
    <row r="78" spans="1:13" s="27" customFormat="1" ht="17.25" customHeight="1" x14ac:dyDescent="0.25">
      <c r="A78" s="28" t="s">
        <v>1</v>
      </c>
      <c r="B78" s="28">
        <v>1003339120</v>
      </c>
      <c r="C78" s="38" t="s">
        <v>25406</v>
      </c>
      <c r="D78" s="38" t="s">
        <v>25407</v>
      </c>
      <c r="E78" s="38" t="s">
        <v>25408</v>
      </c>
      <c r="F78" s="38" t="s">
        <v>25056</v>
      </c>
      <c r="G78" s="28" t="s">
        <v>19229</v>
      </c>
      <c r="H78" s="28" t="s">
        <v>19238</v>
      </c>
      <c r="I78" s="30">
        <v>44960</v>
      </c>
      <c r="J78" s="30">
        <v>44974</v>
      </c>
      <c r="K78" s="28">
        <v>15</v>
      </c>
      <c r="L78" s="29"/>
      <c r="M78" s="27" t="s">
        <v>19257</v>
      </c>
    </row>
    <row r="79" spans="1:13" s="27" customFormat="1" ht="17.25" customHeight="1" x14ac:dyDescent="0.25">
      <c r="A79" s="28" t="s">
        <v>1</v>
      </c>
      <c r="B79" s="28">
        <v>1020447320</v>
      </c>
      <c r="C79" s="28" t="s">
        <v>25411</v>
      </c>
      <c r="D79" s="28" t="s">
        <v>25310</v>
      </c>
      <c r="E79" s="28" t="s">
        <v>25412</v>
      </c>
      <c r="F79" s="28" t="s">
        <v>25413</v>
      </c>
      <c r="G79" s="28" t="s">
        <v>19229</v>
      </c>
      <c r="H79" s="28" t="s">
        <v>19238</v>
      </c>
      <c r="I79" s="50">
        <v>44960</v>
      </c>
      <c r="J79" s="50">
        <v>44974</v>
      </c>
      <c r="K79" s="52">
        <v>15</v>
      </c>
      <c r="L79" s="29"/>
      <c r="M79" s="27" t="s">
        <v>19257</v>
      </c>
    </row>
    <row r="80" spans="1:13" s="27" customFormat="1" ht="17.25" customHeight="1" x14ac:dyDescent="0.25">
      <c r="A80" s="28" t="s">
        <v>1</v>
      </c>
      <c r="B80" s="28">
        <v>94289024</v>
      </c>
      <c r="C80" s="28" t="s">
        <v>25242</v>
      </c>
      <c r="D80" s="28" t="s">
        <v>25118</v>
      </c>
      <c r="E80" s="28" t="s">
        <v>25243</v>
      </c>
      <c r="F80" s="28"/>
      <c r="G80" s="28" t="s">
        <v>19285</v>
      </c>
      <c r="H80" s="28" t="s">
        <v>19238</v>
      </c>
      <c r="I80" s="30">
        <v>44961</v>
      </c>
      <c r="J80" s="30">
        <v>44968</v>
      </c>
      <c r="K80" s="28">
        <v>8</v>
      </c>
      <c r="L80" s="29"/>
      <c r="M80" s="27" t="s">
        <v>19257</v>
      </c>
    </row>
    <row r="81" spans="1:13" s="27" customFormat="1" ht="17.25" customHeight="1" x14ac:dyDescent="0.25">
      <c r="A81" s="28" t="s">
        <v>1</v>
      </c>
      <c r="B81" s="28">
        <v>71784176</v>
      </c>
      <c r="C81" s="38" t="s">
        <v>25244</v>
      </c>
      <c r="D81" s="38" t="s">
        <v>25245</v>
      </c>
      <c r="E81" s="38" t="s">
        <v>25110</v>
      </c>
      <c r="F81" s="38"/>
      <c r="G81" s="28" t="s">
        <v>19285</v>
      </c>
      <c r="H81" s="28" t="s">
        <v>19238</v>
      </c>
      <c r="I81" s="30">
        <v>44961</v>
      </c>
      <c r="J81" s="30">
        <v>44968</v>
      </c>
      <c r="K81" s="28">
        <v>15</v>
      </c>
      <c r="L81" s="29"/>
      <c r="M81" s="27" t="s">
        <v>19257</v>
      </c>
    </row>
    <row r="82" spans="1:13" s="27" customFormat="1" ht="17.25" customHeight="1" x14ac:dyDescent="0.25">
      <c r="A82" s="28" t="s">
        <v>1</v>
      </c>
      <c r="B82" s="28">
        <v>1020490423</v>
      </c>
      <c r="C82" s="38" t="s">
        <v>25075</v>
      </c>
      <c r="D82" s="38" t="s">
        <v>25325</v>
      </c>
      <c r="E82" s="38" t="s">
        <v>25077</v>
      </c>
      <c r="F82" s="38" t="s">
        <v>25078</v>
      </c>
      <c r="G82" s="28" t="s">
        <v>19285</v>
      </c>
      <c r="H82" s="28" t="s">
        <v>19240</v>
      </c>
      <c r="I82" s="30">
        <v>44961</v>
      </c>
      <c r="J82" s="30">
        <v>44962</v>
      </c>
      <c r="K82" s="28">
        <v>2</v>
      </c>
      <c r="L82" s="29"/>
      <c r="M82" s="27" t="s">
        <v>24991</v>
      </c>
    </row>
    <row r="83" spans="1:13" s="27" customFormat="1" ht="17.25" customHeight="1" x14ac:dyDescent="0.25">
      <c r="A83" s="28" t="s">
        <v>1</v>
      </c>
      <c r="B83" s="28">
        <v>71784176</v>
      </c>
      <c r="C83" s="38" t="s">
        <v>25244</v>
      </c>
      <c r="D83" s="38" t="s">
        <v>25245</v>
      </c>
      <c r="E83" s="38" t="s">
        <v>25110</v>
      </c>
      <c r="F83" s="38"/>
      <c r="G83" s="28" t="s">
        <v>19229</v>
      </c>
      <c r="H83" s="28" t="s">
        <v>19238</v>
      </c>
      <c r="I83" s="30">
        <v>44961</v>
      </c>
      <c r="J83" s="30">
        <v>44976</v>
      </c>
      <c r="K83" s="28">
        <v>16</v>
      </c>
      <c r="L83" s="29"/>
      <c r="M83" s="27" t="s">
        <v>19257</v>
      </c>
    </row>
    <row r="84" spans="1:13" s="27" customFormat="1" ht="17.25" customHeight="1" x14ac:dyDescent="0.25">
      <c r="A84" s="28" t="s">
        <v>1</v>
      </c>
      <c r="B84" s="28">
        <v>1128458954</v>
      </c>
      <c r="C84" s="38" t="s">
        <v>25181</v>
      </c>
      <c r="D84" s="38" t="s">
        <v>25382</v>
      </c>
      <c r="E84" s="38" t="s">
        <v>25383</v>
      </c>
      <c r="F84" s="38" t="s">
        <v>25384</v>
      </c>
      <c r="G84" s="28" t="s">
        <v>19229</v>
      </c>
      <c r="H84" s="28" t="s">
        <v>19238</v>
      </c>
      <c r="I84" s="30">
        <v>44961</v>
      </c>
      <c r="J84" s="30">
        <v>44975</v>
      </c>
      <c r="K84" s="28">
        <v>15</v>
      </c>
      <c r="L84" s="29"/>
      <c r="M84" s="27" t="s">
        <v>19257</v>
      </c>
    </row>
    <row r="85" spans="1:13" s="27" customFormat="1" ht="17.25" customHeight="1" x14ac:dyDescent="0.25">
      <c r="A85" s="28" t="s">
        <v>1</v>
      </c>
      <c r="B85" s="28">
        <v>94289024</v>
      </c>
      <c r="C85" s="38" t="s">
        <v>25242</v>
      </c>
      <c r="D85" s="38" t="s">
        <v>25118</v>
      </c>
      <c r="E85" s="38" t="s">
        <v>25243</v>
      </c>
      <c r="F85" s="38"/>
      <c r="G85" s="28" t="s">
        <v>19229</v>
      </c>
      <c r="H85" s="28" t="s">
        <v>19238</v>
      </c>
      <c r="I85" s="30">
        <v>44961</v>
      </c>
      <c r="J85" s="30">
        <v>44976</v>
      </c>
      <c r="K85" s="28">
        <v>16</v>
      </c>
      <c r="L85" s="29"/>
      <c r="M85" s="27" t="s">
        <v>19257</v>
      </c>
    </row>
    <row r="86" spans="1:13" s="27" customFormat="1" ht="17.25" customHeight="1" x14ac:dyDescent="0.25">
      <c r="A86" s="28" t="s">
        <v>1</v>
      </c>
      <c r="B86" s="28">
        <v>71875868</v>
      </c>
      <c r="C86" s="38" t="s">
        <v>25426</v>
      </c>
      <c r="D86" s="38" t="s">
        <v>25427</v>
      </c>
      <c r="E86" s="38" t="s">
        <v>25130</v>
      </c>
      <c r="F86" s="38" t="s">
        <v>25040</v>
      </c>
      <c r="G86" s="28" t="s">
        <v>19229</v>
      </c>
      <c r="H86" s="28" t="s">
        <v>19240</v>
      </c>
      <c r="I86" s="30">
        <v>44961</v>
      </c>
      <c r="J86" s="30">
        <v>44962</v>
      </c>
      <c r="K86" s="28">
        <v>2</v>
      </c>
      <c r="L86" s="29"/>
      <c r="M86" s="27" t="s">
        <v>24991</v>
      </c>
    </row>
    <row r="87" spans="1:13" s="27" customFormat="1" ht="17.25" customHeight="1" x14ac:dyDescent="0.25">
      <c r="A87" s="28" t="s">
        <v>1</v>
      </c>
      <c r="B87" s="28">
        <v>43164617</v>
      </c>
      <c r="C87" s="38" t="s">
        <v>25247</v>
      </c>
      <c r="D87" s="38" t="s">
        <v>25248</v>
      </c>
      <c r="E87" s="38" t="s">
        <v>25249</v>
      </c>
      <c r="F87" s="38" t="s">
        <v>25250</v>
      </c>
      <c r="G87" s="28" t="s">
        <v>19285</v>
      </c>
      <c r="H87" s="28" t="s">
        <v>19238</v>
      </c>
      <c r="I87" s="30">
        <v>44963</v>
      </c>
      <c r="J87" s="30">
        <v>44979</v>
      </c>
      <c r="K87" s="28">
        <v>17</v>
      </c>
      <c r="L87" s="29"/>
      <c r="M87" s="27" t="s">
        <v>19257</v>
      </c>
    </row>
    <row r="88" spans="1:13" s="27" customFormat="1" ht="17.25" customHeight="1" x14ac:dyDescent="0.25">
      <c r="A88" s="28" t="s">
        <v>1</v>
      </c>
      <c r="B88" s="28">
        <v>7958346</v>
      </c>
      <c r="C88" s="38" t="s">
        <v>25251</v>
      </c>
      <c r="D88" s="38" t="s">
        <v>25252</v>
      </c>
      <c r="E88" s="38" t="s">
        <v>25253</v>
      </c>
      <c r="F88" s="38" t="s">
        <v>25213</v>
      </c>
      <c r="G88" s="28" t="s">
        <v>19285</v>
      </c>
      <c r="H88" s="28" t="s">
        <v>19238</v>
      </c>
      <c r="I88" s="30">
        <v>44963</v>
      </c>
      <c r="J88" s="30">
        <v>44977</v>
      </c>
      <c r="K88" s="28">
        <v>15</v>
      </c>
      <c r="L88" s="29"/>
      <c r="M88" s="27" t="s">
        <v>19257</v>
      </c>
    </row>
    <row r="89" spans="1:13" s="27" customFormat="1" ht="17.25" customHeight="1" x14ac:dyDescent="0.25">
      <c r="A89" s="28" t="s">
        <v>1</v>
      </c>
      <c r="B89" s="28">
        <v>70139856</v>
      </c>
      <c r="C89" s="38" t="s">
        <v>25126</v>
      </c>
      <c r="D89" s="38" t="s">
        <v>25246</v>
      </c>
      <c r="E89" s="38" t="s">
        <v>25028</v>
      </c>
      <c r="F89" s="38" t="s">
        <v>25029</v>
      </c>
      <c r="G89" s="28" t="s">
        <v>19285</v>
      </c>
      <c r="H89" s="28" t="s">
        <v>19238</v>
      </c>
      <c r="I89" s="30">
        <v>44964</v>
      </c>
      <c r="J89" s="30">
        <v>44971</v>
      </c>
      <c r="K89" s="28">
        <v>8</v>
      </c>
      <c r="L89" s="29"/>
      <c r="M89" s="27" t="s">
        <v>19257</v>
      </c>
    </row>
    <row r="90" spans="1:13" s="27" customFormat="1" ht="17.25" customHeight="1" x14ac:dyDescent="0.25">
      <c r="A90" s="28" t="s">
        <v>1</v>
      </c>
      <c r="B90" s="28">
        <v>70252687</v>
      </c>
      <c r="C90" s="38" t="s">
        <v>25178</v>
      </c>
      <c r="D90" s="38" t="s">
        <v>25248</v>
      </c>
      <c r="E90" s="38" t="s">
        <v>25131</v>
      </c>
      <c r="F90" s="38" t="s">
        <v>25020</v>
      </c>
      <c r="G90" s="28" t="s">
        <v>19285</v>
      </c>
      <c r="H90" s="28" t="s">
        <v>19240</v>
      </c>
      <c r="I90" s="30">
        <v>44964</v>
      </c>
      <c r="J90" s="30">
        <v>44964</v>
      </c>
      <c r="K90" s="28">
        <v>1</v>
      </c>
      <c r="L90" s="29"/>
      <c r="M90" s="27" t="s">
        <v>24991</v>
      </c>
    </row>
    <row r="91" spans="1:13" s="27" customFormat="1" ht="17.25" customHeight="1" x14ac:dyDescent="0.25">
      <c r="A91" s="28" t="s">
        <v>1</v>
      </c>
      <c r="B91" s="28">
        <v>70661816</v>
      </c>
      <c r="C91" s="38" t="s">
        <v>25174</v>
      </c>
      <c r="D91" s="38"/>
      <c r="E91" s="38" t="s">
        <v>25327</v>
      </c>
      <c r="F91" s="38" t="s">
        <v>25103</v>
      </c>
      <c r="G91" s="28" t="s">
        <v>25328</v>
      </c>
      <c r="H91" s="28" t="s">
        <v>19240</v>
      </c>
      <c r="I91" s="30">
        <v>44964</v>
      </c>
      <c r="J91" s="30">
        <v>44972</v>
      </c>
      <c r="K91" s="28">
        <v>9</v>
      </c>
      <c r="L91" s="29"/>
      <c r="M91" s="27" t="s">
        <v>24991</v>
      </c>
    </row>
    <row r="92" spans="1:13" s="27" customFormat="1" ht="17.25" customHeight="1" x14ac:dyDescent="0.25">
      <c r="A92" s="28" t="s">
        <v>1</v>
      </c>
      <c r="B92" s="28">
        <v>1067892509</v>
      </c>
      <c r="C92" s="38" t="s">
        <v>25030</v>
      </c>
      <c r="D92" s="38" t="s">
        <v>25312</v>
      </c>
      <c r="E92" s="38" t="s">
        <v>25394</v>
      </c>
      <c r="F92" s="38" t="s">
        <v>25395</v>
      </c>
      <c r="G92" s="28" t="s">
        <v>19229</v>
      </c>
      <c r="H92" s="28" t="s">
        <v>19238</v>
      </c>
      <c r="I92" s="30">
        <v>44964</v>
      </c>
      <c r="J92" s="30">
        <v>44972</v>
      </c>
      <c r="K92" s="28">
        <v>9</v>
      </c>
      <c r="L92" s="29"/>
      <c r="M92" s="27" t="s">
        <v>19257</v>
      </c>
    </row>
    <row r="93" spans="1:13" s="27" customFormat="1" ht="17.25" customHeight="1" x14ac:dyDescent="0.25">
      <c r="A93" s="28" t="s">
        <v>1</v>
      </c>
      <c r="B93" s="28">
        <v>12124967</v>
      </c>
      <c r="C93" s="38" t="s">
        <v>25398</v>
      </c>
      <c r="D93" s="38" t="s">
        <v>25303</v>
      </c>
      <c r="E93" s="38" t="s">
        <v>25399</v>
      </c>
      <c r="F93" s="38"/>
      <c r="G93" s="28" t="s">
        <v>19229</v>
      </c>
      <c r="H93" s="28" t="s">
        <v>19238</v>
      </c>
      <c r="I93" s="30">
        <v>44964</v>
      </c>
      <c r="J93" s="30">
        <v>44979</v>
      </c>
      <c r="K93" s="28">
        <v>16</v>
      </c>
      <c r="L93" s="29"/>
      <c r="M93" s="27" t="s">
        <v>19257</v>
      </c>
    </row>
    <row r="94" spans="1:13" s="27" customFormat="1" ht="17.25" customHeight="1" x14ac:dyDescent="0.25">
      <c r="A94" s="28" t="s">
        <v>1</v>
      </c>
      <c r="B94" s="28">
        <v>98491354</v>
      </c>
      <c r="C94" s="38" t="s">
        <v>25401</v>
      </c>
      <c r="D94" s="38"/>
      <c r="E94" s="38" t="s">
        <v>25091</v>
      </c>
      <c r="F94" s="38" t="s">
        <v>25402</v>
      </c>
      <c r="G94" s="28" t="s">
        <v>19229</v>
      </c>
      <c r="H94" s="28" t="s">
        <v>19238</v>
      </c>
      <c r="I94" s="30">
        <v>44964</v>
      </c>
      <c r="J94" s="30">
        <v>44971</v>
      </c>
      <c r="K94" s="28">
        <v>8</v>
      </c>
      <c r="L94" s="29"/>
      <c r="M94" s="27" t="s">
        <v>19257</v>
      </c>
    </row>
    <row r="95" spans="1:13" s="27" customFormat="1" ht="17.25" customHeight="1" x14ac:dyDescent="0.25">
      <c r="A95" s="28" t="s">
        <v>1</v>
      </c>
      <c r="B95" s="28">
        <v>8432587</v>
      </c>
      <c r="C95" s="38" t="s">
        <v>25317</v>
      </c>
      <c r="D95" s="38"/>
      <c r="E95" s="38" t="s">
        <v>25318</v>
      </c>
      <c r="F95" s="38" t="s">
        <v>25064</v>
      </c>
      <c r="G95" s="28" t="s">
        <v>19285</v>
      </c>
      <c r="H95" s="28" t="s">
        <v>19239</v>
      </c>
      <c r="I95" s="30">
        <v>44965</v>
      </c>
      <c r="J95" s="30">
        <v>44965</v>
      </c>
      <c r="K95" s="28">
        <v>1</v>
      </c>
      <c r="L95" s="29">
        <v>7</v>
      </c>
      <c r="M95" s="27" t="s">
        <v>25036</v>
      </c>
    </row>
    <row r="96" spans="1:13" s="27" customFormat="1" ht="17.25" customHeight="1" x14ac:dyDescent="0.25">
      <c r="A96" s="28" t="s">
        <v>1</v>
      </c>
      <c r="B96" s="28">
        <v>1063359677</v>
      </c>
      <c r="C96" s="38" t="s">
        <v>25409</v>
      </c>
      <c r="D96" s="38" t="s">
        <v>25410</v>
      </c>
      <c r="E96" s="38" t="s">
        <v>24988</v>
      </c>
      <c r="F96" s="38" t="s">
        <v>25064</v>
      </c>
      <c r="G96" s="28" t="s">
        <v>19229</v>
      </c>
      <c r="H96" s="28" t="s">
        <v>19238</v>
      </c>
      <c r="I96" s="30">
        <v>44965</v>
      </c>
      <c r="J96" s="30">
        <v>44979</v>
      </c>
      <c r="K96" s="28">
        <v>15</v>
      </c>
      <c r="L96" s="29"/>
      <c r="M96" s="27" t="s">
        <v>19257</v>
      </c>
    </row>
    <row r="97" spans="1:13" s="27" customFormat="1" ht="17.25" customHeight="1" x14ac:dyDescent="0.25">
      <c r="A97" s="28" t="s">
        <v>1</v>
      </c>
      <c r="B97" s="28">
        <v>1152711359</v>
      </c>
      <c r="C97" s="38" t="s">
        <v>25147</v>
      </c>
      <c r="D97" s="38" t="s">
        <v>25053</v>
      </c>
      <c r="E97" s="38" t="s">
        <v>25148</v>
      </c>
      <c r="F97" s="38"/>
      <c r="G97" s="28" t="s">
        <v>19285</v>
      </c>
      <c r="H97" s="28" t="s">
        <v>19240</v>
      </c>
      <c r="I97" s="30">
        <v>44966</v>
      </c>
      <c r="J97" s="30">
        <v>44967</v>
      </c>
      <c r="K97" s="28">
        <v>2</v>
      </c>
      <c r="L97" s="29"/>
      <c r="M97" s="27" t="s">
        <v>24991</v>
      </c>
    </row>
    <row r="98" spans="1:13" s="27" customFormat="1" ht="17.25" customHeight="1" x14ac:dyDescent="0.25">
      <c r="A98" s="28" t="s">
        <v>1</v>
      </c>
      <c r="B98" s="28">
        <v>8432587</v>
      </c>
      <c r="C98" s="38" t="s">
        <v>25317</v>
      </c>
      <c r="D98" s="38"/>
      <c r="E98" s="38" t="s">
        <v>25318</v>
      </c>
      <c r="F98" s="38" t="s">
        <v>25064</v>
      </c>
      <c r="G98" s="28" t="s">
        <v>19229</v>
      </c>
      <c r="H98" s="28" t="s">
        <v>19238</v>
      </c>
      <c r="I98" s="30">
        <v>44966</v>
      </c>
      <c r="J98" s="30">
        <v>44980</v>
      </c>
      <c r="K98" s="28">
        <v>15</v>
      </c>
      <c r="L98" s="29"/>
      <c r="M98" s="27" t="s">
        <v>19257</v>
      </c>
    </row>
    <row r="99" spans="1:13" s="27" customFormat="1" ht="17.25" customHeight="1" x14ac:dyDescent="0.25">
      <c r="A99" s="28" t="s">
        <v>1</v>
      </c>
      <c r="B99" s="28">
        <v>70782506</v>
      </c>
      <c r="C99" s="38" t="s">
        <v>25118</v>
      </c>
      <c r="D99" s="38" t="s">
        <v>25392</v>
      </c>
      <c r="E99" s="38" t="s">
        <v>25130</v>
      </c>
      <c r="F99" s="38" t="s">
        <v>25131</v>
      </c>
      <c r="G99" s="28" t="s">
        <v>19229</v>
      </c>
      <c r="H99" s="28" t="s">
        <v>19238</v>
      </c>
      <c r="I99" s="30">
        <v>44966</v>
      </c>
      <c r="J99" s="30">
        <v>44981</v>
      </c>
      <c r="K99" s="28">
        <v>16</v>
      </c>
      <c r="L99" s="29"/>
      <c r="M99" s="27" t="s">
        <v>19257</v>
      </c>
    </row>
    <row r="100" spans="1:13" s="27" customFormat="1" ht="17.25" customHeight="1" x14ac:dyDescent="0.25">
      <c r="A100" s="28" t="s">
        <v>1</v>
      </c>
      <c r="B100" s="28">
        <v>70127902</v>
      </c>
      <c r="C100" s="38" t="s">
        <v>25391</v>
      </c>
      <c r="D100" s="38" t="s">
        <v>25400</v>
      </c>
      <c r="E100" s="38" t="s">
        <v>25380</v>
      </c>
      <c r="F100" s="38" t="s">
        <v>25162</v>
      </c>
      <c r="G100" s="28" t="s">
        <v>19229</v>
      </c>
      <c r="H100" s="28" t="s">
        <v>19238</v>
      </c>
      <c r="I100" s="30">
        <v>44966</v>
      </c>
      <c r="J100" s="30">
        <v>44980</v>
      </c>
      <c r="K100" s="28">
        <v>15</v>
      </c>
      <c r="L100" s="29"/>
      <c r="M100" s="27" t="s">
        <v>19257</v>
      </c>
    </row>
    <row r="101" spans="1:13" s="27" customFormat="1" ht="17.25" customHeight="1" x14ac:dyDescent="0.25">
      <c r="A101" s="28" t="s">
        <v>1</v>
      </c>
      <c r="B101" s="28">
        <v>71762788</v>
      </c>
      <c r="C101" s="38" t="s">
        <v>25393</v>
      </c>
      <c r="D101" s="38" t="s">
        <v>25126</v>
      </c>
      <c r="E101" s="38" t="s">
        <v>25056</v>
      </c>
      <c r="F101" s="38" t="s">
        <v>25177</v>
      </c>
      <c r="G101" s="28" t="s">
        <v>19229</v>
      </c>
      <c r="H101" s="28" t="s">
        <v>19238</v>
      </c>
      <c r="I101" s="30">
        <v>44967</v>
      </c>
      <c r="J101" s="30">
        <v>44981</v>
      </c>
      <c r="K101" s="28">
        <v>15</v>
      </c>
      <c r="L101" s="29"/>
      <c r="M101" s="27" t="s">
        <v>19257</v>
      </c>
    </row>
    <row r="102" spans="1:13" s="27" customFormat="1" ht="17.25" customHeight="1" x14ac:dyDescent="0.25">
      <c r="A102" s="28" t="s">
        <v>1</v>
      </c>
      <c r="B102" s="28">
        <v>1100688038</v>
      </c>
      <c r="C102" s="38" t="s">
        <v>25161</v>
      </c>
      <c r="D102" s="38" t="s">
        <v>25034</v>
      </c>
      <c r="E102" s="38" t="s">
        <v>25397</v>
      </c>
      <c r="F102" s="38" t="s">
        <v>25010</v>
      </c>
      <c r="G102" s="28" t="s">
        <v>19229</v>
      </c>
      <c r="H102" s="28" t="s">
        <v>19238</v>
      </c>
      <c r="I102" s="30">
        <v>44967</v>
      </c>
      <c r="J102" s="30">
        <v>44981</v>
      </c>
      <c r="K102" s="28">
        <v>15</v>
      </c>
      <c r="L102" s="29"/>
      <c r="M102" s="27" t="s">
        <v>19257</v>
      </c>
    </row>
    <row r="103" spans="1:13" s="27" customFormat="1" ht="17.25" customHeight="1" x14ac:dyDescent="0.25">
      <c r="A103" s="28" t="s">
        <v>1</v>
      </c>
      <c r="B103" s="28">
        <v>98562449</v>
      </c>
      <c r="C103" s="38" t="s">
        <v>25403</v>
      </c>
      <c r="D103" s="38" t="s">
        <v>25404</v>
      </c>
      <c r="E103" s="38" t="s">
        <v>19256</v>
      </c>
      <c r="F103" s="38" t="s">
        <v>25405</v>
      </c>
      <c r="G103" s="28" t="s">
        <v>19229</v>
      </c>
      <c r="H103" s="28" t="s">
        <v>19238</v>
      </c>
      <c r="I103" s="30">
        <v>44967</v>
      </c>
      <c r="J103" s="30">
        <v>44982</v>
      </c>
      <c r="K103" s="28">
        <v>16</v>
      </c>
      <c r="L103" s="29"/>
      <c r="M103" s="27" t="s">
        <v>19257</v>
      </c>
    </row>
    <row r="104" spans="1:13" s="27" customFormat="1" ht="17.25" customHeight="1" x14ac:dyDescent="0.25">
      <c r="A104" s="28" t="s">
        <v>1</v>
      </c>
      <c r="B104" s="28">
        <v>1128479571</v>
      </c>
      <c r="C104" s="38" t="s">
        <v>25428</v>
      </c>
      <c r="D104" s="38" t="s">
        <v>25429</v>
      </c>
      <c r="E104" s="38" t="s">
        <v>25430</v>
      </c>
      <c r="F104" s="38" t="s">
        <v>25107</v>
      </c>
      <c r="G104" s="28" t="s">
        <v>19229</v>
      </c>
      <c r="H104" s="28" t="s">
        <v>19240</v>
      </c>
      <c r="I104" s="30">
        <v>44968</v>
      </c>
      <c r="J104" s="30">
        <v>44969</v>
      </c>
      <c r="K104" s="28">
        <v>2</v>
      </c>
      <c r="L104" s="29"/>
      <c r="M104" s="27" t="s">
        <v>25431</v>
      </c>
    </row>
    <row r="105" spans="1:13" s="27" customFormat="1" ht="17.25" customHeight="1" x14ac:dyDescent="0.25">
      <c r="A105" s="28" t="s">
        <v>1</v>
      </c>
      <c r="B105" s="28">
        <v>94289024</v>
      </c>
      <c r="C105" s="38" t="s">
        <v>25242</v>
      </c>
      <c r="D105" s="38" t="s">
        <v>25118</v>
      </c>
      <c r="E105" s="38" t="s">
        <v>25243</v>
      </c>
      <c r="F105" s="38"/>
      <c r="G105" s="28" t="s">
        <v>19285</v>
      </c>
      <c r="H105" s="28" t="s">
        <v>19238</v>
      </c>
      <c r="I105" s="30">
        <v>44969</v>
      </c>
      <c r="J105" s="30">
        <v>44976</v>
      </c>
      <c r="K105" s="28">
        <v>8</v>
      </c>
      <c r="L105" s="29"/>
      <c r="M105" s="27" t="s">
        <v>19257</v>
      </c>
    </row>
    <row r="106" spans="1:13" s="27" customFormat="1" ht="17.25" customHeight="1" x14ac:dyDescent="0.25">
      <c r="A106" s="28" t="s">
        <v>1</v>
      </c>
      <c r="B106" s="28">
        <v>1001229226</v>
      </c>
      <c r="C106" s="38" t="s">
        <v>25329</v>
      </c>
      <c r="D106" s="38" t="s">
        <v>25330</v>
      </c>
      <c r="E106" s="38" t="s">
        <v>24994</v>
      </c>
      <c r="F106" s="38"/>
      <c r="G106" s="28" t="s">
        <v>19229</v>
      </c>
      <c r="H106" s="28" t="s">
        <v>19239</v>
      </c>
      <c r="I106" s="30">
        <v>44969</v>
      </c>
      <c r="J106" s="30">
        <v>44971</v>
      </c>
      <c r="K106" s="28">
        <v>3</v>
      </c>
      <c r="L106" s="29">
        <v>20</v>
      </c>
      <c r="M106" s="27" t="s">
        <v>25067</v>
      </c>
    </row>
    <row r="107" spans="1:13" s="27" customFormat="1" ht="17.25" customHeight="1" x14ac:dyDescent="0.25">
      <c r="A107" s="28" t="s">
        <v>1</v>
      </c>
      <c r="B107" s="28">
        <v>8435129</v>
      </c>
      <c r="C107" s="38" t="s">
        <v>25337</v>
      </c>
      <c r="D107" s="38" t="s">
        <v>25338</v>
      </c>
      <c r="E107" s="38" t="s">
        <v>19278</v>
      </c>
      <c r="F107" s="38" t="s">
        <v>25032</v>
      </c>
      <c r="G107" s="28" t="s">
        <v>19229</v>
      </c>
      <c r="H107" s="28" t="s">
        <v>19239</v>
      </c>
      <c r="I107" s="30">
        <v>44970</v>
      </c>
      <c r="J107" s="30">
        <v>44972</v>
      </c>
      <c r="K107" s="28">
        <v>3</v>
      </c>
      <c r="L107" s="29">
        <v>6</v>
      </c>
      <c r="M107" s="27" t="s">
        <v>25067</v>
      </c>
    </row>
    <row r="108" spans="1:13" s="27" customFormat="1" ht="17.25" customHeight="1" x14ac:dyDescent="0.25">
      <c r="A108" s="28" t="s">
        <v>1</v>
      </c>
      <c r="B108" s="28">
        <v>1007476736</v>
      </c>
      <c r="C108" s="38" t="s">
        <v>25363</v>
      </c>
      <c r="D108" s="38" t="s">
        <v>25364</v>
      </c>
      <c r="E108" s="38" t="s">
        <v>25365</v>
      </c>
      <c r="F108" s="38" t="s">
        <v>25080</v>
      </c>
      <c r="G108" s="28" t="s">
        <v>19229</v>
      </c>
      <c r="H108" s="28" t="s">
        <v>19239</v>
      </c>
      <c r="I108" s="30">
        <v>44970</v>
      </c>
      <c r="J108" s="30">
        <v>44972</v>
      </c>
      <c r="K108" s="28">
        <v>3</v>
      </c>
      <c r="L108" s="29">
        <v>10</v>
      </c>
      <c r="M108" s="27" t="s">
        <v>25036</v>
      </c>
    </row>
    <row r="109" spans="1:13" s="27" customFormat="1" ht="17.25" customHeight="1" x14ac:dyDescent="0.25">
      <c r="A109" s="28" t="s">
        <v>1</v>
      </c>
      <c r="B109" s="28">
        <v>71636724</v>
      </c>
      <c r="C109" s="38" t="s">
        <v>25369</v>
      </c>
      <c r="D109" s="38" t="s">
        <v>25370</v>
      </c>
      <c r="E109" s="38" t="s">
        <v>25029</v>
      </c>
      <c r="F109" s="38" t="s">
        <v>25131</v>
      </c>
      <c r="G109" s="28" t="s">
        <v>19229</v>
      </c>
      <c r="H109" s="28" t="s">
        <v>19240</v>
      </c>
      <c r="I109" s="30">
        <v>44970</v>
      </c>
      <c r="J109" s="30">
        <v>44971</v>
      </c>
      <c r="K109" s="28">
        <v>2</v>
      </c>
      <c r="L109" s="29"/>
      <c r="M109" s="27" t="s">
        <v>24991</v>
      </c>
    </row>
    <row r="110" spans="1:13" s="27" customFormat="1" ht="17.25" customHeight="1" x14ac:dyDescent="0.25">
      <c r="A110" s="28" t="s">
        <v>1</v>
      </c>
      <c r="B110" s="28">
        <v>70139856</v>
      </c>
      <c r="C110" s="38" t="s">
        <v>25126</v>
      </c>
      <c r="D110" s="38" t="s">
        <v>25246</v>
      </c>
      <c r="E110" s="38" t="s">
        <v>25028</v>
      </c>
      <c r="F110" s="38" t="s">
        <v>25029</v>
      </c>
      <c r="G110" s="28" t="s">
        <v>19285</v>
      </c>
      <c r="H110" s="28" t="s">
        <v>19238</v>
      </c>
      <c r="I110" s="30">
        <v>44972</v>
      </c>
      <c r="J110" s="30">
        <v>44979</v>
      </c>
      <c r="K110" s="28">
        <v>8</v>
      </c>
      <c r="L110" s="29"/>
      <c r="M110" s="27" t="s">
        <v>19257</v>
      </c>
    </row>
    <row r="111" spans="1:13" s="27" customFormat="1" ht="17.25" customHeight="1" x14ac:dyDescent="0.25">
      <c r="A111" s="28" t="s">
        <v>1</v>
      </c>
      <c r="B111" s="28">
        <v>71636724</v>
      </c>
      <c r="C111" s="38" t="s">
        <v>25369</v>
      </c>
      <c r="D111" s="38" t="s">
        <v>25370</v>
      </c>
      <c r="E111" s="38" t="s">
        <v>25371</v>
      </c>
      <c r="F111" s="38" t="s">
        <v>25131</v>
      </c>
      <c r="G111" s="28" t="s">
        <v>19229</v>
      </c>
      <c r="H111" s="28" t="s">
        <v>19239</v>
      </c>
      <c r="I111" s="30">
        <v>44972</v>
      </c>
      <c r="J111" s="30">
        <v>44972</v>
      </c>
      <c r="K111" s="28">
        <v>1</v>
      </c>
      <c r="L111" s="29">
        <v>6</v>
      </c>
      <c r="M111" s="27" t="s">
        <v>25036</v>
      </c>
    </row>
    <row r="112" spans="1:13" s="27" customFormat="1" ht="17.25" customHeight="1" x14ac:dyDescent="0.25">
      <c r="A112" s="28" t="s">
        <v>1</v>
      </c>
      <c r="B112" s="28">
        <v>43117538</v>
      </c>
      <c r="C112" s="38" t="s">
        <v>25310</v>
      </c>
      <c r="D112" s="38" t="s">
        <v>25248</v>
      </c>
      <c r="E112" s="38" t="s">
        <v>24999</v>
      </c>
      <c r="F112" s="38" t="s">
        <v>25000</v>
      </c>
      <c r="G112" s="28" t="s">
        <v>19229</v>
      </c>
      <c r="H112" s="28" t="s">
        <v>19240</v>
      </c>
      <c r="I112" s="30">
        <v>44973</v>
      </c>
      <c r="J112" s="30">
        <v>44973</v>
      </c>
      <c r="K112" s="28">
        <v>1</v>
      </c>
      <c r="L112" s="29"/>
      <c r="M112" s="27" t="s">
        <v>24991</v>
      </c>
    </row>
    <row r="113" spans="1:13" s="27" customFormat="1" ht="17.25" customHeight="1" x14ac:dyDescent="0.25">
      <c r="A113" s="28" t="s">
        <v>1</v>
      </c>
      <c r="B113" s="28">
        <v>1039886602</v>
      </c>
      <c r="C113" s="38" t="s">
        <v>25366</v>
      </c>
      <c r="D113" s="38" t="s">
        <v>25367</v>
      </c>
      <c r="E113" s="38" t="s">
        <v>25368</v>
      </c>
      <c r="F113" s="38" t="s">
        <v>25135</v>
      </c>
      <c r="G113" s="28" t="s">
        <v>19229</v>
      </c>
      <c r="H113" s="28" t="s">
        <v>19239</v>
      </c>
      <c r="I113" s="30">
        <v>44973</v>
      </c>
      <c r="J113" s="30">
        <v>44975</v>
      </c>
      <c r="K113" s="28">
        <v>3</v>
      </c>
      <c r="L113" s="29">
        <v>4</v>
      </c>
      <c r="M113" s="27" t="s">
        <v>25067</v>
      </c>
    </row>
    <row r="114" spans="1:13" s="27" customFormat="1" ht="17.25" customHeight="1" x14ac:dyDescent="0.25">
      <c r="A114" s="28" t="s">
        <v>1</v>
      </c>
      <c r="B114" s="49">
        <v>1007365298</v>
      </c>
      <c r="C114" s="51" t="s">
        <v>25379</v>
      </c>
      <c r="D114" s="51" t="s">
        <v>25244</v>
      </c>
      <c r="E114" s="51" t="s">
        <v>25380</v>
      </c>
      <c r="F114" s="51" t="s">
        <v>25381</v>
      </c>
      <c r="G114" s="28" t="s">
        <v>19229</v>
      </c>
      <c r="H114" s="28" t="s">
        <v>19238</v>
      </c>
      <c r="I114" s="50">
        <v>44973</v>
      </c>
      <c r="J114" s="50">
        <v>44987</v>
      </c>
      <c r="K114" s="51">
        <v>15</v>
      </c>
      <c r="L114" s="29"/>
      <c r="M114" s="27" t="s">
        <v>19257</v>
      </c>
    </row>
    <row r="115" spans="1:13" s="27" customFormat="1" ht="17.25" customHeight="1" x14ac:dyDescent="0.25">
      <c r="A115" s="28" t="s">
        <v>1</v>
      </c>
      <c r="B115" s="28">
        <v>8156170</v>
      </c>
      <c r="C115" s="38" t="s">
        <v>25061</v>
      </c>
      <c r="D115" s="38" t="s">
        <v>25062</v>
      </c>
      <c r="E115" s="38" t="s">
        <v>25063</v>
      </c>
      <c r="F115" s="38" t="s">
        <v>25064</v>
      </c>
      <c r="G115" s="28" t="s">
        <v>19229</v>
      </c>
      <c r="H115" s="28" t="s">
        <v>19238</v>
      </c>
      <c r="I115" s="30">
        <v>44973</v>
      </c>
      <c r="J115" s="30">
        <v>44987</v>
      </c>
      <c r="K115" s="28">
        <v>15</v>
      </c>
      <c r="L115" s="29"/>
      <c r="M115" s="27" t="s">
        <v>19257</v>
      </c>
    </row>
    <row r="116" spans="1:13" s="27" customFormat="1" ht="17.25" customHeight="1" x14ac:dyDescent="0.25">
      <c r="A116" s="28" t="s">
        <v>1</v>
      </c>
      <c r="B116" s="28">
        <v>8435129</v>
      </c>
      <c r="C116" s="38" t="s">
        <v>25391</v>
      </c>
      <c r="D116" s="38" t="s">
        <v>25338</v>
      </c>
      <c r="E116" s="38" t="s">
        <v>25255</v>
      </c>
      <c r="F116" s="38" t="s">
        <v>25032</v>
      </c>
      <c r="G116" s="28" t="s">
        <v>19229</v>
      </c>
      <c r="H116" s="28" t="s">
        <v>19238</v>
      </c>
      <c r="I116" s="30">
        <v>44973</v>
      </c>
      <c r="J116" s="30">
        <v>44987</v>
      </c>
      <c r="K116" s="28">
        <v>15</v>
      </c>
      <c r="L116" s="29"/>
      <c r="M116" s="27" t="s">
        <v>19257</v>
      </c>
    </row>
    <row r="117" spans="1:13" s="27" customFormat="1" ht="17.25" customHeight="1" x14ac:dyDescent="0.25">
      <c r="A117" s="28" t="s">
        <v>1</v>
      </c>
      <c r="B117" s="28">
        <v>3411306</v>
      </c>
      <c r="C117" s="38" t="s">
        <v>25254</v>
      </c>
      <c r="D117" s="38" t="s">
        <v>24980</v>
      </c>
      <c r="E117" s="38" t="s">
        <v>25255</v>
      </c>
      <c r="F117" s="38" t="s">
        <v>25256</v>
      </c>
      <c r="G117" s="28" t="s">
        <v>19229</v>
      </c>
      <c r="H117" s="28" t="s">
        <v>19240</v>
      </c>
      <c r="I117" s="30">
        <v>44973</v>
      </c>
      <c r="J117" s="30">
        <v>44980</v>
      </c>
      <c r="K117" s="28">
        <v>7</v>
      </c>
      <c r="L117" s="29"/>
      <c r="M117" s="27" t="s">
        <v>24991</v>
      </c>
    </row>
    <row r="118" spans="1:13" s="27" customFormat="1" ht="17.25" customHeight="1" x14ac:dyDescent="0.25">
      <c r="A118" s="28" t="s">
        <v>1</v>
      </c>
      <c r="B118" s="28">
        <v>71193583</v>
      </c>
      <c r="C118" s="38" t="s">
        <v>25372</v>
      </c>
      <c r="D118" s="38" t="s">
        <v>25373</v>
      </c>
      <c r="E118" s="38" t="s">
        <v>25282</v>
      </c>
      <c r="F118" s="38" t="s">
        <v>25283</v>
      </c>
      <c r="G118" s="28" t="s">
        <v>19229</v>
      </c>
      <c r="H118" s="28" t="s">
        <v>19240</v>
      </c>
      <c r="I118" s="30">
        <v>44974</v>
      </c>
      <c r="J118" s="30">
        <v>44976</v>
      </c>
      <c r="K118" s="28">
        <v>3</v>
      </c>
      <c r="L118" s="29"/>
      <c r="M118" s="27" t="s">
        <v>25374</v>
      </c>
    </row>
    <row r="119" spans="1:13" s="27" customFormat="1" ht="17.25" customHeight="1" x14ac:dyDescent="0.25">
      <c r="A119" s="28" t="s">
        <v>1</v>
      </c>
      <c r="B119" s="28">
        <v>15296519</v>
      </c>
      <c r="C119" s="38" t="s">
        <v>25420</v>
      </c>
      <c r="D119" s="38" t="s">
        <v>25421</v>
      </c>
      <c r="E119" s="38" t="s">
        <v>25422</v>
      </c>
      <c r="F119" s="38" t="s">
        <v>25292</v>
      </c>
      <c r="G119" s="28" t="s">
        <v>19229</v>
      </c>
      <c r="H119" s="28" t="s">
        <v>19240</v>
      </c>
      <c r="I119" s="30">
        <v>44974</v>
      </c>
      <c r="J119" s="30">
        <v>44986</v>
      </c>
      <c r="K119" s="28">
        <v>13</v>
      </c>
      <c r="L119" s="29"/>
      <c r="M119" s="27" t="s">
        <v>24991</v>
      </c>
    </row>
    <row r="120" spans="1:13" s="27" customFormat="1" ht="17.25" customHeight="1" x14ac:dyDescent="0.25">
      <c r="A120" s="28" t="s">
        <v>1</v>
      </c>
      <c r="B120" s="28">
        <v>70755510</v>
      </c>
      <c r="C120" s="38" t="s">
        <v>25377</v>
      </c>
      <c r="D120" s="38" t="s">
        <v>25378</v>
      </c>
      <c r="E120" s="38" t="s">
        <v>25282</v>
      </c>
      <c r="F120" s="38" t="s">
        <v>25028</v>
      </c>
      <c r="G120" s="28" t="s">
        <v>19229</v>
      </c>
      <c r="H120" s="28" t="s">
        <v>19238</v>
      </c>
      <c r="I120" s="30">
        <v>44975</v>
      </c>
      <c r="J120" s="30">
        <v>44989</v>
      </c>
      <c r="K120" s="28">
        <v>15</v>
      </c>
      <c r="L120" s="29"/>
      <c r="M120" s="27" t="s">
        <v>19257</v>
      </c>
    </row>
    <row r="121" spans="1:13" s="27" customFormat="1" ht="17.25" customHeight="1" x14ac:dyDescent="0.25">
      <c r="A121" s="28" t="s">
        <v>1</v>
      </c>
      <c r="B121" s="28">
        <v>71713298</v>
      </c>
      <c r="C121" s="38" t="s">
        <v>25385</v>
      </c>
      <c r="D121" s="38" t="s">
        <v>25386</v>
      </c>
      <c r="E121" s="38" t="s">
        <v>25028</v>
      </c>
      <c r="F121" s="38" t="s">
        <v>25308</v>
      </c>
      <c r="G121" s="28" t="s">
        <v>19229</v>
      </c>
      <c r="H121" s="28" t="s">
        <v>19238</v>
      </c>
      <c r="I121" s="30">
        <v>44975</v>
      </c>
      <c r="J121" s="30">
        <v>44992</v>
      </c>
      <c r="K121" s="28">
        <v>18</v>
      </c>
      <c r="L121" s="29"/>
      <c r="M121" s="27" t="s">
        <v>19257</v>
      </c>
    </row>
    <row r="122" spans="1:13" s="27" customFormat="1" ht="17.25" customHeight="1" x14ac:dyDescent="0.25">
      <c r="A122" s="28" t="s">
        <v>1</v>
      </c>
      <c r="B122" s="28">
        <v>72296401</v>
      </c>
      <c r="C122" s="38" t="s">
        <v>25484</v>
      </c>
      <c r="D122" s="38" t="s">
        <v>25485</v>
      </c>
      <c r="E122" s="38" t="s">
        <v>19256</v>
      </c>
      <c r="F122" s="38" t="s">
        <v>25005</v>
      </c>
      <c r="G122" s="28" t="s">
        <v>19229</v>
      </c>
      <c r="H122" s="28" t="s">
        <v>19240</v>
      </c>
      <c r="I122" s="30">
        <v>44976</v>
      </c>
      <c r="J122" s="30">
        <v>44977</v>
      </c>
      <c r="K122" s="28">
        <v>2</v>
      </c>
      <c r="L122" s="29"/>
      <c r="M122" s="27" t="s">
        <v>24991</v>
      </c>
    </row>
    <row r="123" spans="1:13" s="27" customFormat="1" ht="17.25" customHeight="1" x14ac:dyDescent="0.25">
      <c r="A123" s="28" t="s">
        <v>1</v>
      </c>
      <c r="B123" s="28">
        <v>1036687761</v>
      </c>
      <c r="C123" s="38" t="s">
        <v>24992</v>
      </c>
      <c r="D123" s="38" t="s">
        <v>24993</v>
      </c>
      <c r="E123" s="38" t="s">
        <v>24994</v>
      </c>
      <c r="F123" s="38"/>
      <c r="G123" s="28" t="s">
        <v>19229</v>
      </c>
      <c r="H123" s="28" t="s">
        <v>19239</v>
      </c>
      <c r="I123" s="30">
        <v>44977</v>
      </c>
      <c r="J123" s="30">
        <v>44977</v>
      </c>
      <c r="K123" s="28">
        <v>1</v>
      </c>
      <c r="L123" s="29">
        <v>20</v>
      </c>
      <c r="M123" s="27" t="s">
        <v>25036</v>
      </c>
    </row>
    <row r="124" spans="1:13" s="27" customFormat="1" ht="17.25" customHeight="1" x14ac:dyDescent="0.25">
      <c r="A124" s="28" t="s">
        <v>1</v>
      </c>
      <c r="B124" s="28">
        <v>1147935100</v>
      </c>
      <c r="C124" s="38" t="s">
        <v>25269</v>
      </c>
      <c r="D124" s="38" t="s">
        <v>25362</v>
      </c>
      <c r="E124" s="38" t="s">
        <v>25282</v>
      </c>
      <c r="F124" s="38" t="s">
        <v>25177</v>
      </c>
      <c r="G124" s="28" t="s">
        <v>19285</v>
      </c>
      <c r="H124" s="28" t="s">
        <v>19239</v>
      </c>
      <c r="I124" s="30">
        <v>44977</v>
      </c>
      <c r="J124" s="30">
        <v>44977</v>
      </c>
      <c r="K124" s="28">
        <v>1</v>
      </c>
      <c r="L124" s="29">
        <v>4</v>
      </c>
      <c r="M124" s="27" t="s">
        <v>25036</v>
      </c>
    </row>
    <row r="125" spans="1:13" s="27" customFormat="1" ht="17.25" customHeight="1" x14ac:dyDescent="0.25">
      <c r="A125" s="28" t="s">
        <v>1</v>
      </c>
      <c r="B125" s="28">
        <v>71193583</v>
      </c>
      <c r="C125" s="38" t="s">
        <v>25372</v>
      </c>
      <c r="D125" s="38" t="s">
        <v>25373</v>
      </c>
      <c r="E125" s="38" t="s">
        <v>25282</v>
      </c>
      <c r="F125" s="38" t="s">
        <v>25283</v>
      </c>
      <c r="G125" s="28" t="s">
        <v>19229</v>
      </c>
      <c r="H125" s="28" t="s">
        <v>19240</v>
      </c>
      <c r="I125" s="30">
        <v>44977</v>
      </c>
      <c r="J125" s="30">
        <v>44979</v>
      </c>
      <c r="K125" s="28">
        <v>3</v>
      </c>
      <c r="L125" s="29"/>
      <c r="M125" s="27" t="s">
        <v>24991</v>
      </c>
    </row>
    <row r="126" spans="1:13" s="27" customFormat="1" ht="17.25" customHeight="1" x14ac:dyDescent="0.25">
      <c r="A126" s="28" t="s">
        <v>1</v>
      </c>
      <c r="B126" s="28">
        <v>15370207</v>
      </c>
      <c r="C126" s="38" t="s">
        <v>25360</v>
      </c>
      <c r="D126" s="38" t="s">
        <v>25361</v>
      </c>
      <c r="E126" s="38" t="s">
        <v>25198</v>
      </c>
      <c r="F126" s="38" t="s">
        <v>25010</v>
      </c>
      <c r="G126" s="28" t="s">
        <v>19229</v>
      </c>
      <c r="H126" s="28" t="s">
        <v>19239</v>
      </c>
      <c r="I126" s="30">
        <v>44978</v>
      </c>
      <c r="J126" s="30">
        <v>44980</v>
      </c>
      <c r="K126" s="28">
        <v>3</v>
      </c>
      <c r="L126" s="29">
        <v>24</v>
      </c>
      <c r="M126" s="27" t="s">
        <v>25036</v>
      </c>
    </row>
    <row r="127" spans="1:13" s="27" customFormat="1" ht="17.25" customHeight="1" x14ac:dyDescent="0.25">
      <c r="A127" s="28" t="s">
        <v>1</v>
      </c>
      <c r="B127" s="28">
        <v>71906669</v>
      </c>
      <c r="C127" s="38" t="s">
        <v>25390</v>
      </c>
      <c r="D127" s="38" t="s">
        <v>25314</v>
      </c>
      <c r="E127" s="38" t="s">
        <v>25130</v>
      </c>
      <c r="F127" s="38" t="s">
        <v>25255</v>
      </c>
      <c r="G127" s="28" t="s">
        <v>19229</v>
      </c>
      <c r="H127" s="28" t="s">
        <v>19238</v>
      </c>
      <c r="I127" s="30">
        <v>44978</v>
      </c>
      <c r="J127" s="30">
        <v>44994</v>
      </c>
      <c r="K127" s="28">
        <v>17</v>
      </c>
      <c r="L127" s="29"/>
      <c r="M127" s="27" t="s">
        <v>19257</v>
      </c>
    </row>
    <row r="128" spans="1:13" s="27" customFormat="1" ht="17.25" customHeight="1" x14ac:dyDescent="0.25">
      <c r="A128" s="28" t="s">
        <v>1</v>
      </c>
      <c r="B128" s="28">
        <v>98499486</v>
      </c>
      <c r="C128" s="38" t="s">
        <v>25373</v>
      </c>
      <c r="D128" s="38" t="s">
        <v>25424</v>
      </c>
      <c r="E128" s="38" t="s">
        <v>25425</v>
      </c>
      <c r="F128" s="38" t="s">
        <v>25020</v>
      </c>
      <c r="G128" s="28" t="s">
        <v>19229</v>
      </c>
      <c r="H128" s="28" t="s">
        <v>19238</v>
      </c>
      <c r="I128" s="30">
        <v>44978</v>
      </c>
      <c r="J128" s="30">
        <v>44992</v>
      </c>
      <c r="K128" s="28">
        <v>15</v>
      </c>
      <c r="L128" s="29"/>
      <c r="M128" s="27" t="s">
        <v>19257</v>
      </c>
    </row>
    <row r="129" spans="1:13" s="27" customFormat="1" ht="17.25" customHeight="1" x14ac:dyDescent="0.25">
      <c r="A129" s="28" t="s">
        <v>2</v>
      </c>
      <c r="B129" s="28">
        <v>8406405</v>
      </c>
      <c r="C129" s="28" t="s">
        <v>25497</v>
      </c>
      <c r="D129" s="28" t="s">
        <v>25498</v>
      </c>
      <c r="E129" s="28" t="s">
        <v>25130</v>
      </c>
      <c r="F129" s="28" t="s">
        <v>25255</v>
      </c>
      <c r="G129" s="28" t="s">
        <v>19285</v>
      </c>
      <c r="H129" s="28" t="s">
        <v>19238</v>
      </c>
      <c r="I129" s="50">
        <v>44978</v>
      </c>
      <c r="J129" s="50">
        <v>44992</v>
      </c>
      <c r="K129" s="52">
        <v>15</v>
      </c>
      <c r="L129" s="29"/>
      <c r="M129" s="27" t="s">
        <v>19257</v>
      </c>
    </row>
    <row r="130" spans="1:13" s="27" customFormat="1" ht="17.25" customHeight="1" x14ac:dyDescent="0.25">
      <c r="A130" s="28" t="s">
        <v>1</v>
      </c>
      <c r="B130" s="28">
        <v>60441357</v>
      </c>
      <c r="C130" s="38" t="s">
        <v>25449</v>
      </c>
      <c r="D130" s="38" t="s">
        <v>25450</v>
      </c>
      <c r="E130" s="38" t="s">
        <v>25451</v>
      </c>
      <c r="F130" s="38" t="s">
        <v>25452</v>
      </c>
      <c r="G130" s="28" t="s">
        <v>19229</v>
      </c>
      <c r="H130" s="28" t="s">
        <v>19240</v>
      </c>
      <c r="I130" s="30">
        <v>44979</v>
      </c>
      <c r="J130" s="30">
        <v>44979</v>
      </c>
      <c r="K130" s="28">
        <v>1</v>
      </c>
      <c r="L130" s="29"/>
      <c r="M130" s="27" t="s">
        <v>25431</v>
      </c>
    </row>
    <row r="131" spans="1:13" s="27" customFormat="1" ht="17.25" customHeight="1" x14ac:dyDescent="0.25">
      <c r="A131" s="28" t="s">
        <v>1</v>
      </c>
      <c r="B131" s="28">
        <v>71795865</v>
      </c>
      <c r="C131" s="38" t="s">
        <v>25178</v>
      </c>
      <c r="D131" s="38" t="s">
        <v>19258</v>
      </c>
      <c r="E131" s="38" t="s">
        <v>25342</v>
      </c>
      <c r="F131" s="38"/>
      <c r="G131" s="28" t="s">
        <v>19229</v>
      </c>
      <c r="H131" s="28" t="s">
        <v>19238</v>
      </c>
      <c r="I131" s="30">
        <v>44980</v>
      </c>
      <c r="J131" s="30">
        <v>44995</v>
      </c>
      <c r="K131" s="28">
        <v>16</v>
      </c>
      <c r="L131" s="29"/>
      <c r="M131" s="27" t="s">
        <v>19257</v>
      </c>
    </row>
    <row r="132" spans="1:13" s="27" customFormat="1" ht="17.25" customHeight="1" x14ac:dyDescent="0.25">
      <c r="A132" s="28" t="s">
        <v>1</v>
      </c>
      <c r="B132" s="28">
        <v>1001379162</v>
      </c>
      <c r="C132" s="38" t="s">
        <v>25423</v>
      </c>
      <c r="D132" s="38" t="s">
        <v>25423</v>
      </c>
      <c r="E132" s="38" t="s">
        <v>25110</v>
      </c>
      <c r="F132" s="38"/>
      <c r="G132" s="28" t="s">
        <v>19229</v>
      </c>
      <c r="H132" s="28" t="s">
        <v>19238</v>
      </c>
      <c r="I132" s="30">
        <v>44980</v>
      </c>
      <c r="J132" s="30">
        <v>44994</v>
      </c>
      <c r="K132" s="28">
        <v>15</v>
      </c>
      <c r="L132" s="29"/>
      <c r="M132" s="27" t="s">
        <v>19257</v>
      </c>
    </row>
    <row r="133" spans="1:13" s="27" customFormat="1" ht="17.25" customHeight="1" x14ac:dyDescent="0.25">
      <c r="A133" s="28" t="s">
        <v>1</v>
      </c>
      <c r="B133" s="28">
        <v>1035421360</v>
      </c>
      <c r="C133" s="38" t="s">
        <v>25435</v>
      </c>
      <c r="D133" s="38" t="s">
        <v>25436</v>
      </c>
      <c r="E133" s="38" t="s">
        <v>25437</v>
      </c>
      <c r="F133" s="38" t="s">
        <v>25438</v>
      </c>
      <c r="G133" s="28" t="s">
        <v>19229</v>
      </c>
      <c r="H133" s="28" t="s">
        <v>19240</v>
      </c>
      <c r="I133" s="30">
        <v>44982</v>
      </c>
      <c r="J133" s="30">
        <v>44982</v>
      </c>
      <c r="K133" s="28">
        <v>1</v>
      </c>
      <c r="L133" s="29"/>
      <c r="M133" s="27" t="s">
        <v>25431</v>
      </c>
    </row>
    <row r="134" spans="1:13" s="27" customFormat="1" ht="17.25" customHeight="1" x14ac:dyDescent="0.25">
      <c r="A134" s="28" t="s">
        <v>1</v>
      </c>
      <c r="B134" s="28">
        <v>1035389689</v>
      </c>
      <c r="C134" s="38" t="s">
        <v>25046</v>
      </c>
      <c r="D134" s="38" t="s">
        <v>25432</v>
      </c>
      <c r="E134" s="38" t="s">
        <v>25433</v>
      </c>
      <c r="F134" s="38" t="s">
        <v>25213</v>
      </c>
      <c r="G134" s="28" t="s">
        <v>19229</v>
      </c>
      <c r="H134" s="28" t="s">
        <v>19240</v>
      </c>
      <c r="I134" s="30">
        <v>44983</v>
      </c>
      <c r="J134" s="30">
        <v>44985</v>
      </c>
      <c r="K134" s="28">
        <v>3</v>
      </c>
      <c r="L134" s="29"/>
      <c r="M134" s="27" t="s">
        <v>25431</v>
      </c>
    </row>
    <row r="135" spans="1:13" s="27" customFormat="1" ht="17.25" customHeight="1" x14ac:dyDescent="0.25">
      <c r="A135" s="28" t="s">
        <v>1</v>
      </c>
      <c r="B135" s="28">
        <v>70415293</v>
      </c>
      <c r="C135" s="38" t="s">
        <v>25362</v>
      </c>
      <c r="D135" s="38" t="s">
        <v>25362</v>
      </c>
      <c r="E135" s="38" t="s">
        <v>25255</v>
      </c>
      <c r="F135" s="38" t="s">
        <v>25434</v>
      </c>
      <c r="G135" s="28" t="s">
        <v>19229</v>
      </c>
      <c r="H135" s="28" t="s">
        <v>19240</v>
      </c>
      <c r="I135" s="30">
        <v>44984</v>
      </c>
      <c r="J135" s="30">
        <v>44984</v>
      </c>
      <c r="K135" s="28">
        <v>1</v>
      </c>
      <c r="L135" s="29"/>
      <c r="M135" s="27" t="s">
        <v>25431</v>
      </c>
    </row>
    <row r="136" spans="1:13" s="27" customFormat="1" ht="17.25" customHeight="1" x14ac:dyDescent="0.25">
      <c r="A136" s="28" t="s">
        <v>1</v>
      </c>
      <c r="B136" s="28">
        <v>71420789</v>
      </c>
      <c r="C136" s="38" t="s">
        <v>25362</v>
      </c>
      <c r="D136" s="38" t="s">
        <v>25362</v>
      </c>
      <c r="E136" s="38" t="s">
        <v>25448</v>
      </c>
      <c r="F136" s="38" t="s">
        <v>25103</v>
      </c>
      <c r="G136" s="28" t="s">
        <v>19229</v>
      </c>
      <c r="H136" s="28" t="s">
        <v>19238</v>
      </c>
      <c r="I136" s="30">
        <v>44984</v>
      </c>
      <c r="J136" s="30">
        <v>44997</v>
      </c>
      <c r="K136" s="28">
        <v>16</v>
      </c>
      <c r="L136" s="29"/>
      <c r="M136" s="27" t="s">
        <v>19257</v>
      </c>
    </row>
    <row r="137" spans="1:13" s="27" customFormat="1" ht="17.25" customHeight="1" x14ac:dyDescent="0.25">
      <c r="A137" s="28" t="s">
        <v>1</v>
      </c>
      <c r="B137" s="28">
        <v>71337684</v>
      </c>
      <c r="C137" s="38" t="s">
        <v>25456</v>
      </c>
      <c r="D137" s="38" t="s">
        <v>25457</v>
      </c>
      <c r="E137" s="38" t="s">
        <v>25458</v>
      </c>
      <c r="F137" s="38"/>
      <c r="G137" s="28" t="s">
        <v>19229</v>
      </c>
      <c r="H137" s="28" t="s">
        <v>19238</v>
      </c>
      <c r="I137" s="30">
        <v>44984</v>
      </c>
      <c r="J137" s="30">
        <v>44998</v>
      </c>
      <c r="K137" s="28">
        <v>15</v>
      </c>
      <c r="L137" s="29"/>
      <c r="M137" s="27" t="s">
        <v>19257</v>
      </c>
    </row>
    <row r="138" spans="1:13" s="27" customFormat="1" ht="17.25" customHeight="1" x14ac:dyDescent="0.25">
      <c r="A138" s="28" t="s">
        <v>1</v>
      </c>
      <c r="B138" s="28">
        <v>8432539</v>
      </c>
      <c r="C138" s="38" t="s">
        <v>25459</v>
      </c>
      <c r="D138" s="38" t="s">
        <v>25065</v>
      </c>
      <c r="E138" s="38" t="s">
        <v>25460</v>
      </c>
      <c r="F138" s="38" t="s">
        <v>25162</v>
      </c>
      <c r="G138" s="28" t="s">
        <v>19229</v>
      </c>
      <c r="H138" s="28" t="s">
        <v>19238</v>
      </c>
      <c r="I138" s="30">
        <v>44985</v>
      </c>
      <c r="J138" s="30">
        <v>44971</v>
      </c>
      <c r="K138" s="28">
        <v>15</v>
      </c>
      <c r="L138" s="29"/>
      <c r="M138" s="27" t="s">
        <v>19257</v>
      </c>
    </row>
    <row r="139" spans="1:13" s="27" customFormat="1" ht="17.25" customHeight="1" x14ac:dyDescent="0.25">
      <c r="A139" s="28" t="s">
        <v>1</v>
      </c>
      <c r="B139" s="28">
        <v>3411306</v>
      </c>
      <c r="C139" s="38" t="s">
        <v>25254</v>
      </c>
      <c r="D139" s="38" t="s">
        <v>24980</v>
      </c>
      <c r="E139" s="38" t="s">
        <v>25255</v>
      </c>
      <c r="F139" s="38" t="s">
        <v>25256</v>
      </c>
      <c r="G139" s="28" t="s">
        <v>19229</v>
      </c>
      <c r="H139" s="28" t="s">
        <v>19240</v>
      </c>
      <c r="I139" s="30">
        <v>44985</v>
      </c>
      <c r="J139" s="30">
        <v>44989</v>
      </c>
      <c r="K139" s="28">
        <v>5</v>
      </c>
      <c r="L139" s="29"/>
      <c r="M139" s="27" t="s">
        <v>26223</v>
      </c>
    </row>
    <row r="140" spans="1:13" s="27" customFormat="1" ht="17.25" customHeight="1" x14ac:dyDescent="0.25">
      <c r="A140" s="28" t="s">
        <v>2</v>
      </c>
      <c r="B140" s="28">
        <v>93396256</v>
      </c>
      <c r="C140" s="38" t="s">
        <v>25505</v>
      </c>
      <c r="D140" s="38" t="s">
        <v>25480</v>
      </c>
      <c r="E140" s="38" t="s">
        <v>25102</v>
      </c>
      <c r="F140" s="38" t="s">
        <v>25135</v>
      </c>
      <c r="G140" s="28" t="s">
        <v>19285</v>
      </c>
      <c r="H140" s="28" t="s">
        <v>19238</v>
      </c>
      <c r="I140" s="30">
        <v>44985</v>
      </c>
      <c r="J140" s="30">
        <v>44999</v>
      </c>
      <c r="K140" s="28">
        <v>15</v>
      </c>
      <c r="L140" s="29"/>
      <c r="M140" s="27" t="s">
        <v>19257</v>
      </c>
    </row>
    <row r="141" spans="1:13" s="27" customFormat="1" ht="17.25" customHeight="1" x14ac:dyDescent="0.25">
      <c r="A141" s="28" t="s">
        <v>25476</v>
      </c>
      <c r="B141" s="28">
        <v>9725029</v>
      </c>
      <c r="C141" s="38" t="s">
        <v>25145</v>
      </c>
      <c r="D141" s="38" t="s">
        <v>25010</v>
      </c>
      <c r="E141" s="38" t="s">
        <v>25157</v>
      </c>
      <c r="F141" s="38"/>
      <c r="G141" s="28" t="s">
        <v>19229</v>
      </c>
      <c r="H141" s="28" t="s">
        <v>19239</v>
      </c>
      <c r="I141" s="30">
        <v>44986</v>
      </c>
      <c r="J141" s="30">
        <v>44986</v>
      </c>
      <c r="K141" s="28">
        <v>1</v>
      </c>
      <c r="L141" s="29">
        <v>4</v>
      </c>
      <c r="M141" s="27" t="s">
        <v>25036</v>
      </c>
    </row>
    <row r="142" spans="1:13" s="27" customFormat="1" ht="17.25" customHeight="1" x14ac:dyDescent="0.25">
      <c r="A142" s="28" t="s">
        <v>2</v>
      </c>
      <c r="B142" s="28">
        <v>71753963</v>
      </c>
      <c r="C142" s="38" t="s">
        <v>25127</v>
      </c>
      <c r="D142" s="38" t="s">
        <v>25499</v>
      </c>
      <c r="E142" s="38" t="s">
        <v>25500</v>
      </c>
      <c r="F142" s="38"/>
      <c r="G142" s="28" t="s">
        <v>19285</v>
      </c>
      <c r="H142" s="28" t="s">
        <v>19238</v>
      </c>
      <c r="I142" s="30">
        <v>44986</v>
      </c>
      <c r="J142" s="30">
        <v>45000</v>
      </c>
      <c r="K142" s="28">
        <v>15</v>
      </c>
      <c r="L142" s="29"/>
      <c r="M142" s="27" t="s">
        <v>19257</v>
      </c>
    </row>
    <row r="143" spans="1:13" s="27" customFormat="1" ht="17.25" customHeight="1" x14ac:dyDescent="0.25">
      <c r="A143" s="28" t="s">
        <v>2</v>
      </c>
      <c r="B143" s="28">
        <v>22188088</v>
      </c>
      <c r="C143" s="38" t="s">
        <v>25003</v>
      </c>
      <c r="D143" s="38" t="s">
        <v>25105</v>
      </c>
      <c r="E143" s="38" t="s">
        <v>25258</v>
      </c>
      <c r="F143" s="38" t="s">
        <v>25501</v>
      </c>
      <c r="G143" s="28" t="s">
        <v>19285</v>
      </c>
      <c r="H143" s="28" t="s">
        <v>19238</v>
      </c>
      <c r="I143" s="30">
        <v>44986</v>
      </c>
      <c r="J143" s="30">
        <v>45000</v>
      </c>
      <c r="K143" s="28">
        <v>15</v>
      </c>
      <c r="L143" s="29"/>
      <c r="M143" s="27" t="s">
        <v>19257</v>
      </c>
    </row>
    <row r="144" spans="1:13" s="27" customFormat="1" ht="17.25" customHeight="1" x14ac:dyDescent="0.25">
      <c r="A144" s="28" t="s">
        <v>2</v>
      </c>
      <c r="B144" s="28">
        <v>98579583</v>
      </c>
      <c r="C144" s="38" t="s">
        <v>25108</v>
      </c>
      <c r="D144" s="38" t="s">
        <v>25506</v>
      </c>
      <c r="E144" s="38" t="s">
        <v>25507</v>
      </c>
      <c r="F144" s="38" t="s">
        <v>25103</v>
      </c>
      <c r="G144" s="28" t="s">
        <v>19285</v>
      </c>
      <c r="H144" s="28" t="s">
        <v>19238</v>
      </c>
      <c r="I144" s="30">
        <v>44986</v>
      </c>
      <c r="J144" s="30">
        <v>45001</v>
      </c>
      <c r="K144" s="28">
        <v>16</v>
      </c>
      <c r="L144" s="29"/>
      <c r="M144" s="27" t="s">
        <v>19257</v>
      </c>
    </row>
    <row r="145" spans="1:13" s="27" customFormat="1" ht="17.25" customHeight="1" x14ac:dyDescent="0.25">
      <c r="A145" s="28" t="s">
        <v>25476</v>
      </c>
      <c r="B145" s="28">
        <v>71055205</v>
      </c>
      <c r="C145" s="38" t="s">
        <v>25079</v>
      </c>
      <c r="D145" s="38" t="s">
        <v>25486</v>
      </c>
      <c r="E145" s="38" t="s">
        <v>25359</v>
      </c>
      <c r="F145" s="38" t="s">
        <v>25465</v>
      </c>
      <c r="G145" s="28" t="s">
        <v>19229</v>
      </c>
      <c r="H145" s="28" t="s">
        <v>19239</v>
      </c>
      <c r="I145" s="30">
        <v>44987</v>
      </c>
      <c r="J145" s="30">
        <v>44987</v>
      </c>
      <c r="K145" s="28">
        <v>1</v>
      </c>
      <c r="L145" s="29">
        <v>4</v>
      </c>
      <c r="M145" s="27" t="s">
        <v>25036</v>
      </c>
    </row>
    <row r="146" spans="1:13" s="27" customFormat="1" ht="17.25" customHeight="1" x14ac:dyDescent="0.25">
      <c r="A146" s="28" t="s">
        <v>25476</v>
      </c>
      <c r="B146" s="28">
        <v>1152434056</v>
      </c>
      <c r="C146" s="38" t="s">
        <v>25461</v>
      </c>
      <c r="D146" s="38" t="s">
        <v>25462</v>
      </c>
      <c r="E146" s="38" t="s">
        <v>25130</v>
      </c>
      <c r="F146" s="38" t="s">
        <v>25434</v>
      </c>
      <c r="G146" s="28" t="s">
        <v>19229</v>
      </c>
      <c r="H146" s="28" t="s">
        <v>19238</v>
      </c>
      <c r="I146" s="30">
        <v>44988</v>
      </c>
      <c r="J146" s="30">
        <v>45006</v>
      </c>
      <c r="K146" s="28">
        <v>19</v>
      </c>
      <c r="L146" s="29"/>
      <c r="M146" s="27" t="s">
        <v>19257</v>
      </c>
    </row>
    <row r="147" spans="1:13" s="27" customFormat="1" ht="17.25" customHeight="1" x14ac:dyDescent="0.25">
      <c r="A147" s="28" t="s">
        <v>25476</v>
      </c>
      <c r="B147" s="28">
        <v>8338283</v>
      </c>
      <c r="C147" s="38" t="s">
        <v>25480</v>
      </c>
      <c r="D147" s="38" t="s">
        <v>25459</v>
      </c>
      <c r="E147" s="38" t="s">
        <v>25241</v>
      </c>
      <c r="F147" s="38"/>
      <c r="G147" s="28" t="s">
        <v>19229</v>
      </c>
      <c r="H147" s="28" t="s">
        <v>19240</v>
      </c>
      <c r="I147" s="30">
        <v>44988</v>
      </c>
      <c r="J147" s="30">
        <v>44988</v>
      </c>
      <c r="K147" s="28">
        <v>1</v>
      </c>
      <c r="L147" s="29"/>
      <c r="M147" s="27" t="s">
        <v>24991</v>
      </c>
    </row>
    <row r="148" spans="1:13" s="27" customFormat="1" ht="17.25" customHeight="1" x14ac:dyDescent="0.25">
      <c r="A148" s="28" t="s">
        <v>2</v>
      </c>
      <c r="B148" s="28">
        <v>3669363</v>
      </c>
      <c r="C148" s="38" t="s">
        <v>25173</v>
      </c>
      <c r="D148" s="38" t="s">
        <v>24983</v>
      </c>
      <c r="E148" s="38" t="s">
        <v>25032</v>
      </c>
      <c r="F148" s="38" t="s">
        <v>25103</v>
      </c>
      <c r="G148" s="28" t="s">
        <v>19285</v>
      </c>
      <c r="H148" s="28" t="s">
        <v>19238</v>
      </c>
      <c r="I148" s="50">
        <v>44988</v>
      </c>
      <c r="J148" s="50">
        <v>45002</v>
      </c>
      <c r="K148" s="52">
        <v>15</v>
      </c>
      <c r="L148" s="29"/>
      <c r="M148" s="27" t="s">
        <v>19257</v>
      </c>
    </row>
    <row r="149" spans="1:13" s="27" customFormat="1" ht="17.25" customHeight="1" x14ac:dyDescent="0.25">
      <c r="A149" s="28" t="s">
        <v>25476</v>
      </c>
      <c r="B149" s="28">
        <v>71005195</v>
      </c>
      <c r="C149" s="38" t="s">
        <v>25094</v>
      </c>
      <c r="D149" s="38" t="s">
        <v>25447</v>
      </c>
      <c r="E149" s="38" t="s">
        <v>25028</v>
      </c>
      <c r="F149" s="38" t="s">
        <v>25308</v>
      </c>
      <c r="G149" s="28" t="s">
        <v>19229</v>
      </c>
      <c r="H149" s="28" t="s">
        <v>19240</v>
      </c>
      <c r="I149" s="30">
        <v>44991</v>
      </c>
      <c r="J149" s="30">
        <v>44995</v>
      </c>
      <c r="K149" s="28">
        <v>5</v>
      </c>
      <c r="L149" s="29"/>
      <c r="M149" s="27" t="s">
        <v>26223</v>
      </c>
    </row>
    <row r="150" spans="1:13" s="27" customFormat="1" ht="17.25" customHeight="1" x14ac:dyDescent="0.25">
      <c r="A150" s="28" t="s">
        <v>25476</v>
      </c>
      <c r="B150" s="28">
        <v>1033373975</v>
      </c>
      <c r="C150" s="38" t="s">
        <v>25072</v>
      </c>
      <c r="D150" s="38" t="s">
        <v>25073</v>
      </c>
      <c r="E150" s="38" t="s">
        <v>25074</v>
      </c>
      <c r="F150" s="38" t="s">
        <v>25023</v>
      </c>
      <c r="G150" s="28" t="s">
        <v>19229</v>
      </c>
      <c r="H150" s="28" t="s">
        <v>19239</v>
      </c>
      <c r="I150" s="30">
        <v>44991</v>
      </c>
      <c r="J150" s="30">
        <v>44995</v>
      </c>
      <c r="K150" s="28">
        <v>5</v>
      </c>
      <c r="L150" s="29">
        <v>1</v>
      </c>
      <c r="M150" s="27" t="s">
        <v>25036</v>
      </c>
    </row>
    <row r="151" spans="1:13" s="27" customFormat="1" ht="17.25" customHeight="1" x14ac:dyDescent="0.25">
      <c r="A151" s="28" t="s">
        <v>2</v>
      </c>
      <c r="B151" s="28">
        <v>1010060242</v>
      </c>
      <c r="C151" s="38" t="s">
        <v>25502</v>
      </c>
      <c r="D151" s="38" t="s">
        <v>25503</v>
      </c>
      <c r="E151" s="38" t="s">
        <v>25504</v>
      </c>
      <c r="F151" s="38"/>
      <c r="G151" s="28" t="s">
        <v>19285</v>
      </c>
      <c r="H151" s="28" t="s">
        <v>19238</v>
      </c>
      <c r="I151" s="30">
        <v>44991</v>
      </c>
      <c r="J151" s="30">
        <v>45005</v>
      </c>
      <c r="K151" s="28">
        <v>15</v>
      </c>
      <c r="L151" s="29"/>
      <c r="M151" s="27" t="s">
        <v>19257</v>
      </c>
    </row>
    <row r="152" spans="1:13" s="27" customFormat="1" ht="17.25" customHeight="1" x14ac:dyDescent="0.25">
      <c r="A152" s="28" t="s">
        <v>2</v>
      </c>
      <c r="B152" s="28">
        <v>1128480310</v>
      </c>
      <c r="C152" s="28" t="s">
        <v>25508</v>
      </c>
      <c r="D152" s="28" t="s">
        <v>25508</v>
      </c>
      <c r="E152" s="28" t="s">
        <v>25089</v>
      </c>
      <c r="F152" s="28" t="s">
        <v>25135</v>
      </c>
      <c r="G152" s="28" t="s">
        <v>19285</v>
      </c>
      <c r="H152" s="28" t="s">
        <v>19238</v>
      </c>
      <c r="I152" s="50">
        <v>44991</v>
      </c>
      <c r="J152" s="50">
        <v>45005</v>
      </c>
      <c r="K152" s="52">
        <v>15</v>
      </c>
      <c r="L152" s="29"/>
      <c r="M152" s="27" t="s">
        <v>19257</v>
      </c>
    </row>
    <row r="153" spans="1:13" s="27" customFormat="1" ht="17.25" customHeight="1" x14ac:dyDescent="0.25">
      <c r="A153" s="28" t="s">
        <v>2</v>
      </c>
      <c r="B153" s="28">
        <v>98716980</v>
      </c>
      <c r="C153" s="38" t="s">
        <v>25445</v>
      </c>
      <c r="D153" s="38" t="s">
        <v>25446</v>
      </c>
      <c r="E153" s="38" t="s">
        <v>25106</v>
      </c>
      <c r="F153" s="38" t="s">
        <v>25039</v>
      </c>
      <c r="G153" s="28" t="s">
        <v>19285</v>
      </c>
      <c r="H153" s="28" t="s">
        <v>19238</v>
      </c>
      <c r="I153" s="50">
        <v>44991</v>
      </c>
      <c r="J153" s="50">
        <v>45005</v>
      </c>
      <c r="K153" s="52">
        <v>15</v>
      </c>
      <c r="L153" s="29"/>
      <c r="M153" s="27" t="s">
        <v>19257</v>
      </c>
    </row>
    <row r="154" spans="1:13" s="27" customFormat="1" ht="17.25" customHeight="1" x14ac:dyDescent="0.25">
      <c r="A154" s="28" t="s">
        <v>2</v>
      </c>
      <c r="B154" s="28">
        <v>71951065</v>
      </c>
      <c r="C154" s="38" t="s">
        <v>25085</v>
      </c>
      <c r="D154" s="38" t="s">
        <v>25109</v>
      </c>
      <c r="E154" s="38" t="s">
        <v>25056</v>
      </c>
      <c r="F154" s="38" t="s">
        <v>25308</v>
      </c>
      <c r="G154" s="28" t="s">
        <v>19285</v>
      </c>
      <c r="H154" s="28" t="s">
        <v>19238</v>
      </c>
      <c r="I154" s="30">
        <v>44991</v>
      </c>
      <c r="J154" s="30">
        <v>45006</v>
      </c>
      <c r="K154" s="28">
        <v>16</v>
      </c>
      <c r="L154" s="29"/>
      <c r="M154" s="27" t="s">
        <v>19257</v>
      </c>
    </row>
    <row r="155" spans="1:13" s="27" customFormat="1" ht="17.25" customHeight="1" x14ac:dyDescent="0.25">
      <c r="A155" s="28" t="s">
        <v>2</v>
      </c>
      <c r="B155" s="28">
        <v>91435066</v>
      </c>
      <c r="C155" s="38" t="s">
        <v>25509</v>
      </c>
      <c r="D155" s="38" t="s">
        <v>25510</v>
      </c>
      <c r="E155" s="38" t="s">
        <v>25056</v>
      </c>
      <c r="F155" s="38" t="s">
        <v>25308</v>
      </c>
      <c r="G155" s="28" t="s">
        <v>19285</v>
      </c>
      <c r="H155" s="28" t="s">
        <v>19238</v>
      </c>
      <c r="I155" s="30">
        <v>44992</v>
      </c>
      <c r="J155" s="30">
        <v>45006</v>
      </c>
      <c r="K155" s="28">
        <v>15</v>
      </c>
      <c r="L155" s="29"/>
      <c r="M155" s="27" t="s">
        <v>19257</v>
      </c>
    </row>
    <row r="156" spans="1:13" s="27" customFormat="1" ht="17.25" customHeight="1" x14ac:dyDescent="0.25">
      <c r="A156" s="28" t="s">
        <v>25476</v>
      </c>
      <c r="B156" s="28">
        <v>1033338478</v>
      </c>
      <c r="C156" s="38" t="s">
        <v>25411</v>
      </c>
      <c r="D156" s="38" t="s">
        <v>25053</v>
      </c>
      <c r="E156" s="38" t="s">
        <v>25282</v>
      </c>
      <c r="F156" s="38" t="s">
        <v>25286</v>
      </c>
      <c r="G156" s="28" t="s">
        <v>19285</v>
      </c>
      <c r="H156" s="28" t="s">
        <v>19239</v>
      </c>
      <c r="I156" s="30">
        <v>44993</v>
      </c>
      <c r="J156" s="30">
        <v>44995</v>
      </c>
      <c r="K156" s="28">
        <v>3</v>
      </c>
      <c r="L156" s="29">
        <v>10</v>
      </c>
      <c r="M156" s="27" t="s">
        <v>25036</v>
      </c>
    </row>
    <row r="157" spans="1:13" s="27" customFormat="1" ht="17.25" customHeight="1" x14ac:dyDescent="0.25">
      <c r="A157" s="28" t="s">
        <v>2</v>
      </c>
      <c r="B157" s="28">
        <v>71370517</v>
      </c>
      <c r="C157" s="28" t="s">
        <v>25061</v>
      </c>
      <c r="D157" s="28" t="s">
        <v>25511</v>
      </c>
      <c r="E157" s="28" t="s">
        <v>25168</v>
      </c>
      <c r="F157" s="28" t="s">
        <v>25512</v>
      </c>
      <c r="G157" s="28" t="s">
        <v>19285</v>
      </c>
      <c r="H157" s="28" t="s">
        <v>19238</v>
      </c>
      <c r="I157" s="50">
        <v>44993</v>
      </c>
      <c r="J157" s="50">
        <v>45007</v>
      </c>
      <c r="K157" s="52">
        <v>15</v>
      </c>
      <c r="L157" s="29"/>
      <c r="M157" s="27" t="s">
        <v>19257</v>
      </c>
    </row>
    <row r="158" spans="1:13" s="27" customFormat="1" ht="17.25" customHeight="1" x14ac:dyDescent="0.25">
      <c r="A158" s="28" t="s">
        <v>2</v>
      </c>
      <c r="B158" s="28">
        <v>71713298</v>
      </c>
      <c r="C158" s="38" t="s">
        <v>25385</v>
      </c>
      <c r="D158" s="38" t="s">
        <v>25386</v>
      </c>
      <c r="E158" s="38" t="s">
        <v>25028</v>
      </c>
      <c r="F158" s="38" t="s">
        <v>25308</v>
      </c>
      <c r="G158" s="28" t="s">
        <v>19229</v>
      </c>
      <c r="H158" s="28" t="s">
        <v>19238</v>
      </c>
      <c r="I158" s="30">
        <v>44993</v>
      </c>
      <c r="J158" s="30">
        <v>45010</v>
      </c>
      <c r="K158" s="28">
        <v>18</v>
      </c>
      <c r="L158" s="29"/>
      <c r="M158" s="27" t="s">
        <v>19257</v>
      </c>
    </row>
    <row r="159" spans="1:13" s="27" customFormat="1" ht="17.25" customHeight="1" x14ac:dyDescent="0.25">
      <c r="A159" s="28" t="s">
        <v>25476</v>
      </c>
      <c r="B159" s="28">
        <v>43201943</v>
      </c>
      <c r="C159" s="38" t="s">
        <v>25477</v>
      </c>
      <c r="D159" s="38" t="s">
        <v>25181</v>
      </c>
      <c r="E159" s="38" t="s">
        <v>25478</v>
      </c>
      <c r="F159" s="38" t="s">
        <v>25479</v>
      </c>
      <c r="G159" s="28" t="s">
        <v>19229</v>
      </c>
      <c r="H159" s="28" t="s">
        <v>19240</v>
      </c>
      <c r="I159" s="30">
        <v>44994</v>
      </c>
      <c r="J159" s="30">
        <v>44998</v>
      </c>
      <c r="K159" s="28">
        <v>4</v>
      </c>
      <c r="L159" s="29"/>
      <c r="M159" s="27" t="s">
        <v>24991</v>
      </c>
    </row>
    <row r="160" spans="1:13" s="27" customFormat="1" ht="17.25" customHeight="1" x14ac:dyDescent="0.25">
      <c r="A160" s="28" t="s">
        <v>25476</v>
      </c>
      <c r="B160" s="28">
        <v>1040374058</v>
      </c>
      <c r="C160" s="38" t="s">
        <v>25480</v>
      </c>
      <c r="D160" s="38" t="s">
        <v>25481</v>
      </c>
      <c r="E160" s="38" t="s">
        <v>25482</v>
      </c>
      <c r="F160" s="38" t="s">
        <v>25010</v>
      </c>
      <c r="G160" s="28" t="s">
        <v>19229</v>
      </c>
      <c r="H160" s="28" t="s">
        <v>19240</v>
      </c>
      <c r="I160" s="30">
        <v>44994</v>
      </c>
      <c r="J160" s="30">
        <v>44994</v>
      </c>
      <c r="K160" s="28">
        <v>1</v>
      </c>
      <c r="L160" s="29"/>
      <c r="M160" s="27" t="s">
        <v>24991</v>
      </c>
    </row>
    <row r="161" spans="1:13" s="27" customFormat="1" ht="17.25" customHeight="1" x14ac:dyDescent="0.25">
      <c r="A161" s="28" t="s">
        <v>2</v>
      </c>
      <c r="B161" s="28">
        <v>1038626978</v>
      </c>
      <c r="C161" s="38" t="s">
        <v>25127</v>
      </c>
      <c r="D161" s="38" t="s">
        <v>25519</v>
      </c>
      <c r="E161" s="38" t="s">
        <v>25089</v>
      </c>
      <c r="F161" s="38" t="s">
        <v>25157</v>
      </c>
      <c r="G161" s="28" t="s">
        <v>19285</v>
      </c>
      <c r="H161" s="28" t="s">
        <v>19238</v>
      </c>
      <c r="I161" s="30">
        <v>44995</v>
      </c>
      <c r="J161" s="30">
        <v>45010</v>
      </c>
      <c r="K161" s="28">
        <v>15</v>
      </c>
      <c r="L161" s="29"/>
      <c r="M161" s="27" t="s">
        <v>19257</v>
      </c>
    </row>
    <row r="162" spans="1:13" s="27" customFormat="1" ht="17.25" customHeight="1" x14ac:dyDescent="0.25">
      <c r="A162" s="28" t="s">
        <v>25476</v>
      </c>
      <c r="B162" s="28">
        <v>98648253</v>
      </c>
      <c r="C162" s="38" t="s">
        <v>25343</v>
      </c>
      <c r="D162" s="38" t="s">
        <v>25462</v>
      </c>
      <c r="E162" s="38" t="s">
        <v>25483</v>
      </c>
      <c r="F162" s="38" t="s">
        <v>25110</v>
      </c>
      <c r="G162" s="28" t="s">
        <v>19229</v>
      </c>
      <c r="H162" s="28" t="s">
        <v>19240</v>
      </c>
      <c r="I162" s="30">
        <v>44996</v>
      </c>
      <c r="J162" s="30">
        <v>44996</v>
      </c>
      <c r="K162" s="28">
        <v>1</v>
      </c>
      <c r="L162" s="29"/>
      <c r="M162" s="27" t="s">
        <v>24991</v>
      </c>
    </row>
    <row r="163" spans="1:13" s="27" customFormat="1" ht="17.25" customHeight="1" x14ac:dyDescent="0.25">
      <c r="A163" s="28" t="s">
        <v>2</v>
      </c>
      <c r="B163" s="28">
        <v>1000442293</v>
      </c>
      <c r="C163" s="38" t="s">
        <v>25435</v>
      </c>
      <c r="D163" s="38" t="s">
        <v>25083</v>
      </c>
      <c r="E163" s="38" t="s">
        <v>25516</v>
      </c>
      <c r="F163" s="38" t="s">
        <v>25517</v>
      </c>
      <c r="G163" s="28" t="s">
        <v>19285</v>
      </c>
      <c r="H163" s="28" t="s">
        <v>19238</v>
      </c>
      <c r="I163" s="30">
        <v>44996</v>
      </c>
      <c r="J163" s="30">
        <v>45010</v>
      </c>
      <c r="K163" s="28">
        <v>15</v>
      </c>
      <c r="L163" s="29"/>
      <c r="M163" s="27" t="s">
        <v>19257</v>
      </c>
    </row>
    <row r="164" spans="1:13" s="27" customFormat="1" ht="17.25" customHeight="1" x14ac:dyDescent="0.25">
      <c r="A164" s="28" t="s">
        <v>2</v>
      </c>
      <c r="B164" s="28">
        <v>1035420061</v>
      </c>
      <c r="C164" s="38" t="s">
        <v>25645</v>
      </c>
      <c r="D164" s="38" t="s">
        <v>25646</v>
      </c>
      <c r="E164" s="38" t="s">
        <v>25647</v>
      </c>
      <c r="F164" s="38" t="s">
        <v>25648</v>
      </c>
      <c r="G164" s="28" t="s">
        <v>19229</v>
      </c>
      <c r="H164" s="28" t="s">
        <v>19240</v>
      </c>
      <c r="I164" s="30">
        <v>44996</v>
      </c>
      <c r="J164" s="30">
        <v>44997</v>
      </c>
      <c r="K164" s="28">
        <v>2</v>
      </c>
      <c r="L164" s="29"/>
      <c r="M164" s="27" t="s">
        <v>24991</v>
      </c>
    </row>
    <row r="165" spans="1:13" s="27" customFormat="1" ht="17.25" customHeight="1" x14ac:dyDescent="0.25">
      <c r="A165" s="28" t="s">
        <v>25476</v>
      </c>
      <c r="B165" s="28">
        <v>71393487</v>
      </c>
      <c r="C165" s="38" t="s">
        <v>25159</v>
      </c>
      <c r="D165" s="38" t="s">
        <v>25487</v>
      </c>
      <c r="E165" s="38" t="s">
        <v>25488</v>
      </c>
      <c r="F165" s="38" t="s">
        <v>25267</v>
      </c>
      <c r="G165" s="28" t="s">
        <v>19285</v>
      </c>
      <c r="H165" s="28" t="s">
        <v>19240</v>
      </c>
      <c r="I165" s="30">
        <v>44998</v>
      </c>
      <c r="J165" s="30">
        <v>44998</v>
      </c>
      <c r="K165" s="28">
        <v>1</v>
      </c>
      <c r="L165" s="29"/>
      <c r="M165" s="27" t="s">
        <v>24991</v>
      </c>
    </row>
    <row r="166" spans="1:13" s="27" customFormat="1" ht="17.25" customHeight="1" x14ac:dyDescent="0.25">
      <c r="A166" s="28" t="s">
        <v>2</v>
      </c>
      <c r="B166" s="28">
        <v>7385248</v>
      </c>
      <c r="C166" s="38" t="s">
        <v>25498</v>
      </c>
      <c r="D166" s="38" t="s">
        <v>25111</v>
      </c>
      <c r="E166" s="38" t="s">
        <v>25518</v>
      </c>
      <c r="F166" s="38"/>
      <c r="G166" s="28" t="s">
        <v>19285</v>
      </c>
      <c r="H166" s="28" t="s">
        <v>19238</v>
      </c>
      <c r="I166" s="30">
        <v>44998</v>
      </c>
      <c r="J166" s="30">
        <v>45012</v>
      </c>
      <c r="K166" s="28">
        <v>15</v>
      </c>
      <c r="L166" s="29"/>
      <c r="M166" s="27" t="s">
        <v>19257</v>
      </c>
    </row>
    <row r="167" spans="1:13" s="27" customFormat="1" ht="17.25" customHeight="1" x14ac:dyDescent="0.25">
      <c r="A167" s="28" t="s">
        <v>2</v>
      </c>
      <c r="B167" s="28">
        <v>1000633959</v>
      </c>
      <c r="C167" s="38" t="s">
        <v>25523</v>
      </c>
      <c r="D167" s="38" t="s">
        <v>25109</v>
      </c>
      <c r="E167" s="38" t="s">
        <v>25089</v>
      </c>
      <c r="F167" s="38" t="s">
        <v>25157</v>
      </c>
      <c r="G167" s="28" t="s">
        <v>19285</v>
      </c>
      <c r="H167" s="28" t="s">
        <v>19238</v>
      </c>
      <c r="I167" s="30">
        <v>44998</v>
      </c>
      <c r="J167" s="30">
        <v>45012</v>
      </c>
      <c r="K167" s="28">
        <v>15</v>
      </c>
      <c r="L167" s="29"/>
      <c r="M167" s="27" t="s">
        <v>19257</v>
      </c>
    </row>
    <row r="168" spans="1:13" s="27" customFormat="1" ht="17.25" customHeight="1" x14ac:dyDescent="0.25">
      <c r="A168" s="28" t="s">
        <v>2</v>
      </c>
      <c r="B168" s="28">
        <v>1007476736</v>
      </c>
      <c r="C168" s="38" t="s">
        <v>25494</v>
      </c>
      <c r="D168" s="38" t="s">
        <v>25364</v>
      </c>
      <c r="E168" s="38" t="s">
        <v>25495</v>
      </c>
      <c r="F168" s="38" t="s">
        <v>25177</v>
      </c>
      <c r="G168" s="28" t="s">
        <v>19285</v>
      </c>
      <c r="H168" s="28" t="s">
        <v>19239</v>
      </c>
      <c r="I168" s="50">
        <v>44999</v>
      </c>
      <c r="J168" s="50">
        <v>44999</v>
      </c>
      <c r="K168" s="52">
        <v>1</v>
      </c>
      <c r="L168" s="29">
        <v>6</v>
      </c>
      <c r="M168" s="27" t="s">
        <v>25036</v>
      </c>
    </row>
    <row r="169" spans="1:13" s="27" customFormat="1" ht="17.25" customHeight="1" x14ac:dyDescent="0.25">
      <c r="A169" s="28" t="s">
        <v>2</v>
      </c>
      <c r="B169" s="28">
        <v>71316478</v>
      </c>
      <c r="C169" s="28" t="s">
        <v>25513</v>
      </c>
      <c r="D169" s="28"/>
      <c r="E169" s="28" t="s">
        <v>25514</v>
      </c>
      <c r="F169" s="28" t="s">
        <v>25515</v>
      </c>
      <c r="G169" s="28" t="s">
        <v>19285</v>
      </c>
      <c r="H169" s="28" t="s">
        <v>19238</v>
      </c>
      <c r="I169" s="50">
        <v>44999</v>
      </c>
      <c r="J169" s="50">
        <v>45006</v>
      </c>
      <c r="K169" s="52">
        <v>8</v>
      </c>
      <c r="L169" s="29"/>
      <c r="M169" s="27" t="s">
        <v>19257</v>
      </c>
    </row>
    <row r="170" spans="1:13" s="27" customFormat="1" ht="17.25" customHeight="1" x14ac:dyDescent="0.25">
      <c r="A170" s="28" t="s">
        <v>2</v>
      </c>
      <c r="B170" s="28">
        <v>70851012</v>
      </c>
      <c r="C170" s="28" t="s">
        <v>25128</v>
      </c>
      <c r="D170" s="28" t="s">
        <v>25424</v>
      </c>
      <c r="E170" s="28" t="s">
        <v>25522</v>
      </c>
      <c r="F170" s="28" t="s">
        <v>25103</v>
      </c>
      <c r="G170" s="28" t="s">
        <v>19285</v>
      </c>
      <c r="H170" s="28" t="s">
        <v>19238</v>
      </c>
      <c r="I170" s="50">
        <v>44999</v>
      </c>
      <c r="J170" s="50">
        <v>45013</v>
      </c>
      <c r="K170" s="52">
        <v>15</v>
      </c>
      <c r="L170" s="29"/>
      <c r="M170" s="27" t="s">
        <v>19257</v>
      </c>
    </row>
    <row r="171" spans="1:13" s="27" customFormat="1" ht="17.25" customHeight="1" x14ac:dyDescent="0.25">
      <c r="A171" s="28" t="s">
        <v>2</v>
      </c>
      <c r="B171" s="28">
        <v>70661816</v>
      </c>
      <c r="C171" s="28" t="s">
        <v>25174</v>
      </c>
      <c r="D171" s="28"/>
      <c r="E171" s="28" t="s">
        <v>25327</v>
      </c>
      <c r="F171" s="28" t="s">
        <v>25103</v>
      </c>
      <c r="G171" s="28" t="s">
        <v>19285</v>
      </c>
      <c r="H171" s="28" t="s">
        <v>19240</v>
      </c>
      <c r="I171" s="50">
        <v>44999</v>
      </c>
      <c r="J171" s="50">
        <v>45003</v>
      </c>
      <c r="K171" s="52">
        <v>5</v>
      </c>
      <c r="L171" s="29"/>
      <c r="M171" s="27" t="s">
        <v>26223</v>
      </c>
    </row>
    <row r="172" spans="1:13" s="27" customFormat="1" ht="17.25" customHeight="1" x14ac:dyDescent="0.25">
      <c r="A172" s="28" t="s">
        <v>2</v>
      </c>
      <c r="B172" s="28">
        <v>10884990</v>
      </c>
      <c r="C172" s="38" t="s">
        <v>25520</v>
      </c>
      <c r="D172" s="38" t="s">
        <v>25521</v>
      </c>
      <c r="E172" s="38" t="s">
        <v>25183</v>
      </c>
      <c r="F172" s="38" t="s">
        <v>25028</v>
      </c>
      <c r="G172" s="28" t="s">
        <v>19285</v>
      </c>
      <c r="H172" s="28" t="s">
        <v>19238</v>
      </c>
      <c r="I172" s="30">
        <v>45000</v>
      </c>
      <c r="J172" s="30">
        <v>45014</v>
      </c>
      <c r="K172" s="28">
        <v>15</v>
      </c>
      <c r="L172" s="29"/>
      <c r="M172" s="27" t="s">
        <v>19257</v>
      </c>
    </row>
    <row r="173" spans="1:13" s="27" customFormat="1" ht="17.25" customHeight="1" x14ac:dyDescent="0.25">
      <c r="A173" s="28" t="s">
        <v>2</v>
      </c>
      <c r="B173" s="28">
        <v>1113304420</v>
      </c>
      <c r="C173" s="38" t="s">
        <v>25440</v>
      </c>
      <c r="D173" s="38" t="s">
        <v>25441</v>
      </c>
      <c r="E173" s="38" t="s">
        <v>25442</v>
      </c>
      <c r="F173" s="38" t="s">
        <v>25010</v>
      </c>
      <c r="G173" s="28" t="s">
        <v>19229</v>
      </c>
      <c r="H173" s="28" t="s">
        <v>19238</v>
      </c>
      <c r="I173" s="30">
        <v>45000</v>
      </c>
      <c r="J173" s="30">
        <v>45014</v>
      </c>
      <c r="K173" s="28">
        <v>15</v>
      </c>
      <c r="L173" s="29"/>
      <c r="M173" s="27" t="s">
        <v>19257</v>
      </c>
    </row>
    <row r="174" spans="1:13" s="27" customFormat="1" ht="17.25" customHeight="1" x14ac:dyDescent="0.25">
      <c r="A174" s="28" t="s">
        <v>2</v>
      </c>
      <c r="B174" s="28">
        <v>98491354</v>
      </c>
      <c r="C174" s="38" t="s">
        <v>25401</v>
      </c>
      <c r="D174" s="38"/>
      <c r="E174" s="38" t="s">
        <v>25091</v>
      </c>
      <c r="F174" s="38" t="s">
        <v>25402</v>
      </c>
      <c r="G174" s="28" t="s">
        <v>19285</v>
      </c>
      <c r="H174" s="28" t="s">
        <v>19239</v>
      </c>
      <c r="I174" s="50">
        <v>45001</v>
      </c>
      <c r="J174" s="50">
        <v>45005</v>
      </c>
      <c r="K174" s="52">
        <v>4</v>
      </c>
      <c r="L174" s="29">
        <v>1</v>
      </c>
      <c r="M174" s="27" t="s">
        <v>25036</v>
      </c>
    </row>
    <row r="175" spans="1:13" s="27" customFormat="1" ht="17.25" customHeight="1" x14ac:dyDescent="0.25">
      <c r="A175" s="28" t="s">
        <v>2</v>
      </c>
      <c r="B175" s="28">
        <v>98594342</v>
      </c>
      <c r="C175" s="38" t="s">
        <v>25190</v>
      </c>
      <c r="D175" s="38" t="s">
        <v>25492</v>
      </c>
      <c r="E175" s="38" t="s">
        <v>25493</v>
      </c>
      <c r="F175" s="38" t="s">
        <v>25465</v>
      </c>
      <c r="G175" s="28" t="s">
        <v>19285</v>
      </c>
      <c r="H175" s="28" t="s">
        <v>19239</v>
      </c>
      <c r="I175" s="50">
        <v>45001</v>
      </c>
      <c r="J175" s="50">
        <v>45001</v>
      </c>
      <c r="K175" s="52">
        <v>1</v>
      </c>
      <c r="L175" s="29">
        <v>6</v>
      </c>
      <c r="M175" s="27" t="s">
        <v>25036</v>
      </c>
    </row>
    <row r="176" spans="1:13" s="27" customFormat="1" ht="17.25" customHeight="1" x14ac:dyDescent="0.25">
      <c r="A176" s="28" t="s">
        <v>2</v>
      </c>
      <c r="B176" s="28">
        <v>1027882243</v>
      </c>
      <c r="C176" s="38" t="s">
        <v>25523</v>
      </c>
      <c r="D176" s="38" t="s">
        <v>25535</v>
      </c>
      <c r="E176" s="38" t="s">
        <v>25091</v>
      </c>
      <c r="F176" s="38" t="s">
        <v>25019</v>
      </c>
      <c r="G176" s="28" t="s">
        <v>19229</v>
      </c>
      <c r="H176" s="28" t="s">
        <v>19238</v>
      </c>
      <c r="I176" s="30">
        <v>45001</v>
      </c>
      <c r="J176" s="30">
        <v>45016</v>
      </c>
      <c r="K176" s="28">
        <v>16</v>
      </c>
      <c r="L176" s="29"/>
      <c r="M176" s="27" t="s">
        <v>19257</v>
      </c>
    </row>
    <row r="177" spans="1:13" s="27" customFormat="1" ht="17.25" customHeight="1" x14ac:dyDescent="0.25">
      <c r="A177" s="28" t="s">
        <v>2</v>
      </c>
      <c r="B177" s="28">
        <v>71624933</v>
      </c>
      <c r="C177" s="38" t="s">
        <v>25021</v>
      </c>
      <c r="D177" s="38" t="s">
        <v>25536</v>
      </c>
      <c r="E177" s="38" t="s">
        <v>25119</v>
      </c>
      <c r="F177" s="38" t="s">
        <v>25004</v>
      </c>
      <c r="G177" s="28" t="s">
        <v>19229</v>
      </c>
      <c r="H177" s="28" t="s">
        <v>19238</v>
      </c>
      <c r="I177" s="30">
        <v>45001</v>
      </c>
      <c r="J177" s="30">
        <v>45015</v>
      </c>
      <c r="K177" s="28">
        <v>15</v>
      </c>
      <c r="L177" s="29"/>
      <c r="M177" s="27" t="s">
        <v>19257</v>
      </c>
    </row>
    <row r="178" spans="1:13" s="27" customFormat="1" ht="17.25" customHeight="1" x14ac:dyDescent="0.25">
      <c r="A178" s="28" t="s">
        <v>2</v>
      </c>
      <c r="B178" s="28">
        <v>1128479571</v>
      </c>
      <c r="C178" s="38" t="s">
        <v>25428</v>
      </c>
      <c r="D178" s="38" t="s">
        <v>25429</v>
      </c>
      <c r="E178" s="38" t="s">
        <v>25430</v>
      </c>
      <c r="F178" s="38" t="s">
        <v>25107</v>
      </c>
      <c r="G178" s="28" t="s">
        <v>19229</v>
      </c>
      <c r="H178" s="28" t="s">
        <v>19238</v>
      </c>
      <c r="I178" s="30">
        <v>45001</v>
      </c>
      <c r="J178" s="30">
        <v>45016</v>
      </c>
      <c r="K178" s="28">
        <v>16</v>
      </c>
      <c r="L178" s="29"/>
      <c r="M178" s="27" t="s">
        <v>19257</v>
      </c>
    </row>
    <row r="179" spans="1:13" s="27" customFormat="1" ht="17.25" customHeight="1" x14ac:dyDescent="0.25">
      <c r="A179" s="28" t="s">
        <v>2</v>
      </c>
      <c r="B179" s="28">
        <v>71257947</v>
      </c>
      <c r="C179" s="38" t="s">
        <v>24984</v>
      </c>
      <c r="D179" s="38" t="s">
        <v>25547</v>
      </c>
      <c r="E179" s="38" t="s">
        <v>25548</v>
      </c>
      <c r="F179" s="38"/>
      <c r="G179" s="28" t="s">
        <v>19229</v>
      </c>
      <c r="H179" s="28" t="s">
        <v>19238</v>
      </c>
      <c r="I179" s="30">
        <v>45002</v>
      </c>
      <c r="J179" s="30">
        <v>45017</v>
      </c>
      <c r="K179" s="28">
        <v>16</v>
      </c>
      <c r="L179" s="29"/>
      <c r="M179" s="27" t="s">
        <v>19257</v>
      </c>
    </row>
    <row r="180" spans="1:13" s="27" customFormat="1" ht="17.25" customHeight="1" x14ac:dyDescent="0.25">
      <c r="A180" s="28" t="s">
        <v>2</v>
      </c>
      <c r="B180" s="28">
        <v>32184373</v>
      </c>
      <c r="C180" s="38" t="s">
        <v>25332</v>
      </c>
      <c r="D180" s="38" t="s">
        <v>25174</v>
      </c>
      <c r="E180" s="38" t="s">
        <v>25543</v>
      </c>
      <c r="F180" s="38" t="s">
        <v>25544</v>
      </c>
      <c r="G180" s="28" t="s">
        <v>19229</v>
      </c>
      <c r="H180" s="28" t="s">
        <v>19238</v>
      </c>
      <c r="I180" s="30">
        <v>45003</v>
      </c>
      <c r="J180" s="30">
        <v>44993</v>
      </c>
      <c r="K180" s="28">
        <v>15</v>
      </c>
      <c r="L180" s="29"/>
      <c r="M180" s="27" t="s">
        <v>19257</v>
      </c>
    </row>
    <row r="181" spans="1:13" s="27" customFormat="1" ht="17.25" customHeight="1" x14ac:dyDescent="0.25">
      <c r="A181" s="28" t="s">
        <v>2</v>
      </c>
      <c r="B181" s="28">
        <v>1040036167</v>
      </c>
      <c r="C181" s="38" t="s">
        <v>25357</v>
      </c>
      <c r="D181" s="38" t="s">
        <v>25357</v>
      </c>
      <c r="E181" s="38" t="s">
        <v>25089</v>
      </c>
      <c r="F181" s="38" t="s">
        <v>25057</v>
      </c>
      <c r="G181" s="28" t="s">
        <v>19285</v>
      </c>
      <c r="H181" s="28" t="s">
        <v>19240</v>
      </c>
      <c r="I181" s="30">
        <v>45006</v>
      </c>
      <c r="J181" s="30">
        <v>45006</v>
      </c>
      <c r="K181" s="28">
        <v>1</v>
      </c>
      <c r="L181" s="29"/>
      <c r="M181" s="27" t="s">
        <v>24991</v>
      </c>
    </row>
    <row r="182" spans="1:13" s="27" customFormat="1" ht="17.25" customHeight="1" x14ac:dyDescent="0.25">
      <c r="A182" s="28" t="s">
        <v>2</v>
      </c>
      <c r="B182" s="28">
        <v>1028038281</v>
      </c>
      <c r="C182" s="38" t="s">
        <v>25537</v>
      </c>
      <c r="D182" s="38" t="s">
        <v>25502</v>
      </c>
      <c r="E182" s="38" t="s">
        <v>25538</v>
      </c>
      <c r="F182" s="38" t="s">
        <v>25177</v>
      </c>
      <c r="G182" s="28" t="s">
        <v>19229</v>
      </c>
      <c r="H182" s="28" t="s">
        <v>19238</v>
      </c>
      <c r="I182" s="30">
        <v>45006</v>
      </c>
      <c r="J182" s="30">
        <v>45020</v>
      </c>
      <c r="K182" s="28">
        <v>15</v>
      </c>
      <c r="L182" s="29"/>
      <c r="M182" s="27" t="s">
        <v>19257</v>
      </c>
    </row>
    <row r="183" spans="1:13" s="27" customFormat="1" ht="17.25" customHeight="1" x14ac:dyDescent="0.25">
      <c r="A183" s="28" t="s">
        <v>2</v>
      </c>
      <c r="B183" s="28">
        <v>15378989</v>
      </c>
      <c r="C183" s="38" t="s">
        <v>25200</v>
      </c>
      <c r="D183" s="38" t="s">
        <v>25539</v>
      </c>
      <c r="E183" s="38" t="s">
        <v>25255</v>
      </c>
      <c r="F183" s="38" t="s">
        <v>25119</v>
      </c>
      <c r="G183" s="28" t="s">
        <v>19229</v>
      </c>
      <c r="H183" s="28" t="s">
        <v>19238</v>
      </c>
      <c r="I183" s="30">
        <v>45006</v>
      </c>
      <c r="J183" s="30">
        <v>45020</v>
      </c>
      <c r="K183" s="28">
        <v>15</v>
      </c>
      <c r="L183" s="29"/>
      <c r="M183" s="27" t="s">
        <v>19257</v>
      </c>
    </row>
    <row r="184" spans="1:13" s="27" customFormat="1" ht="17.25" customHeight="1" x14ac:dyDescent="0.25">
      <c r="A184" s="28" t="s">
        <v>25476</v>
      </c>
      <c r="B184" s="28">
        <v>1003092249</v>
      </c>
      <c r="C184" s="38" t="s">
        <v>25533</v>
      </c>
      <c r="D184" s="38" t="s">
        <v>25534</v>
      </c>
      <c r="E184" s="38" t="s">
        <v>25089</v>
      </c>
      <c r="F184" s="38" t="s">
        <v>25430</v>
      </c>
      <c r="G184" s="28" t="s">
        <v>19229</v>
      </c>
      <c r="H184" s="28" t="s">
        <v>19239</v>
      </c>
      <c r="I184" s="30">
        <v>45007</v>
      </c>
      <c r="J184" s="30">
        <v>45011</v>
      </c>
      <c r="K184" s="28">
        <v>5</v>
      </c>
      <c r="L184" s="29">
        <v>1</v>
      </c>
      <c r="M184" s="27" t="s">
        <v>25036</v>
      </c>
    </row>
    <row r="185" spans="1:13" s="27" customFormat="1" ht="17.25" customHeight="1" x14ac:dyDescent="0.25">
      <c r="A185" s="28" t="s">
        <v>2</v>
      </c>
      <c r="B185" s="28">
        <v>75065489</v>
      </c>
      <c r="C185" s="38" t="s">
        <v>25503</v>
      </c>
      <c r="D185" s="38" t="s">
        <v>25108</v>
      </c>
      <c r="E185" s="38" t="s">
        <v>25091</v>
      </c>
      <c r="F185" s="38" t="s">
        <v>25402</v>
      </c>
      <c r="G185" s="28" t="s">
        <v>19229</v>
      </c>
      <c r="H185" s="28" t="s">
        <v>19238</v>
      </c>
      <c r="I185" s="30">
        <v>45007</v>
      </c>
      <c r="J185" s="30">
        <v>45021</v>
      </c>
      <c r="K185" s="28">
        <v>15</v>
      </c>
      <c r="L185" s="29"/>
      <c r="M185" s="27" t="s">
        <v>19257</v>
      </c>
    </row>
    <row r="186" spans="1:13" s="27" customFormat="1" ht="17.25" customHeight="1" x14ac:dyDescent="0.25">
      <c r="A186" s="28" t="s">
        <v>2</v>
      </c>
      <c r="B186" s="28">
        <v>71371943</v>
      </c>
      <c r="C186" s="38" t="s">
        <v>25403</v>
      </c>
      <c r="D186" s="38"/>
      <c r="E186" s="38" t="s">
        <v>25545</v>
      </c>
      <c r="F186" s="38" t="s">
        <v>25019</v>
      </c>
      <c r="G186" s="28" t="s">
        <v>19229</v>
      </c>
      <c r="H186" s="28" t="s">
        <v>19238</v>
      </c>
      <c r="I186" s="30">
        <v>45007</v>
      </c>
      <c r="J186" s="30">
        <v>45030</v>
      </c>
      <c r="K186" s="28">
        <v>24</v>
      </c>
      <c r="L186" s="29"/>
      <c r="M186" s="27" t="s">
        <v>19257</v>
      </c>
    </row>
    <row r="187" spans="1:13" s="27" customFormat="1" ht="17.25" customHeight="1" x14ac:dyDescent="0.25">
      <c r="A187" s="28" t="s">
        <v>2</v>
      </c>
      <c r="B187" s="28">
        <v>98506028</v>
      </c>
      <c r="C187" s="38" t="s">
        <v>24987</v>
      </c>
      <c r="D187" s="38" t="s">
        <v>25272</v>
      </c>
      <c r="E187" s="38" t="s">
        <v>25546</v>
      </c>
      <c r="F187" s="38" t="s">
        <v>25051</v>
      </c>
      <c r="G187" s="28" t="s">
        <v>19229</v>
      </c>
      <c r="H187" s="28" t="s">
        <v>19238</v>
      </c>
      <c r="I187" s="30">
        <v>45007</v>
      </c>
      <c r="J187" s="30">
        <v>45014</v>
      </c>
      <c r="K187" s="28">
        <v>16</v>
      </c>
      <c r="L187" s="29"/>
      <c r="M187" s="27" t="s">
        <v>19257</v>
      </c>
    </row>
    <row r="188" spans="1:13" s="27" customFormat="1" ht="17.25" customHeight="1" x14ac:dyDescent="0.25">
      <c r="A188" s="28" t="s">
        <v>25476</v>
      </c>
      <c r="B188" s="28">
        <v>1007697990</v>
      </c>
      <c r="C188" s="38" t="s">
        <v>25498</v>
      </c>
      <c r="D188" s="38" t="s">
        <v>25030</v>
      </c>
      <c r="E188" s="38" t="s">
        <v>25222</v>
      </c>
      <c r="F188" s="38"/>
      <c r="G188" s="28" t="s">
        <v>19229</v>
      </c>
      <c r="H188" s="28" t="s">
        <v>19240</v>
      </c>
      <c r="I188" s="30">
        <v>45007</v>
      </c>
      <c r="J188" s="30">
        <v>45011</v>
      </c>
      <c r="K188" s="28">
        <v>5</v>
      </c>
      <c r="L188" s="29"/>
      <c r="M188" s="27" t="s">
        <v>26223</v>
      </c>
    </row>
    <row r="189" spans="1:13" s="27" customFormat="1" ht="17.25" customHeight="1" x14ac:dyDescent="0.25">
      <c r="A189" s="28" t="s">
        <v>2</v>
      </c>
      <c r="B189" s="28">
        <v>1003077030</v>
      </c>
      <c r="C189" s="38" t="s">
        <v>25540</v>
      </c>
      <c r="D189" s="38" t="s">
        <v>25541</v>
      </c>
      <c r="E189" s="38" t="s">
        <v>25542</v>
      </c>
      <c r="F189" s="38" t="s">
        <v>25010</v>
      </c>
      <c r="G189" s="28" t="s">
        <v>19229</v>
      </c>
      <c r="H189" s="28" t="s">
        <v>19238</v>
      </c>
      <c r="I189" s="30">
        <v>45008</v>
      </c>
      <c r="J189" s="30">
        <v>45022</v>
      </c>
      <c r="K189" s="28">
        <v>15</v>
      </c>
      <c r="L189" s="29"/>
      <c r="M189" s="27" t="s">
        <v>19257</v>
      </c>
    </row>
    <row r="190" spans="1:13" s="27" customFormat="1" ht="17.25" customHeight="1" x14ac:dyDescent="0.25">
      <c r="A190" s="28" t="s">
        <v>2</v>
      </c>
      <c r="B190" s="28">
        <v>1074003791</v>
      </c>
      <c r="C190" s="38" t="s">
        <v>25562</v>
      </c>
      <c r="D190" s="38" t="s">
        <v>25563</v>
      </c>
      <c r="E190" s="38" t="s">
        <v>25564</v>
      </c>
      <c r="F190" s="38" t="s">
        <v>25028</v>
      </c>
      <c r="G190" s="28" t="s">
        <v>19285</v>
      </c>
      <c r="H190" s="28" t="s">
        <v>19238</v>
      </c>
      <c r="I190" s="30">
        <v>45008</v>
      </c>
      <c r="J190" s="30">
        <v>45022</v>
      </c>
      <c r="K190" s="28">
        <v>15</v>
      </c>
      <c r="L190" s="29"/>
      <c r="M190" s="27" t="s">
        <v>19257</v>
      </c>
    </row>
    <row r="191" spans="1:13" s="27" customFormat="1" ht="17.25" customHeight="1" x14ac:dyDescent="0.25">
      <c r="A191" s="28" t="s">
        <v>2</v>
      </c>
      <c r="B191" s="28">
        <v>70725637</v>
      </c>
      <c r="C191" s="38" t="s">
        <v>25443</v>
      </c>
      <c r="D191" s="38" t="s">
        <v>25030</v>
      </c>
      <c r="E191" s="38" t="s">
        <v>25558</v>
      </c>
      <c r="F191" s="38" t="s">
        <v>25103</v>
      </c>
      <c r="G191" s="28" t="s">
        <v>19285</v>
      </c>
      <c r="H191" s="28" t="s">
        <v>19240</v>
      </c>
      <c r="I191" s="30">
        <v>45011</v>
      </c>
      <c r="J191" s="30">
        <v>45015</v>
      </c>
      <c r="K191" s="28">
        <v>5</v>
      </c>
      <c r="L191" s="29"/>
      <c r="M191" s="27" t="s">
        <v>26223</v>
      </c>
    </row>
    <row r="192" spans="1:13" s="27" customFormat="1" ht="17.25" customHeight="1" x14ac:dyDescent="0.25">
      <c r="A192" s="28" t="s">
        <v>2</v>
      </c>
      <c r="B192" s="28">
        <v>71664378</v>
      </c>
      <c r="C192" s="38" t="s">
        <v>25549</v>
      </c>
      <c r="D192" s="38" t="s">
        <v>25534</v>
      </c>
      <c r="E192" s="38" t="s">
        <v>25183</v>
      </c>
      <c r="F192" s="38" t="s">
        <v>25056</v>
      </c>
      <c r="G192" s="28" t="s">
        <v>19285</v>
      </c>
      <c r="H192" s="28" t="s">
        <v>19240</v>
      </c>
      <c r="I192" s="30">
        <v>45012</v>
      </c>
      <c r="J192" s="30">
        <v>45012</v>
      </c>
      <c r="K192" s="28">
        <v>1</v>
      </c>
      <c r="L192" s="29"/>
      <c r="M192" s="27" t="s">
        <v>24991</v>
      </c>
    </row>
    <row r="193" spans="1:13" s="27" customFormat="1" ht="17.25" customHeight="1" x14ac:dyDescent="0.25">
      <c r="A193" s="28" t="s">
        <v>2</v>
      </c>
      <c r="B193" s="28">
        <v>70108742</v>
      </c>
      <c r="C193" s="38" t="s">
        <v>25111</v>
      </c>
      <c r="D193" s="38" t="s">
        <v>25551</v>
      </c>
      <c r="E193" s="38" t="s">
        <v>25087</v>
      </c>
      <c r="F193" s="38"/>
      <c r="G193" s="28" t="s">
        <v>19285</v>
      </c>
      <c r="H193" s="28" t="s">
        <v>19238</v>
      </c>
      <c r="I193" s="30">
        <v>45014</v>
      </c>
      <c r="J193" s="30">
        <v>45028</v>
      </c>
      <c r="K193" s="28">
        <v>15</v>
      </c>
      <c r="L193" s="29"/>
      <c r="M193" s="27" t="s">
        <v>19257</v>
      </c>
    </row>
    <row r="194" spans="1:13" s="27" customFormat="1" ht="17.25" customHeight="1" x14ac:dyDescent="0.25">
      <c r="A194" s="28" t="s">
        <v>2</v>
      </c>
      <c r="B194" s="28">
        <v>1037591521</v>
      </c>
      <c r="C194" s="38" t="s">
        <v>25085</v>
      </c>
      <c r="D194" s="38" t="s">
        <v>25128</v>
      </c>
      <c r="E194" s="38" t="s">
        <v>25324</v>
      </c>
      <c r="F194" s="38"/>
      <c r="G194" s="28" t="s">
        <v>19285</v>
      </c>
      <c r="H194" s="28" t="s">
        <v>19238</v>
      </c>
      <c r="I194" s="30">
        <v>45014</v>
      </c>
      <c r="J194" s="30">
        <v>44997</v>
      </c>
      <c r="K194" s="28">
        <v>15</v>
      </c>
      <c r="L194" s="29"/>
      <c r="M194" s="27" t="s">
        <v>19257</v>
      </c>
    </row>
    <row r="195" spans="1:13" s="27" customFormat="1" ht="17.25" customHeight="1" x14ac:dyDescent="0.25">
      <c r="A195" s="28" t="s">
        <v>2</v>
      </c>
      <c r="B195" s="28">
        <v>71625464</v>
      </c>
      <c r="C195" s="38" t="s">
        <v>25002</v>
      </c>
      <c r="D195" s="38" t="s">
        <v>25003</v>
      </c>
      <c r="E195" s="38" t="s">
        <v>25004</v>
      </c>
      <c r="F195" s="38" t="s">
        <v>25005</v>
      </c>
      <c r="G195" s="28" t="s">
        <v>19285</v>
      </c>
      <c r="H195" s="28" t="s">
        <v>19238</v>
      </c>
      <c r="I195" s="30">
        <v>45014</v>
      </c>
      <c r="J195" s="30">
        <v>45028</v>
      </c>
      <c r="K195" s="28">
        <v>15</v>
      </c>
      <c r="L195" s="29"/>
      <c r="M195" s="27" t="s">
        <v>19257</v>
      </c>
    </row>
    <row r="196" spans="1:13" s="27" customFormat="1" ht="17.25" customHeight="1" x14ac:dyDescent="0.25">
      <c r="A196" s="28" t="s">
        <v>2</v>
      </c>
      <c r="B196" s="28">
        <v>71692130</v>
      </c>
      <c r="C196" s="38" t="s">
        <v>25561</v>
      </c>
      <c r="D196" s="38" t="s">
        <v>25117</v>
      </c>
      <c r="E196" s="38" t="s">
        <v>25455</v>
      </c>
      <c r="F196" s="38" t="s">
        <v>25213</v>
      </c>
      <c r="G196" s="28" t="s">
        <v>19285</v>
      </c>
      <c r="H196" s="28" t="s">
        <v>19238</v>
      </c>
      <c r="I196" s="30">
        <v>45014</v>
      </c>
      <c r="J196" s="30">
        <v>45028</v>
      </c>
      <c r="K196" s="28">
        <v>15</v>
      </c>
      <c r="L196" s="29"/>
      <c r="M196" s="27" t="s">
        <v>19257</v>
      </c>
    </row>
    <row r="197" spans="1:13" s="27" customFormat="1" ht="17.25" customHeight="1" x14ac:dyDescent="0.25">
      <c r="A197" s="28" t="s">
        <v>2</v>
      </c>
      <c r="B197" s="28">
        <v>98500089</v>
      </c>
      <c r="C197" s="38" t="s">
        <v>25550</v>
      </c>
      <c r="D197" s="38" t="s">
        <v>25109</v>
      </c>
      <c r="E197" s="38" t="s">
        <v>25057</v>
      </c>
      <c r="F197" s="38"/>
      <c r="G197" s="28" t="s">
        <v>19285</v>
      </c>
      <c r="H197" s="28" t="s">
        <v>19240</v>
      </c>
      <c r="I197" s="30">
        <v>45015</v>
      </c>
      <c r="J197" s="30">
        <v>45015</v>
      </c>
      <c r="K197" s="28">
        <v>1</v>
      </c>
      <c r="L197" s="29"/>
      <c r="M197" s="27" t="s">
        <v>24991</v>
      </c>
    </row>
    <row r="198" spans="1:13" s="27" customFormat="1" ht="17.25" customHeight="1" x14ac:dyDescent="0.25">
      <c r="A198" s="28" t="s">
        <v>2</v>
      </c>
      <c r="B198" s="28">
        <v>21532552</v>
      </c>
      <c r="C198" s="38" t="s">
        <v>25030</v>
      </c>
      <c r="D198" s="38" t="s">
        <v>25459</v>
      </c>
      <c r="E198" s="38" t="s">
        <v>25565</v>
      </c>
      <c r="F198" s="38" t="s">
        <v>25566</v>
      </c>
      <c r="G198" s="28" t="s">
        <v>19285</v>
      </c>
      <c r="H198" s="28" t="s">
        <v>19238</v>
      </c>
      <c r="I198" s="30">
        <v>45015</v>
      </c>
      <c r="J198" s="30">
        <v>45029</v>
      </c>
      <c r="K198" s="28">
        <v>15</v>
      </c>
      <c r="L198" s="29"/>
      <c r="M198" s="27" t="s">
        <v>19257</v>
      </c>
    </row>
    <row r="199" spans="1:13" s="27" customFormat="1" ht="17.25" customHeight="1" x14ac:dyDescent="0.25">
      <c r="A199" s="28" t="s">
        <v>3</v>
      </c>
      <c r="B199" s="28">
        <v>71190668</v>
      </c>
      <c r="C199" s="28" t="s">
        <v>25642</v>
      </c>
      <c r="D199" s="28" t="s">
        <v>25202</v>
      </c>
      <c r="E199" s="28" t="s">
        <v>25643</v>
      </c>
      <c r="F199" s="28" t="s">
        <v>25644</v>
      </c>
      <c r="G199" s="28" t="s">
        <v>19229</v>
      </c>
      <c r="H199" s="28" t="s">
        <v>19238</v>
      </c>
      <c r="I199" s="50">
        <v>45015</v>
      </c>
      <c r="J199" s="50">
        <v>45028</v>
      </c>
      <c r="K199" s="52">
        <v>15</v>
      </c>
      <c r="L199" s="29"/>
      <c r="M199" s="27" t="s">
        <v>19257</v>
      </c>
    </row>
    <row r="200" spans="1:13" s="27" customFormat="1" ht="17.25" customHeight="1" x14ac:dyDescent="0.25">
      <c r="A200" s="28" t="s">
        <v>2</v>
      </c>
      <c r="B200" s="28">
        <v>9991166</v>
      </c>
      <c r="C200" s="38" t="s">
        <v>25017</v>
      </c>
      <c r="D200" s="38" t="s">
        <v>25094</v>
      </c>
      <c r="E200" s="38" t="s">
        <v>25552</v>
      </c>
      <c r="F200" s="38"/>
      <c r="G200" s="28" t="s">
        <v>19285</v>
      </c>
      <c r="H200" s="28" t="s">
        <v>19238</v>
      </c>
      <c r="I200" s="30">
        <v>45016</v>
      </c>
      <c r="J200" s="30">
        <v>45031</v>
      </c>
      <c r="K200" s="28">
        <v>16</v>
      </c>
      <c r="L200" s="29"/>
      <c r="M200" s="27" t="s">
        <v>19257</v>
      </c>
    </row>
    <row r="201" spans="1:13" s="27" customFormat="1" ht="17.25" customHeight="1" x14ac:dyDescent="0.25">
      <c r="A201" s="28" t="s">
        <v>2</v>
      </c>
      <c r="B201" s="28">
        <v>70725637</v>
      </c>
      <c r="C201" s="38" t="s">
        <v>25443</v>
      </c>
      <c r="D201" s="38" t="s">
        <v>25030</v>
      </c>
      <c r="E201" s="38" t="s">
        <v>25558</v>
      </c>
      <c r="F201" s="38" t="s">
        <v>25103</v>
      </c>
      <c r="G201" s="28" t="s">
        <v>19285</v>
      </c>
      <c r="H201" s="28" t="s">
        <v>19238</v>
      </c>
      <c r="I201" s="30">
        <v>45016</v>
      </c>
      <c r="J201" s="30">
        <v>45023</v>
      </c>
      <c r="K201" s="28">
        <v>8</v>
      </c>
      <c r="L201" s="29"/>
      <c r="M201" s="27" t="s">
        <v>19257</v>
      </c>
    </row>
    <row r="202" spans="1:13" s="27" customFormat="1" ht="17.25" customHeight="1" x14ac:dyDescent="0.25">
      <c r="A202" s="28" t="s">
        <v>3</v>
      </c>
      <c r="B202" s="28">
        <v>1067957772</v>
      </c>
      <c r="C202" s="38" t="s">
        <v>25375</v>
      </c>
      <c r="D202" s="38" t="s">
        <v>25073</v>
      </c>
      <c r="E202" s="38" t="s">
        <v>25376</v>
      </c>
      <c r="F202" s="38" t="s">
        <v>25091</v>
      </c>
      <c r="G202" s="28" t="s">
        <v>19229</v>
      </c>
      <c r="H202" s="28" t="s">
        <v>19238</v>
      </c>
      <c r="I202" s="30">
        <v>45016</v>
      </c>
      <c r="J202" s="30">
        <v>45031</v>
      </c>
      <c r="K202" s="28">
        <v>16</v>
      </c>
      <c r="L202" s="29"/>
      <c r="M202" s="27" t="s">
        <v>19257</v>
      </c>
    </row>
    <row r="203" spans="1:13" s="27" customFormat="1" ht="17.25" customHeight="1" x14ac:dyDescent="0.25">
      <c r="A203" s="28" t="s">
        <v>3</v>
      </c>
      <c r="B203" s="28">
        <v>1133869996</v>
      </c>
      <c r="C203" s="38" t="s">
        <v>25008</v>
      </c>
      <c r="D203" s="38" t="s">
        <v>25257</v>
      </c>
      <c r="E203" s="38" t="s">
        <v>25577</v>
      </c>
      <c r="F203" s="38" t="s">
        <v>25135</v>
      </c>
      <c r="G203" s="28" t="s">
        <v>19229</v>
      </c>
      <c r="H203" s="28" t="s">
        <v>19238</v>
      </c>
      <c r="I203" s="30">
        <v>45016</v>
      </c>
      <c r="J203" s="30">
        <v>45030</v>
      </c>
      <c r="K203" s="28">
        <v>15</v>
      </c>
      <c r="L203" s="29"/>
      <c r="M203" s="27" t="s">
        <v>19257</v>
      </c>
    </row>
    <row r="204" spans="1:13" s="27" customFormat="1" ht="17.25" customHeight="1" x14ac:dyDescent="0.25">
      <c r="A204" s="28" t="s">
        <v>3</v>
      </c>
      <c r="B204" s="28">
        <v>71763392</v>
      </c>
      <c r="C204" s="38" t="s">
        <v>25006</v>
      </c>
      <c r="D204" s="38" t="s">
        <v>25177</v>
      </c>
      <c r="E204" s="38" t="s">
        <v>24986</v>
      </c>
      <c r="F204" s="38"/>
      <c r="G204" s="28" t="s">
        <v>19229</v>
      </c>
      <c r="H204" s="28" t="s">
        <v>19238</v>
      </c>
      <c r="I204" s="30">
        <v>45016</v>
      </c>
      <c r="J204" s="30">
        <v>45023</v>
      </c>
      <c r="K204" s="28">
        <v>8</v>
      </c>
      <c r="L204" s="29"/>
      <c r="M204" s="27" t="s">
        <v>19257</v>
      </c>
    </row>
    <row r="205" spans="1:13" s="27" customFormat="1" ht="17.25" customHeight="1" x14ac:dyDescent="0.25">
      <c r="A205" s="28" t="s">
        <v>3</v>
      </c>
      <c r="B205" s="28">
        <v>1018374117</v>
      </c>
      <c r="C205" s="38" t="s">
        <v>25127</v>
      </c>
      <c r="D205" s="38"/>
      <c r="E205" s="38" t="s">
        <v>25455</v>
      </c>
      <c r="F205" s="38" t="s">
        <v>25051</v>
      </c>
      <c r="G205" s="28" t="s">
        <v>19285</v>
      </c>
      <c r="H205" s="28" t="s">
        <v>19238</v>
      </c>
      <c r="I205" s="30">
        <v>45017</v>
      </c>
      <c r="J205" s="30">
        <v>45032</v>
      </c>
      <c r="K205" s="28">
        <v>16</v>
      </c>
      <c r="L205" s="29"/>
      <c r="M205" s="27" t="s">
        <v>19257</v>
      </c>
    </row>
    <row r="206" spans="1:13" s="27" customFormat="1" ht="17.25" customHeight="1" x14ac:dyDescent="0.25">
      <c r="A206" s="28" t="s">
        <v>3</v>
      </c>
      <c r="B206" s="28">
        <v>1007898660</v>
      </c>
      <c r="C206" s="38" t="s">
        <v>25567</v>
      </c>
      <c r="D206" s="38" t="s">
        <v>25568</v>
      </c>
      <c r="E206" s="38" t="s">
        <v>19278</v>
      </c>
      <c r="F206" s="38" t="s">
        <v>25569</v>
      </c>
      <c r="G206" s="28" t="s">
        <v>19285</v>
      </c>
      <c r="H206" s="28" t="s">
        <v>19238</v>
      </c>
      <c r="I206" s="30">
        <v>45017</v>
      </c>
      <c r="J206" s="30">
        <v>45031</v>
      </c>
      <c r="K206" s="28">
        <v>15</v>
      </c>
      <c r="L206" s="29"/>
      <c r="M206" s="27" t="s">
        <v>19257</v>
      </c>
    </row>
    <row r="207" spans="1:13" s="27" customFormat="1" ht="17.25" customHeight="1" x14ac:dyDescent="0.25">
      <c r="A207" s="28" t="s">
        <v>3</v>
      </c>
      <c r="B207" s="28">
        <v>71723623</v>
      </c>
      <c r="C207" s="28" t="s">
        <v>25038</v>
      </c>
      <c r="D207" s="28" t="s">
        <v>25570</v>
      </c>
      <c r="E207" s="28" t="s">
        <v>25571</v>
      </c>
      <c r="F207" s="38"/>
      <c r="G207" s="28" t="s">
        <v>19285</v>
      </c>
      <c r="H207" s="28" t="s">
        <v>19238</v>
      </c>
      <c r="I207" s="30">
        <v>45017</v>
      </c>
      <c r="J207" s="30">
        <v>45032</v>
      </c>
      <c r="K207" s="28">
        <v>16</v>
      </c>
      <c r="L207" s="29"/>
      <c r="M207" s="27" t="s">
        <v>19257</v>
      </c>
    </row>
    <row r="208" spans="1:13" s="27" customFormat="1" ht="17.25" customHeight="1" x14ac:dyDescent="0.25">
      <c r="A208" s="28" t="s">
        <v>3</v>
      </c>
      <c r="B208" s="28">
        <v>11936325</v>
      </c>
      <c r="C208" s="38" t="s">
        <v>25105</v>
      </c>
      <c r="D208" s="38" t="s">
        <v>25343</v>
      </c>
      <c r="E208" s="38" t="s">
        <v>25183</v>
      </c>
      <c r="F208" s="38" t="s">
        <v>25185</v>
      </c>
      <c r="G208" s="28" t="s">
        <v>19229</v>
      </c>
      <c r="H208" s="28" t="s">
        <v>19238</v>
      </c>
      <c r="I208" s="30">
        <v>45017</v>
      </c>
      <c r="J208" s="30">
        <v>45032</v>
      </c>
      <c r="K208" s="28">
        <v>16</v>
      </c>
      <c r="L208" s="29"/>
      <c r="M208" s="27" t="s">
        <v>19257</v>
      </c>
    </row>
    <row r="209" spans="1:13" s="27" customFormat="1" ht="17.25" customHeight="1" x14ac:dyDescent="0.25">
      <c r="A209" s="28" t="s">
        <v>3</v>
      </c>
      <c r="B209" s="28">
        <v>78715778</v>
      </c>
      <c r="C209" s="38" t="s">
        <v>25561</v>
      </c>
      <c r="D209" s="38" t="s">
        <v>25585</v>
      </c>
      <c r="E209" s="38" t="s">
        <v>25028</v>
      </c>
      <c r="F209" s="38" t="s">
        <v>25586</v>
      </c>
      <c r="G209" s="28" t="s">
        <v>19229</v>
      </c>
      <c r="H209" s="28" t="s">
        <v>19238</v>
      </c>
      <c r="I209" s="30">
        <v>45017</v>
      </c>
      <c r="J209" s="30">
        <v>45031</v>
      </c>
      <c r="K209" s="28">
        <v>15</v>
      </c>
      <c r="L209" s="29"/>
      <c r="M209" s="27" t="s">
        <v>19257</v>
      </c>
    </row>
    <row r="210" spans="1:13" s="27" customFormat="1" ht="17.25" customHeight="1" x14ac:dyDescent="0.25">
      <c r="A210" s="28" t="s">
        <v>3</v>
      </c>
      <c r="B210" s="28">
        <v>1003079438</v>
      </c>
      <c r="C210" s="38" t="s">
        <v>25589</v>
      </c>
      <c r="D210" s="38" t="s">
        <v>25590</v>
      </c>
      <c r="E210" s="38" t="s">
        <v>25591</v>
      </c>
      <c r="F210" s="38" t="s">
        <v>25592</v>
      </c>
      <c r="G210" s="28" t="s">
        <v>19229</v>
      </c>
      <c r="H210" s="28" t="s">
        <v>19238</v>
      </c>
      <c r="I210" s="30">
        <v>45017</v>
      </c>
      <c r="J210" s="30">
        <v>45031</v>
      </c>
      <c r="K210" s="28">
        <v>15</v>
      </c>
      <c r="L210" s="29"/>
      <c r="M210" s="27" t="s">
        <v>19257</v>
      </c>
    </row>
    <row r="211" spans="1:13" s="27" customFormat="1" ht="17.25" customHeight="1" x14ac:dyDescent="0.25">
      <c r="A211" s="28" t="s">
        <v>3</v>
      </c>
      <c r="B211" s="28">
        <v>1007898660</v>
      </c>
      <c r="C211" s="38" t="s">
        <v>25567</v>
      </c>
      <c r="D211" s="38" t="s">
        <v>25568</v>
      </c>
      <c r="E211" s="38" t="s">
        <v>19278</v>
      </c>
      <c r="F211" s="38" t="s">
        <v>25569</v>
      </c>
      <c r="G211" s="28" t="s">
        <v>19229</v>
      </c>
      <c r="H211" s="28" t="s">
        <v>19238</v>
      </c>
      <c r="I211" s="30">
        <v>45017</v>
      </c>
      <c r="J211" s="30">
        <v>45031</v>
      </c>
      <c r="K211" s="28">
        <v>15</v>
      </c>
      <c r="L211" s="29"/>
      <c r="M211" s="27" t="s">
        <v>19257</v>
      </c>
    </row>
    <row r="212" spans="1:13" s="27" customFormat="1" ht="17.25" customHeight="1" x14ac:dyDescent="0.25">
      <c r="A212" s="28" t="s">
        <v>3</v>
      </c>
      <c r="B212" s="28">
        <v>1018374117</v>
      </c>
      <c r="C212" s="38" t="s">
        <v>25127</v>
      </c>
      <c r="D212" s="38"/>
      <c r="E212" s="38" t="s">
        <v>25455</v>
      </c>
      <c r="F212" s="38" t="s">
        <v>25051</v>
      </c>
      <c r="G212" s="28" t="s">
        <v>19229</v>
      </c>
      <c r="H212" s="28" t="s">
        <v>19238</v>
      </c>
      <c r="I212" s="30">
        <v>45017</v>
      </c>
      <c r="J212" s="30">
        <v>45024</v>
      </c>
      <c r="K212" s="28">
        <v>8</v>
      </c>
      <c r="L212" s="29"/>
      <c r="M212" s="27" t="s">
        <v>19257</v>
      </c>
    </row>
    <row r="213" spans="1:13" s="27" customFormat="1" ht="17.25" customHeight="1" x14ac:dyDescent="0.25">
      <c r="A213" s="28" t="s">
        <v>3</v>
      </c>
      <c r="B213" s="28">
        <v>11936325</v>
      </c>
      <c r="C213" s="38" t="s">
        <v>25105</v>
      </c>
      <c r="D213" s="38" t="s">
        <v>25343</v>
      </c>
      <c r="E213" s="38" t="s">
        <v>25183</v>
      </c>
      <c r="F213" s="38" t="s">
        <v>25185</v>
      </c>
      <c r="G213" s="28" t="s">
        <v>19229</v>
      </c>
      <c r="H213" s="28" t="s">
        <v>19238</v>
      </c>
      <c r="I213" s="30">
        <v>45017</v>
      </c>
      <c r="J213" s="30">
        <v>45024</v>
      </c>
      <c r="K213" s="28">
        <v>8</v>
      </c>
      <c r="L213" s="29"/>
      <c r="M213" s="27" t="s">
        <v>19257</v>
      </c>
    </row>
    <row r="214" spans="1:13" s="27" customFormat="1" ht="17.25" customHeight="1" x14ac:dyDescent="0.25">
      <c r="A214" s="28" t="s">
        <v>3</v>
      </c>
      <c r="B214" s="28">
        <v>1003079438</v>
      </c>
      <c r="C214" s="38" t="s">
        <v>25589</v>
      </c>
      <c r="D214" s="38" t="s">
        <v>25590</v>
      </c>
      <c r="E214" s="38" t="s">
        <v>25591</v>
      </c>
      <c r="F214" s="38" t="s">
        <v>25592</v>
      </c>
      <c r="G214" s="28" t="s">
        <v>19229</v>
      </c>
      <c r="H214" s="28" t="s">
        <v>19238</v>
      </c>
      <c r="I214" s="30">
        <v>45017</v>
      </c>
      <c r="J214" s="30">
        <v>45031</v>
      </c>
      <c r="K214" s="28">
        <v>15</v>
      </c>
      <c r="L214" s="29"/>
      <c r="M214" s="27" t="s">
        <v>19257</v>
      </c>
    </row>
    <row r="215" spans="1:13" s="27" customFormat="1" ht="17.25" customHeight="1" x14ac:dyDescent="0.25">
      <c r="A215" s="28" t="s">
        <v>3</v>
      </c>
      <c r="B215" s="28">
        <v>78715778</v>
      </c>
      <c r="C215" s="38" t="s">
        <v>25561</v>
      </c>
      <c r="D215" s="38" t="s">
        <v>25585</v>
      </c>
      <c r="E215" s="38" t="s">
        <v>25028</v>
      </c>
      <c r="F215" s="38" t="s">
        <v>25586</v>
      </c>
      <c r="G215" s="28" t="s">
        <v>19229</v>
      </c>
      <c r="H215" s="28" t="s">
        <v>19238</v>
      </c>
      <c r="I215" s="30">
        <v>45017</v>
      </c>
      <c r="J215" s="30">
        <v>45031</v>
      </c>
      <c r="K215" s="28">
        <v>15</v>
      </c>
      <c r="L215" s="29"/>
      <c r="M215" s="27" t="s">
        <v>19257</v>
      </c>
    </row>
    <row r="216" spans="1:13" s="27" customFormat="1" ht="17.25" customHeight="1" x14ac:dyDescent="0.25">
      <c r="A216" s="28" t="s">
        <v>3</v>
      </c>
      <c r="B216" s="28">
        <v>1080932097</v>
      </c>
      <c r="C216" s="38" t="s">
        <v>25109</v>
      </c>
      <c r="D216" s="38" t="s">
        <v>25061</v>
      </c>
      <c r="E216" s="38" t="s">
        <v>25576</v>
      </c>
      <c r="F216" s="38"/>
      <c r="G216" s="28" t="s">
        <v>19229</v>
      </c>
      <c r="H216" s="28" t="s">
        <v>19240</v>
      </c>
      <c r="I216" s="30">
        <v>45017</v>
      </c>
      <c r="J216" s="30">
        <v>45025</v>
      </c>
      <c r="K216" s="28">
        <v>10</v>
      </c>
      <c r="L216" s="29"/>
      <c r="M216" s="27" t="s">
        <v>24991</v>
      </c>
    </row>
    <row r="217" spans="1:13" s="27" customFormat="1" ht="17.25" customHeight="1" x14ac:dyDescent="0.25">
      <c r="A217" s="28" t="s">
        <v>2</v>
      </c>
      <c r="B217" s="28">
        <v>1003339120</v>
      </c>
      <c r="C217" s="38" t="s">
        <v>25406</v>
      </c>
      <c r="D217" s="38" t="s">
        <v>25407</v>
      </c>
      <c r="E217" s="38" t="s">
        <v>25408</v>
      </c>
      <c r="F217" s="38" t="s">
        <v>25028</v>
      </c>
      <c r="G217" s="28" t="s">
        <v>19285</v>
      </c>
      <c r="H217" s="28" t="s">
        <v>19240</v>
      </c>
      <c r="I217" s="30">
        <v>45019</v>
      </c>
      <c r="J217" s="30">
        <v>45026</v>
      </c>
      <c r="K217" s="28">
        <v>8</v>
      </c>
      <c r="L217" s="29"/>
      <c r="M217" s="27" t="s">
        <v>24991</v>
      </c>
    </row>
    <row r="218" spans="1:13" s="27" customFormat="1" ht="17.25" customHeight="1" x14ac:dyDescent="0.25">
      <c r="A218" s="28" t="s">
        <v>3</v>
      </c>
      <c r="B218" s="28">
        <v>1035870964</v>
      </c>
      <c r="C218" s="38" t="s">
        <v>25224</v>
      </c>
      <c r="D218" s="38" t="s">
        <v>25126</v>
      </c>
      <c r="E218" s="38" t="s">
        <v>25524</v>
      </c>
      <c r="F218" s="38" t="s">
        <v>25089</v>
      </c>
      <c r="G218" s="28" t="s">
        <v>19229</v>
      </c>
      <c r="H218" s="28" t="s">
        <v>19238</v>
      </c>
      <c r="I218" s="30">
        <v>45021</v>
      </c>
      <c r="J218" s="30">
        <v>45035</v>
      </c>
      <c r="K218" s="28">
        <v>15</v>
      </c>
      <c r="L218" s="29"/>
      <c r="M218" s="27" t="s">
        <v>19257</v>
      </c>
    </row>
    <row r="219" spans="1:13" s="27" customFormat="1" ht="17.25" customHeight="1" x14ac:dyDescent="0.25">
      <c r="A219" s="28" t="s">
        <v>3</v>
      </c>
      <c r="B219" s="28">
        <v>71763392</v>
      </c>
      <c r="C219" s="38" t="s">
        <v>25006</v>
      </c>
      <c r="D219" s="38" t="s">
        <v>25177</v>
      </c>
      <c r="E219" s="38" t="s">
        <v>24986</v>
      </c>
      <c r="F219" s="38"/>
      <c r="G219" s="28" t="s">
        <v>19229</v>
      </c>
      <c r="H219" s="28" t="s">
        <v>19238</v>
      </c>
      <c r="I219" s="30">
        <v>45024</v>
      </c>
      <c r="J219" s="30">
        <v>45031</v>
      </c>
      <c r="K219" s="28">
        <v>8</v>
      </c>
      <c r="L219" s="29"/>
      <c r="M219" s="27" t="s">
        <v>19257</v>
      </c>
    </row>
    <row r="220" spans="1:13" s="27" customFormat="1" ht="17.25" customHeight="1" x14ac:dyDescent="0.25">
      <c r="A220" s="28" t="s">
        <v>3</v>
      </c>
      <c r="B220" s="28">
        <v>1100622217</v>
      </c>
      <c r="C220" s="28" t="s">
        <v>25649</v>
      </c>
      <c r="D220" s="28" t="s">
        <v>25257</v>
      </c>
      <c r="E220" s="28" t="s">
        <v>25188</v>
      </c>
      <c r="F220" s="28" t="s">
        <v>25177</v>
      </c>
      <c r="G220" s="28" t="s">
        <v>19229</v>
      </c>
      <c r="H220" s="28" t="s">
        <v>19240</v>
      </c>
      <c r="I220" s="30">
        <v>45024</v>
      </c>
      <c r="J220" s="30">
        <v>45026</v>
      </c>
      <c r="K220" s="28">
        <v>3</v>
      </c>
      <c r="L220" s="29"/>
      <c r="M220" s="27" t="s">
        <v>24991</v>
      </c>
    </row>
    <row r="221" spans="1:13" s="27" customFormat="1" ht="17.25" customHeight="1" x14ac:dyDescent="0.25">
      <c r="A221" s="28" t="s">
        <v>3</v>
      </c>
      <c r="B221" s="28">
        <v>1018374117</v>
      </c>
      <c r="C221" s="38" t="s">
        <v>25127</v>
      </c>
      <c r="D221" s="38"/>
      <c r="E221" s="38" t="s">
        <v>25455</v>
      </c>
      <c r="F221" s="38" t="s">
        <v>25051</v>
      </c>
      <c r="G221" s="28" t="s">
        <v>19229</v>
      </c>
      <c r="H221" s="28" t="s">
        <v>19238</v>
      </c>
      <c r="I221" s="30">
        <v>45025</v>
      </c>
      <c r="J221" s="30">
        <v>45032</v>
      </c>
      <c r="K221" s="28">
        <v>8</v>
      </c>
      <c r="L221" s="29"/>
      <c r="M221" s="27" t="s">
        <v>19257</v>
      </c>
    </row>
    <row r="222" spans="1:13" s="27" customFormat="1" ht="17.25" customHeight="1" x14ac:dyDescent="0.25">
      <c r="A222" s="28" t="s">
        <v>3</v>
      </c>
      <c r="B222" s="28">
        <v>11936325</v>
      </c>
      <c r="C222" s="38" t="s">
        <v>25105</v>
      </c>
      <c r="D222" s="38" t="s">
        <v>25343</v>
      </c>
      <c r="E222" s="38" t="s">
        <v>25183</v>
      </c>
      <c r="F222" s="38" t="s">
        <v>25185</v>
      </c>
      <c r="G222" s="28" t="s">
        <v>19229</v>
      </c>
      <c r="H222" s="28" t="s">
        <v>19238</v>
      </c>
      <c r="I222" s="30">
        <v>45025</v>
      </c>
      <c r="J222" s="30">
        <v>45032</v>
      </c>
      <c r="K222" s="28">
        <v>8</v>
      </c>
      <c r="L222" s="29"/>
      <c r="M222" s="27" t="s">
        <v>19257</v>
      </c>
    </row>
    <row r="223" spans="1:13" s="27" customFormat="1" ht="17.25" customHeight="1" x14ac:dyDescent="0.25">
      <c r="A223" s="28" t="s">
        <v>3</v>
      </c>
      <c r="B223" s="28">
        <v>8472629</v>
      </c>
      <c r="C223" s="38" t="s">
        <v>25247</v>
      </c>
      <c r="D223" s="38" t="s">
        <v>25085</v>
      </c>
      <c r="E223" s="38" t="s">
        <v>25448</v>
      </c>
      <c r="F223" s="38" t="s">
        <v>24982</v>
      </c>
      <c r="G223" s="28" t="s">
        <v>19285</v>
      </c>
      <c r="H223" s="28" t="s">
        <v>19239</v>
      </c>
      <c r="I223" s="30">
        <v>45026</v>
      </c>
      <c r="J223" s="30">
        <v>45026</v>
      </c>
      <c r="K223" s="28">
        <v>1</v>
      </c>
      <c r="L223" s="29">
        <v>6</v>
      </c>
      <c r="M223" s="27" t="s">
        <v>25036</v>
      </c>
    </row>
    <row r="224" spans="1:13" s="27" customFormat="1" ht="17.25" customHeight="1" x14ac:dyDescent="0.25">
      <c r="A224" s="28" t="s">
        <v>3</v>
      </c>
      <c r="B224" s="28">
        <v>1003092249</v>
      </c>
      <c r="C224" s="38" t="s">
        <v>25533</v>
      </c>
      <c r="D224" s="38" t="s">
        <v>25534</v>
      </c>
      <c r="E224" s="38" t="s">
        <v>25089</v>
      </c>
      <c r="F224" s="38" t="s">
        <v>25430</v>
      </c>
      <c r="G224" s="28" t="s">
        <v>19285</v>
      </c>
      <c r="H224" s="28" t="s">
        <v>19239</v>
      </c>
      <c r="I224" s="50">
        <v>45026</v>
      </c>
      <c r="J224" s="50">
        <v>45026</v>
      </c>
      <c r="K224" s="52">
        <v>1</v>
      </c>
      <c r="L224" s="29">
        <v>20</v>
      </c>
      <c r="M224" s="27" t="s">
        <v>25036</v>
      </c>
    </row>
    <row r="225" spans="1:13" s="27" customFormat="1" ht="17.25" customHeight="1" x14ac:dyDescent="0.25">
      <c r="A225" s="28" t="s">
        <v>3</v>
      </c>
      <c r="B225" s="28">
        <v>6275085</v>
      </c>
      <c r="C225" s="38" t="s">
        <v>25403</v>
      </c>
      <c r="D225" s="38" t="s">
        <v>25450</v>
      </c>
      <c r="E225" s="38" t="s">
        <v>25208</v>
      </c>
      <c r="F225" s="38" t="s">
        <v>25135</v>
      </c>
      <c r="G225" s="28" t="s">
        <v>19285</v>
      </c>
      <c r="H225" s="28" t="s">
        <v>19239</v>
      </c>
      <c r="I225" s="30">
        <v>45026</v>
      </c>
      <c r="J225" s="30">
        <v>45026</v>
      </c>
      <c r="K225" s="28">
        <v>1</v>
      </c>
      <c r="L225" s="29">
        <v>6</v>
      </c>
      <c r="M225" s="27" t="s">
        <v>25036</v>
      </c>
    </row>
    <row r="226" spans="1:13" s="27" customFormat="1" ht="17.25" customHeight="1" x14ac:dyDescent="0.25">
      <c r="A226" s="28" t="s">
        <v>3</v>
      </c>
      <c r="B226" s="28">
        <v>1080932097</v>
      </c>
      <c r="C226" s="28" t="s">
        <v>25109</v>
      </c>
      <c r="D226" s="28" t="s">
        <v>25061</v>
      </c>
      <c r="E226" s="28" t="s">
        <v>25576</v>
      </c>
      <c r="F226" s="53"/>
      <c r="G226" s="28" t="s">
        <v>19229</v>
      </c>
      <c r="H226" s="28" t="s">
        <v>19238</v>
      </c>
      <c r="I226" s="50">
        <v>45026</v>
      </c>
      <c r="J226" s="50">
        <v>45040</v>
      </c>
      <c r="K226" s="52">
        <v>15</v>
      </c>
      <c r="L226" s="29"/>
      <c r="M226" s="27" t="s">
        <v>19257</v>
      </c>
    </row>
    <row r="227" spans="1:13" s="27" customFormat="1" ht="17.25" customHeight="1" x14ac:dyDescent="0.25">
      <c r="A227" s="28" t="s">
        <v>3</v>
      </c>
      <c r="B227" s="28">
        <v>15433339</v>
      </c>
      <c r="C227" s="38" t="s">
        <v>25108</v>
      </c>
      <c r="D227" s="38" t="s">
        <v>25443</v>
      </c>
      <c r="E227" s="38" t="s">
        <v>25099</v>
      </c>
      <c r="F227" s="38" t="s">
        <v>25512</v>
      </c>
      <c r="G227" s="28" t="s">
        <v>19229</v>
      </c>
      <c r="H227" s="28" t="s">
        <v>19238</v>
      </c>
      <c r="I227" s="30">
        <v>45026</v>
      </c>
      <c r="J227" s="30">
        <v>45041</v>
      </c>
      <c r="K227" s="28">
        <v>16</v>
      </c>
      <c r="L227" s="29"/>
      <c r="M227" s="27" t="s">
        <v>19257</v>
      </c>
    </row>
    <row r="228" spans="1:13" s="27" customFormat="1" ht="17.25" customHeight="1" x14ac:dyDescent="0.25">
      <c r="A228" s="28" t="s">
        <v>3</v>
      </c>
      <c r="B228" s="28">
        <v>1020452896</v>
      </c>
      <c r="C228" s="38" t="s">
        <v>25114</v>
      </c>
      <c r="D228" s="38" t="s">
        <v>25115</v>
      </c>
      <c r="E228" s="38" t="s">
        <v>25116</v>
      </c>
      <c r="F228" s="38" t="s">
        <v>25010</v>
      </c>
      <c r="G228" s="28" t="s">
        <v>19229</v>
      </c>
      <c r="H228" s="28" t="s">
        <v>19238</v>
      </c>
      <c r="I228" s="30">
        <v>45026</v>
      </c>
      <c r="J228" s="30">
        <v>45040</v>
      </c>
      <c r="K228" s="28">
        <v>15</v>
      </c>
      <c r="L228" s="29"/>
      <c r="M228" s="27" t="s">
        <v>19257</v>
      </c>
    </row>
    <row r="229" spans="1:13" s="27" customFormat="1" ht="17.25" customHeight="1" x14ac:dyDescent="0.25">
      <c r="A229" s="28" t="s">
        <v>3</v>
      </c>
      <c r="B229" s="28">
        <v>71393487</v>
      </c>
      <c r="C229" s="38" t="s">
        <v>25174</v>
      </c>
      <c r="D229" s="38" t="s">
        <v>25572</v>
      </c>
      <c r="E229" s="38" t="s">
        <v>25573</v>
      </c>
      <c r="F229" s="38" t="s">
        <v>25574</v>
      </c>
      <c r="G229" s="28" t="s">
        <v>19285</v>
      </c>
      <c r="H229" s="28" t="s">
        <v>19239</v>
      </c>
      <c r="I229" s="30">
        <v>45027</v>
      </c>
      <c r="J229" s="30">
        <v>45027</v>
      </c>
      <c r="K229" s="28">
        <v>1</v>
      </c>
      <c r="L229" s="29">
        <v>4</v>
      </c>
      <c r="M229" s="27" t="s">
        <v>25036</v>
      </c>
    </row>
    <row r="230" spans="1:13" s="27" customFormat="1" ht="17.25" customHeight="1" x14ac:dyDescent="0.25">
      <c r="A230" s="28" t="s">
        <v>3</v>
      </c>
      <c r="B230" s="28">
        <v>71694302</v>
      </c>
      <c r="C230" s="38" t="s">
        <v>25432</v>
      </c>
      <c r="D230" s="38" t="s">
        <v>25181</v>
      </c>
      <c r="E230" s="38" t="s">
        <v>25134</v>
      </c>
      <c r="F230" s="38" t="s">
        <v>25162</v>
      </c>
      <c r="G230" s="28" t="s">
        <v>19229</v>
      </c>
      <c r="H230" s="28" t="s">
        <v>19238</v>
      </c>
      <c r="I230" s="30">
        <v>45027</v>
      </c>
      <c r="J230" s="30">
        <v>45042</v>
      </c>
      <c r="K230" s="28">
        <v>16</v>
      </c>
      <c r="L230" s="29"/>
      <c r="M230" s="27" t="s">
        <v>19257</v>
      </c>
    </row>
    <row r="231" spans="1:13" s="27" customFormat="1" ht="17.25" customHeight="1" x14ac:dyDescent="0.25">
      <c r="A231" s="28" t="s">
        <v>3</v>
      </c>
      <c r="B231" s="28">
        <v>1036392869</v>
      </c>
      <c r="C231" s="38" t="s">
        <v>25164</v>
      </c>
      <c r="D231" s="38" t="s">
        <v>25584</v>
      </c>
      <c r="E231" s="38" t="s">
        <v>19256</v>
      </c>
      <c r="F231" s="38" t="s">
        <v>25405</v>
      </c>
      <c r="G231" s="28" t="s">
        <v>19229</v>
      </c>
      <c r="H231" s="28" t="s">
        <v>19238</v>
      </c>
      <c r="I231" s="30">
        <v>45027</v>
      </c>
      <c r="J231" s="30">
        <v>45041</v>
      </c>
      <c r="K231" s="28">
        <v>15</v>
      </c>
      <c r="L231" s="29"/>
      <c r="M231" s="27" t="s">
        <v>19257</v>
      </c>
    </row>
    <row r="232" spans="1:13" s="27" customFormat="1" ht="17.25" customHeight="1" x14ac:dyDescent="0.25">
      <c r="A232" s="28" t="s">
        <v>3</v>
      </c>
      <c r="B232" s="28">
        <v>1003092249</v>
      </c>
      <c r="C232" s="38" t="s">
        <v>25597</v>
      </c>
      <c r="D232" s="38" t="s">
        <v>25456</v>
      </c>
      <c r="E232" s="38" t="s">
        <v>25089</v>
      </c>
      <c r="F232" s="38" t="s">
        <v>25430</v>
      </c>
      <c r="G232" s="28" t="s">
        <v>19229</v>
      </c>
      <c r="H232" s="28" t="s">
        <v>19238</v>
      </c>
      <c r="I232" s="30">
        <v>45027</v>
      </c>
      <c r="J232" s="30">
        <v>45041</v>
      </c>
      <c r="K232" s="28">
        <v>15</v>
      </c>
      <c r="L232" s="29"/>
      <c r="M232" s="27" t="s">
        <v>19257</v>
      </c>
    </row>
    <row r="233" spans="1:13" s="27" customFormat="1" ht="17.25" customHeight="1" x14ac:dyDescent="0.25">
      <c r="A233" s="28" t="s">
        <v>3</v>
      </c>
      <c r="B233" s="28">
        <v>1003092249</v>
      </c>
      <c r="C233" s="38" t="s">
        <v>25597</v>
      </c>
      <c r="D233" s="38" t="s">
        <v>25456</v>
      </c>
      <c r="E233" s="38" t="s">
        <v>25089</v>
      </c>
      <c r="F233" s="38" t="s">
        <v>25430</v>
      </c>
      <c r="G233" s="28" t="s">
        <v>19229</v>
      </c>
      <c r="H233" s="28" t="s">
        <v>19238</v>
      </c>
      <c r="I233" s="30">
        <v>45027</v>
      </c>
      <c r="J233" s="30">
        <v>45041</v>
      </c>
      <c r="K233" s="28">
        <v>15</v>
      </c>
      <c r="L233" s="29"/>
      <c r="M233" s="27" t="s">
        <v>19257</v>
      </c>
    </row>
    <row r="234" spans="1:13" s="27" customFormat="1" ht="17.25" customHeight="1" x14ac:dyDescent="0.25">
      <c r="A234" s="28" t="s">
        <v>3</v>
      </c>
      <c r="B234" s="28">
        <v>98581564</v>
      </c>
      <c r="C234" s="38" t="s">
        <v>25303</v>
      </c>
      <c r="D234" s="38" t="s">
        <v>25109</v>
      </c>
      <c r="E234" s="38" t="s">
        <v>25650</v>
      </c>
      <c r="F234" s="38" t="s">
        <v>25651</v>
      </c>
      <c r="G234" s="28" t="s">
        <v>19229</v>
      </c>
      <c r="H234" s="28" t="s">
        <v>19238</v>
      </c>
      <c r="I234" s="30">
        <v>45027</v>
      </c>
      <c r="J234" s="30">
        <v>45034</v>
      </c>
      <c r="K234" s="28">
        <v>8</v>
      </c>
      <c r="L234" s="29"/>
      <c r="M234" s="27" t="s">
        <v>19257</v>
      </c>
    </row>
    <row r="235" spans="1:13" s="27" customFormat="1" ht="17.25" customHeight="1" x14ac:dyDescent="0.25">
      <c r="A235" s="28" t="s">
        <v>7</v>
      </c>
      <c r="B235" s="28">
        <v>1036392869</v>
      </c>
      <c r="C235" s="38" t="s">
        <v>25164</v>
      </c>
      <c r="D235" s="38" t="s">
        <v>25584</v>
      </c>
      <c r="E235" s="38" t="s">
        <v>19256</v>
      </c>
      <c r="F235" s="38" t="s">
        <v>25405</v>
      </c>
      <c r="G235" s="28" t="s">
        <v>19229</v>
      </c>
      <c r="H235" s="28" t="s">
        <v>19238</v>
      </c>
      <c r="I235" s="30">
        <v>45027</v>
      </c>
      <c r="J235" s="30">
        <v>45041</v>
      </c>
      <c r="K235" s="51">
        <v>15</v>
      </c>
      <c r="L235" s="29"/>
      <c r="M235" s="27" t="s">
        <v>19257</v>
      </c>
    </row>
    <row r="236" spans="1:13" s="27" customFormat="1" ht="17.25" customHeight="1" x14ac:dyDescent="0.25">
      <c r="A236" s="28" t="s">
        <v>3</v>
      </c>
      <c r="B236" s="28">
        <v>98663441</v>
      </c>
      <c r="C236" s="38" t="s">
        <v>25225</v>
      </c>
      <c r="D236" s="38" t="s">
        <v>25575</v>
      </c>
      <c r="E236" s="38" t="s">
        <v>25255</v>
      </c>
      <c r="F236" s="38" t="s">
        <v>25227</v>
      </c>
      <c r="G236" s="28" t="s">
        <v>19229</v>
      </c>
      <c r="H236" s="28" t="s">
        <v>19239</v>
      </c>
      <c r="I236" s="30">
        <v>45028</v>
      </c>
      <c r="J236" s="30">
        <v>45032</v>
      </c>
      <c r="K236" s="28">
        <v>5</v>
      </c>
      <c r="L236" s="29">
        <v>22</v>
      </c>
      <c r="M236" s="27" t="s">
        <v>25036</v>
      </c>
    </row>
    <row r="237" spans="1:13" s="27" customFormat="1" ht="17.25" customHeight="1" x14ac:dyDescent="0.25">
      <c r="A237" s="28" t="s">
        <v>3</v>
      </c>
      <c r="B237" s="28">
        <v>98478263</v>
      </c>
      <c r="C237" s="38" t="s">
        <v>25593</v>
      </c>
      <c r="D237" s="38" t="s">
        <v>25594</v>
      </c>
      <c r="E237" s="38" t="s">
        <v>19256</v>
      </c>
      <c r="F237" s="38" t="s">
        <v>25005</v>
      </c>
      <c r="G237" s="28" t="s">
        <v>19229</v>
      </c>
      <c r="H237" s="28" t="s">
        <v>19238</v>
      </c>
      <c r="I237" s="30">
        <v>45028</v>
      </c>
      <c r="J237" s="30">
        <v>45042</v>
      </c>
      <c r="K237" s="28">
        <v>15</v>
      </c>
      <c r="L237" s="29"/>
      <c r="M237" s="27" t="s">
        <v>19257</v>
      </c>
    </row>
    <row r="238" spans="1:13" s="27" customFormat="1" ht="17.25" customHeight="1" x14ac:dyDescent="0.25">
      <c r="A238" s="28" t="s">
        <v>3</v>
      </c>
      <c r="B238" s="28">
        <v>98478263</v>
      </c>
      <c r="C238" s="38" t="s">
        <v>25593</v>
      </c>
      <c r="D238" s="38" t="s">
        <v>25594</v>
      </c>
      <c r="E238" s="38" t="s">
        <v>19256</v>
      </c>
      <c r="F238" s="38" t="s">
        <v>25005</v>
      </c>
      <c r="G238" s="28" t="s">
        <v>19229</v>
      </c>
      <c r="H238" s="28" t="s">
        <v>19238</v>
      </c>
      <c r="I238" s="30">
        <v>45028</v>
      </c>
      <c r="J238" s="30">
        <v>45042</v>
      </c>
      <c r="K238" s="28">
        <v>15</v>
      </c>
      <c r="L238" s="29"/>
      <c r="M238" s="27" t="s">
        <v>19257</v>
      </c>
    </row>
    <row r="239" spans="1:13" s="27" customFormat="1" ht="17.25" customHeight="1" x14ac:dyDescent="0.25">
      <c r="A239" s="28" t="s">
        <v>3</v>
      </c>
      <c r="B239" s="28">
        <v>71797878</v>
      </c>
      <c r="C239" s="38" t="s">
        <v>25161</v>
      </c>
      <c r="D239" s="38" t="s">
        <v>25578</v>
      </c>
      <c r="E239" s="38" t="s">
        <v>25579</v>
      </c>
      <c r="F239" s="38" t="s">
        <v>25580</v>
      </c>
      <c r="G239" s="28" t="s">
        <v>19229</v>
      </c>
      <c r="H239" s="28" t="s">
        <v>19238</v>
      </c>
      <c r="I239" s="30">
        <v>45029</v>
      </c>
      <c r="J239" s="30">
        <v>45043</v>
      </c>
      <c r="K239" s="28">
        <v>15</v>
      </c>
      <c r="L239" s="29"/>
      <c r="M239" s="27" t="s">
        <v>19257</v>
      </c>
    </row>
    <row r="240" spans="1:13" s="27" customFormat="1" ht="17.25" customHeight="1" x14ac:dyDescent="0.25">
      <c r="A240" s="28" t="s">
        <v>3</v>
      </c>
      <c r="B240" s="28">
        <v>1045048620</v>
      </c>
      <c r="C240" s="38" t="s">
        <v>25310</v>
      </c>
      <c r="D240" s="38" t="s">
        <v>25310</v>
      </c>
      <c r="E240" s="38" t="s">
        <v>25595</v>
      </c>
      <c r="F240" s="38" t="s">
        <v>25596</v>
      </c>
      <c r="G240" s="28" t="s">
        <v>19229</v>
      </c>
      <c r="H240" s="28" t="s">
        <v>19238</v>
      </c>
      <c r="I240" s="30">
        <v>45029</v>
      </c>
      <c r="J240" s="30">
        <v>45043</v>
      </c>
      <c r="K240" s="28">
        <v>15</v>
      </c>
      <c r="L240" s="29"/>
      <c r="M240" s="27" t="s">
        <v>19257</v>
      </c>
    </row>
    <row r="241" spans="1:13" s="27" customFormat="1" ht="17.25" customHeight="1" x14ac:dyDescent="0.25">
      <c r="A241" s="28" t="s">
        <v>3</v>
      </c>
      <c r="B241" s="28">
        <v>71794185</v>
      </c>
      <c r="C241" s="38" t="s">
        <v>25331</v>
      </c>
      <c r="D241" s="38" t="s">
        <v>25356</v>
      </c>
      <c r="E241" s="38" t="s">
        <v>25056</v>
      </c>
      <c r="F241" s="38" t="s">
        <v>25110</v>
      </c>
      <c r="G241" s="28" t="s">
        <v>19229</v>
      </c>
      <c r="H241" s="28" t="s">
        <v>19238</v>
      </c>
      <c r="I241" s="30">
        <v>45029</v>
      </c>
      <c r="J241" s="30">
        <v>45036</v>
      </c>
      <c r="K241" s="28">
        <v>8</v>
      </c>
      <c r="L241" s="29"/>
      <c r="M241" s="27" t="s">
        <v>19257</v>
      </c>
    </row>
    <row r="242" spans="1:13" s="27" customFormat="1" ht="17.25" customHeight="1" x14ac:dyDescent="0.25">
      <c r="A242" s="28" t="s">
        <v>3</v>
      </c>
      <c r="B242" s="28">
        <v>43709476</v>
      </c>
      <c r="C242" s="38" t="s">
        <v>25023</v>
      </c>
      <c r="D242" s="38" t="s">
        <v>25233</v>
      </c>
      <c r="E242" s="38" t="s">
        <v>25234</v>
      </c>
      <c r="F242" s="38" t="s">
        <v>25235</v>
      </c>
      <c r="G242" s="28" t="s">
        <v>19229</v>
      </c>
      <c r="H242" s="28" t="s">
        <v>19240</v>
      </c>
      <c r="I242" s="30">
        <v>45030</v>
      </c>
      <c r="J242" s="30">
        <v>45030</v>
      </c>
      <c r="K242" s="28">
        <v>1</v>
      </c>
      <c r="L242" s="29"/>
      <c r="M242" s="27" t="s">
        <v>24991</v>
      </c>
    </row>
    <row r="243" spans="1:13" s="27" customFormat="1" ht="17.25" customHeight="1" x14ac:dyDescent="0.25">
      <c r="A243" s="28" t="s">
        <v>3</v>
      </c>
      <c r="B243" s="28">
        <v>1017207367</v>
      </c>
      <c r="C243" s="38" t="s">
        <v>25053</v>
      </c>
      <c r="D243" s="38" t="s">
        <v>25105</v>
      </c>
      <c r="E243" s="38" t="s">
        <v>25135</v>
      </c>
      <c r="F243" s="38"/>
      <c r="G243" s="28" t="s">
        <v>19229</v>
      </c>
      <c r="H243" s="28" t="s">
        <v>19238</v>
      </c>
      <c r="I243" s="30">
        <v>45030</v>
      </c>
      <c r="J243" s="30">
        <v>45044</v>
      </c>
      <c r="K243" s="28">
        <v>15</v>
      </c>
      <c r="L243" s="29"/>
      <c r="M243" s="27" t="s">
        <v>19257</v>
      </c>
    </row>
    <row r="244" spans="1:13" s="27" customFormat="1" ht="17.25" customHeight="1" x14ac:dyDescent="0.25">
      <c r="A244" s="28" t="s">
        <v>3</v>
      </c>
      <c r="B244" s="28">
        <v>3434409</v>
      </c>
      <c r="C244" s="38" t="s">
        <v>25257</v>
      </c>
      <c r="D244" s="38" t="s">
        <v>25175</v>
      </c>
      <c r="E244" s="38" t="s">
        <v>25581</v>
      </c>
      <c r="F244" s="38" t="s">
        <v>25103</v>
      </c>
      <c r="G244" s="28" t="s">
        <v>19229</v>
      </c>
      <c r="H244" s="28" t="s">
        <v>19238</v>
      </c>
      <c r="I244" s="30">
        <v>45031</v>
      </c>
      <c r="J244" s="30">
        <v>45043</v>
      </c>
      <c r="K244" s="28">
        <v>15</v>
      </c>
      <c r="L244" s="29"/>
      <c r="M244" s="27" t="s">
        <v>19257</v>
      </c>
    </row>
    <row r="245" spans="1:13" s="27" customFormat="1" ht="17.25" customHeight="1" x14ac:dyDescent="0.25">
      <c r="A245" s="28" t="s">
        <v>3</v>
      </c>
      <c r="B245" s="28">
        <v>71279405</v>
      </c>
      <c r="C245" s="38" t="s">
        <v>25588</v>
      </c>
      <c r="D245" s="38" t="s">
        <v>25182</v>
      </c>
      <c r="E245" s="38" t="s">
        <v>25033</v>
      </c>
      <c r="F245" s="38" t="s">
        <v>25004</v>
      </c>
      <c r="G245" s="28" t="s">
        <v>19229</v>
      </c>
      <c r="H245" s="28" t="s">
        <v>19238</v>
      </c>
      <c r="I245" s="30">
        <v>45031</v>
      </c>
      <c r="J245" s="30">
        <v>45046</v>
      </c>
      <c r="K245" s="28">
        <v>15</v>
      </c>
      <c r="L245" s="29"/>
      <c r="M245" s="27" t="s">
        <v>19257</v>
      </c>
    </row>
    <row r="246" spans="1:13" s="27" customFormat="1" ht="17.25" customHeight="1" x14ac:dyDescent="0.25">
      <c r="A246" s="28" t="s">
        <v>3</v>
      </c>
      <c r="B246" s="28">
        <v>71279405</v>
      </c>
      <c r="C246" s="38" t="s">
        <v>25588</v>
      </c>
      <c r="D246" s="38" t="s">
        <v>25182</v>
      </c>
      <c r="E246" s="38" t="s">
        <v>25033</v>
      </c>
      <c r="F246" s="38" t="s">
        <v>25004</v>
      </c>
      <c r="G246" s="28" t="s">
        <v>19229</v>
      </c>
      <c r="H246" s="28" t="s">
        <v>19238</v>
      </c>
      <c r="I246" s="30">
        <v>45031</v>
      </c>
      <c r="J246" s="30">
        <v>45046</v>
      </c>
      <c r="K246" s="28">
        <v>15</v>
      </c>
      <c r="L246" s="29"/>
      <c r="M246" s="27" t="s">
        <v>19257</v>
      </c>
    </row>
    <row r="247" spans="1:13" s="27" customFormat="1" ht="17.25" customHeight="1" x14ac:dyDescent="0.25">
      <c r="A247" s="28" t="s">
        <v>3</v>
      </c>
      <c r="B247" s="28">
        <v>71371943</v>
      </c>
      <c r="C247" s="38" t="s">
        <v>25403</v>
      </c>
      <c r="D247" s="38"/>
      <c r="E247" s="38" t="s">
        <v>25545</v>
      </c>
      <c r="F247" s="38" t="s">
        <v>25019</v>
      </c>
      <c r="G247" s="28" t="s">
        <v>19229</v>
      </c>
      <c r="H247" s="28" t="s">
        <v>19240</v>
      </c>
      <c r="I247" s="30">
        <v>45031</v>
      </c>
      <c r="J247" s="30">
        <v>45031</v>
      </c>
      <c r="K247" s="28">
        <v>1</v>
      </c>
      <c r="L247" s="29"/>
      <c r="M247" s="27" t="s">
        <v>24991</v>
      </c>
    </row>
    <row r="248" spans="1:13" s="27" customFormat="1" ht="17.25" customHeight="1" x14ac:dyDescent="0.25">
      <c r="A248" s="28" t="s">
        <v>3</v>
      </c>
      <c r="B248" s="28">
        <v>11937772</v>
      </c>
      <c r="C248" s="38" t="s">
        <v>25108</v>
      </c>
      <c r="D248" s="38" t="s">
        <v>25108</v>
      </c>
      <c r="E248" s="38" t="s">
        <v>25582</v>
      </c>
      <c r="F248" s="38" t="s">
        <v>25583</v>
      </c>
      <c r="G248" s="28" t="s">
        <v>19229</v>
      </c>
      <c r="H248" s="28" t="s">
        <v>19238</v>
      </c>
      <c r="I248" s="30">
        <v>45032</v>
      </c>
      <c r="J248" s="30">
        <v>45047</v>
      </c>
      <c r="K248" s="28">
        <v>16</v>
      </c>
      <c r="L248" s="29"/>
      <c r="M248" s="27" t="s">
        <v>19257</v>
      </c>
    </row>
    <row r="249" spans="1:13" s="27" customFormat="1" ht="17.25" customHeight="1" x14ac:dyDescent="0.25">
      <c r="A249" s="28" t="s">
        <v>3</v>
      </c>
      <c r="B249" s="28">
        <v>1054544458</v>
      </c>
      <c r="C249" s="38" t="s">
        <v>24998</v>
      </c>
      <c r="D249" s="38" t="s">
        <v>25671</v>
      </c>
      <c r="E249" s="38" t="s">
        <v>25524</v>
      </c>
      <c r="F249" s="38" t="s">
        <v>25672</v>
      </c>
      <c r="G249" s="28" t="s">
        <v>19229</v>
      </c>
      <c r="H249" s="28" t="s">
        <v>19238</v>
      </c>
      <c r="I249" s="30">
        <v>45032</v>
      </c>
      <c r="J249" s="30">
        <v>45046</v>
      </c>
      <c r="K249" s="51">
        <v>15</v>
      </c>
      <c r="L249" s="29"/>
      <c r="M249" s="27" t="s">
        <v>19257</v>
      </c>
    </row>
    <row r="250" spans="1:13" s="27" customFormat="1" ht="17.25" customHeight="1" x14ac:dyDescent="0.25">
      <c r="A250" s="28" t="s">
        <v>3</v>
      </c>
      <c r="B250" s="28">
        <v>1128415686</v>
      </c>
      <c r="C250" s="38" t="s">
        <v>25601</v>
      </c>
      <c r="D250" s="38" t="s">
        <v>25306</v>
      </c>
      <c r="E250" s="38" t="s">
        <v>25095</v>
      </c>
      <c r="F250" s="38" t="s">
        <v>25096</v>
      </c>
      <c r="G250" s="28" t="s">
        <v>19229</v>
      </c>
      <c r="H250" s="28" t="s">
        <v>19239</v>
      </c>
      <c r="I250" s="30">
        <v>45033</v>
      </c>
      <c r="J250" s="30">
        <v>45035</v>
      </c>
      <c r="K250" s="28">
        <v>3</v>
      </c>
      <c r="L250" s="29">
        <v>6</v>
      </c>
      <c r="M250" s="27" t="s">
        <v>25067</v>
      </c>
    </row>
    <row r="251" spans="1:13" s="27" customFormat="1" ht="17.25" customHeight="1" x14ac:dyDescent="0.25">
      <c r="A251" s="28" t="s">
        <v>3</v>
      </c>
      <c r="B251" s="28">
        <v>4799722</v>
      </c>
      <c r="C251" s="38" t="s">
        <v>25194</v>
      </c>
      <c r="D251" s="38" t="s">
        <v>25602</v>
      </c>
      <c r="E251" s="38" t="s">
        <v>25603</v>
      </c>
      <c r="F251" s="38"/>
      <c r="G251" s="28" t="s">
        <v>19229</v>
      </c>
      <c r="H251" s="28" t="s">
        <v>19239</v>
      </c>
      <c r="I251" s="30">
        <v>45033</v>
      </c>
      <c r="J251" s="30">
        <v>45037</v>
      </c>
      <c r="K251" s="28">
        <v>5</v>
      </c>
      <c r="L251" s="29">
        <v>1</v>
      </c>
      <c r="M251" s="27" t="s">
        <v>25036</v>
      </c>
    </row>
    <row r="252" spans="1:13" s="27" customFormat="1" ht="17.25" customHeight="1" x14ac:dyDescent="0.25">
      <c r="A252" s="28" t="s">
        <v>3</v>
      </c>
      <c r="B252" s="28">
        <v>70729029</v>
      </c>
      <c r="C252" s="38" t="s">
        <v>25652</v>
      </c>
      <c r="D252" s="38" t="s">
        <v>25653</v>
      </c>
      <c r="E252" s="38" t="s">
        <v>25089</v>
      </c>
      <c r="F252" s="38"/>
      <c r="G252" s="28" t="s">
        <v>19229</v>
      </c>
      <c r="H252" s="28" t="s">
        <v>19238</v>
      </c>
      <c r="I252" s="30">
        <v>45033</v>
      </c>
      <c r="J252" s="30">
        <v>45047</v>
      </c>
      <c r="K252" s="28">
        <v>15</v>
      </c>
      <c r="L252" s="29"/>
      <c r="M252" s="27" t="s">
        <v>19257</v>
      </c>
    </row>
    <row r="253" spans="1:13" s="27" customFormat="1" ht="17.25" customHeight="1" x14ac:dyDescent="0.25">
      <c r="A253" s="28" t="s">
        <v>3</v>
      </c>
      <c r="B253" s="28">
        <v>71362693</v>
      </c>
      <c r="C253" s="38" t="s">
        <v>25608</v>
      </c>
      <c r="D253" s="38" t="s">
        <v>25609</v>
      </c>
      <c r="E253" s="38" t="s">
        <v>25610</v>
      </c>
      <c r="F253" s="38"/>
      <c r="G253" s="28" t="s">
        <v>19285</v>
      </c>
      <c r="H253" s="28" t="s">
        <v>19240</v>
      </c>
      <c r="I253" s="30">
        <v>45034</v>
      </c>
      <c r="J253" s="30">
        <v>45034</v>
      </c>
      <c r="K253" s="28">
        <v>1</v>
      </c>
      <c r="L253" s="29"/>
      <c r="M253" s="27" t="s">
        <v>24991</v>
      </c>
    </row>
    <row r="254" spans="1:13" s="27" customFormat="1" ht="17.25" customHeight="1" x14ac:dyDescent="0.25">
      <c r="A254" s="28" t="s">
        <v>3</v>
      </c>
      <c r="B254" s="28">
        <v>18506497</v>
      </c>
      <c r="C254" s="38" t="s">
        <v>25269</v>
      </c>
      <c r="D254" s="38" t="s">
        <v>25658</v>
      </c>
      <c r="E254" s="38" t="s">
        <v>25255</v>
      </c>
      <c r="F254" s="38" t="s">
        <v>25005</v>
      </c>
      <c r="G254" s="28" t="s">
        <v>19229</v>
      </c>
      <c r="H254" s="28" t="s">
        <v>19238</v>
      </c>
      <c r="I254" s="30">
        <v>45034</v>
      </c>
      <c r="J254" s="30">
        <v>45041</v>
      </c>
      <c r="K254" s="28">
        <v>8</v>
      </c>
      <c r="L254" s="29"/>
      <c r="M254" s="27" t="s">
        <v>19257</v>
      </c>
    </row>
    <row r="255" spans="1:13" s="27" customFormat="1" ht="17.25" customHeight="1" x14ac:dyDescent="0.25">
      <c r="A255" s="28" t="s">
        <v>3</v>
      </c>
      <c r="B255" s="28">
        <v>1152711359</v>
      </c>
      <c r="C255" s="38" t="s">
        <v>25147</v>
      </c>
      <c r="D255" s="38" t="s">
        <v>25053</v>
      </c>
      <c r="E255" s="38" t="s">
        <v>25148</v>
      </c>
      <c r="F255" s="38"/>
      <c r="G255" s="28" t="s">
        <v>19285</v>
      </c>
      <c r="H255" s="28" t="s">
        <v>19239</v>
      </c>
      <c r="I255" s="30">
        <v>45035</v>
      </c>
      <c r="J255" s="30">
        <v>45035</v>
      </c>
      <c r="K255" s="28">
        <v>1</v>
      </c>
      <c r="L255" s="29">
        <v>6</v>
      </c>
      <c r="M255" s="27" t="s">
        <v>25036</v>
      </c>
    </row>
    <row r="256" spans="1:13" s="27" customFormat="1" ht="17.25" customHeight="1" x14ac:dyDescent="0.25">
      <c r="A256" s="28" t="s">
        <v>3</v>
      </c>
      <c r="B256" s="28">
        <v>1036392869</v>
      </c>
      <c r="C256" s="38" t="s">
        <v>25164</v>
      </c>
      <c r="D256" s="38" t="s">
        <v>25584</v>
      </c>
      <c r="E256" s="38" t="s">
        <v>19256</v>
      </c>
      <c r="F256" s="38" t="s">
        <v>25405</v>
      </c>
      <c r="G256" s="28" t="s">
        <v>19229</v>
      </c>
      <c r="H256" s="28" t="s">
        <v>19238</v>
      </c>
      <c r="I256" s="30">
        <v>45035</v>
      </c>
      <c r="J256" s="30">
        <v>45049</v>
      </c>
      <c r="K256" s="28">
        <v>15</v>
      </c>
      <c r="L256" s="29"/>
      <c r="M256" s="27" t="s">
        <v>19257</v>
      </c>
    </row>
    <row r="257" spans="1:13" s="27" customFormat="1" ht="17.25" customHeight="1" x14ac:dyDescent="0.25">
      <c r="A257" s="28" t="s">
        <v>3</v>
      </c>
      <c r="B257" s="28">
        <v>1064998452</v>
      </c>
      <c r="C257" s="38" t="s">
        <v>25369</v>
      </c>
      <c r="D257" s="38" t="s">
        <v>25393</v>
      </c>
      <c r="E257" s="38" t="s">
        <v>25442</v>
      </c>
      <c r="F257" s="38" t="s">
        <v>25010</v>
      </c>
      <c r="G257" s="28" t="s">
        <v>19229</v>
      </c>
      <c r="H257" s="28" t="s">
        <v>19238</v>
      </c>
      <c r="I257" s="30">
        <v>45035</v>
      </c>
      <c r="J257" s="30">
        <v>45042</v>
      </c>
      <c r="K257" s="28">
        <v>8</v>
      </c>
      <c r="L257" s="29"/>
      <c r="M257" s="27" t="s">
        <v>19257</v>
      </c>
    </row>
    <row r="258" spans="1:13" s="27" customFormat="1" ht="17.25" customHeight="1" x14ac:dyDescent="0.25">
      <c r="A258" s="28" t="s">
        <v>3</v>
      </c>
      <c r="B258" s="28">
        <v>1069713482</v>
      </c>
      <c r="C258" s="38" t="s">
        <v>25587</v>
      </c>
      <c r="D258" s="38" t="s">
        <v>25109</v>
      </c>
      <c r="E258" s="38" t="s">
        <v>25096</v>
      </c>
      <c r="F258" s="38"/>
      <c r="G258" s="28" t="s">
        <v>19229</v>
      </c>
      <c r="H258" s="28" t="s">
        <v>19238</v>
      </c>
      <c r="I258" s="30">
        <v>45036</v>
      </c>
      <c r="J258" s="30">
        <v>45050</v>
      </c>
      <c r="K258" s="28">
        <v>15</v>
      </c>
      <c r="L258" s="29"/>
      <c r="M258" s="27" t="s">
        <v>19257</v>
      </c>
    </row>
    <row r="259" spans="1:13" s="27" customFormat="1" x14ac:dyDescent="0.25">
      <c r="A259" s="28" t="s">
        <v>3</v>
      </c>
      <c r="B259" s="28">
        <v>1069713482</v>
      </c>
      <c r="C259" s="38" t="s">
        <v>25587</v>
      </c>
      <c r="D259" s="38" t="s">
        <v>25109</v>
      </c>
      <c r="E259" s="38" t="s">
        <v>25096</v>
      </c>
      <c r="F259" s="38"/>
      <c r="G259" s="28" t="s">
        <v>19229</v>
      </c>
      <c r="H259" s="28" t="s">
        <v>19238</v>
      </c>
      <c r="I259" s="30">
        <v>45036</v>
      </c>
      <c r="J259" s="30">
        <v>45050</v>
      </c>
      <c r="K259" s="28">
        <v>15</v>
      </c>
      <c r="L259" s="29"/>
      <c r="M259" s="27" t="s">
        <v>19257</v>
      </c>
    </row>
    <row r="260" spans="1:13" s="27" customFormat="1" ht="17.25" customHeight="1" x14ac:dyDescent="0.25">
      <c r="A260" s="28" t="s">
        <v>3</v>
      </c>
      <c r="B260" s="28">
        <v>1073969817</v>
      </c>
      <c r="C260" s="38" t="s">
        <v>25654</v>
      </c>
      <c r="D260" s="38" t="s">
        <v>25655</v>
      </c>
      <c r="E260" s="38" t="s">
        <v>25059</v>
      </c>
      <c r="F260" s="38" t="s">
        <v>25193</v>
      </c>
      <c r="G260" s="28" t="s">
        <v>19229</v>
      </c>
      <c r="H260" s="28" t="s">
        <v>19240</v>
      </c>
      <c r="I260" s="30">
        <v>45036</v>
      </c>
      <c r="J260" s="30">
        <v>45036</v>
      </c>
      <c r="K260" s="28">
        <v>1</v>
      </c>
      <c r="L260" s="29"/>
      <c r="M260" s="27" t="s">
        <v>24991</v>
      </c>
    </row>
    <row r="261" spans="1:13" s="27" customFormat="1" ht="17.25" customHeight="1" x14ac:dyDescent="0.25">
      <c r="A261" s="28" t="s">
        <v>3</v>
      </c>
      <c r="B261" s="28">
        <v>1146436431</v>
      </c>
      <c r="C261" s="38" t="s">
        <v>25440</v>
      </c>
      <c r="D261" s="38" t="s">
        <v>25003</v>
      </c>
      <c r="E261" s="38" t="s">
        <v>25613</v>
      </c>
      <c r="F261" s="38" t="s">
        <v>25651</v>
      </c>
      <c r="G261" s="28" t="s">
        <v>19229</v>
      </c>
      <c r="H261" s="28" t="s">
        <v>19240</v>
      </c>
      <c r="I261" s="30">
        <v>45036</v>
      </c>
      <c r="J261" s="30">
        <v>45036</v>
      </c>
      <c r="K261" s="28">
        <v>1</v>
      </c>
      <c r="L261" s="29"/>
      <c r="M261" s="27" t="s">
        <v>24991</v>
      </c>
    </row>
    <row r="262" spans="1:13" s="27" customFormat="1" ht="17.25" customHeight="1" x14ac:dyDescent="0.25">
      <c r="A262" s="28" t="s">
        <v>3</v>
      </c>
      <c r="B262" s="28">
        <v>43268110</v>
      </c>
      <c r="C262" s="38" t="s">
        <v>25492</v>
      </c>
      <c r="D262" s="38" t="s">
        <v>25269</v>
      </c>
      <c r="E262" s="38" t="s">
        <v>25231</v>
      </c>
      <c r="F262" s="38" t="s">
        <v>25657</v>
      </c>
      <c r="G262" s="28" t="s">
        <v>19229</v>
      </c>
      <c r="H262" s="28" t="s">
        <v>19238</v>
      </c>
      <c r="I262" s="30">
        <v>45036</v>
      </c>
      <c r="J262" s="30">
        <v>45050</v>
      </c>
      <c r="K262" s="28">
        <v>15</v>
      </c>
      <c r="L262" s="29"/>
      <c r="M262" s="27" t="s">
        <v>19257</v>
      </c>
    </row>
    <row r="263" spans="1:13" s="27" customFormat="1" ht="17.25" customHeight="1" x14ac:dyDescent="0.25">
      <c r="A263" s="28" t="s">
        <v>3</v>
      </c>
      <c r="B263" s="28">
        <v>1069713482</v>
      </c>
      <c r="C263" s="38" t="s">
        <v>25587</v>
      </c>
      <c r="D263" s="38" t="s">
        <v>25109</v>
      </c>
      <c r="E263" s="38" t="s">
        <v>25096</v>
      </c>
      <c r="F263" s="38"/>
      <c r="G263" s="28" t="s">
        <v>19229</v>
      </c>
      <c r="H263" s="28" t="s">
        <v>19238</v>
      </c>
      <c r="I263" s="30">
        <v>45036</v>
      </c>
      <c r="J263" s="30">
        <v>45051</v>
      </c>
      <c r="K263" s="28">
        <v>15</v>
      </c>
      <c r="L263" s="29"/>
      <c r="M263" s="27" t="s">
        <v>19257</v>
      </c>
    </row>
    <row r="264" spans="1:13" s="27" customFormat="1" ht="17.25" customHeight="1" x14ac:dyDescent="0.25">
      <c r="A264" s="28" t="s">
        <v>3</v>
      </c>
      <c r="B264" s="28">
        <v>71794185</v>
      </c>
      <c r="C264" s="38" t="s">
        <v>25331</v>
      </c>
      <c r="D264" s="38" t="s">
        <v>25356</v>
      </c>
      <c r="E264" s="38" t="s">
        <v>25056</v>
      </c>
      <c r="F264" s="38" t="s">
        <v>25110</v>
      </c>
      <c r="G264" s="28" t="s">
        <v>19229</v>
      </c>
      <c r="H264" s="28" t="s">
        <v>19238</v>
      </c>
      <c r="I264" s="30">
        <v>45037</v>
      </c>
      <c r="J264" s="30">
        <v>45044</v>
      </c>
      <c r="K264" s="28">
        <v>8</v>
      </c>
      <c r="L264" s="29"/>
      <c r="M264" s="27" t="s">
        <v>19257</v>
      </c>
    </row>
    <row r="265" spans="1:13" s="27" customFormat="1" ht="17.25" customHeight="1" x14ac:dyDescent="0.25">
      <c r="A265" s="28" t="s">
        <v>3</v>
      </c>
      <c r="B265" s="28">
        <v>1017246459</v>
      </c>
      <c r="C265" s="38" t="s">
        <v>25604</v>
      </c>
      <c r="D265" s="38" t="s">
        <v>25008</v>
      </c>
      <c r="E265" s="38" t="s">
        <v>19278</v>
      </c>
      <c r="F265" s="38" t="s">
        <v>25080</v>
      </c>
      <c r="G265" s="28" t="s">
        <v>19285</v>
      </c>
      <c r="H265" s="28" t="s">
        <v>19239</v>
      </c>
      <c r="I265" s="30">
        <v>45038</v>
      </c>
      <c r="J265" s="30">
        <v>45044</v>
      </c>
      <c r="K265" s="28">
        <v>7</v>
      </c>
      <c r="L265" s="29">
        <v>19</v>
      </c>
      <c r="M265" s="27" t="s">
        <v>25036</v>
      </c>
    </row>
    <row r="266" spans="1:13" s="27" customFormat="1" ht="17.25" customHeight="1" x14ac:dyDescent="0.25">
      <c r="A266" s="28" t="s">
        <v>3</v>
      </c>
      <c r="B266" s="28">
        <v>42731660</v>
      </c>
      <c r="C266" s="38" t="s">
        <v>25529</v>
      </c>
      <c r="D266" s="38" t="s">
        <v>25492</v>
      </c>
      <c r="E266" s="38" t="s">
        <v>25611</v>
      </c>
      <c r="F266" s="38" t="s">
        <v>25612</v>
      </c>
      <c r="G266" s="28" t="s">
        <v>19285</v>
      </c>
      <c r="H266" s="28" t="s">
        <v>19240</v>
      </c>
      <c r="I266" s="30">
        <v>45038</v>
      </c>
      <c r="J266" s="30">
        <v>45043</v>
      </c>
      <c r="K266" s="28">
        <v>6</v>
      </c>
      <c r="L266" s="29"/>
      <c r="M266" s="27" t="s">
        <v>24991</v>
      </c>
    </row>
    <row r="267" spans="1:13" s="27" customFormat="1" ht="17.25" customHeight="1" x14ac:dyDescent="0.25">
      <c r="A267" s="28" t="s">
        <v>3</v>
      </c>
      <c r="B267" s="28">
        <v>1152711359</v>
      </c>
      <c r="C267" s="28" t="s">
        <v>25147</v>
      </c>
      <c r="D267" s="28" t="s">
        <v>25053</v>
      </c>
      <c r="E267" s="28" t="s">
        <v>25148</v>
      </c>
      <c r="F267" s="53"/>
      <c r="G267" s="28" t="s">
        <v>19229</v>
      </c>
      <c r="H267" s="28" t="s">
        <v>19240</v>
      </c>
      <c r="I267" s="30">
        <v>45040</v>
      </c>
      <c r="J267" s="30">
        <v>45040</v>
      </c>
      <c r="K267" s="28">
        <v>1</v>
      </c>
      <c r="L267" s="29"/>
      <c r="M267" s="27" t="s">
        <v>24991</v>
      </c>
    </row>
    <row r="268" spans="1:13" s="27" customFormat="1" ht="17.25" customHeight="1" x14ac:dyDescent="0.25">
      <c r="A268" s="28" t="s">
        <v>3</v>
      </c>
      <c r="B268" s="28">
        <v>70414738</v>
      </c>
      <c r="C268" s="38" t="s">
        <v>25463</v>
      </c>
      <c r="D268" s="38"/>
      <c r="E268" s="38" t="s">
        <v>25092</v>
      </c>
      <c r="F268" s="38" t="s">
        <v>25656</v>
      </c>
      <c r="G268" s="28" t="s">
        <v>19229</v>
      </c>
      <c r="H268" s="28" t="s">
        <v>19238</v>
      </c>
      <c r="I268" s="30">
        <v>45040</v>
      </c>
      <c r="J268" s="30">
        <v>45053</v>
      </c>
      <c r="K268" s="28">
        <v>15</v>
      </c>
      <c r="L268" s="29"/>
      <c r="M268" s="27" t="s">
        <v>19257</v>
      </c>
    </row>
    <row r="269" spans="1:13" s="27" customFormat="1" ht="17.25" customHeight="1" x14ac:dyDescent="0.25">
      <c r="A269" s="28" t="s">
        <v>3</v>
      </c>
      <c r="B269" s="28">
        <v>71985350</v>
      </c>
      <c r="C269" s="38" t="s">
        <v>25659</v>
      </c>
      <c r="D269" s="38" t="s">
        <v>24980</v>
      </c>
      <c r="E269" s="38" t="s">
        <v>25660</v>
      </c>
      <c r="F269" s="38"/>
      <c r="G269" s="28" t="s">
        <v>19229</v>
      </c>
      <c r="H269" s="28" t="s">
        <v>19238</v>
      </c>
      <c r="I269" s="30">
        <v>45040</v>
      </c>
      <c r="J269" s="30">
        <v>45054</v>
      </c>
      <c r="K269" s="28">
        <v>15</v>
      </c>
      <c r="L269" s="29"/>
      <c r="M269" s="27" t="s">
        <v>19257</v>
      </c>
    </row>
    <row r="270" spans="1:13" s="27" customFormat="1" ht="17.25" customHeight="1" x14ac:dyDescent="0.25">
      <c r="A270" s="28" t="s">
        <v>3</v>
      </c>
      <c r="B270" s="28">
        <v>70414738</v>
      </c>
      <c r="C270" s="38" t="s">
        <v>25463</v>
      </c>
      <c r="D270" s="38"/>
      <c r="E270" s="38" t="s">
        <v>25092</v>
      </c>
      <c r="F270" s="38" t="s">
        <v>25656</v>
      </c>
      <c r="G270" s="28" t="s">
        <v>19229</v>
      </c>
      <c r="H270" s="28" t="s">
        <v>19238</v>
      </c>
      <c r="I270" s="30">
        <v>45040</v>
      </c>
      <c r="J270" s="30">
        <v>45047</v>
      </c>
      <c r="K270" s="28">
        <v>8</v>
      </c>
      <c r="L270" s="29"/>
      <c r="M270" s="27" t="s">
        <v>19257</v>
      </c>
    </row>
    <row r="271" spans="1:13" s="27" customFormat="1" ht="17.25" customHeight="1" x14ac:dyDescent="0.25">
      <c r="A271" s="28" t="s">
        <v>3</v>
      </c>
      <c r="B271" s="28">
        <v>1040374058</v>
      </c>
      <c r="C271" s="38" t="s">
        <v>25480</v>
      </c>
      <c r="D271" s="38" t="s">
        <v>25481</v>
      </c>
      <c r="E271" s="38" t="s">
        <v>25482</v>
      </c>
      <c r="F271" s="38" t="s">
        <v>25010</v>
      </c>
      <c r="G271" s="28" t="s">
        <v>19285</v>
      </c>
      <c r="H271" s="28" t="s">
        <v>19240</v>
      </c>
      <c r="I271" s="30">
        <v>45041</v>
      </c>
      <c r="J271" s="30">
        <v>45041</v>
      </c>
      <c r="K271" s="28">
        <v>1</v>
      </c>
      <c r="L271" s="29"/>
      <c r="M271" s="27" t="s">
        <v>25431</v>
      </c>
    </row>
    <row r="272" spans="1:13" s="27" customFormat="1" ht="17.25" customHeight="1" x14ac:dyDescent="0.25">
      <c r="A272" s="28" t="s">
        <v>3</v>
      </c>
      <c r="B272" s="28">
        <v>71795865</v>
      </c>
      <c r="C272" s="38" t="s">
        <v>25178</v>
      </c>
      <c r="D272" s="38" t="s">
        <v>19258</v>
      </c>
      <c r="E272" s="38" t="s">
        <v>25342</v>
      </c>
      <c r="F272" s="38"/>
      <c r="G272" s="28" t="s">
        <v>19285</v>
      </c>
      <c r="H272" s="28" t="s">
        <v>19240</v>
      </c>
      <c r="I272" s="30">
        <v>45041</v>
      </c>
      <c r="J272" s="30">
        <v>45041</v>
      </c>
      <c r="K272" s="28">
        <v>1</v>
      </c>
      <c r="L272" s="29"/>
      <c r="M272" s="27" t="s">
        <v>24991</v>
      </c>
    </row>
    <row r="273" spans="1:13" s="27" customFormat="1" ht="17.25" customHeight="1" x14ac:dyDescent="0.25">
      <c r="A273" s="28" t="s">
        <v>3</v>
      </c>
      <c r="B273" s="28">
        <v>1193033633</v>
      </c>
      <c r="C273" s="38" t="s">
        <v>25242</v>
      </c>
      <c r="D273" s="38" t="s">
        <v>25401</v>
      </c>
      <c r="E273" s="38" t="s">
        <v>25188</v>
      </c>
      <c r="F273" s="38" t="s">
        <v>25010</v>
      </c>
      <c r="G273" s="28" t="s">
        <v>19285</v>
      </c>
      <c r="H273" s="28" t="s">
        <v>19239</v>
      </c>
      <c r="I273" s="30">
        <v>45042</v>
      </c>
      <c r="J273" s="30">
        <v>45044</v>
      </c>
      <c r="K273" s="28">
        <v>3</v>
      </c>
      <c r="L273" s="29">
        <v>20</v>
      </c>
      <c r="M273" s="27" t="s">
        <v>25067</v>
      </c>
    </row>
    <row r="274" spans="1:13" s="27" customFormat="1" ht="17.25" customHeight="1" x14ac:dyDescent="0.25">
      <c r="A274" s="28" t="s">
        <v>3</v>
      </c>
      <c r="B274" s="28">
        <v>18506497</v>
      </c>
      <c r="C274" s="38" t="s">
        <v>25269</v>
      </c>
      <c r="D274" s="38" t="s">
        <v>25658</v>
      </c>
      <c r="E274" s="38" t="s">
        <v>25255</v>
      </c>
      <c r="F274" s="38" t="s">
        <v>25005</v>
      </c>
      <c r="G274" s="28" t="s">
        <v>19229</v>
      </c>
      <c r="H274" s="28" t="s">
        <v>19238</v>
      </c>
      <c r="I274" s="30">
        <v>45042</v>
      </c>
      <c r="J274" s="30">
        <v>45049</v>
      </c>
      <c r="K274" s="28">
        <v>8</v>
      </c>
      <c r="L274" s="29"/>
      <c r="M274" s="27" t="s">
        <v>19257</v>
      </c>
    </row>
    <row r="275" spans="1:13" s="27" customFormat="1" ht="17.25" customHeight="1" x14ac:dyDescent="0.25">
      <c r="A275" s="28" t="s">
        <v>3</v>
      </c>
      <c r="B275" s="28">
        <v>71612312</v>
      </c>
      <c r="C275" s="38" t="s">
        <v>25661</v>
      </c>
      <c r="D275" s="38" t="s">
        <v>25535</v>
      </c>
      <c r="E275" s="38" t="s">
        <v>25131</v>
      </c>
      <c r="F275" s="38" t="s">
        <v>25548</v>
      </c>
      <c r="G275" s="28" t="s">
        <v>19229</v>
      </c>
      <c r="H275" s="28" t="s">
        <v>19238</v>
      </c>
      <c r="I275" s="30">
        <v>45042</v>
      </c>
      <c r="J275" s="30">
        <v>45019</v>
      </c>
      <c r="K275" s="28">
        <v>8</v>
      </c>
      <c r="L275" s="29"/>
      <c r="M275" s="27" t="s">
        <v>19257</v>
      </c>
    </row>
    <row r="276" spans="1:13" s="27" customFormat="1" ht="17.25" customHeight="1" x14ac:dyDescent="0.25">
      <c r="A276" s="28" t="s">
        <v>3</v>
      </c>
      <c r="B276" s="28">
        <v>1001852446</v>
      </c>
      <c r="C276" s="38" t="s">
        <v>25616</v>
      </c>
      <c r="D276" s="38" t="s">
        <v>25617</v>
      </c>
      <c r="E276" s="38" t="s">
        <v>25618</v>
      </c>
      <c r="F276" s="38" t="s">
        <v>25434</v>
      </c>
      <c r="G276" s="28" t="s">
        <v>19229</v>
      </c>
      <c r="H276" s="28" t="s">
        <v>19239</v>
      </c>
      <c r="I276" s="30">
        <v>45043</v>
      </c>
      <c r="J276" s="30">
        <v>45045</v>
      </c>
      <c r="K276" s="28">
        <v>3</v>
      </c>
      <c r="L276" s="29">
        <v>24</v>
      </c>
      <c r="M276" s="27" t="s">
        <v>25036</v>
      </c>
    </row>
    <row r="277" spans="1:13" s="27" customFormat="1" ht="17.25" customHeight="1" x14ac:dyDescent="0.25">
      <c r="A277" s="28" t="s">
        <v>3</v>
      </c>
      <c r="B277" s="28">
        <v>1064998452</v>
      </c>
      <c r="C277" s="38" t="s">
        <v>25369</v>
      </c>
      <c r="D277" s="38" t="s">
        <v>25393</v>
      </c>
      <c r="E277" s="38" t="s">
        <v>25442</v>
      </c>
      <c r="F277" s="38" t="s">
        <v>25010</v>
      </c>
      <c r="G277" s="28" t="s">
        <v>19229</v>
      </c>
      <c r="H277" s="28" t="s">
        <v>19238</v>
      </c>
      <c r="I277" s="30">
        <v>45043</v>
      </c>
      <c r="J277" s="30">
        <v>45050</v>
      </c>
      <c r="K277" s="28">
        <v>8</v>
      </c>
      <c r="L277" s="29"/>
      <c r="M277" s="27" t="s">
        <v>19257</v>
      </c>
    </row>
    <row r="278" spans="1:13" s="27" customFormat="1" ht="17.25" customHeight="1" x14ac:dyDescent="0.25">
      <c r="A278" s="28" t="s">
        <v>3</v>
      </c>
      <c r="B278" s="28">
        <v>71664318</v>
      </c>
      <c r="C278" s="38" t="s">
        <v>25549</v>
      </c>
      <c r="D278" s="38" t="s">
        <v>25456</v>
      </c>
      <c r="E278" s="38" t="s">
        <v>25282</v>
      </c>
      <c r="F278" s="38" t="s">
        <v>25056</v>
      </c>
      <c r="G278" s="28" t="s">
        <v>19229</v>
      </c>
      <c r="H278" s="28" t="s">
        <v>19238</v>
      </c>
      <c r="I278" s="30">
        <v>45043</v>
      </c>
      <c r="J278" s="30">
        <v>45050</v>
      </c>
      <c r="K278" s="28">
        <v>8</v>
      </c>
      <c r="L278" s="29"/>
      <c r="M278" s="27" t="s">
        <v>19257</v>
      </c>
    </row>
    <row r="279" spans="1:13" s="27" customFormat="1" ht="17.25" customHeight="1" x14ac:dyDescent="0.25">
      <c r="A279" s="28" t="s">
        <v>3</v>
      </c>
      <c r="B279" s="28">
        <v>1152711359</v>
      </c>
      <c r="C279" s="38" t="s">
        <v>25147</v>
      </c>
      <c r="D279" s="38" t="s">
        <v>25053</v>
      </c>
      <c r="E279" s="38" t="s">
        <v>25148</v>
      </c>
      <c r="F279" s="38"/>
      <c r="G279" s="28" t="s">
        <v>19285</v>
      </c>
      <c r="H279" s="28" t="s">
        <v>19239</v>
      </c>
      <c r="I279" s="30">
        <v>45044</v>
      </c>
      <c r="J279" s="30">
        <v>45018</v>
      </c>
      <c r="K279" s="28">
        <v>5</v>
      </c>
      <c r="L279" s="29">
        <v>22</v>
      </c>
      <c r="M279" s="27" t="s">
        <v>25036</v>
      </c>
    </row>
    <row r="280" spans="1:13" s="27" customFormat="1" ht="17.25" customHeight="1" x14ac:dyDescent="0.25">
      <c r="A280" s="28" t="s">
        <v>3</v>
      </c>
      <c r="B280" s="28">
        <v>1003715555</v>
      </c>
      <c r="C280" s="38" t="s">
        <v>25497</v>
      </c>
      <c r="D280" s="38" t="s">
        <v>25111</v>
      </c>
      <c r="E280" s="38" t="s">
        <v>25664</v>
      </c>
      <c r="F280" s="38" t="s">
        <v>25135</v>
      </c>
      <c r="G280" s="28" t="s">
        <v>19229</v>
      </c>
      <c r="H280" s="28" t="s">
        <v>19238</v>
      </c>
      <c r="I280" s="30">
        <v>45044</v>
      </c>
      <c r="J280" s="30">
        <v>45058</v>
      </c>
      <c r="K280" s="28">
        <v>15</v>
      </c>
      <c r="L280" s="29"/>
      <c r="M280" s="27" t="s">
        <v>19257</v>
      </c>
    </row>
    <row r="281" spans="1:13" s="27" customFormat="1" ht="17.25" customHeight="1" x14ac:dyDescent="0.25">
      <c r="A281" s="28" t="s">
        <v>3</v>
      </c>
      <c r="B281" s="28">
        <v>1044100295</v>
      </c>
      <c r="C281" s="38" t="s">
        <v>25164</v>
      </c>
      <c r="D281" s="38" t="s">
        <v>25662</v>
      </c>
      <c r="E281" s="38" t="s">
        <v>25066</v>
      </c>
      <c r="F281" s="38" t="s">
        <v>25110</v>
      </c>
      <c r="G281" s="28" t="s">
        <v>19229</v>
      </c>
      <c r="H281" s="28" t="s">
        <v>19238</v>
      </c>
      <c r="I281" s="30">
        <v>45045</v>
      </c>
      <c r="J281" s="30">
        <v>45059</v>
      </c>
      <c r="K281" s="28">
        <v>15</v>
      </c>
      <c r="L281" s="29"/>
      <c r="M281" s="27" t="s">
        <v>19257</v>
      </c>
    </row>
    <row r="282" spans="1:13" s="27" customFormat="1" ht="17.25" customHeight="1" x14ac:dyDescent="0.25">
      <c r="A282" s="28" t="s">
        <v>3</v>
      </c>
      <c r="B282" s="28">
        <v>71613583</v>
      </c>
      <c r="C282" s="38" t="s">
        <v>25127</v>
      </c>
      <c r="D282" s="38" t="s">
        <v>25065</v>
      </c>
      <c r="E282" s="38" t="s">
        <v>25663</v>
      </c>
      <c r="F282" s="38" t="s">
        <v>25135</v>
      </c>
      <c r="G282" s="28" t="s">
        <v>19229</v>
      </c>
      <c r="H282" s="28" t="s">
        <v>19238</v>
      </c>
      <c r="I282" s="30">
        <v>45045</v>
      </c>
      <c r="J282" s="30">
        <v>45059</v>
      </c>
      <c r="K282" s="51">
        <v>15</v>
      </c>
      <c r="L282" s="29"/>
      <c r="M282" s="27" t="s">
        <v>19257</v>
      </c>
    </row>
    <row r="283" spans="1:13" s="27" customFormat="1" ht="17.25" customHeight="1" x14ac:dyDescent="0.25">
      <c r="A283" s="28" t="s">
        <v>3</v>
      </c>
      <c r="B283" s="28">
        <v>70414738</v>
      </c>
      <c r="C283" s="38" t="s">
        <v>25463</v>
      </c>
      <c r="D283" s="38"/>
      <c r="E283" s="38" t="s">
        <v>25092</v>
      </c>
      <c r="F283" s="38" t="s">
        <v>25656</v>
      </c>
      <c r="G283" s="28" t="s">
        <v>19229</v>
      </c>
      <c r="H283" s="28" t="s">
        <v>19238</v>
      </c>
      <c r="I283" s="30">
        <v>45048</v>
      </c>
      <c r="J283" s="30">
        <v>45055</v>
      </c>
      <c r="K283" s="28">
        <v>8</v>
      </c>
      <c r="L283" s="29"/>
      <c r="M283" s="27" t="s">
        <v>19257</v>
      </c>
    </row>
    <row r="284" spans="1:13" s="27" customFormat="1" ht="17.25" customHeight="1" x14ac:dyDescent="0.25">
      <c r="A284" s="28" t="s">
        <v>25629</v>
      </c>
      <c r="B284" s="28">
        <v>1007470071</v>
      </c>
      <c r="C284" s="38" t="s">
        <v>25094</v>
      </c>
      <c r="D284" s="38" t="s">
        <v>25444</v>
      </c>
      <c r="E284" s="38" t="s">
        <v>25203</v>
      </c>
      <c r="F284" s="38" t="s">
        <v>25005</v>
      </c>
      <c r="G284" s="28" t="s">
        <v>19285</v>
      </c>
      <c r="H284" s="28" t="s">
        <v>19239</v>
      </c>
      <c r="I284" s="30">
        <v>45049</v>
      </c>
      <c r="J284" s="30">
        <v>45053</v>
      </c>
      <c r="K284" s="28">
        <v>5</v>
      </c>
      <c r="L284" s="29">
        <v>1</v>
      </c>
      <c r="M284" s="27" t="s">
        <v>25036</v>
      </c>
    </row>
    <row r="285" spans="1:13" s="27" customFormat="1" ht="17.25" customHeight="1" x14ac:dyDescent="0.25">
      <c r="A285" s="28" t="s">
        <v>25629</v>
      </c>
      <c r="B285" s="28">
        <v>73794420</v>
      </c>
      <c r="C285" s="38" t="s">
        <v>25006</v>
      </c>
      <c r="D285" s="38" t="s">
        <v>25621</v>
      </c>
      <c r="E285" s="38" t="s">
        <v>25622</v>
      </c>
      <c r="F285" s="38" t="s">
        <v>25320</v>
      </c>
      <c r="G285" s="28" t="s">
        <v>19229</v>
      </c>
      <c r="H285" s="28" t="s">
        <v>19239</v>
      </c>
      <c r="I285" s="30">
        <v>45050</v>
      </c>
      <c r="J285" s="30">
        <v>45050</v>
      </c>
      <c r="K285" s="28">
        <v>1</v>
      </c>
      <c r="L285" s="29">
        <v>4</v>
      </c>
      <c r="M285" s="27" t="s">
        <v>25036</v>
      </c>
    </row>
    <row r="286" spans="1:13" s="27" customFormat="1" ht="17.25" customHeight="1" x14ac:dyDescent="0.25">
      <c r="A286" s="28" t="s">
        <v>4</v>
      </c>
      <c r="B286" s="28">
        <v>15386155</v>
      </c>
      <c r="C286" s="38" t="s">
        <v>25635</v>
      </c>
      <c r="D286" s="38" t="s">
        <v>25636</v>
      </c>
      <c r="E286" s="38" t="s">
        <v>25637</v>
      </c>
      <c r="F286" s="38" t="s">
        <v>24982</v>
      </c>
      <c r="G286" s="28" t="s">
        <v>19229</v>
      </c>
      <c r="H286" s="28" t="s">
        <v>19238</v>
      </c>
      <c r="I286" s="30">
        <v>45050</v>
      </c>
      <c r="J286" s="30">
        <v>45064</v>
      </c>
      <c r="K286" s="28">
        <v>15</v>
      </c>
      <c r="L286" s="29"/>
      <c r="M286" s="27" t="s">
        <v>19257</v>
      </c>
    </row>
    <row r="287" spans="1:13" s="27" customFormat="1" ht="17.25" customHeight="1" x14ac:dyDescent="0.25">
      <c r="A287" s="28" t="s">
        <v>4</v>
      </c>
      <c r="B287" s="28">
        <v>1000564417</v>
      </c>
      <c r="C287" s="38" t="s">
        <v>25079</v>
      </c>
      <c r="D287" s="38" t="s">
        <v>25233</v>
      </c>
      <c r="E287" s="38" t="s">
        <v>25665</v>
      </c>
      <c r="F287" s="38"/>
      <c r="G287" s="28" t="s">
        <v>19229</v>
      </c>
      <c r="H287" s="28" t="s">
        <v>19238</v>
      </c>
      <c r="I287" s="30">
        <v>45050</v>
      </c>
      <c r="J287" s="30">
        <v>45064</v>
      </c>
      <c r="K287" s="28">
        <v>15</v>
      </c>
      <c r="L287" s="29"/>
      <c r="M287" s="27" t="s">
        <v>19257</v>
      </c>
    </row>
    <row r="288" spans="1:13" s="27" customFormat="1" ht="17.25" customHeight="1" x14ac:dyDescent="0.25">
      <c r="A288" s="28" t="s">
        <v>4</v>
      </c>
      <c r="B288" s="28">
        <v>1017246459</v>
      </c>
      <c r="C288" s="38" t="s">
        <v>25547</v>
      </c>
      <c r="D288" s="38" t="s">
        <v>25008</v>
      </c>
      <c r="E288" s="38" t="s">
        <v>25255</v>
      </c>
      <c r="F288" s="38" t="s">
        <v>25177</v>
      </c>
      <c r="G288" s="28" t="s">
        <v>19229</v>
      </c>
      <c r="H288" s="28" t="s">
        <v>19238</v>
      </c>
      <c r="I288" s="30">
        <v>45050</v>
      </c>
      <c r="J288" s="30">
        <v>45064</v>
      </c>
      <c r="K288" s="28">
        <v>15</v>
      </c>
      <c r="L288" s="29"/>
      <c r="M288" s="27" t="s">
        <v>19257</v>
      </c>
    </row>
    <row r="289" spans="1:13" s="27" customFormat="1" ht="17.25" customHeight="1" x14ac:dyDescent="0.25">
      <c r="A289" s="28" t="s">
        <v>4</v>
      </c>
      <c r="B289" s="28">
        <v>77027311</v>
      </c>
      <c r="C289" s="38" t="s">
        <v>25480</v>
      </c>
      <c r="D289" s="38" t="s">
        <v>25503</v>
      </c>
      <c r="E289" s="38" t="s">
        <v>25028</v>
      </c>
      <c r="F289" s="38" t="s">
        <v>25213</v>
      </c>
      <c r="G289" s="28" t="s">
        <v>19229</v>
      </c>
      <c r="H289" s="28" t="s">
        <v>19238</v>
      </c>
      <c r="I289" s="30">
        <v>45050</v>
      </c>
      <c r="J289" s="30">
        <v>45064</v>
      </c>
      <c r="K289" s="51">
        <v>15</v>
      </c>
      <c r="L289" s="29"/>
      <c r="M289" s="27" t="s">
        <v>19257</v>
      </c>
    </row>
    <row r="290" spans="1:13" s="27" customFormat="1" ht="17.25" customHeight="1" x14ac:dyDescent="0.25">
      <c r="A290" s="28" t="s">
        <v>4</v>
      </c>
      <c r="B290" s="28">
        <v>15386155</v>
      </c>
      <c r="C290" s="38" t="s">
        <v>25635</v>
      </c>
      <c r="D290" s="38" t="s">
        <v>25636</v>
      </c>
      <c r="E290" s="38" t="s">
        <v>25637</v>
      </c>
      <c r="F290" s="38" t="s">
        <v>24982</v>
      </c>
      <c r="G290" s="28" t="s">
        <v>19229</v>
      </c>
      <c r="H290" s="28" t="s">
        <v>19238</v>
      </c>
      <c r="I290" s="30">
        <v>45050</v>
      </c>
      <c r="J290" s="30">
        <v>45064</v>
      </c>
      <c r="K290" s="51">
        <v>15</v>
      </c>
      <c r="L290" s="29"/>
      <c r="M290" s="27" t="s">
        <v>19257</v>
      </c>
    </row>
    <row r="291" spans="1:13" s="27" customFormat="1" ht="17.25" customHeight="1" x14ac:dyDescent="0.25">
      <c r="A291" s="28" t="s">
        <v>7</v>
      </c>
      <c r="B291" s="28">
        <v>11794362</v>
      </c>
      <c r="C291" s="38" t="s">
        <v>25863</v>
      </c>
      <c r="D291" s="38" t="s">
        <v>25238</v>
      </c>
      <c r="E291" s="38" t="s">
        <v>25864</v>
      </c>
      <c r="F291" s="38"/>
      <c r="G291" s="28" t="s">
        <v>19229</v>
      </c>
      <c r="H291" s="28" t="s">
        <v>19240</v>
      </c>
      <c r="I291" s="30">
        <v>45050</v>
      </c>
      <c r="J291" s="30">
        <v>45143</v>
      </c>
      <c r="K291" s="51">
        <v>2</v>
      </c>
      <c r="L291" s="29"/>
      <c r="M291" s="27" t="s">
        <v>24991</v>
      </c>
    </row>
    <row r="292" spans="1:13" s="27" customFormat="1" ht="17.25" customHeight="1" x14ac:dyDescent="0.25">
      <c r="A292" s="28" t="s">
        <v>4</v>
      </c>
      <c r="B292" s="28">
        <v>3569016</v>
      </c>
      <c r="C292" s="38" t="s">
        <v>25093</v>
      </c>
      <c r="D292" s="38" t="s">
        <v>25128</v>
      </c>
      <c r="E292" s="38" t="s">
        <v>25548</v>
      </c>
      <c r="F292" s="38" t="s">
        <v>25103</v>
      </c>
      <c r="G292" s="28" t="s">
        <v>19229</v>
      </c>
      <c r="H292" s="28" t="s">
        <v>19238</v>
      </c>
      <c r="I292" s="30">
        <v>45051</v>
      </c>
      <c r="J292" s="30">
        <v>45058</v>
      </c>
      <c r="K292" s="51">
        <v>8</v>
      </c>
      <c r="L292" s="29"/>
      <c r="M292" s="27" t="s">
        <v>19257</v>
      </c>
    </row>
    <row r="293" spans="1:13" s="27" customFormat="1" ht="17.25" customHeight="1" x14ac:dyDescent="0.25">
      <c r="A293" s="28" t="s">
        <v>4</v>
      </c>
      <c r="B293" s="28">
        <v>1095906375</v>
      </c>
      <c r="C293" s="38" t="s">
        <v>25117</v>
      </c>
      <c r="D293" s="38" t="s">
        <v>25666</v>
      </c>
      <c r="E293" s="38" t="s">
        <v>25667</v>
      </c>
      <c r="F293" s="38" t="s">
        <v>25596</v>
      </c>
      <c r="G293" s="28" t="s">
        <v>19229</v>
      </c>
      <c r="H293" s="28" t="s">
        <v>19240</v>
      </c>
      <c r="I293" s="30">
        <v>45052</v>
      </c>
      <c r="J293" s="30">
        <v>45053</v>
      </c>
      <c r="K293" s="51">
        <v>2</v>
      </c>
      <c r="L293" s="29"/>
      <c r="M293" s="27" t="s">
        <v>24991</v>
      </c>
    </row>
    <row r="294" spans="1:13" s="27" customFormat="1" ht="17.25" customHeight="1" x14ac:dyDescent="0.25">
      <c r="A294" s="28" t="s">
        <v>4</v>
      </c>
      <c r="B294" s="28">
        <v>8414876</v>
      </c>
      <c r="C294" s="38" t="s">
        <v>25638</v>
      </c>
      <c r="D294" s="38" t="s">
        <v>25639</v>
      </c>
      <c r="E294" s="38" t="s">
        <v>25640</v>
      </c>
      <c r="F294" s="38" t="s">
        <v>25641</v>
      </c>
      <c r="G294" s="28" t="s">
        <v>19229</v>
      </c>
      <c r="H294" s="28" t="s">
        <v>19238</v>
      </c>
      <c r="I294" s="30">
        <v>45053</v>
      </c>
      <c r="J294" s="30">
        <v>45067</v>
      </c>
      <c r="K294" s="28">
        <v>15</v>
      </c>
      <c r="L294" s="29"/>
      <c r="M294" s="27" t="s">
        <v>19257</v>
      </c>
    </row>
    <row r="295" spans="1:13" s="27" customFormat="1" ht="17.25" customHeight="1" x14ac:dyDescent="0.25">
      <c r="A295" s="28" t="s">
        <v>4</v>
      </c>
      <c r="B295" s="28">
        <v>8414876</v>
      </c>
      <c r="C295" s="38" t="s">
        <v>25638</v>
      </c>
      <c r="D295" s="38" t="s">
        <v>25639</v>
      </c>
      <c r="E295" s="38" t="s">
        <v>25640</v>
      </c>
      <c r="F295" s="38" t="s">
        <v>25641</v>
      </c>
      <c r="G295" s="28" t="s">
        <v>19229</v>
      </c>
      <c r="H295" s="28" t="s">
        <v>19238</v>
      </c>
      <c r="I295" s="30">
        <v>45053</v>
      </c>
      <c r="J295" s="30">
        <v>45067</v>
      </c>
      <c r="K295" s="28">
        <v>15</v>
      </c>
      <c r="L295" s="29"/>
      <c r="M295" s="27" t="s">
        <v>19257</v>
      </c>
    </row>
    <row r="296" spans="1:13" s="27" customFormat="1" ht="17.25" customHeight="1" x14ac:dyDescent="0.25">
      <c r="A296" s="28" t="s">
        <v>4</v>
      </c>
      <c r="B296" s="28">
        <v>8414876</v>
      </c>
      <c r="C296" s="38" t="s">
        <v>25638</v>
      </c>
      <c r="D296" s="38" t="s">
        <v>25639</v>
      </c>
      <c r="E296" s="38" t="s">
        <v>25640</v>
      </c>
      <c r="F296" s="38" t="s">
        <v>25641</v>
      </c>
      <c r="G296" s="28" t="s">
        <v>19229</v>
      </c>
      <c r="H296" s="28" t="s">
        <v>19238</v>
      </c>
      <c r="I296" s="30">
        <v>45053</v>
      </c>
      <c r="J296" s="30">
        <v>45067</v>
      </c>
      <c r="K296" s="51">
        <v>15</v>
      </c>
      <c r="L296" s="29"/>
      <c r="M296" s="27" t="s">
        <v>19257</v>
      </c>
    </row>
    <row r="297" spans="1:13" s="27" customFormat="1" ht="17.25" customHeight="1" x14ac:dyDescent="0.25">
      <c r="A297" s="28" t="s">
        <v>25629</v>
      </c>
      <c r="B297" s="28">
        <v>71746792</v>
      </c>
      <c r="C297" s="38" t="s">
        <v>25415</v>
      </c>
      <c r="D297" s="38" t="s">
        <v>25403</v>
      </c>
      <c r="E297" s="38" t="s">
        <v>25623</v>
      </c>
      <c r="F297" s="38" t="s">
        <v>25624</v>
      </c>
      <c r="G297" s="28" t="s">
        <v>19229</v>
      </c>
      <c r="H297" s="28" t="s">
        <v>19239</v>
      </c>
      <c r="I297" s="30">
        <v>45054</v>
      </c>
      <c r="J297" s="30">
        <v>45058</v>
      </c>
      <c r="K297" s="28">
        <v>5</v>
      </c>
      <c r="L297" s="29">
        <v>15</v>
      </c>
      <c r="M297" s="27" t="s">
        <v>25036</v>
      </c>
    </row>
    <row r="298" spans="1:13" s="27" customFormat="1" ht="17.25" customHeight="1" x14ac:dyDescent="0.25">
      <c r="A298" s="28" t="s">
        <v>4</v>
      </c>
      <c r="B298" s="28">
        <v>71769823</v>
      </c>
      <c r="C298" s="38" t="s">
        <v>25498</v>
      </c>
      <c r="D298" s="38" t="s">
        <v>25673</v>
      </c>
      <c r="E298" s="38" t="s">
        <v>25144</v>
      </c>
      <c r="F298" s="38" t="s">
        <v>25064</v>
      </c>
      <c r="G298" s="28" t="s">
        <v>19229</v>
      </c>
      <c r="H298" s="28" t="s">
        <v>19240</v>
      </c>
      <c r="I298" s="30">
        <v>45054</v>
      </c>
      <c r="J298" s="30">
        <v>45054</v>
      </c>
      <c r="K298" s="28">
        <v>1</v>
      </c>
      <c r="L298" s="29"/>
      <c r="M298" s="27" t="s">
        <v>24991</v>
      </c>
    </row>
    <row r="299" spans="1:13" s="27" customFormat="1" ht="17.25" customHeight="1" x14ac:dyDescent="0.25">
      <c r="A299" s="28" t="s">
        <v>4</v>
      </c>
      <c r="B299" s="28">
        <v>71724256</v>
      </c>
      <c r="C299" s="38" t="s">
        <v>25498</v>
      </c>
      <c r="D299" s="38" t="s">
        <v>25456</v>
      </c>
      <c r="E299" s="38" t="s">
        <v>25705</v>
      </c>
      <c r="F299" s="38"/>
      <c r="G299" s="28" t="s">
        <v>19229</v>
      </c>
      <c r="H299" s="28" t="s">
        <v>19238</v>
      </c>
      <c r="I299" s="30">
        <v>45054</v>
      </c>
      <c r="J299" s="30">
        <v>45069</v>
      </c>
      <c r="K299" s="51">
        <v>16</v>
      </c>
      <c r="L299" s="29"/>
      <c r="M299" s="27" t="s">
        <v>19257</v>
      </c>
    </row>
    <row r="300" spans="1:13" s="27" customFormat="1" ht="17.25" customHeight="1" x14ac:dyDescent="0.25">
      <c r="A300" s="28" t="s">
        <v>25629</v>
      </c>
      <c r="B300" s="28">
        <v>43923149</v>
      </c>
      <c r="C300" s="38" t="s">
        <v>25353</v>
      </c>
      <c r="D300" s="38" t="s">
        <v>25303</v>
      </c>
      <c r="E300" s="38" t="s">
        <v>25354</v>
      </c>
      <c r="F300" s="38" t="s">
        <v>25583</v>
      </c>
      <c r="G300" s="28" t="s">
        <v>19285</v>
      </c>
      <c r="H300" s="28" t="s">
        <v>19240</v>
      </c>
      <c r="I300" s="30">
        <v>45055</v>
      </c>
      <c r="J300" s="30">
        <v>45055</v>
      </c>
      <c r="K300" s="28">
        <v>1</v>
      </c>
      <c r="L300" s="29"/>
      <c r="M300" s="27" t="s">
        <v>25431</v>
      </c>
    </row>
    <row r="301" spans="1:13" s="27" customFormat="1" ht="17.25" customHeight="1" x14ac:dyDescent="0.25">
      <c r="A301" s="28" t="s">
        <v>25629</v>
      </c>
      <c r="B301" s="28">
        <v>8364054</v>
      </c>
      <c r="C301" s="38" t="s">
        <v>25044</v>
      </c>
      <c r="D301" s="38" t="s">
        <v>25626</v>
      </c>
      <c r="E301" s="38" t="s">
        <v>25627</v>
      </c>
      <c r="F301" s="38" t="s">
        <v>25099</v>
      </c>
      <c r="G301" s="28" t="s">
        <v>19285</v>
      </c>
      <c r="H301" s="28" t="s">
        <v>19239</v>
      </c>
      <c r="I301" s="30">
        <v>45055</v>
      </c>
      <c r="J301" s="30">
        <v>45055</v>
      </c>
      <c r="K301" s="28">
        <v>1</v>
      </c>
      <c r="L301" s="29">
        <v>6</v>
      </c>
      <c r="M301" s="27" t="s">
        <v>25036</v>
      </c>
    </row>
    <row r="302" spans="1:13" s="27" customFormat="1" ht="17.25" customHeight="1" x14ac:dyDescent="0.25">
      <c r="A302" s="28" t="s">
        <v>4</v>
      </c>
      <c r="B302" s="28">
        <v>1033652466</v>
      </c>
      <c r="C302" s="38" t="s">
        <v>25670</v>
      </c>
      <c r="D302" s="38" t="s">
        <v>25551</v>
      </c>
      <c r="E302" s="38" t="s">
        <v>25028</v>
      </c>
      <c r="F302" s="38" t="s">
        <v>25029</v>
      </c>
      <c r="G302" s="28" t="s">
        <v>19229</v>
      </c>
      <c r="H302" s="28" t="s">
        <v>19238</v>
      </c>
      <c r="I302" s="30">
        <v>45056</v>
      </c>
      <c r="J302" s="30">
        <v>45070</v>
      </c>
      <c r="K302" s="28">
        <v>15</v>
      </c>
      <c r="L302" s="29"/>
      <c r="M302" s="27" t="s">
        <v>19257</v>
      </c>
    </row>
    <row r="303" spans="1:13" s="27" customFormat="1" ht="17.25" customHeight="1" x14ac:dyDescent="0.25">
      <c r="A303" s="28" t="s">
        <v>25629</v>
      </c>
      <c r="B303" s="28">
        <v>71187042</v>
      </c>
      <c r="C303" s="38" t="s">
        <v>25633</v>
      </c>
      <c r="D303" s="38" t="s">
        <v>25634</v>
      </c>
      <c r="E303" s="38" t="s">
        <v>25545</v>
      </c>
      <c r="F303" s="38" t="s">
        <v>25103</v>
      </c>
      <c r="G303" s="28" t="s">
        <v>19229</v>
      </c>
      <c r="H303" s="28" t="s">
        <v>19239</v>
      </c>
      <c r="I303" s="30">
        <v>45057</v>
      </c>
      <c r="J303" s="30">
        <v>45059</v>
      </c>
      <c r="K303" s="28">
        <v>3</v>
      </c>
      <c r="L303" s="29">
        <v>6</v>
      </c>
      <c r="M303" s="27" t="s">
        <v>25067</v>
      </c>
    </row>
    <row r="304" spans="1:13" s="27" customFormat="1" ht="17.25" customHeight="1" x14ac:dyDescent="0.25">
      <c r="A304" s="28" t="s">
        <v>4</v>
      </c>
      <c r="B304" s="28">
        <v>1035421360</v>
      </c>
      <c r="C304" s="38" t="s">
        <v>25435</v>
      </c>
      <c r="D304" s="38" t="s">
        <v>25436</v>
      </c>
      <c r="E304" s="38" t="s">
        <v>25437</v>
      </c>
      <c r="F304" s="38" t="s">
        <v>25438</v>
      </c>
      <c r="G304" s="28" t="s">
        <v>19229</v>
      </c>
      <c r="H304" s="28" t="s">
        <v>19238</v>
      </c>
      <c r="I304" s="30">
        <v>45057</v>
      </c>
      <c r="J304" s="30">
        <v>45071</v>
      </c>
      <c r="K304" s="51">
        <v>15</v>
      </c>
      <c r="L304" s="29"/>
      <c r="M304" s="27" t="s">
        <v>19257</v>
      </c>
    </row>
    <row r="305" spans="1:13" s="27" customFormat="1" ht="17.25" customHeight="1" x14ac:dyDescent="0.25">
      <c r="A305" s="28" t="s">
        <v>25629</v>
      </c>
      <c r="B305" s="28">
        <v>1094887478</v>
      </c>
      <c r="C305" s="38" t="s">
        <v>25630</v>
      </c>
      <c r="D305" s="38" t="s">
        <v>25105</v>
      </c>
      <c r="E305" s="38" t="s">
        <v>25089</v>
      </c>
      <c r="F305" s="38" t="s">
        <v>24986</v>
      </c>
      <c r="G305" s="28" t="s">
        <v>19229</v>
      </c>
      <c r="H305" s="28" t="s">
        <v>19240</v>
      </c>
      <c r="I305" s="30">
        <v>45058</v>
      </c>
      <c r="J305" s="30">
        <v>45062</v>
      </c>
      <c r="K305" s="28">
        <v>5</v>
      </c>
      <c r="L305" s="29"/>
      <c r="M305" s="27" t="s">
        <v>26223</v>
      </c>
    </row>
    <row r="306" spans="1:13" s="27" customFormat="1" ht="17.25" customHeight="1" x14ac:dyDescent="0.25">
      <c r="A306" s="28" t="s">
        <v>4</v>
      </c>
      <c r="B306" s="28">
        <v>3569016</v>
      </c>
      <c r="C306" s="38" t="s">
        <v>25093</v>
      </c>
      <c r="D306" s="38" t="s">
        <v>25128</v>
      </c>
      <c r="E306" s="38" t="s">
        <v>25548</v>
      </c>
      <c r="F306" s="38" t="s">
        <v>25103</v>
      </c>
      <c r="G306" s="28" t="s">
        <v>19229</v>
      </c>
      <c r="H306" s="28" t="s">
        <v>19238</v>
      </c>
      <c r="I306" s="30">
        <v>45059</v>
      </c>
      <c r="J306" s="30">
        <v>45066</v>
      </c>
      <c r="K306" s="51">
        <v>8</v>
      </c>
      <c r="L306" s="29"/>
      <c r="M306" s="27" t="s">
        <v>19257</v>
      </c>
    </row>
    <row r="307" spans="1:13" s="27" customFormat="1" ht="17.25" customHeight="1" x14ac:dyDescent="0.25">
      <c r="A307" s="28" t="s">
        <v>25629</v>
      </c>
      <c r="B307" s="28">
        <v>1063173404</v>
      </c>
      <c r="C307" s="38" t="s">
        <v>6</v>
      </c>
      <c r="D307" s="38" t="s">
        <v>25111</v>
      </c>
      <c r="E307" s="38" t="s">
        <v>25628</v>
      </c>
      <c r="F307" s="38" t="s">
        <v>25188</v>
      </c>
      <c r="G307" s="28" t="s">
        <v>19229</v>
      </c>
      <c r="H307" s="28" t="s">
        <v>19239</v>
      </c>
      <c r="I307" s="30">
        <v>45060</v>
      </c>
      <c r="J307" s="30">
        <v>45064</v>
      </c>
      <c r="K307" s="28">
        <v>5</v>
      </c>
      <c r="L307" s="29">
        <v>1</v>
      </c>
      <c r="M307" s="27" t="s">
        <v>25036</v>
      </c>
    </row>
    <row r="308" spans="1:13" s="27" customFormat="1" ht="17.25" customHeight="1" x14ac:dyDescent="0.25">
      <c r="A308" s="28" t="s">
        <v>25629</v>
      </c>
      <c r="B308" s="28">
        <v>1063173404</v>
      </c>
      <c r="C308" s="38" t="s">
        <v>25186</v>
      </c>
      <c r="D308" s="38" t="s">
        <v>25111</v>
      </c>
      <c r="E308" s="38" t="s">
        <v>25628</v>
      </c>
      <c r="F308" s="38" t="s">
        <v>25091</v>
      </c>
      <c r="G308" s="28" t="s">
        <v>19229</v>
      </c>
      <c r="H308" s="28" t="s">
        <v>19239</v>
      </c>
      <c r="I308" s="30">
        <v>45060</v>
      </c>
      <c r="J308" s="30">
        <v>45064</v>
      </c>
      <c r="K308" s="28">
        <v>5</v>
      </c>
      <c r="L308" s="29">
        <v>1</v>
      </c>
      <c r="M308" s="27" t="s">
        <v>25036</v>
      </c>
    </row>
    <row r="309" spans="1:13" s="27" customFormat="1" ht="17.25" customHeight="1" x14ac:dyDescent="0.25">
      <c r="A309" s="28" t="s">
        <v>4</v>
      </c>
      <c r="B309" s="28">
        <v>71613583</v>
      </c>
      <c r="C309" s="38" t="s">
        <v>25127</v>
      </c>
      <c r="D309" s="38" t="s">
        <v>25065</v>
      </c>
      <c r="E309" s="38" t="s">
        <v>25663</v>
      </c>
      <c r="F309" s="38" t="s">
        <v>25135</v>
      </c>
      <c r="G309" s="28" t="s">
        <v>19229</v>
      </c>
      <c r="H309" s="28" t="s">
        <v>19238</v>
      </c>
      <c r="I309" s="30">
        <v>45060</v>
      </c>
      <c r="J309" s="30">
        <v>45074</v>
      </c>
      <c r="K309" s="28">
        <v>15</v>
      </c>
      <c r="L309" s="29"/>
      <c r="M309" s="27" t="s">
        <v>19257</v>
      </c>
    </row>
    <row r="310" spans="1:13" s="27" customFormat="1" ht="17.25" customHeight="1" x14ac:dyDescent="0.25">
      <c r="A310" s="28" t="s">
        <v>4</v>
      </c>
      <c r="B310" s="28">
        <v>9922983</v>
      </c>
      <c r="C310" s="38" t="s">
        <v>25128</v>
      </c>
      <c r="D310" s="38" t="s">
        <v>25160</v>
      </c>
      <c r="E310" s="38" t="s">
        <v>25695</v>
      </c>
      <c r="F310" s="38" t="s">
        <v>25416</v>
      </c>
      <c r="G310" s="28" t="s">
        <v>19229</v>
      </c>
      <c r="H310" s="28" t="s">
        <v>19240</v>
      </c>
      <c r="I310" s="30">
        <v>45060</v>
      </c>
      <c r="J310" s="30">
        <v>45064</v>
      </c>
      <c r="K310" s="51">
        <v>5</v>
      </c>
      <c r="L310" s="29"/>
      <c r="M310" s="27" t="s">
        <v>26223</v>
      </c>
    </row>
    <row r="311" spans="1:13" s="27" customFormat="1" ht="17.25" customHeight="1" x14ac:dyDescent="0.25">
      <c r="A311" s="28" t="s">
        <v>4</v>
      </c>
      <c r="B311" s="28">
        <v>70434775</v>
      </c>
      <c r="C311" s="38" t="s">
        <v>25508</v>
      </c>
      <c r="D311" s="38" t="s">
        <v>25666</v>
      </c>
      <c r="E311" s="38" t="s">
        <v>25674</v>
      </c>
      <c r="F311" s="38" t="s">
        <v>25135</v>
      </c>
      <c r="G311" s="28" t="s">
        <v>19229</v>
      </c>
      <c r="H311" s="28" t="s">
        <v>19238</v>
      </c>
      <c r="I311" s="30">
        <v>45061</v>
      </c>
      <c r="J311" s="30">
        <v>45075</v>
      </c>
      <c r="K311" s="51">
        <v>15</v>
      </c>
      <c r="L311" s="29"/>
      <c r="M311" s="27" t="s">
        <v>19257</v>
      </c>
    </row>
    <row r="312" spans="1:13" s="27" customFormat="1" ht="17.25" customHeight="1" x14ac:dyDescent="0.25">
      <c r="A312" s="28" t="s">
        <v>4</v>
      </c>
      <c r="B312" s="28">
        <v>71187042</v>
      </c>
      <c r="C312" s="38" t="s">
        <v>25675</v>
      </c>
      <c r="D312" s="38" t="s">
        <v>25634</v>
      </c>
      <c r="E312" s="38" t="s">
        <v>25627</v>
      </c>
      <c r="F312" s="38" t="s">
        <v>24982</v>
      </c>
      <c r="G312" s="28" t="s">
        <v>19229</v>
      </c>
      <c r="H312" s="28" t="s">
        <v>19238</v>
      </c>
      <c r="I312" s="30">
        <v>45061</v>
      </c>
      <c r="J312" s="30">
        <v>45075</v>
      </c>
      <c r="K312" s="28">
        <v>15</v>
      </c>
      <c r="L312" s="29"/>
      <c r="M312" s="27" t="s">
        <v>19257</v>
      </c>
    </row>
    <row r="313" spans="1:13" s="27" customFormat="1" ht="17.25" customHeight="1" x14ac:dyDescent="0.25">
      <c r="A313" s="28" t="s">
        <v>4</v>
      </c>
      <c r="B313" s="28">
        <v>1036955521</v>
      </c>
      <c r="C313" s="38" t="s">
        <v>25682</v>
      </c>
      <c r="D313" s="38" t="s">
        <v>25498</v>
      </c>
      <c r="E313" s="38" t="s">
        <v>25683</v>
      </c>
      <c r="F313" s="38"/>
      <c r="G313" s="28" t="s">
        <v>19229</v>
      </c>
      <c r="H313" s="28" t="s">
        <v>19238</v>
      </c>
      <c r="I313" s="30">
        <v>45061</v>
      </c>
      <c r="J313" s="30">
        <v>45077</v>
      </c>
      <c r="K313" s="51">
        <v>15</v>
      </c>
      <c r="L313" s="29"/>
      <c r="M313" s="27" t="s">
        <v>19257</v>
      </c>
    </row>
    <row r="314" spans="1:13" s="27" customFormat="1" ht="17.25" customHeight="1" x14ac:dyDescent="0.25">
      <c r="A314" s="28" t="s">
        <v>4</v>
      </c>
      <c r="B314" s="28">
        <v>1001852446</v>
      </c>
      <c r="C314" s="38" t="s">
        <v>25616</v>
      </c>
      <c r="D314" s="38" t="s">
        <v>25246</v>
      </c>
      <c r="E314" s="38" t="s">
        <v>25618</v>
      </c>
      <c r="F314" s="38" t="s">
        <v>25434</v>
      </c>
      <c r="G314" s="28" t="s">
        <v>19229</v>
      </c>
      <c r="H314" s="28" t="s">
        <v>19239</v>
      </c>
      <c r="I314" s="30">
        <v>45062</v>
      </c>
      <c r="J314" s="30">
        <v>45066</v>
      </c>
      <c r="K314" s="28">
        <v>5</v>
      </c>
      <c r="L314" s="29">
        <v>24</v>
      </c>
      <c r="M314" s="27" t="s">
        <v>25067</v>
      </c>
    </row>
    <row r="315" spans="1:13" s="27" customFormat="1" ht="17.25" customHeight="1" x14ac:dyDescent="0.25">
      <c r="A315" s="28" t="s">
        <v>4</v>
      </c>
      <c r="B315" s="28">
        <v>1017192273</v>
      </c>
      <c r="C315" s="38" t="s">
        <v>25216</v>
      </c>
      <c r="D315" s="38" t="s">
        <v>25459</v>
      </c>
      <c r="E315" s="38" t="s">
        <v>25676</v>
      </c>
      <c r="F315" s="38" t="s">
        <v>25648</v>
      </c>
      <c r="G315" s="28" t="s">
        <v>19229</v>
      </c>
      <c r="H315" s="28" t="s">
        <v>19238</v>
      </c>
      <c r="I315" s="30">
        <v>45062</v>
      </c>
      <c r="J315" s="30">
        <v>45069</v>
      </c>
      <c r="K315" s="51">
        <v>15</v>
      </c>
      <c r="L315" s="29"/>
      <c r="M315" s="27" t="s">
        <v>19257</v>
      </c>
    </row>
    <row r="316" spans="1:13" s="27" customFormat="1" ht="17.25" customHeight="1" x14ac:dyDescent="0.25">
      <c r="A316" s="28" t="s">
        <v>4</v>
      </c>
      <c r="B316" s="28">
        <v>1216713349</v>
      </c>
      <c r="C316" s="38" t="s">
        <v>25508</v>
      </c>
      <c r="D316" s="38" t="s">
        <v>25508</v>
      </c>
      <c r="E316" s="38" t="s">
        <v>25203</v>
      </c>
      <c r="F316" s="38" t="s">
        <v>25632</v>
      </c>
      <c r="G316" s="28" t="s">
        <v>19229</v>
      </c>
      <c r="H316" s="28" t="s">
        <v>19239</v>
      </c>
      <c r="I316" s="30">
        <v>45063</v>
      </c>
      <c r="J316" s="30">
        <v>45067</v>
      </c>
      <c r="K316" s="28">
        <v>5</v>
      </c>
      <c r="L316" s="29">
        <v>1</v>
      </c>
      <c r="M316" s="27" t="s">
        <v>25036</v>
      </c>
    </row>
    <row r="317" spans="1:13" s="27" customFormat="1" ht="17.25" customHeight="1" x14ac:dyDescent="0.25">
      <c r="A317" s="28" t="s">
        <v>4</v>
      </c>
      <c r="B317" s="28">
        <v>1007476736</v>
      </c>
      <c r="C317" s="38" t="s">
        <v>25494</v>
      </c>
      <c r="D317" s="38" t="s">
        <v>25364</v>
      </c>
      <c r="E317" s="38" t="s">
        <v>25365</v>
      </c>
      <c r="F317" s="38" t="s">
        <v>25177</v>
      </c>
      <c r="G317" s="28" t="s">
        <v>19229</v>
      </c>
      <c r="H317" s="28" t="s">
        <v>19239</v>
      </c>
      <c r="I317" s="30">
        <v>45063</v>
      </c>
      <c r="J317" s="30">
        <v>45067</v>
      </c>
      <c r="K317" s="28">
        <v>5</v>
      </c>
      <c r="L317" s="29">
        <v>1</v>
      </c>
      <c r="M317" s="27" t="s">
        <v>25036</v>
      </c>
    </row>
    <row r="318" spans="1:13" s="27" customFormat="1" ht="17.25" customHeight="1" x14ac:dyDescent="0.25">
      <c r="A318" s="28" t="s">
        <v>4</v>
      </c>
      <c r="B318" s="28">
        <v>1069497681</v>
      </c>
      <c r="C318" s="28" t="s">
        <v>25680</v>
      </c>
      <c r="D318" s="28" t="s">
        <v>25681</v>
      </c>
      <c r="E318" s="28" t="s">
        <v>25208</v>
      </c>
      <c r="F318" s="28" t="s">
        <v>25091</v>
      </c>
      <c r="G318" s="28" t="s">
        <v>19229</v>
      </c>
      <c r="H318" s="28" t="s">
        <v>19238</v>
      </c>
      <c r="I318" s="30">
        <v>45063</v>
      </c>
      <c r="J318" s="30">
        <v>45077</v>
      </c>
      <c r="K318" s="28">
        <v>15</v>
      </c>
      <c r="L318" s="29"/>
      <c r="M318" s="27" t="s">
        <v>19257</v>
      </c>
    </row>
    <row r="319" spans="1:13" s="27" customFormat="1" ht="17.25" customHeight="1" x14ac:dyDescent="0.25">
      <c r="A319" s="28" t="s">
        <v>4</v>
      </c>
      <c r="B319" s="28">
        <v>10900408</v>
      </c>
      <c r="C319" s="38" t="s">
        <v>25326</v>
      </c>
      <c r="D319" s="38" t="s">
        <v>25094</v>
      </c>
      <c r="E319" s="38" t="s">
        <v>25032</v>
      </c>
      <c r="F319" s="38" t="s">
        <v>25051</v>
      </c>
      <c r="G319" s="28" t="s">
        <v>19229</v>
      </c>
      <c r="H319" s="28" t="s">
        <v>19238</v>
      </c>
      <c r="I319" s="30">
        <v>45063</v>
      </c>
      <c r="J319" s="30">
        <v>45077</v>
      </c>
      <c r="K319" s="51">
        <v>15</v>
      </c>
      <c r="L319" s="29"/>
      <c r="M319" s="27" t="s">
        <v>19257</v>
      </c>
    </row>
    <row r="320" spans="1:13" s="27" customFormat="1" ht="17.25" customHeight="1" x14ac:dyDescent="0.25">
      <c r="A320" s="28" t="s">
        <v>4</v>
      </c>
      <c r="B320" s="28">
        <v>1003004629</v>
      </c>
      <c r="C320" s="38" t="s">
        <v>25614</v>
      </c>
      <c r="D320" s="38" t="s">
        <v>25631</v>
      </c>
      <c r="E320" s="38" t="s">
        <v>25282</v>
      </c>
      <c r="F320" s="38" t="s">
        <v>25010</v>
      </c>
      <c r="G320" s="28" t="s">
        <v>19229</v>
      </c>
      <c r="H320" s="28" t="s">
        <v>19239</v>
      </c>
      <c r="I320" s="30">
        <v>45064</v>
      </c>
      <c r="J320" s="30">
        <v>45064</v>
      </c>
      <c r="K320" s="28">
        <v>1</v>
      </c>
      <c r="L320" s="29">
        <v>6</v>
      </c>
      <c r="M320" s="27" t="s">
        <v>25036</v>
      </c>
    </row>
    <row r="321" spans="1:13" s="27" customFormat="1" ht="17.25" customHeight="1" x14ac:dyDescent="0.25">
      <c r="A321" s="28" t="s">
        <v>4</v>
      </c>
      <c r="B321" s="28">
        <v>98663441</v>
      </c>
      <c r="C321" s="38" t="s">
        <v>25225</v>
      </c>
      <c r="D321" s="38" t="s">
        <v>25575</v>
      </c>
      <c r="E321" s="38" t="s">
        <v>19278</v>
      </c>
      <c r="F321" s="38" t="s">
        <v>25227</v>
      </c>
      <c r="G321" s="28" t="s">
        <v>19229</v>
      </c>
      <c r="H321" s="28" t="s">
        <v>19239</v>
      </c>
      <c r="I321" s="30">
        <v>45064</v>
      </c>
      <c r="J321" s="30">
        <v>45068</v>
      </c>
      <c r="K321" s="28">
        <v>5</v>
      </c>
      <c r="L321" s="29">
        <v>1</v>
      </c>
      <c r="M321" s="27" t="s">
        <v>25036</v>
      </c>
    </row>
    <row r="322" spans="1:13" s="27" customFormat="1" ht="17.25" customHeight="1" x14ac:dyDescent="0.25">
      <c r="A322" s="28" t="s">
        <v>4</v>
      </c>
      <c r="B322" s="28">
        <v>98662303</v>
      </c>
      <c r="C322" s="38" t="s">
        <v>25697</v>
      </c>
      <c r="D322" s="38" t="s">
        <v>25526</v>
      </c>
      <c r="E322" s="38" t="s">
        <v>25096</v>
      </c>
      <c r="F322" s="38"/>
      <c r="G322" s="28" t="s">
        <v>19229</v>
      </c>
      <c r="H322" s="28" t="s">
        <v>19240</v>
      </c>
      <c r="I322" s="30">
        <v>45064</v>
      </c>
      <c r="J322" s="30">
        <v>45064</v>
      </c>
      <c r="K322" s="51">
        <v>1</v>
      </c>
      <c r="L322" s="29"/>
      <c r="M322" s="27" t="s">
        <v>24991</v>
      </c>
    </row>
    <row r="323" spans="1:13" s="27" customFormat="1" ht="17.25" customHeight="1" x14ac:dyDescent="0.25">
      <c r="A323" s="28" t="s">
        <v>5</v>
      </c>
      <c r="B323" s="28">
        <v>71772218</v>
      </c>
      <c r="C323" s="38" t="s">
        <v>19258</v>
      </c>
      <c r="D323" s="38" t="s">
        <v>25224</v>
      </c>
      <c r="E323" s="38" t="s">
        <v>25725</v>
      </c>
      <c r="F323" s="38" t="s">
        <v>25135</v>
      </c>
      <c r="G323" s="28" t="s">
        <v>19229</v>
      </c>
      <c r="H323" s="28" t="s">
        <v>19238</v>
      </c>
      <c r="I323" s="30">
        <v>45064</v>
      </c>
      <c r="J323" s="30">
        <v>45078</v>
      </c>
      <c r="K323" s="51">
        <v>15</v>
      </c>
      <c r="L323" s="29"/>
      <c r="M323" s="27" t="s">
        <v>19257</v>
      </c>
    </row>
    <row r="324" spans="1:13" s="27" customFormat="1" ht="17.25" customHeight="1" x14ac:dyDescent="0.25">
      <c r="A324" s="28" t="s">
        <v>4</v>
      </c>
      <c r="B324" s="28">
        <v>1035428600</v>
      </c>
      <c r="C324" s="38" t="s">
        <v>25707</v>
      </c>
      <c r="D324" s="38" t="s">
        <v>25367</v>
      </c>
      <c r="E324" s="38" t="s">
        <v>25663</v>
      </c>
      <c r="F324" s="38" t="s">
        <v>25004</v>
      </c>
      <c r="G324" s="28" t="s">
        <v>19229</v>
      </c>
      <c r="H324" s="28" t="s">
        <v>19238</v>
      </c>
      <c r="I324" s="30">
        <v>45065</v>
      </c>
      <c r="J324" s="30">
        <v>45079</v>
      </c>
      <c r="K324" s="51">
        <v>15</v>
      </c>
      <c r="L324" s="29"/>
      <c r="M324" s="27" t="s">
        <v>19257</v>
      </c>
    </row>
    <row r="325" spans="1:13" s="27" customFormat="1" ht="17.25" customHeight="1" x14ac:dyDescent="0.25">
      <c r="A325" s="28" t="s">
        <v>4</v>
      </c>
      <c r="B325" s="28">
        <v>98527150</v>
      </c>
      <c r="C325" s="38" t="s">
        <v>25677</v>
      </c>
      <c r="D325" s="38" t="s">
        <v>25248</v>
      </c>
      <c r="E325" s="38" t="s">
        <v>25102</v>
      </c>
      <c r="F325" s="38" t="s">
        <v>25020</v>
      </c>
      <c r="G325" s="28" t="s">
        <v>19229</v>
      </c>
      <c r="H325" s="28" t="s">
        <v>19238</v>
      </c>
      <c r="I325" s="30">
        <v>45066</v>
      </c>
      <c r="J325" s="30">
        <v>45080</v>
      </c>
      <c r="K325" s="51">
        <v>15</v>
      </c>
      <c r="L325" s="29"/>
      <c r="M325" s="27" t="s">
        <v>19257</v>
      </c>
    </row>
    <row r="326" spans="1:13" s="27" customFormat="1" ht="17.25" customHeight="1" x14ac:dyDescent="0.25">
      <c r="A326" s="28" t="s">
        <v>4</v>
      </c>
      <c r="B326" s="28">
        <v>103525845</v>
      </c>
      <c r="C326" s="38" t="s">
        <v>25694</v>
      </c>
      <c r="D326" s="38" t="s">
        <v>25457</v>
      </c>
      <c r="E326" s="38" t="s">
        <v>25056</v>
      </c>
      <c r="F326" s="38" t="s">
        <v>25095</v>
      </c>
      <c r="G326" s="28" t="s">
        <v>19229</v>
      </c>
      <c r="H326" s="28" t="s">
        <v>19240</v>
      </c>
      <c r="I326" s="30">
        <v>45067</v>
      </c>
      <c r="J326" s="30">
        <v>45067</v>
      </c>
      <c r="K326" s="51">
        <v>1</v>
      </c>
      <c r="L326" s="29"/>
      <c r="M326" s="27" t="s">
        <v>25431</v>
      </c>
    </row>
    <row r="327" spans="1:13" s="27" customFormat="1" ht="17.25" customHeight="1" x14ac:dyDescent="0.25">
      <c r="A327" s="28" t="s">
        <v>4</v>
      </c>
      <c r="B327" s="28">
        <v>1003205624</v>
      </c>
      <c r="C327" s="38" t="s">
        <v>25696</v>
      </c>
      <c r="D327" s="38" t="s">
        <v>25390</v>
      </c>
      <c r="E327" s="38" t="s">
        <v>25130</v>
      </c>
      <c r="F327" s="38" t="s">
        <v>25010</v>
      </c>
      <c r="G327" s="28" t="s">
        <v>19229</v>
      </c>
      <c r="H327" s="28" t="s">
        <v>19240</v>
      </c>
      <c r="I327" s="30">
        <v>45069</v>
      </c>
      <c r="J327" s="30">
        <v>45069</v>
      </c>
      <c r="K327" s="51">
        <v>1</v>
      </c>
      <c r="L327" s="29"/>
      <c r="M327" s="27" t="s">
        <v>24991</v>
      </c>
    </row>
    <row r="328" spans="1:13" s="27" customFormat="1" ht="17.25" customHeight="1" x14ac:dyDescent="0.25">
      <c r="A328" s="28" t="s">
        <v>25629</v>
      </c>
      <c r="B328" s="28">
        <v>43323488</v>
      </c>
      <c r="C328" s="38" t="s">
        <v>25175</v>
      </c>
      <c r="D328" s="38"/>
      <c r="E328" s="38" t="s">
        <v>25698</v>
      </c>
      <c r="F328" s="38"/>
      <c r="G328" s="28" t="s">
        <v>19229</v>
      </c>
      <c r="H328" s="28" t="s">
        <v>19239</v>
      </c>
      <c r="I328" s="30">
        <v>45069</v>
      </c>
      <c r="J328" s="30">
        <v>45073</v>
      </c>
      <c r="K328" s="51">
        <v>5</v>
      </c>
      <c r="L328" s="29">
        <v>1</v>
      </c>
      <c r="M328" s="27" t="s">
        <v>25036</v>
      </c>
    </row>
    <row r="329" spans="1:13" s="27" customFormat="1" ht="17.25" customHeight="1" x14ac:dyDescent="0.25">
      <c r="A329" s="28" t="s">
        <v>4</v>
      </c>
      <c r="B329" s="28">
        <v>1041267977</v>
      </c>
      <c r="C329" s="38" t="s">
        <v>25126</v>
      </c>
      <c r="D329" s="38" t="s">
        <v>25426</v>
      </c>
      <c r="E329" s="38" t="s">
        <v>25029</v>
      </c>
      <c r="F329" s="38" t="s">
        <v>25706</v>
      </c>
      <c r="G329" s="28" t="s">
        <v>19229</v>
      </c>
      <c r="H329" s="28" t="s">
        <v>19238</v>
      </c>
      <c r="I329" s="30">
        <v>45069</v>
      </c>
      <c r="J329" s="30">
        <v>45084</v>
      </c>
      <c r="K329" s="51">
        <v>16</v>
      </c>
      <c r="L329" s="29"/>
      <c r="M329" s="27" t="s">
        <v>19257</v>
      </c>
    </row>
    <row r="330" spans="1:13" s="27" customFormat="1" ht="17.25" customHeight="1" x14ac:dyDescent="0.25">
      <c r="A330" s="28" t="s">
        <v>4</v>
      </c>
      <c r="B330" s="28">
        <v>15444896</v>
      </c>
      <c r="C330" s="28" t="s">
        <v>25310</v>
      </c>
      <c r="D330" s="28" t="s">
        <v>25094</v>
      </c>
      <c r="E330" s="28" t="s">
        <v>25241</v>
      </c>
      <c r="F330" s="28" t="s">
        <v>25691</v>
      </c>
      <c r="G330" s="28" t="s">
        <v>19229</v>
      </c>
      <c r="H330" s="28" t="s">
        <v>19238</v>
      </c>
      <c r="I330" s="30">
        <v>45069</v>
      </c>
      <c r="J330" s="30">
        <v>45084</v>
      </c>
      <c r="K330" s="51">
        <v>16</v>
      </c>
      <c r="L330" s="29"/>
      <c r="M330" s="27" t="s">
        <v>19257</v>
      </c>
    </row>
    <row r="331" spans="1:13" s="27" customFormat="1" ht="17.25" customHeight="1" x14ac:dyDescent="0.25">
      <c r="A331" s="28" t="s">
        <v>4</v>
      </c>
      <c r="B331" s="28">
        <v>1039049206</v>
      </c>
      <c r="C331" s="38" t="s">
        <v>24980</v>
      </c>
      <c r="D331" s="38" t="s">
        <v>25310</v>
      </c>
      <c r="E331" s="38" t="s">
        <v>25708</v>
      </c>
      <c r="F331" s="38" t="s">
        <v>25107</v>
      </c>
      <c r="G331" s="28" t="s">
        <v>19229</v>
      </c>
      <c r="H331" s="28" t="s">
        <v>19240</v>
      </c>
      <c r="I331" s="30">
        <v>45069</v>
      </c>
      <c r="J331" s="30">
        <v>45073</v>
      </c>
      <c r="K331" s="51">
        <v>5</v>
      </c>
      <c r="L331" s="29"/>
      <c r="M331" s="27" t="s">
        <v>26223</v>
      </c>
    </row>
    <row r="332" spans="1:13" s="27" customFormat="1" ht="17.25" customHeight="1" x14ac:dyDescent="0.25">
      <c r="A332" s="28" t="s">
        <v>4</v>
      </c>
      <c r="B332" s="28">
        <v>78646697</v>
      </c>
      <c r="C332" s="28" t="s">
        <v>25109</v>
      </c>
      <c r="D332" s="28" t="s">
        <v>25645</v>
      </c>
      <c r="E332" s="28" t="s">
        <v>25678</v>
      </c>
      <c r="F332" s="28" t="s">
        <v>25679</v>
      </c>
      <c r="G332" s="28" t="s">
        <v>19229</v>
      </c>
      <c r="H332" s="28" t="s">
        <v>19238</v>
      </c>
      <c r="I332" s="30">
        <v>45070</v>
      </c>
      <c r="J332" s="30">
        <v>45084</v>
      </c>
      <c r="K332" s="51">
        <v>15</v>
      </c>
      <c r="L332" s="29"/>
      <c r="M332" s="27" t="s">
        <v>19257</v>
      </c>
    </row>
    <row r="333" spans="1:13" s="27" customFormat="1" ht="17.25" customHeight="1" x14ac:dyDescent="0.25">
      <c r="A333" s="28" t="s">
        <v>4</v>
      </c>
      <c r="B333" s="28">
        <v>70252687</v>
      </c>
      <c r="C333" s="38" t="s">
        <v>25340</v>
      </c>
      <c r="D333" s="38" t="s">
        <v>25248</v>
      </c>
      <c r="E333" s="38" t="s">
        <v>25359</v>
      </c>
      <c r="F333" s="38" t="s">
        <v>25465</v>
      </c>
      <c r="G333" s="28" t="s">
        <v>19229</v>
      </c>
      <c r="H333" s="28" t="s">
        <v>19240</v>
      </c>
      <c r="I333" s="30">
        <v>45070</v>
      </c>
      <c r="J333" s="30">
        <v>45071</v>
      </c>
      <c r="K333" s="51">
        <v>2</v>
      </c>
      <c r="L333" s="29"/>
      <c r="M333" s="27" t="s">
        <v>25431</v>
      </c>
    </row>
    <row r="334" spans="1:13" s="27" customFormat="1" ht="17.25" customHeight="1" x14ac:dyDescent="0.25">
      <c r="A334" s="28" t="s">
        <v>25629</v>
      </c>
      <c r="B334" s="28">
        <v>1017238420</v>
      </c>
      <c r="C334" s="38" t="s">
        <v>25659</v>
      </c>
      <c r="D334" s="38" t="s">
        <v>25561</v>
      </c>
      <c r="E334" s="38" t="s">
        <v>25282</v>
      </c>
      <c r="F334" s="38" t="s">
        <v>25185</v>
      </c>
      <c r="G334" s="28" t="s">
        <v>19229</v>
      </c>
      <c r="H334" s="28" t="s">
        <v>19239</v>
      </c>
      <c r="I334" s="30">
        <v>45070</v>
      </c>
      <c r="J334" s="30">
        <v>45072</v>
      </c>
      <c r="K334" s="51">
        <v>3</v>
      </c>
      <c r="L334" s="29">
        <v>10</v>
      </c>
      <c r="M334" s="27" t="s">
        <v>25036</v>
      </c>
    </row>
    <row r="335" spans="1:13" s="27" customFormat="1" ht="17.25" customHeight="1" x14ac:dyDescent="0.25">
      <c r="A335" s="28" t="s">
        <v>5</v>
      </c>
      <c r="B335" s="28">
        <v>98450672</v>
      </c>
      <c r="C335" s="38" t="s">
        <v>25726</v>
      </c>
      <c r="D335" s="38" t="s">
        <v>25164</v>
      </c>
      <c r="E335" s="38" t="s">
        <v>25032</v>
      </c>
      <c r="F335" s="38" t="s">
        <v>25064</v>
      </c>
      <c r="G335" s="28" t="s">
        <v>19229</v>
      </c>
      <c r="H335" s="28" t="s">
        <v>19238</v>
      </c>
      <c r="I335" s="30">
        <v>45071</v>
      </c>
      <c r="J335" s="30">
        <v>45085</v>
      </c>
      <c r="K335" s="51">
        <v>15</v>
      </c>
      <c r="L335" s="29"/>
      <c r="M335" s="27" t="s">
        <v>19257</v>
      </c>
    </row>
    <row r="336" spans="1:13" s="27" customFormat="1" ht="17.25" customHeight="1" x14ac:dyDescent="0.25">
      <c r="A336" s="28" t="s">
        <v>25629</v>
      </c>
      <c r="B336" s="28">
        <v>98514610</v>
      </c>
      <c r="C336" s="38" t="s">
        <v>24987</v>
      </c>
      <c r="D336" s="38" t="s">
        <v>24984</v>
      </c>
      <c r="E336" s="38" t="s">
        <v>25255</v>
      </c>
      <c r="F336" s="38" t="s">
        <v>24986</v>
      </c>
      <c r="G336" s="28" t="s">
        <v>19229</v>
      </c>
      <c r="H336" s="28" t="s">
        <v>19239</v>
      </c>
      <c r="I336" s="30">
        <v>45072</v>
      </c>
      <c r="J336" s="30">
        <v>45074</v>
      </c>
      <c r="K336" s="51">
        <v>3</v>
      </c>
      <c r="L336" s="29">
        <v>24</v>
      </c>
      <c r="M336" s="27" t="s">
        <v>25036</v>
      </c>
    </row>
    <row r="337" spans="1:13" s="27" customFormat="1" ht="17.25" customHeight="1" x14ac:dyDescent="0.25">
      <c r="A337" s="28" t="s">
        <v>25629</v>
      </c>
      <c r="B337" s="28">
        <v>1125474081</v>
      </c>
      <c r="C337" s="38" t="s">
        <v>25702</v>
      </c>
      <c r="D337" s="38" t="s">
        <v>25094</v>
      </c>
      <c r="E337" s="38" t="s">
        <v>25203</v>
      </c>
      <c r="F337" s="38" t="s">
        <v>25060</v>
      </c>
      <c r="G337" s="28" t="s">
        <v>19229</v>
      </c>
      <c r="H337" s="28" t="s">
        <v>19239</v>
      </c>
      <c r="I337" s="30">
        <v>45072</v>
      </c>
      <c r="J337" s="30">
        <v>45076</v>
      </c>
      <c r="K337" s="51">
        <v>5</v>
      </c>
      <c r="L337" s="29">
        <v>1</v>
      </c>
      <c r="M337" s="27" t="s">
        <v>25036</v>
      </c>
    </row>
    <row r="338" spans="1:13" s="27" customFormat="1" ht="17.25" customHeight="1" x14ac:dyDescent="0.25">
      <c r="A338" s="28" t="s">
        <v>25629</v>
      </c>
      <c r="B338" s="28">
        <v>1007476736</v>
      </c>
      <c r="C338" s="38" t="s">
        <v>25494</v>
      </c>
      <c r="D338" s="38" t="s">
        <v>25364</v>
      </c>
      <c r="E338" s="38" t="s">
        <v>25365</v>
      </c>
      <c r="F338" s="38" t="s">
        <v>25177</v>
      </c>
      <c r="G338" s="28" t="s">
        <v>19229</v>
      </c>
      <c r="H338" s="28" t="s">
        <v>19239</v>
      </c>
      <c r="I338" s="30">
        <v>45072</v>
      </c>
      <c r="J338" s="30">
        <v>45078</v>
      </c>
      <c r="K338" s="51">
        <v>7</v>
      </c>
      <c r="L338" s="29">
        <v>19</v>
      </c>
      <c r="M338" s="27" t="s">
        <v>25036</v>
      </c>
    </row>
    <row r="339" spans="1:13" s="27" customFormat="1" ht="17.25" customHeight="1" x14ac:dyDescent="0.25">
      <c r="A339" s="28" t="s">
        <v>4</v>
      </c>
      <c r="B339" s="28">
        <v>98453791</v>
      </c>
      <c r="C339" s="38" t="s">
        <v>25043</v>
      </c>
      <c r="D339" s="38" t="s">
        <v>25373</v>
      </c>
      <c r="E339" s="38" t="s">
        <v>25380</v>
      </c>
      <c r="F339" s="38" t="s">
        <v>25020</v>
      </c>
      <c r="G339" s="28" t="s">
        <v>19229</v>
      </c>
      <c r="H339" s="28" t="s">
        <v>19238</v>
      </c>
      <c r="I339" s="30">
        <v>45073</v>
      </c>
      <c r="J339" s="30">
        <v>45089</v>
      </c>
      <c r="K339" s="51">
        <v>15</v>
      </c>
      <c r="L339" s="29"/>
      <c r="M339" s="27" t="s">
        <v>19257</v>
      </c>
    </row>
    <row r="340" spans="1:13" s="27" customFormat="1" ht="17.25" customHeight="1" x14ac:dyDescent="0.25">
      <c r="A340" s="28" t="s">
        <v>4</v>
      </c>
      <c r="B340" s="28">
        <v>71389171</v>
      </c>
      <c r="C340" s="38" t="s">
        <v>25043</v>
      </c>
      <c r="D340" s="38" t="s">
        <v>25703</v>
      </c>
      <c r="E340" s="38" t="s">
        <v>25704</v>
      </c>
      <c r="F340" s="38" t="s">
        <v>25504</v>
      </c>
      <c r="G340" s="28" t="s">
        <v>19229</v>
      </c>
      <c r="H340" s="28" t="s">
        <v>19238</v>
      </c>
      <c r="I340" s="30">
        <v>45073</v>
      </c>
      <c r="J340" s="30">
        <v>45087</v>
      </c>
      <c r="K340" s="51">
        <v>15</v>
      </c>
      <c r="L340" s="29"/>
      <c r="M340" s="27" t="s">
        <v>19257</v>
      </c>
    </row>
    <row r="341" spans="1:13" s="27" customFormat="1" ht="17.25" customHeight="1" x14ac:dyDescent="0.25">
      <c r="A341" s="28" t="s">
        <v>4</v>
      </c>
      <c r="B341" s="28">
        <v>70416611</v>
      </c>
      <c r="C341" s="38" t="s">
        <v>25338</v>
      </c>
      <c r="D341" s="38" t="s">
        <v>25551</v>
      </c>
      <c r="E341" s="38" t="s">
        <v>25255</v>
      </c>
      <c r="F341" s="38" t="s">
        <v>25135</v>
      </c>
      <c r="G341" s="28" t="s">
        <v>19229</v>
      </c>
      <c r="H341" s="28" t="s">
        <v>19238</v>
      </c>
      <c r="I341" s="30">
        <v>45073</v>
      </c>
      <c r="J341" s="30">
        <v>45080</v>
      </c>
      <c r="K341" s="51">
        <v>8</v>
      </c>
      <c r="L341" s="29"/>
      <c r="M341" s="27" t="s">
        <v>19257</v>
      </c>
    </row>
    <row r="342" spans="1:13" s="27" customFormat="1" ht="17.25" customHeight="1" x14ac:dyDescent="0.25">
      <c r="A342" s="28" t="s">
        <v>4</v>
      </c>
      <c r="B342" s="28">
        <v>98453791</v>
      </c>
      <c r="C342" s="38" t="s">
        <v>25043</v>
      </c>
      <c r="D342" s="38" t="s">
        <v>25373</v>
      </c>
      <c r="E342" s="38" t="s">
        <v>25380</v>
      </c>
      <c r="F342" s="38" t="s">
        <v>25020</v>
      </c>
      <c r="G342" s="28" t="s">
        <v>19229</v>
      </c>
      <c r="H342" s="28" t="s">
        <v>19238</v>
      </c>
      <c r="I342" s="30">
        <v>45073</v>
      </c>
      <c r="J342" s="30">
        <v>45089</v>
      </c>
      <c r="K342" s="51">
        <v>15</v>
      </c>
      <c r="L342" s="29"/>
      <c r="M342" s="27" t="s">
        <v>19257</v>
      </c>
    </row>
    <row r="343" spans="1:13" s="27" customFormat="1" ht="17.25" customHeight="1" x14ac:dyDescent="0.25">
      <c r="A343" s="28" t="s">
        <v>4</v>
      </c>
      <c r="B343" s="28">
        <v>71389171</v>
      </c>
      <c r="C343" s="38" t="s">
        <v>25043</v>
      </c>
      <c r="D343" s="38" t="s">
        <v>25703</v>
      </c>
      <c r="E343" s="38" t="s">
        <v>25704</v>
      </c>
      <c r="F343" s="38" t="s">
        <v>25504</v>
      </c>
      <c r="G343" s="28" t="s">
        <v>19229</v>
      </c>
      <c r="H343" s="28" t="s">
        <v>19238</v>
      </c>
      <c r="I343" s="30">
        <v>45073</v>
      </c>
      <c r="J343" s="30">
        <v>45087</v>
      </c>
      <c r="K343" s="51">
        <v>15</v>
      </c>
      <c r="L343" s="29"/>
      <c r="M343" s="27" t="s">
        <v>19257</v>
      </c>
    </row>
    <row r="344" spans="1:13" s="27" customFormat="1" ht="17.25" customHeight="1" x14ac:dyDescent="0.25">
      <c r="A344" s="28" t="s">
        <v>4</v>
      </c>
      <c r="B344" s="28">
        <v>1017171980</v>
      </c>
      <c r="C344" s="38" t="s">
        <v>25006</v>
      </c>
      <c r="D344" s="38" t="s">
        <v>25326</v>
      </c>
      <c r="E344" s="38" t="s">
        <v>25668</v>
      </c>
      <c r="F344" s="38" t="s">
        <v>25669</v>
      </c>
      <c r="G344" s="28" t="s">
        <v>19229</v>
      </c>
      <c r="H344" s="28" t="s">
        <v>19240</v>
      </c>
      <c r="I344" s="30">
        <v>45074</v>
      </c>
      <c r="J344" s="30">
        <v>45074</v>
      </c>
      <c r="K344" s="28">
        <v>1</v>
      </c>
      <c r="L344" s="29"/>
      <c r="M344" s="27" t="s">
        <v>24991</v>
      </c>
    </row>
    <row r="345" spans="1:13" s="27" customFormat="1" ht="17.25" customHeight="1" x14ac:dyDescent="0.25">
      <c r="A345" s="28" t="s">
        <v>4</v>
      </c>
      <c r="B345" s="28">
        <v>1036687761</v>
      </c>
      <c r="C345" s="38" t="s">
        <v>25145</v>
      </c>
      <c r="D345" s="38" t="s">
        <v>24993</v>
      </c>
      <c r="E345" s="38" t="s">
        <v>25711</v>
      </c>
      <c r="F345" s="38"/>
      <c r="G345" s="28" t="s">
        <v>19229</v>
      </c>
      <c r="H345" s="28" t="s">
        <v>19240</v>
      </c>
      <c r="I345" s="30">
        <v>45074</v>
      </c>
      <c r="J345" s="30">
        <v>45074</v>
      </c>
      <c r="K345" s="51">
        <v>1</v>
      </c>
      <c r="L345" s="29"/>
      <c r="M345" s="27" t="s">
        <v>24991</v>
      </c>
    </row>
    <row r="346" spans="1:13" s="27" customFormat="1" ht="17.25" customHeight="1" x14ac:dyDescent="0.25">
      <c r="A346" s="28" t="s">
        <v>4</v>
      </c>
      <c r="B346" s="28">
        <v>1147935100</v>
      </c>
      <c r="C346" s="38" t="s">
        <v>24980</v>
      </c>
      <c r="D346" s="38" t="s">
        <v>25362</v>
      </c>
      <c r="E346" s="38" t="s">
        <v>25183</v>
      </c>
      <c r="F346" s="38" t="s">
        <v>25177</v>
      </c>
      <c r="G346" s="28" t="s">
        <v>19285</v>
      </c>
      <c r="H346" s="28" t="s">
        <v>19239</v>
      </c>
      <c r="I346" s="30">
        <v>45075</v>
      </c>
      <c r="J346" s="30">
        <v>45077</v>
      </c>
      <c r="K346" s="51">
        <v>3</v>
      </c>
      <c r="L346" s="29">
        <v>10</v>
      </c>
      <c r="M346" s="27" t="s">
        <v>25036</v>
      </c>
    </row>
    <row r="347" spans="1:13" s="27" customFormat="1" ht="17.25" customHeight="1" x14ac:dyDescent="0.25">
      <c r="A347" s="28" t="s">
        <v>4</v>
      </c>
      <c r="B347" s="28">
        <v>1214744146</v>
      </c>
      <c r="C347" s="38" t="s">
        <v>24998</v>
      </c>
      <c r="D347" s="38" t="s">
        <v>19258</v>
      </c>
      <c r="E347" s="38" t="s">
        <v>25028</v>
      </c>
      <c r="F347" s="38" t="s">
        <v>25010</v>
      </c>
      <c r="G347" s="28" t="s">
        <v>19285</v>
      </c>
      <c r="H347" s="28" t="s">
        <v>19239</v>
      </c>
      <c r="I347" s="30">
        <v>45075</v>
      </c>
      <c r="J347" s="30">
        <v>45077</v>
      </c>
      <c r="K347" s="51">
        <v>3</v>
      </c>
      <c r="L347" s="29">
        <v>10</v>
      </c>
      <c r="M347" s="27" t="s">
        <v>25036</v>
      </c>
    </row>
    <row r="348" spans="1:13" s="27" customFormat="1" ht="17.25" customHeight="1" x14ac:dyDescent="0.25">
      <c r="A348" s="28" t="s">
        <v>5</v>
      </c>
      <c r="B348" s="28">
        <v>70353047</v>
      </c>
      <c r="C348" s="38" t="s">
        <v>25714</v>
      </c>
      <c r="D348" s="38" t="s">
        <v>25715</v>
      </c>
      <c r="E348" s="38" t="s">
        <v>25091</v>
      </c>
      <c r="F348" s="38" t="s">
        <v>25716</v>
      </c>
      <c r="G348" s="28" t="s">
        <v>19229</v>
      </c>
      <c r="H348" s="28" t="s">
        <v>19238</v>
      </c>
      <c r="I348" s="30">
        <v>45076</v>
      </c>
      <c r="J348" s="30">
        <v>45090</v>
      </c>
      <c r="K348" s="51">
        <v>15</v>
      </c>
      <c r="L348" s="29"/>
      <c r="M348" s="27" t="s">
        <v>19257</v>
      </c>
    </row>
    <row r="349" spans="1:13" s="27" customFormat="1" ht="17.25" customHeight="1" x14ac:dyDescent="0.25">
      <c r="A349" s="28" t="s">
        <v>5</v>
      </c>
      <c r="B349" s="28">
        <v>98493617</v>
      </c>
      <c r="C349" s="38" t="s">
        <v>25109</v>
      </c>
      <c r="D349" s="38" t="s">
        <v>25497</v>
      </c>
      <c r="E349" s="38" t="s">
        <v>25188</v>
      </c>
      <c r="F349" s="38" t="s">
        <v>25064</v>
      </c>
      <c r="G349" s="28" t="s">
        <v>19229</v>
      </c>
      <c r="H349" s="28" t="s">
        <v>19238</v>
      </c>
      <c r="I349" s="59">
        <v>45076</v>
      </c>
      <c r="J349" s="59">
        <v>45090</v>
      </c>
      <c r="K349" s="53">
        <v>15</v>
      </c>
      <c r="L349" s="29"/>
      <c r="M349" s="27" t="s">
        <v>19257</v>
      </c>
    </row>
    <row r="350" spans="1:13" s="27" customFormat="1" ht="17.25" customHeight="1" x14ac:dyDescent="0.25">
      <c r="A350" s="28" t="s">
        <v>4</v>
      </c>
      <c r="B350" s="28">
        <v>3556779</v>
      </c>
      <c r="C350" s="38" t="s">
        <v>25008</v>
      </c>
      <c r="D350" s="38" t="s">
        <v>24992</v>
      </c>
      <c r="E350" s="38" t="s">
        <v>25009</v>
      </c>
      <c r="F350" s="38" t="s">
        <v>25010</v>
      </c>
      <c r="G350" s="28" t="s">
        <v>19229</v>
      </c>
      <c r="H350" s="28" t="s">
        <v>19240</v>
      </c>
      <c r="I350" s="30">
        <v>45077</v>
      </c>
      <c r="J350" s="30">
        <v>45077</v>
      </c>
      <c r="K350" s="51">
        <v>1</v>
      </c>
      <c r="L350" s="29"/>
      <c r="M350" s="27" t="s">
        <v>24991</v>
      </c>
    </row>
    <row r="351" spans="1:13" s="27" customFormat="1" ht="17.25" customHeight="1" x14ac:dyDescent="0.25">
      <c r="A351" s="28" t="s">
        <v>5</v>
      </c>
      <c r="B351" s="28">
        <v>1001025141</v>
      </c>
      <c r="C351" s="38" t="s">
        <v>25079</v>
      </c>
      <c r="D351" s="38" t="s">
        <v>25145</v>
      </c>
      <c r="E351" s="38" t="s">
        <v>25709</v>
      </c>
      <c r="F351" s="38" t="s">
        <v>25710</v>
      </c>
      <c r="G351" s="28" t="s">
        <v>19229</v>
      </c>
      <c r="H351" s="28" t="s">
        <v>19240</v>
      </c>
      <c r="I351" s="30">
        <v>45078</v>
      </c>
      <c r="J351" s="30">
        <v>45079</v>
      </c>
      <c r="K351" s="51">
        <v>2</v>
      </c>
      <c r="L351" s="29"/>
      <c r="M351" s="27" t="s">
        <v>24991</v>
      </c>
    </row>
    <row r="352" spans="1:13" s="27" customFormat="1" ht="17.25" customHeight="1" x14ac:dyDescent="0.25">
      <c r="A352" s="28" t="s">
        <v>5</v>
      </c>
      <c r="B352" s="28">
        <v>71650158</v>
      </c>
      <c r="C352" s="38" t="s">
        <v>24998</v>
      </c>
      <c r="D352" s="38" t="s">
        <v>25356</v>
      </c>
      <c r="E352" s="38" t="s">
        <v>25358</v>
      </c>
      <c r="F352" s="38" t="s">
        <v>25005</v>
      </c>
      <c r="G352" s="28" t="s">
        <v>19229</v>
      </c>
      <c r="H352" s="28" t="s">
        <v>19238</v>
      </c>
      <c r="I352" s="30">
        <v>45078</v>
      </c>
      <c r="J352" s="30">
        <v>45092</v>
      </c>
      <c r="K352" s="51">
        <v>15</v>
      </c>
      <c r="L352" s="29"/>
      <c r="M352" s="27" t="s">
        <v>19257</v>
      </c>
    </row>
    <row r="353" spans="1:13" s="27" customFormat="1" ht="17.25" customHeight="1" x14ac:dyDescent="0.25">
      <c r="A353" s="28" t="s">
        <v>5</v>
      </c>
      <c r="B353" s="28">
        <v>71619744</v>
      </c>
      <c r="C353" s="38" t="s">
        <v>25319</v>
      </c>
      <c r="D353" s="38" t="s">
        <v>25109</v>
      </c>
      <c r="E353" s="38" t="s">
        <v>25188</v>
      </c>
      <c r="F353" s="38" t="s">
        <v>25320</v>
      </c>
      <c r="G353" s="28" t="s">
        <v>19229</v>
      </c>
      <c r="H353" s="28" t="s">
        <v>19238</v>
      </c>
      <c r="I353" s="30">
        <v>45078</v>
      </c>
      <c r="J353" s="30">
        <v>45092</v>
      </c>
      <c r="K353" s="51">
        <v>15</v>
      </c>
      <c r="L353" s="29"/>
      <c r="M353" s="27" t="s">
        <v>19257</v>
      </c>
    </row>
    <row r="354" spans="1:13" s="27" customFormat="1" ht="17.25" customHeight="1" x14ac:dyDescent="0.25">
      <c r="A354" s="28" t="s">
        <v>5</v>
      </c>
      <c r="B354" s="28">
        <v>1068813296</v>
      </c>
      <c r="C354" s="38" t="s">
        <v>25026</v>
      </c>
      <c r="D354" s="38" t="s">
        <v>25027</v>
      </c>
      <c r="E354" s="38" t="s">
        <v>25028</v>
      </c>
      <c r="F354" s="38" t="s">
        <v>25029</v>
      </c>
      <c r="G354" s="28" t="s">
        <v>19229</v>
      </c>
      <c r="H354" s="28" t="s">
        <v>19238</v>
      </c>
      <c r="I354" s="30">
        <v>45078</v>
      </c>
      <c r="J354" s="30">
        <v>45092</v>
      </c>
      <c r="K354" s="51">
        <v>15</v>
      </c>
      <c r="L354" s="29"/>
      <c r="M354" s="27" t="s">
        <v>19257</v>
      </c>
    </row>
    <row r="355" spans="1:13" s="27" customFormat="1" ht="17.25" customHeight="1" x14ac:dyDescent="0.25">
      <c r="A355" s="28" t="s">
        <v>5</v>
      </c>
      <c r="B355" s="28">
        <v>8527099</v>
      </c>
      <c r="C355" s="38" t="s">
        <v>25727</v>
      </c>
      <c r="D355" s="38" t="s">
        <v>24980</v>
      </c>
      <c r="E355" s="38" t="s">
        <v>25183</v>
      </c>
      <c r="F355" s="38" t="s">
        <v>25640</v>
      </c>
      <c r="G355" s="28" t="s">
        <v>19229</v>
      </c>
      <c r="H355" s="28" t="s">
        <v>19238</v>
      </c>
      <c r="I355" s="30">
        <v>45078</v>
      </c>
      <c r="J355" s="30" t="s">
        <v>25728</v>
      </c>
      <c r="K355" s="51">
        <v>15</v>
      </c>
      <c r="L355" s="29"/>
      <c r="M355" s="27" t="s">
        <v>19257</v>
      </c>
    </row>
    <row r="356" spans="1:13" s="27" customFormat="1" ht="17.25" customHeight="1" x14ac:dyDescent="0.25">
      <c r="A356" s="28" t="s">
        <v>5</v>
      </c>
      <c r="B356" s="28">
        <v>1040356597</v>
      </c>
      <c r="C356" s="38" t="s">
        <v>25732</v>
      </c>
      <c r="D356" s="38" t="s">
        <v>25609</v>
      </c>
      <c r="E356" s="38" t="s">
        <v>25241</v>
      </c>
      <c r="F356" s="38" t="s">
        <v>25057</v>
      </c>
      <c r="G356" s="28" t="s">
        <v>19285</v>
      </c>
      <c r="H356" s="28" t="s">
        <v>19239</v>
      </c>
      <c r="I356" s="30">
        <v>45078</v>
      </c>
      <c r="J356" s="30">
        <v>45080</v>
      </c>
      <c r="K356" s="51">
        <v>3</v>
      </c>
      <c r="L356" s="29">
        <v>4</v>
      </c>
      <c r="M356" s="27" t="s">
        <v>25067</v>
      </c>
    </row>
    <row r="357" spans="1:13" s="27" customFormat="1" ht="17.25" customHeight="1" x14ac:dyDescent="0.25">
      <c r="A357" s="28" t="s">
        <v>5</v>
      </c>
      <c r="B357" s="28">
        <v>71984975</v>
      </c>
      <c r="C357" s="38" t="s">
        <v>25420</v>
      </c>
      <c r="D357" s="38" t="s">
        <v>25736</v>
      </c>
      <c r="E357" s="38" t="s">
        <v>25737</v>
      </c>
      <c r="F357" s="38"/>
      <c r="G357" s="28" t="s">
        <v>19229</v>
      </c>
      <c r="H357" s="28" t="s">
        <v>19238</v>
      </c>
      <c r="I357" s="30">
        <v>45079</v>
      </c>
      <c r="J357" s="30">
        <v>45102</v>
      </c>
      <c r="K357" s="51">
        <v>24</v>
      </c>
      <c r="L357" s="29"/>
      <c r="M357" s="27" t="s">
        <v>19257</v>
      </c>
    </row>
    <row r="358" spans="1:13" s="27" customFormat="1" ht="17.25" customHeight="1" x14ac:dyDescent="0.25">
      <c r="A358" s="28" t="s">
        <v>5</v>
      </c>
      <c r="B358" s="28">
        <v>98682327</v>
      </c>
      <c r="C358" s="38" t="s">
        <v>25053</v>
      </c>
      <c r="D358" s="38" t="s">
        <v>25738</v>
      </c>
      <c r="E358" s="38" t="s">
        <v>25739</v>
      </c>
      <c r="F358" s="38" t="s">
        <v>25740</v>
      </c>
      <c r="G358" s="28" t="s">
        <v>19229</v>
      </c>
      <c r="H358" s="28" t="s">
        <v>19240</v>
      </c>
      <c r="I358" s="30">
        <v>45079</v>
      </c>
      <c r="J358" s="30">
        <v>45083</v>
      </c>
      <c r="K358" s="51">
        <v>5</v>
      </c>
      <c r="L358" s="29"/>
      <c r="M358" s="27" t="s">
        <v>26223</v>
      </c>
    </row>
    <row r="359" spans="1:13" s="27" customFormat="1" ht="17.25" customHeight="1" x14ac:dyDescent="0.25">
      <c r="A359" s="28" t="s">
        <v>5</v>
      </c>
      <c r="B359" s="28">
        <v>1000442293</v>
      </c>
      <c r="C359" s="38" t="s">
        <v>25435</v>
      </c>
      <c r="D359" s="38" t="s">
        <v>25083</v>
      </c>
      <c r="E359" s="38" t="s">
        <v>25516</v>
      </c>
      <c r="F359" s="38" t="s">
        <v>25517</v>
      </c>
      <c r="G359" s="28" t="s">
        <v>19229</v>
      </c>
      <c r="H359" s="28" t="s">
        <v>19240</v>
      </c>
      <c r="I359" s="30">
        <v>45080</v>
      </c>
      <c r="J359" s="30">
        <v>45080</v>
      </c>
      <c r="K359" s="51">
        <v>1</v>
      </c>
      <c r="L359" s="29"/>
      <c r="M359" s="27" t="s">
        <v>24991</v>
      </c>
    </row>
    <row r="360" spans="1:13" s="27" customFormat="1" ht="17.25" customHeight="1" x14ac:dyDescent="0.25">
      <c r="A360" s="28" t="s">
        <v>5</v>
      </c>
      <c r="B360" s="28">
        <v>85163750</v>
      </c>
      <c r="C360" s="38" t="s">
        <v>25041</v>
      </c>
      <c r="D360" s="38" t="s">
        <v>25424</v>
      </c>
      <c r="E360" s="38" t="s">
        <v>25712</v>
      </c>
      <c r="F360" s="38"/>
      <c r="G360" s="28" t="s">
        <v>19229</v>
      </c>
      <c r="H360" s="28" t="s">
        <v>19238</v>
      </c>
      <c r="I360" s="30">
        <v>45080</v>
      </c>
      <c r="J360" s="30">
        <v>45087</v>
      </c>
      <c r="K360" s="51">
        <v>8</v>
      </c>
      <c r="L360" s="29"/>
      <c r="M360" s="27" t="s">
        <v>19257</v>
      </c>
    </row>
    <row r="361" spans="1:13" s="27" customFormat="1" ht="17.25" customHeight="1" x14ac:dyDescent="0.25">
      <c r="A361" s="28" t="s">
        <v>5</v>
      </c>
      <c r="B361" s="28">
        <v>70786990</v>
      </c>
      <c r="C361" s="38" t="s">
        <v>25004</v>
      </c>
      <c r="D361" s="38" t="s">
        <v>25401</v>
      </c>
      <c r="E361" s="38" t="s">
        <v>25713</v>
      </c>
      <c r="F361" s="38" t="s">
        <v>25103</v>
      </c>
      <c r="G361" s="28" t="s">
        <v>19229</v>
      </c>
      <c r="H361" s="28" t="s">
        <v>19238</v>
      </c>
      <c r="I361" s="30">
        <v>45080</v>
      </c>
      <c r="J361" s="30">
        <v>45094</v>
      </c>
      <c r="K361" s="51">
        <v>15</v>
      </c>
      <c r="L361" s="29"/>
      <c r="M361" s="27" t="s">
        <v>19257</v>
      </c>
    </row>
    <row r="362" spans="1:13" s="27" customFormat="1" ht="17.25" customHeight="1" x14ac:dyDescent="0.25">
      <c r="A362" s="28" t="s">
        <v>5</v>
      </c>
      <c r="B362" s="28">
        <v>1147957427</v>
      </c>
      <c r="C362" s="38" t="s">
        <v>25401</v>
      </c>
      <c r="D362" s="38" t="s">
        <v>25008</v>
      </c>
      <c r="E362" s="38" t="s">
        <v>19256</v>
      </c>
      <c r="F362" s="38" t="s">
        <v>25439</v>
      </c>
      <c r="G362" s="28" t="s">
        <v>19229</v>
      </c>
      <c r="H362" s="28" t="s">
        <v>19238</v>
      </c>
      <c r="I362" s="30">
        <v>45080</v>
      </c>
      <c r="J362" s="30">
        <v>45093</v>
      </c>
      <c r="K362" s="51">
        <v>15</v>
      </c>
      <c r="L362" s="29"/>
      <c r="M362" s="27" t="s">
        <v>19257</v>
      </c>
    </row>
    <row r="363" spans="1:13" s="27" customFormat="1" ht="17.25" customHeight="1" x14ac:dyDescent="0.25">
      <c r="A363" s="28" t="s">
        <v>5</v>
      </c>
      <c r="B363" s="28">
        <v>1003205624</v>
      </c>
      <c r="C363" s="38" t="s">
        <v>25696</v>
      </c>
      <c r="D363" s="38" t="s">
        <v>25390</v>
      </c>
      <c r="E363" s="38" t="s">
        <v>25130</v>
      </c>
      <c r="F363" s="38" t="s">
        <v>25010</v>
      </c>
      <c r="G363" s="28" t="s">
        <v>19229</v>
      </c>
      <c r="H363" s="28" t="s">
        <v>19240</v>
      </c>
      <c r="I363" s="30">
        <v>45081</v>
      </c>
      <c r="J363" s="30">
        <v>45081</v>
      </c>
      <c r="K363" s="51">
        <v>1</v>
      </c>
      <c r="L363" s="29"/>
      <c r="M363" s="27" t="s">
        <v>24991</v>
      </c>
    </row>
    <row r="364" spans="1:13" s="27" customFormat="1" ht="17.25" customHeight="1" x14ac:dyDescent="0.25">
      <c r="A364" s="28" t="s">
        <v>5</v>
      </c>
      <c r="B364" s="28">
        <v>72043118</v>
      </c>
      <c r="C364" s="38" t="s">
        <v>25630</v>
      </c>
      <c r="D364" s="38" t="s">
        <v>25069</v>
      </c>
      <c r="E364" s="38" t="s">
        <v>25070</v>
      </c>
      <c r="F364" s="38" t="s">
        <v>25071</v>
      </c>
      <c r="G364" s="28" t="s">
        <v>19229</v>
      </c>
      <c r="H364" s="28" t="s">
        <v>19239</v>
      </c>
      <c r="I364" s="30">
        <v>45082</v>
      </c>
      <c r="J364" s="30">
        <v>45082</v>
      </c>
      <c r="K364" s="51">
        <v>1</v>
      </c>
      <c r="L364" s="29">
        <v>9</v>
      </c>
      <c r="M364" s="27" t="s">
        <v>25036</v>
      </c>
    </row>
    <row r="365" spans="1:13" s="27" customFormat="1" ht="17.25" customHeight="1" x14ac:dyDescent="0.25">
      <c r="A365" s="28" t="s">
        <v>5</v>
      </c>
      <c r="B365" s="28">
        <v>71762684</v>
      </c>
      <c r="C365" s="38" t="s">
        <v>25105</v>
      </c>
      <c r="D365" s="38" t="s">
        <v>25733</v>
      </c>
      <c r="E365" s="38" t="s">
        <v>25113</v>
      </c>
      <c r="F365" s="38" t="s">
        <v>25734</v>
      </c>
      <c r="G365" s="28" t="s">
        <v>19229</v>
      </c>
      <c r="H365" s="28" t="s">
        <v>19239</v>
      </c>
      <c r="I365" s="30">
        <v>45082</v>
      </c>
      <c r="J365" s="30">
        <v>45082</v>
      </c>
      <c r="K365" s="51">
        <v>1</v>
      </c>
      <c r="L365" s="29">
        <v>4</v>
      </c>
      <c r="M365" s="27" t="s">
        <v>25036</v>
      </c>
    </row>
    <row r="366" spans="1:13" s="27" customFormat="1" ht="17.25" customHeight="1" x14ac:dyDescent="0.25">
      <c r="A366" s="28" t="s">
        <v>5</v>
      </c>
      <c r="B366" s="28">
        <v>18396000</v>
      </c>
      <c r="C366" s="38" t="s">
        <v>25034</v>
      </c>
      <c r="D366" s="38" t="s">
        <v>25030</v>
      </c>
      <c r="E366" s="38" t="s">
        <v>25091</v>
      </c>
      <c r="F366" s="38" t="s">
        <v>25110</v>
      </c>
      <c r="G366" s="28" t="s">
        <v>19229</v>
      </c>
      <c r="H366" s="28" t="s">
        <v>19240</v>
      </c>
      <c r="I366" s="30">
        <v>45082</v>
      </c>
      <c r="J366" s="30">
        <v>45082</v>
      </c>
      <c r="K366" s="51">
        <v>1</v>
      </c>
      <c r="L366" s="29"/>
      <c r="M366" s="27" t="s">
        <v>24991</v>
      </c>
    </row>
    <row r="367" spans="1:13" s="27" customFormat="1" ht="17.25" customHeight="1" x14ac:dyDescent="0.25">
      <c r="A367" s="28" t="s">
        <v>5</v>
      </c>
      <c r="B367" s="28">
        <v>1036955521</v>
      </c>
      <c r="C367" s="38" t="s">
        <v>25682</v>
      </c>
      <c r="D367" s="38" t="s">
        <v>25498</v>
      </c>
      <c r="E367" s="38" t="s">
        <v>25683</v>
      </c>
      <c r="F367" s="38"/>
      <c r="G367" s="28" t="s">
        <v>19229</v>
      </c>
      <c r="H367" s="28" t="s">
        <v>19239</v>
      </c>
      <c r="I367" s="30">
        <v>45083</v>
      </c>
      <c r="J367" s="30">
        <v>45089</v>
      </c>
      <c r="K367" s="51">
        <v>7</v>
      </c>
      <c r="L367" s="29">
        <v>19</v>
      </c>
      <c r="M367" s="27" t="s">
        <v>25036</v>
      </c>
    </row>
    <row r="368" spans="1:13" s="27" customFormat="1" ht="17.25" customHeight="1" x14ac:dyDescent="0.25">
      <c r="A368" s="28" t="s">
        <v>5</v>
      </c>
      <c r="B368" s="28">
        <v>1066718661</v>
      </c>
      <c r="C368" s="38" t="s">
        <v>25749</v>
      </c>
      <c r="D368" s="38" t="s">
        <v>25750</v>
      </c>
      <c r="E368" s="38" t="s">
        <v>25183</v>
      </c>
      <c r="F368" s="38" t="s">
        <v>25283</v>
      </c>
      <c r="G368" s="28" t="s">
        <v>19229</v>
      </c>
      <c r="H368" s="28" t="s">
        <v>19238</v>
      </c>
      <c r="I368" s="30">
        <v>45083</v>
      </c>
      <c r="J368" s="30">
        <v>45090</v>
      </c>
      <c r="K368" s="51">
        <v>8</v>
      </c>
      <c r="L368" s="29"/>
      <c r="M368" s="27" t="s">
        <v>19257</v>
      </c>
    </row>
    <row r="369" spans="1:13" s="27" customFormat="1" ht="17.25" customHeight="1" x14ac:dyDescent="0.25">
      <c r="A369" s="28" t="s">
        <v>5</v>
      </c>
      <c r="B369" s="28">
        <v>98532839</v>
      </c>
      <c r="C369" s="38" t="s">
        <v>25751</v>
      </c>
      <c r="D369" s="38" t="s">
        <v>25094</v>
      </c>
      <c r="E369" s="38" t="s">
        <v>25752</v>
      </c>
      <c r="F369" s="38" t="s">
        <v>25301</v>
      </c>
      <c r="G369" s="28" t="s">
        <v>19229</v>
      </c>
      <c r="H369" s="28" t="s">
        <v>19238</v>
      </c>
      <c r="I369" s="30">
        <v>45083</v>
      </c>
      <c r="J369" s="30">
        <v>45097</v>
      </c>
      <c r="K369" s="51">
        <v>15</v>
      </c>
      <c r="L369" s="29"/>
      <c r="M369" s="27" t="s">
        <v>19257</v>
      </c>
    </row>
    <row r="370" spans="1:13" s="27" customFormat="1" ht="17.25" customHeight="1" x14ac:dyDescent="0.25">
      <c r="A370" s="28" t="s">
        <v>5</v>
      </c>
      <c r="B370" s="28">
        <v>14572160</v>
      </c>
      <c r="C370" s="38" t="s">
        <v>25073</v>
      </c>
      <c r="D370" s="38" t="s">
        <v>25756</v>
      </c>
      <c r="E370" s="38" t="s">
        <v>25522</v>
      </c>
      <c r="F370" s="38" t="s">
        <v>25135</v>
      </c>
      <c r="G370" s="28" t="s">
        <v>19229</v>
      </c>
      <c r="H370" s="28" t="s">
        <v>19238</v>
      </c>
      <c r="I370" s="30">
        <v>45085</v>
      </c>
      <c r="J370" s="30">
        <v>45099</v>
      </c>
      <c r="K370" s="51">
        <v>15</v>
      </c>
      <c r="L370" s="29"/>
      <c r="M370" s="27" t="s">
        <v>19257</v>
      </c>
    </row>
    <row r="371" spans="1:13" s="27" customFormat="1" ht="17.25" customHeight="1" x14ac:dyDescent="0.25">
      <c r="A371" s="28" t="s">
        <v>5</v>
      </c>
      <c r="B371" s="28">
        <v>71906669</v>
      </c>
      <c r="C371" s="38" t="s">
        <v>25390</v>
      </c>
      <c r="D371" s="38" t="s">
        <v>25314</v>
      </c>
      <c r="E371" s="38" t="s">
        <v>25130</v>
      </c>
      <c r="F371" s="38" t="s">
        <v>25255</v>
      </c>
      <c r="G371" s="28" t="s">
        <v>19229</v>
      </c>
      <c r="H371" s="28" t="s">
        <v>19238</v>
      </c>
      <c r="I371" s="30">
        <v>45085</v>
      </c>
      <c r="J371" s="30">
        <v>45099</v>
      </c>
      <c r="K371" s="51">
        <v>15</v>
      </c>
      <c r="L371" s="29"/>
      <c r="M371" s="27" t="s">
        <v>19257</v>
      </c>
    </row>
    <row r="372" spans="1:13" s="27" customFormat="1" ht="17.25" customHeight="1" x14ac:dyDescent="0.25">
      <c r="A372" s="28" t="s">
        <v>5</v>
      </c>
      <c r="B372" s="28">
        <v>1041267977</v>
      </c>
      <c r="C372" s="38" t="s">
        <v>25126</v>
      </c>
      <c r="D372" s="38" t="s">
        <v>25426</v>
      </c>
      <c r="E372" s="38" t="s">
        <v>25029</v>
      </c>
      <c r="F372" s="38" t="s">
        <v>25706</v>
      </c>
      <c r="G372" s="28" t="s">
        <v>19229</v>
      </c>
      <c r="H372" s="28" t="s">
        <v>19240</v>
      </c>
      <c r="I372" s="30">
        <v>45086</v>
      </c>
      <c r="J372" s="30">
        <v>45088</v>
      </c>
      <c r="K372" s="51">
        <v>3</v>
      </c>
      <c r="L372" s="29"/>
      <c r="M372" s="27" t="s">
        <v>24991</v>
      </c>
    </row>
    <row r="373" spans="1:13" s="27" customFormat="1" ht="17.25" customHeight="1" x14ac:dyDescent="0.25">
      <c r="A373" s="28" t="s">
        <v>5</v>
      </c>
      <c r="B373" s="28">
        <v>1106770128</v>
      </c>
      <c r="C373" s="38" t="s">
        <v>25757</v>
      </c>
      <c r="D373" s="38" t="s">
        <v>25758</v>
      </c>
      <c r="E373" s="38" t="s">
        <v>25759</v>
      </c>
      <c r="F373" s="38"/>
      <c r="G373" s="28" t="s">
        <v>19229</v>
      </c>
      <c r="H373" s="28" t="s">
        <v>19238</v>
      </c>
      <c r="I373" s="30">
        <v>45087</v>
      </c>
      <c r="J373" s="30">
        <v>45101</v>
      </c>
      <c r="K373" s="51">
        <v>15</v>
      </c>
      <c r="L373" s="29"/>
      <c r="M373" s="27" t="s">
        <v>19257</v>
      </c>
    </row>
    <row r="374" spans="1:13" s="27" customFormat="1" ht="17.25" customHeight="1" x14ac:dyDescent="0.25">
      <c r="A374" s="28" t="s">
        <v>5</v>
      </c>
      <c r="B374" s="28">
        <v>43201943</v>
      </c>
      <c r="C374" s="38" t="s">
        <v>25477</v>
      </c>
      <c r="D374" s="38" t="s">
        <v>25181</v>
      </c>
      <c r="E374" s="38" t="s">
        <v>25478</v>
      </c>
      <c r="F374" s="38" t="s">
        <v>25479</v>
      </c>
      <c r="G374" s="28" t="s">
        <v>19229</v>
      </c>
      <c r="H374" s="28" t="s">
        <v>19238</v>
      </c>
      <c r="I374" s="30">
        <v>45087</v>
      </c>
      <c r="J374" s="30">
        <v>45101</v>
      </c>
      <c r="K374" s="51">
        <v>15</v>
      </c>
      <c r="L374" s="29"/>
      <c r="M374" s="27" t="s">
        <v>19257</v>
      </c>
    </row>
    <row r="375" spans="1:13" s="27" customFormat="1" ht="17.25" customHeight="1" x14ac:dyDescent="0.25">
      <c r="A375" s="28" t="s">
        <v>5</v>
      </c>
      <c r="B375" s="28">
        <v>18396000</v>
      </c>
      <c r="C375" s="38" t="s">
        <v>25034</v>
      </c>
      <c r="D375" s="38" t="s">
        <v>25030</v>
      </c>
      <c r="E375" s="38" t="s">
        <v>25091</v>
      </c>
      <c r="F375" s="38" t="s">
        <v>25110</v>
      </c>
      <c r="G375" s="28" t="s">
        <v>19229</v>
      </c>
      <c r="H375" s="28" t="s">
        <v>19240</v>
      </c>
      <c r="I375" s="30">
        <v>45087</v>
      </c>
      <c r="J375" s="30">
        <v>45087</v>
      </c>
      <c r="K375" s="51">
        <v>1</v>
      </c>
      <c r="L375" s="29"/>
      <c r="M375" s="27" t="s">
        <v>24991</v>
      </c>
    </row>
    <row r="376" spans="1:13" s="27" customFormat="1" ht="17.25" customHeight="1" x14ac:dyDescent="0.25">
      <c r="A376" s="28" t="s">
        <v>5</v>
      </c>
      <c r="B376" s="28">
        <v>85163750</v>
      </c>
      <c r="C376" s="38" t="s">
        <v>25041</v>
      </c>
      <c r="D376" s="38" t="s">
        <v>25424</v>
      </c>
      <c r="E376" s="38" t="s">
        <v>25712</v>
      </c>
      <c r="F376" s="38"/>
      <c r="G376" s="28" t="s">
        <v>19229</v>
      </c>
      <c r="H376" s="28" t="s">
        <v>19238</v>
      </c>
      <c r="I376" s="30">
        <v>45088</v>
      </c>
      <c r="J376" s="30">
        <v>45095</v>
      </c>
      <c r="K376" s="51">
        <v>8</v>
      </c>
      <c r="L376" s="29"/>
      <c r="M376" s="27" t="s">
        <v>19257</v>
      </c>
    </row>
    <row r="377" spans="1:13" s="27" customFormat="1" ht="17.25" customHeight="1" x14ac:dyDescent="0.25">
      <c r="A377" s="28" t="s">
        <v>5</v>
      </c>
      <c r="B377" s="28">
        <v>71268805</v>
      </c>
      <c r="C377" s="38" t="s">
        <v>25118</v>
      </c>
      <c r="D377" s="38" t="s">
        <v>25114</v>
      </c>
      <c r="E377" s="38" t="s">
        <v>25397</v>
      </c>
      <c r="F377" s="38" t="s">
        <v>25010</v>
      </c>
      <c r="G377" s="28" t="s">
        <v>19229</v>
      </c>
      <c r="H377" s="28" t="s">
        <v>19238</v>
      </c>
      <c r="I377" s="30">
        <v>45090</v>
      </c>
      <c r="J377" s="30">
        <v>45097</v>
      </c>
      <c r="K377" s="51">
        <v>8</v>
      </c>
      <c r="L377" s="29"/>
      <c r="M377" s="27" t="s">
        <v>19257</v>
      </c>
    </row>
    <row r="378" spans="1:13" s="27" customFormat="1" ht="17.25" customHeight="1" x14ac:dyDescent="0.25">
      <c r="A378" s="28" t="s">
        <v>5</v>
      </c>
      <c r="B378" s="28">
        <v>1035303873</v>
      </c>
      <c r="C378" s="38" t="s">
        <v>25454</v>
      </c>
      <c r="D378" s="38" t="s">
        <v>25588</v>
      </c>
      <c r="E378" s="38" t="s">
        <v>25760</v>
      </c>
      <c r="F378" s="38" t="s">
        <v>25010</v>
      </c>
      <c r="G378" s="28" t="s">
        <v>19229</v>
      </c>
      <c r="H378" s="28" t="s">
        <v>19238</v>
      </c>
      <c r="I378" s="30">
        <v>45090</v>
      </c>
      <c r="J378" s="30">
        <v>45104</v>
      </c>
      <c r="K378" s="51">
        <v>15</v>
      </c>
      <c r="L378" s="29"/>
      <c r="M378" s="27" t="s">
        <v>19257</v>
      </c>
    </row>
    <row r="379" spans="1:13" s="27" customFormat="1" ht="17.25" customHeight="1" x14ac:dyDescent="0.25">
      <c r="A379" s="28" t="s">
        <v>5</v>
      </c>
      <c r="B379" s="28">
        <v>15609339</v>
      </c>
      <c r="C379" s="38" t="s">
        <v>25034</v>
      </c>
      <c r="D379" s="38" t="s">
        <v>25053</v>
      </c>
      <c r="E379" s="38" t="s">
        <v>25766</v>
      </c>
      <c r="F379" s="38" t="s">
        <v>25103</v>
      </c>
      <c r="G379" s="28" t="s">
        <v>19229</v>
      </c>
      <c r="H379" s="28" t="s">
        <v>19238</v>
      </c>
      <c r="I379" s="30">
        <v>45090</v>
      </c>
      <c r="J379" s="30">
        <v>45104</v>
      </c>
      <c r="K379" s="51">
        <v>15</v>
      </c>
      <c r="L379" s="29"/>
      <c r="M379" s="27" t="s">
        <v>19257</v>
      </c>
    </row>
    <row r="380" spans="1:13" s="27" customFormat="1" ht="17.25" customHeight="1" x14ac:dyDescent="0.25">
      <c r="A380" s="28" t="s">
        <v>5</v>
      </c>
      <c r="B380" s="28">
        <v>1001025115</v>
      </c>
      <c r="C380" s="38" t="s">
        <v>25274</v>
      </c>
      <c r="D380" s="38" t="s">
        <v>25769</v>
      </c>
      <c r="E380" s="38" t="s">
        <v>25770</v>
      </c>
      <c r="F380" s="38" t="s">
        <v>25056</v>
      </c>
      <c r="G380" s="28" t="s">
        <v>19229</v>
      </c>
      <c r="H380" s="28" t="s">
        <v>19238</v>
      </c>
      <c r="I380" s="30">
        <v>45090</v>
      </c>
      <c r="J380" s="30">
        <v>45105</v>
      </c>
      <c r="K380" s="51">
        <v>15</v>
      </c>
      <c r="L380" s="29"/>
      <c r="M380" s="27" t="s">
        <v>19257</v>
      </c>
    </row>
    <row r="381" spans="1:13" s="27" customFormat="1" ht="17.25" customHeight="1" x14ac:dyDescent="0.25">
      <c r="A381" s="28" t="s">
        <v>5</v>
      </c>
      <c r="B381" s="28">
        <v>1037323518</v>
      </c>
      <c r="C381" s="38" t="s">
        <v>25401</v>
      </c>
      <c r="D381" s="38" t="s">
        <v>25424</v>
      </c>
      <c r="E381" s="38" t="s">
        <v>24988</v>
      </c>
      <c r="F381" s="38" t="s">
        <v>25103</v>
      </c>
      <c r="G381" s="28" t="s">
        <v>19229</v>
      </c>
      <c r="H381" s="28" t="s">
        <v>19238</v>
      </c>
      <c r="I381" s="30">
        <v>45090</v>
      </c>
      <c r="J381" s="30">
        <v>45097</v>
      </c>
      <c r="K381" s="51">
        <v>8</v>
      </c>
      <c r="L381" s="29"/>
      <c r="M381" s="27" t="s">
        <v>19257</v>
      </c>
    </row>
    <row r="382" spans="1:13" s="27" customFormat="1" ht="17.25" customHeight="1" x14ac:dyDescent="0.25">
      <c r="A382" s="28" t="s">
        <v>5</v>
      </c>
      <c r="B382" s="28">
        <v>1066718661</v>
      </c>
      <c r="C382" s="38" t="s">
        <v>25749</v>
      </c>
      <c r="D382" s="38" t="s">
        <v>25750</v>
      </c>
      <c r="E382" s="38" t="s">
        <v>25183</v>
      </c>
      <c r="F382" s="38" t="s">
        <v>25283</v>
      </c>
      <c r="G382" s="28" t="s">
        <v>19229</v>
      </c>
      <c r="H382" s="28" t="s">
        <v>19238</v>
      </c>
      <c r="I382" s="30">
        <v>45091</v>
      </c>
      <c r="J382" s="30">
        <v>45098</v>
      </c>
      <c r="K382" s="51">
        <v>8</v>
      </c>
      <c r="L382" s="29"/>
      <c r="M382" s="27" t="s">
        <v>19257</v>
      </c>
    </row>
    <row r="383" spans="1:13" s="27" customFormat="1" ht="17.25" customHeight="1" x14ac:dyDescent="0.25">
      <c r="A383" s="28" t="s">
        <v>5</v>
      </c>
      <c r="B383" s="28">
        <v>1001025141</v>
      </c>
      <c r="C383" s="38" t="s">
        <v>25079</v>
      </c>
      <c r="D383" s="38" t="s">
        <v>24992</v>
      </c>
      <c r="E383" s="38" t="s">
        <v>25709</v>
      </c>
      <c r="F383" s="38" t="s">
        <v>25710</v>
      </c>
      <c r="G383" s="28" t="s">
        <v>19285</v>
      </c>
      <c r="H383" s="28" t="s">
        <v>19239</v>
      </c>
      <c r="I383" s="30">
        <v>45091</v>
      </c>
      <c r="J383" s="30">
        <v>45091</v>
      </c>
      <c r="K383" s="51">
        <v>1</v>
      </c>
      <c r="L383" s="29">
        <v>4</v>
      </c>
      <c r="M383" s="27" t="s">
        <v>25036</v>
      </c>
    </row>
    <row r="384" spans="1:13" s="27" customFormat="1" ht="17.25" customHeight="1" x14ac:dyDescent="0.25">
      <c r="A384" s="28" t="s">
        <v>5</v>
      </c>
      <c r="B384" s="28">
        <v>1152711359</v>
      </c>
      <c r="C384" s="38" t="s">
        <v>25147</v>
      </c>
      <c r="D384" s="38" t="s">
        <v>25053</v>
      </c>
      <c r="E384" s="38" t="s">
        <v>25148</v>
      </c>
      <c r="F384" s="38"/>
      <c r="G384" s="28" t="s">
        <v>19229</v>
      </c>
      <c r="H384" s="28" t="s">
        <v>19239</v>
      </c>
      <c r="I384" s="30">
        <v>45091</v>
      </c>
      <c r="J384" s="30">
        <v>45093</v>
      </c>
      <c r="K384" s="51">
        <v>3</v>
      </c>
      <c r="L384" s="29">
        <v>1</v>
      </c>
      <c r="M384" s="27" t="s">
        <v>25036</v>
      </c>
    </row>
    <row r="385" spans="1:13" s="27" customFormat="1" ht="17.25" customHeight="1" x14ac:dyDescent="0.25">
      <c r="A385" s="28" t="s">
        <v>5</v>
      </c>
      <c r="B385" s="28">
        <v>70501443</v>
      </c>
      <c r="C385" s="38" t="s">
        <v>25037</v>
      </c>
      <c r="D385" s="38" t="s">
        <v>25105</v>
      </c>
      <c r="E385" s="38" t="s">
        <v>25064</v>
      </c>
      <c r="F385" s="38" t="s">
        <v>25767</v>
      </c>
      <c r="G385" s="28" t="s">
        <v>25768</v>
      </c>
      <c r="H385" s="28" t="s">
        <v>19238</v>
      </c>
      <c r="I385" s="30">
        <v>45091</v>
      </c>
      <c r="J385" s="30">
        <v>45098</v>
      </c>
      <c r="K385" s="51">
        <v>8</v>
      </c>
      <c r="L385" s="29"/>
      <c r="M385" s="27" t="s">
        <v>19257</v>
      </c>
    </row>
    <row r="386" spans="1:13" s="27" customFormat="1" ht="17.25" customHeight="1" x14ac:dyDescent="0.25">
      <c r="A386" s="28" t="s">
        <v>5</v>
      </c>
      <c r="B386" s="28">
        <v>78115561</v>
      </c>
      <c r="C386" s="38" t="s">
        <v>25777</v>
      </c>
      <c r="D386" s="38" t="s">
        <v>25652</v>
      </c>
      <c r="E386" s="38" t="s">
        <v>25778</v>
      </c>
      <c r="F386" s="38" t="s">
        <v>25091</v>
      </c>
      <c r="G386" s="28" t="s">
        <v>19229</v>
      </c>
      <c r="H386" s="28" t="s">
        <v>19238</v>
      </c>
      <c r="I386" s="30">
        <v>45091</v>
      </c>
      <c r="J386" s="30">
        <v>45105</v>
      </c>
      <c r="K386" s="51">
        <v>15</v>
      </c>
      <c r="L386" s="29"/>
      <c r="M386" s="27" t="s">
        <v>19257</v>
      </c>
    </row>
    <row r="387" spans="1:13" s="27" customFormat="1" ht="17.25" customHeight="1" x14ac:dyDescent="0.25">
      <c r="A387" s="28" t="s">
        <v>5</v>
      </c>
      <c r="B387" s="28">
        <v>70252687</v>
      </c>
      <c r="C387" s="38" t="s">
        <v>25340</v>
      </c>
      <c r="D387" s="38" t="s">
        <v>25248</v>
      </c>
      <c r="E387" s="38" t="s">
        <v>25359</v>
      </c>
      <c r="F387" s="38" t="s">
        <v>25020</v>
      </c>
      <c r="G387" s="28" t="s">
        <v>19229</v>
      </c>
      <c r="H387" s="28" t="s">
        <v>19240</v>
      </c>
      <c r="I387" s="30">
        <v>45091</v>
      </c>
      <c r="J387" s="30">
        <v>45091</v>
      </c>
      <c r="K387" s="51">
        <v>1</v>
      </c>
      <c r="L387" s="29"/>
      <c r="M387" s="27" t="s">
        <v>25431</v>
      </c>
    </row>
    <row r="388" spans="1:13" s="27" customFormat="1" ht="17.25" customHeight="1" x14ac:dyDescent="0.25">
      <c r="A388" s="28" t="s">
        <v>5</v>
      </c>
      <c r="B388" s="28">
        <v>42731660</v>
      </c>
      <c r="C388" s="38" t="s">
        <v>25164</v>
      </c>
      <c r="D388" s="38" t="s">
        <v>25061</v>
      </c>
      <c r="E388" s="38" t="s">
        <v>25611</v>
      </c>
      <c r="F388" s="38" t="s">
        <v>25612</v>
      </c>
      <c r="G388" s="28" t="s">
        <v>19229</v>
      </c>
      <c r="H388" s="28" t="s">
        <v>19239</v>
      </c>
      <c r="I388" s="30">
        <v>45091</v>
      </c>
      <c r="J388" s="30">
        <v>45091</v>
      </c>
      <c r="K388" s="51">
        <v>1</v>
      </c>
      <c r="L388" s="29">
        <v>4</v>
      </c>
      <c r="M388" s="27" t="s">
        <v>25036</v>
      </c>
    </row>
    <row r="389" spans="1:13" s="27" customFormat="1" ht="17.25" customHeight="1" x14ac:dyDescent="0.25">
      <c r="A389" s="28" t="s">
        <v>5</v>
      </c>
      <c r="B389" s="28">
        <v>98549667</v>
      </c>
      <c r="C389" s="38" t="s">
        <v>25068</v>
      </c>
      <c r="D389" s="38" t="s">
        <v>25785</v>
      </c>
      <c r="E389" s="38" t="s">
        <v>25754</v>
      </c>
      <c r="F389" s="38" t="s">
        <v>25091</v>
      </c>
      <c r="G389" s="28" t="s">
        <v>19229</v>
      </c>
      <c r="H389" s="28" t="s">
        <v>19238</v>
      </c>
      <c r="I389" s="30">
        <v>45091</v>
      </c>
      <c r="J389" s="30">
        <v>45098</v>
      </c>
      <c r="K389" s="51">
        <v>8</v>
      </c>
      <c r="L389" s="29"/>
      <c r="M389" s="27" t="s">
        <v>19257</v>
      </c>
    </row>
    <row r="390" spans="1:13" s="27" customFormat="1" ht="17.25" customHeight="1" x14ac:dyDescent="0.25">
      <c r="A390" s="28" t="s">
        <v>5</v>
      </c>
      <c r="B390" s="28">
        <v>78115561</v>
      </c>
      <c r="C390" s="38" t="s">
        <v>25777</v>
      </c>
      <c r="D390" s="38" t="s">
        <v>25652</v>
      </c>
      <c r="E390" s="38" t="s">
        <v>25778</v>
      </c>
      <c r="F390" s="38" t="s">
        <v>25091</v>
      </c>
      <c r="G390" s="28" t="s">
        <v>19229</v>
      </c>
      <c r="H390" s="28" t="s">
        <v>19238</v>
      </c>
      <c r="I390" s="30">
        <v>45091</v>
      </c>
      <c r="J390" s="30">
        <v>45105</v>
      </c>
      <c r="K390" s="51">
        <v>15</v>
      </c>
      <c r="L390" s="29"/>
      <c r="M390" s="27" t="s">
        <v>19257</v>
      </c>
    </row>
    <row r="391" spans="1:13" s="27" customFormat="1" ht="17.25" customHeight="1" x14ac:dyDescent="0.25">
      <c r="A391" s="28" t="s">
        <v>5</v>
      </c>
      <c r="B391" s="28">
        <v>15525806</v>
      </c>
      <c r="C391" s="38" t="s">
        <v>25498</v>
      </c>
      <c r="D391" s="38" t="s">
        <v>25426</v>
      </c>
      <c r="E391" s="38" t="s">
        <v>25091</v>
      </c>
      <c r="F391" s="38" t="s">
        <v>24986</v>
      </c>
      <c r="G391" s="28" t="s">
        <v>19229</v>
      </c>
      <c r="H391" s="28" t="s">
        <v>19240</v>
      </c>
      <c r="I391" s="30">
        <v>45092</v>
      </c>
      <c r="J391" s="30">
        <v>45092</v>
      </c>
      <c r="K391" s="51">
        <v>1</v>
      </c>
      <c r="L391" s="29"/>
      <c r="M391" s="27" t="s">
        <v>25431</v>
      </c>
    </row>
    <row r="392" spans="1:13" s="27" customFormat="1" ht="17.25" customHeight="1" x14ac:dyDescent="0.25">
      <c r="A392" s="28" t="s">
        <v>5</v>
      </c>
      <c r="B392" s="28">
        <v>15525806</v>
      </c>
      <c r="C392" s="38" t="s">
        <v>25498</v>
      </c>
      <c r="D392" s="38" t="s">
        <v>25426</v>
      </c>
      <c r="E392" s="38" t="s">
        <v>25091</v>
      </c>
      <c r="F392" s="38" t="s">
        <v>24986</v>
      </c>
      <c r="G392" s="28" t="s">
        <v>19229</v>
      </c>
      <c r="H392" s="28" t="s">
        <v>19240</v>
      </c>
      <c r="I392" s="30">
        <v>45092</v>
      </c>
      <c r="J392" s="30">
        <v>45092</v>
      </c>
      <c r="K392" s="51">
        <v>1</v>
      </c>
      <c r="L392" s="29"/>
      <c r="M392" s="27" t="s">
        <v>24991</v>
      </c>
    </row>
    <row r="393" spans="1:13" s="27" customFormat="1" ht="17.25" customHeight="1" x14ac:dyDescent="0.25">
      <c r="A393" s="28" t="s">
        <v>5</v>
      </c>
      <c r="B393" s="28">
        <v>98709467</v>
      </c>
      <c r="C393" s="38" t="s">
        <v>25390</v>
      </c>
      <c r="D393" s="38" t="s">
        <v>25257</v>
      </c>
      <c r="E393" s="38" t="s">
        <v>25754</v>
      </c>
      <c r="F393" s="38" t="s">
        <v>25755</v>
      </c>
      <c r="G393" s="28" t="s">
        <v>19229</v>
      </c>
      <c r="H393" s="28" t="s">
        <v>19238</v>
      </c>
      <c r="I393" s="30">
        <v>45093</v>
      </c>
      <c r="J393" s="30">
        <v>45107</v>
      </c>
      <c r="K393" s="51">
        <v>15</v>
      </c>
      <c r="L393" s="29"/>
      <c r="M393" s="27" t="s">
        <v>19257</v>
      </c>
    </row>
    <row r="394" spans="1:13" s="27" customFormat="1" ht="17.25" customHeight="1" x14ac:dyDescent="0.25">
      <c r="A394" s="28" t="s">
        <v>5</v>
      </c>
      <c r="B394" s="28">
        <v>91444147</v>
      </c>
      <c r="C394" s="38" t="s">
        <v>25269</v>
      </c>
      <c r="D394" s="38" t="s">
        <v>25238</v>
      </c>
      <c r="E394" s="38" t="s">
        <v>25761</v>
      </c>
      <c r="F394" s="38" t="s">
        <v>25762</v>
      </c>
      <c r="G394" s="28" t="s">
        <v>19285</v>
      </c>
      <c r="H394" s="28" t="s">
        <v>19239</v>
      </c>
      <c r="I394" s="30">
        <v>45093</v>
      </c>
      <c r="J394" s="30">
        <v>45097</v>
      </c>
      <c r="K394" s="51">
        <v>5</v>
      </c>
      <c r="L394" s="29">
        <v>21</v>
      </c>
      <c r="M394" s="27" t="s">
        <v>25036</v>
      </c>
    </row>
    <row r="395" spans="1:13" s="27" customFormat="1" ht="17.25" customHeight="1" x14ac:dyDescent="0.25">
      <c r="A395" s="28" t="s">
        <v>5</v>
      </c>
      <c r="B395" s="28">
        <v>1041267614</v>
      </c>
      <c r="C395" s="38" t="s">
        <v>25775</v>
      </c>
      <c r="D395" s="38" t="s">
        <v>25714</v>
      </c>
      <c r="E395" s="38" t="s">
        <v>25255</v>
      </c>
      <c r="F395" s="38" t="s">
        <v>25434</v>
      </c>
      <c r="G395" s="28" t="s">
        <v>19229</v>
      </c>
      <c r="H395" s="28" t="s">
        <v>19238</v>
      </c>
      <c r="I395" s="30">
        <v>45093</v>
      </c>
      <c r="J395" s="30">
        <v>45107</v>
      </c>
      <c r="K395" s="51">
        <v>15</v>
      </c>
      <c r="L395" s="29"/>
      <c r="M395" s="27" t="s">
        <v>19257</v>
      </c>
    </row>
    <row r="396" spans="1:13" s="27" customFormat="1" ht="17.25" customHeight="1" x14ac:dyDescent="0.25">
      <c r="A396" s="28" t="s">
        <v>5</v>
      </c>
      <c r="B396" s="28">
        <v>98496895</v>
      </c>
      <c r="C396" s="38" t="s">
        <v>25756</v>
      </c>
      <c r="D396" s="38" t="s">
        <v>25372</v>
      </c>
      <c r="E396" s="38" t="s">
        <v>25028</v>
      </c>
      <c r="F396" s="38" t="s">
        <v>25064</v>
      </c>
      <c r="G396" s="28" t="s">
        <v>19229</v>
      </c>
      <c r="H396" s="28" t="s">
        <v>19240</v>
      </c>
      <c r="I396" s="30">
        <v>45093</v>
      </c>
      <c r="J396" s="30">
        <v>45094</v>
      </c>
      <c r="K396" s="51">
        <v>2</v>
      </c>
      <c r="L396" s="29"/>
      <c r="M396" s="27" t="s">
        <v>25431</v>
      </c>
    </row>
    <row r="397" spans="1:13" s="27" customFormat="1" ht="17.25" customHeight="1" x14ac:dyDescent="0.25">
      <c r="A397" s="28" t="s">
        <v>5</v>
      </c>
      <c r="B397" s="28">
        <v>73192284</v>
      </c>
      <c r="C397" s="38" t="s">
        <v>25786</v>
      </c>
      <c r="D397" s="38" t="s">
        <v>25787</v>
      </c>
      <c r="E397" s="38" t="s">
        <v>24988</v>
      </c>
      <c r="F397" s="38" t="s">
        <v>25177</v>
      </c>
      <c r="G397" s="28" t="s">
        <v>19229</v>
      </c>
      <c r="H397" s="28" t="s">
        <v>19238</v>
      </c>
      <c r="I397" s="30">
        <v>45093</v>
      </c>
      <c r="J397" s="30">
        <v>45107</v>
      </c>
      <c r="K397" s="51">
        <v>15</v>
      </c>
      <c r="L397" s="29"/>
      <c r="M397" s="27" t="s">
        <v>19257</v>
      </c>
    </row>
    <row r="398" spans="1:13" s="27" customFormat="1" ht="17.25" customHeight="1" x14ac:dyDescent="0.25">
      <c r="A398" s="28" t="s">
        <v>5</v>
      </c>
      <c r="B398" s="28">
        <v>71319430</v>
      </c>
      <c r="C398" s="38" t="s">
        <v>25006</v>
      </c>
      <c r="D398" s="38"/>
      <c r="E398" s="38" t="s">
        <v>25007</v>
      </c>
      <c r="F398" s="38"/>
      <c r="G398" s="28" t="s">
        <v>19229</v>
      </c>
      <c r="H398" s="28" t="s">
        <v>19240</v>
      </c>
      <c r="I398" s="30">
        <v>45094</v>
      </c>
      <c r="J398" s="30">
        <v>45094</v>
      </c>
      <c r="K398" s="51">
        <v>1</v>
      </c>
      <c r="L398" s="29"/>
      <c r="M398" s="27" t="s">
        <v>25431</v>
      </c>
    </row>
    <row r="399" spans="1:13" s="27" customFormat="1" ht="17.25" customHeight="1" x14ac:dyDescent="0.25">
      <c r="A399" s="28" t="s">
        <v>5</v>
      </c>
      <c r="B399" s="28">
        <v>71319430</v>
      </c>
      <c r="C399" s="38" t="s">
        <v>25006</v>
      </c>
      <c r="D399" s="38"/>
      <c r="E399" s="38" t="s">
        <v>25007</v>
      </c>
      <c r="F399" s="38"/>
      <c r="G399" s="28" t="s">
        <v>19229</v>
      </c>
      <c r="H399" s="28" t="s">
        <v>19240</v>
      </c>
      <c r="I399" s="30">
        <v>45094</v>
      </c>
      <c r="J399" s="30">
        <v>45094</v>
      </c>
      <c r="K399" s="51">
        <v>1</v>
      </c>
      <c r="L399" s="29"/>
      <c r="M399" s="27" t="s">
        <v>24991</v>
      </c>
    </row>
    <row r="400" spans="1:13" s="27" customFormat="1" ht="17.25" customHeight="1" x14ac:dyDescent="0.25">
      <c r="A400" s="28" t="s">
        <v>5</v>
      </c>
      <c r="B400" s="28">
        <v>6706983</v>
      </c>
      <c r="C400" s="38" t="s">
        <v>25177</v>
      </c>
      <c r="D400" s="38"/>
      <c r="E400" s="38" t="s">
        <v>25184</v>
      </c>
      <c r="F400" s="38" t="s">
        <v>25185</v>
      </c>
      <c r="G400" s="28" t="s">
        <v>19229</v>
      </c>
      <c r="H400" s="28" t="s">
        <v>19238</v>
      </c>
      <c r="I400" s="30">
        <v>45094</v>
      </c>
      <c r="J400" s="30">
        <v>45108</v>
      </c>
      <c r="K400" s="51">
        <v>15</v>
      </c>
      <c r="L400" s="29"/>
      <c r="M400" s="27" t="s">
        <v>19257</v>
      </c>
    </row>
    <row r="401" spans="1:13" s="27" customFormat="1" ht="17.25" customHeight="1" x14ac:dyDescent="0.25">
      <c r="A401" s="28" t="s">
        <v>5</v>
      </c>
      <c r="B401" s="28">
        <v>1128479571</v>
      </c>
      <c r="C401" s="38" t="s">
        <v>25428</v>
      </c>
      <c r="D401" s="38" t="s">
        <v>25429</v>
      </c>
      <c r="E401" s="38" t="s">
        <v>25430</v>
      </c>
      <c r="F401" s="38" t="s">
        <v>25107</v>
      </c>
      <c r="G401" s="28" t="s">
        <v>19229</v>
      </c>
      <c r="H401" s="28" t="s">
        <v>19240</v>
      </c>
      <c r="I401" s="30">
        <v>45094</v>
      </c>
      <c r="J401" s="30">
        <v>45096</v>
      </c>
      <c r="K401" s="51">
        <v>3</v>
      </c>
      <c r="L401" s="29"/>
      <c r="M401" s="27" t="s">
        <v>24991</v>
      </c>
    </row>
    <row r="402" spans="1:13" s="27" customFormat="1" ht="17.25" customHeight="1" x14ac:dyDescent="0.25">
      <c r="A402" s="28" t="s">
        <v>5</v>
      </c>
      <c r="B402" s="28">
        <v>11811390</v>
      </c>
      <c r="C402" s="38" t="s">
        <v>25417</v>
      </c>
      <c r="D402" s="38" t="s">
        <v>25418</v>
      </c>
      <c r="E402" s="38" t="s">
        <v>25263</v>
      </c>
      <c r="F402" s="38" t="s">
        <v>25419</v>
      </c>
      <c r="G402" s="28" t="s">
        <v>19229</v>
      </c>
      <c r="H402" s="28" t="s">
        <v>19239</v>
      </c>
      <c r="I402" s="30">
        <v>45095</v>
      </c>
      <c r="J402" s="30">
        <v>45099</v>
      </c>
      <c r="K402" s="51">
        <v>5</v>
      </c>
      <c r="L402" s="29">
        <v>1</v>
      </c>
      <c r="M402" s="27" t="s">
        <v>25036</v>
      </c>
    </row>
    <row r="403" spans="1:13" s="27" customFormat="1" ht="17.25" customHeight="1" x14ac:dyDescent="0.25">
      <c r="A403" s="28" t="s">
        <v>5</v>
      </c>
      <c r="B403" s="28">
        <v>70851012</v>
      </c>
      <c r="C403" s="38" t="s">
        <v>25128</v>
      </c>
      <c r="D403" s="38" t="s">
        <v>25424</v>
      </c>
      <c r="E403" s="38" t="s">
        <v>25522</v>
      </c>
      <c r="F403" s="38" t="s">
        <v>25103</v>
      </c>
      <c r="G403" s="28" t="s">
        <v>19229</v>
      </c>
      <c r="H403" s="28" t="s">
        <v>19238</v>
      </c>
      <c r="I403" s="30">
        <v>45095</v>
      </c>
      <c r="J403" s="30">
        <v>45096</v>
      </c>
      <c r="K403" s="51">
        <v>2</v>
      </c>
      <c r="L403" s="29"/>
      <c r="M403" s="27" t="s">
        <v>24991</v>
      </c>
    </row>
    <row r="404" spans="1:13" s="27" customFormat="1" ht="17.25" customHeight="1" x14ac:dyDescent="0.25">
      <c r="A404" s="28" t="s">
        <v>5</v>
      </c>
      <c r="B404" s="28">
        <v>1152450999</v>
      </c>
      <c r="C404" s="38" t="s">
        <v>24980</v>
      </c>
      <c r="D404" s="38" t="s">
        <v>25098</v>
      </c>
      <c r="E404" s="38" t="s">
        <v>25753</v>
      </c>
      <c r="F404" s="38" t="s">
        <v>25283</v>
      </c>
      <c r="G404" s="28" t="s">
        <v>19229</v>
      </c>
      <c r="H404" s="28" t="s">
        <v>19238</v>
      </c>
      <c r="I404" s="30">
        <v>45097</v>
      </c>
      <c r="J404" s="30">
        <v>45111</v>
      </c>
      <c r="K404" s="51">
        <v>15</v>
      </c>
      <c r="L404" s="29"/>
      <c r="M404" s="27" t="s">
        <v>19257</v>
      </c>
    </row>
    <row r="405" spans="1:13" s="27" customFormat="1" ht="17.25" customHeight="1" x14ac:dyDescent="0.25">
      <c r="A405" s="28" t="s">
        <v>5</v>
      </c>
      <c r="B405" s="28">
        <v>1037607008</v>
      </c>
      <c r="C405" s="38" t="s">
        <v>25459</v>
      </c>
      <c r="D405" s="38" t="s">
        <v>25161</v>
      </c>
      <c r="E405" s="38" t="s">
        <v>25772</v>
      </c>
      <c r="F405" s="38" t="s">
        <v>25110</v>
      </c>
      <c r="G405" s="28" t="s">
        <v>19229</v>
      </c>
      <c r="H405" s="28" t="s">
        <v>19238</v>
      </c>
      <c r="I405" s="30">
        <v>45097</v>
      </c>
      <c r="J405" s="30">
        <v>45104</v>
      </c>
      <c r="K405" s="51">
        <v>8</v>
      </c>
      <c r="L405" s="29"/>
      <c r="M405" s="27" t="s">
        <v>19257</v>
      </c>
    </row>
    <row r="406" spans="1:13" s="27" customFormat="1" ht="17.25" customHeight="1" x14ac:dyDescent="0.25">
      <c r="A406" s="28" t="s">
        <v>5</v>
      </c>
      <c r="B406" s="28">
        <v>1055962814</v>
      </c>
      <c r="C406" s="38" t="s">
        <v>25781</v>
      </c>
      <c r="D406" s="38" t="s">
        <v>25782</v>
      </c>
      <c r="E406" s="38" t="s">
        <v>25783</v>
      </c>
      <c r="F406" s="38"/>
      <c r="G406" s="28" t="s">
        <v>25784</v>
      </c>
      <c r="H406" s="28" t="s">
        <v>19240</v>
      </c>
      <c r="I406" s="30">
        <v>45097</v>
      </c>
      <c r="J406" s="30">
        <v>45101</v>
      </c>
      <c r="K406" s="51">
        <v>5</v>
      </c>
      <c r="L406" s="29"/>
      <c r="M406" s="27" t="s">
        <v>24991</v>
      </c>
    </row>
    <row r="407" spans="1:13" s="27" customFormat="1" ht="17.25" customHeight="1" x14ac:dyDescent="0.25">
      <c r="A407" s="28" t="s">
        <v>5</v>
      </c>
      <c r="B407" s="28">
        <v>70811339</v>
      </c>
      <c r="C407" s="38" t="s">
        <v>25367</v>
      </c>
      <c r="D407" s="38" t="s">
        <v>25343</v>
      </c>
      <c r="E407" s="38" t="s">
        <v>25130</v>
      </c>
      <c r="F407" s="38" t="s">
        <v>25416</v>
      </c>
      <c r="G407" s="28" t="s">
        <v>19229</v>
      </c>
      <c r="H407" s="28" t="s">
        <v>19238</v>
      </c>
      <c r="I407" s="30">
        <v>45097</v>
      </c>
      <c r="J407" s="30">
        <v>45112</v>
      </c>
      <c r="K407" s="51">
        <v>15</v>
      </c>
      <c r="L407" s="29"/>
      <c r="M407" s="27" t="s">
        <v>19257</v>
      </c>
    </row>
    <row r="408" spans="1:13" s="27" customFormat="1" ht="17.25" customHeight="1" x14ac:dyDescent="0.25">
      <c r="A408" s="28" t="s">
        <v>5</v>
      </c>
      <c r="B408" s="28">
        <v>60441357</v>
      </c>
      <c r="C408" s="38" t="s">
        <v>25790</v>
      </c>
      <c r="D408" s="38" t="s">
        <v>25450</v>
      </c>
      <c r="E408" s="38" t="s">
        <v>25791</v>
      </c>
      <c r="F408" s="38" t="s">
        <v>25452</v>
      </c>
      <c r="G408" s="28" t="s">
        <v>19229</v>
      </c>
      <c r="H408" s="28" t="s">
        <v>19239</v>
      </c>
      <c r="I408" s="30">
        <v>45097</v>
      </c>
      <c r="J408" s="30">
        <v>45101</v>
      </c>
      <c r="K408" s="51">
        <v>5</v>
      </c>
      <c r="L408" s="29">
        <v>1</v>
      </c>
      <c r="M408" s="27" t="s">
        <v>25036</v>
      </c>
    </row>
    <row r="409" spans="1:13" s="27" customFormat="1" ht="17.25" customHeight="1" x14ac:dyDescent="0.25">
      <c r="A409" s="28" t="s">
        <v>5</v>
      </c>
      <c r="B409" s="28">
        <v>1000920099</v>
      </c>
      <c r="C409" s="38" t="s">
        <v>25094</v>
      </c>
      <c r="D409" s="38" t="s">
        <v>25800</v>
      </c>
      <c r="E409" s="38" t="s">
        <v>25647</v>
      </c>
      <c r="F409" s="38"/>
      <c r="G409" s="28" t="s">
        <v>19229</v>
      </c>
      <c r="H409" s="28" t="s">
        <v>19240</v>
      </c>
      <c r="I409" s="30">
        <v>45097</v>
      </c>
      <c r="J409" s="30">
        <v>45102</v>
      </c>
      <c r="K409" s="51">
        <v>5</v>
      </c>
      <c r="L409" s="29"/>
      <c r="M409" s="27" t="s">
        <v>26223</v>
      </c>
    </row>
    <row r="410" spans="1:13" s="27" customFormat="1" ht="17.25" customHeight="1" x14ac:dyDescent="0.25">
      <c r="A410" s="28" t="s">
        <v>5</v>
      </c>
      <c r="B410" s="28">
        <v>1036928635</v>
      </c>
      <c r="C410" s="38" t="s">
        <v>25053</v>
      </c>
      <c r="D410" s="38" t="s">
        <v>25065</v>
      </c>
      <c r="E410" s="38" t="s">
        <v>25066</v>
      </c>
      <c r="F410" s="38"/>
      <c r="G410" s="28" t="s">
        <v>19229</v>
      </c>
      <c r="H410" s="28" t="s">
        <v>19238</v>
      </c>
      <c r="I410" s="30">
        <v>45097</v>
      </c>
      <c r="J410" s="30">
        <v>45111</v>
      </c>
      <c r="K410" s="51">
        <v>15</v>
      </c>
      <c r="L410" s="29"/>
      <c r="M410" s="27" t="s">
        <v>19257</v>
      </c>
    </row>
    <row r="411" spans="1:13" s="27" customFormat="1" ht="17.25" customHeight="1" x14ac:dyDescent="0.25">
      <c r="A411" s="28" t="s">
        <v>5</v>
      </c>
      <c r="B411" s="28">
        <v>71268805</v>
      </c>
      <c r="C411" s="38" t="s">
        <v>25118</v>
      </c>
      <c r="D411" s="38" t="s">
        <v>25114</v>
      </c>
      <c r="E411" s="38" t="s">
        <v>25397</v>
      </c>
      <c r="F411" s="38" t="s">
        <v>25010</v>
      </c>
      <c r="G411" s="28" t="s">
        <v>19229</v>
      </c>
      <c r="H411" s="28" t="s">
        <v>19238</v>
      </c>
      <c r="I411" s="30">
        <v>45098</v>
      </c>
      <c r="J411" s="30">
        <v>45105</v>
      </c>
      <c r="K411" s="51">
        <v>8</v>
      </c>
      <c r="L411" s="29"/>
      <c r="M411" s="27" t="s">
        <v>19257</v>
      </c>
    </row>
    <row r="412" spans="1:13" s="27" customFormat="1" ht="17.25" customHeight="1" x14ac:dyDescent="0.25">
      <c r="A412" s="28" t="s">
        <v>5</v>
      </c>
      <c r="B412" s="28">
        <v>1037323518</v>
      </c>
      <c r="C412" s="38" t="s">
        <v>25401</v>
      </c>
      <c r="D412" s="38" t="s">
        <v>25424</v>
      </c>
      <c r="E412" s="38" t="s">
        <v>24988</v>
      </c>
      <c r="F412" s="38" t="s">
        <v>25103</v>
      </c>
      <c r="G412" s="28" t="s">
        <v>19229</v>
      </c>
      <c r="H412" s="28" t="s">
        <v>19238</v>
      </c>
      <c r="I412" s="30">
        <v>45098</v>
      </c>
      <c r="J412" s="30">
        <v>45105</v>
      </c>
      <c r="K412" s="51">
        <v>8</v>
      </c>
      <c r="L412" s="29"/>
      <c r="M412" s="27" t="s">
        <v>19257</v>
      </c>
    </row>
    <row r="413" spans="1:13" s="27" customFormat="1" ht="17.25" customHeight="1" x14ac:dyDescent="0.25">
      <c r="A413" s="28" t="s">
        <v>5</v>
      </c>
      <c r="B413" s="28">
        <v>71719849</v>
      </c>
      <c r="C413" s="38" t="s">
        <v>25105</v>
      </c>
      <c r="D413" s="38" t="s">
        <v>25105</v>
      </c>
      <c r="E413" s="38" t="s">
        <v>25282</v>
      </c>
      <c r="F413" s="38" t="s">
        <v>25119</v>
      </c>
      <c r="G413" s="28" t="s">
        <v>19229</v>
      </c>
      <c r="H413" s="28" t="s">
        <v>19240</v>
      </c>
      <c r="I413" s="30">
        <v>45098</v>
      </c>
      <c r="J413" s="30">
        <v>45098</v>
      </c>
      <c r="K413" s="51">
        <v>1</v>
      </c>
      <c r="L413" s="29"/>
      <c r="M413" s="27" t="s">
        <v>25431</v>
      </c>
    </row>
    <row r="414" spans="1:13" s="27" customFormat="1" ht="17.25" customHeight="1" x14ac:dyDescent="0.25">
      <c r="A414" s="28" t="s">
        <v>5</v>
      </c>
      <c r="B414" s="28">
        <v>71719849</v>
      </c>
      <c r="C414" s="38" t="s">
        <v>25105</v>
      </c>
      <c r="D414" s="38" t="s">
        <v>25105</v>
      </c>
      <c r="E414" s="38" t="s">
        <v>25282</v>
      </c>
      <c r="F414" s="38" t="s">
        <v>25119</v>
      </c>
      <c r="G414" s="28" t="s">
        <v>19229</v>
      </c>
      <c r="H414" s="28" t="s">
        <v>19240</v>
      </c>
      <c r="I414" s="30">
        <v>45098</v>
      </c>
      <c r="J414" s="30">
        <v>45098</v>
      </c>
      <c r="K414" s="51">
        <v>1</v>
      </c>
      <c r="L414" s="29"/>
      <c r="M414" s="27" t="s">
        <v>24991</v>
      </c>
    </row>
    <row r="415" spans="1:13" s="27" customFormat="1" ht="17.25" customHeight="1" x14ac:dyDescent="0.25">
      <c r="A415" s="28" t="s">
        <v>5</v>
      </c>
      <c r="B415" s="28">
        <v>92258917</v>
      </c>
      <c r="C415" s="38" t="s">
        <v>25735</v>
      </c>
      <c r="D415" s="38" t="s">
        <v>25257</v>
      </c>
      <c r="E415" s="38" t="s">
        <v>25422</v>
      </c>
      <c r="F415" s="38" t="s">
        <v>25135</v>
      </c>
      <c r="G415" s="28" t="s">
        <v>19229</v>
      </c>
      <c r="H415" s="28" t="s">
        <v>19238</v>
      </c>
      <c r="I415" s="30">
        <v>45099</v>
      </c>
      <c r="J415" s="30">
        <v>45114</v>
      </c>
      <c r="K415" s="51">
        <v>16</v>
      </c>
      <c r="L415" s="29"/>
      <c r="M415" s="27" t="s">
        <v>19257</v>
      </c>
    </row>
    <row r="416" spans="1:13" s="27" customFormat="1" ht="17.25" customHeight="1" x14ac:dyDescent="0.25">
      <c r="A416" s="28" t="s">
        <v>5</v>
      </c>
      <c r="B416" s="28">
        <v>1099993376</v>
      </c>
      <c r="C416" s="38" t="s">
        <v>25027</v>
      </c>
      <c r="D416" s="38" t="s">
        <v>25090</v>
      </c>
      <c r="E416" s="38" t="s">
        <v>25091</v>
      </c>
      <c r="F416" s="38" t="s">
        <v>25092</v>
      </c>
      <c r="G416" s="28" t="s">
        <v>19229</v>
      </c>
      <c r="H416" s="28" t="s">
        <v>19240</v>
      </c>
      <c r="I416" s="30">
        <v>45099</v>
      </c>
      <c r="J416" s="30">
        <v>45099</v>
      </c>
      <c r="K416" s="51">
        <v>1</v>
      </c>
      <c r="L416" s="29"/>
      <c r="M416" s="27" t="s">
        <v>25431</v>
      </c>
    </row>
    <row r="417" spans="1:13" s="27" customFormat="1" ht="17.25" customHeight="1" x14ac:dyDescent="0.25">
      <c r="A417" s="28" t="s">
        <v>5</v>
      </c>
      <c r="B417" s="28">
        <v>1099993376</v>
      </c>
      <c r="C417" s="38" t="s">
        <v>25027</v>
      </c>
      <c r="D417" s="38" t="s">
        <v>25090</v>
      </c>
      <c r="E417" s="38" t="s">
        <v>25091</v>
      </c>
      <c r="F417" s="38" t="s">
        <v>25092</v>
      </c>
      <c r="G417" s="28" t="s">
        <v>19229</v>
      </c>
      <c r="H417" s="28" t="s">
        <v>19240</v>
      </c>
      <c r="I417" s="30">
        <v>45099</v>
      </c>
      <c r="J417" s="30">
        <v>45099</v>
      </c>
      <c r="K417" s="51">
        <v>1</v>
      </c>
      <c r="L417" s="29"/>
      <c r="M417" s="27" t="s">
        <v>25431</v>
      </c>
    </row>
    <row r="418" spans="1:13" s="27" customFormat="1" ht="17.25" customHeight="1" x14ac:dyDescent="0.25">
      <c r="A418" s="28" t="s">
        <v>5</v>
      </c>
      <c r="B418" s="28">
        <v>98549667</v>
      </c>
      <c r="C418" s="38" t="s">
        <v>25068</v>
      </c>
      <c r="D418" s="38" t="s">
        <v>25785</v>
      </c>
      <c r="E418" s="38" t="s">
        <v>25754</v>
      </c>
      <c r="F418" s="38" t="s">
        <v>25091</v>
      </c>
      <c r="G418" s="28" t="s">
        <v>19229</v>
      </c>
      <c r="H418" s="28" t="s">
        <v>19238</v>
      </c>
      <c r="I418" s="30">
        <v>45099</v>
      </c>
      <c r="J418" s="30">
        <v>45106</v>
      </c>
      <c r="K418" s="51">
        <v>8</v>
      </c>
      <c r="L418" s="29"/>
      <c r="M418" s="27" t="s">
        <v>19257</v>
      </c>
    </row>
    <row r="419" spans="1:13" s="27" customFormat="1" ht="17.25" customHeight="1" x14ac:dyDescent="0.25">
      <c r="A419" s="28" t="s">
        <v>5</v>
      </c>
      <c r="B419" s="28">
        <v>1099993376</v>
      </c>
      <c r="C419" s="38" t="s">
        <v>25027</v>
      </c>
      <c r="D419" s="38" t="s">
        <v>25090</v>
      </c>
      <c r="E419" s="38" t="s">
        <v>25091</v>
      </c>
      <c r="F419" s="38" t="s">
        <v>25092</v>
      </c>
      <c r="G419" s="28" t="s">
        <v>19229</v>
      </c>
      <c r="H419" s="28" t="s">
        <v>19240</v>
      </c>
      <c r="I419" s="30">
        <v>45099</v>
      </c>
      <c r="J419" s="30">
        <v>45099</v>
      </c>
      <c r="K419" s="51">
        <v>1</v>
      </c>
      <c r="L419" s="29"/>
      <c r="M419" s="27" t="s">
        <v>24991</v>
      </c>
    </row>
    <row r="420" spans="1:13" s="27" customFormat="1" ht="17.25" customHeight="1" x14ac:dyDescent="0.25">
      <c r="A420" s="28" t="s">
        <v>5</v>
      </c>
      <c r="B420" s="28">
        <v>71605406</v>
      </c>
      <c r="C420" s="38" t="s">
        <v>25257</v>
      </c>
      <c r="D420" s="38" t="s">
        <v>25788</v>
      </c>
      <c r="E420" s="38" t="s">
        <v>25789</v>
      </c>
      <c r="F420" s="38" t="s">
        <v>25135</v>
      </c>
      <c r="G420" s="28" t="s">
        <v>19229</v>
      </c>
      <c r="H420" s="28" t="s">
        <v>19239</v>
      </c>
      <c r="I420" s="30">
        <v>45099</v>
      </c>
      <c r="J420" s="30">
        <v>45099</v>
      </c>
      <c r="K420" s="51">
        <v>1</v>
      </c>
      <c r="L420" s="29">
        <v>6</v>
      </c>
      <c r="M420" s="27" t="s">
        <v>25036</v>
      </c>
    </row>
    <row r="421" spans="1:13" s="27" customFormat="1" ht="17.25" customHeight="1" x14ac:dyDescent="0.25">
      <c r="A421" s="28" t="s">
        <v>5</v>
      </c>
      <c r="B421" s="28">
        <v>43923149</v>
      </c>
      <c r="C421" s="28" t="s">
        <v>25353</v>
      </c>
      <c r="D421" s="28" t="s">
        <v>25303</v>
      </c>
      <c r="E421" s="28" t="s">
        <v>25354</v>
      </c>
      <c r="F421" s="28" t="s">
        <v>25258</v>
      </c>
      <c r="G421" s="28" t="s">
        <v>19229</v>
      </c>
      <c r="H421" s="28" t="s">
        <v>19240</v>
      </c>
      <c r="I421" s="30">
        <v>45099</v>
      </c>
      <c r="J421" s="30">
        <v>45099</v>
      </c>
      <c r="K421" s="51"/>
      <c r="L421" s="29"/>
      <c r="M421" s="27" t="s">
        <v>24991</v>
      </c>
    </row>
    <row r="422" spans="1:13" s="27" customFormat="1" ht="17.25" customHeight="1" x14ac:dyDescent="0.25">
      <c r="A422" s="28" t="s">
        <v>5</v>
      </c>
      <c r="B422" s="28">
        <v>1017149200</v>
      </c>
      <c r="C422" s="38" t="s">
        <v>25127</v>
      </c>
      <c r="D422" s="38" t="s">
        <v>25593</v>
      </c>
      <c r="E422" s="38" t="s">
        <v>25773</v>
      </c>
      <c r="F422" s="38" t="s">
        <v>25774</v>
      </c>
      <c r="G422" s="28" t="s">
        <v>19229</v>
      </c>
      <c r="H422" s="28" t="s">
        <v>19238</v>
      </c>
      <c r="I422" s="30">
        <v>45100</v>
      </c>
      <c r="J422" s="30">
        <v>45114</v>
      </c>
      <c r="K422" s="51">
        <v>15</v>
      </c>
      <c r="L422" s="29"/>
      <c r="M422" s="27" t="s">
        <v>19257</v>
      </c>
    </row>
    <row r="423" spans="1:13" s="27" customFormat="1" ht="17.25" customHeight="1" x14ac:dyDescent="0.25">
      <c r="A423" s="28" t="s">
        <v>5</v>
      </c>
      <c r="B423" s="28">
        <v>70252687</v>
      </c>
      <c r="C423" s="38" t="s">
        <v>25178</v>
      </c>
      <c r="D423" s="38" t="s">
        <v>25248</v>
      </c>
      <c r="E423" s="38" t="s">
        <v>25131</v>
      </c>
      <c r="F423" s="38" t="s">
        <v>25020</v>
      </c>
      <c r="G423" s="28" t="s">
        <v>19229</v>
      </c>
      <c r="H423" s="28" t="s">
        <v>19240</v>
      </c>
      <c r="I423" s="30">
        <v>45100</v>
      </c>
      <c r="J423" s="30">
        <v>45104</v>
      </c>
      <c r="K423" s="51">
        <v>5</v>
      </c>
      <c r="L423" s="29"/>
      <c r="M423" s="27" t="s">
        <v>26223</v>
      </c>
    </row>
    <row r="424" spans="1:13" s="27" customFormat="1" ht="17.25" customHeight="1" x14ac:dyDescent="0.25">
      <c r="A424" s="28" t="s">
        <v>5</v>
      </c>
      <c r="B424" s="28">
        <v>70786990</v>
      </c>
      <c r="C424" s="38" t="s">
        <v>25004</v>
      </c>
      <c r="D424" s="38" t="s">
        <v>25401</v>
      </c>
      <c r="E424" s="38" t="s">
        <v>25713</v>
      </c>
      <c r="F424" s="38" t="s">
        <v>25103</v>
      </c>
      <c r="G424" s="28" t="s">
        <v>19229</v>
      </c>
      <c r="H424" s="28" t="s">
        <v>19240</v>
      </c>
      <c r="I424" s="30">
        <v>45101</v>
      </c>
      <c r="J424" s="30">
        <v>45101</v>
      </c>
      <c r="K424" s="51">
        <v>1</v>
      </c>
      <c r="L424" s="29"/>
      <c r="M424" s="27" t="s">
        <v>24991</v>
      </c>
    </row>
    <row r="425" spans="1:13" s="27" customFormat="1" ht="17.25" customHeight="1" x14ac:dyDescent="0.25">
      <c r="A425" s="28" t="s">
        <v>5</v>
      </c>
      <c r="B425" s="28">
        <v>1088339010</v>
      </c>
      <c r="C425" s="38" t="s">
        <v>25535</v>
      </c>
      <c r="D425" s="38" t="s">
        <v>25003</v>
      </c>
      <c r="E425" s="38" t="s">
        <v>25771</v>
      </c>
      <c r="F425" s="38" t="s">
        <v>25057</v>
      </c>
      <c r="G425" s="28" t="s">
        <v>19229</v>
      </c>
      <c r="H425" s="28" t="s">
        <v>19238</v>
      </c>
      <c r="I425" s="30">
        <v>45103</v>
      </c>
      <c r="J425" s="30">
        <v>45117</v>
      </c>
      <c r="K425" s="51">
        <v>15</v>
      </c>
      <c r="L425" s="29"/>
      <c r="M425" s="27" t="s">
        <v>19257</v>
      </c>
    </row>
    <row r="426" spans="1:13" s="27" customFormat="1" ht="17.25" customHeight="1" x14ac:dyDescent="0.25">
      <c r="A426" s="28" t="s">
        <v>5</v>
      </c>
      <c r="B426" s="28">
        <v>72043118</v>
      </c>
      <c r="C426" s="38" t="s">
        <v>25068</v>
      </c>
      <c r="D426" s="38" t="s">
        <v>25069</v>
      </c>
      <c r="E426" s="38" t="s">
        <v>25070</v>
      </c>
      <c r="F426" s="38" t="s">
        <v>25071</v>
      </c>
      <c r="G426" s="28" t="s">
        <v>19229</v>
      </c>
      <c r="H426" s="28" t="s">
        <v>19240</v>
      </c>
      <c r="I426" s="30">
        <v>45103</v>
      </c>
      <c r="J426" s="30">
        <v>45094</v>
      </c>
      <c r="K426" s="51">
        <v>1</v>
      </c>
      <c r="L426" s="29"/>
      <c r="M426" s="27" t="s">
        <v>24991</v>
      </c>
    </row>
    <row r="427" spans="1:13" s="27" customFormat="1" ht="17.25" customHeight="1" x14ac:dyDescent="0.25">
      <c r="A427" s="28" t="s">
        <v>5</v>
      </c>
      <c r="B427" s="28">
        <v>1152450999</v>
      </c>
      <c r="C427" s="38" t="s">
        <v>24980</v>
      </c>
      <c r="D427" s="38" t="s">
        <v>25098</v>
      </c>
      <c r="E427" s="38" t="s">
        <v>25753</v>
      </c>
      <c r="F427" s="38" t="s">
        <v>25283</v>
      </c>
      <c r="G427" s="28" t="s">
        <v>19229</v>
      </c>
      <c r="H427" s="28" t="s">
        <v>19238</v>
      </c>
      <c r="I427" s="30">
        <v>45103</v>
      </c>
      <c r="J427" s="30">
        <v>45110</v>
      </c>
      <c r="K427" s="51">
        <v>8</v>
      </c>
      <c r="L427" s="29"/>
      <c r="M427" s="27" t="s">
        <v>19257</v>
      </c>
    </row>
    <row r="428" spans="1:13" s="27" customFormat="1" ht="17.25" customHeight="1" x14ac:dyDescent="0.25">
      <c r="A428" s="28" t="s">
        <v>5</v>
      </c>
      <c r="B428" s="28">
        <v>3556779</v>
      </c>
      <c r="C428" s="28" t="s">
        <v>25008</v>
      </c>
      <c r="D428" s="28" t="s">
        <v>24992</v>
      </c>
      <c r="E428" s="28" t="s">
        <v>25009</v>
      </c>
      <c r="F428" s="28" t="s">
        <v>25010</v>
      </c>
      <c r="G428" s="28" t="s">
        <v>19229</v>
      </c>
      <c r="H428" s="28" t="s">
        <v>19240</v>
      </c>
      <c r="I428" s="30">
        <v>45104</v>
      </c>
      <c r="J428" s="30">
        <v>45104</v>
      </c>
      <c r="K428" s="51">
        <v>1</v>
      </c>
      <c r="L428" s="29"/>
      <c r="M428" s="27" t="s">
        <v>24991</v>
      </c>
    </row>
    <row r="429" spans="1:13" s="27" customFormat="1" ht="17.25" customHeight="1" x14ac:dyDescent="0.25">
      <c r="A429" s="28" t="s">
        <v>5</v>
      </c>
      <c r="B429" s="28">
        <v>98532306</v>
      </c>
      <c r="C429" s="38" t="s">
        <v>25817</v>
      </c>
      <c r="D429" s="38" t="s">
        <v>25117</v>
      </c>
      <c r="E429" s="38" t="s">
        <v>25056</v>
      </c>
      <c r="F429" s="38" t="s">
        <v>25416</v>
      </c>
      <c r="G429" s="28" t="s">
        <v>19229</v>
      </c>
      <c r="H429" s="28" t="s">
        <v>19240</v>
      </c>
      <c r="I429" s="30">
        <v>45104</v>
      </c>
      <c r="J429" s="30">
        <v>45104</v>
      </c>
      <c r="K429" s="51">
        <v>1</v>
      </c>
      <c r="L429" s="29"/>
      <c r="M429" s="27" t="s">
        <v>24991</v>
      </c>
    </row>
    <row r="430" spans="1:13" s="27" customFormat="1" ht="17.25" customHeight="1" x14ac:dyDescent="0.25">
      <c r="A430" s="28" t="s">
        <v>5</v>
      </c>
      <c r="B430" s="28">
        <v>1037607008</v>
      </c>
      <c r="C430" s="38" t="s">
        <v>25459</v>
      </c>
      <c r="D430" s="38" t="s">
        <v>25161</v>
      </c>
      <c r="E430" s="38" t="s">
        <v>25772</v>
      </c>
      <c r="F430" s="38" t="s">
        <v>25110</v>
      </c>
      <c r="G430" s="28" t="s">
        <v>19229</v>
      </c>
      <c r="H430" s="28" t="s">
        <v>19238</v>
      </c>
      <c r="I430" s="30">
        <v>45104</v>
      </c>
      <c r="J430" s="30">
        <v>45119</v>
      </c>
      <c r="K430" s="51">
        <v>16</v>
      </c>
      <c r="L430" s="29"/>
      <c r="M430" s="27" t="s">
        <v>19257</v>
      </c>
    </row>
    <row r="431" spans="1:13" s="27" customFormat="1" ht="17.25" customHeight="1" x14ac:dyDescent="0.25">
      <c r="A431" s="28" t="s">
        <v>5</v>
      </c>
      <c r="B431" s="28">
        <v>98481612</v>
      </c>
      <c r="C431" s="38" t="s">
        <v>25818</v>
      </c>
      <c r="D431" s="38" t="s">
        <v>25109</v>
      </c>
      <c r="E431" s="38" t="s">
        <v>25819</v>
      </c>
      <c r="F431" s="38" t="s">
        <v>25103</v>
      </c>
      <c r="G431" s="28" t="s">
        <v>19229</v>
      </c>
      <c r="H431" s="28" t="s">
        <v>19238</v>
      </c>
      <c r="I431" s="30">
        <v>45104</v>
      </c>
      <c r="J431" s="30">
        <v>45118</v>
      </c>
      <c r="K431" s="51">
        <v>15</v>
      </c>
      <c r="L431" s="29"/>
      <c r="M431" s="27" t="s">
        <v>19257</v>
      </c>
    </row>
    <row r="432" spans="1:13" s="27" customFormat="1" ht="17.25" customHeight="1" x14ac:dyDescent="0.25">
      <c r="A432" s="28" t="s">
        <v>5</v>
      </c>
      <c r="B432" s="28">
        <v>8408459</v>
      </c>
      <c r="C432" s="28" t="s">
        <v>25284</v>
      </c>
      <c r="D432" s="28" t="s">
        <v>25164</v>
      </c>
      <c r="E432" s="28" t="s">
        <v>25820</v>
      </c>
      <c r="F432" s="28" t="s">
        <v>25103</v>
      </c>
      <c r="G432" s="28" t="s">
        <v>19229</v>
      </c>
      <c r="H432" s="28" t="s">
        <v>19238</v>
      </c>
      <c r="I432" s="30">
        <v>45104</v>
      </c>
      <c r="J432" s="30">
        <v>45119</v>
      </c>
      <c r="K432" s="51">
        <v>16</v>
      </c>
      <c r="L432" s="29"/>
      <c r="M432" s="27" t="s">
        <v>19257</v>
      </c>
    </row>
    <row r="433" spans="1:13" s="27" customFormat="1" ht="17.25" customHeight="1" x14ac:dyDescent="0.25">
      <c r="A433" s="28" t="s">
        <v>5</v>
      </c>
      <c r="B433" s="28">
        <v>1037607008</v>
      </c>
      <c r="C433" s="38" t="s">
        <v>25459</v>
      </c>
      <c r="D433" s="38" t="s">
        <v>25161</v>
      </c>
      <c r="E433" s="38" t="s">
        <v>25772</v>
      </c>
      <c r="F433" s="38" t="s">
        <v>25110</v>
      </c>
      <c r="G433" s="28" t="s">
        <v>19229</v>
      </c>
      <c r="H433" s="28" t="s">
        <v>19238</v>
      </c>
      <c r="I433" s="30">
        <v>45105</v>
      </c>
      <c r="J433" s="30">
        <v>45112</v>
      </c>
      <c r="K433" s="51">
        <v>8</v>
      </c>
      <c r="L433" s="29"/>
      <c r="M433" s="27" t="s">
        <v>19257</v>
      </c>
    </row>
    <row r="434" spans="1:13" s="27" customFormat="1" ht="17.25" customHeight="1" x14ac:dyDescent="0.25">
      <c r="A434" s="28" t="s">
        <v>5</v>
      </c>
      <c r="B434" s="28">
        <v>43923149</v>
      </c>
      <c r="C434" s="38" t="s">
        <v>25353</v>
      </c>
      <c r="D434" s="38" t="s">
        <v>25303</v>
      </c>
      <c r="E434" s="38" t="s">
        <v>25354</v>
      </c>
      <c r="F434" s="38" t="s">
        <v>25258</v>
      </c>
      <c r="G434" s="28" t="s">
        <v>19229</v>
      </c>
      <c r="H434" s="28" t="s">
        <v>19240</v>
      </c>
      <c r="I434" s="30">
        <v>45105</v>
      </c>
      <c r="J434" s="30">
        <v>45105</v>
      </c>
      <c r="K434" s="51">
        <v>1</v>
      </c>
      <c r="L434" s="29"/>
      <c r="M434" s="27" t="s">
        <v>24991</v>
      </c>
    </row>
    <row r="435" spans="1:13" s="27" customFormat="1" ht="17.25" customHeight="1" x14ac:dyDescent="0.25">
      <c r="A435" s="28" t="s">
        <v>5</v>
      </c>
      <c r="B435" s="28">
        <v>21532552</v>
      </c>
      <c r="C435" s="38" t="s">
        <v>25030</v>
      </c>
      <c r="D435" s="38" t="s">
        <v>25459</v>
      </c>
      <c r="E435" s="38" t="s">
        <v>25565</v>
      </c>
      <c r="F435" s="38" t="s">
        <v>25566</v>
      </c>
      <c r="G435" s="28" t="s">
        <v>19229</v>
      </c>
      <c r="H435" s="28" t="s">
        <v>19240</v>
      </c>
      <c r="I435" s="30">
        <v>45106</v>
      </c>
      <c r="J435" s="30">
        <v>45106</v>
      </c>
      <c r="K435" s="51">
        <v>1</v>
      </c>
      <c r="L435" s="29"/>
      <c r="M435" s="27" t="s">
        <v>24991</v>
      </c>
    </row>
    <row r="436" spans="1:13" s="27" customFormat="1" ht="17.25" customHeight="1" x14ac:dyDescent="0.25">
      <c r="A436" s="28" t="s">
        <v>5</v>
      </c>
      <c r="B436" s="28">
        <v>7537251</v>
      </c>
      <c r="C436" s="38" t="s">
        <v>25319</v>
      </c>
      <c r="D436" s="38" t="s">
        <v>25794</v>
      </c>
      <c r="E436" s="38" t="s">
        <v>25134</v>
      </c>
      <c r="F436" s="38"/>
      <c r="G436" s="28" t="s">
        <v>19229</v>
      </c>
      <c r="H436" s="28" t="s">
        <v>19240</v>
      </c>
      <c r="I436" s="30">
        <v>45106</v>
      </c>
      <c r="J436" s="30">
        <v>45106</v>
      </c>
      <c r="K436" s="51">
        <v>1</v>
      </c>
      <c r="L436" s="29"/>
      <c r="M436" s="27" t="s">
        <v>24991</v>
      </c>
    </row>
    <row r="437" spans="1:13" s="27" customFormat="1" ht="17.25" customHeight="1" x14ac:dyDescent="0.25">
      <c r="A437" s="28" t="s">
        <v>5</v>
      </c>
      <c r="B437" s="28">
        <v>92543986</v>
      </c>
      <c r="C437" s="28" t="s">
        <v>25017</v>
      </c>
      <c r="D437" s="28" t="s">
        <v>25018</v>
      </c>
      <c r="E437" s="28" t="s">
        <v>25019</v>
      </c>
      <c r="F437" s="28" t="s">
        <v>25020</v>
      </c>
      <c r="G437" s="28" t="s">
        <v>19229</v>
      </c>
      <c r="H437" s="28" t="s">
        <v>19238</v>
      </c>
      <c r="I437" s="30">
        <v>45107</v>
      </c>
      <c r="J437" s="30">
        <v>45121</v>
      </c>
      <c r="K437" s="51">
        <v>15</v>
      </c>
      <c r="L437" s="29"/>
      <c r="M437" s="27" t="s">
        <v>19257</v>
      </c>
    </row>
    <row r="438" spans="1:13" s="27" customFormat="1" ht="17.25" customHeight="1" x14ac:dyDescent="0.25">
      <c r="A438" s="28" t="s">
        <v>6</v>
      </c>
      <c r="B438" s="28">
        <v>1127576502</v>
      </c>
      <c r="C438" s="38" t="s">
        <v>25257</v>
      </c>
      <c r="D438" s="38" t="s">
        <v>25686</v>
      </c>
      <c r="E438" s="38" t="s">
        <v>25028</v>
      </c>
      <c r="F438" s="38" t="s">
        <v>25010</v>
      </c>
      <c r="G438" s="28" t="s">
        <v>19229</v>
      </c>
      <c r="H438" s="28" t="s">
        <v>19240</v>
      </c>
      <c r="I438" s="30">
        <v>45108</v>
      </c>
      <c r="J438" s="30">
        <v>45111</v>
      </c>
      <c r="K438" s="51">
        <v>4</v>
      </c>
      <c r="L438" s="29"/>
      <c r="M438" s="27" t="s">
        <v>24991</v>
      </c>
    </row>
    <row r="439" spans="1:13" s="27" customFormat="1" ht="17.25" customHeight="1" x14ac:dyDescent="0.25">
      <c r="A439" s="28" t="s">
        <v>6</v>
      </c>
      <c r="B439" s="28">
        <v>71677127</v>
      </c>
      <c r="C439" s="38" t="s">
        <v>24998</v>
      </c>
      <c r="D439" s="38" t="s">
        <v>25127</v>
      </c>
      <c r="E439" s="38" t="s">
        <v>25032</v>
      </c>
      <c r="F439" s="38"/>
      <c r="G439" s="28" t="s">
        <v>19285</v>
      </c>
      <c r="H439" s="28" t="s">
        <v>19238</v>
      </c>
      <c r="I439" s="30">
        <v>45108</v>
      </c>
      <c r="J439" s="30">
        <v>45122</v>
      </c>
      <c r="K439" s="51">
        <v>15</v>
      </c>
      <c r="L439" s="29"/>
      <c r="M439" s="27" t="s">
        <v>19257</v>
      </c>
    </row>
    <row r="440" spans="1:13" s="27" customFormat="1" ht="17.25" customHeight="1" x14ac:dyDescent="0.25">
      <c r="A440" s="28" t="s">
        <v>6</v>
      </c>
      <c r="B440" s="28">
        <v>1000908653</v>
      </c>
      <c r="C440" s="38" t="s">
        <v>25801</v>
      </c>
      <c r="D440" s="38" t="s">
        <v>25802</v>
      </c>
      <c r="E440" s="38" t="s">
        <v>25803</v>
      </c>
      <c r="F440" s="38"/>
      <c r="G440" s="28" t="s">
        <v>19285</v>
      </c>
      <c r="H440" s="28" t="s">
        <v>19238</v>
      </c>
      <c r="I440" s="30">
        <v>45108</v>
      </c>
      <c r="J440" s="30">
        <v>45122</v>
      </c>
      <c r="K440" s="51">
        <v>15</v>
      </c>
      <c r="L440" s="29"/>
      <c r="M440" s="27" t="s">
        <v>19257</v>
      </c>
    </row>
    <row r="441" spans="1:13" s="27" customFormat="1" ht="17.25" customHeight="1" x14ac:dyDescent="0.25">
      <c r="A441" s="28" t="s">
        <v>6</v>
      </c>
      <c r="B441" s="28">
        <v>71383505</v>
      </c>
      <c r="C441" s="38" t="s">
        <v>25459</v>
      </c>
      <c r="D441" s="38" t="s">
        <v>25202</v>
      </c>
      <c r="E441" s="38" t="s">
        <v>25807</v>
      </c>
      <c r="F441" s="38" t="s">
        <v>25066</v>
      </c>
      <c r="G441" s="28" t="s">
        <v>19285</v>
      </c>
      <c r="H441" s="28" t="s">
        <v>19238</v>
      </c>
      <c r="I441" s="30">
        <v>45108</v>
      </c>
      <c r="J441" s="30">
        <v>45122</v>
      </c>
      <c r="K441" s="51">
        <v>15</v>
      </c>
      <c r="L441" s="29"/>
      <c r="M441" s="27" t="s">
        <v>19257</v>
      </c>
    </row>
    <row r="442" spans="1:13" s="27" customFormat="1" ht="17.25" customHeight="1" x14ac:dyDescent="0.25">
      <c r="A442" s="28" t="s">
        <v>6</v>
      </c>
      <c r="B442" s="28">
        <v>1041267614</v>
      </c>
      <c r="C442" s="38" t="s">
        <v>25775</v>
      </c>
      <c r="D442" s="38" t="s">
        <v>25714</v>
      </c>
      <c r="E442" s="38" t="s">
        <v>25255</v>
      </c>
      <c r="F442" s="38" t="s">
        <v>25434</v>
      </c>
      <c r="G442" s="28" t="s">
        <v>19285</v>
      </c>
      <c r="H442" s="28" t="s">
        <v>19238</v>
      </c>
      <c r="I442" s="30">
        <v>45108</v>
      </c>
      <c r="J442" s="30">
        <v>45121</v>
      </c>
      <c r="K442" s="51">
        <v>15</v>
      </c>
      <c r="L442" s="29"/>
      <c r="M442" s="27" t="s">
        <v>19257</v>
      </c>
    </row>
    <row r="443" spans="1:13" s="27" customFormat="1" ht="17.25" customHeight="1" x14ac:dyDescent="0.25">
      <c r="A443" s="28" t="s">
        <v>6</v>
      </c>
      <c r="B443" s="28">
        <v>98525106</v>
      </c>
      <c r="C443" s="28" t="s">
        <v>25326</v>
      </c>
      <c r="D443" s="28" t="s">
        <v>25594</v>
      </c>
      <c r="E443" s="28" t="s">
        <v>25168</v>
      </c>
      <c r="F443" s="28" t="s">
        <v>25005</v>
      </c>
      <c r="G443" s="28" t="s">
        <v>19229</v>
      </c>
      <c r="H443" s="28" t="s">
        <v>19238</v>
      </c>
      <c r="I443" s="30">
        <v>45108</v>
      </c>
      <c r="J443" s="30">
        <v>45122</v>
      </c>
      <c r="K443" s="51">
        <v>15</v>
      </c>
      <c r="L443" s="29"/>
      <c r="M443" s="27" t="s">
        <v>19257</v>
      </c>
    </row>
    <row r="444" spans="1:13" s="27" customFormat="1" ht="17.25" customHeight="1" x14ac:dyDescent="0.25">
      <c r="A444" s="28" t="s">
        <v>6</v>
      </c>
      <c r="B444" s="28">
        <v>1056785694</v>
      </c>
      <c r="C444" s="38" t="s">
        <v>25823</v>
      </c>
      <c r="D444" s="38" t="s">
        <v>25824</v>
      </c>
      <c r="E444" s="38" t="s">
        <v>25825</v>
      </c>
      <c r="F444" s="38" t="s">
        <v>25826</v>
      </c>
      <c r="G444" s="28" t="s">
        <v>19285</v>
      </c>
      <c r="H444" s="28" t="s">
        <v>19240</v>
      </c>
      <c r="I444" s="30">
        <v>45108</v>
      </c>
      <c r="J444" s="30">
        <v>45108</v>
      </c>
      <c r="K444" s="51">
        <v>1</v>
      </c>
      <c r="L444" s="29"/>
      <c r="M444" s="27" t="s">
        <v>24991</v>
      </c>
    </row>
    <row r="445" spans="1:13" s="27" customFormat="1" ht="17.25" customHeight="1" x14ac:dyDescent="0.25">
      <c r="A445" s="28" t="s">
        <v>6</v>
      </c>
      <c r="B445" s="28">
        <v>98562449</v>
      </c>
      <c r="C445" s="38" t="s">
        <v>25403</v>
      </c>
      <c r="D445" s="38" t="s">
        <v>25404</v>
      </c>
      <c r="E445" s="38" t="s">
        <v>19256</v>
      </c>
      <c r="F445" s="38" t="s">
        <v>25405</v>
      </c>
      <c r="G445" s="28" t="s">
        <v>19229</v>
      </c>
      <c r="H445" s="28" t="s">
        <v>19240</v>
      </c>
      <c r="I445" s="30">
        <v>45108</v>
      </c>
      <c r="J445" s="30">
        <v>45110</v>
      </c>
      <c r="K445" s="51">
        <v>3</v>
      </c>
      <c r="L445" s="29"/>
      <c r="M445" s="27" t="s">
        <v>24991</v>
      </c>
    </row>
    <row r="446" spans="1:13" s="27" customFormat="1" ht="17.25" customHeight="1" x14ac:dyDescent="0.25">
      <c r="A446" s="28" t="s">
        <v>6</v>
      </c>
      <c r="B446" s="28">
        <v>98554838</v>
      </c>
      <c r="C446" s="38" t="s">
        <v>24987</v>
      </c>
      <c r="D446" s="38" t="s">
        <v>25426</v>
      </c>
      <c r="E446" s="38" t="s">
        <v>25183</v>
      </c>
      <c r="F446" s="38" t="s">
        <v>25028</v>
      </c>
      <c r="G446" s="28" t="s">
        <v>19229</v>
      </c>
      <c r="H446" s="28" t="s">
        <v>19240</v>
      </c>
      <c r="I446" s="30">
        <v>45109</v>
      </c>
      <c r="J446" s="30">
        <v>45109</v>
      </c>
      <c r="K446" s="51">
        <v>1</v>
      </c>
      <c r="L446" s="29"/>
      <c r="M446" s="27" t="s">
        <v>24991</v>
      </c>
    </row>
    <row r="447" spans="1:13" s="27" customFormat="1" ht="17.25" customHeight="1" x14ac:dyDescent="0.25">
      <c r="A447" s="28" t="s">
        <v>6</v>
      </c>
      <c r="B447" s="28">
        <v>71020088</v>
      </c>
      <c r="C447" s="38" t="s">
        <v>25815</v>
      </c>
      <c r="D447" s="38" t="s">
        <v>25816</v>
      </c>
      <c r="E447" s="38" t="s">
        <v>25396</v>
      </c>
      <c r="F447" s="38" t="s">
        <v>25103</v>
      </c>
      <c r="G447" s="28" t="s">
        <v>19229</v>
      </c>
      <c r="H447" s="28" t="s">
        <v>19240</v>
      </c>
      <c r="I447" s="30">
        <v>45110</v>
      </c>
      <c r="J447" s="30">
        <v>45110</v>
      </c>
      <c r="K447" s="51">
        <v>1</v>
      </c>
      <c r="L447" s="29"/>
      <c r="M447" s="27" t="s">
        <v>24991</v>
      </c>
    </row>
    <row r="448" spans="1:13" s="27" customFormat="1" ht="17.25" customHeight="1" x14ac:dyDescent="0.25">
      <c r="A448" s="28" t="s">
        <v>6</v>
      </c>
      <c r="B448" s="28">
        <v>71393487</v>
      </c>
      <c r="C448" s="38" t="s">
        <v>25174</v>
      </c>
      <c r="D448" s="38" t="s">
        <v>25572</v>
      </c>
      <c r="E448" s="38" t="s">
        <v>25573</v>
      </c>
      <c r="F448" s="38" t="s">
        <v>25574</v>
      </c>
      <c r="G448" s="28" t="s">
        <v>19285</v>
      </c>
      <c r="H448" s="28" t="s">
        <v>19238</v>
      </c>
      <c r="I448" s="30">
        <v>45111</v>
      </c>
      <c r="J448" s="30">
        <v>45125</v>
      </c>
      <c r="K448" s="51">
        <v>15</v>
      </c>
      <c r="L448" s="29"/>
      <c r="M448" s="27" t="s">
        <v>19257</v>
      </c>
    </row>
    <row r="449" spans="1:13" s="27" customFormat="1" ht="17.25" customHeight="1" x14ac:dyDescent="0.25">
      <c r="A449" s="28" t="s">
        <v>6</v>
      </c>
      <c r="B449" s="28">
        <v>1035225845</v>
      </c>
      <c r="C449" s="38" t="s">
        <v>25694</v>
      </c>
      <c r="D449" s="38" t="s">
        <v>25810</v>
      </c>
      <c r="E449" s="38" t="s">
        <v>25056</v>
      </c>
      <c r="F449" s="38" t="s">
        <v>25811</v>
      </c>
      <c r="G449" s="28" t="s">
        <v>19229</v>
      </c>
      <c r="H449" s="28" t="s">
        <v>19239</v>
      </c>
      <c r="I449" s="30">
        <v>45111</v>
      </c>
      <c r="J449" s="30">
        <v>45115</v>
      </c>
      <c r="K449" s="51">
        <v>5</v>
      </c>
      <c r="L449" s="29">
        <v>1</v>
      </c>
      <c r="M449" s="27" t="s">
        <v>25036</v>
      </c>
    </row>
    <row r="450" spans="1:13" s="27" customFormat="1" ht="17.25" customHeight="1" x14ac:dyDescent="0.25">
      <c r="A450" s="28" t="s">
        <v>6</v>
      </c>
      <c r="B450" s="28">
        <v>3132230</v>
      </c>
      <c r="C450" s="38" t="s">
        <v>25061</v>
      </c>
      <c r="D450" s="38" t="s">
        <v>25248</v>
      </c>
      <c r="E450" s="38" t="s">
        <v>25028</v>
      </c>
      <c r="F450" s="38" t="s">
        <v>25822</v>
      </c>
      <c r="G450" s="28" t="s">
        <v>19285</v>
      </c>
      <c r="H450" s="28" t="s">
        <v>19238</v>
      </c>
      <c r="I450" s="30">
        <v>45111</v>
      </c>
      <c r="J450" s="30">
        <v>45126</v>
      </c>
      <c r="K450" s="51">
        <v>15</v>
      </c>
      <c r="L450" s="29"/>
      <c r="M450" s="27" t="s">
        <v>19257</v>
      </c>
    </row>
    <row r="451" spans="1:13" s="27" customFormat="1" ht="17.25" customHeight="1" x14ac:dyDescent="0.25">
      <c r="A451" s="28" t="s">
        <v>6</v>
      </c>
      <c r="B451" s="28">
        <v>15459418</v>
      </c>
      <c r="C451" s="38" t="s">
        <v>25338</v>
      </c>
      <c r="D451" s="38" t="s">
        <v>25806</v>
      </c>
      <c r="E451" s="38" t="s">
        <v>25183</v>
      </c>
      <c r="F451" s="38" t="s">
        <v>25640</v>
      </c>
      <c r="G451" s="28" t="s">
        <v>19285</v>
      </c>
      <c r="H451" s="28" t="s">
        <v>19238</v>
      </c>
      <c r="I451" s="30">
        <v>45112</v>
      </c>
      <c r="J451" s="30">
        <v>45126</v>
      </c>
      <c r="K451" s="51">
        <v>15</v>
      </c>
      <c r="L451" s="29"/>
      <c r="M451" s="27" t="s">
        <v>19257</v>
      </c>
    </row>
    <row r="452" spans="1:13" s="27" customFormat="1" ht="17.25" customHeight="1" x14ac:dyDescent="0.25">
      <c r="A452" s="28" t="s">
        <v>6</v>
      </c>
      <c r="B452" s="28">
        <v>98458674</v>
      </c>
      <c r="C452" s="38" t="s">
        <v>25030</v>
      </c>
      <c r="D452" s="38" t="s">
        <v>25181</v>
      </c>
      <c r="E452" s="38" t="s">
        <v>25663</v>
      </c>
      <c r="F452" s="38" t="s">
        <v>25103</v>
      </c>
      <c r="G452" s="28" t="s">
        <v>19285</v>
      </c>
      <c r="H452" s="28" t="s">
        <v>19238</v>
      </c>
      <c r="I452" s="30">
        <v>45115</v>
      </c>
      <c r="J452" s="30">
        <v>45129</v>
      </c>
      <c r="K452" s="51">
        <v>15</v>
      </c>
      <c r="L452" s="29"/>
      <c r="M452" s="27" t="s">
        <v>19257</v>
      </c>
    </row>
    <row r="453" spans="1:13" s="27" customFormat="1" ht="17.25" customHeight="1" x14ac:dyDescent="0.25">
      <c r="A453" s="28" t="s">
        <v>6</v>
      </c>
      <c r="B453" s="28">
        <v>70435630</v>
      </c>
      <c r="C453" s="38" t="s">
        <v>25804</v>
      </c>
      <c r="D453" s="38" t="s">
        <v>25454</v>
      </c>
      <c r="E453" s="38" t="s">
        <v>25805</v>
      </c>
      <c r="F453" s="38" t="s">
        <v>25135</v>
      </c>
      <c r="G453" s="28" t="s">
        <v>19285</v>
      </c>
      <c r="H453" s="28" t="s">
        <v>19238</v>
      </c>
      <c r="I453" s="30">
        <v>45117</v>
      </c>
      <c r="J453" s="30">
        <v>45131</v>
      </c>
      <c r="K453" s="51">
        <v>15</v>
      </c>
      <c r="L453" s="29"/>
      <c r="M453" s="27" t="s">
        <v>19257</v>
      </c>
    </row>
    <row r="454" spans="1:13" s="27" customFormat="1" ht="17.25" customHeight="1" x14ac:dyDescent="0.25">
      <c r="A454" s="28" t="s">
        <v>6</v>
      </c>
      <c r="B454" s="28">
        <v>1193495741</v>
      </c>
      <c r="C454" s="38" t="s">
        <v>25094</v>
      </c>
      <c r="D454" s="38" t="s">
        <v>25034</v>
      </c>
      <c r="E454" s="38" t="s">
        <v>25092</v>
      </c>
      <c r="F454" s="38"/>
      <c r="G454" s="28" t="s">
        <v>19285</v>
      </c>
      <c r="H454" s="28" t="s">
        <v>19239</v>
      </c>
      <c r="I454" s="30">
        <v>45118</v>
      </c>
      <c r="J454" s="30">
        <v>45118</v>
      </c>
      <c r="K454" s="51">
        <v>1</v>
      </c>
      <c r="L454" s="29">
        <v>7</v>
      </c>
      <c r="M454" s="27" t="s">
        <v>25036</v>
      </c>
    </row>
    <row r="455" spans="1:13" s="27" customFormat="1" ht="17.25" customHeight="1" x14ac:dyDescent="0.25">
      <c r="A455" s="28" t="s">
        <v>6</v>
      </c>
      <c r="B455" s="28">
        <v>1060594475</v>
      </c>
      <c r="C455" s="38" t="s">
        <v>25152</v>
      </c>
      <c r="D455" s="38" t="s">
        <v>25153</v>
      </c>
      <c r="E455" s="38" t="s">
        <v>25154</v>
      </c>
      <c r="F455" s="38"/>
      <c r="G455" s="28" t="s">
        <v>19285</v>
      </c>
      <c r="H455" s="28" t="s">
        <v>19239</v>
      </c>
      <c r="I455" s="30">
        <v>45119</v>
      </c>
      <c r="J455" s="30">
        <v>45121</v>
      </c>
      <c r="K455" s="51">
        <v>3</v>
      </c>
      <c r="L455" s="29">
        <v>10</v>
      </c>
      <c r="M455" s="27" t="s">
        <v>25036</v>
      </c>
    </row>
    <row r="456" spans="1:13" s="27" customFormat="1" ht="17.25" customHeight="1" x14ac:dyDescent="0.25">
      <c r="A456" s="28" t="s">
        <v>6</v>
      </c>
      <c r="B456" s="28">
        <v>43918754</v>
      </c>
      <c r="C456" s="38" t="s">
        <v>25079</v>
      </c>
      <c r="D456" s="38" t="s">
        <v>24983</v>
      </c>
      <c r="E456" s="38" t="s">
        <v>25165</v>
      </c>
      <c r="F456" s="38" t="s">
        <v>25832</v>
      </c>
      <c r="G456" s="28" t="s">
        <v>19229</v>
      </c>
      <c r="H456" s="28" t="s">
        <v>19239</v>
      </c>
      <c r="I456" s="30">
        <v>45119</v>
      </c>
      <c r="J456" s="30">
        <v>45119</v>
      </c>
      <c r="K456" s="51">
        <v>1</v>
      </c>
      <c r="L456" s="29">
        <v>2</v>
      </c>
      <c r="M456" s="27" t="s">
        <v>25036</v>
      </c>
    </row>
    <row r="457" spans="1:13" s="27" customFormat="1" ht="17.25" customHeight="1" x14ac:dyDescent="0.25">
      <c r="A457" s="28" t="s">
        <v>6</v>
      </c>
      <c r="B457" s="28">
        <v>70550977</v>
      </c>
      <c r="C457" s="38" t="s">
        <v>25128</v>
      </c>
      <c r="D457" s="38" t="s">
        <v>25127</v>
      </c>
      <c r="E457" s="38" t="s">
        <v>25130</v>
      </c>
      <c r="F457" s="38" t="s">
        <v>25592</v>
      </c>
      <c r="G457" s="28" t="s">
        <v>19285</v>
      </c>
      <c r="H457" s="28" t="s">
        <v>19240</v>
      </c>
      <c r="I457" s="30">
        <v>45120</v>
      </c>
      <c r="J457" s="30">
        <v>45120</v>
      </c>
      <c r="K457" s="51">
        <v>1</v>
      </c>
      <c r="L457" s="29"/>
      <c r="M457" s="27" t="s">
        <v>24991</v>
      </c>
    </row>
    <row r="458" spans="1:13" s="27" customFormat="1" ht="17.25" customHeight="1" x14ac:dyDescent="0.25">
      <c r="A458" s="28" t="s">
        <v>6</v>
      </c>
      <c r="B458" s="28">
        <v>15444896</v>
      </c>
      <c r="C458" s="38" t="s">
        <v>25310</v>
      </c>
      <c r="D458" s="38" t="s">
        <v>25094</v>
      </c>
      <c r="E458" s="38" t="s">
        <v>25241</v>
      </c>
      <c r="F458" s="38" t="s">
        <v>25691</v>
      </c>
      <c r="G458" s="28" t="s">
        <v>19285</v>
      </c>
      <c r="H458" s="28" t="s">
        <v>19240</v>
      </c>
      <c r="I458" s="30">
        <v>45121</v>
      </c>
      <c r="J458" s="30">
        <v>45121</v>
      </c>
      <c r="K458" s="51">
        <v>1</v>
      </c>
      <c r="L458" s="29"/>
      <c r="M458" s="27" t="s">
        <v>24991</v>
      </c>
    </row>
    <row r="459" spans="1:13" s="27" customFormat="1" ht="17.25" customHeight="1" x14ac:dyDescent="0.25">
      <c r="A459" s="28" t="s">
        <v>6</v>
      </c>
      <c r="B459" s="28">
        <v>1067883111</v>
      </c>
      <c r="C459" s="38" t="s">
        <v>25727</v>
      </c>
      <c r="D459" s="38" t="s">
        <v>25257</v>
      </c>
      <c r="E459" s="38" t="s">
        <v>25821</v>
      </c>
      <c r="F459" s="38" t="s">
        <v>25177</v>
      </c>
      <c r="G459" s="28" t="s">
        <v>19285</v>
      </c>
      <c r="H459" s="28" t="s">
        <v>19238</v>
      </c>
      <c r="I459" s="30">
        <v>45124</v>
      </c>
      <c r="J459" s="30">
        <v>45131</v>
      </c>
      <c r="K459" s="51">
        <v>8</v>
      </c>
      <c r="L459" s="29"/>
      <c r="M459" s="27" t="s">
        <v>19257</v>
      </c>
    </row>
    <row r="460" spans="1:13" s="27" customFormat="1" ht="17.25" customHeight="1" x14ac:dyDescent="0.25">
      <c r="A460" s="28" t="s">
        <v>6</v>
      </c>
      <c r="B460" s="28">
        <v>3367406</v>
      </c>
      <c r="C460" s="38" t="s">
        <v>25461</v>
      </c>
      <c r="D460" s="38" t="s">
        <v>25126</v>
      </c>
      <c r="E460" s="38" t="s">
        <v>25500</v>
      </c>
      <c r="F460" s="38" t="s">
        <v>25103</v>
      </c>
      <c r="G460" s="28" t="s">
        <v>19229</v>
      </c>
      <c r="H460" s="28" t="s">
        <v>19238</v>
      </c>
      <c r="I460" s="30">
        <v>45124</v>
      </c>
      <c r="J460" s="30">
        <v>45138</v>
      </c>
      <c r="K460" s="51">
        <v>15</v>
      </c>
      <c r="L460" s="29"/>
      <c r="M460" s="27" t="s">
        <v>19257</v>
      </c>
    </row>
    <row r="461" spans="1:13" s="27" customFormat="1" ht="17.25" customHeight="1" x14ac:dyDescent="0.25">
      <c r="A461" s="28" t="s">
        <v>6</v>
      </c>
      <c r="B461" s="28">
        <v>1128476007</v>
      </c>
      <c r="C461" s="38" t="s">
        <v>25432</v>
      </c>
      <c r="D461" s="38" t="s">
        <v>25492</v>
      </c>
      <c r="E461" s="38" t="s">
        <v>25827</v>
      </c>
      <c r="F461" s="38"/>
      <c r="G461" s="28" t="s">
        <v>19285</v>
      </c>
      <c r="H461" s="28" t="s">
        <v>19240</v>
      </c>
      <c r="I461" s="30">
        <v>45128</v>
      </c>
      <c r="J461" s="30">
        <v>45129</v>
      </c>
      <c r="K461" s="51">
        <v>2</v>
      </c>
      <c r="L461" s="29"/>
      <c r="M461" s="27" t="s">
        <v>24991</v>
      </c>
    </row>
    <row r="462" spans="1:13" s="27" customFormat="1" ht="17.25" customHeight="1" x14ac:dyDescent="0.25">
      <c r="A462" s="28" t="s">
        <v>6</v>
      </c>
      <c r="B462" s="28">
        <v>1067883111</v>
      </c>
      <c r="C462" s="38" t="s">
        <v>25727</v>
      </c>
      <c r="D462" s="38" t="s">
        <v>25257</v>
      </c>
      <c r="E462" s="38" t="s">
        <v>25821</v>
      </c>
      <c r="F462" s="38" t="s">
        <v>25177</v>
      </c>
      <c r="G462" s="28" t="s">
        <v>19285</v>
      </c>
      <c r="H462" s="28" t="s">
        <v>19238</v>
      </c>
      <c r="I462" s="30">
        <v>45132</v>
      </c>
      <c r="J462" s="30">
        <v>45139</v>
      </c>
      <c r="K462" s="51">
        <v>8</v>
      </c>
      <c r="L462" s="29"/>
      <c r="M462" s="27" t="s">
        <v>19257</v>
      </c>
    </row>
    <row r="463" spans="1:13" s="27" customFormat="1" ht="17.25" customHeight="1" x14ac:dyDescent="0.25">
      <c r="A463" s="28" t="s">
        <v>6</v>
      </c>
      <c r="B463" s="28">
        <v>71193190</v>
      </c>
      <c r="C463" s="38" t="s">
        <v>25844</v>
      </c>
      <c r="D463" s="38" t="s">
        <v>25845</v>
      </c>
      <c r="E463" s="38" t="s">
        <v>25157</v>
      </c>
      <c r="F463" s="38" t="s">
        <v>25010</v>
      </c>
      <c r="G463" s="28" t="s">
        <v>19229</v>
      </c>
      <c r="H463" s="28" t="s">
        <v>19239</v>
      </c>
      <c r="I463" s="30">
        <v>45138</v>
      </c>
      <c r="J463" s="30">
        <v>45138</v>
      </c>
      <c r="K463" s="51">
        <v>1</v>
      </c>
      <c r="L463" s="29">
        <v>20</v>
      </c>
      <c r="M463" s="27" t="s">
        <v>25036</v>
      </c>
    </row>
    <row r="464" spans="1:13" s="27" customFormat="1" ht="17.25" customHeight="1" x14ac:dyDescent="0.25">
      <c r="A464" s="28" t="s">
        <v>7</v>
      </c>
      <c r="B464" s="28">
        <v>1003004629</v>
      </c>
      <c r="C464" s="38" t="s">
        <v>25614</v>
      </c>
      <c r="D464" s="38" t="s">
        <v>25631</v>
      </c>
      <c r="E464" s="38" t="s">
        <v>25282</v>
      </c>
      <c r="F464" s="38" t="s">
        <v>25010</v>
      </c>
      <c r="G464" s="28" t="s">
        <v>19229</v>
      </c>
      <c r="H464" s="28" t="s">
        <v>19238</v>
      </c>
      <c r="I464" s="30">
        <v>45138</v>
      </c>
      <c r="J464" s="30">
        <v>45152</v>
      </c>
      <c r="K464" s="51">
        <v>15</v>
      </c>
      <c r="L464" s="29"/>
      <c r="M464" s="27" t="s">
        <v>19257</v>
      </c>
    </row>
    <row r="465" spans="1:13" s="27" customFormat="1" ht="17.25" customHeight="1" x14ac:dyDescent="0.25">
      <c r="A465" s="28" t="s">
        <v>7</v>
      </c>
      <c r="B465" s="28">
        <v>98527545</v>
      </c>
      <c r="C465" s="38" t="s">
        <v>25200</v>
      </c>
      <c r="D465" s="38"/>
      <c r="E465" s="38" t="s">
        <v>25460</v>
      </c>
      <c r="F465" s="38"/>
      <c r="G465" s="28" t="s">
        <v>19229</v>
      </c>
      <c r="H465" s="28" t="s">
        <v>19240</v>
      </c>
      <c r="I465" s="30">
        <v>45139</v>
      </c>
      <c r="J465" s="30">
        <v>45143</v>
      </c>
      <c r="K465" s="51">
        <v>3</v>
      </c>
      <c r="L465" s="29"/>
      <c r="M465" s="27" t="s">
        <v>24991</v>
      </c>
    </row>
    <row r="466" spans="1:13" s="27" customFormat="1" ht="17.25" customHeight="1" x14ac:dyDescent="0.25">
      <c r="A466" s="28" t="s">
        <v>7</v>
      </c>
      <c r="B466" s="28">
        <v>93472217</v>
      </c>
      <c r="C466" s="38" t="s">
        <v>25410</v>
      </c>
      <c r="D466" s="38" t="s">
        <v>25109</v>
      </c>
      <c r="E466" s="38" t="s">
        <v>25183</v>
      </c>
      <c r="F466" s="38" t="s">
        <v>25028</v>
      </c>
      <c r="G466" s="28" t="s">
        <v>19229</v>
      </c>
      <c r="H466" s="28" t="s">
        <v>19238</v>
      </c>
      <c r="I466" s="30">
        <v>45139</v>
      </c>
      <c r="J466" s="30">
        <v>45153</v>
      </c>
      <c r="K466" s="51">
        <v>15</v>
      </c>
      <c r="L466" s="29"/>
      <c r="M466" s="27" t="s">
        <v>19257</v>
      </c>
    </row>
    <row r="467" spans="1:13" s="27" customFormat="1" ht="17.25" customHeight="1" x14ac:dyDescent="0.25">
      <c r="A467" s="28" t="s">
        <v>7</v>
      </c>
      <c r="B467" s="28">
        <v>15526159</v>
      </c>
      <c r="C467" s="38" t="s">
        <v>25865</v>
      </c>
      <c r="D467" s="38" t="s">
        <v>25284</v>
      </c>
      <c r="E467" s="38" t="s">
        <v>25141</v>
      </c>
      <c r="F467" s="38" t="s">
        <v>25103</v>
      </c>
      <c r="G467" s="28" t="s">
        <v>19229</v>
      </c>
      <c r="H467" s="28" t="s">
        <v>19238</v>
      </c>
      <c r="I467" s="30">
        <v>45139</v>
      </c>
      <c r="J467" s="30">
        <v>45153</v>
      </c>
      <c r="K467" s="51">
        <v>15</v>
      </c>
      <c r="L467" s="29"/>
      <c r="M467" s="27" t="s">
        <v>19257</v>
      </c>
    </row>
    <row r="468" spans="1:13" s="27" customFormat="1" ht="17.25" customHeight="1" x14ac:dyDescent="0.25">
      <c r="A468" s="28" t="s">
        <v>7</v>
      </c>
      <c r="B468" s="28">
        <v>1117500667</v>
      </c>
      <c r="C468" s="38" t="s">
        <v>25866</v>
      </c>
      <c r="D468" s="38" t="s">
        <v>25079</v>
      </c>
      <c r="E468" s="38" t="s">
        <v>25867</v>
      </c>
      <c r="F468" s="38" t="s">
        <v>25177</v>
      </c>
      <c r="G468" s="28" t="s">
        <v>19229</v>
      </c>
      <c r="H468" s="28" t="s">
        <v>19238</v>
      </c>
      <c r="I468" s="30">
        <v>45139</v>
      </c>
      <c r="J468" s="30">
        <v>45153</v>
      </c>
      <c r="K468" s="51">
        <v>15</v>
      </c>
      <c r="L468" s="29"/>
      <c r="M468" s="27" t="s">
        <v>19257</v>
      </c>
    </row>
    <row r="469" spans="1:13" s="27" customFormat="1" ht="17.25" customHeight="1" x14ac:dyDescent="0.25">
      <c r="A469" s="28" t="s">
        <v>7</v>
      </c>
      <c r="B469" s="28">
        <v>8405674</v>
      </c>
      <c r="C469" s="38" t="s">
        <v>25498</v>
      </c>
      <c r="D469" s="38" t="s">
        <v>25870</v>
      </c>
      <c r="E469" s="38" t="s">
        <v>25871</v>
      </c>
      <c r="F469" s="38" t="s">
        <v>25103</v>
      </c>
      <c r="G469" s="28" t="s">
        <v>19229</v>
      </c>
      <c r="H469" s="28" t="s">
        <v>19238</v>
      </c>
      <c r="I469" s="30">
        <v>45139</v>
      </c>
      <c r="J469" s="30">
        <v>45153</v>
      </c>
      <c r="K469" s="51">
        <v>15</v>
      </c>
      <c r="L469" s="29"/>
      <c r="M469" s="27" t="s">
        <v>19257</v>
      </c>
    </row>
    <row r="470" spans="1:13" s="27" customFormat="1" ht="17.25" customHeight="1" x14ac:dyDescent="0.25">
      <c r="A470" s="28" t="s">
        <v>7</v>
      </c>
      <c r="B470" s="28">
        <v>1039022416</v>
      </c>
      <c r="C470" s="38" t="s">
        <v>25930</v>
      </c>
      <c r="D470" s="38" t="s">
        <v>25833</v>
      </c>
      <c r="E470" s="38" t="s">
        <v>25035</v>
      </c>
      <c r="F470" s="38" t="s">
        <v>25089</v>
      </c>
      <c r="G470" s="28" t="s">
        <v>19229</v>
      </c>
      <c r="H470" s="28" t="s">
        <v>19240</v>
      </c>
      <c r="I470" s="30">
        <v>45139</v>
      </c>
      <c r="J470" s="30">
        <v>45140</v>
      </c>
      <c r="K470" s="51">
        <v>2</v>
      </c>
      <c r="L470" s="29"/>
      <c r="M470" s="27" t="s">
        <v>25431</v>
      </c>
    </row>
    <row r="471" spans="1:13" s="27" customFormat="1" ht="17.25" customHeight="1" x14ac:dyDescent="0.25">
      <c r="A471" s="28" t="s">
        <v>25850</v>
      </c>
      <c r="B471" s="28">
        <v>98520676</v>
      </c>
      <c r="C471" s="38" t="s">
        <v>25224</v>
      </c>
      <c r="D471" s="38" t="s">
        <v>25424</v>
      </c>
      <c r="E471" s="38" t="s">
        <v>25282</v>
      </c>
      <c r="F471" s="38" t="s">
        <v>25028</v>
      </c>
      <c r="G471" s="28" t="s">
        <v>19285</v>
      </c>
      <c r="H471" s="28" t="s">
        <v>19239</v>
      </c>
      <c r="I471" s="30">
        <v>45140</v>
      </c>
      <c r="J471" s="30">
        <v>45144</v>
      </c>
      <c r="K471" s="51">
        <v>5</v>
      </c>
      <c r="L471" s="29">
        <v>22</v>
      </c>
      <c r="M471" s="27" t="s">
        <v>25036</v>
      </c>
    </row>
    <row r="472" spans="1:13" s="27" customFormat="1" ht="17.25" customHeight="1" x14ac:dyDescent="0.25">
      <c r="A472" s="28" t="s">
        <v>25850</v>
      </c>
      <c r="B472" s="28">
        <v>1020490423</v>
      </c>
      <c r="C472" s="38" t="s">
        <v>25075</v>
      </c>
      <c r="D472" s="38" t="s">
        <v>25076</v>
      </c>
      <c r="E472" s="38" t="s">
        <v>25077</v>
      </c>
      <c r="F472" s="38" t="s">
        <v>25078</v>
      </c>
      <c r="G472" s="28" t="s">
        <v>19229</v>
      </c>
      <c r="H472" s="28" t="s">
        <v>19239</v>
      </c>
      <c r="I472" s="30">
        <v>45141</v>
      </c>
      <c r="J472" s="30">
        <v>45142</v>
      </c>
      <c r="K472" s="51">
        <v>2</v>
      </c>
      <c r="L472" s="29">
        <v>2</v>
      </c>
      <c r="M472" s="27" t="s">
        <v>25067</v>
      </c>
    </row>
    <row r="473" spans="1:13" s="27" customFormat="1" ht="17.25" customHeight="1" x14ac:dyDescent="0.25">
      <c r="A473" s="28" t="s">
        <v>7</v>
      </c>
      <c r="B473" s="28">
        <v>1017192273</v>
      </c>
      <c r="C473" s="38" t="s">
        <v>25216</v>
      </c>
      <c r="D473" s="38" t="s">
        <v>25459</v>
      </c>
      <c r="E473" s="38" t="s">
        <v>25676</v>
      </c>
      <c r="F473" s="38" t="s">
        <v>25648</v>
      </c>
      <c r="G473" s="28" t="s">
        <v>19229</v>
      </c>
      <c r="H473" s="28" t="s">
        <v>19240</v>
      </c>
      <c r="I473" s="30">
        <v>45141</v>
      </c>
      <c r="J473" s="30">
        <v>45143</v>
      </c>
      <c r="K473" s="51">
        <v>3</v>
      </c>
      <c r="L473" s="29"/>
      <c r="M473" s="27" t="s">
        <v>24991</v>
      </c>
    </row>
    <row r="474" spans="1:13" s="27" customFormat="1" ht="17.25" customHeight="1" x14ac:dyDescent="0.25">
      <c r="A474" s="28" t="s">
        <v>25850</v>
      </c>
      <c r="B474" s="28">
        <v>8156170</v>
      </c>
      <c r="C474" s="38" t="s">
        <v>25529</v>
      </c>
      <c r="D474" s="38" t="s">
        <v>25062</v>
      </c>
      <c r="E474" s="38" t="s">
        <v>25843</v>
      </c>
      <c r="F474" s="38" t="s">
        <v>25057</v>
      </c>
      <c r="G474" s="28" t="s">
        <v>19229</v>
      </c>
      <c r="H474" s="28" t="s">
        <v>19239</v>
      </c>
      <c r="I474" s="30">
        <v>45142</v>
      </c>
      <c r="J474" s="30">
        <v>45146</v>
      </c>
      <c r="K474" s="51">
        <v>5</v>
      </c>
      <c r="L474" s="29">
        <v>22</v>
      </c>
      <c r="M474" s="27" t="s">
        <v>25036</v>
      </c>
    </row>
    <row r="475" spans="1:13" s="27" customFormat="1" ht="17.25" customHeight="1" x14ac:dyDescent="0.25">
      <c r="A475" s="28" t="s">
        <v>25850</v>
      </c>
      <c r="B475" s="28">
        <v>1003304784</v>
      </c>
      <c r="C475" s="38" t="s">
        <v>25456</v>
      </c>
      <c r="D475" s="38" t="s">
        <v>25257</v>
      </c>
      <c r="E475" s="38" t="s">
        <v>25198</v>
      </c>
      <c r="F475" s="38" t="s">
        <v>25255</v>
      </c>
      <c r="G475" s="28" t="s">
        <v>19229</v>
      </c>
      <c r="H475" s="28" t="s">
        <v>19240</v>
      </c>
      <c r="I475" s="30">
        <v>45142</v>
      </c>
      <c r="J475" s="30">
        <v>45153</v>
      </c>
      <c r="K475" s="51">
        <v>12</v>
      </c>
      <c r="L475" s="29"/>
      <c r="M475" s="27" t="s">
        <v>24991</v>
      </c>
    </row>
    <row r="476" spans="1:13" s="27" customFormat="1" ht="17.25" customHeight="1" x14ac:dyDescent="0.25">
      <c r="A476" s="28" t="s">
        <v>7</v>
      </c>
      <c r="B476" s="28">
        <v>71781456</v>
      </c>
      <c r="C476" s="38" t="s">
        <v>25743</v>
      </c>
      <c r="D476" s="38" t="s">
        <v>25868</v>
      </c>
      <c r="E476" s="38" t="s">
        <v>24988</v>
      </c>
      <c r="F476" s="38" t="s">
        <v>25064</v>
      </c>
      <c r="G476" s="28" t="s">
        <v>19229</v>
      </c>
      <c r="H476" s="28" t="s">
        <v>19238</v>
      </c>
      <c r="I476" s="30">
        <v>45142</v>
      </c>
      <c r="J476" s="30">
        <v>45156</v>
      </c>
      <c r="K476" s="51">
        <v>15</v>
      </c>
      <c r="L476" s="29"/>
      <c r="M476" s="27" t="s">
        <v>19257</v>
      </c>
    </row>
    <row r="477" spans="1:13" s="27" customFormat="1" ht="17.25" customHeight="1" x14ac:dyDescent="0.25">
      <c r="A477" s="28" t="s">
        <v>25850</v>
      </c>
      <c r="B477" s="28">
        <v>71769823</v>
      </c>
      <c r="C477" s="38" t="s">
        <v>25498</v>
      </c>
      <c r="D477" s="38" t="s">
        <v>25673</v>
      </c>
      <c r="E477" s="38" t="s">
        <v>25144</v>
      </c>
      <c r="F477" s="38" t="s">
        <v>25064</v>
      </c>
      <c r="G477" s="28" t="s">
        <v>19229</v>
      </c>
      <c r="H477" s="28" t="s">
        <v>19240</v>
      </c>
      <c r="I477" s="30">
        <v>45143</v>
      </c>
      <c r="J477" s="30">
        <v>45147</v>
      </c>
      <c r="K477" s="51">
        <v>5</v>
      </c>
      <c r="L477" s="29"/>
      <c r="M477" s="27" t="s">
        <v>26223</v>
      </c>
    </row>
    <row r="478" spans="1:13" s="27" customFormat="1" ht="17.25" customHeight="1" x14ac:dyDescent="0.25">
      <c r="A478" s="28" t="s">
        <v>7</v>
      </c>
      <c r="B478" s="28">
        <v>98500553</v>
      </c>
      <c r="C478" s="38" t="s">
        <v>25353</v>
      </c>
      <c r="D478" s="38" t="s">
        <v>25177</v>
      </c>
      <c r="E478" s="38" t="s">
        <v>25359</v>
      </c>
      <c r="F478" s="38" t="s">
        <v>24986</v>
      </c>
      <c r="G478" s="28" t="s">
        <v>19229</v>
      </c>
      <c r="H478" s="28" t="s">
        <v>19240</v>
      </c>
      <c r="I478" s="30">
        <v>45143</v>
      </c>
      <c r="J478" s="30">
        <v>45145</v>
      </c>
      <c r="K478" s="51">
        <v>3</v>
      </c>
      <c r="L478" s="29"/>
      <c r="M478" s="27" t="s">
        <v>25431</v>
      </c>
    </row>
    <row r="479" spans="1:13" s="27" customFormat="1" ht="17.25" customHeight="1" x14ac:dyDescent="0.25">
      <c r="A479" s="28" t="s">
        <v>7</v>
      </c>
      <c r="B479" s="28">
        <v>1080932097</v>
      </c>
      <c r="C479" s="38" t="s">
        <v>25109</v>
      </c>
      <c r="D479" s="38" t="s">
        <v>25061</v>
      </c>
      <c r="E479" s="38" t="s">
        <v>25576</v>
      </c>
      <c r="F479" s="38"/>
      <c r="G479" s="28" t="s">
        <v>19229</v>
      </c>
      <c r="H479" s="28" t="s">
        <v>19238</v>
      </c>
      <c r="I479" s="30">
        <v>45144</v>
      </c>
      <c r="J479" s="30">
        <v>45151</v>
      </c>
      <c r="K479" s="51">
        <v>8</v>
      </c>
      <c r="L479" s="29"/>
      <c r="M479" s="27" t="s">
        <v>19257</v>
      </c>
    </row>
    <row r="480" spans="1:13" s="27" customFormat="1" ht="16.5" customHeight="1" x14ac:dyDescent="0.25">
      <c r="A480" s="28" t="s">
        <v>7</v>
      </c>
      <c r="B480" s="28">
        <v>1047482608</v>
      </c>
      <c r="C480" s="38" t="s">
        <v>25928</v>
      </c>
      <c r="D480" s="38" t="s">
        <v>25929</v>
      </c>
      <c r="E480" s="38" t="s">
        <v>25754</v>
      </c>
      <c r="F480" s="38" t="s">
        <v>25099</v>
      </c>
      <c r="G480" s="28" t="s">
        <v>19229</v>
      </c>
      <c r="H480" s="28" t="s">
        <v>19240</v>
      </c>
      <c r="I480" s="30">
        <v>45144</v>
      </c>
      <c r="J480" s="30">
        <v>45148</v>
      </c>
      <c r="K480" s="51">
        <v>5</v>
      </c>
      <c r="L480" s="29"/>
      <c r="M480" s="27" t="s">
        <v>25431</v>
      </c>
    </row>
    <row r="481" spans="1:13" s="27" customFormat="1" ht="17.25" customHeight="1" x14ac:dyDescent="0.25">
      <c r="A481" s="28" t="s">
        <v>25850</v>
      </c>
      <c r="B481" s="28">
        <v>71335134</v>
      </c>
      <c r="C481" s="38" t="s">
        <v>25839</v>
      </c>
      <c r="D481" s="38" t="s">
        <v>25310</v>
      </c>
      <c r="E481" s="38" t="s">
        <v>25203</v>
      </c>
      <c r="F481" s="38" t="s">
        <v>25005</v>
      </c>
      <c r="G481" s="28" t="s">
        <v>19285</v>
      </c>
      <c r="H481" s="28" t="s">
        <v>19239</v>
      </c>
      <c r="I481" s="30">
        <v>45146</v>
      </c>
      <c r="J481" s="30">
        <v>45148</v>
      </c>
      <c r="K481" s="51">
        <v>3</v>
      </c>
      <c r="L481" s="29">
        <v>10</v>
      </c>
      <c r="M481" s="27" t="s">
        <v>25036</v>
      </c>
    </row>
    <row r="482" spans="1:13" s="27" customFormat="1" ht="17.25" customHeight="1" x14ac:dyDescent="0.25">
      <c r="A482" s="28" t="s">
        <v>25850</v>
      </c>
      <c r="B482" s="28">
        <v>70252687</v>
      </c>
      <c r="C482" s="38" t="s">
        <v>25178</v>
      </c>
      <c r="D482" s="38" t="s">
        <v>25248</v>
      </c>
      <c r="E482" s="38" t="s">
        <v>25131</v>
      </c>
      <c r="F482" s="38" t="s">
        <v>25020</v>
      </c>
      <c r="G482" s="28" t="s">
        <v>19229</v>
      </c>
      <c r="H482" s="28" t="s">
        <v>19240</v>
      </c>
      <c r="I482" s="30">
        <v>45146</v>
      </c>
      <c r="J482" s="30">
        <v>45150</v>
      </c>
      <c r="K482" s="51">
        <v>5</v>
      </c>
      <c r="L482" s="29"/>
      <c r="M482" s="27" t="s">
        <v>26223</v>
      </c>
    </row>
    <row r="483" spans="1:13" s="27" customFormat="1" ht="17.25" customHeight="1" x14ac:dyDescent="0.25">
      <c r="A483" s="28" t="s">
        <v>7</v>
      </c>
      <c r="B483" s="28">
        <v>71055205</v>
      </c>
      <c r="C483" s="38" t="s">
        <v>25480</v>
      </c>
      <c r="D483" s="38" t="s">
        <v>25639</v>
      </c>
      <c r="E483" s="38" t="s">
        <v>25131</v>
      </c>
      <c r="F483" s="38" t="s">
        <v>25020</v>
      </c>
      <c r="G483" s="28" t="s">
        <v>19229</v>
      </c>
      <c r="H483" s="28" t="s">
        <v>19238</v>
      </c>
      <c r="I483" s="30">
        <v>45146</v>
      </c>
      <c r="J483" s="30">
        <v>45160</v>
      </c>
      <c r="K483" s="51">
        <v>15</v>
      </c>
      <c r="L483" s="29"/>
      <c r="M483" s="27" t="s">
        <v>19257</v>
      </c>
    </row>
    <row r="484" spans="1:13" s="27" customFormat="1" ht="17.25" customHeight="1" x14ac:dyDescent="0.25">
      <c r="A484" s="28" t="s">
        <v>7</v>
      </c>
      <c r="B484" s="28">
        <v>3434409</v>
      </c>
      <c r="C484" s="38" t="s">
        <v>25257</v>
      </c>
      <c r="D484" s="38" t="s">
        <v>25175</v>
      </c>
      <c r="E484" s="38" t="s">
        <v>25581</v>
      </c>
      <c r="F484" s="38" t="s">
        <v>25103</v>
      </c>
      <c r="G484" s="28" t="s">
        <v>19229</v>
      </c>
      <c r="H484" s="28" t="s">
        <v>19238</v>
      </c>
      <c r="I484" s="30">
        <v>45146</v>
      </c>
      <c r="J484" s="30">
        <v>45160</v>
      </c>
      <c r="K484" s="51">
        <v>15</v>
      </c>
      <c r="L484" s="29"/>
      <c r="M484" s="27" t="s">
        <v>19257</v>
      </c>
    </row>
    <row r="485" spans="1:13" s="27" customFormat="1" ht="17.25" customHeight="1" x14ac:dyDescent="0.25">
      <c r="A485" s="28" t="s">
        <v>25850</v>
      </c>
      <c r="B485" s="28">
        <v>15295271</v>
      </c>
      <c r="C485" s="38" t="s">
        <v>25281</v>
      </c>
      <c r="D485" s="38" t="s">
        <v>25182</v>
      </c>
      <c r="E485" s="38" t="s">
        <v>25282</v>
      </c>
      <c r="F485" s="38" t="s">
        <v>25119</v>
      </c>
      <c r="G485" s="28" t="s">
        <v>19285</v>
      </c>
      <c r="H485" s="28" t="s">
        <v>19239</v>
      </c>
      <c r="I485" s="30">
        <v>45147</v>
      </c>
      <c r="J485" s="30">
        <v>45147</v>
      </c>
      <c r="K485" s="51">
        <v>1</v>
      </c>
      <c r="L485" s="29">
        <v>4</v>
      </c>
      <c r="M485" s="27" t="s">
        <v>25036</v>
      </c>
    </row>
    <row r="486" spans="1:13" s="27" customFormat="1" ht="17.25" customHeight="1" x14ac:dyDescent="0.25">
      <c r="A486" s="28" t="s">
        <v>25850</v>
      </c>
      <c r="B486" s="28">
        <v>1001668854</v>
      </c>
      <c r="C486" s="38" t="s">
        <v>25840</v>
      </c>
      <c r="D486" s="38" t="s">
        <v>25841</v>
      </c>
      <c r="E486" s="38" t="s">
        <v>25333</v>
      </c>
      <c r="F486" s="38" t="s">
        <v>25842</v>
      </c>
      <c r="G486" s="28" t="s">
        <v>19285</v>
      </c>
      <c r="H486" s="28" t="s">
        <v>19239</v>
      </c>
      <c r="I486" s="30">
        <v>45148</v>
      </c>
      <c r="J486" s="30">
        <v>45148</v>
      </c>
      <c r="K486" s="51">
        <v>1</v>
      </c>
      <c r="L486" s="29">
        <v>4</v>
      </c>
      <c r="M486" s="27" t="s">
        <v>25036</v>
      </c>
    </row>
    <row r="487" spans="1:13" s="27" customFormat="1" ht="17.25" customHeight="1" x14ac:dyDescent="0.25">
      <c r="A487" s="28" t="s">
        <v>7</v>
      </c>
      <c r="B487" s="28">
        <v>98711080</v>
      </c>
      <c r="C487" s="38" t="s">
        <v>25219</v>
      </c>
      <c r="D487" s="38" t="s">
        <v>25443</v>
      </c>
      <c r="E487" s="38" t="s">
        <v>25430</v>
      </c>
      <c r="F487" s="38" t="s">
        <v>25119</v>
      </c>
      <c r="G487" s="28" t="s">
        <v>19229</v>
      </c>
      <c r="H487" s="28" t="s">
        <v>19238</v>
      </c>
      <c r="I487" s="30">
        <v>45148</v>
      </c>
      <c r="J487" s="30">
        <v>45162</v>
      </c>
      <c r="K487" s="51">
        <v>15</v>
      </c>
      <c r="L487" s="29"/>
      <c r="M487" s="27" t="s">
        <v>19257</v>
      </c>
    </row>
    <row r="488" spans="1:13" s="27" customFormat="1" ht="17.25" customHeight="1" x14ac:dyDescent="0.25">
      <c r="A488" s="28" t="s">
        <v>7</v>
      </c>
      <c r="B488" s="28">
        <v>7698354</v>
      </c>
      <c r="C488" s="38" t="s">
        <v>25244</v>
      </c>
      <c r="D488" s="38" t="s">
        <v>25547</v>
      </c>
      <c r="E488" s="38" t="s">
        <v>25091</v>
      </c>
      <c r="F488" s="38" t="s">
        <v>25283</v>
      </c>
      <c r="G488" s="28" t="s">
        <v>19229</v>
      </c>
      <c r="H488" s="28" t="s">
        <v>19238</v>
      </c>
      <c r="I488" s="30">
        <v>45148</v>
      </c>
      <c r="J488" s="30">
        <v>45155</v>
      </c>
      <c r="K488" s="51">
        <v>8</v>
      </c>
      <c r="L488" s="29"/>
      <c r="M488" s="27" t="s">
        <v>19257</v>
      </c>
    </row>
    <row r="489" spans="1:13" s="27" customFormat="1" ht="17.25" customHeight="1" x14ac:dyDescent="0.25">
      <c r="A489" s="28" t="s">
        <v>7</v>
      </c>
      <c r="B489" s="28">
        <v>98706146</v>
      </c>
      <c r="C489" s="38" t="s">
        <v>25224</v>
      </c>
      <c r="D489" s="38" t="s">
        <v>25723</v>
      </c>
      <c r="E489" s="38" t="s">
        <v>25876</v>
      </c>
      <c r="F489" s="38" t="s">
        <v>25430</v>
      </c>
      <c r="G489" s="28" t="s">
        <v>19229</v>
      </c>
      <c r="H489" s="28" t="s">
        <v>19238</v>
      </c>
      <c r="I489" s="30">
        <v>45148</v>
      </c>
      <c r="J489" s="30">
        <v>45162</v>
      </c>
      <c r="K489" s="51">
        <v>15</v>
      </c>
      <c r="L489" s="29"/>
      <c r="M489" s="27" t="s">
        <v>19257</v>
      </c>
    </row>
    <row r="490" spans="1:13" s="27" customFormat="1" ht="17.25" customHeight="1" x14ac:dyDescent="0.25">
      <c r="A490" s="28" t="s">
        <v>7</v>
      </c>
      <c r="B490" s="28">
        <v>1038799598</v>
      </c>
      <c r="C490" s="38" t="s">
        <v>25337</v>
      </c>
      <c r="D490" s="38" t="s">
        <v>25338</v>
      </c>
      <c r="E490" s="38" t="s">
        <v>25869</v>
      </c>
      <c r="F490" s="38"/>
      <c r="G490" s="28" t="s">
        <v>19229</v>
      </c>
      <c r="H490" s="28" t="s">
        <v>19238</v>
      </c>
      <c r="I490" s="30">
        <v>45149</v>
      </c>
      <c r="J490" s="30">
        <v>45163</v>
      </c>
      <c r="K490" s="51">
        <v>15</v>
      </c>
      <c r="L490" s="29"/>
      <c r="M490" s="27" t="s">
        <v>19257</v>
      </c>
    </row>
    <row r="491" spans="1:13" s="27" customFormat="1" ht="17.25" customHeight="1" x14ac:dyDescent="0.25">
      <c r="A491" s="28" t="s">
        <v>25850</v>
      </c>
      <c r="B491" s="28">
        <v>1147935100</v>
      </c>
      <c r="C491" s="38" t="s">
        <v>25269</v>
      </c>
      <c r="D491" s="38" t="s">
        <v>25362</v>
      </c>
      <c r="E491" s="38" t="s">
        <v>25282</v>
      </c>
      <c r="F491" s="38" t="s">
        <v>25177</v>
      </c>
      <c r="G491" s="28" t="s">
        <v>19229</v>
      </c>
      <c r="H491" s="28" t="s">
        <v>19239</v>
      </c>
      <c r="I491" s="30">
        <v>45152</v>
      </c>
      <c r="J491" s="30">
        <v>45152</v>
      </c>
      <c r="K491" s="51">
        <v>1</v>
      </c>
      <c r="L491" s="29">
        <v>20</v>
      </c>
      <c r="M491" s="27" t="s">
        <v>25036</v>
      </c>
    </row>
    <row r="492" spans="1:13" s="27" customFormat="1" ht="17.25" customHeight="1" x14ac:dyDescent="0.25">
      <c r="A492" s="28" t="s">
        <v>7</v>
      </c>
      <c r="B492" s="28">
        <v>70564602</v>
      </c>
      <c r="C492" s="38" t="s">
        <v>25105</v>
      </c>
      <c r="D492" s="38" t="s">
        <v>25736</v>
      </c>
      <c r="E492" s="38" t="s">
        <v>25099</v>
      </c>
      <c r="F492" s="38" t="s">
        <v>25135</v>
      </c>
      <c r="G492" s="28" t="s">
        <v>19229</v>
      </c>
      <c r="H492" s="28" t="s">
        <v>19238</v>
      </c>
      <c r="I492" s="30">
        <v>45152</v>
      </c>
      <c r="J492" s="30">
        <v>45166</v>
      </c>
      <c r="K492" s="51">
        <v>15</v>
      </c>
      <c r="L492" s="29"/>
      <c r="M492" s="27" t="s">
        <v>19257</v>
      </c>
    </row>
    <row r="493" spans="1:13" s="27" customFormat="1" ht="17.25" customHeight="1" x14ac:dyDescent="0.25">
      <c r="A493" s="28" t="s">
        <v>25850</v>
      </c>
      <c r="B493" s="28">
        <v>1003304784</v>
      </c>
      <c r="C493" s="38" t="s">
        <v>25456</v>
      </c>
      <c r="D493" s="38" t="s">
        <v>25257</v>
      </c>
      <c r="E493" s="38" t="s">
        <v>25198</v>
      </c>
      <c r="F493" s="38" t="s">
        <v>25255</v>
      </c>
      <c r="G493" s="28" t="s">
        <v>19229</v>
      </c>
      <c r="H493" s="28" t="s">
        <v>19240</v>
      </c>
      <c r="I493" s="30">
        <v>45153</v>
      </c>
      <c r="J493" s="30">
        <v>45158</v>
      </c>
      <c r="K493" s="51">
        <v>5</v>
      </c>
      <c r="L493" s="29"/>
      <c r="M493" s="27" t="s">
        <v>24991</v>
      </c>
    </row>
    <row r="494" spans="1:13" s="27" customFormat="1" ht="17.25" customHeight="1" x14ac:dyDescent="0.25">
      <c r="A494" s="28" t="s">
        <v>7</v>
      </c>
      <c r="B494" s="28" t="s">
        <v>25214</v>
      </c>
      <c r="C494" s="38" t="s">
        <v>25872</v>
      </c>
      <c r="D494" s="38" t="s">
        <v>25071</v>
      </c>
      <c r="E494" s="38" t="s">
        <v>25873</v>
      </c>
      <c r="F494" s="38"/>
      <c r="G494" s="28" t="s">
        <v>19229</v>
      </c>
      <c r="H494" s="28" t="s">
        <v>19238</v>
      </c>
      <c r="I494" s="30">
        <v>45153</v>
      </c>
      <c r="J494" s="30">
        <v>45165</v>
      </c>
      <c r="K494" s="51">
        <v>15</v>
      </c>
      <c r="L494" s="29"/>
      <c r="M494" s="27" t="s">
        <v>19257</v>
      </c>
    </row>
    <row r="495" spans="1:13" s="27" customFormat="1" ht="17.25" customHeight="1" x14ac:dyDescent="0.25">
      <c r="A495" s="28" t="s">
        <v>7</v>
      </c>
      <c r="B495" s="28">
        <v>1036605153</v>
      </c>
      <c r="C495" s="38" t="s">
        <v>25553</v>
      </c>
      <c r="D495" s="38" t="s">
        <v>25319</v>
      </c>
      <c r="E495" s="38" t="s">
        <v>25059</v>
      </c>
      <c r="F495" s="38" t="s">
        <v>25060</v>
      </c>
      <c r="G495" s="28" t="s">
        <v>19229</v>
      </c>
      <c r="H495" s="28" t="s">
        <v>19238</v>
      </c>
      <c r="I495" s="30">
        <v>45154</v>
      </c>
      <c r="J495" s="30">
        <v>45168</v>
      </c>
      <c r="K495" s="51">
        <v>15</v>
      </c>
      <c r="L495" s="29"/>
      <c r="M495" s="27" t="s">
        <v>19257</v>
      </c>
    </row>
    <row r="496" spans="1:13" s="27" customFormat="1" ht="17.25" customHeight="1" x14ac:dyDescent="0.25">
      <c r="A496" s="28" t="s">
        <v>7</v>
      </c>
      <c r="B496" s="28">
        <v>6275085</v>
      </c>
      <c r="C496" s="38" t="s">
        <v>25403</v>
      </c>
      <c r="D496" s="38" t="s">
        <v>25450</v>
      </c>
      <c r="E496" s="38" t="s">
        <v>25208</v>
      </c>
      <c r="F496" s="38" t="s">
        <v>25135</v>
      </c>
      <c r="G496" s="28" t="s">
        <v>19229</v>
      </c>
      <c r="H496" s="28" t="s">
        <v>19238</v>
      </c>
      <c r="I496" s="30">
        <v>45154</v>
      </c>
      <c r="J496" s="30">
        <v>45168</v>
      </c>
      <c r="K496" s="51">
        <v>15</v>
      </c>
      <c r="L496" s="29"/>
      <c r="M496" s="27" t="s">
        <v>19257</v>
      </c>
    </row>
    <row r="497" spans="1:13" s="27" customFormat="1" ht="17.25" customHeight="1" x14ac:dyDescent="0.25">
      <c r="A497" s="28" t="s">
        <v>7</v>
      </c>
      <c r="B497" s="28">
        <v>1127576502</v>
      </c>
      <c r="C497" s="38" t="s">
        <v>25257</v>
      </c>
      <c r="D497" s="38" t="s">
        <v>25686</v>
      </c>
      <c r="E497" s="38" t="s">
        <v>25028</v>
      </c>
      <c r="F497" s="38" t="s">
        <v>25010</v>
      </c>
      <c r="G497" s="28" t="s">
        <v>19229</v>
      </c>
      <c r="H497" s="28" t="s">
        <v>19238</v>
      </c>
      <c r="I497" s="30">
        <v>45154</v>
      </c>
      <c r="J497" s="30">
        <v>45168</v>
      </c>
      <c r="K497" s="51">
        <v>15</v>
      </c>
      <c r="L497" s="29"/>
      <c r="M497" s="27" t="s">
        <v>19257</v>
      </c>
    </row>
    <row r="498" spans="1:13" s="27" customFormat="1" ht="17.25" customHeight="1" x14ac:dyDescent="0.25">
      <c r="A498" s="28" t="s">
        <v>7</v>
      </c>
      <c r="B498" s="28">
        <v>1063727669</v>
      </c>
      <c r="C498" s="38" t="s">
        <v>25896</v>
      </c>
      <c r="D498" s="38"/>
      <c r="E498" s="38" t="s">
        <v>25739</v>
      </c>
      <c r="F498" s="38" t="s">
        <v>25897</v>
      </c>
      <c r="G498" s="28" t="s">
        <v>19229</v>
      </c>
      <c r="H498" s="28" t="s">
        <v>19238</v>
      </c>
      <c r="I498" s="30">
        <v>45154</v>
      </c>
      <c r="J498" s="30">
        <v>45169</v>
      </c>
      <c r="K498" s="51">
        <v>15</v>
      </c>
      <c r="L498" s="29"/>
      <c r="M498" s="27" t="s">
        <v>19257</v>
      </c>
    </row>
    <row r="499" spans="1:13" s="27" customFormat="1" ht="17.25" customHeight="1" x14ac:dyDescent="0.25">
      <c r="A499" s="28" t="s">
        <v>7</v>
      </c>
      <c r="B499" s="28">
        <v>1036637081</v>
      </c>
      <c r="C499" s="38" t="s">
        <v>25332</v>
      </c>
      <c r="D499" s="38" t="s">
        <v>25003</v>
      </c>
      <c r="E499" s="38" t="s">
        <v>25875</v>
      </c>
      <c r="F499" s="38" t="s">
        <v>25110</v>
      </c>
      <c r="G499" s="28" t="s">
        <v>19229</v>
      </c>
      <c r="H499" s="28" t="s">
        <v>19238</v>
      </c>
      <c r="I499" s="30">
        <v>45155</v>
      </c>
      <c r="J499" s="30">
        <v>45169</v>
      </c>
      <c r="K499" s="51">
        <v>15</v>
      </c>
      <c r="L499" s="29"/>
      <c r="M499" s="27" t="s">
        <v>19257</v>
      </c>
    </row>
    <row r="500" spans="1:13" s="27" customFormat="1" ht="17.25" customHeight="1" x14ac:dyDescent="0.25">
      <c r="A500" s="28" t="s">
        <v>7</v>
      </c>
      <c r="B500" s="28">
        <v>71742698</v>
      </c>
      <c r="C500" s="38" t="s">
        <v>25403</v>
      </c>
      <c r="D500" s="38" t="s">
        <v>24980</v>
      </c>
      <c r="E500" s="38" t="s">
        <v>25040</v>
      </c>
      <c r="F500" s="38" t="s">
        <v>25103</v>
      </c>
      <c r="G500" s="28" t="s">
        <v>19229</v>
      </c>
      <c r="H500" s="28" t="s">
        <v>19238</v>
      </c>
      <c r="I500" s="30">
        <v>45155</v>
      </c>
      <c r="J500" s="30">
        <v>45162</v>
      </c>
      <c r="K500" s="51">
        <v>8</v>
      </c>
      <c r="L500" s="29"/>
      <c r="M500" s="27" t="s">
        <v>19257</v>
      </c>
    </row>
    <row r="501" spans="1:13" s="27" customFormat="1" ht="17.25" customHeight="1" x14ac:dyDescent="0.25">
      <c r="A501" s="28" t="s">
        <v>7</v>
      </c>
      <c r="B501" s="28">
        <v>98700987</v>
      </c>
      <c r="C501" s="38" t="s">
        <v>25326</v>
      </c>
      <c r="D501" s="38" t="s">
        <v>25462</v>
      </c>
      <c r="E501" s="38" t="s">
        <v>25186</v>
      </c>
      <c r="F501" s="38" t="s">
        <v>25878</v>
      </c>
      <c r="G501" s="28" t="s">
        <v>19229</v>
      </c>
      <c r="H501" s="28" t="s">
        <v>19238</v>
      </c>
      <c r="I501" s="30">
        <v>45155</v>
      </c>
      <c r="J501" s="30">
        <v>45169</v>
      </c>
      <c r="K501" s="51">
        <v>15</v>
      </c>
      <c r="L501" s="29"/>
      <c r="M501" s="27" t="s">
        <v>19257</v>
      </c>
    </row>
    <row r="502" spans="1:13" s="27" customFormat="1" ht="17.25" customHeight="1" x14ac:dyDescent="0.25">
      <c r="A502" s="28" t="s">
        <v>25850</v>
      </c>
      <c r="B502" s="28">
        <v>98701505</v>
      </c>
      <c r="C502" s="38" t="s">
        <v>24998</v>
      </c>
      <c r="D502" s="38" t="s">
        <v>25593</v>
      </c>
      <c r="E502" s="38" t="s">
        <v>25858</v>
      </c>
      <c r="F502" s="38" t="s">
        <v>25010</v>
      </c>
      <c r="G502" s="28" t="s">
        <v>19229</v>
      </c>
      <c r="H502" s="28" t="s">
        <v>19240</v>
      </c>
      <c r="I502" s="30">
        <v>45156</v>
      </c>
      <c r="J502" s="30">
        <v>45158</v>
      </c>
      <c r="K502" s="51">
        <v>3</v>
      </c>
      <c r="L502" s="29"/>
      <c r="M502" s="27" t="s">
        <v>24991</v>
      </c>
    </row>
    <row r="503" spans="1:13" s="27" customFormat="1" ht="17.25" customHeight="1" x14ac:dyDescent="0.25">
      <c r="A503" s="28" t="s">
        <v>7</v>
      </c>
      <c r="B503" s="28">
        <v>98701505</v>
      </c>
      <c r="C503" s="38" t="s">
        <v>24998</v>
      </c>
      <c r="D503" s="38" t="s">
        <v>25593</v>
      </c>
      <c r="E503" s="38" t="s">
        <v>25858</v>
      </c>
      <c r="F503" s="38" t="s">
        <v>25010</v>
      </c>
      <c r="G503" s="28" t="s">
        <v>19229</v>
      </c>
      <c r="H503" s="28" t="s">
        <v>19240</v>
      </c>
      <c r="I503" s="30">
        <v>45156</v>
      </c>
      <c r="J503" s="30">
        <v>45158</v>
      </c>
      <c r="K503" s="51">
        <v>3</v>
      </c>
      <c r="L503" s="29"/>
      <c r="M503" s="27" t="s">
        <v>24991</v>
      </c>
    </row>
    <row r="504" spans="1:13" s="27" customFormat="1" ht="17.25" customHeight="1" x14ac:dyDescent="0.25">
      <c r="A504" s="28" t="s">
        <v>7</v>
      </c>
      <c r="B504" s="28">
        <v>7698354</v>
      </c>
      <c r="C504" s="38" t="s">
        <v>25244</v>
      </c>
      <c r="D504" s="38" t="s">
        <v>25547</v>
      </c>
      <c r="E504" s="38" t="s">
        <v>25091</v>
      </c>
      <c r="F504" s="38" t="s">
        <v>25283</v>
      </c>
      <c r="G504" s="28" t="s">
        <v>19229</v>
      </c>
      <c r="H504" s="28" t="s">
        <v>19238</v>
      </c>
      <c r="I504" s="30">
        <v>45156</v>
      </c>
      <c r="J504" s="30">
        <v>45163</v>
      </c>
      <c r="K504" s="51">
        <v>8</v>
      </c>
      <c r="L504" s="29"/>
      <c r="M504" s="27" t="s">
        <v>19257</v>
      </c>
    </row>
    <row r="505" spans="1:13" s="27" customFormat="1" ht="17.25" customHeight="1" x14ac:dyDescent="0.25">
      <c r="A505" s="28" t="s">
        <v>7</v>
      </c>
      <c r="B505" s="28">
        <v>3349613</v>
      </c>
      <c r="C505" s="38" t="s">
        <v>25257</v>
      </c>
      <c r="D505" s="38" t="s">
        <v>25061</v>
      </c>
      <c r="E505" s="38" t="s">
        <v>25874</v>
      </c>
      <c r="F505" s="38"/>
      <c r="G505" s="28" t="s">
        <v>19229</v>
      </c>
      <c r="H505" s="28" t="s">
        <v>19238</v>
      </c>
      <c r="I505" s="30">
        <v>45156</v>
      </c>
      <c r="J505" s="30">
        <v>45170</v>
      </c>
      <c r="K505" s="51">
        <v>15</v>
      </c>
      <c r="L505" s="29"/>
      <c r="M505" s="27" t="s">
        <v>19257</v>
      </c>
    </row>
    <row r="506" spans="1:13" s="27" customFormat="1" ht="17.25" customHeight="1" x14ac:dyDescent="0.25">
      <c r="A506" s="28" t="s">
        <v>7</v>
      </c>
      <c r="B506" s="28">
        <v>98453736</v>
      </c>
      <c r="C506" s="38" t="s">
        <v>25432</v>
      </c>
      <c r="D506" s="38" t="s">
        <v>25134</v>
      </c>
      <c r="E506" s="38" t="s">
        <v>25877</v>
      </c>
      <c r="F506" s="38"/>
      <c r="G506" s="28" t="s">
        <v>19229</v>
      </c>
      <c r="H506" s="28" t="s">
        <v>19238</v>
      </c>
      <c r="I506" s="30">
        <v>45156</v>
      </c>
      <c r="J506" s="30">
        <v>45170</v>
      </c>
      <c r="K506" s="51">
        <v>15</v>
      </c>
      <c r="L506" s="29"/>
      <c r="M506" s="27" t="s">
        <v>19257</v>
      </c>
    </row>
    <row r="507" spans="1:13" s="27" customFormat="1" ht="17.25" customHeight="1" x14ac:dyDescent="0.25">
      <c r="A507" s="28" t="s">
        <v>25850</v>
      </c>
      <c r="B507" s="28">
        <v>98588916</v>
      </c>
      <c r="C507" s="38" t="s">
        <v>25480</v>
      </c>
      <c r="D507" s="38" t="s">
        <v>25100</v>
      </c>
      <c r="E507" s="38" t="s">
        <v>25203</v>
      </c>
      <c r="F507" s="38" t="s">
        <v>25859</v>
      </c>
      <c r="G507" s="28" t="s">
        <v>19229</v>
      </c>
      <c r="H507" s="28" t="s">
        <v>19240</v>
      </c>
      <c r="I507" s="30">
        <v>45157</v>
      </c>
      <c r="J507" s="30">
        <v>45167</v>
      </c>
      <c r="K507" s="51">
        <v>10</v>
      </c>
      <c r="L507" s="29"/>
      <c r="M507" s="27" t="s">
        <v>24991</v>
      </c>
    </row>
    <row r="508" spans="1:13" s="27" customFormat="1" ht="17.25" customHeight="1" x14ac:dyDescent="0.25">
      <c r="A508" s="28" t="s">
        <v>7</v>
      </c>
      <c r="B508" s="28">
        <v>71362201</v>
      </c>
      <c r="C508" s="38" t="s">
        <v>25108</v>
      </c>
      <c r="D508" s="38" t="s">
        <v>25331</v>
      </c>
      <c r="E508" s="38" t="s">
        <v>25725</v>
      </c>
      <c r="F508" s="38"/>
      <c r="G508" s="28" t="s">
        <v>19229</v>
      </c>
      <c r="H508" s="28" t="s">
        <v>19238</v>
      </c>
      <c r="I508" s="30">
        <v>45157</v>
      </c>
      <c r="J508" s="30">
        <v>45164</v>
      </c>
      <c r="K508" s="51">
        <v>8</v>
      </c>
      <c r="L508" s="29"/>
      <c r="M508" s="27" t="s">
        <v>19257</v>
      </c>
    </row>
    <row r="509" spans="1:13" s="27" customFormat="1" ht="17.25" customHeight="1" x14ac:dyDescent="0.25">
      <c r="A509" s="28" t="s">
        <v>25850</v>
      </c>
      <c r="B509" s="28">
        <v>11811390</v>
      </c>
      <c r="C509" s="38" t="s">
        <v>25417</v>
      </c>
      <c r="D509" s="38" t="s">
        <v>25418</v>
      </c>
      <c r="E509" s="38" t="s">
        <v>25134</v>
      </c>
      <c r="F509" s="38" t="s">
        <v>25419</v>
      </c>
      <c r="G509" s="28" t="s">
        <v>19229</v>
      </c>
      <c r="H509" s="28" t="s">
        <v>19239</v>
      </c>
      <c r="I509" s="30">
        <v>45158</v>
      </c>
      <c r="J509" s="30">
        <v>45158</v>
      </c>
      <c r="K509" s="51">
        <v>1</v>
      </c>
      <c r="L509" s="29">
        <v>20</v>
      </c>
      <c r="M509" s="27" t="s">
        <v>25036</v>
      </c>
    </row>
    <row r="510" spans="1:13" s="27" customFormat="1" ht="17.25" customHeight="1" x14ac:dyDescent="0.25">
      <c r="A510" s="28" t="s">
        <v>25850</v>
      </c>
      <c r="B510" s="28">
        <v>1001025141</v>
      </c>
      <c r="C510" s="38" t="s">
        <v>25079</v>
      </c>
      <c r="D510" s="38" t="s">
        <v>25145</v>
      </c>
      <c r="E510" s="38" t="s">
        <v>25709</v>
      </c>
      <c r="F510" s="38" t="s">
        <v>25710</v>
      </c>
      <c r="G510" s="28" t="s">
        <v>19229</v>
      </c>
      <c r="H510" s="28" t="s">
        <v>19239</v>
      </c>
      <c r="I510" s="30">
        <v>45160</v>
      </c>
      <c r="J510" s="30">
        <v>45160</v>
      </c>
      <c r="K510" s="51">
        <v>1</v>
      </c>
      <c r="L510" s="29">
        <v>20</v>
      </c>
      <c r="M510" s="27" t="s">
        <v>25036</v>
      </c>
    </row>
    <row r="511" spans="1:13" s="27" customFormat="1" ht="17.25" customHeight="1" x14ac:dyDescent="0.25">
      <c r="A511" s="28" t="s">
        <v>7</v>
      </c>
      <c r="B511" s="28">
        <v>71762684</v>
      </c>
      <c r="C511" s="38" t="s">
        <v>25105</v>
      </c>
      <c r="D511" s="38" t="s">
        <v>25733</v>
      </c>
      <c r="E511" s="38" t="s">
        <v>25405</v>
      </c>
      <c r="F511" s="38" t="s">
        <v>25051</v>
      </c>
      <c r="G511" s="28" t="s">
        <v>19229</v>
      </c>
      <c r="H511" s="28" t="s">
        <v>19238</v>
      </c>
      <c r="I511" s="30">
        <v>45160</v>
      </c>
      <c r="J511" s="30">
        <v>45167</v>
      </c>
      <c r="K511" s="51">
        <v>8</v>
      </c>
      <c r="L511" s="29"/>
      <c r="M511" s="27" t="s">
        <v>19257</v>
      </c>
    </row>
    <row r="512" spans="1:13" s="27" customFormat="1" ht="17.25" customHeight="1" x14ac:dyDescent="0.25">
      <c r="A512" s="28" t="s">
        <v>25850</v>
      </c>
      <c r="B512" s="28">
        <v>15444896</v>
      </c>
      <c r="C512" s="38" t="s">
        <v>25310</v>
      </c>
      <c r="D512" s="38" t="s">
        <v>25094</v>
      </c>
      <c r="E512" s="38" t="s">
        <v>25241</v>
      </c>
      <c r="F512" s="38" t="s">
        <v>25691</v>
      </c>
      <c r="G512" s="28" t="s">
        <v>19229</v>
      </c>
      <c r="H512" s="28" t="s">
        <v>19240</v>
      </c>
      <c r="I512" s="30">
        <v>45161</v>
      </c>
      <c r="J512" s="30">
        <v>45161</v>
      </c>
      <c r="K512" s="51">
        <v>1</v>
      </c>
      <c r="L512" s="29"/>
      <c r="M512" s="27" t="s">
        <v>24991</v>
      </c>
    </row>
    <row r="513" spans="1:13" s="27" customFormat="1" ht="17.25" customHeight="1" x14ac:dyDescent="0.25">
      <c r="A513" s="28" t="s">
        <v>25850</v>
      </c>
      <c r="B513" s="28">
        <v>15933154</v>
      </c>
      <c r="C513" s="38" t="s">
        <v>25309</v>
      </c>
      <c r="D513" s="38" t="s">
        <v>25833</v>
      </c>
      <c r="E513" s="38" t="s">
        <v>25203</v>
      </c>
      <c r="F513" s="38" t="s">
        <v>25110</v>
      </c>
      <c r="G513" s="28" t="s">
        <v>19229</v>
      </c>
      <c r="H513" s="28" t="s">
        <v>19239</v>
      </c>
      <c r="I513" s="30">
        <v>45161</v>
      </c>
      <c r="J513" s="30">
        <v>45161</v>
      </c>
      <c r="K513" s="51">
        <v>1</v>
      </c>
      <c r="L513" s="29">
        <v>6</v>
      </c>
      <c r="M513" s="27" t="s">
        <v>25036</v>
      </c>
    </row>
    <row r="514" spans="1:13" s="27" customFormat="1" ht="17.25" customHeight="1" x14ac:dyDescent="0.25">
      <c r="A514" s="28" t="s">
        <v>7</v>
      </c>
      <c r="B514" s="28">
        <v>1001025141</v>
      </c>
      <c r="C514" s="38" t="s">
        <v>25079</v>
      </c>
      <c r="D514" s="38" t="s">
        <v>25145</v>
      </c>
      <c r="E514" s="38" t="s">
        <v>25709</v>
      </c>
      <c r="F514" s="38" t="s">
        <v>25710</v>
      </c>
      <c r="G514" s="28" t="s">
        <v>19229</v>
      </c>
      <c r="H514" s="28" t="s">
        <v>19238</v>
      </c>
      <c r="I514" s="30">
        <v>45161</v>
      </c>
      <c r="J514" s="30">
        <v>45175</v>
      </c>
      <c r="K514" s="51">
        <v>15</v>
      </c>
      <c r="L514" s="29"/>
      <c r="M514" s="27" t="s">
        <v>19257</v>
      </c>
    </row>
    <row r="515" spans="1:13" s="27" customFormat="1" ht="17.25" customHeight="1" x14ac:dyDescent="0.25">
      <c r="A515" s="28" t="s">
        <v>7</v>
      </c>
      <c r="B515" s="28">
        <v>1001025141</v>
      </c>
      <c r="C515" s="38" t="s">
        <v>25079</v>
      </c>
      <c r="D515" s="38" t="s">
        <v>25145</v>
      </c>
      <c r="E515" s="38" t="s">
        <v>25709</v>
      </c>
      <c r="F515" s="38" t="s">
        <v>25710</v>
      </c>
      <c r="G515" s="28" t="s">
        <v>19229</v>
      </c>
      <c r="H515" s="28" t="s">
        <v>19238</v>
      </c>
      <c r="I515" s="30">
        <v>45161</v>
      </c>
      <c r="J515" s="30">
        <v>45175</v>
      </c>
      <c r="K515" s="51">
        <v>15</v>
      </c>
      <c r="L515" s="29"/>
      <c r="M515" s="27" t="s">
        <v>19257</v>
      </c>
    </row>
    <row r="516" spans="1:13" s="27" customFormat="1" ht="17.25" customHeight="1" x14ac:dyDescent="0.25">
      <c r="A516" s="28" t="s">
        <v>7</v>
      </c>
      <c r="B516" s="28">
        <v>1035389689</v>
      </c>
      <c r="C516" s="38" t="s">
        <v>25046</v>
      </c>
      <c r="D516" s="38" t="s">
        <v>25432</v>
      </c>
      <c r="E516" s="38" t="s">
        <v>25433</v>
      </c>
      <c r="F516" s="38" t="s">
        <v>25213</v>
      </c>
      <c r="G516" s="28" t="s">
        <v>19229</v>
      </c>
      <c r="H516" s="28" t="s">
        <v>19238</v>
      </c>
      <c r="I516" s="30">
        <v>45162</v>
      </c>
      <c r="J516" s="30">
        <v>45176</v>
      </c>
      <c r="K516" s="51">
        <v>15</v>
      </c>
      <c r="L516" s="29"/>
      <c r="M516" s="27" t="s">
        <v>19257</v>
      </c>
    </row>
    <row r="517" spans="1:13" s="27" customFormat="1" ht="17.25" customHeight="1" x14ac:dyDescent="0.25">
      <c r="A517" s="28" t="s">
        <v>7</v>
      </c>
      <c r="B517" s="28">
        <v>72043118</v>
      </c>
      <c r="C517" s="38" t="s">
        <v>25068</v>
      </c>
      <c r="D517" s="38" t="s">
        <v>25069</v>
      </c>
      <c r="E517" s="38" t="s">
        <v>25070</v>
      </c>
      <c r="F517" s="38" t="s">
        <v>25071</v>
      </c>
      <c r="G517" s="28" t="s">
        <v>19229</v>
      </c>
      <c r="H517" s="28" t="s">
        <v>19238</v>
      </c>
      <c r="I517" s="30">
        <v>45162</v>
      </c>
      <c r="J517" s="30">
        <v>45176</v>
      </c>
      <c r="K517" s="51">
        <v>15</v>
      </c>
      <c r="L517" s="29"/>
      <c r="M517" s="27" t="s">
        <v>19257</v>
      </c>
    </row>
    <row r="518" spans="1:13" s="27" customFormat="1" ht="17.25" customHeight="1" x14ac:dyDescent="0.25">
      <c r="A518" s="28" t="s">
        <v>7</v>
      </c>
      <c r="B518" s="28">
        <v>7379420</v>
      </c>
      <c r="C518" s="38" t="s">
        <v>25006</v>
      </c>
      <c r="D518" s="38" t="s">
        <v>25621</v>
      </c>
      <c r="E518" s="38" t="s">
        <v>25622</v>
      </c>
      <c r="F518" s="38" t="s">
        <v>25320</v>
      </c>
      <c r="G518" s="28" t="s">
        <v>19229</v>
      </c>
      <c r="H518" s="28" t="s">
        <v>19238</v>
      </c>
      <c r="I518" s="30">
        <v>45162</v>
      </c>
      <c r="J518" s="30">
        <v>45176</v>
      </c>
      <c r="K518" s="51">
        <v>15</v>
      </c>
      <c r="L518" s="29"/>
      <c r="M518" s="27" t="s">
        <v>19257</v>
      </c>
    </row>
    <row r="519" spans="1:13" s="27" customFormat="1" ht="17.25" customHeight="1" x14ac:dyDescent="0.25">
      <c r="A519" s="28" t="s">
        <v>7</v>
      </c>
      <c r="B519" s="28">
        <v>71742698</v>
      </c>
      <c r="C519" s="38" t="s">
        <v>25403</v>
      </c>
      <c r="D519" s="38" t="s">
        <v>24980</v>
      </c>
      <c r="E519" s="38" t="s">
        <v>25040</v>
      </c>
      <c r="F519" s="38" t="s">
        <v>25103</v>
      </c>
      <c r="G519" s="28" t="s">
        <v>19229</v>
      </c>
      <c r="H519" s="28" t="s">
        <v>19238</v>
      </c>
      <c r="I519" s="30">
        <v>45163</v>
      </c>
      <c r="J519" s="30">
        <v>45170</v>
      </c>
      <c r="K519" s="51">
        <v>8</v>
      </c>
      <c r="L519" s="29"/>
      <c r="M519" s="27" t="s">
        <v>19257</v>
      </c>
    </row>
    <row r="520" spans="1:13" s="27" customFormat="1" ht="17.25" customHeight="1" x14ac:dyDescent="0.25">
      <c r="A520" s="28" t="s">
        <v>7</v>
      </c>
      <c r="B520" s="28">
        <v>1001473829</v>
      </c>
      <c r="C520" s="38" t="s">
        <v>25796</v>
      </c>
      <c r="D520" s="38" t="s">
        <v>25796</v>
      </c>
      <c r="E520" s="38" t="s">
        <v>25091</v>
      </c>
      <c r="F520" s="38" t="s">
        <v>25711</v>
      </c>
      <c r="G520" s="28" t="s">
        <v>19229</v>
      </c>
      <c r="H520" s="28" t="s">
        <v>19238</v>
      </c>
      <c r="I520" s="30">
        <v>45163</v>
      </c>
      <c r="J520" s="30">
        <v>45170</v>
      </c>
      <c r="K520" s="51">
        <v>8</v>
      </c>
      <c r="L520" s="29"/>
      <c r="M520" s="27" t="s">
        <v>19257</v>
      </c>
    </row>
    <row r="521" spans="1:13" s="27" customFormat="1" ht="17.25" customHeight="1" x14ac:dyDescent="0.25">
      <c r="A521" s="28" t="s">
        <v>7</v>
      </c>
      <c r="B521" s="28">
        <v>1128467712</v>
      </c>
      <c r="C521" s="38" t="s">
        <v>25456</v>
      </c>
      <c r="D521" s="38" t="s">
        <v>19258</v>
      </c>
      <c r="E521" s="38" t="s">
        <v>25879</v>
      </c>
      <c r="F521" s="38" t="s">
        <v>25880</v>
      </c>
      <c r="G521" s="28" t="s">
        <v>19229</v>
      </c>
      <c r="H521" s="28" t="s">
        <v>19240</v>
      </c>
      <c r="I521" s="30">
        <v>45164</v>
      </c>
      <c r="J521" s="30" t="s">
        <v>25881</v>
      </c>
      <c r="K521" s="51">
        <v>1</v>
      </c>
      <c r="L521" s="29"/>
      <c r="M521" s="27" t="s">
        <v>19257</v>
      </c>
    </row>
    <row r="522" spans="1:13" s="27" customFormat="1" ht="17.25" customHeight="1" x14ac:dyDescent="0.25">
      <c r="A522" s="28" t="s">
        <v>25850</v>
      </c>
      <c r="B522" s="28">
        <v>70568787</v>
      </c>
      <c r="C522" s="38" t="s">
        <v>25889</v>
      </c>
      <c r="D522" s="38" t="s">
        <v>25230</v>
      </c>
      <c r="E522" s="38" t="s">
        <v>25255</v>
      </c>
      <c r="F522" s="38" t="s">
        <v>24986</v>
      </c>
      <c r="G522" s="28" t="s">
        <v>19229</v>
      </c>
      <c r="H522" s="28" t="s">
        <v>19240</v>
      </c>
      <c r="I522" s="30">
        <v>45164</v>
      </c>
      <c r="J522" s="30">
        <v>45165</v>
      </c>
      <c r="K522" s="51">
        <v>2</v>
      </c>
      <c r="L522" s="29"/>
      <c r="M522" s="27" t="s">
        <v>24991</v>
      </c>
    </row>
    <row r="523" spans="1:13" s="27" customFormat="1" ht="17.25" customHeight="1" x14ac:dyDescent="0.25">
      <c r="A523" s="28" t="s">
        <v>7</v>
      </c>
      <c r="B523" s="28">
        <v>71362201</v>
      </c>
      <c r="C523" s="38" t="s">
        <v>25108</v>
      </c>
      <c r="D523" s="38" t="s">
        <v>25331</v>
      </c>
      <c r="E523" s="38" t="s">
        <v>25725</v>
      </c>
      <c r="F523" s="38"/>
      <c r="G523" s="28" t="s">
        <v>19229</v>
      </c>
      <c r="H523" s="28" t="s">
        <v>19238</v>
      </c>
      <c r="I523" s="30">
        <v>45165</v>
      </c>
      <c r="J523" s="30">
        <v>45172</v>
      </c>
      <c r="K523" s="51">
        <v>8</v>
      </c>
      <c r="L523" s="29"/>
      <c r="M523" s="27" t="s">
        <v>19257</v>
      </c>
    </row>
    <row r="524" spans="1:13" s="27" customFormat="1" ht="17.25" customHeight="1" x14ac:dyDescent="0.25">
      <c r="A524" s="28" t="s">
        <v>7</v>
      </c>
      <c r="B524" s="28">
        <v>70756389</v>
      </c>
      <c r="C524" s="38" t="s">
        <v>25609</v>
      </c>
      <c r="D524" s="38" t="s">
        <v>25061</v>
      </c>
      <c r="E524" s="38" t="s">
        <v>25894</v>
      </c>
      <c r="F524" s="38" t="s">
        <v>25103</v>
      </c>
      <c r="G524" s="28" t="s">
        <v>19229</v>
      </c>
      <c r="H524" s="28" t="s">
        <v>19238</v>
      </c>
      <c r="I524" s="30">
        <v>45166</v>
      </c>
      <c r="J524" s="30">
        <v>45180</v>
      </c>
      <c r="K524" s="51">
        <v>15</v>
      </c>
      <c r="L524" s="29"/>
      <c r="M524" s="27" t="s">
        <v>19257</v>
      </c>
    </row>
    <row r="525" spans="1:13" s="27" customFormat="1" ht="17.25" customHeight="1" x14ac:dyDescent="0.25">
      <c r="A525" s="28" t="s">
        <v>7</v>
      </c>
      <c r="B525" s="28">
        <v>3411306</v>
      </c>
      <c r="C525" s="38" t="s">
        <v>25254</v>
      </c>
      <c r="D525" s="38" t="s">
        <v>24980</v>
      </c>
      <c r="E525" s="38" t="s">
        <v>25255</v>
      </c>
      <c r="F525" s="38" t="s">
        <v>25256</v>
      </c>
      <c r="G525" s="28" t="s">
        <v>19229</v>
      </c>
      <c r="H525" s="28" t="s">
        <v>19240</v>
      </c>
      <c r="I525" s="30">
        <v>45166</v>
      </c>
      <c r="J525" s="30">
        <v>45169</v>
      </c>
      <c r="K525" s="51">
        <v>4</v>
      </c>
      <c r="L525" s="29"/>
      <c r="M525" s="27" t="s">
        <v>25431</v>
      </c>
    </row>
    <row r="526" spans="1:13" s="27" customFormat="1" ht="17.25" customHeight="1" x14ac:dyDescent="0.25">
      <c r="A526" s="28" t="s">
        <v>7</v>
      </c>
      <c r="B526" s="28">
        <v>3592467</v>
      </c>
      <c r="C526" s="38" t="s">
        <v>25426</v>
      </c>
      <c r="D526" s="38" t="s">
        <v>25105</v>
      </c>
      <c r="E526" s="38" t="s">
        <v>25028</v>
      </c>
      <c r="F526" s="38" t="s">
        <v>25371</v>
      </c>
      <c r="G526" s="28" t="s">
        <v>19229</v>
      </c>
      <c r="H526" s="28" t="s">
        <v>19238</v>
      </c>
      <c r="I526" s="30">
        <v>45168</v>
      </c>
      <c r="J526" s="30">
        <v>45182</v>
      </c>
      <c r="K526" s="51">
        <v>15</v>
      </c>
      <c r="L526" s="29"/>
      <c r="M526" s="27" t="s">
        <v>19257</v>
      </c>
    </row>
    <row r="527" spans="1:13" s="27" customFormat="1" ht="17.25" customHeight="1" x14ac:dyDescent="0.25">
      <c r="A527" s="28" t="s">
        <v>7</v>
      </c>
      <c r="B527" s="28">
        <v>3592467</v>
      </c>
      <c r="C527" s="38" t="s">
        <v>25426</v>
      </c>
      <c r="D527" s="38" t="s">
        <v>25105</v>
      </c>
      <c r="E527" s="38" t="s">
        <v>25028</v>
      </c>
      <c r="F527" s="38" t="s">
        <v>25371</v>
      </c>
      <c r="G527" s="28" t="s">
        <v>19229</v>
      </c>
      <c r="H527" s="28" t="s">
        <v>19238</v>
      </c>
      <c r="I527" s="30">
        <v>45168</v>
      </c>
      <c r="J527" s="30">
        <v>45182</v>
      </c>
      <c r="K527" s="51">
        <v>15</v>
      </c>
      <c r="L527" s="29"/>
      <c r="M527" s="27" t="s">
        <v>19257</v>
      </c>
    </row>
    <row r="528" spans="1:13" s="27" customFormat="1" ht="17.25" customHeight="1" x14ac:dyDescent="0.25">
      <c r="A528" s="28" t="s">
        <v>7</v>
      </c>
      <c r="B528" s="28">
        <v>94255492</v>
      </c>
      <c r="C528" s="38" t="s">
        <v>25003</v>
      </c>
      <c r="D528" s="38" t="s">
        <v>25367</v>
      </c>
      <c r="E528" s="38" t="s">
        <v>25168</v>
      </c>
      <c r="F528" s="38" t="s">
        <v>25005</v>
      </c>
      <c r="G528" s="28" t="s">
        <v>19229</v>
      </c>
      <c r="H528" s="28" t="s">
        <v>19238</v>
      </c>
      <c r="I528" s="30">
        <v>45168</v>
      </c>
      <c r="J528" s="30">
        <v>45151</v>
      </c>
      <c r="K528" s="51">
        <v>15</v>
      </c>
      <c r="L528" s="29"/>
      <c r="M528" s="27" t="s">
        <v>19257</v>
      </c>
    </row>
    <row r="529" spans="1:13" s="27" customFormat="1" ht="17.25" customHeight="1" x14ac:dyDescent="0.25">
      <c r="A529" s="28" t="s">
        <v>7</v>
      </c>
      <c r="B529" s="28">
        <v>1037547538</v>
      </c>
      <c r="C529" s="38" t="s">
        <v>25907</v>
      </c>
      <c r="D529" s="38" t="s">
        <v>25002</v>
      </c>
      <c r="E529" s="38" t="s">
        <v>25116</v>
      </c>
      <c r="F529" s="38"/>
      <c r="G529" s="28" t="s">
        <v>19229</v>
      </c>
      <c r="H529" s="28" t="s">
        <v>19240</v>
      </c>
      <c r="I529" s="30">
        <v>45168</v>
      </c>
      <c r="J529" s="30">
        <v>45168</v>
      </c>
      <c r="K529" s="51">
        <v>1</v>
      </c>
      <c r="L529" s="29"/>
      <c r="M529" s="27" t="s">
        <v>24991</v>
      </c>
    </row>
    <row r="530" spans="1:13" s="27" customFormat="1" ht="17.25" customHeight="1" x14ac:dyDescent="0.25">
      <c r="A530" s="28" t="s">
        <v>7</v>
      </c>
      <c r="B530" s="28">
        <v>1152446902</v>
      </c>
      <c r="C530" s="38" t="s">
        <v>25030</v>
      </c>
      <c r="D530" s="38" t="s">
        <v>25031</v>
      </c>
      <c r="E530" s="38" t="s">
        <v>25032</v>
      </c>
      <c r="F530" s="38" t="s">
        <v>25033</v>
      </c>
      <c r="G530" s="28" t="s">
        <v>19229</v>
      </c>
      <c r="H530" s="28" t="s">
        <v>19238</v>
      </c>
      <c r="I530" s="30">
        <v>45169</v>
      </c>
      <c r="J530" s="30">
        <v>45176</v>
      </c>
      <c r="K530" s="51">
        <v>8</v>
      </c>
      <c r="L530" s="29"/>
      <c r="M530" s="27" t="s">
        <v>19257</v>
      </c>
    </row>
    <row r="531" spans="1:13" s="27" customFormat="1" ht="17.25" customHeight="1" x14ac:dyDescent="0.25">
      <c r="A531" s="28" t="s">
        <v>7</v>
      </c>
      <c r="B531" s="28">
        <v>6275085</v>
      </c>
      <c r="C531" s="38" t="s">
        <v>25403</v>
      </c>
      <c r="D531" s="38" t="s">
        <v>25450</v>
      </c>
      <c r="E531" s="38" t="s">
        <v>25208</v>
      </c>
      <c r="F531" s="38" t="s">
        <v>25135</v>
      </c>
      <c r="G531" s="28" t="s">
        <v>19229</v>
      </c>
      <c r="H531" s="28" t="s">
        <v>19238</v>
      </c>
      <c r="I531" s="30">
        <v>45169</v>
      </c>
      <c r="J531" s="30">
        <v>45183</v>
      </c>
      <c r="K531" s="51">
        <v>15</v>
      </c>
      <c r="L531" s="29"/>
      <c r="M531" s="27" t="s">
        <v>19257</v>
      </c>
    </row>
    <row r="532" spans="1:13" s="27" customFormat="1" ht="17.25" customHeight="1" x14ac:dyDescent="0.25">
      <c r="A532" s="28" t="s">
        <v>7</v>
      </c>
      <c r="B532" s="28">
        <v>1007580280</v>
      </c>
      <c r="C532" s="38" t="s">
        <v>25903</v>
      </c>
      <c r="D532" s="38" t="s">
        <v>25030</v>
      </c>
      <c r="E532" s="38" t="s">
        <v>25904</v>
      </c>
      <c r="F532" s="38" t="s">
        <v>25051</v>
      </c>
      <c r="G532" s="28" t="s">
        <v>19229</v>
      </c>
      <c r="H532" s="28" t="s">
        <v>19238</v>
      </c>
      <c r="I532" s="30">
        <v>45169</v>
      </c>
      <c r="J532" s="30">
        <v>45183</v>
      </c>
      <c r="K532" s="51">
        <v>15</v>
      </c>
      <c r="L532" s="29"/>
      <c r="M532" s="27" t="s">
        <v>19257</v>
      </c>
    </row>
    <row r="533" spans="1:13" s="27" customFormat="1" ht="17.25" customHeight="1" x14ac:dyDescent="0.25">
      <c r="A533" s="28" t="s">
        <v>8</v>
      </c>
      <c r="B533" s="28">
        <v>1027946541</v>
      </c>
      <c r="C533" s="38" t="s">
        <v>25247</v>
      </c>
      <c r="D533" s="38" t="s">
        <v>25034</v>
      </c>
      <c r="E533" s="38" t="s">
        <v>25130</v>
      </c>
      <c r="F533" s="38" t="s">
        <v>25883</v>
      </c>
      <c r="G533" s="28" t="s">
        <v>19285</v>
      </c>
      <c r="H533" s="28" t="s">
        <v>19239</v>
      </c>
      <c r="I533" s="30">
        <v>45170</v>
      </c>
      <c r="J533" s="30">
        <v>45174</v>
      </c>
      <c r="K533" s="51">
        <v>5</v>
      </c>
      <c r="L533" s="29">
        <v>1</v>
      </c>
      <c r="M533" s="27" t="s">
        <v>25036</v>
      </c>
    </row>
    <row r="534" spans="1:13" s="27" customFormat="1" ht="17.25" customHeight="1" x14ac:dyDescent="0.25">
      <c r="A534" s="28" t="s">
        <v>8</v>
      </c>
      <c r="B534" s="28">
        <v>15295271</v>
      </c>
      <c r="C534" s="28" t="s">
        <v>25373</v>
      </c>
      <c r="D534" s="28" t="s">
        <v>25182</v>
      </c>
      <c r="E534" s="28" t="s">
        <v>25183</v>
      </c>
      <c r="F534" s="28" t="s">
        <v>25119</v>
      </c>
      <c r="G534" s="28" t="s">
        <v>19229</v>
      </c>
      <c r="H534" s="28" t="s">
        <v>19238</v>
      </c>
      <c r="I534" s="30">
        <v>45170</v>
      </c>
      <c r="J534" s="30">
        <v>45184</v>
      </c>
      <c r="K534" s="51">
        <v>15</v>
      </c>
      <c r="L534" s="29"/>
      <c r="M534" s="27" t="s">
        <v>19257</v>
      </c>
    </row>
    <row r="535" spans="1:13" s="27" customFormat="1" ht="17.25" customHeight="1" x14ac:dyDescent="0.25">
      <c r="A535" s="28" t="s">
        <v>8</v>
      </c>
      <c r="B535" s="28">
        <v>1047421491</v>
      </c>
      <c r="C535" s="38" t="s">
        <v>25272</v>
      </c>
      <c r="D535" s="38" t="s">
        <v>25257</v>
      </c>
      <c r="E535" s="38" t="s">
        <v>25376</v>
      </c>
      <c r="F535" s="38" t="s">
        <v>25103</v>
      </c>
      <c r="G535" s="28" t="s">
        <v>19229</v>
      </c>
      <c r="H535" s="28" t="s">
        <v>19238</v>
      </c>
      <c r="I535" s="30">
        <v>45170</v>
      </c>
      <c r="J535" s="30">
        <v>45184</v>
      </c>
      <c r="K535" s="51">
        <v>15</v>
      </c>
      <c r="L535" s="29"/>
      <c r="M535" s="27" t="s">
        <v>19257</v>
      </c>
    </row>
    <row r="536" spans="1:13" s="27" customFormat="1" ht="17.25" customHeight="1" x14ac:dyDescent="0.25">
      <c r="A536" s="28" t="s">
        <v>8</v>
      </c>
      <c r="B536" s="28">
        <v>1056785694</v>
      </c>
      <c r="C536" s="38" t="s">
        <v>25823</v>
      </c>
      <c r="D536" s="38" t="s">
        <v>25824</v>
      </c>
      <c r="E536" s="38" t="s">
        <v>25825</v>
      </c>
      <c r="F536" s="38" t="s">
        <v>25826</v>
      </c>
      <c r="G536" s="28" t="s">
        <v>19229</v>
      </c>
      <c r="H536" s="28" t="s">
        <v>19238</v>
      </c>
      <c r="I536" s="30">
        <v>45170</v>
      </c>
      <c r="J536" s="30" t="s">
        <v>25908</v>
      </c>
      <c r="K536" s="51">
        <v>15</v>
      </c>
      <c r="L536" s="29"/>
      <c r="M536" s="27" t="s">
        <v>19257</v>
      </c>
    </row>
    <row r="537" spans="1:13" s="27" customFormat="1" ht="17.25" customHeight="1" x14ac:dyDescent="0.25">
      <c r="A537" s="28" t="s">
        <v>8</v>
      </c>
      <c r="B537" s="28">
        <v>1001473829</v>
      </c>
      <c r="C537" s="38" t="s">
        <v>25796</v>
      </c>
      <c r="D537" s="38" t="s">
        <v>25796</v>
      </c>
      <c r="E537" s="38" t="s">
        <v>25091</v>
      </c>
      <c r="F537" s="38" t="s">
        <v>25711</v>
      </c>
      <c r="G537" s="28" t="s">
        <v>19229</v>
      </c>
      <c r="H537" s="28" t="s">
        <v>19238</v>
      </c>
      <c r="I537" s="30">
        <v>45171</v>
      </c>
      <c r="J537" s="30">
        <v>45178</v>
      </c>
      <c r="K537" s="51">
        <v>8</v>
      </c>
      <c r="L537" s="29"/>
      <c r="M537" s="27" t="s">
        <v>19257</v>
      </c>
    </row>
    <row r="538" spans="1:13" s="27" customFormat="1" ht="17.25" customHeight="1" x14ac:dyDescent="0.25">
      <c r="A538" s="28" t="s">
        <v>8</v>
      </c>
      <c r="B538" s="28">
        <v>1076385711</v>
      </c>
      <c r="C538" s="38" t="s">
        <v>25083</v>
      </c>
      <c r="D538" s="38" t="s">
        <v>25173</v>
      </c>
      <c r="E538" s="38" t="s">
        <v>25531</v>
      </c>
      <c r="F538" s="38" t="s">
        <v>25895</v>
      </c>
      <c r="G538" s="28" t="s">
        <v>19229</v>
      </c>
      <c r="H538" s="28" t="s">
        <v>19238</v>
      </c>
      <c r="I538" s="30">
        <v>45171</v>
      </c>
      <c r="J538" s="30">
        <v>45185</v>
      </c>
      <c r="K538" s="51">
        <v>15</v>
      </c>
      <c r="L538" s="29"/>
      <c r="M538" s="27" t="s">
        <v>19257</v>
      </c>
    </row>
    <row r="539" spans="1:13" s="27" customFormat="1" ht="17.25" customHeight="1" x14ac:dyDescent="0.25">
      <c r="A539" s="28" t="s">
        <v>8</v>
      </c>
      <c r="B539" s="28">
        <v>1128479571</v>
      </c>
      <c r="C539" s="38" t="s">
        <v>25428</v>
      </c>
      <c r="D539" s="38" t="s">
        <v>25429</v>
      </c>
      <c r="E539" s="38" t="s">
        <v>25430</v>
      </c>
      <c r="F539" s="38" t="s">
        <v>25107</v>
      </c>
      <c r="G539" s="28" t="s">
        <v>19229</v>
      </c>
      <c r="H539" s="28" t="s">
        <v>19240</v>
      </c>
      <c r="I539" s="30">
        <v>45171</v>
      </c>
      <c r="J539" s="30">
        <v>45173</v>
      </c>
      <c r="K539" s="51">
        <v>3</v>
      </c>
      <c r="L539" s="29"/>
      <c r="M539" s="27" t="s">
        <v>24991</v>
      </c>
    </row>
    <row r="540" spans="1:13" s="27" customFormat="1" ht="17.25" customHeight="1" x14ac:dyDescent="0.25">
      <c r="A540" s="28" t="s">
        <v>8</v>
      </c>
      <c r="B540" s="28">
        <v>71703181</v>
      </c>
      <c r="C540" s="38" t="s">
        <v>25906</v>
      </c>
      <c r="D540" s="38" t="s">
        <v>25137</v>
      </c>
      <c r="E540" s="38" t="s">
        <v>25119</v>
      </c>
      <c r="F540" s="38"/>
      <c r="G540" s="28" t="s">
        <v>19229</v>
      </c>
      <c r="H540" s="28" t="s">
        <v>19240</v>
      </c>
      <c r="I540" s="30">
        <v>45172</v>
      </c>
      <c r="J540" s="30">
        <v>45173</v>
      </c>
      <c r="K540" s="51">
        <v>1</v>
      </c>
      <c r="L540" s="29"/>
      <c r="M540" s="27" t="s">
        <v>24991</v>
      </c>
    </row>
    <row r="541" spans="1:13" s="27" customFormat="1" ht="17.25" customHeight="1" x14ac:dyDescent="0.25">
      <c r="A541" s="28" t="s">
        <v>8</v>
      </c>
      <c r="B541" s="28">
        <v>98584305</v>
      </c>
      <c r="C541" s="28" t="s">
        <v>25898</v>
      </c>
      <c r="D541" s="28" t="s">
        <v>25257</v>
      </c>
      <c r="E541" s="28" t="s">
        <v>25556</v>
      </c>
      <c r="F541" s="28" t="s">
        <v>25465</v>
      </c>
      <c r="G541" s="28" t="s">
        <v>19229</v>
      </c>
      <c r="H541" s="28" t="s">
        <v>19238</v>
      </c>
      <c r="I541" s="30">
        <v>45173</v>
      </c>
      <c r="J541" s="30">
        <v>45187</v>
      </c>
      <c r="K541" s="51">
        <v>15</v>
      </c>
      <c r="L541" s="29"/>
      <c r="M541" s="27" t="s">
        <v>19257</v>
      </c>
    </row>
    <row r="542" spans="1:13" s="27" customFormat="1" ht="17.25" customHeight="1" x14ac:dyDescent="0.25">
      <c r="A542" s="28" t="s">
        <v>8</v>
      </c>
      <c r="B542" s="28">
        <v>71140823</v>
      </c>
      <c r="C542" s="38" t="s">
        <v>25726</v>
      </c>
      <c r="D542" s="38" t="s">
        <v>25726</v>
      </c>
      <c r="E542" s="38" t="s">
        <v>25580</v>
      </c>
      <c r="F542" s="38" t="s">
        <v>25103</v>
      </c>
      <c r="G542" s="28" t="s">
        <v>19229</v>
      </c>
      <c r="H542" s="28" t="s">
        <v>19240</v>
      </c>
      <c r="I542" s="30">
        <v>45173</v>
      </c>
      <c r="J542" s="30">
        <v>45173</v>
      </c>
      <c r="K542" s="51">
        <v>1</v>
      </c>
      <c r="L542" s="29"/>
      <c r="M542" s="27" t="s">
        <v>24991</v>
      </c>
    </row>
    <row r="543" spans="1:13" s="27" customFormat="1" ht="17.25" customHeight="1" x14ac:dyDescent="0.25">
      <c r="A543" s="28" t="s">
        <v>8</v>
      </c>
      <c r="B543" s="28">
        <v>70901186</v>
      </c>
      <c r="C543" s="38" t="s">
        <v>25046</v>
      </c>
      <c r="D543" s="38" t="s">
        <v>25140</v>
      </c>
      <c r="E543" s="38" t="s">
        <v>25141</v>
      </c>
      <c r="F543" s="38" t="s">
        <v>25029</v>
      </c>
      <c r="G543" s="28" t="s">
        <v>19229</v>
      </c>
      <c r="H543" s="28" t="s">
        <v>19238</v>
      </c>
      <c r="I543" s="30">
        <v>45173</v>
      </c>
      <c r="J543" s="30">
        <v>45180</v>
      </c>
      <c r="K543" s="51">
        <v>8</v>
      </c>
      <c r="L543" s="29"/>
      <c r="M543" s="27" t="s">
        <v>19257</v>
      </c>
    </row>
    <row r="544" spans="1:13" s="27" customFormat="1" ht="17.25" customHeight="1" x14ac:dyDescent="0.25">
      <c r="A544" s="28" t="s">
        <v>8</v>
      </c>
      <c r="B544" s="28">
        <v>1117811823</v>
      </c>
      <c r="C544" s="38" t="s">
        <v>25899</v>
      </c>
      <c r="D544" s="38" t="s">
        <v>25128</v>
      </c>
      <c r="E544" s="38" t="s">
        <v>25900</v>
      </c>
      <c r="F544" s="38" t="s">
        <v>25010</v>
      </c>
      <c r="G544" s="28" t="s">
        <v>19229</v>
      </c>
      <c r="H544" s="28" t="s">
        <v>19238</v>
      </c>
      <c r="I544" s="30">
        <v>45174</v>
      </c>
      <c r="J544" s="30">
        <v>45188</v>
      </c>
      <c r="K544" s="51">
        <v>15</v>
      </c>
      <c r="L544" s="29"/>
      <c r="M544" s="27" t="s">
        <v>19257</v>
      </c>
    </row>
    <row r="545" spans="1:13" s="27" customFormat="1" ht="17.25" customHeight="1" x14ac:dyDescent="0.25">
      <c r="A545" s="28" t="s">
        <v>8</v>
      </c>
      <c r="B545" s="28">
        <v>71657563</v>
      </c>
      <c r="C545" s="28" t="s">
        <v>25901</v>
      </c>
      <c r="D545" s="28" t="s">
        <v>25065</v>
      </c>
      <c r="E545" s="28" t="s">
        <v>25902</v>
      </c>
      <c r="F545" s="28" t="s">
        <v>25103</v>
      </c>
      <c r="G545" s="28" t="s">
        <v>19229</v>
      </c>
      <c r="H545" s="28" t="s">
        <v>19238</v>
      </c>
      <c r="I545" s="30">
        <v>45174</v>
      </c>
      <c r="J545" s="30">
        <v>45188</v>
      </c>
      <c r="K545" s="51">
        <v>15</v>
      </c>
      <c r="L545" s="29"/>
      <c r="M545" s="27" t="s">
        <v>19257</v>
      </c>
    </row>
    <row r="546" spans="1:13" s="27" customFormat="1" ht="17.25" customHeight="1" x14ac:dyDescent="0.25">
      <c r="A546" s="28" t="s">
        <v>8</v>
      </c>
      <c r="B546" s="28">
        <v>70434145</v>
      </c>
      <c r="C546" s="28" t="s">
        <v>25588</v>
      </c>
      <c r="D546" s="28" t="s">
        <v>25905</v>
      </c>
      <c r="E546" s="28" t="s">
        <v>25545</v>
      </c>
      <c r="F546" s="28"/>
      <c r="G546" s="28" t="s">
        <v>25328</v>
      </c>
      <c r="H546" s="28" t="s">
        <v>19238</v>
      </c>
      <c r="I546" s="30">
        <v>45176</v>
      </c>
      <c r="J546" s="30">
        <v>45190</v>
      </c>
      <c r="K546" s="51">
        <v>15</v>
      </c>
      <c r="L546" s="29"/>
      <c r="M546" s="27" t="s">
        <v>19257</v>
      </c>
    </row>
    <row r="547" spans="1:13" s="27" customFormat="1" ht="17.25" customHeight="1" x14ac:dyDescent="0.25">
      <c r="A547" s="28" t="s">
        <v>8</v>
      </c>
      <c r="B547" s="28">
        <v>98458674</v>
      </c>
      <c r="C547" s="38" t="s">
        <v>25030</v>
      </c>
      <c r="D547" s="38" t="s">
        <v>25181</v>
      </c>
      <c r="E547" s="38" t="s">
        <v>25663</v>
      </c>
      <c r="F547" s="38" t="s">
        <v>25103</v>
      </c>
      <c r="G547" s="28" t="s">
        <v>19229</v>
      </c>
      <c r="H547" s="28" t="s">
        <v>19240</v>
      </c>
      <c r="I547" s="30">
        <v>45176</v>
      </c>
      <c r="J547" s="30">
        <v>45176</v>
      </c>
      <c r="K547" s="51">
        <v>1</v>
      </c>
      <c r="L547" s="29"/>
      <c r="M547" s="27" t="s">
        <v>24991</v>
      </c>
    </row>
    <row r="548" spans="1:13" s="27" customFormat="1" ht="17.25" customHeight="1" x14ac:dyDescent="0.25">
      <c r="A548" s="28" t="s">
        <v>8</v>
      </c>
      <c r="B548" s="28">
        <v>1001550034</v>
      </c>
      <c r="C548" s="38" t="s">
        <v>25936</v>
      </c>
      <c r="D548" s="38" t="s">
        <v>25756</v>
      </c>
      <c r="E548" s="38" t="s">
        <v>25937</v>
      </c>
      <c r="F548" s="38" t="s">
        <v>25010</v>
      </c>
      <c r="G548" s="28" t="s">
        <v>19229</v>
      </c>
      <c r="H548" s="28" t="s">
        <v>19238</v>
      </c>
      <c r="I548" s="30">
        <v>45176</v>
      </c>
      <c r="J548" s="30">
        <v>45191</v>
      </c>
      <c r="K548" s="51">
        <v>16</v>
      </c>
      <c r="L548" s="29"/>
      <c r="M548" s="27" t="s">
        <v>19257</v>
      </c>
    </row>
    <row r="549" spans="1:13" s="27" customFormat="1" ht="17.25" customHeight="1" x14ac:dyDescent="0.25">
      <c r="A549" s="28" t="s">
        <v>8</v>
      </c>
      <c r="B549" s="28">
        <v>8339837</v>
      </c>
      <c r="C549" s="38" t="s">
        <v>25454</v>
      </c>
      <c r="D549" s="38" t="s">
        <v>25254</v>
      </c>
      <c r="E549" s="38" t="s">
        <v>25028</v>
      </c>
      <c r="F549" s="38" t="s">
        <v>25029</v>
      </c>
      <c r="G549" s="28" t="s">
        <v>19229</v>
      </c>
      <c r="H549" s="28" t="s">
        <v>19238</v>
      </c>
      <c r="I549" s="30">
        <v>45177</v>
      </c>
      <c r="J549" s="30">
        <v>45191</v>
      </c>
      <c r="K549" s="51">
        <v>15</v>
      </c>
      <c r="L549" s="29"/>
      <c r="M549" s="27" t="s">
        <v>19257</v>
      </c>
    </row>
    <row r="550" spans="1:13" s="27" customFormat="1" ht="17.25" customHeight="1" x14ac:dyDescent="0.25">
      <c r="A550" s="28" t="s">
        <v>8</v>
      </c>
      <c r="B550" s="28">
        <v>98496895</v>
      </c>
      <c r="C550" s="38" t="s">
        <v>25756</v>
      </c>
      <c r="D550" s="38" t="s">
        <v>25372</v>
      </c>
      <c r="E550" s="38" t="s">
        <v>25028</v>
      </c>
      <c r="F550" s="38" t="s">
        <v>25064</v>
      </c>
      <c r="G550" s="28" t="s">
        <v>19229</v>
      </c>
      <c r="H550" s="28" t="s">
        <v>19238</v>
      </c>
      <c r="I550" s="30">
        <v>45177</v>
      </c>
      <c r="J550" s="30">
        <v>45191</v>
      </c>
      <c r="K550" s="51">
        <v>15</v>
      </c>
      <c r="L550" s="29"/>
      <c r="M550" s="27" t="s">
        <v>19257</v>
      </c>
    </row>
    <row r="551" spans="1:13" s="27" customFormat="1" ht="17.25" customHeight="1" x14ac:dyDescent="0.25">
      <c r="A551" s="28" t="s">
        <v>8</v>
      </c>
      <c r="B551" s="28">
        <v>1192738599</v>
      </c>
      <c r="C551" s="38" t="s">
        <v>25690</v>
      </c>
      <c r="D551" s="38" t="s">
        <v>25526</v>
      </c>
      <c r="E551" s="38" t="s">
        <v>25931</v>
      </c>
      <c r="F551" s="38" t="s">
        <v>25064</v>
      </c>
      <c r="G551" s="28" t="s">
        <v>19229</v>
      </c>
      <c r="H551" s="28" t="s">
        <v>19240</v>
      </c>
      <c r="I551" s="30">
        <v>45177</v>
      </c>
      <c r="J551" s="30">
        <v>45179</v>
      </c>
      <c r="K551" s="51">
        <v>3</v>
      </c>
      <c r="L551" s="29"/>
      <c r="M551" s="27" t="s">
        <v>24991</v>
      </c>
    </row>
    <row r="552" spans="1:13" s="27" customFormat="1" ht="17.25" customHeight="1" x14ac:dyDescent="0.25">
      <c r="A552" s="28" t="s">
        <v>8</v>
      </c>
      <c r="B552" s="28">
        <v>15337800</v>
      </c>
      <c r="C552" s="38" t="s">
        <v>25127</v>
      </c>
      <c r="D552" s="38" t="s">
        <v>25248</v>
      </c>
      <c r="E552" s="38" t="s">
        <v>25405</v>
      </c>
      <c r="F552" s="38" t="s">
        <v>25402</v>
      </c>
      <c r="G552" s="28" t="s">
        <v>19229</v>
      </c>
      <c r="H552" s="28" t="s">
        <v>19238</v>
      </c>
      <c r="I552" s="30">
        <v>45178</v>
      </c>
      <c r="J552" s="30">
        <v>45185</v>
      </c>
      <c r="K552" s="51">
        <v>8</v>
      </c>
      <c r="L552" s="29"/>
      <c r="M552" s="27" t="s">
        <v>19257</v>
      </c>
    </row>
    <row r="553" spans="1:13" s="27" customFormat="1" ht="17.25" customHeight="1" x14ac:dyDescent="0.25">
      <c r="A553" s="28" t="s">
        <v>8</v>
      </c>
      <c r="B553" s="28">
        <v>71946868</v>
      </c>
      <c r="C553" s="38" t="s">
        <v>25443</v>
      </c>
      <c r="D553" s="38" t="s">
        <v>25015</v>
      </c>
      <c r="E553" s="38" t="s">
        <v>25130</v>
      </c>
      <c r="F553" s="38" t="s">
        <v>25641</v>
      </c>
      <c r="G553" s="28" t="s">
        <v>19229</v>
      </c>
      <c r="H553" s="28" t="s">
        <v>19238</v>
      </c>
      <c r="I553" s="30">
        <v>45178</v>
      </c>
      <c r="J553" s="30">
        <v>45192</v>
      </c>
      <c r="K553" s="51">
        <v>15</v>
      </c>
      <c r="L553" s="29"/>
      <c r="M553" s="27" t="s">
        <v>19257</v>
      </c>
    </row>
    <row r="554" spans="1:13" s="27" customFormat="1" ht="17.25" customHeight="1" x14ac:dyDescent="0.25">
      <c r="A554" s="28" t="s">
        <v>8</v>
      </c>
      <c r="B554" s="28">
        <v>3570700</v>
      </c>
      <c r="C554" s="38" t="s">
        <v>25126</v>
      </c>
      <c r="D554" s="38"/>
      <c r="E554" s="38" t="s">
        <v>19278</v>
      </c>
      <c r="F554" s="38" t="s">
        <v>25028</v>
      </c>
      <c r="G554" s="28" t="s">
        <v>19229</v>
      </c>
      <c r="H554" s="28" t="s">
        <v>19238</v>
      </c>
      <c r="I554" s="60">
        <v>45178</v>
      </c>
      <c r="J554" s="60">
        <v>45185</v>
      </c>
      <c r="K554" s="51">
        <v>8</v>
      </c>
      <c r="L554" s="29"/>
      <c r="M554" s="27" t="s">
        <v>19257</v>
      </c>
    </row>
    <row r="555" spans="1:13" s="27" customFormat="1" ht="17.25" customHeight="1" x14ac:dyDescent="0.25">
      <c r="A555" s="28" t="s">
        <v>8</v>
      </c>
      <c r="B555" s="28">
        <v>1017171980</v>
      </c>
      <c r="C555" s="38" t="s">
        <v>25006</v>
      </c>
      <c r="D555" s="38" t="s">
        <v>25326</v>
      </c>
      <c r="E555" s="38" t="s">
        <v>25668</v>
      </c>
      <c r="F555" s="38" t="s">
        <v>25669</v>
      </c>
      <c r="G555" s="28" t="s">
        <v>19229</v>
      </c>
      <c r="H555" s="28" t="s">
        <v>19238</v>
      </c>
      <c r="I555" s="30">
        <v>45178</v>
      </c>
      <c r="J555" s="30">
        <v>45192</v>
      </c>
      <c r="K555" s="51">
        <v>15</v>
      </c>
      <c r="L555" s="29"/>
      <c r="M555" s="27" t="s">
        <v>19257</v>
      </c>
    </row>
    <row r="556" spans="1:13" s="27" customFormat="1" ht="17.25" customHeight="1" x14ac:dyDescent="0.25">
      <c r="A556" s="28" t="s">
        <v>8</v>
      </c>
      <c r="B556" s="28">
        <v>1003932906</v>
      </c>
      <c r="C556" s="38" t="s">
        <v>25093</v>
      </c>
      <c r="D556" s="38" t="s">
        <v>25887</v>
      </c>
      <c r="E556" s="38" t="s">
        <v>25888</v>
      </c>
      <c r="F556" s="38" t="s">
        <v>25010</v>
      </c>
      <c r="G556" s="28" t="s">
        <v>19285</v>
      </c>
      <c r="H556" s="28" t="s">
        <v>19239</v>
      </c>
      <c r="I556" s="30">
        <v>45180</v>
      </c>
      <c r="J556" s="30">
        <v>45180</v>
      </c>
      <c r="K556" s="51">
        <v>1</v>
      </c>
      <c r="L556" s="29">
        <v>6</v>
      </c>
      <c r="M556" s="27" t="s">
        <v>25036</v>
      </c>
    </row>
    <row r="557" spans="1:13" s="27" customFormat="1" ht="17.25" customHeight="1" x14ac:dyDescent="0.25">
      <c r="A557" s="28" t="s">
        <v>8</v>
      </c>
      <c r="B557" s="28">
        <v>71753196</v>
      </c>
      <c r="C557" s="38" t="s">
        <v>25707</v>
      </c>
      <c r="D557" s="38" t="s">
        <v>25593</v>
      </c>
      <c r="E557" s="38" t="s">
        <v>25168</v>
      </c>
      <c r="F557" s="38" t="s">
        <v>25909</v>
      </c>
      <c r="G557" s="28" t="s">
        <v>19229</v>
      </c>
      <c r="H557" s="28" t="s">
        <v>19238</v>
      </c>
      <c r="I557" s="30">
        <v>45180</v>
      </c>
      <c r="J557" s="30">
        <v>45187</v>
      </c>
      <c r="K557" s="51">
        <v>8</v>
      </c>
      <c r="L557" s="29"/>
      <c r="M557" s="27" t="s">
        <v>19257</v>
      </c>
    </row>
    <row r="558" spans="1:13" s="27" customFormat="1" ht="17.25" customHeight="1" x14ac:dyDescent="0.25">
      <c r="A558" s="28" t="s">
        <v>8</v>
      </c>
      <c r="B558" s="28">
        <v>15259158</v>
      </c>
      <c r="C558" s="38" t="s">
        <v>25015</v>
      </c>
      <c r="D558" s="38" t="s">
        <v>25015</v>
      </c>
      <c r="E558" s="38" t="s">
        <v>25203</v>
      </c>
      <c r="F558" s="38" t="s">
        <v>25005</v>
      </c>
      <c r="G558" s="28" t="s">
        <v>19229</v>
      </c>
      <c r="H558" s="28" t="s">
        <v>19238</v>
      </c>
      <c r="I558" s="30">
        <v>45180</v>
      </c>
      <c r="J558" s="30">
        <v>45194</v>
      </c>
      <c r="K558" s="51">
        <v>15</v>
      </c>
      <c r="L558" s="29"/>
      <c r="M558" s="27" t="s">
        <v>19257</v>
      </c>
    </row>
    <row r="559" spans="1:13" s="27" customFormat="1" ht="17.25" customHeight="1" x14ac:dyDescent="0.25">
      <c r="A559" s="28" t="s">
        <v>8</v>
      </c>
      <c r="B559" s="28">
        <v>15305525</v>
      </c>
      <c r="C559" s="38" t="s">
        <v>25934</v>
      </c>
      <c r="D559" s="38" t="s">
        <v>25026</v>
      </c>
      <c r="E559" s="38" t="s">
        <v>25805</v>
      </c>
      <c r="F559" s="38" t="s">
        <v>25103</v>
      </c>
      <c r="G559" s="28" t="s">
        <v>19229</v>
      </c>
      <c r="H559" s="28" t="s">
        <v>19238</v>
      </c>
      <c r="I559" s="30">
        <v>45180</v>
      </c>
      <c r="J559" s="30">
        <v>45194</v>
      </c>
      <c r="K559" s="51">
        <v>15</v>
      </c>
      <c r="L559" s="29"/>
      <c r="M559" s="27" t="s">
        <v>19257</v>
      </c>
    </row>
    <row r="560" spans="1:13" s="27" customFormat="1" ht="17.25" customHeight="1" x14ac:dyDescent="0.25">
      <c r="A560" s="28" t="s">
        <v>8</v>
      </c>
      <c r="B560" s="28">
        <v>91435066</v>
      </c>
      <c r="C560" s="38" t="s">
        <v>25509</v>
      </c>
      <c r="D560" s="38" t="s">
        <v>25510</v>
      </c>
      <c r="E560" s="38" t="s">
        <v>25056</v>
      </c>
      <c r="F560" s="38" t="s">
        <v>25308</v>
      </c>
      <c r="G560" s="28" t="s">
        <v>19229</v>
      </c>
      <c r="H560" s="28" t="s">
        <v>19240</v>
      </c>
      <c r="I560" s="30">
        <v>45180</v>
      </c>
      <c r="J560" s="30">
        <v>45182</v>
      </c>
      <c r="K560" s="51">
        <v>3</v>
      </c>
      <c r="L560" s="29"/>
      <c r="M560" s="27" t="s">
        <v>25431</v>
      </c>
    </row>
    <row r="561" spans="1:13" s="27" customFormat="1" ht="17.25" customHeight="1" x14ac:dyDescent="0.25">
      <c r="A561" s="28" t="s">
        <v>8</v>
      </c>
      <c r="B561" s="28">
        <v>71694302</v>
      </c>
      <c r="C561" s="38" t="s">
        <v>25892</v>
      </c>
      <c r="D561" s="38" t="s">
        <v>25475</v>
      </c>
      <c r="E561" s="38" t="s">
        <v>25134</v>
      </c>
      <c r="F561" s="38" t="s">
        <v>25893</v>
      </c>
      <c r="G561" s="28" t="s">
        <v>19229</v>
      </c>
      <c r="H561" s="28" t="s">
        <v>19239</v>
      </c>
      <c r="I561" s="30">
        <v>45181</v>
      </c>
      <c r="J561" s="30">
        <v>45181</v>
      </c>
      <c r="K561" s="51">
        <v>1</v>
      </c>
      <c r="L561" s="29">
        <v>6</v>
      </c>
      <c r="M561" s="27" t="s">
        <v>25036</v>
      </c>
    </row>
    <row r="562" spans="1:13" s="27" customFormat="1" ht="17.25" customHeight="1" x14ac:dyDescent="0.25">
      <c r="A562" s="28" t="s">
        <v>8</v>
      </c>
      <c r="B562" s="28">
        <v>1152697476</v>
      </c>
      <c r="C562" s="38" t="s">
        <v>25050</v>
      </c>
      <c r="D562" s="38" t="s">
        <v>25646</v>
      </c>
      <c r="E562" s="38" t="s">
        <v>25940</v>
      </c>
      <c r="F562" s="38" t="s">
        <v>25177</v>
      </c>
      <c r="G562" s="28" t="s">
        <v>19229</v>
      </c>
      <c r="H562" s="28" t="s">
        <v>19238</v>
      </c>
      <c r="I562" s="30">
        <v>45181</v>
      </c>
      <c r="J562" s="30">
        <v>45196</v>
      </c>
      <c r="K562" s="51">
        <v>16</v>
      </c>
      <c r="L562" s="29"/>
      <c r="M562" s="27" t="s">
        <v>19257</v>
      </c>
    </row>
    <row r="563" spans="1:13" s="27" customFormat="1" ht="17.25" customHeight="1" x14ac:dyDescent="0.25">
      <c r="A563" s="28" t="s">
        <v>8</v>
      </c>
      <c r="B563" s="28">
        <v>1054561422</v>
      </c>
      <c r="C563" s="38" t="s">
        <v>25910</v>
      </c>
      <c r="D563" s="38" t="s">
        <v>25224</v>
      </c>
      <c r="E563" s="38" t="s">
        <v>25618</v>
      </c>
      <c r="F563" s="38" t="s">
        <v>25010</v>
      </c>
      <c r="G563" s="28" t="s">
        <v>19229</v>
      </c>
      <c r="H563" s="28" t="s">
        <v>19238</v>
      </c>
      <c r="I563" s="30">
        <v>45182</v>
      </c>
      <c r="J563" s="30">
        <v>45189</v>
      </c>
      <c r="K563" s="51">
        <v>8</v>
      </c>
      <c r="L563" s="29"/>
      <c r="M563" s="27" t="s">
        <v>19257</v>
      </c>
    </row>
    <row r="564" spans="1:13" s="27" customFormat="1" ht="17.25" customHeight="1" x14ac:dyDescent="0.25">
      <c r="A564" s="28" t="s">
        <v>8</v>
      </c>
      <c r="B564" s="28">
        <v>71213402</v>
      </c>
      <c r="C564" s="38" t="s">
        <v>25510</v>
      </c>
      <c r="D564" s="38"/>
      <c r="E564" s="38" t="s">
        <v>25650</v>
      </c>
      <c r="F564" s="38" t="s">
        <v>25103</v>
      </c>
      <c r="G564" s="28" t="s">
        <v>19229</v>
      </c>
      <c r="H564" s="28" t="s">
        <v>19238</v>
      </c>
      <c r="I564" s="30">
        <v>45182</v>
      </c>
      <c r="J564" s="30">
        <v>45189</v>
      </c>
      <c r="K564" s="51">
        <v>8</v>
      </c>
      <c r="L564" s="29"/>
      <c r="M564" s="27" t="s">
        <v>19257</v>
      </c>
    </row>
    <row r="565" spans="1:13" s="27" customFormat="1" ht="17.25" customHeight="1" x14ac:dyDescent="0.25">
      <c r="A565" s="28" t="s">
        <v>8</v>
      </c>
      <c r="B565" s="28">
        <v>70812639</v>
      </c>
      <c r="C565" s="38" t="s">
        <v>25426</v>
      </c>
      <c r="D565" s="38" t="s">
        <v>25932</v>
      </c>
      <c r="E565" s="38" t="s">
        <v>25448</v>
      </c>
      <c r="F565" s="38" t="s">
        <v>25103</v>
      </c>
      <c r="G565" s="28" t="s">
        <v>19229</v>
      </c>
      <c r="H565" s="28" t="s">
        <v>19238</v>
      </c>
      <c r="I565" s="30">
        <v>45182</v>
      </c>
      <c r="J565" s="30">
        <v>45189</v>
      </c>
      <c r="K565" s="51">
        <v>8</v>
      </c>
      <c r="L565" s="29"/>
      <c r="M565" s="27" t="s">
        <v>19257</v>
      </c>
    </row>
    <row r="566" spans="1:13" s="27" customFormat="1" ht="17.25" customHeight="1" x14ac:dyDescent="0.25">
      <c r="A566" s="28" t="s">
        <v>8</v>
      </c>
      <c r="B566" s="28">
        <v>70661816</v>
      </c>
      <c r="C566" s="38" t="s">
        <v>25174</v>
      </c>
      <c r="D566" s="38"/>
      <c r="E566" s="38" t="s">
        <v>25327</v>
      </c>
      <c r="F566" s="38" t="s">
        <v>25103</v>
      </c>
      <c r="G566" s="28" t="s">
        <v>25328</v>
      </c>
      <c r="H566" s="28" t="s">
        <v>19238</v>
      </c>
      <c r="I566" s="30">
        <v>45183</v>
      </c>
      <c r="J566" s="30">
        <v>45199</v>
      </c>
      <c r="K566" s="51">
        <v>17</v>
      </c>
      <c r="L566" s="29"/>
      <c r="M566" s="27" t="s">
        <v>19257</v>
      </c>
    </row>
    <row r="567" spans="1:13" s="27" customFormat="1" ht="17.25" customHeight="1" x14ac:dyDescent="0.25">
      <c r="A567" s="28" t="s">
        <v>8</v>
      </c>
      <c r="B567" s="28">
        <v>71187042</v>
      </c>
      <c r="C567" s="38" t="s">
        <v>25633</v>
      </c>
      <c r="D567" s="38" t="s">
        <v>25634</v>
      </c>
      <c r="E567" s="38" t="s">
        <v>25627</v>
      </c>
      <c r="F567" s="38" t="s">
        <v>25103</v>
      </c>
      <c r="G567" s="28" t="s">
        <v>19229</v>
      </c>
      <c r="H567" s="28" t="s">
        <v>19239</v>
      </c>
      <c r="I567" s="30">
        <v>45184</v>
      </c>
      <c r="J567" s="30">
        <v>45188</v>
      </c>
      <c r="K567" s="51">
        <v>5</v>
      </c>
      <c r="L567" s="29">
        <v>6</v>
      </c>
      <c r="M567" s="27" t="s">
        <v>25911</v>
      </c>
    </row>
    <row r="568" spans="1:13" s="27" customFormat="1" ht="17.25" customHeight="1" x14ac:dyDescent="0.25">
      <c r="A568" s="28" t="s">
        <v>8</v>
      </c>
      <c r="B568" s="28">
        <v>6275085</v>
      </c>
      <c r="C568" s="38" t="s">
        <v>25403</v>
      </c>
      <c r="D568" s="38" t="s">
        <v>25450</v>
      </c>
      <c r="E568" s="38" t="s">
        <v>25208</v>
      </c>
      <c r="F568" s="38" t="s">
        <v>25135</v>
      </c>
      <c r="G568" s="28" t="s">
        <v>19229</v>
      </c>
      <c r="H568" s="28" t="s">
        <v>19238</v>
      </c>
      <c r="I568" s="30">
        <v>45184</v>
      </c>
      <c r="J568" s="30">
        <v>45198</v>
      </c>
      <c r="K568" s="51">
        <v>15</v>
      </c>
      <c r="L568" s="29"/>
      <c r="M568" s="27" t="s">
        <v>19257</v>
      </c>
    </row>
    <row r="569" spans="1:13" s="27" customFormat="1" ht="17.25" customHeight="1" x14ac:dyDescent="0.25">
      <c r="A569" s="28" t="s">
        <v>8</v>
      </c>
      <c r="B569" s="28">
        <v>1028000149</v>
      </c>
      <c r="C569" s="38" t="s">
        <v>25912</v>
      </c>
      <c r="D569" s="38" t="s">
        <v>25034</v>
      </c>
      <c r="E569" s="38" t="s">
        <v>25056</v>
      </c>
      <c r="F569" s="38" t="s">
        <v>25064</v>
      </c>
      <c r="G569" s="28" t="s">
        <v>19229</v>
      </c>
      <c r="H569" s="28" t="s">
        <v>19239</v>
      </c>
      <c r="I569" s="30">
        <v>45185</v>
      </c>
      <c r="J569" s="30">
        <v>45189</v>
      </c>
      <c r="K569" s="51">
        <v>5</v>
      </c>
      <c r="L569" s="29">
        <v>22</v>
      </c>
      <c r="M569" s="27" t="s">
        <v>25036</v>
      </c>
    </row>
    <row r="570" spans="1:13" s="27" customFormat="1" ht="17.25" customHeight="1" x14ac:dyDescent="0.25">
      <c r="A570" s="28" t="s">
        <v>8</v>
      </c>
      <c r="B570" s="28">
        <v>1003141973</v>
      </c>
      <c r="C570" s="38" t="s">
        <v>25913</v>
      </c>
      <c r="D570" s="38" t="s">
        <v>25127</v>
      </c>
      <c r="E570" s="38" t="s">
        <v>25914</v>
      </c>
      <c r="F570" s="38" t="s">
        <v>25099</v>
      </c>
      <c r="G570" s="28" t="s">
        <v>19229</v>
      </c>
      <c r="H570" s="28" t="s">
        <v>19238</v>
      </c>
      <c r="I570" s="30">
        <v>45185</v>
      </c>
      <c r="J570" s="30">
        <v>45199</v>
      </c>
      <c r="K570" s="51">
        <v>15</v>
      </c>
      <c r="L570" s="29"/>
      <c r="M570" s="27" t="s">
        <v>19257</v>
      </c>
    </row>
    <row r="571" spans="1:13" s="27" customFormat="1" ht="17.25" customHeight="1" x14ac:dyDescent="0.25">
      <c r="A571" s="28" t="s">
        <v>8</v>
      </c>
      <c r="B571" s="28">
        <v>1028018175</v>
      </c>
      <c r="C571" s="38" t="s">
        <v>25915</v>
      </c>
      <c r="D571" s="38" t="s">
        <v>25916</v>
      </c>
      <c r="E571" s="38" t="s">
        <v>25334</v>
      </c>
      <c r="F571" s="38"/>
      <c r="G571" s="28" t="s">
        <v>19229</v>
      </c>
      <c r="H571" s="28" t="s">
        <v>19238</v>
      </c>
      <c r="I571" s="30">
        <v>45185</v>
      </c>
      <c r="J571" s="30">
        <v>45199</v>
      </c>
      <c r="K571" s="51">
        <v>15</v>
      </c>
      <c r="L571" s="29"/>
      <c r="M571" s="27" t="s">
        <v>19257</v>
      </c>
    </row>
    <row r="572" spans="1:13" s="27" customFormat="1" ht="17.25" customHeight="1" x14ac:dyDescent="0.25">
      <c r="A572" s="28" t="s">
        <v>8</v>
      </c>
      <c r="B572" s="28">
        <v>98500553</v>
      </c>
      <c r="C572" s="38" t="s">
        <v>25353</v>
      </c>
      <c r="D572" s="38" t="s">
        <v>25177</v>
      </c>
      <c r="E572" s="38" t="s">
        <v>25359</v>
      </c>
      <c r="F572" s="38" t="s">
        <v>24986</v>
      </c>
      <c r="G572" s="28" t="s">
        <v>19229</v>
      </c>
      <c r="H572" s="28" t="s">
        <v>19240</v>
      </c>
      <c r="I572" s="30">
        <v>45185</v>
      </c>
      <c r="J572" s="30">
        <v>45186</v>
      </c>
      <c r="K572" s="51">
        <v>2</v>
      </c>
      <c r="L572" s="29"/>
      <c r="M572" s="27" t="s">
        <v>24991</v>
      </c>
    </row>
    <row r="573" spans="1:13" s="27" customFormat="1" ht="17.25" customHeight="1" x14ac:dyDescent="0.25">
      <c r="A573" s="28" t="s">
        <v>8</v>
      </c>
      <c r="B573" s="28">
        <v>1028018175</v>
      </c>
      <c r="C573" s="38" t="s">
        <v>25915</v>
      </c>
      <c r="D573" s="38" t="s">
        <v>25916</v>
      </c>
      <c r="E573" s="38" t="s">
        <v>25334</v>
      </c>
      <c r="F573" s="38"/>
      <c r="G573" s="28" t="s">
        <v>19229</v>
      </c>
      <c r="H573" s="28" t="s">
        <v>19238</v>
      </c>
      <c r="I573" s="30">
        <v>45185</v>
      </c>
      <c r="J573" s="30">
        <v>45199</v>
      </c>
      <c r="K573" s="51">
        <v>15</v>
      </c>
      <c r="L573" s="29"/>
      <c r="M573" s="27" t="s">
        <v>19257</v>
      </c>
    </row>
    <row r="574" spans="1:13" s="27" customFormat="1" ht="17.25" customHeight="1" x14ac:dyDescent="0.25">
      <c r="A574" s="28" t="s">
        <v>8</v>
      </c>
      <c r="B574" s="28">
        <v>1020401463</v>
      </c>
      <c r="C574" s="38" t="s">
        <v>25041</v>
      </c>
      <c r="D574" s="38" t="s">
        <v>25042</v>
      </c>
      <c r="E574" s="38" t="s">
        <v>25032</v>
      </c>
      <c r="F574" s="38" t="s">
        <v>25010</v>
      </c>
      <c r="G574" s="28" t="s">
        <v>19229</v>
      </c>
      <c r="H574" s="28" t="s">
        <v>19240</v>
      </c>
      <c r="I574" s="30">
        <v>45185</v>
      </c>
      <c r="J574" s="30">
        <v>45185</v>
      </c>
      <c r="K574" s="51">
        <v>1</v>
      </c>
      <c r="L574" s="29"/>
      <c r="M574" s="27" t="s">
        <v>25431</v>
      </c>
    </row>
    <row r="575" spans="1:13" s="27" customFormat="1" ht="17.25" customHeight="1" x14ac:dyDescent="0.25">
      <c r="A575" s="28" t="s">
        <v>8</v>
      </c>
      <c r="B575" s="28">
        <v>15337800</v>
      </c>
      <c r="C575" s="38" t="s">
        <v>25127</v>
      </c>
      <c r="D575" s="38" t="s">
        <v>25248</v>
      </c>
      <c r="E575" s="38" t="s">
        <v>25405</v>
      </c>
      <c r="F575" s="38" t="s">
        <v>25402</v>
      </c>
      <c r="G575" s="28" t="s">
        <v>19229</v>
      </c>
      <c r="H575" s="28" t="s">
        <v>19238</v>
      </c>
      <c r="I575" s="30">
        <v>45186</v>
      </c>
      <c r="J575" s="30">
        <v>45193</v>
      </c>
      <c r="K575" s="51">
        <v>8</v>
      </c>
      <c r="L575" s="29"/>
      <c r="M575" s="27" t="s">
        <v>19257</v>
      </c>
    </row>
    <row r="576" spans="1:13" s="27" customFormat="1" ht="17.25" customHeight="1" x14ac:dyDescent="0.25">
      <c r="A576" s="28" t="s">
        <v>8</v>
      </c>
      <c r="B576" s="28">
        <v>3570700</v>
      </c>
      <c r="C576" s="38" t="s">
        <v>25126</v>
      </c>
      <c r="D576" s="38"/>
      <c r="E576" s="38" t="s">
        <v>19278</v>
      </c>
      <c r="F576" s="38" t="s">
        <v>25028</v>
      </c>
      <c r="G576" s="28" t="s">
        <v>19229</v>
      </c>
      <c r="H576" s="28" t="s">
        <v>19238</v>
      </c>
      <c r="I576" s="30">
        <v>45186</v>
      </c>
      <c r="J576" s="30">
        <v>45193</v>
      </c>
      <c r="K576" s="51">
        <v>8</v>
      </c>
      <c r="L576" s="29"/>
      <c r="M576" s="27" t="s">
        <v>19257</v>
      </c>
    </row>
    <row r="577" spans="1:13" s="27" customFormat="1" ht="17.25" customHeight="1" x14ac:dyDescent="0.25">
      <c r="A577" s="28" t="s">
        <v>8</v>
      </c>
      <c r="B577" s="28">
        <v>43600465</v>
      </c>
      <c r="C577" s="38" t="s">
        <v>25314</v>
      </c>
      <c r="D577" s="38" t="s">
        <v>25387</v>
      </c>
      <c r="E577" s="38" t="s">
        <v>25933</v>
      </c>
      <c r="F577" s="38" t="s">
        <v>25258</v>
      </c>
      <c r="G577" s="28" t="s">
        <v>25389</v>
      </c>
      <c r="H577" s="28" t="s">
        <v>19238</v>
      </c>
      <c r="I577" s="30">
        <v>45186</v>
      </c>
      <c r="J577" s="30">
        <v>45200</v>
      </c>
      <c r="K577" s="51">
        <v>15</v>
      </c>
      <c r="L577" s="29"/>
      <c r="M577" s="27" t="s">
        <v>19257</v>
      </c>
    </row>
    <row r="578" spans="1:13" s="27" customFormat="1" ht="17.25" customHeight="1" x14ac:dyDescent="0.25">
      <c r="A578" s="28" t="s">
        <v>8</v>
      </c>
      <c r="B578" s="28">
        <v>70786990</v>
      </c>
      <c r="C578" s="38" t="s">
        <v>25004</v>
      </c>
      <c r="D578" s="38" t="s">
        <v>25401</v>
      </c>
      <c r="E578" s="38" t="s">
        <v>25713</v>
      </c>
      <c r="F578" s="38" t="s">
        <v>25103</v>
      </c>
      <c r="G578" s="28" t="s">
        <v>19229</v>
      </c>
      <c r="H578" s="28" t="s">
        <v>19240</v>
      </c>
      <c r="I578" s="30">
        <v>45186</v>
      </c>
      <c r="J578" s="30" t="s">
        <v>25971</v>
      </c>
      <c r="K578" s="51">
        <v>1</v>
      </c>
      <c r="L578" s="29"/>
      <c r="M578" s="27" t="s">
        <v>25431</v>
      </c>
    </row>
    <row r="579" spans="1:13" s="27" customFormat="1" ht="17.25" customHeight="1" x14ac:dyDescent="0.25">
      <c r="A579" s="28" t="s">
        <v>8</v>
      </c>
      <c r="B579" s="28">
        <v>71650158</v>
      </c>
      <c r="C579" s="38" t="s">
        <v>24998</v>
      </c>
      <c r="D579" s="38" t="s">
        <v>25356</v>
      </c>
      <c r="E579" s="38" t="s">
        <v>25358</v>
      </c>
      <c r="F579" s="38" t="s">
        <v>25005</v>
      </c>
      <c r="G579" s="28" t="s">
        <v>19229</v>
      </c>
      <c r="H579" s="28" t="s">
        <v>19240</v>
      </c>
      <c r="I579" s="30">
        <v>45186</v>
      </c>
      <c r="J579" s="30">
        <v>45186</v>
      </c>
      <c r="K579" s="51">
        <v>1</v>
      </c>
      <c r="L579" s="29"/>
      <c r="M579" s="27" t="s">
        <v>25431</v>
      </c>
    </row>
    <row r="580" spans="1:13" s="27" customFormat="1" ht="17.25" customHeight="1" x14ac:dyDescent="0.25">
      <c r="A580" s="28" t="s">
        <v>8</v>
      </c>
      <c r="B580" s="28">
        <v>1017149200</v>
      </c>
      <c r="C580" s="38" t="s">
        <v>25127</v>
      </c>
      <c r="D580" s="38" t="s">
        <v>25593</v>
      </c>
      <c r="E580" s="38" t="s">
        <v>25773</v>
      </c>
      <c r="F580" s="38" t="s">
        <v>25774</v>
      </c>
      <c r="G580" s="28" t="s">
        <v>19229</v>
      </c>
      <c r="H580" s="28" t="s">
        <v>19240</v>
      </c>
      <c r="I580" s="30">
        <v>45187</v>
      </c>
      <c r="J580" s="30">
        <v>45187</v>
      </c>
      <c r="K580" s="51">
        <v>1</v>
      </c>
      <c r="L580" s="29"/>
      <c r="M580" s="27" t="s">
        <v>24991</v>
      </c>
    </row>
    <row r="581" spans="1:13" s="27" customFormat="1" ht="17.25" customHeight="1" x14ac:dyDescent="0.25">
      <c r="A581" s="28" t="s">
        <v>8</v>
      </c>
      <c r="B581" s="28">
        <v>71753196</v>
      </c>
      <c r="C581" s="38" t="s">
        <v>25707</v>
      </c>
      <c r="D581" s="38" t="s">
        <v>25593</v>
      </c>
      <c r="E581" s="38" t="s">
        <v>25168</v>
      </c>
      <c r="F581" s="38" t="s">
        <v>25909</v>
      </c>
      <c r="G581" s="28" t="s">
        <v>19229</v>
      </c>
      <c r="H581" s="28" t="s">
        <v>19238</v>
      </c>
      <c r="I581" s="30">
        <v>45188</v>
      </c>
      <c r="J581" s="30">
        <v>45195</v>
      </c>
      <c r="K581" s="51">
        <v>8</v>
      </c>
      <c r="L581" s="29"/>
      <c r="M581" s="27" t="s">
        <v>19257</v>
      </c>
    </row>
    <row r="582" spans="1:13" s="27" customFormat="1" ht="17.25" customHeight="1" x14ac:dyDescent="0.25">
      <c r="A582" s="28" t="s">
        <v>8</v>
      </c>
      <c r="B582" s="28">
        <v>71681831</v>
      </c>
      <c r="C582" s="38" t="s">
        <v>25410</v>
      </c>
      <c r="D582" s="38"/>
      <c r="E582" s="38" t="s">
        <v>25430</v>
      </c>
      <c r="F582" s="38" t="s">
        <v>25919</v>
      </c>
      <c r="G582" s="28" t="s">
        <v>19229</v>
      </c>
      <c r="H582" s="28" t="s">
        <v>19239</v>
      </c>
      <c r="I582" s="30">
        <v>45188</v>
      </c>
      <c r="J582" s="30">
        <v>45192</v>
      </c>
      <c r="K582" s="51">
        <v>5</v>
      </c>
      <c r="L582" s="29">
        <v>10</v>
      </c>
      <c r="M582" s="27" t="s">
        <v>25067</v>
      </c>
    </row>
    <row r="583" spans="1:13" s="27" customFormat="1" ht="17.25" customHeight="1" x14ac:dyDescent="0.25">
      <c r="A583" s="28" t="s">
        <v>8</v>
      </c>
      <c r="B583" s="28">
        <v>1214716619</v>
      </c>
      <c r="C583" s="38" t="s">
        <v>25523</v>
      </c>
      <c r="D583" s="38" t="s">
        <v>25456</v>
      </c>
      <c r="E583" s="38" t="s">
        <v>25935</v>
      </c>
      <c r="F583" s="38"/>
      <c r="G583" s="28" t="s">
        <v>19229</v>
      </c>
      <c r="H583" s="28" t="s">
        <v>19238</v>
      </c>
      <c r="I583" s="30">
        <v>45188</v>
      </c>
      <c r="J583" s="30">
        <v>45202</v>
      </c>
      <c r="K583" s="51">
        <v>15</v>
      </c>
      <c r="L583" s="29"/>
      <c r="M583" s="27" t="s">
        <v>19257</v>
      </c>
    </row>
    <row r="584" spans="1:13" s="27" customFormat="1" ht="17.25" customHeight="1" x14ac:dyDescent="0.25">
      <c r="A584" s="28" t="s">
        <v>8</v>
      </c>
      <c r="B584" s="28">
        <v>1036687761</v>
      </c>
      <c r="C584" s="38" t="s">
        <v>25145</v>
      </c>
      <c r="D584" s="38" t="s">
        <v>24993</v>
      </c>
      <c r="E584" s="38" t="s">
        <v>25711</v>
      </c>
      <c r="F584" s="38"/>
      <c r="G584" s="28" t="s">
        <v>19229</v>
      </c>
      <c r="H584" s="28" t="s">
        <v>19238</v>
      </c>
      <c r="I584" s="30">
        <v>45189</v>
      </c>
      <c r="J584" s="30">
        <v>45203</v>
      </c>
      <c r="K584" s="51">
        <v>15</v>
      </c>
      <c r="L584" s="29"/>
      <c r="M584" s="27" t="s">
        <v>19257</v>
      </c>
    </row>
    <row r="585" spans="1:13" s="27" customFormat="1" ht="17.25" customHeight="1" x14ac:dyDescent="0.25">
      <c r="A585" s="28" t="s">
        <v>8</v>
      </c>
      <c r="B585" s="28">
        <v>43709476</v>
      </c>
      <c r="C585" s="38" t="s">
        <v>25023</v>
      </c>
      <c r="D585" s="38" t="s">
        <v>25233</v>
      </c>
      <c r="E585" s="38" t="s">
        <v>25234</v>
      </c>
      <c r="F585" s="38" t="s">
        <v>25235</v>
      </c>
      <c r="G585" s="28" t="s">
        <v>19229</v>
      </c>
      <c r="H585" s="28" t="s">
        <v>19240</v>
      </c>
      <c r="I585" s="30">
        <v>45189</v>
      </c>
      <c r="J585" s="30">
        <v>45189</v>
      </c>
      <c r="K585" s="51">
        <v>1</v>
      </c>
      <c r="L585" s="29"/>
      <c r="M585" s="27" t="s">
        <v>25431</v>
      </c>
    </row>
    <row r="586" spans="1:13" s="27" customFormat="1" ht="17.25" customHeight="1" x14ac:dyDescent="0.25">
      <c r="A586" s="28" t="s">
        <v>8</v>
      </c>
      <c r="B586" s="28">
        <v>1017219474</v>
      </c>
      <c r="C586" s="38" t="s">
        <v>25852</v>
      </c>
      <c r="D586" s="38" t="s">
        <v>25159</v>
      </c>
      <c r="E586" s="38" t="s">
        <v>25352</v>
      </c>
      <c r="F586" s="38" t="s">
        <v>25433</v>
      </c>
      <c r="G586" s="28" t="s">
        <v>19229</v>
      </c>
      <c r="H586" s="28" t="s">
        <v>19240</v>
      </c>
      <c r="I586" s="30">
        <v>45189</v>
      </c>
      <c r="J586" s="30">
        <v>45190</v>
      </c>
      <c r="K586" s="51">
        <v>2</v>
      </c>
      <c r="L586" s="29"/>
      <c r="M586" s="27" t="s">
        <v>25431</v>
      </c>
    </row>
    <row r="587" spans="1:13" s="27" customFormat="1" ht="17.25" customHeight="1" x14ac:dyDescent="0.25">
      <c r="A587" s="28" t="s">
        <v>8</v>
      </c>
      <c r="B587" s="28">
        <v>1054561422</v>
      </c>
      <c r="C587" s="38" t="s">
        <v>25910</v>
      </c>
      <c r="D587" s="38" t="s">
        <v>25224</v>
      </c>
      <c r="E587" s="38" t="s">
        <v>25618</v>
      </c>
      <c r="F587" s="38" t="s">
        <v>25010</v>
      </c>
      <c r="G587" s="28" t="s">
        <v>19229</v>
      </c>
      <c r="H587" s="28" t="s">
        <v>19238</v>
      </c>
      <c r="I587" s="30">
        <v>45190</v>
      </c>
      <c r="J587" s="30">
        <v>45197</v>
      </c>
      <c r="K587" s="51">
        <v>8</v>
      </c>
      <c r="L587" s="29"/>
      <c r="M587" s="27" t="s">
        <v>19257</v>
      </c>
    </row>
    <row r="588" spans="1:13" s="27" customFormat="1" ht="17.25" customHeight="1" x14ac:dyDescent="0.25">
      <c r="A588" s="28" t="s">
        <v>8</v>
      </c>
      <c r="B588" s="28">
        <v>1002997006</v>
      </c>
      <c r="C588" s="38" t="s">
        <v>25924</v>
      </c>
      <c r="D588" s="38" t="s">
        <v>25925</v>
      </c>
      <c r="E588" s="38" t="s">
        <v>25926</v>
      </c>
      <c r="F588" s="38"/>
      <c r="G588" s="28" t="s">
        <v>19229</v>
      </c>
      <c r="H588" s="28" t="s">
        <v>19240</v>
      </c>
      <c r="I588" s="30">
        <v>45190</v>
      </c>
      <c r="J588" s="30">
        <v>45193</v>
      </c>
      <c r="K588" s="51">
        <v>4</v>
      </c>
      <c r="L588" s="29"/>
      <c r="M588" s="27" t="s">
        <v>25927</v>
      </c>
    </row>
    <row r="589" spans="1:13" s="27" customFormat="1" ht="17.25" customHeight="1" x14ac:dyDescent="0.25">
      <c r="A589" s="28" t="s">
        <v>8</v>
      </c>
      <c r="B589" s="28">
        <v>70812639</v>
      </c>
      <c r="C589" s="38" t="s">
        <v>25426</v>
      </c>
      <c r="D589" s="38" t="s">
        <v>25932</v>
      </c>
      <c r="E589" s="38" t="s">
        <v>25448</v>
      </c>
      <c r="F589" s="38" t="s">
        <v>25103</v>
      </c>
      <c r="G589" s="28" t="s">
        <v>19229</v>
      </c>
      <c r="H589" s="28" t="s">
        <v>19238</v>
      </c>
      <c r="I589" s="30">
        <v>45190</v>
      </c>
      <c r="J589" s="30">
        <v>45197</v>
      </c>
      <c r="K589" s="51">
        <v>8</v>
      </c>
      <c r="L589" s="29"/>
      <c r="M589" s="27" t="s">
        <v>19257</v>
      </c>
    </row>
    <row r="590" spans="1:13" s="27" customFormat="1" ht="17.25" customHeight="1" x14ac:dyDescent="0.25">
      <c r="A590" s="28" t="s">
        <v>8</v>
      </c>
      <c r="B590" s="28">
        <v>98549137</v>
      </c>
      <c r="C590" s="38" t="s">
        <v>25114</v>
      </c>
      <c r="D590" s="38" t="s">
        <v>25588</v>
      </c>
      <c r="E590" s="38" t="s">
        <v>25255</v>
      </c>
      <c r="F590" s="38" t="s">
        <v>25193</v>
      </c>
      <c r="G590" s="28" t="s">
        <v>19229</v>
      </c>
      <c r="H590" s="28" t="s">
        <v>19238</v>
      </c>
      <c r="I590" s="30">
        <v>45191</v>
      </c>
      <c r="J590" s="30">
        <v>45205</v>
      </c>
      <c r="K590" s="51">
        <v>15</v>
      </c>
      <c r="L590" s="29"/>
      <c r="M590" s="27" t="s">
        <v>19257</v>
      </c>
    </row>
    <row r="591" spans="1:13" s="27" customFormat="1" ht="17.25" customHeight="1" x14ac:dyDescent="0.25">
      <c r="A591" s="28" t="s">
        <v>8</v>
      </c>
      <c r="B591" s="28">
        <v>71003607</v>
      </c>
      <c r="C591" s="38" t="s">
        <v>25287</v>
      </c>
      <c r="D591" s="38" t="s">
        <v>25233</v>
      </c>
      <c r="E591" s="38" t="s">
        <v>25938</v>
      </c>
      <c r="F591" s="38" t="s">
        <v>25103</v>
      </c>
      <c r="G591" s="28" t="s">
        <v>19229</v>
      </c>
      <c r="H591" s="28" t="s">
        <v>19238</v>
      </c>
      <c r="I591" s="30">
        <v>45191</v>
      </c>
      <c r="J591" s="30">
        <v>45205</v>
      </c>
      <c r="K591" s="51">
        <v>15</v>
      </c>
      <c r="L591" s="29"/>
      <c r="M591" s="27" t="s">
        <v>19257</v>
      </c>
    </row>
    <row r="592" spans="1:13" s="27" customFormat="1" ht="17.25" customHeight="1" x14ac:dyDescent="0.25">
      <c r="A592" s="28" t="s">
        <v>8</v>
      </c>
      <c r="B592" s="28">
        <v>1038361109</v>
      </c>
      <c r="C592" s="38" t="s">
        <v>25939</v>
      </c>
      <c r="D592" s="38" t="s">
        <v>25939</v>
      </c>
      <c r="E592" s="38" t="s">
        <v>25203</v>
      </c>
      <c r="F592" s="38" t="s">
        <v>25514</v>
      </c>
      <c r="G592" s="28" t="s">
        <v>19229</v>
      </c>
      <c r="H592" s="28" t="s">
        <v>19238</v>
      </c>
      <c r="I592" s="30">
        <v>45191</v>
      </c>
      <c r="J592" s="30">
        <v>45191</v>
      </c>
      <c r="K592" s="51">
        <v>1</v>
      </c>
      <c r="L592" s="29"/>
      <c r="M592" s="27" t="s">
        <v>19257</v>
      </c>
    </row>
    <row r="593" spans="1:13" s="27" customFormat="1" ht="17.25" customHeight="1" x14ac:dyDescent="0.25">
      <c r="A593" s="28" t="s">
        <v>8</v>
      </c>
      <c r="B593" s="28">
        <v>71055205</v>
      </c>
      <c r="C593" s="38" t="s">
        <v>25079</v>
      </c>
      <c r="D593" s="38" t="s">
        <v>25486</v>
      </c>
      <c r="E593" s="38" t="s">
        <v>25359</v>
      </c>
      <c r="F593" s="38" t="s">
        <v>25020</v>
      </c>
      <c r="G593" s="28" t="s">
        <v>19229</v>
      </c>
      <c r="H593" s="28" t="s">
        <v>19239</v>
      </c>
      <c r="I593" s="30">
        <v>45196</v>
      </c>
      <c r="J593" s="30">
        <v>45196</v>
      </c>
      <c r="K593" s="51">
        <v>1</v>
      </c>
      <c r="L593" s="29">
        <v>3</v>
      </c>
      <c r="M593" s="27" t="s">
        <v>25036</v>
      </c>
    </row>
    <row r="594" spans="1:13" s="27" customFormat="1" ht="17.25" customHeight="1" x14ac:dyDescent="0.25">
      <c r="A594" s="28" t="s">
        <v>8</v>
      </c>
      <c r="B594" s="28">
        <v>98700987</v>
      </c>
      <c r="C594" s="38" t="s">
        <v>25133</v>
      </c>
      <c r="D594" s="38" t="s">
        <v>25411</v>
      </c>
      <c r="E594" s="38" t="s">
        <v>25186</v>
      </c>
      <c r="F594" s="38" t="s">
        <v>25878</v>
      </c>
      <c r="G594" s="28" t="s">
        <v>19229</v>
      </c>
      <c r="H594" s="28" t="s">
        <v>19239</v>
      </c>
      <c r="I594" s="30">
        <v>45196</v>
      </c>
      <c r="J594" s="30">
        <v>45198</v>
      </c>
      <c r="K594" s="51">
        <v>3</v>
      </c>
      <c r="L594" s="29">
        <v>6</v>
      </c>
      <c r="M594" s="27" t="s">
        <v>25067</v>
      </c>
    </row>
    <row r="595" spans="1:13" s="27" customFormat="1" ht="17.25" customHeight="1" x14ac:dyDescent="0.25">
      <c r="A595" s="28" t="s">
        <v>8</v>
      </c>
      <c r="B595" s="28">
        <v>1128466202</v>
      </c>
      <c r="C595" s="38" t="s">
        <v>25748</v>
      </c>
      <c r="D595" s="38" t="s">
        <v>25733</v>
      </c>
      <c r="E595" s="38" t="s">
        <v>25091</v>
      </c>
      <c r="F595" s="38" t="s">
        <v>25092</v>
      </c>
      <c r="G595" s="28" t="s">
        <v>19285</v>
      </c>
      <c r="H595" s="28" t="s">
        <v>19238</v>
      </c>
      <c r="I595" s="30">
        <v>45196</v>
      </c>
      <c r="J595" s="30">
        <v>45203</v>
      </c>
      <c r="K595" s="51">
        <v>8</v>
      </c>
      <c r="L595" s="29"/>
      <c r="M595" s="27" t="s">
        <v>19257</v>
      </c>
    </row>
    <row r="596" spans="1:13" s="27" customFormat="1" ht="17.25" customHeight="1" x14ac:dyDescent="0.25">
      <c r="A596" s="28" t="s">
        <v>8</v>
      </c>
      <c r="B596" s="28">
        <v>14572160</v>
      </c>
      <c r="C596" s="38" t="s">
        <v>25073</v>
      </c>
      <c r="D596" s="38" t="s">
        <v>25756</v>
      </c>
      <c r="E596" s="38" t="s">
        <v>25522</v>
      </c>
      <c r="F596" s="38" t="s">
        <v>25135</v>
      </c>
      <c r="G596" s="28" t="s">
        <v>19229</v>
      </c>
      <c r="H596" s="28" t="s">
        <v>19238</v>
      </c>
      <c r="I596" s="30">
        <v>45197</v>
      </c>
      <c r="J596" s="30">
        <v>45197</v>
      </c>
      <c r="K596" s="51">
        <v>1</v>
      </c>
      <c r="L596" s="29"/>
      <c r="M596" s="27" t="s">
        <v>25431</v>
      </c>
    </row>
    <row r="597" spans="1:13" s="27" customFormat="1" ht="17.25" customHeight="1" x14ac:dyDescent="0.25">
      <c r="A597" s="28" t="s">
        <v>8</v>
      </c>
      <c r="B597" s="28">
        <v>71193583</v>
      </c>
      <c r="C597" s="28" t="s">
        <v>25372</v>
      </c>
      <c r="D597" s="28" t="s">
        <v>25373</v>
      </c>
      <c r="E597" s="28" t="s">
        <v>25183</v>
      </c>
      <c r="F597" s="28" t="s">
        <v>25283</v>
      </c>
      <c r="G597" s="28" t="s">
        <v>19229</v>
      </c>
      <c r="H597" s="28" t="s">
        <v>19238</v>
      </c>
      <c r="I597" s="30">
        <v>45197</v>
      </c>
      <c r="J597" s="30">
        <v>45204</v>
      </c>
      <c r="K597" s="51">
        <v>8</v>
      </c>
      <c r="L597" s="29"/>
      <c r="M597" s="27" t="s">
        <v>19257</v>
      </c>
    </row>
    <row r="598" spans="1:13" s="27" customFormat="1" ht="17.25" customHeight="1" x14ac:dyDescent="0.25">
      <c r="A598" s="28" t="s">
        <v>9</v>
      </c>
      <c r="B598" s="28">
        <v>1020401463</v>
      </c>
      <c r="C598" s="38" t="s">
        <v>25041</v>
      </c>
      <c r="D598" s="38" t="s">
        <v>25042</v>
      </c>
      <c r="E598" s="38" t="s">
        <v>25032</v>
      </c>
      <c r="F598" s="38" t="s">
        <v>25010</v>
      </c>
      <c r="G598" s="28" t="s">
        <v>19285</v>
      </c>
      <c r="H598" s="28" t="s">
        <v>19238</v>
      </c>
      <c r="I598" s="30">
        <v>45197</v>
      </c>
      <c r="J598" s="30">
        <v>45211</v>
      </c>
      <c r="K598" s="51">
        <v>15</v>
      </c>
      <c r="L598" s="29"/>
      <c r="M598" s="27" t="s">
        <v>19257</v>
      </c>
    </row>
    <row r="599" spans="1:13" s="27" customFormat="1" ht="17.25" customHeight="1" x14ac:dyDescent="0.25">
      <c r="A599" s="28" t="s">
        <v>8</v>
      </c>
      <c r="B599" s="28">
        <v>1047421491</v>
      </c>
      <c r="C599" s="38" t="s">
        <v>25272</v>
      </c>
      <c r="D599" s="38" t="s">
        <v>25257</v>
      </c>
      <c r="E599" s="38" t="s">
        <v>25376</v>
      </c>
      <c r="F599" s="38" t="s">
        <v>25103</v>
      </c>
      <c r="G599" s="28" t="s">
        <v>19229</v>
      </c>
      <c r="H599" s="28" t="s">
        <v>19240</v>
      </c>
      <c r="I599" s="30">
        <v>45198</v>
      </c>
      <c r="J599" s="30">
        <v>45202</v>
      </c>
      <c r="K599" s="51">
        <v>5</v>
      </c>
      <c r="L599" s="29"/>
      <c r="M599" s="27" t="s">
        <v>25927</v>
      </c>
    </row>
    <row r="600" spans="1:13" s="27" customFormat="1" ht="17.25" customHeight="1" x14ac:dyDescent="0.25">
      <c r="A600" s="28" t="s">
        <v>8</v>
      </c>
      <c r="B600" s="28">
        <v>6275085</v>
      </c>
      <c r="C600" s="38" t="s">
        <v>25403</v>
      </c>
      <c r="D600" s="38" t="s">
        <v>25450</v>
      </c>
      <c r="E600" s="38" t="s">
        <v>25208</v>
      </c>
      <c r="F600" s="38" t="s">
        <v>25135</v>
      </c>
      <c r="G600" s="28" t="s">
        <v>19229</v>
      </c>
      <c r="H600" s="28" t="s">
        <v>19238</v>
      </c>
      <c r="I600" s="30">
        <v>45199</v>
      </c>
      <c r="J600" s="30">
        <v>45213</v>
      </c>
      <c r="K600" s="51">
        <v>15</v>
      </c>
      <c r="L600" s="29"/>
      <c r="M600" s="27" t="s">
        <v>19257</v>
      </c>
    </row>
    <row r="601" spans="1:13" s="27" customFormat="1" ht="17.25" customHeight="1" x14ac:dyDescent="0.25">
      <c r="A601" s="28" t="s">
        <v>9</v>
      </c>
      <c r="B601" s="28">
        <v>32160234</v>
      </c>
      <c r="C601" s="38" t="s">
        <v>25751</v>
      </c>
      <c r="D601" s="38" t="s">
        <v>25390</v>
      </c>
      <c r="E601" s="38" t="s">
        <v>25478</v>
      </c>
      <c r="F601" s="38" t="s">
        <v>25967</v>
      </c>
      <c r="G601" s="28" t="s">
        <v>19285</v>
      </c>
      <c r="H601" s="28" t="s">
        <v>19240</v>
      </c>
      <c r="I601" s="30">
        <v>45200</v>
      </c>
      <c r="J601" s="30">
        <v>45201</v>
      </c>
      <c r="K601" s="51">
        <v>2</v>
      </c>
      <c r="L601" s="29"/>
      <c r="M601" s="27" t="s">
        <v>25431</v>
      </c>
    </row>
    <row r="602" spans="1:13" s="27" customFormat="1" ht="17.25" customHeight="1" x14ac:dyDescent="0.25">
      <c r="A602" s="28" t="s">
        <v>9</v>
      </c>
      <c r="B602" s="28">
        <v>1033340803</v>
      </c>
      <c r="C602" s="38" t="s">
        <v>25350</v>
      </c>
      <c r="D602" s="38" t="s">
        <v>25453</v>
      </c>
      <c r="E602" s="38" t="s">
        <v>25647</v>
      </c>
      <c r="F602" s="38"/>
      <c r="G602" s="28" t="s">
        <v>19229</v>
      </c>
      <c r="H602" s="28" t="s">
        <v>19239</v>
      </c>
      <c r="I602" s="30">
        <v>45201</v>
      </c>
      <c r="J602" s="30">
        <v>45205</v>
      </c>
      <c r="K602" s="51">
        <v>5</v>
      </c>
      <c r="L602" s="29">
        <v>21</v>
      </c>
      <c r="M602" s="27" t="s">
        <v>25036</v>
      </c>
    </row>
    <row r="603" spans="1:13" s="27" customFormat="1" ht="17.25" customHeight="1" x14ac:dyDescent="0.25">
      <c r="A603" s="28" t="s">
        <v>9</v>
      </c>
      <c r="B603" s="28">
        <v>1111747440</v>
      </c>
      <c r="C603" s="38" t="s">
        <v>25947</v>
      </c>
      <c r="D603" s="38"/>
      <c r="E603" s="38" t="s">
        <v>25724</v>
      </c>
      <c r="F603" s="38" t="s">
        <v>25010</v>
      </c>
      <c r="G603" s="28" t="s">
        <v>19229</v>
      </c>
      <c r="H603" s="28" t="s">
        <v>19239</v>
      </c>
      <c r="I603" s="30">
        <v>45201</v>
      </c>
      <c r="J603" s="30">
        <v>45201</v>
      </c>
      <c r="K603" s="51">
        <v>1</v>
      </c>
      <c r="L603" s="29">
        <v>4</v>
      </c>
      <c r="M603" s="27" t="s">
        <v>25036</v>
      </c>
    </row>
    <row r="604" spans="1:13" s="27" customFormat="1" ht="17.25" customHeight="1" x14ac:dyDescent="0.25">
      <c r="A604" s="28" t="s">
        <v>9</v>
      </c>
      <c r="B604" s="28">
        <v>71701438</v>
      </c>
      <c r="C604" s="38" t="s">
        <v>25373</v>
      </c>
      <c r="D604" s="38" t="s">
        <v>25244</v>
      </c>
      <c r="E604" s="38" t="s">
        <v>24981</v>
      </c>
      <c r="F604" s="38" t="s">
        <v>25103</v>
      </c>
      <c r="G604" s="28" t="s">
        <v>19285</v>
      </c>
      <c r="H604" s="28" t="s">
        <v>19238</v>
      </c>
      <c r="I604" s="30">
        <v>45201</v>
      </c>
      <c r="J604" s="30">
        <v>45215</v>
      </c>
      <c r="K604" s="51">
        <v>15</v>
      </c>
      <c r="L604" s="29"/>
      <c r="M604" s="27" t="s">
        <v>19257</v>
      </c>
    </row>
    <row r="605" spans="1:13" s="27" customFormat="1" ht="17.25" customHeight="1" x14ac:dyDescent="0.25">
      <c r="A605" s="28" t="s">
        <v>9</v>
      </c>
      <c r="B605" s="38">
        <v>71938019</v>
      </c>
      <c r="C605" s="38" t="s">
        <v>25200</v>
      </c>
      <c r="D605" s="38" t="s">
        <v>25108</v>
      </c>
      <c r="E605" s="38" t="s">
        <v>25007</v>
      </c>
      <c r="F605" s="28" t="s">
        <v>25103</v>
      </c>
      <c r="G605" s="28" t="s">
        <v>19229</v>
      </c>
      <c r="H605" s="28" t="s">
        <v>19238</v>
      </c>
      <c r="I605" s="30">
        <v>45202</v>
      </c>
      <c r="J605" s="30">
        <v>45209</v>
      </c>
      <c r="K605" s="51">
        <v>8</v>
      </c>
      <c r="L605" s="29"/>
      <c r="M605" s="27" t="s">
        <v>19257</v>
      </c>
    </row>
    <row r="606" spans="1:13" s="27" customFormat="1" ht="17.25" customHeight="1" x14ac:dyDescent="0.25">
      <c r="A606" s="28" t="s">
        <v>9</v>
      </c>
      <c r="B606" s="28">
        <v>71652357</v>
      </c>
      <c r="C606" s="38" t="s">
        <v>25117</v>
      </c>
      <c r="D606" s="38" t="s">
        <v>25118</v>
      </c>
      <c r="E606" s="38" t="s">
        <v>25119</v>
      </c>
      <c r="F606" s="38" t="s">
        <v>25004</v>
      </c>
      <c r="G606" s="28" t="s">
        <v>19285</v>
      </c>
      <c r="H606" s="28" t="s">
        <v>19238</v>
      </c>
      <c r="I606" s="30">
        <v>45202</v>
      </c>
      <c r="J606" s="30">
        <v>45216</v>
      </c>
      <c r="K606" s="51">
        <v>15</v>
      </c>
      <c r="L606" s="29"/>
      <c r="M606" s="27" t="s">
        <v>19257</v>
      </c>
    </row>
    <row r="607" spans="1:13" s="27" customFormat="1" ht="17.25" customHeight="1" x14ac:dyDescent="0.25">
      <c r="A607" s="28" t="s">
        <v>9</v>
      </c>
      <c r="B607" s="28">
        <v>1037583233</v>
      </c>
      <c r="C607" s="38" t="s">
        <v>24985</v>
      </c>
      <c r="D607" s="38" t="s">
        <v>25105</v>
      </c>
      <c r="E607" s="38" t="s">
        <v>25116</v>
      </c>
      <c r="F607" s="38" t="s">
        <v>25010</v>
      </c>
      <c r="G607" s="28" t="s">
        <v>19285</v>
      </c>
      <c r="H607" s="28" t="s">
        <v>19238</v>
      </c>
      <c r="I607" s="30">
        <v>45202</v>
      </c>
      <c r="J607" s="30">
        <v>45216</v>
      </c>
      <c r="K607" s="51">
        <v>15</v>
      </c>
      <c r="L607" s="29"/>
      <c r="M607" s="27" t="s">
        <v>19257</v>
      </c>
    </row>
    <row r="608" spans="1:13" s="27" customFormat="1" ht="17.25" customHeight="1" x14ac:dyDescent="0.25">
      <c r="A608" s="28" t="s">
        <v>9</v>
      </c>
      <c r="B608" s="28">
        <v>8126108</v>
      </c>
      <c r="C608" s="38" t="s">
        <v>25281</v>
      </c>
      <c r="D608" s="38" t="s">
        <v>24980</v>
      </c>
      <c r="E608" s="38" t="s">
        <v>25059</v>
      </c>
      <c r="F608" s="38" t="s">
        <v>25875</v>
      </c>
      <c r="G608" s="28" t="s">
        <v>19229</v>
      </c>
      <c r="H608" s="28" t="s">
        <v>19239</v>
      </c>
      <c r="I608" s="30">
        <v>45203</v>
      </c>
      <c r="J608" s="30">
        <v>45207</v>
      </c>
      <c r="K608" s="51">
        <v>5</v>
      </c>
      <c r="L608" s="29">
        <v>1</v>
      </c>
      <c r="M608" s="27" t="s">
        <v>25036</v>
      </c>
    </row>
    <row r="609" spans="1:13" s="27" customFormat="1" ht="17.25" customHeight="1" x14ac:dyDescent="0.25">
      <c r="A609" s="28" t="s">
        <v>9</v>
      </c>
      <c r="B609" s="28">
        <v>43480101</v>
      </c>
      <c r="C609" s="38" t="s">
        <v>25330</v>
      </c>
      <c r="D609" s="38" t="s">
        <v>25109</v>
      </c>
      <c r="E609" s="38" t="s">
        <v>25946</v>
      </c>
      <c r="F609" s="38" t="s">
        <v>25258</v>
      </c>
      <c r="G609" s="28" t="s">
        <v>19229</v>
      </c>
      <c r="H609" s="28" t="s">
        <v>19239</v>
      </c>
      <c r="I609" s="30">
        <v>45203</v>
      </c>
      <c r="J609" s="30">
        <v>45203</v>
      </c>
      <c r="K609" s="51">
        <v>1</v>
      </c>
      <c r="L609" s="29">
        <v>4</v>
      </c>
      <c r="M609" s="27" t="s">
        <v>25036</v>
      </c>
    </row>
    <row r="610" spans="1:13" s="27" customFormat="1" ht="17.25" customHeight="1" x14ac:dyDescent="0.25">
      <c r="A610" s="28" t="s">
        <v>9</v>
      </c>
      <c r="B610" s="28">
        <v>1102123532</v>
      </c>
      <c r="C610" s="38" t="s">
        <v>24998</v>
      </c>
      <c r="D610" s="38" t="s">
        <v>25961</v>
      </c>
      <c r="E610" s="38" t="s">
        <v>25282</v>
      </c>
      <c r="F610" s="38" t="s">
        <v>25962</v>
      </c>
      <c r="G610" s="28" t="s">
        <v>19285</v>
      </c>
      <c r="H610" s="28" t="s">
        <v>19238</v>
      </c>
      <c r="I610" s="30">
        <v>45203</v>
      </c>
      <c r="J610" s="30">
        <v>45034</v>
      </c>
      <c r="K610" s="51">
        <v>15</v>
      </c>
      <c r="L610" s="29"/>
      <c r="M610" s="27" t="s">
        <v>19257</v>
      </c>
    </row>
    <row r="611" spans="1:13" s="27" customFormat="1" ht="17.25" customHeight="1" x14ac:dyDescent="0.25">
      <c r="A611" s="28" t="s">
        <v>9</v>
      </c>
      <c r="B611" s="28">
        <v>8364054</v>
      </c>
      <c r="C611" s="38" t="s">
        <v>25372</v>
      </c>
      <c r="D611" s="38" t="s">
        <v>25688</v>
      </c>
      <c r="E611" s="38" t="s">
        <v>25627</v>
      </c>
      <c r="F611" s="38" t="s">
        <v>25099</v>
      </c>
      <c r="G611" s="28" t="s">
        <v>19285</v>
      </c>
      <c r="H611" s="28" t="s">
        <v>19240</v>
      </c>
      <c r="I611" s="30">
        <v>45203</v>
      </c>
      <c r="J611" s="30">
        <v>45203</v>
      </c>
      <c r="K611" s="51">
        <v>1</v>
      </c>
      <c r="L611" s="29"/>
      <c r="M611" s="27" t="s">
        <v>25431</v>
      </c>
    </row>
    <row r="612" spans="1:13" s="27" customFormat="1" ht="17.25" customHeight="1" x14ac:dyDescent="0.25">
      <c r="A612" s="28" t="s">
        <v>8</v>
      </c>
      <c r="B612" s="28">
        <v>1128466202</v>
      </c>
      <c r="C612" s="38" t="s">
        <v>25748</v>
      </c>
      <c r="D612" s="38" t="s">
        <v>25733</v>
      </c>
      <c r="E612" s="38" t="s">
        <v>25091</v>
      </c>
      <c r="F612" s="38" t="s">
        <v>25092</v>
      </c>
      <c r="G612" s="28" t="s">
        <v>19229</v>
      </c>
      <c r="H612" s="28" t="s">
        <v>19238</v>
      </c>
      <c r="I612" s="30">
        <v>45204</v>
      </c>
      <c r="J612" s="30">
        <v>45211</v>
      </c>
      <c r="K612" s="51">
        <v>8</v>
      </c>
      <c r="L612" s="29"/>
      <c r="M612" s="27" t="s">
        <v>19257</v>
      </c>
    </row>
    <row r="613" spans="1:13" s="27" customFormat="1" ht="17.25" customHeight="1" x14ac:dyDescent="0.25">
      <c r="A613" s="28" t="s">
        <v>9</v>
      </c>
      <c r="B613" s="28">
        <v>71657563</v>
      </c>
      <c r="C613" s="38" t="s">
        <v>25944</v>
      </c>
      <c r="D613" s="38" t="s">
        <v>25065</v>
      </c>
      <c r="E613" s="38" t="s">
        <v>25945</v>
      </c>
      <c r="F613" s="38" t="s">
        <v>25103</v>
      </c>
      <c r="G613" s="28" t="s">
        <v>19229</v>
      </c>
      <c r="H613" s="28" t="s">
        <v>19239</v>
      </c>
      <c r="I613" s="30">
        <v>45204</v>
      </c>
      <c r="J613" s="30">
        <v>45204</v>
      </c>
      <c r="K613" s="51">
        <v>1</v>
      </c>
      <c r="L613" s="29">
        <v>4</v>
      </c>
      <c r="M613" s="27" t="s">
        <v>25036</v>
      </c>
    </row>
    <row r="614" spans="1:13" s="27" customFormat="1" ht="17.25" customHeight="1" x14ac:dyDescent="0.25">
      <c r="A614" s="28" t="s">
        <v>9</v>
      </c>
      <c r="B614" s="28">
        <v>70541910</v>
      </c>
      <c r="C614" s="38" t="s">
        <v>25002</v>
      </c>
      <c r="D614" s="38"/>
      <c r="E614" s="38" t="s">
        <v>25853</v>
      </c>
      <c r="F614" s="38" t="s">
        <v>25402</v>
      </c>
      <c r="G614" s="28" t="s">
        <v>19229</v>
      </c>
      <c r="H614" s="28" t="s">
        <v>19239</v>
      </c>
      <c r="I614" s="30">
        <v>45206</v>
      </c>
      <c r="J614" s="30">
        <v>45206</v>
      </c>
      <c r="K614" s="51">
        <v>1</v>
      </c>
      <c r="L614" s="29">
        <v>6</v>
      </c>
      <c r="M614" s="27" t="s">
        <v>25036</v>
      </c>
    </row>
    <row r="615" spans="1:13" s="27" customFormat="1" ht="17.25" customHeight="1" x14ac:dyDescent="0.25">
      <c r="A615" s="28" t="s">
        <v>9</v>
      </c>
      <c r="B615" s="28">
        <v>8408459</v>
      </c>
      <c r="C615" s="38" t="s">
        <v>25284</v>
      </c>
      <c r="D615" s="38" t="s">
        <v>25164</v>
      </c>
      <c r="E615" s="38" t="s">
        <v>25820</v>
      </c>
      <c r="F615" s="38" t="s">
        <v>24982</v>
      </c>
      <c r="G615" s="28" t="s">
        <v>19285</v>
      </c>
      <c r="H615" s="28" t="s">
        <v>19239</v>
      </c>
      <c r="I615" s="30">
        <v>45206</v>
      </c>
      <c r="J615" s="30">
        <v>45208</v>
      </c>
      <c r="K615" s="51">
        <v>3</v>
      </c>
      <c r="L615" s="29">
        <v>6</v>
      </c>
      <c r="M615" s="27" t="s">
        <v>25067</v>
      </c>
    </row>
    <row r="616" spans="1:13" s="27" customFormat="1" ht="17.25" customHeight="1" x14ac:dyDescent="0.25">
      <c r="A616" s="28" t="s">
        <v>9</v>
      </c>
      <c r="B616" s="28">
        <v>8056876</v>
      </c>
      <c r="C616" s="38" t="s">
        <v>25314</v>
      </c>
      <c r="D616" s="38" t="s">
        <v>25254</v>
      </c>
      <c r="E616" s="38" t="s">
        <v>24986</v>
      </c>
      <c r="F616" s="38" t="s">
        <v>25040</v>
      </c>
      <c r="G616" s="28" t="s">
        <v>19285</v>
      </c>
      <c r="H616" s="28" t="s">
        <v>19238</v>
      </c>
      <c r="I616" s="30">
        <v>45206</v>
      </c>
      <c r="J616" s="30">
        <v>45226</v>
      </c>
      <c r="K616" s="51">
        <v>15</v>
      </c>
      <c r="L616" s="29"/>
      <c r="M616" s="27" t="s">
        <v>19257</v>
      </c>
    </row>
    <row r="617" spans="1:13" s="27" customFormat="1" ht="17.25" customHeight="1" x14ac:dyDescent="0.25">
      <c r="A617" s="28" t="s">
        <v>9</v>
      </c>
      <c r="B617" s="28">
        <v>15444896</v>
      </c>
      <c r="C617" s="38" t="s">
        <v>25310</v>
      </c>
      <c r="D617" s="38" t="s">
        <v>25094</v>
      </c>
      <c r="E617" s="38" t="s">
        <v>25241</v>
      </c>
      <c r="F617" s="38" t="s">
        <v>25691</v>
      </c>
      <c r="G617" s="28" t="s">
        <v>19285</v>
      </c>
      <c r="H617" s="28" t="s">
        <v>19240</v>
      </c>
      <c r="I617" s="30">
        <v>45206</v>
      </c>
      <c r="J617" s="30">
        <v>45206</v>
      </c>
      <c r="K617" s="51">
        <v>1</v>
      </c>
      <c r="L617" s="29"/>
      <c r="M617" s="27" t="s">
        <v>25431</v>
      </c>
    </row>
    <row r="618" spans="1:13" s="27" customFormat="1" ht="17.25" customHeight="1" x14ac:dyDescent="0.25">
      <c r="A618" s="28" t="s">
        <v>9</v>
      </c>
      <c r="B618" s="28">
        <v>9922983</v>
      </c>
      <c r="C618" s="38" t="s">
        <v>25128</v>
      </c>
      <c r="D618" s="38" t="s">
        <v>25160</v>
      </c>
      <c r="E618" s="38" t="s">
        <v>25695</v>
      </c>
      <c r="F618" s="38" t="s">
        <v>25416</v>
      </c>
      <c r="G618" s="28" t="s">
        <v>19285</v>
      </c>
      <c r="H618" s="28" t="s">
        <v>19240</v>
      </c>
      <c r="I618" s="30">
        <v>45206</v>
      </c>
      <c r="J618" s="30">
        <v>45206</v>
      </c>
      <c r="K618" s="51">
        <v>1</v>
      </c>
      <c r="L618" s="29"/>
      <c r="M618" s="27" t="s">
        <v>25431</v>
      </c>
    </row>
    <row r="619" spans="1:13" s="27" customFormat="1" ht="17.25" customHeight="1" x14ac:dyDescent="0.25">
      <c r="A619" s="28" t="s">
        <v>9</v>
      </c>
      <c r="B619" s="28">
        <v>1000639144</v>
      </c>
      <c r="C619" s="38" t="s">
        <v>25981</v>
      </c>
      <c r="D619" s="38" t="s">
        <v>25498</v>
      </c>
      <c r="E619" s="38" t="s">
        <v>25982</v>
      </c>
      <c r="F619" s="38" t="s">
        <v>25010</v>
      </c>
      <c r="G619" s="28" t="s">
        <v>19285</v>
      </c>
      <c r="H619" s="28" t="s">
        <v>19240</v>
      </c>
      <c r="I619" s="30">
        <v>45206</v>
      </c>
      <c r="J619" s="30">
        <v>45210</v>
      </c>
      <c r="K619" s="51">
        <v>5</v>
      </c>
      <c r="L619" s="29"/>
      <c r="M619" s="27" t="s">
        <v>26223</v>
      </c>
    </row>
    <row r="620" spans="1:13" s="27" customFormat="1" ht="17.25" customHeight="1" x14ac:dyDescent="0.25">
      <c r="A620" s="28" t="s">
        <v>9</v>
      </c>
      <c r="B620" s="28">
        <v>15525107</v>
      </c>
      <c r="C620" s="38" t="s">
        <v>25721</v>
      </c>
      <c r="D620" s="38" t="s">
        <v>25160</v>
      </c>
      <c r="E620" s="38" t="s">
        <v>25422</v>
      </c>
      <c r="F620" s="38" t="s">
        <v>25963</v>
      </c>
      <c r="G620" s="28" t="s">
        <v>19285</v>
      </c>
      <c r="H620" s="28" t="s">
        <v>19238</v>
      </c>
      <c r="I620" s="30">
        <v>45207</v>
      </c>
      <c r="J620" s="30">
        <v>45221</v>
      </c>
      <c r="K620" s="51">
        <v>15</v>
      </c>
      <c r="L620" s="29"/>
      <c r="M620" s="27" t="s">
        <v>19257</v>
      </c>
    </row>
    <row r="621" spans="1:13" s="27" customFormat="1" ht="17.25" customHeight="1" x14ac:dyDescent="0.25">
      <c r="A621" s="28" t="s">
        <v>9</v>
      </c>
      <c r="B621" s="28">
        <v>1000908653</v>
      </c>
      <c r="C621" s="38" t="s">
        <v>25269</v>
      </c>
      <c r="D621" s="38" t="s">
        <v>25802</v>
      </c>
      <c r="E621" s="38" t="s">
        <v>25803</v>
      </c>
      <c r="F621" s="38"/>
      <c r="G621" s="28" t="s">
        <v>19229</v>
      </c>
      <c r="H621" s="28" t="s">
        <v>19239</v>
      </c>
      <c r="I621" s="30">
        <v>45208</v>
      </c>
      <c r="J621" s="30">
        <v>45208</v>
      </c>
      <c r="K621" s="51">
        <v>1</v>
      </c>
      <c r="L621" s="29">
        <v>4</v>
      </c>
      <c r="M621" s="27" t="s">
        <v>25036</v>
      </c>
    </row>
    <row r="622" spans="1:13" s="27" customFormat="1" ht="17.25" customHeight="1" x14ac:dyDescent="0.25">
      <c r="A622" s="28" t="s">
        <v>9</v>
      </c>
      <c r="B622" s="28">
        <v>1042418175</v>
      </c>
      <c r="C622" s="38" t="s">
        <v>25415</v>
      </c>
      <c r="D622" s="38" t="s">
        <v>25964</v>
      </c>
      <c r="E622" s="38" t="s">
        <v>25965</v>
      </c>
      <c r="F622" s="38" t="s">
        <v>25966</v>
      </c>
      <c r="G622" s="28" t="s">
        <v>19285</v>
      </c>
      <c r="H622" s="28" t="s">
        <v>19240</v>
      </c>
      <c r="I622" s="30">
        <v>45208</v>
      </c>
      <c r="J622" s="30">
        <v>45212</v>
      </c>
      <c r="K622" s="51">
        <v>5</v>
      </c>
      <c r="L622" s="29"/>
      <c r="M622" s="27" t="s">
        <v>25431</v>
      </c>
    </row>
    <row r="623" spans="1:13" s="27" customFormat="1" ht="17.25" customHeight="1" x14ac:dyDescent="0.25">
      <c r="A623" s="28" t="s">
        <v>9</v>
      </c>
      <c r="B623" s="28">
        <v>1214737996</v>
      </c>
      <c r="C623" s="38" t="s">
        <v>25547</v>
      </c>
      <c r="D623" s="38" t="s">
        <v>25969</v>
      </c>
      <c r="E623" s="38" t="s">
        <v>25970</v>
      </c>
      <c r="F623" s="38" t="s">
        <v>25755</v>
      </c>
      <c r="G623" s="28" t="s">
        <v>19285</v>
      </c>
      <c r="H623" s="28" t="s">
        <v>19238</v>
      </c>
      <c r="I623" s="30">
        <v>45208</v>
      </c>
      <c r="J623" s="30">
        <v>45192</v>
      </c>
      <c r="K623" s="51">
        <v>15</v>
      </c>
      <c r="L623" s="29"/>
      <c r="M623" s="27" t="s">
        <v>19257</v>
      </c>
    </row>
    <row r="624" spans="1:13" s="27" customFormat="1" ht="17.25" customHeight="1" x14ac:dyDescent="0.25">
      <c r="A624" s="28" t="s">
        <v>9</v>
      </c>
      <c r="B624" s="28">
        <v>1214737996</v>
      </c>
      <c r="C624" s="38" t="s">
        <v>25547</v>
      </c>
      <c r="D624" s="38" t="s">
        <v>25969</v>
      </c>
      <c r="E624" s="38" t="s">
        <v>25970</v>
      </c>
      <c r="F624" s="38" t="s">
        <v>25755</v>
      </c>
      <c r="G624" s="28" t="s">
        <v>19285</v>
      </c>
      <c r="H624" s="28" t="s">
        <v>19238</v>
      </c>
      <c r="I624" s="30">
        <v>45208</v>
      </c>
      <c r="J624" s="30">
        <v>45222</v>
      </c>
      <c r="K624" s="51">
        <v>15</v>
      </c>
      <c r="L624" s="29"/>
      <c r="M624" s="27" t="s">
        <v>19257</v>
      </c>
    </row>
    <row r="625" spans="1:13" s="27" customFormat="1" ht="17.25" customHeight="1" x14ac:dyDescent="0.25">
      <c r="A625" s="28" t="s">
        <v>9</v>
      </c>
      <c r="B625" s="28">
        <v>1001250236</v>
      </c>
      <c r="C625" s="38" t="s">
        <v>25229</v>
      </c>
      <c r="D625" s="38" t="s">
        <v>25796</v>
      </c>
      <c r="E625" s="38" t="s">
        <v>25196</v>
      </c>
      <c r="F625" s="38" t="s">
        <v>25711</v>
      </c>
      <c r="G625" s="28" t="s">
        <v>19285</v>
      </c>
      <c r="H625" s="28" t="s">
        <v>19239</v>
      </c>
      <c r="I625" s="30">
        <v>45208</v>
      </c>
      <c r="J625" s="30">
        <v>45212</v>
      </c>
      <c r="K625" s="51">
        <v>5</v>
      </c>
      <c r="L625" s="29">
        <v>22</v>
      </c>
      <c r="M625" s="27" t="s">
        <v>25036</v>
      </c>
    </row>
    <row r="626" spans="1:13" s="27" customFormat="1" ht="17.25" customHeight="1" x14ac:dyDescent="0.25">
      <c r="A626" s="28" t="s">
        <v>9</v>
      </c>
      <c r="B626" s="28">
        <v>71753184</v>
      </c>
      <c r="C626" s="38" t="s">
        <v>25030</v>
      </c>
      <c r="D626" s="38" t="s">
        <v>25498</v>
      </c>
      <c r="E626" s="38" t="s">
        <v>25183</v>
      </c>
      <c r="F626" s="38" t="s">
        <v>25157</v>
      </c>
      <c r="G626" s="28" t="s">
        <v>19285</v>
      </c>
      <c r="H626" s="28" t="s">
        <v>19238</v>
      </c>
      <c r="I626" s="30">
        <v>45209</v>
      </c>
      <c r="J626" s="30">
        <v>45216</v>
      </c>
      <c r="K626" s="51">
        <v>8</v>
      </c>
      <c r="L626" s="29"/>
      <c r="M626" s="27" t="s">
        <v>19257</v>
      </c>
    </row>
    <row r="627" spans="1:13" s="27" customFormat="1" ht="17.25" customHeight="1" x14ac:dyDescent="0.25">
      <c r="A627" s="28" t="s">
        <v>9</v>
      </c>
      <c r="B627" s="28">
        <v>98465704</v>
      </c>
      <c r="C627" s="38" t="s">
        <v>25175</v>
      </c>
      <c r="D627" s="38" t="s">
        <v>25972</v>
      </c>
      <c r="E627" s="38" t="s">
        <v>25183</v>
      </c>
      <c r="F627" s="38" t="s">
        <v>25028</v>
      </c>
      <c r="G627" s="28" t="s">
        <v>19285</v>
      </c>
      <c r="H627" s="28" t="s">
        <v>19238</v>
      </c>
      <c r="I627" s="30">
        <v>45209</v>
      </c>
      <c r="J627" s="30">
        <v>45224</v>
      </c>
      <c r="K627" s="51">
        <v>15</v>
      </c>
      <c r="L627" s="29"/>
      <c r="M627" s="27" t="s">
        <v>19257</v>
      </c>
    </row>
    <row r="628" spans="1:13" s="27" customFormat="1" ht="17.25" customHeight="1" x14ac:dyDescent="0.25">
      <c r="A628" s="28" t="s">
        <v>9</v>
      </c>
      <c r="B628" s="28">
        <v>98465704</v>
      </c>
      <c r="C628" s="38" t="s">
        <v>25175</v>
      </c>
      <c r="D628" s="38" t="s">
        <v>25972</v>
      </c>
      <c r="E628" s="38" t="s">
        <v>25183</v>
      </c>
      <c r="F628" s="38" t="s">
        <v>25028</v>
      </c>
      <c r="G628" s="28" t="s">
        <v>19285</v>
      </c>
      <c r="H628" s="28" t="s">
        <v>19238</v>
      </c>
      <c r="I628" s="30">
        <v>45209</v>
      </c>
      <c r="J628" s="30">
        <v>45223</v>
      </c>
      <c r="K628" s="51">
        <v>15</v>
      </c>
      <c r="L628" s="29"/>
      <c r="M628" s="27" t="s">
        <v>19257</v>
      </c>
    </row>
    <row r="629" spans="1:13" s="27" customFormat="1" ht="17.25" customHeight="1" x14ac:dyDescent="0.25">
      <c r="A629" s="28" t="s">
        <v>9</v>
      </c>
      <c r="B629" s="28">
        <v>43103123</v>
      </c>
      <c r="C629" s="38" t="s">
        <v>25163</v>
      </c>
      <c r="D629" s="38" t="s">
        <v>25164</v>
      </c>
      <c r="E629" s="38" t="s">
        <v>25165</v>
      </c>
      <c r="F629" s="38" t="s">
        <v>25166</v>
      </c>
      <c r="G629" s="28" t="s">
        <v>19285</v>
      </c>
      <c r="H629" s="28" t="s">
        <v>19238</v>
      </c>
      <c r="I629" s="30">
        <v>45209</v>
      </c>
      <c r="J629" s="30">
        <v>45223</v>
      </c>
      <c r="K629" s="51">
        <v>15</v>
      </c>
      <c r="L629" s="29"/>
      <c r="M629" s="27" t="s">
        <v>19257</v>
      </c>
    </row>
    <row r="630" spans="1:13" s="27" customFormat="1" ht="17.25" customHeight="1" x14ac:dyDescent="0.25">
      <c r="A630" s="28" t="s">
        <v>9</v>
      </c>
      <c r="B630" s="38">
        <v>71938019</v>
      </c>
      <c r="C630" s="38" t="s">
        <v>25200</v>
      </c>
      <c r="D630" s="38" t="s">
        <v>25108</v>
      </c>
      <c r="E630" s="38" t="s">
        <v>25007</v>
      </c>
      <c r="F630" s="28" t="s">
        <v>25103</v>
      </c>
      <c r="G630" s="28" t="s">
        <v>19285</v>
      </c>
      <c r="H630" s="28" t="s">
        <v>19238</v>
      </c>
      <c r="I630" s="30">
        <v>45210</v>
      </c>
      <c r="J630" s="30">
        <v>45248</v>
      </c>
      <c r="K630" s="51">
        <v>8</v>
      </c>
      <c r="L630" s="29"/>
      <c r="M630" s="27" t="s">
        <v>19257</v>
      </c>
    </row>
    <row r="631" spans="1:13" s="27" customFormat="1" ht="17.25" customHeight="1" x14ac:dyDescent="0.25">
      <c r="A631" s="28" t="s">
        <v>9</v>
      </c>
      <c r="B631" s="28">
        <v>71319430</v>
      </c>
      <c r="C631" s="38" t="s">
        <v>25006</v>
      </c>
      <c r="D631" s="38"/>
      <c r="E631" s="38" t="s">
        <v>25007</v>
      </c>
      <c r="F631" s="38"/>
      <c r="G631" s="28" t="s">
        <v>19285</v>
      </c>
      <c r="H631" s="28" t="s">
        <v>19238</v>
      </c>
      <c r="I631" s="30">
        <v>45210</v>
      </c>
      <c r="J631" s="30">
        <v>45224</v>
      </c>
      <c r="K631" s="51">
        <v>15</v>
      </c>
      <c r="L631" s="29"/>
      <c r="M631" s="27" t="s">
        <v>19257</v>
      </c>
    </row>
    <row r="632" spans="1:13" s="27" customFormat="1" ht="17.25" customHeight="1" x14ac:dyDescent="0.25">
      <c r="A632" s="28" t="s">
        <v>9</v>
      </c>
      <c r="B632" s="28">
        <v>71375285</v>
      </c>
      <c r="C632" s="38" t="s">
        <v>25319</v>
      </c>
      <c r="D632" s="38" t="s">
        <v>25248</v>
      </c>
      <c r="E632" s="38" t="s">
        <v>25474</v>
      </c>
      <c r="F632" s="38"/>
      <c r="G632" s="28" t="s">
        <v>19285</v>
      </c>
      <c r="H632" s="28" t="s">
        <v>19238</v>
      </c>
      <c r="I632" s="30">
        <v>45210</v>
      </c>
      <c r="J632" s="30">
        <v>45224</v>
      </c>
      <c r="K632" s="51">
        <v>15</v>
      </c>
      <c r="L632" s="29"/>
      <c r="M632" s="27" t="s">
        <v>19257</v>
      </c>
    </row>
    <row r="633" spans="1:13" s="27" customFormat="1" ht="17.25" customHeight="1" x14ac:dyDescent="0.25">
      <c r="A633" s="28" t="s">
        <v>9</v>
      </c>
      <c r="B633" s="28">
        <v>71375285</v>
      </c>
      <c r="C633" s="38" t="s">
        <v>25319</v>
      </c>
      <c r="D633" s="38" t="s">
        <v>25248</v>
      </c>
      <c r="E633" s="38" t="s">
        <v>25474</v>
      </c>
      <c r="F633" s="38"/>
      <c r="G633" s="28" t="s">
        <v>19285</v>
      </c>
      <c r="H633" s="28" t="s">
        <v>19238</v>
      </c>
      <c r="I633" s="30">
        <v>45210</v>
      </c>
      <c r="J633" s="30">
        <v>45224</v>
      </c>
      <c r="K633" s="51">
        <v>15</v>
      </c>
      <c r="L633" s="29"/>
      <c r="M633" s="27" t="s">
        <v>19257</v>
      </c>
    </row>
    <row r="634" spans="1:13" s="27" customFormat="1" ht="17.25" customHeight="1" x14ac:dyDescent="0.25">
      <c r="A634" s="28" t="s">
        <v>9</v>
      </c>
      <c r="B634" s="28">
        <v>15509928</v>
      </c>
      <c r="C634" s="38" t="s">
        <v>25175</v>
      </c>
      <c r="D634" s="38" t="s">
        <v>25012</v>
      </c>
      <c r="E634" s="38" t="s">
        <v>25442</v>
      </c>
      <c r="F634" s="38" t="s">
        <v>25416</v>
      </c>
      <c r="G634" s="28" t="s">
        <v>19285</v>
      </c>
      <c r="H634" s="28" t="s">
        <v>19239</v>
      </c>
      <c r="I634" s="30">
        <v>45210</v>
      </c>
      <c r="J634" s="30">
        <v>45214</v>
      </c>
      <c r="K634" s="51">
        <v>5</v>
      </c>
      <c r="L634" s="29">
        <v>22</v>
      </c>
      <c r="M634" s="27" t="s">
        <v>25036</v>
      </c>
    </row>
    <row r="635" spans="1:13" s="27" customFormat="1" ht="17.25" customHeight="1" x14ac:dyDescent="0.25">
      <c r="A635" s="28" t="s">
        <v>9</v>
      </c>
      <c r="B635" s="28">
        <v>1026134999</v>
      </c>
      <c r="C635" s="38" t="s">
        <v>25287</v>
      </c>
      <c r="D635" s="38" t="s">
        <v>25979</v>
      </c>
      <c r="E635" s="38" t="s">
        <v>25676</v>
      </c>
      <c r="F635" s="38" t="s">
        <v>25110</v>
      </c>
      <c r="G635" s="28" t="s">
        <v>19285</v>
      </c>
      <c r="H635" s="28" t="s">
        <v>19240</v>
      </c>
      <c r="I635" s="30">
        <v>45210</v>
      </c>
      <c r="J635" s="30">
        <v>45212</v>
      </c>
      <c r="K635" s="51">
        <v>3</v>
      </c>
      <c r="L635" s="29"/>
      <c r="M635" s="27" t="s">
        <v>25980</v>
      </c>
    </row>
    <row r="636" spans="1:13" s="27" customFormat="1" ht="17.25" customHeight="1" x14ac:dyDescent="0.25">
      <c r="A636" s="28" t="s">
        <v>9</v>
      </c>
      <c r="B636" s="28">
        <v>98514610</v>
      </c>
      <c r="C636" s="38" t="s">
        <v>24987</v>
      </c>
      <c r="D636" s="38" t="s">
        <v>24984</v>
      </c>
      <c r="E636" s="38" t="s">
        <v>19278</v>
      </c>
      <c r="F636" s="38" t="s">
        <v>24986</v>
      </c>
      <c r="G636" s="28" t="s">
        <v>19285</v>
      </c>
      <c r="H636" s="28" t="s">
        <v>19238</v>
      </c>
      <c r="I636" s="30">
        <v>45211</v>
      </c>
      <c r="J636" s="30">
        <v>45218</v>
      </c>
      <c r="K636" s="51">
        <v>8</v>
      </c>
      <c r="L636" s="29"/>
      <c r="M636" s="27" t="s">
        <v>19257</v>
      </c>
    </row>
    <row r="637" spans="1:13" s="27" customFormat="1" ht="17.25" customHeight="1" x14ac:dyDescent="0.25">
      <c r="A637" s="28" t="s">
        <v>9</v>
      </c>
      <c r="B637" s="28">
        <v>1152711359</v>
      </c>
      <c r="C637" s="38" t="s">
        <v>25147</v>
      </c>
      <c r="D637" s="38" t="s">
        <v>25053</v>
      </c>
      <c r="E637" s="38" t="s">
        <v>25148</v>
      </c>
      <c r="F637" s="38"/>
      <c r="G637" s="28" t="s">
        <v>19285</v>
      </c>
      <c r="H637" s="28" t="s">
        <v>19238</v>
      </c>
      <c r="I637" s="30">
        <v>45211</v>
      </c>
      <c r="J637" s="30">
        <v>45225</v>
      </c>
      <c r="K637" s="51">
        <v>15</v>
      </c>
      <c r="L637" s="29"/>
      <c r="M637" s="27" t="s">
        <v>19257</v>
      </c>
    </row>
    <row r="638" spans="1:13" s="27" customFormat="1" ht="17.25" customHeight="1" x14ac:dyDescent="0.25">
      <c r="A638" s="28" t="s">
        <v>9</v>
      </c>
      <c r="B638" s="28">
        <v>1152711359</v>
      </c>
      <c r="C638" s="38" t="s">
        <v>25147</v>
      </c>
      <c r="D638" s="38" t="s">
        <v>25053</v>
      </c>
      <c r="E638" s="38" t="s">
        <v>25148</v>
      </c>
      <c r="F638" s="38"/>
      <c r="G638" s="28" t="s">
        <v>19285</v>
      </c>
      <c r="H638" s="28" t="s">
        <v>19238</v>
      </c>
      <c r="I638" s="30">
        <v>45211</v>
      </c>
      <c r="J638" s="30">
        <v>45225</v>
      </c>
      <c r="K638" s="51">
        <v>15</v>
      </c>
      <c r="L638" s="29"/>
      <c r="M638" s="27" t="s">
        <v>19257</v>
      </c>
    </row>
    <row r="639" spans="1:13" s="27" customFormat="1" ht="17.25" customHeight="1" x14ac:dyDescent="0.25">
      <c r="A639" s="28" t="s">
        <v>9</v>
      </c>
      <c r="B639" s="28">
        <v>71250978</v>
      </c>
      <c r="C639" s="38" t="s">
        <v>25968</v>
      </c>
      <c r="D639" s="38"/>
      <c r="E639" s="38" t="s">
        <v>25183</v>
      </c>
      <c r="F639" s="38" t="s">
        <v>25663</v>
      </c>
      <c r="G639" s="28" t="s">
        <v>19285</v>
      </c>
      <c r="H639" s="28" t="s">
        <v>19238</v>
      </c>
      <c r="I639" s="30">
        <v>45212</v>
      </c>
      <c r="J639" s="30">
        <v>45219</v>
      </c>
      <c r="K639" s="51">
        <v>8</v>
      </c>
      <c r="L639" s="29"/>
      <c r="M639" s="27" t="s">
        <v>19257</v>
      </c>
    </row>
    <row r="640" spans="1:13" s="27" customFormat="1" ht="17.25" customHeight="1" x14ac:dyDescent="0.25">
      <c r="A640" s="28" t="s">
        <v>9</v>
      </c>
      <c r="B640" s="28">
        <v>1039760977</v>
      </c>
      <c r="C640" s="38" t="s">
        <v>25973</v>
      </c>
      <c r="D640" s="38" t="s">
        <v>25094</v>
      </c>
      <c r="E640" s="38" t="s">
        <v>25974</v>
      </c>
      <c r="F640" s="38" t="s">
        <v>25051</v>
      </c>
      <c r="G640" s="28" t="s">
        <v>19285</v>
      </c>
      <c r="H640" s="28" t="s">
        <v>19238</v>
      </c>
      <c r="I640" s="30">
        <v>45212</v>
      </c>
      <c r="J640" s="30">
        <v>45226</v>
      </c>
      <c r="K640" s="51">
        <v>15</v>
      </c>
      <c r="L640" s="29"/>
      <c r="M640" s="27" t="s">
        <v>19257</v>
      </c>
    </row>
    <row r="641" spans="1:13" s="27" customFormat="1" ht="17.25" customHeight="1" x14ac:dyDescent="0.25">
      <c r="A641" s="28" t="s">
        <v>9</v>
      </c>
      <c r="B641" s="28">
        <v>70785727</v>
      </c>
      <c r="C641" s="38" t="s">
        <v>25983</v>
      </c>
      <c r="D641" s="38" t="s">
        <v>25426</v>
      </c>
      <c r="E641" s="38" t="s">
        <v>25020</v>
      </c>
      <c r="F641" s="38"/>
      <c r="G641" s="28" t="s">
        <v>19285</v>
      </c>
      <c r="H641" s="28" t="s">
        <v>19238</v>
      </c>
      <c r="I641" s="30">
        <v>45212</v>
      </c>
      <c r="J641" s="30">
        <v>45227</v>
      </c>
      <c r="K641" s="51">
        <v>15</v>
      </c>
      <c r="L641" s="29"/>
      <c r="M641" s="27" t="s">
        <v>19257</v>
      </c>
    </row>
    <row r="642" spans="1:13" s="27" customFormat="1" ht="17.25" customHeight="1" x14ac:dyDescent="0.25">
      <c r="A642" s="28" t="s">
        <v>9</v>
      </c>
      <c r="B642" s="28">
        <v>8364054</v>
      </c>
      <c r="C642" s="38" t="s">
        <v>25372</v>
      </c>
      <c r="D642" s="38" t="s">
        <v>25688</v>
      </c>
      <c r="E642" s="38" t="s">
        <v>25627</v>
      </c>
      <c r="F642" s="38" t="s">
        <v>25099</v>
      </c>
      <c r="G642" s="28" t="s">
        <v>19285</v>
      </c>
      <c r="H642" s="28" t="s">
        <v>19238</v>
      </c>
      <c r="I642" s="30">
        <v>45212</v>
      </c>
      <c r="J642" s="30">
        <v>45217</v>
      </c>
      <c r="K642" s="51">
        <v>8</v>
      </c>
      <c r="L642" s="29"/>
      <c r="M642" s="27" t="s">
        <v>19257</v>
      </c>
    </row>
    <row r="643" spans="1:13" s="27" customFormat="1" ht="17.25" customHeight="1" x14ac:dyDescent="0.25">
      <c r="A643" s="28" t="s">
        <v>9</v>
      </c>
      <c r="B643" s="28">
        <v>3411306</v>
      </c>
      <c r="C643" s="38" t="s">
        <v>25254</v>
      </c>
      <c r="D643" s="38" t="s">
        <v>24980</v>
      </c>
      <c r="E643" s="38" t="s">
        <v>25255</v>
      </c>
      <c r="F643" s="38" t="s">
        <v>25256</v>
      </c>
      <c r="G643" s="28" t="s">
        <v>19285</v>
      </c>
      <c r="H643" s="28" t="s">
        <v>19238</v>
      </c>
      <c r="I643" s="30">
        <v>45214</v>
      </c>
      <c r="J643" s="30">
        <v>45228</v>
      </c>
      <c r="K643" s="51">
        <v>15</v>
      </c>
      <c r="L643" s="29"/>
      <c r="M643" s="27" t="s">
        <v>19257</v>
      </c>
    </row>
    <row r="644" spans="1:13" s="27" customFormat="1" ht="17.25" customHeight="1" x14ac:dyDescent="0.25">
      <c r="A644" s="28" t="s">
        <v>9</v>
      </c>
      <c r="B644" s="28">
        <v>3411306</v>
      </c>
      <c r="C644" s="38" t="s">
        <v>25254</v>
      </c>
      <c r="D644" s="38" t="s">
        <v>24980</v>
      </c>
      <c r="E644" s="38" t="s">
        <v>25255</v>
      </c>
      <c r="F644" s="38" t="s">
        <v>25256</v>
      </c>
      <c r="G644" s="28" t="s">
        <v>19285</v>
      </c>
      <c r="H644" s="28" t="s">
        <v>19238</v>
      </c>
      <c r="I644" s="30">
        <v>45214</v>
      </c>
      <c r="J644" s="30">
        <v>45230</v>
      </c>
      <c r="K644" s="51">
        <v>15</v>
      </c>
      <c r="L644" s="29"/>
      <c r="M644" s="27" t="s">
        <v>19257</v>
      </c>
    </row>
    <row r="645" spans="1:13" s="27" customFormat="1" ht="17.25" customHeight="1" x14ac:dyDescent="0.25">
      <c r="A645" s="28" t="s">
        <v>9</v>
      </c>
      <c r="B645" s="28">
        <v>1067879211</v>
      </c>
      <c r="C645" s="38" t="s">
        <v>25015</v>
      </c>
      <c r="D645" s="38" t="s">
        <v>25687</v>
      </c>
      <c r="E645" s="38" t="s">
        <v>19256</v>
      </c>
      <c r="F645" s="38" t="s">
        <v>25988</v>
      </c>
      <c r="G645" s="28" t="s">
        <v>19285</v>
      </c>
      <c r="H645" s="28" t="s">
        <v>19238</v>
      </c>
      <c r="I645" s="30">
        <v>45215</v>
      </c>
      <c r="J645" s="30">
        <v>45229</v>
      </c>
      <c r="K645" s="51">
        <v>15</v>
      </c>
      <c r="L645" s="29"/>
      <c r="M645" s="27" t="s">
        <v>19257</v>
      </c>
    </row>
    <row r="646" spans="1:13" s="27" customFormat="1" ht="17.25" customHeight="1" x14ac:dyDescent="0.25">
      <c r="A646" s="28" t="s">
        <v>9</v>
      </c>
      <c r="B646" s="28">
        <v>1035420061</v>
      </c>
      <c r="C646" s="38" t="s">
        <v>25645</v>
      </c>
      <c r="D646" s="38" t="s">
        <v>25646</v>
      </c>
      <c r="E646" s="38" t="s">
        <v>25647</v>
      </c>
      <c r="F646" s="38" t="s">
        <v>25648</v>
      </c>
      <c r="G646" s="28" t="s">
        <v>19285</v>
      </c>
      <c r="H646" s="28" t="s">
        <v>19238</v>
      </c>
      <c r="I646" s="30">
        <v>45216</v>
      </c>
      <c r="J646" s="30">
        <v>45223</v>
      </c>
      <c r="K646" s="51">
        <v>8</v>
      </c>
      <c r="L646" s="29"/>
      <c r="M646" s="27" t="s">
        <v>19257</v>
      </c>
    </row>
    <row r="647" spans="1:13" s="27" customFormat="1" ht="17.25" customHeight="1" x14ac:dyDescent="0.25">
      <c r="A647" s="28" t="s">
        <v>9</v>
      </c>
      <c r="B647" s="28">
        <v>71701438</v>
      </c>
      <c r="C647" s="38" t="s">
        <v>25373</v>
      </c>
      <c r="D647" s="38" t="s">
        <v>25244</v>
      </c>
      <c r="E647" s="38" t="s">
        <v>24981</v>
      </c>
      <c r="F647" s="38" t="s">
        <v>25103</v>
      </c>
      <c r="G647" s="28" t="s">
        <v>19285</v>
      </c>
      <c r="H647" s="28" t="s">
        <v>19238</v>
      </c>
      <c r="I647" s="30">
        <v>45216</v>
      </c>
      <c r="J647" s="30">
        <v>45230</v>
      </c>
      <c r="K647" s="51">
        <v>15</v>
      </c>
      <c r="L647" s="29"/>
      <c r="M647" s="27" t="s">
        <v>19257</v>
      </c>
    </row>
    <row r="648" spans="1:13" s="27" customFormat="1" ht="17.25" customHeight="1" x14ac:dyDescent="0.25">
      <c r="A648" s="28" t="s">
        <v>9</v>
      </c>
      <c r="B648" s="28">
        <v>1216715391</v>
      </c>
      <c r="C648" s="38" t="s">
        <v>25984</v>
      </c>
      <c r="D648" s="38" t="s">
        <v>25498</v>
      </c>
      <c r="E648" s="38" t="s">
        <v>25985</v>
      </c>
      <c r="F648" s="38" t="s">
        <v>25413</v>
      </c>
      <c r="G648" s="28" t="s">
        <v>19285</v>
      </c>
      <c r="H648" s="28" t="s">
        <v>19238</v>
      </c>
      <c r="I648" s="30">
        <v>45216</v>
      </c>
      <c r="J648" s="30">
        <v>45230</v>
      </c>
      <c r="K648" s="51">
        <v>15</v>
      </c>
      <c r="L648" s="29"/>
      <c r="M648" s="27" t="s">
        <v>19257</v>
      </c>
    </row>
    <row r="649" spans="1:13" s="27" customFormat="1" ht="17.25" customHeight="1" x14ac:dyDescent="0.25">
      <c r="A649" s="28" t="s">
        <v>9</v>
      </c>
      <c r="B649" s="28">
        <v>5632471</v>
      </c>
      <c r="C649" s="38" t="s">
        <v>25986</v>
      </c>
      <c r="D649" s="38" t="s">
        <v>25987</v>
      </c>
      <c r="E649" s="38" t="s">
        <v>25091</v>
      </c>
      <c r="F649" s="38" t="s">
        <v>25256</v>
      </c>
      <c r="G649" s="28" t="s">
        <v>19285</v>
      </c>
      <c r="H649" s="28" t="s">
        <v>19238</v>
      </c>
      <c r="I649" s="30">
        <v>45216</v>
      </c>
      <c r="J649" s="30">
        <v>45223</v>
      </c>
      <c r="K649" s="51">
        <v>8</v>
      </c>
      <c r="L649" s="29"/>
      <c r="M649" s="27" t="s">
        <v>19257</v>
      </c>
    </row>
    <row r="650" spans="1:13" s="27" customFormat="1" ht="17.25" customHeight="1" x14ac:dyDescent="0.25">
      <c r="A650" s="28" t="s">
        <v>9</v>
      </c>
      <c r="B650" s="28">
        <v>71753184</v>
      </c>
      <c r="C650" s="38" t="s">
        <v>25030</v>
      </c>
      <c r="D650" s="38" t="s">
        <v>25498</v>
      </c>
      <c r="E650" s="38" t="s">
        <v>25183</v>
      </c>
      <c r="F650" s="38" t="s">
        <v>25157</v>
      </c>
      <c r="G650" s="28" t="s">
        <v>19285</v>
      </c>
      <c r="H650" s="28" t="s">
        <v>19238</v>
      </c>
      <c r="I650" s="30">
        <v>45217</v>
      </c>
      <c r="J650" s="30">
        <v>45224</v>
      </c>
      <c r="K650" s="51">
        <v>8</v>
      </c>
      <c r="L650" s="29"/>
      <c r="M650" s="27" t="s">
        <v>19257</v>
      </c>
    </row>
    <row r="651" spans="1:13" s="27" customFormat="1" ht="17.25" customHeight="1" x14ac:dyDescent="0.25">
      <c r="A651" s="28" t="s">
        <v>9</v>
      </c>
      <c r="B651" s="28">
        <v>75003943</v>
      </c>
      <c r="C651" s="38" t="s">
        <v>25463</v>
      </c>
      <c r="D651" s="38" t="s">
        <v>25498</v>
      </c>
      <c r="E651" s="38" t="s">
        <v>25978</v>
      </c>
      <c r="F651" s="38"/>
      <c r="G651" s="28" t="s">
        <v>19285</v>
      </c>
      <c r="H651" s="28" t="s">
        <v>19239</v>
      </c>
      <c r="I651" s="30">
        <v>45217</v>
      </c>
      <c r="J651" s="30">
        <v>45221</v>
      </c>
      <c r="K651" s="51">
        <v>5</v>
      </c>
      <c r="L651" s="29">
        <v>1</v>
      </c>
      <c r="M651" s="27" t="s">
        <v>25036</v>
      </c>
    </row>
    <row r="652" spans="1:13" s="27" customFormat="1" ht="17.25" customHeight="1" x14ac:dyDescent="0.25">
      <c r="A652" s="28" t="s">
        <v>9</v>
      </c>
      <c r="B652" s="28">
        <v>1000908653</v>
      </c>
      <c r="C652" s="38" t="s">
        <v>25801</v>
      </c>
      <c r="D652" s="38" t="s">
        <v>25802</v>
      </c>
      <c r="E652" s="38" t="s">
        <v>25803</v>
      </c>
      <c r="F652" s="38"/>
      <c r="G652" s="28" t="s">
        <v>19285</v>
      </c>
      <c r="H652" s="28" t="s">
        <v>19239</v>
      </c>
      <c r="I652" s="30">
        <v>45218</v>
      </c>
      <c r="J652" s="30">
        <v>45218</v>
      </c>
      <c r="K652" s="51">
        <v>1</v>
      </c>
      <c r="L652" s="29">
        <v>6</v>
      </c>
      <c r="M652" s="27" t="s">
        <v>25036</v>
      </c>
    </row>
    <row r="653" spans="1:13" s="27" customFormat="1" ht="17.25" customHeight="1" x14ac:dyDescent="0.25">
      <c r="A653" s="28" t="s">
        <v>9</v>
      </c>
      <c r="B653" s="28">
        <v>1037269695</v>
      </c>
      <c r="C653" s="38" t="s">
        <v>24987</v>
      </c>
      <c r="D653" s="38" t="s">
        <v>25508</v>
      </c>
      <c r="E653" s="38" t="s">
        <v>25977</v>
      </c>
      <c r="F653" s="38" t="s">
        <v>25512</v>
      </c>
      <c r="G653" s="28" t="s">
        <v>19285</v>
      </c>
      <c r="H653" s="28" t="s">
        <v>19239</v>
      </c>
      <c r="I653" s="30">
        <v>45218</v>
      </c>
      <c r="J653" s="30">
        <v>45218</v>
      </c>
      <c r="K653" s="51">
        <v>1</v>
      </c>
      <c r="L653" s="29">
        <v>20</v>
      </c>
      <c r="M653" s="27" t="s">
        <v>25036</v>
      </c>
    </row>
    <row r="654" spans="1:13" s="27" customFormat="1" ht="17.25" customHeight="1" x14ac:dyDescent="0.25">
      <c r="A654" s="28" t="s">
        <v>9</v>
      </c>
      <c r="B654" s="28">
        <v>98487368</v>
      </c>
      <c r="C654" s="38" t="s">
        <v>25666</v>
      </c>
      <c r="D654" s="38" t="s">
        <v>25052</v>
      </c>
      <c r="E654" s="38" t="s">
        <v>25056</v>
      </c>
      <c r="F654" s="38" t="s">
        <v>25064</v>
      </c>
      <c r="G654" s="28" t="s">
        <v>19285</v>
      </c>
      <c r="H654" s="28" t="s">
        <v>19238</v>
      </c>
      <c r="I654" s="30">
        <v>45218</v>
      </c>
      <c r="J654" s="30">
        <v>45232</v>
      </c>
      <c r="K654" s="51">
        <v>15</v>
      </c>
      <c r="L654" s="29"/>
      <c r="M654" s="27" t="s">
        <v>19257</v>
      </c>
    </row>
    <row r="655" spans="1:13" s="27" customFormat="1" ht="17.25" customHeight="1" x14ac:dyDescent="0.25">
      <c r="A655" s="28" t="s">
        <v>9</v>
      </c>
      <c r="B655" s="28">
        <v>71606452</v>
      </c>
      <c r="C655" s="38" t="s">
        <v>24980</v>
      </c>
      <c r="D655" s="38"/>
      <c r="E655" s="38" t="s">
        <v>25976</v>
      </c>
      <c r="F655" s="38"/>
      <c r="G655" s="28" t="s">
        <v>19285</v>
      </c>
      <c r="H655" s="28" t="s">
        <v>19239</v>
      </c>
      <c r="I655" s="30">
        <v>45219</v>
      </c>
      <c r="J655" s="30">
        <v>45221</v>
      </c>
      <c r="K655" s="51">
        <v>3</v>
      </c>
      <c r="L655" s="29">
        <v>6</v>
      </c>
      <c r="M655" s="27" t="s">
        <v>25067</v>
      </c>
    </row>
    <row r="656" spans="1:13" s="27" customFormat="1" ht="17.25" customHeight="1" x14ac:dyDescent="0.25">
      <c r="A656" s="28" t="s">
        <v>9</v>
      </c>
      <c r="B656" s="28">
        <v>1216722370</v>
      </c>
      <c r="C656" s="38" t="s">
        <v>25030</v>
      </c>
      <c r="D656" s="38" t="s">
        <v>25403</v>
      </c>
      <c r="E656" s="38" t="s">
        <v>25349</v>
      </c>
      <c r="F656" s="38" t="s">
        <v>25755</v>
      </c>
      <c r="G656" s="28" t="s">
        <v>19285</v>
      </c>
      <c r="H656" s="28" t="s">
        <v>19238</v>
      </c>
      <c r="I656" s="30">
        <v>45219</v>
      </c>
      <c r="J656" s="30">
        <v>45233</v>
      </c>
      <c r="K656" s="51">
        <v>15</v>
      </c>
      <c r="L656" s="29"/>
      <c r="M656" s="27" t="s">
        <v>19257</v>
      </c>
    </row>
    <row r="657" spans="1:13" s="27" customFormat="1" ht="17.25" customHeight="1" x14ac:dyDescent="0.25">
      <c r="A657" s="28" t="s">
        <v>9</v>
      </c>
      <c r="B657" s="28">
        <v>71250978</v>
      </c>
      <c r="C657" s="38" t="s">
        <v>25968</v>
      </c>
      <c r="D657" s="38"/>
      <c r="E657" s="38" t="s">
        <v>25183</v>
      </c>
      <c r="F657" s="38" t="s">
        <v>25663</v>
      </c>
      <c r="G657" s="28" t="s">
        <v>19285</v>
      </c>
      <c r="H657" s="28" t="s">
        <v>19238</v>
      </c>
      <c r="I657" s="30">
        <v>45220</v>
      </c>
      <c r="J657" s="30">
        <v>45227</v>
      </c>
      <c r="K657" s="51">
        <v>8</v>
      </c>
      <c r="L657" s="29"/>
      <c r="M657" s="27" t="s">
        <v>19257</v>
      </c>
    </row>
    <row r="658" spans="1:13" s="27" customFormat="1" ht="17.25" customHeight="1" x14ac:dyDescent="0.25">
      <c r="A658" s="28" t="s">
        <v>9</v>
      </c>
      <c r="B658" s="28">
        <v>1017207367</v>
      </c>
      <c r="C658" s="38" t="s">
        <v>25053</v>
      </c>
      <c r="D658" s="38" t="s">
        <v>25105</v>
      </c>
      <c r="E658" s="38" t="s">
        <v>25135</v>
      </c>
      <c r="F658" s="38"/>
      <c r="G658" s="28" t="s">
        <v>19285</v>
      </c>
      <c r="H658" s="28" t="s">
        <v>19238</v>
      </c>
      <c r="I658" s="30">
        <v>45221</v>
      </c>
      <c r="J658" s="30">
        <v>45228</v>
      </c>
      <c r="K658" s="51">
        <v>8</v>
      </c>
      <c r="L658" s="29"/>
      <c r="M658" s="27" t="s">
        <v>19257</v>
      </c>
    </row>
    <row r="659" spans="1:13" s="27" customFormat="1" ht="17.25" customHeight="1" x14ac:dyDescent="0.25">
      <c r="A659" s="28" t="s">
        <v>9</v>
      </c>
      <c r="B659" s="28">
        <v>98527545</v>
      </c>
      <c r="C659" s="38" t="s">
        <v>25200</v>
      </c>
      <c r="D659" s="38"/>
      <c r="E659" s="38" t="s">
        <v>25460</v>
      </c>
      <c r="F659" s="38"/>
      <c r="G659" s="28" t="s">
        <v>19285</v>
      </c>
      <c r="H659" s="28" t="s">
        <v>19238</v>
      </c>
      <c r="I659" s="30">
        <v>45221</v>
      </c>
      <c r="J659" s="30">
        <v>45236</v>
      </c>
      <c r="K659" s="51">
        <v>15</v>
      </c>
      <c r="L659" s="29"/>
      <c r="M659" s="27" t="s">
        <v>19257</v>
      </c>
    </row>
    <row r="660" spans="1:13" s="27" customFormat="1" ht="17.25" customHeight="1" x14ac:dyDescent="0.25">
      <c r="A660" s="28" t="s">
        <v>9</v>
      </c>
      <c r="B660" s="28">
        <v>71692130</v>
      </c>
      <c r="C660" s="38" t="s">
        <v>25561</v>
      </c>
      <c r="D660" s="38" t="s">
        <v>25117</v>
      </c>
      <c r="E660" s="38" t="s">
        <v>25455</v>
      </c>
      <c r="F660" s="38" t="s">
        <v>25213</v>
      </c>
      <c r="G660" s="28" t="s">
        <v>19285</v>
      </c>
      <c r="H660" s="28" t="s">
        <v>19238</v>
      </c>
      <c r="I660" s="30">
        <v>45222</v>
      </c>
      <c r="J660" s="30">
        <v>45236</v>
      </c>
      <c r="K660" s="51">
        <v>15</v>
      </c>
      <c r="L660" s="29"/>
      <c r="M660" s="27" t="s">
        <v>19257</v>
      </c>
    </row>
    <row r="661" spans="1:13" s="27" customFormat="1" ht="17.25" customHeight="1" x14ac:dyDescent="0.25">
      <c r="A661" s="28" t="s">
        <v>9</v>
      </c>
      <c r="B661" s="28">
        <v>1033340803</v>
      </c>
      <c r="C661" s="38" t="s">
        <v>25350</v>
      </c>
      <c r="D661" s="38" t="s">
        <v>25453</v>
      </c>
      <c r="E661" s="38" t="s">
        <v>25352</v>
      </c>
      <c r="F661" s="38"/>
      <c r="G661" s="28" t="s">
        <v>19285</v>
      </c>
      <c r="H661" s="28" t="s">
        <v>19238</v>
      </c>
      <c r="I661" s="30">
        <v>45223</v>
      </c>
      <c r="J661" s="30">
        <v>45237</v>
      </c>
      <c r="K661" s="51">
        <v>15</v>
      </c>
      <c r="L661" s="29"/>
      <c r="M661" s="27" t="s">
        <v>19257</v>
      </c>
    </row>
    <row r="662" spans="1:13" s="27" customFormat="1" ht="17.25" customHeight="1" x14ac:dyDescent="0.25">
      <c r="A662" s="28" t="s">
        <v>9</v>
      </c>
      <c r="B662" s="28">
        <v>1040356597</v>
      </c>
      <c r="C662" s="38" t="s">
        <v>25989</v>
      </c>
      <c r="D662" s="38" t="s">
        <v>25609</v>
      </c>
      <c r="E662" s="38" t="s">
        <v>25241</v>
      </c>
      <c r="F662" s="38" t="s">
        <v>25064</v>
      </c>
      <c r="G662" s="28" t="s">
        <v>19285</v>
      </c>
      <c r="H662" s="28" t="s">
        <v>19238</v>
      </c>
      <c r="I662" s="30">
        <v>45223</v>
      </c>
      <c r="J662" s="30">
        <v>45237</v>
      </c>
      <c r="K662" s="51">
        <v>15</v>
      </c>
      <c r="L662" s="29"/>
      <c r="M662" s="27" t="s">
        <v>19257</v>
      </c>
    </row>
    <row r="663" spans="1:13" s="27" customFormat="1" ht="17.25" customHeight="1" x14ac:dyDescent="0.25">
      <c r="A663" s="28" t="s">
        <v>9</v>
      </c>
      <c r="B663" s="28">
        <v>5632471</v>
      </c>
      <c r="C663" s="38" t="s">
        <v>25986</v>
      </c>
      <c r="D663" s="38" t="s">
        <v>25987</v>
      </c>
      <c r="E663" s="38" t="s">
        <v>25091</v>
      </c>
      <c r="F663" s="38" t="s">
        <v>25256</v>
      </c>
      <c r="G663" s="28" t="s">
        <v>19285</v>
      </c>
      <c r="H663" s="28" t="s">
        <v>19238</v>
      </c>
      <c r="I663" s="30">
        <v>45224</v>
      </c>
      <c r="J663" s="30">
        <v>45200</v>
      </c>
      <c r="K663" s="51">
        <v>8</v>
      </c>
      <c r="L663" s="29"/>
      <c r="M663" s="27" t="s">
        <v>19257</v>
      </c>
    </row>
    <row r="664" spans="1:13" s="27" customFormat="1" ht="17.25" customHeight="1" x14ac:dyDescent="0.25">
      <c r="A664" s="28" t="s">
        <v>9</v>
      </c>
      <c r="B664" s="28">
        <v>98765066</v>
      </c>
      <c r="C664" s="38" t="s">
        <v>25588</v>
      </c>
      <c r="D664" s="38" t="s">
        <v>25424</v>
      </c>
      <c r="E664" s="38" t="s">
        <v>25092</v>
      </c>
      <c r="F664" s="38" t="s">
        <v>25283</v>
      </c>
      <c r="G664" s="28" t="s">
        <v>19285</v>
      </c>
      <c r="H664" s="28" t="s">
        <v>19238</v>
      </c>
      <c r="I664" s="30">
        <v>45225</v>
      </c>
      <c r="J664" s="30">
        <v>45239</v>
      </c>
      <c r="K664" s="51">
        <v>15</v>
      </c>
      <c r="L664" s="29"/>
      <c r="M664" s="27" t="s">
        <v>19257</v>
      </c>
    </row>
    <row r="665" spans="1:13" s="27" customFormat="1" ht="17.25" customHeight="1" x14ac:dyDescent="0.25">
      <c r="A665" s="28" t="s">
        <v>9</v>
      </c>
      <c r="B665" s="28">
        <v>98593652</v>
      </c>
      <c r="C665" s="38" t="s">
        <v>25108</v>
      </c>
      <c r="D665" s="38" t="s">
        <v>25254</v>
      </c>
      <c r="E665" s="38" t="s">
        <v>25183</v>
      </c>
      <c r="F665" s="38" t="s">
        <v>25028</v>
      </c>
      <c r="G665" s="28" t="s">
        <v>19285</v>
      </c>
      <c r="H665" s="28" t="s">
        <v>19238</v>
      </c>
      <c r="I665" s="30">
        <v>45225</v>
      </c>
      <c r="J665" s="30">
        <v>45240</v>
      </c>
      <c r="K665" s="51">
        <v>15</v>
      </c>
      <c r="L665" s="29"/>
      <c r="M665" s="27" t="s">
        <v>19257</v>
      </c>
    </row>
    <row r="666" spans="1:13" s="27" customFormat="1" ht="17.25" customHeight="1" x14ac:dyDescent="0.25">
      <c r="A666" s="28" t="s">
        <v>9</v>
      </c>
      <c r="B666" s="28">
        <v>71781456</v>
      </c>
      <c r="C666" s="38" t="s">
        <v>25743</v>
      </c>
      <c r="D666" s="38" t="s">
        <v>25868</v>
      </c>
      <c r="E666" s="38" t="s">
        <v>24988</v>
      </c>
      <c r="F666" s="38" t="s">
        <v>25064</v>
      </c>
      <c r="G666" s="28" t="s">
        <v>19229</v>
      </c>
      <c r="H666" s="28" t="s">
        <v>19239</v>
      </c>
      <c r="I666" s="30">
        <v>45226</v>
      </c>
      <c r="J666" s="30">
        <v>45230</v>
      </c>
      <c r="K666" s="51">
        <v>5</v>
      </c>
      <c r="L666" s="29">
        <v>15</v>
      </c>
      <c r="M666" s="27" t="s">
        <v>25036</v>
      </c>
    </row>
    <row r="667" spans="1:13" s="27" customFormat="1" ht="17.25" customHeight="1" x14ac:dyDescent="0.25">
      <c r="A667" s="28" t="s">
        <v>9</v>
      </c>
      <c r="B667" s="28">
        <v>11936325</v>
      </c>
      <c r="C667" s="38" t="s">
        <v>25105</v>
      </c>
      <c r="D667" s="38" t="s">
        <v>25343</v>
      </c>
      <c r="E667" s="38" t="s">
        <v>25183</v>
      </c>
      <c r="F667" s="38" t="s">
        <v>25185</v>
      </c>
      <c r="G667" s="28" t="s">
        <v>19229</v>
      </c>
      <c r="H667" s="28" t="s">
        <v>19238</v>
      </c>
      <c r="I667" s="30">
        <v>45226</v>
      </c>
      <c r="J667" s="30">
        <v>45240</v>
      </c>
      <c r="K667" s="51">
        <v>15</v>
      </c>
      <c r="L667" s="29"/>
      <c r="M667" s="27" t="s">
        <v>19257</v>
      </c>
    </row>
    <row r="668" spans="1:13" s="27" customFormat="1" ht="17.25" customHeight="1" x14ac:dyDescent="0.25">
      <c r="A668" s="28" t="s">
        <v>9</v>
      </c>
      <c r="B668" s="28">
        <v>43117538</v>
      </c>
      <c r="C668" s="38" t="s">
        <v>25310</v>
      </c>
      <c r="D668" s="38" t="s">
        <v>25248</v>
      </c>
      <c r="E668" s="38" t="s">
        <v>24999</v>
      </c>
      <c r="F668" s="38" t="s">
        <v>25000</v>
      </c>
      <c r="G668" s="28" t="s">
        <v>19285</v>
      </c>
      <c r="H668" s="28" t="s">
        <v>19238</v>
      </c>
      <c r="I668" s="30">
        <v>45228</v>
      </c>
      <c r="J668" s="30">
        <v>45204</v>
      </c>
      <c r="K668" s="51">
        <v>8</v>
      </c>
      <c r="L668" s="29"/>
      <c r="M668" s="27" t="s">
        <v>19257</v>
      </c>
    </row>
    <row r="669" spans="1:13" s="27" customFormat="1" ht="17.25" customHeight="1" x14ac:dyDescent="0.25">
      <c r="A669" s="28" t="s">
        <v>9</v>
      </c>
      <c r="B669" s="28">
        <v>43117538</v>
      </c>
      <c r="C669" s="28" t="s">
        <v>25310</v>
      </c>
      <c r="D669" s="28" t="s">
        <v>25248</v>
      </c>
      <c r="E669" s="28" t="s">
        <v>24999</v>
      </c>
      <c r="F669" s="28" t="s">
        <v>25000</v>
      </c>
      <c r="G669" s="28" t="s">
        <v>19229</v>
      </c>
      <c r="H669" s="28" t="s">
        <v>19238</v>
      </c>
      <c r="I669" s="30">
        <v>45228</v>
      </c>
      <c r="J669" s="30">
        <v>45235</v>
      </c>
      <c r="K669" s="51">
        <v>8</v>
      </c>
      <c r="L669" s="29"/>
      <c r="M669" s="27" t="s">
        <v>19257</v>
      </c>
    </row>
    <row r="670" spans="1:13" s="27" customFormat="1" ht="17.25" customHeight="1" x14ac:dyDescent="0.25">
      <c r="A670" s="28" t="s">
        <v>9</v>
      </c>
      <c r="B670" s="28">
        <v>15509928</v>
      </c>
      <c r="C670" s="28" t="s">
        <v>25175</v>
      </c>
      <c r="D670" s="28" t="s">
        <v>25012</v>
      </c>
      <c r="E670" s="28" t="s">
        <v>25442</v>
      </c>
      <c r="F670" s="28" t="s">
        <v>25416</v>
      </c>
      <c r="G670" s="28" t="s">
        <v>19229</v>
      </c>
      <c r="H670" s="28" t="s">
        <v>19238</v>
      </c>
      <c r="I670" s="30">
        <v>45229</v>
      </c>
      <c r="J670" s="30">
        <v>45243</v>
      </c>
      <c r="K670" s="51">
        <v>15</v>
      </c>
      <c r="L670" s="29"/>
      <c r="M670" s="27" t="s">
        <v>19257</v>
      </c>
    </row>
    <row r="671" spans="1:13" s="27" customFormat="1" ht="17.25" customHeight="1" x14ac:dyDescent="0.25">
      <c r="A671" s="28" t="s">
        <v>10</v>
      </c>
      <c r="B671" s="28">
        <v>98580275</v>
      </c>
      <c r="C671" s="28" t="s">
        <v>26058</v>
      </c>
      <c r="D671" s="28" t="s">
        <v>25229</v>
      </c>
      <c r="E671" s="28" t="s">
        <v>25102</v>
      </c>
      <c r="F671" s="28" t="s">
        <v>25020</v>
      </c>
      <c r="G671" s="28" t="s">
        <v>19229</v>
      </c>
      <c r="H671" s="28" t="s">
        <v>19238</v>
      </c>
      <c r="I671" s="30">
        <v>45231</v>
      </c>
      <c r="J671" s="30">
        <v>45245</v>
      </c>
      <c r="K671" s="51">
        <v>15</v>
      </c>
      <c r="L671" s="29"/>
      <c r="M671" s="27" t="s">
        <v>19257</v>
      </c>
    </row>
    <row r="672" spans="1:13" s="27" customFormat="1" ht="17.25" customHeight="1" x14ac:dyDescent="0.25">
      <c r="A672" s="28" t="s">
        <v>10</v>
      </c>
      <c r="B672" s="28">
        <v>70785727</v>
      </c>
      <c r="C672" s="28" t="s">
        <v>25983</v>
      </c>
      <c r="D672" s="28" t="s">
        <v>25426</v>
      </c>
      <c r="E672" s="28" t="s">
        <v>25020</v>
      </c>
      <c r="F672" s="28"/>
      <c r="G672" s="28" t="s">
        <v>19229</v>
      </c>
      <c r="H672" s="28" t="s">
        <v>19238</v>
      </c>
      <c r="I672" s="30">
        <v>45231</v>
      </c>
      <c r="J672" s="30">
        <v>45245</v>
      </c>
      <c r="K672" s="51">
        <v>15</v>
      </c>
      <c r="L672" s="29"/>
      <c r="M672" s="27" t="s">
        <v>19257</v>
      </c>
    </row>
    <row r="673" spans="1:13" s="27" customFormat="1" ht="17.25" customHeight="1" x14ac:dyDescent="0.25">
      <c r="A673" s="28" t="s">
        <v>10</v>
      </c>
      <c r="B673" s="28">
        <v>1002443092</v>
      </c>
      <c r="C673" s="38" t="s">
        <v>25553</v>
      </c>
      <c r="D673" s="38" t="s">
        <v>26056</v>
      </c>
      <c r="E673" s="38" t="s">
        <v>26057</v>
      </c>
      <c r="F673" s="38" t="s">
        <v>25885</v>
      </c>
      <c r="G673" s="28" t="s">
        <v>19229</v>
      </c>
      <c r="H673" s="28" t="s">
        <v>19238</v>
      </c>
      <c r="I673" s="30">
        <v>45231</v>
      </c>
      <c r="J673" s="30">
        <v>45245</v>
      </c>
      <c r="K673" s="51">
        <v>15</v>
      </c>
      <c r="L673" s="29"/>
      <c r="M673" s="27" t="s">
        <v>19257</v>
      </c>
    </row>
    <row r="674" spans="1:13" s="27" customFormat="1" ht="17.25" customHeight="1" x14ac:dyDescent="0.25">
      <c r="A674" s="28" t="s">
        <v>10</v>
      </c>
      <c r="B674" s="28">
        <v>8463537</v>
      </c>
      <c r="C674" s="38" t="s">
        <v>25617</v>
      </c>
      <c r="D674" s="38" t="s">
        <v>25257</v>
      </c>
      <c r="E674" s="38" t="s">
        <v>26054</v>
      </c>
      <c r="F674" s="38" t="s">
        <v>26055</v>
      </c>
      <c r="G674" s="28" t="s">
        <v>19229</v>
      </c>
      <c r="H674" s="28" t="s">
        <v>19238</v>
      </c>
      <c r="I674" s="30">
        <v>45231</v>
      </c>
      <c r="J674" s="30">
        <v>45245</v>
      </c>
      <c r="K674" s="51">
        <v>15</v>
      </c>
      <c r="L674" s="29"/>
      <c r="M674" s="27" t="s">
        <v>19257</v>
      </c>
    </row>
    <row r="675" spans="1:13" s="27" customFormat="1" ht="17.25" customHeight="1" x14ac:dyDescent="0.25">
      <c r="A675" s="28" t="s">
        <v>10</v>
      </c>
      <c r="B675" s="28">
        <v>98502364</v>
      </c>
      <c r="C675" s="38" t="s">
        <v>25792</v>
      </c>
      <c r="D675" s="38" t="s">
        <v>25498</v>
      </c>
      <c r="E675" s="38" t="s">
        <v>25793</v>
      </c>
      <c r="F675" s="38" t="s">
        <v>25110</v>
      </c>
      <c r="G675" s="28" t="s">
        <v>19229</v>
      </c>
      <c r="H675" s="28" t="s">
        <v>19238</v>
      </c>
      <c r="I675" s="30">
        <v>45231</v>
      </c>
      <c r="J675" s="30">
        <v>45245</v>
      </c>
      <c r="K675" s="51">
        <v>15</v>
      </c>
      <c r="L675" s="29"/>
      <c r="M675" s="27" t="s">
        <v>19257</v>
      </c>
    </row>
    <row r="676" spans="1:13" s="27" customFormat="1" ht="17.25" customHeight="1" x14ac:dyDescent="0.25">
      <c r="A676" s="28" t="s">
        <v>10</v>
      </c>
      <c r="B676" s="28">
        <v>1067860677</v>
      </c>
      <c r="C676" s="38" t="s">
        <v>25100</v>
      </c>
      <c r="D676" s="38" t="s">
        <v>25562</v>
      </c>
      <c r="E676" s="38" t="s">
        <v>25359</v>
      </c>
      <c r="F676" s="38" t="s">
        <v>25283</v>
      </c>
      <c r="G676" s="28" t="s">
        <v>19229</v>
      </c>
      <c r="H676" s="28" t="s">
        <v>19238</v>
      </c>
      <c r="I676" s="30">
        <v>45231</v>
      </c>
      <c r="J676" s="30">
        <v>45245</v>
      </c>
      <c r="K676" s="51">
        <v>15</v>
      </c>
      <c r="L676" s="29"/>
      <c r="M676" s="27" t="s">
        <v>19257</v>
      </c>
    </row>
    <row r="677" spans="1:13" s="27" customFormat="1" ht="17.25" customHeight="1" x14ac:dyDescent="0.25">
      <c r="A677" s="28" t="s">
        <v>10</v>
      </c>
      <c r="B677" s="28">
        <v>15382059</v>
      </c>
      <c r="C677" s="38" t="s">
        <v>25214</v>
      </c>
      <c r="D677" s="38" t="s">
        <v>25049</v>
      </c>
      <c r="E677" s="38" t="s">
        <v>25134</v>
      </c>
      <c r="F677" s="38" t="s">
        <v>25465</v>
      </c>
      <c r="G677" s="28" t="s">
        <v>19229</v>
      </c>
      <c r="H677" s="28" t="s">
        <v>19238</v>
      </c>
      <c r="I677" s="30">
        <v>45231</v>
      </c>
      <c r="J677" s="30">
        <v>45245</v>
      </c>
      <c r="K677" s="51">
        <v>15</v>
      </c>
      <c r="L677" s="29"/>
      <c r="M677" s="27" t="s">
        <v>19257</v>
      </c>
    </row>
    <row r="678" spans="1:13" s="27" customFormat="1" ht="17.25" customHeight="1" x14ac:dyDescent="0.25">
      <c r="A678" s="28" t="s">
        <v>10</v>
      </c>
      <c r="B678" s="28">
        <v>15382059</v>
      </c>
      <c r="C678" s="38" t="s">
        <v>25214</v>
      </c>
      <c r="D678" s="38" t="s">
        <v>25049</v>
      </c>
      <c r="E678" s="38" t="s">
        <v>25134</v>
      </c>
      <c r="F678" s="38" t="s">
        <v>25465</v>
      </c>
      <c r="G678" s="28" t="s">
        <v>19229</v>
      </c>
      <c r="H678" s="28" t="s">
        <v>19238</v>
      </c>
      <c r="I678" s="30">
        <v>45231</v>
      </c>
      <c r="J678" s="30">
        <v>45245</v>
      </c>
      <c r="K678" s="51">
        <v>15</v>
      </c>
      <c r="L678" s="29"/>
      <c r="M678" s="27" t="s">
        <v>19257</v>
      </c>
    </row>
    <row r="679" spans="1:13" s="27" customFormat="1" ht="17.25" customHeight="1" x14ac:dyDescent="0.25">
      <c r="A679" s="28" t="s">
        <v>10</v>
      </c>
      <c r="B679" s="28">
        <v>9922983</v>
      </c>
      <c r="C679" s="38" t="s">
        <v>25128</v>
      </c>
      <c r="D679" s="38" t="s">
        <v>25160</v>
      </c>
      <c r="E679" s="38" t="s">
        <v>25695</v>
      </c>
      <c r="F679" s="38" t="s">
        <v>25416</v>
      </c>
      <c r="G679" s="28" t="s">
        <v>19229</v>
      </c>
      <c r="H679" s="28" t="s">
        <v>19238</v>
      </c>
      <c r="I679" s="30">
        <v>45231</v>
      </c>
      <c r="J679" s="30">
        <v>45245</v>
      </c>
      <c r="K679" s="51">
        <v>15</v>
      </c>
      <c r="L679" s="29"/>
      <c r="M679" s="27" t="s">
        <v>19257</v>
      </c>
    </row>
    <row r="680" spans="1:13" s="27" customFormat="1" ht="17.25" customHeight="1" x14ac:dyDescent="0.25">
      <c r="A680" s="28" t="s">
        <v>10</v>
      </c>
      <c r="B680" s="28">
        <v>98451569</v>
      </c>
      <c r="C680" s="38" t="s">
        <v>25429</v>
      </c>
      <c r="D680" s="38" t="s">
        <v>25164</v>
      </c>
      <c r="E680" s="38" t="s">
        <v>25746</v>
      </c>
      <c r="F680" s="38" t="s">
        <v>25103</v>
      </c>
      <c r="G680" s="28" t="s">
        <v>19229</v>
      </c>
      <c r="H680" s="28" t="s">
        <v>19238</v>
      </c>
      <c r="I680" s="30">
        <v>45231</v>
      </c>
      <c r="J680" s="30">
        <v>45238</v>
      </c>
      <c r="K680" s="51">
        <v>8</v>
      </c>
      <c r="L680" s="29"/>
      <c r="M680" s="27" t="s">
        <v>19257</v>
      </c>
    </row>
    <row r="681" spans="1:13" s="27" customFormat="1" ht="17.25" customHeight="1" x14ac:dyDescent="0.25">
      <c r="A681" s="28" t="s">
        <v>10</v>
      </c>
      <c r="B681" s="28">
        <v>91444147</v>
      </c>
      <c r="C681" s="38" t="s">
        <v>24980</v>
      </c>
      <c r="D681" s="38" t="s">
        <v>25608</v>
      </c>
      <c r="E681" s="38" t="s">
        <v>25761</v>
      </c>
      <c r="F681" s="38" t="s">
        <v>25762</v>
      </c>
      <c r="G681" s="28" t="s">
        <v>19229</v>
      </c>
      <c r="H681" s="28" t="s">
        <v>19238</v>
      </c>
      <c r="I681" s="30">
        <v>45235</v>
      </c>
      <c r="J681" s="30">
        <v>45242</v>
      </c>
      <c r="K681" s="51">
        <v>8</v>
      </c>
      <c r="L681" s="29"/>
      <c r="M681" s="27" t="s">
        <v>19257</v>
      </c>
    </row>
    <row r="682" spans="1:13" s="27" customFormat="1" ht="17.25" customHeight="1" x14ac:dyDescent="0.25">
      <c r="A682" s="28" t="s">
        <v>9</v>
      </c>
      <c r="B682" s="28">
        <v>43117538</v>
      </c>
      <c r="C682" s="38" t="s">
        <v>25310</v>
      </c>
      <c r="D682" s="38" t="s">
        <v>25248</v>
      </c>
      <c r="E682" s="38" t="s">
        <v>24999</v>
      </c>
      <c r="F682" s="38" t="s">
        <v>25000</v>
      </c>
      <c r="G682" s="28" t="s">
        <v>19285</v>
      </c>
      <c r="H682" s="28" t="s">
        <v>19238</v>
      </c>
      <c r="I682" s="30">
        <v>45236</v>
      </c>
      <c r="J682" s="30">
        <v>45243</v>
      </c>
      <c r="K682" s="51">
        <v>8</v>
      </c>
      <c r="L682" s="29"/>
      <c r="M682" s="27" t="s">
        <v>19257</v>
      </c>
    </row>
    <row r="683" spans="1:13" s="27" customFormat="1" ht="17.25" customHeight="1" x14ac:dyDescent="0.25">
      <c r="A683" s="28" t="s">
        <v>10</v>
      </c>
      <c r="B683" s="28">
        <v>43117538</v>
      </c>
      <c r="C683" s="28" t="s">
        <v>25310</v>
      </c>
      <c r="D683" s="28" t="s">
        <v>25248</v>
      </c>
      <c r="E683" s="28" t="s">
        <v>24999</v>
      </c>
      <c r="F683" s="28" t="s">
        <v>25000</v>
      </c>
      <c r="G683" s="28" t="s">
        <v>19229</v>
      </c>
      <c r="H683" s="28" t="s">
        <v>19238</v>
      </c>
      <c r="I683" s="30">
        <v>45236</v>
      </c>
      <c r="J683" s="30">
        <v>45243</v>
      </c>
      <c r="K683" s="51">
        <v>8</v>
      </c>
      <c r="L683" s="29"/>
      <c r="M683" s="27" t="s">
        <v>19257</v>
      </c>
    </row>
    <row r="684" spans="1:13" s="27" customFormat="1" ht="17.25" customHeight="1" x14ac:dyDescent="0.25">
      <c r="A684" s="28" t="s">
        <v>10</v>
      </c>
      <c r="B684" s="28">
        <v>70252687</v>
      </c>
      <c r="C684" s="28" t="s">
        <v>25178</v>
      </c>
      <c r="D684" s="28" t="s">
        <v>25248</v>
      </c>
      <c r="E684" s="28" t="s">
        <v>25131</v>
      </c>
      <c r="F684" s="28" t="s">
        <v>25020</v>
      </c>
      <c r="G684" s="28" t="s">
        <v>19229</v>
      </c>
      <c r="H684" s="28" t="s">
        <v>19238</v>
      </c>
      <c r="I684" s="30">
        <v>45239</v>
      </c>
      <c r="J684" s="30">
        <v>45246</v>
      </c>
      <c r="K684" s="51">
        <v>8</v>
      </c>
      <c r="L684" s="29"/>
      <c r="M684" s="27" t="s">
        <v>19257</v>
      </c>
    </row>
    <row r="685" spans="1:13" s="27" customFormat="1" ht="17.25" customHeight="1" x14ac:dyDescent="0.25">
      <c r="A685" s="28" t="s">
        <v>10</v>
      </c>
      <c r="B685" s="28">
        <v>70782506</v>
      </c>
      <c r="C685" s="38" t="s">
        <v>25118</v>
      </c>
      <c r="D685" s="38" t="s">
        <v>25392</v>
      </c>
      <c r="E685" s="38" t="s">
        <v>25035</v>
      </c>
      <c r="F685" s="38" t="s">
        <v>25131</v>
      </c>
      <c r="G685" s="28" t="s">
        <v>19229</v>
      </c>
      <c r="H685" s="28" t="s">
        <v>19239</v>
      </c>
      <c r="I685" s="30">
        <v>45239</v>
      </c>
      <c r="J685" s="30">
        <v>45240</v>
      </c>
      <c r="K685" s="51">
        <v>2</v>
      </c>
      <c r="L685" s="29">
        <v>10</v>
      </c>
      <c r="M685" s="27" t="s">
        <v>25036</v>
      </c>
    </row>
    <row r="686" spans="1:13" s="27" customFormat="1" ht="17.25" customHeight="1" x14ac:dyDescent="0.25">
      <c r="A686" s="28" t="s">
        <v>10</v>
      </c>
      <c r="B686" s="28">
        <v>71642375</v>
      </c>
      <c r="C686" s="38" t="s">
        <v>25658</v>
      </c>
      <c r="D686" s="38" t="s">
        <v>25272</v>
      </c>
      <c r="E686" s="38" t="s">
        <v>25283</v>
      </c>
      <c r="F686" s="38" t="s">
        <v>25135</v>
      </c>
      <c r="G686" s="28" t="s">
        <v>19229</v>
      </c>
      <c r="H686" s="28" t="s">
        <v>19238</v>
      </c>
      <c r="I686" s="30">
        <v>45239</v>
      </c>
      <c r="J686" s="30">
        <v>45253</v>
      </c>
      <c r="K686" s="51">
        <v>15</v>
      </c>
      <c r="L686" s="29"/>
      <c r="M686" s="27" t="s">
        <v>19257</v>
      </c>
    </row>
    <row r="687" spans="1:13" s="27" customFormat="1" ht="17.25" customHeight="1" x14ac:dyDescent="0.25">
      <c r="A687" s="28" t="s">
        <v>10</v>
      </c>
      <c r="B687" s="28">
        <v>71770967</v>
      </c>
      <c r="C687" s="38" t="s">
        <v>25362</v>
      </c>
      <c r="D687" s="38" t="s">
        <v>25093</v>
      </c>
      <c r="E687" s="38" t="s">
        <v>25977</v>
      </c>
      <c r="F687" s="38" t="s">
        <v>25066</v>
      </c>
      <c r="G687" s="28" t="s">
        <v>19229</v>
      </c>
      <c r="H687" s="28" t="s">
        <v>19238</v>
      </c>
      <c r="I687" s="30">
        <v>45240</v>
      </c>
      <c r="J687" s="30">
        <v>45243</v>
      </c>
      <c r="K687" s="51">
        <v>4</v>
      </c>
      <c r="L687" s="29"/>
      <c r="M687" s="27" t="s">
        <v>19257</v>
      </c>
    </row>
    <row r="688" spans="1:13" s="27" customFormat="1" ht="17.25" customHeight="1" x14ac:dyDescent="0.25">
      <c r="A688" s="28" t="s">
        <v>10</v>
      </c>
      <c r="B688" s="28">
        <v>1235138559</v>
      </c>
      <c r="C688" s="38" t="s">
        <v>25356</v>
      </c>
      <c r="D688" s="38" t="s">
        <v>25498</v>
      </c>
      <c r="E688" s="38" t="s">
        <v>25183</v>
      </c>
      <c r="F688" s="38" t="s">
        <v>25092</v>
      </c>
      <c r="G688" s="28" t="s">
        <v>19229</v>
      </c>
      <c r="H688" s="28" t="s">
        <v>19240</v>
      </c>
      <c r="I688" s="30">
        <v>45241</v>
      </c>
      <c r="J688" s="30">
        <v>45244</v>
      </c>
      <c r="K688" s="51">
        <v>4</v>
      </c>
      <c r="L688" s="29"/>
      <c r="M688" s="27" t="s">
        <v>25431</v>
      </c>
    </row>
    <row r="689" spans="1:13" s="27" customFormat="1" ht="17.25" customHeight="1" x14ac:dyDescent="0.25">
      <c r="A689" s="28" t="s">
        <v>10</v>
      </c>
      <c r="B689" s="28">
        <v>98500553</v>
      </c>
      <c r="C689" s="38" t="s">
        <v>25353</v>
      </c>
      <c r="D689" s="38" t="s">
        <v>25177</v>
      </c>
      <c r="E689" s="38" t="s">
        <v>25359</v>
      </c>
      <c r="F689" s="38" t="s">
        <v>24986</v>
      </c>
      <c r="G689" s="28" t="s">
        <v>19229</v>
      </c>
      <c r="H689" s="28" t="s">
        <v>19238</v>
      </c>
      <c r="I689" s="30">
        <v>45241</v>
      </c>
      <c r="J689" s="30">
        <v>45255</v>
      </c>
      <c r="K689" s="51">
        <v>15</v>
      </c>
      <c r="L689" s="29"/>
      <c r="M689" s="27" t="s">
        <v>19257</v>
      </c>
    </row>
    <row r="690" spans="1:13" s="27" customFormat="1" ht="17.25" customHeight="1" x14ac:dyDescent="0.25">
      <c r="A690" s="28" t="s">
        <v>10</v>
      </c>
      <c r="B690" s="28">
        <v>1192911912</v>
      </c>
      <c r="C690" s="38" t="s">
        <v>25302</v>
      </c>
      <c r="D690" s="38" t="s">
        <v>26006</v>
      </c>
      <c r="E690" s="38" t="s">
        <v>26007</v>
      </c>
      <c r="F690" s="38" t="s">
        <v>25010</v>
      </c>
      <c r="G690" s="28" t="s">
        <v>19229</v>
      </c>
      <c r="H690" s="28" t="s">
        <v>19239</v>
      </c>
      <c r="I690" s="30">
        <v>45244</v>
      </c>
      <c r="J690" s="30">
        <v>45248</v>
      </c>
      <c r="K690" s="51">
        <v>5</v>
      </c>
      <c r="L690" s="29">
        <v>1</v>
      </c>
      <c r="M690" s="27" t="s">
        <v>25036</v>
      </c>
    </row>
    <row r="691" spans="1:13" s="27" customFormat="1" ht="17.25" customHeight="1" x14ac:dyDescent="0.25">
      <c r="A691" s="28" t="s">
        <v>10</v>
      </c>
      <c r="B691" s="28">
        <v>75003943</v>
      </c>
      <c r="C691" s="38" t="s">
        <v>25463</v>
      </c>
      <c r="D691" s="38" t="s">
        <v>25498</v>
      </c>
      <c r="E691" s="38" t="s">
        <v>25978</v>
      </c>
      <c r="F691" s="38"/>
      <c r="G691" s="28" t="s">
        <v>19229</v>
      </c>
      <c r="H691" s="28" t="s">
        <v>19238</v>
      </c>
      <c r="I691" s="30">
        <v>45244</v>
      </c>
      <c r="J691" s="30">
        <v>45258</v>
      </c>
      <c r="K691" s="51">
        <v>15</v>
      </c>
      <c r="L691" s="29"/>
      <c r="M691" s="27" t="s">
        <v>19257</v>
      </c>
    </row>
    <row r="692" spans="1:13" s="27" customFormat="1" ht="17.25" customHeight="1" x14ac:dyDescent="0.25">
      <c r="A692" s="28" t="s">
        <v>10</v>
      </c>
      <c r="B692" s="28">
        <v>1003304784</v>
      </c>
      <c r="C692" s="38" t="s">
        <v>25456</v>
      </c>
      <c r="D692" s="38" t="s">
        <v>25257</v>
      </c>
      <c r="E692" s="38" t="s">
        <v>25116</v>
      </c>
      <c r="F692" s="38" t="s">
        <v>25255</v>
      </c>
      <c r="G692" s="28" t="s">
        <v>19229</v>
      </c>
      <c r="H692" s="28" t="s">
        <v>19239</v>
      </c>
      <c r="I692" s="30">
        <v>45245</v>
      </c>
      <c r="J692" s="30">
        <v>45245</v>
      </c>
      <c r="K692" s="51">
        <v>1</v>
      </c>
      <c r="L692" s="29">
        <v>6</v>
      </c>
      <c r="M692" s="27" t="s">
        <v>25036</v>
      </c>
    </row>
    <row r="693" spans="1:13" s="27" customFormat="1" ht="17.25" customHeight="1" x14ac:dyDescent="0.25">
      <c r="A693" s="28" t="s">
        <v>10</v>
      </c>
      <c r="B693" s="28">
        <v>71744485</v>
      </c>
      <c r="C693" s="38" t="s">
        <v>25284</v>
      </c>
      <c r="D693" s="38" t="s">
        <v>25111</v>
      </c>
      <c r="E693" s="38" t="s">
        <v>25210</v>
      </c>
      <c r="F693" s="38" t="s">
        <v>25110</v>
      </c>
      <c r="G693" s="28" t="s">
        <v>19229</v>
      </c>
      <c r="H693" s="28" t="s">
        <v>19238</v>
      </c>
      <c r="I693" s="30">
        <v>45245</v>
      </c>
      <c r="J693" s="30">
        <v>45259</v>
      </c>
      <c r="K693" s="51">
        <v>15</v>
      </c>
      <c r="L693" s="29"/>
      <c r="M693" s="27" t="s">
        <v>19257</v>
      </c>
    </row>
    <row r="694" spans="1:13" s="27" customFormat="1" ht="17.25" customHeight="1" x14ac:dyDescent="0.25">
      <c r="A694" s="28" t="s">
        <v>10</v>
      </c>
      <c r="B694" s="28">
        <v>71797878</v>
      </c>
      <c r="C694" s="38" t="s">
        <v>25161</v>
      </c>
      <c r="D694" s="38" t="s">
        <v>25578</v>
      </c>
      <c r="E694" s="38" t="s">
        <v>25579</v>
      </c>
      <c r="F694" s="38" t="s">
        <v>25580</v>
      </c>
      <c r="G694" s="28" t="s">
        <v>19229</v>
      </c>
      <c r="H694" s="28" t="s">
        <v>19238</v>
      </c>
      <c r="I694" s="30">
        <v>45245</v>
      </c>
      <c r="J694" s="30">
        <v>45252</v>
      </c>
      <c r="K694" s="51">
        <v>8</v>
      </c>
      <c r="L694" s="29"/>
      <c r="M694" s="27" t="s">
        <v>19257</v>
      </c>
    </row>
    <row r="695" spans="1:13" s="27" customFormat="1" ht="17.25" customHeight="1" x14ac:dyDescent="0.25">
      <c r="A695" s="28" t="s">
        <v>10</v>
      </c>
      <c r="B695" s="28">
        <v>15922984</v>
      </c>
      <c r="C695" s="28" t="s">
        <v>25161</v>
      </c>
      <c r="D695" s="28" t="s">
        <v>26045</v>
      </c>
      <c r="E695" s="28" t="s">
        <v>25106</v>
      </c>
      <c r="F695" s="28"/>
      <c r="G695" s="28" t="s">
        <v>19229</v>
      </c>
      <c r="H695" s="28" t="s">
        <v>19238</v>
      </c>
      <c r="I695" s="30">
        <v>45246</v>
      </c>
      <c r="J695" s="30">
        <v>45260</v>
      </c>
      <c r="K695" s="51">
        <v>15</v>
      </c>
      <c r="L695" s="29"/>
      <c r="M695" s="27" t="s">
        <v>19257</v>
      </c>
    </row>
    <row r="696" spans="1:13" s="27" customFormat="1" ht="17.25" customHeight="1" x14ac:dyDescent="0.25">
      <c r="A696" s="28" t="s">
        <v>10</v>
      </c>
      <c r="B696" s="28">
        <v>1001165042</v>
      </c>
      <c r="C696" s="38" t="s">
        <v>25127</v>
      </c>
      <c r="D696" s="38" t="s">
        <v>25420</v>
      </c>
      <c r="E696" s="38" t="s">
        <v>25571</v>
      </c>
      <c r="F696" s="38" t="s">
        <v>25020</v>
      </c>
      <c r="G696" s="28" t="s">
        <v>19229</v>
      </c>
      <c r="H696" s="28" t="s">
        <v>19238</v>
      </c>
      <c r="I696" s="30">
        <v>45246</v>
      </c>
      <c r="J696" s="30">
        <v>45253</v>
      </c>
      <c r="K696" s="51">
        <v>8</v>
      </c>
      <c r="L696" s="29"/>
      <c r="M696" s="27" t="s">
        <v>19257</v>
      </c>
    </row>
    <row r="697" spans="1:13" s="27" customFormat="1" ht="17.25" customHeight="1" x14ac:dyDescent="0.25">
      <c r="A697" s="28" t="s">
        <v>10</v>
      </c>
      <c r="B697" s="28">
        <v>1045140986</v>
      </c>
      <c r="C697" s="38" t="s">
        <v>25145</v>
      </c>
      <c r="D697" s="38" t="s">
        <v>25646</v>
      </c>
      <c r="E697" s="38" t="s">
        <v>26048</v>
      </c>
      <c r="F697" s="38" t="s">
        <v>25010</v>
      </c>
      <c r="G697" s="28" t="s">
        <v>19229</v>
      </c>
      <c r="H697" s="28" t="s">
        <v>19238</v>
      </c>
      <c r="I697" s="30">
        <v>45246</v>
      </c>
      <c r="J697" s="30">
        <v>45253</v>
      </c>
      <c r="K697" s="51">
        <v>8</v>
      </c>
      <c r="L697" s="29"/>
      <c r="M697" s="27" t="s">
        <v>19257</v>
      </c>
    </row>
    <row r="698" spans="1:13" s="27" customFormat="1" ht="17.25" customHeight="1" x14ac:dyDescent="0.25">
      <c r="A698" s="28" t="s">
        <v>10</v>
      </c>
      <c r="B698" s="28">
        <v>70852525</v>
      </c>
      <c r="C698" s="38" t="s">
        <v>26049</v>
      </c>
      <c r="D698" s="38" t="s">
        <v>26050</v>
      </c>
      <c r="E698" s="38" t="s">
        <v>26051</v>
      </c>
      <c r="F698" s="38" t="s">
        <v>25064</v>
      </c>
      <c r="G698" s="28" t="s">
        <v>19229</v>
      </c>
      <c r="H698" s="28" t="s">
        <v>19238</v>
      </c>
      <c r="I698" s="30">
        <v>45246</v>
      </c>
      <c r="J698" s="30">
        <v>45260</v>
      </c>
      <c r="K698" s="51">
        <v>15</v>
      </c>
      <c r="L698" s="29"/>
      <c r="M698" s="27" t="s">
        <v>19257</v>
      </c>
    </row>
    <row r="699" spans="1:13" s="27" customFormat="1" ht="17.25" customHeight="1" x14ac:dyDescent="0.25">
      <c r="A699" s="28" t="s">
        <v>10</v>
      </c>
      <c r="B699" s="28">
        <v>94391611</v>
      </c>
      <c r="C699" s="38" t="s">
        <v>25463</v>
      </c>
      <c r="D699" s="38" t="s">
        <v>26052</v>
      </c>
      <c r="E699" s="38" t="s">
        <v>25255</v>
      </c>
      <c r="F699" s="38" t="s">
        <v>24986</v>
      </c>
      <c r="G699" s="28" t="s">
        <v>19229</v>
      </c>
      <c r="H699" s="28" t="s">
        <v>19238</v>
      </c>
      <c r="I699" s="30">
        <v>45246</v>
      </c>
      <c r="J699" s="30">
        <v>45260</v>
      </c>
      <c r="K699" s="51">
        <v>15</v>
      </c>
      <c r="L699" s="29"/>
      <c r="M699" s="27" t="s">
        <v>19257</v>
      </c>
    </row>
    <row r="700" spans="1:13" s="27" customFormat="1" ht="17.25" customHeight="1" x14ac:dyDescent="0.25">
      <c r="A700" s="28" t="s">
        <v>10</v>
      </c>
      <c r="B700" s="28">
        <v>1001165042</v>
      </c>
      <c r="C700" s="38" t="s">
        <v>25127</v>
      </c>
      <c r="D700" s="38" t="s">
        <v>25420</v>
      </c>
      <c r="E700" s="38" t="s">
        <v>25571</v>
      </c>
      <c r="F700" s="38" t="s">
        <v>25020</v>
      </c>
      <c r="G700" s="28" t="s">
        <v>19229</v>
      </c>
      <c r="H700" s="28" t="s">
        <v>19238</v>
      </c>
      <c r="I700" s="30">
        <v>45246</v>
      </c>
      <c r="J700" s="30">
        <v>45259</v>
      </c>
      <c r="K700" s="51">
        <v>8</v>
      </c>
      <c r="L700" s="29"/>
      <c r="M700" s="27" t="s">
        <v>19257</v>
      </c>
    </row>
    <row r="701" spans="1:13" s="27" customFormat="1" ht="17.25" customHeight="1" x14ac:dyDescent="0.25">
      <c r="A701" s="28" t="s">
        <v>10</v>
      </c>
      <c r="B701" s="28">
        <v>15610445</v>
      </c>
      <c r="C701" s="38" t="s">
        <v>25085</v>
      </c>
      <c r="D701" s="38" t="s">
        <v>25335</v>
      </c>
      <c r="E701" s="38" t="s">
        <v>26053</v>
      </c>
      <c r="F701" s="38" t="s">
        <v>25291</v>
      </c>
      <c r="G701" s="28" t="s">
        <v>19229</v>
      </c>
      <c r="H701" s="28" t="s">
        <v>19238</v>
      </c>
      <c r="I701" s="30">
        <v>45246</v>
      </c>
      <c r="J701" s="30">
        <v>45260</v>
      </c>
      <c r="K701" s="51">
        <v>15</v>
      </c>
      <c r="L701" s="29"/>
      <c r="M701" s="27" t="s">
        <v>19257</v>
      </c>
    </row>
    <row r="702" spans="1:13" s="27" customFormat="1" ht="17.25" customHeight="1" x14ac:dyDescent="0.25">
      <c r="A702" s="28" t="s">
        <v>10</v>
      </c>
      <c r="B702" s="28">
        <v>70252687</v>
      </c>
      <c r="C702" s="38" t="s">
        <v>25178</v>
      </c>
      <c r="D702" s="38" t="s">
        <v>25248</v>
      </c>
      <c r="E702" s="38" t="s">
        <v>25131</v>
      </c>
      <c r="F702" s="38" t="s">
        <v>25020</v>
      </c>
      <c r="G702" s="28" t="s">
        <v>19229</v>
      </c>
      <c r="H702" s="28" t="s">
        <v>19238</v>
      </c>
      <c r="I702" s="30">
        <v>45247</v>
      </c>
      <c r="J702" s="30">
        <v>45254</v>
      </c>
      <c r="K702" s="51">
        <v>8</v>
      </c>
      <c r="L702" s="29"/>
      <c r="M702" s="27" t="s">
        <v>19257</v>
      </c>
    </row>
    <row r="703" spans="1:13" s="27" customFormat="1" ht="17.25" customHeight="1" x14ac:dyDescent="0.25">
      <c r="A703" s="28" t="s">
        <v>10</v>
      </c>
      <c r="B703" s="28">
        <v>15435083</v>
      </c>
      <c r="C703" s="38" t="s">
        <v>24987</v>
      </c>
      <c r="D703" s="38" t="s">
        <v>25015</v>
      </c>
      <c r="E703" s="38" t="s">
        <v>25091</v>
      </c>
      <c r="F703" s="38" t="s">
        <v>25151</v>
      </c>
      <c r="G703" s="28" t="s">
        <v>19229</v>
      </c>
      <c r="H703" s="28" t="s">
        <v>19238</v>
      </c>
      <c r="I703" s="30">
        <v>45249</v>
      </c>
      <c r="J703" s="30">
        <v>45256</v>
      </c>
      <c r="K703" s="51">
        <v>8</v>
      </c>
      <c r="L703" s="29"/>
      <c r="M703" s="27" t="s">
        <v>19257</v>
      </c>
    </row>
    <row r="704" spans="1:13" s="27" customFormat="1" ht="17.25" customHeight="1" x14ac:dyDescent="0.25">
      <c r="A704" s="28" t="s">
        <v>11</v>
      </c>
      <c r="B704" s="28">
        <v>1038627427</v>
      </c>
      <c r="C704" s="28" t="s">
        <v>25128</v>
      </c>
      <c r="D704" s="28" t="s">
        <v>25519</v>
      </c>
      <c r="E704" s="28" t="s">
        <v>25556</v>
      </c>
      <c r="F704" s="28" t="s">
        <v>25020</v>
      </c>
      <c r="G704" s="28" t="s">
        <v>19229</v>
      </c>
      <c r="H704" s="28" t="s">
        <v>19238</v>
      </c>
      <c r="I704" s="60">
        <v>45249</v>
      </c>
      <c r="J704" s="60">
        <v>45263</v>
      </c>
      <c r="K704" s="51">
        <v>15</v>
      </c>
      <c r="L704" s="29"/>
      <c r="M704" s="27" t="s">
        <v>19257</v>
      </c>
    </row>
    <row r="705" spans="1:13" s="27" customFormat="1" ht="17.25" customHeight="1" x14ac:dyDescent="0.25">
      <c r="A705" s="28" t="s">
        <v>10</v>
      </c>
      <c r="B705" s="28">
        <v>71605406</v>
      </c>
      <c r="C705" s="28" t="s">
        <v>25257</v>
      </c>
      <c r="D705" s="28" t="s">
        <v>26044</v>
      </c>
      <c r="E705" s="28" t="s">
        <v>26042</v>
      </c>
      <c r="F705" s="28" t="s">
        <v>25135</v>
      </c>
      <c r="G705" s="28" t="s">
        <v>19229</v>
      </c>
      <c r="H705" s="28" t="s">
        <v>19238</v>
      </c>
      <c r="I705" s="30">
        <v>45251</v>
      </c>
      <c r="J705" s="30">
        <v>45258</v>
      </c>
      <c r="K705" s="51">
        <v>8</v>
      </c>
      <c r="L705" s="29"/>
      <c r="M705" s="27" t="s">
        <v>19257</v>
      </c>
    </row>
    <row r="706" spans="1:13" s="27" customFormat="1" ht="17.25" customHeight="1" x14ac:dyDescent="0.25">
      <c r="A706" s="28" t="s">
        <v>10</v>
      </c>
      <c r="B706" s="28">
        <v>71746792</v>
      </c>
      <c r="C706" s="38" t="s">
        <v>25415</v>
      </c>
      <c r="D706" s="38" t="s">
        <v>25403</v>
      </c>
      <c r="E706" s="38" t="s">
        <v>26046</v>
      </c>
      <c r="F706" s="38" t="s">
        <v>25033</v>
      </c>
      <c r="G706" s="28" t="s">
        <v>19229</v>
      </c>
      <c r="H706" s="28" t="s">
        <v>19240</v>
      </c>
      <c r="I706" s="30">
        <v>45252</v>
      </c>
      <c r="J706" s="30">
        <v>45253</v>
      </c>
      <c r="K706" s="51">
        <v>2</v>
      </c>
      <c r="L706" s="29"/>
      <c r="M706" s="27" t="s">
        <v>25431</v>
      </c>
    </row>
    <row r="707" spans="1:13" s="27" customFormat="1" ht="17.25" customHeight="1" x14ac:dyDescent="0.25">
      <c r="A707" s="28" t="s">
        <v>10</v>
      </c>
      <c r="B707" s="28">
        <v>71388762</v>
      </c>
      <c r="C707" s="28" t="s">
        <v>25254</v>
      </c>
      <c r="D707" s="28" t="s">
        <v>25480</v>
      </c>
      <c r="E707" s="28" t="s">
        <v>26043</v>
      </c>
      <c r="F707" s="28" t="s">
        <v>25033</v>
      </c>
      <c r="G707" s="28" t="s">
        <v>19229</v>
      </c>
      <c r="H707" s="28" t="s">
        <v>19238</v>
      </c>
      <c r="I707" s="30">
        <v>45253</v>
      </c>
      <c r="J707" s="30">
        <v>45260</v>
      </c>
      <c r="K707" s="51">
        <v>8</v>
      </c>
      <c r="L707" s="29"/>
      <c r="M707" s="27" t="s">
        <v>19257</v>
      </c>
    </row>
    <row r="708" spans="1:13" s="27" customFormat="1" ht="17.25" customHeight="1" x14ac:dyDescent="0.25">
      <c r="A708" s="28" t="s">
        <v>10</v>
      </c>
      <c r="B708" s="28">
        <v>1045140986</v>
      </c>
      <c r="C708" s="38" t="s">
        <v>25145</v>
      </c>
      <c r="D708" s="38" t="s">
        <v>25646</v>
      </c>
      <c r="E708" s="38" t="s">
        <v>26048</v>
      </c>
      <c r="F708" s="38" t="s">
        <v>25010</v>
      </c>
      <c r="G708" s="28" t="s">
        <v>19229</v>
      </c>
      <c r="H708" s="28" t="s">
        <v>19238</v>
      </c>
      <c r="I708" s="30">
        <v>45254</v>
      </c>
      <c r="J708" s="30">
        <v>45261</v>
      </c>
      <c r="K708" s="51">
        <v>8</v>
      </c>
      <c r="L708" s="29"/>
      <c r="M708" s="27" t="s">
        <v>19257</v>
      </c>
    </row>
    <row r="709" spans="1:13" s="27" customFormat="1" ht="17.25" customHeight="1" x14ac:dyDescent="0.25">
      <c r="A709" s="28" t="s">
        <v>10</v>
      </c>
      <c r="B709" s="28">
        <v>1001165042</v>
      </c>
      <c r="C709" s="38" t="s">
        <v>25127</v>
      </c>
      <c r="D709" s="38" t="s">
        <v>25420</v>
      </c>
      <c r="E709" s="38" t="s">
        <v>25571</v>
      </c>
      <c r="F709" s="38" t="s">
        <v>25020</v>
      </c>
      <c r="G709" s="28" t="s">
        <v>19229</v>
      </c>
      <c r="H709" s="28" t="s">
        <v>19238</v>
      </c>
      <c r="I709" s="30">
        <v>45254</v>
      </c>
      <c r="J709" s="30">
        <v>45261</v>
      </c>
      <c r="K709" s="51">
        <v>8</v>
      </c>
      <c r="L709" s="29"/>
      <c r="M709" s="27" t="s">
        <v>19257</v>
      </c>
    </row>
    <row r="710" spans="1:13" s="27" customFormat="1" ht="17.25" customHeight="1" x14ac:dyDescent="0.25">
      <c r="A710" s="28" t="s">
        <v>10</v>
      </c>
      <c r="B710" s="28">
        <v>1128467712</v>
      </c>
      <c r="C710" s="38" t="s">
        <v>25456</v>
      </c>
      <c r="D710" s="38" t="s">
        <v>19258</v>
      </c>
      <c r="E710" s="38" t="s">
        <v>25879</v>
      </c>
      <c r="F710" s="38" t="s">
        <v>25880</v>
      </c>
      <c r="G710" s="28" t="s">
        <v>26047</v>
      </c>
      <c r="H710" s="28" t="s">
        <v>19240</v>
      </c>
      <c r="I710" s="30">
        <v>45255</v>
      </c>
      <c r="J710" s="30">
        <v>45255</v>
      </c>
      <c r="K710" s="51">
        <v>1</v>
      </c>
      <c r="L710" s="29"/>
      <c r="M710" s="27" t="s">
        <v>25431</v>
      </c>
    </row>
    <row r="711" spans="1:13" s="27" customFormat="1" ht="17.25" customHeight="1" x14ac:dyDescent="0.25">
      <c r="A711" s="28" t="s">
        <v>10</v>
      </c>
      <c r="B711" s="28">
        <v>1036640034</v>
      </c>
      <c r="C711" s="38" t="s">
        <v>25717</v>
      </c>
      <c r="D711" s="38" t="s">
        <v>25310</v>
      </c>
      <c r="E711" s="38" t="s">
        <v>25718</v>
      </c>
      <c r="F711" s="38" t="s">
        <v>25719</v>
      </c>
      <c r="G711" s="28" t="s">
        <v>26005</v>
      </c>
      <c r="H711" s="28" t="s">
        <v>19240</v>
      </c>
      <c r="I711" s="30">
        <v>45257</v>
      </c>
      <c r="J711" s="30">
        <v>45260</v>
      </c>
      <c r="K711" s="51">
        <v>4</v>
      </c>
      <c r="L711" s="29"/>
      <c r="M711" s="27" t="s">
        <v>25431</v>
      </c>
    </row>
    <row r="712" spans="1:13" s="27" customFormat="1" ht="17.25" customHeight="1" x14ac:dyDescent="0.25">
      <c r="A712" s="28" t="s">
        <v>10</v>
      </c>
      <c r="B712" s="28">
        <v>1076325518</v>
      </c>
      <c r="C712" s="38" t="s">
        <v>26008</v>
      </c>
      <c r="D712" s="38" t="s">
        <v>26009</v>
      </c>
      <c r="E712" s="38" t="s">
        <v>25089</v>
      </c>
      <c r="F712" s="38" t="s">
        <v>25066</v>
      </c>
      <c r="G712" s="28" t="s">
        <v>19285</v>
      </c>
      <c r="H712" s="28" t="s">
        <v>19239</v>
      </c>
      <c r="I712" s="30">
        <v>45257</v>
      </c>
      <c r="J712" s="30">
        <v>45257</v>
      </c>
      <c r="K712" s="51">
        <v>1</v>
      </c>
      <c r="L712" s="29">
        <v>15</v>
      </c>
      <c r="M712" s="27" t="s">
        <v>25036</v>
      </c>
    </row>
    <row r="713" spans="1:13" s="27" customFormat="1" ht="17.25" customHeight="1" x14ac:dyDescent="0.25">
      <c r="A713" s="28" t="s">
        <v>10</v>
      </c>
      <c r="B713" s="28">
        <v>1128471389</v>
      </c>
      <c r="C713" s="38" t="s">
        <v>25426</v>
      </c>
      <c r="D713" s="38" t="s">
        <v>25015</v>
      </c>
      <c r="E713" s="38" t="s">
        <v>26010</v>
      </c>
      <c r="F713" s="38" t="s">
        <v>25110</v>
      </c>
      <c r="G713" s="28" t="s">
        <v>19229</v>
      </c>
      <c r="H713" s="28" t="s">
        <v>19239</v>
      </c>
      <c r="I713" s="30">
        <v>45257</v>
      </c>
      <c r="J713" s="30">
        <v>45261</v>
      </c>
      <c r="K713" s="51">
        <v>5</v>
      </c>
      <c r="L713" s="29">
        <v>1</v>
      </c>
      <c r="M713" s="27" t="s">
        <v>25036</v>
      </c>
    </row>
    <row r="714" spans="1:13" s="27" customFormat="1" ht="17.25" customHeight="1" x14ac:dyDescent="0.25">
      <c r="A714" s="28" t="s">
        <v>10</v>
      </c>
      <c r="B714" s="28">
        <v>15435083</v>
      </c>
      <c r="C714" s="38" t="s">
        <v>24987</v>
      </c>
      <c r="D714" s="38" t="s">
        <v>25015</v>
      </c>
      <c r="E714" s="38" t="s">
        <v>25091</v>
      </c>
      <c r="F714" s="38" t="s">
        <v>25151</v>
      </c>
      <c r="G714" s="28" t="s">
        <v>19229</v>
      </c>
      <c r="H714" s="28" t="s">
        <v>19238</v>
      </c>
      <c r="I714" s="30">
        <v>45257</v>
      </c>
      <c r="J714" s="30">
        <v>45264</v>
      </c>
      <c r="K714" s="51">
        <v>8</v>
      </c>
      <c r="L714" s="29"/>
      <c r="M714" s="27" t="s">
        <v>19257</v>
      </c>
    </row>
    <row r="715" spans="1:13" s="27" customFormat="1" ht="17.25" customHeight="1" x14ac:dyDescent="0.25">
      <c r="A715" s="28" t="s">
        <v>10</v>
      </c>
      <c r="B715" s="28">
        <v>1063277942</v>
      </c>
      <c r="C715" s="38" t="s">
        <v>25860</v>
      </c>
      <c r="D715" s="38" t="s">
        <v>26023</v>
      </c>
      <c r="E715" s="38" t="s">
        <v>26024</v>
      </c>
      <c r="F715" s="38" t="s">
        <v>26025</v>
      </c>
      <c r="G715" s="28" t="s">
        <v>19285</v>
      </c>
      <c r="H715" s="28" t="s">
        <v>19239</v>
      </c>
      <c r="I715" s="30">
        <v>45259</v>
      </c>
      <c r="J715" s="30">
        <v>45259</v>
      </c>
      <c r="K715" s="51">
        <v>1</v>
      </c>
      <c r="L715" s="29">
        <v>1</v>
      </c>
      <c r="M715" s="27" t="s">
        <v>25036</v>
      </c>
    </row>
    <row r="716" spans="1:13" s="27" customFormat="1" ht="17.25" customHeight="1" x14ac:dyDescent="0.25">
      <c r="A716" s="28" t="s">
        <v>10</v>
      </c>
      <c r="B716" s="28">
        <v>1035583223</v>
      </c>
      <c r="C716" s="38" t="s">
        <v>25044</v>
      </c>
      <c r="D716" s="38" t="s">
        <v>26009</v>
      </c>
      <c r="E716" s="38" t="s">
        <v>25504</v>
      </c>
      <c r="F716" s="38"/>
      <c r="G716" s="28" t="s">
        <v>19229</v>
      </c>
      <c r="H716" s="28" t="s">
        <v>19239</v>
      </c>
      <c r="I716" s="30">
        <v>45259</v>
      </c>
      <c r="J716" s="30">
        <v>45263</v>
      </c>
      <c r="K716" s="51">
        <v>5</v>
      </c>
      <c r="L716" s="29">
        <v>1</v>
      </c>
      <c r="M716" s="27" t="s">
        <v>25036</v>
      </c>
    </row>
    <row r="717" spans="1:13" s="27" customFormat="1" ht="17.25" customHeight="1" x14ac:dyDescent="0.25">
      <c r="A717" s="28" t="s">
        <v>11</v>
      </c>
      <c r="B717" s="28">
        <v>71388762</v>
      </c>
      <c r="C717" s="38" t="s">
        <v>25254</v>
      </c>
      <c r="D717" s="38" t="s">
        <v>25480</v>
      </c>
      <c r="E717" s="38" t="s">
        <v>26043</v>
      </c>
      <c r="F717" s="38" t="s">
        <v>25033</v>
      </c>
      <c r="G717" s="28" t="s">
        <v>19229</v>
      </c>
      <c r="H717" s="28" t="s">
        <v>19238</v>
      </c>
      <c r="I717" s="30">
        <v>45261</v>
      </c>
      <c r="J717" s="30">
        <v>45268</v>
      </c>
      <c r="K717" s="51">
        <v>8</v>
      </c>
      <c r="L717" s="29"/>
      <c r="M717" s="27" t="s">
        <v>19257</v>
      </c>
    </row>
    <row r="718" spans="1:13" s="27" customFormat="1" ht="17.25" customHeight="1" x14ac:dyDescent="0.25">
      <c r="A718" s="28" t="s">
        <v>11</v>
      </c>
      <c r="B718" s="28">
        <v>71987067</v>
      </c>
      <c r="C718" s="38" t="s">
        <v>25128</v>
      </c>
      <c r="D718" s="38" t="s">
        <v>25129</v>
      </c>
      <c r="E718" s="38" t="s">
        <v>25130</v>
      </c>
      <c r="F718" s="38" t="s">
        <v>25131</v>
      </c>
      <c r="G718" s="28" t="s">
        <v>19229</v>
      </c>
      <c r="H718" s="28" t="s">
        <v>19240</v>
      </c>
      <c r="I718" s="30">
        <v>45261</v>
      </c>
      <c r="J718" s="30">
        <v>45263</v>
      </c>
      <c r="K718" s="51">
        <v>3</v>
      </c>
      <c r="L718" s="29"/>
      <c r="M718" s="27" t="s">
        <v>25431</v>
      </c>
    </row>
    <row r="719" spans="1:13" s="27" customFormat="1" ht="17.25" customHeight="1" x14ac:dyDescent="0.25">
      <c r="A719" s="28" t="s">
        <v>11</v>
      </c>
      <c r="B719" s="28">
        <v>78115561</v>
      </c>
      <c r="C719" s="38" t="s">
        <v>25777</v>
      </c>
      <c r="D719" s="38" t="s">
        <v>25652</v>
      </c>
      <c r="E719" s="38" t="s">
        <v>25778</v>
      </c>
      <c r="F719" s="38" t="s">
        <v>25091</v>
      </c>
      <c r="G719" s="28" t="s">
        <v>19229</v>
      </c>
      <c r="H719" s="28" t="s">
        <v>19240</v>
      </c>
      <c r="I719" s="30">
        <v>45261</v>
      </c>
      <c r="J719" s="30">
        <v>45262</v>
      </c>
      <c r="K719" s="51">
        <v>2</v>
      </c>
      <c r="L719" s="29"/>
      <c r="M719" s="27" t="s">
        <v>25431</v>
      </c>
    </row>
    <row r="720" spans="1:13" s="27" customFormat="1" ht="17.25" customHeight="1" x14ac:dyDescent="0.25">
      <c r="A720" s="28" t="s">
        <v>11</v>
      </c>
      <c r="B720" s="28">
        <v>1128480310</v>
      </c>
      <c r="C720" s="38" t="s">
        <v>25508</v>
      </c>
      <c r="D720" s="38" t="s">
        <v>25508</v>
      </c>
      <c r="E720" s="38" t="s">
        <v>25089</v>
      </c>
      <c r="F720" s="38" t="s">
        <v>25135</v>
      </c>
      <c r="G720" s="28" t="s">
        <v>19229</v>
      </c>
      <c r="H720" s="28" t="s">
        <v>19240</v>
      </c>
      <c r="I720" s="30">
        <v>45262</v>
      </c>
      <c r="J720" s="30">
        <v>45263</v>
      </c>
      <c r="K720" s="51">
        <v>1</v>
      </c>
      <c r="L720" s="29"/>
      <c r="M720" s="27" t="s">
        <v>25431</v>
      </c>
    </row>
    <row r="721" spans="1:13" s="27" customFormat="1" ht="17.25" customHeight="1" x14ac:dyDescent="0.25">
      <c r="A721" s="28" t="s">
        <v>11</v>
      </c>
      <c r="B721" s="38">
        <v>72043118</v>
      </c>
      <c r="C721" s="38" t="s">
        <v>25068</v>
      </c>
      <c r="D721" s="38" t="s">
        <v>25069</v>
      </c>
      <c r="E721" s="38" t="s">
        <v>25070</v>
      </c>
      <c r="F721" s="38" t="s">
        <v>25071</v>
      </c>
      <c r="G721" s="28" t="s">
        <v>19229</v>
      </c>
      <c r="H721" s="28" t="s">
        <v>19240</v>
      </c>
      <c r="I721" s="30">
        <v>45262</v>
      </c>
      <c r="J721" s="30">
        <v>45264</v>
      </c>
      <c r="K721" s="51">
        <v>2</v>
      </c>
      <c r="L721" s="29"/>
      <c r="M721" s="27" t="s">
        <v>25431</v>
      </c>
    </row>
    <row r="722" spans="1:13" s="27" customFormat="1" ht="17.25" customHeight="1" x14ac:dyDescent="0.25">
      <c r="A722" s="28" t="s">
        <v>11</v>
      </c>
      <c r="B722" s="28">
        <v>70108742</v>
      </c>
      <c r="C722" s="38" t="s">
        <v>25111</v>
      </c>
      <c r="D722" s="38" t="s">
        <v>25551</v>
      </c>
      <c r="E722" s="38" t="s">
        <v>25087</v>
      </c>
      <c r="F722" s="38"/>
      <c r="G722" s="28" t="s">
        <v>19229</v>
      </c>
      <c r="H722" s="28" t="s">
        <v>19240</v>
      </c>
      <c r="I722" s="30">
        <v>45262</v>
      </c>
      <c r="J722" s="30">
        <v>45262</v>
      </c>
      <c r="K722" s="51">
        <v>1</v>
      </c>
      <c r="L722" s="29"/>
      <c r="M722" s="27" t="s">
        <v>25431</v>
      </c>
    </row>
    <row r="723" spans="1:13" s="27" customFormat="1" ht="17.25" customHeight="1" x14ac:dyDescent="0.25">
      <c r="A723" s="28" t="s">
        <v>11</v>
      </c>
      <c r="B723" s="28">
        <v>3592467</v>
      </c>
      <c r="C723" s="38" t="s">
        <v>25426</v>
      </c>
      <c r="D723" s="38" t="s">
        <v>25105</v>
      </c>
      <c r="E723" s="38" t="s">
        <v>25028</v>
      </c>
      <c r="F723" s="38" t="s">
        <v>25371</v>
      </c>
      <c r="G723" s="28" t="s">
        <v>19229</v>
      </c>
      <c r="H723" s="28" t="s">
        <v>19240</v>
      </c>
      <c r="I723" s="30">
        <v>45267</v>
      </c>
      <c r="J723" s="30">
        <v>45268</v>
      </c>
      <c r="K723" s="51">
        <v>2</v>
      </c>
      <c r="L723" s="29"/>
      <c r="M723" s="27" t="s">
        <v>25431</v>
      </c>
    </row>
    <row r="724" spans="1:13" s="27" customFormat="1" ht="17.25" customHeight="1" x14ac:dyDescent="0.25">
      <c r="A724" s="28" t="s">
        <v>11</v>
      </c>
      <c r="B724" s="28">
        <v>1128471389</v>
      </c>
      <c r="C724" s="38" t="s">
        <v>25426</v>
      </c>
      <c r="D724" s="38" t="s">
        <v>25015</v>
      </c>
      <c r="E724" s="38" t="s">
        <v>26030</v>
      </c>
      <c r="F724" s="38" t="s">
        <v>25110</v>
      </c>
      <c r="G724" s="28" t="s">
        <v>19229</v>
      </c>
      <c r="H724" s="28" t="s">
        <v>19240</v>
      </c>
      <c r="I724" s="30">
        <v>45267</v>
      </c>
      <c r="J724" s="30">
        <v>45272</v>
      </c>
      <c r="K724" s="51">
        <v>6</v>
      </c>
      <c r="L724" s="29"/>
      <c r="M724" s="27" t="s">
        <v>26031</v>
      </c>
    </row>
    <row r="725" spans="1:13" s="27" customFormat="1" ht="17.25" customHeight="1" x14ac:dyDescent="0.25">
      <c r="A725" s="28" t="s">
        <v>11</v>
      </c>
      <c r="B725" s="28">
        <v>71020088</v>
      </c>
      <c r="C725" s="28" t="s">
        <v>25815</v>
      </c>
      <c r="D725" s="28" t="s">
        <v>25816</v>
      </c>
      <c r="E725" s="28" t="s">
        <v>25396</v>
      </c>
      <c r="F725" s="28" t="s">
        <v>25103</v>
      </c>
      <c r="G725" s="28" t="s">
        <v>19229</v>
      </c>
      <c r="H725" s="28" t="s">
        <v>19240</v>
      </c>
      <c r="I725" s="30">
        <v>45268</v>
      </c>
      <c r="J725" s="30">
        <v>45268</v>
      </c>
      <c r="K725" s="51">
        <v>1</v>
      </c>
      <c r="L725" s="29"/>
      <c r="M725" s="27" t="s">
        <v>25431</v>
      </c>
    </row>
    <row r="726" spans="1:13" s="27" customFormat="1" ht="17.25" customHeight="1" x14ac:dyDescent="0.25">
      <c r="A726" s="28" t="s">
        <v>11</v>
      </c>
      <c r="B726" s="28">
        <v>70786990</v>
      </c>
      <c r="C726" s="28" t="s">
        <v>25004</v>
      </c>
      <c r="D726" s="28" t="s">
        <v>25401</v>
      </c>
      <c r="E726" s="28" t="s">
        <v>25713</v>
      </c>
      <c r="F726" s="28" t="s">
        <v>25103</v>
      </c>
      <c r="G726" s="28" t="s">
        <v>19229</v>
      </c>
      <c r="H726" s="28" t="s">
        <v>19240</v>
      </c>
      <c r="I726" s="30">
        <v>45268</v>
      </c>
      <c r="J726" s="30">
        <v>45268</v>
      </c>
      <c r="K726" s="51">
        <v>1</v>
      </c>
      <c r="L726" s="29"/>
      <c r="M726" s="27" t="s">
        <v>25431</v>
      </c>
    </row>
    <row r="727" spans="1:13" s="27" customFormat="1" ht="17.25" customHeight="1" x14ac:dyDescent="0.25">
      <c r="A727" s="28" t="s">
        <v>11</v>
      </c>
      <c r="B727" s="28">
        <v>8432539</v>
      </c>
      <c r="C727" s="38" t="s">
        <v>25459</v>
      </c>
      <c r="D727" s="38" t="s">
        <v>25065</v>
      </c>
      <c r="E727" s="38" t="s">
        <v>26026</v>
      </c>
      <c r="F727" s="38" t="s">
        <v>25162</v>
      </c>
      <c r="G727" s="28" t="s">
        <v>19229</v>
      </c>
      <c r="H727" s="28" t="s">
        <v>19239</v>
      </c>
      <c r="I727" s="30">
        <v>45271</v>
      </c>
      <c r="J727" s="30">
        <v>45275</v>
      </c>
      <c r="K727" s="51">
        <v>5</v>
      </c>
      <c r="L727" s="29">
        <v>6</v>
      </c>
      <c r="M727" s="27" t="s">
        <v>25911</v>
      </c>
    </row>
    <row r="728" spans="1:13" s="27" customFormat="1" ht="17.25" customHeight="1" x14ac:dyDescent="0.25">
      <c r="A728" s="28" t="s">
        <v>26029</v>
      </c>
      <c r="B728" s="28">
        <v>1039760977</v>
      </c>
      <c r="C728" s="38" t="s">
        <v>25973</v>
      </c>
      <c r="D728" s="38" t="s">
        <v>25094</v>
      </c>
      <c r="E728" s="38" t="s">
        <v>26028</v>
      </c>
      <c r="F728" s="38" t="s">
        <v>25051</v>
      </c>
      <c r="G728" s="28" t="s">
        <v>19285</v>
      </c>
      <c r="H728" s="28" t="s">
        <v>19239</v>
      </c>
      <c r="I728" s="30">
        <v>45273</v>
      </c>
      <c r="J728" s="30">
        <v>45274</v>
      </c>
      <c r="K728" s="51">
        <v>2</v>
      </c>
      <c r="L728" s="29">
        <v>1</v>
      </c>
      <c r="M728" s="27" t="s">
        <v>25036</v>
      </c>
    </row>
    <row r="729" spans="1:13" s="27" customFormat="1" ht="17.25" customHeight="1" x14ac:dyDescent="0.25">
      <c r="A729" s="28" t="s">
        <v>11</v>
      </c>
      <c r="B729" s="28">
        <v>70541910</v>
      </c>
      <c r="C729" s="38" t="s">
        <v>26032</v>
      </c>
      <c r="D729" s="38"/>
      <c r="E729" s="38" t="s">
        <v>25853</v>
      </c>
      <c r="F729" s="38" t="s">
        <v>25734</v>
      </c>
      <c r="G729" s="28" t="s">
        <v>19229</v>
      </c>
      <c r="H729" s="28" t="s">
        <v>19239</v>
      </c>
      <c r="I729" s="30">
        <v>45275</v>
      </c>
      <c r="J729" s="30">
        <v>45277</v>
      </c>
      <c r="K729" s="51">
        <v>3</v>
      </c>
      <c r="L729" s="29">
        <v>6</v>
      </c>
      <c r="M729" s="27" t="s">
        <v>25067</v>
      </c>
    </row>
    <row r="730" spans="1:13" s="27" customFormat="1" ht="17.25" customHeight="1" x14ac:dyDescent="0.25">
      <c r="A730" s="28" t="s">
        <v>11</v>
      </c>
      <c r="B730" s="28">
        <v>1067892509</v>
      </c>
      <c r="C730" s="38" t="s">
        <v>25247</v>
      </c>
      <c r="D730" s="38" t="s">
        <v>25312</v>
      </c>
      <c r="E730" s="38" t="s">
        <v>25808</v>
      </c>
      <c r="F730" s="38" t="s">
        <v>25395</v>
      </c>
      <c r="G730" s="28" t="s">
        <v>25328</v>
      </c>
      <c r="H730" s="28" t="s">
        <v>19239</v>
      </c>
      <c r="I730" s="30">
        <v>45275</v>
      </c>
      <c r="J730" s="30">
        <v>45275</v>
      </c>
      <c r="K730" s="51">
        <v>1</v>
      </c>
      <c r="L730" s="29">
        <v>4</v>
      </c>
      <c r="M730" s="27" t="s">
        <v>25036</v>
      </c>
    </row>
    <row r="731" spans="1:13" s="27" customFormat="1" ht="17.25" customHeight="1" x14ac:dyDescent="0.25">
      <c r="A731" s="28" t="s">
        <v>11</v>
      </c>
      <c r="B731" s="28">
        <v>98493617</v>
      </c>
      <c r="C731" s="38" t="s">
        <v>25085</v>
      </c>
      <c r="D731" s="38" t="s">
        <v>25189</v>
      </c>
      <c r="E731" s="38" t="s">
        <v>25188</v>
      </c>
      <c r="F731" s="38" t="s">
        <v>25057</v>
      </c>
      <c r="G731" s="28" t="s">
        <v>19229</v>
      </c>
      <c r="H731" s="28" t="s">
        <v>19240</v>
      </c>
      <c r="I731" s="30">
        <v>45287</v>
      </c>
      <c r="J731" s="30">
        <v>45291</v>
      </c>
      <c r="K731" s="51">
        <v>5</v>
      </c>
      <c r="L731" s="29"/>
      <c r="M731" s="27" t="s">
        <v>26106</v>
      </c>
    </row>
    <row r="732" spans="1:13" s="27" customFormat="1" ht="17.25" customHeight="1" x14ac:dyDescent="0.25">
      <c r="A732" s="28" t="s">
        <v>11</v>
      </c>
      <c r="B732" s="28">
        <v>1003195571</v>
      </c>
      <c r="C732" s="38" t="s">
        <v>25547</v>
      </c>
      <c r="D732" s="38" t="s">
        <v>26038</v>
      </c>
      <c r="E732" s="38" t="s">
        <v>25263</v>
      </c>
      <c r="F732" s="38" t="s">
        <v>25213</v>
      </c>
      <c r="G732" s="28" t="s">
        <v>26039</v>
      </c>
      <c r="H732" s="28" t="s">
        <v>19240</v>
      </c>
      <c r="I732" s="30">
        <v>45288</v>
      </c>
      <c r="J732" s="30">
        <v>45293</v>
      </c>
      <c r="K732" s="51">
        <v>6</v>
      </c>
      <c r="L732" s="29"/>
      <c r="M732" s="27" t="s">
        <v>26031</v>
      </c>
    </row>
    <row r="733" spans="1:13" s="27" customFormat="1" ht="17.25" customHeight="1" x14ac:dyDescent="0.25">
      <c r="A733" s="28" t="s">
        <v>0</v>
      </c>
      <c r="B733" s="28">
        <v>8056876</v>
      </c>
      <c r="C733" s="38" t="s">
        <v>25314</v>
      </c>
      <c r="D733" s="38" t="s">
        <v>25254</v>
      </c>
      <c r="E733" s="38" t="s">
        <v>25039</v>
      </c>
      <c r="F733" s="38" t="s">
        <v>25040</v>
      </c>
      <c r="G733" s="28" t="s">
        <v>19229</v>
      </c>
      <c r="H733" s="28" t="s">
        <v>19240</v>
      </c>
      <c r="I733" s="30">
        <v>45292</v>
      </c>
      <c r="J733" s="30">
        <v>45296</v>
      </c>
      <c r="K733" s="51">
        <v>5</v>
      </c>
      <c r="L733" s="29"/>
      <c r="M733" s="27" t="s">
        <v>25374</v>
      </c>
    </row>
    <row r="734" spans="1:13" s="27" customFormat="1" ht="17.25" customHeight="1" x14ac:dyDescent="0.25">
      <c r="A734" s="28" t="s">
        <v>0</v>
      </c>
      <c r="B734" s="28">
        <v>8056876</v>
      </c>
      <c r="C734" s="38" t="s">
        <v>25314</v>
      </c>
      <c r="D734" s="38" t="s">
        <v>25254</v>
      </c>
      <c r="E734" s="38" t="s">
        <v>24986</v>
      </c>
      <c r="F734" s="38" t="s">
        <v>25040</v>
      </c>
      <c r="G734" s="28" t="s">
        <v>19229</v>
      </c>
      <c r="H734" s="28" t="s">
        <v>19240</v>
      </c>
      <c r="I734" s="30">
        <v>45292</v>
      </c>
      <c r="J734" s="30">
        <v>45296</v>
      </c>
      <c r="K734" s="51">
        <v>5</v>
      </c>
      <c r="L734" s="29"/>
      <c r="M734" s="27" t="s">
        <v>24991</v>
      </c>
    </row>
    <row r="735" spans="1:13" s="27" customFormat="1" ht="17.25" customHeight="1" x14ac:dyDescent="0.25">
      <c r="A735" s="28" t="s">
        <v>0</v>
      </c>
      <c r="B735" s="28">
        <v>1133869996</v>
      </c>
      <c r="C735" s="38" t="s">
        <v>25008</v>
      </c>
      <c r="D735" s="38" t="s">
        <v>25257</v>
      </c>
      <c r="E735" s="38" t="s">
        <v>25577</v>
      </c>
      <c r="F735" s="38" t="s">
        <v>25135</v>
      </c>
      <c r="G735" s="28" t="s">
        <v>19229</v>
      </c>
      <c r="H735" s="28" t="s">
        <v>19238</v>
      </c>
      <c r="I735" s="30">
        <v>45292</v>
      </c>
      <c r="J735" s="30">
        <v>45306</v>
      </c>
      <c r="K735" s="51">
        <v>15</v>
      </c>
      <c r="L735" s="29"/>
      <c r="M735" s="27" t="s">
        <v>19257</v>
      </c>
    </row>
    <row r="736" spans="1:13" s="27" customFormat="1" ht="17.25" customHeight="1" x14ac:dyDescent="0.25">
      <c r="A736" s="28" t="s">
        <v>0</v>
      </c>
      <c r="B736" s="28">
        <v>1028018175</v>
      </c>
      <c r="C736" s="38" t="s">
        <v>25915</v>
      </c>
      <c r="D736" s="38" t="s">
        <v>25916</v>
      </c>
      <c r="E736" s="38" t="s">
        <v>25334</v>
      </c>
      <c r="F736" s="38"/>
      <c r="G736" s="28" t="s">
        <v>19229</v>
      </c>
      <c r="H736" s="28" t="s">
        <v>19240</v>
      </c>
      <c r="I736" s="30">
        <v>45296</v>
      </c>
      <c r="J736" s="30">
        <v>45296</v>
      </c>
      <c r="K736" s="51">
        <v>1</v>
      </c>
      <c r="L736" s="29"/>
      <c r="M736" s="27" t="s">
        <v>24991</v>
      </c>
    </row>
    <row r="737" spans="1:13" s="27" customFormat="1" ht="17.25" customHeight="1" x14ac:dyDescent="0.25">
      <c r="A737" s="28" t="s">
        <v>0</v>
      </c>
      <c r="B737" s="28">
        <v>8056876</v>
      </c>
      <c r="C737" s="38" t="s">
        <v>25314</v>
      </c>
      <c r="D737" s="38" t="s">
        <v>25254</v>
      </c>
      <c r="E737" s="38" t="s">
        <v>25039</v>
      </c>
      <c r="F737" s="38" t="s">
        <v>25040</v>
      </c>
      <c r="G737" s="28" t="s">
        <v>19229</v>
      </c>
      <c r="H737" s="28" t="s">
        <v>19240</v>
      </c>
      <c r="I737" s="30">
        <v>45297</v>
      </c>
      <c r="J737" s="30">
        <v>45306</v>
      </c>
      <c r="K737" s="51">
        <v>10</v>
      </c>
      <c r="L737" s="29"/>
      <c r="M737" s="27" t="s">
        <v>24991</v>
      </c>
    </row>
    <row r="738" spans="1:13" s="27" customFormat="1" ht="17.25" customHeight="1" x14ac:dyDescent="0.25">
      <c r="A738" s="28" t="s">
        <v>0</v>
      </c>
      <c r="B738" s="28">
        <v>8056876</v>
      </c>
      <c r="C738" s="38" t="s">
        <v>25314</v>
      </c>
      <c r="D738" s="38" t="s">
        <v>25254</v>
      </c>
      <c r="E738" s="38" t="s">
        <v>24986</v>
      </c>
      <c r="F738" s="38" t="s">
        <v>25040</v>
      </c>
      <c r="G738" s="28" t="s">
        <v>19229</v>
      </c>
      <c r="H738" s="28" t="s">
        <v>19240</v>
      </c>
      <c r="I738" s="30">
        <v>45297</v>
      </c>
      <c r="J738" s="30">
        <v>45306</v>
      </c>
      <c r="K738" s="51">
        <v>10</v>
      </c>
      <c r="L738" s="29"/>
      <c r="M738" s="27" t="s">
        <v>24991</v>
      </c>
    </row>
    <row r="739" spans="1:13" s="27" customFormat="1" ht="17.25" customHeight="1" x14ac:dyDescent="0.25">
      <c r="A739" s="28" t="s">
        <v>0</v>
      </c>
      <c r="B739" s="28">
        <v>1146436431</v>
      </c>
      <c r="C739" s="38" t="s">
        <v>25440</v>
      </c>
      <c r="D739" s="38" t="s">
        <v>25003</v>
      </c>
      <c r="E739" s="38" t="s">
        <v>25613</v>
      </c>
      <c r="F739" s="38" t="s">
        <v>25651</v>
      </c>
      <c r="G739" s="28" t="s">
        <v>19229</v>
      </c>
      <c r="H739" s="28" t="s">
        <v>19240</v>
      </c>
      <c r="I739" s="30">
        <v>45300</v>
      </c>
      <c r="J739" s="30">
        <v>45301</v>
      </c>
      <c r="K739" s="51">
        <v>2</v>
      </c>
      <c r="L739" s="29"/>
      <c r="M739" s="27" t="s">
        <v>24991</v>
      </c>
    </row>
    <row r="740" spans="1:13" s="27" customFormat="1" ht="17.25" customHeight="1" x14ac:dyDescent="0.25">
      <c r="A740" s="28" t="s">
        <v>0</v>
      </c>
      <c r="B740" s="28">
        <v>71371943</v>
      </c>
      <c r="C740" s="38" t="s">
        <v>25403</v>
      </c>
      <c r="D740" s="38"/>
      <c r="E740" s="38" t="s">
        <v>25545</v>
      </c>
      <c r="F740" s="38" t="s">
        <v>25019</v>
      </c>
      <c r="G740" s="28" t="s">
        <v>19229</v>
      </c>
      <c r="H740" s="28" t="s">
        <v>19240</v>
      </c>
      <c r="I740" s="30">
        <v>45301</v>
      </c>
      <c r="J740" s="30">
        <v>45305</v>
      </c>
      <c r="K740" s="51">
        <v>5</v>
      </c>
      <c r="L740" s="29"/>
      <c r="M740" s="27" t="s">
        <v>24991</v>
      </c>
    </row>
    <row r="741" spans="1:13" s="27" customFormat="1" ht="17.25" customHeight="1" x14ac:dyDescent="0.25">
      <c r="A741" s="28" t="s">
        <v>0</v>
      </c>
      <c r="B741" s="28">
        <v>71771838</v>
      </c>
      <c r="C741" s="38" t="s">
        <v>26088</v>
      </c>
      <c r="D741" s="38" t="s">
        <v>25379</v>
      </c>
      <c r="E741" s="38" t="s">
        <v>25603</v>
      </c>
      <c r="F741" s="38"/>
      <c r="G741" s="28" t="s">
        <v>19229</v>
      </c>
      <c r="H741" s="28" t="s">
        <v>19238</v>
      </c>
      <c r="I741" s="30">
        <v>45301</v>
      </c>
      <c r="J741" s="30">
        <v>45315</v>
      </c>
      <c r="K741" s="51">
        <v>15</v>
      </c>
      <c r="L741" s="29"/>
      <c r="M741" s="27" t="s">
        <v>19257</v>
      </c>
    </row>
    <row r="742" spans="1:13" s="27" customFormat="1" ht="17.25" customHeight="1" x14ac:dyDescent="0.25">
      <c r="A742" s="28" t="s">
        <v>0</v>
      </c>
      <c r="B742" s="28">
        <v>71686928</v>
      </c>
      <c r="C742" s="38" t="s">
        <v>25149</v>
      </c>
      <c r="D742" s="38" t="s">
        <v>25114</v>
      </c>
      <c r="E742" s="38" t="s">
        <v>25150</v>
      </c>
      <c r="F742" s="38" t="s">
        <v>25151</v>
      </c>
      <c r="G742" s="28" t="s">
        <v>19229</v>
      </c>
      <c r="H742" s="28" t="s">
        <v>19238</v>
      </c>
      <c r="I742" s="30">
        <v>45301</v>
      </c>
      <c r="J742" s="30">
        <v>45315</v>
      </c>
      <c r="K742" s="51">
        <v>15</v>
      </c>
      <c r="L742" s="29"/>
      <c r="M742" s="27" t="s">
        <v>19257</v>
      </c>
    </row>
    <row r="743" spans="1:13" s="27" customFormat="1" ht="17.25" customHeight="1" x14ac:dyDescent="0.25">
      <c r="A743" s="28" t="s">
        <v>0</v>
      </c>
      <c r="B743" s="28">
        <v>14605912</v>
      </c>
      <c r="C743" s="38" t="s">
        <v>25414</v>
      </c>
      <c r="D743" s="38" t="s">
        <v>25415</v>
      </c>
      <c r="E743" s="38" t="s">
        <v>25188</v>
      </c>
      <c r="F743" s="38" t="s">
        <v>25416</v>
      </c>
      <c r="G743" s="28" t="s">
        <v>19229</v>
      </c>
      <c r="H743" s="28" t="s">
        <v>19240</v>
      </c>
      <c r="I743" s="30">
        <v>45303</v>
      </c>
      <c r="J743" s="30">
        <v>45303</v>
      </c>
      <c r="K743" s="51">
        <v>1</v>
      </c>
      <c r="L743" s="29"/>
      <c r="M743" s="27" t="s">
        <v>24991</v>
      </c>
    </row>
    <row r="744" spans="1:13" s="27" customFormat="1" ht="17.25" customHeight="1" x14ac:dyDescent="0.25">
      <c r="A744" s="28" t="s">
        <v>0</v>
      </c>
      <c r="B744" s="28">
        <v>71364030</v>
      </c>
      <c r="C744" s="38" t="s">
        <v>25846</v>
      </c>
      <c r="D744" s="38" t="s">
        <v>25174</v>
      </c>
      <c r="E744" s="38" t="s">
        <v>25028</v>
      </c>
      <c r="F744" s="38" t="s">
        <v>25064</v>
      </c>
      <c r="G744" s="28" t="s">
        <v>19229</v>
      </c>
      <c r="H744" s="28" t="s">
        <v>19240</v>
      </c>
      <c r="I744" s="30">
        <v>45303</v>
      </c>
      <c r="J744" s="30">
        <v>45307</v>
      </c>
      <c r="K744" s="51">
        <v>5</v>
      </c>
      <c r="L744" s="29"/>
      <c r="M744" s="27" t="s">
        <v>26223</v>
      </c>
    </row>
    <row r="745" spans="1:13" s="27" customFormat="1" ht="17.25" customHeight="1" x14ac:dyDescent="0.25">
      <c r="A745" s="28" t="s">
        <v>0</v>
      </c>
      <c r="B745" s="28">
        <v>1114882338</v>
      </c>
      <c r="C745" s="38" t="s">
        <v>25123</v>
      </c>
      <c r="D745" s="38" t="s">
        <v>25124</v>
      </c>
      <c r="E745" s="38" t="s">
        <v>25125</v>
      </c>
      <c r="F745" s="38" t="s">
        <v>25110</v>
      </c>
      <c r="G745" s="28" t="s">
        <v>19229</v>
      </c>
      <c r="H745" s="28" t="s">
        <v>19238</v>
      </c>
      <c r="I745" s="30">
        <v>45303</v>
      </c>
      <c r="J745" s="30">
        <v>45317</v>
      </c>
      <c r="K745" s="51">
        <v>15</v>
      </c>
      <c r="L745" s="29"/>
      <c r="M745" s="27" t="s">
        <v>19257</v>
      </c>
    </row>
    <row r="746" spans="1:13" s="27" customFormat="1" ht="17.25" customHeight="1" x14ac:dyDescent="0.25">
      <c r="A746" s="28" t="s">
        <v>0</v>
      </c>
      <c r="B746" s="28">
        <v>98458674</v>
      </c>
      <c r="C746" s="38" t="s">
        <v>25030</v>
      </c>
      <c r="D746" s="38" t="s">
        <v>25181</v>
      </c>
      <c r="E746" s="38" t="s">
        <v>25663</v>
      </c>
      <c r="F746" s="38" t="s">
        <v>25103</v>
      </c>
      <c r="G746" s="28" t="s">
        <v>19229</v>
      </c>
      <c r="H746" s="28" t="s">
        <v>19240</v>
      </c>
      <c r="I746" s="30">
        <v>45304</v>
      </c>
      <c r="J746" s="30">
        <v>45304</v>
      </c>
      <c r="K746" s="51">
        <v>1</v>
      </c>
      <c r="L746" s="29"/>
      <c r="M746" s="27" t="s">
        <v>24991</v>
      </c>
    </row>
    <row r="747" spans="1:13" s="27" customFormat="1" ht="17.25" customHeight="1" x14ac:dyDescent="0.25">
      <c r="A747" s="28" t="s">
        <v>0</v>
      </c>
      <c r="B747" s="28">
        <v>1106770128</v>
      </c>
      <c r="C747" s="38" t="s">
        <v>25757</v>
      </c>
      <c r="D747" s="38" t="s">
        <v>25758</v>
      </c>
      <c r="E747" s="38" t="s">
        <v>25759</v>
      </c>
      <c r="F747" s="38"/>
      <c r="G747" s="28" t="s">
        <v>19229</v>
      </c>
      <c r="H747" s="28" t="s">
        <v>19240</v>
      </c>
      <c r="I747" s="30">
        <v>45304</v>
      </c>
      <c r="J747" s="30">
        <v>45308</v>
      </c>
      <c r="K747" s="51">
        <v>5</v>
      </c>
      <c r="L747" s="29"/>
      <c r="M747" s="27" t="s">
        <v>26223</v>
      </c>
    </row>
    <row r="748" spans="1:13" s="27" customFormat="1" ht="17.25" customHeight="1" x14ac:dyDescent="0.25">
      <c r="A748" s="28" t="s">
        <v>0</v>
      </c>
      <c r="B748" s="28">
        <v>71742698</v>
      </c>
      <c r="C748" s="38" t="s">
        <v>25403</v>
      </c>
      <c r="D748" s="38" t="s">
        <v>24980</v>
      </c>
      <c r="E748" s="38" t="s">
        <v>25040</v>
      </c>
      <c r="F748" s="38" t="s">
        <v>25103</v>
      </c>
      <c r="G748" s="28" t="s">
        <v>19229</v>
      </c>
      <c r="H748" s="28" t="s">
        <v>19240</v>
      </c>
      <c r="I748" s="30">
        <v>45304</v>
      </c>
      <c r="J748" s="30">
        <v>45308</v>
      </c>
      <c r="K748" s="51">
        <v>5</v>
      </c>
      <c r="L748" s="29"/>
      <c r="M748" s="27" t="s">
        <v>26223</v>
      </c>
    </row>
    <row r="749" spans="1:13" s="27" customFormat="1" ht="17.25" customHeight="1" x14ac:dyDescent="0.25">
      <c r="A749" s="28" t="s">
        <v>0</v>
      </c>
      <c r="B749" s="28">
        <v>71704175</v>
      </c>
      <c r="C749" s="38" t="s">
        <v>26089</v>
      </c>
      <c r="D749" s="38" t="s">
        <v>25751</v>
      </c>
      <c r="E749" s="38" t="s">
        <v>25168</v>
      </c>
      <c r="F749" s="38" t="s">
        <v>25107</v>
      </c>
      <c r="G749" s="28" t="s">
        <v>19229</v>
      </c>
      <c r="H749" s="28" t="s">
        <v>19238</v>
      </c>
      <c r="I749" s="30">
        <v>45304</v>
      </c>
      <c r="J749" s="30">
        <v>45318</v>
      </c>
      <c r="K749" s="51">
        <v>15</v>
      </c>
      <c r="L749" s="29"/>
      <c r="M749" s="27" t="s">
        <v>19257</v>
      </c>
    </row>
    <row r="750" spans="1:13" s="27" customFormat="1" ht="17.25" customHeight="1" x14ac:dyDescent="0.25">
      <c r="A750" s="28" t="s">
        <v>0</v>
      </c>
      <c r="B750" s="28">
        <v>70550977</v>
      </c>
      <c r="C750" s="38" t="s">
        <v>25128</v>
      </c>
      <c r="D750" s="38" t="s">
        <v>25127</v>
      </c>
      <c r="E750" s="38" t="s">
        <v>25130</v>
      </c>
      <c r="F750" s="38" t="s">
        <v>25592</v>
      </c>
      <c r="G750" s="28" t="s">
        <v>19229</v>
      </c>
      <c r="H750" s="28" t="s">
        <v>19238</v>
      </c>
      <c r="I750" s="30">
        <v>45307</v>
      </c>
      <c r="J750" s="30">
        <v>45321</v>
      </c>
      <c r="K750" s="51">
        <v>15</v>
      </c>
      <c r="L750" s="29"/>
      <c r="M750" s="27" t="s">
        <v>19257</v>
      </c>
    </row>
    <row r="751" spans="1:13" s="27" customFormat="1" ht="17.25" customHeight="1" x14ac:dyDescent="0.25">
      <c r="A751" s="28" t="s">
        <v>0</v>
      </c>
      <c r="B751" s="28">
        <v>15457694</v>
      </c>
      <c r="C751" s="38" t="s">
        <v>25225</v>
      </c>
      <c r="D751" s="38" t="s">
        <v>26062</v>
      </c>
      <c r="E751" s="38" t="s">
        <v>25056</v>
      </c>
      <c r="F751" s="38" t="s">
        <v>25371</v>
      </c>
      <c r="G751" s="28" t="s">
        <v>19229</v>
      </c>
      <c r="H751" s="28" t="s">
        <v>19238</v>
      </c>
      <c r="I751" s="30">
        <v>45307</v>
      </c>
      <c r="J751" s="30">
        <v>45321</v>
      </c>
      <c r="K751" s="51">
        <v>15</v>
      </c>
      <c r="L751" s="29"/>
      <c r="M751" s="27" t="s">
        <v>19257</v>
      </c>
    </row>
    <row r="752" spans="1:13" s="27" customFormat="1" ht="17.25" customHeight="1" x14ac:dyDescent="0.25">
      <c r="A752" s="28" t="s">
        <v>0</v>
      </c>
      <c r="B752" s="28">
        <v>70415293</v>
      </c>
      <c r="C752" s="38" t="s">
        <v>25362</v>
      </c>
      <c r="D752" s="38" t="s">
        <v>25362</v>
      </c>
      <c r="E752" s="38" t="s">
        <v>25255</v>
      </c>
      <c r="F752" s="38" t="s">
        <v>25434</v>
      </c>
      <c r="G752" s="28" t="s">
        <v>19229</v>
      </c>
      <c r="H752" s="28" t="s">
        <v>19238</v>
      </c>
      <c r="I752" s="30">
        <v>45307</v>
      </c>
      <c r="J752" s="30">
        <v>45323</v>
      </c>
      <c r="K752" s="51">
        <v>15</v>
      </c>
      <c r="L752" s="29"/>
      <c r="M752" s="27" t="s">
        <v>19257</v>
      </c>
    </row>
    <row r="753" spans="1:13" s="27" customFormat="1" ht="17.25" customHeight="1" x14ac:dyDescent="0.25">
      <c r="A753" s="28" t="s">
        <v>0</v>
      </c>
      <c r="B753" s="28">
        <v>1017235942</v>
      </c>
      <c r="C753" s="38" t="s">
        <v>19258</v>
      </c>
      <c r="D753" s="38" t="s">
        <v>25498</v>
      </c>
      <c r="E753" s="38" t="s">
        <v>25430</v>
      </c>
      <c r="F753" s="38"/>
      <c r="G753" s="28" t="s">
        <v>19229</v>
      </c>
      <c r="H753" s="28" t="s">
        <v>19238</v>
      </c>
      <c r="I753" s="30">
        <v>45307</v>
      </c>
      <c r="J753" s="30">
        <v>45323</v>
      </c>
      <c r="K753" s="51">
        <v>15</v>
      </c>
      <c r="L753" s="29"/>
      <c r="M753" s="27" t="s">
        <v>19257</v>
      </c>
    </row>
    <row r="754" spans="1:13" s="27" customFormat="1" ht="17.25" customHeight="1" x14ac:dyDescent="0.25">
      <c r="A754" s="28" t="s">
        <v>0</v>
      </c>
      <c r="B754" s="28">
        <v>75050314</v>
      </c>
      <c r="C754" s="38" t="s">
        <v>25021</v>
      </c>
      <c r="D754" s="38" t="s">
        <v>24983</v>
      </c>
      <c r="E754" s="38" t="s">
        <v>25028</v>
      </c>
      <c r="F754" s="38" t="s">
        <v>25029</v>
      </c>
      <c r="G754" s="28" t="s">
        <v>19229</v>
      </c>
      <c r="H754" s="28" t="s">
        <v>19238</v>
      </c>
      <c r="I754" s="30">
        <v>45307</v>
      </c>
      <c r="J754" s="30">
        <v>45292</v>
      </c>
      <c r="K754" s="51">
        <v>17</v>
      </c>
      <c r="L754" s="29"/>
      <c r="M754" s="27" t="s">
        <v>19257</v>
      </c>
    </row>
    <row r="755" spans="1:13" s="27" customFormat="1" ht="17.25" customHeight="1" x14ac:dyDescent="0.25">
      <c r="A755" s="28" t="s">
        <v>0</v>
      </c>
      <c r="B755" s="28">
        <v>71612312</v>
      </c>
      <c r="C755" s="38" t="s">
        <v>25661</v>
      </c>
      <c r="D755" s="38" t="s">
        <v>25535</v>
      </c>
      <c r="E755" s="38" t="s">
        <v>25131</v>
      </c>
      <c r="F755" s="38" t="s">
        <v>25548</v>
      </c>
      <c r="G755" s="28" t="s">
        <v>19229</v>
      </c>
      <c r="H755" s="28" t="s">
        <v>19238</v>
      </c>
      <c r="I755" s="30">
        <v>45307</v>
      </c>
      <c r="J755" s="30">
        <v>45321</v>
      </c>
      <c r="K755" s="51">
        <v>15</v>
      </c>
      <c r="L755" s="29"/>
      <c r="M755" s="27" t="s">
        <v>19257</v>
      </c>
    </row>
    <row r="756" spans="1:13" s="27" customFormat="1" ht="17.25" customHeight="1" x14ac:dyDescent="0.25">
      <c r="A756" s="28" t="s">
        <v>0</v>
      </c>
      <c r="B756" s="28">
        <v>1095906375</v>
      </c>
      <c r="C756" s="38" t="s">
        <v>25117</v>
      </c>
      <c r="D756" s="38" t="s">
        <v>25666</v>
      </c>
      <c r="E756" s="38" t="s">
        <v>25667</v>
      </c>
      <c r="F756" s="38" t="s">
        <v>25596</v>
      </c>
      <c r="G756" s="28" t="s">
        <v>19229</v>
      </c>
      <c r="H756" s="28" t="s">
        <v>19238</v>
      </c>
      <c r="I756" s="30">
        <v>45308</v>
      </c>
      <c r="J756" s="30">
        <v>45322</v>
      </c>
      <c r="K756" s="51">
        <v>15</v>
      </c>
      <c r="L756" s="29"/>
      <c r="M756" s="27" t="s">
        <v>19257</v>
      </c>
    </row>
    <row r="757" spans="1:13" s="27" customFormat="1" ht="17.25" customHeight="1" x14ac:dyDescent="0.25">
      <c r="A757" s="28" t="s">
        <v>0</v>
      </c>
      <c r="B757" s="28">
        <v>98500553</v>
      </c>
      <c r="C757" s="38" t="s">
        <v>25353</v>
      </c>
      <c r="D757" s="38" t="s">
        <v>25177</v>
      </c>
      <c r="E757" s="38" t="s">
        <v>25359</v>
      </c>
      <c r="F757" s="38" t="s">
        <v>24986</v>
      </c>
      <c r="G757" s="28" t="s">
        <v>19229</v>
      </c>
      <c r="H757" s="28" t="s">
        <v>19238</v>
      </c>
      <c r="I757" s="30">
        <v>45308</v>
      </c>
      <c r="J757" s="30">
        <v>45322</v>
      </c>
      <c r="K757" s="51">
        <v>15</v>
      </c>
      <c r="L757" s="29"/>
      <c r="M757" s="27" t="s">
        <v>19257</v>
      </c>
    </row>
    <row r="758" spans="1:13" s="27" customFormat="1" ht="17.25" customHeight="1" x14ac:dyDescent="0.25">
      <c r="A758" s="28" t="s">
        <v>0</v>
      </c>
      <c r="B758" s="28">
        <v>1115448349</v>
      </c>
      <c r="C758" s="38" t="s">
        <v>25403</v>
      </c>
      <c r="D758" s="38" t="s">
        <v>25450</v>
      </c>
      <c r="E758" s="38" t="s">
        <v>26086</v>
      </c>
      <c r="F758" s="38" t="s">
        <v>26087</v>
      </c>
      <c r="G758" s="28" t="s">
        <v>19229</v>
      </c>
      <c r="H758" s="28" t="s">
        <v>19240</v>
      </c>
      <c r="I758" s="30">
        <v>45309</v>
      </c>
      <c r="J758" s="30">
        <v>45309</v>
      </c>
      <c r="K758" s="51">
        <v>1</v>
      </c>
      <c r="L758" s="29"/>
      <c r="M758" s="27" t="s">
        <v>24991</v>
      </c>
    </row>
    <row r="759" spans="1:13" s="27" customFormat="1" ht="17.25" customHeight="1" x14ac:dyDescent="0.25">
      <c r="A759" s="28" t="s">
        <v>0</v>
      </c>
      <c r="B759" s="28">
        <v>1003304784</v>
      </c>
      <c r="C759" s="38" t="s">
        <v>25456</v>
      </c>
      <c r="D759" s="38" t="s">
        <v>25257</v>
      </c>
      <c r="E759" s="38" t="s">
        <v>25198</v>
      </c>
      <c r="F759" s="38" t="s">
        <v>25255</v>
      </c>
      <c r="G759" s="28" t="s">
        <v>19229</v>
      </c>
      <c r="H759" s="28" t="s">
        <v>19239</v>
      </c>
      <c r="I759" s="30">
        <v>45310</v>
      </c>
      <c r="J759" s="30">
        <v>45316</v>
      </c>
      <c r="K759" s="51">
        <v>7</v>
      </c>
      <c r="L759" s="29">
        <v>19</v>
      </c>
      <c r="M759" s="27" t="s">
        <v>25036</v>
      </c>
    </row>
    <row r="760" spans="1:13" s="27" customFormat="1" ht="17.25" customHeight="1" x14ac:dyDescent="0.25">
      <c r="A760" s="28" t="s">
        <v>0</v>
      </c>
      <c r="B760" s="28">
        <v>70415293</v>
      </c>
      <c r="C760" s="38" t="s">
        <v>25362</v>
      </c>
      <c r="D760" s="38" t="s">
        <v>25362</v>
      </c>
      <c r="E760" s="38" t="s">
        <v>25255</v>
      </c>
      <c r="F760" s="38" t="s">
        <v>25434</v>
      </c>
      <c r="G760" s="28" t="s">
        <v>19229</v>
      </c>
      <c r="H760" s="28" t="s">
        <v>19238</v>
      </c>
      <c r="I760" s="30">
        <v>45312</v>
      </c>
      <c r="J760" s="30">
        <v>45327</v>
      </c>
      <c r="K760" s="51">
        <v>15</v>
      </c>
      <c r="L760" s="29"/>
      <c r="M760" s="27" t="s">
        <v>19257</v>
      </c>
    </row>
    <row r="761" spans="1:13" s="27" customFormat="1" ht="17.25" customHeight="1" x14ac:dyDescent="0.25">
      <c r="A761" s="28" t="s">
        <v>0</v>
      </c>
      <c r="B761" s="28">
        <v>1128467712</v>
      </c>
      <c r="C761" s="38" t="s">
        <v>25534</v>
      </c>
      <c r="D761" s="38" t="s">
        <v>19258</v>
      </c>
      <c r="E761" s="38" t="s">
        <v>26068</v>
      </c>
      <c r="F761" s="38" t="s">
        <v>25880</v>
      </c>
      <c r="G761" s="28" t="s">
        <v>26047</v>
      </c>
      <c r="H761" s="28" t="s">
        <v>19240</v>
      </c>
      <c r="I761" s="30">
        <v>45313</v>
      </c>
      <c r="J761" s="30">
        <v>45318</v>
      </c>
      <c r="K761" s="51">
        <v>6</v>
      </c>
      <c r="L761" s="29"/>
      <c r="M761" s="27" t="s">
        <v>24991</v>
      </c>
    </row>
    <row r="762" spans="1:13" s="27" customFormat="1" ht="17.25" customHeight="1" x14ac:dyDescent="0.25">
      <c r="A762" s="28" t="s">
        <v>0</v>
      </c>
      <c r="B762" s="28">
        <v>1000088914</v>
      </c>
      <c r="C762" s="38" t="s">
        <v>26072</v>
      </c>
      <c r="D762" s="38" t="s">
        <v>25529</v>
      </c>
      <c r="E762" s="38" t="s">
        <v>26073</v>
      </c>
      <c r="F762" s="38" t="s">
        <v>25010</v>
      </c>
      <c r="G762" s="28" t="s">
        <v>19285</v>
      </c>
      <c r="H762" s="28" t="s">
        <v>19239</v>
      </c>
      <c r="I762" s="30">
        <v>45313</v>
      </c>
      <c r="J762" s="30">
        <v>45313</v>
      </c>
      <c r="K762" s="51">
        <v>1</v>
      </c>
      <c r="L762" s="29">
        <v>7</v>
      </c>
      <c r="M762" s="27" t="s">
        <v>25036</v>
      </c>
    </row>
    <row r="763" spans="1:13" s="27" customFormat="1" ht="17.25" customHeight="1" x14ac:dyDescent="0.25">
      <c r="A763" s="28" t="s">
        <v>0</v>
      </c>
      <c r="B763" s="28">
        <v>71987067</v>
      </c>
      <c r="C763" s="38" t="s">
        <v>25128</v>
      </c>
      <c r="D763" s="38" t="s">
        <v>25129</v>
      </c>
      <c r="E763" s="38" t="s">
        <v>25130</v>
      </c>
      <c r="F763" s="38" t="s">
        <v>25131</v>
      </c>
      <c r="G763" s="28" t="s">
        <v>19229</v>
      </c>
      <c r="H763" s="28" t="s">
        <v>19238</v>
      </c>
      <c r="I763" s="30">
        <v>45313</v>
      </c>
      <c r="J763" s="30">
        <v>45327</v>
      </c>
      <c r="K763" s="51">
        <v>15</v>
      </c>
      <c r="L763" s="29"/>
      <c r="M763" s="27" t="s">
        <v>19257</v>
      </c>
    </row>
    <row r="764" spans="1:13" s="27" customFormat="1" ht="17.25" customHeight="1" x14ac:dyDescent="0.25">
      <c r="A764" s="28" t="s">
        <v>0</v>
      </c>
      <c r="B764" s="28">
        <v>12973985</v>
      </c>
      <c r="C764" s="38" t="s">
        <v>25547</v>
      </c>
      <c r="D764" s="38" t="s">
        <v>25498</v>
      </c>
      <c r="E764" s="38" t="s">
        <v>25119</v>
      </c>
      <c r="F764" s="38"/>
      <c r="G764" s="28" t="s">
        <v>19229</v>
      </c>
      <c r="H764" s="28" t="s">
        <v>19238</v>
      </c>
      <c r="I764" s="30">
        <v>45315</v>
      </c>
      <c r="J764" s="30">
        <v>45330</v>
      </c>
      <c r="K764" s="51">
        <v>15</v>
      </c>
      <c r="L764" s="29"/>
      <c r="M764" s="27" t="s">
        <v>19257</v>
      </c>
    </row>
    <row r="765" spans="1:13" s="27" customFormat="1" ht="17.25" customHeight="1" x14ac:dyDescent="0.25">
      <c r="A765" s="28" t="s">
        <v>0</v>
      </c>
      <c r="B765" s="28">
        <v>1076817863</v>
      </c>
      <c r="C765" s="38" t="s">
        <v>25108</v>
      </c>
      <c r="D765" s="38" t="s">
        <v>26090</v>
      </c>
      <c r="E765" s="38" t="s">
        <v>25056</v>
      </c>
      <c r="F765" s="38" t="s">
        <v>25710</v>
      </c>
      <c r="G765" s="28" t="s">
        <v>19229</v>
      </c>
      <c r="H765" s="28" t="s">
        <v>19238</v>
      </c>
      <c r="I765" s="30">
        <v>45315</v>
      </c>
      <c r="J765" s="30">
        <v>45322</v>
      </c>
      <c r="K765" s="51">
        <v>8</v>
      </c>
      <c r="L765" s="29"/>
      <c r="M765" s="27" t="s">
        <v>19257</v>
      </c>
    </row>
    <row r="766" spans="1:13" s="27" customFormat="1" ht="17.25" customHeight="1" x14ac:dyDescent="0.25">
      <c r="A766" s="28" t="s">
        <v>0</v>
      </c>
      <c r="B766" s="28">
        <v>1214744146</v>
      </c>
      <c r="C766" s="38" t="s">
        <v>24998</v>
      </c>
      <c r="D766" s="38" t="s">
        <v>19258</v>
      </c>
      <c r="E766" s="38" t="s">
        <v>25056</v>
      </c>
      <c r="F766" s="38" t="s">
        <v>25010</v>
      </c>
      <c r="G766" s="28" t="s">
        <v>19229</v>
      </c>
      <c r="H766" s="28" t="s">
        <v>19239</v>
      </c>
      <c r="I766" s="30">
        <v>45316</v>
      </c>
      <c r="J766" s="30">
        <v>45320</v>
      </c>
      <c r="K766" s="51">
        <v>5</v>
      </c>
      <c r="L766" s="29">
        <v>22</v>
      </c>
      <c r="M766" s="27" t="s">
        <v>25036</v>
      </c>
    </row>
    <row r="767" spans="1:13" s="27" customFormat="1" ht="17.25" customHeight="1" x14ac:dyDescent="0.25">
      <c r="A767" s="28" t="s">
        <v>0</v>
      </c>
      <c r="B767" s="28">
        <v>15525107</v>
      </c>
      <c r="C767" s="38" t="s">
        <v>25721</v>
      </c>
      <c r="D767" s="38" t="s">
        <v>25160</v>
      </c>
      <c r="E767" s="38" t="s">
        <v>25422</v>
      </c>
      <c r="F767" s="38" t="s">
        <v>25963</v>
      </c>
      <c r="G767" s="28" t="s">
        <v>19229</v>
      </c>
      <c r="H767" s="28" t="s">
        <v>19240</v>
      </c>
      <c r="I767" s="30">
        <v>45320</v>
      </c>
      <c r="J767" s="30">
        <v>45320</v>
      </c>
      <c r="K767" s="51">
        <v>1</v>
      </c>
      <c r="L767" s="29"/>
      <c r="M767" s="27" t="s">
        <v>24991</v>
      </c>
    </row>
    <row r="768" spans="1:13" s="27" customFormat="1" ht="17.25" customHeight="1" x14ac:dyDescent="0.25">
      <c r="A768" s="28" t="s">
        <v>0</v>
      </c>
      <c r="B768" s="28">
        <v>1035422013</v>
      </c>
      <c r="C768" s="38" t="s">
        <v>25105</v>
      </c>
      <c r="D768" s="38" t="s">
        <v>25098</v>
      </c>
      <c r="E768" s="38" t="s">
        <v>26074</v>
      </c>
      <c r="F768" s="38" t="s">
        <v>25110</v>
      </c>
      <c r="G768" s="28" t="s">
        <v>19229</v>
      </c>
      <c r="H768" s="28" t="s">
        <v>19239</v>
      </c>
      <c r="I768" s="30">
        <v>45320</v>
      </c>
      <c r="J768" s="30">
        <v>45324</v>
      </c>
      <c r="K768" s="51">
        <v>5</v>
      </c>
      <c r="L768" s="29">
        <v>1</v>
      </c>
      <c r="M768" s="27" t="s">
        <v>25036</v>
      </c>
    </row>
    <row r="769" spans="1:16" s="27" customFormat="1" ht="17.25" customHeight="1" x14ac:dyDescent="0.25">
      <c r="A769" s="28" t="s">
        <v>0</v>
      </c>
      <c r="B769" s="28">
        <v>71771180</v>
      </c>
      <c r="C769" s="38" t="s">
        <v>25503</v>
      </c>
      <c r="D769" s="38" t="s">
        <v>25748</v>
      </c>
      <c r="E769" s="38" t="s">
        <v>25490</v>
      </c>
      <c r="F769" s="38" t="s">
        <v>25103</v>
      </c>
      <c r="G769" s="28" t="s">
        <v>19229</v>
      </c>
      <c r="H769" s="28" t="s">
        <v>19238</v>
      </c>
      <c r="I769" s="30">
        <v>45320</v>
      </c>
      <c r="J769" s="30">
        <v>45334</v>
      </c>
      <c r="K769" s="51">
        <v>15</v>
      </c>
      <c r="L769" s="29"/>
      <c r="M769" s="27" t="s">
        <v>19257</v>
      </c>
    </row>
    <row r="770" spans="1:16" s="27" customFormat="1" ht="17.25" customHeight="1" x14ac:dyDescent="0.25">
      <c r="A770" s="28" t="s">
        <v>0</v>
      </c>
      <c r="B770" s="28">
        <v>70134297</v>
      </c>
      <c r="C770" s="38" t="s">
        <v>25002</v>
      </c>
      <c r="D770" s="38" t="s">
        <v>25127</v>
      </c>
      <c r="E770" s="38" t="s">
        <v>25074</v>
      </c>
      <c r="F770" s="38" t="s">
        <v>25135</v>
      </c>
      <c r="G770" s="28" t="s">
        <v>19229</v>
      </c>
      <c r="H770" s="28" t="s">
        <v>19240</v>
      </c>
      <c r="I770" s="30">
        <v>45321</v>
      </c>
      <c r="J770" s="30">
        <v>45322</v>
      </c>
      <c r="K770" s="51">
        <v>2</v>
      </c>
      <c r="L770" s="29"/>
      <c r="M770" s="27" t="s">
        <v>24991</v>
      </c>
    </row>
    <row r="771" spans="1:16" s="27" customFormat="1" ht="17.25" customHeight="1" x14ac:dyDescent="0.25">
      <c r="A771" s="28" t="s">
        <v>0</v>
      </c>
      <c r="B771" s="28">
        <v>1039022583</v>
      </c>
      <c r="C771" s="38" t="s">
        <v>25295</v>
      </c>
      <c r="D771" s="38" t="s">
        <v>25373</v>
      </c>
      <c r="E771" s="38" t="s">
        <v>26091</v>
      </c>
      <c r="F771" s="38" t="s">
        <v>25165</v>
      </c>
      <c r="G771" s="28" t="s">
        <v>19229</v>
      </c>
      <c r="H771" s="28" t="s">
        <v>19238</v>
      </c>
      <c r="I771" s="30">
        <v>45321</v>
      </c>
      <c r="J771" s="30">
        <v>45336</v>
      </c>
      <c r="K771" s="51">
        <v>15</v>
      </c>
      <c r="L771" s="29"/>
      <c r="M771" s="27" t="s">
        <v>19257</v>
      </c>
    </row>
    <row r="772" spans="1:16" s="27" customFormat="1" ht="17.25" customHeight="1" x14ac:dyDescent="0.25">
      <c r="A772" s="28" t="s">
        <v>0</v>
      </c>
      <c r="B772" s="28">
        <v>71991931</v>
      </c>
      <c r="C772" s="38" t="s">
        <v>25223</v>
      </c>
      <c r="D772" s="38" t="s">
        <v>25224</v>
      </c>
      <c r="E772" s="38" t="s">
        <v>25064</v>
      </c>
      <c r="F772" s="38" t="s">
        <v>25103</v>
      </c>
      <c r="G772" s="28" t="s">
        <v>19229</v>
      </c>
      <c r="H772" s="28" t="s">
        <v>19238</v>
      </c>
      <c r="I772" s="30">
        <v>45321</v>
      </c>
      <c r="J772" s="30">
        <v>45328</v>
      </c>
      <c r="K772" s="51">
        <v>8</v>
      </c>
      <c r="L772" s="29"/>
      <c r="M772" s="27" t="s">
        <v>19257</v>
      </c>
    </row>
    <row r="773" spans="1:16" s="27" customFormat="1" ht="17.25" customHeight="1" x14ac:dyDescent="0.25">
      <c r="A773" s="28" t="s">
        <v>0</v>
      </c>
      <c r="B773" s="28">
        <v>70854779</v>
      </c>
      <c r="C773" s="38" t="s">
        <v>25034</v>
      </c>
      <c r="D773" s="38" t="s">
        <v>24983</v>
      </c>
      <c r="E773" s="38" t="s">
        <v>25089</v>
      </c>
      <c r="F773" s="38" t="s">
        <v>25193</v>
      </c>
      <c r="G773" s="28" t="s">
        <v>19229</v>
      </c>
      <c r="H773" s="28" t="s">
        <v>19238</v>
      </c>
      <c r="I773" s="30">
        <v>45322</v>
      </c>
      <c r="J773" s="30">
        <v>45336</v>
      </c>
      <c r="K773" s="51">
        <v>15</v>
      </c>
      <c r="L773" s="29"/>
      <c r="M773" s="27" t="s">
        <v>19257</v>
      </c>
    </row>
    <row r="774" spans="1:16" s="27" customFormat="1" ht="17.25" customHeight="1" x14ac:dyDescent="0.25">
      <c r="A774" s="28" t="s">
        <v>0</v>
      </c>
      <c r="B774" s="28">
        <v>1076817863</v>
      </c>
      <c r="C774" s="38" t="s">
        <v>25108</v>
      </c>
      <c r="D774" s="38" t="s">
        <v>26090</v>
      </c>
      <c r="E774" s="38" t="s">
        <v>25056</v>
      </c>
      <c r="F774" s="38" t="s">
        <v>25710</v>
      </c>
      <c r="G774" s="28" t="s">
        <v>19229</v>
      </c>
      <c r="H774" s="28" t="s">
        <v>19238</v>
      </c>
      <c r="I774" s="30">
        <v>45323</v>
      </c>
      <c r="J774" s="30">
        <v>45330</v>
      </c>
      <c r="K774" s="51">
        <v>8</v>
      </c>
      <c r="L774" s="29"/>
      <c r="M774" s="27" t="s">
        <v>19257</v>
      </c>
    </row>
    <row r="775" spans="1:16" s="27" customFormat="1" ht="17.25" customHeight="1" x14ac:dyDescent="0.25">
      <c r="A775" s="28" t="s">
        <v>0</v>
      </c>
      <c r="B775" s="28">
        <v>19871004</v>
      </c>
      <c r="C775" s="38" t="s">
        <v>25670</v>
      </c>
      <c r="D775" s="38" t="s">
        <v>26092</v>
      </c>
      <c r="E775" s="38" t="s">
        <v>25130</v>
      </c>
      <c r="F775" s="38" t="s">
        <v>25592</v>
      </c>
      <c r="G775" s="28" t="s">
        <v>19229</v>
      </c>
      <c r="H775" s="28" t="s">
        <v>19238</v>
      </c>
      <c r="I775" s="30">
        <v>45323</v>
      </c>
      <c r="J775" s="30">
        <v>45337</v>
      </c>
      <c r="K775" s="51">
        <v>15</v>
      </c>
      <c r="L775" s="29"/>
      <c r="M775" s="27" t="s">
        <v>19257</v>
      </c>
    </row>
    <row r="776" spans="1:16" s="27" customFormat="1" ht="17.25" customHeight="1" x14ac:dyDescent="0.25">
      <c r="A776" s="28" t="s">
        <v>0</v>
      </c>
      <c r="B776" s="28">
        <v>71625464</v>
      </c>
      <c r="C776" s="38" t="s">
        <v>25002</v>
      </c>
      <c r="D776" s="38" t="s">
        <v>25003</v>
      </c>
      <c r="E776" s="38" t="s">
        <v>25004</v>
      </c>
      <c r="F776" s="38" t="s">
        <v>25005</v>
      </c>
      <c r="G776" s="28" t="s">
        <v>19229</v>
      </c>
      <c r="H776" s="28" t="s">
        <v>19238</v>
      </c>
      <c r="I776" s="30">
        <v>45323</v>
      </c>
      <c r="J776" s="30">
        <v>45337</v>
      </c>
      <c r="K776" s="51">
        <v>15</v>
      </c>
      <c r="L776" s="29"/>
      <c r="M776" s="27" t="s">
        <v>19257</v>
      </c>
    </row>
    <row r="777" spans="1:16" s="27" customFormat="1" ht="17.25" customHeight="1" x14ac:dyDescent="0.25">
      <c r="A777" s="28" t="s">
        <v>1</v>
      </c>
      <c r="B777" s="28">
        <v>72333207</v>
      </c>
      <c r="C777" s="38" t="s">
        <v>25094</v>
      </c>
      <c r="D777" s="38" t="s">
        <v>26085</v>
      </c>
      <c r="E777" s="38" t="s">
        <v>25196</v>
      </c>
      <c r="F777" s="38" t="s">
        <v>25842</v>
      </c>
      <c r="G777" s="28" t="s">
        <v>19229</v>
      </c>
      <c r="H777" s="28" t="s">
        <v>19240</v>
      </c>
      <c r="I777" s="30">
        <v>45323</v>
      </c>
      <c r="J777" s="30">
        <v>45332</v>
      </c>
      <c r="K777" s="51">
        <v>10</v>
      </c>
      <c r="L777" s="29"/>
      <c r="M777" s="27" t="s">
        <v>24991</v>
      </c>
    </row>
    <row r="778" spans="1:16" s="27" customFormat="1" ht="17.25" customHeight="1" x14ac:dyDescent="0.25">
      <c r="A778" s="28" t="s">
        <v>1</v>
      </c>
      <c r="B778" s="28">
        <v>98499486</v>
      </c>
      <c r="C778" s="38" t="s">
        <v>25281</v>
      </c>
      <c r="D778" s="38" t="s">
        <v>25424</v>
      </c>
      <c r="E778" s="38" t="s">
        <v>26093</v>
      </c>
      <c r="F778" s="38" t="s">
        <v>25020</v>
      </c>
      <c r="G778" s="28" t="s">
        <v>19229</v>
      </c>
      <c r="H778" s="28" t="s">
        <v>19238</v>
      </c>
      <c r="I778" s="30">
        <v>45323</v>
      </c>
      <c r="J778" s="30">
        <v>45337</v>
      </c>
      <c r="K778" s="51">
        <v>15</v>
      </c>
      <c r="L778" s="29"/>
      <c r="M778" s="27" t="s">
        <v>19257</v>
      </c>
    </row>
    <row r="779" spans="1:16" s="27" customFormat="1" ht="17.25" customHeight="1" x14ac:dyDescent="0.25">
      <c r="A779" s="28" t="s">
        <v>1</v>
      </c>
      <c r="B779" s="28">
        <v>8115536</v>
      </c>
      <c r="C779" s="38" t="s">
        <v>25109</v>
      </c>
      <c r="D779" s="38" t="s">
        <v>26094</v>
      </c>
      <c r="E779" s="38" t="s">
        <v>26075</v>
      </c>
      <c r="F779" s="38"/>
      <c r="G779" s="28" t="s">
        <v>19229</v>
      </c>
      <c r="H779" s="28" t="s">
        <v>19238</v>
      </c>
      <c r="I779" s="30">
        <v>45323</v>
      </c>
      <c r="J779" s="30">
        <v>45337</v>
      </c>
      <c r="K779" s="51">
        <v>15</v>
      </c>
      <c r="L779" s="29"/>
      <c r="M779" s="27" t="s">
        <v>19257</v>
      </c>
    </row>
    <row r="780" spans="1:16" s="27" customFormat="1" ht="17.25" customHeight="1" x14ac:dyDescent="0.25">
      <c r="A780" s="28" t="s">
        <v>1</v>
      </c>
      <c r="B780" s="28">
        <v>1002443092</v>
      </c>
      <c r="C780" s="38" t="s">
        <v>25553</v>
      </c>
      <c r="D780" s="38" t="s">
        <v>26056</v>
      </c>
      <c r="E780" s="38" t="s">
        <v>26057</v>
      </c>
      <c r="F780" s="38" t="s">
        <v>25885</v>
      </c>
      <c r="G780" s="28" t="s">
        <v>19229</v>
      </c>
      <c r="H780" s="28" t="s">
        <v>19240</v>
      </c>
      <c r="I780" s="30">
        <v>45323</v>
      </c>
      <c r="J780" s="30">
        <v>45337</v>
      </c>
      <c r="K780" s="51">
        <v>15</v>
      </c>
      <c r="L780" s="29"/>
      <c r="M780" s="27" t="s">
        <v>24991</v>
      </c>
    </row>
    <row r="781" spans="1:16" s="27" customFormat="1" ht="17.25" customHeight="1" x14ac:dyDescent="0.25">
      <c r="A781" s="28" t="s">
        <v>1</v>
      </c>
      <c r="B781" s="28">
        <v>9991166</v>
      </c>
      <c r="C781" s="28" t="s">
        <v>25017</v>
      </c>
      <c r="D781" s="28" t="s">
        <v>25094</v>
      </c>
      <c r="E781" s="28" t="s">
        <v>25552</v>
      </c>
      <c r="G781" s="28" t="s">
        <v>19229</v>
      </c>
      <c r="H781" s="28" t="s">
        <v>19240</v>
      </c>
      <c r="I781" s="30">
        <v>45326</v>
      </c>
      <c r="J781" s="30">
        <v>45327</v>
      </c>
      <c r="K781" s="51">
        <v>2</v>
      </c>
      <c r="L781" s="29"/>
      <c r="M781" s="27" t="s">
        <v>24991</v>
      </c>
    </row>
    <row r="782" spans="1:16" s="27" customFormat="1" ht="17.25" customHeight="1" x14ac:dyDescent="0.25">
      <c r="A782" s="28" t="s">
        <v>1</v>
      </c>
      <c r="B782" s="28">
        <v>1099993376</v>
      </c>
      <c r="C782" s="38" t="s">
        <v>25027</v>
      </c>
      <c r="D782" s="38" t="s">
        <v>25090</v>
      </c>
      <c r="E782" s="38" t="s">
        <v>25091</v>
      </c>
      <c r="F782" s="38" t="s">
        <v>25092</v>
      </c>
      <c r="G782" s="28" t="s">
        <v>19229</v>
      </c>
      <c r="H782" s="28" t="s">
        <v>19238</v>
      </c>
      <c r="I782" s="30">
        <v>45326</v>
      </c>
      <c r="J782" s="30">
        <v>45326</v>
      </c>
      <c r="K782" s="51">
        <v>15</v>
      </c>
      <c r="L782" s="29"/>
      <c r="M782" s="27" t="s">
        <v>19257</v>
      </c>
    </row>
    <row r="783" spans="1:16" s="27" customFormat="1" ht="17.25" customHeight="1" x14ac:dyDescent="0.25">
      <c r="A783" s="28" t="s">
        <v>1</v>
      </c>
      <c r="B783" s="28">
        <v>1193535744</v>
      </c>
      <c r="C783" s="38" t="s">
        <v>25202</v>
      </c>
      <c r="D783" s="38" t="s">
        <v>25714</v>
      </c>
      <c r="E783" s="38" t="s">
        <v>26075</v>
      </c>
      <c r="F783" s="38" t="s">
        <v>25020</v>
      </c>
      <c r="G783" s="28" t="s">
        <v>19229</v>
      </c>
      <c r="H783" s="28" t="s">
        <v>19239</v>
      </c>
      <c r="I783" s="30">
        <v>45327</v>
      </c>
      <c r="J783" s="30">
        <v>45329</v>
      </c>
      <c r="K783" s="51">
        <v>3</v>
      </c>
      <c r="L783" s="29">
        <v>10</v>
      </c>
      <c r="M783" s="27" t="s">
        <v>25036</v>
      </c>
      <c r="N783" s="27">
        <v>1424646</v>
      </c>
      <c r="O783" s="27">
        <v>0</v>
      </c>
      <c r="P783" s="27">
        <v>0</v>
      </c>
    </row>
    <row r="784" spans="1:16" s="27" customFormat="1" ht="17.25" customHeight="1" x14ac:dyDescent="0.25">
      <c r="A784" s="28" t="s">
        <v>1</v>
      </c>
      <c r="B784" s="28">
        <v>1193535744</v>
      </c>
      <c r="C784" s="38" t="s">
        <v>25202</v>
      </c>
      <c r="D784" s="38" t="s">
        <v>25714</v>
      </c>
      <c r="E784" s="38" t="s">
        <v>26075</v>
      </c>
      <c r="F784" s="38" t="s">
        <v>25020</v>
      </c>
      <c r="G784" s="28" t="s">
        <v>19229</v>
      </c>
      <c r="H784" s="28" t="s">
        <v>19239</v>
      </c>
      <c r="I784" s="30">
        <v>45327</v>
      </c>
      <c r="J784" s="30">
        <v>45329</v>
      </c>
      <c r="K784" s="51">
        <v>3</v>
      </c>
      <c r="L784" s="29">
        <v>10</v>
      </c>
      <c r="M784" s="27" t="s">
        <v>25036</v>
      </c>
    </row>
    <row r="785" spans="1:13" s="27" customFormat="1" ht="17.25" customHeight="1" x14ac:dyDescent="0.25">
      <c r="A785" s="28" t="s">
        <v>1</v>
      </c>
      <c r="B785" s="28">
        <v>15403728</v>
      </c>
      <c r="C785" s="38" t="s">
        <v>25796</v>
      </c>
      <c r="D785" s="38" t="s">
        <v>25233</v>
      </c>
      <c r="E785" s="38" t="s">
        <v>25151</v>
      </c>
      <c r="F785" s="38"/>
      <c r="G785" s="28" t="s">
        <v>19229</v>
      </c>
      <c r="H785" s="28" t="s">
        <v>19238</v>
      </c>
      <c r="I785" s="30">
        <v>45328</v>
      </c>
      <c r="J785" s="30">
        <v>45335</v>
      </c>
      <c r="K785" s="51">
        <v>8</v>
      </c>
      <c r="L785" s="29"/>
      <c r="M785" s="27" t="s">
        <v>19257</v>
      </c>
    </row>
    <row r="786" spans="1:13" s="27" customFormat="1" ht="17.25" customHeight="1" x14ac:dyDescent="0.25">
      <c r="A786" s="28" t="s">
        <v>1</v>
      </c>
      <c r="B786" s="28">
        <v>1017149200</v>
      </c>
      <c r="C786" s="38" t="s">
        <v>25127</v>
      </c>
      <c r="D786" s="38" t="s">
        <v>25593</v>
      </c>
      <c r="E786" s="38" t="s">
        <v>25773</v>
      </c>
      <c r="F786" s="38" t="s">
        <v>25774</v>
      </c>
      <c r="G786" s="28" t="s">
        <v>19229</v>
      </c>
      <c r="H786" s="28" t="s">
        <v>19240</v>
      </c>
      <c r="I786" s="30">
        <v>45328</v>
      </c>
      <c r="J786" s="30">
        <v>45328</v>
      </c>
      <c r="K786" s="51">
        <v>1</v>
      </c>
      <c r="L786" s="29"/>
      <c r="M786" s="27" t="s">
        <v>24991</v>
      </c>
    </row>
    <row r="787" spans="1:13" s="27" customFormat="1" ht="17.25" customHeight="1" x14ac:dyDescent="0.25">
      <c r="A787" s="28" t="s">
        <v>0</v>
      </c>
      <c r="B787" s="28">
        <v>71991931</v>
      </c>
      <c r="C787" s="38" t="s">
        <v>25223</v>
      </c>
      <c r="D787" s="38" t="s">
        <v>25224</v>
      </c>
      <c r="E787" s="38" t="s">
        <v>25064</v>
      </c>
      <c r="F787" s="38" t="s">
        <v>25103</v>
      </c>
      <c r="G787" s="28" t="s">
        <v>19229</v>
      </c>
      <c r="H787" s="28" t="s">
        <v>19238</v>
      </c>
      <c r="I787" s="30">
        <v>45329</v>
      </c>
      <c r="J787" s="30">
        <v>45336</v>
      </c>
      <c r="K787" s="51">
        <v>8</v>
      </c>
      <c r="L787" s="29"/>
      <c r="M787" s="27" t="s">
        <v>19257</v>
      </c>
    </row>
    <row r="788" spans="1:13" s="27" customFormat="1" ht="17.25" customHeight="1" x14ac:dyDescent="0.25">
      <c r="A788" s="28" t="s">
        <v>1</v>
      </c>
      <c r="B788" s="28">
        <v>70851012</v>
      </c>
      <c r="C788" s="38" t="s">
        <v>25128</v>
      </c>
      <c r="D788" s="38" t="s">
        <v>25424</v>
      </c>
      <c r="E788" s="38" t="s">
        <v>25522</v>
      </c>
      <c r="F788" s="38" t="s">
        <v>25103</v>
      </c>
      <c r="G788" s="28" t="s">
        <v>19229</v>
      </c>
      <c r="H788" s="28" t="s">
        <v>19238</v>
      </c>
      <c r="I788" s="30">
        <v>45329</v>
      </c>
      <c r="J788" s="30">
        <v>45343</v>
      </c>
      <c r="K788" s="51">
        <v>15</v>
      </c>
      <c r="L788" s="29"/>
      <c r="M788" s="27" t="s">
        <v>19257</v>
      </c>
    </row>
    <row r="789" spans="1:13" s="27" customFormat="1" ht="17.25" customHeight="1" x14ac:dyDescent="0.25">
      <c r="A789" s="28" t="s">
        <v>1</v>
      </c>
      <c r="B789" s="28">
        <v>70830641</v>
      </c>
      <c r="C789" s="38" t="s">
        <v>25104</v>
      </c>
      <c r="D789" s="38" t="s">
        <v>25105</v>
      </c>
      <c r="E789" s="38" t="s">
        <v>25106</v>
      </c>
      <c r="F789" s="38" t="s">
        <v>25107</v>
      </c>
      <c r="G789" s="28" t="s">
        <v>19229</v>
      </c>
      <c r="H789" s="28" t="s">
        <v>19238</v>
      </c>
      <c r="I789" s="30">
        <v>45329</v>
      </c>
      <c r="J789" s="30">
        <v>45343</v>
      </c>
      <c r="K789" s="51">
        <v>15</v>
      </c>
      <c r="L789" s="29"/>
      <c r="M789" s="27" t="s">
        <v>19257</v>
      </c>
    </row>
    <row r="790" spans="1:13" s="27" customFormat="1" ht="17.25" customHeight="1" x14ac:dyDescent="0.25">
      <c r="A790" s="28" t="s">
        <v>1</v>
      </c>
      <c r="B790" s="28">
        <v>3622134</v>
      </c>
      <c r="C790" s="38" t="s">
        <v>25145</v>
      </c>
      <c r="D790" s="38" t="s">
        <v>25646</v>
      </c>
      <c r="E790" s="38" t="s">
        <v>26096</v>
      </c>
      <c r="F790" s="38" t="s">
        <v>25064</v>
      </c>
      <c r="G790" s="28" t="s">
        <v>19229</v>
      </c>
      <c r="H790" s="28" t="s">
        <v>19238</v>
      </c>
      <c r="I790" s="30">
        <v>45329</v>
      </c>
      <c r="J790" s="30">
        <v>45343</v>
      </c>
      <c r="K790" s="51">
        <v>15</v>
      </c>
      <c r="L790" s="29"/>
      <c r="M790" s="27" t="s">
        <v>19257</v>
      </c>
    </row>
    <row r="791" spans="1:13" s="27" customFormat="1" ht="17.25" customHeight="1" x14ac:dyDescent="0.25">
      <c r="A791" s="28" t="s">
        <v>1</v>
      </c>
      <c r="B791" s="28">
        <v>98584305</v>
      </c>
      <c r="C791" s="38" t="s">
        <v>25898</v>
      </c>
      <c r="D791" s="38" t="s">
        <v>25257</v>
      </c>
      <c r="E791" s="38" t="s">
        <v>26105</v>
      </c>
      <c r="F791" s="38" t="s">
        <v>25020</v>
      </c>
      <c r="G791" s="28" t="s">
        <v>19229</v>
      </c>
      <c r="H791" s="28" t="s">
        <v>19240</v>
      </c>
      <c r="I791" s="30">
        <v>45329</v>
      </c>
      <c r="J791" s="30">
        <v>45334</v>
      </c>
      <c r="K791" s="51">
        <v>5</v>
      </c>
      <c r="L791" s="29"/>
      <c r="M791" s="27" t="s">
        <v>26106</v>
      </c>
    </row>
    <row r="792" spans="1:13" s="27" customFormat="1" ht="17.25" customHeight="1" x14ac:dyDescent="0.25">
      <c r="A792" s="28" t="s">
        <v>1</v>
      </c>
      <c r="B792" s="28">
        <v>1001033654</v>
      </c>
      <c r="C792" s="38" t="s">
        <v>25046</v>
      </c>
      <c r="D792" s="38" t="s">
        <v>25459</v>
      </c>
      <c r="E792" s="38" t="s">
        <v>26107</v>
      </c>
      <c r="F792" s="38"/>
      <c r="G792" s="28" t="s">
        <v>19229</v>
      </c>
      <c r="H792" s="28" t="s">
        <v>19239</v>
      </c>
      <c r="I792" s="30">
        <v>45329</v>
      </c>
      <c r="J792" s="30">
        <v>45330</v>
      </c>
      <c r="K792" s="51">
        <v>2</v>
      </c>
      <c r="L792" s="29">
        <v>1</v>
      </c>
      <c r="M792" s="27" t="s">
        <v>25036</v>
      </c>
    </row>
    <row r="793" spans="1:13" s="27" customFormat="1" ht="17.25" customHeight="1" x14ac:dyDescent="0.25">
      <c r="A793" s="28" t="s">
        <v>1</v>
      </c>
      <c r="B793" s="28">
        <v>1001510643</v>
      </c>
      <c r="C793" s="38" t="s">
        <v>25295</v>
      </c>
      <c r="D793" s="38" t="s">
        <v>25432</v>
      </c>
      <c r="E793" s="38" t="s">
        <v>25089</v>
      </c>
      <c r="F793" s="38" t="s">
        <v>26108</v>
      </c>
      <c r="G793" s="28" t="s">
        <v>19229</v>
      </c>
      <c r="H793" s="28" t="s">
        <v>19239</v>
      </c>
      <c r="I793" s="30">
        <v>45329</v>
      </c>
      <c r="J793" s="30">
        <v>45329</v>
      </c>
      <c r="K793" s="51">
        <v>1</v>
      </c>
      <c r="L793" s="29">
        <v>6</v>
      </c>
      <c r="M793" s="27" t="s">
        <v>25036</v>
      </c>
    </row>
    <row r="794" spans="1:13" s="27" customFormat="1" ht="17.25" customHeight="1" x14ac:dyDescent="0.25">
      <c r="A794" s="28" t="s">
        <v>1</v>
      </c>
      <c r="B794" s="28">
        <v>7698354</v>
      </c>
      <c r="C794" s="38" t="s">
        <v>25244</v>
      </c>
      <c r="D794" s="38" t="s">
        <v>25547</v>
      </c>
      <c r="E794" s="38" t="s">
        <v>25091</v>
      </c>
      <c r="F794" s="38" t="s">
        <v>25283</v>
      </c>
      <c r="G794" s="28" t="s">
        <v>19229</v>
      </c>
      <c r="H794" s="28" t="s">
        <v>19238</v>
      </c>
      <c r="I794" s="30">
        <v>45330</v>
      </c>
      <c r="J794" s="30">
        <v>45344</v>
      </c>
      <c r="K794" s="51">
        <v>15</v>
      </c>
      <c r="L794" s="29"/>
      <c r="M794" s="27" t="s">
        <v>19257</v>
      </c>
    </row>
    <row r="795" spans="1:13" s="27" customFormat="1" ht="17.25" customHeight="1" x14ac:dyDescent="0.25">
      <c r="A795" s="28" t="s">
        <v>1</v>
      </c>
      <c r="B795" s="28">
        <v>1020432623</v>
      </c>
      <c r="C795" s="38" t="s">
        <v>25214</v>
      </c>
      <c r="D795" s="38" t="s">
        <v>25109</v>
      </c>
      <c r="E795" s="38" t="s">
        <v>25183</v>
      </c>
      <c r="F795" s="38" t="s">
        <v>25177</v>
      </c>
      <c r="G795" s="28" t="s">
        <v>19229</v>
      </c>
      <c r="H795" s="28" t="s">
        <v>19238</v>
      </c>
      <c r="I795" s="30">
        <v>45330</v>
      </c>
      <c r="J795" s="30">
        <v>45337</v>
      </c>
      <c r="K795" s="51">
        <v>8</v>
      </c>
      <c r="L795" s="29"/>
      <c r="M795" s="27" t="s">
        <v>19257</v>
      </c>
    </row>
    <row r="796" spans="1:13" s="27" customFormat="1" ht="17.25" customHeight="1" x14ac:dyDescent="0.25">
      <c r="A796" s="28" t="s">
        <v>1</v>
      </c>
      <c r="B796" s="28">
        <v>71193190</v>
      </c>
      <c r="C796" s="38" t="s">
        <v>25155</v>
      </c>
      <c r="D796" s="38" t="s">
        <v>25156</v>
      </c>
      <c r="E796" s="38" t="s">
        <v>25157</v>
      </c>
      <c r="F796" s="38" t="s">
        <v>25010</v>
      </c>
      <c r="G796" s="28" t="s">
        <v>19229</v>
      </c>
      <c r="H796" s="28" t="s">
        <v>19238</v>
      </c>
      <c r="I796" s="30">
        <v>45332</v>
      </c>
      <c r="J796" s="30">
        <v>45345</v>
      </c>
      <c r="K796" s="51">
        <v>15</v>
      </c>
      <c r="L796" s="29"/>
      <c r="M796" s="27" t="s">
        <v>19257</v>
      </c>
    </row>
    <row r="797" spans="1:13" s="27" customFormat="1" ht="17.25" customHeight="1" x14ac:dyDescent="0.25">
      <c r="A797" s="28" t="s">
        <v>1</v>
      </c>
      <c r="B797" s="28">
        <v>15610445</v>
      </c>
      <c r="C797" s="38" t="s">
        <v>25109</v>
      </c>
      <c r="D797" s="38" t="s">
        <v>25335</v>
      </c>
      <c r="E797" s="38" t="s">
        <v>26053</v>
      </c>
      <c r="F797" s="38" t="s">
        <v>25019</v>
      </c>
      <c r="G797" s="28" t="s">
        <v>19229</v>
      </c>
      <c r="H797" s="28" t="s">
        <v>19240</v>
      </c>
      <c r="I797" s="30">
        <v>45333</v>
      </c>
      <c r="J797" s="30">
        <v>45337</v>
      </c>
      <c r="K797" s="51">
        <v>5</v>
      </c>
      <c r="L797" s="29"/>
      <c r="M797" s="27" t="s">
        <v>26106</v>
      </c>
    </row>
    <row r="798" spans="1:13" s="27" customFormat="1" ht="17.25" customHeight="1" x14ac:dyDescent="0.25">
      <c r="A798" s="28" t="s">
        <v>1</v>
      </c>
      <c r="B798" s="28">
        <v>71362693</v>
      </c>
      <c r="C798" s="38" t="s">
        <v>25608</v>
      </c>
      <c r="D798" s="38" t="s">
        <v>25609</v>
      </c>
      <c r="E798" s="38" t="s">
        <v>25610</v>
      </c>
      <c r="F798" s="38"/>
      <c r="G798" s="28" t="s">
        <v>19229</v>
      </c>
      <c r="H798" s="28" t="s">
        <v>19240</v>
      </c>
      <c r="I798" s="30">
        <v>45333</v>
      </c>
      <c r="J798" s="30">
        <v>45333</v>
      </c>
      <c r="K798" s="51">
        <v>1</v>
      </c>
      <c r="L798" s="29"/>
      <c r="M798" s="27" t="s">
        <v>24991</v>
      </c>
    </row>
    <row r="799" spans="1:13" s="27" customFormat="1" ht="17.25" customHeight="1" x14ac:dyDescent="0.25">
      <c r="A799" s="28" t="s">
        <v>1</v>
      </c>
      <c r="B799" s="28">
        <v>15403728</v>
      </c>
      <c r="C799" s="38" t="s">
        <v>25796</v>
      </c>
      <c r="D799" s="38" t="s">
        <v>25233</v>
      </c>
      <c r="E799" s="38" t="s">
        <v>25151</v>
      </c>
      <c r="F799" s="38"/>
      <c r="G799" s="28" t="s">
        <v>19229</v>
      </c>
      <c r="H799" s="28" t="s">
        <v>19238</v>
      </c>
      <c r="I799" s="30">
        <v>45336</v>
      </c>
      <c r="J799" s="30">
        <v>45343</v>
      </c>
      <c r="K799" s="51">
        <v>8</v>
      </c>
      <c r="L799" s="29"/>
      <c r="M799" s="27" t="s">
        <v>19257</v>
      </c>
    </row>
    <row r="800" spans="1:13" s="27" customFormat="1" ht="17.25" customHeight="1" x14ac:dyDescent="0.25">
      <c r="A800" s="28" t="s">
        <v>1</v>
      </c>
      <c r="B800" s="28">
        <v>78110091</v>
      </c>
      <c r="C800" s="38" t="s">
        <v>26100</v>
      </c>
      <c r="D800" s="38" t="s">
        <v>26101</v>
      </c>
      <c r="E800" s="38" t="s">
        <v>25130</v>
      </c>
      <c r="F800" s="38" t="s">
        <v>25255</v>
      </c>
      <c r="G800" s="28" t="s">
        <v>19229</v>
      </c>
      <c r="H800" s="28" t="s">
        <v>19238</v>
      </c>
      <c r="I800" s="30">
        <v>45336</v>
      </c>
      <c r="J800" s="30">
        <v>45343</v>
      </c>
      <c r="K800" s="51">
        <v>8</v>
      </c>
      <c r="L800" s="29"/>
      <c r="M800" s="27" t="s">
        <v>19257</v>
      </c>
    </row>
    <row r="801" spans="1:13" s="27" customFormat="1" ht="17.25" customHeight="1" x14ac:dyDescent="0.25">
      <c r="A801" s="28" t="s">
        <v>1</v>
      </c>
      <c r="B801" s="28">
        <v>79684163</v>
      </c>
      <c r="C801" s="38" t="s">
        <v>25910</v>
      </c>
      <c r="D801" s="38" t="s">
        <v>26103</v>
      </c>
      <c r="E801" s="38" t="s">
        <v>26104</v>
      </c>
      <c r="F801" s="38" t="s">
        <v>25110</v>
      </c>
      <c r="G801" s="28" t="s">
        <v>19229</v>
      </c>
      <c r="H801" s="28" t="s">
        <v>19238</v>
      </c>
      <c r="I801" s="30">
        <v>45336</v>
      </c>
      <c r="J801" s="30">
        <v>45351</v>
      </c>
      <c r="K801" s="51">
        <v>15</v>
      </c>
      <c r="L801" s="29"/>
      <c r="M801" s="27" t="s">
        <v>19257</v>
      </c>
    </row>
    <row r="802" spans="1:13" s="27" customFormat="1" ht="17.25" customHeight="1" x14ac:dyDescent="0.25">
      <c r="A802" s="28" t="s">
        <v>1</v>
      </c>
      <c r="B802" s="28">
        <v>43210112</v>
      </c>
      <c r="C802" s="38" t="s">
        <v>25257</v>
      </c>
      <c r="D802" s="38"/>
      <c r="E802" s="38" t="s">
        <v>25258</v>
      </c>
      <c r="F802" s="38" t="s">
        <v>25259</v>
      </c>
      <c r="G802" s="28" t="s">
        <v>19229</v>
      </c>
      <c r="H802" s="28" t="s">
        <v>19240</v>
      </c>
      <c r="I802" s="30">
        <v>45336</v>
      </c>
      <c r="J802" s="30">
        <v>45336</v>
      </c>
      <c r="K802" s="51">
        <v>1</v>
      </c>
      <c r="L802" s="29"/>
      <c r="M802" s="27" t="s">
        <v>24991</v>
      </c>
    </row>
    <row r="803" spans="1:13" s="27" customFormat="1" ht="17.25" customHeight="1" x14ac:dyDescent="0.25">
      <c r="A803" s="28" t="s">
        <v>0</v>
      </c>
      <c r="B803" s="28">
        <v>71991931</v>
      </c>
      <c r="C803" s="38" t="s">
        <v>25223</v>
      </c>
      <c r="D803" s="38" t="s">
        <v>25224</v>
      </c>
      <c r="E803" s="38" t="s">
        <v>25064</v>
      </c>
      <c r="F803" s="38" t="s">
        <v>25103</v>
      </c>
      <c r="G803" s="28" t="s">
        <v>19229</v>
      </c>
      <c r="H803" s="28" t="s">
        <v>19238</v>
      </c>
      <c r="I803" s="30">
        <v>45337</v>
      </c>
      <c r="J803" s="30">
        <v>45344</v>
      </c>
      <c r="K803" s="51">
        <v>8</v>
      </c>
      <c r="L803" s="29"/>
      <c r="M803" s="27" t="s">
        <v>19257</v>
      </c>
    </row>
    <row r="804" spans="1:13" s="27" customFormat="1" ht="17.25" customHeight="1" x14ac:dyDescent="0.25">
      <c r="A804" s="28" t="s">
        <v>1</v>
      </c>
      <c r="B804" s="28">
        <v>14605912</v>
      </c>
      <c r="C804" s="38" t="s">
        <v>25414</v>
      </c>
      <c r="D804" s="38" t="s">
        <v>25415</v>
      </c>
      <c r="E804" s="38" t="s">
        <v>25188</v>
      </c>
      <c r="F804" s="38" t="s">
        <v>25416</v>
      </c>
      <c r="G804" s="28" t="s">
        <v>19229</v>
      </c>
      <c r="H804" s="28" t="s">
        <v>19238</v>
      </c>
      <c r="I804" s="30">
        <v>45337</v>
      </c>
      <c r="J804" s="30">
        <v>45351</v>
      </c>
      <c r="K804" s="51">
        <v>15</v>
      </c>
      <c r="L804" s="29"/>
      <c r="M804" s="27" t="s">
        <v>19257</v>
      </c>
    </row>
    <row r="805" spans="1:13" s="27" customFormat="1" ht="17.25" customHeight="1" x14ac:dyDescent="0.25">
      <c r="A805" s="28" t="s">
        <v>1</v>
      </c>
      <c r="B805" s="28">
        <v>1020452896</v>
      </c>
      <c r="C805" s="38" t="s">
        <v>25114</v>
      </c>
      <c r="D805" s="38" t="s">
        <v>25115</v>
      </c>
      <c r="E805" s="38" t="s">
        <v>25116</v>
      </c>
      <c r="F805" s="38" t="s">
        <v>25010</v>
      </c>
      <c r="G805" s="28" t="s">
        <v>19229</v>
      </c>
      <c r="H805" s="28" t="s">
        <v>19238</v>
      </c>
      <c r="I805" s="30">
        <v>45337</v>
      </c>
      <c r="J805" s="30">
        <v>45351</v>
      </c>
      <c r="K805" s="51">
        <v>15</v>
      </c>
      <c r="L805" s="29"/>
      <c r="M805" s="27" t="s">
        <v>19257</v>
      </c>
    </row>
    <row r="806" spans="1:13" s="27" customFormat="1" ht="17.25" customHeight="1" x14ac:dyDescent="0.25">
      <c r="A806" s="28" t="s">
        <v>1</v>
      </c>
      <c r="B806" s="28">
        <v>14605912</v>
      </c>
      <c r="C806" s="38" t="s">
        <v>25414</v>
      </c>
      <c r="D806" s="38" t="s">
        <v>25415</v>
      </c>
      <c r="E806" s="38" t="s">
        <v>25188</v>
      </c>
      <c r="F806" s="38" t="s">
        <v>25416</v>
      </c>
      <c r="G806" s="28" t="s">
        <v>19229</v>
      </c>
      <c r="H806" s="28" t="s">
        <v>19238</v>
      </c>
      <c r="I806" s="30">
        <v>45337</v>
      </c>
      <c r="J806" s="30">
        <v>45351</v>
      </c>
      <c r="K806" s="51">
        <v>15</v>
      </c>
      <c r="L806" s="29"/>
      <c r="M806" s="27" t="s">
        <v>19257</v>
      </c>
    </row>
    <row r="807" spans="1:13" s="27" customFormat="1" ht="17.25" customHeight="1" x14ac:dyDescent="0.25">
      <c r="A807" s="28" t="s">
        <v>1</v>
      </c>
      <c r="B807" s="28">
        <v>12124967</v>
      </c>
      <c r="C807" s="38" t="s">
        <v>25398</v>
      </c>
      <c r="D807" s="38" t="s">
        <v>25303</v>
      </c>
      <c r="E807" s="38" t="s">
        <v>25399</v>
      </c>
      <c r="F807" s="38"/>
      <c r="G807" s="28" t="s">
        <v>19229</v>
      </c>
      <c r="H807" s="28" t="s">
        <v>19238</v>
      </c>
      <c r="I807" s="30">
        <v>45337</v>
      </c>
      <c r="J807" s="30" t="s">
        <v>26102</v>
      </c>
      <c r="K807" s="51">
        <v>15</v>
      </c>
      <c r="L807" s="29"/>
      <c r="M807" s="27" t="s">
        <v>19257</v>
      </c>
    </row>
    <row r="808" spans="1:13" s="27" customFormat="1" ht="17.25" customHeight="1" x14ac:dyDescent="0.25">
      <c r="A808" s="28" t="s">
        <v>1</v>
      </c>
      <c r="B808" s="28">
        <v>8115536</v>
      </c>
      <c r="C808" s="38" t="s">
        <v>25109</v>
      </c>
      <c r="D808" s="38" t="s">
        <v>26094</v>
      </c>
      <c r="E808" s="38" t="s">
        <v>26075</v>
      </c>
      <c r="F808" s="38"/>
      <c r="G808" s="28" t="s">
        <v>19229</v>
      </c>
      <c r="H808" s="28" t="s">
        <v>19238</v>
      </c>
      <c r="I808" s="30">
        <v>45338</v>
      </c>
      <c r="J808" s="30">
        <v>45352</v>
      </c>
      <c r="K808" s="51">
        <v>15</v>
      </c>
      <c r="L808" s="29"/>
      <c r="M808" s="27" t="s">
        <v>19257</v>
      </c>
    </row>
    <row r="809" spans="1:13" s="27" customFormat="1" ht="17.25" customHeight="1" x14ac:dyDescent="0.25">
      <c r="A809" s="28" t="s">
        <v>1</v>
      </c>
      <c r="B809" s="28">
        <v>98491354</v>
      </c>
      <c r="C809" s="38" t="s">
        <v>25401</v>
      </c>
      <c r="D809" s="38"/>
      <c r="E809" s="38" t="s">
        <v>25091</v>
      </c>
      <c r="F809" s="38" t="s">
        <v>25402</v>
      </c>
      <c r="G809" s="28" t="s">
        <v>19229</v>
      </c>
      <c r="H809" s="28" t="s">
        <v>19238</v>
      </c>
      <c r="I809" s="30">
        <v>45338</v>
      </c>
      <c r="J809" s="30">
        <v>45345</v>
      </c>
      <c r="K809" s="51">
        <v>8</v>
      </c>
      <c r="L809" s="29"/>
      <c r="M809" s="27" t="s">
        <v>19257</v>
      </c>
    </row>
    <row r="810" spans="1:13" s="27" customFormat="1" ht="17.25" customHeight="1" x14ac:dyDescent="0.25">
      <c r="A810" s="28" t="s">
        <v>1</v>
      </c>
      <c r="B810" s="28">
        <v>1128480310</v>
      </c>
      <c r="C810" s="38" t="s">
        <v>25508</v>
      </c>
      <c r="D810" s="38" t="s">
        <v>25508</v>
      </c>
      <c r="E810" s="38" t="s">
        <v>25089</v>
      </c>
      <c r="F810" s="38" t="s">
        <v>25135</v>
      </c>
      <c r="G810" s="28" t="s">
        <v>19229</v>
      </c>
      <c r="H810" s="28" t="s">
        <v>19238</v>
      </c>
      <c r="I810" s="30">
        <v>45338</v>
      </c>
      <c r="J810" s="30">
        <v>45352</v>
      </c>
      <c r="K810" s="51">
        <v>15</v>
      </c>
      <c r="L810" s="29"/>
      <c r="M810" s="27" t="s">
        <v>19257</v>
      </c>
    </row>
    <row r="811" spans="1:13" s="27" customFormat="1" ht="17.25" customHeight="1" x14ac:dyDescent="0.25">
      <c r="A811" s="28" t="s">
        <v>1</v>
      </c>
      <c r="B811" s="28">
        <v>8414876</v>
      </c>
      <c r="C811" s="38" t="s">
        <v>25638</v>
      </c>
      <c r="D811" s="38" t="s">
        <v>25639</v>
      </c>
      <c r="E811" s="38" t="s">
        <v>25640</v>
      </c>
      <c r="F811" s="38" t="s">
        <v>25641</v>
      </c>
      <c r="G811" s="28" t="s">
        <v>19229</v>
      </c>
      <c r="H811" s="28" t="s">
        <v>19238</v>
      </c>
      <c r="I811" s="30">
        <v>45338</v>
      </c>
      <c r="J811" s="30">
        <v>45352</v>
      </c>
      <c r="K811" s="51">
        <v>15</v>
      </c>
      <c r="L811" s="29"/>
      <c r="M811" s="27" t="s">
        <v>19257</v>
      </c>
    </row>
    <row r="812" spans="1:13" s="27" customFormat="1" ht="17.25" customHeight="1" x14ac:dyDescent="0.25">
      <c r="A812" s="28" t="s">
        <v>1</v>
      </c>
      <c r="B812" s="28">
        <v>1001747329</v>
      </c>
      <c r="C812" s="38" t="s">
        <v>25727</v>
      </c>
      <c r="D812" s="38" t="s">
        <v>26078</v>
      </c>
      <c r="E812" s="38" t="s">
        <v>25255</v>
      </c>
      <c r="F812" s="38" t="s">
        <v>26099</v>
      </c>
      <c r="G812" s="28" t="s">
        <v>19229</v>
      </c>
      <c r="H812" s="28" t="s">
        <v>19238</v>
      </c>
      <c r="I812" s="30">
        <v>45338</v>
      </c>
      <c r="J812" s="30">
        <v>45352</v>
      </c>
      <c r="K812" s="51">
        <v>15</v>
      </c>
      <c r="L812" s="29"/>
      <c r="M812" s="27" t="s">
        <v>19257</v>
      </c>
    </row>
    <row r="813" spans="1:13" s="27" customFormat="1" ht="17.25" customHeight="1" x14ac:dyDescent="0.25">
      <c r="A813" s="28" t="s">
        <v>1</v>
      </c>
      <c r="B813" s="28">
        <v>1020432623</v>
      </c>
      <c r="C813" s="38" t="s">
        <v>25214</v>
      </c>
      <c r="D813" s="38" t="s">
        <v>25109</v>
      </c>
      <c r="E813" s="38" t="s">
        <v>25183</v>
      </c>
      <c r="F813" s="38" t="s">
        <v>25177</v>
      </c>
      <c r="G813" s="28" t="s">
        <v>19229</v>
      </c>
      <c r="H813" s="28" t="s">
        <v>19238</v>
      </c>
      <c r="I813" s="30">
        <v>45338</v>
      </c>
      <c r="J813" s="30">
        <v>45345</v>
      </c>
      <c r="K813" s="51">
        <v>8</v>
      </c>
      <c r="L813" s="29"/>
      <c r="M813" s="27" t="s">
        <v>19257</v>
      </c>
    </row>
    <row r="814" spans="1:13" s="27" customFormat="1" ht="17.25" customHeight="1" x14ac:dyDescent="0.25">
      <c r="A814" s="28" t="s">
        <v>1</v>
      </c>
      <c r="B814" s="28">
        <v>43709476</v>
      </c>
      <c r="C814" s="38" t="s">
        <v>25023</v>
      </c>
      <c r="D814" s="38" t="s">
        <v>25233</v>
      </c>
      <c r="E814" s="38" t="s">
        <v>25234</v>
      </c>
      <c r="F814" s="38" t="s">
        <v>25235</v>
      </c>
      <c r="G814" s="28" t="s">
        <v>19229</v>
      </c>
      <c r="H814" s="28" t="s">
        <v>19238</v>
      </c>
      <c r="I814" s="30">
        <v>45338</v>
      </c>
      <c r="J814" s="30">
        <v>45352</v>
      </c>
      <c r="K814" s="51">
        <v>15</v>
      </c>
      <c r="L814" s="29"/>
      <c r="M814" s="27" t="s">
        <v>19257</v>
      </c>
    </row>
    <row r="815" spans="1:13" s="27" customFormat="1" ht="17.25" customHeight="1" x14ac:dyDescent="0.25">
      <c r="A815" s="28" t="s">
        <v>1</v>
      </c>
      <c r="B815" s="28">
        <v>70137576</v>
      </c>
      <c r="C815" s="38" t="s">
        <v>25086</v>
      </c>
      <c r="D815" s="38" t="s">
        <v>25424</v>
      </c>
      <c r="E815" s="38" t="s">
        <v>25405</v>
      </c>
      <c r="F815" s="38" t="s">
        <v>26027</v>
      </c>
      <c r="G815" s="28" t="s">
        <v>19229</v>
      </c>
      <c r="H815" s="28" t="s">
        <v>19238</v>
      </c>
      <c r="I815" s="30">
        <v>45338</v>
      </c>
      <c r="J815" s="30">
        <v>45345</v>
      </c>
      <c r="K815" s="51">
        <v>8</v>
      </c>
      <c r="L815" s="29"/>
      <c r="M815" s="27" t="s">
        <v>19257</v>
      </c>
    </row>
    <row r="816" spans="1:13" s="27" customFormat="1" ht="17.25" customHeight="1" x14ac:dyDescent="0.25">
      <c r="A816" s="28" t="s">
        <v>1</v>
      </c>
      <c r="B816" s="28">
        <v>71373029</v>
      </c>
      <c r="C816" s="38" t="s">
        <v>25314</v>
      </c>
      <c r="D816" s="38" t="s">
        <v>25387</v>
      </c>
      <c r="E816" s="38" t="s">
        <v>26111</v>
      </c>
      <c r="F816" s="38" t="s">
        <v>25064</v>
      </c>
      <c r="G816" s="28" t="s">
        <v>26112</v>
      </c>
      <c r="H816" s="28" t="s">
        <v>19238</v>
      </c>
      <c r="I816" s="30">
        <v>45338</v>
      </c>
      <c r="J816" s="30">
        <v>45352</v>
      </c>
      <c r="K816" s="51">
        <v>15</v>
      </c>
      <c r="L816" s="29"/>
      <c r="M816" s="27" t="s">
        <v>19257</v>
      </c>
    </row>
    <row r="817" spans="1:13" s="27" customFormat="1" ht="17.25" customHeight="1" x14ac:dyDescent="0.25">
      <c r="A817" s="28" t="s">
        <v>1</v>
      </c>
      <c r="B817" s="28">
        <v>1040737050</v>
      </c>
      <c r="C817" s="38" t="s">
        <v>25477</v>
      </c>
      <c r="D817" s="38" t="s">
        <v>25468</v>
      </c>
      <c r="E817" s="38" t="s">
        <v>25618</v>
      </c>
      <c r="F817" s="38" t="s">
        <v>25469</v>
      </c>
      <c r="G817" s="28" t="s">
        <v>19229</v>
      </c>
      <c r="H817" s="28" t="s">
        <v>19238</v>
      </c>
      <c r="I817" s="30">
        <v>45338</v>
      </c>
      <c r="J817" s="30">
        <v>45342</v>
      </c>
      <c r="K817" s="51">
        <v>8</v>
      </c>
      <c r="L817" s="29"/>
      <c r="M817" s="27" t="s">
        <v>19257</v>
      </c>
    </row>
    <row r="818" spans="1:13" s="27" customFormat="1" ht="17.25" customHeight="1" x14ac:dyDescent="0.25">
      <c r="A818" s="28" t="s">
        <v>1</v>
      </c>
      <c r="B818" s="28">
        <v>98452446</v>
      </c>
      <c r="C818" s="38" t="s">
        <v>25326</v>
      </c>
      <c r="D818" s="38" t="s">
        <v>26095</v>
      </c>
      <c r="E818" s="38" t="s">
        <v>25985</v>
      </c>
      <c r="F818" s="38" t="s">
        <v>25092</v>
      </c>
      <c r="G818" s="28" t="s">
        <v>19229</v>
      </c>
      <c r="H818" s="28" t="s">
        <v>19238</v>
      </c>
      <c r="I818" s="30">
        <v>45339</v>
      </c>
      <c r="J818" s="30">
        <v>45346</v>
      </c>
      <c r="K818" s="51">
        <v>8</v>
      </c>
      <c r="L818" s="29"/>
      <c r="M818" s="27" t="s">
        <v>19257</v>
      </c>
    </row>
    <row r="819" spans="1:13" s="27" customFormat="1" ht="17.25" customHeight="1" x14ac:dyDescent="0.25">
      <c r="A819" s="28" t="s">
        <v>1</v>
      </c>
      <c r="B819" s="28">
        <v>1152198374</v>
      </c>
      <c r="C819" s="38" t="s">
        <v>25257</v>
      </c>
      <c r="D819" s="38" t="s">
        <v>26113</v>
      </c>
      <c r="E819" s="38" t="s">
        <v>26114</v>
      </c>
      <c r="F819" s="38"/>
      <c r="G819" s="28" t="s">
        <v>19229</v>
      </c>
      <c r="H819" s="28" t="s">
        <v>19240</v>
      </c>
      <c r="I819" s="30">
        <v>45340</v>
      </c>
      <c r="J819" s="30">
        <v>45340</v>
      </c>
      <c r="K819" s="51">
        <v>1</v>
      </c>
      <c r="L819" s="29"/>
      <c r="M819" s="27" t="s">
        <v>24991</v>
      </c>
    </row>
    <row r="820" spans="1:13" s="27" customFormat="1" ht="17.25" customHeight="1" x14ac:dyDescent="0.25">
      <c r="A820" s="28" t="s">
        <v>1</v>
      </c>
      <c r="B820" s="28">
        <v>15527567</v>
      </c>
      <c r="C820" s="38" t="s">
        <v>26097</v>
      </c>
      <c r="D820" s="38" t="s">
        <v>26098</v>
      </c>
      <c r="E820" s="38" t="s">
        <v>25255</v>
      </c>
      <c r="F820" s="38" t="s">
        <v>25064</v>
      </c>
      <c r="G820" s="28" t="s">
        <v>19229</v>
      </c>
      <c r="H820" s="28" t="s">
        <v>19238</v>
      </c>
      <c r="I820" s="30">
        <v>45341</v>
      </c>
      <c r="J820" s="30">
        <v>45355</v>
      </c>
      <c r="K820" s="51">
        <v>15</v>
      </c>
      <c r="L820" s="29"/>
      <c r="M820" s="27" t="s">
        <v>19257</v>
      </c>
    </row>
    <row r="821" spans="1:13" s="27" customFormat="1" ht="17.25" customHeight="1" x14ac:dyDescent="0.25">
      <c r="A821" s="28" t="s">
        <v>1</v>
      </c>
      <c r="B821" s="28">
        <v>15527567</v>
      </c>
      <c r="C821" s="38" t="s">
        <v>26097</v>
      </c>
      <c r="D821" s="38" t="s">
        <v>26098</v>
      </c>
      <c r="E821" s="38" t="s">
        <v>25255</v>
      </c>
      <c r="F821" s="38" t="s">
        <v>25064</v>
      </c>
      <c r="G821" s="28" t="s">
        <v>19229</v>
      </c>
      <c r="H821" s="28" t="s">
        <v>19238</v>
      </c>
      <c r="I821" s="30">
        <v>45341</v>
      </c>
      <c r="J821" s="30">
        <v>45355</v>
      </c>
      <c r="K821" s="51">
        <v>15</v>
      </c>
      <c r="L821" s="29"/>
      <c r="M821" s="27" t="s">
        <v>19257</v>
      </c>
    </row>
    <row r="822" spans="1:13" s="27" customFormat="1" ht="17.25" customHeight="1" x14ac:dyDescent="0.25">
      <c r="A822" s="28" t="s">
        <v>1</v>
      </c>
      <c r="B822" s="28">
        <v>71364030</v>
      </c>
      <c r="C822" s="38" t="s">
        <v>25846</v>
      </c>
      <c r="D822" s="38" t="s">
        <v>25174</v>
      </c>
      <c r="E822" s="38" t="s">
        <v>25028</v>
      </c>
      <c r="F822" s="38" t="s">
        <v>25064</v>
      </c>
      <c r="G822" s="28" t="s">
        <v>19229</v>
      </c>
      <c r="H822" s="28" t="s">
        <v>19238</v>
      </c>
      <c r="I822" s="30">
        <v>45341</v>
      </c>
      <c r="J822" s="30">
        <v>45355</v>
      </c>
      <c r="K822" s="51">
        <v>15</v>
      </c>
      <c r="L822" s="29"/>
      <c r="M822" s="27" t="s">
        <v>19257</v>
      </c>
    </row>
    <row r="823" spans="1:13" s="27" customFormat="1" ht="17.25" customHeight="1" x14ac:dyDescent="0.25">
      <c r="A823" s="28" t="s">
        <v>1</v>
      </c>
      <c r="B823" s="28">
        <v>1017149200</v>
      </c>
      <c r="C823" s="38" t="s">
        <v>25127</v>
      </c>
      <c r="D823" s="38" t="s">
        <v>25593</v>
      </c>
      <c r="E823" s="38" t="s">
        <v>25773</v>
      </c>
      <c r="F823" s="38" t="s">
        <v>25774</v>
      </c>
      <c r="G823" s="28" t="s">
        <v>19229</v>
      </c>
      <c r="H823" s="28" t="s">
        <v>19240</v>
      </c>
      <c r="I823" s="30">
        <v>45342</v>
      </c>
      <c r="J823" s="30">
        <v>45342</v>
      </c>
      <c r="K823" s="51">
        <v>1</v>
      </c>
      <c r="L823" s="29"/>
      <c r="M823" s="27" t="s">
        <v>24991</v>
      </c>
    </row>
    <row r="824" spans="1:13" s="27" customFormat="1" ht="17.25" customHeight="1" x14ac:dyDescent="0.25">
      <c r="A824" s="28" t="s">
        <v>1</v>
      </c>
      <c r="B824" s="28">
        <v>98708043</v>
      </c>
      <c r="C824" s="38" t="s">
        <v>25118</v>
      </c>
      <c r="D824" s="38" t="s">
        <v>25174</v>
      </c>
      <c r="E824" s="38" t="s">
        <v>25066</v>
      </c>
      <c r="F824" s="38" t="s">
        <v>25103</v>
      </c>
      <c r="G824" s="28" t="s">
        <v>19229</v>
      </c>
      <c r="H824" s="28" t="s">
        <v>19238</v>
      </c>
      <c r="I824" s="30">
        <v>45342</v>
      </c>
      <c r="J824" s="30">
        <v>45356</v>
      </c>
      <c r="K824" s="51">
        <v>15</v>
      </c>
      <c r="L824" s="29"/>
      <c r="M824" s="27" t="s">
        <v>19257</v>
      </c>
    </row>
    <row r="825" spans="1:13" s="27" customFormat="1" ht="17.25" customHeight="1" x14ac:dyDescent="0.25">
      <c r="A825" s="28" t="s">
        <v>1</v>
      </c>
      <c r="B825" s="28">
        <v>1017147205</v>
      </c>
      <c r="C825" s="38" t="s">
        <v>26109</v>
      </c>
      <c r="D825" s="38" t="s">
        <v>26110</v>
      </c>
      <c r="E825" s="38" t="s">
        <v>25985</v>
      </c>
      <c r="F825" s="38" t="s">
        <v>25885</v>
      </c>
      <c r="G825" s="28" t="s">
        <v>19229</v>
      </c>
      <c r="H825" s="28" t="s">
        <v>19239</v>
      </c>
      <c r="I825" s="30">
        <v>45343</v>
      </c>
      <c r="J825" s="30">
        <v>45345</v>
      </c>
      <c r="K825" s="51">
        <v>3</v>
      </c>
      <c r="L825" s="29">
        <v>1</v>
      </c>
      <c r="M825" s="27" t="s">
        <v>25036</v>
      </c>
    </row>
    <row r="826" spans="1:13" s="27" customFormat="1" ht="17.25" customHeight="1" x14ac:dyDescent="0.25">
      <c r="A826" s="28" t="s">
        <v>1</v>
      </c>
      <c r="B826" s="28">
        <v>78110091</v>
      </c>
      <c r="C826" s="38" t="s">
        <v>26100</v>
      </c>
      <c r="D826" s="38" t="s">
        <v>26101</v>
      </c>
      <c r="E826" s="38" t="s">
        <v>25130</v>
      </c>
      <c r="F826" s="38" t="s">
        <v>25255</v>
      </c>
      <c r="G826" s="28" t="s">
        <v>19229</v>
      </c>
      <c r="H826" s="28" t="s">
        <v>19238</v>
      </c>
      <c r="I826" s="30">
        <v>45344</v>
      </c>
      <c r="J826" s="30">
        <v>45351</v>
      </c>
      <c r="K826" s="51">
        <v>8</v>
      </c>
      <c r="L826" s="29"/>
      <c r="M826" s="27" t="s">
        <v>19257</v>
      </c>
    </row>
    <row r="827" spans="1:13" s="27" customFormat="1" ht="17.25" customHeight="1" x14ac:dyDescent="0.25">
      <c r="A827" s="28" t="s">
        <v>1</v>
      </c>
      <c r="B827" s="28">
        <v>71609620</v>
      </c>
      <c r="C827" s="38" t="s">
        <v>25993</v>
      </c>
      <c r="D827" s="38" t="s">
        <v>26032</v>
      </c>
      <c r="E827" s="38" t="s">
        <v>25380</v>
      </c>
      <c r="F827" s="38" t="s">
        <v>25131</v>
      </c>
      <c r="G827" s="28" t="s">
        <v>19229</v>
      </c>
      <c r="H827" s="28" t="s">
        <v>19238</v>
      </c>
      <c r="I827" s="30">
        <v>45344</v>
      </c>
      <c r="J827" s="30">
        <v>45351</v>
      </c>
      <c r="K827" s="51">
        <v>8</v>
      </c>
      <c r="L827" s="29"/>
      <c r="M827" s="27" t="s">
        <v>19257</v>
      </c>
    </row>
    <row r="828" spans="1:13" s="27" customFormat="1" ht="17.25" customHeight="1" x14ac:dyDescent="0.25">
      <c r="A828" s="28" t="s">
        <v>1</v>
      </c>
      <c r="B828" s="28">
        <v>15609339</v>
      </c>
      <c r="C828" s="38" t="s">
        <v>25034</v>
      </c>
      <c r="D828" s="38" t="s">
        <v>25053</v>
      </c>
      <c r="E828" s="38" t="s">
        <v>25766</v>
      </c>
      <c r="F828" s="38" t="s">
        <v>25103</v>
      </c>
      <c r="G828" s="28" t="s">
        <v>19229</v>
      </c>
      <c r="H828" s="28" t="s">
        <v>19238</v>
      </c>
      <c r="I828" s="30">
        <v>45344</v>
      </c>
      <c r="J828" s="30">
        <v>45358</v>
      </c>
      <c r="K828" s="51">
        <v>15</v>
      </c>
      <c r="L828" s="29"/>
      <c r="M828" s="27" t="s">
        <v>19257</v>
      </c>
    </row>
    <row r="829" spans="1:13" s="27" customFormat="1" ht="17.25" customHeight="1" x14ac:dyDescent="0.25">
      <c r="A829" s="28" t="s">
        <v>1</v>
      </c>
      <c r="B829" s="28">
        <v>1102815009</v>
      </c>
      <c r="C829" s="38" t="s">
        <v>25257</v>
      </c>
      <c r="D829" s="38" t="s">
        <v>26121</v>
      </c>
      <c r="E829" s="38" t="s">
        <v>25347</v>
      </c>
      <c r="F829" s="38" t="s">
        <v>25135</v>
      </c>
      <c r="G829" s="28" t="s">
        <v>19229</v>
      </c>
      <c r="H829" s="28" t="s">
        <v>19240</v>
      </c>
      <c r="I829" s="30">
        <v>45344</v>
      </c>
      <c r="J829" s="30">
        <v>45345</v>
      </c>
      <c r="K829" s="51">
        <v>2</v>
      </c>
      <c r="L829" s="29"/>
      <c r="M829" s="27" t="s">
        <v>26106</v>
      </c>
    </row>
    <row r="830" spans="1:13" s="27" customFormat="1" ht="17.25" customHeight="1" x14ac:dyDescent="0.25">
      <c r="A830" s="28" t="s">
        <v>1</v>
      </c>
      <c r="B830" s="28">
        <v>71370517</v>
      </c>
      <c r="C830" s="38" t="s">
        <v>25061</v>
      </c>
      <c r="D830" s="38" t="s">
        <v>25511</v>
      </c>
      <c r="E830" s="38" t="s">
        <v>25168</v>
      </c>
      <c r="F830" s="38" t="s">
        <v>25512</v>
      </c>
      <c r="G830" s="28" t="s">
        <v>19229</v>
      </c>
      <c r="H830" s="28" t="s">
        <v>19240</v>
      </c>
      <c r="I830" s="30">
        <v>45345</v>
      </c>
      <c r="J830" s="30">
        <v>45350</v>
      </c>
      <c r="K830" s="51">
        <v>6</v>
      </c>
      <c r="L830" s="29"/>
      <c r="M830" s="27" t="s">
        <v>24991</v>
      </c>
    </row>
    <row r="831" spans="1:13" s="27" customFormat="1" ht="17.25" customHeight="1" x14ac:dyDescent="0.25">
      <c r="A831" s="28" t="s">
        <v>1</v>
      </c>
      <c r="B831" s="28">
        <v>1035303873</v>
      </c>
      <c r="C831" s="38" t="s">
        <v>25454</v>
      </c>
      <c r="D831" s="38" t="s">
        <v>25588</v>
      </c>
      <c r="E831" s="38" t="s">
        <v>25760</v>
      </c>
      <c r="F831" s="38" t="s">
        <v>25010</v>
      </c>
      <c r="G831" s="28" t="s">
        <v>19229</v>
      </c>
      <c r="H831" s="28" t="s">
        <v>19240</v>
      </c>
      <c r="I831" s="30">
        <v>45345</v>
      </c>
      <c r="J831" s="30">
        <v>45345</v>
      </c>
      <c r="K831" s="51">
        <v>1</v>
      </c>
      <c r="L831" s="29"/>
      <c r="M831" s="27" t="s">
        <v>24991</v>
      </c>
    </row>
    <row r="832" spans="1:13" s="27" customFormat="1" ht="17.25" customHeight="1" x14ac:dyDescent="0.25">
      <c r="A832" s="28" t="s">
        <v>1</v>
      </c>
      <c r="B832" s="28">
        <v>1003097473</v>
      </c>
      <c r="C832" s="38" t="s">
        <v>25847</v>
      </c>
      <c r="D832" s="38" t="s">
        <v>26116</v>
      </c>
      <c r="E832" s="38" t="s">
        <v>25731</v>
      </c>
      <c r="F832" s="38"/>
      <c r="G832" s="28" t="s">
        <v>19285</v>
      </c>
      <c r="H832" s="28" t="s">
        <v>19239</v>
      </c>
      <c r="I832" s="30">
        <v>45345</v>
      </c>
      <c r="J832" s="30">
        <v>45351</v>
      </c>
      <c r="K832" s="51">
        <v>7</v>
      </c>
      <c r="L832" s="29">
        <v>19</v>
      </c>
      <c r="M832" s="27" t="s">
        <v>25036</v>
      </c>
    </row>
    <row r="833" spans="1:13" s="27" customFormat="1" ht="17.25" customHeight="1" x14ac:dyDescent="0.25">
      <c r="A833" s="28" t="s">
        <v>1</v>
      </c>
      <c r="B833" s="28">
        <v>71987067</v>
      </c>
      <c r="C833" s="38" t="s">
        <v>25128</v>
      </c>
      <c r="D833" s="38" t="s">
        <v>26117</v>
      </c>
      <c r="E833" s="38" t="s">
        <v>25130</v>
      </c>
      <c r="F833" s="38" t="s">
        <v>25131</v>
      </c>
      <c r="G833" s="28" t="s">
        <v>19229</v>
      </c>
      <c r="H833" s="28" t="s">
        <v>19239</v>
      </c>
      <c r="I833" s="30">
        <v>45345</v>
      </c>
      <c r="J833" s="30">
        <v>45349</v>
      </c>
      <c r="K833" s="51">
        <v>5</v>
      </c>
      <c r="L833" s="29">
        <v>22</v>
      </c>
      <c r="M833" s="27" t="s">
        <v>25036</v>
      </c>
    </row>
    <row r="834" spans="1:13" s="27" customFormat="1" ht="17.25" customHeight="1" x14ac:dyDescent="0.25">
      <c r="A834" s="28" t="s">
        <v>1</v>
      </c>
      <c r="B834" s="28">
        <v>704870381</v>
      </c>
      <c r="C834" s="38" t="s">
        <v>25534</v>
      </c>
      <c r="D834" s="38" t="s">
        <v>26061</v>
      </c>
      <c r="E834" s="38" t="s">
        <v>25263</v>
      </c>
      <c r="F834" s="38" t="s">
        <v>25064</v>
      </c>
      <c r="G834" s="28" t="s">
        <v>19229</v>
      </c>
      <c r="H834" s="28" t="s">
        <v>19239</v>
      </c>
      <c r="I834" s="30">
        <v>45345</v>
      </c>
      <c r="J834" s="30">
        <v>45349</v>
      </c>
      <c r="K834" s="51">
        <v>5</v>
      </c>
      <c r="L834" s="29">
        <v>22</v>
      </c>
      <c r="M834" s="27" t="s">
        <v>25036</v>
      </c>
    </row>
    <row r="835" spans="1:13" s="27" customFormat="1" ht="17.25" customHeight="1" x14ac:dyDescent="0.25">
      <c r="A835" s="28" t="s">
        <v>1</v>
      </c>
      <c r="B835" s="28">
        <v>70470381</v>
      </c>
      <c r="C835" s="38" t="s">
        <v>25456</v>
      </c>
      <c r="D835" s="38" t="s">
        <v>26061</v>
      </c>
      <c r="E835" s="38" t="s">
        <v>25134</v>
      </c>
      <c r="F835" s="38" t="s">
        <v>25064</v>
      </c>
      <c r="G835" s="28" t="s">
        <v>19229</v>
      </c>
      <c r="H835" s="28" t="s">
        <v>19239</v>
      </c>
      <c r="I835" s="30">
        <v>45345</v>
      </c>
      <c r="J835" s="30">
        <v>45349</v>
      </c>
      <c r="K835" s="51">
        <v>5</v>
      </c>
      <c r="L835" s="29">
        <v>22</v>
      </c>
      <c r="M835" s="27" t="s">
        <v>25036</v>
      </c>
    </row>
    <row r="836" spans="1:13" s="27" customFormat="1" ht="17.25" customHeight="1" x14ac:dyDescent="0.25">
      <c r="A836" s="28" t="s">
        <v>1</v>
      </c>
      <c r="B836" s="28">
        <v>70137576</v>
      </c>
      <c r="C836" s="38" t="s">
        <v>25086</v>
      </c>
      <c r="D836" s="38" t="s">
        <v>25424</v>
      </c>
      <c r="E836" s="38" t="s">
        <v>25405</v>
      </c>
      <c r="F836" s="38" t="s">
        <v>26027</v>
      </c>
      <c r="G836" s="28" t="s">
        <v>19229</v>
      </c>
      <c r="H836" s="28" t="s">
        <v>19238</v>
      </c>
      <c r="I836" s="30">
        <v>45346</v>
      </c>
      <c r="J836" s="30">
        <v>45353</v>
      </c>
      <c r="K836" s="51">
        <v>8</v>
      </c>
      <c r="L836" s="29"/>
      <c r="M836" s="27" t="s">
        <v>19257</v>
      </c>
    </row>
    <row r="837" spans="1:13" s="27" customFormat="1" ht="17.25" customHeight="1" x14ac:dyDescent="0.25">
      <c r="A837" s="28" t="s">
        <v>1</v>
      </c>
      <c r="B837" s="28">
        <v>1173188829</v>
      </c>
      <c r="C837" s="38" t="s">
        <v>25309</v>
      </c>
      <c r="D837" s="38" t="s">
        <v>25310</v>
      </c>
      <c r="E837" s="38" t="s">
        <v>25311</v>
      </c>
      <c r="F837" s="38"/>
      <c r="G837" s="28" t="s">
        <v>26115</v>
      </c>
      <c r="H837" s="28" t="s">
        <v>19239</v>
      </c>
      <c r="I837" s="30">
        <v>45346</v>
      </c>
      <c r="J837" s="30">
        <v>45350</v>
      </c>
      <c r="K837" s="51">
        <v>5</v>
      </c>
      <c r="L837" s="29">
        <v>22</v>
      </c>
      <c r="M837" s="27" t="s">
        <v>25036</v>
      </c>
    </row>
    <row r="838" spans="1:13" s="27" customFormat="1" ht="17.25" customHeight="1" x14ac:dyDescent="0.25">
      <c r="A838" s="28" t="s">
        <v>1</v>
      </c>
      <c r="B838" s="28">
        <v>98452446</v>
      </c>
      <c r="C838" s="38" t="s">
        <v>25326</v>
      </c>
      <c r="D838" s="38" t="s">
        <v>26095</v>
      </c>
      <c r="E838" s="38" t="s">
        <v>25985</v>
      </c>
      <c r="F838" s="38" t="s">
        <v>25092</v>
      </c>
      <c r="G838" s="28" t="s">
        <v>19229</v>
      </c>
      <c r="H838" s="28" t="s">
        <v>19238</v>
      </c>
      <c r="I838" s="30">
        <v>45347</v>
      </c>
      <c r="J838" s="30">
        <v>45354</v>
      </c>
      <c r="K838" s="51">
        <v>8</v>
      </c>
      <c r="L838" s="29"/>
      <c r="M838" s="27" t="s">
        <v>19257</v>
      </c>
    </row>
    <row r="839" spans="1:13" s="27" customFormat="1" ht="17.25" customHeight="1" x14ac:dyDescent="0.25">
      <c r="A839" s="28" t="s">
        <v>1</v>
      </c>
      <c r="B839" s="28">
        <v>8435129</v>
      </c>
      <c r="C839" s="38" t="s">
        <v>25391</v>
      </c>
      <c r="D839" s="38" t="s">
        <v>25338</v>
      </c>
      <c r="E839" s="38" t="s">
        <v>25255</v>
      </c>
      <c r="F839" s="38" t="s">
        <v>25032</v>
      </c>
      <c r="G839" s="28" t="s">
        <v>19229</v>
      </c>
      <c r="H839" s="28" t="s">
        <v>19238</v>
      </c>
      <c r="I839" s="30">
        <v>45347</v>
      </c>
      <c r="J839" s="30">
        <v>45361</v>
      </c>
      <c r="K839" s="51">
        <v>15</v>
      </c>
      <c r="L839" s="29"/>
      <c r="M839" s="27" t="s">
        <v>19257</v>
      </c>
    </row>
    <row r="840" spans="1:13" s="27" customFormat="1" ht="17.25" customHeight="1" x14ac:dyDescent="0.25">
      <c r="A840" s="28" t="s">
        <v>1</v>
      </c>
      <c r="B840" s="28">
        <v>1037583233</v>
      </c>
      <c r="C840" s="38" t="s">
        <v>24985</v>
      </c>
      <c r="D840" s="38" t="s">
        <v>25105</v>
      </c>
      <c r="E840" s="38" t="s">
        <v>25116</v>
      </c>
      <c r="F840" s="38" t="s">
        <v>25010</v>
      </c>
      <c r="G840" s="28" t="s">
        <v>25328</v>
      </c>
      <c r="H840" s="28" t="s">
        <v>19239</v>
      </c>
      <c r="I840" s="30">
        <v>45347</v>
      </c>
      <c r="J840" s="30">
        <v>45347</v>
      </c>
      <c r="K840" s="51">
        <v>1</v>
      </c>
      <c r="L840" s="29">
        <v>3</v>
      </c>
      <c r="M840" s="27" t="s">
        <v>25036</v>
      </c>
    </row>
    <row r="841" spans="1:13" s="27" customFormat="1" ht="17.25" customHeight="1" x14ac:dyDescent="0.25">
      <c r="A841" s="28" t="s">
        <v>1</v>
      </c>
      <c r="B841" s="28">
        <v>71784176</v>
      </c>
      <c r="C841" s="38" t="s">
        <v>25244</v>
      </c>
      <c r="D841" s="38" t="s">
        <v>25245</v>
      </c>
      <c r="E841" s="38" t="s">
        <v>25110</v>
      </c>
      <c r="F841" s="38"/>
      <c r="G841" s="28" t="s">
        <v>19229</v>
      </c>
      <c r="H841" s="28" t="s">
        <v>19238</v>
      </c>
      <c r="I841" s="30">
        <v>45347</v>
      </c>
      <c r="J841" s="30">
        <v>45361</v>
      </c>
      <c r="K841" s="51">
        <v>15</v>
      </c>
      <c r="L841" s="29"/>
      <c r="M841" s="27" t="s">
        <v>19257</v>
      </c>
    </row>
    <row r="842" spans="1:13" s="27" customFormat="1" ht="17.25" customHeight="1" x14ac:dyDescent="0.25">
      <c r="A842" s="28" t="s">
        <v>1</v>
      </c>
      <c r="B842" s="28">
        <v>15262616</v>
      </c>
      <c r="C842" s="38" t="s">
        <v>25829</v>
      </c>
      <c r="D842" s="38" t="s">
        <v>25348</v>
      </c>
      <c r="E842" s="38" t="s">
        <v>25358</v>
      </c>
      <c r="F842" s="38" t="s">
        <v>25005</v>
      </c>
      <c r="G842" s="28" t="s">
        <v>19229</v>
      </c>
      <c r="H842" s="28" t="s">
        <v>19239</v>
      </c>
      <c r="I842" s="30">
        <v>45349</v>
      </c>
      <c r="J842" s="30">
        <v>45353</v>
      </c>
      <c r="K842" s="51">
        <v>5</v>
      </c>
      <c r="L842" s="29">
        <v>1</v>
      </c>
      <c r="M842" s="27" t="s">
        <v>25036</v>
      </c>
    </row>
    <row r="843" spans="1:13" s="27" customFormat="1" ht="17.25" customHeight="1" x14ac:dyDescent="0.25">
      <c r="A843" s="28" t="s">
        <v>1</v>
      </c>
      <c r="B843" s="28">
        <v>1039702707</v>
      </c>
      <c r="C843" s="38" t="s">
        <v>25666</v>
      </c>
      <c r="D843" s="38" t="s">
        <v>25372</v>
      </c>
      <c r="E843" s="38" t="s">
        <v>25711</v>
      </c>
      <c r="F843" s="38" t="s">
        <v>25110</v>
      </c>
      <c r="G843" s="28" t="s">
        <v>19229</v>
      </c>
      <c r="H843" s="28" t="s">
        <v>19239</v>
      </c>
      <c r="I843" s="30">
        <v>45349</v>
      </c>
      <c r="J843" s="30">
        <v>45351</v>
      </c>
      <c r="K843" s="51">
        <v>3</v>
      </c>
      <c r="L843" s="29">
        <v>1</v>
      </c>
      <c r="M843" s="27" t="s">
        <v>25036</v>
      </c>
    </row>
    <row r="844" spans="1:13" s="27" customFormat="1" ht="17.25" customHeight="1" x14ac:dyDescent="0.25">
      <c r="A844" s="28" t="s">
        <v>1</v>
      </c>
      <c r="B844" s="28">
        <v>71711638</v>
      </c>
      <c r="C844" s="38" t="s">
        <v>25593</v>
      </c>
      <c r="D844" s="38" t="s">
        <v>25546</v>
      </c>
      <c r="E844" s="38" t="s">
        <v>25849</v>
      </c>
      <c r="F844" s="38" t="s">
        <v>25162</v>
      </c>
      <c r="G844" s="28" t="s">
        <v>19229</v>
      </c>
      <c r="H844" s="28" t="s">
        <v>19240</v>
      </c>
      <c r="I844" s="30">
        <v>45351</v>
      </c>
      <c r="J844" s="30">
        <v>45351</v>
      </c>
      <c r="K844" s="51">
        <v>1</v>
      </c>
      <c r="L844" s="29"/>
      <c r="M844" s="27" t="s">
        <v>24991</v>
      </c>
    </row>
    <row r="845" spans="1:13" s="27" customFormat="1" ht="17.25" customHeight="1" x14ac:dyDescent="0.25">
      <c r="A845" s="28" t="s">
        <v>1</v>
      </c>
      <c r="B845" s="28">
        <v>1048294218</v>
      </c>
      <c r="C845" s="38" t="s">
        <v>26120</v>
      </c>
      <c r="D845" s="38" t="s">
        <v>25034</v>
      </c>
      <c r="E845" s="38" t="s">
        <v>25770</v>
      </c>
      <c r="F845" s="38" t="s">
        <v>25028</v>
      </c>
      <c r="G845" s="28" t="s">
        <v>19229</v>
      </c>
      <c r="H845" s="28" t="s">
        <v>19239</v>
      </c>
      <c r="I845" s="30">
        <v>45351</v>
      </c>
      <c r="J845" s="30">
        <v>45355</v>
      </c>
      <c r="K845" s="51">
        <v>5</v>
      </c>
      <c r="L845" s="29">
        <v>15</v>
      </c>
      <c r="M845" s="27" t="s">
        <v>25036</v>
      </c>
    </row>
    <row r="846" spans="1:13" s="27" customFormat="1" ht="17.25" customHeight="1" x14ac:dyDescent="0.25">
      <c r="A846" s="28" t="s">
        <v>1</v>
      </c>
      <c r="B846" s="28">
        <v>98643777</v>
      </c>
      <c r="C846" s="38" t="s">
        <v>25108</v>
      </c>
      <c r="D846" s="38" t="s">
        <v>25109</v>
      </c>
      <c r="E846" s="38" t="s">
        <v>19256</v>
      </c>
      <c r="F846" s="38" t="s">
        <v>25110</v>
      </c>
      <c r="G846" s="28" t="s">
        <v>19229</v>
      </c>
      <c r="H846" s="28" t="s">
        <v>19240</v>
      </c>
      <c r="I846" s="30">
        <v>45352</v>
      </c>
      <c r="J846" s="30">
        <v>45354</v>
      </c>
      <c r="K846" s="51">
        <v>3</v>
      </c>
      <c r="L846" s="29"/>
      <c r="M846" s="27" t="s">
        <v>24991</v>
      </c>
    </row>
    <row r="847" spans="1:13" s="27" customFormat="1" ht="17.25" customHeight="1" x14ac:dyDescent="0.25">
      <c r="A847" s="28" t="s">
        <v>2</v>
      </c>
      <c r="B847" s="28">
        <v>1128390062</v>
      </c>
      <c r="C847" s="38" t="s">
        <v>25190</v>
      </c>
      <c r="D847" s="38" t="s">
        <v>25373</v>
      </c>
      <c r="E847" s="38" t="s">
        <v>6</v>
      </c>
      <c r="F847" s="38" t="s">
        <v>25878</v>
      </c>
      <c r="G847" s="28" t="s">
        <v>19229</v>
      </c>
      <c r="H847" s="28" t="s">
        <v>19239</v>
      </c>
      <c r="I847" s="30">
        <v>45352</v>
      </c>
      <c r="J847" s="30">
        <v>45352</v>
      </c>
      <c r="K847" s="51">
        <v>1</v>
      </c>
      <c r="L847" s="29">
        <v>6</v>
      </c>
      <c r="M847" s="27" t="s">
        <v>25036</v>
      </c>
    </row>
    <row r="848" spans="1:13" s="27" customFormat="1" ht="17.25" customHeight="1" x14ac:dyDescent="0.25">
      <c r="A848" s="28" t="s">
        <v>2</v>
      </c>
      <c r="B848" s="28">
        <v>1001810043</v>
      </c>
      <c r="C848" s="38" t="s">
        <v>25105</v>
      </c>
      <c r="D848" s="38" t="s">
        <v>26130</v>
      </c>
      <c r="E848" s="38" t="s">
        <v>25755</v>
      </c>
      <c r="F848" s="38"/>
      <c r="G848" s="28" t="s">
        <v>19229</v>
      </c>
      <c r="H848" s="28" t="s">
        <v>19238</v>
      </c>
      <c r="I848" s="30">
        <v>45352</v>
      </c>
      <c r="J848" s="30">
        <v>45366</v>
      </c>
      <c r="K848" s="51">
        <v>15</v>
      </c>
      <c r="L848" s="29"/>
      <c r="M848" s="27" t="s">
        <v>19257</v>
      </c>
    </row>
    <row r="849" spans="1:13" s="27" customFormat="1" ht="17.25" customHeight="1" x14ac:dyDescent="0.25">
      <c r="A849" s="28" t="s">
        <v>2</v>
      </c>
      <c r="B849" s="28">
        <v>70162686</v>
      </c>
      <c r="C849" s="38" t="s">
        <v>25093</v>
      </c>
      <c r="D849" s="38" t="s">
        <v>25229</v>
      </c>
      <c r="E849" s="38" t="s">
        <v>26131</v>
      </c>
      <c r="F849" s="38" t="s">
        <v>25135</v>
      </c>
      <c r="G849" s="28" t="s">
        <v>19229</v>
      </c>
      <c r="H849" s="28" t="s">
        <v>19238</v>
      </c>
      <c r="I849" s="30">
        <v>45352</v>
      </c>
      <c r="J849" s="30">
        <v>45366</v>
      </c>
      <c r="K849" s="51">
        <v>15</v>
      </c>
      <c r="L849" s="29"/>
      <c r="M849" s="27" t="s">
        <v>19257</v>
      </c>
    </row>
    <row r="850" spans="1:13" s="27" customFormat="1" ht="17.25" customHeight="1" x14ac:dyDescent="0.25">
      <c r="A850" s="28" t="s">
        <v>1</v>
      </c>
      <c r="B850" s="28">
        <v>8408459</v>
      </c>
      <c r="C850" s="38" t="s">
        <v>25284</v>
      </c>
      <c r="D850" s="38" t="s">
        <v>25164</v>
      </c>
      <c r="E850" s="38" t="s">
        <v>25820</v>
      </c>
      <c r="F850" s="38" t="s">
        <v>25103</v>
      </c>
      <c r="G850" s="28" t="s">
        <v>19229</v>
      </c>
      <c r="H850" s="28" t="s">
        <v>19240</v>
      </c>
      <c r="I850" s="30">
        <v>45354</v>
      </c>
      <c r="J850" s="30">
        <v>45354</v>
      </c>
      <c r="K850" s="51">
        <v>1</v>
      </c>
      <c r="L850" s="29"/>
      <c r="M850" s="27" t="s">
        <v>24991</v>
      </c>
    </row>
    <row r="851" spans="1:13" s="27" customFormat="1" ht="17.25" customHeight="1" x14ac:dyDescent="0.25">
      <c r="A851" s="28" t="s">
        <v>2</v>
      </c>
      <c r="B851" s="28">
        <v>1020469805</v>
      </c>
      <c r="C851" s="38" t="s">
        <v>26128</v>
      </c>
      <c r="D851" s="38" t="s">
        <v>26129</v>
      </c>
      <c r="E851" s="38" t="s">
        <v>25089</v>
      </c>
      <c r="F851" s="38" t="s">
        <v>26108</v>
      </c>
      <c r="G851" s="28" t="s">
        <v>19229</v>
      </c>
      <c r="H851" s="28" t="s">
        <v>19238</v>
      </c>
      <c r="I851" s="30">
        <v>45355</v>
      </c>
      <c r="J851" s="30">
        <v>45369</v>
      </c>
      <c r="K851" s="51">
        <v>15</v>
      </c>
      <c r="L851" s="29"/>
      <c r="M851" s="27" t="s">
        <v>19257</v>
      </c>
    </row>
    <row r="852" spans="1:13" s="27" customFormat="1" ht="17.25" customHeight="1" x14ac:dyDescent="0.25">
      <c r="A852" s="28" t="s">
        <v>2</v>
      </c>
      <c r="B852" s="28">
        <v>1037650328</v>
      </c>
      <c r="C852" s="38" t="s">
        <v>25015</v>
      </c>
      <c r="D852" s="38" t="s">
        <v>26132</v>
      </c>
      <c r="E852" s="38" t="s">
        <v>25218</v>
      </c>
      <c r="F852" s="38"/>
      <c r="G852" s="28" t="s">
        <v>19229</v>
      </c>
      <c r="H852" s="28" t="s">
        <v>19238</v>
      </c>
      <c r="I852" s="30">
        <v>45355</v>
      </c>
      <c r="J852" s="30">
        <v>45369</v>
      </c>
      <c r="K852" s="51">
        <v>15</v>
      </c>
      <c r="L852" s="29"/>
      <c r="M852" s="27" t="s">
        <v>19257</v>
      </c>
    </row>
    <row r="853" spans="1:13" s="27" customFormat="1" ht="17.25" customHeight="1" x14ac:dyDescent="0.25">
      <c r="A853" s="28" t="s">
        <v>2</v>
      </c>
      <c r="B853" s="28">
        <v>15433339</v>
      </c>
      <c r="C853" s="38" t="s">
        <v>25108</v>
      </c>
      <c r="D853" s="38" t="s">
        <v>25443</v>
      </c>
      <c r="E853" s="38" t="s">
        <v>25099</v>
      </c>
      <c r="F853" s="38" t="s">
        <v>25512</v>
      </c>
      <c r="G853" s="28" t="s">
        <v>19229</v>
      </c>
      <c r="H853" s="28" t="s">
        <v>19238</v>
      </c>
      <c r="I853" s="30">
        <v>45355</v>
      </c>
      <c r="J853" s="30">
        <v>45370</v>
      </c>
      <c r="K853" s="51">
        <v>16</v>
      </c>
      <c r="L853" s="29"/>
      <c r="M853" s="27" t="s">
        <v>19257</v>
      </c>
    </row>
    <row r="854" spans="1:13" s="27" customFormat="1" ht="17.25" customHeight="1" x14ac:dyDescent="0.25">
      <c r="A854" s="28" t="s">
        <v>2</v>
      </c>
      <c r="B854" s="28">
        <v>43268110</v>
      </c>
      <c r="C854" s="38" t="s">
        <v>25492</v>
      </c>
      <c r="D854" s="38" t="s">
        <v>25269</v>
      </c>
      <c r="E854" s="38" t="s">
        <v>25231</v>
      </c>
      <c r="F854" s="38" t="s">
        <v>25657</v>
      </c>
      <c r="G854" s="28" t="s">
        <v>19229</v>
      </c>
      <c r="H854" s="28" t="s">
        <v>19238</v>
      </c>
      <c r="I854" s="30">
        <v>45356</v>
      </c>
      <c r="J854" s="30">
        <v>45370</v>
      </c>
      <c r="K854" s="51">
        <v>15</v>
      </c>
      <c r="L854" s="29"/>
      <c r="M854" s="27" t="s">
        <v>19257</v>
      </c>
    </row>
    <row r="855" spans="1:13" s="27" customFormat="1" ht="17.25" customHeight="1" x14ac:dyDescent="0.25">
      <c r="A855" s="28" t="s">
        <v>2</v>
      </c>
      <c r="B855" s="28">
        <v>73192284</v>
      </c>
      <c r="C855" s="38" t="s">
        <v>25786</v>
      </c>
      <c r="D855" s="38" t="s">
        <v>25787</v>
      </c>
      <c r="E855" s="38" t="s">
        <v>24988</v>
      </c>
      <c r="F855" s="38" t="s">
        <v>25177</v>
      </c>
      <c r="G855" s="28" t="s">
        <v>19229</v>
      </c>
      <c r="H855" s="28" t="s">
        <v>19239</v>
      </c>
      <c r="I855" s="30">
        <v>45357</v>
      </c>
      <c r="J855" s="30">
        <v>45361</v>
      </c>
      <c r="K855" s="51">
        <v>5</v>
      </c>
      <c r="L855" s="29">
        <v>22</v>
      </c>
      <c r="M855" s="27" t="s">
        <v>25036</v>
      </c>
    </row>
    <row r="856" spans="1:13" s="27" customFormat="1" ht="17.25" customHeight="1" x14ac:dyDescent="0.25">
      <c r="A856" s="28" t="s">
        <v>2</v>
      </c>
      <c r="B856" s="28">
        <v>70782506</v>
      </c>
      <c r="C856" s="38" t="s">
        <v>25118</v>
      </c>
      <c r="D856" s="38" t="s">
        <v>25392</v>
      </c>
      <c r="E856" s="38" t="s">
        <v>25130</v>
      </c>
      <c r="F856" s="38" t="s">
        <v>25131</v>
      </c>
      <c r="G856" s="28" t="s">
        <v>19229</v>
      </c>
      <c r="H856" s="28" t="s">
        <v>19239</v>
      </c>
      <c r="I856" s="30">
        <v>45357</v>
      </c>
      <c r="J856" s="30">
        <v>45361</v>
      </c>
      <c r="K856" s="51">
        <v>5</v>
      </c>
      <c r="L856" s="29">
        <v>10</v>
      </c>
      <c r="M856" s="27" t="s">
        <v>25067</v>
      </c>
    </row>
    <row r="857" spans="1:13" s="27" customFormat="1" ht="17.25" customHeight="1" x14ac:dyDescent="0.25">
      <c r="A857" s="28" t="s">
        <v>2</v>
      </c>
      <c r="B857" s="28">
        <v>15378989</v>
      </c>
      <c r="C857" s="38" t="s">
        <v>25200</v>
      </c>
      <c r="D857" s="38" t="s">
        <v>25539</v>
      </c>
      <c r="E857" s="38" t="s">
        <v>25255</v>
      </c>
      <c r="F857" s="38" t="s">
        <v>25119</v>
      </c>
      <c r="G857" s="28" t="s">
        <v>19229</v>
      </c>
      <c r="H857" s="28" t="s">
        <v>19238</v>
      </c>
      <c r="I857" s="30">
        <v>45357</v>
      </c>
      <c r="J857" s="30">
        <v>45371</v>
      </c>
      <c r="K857" s="51">
        <v>15</v>
      </c>
      <c r="L857" s="29"/>
      <c r="M857" s="27" t="s">
        <v>19257</v>
      </c>
    </row>
    <row r="858" spans="1:13" s="27" customFormat="1" ht="17.25" customHeight="1" x14ac:dyDescent="0.25">
      <c r="A858" s="28" t="s">
        <v>2</v>
      </c>
      <c r="B858" s="28">
        <v>71642375</v>
      </c>
      <c r="C858" s="38" t="s">
        <v>25658</v>
      </c>
      <c r="D858" s="38" t="s">
        <v>25272</v>
      </c>
      <c r="E858" s="38" t="s">
        <v>25283</v>
      </c>
      <c r="F858" s="38" t="s">
        <v>25135</v>
      </c>
      <c r="G858" s="28" t="s">
        <v>19229</v>
      </c>
      <c r="H858" s="28" t="s">
        <v>19238</v>
      </c>
      <c r="I858" s="30">
        <v>45358</v>
      </c>
      <c r="J858" s="30">
        <v>45365</v>
      </c>
      <c r="K858" s="51">
        <v>8</v>
      </c>
      <c r="L858" s="29"/>
      <c r="M858" s="27" t="s">
        <v>19257</v>
      </c>
    </row>
    <row r="859" spans="1:13" s="27" customFormat="1" ht="17.25" customHeight="1" x14ac:dyDescent="0.25">
      <c r="A859" s="28" t="s">
        <v>2</v>
      </c>
      <c r="B859" s="28">
        <v>76317577</v>
      </c>
      <c r="C859" s="38" t="s">
        <v>26133</v>
      </c>
      <c r="D859" s="38" t="s">
        <v>26134</v>
      </c>
      <c r="E859" s="38" t="s">
        <v>25637</v>
      </c>
      <c r="F859" s="38" t="s">
        <v>25710</v>
      </c>
      <c r="G859" s="28" t="s">
        <v>19229</v>
      </c>
      <c r="H859" s="28" t="s">
        <v>19238</v>
      </c>
      <c r="I859" s="30">
        <v>45358</v>
      </c>
      <c r="J859" s="30">
        <v>45365</v>
      </c>
      <c r="K859" s="51">
        <v>8</v>
      </c>
      <c r="L859" s="29"/>
      <c r="M859" s="27" t="s">
        <v>19257</v>
      </c>
    </row>
    <row r="860" spans="1:13" s="27" customFormat="1" ht="17.25" customHeight="1" x14ac:dyDescent="0.25">
      <c r="A860" s="28" t="s">
        <v>2</v>
      </c>
      <c r="B860" s="28">
        <v>1001668854</v>
      </c>
      <c r="C860" s="38" t="s">
        <v>26122</v>
      </c>
      <c r="D860" s="38" t="s">
        <v>25841</v>
      </c>
      <c r="E860" s="38" t="s">
        <v>25110</v>
      </c>
      <c r="F860" s="38" t="s">
        <v>25842</v>
      </c>
      <c r="G860" s="28" t="s">
        <v>19229</v>
      </c>
      <c r="H860" s="28" t="s">
        <v>19239</v>
      </c>
      <c r="I860" s="30">
        <v>45359</v>
      </c>
      <c r="J860" s="30">
        <v>45363</v>
      </c>
      <c r="K860" s="51">
        <v>5</v>
      </c>
      <c r="L860" s="29">
        <v>1</v>
      </c>
      <c r="M860" s="27" t="s">
        <v>25036</v>
      </c>
    </row>
    <row r="861" spans="1:13" s="27" customFormat="1" ht="17.25" customHeight="1" x14ac:dyDescent="0.25">
      <c r="A861" s="28" t="s">
        <v>2</v>
      </c>
      <c r="B861" s="28">
        <v>71382103</v>
      </c>
      <c r="C861" s="38" t="s">
        <v>25776</v>
      </c>
      <c r="D861" s="38" t="s">
        <v>25968</v>
      </c>
      <c r="E861" s="38" t="s">
        <v>25116</v>
      </c>
      <c r="F861" s="38" t="s">
        <v>26027</v>
      </c>
      <c r="G861" s="28" t="s">
        <v>19229</v>
      </c>
      <c r="H861" s="28" t="s">
        <v>19238</v>
      </c>
      <c r="I861" s="30">
        <v>45359</v>
      </c>
      <c r="J861" s="30">
        <v>45366</v>
      </c>
      <c r="K861" s="51">
        <v>8</v>
      </c>
      <c r="L861" s="29"/>
      <c r="M861" s="27" t="s">
        <v>19257</v>
      </c>
    </row>
    <row r="862" spans="1:13" s="27" customFormat="1" ht="17.25" customHeight="1" x14ac:dyDescent="0.25">
      <c r="A862" s="28" t="s">
        <v>2</v>
      </c>
      <c r="B862" s="28">
        <v>1035420061</v>
      </c>
      <c r="C862" s="38" t="s">
        <v>25645</v>
      </c>
      <c r="D862" s="38" t="s">
        <v>25646</v>
      </c>
      <c r="E862" s="38" t="s">
        <v>25647</v>
      </c>
      <c r="F862" s="38" t="s">
        <v>25648</v>
      </c>
      <c r="G862" s="28" t="s">
        <v>19229</v>
      </c>
      <c r="H862" s="28" t="s">
        <v>19240</v>
      </c>
      <c r="I862" s="30">
        <v>45361</v>
      </c>
      <c r="J862" s="30">
        <v>45362</v>
      </c>
      <c r="K862" s="51">
        <v>2</v>
      </c>
      <c r="L862" s="29"/>
      <c r="M862" s="27" t="s">
        <v>24991</v>
      </c>
    </row>
    <row r="863" spans="1:13" s="27" customFormat="1" ht="17.25" customHeight="1" x14ac:dyDescent="0.25">
      <c r="A863" s="28" t="s">
        <v>2</v>
      </c>
      <c r="B863" s="28">
        <v>1017238882</v>
      </c>
      <c r="C863" s="38" t="s">
        <v>25008</v>
      </c>
      <c r="D863" s="38" t="s">
        <v>24980</v>
      </c>
      <c r="E863" s="38" t="s">
        <v>26135</v>
      </c>
      <c r="F863" s="38" t="s">
        <v>26136</v>
      </c>
      <c r="G863" s="28" t="s">
        <v>19229</v>
      </c>
      <c r="H863" s="28" t="s">
        <v>19238</v>
      </c>
      <c r="I863" s="30">
        <v>45361</v>
      </c>
      <c r="J863" s="30">
        <v>45381</v>
      </c>
      <c r="K863" s="51">
        <v>21</v>
      </c>
      <c r="L863" s="29"/>
      <c r="M863" s="27" t="s">
        <v>19257</v>
      </c>
    </row>
    <row r="864" spans="1:13" s="27" customFormat="1" ht="17.25" customHeight="1" x14ac:dyDescent="0.25">
      <c r="A864" s="28" t="s">
        <v>2</v>
      </c>
      <c r="B864" s="28">
        <v>1128393833</v>
      </c>
      <c r="C864" s="38" t="s">
        <v>25027</v>
      </c>
      <c r="D864" s="38" t="s">
        <v>25161</v>
      </c>
      <c r="E864" s="38" t="s">
        <v>25028</v>
      </c>
      <c r="F864" s="38" t="s">
        <v>25029</v>
      </c>
      <c r="G864" s="28" t="s">
        <v>19229</v>
      </c>
      <c r="H864" s="28" t="s">
        <v>19238</v>
      </c>
      <c r="I864" s="30">
        <v>45362</v>
      </c>
      <c r="J864" s="30">
        <v>45376</v>
      </c>
      <c r="K864" s="51">
        <v>15</v>
      </c>
      <c r="L864" s="29"/>
      <c r="M864" s="27" t="s">
        <v>19257</v>
      </c>
    </row>
    <row r="865" spans="1:13" s="27" customFormat="1" ht="17.25" customHeight="1" x14ac:dyDescent="0.25">
      <c r="A865" s="28" t="s">
        <v>2</v>
      </c>
      <c r="B865" s="28">
        <v>1128445686</v>
      </c>
      <c r="C865" s="38" t="s">
        <v>25601</v>
      </c>
      <c r="D865" s="38" t="s">
        <v>25094</v>
      </c>
      <c r="E865" s="38" t="s">
        <v>25095</v>
      </c>
      <c r="F865" s="38" t="s">
        <v>25096</v>
      </c>
      <c r="G865" s="28" t="s">
        <v>19229</v>
      </c>
      <c r="H865" s="28" t="s">
        <v>19239</v>
      </c>
      <c r="I865" s="30">
        <v>45363</v>
      </c>
      <c r="J865" s="30">
        <v>45367</v>
      </c>
      <c r="K865" s="51">
        <v>5</v>
      </c>
      <c r="L865" s="29">
        <v>22</v>
      </c>
      <c r="M865" s="27" t="s">
        <v>25036</v>
      </c>
    </row>
    <row r="866" spans="1:13" s="27" customFormat="1" ht="17.25" customHeight="1" x14ac:dyDescent="0.25">
      <c r="A866" s="28" t="s">
        <v>2</v>
      </c>
      <c r="B866" s="28">
        <v>1063181349</v>
      </c>
      <c r="C866" s="38" t="s">
        <v>26123</v>
      </c>
      <c r="D866" s="38" t="s">
        <v>26069</v>
      </c>
      <c r="E866" s="38" t="s">
        <v>25283</v>
      </c>
      <c r="F866" s="38" t="s">
        <v>25089</v>
      </c>
      <c r="G866" s="28" t="s">
        <v>19229</v>
      </c>
      <c r="H866" s="28" t="s">
        <v>19239</v>
      </c>
      <c r="I866" s="30">
        <v>45363</v>
      </c>
      <c r="J866" s="30">
        <v>45367</v>
      </c>
      <c r="K866" s="51">
        <v>5</v>
      </c>
      <c r="L866" s="29">
        <v>22</v>
      </c>
      <c r="M866" s="27" t="s">
        <v>25036</v>
      </c>
    </row>
    <row r="867" spans="1:13" s="27" customFormat="1" ht="17.25" customHeight="1" x14ac:dyDescent="0.25">
      <c r="A867" s="28" t="s">
        <v>2</v>
      </c>
      <c r="B867" s="28">
        <v>1001753651</v>
      </c>
      <c r="C867" s="38" t="s">
        <v>26126</v>
      </c>
      <c r="D867" s="38"/>
      <c r="E867" s="38" t="s">
        <v>26127</v>
      </c>
      <c r="F867" s="38"/>
      <c r="G867" s="28" t="s">
        <v>19229</v>
      </c>
      <c r="H867" s="28" t="s">
        <v>19239</v>
      </c>
      <c r="I867" s="30">
        <v>45364</v>
      </c>
      <c r="J867" s="30">
        <v>45366</v>
      </c>
      <c r="K867" s="51">
        <v>3</v>
      </c>
      <c r="L867" s="29">
        <v>10</v>
      </c>
      <c r="M867" s="27" t="s">
        <v>25036</v>
      </c>
    </row>
    <row r="868" spans="1:13" s="27" customFormat="1" ht="17.25" customHeight="1" x14ac:dyDescent="0.25">
      <c r="A868" s="28" t="s">
        <v>2</v>
      </c>
      <c r="B868" s="28">
        <v>71753196</v>
      </c>
      <c r="C868" s="38" t="s">
        <v>25707</v>
      </c>
      <c r="D868" s="38" t="s">
        <v>25593</v>
      </c>
      <c r="E868" s="38" t="s">
        <v>25168</v>
      </c>
      <c r="F868" s="38" t="s">
        <v>25909</v>
      </c>
      <c r="G868" s="28" t="s">
        <v>19229</v>
      </c>
      <c r="H868" s="28" t="s">
        <v>19238</v>
      </c>
      <c r="I868" s="30">
        <v>45364</v>
      </c>
      <c r="J868" s="30">
        <v>45371</v>
      </c>
      <c r="K868" s="51">
        <v>8</v>
      </c>
      <c r="L868" s="29"/>
      <c r="M868" s="27" t="s">
        <v>19257</v>
      </c>
    </row>
    <row r="869" spans="1:13" s="27" customFormat="1" ht="17.25" customHeight="1" x14ac:dyDescent="0.25">
      <c r="A869" s="28" t="s">
        <v>2</v>
      </c>
      <c r="B869" s="28">
        <v>71985350</v>
      </c>
      <c r="C869" s="38" t="s">
        <v>26124</v>
      </c>
      <c r="D869" s="38" t="s">
        <v>25269</v>
      </c>
      <c r="E869" s="38" t="s">
        <v>26125</v>
      </c>
      <c r="F869" s="38"/>
      <c r="G869" s="28" t="s">
        <v>19229</v>
      </c>
      <c r="H869" s="28" t="s">
        <v>19239</v>
      </c>
      <c r="I869" s="30">
        <v>45365</v>
      </c>
      <c r="J869" s="30">
        <v>45369</v>
      </c>
      <c r="K869" s="51">
        <v>5</v>
      </c>
      <c r="L869" s="29">
        <v>22</v>
      </c>
      <c r="M869" s="27" t="s">
        <v>25036</v>
      </c>
    </row>
    <row r="870" spans="1:13" s="27" customFormat="1" ht="17.25" customHeight="1" x14ac:dyDescent="0.25">
      <c r="A870" s="28" t="s">
        <v>2</v>
      </c>
      <c r="B870" s="28">
        <v>3592467</v>
      </c>
      <c r="C870" s="38" t="s">
        <v>25426</v>
      </c>
      <c r="D870" s="38" t="s">
        <v>25105</v>
      </c>
      <c r="E870" s="38" t="s">
        <v>25056</v>
      </c>
      <c r="F870" s="38" t="s">
        <v>25029</v>
      </c>
      <c r="G870" s="28" t="s">
        <v>19229</v>
      </c>
      <c r="H870" s="28" t="s">
        <v>19239</v>
      </c>
      <c r="I870" s="30">
        <v>45365</v>
      </c>
      <c r="J870" s="30">
        <v>45367</v>
      </c>
      <c r="K870" s="51">
        <v>3</v>
      </c>
      <c r="L870" s="29">
        <v>10</v>
      </c>
      <c r="M870" s="27" t="s">
        <v>25036</v>
      </c>
    </row>
    <row r="871" spans="1:13" s="27" customFormat="1" ht="17.25" customHeight="1" x14ac:dyDescent="0.25">
      <c r="A871" s="28" t="s">
        <v>2</v>
      </c>
      <c r="B871" s="28">
        <v>76317577</v>
      </c>
      <c r="C871" s="38" t="s">
        <v>26133</v>
      </c>
      <c r="D871" s="38" t="s">
        <v>26134</v>
      </c>
      <c r="E871" s="38" t="s">
        <v>25637</v>
      </c>
      <c r="F871" s="38" t="s">
        <v>25710</v>
      </c>
      <c r="G871" s="28" t="s">
        <v>19229</v>
      </c>
      <c r="H871" s="28" t="s">
        <v>19238</v>
      </c>
      <c r="I871" s="30">
        <v>45366</v>
      </c>
      <c r="J871" s="30">
        <v>45373</v>
      </c>
      <c r="K871" s="51">
        <v>8</v>
      </c>
      <c r="L871" s="29"/>
      <c r="M871" s="27" t="s">
        <v>19257</v>
      </c>
    </row>
    <row r="872" spans="1:13" s="27" customFormat="1" ht="17.25" customHeight="1" x14ac:dyDescent="0.25">
      <c r="A872" s="28" t="s">
        <v>2</v>
      </c>
      <c r="B872" s="28">
        <v>15484091</v>
      </c>
      <c r="C872" s="38" t="s">
        <v>25017</v>
      </c>
      <c r="D872" s="38" t="s">
        <v>25723</v>
      </c>
      <c r="E872" s="38" t="s">
        <v>25522</v>
      </c>
      <c r="F872" s="38"/>
      <c r="G872" s="28" t="s">
        <v>19229</v>
      </c>
      <c r="H872" s="28" t="s">
        <v>19238</v>
      </c>
      <c r="I872" s="30">
        <v>45366</v>
      </c>
      <c r="J872" s="30">
        <v>45381</v>
      </c>
      <c r="K872" s="51">
        <v>16</v>
      </c>
      <c r="L872" s="29"/>
      <c r="M872" s="27" t="s">
        <v>19257</v>
      </c>
    </row>
    <row r="873" spans="1:13" s="27" customFormat="1" ht="17.25" customHeight="1" x14ac:dyDescent="0.25">
      <c r="A873" s="28" t="s">
        <v>2</v>
      </c>
      <c r="B873" s="28">
        <v>70786990</v>
      </c>
      <c r="C873" s="38" t="s">
        <v>25004</v>
      </c>
      <c r="D873" s="38" t="s">
        <v>25401</v>
      </c>
      <c r="E873" s="38" t="s">
        <v>25713</v>
      </c>
      <c r="F873" s="38" t="s">
        <v>25103</v>
      </c>
      <c r="G873" s="28" t="s">
        <v>19229</v>
      </c>
      <c r="H873" s="28" t="s">
        <v>19238</v>
      </c>
      <c r="I873" s="30">
        <v>45367</v>
      </c>
      <c r="J873" s="30">
        <v>45382</v>
      </c>
      <c r="K873" s="51">
        <v>16</v>
      </c>
      <c r="L873" s="29"/>
      <c r="M873" s="27" t="s">
        <v>19257</v>
      </c>
    </row>
    <row r="874" spans="1:13" s="27" customFormat="1" ht="17.25" customHeight="1" x14ac:dyDescent="0.25">
      <c r="A874" s="28" t="s">
        <v>2</v>
      </c>
      <c r="B874" s="28">
        <v>98700987</v>
      </c>
      <c r="C874" s="38" t="s">
        <v>25326</v>
      </c>
      <c r="D874" s="38" t="s">
        <v>25462</v>
      </c>
      <c r="E874" s="38" t="s">
        <v>25186</v>
      </c>
      <c r="F874" s="38" t="s">
        <v>25878</v>
      </c>
      <c r="G874" s="28" t="s">
        <v>19229</v>
      </c>
      <c r="H874" s="28" t="s">
        <v>19238</v>
      </c>
      <c r="I874" s="30">
        <v>45367</v>
      </c>
      <c r="J874" s="30">
        <v>45381</v>
      </c>
      <c r="K874" s="51">
        <v>15</v>
      </c>
      <c r="L874" s="29"/>
      <c r="M874" s="27" t="s">
        <v>19257</v>
      </c>
    </row>
    <row r="875" spans="1:13" s="27" customFormat="1" ht="17.25" customHeight="1" x14ac:dyDescent="0.25">
      <c r="A875" s="28" t="s">
        <v>2</v>
      </c>
      <c r="B875" s="28">
        <v>1002133005</v>
      </c>
      <c r="C875" s="38" t="s">
        <v>25498</v>
      </c>
      <c r="D875" s="38" t="s">
        <v>26137</v>
      </c>
      <c r="E875" s="38" t="s">
        <v>25023</v>
      </c>
      <c r="F875" s="38" t="s">
        <v>25014</v>
      </c>
      <c r="G875" s="28" t="s">
        <v>19229</v>
      </c>
      <c r="H875" s="28" t="s">
        <v>19238</v>
      </c>
      <c r="I875" s="30">
        <v>45367</v>
      </c>
      <c r="J875" s="30">
        <v>45377</v>
      </c>
      <c r="K875" s="51">
        <v>8</v>
      </c>
      <c r="L875" s="29"/>
      <c r="M875" s="27" t="s">
        <v>19257</v>
      </c>
    </row>
    <row r="876" spans="1:13" s="27" customFormat="1" ht="17.25" customHeight="1" x14ac:dyDescent="0.25">
      <c r="A876" s="28" t="s">
        <v>2</v>
      </c>
      <c r="B876" s="28">
        <v>98643777</v>
      </c>
      <c r="C876" s="38" t="s">
        <v>25108</v>
      </c>
      <c r="D876" s="38" t="s">
        <v>25109</v>
      </c>
      <c r="E876" s="38" t="s">
        <v>19256</v>
      </c>
      <c r="F876" s="38" t="s">
        <v>25110</v>
      </c>
      <c r="G876" s="28" t="s">
        <v>19229</v>
      </c>
      <c r="H876" s="28" t="s">
        <v>19238</v>
      </c>
      <c r="I876" s="30">
        <v>45367</v>
      </c>
      <c r="J876" s="30">
        <v>45381</v>
      </c>
      <c r="K876" s="51">
        <v>15</v>
      </c>
      <c r="L876" s="29"/>
      <c r="M876" s="27" t="s">
        <v>19257</v>
      </c>
    </row>
    <row r="877" spans="1:13" s="27" customFormat="1" ht="17.25" customHeight="1" x14ac:dyDescent="0.25">
      <c r="A877" s="28" t="s">
        <v>2</v>
      </c>
      <c r="B877" s="28">
        <v>1000412911</v>
      </c>
      <c r="C877" s="38" t="s">
        <v>25083</v>
      </c>
      <c r="D877" s="38"/>
      <c r="E877" s="38" t="s">
        <v>25627</v>
      </c>
      <c r="F877" s="38" t="s">
        <v>25019</v>
      </c>
      <c r="G877" s="28" t="s">
        <v>19229</v>
      </c>
      <c r="H877" s="28" t="s">
        <v>19239</v>
      </c>
      <c r="I877" s="30">
        <v>45369</v>
      </c>
      <c r="J877" s="30">
        <v>45371</v>
      </c>
      <c r="K877" s="51">
        <v>3</v>
      </c>
      <c r="L877" s="29">
        <v>10</v>
      </c>
      <c r="M877" s="27" t="s">
        <v>25036</v>
      </c>
    </row>
    <row r="878" spans="1:13" s="27" customFormat="1" ht="17.25" customHeight="1" x14ac:dyDescent="0.25">
      <c r="A878" s="28" t="s">
        <v>2</v>
      </c>
      <c r="B878" s="28">
        <v>71020088</v>
      </c>
      <c r="C878" s="38" t="s">
        <v>25815</v>
      </c>
      <c r="D878" s="38" t="s">
        <v>25816</v>
      </c>
      <c r="E878" s="38" t="s">
        <v>25396</v>
      </c>
      <c r="F878" s="38" t="s">
        <v>25103</v>
      </c>
      <c r="G878" s="28" t="s">
        <v>19229</v>
      </c>
      <c r="H878" s="28" t="s">
        <v>19239</v>
      </c>
      <c r="I878" s="30">
        <v>45369</v>
      </c>
      <c r="J878" s="30">
        <v>45371</v>
      </c>
      <c r="K878" s="51">
        <v>3</v>
      </c>
      <c r="L878" s="29">
        <v>10</v>
      </c>
      <c r="M878" s="27" t="s">
        <v>25036</v>
      </c>
    </row>
    <row r="879" spans="1:13" s="27" customFormat="1" ht="17.25" customHeight="1" x14ac:dyDescent="0.25">
      <c r="A879" s="28" t="s">
        <v>2</v>
      </c>
      <c r="B879" s="28">
        <v>98450672</v>
      </c>
      <c r="C879" s="38" t="s">
        <v>25726</v>
      </c>
      <c r="D879" s="38" t="s">
        <v>25164</v>
      </c>
      <c r="E879" s="38" t="s">
        <v>25032</v>
      </c>
      <c r="F879" s="38" t="s">
        <v>25064</v>
      </c>
      <c r="G879" s="28" t="s">
        <v>19229</v>
      </c>
      <c r="H879" s="28" t="s">
        <v>19238</v>
      </c>
      <c r="I879" s="30">
        <v>45369</v>
      </c>
      <c r="J879" s="30">
        <v>45383</v>
      </c>
      <c r="K879" s="51">
        <v>15</v>
      </c>
      <c r="L879" s="29"/>
      <c r="M879" s="27" t="s">
        <v>19257</v>
      </c>
    </row>
    <row r="880" spans="1:13" s="27" customFormat="1" ht="17.25" customHeight="1" x14ac:dyDescent="0.25">
      <c r="A880" s="28" t="s">
        <v>2</v>
      </c>
      <c r="B880" s="28">
        <v>71701610</v>
      </c>
      <c r="C880" s="38" t="s">
        <v>25634</v>
      </c>
      <c r="D880" s="38" t="s">
        <v>25509</v>
      </c>
      <c r="E880" s="38" t="s">
        <v>25739</v>
      </c>
      <c r="F880" s="38" t="s">
        <v>25051</v>
      </c>
      <c r="G880" s="28" t="s">
        <v>19229</v>
      </c>
      <c r="H880" s="28" t="s">
        <v>19238</v>
      </c>
      <c r="I880" s="30">
        <v>45369</v>
      </c>
      <c r="J880" s="30">
        <v>45376</v>
      </c>
      <c r="K880" s="51">
        <v>8</v>
      </c>
      <c r="L880" s="29"/>
      <c r="M880" s="27" t="s">
        <v>19257</v>
      </c>
    </row>
    <row r="881" spans="1:13" s="27" customFormat="1" ht="17.25" customHeight="1" x14ac:dyDescent="0.25">
      <c r="A881" s="28" t="s">
        <v>3</v>
      </c>
      <c r="B881" s="28">
        <v>1007640349</v>
      </c>
      <c r="C881" s="38" t="s">
        <v>26139</v>
      </c>
      <c r="D881" s="38" t="s">
        <v>25254</v>
      </c>
      <c r="E881" s="38" t="s">
        <v>25130</v>
      </c>
      <c r="F881" s="38" t="s">
        <v>25010</v>
      </c>
      <c r="G881" s="28" t="s">
        <v>19229</v>
      </c>
      <c r="H881" s="28" t="s">
        <v>19238</v>
      </c>
      <c r="I881" s="30">
        <v>45369</v>
      </c>
      <c r="J881" s="30">
        <v>45376</v>
      </c>
      <c r="K881" s="51">
        <v>8</v>
      </c>
      <c r="L881" s="29"/>
      <c r="M881" s="27" t="s">
        <v>19257</v>
      </c>
    </row>
    <row r="882" spans="1:13" s="27" customFormat="1" ht="17.25" customHeight="1" x14ac:dyDescent="0.25">
      <c r="A882" s="28" t="s">
        <v>3</v>
      </c>
      <c r="B882" s="28">
        <v>70568787</v>
      </c>
      <c r="C882" s="38" t="s">
        <v>25948</v>
      </c>
      <c r="D882" s="38" t="s">
        <v>25230</v>
      </c>
      <c r="E882" s="38" t="s">
        <v>25255</v>
      </c>
      <c r="F882" s="38" t="s">
        <v>24986</v>
      </c>
      <c r="G882" s="28" t="s">
        <v>19229</v>
      </c>
      <c r="H882" s="28" t="s">
        <v>19238</v>
      </c>
      <c r="I882" s="30">
        <v>45369</v>
      </c>
      <c r="J882" s="30">
        <v>45383</v>
      </c>
      <c r="K882" s="51">
        <v>15</v>
      </c>
      <c r="L882" s="29"/>
      <c r="M882" s="27" t="s">
        <v>19257</v>
      </c>
    </row>
    <row r="883" spans="1:13" s="27" customFormat="1" ht="17.25" customHeight="1" x14ac:dyDescent="0.25">
      <c r="A883" s="28" t="s">
        <v>3</v>
      </c>
      <c r="B883" s="28">
        <v>1007640349</v>
      </c>
      <c r="C883" s="38" t="s">
        <v>26139</v>
      </c>
      <c r="D883" s="38" t="s">
        <v>25254</v>
      </c>
      <c r="E883" s="38" t="s">
        <v>25130</v>
      </c>
      <c r="F883" s="38" t="s">
        <v>25010</v>
      </c>
      <c r="G883" s="28" t="s">
        <v>19229</v>
      </c>
      <c r="H883" s="28" t="s">
        <v>19238</v>
      </c>
      <c r="I883" s="30">
        <v>45369</v>
      </c>
      <c r="J883" s="30">
        <v>45376</v>
      </c>
      <c r="K883" s="28">
        <v>8</v>
      </c>
      <c r="L883" s="29"/>
      <c r="M883" s="27" t="s">
        <v>19257</v>
      </c>
    </row>
    <row r="884" spans="1:13" s="27" customFormat="1" ht="17.25" customHeight="1" x14ac:dyDescent="0.25">
      <c r="A884" s="28" t="s">
        <v>3</v>
      </c>
      <c r="B884" s="28">
        <v>70568787</v>
      </c>
      <c r="C884" s="28" t="s">
        <v>25948</v>
      </c>
      <c r="D884" s="28" t="s">
        <v>25230</v>
      </c>
      <c r="E884" s="28" t="s">
        <v>25255</v>
      </c>
      <c r="F884" s="28" t="s">
        <v>24986</v>
      </c>
      <c r="G884" s="28" t="s">
        <v>19229</v>
      </c>
      <c r="H884" s="28" t="s">
        <v>19238</v>
      </c>
      <c r="I884" s="30">
        <v>45369</v>
      </c>
      <c r="J884" s="30">
        <v>45383</v>
      </c>
      <c r="K884" s="28">
        <v>15</v>
      </c>
      <c r="L884" s="29"/>
      <c r="M884" s="27" t="s">
        <v>19257</v>
      </c>
    </row>
    <row r="885" spans="1:13" s="27" customFormat="1" ht="17.25" customHeight="1" x14ac:dyDescent="0.25">
      <c r="A885" s="28" t="s">
        <v>3</v>
      </c>
      <c r="B885" s="28">
        <v>1080932097</v>
      </c>
      <c r="C885" s="38" t="s">
        <v>25109</v>
      </c>
      <c r="D885" s="38" t="s">
        <v>25061</v>
      </c>
      <c r="E885" s="38" t="s">
        <v>25576</v>
      </c>
      <c r="F885" s="38"/>
      <c r="G885" s="28" t="s">
        <v>19229</v>
      </c>
      <c r="H885" s="28" t="s">
        <v>19238</v>
      </c>
      <c r="I885" s="30">
        <v>45370</v>
      </c>
      <c r="J885" s="30">
        <v>45384</v>
      </c>
      <c r="K885" s="51">
        <v>15</v>
      </c>
      <c r="L885" s="29"/>
      <c r="M885" s="27" t="s">
        <v>19257</v>
      </c>
    </row>
    <row r="886" spans="1:13" s="27" customFormat="1" ht="17.25" customHeight="1" x14ac:dyDescent="0.25">
      <c r="A886" s="28" t="s">
        <v>3</v>
      </c>
      <c r="B886" s="28">
        <v>1080932097</v>
      </c>
      <c r="C886" s="28" t="s">
        <v>25109</v>
      </c>
      <c r="D886" s="28" t="s">
        <v>25061</v>
      </c>
      <c r="E886" s="28" t="s">
        <v>25576</v>
      </c>
      <c r="F886" s="28"/>
      <c r="G886" s="28" t="s">
        <v>19229</v>
      </c>
      <c r="H886" s="28" t="s">
        <v>19238</v>
      </c>
      <c r="I886" s="30">
        <v>45370</v>
      </c>
      <c r="J886" s="30">
        <v>45384</v>
      </c>
      <c r="K886" s="28">
        <v>15</v>
      </c>
      <c r="L886" s="29"/>
      <c r="M886" s="27" t="s">
        <v>19257</v>
      </c>
    </row>
    <row r="887" spans="1:13" s="27" customFormat="1" ht="17.25" customHeight="1" x14ac:dyDescent="0.25">
      <c r="A887" s="28" t="s">
        <v>2</v>
      </c>
      <c r="B887" s="28">
        <v>15382059</v>
      </c>
      <c r="C887" s="38" t="s">
        <v>25214</v>
      </c>
      <c r="D887" s="38" t="s">
        <v>25049</v>
      </c>
      <c r="E887" s="38" t="s">
        <v>25134</v>
      </c>
      <c r="F887" s="38" t="s">
        <v>25465</v>
      </c>
      <c r="G887" s="28" t="s">
        <v>19229</v>
      </c>
      <c r="H887" s="28" t="s">
        <v>19240</v>
      </c>
      <c r="I887" s="30">
        <v>45371</v>
      </c>
      <c r="J887" s="30">
        <v>45372</v>
      </c>
      <c r="K887" s="51">
        <v>2</v>
      </c>
      <c r="L887" s="29"/>
      <c r="M887" s="27" t="s">
        <v>24991</v>
      </c>
    </row>
    <row r="888" spans="1:13" s="27" customFormat="1" ht="17.25" customHeight="1" x14ac:dyDescent="0.25">
      <c r="A888" s="28" t="s">
        <v>2</v>
      </c>
      <c r="B888" s="28">
        <v>71606452</v>
      </c>
      <c r="C888" s="38" t="s">
        <v>24980</v>
      </c>
      <c r="D888" s="38"/>
      <c r="E888" s="38" t="s">
        <v>25976</v>
      </c>
      <c r="F888" s="38"/>
      <c r="G888" s="28" t="s">
        <v>19229</v>
      </c>
      <c r="H888" s="28" t="s">
        <v>19238</v>
      </c>
      <c r="I888" s="30">
        <v>45371</v>
      </c>
      <c r="J888" s="30">
        <v>45385</v>
      </c>
      <c r="K888" s="51">
        <v>15</v>
      </c>
      <c r="L888" s="29"/>
      <c r="M888" s="27" t="s">
        <v>19257</v>
      </c>
    </row>
    <row r="889" spans="1:13" s="27" customFormat="1" ht="17.25" customHeight="1" x14ac:dyDescent="0.25">
      <c r="A889" s="28" t="s">
        <v>2</v>
      </c>
      <c r="B889" s="28">
        <v>71753196</v>
      </c>
      <c r="C889" s="38" t="s">
        <v>25707</v>
      </c>
      <c r="D889" s="38" t="s">
        <v>25593</v>
      </c>
      <c r="E889" s="38" t="s">
        <v>25168</v>
      </c>
      <c r="F889" s="38" t="s">
        <v>25909</v>
      </c>
      <c r="G889" s="28" t="s">
        <v>19229</v>
      </c>
      <c r="H889" s="28" t="s">
        <v>19238</v>
      </c>
      <c r="I889" s="30">
        <v>45372</v>
      </c>
      <c r="J889" s="30">
        <v>45379</v>
      </c>
      <c r="K889" s="51">
        <v>8</v>
      </c>
      <c r="L889" s="29"/>
      <c r="M889" s="27" t="s">
        <v>19257</v>
      </c>
    </row>
    <row r="890" spans="1:13" s="27" customFormat="1" ht="17.25" customHeight="1" x14ac:dyDescent="0.25">
      <c r="A890" s="28" t="s">
        <v>2</v>
      </c>
      <c r="B890" s="28">
        <v>10884990</v>
      </c>
      <c r="C890" s="38" t="s">
        <v>25520</v>
      </c>
      <c r="D890" s="38" t="s">
        <v>25521</v>
      </c>
      <c r="E890" s="38" t="s">
        <v>25183</v>
      </c>
      <c r="F890" s="38" t="s">
        <v>25028</v>
      </c>
      <c r="G890" s="28" t="s">
        <v>19229</v>
      </c>
      <c r="H890" s="28" t="s">
        <v>19238</v>
      </c>
      <c r="I890" s="30">
        <v>45372</v>
      </c>
      <c r="J890" s="30">
        <v>45386</v>
      </c>
      <c r="K890" s="51">
        <v>15</v>
      </c>
      <c r="L890" s="29"/>
      <c r="M890" s="27" t="s">
        <v>19257</v>
      </c>
    </row>
    <row r="891" spans="1:13" s="27" customFormat="1" ht="17.25" customHeight="1" x14ac:dyDescent="0.25">
      <c r="A891" s="28" t="s">
        <v>3</v>
      </c>
      <c r="B891" s="28">
        <v>43103123</v>
      </c>
      <c r="C891" s="38" t="s">
        <v>25163</v>
      </c>
      <c r="D891" s="38" t="s">
        <v>25164</v>
      </c>
      <c r="E891" s="38" t="s">
        <v>25165</v>
      </c>
      <c r="F891" s="38" t="s">
        <v>25166</v>
      </c>
      <c r="G891" s="28" t="s">
        <v>19229</v>
      </c>
      <c r="H891" s="28" t="s">
        <v>19238</v>
      </c>
      <c r="I891" s="30">
        <v>45372</v>
      </c>
      <c r="J891" s="30">
        <v>45386</v>
      </c>
      <c r="K891" s="51">
        <v>15</v>
      </c>
      <c r="L891" s="29"/>
      <c r="M891" s="27" t="s">
        <v>19257</v>
      </c>
    </row>
    <row r="892" spans="1:13" s="27" customFormat="1" ht="17.25" customHeight="1" x14ac:dyDescent="0.25">
      <c r="A892" s="28" t="s">
        <v>3</v>
      </c>
      <c r="B892" s="28">
        <v>43103123</v>
      </c>
      <c r="C892" s="28" t="s">
        <v>25163</v>
      </c>
      <c r="D892" s="28" t="s">
        <v>25164</v>
      </c>
      <c r="E892" s="28" t="s">
        <v>25165</v>
      </c>
      <c r="F892" s="28" t="s">
        <v>25166</v>
      </c>
      <c r="G892" s="28" t="s">
        <v>19229</v>
      </c>
      <c r="H892" s="28" t="s">
        <v>19238</v>
      </c>
      <c r="I892" s="30">
        <v>45372</v>
      </c>
      <c r="J892" s="30">
        <v>45386</v>
      </c>
      <c r="K892" s="28">
        <v>15</v>
      </c>
      <c r="L892" s="29"/>
      <c r="M892" s="27" t="s">
        <v>19257</v>
      </c>
    </row>
    <row r="893" spans="1:13" s="27" customFormat="1" ht="17.25" customHeight="1" x14ac:dyDescent="0.25">
      <c r="A893" s="28" t="s">
        <v>2</v>
      </c>
      <c r="B893" s="28">
        <v>1036955521</v>
      </c>
      <c r="C893" s="38" t="s">
        <v>25682</v>
      </c>
      <c r="D893" s="38" t="s">
        <v>25498</v>
      </c>
      <c r="E893" s="38" t="s">
        <v>25683</v>
      </c>
      <c r="F893" s="38"/>
      <c r="G893" s="28" t="s">
        <v>19229</v>
      </c>
      <c r="H893" s="28" t="s">
        <v>19238</v>
      </c>
      <c r="I893" s="30">
        <v>45373</v>
      </c>
      <c r="J893" s="30">
        <v>45388</v>
      </c>
      <c r="K893" s="51">
        <v>15</v>
      </c>
      <c r="L893" s="29"/>
      <c r="M893" s="27" t="s">
        <v>19257</v>
      </c>
    </row>
    <row r="894" spans="1:13" s="27" customFormat="1" ht="17.25" customHeight="1" x14ac:dyDescent="0.25">
      <c r="A894" s="28" t="s">
        <v>2</v>
      </c>
      <c r="B894" s="28">
        <v>1066728531</v>
      </c>
      <c r="C894" s="38" t="s">
        <v>26138</v>
      </c>
      <c r="D894" s="38" t="s">
        <v>25265</v>
      </c>
      <c r="E894" s="38" t="s">
        <v>25878</v>
      </c>
      <c r="F894" s="38" t="s">
        <v>25574</v>
      </c>
      <c r="G894" s="28" t="s">
        <v>19229</v>
      </c>
      <c r="H894" s="28" t="s">
        <v>19238</v>
      </c>
      <c r="I894" s="30">
        <v>45373</v>
      </c>
      <c r="J894" s="30">
        <v>45380</v>
      </c>
      <c r="K894" s="51">
        <v>8</v>
      </c>
      <c r="L894" s="29"/>
      <c r="M894" s="27" t="s">
        <v>19257</v>
      </c>
    </row>
    <row r="895" spans="1:13" s="27" customFormat="1" ht="17.25" customHeight="1" x14ac:dyDescent="0.25">
      <c r="A895" s="28" t="s">
        <v>2</v>
      </c>
      <c r="B895" s="28">
        <v>1003205624</v>
      </c>
      <c r="C895" s="38" t="s">
        <v>25696</v>
      </c>
      <c r="D895" s="38" t="s">
        <v>25390</v>
      </c>
      <c r="E895" s="38" t="s">
        <v>25130</v>
      </c>
      <c r="F895" s="38" t="s">
        <v>25010</v>
      </c>
      <c r="G895" s="28" t="s">
        <v>19229</v>
      </c>
      <c r="H895" s="28" t="s">
        <v>19238</v>
      </c>
      <c r="I895" s="30">
        <v>45374</v>
      </c>
      <c r="J895" s="30">
        <v>45381</v>
      </c>
      <c r="K895" s="51">
        <v>8</v>
      </c>
      <c r="L895" s="29"/>
      <c r="M895" s="27" t="s">
        <v>19257</v>
      </c>
    </row>
    <row r="896" spans="1:13" s="27" customFormat="1" ht="17.25" customHeight="1" x14ac:dyDescent="0.25">
      <c r="A896" s="28" t="s">
        <v>3</v>
      </c>
      <c r="B896" s="28">
        <v>1069469248</v>
      </c>
      <c r="C896" s="28" t="s">
        <v>26192</v>
      </c>
      <c r="D896" s="28" t="s">
        <v>25073</v>
      </c>
      <c r="E896" s="28" t="s">
        <v>26193</v>
      </c>
      <c r="F896" s="28" t="s">
        <v>25091</v>
      </c>
      <c r="G896" s="28" t="s">
        <v>19229</v>
      </c>
      <c r="H896" s="28" t="s">
        <v>19238</v>
      </c>
      <c r="I896" s="30">
        <v>45376</v>
      </c>
      <c r="J896" s="30">
        <v>45383</v>
      </c>
      <c r="K896" s="28">
        <v>8</v>
      </c>
      <c r="L896" s="29"/>
      <c r="M896" s="27" t="s">
        <v>19257</v>
      </c>
    </row>
    <row r="897" spans="1:13" s="27" customFormat="1" ht="17.25" customHeight="1" x14ac:dyDescent="0.25">
      <c r="A897" s="28" t="s">
        <v>2</v>
      </c>
      <c r="B897" s="28">
        <v>71701610</v>
      </c>
      <c r="C897" s="38" t="s">
        <v>25634</v>
      </c>
      <c r="D897" s="38" t="s">
        <v>25509</v>
      </c>
      <c r="E897" s="38" t="s">
        <v>25739</v>
      </c>
      <c r="F897" s="38" t="s">
        <v>25051</v>
      </c>
      <c r="G897" s="28" t="s">
        <v>19229</v>
      </c>
      <c r="H897" s="28" t="s">
        <v>19238</v>
      </c>
      <c r="I897" s="30">
        <v>45377</v>
      </c>
      <c r="J897" s="30">
        <v>45384</v>
      </c>
      <c r="K897" s="51">
        <v>8</v>
      </c>
      <c r="L897" s="29"/>
      <c r="M897" s="27" t="s">
        <v>19257</v>
      </c>
    </row>
    <row r="898" spans="1:13" s="27" customFormat="1" ht="17.25" customHeight="1" x14ac:dyDescent="0.25">
      <c r="A898" s="28" t="s">
        <v>2</v>
      </c>
      <c r="B898" s="28">
        <v>70108742</v>
      </c>
      <c r="C898" s="38" t="s">
        <v>25111</v>
      </c>
      <c r="D898" s="38" t="s">
        <v>25551</v>
      </c>
      <c r="E898" s="38" t="s">
        <v>25087</v>
      </c>
      <c r="F898" s="38"/>
      <c r="G898" s="28" t="s">
        <v>19229</v>
      </c>
      <c r="H898" s="28" t="s">
        <v>19238</v>
      </c>
      <c r="I898" s="30">
        <v>45377</v>
      </c>
      <c r="J898" s="30">
        <v>45384</v>
      </c>
      <c r="K898" s="51">
        <v>8</v>
      </c>
      <c r="L898" s="29"/>
      <c r="M898" s="27" t="s">
        <v>19257</v>
      </c>
    </row>
    <row r="899" spans="1:13" s="27" customFormat="1" ht="17.25" customHeight="1" x14ac:dyDescent="0.25">
      <c r="A899" s="28" t="s">
        <v>3</v>
      </c>
      <c r="B899" s="28">
        <v>1007640349</v>
      </c>
      <c r="C899" s="38" t="s">
        <v>26139</v>
      </c>
      <c r="D899" s="38" t="s">
        <v>25254</v>
      </c>
      <c r="E899" s="38" t="s">
        <v>25130</v>
      </c>
      <c r="F899" s="38" t="s">
        <v>25010</v>
      </c>
      <c r="G899" s="28" t="s">
        <v>19229</v>
      </c>
      <c r="H899" s="28" t="s">
        <v>19238</v>
      </c>
      <c r="I899" s="30">
        <v>45377</v>
      </c>
      <c r="J899" s="30">
        <v>45385</v>
      </c>
      <c r="K899" s="51">
        <v>8</v>
      </c>
      <c r="L899" s="29"/>
      <c r="M899" s="27" t="s">
        <v>19257</v>
      </c>
    </row>
    <row r="900" spans="1:13" s="27" customFormat="1" ht="17.25" customHeight="1" x14ac:dyDescent="0.25">
      <c r="A900" s="28" t="s">
        <v>3</v>
      </c>
      <c r="B900" s="28">
        <v>1007640349</v>
      </c>
      <c r="C900" s="28" t="s">
        <v>26139</v>
      </c>
      <c r="D900" s="28" t="s">
        <v>25254</v>
      </c>
      <c r="E900" s="28" t="s">
        <v>25130</v>
      </c>
      <c r="F900" s="53" t="s">
        <v>25010</v>
      </c>
      <c r="G900" s="28" t="s">
        <v>19229</v>
      </c>
      <c r="H900" s="28" t="s">
        <v>19238</v>
      </c>
      <c r="I900" s="30">
        <v>45377</v>
      </c>
      <c r="J900" s="30">
        <v>45385</v>
      </c>
      <c r="K900" s="28">
        <v>8</v>
      </c>
      <c r="L900" s="29"/>
      <c r="M900" s="27" t="s">
        <v>19257</v>
      </c>
    </row>
    <row r="901" spans="1:13" s="27" customFormat="1" ht="17.25" customHeight="1" x14ac:dyDescent="0.25">
      <c r="A901" s="28" t="s">
        <v>2</v>
      </c>
      <c r="B901" s="28">
        <v>1003339120</v>
      </c>
      <c r="C901" s="38" t="s">
        <v>25406</v>
      </c>
      <c r="D901" s="38" t="s">
        <v>25407</v>
      </c>
      <c r="E901" s="38" t="s">
        <v>25408</v>
      </c>
      <c r="F901" s="38" t="s">
        <v>25056</v>
      </c>
      <c r="G901" s="28" t="s">
        <v>19229</v>
      </c>
      <c r="H901" s="28" t="s">
        <v>19238</v>
      </c>
      <c r="I901" s="30">
        <v>45378</v>
      </c>
      <c r="J901" s="30">
        <v>45392</v>
      </c>
      <c r="K901" s="51">
        <v>15</v>
      </c>
      <c r="L901" s="29"/>
      <c r="M901" s="27" t="s">
        <v>19257</v>
      </c>
    </row>
    <row r="902" spans="1:13" s="27" customFormat="1" ht="17.25" customHeight="1" x14ac:dyDescent="0.25">
      <c r="A902" s="28" t="s">
        <v>3</v>
      </c>
      <c r="B902" s="28">
        <v>82361903</v>
      </c>
      <c r="C902" s="38" t="s">
        <v>25254</v>
      </c>
      <c r="D902" s="38" t="s">
        <v>25608</v>
      </c>
      <c r="E902" s="38" t="s">
        <v>25442</v>
      </c>
      <c r="F902" s="38" t="s">
        <v>25213</v>
      </c>
      <c r="G902" s="28" t="s">
        <v>19229</v>
      </c>
      <c r="H902" s="28" t="s">
        <v>19238</v>
      </c>
      <c r="I902" s="30">
        <v>45379</v>
      </c>
      <c r="J902" s="30">
        <v>45394</v>
      </c>
      <c r="K902" s="51">
        <v>15</v>
      </c>
      <c r="L902" s="29"/>
      <c r="M902" s="27" t="s">
        <v>19257</v>
      </c>
    </row>
    <row r="903" spans="1:13" s="27" customFormat="1" ht="17.25" customHeight="1" x14ac:dyDescent="0.25">
      <c r="A903" s="28" t="s">
        <v>3</v>
      </c>
      <c r="B903" s="28">
        <v>82361903</v>
      </c>
      <c r="C903" s="28" t="s">
        <v>25254</v>
      </c>
      <c r="D903" s="28" t="s">
        <v>25608</v>
      </c>
      <c r="E903" s="28" t="s">
        <v>25442</v>
      </c>
      <c r="F903" s="28" t="s">
        <v>25213</v>
      </c>
      <c r="G903" s="28" t="s">
        <v>19229</v>
      </c>
      <c r="H903" s="28" t="s">
        <v>19238</v>
      </c>
      <c r="I903" s="30">
        <v>45379</v>
      </c>
      <c r="J903" s="30">
        <v>45394</v>
      </c>
      <c r="K903" s="28">
        <v>15</v>
      </c>
      <c r="L903" s="29"/>
      <c r="M903" s="27" t="s">
        <v>19257</v>
      </c>
    </row>
    <row r="904" spans="1:13" s="27" customFormat="1" ht="17.25" customHeight="1" x14ac:dyDescent="0.25">
      <c r="A904" s="28" t="s">
        <v>3</v>
      </c>
      <c r="B904" s="28">
        <v>1067885338</v>
      </c>
      <c r="C904" s="28" t="s">
        <v>26199</v>
      </c>
      <c r="D904" s="28" t="s">
        <v>26200</v>
      </c>
      <c r="E904" s="28" t="s">
        <v>25433</v>
      </c>
      <c r="F904" s="28" t="s">
        <v>26201</v>
      </c>
      <c r="G904" s="28" t="s">
        <v>19229</v>
      </c>
      <c r="H904" s="28" t="s">
        <v>19240</v>
      </c>
      <c r="I904" s="30">
        <v>45379</v>
      </c>
      <c r="J904" s="30">
        <v>45383</v>
      </c>
      <c r="K904" s="28">
        <v>5</v>
      </c>
      <c r="L904" s="29"/>
      <c r="M904" s="27" t="s">
        <v>24991</v>
      </c>
    </row>
    <row r="905" spans="1:13" s="27" customFormat="1" ht="17.25" customHeight="1" x14ac:dyDescent="0.25">
      <c r="A905" s="28" t="s">
        <v>2</v>
      </c>
      <c r="B905" s="28">
        <v>1066728531</v>
      </c>
      <c r="C905" s="38" t="s">
        <v>26138</v>
      </c>
      <c r="D905" s="38" t="s">
        <v>25265</v>
      </c>
      <c r="E905" s="38" t="s">
        <v>25878</v>
      </c>
      <c r="F905" s="38" t="s">
        <v>25574</v>
      </c>
      <c r="G905" s="28" t="s">
        <v>19229</v>
      </c>
      <c r="H905" s="28" t="s">
        <v>19238</v>
      </c>
      <c r="I905" s="30">
        <v>45381</v>
      </c>
      <c r="J905" s="30">
        <v>45388</v>
      </c>
      <c r="K905" s="51">
        <v>8</v>
      </c>
      <c r="L905" s="29"/>
      <c r="M905" s="27" t="s">
        <v>19257</v>
      </c>
    </row>
    <row r="906" spans="1:13" s="27" customFormat="1" ht="17.25" customHeight="1" x14ac:dyDescent="0.25">
      <c r="A906" s="28" t="s">
        <v>2</v>
      </c>
      <c r="B906" s="28">
        <v>1003205624</v>
      </c>
      <c r="C906" s="38" t="s">
        <v>25696</v>
      </c>
      <c r="D906" s="38" t="s">
        <v>25390</v>
      </c>
      <c r="E906" s="38" t="s">
        <v>25130</v>
      </c>
      <c r="F906" s="38" t="s">
        <v>25010</v>
      </c>
      <c r="G906" s="28" t="s">
        <v>19229</v>
      </c>
      <c r="H906" s="28" t="s">
        <v>19238</v>
      </c>
      <c r="I906" s="30">
        <v>45382</v>
      </c>
      <c r="J906" s="30">
        <v>45389</v>
      </c>
      <c r="K906" s="51">
        <v>8</v>
      </c>
      <c r="L906" s="29"/>
      <c r="M906" s="27" t="s">
        <v>19257</v>
      </c>
    </row>
    <row r="907" spans="1:13" s="27" customFormat="1" ht="17.25" customHeight="1" x14ac:dyDescent="0.25">
      <c r="A907" s="28" t="s">
        <v>3</v>
      </c>
      <c r="B907" s="28">
        <v>1000888475</v>
      </c>
      <c r="C907" s="28" t="s">
        <v>26203</v>
      </c>
      <c r="D907" s="28" t="s">
        <v>25272</v>
      </c>
      <c r="E907" s="28" t="s">
        <v>25413</v>
      </c>
      <c r="F907" s="28"/>
      <c r="G907" s="28" t="s">
        <v>19229</v>
      </c>
      <c r="H907" s="28" t="s">
        <v>19240</v>
      </c>
      <c r="I907" s="30">
        <v>45382</v>
      </c>
      <c r="J907" s="30">
        <v>45383</v>
      </c>
      <c r="K907" s="28">
        <v>2</v>
      </c>
      <c r="L907" s="29"/>
      <c r="M907" s="27" t="s">
        <v>24991</v>
      </c>
    </row>
    <row r="908" spans="1:13" s="27" customFormat="1" ht="17.25" customHeight="1" x14ac:dyDescent="0.25">
      <c r="A908" s="28" t="s">
        <v>3</v>
      </c>
      <c r="B908" s="28">
        <v>71609620</v>
      </c>
      <c r="C908" s="28" t="s">
        <v>25993</v>
      </c>
      <c r="D908" s="28" t="s">
        <v>26032</v>
      </c>
      <c r="E908" s="28" t="s">
        <v>25380</v>
      </c>
      <c r="F908" s="28" t="s">
        <v>25131</v>
      </c>
      <c r="G908" s="28" t="s">
        <v>19229</v>
      </c>
      <c r="H908" s="28" t="s">
        <v>19238</v>
      </c>
      <c r="I908" s="30">
        <v>45383</v>
      </c>
      <c r="J908" s="30" t="s">
        <v>26194</v>
      </c>
      <c r="K908" s="28">
        <v>8</v>
      </c>
      <c r="L908" s="29"/>
      <c r="M908" s="27" t="s">
        <v>19257</v>
      </c>
    </row>
    <row r="909" spans="1:13" s="27" customFormat="1" ht="17.25" customHeight="1" x14ac:dyDescent="0.25">
      <c r="A909" s="28" t="s">
        <v>3</v>
      </c>
      <c r="B909" s="28">
        <v>71082032</v>
      </c>
      <c r="C909" s="28" t="s">
        <v>26189</v>
      </c>
      <c r="D909" s="28" t="s">
        <v>19258</v>
      </c>
      <c r="E909" s="28" t="s">
        <v>25255</v>
      </c>
      <c r="F909" s="28" t="s">
        <v>25028</v>
      </c>
      <c r="G909" s="28" t="s">
        <v>19229</v>
      </c>
      <c r="H909" s="28" t="s">
        <v>19238</v>
      </c>
      <c r="I909" s="30">
        <v>45384</v>
      </c>
      <c r="J909" s="30">
        <v>45398</v>
      </c>
      <c r="K909" s="28">
        <v>15</v>
      </c>
      <c r="L909" s="29"/>
      <c r="M909" s="27" t="s">
        <v>19257</v>
      </c>
    </row>
    <row r="910" spans="1:13" s="27" customFormat="1" ht="17.25" customHeight="1" x14ac:dyDescent="0.25">
      <c r="A910" s="28" t="s">
        <v>3</v>
      </c>
      <c r="B910" s="28">
        <v>1007110380</v>
      </c>
      <c r="C910" s="38" t="s">
        <v>26181</v>
      </c>
      <c r="D910" s="38" t="s">
        <v>25593</v>
      </c>
      <c r="E910" s="38" t="s">
        <v>26182</v>
      </c>
      <c r="F910" s="38" t="s">
        <v>25135</v>
      </c>
      <c r="G910" s="28" t="s">
        <v>19229</v>
      </c>
      <c r="H910" s="28" t="s">
        <v>19240</v>
      </c>
      <c r="I910" s="30">
        <v>45385</v>
      </c>
      <c r="J910" s="30">
        <v>45389</v>
      </c>
      <c r="K910" s="51">
        <v>5</v>
      </c>
      <c r="L910" s="29"/>
      <c r="M910" s="27" t="s">
        <v>26106</v>
      </c>
    </row>
    <row r="911" spans="1:13" s="27" customFormat="1" ht="17.25" customHeight="1" x14ac:dyDescent="0.25">
      <c r="A911" s="28" t="s">
        <v>3</v>
      </c>
      <c r="B911" s="28">
        <v>98534558</v>
      </c>
      <c r="C911" s="28" t="s">
        <v>25233</v>
      </c>
      <c r="D911" s="28" t="s">
        <v>26191</v>
      </c>
      <c r="E911" s="28" t="s">
        <v>25691</v>
      </c>
      <c r="F911" s="28" t="s">
        <v>25131</v>
      </c>
      <c r="G911" s="28" t="s">
        <v>19229</v>
      </c>
      <c r="H911" s="28" t="s">
        <v>19238</v>
      </c>
      <c r="I911" s="30">
        <v>45385</v>
      </c>
      <c r="J911" s="30">
        <v>45392</v>
      </c>
      <c r="K911" s="28">
        <v>8</v>
      </c>
      <c r="L911" s="29"/>
      <c r="M911" s="27" t="s">
        <v>19257</v>
      </c>
    </row>
    <row r="912" spans="1:13" s="27" customFormat="1" ht="17.25" customHeight="1" x14ac:dyDescent="0.25">
      <c r="A912" s="28" t="s">
        <v>4</v>
      </c>
      <c r="B912" s="28">
        <v>1036682008</v>
      </c>
      <c r="C912" s="28" t="s">
        <v>25796</v>
      </c>
      <c r="D912" s="28" t="s">
        <v>24990</v>
      </c>
      <c r="E912" s="28" t="s">
        <v>25035</v>
      </c>
      <c r="F912" s="28" t="s">
        <v>25010</v>
      </c>
      <c r="G912" s="28" t="s">
        <v>19229</v>
      </c>
      <c r="H912" s="28" t="s">
        <v>19238</v>
      </c>
      <c r="I912" s="30">
        <v>45385</v>
      </c>
      <c r="J912" s="30">
        <v>45399</v>
      </c>
      <c r="K912" s="53">
        <v>15</v>
      </c>
      <c r="L912" s="29"/>
      <c r="M912" s="27" t="s">
        <v>19257</v>
      </c>
    </row>
    <row r="913" spans="1:13" s="27" customFormat="1" ht="17.25" customHeight="1" x14ac:dyDescent="0.25">
      <c r="A913" s="28" t="s">
        <v>3</v>
      </c>
      <c r="B913" s="28">
        <v>1007538875</v>
      </c>
      <c r="C913" s="28" t="s">
        <v>25281</v>
      </c>
      <c r="D913" s="28" t="s">
        <v>25140</v>
      </c>
      <c r="E913" s="28" t="s">
        <v>26190</v>
      </c>
      <c r="F913" s="28" t="s">
        <v>24982</v>
      </c>
      <c r="G913" s="28" t="s">
        <v>19229</v>
      </c>
      <c r="H913" s="28" t="s">
        <v>19238</v>
      </c>
      <c r="I913" s="30">
        <v>45386</v>
      </c>
      <c r="J913" s="30">
        <v>45393</v>
      </c>
      <c r="K913" s="28">
        <v>8</v>
      </c>
      <c r="L913" s="29"/>
      <c r="M913" s="27" t="s">
        <v>19257</v>
      </c>
    </row>
    <row r="914" spans="1:13" s="27" customFormat="1" ht="17.25" customHeight="1" x14ac:dyDescent="0.25">
      <c r="A914" s="28" t="s">
        <v>3</v>
      </c>
      <c r="B914" s="28">
        <v>1007382155</v>
      </c>
      <c r="C914" s="28" t="s">
        <v>25046</v>
      </c>
      <c r="D914" s="28" t="s">
        <v>25372</v>
      </c>
      <c r="E914" s="28" t="s">
        <v>25183</v>
      </c>
      <c r="F914" s="28" t="s">
        <v>25185</v>
      </c>
      <c r="G914" s="28" t="s">
        <v>19229</v>
      </c>
      <c r="H914" s="28" t="s">
        <v>19238</v>
      </c>
      <c r="I914" s="30">
        <v>45386</v>
      </c>
      <c r="J914" s="30">
        <v>45393</v>
      </c>
      <c r="K914" s="28">
        <v>8</v>
      </c>
      <c r="L914" s="29"/>
      <c r="M914" s="27" t="s">
        <v>19257</v>
      </c>
    </row>
    <row r="915" spans="1:13" s="27" customFormat="1" ht="17.25" customHeight="1" x14ac:dyDescent="0.25">
      <c r="A915" s="28" t="s">
        <v>3</v>
      </c>
      <c r="B915" s="28">
        <v>15370207</v>
      </c>
      <c r="C915" s="38" t="s">
        <v>26140</v>
      </c>
      <c r="D915" s="38" t="s">
        <v>25175</v>
      </c>
      <c r="E915" s="38" t="s">
        <v>25198</v>
      </c>
      <c r="F915" s="38" t="s">
        <v>25010</v>
      </c>
      <c r="G915" s="28" t="s">
        <v>19285</v>
      </c>
      <c r="H915" s="28" t="s">
        <v>19239</v>
      </c>
      <c r="I915" s="30">
        <v>45387</v>
      </c>
      <c r="J915" s="30">
        <v>45391</v>
      </c>
      <c r="K915" s="51">
        <v>5</v>
      </c>
      <c r="L915" s="29">
        <v>15</v>
      </c>
      <c r="M915" s="27" t="s">
        <v>25036</v>
      </c>
    </row>
    <row r="916" spans="1:13" s="27" customFormat="1" ht="17.25" customHeight="1" x14ac:dyDescent="0.25">
      <c r="A916" s="28" t="s">
        <v>3</v>
      </c>
      <c r="B916" s="28">
        <v>32184373</v>
      </c>
      <c r="C916" s="28" t="s">
        <v>25332</v>
      </c>
      <c r="D916" s="28" t="s">
        <v>25174</v>
      </c>
      <c r="E916" s="28" t="s">
        <v>25543</v>
      </c>
      <c r="F916" s="28" t="s">
        <v>25544</v>
      </c>
      <c r="G916" s="28" t="s">
        <v>19229</v>
      </c>
      <c r="H916" s="28" t="s">
        <v>19238</v>
      </c>
      <c r="I916" s="30">
        <v>45387</v>
      </c>
      <c r="J916" s="30">
        <v>45401</v>
      </c>
      <c r="K916" s="28">
        <v>15</v>
      </c>
      <c r="L916" s="29"/>
      <c r="M916" s="27" t="s">
        <v>19257</v>
      </c>
    </row>
    <row r="917" spans="1:13" s="27" customFormat="1" ht="17.25" customHeight="1" x14ac:dyDescent="0.25">
      <c r="A917" s="28" t="s">
        <v>3</v>
      </c>
      <c r="B917" s="28">
        <v>71781456</v>
      </c>
      <c r="C917" s="38" t="s">
        <v>25743</v>
      </c>
      <c r="D917" s="38" t="s">
        <v>25868</v>
      </c>
      <c r="E917" s="38" t="s">
        <v>25650</v>
      </c>
      <c r="F917" s="38" t="s">
        <v>25057</v>
      </c>
      <c r="G917" s="28" t="s">
        <v>19285</v>
      </c>
      <c r="H917" s="28" t="s">
        <v>19239</v>
      </c>
      <c r="I917" s="30">
        <v>45388</v>
      </c>
      <c r="J917" s="30">
        <v>45388</v>
      </c>
      <c r="K917" s="51">
        <v>1</v>
      </c>
      <c r="L917" s="29">
        <v>4</v>
      </c>
      <c r="M917" s="27" t="s">
        <v>25036</v>
      </c>
    </row>
    <row r="918" spans="1:13" s="27" customFormat="1" ht="17.25" customHeight="1" x14ac:dyDescent="0.25">
      <c r="A918" s="28" t="s">
        <v>3</v>
      </c>
      <c r="B918" s="28">
        <v>70563853</v>
      </c>
      <c r="C918" s="38" t="s">
        <v>25140</v>
      </c>
      <c r="D918" s="38" t="s">
        <v>25127</v>
      </c>
      <c r="E918" s="38" t="s">
        <v>26169</v>
      </c>
      <c r="F918" s="38" t="s">
        <v>25064</v>
      </c>
      <c r="G918" s="28" t="s">
        <v>19229</v>
      </c>
      <c r="H918" s="28" t="s">
        <v>19240</v>
      </c>
      <c r="I918" s="30">
        <v>45388</v>
      </c>
      <c r="J918" s="30">
        <v>45392</v>
      </c>
      <c r="K918" s="51">
        <v>5</v>
      </c>
      <c r="L918" s="29"/>
      <c r="M918" s="27" t="s">
        <v>26106</v>
      </c>
    </row>
    <row r="919" spans="1:13" s="27" customFormat="1" ht="17.25" customHeight="1" x14ac:dyDescent="0.25">
      <c r="A919" s="28" t="s">
        <v>3</v>
      </c>
      <c r="B919" s="28">
        <v>15382059</v>
      </c>
      <c r="C919" s="28" t="s">
        <v>25214</v>
      </c>
      <c r="D919" s="28" t="s">
        <v>25049</v>
      </c>
      <c r="E919" s="28" t="s">
        <v>25134</v>
      </c>
      <c r="F919" s="28" t="s">
        <v>25465</v>
      </c>
      <c r="G919" s="28" t="s">
        <v>19229</v>
      </c>
      <c r="H919" s="28" t="s">
        <v>19238</v>
      </c>
      <c r="I919" s="30">
        <v>45388</v>
      </c>
      <c r="J919" s="30">
        <v>45402</v>
      </c>
      <c r="K919" s="28">
        <v>15</v>
      </c>
      <c r="L919" s="29"/>
      <c r="M919" s="27" t="s">
        <v>19257</v>
      </c>
    </row>
    <row r="920" spans="1:13" s="27" customFormat="1" ht="17.25" customHeight="1" x14ac:dyDescent="0.25">
      <c r="A920" s="28" t="s">
        <v>3</v>
      </c>
      <c r="B920" s="28">
        <v>1000112049</v>
      </c>
      <c r="C920" s="28" t="s">
        <v>25108</v>
      </c>
      <c r="D920" s="28" t="s">
        <v>25588</v>
      </c>
      <c r="E920" s="28" t="s">
        <v>25096</v>
      </c>
      <c r="F920" s="28"/>
      <c r="G920" s="28" t="s">
        <v>19229</v>
      </c>
      <c r="H920" s="28" t="s">
        <v>19238</v>
      </c>
      <c r="I920" s="30">
        <v>45389</v>
      </c>
      <c r="J920" s="30">
        <v>45403</v>
      </c>
      <c r="K920" s="28">
        <v>15</v>
      </c>
      <c r="L920" s="29"/>
      <c r="M920" s="27" t="s">
        <v>19257</v>
      </c>
    </row>
    <row r="921" spans="1:13" s="27" customFormat="1" ht="17.25" customHeight="1" x14ac:dyDescent="0.25">
      <c r="A921" s="28" t="s">
        <v>3</v>
      </c>
      <c r="B921" s="28">
        <v>98506028</v>
      </c>
      <c r="C921" s="28" t="s">
        <v>24987</v>
      </c>
      <c r="D921" s="28" t="s">
        <v>25272</v>
      </c>
      <c r="E921" s="28" t="s">
        <v>25546</v>
      </c>
      <c r="F921" s="28" t="s">
        <v>25051</v>
      </c>
      <c r="G921" s="28" t="s">
        <v>19229</v>
      </c>
      <c r="H921" s="28" t="s">
        <v>19238</v>
      </c>
      <c r="I921" s="30">
        <v>45389</v>
      </c>
      <c r="J921" s="30">
        <v>45396</v>
      </c>
      <c r="K921" s="28">
        <v>8</v>
      </c>
      <c r="L921" s="29"/>
      <c r="M921" s="27" t="s">
        <v>19257</v>
      </c>
    </row>
    <row r="922" spans="1:13" s="27" customFormat="1" ht="17.25" customHeight="1" x14ac:dyDescent="0.25">
      <c r="A922" s="28" t="s">
        <v>3</v>
      </c>
      <c r="B922" s="28">
        <v>43116305</v>
      </c>
      <c r="C922" s="28" t="s">
        <v>25736</v>
      </c>
      <c r="D922" s="28" t="s">
        <v>25373</v>
      </c>
      <c r="E922" s="28" t="s">
        <v>26197</v>
      </c>
      <c r="F922" s="28" t="s">
        <v>26198</v>
      </c>
      <c r="G922" s="28" t="s">
        <v>19229</v>
      </c>
      <c r="H922" s="28" t="s">
        <v>19238</v>
      </c>
      <c r="I922" s="30">
        <v>45389</v>
      </c>
      <c r="J922" s="30">
        <v>45396</v>
      </c>
      <c r="K922" s="28">
        <v>8</v>
      </c>
      <c r="L922" s="29"/>
      <c r="M922" s="27" t="s">
        <v>19257</v>
      </c>
    </row>
    <row r="923" spans="1:13" s="27" customFormat="1" ht="17.25" customHeight="1" x14ac:dyDescent="0.25">
      <c r="A923" s="28" t="s">
        <v>3</v>
      </c>
      <c r="B923" s="28">
        <v>1007806085</v>
      </c>
      <c r="C923" s="28" t="s">
        <v>26204</v>
      </c>
      <c r="D923" s="28" t="s">
        <v>26204</v>
      </c>
      <c r="E923" s="28" t="s">
        <v>25183</v>
      </c>
      <c r="F923" s="28" t="s">
        <v>25177</v>
      </c>
      <c r="G923" s="28" t="s">
        <v>19229</v>
      </c>
      <c r="H923" s="28" t="s">
        <v>19240</v>
      </c>
      <c r="I923" s="30">
        <v>45389</v>
      </c>
      <c r="J923" s="30">
        <v>45391</v>
      </c>
      <c r="K923" s="53">
        <v>3</v>
      </c>
      <c r="L923" s="29"/>
      <c r="M923" s="27" t="s">
        <v>24991</v>
      </c>
    </row>
    <row r="924" spans="1:13" s="27" customFormat="1" ht="17.25" customHeight="1" x14ac:dyDescent="0.25">
      <c r="A924" s="28" t="s">
        <v>3</v>
      </c>
      <c r="B924" s="28">
        <v>8406405</v>
      </c>
      <c r="C924" s="28" t="s">
        <v>25497</v>
      </c>
      <c r="D924" s="28" t="s">
        <v>25498</v>
      </c>
      <c r="E924" s="28" t="s">
        <v>25130</v>
      </c>
      <c r="F924" s="28" t="s">
        <v>25255</v>
      </c>
      <c r="G924" s="28" t="s">
        <v>19229</v>
      </c>
      <c r="H924" s="28" t="s">
        <v>19238</v>
      </c>
      <c r="I924" s="30">
        <v>45390</v>
      </c>
      <c r="J924" s="30">
        <v>45401</v>
      </c>
      <c r="K924" s="28">
        <v>15</v>
      </c>
      <c r="L924" s="29"/>
      <c r="M924" s="27" t="s">
        <v>19257</v>
      </c>
    </row>
    <row r="925" spans="1:13" s="27" customFormat="1" ht="17.25" customHeight="1" x14ac:dyDescent="0.25">
      <c r="A925" s="28" t="s">
        <v>3</v>
      </c>
      <c r="B925" s="28">
        <v>70434775</v>
      </c>
      <c r="C925" s="28" t="s">
        <v>25508</v>
      </c>
      <c r="D925" s="28" t="s">
        <v>25666</v>
      </c>
      <c r="E925" s="28" t="s">
        <v>25674</v>
      </c>
      <c r="F925" s="28" t="s">
        <v>25135</v>
      </c>
      <c r="G925" s="28" t="s">
        <v>19229</v>
      </c>
      <c r="H925" s="28" t="s">
        <v>19238</v>
      </c>
      <c r="I925" s="30">
        <v>45390</v>
      </c>
      <c r="J925" s="30">
        <v>45404</v>
      </c>
      <c r="K925" s="28">
        <v>15</v>
      </c>
      <c r="L925" s="29"/>
      <c r="M925" s="27" t="s">
        <v>19257</v>
      </c>
    </row>
    <row r="926" spans="1:13" s="27" customFormat="1" ht="17.25" customHeight="1" x14ac:dyDescent="0.25">
      <c r="A926" s="28" t="s">
        <v>3</v>
      </c>
      <c r="B926" s="28">
        <v>8408459</v>
      </c>
      <c r="C926" s="38" t="s">
        <v>25284</v>
      </c>
      <c r="D926" s="38" t="s">
        <v>25164</v>
      </c>
      <c r="E926" s="38" t="s">
        <v>25820</v>
      </c>
      <c r="F926" s="38"/>
      <c r="G926" s="28" t="s">
        <v>19229</v>
      </c>
      <c r="H926" s="28" t="s">
        <v>19240</v>
      </c>
      <c r="I926" s="30">
        <v>45391</v>
      </c>
      <c r="J926" s="30">
        <v>45394</v>
      </c>
      <c r="K926" s="51">
        <v>5</v>
      </c>
      <c r="L926" s="29"/>
      <c r="M926" s="27" t="s">
        <v>26106</v>
      </c>
    </row>
    <row r="927" spans="1:13" s="27" customFormat="1" ht="17.25" customHeight="1" x14ac:dyDescent="0.25">
      <c r="A927" s="28" t="s">
        <v>3</v>
      </c>
      <c r="B927" s="28">
        <v>22188088</v>
      </c>
      <c r="C927" s="28" t="s">
        <v>25003</v>
      </c>
      <c r="D927" s="28" t="s">
        <v>25105</v>
      </c>
      <c r="E927" s="28" t="s">
        <v>25258</v>
      </c>
      <c r="F927" s="28" t="s">
        <v>25501</v>
      </c>
      <c r="G927" s="28" t="s">
        <v>19229</v>
      </c>
      <c r="H927" s="28" t="s">
        <v>19238</v>
      </c>
      <c r="I927" s="30">
        <v>45392</v>
      </c>
      <c r="J927" s="30">
        <v>45406</v>
      </c>
      <c r="K927" s="28">
        <v>15</v>
      </c>
      <c r="L927" s="29"/>
      <c r="M927" s="27" t="s">
        <v>19257</v>
      </c>
    </row>
    <row r="928" spans="1:13" s="27" customFormat="1" ht="17.25" customHeight="1" x14ac:dyDescent="0.25">
      <c r="A928" s="28" t="s">
        <v>3</v>
      </c>
      <c r="B928" s="28">
        <v>1022033699</v>
      </c>
      <c r="C928" s="28" t="s">
        <v>25128</v>
      </c>
      <c r="D928" s="28" t="s">
        <v>25053</v>
      </c>
      <c r="E928" s="28" t="s">
        <v>26202</v>
      </c>
      <c r="F928" s="28" t="s">
        <v>25657</v>
      </c>
      <c r="G928" s="28" t="s">
        <v>19229</v>
      </c>
      <c r="H928" s="28" t="s">
        <v>19240</v>
      </c>
      <c r="I928" s="30">
        <v>45392</v>
      </c>
      <c r="J928" s="30">
        <v>45392</v>
      </c>
      <c r="K928" s="28">
        <v>1</v>
      </c>
      <c r="L928" s="29"/>
      <c r="M928" s="27" t="s">
        <v>24991</v>
      </c>
    </row>
    <row r="929" spans="1:13" s="27" customFormat="1" ht="17.25" customHeight="1" x14ac:dyDescent="0.25">
      <c r="A929" s="28" t="s">
        <v>3</v>
      </c>
      <c r="B929" s="28">
        <v>14605912</v>
      </c>
      <c r="C929" s="28" t="s">
        <v>25414</v>
      </c>
      <c r="D929" s="28" t="s">
        <v>25415</v>
      </c>
      <c r="E929" s="28" t="s">
        <v>25188</v>
      </c>
      <c r="F929" s="28" t="s">
        <v>25416</v>
      </c>
      <c r="G929" s="28" t="s">
        <v>19229</v>
      </c>
      <c r="H929" s="28" t="s">
        <v>19240</v>
      </c>
      <c r="I929" s="30">
        <v>45392</v>
      </c>
      <c r="J929" s="30">
        <v>45392</v>
      </c>
      <c r="K929" s="28">
        <v>1</v>
      </c>
      <c r="L929" s="29"/>
      <c r="M929" s="27" t="s">
        <v>24991</v>
      </c>
    </row>
    <row r="930" spans="1:13" s="27" customFormat="1" ht="17.25" customHeight="1" x14ac:dyDescent="0.25">
      <c r="A930" s="28" t="s">
        <v>3</v>
      </c>
      <c r="B930" s="28">
        <v>98534558</v>
      </c>
      <c r="C930" s="28" t="s">
        <v>25233</v>
      </c>
      <c r="D930" s="28" t="s">
        <v>26191</v>
      </c>
      <c r="E930" s="28" t="s">
        <v>25691</v>
      </c>
      <c r="F930" s="28" t="s">
        <v>25131</v>
      </c>
      <c r="G930" s="28" t="s">
        <v>19229</v>
      </c>
      <c r="H930" s="28" t="s">
        <v>19238</v>
      </c>
      <c r="I930" s="30">
        <v>45393</v>
      </c>
      <c r="J930" s="30">
        <v>45400</v>
      </c>
      <c r="K930" s="28">
        <v>8</v>
      </c>
      <c r="L930" s="29"/>
      <c r="M930" s="27" t="s">
        <v>19257</v>
      </c>
    </row>
    <row r="931" spans="1:13" s="27" customFormat="1" ht="17.25" customHeight="1" x14ac:dyDescent="0.25">
      <c r="A931" s="28" t="s">
        <v>3</v>
      </c>
      <c r="B931" s="28">
        <v>91324977</v>
      </c>
      <c r="C931" s="28" t="s">
        <v>26185</v>
      </c>
      <c r="D931" s="28" t="s">
        <v>26186</v>
      </c>
      <c r="E931" s="28" t="s">
        <v>26187</v>
      </c>
      <c r="F931" s="28"/>
      <c r="G931" s="28" t="s">
        <v>19229</v>
      </c>
      <c r="H931" s="28" t="s">
        <v>19239</v>
      </c>
      <c r="I931" s="30">
        <v>45394</v>
      </c>
      <c r="J931" s="30">
        <v>45394</v>
      </c>
      <c r="K931" s="28">
        <v>1</v>
      </c>
      <c r="L931" s="29">
        <v>6</v>
      </c>
      <c r="M931" s="27" t="s">
        <v>25036</v>
      </c>
    </row>
    <row r="932" spans="1:13" s="27" customFormat="1" ht="17.25" customHeight="1" x14ac:dyDescent="0.25">
      <c r="A932" s="28" t="s">
        <v>3</v>
      </c>
      <c r="B932" s="28">
        <v>1007538875</v>
      </c>
      <c r="C932" s="28" t="s">
        <v>25281</v>
      </c>
      <c r="D932" s="28" t="s">
        <v>25140</v>
      </c>
      <c r="E932" s="28" t="s">
        <v>26190</v>
      </c>
      <c r="F932" s="28" t="s">
        <v>24982</v>
      </c>
      <c r="G932" s="28" t="s">
        <v>19229</v>
      </c>
      <c r="H932" s="28" t="s">
        <v>19238</v>
      </c>
      <c r="I932" s="30">
        <v>45394</v>
      </c>
      <c r="J932" s="30">
        <v>45401</v>
      </c>
      <c r="K932" s="28">
        <v>8</v>
      </c>
      <c r="L932" s="29"/>
      <c r="M932" s="27" t="s">
        <v>19257</v>
      </c>
    </row>
    <row r="933" spans="1:13" s="27" customFormat="1" ht="17.25" customHeight="1" x14ac:dyDescent="0.25">
      <c r="A933" s="28" t="s">
        <v>3</v>
      </c>
      <c r="B933" s="28">
        <v>1007382155</v>
      </c>
      <c r="C933" s="28" t="s">
        <v>25046</v>
      </c>
      <c r="D933" s="28" t="s">
        <v>25372</v>
      </c>
      <c r="E933" s="28" t="s">
        <v>25183</v>
      </c>
      <c r="F933" s="28" t="s">
        <v>25185</v>
      </c>
      <c r="G933" s="28" t="s">
        <v>19229</v>
      </c>
      <c r="H933" s="28" t="s">
        <v>19238</v>
      </c>
      <c r="I933" s="30">
        <v>45394</v>
      </c>
      <c r="J933" s="30">
        <v>45401</v>
      </c>
      <c r="K933" s="28">
        <v>8</v>
      </c>
      <c r="L933" s="29"/>
      <c r="M933" s="27" t="s">
        <v>19257</v>
      </c>
    </row>
    <row r="934" spans="1:13" s="27" customFormat="1" ht="17.25" customHeight="1" x14ac:dyDescent="0.25">
      <c r="A934" s="28" t="s">
        <v>3</v>
      </c>
      <c r="B934" s="28">
        <v>1041267977</v>
      </c>
      <c r="C934" s="28" t="s">
        <v>25126</v>
      </c>
      <c r="D934" s="28" t="s">
        <v>25426</v>
      </c>
      <c r="E934" s="28" t="s">
        <v>25029</v>
      </c>
      <c r="F934" s="28" t="s">
        <v>25706</v>
      </c>
      <c r="G934" s="28" t="s">
        <v>19229</v>
      </c>
      <c r="H934" s="28" t="s">
        <v>19240</v>
      </c>
      <c r="I934" s="30">
        <v>45395</v>
      </c>
      <c r="J934" s="30">
        <v>45398</v>
      </c>
      <c r="K934" s="28">
        <v>4</v>
      </c>
      <c r="L934" s="29"/>
      <c r="M934" s="27" t="s">
        <v>24991</v>
      </c>
    </row>
    <row r="935" spans="1:13" s="27" customFormat="1" ht="17.25" customHeight="1" x14ac:dyDescent="0.25">
      <c r="A935" s="28" t="s">
        <v>3</v>
      </c>
      <c r="B935" s="28">
        <v>71695483</v>
      </c>
      <c r="C935" s="28" t="s">
        <v>25128</v>
      </c>
      <c r="D935" s="28" t="s">
        <v>25061</v>
      </c>
      <c r="E935" s="28" t="s">
        <v>25236</v>
      </c>
      <c r="F935" s="28" t="s">
        <v>25237</v>
      </c>
      <c r="G935" s="28" t="s">
        <v>19229</v>
      </c>
      <c r="H935" s="28" t="s">
        <v>19238</v>
      </c>
      <c r="I935" s="30">
        <v>45396</v>
      </c>
      <c r="J935" s="30">
        <v>45410</v>
      </c>
      <c r="K935" s="28">
        <v>15</v>
      </c>
      <c r="L935" s="29"/>
      <c r="M935" s="27" t="s">
        <v>19257</v>
      </c>
    </row>
    <row r="936" spans="1:13" s="27" customFormat="1" ht="17.25" customHeight="1" x14ac:dyDescent="0.25">
      <c r="A936" s="28" t="s">
        <v>3</v>
      </c>
      <c r="B936" s="28">
        <v>1066181597</v>
      </c>
      <c r="C936" s="28" t="s">
        <v>26195</v>
      </c>
      <c r="D936" s="28" t="s">
        <v>25520</v>
      </c>
      <c r="E936" s="28" t="s">
        <v>25130</v>
      </c>
      <c r="F936" s="28" t="s">
        <v>25255</v>
      </c>
      <c r="G936" s="28" t="s">
        <v>19229</v>
      </c>
      <c r="H936" s="28" t="s">
        <v>19238</v>
      </c>
      <c r="I936" s="30">
        <v>45397</v>
      </c>
      <c r="J936" s="30">
        <v>45411</v>
      </c>
      <c r="K936" s="28">
        <v>15</v>
      </c>
      <c r="L936" s="29"/>
      <c r="M936" s="27" t="s">
        <v>19257</v>
      </c>
    </row>
    <row r="937" spans="1:13" s="27" customFormat="1" ht="17.25" customHeight="1" x14ac:dyDescent="0.25">
      <c r="A937" s="28" t="s">
        <v>3</v>
      </c>
      <c r="B937" s="28">
        <v>98762319</v>
      </c>
      <c r="C937" s="28" t="s">
        <v>25355</v>
      </c>
      <c r="D937" s="28" t="s">
        <v>25454</v>
      </c>
      <c r="E937" s="28" t="s">
        <v>26196</v>
      </c>
      <c r="F937" s="28" t="s">
        <v>26177</v>
      </c>
      <c r="G937" s="28" t="s">
        <v>19229</v>
      </c>
      <c r="H937" s="28" t="s">
        <v>19238</v>
      </c>
      <c r="I937" s="30">
        <v>45397</v>
      </c>
      <c r="J937" s="30">
        <v>45404</v>
      </c>
      <c r="K937" s="28">
        <v>8</v>
      </c>
      <c r="L937" s="29"/>
      <c r="M937" s="27" t="s">
        <v>19257</v>
      </c>
    </row>
    <row r="938" spans="1:13" s="27" customFormat="1" ht="17.25" customHeight="1" x14ac:dyDescent="0.25">
      <c r="A938" s="28" t="s">
        <v>3</v>
      </c>
      <c r="B938" s="28">
        <v>43116305</v>
      </c>
      <c r="C938" s="28" t="s">
        <v>25736</v>
      </c>
      <c r="D938" s="28" t="s">
        <v>25373</v>
      </c>
      <c r="E938" s="28" t="s">
        <v>26197</v>
      </c>
      <c r="F938" s="28" t="s">
        <v>26198</v>
      </c>
      <c r="G938" s="28" t="s">
        <v>19229</v>
      </c>
      <c r="H938" s="28" t="s">
        <v>19238</v>
      </c>
      <c r="I938" s="30">
        <v>45397</v>
      </c>
      <c r="J938" s="30">
        <v>45404</v>
      </c>
      <c r="K938" s="28">
        <v>8</v>
      </c>
      <c r="L938" s="29"/>
      <c r="M938" s="27" t="s">
        <v>19257</v>
      </c>
    </row>
    <row r="939" spans="1:13" s="27" customFormat="1" ht="17.25" customHeight="1" x14ac:dyDescent="0.25">
      <c r="A939" s="28" t="s">
        <v>3</v>
      </c>
      <c r="B939" s="28">
        <v>71362201</v>
      </c>
      <c r="C939" s="28" t="s">
        <v>26188</v>
      </c>
      <c r="D939" s="28" t="s">
        <v>25331</v>
      </c>
      <c r="E939" s="28" t="s">
        <v>25725</v>
      </c>
      <c r="F939" s="28"/>
      <c r="G939" s="28" t="s">
        <v>19229</v>
      </c>
      <c r="H939" s="28" t="s">
        <v>19239</v>
      </c>
      <c r="I939" s="30">
        <v>45398</v>
      </c>
      <c r="J939" s="30">
        <v>45398</v>
      </c>
      <c r="K939" s="28">
        <v>1</v>
      </c>
      <c r="L939" s="29">
        <v>6</v>
      </c>
      <c r="M939" s="27" t="s">
        <v>25036</v>
      </c>
    </row>
    <row r="940" spans="1:13" s="27" customFormat="1" ht="17.25" customHeight="1" x14ac:dyDescent="0.25">
      <c r="A940" s="28" t="s">
        <v>3</v>
      </c>
      <c r="B940" s="28">
        <v>8409118</v>
      </c>
      <c r="C940" s="28" t="s">
        <v>25053</v>
      </c>
      <c r="D940" s="28" t="s">
        <v>25429</v>
      </c>
      <c r="E940" s="28" t="s">
        <v>25442</v>
      </c>
      <c r="F940" s="28" t="s">
        <v>25193</v>
      </c>
      <c r="G940" s="28" t="s">
        <v>19229</v>
      </c>
      <c r="H940" s="28" t="s">
        <v>19238</v>
      </c>
      <c r="I940" s="30">
        <v>45398</v>
      </c>
      <c r="J940" s="30">
        <v>45412</v>
      </c>
      <c r="K940" s="28">
        <v>15</v>
      </c>
      <c r="L940" s="29"/>
      <c r="M940" s="27" t="s">
        <v>19257</v>
      </c>
    </row>
    <row r="941" spans="1:13" s="27" customFormat="1" ht="17.25" customHeight="1" x14ac:dyDescent="0.25">
      <c r="A941" s="28" t="s">
        <v>3</v>
      </c>
      <c r="B941" s="28">
        <v>70414738</v>
      </c>
      <c r="C941" s="28" t="s">
        <v>25463</v>
      </c>
      <c r="D941" s="28"/>
      <c r="E941" s="28" t="s">
        <v>25092</v>
      </c>
      <c r="F941" s="28" t="s">
        <v>25656</v>
      </c>
      <c r="G941" s="28" t="s">
        <v>19229</v>
      </c>
      <c r="H941" s="28" t="s">
        <v>19238</v>
      </c>
      <c r="I941" s="30">
        <v>45398</v>
      </c>
      <c r="J941" s="30">
        <v>45412</v>
      </c>
      <c r="K941" s="28">
        <v>15</v>
      </c>
      <c r="L941" s="29"/>
      <c r="M941" s="27" t="s">
        <v>19257</v>
      </c>
    </row>
    <row r="942" spans="1:13" s="27" customFormat="1" ht="17.25" customHeight="1" x14ac:dyDescent="0.25">
      <c r="A942" s="28" t="s">
        <v>3</v>
      </c>
      <c r="B942" s="28">
        <v>71370517</v>
      </c>
      <c r="C942" s="28" t="s">
        <v>25061</v>
      </c>
      <c r="D942" s="28" t="s">
        <v>25511</v>
      </c>
      <c r="E942" s="28" t="s">
        <v>25168</v>
      </c>
      <c r="F942" s="28" t="s">
        <v>25512</v>
      </c>
      <c r="G942" s="28" t="s">
        <v>19229</v>
      </c>
      <c r="H942" s="28" t="s">
        <v>19238</v>
      </c>
      <c r="I942" s="30">
        <v>45399</v>
      </c>
      <c r="J942" s="30">
        <v>45412</v>
      </c>
      <c r="K942" s="28">
        <v>15</v>
      </c>
      <c r="L942" s="29"/>
      <c r="M942" s="27" t="s">
        <v>19257</v>
      </c>
    </row>
    <row r="943" spans="1:13" s="27" customFormat="1" ht="17.25" customHeight="1" x14ac:dyDescent="0.25">
      <c r="A943" s="28" t="s">
        <v>3</v>
      </c>
      <c r="B943" s="28">
        <v>1000088914</v>
      </c>
      <c r="C943" s="38" t="s">
        <v>26072</v>
      </c>
      <c r="D943" s="38" t="s">
        <v>25061</v>
      </c>
      <c r="E943" s="38" t="s">
        <v>26073</v>
      </c>
      <c r="F943" s="38" t="s">
        <v>25010</v>
      </c>
      <c r="G943" s="28" t="s">
        <v>19229</v>
      </c>
      <c r="H943" s="28" t="s">
        <v>19239</v>
      </c>
      <c r="I943" s="30">
        <v>45400</v>
      </c>
      <c r="J943" s="30">
        <v>45400</v>
      </c>
      <c r="K943" s="51">
        <v>1</v>
      </c>
      <c r="L943" s="29">
        <v>6</v>
      </c>
      <c r="M943" s="27" t="s">
        <v>25036</v>
      </c>
    </row>
    <row r="944" spans="1:13" s="27" customFormat="1" ht="17.25" customHeight="1" x14ac:dyDescent="0.25">
      <c r="A944" s="28" t="s">
        <v>3</v>
      </c>
      <c r="B944" s="28">
        <v>1000088914</v>
      </c>
      <c r="C944" s="38" t="s">
        <v>26072</v>
      </c>
      <c r="D944" s="38" t="s">
        <v>25529</v>
      </c>
      <c r="E944" s="38" t="s">
        <v>26073</v>
      </c>
      <c r="F944" s="38" t="s">
        <v>25010</v>
      </c>
      <c r="G944" s="28" t="s">
        <v>19229</v>
      </c>
      <c r="H944" s="28" t="s">
        <v>19239</v>
      </c>
      <c r="I944" s="30">
        <v>45400</v>
      </c>
      <c r="J944" s="30">
        <v>45400</v>
      </c>
      <c r="K944" s="28">
        <v>1</v>
      </c>
      <c r="L944" s="29">
        <v>6</v>
      </c>
      <c r="M944" s="27" t="s">
        <v>25036</v>
      </c>
    </row>
    <row r="945" spans="1:13" s="27" customFormat="1" ht="17.25" customHeight="1" x14ac:dyDescent="0.25">
      <c r="A945" s="28" t="s">
        <v>3</v>
      </c>
      <c r="B945" s="28">
        <v>71762684</v>
      </c>
      <c r="C945" s="28" t="s">
        <v>25105</v>
      </c>
      <c r="D945" s="28" t="s">
        <v>25733</v>
      </c>
      <c r="E945" s="28" t="s">
        <v>25405</v>
      </c>
      <c r="F945" s="28" t="s">
        <v>25051</v>
      </c>
      <c r="G945" s="28" t="s">
        <v>19229</v>
      </c>
      <c r="H945" s="28" t="s">
        <v>19238</v>
      </c>
      <c r="I945" s="30">
        <v>45402</v>
      </c>
      <c r="J945" s="30">
        <v>45409</v>
      </c>
      <c r="K945" s="28">
        <v>8</v>
      </c>
      <c r="L945" s="29"/>
      <c r="M945" s="27" t="s">
        <v>19257</v>
      </c>
    </row>
    <row r="946" spans="1:13" s="27" customFormat="1" ht="17.25" customHeight="1" x14ac:dyDescent="0.25">
      <c r="A946" s="28" t="s">
        <v>4</v>
      </c>
      <c r="B946" s="28">
        <v>71724256</v>
      </c>
      <c r="C946" s="28" t="s">
        <v>25498</v>
      </c>
      <c r="D946" s="28" t="s">
        <v>25456</v>
      </c>
      <c r="E946" s="28" t="s">
        <v>25705</v>
      </c>
      <c r="F946" s="28"/>
      <c r="G946" s="28" t="s">
        <v>19229</v>
      </c>
      <c r="H946" s="28" t="s">
        <v>19238</v>
      </c>
      <c r="I946" s="30">
        <v>45403</v>
      </c>
      <c r="J946" s="30">
        <v>45410</v>
      </c>
      <c r="K946" s="28">
        <v>8</v>
      </c>
      <c r="L946" s="29"/>
      <c r="M946" s="27" t="s">
        <v>19257</v>
      </c>
    </row>
    <row r="947" spans="1:13" s="27" customFormat="1" ht="17.25" customHeight="1" x14ac:dyDescent="0.25">
      <c r="A947" s="28" t="s">
        <v>3</v>
      </c>
      <c r="B947" s="28">
        <v>1102815009</v>
      </c>
      <c r="C947" s="38" t="s">
        <v>25257</v>
      </c>
      <c r="D947" s="38" t="s">
        <v>26121</v>
      </c>
      <c r="E947" s="38" t="s">
        <v>25926</v>
      </c>
      <c r="F947" s="38" t="s">
        <v>25135</v>
      </c>
      <c r="G947" s="28" t="s">
        <v>19229</v>
      </c>
      <c r="H947" s="28" t="s">
        <v>19239</v>
      </c>
      <c r="I947" s="30">
        <v>45404</v>
      </c>
      <c r="J947" s="30">
        <v>45404</v>
      </c>
      <c r="K947" s="28">
        <v>1</v>
      </c>
      <c r="L947" s="29">
        <v>6</v>
      </c>
      <c r="M947" s="27" t="s">
        <v>25036</v>
      </c>
    </row>
    <row r="948" spans="1:13" s="27" customFormat="1" ht="17.25" customHeight="1" x14ac:dyDescent="0.25">
      <c r="A948" s="28" t="s">
        <v>3</v>
      </c>
      <c r="B948" s="28">
        <v>98595783</v>
      </c>
      <c r="C948" s="28" t="s">
        <v>25403</v>
      </c>
      <c r="D948" s="28" t="s">
        <v>24983</v>
      </c>
      <c r="E948" s="28" t="s">
        <v>25150</v>
      </c>
      <c r="F948" s="28" t="s">
        <v>26205</v>
      </c>
      <c r="G948" s="28" t="s">
        <v>19229</v>
      </c>
      <c r="H948" s="28" t="s">
        <v>19238</v>
      </c>
      <c r="I948" s="30">
        <v>45404</v>
      </c>
      <c r="J948" s="30">
        <v>45418</v>
      </c>
      <c r="K948" s="28">
        <v>15</v>
      </c>
      <c r="L948" s="29"/>
      <c r="M948" s="27" t="s">
        <v>19257</v>
      </c>
    </row>
    <row r="949" spans="1:13" s="27" customFormat="1" ht="17.25" customHeight="1" x14ac:dyDescent="0.25">
      <c r="A949" s="28" t="s">
        <v>3</v>
      </c>
      <c r="B949" s="28">
        <v>98762319</v>
      </c>
      <c r="C949" s="28" t="s">
        <v>25355</v>
      </c>
      <c r="D949" s="28" t="s">
        <v>25454</v>
      </c>
      <c r="E949" s="28" t="s">
        <v>26196</v>
      </c>
      <c r="F949" s="28" t="s">
        <v>26177</v>
      </c>
      <c r="G949" s="28" t="s">
        <v>19229</v>
      </c>
      <c r="H949" s="28" t="s">
        <v>19238</v>
      </c>
      <c r="I949" s="30">
        <v>45405</v>
      </c>
      <c r="J949" s="30">
        <v>45412</v>
      </c>
      <c r="K949" s="28">
        <v>8</v>
      </c>
      <c r="L949" s="29"/>
      <c r="M949" s="27" t="s">
        <v>19257</v>
      </c>
    </row>
    <row r="950" spans="1:13" s="27" customFormat="1" ht="17.25" customHeight="1" x14ac:dyDescent="0.25">
      <c r="A950" s="28" t="s">
        <v>3</v>
      </c>
      <c r="B950" s="28">
        <v>1102815009</v>
      </c>
      <c r="C950" s="28" t="s">
        <v>25257</v>
      </c>
      <c r="D950" s="28" t="s">
        <v>26121</v>
      </c>
      <c r="E950" s="28" t="s">
        <v>25347</v>
      </c>
      <c r="F950" s="28" t="s">
        <v>25135</v>
      </c>
      <c r="G950" s="28" t="s">
        <v>19229</v>
      </c>
      <c r="H950" s="28" t="s">
        <v>19238</v>
      </c>
      <c r="I950" s="30">
        <v>45405</v>
      </c>
      <c r="J950" s="30">
        <v>45419</v>
      </c>
      <c r="K950" s="28">
        <v>15</v>
      </c>
      <c r="L950" s="29"/>
      <c r="M950" s="27" t="s">
        <v>19257</v>
      </c>
    </row>
    <row r="951" spans="1:13" s="27" customFormat="1" ht="17.25" customHeight="1" x14ac:dyDescent="0.25">
      <c r="A951" s="28" t="s">
        <v>4</v>
      </c>
      <c r="B951" s="28">
        <v>15459459</v>
      </c>
      <c r="C951" s="28" t="s">
        <v>25410</v>
      </c>
      <c r="D951" s="28" t="s">
        <v>25015</v>
      </c>
      <c r="E951" s="28" t="s">
        <v>25019</v>
      </c>
      <c r="F951" s="28" t="s">
        <v>25051</v>
      </c>
      <c r="G951" s="28" t="s">
        <v>19229</v>
      </c>
      <c r="H951" s="28" t="s">
        <v>19238</v>
      </c>
      <c r="I951" s="30">
        <v>45411</v>
      </c>
      <c r="J951" s="30">
        <v>45418</v>
      </c>
      <c r="K951" s="28">
        <v>8</v>
      </c>
      <c r="L951" s="29"/>
      <c r="M951" s="27" t="s">
        <v>19257</v>
      </c>
    </row>
    <row r="952" spans="1:13" s="27" customFormat="1" ht="17.25" customHeight="1" x14ac:dyDescent="0.25">
      <c r="A952" s="28" t="s">
        <v>4</v>
      </c>
      <c r="B952" s="28">
        <v>71190668</v>
      </c>
      <c r="C952" s="28" t="s">
        <v>25642</v>
      </c>
      <c r="D952" s="28" t="s">
        <v>25202</v>
      </c>
      <c r="E952" s="28" t="s">
        <v>25643</v>
      </c>
      <c r="F952" s="28" t="s">
        <v>25644</v>
      </c>
      <c r="G952" s="28" t="s">
        <v>19229</v>
      </c>
      <c r="H952" s="28" t="s">
        <v>19238</v>
      </c>
      <c r="I952" s="30">
        <v>45411</v>
      </c>
      <c r="J952" s="30">
        <v>45426</v>
      </c>
      <c r="K952" s="28">
        <v>15</v>
      </c>
      <c r="L952" s="29"/>
      <c r="M952" s="27" t="s">
        <v>19257</v>
      </c>
    </row>
    <row r="953" spans="1:13" s="27" customFormat="1" ht="17.25" customHeight="1" x14ac:dyDescent="0.25">
      <c r="A953" s="28" t="s">
        <v>4</v>
      </c>
      <c r="B953" s="28">
        <v>8432539</v>
      </c>
      <c r="C953" s="28" t="s">
        <v>25459</v>
      </c>
      <c r="D953" s="28" t="s">
        <v>25065</v>
      </c>
      <c r="E953" s="28" t="s">
        <v>25460</v>
      </c>
      <c r="F953" s="28" t="s">
        <v>25162</v>
      </c>
      <c r="G953" s="28" t="s">
        <v>19229</v>
      </c>
      <c r="H953" s="28" t="s">
        <v>19238</v>
      </c>
      <c r="I953" s="30">
        <v>45411</v>
      </c>
      <c r="J953" s="30">
        <v>45425</v>
      </c>
      <c r="K953" s="28">
        <v>15</v>
      </c>
      <c r="L953" s="29"/>
      <c r="M953" s="27" t="s">
        <v>19257</v>
      </c>
    </row>
    <row r="954" spans="1:13" s="27" customFormat="1" ht="17.25" customHeight="1" x14ac:dyDescent="0.25">
      <c r="A954" s="28" t="s">
        <v>4</v>
      </c>
      <c r="B954" s="28">
        <v>71724256</v>
      </c>
      <c r="C954" s="28" t="s">
        <v>25498</v>
      </c>
      <c r="D954" s="28" t="s">
        <v>25456</v>
      </c>
      <c r="E954" s="28" t="s">
        <v>25705</v>
      </c>
      <c r="F954" s="28"/>
      <c r="G954" s="28" t="s">
        <v>19229</v>
      </c>
      <c r="H954" s="28" t="s">
        <v>19238</v>
      </c>
      <c r="I954" s="30">
        <v>45411</v>
      </c>
      <c r="J954" s="30">
        <v>45388</v>
      </c>
      <c r="K954" s="28">
        <v>8</v>
      </c>
      <c r="L954" s="29"/>
      <c r="M954" s="27" t="s">
        <v>19257</v>
      </c>
    </row>
    <row r="955" spans="1:13" s="27" customFormat="1" ht="17.25" customHeight="1" x14ac:dyDescent="0.25">
      <c r="A955" s="28" t="s">
        <v>3</v>
      </c>
      <c r="B955" s="28">
        <v>10903978</v>
      </c>
      <c r="C955" s="28" t="s">
        <v>25181</v>
      </c>
      <c r="D955" s="28" t="s">
        <v>25928</v>
      </c>
      <c r="E955" s="28" t="s">
        <v>25455</v>
      </c>
      <c r="F955" s="28" t="s">
        <v>25213</v>
      </c>
      <c r="G955" s="28" t="s">
        <v>19229</v>
      </c>
      <c r="H955" s="28" t="s">
        <v>19239</v>
      </c>
      <c r="I955" s="30">
        <v>45412</v>
      </c>
      <c r="J955" s="30">
        <v>45416</v>
      </c>
      <c r="K955" s="28">
        <v>5</v>
      </c>
      <c r="L955" s="29">
        <v>22</v>
      </c>
      <c r="M955" s="27" t="s">
        <v>25036</v>
      </c>
    </row>
    <row r="956" spans="1:13" s="27" customFormat="1" ht="17.25" customHeight="1" x14ac:dyDescent="0.25">
      <c r="A956" s="28" t="s">
        <v>4</v>
      </c>
      <c r="B956" s="28">
        <v>71605406</v>
      </c>
      <c r="C956" s="28" t="s">
        <v>25257</v>
      </c>
      <c r="D956" s="28" t="s">
        <v>26044</v>
      </c>
      <c r="E956" s="28" t="s">
        <v>26042</v>
      </c>
      <c r="F956" s="28" t="s">
        <v>25135</v>
      </c>
      <c r="G956" s="28" t="s">
        <v>19229</v>
      </c>
      <c r="H956" s="28" t="s">
        <v>19240</v>
      </c>
      <c r="I956" s="30">
        <v>45413</v>
      </c>
      <c r="J956" s="30">
        <v>45413</v>
      </c>
      <c r="K956" s="28">
        <v>1</v>
      </c>
      <c r="L956" s="29"/>
      <c r="M956" s="27" t="s">
        <v>25431</v>
      </c>
    </row>
    <row r="957" spans="1:13" s="27" customFormat="1" ht="17.25" customHeight="1" x14ac:dyDescent="0.25">
      <c r="A957" s="28" t="s">
        <v>4</v>
      </c>
      <c r="B957" s="28">
        <v>3132230</v>
      </c>
      <c r="C957" s="28" t="s">
        <v>25061</v>
      </c>
      <c r="D957" s="28" t="s">
        <v>25248</v>
      </c>
      <c r="E957" s="28" t="s">
        <v>25028</v>
      </c>
      <c r="F957" s="28" t="s">
        <v>25822</v>
      </c>
      <c r="G957" s="28" t="s">
        <v>19229</v>
      </c>
      <c r="H957" s="28" t="s">
        <v>19238</v>
      </c>
      <c r="I957" s="30">
        <v>45413</v>
      </c>
      <c r="J957" s="30">
        <v>45427</v>
      </c>
      <c r="K957" s="28">
        <v>15</v>
      </c>
      <c r="L957" s="29"/>
      <c r="M957" s="27" t="s">
        <v>19257</v>
      </c>
    </row>
    <row r="958" spans="1:13" s="27" customFormat="1" ht="17.25" customHeight="1" x14ac:dyDescent="0.25">
      <c r="A958" s="28" t="s">
        <v>4</v>
      </c>
      <c r="B958" s="28">
        <v>70470381</v>
      </c>
      <c r="C958" s="28" t="s">
        <v>25456</v>
      </c>
      <c r="D958" s="28" t="s">
        <v>26061</v>
      </c>
      <c r="E958" s="28" t="s">
        <v>25134</v>
      </c>
      <c r="F958" s="28" t="s">
        <v>25064</v>
      </c>
      <c r="G958" s="28" t="s">
        <v>19229</v>
      </c>
      <c r="H958" s="28" t="s">
        <v>19238</v>
      </c>
      <c r="I958" s="30">
        <v>45414</v>
      </c>
      <c r="J958" s="30">
        <v>45421</v>
      </c>
      <c r="K958" s="28">
        <v>8</v>
      </c>
      <c r="L958" s="29"/>
      <c r="M958" s="27" t="s">
        <v>19257</v>
      </c>
    </row>
    <row r="959" spans="1:13" s="27" customFormat="1" ht="17.25" customHeight="1" x14ac:dyDescent="0.25">
      <c r="A959" s="28" t="s">
        <v>4</v>
      </c>
      <c r="B959" s="28">
        <v>1007460505</v>
      </c>
      <c r="C959" s="28" t="s">
        <v>25720</v>
      </c>
      <c r="D959" s="28" t="s">
        <v>25666</v>
      </c>
      <c r="E959" s="28" t="s">
        <v>25222</v>
      </c>
      <c r="F959" s="28" t="s">
        <v>25283</v>
      </c>
      <c r="G959" s="28" t="s">
        <v>19229</v>
      </c>
      <c r="H959" s="28" t="s">
        <v>19238</v>
      </c>
      <c r="I959" s="30">
        <v>45414</v>
      </c>
      <c r="J959" s="30">
        <v>45428</v>
      </c>
      <c r="K959" s="28">
        <v>15</v>
      </c>
      <c r="L959" s="29"/>
      <c r="M959" s="27" t="s">
        <v>19257</v>
      </c>
    </row>
    <row r="960" spans="1:13" s="27" customFormat="1" ht="17.25" customHeight="1" x14ac:dyDescent="0.25">
      <c r="A960" s="28" t="s">
        <v>4</v>
      </c>
      <c r="B960" s="28">
        <v>1000920099</v>
      </c>
      <c r="C960" s="28" t="s">
        <v>25094</v>
      </c>
      <c r="D960" s="28" t="s">
        <v>25800</v>
      </c>
      <c r="E960" s="28" t="s">
        <v>25647</v>
      </c>
      <c r="F960" s="28"/>
      <c r="G960" s="28" t="s">
        <v>19229</v>
      </c>
      <c r="H960" s="28" t="s">
        <v>19240</v>
      </c>
      <c r="I960" s="30">
        <v>45415</v>
      </c>
      <c r="J960" s="30">
        <v>45415</v>
      </c>
      <c r="K960" s="28">
        <v>1</v>
      </c>
      <c r="L960" s="29"/>
      <c r="M960" s="27" t="s">
        <v>24991</v>
      </c>
    </row>
    <row r="961" spans="1:13" s="27" customFormat="1" ht="17.25" customHeight="1" x14ac:dyDescent="0.25">
      <c r="A961" s="28" t="s">
        <v>4</v>
      </c>
      <c r="B961" s="28">
        <v>98577033</v>
      </c>
      <c r="C961" s="28" t="s">
        <v>25260</v>
      </c>
      <c r="D961" s="28" t="s">
        <v>25052</v>
      </c>
      <c r="E961" s="28" t="s">
        <v>25261</v>
      </c>
      <c r="F961" s="28" t="s">
        <v>25005</v>
      </c>
      <c r="G961" s="28" t="s">
        <v>19229</v>
      </c>
      <c r="H961" s="28" t="s">
        <v>19240</v>
      </c>
      <c r="I961" s="30">
        <v>45416</v>
      </c>
      <c r="J961" s="30">
        <v>45416</v>
      </c>
      <c r="K961" s="28">
        <v>1</v>
      </c>
      <c r="L961" s="29"/>
      <c r="M961" s="27" t="s">
        <v>25431</v>
      </c>
    </row>
    <row r="962" spans="1:13" s="27" customFormat="1" ht="17.25" customHeight="1" x14ac:dyDescent="0.25">
      <c r="A962" s="28" t="s">
        <v>4</v>
      </c>
      <c r="B962" s="28">
        <v>71053321</v>
      </c>
      <c r="C962" s="28" t="s">
        <v>25003</v>
      </c>
      <c r="D962" s="28" t="s">
        <v>25403</v>
      </c>
      <c r="E962" s="28" t="s">
        <v>25028</v>
      </c>
      <c r="F962" s="28" t="s">
        <v>25029</v>
      </c>
      <c r="G962" s="28" t="s">
        <v>19229</v>
      </c>
      <c r="H962" s="28" t="s">
        <v>19238</v>
      </c>
      <c r="I962" s="30">
        <v>45416</v>
      </c>
      <c r="J962" s="30">
        <v>45430</v>
      </c>
      <c r="K962" s="28">
        <v>15</v>
      </c>
      <c r="L962" s="29"/>
      <c r="M962" s="27" t="s">
        <v>19257</v>
      </c>
    </row>
    <row r="963" spans="1:13" s="27" customFormat="1" ht="17.25" customHeight="1" x14ac:dyDescent="0.25">
      <c r="A963" s="28" t="s">
        <v>4</v>
      </c>
      <c r="B963" s="28">
        <v>8373954</v>
      </c>
      <c r="C963" s="28" t="s">
        <v>25723</v>
      </c>
      <c r="D963" s="28" t="s">
        <v>25576</v>
      </c>
      <c r="E963" s="28" t="s">
        <v>26007</v>
      </c>
      <c r="F963" s="28"/>
      <c r="G963" s="28" t="s">
        <v>19229</v>
      </c>
      <c r="H963" s="28" t="s">
        <v>19238</v>
      </c>
      <c r="I963" s="30">
        <v>45416</v>
      </c>
      <c r="J963" s="30">
        <v>45430</v>
      </c>
      <c r="K963" s="28">
        <v>15</v>
      </c>
      <c r="L963" s="29"/>
      <c r="M963" s="27" t="s">
        <v>19257</v>
      </c>
    </row>
    <row r="964" spans="1:13" s="27" customFormat="1" ht="17.25" customHeight="1" x14ac:dyDescent="0.25">
      <c r="A964" s="28" t="s">
        <v>4</v>
      </c>
      <c r="B964" s="28">
        <v>12970483</v>
      </c>
      <c r="C964" s="28" t="s">
        <v>24980</v>
      </c>
      <c r="D964" s="28" t="s">
        <v>25052</v>
      </c>
      <c r="E964" s="28" t="s">
        <v>26220</v>
      </c>
      <c r="F964" s="28"/>
      <c r="G964" s="28" t="s">
        <v>19229</v>
      </c>
      <c r="H964" s="28" t="s">
        <v>19238</v>
      </c>
      <c r="I964" s="30">
        <v>45417</v>
      </c>
      <c r="J964" s="30">
        <v>45431</v>
      </c>
      <c r="K964" s="28">
        <v>15</v>
      </c>
      <c r="L964" s="29"/>
      <c r="M964" s="27" t="s">
        <v>19257</v>
      </c>
    </row>
    <row r="965" spans="1:13" s="27" customFormat="1" ht="17.25" customHeight="1" x14ac:dyDescent="0.25">
      <c r="A965" s="28" t="s">
        <v>4</v>
      </c>
      <c r="B965" s="28">
        <v>1152446902</v>
      </c>
      <c r="C965" s="28" t="s">
        <v>25030</v>
      </c>
      <c r="D965" s="28" t="s">
        <v>25031</v>
      </c>
      <c r="E965" s="28" t="s">
        <v>25032</v>
      </c>
      <c r="F965" s="28" t="s">
        <v>25033</v>
      </c>
      <c r="G965" s="28" t="s">
        <v>19229</v>
      </c>
      <c r="H965" s="28" t="s">
        <v>19238</v>
      </c>
      <c r="I965" s="30">
        <v>45417</v>
      </c>
      <c r="J965" s="30">
        <v>45424</v>
      </c>
      <c r="K965" s="28">
        <v>8</v>
      </c>
      <c r="L965" s="29"/>
      <c r="M965" s="27" t="s">
        <v>19257</v>
      </c>
    </row>
    <row r="966" spans="1:13" s="27" customFormat="1" ht="17.25" customHeight="1" x14ac:dyDescent="0.25">
      <c r="A966" s="28" t="s">
        <v>4</v>
      </c>
      <c r="B966" s="28">
        <v>1128476007</v>
      </c>
      <c r="C966" s="28" t="s">
        <v>25432</v>
      </c>
      <c r="D966" s="28" t="s">
        <v>25492</v>
      </c>
      <c r="E966" s="28" t="s">
        <v>25827</v>
      </c>
      <c r="F966" s="28"/>
      <c r="G966" s="28" t="s">
        <v>19229</v>
      </c>
      <c r="H966" s="28" t="s">
        <v>19240</v>
      </c>
      <c r="I966" s="30">
        <v>45418</v>
      </c>
      <c r="J966" s="30">
        <v>45418</v>
      </c>
      <c r="K966" s="53">
        <v>1</v>
      </c>
      <c r="L966" s="29"/>
      <c r="M966" s="27" t="s">
        <v>24991</v>
      </c>
    </row>
    <row r="967" spans="1:13" s="27" customFormat="1" ht="17.25" customHeight="1" x14ac:dyDescent="0.25">
      <c r="A967" s="28" t="s">
        <v>4</v>
      </c>
      <c r="B967" s="28">
        <v>15459459</v>
      </c>
      <c r="C967" s="28" t="s">
        <v>25410</v>
      </c>
      <c r="D967" s="28" t="s">
        <v>25015</v>
      </c>
      <c r="E967" s="28" t="s">
        <v>25019</v>
      </c>
      <c r="F967" s="28" t="s">
        <v>25051</v>
      </c>
      <c r="G967" s="28" t="s">
        <v>19229</v>
      </c>
      <c r="H967" s="28" t="s">
        <v>19238</v>
      </c>
      <c r="I967" s="30">
        <v>45419</v>
      </c>
      <c r="J967" s="30">
        <v>45426</v>
      </c>
      <c r="K967" s="53">
        <v>8</v>
      </c>
      <c r="L967" s="29"/>
      <c r="M967" s="27" t="s">
        <v>19257</v>
      </c>
    </row>
    <row r="968" spans="1:13" s="27" customFormat="1" ht="17.25" customHeight="1" x14ac:dyDescent="0.25">
      <c r="A968" s="28" t="s">
        <v>4</v>
      </c>
      <c r="B968" s="28">
        <v>11793045</v>
      </c>
      <c r="C968" s="28" t="s">
        <v>25238</v>
      </c>
      <c r="D968" s="28" t="s">
        <v>25238</v>
      </c>
      <c r="E968" s="28" t="s">
        <v>25239</v>
      </c>
      <c r="F968" s="28"/>
      <c r="G968" s="28" t="s">
        <v>19229</v>
      </c>
      <c r="H968" s="28" t="s">
        <v>19238</v>
      </c>
      <c r="I968" s="30">
        <v>45419</v>
      </c>
      <c r="J968" s="30">
        <v>45433</v>
      </c>
      <c r="K968" s="28">
        <v>15</v>
      </c>
      <c r="L968" s="29"/>
      <c r="M968" s="27" t="s">
        <v>19257</v>
      </c>
    </row>
    <row r="969" spans="1:13" s="27" customFormat="1" ht="17.25" customHeight="1" x14ac:dyDescent="0.25">
      <c r="A969" s="28" t="s">
        <v>4</v>
      </c>
      <c r="B969" s="28">
        <v>71685426</v>
      </c>
      <c r="C969" s="28" t="s">
        <v>25390</v>
      </c>
      <c r="D969" s="28" t="s">
        <v>25480</v>
      </c>
      <c r="E969" s="28" t="s">
        <v>26221</v>
      </c>
      <c r="F969" s="28" t="s">
        <v>25213</v>
      </c>
      <c r="G969" s="28" t="s">
        <v>19229</v>
      </c>
      <c r="H969" s="28" t="s">
        <v>19238</v>
      </c>
      <c r="I969" s="30">
        <v>45420</v>
      </c>
      <c r="J969" s="30">
        <v>45422</v>
      </c>
      <c r="K969" s="28">
        <v>8</v>
      </c>
      <c r="L969" s="29"/>
      <c r="M969" s="27" t="s">
        <v>19257</v>
      </c>
    </row>
    <row r="970" spans="1:13" s="27" customFormat="1" ht="17.25" customHeight="1" x14ac:dyDescent="0.25">
      <c r="A970" s="28" t="s">
        <v>4</v>
      </c>
      <c r="B970" s="28">
        <v>1073995732</v>
      </c>
      <c r="C970" s="28" t="s">
        <v>25370</v>
      </c>
      <c r="D970" s="28" t="s">
        <v>26100</v>
      </c>
      <c r="E970" s="28" t="s">
        <v>26053</v>
      </c>
      <c r="F970" s="28" t="s">
        <v>25442</v>
      </c>
      <c r="G970" s="28" t="s">
        <v>19229</v>
      </c>
      <c r="H970" s="28" t="s">
        <v>19238</v>
      </c>
      <c r="I970" s="30">
        <v>45421</v>
      </c>
      <c r="J970" s="30">
        <v>45435</v>
      </c>
      <c r="K970" s="28">
        <v>15</v>
      </c>
      <c r="L970" s="29"/>
      <c r="M970" s="27" t="s">
        <v>19257</v>
      </c>
    </row>
    <row r="971" spans="1:13" s="27" customFormat="1" ht="17.25" customHeight="1" x14ac:dyDescent="0.25">
      <c r="A971" s="28" t="s">
        <v>4</v>
      </c>
      <c r="B971" s="28">
        <v>1000088914</v>
      </c>
      <c r="C971" s="28" t="s">
        <v>26072</v>
      </c>
      <c r="D971" s="28" t="s">
        <v>25529</v>
      </c>
      <c r="E971" s="28" t="s">
        <v>26073</v>
      </c>
      <c r="F971" s="28" t="s">
        <v>25010</v>
      </c>
      <c r="G971" s="28" t="s">
        <v>19229</v>
      </c>
      <c r="H971" s="28" t="s">
        <v>19238</v>
      </c>
      <c r="I971" s="30">
        <v>45421</v>
      </c>
      <c r="J971" s="30">
        <v>45435</v>
      </c>
      <c r="K971" s="28">
        <v>15</v>
      </c>
      <c r="L971" s="29"/>
      <c r="M971" s="27" t="s">
        <v>19257</v>
      </c>
    </row>
    <row r="972" spans="1:13" s="27" customFormat="1" ht="17.25" customHeight="1" x14ac:dyDescent="0.25">
      <c r="A972" s="28" t="s">
        <v>4</v>
      </c>
      <c r="B972" s="28">
        <v>71175284</v>
      </c>
      <c r="C972" s="28" t="s">
        <v>25161</v>
      </c>
      <c r="D972" s="28" t="s">
        <v>25161</v>
      </c>
      <c r="E972" s="28" t="s">
        <v>25365</v>
      </c>
      <c r="F972" s="28" t="s">
        <v>25131</v>
      </c>
      <c r="G972" s="28" t="s">
        <v>19229</v>
      </c>
      <c r="H972" s="28" t="s">
        <v>19238</v>
      </c>
      <c r="I972" s="30">
        <v>45421</v>
      </c>
      <c r="J972" s="30">
        <v>45435</v>
      </c>
      <c r="K972" s="28">
        <v>15</v>
      </c>
      <c r="L972" s="29"/>
      <c r="M972" s="27" t="s">
        <v>19257</v>
      </c>
    </row>
    <row r="973" spans="1:13" s="27" customFormat="1" ht="17.25" customHeight="1" x14ac:dyDescent="0.25">
      <c r="A973" s="28" t="s">
        <v>4</v>
      </c>
      <c r="B973" s="28">
        <v>43117538</v>
      </c>
      <c r="C973" s="28" t="s">
        <v>25310</v>
      </c>
      <c r="D973" s="28" t="s">
        <v>25248</v>
      </c>
      <c r="E973" s="28" t="s">
        <v>24999</v>
      </c>
      <c r="F973" s="28" t="s">
        <v>25000</v>
      </c>
      <c r="G973" s="28" t="s">
        <v>19229</v>
      </c>
      <c r="H973" s="28" t="s">
        <v>19240</v>
      </c>
      <c r="I973" s="30">
        <v>45422</v>
      </c>
      <c r="J973" s="30">
        <v>45422</v>
      </c>
      <c r="K973" s="28">
        <v>1</v>
      </c>
      <c r="L973" s="29"/>
      <c r="M973" s="27" t="s">
        <v>25431</v>
      </c>
    </row>
    <row r="974" spans="1:13" s="27" customFormat="1" ht="17.25" customHeight="1" x14ac:dyDescent="0.25">
      <c r="A974" s="28" t="s">
        <v>4</v>
      </c>
      <c r="B974" s="28">
        <v>70470381</v>
      </c>
      <c r="C974" s="28" t="s">
        <v>25456</v>
      </c>
      <c r="D974" s="28" t="s">
        <v>26061</v>
      </c>
      <c r="E974" s="28" t="s">
        <v>25134</v>
      </c>
      <c r="F974" s="28" t="s">
        <v>25064</v>
      </c>
      <c r="G974" s="28" t="s">
        <v>19229</v>
      </c>
      <c r="H974" s="28" t="s">
        <v>19238</v>
      </c>
      <c r="I974" s="30">
        <v>45422</v>
      </c>
      <c r="J974" s="30">
        <v>45429</v>
      </c>
      <c r="K974" s="28">
        <v>8</v>
      </c>
      <c r="L974" s="29"/>
      <c r="M974" s="27" t="s">
        <v>19257</v>
      </c>
    </row>
    <row r="975" spans="1:13" s="27" customFormat="1" ht="17.25" customHeight="1" x14ac:dyDescent="0.25">
      <c r="A975" s="28" t="s">
        <v>4</v>
      </c>
      <c r="B975" s="28">
        <v>71685426</v>
      </c>
      <c r="C975" s="28" t="s">
        <v>25390</v>
      </c>
      <c r="D975" s="28" t="s">
        <v>25480</v>
      </c>
      <c r="E975" s="28" t="s">
        <v>26221</v>
      </c>
      <c r="F975" s="28" t="s">
        <v>25213</v>
      </c>
      <c r="G975" s="28" t="s">
        <v>19229</v>
      </c>
      <c r="H975" s="28" t="s">
        <v>19238</v>
      </c>
      <c r="I975" s="30">
        <v>45423</v>
      </c>
      <c r="J975" s="30">
        <v>45430</v>
      </c>
      <c r="K975" s="28">
        <v>8</v>
      </c>
      <c r="L975" s="29"/>
      <c r="M975" s="27" t="s">
        <v>19257</v>
      </c>
    </row>
    <row r="976" spans="1:13" s="27" customFormat="1" ht="17.25" customHeight="1" x14ac:dyDescent="0.25">
      <c r="A976" s="28" t="s">
        <v>4</v>
      </c>
      <c r="B976" s="28">
        <v>8463537</v>
      </c>
      <c r="C976" s="28" t="s">
        <v>25617</v>
      </c>
      <c r="D976" s="28" t="s">
        <v>25257</v>
      </c>
      <c r="E976" s="28" t="s">
        <v>26054</v>
      </c>
      <c r="F976" s="28" t="s">
        <v>26055</v>
      </c>
      <c r="G976" s="28" t="s">
        <v>19229</v>
      </c>
      <c r="H976" s="28" t="s">
        <v>19238</v>
      </c>
      <c r="I976" s="30">
        <v>45423</v>
      </c>
      <c r="J976" s="30">
        <v>45430</v>
      </c>
      <c r="K976" s="28">
        <v>8</v>
      </c>
      <c r="L976" s="29"/>
      <c r="M976" s="27" t="s">
        <v>19257</v>
      </c>
    </row>
    <row r="977" spans="1:13" s="27" customFormat="1" ht="17.25" customHeight="1" x14ac:dyDescent="0.25">
      <c r="A977" s="28" t="s">
        <v>4</v>
      </c>
      <c r="B977" s="28">
        <v>15526159</v>
      </c>
      <c r="C977" s="28" t="s">
        <v>25865</v>
      </c>
      <c r="D977" s="28" t="s">
        <v>25284</v>
      </c>
      <c r="E977" s="28" t="s">
        <v>25141</v>
      </c>
      <c r="F977" s="28" t="s">
        <v>25103</v>
      </c>
      <c r="G977" s="28" t="s">
        <v>19229</v>
      </c>
      <c r="H977" s="28" t="s">
        <v>19238</v>
      </c>
      <c r="I977" s="30">
        <v>45423</v>
      </c>
      <c r="J977" s="30">
        <v>45437</v>
      </c>
      <c r="K977" s="53">
        <v>15</v>
      </c>
      <c r="L977" s="29"/>
      <c r="M977" s="27" t="s">
        <v>19257</v>
      </c>
    </row>
    <row r="978" spans="1:13" s="27" customFormat="1" ht="17.25" customHeight="1" x14ac:dyDescent="0.25">
      <c r="A978" s="28" t="s">
        <v>4</v>
      </c>
      <c r="B978" s="28">
        <v>42731660</v>
      </c>
      <c r="C978" s="28" t="s">
        <v>25529</v>
      </c>
      <c r="D978" s="28" t="s">
        <v>25164</v>
      </c>
      <c r="E978" s="28" t="s">
        <v>25611</v>
      </c>
      <c r="F978" s="28" t="s">
        <v>26224</v>
      </c>
      <c r="G978" s="28" t="s">
        <v>19229</v>
      </c>
      <c r="H978" s="28" t="s">
        <v>19240</v>
      </c>
      <c r="I978" s="30">
        <v>45424</v>
      </c>
      <c r="J978" s="30">
        <v>45424</v>
      </c>
      <c r="K978" s="28">
        <v>1</v>
      </c>
      <c r="L978" s="29"/>
      <c r="M978" s="27" t="s">
        <v>25431</v>
      </c>
    </row>
    <row r="979" spans="1:13" s="27" customFormat="1" ht="17.25" customHeight="1" x14ac:dyDescent="0.25">
      <c r="A979" s="28" t="s">
        <v>4</v>
      </c>
      <c r="B979" s="28">
        <v>43323488</v>
      </c>
      <c r="C979" s="28" t="s">
        <v>25175</v>
      </c>
      <c r="D979" s="28"/>
      <c r="E979" s="28" t="s">
        <v>25698</v>
      </c>
      <c r="F979" s="28"/>
      <c r="G979" s="28" t="s">
        <v>19229</v>
      </c>
      <c r="H979" s="28" t="s">
        <v>19238</v>
      </c>
      <c r="I979" s="30">
        <v>45425</v>
      </c>
      <c r="J979" s="30">
        <v>45439</v>
      </c>
      <c r="K979" s="28">
        <v>15</v>
      </c>
      <c r="L979" s="29"/>
      <c r="M979" s="27" t="s">
        <v>19257</v>
      </c>
    </row>
    <row r="980" spans="1:13" s="27" customFormat="1" ht="17.25" customHeight="1" x14ac:dyDescent="0.25">
      <c r="A980" s="28" t="s">
        <v>4</v>
      </c>
      <c r="B980" s="28">
        <v>1003715555</v>
      </c>
      <c r="C980" s="28" t="s">
        <v>25497</v>
      </c>
      <c r="D980" s="28" t="s">
        <v>25111</v>
      </c>
      <c r="E980" s="28" t="s">
        <v>25664</v>
      </c>
      <c r="F980" s="28" t="s">
        <v>25135</v>
      </c>
      <c r="G980" s="28" t="s">
        <v>19229</v>
      </c>
      <c r="H980" s="28" t="s">
        <v>19238</v>
      </c>
      <c r="I980" s="30">
        <v>45426</v>
      </c>
      <c r="J980" s="30">
        <v>45440</v>
      </c>
      <c r="K980" s="28">
        <v>15</v>
      </c>
      <c r="L980" s="29"/>
      <c r="M980" s="27" t="s">
        <v>19257</v>
      </c>
    </row>
    <row r="981" spans="1:13" s="27" customFormat="1" ht="17.25" customHeight="1" x14ac:dyDescent="0.25">
      <c r="A981" s="28" t="s">
        <v>4</v>
      </c>
      <c r="B981" s="28">
        <v>11794362</v>
      </c>
      <c r="C981" s="28" t="s">
        <v>25863</v>
      </c>
      <c r="D981" s="28" t="s">
        <v>25238</v>
      </c>
      <c r="E981" s="28" t="s">
        <v>25864</v>
      </c>
      <c r="F981" s="28"/>
      <c r="G981" s="28" t="s">
        <v>19229</v>
      </c>
      <c r="H981" s="28" t="s">
        <v>19238</v>
      </c>
      <c r="I981" s="30">
        <v>45426</v>
      </c>
      <c r="J981" s="30">
        <v>45440</v>
      </c>
      <c r="K981" s="28">
        <v>15</v>
      </c>
      <c r="L981" s="29"/>
      <c r="M981" s="27" t="s">
        <v>19257</v>
      </c>
    </row>
    <row r="982" spans="1:13" s="27" customFormat="1" ht="17.25" customHeight="1" x14ac:dyDescent="0.25">
      <c r="A982" s="28" t="s">
        <v>4</v>
      </c>
      <c r="B982" s="28">
        <v>71684831</v>
      </c>
      <c r="C982" s="28" t="s">
        <v>25410</v>
      </c>
      <c r="D982" s="28"/>
      <c r="E982" s="28" t="s">
        <v>25798</v>
      </c>
      <c r="F982" s="28" t="s">
        <v>25919</v>
      </c>
      <c r="G982" s="28" t="s">
        <v>19229</v>
      </c>
      <c r="H982" s="28" t="s">
        <v>19239</v>
      </c>
      <c r="I982" s="30">
        <v>45427</v>
      </c>
      <c r="J982" s="30">
        <v>45429</v>
      </c>
      <c r="K982" s="28">
        <v>3</v>
      </c>
      <c r="L982" s="29">
        <v>10</v>
      </c>
      <c r="M982" s="27" t="s">
        <v>25911</v>
      </c>
    </row>
    <row r="983" spans="1:13" s="27" customFormat="1" ht="17.25" customHeight="1" x14ac:dyDescent="0.25">
      <c r="A983" s="28" t="s">
        <v>4</v>
      </c>
      <c r="B983" s="28">
        <v>1214744146</v>
      </c>
      <c r="C983" s="28" t="s">
        <v>24998</v>
      </c>
      <c r="D983" s="28" t="s">
        <v>19258</v>
      </c>
      <c r="E983" s="28" t="s">
        <v>25028</v>
      </c>
      <c r="F983" s="28" t="s">
        <v>25010</v>
      </c>
      <c r="G983" s="28" t="s">
        <v>19229</v>
      </c>
      <c r="H983" s="28" t="s">
        <v>19238</v>
      </c>
      <c r="I983" s="30">
        <v>45427</v>
      </c>
      <c r="J983" s="30">
        <v>45441</v>
      </c>
      <c r="K983" s="53">
        <v>15</v>
      </c>
      <c r="L983" s="29"/>
      <c r="M983" s="27" t="s">
        <v>19257</v>
      </c>
    </row>
    <row r="984" spans="1:13" s="27" customFormat="1" ht="17.25" customHeight="1" x14ac:dyDescent="0.25">
      <c r="A984" s="28" t="s">
        <v>4</v>
      </c>
      <c r="B984" s="28">
        <v>98595783</v>
      </c>
      <c r="C984" s="28" t="s">
        <v>25403</v>
      </c>
      <c r="D984" s="28" t="s">
        <v>24983</v>
      </c>
      <c r="E984" s="28" t="s">
        <v>25150</v>
      </c>
      <c r="F984" s="28" t="s">
        <v>26215</v>
      </c>
      <c r="G984" s="28" t="s">
        <v>19229</v>
      </c>
      <c r="H984" s="28" t="s">
        <v>19239</v>
      </c>
      <c r="I984" s="30">
        <v>45428</v>
      </c>
      <c r="J984" s="30">
        <v>45430</v>
      </c>
      <c r="K984" s="28">
        <v>3</v>
      </c>
      <c r="L984" s="29">
        <v>10</v>
      </c>
      <c r="M984" s="27" t="s">
        <v>25036</v>
      </c>
    </row>
    <row r="985" spans="1:13" s="27" customFormat="1" ht="17.25" customHeight="1" x14ac:dyDescent="0.25">
      <c r="A985" s="28" t="s">
        <v>4</v>
      </c>
      <c r="B985" s="28">
        <v>14572160</v>
      </c>
      <c r="C985" s="28" t="s">
        <v>25073</v>
      </c>
      <c r="D985" s="28" t="s">
        <v>25756</v>
      </c>
      <c r="E985" s="28" t="s">
        <v>25522</v>
      </c>
      <c r="F985" s="28" t="s">
        <v>25135</v>
      </c>
      <c r="G985" s="28" t="s">
        <v>19229</v>
      </c>
      <c r="H985" s="28" t="s">
        <v>19238</v>
      </c>
      <c r="I985" s="30">
        <v>45428</v>
      </c>
      <c r="J985" s="30">
        <v>45435</v>
      </c>
      <c r="K985" s="28">
        <v>8</v>
      </c>
      <c r="L985" s="29"/>
      <c r="M985" s="27" t="s">
        <v>19257</v>
      </c>
    </row>
    <row r="986" spans="1:13" s="27" customFormat="1" ht="17.25" customHeight="1" x14ac:dyDescent="0.25">
      <c r="A986" s="28" t="s">
        <v>4</v>
      </c>
      <c r="B986" s="28">
        <v>98500553</v>
      </c>
      <c r="C986" s="28" t="s">
        <v>25353</v>
      </c>
      <c r="D986" s="28" t="s">
        <v>25177</v>
      </c>
      <c r="E986" s="28" t="s">
        <v>25359</v>
      </c>
      <c r="F986" s="28" t="s">
        <v>24986</v>
      </c>
      <c r="G986" s="28" t="s">
        <v>19229</v>
      </c>
      <c r="H986" s="28" t="s">
        <v>19240</v>
      </c>
      <c r="I986" s="30">
        <v>45430</v>
      </c>
      <c r="J986" s="30">
        <v>45431</v>
      </c>
      <c r="K986" s="28">
        <v>2</v>
      </c>
      <c r="L986" s="29"/>
      <c r="M986" s="27" t="s">
        <v>25431</v>
      </c>
    </row>
    <row r="987" spans="1:13" s="27" customFormat="1" ht="17.25" customHeight="1" x14ac:dyDescent="0.25">
      <c r="A987" s="28" t="s">
        <v>4</v>
      </c>
      <c r="B987" s="28">
        <v>71681831</v>
      </c>
      <c r="C987" s="28" t="s">
        <v>25410</v>
      </c>
      <c r="D987" s="28"/>
      <c r="E987" s="28" t="s">
        <v>25430</v>
      </c>
      <c r="F987" s="28" t="s">
        <v>25919</v>
      </c>
      <c r="G987" s="28" t="s">
        <v>19229</v>
      </c>
      <c r="H987" s="28" t="s">
        <v>19238</v>
      </c>
      <c r="I987" s="30">
        <v>45430</v>
      </c>
      <c r="J987" s="30">
        <v>45437</v>
      </c>
      <c r="K987" s="53">
        <v>8</v>
      </c>
      <c r="L987" s="29"/>
      <c r="M987" s="27" t="s">
        <v>19257</v>
      </c>
    </row>
    <row r="988" spans="1:13" s="27" customFormat="1" ht="17.25" customHeight="1" x14ac:dyDescent="0.25">
      <c r="A988" s="28" t="s">
        <v>4</v>
      </c>
      <c r="B988" s="28">
        <v>8463537</v>
      </c>
      <c r="C988" s="28" t="s">
        <v>25617</v>
      </c>
      <c r="D988" s="28" t="s">
        <v>25257</v>
      </c>
      <c r="E988" s="28" t="s">
        <v>26054</v>
      </c>
      <c r="F988" s="28" t="s">
        <v>26055</v>
      </c>
      <c r="G988" s="28" t="s">
        <v>19229</v>
      </c>
      <c r="H988" s="28" t="s">
        <v>19238</v>
      </c>
      <c r="I988" s="30">
        <v>45431</v>
      </c>
      <c r="J988" s="30">
        <v>45438</v>
      </c>
      <c r="K988" s="28">
        <v>8</v>
      </c>
      <c r="L988" s="29"/>
      <c r="M988" s="27" t="s">
        <v>19257</v>
      </c>
    </row>
    <row r="989" spans="1:13" s="27" customFormat="1" ht="17.25" customHeight="1" x14ac:dyDescent="0.25">
      <c r="A989" s="28" t="s">
        <v>4</v>
      </c>
      <c r="B989" s="28">
        <v>71393487</v>
      </c>
      <c r="C989" s="28" t="s">
        <v>25174</v>
      </c>
      <c r="D989" s="28" t="s">
        <v>25572</v>
      </c>
      <c r="E989" s="28" t="s">
        <v>25573</v>
      </c>
      <c r="F989" s="28" t="s">
        <v>25574</v>
      </c>
      <c r="G989" s="28" t="s">
        <v>19229</v>
      </c>
      <c r="H989" s="28" t="s">
        <v>19238</v>
      </c>
      <c r="I989" s="30">
        <v>45431</v>
      </c>
      <c r="J989" s="30">
        <v>45445</v>
      </c>
      <c r="K989" s="28">
        <v>15</v>
      </c>
      <c r="L989" s="29"/>
      <c r="M989" s="27" t="s">
        <v>19257</v>
      </c>
    </row>
    <row r="990" spans="1:13" s="27" customFormat="1" ht="17.25" customHeight="1" x14ac:dyDescent="0.25">
      <c r="A990" s="28" t="s">
        <v>4</v>
      </c>
      <c r="B990" s="28">
        <v>12970483</v>
      </c>
      <c r="C990" s="28" t="s">
        <v>24980</v>
      </c>
      <c r="D990" s="28" t="s">
        <v>25052</v>
      </c>
      <c r="E990" s="28" t="s">
        <v>26220</v>
      </c>
      <c r="F990" s="28"/>
      <c r="G990" s="28" t="s">
        <v>19229</v>
      </c>
      <c r="H990" s="28" t="s">
        <v>19238</v>
      </c>
      <c r="I990" s="30">
        <v>45431</v>
      </c>
      <c r="J990" s="30">
        <v>45439</v>
      </c>
      <c r="K990" s="28">
        <v>15</v>
      </c>
      <c r="L990" s="29"/>
      <c r="M990" s="27" t="s">
        <v>19257</v>
      </c>
    </row>
    <row r="991" spans="1:13" s="27" customFormat="1" ht="17.25" customHeight="1" x14ac:dyDescent="0.25">
      <c r="A991" s="28" t="s">
        <v>4</v>
      </c>
      <c r="B991" s="28">
        <v>1214715085</v>
      </c>
      <c r="C991" s="28" t="s">
        <v>25061</v>
      </c>
      <c r="D991" s="28" t="s">
        <v>25015</v>
      </c>
      <c r="E991" s="28" t="s">
        <v>6</v>
      </c>
      <c r="F991" s="28" t="s">
        <v>25413</v>
      </c>
      <c r="G991" s="28" t="s">
        <v>19229</v>
      </c>
      <c r="H991" s="28" t="s">
        <v>19238</v>
      </c>
      <c r="I991" s="30">
        <v>45431</v>
      </c>
      <c r="J991" s="30">
        <v>45445</v>
      </c>
      <c r="K991" s="53">
        <v>15</v>
      </c>
      <c r="L991" s="29"/>
      <c r="M991" s="27" t="s">
        <v>19257</v>
      </c>
    </row>
    <row r="992" spans="1:13" s="27" customFormat="1" ht="17.25" customHeight="1" x14ac:dyDescent="0.25">
      <c r="A992" s="28" t="s">
        <v>4</v>
      </c>
      <c r="B992" s="28">
        <v>93472217</v>
      </c>
      <c r="C992" s="28" t="s">
        <v>25410</v>
      </c>
      <c r="D992" s="28" t="s">
        <v>25109</v>
      </c>
      <c r="E992" s="28" t="s">
        <v>25183</v>
      </c>
      <c r="F992" s="28" t="s">
        <v>25028</v>
      </c>
      <c r="G992" s="28" t="s">
        <v>19229</v>
      </c>
      <c r="H992" s="28" t="s">
        <v>19238</v>
      </c>
      <c r="I992" s="30">
        <v>45432</v>
      </c>
      <c r="J992" s="30">
        <v>45446</v>
      </c>
      <c r="K992" s="28">
        <v>15</v>
      </c>
      <c r="L992" s="29"/>
      <c r="M992" s="27" t="s">
        <v>19257</v>
      </c>
    </row>
    <row r="993" spans="1:13" s="27" customFormat="1" ht="17.25" customHeight="1" x14ac:dyDescent="0.25">
      <c r="A993" s="28" t="s">
        <v>4</v>
      </c>
      <c r="B993" s="28">
        <v>98493617</v>
      </c>
      <c r="C993" s="28" t="s">
        <v>25109</v>
      </c>
      <c r="D993" s="28" t="s">
        <v>25497</v>
      </c>
      <c r="E993" s="28" t="s">
        <v>25188</v>
      </c>
      <c r="F993" s="28" t="s">
        <v>25064</v>
      </c>
      <c r="G993" s="28" t="s">
        <v>19229</v>
      </c>
      <c r="H993" s="28" t="s">
        <v>19238</v>
      </c>
      <c r="I993" s="30">
        <v>45432</v>
      </c>
      <c r="J993" s="30">
        <v>45446</v>
      </c>
      <c r="K993" s="28">
        <v>15</v>
      </c>
      <c r="L993" s="29"/>
      <c r="M993" s="27" t="s">
        <v>19257</v>
      </c>
    </row>
    <row r="994" spans="1:13" s="27" customFormat="1" ht="17.25" customHeight="1" x14ac:dyDescent="0.25">
      <c r="A994" s="28" t="s">
        <v>4</v>
      </c>
      <c r="B994" s="28">
        <v>71020088</v>
      </c>
      <c r="C994" s="28" t="s">
        <v>25815</v>
      </c>
      <c r="D994" s="28" t="s">
        <v>25816</v>
      </c>
      <c r="E994" s="28" t="s">
        <v>25396</v>
      </c>
      <c r="F994" s="28" t="s">
        <v>25103</v>
      </c>
      <c r="G994" s="28" t="s">
        <v>19229</v>
      </c>
      <c r="H994" s="28" t="s">
        <v>19238</v>
      </c>
      <c r="I994" s="30">
        <v>45432</v>
      </c>
      <c r="J994" s="30">
        <v>45446</v>
      </c>
      <c r="K994" s="53">
        <v>15</v>
      </c>
      <c r="L994" s="29"/>
      <c r="M994" s="27" t="s">
        <v>19257</v>
      </c>
    </row>
    <row r="995" spans="1:13" s="27" customFormat="1" ht="17.25" customHeight="1" x14ac:dyDescent="0.25">
      <c r="A995" s="28" t="s">
        <v>4</v>
      </c>
      <c r="B995" s="28" t="s">
        <v>25216</v>
      </c>
      <c r="C995" s="28" t="s">
        <v>25459</v>
      </c>
      <c r="D995" s="28" t="s">
        <v>25676</v>
      </c>
      <c r="E995" s="28" t="s">
        <v>25648</v>
      </c>
      <c r="F995" s="28"/>
      <c r="G995" s="28" t="s">
        <v>19229</v>
      </c>
      <c r="H995" s="28" t="s">
        <v>19238</v>
      </c>
      <c r="I995" s="30">
        <v>45432</v>
      </c>
      <c r="J995" s="30">
        <v>45437</v>
      </c>
      <c r="K995" s="53">
        <v>6</v>
      </c>
      <c r="L995" s="29"/>
      <c r="M995" s="27" t="s">
        <v>19257</v>
      </c>
    </row>
    <row r="996" spans="1:13" s="27" customFormat="1" ht="17.25" customHeight="1" x14ac:dyDescent="0.25">
      <c r="A996" s="28" t="s">
        <v>4</v>
      </c>
      <c r="B996" s="28">
        <v>10194451</v>
      </c>
      <c r="C996" s="28" t="s">
        <v>26222</v>
      </c>
      <c r="D996" s="28" t="s">
        <v>25272</v>
      </c>
      <c r="E996" s="28" t="s">
        <v>25807</v>
      </c>
      <c r="F996" s="28" t="s">
        <v>25135</v>
      </c>
      <c r="G996" s="28" t="s">
        <v>19229</v>
      </c>
      <c r="H996" s="28" t="s">
        <v>19238</v>
      </c>
      <c r="I996" s="30">
        <v>45432</v>
      </c>
      <c r="J996" s="30">
        <v>45444</v>
      </c>
      <c r="K996" s="28">
        <v>15</v>
      </c>
      <c r="L996" s="29"/>
      <c r="M996" s="27" t="s">
        <v>19257</v>
      </c>
    </row>
    <row r="997" spans="1:13" s="27" customFormat="1" ht="17.25" customHeight="1" x14ac:dyDescent="0.25">
      <c r="A997" s="28" t="s">
        <v>4</v>
      </c>
      <c r="B997" s="28">
        <v>91324977</v>
      </c>
      <c r="C997" s="28" t="s">
        <v>26227</v>
      </c>
      <c r="D997" s="28" t="s">
        <v>26186</v>
      </c>
      <c r="E997" s="28" t="s">
        <v>26187</v>
      </c>
      <c r="F997" s="28"/>
      <c r="G997" s="28" t="s">
        <v>19229</v>
      </c>
      <c r="H997" s="28" t="s">
        <v>19239</v>
      </c>
      <c r="I997" s="30">
        <v>45432</v>
      </c>
      <c r="J997" s="30">
        <v>45436</v>
      </c>
      <c r="K997" s="53">
        <v>5</v>
      </c>
      <c r="L997" s="29">
        <v>22</v>
      </c>
      <c r="M997" s="27" t="s">
        <v>25036</v>
      </c>
    </row>
    <row r="998" spans="1:13" s="27" customFormat="1" ht="17.25" customHeight="1" x14ac:dyDescent="0.25">
      <c r="A998" s="28" t="s">
        <v>4</v>
      </c>
      <c r="B998" s="28">
        <v>11793045</v>
      </c>
      <c r="C998" s="28" t="s">
        <v>25238</v>
      </c>
      <c r="D998" s="28" t="s">
        <v>25238</v>
      </c>
      <c r="E998" s="28" t="s">
        <v>25239</v>
      </c>
      <c r="F998" s="28"/>
      <c r="G998" s="28" t="s">
        <v>19229</v>
      </c>
      <c r="H998" s="28" t="s">
        <v>19238</v>
      </c>
      <c r="I998" s="30">
        <v>45434</v>
      </c>
      <c r="J998" s="30">
        <v>45448</v>
      </c>
      <c r="K998" s="28">
        <v>15</v>
      </c>
      <c r="L998" s="29"/>
      <c r="M998" s="27" t="s">
        <v>19257</v>
      </c>
    </row>
    <row r="999" spans="1:13" s="27" customFormat="1" ht="17.25" customHeight="1" x14ac:dyDescent="0.25">
      <c r="A999" s="28" t="s">
        <v>4</v>
      </c>
      <c r="B999" s="28">
        <v>15459418</v>
      </c>
      <c r="C999" s="28" t="s">
        <v>25338</v>
      </c>
      <c r="D999" s="28" t="s">
        <v>25806</v>
      </c>
      <c r="E999" s="28" t="s">
        <v>25183</v>
      </c>
      <c r="F999" s="28" t="s">
        <v>25640</v>
      </c>
      <c r="G999" s="28" t="s">
        <v>19229</v>
      </c>
      <c r="H999" s="28" t="s">
        <v>19238</v>
      </c>
      <c r="I999" s="30">
        <v>45434</v>
      </c>
      <c r="J999" s="30">
        <v>45448</v>
      </c>
      <c r="K999" s="28">
        <v>15</v>
      </c>
      <c r="L999" s="29"/>
      <c r="M999" s="27" t="s">
        <v>19257</v>
      </c>
    </row>
    <row r="1000" spans="1:13" s="27" customFormat="1" ht="17.25" customHeight="1" x14ac:dyDescent="0.25">
      <c r="A1000" s="28" t="s">
        <v>4</v>
      </c>
      <c r="B1000" s="28">
        <v>1152711359</v>
      </c>
      <c r="C1000" s="28" t="s">
        <v>25147</v>
      </c>
      <c r="D1000" s="28" t="s">
        <v>25053</v>
      </c>
      <c r="E1000" s="28" t="s">
        <v>25148</v>
      </c>
      <c r="F1000" s="28"/>
      <c r="G1000" s="28" t="s">
        <v>19229</v>
      </c>
      <c r="H1000" s="28" t="s">
        <v>19240</v>
      </c>
      <c r="I1000" s="30">
        <v>45434</v>
      </c>
      <c r="J1000" s="30">
        <v>45435</v>
      </c>
      <c r="K1000" s="53">
        <v>2</v>
      </c>
      <c r="L1000" s="29"/>
      <c r="M1000" s="27" t="s">
        <v>24991</v>
      </c>
    </row>
    <row r="1001" spans="1:13" s="27" customFormat="1" ht="17.25" customHeight="1" x14ac:dyDescent="0.25">
      <c r="A1001" s="28" t="s">
        <v>4</v>
      </c>
      <c r="B1001" s="28">
        <v>98527150</v>
      </c>
      <c r="C1001" s="28" t="s">
        <v>25677</v>
      </c>
      <c r="D1001" s="28" t="s">
        <v>25248</v>
      </c>
      <c r="E1001" s="28" t="s">
        <v>25102</v>
      </c>
      <c r="F1001" s="28" t="s">
        <v>25020</v>
      </c>
      <c r="G1001" s="28" t="s">
        <v>19229</v>
      </c>
      <c r="H1001" s="28" t="s">
        <v>19238</v>
      </c>
      <c r="I1001" s="30">
        <v>45434</v>
      </c>
      <c r="J1001" s="30">
        <v>45448</v>
      </c>
      <c r="K1001" s="53">
        <v>15</v>
      </c>
      <c r="L1001" s="29"/>
      <c r="M1001" s="27" t="s">
        <v>19257</v>
      </c>
    </row>
    <row r="1002" spans="1:13" s="27" customFormat="1" ht="17.25" customHeight="1" x14ac:dyDescent="0.25">
      <c r="A1002" s="28" t="s">
        <v>4</v>
      </c>
      <c r="B1002" s="28">
        <v>71772218</v>
      </c>
      <c r="C1002" s="28" t="s">
        <v>19258</v>
      </c>
      <c r="D1002" s="28" t="s">
        <v>25224</v>
      </c>
      <c r="E1002" s="28" t="s">
        <v>25725</v>
      </c>
      <c r="F1002" s="28" t="s">
        <v>25135</v>
      </c>
      <c r="G1002" s="28" t="s">
        <v>19229</v>
      </c>
      <c r="H1002" s="28" t="s">
        <v>19238</v>
      </c>
      <c r="I1002" s="30">
        <v>45434</v>
      </c>
      <c r="J1002" s="30">
        <v>45448</v>
      </c>
      <c r="K1002" s="53">
        <v>15</v>
      </c>
      <c r="L1002" s="29"/>
      <c r="M1002" s="27" t="s">
        <v>19257</v>
      </c>
    </row>
    <row r="1003" spans="1:13" s="27" customFormat="1" ht="17.25" customHeight="1" x14ac:dyDescent="0.25">
      <c r="A1003" s="28" t="s">
        <v>4</v>
      </c>
      <c r="B1003" s="28">
        <v>71652357</v>
      </c>
      <c r="C1003" s="28" t="s">
        <v>25117</v>
      </c>
      <c r="D1003" s="28" t="s">
        <v>25118</v>
      </c>
      <c r="E1003" s="28" t="s">
        <v>25119</v>
      </c>
      <c r="F1003" s="28" t="s">
        <v>25004</v>
      </c>
      <c r="G1003" s="28" t="s">
        <v>19229</v>
      </c>
      <c r="H1003" s="28" t="s">
        <v>19238</v>
      </c>
      <c r="I1003" s="30">
        <v>45436</v>
      </c>
      <c r="J1003" s="30">
        <v>45450</v>
      </c>
      <c r="K1003" s="53">
        <v>15</v>
      </c>
      <c r="L1003" s="29"/>
      <c r="M1003" s="27" t="s">
        <v>19257</v>
      </c>
    </row>
    <row r="1004" spans="1:13" s="27" customFormat="1" ht="17.25" customHeight="1" x14ac:dyDescent="0.25">
      <c r="A1004" s="28" t="s">
        <v>4</v>
      </c>
      <c r="B1004" s="28">
        <v>1003339120</v>
      </c>
      <c r="C1004" s="28" t="s">
        <v>25406</v>
      </c>
      <c r="D1004" s="28" t="s">
        <v>25407</v>
      </c>
      <c r="E1004" s="28" t="s">
        <v>25408</v>
      </c>
      <c r="F1004" s="28" t="s">
        <v>25056</v>
      </c>
      <c r="G1004" s="28" t="s">
        <v>19229</v>
      </c>
      <c r="H1004" s="28" t="s">
        <v>19240</v>
      </c>
      <c r="I1004" s="30">
        <v>45436</v>
      </c>
      <c r="J1004" s="30">
        <v>45436</v>
      </c>
      <c r="K1004" s="53">
        <v>1</v>
      </c>
      <c r="L1004" s="29"/>
      <c r="M1004" s="27" t="s">
        <v>24991</v>
      </c>
    </row>
    <row r="1005" spans="1:13" s="27" customFormat="1" ht="17.25" customHeight="1" x14ac:dyDescent="0.25">
      <c r="A1005" s="28" t="s">
        <v>4</v>
      </c>
      <c r="B1005" s="28">
        <v>43918754</v>
      </c>
      <c r="C1005" s="28" t="s">
        <v>25480</v>
      </c>
      <c r="D1005" s="28" t="s">
        <v>24983</v>
      </c>
      <c r="E1005" s="28" t="s">
        <v>25165</v>
      </c>
      <c r="F1005" s="28" t="s">
        <v>26091</v>
      </c>
      <c r="G1005" s="28" t="s">
        <v>19229</v>
      </c>
      <c r="H1005" s="28" t="s">
        <v>19240</v>
      </c>
      <c r="I1005" s="30">
        <v>45436</v>
      </c>
      <c r="J1005" s="30">
        <v>45436</v>
      </c>
      <c r="K1005" s="53">
        <v>1</v>
      </c>
      <c r="L1005" s="29"/>
      <c r="M1005" s="27" t="s">
        <v>24991</v>
      </c>
    </row>
    <row r="1006" spans="1:13" s="27" customFormat="1" ht="17.25" customHeight="1" x14ac:dyDescent="0.25">
      <c r="A1006" s="28" t="s">
        <v>4</v>
      </c>
      <c r="B1006" s="28">
        <v>71681831</v>
      </c>
      <c r="C1006" s="28" t="s">
        <v>25410</v>
      </c>
      <c r="D1006" s="28"/>
      <c r="E1006" s="28" t="s">
        <v>25430</v>
      </c>
      <c r="F1006" s="28" t="s">
        <v>25919</v>
      </c>
      <c r="G1006" s="28" t="s">
        <v>19229</v>
      </c>
      <c r="H1006" s="28" t="s">
        <v>19238</v>
      </c>
      <c r="I1006" s="30">
        <v>45438</v>
      </c>
      <c r="J1006" s="30">
        <v>45448</v>
      </c>
      <c r="K1006" s="28">
        <v>8</v>
      </c>
      <c r="L1006" s="29"/>
      <c r="M1006" s="27" t="s">
        <v>19257</v>
      </c>
    </row>
    <row r="1007" spans="1:13" s="27" customFormat="1" ht="17.25" customHeight="1" x14ac:dyDescent="0.25">
      <c r="A1007" s="28" t="s">
        <v>4</v>
      </c>
      <c r="B1007" s="28">
        <v>98581940</v>
      </c>
      <c r="C1007" s="28" t="s">
        <v>25200</v>
      </c>
      <c r="D1007" s="28" t="s">
        <v>25065</v>
      </c>
      <c r="E1007" s="28" t="s">
        <v>25637</v>
      </c>
      <c r="F1007" s="28" t="s">
        <v>25020</v>
      </c>
      <c r="G1007" s="28" t="s">
        <v>19229</v>
      </c>
      <c r="H1007" s="28" t="s">
        <v>19240</v>
      </c>
      <c r="I1007" s="30">
        <v>45438</v>
      </c>
      <c r="J1007" s="30">
        <v>45442</v>
      </c>
      <c r="K1007" s="53">
        <v>5</v>
      </c>
      <c r="L1007" s="29"/>
      <c r="M1007" s="27" t="s">
        <v>24991</v>
      </c>
    </row>
    <row r="1008" spans="1:13" s="27" customFormat="1" ht="17.25" customHeight="1" x14ac:dyDescent="0.25">
      <c r="A1008" s="28" t="s">
        <v>4</v>
      </c>
      <c r="B1008" s="28">
        <v>15526159</v>
      </c>
      <c r="C1008" s="28" t="s">
        <v>25865</v>
      </c>
      <c r="D1008" s="28" t="s">
        <v>25284</v>
      </c>
      <c r="E1008" s="28" t="s">
        <v>25141</v>
      </c>
      <c r="F1008" s="28" t="s">
        <v>25103</v>
      </c>
      <c r="G1008" s="28" t="s">
        <v>19229</v>
      </c>
      <c r="H1008" s="28" t="s">
        <v>19238</v>
      </c>
      <c r="I1008" s="30">
        <v>45439</v>
      </c>
      <c r="J1008" s="30">
        <v>45446</v>
      </c>
      <c r="K1008" s="53">
        <v>8</v>
      </c>
      <c r="L1008" s="29"/>
      <c r="M1008" s="27" t="s">
        <v>19257</v>
      </c>
    </row>
    <row r="1009" spans="1:17" s="27" customFormat="1" ht="17.25" customHeight="1" x14ac:dyDescent="0.25">
      <c r="A1009" s="28" t="s">
        <v>4</v>
      </c>
      <c r="B1009" s="28">
        <v>8463537</v>
      </c>
      <c r="C1009" s="28" t="s">
        <v>25617</v>
      </c>
      <c r="D1009" s="28" t="s">
        <v>25257</v>
      </c>
      <c r="E1009" s="28" t="s">
        <v>26054</v>
      </c>
      <c r="F1009" s="28" t="s">
        <v>26055</v>
      </c>
      <c r="G1009" s="28" t="s">
        <v>19229</v>
      </c>
      <c r="H1009" s="28" t="s">
        <v>19238</v>
      </c>
      <c r="I1009" s="30">
        <v>45440</v>
      </c>
      <c r="J1009" s="30">
        <v>45447</v>
      </c>
      <c r="K1009" s="53">
        <v>8</v>
      </c>
      <c r="L1009" s="29"/>
      <c r="M1009" s="27" t="s">
        <v>19257</v>
      </c>
    </row>
    <row r="1010" spans="1:17" s="27" customFormat="1" ht="17.25" customHeight="1" x14ac:dyDescent="0.25">
      <c r="A1010" s="28" t="s">
        <v>4</v>
      </c>
      <c r="B1010" s="28">
        <v>91435066</v>
      </c>
      <c r="C1010" s="28" t="s">
        <v>25509</v>
      </c>
      <c r="D1010" s="28" t="s">
        <v>25510</v>
      </c>
      <c r="E1010" s="28" t="s">
        <v>25056</v>
      </c>
      <c r="F1010" s="28" t="s">
        <v>25308</v>
      </c>
      <c r="G1010" s="28" t="s">
        <v>19229</v>
      </c>
      <c r="H1010" s="28" t="s">
        <v>19238</v>
      </c>
      <c r="I1010" s="30">
        <v>45440</v>
      </c>
      <c r="J1010" s="30">
        <v>45454</v>
      </c>
      <c r="K1010" s="53">
        <v>15</v>
      </c>
      <c r="L1010" s="29"/>
      <c r="M1010" s="27" t="s">
        <v>19257</v>
      </c>
    </row>
    <row r="1011" spans="1:17" s="27" customFormat="1" ht="17.25" customHeight="1" x14ac:dyDescent="0.25">
      <c r="A1011" s="28" t="s">
        <v>4</v>
      </c>
      <c r="B1011" s="28">
        <v>98638429</v>
      </c>
      <c r="C1011" s="28" t="s">
        <v>25459</v>
      </c>
      <c r="D1011" s="28"/>
      <c r="E1011" s="28" t="s">
        <v>25168</v>
      </c>
      <c r="F1011" s="28" t="s">
        <v>25625</v>
      </c>
      <c r="G1011" s="28" t="s">
        <v>19229</v>
      </c>
      <c r="H1011" s="28" t="s">
        <v>19238</v>
      </c>
      <c r="I1011" s="30">
        <v>45440</v>
      </c>
      <c r="J1011" s="30">
        <v>45447</v>
      </c>
      <c r="K1011" s="53">
        <v>8</v>
      </c>
      <c r="L1011" s="29"/>
      <c r="M1011" s="27" t="s">
        <v>19257</v>
      </c>
    </row>
    <row r="1012" spans="1:17" s="27" customFormat="1" ht="17.25" customHeight="1" x14ac:dyDescent="0.25">
      <c r="A1012" s="28" t="s">
        <v>4</v>
      </c>
      <c r="B1012" s="28">
        <v>1037388900</v>
      </c>
      <c r="C1012" s="28" t="s">
        <v>25065</v>
      </c>
      <c r="D1012" s="28"/>
      <c r="E1012" s="28" t="s">
        <v>25183</v>
      </c>
      <c r="F1012" s="28" t="s">
        <v>25177</v>
      </c>
      <c r="G1012" s="28" t="s">
        <v>19229</v>
      </c>
      <c r="H1012" s="28" t="s">
        <v>19240</v>
      </c>
      <c r="I1012" s="30">
        <v>45441</v>
      </c>
      <c r="J1012" s="30">
        <v>45441</v>
      </c>
      <c r="K1012" s="53">
        <v>1</v>
      </c>
      <c r="L1012" s="29"/>
      <c r="M1012" s="27" t="s">
        <v>24991</v>
      </c>
    </row>
    <row r="1013" spans="1:17" s="27" customFormat="1" ht="17.25" customHeight="1" x14ac:dyDescent="0.25">
      <c r="A1013" s="28" t="s">
        <v>4</v>
      </c>
      <c r="B1013" s="28">
        <v>1035303873</v>
      </c>
      <c r="C1013" s="28" t="s">
        <v>25454</v>
      </c>
      <c r="D1013" s="28" t="s">
        <v>25588</v>
      </c>
      <c r="E1013" s="28" t="s">
        <v>25760</v>
      </c>
      <c r="F1013" s="28" t="s">
        <v>25010</v>
      </c>
      <c r="G1013" s="28" t="s">
        <v>19229</v>
      </c>
      <c r="H1013" s="28" t="s">
        <v>19240</v>
      </c>
      <c r="I1013" s="30">
        <v>45443</v>
      </c>
      <c r="J1013" s="30">
        <v>45322</v>
      </c>
      <c r="K1013" s="53">
        <v>1</v>
      </c>
      <c r="L1013" s="29"/>
      <c r="M1013" s="27" t="s">
        <v>24991</v>
      </c>
    </row>
    <row r="1014" spans="1:17" s="27" customFormat="1" ht="17.25" customHeight="1" x14ac:dyDescent="0.25">
      <c r="A1014" s="28" t="s">
        <v>4</v>
      </c>
      <c r="B1014" s="28">
        <v>15262616</v>
      </c>
      <c r="C1014" s="28" t="s">
        <v>25114</v>
      </c>
      <c r="D1014" s="28" t="s">
        <v>25403</v>
      </c>
      <c r="E1014" s="28" t="s">
        <v>25203</v>
      </c>
      <c r="F1014" s="28" t="s">
        <v>25005</v>
      </c>
      <c r="G1014" s="28" t="s">
        <v>19229</v>
      </c>
      <c r="H1014" s="28" t="s">
        <v>19239</v>
      </c>
      <c r="I1014" s="30">
        <v>45443</v>
      </c>
      <c r="J1014" s="30">
        <v>45445</v>
      </c>
      <c r="K1014" s="53">
        <v>5</v>
      </c>
      <c r="L1014" s="29">
        <v>24</v>
      </c>
      <c r="M1014" s="27" t="s">
        <v>25036</v>
      </c>
    </row>
    <row r="1015" spans="1:17" s="27" customFormat="1" ht="17.25" customHeight="1" x14ac:dyDescent="0.25">
      <c r="A1015" s="28" t="s">
        <v>5</v>
      </c>
      <c r="B1015" s="28">
        <v>8409118</v>
      </c>
      <c r="C1015" s="28" t="s">
        <v>25053</v>
      </c>
      <c r="D1015" s="28" t="s">
        <v>25429</v>
      </c>
      <c r="E1015" s="28" t="s">
        <v>25442</v>
      </c>
      <c r="F1015" s="28" t="s">
        <v>25193</v>
      </c>
      <c r="G1015" s="28" t="s">
        <v>19229</v>
      </c>
      <c r="H1015" s="28" t="s">
        <v>19240</v>
      </c>
      <c r="I1015" s="30">
        <v>45447</v>
      </c>
      <c r="J1015" s="30">
        <v>45447</v>
      </c>
      <c r="K1015" s="53">
        <v>1</v>
      </c>
      <c r="L1015" s="29"/>
      <c r="M1015" s="27" t="s">
        <v>24991</v>
      </c>
    </row>
    <row r="1016" spans="1:17" s="27" customFormat="1" ht="17.25" customHeight="1" x14ac:dyDescent="0.25">
      <c r="A1016" s="28" t="s">
        <v>5</v>
      </c>
      <c r="B1016" s="28">
        <v>71686928</v>
      </c>
      <c r="C1016" s="28" t="s">
        <v>25128</v>
      </c>
      <c r="D1016" s="28" t="s">
        <v>25829</v>
      </c>
      <c r="E1016" s="28" t="s">
        <v>25150</v>
      </c>
      <c r="F1016" s="28" t="s">
        <v>25151</v>
      </c>
      <c r="G1016" s="28" t="s">
        <v>19229</v>
      </c>
      <c r="H1016" s="28" t="s">
        <v>19239</v>
      </c>
      <c r="I1016" s="30">
        <v>45448</v>
      </c>
      <c r="J1016" s="30">
        <v>45452</v>
      </c>
      <c r="K1016" s="53">
        <v>5</v>
      </c>
      <c r="L1016" s="29">
        <v>9</v>
      </c>
      <c r="M1016" s="27" t="s">
        <v>25911</v>
      </c>
    </row>
    <row r="1017" spans="1:17" s="27" customFormat="1" ht="17.25" customHeight="1" x14ac:dyDescent="0.25">
      <c r="A1017" s="28" t="s">
        <v>5</v>
      </c>
      <c r="B1017" s="28">
        <v>71619744</v>
      </c>
      <c r="C1017" s="28" t="s">
        <v>25319</v>
      </c>
      <c r="D1017" s="28" t="s">
        <v>25109</v>
      </c>
      <c r="E1017" s="28" t="s">
        <v>25188</v>
      </c>
      <c r="F1017" s="28" t="s">
        <v>25320</v>
      </c>
      <c r="G1017" s="28" t="s">
        <v>19229</v>
      </c>
      <c r="H1017" s="28" t="s">
        <v>19238</v>
      </c>
      <c r="I1017" s="30">
        <v>45450</v>
      </c>
      <c r="J1017" s="30">
        <v>45465</v>
      </c>
      <c r="K1017" s="53">
        <v>15</v>
      </c>
      <c r="L1017" s="29"/>
      <c r="M1017" s="27" t="s">
        <v>19257</v>
      </c>
    </row>
    <row r="1018" spans="1:17" s="27" customFormat="1" ht="17.25" customHeight="1" x14ac:dyDescent="0.25">
      <c r="A1018" s="28" t="s">
        <v>5</v>
      </c>
      <c r="B1018" s="28">
        <v>1047482608</v>
      </c>
      <c r="C1018" s="28" t="s">
        <v>26233</v>
      </c>
      <c r="D1018" s="28" t="s">
        <v>26234</v>
      </c>
      <c r="E1018" s="28" t="s">
        <v>25754</v>
      </c>
      <c r="F1018" s="28" t="s">
        <v>26235</v>
      </c>
      <c r="G1018" s="28" t="s">
        <v>19285</v>
      </c>
      <c r="H1018" s="28" t="s">
        <v>19239</v>
      </c>
      <c r="I1018" s="30">
        <v>45455</v>
      </c>
      <c r="J1018" s="30">
        <v>45459</v>
      </c>
      <c r="K1018" s="53">
        <v>5</v>
      </c>
      <c r="L1018" s="29">
        <v>1</v>
      </c>
      <c r="M1018" s="27" t="s">
        <v>25036</v>
      </c>
    </row>
    <row r="1019" spans="1:17" s="27" customFormat="1" ht="17.25" customHeight="1" x14ac:dyDescent="0.25">
      <c r="A1019" s="28" t="s">
        <v>5</v>
      </c>
      <c r="B1019" s="28">
        <v>8432539</v>
      </c>
      <c r="C1019" s="38" t="s">
        <v>25459</v>
      </c>
      <c r="D1019" s="38" t="s">
        <v>25065</v>
      </c>
      <c r="E1019" s="38" t="s">
        <v>25460</v>
      </c>
      <c r="F1019" s="38" t="s">
        <v>25162</v>
      </c>
      <c r="G1019" s="28" t="s">
        <v>19229</v>
      </c>
      <c r="H1019" s="28" t="s">
        <v>19239</v>
      </c>
      <c r="I1019" s="30">
        <v>45455</v>
      </c>
      <c r="J1019" s="30">
        <v>45457</v>
      </c>
      <c r="K1019" s="28">
        <v>3</v>
      </c>
      <c r="L1019" s="29">
        <v>4</v>
      </c>
      <c r="M1019" s="27" t="s">
        <v>25067</v>
      </c>
    </row>
    <row r="1020" spans="1:17" s="27" customFormat="1" ht="17.25" customHeight="1" x14ac:dyDescent="0.25">
      <c r="A1020" s="28" t="s">
        <v>5</v>
      </c>
      <c r="B1020" s="28">
        <v>98702620</v>
      </c>
      <c r="C1020" s="28" t="s">
        <v>25008</v>
      </c>
      <c r="D1020" s="28" t="s">
        <v>25128</v>
      </c>
      <c r="E1020" s="28" t="s">
        <v>25263</v>
      </c>
      <c r="F1020" s="28" t="s">
        <v>25071</v>
      </c>
      <c r="G1020" s="28" t="s">
        <v>19229</v>
      </c>
      <c r="H1020" s="28" t="s">
        <v>19240</v>
      </c>
      <c r="I1020" s="30">
        <v>45456</v>
      </c>
      <c r="J1020" s="30">
        <v>45456</v>
      </c>
      <c r="K1020" s="53">
        <v>1</v>
      </c>
      <c r="L1020" s="29"/>
      <c r="M1020" s="27" t="s">
        <v>24991</v>
      </c>
    </row>
    <row r="1021" spans="1:17" s="55" customFormat="1" ht="17.25" customHeight="1" x14ac:dyDescent="0.25">
      <c r="A1021" s="28" t="s">
        <v>26240</v>
      </c>
      <c r="B1021" s="28">
        <v>70434070</v>
      </c>
      <c r="C1021" s="28" t="s">
        <v>25472</v>
      </c>
      <c r="D1021" s="28" t="s">
        <v>25588</v>
      </c>
      <c r="E1021" s="28" t="s">
        <v>26239</v>
      </c>
      <c r="F1021" s="28" t="s">
        <v>25193</v>
      </c>
      <c r="G1021" s="28" t="s">
        <v>19229</v>
      </c>
      <c r="H1021" s="28" t="s">
        <v>19239</v>
      </c>
      <c r="I1021" s="30">
        <v>45456</v>
      </c>
      <c r="J1021" s="30">
        <v>45456</v>
      </c>
      <c r="K1021" s="53">
        <v>1</v>
      </c>
      <c r="L1021" s="29">
        <v>6</v>
      </c>
      <c r="M1021" s="27" t="s">
        <v>25036</v>
      </c>
      <c r="N1021" s="27"/>
      <c r="O1021" s="27"/>
      <c r="P1021" s="27"/>
      <c r="Q1021" s="27"/>
    </row>
    <row r="1022" spans="1:17" s="27" customFormat="1" ht="17.25" customHeight="1" x14ac:dyDescent="0.25">
      <c r="A1022" s="54" t="s">
        <v>26240</v>
      </c>
      <c r="B1022" s="54">
        <v>1214744146</v>
      </c>
      <c r="C1022" s="54" t="s">
        <v>24998</v>
      </c>
      <c r="D1022" s="54" t="s">
        <v>19258</v>
      </c>
      <c r="E1022" s="54" t="s">
        <v>25056</v>
      </c>
      <c r="F1022" s="54" t="s">
        <v>25010</v>
      </c>
      <c r="G1022" s="54" t="s">
        <v>19229</v>
      </c>
      <c r="H1022" s="54" t="s">
        <v>19239</v>
      </c>
      <c r="I1022" s="58">
        <v>45456</v>
      </c>
      <c r="J1022" s="58">
        <v>45456</v>
      </c>
      <c r="K1022" s="53">
        <v>1</v>
      </c>
      <c r="L1022" s="29">
        <v>6</v>
      </c>
      <c r="M1022" s="55" t="s">
        <v>25036</v>
      </c>
      <c r="N1022" s="55"/>
      <c r="O1022" s="55"/>
      <c r="P1022" s="55"/>
      <c r="Q1022" s="55"/>
    </row>
    <row r="1023" spans="1:17" s="27" customFormat="1" ht="17.25" customHeight="1" x14ac:dyDescent="0.25">
      <c r="A1023" s="28" t="s">
        <v>5</v>
      </c>
      <c r="B1023" s="28">
        <v>1036676172</v>
      </c>
      <c r="C1023" s="28" t="s">
        <v>25238</v>
      </c>
      <c r="D1023" s="28" t="s">
        <v>26236</v>
      </c>
      <c r="E1023" s="28" t="s">
        <v>26237</v>
      </c>
      <c r="F1023" s="28"/>
      <c r="G1023" s="28" t="s">
        <v>26238</v>
      </c>
      <c r="H1023" s="28" t="s">
        <v>19239</v>
      </c>
      <c r="I1023" s="30">
        <v>45457</v>
      </c>
      <c r="J1023" s="30">
        <v>45457</v>
      </c>
      <c r="K1023" s="53">
        <v>1</v>
      </c>
      <c r="L1023" s="29">
        <v>4</v>
      </c>
      <c r="M1023" s="27" t="s">
        <v>25036</v>
      </c>
    </row>
    <row r="1024" spans="1:17" s="27" customFormat="1" ht="17.25" customHeight="1" x14ac:dyDescent="0.25">
      <c r="A1024" s="28" t="s">
        <v>5</v>
      </c>
      <c r="B1024" s="28">
        <v>1035225845</v>
      </c>
      <c r="C1024" s="28" t="s">
        <v>26318</v>
      </c>
      <c r="D1024" s="28" t="s">
        <v>25810</v>
      </c>
      <c r="E1024" s="28" t="s">
        <v>25056</v>
      </c>
      <c r="F1024" s="28" t="s">
        <v>25811</v>
      </c>
      <c r="G1024" s="28" t="s">
        <v>19229</v>
      </c>
      <c r="H1024" s="28" t="s">
        <v>19240</v>
      </c>
      <c r="I1024" s="30">
        <v>45457</v>
      </c>
      <c r="J1024" s="30">
        <v>45458</v>
      </c>
      <c r="K1024" s="53">
        <v>1</v>
      </c>
      <c r="L1024" s="29"/>
      <c r="M1024" s="27" t="s">
        <v>24991</v>
      </c>
    </row>
    <row r="1025" spans="1:13" s="27" customFormat="1" ht="17.25" customHeight="1" x14ac:dyDescent="0.25">
      <c r="A1025" s="28" t="s">
        <v>5</v>
      </c>
      <c r="B1025" s="28">
        <v>71711638</v>
      </c>
      <c r="C1025" s="28" t="s">
        <v>25593</v>
      </c>
      <c r="D1025" s="28" t="s">
        <v>25546</v>
      </c>
      <c r="E1025" s="28" t="s">
        <v>25849</v>
      </c>
      <c r="F1025" s="28" t="s">
        <v>25162</v>
      </c>
      <c r="G1025" s="28" t="s">
        <v>19229</v>
      </c>
      <c r="H1025" s="28" t="s">
        <v>19240</v>
      </c>
      <c r="I1025" s="30">
        <v>45457</v>
      </c>
      <c r="J1025" s="30">
        <v>45457</v>
      </c>
      <c r="K1025" s="53">
        <v>1</v>
      </c>
      <c r="L1025" s="29"/>
      <c r="M1025" s="27" t="s">
        <v>24991</v>
      </c>
    </row>
    <row r="1026" spans="1:13" s="27" customFormat="1" ht="17.25" customHeight="1" x14ac:dyDescent="0.25">
      <c r="A1026" s="28" t="s">
        <v>5</v>
      </c>
      <c r="B1026" s="28">
        <v>77027311</v>
      </c>
      <c r="C1026" s="28" t="s">
        <v>25480</v>
      </c>
      <c r="D1026" s="28" t="s">
        <v>25503</v>
      </c>
      <c r="E1026" s="28" t="s">
        <v>25028</v>
      </c>
      <c r="F1026" s="28" t="s">
        <v>25213</v>
      </c>
      <c r="G1026" s="28" t="s">
        <v>19229</v>
      </c>
      <c r="H1026" s="28" t="s">
        <v>19240</v>
      </c>
      <c r="I1026" s="30">
        <v>45458</v>
      </c>
      <c r="J1026" s="30">
        <v>45459</v>
      </c>
      <c r="K1026" s="53">
        <v>2</v>
      </c>
      <c r="L1026" s="29"/>
      <c r="M1026" s="27" t="s">
        <v>24991</v>
      </c>
    </row>
    <row r="1027" spans="1:13" s="27" customFormat="1" ht="17.25" customHeight="1" x14ac:dyDescent="0.25">
      <c r="A1027" s="28" t="s">
        <v>26240</v>
      </c>
      <c r="B1027" s="28">
        <v>1001016772</v>
      </c>
      <c r="C1027" s="28" t="s">
        <v>26248</v>
      </c>
      <c r="D1027" s="28" t="s">
        <v>25159</v>
      </c>
      <c r="E1027" s="28" t="s">
        <v>25516</v>
      </c>
      <c r="F1027" s="28" t="s">
        <v>25755</v>
      </c>
      <c r="G1027" s="28" t="s">
        <v>19285</v>
      </c>
      <c r="H1027" s="28" t="s">
        <v>19239</v>
      </c>
      <c r="I1027" s="30">
        <v>45460</v>
      </c>
      <c r="J1027" s="30">
        <v>45464</v>
      </c>
      <c r="K1027" s="53">
        <v>5</v>
      </c>
      <c r="L1027" s="29">
        <v>22</v>
      </c>
      <c r="M1027" s="27" t="s">
        <v>25036</v>
      </c>
    </row>
    <row r="1028" spans="1:13" s="27" customFormat="1" ht="17.25" customHeight="1" x14ac:dyDescent="0.25">
      <c r="A1028" s="28" t="s">
        <v>5</v>
      </c>
      <c r="B1028" s="28">
        <v>1002497446</v>
      </c>
      <c r="C1028" s="28" t="s">
        <v>25288</v>
      </c>
      <c r="D1028" s="28" t="s">
        <v>25492</v>
      </c>
      <c r="E1028" s="28" t="s">
        <v>26246</v>
      </c>
      <c r="F1028" s="28" t="s">
        <v>25064</v>
      </c>
      <c r="G1028" s="28" t="s">
        <v>19229</v>
      </c>
      <c r="H1028" s="28" t="s">
        <v>19239</v>
      </c>
      <c r="I1028" s="30">
        <v>45461</v>
      </c>
      <c r="J1028" s="30">
        <v>45461</v>
      </c>
      <c r="K1028" s="53">
        <v>1</v>
      </c>
      <c r="L1028" s="29">
        <v>4</v>
      </c>
      <c r="M1028" s="27" t="s">
        <v>25036</v>
      </c>
    </row>
    <row r="1029" spans="1:13" s="27" customFormat="1" ht="17.25" customHeight="1" x14ac:dyDescent="0.25">
      <c r="A1029" s="28" t="s">
        <v>5</v>
      </c>
      <c r="B1029" s="28">
        <v>1128462244</v>
      </c>
      <c r="C1029" s="28" t="s">
        <v>26247</v>
      </c>
      <c r="D1029" s="28" t="s">
        <v>25377</v>
      </c>
      <c r="E1029" s="28" t="s">
        <v>25282</v>
      </c>
      <c r="F1029" s="28" t="s">
        <v>25413</v>
      </c>
      <c r="G1029" s="28" t="s">
        <v>19285</v>
      </c>
      <c r="H1029" s="28" t="s">
        <v>19239</v>
      </c>
      <c r="I1029" s="30">
        <v>45461</v>
      </c>
      <c r="J1029" s="30">
        <v>45461</v>
      </c>
      <c r="K1029" s="53">
        <v>1</v>
      </c>
      <c r="L1029" s="29">
        <v>4</v>
      </c>
      <c r="M1029" s="27" t="s">
        <v>25036</v>
      </c>
    </row>
    <row r="1030" spans="1:13" s="27" customFormat="1" ht="17.25" customHeight="1" x14ac:dyDescent="0.25">
      <c r="A1030" s="28" t="s">
        <v>5</v>
      </c>
      <c r="B1030" s="28">
        <v>15262616</v>
      </c>
      <c r="C1030" s="28" t="s">
        <v>25829</v>
      </c>
      <c r="D1030" s="28" t="s">
        <v>25403</v>
      </c>
      <c r="E1030" s="28" t="s">
        <v>25203</v>
      </c>
      <c r="F1030" s="28" t="s">
        <v>26169</v>
      </c>
      <c r="G1030" s="28" t="s">
        <v>19229</v>
      </c>
      <c r="H1030" s="28" t="s">
        <v>19239</v>
      </c>
      <c r="I1030" s="30">
        <v>45462</v>
      </c>
      <c r="J1030" s="30">
        <v>45462</v>
      </c>
      <c r="K1030" s="53">
        <v>1</v>
      </c>
      <c r="L1030" s="29">
        <v>6</v>
      </c>
      <c r="M1030" s="27" t="s">
        <v>25036</v>
      </c>
    </row>
    <row r="1031" spans="1:13" s="27" customFormat="1" ht="17.25" customHeight="1" x14ac:dyDescent="0.25">
      <c r="A1031" s="28" t="s">
        <v>5</v>
      </c>
      <c r="B1031" s="28">
        <v>70783820</v>
      </c>
      <c r="C1031" s="28" t="s">
        <v>25075</v>
      </c>
      <c r="D1031" s="28" t="s">
        <v>25161</v>
      </c>
      <c r="E1031" s="28" t="s">
        <v>25455</v>
      </c>
      <c r="F1031" s="28" t="s">
        <v>26249</v>
      </c>
      <c r="G1031" s="28" t="s">
        <v>19229</v>
      </c>
      <c r="H1031" s="28" t="s">
        <v>19239</v>
      </c>
      <c r="I1031" s="30">
        <v>45462</v>
      </c>
      <c r="J1031" s="30">
        <v>45468</v>
      </c>
      <c r="K1031" s="53">
        <v>7</v>
      </c>
      <c r="L1031" s="29">
        <v>19</v>
      </c>
      <c r="M1031" s="27" t="s">
        <v>25036</v>
      </c>
    </row>
    <row r="1032" spans="1:13" s="27" customFormat="1" ht="17.25" customHeight="1" x14ac:dyDescent="0.25">
      <c r="A1032" s="28" t="s">
        <v>5</v>
      </c>
      <c r="B1032" s="28">
        <v>43480101</v>
      </c>
      <c r="C1032" s="28" t="s">
        <v>25330</v>
      </c>
      <c r="D1032" s="28" t="s">
        <v>25109</v>
      </c>
      <c r="E1032" s="28" t="s">
        <v>25946</v>
      </c>
      <c r="F1032" s="28" t="s">
        <v>25258</v>
      </c>
      <c r="G1032" s="28" t="s">
        <v>19229</v>
      </c>
      <c r="H1032" s="28" t="s">
        <v>19239</v>
      </c>
      <c r="I1032" s="30">
        <v>45462</v>
      </c>
      <c r="J1032" s="30">
        <v>45462</v>
      </c>
      <c r="K1032" s="53">
        <v>1</v>
      </c>
      <c r="L1032" s="29">
        <v>6</v>
      </c>
      <c r="M1032" s="27" t="s">
        <v>25036</v>
      </c>
    </row>
    <row r="1033" spans="1:13" s="27" customFormat="1" ht="17.25" customHeight="1" x14ac:dyDescent="0.25">
      <c r="A1033" s="28" t="s">
        <v>5</v>
      </c>
      <c r="B1033" s="28">
        <v>1007110380</v>
      </c>
      <c r="C1033" s="28" t="s">
        <v>26181</v>
      </c>
      <c r="D1033" s="28" t="s">
        <v>25847</v>
      </c>
      <c r="E1033" s="28" t="s">
        <v>26252</v>
      </c>
      <c r="F1033" s="28" t="s">
        <v>25135</v>
      </c>
      <c r="G1033" s="28" t="s">
        <v>19229</v>
      </c>
      <c r="H1033" s="28" t="s">
        <v>19239</v>
      </c>
      <c r="I1033" s="30">
        <v>45464</v>
      </c>
      <c r="J1033" s="30">
        <v>45464</v>
      </c>
      <c r="K1033" s="53">
        <v>1</v>
      </c>
      <c r="L1033" s="29">
        <v>4</v>
      </c>
      <c r="M1033" s="27" t="s">
        <v>25036</v>
      </c>
    </row>
    <row r="1034" spans="1:13" s="27" customFormat="1" ht="17.25" customHeight="1" x14ac:dyDescent="0.25">
      <c r="A1034" s="28" t="s">
        <v>5</v>
      </c>
      <c r="B1034" s="28">
        <v>71987067</v>
      </c>
      <c r="C1034" s="28" t="s">
        <v>25128</v>
      </c>
      <c r="D1034" s="28" t="s">
        <v>25129</v>
      </c>
      <c r="E1034" s="28" t="s">
        <v>25130</v>
      </c>
      <c r="F1034" s="28" t="s">
        <v>25131</v>
      </c>
      <c r="G1034" s="28" t="s">
        <v>19229</v>
      </c>
      <c r="H1034" s="28" t="s">
        <v>19240</v>
      </c>
      <c r="I1034" s="30">
        <v>45464</v>
      </c>
      <c r="J1034" s="30">
        <v>45466</v>
      </c>
      <c r="K1034" s="53">
        <v>3</v>
      </c>
      <c r="L1034" s="29"/>
      <c r="M1034" s="27" t="s">
        <v>24991</v>
      </c>
    </row>
    <row r="1035" spans="1:13" s="27" customFormat="1" ht="17.25" customHeight="1" x14ac:dyDescent="0.25">
      <c r="A1035" s="28" t="s">
        <v>5</v>
      </c>
      <c r="B1035" s="28">
        <v>1045079803</v>
      </c>
      <c r="C1035" s="28" t="s">
        <v>25776</v>
      </c>
      <c r="D1035" s="28" t="s">
        <v>25950</v>
      </c>
      <c r="E1035" s="28" t="s">
        <v>25255</v>
      </c>
      <c r="F1035" s="28" t="s">
        <v>24986</v>
      </c>
      <c r="G1035" s="28" t="s">
        <v>19229</v>
      </c>
      <c r="H1035" s="28" t="s">
        <v>19240</v>
      </c>
      <c r="I1035" s="30">
        <v>45466</v>
      </c>
      <c r="J1035" s="30">
        <v>45466</v>
      </c>
      <c r="K1035" s="53">
        <v>1</v>
      </c>
      <c r="L1035" s="29"/>
      <c r="M1035" s="27" t="s">
        <v>24991</v>
      </c>
    </row>
    <row r="1036" spans="1:13" s="27" customFormat="1" ht="17.25" customHeight="1" x14ac:dyDescent="0.25">
      <c r="A1036" s="28" t="s">
        <v>5</v>
      </c>
      <c r="B1036" s="28">
        <v>1037547538</v>
      </c>
      <c r="C1036" s="28" t="s">
        <v>25907</v>
      </c>
      <c r="D1036" s="28" t="s">
        <v>25002</v>
      </c>
      <c r="E1036" s="28" t="s">
        <v>25116</v>
      </c>
      <c r="F1036" s="28"/>
      <c r="G1036" s="28" t="s">
        <v>19229</v>
      </c>
      <c r="H1036" s="28" t="s">
        <v>19240</v>
      </c>
      <c r="I1036" s="30">
        <v>45467</v>
      </c>
      <c r="J1036" s="30">
        <v>45472</v>
      </c>
      <c r="K1036" s="53">
        <v>5</v>
      </c>
      <c r="L1036" s="29"/>
      <c r="M1036" s="27" t="s">
        <v>24991</v>
      </c>
    </row>
    <row r="1037" spans="1:13" s="27" customFormat="1" ht="17.25" customHeight="1" x14ac:dyDescent="0.25">
      <c r="A1037" s="28" t="s">
        <v>5</v>
      </c>
      <c r="B1037" s="28">
        <v>1000567018</v>
      </c>
      <c r="C1037" s="28" t="s">
        <v>25454</v>
      </c>
      <c r="D1037" s="28" t="s">
        <v>25248</v>
      </c>
      <c r="E1037" s="28" t="s">
        <v>25092</v>
      </c>
      <c r="F1037" s="28"/>
      <c r="G1037" s="28" t="s">
        <v>19229</v>
      </c>
      <c r="H1037" s="28" t="s">
        <v>19240</v>
      </c>
      <c r="I1037" s="30">
        <v>45467</v>
      </c>
      <c r="J1037" s="30">
        <v>45468</v>
      </c>
      <c r="K1037" s="53">
        <v>1</v>
      </c>
      <c r="L1037" s="29"/>
      <c r="M1037" s="27" t="s">
        <v>24991</v>
      </c>
    </row>
    <row r="1038" spans="1:13" s="27" customFormat="1" ht="17.25" customHeight="1" x14ac:dyDescent="0.25">
      <c r="A1038" s="28" t="s">
        <v>26240</v>
      </c>
      <c r="B1038" s="28">
        <v>1128458954</v>
      </c>
      <c r="C1038" s="28" t="s">
        <v>25475</v>
      </c>
      <c r="D1038" s="28" t="s">
        <v>25382</v>
      </c>
      <c r="E1038" s="28" t="s">
        <v>26202</v>
      </c>
      <c r="F1038" s="28" t="s">
        <v>25384</v>
      </c>
      <c r="G1038" s="28" t="s">
        <v>26250</v>
      </c>
      <c r="H1038" s="28" t="s">
        <v>19239</v>
      </c>
      <c r="I1038" s="30">
        <v>45469</v>
      </c>
      <c r="J1038" s="30">
        <v>45473</v>
      </c>
      <c r="K1038" s="53">
        <v>5</v>
      </c>
      <c r="L1038" s="29">
        <v>22</v>
      </c>
      <c r="M1038" s="27" t="s">
        <v>25036</v>
      </c>
    </row>
    <row r="1039" spans="1:13" s="27" customFormat="1" ht="17.25" customHeight="1" x14ac:dyDescent="0.25">
      <c r="A1039" s="28" t="s">
        <v>5</v>
      </c>
      <c r="B1039" s="28">
        <v>1000083627</v>
      </c>
      <c r="C1039" s="28" t="s">
        <v>25105</v>
      </c>
      <c r="D1039" s="28" t="s">
        <v>25415</v>
      </c>
      <c r="E1039" s="28" t="s">
        <v>25282</v>
      </c>
      <c r="F1039" s="28" t="s">
        <v>24986</v>
      </c>
      <c r="G1039" s="28" t="s">
        <v>19229</v>
      </c>
      <c r="H1039" s="28" t="s">
        <v>19239</v>
      </c>
      <c r="I1039" s="30">
        <v>45469</v>
      </c>
      <c r="J1039" s="30">
        <v>45471</v>
      </c>
      <c r="K1039" s="53">
        <v>3</v>
      </c>
      <c r="L1039" s="29">
        <v>10</v>
      </c>
      <c r="M1039" s="27" t="s">
        <v>25036</v>
      </c>
    </row>
    <row r="1040" spans="1:13" s="27" customFormat="1" ht="17.25" customHeight="1" x14ac:dyDescent="0.25">
      <c r="A1040" s="28" t="s">
        <v>5</v>
      </c>
      <c r="B1040" s="28">
        <v>1007448515</v>
      </c>
      <c r="C1040" s="28" t="s">
        <v>26253</v>
      </c>
      <c r="D1040" s="28" t="s">
        <v>25111</v>
      </c>
      <c r="E1040" s="28" t="s">
        <v>26254</v>
      </c>
      <c r="F1040" s="28" t="s">
        <v>25188</v>
      </c>
      <c r="G1040" s="28" t="s">
        <v>19229</v>
      </c>
      <c r="H1040" s="28" t="s">
        <v>19239</v>
      </c>
      <c r="I1040" s="30">
        <v>45469</v>
      </c>
      <c r="J1040" s="30">
        <v>45471</v>
      </c>
      <c r="K1040" s="53">
        <v>3</v>
      </c>
      <c r="L1040" s="29">
        <v>24</v>
      </c>
      <c r="M1040" s="27" t="s">
        <v>25036</v>
      </c>
    </row>
    <row r="1041" spans="1:13" s="27" customFormat="1" ht="17.25" customHeight="1" x14ac:dyDescent="0.25">
      <c r="A1041" s="28" t="s">
        <v>5</v>
      </c>
      <c r="B1041" s="28">
        <v>1039022583</v>
      </c>
      <c r="C1041" s="28" t="s">
        <v>25295</v>
      </c>
      <c r="D1041" s="28" t="s">
        <v>25373</v>
      </c>
      <c r="E1041" s="28" t="s">
        <v>26091</v>
      </c>
      <c r="F1041" s="28" t="s">
        <v>25165</v>
      </c>
      <c r="G1041" s="28" t="s">
        <v>19229</v>
      </c>
      <c r="H1041" s="28" t="s">
        <v>19240</v>
      </c>
      <c r="I1041" s="30">
        <v>45469</v>
      </c>
      <c r="J1041" s="30">
        <v>45469</v>
      </c>
      <c r="K1041" s="53">
        <v>1</v>
      </c>
      <c r="L1041" s="29"/>
      <c r="M1041" s="27" t="s">
        <v>24991</v>
      </c>
    </row>
    <row r="1042" spans="1:13" s="27" customFormat="1" ht="17.25" customHeight="1" x14ac:dyDescent="0.25">
      <c r="A1042" s="28" t="s">
        <v>5</v>
      </c>
      <c r="B1042" s="28">
        <v>78110091</v>
      </c>
      <c r="C1042" s="28" t="s">
        <v>26100</v>
      </c>
      <c r="D1042" s="28" t="s">
        <v>26101</v>
      </c>
      <c r="E1042" s="28" t="s">
        <v>25130</v>
      </c>
      <c r="F1042" s="28" t="s">
        <v>25255</v>
      </c>
      <c r="G1042" s="28" t="s">
        <v>19229</v>
      </c>
      <c r="H1042" s="28" t="s">
        <v>19240</v>
      </c>
      <c r="I1042" s="30">
        <v>45472</v>
      </c>
      <c r="J1042" s="30">
        <v>45473</v>
      </c>
      <c r="K1042" s="53">
        <v>2</v>
      </c>
      <c r="L1042" s="29"/>
      <c r="M1042" s="27" t="s">
        <v>24991</v>
      </c>
    </row>
    <row r="1043" spans="1:13" s="27" customFormat="1" ht="17.25" customHeight="1" x14ac:dyDescent="0.25">
      <c r="A1043" s="28" t="s">
        <v>5</v>
      </c>
      <c r="B1043" s="28">
        <v>1003932906</v>
      </c>
      <c r="C1043" s="28" t="s">
        <v>25093</v>
      </c>
      <c r="D1043" s="28" t="s">
        <v>25887</v>
      </c>
      <c r="E1043" s="28" t="s">
        <v>25888</v>
      </c>
      <c r="F1043" s="28" t="s">
        <v>25010</v>
      </c>
      <c r="G1043" s="28" t="s">
        <v>19229</v>
      </c>
      <c r="H1043" s="28" t="s">
        <v>19238</v>
      </c>
      <c r="I1043" s="30">
        <v>45474</v>
      </c>
      <c r="J1043" s="30">
        <v>45489</v>
      </c>
      <c r="K1043" s="53">
        <v>15</v>
      </c>
      <c r="L1043" s="29"/>
      <c r="M1043" s="27" t="s">
        <v>19257</v>
      </c>
    </row>
    <row r="1044" spans="1:13" s="27" customFormat="1" ht="17.25" customHeight="1" x14ac:dyDescent="0.25">
      <c r="A1044" s="28" t="s">
        <v>5</v>
      </c>
      <c r="B1044" s="28">
        <v>42731660</v>
      </c>
      <c r="C1044" s="28" t="s">
        <v>25529</v>
      </c>
      <c r="D1044" s="28" t="s">
        <v>25164</v>
      </c>
      <c r="E1044" s="28" t="s">
        <v>25611</v>
      </c>
      <c r="F1044" s="28" t="s">
        <v>26224</v>
      </c>
      <c r="G1044" s="28" t="s">
        <v>19229</v>
      </c>
      <c r="H1044" s="28" t="s">
        <v>19238</v>
      </c>
      <c r="I1044" s="30">
        <v>45474</v>
      </c>
      <c r="J1044" s="30">
        <v>45488</v>
      </c>
      <c r="K1044" s="53">
        <v>15</v>
      </c>
      <c r="L1044" s="29"/>
      <c r="M1044" s="27" t="s">
        <v>19257</v>
      </c>
    </row>
    <row r="1045" spans="1:13" s="27" customFormat="1" ht="17.25" customHeight="1" x14ac:dyDescent="0.25">
      <c r="A1045" s="28" t="s">
        <v>6</v>
      </c>
      <c r="B1045" s="28">
        <v>71053321</v>
      </c>
      <c r="C1045" s="28" t="s">
        <v>25003</v>
      </c>
      <c r="D1045" s="28" t="s">
        <v>25403</v>
      </c>
      <c r="E1045" s="28" t="s">
        <v>25028</v>
      </c>
      <c r="F1045" s="28" t="s">
        <v>25029</v>
      </c>
      <c r="G1045" s="28" t="s">
        <v>19229</v>
      </c>
      <c r="H1045" s="28" t="s">
        <v>19240</v>
      </c>
      <c r="I1045" s="30">
        <v>45474</v>
      </c>
      <c r="J1045" s="30">
        <v>45491</v>
      </c>
      <c r="K1045" s="53">
        <v>1</v>
      </c>
      <c r="L1045" s="29"/>
      <c r="M1045" s="27" t="s">
        <v>24991</v>
      </c>
    </row>
    <row r="1046" spans="1:13" s="27" customFormat="1" ht="17.25" customHeight="1" x14ac:dyDescent="0.25">
      <c r="A1046" s="28" t="s">
        <v>6</v>
      </c>
      <c r="B1046" s="28">
        <v>71769823</v>
      </c>
      <c r="C1046" s="28" t="s">
        <v>25498</v>
      </c>
      <c r="D1046" s="28" t="s">
        <v>25673</v>
      </c>
      <c r="E1046" s="28" t="s">
        <v>25144</v>
      </c>
      <c r="F1046" s="28" t="s">
        <v>25064</v>
      </c>
      <c r="G1046" s="28" t="s">
        <v>19229</v>
      </c>
      <c r="H1046" s="28" t="s">
        <v>19240</v>
      </c>
      <c r="I1046" s="30">
        <v>45475</v>
      </c>
      <c r="J1046" s="30">
        <v>45475</v>
      </c>
      <c r="K1046" s="53">
        <v>1</v>
      </c>
      <c r="L1046" s="29"/>
      <c r="M1046" s="27" t="s">
        <v>24991</v>
      </c>
    </row>
    <row r="1047" spans="1:13" s="27" customFormat="1" ht="17.25" customHeight="1" x14ac:dyDescent="0.25">
      <c r="A1047" s="28" t="s">
        <v>6</v>
      </c>
      <c r="B1047" s="28">
        <v>1047421491</v>
      </c>
      <c r="C1047" s="28" t="s">
        <v>25272</v>
      </c>
      <c r="D1047" s="28" t="s">
        <v>25257</v>
      </c>
      <c r="E1047" s="28" t="s">
        <v>25376</v>
      </c>
      <c r="F1047" s="28" t="s">
        <v>25103</v>
      </c>
      <c r="G1047" s="28" t="s">
        <v>19285</v>
      </c>
      <c r="H1047" s="28" t="s">
        <v>19238</v>
      </c>
      <c r="I1047" s="30">
        <v>45475</v>
      </c>
      <c r="J1047" s="30">
        <v>45489</v>
      </c>
      <c r="K1047" s="53">
        <v>15</v>
      </c>
      <c r="L1047" s="29"/>
      <c r="M1047" s="27" t="s">
        <v>19257</v>
      </c>
    </row>
    <row r="1048" spans="1:13" s="27" customFormat="1" ht="17.25" customHeight="1" x14ac:dyDescent="0.25">
      <c r="A1048" s="28" t="s">
        <v>6</v>
      </c>
      <c r="B1048" s="28">
        <v>71695483</v>
      </c>
      <c r="C1048" s="28" t="s">
        <v>25128</v>
      </c>
      <c r="D1048" s="28" t="s">
        <v>25061</v>
      </c>
      <c r="E1048" s="28" t="s">
        <v>25236</v>
      </c>
      <c r="F1048" s="28" t="s">
        <v>25237</v>
      </c>
      <c r="G1048" s="28" t="s">
        <v>19229</v>
      </c>
      <c r="H1048" s="28" t="s">
        <v>19239</v>
      </c>
      <c r="I1048" s="30">
        <v>45476</v>
      </c>
      <c r="J1048" s="30">
        <v>45476</v>
      </c>
      <c r="K1048" s="53">
        <v>1</v>
      </c>
      <c r="L1048" s="29">
        <v>6</v>
      </c>
      <c r="M1048" s="27" t="s">
        <v>25036</v>
      </c>
    </row>
    <row r="1049" spans="1:13" s="27" customFormat="1" ht="17.25" customHeight="1" x14ac:dyDescent="0.25">
      <c r="A1049" s="28" t="s">
        <v>6</v>
      </c>
      <c r="B1049" s="28">
        <v>75037732</v>
      </c>
      <c r="C1049" s="28" t="s">
        <v>25027</v>
      </c>
      <c r="D1049" s="28" t="s">
        <v>25061</v>
      </c>
      <c r="E1049" s="28" t="s">
        <v>26297</v>
      </c>
      <c r="F1049" s="28" t="s">
        <v>25103</v>
      </c>
      <c r="G1049" s="28" t="s">
        <v>19285</v>
      </c>
      <c r="H1049" s="28" t="s">
        <v>19238</v>
      </c>
      <c r="I1049" s="30">
        <v>45476</v>
      </c>
      <c r="J1049" s="30">
        <v>45490</v>
      </c>
      <c r="K1049" s="53">
        <v>15</v>
      </c>
      <c r="L1049" s="29"/>
      <c r="M1049" s="27" t="s">
        <v>19257</v>
      </c>
    </row>
    <row r="1050" spans="1:13" s="27" customFormat="1" ht="17.25" customHeight="1" x14ac:dyDescent="0.25">
      <c r="A1050" s="28" t="s">
        <v>6</v>
      </c>
      <c r="B1050" s="28">
        <v>42701567</v>
      </c>
      <c r="C1050" s="28" t="s">
        <v>25200</v>
      </c>
      <c r="D1050" s="28" t="s">
        <v>25459</v>
      </c>
      <c r="E1050" s="28" t="s">
        <v>24999</v>
      </c>
      <c r="F1050" s="28" t="s">
        <v>26198</v>
      </c>
      <c r="G1050" s="28" t="s">
        <v>19285</v>
      </c>
      <c r="H1050" s="28" t="s">
        <v>19238</v>
      </c>
      <c r="I1050" s="30">
        <v>45476</v>
      </c>
      <c r="J1050" s="30">
        <v>45491</v>
      </c>
      <c r="K1050" s="53">
        <v>8</v>
      </c>
      <c r="L1050" s="29"/>
      <c r="M1050" s="27" t="s">
        <v>19257</v>
      </c>
    </row>
    <row r="1051" spans="1:13" s="27" customFormat="1" ht="17.25" customHeight="1" x14ac:dyDescent="0.25">
      <c r="A1051" s="28" t="s">
        <v>6</v>
      </c>
      <c r="B1051" s="28">
        <v>43830625</v>
      </c>
      <c r="C1051" s="28" t="s">
        <v>25310</v>
      </c>
      <c r="D1051" s="28" t="s">
        <v>26009</v>
      </c>
      <c r="E1051" s="28" t="s">
        <v>26251</v>
      </c>
      <c r="F1051" s="28" t="s">
        <v>25596</v>
      </c>
      <c r="G1051" s="28" t="s">
        <v>26005</v>
      </c>
      <c r="H1051" s="28" t="s">
        <v>19240</v>
      </c>
      <c r="I1051" s="30">
        <v>45477</v>
      </c>
      <c r="J1051" s="30">
        <v>45477</v>
      </c>
      <c r="K1051" s="53">
        <v>1</v>
      </c>
      <c r="L1051" s="29"/>
      <c r="M1051" s="27" t="s">
        <v>24991</v>
      </c>
    </row>
    <row r="1052" spans="1:13" s="27" customFormat="1" ht="17.25" customHeight="1" x14ac:dyDescent="0.25">
      <c r="A1052" s="28" t="s">
        <v>6</v>
      </c>
      <c r="B1052" s="28">
        <v>71740793</v>
      </c>
      <c r="C1052" s="28" t="s">
        <v>25083</v>
      </c>
      <c r="D1052" s="28" t="s">
        <v>26255</v>
      </c>
      <c r="E1052" s="28" t="s">
        <v>26256</v>
      </c>
      <c r="F1052" s="28" t="s">
        <v>26257</v>
      </c>
      <c r="G1052" s="28" t="s">
        <v>19285</v>
      </c>
      <c r="H1052" s="28" t="s">
        <v>19239</v>
      </c>
      <c r="I1052" s="30">
        <v>45477</v>
      </c>
      <c r="J1052" s="30">
        <v>45483</v>
      </c>
      <c r="K1052" s="53">
        <v>7</v>
      </c>
      <c r="L1052" s="29">
        <v>19</v>
      </c>
      <c r="M1052" s="27" t="s">
        <v>25036</v>
      </c>
    </row>
    <row r="1053" spans="1:13" s="27" customFormat="1" ht="17.25" customHeight="1" x14ac:dyDescent="0.25">
      <c r="A1053" s="28" t="s">
        <v>6</v>
      </c>
      <c r="B1053" s="28">
        <v>3556345</v>
      </c>
      <c r="C1053" s="28" t="s">
        <v>25226</v>
      </c>
      <c r="D1053" s="28" t="s">
        <v>25614</v>
      </c>
      <c r="E1053" s="28" t="s">
        <v>25064</v>
      </c>
      <c r="F1053" s="28" t="s">
        <v>25656</v>
      </c>
      <c r="G1053" s="28" t="s">
        <v>19285</v>
      </c>
      <c r="H1053" s="28" t="s">
        <v>19240</v>
      </c>
      <c r="I1053" s="30">
        <v>45477</v>
      </c>
      <c r="J1053" s="30">
        <v>45481</v>
      </c>
      <c r="K1053" s="53">
        <v>5</v>
      </c>
      <c r="L1053" s="29"/>
      <c r="M1053" s="27" t="s">
        <v>26223</v>
      </c>
    </row>
    <row r="1054" spans="1:13" s="27" customFormat="1" ht="17.25" customHeight="1" x14ac:dyDescent="0.25">
      <c r="A1054" s="28" t="s">
        <v>6</v>
      </c>
      <c r="B1054" s="28">
        <v>71711638</v>
      </c>
      <c r="C1054" s="28" t="s">
        <v>25593</v>
      </c>
      <c r="D1054" s="28" t="s">
        <v>25546</v>
      </c>
      <c r="E1054" s="28" t="s">
        <v>25849</v>
      </c>
      <c r="F1054" s="28" t="s">
        <v>25162</v>
      </c>
      <c r="G1054" s="28" t="s">
        <v>19285</v>
      </c>
      <c r="H1054" s="28" t="s">
        <v>19238</v>
      </c>
      <c r="I1054" s="30">
        <v>45477</v>
      </c>
      <c r="J1054" s="30">
        <v>45492</v>
      </c>
      <c r="K1054" s="53">
        <v>8</v>
      </c>
      <c r="L1054" s="29"/>
      <c r="M1054" s="27" t="s">
        <v>19257</v>
      </c>
    </row>
    <row r="1055" spans="1:13" s="27" customFormat="1" ht="17.25" customHeight="1" x14ac:dyDescent="0.25">
      <c r="A1055" s="28" t="s">
        <v>6</v>
      </c>
      <c r="B1055" s="28">
        <v>1040327673</v>
      </c>
      <c r="C1055" s="28" t="s">
        <v>25639</v>
      </c>
      <c r="D1055" s="28" t="s">
        <v>25459</v>
      </c>
      <c r="E1055" s="28" t="s">
        <v>25106</v>
      </c>
      <c r="F1055" s="28" t="s">
        <v>25064</v>
      </c>
      <c r="G1055" s="28" t="s">
        <v>19285</v>
      </c>
      <c r="H1055" s="28" t="s">
        <v>19238</v>
      </c>
      <c r="I1055" s="30">
        <v>45477</v>
      </c>
      <c r="J1055" s="30">
        <v>45400</v>
      </c>
      <c r="K1055" s="53">
        <v>15</v>
      </c>
      <c r="L1055" s="29"/>
      <c r="M1055" s="27" t="s">
        <v>19257</v>
      </c>
    </row>
    <row r="1056" spans="1:13" s="27" customFormat="1" ht="17.25" customHeight="1" x14ac:dyDescent="0.25">
      <c r="A1056" s="28" t="s">
        <v>6</v>
      </c>
      <c r="B1056" s="28">
        <v>8405674</v>
      </c>
      <c r="C1056" s="28" t="s">
        <v>25498</v>
      </c>
      <c r="D1056" s="28" t="s">
        <v>25870</v>
      </c>
      <c r="E1056" s="28" t="s">
        <v>25871</v>
      </c>
      <c r="F1056" s="28" t="s">
        <v>25103</v>
      </c>
      <c r="G1056" s="28" t="s">
        <v>19285</v>
      </c>
      <c r="H1056" s="28" t="s">
        <v>19238</v>
      </c>
      <c r="I1056" s="30">
        <v>45478</v>
      </c>
      <c r="J1056" s="30">
        <v>45431</v>
      </c>
      <c r="K1056" s="53">
        <v>15</v>
      </c>
      <c r="L1056" s="29"/>
      <c r="M1056" s="27" t="s">
        <v>19257</v>
      </c>
    </row>
    <row r="1057" spans="1:13" s="27" customFormat="1" ht="17.25" customHeight="1" x14ac:dyDescent="0.25">
      <c r="A1057" s="28" t="s">
        <v>6</v>
      </c>
      <c r="B1057" s="28">
        <v>1102123532</v>
      </c>
      <c r="C1057" s="28" t="s">
        <v>24998</v>
      </c>
      <c r="D1057" s="28" t="s">
        <v>25961</v>
      </c>
      <c r="E1057" s="28" t="s">
        <v>25282</v>
      </c>
      <c r="F1057" s="28" t="s">
        <v>25962</v>
      </c>
      <c r="G1057" s="28" t="s">
        <v>19229</v>
      </c>
      <c r="H1057" s="28" t="s">
        <v>19238</v>
      </c>
      <c r="I1057" s="30">
        <v>45478</v>
      </c>
      <c r="J1057" s="30">
        <v>45492</v>
      </c>
      <c r="K1057" s="53">
        <v>15</v>
      </c>
      <c r="L1057" s="29"/>
      <c r="M1057" s="27" t="s">
        <v>19257</v>
      </c>
    </row>
    <row r="1058" spans="1:13" s="27" customFormat="1" ht="17.25" customHeight="1" x14ac:dyDescent="0.25">
      <c r="A1058" s="28" t="s">
        <v>6</v>
      </c>
      <c r="B1058" s="28">
        <v>71951065</v>
      </c>
      <c r="C1058" s="28" t="s">
        <v>25085</v>
      </c>
      <c r="D1058" s="28" t="s">
        <v>25109</v>
      </c>
      <c r="E1058" s="28" t="s">
        <v>25056</v>
      </c>
      <c r="F1058" s="28" t="s">
        <v>25308</v>
      </c>
      <c r="G1058" s="28" t="s">
        <v>19229</v>
      </c>
      <c r="H1058" s="28" t="s">
        <v>19238</v>
      </c>
      <c r="I1058" s="30">
        <v>45478</v>
      </c>
      <c r="J1058" s="30">
        <v>45485</v>
      </c>
      <c r="K1058" s="53">
        <v>8</v>
      </c>
      <c r="L1058" s="29"/>
      <c r="M1058" s="27" t="s">
        <v>19257</v>
      </c>
    </row>
    <row r="1059" spans="1:13" s="27" customFormat="1" ht="17.25" customHeight="1" x14ac:dyDescent="0.25">
      <c r="A1059" s="28" t="s">
        <v>6</v>
      </c>
      <c r="B1059" s="28">
        <v>70133821</v>
      </c>
      <c r="C1059" s="28" t="s">
        <v>25200</v>
      </c>
      <c r="D1059" s="28" t="s">
        <v>25523</v>
      </c>
      <c r="E1059" s="28" t="s">
        <v>25203</v>
      </c>
      <c r="F1059" s="28" t="s">
        <v>25005</v>
      </c>
      <c r="G1059" s="28" t="s">
        <v>19229</v>
      </c>
      <c r="H1059" s="28" t="s">
        <v>19238</v>
      </c>
      <c r="I1059" s="30">
        <v>45479</v>
      </c>
      <c r="J1059" s="30">
        <v>45486</v>
      </c>
      <c r="K1059" s="53">
        <v>8</v>
      </c>
      <c r="L1059" s="29"/>
      <c r="M1059" s="27" t="s">
        <v>19257</v>
      </c>
    </row>
    <row r="1060" spans="1:13" s="27" customFormat="1" ht="17.25" customHeight="1" x14ac:dyDescent="0.25">
      <c r="A1060" s="28" t="s">
        <v>6</v>
      </c>
      <c r="B1060" s="28">
        <v>1003339120</v>
      </c>
      <c r="C1060" s="28" t="s">
        <v>25406</v>
      </c>
      <c r="D1060" s="28" t="s">
        <v>25407</v>
      </c>
      <c r="E1060" s="28" t="s">
        <v>25408</v>
      </c>
      <c r="F1060" s="28" t="s">
        <v>25056</v>
      </c>
      <c r="G1060" s="28" t="s">
        <v>19229</v>
      </c>
      <c r="H1060" s="28" t="s">
        <v>19240</v>
      </c>
      <c r="I1060" s="30">
        <v>45480</v>
      </c>
      <c r="J1060" s="30">
        <v>45474</v>
      </c>
      <c r="K1060" s="53">
        <v>1</v>
      </c>
      <c r="L1060" s="29"/>
      <c r="M1060" s="27" t="s">
        <v>24991</v>
      </c>
    </row>
    <row r="1061" spans="1:13" s="27" customFormat="1" ht="17.25" customHeight="1" x14ac:dyDescent="0.25">
      <c r="A1061" s="28" t="s">
        <v>6</v>
      </c>
      <c r="B1061" s="28">
        <v>98527545</v>
      </c>
      <c r="C1061" s="28" t="s">
        <v>25200</v>
      </c>
      <c r="D1061" s="28"/>
      <c r="E1061" s="28" t="s">
        <v>25460</v>
      </c>
      <c r="F1061" s="28"/>
      <c r="G1061" s="28" t="s">
        <v>19285</v>
      </c>
      <c r="H1061" s="28" t="s">
        <v>19238</v>
      </c>
      <c r="I1061" s="30">
        <v>45480</v>
      </c>
      <c r="J1061" s="30">
        <v>45494</v>
      </c>
      <c r="K1061" s="53">
        <v>15</v>
      </c>
      <c r="L1061" s="29"/>
      <c r="M1061" s="27" t="s">
        <v>19257</v>
      </c>
    </row>
    <row r="1062" spans="1:13" s="27" customFormat="1" ht="17.25" customHeight="1" x14ac:dyDescent="0.25">
      <c r="A1062" s="28" t="s">
        <v>6</v>
      </c>
      <c r="B1062" s="28">
        <v>71335134</v>
      </c>
      <c r="C1062" s="28" t="s">
        <v>25357</v>
      </c>
      <c r="D1062" s="28" t="s">
        <v>25310</v>
      </c>
      <c r="E1062" s="28" t="s">
        <v>19256</v>
      </c>
      <c r="F1062" s="28" t="s">
        <v>25005</v>
      </c>
      <c r="G1062" s="28" t="s">
        <v>19285</v>
      </c>
      <c r="H1062" s="28" t="s">
        <v>19238</v>
      </c>
      <c r="I1062" s="30">
        <v>45480</v>
      </c>
      <c r="J1062" s="30">
        <v>45497</v>
      </c>
      <c r="K1062" s="53">
        <v>18</v>
      </c>
      <c r="L1062" s="29"/>
      <c r="M1062" s="27" t="s">
        <v>19257</v>
      </c>
    </row>
    <row r="1063" spans="1:13" s="27" customFormat="1" ht="17.25" customHeight="1" x14ac:dyDescent="0.25">
      <c r="A1063" s="28" t="s">
        <v>6</v>
      </c>
      <c r="B1063" s="28">
        <v>1000913601</v>
      </c>
      <c r="C1063" s="28" t="s">
        <v>25085</v>
      </c>
      <c r="D1063" s="28" t="s">
        <v>25993</v>
      </c>
      <c r="E1063" s="28" t="s">
        <v>25282</v>
      </c>
      <c r="F1063" s="28" t="s">
        <v>25185</v>
      </c>
      <c r="G1063" s="28" t="s">
        <v>19285</v>
      </c>
      <c r="H1063" s="28" t="s">
        <v>19239</v>
      </c>
      <c r="I1063" s="30">
        <v>45481</v>
      </c>
      <c r="J1063" s="30">
        <v>45485</v>
      </c>
      <c r="K1063" s="53">
        <v>5</v>
      </c>
      <c r="L1063" s="29">
        <v>1</v>
      </c>
      <c r="M1063" s="27" t="s">
        <v>25036</v>
      </c>
    </row>
    <row r="1064" spans="1:13" s="27" customFormat="1" ht="17.25" customHeight="1" x14ac:dyDescent="0.25">
      <c r="A1064" s="28" t="s">
        <v>6</v>
      </c>
      <c r="B1064" s="28">
        <v>98452593</v>
      </c>
      <c r="C1064" s="28" t="s">
        <v>25415</v>
      </c>
      <c r="D1064" s="28" t="s">
        <v>25748</v>
      </c>
      <c r="E1064" s="28" t="s">
        <v>25663</v>
      </c>
      <c r="F1064" s="28" t="s">
        <v>25110</v>
      </c>
      <c r="G1064" s="28" t="s">
        <v>19285</v>
      </c>
      <c r="H1064" s="28" t="s">
        <v>19238</v>
      </c>
      <c r="I1064" s="30">
        <v>45481</v>
      </c>
      <c r="J1064" s="30">
        <v>45496</v>
      </c>
      <c r="K1064" s="53">
        <v>16</v>
      </c>
      <c r="L1064" s="29"/>
      <c r="M1064" s="27" t="s">
        <v>19257</v>
      </c>
    </row>
    <row r="1065" spans="1:13" s="27" customFormat="1" ht="17.25" customHeight="1" x14ac:dyDescent="0.25">
      <c r="A1065" s="28" t="s">
        <v>6</v>
      </c>
      <c r="B1065" s="28">
        <v>43918754</v>
      </c>
      <c r="C1065" s="28" t="s">
        <v>25480</v>
      </c>
      <c r="D1065" s="28" t="s">
        <v>24983</v>
      </c>
      <c r="E1065" s="28" t="s">
        <v>25165</v>
      </c>
      <c r="F1065" s="28" t="s">
        <v>26091</v>
      </c>
      <c r="G1065" s="28" t="s">
        <v>19229</v>
      </c>
      <c r="H1065" s="28" t="s">
        <v>19240</v>
      </c>
      <c r="I1065" s="30">
        <v>45482</v>
      </c>
      <c r="J1065" s="30">
        <v>45482</v>
      </c>
      <c r="K1065" s="53">
        <v>1</v>
      </c>
      <c r="L1065" s="29"/>
      <c r="M1065" s="27" t="s">
        <v>24991</v>
      </c>
    </row>
    <row r="1066" spans="1:13" s="27" customFormat="1" ht="17.25" customHeight="1" x14ac:dyDescent="0.25">
      <c r="A1066" s="28" t="s">
        <v>6</v>
      </c>
      <c r="B1066" s="28">
        <v>1010060242</v>
      </c>
      <c r="C1066" s="28" t="s">
        <v>25502</v>
      </c>
      <c r="D1066" s="28" t="s">
        <v>25503</v>
      </c>
      <c r="E1066" s="28" t="s">
        <v>25504</v>
      </c>
      <c r="F1066" s="28"/>
      <c r="G1066" s="28" t="s">
        <v>19285</v>
      </c>
      <c r="H1066" s="28" t="s">
        <v>19238</v>
      </c>
      <c r="I1066" s="30">
        <v>45482</v>
      </c>
      <c r="J1066" s="30">
        <v>44401</v>
      </c>
      <c r="K1066" s="53">
        <v>16</v>
      </c>
      <c r="L1066" s="29"/>
      <c r="M1066" s="27" t="s">
        <v>19257</v>
      </c>
    </row>
    <row r="1067" spans="1:13" s="27" customFormat="1" ht="17.25" customHeight="1" x14ac:dyDescent="0.25">
      <c r="A1067" s="28" t="s">
        <v>6</v>
      </c>
      <c r="B1067" s="28">
        <v>1000406256</v>
      </c>
      <c r="C1067" s="28" t="s">
        <v>25513</v>
      </c>
      <c r="D1067" s="28" t="s">
        <v>26081</v>
      </c>
      <c r="E1067" s="28" t="s">
        <v>25282</v>
      </c>
      <c r="F1067" s="28" t="s">
        <v>25286</v>
      </c>
      <c r="G1067" s="28" t="s">
        <v>19285</v>
      </c>
      <c r="H1067" s="28" t="s">
        <v>19238</v>
      </c>
      <c r="I1067" s="30">
        <v>45482</v>
      </c>
      <c r="J1067" s="30">
        <v>45496</v>
      </c>
      <c r="K1067" s="53">
        <v>15</v>
      </c>
      <c r="L1067" s="29"/>
      <c r="M1067" s="27" t="s">
        <v>19257</v>
      </c>
    </row>
    <row r="1068" spans="1:13" s="27" customFormat="1" ht="17.25" customHeight="1" x14ac:dyDescent="0.25">
      <c r="A1068" s="28" t="s">
        <v>6</v>
      </c>
      <c r="B1068" s="28">
        <v>71609620</v>
      </c>
      <c r="C1068" s="28" t="s">
        <v>25993</v>
      </c>
      <c r="D1068" s="28" t="s">
        <v>26032</v>
      </c>
      <c r="E1068" s="28" t="s">
        <v>25380</v>
      </c>
      <c r="F1068" s="28" t="s">
        <v>25131</v>
      </c>
      <c r="G1068" s="28" t="s">
        <v>19229</v>
      </c>
      <c r="H1068" s="28" t="s">
        <v>19239</v>
      </c>
      <c r="I1068" s="30">
        <v>45483</v>
      </c>
      <c r="J1068" s="30">
        <v>45485</v>
      </c>
      <c r="K1068" s="53">
        <v>3</v>
      </c>
      <c r="L1068" s="29">
        <v>10</v>
      </c>
      <c r="M1068" s="27" t="s">
        <v>25036</v>
      </c>
    </row>
    <row r="1069" spans="1:13" s="27" customFormat="1" ht="17.25" customHeight="1" x14ac:dyDescent="0.25">
      <c r="A1069" s="28" t="s">
        <v>6</v>
      </c>
      <c r="B1069" s="28">
        <v>7379420</v>
      </c>
      <c r="C1069" s="28" t="s">
        <v>25006</v>
      </c>
      <c r="D1069" s="28" t="s">
        <v>25621</v>
      </c>
      <c r="E1069" s="28" t="s">
        <v>25622</v>
      </c>
      <c r="F1069" s="28" t="s">
        <v>25320</v>
      </c>
      <c r="G1069" s="28" t="s">
        <v>19229</v>
      </c>
      <c r="H1069" s="28" t="s">
        <v>19238</v>
      </c>
      <c r="I1069" s="30">
        <v>45483</v>
      </c>
      <c r="J1069" s="30">
        <v>45497</v>
      </c>
      <c r="K1069" s="53">
        <v>15</v>
      </c>
      <c r="L1069" s="29"/>
      <c r="M1069" s="27" t="s">
        <v>19257</v>
      </c>
    </row>
    <row r="1070" spans="1:13" s="27" customFormat="1" ht="17.25" customHeight="1" x14ac:dyDescent="0.25">
      <c r="A1070" s="28" t="s">
        <v>6</v>
      </c>
      <c r="B1070" s="28">
        <v>98573446</v>
      </c>
      <c r="C1070" s="28" t="s">
        <v>25658</v>
      </c>
      <c r="D1070" s="28" t="s">
        <v>25372</v>
      </c>
      <c r="E1070" s="28" t="s">
        <v>25091</v>
      </c>
      <c r="F1070" s="28" t="s">
        <v>25162</v>
      </c>
      <c r="G1070" s="28" t="s">
        <v>19285</v>
      </c>
      <c r="H1070" s="28" t="s">
        <v>19238</v>
      </c>
      <c r="I1070" s="30">
        <v>45483</v>
      </c>
      <c r="J1070" s="30">
        <v>45498</v>
      </c>
      <c r="K1070" s="53">
        <v>16</v>
      </c>
      <c r="L1070" s="29"/>
      <c r="M1070" s="27" t="s">
        <v>19257</v>
      </c>
    </row>
    <row r="1071" spans="1:13" s="27" customFormat="1" ht="17.25" customHeight="1" x14ac:dyDescent="0.25">
      <c r="A1071" s="28" t="s">
        <v>6</v>
      </c>
      <c r="B1071" s="28">
        <v>11937772</v>
      </c>
      <c r="C1071" s="28" t="s">
        <v>25108</v>
      </c>
      <c r="D1071" s="28" t="s">
        <v>25108</v>
      </c>
      <c r="E1071" s="28" t="s">
        <v>25582</v>
      </c>
      <c r="F1071" s="28" t="s">
        <v>25583</v>
      </c>
      <c r="G1071" s="28" t="s">
        <v>19285</v>
      </c>
      <c r="H1071" s="28" t="s">
        <v>19238</v>
      </c>
      <c r="I1071" s="30">
        <v>45483</v>
      </c>
      <c r="J1071" s="30">
        <v>45497</v>
      </c>
      <c r="K1071" s="53">
        <v>15</v>
      </c>
      <c r="L1071" s="29"/>
      <c r="M1071" s="27" t="s">
        <v>19257</v>
      </c>
    </row>
    <row r="1072" spans="1:13" s="27" customFormat="1" ht="17.25" customHeight="1" x14ac:dyDescent="0.25">
      <c r="A1072" s="28" t="s">
        <v>6</v>
      </c>
      <c r="B1072" s="28">
        <v>43918754</v>
      </c>
      <c r="C1072" s="28" t="s">
        <v>25480</v>
      </c>
      <c r="D1072" s="28" t="s">
        <v>24983</v>
      </c>
      <c r="E1072" s="28" t="s">
        <v>25165</v>
      </c>
      <c r="F1072" s="28" t="s">
        <v>26091</v>
      </c>
      <c r="G1072" s="28" t="s">
        <v>19229</v>
      </c>
      <c r="H1072" s="28" t="s">
        <v>19240</v>
      </c>
      <c r="I1072" s="30">
        <v>45484</v>
      </c>
      <c r="J1072" s="30">
        <v>45484</v>
      </c>
      <c r="K1072" s="53">
        <v>1</v>
      </c>
      <c r="L1072" s="29"/>
      <c r="M1072" s="27" t="s">
        <v>24991</v>
      </c>
    </row>
    <row r="1073" spans="1:13" s="27" customFormat="1" ht="17.25" customHeight="1" x14ac:dyDescent="0.25">
      <c r="A1073" s="28" t="s">
        <v>6</v>
      </c>
      <c r="B1073" s="28">
        <v>71719849</v>
      </c>
      <c r="C1073" s="28" t="s">
        <v>25105</v>
      </c>
      <c r="D1073" s="28" t="s">
        <v>25105</v>
      </c>
      <c r="E1073" s="28" t="s">
        <v>25282</v>
      </c>
      <c r="F1073" s="28" t="s">
        <v>25119</v>
      </c>
      <c r="G1073" s="28" t="s">
        <v>19285</v>
      </c>
      <c r="H1073" s="28" t="s">
        <v>19238</v>
      </c>
      <c r="I1073" s="30">
        <v>45484</v>
      </c>
      <c r="J1073" s="30">
        <v>45499</v>
      </c>
      <c r="K1073" s="53">
        <v>8</v>
      </c>
      <c r="L1073" s="29"/>
      <c r="M1073" s="27" t="s">
        <v>19257</v>
      </c>
    </row>
    <row r="1074" spans="1:13" s="27" customFormat="1" ht="17.25" customHeight="1" x14ac:dyDescent="0.25">
      <c r="A1074" s="28" t="s">
        <v>6</v>
      </c>
      <c r="B1074" s="28">
        <v>4805917</v>
      </c>
      <c r="C1074" s="28" t="s">
        <v>25214</v>
      </c>
      <c r="D1074" s="28" t="s">
        <v>25173</v>
      </c>
      <c r="E1074" s="28" t="s">
        <v>26262</v>
      </c>
      <c r="F1074" s="28"/>
      <c r="G1074" s="28" t="s">
        <v>19229</v>
      </c>
      <c r="H1074" s="28" t="s">
        <v>19239</v>
      </c>
      <c r="I1074" s="30">
        <v>45485</v>
      </c>
      <c r="J1074" s="30">
        <v>45485</v>
      </c>
      <c r="K1074" s="53">
        <v>1</v>
      </c>
      <c r="L1074" s="29">
        <v>4</v>
      </c>
      <c r="M1074" s="27" t="s">
        <v>25036</v>
      </c>
    </row>
    <row r="1075" spans="1:13" s="27" customFormat="1" ht="17.25" customHeight="1" x14ac:dyDescent="0.25">
      <c r="A1075" s="28" t="s">
        <v>6</v>
      </c>
      <c r="B1075" s="28">
        <v>1040043423</v>
      </c>
      <c r="C1075" s="28" t="s">
        <v>26260</v>
      </c>
      <c r="D1075" s="28" t="s">
        <v>26261</v>
      </c>
      <c r="E1075" s="28" t="s">
        <v>25203</v>
      </c>
      <c r="F1075" s="28" t="s">
        <v>25020</v>
      </c>
      <c r="G1075" s="28" t="s">
        <v>25328</v>
      </c>
      <c r="H1075" s="28" t="s">
        <v>19239</v>
      </c>
      <c r="I1075" s="30">
        <v>45486</v>
      </c>
      <c r="J1075" s="30">
        <v>45490</v>
      </c>
      <c r="K1075" s="53">
        <v>5</v>
      </c>
      <c r="L1075" s="29">
        <v>1</v>
      </c>
      <c r="M1075" s="27" t="s">
        <v>25036</v>
      </c>
    </row>
    <row r="1076" spans="1:13" s="27" customFormat="1" ht="17.25" customHeight="1" x14ac:dyDescent="0.25">
      <c r="A1076" s="28" t="s">
        <v>6</v>
      </c>
      <c r="B1076" s="28">
        <v>70133821</v>
      </c>
      <c r="C1076" s="28" t="s">
        <v>25200</v>
      </c>
      <c r="D1076" s="28" t="s">
        <v>25523</v>
      </c>
      <c r="E1076" s="28" t="s">
        <v>25203</v>
      </c>
      <c r="F1076" s="28" t="s">
        <v>25005</v>
      </c>
      <c r="G1076" s="28" t="s">
        <v>19285</v>
      </c>
      <c r="H1076" s="28" t="s">
        <v>19238</v>
      </c>
      <c r="I1076" s="30">
        <v>45487</v>
      </c>
      <c r="J1076" s="30">
        <v>45494</v>
      </c>
      <c r="K1076" s="53">
        <v>8</v>
      </c>
      <c r="L1076" s="29"/>
      <c r="M1076" s="27" t="s">
        <v>19257</v>
      </c>
    </row>
    <row r="1077" spans="1:13" s="27" customFormat="1" ht="17.25" customHeight="1" x14ac:dyDescent="0.25">
      <c r="A1077" s="28" t="s">
        <v>6</v>
      </c>
      <c r="B1077" s="28">
        <v>1128480310</v>
      </c>
      <c r="C1077" s="28" t="s">
        <v>25508</v>
      </c>
      <c r="D1077" s="28" t="s">
        <v>25508</v>
      </c>
      <c r="E1077" s="28" t="s">
        <v>25089</v>
      </c>
      <c r="F1077" s="28" t="s">
        <v>25135</v>
      </c>
      <c r="G1077" s="28" t="s">
        <v>19229</v>
      </c>
      <c r="H1077" s="28" t="s">
        <v>19240</v>
      </c>
      <c r="I1077" s="30">
        <v>45488</v>
      </c>
      <c r="J1077" s="30">
        <v>45488</v>
      </c>
      <c r="K1077" s="53">
        <v>1</v>
      </c>
      <c r="L1077" s="29"/>
      <c r="M1077" s="27" t="s">
        <v>24991</v>
      </c>
    </row>
    <row r="1078" spans="1:13" s="27" customFormat="1" ht="17.25" customHeight="1" x14ac:dyDescent="0.25">
      <c r="A1078" s="28" t="s">
        <v>6</v>
      </c>
      <c r="B1078" s="28">
        <v>1003097473</v>
      </c>
      <c r="C1078" s="28" t="s">
        <v>25593</v>
      </c>
      <c r="D1078" s="28" t="s">
        <v>26116</v>
      </c>
      <c r="E1078" s="28" t="s">
        <v>25731</v>
      </c>
      <c r="F1078" s="28"/>
      <c r="G1078" s="28" t="s">
        <v>19229</v>
      </c>
      <c r="H1078" s="28" t="s">
        <v>19239</v>
      </c>
      <c r="I1078" s="30">
        <v>45488</v>
      </c>
      <c r="J1078" s="30">
        <v>45488</v>
      </c>
      <c r="K1078" s="53">
        <v>1</v>
      </c>
      <c r="L1078" s="29">
        <v>4</v>
      </c>
      <c r="M1078" s="27" t="s">
        <v>25036</v>
      </c>
    </row>
    <row r="1079" spans="1:13" s="27" customFormat="1" ht="17.25" customHeight="1" x14ac:dyDescent="0.25">
      <c r="A1079" s="28" t="s">
        <v>6</v>
      </c>
      <c r="B1079" s="28">
        <v>94255492</v>
      </c>
      <c r="C1079" s="28" t="s">
        <v>25003</v>
      </c>
      <c r="D1079" s="28" t="s">
        <v>25367</v>
      </c>
      <c r="E1079" s="28" t="s">
        <v>25168</v>
      </c>
      <c r="F1079" s="28" t="s">
        <v>25005</v>
      </c>
      <c r="G1079" s="28" t="s">
        <v>19285</v>
      </c>
      <c r="H1079" s="28" t="s">
        <v>19240</v>
      </c>
      <c r="I1079" s="30">
        <v>45488</v>
      </c>
      <c r="J1079" s="30">
        <v>45492</v>
      </c>
      <c r="K1079" s="53">
        <v>5</v>
      </c>
      <c r="L1079" s="29"/>
      <c r="M1079" s="27" t="s">
        <v>26106</v>
      </c>
    </row>
    <row r="1080" spans="1:13" s="27" customFormat="1" ht="17.25" customHeight="1" x14ac:dyDescent="0.25">
      <c r="A1080" s="28" t="s">
        <v>6</v>
      </c>
      <c r="B1080" s="28">
        <v>1007632849</v>
      </c>
      <c r="C1080" s="28" t="s">
        <v>26298</v>
      </c>
      <c r="D1080" s="28" t="s">
        <v>25175</v>
      </c>
      <c r="E1080" s="28" t="s">
        <v>26171</v>
      </c>
      <c r="F1080" s="28" t="s">
        <v>25080</v>
      </c>
      <c r="G1080" s="28" t="s">
        <v>19229</v>
      </c>
      <c r="H1080" s="28" t="s">
        <v>19238</v>
      </c>
      <c r="I1080" s="30">
        <v>45488</v>
      </c>
      <c r="J1080" s="30">
        <v>45502</v>
      </c>
      <c r="K1080" s="53">
        <v>15</v>
      </c>
      <c r="L1080" s="29"/>
      <c r="M1080" s="27" t="s">
        <v>19257</v>
      </c>
    </row>
    <row r="1081" spans="1:13" s="27" customFormat="1" ht="17.25" customHeight="1" x14ac:dyDescent="0.25">
      <c r="A1081" s="28" t="s">
        <v>6</v>
      </c>
      <c r="B1081" s="28">
        <v>1128479571</v>
      </c>
      <c r="C1081" s="28" t="s">
        <v>25428</v>
      </c>
      <c r="D1081" s="28" t="s">
        <v>25429</v>
      </c>
      <c r="E1081" s="28" t="s">
        <v>25430</v>
      </c>
      <c r="F1081" s="28" t="s">
        <v>25107</v>
      </c>
      <c r="G1081" s="28" t="s">
        <v>19285</v>
      </c>
      <c r="H1081" s="28" t="s">
        <v>19238</v>
      </c>
      <c r="I1081" s="30">
        <v>45489</v>
      </c>
      <c r="J1081" s="30">
        <v>45503</v>
      </c>
      <c r="K1081" s="53">
        <v>15</v>
      </c>
      <c r="L1081" s="29"/>
      <c r="M1081" s="27" t="s">
        <v>19257</v>
      </c>
    </row>
    <row r="1082" spans="1:13" s="27" customFormat="1" ht="17.25" customHeight="1" x14ac:dyDescent="0.25">
      <c r="A1082" s="28" t="s">
        <v>6</v>
      </c>
      <c r="B1082" s="28">
        <v>1037269695</v>
      </c>
      <c r="C1082" s="28" t="s">
        <v>24987</v>
      </c>
      <c r="D1082" s="28" t="s">
        <v>25508</v>
      </c>
      <c r="E1082" s="28" t="s">
        <v>25977</v>
      </c>
      <c r="F1082" s="28" t="s">
        <v>25512</v>
      </c>
      <c r="G1082" s="28" t="s">
        <v>19229</v>
      </c>
      <c r="H1082" s="28" t="s">
        <v>19238</v>
      </c>
      <c r="I1082" s="30">
        <v>45489</v>
      </c>
      <c r="J1082" s="30">
        <v>45503</v>
      </c>
      <c r="K1082" s="53">
        <v>15</v>
      </c>
      <c r="L1082" s="29"/>
      <c r="M1082" s="27" t="s">
        <v>19257</v>
      </c>
    </row>
    <row r="1083" spans="1:13" s="27" customFormat="1" ht="17.25" customHeight="1" x14ac:dyDescent="0.25">
      <c r="A1083" s="28" t="s">
        <v>6</v>
      </c>
      <c r="B1083" s="28">
        <v>1100688038</v>
      </c>
      <c r="C1083" s="28" t="s">
        <v>25161</v>
      </c>
      <c r="D1083" s="28" t="s">
        <v>25034</v>
      </c>
      <c r="E1083" s="28" t="s">
        <v>25397</v>
      </c>
      <c r="F1083" s="28" t="s">
        <v>25010</v>
      </c>
      <c r="G1083" s="28" t="s">
        <v>19285</v>
      </c>
      <c r="H1083" s="28" t="s">
        <v>19238</v>
      </c>
      <c r="I1083" s="30">
        <v>45489</v>
      </c>
      <c r="J1083" s="30">
        <v>45503</v>
      </c>
      <c r="K1083" s="53">
        <v>15</v>
      </c>
      <c r="L1083" s="29"/>
      <c r="M1083" s="27" t="s">
        <v>19257</v>
      </c>
    </row>
    <row r="1084" spans="1:13" s="27" customFormat="1" ht="17.25" customHeight="1" x14ac:dyDescent="0.25">
      <c r="A1084" s="28" t="s">
        <v>6</v>
      </c>
      <c r="B1084" s="28">
        <v>15457694</v>
      </c>
      <c r="C1084" s="28" t="s">
        <v>25225</v>
      </c>
      <c r="D1084" s="28" t="s">
        <v>26062</v>
      </c>
      <c r="E1084" s="28" t="s">
        <v>25056</v>
      </c>
      <c r="F1084" s="28" t="s">
        <v>25371</v>
      </c>
      <c r="G1084" s="28" t="s">
        <v>19229</v>
      </c>
      <c r="H1084" s="28" t="s">
        <v>19238</v>
      </c>
      <c r="I1084" s="30">
        <v>45489</v>
      </c>
      <c r="J1084" s="30">
        <v>45503</v>
      </c>
      <c r="K1084" s="53">
        <v>15</v>
      </c>
      <c r="L1084" s="29"/>
      <c r="M1084" s="27" t="s">
        <v>19257</v>
      </c>
    </row>
    <row r="1085" spans="1:13" s="27" customFormat="1" ht="17.25" customHeight="1" x14ac:dyDescent="0.25">
      <c r="A1085" s="28" t="s">
        <v>6</v>
      </c>
      <c r="B1085" s="28">
        <v>1128479571</v>
      </c>
      <c r="C1085" s="28" t="s">
        <v>25428</v>
      </c>
      <c r="D1085" s="28" t="s">
        <v>25429</v>
      </c>
      <c r="E1085" s="28" t="s">
        <v>25430</v>
      </c>
      <c r="F1085" s="28" t="s">
        <v>25107</v>
      </c>
      <c r="G1085" s="28" t="s">
        <v>19229</v>
      </c>
      <c r="H1085" s="28" t="s">
        <v>19238</v>
      </c>
      <c r="I1085" s="30">
        <v>45489</v>
      </c>
      <c r="J1085" s="30">
        <v>45503</v>
      </c>
      <c r="K1085" s="53">
        <v>15</v>
      </c>
      <c r="L1085" s="29"/>
      <c r="M1085" s="27" t="s">
        <v>19257</v>
      </c>
    </row>
    <row r="1086" spans="1:13" s="27" customFormat="1" ht="17.25" customHeight="1" x14ac:dyDescent="0.25">
      <c r="A1086" s="28" t="s">
        <v>6</v>
      </c>
      <c r="B1086" s="28">
        <v>1040321290</v>
      </c>
      <c r="C1086" s="28" t="s">
        <v>25480</v>
      </c>
      <c r="D1086" s="28" t="s">
        <v>25480</v>
      </c>
      <c r="E1086" s="28" t="s">
        <v>25183</v>
      </c>
      <c r="F1086" s="28" t="s">
        <v>25028</v>
      </c>
      <c r="G1086" s="28" t="s">
        <v>19229</v>
      </c>
      <c r="H1086" s="28" t="s">
        <v>19238</v>
      </c>
      <c r="I1086" s="30">
        <v>45489</v>
      </c>
      <c r="J1086" s="30">
        <v>45504</v>
      </c>
      <c r="K1086" s="53">
        <v>16</v>
      </c>
      <c r="L1086" s="29"/>
      <c r="M1086" s="27" t="s">
        <v>19257</v>
      </c>
    </row>
    <row r="1087" spans="1:13" s="27" customFormat="1" ht="17.25" customHeight="1" x14ac:dyDescent="0.25">
      <c r="A1087" s="28" t="s">
        <v>6</v>
      </c>
      <c r="B1087" s="28">
        <v>1017149200</v>
      </c>
      <c r="C1087" s="28" t="s">
        <v>25127</v>
      </c>
      <c r="D1087" s="28" t="s">
        <v>25593</v>
      </c>
      <c r="E1087" s="28" t="s">
        <v>25773</v>
      </c>
      <c r="F1087" s="28" t="s">
        <v>25774</v>
      </c>
      <c r="G1087" s="28" t="s">
        <v>19229</v>
      </c>
      <c r="H1087" s="28" t="s">
        <v>19238</v>
      </c>
      <c r="I1087" s="30">
        <v>45489</v>
      </c>
      <c r="J1087" s="30">
        <v>45504</v>
      </c>
      <c r="K1087" s="53">
        <v>15</v>
      </c>
      <c r="L1087" s="29"/>
      <c r="M1087" s="27" t="s">
        <v>19257</v>
      </c>
    </row>
    <row r="1088" spans="1:13" s="27" customFormat="1" ht="17.25" customHeight="1" x14ac:dyDescent="0.25">
      <c r="A1088" s="28" t="s">
        <v>6</v>
      </c>
      <c r="B1088" s="28">
        <v>1037269695</v>
      </c>
      <c r="C1088" s="28" t="s">
        <v>24987</v>
      </c>
      <c r="D1088" s="28" t="s">
        <v>25508</v>
      </c>
      <c r="E1088" s="28" t="s">
        <v>25977</v>
      </c>
      <c r="F1088" s="28" t="s">
        <v>25512</v>
      </c>
      <c r="G1088" s="28" t="s">
        <v>19229</v>
      </c>
      <c r="H1088" s="28" t="s">
        <v>19238</v>
      </c>
      <c r="I1088" s="30">
        <v>45489</v>
      </c>
      <c r="J1088" s="30">
        <v>45504</v>
      </c>
      <c r="K1088" s="53">
        <v>15</v>
      </c>
      <c r="L1088" s="29"/>
      <c r="M1088" s="27" t="s">
        <v>19257</v>
      </c>
    </row>
    <row r="1089" spans="1:13" s="27" customFormat="1" ht="17.25" customHeight="1" x14ac:dyDescent="0.25">
      <c r="A1089" s="28" t="s">
        <v>6</v>
      </c>
      <c r="B1089" s="28">
        <v>1007734426</v>
      </c>
      <c r="C1089" s="28" t="s">
        <v>26263</v>
      </c>
      <c r="D1089" s="28" t="s">
        <v>25202</v>
      </c>
      <c r="E1089" s="28" t="s">
        <v>6</v>
      </c>
      <c r="F1089" s="28" t="s">
        <v>25878</v>
      </c>
      <c r="G1089" s="28" t="s">
        <v>19229</v>
      </c>
      <c r="H1089" s="28" t="s">
        <v>19239</v>
      </c>
      <c r="I1089" s="30">
        <v>45490</v>
      </c>
      <c r="J1089" s="30">
        <v>45490</v>
      </c>
      <c r="K1089" s="53">
        <v>1</v>
      </c>
      <c r="L1089" s="29">
        <v>4</v>
      </c>
      <c r="M1089" s="27" t="s">
        <v>25036</v>
      </c>
    </row>
    <row r="1090" spans="1:13" s="27" customFormat="1" ht="17.25" customHeight="1" x14ac:dyDescent="0.25">
      <c r="A1090" s="28" t="s">
        <v>6</v>
      </c>
      <c r="B1090" s="28">
        <v>98701505</v>
      </c>
      <c r="C1090" s="28" t="s">
        <v>24998</v>
      </c>
      <c r="D1090" s="28" t="s">
        <v>25593</v>
      </c>
      <c r="E1090" s="28" t="s">
        <v>25858</v>
      </c>
      <c r="F1090" s="28" t="s">
        <v>25010</v>
      </c>
      <c r="G1090" s="28" t="s">
        <v>19229</v>
      </c>
      <c r="H1090" s="28" t="s">
        <v>19238</v>
      </c>
      <c r="I1090" s="30">
        <v>45490</v>
      </c>
      <c r="J1090" s="30">
        <v>45507</v>
      </c>
      <c r="K1090" s="53">
        <v>18</v>
      </c>
      <c r="L1090" s="29"/>
      <c r="M1090" s="27" t="s">
        <v>19257</v>
      </c>
    </row>
    <row r="1091" spans="1:13" s="27" customFormat="1" ht="17.25" customHeight="1" x14ac:dyDescent="0.25">
      <c r="A1091" s="28" t="s">
        <v>6</v>
      </c>
      <c r="B1091" s="28">
        <v>98648701</v>
      </c>
      <c r="C1091" s="28" t="s">
        <v>25034</v>
      </c>
      <c r="D1091" s="28" t="s">
        <v>25426</v>
      </c>
      <c r="E1091" s="28" t="s">
        <v>25977</v>
      </c>
      <c r="F1091" s="28" t="s">
        <v>25554</v>
      </c>
      <c r="G1091" s="28" t="s">
        <v>19229</v>
      </c>
      <c r="H1091" s="28" t="s">
        <v>19238</v>
      </c>
      <c r="I1091" s="30">
        <v>45490</v>
      </c>
      <c r="J1091" s="30">
        <v>45497</v>
      </c>
      <c r="K1091" s="53">
        <v>8</v>
      </c>
      <c r="L1091" s="29"/>
      <c r="M1091" s="27" t="s">
        <v>19257</v>
      </c>
    </row>
    <row r="1092" spans="1:13" s="27" customFormat="1" ht="17.25" customHeight="1" x14ac:dyDescent="0.25">
      <c r="A1092" s="28" t="s">
        <v>6</v>
      </c>
      <c r="B1092" s="28">
        <v>1069479322</v>
      </c>
      <c r="C1092" s="28" t="s">
        <v>25034</v>
      </c>
      <c r="D1092" s="28" t="s">
        <v>25021</v>
      </c>
      <c r="E1092" s="28" t="s">
        <v>25425</v>
      </c>
      <c r="F1092" s="28" t="s">
        <v>25213</v>
      </c>
      <c r="G1092" s="28" t="s">
        <v>19229</v>
      </c>
      <c r="H1092" s="28" t="s">
        <v>19240</v>
      </c>
      <c r="I1092" s="30">
        <v>45491</v>
      </c>
      <c r="J1092" s="30">
        <v>45491</v>
      </c>
      <c r="K1092" s="53">
        <v>1</v>
      </c>
      <c r="L1092" s="29"/>
      <c r="M1092" s="27" t="s">
        <v>24991</v>
      </c>
    </row>
    <row r="1093" spans="1:13" s="27" customFormat="1" ht="17.25" customHeight="1" x14ac:dyDescent="0.25">
      <c r="A1093" s="28" t="s">
        <v>6</v>
      </c>
      <c r="B1093" s="28">
        <v>93378743</v>
      </c>
      <c r="C1093" s="28" t="s">
        <v>25108</v>
      </c>
      <c r="D1093" s="28" t="s">
        <v>26321</v>
      </c>
      <c r="E1093" s="28" t="s">
        <v>25130</v>
      </c>
      <c r="F1093" s="28" t="s">
        <v>25920</v>
      </c>
      <c r="G1093" s="28" t="s">
        <v>19229</v>
      </c>
      <c r="H1093" s="28" t="s">
        <v>19240</v>
      </c>
      <c r="I1093" s="30">
        <v>45491</v>
      </c>
      <c r="J1093" s="30">
        <v>45491</v>
      </c>
      <c r="K1093" s="53">
        <v>1</v>
      </c>
      <c r="L1093" s="29"/>
      <c r="M1093" s="27" t="s">
        <v>24991</v>
      </c>
    </row>
    <row r="1094" spans="1:13" s="27" customFormat="1" ht="17.25" customHeight="1" x14ac:dyDescent="0.25">
      <c r="A1094" s="28" t="s">
        <v>6</v>
      </c>
      <c r="B1094" s="28">
        <v>1035871508</v>
      </c>
      <c r="C1094" s="28" t="s">
        <v>25053</v>
      </c>
      <c r="D1094" s="28" t="s">
        <v>25105</v>
      </c>
      <c r="E1094" s="28" t="s">
        <v>26265</v>
      </c>
      <c r="F1094" s="28" t="s">
        <v>26266</v>
      </c>
      <c r="G1094" s="28" t="s">
        <v>19229</v>
      </c>
      <c r="H1094" s="28" t="s">
        <v>19239</v>
      </c>
      <c r="I1094" s="30">
        <v>45491</v>
      </c>
      <c r="J1094" s="30">
        <v>45491</v>
      </c>
      <c r="K1094" s="53">
        <v>1</v>
      </c>
      <c r="L1094" s="29">
        <v>4</v>
      </c>
      <c r="M1094" s="27" t="s">
        <v>25036</v>
      </c>
    </row>
    <row r="1095" spans="1:13" s="27" customFormat="1" ht="17.25" customHeight="1" x14ac:dyDescent="0.25">
      <c r="A1095" s="28" t="s">
        <v>6</v>
      </c>
      <c r="B1095" s="28">
        <v>1037073208</v>
      </c>
      <c r="C1095" s="28" t="s">
        <v>25306</v>
      </c>
      <c r="D1095" s="28" t="s">
        <v>25296</v>
      </c>
      <c r="E1095" s="28" t="s">
        <v>25087</v>
      </c>
      <c r="F1095" s="28" t="s">
        <v>25885</v>
      </c>
      <c r="G1095" s="28" t="s">
        <v>19229</v>
      </c>
      <c r="H1095" s="28" t="s">
        <v>19238</v>
      </c>
      <c r="I1095" s="30">
        <v>45491</v>
      </c>
      <c r="J1095" s="30">
        <v>45498</v>
      </c>
      <c r="K1095" s="53">
        <v>8</v>
      </c>
      <c r="L1095" s="29"/>
      <c r="M1095" s="27" t="s">
        <v>19257</v>
      </c>
    </row>
    <row r="1096" spans="1:13" s="27" customFormat="1" ht="17.25" customHeight="1" x14ac:dyDescent="0.25">
      <c r="A1096" s="28" t="s">
        <v>6</v>
      </c>
      <c r="B1096" s="28">
        <v>71657563</v>
      </c>
      <c r="C1096" s="28" t="s">
        <v>25901</v>
      </c>
      <c r="D1096" s="28" t="s">
        <v>25065</v>
      </c>
      <c r="E1096" s="28" t="s">
        <v>25902</v>
      </c>
      <c r="F1096" s="28" t="s">
        <v>25103</v>
      </c>
      <c r="G1096" s="28" t="s">
        <v>19229</v>
      </c>
      <c r="H1096" s="28" t="s">
        <v>19238</v>
      </c>
      <c r="I1096" s="30">
        <v>45491</v>
      </c>
      <c r="J1096" s="30">
        <v>45505</v>
      </c>
      <c r="K1096" s="53">
        <v>15</v>
      </c>
      <c r="L1096" s="29"/>
      <c r="M1096" s="27" t="s">
        <v>19257</v>
      </c>
    </row>
    <row r="1097" spans="1:13" s="27" customFormat="1" ht="17.25" customHeight="1" x14ac:dyDescent="0.25">
      <c r="A1097" s="28" t="s">
        <v>6</v>
      </c>
      <c r="B1097" s="28">
        <v>14572160</v>
      </c>
      <c r="C1097" s="28" t="s">
        <v>26069</v>
      </c>
      <c r="D1097" s="28" t="s">
        <v>25756</v>
      </c>
      <c r="E1097" s="28" t="s">
        <v>25522</v>
      </c>
      <c r="F1097" s="28" t="s">
        <v>25135</v>
      </c>
      <c r="G1097" s="28" t="s">
        <v>25328</v>
      </c>
      <c r="H1097" s="28" t="s">
        <v>19239</v>
      </c>
      <c r="I1097" s="30">
        <v>45492</v>
      </c>
      <c r="J1097" s="30">
        <v>45492</v>
      </c>
      <c r="K1097" s="53">
        <v>1</v>
      </c>
      <c r="L1097" s="29">
        <v>4</v>
      </c>
      <c r="M1097" s="27" t="s">
        <v>25036</v>
      </c>
    </row>
    <row r="1098" spans="1:13" s="27" customFormat="1" ht="17.25" customHeight="1" x14ac:dyDescent="0.25">
      <c r="A1098" s="28" t="s">
        <v>6</v>
      </c>
      <c r="B1098" s="28">
        <v>1148709574</v>
      </c>
      <c r="C1098" s="28" t="s">
        <v>25281</v>
      </c>
      <c r="D1098" s="28" t="s">
        <v>25160</v>
      </c>
      <c r="E1098" s="28" t="s">
        <v>26264</v>
      </c>
      <c r="F1098" s="28" t="s">
        <v>25110</v>
      </c>
      <c r="G1098" s="28" t="s">
        <v>19229</v>
      </c>
      <c r="H1098" s="28" t="s">
        <v>19239</v>
      </c>
      <c r="I1098" s="30">
        <v>45492</v>
      </c>
      <c r="J1098" s="30">
        <v>45492</v>
      </c>
      <c r="K1098" s="53">
        <v>1</v>
      </c>
      <c r="L1098" s="29">
        <v>9</v>
      </c>
      <c r="M1098" s="27" t="s">
        <v>25036</v>
      </c>
    </row>
    <row r="1099" spans="1:13" s="27" customFormat="1" ht="17.25" customHeight="1" x14ac:dyDescent="0.25">
      <c r="A1099" s="28" t="s">
        <v>6</v>
      </c>
      <c r="B1099" s="28">
        <v>98496895</v>
      </c>
      <c r="C1099" s="28" t="s">
        <v>25756</v>
      </c>
      <c r="D1099" s="28" t="s">
        <v>25372</v>
      </c>
      <c r="E1099" s="28" t="s">
        <v>25028</v>
      </c>
      <c r="F1099" s="28" t="s">
        <v>25064</v>
      </c>
      <c r="G1099" s="28" t="s">
        <v>19229</v>
      </c>
      <c r="H1099" s="28" t="s">
        <v>19240</v>
      </c>
      <c r="I1099" s="30">
        <v>45493</v>
      </c>
      <c r="J1099" s="30">
        <v>45494</v>
      </c>
      <c r="K1099" s="53">
        <v>2</v>
      </c>
      <c r="L1099" s="29"/>
      <c r="M1099" s="27" t="s">
        <v>24991</v>
      </c>
    </row>
    <row r="1100" spans="1:13" s="27" customFormat="1" ht="17.25" customHeight="1" x14ac:dyDescent="0.25">
      <c r="A1100" s="28" t="s">
        <v>6</v>
      </c>
      <c r="B1100" s="28">
        <v>70192897</v>
      </c>
      <c r="C1100" s="28" t="s">
        <v>25127</v>
      </c>
      <c r="D1100" s="28" t="s">
        <v>25127</v>
      </c>
      <c r="E1100" s="28" t="s">
        <v>25434</v>
      </c>
      <c r="F1100" s="28" t="s">
        <v>25051</v>
      </c>
      <c r="G1100" s="28" t="s">
        <v>19229</v>
      </c>
      <c r="H1100" s="28" t="s">
        <v>19238</v>
      </c>
      <c r="I1100" s="30">
        <v>45495</v>
      </c>
      <c r="J1100" s="30">
        <v>45510</v>
      </c>
      <c r="K1100" s="53">
        <v>16</v>
      </c>
      <c r="L1100" s="29"/>
      <c r="M1100" s="27" t="s">
        <v>19257</v>
      </c>
    </row>
    <row r="1101" spans="1:13" s="27" customFormat="1" ht="17.25" customHeight="1" x14ac:dyDescent="0.25">
      <c r="A1101" s="28" t="s">
        <v>6</v>
      </c>
      <c r="B1101" s="28">
        <v>1003205624</v>
      </c>
      <c r="C1101" s="28" t="s">
        <v>25696</v>
      </c>
      <c r="D1101" s="28" t="s">
        <v>25390</v>
      </c>
      <c r="E1101" s="28" t="s">
        <v>25130</v>
      </c>
      <c r="F1101" s="28" t="s">
        <v>25010</v>
      </c>
      <c r="G1101" s="28" t="s">
        <v>19229</v>
      </c>
      <c r="H1101" s="28" t="s">
        <v>19240</v>
      </c>
      <c r="I1101" s="30">
        <v>45496</v>
      </c>
      <c r="J1101" s="30">
        <v>45497</v>
      </c>
      <c r="K1101" s="53">
        <v>2</v>
      </c>
      <c r="L1101" s="29"/>
      <c r="M1101" s="27" t="s">
        <v>24991</v>
      </c>
    </row>
    <row r="1102" spans="1:13" s="27" customFormat="1" ht="17.25" customHeight="1" x14ac:dyDescent="0.25">
      <c r="A1102" s="28" t="s">
        <v>6</v>
      </c>
      <c r="B1102" s="28">
        <v>1002034525</v>
      </c>
      <c r="C1102" s="28" t="s">
        <v>25511</v>
      </c>
      <c r="D1102" s="28" t="s">
        <v>25090</v>
      </c>
      <c r="E1102" s="28" t="s">
        <v>26268</v>
      </c>
      <c r="F1102" s="28" t="s">
        <v>25177</v>
      </c>
      <c r="G1102" s="28" t="s">
        <v>19229</v>
      </c>
      <c r="H1102" s="28" t="s">
        <v>19239</v>
      </c>
      <c r="I1102" s="30">
        <v>45496</v>
      </c>
      <c r="J1102" s="30">
        <v>45498</v>
      </c>
      <c r="K1102" s="53">
        <v>3</v>
      </c>
      <c r="L1102" s="29">
        <v>10</v>
      </c>
      <c r="M1102" s="27" t="s">
        <v>25036</v>
      </c>
    </row>
    <row r="1103" spans="1:13" s="27" customFormat="1" ht="17.25" customHeight="1" x14ac:dyDescent="0.25">
      <c r="A1103" s="28" t="s">
        <v>6</v>
      </c>
      <c r="B1103" s="28">
        <v>1026134999</v>
      </c>
      <c r="C1103" s="28" t="s">
        <v>25287</v>
      </c>
      <c r="D1103" s="28" t="s">
        <v>25979</v>
      </c>
      <c r="E1103" s="28" t="s">
        <v>25676</v>
      </c>
      <c r="F1103" s="28" t="s">
        <v>25110</v>
      </c>
      <c r="G1103" s="28" t="s">
        <v>19229</v>
      </c>
      <c r="H1103" s="28" t="s">
        <v>19238</v>
      </c>
      <c r="I1103" s="30">
        <v>45496</v>
      </c>
      <c r="J1103" s="30">
        <v>45510</v>
      </c>
      <c r="K1103" s="53">
        <v>15</v>
      </c>
      <c r="L1103" s="29"/>
      <c r="M1103" s="27" t="s">
        <v>19257</v>
      </c>
    </row>
    <row r="1104" spans="1:13" s="27" customFormat="1" ht="17.25" customHeight="1" x14ac:dyDescent="0.25">
      <c r="A1104" s="28" t="s">
        <v>6</v>
      </c>
      <c r="B1104" s="28">
        <v>71193190</v>
      </c>
      <c r="C1104" s="28" t="s">
        <v>25155</v>
      </c>
      <c r="D1104" s="28" t="s">
        <v>25156</v>
      </c>
      <c r="E1104" s="28" t="s">
        <v>25157</v>
      </c>
      <c r="F1104" s="28" t="s">
        <v>25010</v>
      </c>
      <c r="G1104" s="28" t="s">
        <v>19285</v>
      </c>
      <c r="H1104" s="28" t="s">
        <v>19239</v>
      </c>
      <c r="I1104" s="30">
        <v>45497</v>
      </c>
      <c r="J1104" s="30">
        <v>45501</v>
      </c>
      <c r="K1104" s="53">
        <v>5</v>
      </c>
      <c r="L1104" s="29">
        <v>15</v>
      </c>
      <c r="M1104" s="27" t="s">
        <v>25036</v>
      </c>
    </row>
    <row r="1105" spans="1:13" s="27" customFormat="1" ht="17.25" customHeight="1" x14ac:dyDescent="0.25">
      <c r="A1105" s="28" t="s">
        <v>6</v>
      </c>
      <c r="B1105" s="28">
        <v>78646697</v>
      </c>
      <c r="C1105" s="28" t="s">
        <v>25109</v>
      </c>
      <c r="D1105" s="28" t="s">
        <v>25645</v>
      </c>
      <c r="E1105" s="28" t="s">
        <v>25678</v>
      </c>
      <c r="F1105" s="28" t="s">
        <v>25679</v>
      </c>
      <c r="G1105" s="28" t="s">
        <v>19229</v>
      </c>
      <c r="H1105" s="28" t="s">
        <v>19238</v>
      </c>
      <c r="I1105" s="30">
        <v>45497</v>
      </c>
      <c r="J1105" s="30">
        <v>45511</v>
      </c>
      <c r="K1105" s="53">
        <v>15</v>
      </c>
      <c r="L1105" s="29"/>
      <c r="M1105" s="27" t="s">
        <v>19257</v>
      </c>
    </row>
    <row r="1106" spans="1:13" s="27" customFormat="1" ht="17.25" customHeight="1" x14ac:dyDescent="0.25">
      <c r="A1106" s="28" t="s">
        <v>6</v>
      </c>
      <c r="B1106" s="28">
        <v>1152711359</v>
      </c>
      <c r="C1106" s="28" t="s">
        <v>25147</v>
      </c>
      <c r="D1106" s="28" t="s">
        <v>25053</v>
      </c>
      <c r="E1106" s="28" t="s">
        <v>25148</v>
      </c>
      <c r="F1106" s="28"/>
      <c r="G1106" s="28" t="s">
        <v>19285</v>
      </c>
      <c r="H1106" s="28" t="s">
        <v>19239</v>
      </c>
      <c r="I1106" s="30">
        <v>45498</v>
      </c>
      <c r="J1106" s="30">
        <v>45502</v>
      </c>
      <c r="K1106" s="53">
        <v>5</v>
      </c>
      <c r="L1106" s="29">
        <v>2</v>
      </c>
      <c r="M1106" s="27" t="s">
        <v>25036</v>
      </c>
    </row>
    <row r="1107" spans="1:13" s="27" customFormat="1" ht="17.25" customHeight="1" x14ac:dyDescent="0.25">
      <c r="A1107" s="28" t="s">
        <v>6</v>
      </c>
      <c r="B1107" s="28">
        <v>3569016</v>
      </c>
      <c r="C1107" s="28" t="s">
        <v>25093</v>
      </c>
      <c r="D1107" s="28" t="s">
        <v>25128</v>
      </c>
      <c r="E1107" s="28" t="s">
        <v>25548</v>
      </c>
      <c r="F1107" s="28" t="s">
        <v>25103</v>
      </c>
      <c r="G1107" s="28" t="s">
        <v>19285</v>
      </c>
      <c r="H1107" s="28" t="s">
        <v>19239</v>
      </c>
      <c r="I1107" s="30">
        <v>45498</v>
      </c>
      <c r="J1107" s="30">
        <v>45502</v>
      </c>
      <c r="K1107" s="53">
        <v>5</v>
      </c>
      <c r="L1107" s="29">
        <v>22</v>
      </c>
      <c r="M1107" s="27" t="s">
        <v>25036</v>
      </c>
    </row>
    <row r="1108" spans="1:13" s="27" customFormat="1" ht="17.25" customHeight="1" x14ac:dyDescent="0.25">
      <c r="A1108" s="28" t="s">
        <v>6</v>
      </c>
      <c r="B1108" s="28">
        <v>11804878</v>
      </c>
      <c r="C1108" s="28" t="s">
        <v>25906</v>
      </c>
      <c r="D1108" s="28" t="s">
        <v>25999</v>
      </c>
      <c r="E1108" s="28" t="s">
        <v>26267</v>
      </c>
      <c r="F1108" s="28"/>
      <c r="G1108" s="28" t="s">
        <v>19229</v>
      </c>
      <c r="H1108" s="28" t="s">
        <v>19239</v>
      </c>
      <c r="I1108" s="30">
        <v>45498</v>
      </c>
      <c r="J1108" s="30">
        <v>45498</v>
      </c>
      <c r="K1108" s="53">
        <v>1</v>
      </c>
      <c r="L1108" s="29">
        <v>4</v>
      </c>
      <c r="M1108" s="27" t="s">
        <v>25036</v>
      </c>
    </row>
    <row r="1109" spans="1:13" s="27" customFormat="1" ht="17.25" customHeight="1" x14ac:dyDescent="0.25">
      <c r="A1109" s="28" t="s">
        <v>6</v>
      </c>
      <c r="B1109" s="28">
        <v>98554838</v>
      </c>
      <c r="C1109" s="28" t="s">
        <v>24987</v>
      </c>
      <c r="D1109" s="28" t="s">
        <v>25426</v>
      </c>
      <c r="E1109" s="28" t="s">
        <v>25282</v>
      </c>
      <c r="F1109" s="28" t="s">
        <v>25028</v>
      </c>
      <c r="G1109" s="28" t="s">
        <v>19229</v>
      </c>
      <c r="H1109" s="28" t="s">
        <v>19239</v>
      </c>
      <c r="I1109" s="30">
        <v>45498</v>
      </c>
      <c r="J1109" s="30">
        <v>45498</v>
      </c>
      <c r="K1109" s="53">
        <v>1</v>
      </c>
      <c r="L1109" s="29">
        <v>4</v>
      </c>
      <c r="M1109" s="27" t="s">
        <v>25036</v>
      </c>
    </row>
    <row r="1110" spans="1:13" s="27" customFormat="1" ht="17.25" customHeight="1" x14ac:dyDescent="0.25">
      <c r="A1110" s="28" t="s">
        <v>6</v>
      </c>
      <c r="B1110" s="28">
        <v>71652357</v>
      </c>
      <c r="C1110" s="28" t="s">
        <v>25117</v>
      </c>
      <c r="D1110" s="28" t="s">
        <v>25118</v>
      </c>
      <c r="E1110" s="28" t="s">
        <v>25119</v>
      </c>
      <c r="F1110" s="28" t="s">
        <v>25004</v>
      </c>
      <c r="G1110" s="28" t="s">
        <v>19229</v>
      </c>
      <c r="H1110" s="28" t="s">
        <v>19239</v>
      </c>
      <c r="I1110" s="30">
        <v>45498</v>
      </c>
      <c r="J1110" s="30">
        <v>45500</v>
      </c>
      <c r="K1110" s="53">
        <v>3</v>
      </c>
      <c r="L1110" s="29">
        <v>6</v>
      </c>
      <c r="M1110" s="27" t="s">
        <v>25067</v>
      </c>
    </row>
    <row r="1111" spans="1:13" s="27" customFormat="1" ht="17.25" customHeight="1" x14ac:dyDescent="0.25">
      <c r="A1111" s="28" t="s">
        <v>6</v>
      </c>
      <c r="B1111" s="28">
        <v>1001016772</v>
      </c>
      <c r="C1111" s="28" t="s">
        <v>25364</v>
      </c>
      <c r="D1111" s="28" t="s">
        <v>25159</v>
      </c>
      <c r="E1111" s="28" t="s">
        <v>25842</v>
      </c>
      <c r="F1111" s="28" t="s">
        <v>25755</v>
      </c>
      <c r="G1111" s="28" t="s">
        <v>19229</v>
      </c>
      <c r="H1111" s="28" t="s">
        <v>19239</v>
      </c>
      <c r="I1111" s="30">
        <v>45498</v>
      </c>
      <c r="J1111" s="30">
        <v>45498</v>
      </c>
      <c r="K1111" s="53">
        <v>1</v>
      </c>
      <c r="L1111" s="29">
        <v>4</v>
      </c>
      <c r="M1111" s="27" t="s">
        <v>25036</v>
      </c>
    </row>
    <row r="1112" spans="1:13" s="27" customFormat="1" ht="17.25" customHeight="1" x14ac:dyDescent="0.25">
      <c r="A1112" s="28" t="s">
        <v>6</v>
      </c>
      <c r="B1112" s="28">
        <v>18396000</v>
      </c>
      <c r="C1112" s="28" t="s">
        <v>25034</v>
      </c>
      <c r="D1112" s="28" t="s">
        <v>25030</v>
      </c>
      <c r="E1112" s="28" t="s">
        <v>25091</v>
      </c>
      <c r="F1112" s="28" t="s">
        <v>25110</v>
      </c>
      <c r="G1112" s="28" t="s">
        <v>19229</v>
      </c>
      <c r="H1112" s="28" t="s">
        <v>19238</v>
      </c>
      <c r="I1112" s="30">
        <v>45498</v>
      </c>
      <c r="J1112" s="30">
        <v>45512</v>
      </c>
      <c r="K1112" s="53">
        <v>15</v>
      </c>
      <c r="L1112" s="29"/>
      <c r="M1112" s="27" t="s">
        <v>19257</v>
      </c>
    </row>
    <row r="1113" spans="1:13" s="27" customFormat="1" ht="17.25" customHeight="1" x14ac:dyDescent="0.25">
      <c r="A1113" s="28" t="s">
        <v>6</v>
      </c>
      <c r="B1113" s="28">
        <v>42731660</v>
      </c>
      <c r="C1113" s="28" t="s">
        <v>25529</v>
      </c>
      <c r="D1113" s="28" t="s">
        <v>25164</v>
      </c>
      <c r="E1113" s="28" t="s">
        <v>25611</v>
      </c>
      <c r="F1113" s="28" t="s">
        <v>26224</v>
      </c>
      <c r="G1113" s="28" t="s">
        <v>19229</v>
      </c>
      <c r="H1113" s="28" t="s">
        <v>19238</v>
      </c>
      <c r="I1113" s="30">
        <v>45498</v>
      </c>
      <c r="J1113" s="30">
        <v>45512</v>
      </c>
      <c r="K1113" s="53">
        <v>15</v>
      </c>
      <c r="L1113" s="29"/>
      <c r="M1113" s="27" t="s">
        <v>19257</v>
      </c>
    </row>
    <row r="1114" spans="1:13" s="27" customFormat="1" ht="17.25" customHeight="1" x14ac:dyDescent="0.25">
      <c r="A1114" s="28" t="s">
        <v>6</v>
      </c>
      <c r="B1114" s="28">
        <v>1028038281</v>
      </c>
      <c r="C1114" s="28" t="s">
        <v>25537</v>
      </c>
      <c r="D1114" s="28" t="s">
        <v>25502</v>
      </c>
      <c r="E1114" s="28" t="s">
        <v>25538</v>
      </c>
      <c r="F1114" s="28" t="s">
        <v>25177</v>
      </c>
      <c r="G1114" s="28" t="s">
        <v>19229</v>
      </c>
      <c r="H1114" s="28" t="s">
        <v>19238</v>
      </c>
      <c r="I1114" s="30">
        <v>45498</v>
      </c>
      <c r="J1114" s="30">
        <v>45512</v>
      </c>
      <c r="K1114" s="53">
        <v>15</v>
      </c>
      <c r="L1114" s="29"/>
      <c r="M1114" s="27" t="s">
        <v>19257</v>
      </c>
    </row>
    <row r="1115" spans="1:13" s="27" customFormat="1" ht="17.25" customHeight="1" x14ac:dyDescent="0.25">
      <c r="A1115" s="28" t="s">
        <v>25850</v>
      </c>
      <c r="B1115" s="28">
        <v>98502708</v>
      </c>
      <c r="C1115" s="28" t="s">
        <v>25123</v>
      </c>
      <c r="D1115" s="28" t="s">
        <v>25061</v>
      </c>
      <c r="E1115" s="28" t="s">
        <v>19256</v>
      </c>
      <c r="F1115" s="28" t="s">
        <v>25005</v>
      </c>
      <c r="G1115" s="28" t="s">
        <v>19229</v>
      </c>
      <c r="H1115" s="28" t="s">
        <v>19238</v>
      </c>
      <c r="I1115" s="30">
        <v>45500</v>
      </c>
      <c r="J1115" s="30">
        <v>45514</v>
      </c>
      <c r="K1115" s="53">
        <v>15</v>
      </c>
      <c r="L1115" s="29"/>
      <c r="M1115" s="27" t="s">
        <v>19257</v>
      </c>
    </row>
    <row r="1116" spans="1:13" s="27" customFormat="1" ht="17.25" customHeight="1" x14ac:dyDescent="0.25">
      <c r="A1116" s="28" t="s">
        <v>25850</v>
      </c>
      <c r="B1116" s="28">
        <v>98702620</v>
      </c>
      <c r="C1116" s="28" t="s">
        <v>25008</v>
      </c>
      <c r="D1116" s="28" t="s">
        <v>25128</v>
      </c>
      <c r="E1116" s="28" t="s">
        <v>25134</v>
      </c>
      <c r="F1116" s="28" t="s">
        <v>25071</v>
      </c>
      <c r="G1116" s="28" t="s">
        <v>19229</v>
      </c>
      <c r="H1116" s="28" t="s">
        <v>19238</v>
      </c>
      <c r="I1116" s="30">
        <v>45500</v>
      </c>
      <c r="J1116" s="30">
        <v>45507</v>
      </c>
      <c r="K1116" s="53">
        <v>8</v>
      </c>
      <c r="L1116" s="29"/>
      <c r="M1116" s="27" t="s">
        <v>19257</v>
      </c>
    </row>
    <row r="1117" spans="1:13" s="27" customFormat="1" ht="17.25" customHeight="1" x14ac:dyDescent="0.25">
      <c r="A1117" s="28" t="s">
        <v>6</v>
      </c>
      <c r="B1117" s="28">
        <v>15305525</v>
      </c>
      <c r="C1117" s="28" t="s">
        <v>25934</v>
      </c>
      <c r="D1117" s="28" t="s">
        <v>25026</v>
      </c>
      <c r="E1117" s="28" t="s">
        <v>25805</v>
      </c>
      <c r="F1117" s="28" t="s">
        <v>25103</v>
      </c>
      <c r="G1117" s="28" t="s">
        <v>19229</v>
      </c>
      <c r="H1117" s="28" t="s">
        <v>19238</v>
      </c>
      <c r="I1117" s="30">
        <v>45501</v>
      </c>
      <c r="J1117" s="30">
        <v>45508</v>
      </c>
      <c r="K1117" s="53">
        <v>8</v>
      </c>
      <c r="L1117" s="29"/>
      <c r="M1117" s="27" t="s">
        <v>19257</v>
      </c>
    </row>
    <row r="1118" spans="1:13" s="27" customFormat="1" ht="17.25" customHeight="1" x14ac:dyDescent="0.25">
      <c r="A1118" s="28" t="s">
        <v>7</v>
      </c>
      <c r="B1118" s="28">
        <v>1214737996</v>
      </c>
      <c r="C1118" s="28" t="s">
        <v>25547</v>
      </c>
      <c r="D1118" s="28" t="s">
        <v>25969</v>
      </c>
      <c r="E1118" s="28" t="s">
        <v>25970</v>
      </c>
      <c r="F1118" s="28" t="s">
        <v>25755</v>
      </c>
      <c r="G1118" s="28" t="s">
        <v>19229</v>
      </c>
      <c r="H1118" s="28" t="s">
        <v>19238</v>
      </c>
      <c r="I1118" s="30">
        <v>45502</v>
      </c>
      <c r="J1118" s="30">
        <v>45516</v>
      </c>
      <c r="K1118" s="53">
        <v>15</v>
      </c>
      <c r="L1118" s="29"/>
      <c r="M1118" s="27" t="s">
        <v>19257</v>
      </c>
    </row>
    <row r="1119" spans="1:13" s="27" customFormat="1" ht="17.25" customHeight="1" x14ac:dyDescent="0.25">
      <c r="A1119" s="28" t="s">
        <v>6</v>
      </c>
      <c r="B1119" s="28">
        <v>78110695</v>
      </c>
      <c r="C1119" s="28" t="s">
        <v>25429</v>
      </c>
      <c r="D1119" s="28" t="s">
        <v>25403</v>
      </c>
      <c r="E1119" s="28" t="s">
        <v>25130</v>
      </c>
      <c r="F1119" s="28" t="s">
        <v>25255</v>
      </c>
      <c r="G1119" s="28" t="s">
        <v>19229</v>
      </c>
      <c r="H1119" s="28" t="s">
        <v>19239</v>
      </c>
      <c r="I1119" s="30">
        <v>45503</v>
      </c>
      <c r="J1119" s="30">
        <v>45507</v>
      </c>
      <c r="K1119" s="53">
        <v>5</v>
      </c>
      <c r="L1119" s="29">
        <v>1</v>
      </c>
      <c r="M1119" s="27" t="s">
        <v>25036</v>
      </c>
    </row>
    <row r="1120" spans="1:13" s="27" customFormat="1" ht="17.25" customHeight="1" x14ac:dyDescent="0.25">
      <c r="A1120" s="28" t="s">
        <v>6</v>
      </c>
      <c r="B1120" s="28">
        <v>1038112223</v>
      </c>
      <c r="C1120" s="28" t="s">
        <v>26269</v>
      </c>
      <c r="D1120" s="28" t="s">
        <v>25108</v>
      </c>
      <c r="E1120" s="28" t="s">
        <v>25019</v>
      </c>
      <c r="F1120" s="28" t="s">
        <v>25010</v>
      </c>
      <c r="G1120" s="28" t="s">
        <v>19229</v>
      </c>
      <c r="H1120" s="28" t="s">
        <v>19239</v>
      </c>
      <c r="I1120" s="30">
        <v>45503</v>
      </c>
      <c r="J1120" s="30">
        <v>45507</v>
      </c>
      <c r="K1120" s="53">
        <v>5</v>
      </c>
      <c r="L1120" s="29">
        <v>1</v>
      </c>
      <c r="M1120" s="27" t="s">
        <v>25036</v>
      </c>
    </row>
    <row r="1121" spans="1:13" s="27" customFormat="1" ht="17.25" customHeight="1" x14ac:dyDescent="0.25">
      <c r="A1121" s="28" t="s">
        <v>6</v>
      </c>
      <c r="B1121" s="28">
        <v>1039023823</v>
      </c>
      <c r="C1121" s="28" t="s">
        <v>25295</v>
      </c>
      <c r="D1121" s="28" t="s">
        <v>25373</v>
      </c>
      <c r="E1121" s="28" t="s">
        <v>26319</v>
      </c>
      <c r="F1121" s="28" t="s">
        <v>26320</v>
      </c>
      <c r="G1121" s="28" t="s">
        <v>19229</v>
      </c>
      <c r="H1121" s="28" t="s">
        <v>19240</v>
      </c>
      <c r="I1121" s="30">
        <v>45504</v>
      </c>
      <c r="J1121" s="30">
        <v>45504</v>
      </c>
      <c r="K1121" s="53">
        <v>1</v>
      </c>
      <c r="L1121" s="29"/>
      <c r="M1121" s="27" t="s">
        <v>24991</v>
      </c>
    </row>
    <row r="1122" spans="1:13" s="27" customFormat="1" ht="17.25" customHeight="1" x14ac:dyDescent="0.25">
      <c r="A1122" s="28" t="s">
        <v>6</v>
      </c>
      <c r="B1122" s="28">
        <v>49778726</v>
      </c>
      <c r="C1122" s="28" t="s">
        <v>26271</v>
      </c>
      <c r="D1122" s="28" t="s">
        <v>25447</v>
      </c>
      <c r="E1122" s="28" t="s">
        <v>26272</v>
      </c>
      <c r="F1122" s="28" t="s">
        <v>25479</v>
      </c>
      <c r="G1122" s="28" t="s">
        <v>19229</v>
      </c>
      <c r="H1122" s="28" t="s">
        <v>19239</v>
      </c>
      <c r="I1122" s="30">
        <v>45504</v>
      </c>
      <c r="J1122" s="30">
        <v>45504</v>
      </c>
      <c r="K1122" s="53">
        <v>1</v>
      </c>
      <c r="L1122" s="29">
        <v>3</v>
      </c>
      <c r="M1122" s="27" t="s">
        <v>25036</v>
      </c>
    </row>
    <row r="1123" spans="1:13" s="27" customFormat="1" ht="17.25" customHeight="1" x14ac:dyDescent="0.25">
      <c r="A1123" s="28" t="s">
        <v>25850</v>
      </c>
      <c r="B1123" s="28">
        <v>3556779</v>
      </c>
      <c r="C1123" s="28" t="s">
        <v>25008</v>
      </c>
      <c r="D1123" s="28" t="s">
        <v>24992</v>
      </c>
      <c r="E1123" s="28" t="s">
        <v>25009</v>
      </c>
      <c r="F1123" s="28" t="s">
        <v>25010</v>
      </c>
      <c r="G1123" s="28" t="s">
        <v>19229</v>
      </c>
      <c r="H1123" s="28" t="s">
        <v>19238</v>
      </c>
      <c r="I1123" s="30">
        <v>45505</v>
      </c>
      <c r="J1123" s="30">
        <v>45519</v>
      </c>
      <c r="K1123" s="53">
        <v>15</v>
      </c>
      <c r="L1123" s="29"/>
      <c r="M1123" s="27" t="s">
        <v>19257</v>
      </c>
    </row>
    <row r="1124" spans="1:13" s="27" customFormat="1" ht="17.25" customHeight="1" x14ac:dyDescent="0.25">
      <c r="A1124" s="28" t="s">
        <v>25850</v>
      </c>
      <c r="B1124" s="28">
        <v>1003304784</v>
      </c>
      <c r="C1124" s="28" t="s">
        <v>25456</v>
      </c>
      <c r="D1124" s="28" t="s">
        <v>25257</v>
      </c>
      <c r="E1124" s="28" t="s">
        <v>25116</v>
      </c>
      <c r="F1124" s="28" t="s">
        <v>25255</v>
      </c>
      <c r="G1124" s="28" t="s">
        <v>19229</v>
      </c>
      <c r="H1124" s="28" t="s">
        <v>19238</v>
      </c>
      <c r="I1124" s="30">
        <v>45505</v>
      </c>
      <c r="J1124" s="30">
        <v>45519</v>
      </c>
      <c r="K1124" s="53">
        <v>15</v>
      </c>
      <c r="L1124" s="29"/>
      <c r="M1124" s="27" t="s">
        <v>19257</v>
      </c>
    </row>
    <row r="1125" spans="1:13" s="27" customFormat="1" ht="17.25" customHeight="1" x14ac:dyDescent="0.25">
      <c r="A1125" s="28" t="s">
        <v>25850</v>
      </c>
      <c r="B1125" s="28">
        <v>1035854580</v>
      </c>
      <c r="C1125" s="28" t="s">
        <v>25309</v>
      </c>
      <c r="D1125" s="28" t="s">
        <v>25756</v>
      </c>
      <c r="E1125" s="28" t="s">
        <v>26282</v>
      </c>
      <c r="F1125" s="28" t="s">
        <v>25755</v>
      </c>
      <c r="G1125" s="28" t="s">
        <v>19229</v>
      </c>
      <c r="H1125" s="28" t="s">
        <v>19238</v>
      </c>
      <c r="I1125" s="30">
        <v>45505</v>
      </c>
      <c r="J1125" s="30">
        <v>45520</v>
      </c>
      <c r="K1125" s="53">
        <v>16</v>
      </c>
      <c r="L1125" s="29"/>
      <c r="M1125" s="27" t="s">
        <v>19257</v>
      </c>
    </row>
    <row r="1126" spans="1:13" s="27" customFormat="1" ht="17.25" customHeight="1" x14ac:dyDescent="0.25">
      <c r="A1126" s="28" t="s">
        <v>25850</v>
      </c>
      <c r="B1126" s="28">
        <v>1037595302</v>
      </c>
      <c r="C1126" s="28" t="s">
        <v>25928</v>
      </c>
      <c r="D1126" s="28" t="s">
        <v>25314</v>
      </c>
      <c r="E1126" s="28" t="s">
        <v>25091</v>
      </c>
      <c r="F1126" s="28" t="s">
        <v>26283</v>
      </c>
      <c r="G1126" s="28" t="s">
        <v>19229</v>
      </c>
      <c r="H1126" s="28" t="s">
        <v>19238</v>
      </c>
      <c r="I1126" s="30">
        <v>45505</v>
      </c>
      <c r="J1126" s="30">
        <v>45519</v>
      </c>
      <c r="K1126" s="53">
        <v>15</v>
      </c>
      <c r="L1126" s="29"/>
      <c r="M1126" s="27" t="s">
        <v>19257</v>
      </c>
    </row>
    <row r="1127" spans="1:13" s="27" customFormat="1" ht="17.25" customHeight="1" x14ac:dyDescent="0.25">
      <c r="A1127" s="28" t="s">
        <v>7</v>
      </c>
      <c r="B1127" s="28">
        <v>8406405</v>
      </c>
      <c r="C1127" s="28" t="s">
        <v>25497</v>
      </c>
      <c r="D1127" s="28" t="s">
        <v>25498</v>
      </c>
      <c r="E1127" s="28" t="s">
        <v>25130</v>
      </c>
      <c r="F1127" s="28" t="s">
        <v>25255</v>
      </c>
      <c r="G1127" s="28" t="s">
        <v>19229</v>
      </c>
      <c r="H1127" s="28" t="s">
        <v>19238</v>
      </c>
      <c r="I1127" s="30">
        <v>45505</v>
      </c>
      <c r="J1127" s="30">
        <v>45519</v>
      </c>
      <c r="K1127" s="53">
        <v>15</v>
      </c>
      <c r="L1127" s="29"/>
      <c r="M1127" s="27" t="s">
        <v>19257</v>
      </c>
    </row>
    <row r="1128" spans="1:13" s="27" customFormat="1" ht="17.25" customHeight="1" x14ac:dyDescent="0.25">
      <c r="A1128" s="28" t="s">
        <v>7</v>
      </c>
      <c r="B1128" s="28">
        <v>71753184</v>
      </c>
      <c r="C1128" s="28" t="s">
        <v>25030</v>
      </c>
      <c r="D1128" s="28" t="s">
        <v>25498</v>
      </c>
      <c r="E1128" s="28" t="s">
        <v>25183</v>
      </c>
      <c r="F1128" s="28" t="s">
        <v>25157</v>
      </c>
      <c r="G1128" s="28" t="s">
        <v>19229</v>
      </c>
      <c r="H1128" s="28" t="s">
        <v>19238</v>
      </c>
      <c r="I1128" s="30">
        <v>45505</v>
      </c>
      <c r="J1128" s="30">
        <v>45519</v>
      </c>
      <c r="K1128" s="53">
        <v>15</v>
      </c>
      <c r="L1128" s="29"/>
      <c r="M1128" s="27" t="s">
        <v>19257</v>
      </c>
    </row>
    <row r="1129" spans="1:13" s="27" customFormat="1" ht="17.25" customHeight="1" x14ac:dyDescent="0.25">
      <c r="A1129" s="28" t="s">
        <v>7</v>
      </c>
      <c r="B1129" s="28">
        <v>70550977</v>
      </c>
      <c r="C1129" s="28" t="s">
        <v>25128</v>
      </c>
      <c r="D1129" s="28" t="s">
        <v>25127</v>
      </c>
      <c r="E1129" s="28" t="s">
        <v>25130</v>
      </c>
      <c r="F1129" s="28" t="s">
        <v>25592</v>
      </c>
      <c r="G1129" s="28" t="s">
        <v>19229</v>
      </c>
      <c r="H1129" s="28" t="s">
        <v>19238</v>
      </c>
      <c r="I1129" s="30">
        <v>45505</v>
      </c>
      <c r="J1129" s="30">
        <v>45519</v>
      </c>
      <c r="K1129" s="53">
        <v>15</v>
      </c>
      <c r="L1129" s="29"/>
      <c r="M1129" s="27" t="s">
        <v>19257</v>
      </c>
    </row>
    <row r="1130" spans="1:13" s="27" customFormat="1" ht="17.25" customHeight="1" x14ac:dyDescent="0.25">
      <c r="A1130" s="28" t="s">
        <v>7</v>
      </c>
      <c r="B1130" s="28">
        <v>1003535677</v>
      </c>
      <c r="C1130" s="28" t="s">
        <v>25164</v>
      </c>
      <c r="D1130" s="28" t="s">
        <v>25254</v>
      </c>
      <c r="E1130" s="28" t="s">
        <v>25028</v>
      </c>
      <c r="F1130" s="28" t="s">
        <v>25010</v>
      </c>
      <c r="G1130" s="28" t="s">
        <v>19229</v>
      </c>
      <c r="H1130" s="28" t="s">
        <v>19238</v>
      </c>
      <c r="I1130" s="30">
        <v>45505</v>
      </c>
      <c r="J1130" s="30">
        <v>45519</v>
      </c>
      <c r="K1130" s="53">
        <v>15</v>
      </c>
      <c r="L1130" s="29"/>
      <c r="M1130" s="27" t="s">
        <v>19257</v>
      </c>
    </row>
    <row r="1131" spans="1:13" s="27" customFormat="1" ht="17.25" customHeight="1" x14ac:dyDescent="0.25">
      <c r="A1131" s="28" t="s">
        <v>25850</v>
      </c>
      <c r="B1131" s="28">
        <v>52518327</v>
      </c>
      <c r="C1131" s="28" t="s">
        <v>26063</v>
      </c>
      <c r="D1131" s="28" t="s">
        <v>25109</v>
      </c>
      <c r="E1131" s="28" t="s">
        <v>25165</v>
      </c>
      <c r="F1131" s="28" t="s">
        <v>26064</v>
      </c>
      <c r="G1131" s="28" t="s">
        <v>26273</v>
      </c>
      <c r="H1131" s="28" t="s">
        <v>19239</v>
      </c>
      <c r="I1131" s="30">
        <v>45506</v>
      </c>
      <c r="J1131" s="30">
        <v>45508</v>
      </c>
      <c r="K1131" s="53">
        <v>3</v>
      </c>
      <c r="L1131" s="29">
        <v>4</v>
      </c>
      <c r="M1131" s="27" t="s">
        <v>25067</v>
      </c>
    </row>
    <row r="1132" spans="1:13" s="27" customFormat="1" ht="17.25" customHeight="1" x14ac:dyDescent="0.25">
      <c r="A1132" s="28" t="s">
        <v>7</v>
      </c>
      <c r="B1132" s="28">
        <v>98648253</v>
      </c>
      <c r="C1132" s="28" t="s">
        <v>25343</v>
      </c>
      <c r="D1132" s="28" t="s">
        <v>25462</v>
      </c>
      <c r="E1132" s="28" t="s">
        <v>25483</v>
      </c>
      <c r="F1132" s="28" t="s">
        <v>25110</v>
      </c>
      <c r="G1132" s="28" t="s">
        <v>19229</v>
      </c>
      <c r="H1132" s="28" t="s">
        <v>19238</v>
      </c>
      <c r="I1132" s="30">
        <v>45506</v>
      </c>
      <c r="J1132" s="30">
        <v>45520</v>
      </c>
      <c r="K1132" s="53">
        <v>15</v>
      </c>
      <c r="L1132" s="29"/>
      <c r="M1132" s="27" t="s">
        <v>19257</v>
      </c>
    </row>
    <row r="1133" spans="1:13" s="27" customFormat="1" ht="17.25" customHeight="1" x14ac:dyDescent="0.25">
      <c r="A1133" s="28" t="s">
        <v>7</v>
      </c>
      <c r="B1133" s="28">
        <v>15295271</v>
      </c>
      <c r="C1133" s="28" t="s">
        <v>25373</v>
      </c>
      <c r="D1133" s="28" t="s">
        <v>25182</v>
      </c>
      <c r="E1133" s="28" t="s">
        <v>25183</v>
      </c>
      <c r="F1133" s="28" t="s">
        <v>25119</v>
      </c>
      <c r="G1133" s="28" t="s">
        <v>19229</v>
      </c>
      <c r="H1133" s="28" t="s">
        <v>19238</v>
      </c>
      <c r="I1133" s="30">
        <v>45507</v>
      </c>
      <c r="J1133" s="30">
        <v>45521</v>
      </c>
      <c r="K1133" s="53">
        <v>15</v>
      </c>
      <c r="L1133" s="29"/>
      <c r="M1133" s="27" t="s">
        <v>19257</v>
      </c>
    </row>
    <row r="1134" spans="1:13" s="27" customFormat="1" ht="17.25" customHeight="1" x14ac:dyDescent="0.25">
      <c r="A1134" s="28" t="s">
        <v>7</v>
      </c>
      <c r="B1134" s="28">
        <v>8414593</v>
      </c>
      <c r="C1134" s="28" t="s">
        <v>25454</v>
      </c>
      <c r="D1134" s="28" t="s">
        <v>26284</v>
      </c>
      <c r="E1134" s="28" t="s">
        <v>26285</v>
      </c>
      <c r="F1134" s="28" t="s">
        <v>26286</v>
      </c>
      <c r="G1134" s="28" t="s">
        <v>19229</v>
      </c>
      <c r="H1134" s="28" t="s">
        <v>19238</v>
      </c>
      <c r="I1134" s="30">
        <v>45507</v>
      </c>
      <c r="J1134" s="30">
        <v>45521</v>
      </c>
      <c r="K1134" s="53">
        <v>15</v>
      </c>
      <c r="L1134" s="29"/>
      <c r="M1134" s="27" t="s">
        <v>19257</v>
      </c>
    </row>
    <row r="1135" spans="1:13" s="27" customFormat="1" ht="17.25" customHeight="1" x14ac:dyDescent="0.25">
      <c r="A1135" s="28" t="s">
        <v>25850</v>
      </c>
      <c r="B1135" s="28">
        <v>98577033</v>
      </c>
      <c r="C1135" s="28" t="s">
        <v>25260</v>
      </c>
      <c r="D1135" s="28" t="s">
        <v>25052</v>
      </c>
      <c r="E1135" s="28" t="s">
        <v>25261</v>
      </c>
      <c r="F1135" s="28" t="s">
        <v>25005</v>
      </c>
      <c r="G1135" s="28" t="s">
        <v>19229</v>
      </c>
      <c r="H1135" s="28" t="s">
        <v>19238</v>
      </c>
      <c r="I1135" s="30">
        <v>45508</v>
      </c>
      <c r="J1135" s="30">
        <v>45522</v>
      </c>
      <c r="K1135" s="53">
        <v>15</v>
      </c>
      <c r="L1135" s="29"/>
      <c r="M1135" s="27" t="s">
        <v>19257</v>
      </c>
    </row>
    <row r="1136" spans="1:13" s="27" customFormat="1" ht="17.25" customHeight="1" x14ac:dyDescent="0.25">
      <c r="A1136" s="28" t="s">
        <v>25850</v>
      </c>
      <c r="B1136" s="28">
        <v>70755510</v>
      </c>
      <c r="C1136" s="28" t="s">
        <v>25420</v>
      </c>
      <c r="D1136" s="28" t="s">
        <v>26253</v>
      </c>
      <c r="E1136" s="28" t="s">
        <v>25183</v>
      </c>
      <c r="F1136" s="28" t="s">
        <v>25028</v>
      </c>
      <c r="G1136" s="28" t="s">
        <v>19229</v>
      </c>
      <c r="H1136" s="28" t="s">
        <v>19238</v>
      </c>
      <c r="I1136" s="30">
        <v>45508</v>
      </c>
      <c r="J1136" s="30">
        <v>45522</v>
      </c>
      <c r="K1136" s="53">
        <v>15</v>
      </c>
      <c r="L1136" s="29"/>
      <c r="M1136" s="27" t="s">
        <v>19257</v>
      </c>
    </row>
    <row r="1137" spans="1:13" s="27" customFormat="1" ht="17.25" customHeight="1" x14ac:dyDescent="0.25">
      <c r="A1137" s="28" t="s">
        <v>25850</v>
      </c>
      <c r="B1137" s="28">
        <v>1128393833</v>
      </c>
      <c r="C1137" s="28" t="s">
        <v>25027</v>
      </c>
      <c r="D1137" s="28" t="s">
        <v>25161</v>
      </c>
      <c r="E1137" s="28" t="s">
        <v>25028</v>
      </c>
      <c r="F1137" s="28" t="s">
        <v>25029</v>
      </c>
      <c r="G1137" s="28" t="s">
        <v>19229</v>
      </c>
      <c r="H1137" s="28" t="s">
        <v>19239</v>
      </c>
      <c r="I1137" s="30">
        <v>45509</v>
      </c>
      <c r="J1137" s="30">
        <v>45513</v>
      </c>
      <c r="K1137" s="53">
        <v>5</v>
      </c>
      <c r="L1137" s="29">
        <v>22</v>
      </c>
      <c r="M1137" s="27" t="s">
        <v>25036</v>
      </c>
    </row>
    <row r="1138" spans="1:13" s="27" customFormat="1" ht="17.25" customHeight="1" x14ac:dyDescent="0.25">
      <c r="A1138" s="28" t="s">
        <v>7</v>
      </c>
      <c r="B1138" s="28">
        <v>75040064</v>
      </c>
      <c r="C1138" s="28" t="s">
        <v>25332</v>
      </c>
      <c r="D1138" s="28" t="s">
        <v>25373</v>
      </c>
      <c r="E1138" s="28" t="s">
        <v>25297</v>
      </c>
      <c r="F1138" s="28" t="s">
        <v>25146</v>
      </c>
      <c r="G1138" s="28" t="s">
        <v>19229</v>
      </c>
      <c r="H1138" s="28" t="s">
        <v>19238</v>
      </c>
      <c r="I1138" s="30">
        <v>45509</v>
      </c>
      <c r="J1138" s="30">
        <v>45524</v>
      </c>
      <c r="K1138" s="53">
        <v>8</v>
      </c>
      <c r="L1138" s="29"/>
      <c r="M1138" s="27" t="s">
        <v>19257</v>
      </c>
    </row>
    <row r="1139" spans="1:13" s="27" customFormat="1" ht="17.25" customHeight="1" x14ac:dyDescent="0.25">
      <c r="A1139" s="28" t="s">
        <v>25850</v>
      </c>
      <c r="B1139" s="28">
        <v>94391611</v>
      </c>
      <c r="C1139" s="28" t="s">
        <v>25463</v>
      </c>
      <c r="D1139" s="28" t="s">
        <v>26052</v>
      </c>
      <c r="E1139" s="28" t="s">
        <v>25255</v>
      </c>
      <c r="F1139" s="28" t="s">
        <v>24986</v>
      </c>
      <c r="G1139" s="28" t="s">
        <v>19229</v>
      </c>
      <c r="H1139" s="28" t="s">
        <v>19239</v>
      </c>
      <c r="I1139" s="30">
        <v>45510</v>
      </c>
      <c r="J1139" s="30">
        <v>45512</v>
      </c>
      <c r="K1139" s="53">
        <v>3</v>
      </c>
      <c r="L1139" s="29">
        <v>24</v>
      </c>
      <c r="M1139" s="27" t="s">
        <v>25036</v>
      </c>
    </row>
    <row r="1140" spans="1:13" s="27" customFormat="1" ht="17.25" customHeight="1" x14ac:dyDescent="0.25">
      <c r="A1140" s="28" t="s">
        <v>25850</v>
      </c>
      <c r="B1140" s="28">
        <v>71686928</v>
      </c>
      <c r="C1140" s="28" t="s">
        <v>25149</v>
      </c>
      <c r="D1140" s="28" t="s">
        <v>25114</v>
      </c>
      <c r="E1140" s="28" t="s">
        <v>25150</v>
      </c>
      <c r="F1140" s="28" t="s">
        <v>25151</v>
      </c>
      <c r="G1140" s="28" t="s">
        <v>19229</v>
      </c>
      <c r="H1140" s="28" t="s">
        <v>19239</v>
      </c>
      <c r="I1140" s="30">
        <v>45510</v>
      </c>
      <c r="J1140" s="30">
        <v>45514</v>
      </c>
      <c r="K1140" s="53">
        <v>3</v>
      </c>
      <c r="L1140" s="29">
        <v>15</v>
      </c>
      <c r="M1140" s="27" t="s">
        <v>25036</v>
      </c>
    </row>
    <row r="1141" spans="1:13" s="27" customFormat="1" ht="17.25" customHeight="1" x14ac:dyDescent="0.25">
      <c r="A1141" s="28" t="s">
        <v>7</v>
      </c>
      <c r="B1141" s="28">
        <v>1000083627</v>
      </c>
      <c r="C1141" s="28" t="s">
        <v>25105</v>
      </c>
      <c r="D1141" s="28" t="s">
        <v>25415</v>
      </c>
      <c r="E1141" s="28" t="s">
        <v>25282</v>
      </c>
      <c r="F1141" s="28" t="s">
        <v>24986</v>
      </c>
      <c r="G1141" s="28" t="s">
        <v>19229</v>
      </c>
      <c r="H1141" s="28" t="s">
        <v>19238</v>
      </c>
      <c r="I1141" s="30">
        <v>45510</v>
      </c>
      <c r="J1141" s="30">
        <v>45524</v>
      </c>
      <c r="K1141" s="53">
        <v>15</v>
      </c>
      <c r="L1141" s="29"/>
      <c r="M1141" s="27" t="s">
        <v>19257</v>
      </c>
    </row>
    <row r="1142" spans="1:13" s="27" customFormat="1" ht="17.25" customHeight="1" x14ac:dyDescent="0.25">
      <c r="A1142" s="28" t="s">
        <v>7</v>
      </c>
      <c r="B1142" s="28">
        <v>1039761471</v>
      </c>
      <c r="C1142" s="28" t="s">
        <v>25053</v>
      </c>
      <c r="D1142" s="28" t="s">
        <v>26287</v>
      </c>
      <c r="E1142" s="28" t="s">
        <v>25709</v>
      </c>
      <c r="F1142" s="28" t="s">
        <v>26288</v>
      </c>
      <c r="G1142" s="28" t="s">
        <v>19229</v>
      </c>
      <c r="H1142" s="28" t="s">
        <v>19238</v>
      </c>
      <c r="I1142" s="30">
        <v>45510</v>
      </c>
      <c r="J1142" s="30">
        <v>45524</v>
      </c>
      <c r="K1142" s="53">
        <v>15</v>
      </c>
      <c r="L1142" s="29"/>
      <c r="M1142" s="27" t="s">
        <v>19257</v>
      </c>
    </row>
    <row r="1143" spans="1:13" s="27" customFormat="1" ht="17.25" customHeight="1" x14ac:dyDescent="0.25">
      <c r="A1143" s="28" t="s">
        <v>7</v>
      </c>
      <c r="B1143" s="28">
        <v>71875868</v>
      </c>
      <c r="C1143" s="28" t="s">
        <v>25426</v>
      </c>
      <c r="D1143" s="28" t="s">
        <v>25427</v>
      </c>
      <c r="E1143" s="28" t="s">
        <v>25130</v>
      </c>
      <c r="F1143" s="28" t="s">
        <v>25040</v>
      </c>
      <c r="G1143" s="28" t="s">
        <v>19229</v>
      </c>
      <c r="H1143" s="28" t="s">
        <v>19238</v>
      </c>
      <c r="I1143" s="30">
        <v>45511</v>
      </c>
      <c r="J1143" s="30">
        <v>45527</v>
      </c>
      <c r="K1143" s="53">
        <v>8</v>
      </c>
      <c r="L1143" s="29"/>
      <c r="M1143" s="27" t="s">
        <v>19257</v>
      </c>
    </row>
    <row r="1144" spans="1:13" s="27" customFormat="1" ht="17.25" customHeight="1" x14ac:dyDescent="0.25">
      <c r="A1144" s="28" t="s">
        <v>7</v>
      </c>
      <c r="B1144" s="28">
        <v>98682327</v>
      </c>
      <c r="C1144" s="28" t="s">
        <v>25053</v>
      </c>
      <c r="D1144" s="28" t="s">
        <v>25738</v>
      </c>
      <c r="E1144" s="28" t="s">
        <v>25739</v>
      </c>
      <c r="F1144" s="28" t="s">
        <v>25740</v>
      </c>
      <c r="G1144" s="28" t="s">
        <v>19229</v>
      </c>
      <c r="H1144" s="28" t="s">
        <v>19238</v>
      </c>
      <c r="I1144" s="30">
        <v>45511</v>
      </c>
      <c r="J1144" s="30">
        <v>45525</v>
      </c>
      <c r="K1144" s="53">
        <v>15</v>
      </c>
      <c r="L1144" s="29"/>
      <c r="M1144" s="27" t="s">
        <v>19257</v>
      </c>
    </row>
    <row r="1145" spans="1:13" s="27" customFormat="1" ht="17.25" customHeight="1" x14ac:dyDescent="0.25">
      <c r="A1145" s="28" t="s">
        <v>25850</v>
      </c>
      <c r="B1145" s="28">
        <v>15444896</v>
      </c>
      <c r="C1145" s="28" t="s">
        <v>25310</v>
      </c>
      <c r="D1145" s="28" t="s">
        <v>25094</v>
      </c>
      <c r="E1145" s="28" t="s">
        <v>25241</v>
      </c>
      <c r="F1145" s="28" t="s">
        <v>25691</v>
      </c>
      <c r="G1145" s="28" t="s">
        <v>19229</v>
      </c>
      <c r="H1145" s="28" t="s">
        <v>19239</v>
      </c>
      <c r="I1145" s="30">
        <v>45512</v>
      </c>
      <c r="J1145" s="30">
        <v>45514</v>
      </c>
      <c r="K1145" s="53">
        <v>3</v>
      </c>
      <c r="L1145" s="29">
        <v>24</v>
      </c>
      <c r="M1145" s="27" t="s">
        <v>25036</v>
      </c>
    </row>
    <row r="1146" spans="1:13" s="27" customFormat="1" ht="17.25" customHeight="1" x14ac:dyDescent="0.25">
      <c r="A1146" s="28" t="s">
        <v>7</v>
      </c>
      <c r="B1146" s="28">
        <v>1040754073</v>
      </c>
      <c r="C1146" s="28" t="s">
        <v>25023</v>
      </c>
      <c r="D1146" s="28" t="s">
        <v>25065</v>
      </c>
      <c r="E1146" s="28" t="s">
        <v>25596</v>
      </c>
      <c r="F1146" s="28" t="s">
        <v>26289</v>
      </c>
      <c r="G1146" s="28" t="s">
        <v>19285</v>
      </c>
      <c r="H1146" s="28" t="s">
        <v>19238</v>
      </c>
      <c r="I1146" s="30">
        <v>45512</v>
      </c>
      <c r="J1146" s="30">
        <v>45526</v>
      </c>
      <c r="K1146" s="53">
        <v>15</v>
      </c>
      <c r="L1146" s="29"/>
      <c r="M1146" s="27" t="s">
        <v>19257</v>
      </c>
    </row>
    <row r="1147" spans="1:13" s="27" customFormat="1" ht="17.25" customHeight="1" x14ac:dyDescent="0.25">
      <c r="A1147" s="28" t="s">
        <v>7</v>
      </c>
      <c r="B1147" s="28">
        <v>71946868</v>
      </c>
      <c r="C1147" s="28" t="s">
        <v>25443</v>
      </c>
      <c r="D1147" s="28" t="s">
        <v>25015</v>
      </c>
      <c r="E1147" s="28" t="s">
        <v>25130</v>
      </c>
      <c r="F1147" s="28" t="s">
        <v>25641</v>
      </c>
      <c r="G1147" s="28" t="s">
        <v>19229</v>
      </c>
      <c r="H1147" s="28" t="s">
        <v>19238</v>
      </c>
      <c r="I1147" s="30">
        <v>45512</v>
      </c>
      <c r="J1147" s="30">
        <v>45526</v>
      </c>
      <c r="K1147" s="53">
        <v>15</v>
      </c>
      <c r="L1147" s="29"/>
      <c r="M1147" s="27" t="s">
        <v>19257</v>
      </c>
    </row>
    <row r="1148" spans="1:13" s="27" customFormat="1" ht="17.25" customHeight="1" x14ac:dyDescent="0.25">
      <c r="A1148" s="28" t="s">
        <v>7</v>
      </c>
      <c r="B1148" s="28">
        <v>1040754073</v>
      </c>
      <c r="C1148" s="28" t="s">
        <v>25023</v>
      </c>
      <c r="D1148" s="28" t="s">
        <v>25065</v>
      </c>
      <c r="E1148" s="28" t="s">
        <v>25596</v>
      </c>
      <c r="F1148" s="28" t="s">
        <v>26289</v>
      </c>
      <c r="G1148" s="28" t="s">
        <v>19229</v>
      </c>
      <c r="H1148" s="28" t="s">
        <v>19238</v>
      </c>
      <c r="I1148" s="30">
        <v>45512</v>
      </c>
      <c r="J1148" s="30">
        <v>45526</v>
      </c>
      <c r="K1148" s="53">
        <v>15</v>
      </c>
      <c r="L1148" s="29"/>
      <c r="M1148" s="27" t="s">
        <v>19257</v>
      </c>
    </row>
    <row r="1149" spans="1:13" s="27" customFormat="1" ht="17.25" customHeight="1" x14ac:dyDescent="0.25">
      <c r="A1149" s="28" t="s">
        <v>7</v>
      </c>
      <c r="B1149" s="28">
        <v>71946868</v>
      </c>
      <c r="C1149" s="28" t="s">
        <v>25443</v>
      </c>
      <c r="D1149" s="28" t="s">
        <v>25015</v>
      </c>
      <c r="E1149" s="28" t="s">
        <v>25130</v>
      </c>
      <c r="F1149" s="28" t="s">
        <v>25641</v>
      </c>
      <c r="G1149" s="28" t="s">
        <v>19229</v>
      </c>
      <c r="H1149" s="28" t="s">
        <v>19238</v>
      </c>
      <c r="I1149" s="30">
        <v>45512</v>
      </c>
      <c r="J1149" s="30">
        <v>45526</v>
      </c>
      <c r="K1149" s="53">
        <v>15</v>
      </c>
      <c r="L1149" s="29"/>
      <c r="M1149" s="27" t="s">
        <v>19257</v>
      </c>
    </row>
    <row r="1150" spans="1:13" s="27" customFormat="1" ht="17.25" customHeight="1" x14ac:dyDescent="0.25">
      <c r="A1150" s="28" t="s">
        <v>7</v>
      </c>
      <c r="B1150" s="28">
        <v>1002874551</v>
      </c>
      <c r="C1150" s="28" t="s">
        <v>25177</v>
      </c>
      <c r="D1150" s="28" t="s">
        <v>25257</v>
      </c>
      <c r="E1150" s="28" t="s">
        <v>26290</v>
      </c>
      <c r="F1150" s="28" t="s">
        <v>26291</v>
      </c>
      <c r="G1150" s="28" t="s">
        <v>19229</v>
      </c>
      <c r="H1150" s="28" t="s">
        <v>19238</v>
      </c>
      <c r="I1150" s="30">
        <v>45513</v>
      </c>
      <c r="J1150" s="30">
        <v>45527</v>
      </c>
      <c r="K1150" s="53">
        <v>15</v>
      </c>
      <c r="L1150" s="29"/>
      <c r="M1150" s="27" t="s">
        <v>19257</v>
      </c>
    </row>
    <row r="1151" spans="1:13" s="27" customFormat="1" ht="17.25" customHeight="1" x14ac:dyDescent="0.25">
      <c r="A1151" s="28" t="s">
        <v>7</v>
      </c>
      <c r="B1151" s="28">
        <v>71728369</v>
      </c>
      <c r="C1151" s="28" t="s">
        <v>25435</v>
      </c>
      <c r="D1151" s="28" t="s">
        <v>25608</v>
      </c>
      <c r="E1151" s="28" t="s">
        <v>25106</v>
      </c>
      <c r="F1151" s="28" t="s">
        <v>25135</v>
      </c>
      <c r="G1151" s="28" t="s">
        <v>19229</v>
      </c>
      <c r="H1151" s="28" t="s">
        <v>19238</v>
      </c>
      <c r="I1151" s="30">
        <v>45516</v>
      </c>
      <c r="J1151" s="30">
        <v>45531</v>
      </c>
      <c r="K1151" s="53">
        <v>8</v>
      </c>
      <c r="L1151" s="29"/>
      <c r="M1151" s="27" t="s">
        <v>19257</v>
      </c>
    </row>
    <row r="1152" spans="1:13" s="27" customFormat="1" ht="17.25" customHeight="1" x14ac:dyDescent="0.25">
      <c r="A1152" s="28" t="s">
        <v>7</v>
      </c>
      <c r="B1152" s="28">
        <v>9761716</v>
      </c>
      <c r="C1152" s="28" t="s">
        <v>25780</v>
      </c>
      <c r="D1152" s="28" t="s">
        <v>25248</v>
      </c>
      <c r="E1152" s="28" t="s">
        <v>25091</v>
      </c>
      <c r="F1152" s="28" t="s">
        <v>25064</v>
      </c>
      <c r="G1152" s="28" t="s">
        <v>19229</v>
      </c>
      <c r="H1152" s="28" t="s">
        <v>19238</v>
      </c>
      <c r="I1152" s="30">
        <v>45516</v>
      </c>
      <c r="J1152" s="30">
        <v>45530</v>
      </c>
      <c r="K1152" s="53">
        <v>15</v>
      </c>
      <c r="L1152" s="29"/>
      <c r="M1152" s="27" t="s">
        <v>19257</v>
      </c>
    </row>
    <row r="1153" spans="1:13" s="27" customFormat="1" ht="17.25" customHeight="1" x14ac:dyDescent="0.25">
      <c r="A1153" s="28" t="s">
        <v>7</v>
      </c>
      <c r="B1153" s="28">
        <v>75040064</v>
      </c>
      <c r="C1153" s="28" t="s">
        <v>25332</v>
      </c>
      <c r="D1153" s="28" t="s">
        <v>25373</v>
      </c>
      <c r="E1153" s="28" t="s">
        <v>25297</v>
      </c>
      <c r="F1153" s="28" t="s">
        <v>25146</v>
      </c>
      <c r="G1153" s="28" t="s">
        <v>19229</v>
      </c>
      <c r="H1153" s="28" t="s">
        <v>19238</v>
      </c>
      <c r="I1153" s="30">
        <v>45517</v>
      </c>
      <c r="J1153" s="30">
        <v>45524</v>
      </c>
      <c r="K1153" s="53">
        <v>8</v>
      </c>
      <c r="L1153" s="29"/>
      <c r="M1153" s="27" t="s">
        <v>19257</v>
      </c>
    </row>
    <row r="1154" spans="1:13" s="27" customFormat="1" ht="17.25" customHeight="1" x14ac:dyDescent="0.25">
      <c r="A1154" s="28" t="s">
        <v>7</v>
      </c>
      <c r="B1154" s="28">
        <v>98706146</v>
      </c>
      <c r="C1154" s="28" t="s">
        <v>25224</v>
      </c>
      <c r="D1154" s="28" t="s">
        <v>25723</v>
      </c>
      <c r="E1154" s="28" t="s">
        <v>25876</v>
      </c>
      <c r="F1154" s="28" t="s">
        <v>25430</v>
      </c>
      <c r="G1154" s="28" t="s">
        <v>19229</v>
      </c>
      <c r="H1154" s="28" t="s">
        <v>19238</v>
      </c>
      <c r="I1154" s="30">
        <v>45517</v>
      </c>
      <c r="J1154" s="30">
        <v>45531</v>
      </c>
      <c r="K1154" s="53">
        <v>15</v>
      </c>
      <c r="L1154" s="29"/>
      <c r="M1154" s="27" t="s">
        <v>19257</v>
      </c>
    </row>
    <row r="1155" spans="1:13" s="27" customFormat="1" ht="17.25" customHeight="1" x14ac:dyDescent="0.25">
      <c r="A1155" s="28" t="s">
        <v>25850</v>
      </c>
      <c r="B1155" s="28">
        <v>11187506</v>
      </c>
      <c r="C1155" s="28" t="s">
        <v>26116</v>
      </c>
      <c r="D1155" s="28" t="s">
        <v>25245</v>
      </c>
      <c r="E1155" s="28" t="s">
        <v>26276</v>
      </c>
      <c r="F1155" s="28" t="s">
        <v>25135</v>
      </c>
      <c r="G1155" s="28" t="s">
        <v>19285</v>
      </c>
      <c r="H1155" s="28" t="s">
        <v>19239</v>
      </c>
      <c r="I1155" s="30">
        <v>45518</v>
      </c>
      <c r="J1155" s="30">
        <v>45518</v>
      </c>
      <c r="K1155" s="53">
        <v>1</v>
      </c>
      <c r="L1155" s="29">
        <v>4</v>
      </c>
      <c r="M1155" s="27" t="s">
        <v>25036</v>
      </c>
    </row>
    <row r="1156" spans="1:13" s="27" customFormat="1" ht="17.25" customHeight="1" x14ac:dyDescent="0.25">
      <c r="A1156" s="28" t="s">
        <v>7</v>
      </c>
      <c r="B1156" s="28">
        <v>1035870964</v>
      </c>
      <c r="C1156" s="28" t="s">
        <v>25224</v>
      </c>
      <c r="D1156" s="28" t="s">
        <v>25126</v>
      </c>
      <c r="E1156" s="28" t="s">
        <v>25524</v>
      </c>
      <c r="F1156" s="28" t="s">
        <v>25089</v>
      </c>
      <c r="G1156" s="28" t="s">
        <v>19229</v>
      </c>
      <c r="H1156" s="28" t="s">
        <v>19238</v>
      </c>
      <c r="I1156" s="30">
        <v>45518</v>
      </c>
      <c r="J1156" s="30">
        <v>45532</v>
      </c>
      <c r="K1156" s="53">
        <v>15</v>
      </c>
      <c r="L1156" s="29"/>
      <c r="M1156" s="27" t="s">
        <v>25036</v>
      </c>
    </row>
    <row r="1157" spans="1:13" s="27" customFormat="1" ht="17.25" customHeight="1" x14ac:dyDescent="0.25">
      <c r="A1157" s="28" t="s">
        <v>7</v>
      </c>
      <c r="B1157" s="28">
        <v>98711080</v>
      </c>
      <c r="C1157" s="28" t="s">
        <v>25219</v>
      </c>
      <c r="D1157" s="28" t="s">
        <v>25443</v>
      </c>
      <c r="E1157" s="28" t="s">
        <v>25430</v>
      </c>
      <c r="F1157" s="28" t="s">
        <v>25119</v>
      </c>
      <c r="G1157" s="28" t="s">
        <v>19229</v>
      </c>
      <c r="H1157" s="28" t="s">
        <v>19238</v>
      </c>
      <c r="I1157" s="30">
        <v>45518</v>
      </c>
      <c r="J1157" s="30">
        <v>45532</v>
      </c>
      <c r="K1157" s="53">
        <v>15</v>
      </c>
      <c r="L1157" s="29"/>
      <c r="M1157" s="27" t="s">
        <v>25036</v>
      </c>
    </row>
    <row r="1158" spans="1:13" s="27" customFormat="1" ht="17.25" customHeight="1" x14ac:dyDescent="0.25">
      <c r="A1158" s="28" t="s">
        <v>7</v>
      </c>
      <c r="B1158" s="28">
        <v>1033652466</v>
      </c>
      <c r="C1158" s="28" t="s">
        <v>25670</v>
      </c>
      <c r="D1158" s="28" t="s">
        <v>25551</v>
      </c>
      <c r="E1158" s="28" t="s">
        <v>25028</v>
      </c>
      <c r="F1158" s="28" t="s">
        <v>25029</v>
      </c>
      <c r="G1158" s="28" t="s">
        <v>19285</v>
      </c>
      <c r="H1158" s="28" t="s">
        <v>19238</v>
      </c>
      <c r="I1158" s="30">
        <v>45518</v>
      </c>
      <c r="J1158" s="30">
        <v>45535</v>
      </c>
      <c r="K1158" s="53">
        <v>15</v>
      </c>
      <c r="L1158" s="29"/>
      <c r="M1158" s="27" t="s">
        <v>19257</v>
      </c>
    </row>
    <row r="1159" spans="1:13" s="27" customFormat="1" ht="17.25" customHeight="1" x14ac:dyDescent="0.25">
      <c r="A1159" s="28" t="s">
        <v>7</v>
      </c>
      <c r="B1159" s="28">
        <v>1033652466</v>
      </c>
      <c r="C1159" s="28" t="s">
        <v>25670</v>
      </c>
      <c r="D1159" s="28" t="s">
        <v>25551</v>
      </c>
      <c r="E1159" s="28" t="s">
        <v>25028</v>
      </c>
      <c r="F1159" s="28" t="s">
        <v>25029</v>
      </c>
      <c r="G1159" s="28" t="s">
        <v>19229</v>
      </c>
      <c r="H1159" s="28" t="s">
        <v>19238</v>
      </c>
      <c r="I1159" s="30">
        <v>45518</v>
      </c>
      <c r="J1159" s="30">
        <v>45535</v>
      </c>
      <c r="K1159" s="53">
        <v>15</v>
      </c>
      <c r="L1159" s="29"/>
      <c r="M1159" s="27" t="s">
        <v>19257</v>
      </c>
    </row>
    <row r="1160" spans="1:13" s="27" customFormat="1" ht="17.25" customHeight="1" x14ac:dyDescent="0.25">
      <c r="A1160" s="28" t="s">
        <v>25850</v>
      </c>
      <c r="B1160" s="28">
        <v>52518327</v>
      </c>
      <c r="C1160" s="28" t="s">
        <v>26063</v>
      </c>
      <c r="D1160" s="28" t="s">
        <v>25109</v>
      </c>
      <c r="E1160" s="28" t="s">
        <v>25165</v>
      </c>
      <c r="F1160" s="28" t="s">
        <v>26064</v>
      </c>
      <c r="G1160" s="28" t="s">
        <v>26273</v>
      </c>
      <c r="H1160" s="28" t="s">
        <v>19239</v>
      </c>
      <c r="I1160" s="30">
        <v>45519</v>
      </c>
      <c r="J1160" s="30">
        <v>45523</v>
      </c>
      <c r="K1160" s="53">
        <v>5</v>
      </c>
      <c r="L1160" s="29">
        <v>22</v>
      </c>
      <c r="M1160" s="27" t="s">
        <v>25036</v>
      </c>
    </row>
    <row r="1161" spans="1:13" s="27" customFormat="1" ht="17.25" customHeight="1" x14ac:dyDescent="0.25">
      <c r="A1161" s="28" t="s">
        <v>25850</v>
      </c>
      <c r="B1161" s="28">
        <v>1007640349</v>
      </c>
      <c r="C1161" s="28" t="s">
        <v>26139</v>
      </c>
      <c r="D1161" s="28" t="s">
        <v>25254</v>
      </c>
      <c r="E1161" s="28" t="s">
        <v>25035</v>
      </c>
      <c r="F1161" s="28" t="s">
        <v>25010</v>
      </c>
      <c r="G1161" s="28" t="s">
        <v>19229</v>
      </c>
      <c r="H1161" s="28" t="s">
        <v>19239</v>
      </c>
      <c r="I1161" s="30">
        <v>45519</v>
      </c>
      <c r="J1161" s="30">
        <v>45519</v>
      </c>
      <c r="K1161" s="53">
        <v>1</v>
      </c>
      <c r="L1161" s="29">
        <v>4</v>
      </c>
      <c r="M1161" s="27" t="s">
        <v>25036</v>
      </c>
    </row>
    <row r="1162" spans="1:13" s="27" customFormat="1" ht="17.25" customHeight="1" x14ac:dyDescent="0.25">
      <c r="A1162" s="28" t="s">
        <v>7</v>
      </c>
      <c r="B1162" s="28">
        <v>1000633959</v>
      </c>
      <c r="C1162" s="28" t="s">
        <v>25523</v>
      </c>
      <c r="D1162" s="28" t="s">
        <v>25109</v>
      </c>
      <c r="E1162" s="28" t="s">
        <v>25089</v>
      </c>
      <c r="F1162" s="28" t="s">
        <v>25157</v>
      </c>
      <c r="G1162" s="28" t="s">
        <v>19229</v>
      </c>
      <c r="H1162" s="28" t="s">
        <v>19238</v>
      </c>
      <c r="I1162" s="30">
        <v>45519</v>
      </c>
      <c r="J1162" s="30">
        <v>45533</v>
      </c>
      <c r="K1162" s="53">
        <v>15</v>
      </c>
      <c r="L1162" s="29"/>
      <c r="M1162" s="27" t="s">
        <v>19257</v>
      </c>
    </row>
    <row r="1163" spans="1:13" s="27" customFormat="1" ht="17.25" customHeight="1" x14ac:dyDescent="0.25">
      <c r="A1163" s="28" t="s">
        <v>7</v>
      </c>
      <c r="B1163" s="28">
        <v>71334775</v>
      </c>
      <c r="C1163" s="28" t="s">
        <v>25027</v>
      </c>
      <c r="D1163" s="28" t="s">
        <v>25224</v>
      </c>
      <c r="E1163" s="28" t="s">
        <v>25754</v>
      </c>
      <c r="F1163" s="28" t="s">
        <v>25057</v>
      </c>
      <c r="G1163" s="28" t="s">
        <v>19229</v>
      </c>
      <c r="H1163" s="28" t="s">
        <v>19238</v>
      </c>
      <c r="I1163" s="30">
        <v>45519</v>
      </c>
      <c r="J1163" s="30">
        <v>45535</v>
      </c>
      <c r="K1163" s="53">
        <v>8</v>
      </c>
      <c r="L1163" s="29"/>
      <c r="M1163" s="27" t="s">
        <v>19257</v>
      </c>
    </row>
    <row r="1164" spans="1:13" s="27" customFormat="1" ht="17.25" customHeight="1" x14ac:dyDescent="0.25">
      <c r="A1164" s="28" t="s">
        <v>7</v>
      </c>
      <c r="B1164" s="28">
        <v>71334775</v>
      </c>
      <c r="C1164" s="28" t="s">
        <v>25027</v>
      </c>
      <c r="D1164" s="28" t="s">
        <v>25224</v>
      </c>
      <c r="E1164" s="28" t="s">
        <v>25754</v>
      </c>
      <c r="F1164" s="28" t="s">
        <v>25057</v>
      </c>
      <c r="G1164" s="28" t="s">
        <v>19229</v>
      </c>
      <c r="H1164" s="28" t="s">
        <v>19238</v>
      </c>
      <c r="I1164" s="30">
        <v>45519</v>
      </c>
      <c r="J1164" s="30">
        <v>45535</v>
      </c>
      <c r="K1164" s="53">
        <v>8</v>
      </c>
      <c r="L1164" s="29"/>
      <c r="M1164" s="27" t="s">
        <v>19257</v>
      </c>
    </row>
    <row r="1165" spans="1:13" s="27" customFormat="1" ht="17.25" customHeight="1" x14ac:dyDescent="0.25">
      <c r="A1165" s="28" t="s">
        <v>25850</v>
      </c>
      <c r="B1165" s="28">
        <v>14605912</v>
      </c>
      <c r="C1165" s="28" t="s">
        <v>26278</v>
      </c>
      <c r="D1165" s="28" t="s">
        <v>25415</v>
      </c>
      <c r="E1165" s="28" t="s">
        <v>25188</v>
      </c>
      <c r="F1165" s="28" t="s">
        <v>25416</v>
      </c>
      <c r="G1165" s="28" t="s">
        <v>19285</v>
      </c>
      <c r="H1165" s="28" t="s">
        <v>19239</v>
      </c>
      <c r="I1165" s="30">
        <v>45520</v>
      </c>
      <c r="J1165" s="30">
        <v>45524</v>
      </c>
      <c r="K1165" s="53">
        <v>5</v>
      </c>
      <c r="L1165" s="29">
        <v>1</v>
      </c>
      <c r="M1165" s="27" t="s">
        <v>25036</v>
      </c>
    </row>
    <row r="1166" spans="1:13" s="27" customFormat="1" ht="17.25" customHeight="1" x14ac:dyDescent="0.25">
      <c r="A1166" s="28" t="s">
        <v>7</v>
      </c>
      <c r="B1166" s="28">
        <v>1037595302</v>
      </c>
      <c r="C1166" s="28" t="s">
        <v>25928</v>
      </c>
      <c r="D1166" s="28" t="s">
        <v>25314</v>
      </c>
      <c r="E1166" s="28" t="s">
        <v>25091</v>
      </c>
      <c r="F1166" s="28" t="s">
        <v>26283</v>
      </c>
      <c r="G1166" s="28" t="s">
        <v>19229</v>
      </c>
      <c r="H1166" s="28" t="s">
        <v>19238</v>
      </c>
      <c r="I1166" s="30">
        <v>45520</v>
      </c>
      <c r="J1166" s="30">
        <v>45534</v>
      </c>
      <c r="K1166" s="53">
        <v>15</v>
      </c>
      <c r="L1166" s="29"/>
      <c r="M1166" s="27" t="s">
        <v>19257</v>
      </c>
    </row>
    <row r="1167" spans="1:13" s="27" customFormat="1" ht="17.25" customHeight="1" x14ac:dyDescent="0.25">
      <c r="A1167" s="28" t="s">
        <v>7</v>
      </c>
      <c r="B1167" s="28">
        <v>1038799598</v>
      </c>
      <c r="C1167" s="28" t="s">
        <v>25337</v>
      </c>
      <c r="D1167" s="28" t="s">
        <v>25338</v>
      </c>
      <c r="E1167" s="28" t="s">
        <v>25869</v>
      </c>
      <c r="F1167" s="28"/>
      <c r="G1167" s="28" t="s">
        <v>19229</v>
      </c>
      <c r="H1167" s="28" t="s">
        <v>19238</v>
      </c>
      <c r="I1167" s="30">
        <v>45520</v>
      </c>
      <c r="J1167" s="30">
        <v>45534</v>
      </c>
      <c r="K1167" s="53">
        <v>15</v>
      </c>
      <c r="L1167" s="29"/>
      <c r="M1167" s="27" t="s">
        <v>19257</v>
      </c>
    </row>
    <row r="1168" spans="1:13" s="27" customFormat="1" ht="17.25" customHeight="1" x14ac:dyDescent="0.25">
      <c r="A1168" s="28" t="s">
        <v>7</v>
      </c>
      <c r="B1168" s="28">
        <v>1000908653</v>
      </c>
      <c r="C1168" s="28" t="s">
        <v>25269</v>
      </c>
      <c r="D1168" s="28" t="s">
        <v>25802</v>
      </c>
      <c r="E1168" s="28" t="s">
        <v>25803</v>
      </c>
      <c r="F1168" s="28"/>
      <c r="G1168" s="28" t="s">
        <v>19229</v>
      </c>
      <c r="H1168" s="28" t="s">
        <v>19238</v>
      </c>
      <c r="I1168" s="30">
        <v>45520</v>
      </c>
      <c r="J1168" s="30">
        <v>45527</v>
      </c>
      <c r="K1168" s="53">
        <v>8</v>
      </c>
      <c r="L1168" s="29"/>
      <c r="M1168" s="27" t="s">
        <v>19257</v>
      </c>
    </row>
    <row r="1169" spans="1:13" s="27" customFormat="1" ht="17.25" customHeight="1" x14ac:dyDescent="0.25">
      <c r="A1169" s="28" t="s">
        <v>7</v>
      </c>
      <c r="B1169" s="28">
        <v>98502364</v>
      </c>
      <c r="C1169" s="28" t="s">
        <v>25792</v>
      </c>
      <c r="D1169" s="28" t="s">
        <v>25498</v>
      </c>
      <c r="E1169" s="28" t="s">
        <v>25793</v>
      </c>
      <c r="F1169" s="28" t="s">
        <v>25110</v>
      </c>
      <c r="G1169" s="28" t="s">
        <v>19229</v>
      </c>
      <c r="H1169" s="28" t="s">
        <v>19238</v>
      </c>
      <c r="I1169" s="30">
        <v>45520</v>
      </c>
      <c r="J1169" s="30">
        <v>45534</v>
      </c>
      <c r="K1169" s="53">
        <v>15</v>
      </c>
      <c r="L1169" s="29"/>
      <c r="M1169" s="27" t="s">
        <v>19257</v>
      </c>
    </row>
    <row r="1170" spans="1:13" s="27" customFormat="1" ht="17.25" customHeight="1" x14ac:dyDescent="0.25">
      <c r="A1170" s="28" t="s">
        <v>7</v>
      </c>
      <c r="B1170" s="28">
        <v>1128467712</v>
      </c>
      <c r="C1170" s="28" t="s">
        <v>25456</v>
      </c>
      <c r="D1170" s="28" t="s">
        <v>19258</v>
      </c>
      <c r="E1170" s="28" t="s">
        <v>26292</v>
      </c>
      <c r="F1170" s="28" t="s">
        <v>25880</v>
      </c>
      <c r="G1170" s="28" t="s">
        <v>26047</v>
      </c>
      <c r="H1170" s="28" t="s">
        <v>19238</v>
      </c>
      <c r="I1170" s="30">
        <v>45520</v>
      </c>
      <c r="J1170" s="30">
        <v>45538</v>
      </c>
      <c r="K1170" s="53">
        <v>15</v>
      </c>
      <c r="L1170" s="29"/>
      <c r="M1170" s="27" t="s">
        <v>25036</v>
      </c>
    </row>
    <row r="1171" spans="1:13" s="27" customFormat="1" ht="17.25" customHeight="1" x14ac:dyDescent="0.25">
      <c r="A1171" s="28" t="s">
        <v>7</v>
      </c>
      <c r="B1171" s="28">
        <v>1037269145</v>
      </c>
      <c r="C1171" s="28" t="s">
        <v>25714</v>
      </c>
      <c r="D1171" s="28" t="s">
        <v>25432</v>
      </c>
      <c r="E1171" s="28" t="s">
        <v>26267</v>
      </c>
      <c r="F1171" s="28" t="s">
        <v>25033</v>
      </c>
      <c r="G1171" s="28" t="s">
        <v>19229</v>
      </c>
      <c r="H1171" s="28" t="s">
        <v>19238</v>
      </c>
      <c r="I1171" s="30">
        <v>45520</v>
      </c>
      <c r="J1171" s="30">
        <v>45527</v>
      </c>
      <c r="K1171" s="53">
        <v>15</v>
      </c>
      <c r="L1171" s="29"/>
      <c r="M1171" s="27" t="s">
        <v>25036</v>
      </c>
    </row>
    <row r="1172" spans="1:13" s="27" customFormat="1" ht="17.25" customHeight="1" x14ac:dyDescent="0.25">
      <c r="A1172" s="28" t="s">
        <v>7</v>
      </c>
      <c r="B1172" s="28">
        <v>1007849148</v>
      </c>
      <c r="C1172" s="28" t="s">
        <v>25670</v>
      </c>
      <c r="D1172" s="28" t="s">
        <v>25370</v>
      </c>
      <c r="E1172" s="28" t="s">
        <v>26293</v>
      </c>
      <c r="F1172" s="28" t="s">
        <v>26027</v>
      </c>
      <c r="G1172" s="28" t="s">
        <v>19229</v>
      </c>
      <c r="H1172" s="28" t="s">
        <v>19238</v>
      </c>
      <c r="I1172" s="30">
        <v>45520</v>
      </c>
      <c r="J1172" s="30">
        <v>45534</v>
      </c>
      <c r="K1172" s="53">
        <v>15</v>
      </c>
      <c r="L1172" s="29"/>
      <c r="M1172" s="27" t="s">
        <v>19257</v>
      </c>
    </row>
    <row r="1173" spans="1:13" s="27" customFormat="1" ht="17.25" customHeight="1" x14ac:dyDescent="0.25">
      <c r="A1173" s="28" t="s">
        <v>7</v>
      </c>
      <c r="B1173" s="28">
        <v>1007849148</v>
      </c>
      <c r="C1173" s="28" t="s">
        <v>25670</v>
      </c>
      <c r="D1173" s="28" t="s">
        <v>25370</v>
      </c>
      <c r="E1173" s="28" t="s">
        <v>26293</v>
      </c>
      <c r="F1173" s="28" t="s">
        <v>26027</v>
      </c>
      <c r="G1173" s="28" t="s">
        <v>19229</v>
      </c>
      <c r="H1173" s="28" t="s">
        <v>19238</v>
      </c>
      <c r="I1173" s="30">
        <v>45520</v>
      </c>
      <c r="J1173" s="30">
        <v>45534</v>
      </c>
      <c r="K1173" s="53">
        <v>15</v>
      </c>
      <c r="L1173" s="29"/>
      <c r="M1173" s="27" t="s">
        <v>19257</v>
      </c>
    </row>
    <row r="1174" spans="1:13" s="27" customFormat="1" ht="17.25" customHeight="1" x14ac:dyDescent="0.25">
      <c r="A1174" s="28" t="s">
        <v>7</v>
      </c>
      <c r="B1174" s="28">
        <v>1037617209</v>
      </c>
      <c r="C1174" s="28" t="s">
        <v>25068</v>
      </c>
      <c r="D1174" s="28" t="s">
        <v>25248</v>
      </c>
      <c r="E1174" s="28" t="s">
        <v>25383</v>
      </c>
      <c r="F1174" s="28" t="s">
        <v>26289</v>
      </c>
      <c r="G1174" s="28" t="s">
        <v>26273</v>
      </c>
      <c r="H1174" s="28" t="s">
        <v>19238</v>
      </c>
      <c r="I1174" s="30">
        <v>45521</v>
      </c>
      <c r="J1174" s="30">
        <v>45528</v>
      </c>
      <c r="K1174" s="53">
        <v>15</v>
      </c>
      <c r="L1174" s="29"/>
      <c r="M1174" s="27" t="s">
        <v>19257</v>
      </c>
    </row>
    <row r="1175" spans="1:13" s="27" customFormat="1" ht="17.25" customHeight="1" x14ac:dyDescent="0.25">
      <c r="A1175" s="28" t="s">
        <v>7</v>
      </c>
      <c r="B1175" s="28">
        <v>1035302936</v>
      </c>
      <c r="C1175" s="28" t="s">
        <v>25046</v>
      </c>
      <c r="D1175" s="28" t="s">
        <v>26322</v>
      </c>
      <c r="E1175" s="28" t="s">
        <v>25203</v>
      </c>
      <c r="F1175" s="28" t="s">
        <v>25020</v>
      </c>
      <c r="G1175" s="28" t="s">
        <v>19229</v>
      </c>
      <c r="H1175" s="28" t="s">
        <v>19240</v>
      </c>
      <c r="I1175" s="30">
        <v>45521</v>
      </c>
      <c r="J1175" s="30">
        <v>45524</v>
      </c>
      <c r="K1175" s="53">
        <v>2</v>
      </c>
      <c r="L1175" s="29"/>
      <c r="M1175" s="27" t="s">
        <v>24991</v>
      </c>
    </row>
    <row r="1176" spans="1:13" s="27" customFormat="1" ht="17.25" customHeight="1" x14ac:dyDescent="0.25">
      <c r="A1176" s="28" t="s">
        <v>8</v>
      </c>
      <c r="B1176" s="28">
        <v>71055205</v>
      </c>
      <c r="C1176" s="28" t="s">
        <v>25480</v>
      </c>
      <c r="D1176" s="28" t="s">
        <v>25639</v>
      </c>
      <c r="E1176" s="28" t="s">
        <v>25131</v>
      </c>
      <c r="F1176" s="28" t="s">
        <v>25020</v>
      </c>
      <c r="G1176" s="28" t="s">
        <v>19229</v>
      </c>
      <c r="H1176" s="28" t="s">
        <v>19238</v>
      </c>
      <c r="I1176" s="30">
        <v>45521</v>
      </c>
      <c r="J1176" s="30">
        <v>45535</v>
      </c>
      <c r="K1176" s="53">
        <v>15</v>
      </c>
      <c r="L1176" s="29"/>
      <c r="M1176" s="27" t="s">
        <v>19257</v>
      </c>
    </row>
    <row r="1177" spans="1:13" s="27" customFormat="1" ht="17.25" customHeight="1" x14ac:dyDescent="0.25">
      <c r="A1177" s="28" t="s">
        <v>7</v>
      </c>
      <c r="B1177" s="28">
        <v>1036637081</v>
      </c>
      <c r="C1177" s="28" t="s">
        <v>25332</v>
      </c>
      <c r="D1177" s="28" t="s">
        <v>25003</v>
      </c>
      <c r="E1177" s="28" t="s">
        <v>25875</v>
      </c>
      <c r="F1177" s="28" t="s">
        <v>25110</v>
      </c>
      <c r="G1177" s="28" t="s">
        <v>19229</v>
      </c>
      <c r="H1177" s="28" t="s">
        <v>19238</v>
      </c>
      <c r="I1177" s="30">
        <v>45522</v>
      </c>
      <c r="J1177" s="30">
        <v>45536</v>
      </c>
      <c r="K1177" s="53">
        <v>15</v>
      </c>
      <c r="L1177" s="29"/>
      <c r="M1177" s="27" t="s">
        <v>19257</v>
      </c>
    </row>
    <row r="1178" spans="1:13" s="27" customFormat="1" ht="17.25" customHeight="1" x14ac:dyDescent="0.25">
      <c r="A1178" s="28" t="s">
        <v>7</v>
      </c>
      <c r="B1178" s="28">
        <v>1112098907</v>
      </c>
      <c r="C1178" s="28" t="s">
        <v>26294</v>
      </c>
      <c r="D1178" s="28" t="s">
        <v>25426</v>
      </c>
      <c r="E1178" s="28" t="s">
        <v>25208</v>
      </c>
      <c r="F1178" s="28" t="s">
        <v>25023</v>
      </c>
      <c r="G1178" s="28" t="s">
        <v>19229</v>
      </c>
      <c r="H1178" s="28" t="s">
        <v>19238</v>
      </c>
      <c r="I1178" s="30">
        <v>45522</v>
      </c>
      <c r="J1178" s="30">
        <v>45537</v>
      </c>
      <c r="K1178" s="53">
        <v>15</v>
      </c>
      <c r="L1178" s="29"/>
      <c r="M1178" s="27" t="s">
        <v>19257</v>
      </c>
    </row>
    <row r="1179" spans="1:13" s="27" customFormat="1" ht="17.25" customHeight="1" x14ac:dyDescent="0.25">
      <c r="A1179" s="28" t="s">
        <v>7</v>
      </c>
      <c r="B1179" s="28">
        <v>98525106</v>
      </c>
      <c r="C1179" s="28" t="s">
        <v>25326</v>
      </c>
      <c r="D1179" s="28" t="s">
        <v>25594</v>
      </c>
      <c r="E1179" s="28" t="s">
        <v>25168</v>
      </c>
      <c r="F1179" s="28" t="s">
        <v>25005</v>
      </c>
      <c r="G1179" s="28" t="s">
        <v>19229</v>
      </c>
      <c r="H1179" s="28" t="s">
        <v>19238</v>
      </c>
      <c r="I1179" s="30">
        <v>45522</v>
      </c>
      <c r="J1179" s="30">
        <v>45536</v>
      </c>
      <c r="K1179" s="53">
        <v>15</v>
      </c>
      <c r="L1179" s="29"/>
      <c r="M1179" s="27" t="s">
        <v>19257</v>
      </c>
    </row>
    <row r="1180" spans="1:13" s="27" customFormat="1" ht="17.25" customHeight="1" x14ac:dyDescent="0.25">
      <c r="A1180" s="28" t="s">
        <v>25850</v>
      </c>
      <c r="B1180" s="28">
        <v>1007330131</v>
      </c>
      <c r="C1180" s="28" t="s">
        <v>25707</v>
      </c>
      <c r="D1180" s="28" t="s">
        <v>25427</v>
      </c>
      <c r="E1180" s="28" t="s">
        <v>26277</v>
      </c>
      <c r="F1180" s="28" t="s">
        <v>25632</v>
      </c>
      <c r="G1180" s="28" t="s">
        <v>19229</v>
      </c>
      <c r="H1180" s="28" t="s">
        <v>19239</v>
      </c>
      <c r="I1180" s="30">
        <v>45523</v>
      </c>
      <c r="J1180" s="30">
        <v>45525</v>
      </c>
      <c r="K1180" s="53">
        <v>3</v>
      </c>
      <c r="L1180" s="29">
        <v>15</v>
      </c>
      <c r="M1180" s="27" t="s">
        <v>25036</v>
      </c>
    </row>
    <row r="1181" spans="1:13" s="27" customFormat="1" ht="17.25" customHeight="1" x14ac:dyDescent="0.25">
      <c r="A1181" s="28" t="s">
        <v>8</v>
      </c>
      <c r="B1181" s="28">
        <v>1038626978</v>
      </c>
      <c r="C1181" s="28" t="s">
        <v>25127</v>
      </c>
      <c r="D1181" s="28" t="s">
        <v>25519</v>
      </c>
      <c r="E1181" s="28" t="s">
        <v>25089</v>
      </c>
      <c r="F1181" s="28" t="s">
        <v>25157</v>
      </c>
      <c r="G1181" s="28" t="s">
        <v>19229</v>
      </c>
      <c r="H1181" s="28" t="s">
        <v>19238</v>
      </c>
      <c r="I1181" s="30">
        <v>45523</v>
      </c>
      <c r="J1181" s="30">
        <v>45539</v>
      </c>
      <c r="K1181" s="53">
        <v>15</v>
      </c>
      <c r="L1181" s="29"/>
      <c r="M1181" s="27" t="s">
        <v>19257</v>
      </c>
    </row>
    <row r="1182" spans="1:13" s="27" customFormat="1" ht="17.25" customHeight="1" x14ac:dyDescent="0.25">
      <c r="A1182" s="28" t="s">
        <v>7</v>
      </c>
      <c r="B1182" s="28">
        <v>1045048620</v>
      </c>
      <c r="C1182" s="28" t="s">
        <v>25310</v>
      </c>
      <c r="D1182" s="28" t="s">
        <v>25310</v>
      </c>
      <c r="E1182" s="28" t="s">
        <v>25595</v>
      </c>
      <c r="F1182" s="28" t="s">
        <v>25596</v>
      </c>
      <c r="G1182" s="28" t="s">
        <v>19229</v>
      </c>
      <c r="H1182" s="28" t="s">
        <v>19238</v>
      </c>
      <c r="I1182" s="30">
        <v>45524</v>
      </c>
      <c r="J1182" s="30">
        <v>45538</v>
      </c>
      <c r="K1182" s="53">
        <v>15</v>
      </c>
      <c r="L1182" s="29"/>
      <c r="M1182" s="27" t="s">
        <v>19257</v>
      </c>
    </row>
    <row r="1183" spans="1:13" s="27" customFormat="1" ht="17.25" customHeight="1" x14ac:dyDescent="0.25">
      <c r="A1183" s="28" t="s">
        <v>7</v>
      </c>
      <c r="B1183" s="28">
        <v>1128462244</v>
      </c>
      <c r="C1183" s="28" t="s">
        <v>26247</v>
      </c>
      <c r="D1183" s="28" t="s">
        <v>25420</v>
      </c>
      <c r="E1183" s="28" t="s">
        <v>25183</v>
      </c>
      <c r="F1183" s="28" t="s">
        <v>25413</v>
      </c>
      <c r="G1183" s="28" t="s">
        <v>19285</v>
      </c>
      <c r="H1183" s="28" t="s">
        <v>19238</v>
      </c>
      <c r="I1183" s="30">
        <v>45524</v>
      </c>
      <c r="J1183" s="30">
        <v>45531</v>
      </c>
      <c r="K1183" s="53">
        <v>8</v>
      </c>
      <c r="L1183" s="29"/>
      <c r="M1183" s="27" t="s">
        <v>19257</v>
      </c>
    </row>
    <row r="1184" spans="1:13" s="27" customFormat="1" ht="17.25" customHeight="1" x14ac:dyDescent="0.25">
      <c r="A1184" s="28" t="s">
        <v>7</v>
      </c>
      <c r="B1184" s="28">
        <v>1128462244</v>
      </c>
      <c r="C1184" s="28" t="s">
        <v>26247</v>
      </c>
      <c r="D1184" s="28" t="s">
        <v>25420</v>
      </c>
      <c r="E1184" s="28" t="s">
        <v>25183</v>
      </c>
      <c r="F1184" s="28" t="s">
        <v>25413</v>
      </c>
      <c r="G1184" s="28" t="s">
        <v>19229</v>
      </c>
      <c r="H1184" s="28" t="s">
        <v>19238</v>
      </c>
      <c r="I1184" s="30">
        <v>45524</v>
      </c>
      <c r="J1184" s="30">
        <v>45531</v>
      </c>
      <c r="K1184" s="53">
        <v>8</v>
      </c>
      <c r="L1184" s="29"/>
      <c r="M1184" s="27" t="s">
        <v>19257</v>
      </c>
    </row>
    <row r="1185" spans="1:13" s="27" customFormat="1" ht="17.25" customHeight="1" x14ac:dyDescent="0.25">
      <c r="A1185" s="28" t="s">
        <v>7</v>
      </c>
      <c r="B1185" s="28">
        <v>71219178</v>
      </c>
      <c r="C1185" s="28" t="s">
        <v>26295</v>
      </c>
      <c r="D1185" s="28" t="s">
        <v>25424</v>
      </c>
      <c r="E1185" s="28" t="s">
        <v>25422</v>
      </c>
      <c r="F1185" s="28" t="s">
        <v>26296</v>
      </c>
      <c r="G1185" s="28" t="s">
        <v>19229</v>
      </c>
      <c r="H1185" s="28" t="s">
        <v>19238</v>
      </c>
      <c r="I1185" s="30">
        <v>45525</v>
      </c>
      <c r="J1185" s="30">
        <v>45540</v>
      </c>
      <c r="K1185" s="53">
        <v>8</v>
      </c>
      <c r="L1185" s="29"/>
      <c r="M1185" s="27" t="s">
        <v>19257</v>
      </c>
    </row>
    <row r="1186" spans="1:13" s="27" customFormat="1" ht="17.25" customHeight="1" x14ac:dyDescent="0.25">
      <c r="A1186" s="28" t="s">
        <v>7</v>
      </c>
      <c r="B1186" s="28">
        <v>15525806</v>
      </c>
      <c r="C1186" s="28" t="s">
        <v>25498</v>
      </c>
      <c r="D1186" s="28" t="s">
        <v>25426</v>
      </c>
      <c r="E1186" s="28" t="s">
        <v>25091</v>
      </c>
      <c r="F1186" s="28" t="s">
        <v>24986</v>
      </c>
      <c r="G1186" s="28" t="s">
        <v>19285</v>
      </c>
      <c r="H1186" s="28" t="s">
        <v>19238</v>
      </c>
      <c r="I1186" s="30">
        <v>45525</v>
      </c>
      <c r="J1186" s="30">
        <v>45538</v>
      </c>
      <c r="K1186" s="53">
        <v>15</v>
      </c>
      <c r="L1186" s="29"/>
      <c r="M1186" s="27" t="s">
        <v>19257</v>
      </c>
    </row>
    <row r="1187" spans="1:13" s="27" customFormat="1" ht="17.25" customHeight="1" x14ac:dyDescent="0.25">
      <c r="A1187" s="28" t="s">
        <v>7</v>
      </c>
      <c r="B1187" s="28">
        <v>15525806</v>
      </c>
      <c r="C1187" s="28" t="s">
        <v>25498</v>
      </c>
      <c r="D1187" s="28" t="s">
        <v>25426</v>
      </c>
      <c r="E1187" s="28" t="s">
        <v>25091</v>
      </c>
      <c r="F1187" s="28" t="s">
        <v>24986</v>
      </c>
      <c r="G1187" s="28" t="s">
        <v>19229</v>
      </c>
      <c r="H1187" s="28" t="s">
        <v>19238</v>
      </c>
      <c r="I1187" s="30">
        <v>45525</v>
      </c>
      <c r="J1187" s="30">
        <v>45538</v>
      </c>
      <c r="K1187" s="53">
        <v>15</v>
      </c>
      <c r="L1187" s="29"/>
      <c r="M1187" s="27" t="s">
        <v>19257</v>
      </c>
    </row>
    <row r="1188" spans="1:13" s="27" customFormat="1" ht="17.25" customHeight="1" x14ac:dyDescent="0.25">
      <c r="A1188" s="28" t="s">
        <v>7</v>
      </c>
      <c r="B1188" s="28">
        <v>1216722370</v>
      </c>
      <c r="C1188" s="28" t="s">
        <v>25030</v>
      </c>
      <c r="D1188" s="28" t="s">
        <v>25403</v>
      </c>
      <c r="E1188" s="28" t="s">
        <v>25349</v>
      </c>
      <c r="F1188" s="28" t="s">
        <v>25755</v>
      </c>
      <c r="G1188" s="28" t="s">
        <v>19229</v>
      </c>
      <c r="H1188" s="28" t="s">
        <v>19238</v>
      </c>
      <c r="I1188" s="30">
        <v>45525</v>
      </c>
      <c r="J1188" s="30">
        <v>45538</v>
      </c>
      <c r="K1188" s="53">
        <v>15</v>
      </c>
      <c r="L1188" s="29"/>
      <c r="M1188" s="27" t="s">
        <v>19257</v>
      </c>
    </row>
    <row r="1189" spans="1:13" s="27" customFormat="1" ht="17.25" customHeight="1" x14ac:dyDescent="0.25">
      <c r="A1189" s="28" t="s">
        <v>25850</v>
      </c>
      <c r="B1189" s="28">
        <v>1152458215</v>
      </c>
      <c r="C1189" s="28" t="s">
        <v>24998</v>
      </c>
      <c r="D1189" s="28" t="s">
        <v>25423</v>
      </c>
      <c r="E1189" s="28" t="s">
        <v>26190</v>
      </c>
      <c r="F1189" s="28" t="s">
        <v>25051</v>
      </c>
      <c r="G1189" s="28" t="s">
        <v>19229</v>
      </c>
      <c r="H1189" s="28" t="s">
        <v>19239</v>
      </c>
      <c r="I1189" s="30">
        <v>45526</v>
      </c>
      <c r="J1189" s="30">
        <v>45530</v>
      </c>
      <c r="K1189" s="53">
        <v>5</v>
      </c>
      <c r="L1189" s="29">
        <v>1</v>
      </c>
      <c r="M1189" s="27" t="s">
        <v>25036</v>
      </c>
    </row>
    <row r="1190" spans="1:13" s="27" customFormat="1" ht="17.25" customHeight="1" x14ac:dyDescent="0.25">
      <c r="A1190" s="28" t="s">
        <v>25850</v>
      </c>
      <c r="B1190" s="28">
        <v>1000763840</v>
      </c>
      <c r="C1190" s="28" t="s">
        <v>24998</v>
      </c>
      <c r="D1190" s="28" t="s">
        <v>25177</v>
      </c>
      <c r="E1190" s="28" t="s">
        <v>25524</v>
      </c>
      <c r="F1190" s="28"/>
      <c r="G1190" s="28" t="s">
        <v>19229</v>
      </c>
      <c r="H1190" s="28" t="s">
        <v>19239</v>
      </c>
      <c r="I1190" s="30">
        <v>45526</v>
      </c>
      <c r="J1190" s="30">
        <v>45526</v>
      </c>
      <c r="K1190" s="53">
        <v>6</v>
      </c>
      <c r="L1190" s="29">
        <v>1</v>
      </c>
      <c r="M1190" s="27" t="s">
        <v>25036</v>
      </c>
    </row>
    <row r="1191" spans="1:13" s="27" customFormat="1" ht="17.25" customHeight="1" x14ac:dyDescent="0.25">
      <c r="A1191" s="28" t="s">
        <v>7</v>
      </c>
      <c r="B1191" s="28">
        <v>43918754</v>
      </c>
      <c r="C1191" s="28" t="s">
        <v>25480</v>
      </c>
      <c r="D1191" s="28" t="s">
        <v>24983</v>
      </c>
      <c r="E1191" s="28" t="s">
        <v>25165</v>
      </c>
      <c r="F1191" s="28" t="s">
        <v>26091</v>
      </c>
      <c r="G1191" s="28" t="s">
        <v>19229</v>
      </c>
      <c r="H1191" s="28" t="s">
        <v>19238</v>
      </c>
      <c r="I1191" s="30">
        <v>45526</v>
      </c>
      <c r="J1191" s="30">
        <v>45540</v>
      </c>
      <c r="K1191" s="53">
        <v>15</v>
      </c>
      <c r="L1191" s="29"/>
      <c r="M1191" s="27" t="s">
        <v>19257</v>
      </c>
    </row>
    <row r="1192" spans="1:13" s="27" customFormat="1" ht="17.25" customHeight="1" x14ac:dyDescent="0.25">
      <c r="A1192" s="28" t="s">
        <v>7</v>
      </c>
      <c r="B1192" s="28">
        <v>1073969817</v>
      </c>
      <c r="C1192" s="28" t="s">
        <v>25654</v>
      </c>
      <c r="D1192" s="28" t="s">
        <v>25655</v>
      </c>
      <c r="E1192" s="28" t="s">
        <v>25059</v>
      </c>
      <c r="F1192" s="28" t="s">
        <v>25193</v>
      </c>
      <c r="G1192" s="28" t="s">
        <v>19229</v>
      </c>
      <c r="H1192" s="28" t="s">
        <v>19238</v>
      </c>
      <c r="I1192" s="30">
        <v>45526</v>
      </c>
      <c r="J1192" s="30">
        <v>45541</v>
      </c>
      <c r="K1192" s="53">
        <v>16</v>
      </c>
      <c r="L1192" s="29"/>
      <c r="M1192" s="27" t="s">
        <v>19257</v>
      </c>
    </row>
    <row r="1193" spans="1:13" s="27" customFormat="1" ht="17.25" customHeight="1" x14ac:dyDescent="0.25">
      <c r="A1193" s="28" t="s">
        <v>8</v>
      </c>
      <c r="B1193" s="28">
        <v>98703751</v>
      </c>
      <c r="C1193" s="28" t="s">
        <v>25319</v>
      </c>
      <c r="D1193" s="28" t="s">
        <v>25723</v>
      </c>
      <c r="E1193" s="28" t="s">
        <v>26332</v>
      </c>
      <c r="F1193" s="28" t="s">
        <v>25103</v>
      </c>
      <c r="G1193" s="28" t="s">
        <v>19229</v>
      </c>
      <c r="H1193" s="28" t="s">
        <v>19238</v>
      </c>
      <c r="I1193" s="30">
        <v>45526</v>
      </c>
      <c r="J1193" s="30">
        <v>45533</v>
      </c>
      <c r="K1193" s="53">
        <v>8</v>
      </c>
      <c r="L1193" s="29"/>
      <c r="M1193" s="27" t="s">
        <v>19257</v>
      </c>
    </row>
    <row r="1194" spans="1:13" s="27" customFormat="1" ht="17.25" customHeight="1" x14ac:dyDescent="0.25">
      <c r="A1194" s="28" t="s">
        <v>25850</v>
      </c>
      <c r="B1194" s="28">
        <v>71704175</v>
      </c>
      <c r="C1194" s="28" t="s">
        <v>26089</v>
      </c>
      <c r="D1194" s="28" t="s">
        <v>25751</v>
      </c>
      <c r="E1194" s="28" t="s">
        <v>25168</v>
      </c>
      <c r="F1194" s="28" t="s">
        <v>25107</v>
      </c>
      <c r="G1194" s="28" t="s">
        <v>19229</v>
      </c>
      <c r="H1194" s="28" t="s">
        <v>19240</v>
      </c>
      <c r="I1194" s="30">
        <v>45529</v>
      </c>
      <c r="J1194" s="30">
        <v>45533</v>
      </c>
      <c r="K1194" s="53">
        <v>5</v>
      </c>
      <c r="L1194" s="29"/>
      <c r="M1194" s="27" t="s">
        <v>26106</v>
      </c>
    </row>
    <row r="1195" spans="1:13" s="27" customFormat="1" ht="17.25" customHeight="1" x14ac:dyDescent="0.25">
      <c r="A1195" s="28" t="s">
        <v>7</v>
      </c>
      <c r="B1195" s="28">
        <v>10900408</v>
      </c>
      <c r="C1195" s="28" t="s">
        <v>25326</v>
      </c>
      <c r="D1195" s="28" t="s">
        <v>25094</v>
      </c>
      <c r="E1195" s="28" t="s">
        <v>25032</v>
      </c>
      <c r="F1195" s="28" t="s">
        <v>25051</v>
      </c>
      <c r="G1195" s="28" t="s">
        <v>19229</v>
      </c>
      <c r="H1195" s="28" t="s">
        <v>19238</v>
      </c>
      <c r="I1195" s="30">
        <v>45531</v>
      </c>
      <c r="J1195" s="30">
        <v>45545</v>
      </c>
      <c r="K1195" s="53">
        <v>15</v>
      </c>
      <c r="L1195" s="29"/>
      <c r="M1195" s="27" t="s">
        <v>19257</v>
      </c>
    </row>
    <row r="1196" spans="1:13" s="27" customFormat="1" ht="17.25" customHeight="1" x14ac:dyDescent="0.25">
      <c r="A1196" s="28" t="s">
        <v>7</v>
      </c>
      <c r="B1196" s="28">
        <v>10900408</v>
      </c>
      <c r="C1196" s="28" t="s">
        <v>25326</v>
      </c>
      <c r="D1196" s="28" t="s">
        <v>25094</v>
      </c>
      <c r="E1196" s="28" t="s">
        <v>25032</v>
      </c>
      <c r="F1196" s="28" t="s">
        <v>25051</v>
      </c>
      <c r="G1196" s="28" t="s">
        <v>19229</v>
      </c>
      <c r="H1196" s="28" t="s">
        <v>19238</v>
      </c>
      <c r="I1196" s="30">
        <v>45531</v>
      </c>
      <c r="J1196" s="30">
        <v>45545</v>
      </c>
      <c r="K1196" s="53">
        <v>15</v>
      </c>
      <c r="L1196" s="29"/>
      <c r="M1196" s="27" t="s">
        <v>19257</v>
      </c>
    </row>
    <row r="1197" spans="1:13" s="27" customFormat="1" ht="17.25" customHeight="1" x14ac:dyDescent="0.25">
      <c r="A1197" s="28" t="s">
        <v>7</v>
      </c>
      <c r="B1197" s="28">
        <v>43117538</v>
      </c>
      <c r="C1197" s="28" t="s">
        <v>25310</v>
      </c>
      <c r="D1197" s="28" t="s">
        <v>25248</v>
      </c>
      <c r="E1197" s="28" t="s">
        <v>24999</v>
      </c>
      <c r="F1197" s="28" t="s">
        <v>25000</v>
      </c>
      <c r="G1197" s="28" t="s">
        <v>19229</v>
      </c>
      <c r="H1197" s="28" t="s">
        <v>19238</v>
      </c>
      <c r="I1197" s="30">
        <v>45533</v>
      </c>
      <c r="J1197" s="30">
        <v>45540</v>
      </c>
      <c r="K1197" s="53">
        <v>15</v>
      </c>
      <c r="L1197" s="29"/>
      <c r="M1197" s="27" t="s">
        <v>19257</v>
      </c>
    </row>
    <row r="1198" spans="1:13" s="27" customFormat="1" ht="17.25" customHeight="1" x14ac:dyDescent="0.25">
      <c r="A1198" s="28" t="s">
        <v>7</v>
      </c>
      <c r="B1198" s="28">
        <v>71375285</v>
      </c>
      <c r="C1198" s="28" t="s">
        <v>25319</v>
      </c>
      <c r="D1198" s="28" t="s">
        <v>25248</v>
      </c>
      <c r="E1198" s="28" t="s">
        <v>25474</v>
      </c>
      <c r="F1198" s="28"/>
      <c r="G1198" s="28" t="s">
        <v>19229</v>
      </c>
      <c r="H1198" s="28" t="s">
        <v>19238</v>
      </c>
      <c r="I1198" s="30">
        <v>45533</v>
      </c>
      <c r="J1198" s="30">
        <v>45547</v>
      </c>
      <c r="K1198" s="53">
        <v>15</v>
      </c>
      <c r="L1198" s="29"/>
      <c r="M1198" s="27" t="s">
        <v>19257</v>
      </c>
    </row>
    <row r="1199" spans="1:13" s="27" customFormat="1" ht="17.25" customHeight="1" x14ac:dyDescent="0.25">
      <c r="A1199" s="28" t="s">
        <v>25850</v>
      </c>
      <c r="B1199" s="28">
        <v>1062425279</v>
      </c>
      <c r="C1199" s="28" t="s">
        <v>26081</v>
      </c>
      <c r="D1199" s="28" t="s">
        <v>26082</v>
      </c>
      <c r="E1199" s="28" t="s">
        <v>26158</v>
      </c>
      <c r="F1199" s="28" t="s">
        <v>25308</v>
      </c>
      <c r="G1199" s="28" t="s">
        <v>19229</v>
      </c>
      <c r="H1199" s="28" t="s">
        <v>19239</v>
      </c>
      <c r="I1199" s="30">
        <v>45534</v>
      </c>
      <c r="J1199" s="30">
        <v>45536</v>
      </c>
      <c r="K1199" s="53">
        <v>3</v>
      </c>
      <c r="L1199" s="29">
        <v>10</v>
      </c>
      <c r="M1199" s="27" t="s">
        <v>25036</v>
      </c>
    </row>
    <row r="1200" spans="1:13" s="27" customFormat="1" ht="17.25" customHeight="1" x14ac:dyDescent="0.25">
      <c r="A1200" s="28" t="s">
        <v>8</v>
      </c>
      <c r="B1200" s="28">
        <v>98703751</v>
      </c>
      <c r="C1200" s="28" t="s">
        <v>25319</v>
      </c>
      <c r="D1200" s="28" t="s">
        <v>25723</v>
      </c>
      <c r="E1200" s="28" t="s">
        <v>26332</v>
      </c>
      <c r="F1200" s="28" t="s">
        <v>25103</v>
      </c>
      <c r="G1200" s="28" t="s">
        <v>19229</v>
      </c>
      <c r="H1200" s="28" t="s">
        <v>19238</v>
      </c>
      <c r="I1200" s="30">
        <v>45534</v>
      </c>
      <c r="J1200" s="30">
        <v>45542</v>
      </c>
      <c r="K1200" s="53">
        <v>8</v>
      </c>
      <c r="L1200" s="29"/>
      <c r="M1200" s="27" t="s">
        <v>19257</v>
      </c>
    </row>
    <row r="1201" spans="1:13" s="27" customFormat="1" ht="17.25" customHeight="1" x14ac:dyDescent="0.25">
      <c r="A1201" s="28" t="s">
        <v>8</v>
      </c>
      <c r="B1201" s="28">
        <v>11955339</v>
      </c>
      <c r="C1201" s="28" t="s">
        <v>25174</v>
      </c>
      <c r="D1201" s="28" t="s">
        <v>26325</v>
      </c>
      <c r="E1201" s="28" t="s">
        <v>6</v>
      </c>
      <c r="F1201" s="28" t="s">
        <v>25571</v>
      </c>
      <c r="G1201" s="28" t="s">
        <v>19229</v>
      </c>
      <c r="H1201" s="28" t="s">
        <v>19238</v>
      </c>
      <c r="I1201" s="30">
        <v>45535</v>
      </c>
      <c r="J1201" s="30">
        <v>45542</v>
      </c>
      <c r="K1201" s="53">
        <v>8</v>
      </c>
      <c r="L1201" s="29"/>
      <c r="M1201" s="27" t="s">
        <v>19257</v>
      </c>
    </row>
    <row r="1202" spans="1:13" s="27" customFormat="1" ht="17.25" customHeight="1" x14ac:dyDescent="0.25">
      <c r="A1202" s="28" t="s">
        <v>8</v>
      </c>
      <c r="B1202" s="28">
        <v>1038332376</v>
      </c>
      <c r="C1202" s="28" t="s">
        <v>25105</v>
      </c>
      <c r="D1202" s="28" t="s">
        <v>25638</v>
      </c>
      <c r="E1202" s="28" t="s">
        <v>25478</v>
      </c>
      <c r="F1202" s="28" t="s">
        <v>25566</v>
      </c>
      <c r="G1202" s="28" t="s">
        <v>19229</v>
      </c>
      <c r="H1202" s="28" t="s">
        <v>19238</v>
      </c>
      <c r="I1202" s="30">
        <v>45535</v>
      </c>
      <c r="J1202" s="30">
        <v>45542</v>
      </c>
      <c r="K1202" s="53">
        <v>8</v>
      </c>
      <c r="L1202" s="29"/>
      <c r="M1202" s="27" t="s">
        <v>19257</v>
      </c>
    </row>
    <row r="1203" spans="1:13" s="27" customFormat="1" ht="17.25" customHeight="1" x14ac:dyDescent="0.25">
      <c r="A1203" s="28" t="s">
        <v>8</v>
      </c>
      <c r="B1203" s="28">
        <v>1002133005</v>
      </c>
      <c r="C1203" s="28" t="s">
        <v>25498</v>
      </c>
      <c r="D1203" s="28" t="s">
        <v>26137</v>
      </c>
      <c r="E1203" s="28" t="s">
        <v>25023</v>
      </c>
      <c r="F1203" s="28" t="s">
        <v>25014</v>
      </c>
      <c r="G1203" s="28" t="s">
        <v>19229</v>
      </c>
      <c r="H1203" s="28" t="s">
        <v>19238</v>
      </c>
      <c r="I1203" s="30">
        <v>45535</v>
      </c>
      <c r="J1203" s="30">
        <v>45549</v>
      </c>
      <c r="K1203" s="53">
        <v>15</v>
      </c>
      <c r="L1203" s="29"/>
      <c r="M1203" s="27" t="s">
        <v>19257</v>
      </c>
    </row>
    <row r="1204" spans="1:13" s="27" customFormat="1" ht="17.25" customHeight="1" x14ac:dyDescent="0.25">
      <c r="A1204" s="28" t="s">
        <v>7</v>
      </c>
      <c r="B1204" s="28">
        <v>15262995</v>
      </c>
      <c r="C1204" s="28" t="s">
        <v>26323</v>
      </c>
      <c r="D1204" s="28" t="s">
        <v>25310</v>
      </c>
      <c r="E1204" s="28" t="s">
        <v>25051</v>
      </c>
      <c r="F1204" s="28" t="s">
        <v>25103</v>
      </c>
      <c r="G1204" s="28" t="s">
        <v>19229</v>
      </c>
      <c r="H1204" s="28" t="s">
        <v>19238</v>
      </c>
      <c r="I1204" s="30">
        <v>45536</v>
      </c>
      <c r="J1204" s="30">
        <v>45550</v>
      </c>
      <c r="K1204" s="53">
        <v>15</v>
      </c>
      <c r="L1204" s="29"/>
      <c r="M1204" s="27" t="s">
        <v>19257</v>
      </c>
    </row>
    <row r="1205" spans="1:13" s="27" customFormat="1" ht="17.25" customHeight="1" x14ac:dyDescent="0.25">
      <c r="A1205" s="28" t="s">
        <v>7</v>
      </c>
      <c r="B1205" s="28">
        <v>7958346</v>
      </c>
      <c r="C1205" s="28" t="s">
        <v>25251</v>
      </c>
      <c r="D1205" s="28" t="s">
        <v>26225</v>
      </c>
      <c r="E1205" s="28" t="s">
        <v>25253</v>
      </c>
      <c r="F1205" s="28" t="s">
        <v>25213</v>
      </c>
      <c r="G1205" s="28" t="s">
        <v>19229</v>
      </c>
      <c r="H1205" s="28" t="s">
        <v>19238</v>
      </c>
      <c r="I1205" s="30">
        <v>45536</v>
      </c>
      <c r="J1205" s="30">
        <v>45543</v>
      </c>
      <c r="K1205" s="53">
        <v>8</v>
      </c>
      <c r="L1205" s="29"/>
      <c r="M1205" s="27" t="s">
        <v>19257</v>
      </c>
    </row>
    <row r="1206" spans="1:13" s="27" customFormat="1" ht="17.25" customHeight="1" x14ac:dyDescent="0.25">
      <c r="A1206" s="28" t="s">
        <v>8</v>
      </c>
      <c r="B1206" s="28">
        <v>1146442150</v>
      </c>
      <c r="C1206" s="28" t="s">
        <v>25790</v>
      </c>
      <c r="D1206" s="28" t="s">
        <v>25498</v>
      </c>
      <c r="E1206" s="28" t="s">
        <v>19278</v>
      </c>
      <c r="F1206" s="28" t="s">
        <v>26257</v>
      </c>
      <c r="G1206" s="28" t="s">
        <v>19229</v>
      </c>
      <c r="H1206" s="28" t="s">
        <v>19240</v>
      </c>
      <c r="I1206" s="30">
        <v>45536</v>
      </c>
      <c r="J1206" s="30">
        <v>45536</v>
      </c>
      <c r="K1206" s="53">
        <v>1</v>
      </c>
      <c r="L1206" s="29"/>
      <c r="M1206" s="27" t="s">
        <v>24991</v>
      </c>
    </row>
    <row r="1207" spans="1:13" s="27" customFormat="1" ht="17.25" customHeight="1" x14ac:dyDescent="0.25">
      <c r="A1207" s="28" t="s">
        <v>8</v>
      </c>
      <c r="B1207" s="28">
        <v>1040356597</v>
      </c>
      <c r="C1207" s="28" t="s">
        <v>25989</v>
      </c>
      <c r="D1207" s="28" t="s">
        <v>25609</v>
      </c>
      <c r="E1207" s="28" t="s">
        <v>25241</v>
      </c>
      <c r="F1207" s="28" t="s">
        <v>25064</v>
      </c>
      <c r="G1207" s="28" t="s">
        <v>19229</v>
      </c>
      <c r="H1207" s="28" t="s">
        <v>19238</v>
      </c>
      <c r="I1207" s="30">
        <v>45536</v>
      </c>
      <c r="J1207" s="30">
        <v>45550</v>
      </c>
      <c r="K1207" s="53">
        <v>15</v>
      </c>
      <c r="L1207" s="29"/>
      <c r="M1207" s="27" t="s">
        <v>19257</v>
      </c>
    </row>
    <row r="1208" spans="1:13" s="27" customFormat="1" ht="17.25" customHeight="1" x14ac:dyDescent="0.25">
      <c r="A1208" s="28" t="s">
        <v>8</v>
      </c>
      <c r="B1208" s="28">
        <v>77027311</v>
      </c>
      <c r="C1208" s="28" t="s">
        <v>25480</v>
      </c>
      <c r="D1208" s="28" t="s">
        <v>25503</v>
      </c>
      <c r="E1208" s="28" t="s">
        <v>25028</v>
      </c>
      <c r="F1208" s="28" t="s">
        <v>25213</v>
      </c>
      <c r="G1208" s="28" t="s">
        <v>19229</v>
      </c>
      <c r="H1208" s="28" t="s">
        <v>19238</v>
      </c>
      <c r="I1208" s="30">
        <v>45536</v>
      </c>
      <c r="J1208" s="30">
        <v>45543</v>
      </c>
      <c r="K1208" s="53">
        <v>8</v>
      </c>
      <c r="L1208" s="29"/>
      <c r="M1208" s="27" t="s">
        <v>19257</v>
      </c>
    </row>
    <row r="1209" spans="1:13" s="27" customFormat="1" ht="17.25" customHeight="1" x14ac:dyDescent="0.25">
      <c r="A1209" s="28" t="s">
        <v>8</v>
      </c>
      <c r="B1209" s="28">
        <v>71362201</v>
      </c>
      <c r="C1209" s="28" t="s">
        <v>25108</v>
      </c>
      <c r="D1209" s="28" t="s">
        <v>25331</v>
      </c>
      <c r="E1209" s="28" t="s">
        <v>25725</v>
      </c>
      <c r="F1209" s="28"/>
      <c r="G1209" s="28" t="s">
        <v>19229</v>
      </c>
      <c r="H1209" s="28" t="s">
        <v>19238</v>
      </c>
      <c r="I1209" s="30">
        <v>45537</v>
      </c>
      <c r="J1209" s="30">
        <v>45551</v>
      </c>
      <c r="K1209" s="53">
        <v>15</v>
      </c>
      <c r="L1209" s="29"/>
      <c r="M1209" s="27" t="s">
        <v>19257</v>
      </c>
    </row>
    <row r="1210" spans="1:13" s="27" customFormat="1" ht="17.25" customHeight="1" x14ac:dyDescent="0.25">
      <c r="A1210" s="28" t="s">
        <v>8</v>
      </c>
      <c r="B1210" s="28">
        <v>1066718661</v>
      </c>
      <c r="C1210" s="28" t="s">
        <v>25749</v>
      </c>
      <c r="D1210" s="28" t="s">
        <v>25750</v>
      </c>
      <c r="E1210" s="28" t="s">
        <v>25183</v>
      </c>
      <c r="F1210" s="28" t="s">
        <v>25283</v>
      </c>
      <c r="G1210" s="28" t="s">
        <v>19229</v>
      </c>
      <c r="H1210" s="28" t="s">
        <v>19238</v>
      </c>
      <c r="I1210" s="30">
        <v>45537</v>
      </c>
      <c r="J1210" s="30">
        <v>45551</v>
      </c>
      <c r="K1210" s="53">
        <v>15</v>
      </c>
      <c r="L1210" s="29"/>
      <c r="M1210" s="27" t="s">
        <v>19257</v>
      </c>
    </row>
    <row r="1211" spans="1:13" s="27" customFormat="1" ht="17.25" customHeight="1" x14ac:dyDescent="0.25">
      <c r="A1211" s="28" t="s">
        <v>8</v>
      </c>
      <c r="B1211" s="28">
        <v>70142991</v>
      </c>
      <c r="C1211" s="28" t="s">
        <v>25401</v>
      </c>
      <c r="D1211" s="28"/>
      <c r="E1211" s="28" t="s">
        <v>25255</v>
      </c>
      <c r="F1211" s="28" t="s">
        <v>24986</v>
      </c>
      <c r="G1211" s="28" t="s">
        <v>19229</v>
      </c>
      <c r="H1211" s="28" t="s">
        <v>19238</v>
      </c>
      <c r="I1211" s="30">
        <v>45537</v>
      </c>
      <c r="J1211" s="30">
        <v>45544</v>
      </c>
      <c r="K1211" s="53">
        <v>8</v>
      </c>
      <c r="L1211" s="29"/>
      <c r="M1211" s="27" t="s">
        <v>19257</v>
      </c>
    </row>
    <row r="1212" spans="1:13" s="27" customFormat="1" ht="17.25" customHeight="1" x14ac:dyDescent="0.25">
      <c r="A1212" s="28" t="s">
        <v>8</v>
      </c>
      <c r="B1212" s="28">
        <v>8462739</v>
      </c>
      <c r="C1212" s="28" t="s">
        <v>25415</v>
      </c>
      <c r="D1212" s="28"/>
      <c r="E1212" s="28" t="s">
        <v>25130</v>
      </c>
      <c r="F1212" s="28" t="s">
        <v>25592</v>
      </c>
      <c r="G1212" s="28" t="s">
        <v>19229</v>
      </c>
      <c r="H1212" s="28" t="s">
        <v>19238</v>
      </c>
      <c r="I1212" s="30">
        <v>45537</v>
      </c>
      <c r="J1212" s="30">
        <v>45551</v>
      </c>
      <c r="K1212" s="53">
        <v>15</v>
      </c>
      <c r="L1212" s="29"/>
      <c r="M1212" s="27" t="s">
        <v>19257</v>
      </c>
    </row>
    <row r="1213" spans="1:13" s="27" customFormat="1" ht="17.25" customHeight="1" x14ac:dyDescent="0.25">
      <c r="A1213" s="28" t="s">
        <v>8</v>
      </c>
      <c r="B1213" s="28">
        <v>1007640349</v>
      </c>
      <c r="C1213" s="28" t="s">
        <v>26139</v>
      </c>
      <c r="D1213" s="28" t="s">
        <v>25254</v>
      </c>
      <c r="E1213" s="28" t="s">
        <v>25130</v>
      </c>
      <c r="F1213" s="28" t="s">
        <v>25010</v>
      </c>
      <c r="G1213" s="28" t="s">
        <v>19229</v>
      </c>
      <c r="H1213" s="28" t="s">
        <v>19239</v>
      </c>
      <c r="I1213" s="30">
        <v>45538</v>
      </c>
      <c r="J1213" s="30">
        <v>45538</v>
      </c>
      <c r="K1213" s="53">
        <v>1</v>
      </c>
      <c r="L1213" s="29">
        <v>6</v>
      </c>
      <c r="M1213" s="27" t="s">
        <v>25036</v>
      </c>
    </row>
    <row r="1214" spans="1:13" s="27" customFormat="1" ht="17.25" customHeight="1" x14ac:dyDescent="0.25">
      <c r="A1214" s="28" t="s">
        <v>8</v>
      </c>
      <c r="B1214" s="28">
        <v>11807740</v>
      </c>
      <c r="C1214" s="28" t="s">
        <v>26327</v>
      </c>
      <c r="D1214" s="28" t="s">
        <v>26328</v>
      </c>
      <c r="E1214" s="28" t="s">
        <v>26329</v>
      </c>
      <c r="F1214" s="28" t="s">
        <v>25739</v>
      </c>
      <c r="G1214" s="28" t="s">
        <v>19229</v>
      </c>
      <c r="H1214" s="28" t="s">
        <v>19238</v>
      </c>
      <c r="I1214" s="30">
        <v>45538</v>
      </c>
      <c r="J1214" s="30">
        <v>45545</v>
      </c>
      <c r="K1214" s="53">
        <v>8</v>
      </c>
      <c r="L1214" s="29"/>
      <c r="M1214" s="27" t="s">
        <v>19257</v>
      </c>
    </row>
    <row r="1215" spans="1:13" s="27" customFormat="1" ht="17.25" customHeight="1" x14ac:dyDescent="0.25">
      <c r="A1215" s="28" t="s">
        <v>8</v>
      </c>
      <c r="B1215" s="28">
        <v>43986499</v>
      </c>
      <c r="C1215" s="28" t="s">
        <v>26326</v>
      </c>
      <c r="D1215" s="28" t="s">
        <v>25634</v>
      </c>
      <c r="E1215" s="28" t="s">
        <v>25478</v>
      </c>
      <c r="F1215" s="28" t="s">
        <v>25232</v>
      </c>
      <c r="G1215" s="28" t="s">
        <v>26005</v>
      </c>
      <c r="H1215" s="28" t="s">
        <v>19238</v>
      </c>
      <c r="I1215" s="30">
        <v>45539</v>
      </c>
      <c r="J1215" s="30">
        <v>45553</v>
      </c>
      <c r="K1215" s="53">
        <v>15</v>
      </c>
      <c r="L1215" s="29"/>
      <c r="M1215" s="27" t="s">
        <v>19257</v>
      </c>
    </row>
    <row r="1216" spans="1:13" s="27" customFormat="1" ht="17.25" customHeight="1" x14ac:dyDescent="0.25">
      <c r="A1216" s="28" t="s">
        <v>8</v>
      </c>
      <c r="B1216" s="28">
        <v>1214715085</v>
      </c>
      <c r="C1216" s="28" t="s">
        <v>25061</v>
      </c>
      <c r="D1216" s="28" t="s">
        <v>25015</v>
      </c>
      <c r="E1216" s="28" t="s">
        <v>6</v>
      </c>
      <c r="F1216" s="28" t="s">
        <v>25413</v>
      </c>
      <c r="G1216" s="28" t="s">
        <v>19229</v>
      </c>
      <c r="H1216" s="28" t="s">
        <v>19239</v>
      </c>
      <c r="I1216" s="30">
        <v>45539</v>
      </c>
      <c r="J1216" s="30">
        <v>45539</v>
      </c>
      <c r="K1216" s="53">
        <v>1</v>
      </c>
      <c r="L1216" s="29">
        <v>4</v>
      </c>
      <c r="M1216" s="27" t="s">
        <v>25036</v>
      </c>
    </row>
    <row r="1217" spans="1:13" s="27" customFormat="1" ht="17.25" customHeight="1" x14ac:dyDescent="0.25">
      <c r="A1217" s="28" t="s">
        <v>8</v>
      </c>
      <c r="B1217" s="28">
        <v>71213402</v>
      </c>
      <c r="C1217" s="28" t="s">
        <v>25510</v>
      </c>
      <c r="D1217" s="28"/>
      <c r="E1217" s="28" t="s">
        <v>25650</v>
      </c>
      <c r="F1217" s="28" t="s">
        <v>25103</v>
      </c>
      <c r="G1217" s="28" t="s">
        <v>19229</v>
      </c>
      <c r="H1217" s="28" t="s">
        <v>19239</v>
      </c>
      <c r="I1217" s="30">
        <v>45539</v>
      </c>
      <c r="J1217" s="30">
        <v>45541</v>
      </c>
      <c r="K1217" s="53">
        <v>3</v>
      </c>
      <c r="L1217" s="29">
        <v>24</v>
      </c>
      <c r="M1217" s="27" t="s">
        <v>25036</v>
      </c>
    </row>
    <row r="1218" spans="1:13" s="27" customFormat="1" ht="17.25" customHeight="1" x14ac:dyDescent="0.25">
      <c r="A1218" s="28" t="s">
        <v>8</v>
      </c>
      <c r="B1218" s="28">
        <v>70781552</v>
      </c>
      <c r="C1218" s="28" t="s">
        <v>25111</v>
      </c>
      <c r="D1218" s="28" t="s">
        <v>25401</v>
      </c>
      <c r="E1218" s="28" t="s">
        <v>25130</v>
      </c>
      <c r="F1218" s="28" t="s">
        <v>26330</v>
      </c>
      <c r="G1218" s="28" t="s">
        <v>19229</v>
      </c>
      <c r="H1218" s="28" t="s">
        <v>19238</v>
      </c>
      <c r="I1218" s="30">
        <v>45539</v>
      </c>
      <c r="J1218" s="30">
        <v>45546</v>
      </c>
      <c r="K1218" s="53">
        <v>8</v>
      </c>
      <c r="L1218" s="29"/>
      <c r="M1218" s="27" t="s">
        <v>19257</v>
      </c>
    </row>
    <row r="1219" spans="1:13" s="27" customFormat="1" ht="17.25" customHeight="1" x14ac:dyDescent="0.25">
      <c r="A1219" s="28" t="s">
        <v>8</v>
      </c>
      <c r="B1219" s="28">
        <v>71393487</v>
      </c>
      <c r="C1219" s="28" t="s">
        <v>25174</v>
      </c>
      <c r="D1219" s="28" t="s">
        <v>25572</v>
      </c>
      <c r="E1219" s="28" t="s">
        <v>25573</v>
      </c>
      <c r="F1219" s="28" t="s">
        <v>25574</v>
      </c>
      <c r="G1219" s="28" t="s">
        <v>19229</v>
      </c>
      <c r="H1219" s="28" t="s">
        <v>19240</v>
      </c>
      <c r="I1219" s="30">
        <v>45540</v>
      </c>
      <c r="J1219" s="30">
        <v>45540</v>
      </c>
      <c r="K1219" s="53">
        <v>1</v>
      </c>
      <c r="L1219" s="29"/>
      <c r="M1219" s="27" t="s">
        <v>24991</v>
      </c>
    </row>
    <row r="1220" spans="1:13" s="27" customFormat="1" ht="17.25" customHeight="1" x14ac:dyDescent="0.25">
      <c r="A1220" s="28" t="s">
        <v>8</v>
      </c>
      <c r="B1220" s="28">
        <v>71781456</v>
      </c>
      <c r="C1220" s="28" t="s">
        <v>25743</v>
      </c>
      <c r="D1220" s="28" t="s">
        <v>25868</v>
      </c>
      <c r="E1220" s="28" t="s">
        <v>24988</v>
      </c>
      <c r="F1220" s="28" t="s">
        <v>25064</v>
      </c>
      <c r="G1220" s="28" t="s">
        <v>19229</v>
      </c>
      <c r="H1220" s="28" t="s">
        <v>19238</v>
      </c>
      <c r="I1220" s="30">
        <v>45541</v>
      </c>
      <c r="J1220" s="30">
        <v>45555</v>
      </c>
      <c r="K1220" s="53">
        <v>15</v>
      </c>
      <c r="L1220" s="29"/>
      <c r="M1220" s="27" t="s">
        <v>19257</v>
      </c>
    </row>
    <row r="1221" spans="1:13" s="27" customFormat="1" ht="17.25" customHeight="1" x14ac:dyDescent="0.25">
      <c r="A1221" s="28" t="s">
        <v>8</v>
      </c>
      <c r="B1221" s="28">
        <v>71219178</v>
      </c>
      <c r="C1221" s="28" t="s">
        <v>26295</v>
      </c>
      <c r="D1221" s="28" t="s">
        <v>25424</v>
      </c>
      <c r="E1221" s="28" t="s">
        <v>25422</v>
      </c>
      <c r="F1221" s="28" t="s">
        <v>26296</v>
      </c>
      <c r="G1221" s="28" t="s">
        <v>19229</v>
      </c>
      <c r="H1221" s="28" t="s">
        <v>19238</v>
      </c>
      <c r="I1221" s="30">
        <v>45541</v>
      </c>
      <c r="J1221" s="30">
        <v>45548</v>
      </c>
      <c r="K1221" s="53">
        <v>8</v>
      </c>
      <c r="L1221" s="29"/>
      <c r="M1221" s="27" t="s">
        <v>19257</v>
      </c>
    </row>
    <row r="1222" spans="1:13" s="27" customFormat="1" ht="17.25" customHeight="1" x14ac:dyDescent="0.25">
      <c r="A1222" s="28" t="s">
        <v>8</v>
      </c>
      <c r="B1222" s="28">
        <v>98498081</v>
      </c>
      <c r="C1222" s="28" t="s">
        <v>25435</v>
      </c>
      <c r="D1222" s="28"/>
      <c r="E1222" s="28" t="s">
        <v>25028</v>
      </c>
      <c r="F1222" s="28" t="s">
        <v>25029</v>
      </c>
      <c r="G1222" s="28" t="s">
        <v>19229</v>
      </c>
      <c r="H1222" s="28" t="s">
        <v>19238</v>
      </c>
      <c r="I1222" s="30">
        <v>45542</v>
      </c>
      <c r="J1222" s="30">
        <v>45556</v>
      </c>
      <c r="K1222" s="53">
        <v>15</v>
      </c>
      <c r="L1222" s="29"/>
      <c r="M1222" s="27" t="s">
        <v>19257</v>
      </c>
    </row>
    <row r="1223" spans="1:13" s="27" customFormat="1" ht="17.25" customHeight="1" x14ac:dyDescent="0.25">
      <c r="A1223" s="28" t="s">
        <v>8</v>
      </c>
      <c r="B1223" s="28">
        <v>11955339</v>
      </c>
      <c r="C1223" s="28" t="s">
        <v>25174</v>
      </c>
      <c r="D1223" s="28" t="s">
        <v>26325</v>
      </c>
      <c r="E1223" s="28" t="s">
        <v>6</v>
      </c>
      <c r="F1223" s="28" t="s">
        <v>25571</v>
      </c>
      <c r="G1223" s="28" t="s">
        <v>19229</v>
      </c>
      <c r="H1223" s="28" t="s">
        <v>19238</v>
      </c>
      <c r="I1223" s="30">
        <v>45543</v>
      </c>
      <c r="J1223" s="30">
        <v>45550</v>
      </c>
      <c r="K1223" s="53">
        <v>8</v>
      </c>
      <c r="L1223" s="29"/>
      <c r="M1223" s="27" t="s">
        <v>19257</v>
      </c>
    </row>
    <row r="1224" spans="1:13" s="27" customFormat="1" ht="17.25" customHeight="1" x14ac:dyDescent="0.25">
      <c r="A1224" s="28" t="s">
        <v>8</v>
      </c>
      <c r="B1224" s="28">
        <v>1038332376</v>
      </c>
      <c r="C1224" s="28" t="s">
        <v>25105</v>
      </c>
      <c r="D1224" s="28" t="s">
        <v>25638</v>
      </c>
      <c r="E1224" s="28" t="s">
        <v>25478</v>
      </c>
      <c r="F1224" s="28" t="s">
        <v>25566</v>
      </c>
      <c r="G1224" s="28" t="s">
        <v>19229</v>
      </c>
      <c r="H1224" s="28" t="s">
        <v>19238</v>
      </c>
      <c r="I1224" s="30">
        <v>45543</v>
      </c>
      <c r="J1224" s="30">
        <v>45550</v>
      </c>
      <c r="K1224" s="53">
        <v>8</v>
      </c>
      <c r="L1224" s="29"/>
      <c r="M1224" s="27" t="s">
        <v>19257</v>
      </c>
    </row>
    <row r="1225" spans="1:13" s="27" customFormat="1" ht="17.25" customHeight="1" x14ac:dyDescent="0.25">
      <c r="A1225" s="28" t="s">
        <v>7</v>
      </c>
      <c r="B1225" s="28">
        <v>7958346</v>
      </c>
      <c r="C1225" s="28" t="s">
        <v>25251</v>
      </c>
      <c r="D1225" s="28" t="s">
        <v>26225</v>
      </c>
      <c r="E1225" s="28" t="s">
        <v>25253</v>
      </c>
      <c r="F1225" s="28" t="s">
        <v>25213</v>
      </c>
      <c r="G1225" s="28" t="s">
        <v>19229</v>
      </c>
      <c r="H1225" s="28" t="s">
        <v>19238</v>
      </c>
      <c r="I1225" s="30">
        <v>45544</v>
      </c>
      <c r="J1225" s="30" t="s">
        <v>26324</v>
      </c>
      <c r="K1225" s="53">
        <v>8</v>
      </c>
      <c r="L1225" s="29"/>
      <c r="M1225" s="27" t="s">
        <v>19257</v>
      </c>
    </row>
    <row r="1226" spans="1:13" s="27" customFormat="1" ht="17.25" customHeight="1" x14ac:dyDescent="0.25">
      <c r="A1226" s="28" t="s">
        <v>8</v>
      </c>
      <c r="B1226" s="28">
        <v>77027311</v>
      </c>
      <c r="C1226" s="28" t="s">
        <v>25480</v>
      </c>
      <c r="D1226" s="28" t="s">
        <v>25503</v>
      </c>
      <c r="E1226" s="28" t="s">
        <v>25028</v>
      </c>
      <c r="F1226" s="28" t="s">
        <v>25213</v>
      </c>
      <c r="G1226" s="28" t="s">
        <v>19229</v>
      </c>
      <c r="H1226" s="28" t="s">
        <v>19238</v>
      </c>
      <c r="I1226" s="30">
        <v>45544</v>
      </c>
      <c r="J1226" s="30">
        <v>45552</v>
      </c>
      <c r="K1226" s="53">
        <v>8</v>
      </c>
      <c r="L1226" s="29"/>
      <c r="M1226" s="27" t="s">
        <v>19257</v>
      </c>
    </row>
    <row r="1227" spans="1:13" s="27" customFormat="1" ht="17.25" customHeight="1" x14ac:dyDescent="0.25">
      <c r="A1227" s="28" t="s">
        <v>8</v>
      </c>
      <c r="B1227" s="28">
        <v>1035225845</v>
      </c>
      <c r="C1227" s="28" t="s">
        <v>26318</v>
      </c>
      <c r="D1227" s="28" t="s">
        <v>25810</v>
      </c>
      <c r="E1227" s="28" t="s">
        <v>25056</v>
      </c>
      <c r="F1227" s="28" t="s">
        <v>25811</v>
      </c>
      <c r="G1227" s="28" t="s">
        <v>19229</v>
      </c>
      <c r="H1227" s="28" t="s">
        <v>19238</v>
      </c>
      <c r="I1227" s="30">
        <v>45544</v>
      </c>
      <c r="J1227" s="30">
        <v>45558</v>
      </c>
      <c r="K1227" s="53">
        <v>15</v>
      </c>
      <c r="L1227" s="29"/>
      <c r="M1227" s="27" t="s">
        <v>19257</v>
      </c>
    </row>
    <row r="1228" spans="1:13" s="27" customFormat="1" ht="17.25" customHeight="1" x14ac:dyDescent="0.25">
      <c r="A1228" s="28" t="s">
        <v>8</v>
      </c>
      <c r="B1228" s="28">
        <v>98498159</v>
      </c>
      <c r="C1228" s="28" t="s">
        <v>26077</v>
      </c>
      <c r="D1228" s="28" t="s">
        <v>25373</v>
      </c>
      <c r="E1228" s="28" t="s">
        <v>25255</v>
      </c>
      <c r="F1228" s="28" t="s">
        <v>24986</v>
      </c>
      <c r="G1228" s="28" t="s">
        <v>19229</v>
      </c>
      <c r="H1228" s="28" t="s">
        <v>19238</v>
      </c>
      <c r="I1228" s="30">
        <v>45544</v>
      </c>
      <c r="J1228" s="30">
        <v>45558</v>
      </c>
      <c r="K1228" s="53">
        <v>15</v>
      </c>
      <c r="L1228" s="29"/>
      <c r="M1228" s="27" t="s">
        <v>19257</v>
      </c>
    </row>
    <row r="1229" spans="1:13" s="27" customFormat="1" ht="17.25" customHeight="1" x14ac:dyDescent="0.25">
      <c r="A1229" s="28" t="s">
        <v>8</v>
      </c>
      <c r="B1229" s="28">
        <v>1001503922</v>
      </c>
      <c r="C1229" s="28" t="s">
        <v>26304</v>
      </c>
      <c r="D1229" s="28" t="s">
        <v>25498</v>
      </c>
      <c r="E1229" s="28" t="s">
        <v>26305</v>
      </c>
      <c r="F1229" s="28" t="s">
        <v>25091</v>
      </c>
      <c r="G1229" s="28" t="s">
        <v>19285</v>
      </c>
      <c r="H1229" s="28" t="s">
        <v>19239</v>
      </c>
      <c r="I1229" s="30">
        <v>45545</v>
      </c>
      <c r="J1229" s="30">
        <v>45547</v>
      </c>
      <c r="K1229" s="53">
        <v>3</v>
      </c>
      <c r="L1229" s="29">
        <v>24</v>
      </c>
      <c r="M1229" s="27" t="s">
        <v>25036</v>
      </c>
    </row>
    <row r="1230" spans="1:13" s="27" customFormat="1" ht="17.25" customHeight="1" x14ac:dyDescent="0.25">
      <c r="A1230" s="28" t="s">
        <v>8</v>
      </c>
      <c r="B1230" s="28">
        <v>71193190</v>
      </c>
      <c r="C1230" s="28" t="s">
        <v>25155</v>
      </c>
      <c r="D1230" s="28" t="s">
        <v>25156</v>
      </c>
      <c r="E1230" s="28" t="s">
        <v>25157</v>
      </c>
      <c r="F1230" s="28" t="s">
        <v>25010</v>
      </c>
      <c r="G1230" s="28" t="s">
        <v>19229</v>
      </c>
      <c r="H1230" s="28" t="s">
        <v>19239</v>
      </c>
      <c r="I1230" s="30">
        <v>45545</v>
      </c>
      <c r="J1230" s="30">
        <v>45539</v>
      </c>
      <c r="K1230" s="53">
        <v>5</v>
      </c>
      <c r="L1230" s="29">
        <v>1</v>
      </c>
      <c r="M1230" s="27" t="s">
        <v>25036</v>
      </c>
    </row>
    <row r="1231" spans="1:13" s="27" customFormat="1" ht="17.25" customHeight="1" x14ac:dyDescent="0.25">
      <c r="A1231" s="28" t="s">
        <v>8</v>
      </c>
      <c r="B1231" s="28">
        <v>70142991</v>
      </c>
      <c r="C1231" s="28" t="s">
        <v>25401</v>
      </c>
      <c r="D1231" s="28"/>
      <c r="E1231" s="28" t="s">
        <v>25255</v>
      </c>
      <c r="F1231" s="28" t="s">
        <v>24986</v>
      </c>
      <c r="G1231" s="28" t="s">
        <v>19229</v>
      </c>
      <c r="H1231" s="28" t="s">
        <v>19238</v>
      </c>
      <c r="I1231" s="30">
        <v>45545</v>
      </c>
      <c r="J1231" s="30">
        <v>45552</v>
      </c>
      <c r="K1231" s="53">
        <v>8</v>
      </c>
      <c r="L1231" s="29"/>
      <c r="M1231" s="27" t="s">
        <v>19257</v>
      </c>
    </row>
    <row r="1232" spans="1:13" s="27" customFormat="1" ht="17.25" customHeight="1" x14ac:dyDescent="0.25">
      <c r="A1232" s="28" t="s">
        <v>8</v>
      </c>
      <c r="B1232" s="28">
        <v>98496895</v>
      </c>
      <c r="C1232" s="28" t="s">
        <v>25756</v>
      </c>
      <c r="D1232" s="28" t="s">
        <v>25372</v>
      </c>
      <c r="E1232" s="28" t="s">
        <v>25028</v>
      </c>
      <c r="F1232" s="28" t="s">
        <v>25064</v>
      </c>
      <c r="G1232" s="28" t="s">
        <v>19229</v>
      </c>
      <c r="H1232" s="28" t="s">
        <v>19238</v>
      </c>
      <c r="I1232" s="30">
        <v>45545</v>
      </c>
      <c r="J1232" s="30">
        <v>45552</v>
      </c>
      <c r="K1232" s="53">
        <v>8</v>
      </c>
      <c r="L1232" s="29"/>
      <c r="M1232" s="27" t="s">
        <v>19257</v>
      </c>
    </row>
    <row r="1233" spans="1:13" s="27" customFormat="1" ht="17.25" customHeight="1" x14ac:dyDescent="0.25">
      <c r="A1233" s="28" t="s">
        <v>8</v>
      </c>
      <c r="B1233" s="28">
        <v>1035872146</v>
      </c>
      <c r="C1233" s="28" t="s">
        <v>25856</v>
      </c>
      <c r="D1233" s="28" t="s">
        <v>26306</v>
      </c>
      <c r="E1233" s="28" t="s">
        <v>25266</v>
      </c>
      <c r="F1233" s="28" t="s">
        <v>25028</v>
      </c>
      <c r="G1233" s="28" t="s">
        <v>19229</v>
      </c>
      <c r="H1233" s="28" t="s">
        <v>19239</v>
      </c>
      <c r="I1233" s="30">
        <v>45546</v>
      </c>
      <c r="J1233" s="30">
        <v>45550</v>
      </c>
      <c r="K1233" s="53">
        <v>5</v>
      </c>
      <c r="L1233" s="29">
        <v>1</v>
      </c>
      <c r="M1233" s="27" t="s">
        <v>25036</v>
      </c>
    </row>
    <row r="1234" spans="1:13" s="27" customFormat="1" ht="17.25" customHeight="1" x14ac:dyDescent="0.25">
      <c r="A1234" s="28" t="s">
        <v>8</v>
      </c>
      <c r="B1234" s="28">
        <v>11807740</v>
      </c>
      <c r="C1234" s="28" t="s">
        <v>26327</v>
      </c>
      <c r="D1234" s="28" t="s">
        <v>26328</v>
      </c>
      <c r="E1234" s="28" t="s">
        <v>26329</v>
      </c>
      <c r="F1234" s="28" t="s">
        <v>25739</v>
      </c>
      <c r="G1234" s="28" t="s">
        <v>19229</v>
      </c>
      <c r="H1234" s="28" t="s">
        <v>19238</v>
      </c>
      <c r="I1234" s="30">
        <v>45546</v>
      </c>
      <c r="J1234" s="30">
        <v>45552</v>
      </c>
      <c r="K1234" s="53">
        <v>8</v>
      </c>
      <c r="L1234" s="29"/>
      <c r="M1234" s="27" t="s">
        <v>19257</v>
      </c>
    </row>
    <row r="1235" spans="1:13" s="27" customFormat="1" ht="17.25" customHeight="1" x14ac:dyDescent="0.25">
      <c r="A1235" s="28" t="s">
        <v>8</v>
      </c>
      <c r="B1235" s="28">
        <v>70781552</v>
      </c>
      <c r="C1235" s="28" t="s">
        <v>25111</v>
      </c>
      <c r="D1235" s="28" t="s">
        <v>25401</v>
      </c>
      <c r="E1235" s="28" t="s">
        <v>25130</v>
      </c>
      <c r="F1235" s="28" t="s">
        <v>26330</v>
      </c>
      <c r="G1235" s="28" t="s">
        <v>19229</v>
      </c>
      <c r="H1235" s="28" t="s">
        <v>19238</v>
      </c>
      <c r="I1235" s="30">
        <v>45547</v>
      </c>
      <c r="J1235" s="30">
        <v>45554</v>
      </c>
      <c r="K1235" s="53">
        <v>8</v>
      </c>
      <c r="L1235" s="29"/>
      <c r="M1235" s="27" t="s">
        <v>19257</v>
      </c>
    </row>
    <row r="1236" spans="1:13" s="27" customFormat="1" ht="17.25" customHeight="1" x14ac:dyDescent="0.25">
      <c r="A1236" s="28" t="s">
        <v>8</v>
      </c>
      <c r="B1236" s="28">
        <v>98765066</v>
      </c>
      <c r="C1236" s="28" t="s">
        <v>25588</v>
      </c>
      <c r="D1236" s="28" t="s">
        <v>25424</v>
      </c>
      <c r="E1236" s="28" t="s">
        <v>25092</v>
      </c>
      <c r="F1236" s="28" t="s">
        <v>25283</v>
      </c>
      <c r="G1236" s="28" t="s">
        <v>19229</v>
      </c>
      <c r="H1236" s="28" t="s">
        <v>19238</v>
      </c>
      <c r="I1236" s="30">
        <v>45548</v>
      </c>
      <c r="J1236" s="30">
        <v>45562</v>
      </c>
      <c r="K1236" s="53">
        <v>15</v>
      </c>
      <c r="L1236" s="29"/>
      <c r="M1236" s="27" t="s">
        <v>19257</v>
      </c>
    </row>
    <row r="1237" spans="1:13" s="27" customFormat="1" ht="17.25" customHeight="1" x14ac:dyDescent="0.25">
      <c r="A1237" s="28" t="s">
        <v>8</v>
      </c>
      <c r="B1237" s="28">
        <v>1001550034</v>
      </c>
      <c r="C1237" s="28" t="s">
        <v>25936</v>
      </c>
      <c r="D1237" s="28" t="s">
        <v>25756</v>
      </c>
      <c r="E1237" s="28" t="s">
        <v>25937</v>
      </c>
      <c r="F1237" s="28" t="s">
        <v>25010</v>
      </c>
      <c r="G1237" s="28" t="s">
        <v>19229</v>
      </c>
      <c r="H1237" s="28" t="s">
        <v>19238</v>
      </c>
      <c r="I1237" s="30">
        <v>45548</v>
      </c>
      <c r="J1237" s="30">
        <v>45562</v>
      </c>
      <c r="K1237" s="53">
        <v>15</v>
      </c>
      <c r="L1237" s="29"/>
      <c r="M1237" s="27" t="s">
        <v>19257</v>
      </c>
    </row>
    <row r="1238" spans="1:13" s="27" customFormat="1" ht="17.25" customHeight="1" x14ac:dyDescent="0.25">
      <c r="A1238" s="28" t="s">
        <v>8</v>
      </c>
      <c r="B1238" s="28">
        <v>1128466202</v>
      </c>
      <c r="C1238" s="28" t="s">
        <v>25748</v>
      </c>
      <c r="D1238" s="28" t="s">
        <v>25733</v>
      </c>
      <c r="E1238" s="28" t="s">
        <v>25091</v>
      </c>
      <c r="F1238" s="28" t="s">
        <v>25092</v>
      </c>
      <c r="G1238" s="28" t="s">
        <v>19229</v>
      </c>
      <c r="H1238" s="28" t="s">
        <v>19240</v>
      </c>
      <c r="I1238" s="30">
        <v>45549</v>
      </c>
      <c r="J1238" s="30">
        <v>45549</v>
      </c>
      <c r="K1238" s="53">
        <v>1</v>
      </c>
      <c r="L1238" s="29"/>
      <c r="M1238" s="27" t="s">
        <v>24991</v>
      </c>
    </row>
    <row r="1239" spans="1:13" s="27" customFormat="1" ht="17.25" customHeight="1" x14ac:dyDescent="0.25">
      <c r="A1239" s="28" t="s">
        <v>8</v>
      </c>
      <c r="B1239" s="28">
        <v>1000908653</v>
      </c>
      <c r="C1239" s="28" t="s">
        <v>25269</v>
      </c>
      <c r="D1239" s="28" t="s">
        <v>25802</v>
      </c>
      <c r="E1239" s="28" t="s">
        <v>25803</v>
      </c>
      <c r="F1239" s="28"/>
      <c r="G1239" s="28" t="s">
        <v>19229</v>
      </c>
      <c r="H1239" s="28" t="s">
        <v>19240</v>
      </c>
      <c r="I1239" s="30">
        <v>45549</v>
      </c>
      <c r="J1239" s="30">
        <v>45549</v>
      </c>
      <c r="K1239" s="53">
        <v>1</v>
      </c>
      <c r="L1239" s="29"/>
      <c r="M1239" s="27" t="s">
        <v>24991</v>
      </c>
    </row>
    <row r="1240" spans="1:13" s="27" customFormat="1" ht="17.25" customHeight="1" x14ac:dyDescent="0.25">
      <c r="A1240" s="28" t="s">
        <v>8</v>
      </c>
      <c r="B1240" s="28">
        <v>71219178</v>
      </c>
      <c r="C1240" s="28" t="s">
        <v>26295</v>
      </c>
      <c r="D1240" s="28" t="s">
        <v>25424</v>
      </c>
      <c r="E1240" s="28" t="s">
        <v>25422</v>
      </c>
      <c r="F1240" s="28" t="s">
        <v>26296</v>
      </c>
      <c r="G1240" s="28" t="s">
        <v>19229</v>
      </c>
      <c r="H1240" s="28" t="s">
        <v>19238</v>
      </c>
      <c r="I1240" s="30">
        <v>45549</v>
      </c>
      <c r="J1240" s="30">
        <v>45556</v>
      </c>
      <c r="K1240" s="53">
        <v>8</v>
      </c>
      <c r="L1240" s="29"/>
      <c r="M1240" s="27" t="s">
        <v>19257</v>
      </c>
    </row>
    <row r="1241" spans="1:13" s="27" customFormat="1" ht="17.25" customHeight="1" x14ac:dyDescent="0.25">
      <c r="A1241" s="28" t="s">
        <v>8</v>
      </c>
      <c r="B1241" s="28">
        <v>1002133005</v>
      </c>
      <c r="C1241" s="28" t="s">
        <v>25498</v>
      </c>
      <c r="D1241" s="28" t="s">
        <v>26137</v>
      </c>
      <c r="E1241" s="28" t="s">
        <v>25023</v>
      </c>
      <c r="F1241" s="28" t="s">
        <v>25014</v>
      </c>
      <c r="G1241" s="28" t="s">
        <v>19229</v>
      </c>
      <c r="H1241" s="28" t="s">
        <v>19238</v>
      </c>
      <c r="I1241" s="30">
        <v>45550</v>
      </c>
      <c r="J1241" s="30">
        <v>45564</v>
      </c>
      <c r="K1241" s="53">
        <v>15</v>
      </c>
      <c r="L1241" s="29"/>
      <c r="M1241" s="27" t="s">
        <v>19257</v>
      </c>
    </row>
    <row r="1242" spans="1:13" s="27" customFormat="1" ht="17.25" customHeight="1" x14ac:dyDescent="0.25">
      <c r="A1242" s="28" t="s">
        <v>8</v>
      </c>
      <c r="B1242" s="28">
        <v>1038332376</v>
      </c>
      <c r="C1242" s="28" t="s">
        <v>25105</v>
      </c>
      <c r="D1242" s="28" t="s">
        <v>25638</v>
      </c>
      <c r="E1242" s="28" t="s">
        <v>25478</v>
      </c>
      <c r="F1242" s="28" t="s">
        <v>25566</v>
      </c>
      <c r="G1242" s="28" t="s">
        <v>19229</v>
      </c>
      <c r="H1242" s="28" t="s">
        <v>19238</v>
      </c>
      <c r="I1242" s="30">
        <v>45551</v>
      </c>
      <c r="J1242" s="30">
        <v>45558</v>
      </c>
      <c r="K1242" s="53">
        <v>8</v>
      </c>
      <c r="L1242" s="29"/>
      <c r="M1242" s="27" t="s">
        <v>19257</v>
      </c>
    </row>
    <row r="1243" spans="1:13" s="27" customFormat="1" ht="17.25" customHeight="1" x14ac:dyDescent="0.25">
      <c r="A1243" s="28" t="s">
        <v>8</v>
      </c>
      <c r="B1243" s="28">
        <v>1038627427</v>
      </c>
      <c r="C1243" s="28" t="s">
        <v>25128</v>
      </c>
      <c r="D1243" s="28" t="s">
        <v>25519</v>
      </c>
      <c r="E1243" s="28" t="s">
        <v>25556</v>
      </c>
      <c r="F1243" s="28" t="s">
        <v>25020</v>
      </c>
      <c r="G1243" s="28" t="s">
        <v>19229</v>
      </c>
      <c r="H1243" s="28" t="s">
        <v>19238</v>
      </c>
      <c r="I1243" s="30">
        <v>45551</v>
      </c>
      <c r="J1243" s="30">
        <v>45565</v>
      </c>
      <c r="K1243" s="53">
        <v>15</v>
      </c>
      <c r="L1243" s="29"/>
      <c r="M1243" s="27" t="s">
        <v>19257</v>
      </c>
    </row>
    <row r="1244" spans="1:13" s="27" customFormat="1" ht="17.25" customHeight="1" x14ac:dyDescent="0.25">
      <c r="A1244" s="28" t="s">
        <v>8</v>
      </c>
      <c r="B1244" s="28">
        <v>15370207</v>
      </c>
      <c r="C1244" s="28" t="s">
        <v>26140</v>
      </c>
      <c r="D1244" s="28" t="s">
        <v>25175</v>
      </c>
      <c r="E1244" s="28" t="s">
        <v>25116</v>
      </c>
      <c r="F1244" s="28" t="s">
        <v>25010</v>
      </c>
      <c r="G1244" s="28" t="s">
        <v>19229</v>
      </c>
      <c r="H1244" s="28" t="s">
        <v>19238</v>
      </c>
      <c r="I1244" s="30">
        <v>45551</v>
      </c>
      <c r="J1244" s="30">
        <v>45561</v>
      </c>
      <c r="K1244" s="53">
        <v>8</v>
      </c>
      <c r="L1244" s="29"/>
      <c r="M1244" s="27" t="s">
        <v>19257</v>
      </c>
    </row>
    <row r="1245" spans="1:13" s="27" customFormat="1" ht="17.25" customHeight="1" x14ac:dyDescent="0.25">
      <c r="A1245" s="28" t="s">
        <v>8</v>
      </c>
      <c r="B1245" s="28">
        <v>15532746</v>
      </c>
      <c r="C1245" s="28" t="s">
        <v>25034</v>
      </c>
      <c r="D1245" s="28" t="s">
        <v>25127</v>
      </c>
      <c r="E1245" s="28" t="s">
        <v>19256</v>
      </c>
      <c r="F1245" s="28" t="s">
        <v>25005</v>
      </c>
      <c r="G1245" s="28" t="s">
        <v>19229</v>
      </c>
      <c r="H1245" s="28" t="s">
        <v>19238</v>
      </c>
      <c r="I1245" s="30">
        <v>45551</v>
      </c>
      <c r="J1245" s="30">
        <v>45565</v>
      </c>
      <c r="K1245" s="53">
        <v>15</v>
      </c>
      <c r="L1245" s="29"/>
      <c r="M1245" s="27" t="s">
        <v>19257</v>
      </c>
    </row>
    <row r="1246" spans="1:13" s="27" customFormat="1" ht="17.25" customHeight="1" x14ac:dyDescent="0.25">
      <c r="A1246" s="28" t="s">
        <v>8</v>
      </c>
      <c r="B1246" s="28">
        <v>1007330131</v>
      </c>
      <c r="C1246" s="28" t="s">
        <v>25707</v>
      </c>
      <c r="D1246" s="28" t="s">
        <v>25427</v>
      </c>
      <c r="E1246" s="28" t="s">
        <v>26331</v>
      </c>
      <c r="F1246" s="28" t="s">
        <v>25632</v>
      </c>
      <c r="G1246" s="28" t="s">
        <v>19229</v>
      </c>
      <c r="H1246" s="28" t="s">
        <v>19238</v>
      </c>
      <c r="I1246" s="30">
        <v>45551</v>
      </c>
      <c r="J1246" s="30">
        <v>45565</v>
      </c>
      <c r="K1246" s="53">
        <v>15</v>
      </c>
      <c r="L1246" s="29"/>
      <c r="M1246" s="27" t="s">
        <v>19257</v>
      </c>
    </row>
    <row r="1247" spans="1:13" s="27" customFormat="1" ht="17.25" customHeight="1" x14ac:dyDescent="0.25">
      <c r="A1247" s="28" t="s">
        <v>8</v>
      </c>
      <c r="B1247" s="28">
        <v>71771180</v>
      </c>
      <c r="C1247" s="28" t="s">
        <v>25503</v>
      </c>
      <c r="D1247" s="28" t="s">
        <v>25748</v>
      </c>
      <c r="E1247" s="28" t="s">
        <v>25490</v>
      </c>
      <c r="F1247" s="28" t="s">
        <v>25103</v>
      </c>
      <c r="G1247" s="28" t="s">
        <v>19229</v>
      </c>
      <c r="H1247" s="28" t="s">
        <v>19238</v>
      </c>
      <c r="I1247" s="30">
        <v>45551</v>
      </c>
      <c r="J1247" s="30">
        <v>45565</v>
      </c>
      <c r="K1247" s="53">
        <v>15</v>
      </c>
      <c r="L1247" s="29"/>
      <c r="M1247" s="27" t="s">
        <v>19257</v>
      </c>
    </row>
    <row r="1248" spans="1:13" s="27" customFormat="1" ht="17.25" customHeight="1" x14ac:dyDescent="0.25">
      <c r="A1248" s="28" t="s">
        <v>8</v>
      </c>
      <c r="B1248" s="28">
        <v>8056876</v>
      </c>
      <c r="C1248" s="28" t="s">
        <v>25314</v>
      </c>
      <c r="D1248" s="28" t="s">
        <v>25254</v>
      </c>
      <c r="E1248" s="28" t="s">
        <v>24986</v>
      </c>
      <c r="F1248" s="28" t="s">
        <v>25040</v>
      </c>
      <c r="G1248" s="28" t="s">
        <v>19229</v>
      </c>
      <c r="H1248" s="28" t="s">
        <v>19238</v>
      </c>
      <c r="I1248" s="30">
        <v>45551</v>
      </c>
      <c r="J1248" s="30">
        <v>45565</v>
      </c>
      <c r="K1248" s="53">
        <v>15</v>
      </c>
      <c r="L1248" s="29"/>
      <c r="M1248" s="27" t="s">
        <v>19257</v>
      </c>
    </row>
    <row r="1249" spans="1:13" s="27" customFormat="1" ht="17.25" customHeight="1" x14ac:dyDescent="0.25">
      <c r="A1249" s="28" t="s">
        <v>8</v>
      </c>
      <c r="B1249" s="28">
        <v>72276421</v>
      </c>
      <c r="C1249" s="28" t="s">
        <v>25034</v>
      </c>
      <c r="D1249" s="28" t="s">
        <v>25098</v>
      </c>
      <c r="E1249" s="28" t="s">
        <v>26333</v>
      </c>
      <c r="F1249" s="28" t="s">
        <v>25434</v>
      </c>
      <c r="G1249" s="28" t="s">
        <v>19229</v>
      </c>
      <c r="H1249" s="28" t="s">
        <v>19238</v>
      </c>
      <c r="I1249" s="30">
        <v>45551</v>
      </c>
      <c r="J1249" s="30">
        <v>45565</v>
      </c>
      <c r="K1249" s="53">
        <v>15</v>
      </c>
      <c r="L1249" s="29"/>
      <c r="M1249" s="27" t="s">
        <v>19257</v>
      </c>
    </row>
    <row r="1250" spans="1:13" s="27" customFormat="1" ht="17.25" customHeight="1" x14ac:dyDescent="0.25">
      <c r="A1250" s="28" t="s">
        <v>8</v>
      </c>
      <c r="B1250" s="28">
        <v>71681366</v>
      </c>
      <c r="C1250" s="28" t="s">
        <v>25523</v>
      </c>
      <c r="D1250" s="28" t="s">
        <v>25459</v>
      </c>
      <c r="E1250" s="28" t="s">
        <v>25130</v>
      </c>
      <c r="F1250" s="28" t="s">
        <v>25213</v>
      </c>
      <c r="G1250" s="28" t="s">
        <v>19229</v>
      </c>
      <c r="H1250" s="28" t="s">
        <v>19238</v>
      </c>
      <c r="I1250" s="30">
        <v>45552</v>
      </c>
      <c r="J1250" s="30">
        <v>45559</v>
      </c>
      <c r="K1250" s="53">
        <v>8</v>
      </c>
      <c r="L1250" s="29"/>
      <c r="M1250" s="27" t="s">
        <v>19257</v>
      </c>
    </row>
    <row r="1251" spans="1:13" s="27" customFormat="1" ht="17.25" customHeight="1" x14ac:dyDescent="0.25">
      <c r="A1251" s="28" t="s">
        <v>8</v>
      </c>
      <c r="B1251" s="28">
        <v>91002376</v>
      </c>
      <c r="C1251" s="28" t="s">
        <v>25097</v>
      </c>
      <c r="D1251" s="28" t="s">
        <v>25098</v>
      </c>
      <c r="E1251" s="28" t="s">
        <v>25099</v>
      </c>
      <c r="F1251" s="28"/>
      <c r="G1251" s="28" t="s">
        <v>19229</v>
      </c>
      <c r="H1251" s="28" t="s">
        <v>19240</v>
      </c>
      <c r="I1251" s="30">
        <v>45553</v>
      </c>
      <c r="J1251" s="30">
        <v>45553</v>
      </c>
      <c r="K1251" s="53">
        <v>1</v>
      </c>
      <c r="L1251" s="29"/>
      <c r="M1251" s="27" t="s">
        <v>24991</v>
      </c>
    </row>
    <row r="1252" spans="1:13" s="27" customFormat="1" ht="17.25" customHeight="1" x14ac:dyDescent="0.25">
      <c r="A1252" s="28" t="s">
        <v>8</v>
      </c>
      <c r="B1252" s="28">
        <v>98496895</v>
      </c>
      <c r="C1252" s="28" t="s">
        <v>25756</v>
      </c>
      <c r="D1252" s="28" t="s">
        <v>25372</v>
      </c>
      <c r="E1252" s="28" t="s">
        <v>25028</v>
      </c>
      <c r="F1252" s="28" t="s">
        <v>25064</v>
      </c>
      <c r="G1252" s="28" t="s">
        <v>19229</v>
      </c>
      <c r="H1252" s="28" t="s">
        <v>19238</v>
      </c>
      <c r="I1252" s="30">
        <v>45553</v>
      </c>
      <c r="J1252" s="30">
        <v>45560</v>
      </c>
      <c r="K1252" s="53">
        <v>8</v>
      </c>
      <c r="L1252" s="29"/>
      <c r="M1252" s="27" t="s">
        <v>19257</v>
      </c>
    </row>
    <row r="1253" spans="1:13" s="27" customFormat="1" ht="17.25" customHeight="1" x14ac:dyDescent="0.25">
      <c r="A1253" s="28" t="s">
        <v>8</v>
      </c>
      <c r="B1253" s="28">
        <v>15444896</v>
      </c>
      <c r="C1253" s="28" t="s">
        <v>25310</v>
      </c>
      <c r="D1253" s="28" t="s">
        <v>25094</v>
      </c>
      <c r="E1253" s="28" t="s">
        <v>25241</v>
      </c>
      <c r="F1253" s="28" t="s">
        <v>25691</v>
      </c>
      <c r="G1253" s="28" t="s">
        <v>19229</v>
      </c>
      <c r="H1253" s="28" t="s">
        <v>19238</v>
      </c>
      <c r="I1253" s="30">
        <v>45553</v>
      </c>
      <c r="J1253" s="30">
        <v>45567</v>
      </c>
      <c r="K1253" s="53">
        <v>15</v>
      </c>
      <c r="L1253" s="29"/>
      <c r="M1253" s="27" t="s">
        <v>19257</v>
      </c>
    </row>
    <row r="1254" spans="1:13" s="27" customFormat="1" ht="17.25" customHeight="1" x14ac:dyDescent="0.25">
      <c r="A1254" s="28" t="s">
        <v>8</v>
      </c>
      <c r="B1254" s="28">
        <v>70661816</v>
      </c>
      <c r="C1254" s="28" t="s">
        <v>25174</v>
      </c>
      <c r="D1254" s="28"/>
      <c r="E1254" s="28" t="s">
        <v>26308</v>
      </c>
      <c r="F1254" s="28" t="s">
        <v>24982</v>
      </c>
      <c r="G1254" s="28" t="s">
        <v>25328</v>
      </c>
      <c r="H1254" s="28" t="s">
        <v>19239</v>
      </c>
      <c r="I1254" s="30">
        <v>45554</v>
      </c>
      <c r="J1254" s="30">
        <v>45554</v>
      </c>
      <c r="K1254" s="53">
        <v>1</v>
      </c>
      <c r="L1254" s="29">
        <v>4</v>
      </c>
      <c r="M1254" s="27" t="s">
        <v>25036</v>
      </c>
    </row>
    <row r="1255" spans="1:13" s="27" customFormat="1" ht="17.25" customHeight="1" x14ac:dyDescent="0.25">
      <c r="A1255" s="28" t="s">
        <v>8</v>
      </c>
      <c r="B1255" s="28">
        <v>1001016772</v>
      </c>
      <c r="C1255" s="28" t="s">
        <v>25364</v>
      </c>
      <c r="D1255" s="28" t="s">
        <v>25159</v>
      </c>
      <c r="E1255" s="28" t="s">
        <v>25842</v>
      </c>
      <c r="F1255" s="28" t="s">
        <v>25755</v>
      </c>
      <c r="G1255" s="28" t="s">
        <v>19229</v>
      </c>
      <c r="H1255" s="28" t="s">
        <v>19239</v>
      </c>
      <c r="I1255" s="30">
        <v>45554</v>
      </c>
      <c r="J1255" s="30">
        <v>45554</v>
      </c>
      <c r="K1255" s="53">
        <v>1</v>
      </c>
      <c r="L1255" s="29">
        <v>20</v>
      </c>
      <c r="M1255" s="27" t="s">
        <v>25036</v>
      </c>
    </row>
    <row r="1256" spans="1:13" s="27" customFormat="1" ht="17.25" customHeight="1" x14ac:dyDescent="0.25">
      <c r="A1256" s="28" t="s">
        <v>8</v>
      </c>
      <c r="B1256" s="28">
        <v>71734976</v>
      </c>
      <c r="C1256" s="28" t="s">
        <v>25435</v>
      </c>
      <c r="D1256" s="28" t="s">
        <v>26309</v>
      </c>
      <c r="E1256" s="28" t="s">
        <v>26310</v>
      </c>
      <c r="F1256" s="28" t="s">
        <v>25517</v>
      </c>
      <c r="G1256" s="28" t="s">
        <v>19229</v>
      </c>
      <c r="H1256" s="28" t="s">
        <v>19239</v>
      </c>
      <c r="I1256" s="30">
        <v>45554</v>
      </c>
      <c r="J1256" s="30">
        <v>45556</v>
      </c>
      <c r="K1256" s="53">
        <v>3</v>
      </c>
      <c r="L1256" s="29">
        <v>24</v>
      </c>
      <c r="M1256" s="27" t="s">
        <v>25036</v>
      </c>
    </row>
    <row r="1257" spans="1:13" s="27" customFormat="1" ht="17.25" customHeight="1" x14ac:dyDescent="0.25">
      <c r="A1257" s="28" t="s">
        <v>8</v>
      </c>
      <c r="B1257" s="28">
        <v>11705986</v>
      </c>
      <c r="C1257" s="28" t="s">
        <v>25034</v>
      </c>
      <c r="D1257" s="28"/>
      <c r="E1257" s="28" t="s">
        <v>26311</v>
      </c>
      <c r="F1257" s="28" t="s">
        <v>26312</v>
      </c>
      <c r="G1257" s="28" t="s">
        <v>19229</v>
      </c>
      <c r="H1257" s="28" t="s">
        <v>19239</v>
      </c>
      <c r="I1257" s="30">
        <v>45554</v>
      </c>
      <c r="J1257" s="30">
        <v>45560</v>
      </c>
      <c r="K1257" s="53">
        <v>7</v>
      </c>
      <c r="L1257" s="29">
        <v>19</v>
      </c>
      <c r="M1257" s="27" t="s">
        <v>25036</v>
      </c>
    </row>
    <row r="1258" spans="1:13" s="27" customFormat="1" ht="17.25" customHeight="1" x14ac:dyDescent="0.25">
      <c r="A1258" s="28" t="s">
        <v>8</v>
      </c>
      <c r="B1258" s="28">
        <v>71185910</v>
      </c>
      <c r="C1258" s="28" t="s">
        <v>26077</v>
      </c>
      <c r="D1258" s="28" t="s">
        <v>25443</v>
      </c>
      <c r="E1258" s="28" t="s">
        <v>26042</v>
      </c>
      <c r="F1258" s="28" t="s">
        <v>25135</v>
      </c>
      <c r="G1258" s="28" t="s">
        <v>19229</v>
      </c>
      <c r="H1258" s="28" t="s">
        <v>19238</v>
      </c>
      <c r="I1258" s="30">
        <v>45554</v>
      </c>
      <c r="J1258" s="30">
        <v>45561</v>
      </c>
      <c r="K1258" s="53">
        <v>8</v>
      </c>
      <c r="L1258" s="29"/>
      <c r="M1258" s="27" t="s">
        <v>19257</v>
      </c>
    </row>
    <row r="1259" spans="1:13" s="27" customFormat="1" ht="17.25" customHeight="1" x14ac:dyDescent="0.25">
      <c r="A1259" s="28" t="s">
        <v>8</v>
      </c>
      <c r="B1259" s="28">
        <v>1002490936</v>
      </c>
      <c r="C1259" s="28" t="s">
        <v>25220</v>
      </c>
      <c r="D1259" s="28" t="s">
        <v>25401</v>
      </c>
      <c r="E1259" s="28" t="s">
        <v>26313</v>
      </c>
      <c r="F1259" s="28"/>
      <c r="G1259" s="28" t="s">
        <v>19229</v>
      </c>
      <c r="H1259" s="28" t="s">
        <v>19239</v>
      </c>
      <c r="I1259" s="30">
        <v>45555</v>
      </c>
      <c r="J1259" s="30">
        <v>45555</v>
      </c>
      <c r="K1259" s="53">
        <v>1</v>
      </c>
      <c r="L1259" s="29">
        <v>4</v>
      </c>
      <c r="M1259" s="27" t="s">
        <v>25036</v>
      </c>
    </row>
    <row r="1260" spans="1:13" s="27" customFormat="1" ht="17.25" customHeight="1" x14ac:dyDescent="0.25">
      <c r="A1260" s="28" t="s">
        <v>8</v>
      </c>
      <c r="B1260" s="28">
        <v>3367406</v>
      </c>
      <c r="C1260" s="28" t="s">
        <v>25461</v>
      </c>
      <c r="D1260" s="28" t="s">
        <v>25126</v>
      </c>
      <c r="E1260" s="28" t="s">
        <v>25500</v>
      </c>
      <c r="F1260" s="28" t="s">
        <v>25103</v>
      </c>
      <c r="G1260" s="28" t="s">
        <v>19229</v>
      </c>
      <c r="H1260" s="28" t="s">
        <v>19238</v>
      </c>
      <c r="I1260" s="30">
        <v>45555</v>
      </c>
      <c r="J1260" s="30">
        <v>45569</v>
      </c>
      <c r="K1260" s="53">
        <v>15</v>
      </c>
      <c r="L1260" s="29"/>
      <c r="M1260" s="27" t="s">
        <v>19257</v>
      </c>
    </row>
    <row r="1261" spans="1:13" s="27" customFormat="1" ht="17.25" customHeight="1" x14ac:dyDescent="0.25">
      <c r="A1261" s="28" t="s">
        <v>8</v>
      </c>
      <c r="B1261" s="28">
        <v>71991931</v>
      </c>
      <c r="C1261" s="28" t="s">
        <v>25223</v>
      </c>
      <c r="D1261" s="28" t="s">
        <v>25224</v>
      </c>
      <c r="E1261" s="28" t="s">
        <v>25064</v>
      </c>
      <c r="F1261" s="28" t="s">
        <v>25103</v>
      </c>
      <c r="G1261" s="28" t="s">
        <v>19229</v>
      </c>
      <c r="H1261" s="28" t="s">
        <v>19239</v>
      </c>
      <c r="I1261" s="30">
        <v>45558</v>
      </c>
      <c r="J1261" s="30">
        <v>45562</v>
      </c>
      <c r="K1261" s="53">
        <v>5</v>
      </c>
      <c r="L1261" s="29">
        <v>1</v>
      </c>
      <c r="M1261" s="27" t="s">
        <v>25036</v>
      </c>
    </row>
    <row r="1262" spans="1:13" s="27" customFormat="1" ht="17.25" customHeight="1" x14ac:dyDescent="0.25">
      <c r="A1262" s="28" t="s">
        <v>8</v>
      </c>
      <c r="B1262" s="28">
        <v>70421430</v>
      </c>
      <c r="C1262" s="28" t="s">
        <v>25127</v>
      </c>
      <c r="D1262" s="28" t="s">
        <v>25127</v>
      </c>
      <c r="E1262" s="28" t="s">
        <v>25512</v>
      </c>
      <c r="F1262" s="28" t="s">
        <v>25103</v>
      </c>
      <c r="G1262" s="28" t="s">
        <v>19229</v>
      </c>
      <c r="H1262" s="28" t="s">
        <v>19238</v>
      </c>
      <c r="I1262" s="30">
        <v>45558</v>
      </c>
      <c r="J1262" s="30">
        <v>45565</v>
      </c>
      <c r="K1262" s="53">
        <v>8</v>
      </c>
      <c r="L1262" s="29"/>
      <c r="M1262" s="27" t="s">
        <v>19257</v>
      </c>
    </row>
    <row r="1263" spans="1:13" s="27" customFormat="1" ht="17.25" customHeight="1" x14ac:dyDescent="0.25">
      <c r="A1263" s="28" t="s">
        <v>8</v>
      </c>
      <c r="B1263" s="28">
        <v>71692130</v>
      </c>
      <c r="C1263" s="28" t="s">
        <v>25561</v>
      </c>
      <c r="D1263" s="28" t="s">
        <v>25117</v>
      </c>
      <c r="E1263" s="28" t="s">
        <v>25455</v>
      </c>
      <c r="F1263" s="28" t="s">
        <v>25213</v>
      </c>
      <c r="G1263" s="28" t="s">
        <v>19229</v>
      </c>
      <c r="H1263" s="28" t="s">
        <v>19238</v>
      </c>
      <c r="I1263" s="30">
        <v>45558</v>
      </c>
      <c r="J1263" s="30">
        <v>45572</v>
      </c>
      <c r="K1263" s="53">
        <v>15</v>
      </c>
      <c r="L1263" s="29"/>
      <c r="M1263" s="27" t="s">
        <v>19257</v>
      </c>
    </row>
    <row r="1264" spans="1:13" s="27" customFormat="1" ht="17.25" customHeight="1" x14ac:dyDescent="0.25">
      <c r="A1264" s="28" t="s">
        <v>8</v>
      </c>
      <c r="B1264" s="28">
        <v>1000639144</v>
      </c>
      <c r="C1264" s="28" t="s">
        <v>25981</v>
      </c>
      <c r="D1264" s="28" t="s">
        <v>25498</v>
      </c>
      <c r="E1264" s="28" t="s">
        <v>25982</v>
      </c>
      <c r="F1264" s="28" t="s">
        <v>25010</v>
      </c>
      <c r="G1264" s="28" t="s">
        <v>19229</v>
      </c>
      <c r="H1264" s="28" t="s">
        <v>19238</v>
      </c>
      <c r="I1264" s="30">
        <v>45558</v>
      </c>
      <c r="J1264" s="30">
        <v>45572</v>
      </c>
      <c r="K1264" s="53">
        <v>15</v>
      </c>
      <c r="L1264" s="29"/>
      <c r="M1264" s="27" t="s">
        <v>19257</v>
      </c>
    </row>
    <row r="1265" spans="1:13" s="27" customFormat="1" ht="17.25" customHeight="1" x14ac:dyDescent="0.25">
      <c r="A1265" s="28" t="s">
        <v>8</v>
      </c>
      <c r="B1265" s="28">
        <v>1147957427</v>
      </c>
      <c r="C1265" s="28" t="s">
        <v>25401</v>
      </c>
      <c r="D1265" s="28" t="s">
        <v>25008</v>
      </c>
      <c r="E1265" s="28" t="s">
        <v>19256</v>
      </c>
      <c r="F1265" s="28" t="s">
        <v>25439</v>
      </c>
      <c r="G1265" s="28" t="s">
        <v>19229</v>
      </c>
      <c r="H1265" s="28" t="s">
        <v>19239</v>
      </c>
      <c r="I1265" s="30">
        <v>45559</v>
      </c>
      <c r="J1265" s="30">
        <v>45561</v>
      </c>
      <c r="K1265" s="53">
        <v>3</v>
      </c>
      <c r="L1265" s="29">
        <v>10</v>
      </c>
      <c r="M1265" s="27" t="s">
        <v>25036</v>
      </c>
    </row>
    <row r="1266" spans="1:13" s="27" customFormat="1" ht="17.25" customHeight="1" x14ac:dyDescent="0.25">
      <c r="A1266" s="28" t="s">
        <v>8</v>
      </c>
      <c r="B1266" s="28">
        <v>1038332376</v>
      </c>
      <c r="C1266" s="28" t="s">
        <v>25105</v>
      </c>
      <c r="D1266" s="28" t="s">
        <v>25638</v>
      </c>
      <c r="E1266" s="28" t="s">
        <v>25478</v>
      </c>
      <c r="F1266" s="28" t="s">
        <v>25566</v>
      </c>
      <c r="G1266" s="28" t="s">
        <v>19229</v>
      </c>
      <c r="H1266" s="28" t="s">
        <v>19238</v>
      </c>
      <c r="I1266" s="30">
        <v>45559</v>
      </c>
      <c r="J1266" s="30">
        <v>45566</v>
      </c>
      <c r="K1266" s="53">
        <v>8</v>
      </c>
      <c r="L1266" s="29"/>
      <c r="M1266" s="27" t="s">
        <v>19257</v>
      </c>
    </row>
    <row r="1267" spans="1:13" s="27" customFormat="1" ht="17.25" customHeight="1" x14ac:dyDescent="0.25">
      <c r="A1267" s="28" t="s">
        <v>8</v>
      </c>
      <c r="B1267" s="28">
        <v>1073809676</v>
      </c>
      <c r="C1267" s="28" t="s">
        <v>25142</v>
      </c>
      <c r="D1267" s="28" t="s">
        <v>26317</v>
      </c>
      <c r="E1267" s="28" t="s">
        <v>25397</v>
      </c>
      <c r="F1267" s="28"/>
      <c r="G1267" s="28" t="s">
        <v>19229</v>
      </c>
      <c r="H1267" s="28" t="s">
        <v>19239</v>
      </c>
      <c r="I1267" s="30">
        <v>45560</v>
      </c>
      <c r="J1267" s="30">
        <v>45560</v>
      </c>
      <c r="K1267" s="53">
        <v>1</v>
      </c>
      <c r="L1267" s="29">
        <v>4</v>
      </c>
      <c r="M1267" s="27" t="s">
        <v>25036</v>
      </c>
    </row>
    <row r="1268" spans="1:13" s="27" customFormat="1" ht="17.25" customHeight="1" x14ac:dyDescent="0.25">
      <c r="A1268" s="28" t="s">
        <v>8</v>
      </c>
      <c r="B1268" s="28">
        <v>71681366</v>
      </c>
      <c r="C1268" s="28" t="s">
        <v>25523</v>
      </c>
      <c r="D1268" s="28" t="s">
        <v>25459</v>
      </c>
      <c r="E1268" s="28" t="s">
        <v>25130</v>
      </c>
      <c r="F1268" s="28" t="s">
        <v>25213</v>
      </c>
      <c r="G1268" s="28" t="s">
        <v>19229</v>
      </c>
      <c r="H1268" s="28" t="s">
        <v>19238</v>
      </c>
      <c r="I1268" s="30">
        <v>45560</v>
      </c>
      <c r="J1268" s="30">
        <v>45567</v>
      </c>
      <c r="K1268" s="53">
        <v>8</v>
      </c>
      <c r="L1268" s="29"/>
      <c r="M1268" s="27" t="s">
        <v>19257</v>
      </c>
    </row>
    <row r="1269" spans="1:13" s="27" customFormat="1" ht="17.25" customHeight="1" x14ac:dyDescent="0.25">
      <c r="A1269" s="28" t="s">
        <v>8</v>
      </c>
      <c r="B1269" s="28">
        <v>71052271</v>
      </c>
      <c r="C1269" s="28" t="s">
        <v>25462</v>
      </c>
      <c r="D1269" s="28" t="s">
        <v>24987</v>
      </c>
      <c r="E1269" s="28" t="s">
        <v>25162</v>
      </c>
      <c r="F1269" s="28" t="s">
        <v>25103</v>
      </c>
      <c r="G1269" s="28" t="s">
        <v>19229</v>
      </c>
      <c r="H1269" s="28" t="s">
        <v>19239</v>
      </c>
      <c r="I1269" s="30">
        <v>45560</v>
      </c>
      <c r="J1269" s="30">
        <v>45560</v>
      </c>
      <c r="K1269" s="53">
        <v>1</v>
      </c>
      <c r="L1269" s="29">
        <v>6</v>
      </c>
      <c r="M1269" s="27" t="s">
        <v>25036</v>
      </c>
    </row>
    <row r="1270" spans="1:13" s="27" customFormat="1" ht="17.25" customHeight="1" x14ac:dyDescent="0.25">
      <c r="A1270" s="28" t="s">
        <v>8</v>
      </c>
      <c r="B1270" s="28">
        <v>1036839894</v>
      </c>
      <c r="C1270" s="28" t="s">
        <v>25498</v>
      </c>
      <c r="D1270" s="28"/>
      <c r="E1270" s="28" t="s">
        <v>26136</v>
      </c>
      <c r="F1270" s="28"/>
      <c r="G1270" s="28" t="s">
        <v>19229</v>
      </c>
      <c r="H1270" s="28" t="s">
        <v>19239</v>
      </c>
      <c r="I1270" s="30">
        <v>45560</v>
      </c>
      <c r="J1270" s="30">
        <v>45560</v>
      </c>
      <c r="K1270" s="53">
        <v>1</v>
      </c>
      <c r="L1270" s="29">
        <v>6</v>
      </c>
      <c r="M1270" s="27" t="s">
        <v>25036</v>
      </c>
    </row>
    <row r="1271" spans="1:13" s="27" customFormat="1" ht="17.25" customHeight="1" x14ac:dyDescent="0.25">
      <c r="A1271" s="28" t="s">
        <v>8</v>
      </c>
      <c r="B1271" s="28">
        <v>1003193448</v>
      </c>
      <c r="C1271" s="28" t="s">
        <v>26335</v>
      </c>
      <c r="D1271" s="28" t="s">
        <v>25521</v>
      </c>
      <c r="E1271" s="28" t="s">
        <v>26254</v>
      </c>
      <c r="F1271" s="28" t="s">
        <v>25099</v>
      </c>
      <c r="G1271" s="28" t="s">
        <v>19229</v>
      </c>
      <c r="H1271" s="28" t="s">
        <v>19239</v>
      </c>
      <c r="I1271" s="30">
        <v>45560</v>
      </c>
      <c r="J1271" s="30">
        <v>45560</v>
      </c>
      <c r="K1271" s="53">
        <v>1</v>
      </c>
      <c r="L1271" s="29">
        <v>4</v>
      </c>
      <c r="M1271" s="27" t="s">
        <v>25036</v>
      </c>
    </row>
    <row r="1272" spans="1:13" s="27" customFormat="1" ht="17.25" customHeight="1" x14ac:dyDescent="0.25">
      <c r="A1272" s="28" t="s">
        <v>8</v>
      </c>
      <c r="B1272" s="28">
        <v>43210112</v>
      </c>
      <c r="C1272" s="28" t="s">
        <v>25257</v>
      </c>
      <c r="D1272" s="28"/>
      <c r="E1272" s="28" t="s">
        <v>25258</v>
      </c>
      <c r="F1272" s="28" t="s">
        <v>25259</v>
      </c>
      <c r="G1272" s="28" t="s">
        <v>19229</v>
      </c>
      <c r="H1272" s="28" t="s">
        <v>19240</v>
      </c>
      <c r="I1272" s="30">
        <v>45560</v>
      </c>
      <c r="J1272" s="30">
        <v>45560</v>
      </c>
      <c r="K1272" s="53">
        <v>1</v>
      </c>
      <c r="L1272" s="29"/>
      <c r="M1272" s="27" t="s">
        <v>24991</v>
      </c>
    </row>
    <row r="1273" spans="1:13" s="27" customFormat="1" ht="17.25" customHeight="1" x14ac:dyDescent="0.25">
      <c r="A1273" s="28" t="s">
        <v>9</v>
      </c>
      <c r="B1273" s="28">
        <v>3434409</v>
      </c>
      <c r="C1273" s="28" t="s">
        <v>25257</v>
      </c>
      <c r="D1273" s="28" t="s">
        <v>25175</v>
      </c>
      <c r="E1273" s="28" t="s">
        <v>25581</v>
      </c>
      <c r="F1273" s="28" t="s">
        <v>25103</v>
      </c>
      <c r="G1273" s="28" t="s">
        <v>19229</v>
      </c>
      <c r="H1273" s="28" t="s">
        <v>19238</v>
      </c>
      <c r="I1273" s="30">
        <v>45560</v>
      </c>
      <c r="J1273" s="30">
        <v>45574</v>
      </c>
      <c r="K1273" s="53">
        <v>15</v>
      </c>
      <c r="L1273" s="29"/>
      <c r="M1273" s="27" t="s">
        <v>19257</v>
      </c>
    </row>
    <row r="1274" spans="1:13" s="27" customFormat="1" ht="17.25" customHeight="1" x14ac:dyDescent="0.25">
      <c r="A1274" s="28" t="s">
        <v>8</v>
      </c>
      <c r="B1274" s="28">
        <v>15370207</v>
      </c>
      <c r="C1274" s="28" t="s">
        <v>26140</v>
      </c>
      <c r="D1274" s="28" t="s">
        <v>25175</v>
      </c>
      <c r="E1274" s="28" t="s">
        <v>25116</v>
      </c>
      <c r="F1274" s="28" t="s">
        <v>25010</v>
      </c>
      <c r="G1274" s="28" t="s">
        <v>19229</v>
      </c>
      <c r="H1274" s="28" t="s">
        <v>19238</v>
      </c>
      <c r="I1274" s="30">
        <v>45562</v>
      </c>
      <c r="J1274" s="30">
        <v>45569</v>
      </c>
      <c r="K1274" s="53">
        <v>8</v>
      </c>
      <c r="L1274" s="29"/>
      <c r="M1274" s="27" t="s">
        <v>19257</v>
      </c>
    </row>
    <row r="1275" spans="1:13" s="27" customFormat="1" ht="17.25" customHeight="1" x14ac:dyDescent="0.25">
      <c r="A1275" s="28" t="s">
        <v>8</v>
      </c>
      <c r="B1275" s="28">
        <v>71185910</v>
      </c>
      <c r="C1275" s="28" t="s">
        <v>26077</v>
      </c>
      <c r="D1275" s="28" t="s">
        <v>25443</v>
      </c>
      <c r="E1275" s="28" t="s">
        <v>26042</v>
      </c>
      <c r="F1275" s="28" t="s">
        <v>25135</v>
      </c>
      <c r="G1275" s="28" t="s">
        <v>19229</v>
      </c>
      <c r="H1275" s="28" t="s">
        <v>19238</v>
      </c>
      <c r="I1275" s="30">
        <v>45562</v>
      </c>
      <c r="J1275" s="30">
        <v>45569</v>
      </c>
      <c r="K1275" s="53">
        <v>8</v>
      </c>
      <c r="L1275" s="29"/>
      <c r="M1275" s="27" t="s">
        <v>19257</v>
      </c>
    </row>
    <row r="1276" spans="1:13" s="27" customFormat="1" ht="17.25" customHeight="1" x14ac:dyDescent="0.25">
      <c r="A1276" s="28" t="s">
        <v>8</v>
      </c>
      <c r="B1276" s="28">
        <v>14572160</v>
      </c>
      <c r="C1276" s="28" t="s">
        <v>25073</v>
      </c>
      <c r="D1276" s="28" t="s">
        <v>25756</v>
      </c>
      <c r="E1276" s="28" t="s">
        <v>25522</v>
      </c>
      <c r="F1276" s="28" t="s">
        <v>25135</v>
      </c>
      <c r="G1276" s="28" t="s">
        <v>19229</v>
      </c>
      <c r="H1276" s="28" t="s">
        <v>19240</v>
      </c>
      <c r="I1276" s="30">
        <v>45563</v>
      </c>
      <c r="J1276" s="30">
        <v>45563</v>
      </c>
      <c r="K1276" s="53">
        <v>1</v>
      </c>
      <c r="L1276" s="29"/>
      <c r="M1276" s="27" t="s">
        <v>24991</v>
      </c>
    </row>
    <row r="1277" spans="1:13" s="27" customFormat="1" ht="17.25" customHeight="1" x14ac:dyDescent="0.25">
      <c r="A1277" s="28" t="s">
        <v>8</v>
      </c>
      <c r="B1277" s="28">
        <v>1007843841</v>
      </c>
      <c r="C1277" s="28" t="s">
        <v>25109</v>
      </c>
      <c r="D1277" s="28" t="s">
        <v>19258</v>
      </c>
      <c r="E1277" s="28" t="s">
        <v>26334</v>
      </c>
      <c r="F1277" s="28" t="s">
        <v>26143</v>
      </c>
      <c r="G1277" s="28" t="s">
        <v>26005</v>
      </c>
      <c r="H1277" s="28" t="s">
        <v>19238</v>
      </c>
      <c r="I1277" s="30">
        <v>45565</v>
      </c>
      <c r="J1277" s="30">
        <v>45582</v>
      </c>
      <c r="K1277" s="53">
        <v>19</v>
      </c>
      <c r="L1277" s="29"/>
      <c r="M1277" s="27" t="s">
        <v>19257</v>
      </c>
    </row>
    <row r="1278" spans="1:13" s="27" customFormat="1" ht="17.25" customHeight="1" x14ac:dyDescent="0.25">
      <c r="A1278" s="28" t="s">
        <v>9</v>
      </c>
      <c r="B1278" s="28">
        <v>43826892</v>
      </c>
      <c r="C1278" s="28" t="s">
        <v>25229</v>
      </c>
      <c r="D1278" s="28" t="s">
        <v>25230</v>
      </c>
      <c r="E1278" s="28" t="s">
        <v>25231</v>
      </c>
      <c r="F1278" s="28" t="s">
        <v>25232</v>
      </c>
      <c r="G1278" s="28" t="s">
        <v>19229</v>
      </c>
      <c r="H1278" s="28" t="s">
        <v>19238</v>
      </c>
      <c r="I1278" s="30">
        <v>45565</v>
      </c>
      <c r="J1278" s="30">
        <v>45579</v>
      </c>
      <c r="K1278" s="53">
        <v>15</v>
      </c>
      <c r="L1278" s="29"/>
      <c r="M1278" s="27" t="s">
        <v>19257</v>
      </c>
    </row>
    <row r="1279" spans="1:13" s="27" customFormat="1" ht="17.25" customHeight="1" x14ac:dyDescent="0.25">
      <c r="A1279" s="28" t="s">
        <v>9</v>
      </c>
      <c r="B1279" s="28">
        <v>70421430</v>
      </c>
      <c r="C1279" s="28" t="s">
        <v>25127</v>
      </c>
      <c r="D1279" s="28" t="s">
        <v>25127</v>
      </c>
      <c r="E1279" s="28" t="s">
        <v>25512</v>
      </c>
      <c r="F1279" s="28" t="s">
        <v>25103</v>
      </c>
      <c r="G1279" s="28" t="s">
        <v>19229</v>
      </c>
      <c r="H1279" s="28" t="s">
        <v>19238</v>
      </c>
      <c r="I1279" s="30">
        <v>45566</v>
      </c>
      <c r="J1279" s="30">
        <v>45573</v>
      </c>
      <c r="K1279" s="53">
        <v>8</v>
      </c>
      <c r="L1279" s="29"/>
      <c r="M1279" s="27" t="s">
        <v>19257</v>
      </c>
    </row>
    <row r="1280" spans="1:13" s="27" customFormat="1" ht="17.25" customHeight="1" x14ac:dyDescent="0.25">
      <c r="A1280" s="28" t="s">
        <v>9</v>
      </c>
      <c r="B1280" s="28">
        <v>15932863</v>
      </c>
      <c r="C1280" s="28" t="s">
        <v>25269</v>
      </c>
      <c r="D1280" s="28" t="s">
        <v>25127</v>
      </c>
      <c r="E1280" s="28" t="s">
        <v>26051</v>
      </c>
      <c r="F1280" s="28" t="s">
        <v>24982</v>
      </c>
      <c r="G1280" s="28" t="s">
        <v>19229</v>
      </c>
      <c r="H1280" s="28" t="s">
        <v>19239</v>
      </c>
      <c r="I1280" s="30">
        <v>45566</v>
      </c>
      <c r="J1280" s="30">
        <v>45570</v>
      </c>
      <c r="K1280" s="53">
        <v>5</v>
      </c>
      <c r="L1280" s="29">
        <v>22</v>
      </c>
      <c r="M1280" s="27" t="s">
        <v>25036</v>
      </c>
    </row>
    <row r="1281" spans="1:13" s="27" customFormat="1" ht="17.25" customHeight="1" x14ac:dyDescent="0.25">
      <c r="A1281" s="28" t="s">
        <v>9</v>
      </c>
      <c r="B1281" s="28">
        <v>3395949</v>
      </c>
      <c r="C1281" s="28" t="s">
        <v>25459</v>
      </c>
      <c r="D1281" s="28" t="s">
        <v>25224</v>
      </c>
      <c r="E1281" s="28" t="s">
        <v>25184</v>
      </c>
      <c r="F1281" s="28" t="s">
        <v>25442</v>
      </c>
      <c r="G1281" s="28" t="s">
        <v>19229</v>
      </c>
      <c r="H1281" s="28" t="s">
        <v>19238</v>
      </c>
      <c r="I1281" s="30">
        <v>45566</v>
      </c>
      <c r="J1281" s="30">
        <v>45580</v>
      </c>
      <c r="K1281" s="53">
        <v>15</v>
      </c>
      <c r="L1281" s="29"/>
      <c r="M1281" s="27" t="s">
        <v>19257</v>
      </c>
    </row>
    <row r="1282" spans="1:13" s="27" customFormat="1" ht="17.25" customHeight="1" x14ac:dyDescent="0.25">
      <c r="A1282" s="28" t="s">
        <v>9</v>
      </c>
      <c r="B1282" s="28">
        <v>9922983</v>
      </c>
      <c r="C1282" s="28" t="s">
        <v>25128</v>
      </c>
      <c r="D1282" s="28" t="s">
        <v>25160</v>
      </c>
      <c r="E1282" s="28" t="s">
        <v>25695</v>
      </c>
      <c r="F1282" s="28" t="s">
        <v>25416</v>
      </c>
      <c r="G1282" s="28" t="s">
        <v>19229</v>
      </c>
      <c r="H1282" s="28" t="s">
        <v>19238</v>
      </c>
      <c r="I1282" s="30">
        <v>45566</v>
      </c>
      <c r="J1282" s="30">
        <v>45580</v>
      </c>
      <c r="K1282" s="53">
        <v>15</v>
      </c>
      <c r="L1282" s="29"/>
      <c r="M1282" s="27" t="s">
        <v>19257</v>
      </c>
    </row>
    <row r="1283" spans="1:13" s="27" customFormat="1" ht="17.25" customHeight="1" x14ac:dyDescent="0.25">
      <c r="A1283" s="28" t="s">
        <v>9</v>
      </c>
      <c r="B1283" s="28">
        <v>70137576</v>
      </c>
      <c r="C1283" s="28" t="s">
        <v>25086</v>
      </c>
      <c r="D1283" s="28" t="s">
        <v>25424</v>
      </c>
      <c r="E1283" s="28" t="s">
        <v>25405</v>
      </c>
      <c r="F1283" s="28" t="s">
        <v>26027</v>
      </c>
      <c r="G1283" s="28" t="s">
        <v>19229</v>
      </c>
      <c r="H1283" s="28" t="s">
        <v>19238</v>
      </c>
      <c r="I1283" s="30">
        <v>45566</v>
      </c>
      <c r="J1283" s="30">
        <v>45580</v>
      </c>
      <c r="K1283" s="53">
        <v>15</v>
      </c>
      <c r="L1283" s="29"/>
      <c r="M1283" s="27" t="s">
        <v>19257</v>
      </c>
    </row>
    <row r="1284" spans="1:13" s="27" customFormat="1" ht="17.25" customHeight="1" x14ac:dyDescent="0.25">
      <c r="A1284" s="28" t="s">
        <v>9</v>
      </c>
      <c r="B1284" s="28">
        <v>3570700</v>
      </c>
      <c r="C1284" s="28" t="s">
        <v>25126</v>
      </c>
      <c r="D1284" s="28"/>
      <c r="E1284" s="28" t="s">
        <v>19278</v>
      </c>
      <c r="F1284" s="28" t="s">
        <v>25028</v>
      </c>
      <c r="G1284" s="28" t="s">
        <v>19229</v>
      </c>
      <c r="H1284" s="28" t="s">
        <v>19238</v>
      </c>
      <c r="I1284" s="30">
        <v>45566</v>
      </c>
      <c r="J1284" s="30">
        <v>45582</v>
      </c>
      <c r="K1284" s="53">
        <v>17</v>
      </c>
      <c r="L1284" s="29"/>
      <c r="M1284" s="27" t="s">
        <v>19257</v>
      </c>
    </row>
    <row r="1285" spans="1:13" s="27" customFormat="1" ht="17.25" customHeight="1" x14ac:dyDescent="0.25">
      <c r="A1285" s="28" t="s">
        <v>9</v>
      </c>
      <c r="B1285" s="28">
        <v>98711080</v>
      </c>
      <c r="C1285" s="28" t="s">
        <v>25219</v>
      </c>
      <c r="D1285" s="28" t="s">
        <v>25443</v>
      </c>
      <c r="E1285" s="28" t="s">
        <v>25430</v>
      </c>
      <c r="F1285" s="28" t="s">
        <v>25119</v>
      </c>
      <c r="G1285" s="28" t="s">
        <v>19229</v>
      </c>
      <c r="H1285" s="28" t="s">
        <v>19240</v>
      </c>
      <c r="I1285" s="30">
        <v>45567</v>
      </c>
      <c r="J1285" s="30">
        <v>45567</v>
      </c>
      <c r="K1285" s="53">
        <v>1</v>
      </c>
      <c r="L1285" s="29"/>
      <c r="M1285" s="27" t="s">
        <v>24991</v>
      </c>
    </row>
    <row r="1286" spans="1:13" s="27" customFormat="1" ht="17.25" customHeight="1" x14ac:dyDescent="0.25">
      <c r="A1286" s="28" t="s">
        <v>9</v>
      </c>
      <c r="B1286" s="28">
        <v>1067885211</v>
      </c>
      <c r="C1286" s="28" t="s">
        <v>25094</v>
      </c>
      <c r="D1286" s="28" t="s">
        <v>25547</v>
      </c>
      <c r="E1286" s="28" t="s">
        <v>25471</v>
      </c>
      <c r="F1286" s="28" t="s">
        <v>25091</v>
      </c>
      <c r="G1286" s="28" t="s">
        <v>19229</v>
      </c>
      <c r="H1286" s="28" t="s">
        <v>19239</v>
      </c>
      <c r="I1286" s="30">
        <v>45567</v>
      </c>
      <c r="J1286" s="30">
        <v>45569</v>
      </c>
      <c r="K1286" s="53">
        <v>3</v>
      </c>
      <c r="L1286" s="29">
        <v>10</v>
      </c>
      <c r="M1286" s="27" t="s">
        <v>25067</v>
      </c>
    </row>
    <row r="1287" spans="1:13" s="27" customFormat="1" ht="17.25" customHeight="1" x14ac:dyDescent="0.25">
      <c r="A1287" s="28" t="s">
        <v>9</v>
      </c>
      <c r="B1287" s="28">
        <v>15676567</v>
      </c>
      <c r="C1287" s="28" t="s">
        <v>25111</v>
      </c>
      <c r="D1287" s="28" t="s">
        <v>25108</v>
      </c>
      <c r="E1287" s="28" t="s">
        <v>26076</v>
      </c>
      <c r="F1287" s="28" t="s">
        <v>26015</v>
      </c>
      <c r="G1287" s="28" t="s">
        <v>19229</v>
      </c>
      <c r="H1287" s="28" t="s">
        <v>19238</v>
      </c>
      <c r="I1287" s="30">
        <v>45567</v>
      </c>
      <c r="J1287" s="30">
        <v>45581</v>
      </c>
      <c r="K1287" s="53">
        <v>15</v>
      </c>
      <c r="L1287" s="29"/>
      <c r="M1287" s="27" t="s">
        <v>19257</v>
      </c>
    </row>
    <row r="1288" spans="1:13" s="27" customFormat="1" ht="17.25" customHeight="1" x14ac:dyDescent="0.25">
      <c r="A1288" s="28" t="s">
        <v>9</v>
      </c>
      <c r="B1288" s="28">
        <v>3378565</v>
      </c>
      <c r="C1288" s="28" t="s">
        <v>25202</v>
      </c>
      <c r="D1288" s="28" t="s">
        <v>26356</v>
      </c>
      <c r="E1288" s="28" t="s">
        <v>25050</v>
      </c>
      <c r="F1288" s="28" t="s">
        <v>26357</v>
      </c>
      <c r="G1288" s="28" t="s">
        <v>19229</v>
      </c>
      <c r="H1288" s="28" t="s">
        <v>19238</v>
      </c>
      <c r="I1288" s="30">
        <v>45567</v>
      </c>
      <c r="J1288" s="30">
        <v>45581</v>
      </c>
      <c r="K1288" s="53">
        <v>15</v>
      </c>
      <c r="L1288" s="29"/>
      <c r="M1288" s="27" t="s">
        <v>19257</v>
      </c>
    </row>
    <row r="1289" spans="1:13" s="27" customFormat="1" ht="17.25" customHeight="1" x14ac:dyDescent="0.25">
      <c r="A1289" s="28" t="s">
        <v>9</v>
      </c>
      <c r="B1289" s="28">
        <v>1067958734</v>
      </c>
      <c r="C1289" s="28" t="s">
        <v>26353</v>
      </c>
      <c r="D1289" s="28" t="s">
        <v>26354</v>
      </c>
      <c r="E1289" s="28" t="s">
        <v>25028</v>
      </c>
      <c r="F1289" s="28" t="s">
        <v>25010</v>
      </c>
      <c r="G1289" s="28" t="s">
        <v>19229</v>
      </c>
      <c r="H1289" s="28" t="s">
        <v>19240</v>
      </c>
      <c r="I1289" s="30">
        <v>45568</v>
      </c>
      <c r="J1289" s="30">
        <v>45569</v>
      </c>
      <c r="K1289" s="53">
        <v>2</v>
      </c>
      <c r="L1289" s="29"/>
      <c r="M1289" s="27" t="s">
        <v>24991</v>
      </c>
    </row>
    <row r="1290" spans="1:13" s="27" customFormat="1" ht="17.25" customHeight="1" x14ac:dyDescent="0.25">
      <c r="A1290" s="28" t="s">
        <v>9</v>
      </c>
      <c r="B1290" s="28">
        <v>1147935100</v>
      </c>
      <c r="C1290" s="28" t="s">
        <v>25269</v>
      </c>
      <c r="D1290" s="28" t="s">
        <v>25362</v>
      </c>
      <c r="E1290" s="28" t="s">
        <v>25282</v>
      </c>
      <c r="F1290" s="28" t="s">
        <v>25177</v>
      </c>
      <c r="G1290" s="28" t="s">
        <v>19229</v>
      </c>
      <c r="H1290" s="28" t="s">
        <v>19239</v>
      </c>
      <c r="I1290" s="30">
        <v>45568</v>
      </c>
      <c r="J1290" s="30">
        <v>45572</v>
      </c>
      <c r="K1290" s="53">
        <v>5</v>
      </c>
      <c r="L1290" s="29">
        <v>10</v>
      </c>
      <c r="M1290" s="27" t="s">
        <v>25067</v>
      </c>
    </row>
    <row r="1291" spans="1:13" s="27" customFormat="1" ht="17.25" customHeight="1" x14ac:dyDescent="0.25">
      <c r="A1291" s="28" t="s">
        <v>9</v>
      </c>
      <c r="B1291" s="28">
        <v>71055205</v>
      </c>
      <c r="C1291" s="28" t="s">
        <v>25480</v>
      </c>
      <c r="D1291" s="28" t="s">
        <v>25639</v>
      </c>
      <c r="E1291" s="28" t="s">
        <v>25131</v>
      </c>
      <c r="F1291" s="28" t="s">
        <v>25020</v>
      </c>
      <c r="G1291" s="28" t="s">
        <v>19229</v>
      </c>
      <c r="H1291" s="28" t="s">
        <v>19239</v>
      </c>
      <c r="I1291" s="30">
        <v>45568</v>
      </c>
      <c r="J1291" s="30">
        <v>45570</v>
      </c>
      <c r="K1291" s="53">
        <v>3</v>
      </c>
      <c r="L1291" s="29">
        <v>3</v>
      </c>
      <c r="M1291" s="27" t="s">
        <v>25067</v>
      </c>
    </row>
    <row r="1292" spans="1:13" s="27" customFormat="1" ht="17.25" customHeight="1" x14ac:dyDescent="0.25">
      <c r="A1292" s="28" t="s">
        <v>9</v>
      </c>
      <c r="B1292" s="28">
        <v>15259158</v>
      </c>
      <c r="C1292" s="28" t="s">
        <v>25015</v>
      </c>
      <c r="D1292" s="28" t="s">
        <v>25015</v>
      </c>
      <c r="E1292" s="28" t="s">
        <v>25203</v>
      </c>
      <c r="F1292" s="28" t="s">
        <v>25005</v>
      </c>
      <c r="G1292" s="28" t="s">
        <v>19229</v>
      </c>
      <c r="H1292" s="28" t="s">
        <v>19238</v>
      </c>
      <c r="I1292" s="30">
        <v>45568</v>
      </c>
      <c r="J1292" s="30">
        <v>45582</v>
      </c>
      <c r="K1292" s="53">
        <v>15</v>
      </c>
      <c r="L1292" s="29"/>
      <c r="M1292" s="27" t="s">
        <v>19257</v>
      </c>
    </row>
    <row r="1293" spans="1:13" s="27" customFormat="1" ht="17.25" customHeight="1" x14ac:dyDescent="0.25">
      <c r="A1293" s="28" t="s">
        <v>9</v>
      </c>
      <c r="B1293" s="28">
        <v>70785727</v>
      </c>
      <c r="C1293" s="28" t="s">
        <v>25983</v>
      </c>
      <c r="D1293" s="28" t="s">
        <v>25426</v>
      </c>
      <c r="E1293" s="28" t="s">
        <v>25020</v>
      </c>
      <c r="F1293" s="28"/>
      <c r="G1293" s="28" t="s">
        <v>19229</v>
      </c>
      <c r="H1293" s="28" t="s">
        <v>19240</v>
      </c>
      <c r="I1293" s="30">
        <v>45569</v>
      </c>
      <c r="J1293" s="30">
        <v>45573</v>
      </c>
      <c r="K1293" s="53">
        <v>5</v>
      </c>
      <c r="L1293" s="29"/>
      <c r="M1293" s="27" t="s">
        <v>26223</v>
      </c>
    </row>
    <row r="1294" spans="1:13" s="27" customFormat="1" ht="17.25" customHeight="1" x14ac:dyDescent="0.25">
      <c r="A1294" s="28" t="s">
        <v>9</v>
      </c>
      <c r="B1294" s="28">
        <v>15370207</v>
      </c>
      <c r="C1294" s="28" t="s">
        <v>26140</v>
      </c>
      <c r="D1294" s="28" t="s">
        <v>25175</v>
      </c>
      <c r="E1294" s="28" t="s">
        <v>25116</v>
      </c>
      <c r="F1294" s="28" t="s">
        <v>25010</v>
      </c>
      <c r="G1294" s="28" t="s">
        <v>19229</v>
      </c>
      <c r="H1294" s="28" t="s">
        <v>19240</v>
      </c>
      <c r="I1294" s="30">
        <v>45570</v>
      </c>
      <c r="J1294" s="30">
        <v>45577</v>
      </c>
      <c r="K1294" s="53">
        <v>8</v>
      </c>
      <c r="L1294" s="29"/>
      <c r="M1294" s="27" t="s">
        <v>24991</v>
      </c>
    </row>
    <row r="1295" spans="1:13" s="27" customFormat="1" ht="17.25" customHeight="1" x14ac:dyDescent="0.25">
      <c r="A1295" s="28" t="s">
        <v>9</v>
      </c>
      <c r="B1295" s="28">
        <v>71985350</v>
      </c>
      <c r="C1295" s="28" t="s">
        <v>25659</v>
      </c>
      <c r="D1295" s="28" t="s">
        <v>24980</v>
      </c>
      <c r="E1295" s="28" t="s">
        <v>25660</v>
      </c>
      <c r="F1295" s="28"/>
      <c r="G1295" s="28" t="s">
        <v>19229</v>
      </c>
      <c r="H1295" s="28" t="s">
        <v>19238</v>
      </c>
      <c r="I1295" s="30">
        <v>45570</v>
      </c>
      <c r="J1295" s="30">
        <v>45584</v>
      </c>
      <c r="K1295" s="53">
        <v>15</v>
      </c>
      <c r="L1295" s="29"/>
      <c r="M1295" s="27" t="s">
        <v>19257</v>
      </c>
    </row>
    <row r="1296" spans="1:13" s="27" customFormat="1" ht="17.25" customHeight="1" x14ac:dyDescent="0.25">
      <c r="A1296" s="28" t="s">
        <v>9</v>
      </c>
      <c r="B1296" s="28">
        <v>1067883111</v>
      </c>
      <c r="C1296" s="28" t="s">
        <v>25727</v>
      </c>
      <c r="D1296" s="28" t="s">
        <v>25257</v>
      </c>
      <c r="E1296" s="28" t="s">
        <v>25821</v>
      </c>
      <c r="F1296" s="28" t="s">
        <v>25177</v>
      </c>
      <c r="G1296" s="28" t="s">
        <v>19229</v>
      </c>
      <c r="H1296" s="28" t="s">
        <v>19238</v>
      </c>
      <c r="I1296" s="30">
        <v>45570</v>
      </c>
      <c r="J1296" s="30">
        <v>45584</v>
      </c>
      <c r="K1296" s="53">
        <v>15</v>
      </c>
      <c r="L1296" s="29"/>
      <c r="M1296" s="27" t="s">
        <v>19257</v>
      </c>
    </row>
    <row r="1297" spans="1:13" s="27" customFormat="1" ht="17.25" customHeight="1" x14ac:dyDescent="0.25">
      <c r="A1297" s="28" t="s">
        <v>9</v>
      </c>
      <c r="B1297" s="28">
        <v>1039023823</v>
      </c>
      <c r="C1297" s="28" t="s">
        <v>25295</v>
      </c>
      <c r="D1297" s="28" t="s">
        <v>25373</v>
      </c>
      <c r="E1297" s="28" t="s">
        <v>26319</v>
      </c>
      <c r="F1297" s="28" t="s">
        <v>26320</v>
      </c>
      <c r="G1297" s="28" t="s">
        <v>19229</v>
      </c>
      <c r="H1297" s="28" t="s">
        <v>19238</v>
      </c>
      <c r="I1297" s="30">
        <v>45570</v>
      </c>
      <c r="J1297" s="30">
        <v>45584</v>
      </c>
      <c r="K1297" s="53">
        <v>15</v>
      </c>
      <c r="L1297" s="29"/>
      <c r="M1297" s="27" t="s">
        <v>19257</v>
      </c>
    </row>
    <row r="1298" spans="1:13" s="27" customFormat="1" ht="17.25" customHeight="1" x14ac:dyDescent="0.25">
      <c r="A1298" s="28" t="s">
        <v>9</v>
      </c>
      <c r="B1298" s="28">
        <v>1036676172</v>
      </c>
      <c r="C1298" s="28" t="s">
        <v>26355</v>
      </c>
      <c r="D1298" s="28" t="s">
        <v>26236</v>
      </c>
      <c r="E1298" s="28" t="s">
        <v>26237</v>
      </c>
      <c r="F1298" s="28"/>
      <c r="G1298" s="28" t="s">
        <v>26238</v>
      </c>
      <c r="H1298" s="28" t="s">
        <v>19238</v>
      </c>
      <c r="I1298" s="30">
        <v>45572</v>
      </c>
      <c r="J1298" s="30">
        <v>45579</v>
      </c>
      <c r="K1298" s="53">
        <v>8</v>
      </c>
      <c r="L1298" s="29"/>
      <c r="M1298" s="27" t="s">
        <v>19257</v>
      </c>
    </row>
    <row r="1299" spans="1:13" s="27" customFormat="1" ht="17.25" customHeight="1" x14ac:dyDescent="0.25">
      <c r="A1299" s="28" t="s">
        <v>9</v>
      </c>
      <c r="B1299" s="28">
        <v>1011590122</v>
      </c>
      <c r="C1299" s="28" t="s">
        <v>25456</v>
      </c>
      <c r="D1299" s="28" t="s">
        <v>25751</v>
      </c>
      <c r="E1299" s="28" t="s">
        <v>25640</v>
      </c>
      <c r="F1299" s="28" t="s">
        <v>25103</v>
      </c>
      <c r="G1299" s="28" t="s">
        <v>19229</v>
      </c>
      <c r="H1299" s="28" t="s">
        <v>19238</v>
      </c>
      <c r="I1299" s="30">
        <v>45572</v>
      </c>
      <c r="J1299" s="30">
        <v>45579</v>
      </c>
      <c r="K1299" s="53">
        <v>8</v>
      </c>
      <c r="L1299" s="29"/>
      <c r="M1299" s="27" t="s">
        <v>19257</v>
      </c>
    </row>
    <row r="1300" spans="1:13" s="27" customFormat="1" ht="17.25" customHeight="1" x14ac:dyDescent="0.25">
      <c r="A1300" s="28" t="s">
        <v>9</v>
      </c>
      <c r="B1300" s="28">
        <v>1037547538</v>
      </c>
      <c r="C1300" s="28" t="s">
        <v>25907</v>
      </c>
      <c r="D1300" s="28" t="s">
        <v>25002</v>
      </c>
      <c r="E1300" s="28" t="s">
        <v>25116</v>
      </c>
      <c r="F1300" s="28"/>
      <c r="G1300" s="28" t="s">
        <v>19229</v>
      </c>
      <c r="H1300" s="28" t="s">
        <v>19238</v>
      </c>
      <c r="I1300" s="30">
        <v>45573</v>
      </c>
      <c r="J1300" s="30">
        <v>45587</v>
      </c>
      <c r="K1300" s="53">
        <v>15</v>
      </c>
      <c r="L1300" s="29"/>
      <c r="M1300" s="27" t="s">
        <v>19257</v>
      </c>
    </row>
    <row r="1301" spans="1:13" s="27" customFormat="1" ht="17.25" customHeight="1" x14ac:dyDescent="0.25">
      <c r="A1301" s="28" t="s">
        <v>9</v>
      </c>
      <c r="B1301" s="28">
        <v>1001025115</v>
      </c>
      <c r="C1301" s="28" t="s">
        <v>25274</v>
      </c>
      <c r="D1301" s="28" t="s">
        <v>25769</v>
      </c>
      <c r="E1301" s="28" t="s">
        <v>25770</v>
      </c>
      <c r="F1301" s="28" t="s">
        <v>25056</v>
      </c>
      <c r="G1301" s="28" t="s">
        <v>19229</v>
      </c>
      <c r="H1301" s="28" t="s">
        <v>19238</v>
      </c>
      <c r="I1301" s="30">
        <v>45573</v>
      </c>
      <c r="J1301" s="30">
        <v>45587</v>
      </c>
      <c r="K1301" s="53">
        <v>15</v>
      </c>
      <c r="L1301" s="29"/>
      <c r="M1301" s="27" t="s">
        <v>19257</v>
      </c>
    </row>
    <row r="1302" spans="1:13" s="27" customFormat="1" ht="17.25" customHeight="1" x14ac:dyDescent="0.25">
      <c r="A1302" s="28" t="s">
        <v>9</v>
      </c>
      <c r="B1302" s="28">
        <v>70351830</v>
      </c>
      <c r="C1302" s="28" t="s">
        <v>25105</v>
      </c>
      <c r="D1302" s="28" t="s">
        <v>25127</v>
      </c>
      <c r="E1302" s="28" t="s">
        <v>26346</v>
      </c>
      <c r="F1302" s="28" t="s">
        <v>25103</v>
      </c>
      <c r="G1302" s="28" t="s">
        <v>19229</v>
      </c>
      <c r="H1302" s="28" t="s">
        <v>19239</v>
      </c>
      <c r="I1302" s="30">
        <v>45574</v>
      </c>
      <c r="J1302" s="30">
        <v>45574</v>
      </c>
      <c r="K1302" s="53">
        <v>1</v>
      </c>
      <c r="L1302" s="29">
        <v>4</v>
      </c>
      <c r="M1302" s="27" t="s">
        <v>25036</v>
      </c>
    </row>
    <row r="1303" spans="1:13" s="27" customFormat="1" ht="17.25" customHeight="1" x14ac:dyDescent="0.25">
      <c r="A1303" s="28" t="s">
        <v>9</v>
      </c>
      <c r="B1303" s="28">
        <v>1001145163</v>
      </c>
      <c r="C1303" s="28" t="s">
        <v>25164</v>
      </c>
      <c r="D1303" s="28" t="s">
        <v>26347</v>
      </c>
      <c r="E1303" s="28" t="s">
        <v>25183</v>
      </c>
      <c r="F1303" s="28" t="s">
        <v>25185</v>
      </c>
      <c r="G1303" s="28" t="s">
        <v>19229</v>
      </c>
      <c r="H1303" s="28" t="s">
        <v>19239</v>
      </c>
      <c r="I1303" s="30">
        <v>45574</v>
      </c>
      <c r="J1303" s="30">
        <v>45578</v>
      </c>
      <c r="K1303" s="53">
        <v>5</v>
      </c>
      <c r="L1303" s="29">
        <v>1</v>
      </c>
      <c r="M1303" s="27" t="s">
        <v>25036</v>
      </c>
    </row>
    <row r="1304" spans="1:13" s="27" customFormat="1" ht="17.25" customHeight="1" x14ac:dyDescent="0.25">
      <c r="A1304" s="28" t="s">
        <v>9</v>
      </c>
      <c r="B1304" s="28">
        <v>1152711359</v>
      </c>
      <c r="C1304" s="28" t="s">
        <v>25147</v>
      </c>
      <c r="D1304" s="28" t="s">
        <v>25053</v>
      </c>
      <c r="E1304" s="28" t="s">
        <v>25148</v>
      </c>
      <c r="F1304" s="28"/>
      <c r="G1304" s="28" t="s">
        <v>19229</v>
      </c>
      <c r="H1304" s="28" t="s">
        <v>19238</v>
      </c>
      <c r="I1304" s="30">
        <v>45575</v>
      </c>
      <c r="J1304" s="30">
        <v>45590</v>
      </c>
      <c r="K1304" s="53">
        <v>15</v>
      </c>
      <c r="L1304" s="29"/>
      <c r="M1304" s="27" t="s">
        <v>19257</v>
      </c>
    </row>
    <row r="1305" spans="1:13" s="27" customFormat="1" ht="17.25" customHeight="1" x14ac:dyDescent="0.25">
      <c r="A1305" s="28" t="s">
        <v>9</v>
      </c>
      <c r="B1305" s="28">
        <v>43847418</v>
      </c>
      <c r="C1305" s="28" t="s">
        <v>25432</v>
      </c>
      <c r="D1305" s="28" t="s">
        <v>25303</v>
      </c>
      <c r="E1305" s="28" t="s">
        <v>25478</v>
      </c>
      <c r="F1305" s="28" t="s">
        <v>26358</v>
      </c>
      <c r="G1305" s="28" t="s">
        <v>19229</v>
      </c>
      <c r="H1305" s="28" t="s">
        <v>19238</v>
      </c>
      <c r="I1305" s="30">
        <v>45575</v>
      </c>
      <c r="J1305" s="30">
        <v>45589</v>
      </c>
      <c r="K1305" s="53">
        <v>15</v>
      </c>
      <c r="L1305" s="29"/>
      <c r="M1305" s="27" t="s">
        <v>19257</v>
      </c>
    </row>
    <row r="1306" spans="1:13" s="27" customFormat="1" ht="17.25" customHeight="1" x14ac:dyDescent="0.25">
      <c r="A1306" s="28" t="s">
        <v>9</v>
      </c>
      <c r="B1306" s="28">
        <v>1007806085</v>
      </c>
      <c r="C1306" s="28" t="s">
        <v>26204</v>
      </c>
      <c r="D1306" s="28" t="s">
        <v>25362</v>
      </c>
      <c r="E1306" s="28" t="s">
        <v>25282</v>
      </c>
      <c r="F1306" s="28" t="s">
        <v>25177</v>
      </c>
      <c r="G1306" s="28" t="s">
        <v>19229</v>
      </c>
      <c r="H1306" s="28" t="s">
        <v>19239</v>
      </c>
      <c r="I1306" s="30">
        <v>45576</v>
      </c>
      <c r="J1306" s="30">
        <v>45576</v>
      </c>
      <c r="K1306" s="53">
        <v>1</v>
      </c>
      <c r="L1306" s="29">
        <v>6</v>
      </c>
      <c r="M1306" s="27" t="s">
        <v>25036</v>
      </c>
    </row>
    <row r="1307" spans="1:13" s="27" customFormat="1" ht="17.25" customHeight="1" x14ac:dyDescent="0.25">
      <c r="A1307" s="28" t="s">
        <v>9</v>
      </c>
      <c r="B1307" s="28">
        <v>1214744146</v>
      </c>
      <c r="C1307" s="28" t="s">
        <v>24998</v>
      </c>
      <c r="D1307" s="28" t="s">
        <v>19258</v>
      </c>
      <c r="E1307" s="28" t="s">
        <v>25056</v>
      </c>
      <c r="F1307" s="28" t="s">
        <v>25010</v>
      </c>
      <c r="G1307" s="28" t="s">
        <v>19229</v>
      </c>
      <c r="H1307" s="28" t="s">
        <v>19239</v>
      </c>
      <c r="I1307" s="30">
        <v>45576</v>
      </c>
      <c r="J1307" s="30">
        <v>45576</v>
      </c>
      <c r="K1307" s="53">
        <v>1</v>
      </c>
      <c r="L1307" s="29">
        <v>4</v>
      </c>
      <c r="M1307" s="27" t="s">
        <v>25036</v>
      </c>
    </row>
    <row r="1308" spans="1:13" s="27" customFormat="1" ht="17.25" customHeight="1" x14ac:dyDescent="0.25">
      <c r="A1308" s="28" t="s">
        <v>9</v>
      </c>
      <c r="B1308" s="28">
        <v>1001755835</v>
      </c>
      <c r="C1308" s="28" t="s">
        <v>25136</v>
      </c>
      <c r="D1308" s="28" t="s">
        <v>26360</v>
      </c>
      <c r="E1308" s="28" t="s">
        <v>25524</v>
      </c>
      <c r="F1308" s="28"/>
      <c r="G1308" s="28" t="s">
        <v>19229</v>
      </c>
      <c r="H1308" s="28" t="s">
        <v>19238</v>
      </c>
      <c r="I1308" s="30">
        <v>45576</v>
      </c>
      <c r="J1308" s="30">
        <v>45590</v>
      </c>
      <c r="K1308" s="53">
        <v>15</v>
      </c>
      <c r="L1308" s="29"/>
      <c r="M1308" s="27" t="s">
        <v>19257</v>
      </c>
    </row>
    <row r="1309" spans="1:13" s="27" customFormat="1" ht="17.25" customHeight="1" x14ac:dyDescent="0.25">
      <c r="A1309" s="28" t="s">
        <v>9</v>
      </c>
      <c r="B1309" s="28">
        <v>1003339120</v>
      </c>
      <c r="C1309" s="28" t="s">
        <v>25406</v>
      </c>
      <c r="D1309" s="28" t="s">
        <v>25407</v>
      </c>
      <c r="E1309" s="28" t="s">
        <v>25408</v>
      </c>
      <c r="F1309" s="28" t="s">
        <v>25056</v>
      </c>
      <c r="G1309" s="28" t="s">
        <v>19229</v>
      </c>
      <c r="H1309" s="28" t="s">
        <v>19240</v>
      </c>
      <c r="I1309" s="30">
        <v>45577</v>
      </c>
      <c r="J1309" s="30">
        <v>45580</v>
      </c>
      <c r="K1309" s="53">
        <v>4</v>
      </c>
      <c r="L1309" s="29"/>
      <c r="M1309" s="27" t="s">
        <v>24991</v>
      </c>
    </row>
    <row r="1310" spans="1:13" s="27" customFormat="1" ht="17.25" customHeight="1" x14ac:dyDescent="0.25">
      <c r="A1310" s="28" t="s">
        <v>9</v>
      </c>
      <c r="B1310" s="28">
        <v>15525107</v>
      </c>
      <c r="C1310" s="28" t="s">
        <v>25721</v>
      </c>
      <c r="D1310" s="28" t="s">
        <v>25160</v>
      </c>
      <c r="E1310" s="28" t="s">
        <v>25422</v>
      </c>
      <c r="F1310" s="28" t="s">
        <v>25963</v>
      </c>
      <c r="G1310" s="28" t="s">
        <v>19229</v>
      </c>
      <c r="H1310" s="28" t="s">
        <v>19240</v>
      </c>
      <c r="I1310" s="30">
        <v>45578</v>
      </c>
      <c r="J1310" s="30">
        <v>45579</v>
      </c>
      <c r="K1310" s="53">
        <v>2</v>
      </c>
      <c r="L1310" s="29"/>
      <c r="M1310" s="27" t="s">
        <v>24991</v>
      </c>
    </row>
    <row r="1311" spans="1:13" s="27" customFormat="1" ht="17.25" customHeight="1" x14ac:dyDescent="0.25">
      <c r="A1311" s="28" t="s">
        <v>9</v>
      </c>
      <c r="B1311" s="28">
        <v>1000112049</v>
      </c>
      <c r="C1311" s="28" t="s">
        <v>25108</v>
      </c>
      <c r="D1311" s="28" t="s">
        <v>25588</v>
      </c>
      <c r="E1311" s="28" t="s">
        <v>25096</v>
      </c>
      <c r="F1311" s="28"/>
      <c r="G1311" s="28" t="s">
        <v>19229</v>
      </c>
      <c r="H1311" s="28" t="s">
        <v>19240</v>
      </c>
      <c r="I1311" s="30">
        <v>45578</v>
      </c>
      <c r="J1311" s="30">
        <v>45581</v>
      </c>
      <c r="K1311" s="53">
        <v>4</v>
      </c>
      <c r="L1311" s="29"/>
      <c r="M1311" s="27" t="s">
        <v>24991</v>
      </c>
    </row>
    <row r="1312" spans="1:13" s="27" customFormat="1" ht="17.25" customHeight="1" x14ac:dyDescent="0.25">
      <c r="A1312" s="28" t="s">
        <v>9</v>
      </c>
      <c r="B1312" s="28">
        <v>71362693</v>
      </c>
      <c r="C1312" s="28" t="s">
        <v>25608</v>
      </c>
      <c r="D1312" s="28" t="s">
        <v>25609</v>
      </c>
      <c r="E1312" s="28" t="s">
        <v>25610</v>
      </c>
      <c r="F1312" s="28"/>
      <c r="G1312" s="28" t="s">
        <v>19229</v>
      </c>
      <c r="H1312" s="28" t="s">
        <v>19240</v>
      </c>
      <c r="I1312" s="30">
        <v>45578</v>
      </c>
      <c r="J1312" s="30">
        <v>45578</v>
      </c>
      <c r="K1312" s="53">
        <v>1</v>
      </c>
      <c r="L1312" s="29"/>
      <c r="M1312" s="27" t="s">
        <v>24991</v>
      </c>
    </row>
    <row r="1313" spans="1:13" s="27" customFormat="1" ht="17.25" customHeight="1" x14ac:dyDescent="0.25">
      <c r="A1313" s="28" t="s">
        <v>9</v>
      </c>
      <c r="B1313" s="28">
        <v>1146442150</v>
      </c>
      <c r="C1313" s="28" t="s">
        <v>25790</v>
      </c>
      <c r="D1313" s="28" t="s">
        <v>25498</v>
      </c>
      <c r="E1313" s="28" t="s">
        <v>19278</v>
      </c>
      <c r="F1313" s="28" t="s">
        <v>26257</v>
      </c>
      <c r="G1313" s="28" t="s">
        <v>19229</v>
      </c>
      <c r="H1313" s="28" t="s">
        <v>19239</v>
      </c>
      <c r="I1313" s="30">
        <v>45580</v>
      </c>
      <c r="J1313" s="30">
        <v>45582</v>
      </c>
      <c r="K1313" s="53">
        <v>3</v>
      </c>
      <c r="L1313" s="29">
        <v>24</v>
      </c>
      <c r="M1313" s="27" t="s">
        <v>25036</v>
      </c>
    </row>
    <row r="1314" spans="1:13" s="27" customFormat="1" ht="17.25" customHeight="1" x14ac:dyDescent="0.25">
      <c r="A1314" s="28" t="s">
        <v>9</v>
      </c>
      <c r="B1314" s="28">
        <v>1068137801</v>
      </c>
      <c r="C1314" s="28" t="s">
        <v>26349</v>
      </c>
      <c r="D1314" s="28" t="s">
        <v>26350</v>
      </c>
      <c r="E1314" s="28" t="s">
        <v>25962</v>
      </c>
      <c r="F1314" s="28" t="s">
        <v>25023</v>
      </c>
      <c r="G1314" s="28" t="s">
        <v>19229</v>
      </c>
      <c r="H1314" s="28" t="s">
        <v>19239</v>
      </c>
      <c r="I1314" s="30">
        <v>45580</v>
      </c>
      <c r="J1314" s="30">
        <v>45584</v>
      </c>
      <c r="K1314" s="53">
        <v>5</v>
      </c>
      <c r="L1314" s="29">
        <v>1</v>
      </c>
      <c r="M1314" s="27" t="s">
        <v>25036</v>
      </c>
    </row>
    <row r="1315" spans="1:13" s="27" customFormat="1" ht="17.25" customHeight="1" x14ac:dyDescent="0.25">
      <c r="A1315" s="28" t="s">
        <v>9</v>
      </c>
      <c r="B1315" s="28">
        <v>43830625</v>
      </c>
      <c r="C1315" s="28" t="s">
        <v>25310</v>
      </c>
      <c r="D1315" s="28" t="s">
        <v>25690</v>
      </c>
      <c r="E1315" s="28" t="s">
        <v>26359</v>
      </c>
      <c r="F1315" s="28" t="s">
        <v>25596</v>
      </c>
      <c r="G1315" s="28" t="s">
        <v>26005</v>
      </c>
      <c r="H1315" s="28" t="s">
        <v>19238</v>
      </c>
      <c r="I1315" s="30">
        <v>45580</v>
      </c>
      <c r="J1315" s="30">
        <v>45596</v>
      </c>
      <c r="K1315" s="53">
        <v>15</v>
      </c>
      <c r="L1315" s="29"/>
      <c r="M1315" s="27" t="s">
        <v>19257</v>
      </c>
    </row>
    <row r="1316" spans="1:13" s="27" customFormat="1" ht="17.25" customHeight="1" x14ac:dyDescent="0.25">
      <c r="A1316" s="28" t="s">
        <v>9</v>
      </c>
      <c r="B1316" s="28">
        <v>1193141601</v>
      </c>
      <c r="C1316" s="28" t="s">
        <v>25930</v>
      </c>
      <c r="D1316" s="28" t="s">
        <v>25666</v>
      </c>
      <c r="E1316" s="28" t="s">
        <v>25183</v>
      </c>
      <c r="F1316" s="28" t="s">
        <v>25663</v>
      </c>
      <c r="G1316" s="28" t="s">
        <v>19229</v>
      </c>
      <c r="H1316" s="28" t="s">
        <v>19238</v>
      </c>
      <c r="I1316" s="30">
        <v>45580</v>
      </c>
      <c r="J1316" s="30">
        <v>45595</v>
      </c>
      <c r="K1316" s="53">
        <v>15</v>
      </c>
      <c r="L1316" s="29"/>
      <c r="M1316" s="27" t="s">
        <v>19257</v>
      </c>
    </row>
    <row r="1317" spans="1:13" s="27" customFormat="1" ht="17.25" customHeight="1" x14ac:dyDescent="0.25">
      <c r="A1317" s="28" t="s">
        <v>9</v>
      </c>
      <c r="B1317" s="28">
        <v>1117811823</v>
      </c>
      <c r="C1317" s="28" t="s">
        <v>25899</v>
      </c>
      <c r="D1317" s="28" t="s">
        <v>25128</v>
      </c>
      <c r="E1317" s="28" t="s">
        <v>25900</v>
      </c>
      <c r="F1317" s="28" t="s">
        <v>25010</v>
      </c>
      <c r="G1317" s="28" t="s">
        <v>19229</v>
      </c>
      <c r="H1317" s="28" t="s">
        <v>19238</v>
      </c>
      <c r="I1317" s="30">
        <v>45580</v>
      </c>
      <c r="J1317" s="30">
        <v>45594</v>
      </c>
      <c r="K1317" s="53">
        <v>15</v>
      </c>
      <c r="L1317" s="29"/>
      <c r="M1317" s="27" t="s">
        <v>19257</v>
      </c>
    </row>
    <row r="1318" spans="1:13" s="27" customFormat="1" ht="17.25" customHeight="1" x14ac:dyDescent="0.25">
      <c r="A1318" s="28" t="s">
        <v>9</v>
      </c>
      <c r="B1318" s="28">
        <v>70127902</v>
      </c>
      <c r="C1318" s="28" t="s">
        <v>25391</v>
      </c>
      <c r="D1318" s="28" t="s">
        <v>25400</v>
      </c>
      <c r="E1318" s="28" t="s">
        <v>25380</v>
      </c>
      <c r="F1318" s="28" t="s">
        <v>25162</v>
      </c>
      <c r="G1318" s="28" t="s">
        <v>19229</v>
      </c>
      <c r="H1318" s="28" t="s">
        <v>19238</v>
      </c>
      <c r="I1318" s="30">
        <v>45580</v>
      </c>
      <c r="J1318" s="30">
        <v>45594</v>
      </c>
      <c r="K1318" s="53">
        <v>15</v>
      </c>
      <c r="L1318" s="29"/>
      <c r="M1318" s="27" t="s">
        <v>19257</v>
      </c>
    </row>
    <row r="1319" spans="1:13" s="27" customFormat="1" ht="17.25" customHeight="1" x14ac:dyDescent="0.25">
      <c r="A1319" s="28" t="s">
        <v>9</v>
      </c>
      <c r="B1319" s="28">
        <v>77027311</v>
      </c>
      <c r="C1319" s="28" t="s">
        <v>25480</v>
      </c>
      <c r="D1319" s="28" t="s">
        <v>25503</v>
      </c>
      <c r="E1319" s="28" t="s">
        <v>25028</v>
      </c>
      <c r="F1319" s="28" t="s">
        <v>25213</v>
      </c>
      <c r="G1319" s="28" t="s">
        <v>19229</v>
      </c>
      <c r="H1319" s="28" t="s">
        <v>19240</v>
      </c>
      <c r="I1319" s="30">
        <v>45581</v>
      </c>
      <c r="J1319" s="30">
        <v>45582</v>
      </c>
      <c r="K1319" s="53">
        <v>2</v>
      </c>
      <c r="L1319" s="29"/>
      <c r="M1319" s="27" t="s">
        <v>24991</v>
      </c>
    </row>
    <row r="1320" spans="1:13" s="27" customFormat="1" ht="17.25" customHeight="1" x14ac:dyDescent="0.25">
      <c r="A1320" s="28" t="s">
        <v>9</v>
      </c>
      <c r="B1320" s="28">
        <v>98451569</v>
      </c>
      <c r="C1320" s="28" t="s">
        <v>25429</v>
      </c>
      <c r="D1320" s="28" t="s">
        <v>25164</v>
      </c>
      <c r="E1320" s="28" t="s">
        <v>25746</v>
      </c>
      <c r="F1320" s="28" t="s">
        <v>25103</v>
      </c>
      <c r="G1320" s="28" t="s">
        <v>19229</v>
      </c>
      <c r="H1320" s="28" t="s">
        <v>19238</v>
      </c>
      <c r="I1320" s="30">
        <v>45581</v>
      </c>
      <c r="J1320" s="30">
        <v>45596</v>
      </c>
      <c r="K1320" s="53">
        <v>15</v>
      </c>
      <c r="L1320" s="29"/>
      <c r="M1320" s="27" t="s">
        <v>19257</v>
      </c>
    </row>
    <row r="1321" spans="1:13" s="27" customFormat="1" ht="17.25" customHeight="1" x14ac:dyDescent="0.25">
      <c r="A1321" s="28" t="s">
        <v>9</v>
      </c>
      <c r="B1321" s="28">
        <v>1067860677</v>
      </c>
      <c r="C1321" s="28" t="s">
        <v>25100</v>
      </c>
      <c r="D1321" s="28" t="s">
        <v>25562</v>
      </c>
      <c r="E1321" s="28" t="s">
        <v>25359</v>
      </c>
      <c r="F1321" s="28" t="s">
        <v>25283</v>
      </c>
      <c r="G1321" s="28" t="s">
        <v>19229</v>
      </c>
      <c r="H1321" s="28" t="s">
        <v>19238</v>
      </c>
      <c r="I1321" s="30">
        <v>45581</v>
      </c>
      <c r="J1321" s="30">
        <v>45595</v>
      </c>
      <c r="K1321" s="53">
        <v>15</v>
      </c>
      <c r="L1321" s="29"/>
      <c r="M1321" s="27" t="s">
        <v>19257</v>
      </c>
    </row>
    <row r="1322" spans="1:13" s="27" customFormat="1" ht="17.25" customHeight="1" x14ac:dyDescent="0.25">
      <c r="A1322" s="28" t="s">
        <v>9</v>
      </c>
      <c r="B1322" s="28">
        <v>1067860677</v>
      </c>
      <c r="C1322" s="28" t="s">
        <v>25100</v>
      </c>
      <c r="D1322" s="28" t="s">
        <v>25562</v>
      </c>
      <c r="E1322" s="28" t="s">
        <v>25359</v>
      </c>
      <c r="F1322" s="28" t="s">
        <v>25283</v>
      </c>
      <c r="G1322" s="28" t="s">
        <v>19229</v>
      </c>
      <c r="H1322" s="28" t="s">
        <v>19238</v>
      </c>
      <c r="I1322" s="30">
        <v>45581</v>
      </c>
      <c r="J1322" s="30">
        <v>45595</v>
      </c>
      <c r="K1322" s="53">
        <v>15</v>
      </c>
      <c r="L1322" s="29"/>
      <c r="M1322" s="27" t="s">
        <v>19257</v>
      </c>
    </row>
    <row r="1323" spans="1:13" s="27" customFormat="1" ht="17.25" customHeight="1" x14ac:dyDescent="0.25">
      <c r="A1323" s="28" t="s">
        <v>9</v>
      </c>
      <c r="B1323" s="28">
        <v>1000634073</v>
      </c>
      <c r="C1323" s="28" t="s">
        <v>25921</v>
      </c>
      <c r="D1323" s="28" t="s">
        <v>25002</v>
      </c>
      <c r="E1323" s="28" t="s">
        <v>19256</v>
      </c>
      <c r="F1323" s="28" t="s">
        <v>25110</v>
      </c>
      <c r="G1323" s="28" t="s">
        <v>19229</v>
      </c>
      <c r="H1323" s="28" t="s">
        <v>19238</v>
      </c>
      <c r="I1323" s="30">
        <v>45581</v>
      </c>
      <c r="J1323" s="30">
        <v>45588</v>
      </c>
      <c r="K1323" s="53">
        <v>8</v>
      </c>
      <c r="L1323" s="29"/>
      <c r="M1323" s="27" t="s">
        <v>19257</v>
      </c>
    </row>
    <row r="1324" spans="1:13" s="27" customFormat="1" ht="17.25" customHeight="1" x14ac:dyDescent="0.25">
      <c r="A1324" s="28" t="s">
        <v>9</v>
      </c>
      <c r="B1324" s="28">
        <v>71364030</v>
      </c>
      <c r="C1324" s="28" t="s">
        <v>25846</v>
      </c>
      <c r="D1324" s="28" t="s">
        <v>25174</v>
      </c>
      <c r="E1324" s="28" t="s">
        <v>25028</v>
      </c>
      <c r="F1324" s="28" t="s">
        <v>25064</v>
      </c>
      <c r="G1324" s="28" t="s">
        <v>19229</v>
      </c>
      <c r="H1324" s="28" t="s">
        <v>19238</v>
      </c>
      <c r="I1324" s="30">
        <v>45581</v>
      </c>
      <c r="J1324" s="30">
        <v>45595</v>
      </c>
      <c r="K1324" s="53">
        <v>15</v>
      </c>
      <c r="L1324" s="29"/>
      <c r="M1324" s="27" t="s">
        <v>19257</v>
      </c>
    </row>
    <row r="1325" spans="1:13" s="27" customFormat="1" ht="17.25" customHeight="1" x14ac:dyDescent="0.25">
      <c r="A1325" s="28" t="s">
        <v>9</v>
      </c>
      <c r="B1325" s="28">
        <v>71491388</v>
      </c>
      <c r="C1325" s="28" t="s">
        <v>25410</v>
      </c>
      <c r="D1325" s="28" t="s">
        <v>24980</v>
      </c>
      <c r="E1325" s="28" t="s">
        <v>26177</v>
      </c>
      <c r="F1325" s="28" t="s">
        <v>25103</v>
      </c>
      <c r="G1325" s="28" t="s">
        <v>19229</v>
      </c>
      <c r="H1325" s="28" t="s">
        <v>19238</v>
      </c>
      <c r="I1325" s="30">
        <v>45581</v>
      </c>
      <c r="J1325" s="30">
        <v>45589</v>
      </c>
      <c r="K1325" s="53">
        <v>8</v>
      </c>
      <c r="L1325" s="29"/>
      <c r="M1325" s="27" t="s">
        <v>19257</v>
      </c>
    </row>
    <row r="1326" spans="1:13" s="27" customFormat="1" ht="17.25" customHeight="1" x14ac:dyDescent="0.25">
      <c r="A1326" s="28" t="s">
        <v>9</v>
      </c>
      <c r="B1326" s="28">
        <v>1047371882</v>
      </c>
      <c r="C1326" s="28" t="s">
        <v>6</v>
      </c>
      <c r="D1326" s="28" t="s">
        <v>25325</v>
      </c>
      <c r="E1326" s="28" t="s">
        <v>25059</v>
      </c>
      <c r="F1326" s="28" t="s">
        <v>25135</v>
      </c>
      <c r="G1326" s="28" t="s">
        <v>19229</v>
      </c>
      <c r="H1326" s="28" t="s">
        <v>19239</v>
      </c>
      <c r="I1326" s="30">
        <v>45581</v>
      </c>
      <c r="J1326" s="30">
        <v>45583</v>
      </c>
      <c r="K1326" s="53">
        <v>3</v>
      </c>
      <c r="L1326" s="29">
        <v>10</v>
      </c>
      <c r="M1326" s="27" t="s">
        <v>25036</v>
      </c>
    </row>
    <row r="1327" spans="1:13" s="27" customFormat="1" ht="17.25" customHeight="1" x14ac:dyDescent="0.25">
      <c r="A1327" s="28" t="s">
        <v>9</v>
      </c>
      <c r="B1327" s="28">
        <v>1100081071</v>
      </c>
      <c r="C1327" s="28" t="s">
        <v>25094</v>
      </c>
      <c r="D1327" s="28" t="s">
        <v>25553</v>
      </c>
      <c r="E1327" s="28" t="s">
        <v>19278</v>
      </c>
      <c r="F1327" s="28" t="s">
        <v>25019</v>
      </c>
      <c r="G1327" s="28" t="s">
        <v>19229</v>
      </c>
      <c r="H1327" s="28" t="s">
        <v>19239</v>
      </c>
      <c r="I1327" s="30">
        <v>45581</v>
      </c>
      <c r="J1327" s="30">
        <v>45581</v>
      </c>
      <c r="K1327" s="53">
        <v>1</v>
      </c>
      <c r="L1327" s="29">
        <v>6</v>
      </c>
      <c r="M1327" s="27" t="s">
        <v>25036</v>
      </c>
    </row>
    <row r="1328" spans="1:13" s="27" customFormat="1" ht="17.25" customHeight="1" x14ac:dyDescent="0.25">
      <c r="A1328" s="28" t="s">
        <v>9</v>
      </c>
      <c r="B1328" s="28">
        <v>3378565</v>
      </c>
      <c r="C1328" s="28" t="s">
        <v>25202</v>
      </c>
      <c r="D1328" s="28" t="s">
        <v>26356</v>
      </c>
      <c r="E1328" s="28" t="s">
        <v>25050</v>
      </c>
      <c r="F1328" s="28" t="s">
        <v>26357</v>
      </c>
      <c r="G1328" s="28" t="s">
        <v>19229</v>
      </c>
      <c r="H1328" s="28" t="s">
        <v>19238</v>
      </c>
      <c r="I1328" s="30">
        <v>45582</v>
      </c>
      <c r="J1328" s="30">
        <v>45596</v>
      </c>
      <c r="K1328" s="53">
        <v>15</v>
      </c>
      <c r="L1328" s="29"/>
      <c r="M1328" s="27" t="s">
        <v>19257</v>
      </c>
    </row>
    <row r="1329" spans="1:13" s="27" customFormat="1" ht="17.25" customHeight="1" x14ac:dyDescent="0.25">
      <c r="A1329" s="28" t="s">
        <v>9</v>
      </c>
      <c r="B1329" s="28">
        <v>1038112223</v>
      </c>
      <c r="C1329" s="28" t="s">
        <v>26269</v>
      </c>
      <c r="D1329" s="28" t="s">
        <v>25108</v>
      </c>
      <c r="E1329" s="28" t="s">
        <v>25019</v>
      </c>
      <c r="F1329" s="28" t="s">
        <v>25010</v>
      </c>
      <c r="G1329" s="28" t="s">
        <v>19229</v>
      </c>
      <c r="H1329" s="28" t="s">
        <v>19239</v>
      </c>
      <c r="I1329" s="30">
        <v>45582</v>
      </c>
      <c r="J1329" s="30">
        <v>45586</v>
      </c>
      <c r="K1329" s="53">
        <v>5</v>
      </c>
      <c r="L1329" s="29">
        <v>1</v>
      </c>
      <c r="M1329" s="27" t="s">
        <v>25036</v>
      </c>
    </row>
    <row r="1330" spans="1:13" s="27" customFormat="1" ht="17.25" customHeight="1" x14ac:dyDescent="0.25">
      <c r="A1330" s="28" t="s">
        <v>9</v>
      </c>
      <c r="B1330" s="28">
        <v>70162686</v>
      </c>
      <c r="C1330" s="28" t="s">
        <v>25093</v>
      </c>
      <c r="D1330" s="28" t="s">
        <v>25229</v>
      </c>
      <c r="E1330" s="28" t="s">
        <v>26131</v>
      </c>
      <c r="F1330" s="28" t="s">
        <v>25135</v>
      </c>
      <c r="G1330" s="28" t="s">
        <v>19229</v>
      </c>
      <c r="H1330" s="28" t="s">
        <v>19240</v>
      </c>
      <c r="I1330" s="30">
        <v>45583</v>
      </c>
      <c r="J1330" s="30">
        <v>45583</v>
      </c>
      <c r="K1330" s="53">
        <v>1</v>
      </c>
      <c r="L1330" s="29"/>
      <c r="M1330" s="27" t="s">
        <v>24991</v>
      </c>
    </row>
    <row r="1331" spans="1:13" s="27" customFormat="1" ht="17.25" customHeight="1" x14ac:dyDescent="0.25">
      <c r="A1331" s="28" t="s">
        <v>9</v>
      </c>
      <c r="B1331" s="28">
        <v>71003607</v>
      </c>
      <c r="C1331" s="28" t="s">
        <v>25287</v>
      </c>
      <c r="D1331" s="28" t="s">
        <v>25233</v>
      </c>
      <c r="E1331" s="28" t="s">
        <v>25938</v>
      </c>
      <c r="F1331" s="28" t="s">
        <v>25103</v>
      </c>
      <c r="G1331" s="28" t="s">
        <v>19229</v>
      </c>
      <c r="H1331" s="28" t="s">
        <v>19238</v>
      </c>
      <c r="I1331" s="30">
        <v>45583</v>
      </c>
      <c r="J1331" s="30">
        <v>45566</v>
      </c>
      <c r="K1331" s="53">
        <v>15</v>
      </c>
      <c r="L1331" s="29"/>
      <c r="M1331" s="27" t="s">
        <v>19257</v>
      </c>
    </row>
    <row r="1332" spans="1:13" s="27" customFormat="1" ht="17.25" customHeight="1" x14ac:dyDescent="0.25">
      <c r="A1332" s="28" t="s">
        <v>9</v>
      </c>
      <c r="B1332" s="28">
        <v>98481612</v>
      </c>
      <c r="C1332" s="28" t="s">
        <v>25818</v>
      </c>
      <c r="D1332" s="28" t="s">
        <v>25109</v>
      </c>
      <c r="E1332" s="28" t="s">
        <v>25819</v>
      </c>
      <c r="F1332" s="28" t="s">
        <v>25103</v>
      </c>
      <c r="G1332" s="28" t="s">
        <v>19229</v>
      </c>
      <c r="H1332" s="28" t="s">
        <v>19240</v>
      </c>
      <c r="I1332" s="30">
        <v>45584</v>
      </c>
      <c r="J1332" s="30">
        <v>45584</v>
      </c>
      <c r="K1332" s="53">
        <v>1</v>
      </c>
      <c r="L1332" s="29"/>
      <c r="M1332" s="27" t="s">
        <v>24991</v>
      </c>
    </row>
    <row r="1333" spans="1:13" s="27" customFormat="1" ht="17.25" customHeight="1" x14ac:dyDescent="0.25">
      <c r="A1333" s="28" t="s">
        <v>9</v>
      </c>
      <c r="B1333" s="28">
        <v>98593652</v>
      </c>
      <c r="C1333" s="28" t="s">
        <v>25108</v>
      </c>
      <c r="D1333" s="28" t="s">
        <v>25254</v>
      </c>
      <c r="E1333" s="28" t="s">
        <v>25183</v>
      </c>
      <c r="F1333" s="28" t="s">
        <v>25028</v>
      </c>
      <c r="G1333" s="28" t="s">
        <v>19229</v>
      </c>
      <c r="H1333" s="28" t="s">
        <v>19238</v>
      </c>
      <c r="I1333" s="30">
        <v>45586</v>
      </c>
      <c r="J1333" s="30">
        <v>45601</v>
      </c>
      <c r="K1333" s="53">
        <v>15</v>
      </c>
      <c r="L1333" s="29"/>
      <c r="M1333" s="27" t="s">
        <v>19257</v>
      </c>
    </row>
    <row r="1334" spans="1:13" s="27" customFormat="1" ht="17.25" customHeight="1" x14ac:dyDescent="0.25">
      <c r="A1334" s="28" t="s">
        <v>9</v>
      </c>
      <c r="B1334" s="28">
        <v>1003141973</v>
      </c>
      <c r="C1334" s="28" t="s">
        <v>25913</v>
      </c>
      <c r="D1334" s="28" t="s">
        <v>25127</v>
      </c>
      <c r="E1334" s="28" t="s">
        <v>25914</v>
      </c>
      <c r="F1334" s="28" t="s">
        <v>25099</v>
      </c>
      <c r="G1334" s="28" t="s">
        <v>19229</v>
      </c>
      <c r="H1334" s="28" t="s">
        <v>19238</v>
      </c>
      <c r="I1334" s="30">
        <v>45586</v>
      </c>
      <c r="J1334" s="30">
        <v>45600</v>
      </c>
      <c r="K1334" s="53">
        <v>15</v>
      </c>
      <c r="L1334" s="29"/>
      <c r="M1334" s="27" t="s">
        <v>19257</v>
      </c>
    </row>
    <row r="1335" spans="1:13" s="27" customFormat="1" ht="17.25" customHeight="1" x14ac:dyDescent="0.25">
      <c r="A1335" s="28" t="s">
        <v>9</v>
      </c>
      <c r="B1335" s="28">
        <v>71742698</v>
      </c>
      <c r="C1335" s="28" t="s">
        <v>25403</v>
      </c>
      <c r="D1335" s="28" t="s">
        <v>24980</v>
      </c>
      <c r="E1335" s="28" t="s">
        <v>25040</v>
      </c>
      <c r="F1335" s="28" t="s">
        <v>25103</v>
      </c>
      <c r="G1335" s="28" t="s">
        <v>19229</v>
      </c>
      <c r="H1335" s="28" t="s">
        <v>19238</v>
      </c>
      <c r="I1335" s="30">
        <v>45586</v>
      </c>
      <c r="J1335" s="30">
        <v>45593</v>
      </c>
      <c r="K1335" s="53">
        <v>8</v>
      </c>
      <c r="L1335" s="29"/>
      <c r="M1335" s="27" t="s">
        <v>19257</v>
      </c>
    </row>
    <row r="1336" spans="1:13" s="27" customFormat="1" ht="17.25" customHeight="1" x14ac:dyDescent="0.25">
      <c r="A1336" s="28" t="s">
        <v>9</v>
      </c>
      <c r="B1336" s="28">
        <v>1035871508</v>
      </c>
      <c r="C1336" s="28" t="s">
        <v>25491</v>
      </c>
      <c r="D1336" s="28" t="s">
        <v>25105</v>
      </c>
      <c r="E1336" s="28" t="s">
        <v>26361</v>
      </c>
      <c r="F1336" s="28" t="s">
        <v>25842</v>
      </c>
      <c r="G1336" s="28" t="s">
        <v>19229</v>
      </c>
      <c r="H1336" s="28" t="s">
        <v>19239</v>
      </c>
      <c r="I1336" s="30">
        <v>45586</v>
      </c>
      <c r="J1336" s="30">
        <v>45590</v>
      </c>
      <c r="K1336" s="53">
        <v>5</v>
      </c>
      <c r="L1336" s="29">
        <v>1</v>
      </c>
      <c r="M1336" s="27" t="s">
        <v>25036</v>
      </c>
    </row>
    <row r="1337" spans="1:13" s="27" customFormat="1" ht="17.25" customHeight="1" x14ac:dyDescent="0.25">
      <c r="A1337" s="28" t="s">
        <v>9</v>
      </c>
      <c r="B1337" s="28">
        <v>3556779</v>
      </c>
      <c r="C1337" s="28" t="s">
        <v>25008</v>
      </c>
      <c r="D1337" s="28" t="s">
        <v>24992</v>
      </c>
      <c r="E1337" s="28" t="s">
        <v>25009</v>
      </c>
      <c r="F1337" s="28" t="s">
        <v>25010</v>
      </c>
      <c r="G1337" s="28" t="s">
        <v>19229</v>
      </c>
      <c r="H1337" s="28" t="s">
        <v>19239</v>
      </c>
      <c r="I1337" s="30">
        <v>45588</v>
      </c>
      <c r="J1337" s="30">
        <v>45594</v>
      </c>
      <c r="K1337" s="53">
        <v>7</v>
      </c>
      <c r="L1337" s="29">
        <v>19</v>
      </c>
      <c r="M1337" s="27" t="s">
        <v>25036</v>
      </c>
    </row>
    <row r="1338" spans="1:13" s="27" customFormat="1" ht="17.25" customHeight="1" x14ac:dyDescent="0.25">
      <c r="A1338" s="28" t="s">
        <v>9</v>
      </c>
      <c r="B1338" s="28">
        <v>1000634073</v>
      </c>
      <c r="C1338" s="28" t="s">
        <v>25921</v>
      </c>
      <c r="D1338" s="28" t="s">
        <v>25002</v>
      </c>
      <c r="E1338" s="28" t="s">
        <v>19256</v>
      </c>
      <c r="F1338" s="28" t="s">
        <v>25110</v>
      </c>
      <c r="G1338" s="28" t="s">
        <v>19229</v>
      </c>
      <c r="H1338" s="28" t="s">
        <v>19238</v>
      </c>
      <c r="I1338" s="30">
        <v>45589</v>
      </c>
      <c r="J1338" s="30">
        <v>45596</v>
      </c>
      <c r="K1338" s="53">
        <v>8</v>
      </c>
      <c r="L1338" s="29"/>
      <c r="M1338" s="27" t="s">
        <v>19257</v>
      </c>
    </row>
    <row r="1339" spans="1:13" s="27" customFormat="1" ht="17.25" customHeight="1" x14ac:dyDescent="0.25">
      <c r="A1339" s="28" t="s">
        <v>9</v>
      </c>
      <c r="B1339" s="28">
        <v>1037583233</v>
      </c>
      <c r="C1339" s="28" t="s">
        <v>24985</v>
      </c>
      <c r="D1339" s="28" t="s">
        <v>25105</v>
      </c>
      <c r="E1339" s="28" t="s">
        <v>25116</v>
      </c>
      <c r="F1339" s="28" t="s">
        <v>25010</v>
      </c>
      <c r="G1339" s="28" t="s">
        <v>25328</v>
      </c>
      <c r="H1339" s="28" t="s">
        <v>19239</v>
      </c>
      <c r="I1339" s="30">
        <v>45589</v>
      </c>
      <c r="J1339" s="30">
        <v>45593</v>
      </c>
      <c r="K1339" s="53">
        <v>5</v>
      </c>
      <c r="L1339" s="29">
        <v>22</v>
      </c>
      <c r="M1339" s="27" t="s">
        <v>25036</v>
      </c>
    </row>
    <row r="1340" spans="1:13" s="27" customFormat="1" ht="17.25" customHeight="1" x14ac:dyDescent="0.25">
      <c r="A1340" s="28" t="s">
        <v>9</v>
      </c>
      <c r="B1340" s="28">
        <v>71491388</v>
      </c>
      <c r="C1340" s="28" t="s">
        <v>25410</v>
      </c>
      <c r="D1340" s="28" t="s">
        <v>24980</v>
      </c>
      <c r="E1340" s="28" t="s">
        <v>26177</v>
      </c>
      <c r="F1340" s="28" t="s">
        <v>25103</v>
      </c>
      <c r="G1340" s="28" t="s">
        <v>19229</v>
      </c>
      <c r="H1340" s="28" t="s">
        <v>19238</v>
      </c>
      <c r="I1340" s="30">
        <v>45590</v>
      </c>
      <c r="J1340" s="30">
        <v>45598</v>
      </c>
      <c r="K1340" s="53">
        <v>8</v>
      </c>
      <c r="L1340" s="29"/>
      <c r="M1340" s="27" t="s">
        <v>19257</v>
      </c>
    </row>
    <row r="1341" spans="1:13" s="27" customFormat="1" ht="17.25" customHeight="1" x14ac:dyDescent="0.25">
      <c r="A1341" s="28" t="s">
        <v>9</v>
      </c>
      <c r="B1341" s="28">
        <v>1103674542</v>
      </c>
      <c r="C1341" s="28" t="s">
        <v>25117</v>
      </c>
      <c r="D1341" s="28" t="s">
        <v>26362</v>
      </c>
      <c r="E1341" s="28" t="s">
        <v>26363</v>
      </c>
      <c r="F1341" s="28" t="s">
        <v>25096</v>
      </c>
      <c r="G1341" s="28" t="s">
        <v>19229</v>
      </c>
      <c r="H1341" s="28" t="s">
        <v>19239</v>
      </c>
      <c r="I1341" s="30">
        <v>45593</v>
      </c>
      <c r="J1341" s="30">
        <v>45599</v>
      </c>
      <c r="K1341" s="53">
        <v>7</v>
      </c>
      <c r="L1341" s="29">
        <v>19</v>
      </c>
      <c r="M1341" s="27" t="s">
        <v>25036</v>
      </c>
    </row>
    <row r="1342" spans="1:13" s="27" customFormat="1" ht="17.25" customHeight="1" x14ac:dyDescent="0.25">
      <c r="A1342" s="28" t="s">
        <v>9</v>
      </c>
      <c r="B1342" s="28">
        <v>71771838</v>
      </c>
      <c r="C1342" s="28" t="s">
        <v>26088</v>
      </c>
      <c r="D1342" s="28" t="s">
        <v>25379</v>
      </c>
      <c r="E1342" s="28" t="s">
        <v>25603</v>
      </c>
      <c r="F1342" s="28"/>
      <c r="G1342" s="28" t="s">
        <v>19229</v>
      </c>
      <c r="H1342" s="28" t="s">
        <v>19239</v>
      </c>
      <c r="I1342" s="30">
        <v>45593</v>
      </c>
      <c r="J1342" s="30">
        <v>45597</v>
      </c>
      <c r="K1342" s="53">
        <v>5</v>
      </c>
      <c r="L1342" s="29">
        <v>22</v>
      </c>
      <c r="M1342" s="27" t="s">
        <v>25036</v>
      </c>
    </row>
    <row r="1343" spans="1:13" s="27" customFormat="1" ht="17.25" customHeight="1" x14ac:dyDescent="0.25">
      <c r="A1343" s="28" t="s">
        <v>9</v>
      </c>
      <c r="B1343" s="28">
        <v>1148944828</v>
      </c>
      <c r="C1343" s="28" t="s">
        <v>26364</v>
      </c>
      <c r="D1343" s="28" t="s">
        <v>25670</v>
      </c>
      <c r="E1343" s="28" t="s">
        <v>26365</v>
      </c>
      <c r="F1343" s="28"/>
      <c r="G1343" s="28" t="s">
        <v>19229</v>
      </c>
      <c r="H1343" s="28" t="s">
        <v>19239</v>
      </c>
      <c r="I1343" s="30">
        <v>45593</v>
      </c>
      <c r="J1343" s="30">
        <v>45595</v>
      </c>
      <c r="K1343" s="53">
        <v>3</v>
      </c>
      <c r="L1343" s="29">
        <v>10</v>
      </c>
      <c r="M1343" s="27" t="s">
        <v>25036</v>
      </c>
    </row>
    <row r="1344" spans="1:13" s="27" customFormat="1" ht="17.25" customHeight="1" x14ac:dyDescent="0.25">
      <c r="A1344" s="28" t="s">
        <v>9</v>
      </c>
      <c r="B1344" s="28">
        <v>71742698</v>
      </c>
      <c r="C1344" s="28" t="s">
        <v>25403</v>
      </c>
      <c r="D1344" s="28" t="s">
        <v>24980</v>
      </c>
      <c r="E1344" s="28" t="s">
        <v>25040</v>
      </c>
      <c r="F1344" s="28" t="s">
        <v>25103</v>
      </c>
      <c r="G1344" s="28" t="s">
        <v>19229</v>
      </c>
      <c r="H1344" s="28" t="s">
        <v>19238</v>
      </c>
      <c r="I1344" s="30">
        <v>45594</v>
      </c>
      <c r="J1344" s="30">
        <v>45601</v>
      </c>
      <c r="K1344" s="53">
        <v>8</v>
      </c>
      <c r="L1344" s="29"/>
      <c r="M1344" s="27" t="s">
        <v>19257</v>
      </c>
    </row>
    <row r="1345" spans="1:17" s="27" customFormat="1" ht="17.25" customHeight="1" x14ac:dyDescent="0.25">
      <c r="A1345" s="28" t="s">
        <v>9</v>
      </c>
      <c r="B1345" s="28">
        <v>1003591262</v>
      </c>
      <c r="C1345" s="28" t="s">
        <v>26366</v>
      </c>
      <c r="D1345" s="28" t="s">
        <v>26367</v>
      </c>
      <c r="E1345" s="28" t="s">
        <v>26368</v>
      </c>
      <c r="F1345" s="28" t="s">
        <v>25188</v>
      </c>
      <c r="G1345" s="28" t="s">
        <v>19229</v>
      </c>
      <c r="H1345" s="28" t="s">
        <v>19239</v>
      </c>
      <c r="I1345" s="30">
        <v>45594</v>
      </c>
      <c r="J1345" s="30">
        <v>45567</v>
      </c>
      <c r="K1345" s="53">
        <v>5</v>
      </c>
      <c r="L1345" s="29">
        <v>22</v>
      </c>
      <c r="M1345" s="27" t="s">
        <v>25036</v>
      </c>
    </row>
    <row r="1346" spans="1:17" s="27" customFormat="1" ht="17.25" customHeight="1" x14ac:dyDescent="0.25">
      <c r="A1346" s="28" t="s">
        <v>10</v>
      </c>
      <c r="B1346" s="28">
        <v>71491388</v>
      </c>
      <c r="C1346" s="28" t="s">
        <v>25410</v>
      </c>
      <c r="D1346" s="28" t="s">
        <v>24980</v>
      </c>
      <c r="E1346" s="28" t="s">
        <v>26177</v>
      </c>
      <c r="F1346" s="28" t="s">
        <v>25103</v>
      </c>
      <c r="G1346" s="28" t="s">
        <v>19229</v>
      </c>
      <c r="H1346" s="28" t="s">
        <v>19238</v>
      </c>
      <c r="I1346" s="30">
        <v>45599</v>
      </c>
      <c r="J1346" s="30">
        <v>45607</v>
      </c>
      <c r="K1346" s="53">
        <v>8</v>
      </c>
      <c r="L1346" s="29"/>
      <c r="M1346" s="27" t="s">
        <v>19257</v>
      </c>
    </row>
    <row r="1347" spans="1:17" s="27" customFormat="1" ht="17.25" customHeight="1" x14ac:dyDescent="0.25">
      <c r="A1347" s="28" t="s">
        <v>10</v>
      </c>
      <c r="B1347" s="28">
        <v>1017146843</v>
      </c>
      <c r="C1347" s="28" t="s">
        <v>25105</v>
      </c>
      <c r="D1347" s="28" t="s">
        <v>25127</v>
      </c>
      <c r="E1347" s="28" t="s">
        <v>25177</v>
      </c>
      <c r="F1347" s="28" t="s">
        <v>25413</v>
      </c>
      <c r="G1347" s="28" t="s">
        <v>19229</v>
      </c>
      <c r="H1347" s="28" t="s">
        <v>19239</v>
      </c>
      <c r="I1347" s="30">
        <v>45603</v>
      </c>
      <c r="J1347" s="30">
        <v>45605</v>
      </c>
      <c r="K1347" s="53">
        <v>3</v>
      </c>
      <c r="L1347" s="29">
        <v>10</v>
      </c>
      <c r="M1347" s="27" t="s">
        <v>25036</v>
      </c>
    </row>
    <row r="1348" spans="1:17" s="27" customFormat="1" ht="17.25" customHeight="1" x14ac:dyDescent="0.25">
      <c r="A1348" s="28" t="s">
        <v>10</v>
      </c>
      <c r="B1348" s="28">
        <v>1152198374</v>
      </c>
      <c r="C1348" s="28" t="s">
        <v>25257</v>
      </c>
      <c r="D1348" s="28" t="s">
        <v>26113</v>
      </c>
      <c r="E1348" s="28" t="s">
        <v>26114</v>
      </c>
      <c r="F1348" s="28"/>
      <c r="G1348" s="28" t="s">
        <v>19229</v>
      </c>
      <c r="H1348" s="28" t="s">
        <v>19239</v>
      </c>
      <c r="I1348" s="30">
        <v>45608</v>
      </c>
      <c r="J1348" s="30">
        <v>45610</v>
      </c>
      <c r="K1348" s="53">
        <v>3</v>
      </c>
      <c r="L1348" s="29">
        <v>4</v>
      </c>
      <c r="M1348" s="27" t="s">
        <v>25067</v>
      </c>
    </row>
    <row r="1349" spans="1:17" s="27" customFormat="1" ht="17.25" customHeight="1" x14ac:dyDescent="0.25">
      <c r="A1349" s="28" t="s">
        <v>10</v>
      </c>
      <c r="B1349" s="28">
        <v>1003193448</v>
      </c>
      <c r="C1349" s="28" t="s">
        <v>26335</v>
      </c>
      <c r="D1349" s="28" t="s">
        <v>25521</v>
      </c>
      <c r="E1349" s="28" t="s">
        <v>26254</v>
      </c>
      <c r="F1349" s="28" t="s">
        <v>25099</v>
      </c>
      <c r="G1349" s="28" t="s">
        <v>19229</v>
      </c>
      <c r="H1349" s="28" t="s">
        <v>19239</v>
      </c>
      <c r="I1349" s="30">
        <v>45609</v>
      </c>
      <c r="J1349" s="30">
        <v>45613</v>
      </c>
      <c r="K1349" s="53">
        <v>5</v>
      </c>
      <c r="L1349" s="29">
        <v>1</v>
      </c>
      <c r="M1349" s="27" t="s">
        <v>25036</v>
      </c>
    </row>
    <row r="1350" spans="1:17" s="27" customFormat="1" ht="17.25" customHeight="1" x14ac:dyDescent="0.25">
      <c r="A1350" s="28" t="s">
        <v>10</v>
      </c>
      <c r="B1350" s="28">
        <v>1001016772</v>
      </c>
      <c r="C1350" s="28" t="s">
        <v>25364</v>
      </c>
      <c r="D1350" s="28" t="s">
        <v>25159</v>
      </c>
      <c r="E1350" s="28" t="s">
        <v>25842</v>
      </c>
      <c r="F1350" s="28" t="s">
        <v>25755</v>
      </c>
      <c r="G1350" s="28" t="s">
        <v>19229</v>
      </c>
      <c r="H1350" s="28" t="s">
        <v>19239</v>
      </c>
      <c r="I1350" s="30">
        <v>45614</v>
      </c>
      <c r="J1350" s="30">
        <v>45616</v>
      </c>
      <c r="K1350" s="53">
        <v>3</v>
      </c>
      <c r="L1350" s="29">
        <v>20</v>
      </c>
      <c r="M1350" s="27" t="s">
        <v>25067</v>
      </c>
    </row>
    <row r="1351" spans="1:17" s="27" customFormat="1" ht="17.25" customHeight="1" x14ac:dyDescent="0.25">
      <c r="A1351" s="28" t="s">
        <v>10</v>
      </c>
      <c r="B1351" s="28">
        <v>1146442150</v>
      </c>
      <c r="C1351" s="28" t="s">
        <v>25790</v>
      </c>
      <c r="D1351" s="28" t="s">
        <v>25498</v>
      </c>
      <c r="E1351" s="28" t="s">
        <v>25255</v>
      </c>
      <c r="F1351" s="28" t="s">
        <v>26257</v>
      </c>
      <c r="G1351" s="28" t="s">
        <v>19229</v>
      </c>
      <c r="H1351" s="28" t="s">
        <v>19239</v>
      </c>
      <c r="I1351" s="30">
        <v>45614</v>
      </c>
      <c r="J1351" s="30">
        <v>45618</v>
      </c>
      <c r="K1351" s="53">
        <v>5</v>
      </c>
      <c r="L1351" s="29">
        <v>22</v>
      </c>
      <c r="M1351" s="27" t="s">
        <v>25036</v>
      </c>
    </row>
    <row r="1352" spans="1:17" s="27" customFormat="1" ht="17.25" customHeight="1" x14ac:dyDescent="0.25">
      <c r="A1352" s="28" t="s">
        <v>10</v>
      </c>
      <c r="B1352" s="28">
        <v>1146442150</v>
      </c>
      <c r="C1352" s="28" t="s">
        <v>25790</v>
      </c>
      <c r="D1352" s="28" t="s">
        <v>25498</v>
      </c>
      <c r="E1352" s="28" t="s">
        <v>25255</v>
      </c>
      <c r="F1352" s="28" t="s">
        <v>26257</v>
      </c>
      <c r="G1352" s="28" t="s">
        <v>19229</v>
      </c>
      <c r="H1352" s="28" t="s">
        <v>19239</v>
      </c>
      <c r="I1352" s="30">
        <v>45623</v>
      </c>
      <c r="J1352" s="30">
        <v>45623</v>
      </c>
      <c r="K1352" s="53">
        <v>1</v>
      </c>
      <c r="L1352" s="29">
        <v>4</v>
      </c>
      <c r="M1352" s="27" t="s">
        <v>25036</v>
      </c>
    </row>
    <row r="1353" spans="1:17" s="55" customFormat="1" ht="17.25" customHeight="1" x14ac:dyDescent="0.25">
      <c r="A1353" s="28" t="s">
        <v>10</v>
      </c>
      <c r="B1353" s="28">
        <v>8462739</v>
      </c>
      <c r="C1353" s="28" t="s">
        <v>25415</v>
      </c>
      <c r="D1353" s="28"/>
      <c r="E1353" s="28" t="s">
        <v>25130</v>
      </c>
      <c r="F1353" s="28" t="s">
        <v>25592</v>
      </c>
      <c r="G1353" s="28" t="s">
        <v>19229</v>
      </c>
      <c r="H1353" s="28" t="s">
        <v>19240</v>
      </c>
      <c r="I1353" s="30">
        <v>45623</v>
      </c>
      <c r="J1353" s="30">
        <v>45627</v>
      </c>
      <c r="K1353" s="53">
        <v>5</v>
      </c>
      <c r="L1353" s="29"/>
      <c r="M1353" s="27" t="s">
        <v>26223</v>
      </c>
      <c r="N1353" s="27"/>
      <c r="O1353" s="27"/>
      <c r="P1353" s="27"/>
      <c r="Q1353" s="27"/>
    </row>
    <row r="1354" spans="1:17" s="27" customFormat="1" ht="17.25" customHeight="1" x14ac:dyDescent="0.25">
      <c r="A1354" s="28" t="s">
        <v>11</v>
      </c>
      <c r="B1354" s="28">
        <v>1007448597</v>
      </c>
      <c r="C1354" s="28" t="s">
        <v>24980</v>
      </c>
      <c r="D1354" s="28" t="s">
        <v>25523</v>
      </c>
      <c r="E1354" s="28" t="s">
        <v>26372</v>
      </c>
      <c r="F1354" s="28"/>
      <c r="G1354" s="28" t="s">
        <v>19229</v>
      </c>
      <c r="H1354" s="28" t="s">
        <v>19239</v>
      </c>
      <c r="I1354" s="30">
        <v>45629</v>
      </c>
      <c r="J1354" s="30">
        <v>45630</v>
      </c>
      <c r="K1354" s="53">
        <v>2</v>
      </c>
      <c r="L1354" s="29">
        <v>2</v>
      </c>
      <c r="M1354" s="27" t="s">
        <v>25036</v>
      </c>
    </row>
    <row r="1355" spans="1:17" s="27" customFormat="1" ht="17.25" customHeight="1" x14ac:dyDescent="0.25">
      <c r="A1355" s="28" t="s">
        <v>11</v>
      </c>
      <c r="B1355" s="28">
        <v>70434070</v>
      </c>
      <c r="C1355" s="28" t="s">
        <v>25472</v>
      </c>
      <c r="D1355" s="28" t="s">
        <v>25588</v>
      </c>
      <c r="E1355" s="28" t="s">
        <v>26239</v>
      </c>
      <c r="F1355" s="28" t="s">
        <v>25193</v>
      </c>
      <c r="G1355" s="28" t="s">
        <v>19229</v>
      </c>
      <c r="H1355" s="28" t="s">
        <v>19239</v>
      </c>
      <c r="I1355" s="30">
        <v>45630</v>
      </c>
      <c r="J1355" s="30">
        <v>45632</v>
      </c>
      <c r="K1355" s="53">
        <v>3</v>
      </c>
      <c r="L1355" s="29">
        <v>6</v>
      </c>
      <c r="M1355" s="27" t="s">
        <v>25067</v>
      </c>
    </row>
    <row r="1356" spans="1:17" s="27" customFormat="1" ht="17.25" customHeight="1" x14ac:dyDescent="0.25">
      <c r="A1356" s="28" t="s">
        <v>11</v>
      </c>
      <c r="B1356" s="28">
        <v>1040321290</v>
      </c>
      <c r="C1356" s="28" t="s">
        <v>25480</v>
      </c>
      <c r="D1356" s="28" t="s">
        <v>25480</v>
      </c>
      <c r="E1356" s="28" t="s">
        <v>25282</v>
      </c>
      <c r="F1356" s="28" t="s">
        <v>25028</v>
      </c>
      <c r="G1356" s="28" t="s">
        <v>19229</v>
      </c>
      <c r="H1356" s="28" t="s">
        <v>19239</v>
      </c>
      <c r="I1356" s="30">
        <v>45630</v>
      </c>
      <c r="J1356" s="30">
        <v>45634</v>
      </c>
      <c r="K1356" s="53">
        <v>5</v>
      </c>
      <c r="L1356" s="29">
        <v>22</v>
      </c>
      <c r="M1356" s="27" t="s">
        <v>25036</v>
      </c>
    </row>
    <row r="1357" spans="1:17" s="27" customFormat="1" ht="17.25" customHeight="1" x14ac:dyDescent="0.25">
      <c r="A1357" s="28" t="s">
        <v>11</v>
      </c>
      <c r="B1357" s="28">
        <v>1076816031</v>
      </c>
      <c r="C1357" s="28" t="s">
        <v>25330</v>
      </c>
      <c r="D1357" s="28" t="s">
        <v>26328</v>
      </c>
      <c r="E1357" s="28" t="s">
        <v>26373</v>
      </c>
      <c r="F1357" s="28" t="s">
        <v>26374</v>
      </c>
      <c r="G1357" s="28" t="s">
        <v>19229</v>
      </c>
      <c r="H1357" s="28" t="s">
        <v>19239</v>
      </c>
      <c r="I1357" s="30">
        <v>45630</v>
      </c>
      <c r="J1357" s="30">
        <v>45630</v>
      </c>
      <c r="K1357" s="53">
        <v>1</v>
      </c>
      <c r="L1357" s="29">
        <v>6</v>
      </c>
      <c r="M1357" s="27" t="s">
        <v>25036</v>
      </c>
    </row>
    <row r="1358" spans="1:17" s="27" customFormat="1" ht="17.25" customHeight="1" x14ac:dyDescent="0.25">
      <c r="A1358" s="28" t="s">
        <v>11</v>
      </c>
      <c r="B1358" s="28">
        <v>1000412911</v>
      </c>
      <c r="C1358" s="28" t="s">
        <v>25127</v>
      </c>
      <c r="D1358" s="28"/>
      <c r="E1358" s="28" t="s">
        <v>25627</v>
      </c>
      <c r="F1358" s="28" t="s">
        <v>25019</v>
      </c>
      <c r="G1358" s="28" t="s">
        <v>19229</v>
      </c>
      <c r="H1358" s="28" t="s">
        <v>19239</v>
      </c>
      <c r="I1358" s="30">
        <v>45631</v>
      </c>
      <c r="J1358" s="30">
        <v>45635</v>
      </c>
      <c r="K1358" s="53">
        <v>5</v>
      </c>
      <c r="L1358" s="29">
        <v>1</v>
      </c>
      <c r="M1358" s="27" t="s">
        <v>25036</v>
      </c>
    </row>
    <row r="1359" spans="1:17" s="27" customFormat="1" ht="17.25" customHeight="1" x14ac:dyDescent="0.25">
      <c r="A1359" s="28" t="s">
        <v>11</v>
      </c>
      <c r="B1359" s="28">
        <v>1146442150</v>
      </c>
      <c r="C1359" s="28" t="s">
        <v>25790</v>
      </c>
      <c r="D1359" s="28" t="s">
        <v>25498</v>
      </c>
      <c r="E1359" s="28" t="s">
        <v>25255</v>
      </c>
      <c r="F1359" s="28" t="s">
        <v>26257</v>
      </c>
      <c r="G1359" s="28" t="s">
        <v>19229</v>
      </c>
      <c r="H1359" s="28" t="s">
        <v>19239</v>
      </c>
      <c r="I1359" s="30">
        <v>45636</v>
      </c>
      <c r="J1359" s="30">
        <v>45638</v>
      </c>
      <c r="K1359" s="53">
        <v>3</v>
      </c>
      <c r="L1359" s="29">
        <v>1</v>
      </c>
      <c r="M1359" s="27" t="s">
        <v>25036</v>
      </c>
    </row>
    <row r="1360" spans="1:17" s="27" customFormat="1" ht="17.25" customHeight="1" x14ac:dyDescent="0.25">
      <c r="A1360" s="28" t="s">
        <v>11</v>
      </c>
      <c r="B1360" s="28">
        <v>1037269145</v>
      </c>
      <c r="C1360" s="28" t="s">
        <v>25714</v>
      </c>
      <c r="D1360" s="28" t="s">
        <v>25432</v>
      </c>
      <c r="E1360" s="28" t="s">
        <v>26267</v>
      </c>
      <c r="F1360" s="28" t="s">
        <v>25033</v>
      </c>
      <c r="G1360" s="28" t="s">
        <v>19229</v>
      </c>
      <c r="H1360" s="28" t="s">
        <v>19239</v>
      </c>
      <c r="I1360" s="30">
        <v>45637</v>
      </c>
      <c r="J1360" s="30">
        <v>45637</v>
      </c>
      <c r="K1360" s="53">
        <v>1</v>
      </c>
      <c r="L1360" s="29">
        <v>6</v>
      </c>
      <c r="M1360" s="27" t="s">
        <v>25036</v>
      </c>
    </row>
    <row r="1361" spans="1:13" s="27" customFormat="1" ht="17.25" customHeight="1" x14ac:dyDescent="0.25">
      <c r="A1361" s="28" t="s">
        <v>11</v>
      </c>
      <c r="B1361" s="28">
        <v>70127902</v>
      </c>
      <c r="C1361" s="28" t="s">
        <v>25391</v>
      </c>
      <c r="D1361" s="28" t="s">
        <v>25400</v>
      </c>
      <c r="E1361" s="28" t="s">
        <v>25380</v>
      </c>
      <c r="F1361" s="28" t="s">
        <v>25162</v>
      </c>
      <c r="G1361" s="28" t="s">
        <v>19229</v>
      </c>
      <c r="H1361" s="28" t="s">
        <v>19239</v>
      </c>
      <c r="I1361" s="30">
        <v>45637</v>
      </c>
      <c r="J1361" s="30">
        <v>45637</v>
      </c>
      <c r="K1361" s="53">
        <v>1</v>
      </c>
      <c r="L1361" s="29">
        <v>6</v>
      </c>
      <c r="M1361" s="27" t="s">
        <v>25036</v>
      </c>
    </row>
    <row r="1362" spans="1:13" s="27" customFormat="1" ht="17.25" customHeight="1" x14ac:dyDescent="0.25">
      <c r="A1362" s="28" t="s">
        <v>11</v>
      </c>
      <c r="B1362" s="28">
        <v>1000567018</v>
      </c>
      <c r="C1362" s="28" t="s">
        <v>25454</v>
      </c>
      <c r="D1362" s="28" t="s">
        <v>25248</v>
      </c>
      <c r="E1362" s="28" t="s">
        <v>25092</v>
      </c>
      <c r="F1362" s="28"/>
      <c r="G1362" s="28" t="s">
        <v>19229</v>
      </c>
      <c r="H1362" s="28" t="s">
        <v>19240</v>
      </c>
      <c r="I1362" s="30">
        <v>45644</v>
      </c>
      <c r="J1362" s="30">
        <v>45645</v>
      </c>
      <c r="K1362" s="53">
        <v>2</v>
      </c>
      <c r="L1362" s="29"/>
      <c r="M1362" s="27" t="s">
        <v>24991</v>
      </c>
    </row>
    <row r="1363" spans="1:13" s="27" customFormat="1" ht="17.25" customHeight="1" x14ac:dyDescent="0.25">
      <c r="A1363" s="28" t="s">
        <v>11</v>
      </c>
      <c r="B1363" s="28">
        <v>1040321290</v>
      </c>
      <c r="C1363" s="28" t="s">
        <v>25079</v>
      </c>
      <c r="D1363" s="28" t="s">
        <v>25480</v>
      </c>
      <c r="E1363" s="28" t="s">
        <v>25282</v>
      </c>
      <c r="F1363" s="28" t="s">
        <v>25028</v>
      </c>
      <c r="G1363" s="28" t="s">
        <v>19229</v>
      </c>
      <c r="H1363" s="28" t="s">
        <v>19239</v>
      </c>
      <c r="I1363" s="30">
        <v>45645</v>
      </c>
      <c r="J1363" s="30">
        <v>45649</v>
      </c>
      <c r="K1363" s="53">
        <v>5</v>
      </c>
      <c r="L1363" s="29">
        <v>21</v>
      </c>
      <c r="M1363" s="27" t="s">
        <v>25036</v>
      </c>
    </row>
    <row r="1364" spans="1:13" s="27" customFormat="1" ht="17.25" customHeight="1" x14ac:dyDescent="0.25">
      <c r="A1364" s="28" t="s">
        <v>0</v>
      </c>
      <c r="B1364" s="28">
        <v>1062425279</v>
      </c>
      <c r="C1364" s="28" t="s">
        <v>26081</v>
      </c>
      <c r="D1364" s="28" t="s">
        <v>26082</v>
      </c>
      <c r="E1364" s="28" t="s">
        <v>26158</v>
      </c>
      <c r="F1364" s="28" t="s">
        <v>25308</v>
      </c>
      <c r="G1364" s="28" t="s">
        <v>19229</v>
      </c>
      <c r="H1364" s="28" t="s">
        <v>19239</v>
      </c>
      <c r="I1364" s="30">
        <v>45665</v>
      </c>
      <c r="J1364" s="30">
        <v>45669</v>
      </c>
      <c r="K1364" s="53">
        <v>5</v>
      </c>
      <c r="L1364" s="29">
        <v>1</v>
      </c>
      <c r="M1364" s="27" t="s">
        <v>25036</v>
      </c>
    </row>
    <row r="1365" spans="1:13" s="27" customFormat="1" ht="17.25" customHeight="1" x14ac:dyDescent="0.25">
      <c r="A1365" s="28" t="s">
        <v>0</v>
      </c>
      <c r="B1365" s="28">
        <v>3556779</v>
      </c>
      <c r="C1365" s="28" t="s">
        <v>25008</v>
      </c>
      <c r="D1365" s="28" t="s">
        <v>24992</v>
      </c>
      <c r="E1365" s="28" t="s">
        <v>26010</v>
      </c>
      <c r="F1365" s="28" t="s">
        <v>25089</v>
      </c>
      <c r="G1365" s="28" t="s">
        <v>19285</v>
      </c>
      <c r="H1365" s="28" t="s">
        <v>19239</v>
      </c>
      <c r="I1365" s="30">
        <v>45670</v>
      </c>
      <c r="J1365" s="30">
        <v>45674</v>
      </c>
      <c r="K1365" s="53">
        <v>5</v>
      </c>
      <c r="L1365" s="29">
        <v>1</v>
      </c>
      <c r="M1365" s="27" t="s">
        <v>25036</v>
      </c>
    </row>
    <row r="1366" spans="1:13" s="27" customFormat="1" ht="17.25" customHeight="1" x14ac:dyDescent="0.25">
      <c r="A1366" s="28" t="s">
        <v>0</v>
      </c>
      <c r="B1366" s="28">
        <v>1002034525</v>
      </c>
      <c r="C1366" s="28" t="s">
        <v>26384</v>
      </c>
      <c r="D1366" s="28" t="s">
        <v>25090</v>
      </c>
      <c r="E1366" s="28" t="s">
        <v>25211</v>
      </c>
      <c r="F1366" s="28" t="s">
        <v>25177</v>
      </c>
      <c r="G1366" s="28" t="s">
        <v>19285</v>
      </c>
      <c r="H1366" s="28" t="s">
        <v>19239</v>
      </c>
      <c r="I1366" s="30">
        <v>45670</v>
      </c>
      <c r="J1366" s="30">
        <v>45674</v>
      </c>
      <c r="K1366" s="53">
        <v>5</v>
      </c>
      <c r="L1366" s="29">
        <v>1</v>
      </c>
      <c r="M1366" s="27" t="s">
        <v>25036</v>
      </c>
    </row>
    <row r="1367" spans="1:13" s="27" customFormat="1" ht="17.25" customHeight="1" x14ac:dyDescent="0.25">
      <c r="A1367" s="28" t="s">
        <v>0</v>
      </c>
      <c r="B1367" s="28">
        <v>1069497681</v>
      </c>
      <c r="C1367" s="28" t="s">
        <v>25680</v>
      </c>
      <c r="D1367" s="28" t="s">
        <v>25681</v>
      </c>
      <c r="E1367" s="28" t="s">
        <v>25208</v>
      </c>
      <c r="F1367" s="28" t="s">
        <v>25091</v>
      </c>
      <c r="G1367" s="28" t="s">
        <v>19229</v>
      </c>
      <c r="H1367" s="28" t="s">
        <v>19239</v>
      </c>
      <c r="I1367" s="30">
        <v>45671</v>
      </c>
      <c r="J1367" s="30">
        <v>45675</v>
      </c>
      <c r="K1367" s="53">
        <v>5</v>
      </c>
      <c r="L1367" s="29">
        <v>1</v>
      </c>
      <c r="M1367" s="27" t="s">
        <v>25036</v>
      </c>
    </row>
    <row r="1368" spans="1:13" s="27" customFormat="1" ht="17.25" customHeight="1" x14ac:dyDescent="0.25">
      <c r="A1368" s="28" t="s">
        <v>0</v>
      </c>
      <c r="B1368" s="28">
        <v>15459459</v>
      </c>
      <c r="C1368" s="28" t="s">
        <v>25202</v>
      </c>
      <c r="D1368" s="28" t="s">
        <v>25015</v>
      </c>
      <c r="E1368" s="28" t="s">
        <v>25019</v>
      </c>
      <c r="F1368" s="28" t="s">
        <v>25051</v>
      </c>
      <c r="G1368" s="28" t="s">
        <v>19229</v>
      </c>
      <c r="H1368" s="28" t="s">
        <v>19239</v>
      </c>
      <c r="I1368" s="30">
        <v>45678</v>
      </c>
      <c r="J1368" s="30">
        <v>45682</v>
      </c>
      <c r="K1368" s="53">
        <v>5</v>
      </c>
      <c r="L1368" s="29">
        <v>1</v>
      </c>
      <c r="M1368" s="27" t="s">
        <v>25036</v>
      </c>
    </row>
    <row r="1369" spans="1:13" s="27" customFormat="1" ht="17.25" customHeight="1" x14ac:dyDescent="0.25">
      <c r="A1369" s="28" t="s">
        <v>0</v>
      </c>
      <c r="B1369" s="28">
        <v>10169639</v>
      </c>
      <c r="C1369" s="28" t="s">
        <v>26069</v>
      </c>
      <c r="D1369" s="28" t="s">
        <v>25053</v>
      </c>
      <c r="E1369" s="28" t="s">
        <v>26150</v>
      </c>
      <c r="F1369" s="28" t="s">
        <v>24986</v>
      </c>
      <c r="G1369" s="28" t="s">
        <v>19229</v>
      </c>
      <c r="H1369" s="28" t="s">
        <v>19239</v>
      </c>
      <c r="I1369" s="30">
        <v>45678</v>
      </c>
      <c r="J1369" s="30">
        <v>45682</v>
      </c>
      <c r="K1369" s="53">
        <v>5</v>
      </c>
      <c r="L1369" s="29">
        <v>22</v>
      </c>
      <c r="M1369" s="27" t="s">
        <v>25036</v>
      </c>
    </row>
    <row r="1370" spans="1:13" s="27" customFormat="1" ht="17.25" customHeight="1" x14ac:dyDescent="0.25">
      <c r="A1370" s="28" t="s">
        <v>0</v>
      </c>
      <c r="B1370" s="28">
        <v>1062425279</v>
      </c>
      <c r="C1370" s="28" t="s">
        <v>26081</v>
      </c>
      <c r="D1370" s="28" t="s">
        <v>26082</v>
      </c>
      <c r="E1370" s="28" t="s">
        <v>26158</v>
      </c>
      <c r="F1370" s="28" t="s">
        <v>25308</v>
      </c>
      <c r="G1370" s="28" t="s">
        <v>19229</v>
      </c>
      <c r="H1370" s="28" t="s">
        <v>19239</v>
      </c>
      <c r="I1370" s="30">
        <v>45678</v>
      </c>
      <c r="J1370" s="30">
        <v>45680</v>
      </c>
      <c r="K1370" s="53">
        <v>3</v>
      </c>
      <c r="L1370" s="29">
        <v>10</v>
      </c>
      <c r="M1370" s="27" t="s">
        <v>25067</v>
      </c>
    </row>
    <row r="1371" spans="1:13" s="27" customFormat="1" ht="17.25" customHeight="1" x14ac:dyDescent="0.25">
      <c r="A1371" s="28" t="s">
        <v>0</v>
      </c>
      <c r="B1371" s="28">
        <v>1054552858</v>
      </c>
      <c r="C1371" s="28" t="s">
        <v>26344</v>
      </c>
      <c r="D1371" s="28" t="s">
        <v>26345</v>
      </c>
      <c r="E1371" s="28" t="s">
        <v>25455</v>
      </c>
      <c r="F1371" s="28" t="s">
        <v>25842</v>
      </c>
      <c r="G1371" s="28" t="s">
        <v>19229</v>
      </c>
      <c r="H1371" s="28" t="s">
        <v>19240</v>
      </c>
      <c r="I1371" s="30">
        <v>45678</v>
      </c>
      <c r="J1371" s="30">
        <v>45682</v>
      </c>
      <c r="K1371" s="53">
        <v>5</v>
      </c>
      <c r="L1371" s="29"/>
      <c r="M1371" s="27" t="s">
        <v>26106</v>
      </c>
    </row>
    <row r="1372" spans="1:13" s="27" customFormat="1" ht="17.25" customHeight="1" x14ac:dyDescent="0.25">
      <c r="A1372" s="28" t="s">
        <v>0</v>
      </c>
      <c r="B1372" s="28">
        <v>1214715085</v>
      </c>
      <c r="C1372" s="28" t="s">
        <v>25061</v>
      </c>
      <c r="D1372" s="28" t="s">
        <v>25015</v>
      </c>
      <c r="E1372" s="28" t="s">
        <v>6</v>
      </c>
      <c r="F1372" s="28" t="s">
        <v>25413</v>
      </c>
      <c r="G1372" s="28" t="s">
        <v>19229</v>
      </c>
      <c r="H1372" s="28" t="s">
        <v>19239</v>
      </c>
      <c r="I1372" s="30">
        <v>45679</v>
      </c>
      <c r="J1372" s="30">
        <v>45683</v>
      </c>
      <c r="K1372" s="53">
        <v>5</v>
      </c>
      <c r="L1372" s="29">
        <v>1</v>
      </c>
      <c r="M1372" s="27" t="s">
        <v>25036</v>
      </c>
    </row>
    <row r="1373" spans="1:13" s="27" customFormat="1" ht="17.25" customHeight="1" x14ac:dyDescent="0.25">
      <c r="A1373" s="28" t="s">
        <v>0</v>
      </c>
      <c r="B1373" s="28">
        <v>71681831</v>
      </c>
      <c r="C1373" s="28" t="s">
        <v>25410</v>
      </c>
      <c r="D1373" s="28"/>
      <c r="E1373" s="28" t="s">
        <v>25430</v>
      </c>
      <c r="F1373" s="28" t="s">
        <v>25919</v>
      </c>
      <c r="G1373" s="28" t="s">
        <v>19229</v>
      </c>
      <c r="H1373" s="28" t="s">
        <v>19239</v>
      </c>
      <c r="I1373" s="30">
        <v>45680</v>
      </c>
      <c r="J1373" s="30">
        <v>45680</v>
      </c>
      <c r="K1373" s="53">
        <v>1</v>
      </c>
      <c r="L1373" s="29">
        <v>4</v>
      </c>
      <c r="M1373" s="27" t="s">
        <v>25036</v>
      </c>
    </row>
    <row r="1374" spans="1:13" s="27" customFormat="1" ht="17.25" customHeight="1" x14ac:dyDescent="0.25">
      <c r="A1374" s="28" t="s">
        <v>0</v>
      </c>
      <c r="B1374" s="28">
        <v>71794185</v>
      </c>
      <c r="C1374" s="28" t="s">
        <v>25331</v>
      </c>
      <c r="D1374" s="28" t="s">
        <v>25356</v>
      </c>
      <c r="E1374" s="28" t="s">
        <v>25056</v>
      </c>
      <c r="F1374" s="28" t="s">
        <v>25110</v>
      </c>
      <c r="G1374" s="28" t="s">
        <v>19229</v>
      </c>
      <c r="H1374" s="28" t="s">
        <v>19239</v>
      </c>
      <c r="I1374" s="30">
        <v>45680</v>
      </c>
      <c r="J1374" s="30">
        <v>45684</v>
      </c>
      <c r="K1374" s="53">
        <v>5</v>
      </c>
      <c r="L1374" s="29">
        <v>1</v>
      </c>
      <c r="M1374" s="27" t="s">
        <v>25036</v>
      </c>
    </row>
    <row r="1375" spans="1:13" s="27" customFormat="1" ht="17.25" customHeight="1" x14ac:dyDescent="0.25">
      <c r="A1375" s="28" t="s">
        <v>0</v>
      </c>
      <c r="B1375" s="28">
        <v>1214715085</v>
      </c>
      <c r="C1375" s="28" t="s">
        <v>25061</v>
      </c>
      <c r="D1375" s="28" t="s">
        <v>25015</v>
      </c>
      <c r="E1375" s="28" t="s">
        <v>6</v>
      </c>
      <c r="F1375" s="28" t="s">
        <v>25413</v>
      </c>
      <c r="G1375" s="28" t="s">
        <v>19229</v>
      </c>
      <c r="H1375" s="28" t="s">
        <v>19239</v>
      </c>
      <c r="I1375" s="30">
        <v>45686</v>
      </c>
      <c r="J1375" s="30">
        <v>45688</v>
      </c>
      <c r="K1375" s="53">
        <v>3</v>
      </c>
      <c r="L1375" s="29">
        <v>4</v>
      </c>
      <c r="M1375" s="27" t="s">
        <v>25067</v>
      </c>
    </row>
    <row r="1376" spans="1:13" s="27" customFormat="1" ht="17.25" customHeight="1" x14ac:dyDescent="0.25">
      <c r="A1376" s="28" t="s">
        <v>1</v>
      </c>
      <c r="B1376" s="28">
        <v>1040046618</v>
      </c>
      <c r="C1376" s="28" t="s">
        <v>25930</v>
      </c>
      <c r="D1376" s="28" t="s">
        <v>25012</v>
      </c>
      <c r="E1376" s="28" t="s">
        <v>26388</v>
      </c>
      <c r="F1376" s="28" t="s">
        <v>25867</v>
      </c>
      <c r="G1376" s="28" t="s">
        <v>19229</v>
      </c>
      <c r="H1376" s="28" t="s">
        <v>19239</v>
      </c>
      <c r="I1376" s="30">
        <v>45692</v>
      </c>
      <c r="J1376" s="30">
        <v>45694</v>
      </c>
      <c r="K1376" s="53">
        <v>3</v>
      </c>
      <c r="L1376" s="29">
        <v>24</v>
      </c>
      <c r="M1376" s="27" t="s">
        <v>25036</v>
      </c>
    </row>
    <row r="1377" spans="1:13" s="27" customFormat="1" ht="17.25" customHeight="1" x14ac:dyDescent="0.25">
      <c r="A1377" s="28" t="s">
        <v>1</v>
      </c>
      <c r="B1377" s="28">
        <v>1000394285</v>
      </c>
      <c r="C1377" s="28" t="s">
        <v>26188</v>
      </c>
      <c r="D1377" s="28" t="s">
        <v>26399</v>
      </c>
      <c r="E1377" s="28" t="s">
        <v>25632</v>
      </c>
      <c r="F1377" s="28" t="s">
        <v>25177</v>
      </c>
      <c r="G1377" s="28" t="s">
        <v>19229</v>
      </c>
      <c r="H1377" s="28" t="s">
        <v>19240</v>
      </c>
      <c r="I1377" s="30">
        <v>45692</v>
      </c>
      <c r="J1377" s="30">
        <v>45696</v>
      </c>
      <c r="K1377" s="53">
        <v>5</v>
      </c>
      <c r="L1377" s="29"/>
      <c r="M1377" s="27" t="s">
        <v>26106</v>
      </c>
    </row>
    <row r="1378" spans="1:13" s="27" customFormat="1" ht="17.25" customHeight="1" x14ac:dyDescent="0.25">
      <c r="A1378" s="28" t="s">
        <v>1</v>
      </c>
      <c r="B1378" s="28">
        <v>7958346</v>
      </c>
      <c r="C1378" s="28" t="s">
        <v>26387</v>
      </c>
      <c r="D1378" s="28" t="s">
        <v>25252</v>
      </c>
      <c r="E1378" s="28" t="s">
        <v>25253</v>
      </c>
      <c r="F1378" s="28" t="s">
        <v>25213</v>
      </c>
      <c r="G1378" s="28" t="s">
        <v>19229</v>
      </c>
      <c r="H1378" s="28" t="s">
        <v>19239</v>
      </c>
      <c r="I1378" s="30">
        <v>45693</v>
      </c>
      <c r="J1378" s="30">
        <v>45693</v>
      </c>
      <c r="K1378" s="53">
        <v>1</v>
      </c>
      <c r="L1378" s="29">
        <v>4</v>
      </c>
      <c r="M1378" s="27" t="s">
        <v>25036</v>
      </c>
    </row>
    <row r="1379" spans="1:13" s="27" customFormat="1" ht="17.25" customHeight="1" x14ac:dyDescent="0.25">
      <c r="A1379" s="28" t="s">
        <v>1</v>
      </c>
      <c r="B1379" s="28">
        <v>8435129</v>
      </c>
      <c r="C1379" s="28" t="s">
        <v>25337</v>
      </c>
      <c r="D1379" s="28" t="s">
        <v>25338</v>
      </c>
      <c r="E1379" s="28" t="s">
        <v>19278</v>
      </c>
      <c r="F1379" s="28" t="s">
        <v>25032</v>
      </c>
      <c r="G1379" s="28" t="s">
        <v>19229</v>
      </c>
      <c r="H1379" s="28" t="s">
        <v>19239</v>
      </c>
      <c r="I1379" s="30">
        <v>45693</v>
      </c>
      <c r="J1379" s="30">
        <v>45697</v>
      </c>
      <c r="K1379" s="53">
        <v>5</v>
      </c>
      <c r="L1379" s="29">
        <v>6</v>
      </c>
      <c r="M1379" s="27" t="s">
        <v>25911</v>
      </c>
    </row>
    <row r="1380" spans="1:13" s="27" customFormat="1" ht="17.25" customHeight="1" x14ac:dyDescent="0.25">
      <c r="A1380" s="28" t="s">
        <v>1</v>
      </c>
      <c r="B1380" s="28">
        <v>1020435559</v>
      </c>
      <c r="C1380" s="28" t="s">
        <v>25086</v>
      </c>
      <c r="D1380" s="28" t="s">
        <v>24980</v>
      </c>
      <c r="E1380" s="28" t="s">
        <v>25556</v>
      </c>
      <c r="F1380" s="28" t="s">
        <v>25020</v>
      </c>
      <c r="G1380" s="28" t="s">
        <v>19229</v>
      </c>
      <c r="H1380" s="28" t="s">
        <v>19239</v>
      </c>
      <c r="I1380" s="30">
        <v>45699</v>
      </c>
      <c r="J1380" s="30">
        <v>45703</v>
      </c>
      <c r="K1380" s="53">
        <v>5</v>
      </c>
      <c r="L1380" s="29">
        <v>22</v>
      </c>
      <c r="M1380" s="27" t="s">
        <v>25036</v>
      </c>
    </row>
    <row r="1381" spans="1:13" s="27" customFormat="1" ht="17.25" customHeight="1" x14ac:dyDescent="0.25">
      <c r="A1381" s="28" t="s">
        <v>1</v>
      </c>
      <c r="B1381" s="28">
        <v>1129807184</v>
      </c>
      <c r="C1381" s="28" t="s">
        <v>25072</v>
      </c>
      <c r="D1381" s="28" t="s">
        <v>26392</v>
      </c>
      <c r="E1381" s="28" t="s">
        <v>26393</v>
      </c>
      <c r="F1381" s="28" t="s">
        <v>25099</v>
      </c>
      <c r="G1381" s="28" t="s">
        <v>19229</v>
      </c>
      <c r="H1381" s="28" t="s">
        <v>19239</v>
      </c>
      <c r="I1381" s="30">
        <v>45700</v>
      </c>
      <c r="J1381" s="30">
        <v>45700</v>
      </c>
      <c r="K1381" s="53">
        <v>1</v>
      </c>
      <c r="L1381" s="29">
        <v>9</v>
      </c>
      <c r="M1381" s="27" t="s">
        <v>25036</v>
      </c>
    </row>
    <row r="1382" spans="1:13" s="27" customFormat="1" ht="17.25" customHeight="1" x14ac:dyDescent="0.25">
      <c r="A1382" s="28" t="s">
        <v>1</v>
      </c>
      <c r="B1382" s="28">
        <v>1007316053</v>
      </c>
      <c r="C1382" s="28" t="s">
        <v>25300</v>
      </c>
      <c r="D1382" s="28" t="s">
        <v>25285</v>
      </c>
      <c r="E1382" s="28" t="s">
        <v>25056</v>
      </c>
      <c r="F1382" s="28" t="s">
        <v>25308</v>
      </c>
      <c r="G1382" s="28" t="s">
        <v>19229</v>
      </c>
      <c r="H1382" s="28" t="s">
        <v>19240</v>
      </c>
      <c r="I1382" s="30">
        <v>45702</v>
      </c>
      <c r="J1382" s="30">
        <v>45706</v>
      </c>
      <c r="K1382" s="53">
        <v>5</v>
      </c>
      <c r="L1382" s="29"/>
      <c r="M1382" s="27" t="s">
        <v>26106</v>
      </c>
    </row>
    <row r="1383" spans="1:13" s="27" customFormat="1" ht="17.25" customHeight="1" x14ac:dyDescent="0.25">
      <c r="A1383" s="28" t="s">
        <v>1</v>
      </c>
      <c r="B1383" s="28">
        <v>1067838911</v>
      </c>
      <c r="C1383" s="28" t="s">
        <v>25696</v>
      </c>
      <c r="D1383" s="28" t="s">
        <v>25314</v>
      </c>
      <c r="E1383" s="28" t="s">
        <v>26400</v>
      </c>
      <c r="F1383" s="28" t="s">
        <v>26401</v>
      </c>
      <c r="G1383" s="28" t="s">
        <v>19229</v>
      </c>
      <c r="H1383" s="28" t="s">
        <v>19239</v>
      </c>
      <c r="I1383" s="30">
        <v>45702</v>
      </c>
      <c r="J1383" s="30">
        <v>45704</v>
      </c>
      <c r="K1383" s="53">
        <v>3</v>
      </c>
      <c r="L1383" s="29">
        <v>10</v>
      </c>
      <c r="M1383" s="27" t="s">
        <v>25036</v>
      </c>
    </row>
    <row r="1384" spans="1:13" s="27" customFormat="1" ht="17.25" customHeight="1" x14ac:dyDescent="0.25">
      <c r="A1384" s="28" t="s">
        <v>1</v>
      </c>
      <c r="B1384" s="28">
        <v>1003735970</v>
      </c>
      <c r="C1384" s="28" t="s">
        <v>25288</v>
      </c>
      <c r="D1384" s="28" t="s">
        <v>26398</v>
      </c>
      <c r="E1384" s="28" t="s">
        <v>25278</v>
      </c>
      <c r="F1384" s="28" t="s">
        <v>25010</v>
      </c>
      <c r="G1384" s="28" t="s">
        <v>19229</v>
      </c>
      <c r="H1384" s="28" t="s">
        <v>19239</v>
      </c>
      <c r="I1384" s="30">
        <v>45706</v>
      </c>
      <c r="J1384" s="30">
        <v>45706</v>
      </c>
      <c r="K1384" s="53">
        <v>1</v>
      </c>
      <c r="L1384" s="29">
        <v>9</v>
      </c>
      <c r="M1384" s="27" t="s">
        <v>25036</v>
      </c>
    </row>
    <row r="1385" spans="1:13" s="27" customFormat="1" ht="17.25" customHeight="1" x14ac:dyDescent="0.25">
      <c r="A1385" s="28" t="s">
        <v>2</v>
      </c>
      <c r="B1385" s="28">
        <v>71261572</v>
      </c>
      <c r="C1385" s="28" t="s">
        <v>25459</v>
      </c>
      <c r="D1385" s="28" t="s">
        <v>25128</v>
      </c>
      <c r="E1385" s="28" t="s">
        <v>25556</v>
      </c>
      <c r="F1385" s="28" t="s">
        <v>25020</v>
      </c>
      <c r="G1385" s="28" t="s">
        <v>19229</v>
      </c>
      <c r="H1385" s="28" t="s">
        <v>19239</v>
      </c>
      <c r="I1385" s="30">
        <v>45722</v>
      </c>
      <c r="J1385" s="30">
        <v>45726</v>
      </c>
      <c r="K1385" s="53">
        <v>5</v>
      </c>
      <c r="L1385" s="29">
        <v>1</v>
      </c>
      <c r="M1385" s="27" t="s">
        <v>25036</v>
      </c>
    </row>
    <row r="1386" spans="1:13" s="27" customFormat="1" ht="17.25" customHeight="1" x14ac:dyDescent="0.25">
      <c r="A1386" s="28" t="s">
        <v>2</v>
      </c>
      <c r="B1386" s="28">
        <v>1027943539</v>
      </c>
      <c r="C1386" s="28" t="s">
        <v>25454</v>
      </c>
      <c r="D1386" s="28" t="s">
        <v>26006</v>
      </c>
      <c r="E1386" s="28" t="s">
        <v>25255</v>
      </c>
      <c r="F1386" s="28" t="s">
        <v>25028</v>
      </c>
      <c r="G1386" s="28" t="s">
        <v>19285</v>
      </c>
      <c r="H1386" s="28" t="s">
        <v>19239</v>
      </c>
      <c r="I1386" s="30">
        <v>45722</v>
      </c>
      <c r="J1386" s="30">
        <v>45723</v>
      </c>
      <c r="K1386" s="53">
        <v>2</v>
      </c>
      <c r="L1386" s="29">
        <v>2</v>
      </c>
      <c r="M1386" s="27" t="s">
        <v>25067</v>
      </c>
    </row>
    <row r="1387" spans="1:13" s="27" customFormat="1" ht="17.25" customHeight="1" x14ac:dyDescent="0.25">
      <c r="A1387" s="28" t="s">
        <v>2</v>
      </c>
      <c r="B1387" s="28">
        <v>1000748261</v>
      </c>
      <c r="C1387" s="28" t="s">
        <v>25812</v>
      </c>
      <c r="D1387" s="28" t="s">
        <v>26410</v>
      </c>
      <c r="E1387" s="28" t="s">
        <v>25711</v>
      </c>
      <c r="F1387" s="28"/>
      <c r="G1387" s="28" t="s">
        <v>19229</v>
      </c>
      <c r="H1387" s="28" t="s">
        <v>19239</v>
      </c>
      <c r="I1387" s="30">
        <v>45727</v>
      </c>
      <c r="J1387" s="30">
        <v>45731</v>
      </c>
      <c r="K1387" s="53">
        <v>5</v>
      </c>
      <c r="L1387" s="29">
        <v>1</v>
      </c>
      <c r="M1387" s="27" t="s">
        <v>25036</v>
      </c>
    </row>
    <row r="1388" spans="1:13" s="27" customFormat="1" ht="17.25" customHeight="1" x14ac:dyDescent="0.25">
      <c r="A1388" s="28" t="s">
        <v>2</v>
      </c>
      <c r="B1388" s="28">
        <v>78112209</v>
      </c>
      <c r="C1388" s="28" t="s">
        <v>25480</v>
      </c>
      <c r="D1388" s="28" t="s">
        <v>19258</v>
      </c>
      <c r="E1388" s="28" t="s">
        <v>25878</v>
      </c>
      <c r="F1388" s="28" t="s">
        <v>25193</v>
      </c>
      <c r="G1388" s="28" t="s">
        <v>19229</v>
      </c>
      <c r="H1388" s="28" t="s">
        <v>19239</v>
      </c>
      <c r="I1388" s="30">
        <v>45728</v>
      </c>
      <c r="J1388" s="30">
        <v>45730</v>
      </c>
      <c r="K1388" s="53">
        <v>3</v>
      </c>
      <c r="L1388" s="29">
        <v>10</v>
      </c>
      <c r="M1388" s="27" t="s">
        <v>25036</v>
      </c>
    </row>
    <row r="1389" spans="1:13" s="27" customFormat="1" ht="17.25" customHeight="1" x14ac:dyDescent="0.25">
      <c r="A1389" s="28" t="s">
        <v>2</v>
      </c>
      <c r="B1389" s="28">
        <v>1067885211</v>
      </c>
      <c r="C1389" s="28" t="s">
        <v>25094</v>
      </c>
      <c r="D1389" s="28" t="s">
        <v>25547</v>
      </c>
      <c r="E1389" s="28" t="s">
        <v>25471</v>
      </c>
      <c r="F1389" s="28" t="s">
        <v>25091</v>
      </c>
      <c r="G1389" s="28" t="s">
        <v>19229</v>
      </c>
      <c r="H1389" s="28" t="s">
        <v>19239</v>
      </c>
      <c r="I1389" s="30">
        <v>45731</v>
      </c>
      <c r="J1389" s="30">
        <v>45735</v>
      </c>
      <c r="K1389" s="53">
        <v>5</v>
      </c>
      <c r="L1389" s="29">
        <v>10</v>
      </c>
      <c r="M1389" s="27" t="s">
        <v>25067</v>
      </c>
    </row>
    <row r="1390" spans="1:13" s="27" customFormat="1" ht="17.25" customHeight="1" x14ac:dyDescent="0.25">
      <c r="A1390" s="28" t="s">
        <v>2</v>
      </c>
      <c r="B1390" s="28">
        <v>1000748261</v>
      </c>
      <c r="C1390" s="28" t="s">
        <v>25812</v>
      </c>
      <c r="D1390" s="28" t="s">
        <v>26410</v>
      </c>
      <c r="E1390" s="28" t="s">
        <v>25711</v>
      </c>
      <c r="F1390" s="28"/>
      <c r="G1390" s="28" t="s">
        <v>19229</v>
      </c>
      <c r="H1390" s="28" t="s">
        <v>19239</v>
      </c>
      <c r="I1390" s="30">
        <v>45734</v>
      </c>
      <c r="J1390" s="30">
        <v>45736</v>
      </c>
      <c r="K1390" s="53">
        <v>3</v>
      </c>
      <c r="L1390" s="29">
        <v>10</v>
      </c>
      <c r="M1390" s="27" t="s">
        <v>25036</v>
      </c>
    </row>
    <row r="1391" spans="1:13" s="27" customFormat="1" ht="17.25" customHeight="1" x14ac:dyDescent="0.25">
      <c r="A1391" s="28" t="s">
        <v>2</v>
      </c>
      <c r="B1391" s="28">
        <v>1152711359</v>
      </c>
      <c r="C1391" s="28" t="s">
        <v>25147</v>
      </c>
      <c r="D1391" s="28" t="s">
        <v>25053</v>
      </c>
      <c r="E1391" s="28" t="s">
        <v>25148</v>
      </c>
      <c r="F1391" s="28"/>
      <c r="G1391" s="28" t="s">
        <v>19229</v>
      </c>
      <c r="H1391" s="28" t="s">
        <v>19239</v>
      </c>
      <c r="I1391" s="30">
        <v>45735</v>
      </c>
      <c r="J1391" s="30">
        <v>45736</v>
      </c>
      <c r="K1391" s="53">
        <v>2</v>
      </c>
      <c r="L1391" s="29">
        <v>5</v>
      </c>
      <c r="M1391" s="27" t="s">
        <v>25067</v>
      </c>
    </row>
    <row r="1392" spans="1:13" s="27" customFormat="1" ht="17.25" customHeight="1" x14ac:dyDescent="0.25">
      <c r="A1392" s="28" t="s">
        <v>3</v>
      </c>
      <c r="B1392" s="28">
        <v>1028018175</v>
      </c>
      <c r="C1392" s="28" t="s">
        <v>25915</v>
      </c>
      <c r="D1392" s="28" t="s">
        <v>26419</v>
      </c>
      <c r="E1392" s="28" t="s">
        <v>25820</v>
      </c>
      <c r="F1392" s="28"/>
      <c r="G1392" s="28" t="s">
        <v>19229</v>
      </c>
      <c r="H1392" s="28" t="s">
        <v>19239</v>
      </c>
      <c r="I1392" s="30">
        <v>45748</v>
      </c>
      <c r="J1392" s="30">
        <v>45748</v>
      </c>
      <c r="K1392" s="53">
        <v>4</v>
      </c>
      <c r="L1392" s="29">
        <v>10</v>
      </c>
      <c r="M1392" s="27" t="s">
        <v>25036</v>
      </c>
    </row>
    <row r="1393" spans="1:13" s="27" customFormat="1" ht="17.25" customHeight="1" x14ac:dyDescent="0.25">
      <c r="A1393" s="28" t="s">
        <v>3</v>
      </c>
      <c r="B1393" s="28">
        <v>10952721</v>
      </c>
      <c r="C1393" s="28" t="s">
        <v>26422</v>
      </c>
      <c r="D1393" s="28" t="s">
        <v>26423</v>
      </c>
      <c r="E1393" s="28" t="s">
        <v>25985</v>
      </c>
      <c r="F1393" s="28" t="s">
        <v>25193</v>
      </c>
      <c r="G1393" s="28" t="s">
        <v>19229</v>
      </c>
      <c r="H1393" s="28" t="s">
        <v>19239</v>
      </c>
      <c r="I1393" s="30">
        <v>45751</v>
      </c>
      <c r="J1393" s="30">
        <v>45755</v>
      </c>
      <c r="K1393" s="53">
        <v>5</v>
      </c>
      <c r="L1393" s="29">
        <v>15</v>
      </c>
      <c r="M1393" s="27" t="s">
        <v>25036</v>
      </c>
    </row>
    <row r="1394" spans="1:13" s="27" customFormat="1" ht="17.25" customHeight="1" x14ac:dyDescent="0.25">
      <c r="A1394" s="28" t="s">
        <v>3</v>
      </c>
      <c r="B1394" s="28">
        <v>1146442150</v>
      </c>
      <c r="C1394" s="28" t="s">
        <v>25790</v>
      </c>
      <c r="D1394" s="28" t="s">
        <v>25498</v>
      </c>
      <c r="E1394" s="28" t="s">
        <v>19278</v>
      </c>
      <c r="F1394" s="28" t="s">
        <v>26257</v>
      </c>
      <c r="G1394" s="28" t="s">
        <v>19229</v>
      </c>
      <c r="H1394" s="28" t="s">
        <v>19239</v>
      </c>
      <c r="I1394" s="30">
        <v>45762</v>
      </c>
      <c r="J1394" s="30">
        <v>45762</v>
      </c>
      <c r="K1394" s="53">
        <v>1</v>
      </c>
      <c r="L1394" s="29">
        <v>15</v>
      </c>
      <c r="M1394" s="27" t="s">
        <v>25036</v>
      </c>
    </row>
    <row r="1395" spans="1:13" s="27" customFormat="1" ht="17.25" customHeight="1" x14ac:dyDescent="0.25">
      <c r="A1395" s="28" t="s">
        <v>3</v>
      </c>
      <c r="B1395" s="28">
        <v>1147935100</v>
      </c>
      <c r="C1395" s="28" t="s">
        <v>24980</v>
      </c>
      <c r="D1395" s="28" t="s">
        <v>25362</v>
      </c>
      <c r="E1395" s="28" t="s">
        <v>25282</v>
      </c>
      <c r="F1395" s="28" t="s">
        <v>25177</v>
      </c>
      <c r="G1395" s="28" t="s">
        <v>19229</v>
      </c>
      <c r="H1395" s="28" t="s">
        <v>19239</v>
      </c>
      <c r="I1395" s="30">
        <v>45770</v>
      </c>
      <c r="J1395" s="30">
        <v>45774</v>
      </c>
      <c r="K1395" s="53">
        <v>5</v>
      </c>
      <c r="L1395" s="29">
        <v>10</v>
      </c>
      <c r="M1395" s="27" t="s">
        <v>25911</v>
      </c>
    </row>
    <row r="1396" spans="1:13" s="27" customFormat="1" ht="17.25" customHeight="1" x14ac:dyDescent="0.25">
      <c r="A1396" s="28" t="s">
        <v>3</v>
      </c>
      <c r="B1396" s="28">
        <v>71536344</v>
      </c>
      <c r="C1396" s="28" t="s">
        <v>25617</v>
      </c>
      <c r="D1396" s="28" t="s">
        <v>25245</v>
      </c>
      <c r="E1396" s="28" t="s">
        <v>25210</v>
      </c>
      <c r="F1396" s="28" t="s">
        <v>25755</v>
      </c>
      <c r="G1396" s="28" t="s">
        <v>19229</v>
      </c>
      <c r="H1396" s="28" t="s">
        <v>19239</v>
      </c>
      <c r="I1396" s="30">
        <v>45770</v>
      </c>
      <c r="J1396" s="30">
        <v>45772</v>
      </c>
      <c r="K1396" s="53">
        <v>3</v>
      </c>
      <c r="L1396" s="29">
        <v>10</v>
      </c>
      <c r="M1396" s="27" t="s">
        <v>25036</v>
      </c>
    </row>
    <row r="1397" spans="1:13" s="27" customFormat="1" ht="17.25" customHeight="1" x14ac:dyDescent="0.25">
      <c r="A1397" s="28" t="s">
        <v>3</v>
      </c>
      <c r="B1397" s="28">
        <v>1121044384</v>
      </c>
      <c r="C1397" s="28" t="s">
        <v>26430</v>
      </c>
      <c r="D1397" s="28" t="s">
        <v>26431</v>
      </c>
      <c r="E1397" s="28" t="s">
        <v>25092</v>
      </c>
      <c r="F1397" s="28" t="s">
        <v>25193</v>
      </c>
      <c r="G1397" s="28" t="s">
        <v>19229</v>
      </c>
      <c r="H1397" s="28" t="s">
        <v>19239</v>
      </c>
      <c r="I1397" s="30">
        <v>45771</v>
      </c>
      <c r="J1397" s="30">
        <v>45775</v>
      </c>
      <c r="K1397" s="53">
        <v>5</v>
      </c>
      <c r="L1397" s="29">
        <v>21</v>
      </c>
      <c r="M1397" s="27" t="s">
        <v>25036</v>
      </c>
    </row>
    <row r="1398" spans="1:13" s="27" customFormat="1" ht="17.25" customHeight="1" x14ac:dyDescent="0.25">
      <c r="A1398" s="28" t="s">
        <v>3</v>
      </c>
      <c r="B1398" s="28">
        <v>1001550034</v>
      </c>
      <c r="C1398" s="28" t="s">
        <v>25936</v>
      </c>
      <c r="D1398" s="28" t="s">
        <v>25756</v>
      </c>
      <c r="E1398" s="28" t="s">
        <v>25937</v>
      </c>
      <c r="F1398" s="28" t="s">
        <v>25010</v>
      </c>
      <c r="G1398" s="28" t="s">
        <v>19229</v>
      </c>
      <c r="H1398" s="28" t="s">
        <v>19239</v>
      </c>
      <c r="I1398" s="30">
        <v>45777</v>
      </c>
      <c r="J1398" s="30">
        <v>45781</v>
      </c>
      <c r="K1398" s="53">
        <v>5</v>
      </c>
      <c r="L1398" s="29">
        <v>1</v>
      </c>
      <c r="M1398" s="27" t="s">
        <v>25036</v>
      </c>
    </row>
    <row r="1399" spans="1:13" s="27" customFormat="1" ht="17.25" customHeight="1" x14ac:dyDescent="0.25">
      <c r="A1399" s="28" t="s">
        <v>4</v>
      </c>
      <c r="B1399" s="28">
        <v>78726824</v>
      </c>
      <c r="C1399" s="28" t="s">
        <v>25928</v>
      </c>
      <c r="D1399" s="28" t="s">
        <v>25094</v>
      </c>
      <c r="E1399" s="28" t="s">
        <v>25358</v>
      </c>
      <c r="F1399" s="28" t="s">
        <v>25014</v>
      </c>
      <c r="G1399" s="28" t="s">
        <v>19229</v>
      </c>
      <c r="H1399" s="28" t="s">
        <v>19239</v>
      </c>
      <c r="I1399" s="30">
        <v>45778</v>
      </c>
      <c r="J1399" s="30">
        <v>45780</v>
      </c>
      <c r="K1399" s="53">
        <v>3</v>
      </c>
      <c r="L1399" s="29">
        <v>5</v>
      </c>
      <c r="M1399" s="27" t="s">
        <v>25036</v>
      </c>
    </row>
    <row r="1400" spans="1:13" s="27" customFormat="1" ht="17.25" customHeight="1" x14ac:dyDescent="0.25">
      <c r="A1400" s="28" t="s">
        <v>4</v>
      </c>
      <c r="B1400" s="28">
        <v>1152711359</v>
      </c>
      <c r="C1400" s="28" t="s">
        <v>25147</v>
      </c>
      <c r="D1400" s="28" t="s">
        <v>25053</v>
      </c>
      <c r="E1400" s="28" t="s">
        <v>25148</v>
      </c>
      <c r="F1400" s="28"/>
      <c r="G1400" s="28" t="s">
        <v>19229</v>
      </c>
      <c r="H1400" s="28" t="s">
        <v>19239</v>
      </c>
      <c r="I1400" s="30">
        <v>45779</v>
      </c>
      <c r="J1400" s="30">
        <v>45783</v>
      </c>
      <c r="K1400" s="53">
        <v>5</v>
      </c>
      <c r="L1400" s="29">
        <v>1</v>
      </c>
      <c r="M1400" s="27" t="s">
        <v>25911</v>
      </c>
    </row>
    <row r="1401" spans="1:13" s="27" customFormat="1" ht="17.25" customHeight="1" x14ac:dyDescent="0.25">
      <c r="A1401" s="28" t="s">
        <v>4</v>
      </c>
      <c r="B1401" s="28">
        <v>71362828</v>
      </c>
      <c r="C1401" s="28" t="s">
        <v>25174</v>
      </c>
      <c r="D1401" s="28" t="s">
        <v>25126</v>
      </c>
      <c r="E1401" s="28" t="s">
        <v>25210</v>
      </c>
      <c r="F1401" s="28" t="s">
        <v>25010</v>
      </c>
      <c r="G1401" s="28" t="s">
        <v>19229</v>
      </c>
      <c r="H1401" s="28" t="s">
        <v>19239</v>
      </c>
      <c r="I1401" s="30">
        <v>45783</v>
      </c>
      <c r="J1401" s="30">
        <v>45783</v>
      </c>
      <c r="K1401" s="53">
        <v>1</v>
      </c>
      <c r="L1401" s="29">
        <v>4</v>
      </c>
      <c r="M1401" s="27" t="s">
        <v>25036</v>
      </c>
    </row>
    <row r="1402" spans="1:13" s="27" customFormat="1" ht="17.25" customHeight="1" x14ac:dyDescent="0.25">
      <c r="A1402" s="28" t="s">
        <v>4</v>
      </c>
      <c r="B1402" s="28">
        <v>1067957772</v>
      </c>
      <c r="C1402" s="28" t="s">
        <v>25375</v>
      </c>
      <c r="D1402" s="28" t="s">
        <v>25073</v>
      </c>
      <c r="E1402" s="28" t="s">
        <v>25376</v>
      </c>
      <c r="F1402" s="28" t="s">
        <v>25091</v>
      </c>
      <c r="G1402" s="28" t="s">
        <v>19229</v>
      </c>
      <c r="H1402" s="28" t="s">
        <v>19239</v>
      </c>
      <c r="I1402" s="30">
        <v>45784</v>
      </c>
      <c r="J1402" s="30">
        <v>45784</v>
      </c>
      <c r="K1402" s="53">
        <v>1</v>
      </c>
      <c r="L1402" s="29">
        <v>6</v>
      </c>
      <c r="M1402" s="27" t="s">
        <v>25036</v>
      </c>
    </row>
    <row r="1403" spans="1:13" s="27" customFormat="1" ht="17.25" customHeight="1" x14ac:dyDescent="0.25">
      <c r="A1403" s="28" t="s">
        <v>4</v>
      </c>
      <c r="B1403" s="28">
        <v>98514610</v>
      </c>
      <c r="C1403" s="28" t="s">
        <v>24987</v>
      </c>
      <c r="D1403" s="28" t="s">
        <v>24984</v>
      </c>
      <c r="E1403" s="28" t="s">
        <v>19278</v>
      </c>
      <c r="F1403" s="28" t="s">
        <v>24986</v>
      </c>
      <c r="G1403" s="28" t="s">
        <v>19229</v>
      </c>
      <c r="H1403" s="28" t="s">
        <v>19239</v>
      </c>
      <c r="I1403" s="30">
        <v>45784</v>
      </c>
      <c r="J1403" s="30">
        <v>45788</v>
      </c>
      <c r="K1403" s="53">
        <v>5</v>
      </c>
      <c r="L1403" s="29">
        <v>22</v>
      </c>
      <c r="M1403" s="27" t="s">
        <v>25036</v>
      </c>
    </row>
    <row r="1404" spans="1:13" s="27" customFormat="1" ht="17.25" customHeight="1" x14ac:dyDescent="0.25">
      <c r="A1404" s="28" t="s">
        <v>25629</v>
      </c>
      <c r="B1404" s="28">
        <v>1000758396</v>
      </c>
      <c r="C1404" s="28" t="s">
        <v>25244</v>
      </c>
      <c r="D1404" s="28"/>
      <c r="E1404" s="28" t="s">
        <v>25282</v>
      </c>
      <c r="F1404" s="28" t="s">
        <v>25096</v>
      </c>
      <c r="G1404" s="28" t="s">
        <v>19229</v>
      </c>
      <c r="H1404" s="28" t="s">
        <v>19239</v>
      </c>
      <c r="I1404" s="30">
        <v>45790</v>
      </c>
      <c r="J1404" s="30">
        <v>45792</v>
      </c>
      <c r="K1404" s="53">
        <v>3</v>
      </c>
      <c r="L1404" s="29">
        <v>18</v>
      </c>
      <c r="M1404" s="27" t="s">
        <v>25036</v>
      </c>
    </row>
    <row r="1405" spans="1:13" s="27" customFormat="1" ht="17.25" customHeight="1" x14ac:dyDescent="0.25">
      <c r="A1405" s="28" t="s">
        <v>25629</v>
      </c>
      <c r="B1405" s="28">
        <v>7277314</v>
      </c>
      <c r="C1405" s="28" t="s">
        <v>26435</v>
      </c>
      <c r="D1405" s="28" t="s">
        <v>25003</v>
      </c>
      <c r="E1405" s="28" t="s">
        <v>25188</v>
      </c>
      <c r="F1405" s="28" t="s">
        <v>25739</v>
      </c>
      <c r="G1405" s="28" t="s">
        <v>19229</v>
      </c>
      <c r="H1405" s="28" t="s">
        <v>19239</v>
      </c>
      <c r="I1405" s="30">
        <v>45790</v>
      </c>
      <c r="J1405" s="30">
        <v>45790</v>
      </c>
      <c r="K1405" s="53">
        <v>1</v>
      </c>
      <c r="L1405" s="29">
        <v>6</v>
      </c>
      <c r="M1405" s="27" t="s">
        <v>25036</v>
      </c>
    </row>
    <row r="1406" spans="1:13" s="27" customFormat="1" ht="17.25" customHeight="1" x14ac:dyDescent="0.25">
      <c r="A1406" s="28" t="s">
        <v>4</v>
      </c>
      <c r="B1406" s="28">
        <v>71753184</v>
      </c>
      <c r="C1406" s="28" t="s">
        <v>25247</v>
      </c>
      <c r="D1406" s="28" t="s">
        <v>25498</v>
      </c>
      <c r="E1406" s="28" t="s">
        <v>25282</v>
      </c>
      <c r="F1406" s="28" t="s">
        <v>25157</v>
      </c>
      <c r="G1406" s="28" t="s">
        <v>19229</v>
      </c>
      <c r="H1406" s="28" t="s">
        <v>19239</v>
      </c>
      <c r="I1406" s="30">
        <v>45790</v>
      </c>
      <c r="J1406" s="30">
        <v>45790</v>
      </c>
      <c r="K1406" s="53">
        <v>1</v>
      </c>
      <c r="L1406" s="29">
        <v>6</v>
      </c>
      <c r="M1406" s="27" t="s">
        <v>25036</v>
      </c>
    </row>
    <row r="1407" spans="1:13" s="27" customFormat="1" ht="17.25" customHeight="1" x14ac:dyDescent="0.25">
      <c r="A1407" s="28" t="s">
        <v>4</v>
      </c>
      <c r="B1407" s="28">
        <v>1056769021</v>
      </c>
      <c r="C1407" s="28" t="s">
        <v>25601</v>
      </c>
      <c r="D1407" s="28"/>
      <c r="E1407" s="28" t="s">
        <v>26436</v>
      </c>
      <c r="F1407" s="28" t="s">
        <v>25010</v>
      </c>
      <c r="G1407" s="28" t="s">
        <v>19229</v>
      </c>
      <c r="H1407" s="28" t="s">
        <v>19239</v>
      </c>
      <c r="I1407" s="30">
        <v>45790</v>
      </c>
      <c r="J1407" s="30">
        <v>45790</v>
      </c>
      <c r="K1407" s="53">
        <v>1</v>
      </c>
      <c r="L1407" s="29">
        <v>6</v>
      </c>
      <c r="M1407" s="27" t="s">
        <v>25036</v>
      </c>
    </row>
    <row r="1408" spans="1:13" s="27" customFormat="1" ht="17.25" customHeight="1" x14ac:dyDescent="0.25">
      <c r="A1408" s="28" t="s">
        <v>4</v>
      </c>
      <c r="B1408" s="28">
        <v>1036677247</v>
      </c>
      <c r="C1408" s="28" t="s">
        <v>25247</v>
      </c>
      <c r="D1408" s="28" t="s">
        <v>25373</v>
      </c>
      <c r="E1408" s="28" t="s">
        <v>25524</v>
      </c>
      <c r="F1408" s="28"/>
      <c r="G1408" s="28" t="s">
        <v>19285</v>
      </c>
      <c r="H1408" s="28" t="s">
        <v>19239</v>
      </c>
      <c r="I1408" s="30">
        <v>45790</v>
      </c>
      <c r="J1408" s="30">
        <v>45790</v>
      </c>
      <c r="K1408" s="53">
        <v>1</v>
      </c>
      <c r="L1408" s="29">
        <v>6</v>
      </c>
      <c r="M1408" s="27" t="s">
        <v>25036</v>
      </c>
    </row>
    <row r="1409" spans="1:13" s="27" customFormat="1" ht="17.25" customHeight="1" x14ac:dyDescent="0.25">
      <c r="A1409" s="28" t="s">
        <v>4</v>
      </c>
      <c r="B1409" s="28">
        <v>1192895804</v>
      </c>
      <c r="C1409" s="28" t="s">
        <v>25086</v>
      </c>
      <c r="D1409" s="28" t="s">
        <v>25391</v>
      </c>
      <c r="E1409" s="28" t="s">
        <v>25231</v>
      </c>
      <c r="F1409" s="28" t="s">
        <v>25880</v>
      </c>
      <c r="G1409" s="28" t="s">
        <v>19229</v>
      </c>
      <c r="H1409" s="28" t="s">
        <v>19239</v>
      </c>
      <c r="I1409" s="30">
        <v>45790</v>
      </c>
      <c r="J1409" s="30">
        <v>45790</v>
      </c>
      <c r="K1409" s="53">
        <v>1</v>
      </c>
      <c r="L1409" s="29">
        <v>6</v>
      </c>
      <c r="M1409" s="27" t="s">
        <v>25036</v>
      </c>
    </row>
    <row r="1410" spans="1:13" s="27" customFormat="1" ht="17.25" customHeight="1" x14ac:dyDescent="0.25">
      <c r="A1410" s="28" t="s">
        <v>4</v>
      </c>
      <c r="B1410" s="28">
        <v>1067962509</v>
      </c>
      <c r="C1410" s="28" t="s">
        <v>26069</v>
      </c>
      <c r="D1410" s="28" t="s">
        <v>19258</v>
      </c>
      <c r="E1410" s="28" t="s">
        <v>25134</v>
      </c>
      <c r="F1410" s="28" t="s">
        <v>26437</v>
      </c>
      <c r="G1410" s="28" t="s">
        <v>19229</v>
      </c>
      <c r="H1410" s="28" t="s">
        <v>19239</v>
      </c>
      <c r="I1410" s="30">
        <v>45790</v>
      </c>
      <c r="J1410" s="30">
        <v>45790</v>
      </c>
      <c r="K1410" s="53">
        <v>1</v>
      </c>
      <c r="L1410" s="29">
        <v>6</v>
      </c>
      <c r="M1410" s="27" t="s">
        <v>25036</v>
      </c>
    </row>
    <row r="1411" spans="1:13" s="27" customFormat="1" ht="17.25" customHeight="1" x14ac:dyDescent="0.25">
      <c r="A1411" s="28" t="s">
        <v>4</v>
      </c>
      <c r="B1411" s="28">
        <v>1027943539</v>
      </c>
      <c r="C1411" s="28" t="s">
        <v>25454</v>
      </c>
      <c r="D1411" s="28" t="s">
        <v>26006</v>
      </c>
      <c r="E1411" s="28" t="s">
        <v>25255</v>
      </c>
      <c r="F1411" s="28" t="s">
        <v>25056</v>
      </c>
      <c r="G1411" s="28" t="s">
        <v>19229</v>
      </c>
      <c r="H1411" s="28" t="s">
        <v>19239</v>
      </c>
      <c r="I1411" s="30">
        <v>45792</v>
      </c>
      <c r="J1411" s="30">
        <v>45792</v>
      </c>
      <c r="K1411" s="53">
        <v>1</v>
      </c>
      <c r="L1411" s="29">
        <v>3</v>
      </c>
      <c r="M1411" s="27" t="s">
        <v>25036</v>
      </c>
    </row>
    <row r="1412" spans="1:13" s="27" customFormat="1" ht="17.25" customHeight="1" x14ac:dyDescent="0.25">
      <c r="A1412" s="28" t="s">
        <v>4</v>
      </c>
      <c r="B1412" s="28">
        <v>78726824</v>
      </c>
      <c r="C1412" s="28" t="s">
        <v>26233</v>
      </c>
      <c r="D1412" s="28" t="s">
        <v>25094</v>
      </c>
      <c r="E1412" s="28" t="s">
        <v>25203</v>
      </c>
      <c r="F1412" s="28" t="s">
        <v>25215</v>
      </c>
      <c r="G1412" s="28" t="s">
        <v>19229</v>
      </c>
      <c r="H1412" s="28" t="s">
        <v>19239</v>
      </c>
      <c r="I1412" s="30">
        <v>45794</v>
      </c>
      <c r="J1412" s="30">
        <v>45797</v>
      </c>
      <c r="K1412" s="53">
        <v>4</v>
      </c>
      <c r="L1412" s="29">
        <v>21</v>
      </c>
      <c r="M1412" s="27" t="s">
        <v>25036</v>
      </c>
    </row>
    <row r="1413" spans="1:13" s="27" customFormat="1" ht="17.25" customHeight="1" x14ac:dyDescent="0.25">
      <c r="A1413" s="28" t="s">
        <v>4</v>
      </c>
      <c r="B1413" s="28">
        <v>71362238</v>
      </c>
      <c r="C1413" s="28" t="s">
        <v>25901</v>
      </c>
      <c r="D1413" s="28" t="s">
        <v>25094</v>
      </c>
      <c r="E1413" s="28" t="s">
        <v>25080</v>
      </c>
      <c r="F1413" s="28" t="s">
        <v>25413</v>
      </c>
      <c r="G1413" s="28" t="s">
        <v>19285</v>
      </c>
      <c r="H1413" s="28" t="s">
        <v>19239</v>
      </c>
      <c r="I1413" s="30">
        <v>45796</v>
      </c>
      <c r="J1413" s="30">
        <v>45798</v>
      </c>
      <c r="K1413" s="53">
        <v>3</v>
      </c>
      <c r="L1413" s="29">
        <v>10</v>
      </c>
      <c r="M1413" s="27" t="s">
        <v>25036</v>
      </c>
    </row>
    <row r="1414" spans="1:13" s="27" customFormat="1" ht="17.25" customHeight="1" x14ac:dyDescent="0.25">
      <c r="A1414" s="28" t="s">
        <v>4</v>
      </c>
      <c r="B1414" s="28">
        <v>84458429</v>
      </c>
      <c r="C1414" s="28" t="s">
        <v>25814</v>
      </c>
      <c r="D1414" s="28" t="s">
        <v>26345</v>
      </c>
      <c r="E1414" s="28" t="s">
        <v>25962</v>
      </c>
      <c r="F1414" s="28" t="s">
        <v>25023</v>
      </c>
      <c r="G1414" s="28" t="s">
        <v>19285</v>
      </c>
      <c r="H1414" s="28" t="s">
        <v>19239</v>
      </c>
      <c r="I1414" s="30">
        <v>45796</v>
      </c>
      <c r="J1414" s="30">
        <v>45800</v>
      </c>
      <c r="K1414" s="53">
        <v>5</v>
      </c>
      <c r="L1414" s="29">
        <v>15</v>
      </c>
      <c r="M1414" s="27" t="s">
        <v>25036</v>
      </c>
    </row>
    <row r="1415" spans="1:13" s="27" customFormat="1" ht="17.25" customHeight="1" x14ac:dyDescent="0.25">
      <c r="A1415" s="28" t="s">
        <v>4</v>
      </c>
      <c r="B1415" s="28">
        <v>1036622798</v>
      </c>
      <c r="C1415" s="28" t="s">
        <v>25136</v>
      </c>
      <c r="D1415" s="28" t="s">
        <v>25993</v>
      </c>
      <c r="E1415" s="28" t="s">
        <v>26035</v>
      </c>
      <c r="F1415" s="28" t="s">
        <v>26146</v>
      </c>
      <c r="G1415" s="28" t="s">
        <v>19229</v>
      </c>
      <c r="H1415" s="28" t="s">
        <v>19239</v>
      </c>
      <c r="I1415" s="30">
        <v>45797</v>
      </c>
      <c r="J1415" s="30">
        <v>45801</v>
      </c>
      <c r="K1415" s="53">
        <v>5</v>
      </c>
      <c r="L1415" s="29">
        <v>1</v>
      </c>
      <c r="M1415" s="27" t="s">
        <v>25036</v>
      </c>
    </row>
    <row r="1416" spans="1:13" s="27" customFormat="1" ht="17.25" customHeight="1" x14ac:dyDescent="0.25">
      <c r="A1416" s="28" t="s">
        <v>4</v>
      </c>
      <c r="B1416" s="28">
        <v>98481612</v>
      </c>
      <c r="C1416" s="28" t="s">
        <v>25818</v>
      </c>
      <c r="D1416" s="28" t="s">
        <v>25109</v>
      </c>
      <c r="E1416" s="28" t="s">
        <v>25819</v>
      </c>
      <c r="F1416" s="28" t="s">
        <v>25103</v>
      </c>
      <c r="G1416" s="28" t="s">
        <v>19229</v>
      </c>
      <c r="H1416" s="28" t="s">
        <v>19240</v>
      </c>
      <c r="I1416" s="30">
        <v>45797</v>
      </c>
      <c r="J1416" s="30">
        <v>45799</v>
      </c>
      <c r="K1416" s="53">
        <v>3</v>
      </c>
      <c r="L1416" s="29"/>
      <c r="M1416" s="27" t="s">
        <v>26106</v>
      </c>
    </row>
    <row r="1417" spans="1:13" s="27" customFormat="1" ht="17.25" customHeight="1" x14ac:dyDescent="0.25">
      <c r="A1417" s="28" t="s">
        <v>4</v>
      </c>
      <c r="B1417" s="28">
        <v>15433339</v>
      </c>
      <c r="C1417" s="28" t="s">
        <v>25108</v>
      </c>
      <c r="D1417" s="28" t="s">
        <v>25443</v>
      </c>
      <c r="E1417" s="28" t="s">
        <v>25099</v>
      </c>
      <c r="F1417" s="28" t="s">
        <v>25512</v>
      </c>
      <c r="G1417" s="28" t="s">
        <v>19229</v>
      </c>
      <c r="H1417" s="28" t="s">
        <v>19240</v>
      </c>
      <c r="I1417" s="30">
        <v>45800</v>
      </c>
      <c r="J1417" s="30">
        <v>45804</v>
      </c>
      <c r="K1417" s="53">
        <v>5</v>
      </c>
      <c r="L1417" s="29"/>
      <c r="M1417" s="27" t="s">
        <v>26106</v>
      </c>
    </row>
    <row r="1418" spans="1:13" s="27" customFormat="1" ht="17.25" customHeight="1" x14ac:dyDescent="0.25">
      <c r="A1418" s="28" t="s">
        <v>4</v>
      </c>
      <c r="B1418" s="28">
        <v>15295271</v>
      </c>
      <c r="C1418" s="28" t="s">
        <v>25373</v>
      </c>
      <c r="D1418" s="28" t="s">
        <v>25182</v>
      </c>
      <c r="E1418" s="28" t="s">
        <v>25183</v>
      </c>
      <c r="F1418" s="28" t="s">
        <v>25119</v>
      </c>
      <c r="G1418" s="28" t="s">
        <v>19229</v>
      </c>
      <c r="H1418" s="28" t="s">
        <v>19239</v>
      </c>
      <c r="I1418" s="30">
        <v>45804</v>
      </c>
      <c r="J1418" s="30">
        <v>45806</v>
      </c>
      <c r="K1418" s="53">
        <v>3</v>
      </c>
      <c r="L1418" s="29">
        <v>4</v>
      </c>
      <c r="M1418" s="27" t="s">
        <v>25067</v>
      </c>
    </row>
    <row r="1419" spans="1:13" s="27" customFormat="1" ht="17.25" customHeight="1" x14ac:dyDescent="0.25">
      <c r="A1419" s="28" t="s">
        <v>4</v>
      </c>
      <c r="B1419" s="28">
        <v>15295271</v>
      </c>
      <c r="C1419" s="28" t="s">
        <v>25373</v>
      </c>
      <c r="D1419" s="28" t="s">
        <v>25182</v>
      </c>
      <c r="E1419" s="28" t="s">
        <v>25183</v>
      </c>
      <c r="F1419" s="28" t="s">
        <v>25119</v>
      </c>
      <c r="G1419" s="28" t="s">
        <v>19229</v>
      </c>
      <c r="H1419" s="28" t="s">
        <v>19239</v>
      </c>
      <c r="I1419" s="30">
        <v>45804</v>
      </c>
      <c r="J1419" s="30">
        <v>45806</v>
      </c>
      <c r="K1419" s="53">
        <v>3</v>
      </c>
      <c r="L1419" s="29">
        <v>4</v>
      </c>
      <c r="M1419" s="27" t="s">
        <v>25067</v>
      </c>
    </row>
    <row r="1420" spans="1:13" s="27" customFormat="1" ht="17.25" customHeight="1" x14ac:dyDescent="0.25">
      <c r="A1420" s="28" t="s">
        <v>25629</v>
      </c>
      <c r="B1420" s="28">
        <v>1067838911</v>
      </c>
      <c r="C1420" s="28" t="s">
        <v>25696</v>
      </c>
      <c r="D1420" s="28" t="s">
        <v>25314</v>
      </c>
      <c r="E1420" s="28" t="s">
        <v>26400</v>
      </c>
      <c r="F1420" s="28" t="s">
        <v>26401</v>
      </c>
      <c r="G1420" s="28" t="s">
        <v>19229</v>
      </c>
      <c r="H1420" s="28" t="s">
        <v>19239</v>
      </c>
      <c r="I1420" s="30">
        <v>45805</v>
      </c>
      <c r="J1420" s="30">
        <v>45805</v>
      </c>
      <c r="K1420" s="53">
        <v>1</v>
      </c>
      <c r="L1420" s="29">
        <v>9</v>
      </c>
      <c r="M1420" s="27" t="s">
        <v>25036</v>
      </c>
    </row>
    <row r="1421" spans="1:13" s="27" customFormat="1" ht="17.25" customHeight="1" x14ac:dyDescent="0.25">
      <c r="A1421" s="28" t="s">
        <v>4</v>
      </c>
      <c r="B1421" s="28">
        <v>1017192273</v>
      </c>
      <c r="C1421" s="28" t="s">
        <v>25216</v>
      </c>
      <c r="D1421" s="28" t="s">
        <v>25459</v>
      </c>
      <c r="E1421" s="28" t="s">
        <v>25676</v>
      </c>
      <c r="F1421" s="28" t="s">
        <v>25648</v>
      </c>
      <c r="G1421" s="28" t="s">
        <v>19229</v>
      </c>
      <c r="H1421" s="28" t="s">
        <v>19239</v>
      </c>
      <c r="I1421" s="30">
        <v>45807</v>
      </c>
      <c r="J1421" s="30">
        <v>45811</v>
      </c>
      <c r="K1421" s="53">
        <v>5</v>
      </c>
      <c r="L1421" s="29">
        <v>22</v>
      </c>
      <c r="M1421" s="27" t="s">
        <v>25036</v>
      </c>
    </row>
    <row r="1422" spans="1:13" s="27" customFormat="1" ht="17.25" customHeight="1" x14ac:dyDescent="0.25">
      <c r="A1422" s="28" t="s">
        <v>26240</v>
      </c>
      <c r="B1422" s="28">
        <v>1041267977</v>
      </c>
      <c r="C1422" s="28" t="s">
        <v>25856</v>
      </c>
      <c r="D1422" s="28" t="s">
        <v>25426</v>
      </c>
      <c r="E1422" s="28" t="s">
        <v>25371</v>
      </c>
      <c r="F1422" s="28" t="s">
        <v>25706</v>
      </c>
      <c r="G1422" s="28" t="s">
        <v>19229</v>
      </c>
      <c r="H1422" s="28" t="s">
        <v>19240</v>
      </c>
      <c r="I1422" s="30">
        <v>45813</v>
      </c>
      <c r="J1422" s="30">
        <v>45820</v>
      </c>
      <c r="K1422" s="53">
        <v>8</v>
      </c>
      <c r="L1422" s="29"/>
      <c r="M1422" s="27" t="s">
        <v>24991</v>
      </c>
    </row>
    <row r="1423" spans="1:13" s="27" customFormat="1" ht="17.25" customHeight="1" x14ac:dyDescent="0.25">
      <c r="A1423" s="28" t="s">
        <v>5</v>
      </c>
      <c r="B1423" s="28">
        <v>1000914909</v>
      </c>
      <c r="C1423" s="28" t="s">
        <v>25435</v>
      </c>
      <c r="D1423" s="28" t="s">
        <v>25006</v>
      </c>
      <c r="E1423" s="28" t="s">
        <v>26440</v>
      </c>
      <c r="F1423" s="28"/>
      <c r="G1423" s="28" t="s">
        <v>19285</v>
      </c>
      <c r="H1423" s="28" t="s">
        <v>19239</v>
      </c>
      <c r="I1423" s="30">
        <v>45818</v>
      </c>
      <c r="J1423" s="30">
        <v>45818</v>
      </c>
      <c r="K1423" s="53">
        <v>1</v>
      </c>
      <c r="L1423" s="29">
        <v>4</v>
      </c>
      <c r="M1423" s="27" t="s">
        <v>25036</v>
      </c>
    </row>
    <row r="1424" spans="1:13" s="27" customFormat="1" ht="17.25" customHeight="1" x14ac:dyDescent="0.25">
      <c r="A1424" s="28" t="s">
        <v>5</v>
      </c>
      <c r="B1424" s="28">
        <v>1011590122</v>
      </c>
      <c r="C1424" s="28" t="s">
        <v>25456</v>
      </c>
      <c r="D1424" s="28" t="s">
        <v>25751</v>
      </c>
      <c r="E1424" s="28" t="s">
        <v>25640</v>
      </c>
      <c r="F1424" s="28" t="s">
        <v>25103</v>
      </c>
      <c r="G1424" s="28" t="s">
        <v>19229</v>
      </c>
      <c r="H1424" s="28" t="s">
        <v>19239</v>
      </c>
      <c r="I1424" s="30">
        <v>45818</v>
      </c>
      <c r="J1424" s="30">
        <v>45820</v>
      </c>
      <c r="K1424" s="53">
        <v>3</v>
      </c>
      <c r="L1424" s="29">
        <v>4</v>
      </c>
      <c r="M1424" s="27" t="s">
        <v>25067</v>
      </c>
    </row>
    <row r="1425" spans="1:13" s="27" customFormat="1" ht="17.25" customHeight="1" x14ac:dyDescent="0.25">
      <c r="A1425" s="28" t="s">
        <v>5</v>
      </c>
      <c r="B1425" s="28">
        <v>98603875</v>
      </c>
      <c r="C1425" s="28" t="s">
        <v>25341</v>
      </c>
      <c r="D1425" s="28" t="s">
        <v>25202</v>
      </c>
      <c r="E1425" s="28" t="s">
        <v>25672</v>
      </c>
      <c r="F1425" s="28" t="s">
        <v>25020</v>
      </c>
      <c r="G1425" s="28" t="s">
        <v>19229</v>
      </c>
      <c r="H1425" s="28" t="s">
        <v>19239</v>
      </c>
      <c r="I1425" s="30">
        <v>45818</v>
      </c>
      <c r="J1425" s="30">
        <v>45818</v>
      </c>
      <c r="K1425" s="53">
        <v>1</v>
      </c>
      <c r="L1425" s="29">
        <v>6</v>
      </c>
      <c r="M1425" s="27" t="s">
        <v>25036</v>
      </c>
    </row>
    <row r="1426" spans="1:13" s="27" customFormat="1" ht="17.25" customHeight="1" x14ac:dyDescent="0.25">
      <c r="A1426" s="28" t="s">
        <v>5</v>
      </c>
      <c r="B1426" s="28">
        <v>1076816031</v>
      </c>
      <c r="C1426" s="28" t="s">
        <v>26444</v>
      </c>
      <c r="D1426" s="28" t="s">
        <v>26445</v>
      </c>
      <c r="E1426" s="28" t="s">
        <v>26373</v>
      </c>
      <c r="F1426" s="28" t="s">
        <v>26374</v>
      </c>
      <c r="G1426" s="28" t="s">
        <v>19229</v>
      </c>
      <c r="H1426" s="28" t="s">
        <v>19239</v>
      </c>
      <c r="I1426" s="30">
        <v>45819</v>
      </c>
      <c r="J1426" s="30">
        <v>45821</v>
      </c>
      <c r="K1426" s="53">
        <v>3</v>
      </c>
      <c r="L1426" s="29">
        <v>6</v>
      </c>
      <c r="M1426" s="27" t="s">
        <v>25067</v>
      </c>
    </row>
    <row r="1427" spans="1:13" s="27" customFormat="1" ht="17.25" customHeight="1" x14ac:dyDescent="0.25">
      <c r="A1427" s="28" t="s">
        <v>5</v>
      </c>
      <c r="B1427" s="28">
        <v>1027943539</v>
      </c>
      <c r="C1427" s="28" t="s">
        <v>26446</v>
      </c>
      <c r="D1427" s="28" t="s">
        <v>26006</v>
      </c>
      <c r="E1427" s="28" t="s">
        <v>25255</v>
      </c>
      <c r="F1427" s="28" t="s">
        <v>25028</v>
      </c>
      <c r="G1427" s="28" t="s">
        <v>19229</v>
      </c>
      <c r="H1427" s="28" t="s">
        <v>19239</v>
      </c>
      <c r="I1427" s="30">
        <v>45819</v>
      </c>
      <c r="J1427" s="30">
        <v>45823</v>
      </c>
      <c r="K1427" s="53">
        <v>5</v>
      </c>
      <c r="L1427" s="29">
        <v>1</v>
      </c>
      <c r="M1427" s="27" t="s">
        <v>25036</v>
      </c>
    </row>
    <row r="1428" spans="1:13" s="27" customFormat="1" ht="17.25" customHeight="1" x14ac:dyDescent="0.25">
      <c r="A1428" s="28" t="s">
        <v>26240</v>
      </c>
      <c r="B1428" s="28">
        <v>1056769021</v>
      </c>
      <c r="C1428" s="28" t="s">
        <v>25093</v>
      </c>
      <c r="D1428" s="28"/>
      <c r="E1428" s="28" t="s">
        <v>26447</v>
      </c>
      <c r="F1428" s="28" t="s">
        <v>25089</v>
      </c>
      <c r="G1428" s="28" t="s">
        <v>19285</v>
      </c>
      <c r="H1428" s="28" t="s">
        <v>19239</v>
      </c>
      <c r="I1428" s="30">
        <v>45824</v>
      </c>
      <c r="J1428" s="30">
        <v>45826</v>
      </c>
      <c r="K1428" s="53">
        <v>3</v>
      </c>
      <c r="L1428" s="29">
        <v>10</v>
      </c>
      <c r="M1428" s="27" t="s">
        <v>25036</v>
      </c>
    </row>
    <row r="1429" spans="1:13" s="27" customFormat="1" ht="17.25" customHeight="1" x14ac:dyDescent="0.25">
      <c r="A1429" s="28" t="s">
        <v>26240</v>
      </c>
      <c r="B1429" s="28">
        <v>1039284741</v>
      </c>
      <c r="C1429" s="28" t="s">
        <v>25588</v>
      </c>
      <c r="D1429" s="28" t="s">
        <v>25109</v>
      </c>
      <c r="E1429" s="28" t="s">
        <v>26450</v>
      </c>
      <c r="F1429" s="28"/>
      <c r="G1429" s="28" t="s">
        <v>19229</v>
      </c>
      <c r="H1429" s="28" t="s">
        <v>19239</v>
      </c>
      <c r="I1429" s="30">
        <v>45826</v>
      </c>
      <c r="J1429" s="30">
        <v>45830</v>
      </c>
      <c r="K1429" s="53">
        <v>5</v>
      </c>
      <c r="L1429" s="29">
        <v>15</v>
      </c>
      <c r="M1429" s="27" t="s">
        <v>25036</v>
      </c>
    </row>
    <row r="1430" spans="1:13" s="27" customFormat="1" ht="17.25" customHeight="1" x14ac:dyDescent="0.25">
      <c r="A1430" s="28" t="s">
        <v>26240</v>
      </c>
      <c r="B1430" s="28">
        <v>1039760977</v>
      </c>
      <c r="C1430" s="28" t="s">
        <v>25973</v>
      </c>
      <c r="D1430" s="28" t="s">
        <v>25094</v>
      </c>
      <c r="E1430" s="28" t="s">
        <v>25974</v>
      </c>
      <c r="F1430" s="28" t="s">
        <v>25734</v>
      </c>
      <c r="G1430" s="28" t="s">
        <v>19229</v>
      </c>
      <c r="H1430" s="28" t="s">
        <v>19239</v>
      </c>
      <c r="I1430" s="30">
        <v>45833</v>
      </c>
      <c r="J1430" s="30">
        <v>45835</v>
      </c>
      <c r="K1430" s="53">
        <v>3</v>
      </c>
      <c r="L1430" s="29">
        <v>10</v>
      </c>
      <c r="M1430" s="27" t="s">
        <v>25036</v>
      </c>
    </row>
    <row r="1431" spans="1:13" s="27" customFormat="1" ht="17.25" customHeight="1" x14ac:dyDescent="0.25">
      <c r="A1431" s="28" t="s">
        <v>5</v>
      </c>
      <c r="B1431" s="28">
        <v>1000914909</v>
      </c>
      <c r="C1431" s="28" t="s">
        <v>25435</v>
      </c>
      <c r="D1431" s="28" t="s">
        <v>25006</v>
      </c>
      <c r="E1431" s="28" t="s">
        <v>26440</v>
      </c>
      <c r="F1431" s="28"/>
      <c r="G1431" s="28" t="s">
        <v>19229</v>
      </c>
      <c r="H1431" s="28" t="s">
        <v>19239</v>
      </c>
      <c r="I1431" s="30">
        <v>45833</v>
      </c>
      <c r="J1431" s="30">
        <v>45837</v>
      </c>
      <c r="K1431" s="53">
        <v>5</v>
      </c>
      <c r="L1431" s="29">
        <v>15</v>
      </c>
      <c r="M1431" s="27" t="s">
        <v>25036</v>
      </c>
    </row>
    <row r="1432" spans="1:13" s="27" customFormat="1" ht="17.25" customHeight="1" x14ac:dyDescent="0.25">
      <c r="A1432" s="28" t="s">
        <v>5</v>
      </c>
      <c r="B1432" s="28">
        <v>70192470</v>
      </c>
      <c r="C1432" s="28" t="s">
        <v>25939</v>
      </c>
      <c r="D1432" s="28" t="s">
        <v>25303</v>
      </c>
      <c r="E1432" s="28" t="s">
        <v>25545</v>
      </c>
      <c r="F1432" s="28" t="s">
        <v>25019</v>
      </c>
      <c r="G1432" s="28" t="s">
        <v>19229</v>
      </c>
      <c r="H1432" s="28" t="s">
        <v>19239</v>
      </c>
      <c r="I1432" s="30">
        <v>45833</v>
      </c>
      <c r="J1432" s="30">
        <v>45833</v>
      </c>
      <c r="K1432" s="53">
        <v>1</v>
      </c>
      <c r="L1432" s="29">
        <v>4</v>
      </c>
      <c r="M1432" s="27" t="s">
        <v>25036</v>
      </c>
    </row>
    <row r="1433" spans="1:13" s="27" customFormat="1" ht="17.25" customHeight="1" x14ac:dyDescent="0.25">
      <c r="A1433" s="28" t="s">
        <v>26240</v>
      </c>
      <c r="B1433" s="28">
        <v>71987067</v>
      </c>
      <c r="C1433" s="28" t="s">
        <v>25128</v>
      </c>
      <c r="D1433" s="28" t="s">
        <v>25129</v>
      </c>
      <c r="E1433" s="28" t="s">
        <v>25035</v>
      </c>
      <c r="F1433" s="28" t="s">
        <v>25131</v>
      </c>
      <c r="G1433" s="28" t="s">
        <v>19229</v>
      </c>
      <c r="H1433" s="28" t="s">
        <v>19239</v>
      </c>
      <c r="I1433" s="30">
        <v>45834</v>
      </c>
      <c r="J1433" s="30">
        <v>45835</v>
      </c>
      <c r="K1433" s="53">
        <v>2</v>
      </c>
      <c r="L1433" s="29">
        <v>2</v>
      </c>
      <c r="M1433" s="27" t="s">
        <v>25067</v>
      </c>
    </row>
    <row r="1434" spans="1:13" s="27" customFormat="1" ht="17.25" customHeight="1" x14ac:dyDescent="0.25">
      <c r="A1434" s="28" t="s">
        <v>5</v>
      </c>
      <c r="B1434" s="28">
        <v>1020466554</v>
      </c>
      <c r="C1434" s="28" t="s">
        <v>26453</v>
      </c>
      <c r="D1434" s="28" t="s">
        <v>26328</v>
      </c>
      <c r="E1434" s="28" t="s">
        <v>26454</v>
      </c>
      <c r="F1434" s="28"/>
      <c r="G1434" s="28" t="s">
        <v>19229</v>
      </c>
      <c r="H1434" s="28" t="s">
        <v>19239</v>
      </c>
      <c r="I1434" s="30">
        <v>45834</v>
      </c>
      <c r="J1434" s="30">
        <v>45836</v>
      </c>
      <c r="K1434" s="53">
        <v>3</v>
      </c>
      <c r="L1434" s="29">
        <v>10</v>
      </c>
      <c r="M1434" s="27" t="s">
        <v>25036</v>
      </c>
    </row>
    <row r="1435" spans="1:13" s="27" customFormat="1" ht="17.25" customHeight="1" x14ac:dyDescent="0.25">
      <c r="A1435" s="28" t="s">
        <v>5</v>
      </c>
      <c r="B1435" s="28">
        <v>1010060242</v>
      </c>
      <c r="C1435" s="28" t="s">
        <v>25502</v>
      </c>
      <c r="D1435" s="28" t="s">
        <v>25503</v>
      </c>
      <c r="E1435" s="28" t="s">
        <v>25504</v>
      </c>
      <c r="F1435" s="28"/>
      <c r="G1435" s="28" t="s">
        <v>19229</v>
      </c>
      <c r="H1435" s="28" t="s">
        <v>19239</v>
      </c>
      <c r="I1435" s="30">
        <v>45834</v>
      </c>
      <c r="J1435" s="30">
        <v>45834</v>
      </c>
      <c r="K1435" s="53">
        <v>1</v>
      </c>
      <c r="L1435" s="29">
        <v>4</v>
      </c>
      <c r="M1435" s="27" t="s">
        <v>25036</v>
      </c>
    </row>
    <row r="1436" spans="1:13" s="27" customFormat="1" ht="17.25" customHeight="1" x14ac:dyDescent="0.25">
      <c r="A1436" s="28" t="s">
        <v>5</v>
      </c>
      <c r="B1436" s="28">
        <v>1039285381</v>
      </c>
      <c r="C1436" s="28" t="s">
        <v>25841</v>
      </c>
      <c r="D1436" s="28" t="s">
        <v>25181</v>
      </c>
      <c r="E1436" s="28" t="s">
        <v>26451</v>
      </c>
      <c r="F1436" s="28" t="s">
        <v>26452</v>
      </c>
      <c r="G1436" s="28" t="s">
        <v>19229</v>
      </c>
      <c r="H1436" s="28" t="s">
        <v>19239</v>
      </c>
      <c r="I1436" s="30">
        <v>45835</v>
      </c>
      <c r="J1436" s="30">
        <v>45839</v>
      </c>
      <c r="K1436" s="53">
        <v>5</v>
      </c>
      <c r="L1436" s="29">
        <v>1</v>
      </c>
      <c r="M1436" s="27" t="s">
        <v>25036</v>
      </c>
    </row>
    <row r="1437" spans="1:13" s="27" customFormat="1" ht="17.25" customHeight="1" x14ac:dyDescent="0.25">
      <c r="A1437" s="28" t="s">
        <v>5</v>
      </c>
      <c r="B1437" s="28">
        <v>1082997484</v>
      </c>
      <c r="C1437" s="28" t="s">
        <v>26389</v>
      </c>
      <c r="D1437" s="28" t="s">
        <v>26390</v>
      </c>
      <c r="E1437" s="28" t="s">
        <v>26303</v>
      </c>
      <c r="F1437" s="28" t="s">
        <v>25283</v>
      </c>
      <c r="G1437" s="28" t="s">
        <v>19229</v>
      </c>
      <c r="H1437" s="28" t="s">
        <v>19239</v>
      </c>
      <c r="I1437" s="30">
        <v>45835</v>
      </c>
      <c r="J1437" s="30">
        <v>45839</v>
      </c>
      <c r="K1437" s="53">
        <v>5</v>
      </c>
      <c r="L1437" s="29">
        <v>1</v>
      </c>
      <c r="M1437" s="27" t="s">
        <v>25036</v>
      </c>
    </row>
    <row r="1438" spans="1:13" s="27" customFormat="1" ht="17.25" customHeight="1" x14ac:dyDescent="0.25">
      <c r="A1438" s="28" t="s">
        <v>25186</v>
      </c>
      <c r="B1438" s="28">
        <v>1007448597</v>
      </c>
      <c r="C1438" s="28" t="s">
        <v>25269</v>
      </c>
      <c r="D1438" s="28" t="s">
        <v>26458</v>
      </c>
      <c r="E1438" s="28" t="s">
        <v>26372</v>
      </c>
      <c r="F1438" s="28"/>
      <c r="G1438" s="28" t="s">
        <v>19229</v>
      </c>
      <c r="H1438" s="28" t="s">
        <v>19239</v>
      </c>
      <c r="I1438" s="30">
        <v>45840</v>
      </c>
      <c r="J1438" s="30">
        <v>45844</v>
      </c>
      <c r="K1438" s="53">
        <v>5</v>
      </c>
      <c r="L1438" s="29">
        <v>1</v>
      </c>
      <c r="M1438" s="27" t="s">
        <v>25036</v>
      </c>
    </row>
    <row r="1439" spans="1:13" s="27" customFormat="1" ht="17.25" customHeight="1" x14ac:dyDescent="0.25">
      <c r="A1439" s="28" t="s">
        <v>25186</v>
      </c>
      <c r="B1439" s="28">
        <v>1100622217</v>
      </c>
      <c r="C1439" s="28" t="s">
        <v>25649</v>
      </c>
      <c r="D1439" s="28" t="s">
        <v>25257</v>
      </c>
      <c r="E1439" s="28" t="s">
        <v>25188</v>
      </c>
      <c r="F1439" s="28" t="s">
        <v>25177</v>
      </c>
      <c r="G1439" s="28" t="s">
        <v>19229</v>
      </c>
      <c r="H1439" s="28" t="s">
        <v>19239</v>
      </c>
      <c r="I1439" s="30">
        <v>45845</v>
      </c>
      <c r="J1439" s="30">
        <v>45849</v>
      </c>
      <c r="K1439" s="53">
        <v>5</v>
      </c>
      <c r="L1439" s="29">
        <v>1</v>
      </c>
      <c r="M1439" s="27" t="s">
        <v>25036</v>
      </c>
    </row>
    <row r="1440" spans="1:13" s="27" customFormat="1" ht="17.25" customHeight="1" x14ac:dyDescent="0.25">
      <c r="A1440" s="28" t="s">
        <v>25186</v>
      </c>
      <c r="B1440" s="28">
        <v>79604860</v>
      </c>
      <c r="C1440" s="28" t="s">
        <v>25699</v>
      </c>
      <c r="D1440" s="28" t="s">
        <v>26459</v>
      </c>
      <c r="E1440" s="28" t="s">
        <v>25188</v>
      </c>
      <c r="F1440" s="28" t="s">
        <v>26460</v>
      </c>
      <c r="G1440" s="28" t="s">
        <v>19229</v>
      </c>
      <c r="H1440" s="28" t="s">
        <v>19239</v>
      </c>
      <c r="I1440" s="30">
        <v>45846</v>
      </c>
      <c r="J1440" s="30">
        <v>45850</v>
      </c>
      <c r="K1440" s="53">
        <v>5</v>
      </c>
      <c r="L1440" s="29">
        <v>1</v>
      </c>
      <c r="M1440" s="27" t="s">
        <v>25036</v>
      </c>
    </row>
    <row r="1441" spans="1:13" s="27" customFormat="1" ht="17.25" customHeight="1" x14ac:dyDescent="0.25">
      <c r="A1441" s="28" t="s">
        <v>25186</v>
      </c>
      <c r="B1441" s="28">
        <v>1033368823</v>
      </c>
      <c r="C1441" s="28" t="s">
        <v>25928</v>
      </c>
      <c r="D1441" s="28" t="s">
        <v>26429</v>
      </c>
      <c r="E1441" s="28" t="s">
        <v>26461</v>
      </c>
      <c r="F1441" s="28" t="s">
        <v>25188</v>
      </c>
      <c r="G1441" s="28" t="s">
        <v>19229</v>
      </c>
      <c r="H1441" s="28" t="s">
        <v>19239</v>
      </c>
      <c r="I1441" s="30">
        <v>45846</v>
      </c>
      <c r="J1441" s="30">
        <v>45850</v>
      </c>
      <c r="K1441" s="53">
        <v>5</v>
      </c>
      <c r="L1441" s="29">
        <v>1</v>
      </c>
      <c r="M1441" s="27" t="s">
        <v>25036</v>
      </c>
    </row>
    <row r="1442" spans="1:13" s="27" customFormat="1" ht="17.25" customHeight="1" x14ac:dyDescent="0.25">
      <c r="A1442" s="28" t="s">
        <v>25186</v>
      </c>
      <c r="B1442" s="28">
        <v>98648701</v>
      </c>
      <c r="C1442" s="28" t="s">
        <v>25034</v>
      </c>
      <c r="D1442" s="28" t="s">
        <v>25426</v>
      </c>
      <c r="E1442" s="28" t="s">
        <v>25977</v>
      </c>
      <c r="F1442" s="28" t="s">
        <v>25554</v>
      </c>
      <c r="G1442" s="28" t="s">
        <v>19229</v>
      </c>
      <c r="H1442" s="28" t="s">
        <v>19239</v>
      </c>
      <c r="I1442" s="30">
        <v>45847</v>
      </c>
      <c r="J1442" s="30">
        <v>45851</v>
      </c>
      <c r="K1442" s="53">
        <v>5</v>
      </c>
      <c r="L1442" s="29">
        <v>22</v>
      </c>
      <c r="M1442" s="27" t="s">
        <v>25036</v>
      </c>
    </row>
    <row r="1443" spans="1:13" s="27" customFormat="1" ht="17.25" customHeight="1" x14ac:dyDescent="0.25">
      <c r="A1443" s="28" t="s">
        <v>25186</v>
      </c>
      <c r="B1443" s="28">
        <v>71362238</v>
      </c>
      <c r="C1443" s="28" t="s">
        <v>25944</v>
      </c>
      <c r="D1443" s="28" t="s">
        <v>25306</v>
      </c>
      <c r="E1443" s="28" t="s">
        <v>25177</v>
      </c>
      <c r="F1443" s="28" t="s">
        <v>25413</v>
      </c>
      <c r="G1443" s="28" t="s">
        <v>19229</v>
      </c>
      <c r="H1443" s="28" t="s">
        <v>19239</v>
      </c>
      <c r="I1443" s="30">
        <v>45848</v>
      </c>
      <c r="J1443" s="30">
        <v>45852</v>
      </c>
      <c r="K1443" s="53">
        <v>5</v>
      </c>
      <c r="L1443" s="29">
        <v>10</v>
      </c>
      <c r="M1443" s="27" t="s">
        <v>25067</v>
      </c>
    </row>
    <row r="1444" spans="1:13" s="27" customFormat="1" ht="17.25" customHeight="1" x14ac:dyDescent="0.25">
      <c r="A1444" s="28" t="s">
        <v>25186</v>
      </c>
      <c r="B1444" s="28">
        <v>71770967</v>
      </c>
      <c r="C1444" s="28" t="s">
        <v>25362</v>
      </c>
      <c r="D1444" s="28" t="s">
        <v>25093</v>
      </c>
      <c r="E1444" s="28" t="s">
        <v>25977</v>
      </c>
      <c r="F1444" s="28" t="s">
        <v>25066</v>
      </c>
      <c r="G1444" s="28" t="s">
        <v>25328</v>
      </c>
      <c r="H1444" s="28" t="s">
        <v>19239</v>
      </c>
      <c r="I1444" s="30">
        <v>45850</v>
      </c>
      <c r="J1444" s="30">
        <v>45854</v>
      </c>
      <c r="K1444" s="53">
        <v>5</v>
      </c>
      <c r="L1444" s="29">
        <v>22</v>
      </c>
      <c r="M1444" s="27" t="s">
        <v>25036</v>
      </c>
    </row>
    <row r="1445" spans="1:13" s="27" customFormat="1" ht="17.25" customHeight="1" x14ac:dyDescent="0.25">
      <c r="A1445" s="28" t="s">
        <v>25186</v>
      </c>
      <c r="B1445" s="28">
        <v>14572160</v>
      </c>
      <c r="C1445" s="28" t="s">
        <v>25073</v>
      </c>
      <c r="D1445" s="28" t="s">
        <v>25756</v>
      </c>
      <c r="E1445" s="28" t="s">
        <v>25522</v>
      </c>
      <c r="F1445" s="28" t="s">
        <v>25135</v>
      </c>
      <c r="G1445" s="28" t="s">
        <v>25328</v>
      </c>
      <c r="H1445" s="28" t="s">
        <v>19239</v>
      </c>
      <c r="I1445" s="30">
        <v>45850</v>
      </c>
      <c r="J1445" s="30">
        <v>45854</v>
      </c>
      <c r="K1445" s="53">
        <v>5</v>
      </c>
      <c r="L1445" s="29">
        <v>22</v>
      </c>
      <c r="M1445" s="27" t="s">
        <v>25036</v>
      </c>
    </row>
    <row r="1446" spans="1:13" s="27" customFormat="1" ht="17.25" customHeight="1" x14ac:dyDescent="0.25">
      <c r="A1446" s="28" t="s">
        <v>25186</v>
      </c>
      <c r="B1446" s="28">
        <v>1128476007</v>
      </c>
      <c r="C1446" s="28" t="s">
        <v>25432</v>
      </c>
      <c r="D1446" s="28" t="s">
        <v>25492</v>
      </c>
      <c r="E1446" s="28" t="s">
        <v>25827</v>
      </c>
      <c r="F1446" s="28"/>
      <c r="G1446" s="28" t="s">
        <v>25328</v>
      </c>
      <c r="H1446" s="28" t="s">
        <v>19239</v>
      </c>
      <c r="I1446" s="30">
        <v>45851</v>
      </c>
      <c r="J1446" s="30">
        <v>45855</v>
      </c>
      <c r="K1446" s="53">
        <v>5</v>
      </c>
      <c r="L1446" s="29">
        <v>22</v>
      </c>
      <c r="M1446" s="27" t="s">
        <v>25036</v>
      </c>
    </row>
    <row r="1447" spans="1:13" s="27" customFormat="1" ht="17.25" customHeight="1" x14ac:dyDescent="0.25">
      <c r="A1447" s="28" t="s">
        <v>6</v>
      </c>
      <c r="B1447" s="28">
        <v>70421430</v>
      </c>
      <c r="C1447" s="28" t="s">
        <v>25127</v>
      </c>
      <c r="D1447" s="28" t="s">
        <v>25127</v>
      </c>
      <c r="E1447" s="28" t="s">
        <v>25512</v>
      </c>
      <c r="F1447" s="28" t="s">
        <v>25103</v>
      </c>
      <c r="G1447" s="28" t="s">
        <v>19229</v>
      </c>
      <c r="H1447" s="28" t="s">
        <v>19239</v>
      </c>
      <c r="I1447" s="30">
        <v>45852</v>
      </c>
      <c r="J1447" s="30">
        <v>45856</v>
      </c>
      <c r="K1447" s="53">
        <v>5</v>
      </c>
      <c r="L1447" s="29">
        <v>21</v>
      </c>
      <c r="M1447" s="27" t="s">
        <v>25036</v>
      </c>
    </row>
    <row r="1448" spans="1:13" s="27" customFormat="1" ht="17.25" customHeight="1" x14ac:dyDescent="0.25">
      <c r="A1448" s="28" t="s">
        <v>25186</v>
      </c>
      <c r="B1448" s="28">
        <v>71672469</v>
      </c>
      <c r="C1448" s="28" t="s">
        <v>24980</v>
      </c>
      <c r="D1448" s="28" t="s">
        <v>25224</v>
      </c>
      <c r="E1448" s="28" t="s">
        <v>26286</v>
      </c>
      <c r="F1448" s="28" t="s">
        <v>25103</v>
      </c>
      <c r="G1448" s="28" t="s">
        <v>19229</v>
      </c>
      <c r="H1448" s="28" t="s">
        <v>19240</v>
      </c>
      <c r="I1448" s="30">
        <v>45858</v>
      </c>
      <c r="J1448" s="30">
        <v>45862</v>
      </c>
      <c r="K1448" s="53">
        <v>5</v>
      </c>
      <c r="L1448" s="29"/>
      <c r="M1448" s="27" t="s">
        <v>26106</v>
      </c>
    </row>
    <row r="1449" spans="1:13" s="27" customFormat="1" ht="17.25" customHeight="1" x14ac:dyDescent="0.25">
      <c r="A1449" s="28" t="s">
        <v>25186</v>
      </c>
      <c r="B1449" s="28">
        <v>12973985</v>
      </c>
      <c r="C1449" s="28" t="s">
        <v>25547</v>
      </c>
      <c r="D1449" s="28" t="s">
        <v>25498</v>
      </c>
      <c r="E1449" s="28" t="s">
        <v>25119</v>
      </c>
      <c r="F1449" s="28"/>
      <c r="G1449" s="28" t="s">
        <v>19229</v>
      </c>
      <c r="H1449" s="28" t="s">
        <v>19240</v>
      </c>
      <c r="I1449" s="30">
        <v>45858</v>
      </c>
      <c r="J1449" s="30">
        <v>45869</v>
      </c>
      <c r="K1449" s="53">
        <v>12</v>
      </c>
      <c r="L1449" s="29"/>
      <c r="M1449" s="27" t="s">
        <v>24991</v>
      </c>
    </row>
    <row r="1450" spans="1:13" s="27" customFormat="1" ht="17.25" customHeight="1" x14ac:dyDescent="0.25">
      <c r="A1450" s="28" t="s">
        <v>25186</v>
      </c>
      <c r="B1450" s="28">
        <v>93396256</v>
      </c>
      <c r="C1450" s="28" t="s">
        <v>25505</v>
      </c>
      <c r="D1450" s="28" t="s">
        <v>25480</v>
      </c>
      <c r="E1450" s="28" t="s">
        <v>25102</v>
      </c>
      <c r="F1450" s="28" t="s">
        <v>25135</v>
      </c>
      <c r="G1450" s="28" t="s">
        <v>19229</v>
      </c>
      <c r="H1450" s="28" t="s">
        <v>19239</v>
      </c>
      <c r="I1450" s="30">
        <v>45860</v>
      </c>
      <c r="J1450" s="30">
        <v>45860</v>
      </c>
      <c r="K1450" s="53">
        <v>1</v>
      </c>
      <c r="L1450" s="29">
        <v>6</v>
      </c>
      <c r="M1450" s="27" t="s">
        <v>25036</v>
      </c>
    </row>
    <row r="1451" spans="1:13" s="27" customFormat="1" ht="17.25" customHeight="1" x14ac:dyDescent="0.25">
      <c r="A1451" s="28" t="s">
        <v>6</v>
      </c>
      <c r="B1451" s="28">
        <v>1146442150</v>
      </c>
      <c r="C1451" s="28" t="s">
        <v>25790</v>
      </c>
      <c r="D1451" s="28" t="s">
        <v>25498</v>
      </c>
      <c r="E1451" s="28" t="s">
        <v>19278</v>
      </c>
      <c r="F1451" s="28" t="s">
        <v>26257</v>
      </c>
      <c r="G1451" s="28" t="s">
        <v>19229</v>
      </c>
      <c r="H1451" s="28" t="s">
        <v>19239</v>
      </c>
      <c r="I1451" s="30">
        <v>45860</v>
      </c>
      <c r="J1451" s="30">
        <v>45862</v>
      </c>
      <c r="K1451" s="53">
        <v>3</v>
      </c>
      <c r="L1451" s="29">
        <v>15</v>
      </c>
      <c r="M1451" s="27" t="s">
        <v>25036</v>
      </c>
    </row>
    <row r="1452" spans="1:13" s="27" customFormat="1" ht="17.25" customHeight="1" x14ac:dyDescent="0.25">
      <c r="A1452" s="28" t="s">
        <v>6</v>
      </c>
      <c r="B1452" s="28">
        <v>1000758396</v>
      </c>
      <c r="C1452" s="28" t="s">
        <v>25244</v>
      </c>
      <c r="D1452" s="28"/>
      <c r="E1452" s="28" t="s">
        <v>25282</v>
      </c>
      <c r="F1452" s="28" t="s">
        <v>25096</v>
      </c>
      <c r="G1452" s="28" t="s">
        <v>19229</v>
      </c>
      <c r="H1452" s="28" t="s">
        <v>19239</v>
      </c>
      <c r="I1452" s="30">
        <v>45862</v>
      </c>
      <c r="J1452" s="30">
        <v>45866</v>
      </c>
      <c r="K1452" s="53">
        <v>5</v>
      </c>
      <c r="L1452" s="29">
        <v>1</v>
      </c>
      <c r="M1452" s="27" t="s">
        <v>25036</v>
      </c>
    </row>
    <row r="1453" spans="1:13" s="27" customFormat="1" ht="17.25" customHeight="1" x14ac:dyDescent="0.25">
      <c r="A1453" s="28" t="s">
        <v>6</v>
      </c>
      <c r="B1453" s="28">
        <v>1037478564</v>
      </c>
      <c r="C1453" s="28" t="s">
        <v>25415</v>
      </c>
      <c r="D1453" s="28" t="s">
        <v>26474</v>
      </c>
      <c r="E1453" s="28" t="s">
        <v>25573</v>
      </c>
      <c r="F1453" s="28" t="s">
        <v>25135</v>
      </c>
      <c r="G1453" s="28" t="s">
        <v>19285</v>
      </c>
      <c r="H1453" s="28" t="s">
        <v>19239</v>
      </c>
      <c r="I1453" s="30">
        <v>45862</v>
      </c>
      <c r="J1453" s="30">
        <v>45866</v>
      </c>
      <c r="K1453" s="53">
        <v>5</v>
      </c>
      <c r="L1453" s="29">
        <v>1</v>
      </c>
      <c r="M1453" s="27" t="s">
        <v>25036</v>
      </c>
    </row>
    <row r="1454" spans="1:13" s="27" customFormat="1" ht="17.25" customHeight="1" x14ac:dyDescent="0.25">
      <c r="A1454" s="28" t="s">
        <v>6</v>
      </c>
      <c r="B1454" s="28">
        <v>1000758396</v>
      </c>
      <c r="C1454" s="28" t="s">
        <v>25244</v>
      </c>
      <c r="D1454" s="28"/>
      <c r="E1454" s="28" t="s">
        <v>25282</v>
      </c>
      <c r="F1454" s="28" t="s">
        <v>25096</v>
      </c>
      <c r="G1454" s="28" t="s">
        <v>19229</v>
      </c>
      <c r="H1454" s="28" t="s">
        <v>19239</v>
      </c>
      <c r="I1454" s="30">
        <v>45862</v>
      </c>
      <c r="J1454" s="30">
        <v>45866</v>
      </c>
      <c r="K1454" s="53">
        <v>5</v>
      </c>
      <c r="L1454" s="29">
        <v>1</v>
      </c>
      <c r="M1454" s="27" t="s">
        <v>25036</v>
      </c>
    </row>
    <row r="1455" spans="1:13" s="27" customFormat="1" ht="17.25" customHeight="1" x14ac:dyDescent="0.25">
      <c r="A1455" s="28" t="s">
        <v>6</v>
      </c>
      <c r="B1455" s="28">
        <v>1047996139</v>
      </c>
      <c r="C1455" s="28" t="s">
        <v>25295</v>
      </c>
      <c r="D1455" s="28" t="s">
        <v>25462</v>
      </c>
      <c r="E1455" s="28" t="s">
        <v>26359</v>
      </c>
      <c r="F1455" s="28" t="s">
        <v>25596</v>
      </c>
      <c r="G1455" s="28" t="s">
        <v>19229</v>
      </c>
      <c r="H1455" s="28" t="s">
        <v>19239</v>
      </c>
      <c r="I1455" s="30">
        <v>45862</v>
      </c>
      <c r="J1455" s="30">
        <v>45866</v>
      </c>
      <c r="K1455" s="53">
        <v>5</v>
      </c>
      <c r="L1455" s="29">
        <v>1</v>
      </c>
      <c r="M1455" s="27" t="s">
        <v>25036</v>
      </c>
    </row>
    <row r="1456" spans="1:13" s="27" customFormat="1" ht="17.25" customHeight="1" x14ac:dyDescent="0.25">
      <c r="A1456" s="28" t="s">
        <v>6</v>
      </c>
      <c r="B1456" s="28">
        <v>11801545</v>
      </c>
      <c r="C1456" s="28" t="s">
        <v>25999</v>
      </c>
      <c r="D1456" s="28" t="s">
        <v>25998</v>
      </c>
      <c r="E1456" s="28" t="s">
        <v>26000</v>
      </c>
      <c r="F1456" s="28"/>
      <c r="G1456" s="28" t="s">
        <v>19229</v>
      </c>
      <c r="H1456" s="28" t="s">
        <v>19240</v>
      </c>
      <c r="I1456" s="30">
        <v>45862</v>
      </c>
      <c r="J1456" s="30">
        <v>45864</v>
      </c>
      <c r="K1456" s="53">
        <v>3</v>
      </c>
      <c r="L1456" s="29"/>
      <c r="M1456" s="27" t="s">
        <v>26106</v>
      </c>
    </row>
    <row r="1457" spans="1:13" s="27" customFormat="1" ht="17.25" customHeight="1" x14ac:dyDescent="0.25">
      <c r="A1457" s="28" t="s">
        <v>6</v>
      </c>
      <c r="B1457" s="28">
        <v>85163750</v>
      </c>
      <c r="C1457" s="28" t="s">
        <v>25041</v>
      </c>
      <c r="D1457" s="28" t="s">
        <v>25424</v>
      </c>
      <c r="E1457" s="28" t="s">
        <v>25712</v>
      </c>
      <c r="F1457" s="28"/>
      <c r="G1457" s="28" t="s">
        <v>19285</v>
      </c>
      <c r="H1457" s="28" t="s">
        <v>19240</v>
      </c>
      <c r="I1457" s="30">
        <v>45862</v>
      </c>
      <c r="J1457" s="30">
        <v>45866</v>
      </c>
      <c r="K1457" s="53">
        <v>5</v>
      </c>
      <c r="L1457" s="29"/>
      <c r="M1457" s="27" t="s">
        <v>26106</v>
      </c>
    </row>
    <row r="1458" spans="1:13" s="27" customFormat="1" ht="17.25" customHeight="1" x14ac:dyDescent="0.25">
      <c r="A1458" s="28" t="s">
        <v>6</v>
      </c>
      <c r="B1458" s="28">
        <v>11793045</v>
      </c>
      <c r="C1458" s="28" t="s">
        <v>26355</v>
      </c>
      <c r="D1458" s="28" t="s">
        <v>26355</v>
      </c>
      <c r="E1458" s="28" t="s">
        <v>26476</v>
      </c>
      <c r="F1458" s="28"/>
      <c r="G1458" s="28" t="s">
        <v>19229</v>
      </c>
      <c r="H1458" s="28" t="s">
        <v>19240</v>
      </c>
      <c r="I1458" s="30">
        <v>45869</v>
      </c>
      <c r="J1458" s="30">
        <v>45842</v>
      </c>
      <c r="K1458" s="53">
        <v>5</v>
      </c>
      <c r="L1458" s="29"/>
      <c r="M1458" s="27" t="s">
        <v>26106</v>
      </c>
    </row>
    <row r="1459" spans="1:13" s="27" customFormat="1" ht="17.25" customHeight="1" x14ac:dyDescent="0.25">
      <c r="A1459" s="28" t="s">
        <v>25850</v>
      </c>
      <c r="B1459" s="28">
        <v>1036965715</v>
      </c>
      <c r="C1459" s="28" t="s">
        <v>25361</v>
      </c>
      <c r="D1459" s="28" t="s">
        <v>25828</v>
      </c>
      <c r="E1459" s="28" t="s">
        <v>26383</v>
      </c>
      <c r="F1459" s="28" t="s">
        <v>25013</v>
      </c>
      <c r="G1459" s="28" t="s">
        <v>19229</v>
      </c>
      <c r="H1459" s="28" t="s">
        <v>19239</v>
      </c>
      <c r="I1459" s="30">
        <v>45877</v>
      </c>
      <c r="J1459" s="30">
        <v>45881</v>
      </c>
      <c r="K1459" s="53">
        <v>5</v>
      </c>
      <c r="L1459" s="29">
        <v>22</v>
      </c>
      <c r="M1459" s="27" t="s">
        <v>25036</v>
      </c>
    </row>
    <row r="1460" spans="1:13" s="27" customFormat="1" ht="17.25" customHeight="1" x14ac:dyDescent="0.25">
      <c r="A1460" s="28" t="s">
        <v>25850</v>
      </c>
      <c r="B1460" s="28">
        <v>1073992189</v>
      </c>
      <c r="C1460" s="28" t="s">
        <v>26477</v>
      </c>
      <c r="D1460" s="28" t="s">
        <v>25034</v>
      </c>
      <c r="E1460" s="28" t="s">
        <v>25203</v>
      </c>
      <c r="F1460" s="28" t="s">
        <v>25405</v>
      </c>
      <c r="G1460" s="28" t="s">
        <v>19229</v>
      </c>
      <c r="H1460" s="28" t="s">
        <v>19239</v>
      </c>
      <c r="I1460" s="30">
        <v>45880</v>
      </c>
      <c r="J1460" s="30">
        <v>45884</v>
      </c>
      <c r="K1460" s="53">
        <v>5</v>
      </c>
      <c r="L1460" s="29">
        <v>1</v>
      </c>
      <c r="M1460" s="27" t="s">
        <v>25036</v>
      </c>
    </row>
    <row r="1461" spans="1:13" s="27" customFormat="1" ht="17.25" customHeight="1" x14ac:dyDescent="0.25">
      <c r="A1461" s="28" t="s">
        <v>25850</v>
      </c>
      <c r="B1461" s="28">
        <v>1003286481</v>
      </c>
      <c r="C1461" s="28" t="s">
        <v>26478</v>
      </c>
      <c r="D1461" s="28" t="s">
        <v>26479</v>
      </c>
      <c r="E1461" s="28" t="s">
        <v>26305</v>
      </c>
      <c r="F1461" s="28" t="s">
        <v>25099</v>
      </c>
      <c r="G1461" s="28" t="s">
        <v>19229</v>
      </c>
      <c r="H1461" s="28" t="s">
        <v>19239</v>
      </c>
      <c r="I1461" s="30">
        <v>45880</v>
      </c>
      <c r="J1461" s="30">
        <v>45884</v>
      </c>
      <c r="K1461" s="53">
        <v>5</v>
      </c>
      <c r="L1461" s="29">
        <v>1</v>
      </c>
      <c r="M1461" s="27" t="s">
        <v>25036</v>
      </c>
    </row>
    <row r="1462" spans="1:13" s="27" customFormat="1" ht="17.25" customHeight="1" x14ac:dyDescent="0.25">
      <c r="A1462" s="28" t="s">
        <v>25850</v>
      </c>
      <c r="B1462" s="28">
        <v>1036622798</v>
      </c>
      <c r="C1462" s="28" t="s">
        <v>25136</v>
      </c>
      <c r="D1462" s="28" t="s">
        <v>25137</v>
      </c>
      <c r="E1462" s="28" t="s">
        <v>25138</v>
      </c>
      <c r="F1462" s="28" t="s">
        <v>25139</v>
      </c>
      <c r="G1462" s="28" t="s">
        <v>19229</v>
      </c>
      <c r="H1462" s="28" t="s">
        <v>19239</v>
      </c>
      <c r="I1462" s="30">
        <v>45888</v>
      </c>
      <c r="J1462" s="30">
        <v>45890</v>
      </c>
      <c r="K1462" s="53">
        <v>3</v>
      </c>
      <c r="L1462" s="29">
        <v>18</v>
      </c>
      <c r="M1462" s="27" t="s">
        <v>25036</v>
      </c>
    </row>
    <row r="1463" spans="1:13" s="27" customFormat="1" ht="17.25" customHeight="1" x14ac:dyDescent="0.25">
      <c r="A1463" s="28" t="s">
        <v>25850</v>
      </c>
      <c r="B1463" s="28">
        <v>1128438267</v>
      </c>
      <c r="C1463" s="28" t="s">
        <v>26302</v>
      </c>
      <c r="D1463" s="28" t="s">
        <v>25593</v>
      </c>
      <c r="E1463" s="28" t="s">
        <v>26303</v>
      </c>
      <c r="F1463" s="28" t="s">
        <v>24986</v>
      </c>
      <c r="G1463" s="28" t="s">
        <v>19229</v>
      </c>
      <c r="H1463" s="28" t="s">
        <v>19239</v>
      </c>
      <c r="I1463" s="30">
        <v>45888</v>
      </c>
      <c r="J1463" s="30">
        <v>45892</v>
      </c>
      <c r="K1463" s="53">
        <v>5</v>
      </c>
      <c r="L1463" s="29">
        <v>1</v>
      </c>
      <c r="M1463" s="27" t="s">
        <v>25036</v>
      </c>
    </row>
    <row r="1464" spans="1:13" s="27" customFormat="1" ht="17.25" customHeight="1" x14ac:dyDescent="0.25">
      <c r="A1464" s="28" t="s">
        <v>25850</v>
      </c>
      <c r="B1464" s="28">
        <v>1152708577</v>
      </c>
      <c r="C1464" s="28" t="s">
        <v>26350</v>
      </c>
      <c r="D1464" s="28" t="s">
        <v>26483</v>
      </c>
      <c r="E1464" s="28" t="s">
        <v>26484</v>
      </c>
      <c r="F1464" s="28" t="s">
        <v>26485</v>
      </c>
      <c r="G1464" s="28" t="s">
        <v>19229</v>
      </c>
      <c r="H1464" s="28" t="s">
        <v>19239</v>
      </c>
      <c r="I1464" s="30">
        <v>45888</v>
      </c>
      <c r="J1464" s="30">
        <v>45892</v>
      </c>
      <c r="K1464" s="53">
        <v>5</v>
      </c>
      <c r="L1464" s="29">
        <v>1</v>
      </c>
      <c r="M1464" s="27" t="s">
        <v>25036</v>
      </c>
    </row>
    <row r="1465" spans="1:13" s="27" customFormat="1" ht="17.25" customHeight="1" x14ac:dyDescent="0.25">
      <c r="A1465" s="28" t="s">
        <v>25850</v>
      </c>
      <c r="B1465" s="28">
        <v>1077448938</v>
      </c>
      <c r="C1465" s="28" t="s">
        <v>25120</v>
      </c>
      <c r="D1465" s="28" t="s">
        <v>26327</v>
      </c>
      <c r="E1465" s="28" t="s">
        <v>26490</v>
      </c>
      <c r="F1465" s="28"/>
      <c r="G1465" s="28" t="s">
        <v>19229</v>
      </c>
      <c r="H1465" s="28" t="s">
        <v>19239</v>
      </c>
      <c r="I1465" s="30">
        <v>45889</v>
      </c>
      <c r="J1465" s="30">
        <v>45891</v>
      </c>
      <c r="K1465" s="53">
        <v>3</v>
      </c>
      <c r="L1465" s="29">
        <v>10</v>
      </c>
      <c r="M1465" s="27" t="s">
        <v>25036</v>
      </c>
    </row>
    <row r="1466" spans="1:13" s="27" customFormat="1" ht="17.25" customHeight="1" x14ac:dyDescent="0.25">
      <c r="A1466" s="28" t="s">
        <v>25850</v>
      </c>
      <c r="B1466" s="28">
        <v>1005447664</v>
      </c>
      <c r="C1466" s="28" t="s">
        <v>26489</v>
      </c>
      <c r="D1466" s="28" t="s">
        <v>24992</v>
      </c>
      <c r="E1466" s="28" t="s">
        <v>25210</v>
      </c>
      <c r="F1466" s="28" t="s">
        <v>26027</v>
      </c>
      <c r="G1466" s="28" t="s">
        <v>19229</v>
      </c>
      <c r="H1466" s="28" t="s">
        <v>19239</v>
      </c>
      <c r="I1466" s="30">
        <v>45890</v>
      </c>
      <c r="J1466" s="30">
        <v>45890</v>
      </c>
      <c r="K1466" s="53">
        <v>1</v>
      </c>
      <c r="L1466" s="29">
        <v>4</v>
      </c>
      <c r="M1466" s="27" t="s">
        <v>25036</v>
      </c>
    </row>
    <row r="1467" spans="1:13" s="27" customFormat="1" ht="17.25" customHeight="1" x14ac:dyDescent="0.25">
      <c r="A1467" s="28" t="s">
        <v>25850</v>
      </c>
      <c r="B1467" s="28">
        <v>1000398937</v>
      </c>
      <c r="C1467" s="28" t="s">
        <v>25127</v>
      </c>
      <c r="D1467" s="28" t="s">
        <v>25721</v>
      </c>
      <c r="E1467" s="28" t="s">
        <v>25347</v>
      </c>
      <c r="F1467" s="28" t="s">
        <v>26486</v>
      </c>
      <c r="G1467" s="28" t="s">
        <v>19229</v>
      </c>
      <c r="H1467" s="28" t="s">
        <v>19239</v>
      </c>
      <c r="I1467" s="30">
        <v>45894</v>
      </c>
      <c r="J1467" s="30">
        <v>45898</v>
      </c>
      <c r="K1467" s="53">
        <v>5</v>
      </c>
      <c r="L1467" s="29">
        <v>1</v>
      </c>
      <c r="M1467" s="27" t="s">
        <v>25036</v>
      </c>
    </row>
    <row r="1468" spans="1:13" s="27" customFormat="1" ht="17.25" customHeight="1" x14ac:dyDescent="0.25">
      <c r="A1468" s="28" t="s">
        <v>25850</v>
      </c>
      <c r="B1468" s="28">
        <v>1042770077</v>
      </c>
      <c r="C1468" s="28" t="s">
        <v>25415</v>
      </c>
      <c r="D1468" s="28" t="s">
        <v>25426</v>
      </c>
      <c r="E1468" s="28" t="s">
        <v>26487</v>
      </c>
      <c r="F1468" s="28" t="s">
        <v>25080</v>
      </c>
      <c r="G1468" s="28" t="s">
        <v>19229</v>
      </c>
      <c r="H1468" s="28" t="s">
        <v>19239</v>
      </c>
      <c r="I1468" s="30">
        <v>45894</v>
      </c>
      <c r="J1468" s="30">
        <v>45898</v>
      </c>
      <c r="K1468" s="53">
        <v>5</v>
      </c>
      <c r="L1468" s="29">
        <v>1</v>
      </c>
      <c r="M1468" s="27" t="s">
        <v>25036</v>
      </c>
    </row>
    <row r="1469" spans="1:13" s="27" customFormat="1" ht="17.25" customHeight="1" x14ac:dyDescent="0.25">
      <c r="A1469" s="28" t="s">
        <v>25850</v>
      </c>
      <c r="B1469" s="28">
        <v>1035429016</v>
      </c>
      <c r="C1469" s="28" t="s">
        <v>24985</v>
      </c>
      <c r="D1469" s="28" t="s">
        <v>26488</v>
      </c>
      <c r="E1469" s="28" t="s">
        <v>25358</v>
      </c>
      <c r="F1469" s="28" t="s">
        <v>25405</v>
      </c>
      <c r="G1469" s="28" t="s">
        <v>19229</v>
      </c>
      <c r="H1469" s="28" t="s">
        <v>19239</v>
      </c>
      <c r="I1469" s="30">
        <v>45894</v>
      </c>
      <c r="J1469" s="30">
        <v>45898</v>
      </c>
      <c r="K1469" s="53">
        <v>5</v>
      </c>
      <c r="L1469" s="29">
        <v>1</v>
      </c>
      <c r="M1469" s="27" t="s">
        <v>25036</v>
      </c>
    </row>
    <row r="1470" spans="1:13" s="27" customFormat="1" ht="17.25" customHeight="1" x14ac:dyDescent="0.25">
      <c r="A1470" s="28" t="s">
        <v>25850</v>
      </c>
      <c r="B1470" s="28">
        <v>71729163</v>
      </c>
      <c r="C1470" s="28" t="s">
        <v>25034</v>
      </c>
      <c r="D1470" s="28" t="s">
        <v>26491</v>
      </c>
      <c r="E1470" s="28" t="s">
        <v>25110</v>
      </c>
      <c r="F1470" s="28"/>
      <c r="G1470" s="28" t="s">
        <v>19229</v>
      </c>
      <c r="H1470" s="28" t="s">
        <v>19239</v>
      </c>
      <c r="I1470" s="30">
        <v>45897</v>
      </c>
      <c r="J1470" s="30">
        <v>45899</v>
      </c>
      <c r="K1470" s="53">
        <v>3</v>
      </c>
      <c r="L1470" s="29">
        <v>4</v>
      </c>
      <c r="M1470" s="27" t="s">
        <v>25036</v>
      </c>
    </row>
    <row r="1471" spans="1:13" s="27" customFormat="1" ht="17.25" customHeight="1" x14ac:dyDescent="0.25">
      <c r="A1471" s="28" t="s">
        <v>25850</v>
      </c>
      <c r="B1471" s="28">
        <v>1046668553</v>
      </c>
      <c r="C1471" s="28" t="s">
        <v>25491</v>
      </c>
      <c r="D1471" s="28" t="s">
        <v>26049</v>
      </c>
      <c r="E1471" s="28" t="s">
        <v>24988</v>
      </c>
      <c r="F1471" s="28" t="s">
        <v>25755</v>
      </c>
      <c r="G1471" s="28" t="s">
        <v>19229</v>
      </c>
      <c r="H1471" s="28" t="s">
        <v>19239</v>
      </c>
      <c r="I1471" s="30">
        <v>45899</v>
      </c>
      <c r="J1471" s="30">
        <v>45903</v>
      </c>
      <c r="K1471" s="53">
        <v>5</v>
      </c>
      <c r="L1471" s="29">
        <v>22</v>
      </c>
      <c r="M1471" s="27" t="s">
        <v>25036</v>
      </c>
    </row>
    <row r="1472" spans="1:13" s="27" customFormat="1" ht="17.25" customHeight="1" x14ac:dyDescent="0.25">
      <c r="A1472" s="28" t="s">
        <v>8</v>
      </c>
      <c r="B1472" s="28">
        <v>98629043</v>
      </c>
      <c r="C1472" s="28" t="s">
        <v>25401</v>
      </c>
      <c r="D1472" s="28" t="s">
        <v>26492</v>
      </c>
      <c r="E1472" s="28" t="s">
        <v>26027</v>
      </c>
      <c r="F1472" s="28" t="s">
        <v>26493</v>
      </c>
      <c r="G1472" s="28" t="s">
        <v>19229</v>
      </c>
      <c r="H1472" s="28" t="s">
        <v>19239</v>
      </c>
      <c r="I1472" s="30">
        <v>45903</v>
      </c>
      <c r="J1472" s="30">
        <v>45907</v>
      </c>
      <c r="K1472" s="53">
        <v>5</v>
      </c>
      <c r="L1472" s="29">
        <v>1</v>
      </c>
      <c r="M1472" s="27" t="s">
        <v>25036</v>
      </c>
    </row>
    <row r="1473" spans="1:13" s="27" customFormat="1" ht="17.25" customHeight="1" x14ac:dyDescent="0.25">
      <c r="A1473" s="28" t="s">
        <v>8</v>
      </c>
      <c r="B1473" s="28">
        <v>1069469248</v>
      </c>
      <c r="C1473" s="28" t="s">
        <v>26192</v>
      </c>
      <c r="D1473" s="28" t="s">
        <v>25073</v>
      </c>
      <c r="E1473" s="28" t="s">
        <v>26193</v>
      </c>
      <c r="F1473" s="28" t="s">
        <v>25091</v>
      </c>
      <c r="G1473" s="28" t="s">
        <v>19229</v>
      </c>
      <c r="H1473" s="28" t="s">
        <v>19239</v>
      </c>
      <c r="I1473" s="30">
        <v>45903</v>
      </c>
      <c r="J1473" s="30">
        <v>45907</v>
      </c>
      <c r="K1473" s="53">
        <v>5</v>
      </c>
      <c r="L1473" s="29">
        <v>1</v>
      </c>
      <c r="M1473" s="27" t="s">
        <v>25036</v>
      </c>
    </row>
    <row r="1474" spans="1:13" s="27" customFormat="1" ht="17.25" customHeight="1" x14ac:dyDescent="0.25">
      <c r="A1474" s="28" t="s">
        <v>8</v>
      </c>
      <c r="B1474" s="28">
        <v>1033368823</v>
      </c>
      <c r="C1474" s="28" t="s">
        <v>25928</v>
      </c>
      <c r="D1474" s="28" t="s">
        <v>26429</v>
      </c>
      <c r="E1474" s="28" t="s">
        <v>26461</v>
      </c>
      <c r="F1474" s="28" t="s">
        <v>25188</v>
      </c>
      <c r="G1474" s="28" t="s">
        <v>19229</v>
      </c>
      <c r="H1474" s="28" t="s">
        <v>19239</v>
      </c>
      <c r="I1474" s="30">
        <v>45904</v>
      </c>
      <c r="J1474" s="30">
        <v>45904</v>
      </c>
      <c r="K1474" s="53">
        <v>1</v>
      </c>
      <c r="L1474" s="29">
        <v>4</v>
      </c>
      <c r="M1474" s="27" t="s">
        <v>25036</v>
      </c>
    </row>
    <row r="1475" spans="1:13" s="27" customFormat="1" ht="17.25" customHeight="1" x14ac:dyDescent="0.25">
      <c r="A1475" s="28" t="s">
        <v>8</v>
      </c>
      <c r="B1475" s="28">
        <v>1077475131</v>
      </c>
      <c r="C1475" s="28" t="s">
        <v>26494</v>
      </c>
      <c r="D1475" s="28" t="s">
        <v>26066</v>
      </c>
      <c r="E1475" s="28" t="s">
        <v>25089</v>
      </c>
      <c r="F1475" s="28" t="s">
        <v>25157</v>
      </c>
      <c r="G1475" s="28" t="s">
        <v>19229</v>
      </c>
      <c r="H1475" s="28" t="s">
        <v>19239</v>
      </c>
      <c r="I1475" s="30">
        <v>45905</v>
      </c>
      <c r="J1475" s="30">
        <v>45909</v>
      </c>
      <c r="K1475" s="53">
        <v>5</v>
      </c>
      <c r="L1475" s="29">
        <v>1</v>
      </c>
      <c r="M1475" s="27" t="s">
        <v>25036</v>
      </c>
    </row>
    <row r="1476" spans="1:13" s="27" customFormat="1" ht="17.25" customHeight="1" x14ac:dyDescent="0.25">
      <c r="A1476" s="28" t="s">
        <v>8</v>
      </c>
      <c r="B1476" s="28">
        <v>71712118</v>
      </c>
      <c r="C1476" s="28" t="s">
        <v>25361</v>
      </c>
      <c r="D1476" s="28" t="s">
        <v>25424</v>
      </c>
      <c r="E1476" s="28" t="s">
        <v>25627</v>
      </c>
      <c r="F1476" s="28" t="s">
        <v>25019</v>
      </c>
      <c r="G1476" s="28" t="s">
        <v>19229</v>
      </c>
      <c r="H1476" s="28" t="s">
        <v>19240</v>
      </c>
      <c r="I1476" s="30">
        <v>45907</v>
      </c>
      <c r="J1476" s="30">
        <v>45911</v>
      </c>
      <c r="K1476" s="53">
        <v>5</v>
      </c>
      <c r="L1476" s="29"/>
      <c r="M1476" s="27" t="s">
        <v>26106</v>
      </c>
    </row>
    <row r="1477" spans="1:13" s="27" customFormat="1" ht="17.25" customHeight="1" x14ac:dyDescent="0.25">
      <c r="A1477" s="28" t="s">
        <v>8</v>
      </c>
      <c r="B1477" s="28">
        <v>1000394285</v>
      </c>
      <c r="C1477" s="28" t="s">
        <v>26188</v>
      </c>
      <c r="D1477" s="28" t="s">
        <v>26399</v>
      </c>
      <c r="E1477" s="28" t="s">
        <v>25632</v>
      </c>
      <c r="F1477" s="28" t="s">
        <v>25177</v>
      </c>
      <c r="G1477" s="28" t="s">
        <v>19229</v>
      </c>
      <c r="H1477" s="28" t="s">
        <v>19239</v>
      </c>
      <c r="I1477" s="30">
        <v>45909</v>
      </c>
      <c r="J1477" s="30">
        <v>45913</v>
      </c>
      <c r="K1477" s="53">
        <v>5</v>
      </c>
      <c r="L1477" s="29">
        <v>1</v>
      </c>
      <c r="M1477" s="27" t="s">
        <v>25036</v>
      </c>
    </row>
    <row r="1478" spans="1:13" s="27" customFormat="1" ht="17.25" customHeight="1" x14ac:dyDescent="0.25">
      <c r="A1478" s="28" t="s">
        <v>8</v>
      </c>
      <c r="B1478" s="28">
        <v>98629043</v>
      </c>
      <c r="C1478" s="28" t="s">
        <v>25401</v>
      </c>
      <c r="D1478" s="28" t="s">
        <v>26492</v>
      </c>
      <c r="E1478" s="28" t="s">
        <v>26027</v>
      </c>
      <c r="F1478" s="28" t="s">
        <v>25020</v>
      </c>
      <c r="G1478" s="28" t="s">
        <v>19229</v>
      </c>
      <c r="H1478" s="28" t="s">
        <v>19239</v>
      </c>
      <c r="I1478" s="30">
        <v>45910</v>
      </c>
      <c r="J1478" s="30">
        <v>45910</v>
      </c>
      <c r="K1478" s="53">
        <v>1</v>
      </c>
      <c r="L1478" s="29">
        <v>6</v>
      </c>
      <c r="M1478" s="27" t="s">
        <v>25036</v>
      </c>
    </row>
    <row r="1479" spans="1:13" s="27" customFormat="1" ht="17.25" customHeight="1" x14ac:dyDescent="0.25">
      <c r="A1479" s="28" t="s">
        <v>8</v>
      </c>
      <c r="B1479" s="28">
        <v>1039761471</v>
      </c>
      <c r="C1479" s="28" t="s">
        <v>25053</v>
      </c>
      <c r="D1479" s="28" t="s">
        <v>26287</v>
      </c>
      <c r="E1479" s="28" t="s">
        <v>25709</v>
      </c>
      <c r="F1479" s="28" t="s">
        <v>26288</v>
      </c>
      <c r="G1479" s="28" t="s">
        <v>19229</v>
      </c>
      <c r="H1479" s="28" t="s">
        <v>19239</v>
      </c>
      <c r="I1479" s="30">
        <v>45910</v>
      </c>
      <c r="J1479" s="30">
        <v>45914</v>
      </c>
      <c r="K1479" s="53">
        <v>5</v>
      </c>
      <c r="L1479" s="29">
        <v>22</v>
      </c>
      <c r="M1479" s="27" t="s">
        <v>25036</v>
      </c>
    </row>
    <row r="1480" spans="1:13" s="27" customFormat="1" ht="17.25" customHeight="1" x14ac:dyDescent="0.25">
      <c r="A1480" s="28" t="s">
        <v>8</v>
      </c>
      <c r="B1480" s="28">
        <v>1037478564</v>
      </c>
      <c r="C1480" s="28" t="s">
        <v>25415</v>
      </c>
      <c r="D1480" s="28" t="s">
        <v>26474</v>
      </c>
      <c r="E1480" s="28" t="s">
        <v>25573</v>
      </c>
      <c r="F1480" s="28" t="s">
        <v>25135</v>
      </c>
      <c r="G1480" s="28" t="s">
        <v>19229</v>
      </c>
      <c r="H1480" s="28" t="s">
        <v>19239</v>
      </c>
      <c r="I1480" s="30">
        <v>45915</v>
      </c>
      <c r="J1480" s="30">
        <v>45919</v>
      </c>
      <c r="K1480" s="53">
        <v>5</v>
      </c>
      <c r="L1480" s="29">
        <v>15</v>
      </c>
      <c r="M1480" s="27" t="s">
        <v>25036</v>
      </c>
    </row>
    <row r="1481" spans="1:13" s="27" customFormat="1" ht="17.25" customHeight="1" x14ac:dyDescent="0.25">
      <c r="A1481" s="28" t="s">
        <v>8</v>
      </c>
      <c r="B1481" s="28">
        <v>1001652259</v>
      </c>
      <c r="C1481" s="28" t="s">
        <v>25137</v>
      </c>
      <c r="D1481" s="28" t="s">
        <v>25284</v>
      </c>
      <c r="E1481" s="28" t="s">
        <v>26480</v>
      </c>
      <c r="F1481" s="28"/>
      <c r="G1481" s="28" t="s">
        <v>19229</v>
      </c>
      <c r="H1481" s="28" t="s">
        <v>19239</v>
      </c>
      <c r="I1481" s="30">
        <v>45917</v>
      </c>
      <c r="J1481" s="30">
        <v>45917</v>
      </c>
      <c r="K1481" s="53">
        <v>1</v>
      </c>
      <c r="L1481" s="29">
        <v>4</v>
      </c>
      <c r="M1481" s="27" t="s">
        <v>25036</v>
      </c>
    </row>
    <row r="1482" spans="1:13" s="27" customFormat="1" ht="17.25" customHeight="1" x14ac:dyDescent="0.25">
      <c r="A1482" s="28" t="s">
        <v>8</v>
      </c>
      <c r="B1482" s="28">
        <v>1128198069</v>
      </c>
      <c r="C1482" s="28" t="s">
        <v>25775</v>
      </c>
      <c r="D1482" s="28" t="s">
        <v>25098</v>
      </c>
      <c r="E1482" s="28" t="s">
        <v>25282</v>
      </c>
      <c r="F1482" s="28" t="s">
        <v>25028</v>
      </c>
      <c r="G1482" s="28" t="s">
        <v>19229</v>
      </c>
      <c r="H1482" s="28" t="s">
        <v>19239</v>
      </c>
      <c r="I1482" s="30">
        <v>45922</v>
      </c>
      <c r="J1482" s="30">
        <v>45922</v>
      </c>
      <c r="K1482" s="53">
        <v>1</v>
      </c>
      <c r="L1482" s="29">
        <v>4</v>
      </c>
      <c r="M1482" s="27" t="s">
        <v>25036</v>
      </c>
    </row>
    <row r="1483" spans="1:13" s="27" customFormat="1" ht="17.25" customHeight="1" x14ac:dyDescent="0.25">
      <c r="A1483" s="28" t="s">
        <v>8</v>
      </c>
      <c r="B1483" s="28">
        <v>1099550062</v>
      </c>
      <c r="C1483" s="28" t="s">
        <v>25190</v>
      </c>
      <c r="D1483" s="28" t="s">
        <v>25506</v>
      </c>
      <c r="E1483" s="28" t="s">
        <v>6</v>
      </c>
      <c r="F1483" s="28" t="s">
        <v>25878</v>
      </c>
      <c r="G1483" s="28" t="s">
        <v>19229</v>
      </c>
      <c r="H1483" s="28" t="s">
        <v>19239</v>
      </c>
      <c r="I1483" s="30">
        <v>45926</v>
      </c>
      <c r="J1483" s="30">
        <v>45928</v>
      </c>
      <c r="K1483" s="53">
        <v>3</v>
      </c>
      <c r="L1483" s="29">
        <v>10</v>
      </c>
      <c r="M1483" s="27" t="s">
        <v>25036</v>
      </c>
    </row>
    <row r="1484" spans="1:13" s="27" customFormat="1" ht="17.25" customHeight="1" x14ac:dyDescent="0.25">
      <c r="A1484" s="28" t="s">
        <v>8</v>
      </c>
      <c r="B1484" s="28">
        <v>1001773017</v>
      </c>
      <c r="C1484" s="28" t="s">
        <v>25415</v>
      </c>
      <c r="D1484" s="28" t="s">
        <v>25426</v>
      </c>
      <c r="E1484" s="28" t="s">
        <v>25798</v>
      </c>
      <c r="F1484" s="28" t="s">
        <v>25632</v>
      </c>
      <c r="G1484" s="28" t="s">
        <v>19229</v>
      </c>
      <c r="H1484" s="28" t="s">
        <v>19239</v>
      </c>
      <c r="I1484" s="30">
        <v>45929</v>
      </c>
      <c r="J1484" s="30">
        <v>45930</v>
      </c>
      <c r="K1484" s="53">
        <v>2</v>
      </c>
      <c r="L1484" s="29">
        <v>2</v>
      </c>
      <c r="M1484" s="27" t="s">
        <v>25067</v>
      </c>
    </row>
    <row r="1485" spans="1:13" s="27" customFormat="1" ht="17.25" customHeight="1" x14ac:dyDescent="0.25">
      <c r="A1485" s="28" t="s">
        <v>9</v>
      </c>
      <c r="B1485" s="28">
        <v>1001652259</v>
      </c>
      <c r="C1485" s="28" t="s">
        <v>25137</v>
      </c>
      <c r="D1485" s="28" t="s">
        <v>25284</v>
      </c>
      <c r="E1485" s="28" t="s">
        <v>26480</v>
      </c>
      <c r="F1485" s="28"/>
      <c r="G1485" s="28" t="s">
        <v>19229</v>
      </c>
      <c r="H1485" s="28" t="s">
        <v>19239</v>
      </c>
      <c r="I1485" s="30">
        <v>45938</v>
      </c>
      <c r="J1485" s="30">
        <v>45879</v>
      </c>
      <c r="K1485" s="53">
        <v>3</v>
      </c>
      <c r="L1485" s="29">
        <v>4</v>
      </c>
      <c r="M1485" s="27" t="s">
        <v>25036</v>
      </c>
    </row>
    <row r="1486" spans="1:13" s="27" customFormat="1" ht="17.25" customHeight="1" x14ac:dyDescent="0.25">
      <c r="A1486" s="28" t="s">
        <v>9</v>
      </c>
      <c r="B1486" s="28">
        <v>98603875</v>
      </c>
      <c r="C1486" s="28" t="s">
        <v>25341</v>
      </c>
      <c r="D1486" s="28" t="s">
        <v>25202</v>
      </c>
      <c r="E1486" s="28" t="s">
        <v>25672</v>
      </c>
      <c r="F1486" s="28" t="s">
        <v>25020</v>
      </c>
      <c r="G1486" s="28" t="s">
        <v>19229</v>
      </c>
      <c r="H1486" s="28" t="s">
        <v>19239</v>
      </c>
      <c r="I1486" s="30">
        <v>45940</v>
      </c>
      <c r="J1486" s="30">
        <v>45944</v>
      </c>
      <c r="K1486" s="53">
        <v>5</v>
      </c>
      <c r="L1486" s="29">
        <v>22</v>
      </c>
      <c r="M1486" s="27" t="s">
        <v>25036</v>
      </c>
    </row>
    <row r="1487" spans="1:13" s="27" customFormat="1" ht="17.25" customHeight="1" x14ac:dyDescent="0.25">
      <c r="A1487" s="28" t="s">
        <v>9</v>
      </c>
      <c r="B1487" s="28">
        <v>1040047701</v>
      </c>
      <c r="C1487" s="28" t="s">
        <v>26113</v>
      </c>
      <c r="D1487" s="28" t="s">
        <v>25357</v>
      </c>
      <c r="E1487" s="28" t="s">
        <v>26510</v>
      </c>
      <c r="F1487" s="28" t="s">
        <v>26175</v>
      </c>
      <c r="G1487" s="28" t="s">
        <v>19229</v>
      </c>
      <c r="H1487" s="28" t="s">
        <v>19239</v>
      </c>
      <c r="I1487" s="30">
        <v>45940</v>
      </c>
      <c r="J1487" s="30">
        <v>45944</v>
      </c>
      <c r="K1487" s="53">
        <v>5</v>
      </c>
      <c r="L1487" s="29">
        <v>1</v>
      </c>
      <c r="M1487" s="27" t="s">
        <v>25036</v>
      </c>
    </row>
    <row r="1488" spans="1:13" s="27" customFormat="1" ht="17.25" customHeight="1" x14ac:dyDescent="0.25">
      <c r="A1488" s="28" t="s">
        <v>9</v>
      </c>
      <c r="B1488" s="28">
        <v>98634710</v>
      </c>
      <c r="C1488" s="28" t="s">
        <v>25373</v>
      </c>
      <c r="D1488" s="28"/>
      <c r="E1488" s="28" t="s">
        <v>25141</v>
      </c>
      <c r="F1488" s="28" t="s">
        <v>25397</v>
      </c>
      <c r="G1488" s="28" t="s">
        <v>19229</v>
      </c>
      <c r="H1488" s="28" t="s">
        <v>19239</v>
      </c>
      <c r="I1488" s="30">
        <v>45941</v>
      </c>
      <c r="J1488" s="30">
        <v>45941</v>
      </c>
      <c r="K1488" s="53">
        <v>1</v>
      </c>
      <c r="L1488" s="29">
        <v>4</v>
      </c>
      <c r="M1488" s="27" t="s">
        <v>25036</v>
      </c>
    </row>
    <row r="1489" spans="1:13" s="27" customFormat="1" ht="17.25" customHeight="1" x14ac:dyDescent="0.25">
      <c r="A1489" s="28" t="s">
        <v>9</v>
      </c>
      <c r="B1489" s="28">
        <v>1037449223</v>
      </c>
      <c r="C1489" s="28" t="s">
        <v>25340</v>
      </c>
      <c r="D1489" s="28" t="s">
        <v>25429</v>
      </c>
      <c r="E1489" s="28" t="s">
        <v>25035</v>
      </c>
      <c r="F1489" s="28" t="s">
        <v>19278</v>
      </c>
      <c r="G1489" s="28" t="s">
        <v>19229</v>
      </c>
      <c r="H1489" s="28" t="s">
        <v>19239</v>
      </c>
      <c r="I1489" s="30">
        <v>45944</v>
      </c>
      <c r="J1489" s="30">
        <v>45948</v>
      </c>
      <c r="K1489" s="53">
        <v>5</v>
      </c>
      <c r="L1489" s="29">
        <v>1</v>
      </c>
      <c r="M1489" s="27" t="s">
        <v>25036</v>
      </c>
    </row>
    <row r="1490" spans="1:13" s="27" customFormat="1" ht="17.25" customHeight="1" x14ac:dyDescent="0.25">
      <c r="A1490" s="28" t="s">
        <v>9</v>
      </c>
      <c r="B1490" s="28">
        <v>1005447664</v>
      </c>
      <c r="C1490" s="28" t="s">
        <v>26489</v>
      </c>
      <c r="D1490" s="28" t="s">
        <v>25145</v>
      </c>
      <c r="E1490" s="28" t="s">
        <v>25663</v>
      </c>
      <c r="F1490" s="28" t="s">
        <v>25276</v>
      </c>
      <c r="G1490" s="28" t="s">
        <v>19229</v>
      </c>
      <c r="H1490" s="28" t="s">
        <v>19239</v>
      </c>
      <c r="I1490" s="30">
        <v>45945</v>
      </c>
      <c r="J1490" s="30">
        <v>45945</v>
      </c>
      <c r="K1490" s="53">
        <v>1</v>
      </c>
      <c r="L1490" s="29">
        <v>6</v>
      </c>
      <c r="M1490" s="27" t="s">
        <v>25036</v>
      </c>
    </row>
    <row r="1491" spans="1:13" s="27" customFormat="1" ht="17.25" customHeight="1" x14ac:dyDescent="0.25">
      <c r="A1491" s="28" t="s">
        <v>9</v>
      </c>
      <c r="B1491" s="28">
        <v>1017192273</v>
      </c>
      <c r="C1491" s="28" t="s">
        <v>25216</v>
      </c>
      <c r="D1491" s="28" t="s">
        <v>25459</v>
      </c>
      <c r="E1491" s="28" t="s">
        <v>25676</v>
      </c>
      <c r="F1491" s="28" t="s">
        <v>25648</v>
      </c>
      <c r="G1491" s="28" t="s">
        <v>19229</v>
      </c>
      <c r="H1491" s="28" t="s">
        <v>19239</v>
      </c>
      <c r="I1491" s="30">
        <v>45947</v>
      </c>
      <c r="J1491" s="30">
        <v>45949</v>
      </c>
      <c r="K1491" s="53">
        <v>3</v>
      </c>
      <c r="L1491" s="29">
        <v>1</v>
      </c>
      <c r="M1491" s="27" t="s">
        <v>25036</v>
      </c>
    </row>
    <row r="1492" spans="1:13" s="27" customFormat="1" ht="17.25" customHeight="1" x14ac:dyDescent="0.25">
      <c r="A1492" s="28" t="s">
        <v>9</v>
      </c>
      <c r="B1492" s="28">
        <v>1128442108</v>
      </c>
      <c r="C1492" s="28" t="s">
        <v>25587</v>
      </c>
      <c r="D1492" s="28" t="s">
        <v>25928</v>
      </c>
      <c r="E1492" s="28" t="s">
        <v>25255</v>
      </c>
      <c r="F1492" s="28" t="s">
        <v>25028</v>
      </c>
      <c r="G1492" s="28" t="s">
        <v>19229</v>
      </c>
      <c r="H1492" s="28" t="s">
        <v>19239</v>
      </c>
      <c r="I1492" s="30">
        <v>45950</v>
      </c>
      <c r="J1492" s="30">
        <v>45954</v>
      </c>
      <c r="K1492" s="53">
        <v>5</v>
      </c>
      <c r="L1492" s="29">
        <v>1</v>
      </c>
      <c r="M1492" s="27" t="s">
        <v>25036</v>
      </c>
    </row>
    <row r="1493" spans="1:13" s="27" customFormat="1" ht="17.25" customHeight="1" x14ac:dyDescent="0.25">
      <c r="A1493" s="28" t="s">
        <v>9</v>
      </c>
      <c r="B1493" s="28">
        <v>1001652259</v>
      </c>
      <c r="C1493" s="28" t="s">
        <v>25137</v>
      </c>
      <c r="D1493" s="28" t="s">
        <v>25284</v>
      </c>
      <c r="E1493" s="28" t="s">
        <v>26480</v>
      </c>
      <c r="F1493" s="28"/>
      <c r="G1493" s="28" t="s">
        <v>19229</v>
      </c>
      <c r="H1493" s="28" t="s">
        <v>19239</v>
      </c>
      <c r="I1493" s="30">
        <v>45957</v>
      </c>
      <c r="J1493" s="30">
        <v>45961</v>
      </c>
      <c r="K1493" s="53">
        <v>5</v>
      </c>
      <c r="L1493" s="29">
        <v>22</v>
      </c>
      <c r="M1493" s="27" t="s">
        <v>25036</v>
      </c>
    </row>
    <row r="1494" spans="1:13" s="27" customFormat="1" ht="17.25" customHeight="1" x14ac:dyDescent="0.25">
      <c r="A1494" s="28" t="s">
        <v>9</v>
      </c>
      <c r="B1494" s="28">
        <v>1001652259</v>
      </c>
      <c r="C1494" s="28" t="s">
        <v>25137</v>
      </c>
      <c r="D1494" s="28" t="s">
        <v>25284</v>
      </c>
      <c r="E1494" s="28" t="s">
        <v>26480</v>
      </c>
      <c r="F1494" s="28"/>
      <c r="G1494" s="28" t="s">
        <v>19229</v>
      </c>
      <c r="H1494" s="28" t="s">
        <v>19239</v>
      </c>
      <c r="I1494" s="30">
        <v>45957</v>
      </c>
      <c r="J1494" s="30">
        <v>45961</v>
      </c>
      <c r="K1494" s="53">
        <v>5</v>
      </c>
      <c r="L1494" s="29">
        <v>1</v>
      </c>
      <c r="M1494" s="27" t="s">
        <v>25036</v>
      </c>
    </row>
    <row r="1495" spans="1:13" s="27" customFormat="1" ht="17.25" customHeight="1" x14ac:dyDescent="0.25">
      <c r="A1495" s="28" t="s">
        <v>9</v>
      </c>
      <c r="B1495" s="28">
        <v>71987067</v>
      </c>
      <c r="C1495" s="28" t="s">
        <v>25128</v>
      </c>
      <c r="D1495" s="28" t="s">
        <v>25634</v>
      </c>
      <c r="E1495" s="28" t="s">
        <v>25130</v>
      </c>
      <c r="F1495" s="28" t="s">
        <v>25131</v>
      </c>
      <c r="G1495" s="28" t="s">
        <v>19229</v>
      </c>
      <c r="H1495" s="28" t="s">
        <v>19239</v>
      </c>
      <c r="I1495" s="30">
        <v>45958</v>
      </c>
      <c r="J1495" s="30">
        <v>45962</v>
      </c>
      <c r="K1495" s="53">
        <v>5</v>
      </c>
      <c r="L1495" s="29">
        <v>1</v>
      </c>
      <c r="M1495" s="27" t="s">
        <v>25036</v>
      </c>
    </row>
    <row r="1496" spans="1:13" s="27" customFormat="1" ht="17.25" customHeight="1" x14ac:dyDescent="0.25">
      <c r="A1496" s="28" t="s">
        <v>9</v>
      </c>
      <c r="B1496" s="28">
        <v>78741278</v>
      </c>
      <c r="C1496" s="28" t="s">
        <v>26509</v>
      </c>
      <c r="D1496" s="28" t="s">
        <v>26253</v>
      </c>
      <c r="E1496" s="28" t="s">
        <v>26267</v>
      </c>
      <c r="F1496" s="28"/>
      <c r="G1496" s="28" t="s">
        <v>19229</v>
      </c>
      <c r="H1496" s="28" t="s">
        <v>19239</v>
      </c>
      <c r="I1496" s="30">
        <v>45958</v>
      </c>
      <c r="J1496" s="30">
        <v>45958</v>
      </c>
      <c r="K1496" s="53">
        <v>1</v>
      </c>
      <c r="L1496" s="29">
        <v>6</v>
      </c>
      <c r="M1496" s="27" t="s">
        <v>25036</v>
      </c>
    </row>
    <row r="1497" spans="1:13" s="27" customFormat="1" ht="17.25" customHeight="1" x14ac:dyDescent="0.25">
      <c r="A1497" s="28" t="s">
        <v>9</v>
      </c>
      <c r="B1497" s="28">
        <v>1039284741</v>
      </c>
      <c r="C1497" s="28" t="s">
        <v>25588</v>
      </c>
      <c r="D1497" s="28" t="s">
        <v>25109</v>
      </c>
      <c r="E1497" s="28" t="s">
        <v>26450</v>
      </c>
      <c r="F1497" s="28"/>
      <c r="G1497" s="28" t="s">
        <v>19229</v>
      </c>
      <c r="H1497" s="28" t="s">
        <v>19239</v>
      </c>
      <c r="I1497" s="30">
        <v>45959</v>
      </c>
      <c r="J1497" s="30">
        <v>45963</v>
      </c>
      <c r="K1497" s="53">
        <v>5</v>
      </c>
      <c r="L1497" s="29">
        <v>22</v>
      </c>
      <c r="M1497" s="27" t="s">
        <v>25036</v>
      </c>
    </row>
    <row r="1498" spans="1:13" s="27" customFormat="1" ht="17.25" customHeight="1" x14ac:dyDescent="0.25">
      <c r="A1498" s="28" t="s">
        <v>9</v>
      </c>
      <c r="B1498" s="28">
        <v>71733598</v>
      </c>
      <c r="C1498" s="28" t="s">
        <v>25310</v>
      </c>
      <c r="D1498" s="28"/>
      <c r="E1498" s="28" t="s">
        <v>25358</v>
      </c>
      <c r="F1498" s="28" t="s">
        <v>25005</v>
      </c>
      <c r="G1498" s="28" t="s">
        <v>19229</v>
      </c>
      <c r="H1498" s="28" t="s">
        <v>19239</v>
      </c>
      <c r="I1498" s="30">
        <v>45960</v>
      </c>
      <c r="J1498" s="30">
        <v>45964</v>
      </c>
      <c r="K1498" s="53">
        <v>5</v>
      </c>
      <c r="L1498" s="29">
        <v>21</v>
      </c>
      <c r="M1498" s="27" t="s">
        <v>25036</v>
      </c>
    </row>
    <row r="1499" spans="1:13" s="27" customFormat="1" ht="17.25" customHeight="1" x14ac:dyDescent="0.25">
      <c r="A1499" s="28" t="s">
        <v>10</v>
      </c>
      <c r="B1499" s="28">
        <v>71605406</v>
      </c>
      <c r="C1499" s="28" t="s">
        <v>25257</v>
      </c>
      <c r="D1499" s="28" t="s">
        <v>26044</v>
      </c>
      <c r="E1499" s="28" t="s">
        <v>26042</v>
      </c>
      <c r="F1499" s="28" t="s">
        <v>25135</v>
      </c>
      <c r="G1499" s="28" t="s">
        <v>19229</v>
      </c>
      <c r="H1499" s="28" t="s">
        <v>19239</v>
      </c>
      <c r="I1499" s="30">
        <v>45966</v>
      </c>
      <c r="J1499" s="30">
        <v>45970</v>
      </c>
      <c r="K1499" s="53">
        <v>5</v>
      </c>
      <c r="L1499" s="29">
        <v>1</v>
      </c>
      <c r="M1499" s="27" t="s">
        <v>25036</v>
      </c>
    </row>
    <row r="1500" spans="1:13" s="27" customFormat="1" ht="17.25" customHeight="1" x14ac:dyDescent="0.25">
      <c r="A1500" s="28" t="s">
        <v>10</v>
      </c>
      <c r="B1500" s="28">
        <v>8436361</v>
      </c>
      <c r="C1500" s="28" t="s">
        <v>26094</v>
      </c>
      <c r="D1500" s="28" t="s">
        <v>25645</v>
      </c>
      <c r="E1500" s="28" t="s">
        <v>25545</v>
      </c>
      <c r="F1500" s="28"/>
      <c r="G1500" s="28" t="s">
        <v>19229</v>
      </c>
      <c r="H1500" s="28" t="s">
        <v>19239</v>
      </c>
      <c r="I1500" s="30">
        <v>45971</v>
      </c>
      <c r="J1500" s="30">
        <v>45975</v>
      </c>
      <c r="K1500" s="53">
        <v>5</v>
      </c>
      <c r="L1500" s="29">
        <v>1</v>
      </c>
      <c r="M1500" s="27" t="s">
        <v>25036</v>
      </c>
    </row>
    <row r="1501" spans="1:13" s="27" customFormat="1" ht="17.25" customHeight="1" x14ac:dyDescent="0.25">
      <c r="A1501" s="28" t="s">
        <v>10</v>
      </c>
      <c r="B1501" s="28">
        <v>1036682985</v>
      </c>
      <c r="C1501" s="28" t="s">
        <v>25002</v>
      </c>
      <c r="D1501" s="28" t="s">
        <v>26495</v>
      </c>
      <c r="E1501" s="28" t="s">
        <v>26496</v>
      </c>
      <c r="F1501" s="28" t="s">
        <v>25632</v>
      </c>
      <c r="G1501" s="28" t="s">
        <v>19229</v>
      </c>
      <c r="H1501" s="28" t="s">
        <v>19239</v>
      </c>
      <c r="I1501" s="30">
        <v>45972</v>
      </c>
      <c r="J1501" s="30">
        <v>45976</v>
      </c>
      <c r="K1501" s="53">
        <v>5</v>
      </c>
      <c r="L1501" s="29">
        <v>1</v>
      </c>
      <c r="M1501" s="27" t="s">
        <v>25036</v>
      </c>
    </row>
    <row r="1502" spans="1:13" s="27" customFormat="1" ht="17.25" customHeight="1" x14ac:dyDescent="0.25">
      <c r="A1502" s="28" t="s">
        <v>10</v>
      </c>
      <c r="B1502" s="28">
        <v>1000533213</v>
      </c>
      <c r="C1502" s="28" t="s">
        <v>25930</v>
      </c>
      <c r="D1502" s="28" t="s">
        <v>19258</v>
      </c>
      <c r="E1502" s="28" t="s">
        <v>25089</v>
      </c>
      <c r="F1502" s="28" t="s">
        <v>25157</v>
      </c>
      <c r="G1502" s="28" t="s">
        <v>19229</v>
      </c>
      <c r="H1502" s="28" t="s">
        <v>19239</v>
      </c>
      <c r="I1502" s="30">
        <v>45973</v>
      </c>
      <c r="J1502" s="30">
        <v>45977</v>
      </c>
      <c r="K1502" s="53">
        <v>5</v>
      </c>
      <c r="L1502" s="29">
        <v>1</v>
      </c>
      <c r="M1502" s="27" t="s">
        <v>25036</v>
      </c>
    </row>
    <row r="1503" spans="1:13" s="27" customFormat="1" ht="17.25" customHeight="1" x14ac:dyDescent="0.25">
      <c r="A1503" s="28" t="s">
        <v>10</v>
      </c>
      <c r="B1503" s="28">
        <v>1020415944</v>
      </c>
      <c r="C1503" s="28" t="s">
        <v>26511</v>
      </c>
      <c r="D1503" s="28" t="s">
        <v>25118</v>
      </c>
      <c r="E1503" s="28" t="s">
        <v>25177</v>
      </c>
      <c r="F1503" s="28" t="s">
        <v>25413</v>
      </c>
      <c r="G1503" s="28" t="s">
        <v>19229</v>
      </c>
      <c r="H1503" s="28" t="s">
        <v>19239</v>
      </c>
      <c r="I1503" s="30">
        <v>45973</v>
      </c>
      <c r="J1503" s="30">
        <v>45973</v>
      </c>
      <c r="K1503" s="53">
        <v>1</v>
      </c>
      <c r="L1503" s="29">
        <v>6</v>
      </c>
      <c r="M1503" s="27" t="s">
        <v>25036</v>
      </c>
    </row>
    <row r="1504" spans="1:13" s="27" customFormat="1" ht="17.25" customHeight="1" x14ac:dyDescent="0.25">
      <c r="A1504" s="28" t="s">
        <v>10</v>
      </c>
      <c r="B1504" s="28">
        <v>71985350</v>
      </c>
      <c r="C1504" s="28" t="s">
        <v>25659</v>
      </c>
      <c r="D1504" s="28" t="s">
        <v>24980</v>
      </c>
      <c r="E1504" s="28" t="s">
        <v>25660</v>
      </c>
      <c r="F1504" s="28"/>
      <c r="G1504" s="28" t="s">
        <v>19229</v>
      </c>
      <c r="H1504" s="28" t="s">
        <v>19239</v>
      </c>
      <c r="I1504" s="30">
        <v>45979</v>
      </c>
      <c r="J1504" s="30">
        <v>45979</v>
      </c>
      <c r="K1504" s="53">
        <v>1</v>
      </c>
      <c r="L1504" s="29">
        <v>6</v>
      </c>
      <c r="M1504" s="27" t="s">
        <v>25036</v>
      </c>
    </row>
    <row r="1505" spans="1:13" s="27" customFormat="1" ht="17.25" customHeight="1" x14ac:dyDescent="0.25">
      <c r="A1505" s="28" t="s">
        <v>10</v>
      </c>
      <c r="B1505" s="28">
        <v>1017192273</v>
      </c>
      <c r="C1505" s="28" t="s">
        <v>25216</v>
      </c>
      <c r="D1505" s="28" t="s">
        <v>25459</v>
      </c>
      <c r="E1505" s="28" t="s">
        <v>25676</v>
      </c>
      <c r="F1505" s="28" t="s">
        <v>25648</v>
      </c>
      <c r="G1505" s="28" t="s">
        <v>19229</v>
      </c>
      <c r="H1505" s="28" t="s">
        <v>19239</v>
      </c>
      <c r="I1505" s="30">
        <v>45980</v>
      </c>
      <c r="J1505" s="30">
        <v>45980</v>
      </c>
      <c r="K1505" s="53">
        <v>1</v>
      </c>
      <c r="L1505" s="29">
        <v>4</v>
      </c>
      <c r="M1505" s="27" t="s">
        <v>25036</v>
      </c>
    </row>
    <row r="1506" spans="1:13" s="27" customFormat="1" ht="17.25" customHeight="1" x14ac:dyDescent="0.25">
      <c r="A1506" s="28" t="s">
        <v>10</v>
      </c>
      <c r="B1506" s="28">
        <v>1039284741</v>
      </c>
      <c r="C1506" s="28" t="s">
        <v>25588</v>
      </c>
      <c r="D1506" s="28" t="s">
        <v>25109</v>
      </c>
      <c r="E1506" s="28" t="s">
        <v>26450</v>
      </c>
      <c r="F1506" s="28"/>
      <c r="G1506" s="28" t="s">
        <v>19229</v>
      </c>
      <c r="H1506" s="28" t="s">
        <v>19239</v>
      </c>
      <c r="I1506" s="30">
        <v>45980</v>
      </c>
      <c r="J1506" s="30">
        <v>45984</v>
      </c>
      <c r="K1506" s="53">
        <v>5</v>
      </c>
      <c r="L1506" s="29">
        <v>1</v>
      </c>
      <c r="M1506" s="27" t="s">
        <v>25036</v>
      </c>
    </row>
    <row r="1507" spans="1:13" s="27" customFormat="1" ht="17.25" customHeight="1" x14ac:dyDescent="0.25">
      <c r="A1507" s="28" t="s">
        <v>10</v>
      </c>
      <c r="B1507" s="28">
        <v>71362238</v>
      </c>
      <c r="C1507" s="28" t="s">
        <v>25944</v>
      </c>
      <c r="D1507" s="28" t="s">
        <v>25306</v>
      </c>
      <c r="E1507" s="28" t="s">
        <v>25177</v>
      </c>
      <c r="F1507" s="28" t="s">
        <v>25413</v>
      </c>
      <c r="G1507" s="28" t="s">
        <v>19229</v>
      </c>
      <c r="H1507" s="28" t="s">
        <v>19239</v>
      </c>
      <c r="I1507" s="30">
        <v>45980</v>
      </c>
      <c r="J1507" s="30">
        <v>45982</v>
      </c>
      <c r="K1507" s="53">
        <v>3</v>
      </c>
      <c r="L1507" s="29">
        <v>10</v>
      </c>
      <c r="M1507" s="27" t="s">
        <v>25036</v>
      </c>
    </row>
    <row r="1508" spans="1:13" s="27" customFormat="1" ht="17.25" customHeight="1" x14ac:dyDescent="0.25">
      <c r="A1508" s="28" t="s">
        <v>10</v>
      </c>
      <c r="B1508" s="28">
        <v>1020415944</v>
      </c>
      <c r="C1508" s="28" t="s">
        <v>26511</v>
      </c>
      <c r="D1508" s="28" t="s">
        <v>25118</v>
      </c>
      <c r="E1508" s="28" t="s">
        <v>25177</v>
      </c>
      <c r="F1508" s="28" t="s">
        <v>25413</v>
      </c>
      <c r="G1508" s="28" t="s">
        <v>19229</v>
      </c>
      <c r="H1508" s="28" t="s">
        <v>19239</v>
      </c>
      <c r="I1508" s="30">
        <v>45980</v>
      </c>
      <c r="J1508" s="30">
        <v>45982</v>
      </c>
      <c r="K1508" s="53">
        <v>3</v>
      </c>
      <c r="L1508" s="29">
        <v>10</v>
      </c>
      <c r="M1508" s="27" t="s">
        <v>25036</v>
      </c>
    </row>
    <row r="1509" spans="1:13" s="27" customFormat="1" ht="17.25" customHeight="1" x14ac:dyDescent="0.25">
      <c r="A1509" s="28" t="s">
        <v>10</v>
      </c>
      <c r="B1509" s="28">
        <v>11936325</v>
      </c>
      <c r="C1509" s="28" t="s">
        <v>25105</v>
      </c>
      <c r="D1509" s="28" t="s">
        <v>25343</v>
      </c>
      <c r="E1509" s="28" t="s">
        <v>25183</v>
      </c>
      <c r="F1509" s="28" t="s">
        <v>25185</v>
      </c>
      <c r="G1509" s="28" t="s">
        <v>19229</v>
      </c>
      <c r="H1509" s="28" t="s">
        <v>19239</v>
      </c>
      <c r="I1509" s="30">
        <v>45981</v>
      </c>
      <c r="J1509" s="30">
        <v>45983</v>
      </c>
      <c r="K1509" s="53">
        <v>3</v>
      </c>
      <c r="L1509" s="29">
        <v>10</v>
      </c>
      <c r="M1509" s="27" t="s">
        <v>25036</v>
      </c>
    </row>
    <row r="1510" spans="1:13" s="27" customFormat="1" ht="17.25" customHeight="1" x14ac:dyDescent="0.25">
      <c r="A1510" s="28" t="s">
        <v>10</v>
      </c>
      <c r="B1510" s="28">
        <v>1102890114</v>
      </c>
      <c r="C1510" s="28" t="s">
        <v>25085</v>
      </c>
      <c r="D1510" s="28" t="s">
        <v>26403</v>
      </c>
      <c r="E1510" s="28" t="s">
        <v>26471</v>
      </c>
      <c r="F1510" s="28" t="s">
        <v>25010</v>
      </c>
      <c r="G1510" s="28" t="s">
        <v>19229</v>
      </c>
      <c r="H1510" s="28" t="s">
        <v>19239</v>
      </c>
      <c r="I1510" s="30">
        <v>45994</v>
      </c>
      <c r="J1510" s="30">
        <v>45994</v>
      </c>
      <c r="K1510" s="53">
        <v>1</v>
      </c>
      <c r="L1510" s="29">
        <v>4</v>
      </c>
      <c r="M1510" s="27" t="s">
        <v>25036</v>
      </c>
    </row>
    <row r="1511" spans="1:13" s="27" customFormat="1" ht="17.25" customHeight="1" x14ac:dyDescent="0.25">
      <c r="A1511" s="28" t="s">
        <v>11</v>
      </c>
      <c r="B1511" s="28">
        <v>8462739</v>
      </c>
      <c r="C1511" s="28" t="s">
        <v>25415</v>
      </c>
      <c r="D1511" s="28"/>
      <c r="E1511" s="28" t="s">
        <v>25130</v>
      </c>
      <c r="F1511" s="28" t="s">
        <v>25592</v>
      </c>
      <c r="G1511" s="28" t="s">
        <v>19229</v>
      </c>
      <c r="H1511" s="28" t="s">
        <v>19239</v>
      </c>
      <c r="I1511" s="30">
        <v>46001</v>
      </c>
      <c r="J1511" s="30">
        <v>46007</v>
      </c>
      <c r="K1511" s="53">
        <v>7</v>
      </c>
      <c r="L1511" s="29">
        <v>19</v>
      </c>
      <c r="M1511" s="27" t="s">
        <v>25036</v>
      </c>
    </row>
    <row r="1512" spans="1:13" s="27" customFormat="1" ht="17.25" customHeight="1" x14ac:dyDescent="0.25">
      <c r="A1512" s="28" t="s">
        <v>11</v>
      </c>
      <c r="B1512" s="28">
        <v>1001652259</v>
      </c>
      <c r="C1512" s="28" t="s">
        <v>25137</v>
      </c>
      <c r="D1512" s="28" t="s">
        <v>25284</v>
      </c>
      <c r="E1512" s="28" t="s">
        <v>26480</v>
      </c>
      <c r="F1512" s="28"/>
      <c r="G1512" s="28" t="s">
        <v>19229</v>
      </c>
      <c r="H1512" s="28" t="s">
        <v>19239</v>
      </c>
      <c r="I1512" s="30">
        <v>46002</v>
      </c>
      <c r="J1512" s="30">
        <v>46006</v>
      </c>
      <c r="K1512" s="53">
        <v>5</v>
      </c>
      <c r="L1512" s="29">
        <v>15</v>
      </c>
      <c r="M1512" s="27" t="s">
        <v>25036</v>
      </c>
    </row>
    <row r="1513" spans="1:13" s="27" customFormat="1" ht="17.25" customHeight="1" x14ac:dyDescent="0.25">
      <c r="A1513" s="28" t="s">
        <v>11</v>
      </c>
      <c r="B1513" s="28">
        <v>15443142</v>
      </c>
      <c r="C1513" s="28" t="s">
        <v>25498</v>
      </c>
      <c r="D1513" s="28" t="s">
        <v>25561</v>
      </c>
      <c r="E1513" s="28" t="s">
        <v>25282</v>
      </c>
      <c r="F1513" s="28" t="s">
        <v>25119</v>
      </c>
      <c r="G1513" s="28" t="s">
        <v>19229</v>
      </c>
      <c r="H1513" s="28" t="s">
        <v>19239</v>
      </c>
      <c r="I1513" s="30">
        <v>46006</v>
      </c>
      <c r="J1513" s="30">
        <v>46012</v>
      </c>
      <c r="K1513" s="53">
        <v>7</v>
      </c>
      <c r="L1513" s="29">
        <v>19</v>
      </c>
      <c r="M1513" s="27" t="s">
        <v>25036</v>
      </c>
    </row>
    <row r="1514" spans="1:13" s="27" customFormat="1" ht="17.25" customHeight="1" x14ac:dyDescent="0.25">
      <c r="A1514" s="28" t="s">
        <v>0</v>
      </c>
      <c r="B1514" s="28">
        <v>70434145</v>
      </c>
      <c r="C1514" s="28" t="s">
        <v>25588</v>
      </c>
      <c r="D1514" s="28" t="s">
        <v>25905</v>
      </c>
      <c r="E1514" s="28" t="s">
        <v>25545</v>
      </c>
      <c r="F1514" s="28"/>
      <c r="G1514" s="28" t="s">
        <v>25328</v>
      </c>
      <c r="H1514" s="28" t="s">
        <v>19239</v>
      </c>
      <c r="I1514" s="30">
        <v>46032</v>
      </c>
      <c r="J1514" s="30">
        <v>46032</v>
      </c>
      <c r="K1514" s="53">
        <v>1</v>
      </c>
      <c r="L1514" s="29">
        <v>4</v>
      </c>
      <c r="M1514" s="27" t="s">
        <v>25036</v>
      </c>
    </row>
    <row r="1515" spans="1:13" s="27" customFormat="1" ht="17.25" customHeight="1" x14ac:dyDescent="0.25">
      <c r="A1515" s="28" t="s">
        <v>0</v>
      </c>
      <c r="B1515" s="28">
        <v>1020109719</v>
      </c>
      <c r="C1515" s="28" t="s">
        <v>25553</v>
      </c>
      <c r="D1515" s="28" t="s">
        <v>25294</v>
      </c>
      <c r="E1515" s="28" t="s">
        <v>26496</v>
      </c>
      <c r="F1515" s="28"/>
      <c r="G1515" s="28" t="s">
        <v>19229</v>
      </c>
      <c r="H1515" s="28" t="s">
        <v>19239</v>
      </c>
      <c r="I1515" s="30">
        <v>46032</v>
      </c>
      <c r="J1515" s="30">
        <v>46036</v>
      </c>
      <c r="K1515" s="53">
        <v>5</v>
      </c>
      <c r="L1515" s="29">
        <v>1</v>
      </c>
      <c r="M1515" s="27" t="s">
        <v>25036</v>
      </c>
    </row>
    <row r="1516" spans="1:13" s="27" customFormat="1" ht="17.25" customHeight="1" x14ac:dyDescent="0.25">
      <c r="A1516" s="28" t="s">
        <v>0</v>
      </c>
      <c r="B1516" s="28">
        <v>1036685623</v>
      </c>
      <c r="C1516" s="28" t="s">
        <v>25498</v>
      </c>
      <c r="D1516" s="28" t="s">
        <v>26432</v>
      </c>
      <c r="E1516" s="28" t="s">
        <v>26433</v>
      </c>
      <c r="F1516" s="28"/>
      <c r="G1516" s="28" t="s">
        <v>19229</v>
      </c>
      <c r="H1516" s="28" t="s">
        <v>19239</v>
      </c>
      <c r="I1516" s="30">
        <v>46035</v>
      </c>
      <c r="J1516" s="30">
        <v>46037</v>
      </c>
      <c r="K1516" s="53">
        <v>3</v>
      </c>
      <c r="L1516" s="29">
        <v>10</v>
      </c>
      <c r="M1516" s="27" t="s">
        <v>25036</v>
      </c>
    </row>
    <row r="1517" spans="1:13" s="27" customFormat="1" ht="17.25" customHeight="1" x14ac:dyDescent="0.25">
      <c r="A1517" s="28" t="s">
        <v>0</v>
      </c>
      <c r="B1517" s="28">
        <v>98579583</v>
      </c>
      <c r="C1517" s="28" t="s">
        <v>25108</v>
      </c>
      <c r="D1517" s="28" t="s">
        <v>25506</v>
      </c>
      <c r="E1517" s="28" t="s">
        <v>25507</v>
      </c>
      <c r="F1517" s="28" t="s">
        <v>25103</v>
      </c>
      <c r="G1517" s="28" t="s">
        <v>19229</v>
      </c>
      <c r="H1517" s="28" t="s">
        <v>19239</v>
      </c>
      <c r="I1517" s="30">
        <v>46036</v>
      </c>
      <c r="J1517" s="30">
        <v>46040</v>
      </c>
      <c r="K1517" s="53">
        <v>5</v>
      </c>
      <c r="L1517" s="29">
        <v>1</v>
      </c>
      <c r="M1517" s="27" t="s">
        <v>25036</v>
      </c>
    </row>
    <row r="1518" spans="1:13" s="27" customFormat="1" ht="17.25" customHeight="1" x14ac:dyDescent="0.25">
      <c r="A1518" s="28" t="s">
        <v>0</v>
      </c>
      <c r="B1518" s="28">
        <v>1039761471</v>
      </c>
      <c r="C1518" s="28" t="s">
        <v>25053</v>
      </c>
      <c r="D1518" s="28" t="s">
        <v>26287</v>
      </c>
      <c r="E1518" s="28" t="s">
        <v>25709</v>
      </c>
      <c r="F1518" s="28" t="s">
        <v>26288</v>
      </c>
      <c r="G1518" s="28" t="s">
        <v>19229</v>
      </c>
      <c r="H1518" s="28" t="s">
        <v>19239</v>
      </c>
      <c r="I1518" s="30">
        <v>46036</v>
      </c>
      <c r="J1518" s="30">
        <v>46040</v>
      </c>
      <c r="K1518" s="53">
        <v>5</v>
      </c>
      <c r="L1518" s="29">
        <v>1</v>
      </c>
      <c r="M1518" s="27" t="s">
        <v>25036</v>
      </c>
    </row>
    <row r="1519" spans="1:13" s="27" customFormat="1" ht="17.25" customHeight="1" x14ac:dyDescent="0.25">
      <c r="A1519" s="28" t="s">
        <v>0</v>
      </c>
      <c r="B1519" s="28">
        <v>1003290712</v>
      </c>
      <c r="C1519" s="28" t="s">
        <v>25341</v>
      </c>
      <c r="D1519" s="28" t="s">
        <v>26525</v>
      </c>
      <c r="E1519" s="28" t="s">
        <v>25066</v>
      </c>
      <c r="F1519" s="28" t="s">
        <v>25010</v>
      </c>
      <c r="G1519" s="28" t="s">
        <v>19229</v>
      </c>
      <c r="H1519" s="28" t="s">
        <v>19239</v>
      </c>
      <c r="I1519" s="30">
        <v>46037</v>
      </c>
      <c r="J1519" s="30">
        <v>46041</v>
      </c>
      <c r="K1519" s="53">
        <v>5</v>
      </c>
      <c r="L1519" s="29">
        <v>1</v>
      </c>
      <c r="M1519" s="27" t="s">
        <v>25036</v>
      </c>
    </row>
    <row r="1520" spans="1:13" s="27" customFormat="1" ht="17.25" customHeight="1" x14ac:dyDescent="0.25">
      <c r="A1520" s="28" t="s">
        <v>0</v>
      </c>
      <c r="B1520" s="28">
        <v>70416611</v>
      </c>
      <c r="C1520" s="28" t="s">
        <v>25338</v>
      </c>
      <c r="D1520" s="28" t="s">
        <v>25551</v>
      </c>
      <c r="E1520" s="28" t="s">
        <v>25255</v>
      </c>
      <c r="F1520" s="28" t="s">
        <v>25135</v>
      </c>
      <c r="G1520" s="28" t="s">
        <v>25328</v>
      </c>
      <c r="H1520" s="28" t="s">
        <v>19239</v>
      </c>
      <c r="I1520" s="30">
        <v>46037</v>
      </c>
      <c r="J1520" s="30">
        <v>46041</v>
      </c>
      <c r="K1520" s="53">
        <v>5</v>
      </c>
      <c r="L1520" s="29">
        <v>24</v>
      </c>
      <c r="M1520" s="27" t="s">
        <v>25036</v>
      </c>
    </row>
    <row r="1521" spans="1:13" s="27" customFormat="1" ht="17.25" customHeight="1" x14ac:dyDescent="0.25">
      <c r="A1521" s="28" t="s">
        <v>0</v>
      </c>
      <c r="B1521" s="28">
        <v>1041327028</v>
      </c>
      <c r="C1521" s="28" t="s">
        <v>24980</v>
      </c>
      <c r="D1521" s="28" t="s">
        <v>25224</v>
      </c>
      <c r="E1521" s="28" t="s">
        <v>25691</v>
      </c>
      <c r="F1521" s="28" t="s">
        <v>25135</v>
      </c>
      <c r="G1521" s="28" t="s">
        <v>19229</v>
      </c>
      <c r="H1521" s="28" t="s">
        <v>19239</v>
      </c>
      <c r="I1521" s="30">
        <v>46038</v>
      </c>
      <c r="J1521" s="30">
        <v>46038</v>
      </c>
      <c r="K1521" s="53">
        <v>1</v>
      </c>
      <c r="L1521" s="29">
        <v>20</v>
      </c>
      <c r="M1521" s="27" t="s">
        <v>25036</v>
      </c>
    </row>
    <row r="1522" spans="1:13" s="27" customFormat="1" ht="17.25" customHeight="1" x14ac:dyDescent="0.25">
      <c r="A1522" s="28" t="s">
        <v>0</v>
      </c>
      <c r="B1522" s="28">
        <v>71770967</v>
      </c>
      <c r="C1522" s="28" t="s">
        <v>25362</v>
      </c>
      <c r="D1522" s="28" t="s">
        <v>25093</v>
      </c>
      <c r="E1522" s="28" t="s">
        <v>25977</v>
      </c>
      <c r="F1522" s="28" t="s">
        <v>25066</v>
      </c>
      <c r="G1522" s="28" t="s">
        <v>25328</v>
      </c>
      <c r="H1522" s="28" t="s">
        <v>19239</v>
      </c>
      <c r="I1522" s="30">
        <v>46039</v>
      </c>
      <c r="J1522" s="30">
        <v>46043</v>
      </c>
      <c r="K1522" s="53">
        <v>5</v>
      </c>
      <c r="L1522" s="29">
        <v>24</v>
      </c>
      <c r="M1522" s="27" t="s">
        <v>25036</v>
      </c>
    </row>
    <row r="1523" spans="1:13" s="27" customFormat="1" ht="17.25" customHeight="1" x14ac:dyDescent="0.25">
      <c r="A1523" s="28" t="s">
        <v>0</v>
      </c>
      <c r="B1523" s="28">
        <v>71020088</v>
      </c>
      <c r="C1523" s="28" t="s">
        <v>25815</v>
      </c>
      <c r="D1523" s="28" t="s">
        <v>25816</v>
      </c>
      <c r="E1523" s="28" t="s">
        <v>25396</v>
      </c>
      <c r="F1523" s="28" t="s">
        <v>25103</v>
      </c>
      <c r="G1523" s="28" t="s">
        <v>19229</v>
      </c>
      <c r="H1523" s="28" t="s">
        <v>19239</v>
      </c>
      <c r="I1523" s="30">
        <v>46046</v>
      </c>
      <c r="J1523" s="30">
        <v>46046</v>
      </c>
      <c r="K1523" s="53">
        <v>1</v>
      </c>
      <c r="L1523" s="29">
        <v>4</v>
      </c>
      <c r="M1523" s="27" t="s">
        <v>25036</v>
      </c>
    </row>
    <row r="1524" spans="1:13" s="27" customFormat="1" ht="17.25" customHeight="1" x14ac:dyDescent="0.25">
      <c r="A1524" s="28" t="s">
        <v>0</v>
      </c>
      <c r="B1524" s="28">
        <v>1001825018</v>
      </c>
      <c r="C1524" s="28" t="s">
        <v>25079</v>
      </c>
      <c r="D1524" s="28" t="s">
        <v>26527</v>
      </c>
      <c r="E1524" s="28" t="s">
        <v>25188</v>
      </c>
      <c r="F1524" s="28" t="s">
        <v>25177</v>
      </c>
      <c r="G1524" s="28" t="s">
        <v>19229</v>
      </c>
      <c r="H1524" s="28" t="s">
        <v>19239</v>
      </c>
      <c r="I1524" s="30">
        <v>46050</v>
      </c>
      <c r="J1524" s="30">
        <v>46082</v>
      </c>
      <c r="K1524" s="53">
        <v>5</v>
      </c>
      <c r="L1524" s="29">
        <v>22</v>
      </c>
      <c r="M1524" s="27" t="s">
        <v>25036</v>
      </c>
    </row>
    <row r="1525" spans="1:13" s="27" customFormat="1" ht="17.25" customHeight="1" x14ac:dyDescent="0.25">
      <c r="A1525" s="28" t="s">
        <v>0</v>
      </c>
      <c r="B1525" s="28">
        <v>98701505</v>
      </c>
      <c r="C1525" s="28" t="s">
        <v>24998</v>
      </c>
      <c r="D1525" s="28" t="s">
        <v>25593</v>
      </c>
      <c r="E1525" s="28" t="s">
        <v>25858</v>
      </c>
      <c r="F1525" s="28" t="s">
        <v>25010</v>
      </c>
      <c r="G1525" s="28" t="s">
        <v>25328</v>
      </c>
      <c r="H1525" s="28" t="s">
        <v>19239</v>
      </c>
      <c r="I1525" s="30">
        <v>46052</v>
      </c>
      <c r="J1525" s="30">
        <v>46054</v>
      </c>
      <c r="K1525" s="53">
        <v>3</v>
      </c>
      <c r="L1525" s="29">
        <v>4</v>
      </c>
      <c r="M1525" s="27" t="s">
        <v>25067</v>
      </c>
    </row>
    <row r="1526" spans="1:13" s="27" customFormat="1" ht="16.5" customHeight="1" x14ac:dyDescent="0.25">
      <c r="A1526" s="28" t="s">
        <v>0</v>
      </c>
      <c r="B1526" s="28">
        <v>14572160</v>
      </c>
      <c r="C1526" s="28" t="s">
        <v>25073</v>
      </c>
      <c r="D1526" s="28" t="s">
        <v>25756</v>
      </c>
      <c r="E1526" s="28" t="s">
        <v>25522</v>
      </c>
      <c r="F1526" s="28" t="s">
        <v>25135</v>
      </c>
      <c r="G1526" s="28" t="s">
        <v>25328</v>
      </c>
      <c r="H1526" s="28" t="s">
        <v>19239</v>
      </c>
      <c r="I1526" s="30">
        <v>46052</v>
      </c>
      <c r="J1526" s="30">
        <v>46056</v>
      </c>
      <c r="K1526" s="53">
        <v>5</v>
      </c>
      <c r="L1526" s="29">
        <v>1</v>
      </c>
      <c r="M1526" s="27" t="s">
        <v>25036</v>
      </c>
    </row>
    <row r="1527" spans="1:13" s="27" customFormat="1" ht="17.25" customHeight="1" x14ac:dyDescent="0.25">
      <c r="A1527" s="28" t="s">
        <v>26532</v>
      </c>
      <c r="B1527" s="28">
        <v>1025762251</v>
      </c>
      <c r="C1527" s="28" t="s">
        <v>26528</v>
      </c>
      <c r="D1527" s="28" t="s">
        <v>25248</v>
      </c>
      <c r="E1527" s="28" t="s">
        <v>25282</v>
      </c>
      <c r="F1527" s="28" t="s">
        <v>25185</v>
      </c>
      <c r="G1527" s="28" t="s">
        <v>19229</v>
      </c>
      <c r="H1527" s="28" t="s">
        <v>19239</v>
      </c>
      <c r="I1527" s="30">
        <v>46056</v>
      </c>
      <c r="J1527" s="30">
        <v>46058</v>
      </c>
      <c r="K1527" s="53">
        <v>3</v>
      </c>
      <c r="L1527" s="29">
        <v>10</v>
      </c>
      <c r="M1527" s="27" t="s">
        <v>25036</v>
      </c>
    </row>
    <row r="1528" spans="1:13" s="27" customFormat="1" ht="17.25" customHeight="1" x14ac:dyDescent="0.25">
      <c r="A1528" s="28" t="s">
        <v>26532</v>
      </c>
      <c r="B1528" s="28">
        <v>1033368823</v>
      </c>
      <c r="C1528" s="28" t="s">
        <v>25928</v>
      </c>
      <c r="D1528" s="28" t="s">
        <v>26429</v>
      </c>
      <c r="E1528" s="28" t="s">
        <v>26461</v>
      </c>
      <c r="F1528" s="28" t="s">
        <v>25188</v>
      </c>
      <c r="G1528" s="28" t="s">
        <v>19229</v>
      </c>
      <c r="H1528" s="28" t="s">
        <v>19239</v>
      </c>
      <c r="I1528" s="30">
        <v>46057</v>
      </c>
      <c r="J1528" s="30">
        <v>46061</v>
      </c>
      <c r="K1528" s="53">
        <v>5</v>
      </c>
      <c r="L1528" s="29">
        <v>15</v>
      </c>
      <c r="M1528" s="27" t="s">
        <v>25036</v>
      </c>
    </row>
    <row r="1529" spans="1:13" s="27" customFormat="1" ht="17.25" customHeight="1" x14ac:dyDescent="0.25">
      <c r="A1529" s="28" t="s">
        <v>26532</v>
      </c>
      <c r="B1529" s="28">
        <v>1062960733</v>
      </c>
      <c r="C1529" s="28" t="s">
        <v>25513</v>
      </c>
      <c r="D1529" s="28" t="s">
        <v>26530</v>
      </c>
      <c r="E1529" s="28" t="s">
        <v>26531</v>
      </c>
      <c r="F1529" s="28" t="s">
        <v>25091</v>
      </c>
      <c r="G1529" s="28" t="s">
        <v>19229</v>
      </c>
      <c r="H1529" s="28" t="s">
        <v>19239</v>
      </c>
      <c r="I1529" s="30">
        <v>46062</v>
      </c>
      <c r="J1529" s="30">
        <v>46066</v>
      </c>
      <c r="K1529" s="53">
        <v>5</v>
      </c>
      <c r="L1529" s="29">
        <v>1</v>
      </c>
      <c r="M1529" s="27" t="s">
        <v>25036</v>
      </c>
    </row>
    <row r="1530" spans="1:13" s="27" customFormat="1" ht="17.25" customHeight="1" x14ac:dyDescent="0.25">
      <c r="A1530" s="28" t="s">
        <v>26532</v>
      </c>
      <c r="B1530" s="28">
        <v>1047969136</v>
      </c>
      <c r="C1530" s="28" t="s">
        <v>26535</v>
      </c>
      <c r="D1530" s="28" t="s">
        <v>25721</v>
      </c>
      <c r="E1530" s="28" t="s">
        <v>25176</v>
      </c>
      <c r="F1530" s="28"/>
      <c r="G1530" s="28" t="s">
        <v>19229</v>
      </c>
      <c r="H1530" s="28" t="s">
        <v>19239</v>
      </c>
      <c r="I1530" s="30">
        <v>46070</v>
      </c>
      <c r="J1530" s="30">
        <v>46074</v>
      </c>
      <c r="K1530" s="53">
        <v>5</v>
      </c>
      <c r="L1530" s="29">
        <v>22</v>
      </c>
      <c r="M1530" s="27" t="s">
        <v>25036</v>
      </c>
    </row>
    <row r="1531" spans="1:13" s="27" customFormat="1" ht="17.25" customHeight="1" x14ac:dyDescent="0.25">
      <c r="A1531" s="28" t="s">
        <v>26532</v>
      </c>
      <c r="B1531" s="28">
        <v>1000885770</v>
      </c>
      <c r="C1531" s="28" t="s">
        <v>25984</v>
      </c>
      <c r="D1531" s="28" t="s">
        <v>26536</v>
      </c>
      <c r="E1531" s="28" t="s">
        <v>25831</v>
      </c>
      <c r="F1531" s="28"/>
      <c r="G1531" s="28" t="s">
        <v>19229</v>
      </c>
      <c r="H1531" s="28" t="s">
        <v>19239</v>
      </c>
      <c r="I1531" s="30">
        <v>46077</v>
      </c>
      <c r="J1531" s="30">
        <v>46081</v>
      </c>
      <c r="K1531" s="53">
        <v>5</v>
      </c>
      <c r="L1531" s="29">
        <v>22</v>
      </c>
      <c r="M1531" s="27" t="s">
        <v>25036</v>
      </c>
    </row>
    <row r="1532" spans="1:13" s="27" customFormat="1" ht="17.25" customHeight="1" x14ac:dyDescent="0.25">
      <c r="A1532" s="28" t="s">
        <v>26532</v>
      </c>
      <c r="B1532" s="28">
        <v>7277314</v>
      </c>
      <c r="C1532" s="28" t="s">
        <v>26435</v>
      </c>
      <c r="D1532" s="28" t="s">
        <v>25003</v>
      </c>
      <c r="E1532" s="28" t="s">
        <v>25188</v>
      </c>
      <c r="F1532" s="28" t="s">
        <v>25739</v>
      </c>
      <c r="G1532" s="28" t="s">
        <v>19229</v>
      </c>
      <c r="H1532" s="28" t="s">
        <v>19239</v>
      </c>
      <c r="I1532" s="30">
        <v>46077</v>
      </c>
      <c r="J1532" s="30">
        <v>46081</v>
      </c>
      <c r="K1532" s="53">
        <v>5</v>
      </c>
      <c r="L1532" s="29">
        <v>22</v>
      </c>
      <c r="M1532" s="27" t="s">
        <v>25036</v>
      </c>
    </row>
    <row r="1533" spans="1:13" s="27" customFormat="1" ht="17.25" customHeight="1" x14ac:dyDescent="0.25">
      <c r="A1533" s="28" t="s">
        <v>26532</v>
      </c>
      <c r="B1533" s="28">
        <v>1007330131</v>
      </c>
      <c r="C1533" s="28" t="s">
        <v>25707</v>
      </c>
      <c r="D1533" s="28" t="s">
        <v>25427</v>
      </c>
      <c r="E1533" s="28" t="s">
        <v>26331</v>
      </c>
      <c r="F1533" s="28" t="s">
        <v>25632</v>
      </c>
      <c r="G1533" s="28" t="s">
        <v>19229</v>
      </c>
      <c r="H1533" s="28" t="s">
        <v>19239</v>
      </c>
      <c r="I1533" s="30">
        <v>46077</v>
      </c>
      <c r="J1533" s="30">
        <v>46081</v>
      </c>
      <c r="K1533" s="53">
        <v>5</v>
      </c>
      <c r="L1533" s="29">
        <v>22</v>
      </c>
      <c r="M1533" s="27" t="s">
        <v>25036</v>
      </c>
    </row>
    <row r="1534" spans="1:13" s="27" customFormat="1" ht="17.25" customHeight="1" x14ac:dyDescent="0.25">
      <c r="A1534" s="28" t="s">
        <v>26532</v>
      </c>
      <c r="B1534" s="28">
        <v>1015277078</v>
      </c>
      <c r="C1534" s="28" t="s">
        <v>25343</v>
      </c>
      <c r="D1534" s="28" t="s">
        <v>25257</v>
      </c>
      <c r="E1534" s="28" t="s">
        <v>25183</v>
      </c>
      <c r="F1534" s="28" t="s">
        <v>25157</v>
      </c>
      <c r="G1534" s="28" t="s">
        <v>19229</v>
      </c>
      <c r="H1534" s="28" t="s">
        <v>19239</v>
      </c>
      <c r="I1534" s="30">
        <v>46077</v>
      </c>
      <c r="J1534" s="30">
        <v>46081</v>
      </c>
      <c r="K1534" s="53">
        <v>5</v>
      </c>
      <c r="L1534" s="29">
        <v>22</v>
      </c>
      <c r="M1534" s="27" t="s">
        <v>25036</v>
      </c>
    </row>
    <row r="1535" spans="1:13" s="27" customFormat="1" ht="17.25" customHeight="1" x14ac:dyDescent="0.25">
      <c r="A1535" s="28" t="s">
        <v>26532</v>
      </c>
      <c r="B1535" s="28">
        <v>98584305</v>
      </c>
      <c r="C1535" s="28" t="s">
        <v>25898</v>
      </c>
      <c r="D1535" s="28" t="s">
        <v>25257</v>
      </c>
      <c r="E1535" s="28" t="s">
        <v>25556</v>
      </c>
      <c r="F1535" s="28" t="s">
        <v>25465</v>
      </c>
      <c r="G1535" s="28" t="s">
        <v>19229</v>
      </c>
      <c r="H1535" s="28" t="s">
        <v>19239</v>
      </c>
      <c r="I1535" s="30">
        <v>46078</v>
      </c>
      <c r="J1535" s="30">
        <v>46082</v>
      </c>
      <c r="K1535" s="53">
        <v>5</v>
      </c>
      <c r="L1535" s="29">
        <v>22</v>
      </c>
      <c r="M1535" s="27" t="s">
        <v>25036</v>
      </c>
    </row>
    <row r="1536" spans="1:13" s="27" customFormat="1" ht="17.25" customHeight="1" x14ac:dyDescent="0.25">
      <c r="A1536" s="28" t="s">
        <v>26532</v>
      </c>
      <c r="B1536" s="28">
        <v>1007849148</v>
      </c>
      <c r="C1536" s="28" t="s">
        <v>25670</v>
      </c>
      <c r="D1536" s="28" t="s">
        <v>25370</v>
      </c>
      <c r="E1536" s="28" t="s">
        <v>26293</v>
      </c>
      <c r="F1536" s="28" t="s">
        <v>26027</v>
      </c>
      <c r="G1536" s="28" t="s">
        <v>19229</v>
      </c>
      <c r="H1536" s="28" t="s">
        <v>19239</v>
      </c>
      <c r="I1536" s="30">
        <v>46078</v>
      </c>
      <c r="J1536" s="30">
        <v>46082</v>
      </c>
      <c r="K1536" s="53">
        <v>5</v>
      </c>
      <c r="L1536" s="29">
        <v>22</v>
      </c>
      <c r="M1536" s="27" t="s">
        <v>25036</v>
      </c>
    </row>
    <row r="1537" spans="1:13" s="27" customFormat="1" ht="17.25" customHeight="1" x14ac:dyDescent="0.25">
      <c r="A1537" s="28" t="s">
        <v>26532</v>
      </c>
      <c r="B1537" s="28">
        <v>1128198069</v>
      </c>
      <c r="C1537" s="28" t="s">
        <v>25775</v>
      </c>
      <c r="D1537" s="28" t="s">
        <v>25098</v>
      </c>
      <c r="E1537" s="28" t="s">
        <v>25282</v>
      </c>
      <c r="F1537" s="28" t="s">
        <v>25028</v>
      </c>
      <c r="G1537" s="28" t="s">
        <v>19229</v>
      </c>
      <c r="H1537" s="28" t="s">
        <v>19239</v>
      </c>
      <c r="I1537" s="30">
        <v>46078</v>
      </c>
      <c r="J1537" s="30">
        <v>46082</v>
      </c>
      <c r="K1537" s="53">
        <v>5</v>
      </c>
      <c r="L1537" s="29">
        <v>22</v>
      </c>
      <c r="M1537" s="27" t="s">
        <v>25036</v>
      </c>
    </row>
    <row r="1538" spans="1:13" s="27" customFormat="1" ht="17.25" customHeight="1" x14ac:dyDescent="0.25">
      <c r="A1538" s="28" t="s">
        <v>26532</v>
      </c>
      <c r="B1538" s="28">
        <v>1103674542</v>
      </c>
      <c r="C1538" s="28" t="s">
        <v>25117</v>
      </c>
      <c r="D1538" s="28" t="s">
        <v>26362</v>
      </c>
      <c r="E1538" s="28" t="s">
        <v>26537</v>
      </c>
      <c r="F1538" s="28" t="s">
        <v>25096</v>
      </c>
      <c r="G1538" s="28" t="s">
        <v>19229</v>
      </c>
      <c r="H1538" s="28" t="s">
        <v>19239</v>
      </c>
      <c r="I1538" s="30">
        <v>46078</v>
      </c>
      <c r="J1538" s="30">
        <v>46082</v>
      </c>
      <c r="K1538" s="53">
        <v>5</v>
      </c>
      <c r="L1538" s="29">
        <v>22</v>
      </c>
      <c r="M1538" s="27" t="s">
        <v>25036</v>
      </c>
    </row>
    <row r="1539" spans="1:13" s="27" customFormat="1" ht="17.25" customHeight="1" x14ac:dyDescent="0.25">
      <c r="A1539" s="28" t="s">
        <v>26532</v>
      </c>
      <c r="B1539" s="28">
        <v>98703751</v>
      </c>
      <c r="C1539" s="28" t="s">
        <v>25319</v>
      </c>
      <c r="D1539" s="28" t="s">
        <v>25723</v>
      </c>
      <c r="E1539" s="28" t="s">
        <v>26332</v>
      </c>
      <c r="F1539" s="28" t="s">
        <v>25103</v>
      </c>
      <c r="G1539" s="28" t="s">
        <v>19229</v>
      </c>
      <c r="H1539" s="28" t="s">
        <v>19239</v>
      </c>
      <c r="I1539" s="30">
        <v>46078</v>
      </c>
      <c r="J1539" s="30">
        <v>46082</v>
      </c>
      <c r="K1539" s="53">
        <v>5</v>
      </c>
      <c r="L1539" s="29">
        <v>22</v>
      </c>
      <c r="M1539" s="27" t="s">
        <v>25036</v>
      </c>
    </row>
    <row r="1540" spans="1:13" s="27" customFormat="1" ht="17.25" customHeight="1" x14ac:dyDescent="0.25">
      <c r="A1540" s="28" t="s">
        <v>26532</v>
      </c>
      <c r="B1540" s="28">
        <v>1020466554</v>
      </c>
      <c r="C1540" s="28" t="s">
        <v>26453</v>
      </c>
      <c r="D1540" s="28" t="s">
        <v>26328</v>
      </c>
      <c r="E1540" s="28" t="s">
        <v>26454</v>
      </c>
      <c r="F1540" s="28"/>
      <c r="G1540" s="28" t="s">
        <v>19229</v>
      </c>
      <c r="H1540" s="28" t="s">
        <v>19239</v>
      </c>
      <c r="I1540" s="30">
        <v>46078</v>
      </c>
      <c r="J1540" s="30">
        <v>46082</v>
      </c>
      <c r="K1540" s="53">
        <v>5</v>
      </c>
      <c r="L1540" s="29">
        <v>22</v>
      </c>
      <c r="M1540" s="27" t="s">
        <v>25036</v>
      </c>
    </row>
    <row r="1541" spans="1:13" s="27" customFormat="1" ht="17.25" customHeight="1" x14ac:dyDescent="0.25">
      <c r="A1541" s="28" t="s">
        <v>25476</v>
      </c>
      <c r="B1541" s="28">
        <v>1037264083</v>
      </c>
      <c r="C1541" s="28" t="s">
        <v>25314</v>
      </c>
      <c r="D1541" s="28" t="s">
        <v>25462</v>
      </c>
      <c r="E1541" s="28" t="s">
        <v>25282</v>
      </c>
      <c r="F1541" s="28" t="s">
        <v>25080</v>
      </c>
      <c r="G1541" s="28" t="s">
        <v>19229</v>
      </c>
      <c r="H1541" s="28" t="s">
        <v>19239</v>
      </c>
      <c r="I1541" s="30">
        <v>46083</v>
      </c>
      <c r="J1541" s="30">
        <v>46087</v>
      </c>
      <c r="K1541" s="53">
        <v>5</v>
      </c>
      <c r="L1541" s="29">
        <v>22</v>
      </c>
      <c r="M1541" s="27" t="s">
        <v>25036</v>
      </c>
    </row>
    <row r="1542" spans="1:13" s="27" customFormat="1" ht="17.25" customHeight="1" x14ac:dyDescent="0.25">
      <c r="A1542" s="28" t="s">
        <v>25476</v>
      </c>
      <c r="B1542" s="28">
        <v>1036676172</v>
      </c>
      <c r="C1542" s="28" t="s">
        <v>26355</v>
      </c>
      <c r="D1542" s="28" t="s">
        <v>26236</v>
      </c>
      <c r="E1542" s="28" t="s">
        <v>26237</v>
      </c>
      <c r="F1542" s="28"/>
      <c r="G1542" s="28" t="s">
        <v>26238</v>
      </c>
      <c r="H1542" s="28" t="s">
        <v>26560</v>
      </c>
      <c r="I1542" s="30">
        <v>46086</v>
      </c>
      <c r="J1542" s="30">
        <v>46086</v>
      </c>
      <c r="K1542" s="53">
        <v>0</v>
      </c>
      <c r="L1542" s="29">
        <v>3</v>
      </c>
      <c r="M1542" s="27" t="s">
        <v>25036</v>
      </c>
    </row>
    <row r="1543" spans="1:13" s="27" customFormat="1" ht="17.25" customHeight="1" x14ac:dyDescent="0.25">
      <c r="A1543" s="28" t="s">
        <v>25476</v>
      </c>
      <c r="B1543" s="28">
        <v>1036685623</v>
      </c>
      <c r="C1543" s="28" t="s">
        <v>25498</v>
      </c>
      <c r="D1543" s="28" t="s">
        <v>26432</v>
      </c>
      <c r="E1543" s="28" t="s">
        <v>26433</v>
      </c>
      <c r="F1543" s="28"/>
      <c r="G1543" s="28" t="s">
        <v>19229</v>
      </c>
      <c r="H1543" s="28" t="s">
        <v>19239</v>
      </c>
      <c r="I1543" s="30">
        <v>46093</v>
      </c>
      <c r="J1543" s="30">
        <v>46097</v>
      </c>
      <c r="K1543" s="53">
        <v>5</v>
      </c>
      <c r="L1543" s="29">
        <v>10</v>
      </c>
      <c r="M1543" s="27" t="s">
        <v>25067</v>
      </c>
    </row>
    <row r="1544" spans="1:13" s="27" customFormat="1" ht="17.25" customHeight="1" x14ac:dyDescent="0.25">
      <c r="A1544" s="28" t="s">
        <v>25476</v>
      </c>
      <c r="B1544" s="28">
        <v>1000638893</v>
      </c>
      <c r="C1544" s="28" t="s">
        <v>26547</v>
      </c>
      <c r="D1544" s="28" t="s">
        <v>25075</v>
      </c>
      <c r="E1544" s="28" t="s">
        <v>25188</v>
      </c>
      <c r="F1544" s="28" t="s">
        <v>25080</v>
      </c>
      <c r="G1544" s="28" t="s">
        <v>19229</v>
      </c>
      <c r="H1544" s="28" t="s">
        <v>19239</v>
      </c>
      <c r="I1544" s="30">
        <v>46094</v>
      </c>
      <c r="J1544" s="30">
        <v>46095</v>
      </c>
      <c r="K1544" s="53">
        <v>2</v>
      </c>
      <c r="L1544" s="29">
        <v>2</v>
      </c>
      <c r="M1544" s="27" t="s">
        <v>25067</v>
      </c>
    </row>
    <row r="1545" spans="1:13" s="27" customFormat="1" ht="17.25" customHeight="1" x14ac:dyDescent="0.25">
      <c r="A1545" s="28" t="s">
        <v>25476</v>
      </c>
      <c r="B1545" s="28">
        <v>1104414780</v>
      </c>
      <c r="C1545" s="28" t="s">
        <v>26545</v>
      </c>
      <c r="D1545" s="28" t="s">
        <v>26546</v>
      </c>
      <c r="E1545" s="28" t="s">
        <v>25571</v>
      </c>
      <c r="F1545" s="28" t="s">
        <v>25057</v>
      </c>
      <c r="G1545" s="28" t="s">
        <v>19229</v>
      </c>
      <c r="H1545" s="28" t="s">
        <v>19239</v>
      </c>
      <c r="I1545" s="30">
        <v>46098</v>
      </c>
      <c r="J1545" s="30">
        <v>46102</v>
      </c>
      <c r="K1545" s="53">
        <v>5</v>
      </c>
      <c r="L1545" s="29">
        <v>1</v>
      </c>
      <c r="M1545" s="27" t="s">
        <v>25036</v>
      </c>
    </row>
    <row r="1546" spans="1:13" s="27" customFormat="1" ht="17.25" customHeight="1" x14ac:dyDescent="0.25">
      <c r="A1546" s="28" t="s">
        <v>25476</v>
      </c>
      <c r="B1546" s="28">
        <v>1003045522</v>
      </c>
      <c r="C1546" s="28" t="s">
        <v>26548</v>
      </c>
      <c r="D1546" s="28" t="s">
        <v>26549</v>
      </c>
      <c r="E1546" s="28" t="s">
        <v>25282</v>
      </c>
      <c r="F1546" s="28" t="s">
        <v>25080</v>
      </c>
      <c r="G1546" s="28" t="s">
        <v>19229</v>
      </c>
      <c r="H1546" s="28" t="s">
        <v>19239</v>
      </c>
      <c r="I1546" s="30">
        <v>46098</v>
      </c>
      <c r="J1546" s="30">
        <v>46102</v>
      </c>
      <c r="K1546" s="53">
        <v>5</v>
      </c>
      <c r="L1546" s="29">
        <v>1</v>
      </c>
      <c r="M1546" s="27" t="s">
        <v>25036</v>
      </c>
    </row>
    <row r="1547" spans="1:13" s="27" customFormat="1" ht="17.25" customHeight="1" x14ac:dyDescent="0.25">
      <c r="A1547" s="28" t="s">
        <v>25476</v>
      </c>
      <c r="B1547" s="28">
        <v>1152461364</v>
      </c>
      <c r="C1547" s="28" t="s">
        <v>26062</v>
      </c>
      <c r="D1547" s="28" t="s">
        <v>25403</v>
      </c>
      <c r="E1547" s="28" t="s">
        <v>25157</v>
      </c>
      <c r="F1547" s="28"/>
      <c r="G1547" s="28" t="s">
        <v>19229</v>
      </c>
      <c r="H1547" s="28" t="s">
        <v>19239</v>
      </c>
      <c r="I1547" s="30">
        <v>46099</v>
      </c>
      <c r="J1547" s="30">
        <v>46101</v>
      </c>
      <c r="K1547" s="53">
        <v>3</v>
      </c>
      <c r="L1547" s="29">
        <v>10</v>
      </c>
      <c r="M1547" s="27" t="s">
        <v>25036</v>
      </c>
    </row>
    <row r="1548" spans="1:13" s="27" customFormat="1" ht="17.25" customHeight="1" x14ac:dyDescent="0.25">
      <c r="A1548" s="28" t="s">
        <v>25476</v>
      </c>
      <c r="B1548" s="28">
        <v>1104414780</v>
      </c>
      <c r="C1548" s="28" t="s">
        <v>26545</v>
      </c>
      <c r="D1548" s="28" t="s">
        <v>26546</v>
      </c>
      <c r="E1548" s="28" t="s">
        <v>25571</v>
      </c>
      <c r="F1548" s="28" t="s">
        <v>25057</v>
      </c>
      <c r="G1548" s="28" t="s">
        <v>19229</v>
      </c>
      <c r="H1548" s="28" t="s">
        <v>19239</v>
      </c>
      <c r="I1548" s="30">
        <v>46107</v>
      </c>
      <c r="J1548" s="30">
        <v>46107</v>
      </c>
      <c r="K1548" s="53">
        <v>1</v>
      </c>
      <c r="L1548" s="29">
        <v>4</v>
      </c>
      <c r="M1548" s="27" t="s">
        <v>25036</v>
      </c>
    </row>
    <row r="1549" spans="1:13" s="27" customFormat="1" ht="17.25" customHeight="1" x14ac:dyDescent="0.25">
      <c r="A1549" s="28" t="s">
        <v>25476</v>
      </c>
      <c r="B1549" s="28">
        <v>1152714284</v>
      </c>
      <c r="C1549" s="28" t="s">
        <v>26558</v>
      </c>
      <c r="D1549" s="28" t="s">
        <v>25905</v>
      </c>
      <c r="E1549" s="28" t="s">
        <v>26559</v>
      </c>
      <c r="F1549" s="28" t="s">
        <v>25596</v>
      </c>
      <c r="G1549" s="28" t="s">
        <v>26554</v>
      </c>
      <c r="H1549" s="28" t="s">
        <v>26560</v>
      </c>
      <c r="I1549" s="30">
        <v>46107</v>
      </c>
      <c r="J1549" s="30">
        <v>46107</v>
      </c>
      <c r="K1549" s="53">
        <v>0</v>
      </c>
      <c r="L1549" s="29">
        <v>4</v>
      </c>
      <c r="M1549" s="27" t="s">
        <v>25036</v>
      </c>
    </row>
    <row r="1550" spans="1:13" s="27" customFormat="1" ht="17.25" customHeight="1" x14ac:dyDescent="0.25">
      <c r="A1550" s="28" t="s">
        <v>25476</v>
      </c>
      <c r="B1550" s="28">
        <v>1036839894</v>
      </c>
      <c r="C1550" s="28" t="s">
        <v>25498</v>
      </c>
      <c r="D1550" s="28"/>
      <c r="E1550" s="28" t="s">
        <v>26136</v>
      </c>
      <c r="F1550" s="28"/>
      <c r="G1550" s="28" t="s">
        <v>26554</v>
      </c>
      <c r="H1550" s="28" t="s">
        <v>26560</v>
      </c>
      <c r="I1550" s="30">
        <v>46107</v>
      </c>
      <c r="J1550" s="30">
        <v>46107</v>
      </c>
      <c r="K1550" s="53">
        <v>0</v>
      </c>
      <c r="L1550" s="29">
        <v>4</v>
      </c>
      <c r="M1550" s="27" t="s">
        <v>25036</v>
      </c>
    </row>
    <row r="1551" spans="1:13" s="27" customFormat="1" ht="17.25" customHeight="1" x14ac:dyDescent="0.25">
      <c r="A1551" s="28" t="s">
        <v>25476</v>
      </c>
      <c r="B1551" s="28">
        <v>1040754073</v>
      </c>
      <c r="C1551" s="28" t="s">
        <v>25023</v>
      </c>
      <c r="D1551" s="28" t="s">
        <v>25065</v>
      </c>
      <c r="E1551" s="28" t="s">
        <v>25596</v>
      </c>
      <c r="F1551" s="28" t="s">
        <v>26289</v>
      </c>
      <c r="G1551" s="28" t="s">
        <v>26554</v>
      </c>
      <c r="H1551" s="28" t="s">
        <v>19239</v>
      </c>
      <c r="I1551" s="30">
        <v>46109</v>
      </c>
      <c r="J1551" s="30">
        <v>46109</v>
      </c>
      <c r="K1551" s="53">
        <v>1</v>
      </c>
      <c r="L1551" s="29">
        <v>4</v>
      </c>
      <c r="M1551" s="27" t="s">
        <v>25036</v>
      </c>
    </row>
    <row r="1552" spans="1:13" s="27" customFormat="1" ht="17.25" customHeight="1" x14ac:dyDescent="0.25">
      <c r="A1552" s="28" t="s">
        <v>25476</v>
      </c>
      <c r="B1552" s="28">
        <v>1088314632</v>
      </c>
      <c r="C1552" s="28" t="s">
        <v>26521</v>
      </c>
      <c r="D1552" s="28" t="s">
        <v>25415</v>
      </c>
      <c r="E1552" s="28" t="s">
        <v>26561</v>
      </c>
      <c r="F1552" s="28"/>
      <c r="G1552" s="28" t="s">
        <v>26554</v>
      </c>
      <c r="H1552" s="28" t="s">
        <v>19239</v>
      </c>
      <c r="I1552" s="30">
        <v>46111</v>
      </c>
      <c r="J1552" s="30">
        <v>46111</v>
      </c>
      <c r="K1552" s="53">
        <v>1</v>
      </c>
      <c r="L1552" s="29">
        <v>4</v>
      </c>
      <c r="M1552" s="27" t="s">
        <v>25036</v>
      </c>
    </row>
    <row r="1553" spans="1:13" s="27" customFormat="1" ht="17.25" customHeight="1" x14ac:dyDescent="0.25">
      <c r="A1553" s="28" t="s">
        <v>25476</v>
      </c>
      <c r="B1553" s="28">
        <v>1040754073</v>
      </c>
      <c r="C1553" s="28" t="s">
        <v>25023</v>
      </c>
      <c r="D1553" s="28" t="s">
        <v>25065</v>
      </c>
      <c r="E1553" s="28" t="s">
        <v>25596</v>
      </c>
      <c r="F1553" s="28" t="s">
        <v>26289</v>
      </c>
      <c r="G1553" s="28" t="s">
        <v>19229</v>
      </c>
      <c r="H1553" s="28" t="s">
        <v>19239</v>
      </c>
      <c r="I1553" s="30">
        <v>46112</v>
      </c>
      <c r="J1553" s="30">
        <v>46116</v>
      </c>
      <c r="K1553" s="53">
        <v>5</v>
      </c>
      <c r="L1553" s="29">
        <v>1</v>
      </c>
      <c r="M1553" s="27" t="s">
        <v>25036</v>
      </c>
    </row>
    <row r="1554" spans="1:13" s="27" customFormat="1" ht="17.25" customHeight="1" x14ac:dyDescent="0.25">
      <c r="A1554" s="28" t="s">
        <v>3</v>
      </c>
      <c r="B1554" s="28">
        <v>15403728</v>
      </c>
      <c r="C1554" s="28" t="s">
        <v>25796</v>
      </c>
      <c r="D1554" s="28" t="s">
        <v>25233</v>
      </c>
      <c r="E1554" s="28" t="s">
        <v>25151</v>
      </c>
      <c r="F1554" s="28"/>
      <c r="G1554" s="28" t="s">
        <v>19229</v>
      </c>
      <c r="H1554" s="28" t="s">
        <v>19240</v>
      </c>
      <c r="I1554" s="30">
        <v>46114</v>
      </c>
      <c r="J1554" s="30">
        <v>46114</v>
      </c>
      <c r="K1554" s="53">
        <v>1</v>
      </c>
      <c r="L1554" s="29"/>
      <c r="M1554" s="27" t="s">
        <v>26106</v>
      </c>
    </row>
    <row r="1555" spans="1:13" s="27" customFormat="1" ht="17.25" customHeight="1" x14ac:dyDescent="0.25">
      <c r="A1555" s="28" t="s">
        <v>3</v>
      </c>
      <c r="B1555" s="28">
        <v>1093761637</v>
      </c>
      <c r="C1555" s="28" t="s">
        <v>26562</v>
      </c>
      <c r="D1555" s="28" t="s">
        <v>26563</v>
      </c>
      <c r="E1555" s="28" t="s">
        <v>25647</v>
      </c>
      <c r="F1555" s="28" t="s">
        <v>25208</v>
      </c>
      <c r="G1555" s="28" t="s">
        <v>19229</v>
      </c>
      <c r="H1555" s="28" t="s">
        <v>19239</v>
      </c>
      <c r="I1555" s="30">
        <v>46118</v>
      </c>
      <c r="J1555" s="30">
        <v>46122</v>
      </c>
      <c r="K1555" s="53">
        <v>5</v>
      </c>
      <c r="L1555" s="29">
        <v>1</v>
      </c>
      <c r="M1555" s="27" t="s">
        <v>25036</v>
      </c>
    </row>
    <row r="1556" spans="1:13" s="27" customFormat="1" ht="17.25" customHeight="1" x14ac:dyDescent="0.25">
      <c r="A1556" s="28" t="s">
        <v>3</v>
      </c>
      <c r="B1556" s="28">
        <v>1143438827</v>
      </c>
      <c r="C1556" s="28" t="s">
        <v>25200</v>
      </c>
      <c r="D1556" s="28" t="s">
        <v>25034</v>
      </c>
      <c r="E1556" s="28" t="s">
        <v>25023</v>
      </c>
      <c r="F1556" s="28" t="s">
        <v>24982</v>
      </c>
      <c r="G1556" s="28" t="s">
        <v>19229</v>
      </c>
      <c r="H1556" s="28" t="s">
        <v>19239</v>
      </c>
      <c r="I1556" s="30">
        <v>46121</v>
      </c>
      <c r="J1556" s="30">
        <v>46125</v>
      </c>
      <c r="K1556" s="53">
        <v>5</v>
      </c>
      <c r="L1556" s="29">
        <v>1</v>
      </c>
      <c r="M1556" s="27" t="s">
        <v>25036</v>
      </c>
    </row>
    <row r="1557" spans="1:13" s="27" customFormat="1" ht="17.25" customHeight="1" x14ac:dyDescent="0.25">
      <c r="A1557" s="28" t="s">
        <v>3</v>
      </c>
      <c r="B1557" s="28">
        <v>1192745811</v>
      </c>
      <c r="C1557" s="28" t="s">
        <v>25604</v>
      </c>
      <c r="D1557" s="28" t="s">
        <v>25901</v>
      </c>
      <c r="E1557" s="28" t="s">
        <v>25056</v>
      </c>
      <c r="F1557" s="28" t="s">
        <v>25029</v>
      </c>
      <c r="G1557" s="28" t="s">
        <v>19229</v>
      </c>
      <c r="H1557" s="28" t="s">
        <v>19239</v>
      </c>
      <c r="I1557" s="30">
        <v>46125</v>
      </c>
      <c r="J1557" s="30">
        <v>46129</v>
      </c>
      <c r="K1557" s="53">
        <v>5</v>
      </c>
      <c r="L1557" s="29">
        <v>1</v>
      </c>
      <c r="M1557" s="27" t="s">
        <v>25036</v>
      </c>
    </row>
    <row r="1558" spans="1:13" s="27" customFormat="1" ht="17.25" customHeight="1" x14ac:dyDescent="0.25">
      <c r="A1558" s="28" t="s">
        <v>3</v>
      </c>
      <c r="B1558" s="28">
        <v>1060266498</v>
      </c>
      <c r="C1558" s="28" t="s">
        <v>25034</v>
      </c>
      <c r="D1558" s="28" t="s">
        <v>25343</v>
      </c>
      <c r="E1558" s="28" t="s">
        <v>25241</v>
      </c>
      <c r="F1558" s="28"/>
      <c r="G1558" s="28" t="s">
        <v>19229</v>
      </c>
      <c r="H1558" s="28" t="s">
        <v>19239</v>
      </c>
      <c r="I1558" s="30">
        <v>46125</v>
      </c>
      <c r="J1558" s="30">
        <v>46129</v>
      </c>
      <c r="K1558" s="53">
        <v>5</v>
      </c>
      <c r="L1558" s="29">
        <v>1</v>
      </c>
      <c r="M1558" s="27" t="s">
        <v>25036</v>
      </c>
    </row>
    <row r="1559" spans="1:13" s="27" customFormat="1" ht="17.25" customHeight="1" x14ac:dyDescent="0.25">
      <c r="A1559" s="28" t="s">
        <v>3</v>
      </c>
      <c r="B1559" s="28">
        <v>1192745811</v>
      </c>
      <c r="C1559" s="28" t="s">
        <v>25604</v>
      </c>
      <c r="D1559" s="28" t="s">
        <v>25901</v>
      </c>
      <c r="E1559" s="28" t="s">
        <v>25056</v>
      </c>
      <c r="F1559" s="28" t="s">
        <v>25029</v>
      </c>
      <c r="G1559" s="28" t="s">
        <v>19229</v>
      </c>
      <c r="H1559" s="28" t="s">
        <v>19239</v>
      </c>
      <c r="I1559" s="30">
        <v>46125</v>
      </c>
      <c r="J1559" s="30">
        <v>46129</v>
      </c>
      <c r="K1559" s="53">
        <v>5</v>
      </c>
      <c r="L1559" s="29">
        <v>1</v>
      </c>
      <c r="M1559" s="27" t="s">
        <v>25036</v>
      </c>
    </row>
    <row r="1560" spans="1:13" s="27" customFormat="1" ht="17.25" customHeight="1" x14ac:dyDescent="0.25">
      <c r="A1560" s="28" t="s">
        <v>3</v>
      </c>
      <c r="B1560" s="28">
        <v>1030420489</v>
      </c>
      <c r="C1560" s="28" t="s">
        <v>26328</v>
      </c>
      <c r="D1560" s="28" t="s">
        <v>26328</v>
      </c>
      <c r="E1560" s="28" t="s">
        <v>26564</v>
      </c>
      <c r="F1560" s="28" t="s">
        <v>25283</v>
      </c>
      <c r="G1560" s="28" t="s">
        <v>19229</v>
      </c>
      <c r="H1560" s="28" t="s">
        <v>26560</v>
      </c>
      <c r="I1560" s="30">
        <v>46125</v>
      </c>
      <c r="J1560" s="30">
        <v>46125</v>
      </c>
      <c r="K1560" s="53">
        <v>0</v>
      </c>
      <c r="L1560" s="29">
        <v>2</v>
      </c>
      <c r="M1560" s="27" t="s">
        <v>25036</v>
      </c>
    </row>
    <row r="1561" spans="1:13" s="27" customFormat="1" ht="17.25" customHeight="1" x14ac:dyDescent="0.25">
      <c r="A1561" s="28" t="s">
        <v>3</v>
      </c>
      <c r="B1561" s="28">
        <v>71762684</v>
      </c>
      <c r="C1561" s="28" t="s">
        <v>25105</v>
      </c>
      <c r="D1561" s="28" t="s">
        <v>25733</v>
      </c>
      <c r="E1561" s="28" t="s">
        <v>25405</v>
      </c>
      <c r="F1561" s="28" t="s">
        <v>25051</v>
      </c>
      <c r="G1561" s="28" t="s">
        <v>19229</v>
      </c>
      <c r="H1561" s="28" t="s">
        <v>19239</v>
      </c>
      <c r="I1561" s="30">
        <v>46126</v>
      </c>
      <c r="J1561" s="30">
        <v>46130</v>
      </c>
      <c r="K1561" s="53">
        <v>5</v>
      </c>
      <c r="L1561" s="29">
        <v>15</v>
      </c>
      <c r="M1561" s="27" t="s">
        <v>25036</v>
      </c>
    </row>
    <row r="1562" spans="1:13" s="27" customFormat="1" ht="17.25" customHeight="1" x14ac:dyDescent="0.25">
      <c r="A1562" s="28" t="s">
        <v>3</v>
      </c>
      <c r="B1562" s="28">
        <v>71536344</v>
      </c>
      <c r="C1562" s="28" t="s">
        <v>25617</v>
      </c>
      <c r="D1562" s="28" t="s">
        <v>25245</v>
      </c>
      <c r="E1562" s="28" t="s">
        <v>25663</v>
      </c>
      <c r="F1562" s="28" t="s">
        <v>25755</v>
      </c>
      <c r="G1562" s="28" t="s">
        <v>19229</v>
      </c>
      <c r="H1562" s="28" t="s">
        <v>19239</v>
      </c>
      <c r="I1562" s="30">
        <v>46133</v>
      </c>
      <c r="J1562" s="30">
        <v>46133</v>
      </c>
      <c r="K1562" s="53">
        <v>1</v>
      </c>
      <c r="L1562" s="29">
        <v>4</v>
      </c>
      <c r="M1562" s="27" t="s">
        <v>25036</v>
      </c>
    </row>
    <row r="1563" spans="1:13" s="27" customFormat="1" ht="17.25" customHeight="1" x14ac:dyDescent="0.25">
      <c r="A1563" s="28" t="s">
        <v>3</v>
      </c>
      <c r="B1563" s="28">
        <v>1060266498</v>
      </c>
      <c r="C1563" s="28" t="s">
        <v>25034</v>
      </c>
      <c r="D1563" s="28" t="s">
        <v>25343</v>
      </c>
      <c r="E1563" s="28" t="s">
        <v>25241</v>
      </c>
      <c r="F1563" s="28"/>
      <c r="G1563" s="28" t="s">
        <v>26566</v>
      </c>
      <c r="H1563" s="28" t="s">
        <v>19239</v>
      </c>
      <c r="I1563" s="30">
        <v>46133</v>
      </c>
      <c r="J1563" s="30">
        <v>46133</v>
      </c>
      <c r="K1563" s="53">
        <v>1</v>
      </c>
      <c r="L1563" s="29">
        <v>4</v>
      </c>
      <c r="M1563" s="27" t="s">
        <v>25036</v>
      </c>
    </row>
    <row r="1564" spans="1:13" s="27" customFormat="1" ht="17.25" customHeight="1" x14ac:dyDescent="0.25">
      <c r="A1564" s="28" t="s">
        <v>3</v>
      </c>
      <c r="B1564" s="28">
        <v>1143438827</v>
      </c>
      <c r="C1564" s="28" t="s">
        <v>25200</v>
      </c>
      <c r="D1564" s="28" t="s">
        <v>25034</v>
      </c>
      <c r="E1564" s="28" t="s">
        <v>25023</v>
      </c>
      <c r="F1564" s="28" t="s">
        <v>24982</v>
      </c>
      <c r="G1564" s="28" t="s">
        <v>19229</v>
      </c>
      <c r="H1564" s="28" t="s">
        <v>26560</v>
      </c>
      <c r="I1564" s="30">
        <v>46133</v>
      </c>
      <c r="J1564" s="30">
        <v>46133</v>
      </c>
      <c r="K1564" s="53">
        <v>0</v>
      </c>
      <c r="L1564" s="29">
        <v>2</v>
      </c>
      <c r="M1564" s="27" t="s">
        <v>25036</v>
      </c>
    </row>
    <row r="1565" spans="1:13" s="27" customFormat="1" ht="17.25" customHeight="1" x14ac:dyDescent="0.25">
      <c r="A1565" s="28" t="s">
        <v>3</v>
      </c>
      <c r="B1565" s="28">
        <v>1020435559</v>
      </c>
      <c r="C1565" s="28" t="s">
        <v>25086</v>
      </c>
      <c r="D1565" s="28" t="s">
        <v>24980</v>
      </c>
      <c r="E1565" s="28" t="s">
        <v>25556</v>
      </c>
      <c r="F1565" s="28" t="s">
        <v>25020</v>
      </c>
      <c r="G1565" s="28" t="s">
        <v>19229</v>
      </c>
      <c r="H1565" s="28" t="s">
        <v>19239</v>
      </c>
      <c r="I1565" s="30">
        <v>46134</v>
      </c>
      <c r="J1565" s="30">
        <v>46134</v>
      </c>
      <c r="K1565" s="53">
        <v>1</v>
      </c>
      <c r="L1565" s="29">
        <v>4</v>
      </c>
      <c r="M1565" s="27" t="s">
        <v>25036</v>
      </c>
    </row>
    <row r="1566" spans="1:13" s="27" customFormat="1" ht="17.25" customHeight="1" x14ac:dyDescent="0.25">
      <c r="A1566" s="28" t="s">
        <v>3</v>
      </c>
      <c r="B1566" s="28">
        <v>1128198069</v>
      </c>
      <c r="C1566" s="28" t="s">
        <v>25775</v>
      </c>
      <c r="D1566" s="28" t="s">
        <v>25098</v>
      </c>
      <c r="E1566" s="28" t="s">
        <v>25282</v>
      </c>
      <c r="F1566" s="28" t="s">
        <v>25028</v>
      </c>
      <c r="G1566" s="28" t="s">
        <v>19229</v>
      </c>
      <c r="H1566" s="28" t="s">
        <v>19239</v>
      </c>
      <c r="I1566" s="30">
        <v>46134</v>
      </c>
      <c r="J1566" s="30">
        <v>46138</v>
      </c>
      <c r="K1566" s="53">
        <v>5</v>
      </c>
      <c r="L1566" s="29">
        <v>1</v>
      </c>
      <c r="M1566" s="27" t="s">
        <v>25036</v>
      </c>
    </row>
    <row r="1567" spans="1:13" s="27" customFormat="1" ht="17.25" customHeight="1" x14ac:dyDescent="0.25">
      <c r="A1567" s="28" t="s">
        <v>3</v>
      </c>
      <c r="B1567" s="28">
        <v>1152685109</v>
      </c>
      <c r="C1567" s="28" t="s">
        <v>25372</v>
      </c>
      <c r="D1567" s="28"/>
      <c r="E1567" s="28" t="s">
        <v>25130</v>
      </c>
      <c r="F1567" s="28" t="s">
        <v>26027</v>
      </c>
      <c r="G1567" s="28" t="s">
        <v>19229</v>
      </c>
      <c r="H1567" s="28" t="s">
        <v>19239</v>
      </c>
      <c r="I1567" s="30">
        <v>46140</v>
      </c>
      <c r="J1567" s="30">
        <v>46144</v>
      </c>
      <c r="K1567" s="53">
        <v>5</v>
      </c>
      <c r="L1567" s="29">
        <v>1</v>
      </c>
      <c r="M1567" s="27" t="s">
        <v>25036</v>
      </c>
    </row>
    <row r="1568" spans="1:13" s="27" customFormat="1" ht="17.25" customHeight="1" x14ac:dyDescent="0.25">
      <c r="A1568" s="28" t="s">
        <v>4</v>
      </c>
      <c r="B1568" s="28">
        <v>1005684400</v>
      </c>
      <c r="C1568" s="28" t="s">
        <v>25553</v>
      </c>
      <c r="D1568" s="28" t="s">
        <v>26546</v>
      </c>
      <c r="E1568" s="28" t="s">
        <v>25188</v>
      </c>
      <c r="F1568" s="28" t="s">
        <v>25092</v>
      </c>
      <c r="G1568" s="28" t="s">
        <v>19229</v>
      </c>
      <c r="H1568" s="28" t="s">
        <v>19239</v>
      </c>
      <c r="I1568" s="30">
        <v>46146</v>
      </c>
      <c r="J1568" s="30">
        <v>46150</v>
      </c>
      <c r="K1568" s="53">
        <v>5</v>
      </c>
      <c r="L1568" s="29">
        <v>1</v>
      </c>
      <c r="M1568" s="27" t="s">
        <v>25036</v>
      </c>
    </row>
    <row r="1569" spans="1:13" s="27" customFormat="1" ht="17.25" customHeight="1" x14ac:dyDescent="0.25">
      <c r="A1569" s="28" t="s">
        <v>4</v>
      </c>
      <c r="B1569" s="28">
        <v>78077303</v>
      </c>
      <c r="C1569" s="28" t="s">
        <v>25449</v>
      </c>
      <c r="D1569" s="28" t="s">
        <v>25398</v>
      </c>
      <c r="E1569" s="28" t="s">
        <v>25253</v>
      </c>
      <c r="F1569" s="28" t="s">
        <v>26428</v>
      </c>
      <c r="G1569" s="28" t="s">
        <v>19229</v>
      </c>
      <c r="H1569" s="28" t="s">
        <v>26560</v>
      </c>
      <c r="I1569" s="30">
        <v>46147</v>
      </c>
      <c r="J1569" s="30">
        <v>46147</v>
      </c>
      <c r="K1569" s="53">
        <v>0</v>
      </c>
      <c r="L1569" s="29"/>
      <c r="M1569" s="27" t="s">
        <v>25036</v>
      </c>
    </row>
    <row r="1570" spans="1:13" s="27" customFormat="1" ht="17.25" customHeight="1" x14ac:dyDescent="0.25">
      <c r="A1570" s="28" t="s">
        <v>4</v>
      </c>
      <c r="B1570" s="28">
        <v>22188088</v>
      </c>
      <c r="C1570" s="28" t="s">
        <v>25003</v>
      </c>
      <c r="D1570" s="28" t="s">
        <v>25105</v>
      </c>
      <c r="E1570" s="28" t="s">
        <v>25258</v>
      </c>
      <c r="F1570" s="28" t="s">
        <v>25501</v>
      </c>
      <c r="G1570" s="28" t="s">
        <v>19229</v>
      </c>
      <c r="H1570" s="28" t="s">
        <v>26560</v>
      </c>
      <c r="I1570" s="30">
        <v>46147</v>
      </c>
      <c r="J1570" s="30">
        <v>46147</v>
      </c>
      <c r="K1570" s="53">
        <v>0</v>
      </c>
      <c r="L1570" s="29"/>
      <c r="M1570" s="27" t="s">
        <v>25036</v>
      </c>
    </row>
    <row r="1571" spans="1:13" s="27" customFormat="1" ht="17.25" customHeight="1" x14ac:dyDescent="0.25">
      <c r="A1571" s="28" t="s">
        <v>4</v>
      </c>
      <c r="B1571" s="28">
        <v>1017192273</v>
      </c>
      <c r="C1571" s="28" t="s">
        <v>25216</v>
      </c>
      <c r="D1571" s="28" t="s">
        <v>25459</v>
      </c>
      <c r="E1571" s="28" t="s">
        <v>25676</v>
      </c>
      <c r="F1571" s="28" t="s">
        <v>25648</v>
      </c>
      <c r="G1571" s="28" t="s">
        <v>19229</v>
      </c>
      <c r="H1571" s="28" t="s">
        <v>19239</v>
      </c>
      <c r="I1571" s="30">
        <v>46148</v>
      </c>
      <c r="J1571" s="30">
        <v>46152</v>
      </c>
      <c r="K1571" s="53">
        <v>5</v>
      </c>
      <c r="L1571" s="29">
        <v>1</v>
      </c>
      <c r="M1571" s="27" t="s">
        <v>25036</v>
      </c>
    </row>
    <row r="1572" spans="1:13" s="27" customFormat="1" ht="17.25" customHeight="1" x14ac:dyDescent="0.25">
      <c r="A1572" s="28" t="s">
        <v>25629</v>
      </c>
      <c r="B1572" s="28">
        <v>1103674542</v>
      </c>
      <c r="C1572" s="28" t="s">
        <v>25117</v>
      </c>
      <c r="D1572" s="28" t="s">
        <v>26362</v>
      </c>
      <c r="E1572" s="28" t="s">
        <v>26537</v>
      </c>
      <c r="F1572" s="28" t="s">
        <v>25096</v>
      </c>
      <c r="G1572" s="28" t="s">
        <v>19229</v>
      </c>
      <c r="H1572" s="28" t="s">
        <v>19239</v>
      </c>
      <c r="I1572" s="30">
        <v>46149</v>
      </c>
      <c r="J1572" s="30">
        <v>46153</v>
      </c>
      <c r="K1572" s="53">
        <v>5</v>
      </c>
      <c r="L1572" s="29">
        <v>1</v>
      </c>
      <c r="M1572" s="27" t="s">
        <v>25036</v>
      </c>
    </row>
    <row r="1573" spans="1:13" s="27" customFormat="1" ht="17.25" customHeight="1" x14ac:dyDescent="0.25">
      <c r="A1573" s="28" t="s">
        <v>25629</v>
      </c>
      <c r="B1573" s="28">
        <v>1000399903</v>
      </c>
      <c r="C1573" s="28" t="s">
        <v>25257</v>
      </c>
      <c r="D1573" s="28" t="s">
        <v>25030</v>
      </c>
      <c r="E1573" s="28" t="s">
        <v>25886</v>
      </c>
      <c r="F1573" s="28" t="s">
        <v>25755</v>
      </c>
      <c r="G1573" s="28" t="s">
        <v>19285</v>
      </c>
      <c r="H1573" s="28" t="s">
        <v>19239</v>
      </c>
      <c r="I1573" s="30">
        <v>46149</v>
      </c>
      <c r="J1573" s="30">
        <v>46151</v>
      </c>
      <c r="K1573" s="53">
        <v>3</v>
      </c>
      <c r="L1573" s="29">
        <v>10</v>
      </c>
      <c r="M1573" s="27" t="s">
        <v>25036</v>
      </c>
    </row>
    <row r="1574" spans="1:13" s="27" customFormat="1" ht="17.25" customHeight="1" x14ac:dyDescent="0.25">
      <c r="A1574" s="28" t="s">
        <v>25629</v>
      </c>
      <c r="B1574" s="28">
        <v>1000399903</v>
      </c>
      <c r="C1574" s="28" t="s">
        <v>25257</v>
      </c>
      <c r="D1574" s="28" t="s">
        <v>25030</v>
      </c>
      <c r="E1574" s="28" t="s">
        <v>25886</v>
      </c>
      <c r="F1574" s="28" t="s">
        <v>25755</v>
      </c>
      <c r="G1574" s="28" t="s">
        <v>19229</v>
      </c>
      <c r="H1574" s="28" t="s">
        <v>19239</v>
      </c>
      <c r="I1574" s="30">
        <v>46149</v>
      </c>
      <c r="J1574" s="30">
        <v>46151</v>
      </c>
      <c r="K1574" s="53">
        <v>3</v>
      </c>
      <c r="L1574" s="29">
        <v>10</v>
      </c>
      <c r="M1574" s="27" t="s">
        <v>25036</v>
      </c>
    </row>
    <row r="1575" spans="1:13" s="27" customFormat="1" ht="17.25" customHeight="1" x14ac:dyDescent="0.25">
      <c r="A1575" s="28" t="s">
        <v>25629</v>
      </c>
      <c r="B1575" s="28">
        <v>71083889</v>
      </c>
      <c r="C1575" s="28" t="s">
        <v>25043</v>
      </c>
      <c r="D1575" s="28" t="s">
        <v>25901</v>
      </c>
      <c r="E1575" s="28" t="s">
        <v>26572</v>
      </c>
      <c r="F1575" s="28" t="s">
        <v>25064</v>
      </c>
      <c r="G1575" s="28" t="s">
        <v>19229</v>
      </c>
      <c r="H1575" s="28" t="s">
        <v>19239</v>
      </c>
      <c r="I1575" s="30">
        <v>46150</v>
      </c>
      <c r="J1575" s="30">
        <v>46154</v>
      </c>
      <c r="K1575" s="53">
        <v>1</v>
      </c>
      <c r="L1575" s="29">
        <v>5</v>
      </c>
      <c r="M1575" s="27" t="s">
        <v>25036</v>
      </c>
    </row>
    <row r="1576" spans="1:13" s="27" customFormat="1" ht="17.25" customHeight="1" x14ac:dyDescent="0.25">
      <c r="A1576" s="28" t="s">
        <v>4</v>
      </c>
      <c r="B1576" s="28">
        <v>70434145</v>
      </c>
      <c r="C1576" s="28" t="s">
        <v>25588</v>
      </c>
      <c r="D1576" s="28" t="s">
        <v>25905</v>
      </c>
      <c r="E1576" s="28" t="s">
        <v>25545</v>
      </c>
      <c r="F1576" s="28"/>
      <c r="G1576" s="28" t="s">
        <v>19229</v>
      </c>
      <c r="H1576" s="28" t="s">
        <v>19239</v>
      </c>
      <c r="I1576" s="30">
        <v>46154</v>
      </c>
      <c r="J1576" s="30">
        <v>46158</v>
      </c>
      <c r="K1576" s="53">
        <v>5</v>
      </c>
      <c r="L1576" s="29">
        <v>24</v>
      </c>
      <c r="M1576" s="27" t="s">
        <v>25036</v>
      </c>
    </row>
    <row r="1577" spans="1:13" s="27" customFormat="1" ht="17.25" customHeight="1" x14ac:dyDescent="0.25">
      <c r="A1577" s="28" t="s">
        <v>25629</v>
      </c>
      <c r="B1577" s="28">
        <v>43261371</v>
      </c>
      <c r="C1577" s="28" t="s">
        <v>25083</v>
      </c>
      <c r="D1577" s="28" t="s">
        <v>25257</v>
      </c>
      <c r="E1577" s="28" t="s">
        <v>25231</v>
      </c>
      <c r="F1577" s="28" t="s">
        <v>25235</v>
      </c>
      <c r="G1577" s="28" t="s">
        <v>19229</v>
      </c>
      <c r="H1577" s="28" t="s">
        <v>19239</v>
      </c>
      <c r="I1577" s="30">
        <v>46154</v>
      </c>
      <c r="J1577" s="30">
        <v>46158</v>
      </c>
      <c r="K1577" s="53">
        <v>5</v>
      </c>
      <c r="L1577" s="29">
        <v>1</v>
      </c>
      <c r="M1577" s="27" t="s">
        <v>25036</v>
      </c>
    </row>
    <row r="1578" spans="1:13" s="27" customFormat="1" ht="17.25" customHeight="1" x14ac:dyDescent="0.25">
      <c r="A1578" s="28" t="s">
        <v>25629</v>
      </c>
      <c r="B1578" s="28">
        <v>1000638893</v>
      </c>
      <c r="C1578" s="28" t="s">
        <v>26547</v>
      </c>
      <c r="D1578" s="28" t="s">
        <v>25075</v>
      </c>
      <c r="E1578" s="28" t="s">
        <v>25188</v>
      </c>
      <c r="F1578" s="28" t="s">
        <v>25080</v>
      </c>
      <c r="G1578" s="28" t="s">
        <v>19285</v>
      </c>
      <c r="H1578" s="28" t="s">
        <v>19239</v>
      </c>
      <c r="I1578" s="30">
        <v>46155</v>
      </c>
      <c r="J1578" s="30">
        <v>46159</v>
      </c>
      <c r="K1578" s="53">
        <v>5</v>
      </c>
      <c r="L1578" s="29">
        <v>1</v>
      </c>
      <c r="M1578" s="27" t="s">
        <v>25036</v>
      </c>
    </row>
    <row r="1579" spans="1:13" s="27" customFormat="1" ht="17.25" customHeight="1" x14ac:dyDescent="0.25">
      <c r="A1579" s="28" t="s">
        <v>25629</v>
      </c>
      <c r="B1579" s="28">
        <v>1040323443</v>
      </c>
      <c r="C1579" s="28" t="s">
        <v>25984</v>
      </c>
      <c r="D1579" s="28" t="s">
        <v>25498</v>
      </c>
      <c r="E1579" s="28" t="s">
        <v>26573</v>
      </c>
      <c r="F1579" s="28" t="s">
        <v>25010</v>
      </c>
      <c r="G1579" s="28" t="s">
        <v>19229</v>
      </c>
      <c r="H1579" s="28" t="s">
        <v>19239</v>
      </c>
      <c r="I1579" s="30">
        <v>46156</v>
      </c>
      <c r="J1579" s="30">
        <v>46156</v>
      </c>
      <c r="K1579" s="53">
        <v>1</v>
      </c>
      <c r="L1579" s="29">
        <v>3</v>
      </c>
      <c r="M1579" s="27" t="s">
        <v>25036</v>
      </c>
    </row>
    <row r="1580" spans="1:13" s="27" customFormat="1" ht="17.25" customHeight="1" x14ac:dyDescent="0.25">
      <c r="A1580" s="28" t="s">
        <v>25629</v>
      </c>
      <c r="B1580" s="28">
        <v>1037599403</v>
      </c>
      <c r="C1580" s="28" t="s">
        <v>25281</v>
      </c>
      <c r="D1580" s="28" t="s">
        <v>25447</v>
      </c>
      <c r="E1580" s="28" t="s">
        <v>25663</v>
      </c>
      <c r="F1580" s="28" t="s">
        <v>25755</v>
      </c>
      <c r="G1580" s="28" t="s">
        <v>19229</v>
      </c>
      <c r="H1580" s="28" t="s">
        <v>19239</v>
      </c>
      <c r="I1580" s="30">
        <v>46156</v>
      </c>
      <c r="J1580" s="30">
        <v>46160</v>
      </c>
      <c r="K1580" s="53">
        <v>5</v>
      </c>
      <c r="L1580" s="29">
        <v>1</v>
      </c>
      <c r="M1580" s="27" t="s">
        <v>25036</v>
      </c>
    </row>
    <row r="1581" spans="1:13" s="27" customFormat="1" ht="17.25" customHeight="1" x14ac:dyDescent="0.25">
      <c r="A1581" s="28" t="s">
        <v>25629</v>
      </c>
      <c r="B1581" s="28">
        <v>1040364736</v>
      </c>
      <c r="C1581" s="28" t="s">
        <v>26328</v>
      </c>
      <c r="D1581" s="28" t="s">
        <v>25608</v>
      </c>
      <c r="E1581" s="28" t="s">
        <v>25282</v>
      </c>
      <c r="F1581" s="28" t="s">
        <v>25080</v>
      </c>
      <c r="G1581" s="28" t="s">
        <v>19229</v>
      </c>
      <c r="H1581" s="28" t="s">
        <v>19239</v>
      </c>
      <c r="I1581" s="30">
        <v>46161</v>
      </c>
      <c r="J1581" s="30">
        <v>46165</v>
      </c>
      <c r="K1581" s="53">
        <v>5</v>
      </c>
      <c r="L1581" s="29">
        <v>1</v>
      </c>
      <c r="M1581" s="27" t="s">
        <v>25036</v>
      </c>
    </row>
    <row r="1582" spans="1:13" s="27" customFormat="1" ht="17.25" customHeight="1" x14ac:dyDescent="0.25">
      <c r="A1582" s="28" t="s">
        <v>4</v>
      </c>
      <c r="B1582" s="28">
        <v>1085103294</v>
      </c>
      <c r="C1582" s="28" t="s">
        <v>26529</v>
      </c>
      <c r="D1582" s="28" t="s">
        <v>26575</v>
      </c>
      <c r="E1582" s="28" t="s">
        <v>25548</v>
      </c>
      <c r="F1582" s="28" t="s">
        <v>25091</v>
      </c>
      <c r="G1582" s="28" t="s">
        <v>19229</v>
      </c>
      <c r="H1582" s="28" t="s">
        <v>19239</v>
      </c>
      <c r="I1582" s="30">
        <v>46162</v>
      </c>
      <c r="J1582" s="30">
        <v>46162</v>
      </c>
      <c r="K1582" s="53">
        <v>1</v>
      </c>
      <c r="L1582" s="29">
        <v>20</v>
      </c>
      <c r="M1582" s="27" t="s">
        <v>25036</v>
      </c>
    </row>
    <row r="1583" spans="1:13" s="27" customFormat="1" ht="17.25" customHeight="1" x14ac:dyDescent="0.25">
      <c r="A1583" s="28" t="s">
        <v>4</v>
      </c>
      <c r="B1583" s="28">
        <v>8418285</v>
      </c>
      <c r="C1583" s="28" t="s">
        <v>25462</v>
      </c>
      <c r="D1583" s="28" t="s">
        <v>25736</v>
      </c>
      <c r="E1583" s="28" t="s">
        <v>25512</v>
      </c>
      <c r="F1583" s="28"/>
      <c r="G1583" s="28" t="s">
        <v>19229</v>
      </c>
      <c r="H1583" s="28" t="s">
        <v>19239</v>
      </c>
      <c r="I1583" s="30">
        <v>46163</v>
      </c>
      <c r="J1583" s="30">
        <v>46163</v>
      </c>
      <c r="K1583" s="53">
        <v>1</v>
      </c>
      <c r="L1583" s="29">
        <v>4</v>
      </c>
      <c r="M1583" s="27" t="s">
        <v>25036</v>
      </c>
    </row>
    <row r="1584" spans="1:13" s="27" customFormat="1" ht="17.25" customHeight="1" x14ac:dyDescent="0.25">
      <c r="A1584" s="28" t="s">
        <v>4</v>
      </c>
      <c r="B1584" s="28">
        <v>12970483</v>
      </c>
      <c r="C1584" s="28" t="s">
        <v>24980</v>
      </c>
      <c r="D1584" s="28" t="s">
        <v>25052</v>
      </c>
      <c r="E1584" s="28" t="s">
        <v>26220</v>
      </c>
      <c r="F1584" s="28"/>
      <c r="G1584" s="28" t="s">
        <v>19229</v>
      </c>
      <c r="H1584" s="28" t="s">
        <v>19239</v>
      </c>
      <c r="I1584" s="30">
        <v>46164</v>
      </c>
      <c r="J1584" s="30">
        <v>46170</v>
      </c>
      <c r="K1584" s="53">
        <v>7</v>
      </c>
      <c r="L1584" s="29">
        <v>19</v>
      </c>
      <c r="M1584" s="27" t="s">
        <v>25036</v>
      </c>
    </row>
    <row r="1585" spans="1:13" s="27" customFormat="1" ht="17.25" customHeight="1" x14ac:dyDescent="0.25">
      <c r="A1585" s="28" t="s">
        <v>26240</v>
      </c>
      <c r="B1585" s="28">
        <v>1017246459</v>
      </c>
      <c r="C1585" s="28" t="s">
        <v>25604</v>
      </c>
      <c r="D1585" s="28" t="s">
        <v>25008</v>
      </c>
      <c r="E1585" s="28" t="s">
        <v>19278</v>
      </c>
      <c r="F1585" s="28" t="s">
        <v>25177</v>
      </c>
      <c r="G1585" s="28" t="s">
        <v>25328</v>
      </c>
      <c r="H1585" s="28" t="s">
        <v>19240</v>
      </c>
      <c r="I1585" s="30">
        <v>46174</v>
      </c>
      <c r="J1585" s="30">
        <v>46178</v>
      </c>
      <c r="K1585" s="53">
        <v>5</v>
      </c>
      <c r="L1585" s="29">
        <v>0</v>
      </c>
      <c r="M1585" s="27" t="s">
        <v>26576</v>
      </c>
    </row>
    <row r="1586" spans="1:13" s="27" customFormat="1" ht="17.25" customHeight="1" x14ac:dyDescent="0.25">
      <c r="A1586" s="28" t="s">
        <v>26240</v>
      </c>
      <c r="B1586" s="28">
        <v>71753184</v>
      </c>
      <c r="C1586" s="28" t="s">
        <v>25030</v>
      </c>
      <c r="D1586" s="28" t="s">
        <v>25498</v>
      </c>
      <c r="E1586" s="28" t="s">
        <v>25282</v>
      </c>
      <c r="F1586" s="28" t="s">
        <v>25157</v>
      </c>
      <c r="G1586" s="28" t="s">
        <v>19285</v>
      </c>
      <c r="H1586" s="28" t="s">
        <v>26560</v>
      </c>
      <c r="I1586" s="30">
        <v>46174</v>
      </c>
      <c r="J1586" s="30">
        <v>46174</v>
      </c>
      <c r="K1586" s="53">
        <v>0</v>
      </c>
      <c r="L1586" s="29">
        <v>20</v>
      </c>
      <c r="M1586" s="27" t="s">
        <v>25036</v>
      </c>
    </row>
    <row r="1587" spans="1:13" s="27" customFormat="1" ht="17.25" customHeight="1" x14ac:dyDescent="0.25">
      <c r="A1587" s="28" t="s">
        <v>26240</v>
      </c>
      <c r="B1587" s="28">
        <v>1002206888</v>
      </c>
      <c r="C1587" s="28" t="s">
        <v>25447</v>
      </c>
      <c r="D1587" s="28" t="s">
        <v>25173</v>
      </c>
      <c r="E1587" s="28" t="s">
        <v>26520</v>
      </c>
      <c r="F1587" s="28"/>
      <c r="G1587" s="28" t="s">
        <v>19229</v>
      </c>
      <c r="H1587" s="28" t="s">
        <v>19239</v>
      </c>
      <c r="I1587" s="30">
        <v>46176</v>
      </c>
      <c r="J1587" s="30">
        <v>46180</v>
      </c>
      <c r="K1587" s="53">
        <v>5</v>
      </c>
      <c r="L1587" s="29">
        <v>22</v>
      </c>
      <c r="M1587" s="27" t="s">
        <v>25036</v>
      </c>
    </row>
    <row r="1588" spans="1:13" s="27" customFormat="1" ht="17.25" customHeight="1" x14ac:dyDescent="0.25">
      <c r="A1588" s="28" t="s">
        <v>26240</v>
      </c>
      <c r="B1588" s="28">
        <v>91002376</v>
      </c>
      <c r="C1588" s="28" t="s">
        <v>25097</v>
      </c>
      <c r="D1588" s="28" t="s">
        <v>25098</v>
      </c>
      <c r="E1588" s="28" t="s">
        <v>25099</v>
      </c>
      <c r="F1588" s="28"/>
      <c r="G1588" s="28" t="s">
        <v>19229</v>
      </c>
      <c r="H1588" s="28" t="s">
        <v>19239</v>
      </c>
      <c r="I1588" s="30">
        <v>46176</v>
      </c>
      <c r="J1588" s="30">
        <v>46176</v>
      </c>
      <c r="K1588" s="53">
        <v>1</v>
      </c>
      <c r="L1588" s="29">
        <v>6</v>
      </c>
      <c r="M1588" s="27" t="s">
        <v>25036</v>
      </c>
    </row>
    <row r="1589" spans="1:13" s="27" customFormat="1" ht="17.25" customHeight="1" x14ac:dyDescent="0.25">
      <c r="A1589" s="28" t="s">
        <v>26240</v>
      </c>
      <c r="B1589" s="28">
        <v>1037769843</v>
      </c>
      <c r="C1589" s="28" t="s">
        <v>24998</v>
      </c>
      <c r="D1589" s="28" t="s">
        <v>25248</v>
      </c>
      <c r="E1589" s="28" t="s">
        <v>25092</v>
      </c>
      <c r="F1589" s="28" t="s">
        <v>25135</v>
      </c>
      <c r="G1589" s="28" t="s">
        <v>19229</v>
      </c>
      <c r="H1589" s="28" t="s">
        <v>19239</v>
      </c>
      <c r="I1589" s="30">
        <v>46177</v>
      </c>
      <c r="J1589" s="30">
        <v>46181</v>
      </c>
      <c r="K1589" s="53">
        <v>5</v>
      </c>
      <c r="L1589" s="29">
        <v>1</v>
      </c>
      <c r="M1589" s="27" t="s">
        <v>25036</v>
      </c>
    </row>
    <row r="1590" spans="1:13" s="27" customFormat="1" ht="17.25" customHeight="1" x14ac:dyDescent="0.25">
      <c r="A1590" s="28" t="s">
        <v>26240</v>
      </c>
      <c r="B1590" s="28">
        <v>98592173</v>
      </c>
      <c r="C1590" s="28" t="s">
        <v>25105</v>
      </c>
      <c r="D1590" s="28" t="s">
        <v>26109</v>
      </c>
      <c r="E1590" s="28" t="s">
        <v>25033</v>
      </c>
      <c r="F1590" s="28" t="s">
        <v>25004</v>
      </c>
      <c r="G1590" s="28" t="s">
        <v>19229</v>
      </c>
      <c r="H1590" s="28" t="s">
        <v>19239</v>
      </c>
      <c r="I1590" s="30">
        <v>46177</v>
      </c>
      <c r="J1590" s="30">
        <v>46181</v>
      </c>
      <c r="K1590" s="53">
        <v>5</v>
      </c>
      <c r="L1590" s="29">
        <v>22</v>
      </c>
      <c r="M1590" s="27" t="s">
        <v>25036</v>
      </c>
    </row>
    <row r="1591" spans="1:13" s="27" customFormat="1" ht="17.25" customHeight="1" x14ac:dyDescent="0.25">
      <c r="A1591" s="28" t="s">
        <v>26240</v>
      </c>
      <c r="B1591" s="28">
        <v>1000885770</v>
      </c>
      <c r="C1591" s="28" t="s">
        <v>25984</v>
      </c>
      <c r="D1591" s="28" t="s">
        <v>26536</v>
      </c>
      <c r="E1591" s="28" t="s">
        <v>25831</v>
      </c>
      <c r="F1591" s="28"/>
      <c r="G1591" s="28" t="s">
        <v>19229</v>
      </c>
      <c r="H1591" s="28" t="s">
        <v>19239</v>
      </c>
      <c r="I1591" s="30">
        <v>46182</v>
      </c>
      <c r="J1591" s="30">
        <v>46186</v>
      </c>
      <c r="K1591" s="53">
        <v>5</v>
      </c>
      <c r="L1591" s="29">
        <v>1</v>
      </c>
      <c r="M1591" s="27" t="s">
        <v>25036</v>
      </c>
    </row>
    <row r="1592" spans="1:13" s="27" customFormat="1" ht="17.25" customHeight="1" x14ac:dyDescent="0.25">
      <c r="A1592" s="28" t="s">
        <v>26240</v>
      </c>
      <c r="B1592" s="28">
        <v>1067283366</v>
      </c>
      <c r="C1592" s="28" t="s">
        <v>25498</v>
      </c>
      <c r="D1592" s="28" t="s">
        <v>25562</v>
      </c>
      <c r="E1592" s="28" t="s">
        <v>25282</v>
      </c>
      <c r="F1592" s="28" t="s">
        <v>25283</v>
      </c>
      <c r="G1592" s="28" t="s">
        <v>19229</v>
      </c>
      <c r="H1592" s="28" t="s">
        <v>19239</v>
      </c>
      <c r="I1592" s="30">
        <v>46182</v>
      </c>
      <c r="J1592" s="30">
        <v>46186</v>
      </c>
      <c r="K1592" s="53">
        <v>5</v>
      </c>
      <c r="L1592" s="29">
        <v>1</v>
      </c>
      <c r="M1592" s="27" t="s">
        <v>25036</v>
      </c>
    </row>
    <row r="1593" spans="1:13" s="27" customFormat="1" ht="17.25" customHeight="1" x14ac:dyDescent="0.25">
      <c r="A1593" s="28" t="s">
        <v>26240</v>
      </c>
      <c r="B1593" s="28">
        <v>71652357</v>
      </c>
      <c r="C1593" s="28" t="s">
        <v>25117</v>
      </c>
      <c r="D1593" s="28" t="s">
        <v>25118</v>
      </c>
      <c r="E1593" s="28" t="s">
        <v>25119</v>
      </c>
      <c r="F1593" s="28" t="s">
        <v>25004</v>
      </c>
      <c r="G1593" s="28" t="s">
        <v>19229</v>
      </c>
      <c r="H1593" s="28" t="s">
        <v>26560</v>
      </c>
      <c r="I1593" s="30">
        <v>46183</v>
      </c>
      <c r="J1593" s="30">
        <v>46183</v>
      </c>
      <c r="K1593" s="53">
        <v>0</v>
      </c>
      <c r="L1593" s="29">
        <v>24</v>
      </c>
      <c r="M1593" s="27" t="s">
        <v>25036</v>
      </c>
    </row>
    <row r="1594" spans="1:13" s="27" customFormat="1" ht="17.25" customHeight="1" x14ac:dyDescent="0.25">
      <c r="A1594" s="28" t="s">
        <v>26240</v>
      </c>
      <c r="B1594" s="28">
        <v>1020452896</v>
      </c>
      <c r="C1594" s="28" t="s">
        <v>25114</v>
      </c>
      <c r="D1594" s="28" t="s">
        <v>25115</v>
      </c>
      <c r="E1594" s="28" t="s">
        <v>25116</v>
      </c>
      <c r="F1594" s="28" t="s">
        <v>25010</v>
      </c>
      <c r="G1594" s="28" t="s">
        <v>19229</v>
      </c>
      <c r="H1594" s="28" t="s">
        <v>19239</v>
      </c>
      <c r="I1594" s="30">
        <v>46184</v>
      </c>
      <c r="J1594" s="30">
        <v>46186</v>
      </c>
      <c r="K1594" s="53">
        <v>3</v>
      </c>
      <c r="L1594" s="29">
        <v>24</v>
      </c>
      <c r="M1594" s="27" t="s">
        <v>25036</v>
      </c>
    </row>
    <row r="1595" spans="1:13" s="27" customFormat="1" ht="17.25" customHeight="1" x14ac:dyDescent="0.25">
      <c r="A1595" s="28" t="s">
        <v>26240</v>
      </c>
      <c r="B1595" s="28">
        <v>1047501292</v>
      </c>
      <c r="C1595" s="28" t="s">
        <v>26586</v>
      </c>
      <c r="D1595" s="28" t="s">
        <v>26587</v>
      </c>
      <c r="E1595" s="28" t="s">
        <v>26588</v>
      </c>
      <c r="F1595" s="28" t="s">
        <v>26237</v>
      </c>
      <c r="G1595" s="28" t="s">
        <v>19229</v>
      </c>
      <c r="H1595" s="28" t="s">
        <v>19239</v>
      </c>
      <c r="I1595" s="30">
        <v>46184</v>
      </c>
      <c r="J1595" s="30">
        <v>46188</v>
      </c>
      <c r="K1595" s="53">
        <v>5</v>
      </c>
      <c r="L1595" s="29">
        <v>1</v>
      </c>
      <c r="M1595" s="27" t="s">
        <v>25036</v>
      </c>
    </row>
    <row r="1596" spans="1:13" s="27" customFormat="1" ht="17.25" customHeight="1" x14ac:dyDescent="0.25">
      <c r="A1596" s="28" t="s">
        <v>26240</v>
      </c>
      <c r="B1596" s="28">
        <v>1020452896</v>
      </c>
      <c r="C1596" s="28" t="s">
        <v>25114</v>
      </c>
      <c r="D1596" s="28" t="s">
        <v>25115</v>
      </c>
      <c r="E1596" s="28" t="s">
        <v>25116</v>
      </c>
      <c r="F1596" s="28" t="s">
        <v>25010</v>
      </c>
      <c r="G1596" s="28" t="s">
        <v>19229</v>
      </c>
      <c r="H1596" s="28" t="s">
        <v>19239</v>
      </c>
      <c r="I1596" s="30">
        <v>46184</v>
      </c>
      <c r="J1596" s="30">
        <v>46186</v>
      </c>
      <c r="K1596" s="53">
        <v>3</v>
      </c>
      <c r="L1596" s="29">
        <v>24</v>
      </c>
      <c r="M1596" s="27" t="s">
        <v>25036</v>
      </c>
    </row>
    <row r="1597" spans="1:13" s="27" customFormat="1" ht="17.25" customHeight="1" x14ac:dyDescent="0.25">
      <c r="A1597" s="28" t="s">
        <v>26240</v>
      </c>
      <c r="B1597" s="28">
        <v>1000112049</v>
      </c>
      <c r="C1597" s="28" t="s">
        <v>25108</v>
      </c>
      <c r="D1597" s="28" t="s">
        <v>25588</v>
      </c>
      <c r="E1597" s="28" t="s">
        <v>25096</v>
      </c>
      <c r="F1597" s="28"/>
      <c r="G1597" s="28" t="s">
        <v>25328</v>
      </c>
      <c r="H1597" s="28" t="s">
        <v>19239</v>
      </c>
      <c r="I1597" s="30">
        <v>46185</v>
      </c>
      <c r="J1597" s="30">
        <v>46185</v>
      </c>
      <c r="K1597" s="53">
        <v>1</v>
      </c>
      <c r="L1597" s="29">
        <v>4</v>
      </c>
      <c r="M1597" s="27" t="s">
        <v>25036</v>
      </c>
    </row>
    <row r="1598" spans="1:13" s="27" customFormat="1" ht="17.25" customHeight="1" x14ac:dyDescent="0.25">
      <c r="A1598" s="28" t="s">
        <v>26240</v>
      </c>
      <c r="B1598" s="28">
        <v>43841605</v>
      </c>
      <c r="C1598" s="28" t="s">
        <v>25254</v>
      </c>
      <c r="D1598" s="28" t="s">
        <v>25523</v>
      </c>
      <c r="E1598" s="28" t="s">
        <v>26591</v>
      </c>
      <c r="F1598" s="28"/>
      <c r="G1598" s="28" t="s">
        <v>19229</v>
      </c>
      <c r="H1598" s="28" t="s">
        <v>19240</v>
      </c>
      <c r="I1598" s="30">
        <v>46185</v>
      </c>
      <c r="J1598" s="30">
        <v>46189</v>
      </c>
      <c r="K1598" s="53">
        <v>5</v>
      </c>
      <c r="L1598" s="29">
        <v>0</v>
      </c>
      <c r="M1598" s="27" t="s">
        <v>26592</v>
      </c>
    </row>
    <row r="1599" spans="1:13" s="27" customFormat="1" ht="17.25" customHeight="1" x14ac:dyDescent="0.25">
      <c r="A1599" s="28" t="s">
        <v>26240</v>
      </c>
      <c r="B1599" s="28">
        <v>1152188024</v>
      </c>
      <c r="C1599" s="28" t="s">
        <v>26066</v>
      </c>
      <c r="D1599" s="28" t="s">
        <v>25075</v>
      </c>
      <c r="E1599" s="28" t="s">
        <v>25130</v>
      </c>
      <c r="F1599" s="28" t="s">
        <v>25648</v>
      </c>
      <c r="G1599" s="28" t="s">
        <v>19229</v>
      </c>
      <c r="H1599" s="28" t="s">
        <v>19239</v>
      </c>
      <c r="I1599" s="30">
        <v>46189</v>
      </c>
      <c r="J1599" s="30">
        <v>46193</v>
      </c>
      <c r="K1599" s="53">
        <v>5</v>
      </c>
      <c r="L1599" s="29">
        <v>1</v>
      </c>
      <c r="M1599" s="27" t="s">
        <v>25036</v>
      </c>
    </row>
    <row r="1600" spans="1:13" s="27" customFormat="1" ht="17.25" customHeight="1" x14ac:dyDescent="0.25">
      <c r="A1600" s="28" t="s">
        <v>26240</v>
      </c>
      <c r="B1600" s="28">
        <v>1036661996</v>
      </c>
      <c r="C1600" s="28" t="s">
        <v>25609</v>
      </c>
      <c r="D1600" s="28" t="s">
        <v>25721</v>
      </c>
      <c r="E1600" s="28" t="s">
        <v>25255</v>
      </c>
      <c r="F1600" s="28" t="s">
        <v>25080</v>
      </c>
      <c r="G1600" s="28" t="s">
        <v>19229</v>
      </c>
      <c r="H1600" s="28" t="s">
        <v>19239</v>
      </c>
      <c r="I1600" s="30">
        <v>46189</v>
      </c>
      <c r="J1600" s="30">
        <v>46193</v>
      </c>
      <c r="K1600" s="53">
        <v>5</v>
      </c>
      <c r="L1600" s="29">
        <v>1</v>
      </c>
      <c r="M1600" s="27" t="s">
        <v>25036</v>
      </c>
    </row>
    <row r="1601" spans="1:13" s="27" customFormat="1" ht="17.25" customHeight="1" x14ac:dyDescent="0.25">
      <c r="A1601" s="28" t="s">
        <v>26240</v>
      </c>
      <c r="B1601" s="28">
        <v>43103123</v>
      </c>
      <c r="C1601" s="28" t="s">
        <v>25163</v>
      </c>
      <c r="D1601" s="28" t="s">
        <v>25164</v>
      </c>
      <c r="E1601" s="28" t="s">
        <v>25165</v>
      </c>
      <c r="F1601" s="28" t="s">
        <v>25166</v>
      </c>
      <c r="G1601" s="28" t="s">
        <v>19229</v>
      </c>
      <c r="H1601" s="28" t="s">
        <v>19239</v>
      </c>
      <c r="I1601" s="30">
        <v>46190</v>
      </c>
      <c r="J1601" s="30">
        <v>46190</v>
      </c>
      <c r="K1601" s="53">
        <v>1</v>
      </c>
      <c r="L1601" s="29">
        <v>4</v>
      </c>
      <c r="M1601" s="27" t="s">
        <v>25036</v>
      </c>
    </row>
    <row r="1602" spans="1:13" s="27" customFormat="1" ht="17.25" customHeight="1" x14ac:dyDescent="0.25">
      <c r="A1602" s="28" t="s">
        <v>26240</v>
      </c>
      <c r="B1602" s="28">
        <v>1143438827</v>
      </c>
      <c r="C1602" s="28" t="s">
        <v>25200</v>
      </c>
      <c r="D1602" s="28" t="s">
        <v>25034</v>
      </c>
      <c r="E1602" s="28" t="s">
        <v>25569</v>
      </c>
      <c r="F1602" s="28" t="s">
        <v>25103</v>
      </c>
      <c r="G1602" s="28" t="s">
        <v>19229</v>
      </c>
      <c r="H1602" s="28" t="s">
        <v>26560</v>
      </c>
      <c r="I1602" s="30">
        <v>46192</v>
      </c>
      <c r="J1602" s="30">
        <v>46192</v>
      </c>
      <c r="K1602" s="53">
        <v>0</v>
      </c>
      <c r="L1602" s="29">
        <v>1</v>
      </c>
      <c r="M1602" s="27" t="s">
        <v>25067</v>
      </c>
    </row>
    <row r="1603" spans="1:13" s="27" customFormat="1" ht="17.25" customHeight="1" x14ac:dyDescent="0.25">
      <c r="A1603" s="28" t="s">
        <v>26240</v>
      </c>
      <c r="B1603" s="28">
        <v>1088020508</v>
      </c>
      <c r="C1603" s="28" t="s">
        <v>25182</v>
      </c>
      <c r="D1603" s="28" t="s">
        <v>26594</v>
      </c>
      <c r="E1603" s="28" t="s">
        <v>25632</v>
      </c>
      <c r="F1603" s="28"/>
      <c r="G1603" s="28" t="s">
        <v>19229</v>
      </c>
      <c r="H1603" s="28" t="s">
        <v>19239</v>
      </c>
      <c r="I1603" s="30">
        <v>46195</v>
      </c>
      <c r="J1603" s="30">
        <v>46199</v>
      </c>
      <c r="K1603" s="53">
        <v>5</v>
      </c>
      <c r="L1603" s="29">
        <v>1</v>
      </c>
      <c r="M1603" s="27" t="s">
        <v>25036</v>
      </c>
    </row>
    <row r="1604" spans="1:13" s="27" customFormat="1" ht="17.25" customHeight="1" x14ac:dyDescent="0.25">
      <c r="A1604" s="28" t="s">
        <v>26240</v>
      </c>
      <c r="B1604" s="28">
        <v>1066527574</v>
      </c>
      <c r="C1604" s="28" t="s">
        <v>26578</v>
      </c>
      <c r="D1604" s="28" t="s">
        <v>25401</v>
      </c>
      <c r="E1604" s="28" t="s">
        <v>26580</v>
      </c>
      <c r="F1604" s="28"/>
      <c r="G1604" s="28" t="s">
        <v>19229</v>
      </c>
      <c r="H1604" s="28" t="s">
        <v>19240</v>
      </c>
      <c r="I1604" s="30">
        <v>46196</v>
      </c>
      <c r="J1604" s="30">
        <v>46200</v>
      </c>
      <c r="K1604" s="53">
        <v>5</v>
      </c>
      <c r="L1604" s="29">
        <v>0</v>
      </c>
      <c r="M1604" s="27" t="s">
        <v>26592</v>
      </c>
    </row>
    <row r="1605" spans="1:13" s="27" customFormat="1" ht="17.25" customHeight="1" x14ac:dyDescent="0.25">
      <c r="A1605" s="28" t="s">
        <v>26240</v>
      </c>
      <c r="B1605" s="28">
        <v>1000914832</v>
      </c>
      <c r="C1605" s="28" t="s">
        <v>25714</v>
      </c>
      <c r="D1605" s="28" t="s">
        <v>26140</v>
      </c>
      <c r="E1605" s="28" t="s">
        <v>25665</v>
      </c>
      <c r="F1605" s="28"/>
      <c r="G1605" s="28" t="s">
        <v>19229</v>
      </c>
      <c r="H1605" s="28" t="s">
        <v>19239</v>
      </c>
      <c r="I1605" s="30">
        <v>46196</v>
      </c>
      <c r="J1605" s="30">
        <v>46200</v>
      </c>
      <c r="K1605" s="53">
        <v>5</v>
      </c>
      <c r="L1605" s="29">
        <v>1</v>
      </c>
      <c r="M1605" s="27" t="s">
        <v>25036</v>
      </c>
    </row>
    <row r="1606" spans="1:13" s="27" customFormat="1" ht="17.25" customHeight="1" x14ac:dyDescent="0.25">
      <c r="A1606" s="28" t="s">
        <v>5</v>
      </c>
      <c r="B1606" s="28">
        <v>1020106113</v>
      </c>
      <c r="C1606" s="28" t="s">
        <v>26596</v>
      </c>
      <c r="D1606" s="28" t="s">
        <v>25175</v>
      </c>
      <c r="E1606" s="28" t="s">
        <v>25731</v>
      </c>
      <c r="F1606" s="28"/>
      <c r="G1606" s="28" t="s">
        <v>19229</v>
      </c>
      <c r="H1606" s="28" t="s">
        <v>19239</v>
      </c>
      <c r="I1606" s="30">
        <v>46197</v>
      </c>
      <c r="J1606" s="30">
        <v>46199</v>
      </c>
      <c r="K1606" s="53">
        <v>3</v>
      </c>
      <c r="L1606" s="29">
        <v>10</v>
      </c>
      <c r="M1606" s="27" t="s">
        <v>25036</v>
      </c>
    </row>
    <row r="1607" spans="1:13" s="27" customFormat="1" ht="17.25" customHeight="1" x14ac:dyDescent="0.25">
      <c r="A1607" s="28" t="s">
        <v>26240</v>
      </c>
      <c r="B1607" s="28">
        <v>1193495741</v>
      </c>
      <c r="C1607" s="28" t="s">
        <v>25094</v>
      </c>
      <c r="D1607" s="28" t="s">
        <v>25034</v>
      </c>
      <c r="E1607" s="28" t="s">
        <v>25092</v>
      </c>
      <c r="F1607" s="28"/>
      <c r="G1607" s="28" t="s">
        <v>19229</v>
      </c>
      <c r="H1607" s="28" t="s">
        <v>19239</v>
      </c>
      <c r="I1607" s="30">
        <v>46203</v>
      </c>
      <c r="J1607" s="30">
        <v>46207</v>
      </c>
      <c r="K1607" s="53">
        <v>5</v>
      </c>
      <c r="L1607" s="29">
        <v>1</v>
      </c>
      <c r="M1607" s="27" t="s">
        <v>25036</v>
      </c>
    </row>
    <row r="1608" spans="1:13" s="27" customFormat="1" ht="17.25" customHeight="1" x14ac:dyDescent="0.25">
      <c r="A1608" s="28" t="s">
        <v>26240</v>
      </c>
      <c r="B1608" s="28">
        <v>98700987</v>
      </c>
      <c r="C1608" s="28" t="s">
        <v>25326</v>
      </c>
      <c r="D1608" s="28" t="s">
        <v>25462</v>
      </c>
      <c r="E1608" s="28" t="s">
        <v>25186</v>
      </c>
      <c r="F1608" s="28" t="s">
        <v>25878</v>
      </c>
      <c r="G1608" s="28" t="s">
        <v>19229</v>
      </c>
      <c r="H1608" s="28" t="s">
        <v>19239</v>
      </c>
      <c r="I1608" s="30">
        <v>46203</v>
      </c>
      <c r="J1608" s="30">
        <v>46207</v>
      </c>
      <c r="K1608" s="53">
        <v>5</v>
      </c>
      <c r="L1608" s="29">
        <v>1</v>
      </c>
      <c r="M1608" s="27" t="s">
        <v>25036</v>
      </c>
    </row>
    <row r="1609" spans="1:13" s="27" customFormat="1" ht="17.25" customHeight="1" x14ac:dyDescent="0.25">
      <c r="A1609" s="28" t="s">
        <v>26240</v>
      </c>
      <c r="B1609" s="28">
        <v>1192745811</v>
      </c>
      <c r="C1609" s="28" t="s">
        <v>25604</v>
      </c>
      <c r="D1609" s="28" t="s">
        <v>25901</v>
      </c>
      <c r="E1609" s="28" t="s">
        <v>25056</v>
      </c>
      <c r="F1609" s="28" t="s">
        <v>25029</v>
      </c>
      <c r="G1609" s="28" t="s">
        <v>19229</v>
      </c>
      <c r="H1609" s="28" t="s">
        <v>19239</v>
      </c>
      <c r="I1609" s="30">
        <v>46203</v>
      </c>
      <c r="J1609" s="30">
        <v>46203</v>
      </c>
      <c r="K1609" s="53">
        <v>1</v>
      </c>
      <c r="L1609" s="29">
        <v>4</v>
      </c>
      <c r="M1609" s="27" t="s">
        <v>25036</v>
      </c>
    </row>
    <row r="1610" spans="1:13" s="27" customFormat="1" ht="17.25" customHeight="1" x14ac:dyDescent="0.25">
      <c r="A1610" s="28" t="s">
        <v>6</v>
      </c>
      <c r="B1610" s="28">
        <v>1088314632</v>
      </c>
      <c r="C1610" s="28" t="s">
        <v>26521</v>
      </c>
      <c r="D1610" s="28" t="s">
        <v>25415</v>
      </c>
      <c r="E1610" s="28" t="s">
        <v>26561</v>
      </c>
      <c r="F1610" s="28"/>
      <c r="G1610" s="28" t="s">
        <v>19229</v>
      </c>
      <c r="H1610" s="28" t="s">
        <v>19239</v>
      </c>
      <c r="I1610" s="30">
        <v>46206</v>
      </c>
      <c r="J1610" s="30">
        <v>46206</v>
      </c>
      <c r="K1610" s="53">
        <v>1</v>
      </c>
      <c r="L1610" s="29">
        <v>3</v>
      </c>
      <c r="M1610" s="27" t="s">
        <v>25036</v>
      </c>
    </row>
    <row r="1611" spans="1:13" s="27" customFormat="1" ht="17.25" customHeight="1" x14ac:dyDescent="0.25">
      <c r="A1611" s="28" t="s">
        <v>6</v>
      </c>
      <c r="B1611" s="28">
        <v>16527567</v>
      </c>
      <c r="C1611" s="28" t="s">
        <v>26600</v>
      </c>
      <c r="D1611" s="28"/>
      <c r="E1611" s="28" t="s">
        <v>25255</v>
      </c>
      <c r="F1611" s="28" t="s">
        <v>25064</v>
      </c>
      <c r="G1611" s="28" t="s">
        <v>19229</v>
      </c>
      <c r="H1611" s="28" t="s">
        <v>19239</v>
      </c>
      <c r="I1611" s="30">
        <v>46210</v>
      </c>
      <c r="J1611" s="30">
        <v>46214</v>
      </c>
      <c r="K1611" s="53">
        <v>5</v>
      </c>
      <c r="L1611" s="29">
        <v>22</v>
      </c>
      <c r="M1611" s="27" t="s">
        <v>25036</v>
      </c>
    </row>
    <row r="1612" spans="1:13" s="27" customFormat="1" ht="17.25" customHeight="1" x14ac:dyDescent="0.25">
      <c r="A1612" s="28" t="s">
        <v>6</v>
      </c>
      <c r="B1612" s="28">
        <v>1015332451</v>
      </c>
      <c r="C1612" s="28" t="s">
        <v>25065</v>
      </c>
      <c r="D1612" s="28" t="s">
        <v>25003</v>
      </c>
      <c r="E1612" s="28" t="s">
        <v>25089</v>
      </c>
      <c r="F1612" s="28" t="s">
        <v>25157</v>
      </c>
      <c r="G1612" s="28" t="s">
        <v>19229</v>
      </c>
      <c r="H1612" s="28" t="s">
        <v>19239</v>
      </c>
      <c r="I1612" s="30">
        <v>46212</v>
      </c>
      <c r="J1612" s="30">
        <v>46216</v>
      </c>
      <c r="K1612" s="53">
        <v>5</v>
      </c>
      <c r="L1612" s="29">
        <v>1</v>
      </c>
      <c r="M1612" s="27" t="s">
        <v>25036</v>
      </c>
    </row>
    <row r="1613" spans="1:13" s="27" customFormat="1" ht="17.25" customHeight="1" x14ac:dyDescent="0.25">
      <c r="A1613" s="28" t="s">
        <v>6</v>
      </c>
      <c r="B1613" s="28">
        <v>1053008811</v>
      </c>
      <c r="C1613" s="28" t="s">
        <v>25453</v>
      </c>
      <c r="D1613" s="28" t="s">
        <v>25181</v>
      </c>
      <c r="E1613" s="28" t="s">
        <v>19278</v>
      </c>
      <c r="F1613" s="28" t="s">
        <v>25586</v>
      </c>
      <c r="G1613" s="28" t="s">
        <v>19229</v>
      </c>
      <c r="H1613" s="28" t="s">
        <v>19239</v>
      </c>
      <c r="I1613" s="30">
        <v>46211</v>
      </c>
      <c r="J1613" s="30">
        <v>46211</v>
      </c>
      <c r="K1613" s="53">
        <v>1</v>
      </c>
      <c r="L1613" s="29">
        <v>4</v>
      </c>
      <c r="M1613" s="27" t="s">
        <v>25036</v>
      </c>
    </row>
    <row r="1614" spans="1:13" s="27" customFormat="1" ht="17.25" customHeight="1" x14ac:dyDescent="0.25">
      <c r="A1614" s="28" t="s">
        <v>6</v>
      </c>
      <c r="B1614" s="28">
        <v>71652357</v>
      </c>
      <c r="C1614" s="28" t="s">
        <v>25117</v>
      </c>
      <c r="D1614" s="28" t="s">
        <v>25118</v>
      </c>
      <c r="E1614" s="28" t="s">
        <v>25119</v>
      </c>
      <c r="F1614" s="28" t="s">
        <v>25004</v>
      </c>
      <c r="G1614" s="28" t="s">
        <v>19229</v>
      </c>
      <c r="H1614" s="28" t="s">
        <v>19239</v>
      </c>
      <c r="I1614" s="30">
        <v>46212</v>
      </c>
      <c r="J1614" s="30">
        <v>46212</v>
      </c>
      <c r="K1614" s="53">
        <v>1</v>
      </c>
      <c r="L1614" s="29">
        <v>4</v>
      </c>
      <c r="M1614" s="27" t="s">
        <v>25036</v>
      </c>
    </row>
    <row r="1615" spans="1:13" s="27" customFormat="1" ht="17.25" customHeight="1" x14ac:dyDescent="0.25">
      <c r="A1615" s="28"/>
      <c r="B1615" s="28"/>
      <c r="C1615" s="28"/>
      <c r="D1615" s="28"/>
      <c r="E1615" s="28"/>
      <c r="F1615" s="28"/>
      <c r="G1615" s="28"/>
      <c r="H1615" s="28"/>
      <c r="I1615" s="30"/>
      <c r="J1615" s="30"/>
      <c r="K1615" s="53"/>
      <c r="L1615" s="29"/>
    </row>
    <row r="1616" spans="1:13" s="27" customFormat="1" ht="17.25" customHeight="1" x14ac:dyDescent="0.25">
      <c r="A1616" s="28"/>
      <c r="B1616" s="28"/>
      <c r="C1616" s="28"/>
      <c r="D1616" s="28"/>
      <c r="E1616" s="28"/>
      <c r="F1616" s="28"/>
      <c r="G1616" s="28"/>
      <c r="H1616" s="28"/>
      <c r="I1616" s="30"/>
      <c r="J1616" s="30"/>
      <c r="K1616" s="53"/>
      <c r="L1616" s="29"/>
    </row>
    <row r="1617" spans="1:12" s="27" customFormat="1" ht="17.25" customHeight="1" x14ac:dyDescent="0.25">
      <c r="A1617" s="28"/>
      <c r="B1617" s="28"/>
      <c r="C1617" s="28"/>
      <c r="D1617" s="28"/>
      <c r="E1617" s="28"/>
      <c r="F1617" s="28"/>
      <c r="G1617" s="28"/>
      <c r="H1617" s="28"/>
      <c r="I1617" s="30"/>
      <c r="J1617" s="30"/>
      <c r="K1617" s="53"/>
      <c r="L1617" s="29"/>
    </row>
    <row r="1618" spans="1:12" s="27" customFormat="1" ht="17.25" customHeight="1" x14ac:dyDescent="0.25">
      <c r="A1618" s="28"/>
      <c r="B1618" s="28"/>
      <c r="C1618" s="28"/>
      <c r="D1618" s="28"/>
      <c r="E1618" s="28"/>
      <c r="F1618" s="28"/>
      <c r="G1618" s="28"/>
      <c r="H1618" s="28"/>
      <c r="I1618" s="30"/>
      <c r="J1618" s="30"/>
      <c r="K1618" s="53"/>
      <c r="L1618" s="29"/>
    </row>
    <row r="1619" spans="1:12" s="27" customFormat="1" ht="17.25" customHeight="1" x14ac:dyDescent="0.25">
      <c r="A1619" s="28"/>
      <c r="B1619" s="28"/>
      <c r="C1619" s="28"/>
      <c r="D1619" s="28"/>
      <c r="E1619" s="28"/>
      <c r="F1619" s="28"/>
      <c r="G1619" s="28"/>
      <c r="H1619" s="28"/>
      <c r="I1619" s="30"/>
      <c r="J1619" s="30"/>
      <c r="K1619" s="53"/>
      <c r="L1619" s="29"/>
    </row>
    <row r="1620" spans="1:12" s="27" customFormat="1" ht="17.25" customHeight="1" x14ac:dyDescent="0.25">
      <c r="A1620" s="28"/>
      <c r="B1620" s="28"/>
      <c r="C1620" s="28"/>
      <c r="D1620" s="28"/>
      <c r="E1620" s="28"/>
      <c r="F1620" s="28"/>
      <c r="G1620" s="28"/>
      <c r="H1620" s="28"/>
      <c r="I1620" s="30"/>
      <c r="J1620" s="30"/>
      <c r="K1620" s="53"/>
      <c r="L1620" s="29"/>
    </row>
    <row r="1621" spans="1:12" s="27" customFormat="1" ht="17.25" customHeight="1" x14ac:dyDescent="0.25">
      <c r="A1621" s="28"/>
      <c r="B1621" s="28"/>
      <c r="C1621" s="28"/>
      <c r="D1621" s="28"/>
      <c r="E1621" s="28"/>
      <c r="F1621" s="28"/>
      <c r="G1621" s="28"/>
      <c r="H1621" s="28"/>
      <c r="I1621" s="30"/>
      <c r="J1621" s="30"/>
      <c r="K1621" s="53"/>
      <c r="L1621" s="29"/>
    </row>
    <row r="1622" spans="1:12" s="27" customFormat="1" ht="17.25" customHeight="1" x14ac:dyDescent="0.25">
      <c r="A1622" s="28"/>
      <c r="B1622" s="28"/>
      <c r="C1622" s="28"/>
      <c r="D1622" s="28"/>
      <c r="E1622" s="28"/>
      <c r="F1622" s="28"/>
      <c r="G1622" s="28"/>
      <c r="H1622" s="28"/>
      <c r="I1622" s="30"/>
      <c r="J1622" s="30"/>
      <c r="K1622" s="53"/>
      <c r="L1622" s="29"/>
    </row>
    <row r="1623" spans="1:12" s="27" customFormat="1" ht="17.25" customHeight="1" x14ac:dyDescent="0.25">
      <c r="A1623" s="28"/>
      <c r="B1623" s="28"/>
      <c r="C1623" s="28"/>
      <c r="D1623" s="28"/>
      <c r="E1623" s="28"/>
      <c r="F1623" s="28"/>
      <c r="G1623" s="28"/>
      <c r="H1623" s="28"/>
      <c r="I1623" s="30"/>
      <c r="J1623" s="30"/>
      <c r="K1623" s="53"/>
      <c r="L1623" s="29"/>
    </row>
    <row r="1624" spans="1:12" s="27" customFormat="1" ht="17.25" customHeight="1" x14ac:dyDescent="0.25">
      <c r="A1624" s="28"/>
      <c r="B1624" s="28"/>
      <c r="C1624" s="28"/>
      <c r="D1624" s="28"/>
      <c r="E1624" s="28"/>
      <c r="F1624" s="28"/>
      <c r="G1624" s="28"/>
      <c r="H1624" s="28"/>
      <c r="I1624" s="30"/>
      <c r="J1624" s="30"/>
      <c r="K1624" s="53"/>
      <c r="L1624" s="29"/>
    </row>
    <row r="1625" spans="1:12" s="27" customFormat="1" ht="17.25" customHeight="1" x14ac:dyDescent="0.25">
      <c r="A1625" s="28"/>
      <c r="B1625" s="28"/>
      <c r="C1625" s="28"/>
      <c r="D1625" s="28"/>
      <c r="E1625" s="28"/>
      <c r="F1625" s="28"/>
      <c r="G1625" s="28"/>
      <c r="H1625" s="28"/>
      <c r="I1625" s="30"/>
      <c r="J1625" s="30"/>
      <c r="K1625" s="53"/>
      <c r="L1625" s="29"/>
    </row>
    <row r="1626" spans="1:12" s="27" customFormat="1" ht="17.25" customHeight="1" x14ac:dyDescent="0.25">
      <c r="A1626" s="28"/>
      <c r="B1626" s="28"/>
      <c r="C1626" s="28"/>
      <c r="D1626" s="28"/>
      <c r="E1626" s="28"/>
      <c r="F1626" s="28"/>
      <c r="G1626" s="28"/>
      <c r="H1626" s="28"/>
      <c r="I1626" s="30"/>
      <c r="J1626" s="30"/>
      <c r="K1626" s="53"/>
      <c r="L1626" s="29"/>
    </row>
    <row r="1627" spans="1:12" s="27" customFormat="1" ht="17.25" customHeight="1" x14ac:dyDescent="0.25">
      <c r="A1627" s="28"/>
      <c r="B1627" s="28"/>
      <c r="C1627" s="28"/>
      <c r="D1627" s="28"/>
      <c r="E1627" s="28"/>
      <c r="F1627" s="28"/>
      <c r="G1627" s="28"/>
      <c r="H1627" s="28"/>
      <c r="I1627" s="30"/>
      <c r="J1627" s="30"/>
      <c r="K1627" s="53"/>
      <c r="L1627" s="29"/>
    </row>
    <row r="1628" spans="1:12" s="27" customFormat="1" ht="17.25" customHeight="1" x14ac:dyDescent="0.25">
      <c r="A1628" s="28"/>
      <c r="B1628" s="28"/>
      <c r="C1628" s="28"/>
      <c r="D1628" s="28"/>
      <c r="E1628" s="28"/>
      <c r="F1628" s="28"/>
      <c r="G1628" s="28"/>
      <c r="H1628" s="28"/>
      <c r="I1628" s="30"/>
      <c r="J1628" s="30"/>
      <c r="K1628" s="53"/>
      <c r="L1628" s="29"/>
    </row>
    <row r="1629" spans="1:12" s="27" customFormat="1" ht="17.25" customHeight="1" x14ac:dyDescent="0.25">
      <c r="A1629" s="28"/>
      <c r="B1629" s="28"/>
      <c r="C1629" s="28"/>
      <c r="D1629" s="28"/>
      <c r="E1629" s="28"/>
      <c r="F1629" s="28"/>
      <c r="G1629" s="28"/>
      <c r="H1629" s="28"/>
      <c r="I1629" s="30"/>
      <c r="J1629" s="30"/>
      <c r="K1629" s="53"/>
      <c r="L1629" s="29"/>
    </row>
    <row r="1630" spans="1:12" s="27" customFormat="1" ht="17.25" customHeight="1" x14ac:dyDescent="0.25">
      <c r="A1630" s="28"/>
      <c r="B1630" s="28"/>
      <c r="C1630" s="28"/>
      <c r="D1630" s="28"/>
      <c r="E1630" s="28"/>
      <c r="F1630" s="28"/>
      <c r="G1630" s="28"/>
      <c r="H1630" s="28"/>
      <c r="I1630" s="30"/>
      <c r="J1630" s="30"/>
      <c r="K1630" s="53"/>
      <c r="L1630" s="29"/>
    </row>
    <row r="1631" spans="1:12" s="27" customFormat="1" ht="17.25" customHeight="1" x14ac:dyDescent="0.25">
      <c r="A1631" s="28"/>
      <c r="B1631" s="28"/>
      <c r="C1631" s="28"/>
      <c r="D1631" s="28"/>
      <c r="E1631" s="28"/>
      <c r="F1631" s="28"/>
      <c r="G1631" s="28"/>
      <c r="H1631" s="28"/>
      <c r="I1631" s="30"/>
      <c r="J1631" s="30"/>
      <c r="K1631" s="53"/>
      <c r="L1631" s="29"/>
    </row>
    <row r="1632" spans="1:12" s="27" customFormat="1" ht="17.25" customHeight="1" x14ac:dyDescent="0.25">
      <c r="A1632" s="28"/>
      <c r="B1632" s="28"/>
      <c r="C1632" s="28"/>
      <c r="D1632" s="28"/>
      <c r="E1632" s="28"/>
      <c r="F1632" s="28"/>
      <c r="G1632" s="28"/>
      <c r="H1632" s="28"/>
      <c r="I1632" s="30"/>
      <c r="J1632" s="30"/>
      <c r="K1632" s="53"/>
      <c r="L1632" s="29"/>
    </row>
    <row r="1633" spans="1:12" s="27" customFormat="1" ht="17.25" customHeight="1" x14ac:dyDescent="0.25">
      <c r="A1633" s="28"/>
      <c r="B1633" s="28"/>
      <c r="C1633" s="28"/>
      <c r="D1633" s="28"/>
      <c r="E1633" s="28"/>
      <c r="F1633" s="28"/>
      <c r="G1633" s="28"/>
      <c r="H1633" s="28"/>
      <c r="I1633" s="30"/>
      <c r="J1633" s="30"/>
      <c r="K1633" s="53"/>
      <c r="L1633" s="29"/>
    </row>
    <row r="1634" spans="1:12" s="27" customFormat="1" ht="17.25" customHeight="1" x14ac:dyDescent="0.25">
      <c r="A1634" s="28"/>
      <c r="B1634" s="28"/>
      <c r="C1634" s="28"/>
      <c r="D1634" s="28"/>
      <c r="E1634" s="28"/>
      <c r="F1634" s="28"/>
      <c r="G1634" s="28"/>
      <c r="H1634" s="28"/>
      <c r="I1634" s="30"/>
      <c r="J1634" s="30"/>
      <c r="K1634" s="53"/>
      <c r="L1634" s="29"/>
    </row>
    <row r="1635" spans="1:12" s="27" customFormat="1" ht="17.25" customHeight="1" x14ac:dyDescent="0.25">
      <c r="A1635" s="28"/>
      <c r="B1635" s="28"/>
      <c r="C1635" s="28"/>
      <c r="D1635" s="28"/>
      <c r="E1635" s="28"/>
      <c r="F1635" s="28"/>
      <c r="G1635" s="28"/>
      <c r="H1635" s="28"/>
      <c r="I1635" s="30"/>
      <c r="J1635" s="30"/>
      <c r="K1635" s="53"/>
      <c r="L1635" s="29"/>
    </row>
    <row r="1636" spans="1:12" s="27" customFormat="1" ht="17.25" customHeight="1" x14ac:dyDescent="0.25">
      <c r="A1636" s="28"/>
      <c r="B1636" s="28"/>
      <c r="C1636" s="28"/>
      <c r="D1636" s="28"/>
      <c r="E1636" s="28"/>
      <c r="F1636" s="28"/>
      <c r="G1636" s="28"/>
      <c r="H1636" s="28"/>
      <c r="I1636" s="30"/>
      <c r="J1636" s="30"/>
      <c r="K1636" s="53"/>
      <c r="L1636" s="29"/>
    </row>
    <row r="1637" spans="1:12" s="27" customFormat="1" ht="17.25" customHeight="1" x14ac:dyDescent="0.25">
      <c r="A1637" s="28"/>
      <c r="B1637" s="28"/>
      <c r="C1637" s="28"/>
      <c r="D1637" s="28"/>
      <c r="E1637" s="28"/>
      <c r="F1637" s="28"/>
      <c r="G1637" s="28"/>
      <c r="H1637" s="28"/>
      <c r="I1637" s="30"/>
      <c r="J1637" s="30"/>
      <c r="K1637" s="53"/>
      <c r="L1637" s="29"/>
    </row>
    <row r="1638" spans="1:12" s="27" customFormat="1" ht="17.25" customHeight="1" x14ac:dyDescent="0.25">
      <c r="A1638" s="28"/>
      <c r="B1638" s="28"/>
      <c r="C1638" s="28"/>
      <c r="D1638" s="28"/>
      <c r="E1638" s="28"/>
      <c r="F1638" s="28"/>
      <c r="G1638" s="28"/>
      <c r="H1638" s="28"/>
      <c r="I1638" s="30"/>
      <c r="J1638" s="30"/>
      <c r="K1638" s="53"/>
      <c r="L1638" s="29"/>
    </row>
    <row r="1639" spans="1:12" s="27" customFormat="1" ht="17.25" customHeight="1" x14ac:dyDescent="0.25">
      <c r="A1639" s="28"/>
      <c r="B1639" s="28"/>
      <c r="C1639" s="28"/>
      <c r="D1639" s="28"/>
      <c r="E1639" s="28"/>
      <c r="F1639" s="28"/>
      <c r="G1639" s="28"/>
      <c r="H1639" s="28"/>
      <c r="I1639" s="30"/>
      <c r="J1639" s="30"/>
      <c r="K1639" s="53"/>
      <c r="L1639" s="29"/>
    </row>
    <row r="1640" spans="1:12" s="27" customFormat="1" ht="17.25" customHeight="1" x14ac:dyDescent="0.25">
      <c r="A1640" s="28"/>
      <c r="B1640" s="28"/>
      <c r="C1640" s="28"/>
      <c r="D1640" s="28"/>
      <c r="E1640" s="28"/>
      <c r="F1640" s="28"/>
      <c r="G1640" s="28"/>
      <c r="H1640" s="28"/>
      <c r="I1640" s="30"/>
      <c r="J1640" s="30"/>
      <c r="K1640" s="53"/>
      <c r="L1640" s="29"/>
    </row>
    <row r="1641" spans="1:12" s="27" customFormat="1" ht="17.25" customHeight="1" x14ac:dyDescent="0.25">
      <c r="A1641" s="28"/>
      <c r="B1641" s="28"/>
      <c r="C1641" s="28"/>
      <c r="D1641" s="28"/>
      <c r="E1641" s="28"/>
      <c r="F1641" s="28"/>
      <c r="G1641" s="28"/>
      <c r="H1641" s="28"/>
      <c r="I1641" s="30"/>
      <c r="J1641" s="30"/>
      <c r="K1641" s="53"/>
      <c r="L1641" s="29"/>
    </row>
    <row r="1642" spans="1:12" s="27" customFormat="1" ht="17.25" customHeight="1" x14ac:dyDescent="0.25">
      <c r="A1642" s="28"/>
      <c r="B1642" s="28"/>
      <c r="C1642" s="28"/>
      <c r="D1642" s="28"/>
      <c r="E1642" s="28"/>
      <c r="F1642" s="28"/>
      <c r="G1642" s="28"/>
      <c r="H1642" s="28"/>
      <c r="I1642" s="30"/>
      <c r="J1642" s="30"/>
      <c r="K1642" s="53"/>
      <c r="L1642" s="29"/>
    </row>
    <row r="1643" spans="1:12" s="27" customFormat="1" ht="17.25" customHeight="1" x14ac:dyDescent="0.25">
      <c r="A1643" s="28"/>
      <c r="B1643" s="28"/>
      <c r="C1643" s="28"/>
      <c r="D1643" s="28"/>
      <c r="E1643" s="28"/>
      <c r="F1643" s="28"/>
      <c r="G1643" s="28"/>
      <c r="H1643" s="28"/>
      <c r="I1643" s="30"/>
      <c r="J1643" s="30"/>
      <c r="K1643" s="53"/>
      <c r="L1643" s="29"/>
    </row>
    <row r="1644" spans="1:12" s="27" customFormat="1" ht="17.25" customHeight="1" x14ac:dyDescent="0.25">
      <c r="A1644" s="28"/>
      <c r="B1644" s="28"/>
      <c r="C1644" s="28"/>
      <c r="D1644" s="28"/>
      <c r="E1644" s="28"/>
      <c r="F1644" s="28"/>
      <c r="G1644" s="28"/>
      <c r="H1644" s="28"/>
      <c r="I1644" s="30"/>
      <c r="J1644" s="30"/>
      <c r="K1644" s="53"/>
      <c r="L1644" s="29"/>
    </row>
    <row r="1645" spans="1:12" s="27" customFormat="1" ht="17.25" customHeight="1" x14ac:dyDescent="0.25">
      <c r="A1645" s="28"/>
      <c r="B1645" s="28"/>
      <c r="C1645" s="28"/>
      <c r="D1645" s="28"/>
      <c r="E1645" s="28"/>
      <c r="F1645" s="28"/>
      <c r="G1645" s="28"/>
      <c r="H1645" s="28"/>
      <c r="I1645" s="30"/>
      <c r="J1645" s="30"/>
      <c r="K1645" s="53"/>
      <c r="L1645" s="29"/>
    </row>
    <row r="1646" spans="1:12" s="27" customFormat="1" ht="17.25" customHeight="1" x14ac:dyDescent="0.25">
      <c r="A1646" s="28"/>
      <c r="B1646" s="28"/>
      <c r="C1646" s="28"/>
      <c r="D1646" s="28"/>
      <c r="E1646" s="28"/>
      <c r="F1646" s="28"/>
      <c r="G1646" s="28"/>
      <c r="H1646" s="28"/>
      <c r="I1646" s="30"/>
      <c r="J1646" s="30"/>
      <c r="K1646" s="53"/>
      <c r="L1646" s="29"/>
    </row>
    <row r="1647" spans="1:12" s="27" customFormat="1" ht="17.25" customHeight="1" x14ac:dyDescent="0.25">
      <c r="A1647" s="28"/>
      <c r="B1647" s="28"/>
      <c r="C1647" s="28"/>
      <c r="D1647" s="28"/>
      <c r="E1647" s="28"/>
      <c r="F1647" s="28"/>
      <c r="G1647" s="28"/>
      <c r="H1647" s="28"/>
      <c r="I1647" s="30"/>
      <c r="J1647" s="30"/>
      <c r="K1647" s="53"/>
      <c r="L1647" s="29"/>
    </row>
    <row r="1648" spans="1:12" s="27" customFormat="1" ht="17.25" customHeight="1" x14ac:dyDescent="0.25">
      <c r="A1648" s="28"/>
      <c r="B1648" s="28"/>
      <c r="C1648" s="28"/>
      <c r="D1648" s="28"/>
      <c r="E1648" s="28"/>
      <c r="F1648" s="28"/>
      <c r="G1648" s="28"/>
      <c r="H1648" s="28"/>
      <c r="I1648" s="30"/>
      <c r="J1648" s="30"/>
      <c r="K1648" s="53"/>
      <c r="L1648" s="29"/>
    </row>
    <row r="1649" spans="1:12" s="27" customFormat="1" ht="17.25" customHeight="1" x14ac:dyDescent="0.25">
      <c r="A1649" s="28"/>
      <c r="B1649" s="28"/>
      <c r="C1649" s="28"/>
      <c r="D1649" s="28"/>
      <c r="E1649" s="28"/>
      <c r="F1649" s="28"/>
      <c r="G1649" s="28"/>
      <c r="H1649" s="28"/>
      <c r="I1649" s="30"/>
      <c r="J1649" s="30"/>
      <c r="K1649" s="53"/>
      <c r="L1649" s="29"/>
    </row>
    <row r="1650" spans="1:12" s="27" customFormat="1" ht="17.25" customHeight="1" x14ac:dyDescent="0.25">
      <c r="A1650" s="28"/>
      <c r="B1650" s="28"/>
      <c r="C1650" s="28"/>
      <c r="D1650" s="28"/>
      <c r="E1650" s="28"/>
      <c r="F1650" s="28"/>
      <c r="G1650" s="28"/>
      <c r="H1650" s="28"/>
      <c r="I1650" s="30"/>
      <c r="J1650" s="30"/>
      <c r="K1650" s="53"/>
      <c r="L1650" s="29"/>
    </row>
    <row r="1651" spans="1:12" s="27" customFormat="1" ht="17.25" customHeight="1" x14ac:dyDescent="0.25">
      <c r="A1651" s="28"/>
      <c r="B1651" s="28"/>
      <c r="C1651" s="28"/>
      <c r="D1651" s="28"/>
      <c r="E1651" s="28"/>
      <c r="F1651" s="28"/>
      <c r="G1651" s="28"/>
      <c r="H1651" s="28"/>
      <c r="I1651" s="30"/>
      <c r="J1651" s="30"/>
      <c r="K1651" s="53"/>
      <c r="L1651" s="29"/>
    </row>
    <row r="1652" spans="1:12" s="27" customFormat="1" ht="17.25" customHeight="1" x14ac:dyDescent="0.25">
      <c r="A1652" s="28"/>
      <c r="B1652" s="28"/>
      <c r="C1652" s="28"/>
      <c r="D1652" s="28"/>
      <c r="E1652" s="28"/>
      <c r="F1652" s="28"/>
      <c r="G1652" s="28"/>
      <c r="H1652" s="28"/>
      <c r="I1652" s="30"/>
      <c r="J1652" s="30"/>
      <c r="K1652" s="53"/>
      <c r="L1652" s="29"/>
    </row>
    <row r="1653" spans="1:12" s="27" customFormat="1" ht="17.25" customHeight="1" x14ac:dyDescent="0.25">
      <c r="A1653" s="28"/>
      <c r="B1653" s="28"/>
      <c r="C1653" s="28"/>
      <c r="D1653" s="28"/>
      <c r="E1653" s="28"/>
      <c r="F1653" s="28"/>
      <c r="G1653" s="28"/>
      <c r="H1653" s="28"/>
      <c r="I1653" s="30"/>
      <c r="J1653" s="30"/>
      <c r="K1653" s="53"/>
      <c r="L1653" s="29"/>
    </row>
    <row r="1654" spans="1:12" s="27" customFormat="1" ht="17.25" customHeight="1" x14ac:dyDescent="0.25">
      <c r="A1654" s="28"/>
      <c r="B1654" s="28"/>
      <c r="C1654" s="28"/>
      <c r="D1654" s="28"/>
      <c r="E1654" s="28"/>
      <c r="F1654" s="28"/>
      <c r="G1654" s="28"/>
      <c r="H1654" s="28"/>
      <c r="I1654" s="30"/>
      <c r="J1654" s="30"/>
      <c r="K1654" s="53"/>
      <c r="L1654" s="29"/>
    </row>
    <row r="1655" spans="1:12" s="27" customFormat="1" ht="17.25" customHeight="1" x14ac:dyDescent="0.25">
      <c r="A1655" s="28"/>
      <c r="B1655" s="28"/>
      <c r="C1655" s="28"/>
      <c r="D1655" s="28"/>
      <c r="E1655" s="28"/>
      <c r="F1655" s="28"/>
      <c r="G1655" s="28"/>
      <c r="H1655" s="28"/>
      <c r="I1655" s="30"/>
      <c r="J1655" s="30"/>
      <c r="K1655" s="53"/>
      <c r="L1655" s="29"/>
    </row>
    <row r="1656" spans="1:12" s="27" customFormat="1" ht="17.25" customHeight="1" x14ac:dyDescent="0.25">
      <c r="A1656" s="28"/>
      <c r="B1656" s="28"/>
      <c r="C1656" s="28"/>
      <c r="D1656" s="28"/>
      <c r="E1656" s="28"/>
      <c r="F1656" s="28"/>
      <c r="G1656" s="28"/>
      <c r="H1656" s="28"/>
      <c r="I1656" s="30"/>
      <c r="J1656" s="30"/>
      <c r="K1656" s="53"/>
      <c r="L1656" s="29"/>
    </row>
    <row r="1657" spans="1:12" s="27" customFormat="1" ht="17.25" customHeight="1" x14ac:dyDescent="0.25">
      <c r="A1657" s="28"/>
      <c r="B1657" s="28"/>
      <c r="C1657" s="28"/>
      <c r="D1657" s="28"/>
      <c r="E1657" s="28"/>
      <c r="F1657" s="28"/>
      <c r="G1657" s="28"/>
      <c r="H1657" s="28"/>
      <c r="I1657" s="30"/>
      <c r="J1657" s="30"/>
      <c r="K1657" s="53"/>
      <c r="L1657" s="29"/>
    </row>
    <row r="1658" spans="1:12" s="27" customFormat="1" ht="17.25" customHeight="1" x14ac:dyDescent="0.25">
      <c r="A1658" s="28"/>
      <c r="B1658" s="28"/>
      <c r="C1658" s="28"/>
      <c r="D1658" s="28"/>
      <c r="E1658" s="28"/>
      <c r="F1658" s="28"/>
      <c r="G1658" s="28"/>
      <c r="H1658" s="28"/>
      <c r="I1658" s="30"/>
      <c r="J1658" s="30"/>
      <c r="K1658" s="53"/>
      <c r="L1658" s="29"/>
    </row>
    <row r="1659" spans="1:12" s="27" customFormat="1" ht="17.25" customHeight="1" x14ac:dyDescent="0.25">
      <c r="A1659" s="28"/>
      <c r="B1659" s="28"/>
      <c r="C1659" s="28"/>
      <c r="D1659" s="28"/>
      <c r="E1659" s="28"/>
      <c r="F1659" s="28"/>
      <c r="G1659" s="28"/>
      <c r="H1659" s="28"/>
      <c r="I1659" s="30"/>
      <c r="J1659" s="30"/>
      <c r="K1659" s="53"/>
      <c r="L1659" s="29"/>
    </row>
    <row r="1660" spans="1:12" s="27" customFormat="1" ht="17.25" customHeight="1" x14ac:dyDescent="0.25">
      <c r="A1660" s="28"/>
      <c r="B1660" s="28"/>
      <c r="C1660" s="28"/>
      <c r="D1660" s="28"/>
      <c r="E1660" s="28"/>
      <c r="F1660" s="28"/>
      <c r="G1660" s="28"/>
      <c r="H1660" s="28"/>
      <c r="I1660" s="30"/>
      <c r="J1660" s="30"/>
      <c r="K1660" s="53"/>
      <c r="L1660" s="29"/>
    </row>
    <row r="1661" spans="1:12" s="27" customFormat="1" ht="17.25" customHeight="1" x14ac:dyDescent="0.25">
      <c r="A1661" s="28"/>
      <c r="B1661" s="28"/>
      <c r="C1661" s="28"/>
      <c r="D1661" s="28"/>
      <c r="E1661" s="28"/>
      <c r="F1661" s="28"/>
      <c r="G1661" s="28"/>
      <c r="H1661" s="28"/>
      <c r="I1661" s="30"/>
      <c r="J1661" s="30"/>
      <c r="K1661" s="53"/>
      <c r="L1661" s="29"/>
    </row>
    <row r="1662" spans="1:12" s="27" customFormat="1" ht="17.25" customHeight="1" x14ac:dyDescent="0.25">
      <c r="A1662" s="28"/>
      <c r="B1662" s="28"/>
      <c r="C1662" s="28"/>
      <c r="D1662" s="28"/>
      <c r="E1662" s="28"/>
      <c r="F1662" s="28"/>
      <c r="G1662" s="28"/>
      <c r="H1662" s="28"/>
      <c r="I1662" s="30"/>
      <c r="J1662" s="30"/>
      <c r="K1662" s="53"/>
      <c r="L1662" s="29"/>
    </row>
    <row r="1663" spans="1:12" s="27" customFormat="1" ht="17.25" customHeight="1" x14ac:dyDescent="0.25">
      <c r="A1663" s="28"/>
      <c r="B1663" s="28"/>
      <c r="C1663" s="28"/>
      <c r="D1663" s="28"/>
      <c r="E1663" s="28"/>
      <c r="F1663" s="28"/>
      <c r="G1663" s="28"/>
      <c r="H1663" s="28"/>
      <c r="I1663" s="30"/>
      <c r="J1663" s="30"/>
      <c r="K1663" s="53"/>
      <c r="L1663" s="29"/>
    </row>
    <row r="1664" spans="1:12" s="27" customFormat="1" ht="17.25" customHeight="1" x14ac:dyDescent="0.25">
      <c r="A1664" s="28"/>
      <c r="B1664" s="28"/>
      <c r="C1664" s="28"/>
      <c r="D1664" s="28"/>
      <c r="E1664" s="28"/>
      <c r="F1664" s="28"/>
      <c r="G1664" s="28"/>
      <c r="H1664" s="28"/>
      <c r="I1664" s="30"/>
      <c r="J1664" s="30"/>
      <c r="K1664" s="53"/>
      <c r="L1664" s="29"/>
    </row>
    <row r="1665" spans="1:12" s="27" customFormat="1" ht="17.25" customHeight="1" x14ac:dyDescent="0.25">
      <c r="A1665" s="28"/>
      <c r="B1665" s="28"/>
      <c r="C1665" s="28"/>
      <c r="D1665" s="28"/>
      <c r="E1665" s="28"/>
      <c r="F1665" s="28"/>
      <c r="G1665" s="28"/>
      <c r="H1665" s="28"/>
      <c r="I1665" s="30"/>
      <c r="J1665" s="30"/>
      <c r="K1665" s="53"/>
      <c r="L1665" s="29"/>
    </row>
    <row r="1666" spans="1:12" s="27" customFormat="1" ht="17.25" customHeight="1" x14ac:dyDescent="0.25">
      <c r="A1666" s="28"/>
      <c r="B1666" s="28"/>
      <c r="C1666" s="28"/>
      <c r="D1666" s="28"/>
      <c r="E1666" s="28"/>
      <c r="F1666" s="28"/>
      <c r="G1666" s="28"/>
      <c r="H1666" s="28"/>
      <c r="I1666" s="30"/>
      <c r="J1666" s="30"/>
      <c r="K1666" s="53"/>
      <c r="L1666" s="29"/>
    </row>
    <row r="1667" spans="1:12" s="27" customFormat="1" ht="17.25" customHeight="1" x14ac:dyDescent="0.25">
      <c r="A1667" s="28"/>
      <c r="B1667" s="28"/>
      <c r="C1667" s="28"/>
      <c r="D1667" s="28"/>
      <c r="E1667" s="28"/>
      <c r="F1667" s="28"/>
      <c r="G1667" s="28"/>
      <c r="H1667" s="28"/>
      <c r="I1667" s="30"/>
      <c r="J1667" s="30"/>
      <c r="K1667" s="53"/>
      <c r="L1667" s="29"/>
    </row>
    <row r="1668" spans="1:12" s="27" customFormat="1" ht="17.25" customHeight="1" x14ac:dyDescent="0.25">
      <c r="A1668" s="28"/>
      <c r="B1668" s="28"/>
      <c r="C1668" s="28"/>
      <c r="D1668" s="28"/>
      <c r="E1668" s="28"/>
      <c r="F1668" s="28"/>
      <c r="G1668" s="28"/>
      <c r="H1668" s="28"/>
      <c r="I1668" s="30"/>
      <c r="J1668" s="30"/>
      <c r="K1668" s="53"/>
      <c r="L1668" s="29"/>
    </row>
    <row r="1669" spans="1:12" s="27" customFormat="1" ht="17.25" customHeight="1" x14ac:dyDescent="0.25">
      <c r="A1669" s="28"/>
      <c r="B1669" s="28"/>
      <c r="C1669" s="28"/>
      <c r="D1669" s="28"/>
      <c r="E1669" s="28"/>
      <c r="F1669" s="28"/>
      <c r="G1669" s="28"/>
      <c r="H1669" s="28"/>
      <c r="I1669" s="30"/>
      <c r="J1669" s="30"/>
      <c r="K1669" s="53"/>
      <c r="L1669" s="29"/>
    </row>
    <row r="1670" spans="1:12" s="27" customFormat="1" ht="17.25" customHeight="1" x14ac:dyDescent="0.25">
      <c r="A1670" s="28"/>
      <c r="B1670" s="28"/>
      <c r="C1670" s="28"/>
      <c r="D1670" s="28"/>
      <c r="E1670" s="28"/>
      <c r="F1670" s="28"/>
      <c r="G1670" s="28"/>
      <c r="H1670" s="28"/>
      <c r="I1670" s="30"/>
      <c r="J1670" s="30"/>
      <c r="K1670" s="53"/>
      <c r="L1670" s="29"/>
    </row>
    <row r="1671" spans="1:12" s="27" customFormat="1" ht="17.25" customHeight="1" x14ac:dyDescent="0.25">
      <c r="A1671" s="28"/>
      <c r="B1671" s="28"/>
      <c r="C1671" s="28"/>
      <c r="D1671" s="28"/>
      <c r="E1671" s="28"/>
      <c r="F1671" s="28"/>
      <c r="G1671" s="28"/>
      <c r="H1671" s="28"/>
      <c r="I1671" s="30"/>
      <c r="J1671" s="30"/>
      <c r="K1671" s="53"/>
      <c r="L1671" s="29"/>
    </row>
    <row r="1672" spans="1:12" s="27" customFormat="1" ht="17.25" customHeight="1" x14ac:dyDescent="0.25">
      <c r="A1672" s="28"/>
      <c r="B1672" s="28"/>
      <c r="C1672" s="28"/>
      <c r="D1672" s="28"/>
      <c r="E1672" s="28"/>
      <c r="F1672" s="28"/>
      <c r="G1672" s="28"/>
      <c r="H1672" s="28"/>
      <c r="I1672" s="30"/>
      <c r="J1672" s="30"/>
      <c r="K1672" s="53"/>
      <c r="L1672" s="29"/>
    </row>
    <row r="1673" spans="1:12" s="27" customFormat="1" ht="17.25" customHeight="1" x14ac:dyDescent="0.25">
      <c r="A1673" s="28"/>
      <c r="B1673" s="28"/>
      <c r="C1673" s="28"/>
      <c r="D1673" s="28"/>
      <c r="E1673" s="28"/>
      <c r="F1673" s="28"/>
      <c r="G1673" s="28"/>
      <c r="H1673" s="28"/>
      <c r="I1673" s="30"/>
      <c r="J1673" s="30"/>
      <c r="K1673" s="53"/>
      <c r="L1673" s="29"/>
    </row>
    <row r="1674" spans="1:12" s="27" customFormat="1" ht="17.25" customHeight="1" x14ac:dyDescent="0.25">
      <c r="A1674" s="28"/>
      <c r="B1674" s="28"/>
      <c r="C1674" s="28"/>
      <c r="D1674" s="28"/>
      <c r="E1674" s="28"/>
      <c r="F1674" s="28"/>
      <c r="G1674" s="28"/>
      <c r="H1674" s="28"/>
      <c r="I1674" s="30"/>
      <c r="J1674" s="30"/>
      <c r="K1674" s="53"/>
      <c r="L1674" s="29"/>
    </row>
    <row r="1675" spans="1:12" s="27" customFormat="1" ht="17.25" customHeight="1" x14ac:dyDescent="0.25">
      <c r="A1675" s="28"/>
      <c r="B1675" s="28"/>
      <c r="C1675" s="28"/>
      <c r="D1675" s="28"/>
      <c r="E1675" s="28"/>
      <c r="F1675" s="28"/>
      <c r="G1675" s="28"/>
      <c r="H1675" s="28"/>
      <c r="I1675" s="30"/>
      <c r="J1675" s="30"/>
      <c r="K1675" s="53"/>
      <c r="L1675" s="29"/>
    </row>
    <row r="1676" spans="1:12" s="27" customFormat="1" ht="17.25" customHeight="1" x14ac:dyDescent="0.25">
      <c r="A1676" s="28"/>
      <c r="B1676" s="28"/>
      <c r="C1676" s="28"/>
      <c r="D1676" s="28"/>
      <c r="E1676" s="28"/>
      <c r="F1676" s="28"/>
      <c r="G1676" s="28"/>
      <c r="H1676" s="28"/>
      <c r="I1676" s="30"/>
      <c r="J1676" s="30"/>
      <c r="K1676" s="53"/>
      <c r="L1676" s="29"/>
    </row>
    <row r="1677" spans="1:12" s="27" customFormat="1" ht="17.25" customHeight="1" x14ac:dyDescent="0.25">
      <c r="A1677" s="28"/>
      <c r="B1677" s="28"/>
      <c r="C1677" s="28"/>
      <c r="D1677" s="28"/>
      <c r="E1677" s="28"/>
      <c r="F1677" s="28"/>
      <c r="G1677" s="28"/>
      <c r="H1677" s="28"/>
      <c r="I1677" s="30"/>
      <c r="J1677" s="30"/>
      <c r="K1677" s="53"/>
      <c r="L1677" s="29"/>
    </row>
    <row r="1678" spans="1:12" s="27" customFormat="1" ht="17.25" customHeight="1" x14ac:dyDescent="0.25">
      <c r="A1678" s="28"/>
      <c r="B1678" s="28"/>
      <c r="C1678" s="28"/>
      <c r="D1678" s="28"/>
      <c r="E1678" s="28"/>
      <c r="F1678" s="28"/>
      <c r="G1678" s="28"/>
      <c r="H1678" s="28"/>
      <c r="I1678" s="30"/>
      <c r="J1678" s="30"/>
      <c r="K1678" s="53"/>
      <c r="L1678" s="29"/>
    </row>
    <row r="1679" spans="1:12" s="27" customFormat="1" ht="17.25" customHeight="1" x14ac:dyDescent="0.25">
      <c r="A1679" s="28"/>
      <c r="B1679" s="28"/>
      <c r="C1679" s="28"/>
      <c r="D1679" s="28"/>
      <c r="E1679" s="28"/>
      <c r="F1679" s="28"/>
      <c r="G1679" s="28"/>
      <c r="H1679" s="28"/>
      <c r="I1679" s="30"/>
      <c r="J1679" s="30"/>
      <c r="K1679" s="53"/>
      <c r="L1679" s="29"/>
    </row>
    <row r="1680" spans="1:12" s="27" customFormat="1" ht="17.25" customHeight="1" x14ac:dyDescent="0.25">
      <c r="A1680" s="28"/>
      <c r="B1680" s="28"/>
      <c r="C1680" s="28"/>
      <c r="D1680" s="28"/>
      <c r="E1680" s="28"/>
      <c r="F1680" s="28"/>
      <c r="G1680" s="28"/>
      <c r="H1680" s="28"/>
      <c r="I1680" s="30"/>
      <c r="J1680" s="30"/>
      <c r="K1680" s="53"/>
      <c r="L1680" s="29"/>
    </row>
    <row r="1681" spans="1:12" s="27" customFormat="1" ht="17.25" customHeight="1" x14ac:dyDescent="0.25">
      <c r="A1681" s="28"/>
      <c r="B1681" s="28"/>
      <c r="C1681" s="28"/>
      <c r="D1681" s="28"/>
      <c r="E1681" s="28"/>
      <c r="F1681" s="28"/>
      <c r="G1681" s="28"/>
      <c r="H1681" s="28"/>
      <c r="I1681" s="30"/>
      <c r="J1681" s="30"/>
      <c r="K1681" s="53"/>
      <c r="L1681" s="29"/>
    </row>
    <row r="1682" spans="1:12" s="27" customFormat="1" ht="17.25" customHeight="1" x14ac:dyDescent="0.25">
      <c r="A1682" s="28"/>
      <c r="B1682" s="28"/>
      <c r="C1682" s="28"/>
      <c r="D1682" s="28"/>
      <c r="E1682" s="28"/>
      <c r="F1682" s="28"/>
      <c r="G1682" s="28"/>
      <c r="H1682" s="28"/>
      <c r="I1682" s="30"/>
      <c r="J1682" s="30"/>
      <c r="K1682" s="53"/>
      <c r="L1682" s="29"/>
    </row>
    <row r="1683" spans="1:12" s="27" customFormat="1" ht="17.25" customHeight="1" x14ac:dyDescent="0.25">
      <c r="A1683" s="28"/>
      <c r="B1683" s="28"/>
      <c r="C1683" s="28"/>
      <c r="D1683" s="28"/>
      <c r="E1683" s="28"/>
      <c r="F1683" s="28"/>
      <c r="G1683" s="28"/>
      <c r="H1683" s="28"/>
      <c r="I1683" s="30"/>
      <c r="J1683" s="30"/>
      <c r="K1683" s="53"/>
      <c r="L1683" s="29"/>
    </row>
    <row r="1684" spans="1:12" s="27" customFormat="1" ht="17.25" customHeight="1" x14ac:dyDescent="0.25">
      <c r="A1684" s="28"/>
      <c r="B1684" s="28"/>
      <c r="C1684" s="28"/>
      <c r="D1684" s="28"/>
      <c r="E1684" s="28"/>
      <c r="F1684" s="28"/>
      <c r="G1684" s="28"/>
      <c r="H1684" s="28"/>
      <c r="I1684" s="30"/>
      <c r="J1684" s="30"/>
      <c r="K1684" s="53"/>
      <c r="L1684" s="29"/>
    </row>
    <row r="1685" spans="1:12" s="27" customFormat="1" ht="17.25" customHeight="1" x14ac:dyDescent="0.25">
      <c r="A1685" s="28"/>
      <c r="B1685" s="28"/>
      <c r="C1685" s="28"/>
      <c r="D1685" s="28"/>
      <c r="E1685" s="28"/>
      <c r="F1685" s="28"/>
      <c r="G1685" s="28"/>
      <c r="H1685" s="28"/>
      <c r="I1685" s="30"/>
      <c r="J1685" s="30"/>
      <c r="K1685" s="53"/>
      <c r="L1685" s="29"/>
    </row>
    <row r="1686" spans="1:12" s="27" customFormat="1" ht="17.25" customHeight="1" x14ac:dyDescent="0.25">
      <c r="A1686" s="28"/>
      <c r="B1686" s="28"/>
      <c r="C1686" s="28"/>
      <c r="D1686" s="28"/>
      <c r="E1686" s="28"/>
      <c r="F1686" s="28"/>
      <c r="G1686" s="28"/>
      <c r="H1686" s="28"/>
      <c r="I1686" s="30"/>
      <c r="J1686" s="30"/>
      <c r="K1686" s="53"/>
      <c r="L1686" s="29"/>
    </row>
    <row r="1687" spans="1:12" s="27" customFormat="1" ht="17.25" customHeight="1" x14ac:dyDescent="0.25">
      <c r="A1687" s="28"/>
      <c r="B1687" s="28"/>
      <c r="C1687" s="28"/>
      <c r="D1687" s="28"/>
      <c r="E1687" s="28"/>
      <c r="F1687" s="28"/>
      <c r="G1687" s="28"/>
      <c r="H1687" s="28"/>
      <c r="I1687" s="30"/>
      <c r="J1687" s="30"/>
      <c r="K1687" s="53"/>
      <c r="L1687" s="29"/>
    </row>
    <row r="1688" spans="1:12" s="27" customFormat="1" ht="17.25" customHeight="1" x14ac:dyDescent="0.25">
      <c r="A1688" s="28"/>
      <c r="B1688" s="28"/>
      <c r="C1688" s="28"/>
      <c r="D1688" s="28"/>
      <c r="E1688" s="28"/>
      <c r="F1688" s="28"/>
      <c r="G1688" s="28"/>
      <c r="H1688" s="28"/>
      <c r="I1688" s="30"/>
      <c r="J1688" s="30"/>
      <c r="K1688" s="53"/>
      <c r="L1688" s="29"/>
    </row>
    <row r="1689" spans="1:12" s="27" customFormat="1" ht="17.25" customHeight="1" x14ac:dyDescent="0.25">
      <c r="A1689" s="28"/>
      <c r="B1689" s="28"/>
      <c r="C1689" s="28"/>
      <c r="D1689" s="28"/>
      <c r="E1689" s="28"/>
      <c r="F1689" s="28"/>
      <c r="G1689" s="28"/>
      <c r="H1689" s="28"/>
      <c r="I1689" s="30"/>
      <c r="J1689" s="30"/>
      <c r="K1689" s="53"/>
      <c r="L1689" s="29"/>
    </row>
    <row r="1690" spans="1:12" s="27" customFormat="1" ht="17.25" customHeight="1" x14ac:dyDescent="0.25">
      <c r="A1690" s="28"/>
      <c r="B1690" s="28"/>
      <c r="C1690" s="28"/>
      <c r="D1690" s="28"/>
      <c r="E1690" s="28"/>
      <c r="F1690" s="28"/>
      <c r="G1690" s="28"/>
      <c r="H1690" s="28"/>
      <c r="I1690" s="30"/>
      <c r="J1690" s="30"/>
      <c r="K1690" s="53"/>
      <c r="L1690" s="29"/>
    </row>
    <row r="1691" spans="1:12" s="27" customFormat="1" ht="17.25" customHeight="1" x14ac:dyDescent="0.25">
      <c r="A1691" s="28"/>
      <c r="B1691" s="28"/>
      <c r="C1691" s="28"/>
      <c r="D1691" s="28"/>
      <c r="E1691" s="28"/>
      <c r="F1691" s="28"/>
      <c r="G1691" s="28"/>
      <c r="H1691" s="28"/>
      <c r="I1691" s="30"/>
      <c r="J1691" s="30"/>
      <c r="K1691" s="53"/>
      <c r="L1691" s="29"/>
    </row>
    <row r="1692" spans="1:12" s="27" customFormat="1" ht="17.25" customHeight="1" x14ac:dyDescent="0.25">
      <c r="A1692" s="28"/>
      <c r="B1692" s="28"/>
      <c r="C1692" s="28"/>
      <c r="D1692" s="28"/>
      <c r="E1692" s="28"/>
      <c r="F1692" s="28"/>
      <c r="G1692" s="28"/>
      <c r="H1692" s="28"/>
      <c r="I1692" s="30"/>
      <c r="J1692" s="30"/>
      <c r="K1692" s="53"/>
      <c r="L1692" s="29"/>
    </row>
    <row r="1693" spans="1:12" s="27" customFormat="1" ht="17.25" customHeight="1" x14ac:dyDescent="0.25">
      <c r="A1693" s="28"/>
      <c r="B1693" s="28"/>
      <c r="C1693" s="28"/>
      <c r="D1693" s="28"/>
      <c r="E1693" s="28"/>
      <c r="F1693" s="28"/>
      <c r="G1693" s="28"/>
      <c r="H1693" s="28"/>
      <c r="I1693" s="30"/>
      <c r="J1693" s="30"/>
      <c r="K1693" s="53"/>
      <c r="L1693" s="29"/>
    </row>
    <row r="1694" spans="1:12" s="27" customFormat="1" ht="17.25" customHeight="1" x14ac:dyDescent="0.25">
      <c r="A1694" s="28"/>
      <c r="B1694" s="28"/>
      <c r="C1694" s="28"/>
      <c r="D1694" s="28"/>
      <c r="E1694" s="28"/>
      <c r="F1694" s="28"/>
      <c r="G1694" s="28"/>
      <c r="H1694" s="28"/>
      <c r="I1694" s="30"/>
      <c r="J1694" s="30"/>
      <c r="K1694" s="53"/>
      <c r="L1694" s="29"/>
    </row>
    <row r="1695" spans="1:12" s="27" customFormat="1" ht="17.25" customHeight="1" x14ac:dyDescent="0.25">
      <c r="A1695" s="28"/>
      <c r="B1695" s="28"/>
      <c r="C1695" s="28"/>
      <c r="D1695" s="28"/>
      <c r="E1695" s="28"/>
      <c r="F1695" s="28"/>
      <c r="G1695" s="28"/>
      <c r="H1695" s="28"/>
      <c r="I1695" s="30"/>
      <c r="J1695" s="30"/>
      <c r="K1695" s="53"/>
      <c r="L1695" s="29"/>
    </row>
    <row r="1696" spans="1:12" s="27" customFormat="1" ht="17.25" customHeight="1" x14ac:dyDescent="0.25">
      <c r="A1696" s="28"/>
      <c r="B1696" s="28"/>
      <c r="C1696" s="28"/>
      <c r="D1696" s="28"/>
      <c r="E1696" s="28"/>
      <c r="F1696" s="28"/>
      <c r="G1696" s="28"/>
      <c r="H1696" s="28"/>
      <c r="I1696" s="30"/>
      <c r="J1696" s="30"/>
      <c r="K1696" s="53"/>
      <c r="L1696" s="29"/>
    </row>
    <row r="1697" spans="1:12" s="27" customFormat="1" ht="17.25" customHeight="1" x14ac:dyDescent="0.25">
      <c r="A1697" s="28"/>
      <c r="B1697" s="28"/>
      <c r="C1697" s="28"/>
      <c r="D1697" s="28"/>
      <c r="E1697" s="28"/>
      <c r="F1697" s="28"/>
      <c r="G1697" s="28"/>
      <c r="H1697" s="28"/>
      <c r="I1697" s="30"/>
      <c r="J1697" s="30"/>
      <c r="K1697" s="53"/>
      <c r="L1697" s="29"/>
    </row>
    <row r="1698" spans="1:12" s="27" customFormat="1" ht="17.25" customHeight="1" x14ac:dyDescent="0.25">
      <c r="A1698" s="28"/>
      <c r="B1698" s="28"/>
      <c r="C1698" s="28"/>
      <c r="D1698" s="28"/>
      <c r="E1698" s="28"/>
      <c r="F1698" s="28"/>
      <c r="G1698" s="28"/>
      <c r="H1698" s="28"/>
      <c r="I1698" s="30"/>
      <c r="J1698" s="30"/>
      <c r="K1698" s="53"/>
      <c r="L1698" s="29"/>
    </row>
    <row r="1699" spans="1:12" s="27" customFormat="1" ht="17.25" customHeight="1" x14ac:dyDescent="0.25">
      <c r="A1699" s="28"/>
      <c r="B1699" s="28"/>
      <c r="C1699" s="28"/>
      <c r="D1699" s="28"/>
      <c r="E1699" s="28"/>
      <c r="F1699" s="28"/>
      <c r="G1699" s="28"/>
      <c r="H1699" s="28"/>
      <c r="I1699" s="30"/>
      <c r="J1699" s="30"/>
      <c r="K1699" s="53"/>
      <c r="L1699" s="29"/>
    </row>
    <row r="1700" spans="1:12" s="27" customFormat="1" ht="17.25" customHeight="1" x14ac:dyDescent="0.25">
      <c r="A1700" s="28"/>
      <c r="B1700" s="28"/>
      <c r="C1700" s="28"/>
      <c r="D1700" s="28"/>
      <c r="E1700" s="28"/>
      <c r="F1700" s="28"/>
      <c r="G1700" s="28"/>
      <c r="H1700" s="28"/>
      <c r="I1700" s="30"/>
      <c r="J1700" s="30"/>
      <c r="K1700" s="53"/>
      <c r="L1700" s="29"/>
    </row>
    <row r="1701" spans="1:12" s="27" customFormat="1" ht="17.25" customHeight="1" x14ac:dyDescent="0.25">
      <c r="A1701" s="28"/>
      <c r="B1701" s="28"/>
      <c r="C1701" s="28"/>
      <c r="D1701" s="28"/>
      <c r="E1701" s="28"/>
      <c r="F1701" s="28"/>
      <c r="G1701" s="28"/>
      <c r="H1701" s="28"/>
      <c r="I1701" s="30"/>
      <c r="J1701" s="30"/>
      <c r="K1701" s="53"/>
      <c r="L1701" s="29"/>
    </row>
    <row r="1702" spans="1:12" s="27" customFormat="1" ht="17.25" customHeight="1" x14ac:dyDescent="0.25">
      <c r="A1702" s="28"/>
      <c r="B1702" s="28"/>
      <c r="C1702" s="28"/>
      <c r="D1702" s="28"/>
      <c r="E1702" s="28"/>
      <c r="F1702" s="28"/>
      <c r="G1702" s="28"/>
      <c r="H1702" s="28"/>
      <c r="I1702" s="30"/>
      <c r="J1702" s="30"/>
      <c r="K1702" s="53"/>
      <c r="L1702" s="29"/>
    </row>
    <row r="1703" spans="1:12" s="27" customFormat="1" ht="17.25" customHeight="1" x14ac:dyDescent="0.25">
      <c r="A1703" s="28"/>
      <c r="B1703" s="28"/>
      <c r="C1703" s="28"/>
      <c r="D1703" s="28"/>
      <c r="E1703" s="28"/>
      <c r="F1703" s="28"/>
      <c r="G1703" s="28"/>
      <c r="H1703" s="28"/>
      <c r="I1703" s="30"/>
      <c r="J1703" s="30"/>
      <c r="K1703" s="53"/>
      <c r="L1703" s="29"/>
    </row>
    <row r="1704" spans="1:12" s="27" customFormat="1" ht="17.25" customHeight="1" x14ac:dyDescent="0.25">
      <c r="A1704" s="28"/>
      <c r="B1704" s="28"/>
      <c r="C1704" s="28"/>
      <c r="D1704" s="28"/>
      <c r="E1704" s="28"/>
      <c r="F1704" s="28"/>
      <c r="G1704" s="28"/>
      <c r="H1704" s="28"/>
      <c r="I1704" s="30"/>
      <c r="J1704" s="30"/>
      <c r="K1704" s="53"/>
      <c r="L1704" s="29"/>
    </row>
    <row r="1705" spans="1:12" s="27" customFormat="1" ht="17.25" customHeight="1" x14ac:dyDescent="0.25">
      <c r="A1705" s="28"/>
      <c r="B1705" s="28"/>
      <c r="C1705" s="28"/>
      <c r="D1705" s="28"/>
      <c r="E1705" s="28"/>
      <c r="F1705" s="28"/>
      <c r="G1705" s="28"/>
      <c r="H1705" s="28"/>
      <c r="I1705" s="30"/>
      <c r="J1705" s="30"/>
      <c r="K1705" s="53"/>
      <c r="L1705" s="29"/>
    </row>
    <row r="1706" spans="1:12" s="27" customFormat="1" ht="17.25" customHeight="1" x14ac:dyDescent="0.25">
      <c r="A1706" s="28"/>
      <c r="B1706" s="28"/>
      <c r="C1706" s="28"/>
      <c r="D1706" s="28"/>
      <c r="E1706" s="28"/>
      <c r="F1706" s="28"/>
      <c r="G1706" s="28"/>
      <c r="H1706" s="28"/>
      <c r="I1706" s="30"/>
      <c r="J1706" s="30"/>
      <c r="K1706" s="53"/>
      <c r="L1706" s="29"/>
    </row>
    <row r="1707" spans="1:12" s="27" customFormat="1" ht="17.25" customHeight="1" x14ac:dyDescent="0.25">
      <c r="A1707" s="28"/>
      <c r="B1707" s="28"/>
      <c r="C1707" s="28"/>
      <c r="D1707" s="28"/>
      <c r="E1707" s="28"/>
      <c r="F1707" s="28"/>
      <c r="G1707" s="28"/>
      <c r="H1707" s="28"/>
      <c r="I1707" s="30"/>
      <c r="J1707" s="30"/>
      <c r="K1707" s="53"/>
      <c r="L1707" s="29"/>
    </row>
    <row r="1708" spans="1:12" s="27" customFormat="1" ht="17.25" customHeight="1" x14ac:dyDescent="0.25">
      <c r="A1708" s="28"/>
      <c r="B1708" s="28"/>
      <c r="C1708" s="28"/>
      <c r="D1708" s="28"/>
      <c r="E1708" s="28"/>
      <c r="F1708" s="28"/>
      <c r="G1708" s="28"/>
      <c r="H1708" s="28"/>
      <c r="I1708" s="30"/>
      <c r="J1708" s="30"/>
      <c r="K1708" s="53"/>
      <c r="L1708" s="29"/>
    </row>
    <row r="1709" spans="1:12" s="27" customFormat="1" ht="17.25" customHeight="1" x14ac:dyDescent="0.25">
      <c r="A1709" s="28"/>
      <c r="B1709" s="28"/>
      <c r="C1709" s="28"/>
      <c r="D1709" s="28"/>
      <c r="E1709" s="28"/>
      <c r="F1709" s="28"/>
      <c r="G1709" s="28"/>
      <c r="H1709" s="28"/>
      <c r="I1709" s="30"/>
      <c r="J1709" s="30"/>
      <c r="K1709" s="53"/>
      <c r="L1709" s="29"/>
    </row>
    <row r="1710" spans="1:12" s="27" customFormat="1" ht="17.25" customHeight="1" x14ac:dyDescent="0.25">
      <c r="A1710" s="28"/>
      <c r="B1710" s="28"/>
      <c r="C1710" s="28"/>
      <c r="D1710" s="28"/>
      <c r="E1710" s="28"/>
      <c r="F1710" s="28"/>
      <c r="G1710" s="28"/>
      <c r="H1710" s="28"/>
      <c r="I1710" s="30"/>
      <c r="J1710" s="30"/>
      <c r="K1710" s="53"/>
      <c r="L1710" s="29"/>
    </row>
    <row r="1711" spans="1:12" s="27" customFormat="1" ht="17.25" customHeight="1" x14ac:dyDescent="0.25">
      <c r="A1711" s="28"/>
      <c r="B1711" s="28"/>
      <c r="C1711" s="28"/>
      <c r="D1711" s="28"/>
      <c r="E1711" s="28"/>
      <c r="F1711" s="28"/>
      <c r="G1711" s="28"/>
      <c r="H1711" s="28"/>
      <c r="I1711" s="30"/>
      <c r="J1711" s="30"/>
      <c r="K1711" s="53"/>
      <c r="L1711" s="29"/>
    </row>
    <row r="1712" spans="1:12" s="27" customFormat="1" ht="17.25" customHeight="1" x14ac:dyDescent="0.25">
      <c r="A1712" s="28"/>
      <c r="B1712" s="28"/>
      <c r="C1712" s="28"/>
      <c r="D1712" s="28"/>
      <c r="E1712" s="28"/>
      <c r="F1712" s="28"/>
      <c r="G1712" s="28"/>
      <c r="H1712" s="28"/>
      <c r="I1712" s="30"/>
      <c r="J1712" s="30"/>
      <c r="K1712" s="53"/>
      <c r="L1712" s="29"/>
    </row>
    <row r="1713" spans="1:12" s="27" customFormat="1" ht="17.25" customHeight="1" x14ac:dyDescent="0.25">
      <c r="A1713" s="28"/>
      <c r="B1713" s="28"/>
      <c r="C1713" s="28"/>
      <c r="D1713" s="28"/>
      <c r="E1713" s="28"/>
      <c r="F1713" s="28"/>
      <c r="G1713" s="28"/>
      <c r="H1713" s="28"/>
      <c r="I1713" s="30"/>
      <c r="J1713" s="30"/>
      <c r="K1713" s="53"/>
      <c r="L1713" s="29"/>
    </row>
    <row r="1714" spans="1:12" s="27" customFormat="1" ht="17.25" customHeight="1" x14ac:dyDescent="0.25">
      <c r="A1714" s="28"/>
      <c r="B1714" s="28"/>
      <c r="C1714" s="28"/>
      <c r="D1714" s="28"/>
      <c r="E1714" s="28"/>
      <c r="F1714" s="28"/>
      <c r="G1714" s="28"/>
      <c r="H1714" s="28"/>
      <c r="I1714" s="30"/>
      <c r="J1714" s="30"/>
      <c r="K1714" s="53"/>
      <c r="L1714" s="29"/>
    </row>
    <row r="1715" spans="1:12" s="27" customFormat="1" ht="17.25" customHeight="1" x14ac:dyDescent="0.25">
      <c r="A1715" s="28"/>
      <c r="B1715" s="28"/>
      <c r="C1715" s="28"/>
      <c r="D1715" s="28"/>
      <c r="E1715" s="28"/>
      <c r="F1715" s="28"/>
      <c r="G1715" s="28"/>
      <c r="H1715" s="28"/>
      <c r="I1715" s="30"/>
      <c r="J1715" s="30"/>
      <c r="K1715" s="53"/>
      <c r="L1715" s="29"/>
    </row>
    <row r="1716" spans="1:12" s="27" customFormat="1" ht="17.25" customHeight="1" x14ac:dyDescent="0.25">
      <c r="A1716" s="28"/>
      <c r="B1716" s="28"/>
      <c r="C1716" s="28"/>
      <c r="D1716" s="28"/>
      <c r="E1716" s="28"/>
      <c r="F1716" s="28"/>
      <c r="G1716" s="28"/>
      <c r="H1716" s="28"/>
      <c r="I1716" s="30"/>
      <c r="J1716" s="30"/>
      <c r="K1716" s="53"/>
      <c r="L1716" s="29"/>
    </row>
    <row r="1717" spans="1:12" s="27" customFormat="1" ht="17.25" customHeight="1" x14ac:dyDescent="0.25">
      <c r="A1717" s="28"/>
      <c r="B1717" s="28"/>
      <c r="C1717" s="28"/>
      <c r="D1717" s="28"/>
      <c r="E1717" s="28"/>
      <c r="F1717" s="28"/>
      <c r="G1717" s="28"/>
      <c r="H1717" s="28"/>
      <c r="I1717" s="30"/>
      <c r="J1717" s="30"/>
      <c r="K1717" s="53"/>
      <c r="L1717" s="29"/>
    </row>
    <row r="1718" spans="1:12" s="27" customFormat="1" ht="17.25" customHeight="1" x14ac:dyDescent="0.25">
      <c r="A1718" s="28"/>
      <c r="B1718" s="28"/>
      <c r="C1718" s="28"/>
      <c r="D1718" s="28"/>
      <c r="E1718" s="28"/>
      <c r="F1718" s="28"/>
      <c r="G1718" s="28"/>
      <c r="H1718" s="28"/>
      <c r="I1718" s="30"/>
      <c r="J1718" s="30"/>
      <c r="K1718" s="53"/>
      <c r="L1718" s="29"/>
    </row>
    <row r="1719" spans="1:12" s="27" customFormat="1" ht="17.25" customHeight="1" x14ac:dyDescent="0.25">
      <c r="A1719" s="28"/>
      <c r="B1719" s="28"/>
      <c r="C1719" s="28"/>
      <c r="D1719" s="28"/>
      <c r="E1719" s="28"/>
      <c r="F1719" s="28"/>
      <c r="G1719" s="28"/>
      <c r="H1719" s="28"/>
      <c r="I1719" s="30"/>
      <c r="J1719" s="30"/>
      <c r="K1719" s="53"/>
      <c r="L1719" s="29"/>
    </row>
    <row r="1720" spans="1:12" s="27" customFormat="1" ht="17.25" customHeight="1" x14ac:dyDescent="0.25">
      <c r="A1720" s="28"/>
      <c r="B1720" s="28"/>
      <c r="C1720" s="28"/>
      <c r="D1720" s="28"/>
      <c r="E1720" s="28"/>
      <c r="F1720" s="28"/>
      <c r="G1720" s="28"/>
      <c r="H1720" s="28"/>
      <c r="I1720" s="30"/>
      <c r="J1720" s="30"/>
      <c r="K1720" s="53"/>
      <c r="L1720" s="29"/>
    </row>
    <row r="1721" spans="1:12" s="27" customFormat="1" ht="17.25" customHeight="1" x14ac:dyDescent="0.25">
      <c r="A1721" s="28"/>
      <c r="B1721" s="28"/>
      <c r="C1721" s="28"/>
      <c r="D1721" s="28"/>
      <c r="E1721" s="28"/>
      <c r="F1721" s="28"/>
      <c r="G1721" s="28"/>
      <c r="H1721" s="28"/>
      <c r="I1721" s="30"/>
      <c r="J1721" s="30"/>
      <c r="K1721" s="53"/>
      <c r="L1721" s="29"/>
    </row>
    <row r="1722" spans="1:12" s="27" customFormat="1" ht="17.25" customHeight="1" x14ac:dyDescent="0.25">
      <c r="A1722" s="28"/>
      <c r="B1722" s="28"/>
      <c r="C1722" s="28"/>
      <c r="D1722" s="28"/>
      <c r="E1722" s="28"/>
      <c r="F1722" s="28"/>
      <c r="G1722" s="28"/>
      <c r="H1722" s="28"/>
      <c r="I1722" s="30"/>
      <c r="J1722" s="30"/>
      <c r="K1722" s="53"/>
      <c r="L1722" s="29"/>
    </row>
    <row r="1723" spans="1:12" s="27" customFormat="1" ht="17.25" customHeight="1" x14ac:dyDescent="0.25">
      <c r="A1723" s="28"/>
      <c r="B1723" s="28"/>
      <c r="C1723" s="28"/>
      <c r="D1723" s="28"/>
      <c r="E1723" s="28"/>
      <c r="F1723" s="28"/>
      <c r="G1723" s="28"/>
      <c r="H1723" s="28"/>
      <c r="I1723" s="30"/>
      <c r="J1723" s="30"/>
      <c r="K1723" s="53"/>
      <c r="L1723" s="29"/>
    </row>
    <row r="1724" spans="1:12" s="27" customFormat="1" ht="17.25" customHeight="1" x14ac:dyDescent="0.25">
      <c r="A1724" s="28"/>
      <c r="B1724" s="28"/>
      <c r="C1724" s="28"/>
      <c r="D1724" s="28"/>
      <c r="E1724" s="28"/>
      <c r="F1724" s="28"/>
      <c r="G1724" s="28"/>
      <c r="H1724" s="28"/>
      <c r="I1724" s="30"/>
      <c r="J1724" s="30"/>
      <c r="K1724" s="53"/>
      <c r="L1724" s="29"/>
    </row>
    <row r="1725" spans="1:12" s="27" customFormat="1" ht="17.25" customHeight="1" x14ac:dyDescent="0.25">
      <c r="A1725" s="28"/>
      <c r="B1725" s="28"/>
      <c r="C1725" s="28"/>
      <c r="D1725" s="28"/>
      <c r="E1725" s="28"/>
      <c r="F1725" s="28"/>
      <c r="G1725" s="28"/>
      <c r="H1725" s="28"/>
      <c r="I1725" s="30"/>
      <c r="J1725" s="30"/>
      <c r="K1725" s="53"/>
      <c r="L1725" s="29"/>
    </row>
    <row r="1726" spans="1:12" s="27" customFormat="1" ht="17.25" customHeight="1" x14ac:dyDescent="0.25">
      <c r="A1726" s="28"/>
      <c r="B1726" s="28"/>
      <c r="C1726" s="28"/>
      <c r="D1726" s="28"/>
      <c r="E1726" s="28"/>
      <c r="F1726" s="28"/>
      <c r="G1726" s="28"/>
      <c r="H1726" s="28"/>
      <c r="I1726" s="30"/>
      <c r="J1726" s="30"/>
      <c r="K1726" s="53"/>
      <c r="L1726" s="29"/>
    </row>
    <row r="1727" spans="1:12" s="27" customFormat="1" ht="17.25" customHeight="1" x14ac:dyDescent="0.25">
      <c r="A1727" s="28"/>
      <c r="B1727" s="28"/>
      <c r="C1727" s="28"/>
      <c r="D1727" s="28"/>
      <c r="E1727" s="28"/>
      <c r="F1727" s="28"/>
      <c r="G1727" s="28"/>
      <c r="H1727" s="28"/>
      <c r="I1727" s="30"/>
      <c r="J1727" s="30"/>
      <c r="K1727" s="53"/>
      <c r="L1727" s="29"/>
    </row>
    <row r="1728" spans="1:12" s="27" customFormat="1" ht="17.25" customHeight="1" x14ac:dyDescent="0.25">
      <c r="A1728" s="28"/>
      <c r="B1728" s="28"/>
      <c r="C1728" s="28"/>
      <c r="D1728" s="28"/>
      <c r="E1728" s="28"/>
      <c r="F1728" s="28"/>
      <c r="G1728" s="28"/>
      <c r="H1728" s="28"/>
      <c r="I1728" s="30"/>
      <c r="J1728" s="30"/>
      <c r="K1728" s="53"/>
      <c r="L1728" s="29"/>
    </row>
    <row r="1729" spans="1:12" s="27" customFormat="1" ht="17.25" customHeight="1" x14ac:dyDescent="0.25">
      <c r="A1729" s="28"/>
      <c r="B1729" s="28"/>
      <c r="C1729" s="28"/>
      <c r="D1729" s="28"/>
      <c r="E1729" s="28"/>
      <c r="F1729" s="28"/>
      <c r="G1729" s="28"/>
      <c r="H1729" s="28"/>
      <c r="I1729" s="30"/>
      <c r="J1729" s="30"/>
      <c r="K1729" s="53"/>
      <c r="L1729" s="29"/>
    </row>
    <row r="1730" spans="1:12" s="27" customFormat="1" ht="17.25" customHeight="1" x14ac:dyDescent="0.25">
      <c r="A1730" s="28"/>
      <c r="B1730" s="28"/>
      <c r="C1730" s="28"/>
      <c r="D1730" s="28"/>
      <c r="E1730" s="28"/>
      <c r="F1730" s="28"/>
      <c r="G1730" s="28"/>
      <c r="H1730" s="28"/>
      <c r="I1730" s="30"/>
      <c r="J1730" s="30"/>
      <c r="K1730" s="53"/>
      <c r="L1730" s="29"/>
    </row>
    <row r="1731" spans="1:12" s="27" customFormat="1" ht="17.25" customHeight="1" x14ac:dyDescent="0.25">
      <c r="A1731" s="28"/>
      <c r="B1731" s="28"/>
      <c r="C1731" s="28"/>
      <c r="D1731" s="28"/>
      <c r="E1731" s="28"/>
      <c r="F1731" s="28"/>
      <c r="G1731" s="28"/>
      <c r="H1731" s="28"/>
      <c r="I1731" s="30"/>
      <c r="J1731" s="30"/>
      <c r="K1731" s="53"/>
      <c r="L1731" s="29"/>
    </row>
    <row r="1732" spans="1:12" s="27" customFormat="1" ht="17.25" customHeight="1" x14ac:dyDescent="0.25">
      <c r="A1732" s="28"/>
      <c r="B1732" s="28"/>
      <c r="C1732" s="28"/>
      <c r="D1732" s="28"/>
      <c r="E1732" s="28"/>
      <c r="F1732" s="28"/>
      <c r="G1732" s="28"/>
      <c r="H1732" s="28"/>
      <c r="I1732" s="30"/>
      <c r="J1732" s="30"/>
      <c r="K1732" s="53"/>
      <c r="L1732" s="29"/>
    </row>
    <row r="1733" spans="1:12" s="27" customFormat="1" ht="17.25" customHeight="1" x14ac:dyDescent="0.25">
      <c r="A1733" s="28"/>
      <c r="B1733" s="28"/>
      <c r="C1733" s="28"/>
      <c r="D1733" s="28"/>
      <c r="E1733" s="28"/>
      <c r="F1733" s="28"/>
      <c r="G1733" s="28"/>
      <c r="H1733" s="28"/>
      <c r="I1733" s="30"/>
      <c r="J1733" s="30"/>
      <c r="K1733" s="53"/>
      <c r="L1733" s="29"/>
    </row>
    <row r="1734" spans="1:12" s="27" customFormat="1" ht="17.25" customHeight="1" x14ac:dyDescent="0.25">
      <c r="A1734" s="28"/>
      <c r="B1734" s="28"/>
      <c r="C1734" s="28"/>
      <c r="D1734" s="28"/>
      <c r="E1734" s="28"/>
      <c r="F1734" s="28"/>
      <c r="G1734" s="28"/>
      <c r="H1734" s="28"/>
      <c r="I1734" s="30"/>
      <c r="J1734" s="30"/>
      <c r="K1734" s="53"/>
      <c r="L1734" s="29"/>
    </row>
    <row r="1735" spans="1:12" s="27" customFormat="1" ht="17.25" customHeight="1" x14ac:dyDescent="0.25">
      <c r="A1735" s="28"/>
      <c r="B1735" s="28"/>
      <c r="C1735" s="28"/>
      <c r="D1735" s="28"/>
      <c r="E1735" s="28"/>
      <c r="F1735" s="28"/>
      <c r="G1735" s="28"/>
      <c r="H1735" s="28"/>
      <c r="I1735" s="30"/>
      <c r="J1735" s="30"/>
      <c r="K1735" s="53"/>
      <c r="L1735" s="29"/>
    </row>
    <row r="1736" spans="1:12" s="27" customFormat="1" ht="17.25" customHeight="1" x14ac:dyDescent="0.25">
      <c r="A1736" s="28"/>
      <c r="B1736" s="28"/>
      <c r="C1736" s="28"/>
      <c r="D1736" s="28"/>
      <c r="E1736" s="28"/>
      <c r="F1736" s="28"/>
      <c r="G1736" s="28"/>
      <c r="H1736" s="28"/>
      <c r="I1736" s="30"/>
      <c r="J1736" s="30"/>
      <c r="K1736" s="53"/>
      <c r="L1736" s="29"/>
    </row>
    <row r="1737" spans="1:12" s="27" customFormat="1" ht="17.25" customHeight="1" x14ac:dyDescent="0.25">
      <c r="A1737" s="28"/>
      <c r="B1737" s="28"/>
      <c r="C1737" s="28"/>
      <c r="D1737" s="28"/>
      <c r="E1737" s="28"/>
      <c r="F1737" s="28"/>
      <c r="G1737" s="28"/>
      <c r="H1737" s="28"/>
      <c r="I1737" s="30"/>
      <c r="J1737" s="30"/>
      <c r="K1737" s="53"/>
      <c r="L1737" s="29"/>
    </row>
    <row r="1738" spans="1:12" s="27" customFormat="1" ht="17.25" customHeight="1" x14ac:dyDescent="0.25">
      <c r="A1738" s="28"/>
      <c r="B1738" s="28"/>
      <c r="C1738" s="28"/>
      <c r="D1738" s="28"/>
      <c r="E1738" s="28"/>
      <c r="F1738" s="28"/>
      <c r="G1738" s="28"/>
      <c r="H1738" s="28"/>
      <c r="I1738" s="30"/>
      <c r="J1738" s="30"/>
      <c r="K1738" s="53"/>
      <c r="L1738" s="29"/>
    </row>
    <row r="1739" spans="1:12" s="27" customFormat="1" ht="17.25" customHeight="1" x14ac:dyDescent="0.25">
      <c r="A1739" s="28"/>
      <c r="B1739" s="28"/>
      <c r="C1739" s="28"/>
      <c r="D1739" s="28"/>
      <c r="E1739" s="28"/>
      <c r="F1739" s="28"/>
      <c r="G1739" s="28"/>
      <c r="H1739" s="28"/>
      <c r="I1739" s="30"/>
      <c r="J1739" s="30"/>
      <c r="K1739" s="53"/>
      <c r="L1739" s="29"/>
    </row>
    <row r="1740" spans="1:12" s="27" customFormat="1" ht="17.25" customHeight="1" x14ac:dyDescent="0.25">
      <c r="A1740" s="28"/>
      <c r="B1740" s="28"/>
      <c r="C1740" s="28"/>
      <c r="D1740" s="28"/>
      <c r="E1740" s="28"/>
      <c r="F1740" s="28"/>
      <c r="G1740" s="28"/>
      <c r="H1740" s="28"/>
      <c r="I1740" s="30"/>
      <c r="J1740" s="30"/>
      <c r="K1740" s="53"/>
      <c r="L1740" s="29"/>
    </row>
    <row r="1741" spans="1:12" s="27" customFormat="1" ht="17.25" customHeight="1" x14ac:dyDescent="0.25">
      <c r="A1741" s="28"/>
      <c r="B1741" s="28"/>
      <c r="C1741" s="28"/>
      <c r="D1741" s="28"/>
      <c r="E1741" s="28"/>
      <c r="F1741" s="28"/>
      <c r="G1741" s="28"/>
      <c r="H1741" s="28"/>
      <c r="I1741" s="30"/>
      <c r="J1741" s="30"/>
      <c r="K1741" s="53"/>
      <c r="L1741" s="29"/>
    </row>
    <row r="1742" spans="1:12" s="27" customFormat="1" ht="17.25" customHeight="1" x14ac:dyDescent="0.25">
      <c r="A1742" s="28"/>
      <c r="B1742" s="28"/>
      <c r="C1742" s="28"/>
      <c r="D1742" s="28"/>
      <c r="E1742" s="28"/>
      <c r="F1742" s="28"/>
      <c r="G1742" s="28"/>
      <c r="H1742" s="28"/>
      <c r="I1742" s="30"/>
      <c r="J1742" s="30"/>
      <c r="K1742" s="53"/>
      <c r="L1742" s="29"/>
    </row>
    <row r="1743" spans="1:12" s="27" customFormat="1" ht="17.25" customHeight="1" x14ac:dyDescent="0.25">
      <c r="A1743" s="28"/>
      <c r="B1743" s="28"/>
      <c r="C1743" s="28"/>
      <c r="D1743" s="28"/>
      <c r="E1743" s="28"/>
      <c r="F1743" s="28"/>
      <c r="G1743" s="28"/>
      <c r="H1743" s="28"/>
      <c r="I1743" s="30"/>
      <c r="J1743" s="30"/>
      <c r="K1743" s="53"/>
      <c r="L1743" s="29"/>
    </row>
    <row r="1744" spans="1:12" s="27" customFormat="1" ht="17.25" customHeight="1" x14ac:dyDescent="0.25">
      <c r="A1744" s="28"/>
      <c r="B1744" s="28"/>
      <c r="C1744" s="28"/>
      <c r="D1744" s="28"/>
      <c r="E1744" s="28"/>
      <c r="F1744" s="28"/>
      <c r="G1744" s="28"/>
      <c r="H1744" s="28"/>
      <c r="I1744" s="30"/>
      <c r="J1744" s="30"/>
      <c r="K1744" s="53"/>
      <c r="L1744" s="29"/>
    </row>
    <row r="1745" spans="1:12" s="27" customFormat="1" ht="17.25" customHeight="1" x14ac:dyDescent="0.25">
      <c r="A1745" s="28"/>
      <c r="B1745" s="28"/>
      <c r="C1745" s="28"/>
      <c r="D1745" s="28"/>
      <c r="E1745" s="28"/>
      <c r="F1745" s="28"/>
      <c r="G1745" s="28"/>
      <c r="H1745" s="28"/>
      <c r="I1745" s="30"/>
      <c r="J1745" s="30"/>
      <c r="K1745" s="53"/>
      <c r="L1745" s="29"/>
    </row>
    <row r="1746" spans="1:12" s="27" customFormat="1" ht="17.25" customHeight="1" x14ac:dyDescent="0.25">
      <c r="A1746" s="28"/>
      <c r="B1746" s="28"/>
      <c r="C1746" s="28"/>
      <c r="D1746" s="28"/>
      <c r="E1746" s="28"/>
      <c r="F1746" s="28"/>
      <c r="G1746" s="28"/>
      <c r="H1746" s="28"/>
      <c r="I1746" s="30"/>
      <c r="J1746" s="30"/>
      <c r="K1746" s="53"/>
      <c r="L1746" s="29"/>
    </row>
    <row r="1747" spans="1:12" s="27" customFormat="1" ht="17.25" customHeight="1" x14ac:dyDescent="0.25">
      <c r="A1747" s="28"/>
      <c r="B1747" s="28"/>
      <c r="C1747" s="28"/>
      <c r="D1747" s="28"/>
      <c r="E1747" s="28"/>
      <c r="F1747" s="28"/>
      <c r="G1747" s="28"/>
      <c r="H1747" s="28"/>
      <c r="I1747" s="30"/>
      <c r="J1747" s="30"/>
      <c r="K1747" s="53"/>
      <c r="L1747" s="29"/>
    </row>
    <row r="1748" spans="1:12" s="27" customFormat="1" ht="17.25" customHeight="1" x14ac:dyDescent="0.25">
      <c r="A1748" s="28"/>
      <c r="B1748" s="28"/>
      <c r="C1748" s="28"/>
      <c r="D1748" s="28"/>
      <c r="E1748" s="28"/>
      <c r="F1748" s="28"/>
      <c r="G1748" s="28"/>
      <c r="H1748" s="28"/>
      <c r="I1748" s="30"/>
      <c r="J1748" s="30"/>
      <c r="K1748" s="53"/>
      <c r="L1748" s="29"/>
    </row>
    <row r="1749" spans="1:12" s="27" customFormat="1" ht="17.25" customHeight="1" x14ac:dyDescent="0.25">
      <c r="A1749" s="28"/>
      <c r="B1749" s="28"/>
      <c r="C1749" s="28"/>
      <c r="D1749" s="28"/>
      <c r="E1749" s="28"/>
      <c r="F1749" s="28"/>
      <c r="G1749" s="28"/>
      <c r="H1749" s="28"/>
      <c r="I1749" s="30"/>
      <c r="J1749" s="30"/>
      <c r="K1749" s="53"/>
      <c r="L1749" s="29"/>
    </row>
    <row r="1750" spans="1:12" s="27" customFormat="1" ht="17.25" customHeight="1" x14ac:dyDescent="0.25">
      <c r="A1750" s="28"/>
      <c r="B1750" s="28"/>
      <c r="C1750" s="28"/>
      <c r="D1750" s="28"/>
      <c r="E1750" s="28"/>
      <c r="F1750" s="28"/>
      <c r="G1750" s="28"/>
      <c r="H1750" s="28"/>
      <c r="I1750" s="30"/>
      <c r="J1750" s="30"/>
      <c r="K1750" s="53"/>
      <c r="L1750" s="29"/>
    </row>
    <row r="1751" spans="1:12" s="27" customFormat="1" ht="17.25" customHeight="1" x14ac:dyDescent="0.25">
      <c r="A1751" s="28"/>
      <c r="B1751" s="28"/>
      <c r="C1751" s="28"/>
      <c r="D1751" s="28"/>
      <c r="E1751" s="28"/>
      <c r="F1751" s="28"/>
      <c r="G1751" s="28"/>
      <c r="H1751" s="28"/>
      <c r="I1751" s="30"/>
      <c r="J1751" s="30"/>
      <c r="K1751" s="53"/>
      <c r="L1751" s="29"/>
    </row>
    <row r="1752" spans="1:12" s="27" customFormat="1" ht="17.25" customHeight="1" x14ac:dyDescent="0.25">
      <c r="A1752" s="28"/>
      <c r="B1752" s="28"/>
      <c r="C1752" s="28"/>
      <c r="D1752" s="28"/>
      <c r="E1752" s="28"/>
      <c r="F1752" s="28"/>
      <c r="G1752" s="28"/>
      <c r="H1752" s="28"/>
      <c r="I1752" s="30"/>
      <c r="J1752" s="30"/>
      <c r="K1752" s="53"/>
      <c r="L1752" s="29"/>
    </row>
    <row r="1753" spans="1:12" s="27" customFormat="1" ht="17.25" customHeight="1" x14ac:dyDescent="0.25">
      <c r="A1753" s="28"/>
      <c r="B1753" s="28"/>
      <c r="C1753" s="28"/>
      <c r="D1753" s="28"/>
      <c r="E1753" s="28"/>
      <c r="F1753" s="28"/>
      <c r="G1753" s="28"/>
      <c r="H1753" s="28"/>
      <c r="I1753" s="30"/>
      <c r="J1753" s="30"/>
      <c r="K1753" s="53"/>
      <c r="L1753" s="29"/>
    </row>
    <row r="1754" spans="1:12" s="27" customFormat="1" ht="17.25" customHeight="1" x14ac:dyDescent="0.25">
      <c r="A1754" s="28"/>
      <c r="B1754" s="28"/>
      <c r="C1754" s="28"/>
      <c r="D1754" s="28"/>
      <c r="E1754" s="28"/>
      <c r="F1754" s="28"/>
      <c r="G1754" s="28"/>
      <c r="H1754" s="28"/>
      <c r="I1754" s="30"/>
      <c r="J1754" s="30"/>
      <c r="K1754" s="53"/>
      <c r="L1754" s="29"/>
    </row>
    <row r="1755" spans="1:12" s="27" customFormat="1" ht="17.25" customHeight="1" x14ac:dyDescent="0.25">
      <c r="A1755" s="28"/>
      <c r="B1755" s="28"/>
      <c r="C1755" s="28"/>
      <c r="D1755" s="28"/>
      <c r="E1755" s="28"/>
      <c r="F1755" s="28"/>
      <c r="G1755" s="28"/>
      <c r="H1755" s="28"/>
      <c r="I1755" s="30"/>
      <c r="J1755" s="30"/>
      <c r="K1755" s="53"/>
      <c r="L1755" s="29"/>
    </row>
    <row r="1756" spans="1:12" s="27" customFormat="1" ht="17.25" customHeight="1" x14ac:dyDescent="0.25">
      <c r="A1756" s="28"/>
      <c r="B1756" s="28"/>
      <c r="C1756" s="28"/>
      <c r="D1756" s="28"/>
      <c r="E1756" s="28"/>
      <c r="F1756" s="28"/>
      <c r="G1756" s="28"/>
      <c r="H1756" s="28"/>
      <c r="I1756" s="30"/>
      <c r="J1756" s="30"/>
      <c r="K1756" s="53"/>
      <c r="L1756" s="29"/>
    </row>
    <row r="1757" spans="1:12" s="27" customFormat="1" ht="17.25" customHeight="1" x14ac:dyDescent="0.25">
      <c r="A1757" s="28"/>
      <c r="B1757" s="28"/>
      <c r="C1757" s="28"/>
      <c r="D1757" s="28"/>
      <c r="E1757" s="28"/>
      <c r="F1757" s="28"/>
      <c r="G1757" s="28"/>
      <c r="H1757" s="28"/>
      <c r="I1757" s="30"/>
      <c r="J1757" s="30"/>
      <c r="K1757" s="53"/>
      <c r="L1757" s="29"/>
    </row>
    <row r="1758" spans="1:12" s="27" customFormat="1" ht="17.25" customHeight="1" x14ac:dyDescent="0.25">
      <c r="A1758" s="28"/>
      <c r="B1758" s="28"/>
      <c r="C1758" s="28"/>
      <c r="D1758" s="28"/>
      <c r="E1758" s="28"/>
      <c r="F1758" s="28"/>
      <c r="G1758" s="28"/>
      <c r="H1758" s="28"/>
      <c r="I1758" s="30"/>
      <c r="J1758" s="30"/>
      <c r="K1758" s="53"/>
      <c r="L1758" s="29"/>
    </row>
    <row r="1759" spans="1:12" s="27" customFormat="1" ht="17.25" customHeight="1" x14ac:dyDescent="0.25">
      <c r="A1759" s="28"/>
      <c r="B1759" s="28"/>
      <c r="C1759" s="28"/>
      <c r="D1759" s="28"/>
      <c r="E1759" s="28"/>
      <c r="F1759" s="28"/>
      <c r="G1759" s="28"/>
      <c r="H1759" s="28"/>
      <c r="I1759" s="30"/>
      <c r="J1759" s="30"/>
      <c r="K1759" s="53"/>
      <c r="L1759" s="29"/>
    </row>
    <row r="1760" spans="1:12" s="27" customFormat="1" ht="17.25" customHeight="1" x14ac:dyDescent="0.25">
      <c r="A1760" s="28"/>
      <c r="B1760" s="28"/>
      <c r="C1760" s="28"/>
      <c r="D1760" s="28"/>
      <c r="E1760" s="28"/>
      <c r="F1760" s="28"/>
      <c r="G1760" s="28"/>
      <c r="H1760" s="28"/>
      <c r="I1760" s="30"/>
      <c r="J1760" s="30"/>
      <c r="K1760" s="53"/>
      <c r="L1760" s="29"/>
    </row>
    <row r="1761" spans="1:12" s="27" customFormat="1" ht="17.25" customHeight="1" x14ac:dyDescent="0.25">
      <c r="A1761" s="28"/>
      <c r="B1761" s="28"/>
      <c r="C1761" s="28"/>
      <c r="D1761" s="28"/>
      <c r="E1761" s="28"/>
      <c r="F1761" s="28"/>
      <c r="G1761" s="28"/>
      <c r="H1761" s="28"/>
      <c r="I1761" s="30"/>
      <c r="J1761" s="30"/>
      <c r="K1761" s="53"/>
      <c r="L1761" s="29"/>
    </row>
    <row r="1762" spans="1:12" s="27" customFormat="1" ht="17.25" customHeight="1" x14ac:dyDescent="0.25">
      <c r="A1762" s="28"/>
      <c r="B1762" s="28"/>
      <c r="C1762" s="28"/>
      <c r="D1762" s="28"/>
      <c r="E1762" s="28"/>
      <c r="F1762" s="28"/>
      <c r="G1762" s="28"/>
      <c r="H1762" s="28"/>
      <c r="I1762" s="30"/>
      <c r="J1762" s="30"/>
      <c r="K1762" s="53"/>
      <c r="L1762" s="29"/>
    </row>
    <row r="1763" spans="1:12" s="27" customFormat="1" ht="17.25" customHeight="1" x14ac:dyDescent="0.25">
      <c r="A1763" s="28"/>
      <c r="B1763" s="28"/>
      <c r="C1763" s="28"/>
      <c r="D1763" s="28"/>
      <c r="E1763" s="28"/>
      <c r="F1763" s="28"/>
      <c r="G1763" s="28"/>
      <c r="H1763" s="28"/>
      <c r="I1763" s="30"/>
      <c r="J1763" s="30"/>
      <c r="K1763" s="53"/>
      <c r="L1763" s="29"/>
    </row>
    <row r="1764" spans="1:12" s="27" customFormat="1" ht="17.25" customHeight="1" x14ac:dyDescent="0.25">
      <c r="A1764" s="28"/>
      <c r="B1764" s="28"/>
      <c r="C1764" s="28"/>
      <c r="D1764" s="28"/>
      <c r="E1764" s="28"/>
      <c r="F1764" s="28"/>
      <c r="G1764" s="28"/>
      <c r="H1764" s="28"/>
      <c r="I1764" s="30"/>
      <c r="J1764" s="30"/>
      <c r="K1764" s="53"/>
      <c r="L1764" s="29"/>
    </row>
    <row r="1765" spans="1:12" s="27" customFormat="1" ht="17.25" customHeight="1" x14ac:dyDescent="0.25">
      <c r="A1765" s="28"/>
      <c r="B1765" s="28"/>
      <c r="C1765" s="28"/>
      <c r="D1765" s="28"/>
      <c r="E1765" s="28"/>
      <c r="F1765" s="28"/>
      <c r="G1765" s="28"/>
      <c r="H1765" s="28"/>
      <c r="I1765" s="30"/>
      <c r="J1765" s="30"/>
      <c r="K1765" s="53"/>
      <c r="L1765" s="29"/>
    </row>
    <row r="1766" spans="1:12" s="27" customFormat="1" ht="17.25" customHeight="1" x14ac:dyDescent="0.25">
      <c r="A1766" s="28"/>
      <c r="B1766" s="28"/>
      <c r="C1766" s="28"/>
      <c r="D1766" s="28"/>
      <c r="E1766" s="28"/>
      <c r="F1766" s="28"/>
      <c r="G1766" s="28"/>
      <c r="H1766" s="28"/>
      <c r="I1766" s="30"/>
      <c r="J1766" s="30"/>
      <c r="K1766" s="53"/>
      <c r="L1766" s="29"/>
    </row>
    <row r="1767" spans="1:12" s="27" customFormat="1" ht="17.25" customHeight="1" x14ac:dyDescent="0.25">
      <c r="A1767" s="28"/>
      <c r="B1767" s="28"/>
      <c r="C1767" s="28"/>
      <c r="D1767" s="28"/>
      <c r="E1767" s="28"/>
      <c r="F1767" s="28"/>
      <c r="G1767" s="28"/>
      <c r="H1767" s="28"/>
      <c r="I1767" s="30"/>
      <c r="J1767" s="30"/>
      <c r="K1767" s="53"/>
      <c r="L1767" s="29"/>
    </row>
    <row r="1768" spans="1:12" s="27" customFormat="1" ht="17.25" customHeight="1" x14ac:dyDescent="0.25">
      <c r="A1768" s="28"/>
      <c r="B1768" s="28"/>
      <c r="C1768" s="28"/>
      <c r="D1768" s="28"/>
      <c r="E1768" s="28"/>
      <c r="F1768" s="28"/>
      <c r="G1768" s="28"/>
      <c r="H1768" s="28"/>
      <c r="I1768" s="30"/>
      <c r="J1768" s="30"/>
      <c r="K1768" s="53"/>
      <c r="L1768" s="29"/>
    </row>
    <row r="1769" spans="1:12" s="27" customFormat="1" ht="17.25" customHeight="1" x14ac:dyDescent="0.25">
      <c r="A1769" s="28"/>
      <c r="B1769" s="28"/>
      <c r="C1769" s="28"/>
      <c r="D1769" s="28"/>
      <c r="E1769" s="28"/>
      <c r="F1769" s="28"/>
      <c r="G1769" s="28"/>
      <c r="H1769" s="28"/>
      <c r="I1769" s="30"/>
      <c r="J1769" s="30"/>
      <c r="K1769" s="53"/>
      <c r="L1769" s="29"/>
    </row>
    <row r="1770" spans="1:12" s="27" customFormat="1" ht="17.25" customHeight="1" x14ac:dyDescent="0.25">
      <c r="A1770" s="28"/>
      <c r="B1770" s="28"/>
      <c r="C1770" s="28"/>
      <c r="D1770" s="28"/>
      <c r="E1770" s="28"/>
      <c r="F1770" s="28"/>
      <c r="G1770" s="28"/>
      <c r="H1770" s="28"/>
      <c r="I1770" s="30"/>
      <c r="J1770" s="30"/>
      <c r="K1770" s="53"/>
      <c r="L1770" s="29"/>
    </row>
    <row r="1771" spans="1:12" s="27" customFormat="1" ht="17.25" customHeight="1" x14ac:dyDescent="0.25">
      <c r="A1771" s="28"/>
      <c r="B1771" s="28"/>
      <c r="C1771" s="28"/>
      <c r="D1771" s="28"/>
      <c r="E1771" s="28"/>
      <c r="F1771" s="28"/>
      <c r="G1771" s="28"/>
      <c r="H1771" s="28"/>
      <c r="I1771" s="30"/>
      <c r="J1771" s="30"/>
      <c r="K1771" s="53"/>
      <c r="L1771" s="29"/>
    </row>
    <row r="1772" spans="1:12" s="27" customFormat="1" ht="17.25" customHeight="1" x14ac:dyDescent="0.25">
      <c r="A1772" s="28"/>
      <c r="B1772" s="28"/>
      <c r="C1772" s="28"/>
      <c r="D1772" s="28"/>
      <c r="E1772" s="28"/>
      <c r="F1772" s="28"/>
      <c r="G1772" s="28"/>
      <c r="H1772" s="28"/>
      <c r="I1772" s="30"/>
      <c r="J1772" s="30"/>
      <c r="K1772" s="53"/>
      <c r="L1772" s="29"/>
    </row>
    <row r="1773" spans="1:12" s="27" customFormat="1" ht="17.25" customHeight="1" x14ac:dyDescent="0.25">
      <c r="A1773" s="28"/>
      <c r="B1773" s="28"/>
      <c r="C1773" s="28"/>
      <c r="D1773" s="28"/>
      <c r="E1773" s="28"/>
      <c r="F1773" s="28"/>
      <c r="G1773" s="28"/>
      <c r="H1773" s="28"/>
      <c r="I1773" s="30"/>
      <c r="J1773" s="30"/>
      <c r="K1773" s="53"/>
      <c r="L1773" s="29"/>
    </row>
    <row r="1774" spans="1:12" s="27" customFormat="1" ht="17.25" customHeight="1" x14ac:dyDescent="0.25">
      <c r="A1774" s="28"/>
      <c r="B1774" s="28"/>
      <c r="C1774" s="28"/>
      <c r="D1774" s="28"/>
      <c r="E1774" s="28"/>
      <c r="F1774" s="28"/>
      <c r="G1774" s="28"/>
      <c r="H1774" s="28"/>
      <c r="I1774" s="30"/>
      <c r="J1774" s="30"/>
      <c r="K1774" s="53"/>
      <c r="L1774" s="29"/>
    </row>
    <row r="1775" spans="1:12" s="27" customFormat="1" ht="17.25" customHeight="1" x14ac:dyDescent="0.25">
      <c r="A1775" s="28"/>
      <c r="B1775" s="28"/>
      <c r="C1775" s="28"/>
      <c r="D1775" s="28"/>
      <c r="E1775" s="28"/>
      <c r="F1775" s="28"/>
      <c r="G1775" s="28"/>
      <c r="H1775" s="28"/>
      <c r="I1775" s="30"/>
      <c r="J1775" s="30"/>
      <c r="K1775" s="53"/>
      <c r="L1775" s="29"/>
    </row>
    <row r="1776" spans="1:12" s="27" customFormat="1" ht="17.25" customHeight="1" x14ac:dyDescent="0.25">
      <c r="A1776" s="28"/>
      <c r="B1776" s="28"/>
      <c r="C1776" s="28"/>
      <c r="D1776" s="28"/>
      <c r="E1776" s="28"/>
      <c r="F1776" s="28"/>
      <c r="G1776" s="28"/>
      <c r="H1776" s="28"/>
      <c r="I1776" s="30"/>
      <c r="J1776" s="30"/>
      <c r="K1776" s="53"/>
      <c r="L1776" s="29"/>
    </row>
    <row r="1777" spans="1:12" s="27" customFormat="1" ht="17.25" customHeight="1" x14ac:dyDescent="0.25">
      <c r="A1777" s="28"/>
      <c r="B1777" s="28"/>
      <c r="C1777" s="28"/>
      <c r="D1777" s="28"/>
      <c r="E1777" s="28"/>
      <c r="F1777" s="28"/>
      <c r="G1777" s="28"/>
      <c r="H1777" s="28"/>
      <c r="I1777" s="30"/>
      <c r="J1777" s="30"/>
      <c r="K1777" s="53"/>
      <c r="L1777" s="29"/>
    </row>
    <row r="1778" spans="1:12" s="27" customFormat="1" ht="17.25" customHeight="1" x14ac:dyDescent="0.25">
      <c r="A1778" s="28"/>
      <c r="B1778" s="28"/>
      <c r="C1778" s="28"/>
      <c r="D1778" s="28"/>
      <c r="E1778" s="28"/>
      <c r="F1778" s="28"/>
      <c r="G1778" s="28"/>
      <c r="H1778" s="28"/>
      <c r="I1778" s="30"/>
      <c r="J1778" s="30"/>
      <c r="K1778" s="53"/>
      <c r="L1778" s="29"/>
    </row>
    <row r="1779" spans="1:12" s="27" customFormat="1" ht="17.25" customHeight="1" x14ac:dyDescent="0.25">
      <c r="A1779" s="28"/>
      <c r="B1779" s="28"/>
      <c r="C1779" s="28"/>
      <c r="D1779" s="28"/>
      <c r="E1779" s="28"/>
      <c r="F1779" s="28"/>
      <c r="G1779" s="28"/>
      <c r="H1779" s="28"/>
      <c r="I1779" s="30"/>
      <c r="J1779" s="30"/>
      <c r="K1779" s="53"/>
      <c r="L1779" s="29"/>
    </row>
    <row r="1780" spans="1:12" s="27" customFormat="1" ht="17.25" customHeight="1" x14ac:dyDescent="0.25">
      <c r="A1780" s="28"/>
      <c r="B1780" s="28"/>
      <c r="C1780" s="28"/>
      <c r="D1780" s="28"/>
      <c r="E1780" s="28"/>
      <c r="F1780" s="28"/>
      <c r="G1780" s="28"/>
      <c r="H1780" s="28"/>
      <c r="I1780" s="30"/>
      <c r="J1780" s="30"/>
      <c r="K1780" s="53"/>
      <c r="L1780" s="29"/>
    </row>
    <row r="1781" spans="1:12" s="27" customFormat="1" ht="17.25" customHeight="1" x14ac:dyDescent="0.25">
      <c r="A1781" s="28"/>
      <c r="B1781" s="28"/>
      <c r="C1781" s="28"/>
      <c r="D1781" s="28"/>
      <c r="E1781" s="28"/>
      <c r="F1781" s="28"/>
      <c r="G1781" s="28"/>
      <c r="H1781" s="28"/>
      <c r="I1781" s="30"/>
      <c r="J1781" s="30"/>
      <c r="K1781" s="53"/>
      <c r="L1781" s="29"/>
    </row>
    <row r="1782" spans="1:12" s="27" customFormat="1" ht="17.25" customHeight="1" x14ac:dyDescent="0.25">
      <c r="A1782" s="28"/>
      <c r="B1782" s="28"/>
      <c r="C1782" s="28"/>
      <c r="D1782" s="28"/>
      <c r="E1782" s="28"/>
      <c r="F1782" s="28"/>
      <c r="G1782" s="28"/>
      <c r="H1782" s="28"/>
      <c r="I1782" s="30"/>
      <c r="J1782" s="30"/>
      <c r="K1782" s="53"/>
      <c r="L1782" s="29"/>
    </row>
    <row r="1783" spans="1:12" s="27" customFormat="1" ht="17.25" customHeight="1" x14ac:dyDescent="0.25">
      <c r="A1783" s="28"/>
      <c r="B1783" s="28"/>
      <c r="C1783" s="28"/>
      <c r="D1783" s="28"/>
      <c r="E1783" s="28"/>
      <c r="F1783" s="28"/>
      <c r="G1783" s="28"/>
      <c r="H1783" s="28"/>
      <c r="I1783" s="30"/>
      <c r="J1783" s="30"/>
      <c r="K1783" s="53"/>
      <c r="L1783" s="29"/>
    </row>
    <row r="1784" spans="1:12" s="27" customFormat="1" ht="17.25" customHeight="1" x14ac:dyDescent="0.25">
      <c r="A1784" s="28"/>
      <c r="B1784" s="28"/>
      <c r="C1784" s="28"/>
      <c r="D1784" s="28"/>
      <c r="E1784" s="28"/>
      <c r="F1784" s="28"/>
      <c r="G1784" s="28"/>
      <c r="H1784" s="28"/>
      <c r="I1784" s="30"/>
      <c r="J1784" s="30"/>
      <c r="K1784" s="53"/>
      <c r="L1784" s="29"/>
    </row>
    <row r="1785" spans="1:12" s="27" customFormat="1" ht="17.25" customHeight="1" x14ac:dyDescent="0.25">
      <c r="A1785" s="28"/>
      <c r="B1785" s="28"/>
      <c r="C1785" s="28"/>
      <c r="D1785" s="28"/>
      <c r="E1785" s="28"/>
      <c r="F1785" s="28"/>
      <c r="G1785" s="28"/>
      <c r="H1785" s="28"/>
      <c r="I1785" s="30"/>
      <c r="J1785" s="30"/>
      <c r="K1785" s="53"/>
      <c r="L1785" s="29"/>
    </row>
    <row r="1786" spans="1:12" s="27" customFormat="1" ht="17.25" customHeight="1" x14ac:dyDescent="0.25">
      <c r="A1786" s="28"/>
      <c r="B1786" s="28"/>
      <c r="C1786" s="28"/>
      <c r="D1786" s="28"/>
      <c r="E1786" s="28"/>
      <c r="F1786" s="28"/>
      <c r="G1786" s="28"/>
      <c r="H1786" s="28"/>
      <c r="I1786" s="30"/>
      <c r="J1786" s="30"/>
      <c r="K1786" s="53"/>
      <c r="L1786" s="29"/>
    </row>
    <row r="1787" spans="1:12" s="27" customFormat="1" ht="17.25" customHeight="1" x14ac:dyDescent="0.25">
      <c r="A1787" s="28"/>
      <c r="B1787" s="28"/>
      <c r="C1787" s="28"/>
      <c r="D1787" s="28"/>
      <c r="E1787" s="28"/>
      <c r="F1787" s="28"/>
      <c r="G1787" s="28"/>
      <c r="H1787" s="28"/>
      <c r="I1787" s="30"/>
      <c r="J1787" s="30"/>
      <c r="K1787" s="53"/>
      <c r="L1787" s="29"/>
    </row>
    <row r="1788" spans="1:12" s="27" customFormat="1" ht="17.25" customHeight="1" x14ac:dyDescent="0.25">
      <c r="A1788" s="28"/>
      <c r="B1788" s="28"/>
      <c r="C1788" s="28"/>
      <c r="D1788" s="28"/>
      <c r="E1788" s="28"/>
      <c r="F1788" s="28"/>
      <c r="G1788" s="28"/>
      <c r="H1788" s="28"/>
      <c r="I1788" s="30"/>
      <c r="J1788" s="30"/>
      <c r="K1788" s="53"/>
      <c r="L1788" s="29"/>
    </row>
    <row r="1789" spans="1:12" s="27" customFormat="1" ht="17.25" customHeight="1" x14ac:dyDescent="0.25">
      <c r="A1789" s="28"/>
      <c r="B1789" s="28"/>
      <c r="C1789" s="28"/>
      <c r="D1789" s="28"/>
      <c r="E1789" s="28"/>
      <c r="F1789" s="28"/>
      <c r="G1789" s="28"/>
      <c r="H1789" s="28"/>
      <c r="I1789" s="30"/>
      <c r="J1789" s="30"/>
      <c r="K1789" s="53"/>
      <c r="L1789" s="29"/>
    </row>
    <row r="1790" spans="1:12" s="27" customFormat="1" ht="17.25" customHeight="1" x14ac:dyDescent="0.25">
      <c r="A1790" s="28"/>
      <c r="B1790" s="28"/>
      <c r="C1790" s="28"/>
      <c r="D1790" s="28"/>
      <c r="E1790" s="28"/>
      <c r="F1790" s="28"/>
      <c r="G1790" s="28"/>
      <c r="H1790" s="28"/>
      <c r="I1790" s="30"/>
      <c r="J1790" s="30"/>
      <c r="K1790" s="53"/>
      <c r="L1790" s="29"/>
    </row>
    <row r="1791" spans="1:12" s="27" customFormat="1" ht="17.25" customHeight="1" x14ac:dyDescent="0.25">
      <c r="A1791" s="28"/>
      <c r="B1791" s="28"/>
      <c r="C1791" s="28"/>
      <c r="D1791" s="28"/>
      <c r="E1791" s="28"/>
      <c r="F1791" s="28"/>
      <c r="G1791" s="28"/>
      <c r="H1791" s="28"/>
      <c r="I1791" s="30"/>
      <c r="J1791" s="30"/>
      <c r="K1791" s="53"/>
      <c r="L1791" s="29"/>
    </row>
    <row r="1792" spans="1:12" s="27" customFormat="1" ht="17.25" customHeight="1" x14ac:dyDescent="0.25">
      <c r="A1792" s="28"/>
      <c r="B1792" s="28"/>
      <c r="C1792" s="28"/>
      <c r="D1792" s="28"/>
      <c r="E1792" s="28"/>
      <c r="F1792" s="28"/>
      <c r="G1792" s="28"/>
      <c r="H1792" s="28"/>
      <c r="I1792" s="30"/>
      <c r="J1792" s="30"/>
      <c r="K1792" s="53"/>
      <c r="L1792" s="29"/>
    </row>
    <row r="1793" spans="1:12" s="27" customFormat="1" ht="17.25" customHeight="1" x14ac:dyDescent="0.25">
      <c r="A1793" s="28"/>
      <c r="B1793" s="28"/>
      <c r="C1793" s="28"/>
      <c r="D1793" s="28"/>
      <c r="E1793" s="28"/>
      <c r="F1793" s="28"/>
      <c r="G1793" s="28"/>
      <c r="H1793" s="28"/>
      <c r="I1793" s="30"/>
      <c r="J1793" s="30"/>
      <c r="K1793" s="53"/>
      <c r="L1793" s="29"/>
    </row>
    <row r="1794" spans="1:12" s="27" customFormat="1" ht="17.25" customHeight="1" x14ac:dyDescent="0.25">
      <c r="A1794" s="28"/>
      <c r="B1794" s="28"/>
      <c r="C1794" s="28"/>
      <c r="D1794" s="28"/>
      <c r="E1794" s="28"/>
      <c r="F1794" s="28"/>
      <c r="G1794" s="28"/>
      <c r="H1794" s="28"/>
      <c r="I1794" s="30"/>
      <c r="J1794" s="30"/>
      <c r="K1794" s="53"/>
      <c r="L1794" s="29"/>
    </row>
    <row r="1795" spans="1:12" s="27" customFormat="1" ht="17.25" customHeight="1" x14ac:dyDescent="0.25">
      <c r="A1795" s="28"/>
      <c r="B1795" s="28"/>
      <c r="C1795" s="28"/>
      <c r="D1795" s="28"/>
      <c r="E1795" s="28"/>
      <c r="F1795" s="28"/>
      <c r="G1795" s="28"/>
      <c r="H1795" s="28"/>
      <c r="I1795" s="30"/>
      <c r="J1795" s="30"/>
      <c r="K1795" s="53"/>
      <c r="L1795" s="29"/>
    </row>
    <row r="1796" spans="1:12" s="27" customFormat="1" ht="17.25" customHeight="1" x14ac:dyDescent="0.25">
      <c r="A1796" s="28"/>
      <c r="B1796" s="28"/>
      <c r="C1796" s="28"/>
      <c r="D1796" s="28"/>
      <c r="E1796" s="28"/>
      <c r="F1796" s="28"/>
      <c r="G1796" s="28"/>
      <c r="H1796" s="28"/>
      <c r="I1796" s="30"/>
      <c r="J1796" s="30"/>
      <c r="K1796" s="53"/>
      <c r="L1796" s="29"/>
    </row>
    <row r="1797" spans="1:12" s="27" customFormat="1" ht="17.25" customHeight="1" x14ac:dyDescent="0.25">
      <c r="A1797" s="28"/>
      <c r="B1797" s="28"/>
      <c r="C1797" s="28"/>
      <c r="D1797" s="28"/>
      <c r="E1797" s="28"/>
      <c r="F1797" s="28"/>
      <c r="G1797" s="28"/>
      <c r="H1797" s="28"/>
      <c r="I1797" s="30"/>
      <c r="J1797" s="30"/>
      <c r="K1797" s="53"/>
      <c r="L1797" s="29"/>
    </row>
    <row r="1798" spans="1:12" s="27" customFormat="1" ht="17.25" customHeight="1" x14ac:dyDescent="0.25">
      <c r="A1798" s="28"/>
      <c r="B1798" s="28"/>
      <c r="C1798" s="28"/>
      <c r="D1798" s="28"/>
      <c r="E1798" s="28"/>
      <c r="F1798" s="28"/>
      <c r="G1798" s="28"/>
      <c r="H1798" s="28"/>
      <c r="I1798" s="30"/>
      <c r="J1798" s="30"/>
      <c r="K1798" s="53"/>
      <c r="L1798" s="29"/>
    </row>
    <row r="1799" spans="1:12" s="27" customFormat="1" ht="17.25" customHeight="1" x14ac:dyDescent="0.25">
      <c r="A1799" s="28"/>
      <c r="B1799" s="28"/>
      <c r="C1799" s="28"/>
      <c r="D1799" s="28"/>
      <c r="E1799" s="28"/>
      <c r="F1799" s="28"/>
      <c r="G1799" s="28"/>
      <c r="H1799" s="28"/>
      <c r="I1799" s="30"/>
      <c r="J1799" s="30"/>
      <c r="K1799" s="53"/>
      <c r="L1799" s="29"/>
    </row>
    <row r="1800" spans="1:12" s="27" customFormat="1" ht="17.25" customHeight="1" x14ac:dyDescent="0.25">
      <c r="A1800" s="28"/>
      <c r="B1800" s="28"/>
      <c r="C1800" s="28"/>
      <c r="D1800" s="28"/>
      <c r="E1800" s="28"/>
      <c r="F1800" s="28"/>
      <c r="G1800" s="28"/>
      <c r="H1800" s="28"/>
      <c r="I1800" s="30"/>
      <c r="J1800" s="30"/>
      <c r="K1800" s="53"/>
      <c r="L1800" s="29"/>
    </row>
    <row r="1801" spans="1:12" s="27" customFormat="1" ht="17.25" customHeight="1" x14ac:dyDescent="0.25">
      <c r="A1801" s="28"/>
      <c r="B1801" s="28"/>
      <c r="C1801" s="28"/>
      <c r="D1801" s="28"/>
      <c r="E1801" s="28"/>
      <c r="F1801" s="28"/>
      <c r="G1801" s="28"/>
      <c r="H1801" s="28"/>
      <c r="I1801" s="30"/>
      <c r="J1801" s="30"/>
      <c r="K1801" s="53"/>
      <c r="L1801" s="29"/>
    </row>
    <row r="1802" spans="1:12" s="27" customFormat="1" ht="17.25" customHeight="1" x14ac:dyDescent="0.25">
      <c r="A1802" s="28"/>
      <c r="B1802" s="28"/>
      <c r="C1802" s="28"/>
      <c r="D1802" s="28"/>
      <c r="E1802" s="28"/>
      <c r="F1802" s="28"/>
      <c r="G1802" s="28"/>
      <c r="H1802" s="28"/>
      <c r="I1802" s="30"/>
      <c r="J1802" s="30"/>
      <c r="K1802" s="53"/>
      <c r="L1802" s="29"/>
    </row>
    <row r="1803" spans="1:12" s="27" customFormat="1" ht="17.25" customHeight="1" x14ac:dyDescent="0.25">
      <c r="A1803" s="28"/>
      <c r="B1803" s="28"/>
      <c r="C1803" s="28"/>
      <c r="D1803" s="28"/>
      <c r="E1803" s="28"/>
      <c r="F1803" s="28"/>
      <c r="G1803" s="28"/>
      <c r="H1803" s="28"/>
      <c r="I1803" s="30"/>
      <c r="J1803" s="30"/>
      <c r="K1803" s="53"/>
      <c r="L1803" s="29"/>
    </row>
    <row r="1804" spans="1:12" s="27" customFormat="1" ht="17.25" customHeight="1" x14ac:dyDescent="0.25">
      <c r="A1804" s="28"/>
      <c r="B1804" s="28"/>
      <c r="C1804" s="28"/>
      <c r="D1804" s="28"/>
      <c r="E1804" s="28"/>
      <c r="F1804" s="28"/>
      <c r="G1804" s="28"/>
      <c r="H1804" s="28"/>
      <c r="I1804" s="30"/>
      <c r="J1804" s="30"/>
      <c r="K1804" s="53"/>
      <c r="L1804" s="29"/>
    </row>
    <row r="1805" spans="1:12" s="27" customFormat="1" ht="17.25" customHeight="1" x14ac:dyDescent="0.25">
      <c r="A1805" s="28"/>
      <c r="B1805" s="28"/>
      <c r="C1805" s="28"/>
      <c r="D1805" s="28"/>
      <c r="E1805" s="28"/>
      <c r="F1805" s="28"/>
      <c r="G1805" s="28"/>
      <c r="H1805" s="28"/>
      <c r="I1805" s="30"/>
      <c r="J1805" s="30"/>
      <c r="K1805" s="53"/>
      <c r="L1805" s="29"/>
    </row>
    <row r="1806" spans="1:12" s="27" customFormat="1" ht="17.25" customHeight="1" x14ac:dyDescent="0.25">
      <c r="A1806" s="28"/>
      <c r="B1806" s="28"/>
      <c r="C1806" s="28"/>
      <c r="D1806" s="28"/>
      <c r="E1806" s="28"/>
      <c r="F1806" s="28"/>
      <c r="G1806" s="28"/>
      <c r="H1806" s="28"/>
      <c r="I1806" s="30"/>
      <c r="J1806" s="30"/>
      <c r="K1806" s="53"/>
      <c r="L1806" s="29"/>
    </row>
    <row r="1807" spans="1:12" s="27" customFormat="1" ht="17.25" customHeight="1" x14ac:dyDescent="0.25">
      <c r="A1807" s="28"/>
      <c r="B1807" s="28"/>
      <c r="C1807" s="28"/>
      <c r="D1807" s="28"/>
      <c r="E1807" s="28"/>
      <c r="F1807" s="28"/>
      <c r="G1807" s="28"/>
      <c r="H1807" s="28"/>
      <c r="I1807" s="30"/>
      <c r="J1807" s="30"/>
      <c r="K1807" s="53"/>
      <c r="L1807" s="29"/>
    </row>
    <row r="1808" spans="1:12" s="27" customFormat="1" ht="17.25" customHeight="1" x14ac:dyDescent="0.25">
      <c r="A1808" s="28"/>
      <c r="B1808" s="28"/>
      <c r="C1808" s="28"/>
      <c r="D1808" s="28"/>
      <c r="E1808" s="28"/>
      <c r="F1808" s="28"/>
      <c r="G1808" s="28"/>
      <c r="H1808" s="28"/>
      <c r="I1808" s="30"/>
      <c r="J1808" s="30"/>
      <c r="K1808" s="53"/>
      <c r="L1808" s="29"/>
    </row>
    <row r="1809" spans="1:12" s="27" customFormat="1" ht="17.25" customHeight="1" x14ac:dyDescent="0.25">
      <c r="A1809" s="28"/>
      <c r="B1809" s="28"/>
      <c r="C1809" s="28"/>
      <c r="D1809" s="28"/>
      <c r="E1809" s="28"/>
      <c r="F1809" s="28"/>
      <c r="G1809" s="28"/>
      <c r="H1809" s="28"/>
      <c r="I1809" s="30"/>
      <c r="J1809" s="30"/>
      <c r="K1809" s="53"/>
      <c r="L1809" s="29"/>
    </row>
    <row r="1810" spans="1:12" s="27" customFormat="1" ht="17.25" customHeight="1" x14ac:dyDescent="0.25">
      <c r="A1810" s="28"/>
      <c r="B1810" s="28"/>
      <c r="C1810" s="28"/>
      <c r="D1810" s="28"/>
      <c r="E1810" s="28"/>
      <c r="F1810" s="28"/>
      <c r="G1810" s="28"/>
      <c r="H1810" s="28"/>
      <c r="I1810" s="30"/>
      <c r="J1810" s="30"/>
      <c r="K1810" s="53"/>
      <c r="L1810" s="29"/>
    </row>
    <row r="1811" spans="1:12" s="27" customFormat="1" ht="17.25" customHeight="1" x14ac:dyDescent="0.25">
      <c r="A1811" s="28"/>
      <c r="B1811" s="28"/>
      <c r="C1811" s="28"/>
      <c r="D1811" s="28"/>
      <c r="E1811" s="28"/>
      <c r="F1811" s="28"/>
      <c r="G1811" s="28"/>
      <c r="H1811" s="28"/>
      <c r="I1811" s="30"/>
      <c r="J1811" s="30"/>
      <c r="K1811" s="53"/>
      <c r="L1811" s="29"/>
    </row>
    <row r="1812" spans="1:12" s="27" customFormat="1" ht="17.25" customHeight="1" x14ac:dyDescent="0.25">
      <c r="A1812" s="28"/>
      <c r="B1812" s="28"/>
      <c r="C1812" s="28"/>
      <c r="D1812" s="28"/>
      <c r="E1812" s="28"/>
      <c r="F1812" s="28"/>
      <c r="G1812" s="28"/>
      <c r="H1812" s="28"/>
      <c r="I1812" s="30"/>
      <c r="J1812" s="30"/>
      <c r="K1812" s="53"/>
      <c r="L1812" s="29"/>
    </row>
    <row r="1813" spans="1:12" s="27" customFormat="1" ht="17.25" customHeight="1" x14ac:dyDescent="0.25">
      <c r="A1813" s="28"/>
      <c r="B1813" s="28"/>
      <c r="C1813" s="28"/>
      <c r="D1813" s="28"/>
      <c r="E1813" s="28"/>
      <c r="F1813" s="28"/>
      <c r="G1813" s="28"/>
      <c r="H1813" s="28"/>
      <c r="I1813" s="30"/>
      <c r="J1813" s="30"/>
      <c r="K1813" s="53"/>
      <c r="L1813" s="29"/>
    </row>
    <row r="1814" spans="1:12" s="27" customFormat="1" ht="17.25" customHeight="1" x14ac:dyDescent="0.25">
      <c r="A1814" s="28"/>
      <c r="B1814" s="28"/>
      <c r="C1814" s="28"/>
      <c r="D1814" s="28"/>
      <c r="E1814" s="28"/>
      <c r="F1814" s="28"/>
      <c r="G1814" s="28"/>
      <c r="H1814" s="28"/>
      <c r="I1814" s="30"/>
      <c r="J1814" s="30"/>
      <c r="K1814" s="53"/>
      <c r="L1814" s="29"/>
    </row>
    <row r="1815" spans="1:12" s="27" customFormat="1" ht="17.25" customHeight="1" x14ac:dyDescent="0.25">
      <c r="A1815" s="28"/>
      <c r="B1815" s="28"/>
      <c r="C1815" s="28"/>
      <c r="D1815" s="28"/>
      <c r="E1815" s="28"/>
      <c r="F1815" s="28"/>
      <c r="G1815" s="28"/>
      <c r="H1815" s="28"/>
      <c r="I1815" s="30"/>
      <c r="J1815" s="30"/>
      <c r="K1815" s="53"/>
      <c r="L1815" s="29"/>
    </row>
    <row r="1816" spans="1:12" s="27" customFormat="1" ht="17.25" customHeight="1" x14ac:dyDescent="0.25">
      <c r="A1816" s="28"/>
      <c r="B1816" s="28"/>
      <c r="C1816" s="28"/>
      <c r="D1816" s="28"/>
      <c r="E1816" s="28"/>
      <c r="F1816" s="28"/>
      <c r="G1816" s="28"/>
      <c r="H1816" s="28"/>
      <c r="I1816" s="30"/>
      <c r="J1816" s="30"/>
      <c r="K1816" s="53"/>
      <c r="L1816" s="29"/>
    </row>
    <row r="1817" spans="1:12" s="27" customFormat="1" ht="17.25" customHeight="1" x14ac:dyDescent="0.25">
      <c r="A1817" s="28"/>
      <c r="B1817" s="28"/>
      <c r="C1817" s="28"/>
      <c r="D1817" s="28"/>
      <c r="E1817" s="28"/>
      <c r="F1817" s="28"/>
      <c r="G1817" s="28"/>
      <c r="H1817" s="28"/>
      <c r="I1817" s="30"/>
      <c r="J1817" s="30"/>
      <c r="K1817" s="53"/>
      <c r="L1817" s="29"/>
    </row>
    <row r="1818" spans="1:12" s="27" customFormat="1" ht="17.25" customHeight="1" x14ac:dyDescent="0.25">
      <c r="A1818" s="28"/>
      <c r="B1818" s="28"/>
      <c r="C1818" s="28"/>
      <c r="D1818" s="28"/>
      <c r="E1818" s="28"/>
      <c r="F1818" s="28"/>
      <c r="G1818" s="28"/>
      <c r="H1818" s="28"/>
      <c r="I1818" s="30"/>
      <c r="J1818" s="30"/>
      <c r="K1818" s="53"/>
      <c r="L1818" s="29"/>
    </row>
    <row r="1819" spans="1:12" s="27" customFormat="1" ht="17.25" customHeight="1" x14ac:dyDescent="0.25">
      <c r="A1819" s="28"/>
      <c r="B1819" s="28"/>
      <c r="C1819" s="28"/>
      <c r="D1819" s="28"/>
      <c r="E1819" s="28"/>
      <c r="F1819" s="28"/>
      <c r="G1819" s="28"/>
      <c r="H1819" s="28"/>
      <c r="I1819" s="30"/>
      <c r="J1819" s="30"/>
      <c r="K1819" s="53"/>
      <c r="L1819" s="29"/>
    </row>
    <row r="1820" spans="1:12" s="27" customFormat="1" ht="17.25" customHeight="1" x14ac:dyDescent="0.25">
      <c r="A1820" s="28"/>
      <c r="B1820" s="28"/>
      <c r="C1820" s="28"/>
      <c r="D1820" s="28"/>
      <c r="E1820" s="28"/>
      <c r="F1820" s="28"/>
      <c r="G1820" s="28"/>
      <c r="H1820" s="28"/>
      <c r="I1820" s="30"/>
      <c r="J1820" s="30"/>
      <c r="K1820" s="53"/>
      <c r="L1820" s="29"/>
    </row>
    <row r="1821" spans="1:12" s="27" customFormat="1" ht="17.25" customHeight="1" x14ac:dyDescent="0.25">
      <c r="A1821" s="28"/>
      <c r="B1821" s="28"/>
      <c r="C1821" s="28"/>
      <c r="D1821" s="28"/>
      <c r="E1821" s="28"/>
      <c r="F1821" s="28"/>
      <c r="G1821" s="28"/>
      <c r="H1821" s="28"/>
      <c r="I1821" s="30"/>
      <c r="J1821" s="30"/>
      <c r="K1821" s="53"/>
      <c r="L1821" s="29"/>
    </row>
    <row r="1822" spans="1:12" s="27" customFormat="1" ht="17.25" customHeight="1" x14ac:dyDescent="0.25">
      <c r="A1822" s="28"/>
      <c r="B1822" s="28"/>
      <c r="C1822" s="28"/>
      <c r="D1822" s="28"/>
      <c r="E1822" s="28"/>
      <c r="F1822" s="28"/>
      <c r="G1822" s="28"/>
      <c r="H1822" s="28"/>
      <c r="I1822" s="30"/>
      <c r="J1822" s="30"/>
      <c r="K1822" s="53"/>
      <c r="L1822" s="29"/>
    </row>
    <row r="1823" spans="1:12" s="27" customFormat="1" ht="17.25" customHeight="1" x14ac:dyDescent="0.25">
      <c r="A1823" s="28"/>
      <c r="B1823" s="28"/>
      <c r="C1823" s="28"/>
      <c r="D1823" s="28"/>
      <c r="E1823" s="28"/>
      <c r="F1823" s="28"/>
      <c r="G1823" s="28"/>
      <c r="H1823" s="28"/>
      <c r="I1823" s="30"/>
      <c r="J1823" s="30"/>
      <c r="K1823" s="53"/>
      <c r="L1823" s="29"/>
    </row>
    <row r="1824" spans="1:12" s="27" customFormat="1" ht="17.25" customHeight="1" x14ac:dyDescent="0.25">
      <c r="A1824" s="28"/>
      <c r="B1824" s="28"/>
      <c r="C1824" s="28"/>
      <c r="D1824" s="28"/>
      <c r="E1824" s="28"/>
      <c r="F1824" s="28"/>
      <c r="G1824" s="28"/>
      <c r="H1824" s="28"/>
      <c r="I1824" s="30"/>
      <c r="J1824" s="30"/>
      <c r="K1824" s="53"/>
      <c r="L1824" s="29"/>
    </row>
    <row r="1825" spans="1:12" s="27" customFormat="1" ht="17.25" customHeight="1" x14ac:dyDescent="0.25">
      <c r="A1825" s="28"/>
      <c r="B1825" s="28"/>
      <c r="C1825" s="28"/>
      <c r="D1825" s="28"/>
      <c r="E1825" s="28"/>
      <c r="F1825" s="28"/>
      <c r="G1825" s="28"/>
      <c r="H1825" s="28"/>
      <c r="I1825" s="30"/>
      <c r="J1825" s="30"/>
      <c r="K1825" s="53"/>
      <c r="L1825" s="29"/>
    </row>
    <row r="1826" spans="1:12" s="27" customFormat="1" ht="17.25" customHeight="1" x14ac:dyDescent="0.25">
      <c r="A1826" s="28"/>
      <c r="B1826" s="28"/>
      <c r="C1826" s="28"/>
      <c r="D1826" s="28"/>
      <c r="E1826" s="28"/>
      <c r="F1826" s="28"/>
      <c r="G1826" s="28"/>
      <c r="H1826" s="28"/>
      <c r="I1826" s="30"/>
      <c r="J1826" s="30"/>
      <c r="K1826" s="53"/>
      <c r="L1826" s="29"/>
    </row>
    <row r="1827" spans="1:12" s="27" customFormat="1" ht="17.25" customHeight="1" x14ac:dyDescent="0.25">
      <c r="A1827" s="28"/>
      <c r="B1827" s="28"/>
      <c r="C1827" s="28"/>
      <c r="D1827" s="28"/>
      <c r="E1827" s="28"/>
      <c r="F1827" s="28"/>
      <c r="G1827" s="28"/>
      <c r="H1827" s="28"/>
      <c r="I1827" s="30"/>
      <c r="J1827" s="30"/>
      <c r="K1827" s="53"/>
      <c r="L1827" s="29"/>
    </row>
    <row r="1828" spans="1:12" s="27" customFormat="1" ht="17.25" customHeight="1" x14ac:dyDescent="0.25">
      <c r="A1828" s="28"/>
      <c r="B1828" s="28"/>
      <c r="C1828" s="28"/>
      <c r="D1828" s="28"/>
      <c r="E1828" s="28"/>
      <c r="F1828" s="28"/>
      <c r="G1828" s="28"/>
      <c r="H1828" s="28"/>
      <c r="I1828" s="30"/>
      <c r="J1828" s="30"/>
      <c r="K1828" s="53"/>
      <c r="L1828" s="29"/>
    </row>
    <row r="1829" spans="1:12" s="27" customFormat="1" ht="17.25" customHeight="1" x14ac:dyDescent="0.25">
      <c r="A1829" s="28"/>
      <c r="B1829" s="28"/>
      <c r="C1829" s="28"/>
      <c r="D1829" s="28"/>
      <c r="E1829" s="28"/>
      <c r="F1829" s="28"/>
      <c r="G1829" s="28"/>
      <c r="H1829" s="28"/>
      <c r="I1829" s="30"/>
      <c r="J1829" s="30"/>
      <c r="K1829" s="53"/>
      <c r="L1829" s="29"/>
    </row>
    <row r="1830" spans="1:12" s="27" customFormat="1" ht="17.25" customHeight="1" x14ac:dyDescent="0.25">
      <c r="A1830" s="28"/>
      <c r="B1830" s="28"/>
      <c r="C1830" s="28"/>
      <c r="D1830" s="28"/>
      <c r="E1830" s="28"/>
      <c r="F1830" s="28"/>
      <c r="G1830" s="28"/>
      <c r="H1830" s="28"/>
      <c r="I1830" s="30"/>
      <c r="J1830" s="30"/>
      <c r="K1830" s="53"/>
      <c r="L1830" s="29"/>
    </row>
    <row r="1831" spans="1:12" s="27" customFormat="1" ht="17.25" customHeight="1" x14ac:dyDescent="0.25">
      <c r="A1831" s="28"/>
      <c r="B1831" s="28"/>
      <c r="C1831" s="28"/>
      <c r="D1831" s="28"/>
      <c r="E1831" s="28"/>
      <c r="F1831" s="28"/>
      <c r="G1831" s="28"/>
      <c r="H1831" s="28"/>
      <c r="I1831" s="30"/>
      <c r="J1831" s="30"/>
      <c r="K1831" s="53"/>
      <c r="L1831" s="29"/>
    </row>
    <row r="1832" spans="1:12" s="27" customFormat="1" ht="17.25" customHeight="1" x14ac:dyDescent="0.25">
      <c r="A1832" s="28"/>
      <c r="B1832" s="28"/>
      <c r="C1832" s="28"/>
      <c r="D1832" s="28"/>
      <c r="E1832" s="28"/>
      <c r="F1832" s="28"/>
      <c r="G1832" s="28"/>
      <c r="H1832" s="28"/>
      <c r="I1832" s="30"/>
      <c r="J1832" s="30"/>
      <c r="K1832" s="53"/>
      <c r="L1832" s="29"/>
    </row>
    <row r="1833" spans="1:12" s="27" customFormat="1" ht="17.25" customHeight="1" x14ac:dyDescent="0.25">
      <c r="A1833" s="28"/>
      <c r="B1833" s="28"/>
      <c r="C1833" s="28"/>
      <c r="D1833" s="28"/>
      <c r="E1833" s="28"/>
      <c r="F1833" s="28"/>
      <c r="G1833" s="28"/>
      <c r="H1833" s="28"/>
      <c r="I1833" s="30"/>
      <c r="J1833" s="30"/>
      <c r="K1833" s="53"/>
      <c r="L1833" s="29"/>
    </row>
    <row r="1834" spans="1:12" s="27" customFormat="1" ht="17.25" customHeight="1" x14ac:dyDescent="0.25">
      <c r="A1834" s="28"/>
      <c r="B1834" s="28"/>
      <c r="C1834" s="28"/>
      <c r="D1834" s="28"/>
      <c r="E1834" s="28"/>
      <c r="F1834" s="28"/>
      <c r="G1834" s="28"/>
      <c r="H1834" s="28"/>
      <c r="I1834" s="30"/>
      <c r="J1834" s="30"/>
      <c r="K1834" s="53"/>
      <c r="L1834" s="29"/>
    </row>
    <row r="1835" spans="1:12" s="27" customFormat="1" ht="17.25" customHeight="1" x14ac:dyDescent="0.25">
      <c r="A1835" s="28"/>
      <c r="B1835" s="28"/>
      <c r="C1835" s="28"/>
      <c r="D1835" s="28"/>
      <c r="E1835" s="28"/>
      <c r="F1835" s="28"/>
      <c r="G1835" s="28"/>
      <c r="H1835" s="28"/>
      <c r="I1835" s="30"/>
      <c r="J1835" s="30"/>
      <c r="K1835" s="53"/>
      <c r="L1835" s="29"/>
    </row>
    <row r="1836" spans="1:12" s="27" customFormat="1" ht="17.25" customHeight="1" x14ac:dyDescent="0.25">
      <c r="A1836" s="28"/>
      <c r="B1836" s="28"/>
      <c r="C1836" s="28"/>
      <c r="D1836" s="28"/>
      <c r="E1836" s="28"/>
      <c r="F1836" s="28"/>
      <c r="G1836" s="28"/>
      <c r="H1836" s="28"/>
      <c r="I1836" s="30"/>
      <c r="J1836" s="30"/>
      <c r="K1836" s="53"/>
      <c r="L1836" s="29"/>
    </row>
    <row r="1837" spans="1:12" s="27" customFormat="1" ht="17.25" customHeight="1" x14ac:dyDescent="0.25">
      <c r="A1837" s="28"/>
      <c r="B1837" s="28"/>
      <c r="C1837" s="28"/>
      <c r="D1837" s="28"/>
      <c r="E1837" s="28"/>
      <c r="F1837" s="28"/>
      <c r="G1837" s="28"/>
      <c r="H1837" s="28"/>
      <c r="I1837" s="30"/>
      <c r="J1837" s="30"/>
      <c r="K1837" s="53"/>
      <c r="L1837" s="29"/>
    </row>
    <row r="1838" spans="1:12" s="27" customFormat="1" ht="17.25" customHeight="1" x14ac:dyDescent="0.25">
      <c r="A1838" s="28"/>
      <c r="B1838" s="28"/>
      <c r="C1838" s="28"/>
      <c r="D1838" s="28"/>
      <c r="E1838" s="28"/>
      <c r="F1838" s="28"/>
      <c r="G1838" s="28"/>
      <c r="H1838" s="28"/>
      <c r="I1838" s="30"/>
      <c r="J1838" s="30"/>
      <c r="K1838" s="53"/>
      <c r="L1838" s="29"/>
    </row>
    <row r="1839" spans="1:12" s="27" customFormat="1" ht="17.25" customHeight="1" x14ac:dyDescent="0.25">
      <c r="A1839" s="28"/>
      <c r="B1839" s="28"/>
      <c r="C1839" s="28"/>
      <c r="D1839" s="28"/>
      <c r="E1839" s="28"/>
      <c r="F1839" s="28"/>
      <c r="G1839" s="28"/>
      <c r="H1839" s="28"/>
      <c r="I1839" s="30"/>
      <c r="J1839" s="30"/>
      <c r="K1839" s="53"/>
      <c r="L1839" s="29"/>
    </row>
    <row r="1840" spans="1:12" s="27" customFormat="1" ht="17.25" customHeight="1" x14ac:dyDescent="0.25">
      <c r="A1840" s="28"/>
      <c r="B1840" s="28"/>
      <c r="C1840" s="28"/>
      <c r="D1840" s="28"/>
      <c r="E1840" s="28"/>
      <c r="F1840" s="28"/>
      <c r="G1840" s="28"/>
      <c r="H1840" s="28"/>
      <c r="I1840" s="30"/>
      <c r="J1840" s="30"/>
      <c r="K1840" s="53"/>
      <c r="L1840" s="29"/>
    </row>
    <row r="1841" spans="1:12" s="27" customFormat="1" ht="17.25" customHeight="1" x14ac:dyDescent="0.25">
      <c r="A1841" s="28"/>
      <c r="B1841" s="28"/>
      <c r="C1841" s="28"/>
      <c r="D1841" s="28"/>
      <c r="E1841" s="28"/>
      <c r="F1841" s="28"/>
      <c r="G1841" s="28"/>
      <c r="H1841" s="28"/>
      <c r="I1841" s="30"/>
      <c r="J1841" s="30"/>
      <c r="K1841" s="53"/>
      <c r="L1841" s="29"/>
    </row>
    <row r="1842" spans="1:12" s="27" customFormat="1" ht="17.25" customHeight="1" x14ac:dyDescent="0.25">
      <c r="A1842" s="28"/>
      <c r="B1842" s="28"/>
      <c r="C1842" s="28"/>
      <c r="D1842" s="28"/>
      <c r="E1842" s="28"/>
      <c r="F1842" s="28"/>
      <c r="G1842" s="28"/>
      <c r="H1842" s="28"/>
      <c r="I1842" s="30"/>
      <c r="J1842" s="30"/>
      <c r="K1842" s="53"/>
      <c r="L1842" s="29"/>
    </row>
    <row r="1843" spans="1:12" s="27" customFormat="1" ht="17.25" customHeight="1" x14ac:dyDescent="0.25">
      <c r="A1843" s="28"/>
      <c r="B1843" s="28"/>
      <c r="C1843" s="28"/>
      <c r="D1843" s="28"/>
      <c r="E1843" s="28"/>
      <c r="F1843" s="28"/>
      <c r="G1843" s="28"/>
      <c r="H1843" s="28"/>
      <c r="I1843" s="30"/>
      <c r="J1843" s="30"/>
      <c r="K1843" s="53"/>
      <c r="L1843" s="29"/>
    </row>
    <row r="1844" spans="1:12" s="27" customFormat="1" ht="17.25" customHeight="1" x14ac:dyDescent="0.25">
      <c r="A1844" s="28"/>
      <c r="B1844" s="28"/>
      <c r="C1844" s="28"/>
      <c r="D1844" s="28"/>
      <c r="E1844" s="28"/>
      <c r="F1844" s="28"/>
      <c r="G1844" s="28"/>
      <c r="H1844" s="28"/>
      <c r="I1844" s="30"/>
      <c r="J1844" s="30"/>
      <c r="K1844" s="53"/>
      <c r="L1844" s="29"/>
    </row>
    <row r="1845" spans="1:12" s="27" customFormat="1" ht="17.25" customHeight="1" x14ac:dyDescent="0.25">
      <c r="A1845" s="28"/>
      <c r="B1845" s="28"/>
      <c r="C1845" s="28"/>
      <c r="D1845" s="28"/>
      <c r="E1845" s="28"/>
      <c r="F1845" s="28"/>
      <c r="G1845" s="28"/>
      <c r="H1845" s="28"/>
      <c r="I1845" s="30"/>
      <c r="J1845" s="30"/>
      <c r="K1845" s="53"/>
      <c r="L1845" s="29"/>
    </row>
    <row r="1846" spans="1:12" s="27" customFormat="1" ht="17.25" customHeight="1" x14ac:dyDescent="0.25">
      <c r="A1846" s="28"/>
      <c r="B1846" s="28"/>
      <c r="C1846" s="28"/>
      <c r="D1846" s="28"/>
      <c r="E1846" s="28"/>
      <c r="F1846" s="28"/>
      <c r="G1846" s="28"/>
      <c r="H1846" s="28"/>
      <c r="I1846" s="30"/>
      <c r="J1846" s="30"/>
      <c r="K1846" s="53"/>
      <c r="L1846" s="29"/>
    </row>
    <row r="1847" spans="1:12" s="27" customFormat="1" ht="17.25" customHeight="1" x14ac:dyDescent="0.25">
      <c r="A1847" s="28"/>
      <c r="B1847" s="28"/>
      <c r="C1847" s="28"/>
      <c r="D1847" s="28"/>
      <c r="E1847" s="28"/>
      <c r="F1847" s="28"/>
      <c r="G1847" s="28"/>
      <c r="H1847" s="28"/>
      <c r="I1847" s="30"/>
      <c r="J1847" s="30"/>
      <c r="K1847" s="53"/>
      <c r="L1847" s="29"/>
    </row>
    <row r="1848" spans="1:12" s="27" customFormat="1" ht="17.25" customHeight="1" x14ac:dyDescent="0.25">
      <c r="A1848" s="28"/>
      <c r="B1848" s="28"/>
      <c r="C1848" s="28"/>
      <c r="D1848" s="28"/>
      <c r="E1848" s="28"/>
      <c r="F1848" s="28"/>
      <c r="G1848" s="28"/>
      <c r="H1848" s="28"/>
      <c r="I1848" s="30"/>
      <c r="J1848" s="30"/>
      <c r="K1848" s="53"/>
      <c r="L1848" s="29"/>
    </row>
    <row r="1849" spans="1:12" s="27" customFormat="1" ht="17.25" customHeight="1" x14ac:dyDescent="0.25">
      <c r="A1849" s="28"/>
      <c r="B1849" s="28"/>
      <c r="C1849" s="28"/>
      <c r="D1849" s="28"/>
      <c r="E1849" s="28"/>
      <c r="F1849" s="28"/>
      <c r="G1849" s="28"/>
      <c r="H1849" s="28"/>
      <c r="I1849" s="30"/>
      <c r="J1849" s="30"/>
      <c r="K1849" s="53"/>
      <c r="L1849" s="29"/>
    </row>
    <row r="1850" spans="1:12" s="27" customFormat="1" ht="17.25" customHeight="1" x14ac:dyDescent="0.25">
      <c r="A1850" s="28"/>
      <c r="B1850" s="28"/>
      <c r="C1850" s="28"/>
      <c r="D1850" s="28"/>
      <c r="E1850" s="28"/>
      <c r="F1850" s="28"/>
      <c r="G1850" s="28"/>
      <c r="H1850" s="28"/>
      <c r="I1850" s="30"/>
      <c r="J1850" s="30"/>
      <c r="K1850" s="53"/>
      <c r="L1850" s="29"/>
    </row>
    <row r="1851" spans="1:12" s="27" customFormat="1" ht="17.25" customHeight="1" x14ac:dyDescent="0.25">
      <c r="A1851" s="28"/>
      <c r="B1851" s="28"/>
      <c r="C1851" s="28"/>
      <c r="D1851" s="28"/>
      <c r="E1851" s="28"/>
      <c r="F1851" s="28"/>
      <c r="G1851" s="28"/>
      <c r="H1851" s="28"/>
      <c r="I1851" s="30"/>
      <c r="J1851" s="30"/>
      <c r="K1851" s="53"/>
      <c r="L1851" s="29"/>
    </row>
    <row r="1852" spans="1:12" s="27" customFormat="1" ht="17.25" customHeight="1" x14ac:dyDescent="0.25">
      <c r="A1852" s="28"/>
      <c r="B1852" s="28"/>
      <c r="C1852" s="28"/>
      <c r="D1852" s="28"/>
      <c r="E1852" s="28"/>
      <c r="F1852" s="28"/>
      <c r="G1852" s="28"/>
      <c r="H1852" s="28"/>
      <c r="I1852" s="30"/>
      <c r="J1852" s="30"/>
      <c r="K1852" s="53"/>
      <c r="L1852" s="29"/>
    </row>
    <row r="1853" spans="1:12" s="27" customFormat="1" ht="17.25" customHeight="1" x14ac:dyDescent="0.25">
      <c r="A1853" s="28"/>
      <c r="B1853" s="28"/>
      <c r="C1853" s="28"/>
      <c r="D1853" s="28"/>
      <c r="E1853" s="28"/>
      <c r="F1853" s="28"/>
      <c r="G1853" s="28"/>
      <c r="H1853" s="28"/>
      <c r="I1853" s="30"/>
      <c r="J1853" s="30"/>
      <c r="K1853" s="53"/>
      <c r="L1853" s="29"/>
    </row>
    <row r="1854" spans="1:12" s="27" customFormat="1" ht="17.25" customHeight="1" x14ac:dyDescent="0.25">
      <c r="A1854" s="28"/>
      <c r="B1854" s="28"/>
      <c r="C1854" s="28"/>
      <c r="D1854" s="28"/>
      <c r="E1854" s="28"/>
      <c r="F1854" s="28"/>
      <c r="G1854" s="28"/>
      <c r="H1854" s="28"/>
      <c r="I1854" s="30"/>
      <c r="J1854" s="30"/>
      <c r="K1854" s="53"/>
      <c r="L1854" s="29"/>
    </row>
    <row r="1855" spans="1:12" s="27" customFormat="1" ht="17.25" customHeight="1" x14ac:dyDescent="0.25">
      <c r="A1855" s="28"/>
      <c r="B1855" s="28"/>
      <c r="C1855" s="28"/>
      <c r="D1855" s="28"/>
      <c r="E1855" s="28"/>
      <c r="F1855" s="28"/>
      <c r="G1855" s="28"/>
      <c r="H1855" s="28"/>
      <c r="I1855" s="30"/>
      <c r="J1855" s="30"/>
      <c r="K1855" s="53"/>
      <c r="L1855" s="29"/>
    </row>
    <row r="1856" spans="1:12" s="27" customFormat="1" ht="17.25" customHeight="1" x14ac:dyDescent="0.25">
      <c r="A1856" s="28"/>
      <c r="B1856" s="28"/>
      <c r="C1856" s="28"/>
      <c r="D1856" s="28"/>
      <c r="E1856" s="28"/>
      <c r="F1856" s="28"/>
      <c r="G1856" s="28"/>
      <c r="H1856" s="28"/>
      <c r="I1856" s="30"/>
      <c r="J1856" s="30"/>
      <c r="K1856" s="53"/>
      <c r="L1856" s="29"/>
    </row>
    <row r="1857" spans="1:12" s="27" customFormat="1" ht="17.25" customHeight="1" x14ac:dyDescent="0.25">
      <c r="A1857" s="28"/>
      <c r="B1857" s="28"/>
      <c r="C1857" s="28"/>
      <c r="D1857" s="28"/>
      <c r="E1857" s="28"/>
      <c r="F1857" s="28"/>
      <c r="G1857" s="28"/>
      <c r="H1857" s="28"/>
      <c r="I1857" s="30"/>
      <c r="J1857" s="30"/>
      <c r="K1857" s="53"/>
      <c r="L1857" s="29"/>
    </row>
    <row r="1858" spans="1:12" s="27" customFormat="1" ht="17.25" customHeight="1" x14ac:dyDescent="0.25">
      <c r="A1858" s="28"/>
      <c r="B1858" s="28"/>
      <c r="C1858" s="28"/>
      <c r="D1858" s="28"/>
      <c r="E1858" s="28"/>
      <c r="F1858" s="28"/>
      <c r="G1858" s="28"/>
      <c r="H1858" s="28"/>
      <c r="I1858" s="30"/>
      <c r="J1858" s="30"/>
      <c r="K1858" s="53"/>
      <c r="L1858" s="29"/>
    </row>
    <row r="1859" spans="1:12" s="27" customFormat="1" ht="17.25" customHeight="1" x14ac:dyDescent="0.25">
      <c r="A1859" s="28"/>
      <c r="B1859" s="28"/>
      <c r="C1859" s="28"/>
      <c r="D1859" s="28"/>
      <c r="E1859" s="28"/>
      <c r="F1859" s="28"/>
      <c r="G1859" s="28"/>
      <c r="H1859" s="28"/>
      <c r="I1859" s="30"/>
      <c r="J1859" s="30"/>
      <c r="K1859" s="53"/>
      <c r="L1859" s="29"/>
    </row>
    <row r="1860" spans="1:12" s="27" customFormat="1" ht="17.25" customHeight="1" x14ac:dyDescent="0.25">
      <c r="A1860" s="28"/>
      <c r="B1860" s="28"/>
      <c r="C1860" s="28"/>
      <c r="D1860" s="28"/>
      <c r="E1860" s="28"/>
      <c r="F1860" s="28"/>
      <c r="G1860" s="28"/>
      <c r="H1860" s="28"/>
      <c r="I1860" s="30"/>
      <c r="J1860" s="30"/>
      <c r="K1860" s="53"/>
      <c r="L1860" s="29"/>
    </row>
    <row r="1861" spans="1:12" s="27" customFormat="1" ht="17.25" customHeight="1" x14ac:dyDescent="0.25">
      <c r="A1861" s="28"/>
      <c r="B1861" s="28"/>
      <c r="C1861" s="28"/>
      <c r="D1861" s="28"/>
      <c r="E1861" s="28"/>
      <c r="F1861" s="28"/>
      <c r="G1861" s="28"/>
      <c r="H1861" s="28"/>
      <c r="I1861" s="30"/>
      <c r="J1861" s="30"/>
      <c r="K1861" s="53"/>
      <c r="L1861" s="29"/>
    </row>
    <row r="1862" spans="1:12" s="27" customFormat="1" ht="17.25" customHeight="1" x14ac:dyDescent="0.25">
      <c r="A1862" s="28"/>
      <c r="B1862" s="28"/>
      <c r="C1862" s="28"/>
      <c r="D1862" s="28"/>
      <c r="E1862" s="28"/>
      <c r="F1862" s="28"/>
      <c r="G1862" s="28"/>
      <c r="H1862" s="28"/>
      <c r="I1862" s="30"/>
      <c r="J1862" s="30"/>
      <c r="K1862" s="53"/>
      <c r="L1862" s="29"/>
    </row>
    <row r="1863" spans="1:12" s="27" customFormat="1" ht="17.25" customHeight="1" x14ac:dyDescent="0.25">
      <c r="A1863" s="28"/>
      <c r="B1863" s="28"/>
      <c r="C1863" s="28"/>
      <c r="D1863" s="28"/>
      <c r="E1863" s="28"/>
      <c r="F1863" s="28"/>
      <c r="G1863" s="28"/>
      <c r="H1863" s="28"/>
      <c r="I1863" s="30"/>
      <c r="J1863" s="30"/>
      <c r="K1863" s="53"/>
      <c r="L1863" s="29"/>
    </row>
    <row r="1864" spans="1:12" s="27" customFormat="1" ht="17.25" customHeight="1" x14ac:dyDescent="0.25">
      <c r="A1864" s="28"/>
      <c r="B1864" s="28"/>
      <c r="C1864" s="28"/>
      <c r="D1864" s="28"/>
      <c r="E1864" s="28"/>
      <c r="F1864" s="28"/>
      <c r="G1864" s="28"/>
      <c r="H1864" s="28"/>
      <c r="I1864" s="30"/>
      <c r="J1864" s="30"/>
      <c r="K1864" s="53"/>
      <c r="L1864" s="29"/>
    </row>
    <row r="1865" spans="1:12" s="27" customFormat="1" ht="17.25" customHeight="1" x14ac:dyDescent="0.25">
      <c r="A1865" s="28"/>
      <c r="B1865" s="28"/>
      <c r="C1865" s="28"/>
      <c r="D1865" s="28"/>
      <c r="E1865" s="28"/>
      <c r="F1865" s="28"/>
      <c r="G1865" s="28"/>
      <c r="H1865" s="28"/>
      <c r="I1865" s="30"/>
      <c r="J1865" s="30"/>
      <c r="K1865" s="53"/>
      <c r="L1865" s="29"/>
    </row>
    <row r="1866" spans="1:12" s="27" customFormat="1" ht="17.25" customHeight="1" x14ac:dyDescent="0.25">
      <c r="A1866" s="28"/>
      <c r="B1866" s="28"/>
      <c r="C1866" s="28"/>
      <c r="D1866" s="28"/>
      <c r="E1866" s="28"/>
      <c r="F1866" s="28"/>
      <c r="G1866" s="28"/>
      <c r="H1866" s="28"/>
      <c r="I1866" s="30"/>
      <c r="J1866" s="30"/>
      <c r="K1866" s="53"/>
      <c r="L1866" s="29"/>
    </row>
    <row r="1867" spans="1:12" s="27" customFormat="1" ht="17.25" customHeight="1" x14ac:dyDescent="0.25">
      <c r="A1867" s="28"/>
      <c r="B1867" s="28"/>
      <c r="C1867" s="28"/>
      <c r="D1867" s="28"/>
      <c r="E1867" s="28"/>
      <c r="F1867" s="28"/>
      <c r="G1867" s="28"/>
      <c r="H1867" s="28"/>
      <c r="I1867" s="30"/>
      <c r="J1867" s="30"/>
      <c r="K1867" s="53"/>
      <c r="L1867" s="29"/>
    </row>
    <row r="1868" spans="1:12" s="27" customFormat="1" ht="17.25" customHeight="1" x14ac:dyDescent="0.25">
      <c r="A1868" s="28"/>
      <c r="B1868" s="28"/>
      <c r="C1868" s="28"/>
      <c r="D1868" s="28"/>
      <c r="E1868" s="28"/>
      <c r="F1868" s="28"/>
      <c r="G1868" s="28"/>
      <c r="H1868" s="28"/>
      <c r="I1868" s="30"/>
      <c r="J1868" s="30"/>
      <c r="K1868" s="53"/>
      <c r="L1868" s="29"/>
    </row>
    <row r="1869" spans="1:12" s="27" customFormat="1" ht="17.25" customHeight="1" x14ac:dyDescent="0.25">
      <c r="A1869" s="28"/>
      <c r="B1869" s="28"/>
      <c r="C1869" s="28"/>
      <c r="D1869" s="28"/>
      <c r="E1869" s="28"/>
      <c r="F1869" s="28"/>
      <c r="G1869" s="28"/>
      <c r="H1869" s="28"/>
      <c r="I1869" s="30"/>
      <c r="J1869" s="30"/>
      <c r="K1869" s="53"/>
      <c r="L1869" s="29"/>
    </row>
    <row r="1870" spans="1:12" s="27" customFormat="1" ht="17.25" customHeight="1" x14ac:dyDescent="0.25">
      <c r="A1870" s="28"/>
      <c r="B1870" s="28"/>
      <c r="C1870" s="28"/>
      <c r="D1870" s="28"/>
      <c r="E1870" s="28"/>
      <c r="F1870" s="28"/>
      <c r="G1870" s="28"/>
      <c r="H1870" s="28"/>
      <c r="I1870" s="30"/>
      <c r="J1870" s="30"/>
      <c r="K1870" s="53"/>
      <c r="L1870" s="29"/>
    </row>
    <row r="1871" spans="1:12" s="27" customFormat="1" ht="17.25" customHeight="1" x14ac:dyDescent="0.25">
      <c r="A1871" s="28"/>
      <c r="B1871" s="28"/>
      <c r="C1871" s="28"/>
      <c r="D1871" s="28"/>
      <c r="E1871" s="28"/>
      <c r="F1871" s="28"/>
      <c r="G1871" s="28"/>
      <c r="H1871" s="28"/>
      <c r="I1871" s="30"/>
      <c r="J1871" s="30"/>
      <c r="K1871" s="53"/>
      <c r="L1871" s="29"/>
    </row>
    <row r="1872" spans="1:12" s="27" customFormat="1" ht="17.25" customHeight="1" x14ac:dyDescent="0.25">
      <c r="A1872" s="28"/>
      <c r="B1872" s="28"/>
      <c r="C1872" s="28"/>
      <c r="D1872" s="28"/>
      <c r="E1872" s="28"/>
      <c r="F1872" s="28"/>
      <c r="G1872" s="28"/>
      <c r="H1872" s="28"/>
      <c r="I1872" s="30"/>
      <c r="J1872" s="30"/>
      <c r="K1872" s="53"/>
      <c r="L1872" s="29"/>
    </row>
    <row r="1873" spans="1:12" s="27" customFormat="1" ht="17.25" customHeight="1" x14ac:dyDescent="0.25">
      <c r="A1873" s="28"/>
      <c r="B1873" s="28"/>
      <c r="C1873" s="28"/>
      <c r="D1873" s="28"/>
      <c r="E1873" s="28"/>
      <c r="F1873" s="28"/>
      <c r="G1873" s="28"/>
      <c r="H1873" s="28"/>
      <c r="I1873" s="30"/>
      <c r="J1873" s="30"/>
      <c r="K1873" s="53"/>
      <c r="L1873" s="29"/>
    </row>
    <row r="1874" spans="1:12" s="27" customFormat="1" ht="17.25" customHeight="1" x14ac:dyDescent="0.25">
      <c r="A1874" s="28"/>
      <c r="B1874" s="28"/>
      <c r="C1874" s="28"/>
      <c r="D1874" s="28"/>
      <c r="E1874" s="28"/>
      <c r="F1874" s="28"/>
      <c r="G1874" s="28"/>
      <c r="H1874" s="28"/>
      <c r="I1874" s="30"/>
      <c r="J1874" s="30"/>
      <c r="K1874" s="53"/>
      <c r="L1874" s="29"/>
    </row>
    <row r="1875" spans="1:12" s="27" customFormat="1" ht="17.25" customHeight="1" x14ac:dyDescent="0.25">
      <c r="A1875" s="28"/>
      <c r="B1875" s="28"/>
      <c r="C1875" s="28"/>
      <c r="D1875" s="28"/>
      <c r="E1875" s="28"/>
      <c r="F1875" s="28"/>
      <c r="G1875" s="28"/>
      <c r="H1875" s="28"/>
      <c r="I1875" s="30"/>
      <c r="J1875" s="30"/>
      <c r="K1875" s="53"/>
      <c r="L1875" s="29"/>
    </row>
    <row r="1876" spans="1:12" s="27" customFormat="1" ht="17.25" customHeight="1" x14ac:dyDescent="0.25">
      <c r="A1876" s="28"/>
      <c r="B1876" s="28"/>
      <c r="C1876" s="28"/>
      <c r="D1876" s="28"/>
      <c r="E1876" s="28"/>
      <c r="F1876" s="28"/>
      <c r="G1876" s="28"/>
      <c r="H1876" s="28"/>
      <c r="I1876" s="30"/>
      <c r="J1876" s="30"/>
      <c r="K1876" s="53"/>
      <c r="L1876" s="29"/>
    </row>
    <row r="1877" spans="1:12" s="27" customFormat="1" ht="17.25" customHeight="1" x14ac:dyDescent="0.25">
      <c r="A1877" s="28"/>
      <c r="B1877" s="28"/>
      <c r="C1877" s="28"/>
      <c r="D1877" s="28"/>
      <c r="E1877" s="28"/>
      <c r="F1877" s="28"/>
      <c r="G1877" s="28"/>
      <c r="H1877" s="28"/>
      <c r="I1877" s="30"/>
      <c r="J1877" s="30"/>
      <c r="K1877" s="53"/>
      <c r="L1877" s="29"/>
    </row>
    <row r="1878" spans="1:12" s="27" customFormat="1" ht="17.25" customHeight="1" x14ac:dyDescent="0.25">
      <c r="A1878" s="28"/>
      <c r="B1878" s="28"/>
      <c r="C1878" s="28"/>
      <c r="D1878" s="28"/>
      <c r="E1878" s="28"/>
      <c r="F1878" s="28"/>
      <c r="G1878" s="28"/>
      <c r="H1878" s="28"/>
      <c r="I1878" s="30"/>
      <c r="J1878" s="30"/>
      <c r="K1878" s="53"/>
      <c r="L1878" s="29"/>
    </row>
    <row r="1879" spans="1:12" s="27" customFormat="1" ht="17.25" customHeight="1" x14ac:dyDescent="0.25">
      <c r="A1879" s="28"/>
      <c r="B1879" s="28"/>
      <c r="C1879" s="28"/>
      <c r="D1879" s="28"/>
      <c r="E1879" s="28"/>
      <c r="F1879" s="28"/>
      <c r="G1879" s="28"/>
      <c r="H1879" s="28"/>
      <c r="I1879" s="30"/>
      <c r="J1879" s="30"/>
      <c r="K1879" s="53"/>
      <c r="L1879" s="29"/>
    </row>
    <row r="1880" spans="1:12" s="27" customFormat="1" ht="17.25" customHeight="1" x14ac:dyDescent="0.25">
      <c r="A1880" s="28"/>
      <c r="B1880" s="28"/>
      <c r="C1880" s="28"/>
      <c r="D1880" s="28"/>
      <c r="E1880" s="28"/>
      <c r="F1880" s="28"/>
      <c r="G1880" s="28"/>
      <c r="H1880" s="28"/>
      <c r="I1880" s="30"/>
      <c r="J1880" s="30"/>
      <c r="K1880" s="53"/>
      <c r="L1880" s="29"/>
    </row>
    <row r="1881" spans="1:12" s="27" customFormat="1" ht="17.25" customHeight="1" x14ac:dyDescent="0.25">
      <c r="A1881" s="28"/>
      <c r="B1881" s="28"/>
      <c r="C1881" s="28"/>
      <c r="D1881" s="28"/>
      <c r="E1881" s="28"/>
      <c r="F1881" s="28"/>
      <c r="G1881" s="28"/>
      <c r="H1881" s="28"/>
      <c r="I1881" s="30"/>
      <c r="J1881" s="30"/>
      <c r="K1881" s="53"/>
      <c r="L1881" s="29"/>
    </row>
    <row r="1882" spans="1:12" s="27" customFormat="1" ht="17.25" customHeight="1" x14ac:dyDescent="0.25">
      <c r="A1882" s="28"/>
      <c r="B1882" s="28"/>
      <c r="C1882" s="28"/>
      <c r="D1882" s="28"/>
      <c r="E1882" s="28"/>
      <c r="F1882" s="28"/>
      <c r="G1882" s="28"/>
      <c r="H1882" s="28"/>
      <c r="I1882" s="30"/>
      <c r="J1882" s="30"/>
      <c r="K1882" s="53"/>
      <c r="L1882" s="29"/>
    </row>
    <row r="1883" spans="1:12" s="27" customFormat="1" ht="17.25" customHeight="1" x14ac:dyDescent="0.25">
      <c r="A1883" s="28"/>
      <c r="B1883" s="28"/>
      <c r="C1883" s="28"/>
      <c r="D1883" s="28"/>
      <c r="E1883" s="28"/>
      <c r="F1883" s="28"/>
      <c r="G1883" s="28"/>
      <c r="H1883" s="28"/>
      <c r="I1883" s="30"/>
      <c r="J1883" s="30"/>
      <c r="K1883" s="53"/>
      <c r="L1883" s="29"/>
    </row>
    <row r="1884" spans="1:12" s="27" customFormat="1" ht="17.25" customHeight="1" x14ac:dyDescent="0.25">
      <c r="A1884" s="28"/>
      <c r="B1884" s="28"/>
      <c r="C1884" s="28"/>
      <c r="D1884" s="28"/>
      <c r="E1884" s="28"/>
      <c r="F1884" s="28"/>
      <c r="G1884" s="28"/>
      <c r="H1884" s="28"/>
      <c r="I1884" s="30"/>
      <c r="J1884" s="30"/>
      <c r="K1884" s="53"/>
      <c r="L1884" s="29"/>
    </row>
    <row r="1885" spans="1:12" s="27" customFormat="1" ht="17.25" customHeight="1" x14ac:dyDescent="0.25">
      <c r="A1885" s="28"/>
      <c r="B1885" s="28"/>
      <c r="C1885" s="28"/>
      <c r="D1885" s="28"/>
      <c r="E1885" s="28"/>
      <c r="F1885" s="28"/>
      <c r="G1885" s="28"/>
      <c r="H1885" s="28"/>
      <c r="I1885" s="30"/>
      <c r="J1885" s="30"/>
      <c r="K1885" s="53"/>
      <c r="L1885" s="29"/>
    </row>
    <row r="1886" spans="1:12" s="27" customFormat="1" ht="17.25" customHeight="1" x14ac:dyDescent="0.25">
      <c r="A1886" s="28"/>
      <c r="B1886" s="28"/>
      <c r="C1886" s="28"/>
      <c r="D1886" s="28"/>
      <c r="E1886" s="28"/>
      <c r="F1886" s="28"/>
      <c r="G1886" s="28"/>
      <c r="H1886" s="28"/>
      <c r="I1886" s="30"/>
      <c r="J1886" s="30"/>
      <c r="K1886" s="53"/>
      <c r="L1886" s="29"/>
    </row>
    <row r="1887" spans="1:12" s="27" customFormat="1" ht="17.25" customHeight="1" x14ac:dyDescent="0.25">
      <c r="A1887" s="28"/>
      <c r="B1887" s="28"/>
      <c r="C1887" s="28"/>
      <c r="D1887" s="28"/>
      <c r="E1887" s="28"/>
      <c r="F1887" s="28"/>
      <c r="G1887" s="28"/>
      <c r="H1887" s="28"/>
      <c r="I1887" s="30"/>
      <c r="J1887" s="30"/>
      <c r="K1887" s="53"/>
      <c r="L1887" s="29"/>
    </row>
    <row r="1888" spans="1:12" s="27" customFormat="1" ht="17.25" customHeight="1" x14ac:dyDescent="0.25">
      <c r="A1888" s="28"/>
      <c r="B1888" s="28"/>
      <c r="C1888" s="28"/>
      <c r="D1888" s="28"/>
      <c r="E1888" s="28"/>
      <c r="F1888" s="28"/>
      <c r="G1888" s="28"/>
      <c r="H1888" s="28"/>
      <c r="I1888" s="30"/>
      <c r="J1888" s="30"/>
      <c r="K1888" s="53"/>
      <c r="L1888" s="29"/>
    </row>
    <row r="1889" spans="1:12" s="27" customFormat="1" ht="17.25" customHeight="1" x14ac:dyDescent="0.25">
      <c r="A1889" s="28"/>
      <c r="B1889" s="28"/>
      <c r="C1889" s="28"/>
      <c r="D1889" s="28"/>
      <c r="E1889" s="28"/>
      <c r="F1889" s="28"/>
      <c r="G1889" s="28"/>
      <c r="H1889" s="28"/>
      <c r="I1889" s="30"/>
      <c r="J1889" s="30"/>
      <c r="K1889" s="53"/>
      <c r="L1889" s="29"/>
    </row>
    <row r="1890" spans="1:12" s="27" customFormat="1" ht="17.25" customHeight="1" x14ac:dyDescent="0.25">
      <c r="A1890" s="28"/>
      <c r="B1890" s="28"/>
      <c r="C1890" s="28"/>
      <c r="D1890" s="28"/>
      <c r="E1890" s="28"/>
      <c r="F1890" s="28"/>
      <c r="G1890" s="28"/>
      <c r="H1890" s="28"/>
      <c r="I1890" s="30"/>
      <c r="J1890" s="30"/>
      <c r="K1890" s="53"/>
      <c r="L1890" s="29"/>
    </row>
    <row r="1891" spans="1:12" s="27" customFormat="1" ht="17.25" customHeight="1" x14ac:dyDescent="0.25">
      <c r="A1891" s="28"/>
      <c r="B1891" s="28"/>
      <c r="C1891" s="28"/>
      <c r="D1891" s="28"/>
      <c r="E1891" s="28"/>
      <c r="F1891" s="28"/>
      <c r="G1891" s="28"/>
      <c r="H1891" s="28"/>
      <c r="I1891" s="30"/>
      <c r="J1891" s="30"/>
      <c r="K1891" s="53"/>
      <c r="L1891" s="29"/>
    </row>
    <row r="1892" spans="1:12" s="27" customFormat="1" ht="17.25" customHeight="1" x14ac:dyDescent="0.25">
      <c r="A1892" s="28"/>
      <c r="B1892" s="28"/>
      <c r="C1892" s="28"/>
      <c r="D1892" s="28"/>
      <c r="E1892" s="28"/>
      <c r="F1892" s="28"/>
      <c r="G1892" s="28"/>
      <c r="H1892" s="28"/>
      <c r="I1892" s="30"/>
      <c r="J1892" s="30"/>
      <c r="K1892" s="53"/>
      <c r="L1892" s="29"/>
    </row>
    <row r="1893" spans="1:12" s="27" customFormat="1" ht="17.25" customHeight="1" x14ac:dyDescent="0.25">
      <c r="A1893" s="28"/>
      <c r="B1893" s="28"/>
      <c r="C1893" s="28"/>
      <c r="D1893" s="28"/>
      <c r="E1893" s="28"/>
      <c r="F1893" s="28"/>
      <c r="G1893" s="28"/>
      <c r="H1893" s="28"/>
      <c r="I1893" s="30"/>
      <c r="J1893" s="30"/>
      <c r="K1893" s="53"/>
      <c r="L1893" s="29"/>
    </row>
    <row r="1894" spans="1:12" s="27" customFormat="1" ht="17.25" customHeight="1" x14ac:dyDescent="0.25">
      <c r="A1894" s="28"/>
      <c r="B1894" s="28"/>
      <c r="C1894" s="28"/>
      <c r="D1894" s="28"/>
      <c r="E1894" s="28"/>
      <c r="F1894" s="28"/>
      <c r="G1894" s="28"/>
      <c r="H1894" s="28"/>
      <c r="I1894" s="30"/>
      <c r="J1894" s="30"/>
      <c r="K1894" s="53"/>
      <c r="L1894" s="29"/>
    </row>
    <row r="1895" spans="1:12" s="27" customFormat="1" ht="17.25" customHeight="1" x14ac:dyDescent="0.25">
      <c r="A1895" s="28"/>
      <c r="B1895" s="28"/>
      <c r="C1895" s="28"/>
      <c r="D1895" s="28"/>
      <c r="E1895" s="28"/>
      <c r="F1895" s="28"/>
      <c r="G1895" s="28"/>
      <c r="H1895" s="28"/>
      <c r="I1895" s="30"/>
      <c r="J1895" s="30"/>
      <c r="K1895" s="53"/>
      <c r="L1895" s="29"/>
    </row>
    <row r="1896" spans="1:12" s="27" customFormat="1" ht="17.25" customHeight="1" x14ac:dyDescent="0.25">
      <c r="A1896" s="28"/>
      <c r="B1896" s="28"/>
      <c r="C1896" s="28"/>
      <c r="D1896" s="28"/>
      <c r="E1896" s="28"/>
      <c r="F1896" s="28"/>
      <c r="G1896" s="28"/>
      <c r="H1896" s="28"/>
      <c r="I1896" s="30"/>
      <c r="J1896" s="30"/>
      <c r="K1896" s="53"/>
      <c r="L1896" s="29"/>
    </row>
    <row r="1897" spans="1:12" s="27" customFormat="1" ht="17.25" customHeight="1" x14ac:dyDescent="0.25">
      <c r="A1897" s="28"/>
      <c r="B1897" s="28"/>
      <c r="C1897" s="28"/>
      <c r="D1897" s="28"/>
      <c r="E1897" s="28"/>
      <c r="F1897" s="28"/>
      <c r="G1897" s="28"/>
      <c r="H1897" s="28"/>
      <c r="I1897" s="30"/>
      <c r="J1897" s="30"/>
      <c r="K1897" s="53"/>
      <c r="L1897" s="29"/>
    </row>
    <row r="1898" spans="1:12" s="27" customFormat="1" ht="17.25" customHeight="1" x14ac:dyDescent="0.25">
      <c r="A1898" s="28"/>
      <c r="B1898" s="28"/>
      <c r="C1898" s="28"/>
      <c r="D1898" s="28"/>
      <c r="E1898" s="28"/>
      <c r="F1898" s="28"/>
      <c r="G1898" s="28"/>
      <c r="H1898" s="28"/>
      <c r="I1898" s="30"/>
      <c r="J1898" s="30"/>
      <c r="K1898" s="53"/>
      <c r="L1898" s="29"/>
    </row>
    <row r="1899" spans="1:12" s="27" customFormat="1" ht="17.25" customHeight="1" x14ac:dyDescent="0.25">
      <c r="A1899" s="28"/>
      <c r="B1899" s="28"/>
      <c r="C1899" s="28"/>
      <c r="D1899" s="28"/>
      <c r="E1899" s="28"/>
      <c r="F1899" s="28"/>
      <c r="G1899" s="28"/>
      <c r="H1899" s="28"/>
      <c r="I1899" s="30"/>
      <c r="J1899" s="30"/>
      <c r="K1899" s="53"/>
      <c r="L1899" s="29"/>
    </row>
    <row r="1900" spans="1:12" s="27" customFormat="1" ht="17.25" customHeight="1" x14ac:dyDescent="0.25">
      <c r="A1900" s="28"/>
      <c r="B1900" s="28"/>
      <c r="C1900" s="28"/>
      <c r="D1900" s="28"/>
      <c r="E1900" s="28"/>
      <c r="F1900" s="28"/>
      <c r="G1900" s="28"/>
      <c r="H1900" s="28"/>
      <c r="I1900" s="30"/>
      <c r="J1900" s="30"/>
      <c r="K1900" s="53"/>
      <c r="L1900" s="29"/>
    </row>
    <row r="1901" spans="1:12" s="27" customFormat="1" ht="17.25" customHeight="1" x14ac:dyDescent="0.25">
      <c r="A1901" s="28"/>
      <c r="B1901" s="28"/>
      <c r="C1901" s="28"/>
      <c r="D1901" s="28"/>
      <c r="E1901" s="28"/>
      <c r="F1901" s="28"/>
      <c r="G1901" s="28"/>
      <c r="H1901" s="28"/>
      <c r="I1901" s="30"/>
      <c r="J1901" s="30"/>
      <c r="K1901" s="53"/>
      <c r="L1901" s="29"/>
    </row>
    <row r="1902" spans="1:12" s="27" customFormat="1" ht="17.25" customHeight="1" x14ac:dyDescent="0.25">
      <c r="A1902" s="28"/>
      <c r="B1902" s="28"/>
      <c r="C1902" s="28"/>
      <c r="D1902" s="28"/>
      <c r="E1902" s="28"/>
      <c r="F1902" s="28"/>
      <c r="G1902" s="28"/>
      <c r="H1902" s="28"/>
      <c r="I1902" s="30"/>
      <c r="J1902" s="30"/>
      <c r="K1902" s="53"/>
      <c r="L1902" s="29"/>
    </row>
    <row r="1903" spans="1:12" s="27" customFormat="1" ht="17.25" customHeight="1" x14ac:dyDescent="0.25">
      <c r="A1903" s="28"/>
      <c r="B1903" s="28"/>
      <c r="C1903" s="28"/>
      <c r="D1903" s="28"/>
      <c r="E1903" s="28"/>
      <c r="F1903" s="28"/>
      <c r="G1903" s="28"/>
      <c r="H1903" s="28"/>
      <c r="I1903" s="30"/>
      <c r="J1903" s="30"/>
      <c r="K1903" s="53"/>
      <c r="L1903" s="29"/>
    </row>
    <row r="1904" spans="1:12" s="27" customFormat="1" ht="17.25" customHeight="1" x14ac:dyDescent="0.25">
      <c r="A1904" s="28"/>
      <c r="B1904" s="28"/>
      <c r="C1904" s="28"/>
      <c r="D1904" s="28"/>
      <c r="E1904" s="28"/>
      <c r="F1904" s="28"/>
      <c r="G1904" s="28"/>
      <c r="H1904" s="28"/>
      <c r="I1904" s="30"/>
      <c r="J1904" s="30"/>
      <c r="K1904" s="53"/>
      <c r="L1904" s="29"/>
    </row>
    <row r="1905" spans="1:12" s="27" customFormat="1" ht="17.25" customHeight="1" x14ac:dyDescent="0.25">
      <c r="A1905" s="28"/>
      <c r="B1905" s="28"/>
      <c r="C1905" s="28"/>
      <c r="D1905" s="28"/>
      <c r="E1905" s="28"/>
      <c r="F1905" s="28"/>
      <c r="G1905" s="28"/>
      <c r="H1905" s="28"/>
      <c r="I1905" s="30"/>
      <c r="J1905" s="30"/>
      <c r="K1905" s="53"/>
      <c r="L1905" s="29"/>
    </row>
    <row r="1906" spans="1:12" s="27" customFormat="1" ht="17.25" customHeight="1" x14ac:dyDescent="0.25">
      <c r="A1906" s="28"/>
      <c r="B1906" s="28"/>
      <c r="C1906" s="28"/>
      <c r="D1906" s="28"/>
      <c r="E1906" s="28"/>
      <c r="F1906" s="28"/>
      <c r="G1906" s="28"/>
      <c r="H1906" s="28"/>
      <c r="I1906" s="30"/>
      <c r="J1906" s="30"/>
      <c r="K1906" s="53"/>
      <c r="L1906" s="29"/>
    </row>
    <row r="1907" spans="1:12" s="27" customFormat="1" ht="17.25" customHeight="1" x14ac:dyDescent="0.25">
      <c r="A1907" s="28"/>
      <c r="B1907" s="28"/>
      <c r="C1907" s="28"/>
      <c r="D1907" s="28"/>
      <c r="E1907" s="28"/>
      <c r="F1907" s="28"/>
      <c r="G1907" s="28"/>
      <c r="H1907" s="28"/>
      <c r="I1907" s="30"/>
      <c r="J1907" s="30"/>
      <c r="K1907" s="53"/>
      <c r="L1907" s="29"/>
    </row>
    <row r="1908" spans="1:12" s="27" customFormat="1" ht="17.25" customHeight="1" x14ac:dyDescent="0.25">
      <c r="A1908" s="28"/>
      <c r="B1908" s="28"/>
      <c r="C1908" s="28"/>
      <c r="D1908" s="28"/>
      <c r="E1908" s="28"/>
      <c r="F1908" s="28"/>
      <c r="G1908" s="28"/>
      <c r="H1908" s="28"/>
      <c r="I1908" s="30"/>
      <c r="J1908" s="30"/>
      <c r="K1908" s="53"/>
      <c r="L1908" s="29"/>
    </row>
    <row r="1909" spans="1:12" s="27" customFormat="1" ht="17.25" customHeight="1" x14ac:dyDescent="0.25">
      <c r="A1909" s="28"/>
      <c r="B1909" s="28"/>
      <c r="C1909" s="28"/>
      <c r="D1909" s="28"/>
      <c r="E1909" s="28"/>
      <c r="F1909" s="28"/>
      <c r="G1909" s="28"/>
      <c r="H1909" s="28"/>
      <c r="I1909" s="30"/>
      <c r="J1909" s="30"/>
      <c r="K1909" s="53"/>
      <c r="L1909" s="29"/>
    </row>
    <row r="1910" spans="1:12" s="27" customFormat="1" ht="17.25" customHeight="1" x14ac:dyDescent="0.25">
      <c r="A1910" s="28"/>
      <c r="B1910" s="28"/>
      <c r="C1910" s="28"/>
      <c r="D1910" s="28"/>
      <c r="E1910" s="28"/>
      <c r="F1910" s="28"/>
      <c r="G1910" s="28"/>
      <c r="H1910" s="28"/>
      <c r="I1910" s="30"/>
      <c r="J1910" s="30"/>
      <c r="K1910" s="53"/>
      <c r="L1910" s="29"/>
    </row>
    <row r="1911" spans="1:12" s="27" customFormat="1" ht="17.25" customHeight="1" x14ac:dyDescent="0.25">
      <c r="A1911" s="28"/>
      <c r="B1911" s="28"/>
      <c r="C1911" s="28"/>
      <c r="D1911" s="28"/>
      <c r="E1911" s="28"/>
      <c r="F1911" s="28"/>
      <c r="G1911" s="28"/>
      <c r="H1911" s="28"/>
      <c r="I1911" s="30"/>
      <c r="J1911" s="30"/>
      <c r="K1911" s="53"/>
      <c r="L1911" s="29"/>
    </row>
    <row r="1912" spans="1:12" s="27" customFormat="1" ht="17.25" customHeight="1" x14ac:dyDescent="0.25">
      <c r="A1912" s="28"/>
      <c r="B1912" s="28"/>
      <c r="C1912" s="28"/>
      <c r="D1912" s="28"/>
      <c r="E1912" s="28"/>
      <c r="F1912" s="28"/>
      <c r="G1912" s="28"/>
      <c r="H1912" s="28"/>
      <c r="I1912" s="30"/>
      <c r="J1912" s="30"/>
      <c r="K1912" s="53"/>
      <c r="L1912" s="29"/>
    </row>
    <row r="1913" spans="1:12" s="27" customFormat="1" ht="17.25" customHeight="1" x14ac:dyDescent="0.25">
      <c r="A1913" s="28"/>
      <c r="B1913" s="28"/>
      <c r="C1913" s="28"/>
      <c r="D1913" s="28"/>
      <c r="E1913" s="28"/>
      <c r="F1913" s="28"/>
      <c r="G1913" s="28"/>
      <c r="H1913" s="28"/>
      <c r="I1913" s="30"/>
      <c r="J1913" s="30"/>
      <c r="K1913" s="53"/>
      <c r="L1913" s="29"/>
    </row>
    <row r="1914" spans="1:12" s="27" customFormat="1" ht="17.25" customHeight="1" x14ac:dyDescent="0.25">
      <c r="A1914" s="28"/>
      <c r="B1914" s="28"/>
      <c r="C1914" s="28"/>
      <c r="D1914" s="28"/>
      <c r="E1914" s="28"/>
      <c r="F1914" s="28"/>
      <c r="G1914" s="28"/>
      <c r="H1914" s="28"/>
      <c r="I1914" s="30"/>
      <c r="J1914" s="30"/>
      <c r="K1914" s="53"/>
      <c r="L1914" s="29"/>
    </row>
    <row r="1915" spans="1:12" s="27" customFormat="1" ht="17.25" customHeight="1" x14ac:dyDescent="0.25">
      <c r="A1915" s="28"/>
      <c r="B1915" s="28"/>
      <c r="C1915" s="28"/>
      <c r="D1915" s="28"/>
      <c r="E1915" s="28"/>
      <c r="F1915" s="28"/>
      <c r="G1915" s="28"/>
      <c r="H1915" s="28"/>
      <c r="I1915" s="30"/>
      <c r="J1915" s="30"/>
      <c r="K1915" s="53"/>
      <c r="L1915" s="29"/>
    </row>
    <row r="1916" spans="1:12" s="27" customFormat="1" ht="17.25" customHeight="1" x14ac:dyDescent="0.25">
      <c r="A1916" s="28"/>
      <c r="B1916" s="28"/>
      <c r="C1916" s="28"/>
      <c r="D1916" s="28"/>
      <c r="E1916" s="28"/>
      <c r="F1916" s="28"/>
      <c r="G1916" s="28"/>
      <c r="H1916" s="28"/>
      <c r="I1916" s="30"/>
      <c r="J1916" s="30"/>
      <c r="K1916" s="53"/>
      <c r="L1916" s="29"/>
    </row>
    <row r="1917" spans="1:12" s="27" customFormat="1" ht="17.25" customHeight="1" x14ac:dyDescent="0.25">
      <c r="A1917" s="28"/>
      <c r="B1917" s="28"/>
      <c r="C1917" s="28"/>
      <c r="D1917" s="28"/>
      <c r="E1917" s="28"/>
      <c r="F1917" s="28"/>
      <c r="G1917" s="28"/>
      <c r="H1917" s="28"/>
      <c r="I1917" s="30"/>
      <c r="J1917" s="30"/>
      <c r="K1917" s="53"/>
      <c r="L1917" s="29"/>
    </row>
    <row r="1918" spans="1:12" s="27" customFormat="1" ht="17.25" customHeight="1" x14ac:dyDescent="0.25">
      <c r="A1918" s="28"/>
      <c r="B1918" s="28"/>
      <c r="C1918" s="28"/>
      <c r="D1918" s="28"/>
      <c r="E1918" s="28"/>
      <c r="F1918" s="28"/>
      <c r="G1918" s="28"/>
      <c r="H1918" s="28"/>
      <c r="I1918" s="30"/>
      <c r="J1918" s="30"/>
      <c r="K1918" s="53"/>
      <c r="L1918" s="29"/>
    </row>
    <row r="1919" spans="1:12" s="27" customFormat="1" ht="17.25" customHeight="1" x14ac:dyDescent="0.25">
      <c r="A1919" s="28"/>
      <c r="B1919" s="28"/>
      <c r="C1919" s="28"/>
      <c r="D1919" s="28"/>
      <c r="E1919" s="28"/>
      <c r="F1919" s="28"/>
      <c r="G1919" s="28"/>
      <c r="H1919" s="28"/>
      <c r="I1919" s="30"/>
      <c r="J1919" s="30"/>
      <c r="K1919" s="53"/>
      <c r="L1919" s="29"/>
    </row>
    <row r="1920" spans="1:12" s="27" customFormat="1" ht="17.25" customHeight="1" x14ac:dyDescent="0.25">
      <c r="A1920" s="28"/>
      <c r="B1920" s="28"/>
      <c r="C1920" s="28"/>
      <c r="D1920" s="28"/>
      <c r="E1920" s="28"/>
      <c r="F1920" s="28"/>
      <c r="G1920" s="28"/>
      <c r="H1920" s="28"/>
      <c r="I1920" s="30"/>
      <c r="J1920" s="30"/>
      <c r="K1920" s="53"/>
      <c r="L1920" s="29"/>
    </row>
    <row r="1921" spans="1:12" s="27" customFormat="1" ht="17.25" customHeight="1" x14ac:dyDescent="0.25">
      <c r="A1921" s="28"/>
      <c r="B1921" s="28"/>
      <c r="C1921" s="28"/>
      <c r="D1921" s="28"/>
      <c r="E1921" s="28"/>
      <c r="F1921" s="28"/>
      <c r="G1921" s="28"/>
      <c r="H1921" s="28"/>
      <c r="I1921" s="30"/>
      <c r="J1921" s="30"/>
      <c r="K1921" s="53"/>
      <c r="L1921" s="29"/>
    </row>
    <row r="1922" spans="1:12" s="27" customFormat="1" ht="17.25" customHeight="1" x14ac:dyDescent="0.25">
      <c r="A1922" s="28"/>
      <c r="B1922" s="28"/>
      <c r="C1922" s="28"/>
      <c r="D1922" s="28"/>
      <c r="E1922" s="28"/>
      <c r="F1922" s="28"/>
      <c r="G1922" s="28"/>
      <c r="H1922" s="28"/>
      <c r="I1922" s="30"/>
      <c r="J1922" s="30"/>
      <c r="K1922" s="53"/>
      <c r="L1922" s="29"/>
    </row>
    <row r="1923" spans="1:12" s="27" customFormat="1" ht="17.25" customHeight="1" x14ac:dyDescent="0.25">
      <c r="A1923" s="28"/>
      <c r="B1923" s="28"/>
      <c r="C1923" s="28"/>
      <c r="D1923" s="28"/>
      <c r="E1923" s="28"/>
      <c r="F1923" s="28"/>
      <c r="G1923" s="28"/>
      <c r="H1923" s="28"/>
      <c r="I1923" s="30"/>
      <c r="J1923" s="30"/>
      <c r="K1923" s="53"/>
      <c r="L1923" s="29"/>
    </row>
    <row r="1924" spans="1:12" s="27" customFormat="1" ht="17.25" customHeight="1" x14ac:dyDescent="0.25">
      <c r="A1924" s="28"/>
      <c r="B1924" s="28"/>
      <c r="C1924" s="28"/>
      <c r="D1924" s="28"/>
      <c r="E1924" s="28"/>
      <c r="F1924" s="28"/>
      <c r="G1924" s="28"/>
      <c r="H1924" s="28"/>
      <c r="I1924" s="30"/>
      <c r="J1924" s="30"/>
      <c r="K1924" s="53"/>
      <c r="L1924" s="29"/>
    </row>
    <row r="1925" spans="1:12" s="27" customFormat="1" ht="17.25" customHeight="1" x14ac:dyDescent="0.25">
      <c r="A1925" s="28"/>
      <c r="B1925" s="28"/>
      <c r="C1925" s="28"/>
      <c r="D1925" s="28"/>
      <c r="E1925" s="28"/>
      <c r="F1925" s="28"/>
      <c r="G1925" s="28"/>
      <c r="H1925" s="28"/>
      <c r="I1925" s="30"/>
      <c r="J1925" s="30"/>
      <c r="K1925" s="53"/>
      <c r="L1925" s="29"/>
    </row>
    <row r="1926" spans="1:12" s="27" customFormat="1" ht="17.25" customHeight="1" x14ac:dyDescent="0.25">
      <c r="A1926" s="28"/>
      <c r="B1926" s="28"/>
      <c r="C1926" s="28"/>
      <c r="D1926" s="28"/>
      <c r="E1926" s="28"/>
      <c r="F1926" s="28"/>
      <c r="G1926" s="28"/>
      <c r="H1926" s="28"/>
      <c r="I1926" s="30"/>
      <c r="J1926" s="30"/>
      <c r="K1926" s="53"/>
      <c r="L1926" s="29"/>
    </row>
    <row r="1927" spans="1:12" s="27" customFormat="1" ht="17.25" customHeight="1" x14ac:dyDescent="0.25">
      <c r="A1927" s="28"/>
      <c r="B1927" s="28"/>
      <c r="C1927" s="28"/>
      <c r="D1927" s="28"/>
      <c r="E1927" s="28"/>
      <c r="F1927" s="28"/>
      <c r="G1927" s="28"/>
      <c r="H1927" s="28"/>
      <c r="I1927" s="30"/>
      <c r="J1927" s="30"/>
      <c r="K1927" s="53"/>
      <c r="L1927" s="29"/>
    </row>
    <row r="1928" spans="1:12" s="27" customFormat="1" ht="17.25" customHeight="1" x14ac:dyDescent="0.25">
      <c r="A1928" s="28"/>
      <c r="B1928" s="28"/>
      <c r="C1928" s="28"/>
      <c r="D1928" s="28"/>
      <c r="E1928" s="28"/>
      <c r="F1928" s="28"/>
      <c r="G1928" s="28"/>
      <c r="H1928" s="28"/>
      <c r="I1928" s="30"/>
      <c r="J1928" s="30"/>
      <c r="K1928" s="53"/>
      <c r="L1928" s="29"/>
    </row>
    <row r="1929" spans="1:12" s="27" customFormat="1" ht="17.25" customHeight="1" x14ac:dyDescent="0.25">
      <c r="A1929" s="28"/>
      <c r="B1929" s="28"/>
      <c r="C1929" s="28"/>
      <c r="D1929" s="28"/>
      <c r="E1929" s="28"/>
      <c r="F1929" s="28"/>
      <c r="G1929" s="28"/>
      <c r="H1929" s="28"/>
      <c r="I1929" s="30"/>
      <c r="J1929" s="30"/>
      <c r="K1929" s="53"/>
      <c r="L1929" s="29"/>
    </row>
    <row r="1930" spans="1:12" s="27" customFormat="1" ht="17.25" customHeight="1" x14ac:dyDescent="0.25">
      <c r="A1930" s="28"/>
      <c r="B1930" s="28"/>
      <c r="C1930" s="28"/>
      <c r="D1930" s="28"/>
      <c r="E1930" s="28"/>
      <c r="F1930" s="28"/>
      <c r="G1930" s="28"/>
      <c r="H1930" s="28"/>
      <c r="I1930" s="30"/>
      <c r="J1930" s="30"/>
      <c r="K1930" s="53"/>
      <c r="L1930" s="29"/>
    </row>
    <row r="1931" spans="1:12" s="27" customFormat="1" ht="17.25" customHeight="1" x14ac:dyDescent="0.25">
      <c r="A1931" s="28"/>
      <c r="B1931" s="28"/>
      <c r="C1931" s="28"/>
      <c r="D1931" s="28"/>
      <c r="E1931" s="28"/>
      <c r="F1931" s="28"/>
      <c r="G1931" s="28"/>
      <c r="H1931" s="28"/>
      <c r="I1931" s="30"/>
      <c r="J1931" s="30"/>
      <c r="K1931" s="53"/>
      <c r="L1931" s="29"/>
    </row>
    <row r="1932" spans="1:12" s="27" customFormat="1" ht="17.25" customHeight="1" x14ac:dyDescent="0.25">
      <c r="A1932" s="28"/>
      <c r="B1932" s="28"/>
      <c r="C1932" s="28"/>
      <c r="D1932" s="28"/>
      <c r="E1932" s="28"/>
      <c r="F1932" s="28"/>
      <c r="G1932" s="28"/>
      <c r="H1932" s="28"/>
      <c r="I1932" s="30"/>
      <c r="J1932" s="30"/>
      <c r="K1932" s="53"/>
      <c r="L1932" s="29"/>
    </row>
    <row r="1933" spans="1:12" s="27" customFormat="1" ht="17.25" customHeight="1" x14ac:dyDescent="0.25">
      <c r="A1933" s="28"/>
      <c r="B1933" s="28"/>
      <c r="C1933" s="28"/>
      <c r="D1933" s="28"/>
      <c r="E1933" s="28"/>
      <c r="F1933" s="28"/>
      <c r="G1933" s="28"/>
      <c r="H1933" s="28"/>
      <c r="I1933" s="30"/>
      <c r="J1933" s="30"/>
      <c r="K1933" s="53"/>
      <c r="L1933" s="29"/>
    </row>
    <row r="1934" spans="1:12" s="27" customFormat="1" ht="17.25" customHeight="1" x14ac:dyDescent="0.25">
      <c r="A1934" s="28"/>
      <c r="B1934" s="28"/>
      <c r="C1934" s="28"/>
      <c r="D1934" s="28"/>
      <c r="E1934" s="28"/>
      <c r="F1934" s="28"/>
      <c r="G1934" s="28"/>
      <c r="H1934" s="28"/>
      <c r="I1934" s="30"/>
      <c r="J1934" s="30"/>
      <c r="K1934" s="53"/>
      <c r="L1934" s="29"/>
    </row>
    <row r="1935" spans="1:12" s="27" customFormat="1" ht="17.25" customHeight="1" x14ac:dyDescent="0.25">
      <c r="A1935" s="28"/>
      <c r="B1935" s="28"/>
      <c r="C1935" s="28"/>
      <c r="D1935" s="28"/>
      <c r="E1935" s="28"/>
      <c r="F1935" s="28"/>
      <c r="G1935" s="28"/>
      <c r="H1935" s="28"/>
      <c r="I1935" s="30"/>
      <c r="J1935" s="30"/>
      <c r="K1935" s="53"/>
      <c r="L1935" s="29"/>
    </row>
    <row r="1936" spans="1:12" s="27" customFormat="1" ht="17.25" customHeight="1" x14ac:dyDescent="0.25">
      <c r="A1936" s="28"/>
      <c r="B1936" s="28"/>
      <c r="C1936" s="28"/>
      <c r="D1936" s="28"/>
      <c r="E1936" s="28"/>
      <c r="F1936" s="28"/>
      <c r="G1936" s="28"/>
      <c r="H1936" s="28"/>
      <c r="I1936" s="30"/>
      <c r="J1936" s="30"/>
      <c r="K1936" s="53"/>
      <c r="L1936" s="29"/>
    </row>
    <row r="1937" spans="1:12" s="27" customFormat="1" ht="17.25" customHeight="1" x14ac:dyDescent="0.25">
      <c r="A1937" s="28"/>
      <c r="B1937" s="28"/>
      <c r="C1937" s="28"/>
      <c r="D1937" s="28"/>
      <c r="E1937" s="28"/>
      <c r="F1937" s="28"/>
      <c r="G1937" s="28"/>
      <c r="H1937" s="28"/>
      <c r="I1937" s="30"/>
      <c r="J1937" s="30"/>
      <c r="K1937" s="53"/>
      <c r="L1937" s="29"/>
    </row>
    <row r="1938" spans="1:12" s="27" customFormat="1" ht="17.25" customHeight="1" x14ac:dyDescent="0.25">
      <c r="A1938" s="28"/>
      <c r="B1938" s="28"/>
      <c r="C1938" s="28"/>
      <c r="D1938" s="28"/>
      <c r="E1938" s="28"/>
      <c r="F1938" s="28"/>
      <c r="G1938" s="28"/>
      <c r="H1938" s="28"/>
      <c r="I1938" s="30"/>
      <c r="J1938" s="30"/>
      <c r="K1938" s="53"/>
      <c r="L1938" s="29"/>
    </row>
    <row r="1939" spans="1:12" s="27" customFormat="1" ht="17.25" customHeight="1" x14ac:dyDescent="0.25">
      <c r="A1939" s="28"/>
      <c r="B1939" s="28"/>
      <c r="C1939" s="28"/>
      <c r="D1939" s="28"/>
      <c r="E1939" s="28"/>
      <c r="F1939" s="28"/>
      <c r="G1939" s="28"/>
      <c r="H1939" s="28"/>
      <c r="I1939" s="30"/>
      <c r="J1939" s="30"/>
      <c r="K1939" s="53"/>
      <c r="L1939" s="29"/>
    </row>
    <row r="1940" spans="1:12" s="27" customFormat="1" ht="17.25" customHeight="1" x14ac:dyDescent="0.25">
      <c r="A1940" s="28"/>
      <c r="B1940" s="28"/>
      <c r="C1940" s="28"/>
      <c r="D1940" s="28"/>
      <c r="E1940" s="28"/>
      <c r="F1940" s="28"/>
      <c r="G1940" s="28"/>
      <c r="H1940" s="28"/>
      <c r="I1940" s="30"/>
      <c r="J1940" s="30"/>
      <c r="K1940" s="53"/>
      <c r="L1940" s="29"/>
    </row>
    <row r="1941" spans="1:12" s="27" customFormat="1" ht="17.25" customHeight="1" x14ac:dyDescent="0.25">
      <c r="A1941" s="28"/>
      <c r="B1941" s="28"/>
      <c r="C1941" s="28"/>
      <c r="D1941" s="28"/>
      <c r="E1941" s="28"/>
      <c r="F1941" s="28"/>
      <c r="G1941" s="28"/>
      <c r="H1941" s="28"/>
      <c r="I1941" s="30"/>
      <c r="J1941" s="30"/>
      <c r="K1941" s="53"/>
      <c r="L1941" s="29"/>
    </row>
    <row r="1942" spans="1:12" s="27" customFormat="1" ht="17.25" customHeight="1" x14ac:dyDescent="0.25">
      <c r="A1942" s="28"/>
      <c r="B1942" s="28"/>
      <c r="C1942" s="28"/>
      <c r="D1942" s="28"/>
      <c r="E1942" s="28"/>
      <c r="F1942" s="28"/>
      <c r="G1942" s="28"/>
      <c r="H1942" s="28"/>
      <c r="I1942" s="30"/>
      <c r="J1942" s="30"/>
      <c r="K1942" s="53"/>
      <c r="L1942" s="29"/>
    </row>
    <row r="1943" spans="1:12" s="27" customFormat="1" ht="17.25" customHeight="1" x14ac:dyDescent="0.25">
      <c r="A1943" s="28"/>
      <c r="B1943" s="28"/>
      <c r="C1943" s="28"/>
      <c r="D1943" s="28"/>
      <c r="E1943" s="28"/>
      <c r="F1943" s="28"/>
      <c r="G1943" s="28"/>
      <c r="H1943" s="28"/>
      <c r="I1943" s="30"/>
      <c r="J1943" s="30"/>
      <c r="K1943" s="53"/>
      <c r="L1943" s="29"/>
    </row>
    <row r="1944" spans="1:12" s="27" customFormat="1" ht="17.25" customHeight="1" x14ac:dyDescent="0.25">
      <c r="A1944" s="28"/>
      <c r="B1944" s="28"/>
      <c r="C1944" s="28"/>
      <c r="D1944" s="28"/>
      <c r="E1944" s="28"/>
      <c r="F1944" s="28"/>
      <c r="G1944" s="28"/>
      <c r="H1944" s="28"/>
      <c r="I1944" s="30"/>
      <c r="J1944" s="30"/>
      <c r="K1944" s="53"/>
      <c r="L1944" s="29"/>
    </row>
    <row r="1945" spans="1:12" s="27" customFormat="1" ht="17.25" customHeight="1" x14ac:dyDescent="0.25">
      <c r="A1945" s="28"/>
      <c r="B1945" s="28"/>
      <c r="C1945" s="28"/>
      <c r="D1945" s="28"/>
      <c r="E1945" s="28"/>
      <c r="F1945" s="28"/>
      <c r="G1945" s="28"/>
      <c r="H1945" s="28"/>
      <c r="I1945" s="30"/>
      <c r="J1945" s="30"/>
      <c r="K1945" s="53"/>
      <c r="L1945" s="29"/>
    </row>
    <row r="1946" spans="1:12" s="27" customFormat="1" ht="17.25" customHeight="1" x14ac:dyDescent="0.25">
      <c r="A1946" s="28"/>
      <c r="B1946" s="28"/>
      <c r="C1946" s="28"/>
      <c r="D1946" s="28"/>
      <c r="E1946" s="28"/>
      <c r="F1946" s="28"/>
      <c r="G1946" s="28"/>
      <c r="H1946" s="28"/>
      <c r="I1946" s="30"/>
      <c r="J1946" s="30"/>
      <c r="K1946" s="53"/>
      <c r="L1946" s="29"/>
    </row>
    <row r="1947" spans="1:12" s="27" customFormat="1" ht="17.25" customHeight="1" x14ac:dyDescent="0.25">
      <c r="A1947" s="28"/>
      <c r="B1947" s="28"/>
      <c r="C1947" s="28"/>
      <c r="D1947" s="28"/>
      <c r="E1947" s="28"/>
      <c r="F1947" s="28"/>
      <c r="G1947" s="28"/>
      <c r="H1947" s="28"/>
      <c r="I1947" s="30"/>
      <c r="J1947" s="30"/>
      <c r="K1947" s="53"/>
      <c r="L1947" s="29"/>
    </row>
    <row r="1948" spans="1:12" s="27" customFormat="1" ht="17.25" customHeight="1" x14ac:dyDescent="0.25">
      <c r="A1948" s="28"/>
      <c r="B1948" s="28"/>
      <c r="C1948" s="28"/>
      <c r="D1948" s="28"/>
      <c r="E1948" s="28"/>
      <c r="F1948" s="28"/>
      <c r="G1948" s="28"/>
      <c r="H1948" s="28"/>
      <c r="I1948" s="30"/>
      <c r="J1948" s="30"/>
      <c r="K1948" s="53"/>
      <c r="L1948" s="29"/>
    </row>
    <row r="1949" spans="1:12" s="27" customFormat="1" ht="17.25" customHeight="1" x14ac:dyDescent="0.25">
      <c r="A1949" s="28"/>
      <c r="B1949" s="28"/>
      <c r="C1949" s="28"/>
      <c r="D1949" s="28"/>
      <c r="E1949" s="28"/>
      <c r="F1949" s="28"/>
      <c r="G1949" s="28"/>
      <c r="H1949" s="28"/>
      <c r="I1949" s="30"/>
      <c r="J1949" s="30"/>
      <c r="K1949" s="53"/>
      <c r="L1949" s="29"/>
    </row>
    <row r="1950" spans="1:12" s="27" customFormat="1" ht="17.25" customHeight="1" x14ac:dyDescent="0.25">
      <c r="A1950" s="28"/>
      <c r="B1950" s="28"/>
      <c r="C1950" s="28"/>
      <c r="D1950" s="28"/>
      <c r="E1950" s="28"/>
      <c r="F1950" s="28"/>
      <c r="G1950" s="28"/>
      <c r="H1950" s="28"/>
      <c r="I1950" s="30"/>
      <c r="J1950" s="30"/>
      <c r="K1950" s="53"/>
      <c r="L1950" s="29"/>
    </row>
    <row r="1951" spans="1:12" s="27" customFormat="1" ht="17.25" customHeight="1" x14ac:dyDescent="0.25">
      <c r="A1951" s="28"/>
      <c r="B1951" s="28"/>
      <c r="C1951" s="28"/>
      <c r="D1951" s="28"/>
      <c r="E1951" s="28"/>
      <c r="F1951" s="28"/>
      <c r="G1951" s="28"/>
      <c r="H1951" s="28"/>
      <c r="I1951" s="30"/>
      <c r="J1951" s="30"/>
      <c r="K1951" s="53"/>
      <c r="L1951" s="29"/>
    </row>
    <row r="1952" spans="1:12" s="27" customFormat="1" ht="17.25" customHeight="1" x14ac:dyDescent="0.25">
      <c r="A1952" s="28"/>
      <c r="B1952" s="28"/>
      <c r="C1952" s="28"/>
      <c r="D1952" s="28"/>
      <c r="E1952" s="28"/>
      <c r="F1952" s="28"/>
      <c r="G1952" s="28"/>
      <c r="H1952" s="28"/>
      <c r="I1952" s="30"/>
      <c r="J1952" s="30"/>
      <c r="K1952" s="53"/>
      <c r="L1952" s="29"/>
    </row>
    <row r="1953" spans="1:12" s="27" customFormat="1" ht="17.25" customHeight="1" x14ac:dyDescent="0.25">
      <c r="A1953" s="28"/>
      <c r="B1953" s="28"/>
      <c r="C1953" s="28"/>
      <c r="D1953" s="28"/>
      <c r="E1953" s="28"/>
      <c r="F1953" s="28"/>
      <c r="G1953" s="28"/>
      <c r="H1953" s="28"/>
      <c r="I1953" s="30"/>
      <c r="J1953" s="30"/>
      <c r="K1953" s="53"/>
      <c r="L1953" s="29"/>
    </row>
    <row r="1954" spans="1:12" s="27" customFormat="1" ht="17.25" customHeight="1" x14ac:dyDescent="0.25">
      <c r="A1954" s="28"/>
      <c r="B1954" s="28"/>
      <c r="C1954" s="28"/>
      <c r="D1954" s="28"/>
      <c r="E1954" s="28"/>
      <c r="F1954" s="28"/>
      <c r="G1954" s="28"/>
      <c r="H1954" s="28"/>
      <c r="I1954" s="30"/>
      <c r="J1954" s="30"/>
      <c r="K1954" s="53"/>
      <c r="L1954" s="29"/>
    </row>
    <row r="1955" spans="1:12" s="27" customFormat="1" ht="17.25" customHeight="1" x14ac:dyDescent="0.25">
      <c r="A1955" s="28"/>
      <c r="B1955" s="28"/>
      <c r="C1955" s="28"/>
      <c r="D1955" s="28"/>
      <c r="E1955" s="28"/>
      <c r="F1955" s="28"/>
      <c r="G1955" s="28"/>
      <c r="H1955" s="28"/>
      <c r="I1955" s="30"/>
      <c r="J1955" s="30"/>
      <c r="K1955" s="53"/>
      <c r="L1955" s="29"/>
    </row>
    <row r="1956" spans="1:12" s="27" customFormat="1" ht="17.25" customHeight="1" x14ac:dyDescent="0.25">
      <c r="A1956" s="28"/>
      <c r="B1956" s="28"/>
      <c r="C1956" s="28"/>
      <c r="D1956" s="28"/>
      <c r="E1956" s="28"/>
      <c r="F1956" s="28"/>
      <c r="G1956" s="28"/>
      <c r="H1956" s="28"/>
      <c r="I1956" s="30"/>
      <c r="J1956" s="30"/>
      <c r="K1956" s="53"/>
      <c r="L1956" s="29"/>
    </row>
    <row r="1957" spans="1:12" s="27" customFormat="1" ht="17.25" customHeight="1" x14ac:dyDescent="0.25">
      <c r="A1957" s="28"/>
      <c r="B1957" s="28"/>
      <c r="C1957" s="28"/>
      <c r="D1957" s="28"/>
      <c r="E1957" s="28"/>
      <c r="F1957" s="28"/>
      <c r="G1957" s="28"/>
      <c r="H1957" s="28"/>
      <c r="I1957" s="30"/>
      <c r="J1957" s="30"/>
      <c r="K1957" s="53"/>
      <c r="L1957" s="29"/>
    </row>
    <row r="1958" spans="1:12" s="27" customFormat="1" ht="17.25" customHeight="1" x14ac:dyDescent="0.25">
      <c r="A1958" s="28"/>
      <c r="B1958" s="28"/>
      <c r="C1958" s="28"/>
      <c r="D1958" s="28"/>
      <c r="E1958" s="28"/>
      <c r="F1958" s="28"/>
      <c r="G1958" s="28"/>
      <c r="H1958" s="28"/>
      <c r="I1958" s="30"/>
      <c r="J1958" s="30"/>
      <c r="K1958" s="53"/>
      <c r="L1958" s="29"/>
    </row>
    <row r="1959" spans="1:12" s="27" customFormat="1" ht="17.25" customHeight="1" x14ac:dyDescent="0.25">
      <c r="A1959" s="28"/>
      <c r="B1959" s="28"/>
      <c r="C1959" s="28"/>
      <c r="D1959" s="28"/>
      <c r="E1959" s="28"/>
      <c r="F1959" s="28"/>
      <c r="G1959" s="28"/>
      <c r="H1959" s="28"/>
      <c r="I1959" s="30"/>
      <c r="J1959" s="30"/>
      <c r="K1959" s="53"/>
      <c r="L1959" s="29"/>
    </row>
    <row r="1960" spans="1:12" s="27" customFormat="1" ht="17.25" customHeight="1" x14ac:dyDescent="0.25">
      <c r="A1960" s="28"/>
      <c r="B1960" s="28"/>
      <c r="C1960" s="28"/>
      <c r="D1960" s="28"/>
      <c r="E1960" s="28"/>
      <c r="F1960" s="28"/>
      <c r="G1960" s="28"/>
      <c r="H1960" s="28"/>
      <c r="I1960" s="30"/>
      <c r="J1960" s="30"/>
      <c r="K1960" s="53"/>
      <c r="L1960" s="29"/>
    </row>
    <row r="1961" spans="1:12" s="27" customFormat="1" ht="17.25" customHeight="1" x14ac:dyDescent="0.25">
      <c r="A1961" s="28"/>
      <c r="B1961" s="28"/>
      <c r="C1961" s="28"/>
      <c r="D1961" s="28"/>
      <c r="E1961" s="28"/>
      <c r="F1961" s="28"/>
      <c r="G1961" s="28"/>
      <c r="H1961" s="28"/>
      <c r="I1961" s="30"/>
      <c r="J1961" s="30"/>
      <c r="K1961" s="53"/>
      <c r="L1961" s="29"/>
    </row>
    <row r="1962" spans="1:12" s="27" customFormat="1" ht="17.25" customHeight="1" x14ac:dyDescent="0.25">
      <c r="A1962" s="28"/>
      <c r="B1962" s="28"/>
      <c r="C1962" s="28"/>
      <c r="D1962" s="28"/>
      <c r="E1962" s="28"/>
      <c r="F1962" s="28"/>
      <c r="G1962" s="28"/>
      <c r="H1962" s="28"/>
      <c r="I1962" s="30"/>
      <c r="J1962" s="30"/>
      <c r="K1962" s="53"/>
      <c r="L1962" s="29"/>
    </row>
    <row r="1963" spans="1:12" s="27" customFormat="1" ht="17.25" customHeight="1" x14ac:dyDescent="0.25">
      <c r="A1963" s="28"/>
      <c r="B1963" s="28"/>
      <c r="C1963" s="28"/>
      <c r="D1963" s="28"/>
      <c r="E1963" s="28"/>
      <c r="F1963" s="28"/>
      <c r="G1963" s="28"/>
      <c r="H1963" s="28"/>
      <c r="I1963" s="30"/>
      <c r="J1963" s="30"/>
      <c r="K1963" s="53"/>
      <c r="L1963" s="29"/>
    </row>
    <row r="1964" spans="1:12" s="27" customFormat="1" ht="17.25" customHeight="1" x14ac:dyDescent="0.25">
      <c r="A1964" s="28"/>
      <c r="B1964" s="28"/>
      <c r="C1964" s="28"/>
      <c r="D1964" s="28"/>
      <c r="E1964" s="28"/>
      <c r="F1964" s="28"/>
      <c r="G1964" s="28"/>
      <c r="H1964" s="28"/>
      <c r="I1964" s="30"/>
      <c r="J1964" s="30"/>
      <c r="K1964" s="53"/>
      <c r="L1964" s="29"/>
    </row>
    <row r="1965" spans="1:12" s="27" customFormat="1" ht="17.25" customHeight="1" x14ac:dyDescent="0.25">
      <c r="A1965" s="28"/>
      <c r="B1965" s="28"/>
      <c r="C1965" s="28"/>
      <c r="D1965" s="28"/>
      <c r="E1965" s="28"/>
      <c r="F1965" s="28"/>
      <c r="G1965" s="28"/>
      <c r="H1965" s="28"/>
      <c r="I1965" s="30"/>
      <c r="J1965" s="30"/>
      <c r="K1965" s="53"/>
      <c r="L1965" s="29"/>
    </row>
    <row r="1966" spans="1:12" s="27" customFormat="1" ht="17.25" customHeight="1" x14ac:dyDescent="0.25">
      <c r="A1966" s="28"/>
      <c r="B1966" s="28"/>
      <c r="C1966" s="28"/>
      <c r="D1966" s="28"/>
      <c r="E1966" s="28"/>
      <c r="F1966" s="28"/>
      <c r="G1966" s="28"/>
      <c r="H1966" s="28"/>
      <c r="I1966" s="30"/>
      <c r="J1966" s="30"/>
      <c r="K1966" s="53"/>
      <c r="L1966" s="29"/>
    </row>
    <row r="1967" spans="1:12" s="27" customFormat="1" ht="17.25" customHeight="1" x14ac:dyDescent="0.25">
      <c r="A1967" s="28"/>
      <c r="B1967" s="28"/>
      <c r="C1967" s="28"/>
      <c r="D1967" s="28"/>
      <c r="E1967" s="28"/>
      <c r="F1967" s="28"/>
      <c r="G1967" s="28"/>
      <c r="H1967" s="28"/>
      <c r="I1967" s="30"/>
      <c r="J1967" s="30"/>
      <c r="K1967" s="53"/>
      <c r="L1967" s="29"/>
    </row>
    <row r="1968" spans="1:12" s="27" customFormat="1" ht="17.25" customHeight="1" x14ac:dyDescent="0.25">
      <c r="A1968" s="28"/>
      <c r="B1968" s="28"/>
      <c r="C1968" s="28"/>
      <c r="D1968" s="28"/>
      <c r="E1968" s="28"/>
      <c r="F1968" s="28"/>
      <c r="G1968" s="28"/>
      <c r="H1968" s="28"/>
      <c r="I1968" s="30"/>
      <c r="J1968" s="30"/>
      <c r="K1968" s="53"/>
      <c r="L1968" s="29"/>
    </row>
    <row r="1969" spans="1:12" s="27" customFormat="1" ht="17.25" customHeight="1" x14ac:dyDescent="0.25">
      <c r="A1969" s="28"/>
      <c r="B1969" s="28"/>
      <c r="C1969" s="28"/>
      <c r="D1969" s="28"/>
      <c r="E1969" s="28"/>
      <c r="F1969" s="28"/>
      <c r="G1969" s="28"/>
      <c r="H1969" s="28"/>
      <c r="I1969" s="30"/>
      <c r="J1969" s="30"/>
      <c r="K1969" s="53"/>
      <c r="L1969" s="29"/>
    </row>
    <row r="1970" spans="1:12" s="27" customFormat="1" ht="17.25" customHeight="1" x14ac:dyDescent="0.25">
      <c r="A1970" s="28"/>
      <c r="B1970" s="28"/>
      <c r="C1970" s="28"/>
      <c r="D1970" s="28"/>
      <c r="E1970" s="28"/>
      <c r="F1970" s="28"/>
      <c r="G1970" s="28"/>
      <c r="H1970" s="28"/>
      <c r="I1970" s="30"/>
      <c r="J1970" s="30"/>
      <c r="K1970" s="53"/>
      <c r="L1970" s="29"/>
    </row>
    <row r="1971" spans="1:12" s="27" customFormat="1" ht="17.25" customHeight="1" x14ac:dyDescent="0.25">
      <c r="A1971" s="28"/>
      <c r="B1971" s="28"/>
      <c r="C1971" s="28"/>
      <c r="D1971" s="28"/>
      <c r="E1971" s="28"/>
      <c r="F1971" s="28"/>
      <c r="G1971" s="28"/>
      <c r="H1971" s="28"/>
      <c r="I1971" s="30"/>
      <c r="J1971" s="30"/>
      <c r="K1971" s="53"/>
      <c r="L1971" s="29"/>
    </row>
    <row r="1972" spans="1:12" s="27" customFormat="1" ht="17.25" customHeight="1" x14ac:dyDescent="0.25">
      <c r="A1972" s="28"/>
      <c r="B1972" s="28"/>
      <c r="C1972" s="28"/>
      <c r="D1972" s="28"/>
      <c r="E1972" s="28"/>
      <c r="F1972" s="28"/>
      <c r="G1972" s="28"/>
      <c r="H1972" s="28"/>
      <c r="I1972" s="30"/>
      <c r="J1972" s="30"/>
      <c r="K1972" s="53"/>
      <c r="L1972" s="29"/>
    </row>
    <row r="1973" spans="1:12" s="27" customFormat="1" ht="17.25" customHeight="1" x14ac:dyDescent="0.25">
      <c r="A1973" s="28"/>
      <c r="B1973" s="28"/>
      <c r="C1973" s="28"/>
      <c r="D1973" s="28"/>
      <c r="E1973" s="28"/>
      <c r="F1973" s="28"/>
      <c r="G1973" s="28"/>
      <c r="H1973" s="28"/>
      <c r="I1973" s="30"/>
      <c r="J1973" s="30"/>
      <c r="K1973" s="53"/>
      <c r="L1973" s="29"/>
    </row>
    <row r="1974" spans="1:12" s="27" customFormat="1" ht="17.25" customHeight="1" x14ac:dyDescent="0.25">
      <c r="A1974" s="28"/>
      <c r="B1974" s="28"/>
      <c r="C1974" s="28"/>
      <c r="D1974" s="28"/>
      <c r="E1974" s="28"/>
      <c r="F1974" s="28"/>
      <c r="G1974" s="28"/>
      <c r="H1974" s="28"/>
      <c r="I1974" s="30"/>
      <c r="J1974" s="30"/>
      <c r="K1974" s="53"/>
      <c r="L1974" s="29"/>
    </row>
    <row r="1975" spans="1:12" s="27" customFormat="1" ht="17.25" customHeight="1" x14ac:dyDescent="0.25">
      <c r="A1975" s="28"/>
      <c r="B1975" s="28"/>
      <c r="C1975" s="28"/>
      <c r="D1975" s="28"/>
      <c r="E1975" s="28"/>
      <c r="F1975" s="28"/>
      <c r="G1975" s="28"/>
      <c r="H1975" s="28"/>
      <c r="I1975" s="30"/>
      <c r="J1975" s="30"/>
      <c r="K1975" s="53"/>
      <c r="L1975" s="29"/>
    </row>
    <row r="1976" spans="1:12" s="27" customFormat="1" ht="17.25" customHeight="1" x14ac:dyDescent="0.25">
      <c r="A1976" s="28"/>
      <c r="B1976" s="28"/>
      <c r="C1976" s="28"/>
      <c r="D1976" s="28"/>
      <c r="E1976" s="28"/>
      <c r="F1976" s="28"/>
      <c r="G1976" s="28"/>
      <c r="H1976" s="28"/>
      <c r="I1976" s="30"/>
      <c r="J1976" s="30"/>
      <c r="K1976" s="53"/>
      <c r="L1976" s="29"/>
    </row>
    <row r="1977" spans="1:12" s="27" customFormat="1" ht="17.25" customHeight="1" x14ac:dyDescent="0.25">
      <c r="A1977" s="28"/>
      <c r="B1977" s="28"/>
      <c r="C1977" s="28"/>
      <c r="D1977" s="28"/>
      <c r="E1977" s="28"/>
      <c r="F1977" s="28"/>
      <c r="G1977" s="28"/>
      <c r="H1977" s="28"/>
      <c r="I1977" s="30"/>
      <c r="J1977" s="30"/>
      <c r="K1977" s="53"/>
      <c r="L1977" s="29"/>
    </row>
    <row r="1978" spans="1:12" s="27" customFormat="1" ht="17.25" customHeight="1" x14ac:dyDescent="0.25">
      <c r="A1978" s="28"/>
      <c r="B1978" s="28"/>
      <c r="C1978" s="28"/>
      <c r="D1978" s="28"/>
      <c r="E1978" s="28"/>
      <c r="F1978" s="28"/>
      <c r="G1978" s="28"/>
      <c r="H1978" s="28"/>
      <c r="I1978" s="30"/>
      <c r="J1978" s="30"/>
      <c r="K1978" s="53"/>
      <c r="L1978" s="29"/>
    </row>
    <row r="1979" spans="1:12" s="27" customFormat="1" ht="17.25" customHeight="1" x14ac:dyDescent="0.25">
      <c r="A1979" s="28"/>
      <c r="B1979" s="28"/>
      <c r="C1979" s="28"/>
      <c r="D1979" s="28"/>
      <c r="E1979" s="28"/>
      <c r="F1979" s="28"/>
      <c r="G1979" s="28"/>
      <c r="H1979" s="28"/>
      <c r="I1979" s="30"/>
      <c r="J1979" s="30"/>
      <c r="K1979" s="53"/>
      <c r="L1979" s="29"/>
    </row>
    <row r="1980" spans="1:12" s="27" customFormat="1" ht="17.25" customHeight="1" x14ac:dyDescent="0.25">
      <c r="A1980" s="28"/>
      <c r="B1980" s="28"/>
      <c r="C1980" s="28"/>
      <c r="D1980" s="28"/>
      <c r="E1980" s="28"/>
      <c r="F1980" s="28"/>
      <c r="G1980" s="28"/>
      <c r="H1980" s="28"/>
      <c r="I1980" s="30"/>
      <c r="J1980" s="30"/>
      <c r="K1980" s="53"/>
      <c r="L1980" s="29"/>
    </row>
    <row r="1981" spans="1:12" s="27" customFormat="1" ht="17.25" customHeight="1" x14ac:dyDescent="0.25">
      <c r="A1981" s="28"/>
      <c r="B1981" s="28"/>
      <c r="C1981" s="28"/>
      <c r="D1981" s="28"/>
      <c r="E1981" s="28"/>
      <c r="F1981" s="28"/>
      <c r="G1981" s="28"/>
      <c r="H1981" s="28"/>
      <c r="I1981" s="30"/>
      <c r="J1981" s="30"/>
      <c r="K1981" s="53"/>
      <c r="L1981" s="29"/>
    </row>
    <row r="1982" spans="1:12" s="27" customFormat="1" ht="17.25" customHeight="1" x14ac:dyDescent="0.25">
      <c r="A1982" s="28"/>
      <c r="B1982" s="28"/>
      <c r="C1982" s="28"/>
      <c r="D1982" s="28"/>
      <c r="E1982" s="28"/>
      <c r="F1982" s="28"/>
      <c r="G1982" s="28"/>
      <c r="H1982" s="28"/>
      <c r="I1982" s="30"/>
      <c r="J1982" s="30"/>
      <c r="K1982" s="53"/>
      <c r="L1982" s="29"/>
    </row>
    <row r="1983" spans="1:12" s="27" customFormat="1" ht="17.25" customHeight="1" x14ac:dyDescent="0.25">
      <c r="A1983" s="28"/>
      <c r="B1983" s="28"/>
      <c r="C1983" s="28"/>
      <c r="D1983" s="28"/>
      <c r="E1983" s="28"/>
      <c r="F1983" s="28"/>
      <c r="G1983" s="28"/>
      <c r="H1983" s="28"/>
      <c r="I1983" s="30"/>
      <c r="J1983" s="30"/>
      <c r="K1983" s="53"/>
      <c r="L1983" s="29"/>
    </row>
    <row r="1984" spans="1:12" s="27" customFormat="1" ht="17.25" customHeight="1" x14ac:dyDescent="0.25">
      <c r="A1984" s="28"/>
      <c r="B1984" s="28"/>
      <c r="C1984" s="28"/>
      <c r="D1984" s="28"/>
      <c r="E1984" s="28"/>
      <c r="F1984" s="28"/>
      <c r="G1984" s="28"/>
      <c r="H1984" s="28"/>
      <c r="I1984" s="30"/>
      <c r="J1984" s="30"/>
      <c r="K1984" s="53"/>
      <c r="L1984" s="29"/>
    </row>
    <row r="1985" spans="1:12" s="27" customFormat="1" ht="17.25" customHeight="1" x14ac:dyDescent="0.25">
      <c r="A1985" s="28"/>
      <c r="B1985" s="28"/>
      <c r="C1985" s="28"/>
      <c r="D1985" s="28"/>
      <c r="E1985" s="28"/>
      <c r="F1985" s="28"/>
      <c r="G1985" s="28"/>
      <c r="H1985" s="28"/>
      <c r="I1985" s="30"/>
      <c r="J1985" s="30"/>
      <c r="K1985" s="53"/>
      <c r="L1985" s="29"/>
    </row>
    <row r="1986" spans="1:12" s="27" customFormat="1" ht="17.25" customHeight="1" x14ac:dyDescent="0.25">
      <c r="A1986" s="28"/>
      <c r="B1986" s="28"/>
      <c r="C1986" s="28"/>
      <c r="D1986" s="28"/>
      <c r="E1986" s="28"/>
      <c r="F1986" s="28"/>
      <c r="G1986" s="28"/>
      <c r="H1986" s="28"/>
      <c r="I1986" s="30"/>
      <c r="J1986" s="30"/>
      <c r="K1986" s="53"/>
      <c r="L1986" s="29"/>
    </row>
    <row r="1987" spans="1:12" s="27" customFormat="1" ht="17.25" customHeight="1" x14ac:dyDescent="0.25">
      <c r="A1987" s="28"/>
      <c r="B1987" s="28"/>
      <c r="C1987" s="28"/>
      <c r="D1987" s="28"/>
      <c r="E1987" s="28"/>
      <c r="F1987" s="28"/>
      <c r="G1987" s="28"/>
      <c r="H1987" s="28"/>
      <c r="I1987" s="30"/>
      <c r="J1987" s="30"/>
      <c r="K1987" s="53"/>
      <c r="L1987" s="29"/>
    </row>
    <row r="1988" spans="1:12" s="27" customFormat="1" ht="17.25" customHeight="1" x14ac:dyDescent="0.25">
      <c r="A1988" s="28"/>
      <c r="B1988" s="28"/>
      <c r="C1988" s="28"/>
      <c r="D1988" s="28"/>
      <c r="E1988" s="28"/>
      <c r="F1988" s="28"/>
      <c r="G1988" s="28"/>
      <c r="H1988" s="28"/>
      <c r="I1988" s="30"/>
      <c r="J1988" s="30"/>
      <c r="K1988" s="53"/>
      <c r="L1988" s="29"/>
    </row>
    <row r="1989" spans="1:12" s="27" customFormat="1" ht="17.25" customHeight="1" x14ac:dyDescent="0.25">
      <c r="A1989" s="28"/>
      <c r="B1989" s="28"/>
      <c r="C1989" s="28"/>
      <c r="D1989" s="28"/>
      <c r="E1989" s="28"/>
      <c r="F1989" s="28"/>
      <c r="G1989" s="28"/>
      <c r="H1989" s="28"/>
      <c r="I1989" s="30"/>
      <c r="J1989" s="30"/>
      <c r="K1989" s="53"/>
      <c r="L1989" s="29"/>
    </row>
    <row r="1990" spans="1:12" s="27" customFormat="1" ht="17.25" customHeight="1" x14ac:dyDescent="0.25">
      <c r="A1990" s="28"/>
      <c r="B1990" s="28"/>
      <c r="C1990" s="28"/>
      <c r="D1990" s="28"/>
      <c r="E1990" s="28"/>
      <c r="F1990" s="28"/>
      <c r="G1990" s="28"/>
      <c r="H1990" s="28"/>
      <c r="I1990" s="30"/>
      <c r="J1990" s="30"/>
      <c r="K1990" s="53"/>
      <c r="L1990" s="29"/>
    </row>
    <row r="1991" spans="1:12" s="27" customFormat="1" ht="17.25" customHeight="1" x14ac:dyDescent="0.25">
      <c r="A1991" s="28"/>
      <c r="B1991" s="28"/>
      <c r="C1991" s="28"/>
      <c r="D1991" s="28"/>
      <c r="E1991" s="28"/>
      <c r="F1991" s="28"/>
      <c r="G1991" s="28"/>
      <c r="H1991" s="28"/>
      <c r="I1991" s="30"/>
      <c r="J1991" s="30"/>
      <c r="K1991" s="53"/>
      <c r="L1991" s="29"/>
    </row>
    <row r="1992" spans="1:12" s="27" customFormat="1" ht="17.25" customHeight="1" x14ac:dyDescent="0.25">
      <c r="A1992" s="28"/>
      <c r="B1992" s="28"/>
      <c r="C1992" s="28"/>
      <c r="D1992" s="28"/>
      <c r="E1992" s="28"/>
      <c r="F1992" s="28"/>
      <c r="G1992" s="28"/>
      <c r="H1992" s="28"/>
      <c r="I1992" s="30"/>
      <c r="J1992" s="30"/>
      <c r="K1992" s="53"/>
      <c r="L1992" s="29"/>
    </row>
    <row r="1993" spans="1:12" s="27" customFormat="1" ht="17.25" customHeight="1" x14ac:dyDescent="0.25">
      <c r="A1993" s="28"/>
      <c r="B1993" s="28"/>
      <c r="C1993" s="28"/>
      <c r="D1993" s="28"/>
      <c r="E1993" s="28"/>
      <c r="F1993" s="28"/>
      <c r="G1993" s="28"/>
      <c r="H1993" s="28"/>
      <c r="I1993" s="30"/>
      <c r="J1993" s="30"/>
      <c r="K1993" s="53"/>
      <c r="L1993" s="29"/>
    </row>
    <row r="1994" spans="1:12" s="27" customFormat="1" ht="17.25" customHeight="1" x14ac:dyDescent="0.25">
      <c r="A1994" s="28"/>
      <c r="B1994" s="28"/>
      <c r="C1994" s="28"/>
      <c r="D1994" s="28"/>
      <c r="E1994" s="28"/>
      <c r="F1994" s="28"/>
      <c r="G1994" s="28"/>
      <c r="H1994" s="28"/>
      <c r="I1994" s="30"/>
      <c r="J1994" s="30"/>
      <c r="K1994" s="53"/>
      <c r="L1994" s="29"/>
    </row>
    <row r="1995" spans="1:12" s="27" customFormat="1" ht="17.25" customHeight="1" x14ac:dyDescent="0.25">
      <c r="A1995" s="28"/>
      <c r="B1995" s="28"/>
      <c r="C1995" s="28"/>
      <c r="D1995" s="28"/>
      <c r="E1995" s="28"/>
      <c r="F1995" s="28"/>
      <c r="G1995" s="28"/>
      <c r="H1995" s="28"/>
      <c r="I1995" s="30"/>
      <c r="J1995" s="30"/>
      <c r="K1995" s="53"/>
      <c r="L1995" s="29"/>
    </row>
    <row r="1996" spans="1:12" s="27" customFormat="1" ht="17.25" customHeight="1" x14ac:dyDescent="0.25">
      <c r="A1996" s="28"/>
      <c r="B1996" s="28"/>
      <c r="C1996" s="28"/>
      <c r="D1996" s="28"/>
      <c r="E1996" s="28"/>
      <c r="F1996" s="28"/>
      <c r="G1996" s="28"/>
      <c r="H1996" s="28"/>
      <c r="I1996" s="30"/>
      <c r="J1996" s="30"/>
      <c r="K1996" s="53"/>
      <c r="L1996" s="29"/>
    </row>
    <row r="1997" spans="1:12" s="27" customFormat="1" ht="17.25" customHeight="1" x14ac:dyDescent="0.25">
      <c r="A1997" s="28"/>
      <c r="B1997" s="28"/>
      <c r="C1997" s="28"/>
      <c r="D1997" s="28"/>
      <c r="E1997" s="28"/>
      <c r="F1997" s="28"/>
      <c r="G1997" s="28"/>
      <c r="H1997" s="28"/>
      <c r="I1997" s="30"/>
      <c r="J1997" s="30"/>
      <c r="K1997" s="53"/>
      <c r="L1997" s="29"/>
    </row>
    <row r="1998" spans="1:12" s="27" customFormat="1" ht="17.25" customHeight="1" x14ac:dyDescent="0.25">
      <c r="A1998" s="28"/>
      <c r="B1998" s="28"/>
      <c r="C1998" s="28"/>
      <c r="D1998" s="28"/>
      <c r="E1998" s="28"/>
      <c r="F1998" s="28"/>
      <c r="G1998" s="28"/>
      <c r="H1998" s="28"/>
      <c r="I1998" s="30"/>
      <c r="J1998" s="30"/>
      <c r="K1998" s="53"/>
      <c r="L1998" s="29"/>
    </row>
    <row r="1999" spans="1:12" s="27" customFormat="1" ht="17.25" customHeight="1" x14ac:dyDescent="0.25">
      <c r="A1999" s="28"/>
      <c r="B1999" s="28"/>
      <c r="C1999" s="28"/>
      <c r="D1999" s="28"/>
      <c r="E1999" s="28"/>
      <c r="F1999" s="28"/>
      <c r="G1999" s="28"/>
      <c r="H1999" s="28"/>
      <c r="I1999" s="30"/>
      <c r="J1999" s="30"/>
      <c r="K1999" s="53"/>
      <c r="L1999" s="29"/>
    </row>
    <row r="2000" spans="1:12" s="27" customFormat="1" ht="17.25" customHeight="1" x14ac:dyDescent="0.25">
      <c r="A2000" s="28"/>
      <c r="B2000" s="28"/>
      <c r="C2000" s="28"/>
      <c r="D2000" s="28"/>
      <c r="E2000" s="28"/>
      <c r="F2000" s="28"/>
      <c r="G2000" s="28"/>
      <c r="H2000" s="28"/>
      <c r="I2000" s="30"/>
      <c r="J2000" s="30"/>
      <c r="K2000" s="53"/>
      <c r="L2000" s="29"/>
    </row>
    <row r="2001" spans="1:12" s="27" customFormat="1" ht="17.25" customHeight="1" x14ac:dyDescent="0.25">
      <c r="A2001" s="28"/>
      <c r="B2001" s="28"/>
      <c r="C2001" s="28"/>
      <c r="D2001" s="28"/>
      <c r="E2001" s="28"/>
      <c r="F2001" s="28"/>
      <c r="G2001" s="28"/>
      <c r="H2001" s="28"/>
      <c r="I2001" s="30"/>
      <c r="J2001" s="30"/>
      <c r="K2001" s="53"/>
      <c r="L2001" s="29"/>
    </row>
    <row r="2002" spans="1:12" s="27" customFormat="1" ht="17.25" customHeight="1" x14ac:dyDescent="0.25">
      <c r="A2002" s="28"/>
      <c r="B2002" s="28"/>
      <c r="C2002" s="28"/>
      <c r="D2002" s="28"/>
      <c r="E2002" s="28"/>
      <c r="F2002" s="28"/>
      <c r="G2002" s="28"/>
      <c r="H2002" s="28"/>
      <c r="I2002" s="30"/>
      <c r="J2002" s="30"/>
      <c r="K2002" s="53"/>
      <c r="L2002" s="29"/>
    </row>
    <row r="2003" spans="1:12" s="27" customFormat="1" ht="17.25" customHeight="1" x14ac:dyDescent="0.25">
      <c r="A2003" s="28"/>
      <c r="B2003" s="28"/>
      <c r="C2003" s="28"/>
      <c r="D2003" s="28"/>
      <c r="E2003" s="28"/>
      <c r="F2003" s="28"/>
      <c r="G2003" s="28"/>
      <c r="H2003" s="28"/>
      <c r="I2003" s="30"/>
      <c r="J2003" s="30"/>
      <c r="K2003" s="53"/>
      <c r="L2003" s="29"/>
    </row>
    <row r="2004" spans="1:12" s="27" customFormat="1" ht="17.25" customHeight="1" x14ac:dyDescent="0.25">
      <c r="A2004" s="28"/>
      <c r="B2004" s="28"/>
      <c r="C2004" s="28"/>
      <c r="D2004" s="28"/>
      <c r="E2004" s="28"/>
      <c r="F2004" s="28"/>
      <c r="G2004" s="28"/>
      <c r="H2004" s="28"/>
      <c r="I2004" s="30"/>
      <c r="J2004" s="30"/>
      <c r="K2004" s="53"/>
      <c r="L2004" s="29"/>
    </row>
    <row r="2005" spans="1:12" s="27" customFormat="1" ht="17.25" customHeight="1" x14ac:dyDescent="0.25">
      <c r="A2005" s="28"/>
      <c r="B2005" s="28"/>
      <c r="C2005" s="28"/>
      <c r="D2005" s="28"/>
      <c r="E2005" s="28"/>
      <c r="F2005" s="28"/>
      <c r="G2005" s="28"/>
      <c r="H2005" s="28"/>
      <c r="I2005" s="30"/>
      <c r="J2005" s="30"/>
      <c r="K2005" s="53"/>
      <c r="L2005" s="29"/>
    </row>
    <row r="2006" spans="1:12" s="27" customFormat="1" ht="17.25" customHeight="1" x14ac:dyDescent="0.25">
      <c r="A2006" s="28"/>
      <c r="B2006" s="28"/>
      <c r="C2006" s="28"/>
      <c r="D2006" s="28"/>
      <c r="E2006" s="28"/>
      <c r="F2006" s="28"/>
      <c r="G2006" s="28"/>
      <c r="H2006" s="28"/>
      <c r="I2006" s="30"/>
      <c r="J2006" s="30"/>
      <c r="K2006" s="53"/>
      <c r="L2006" s="29"/>
    </row>
    <row r="2007" spans="1:12" s="27" customFormat="1" ht="17.25" customHeight="1" x14ac:dyDescent="0.25">
      <c r="A2007" s="28"/>
      <c r="B2007" s="28"/>
      <c r="C2007" s="28"/>
      <c r="D2007" s="28"/>
      <c r="E2007" s="28"/>
      <c r="F2007" s="28"/>
      <c r="G2007" s="28"/>
      <c r="H2007" s="28"/>
      <c r="I2007" s="30"/>
      <c r="J2007" s="30"/>
      <c r="K2007" s="53"/>
      <c r="L2007" s="29"/>
    </row>
    <row r="2008" spans="1:12" s="27" customFormat="1" ht="17.25" customHeight="1" x14ac:dyDescent="0.25">
      <c r="A2008" s="28"/>
      <c r="B2008" s="28"/>
      <c r="C2008" s="28"/>
      <c r="D2008" s="28"/>
      <c r="E2008" s="28"/>
      <c r="F2008" s="28"/>
      <c r="G2008" s="28"/>
      <c r="H2008" s="28"/>
      <c r="I2008" s="30"/>
      <c r="J2008" s="30"/>
      <c r="K2008" s="53"/>
      <c r="L2008" s="29"/>
    </row>
    <row r="2009" spans="1:12" s="27" customFormat="1" ht="17.25" customHeight="1" x14ac:dyDescent="0.25">
      <c r="A2009" s="28"/>
      <c r="B2009" s="28"/>
      <c r="C2009" s="28"/>
      <c r="D2009" s="28"/>
      <c r="E2009" s="28"/>
      <c r="F2009" s="28"/>
      <c r="G2009" s="28"/>
      <c r="H2009" s="28"/>
      <c r="I2009" s="30"/>
      <c r="J2009" s="30"/>
      <c r="K2009" s="53"/>
      <c r="L2009" s="29"/>
    </row>
    <row r="2010" spans="1:12" s="27" customFormat="1" ht="17.25" customHeight="1" x14ac:dyDescent="0.25">
      <c r="A2010" s="28"/>
      <c r="B2010" s="28"/>
      <c r="C2010" s="28"/>
      <c r="D2010" s="28"/>
      <c r="E2010" s="28"/>
      <c r="F2010" s="28"/>
      <c r="G2010" s="28"/>
      <c r="H2010" s="28"/>
      <c r="I2010" s="30"/>
      <c r="J2010" s="30"/>
      <c r="K2010" s="53"/>
      <c r="L2010" s="29"/>
    </row>
    <row r="2011" spans="1:12" s="27" customFormat="1" ht="17.25" customHeight="1" x14ac:dyDescent="0.25">
      <c r="A2011" s="28"/>
      <c r="B2011" s="28"/>
      <c r="C2011" s="28"/>
      <c r="D2011" s="28"/>
      <c r="E2011" s="28"/>
      <c r="F2011" s="28"/>
      <c r="G2011" s="28"/>
      <c r="H2011" s="28"/>
      <c r="I2011" s="30"/>
      <c r="J2011" s="30"/>
      <c r="K2011" s="53"/>
      <c r="L2011" s="29"/>
    </row>
    <row r="2012" spans="1:12" s="27" customFormat="1" ht="17.25" customHeight="1" x14ac:dyDescent="0.25">
      <c r="A2012" s="28"/>
      <c r="B2012" s="28"/>
      <c r="C2012" s="28"/>
      <c r="D2012" s="28"/>
      <c r="E2012" s="28"/>
      <c r="F2012" s="28"/>
      <c r="G2012" s="28"/>
      <c r="H2012" s="28"/>
      <c r="I2012" s="30"/>
      <c r="J2012" s="30"/>
      <c r="K2012" s="53"/>
      <c r="L2012" s="29"/>
    </row>
    <row r="2013" spans="1:12" s="27" customFormat="1" ht="17.25" customHeight="1" x14ac:dyDescent="0.25">
      <c r="A2013" s="28"/>
      <c r="B2013" s="28"/>
      <c r="C2013" s="28"/>
      <c r="D2013" s="28"/>
      <c r="E2013" s="28"/>
      <c r="F2013" s="28"/>
      <c r="G2013" s="28"/>
      <c r="H2013" s="28"/>
      <c r="I2013" s="30"/>
      <c r="J2013" s="30"/>
      <c r="K2013" s="53"/>
      <c r="L2013" s="29"/>
    </row>
    <row r="2014" spans="1:12" s="27" customFormat="1" ht="17.25" customHeight="1" x14ac:dyDescent="0.25">
      <c r="A2014" s="28"/>
      <c r="B2014" s="28"/>
      <c r="C2014" s="28"/>
      <c r="D2014" s="28"/>
      <c r="E2014" s="28"/>
      <c r="F2014" s="28"/>
      <c r="G2014" s="28"/>
      <c r="H2014" s="28"/>
      <c r="I2014" s="30"/>
      <c r="J2014" s="30"/>
      <c r="K2014" s="53"/>
      <c r="L2014" s="29"/>
    </row>
    <row r="2015" spans="1:12" s="27" customFormat="1" ht="17.25" customHeight="1" x14ac:dyDescent="0.25">
      <c r="A2015" s="28"/>
      <c r="B2015" s="28"/>
      <c r="C2015" s="28"/>
      <c r="D2015" s="28"/>
      <c r="E2015" s="28"/>
      <c r="F2015" s="28"/>
      <c r="G2015" s="28"/>
      <c r="H2015" s="28"/>
      <c r="I2015" s="30"/>
      <c r="J2015" s="30"/>
      <c r="K2015" s="53"/>
      <c r="L2015" s="29"/>
    </row>
    <row r="2016" spans="1:12" s="27" customFormat="1" ht="17.25" customHeight="1" x14ac:dyDescent="0.25">
      <c r="A2016" s="28"/>
      <c r="B2016" s="28"/>
      <c r="C2016" s="28"/>
      <c r="D2016" s="28"/>
      <c r="E2016" s="28"/>
      <c r="F2016" s="28"/>
      <c r="G2016" s="28"/>
      <c r="H2016" s="28"/>
      <c r="I2016" s="30"/>
      <c r="J2016" s="30"/>
      <c r="K2016" s="53"/>
      <c r="L2016" s="29"/>
    </row>
    <row r="2017" spans="1:12" s="27" customFormat="1" ht="17.25" customHeight="1" x14ac:dyDescent="0.25">
      <c r="A2017" s="28"/>
      <c r="B2017" s="28"/>
      <c r="C2017" s="28"/>
      <c r="D2017" s="28"/>
      <c r="E2017" s="28"/>
      <c r="F2017" s="28"/>
      <c r="G2017" s="28"/>
      <c r="H2017" s="28"/>
      <c r="I2017" s="30"/>
      <c r="J2017" s="30"/>
      <c r="K2017" s="53"/>
      <c r="L2017" s="29"/>
    </row>
    <row r="2018" spans="1:12" s="27" customFormat="1" ht="17.25" customHeight="1" x14ac:dyDescent="0.25">
      <c r="A2018" s="28"/>
      <c r="B2018" s="28"/>
      <c r="C2018" s="28"/>
      <c r="D2018" s="28"/>
      <c r="E2018" s="28"/>
      <c r="F2018" s="28"/>
      <c r="G2018" s="28"/>
      <c r="H2018" s="28"/>
      <c r="I2018" s="30"/>
      <c r="J2018" s="30"/>
      <c r="K2018" s="53"/>
      <c r="L2018" s="29"/>
    </row>
    <row r="2019" spans="1:12" s="27" customFormat="1" ht="17.25" customHeight="1" x14ac:dyDescent="0.25">
      <c r="A2019" s="28"/>
      <c r="B2019" s="28"/>
      <c r="C2019" s="28"/>
      <c r="D2019" s="28"/>
      <c r="E2019" s="28"/>
      <c r="F2019" s="28"/>
      <c r="G2019" s="28"/>
      <c r="H2019" s="28"/>
      <c r="I2019" s="30"/>
      <c r="J2019" s="30"/>
      <c r="K2019" s="53"/>
      <c r="L2019" s="29"/>
    </row>
    <row r="2020" spans="1:12" s="27" customFormat="1" ht="17.25" customHeight="1" x14ac:dyDescent="0.25">
      <c r="A2020" s="28"/>
      <c r="B2020" s="28"/>
      <c r="C2020" s="28"/>
      <c r="D2020" s="28"/>
      <c r="E2020" s="28"/>
      <c r="F2020" s="28"/>
      <c r="G2020" s="28"/>
      <c r="H2020" s="28"/>
      <c r="I2020" s="30"/>
      <c r="J2020" s="30"/>
      <c r="K2020" s="53"/>
      <c r="L2020" s="29"/>
    </row>
    <row r="2021" spans="1:12" s="27" customFormat="1" ht="17.25" customHeight="1" x14ac:dyDescent="0.25">
      <c r="A2021" s="28"/>
      <c r="B2021" s="28"/>
      <c r="C2021" s="28"/>
      <c r="D2021" s="28"/>
      <c r="E2021" s="28"/>
      <c r="F2021" s="28"/>
      <c r="G2021" s="28"/>
      <c r="H2021" s="28"/>
      <c r="I2021" s="30"/>
      <c r="J2021" s="30"/>
      <c r="K2021" s="53"/>
      <c r="L2021" s="29"/>
    </row>
    <row r="2022" spans="1:12" s="27" customFormat="1" ht="17.25" customHeight="1" x14ac:dyDescent="0.25">
      <c r="A2022" s="28"/>
      <c r="B2022" s="28"/>
      <c r="C2022" s="28"/>
      <c r="D2022" s="28"/>
      <c r="E2022" s="28"/>
      <c r="F2022" s="28"/>
      <c r="G2022" s="28"/>
      <c r="H2022" s="28"/>
      <c r="I2022" s="30"/>
      <c r="J2022" s="30"/>
      <c r="K2022" s="53"/>
      <c r="L2022" s="29"/>
    </row>
    <row r="2023" spans="1:12" s="27" customFormat="1" ht="17.25" customHeight="1" x14ac:dyDescent="0.25">
      <c r="A2023" s="28"/>
      <c r="B2023" s="28"/>
      <c r="C2023" s="28"/>
      <c r="D2023" s="28"/>
      <c r="E2023" s="28"/>
      <c r="F2023" s="28"/>
      <c r="G2023" s="28"/>
      <c r="H2023" s="28"/>
      <c r="I2023" s="30"/>
      <c r="J2023" s="30"/>
      <c r="K2023" s="53"/>
      <c r="L2023" s="29"/>
    </row>
    <row r="2024" spans="1:12" s="27" customFormat="1" ht="17.25" customHeight="1" x14ac:dyDescent="0.25">
      <c r="A2024" s="28"/>
      <c r="B2024" s="28"/>
      <c r="C2024" s="28"/>
      <c r="D2024" s="28"/>
      <c r="E2024" s="28"/>
      <c r="F2024" s="28"/>
      <c r="G2024" s="28"/>
      <c r="H2024" s="28"/>
      <c r="I2024" s="30"/>
      <c r="J2024" s="30"/>
      <c r="K2024" s="53"/>
      <c r="L2024" s="29"/>
    </row>
    <row r="2025" spans="1:12" s="27" customFormat="1" ht="17.25" customHeight="1" x14ac:dyDescent="0.25">
      <c r="A2025" s="28"/>
      <c r="B2025" s="28"/>
      <c r="C2025" s="28"/>
      <c r="D2025" s="28"/>
      <c r="E2025" s="28"/>
      <c r="F2025" s="28"/>
      <c r="G2025" s="28"/>
      <c r="H2025" s="28"/>
      <c r="I2025" s="30"/>
      <c r="J2025" s="30"/>
      <c r="K2025" s="53"/>
      <c r="L2025" s="29"/>
    </row>
    <row r="2026" spans="1:12" s="27" customFormat="1" ht="17.25" customHeight="1" x14ac:dyDescent="0.25">
      <c r="A2026" s="28"/>
      <c r="B2026" s="28"/>
      <c r="C2026" s="28"/>
      <c r="D2026" s="28"/>
      <c r="E2026" s="28"/>
      <c r="F2026" s="28"/>
      <c r="G2026" s="28"/>
      <c r="H2026" s="28"/>
      <c r="I2026" s="30"/>
      <c r="J2026" s="30"/>
      <c r="K2026" s="53"/>
      <c r="L2026" s="29"/>
    </row>
    <row r="2027" spans="1:12" s="27" customFormat="1" ht="17.25" customHeight="1" x14ac:dyDescent="0.25">
      <c r="A2027" s="28"/>
      <c r="B2027" s="28"/>
      <c r="C2027" s="28"/>
      <c r="D2027" s="28"/>
      <c r="E2027" s="28"/>
      <c r="F2027" s="28"/>
      <c r="G2027" s="28"/>
      <c r="H2027" s="28"/>
      <c r="I2027" s="30"/>
      <c r="J2027" s="30"/>
      <c r="K2027" s="53"/>
      <c r="L2027" s="29"/>
    </row>
    <row r="2028" spans="1:12" s="27" customFormat="1" ht="17.25" customHeight="1" x14ac:dyDescent="0.25">
      <c r="A2028" s="28"/>
      <c r="B2028" s="28"/>
      <c r="C2028" s="28"/>
      <c r="D2028" s="28"/>
      <c r="E2028" s="28"/>
      <c r="F2028" s="28"/>
      <c r="G2028" s="28"/>
      <c r="H2028" s="28"/>
      <c r="I2028" s="30"/>
      <c r="J2028" s="30"/>
      <c r="K2028" s="53"/>
      <c r="L2028" s="29"/>
    </row>
    <row r="2029" spans="1:12" s="27" customFormat="1" ht="17.25" customHeight="1" x14ac:dyDescent="0.25">
      <c r="A2029" s="28"/>
      <c r="B2029" s="28"/>
      <c r="C2029" s="28"/>
      <c r="D2029" s="28"/>
      <c r="E2029" s="28"/>
      <c r="F2029" s="28"/>
      <c r="G2029" s="28"/>
      <c r="H2029" s="28"/>
      <c r="I2029" s="30"/>
      <c r="J2029" s="30"/>
      <c r="K2029" s="53"/>
      <c r="L2029" s="29"/>
    </row>
    <row r="2030" spans="1:12" s="27" customFormat="1" ht="17.25" customHeight="1" x14ac:dyDescent="0.25">
      <c r="A2030" s="28"/>
      <c r="B2030" s="28"/>
      <c r="C2030" s="28"/>
      <c r="D2030" s="28"/>
      <c r="E2030" s="28"/>
      <c r="F2030" s="28"/>
      <c r="G2030" s="28"/>
      <c r="H2030" s="28"/>
      <c r="I2030" s="30"/>
      <c r="J2030" s="30"/>
      <c r="K2030" s="53"/>
      <c r="L2030" s="29"/>
    </row>
    <row r="2031" spans="1:12" s="27" customFormat="1" ht="17.25" customHeight="1" x14ac:dyDescent="0.25">
      <c r="A2031" s="28"/>
      <c r="B2031" s="28"/>
      <c r="C2031" s="28"/>
      <c r="D2031" s="28"/>
      <c r="E2031" s="28"/>
      <c r="F2031" s="28"/>
      <c r="G2031" s="28"/>
      <c r="H2031" s="28"/>
      <c r="I2031" s="30"/>
      <c r="J2031" s="30"/>
      <c r="K2031" s="53"/>
      <c r="L2031" s="29"/>
    </row>
    <row r="2032" spans="1:12" s="27" customFormat="1" ht="17.25" customHeight="1" x14ac:dyDescent="0.25">
      <c r="A2032" s="28"/>
      <c r="B2032" s="28"/>
      <c r="C2032" s="28"/>
      <c r="D2032" s="28"/>
      <c r="E2032" s="28"/>
      <c r="F2032" s="28"/>
      <c r="G2032" s="28"/>
      <c r="H2032" s="28"/>
      <c r="I2032" s="30"/>
      <c r="J2032" s="30"/>
      <c r="K2032" s="53"/>
      <c r="L2032" s="29"/>
    </row>
    <row r="2033" spans="1:12" s="27" customFormat="1" ht="17.25" customHeight="1" x14ac:dyDescent="0.25">
      <c r="A2033" s="28"/>
      <c r="B2033" s="28"/>
      <c r="C2033" s="28"/>
      <c r="D2033" s="28"/>
      <c r="E2033" s="28"/>
      <c r="F2033" s="28"/>
      <c r="G2033" s="28"/>
      <c r="H2033" s="28"/>
      <c r="I2033" s="30"/>
      <c r="J2033" s="30"/>
      <c r="K2033" s="53"/>
      <c r="L2033" s="29"/>
    </row>
    <row r="2034" spans="1:12" s="27" customFormat="1" ht="17.25" customHeight="1" x14ac:dyDescent="0.25">
      <c r="A2034" s="28"/>
      <c r="B2034" s="28"/>
      <c r="C2034" s="28"/>
      <c r="D2034" s="28"/>
      <c r="E2034" s="28"/>
      <c r="F2034" s="28"/>
      <c r="G2034" s="28"/>
      <c r="H2034" s="28"/>
      <c r="I2034" s="30"/>
      <c r="J2034" s="30"/>
      <c r="K2034" s="53"/>
      <c r="L2034" s="29"/>
    </row>
    <row r="2035" spans="1:12" s="27" customFormat="1" ht="17.25" customHeight="1" x14ac:dyDescent="0.25">
      <c r="A2035" s="28"/>
      <c r="B2035" s="28"/>
      <c r="C2035" s="28"/>
      <c r="D2035" s="28"/>
      <c r="E2035" s="28"/>
      <c r="F2035" s="28"/>
      <c r="G2035" s="28"/>
      <c r="H2035" s="28"/>
      <c r="I2035" s="30"/>
      <c r="J2035" s="30"/>
      <c r="K2035" s="53"/>
      <c r="L2035" s="29"/>
    </row>
    <row r="2036" spans="1:12" s="27" customFormat="1" ht="17.25" customHeight="1" x14ac:dyDescent="0.25">
      <c r="A2036" s="28"/>
      <c r="B2036" s="28"/>
      <c r="C2036" s="28"/>
      <c r="D2036" s="28"/>
      <c r="E2036" s="28"/>
      <c r="F2036" s="28"/>
      <c r="G2036" s="28"/>
      <c r="H2036" s="28"/>
      <c r="I2036" s="30"/>
      <c r="J2036" s="30"/>
      <c r="K2036" s="53"/>
      <c r="L2036" s="29"/>
    </row>
    <row r="2037" spans="1:12" s="27" customFormat="1" ht="17.25" customHeight="1" x14ac:dyDescent="0.25">
      <c r="A2037" s="28"/>
      <c r="B2037" s="28"/>
      <c r="C2037" s="28"/>
      <c r="D2037" s="28"/>
      <c r="E2037" s="28"/>
      <c r="F2037" s="28"/>
      <c r="G2037" s="28"/>
      <c r="H2037" s="28"/>
      <c r="I2037" s="30"/>
      <c r="J2037" s="30"/>
      <c r="K2037" s="53"/>
      <c r="L2037" s="29"/>
    </row>
    <row r="2038" spans="1:12" s="27" customFormat="1" ht="17.25" customHeight="1" x14ac:dyDescent="0.25">
      <c r="A2038" s="28"/>
      <c r="B2038" s="28"/>
      <c r="C2038" s="28"/>
      <c r="D2038" s="28"/>
      <c r="E2038" s="28"/>
      <c r="F2038" s="28"/>
      <c r="G2038" s="28"/>
      <c r="H2038" s="28"/>
      <c r="I2038" s="30"/>
      <c r="J2038" s="30"/>
      <c r="K2038" s="53"/>
      <c r="L2038" s="29"/>
    </row>
    <row r="2039" spans="1:12" s="27" customFormat="1" ht="17.25" customHeight="1" x14ac:dyDescent="0.25">
      <c r="A2039" s="28"/>
      <c r="B2039" s="28"/>
      <c r="C2039" s="28"/>
      <c r="D2039" s="28"/>
      <c r="E2039" s="28"/>
      <c r="F2039" s="28"/>
      <c r="G2039" s="28"/>
      <c r="H2039" s="28"/>
      <c r="I2039" s="30"/>
      <c r="J2039" s="30"/>
      <c r="K2039" s="53"/>
      <c r="L2039" s="29"/>
    </row>
    <row r="2040" spans="1:12" s="27" customFormat="1" ht="17.25" customHeight="1" x14ac:dyDescent="0.25">
      <c r="A2040" s="28"/>
      <c r="B2040" s="28"/>
      <c r="C2040" s="28"/>
      <c r="D2040" s="28"/>
      <c r="E2040" s="28"/>
      <c r="F2040" s="28"/>
      <c r="G2040" s="28"/>
      <c r="H2040" s="28"/>
      <c r="I2040" s="30"/>
      <c r="J2040" s="30"/>
      <c r="K2040" s="53"/>
      <c r="L2040" s="29"/>
    </row>
    <row r="2041" spans="1:12" s="27" customFormat="1" ht="17.25" customHeight="1" x14ac:dyDescent="0.25">
      <c r="A2041" s="28"/>
      <c r="B2041" s="28"/>
      <c r="C2041" s="28"/>
      <c r="D2041" s="28"/>
      <c r="E2041" s="28"/>
      <c r="F2041" s="28"/>
      <c r="G2041" s="28"/>
      <c r="H2041" s="28"/>
      <c r="I2041" s="30"/>
      <c r="J2041" s="30"/>
      <c r="K2041" s="53"/>
      <c r="L2041" s="29"/>
    </row>
    <row r="2042" spans="1:12" s="27" customFormat="1" ht="17.25" customHeight="1" x14ac:dyDescent="0.25">
      <c r="A2042" s="28"/>
      <c r="B2042" s="28"/>
      <c r="C2042" s="28"/>
      <c r="D2042" s="28"/>
      <c r="E2042" s="28"/>
      <c r="F2042" s="28"/>
      <c r="G2042" s="28"/>
      <c r="H2042" s="28"/>
      <c r="I2042" s="30"/>
      <c r="J2042" s="30"/>
      <c r="K2042" s="53"/>
      <c r="L2042" s="29"/>
    </row>
    <row r="2043" spans="1:12" s="27" customFormat="1" ht="17.25" customHeight="1" x14ac:dyDescent="0.25">
      <c r="A2043" s="28"/>
      <c r="B2043" s="28"/>
      <c r="C2043" s="28"/>
      <c r="D2043" s="28"/>
      <c r="E2043" s="28"/>
      <c r="F2043" s="28"/>
      <c r="G2043" s="28"/>
      <c r="H2043" s="28"/>
      <c r="I2043" s="30"/>
      <c r="J2043" s="30"/>
      <c r="K2043" s="53"/>
      <c r="L2043" s="29"/>
    </row>
    <row r="2044" spans="1:12" s="27" customFormat="1" ht="17.25" customHeight="1" x14ac:dyDescent="0.25">
      <c r="A2044" s="28"/>
      <c r="B2044" s="28"/>
      <c r="C2044" s="28"/>
      <c r="D2044" s="28"/>
      <c r="E2044" s="28"/>
      <c r="F2044" s="28"/>
      <c r="G2044" s="28"/>
      <c r="H2044" s="28"/>
      <c r="I2044" s="30"/>
      <c r="J2044" s="30"/>
      <c r="K2044" s="53"/>
      <c r="L2044" s="29"/>
    </row>
    <row r="2045" spans="1:12" s="27" customFormat="1" ht="17.25" customHeight="1" x14ac:dyDescent="0.25">
      <c r="A2045" s="28"/>
      <c r="B2045" s="28"/>
      <c r="C2045" s="28"/>
      <c r="D2045" s="28"/>
      <c r="E2045" s="28"/>
      <c r="F2045" s="28"/>
      <c r="G2045" s="28"/>
      <c r="H2045" s="28"/>
      <c r="I2045" s="30"/>
      <c r="J2045" s="30"/>
      <c r="K2045" s="53"/>
      <c r="L2045" s="29"/>
    </row>
    <row r="2046" spans="1:12" s="27" customFormat="1" ht="17.25" customHeight="1" x14ac:dyDescent="0.25">
      <c r="A2046" s="28"/>
      <c r="B2046" s="28"/>
      <c r="C2046" s="28"/>
      <c r="D2046" s="28"/>
      <c r="E2046" s="28"/>
      <c r="F2046" s="28"/>
      <c r="G2046" s="28"/>
      <c r="H2046" s="28"/>
      <c r="I2046" s="30"/>
      <c r="J2046" s="30"/>
      <c r="K2046" s="53"/>
      <c r="L2046" s="29"/>
    </row>
    <row r="2047" spans="1:12" s="27" customFormat="1" ht="17.25" customHeight="1" x14ac:dyDescent="0.25">
      <c r="A2047" s="28"/>
      <c r="B2047" s="28"/>
      <c r="C2047" s="28"/>
      <c r="D2047" s="28"/>
      <c r="E2047" s="28"/>
      <c r="F2047" s="28"/>
      <c r="G2047" s="28"/>
      <c r="H2047" s="28"/>
      <c r="I2047" s="30"/>
      <c r="J2047" s="30"/>
      <c r="K2047" s="53"/>
      <c r="L2047" s="29"/>
    </row>
    <row r="2048" spans="1:12" s="27" customFormat="1" ht="17.25" customHeight="1" x14ac:dyDescent="0.25">
      <c r="A2048" s="28"/>
      <c r="B2048" s="28"/>
      <c r="C2048" s="28"/>
      <c r="D2048" s="28"/>
      <c r="E2048" s="28"/>
      <c r="F2048" s="28"/>
      <c r="G2048" s="28"/>
      <c r="H2048" s="28"/>
      <c r="I2048" s="30"/>
      <c r="J2048" s="30"/>
      <c r="K2048" s="53"/>
      <c r="L2048" s="29"/>
    </row>
    <row r="2049" spans="1:12" s="27" customFormat="1" ht="17.25" customHeight="1" x14ac:dyDescent="0.25">
      <c r="A2049" s="28"/>
      <c r="B2049" s="28"/>
      <c r="C2049" s="28"/>
      <c r="D2049" s="28"/>
      <c r="E2049" s="28"/>
      <c r="F2049" s="28"/>
      <c r="G2049" s="28"/>
      <c r="H2049" s="28"/>
      <c r="I2049" s="30"/>
      <c r="J2049" s="30"/>
      <c r="K2049" s="53"/>
      <c r="L2049" s="29"/>
    </row>
    <row r="2050" spans="1:12" s="27" customFormat="1" ht="17.25" customHeight="1" x14ac:dyDescent="0.25">
      <c r="A2050" s="28"/>
      <c r="B2050" s="28"/>
      <c r="C2050" s="28"/>
      <c r="D2050" s="28"/>
      <c r="E2050" s="28"/>
      <c r="F2050" s="28"/>
      <c r="G2050" s="28"/>
      <c r="H2050" s="28"/>
      <c r="I2050" s="30"/>
      <c r="J2050" s="30"/>
      <c r="K2050" s="53"/>
      <c r="L2050" s="29"/>
    </row>
    <row r="2051" spans="1:12" s="27" customFormat="1" ht="17.25" customHeight="1" x14ac:dyDescent="0.25">
      <c r="A2051" s="28"/>
      <c r="B2051" s="28"/>
      <c r="C2051" s="28"/>
      <c r="D2051" s="28"/>
      <c r="E2051" s="28"/>
      <c r="F2051" s="28"/>
      <c r="G2051" s="28"/>
      <c r="H2051" s="28"/>
      <c r="I2051" s="30"/>
      <c r="J2051" s="30"/>
      <c r="K2051" s="53"/>
      <c r="L2051" s="29"/>
    </row>
    <row r="2052" spans="1:12" s="27" customFormat="1" ht="17.25" customHeight="1" x14ac:dyDescent="0.25">
      <c r="A2052" s="28"/>
      <c r="B2052" s="28"/>
      <c r="C2052" s="28"/>
      <c r="D2052" s="28"/>
      <c r="E2052" s="28"/>
      <c r="F2052" s="28"/>
      <c r="G2052" s="28"/>
      <c r="H2052" s="28"/>
      <c r="I2052" s="30"/>
      <c r="J2052" s="30"/>
      <c r="K2052" s="53"/>
      <c r="L2052" s="29"/>
    </row>
    <row r="2053" spans="1:12" s="27" customFormat="1" ht="17.25" customHeight="1" x14ac:dyDescent="0.25">
      <c r="A2053" s="28"/>
      <c r="B2053" s="28"/>
      <c r="C2053" s="28"/>
      <c r="D2053" s="28"/>
      <c r="E2053" s="28"/>
      <c r="F2053" s="28"/>
      <c r="G2053" s="28"/>
      <c r="H2053" s="28"/>
      <c r="I2053" s="30"/>
      <c r="J2053" s="30"/>
      <c r="K2053" s="53"/>
      <c r="L2053" s="29"/>
    </row>
    <row r="2054" spans="1:12" s="27" customFormat="1" ht="17.25" customHeight="1" x14ac:dyDescent="0.25">
      <c r="A2054" s="28"/>
      <c r="B2054" s="28"/>
      <c r="C2054" s="28"/>
      <c r="D2054" s="28"/>
      <c r="E2054" s="28"/>
      <c r="F2054" s="28"/>
      <c r="G2054" s="28"/>
      <c r="H2054" s="28"/>
      <c r="I2054" s="30"/>
      <c r="J2054" s="30"/>
      <c r="K2054" s="53"/>
      <c r="L2054" s="29"/>
    </row>
    <row r="2055" spans="1:12" s="27" customFormat="1" ht="17.25" customHeight="1" x14ac:dyDescent="0.25">
      <c r="A2055" s="28"/>
      <c r="B2055" s="28"/>
      <c r="C2055" s="28"/>
      <c r="D2055" s="28"/>
      <c r="E2055" s="28"/>
      <c r="F2055" s="28"/>
      <c r="G2055" s="28"/>
      <c r="H2055" s="28"/>
      <c r="I2055" s="30"/>
      <c r="J2055" s="30"/>
      <c r="K2055" s="53"/>
      <c r="L2055" s="29"/>
    </row>
    <row r="2056" spans="1:12" s="27" customFormat="1" ht="17.25" customHeight="1" x14ac:dyDescent="0.25">
      <c r="A2056" s="28"/>
      <c r="B2056" s="28"/>
      <c r="C2056" s="28"/>
      <c r="D2056" s="28"/>
      <c r="E2056" s="28"/>
      <c r="F2056" s="28"/>
      <c r="G2056" s="28"/>
      <c r="H2056" s="28"/>
      <c r="I2056" s="30"/>
      <c r="J2056" s="30"/>
      <c r="K2056" s="53"/>
      <c r="L2056" s="29"/>
    </row>
    <row r="2057" spans="1:12" s="27" customFormat="1" ht="17.25" customHeight="1" x14ac:dyDescent="0.25">
      <c r="A2057" s="28"/>
      <c r="B2057" s="28"/>
      <c r="C2057" s="28"/>
      <c r="D2057" s="28"/>
      <c r="E2057" s="28"/>
      <c r="F2057" s="28"/>
      <c r="G2057" s="28"/>
      <c r="H2057" s="28"/>
      <c r="I2057" s="30"/>
      <c r="J2057" s="30"/>
      <c r="K2057" s="53"/>
      <c r="L2057" s="29"/>
    </row>
    <row r="2058" spans="1:12" s="27" customFormat="1" ht="17.25" customHeight="1" x14ac:dyDescent="0.25">
      <c r="A2058" s="28"/>
      <c r="B2058" s="28"/>
      <c r="C2058" s="28"/>
      <c r="D2058" s="28"/>
      <c r="E2058" s="28"/>
      <c r="F2058" s="28"/>
      <c r="G2058" s="28"/>
      <c r="H2058" s="28"/>
      <c r="I2058" s="30"/>
      <c r="J2058" s="30"/>
      <c r="K2058" s="53"/>
      <c r="L2058" s="29"/>
    </row>
    <row r="2059" spans="1:12" s="27" customFormat="1" ht="17.25" customHeight="1" x14ac:dyDescent="0.25">
      <c r="A2059" s="28"/>
      <c r="B2059" s="28"/>
      <c r="C2059" s="28"/>
      <c r="D2059" s="28"/>
      <c r="E2059" s="28"/>
      <c r="F2059" s="28"/>
      <c r="G2059" s="28"/>
      <c r="H2059" s="28"/>
      <c r="I2059" s="30"/>
      <c r="J2059" s="30"/>
      <c r="K2059" s="53"/>
      <c r="L2059" s="29"/>
    </row>
    <row r="2060" spans="1:12" s="27" customFormat="1" ht="17.25" customHeight="1" x14ac:dyDescent="0.25">
      <c r="A2060" s="28"/>
      <c r="B2060" s="28"/>
      <c r="C2060" s="28"/>
      <c r="D2060" s="28"/>
      <c r="E2060" s="28"/>
      <c r="F2060" s="28"/>
      <c r="G2060" s="28"/>
      <c r="H2060" s="28"/>
      <c r="I2060" s="30"/>
      <c r="J2060" s="30"/>
      <c r="K2060" s="53"/>
      <c r="L2060" s="29"/>
    </row>
    <row r="2061" spans="1:12" s="27" customFormat="1" ht="17.25" customHeight="1" x14ac:dyDescent="0.25">
      <c r="A2061" s="28"/>
      <c r="B2061" s="28"/>
      <c r="C2061" s="28"/>
      <c r="D2061" s="28"/>
      <c r="E2061" s="28"/>
      <c r="F2061" s="28"/>
      <c r="G2061" s="28"/>
      <c r="H2061" s="28"/>
      <c r="I2061" s="30"/>
      <c r="J2061" s="30"/>
      <c r="K2061" s="53"/>
      <c r="L2061" s="29"/>
    </row>
    <row r="2062" spans="1:12" s="27" customFormat="1" ht="17.25" customHeight="1" x14ac:dyDescent="0.25">
      <c r="A2062" s="28"/>
      <c r="B2062" s="28"/>
      <c r="C2062" s="28"/>
      <c r="D2062" s="28"/>
      <c r="E2062" s="28"/>
      <c r="F2062" s="28"/>
      <c r="G2062" s="28"/>
      <c r="H2062" s="28"/>
      <c r="I2062" s="30"/>
      <c r="J2062" s="30"/>
      <c r="K2062" s="53"/>
      <c r="L2062" s="29"/>
    </row>
    <row r="2063" spans="1:12" s="27" customFormat="1" ht="17.25" customHeight="1" x14ac:dyDescent="0.25">
      <c r="A2063" s="28"/>
      <c r="B2063" s="28"/>
      <c r="C2063" s="28"/>
      <c r="D2063" s="28"/>
      <c r="E2063" s="28"/>
      <c r="F2063" s="28"/>
      <c r="G2063" s="28"/>
      <c r="H2063" s="28"/>
      <c r="I2063" s="30"/>
      <c r="J2063" s="30"/>
      <c r="K2063" s="53"/>
      <c r="L2063" s="29"/>
    </row>
    <row r="2064" spans="1:12" s="27" customFormat="1" ht="17.25" customHeight="1" x14ac:dyDescent="0.25">
      <c r="A2064" s="28"/>
      <c r="B2064" s="28"/>
      <c r="C2064" s="28"/>
      <c r="D2064" s="28"/>
      <c r="E2064" s="28"/>
      <c r="F2064" s="28"/>
      <c r="G2064" s="28"/>
      <c r="H2064" s="28"/>
      <c r="I2064" s="30"/>
      <c r="J2064" s="30"/>
      <c r="K2064" s="53"/>
      <c r="L2064" s="29"/>
    </row>
    <row r="2065" spans="1:12" s="27" customFormat="1" ht="17.25" customHeight="1" x14ac:dyDescent="0.25">
      <c r="A2065" s="28"/>
      <c r="B2065" s="28"/>
      <c r="C2065" s="28"/>
      <c r="D2065" s="28"/>
      <c r="E2065" s="28"/>
      <c r="F2065" s="28"/>
      <c r="G2065" s="28"/>
      <c r="H2065" s="28"/>
      <c r="I2065" s="30"/>
      <c r="J2065" s="30"/>
      <c r="K2065" s="53"/>
      <c r="L2065" s="29"/>
    </row>
    <row r="2066" spans="1:12" s="27" customFormat="1" ht="17.25" customHeight="1" x14ac:dyDescent="0.25">
      <c r="A2066" s="28"/>
      <c r="B2066" s="28"/>
      <c r="C2066" s="28"/>
      <c r="D2066" s="28"/>
      <c r="E2066" s="28"/>
      <c r="F2066" s="28"/>
      <c r="G2066" s="28"/>
      <c r="H2066" s="28"/>
      <c r="I2066" s="30"/>
      <c r="J2066" s="30"/>
      <c r="K2066" s="53"/>
      <c r="L2066" s="29"/>
    </row>
    <row r="2067" spans="1:12" s="27" customFormat="1" ht="17.25" customHeight="1" x14ac:dyDescent="0.25">
      <c r="A2067" s="28"/>
      <c r="B2067" s="28"/>
      <c r="C2067" s="28"/>
      <c r="D2067" s="28"/>
      <c r="E2067" s="28"/>
      <c r="F2067" s="28"/>
      <c r="G2067" s="28"/>
      <c r="H2067" s="28"/>
      <c r="I2067" s="30"/>
      <c r="J2067" s="30"/>
      <c r="K2067" s="53"/>
      <c r="L2067" s="29"/>
    </row>
    <row r="2068" spans="1:12" s="27" customFormat="1" ht="17.25" customHeight="1" x14ac:dyDescent="0.25">
      <c r="A2068" s="28"/>
      <c r="B2068" s="28"/>
      <c r="C2068" s="28"/>
      <c r="D2068" s="28"/>
      <c r="E2068" s="28"/>
      <c r="F2068" s="28"/>
      <c r="G2068" s="28"/>
      <c r="H2068" s="28"/>
      <c r="I2068" s="30"/>
      <c r="J2068" s="30"/>
      <c r="K2068" s="53"/>
      <c r="L2068" s="29"/>
    </row>
    <row r="2069" spans="1:12" s="27" customFormat="1" ht="17.25" customHeight="1" x14ac:dyDescent="0.25">
      <c r="A2069" s="28"/>
      <c r="B2069" s="28"/>
      <c r="C2069" s="28"/>
      <c r="D2069" s="28"/>
      <c r="E2069" s="28"/>
      <c r="F2069" s="28"/>
      <c r="G2069" s="28"/>
      <c r="H2069" s="28"/>
      <c r="I2069" s="30"/>
      <c r="J2069" s="30"/>
      <c r="K2069" s="53"/>
      <c r="L2069" s="29"/>
    </row>
    <row r="2070" spans="1:12" s="27" customFormat="1" ht="17.25" customHeight="1" x14ac:dyDescent="0.25">
      <c r="A2070" s="28"/>
      <c r="B2070" s="28"/>
      <c r="C2070" s="28"/>
      <c r="D2070" s="28"/>
      <c r="E2070" s="28"/>
      <c r="F2070" s="28"/>
      <c r="G2070" s="28"/>
      <c r="H2070" s="28"/>
      <c r="I2070" s="30"/>
      <c r="J2070" s="30"/>
      <c r="K2070" s="53"/>
      <c r="L2070" s="29"/>
    </row>
    <row r="2071" spans="1:12" s="27" customFormat="1" ht="17.25" customHeight="1" x14ac:dyDescent="0.25">
      <c r="A2071" s="28"/>
      <c r="B2071" s="28"/>
      <c r="C2071" s="28"/>
      <c r="D2071" s="28"/>
      <c r="E2071" s="28"/>
      <c r="F2071" s="28"/>
      <c r="G2071" s="28"/>
      <c r="H2071" s="28"/>
      <c r="I2071" s="30"/>
      <c r="J2071" s="30"/>
      <c r="K2071" s="53"/>
      <c r="L2071" s="29"/>
    </row>
    <row r="2072" spans="1:12" s="27" customFormat="1" ht="17.25" customHeight="1" x14ac:dyDescent="0.25">
      <c r="A2072" s="28"/>
      <c r="B2072" s="28"/>
      <c r="C2072" s="28"/>
      <c r="D2072" s="28"/>
      <c r="E2072" s="28"/>
      <c r="F2072" s="28"/>
      <c r="G2072" s="28"/>
      <c r="H2072" s="28"/>
      <c r="I2072" s="30"/>
      <c r="J2072" s="30"/>
      <c r="K2072" s="53"/>
      <c r="L2072" s="29"/>
    </row>
    <row r="2073" spans="1:12" s="27" customFormat="1" ht="17.25" customHeight="1" x14ac:dyDescent="0.25">
      <c r="A2073" s="28"/>
      <c r="B2073" s="28"/>
      <c r="C2073" s="28"/>
      <c r="D2073" s="28"/>
      <c r="E2073" s="28"/>
      <c r="F2073" s="28"/>
      <c r="G2073" s="28"/>
      <c r="H2073" s="28"/>
      <c r="I2073" s="30"/>
      <c r="J2073" s="30"/>
      <c r="K2073" s="53"/>
      <c r="L2073" s="29"/>
    </row>
    <row r="2074" spans="1:12" s="27" customFormat="1" ht="17.25" customHeight="1" x14ac:dyDescent="0.25">
      <c r="A2074" s="28"/>
      <c r="B2074" s="28"/>
      <c r="C2074" s="28"/>
      <c r="D2074" s="28"/>
      <c r="E2074" s="28"/>
      <c r="F2074" s="28"/>
      <c r="G2074" s="28"/>
      <c r="H2074" s="28"/>
      <c r="I2074" s="30"/>
      <c r="J2074" s="30"/>
      <c r="K2074" s="53"/>
      <c r="L2074" s="29"/>
    </row>
    <row r="2075" spans="1:12" s="27" customFormat="1" ht="17.25" customHeight="1" x14ac:dyDescent="0.25">
      <c r="A2075" s="28"/>
      <c r="B2075" s="28"/>
      <c r="C2075" s="28"/>
      <c r="D2075" s="28"/>
      <c r="E2075" s="28"/>
      <c r="F2075" s="28"/>
      <c r="G2075" s="28"/>
      <c r="H2075" s="28"/>
      <c r="I2075" s="30"/>
      <c r="J2075" s="30"/>
      <c r="K2075" s="53"/>
      <c r="L2075" s="29"/>
    </row>
    <row r="2076" spans="1:12" s="27" customFormat="1" ht="17.25" customHeight="1" x14ac:dyDescent="0.25">
      <c r="A2076" s="28"/>
      <c r="B2076" s="28"/>
      <c r="C2076" s="28"/>
      <c r="D2076" s="28"/>
      <c r="E2076" s="28"/>
      <c r="F2076" s="28"/>
      <c r="G2076" s="28"/>
      <c r="H2076" s="28"/>
      <c r="I2076" s="30"/>
      <c r="J2076" s="30"/>
      <c r="K2076" s="53"/>
      <c r="L2076" s="29"/>
    </row>
    <row r="2077" spans="1:12" s="27" customFormat="1" ht="17.25" customHeight="1" x14ac:dyDescent="0.25">
      <c r="A2077" s="28"/>
      <c r="B2077" s="28"/>
      <c r="C2077" s="28"/>
      <c r="D2077" s="28"/>
      <c r="E2077" s="28"/>
      <c r="F2077" s="28"/>
      <c r="G2077" s="28"/>
      <c r="H2077" s="28"/>
      <c r="I2077" s="30"/>
      <c r="J2077" s="30"/>
      <c r="K2077" s="53"/>
      <c r="L2077" s="29"/>
    </row>
    <row r="2078" spans="1:12" s="27" customFormat="1" ht="17.25" customHeight="1" x14ac:dyDescent="0.25">
      <c r="A2078" s="28"/>
      <c r="B2078" s="28"/>
      <c r="C2078" s="28"/>
      <c r="D2078" s="28"/>
      <c r="E2078" s="28"/>
      <c r="F2078" s="28"/>
      <c r="G2078" s="28"/>
      <c r="H2078" s="28"/>
      <c r="I2078" s="30"/>
      <c r="J2078" s="30"/>
      <c r="K2078" s="53"/>
      <c r="L2078" s="29"/>
    </row>
    <row r="2079" spans="1:12" s="27" customFormat="1" ht="17.25" customHeight="1" x14ac:dyDescent="0.25">
      <c r="A2079" s="28"/>
      <c r="B2079" s="28"/>
      <c r="C2079" s="28"/>
      <c r="D2079" s="28"/>
      <c r="E2079" s="28"/>
      <c r="F2079" s="28"/>
      <c r="G2079" s="28"/>
      <c r="H2079" s="28"/>
      <c r="I2079" s="30"/>
      <c r="J2079" s="30"/>
      <c r="K2079" s="53"/>
      <c r="L2079" s="29"/>
    </row>
    <row r="2080" spans="1:12" s="27" customFormat="1" ht="17.25" customHeight="1" x14ac:dyDescent="0.25">
      <c r="A2080" s="28"/>
      <c r="B2080" s="28"/>
      <c r="C2080" s="28"/>
      <c r="D2080" s="28"/>
      <c r="E2080" s="28"/>
      <c r="F2080" s="28"/>
      <c r="G2080" s="28"/>
      <c r="H2080" s="28"/>
      <c r="I2080" s="30"/>
      <c r="J2080" s="30"/>
      <c r="K2080" s="53"/>
      <c r="L2080" s="29"/>
    </row>
    <row r="2081" spans="1:12" s="27" customFormat="1" ht="17.25" customHeight="1" x14ac:dyDescent="0.25">
      <c r="A2081" s="28"/>
      <c r="B2081" s="28"/>
      <c r="C2081" s="28"/>
      <c r="D2081" s="28"/>
      <c r="E2081" s="28"/>
      <c r="F2081" s="28"/>
      <c r="G2081" s="28"/>
      <c r="H2081" s="28"/>
      <c r="I2081" s="30"/>
      <c r="J2081" s="30"/>
      <c r="K2081" s="53"/>
      <c r="L2081" s="29"/>
    </row>
    <row r="2082" spans="1:12" s="27" customFormat="1" ht="17.25" customHeight="1" x14ac:dyDescent="0.25">
      <c r="A2082" s="28"/>
      <c r="B2082" s="28"/>
      <c r="C2082" s="28"/>
      <c r="D2082" s="28"/>
      <c r="E2082" s="28"/>
      <c r="F2082" s="28"/>
      <c r="G2082" s="28"/>
      <c r="H2082" s="28"/>
      <c r="I2082" s="30"/>
      <c r="J2082" s="30"/>
      <c r="K2082" s="53"/>
      <c r="L2082" s="29"/>
    </row>
    <row r="2083" spans="1:12" s="27" customFormat="1" ht="17.25" customHeight="1" x14ac:dyDescent="0.25">
      <c r="A2083" s="28"/>
      <c r="B2083" s="28"/>
      <c r="C2083" s="28"/>
      <c r="D2083" s="28"/>
      <c r="E2083" s="28"/>
      <c r="F2083" s="28"/>
      <c r="G2083" s="28"/>
      <c r="H2083" s="28"/>
      <c r="I2083" s="30"/>
      <c r="J2083" s="30"/>
      <c r="K2083" s="53"/>
      <c r="L2083" s="29"/>
    </row>
    <row r="2084" spans="1:12" s="27" customFormat="1" ht="17.25" customHeight="1" x14ac:dyDescent="0.25">
      <c r="A2084" s="28"/>
      <c r="B2084" s="28"/>
      <c r="C2084" s="28"/>
      <c r="D2084" s="28"/>
      <c r="E2084" s="28"/>
      <c r="F2084" s="28"/>
      <c r="G2084" s="28"/>
      <c r="H2084" s="28"/>
      <c r="I2084" s="30"/>
      <c r="J2084" s="30"/>
      <c r="K2084" s="53"/>
      <c r="L2084" s="29"/>
    </row>
    <row r="2085" spans="1:12" s="27" customFormat="1" ht="17.25" customHeight="1" x14ac:dyDescent="0.25">
      <c r="A2085" s="28"/>
      <c r="B2085" s="28"/>
      <c r="C2085" s="28"/>
      <c r="D2085" s="28"/>
      <c r="E2085" s="28"/>
      <c r="F2085" s="28"/>
      <c r="G2085" s="28"/>
      <c r="H2085" s="28"/>
      <c r="I2085" s="30"/>
      <c r="J2085" s="30"/>
      <c r="K2085" s="53"/>
      <c r="L2085" s="29"/>
    </row>
    <row r="2086" spans="1:12" s="27" customFormat="1" ht="17.25" customHeight="1" x14ac:dyDescent="0.25">
      <c r="A2086" s="28"/>
      <c r="B2086" s="28"/>
      <c r="C2086" s="28"/>
      <c r="D2086" s="28"/>
      <c r="E2086" s="28"/>
      <c r="F2086" s="28"/>
      <c r="G2086" s="28"/>
      <c r="H2086" s="28"/>
      <c r="I2086" s="30"/>
      <c r="J2086" s="30"/>
      <c r="K2086" s="53"/>
      <c r="L2086" s="29"/>
    </row>
    <row r="2087" spans="1:12" s="27" customFormat="1" ht="17.25" customHeight="1" x14ac:dyDescent="0.25">
      <c r="A2087" s="28"/>
      <c r="B2087" s="28"/>
      <c r="C2087" s="28"/>
      <c r="D2087" s="28"/>
      <c r="E2087" s="28"/>
      <c r="F2087" s="28"/>
      <c r="G2087" s="28"/>
      <c r="H2087" s="28"/>
      <c r="I2087" s="30"/>
      <c r="J2087" s="30"/>
      <c r="K2087" s="53"/>
      <c r="L2087" s="29"/>
    </row>
    <row r="2088" spans="1:12" s="27" customFormat="1" ht="17.25" customHeight="1" x14ac:dyDescent="0.25">
      <c r="A2088" s="28"/>
      <c r="B2088" s="28"/>
      <c r="C2088" s="28"/>
      <c r="D2088" s="28"/>
      <c r="E2088" s="28"/>
      <c r="F2088" s="28"/>
      <c r="G2088" s="28"/>
      <c r="H2088" s="28"/>
      <c r="I2088" s="30"/>
      <c r="J2088" s="30"/>
      <c r="K2088" s="53"/>
      <c r="L2088" s="29"/>
    </row>
    <row r="2089" spans="1:12" s="27" customFormat="1" ht="17.25" customHeight="1" x14ac:dyDescent="0.25">
      <c r="A2089" s="28"/>
      <c r="B2089" s="28"/>
      <c r="C2089" s="28"/>
      <c r="D2089" s="28"/>
      <c r="E2089" s="28"/>
      <c r="F2089" s="28"/>
      <c r="G2089" s="28"/>
      <c r="H2089" s="28"/>
      <c r="I2089" s="30"/>
      <c r="J2089" s="30"/>
      <c r="K2089" s="53"/>
      <c r="L2089" s="29"/>
    </row>
    <row r="2090" spans="1:12" s="27" customFormat="1" ht="17.25" customHeight="1" x14ac:dyDescent="0.25">
      <c r="A2090" s="28"/>
      <c r="B2090" s="28"/>
      <c r="C2090" s="28"/>
      <c r="D2090" s="28"/>
      <c r="E2090" s="28"/>
      <c r="F2090" s="28"/>
      <c r="G2090" s="28"/>
      <c r="H2090" s="28"/>
      <c r="I2090" s="30"/>
      <c r="J2090" s="30"/>
      <c r="K2090" s="53"/>
      <c r="L2090" s="29"/>
    </row>
    <row r="2091" spans="1:12" s="27" customFormat="1" ht="17.25" customHeight="1" x14ac:dyDescent="0.25">
      <c r="A2091" s="28"/>
      <c r="B2091" s="28"/>
      <c r="C2091" s="28"/>
      <c r="D2091" s="28"/>
      <c r="E2091" s="28"/>
      <c r="F2091" s="28"/>
      <c r="G2091" s="28"/>
      <c r="H2091" s="28"/>
      <c r="I2091" s="30"/>
      <c r="J2091" s="30"/>
      <c r="K2091" s="53"/>
      <c r="L2091" s="29"/>
    </row>
    <row r="2092" spans="1:12" s="27" customFormat="1" ht="17.25" customHeight="1" x14ac:dyDescent="0.25">
      <c r="A2092" s="28"/>
      <c r="B2092" s="28"/>
      <c r="C2092" s="28"/>
      <c r="D2092" s="28"/>
      <c r="E2092" s="28"/>
      <c r="F2092" s="28"/>
      <c r="G2092" s="28"/>
      <c r="H2092" s="28"/>
      <c r="I2092" s="30"/>
      <c r="J2092" s="30"/>
      <c r="K2092" s="53"/>
      <c r="L2092" s="29"/>
    </row>
    <row r="2093" spans="1:12" s="27" customFormat="1" ht="17.25" customHeight="1" x14ac:dyDescent="0.25">
      <c r="A2093" s="28"/>
      <c r="B2093" s="28"/>
      <c r="C2093" s="28"/>
      <c r="D2093" s="28"/>
      <c r="E2093" s="28"/>
      <c r="F2093" s="28"/>
      <c r="G2093" s="28"/>
      <c r="H2093" s="28"/>
      <c r="I2093" s="30"/>
      <c r="J2093" s="30"/>
      <c r="K2093" s="53"/>
      <c r="L2093" s="29"/>
    </row>
    <row r="2094" spans="1:12" s="27" customFormat="1" ht="17.25" customHeight="1" x14ac:dyDescent="0.25">
      <c r="A2094" s="28"/>
      <c r="B2094" s="28"/>
      <c r="C2094" s="28"/>
      <c r="D2094" s="28"/>
      <c r="E2094" s="28"/>
      <c r="F2094" s="28"/>
      <c r="G2094" s="28"/>
      <c r="H2094" s="28"/>
      <c r="I2094" s="30"/>
      <c r="J2094" s="30"/>
      <c r="K2094" s="53"/>
      <c r="L2094" s="29"/>
    </row>
    <row r="2095" spans="1:12" s="27" customFormat="1" ht="17.25" customHeight="1" x14ac:dyDescent="0.25">
      <c r="A2095" s="28"/>
      <c r="B2095" s="28"/>
      <c r="C2095" s="28"/>
      <c r="D2095" s="28"/>
      <c r="E2095" s="28"/>
      <c r="F2095" s="28"/>
      <c r="G2095" s="28"/>
      <c r="H2095" s="28"/>
      <c r="I2095" s="30"/>
      <c r="J2095" s="30"/>
      <c r="K2095" s="53"/>
      <c r="L2095" s="29"/>
    </row>
    <row r="2096" spans="1:12" s="27" customFormat="1" ht="17.25" customHeight="1" x14ac:dyDescent="0.25">
      <c r="A2096" s="28"/>
      <c r="B2096" s="28"/>
      <c r="C2096" s="28"/>
      <c r="D2096" s="28"/>
      <c r="E2096" s="28"/>
      <c r="F2096" s="28"/>
      <c r="G2096" s="28"/>
      <c r="H2096" s="28"/>
      <c r="I2096" s="30"/>
      <c r="J2096" s="30"/>
      <c r="K2096" s="53"/>
      <c r="L2096" s="29"/>
    </row>
    <row r="2097" spans="1:12" s="27" customFormat="1" ht="17.25" customHeight="1" x14ac:dyDescent="0.25">
      <c r="A2097" s="28"/>
      <c r="B2097" s="28"/>
      <c r="C2097" s="28"/>
      <c r="D2097" s="28"/>
      <c r="E2097" s="28"/>
      <c r="F2097" s="28"/>
      <c r="G2097" s="28"/>
      <c r="H2097" s="28"/>
      <c r="I2097" s="30"/>
      <c r="J2097" s="30"/>
      <c r="K2097" s="53"/>
      <c r="L2097" s="29"/>
    </row>
    <row r="2098" spans="1:12" s="27" customFormat="1" ht="17.25" customHeight="1" x14ac:dyDescent="0.25">
      <c r="A2098" s="28"/>
      <c r="B2098" s="28"/>
      <c r="C2098" s="28"/>
      <c r="D2098" s="28"/>
      <c r="E2098" s="28"/>
      <c r="F2098" s="28"/>
      <c r="G2098" s="28"/>
      <c r="H2098" s="28"/>
      <c r="I2098" s="30"/>
      <c r="J2098" s="30"/>
      <c r="K2098" s="53"/>
      <c r="L2098" s="29"/>
    </row>
    <row r="2099" spans="1:12" s="27" customFormat="1" ht="17.25" customHeight="1" x14ac:dyDescent="0.25">
      <c r="A2099" s="28"/>
      <c r="B2099" s="28"/>
      <c r="C2099" s="28"/>
      <c r="D2099" s="28"/>
      <c r="E2099" s="28"/>
      <c r="F2099" s="28"/>
      <c r="G2099" s="28"/>
      <c r="H2099" s="28"/>
      <c r="I2099" s="30"/>
      <c r="J2099" s="30"/>
      <c r="K2099" s="53"/>
      <c r="L2099" s="29"/>
    </row>
    <row r="2100" spans="1:12" s="27" customFormat="1" ht="17.25" customHeight="1" x14ac:dyDescent="0.25">
      <c r="A2100" s="28"/>
      <c r="B2100" s="28"/>
      <c r="C2100" s="28"/>
      <c r="D2100" s="28"/>
      <c r="E2100" s="28"/>
      <c r="F2100" s="28"/>
      <c r="G2100" s="28"/>
      <c r="H2100" s="28"/>
      <c r="I2100" s="30"/>
      <c r="J2100" s="30"/>
      <c r="K2100" s="53"/>
      <c r="L2100" s="29"/>
    </row>
    <row r="2101" spans="1:12" s="27" customFormat="1" ht="17.25" customHeight="1" x14ac:dyDescent="0.25">
      <c r="A2101" s="28"/>
      <c r="B2101" s="28"/>
      <c r="C2101" s="28"/>
      <c r="D2101" s="28"/>
      <c r="E2101" s="28"/>
      <c r="F2101" s="28"/>
      <c r="G2101" s="28"/>
      <c r="H2101" s="28"/>
      <c r="I2101" s="30"/>
      <c r="J2101" s="30"/>
      <c r="K2101" s="53"/>
      <c r="L2101" s="29"/>
    </row>
    <row r="2102" spans="1:12" s="27" customFormat="1" ht="17.25" customHeight="1" x14ac:dyDescent="0.25">
      <c r="A2102" s="28"/>
      <c r="B2102" s="28"/>
      <c r="C2102" s="28"/>
      <c r="D2102" s="28"/>
      <c r="E2102" s="28"/>
      <c r="F2102" s="28"/>
      <c r="G2102" s="28"/>
      <c r="H2102" s="28"/>
      <c r="I2102" s="30"/>
      <c r="J2102" s="30"/>
      <c r="K2102" s="53"/>
      <c r="L2102" s="29"/>
    </row>
    <row r="2103" spans="1:12" s="27" customFormat="1" ht="17.25" customHeight="1" x14ac:dyDescent="0.25">
      <c r="A2103" s="28"/>
      <c r="B2103" s="28"/>
      <c r="C2103" s="28"/>
      <c r="D2103" s="28"/>
      <c r="E2103" s="28"/>
      <c r="F2103" s="28"/>
      <c r="G2103" s="28"/>
      <c r="H2103" s="28"/>
      <c r="I2103" s="30"/>
      <c r="J2103" s="30"/>
      <c r="K2103" s="53"/>
      <c r="L2103" s="29"/>
    </row>
    <row r="2104" spans="1:12" s="27" customFormat="1" ht="17.25" customHeight="1" x14ac:dyDescent="0.25">
      <c r="A2104" s="28"/>
      <c r="B2104" s="28"/>
      <c r="C2104" s="28"/>
      <c r="D2104" s="28"/>
      <c r="E2104" s="28"/>
      <c r="F2104" s="28"/>
      <c r="G2104" s="28"/>
      <c r="H2104" s="28"/>
      <c r="I2104" s="30"/>
      <c r="J2104" s="30"/>
      <c r="K2104" s="53"/>
      <c r="L2104" s="29"/>
    </row>
    <row r="2105" spans="1:12" s="27" customFormat="1" ht="17.25" customHeight="1" x14ac:dyDescent="0.25">
      <c r="A2105" s="28"/>
      <c r="B2105" s="28"/>
      <c r="C2105" s="28"/>
      <c r="D2105" s="28"/>
      <c r="E2105" s="28"/>
      <c r="F2105" s="28"/>
      <c r="G2105" s="28"/>
      <c r="H2105" s="28"/>
      <c r="I2105" s="30"/>
      <c r="J2105" s="30"/>
      <c r="K2105" s="53"/>
      <c r="L2105" s="29"/>
    </row>
    <row r="2106" spans="1:12" s="27" customFormat="1" ht="17.25" customHeight="1" x14ac:dyDescent="0.25">
      <c r="A2106" s="28"/>
      <c r="B2106" s="28"/>
      <c r="C2106" s="28"/>
      <c r="D2106" s="28"/>
      <c r="E2106" s="28"/>
      <c r="F2106" s="28"/>
      <c r="G2106" s="28"/>
      <c r="H2106" s="28"/>
      <c r="I2106" s="30"/>
      <c r="J2106" s="30"/>
      <c r="K2106" s="53"/>
      <c r="L2106" s="29"/>
    </row>
    <row r="2107" spans="1:12" s="27" customFormat="1" ht="17.25" customHeight="1" x14ac:dyDescent="0.25">
      <c r="A2107" s="28"/>
      <c r="B2107" s="28"/>
      <c r="C2107" s="28"/>
      <c r="D2107" s="28"/>
      <c r="E2107" s="28"/>
      <c r="F2107" s="28"/>
      <c r="G2107" s="28"/>
      <c r="H2107" s="28"/>
      <c r="I2107" s="30"/>
      <c r="J2107" s="30"/>
      <c r="K2107" s="53"/>
      <c r="L2107" s="29"/>
    </row>
    <row r="2108" spans="1:12" s="27" customFormat="1" ht="17.25" customHeight="1" x14ac:dyDescent="0.25">
      <c r="A2108" s="28"/>
      <c r="B2108" s="28"/>
      <c r="C2108" s="28"/>
      <c r="D2108" s="28"/>
      <c r="E2108" s="28"/>
      <c r="F2108" s="28"/>
      <c r="G2108" s="28"/>
      <c r="H2108" s="28"/>
      <c r="I2108" s="30"/>
      <c r="J2108" s="30"/>
      <c r="K2108" s="53"/>
      <c r="L2108" s="29"/>
    </row>
    <row r="2109" spans="1:12" s="27" customFormat="1" ht="17.25" customHeight="1" x14ac:dyDescent="0.25">
      <c r="A2109" s="28"/>
      <c r="B2109" s="28"/>
      <c r="C2109" s="28"/>
      <c r="D2109" s="28"/>
      <c r="E2109" s="28"/>
      <c r="F2109" s="28"/>
      <c r="G2109" s="28"/>
      <c r="H2109" s="28"/>
      <c r="I2109" s="30"/>
      <c r="J2109" s="30"/>
      <c r="K2109" s="53"/>
      <c r="L2109" s="29"/>
    </row>
    <row r="2110" spans="1:12" s="27" customFormat="1" ht="17.25" customHeight="1" x14ac:dyDescent="0.25">
      <c r="A2110" s="28"/>
      <c r="B2110" s="28"/>
      <c r="C2110" s="28"/>
      <c r="D2110" s="28"/>
      <c r="E2110" s="28"/>
      <c r="F2110" s="28"/>
      <c r="G2110" s="28"/>
      <c r="H2110" s="28"/>
      <c r="I2110" s="30"/>
      <c r="J2110" s="30"/>
      <c r="K2110" s="53"/>
      <c r="L2110" s="29"/>
    </row>
    <row r="2111" spans="1:12" s="27" customFormat="1" ht="17.25" customHeight="1" x14ac:dyDescent="0.25">
      <c r="A2111" s="28"/>
      <c r="B2111" s="28"/>
      <c r="C2111" s="28"/>
      <c r="D2111" s="28"/>
      <c r="E2111" s="28"/>
      <c r="F2111" s="28"/>
      <c r="G2111" s="28"/>
      <c r="H2111" s="28"/>
      <c r="I2111" s="30"/>
      <c r="J2111" s="30"/>
      <c r="K2111" s="53"/>
      <c r="L2111" s="29"/>
    </row>
    <row r="2112" spans="1:12" s="27" customFormat="1" ht="17.25" customHeight="1" x14ac:dyDescent="0.25">
      <c r="A2112" s="28"/>
      <c r="B2112" s="28"/>
      <c r="C2112" s="28"/>
      <c r="D2112" s="28"/>
      <c r="E2112" s="28"/>
      <c r="F2112" s="28"/>
      <c r="G2112" s="28"/>
      <c r="H2112" s="28"/>
      <c r="I2112" s="30"/>
      <c r="J2112" s="30"/>
      <c r="K2112" s="53"/>
      <c r="L2112" s="29"/>
    </row>
    <row r="2113" spans="1:12" s="27" customFormat="1" ht="17.25" customHeight="1" x14ac:dyDescent="0.25">
      <c r="A2113" s="28"/>
      <c r="B2113" s="28"/>
      <c r="C2113" s="28"/>
      <c r="D2113" s="28"/>
      <c r="E2113" s="28"/>
      <c r="F2113" s="28"/>
      <c r="G2113" s="28"/>
      <c r="H2113" s="28"/>
      <c r="I2113" s="30"/>
      <c r="J2113" s="30"/>
      <c r="K2113" s="53"/>
      <c r="L2113" s="29"/>
    </row>
    <row r="2114" spans="1:12" s="27" customFormat="1" ht="17.25" customHeight="1" x14ac:dyDescent="0.25">
      <c r="A2114" s="28"/>
      <c r="B2114" s="28"/>
      <c r="C2114" s="28"/>
      <c r="D2114" s="28"/>
      <c r="E2114" s="28"/>
      <c r="F2114" s="28"/>
      <c r="G2114" s="28"/>
      <c r="H2114" s="28"/>
      <c r="I2114" s="30"/>
      <c r="J2114" s="30"/>
      <c r="K2114" s="53"/>
      <c r="L2114" s="29"/>
    </row>
    <row r="2115" spans="1:12" s="27" customFormat="1" ht="17.25" customHeight="1" x14ac:dyDescent="0.25">
      <c r="A2115" s="28"/>
      <c r="B2115" s="28"/>
      <c r="C2115" s="28"/>
      <c r="D2115" s="28"/>
      <c r="E2115" s="28"/>
      <c r="F2115" s="28"/>
      <c r="G2115" s="28"/>
      <c r="H2115" s="28"/>
      <c r="I2115" s="30"/>
      <c r="J2115" s="30"/>
      <c r="K2115" s="53"/>
      <c r="L2115" s="29"/>
    </row>
    <row r="2116" spans="1:12" s="27" customFormat="1" ht="17.25" customHeight="1" x14ac:dyDescent="0.25">
      <c r="A2116" s="28"/>
      <c r="B2116" s="28"/>
      <c r="C2116" s="28"/>
      <c r="D2116" s="28"/>
      <c r="E2116" s="28"/>
      <c r="F2116" s="28"/>
      <c r="G2116" s="28"/>
      <c r="H2116" s="28"/>
      <c r="I2116" s="30"/>
      <c r="J2116" s="30"/>
      <c r="K2116" s="53"/>
      <c r="L2116" s="29"/>
    </row>
    <row r="2117" spans="1:12" s="27" customFormat="1" ht="17.25" customHeight="1" x14ac:dyDescent="0.25">
      <c r="A2117" s="28"/>
      <c r="B2117" s="28"/>
      <c r="C2117" s="28"/>
      <c r="D2117" s="28"/>
      <c r="E2117" s="28"/>
      <c r="F2117" s="28"/>
      <c r="G2117" s="28"/>
      <c r="H2117" s="28"/>
      <c r="I2117" s="30"/>
      <c r="J2117" s="30"/>
      <c r="K2117" s="53"/>
      <c r="L2117" s="29"/>
    </row>
    <row r="2118" spans="1:12" s="27" customFormat="1" ht="17.25" customHeight="1" x14ac:dyDescent="0.25">
      <c r="A2118" s="28"/>
      <c r="B2118" s="28"/>
      <c r="C2118" s="28"/>
      <c r="D2118" s="28"/>
      <c r="E2118" s="28"/>
      <c r="F2118" s="28"/>
      <c r="G2118" s="28"/>
      <c r="H2118" s="28"/>
      <c r="I2118" s="30"/>
      <c r="J2118" s="30"/>
      <c r="K2118" s="53"/>
      <c r="L2118" s="29"/>
    </row>
    <row r="2119" spans="1:12" s="27" customFormat="1" ht="17.25" customHeight="1" x14ac:dyDescent="0.25">
      <c r="A2119" s="28"/>
      <c r="B2119" s="28"/>
      <c r="C2119" s="28"/>
      <c r="D2119" s="28"/>
      <c r="E2119" s="28"/>
      <c r="F2119" s="28"/>
      <c r="G2119" s="28"/>
      <c r="H2119" s="28"/>
      <c r="I2119" s="30"/>
      <c r="J2119" s="30"/>
      <c r="K2119" s="53"/>
      <c r="L2119" s="29"/>
    </row>
    <row r="2120" spans="1:12" s="27" customFormat="1" ht="17.25" customHeight="1" x14ac:dyDescent="0.25">
      <c r="A2120" s="28"/>
      <c r="B2120" s="28"/>
      <c r="C2120" s="28"/>
      <c r="D2120" s="28"/>
      <c r="E2120" s="28"/>
      <c r="F2120" s="28"/>
      <c r="G2120" s="28"/>
      <c r="H2120" s="28"/>
      <c r="I2120" s="30"/>
      <c r="J2120" s="30"/>
      <c r="K2120" s="53"/>
      <c r="L2120" s="29"/>
    </row>
    <row r="2121" spans="1:12" s="27" customFormat="1" ht="17.25" customHeight="1" x14ac:dyDescent="0.25">
      <c r="A2121" s="28"/>
      <c r="B2121" s="28"/>
      <c r="C2121" s="28"/>
      <c r="D2121" s="28"/>
      <c r="E2121" s="28"/>
      <c r="F2121" s="28"/>
      <c r="G2121" s="28"/>
      <c r="H2121" s="28"/>
      <c r="I2121" s="30"/>
      <c r="J2121" s="30"/>
      <c r="K2121" s="53"/>
      <c r="L2121" s="29"/>
    </row>
    <row r="2122" spans="1:12" s="27" customFormat="1" ht="17.25" customHeight="1" x14ac:dyDescent="0.25">
      <c r="A2122" s="28"/>
      <c r="B2122" s="28"/>
      <c r="C2122" s="28"/>
      <c r="D2122" s="28"/>
      <c r="E2122" s="28"/>
      <c r="F2122" s="28"/>
      <c r="G2122" s="28"/>
      <c r="H2122" s="28"/>
      <c r="I2122" s="30"/>
      <c r="J2122" s="30"/>
      <c r="K2122" s="53"/>
      <c r="L2122" s="29"/>
    </row>
    <row r="2123" spans="1:12" s="27" customFormat="1" ht="17.25" customHeight="1" x14ac:dyDescent="0.25">
      <c r="A2123" s="28"/>
      <c r="B2123" s="28"/>
      <c r="C2123" s="28"/>
      <c r="D2123" s="28"/>
      <c r="E2123" s="28"/>
      <c r="F2123" s="28"/>
      <c r="G2123" s="28"/>
      <c r="H2123" s="28"/>
      <c r="I2123" s="30"/>
      <c r="J2123" s="30"/>
      <c r="K2123" s="53"/>
      <c r="L2123" s="29"/>
    </row>
    <row r="2124" spans="1:12" s="27" customFormat="1" ht="17.25" customHeight="1" x14ac:dyDescent="0.25">
      <c r="A2124" s="28"/>
      <c r="B2124" s="28"/>
      <c r="C2124" s="28"/>
      <c r="D2124" s="28"/>
      <c r="E2124" s="28"/>
      <c r="F2124" s="28"/>
      <c r="G2124" s="28"/>
      <c r="H2124" s="28"/>
      <c r="I2124" s="30"/>
      <c r="J2124" s="30"/>
      <c r="K2124" s="53"/>
      <c r="L2124" s="29"/>
    </row>
    <row r="2125" spans="1:12" s="27" customFormat="1" ht="17.25" customHeight="1" x14ac:dyDescent="0.25">
      <c r="A2125" s="28"/>
      <c r="B2125" s="28"/>
      <c r="C2125" s="28"/>
      <c r="D2125" s="28"/>
      <c r="E2125" s="28"/>
      <c r="F2125" s="28"/>
      <c r="G2125" s="28"/>
      <c r="H2125" s="28"/>
      <c r="I2125" s="30"/>
      <c r="J2125" s="30"/>
      <c r="K2125" s="53"/>
      <c r="L2125" s="29"/>
    </row>
    <row r="2126" spans="1:12" s="27" customFormat="1" ht="17.25" customHeight="1" x14ac:dyDescent="0.25">
      <c r="A2126" s="28"/>
      <c r="B2126" s="28"/>
      <c r="C2126" s="28"/>
      <c r="D2126" s="28"/>
      <c r="E2126" s="28"/>
      <c r="F2126" s="28"/>
      <c r="G2126" s="28"/>
      <c r="H2126" s="28"/>
      <c r="I2126" s="30"/>
      <c r="J2126" s="30"/>
      <c r="K2126" s="53"/>
      <c r="L2126" s="29"/>
    </row>
    <row r="2127" spans="1:12" s="27" customFormat="1" ht="17.25" customHeight="1" x14ac:dyDescent="0.25">
      <c r="A2127" s="28"/>
      <c r="B2127" s="28"/>
      <c r="C2127" s="28"/>
      <c r="D2127" s="28"/>
      <c r="E2127" s="28"/>
      <c r="F2127" s="28"/>
      <c r="G2127" s="28"/>
      <c r="H2127" s="28"/>
      <c r="I2127" s="30"/>
      <c r="J2127" s="30"/>
      <c r="K2127" s="53"/>
      <c r="L2127" s="29"/>
    </row>
    <row r="2128" spans="1:12" s="27" customFormat="1" ht="17.25" customHeight="1" x14ac:dyDescent="0.25">
      <c r="A2128" s="28"/>
      <c r="B2128" s="28"/>
      <c r="C2128" s="28"/>
      <c r="D2128" s="28"/>
      <c r="E2128" s="28"/>
      <c r="F2128" s="28"/>
      <c r="G2128" s="28"/>
      <c r="H2128" s="28"/>
      <c r="I2128" s="30"/>
      <c r="J2128" s="30"/>
      <c r="K2128" s="53"/>
      <c r="L2128" s="29"/>
    </row>
    <row r="2129" spans="1:12" s="27" customFormat="1" ht="17.25" customHeight="1" x14ac:dyDescent="0.25">
      <c r="A2129" s="28"/>
      <c r="B2129" s="28"/>
      <c r="C2129" s="28"/>
      <c r="D2129" s="28"/>
      <c r="E2129" s="28"/>
      <c r="F2129" s="28"/>
      <c r="G2129" s="28"/>
      <c r="H2129" s="28"/>
      <c r="I2129" s="30"/>
      <c r="J2129" s="30"/>
      <c r="K2129" s="53"/>
      <c r="L2129" s="29"/>
    </row>
    <row r="2130" spans="1:12" s="27" customFormat="1" ht="17.25" customHeight="1" x14ac:dyDescent="0.25">
      <c r="A2130" s="28"/>
      <c r="B2130" s="28"/>
      <c r="C2130" s="28"/>
      <c r="D2130" s="28"/>
      <c r="E2130" s="28"/>
      <c r="F2130" s="28"/>
      <c r="G2130" s="28"/>
      <c r="H2130" s="28"/>
      <c r="I2130" s="30"/>
      <c r="J2130" s="30"/>
      <c r="K2130" s="53"/>
      <c r="L2130" s="29"/>
    </row>
    <row r="2131" spans="1:12" s="27" customFormat="1" ht="17.25" customHeight="1" x14ac:dyDescent="0.25">
      <c r="A2131" s="28"/>
      <c r="B2131" s="28"/>
      <c r="C2131" s="28"/>
      <c r="D2131" s="28"/>
      <c r="E2131" s="28"/>
      <c r="F2131" s="28"/>
      <c r="G2131" s="28"/>
      <c r="H2131" s="28"/>
      <c r="I2131" s="30"/>
      <c r="J2131" s="30"/>
      <c r="K2131" s="53"/>
      <c r="L2131" s="29"/>
    </row>
    <row r="2132" spans="1:12" s="27" customFormat="1" ht="17.25" customHeight="1" x14ac:dyDescent="0.25">
      <c r="A2132" s="28"/>
      <c r="B2132" s="28"/>
      <c r="C2132" s="28"/>
      <c r="D2132" s="28"/>
      <c r="E2132" s="28"/>
      <c r="F2132" s="28"/>
      <c r="G2132" s="28"/>
      <c r="H2132" s="28"/>
      <c r="I2132" s="30"/>
      <c r="J2132" s="30"/>
      <c r="K2132" s="53"/>
      <c r="L2132" s="29"/>
    </row>
    <row r="2133" spans="1:12" s="27" customFormat="1" ht="17.25" customHeight="1" x14ac:dyDescent="0.25">
      <c r="A2133" s="28"/>
      <c r="B2133" s="28"/>
      <c r="C2133" s="28"/>
      <c r="D2133" s="28"/>
      <c r="E2133" s="28"/>
      <c r="F2133" s="28"/>
      <c r="G2133" s="28"/>
      <c r="H2133" s="28"/>
      <c r="I2133" s="30"/>
      <c r="J2133" s="30"/>
      <c r="K2133" s="53"/>
      <c r="L2133" s="29"/>
    </row>
    <row r="2134" spans="1:12" s="27" customFormat="1" ht="17.25" customHeight="1" x14ac:dyDescent="0.25">
      <c r="A2134" s="28"/>
      <c r="B2134" s="28"/>
      <c r="C2134" s="28"/>
      <c r="D2134" s="28"/>
      <c r="E2134" s="28"/>
      <c r="F2134" s="28"/>
      <c r="G2134" s="28"/>
      <c r="H2134" s="28"/>
      <c r="I2134" s="30"/>
      <c r="J2134" s="30"/>
      <c r="K2134" s="53"/>
      <c r="L2134" s="29"/>
    </row>
    <row r="2135" spans="1:12" s="27" customFormat="1" ht="17.25" customHeight="1" x14ac:dyDescent="0.25">
      <c r="A2135" s="28"/>
      <c r="B2135" s="28"/>
      <c r="C2135" s="28"/>
      <c r="D2135" s="28"/>
      <c r="E2135" s="28"/>
      <c r="F2135" s="28"/>
      <c r="G2135" s="28"/>
      <c r="H2135" s="28"/>
      <c r="I2135" s="30"/>
      <c r="J2135" s="30"/>
      <c r="K2135" s="53"/>
      <c r="L2135" s="29"/>
    </row>
    <row r="2136" spans="1:12" s="27" customFormat="1" ht="17.25" customHeight="1" x14ac:dyDescent="0.25">
      <c r="A2136" s="28"/>
      <c r="B2136" s="28"/>
      <c r="C2136" s="28"/>
      <c r="D2136" s="28"/>
      <c r="E2136" s="28"/>
      <c r="F2136" s="28"/>
      <c r="G2136" s="28"/>
      <c r="H2136" s="28"/>
      <c r="I2136" s="30"/>
      <c r="J2136" s="30"/>
      <c r="K2136" s="53"/>
      <c r="L2136" s="29"/>
    </row>
    <row r="2137" spans="1:12" s="27" customFormat="1" ht="17.25" customHeight="1" x14ac:dyDescent="0.25">
      <c r="A2137" s="28"/>
      <c r="B2137" s="28"/>
      <c r="C2137" s="28"/>
      <c r="D2137" s="28"/>
      <c r="E2137" s="28"/>
      <c r="F2137" s="28"/>
      <c r="G2137" s="28"/>
      <c r="H2137" s="28"/>
      <c r="I2137" s="30"/>
      <c r="J2137" s="30"/>
      <c r="K2137" s="53"/>
      <c r="L2137" s="29"/>
    </row>
    <row r="2138" spans="1:12" s="27" customFormat="1" ht="17.25" customHeight="1" x14ac:dyDescent="0.25">
      <c r="A2138" s="28"/>
      <c r="B2138" s="28"/>
      <c r="C2138" s="28"/>
      <c r="D2138" s="28"/>
      <c r="E2138" s="28"/>
      <c r="F2138" s="28"/>
      <c r="G2138" s="28"/>
      <c r="H2138" s="28"/>
      <c r="I2138" s="30"/>
      <c r="J2138" s="30"/>
      <c r="K2138" s="53"/>
      <c r="L2138" s="29"/>
    </row>
    <row r="2139" spans="1:12" s="27" customFormat="1" ht="17.25" customHeight="1" x14ac:dyDescent="0.25">
      <c r="A2139" s="28"/>
      <c r="B2139" s="28"/>
      <c r="C2139" s="28"/>
      <c r="D2139" s="28"/>
      <c r="E2139" s="28"/>
      <c r="F2139" s="28"/>
      <c r="G2139" s="28"/>
      <c r="H2139" s="28"/>
      <c r="I2139" s="30"/>
      <c r="J2139" s="30"/>
      <c r="K2139" s="53"/>
      <c r="L2139" s="29"/>
    </row>
    <row r="2238" spans="1:1" x14ac:dyDescent="0.25">
      <c r="A2238" s="31" t="s">
        <v>12</v>
      </c>
    </row>
    <row r="2239" spans="1:1" x14ac:dyDescent="0.25">
      <c r="A2239" s="31" t="s">
        <v>0</v>
      </c>
    </row>
    <row r="2240" spans="1:1" x14ac:dyDescent="0.25">
      <c r="A2240" s="31" t="s">
        <v>1</v>
      </c>
    </row>
    <row r="2241" spans="1:1" x14ac:dyDescent="0.25">
      <c r="A2241" s="31" t="s">
        <v>2</v>
      </c>
    </row>
    <row r="2242" spans="1:1" x14ac:dyDescent="0.25">
      <c r="A2242" s="31" t="s">
        <v>3</v>
      </c>
    </row>
    <row r="2243" spans="1:1" x14ac:dyDescent="0.25">
      <c r="A2243" s="31" t="s">
        <v>4</v>
      </c>
    </row>
    <row r="2244" spans="1:1" x14ac:dyDescent="0.25">
      <c r="A2244" s="31" t="s">
        <v>5</v>
      </c>
    </row>
    <row r="2245" spans="1:1" x14ac:dyDescent="0.25">
      <c r="A2245" s="31" t="s">
        <v>6</v>
      </c>
    </row>
    <row r="2246" spans="1:1" x14ac:dyDescent="0.25">
      <c r="A2246" s="31" t="s">
        <v>7</v>
      </c>
    </row>
    <row r="2247" spans="1:1" x14ac:dyDescent="0.25">
      <c r="A2247" s="31" t="s">
        <v>8</v>
      </c>
    </row>
    <row r="2248" spans="1:1" x14ac:dyDescent="0.25">
      <c r="A2248" s="31" t="s">
        <v>9</v>
      </c>
    </row>
    <row r="2249" spans="1:1" x14ac:dyDescent="0.25">
      <c r="A2249" s="31" t="s">
        <v>10</v>
      </c>
    </row>
    <row r="2250" spans="1:1" x14ac:dyDescent="0.25">
      <c r="A2250" s="31" t="s">
        <v>11</v>
      </c>
    </row>
    <row r="2251" spans="1:1" x14ac:dyDescent="0.25">
      <c r="A2251" s="31" t="s">
        <v>15</v>
      </c>
    </row>
    <row r="2252" spans="1:1" x14ac:dyDescent="0.25">
      <c r="A2252" s="31" t="s">
        <v>19238</v>
      </c>
    </row>
    <row r="2253" spans="1:1" x14ac:dyDescent="0.25">
      <c r="A2253" s="31" t="s">
        <v>19239</v>
      </c>
    </row>
    <row r="2254" spans="1:1" x14ac:dyDescent="0.25">
      <c r="A2254" s="31" t="s">
        <v>19240</v>
      </c>
    </row>
    <row r="2255" spans="1:1" x14ac:dyDescent="0.25">
      <c r="A2255" s="31" t="s">
        <v>19243</v>
      </c>
    </row>
    <row r="2256" spans="1:1" x14ac:dyDescent="0.25">
      <c r="A2256" s="31" t="s">
        <v>16</v>
      </c>
    </row>
    <row r="2257" spans="1:1" x14ac:dyDescent="0.25">
      <c r="A2257" s="31" t="s">
        <v>17</v>
      </c>
    </row>
    <row r="2258" spans="1:1" x14ac:dyDescent="0.25">
      <c r="A2258" s="31" t="s">
        <v>18</v>
      </c>
    </row>
    <row r="2259" spans="1:1" x14ac:dyDescent="0.25">
      <c r="A2259" s="31" t="s">
        <v>19</v>
      </c>
    </row>
    <row r="2260" spans="1:1" x14ac:dyDescent="0.25">
      <c r="A2260" s="31" t="s">
        <v>20</v>
      </c>
    </row>
    <row r="2261" spans="1:1" x14ac:dyDescent="0.25">
      <c r="A2261" s="31" t="s">
        <v>21</v>
      </c>
    </row>
    <row r="2262" spans="1:1" x14ac:dyDescent="0.25">
      <c r="A2262" s="31" t="s">
        <v>22</v>
      </c>
    </row>
    <row r="2263" spans="1:1" x14ac:dyDescent="0.25">
      <c r="A2263" s="31" t="s">
        <v>23</v>
      </c>
    </row>
    <row r="2264" spans="1:1" x14ac:dyDescent="0.25">
      <c r="A2264" s="31" t="s">
        <v>24</v>
      </c>
    </row>
    <row r="2265" spans="1:1" x14ac:dyDescent="0.25">
      <c r="A2265" s="31" t="s">
        <v>25</v>
      </c>
    </row>
    <row r="2266" spans="1:1" x14ac:dyDescent="0.25">
      <c r="A2266" s="31" t="s">
        <v>26</v>
      </c>
    </row>
    <row r="2267" spans="1:1" x14ac:dyDescent="0.25">
      <c r="A2267" s="31" t="s">
        <v>27</v>
      </c>
    </row>
  </sheetData>
  <autoFilter ref="A1:Q2267" xr:uid="{00000000-0009-0000-0000-000001000000}">
    <sortState xmlns:xlrd2="http://schemas.microsoft.com/office/spreadsheetml/2017/richdata2" ref="A2:Q1606">
      <sortCondition ref="I1:I1603"/>
    </sortState>
  </autoFilter>
  <phoneticPr fontId="14" type="noConversion"/>
  <conditionalFormatting sqref="B469">
    <cfRule type="duplicateValues" dxfId="4" priority="621"/>
    <cfRule type="duplicateValues" dxfId="3" priority="622"/>
    <cfRule type="duplicateValues" dxfId="2" priority="623"/>
    <cfRule type="duplicateValues" dxfId="1" priority="624"/>
    <cfRule type="duplicateValues" dxfId="0" priority="625"/>
  </conditionalFormatting>
  <dataValidations count="3">
    <dataValidation type="list" allowBlank="1" showInputMessage="1" showErrorMessage="1" sqref="H19:H23 H2:H17" xr:uid="{00000000-0002-0000-0100-000000000000}">
      <formula1>$A$2252:$A$2254</formula1>
    </dataValidation>
    <dataValidation type="whole" allowBlank="1" showInputMessage="1" showErrorMessage="1" sqref="L15:L17 L2:L13" xr:uid="{00000000-0002-0000-0100-000001000000}">
      <formula1>1</formula1>
      <formula2>24</formula2>
    </dataValidation>
    <dataValidation type="whole" allowBlank="1" showInputMessage="1" showErrorMessage="1" sqref="B6 B10:B14 B22 B44 B62:B63 B66 B35 B98:B110 B242:B249 B264 B252:B262 B266:B271 B626 B635 B784:B809 B726:B779 B812:B826 B477:B481 B861:B877 B919:B939 B941:B956 B959:B965 B971:B973 B981 B829:B858 B1079 B1093:B1102 B1073:B1074 B1068:B1070 B2:B4 B1062 B16:B17 C97 B69:B96 B113:B193 B198:B215 B217:B240 B274:B421 B532:B535 B432:B467 B469:B475 B538:B539 B541:B570 B423:B430 B483:B529 B610 B612:B623 B573:B607 B693:B717 B719:B722 B640:B669 B675:B677 B679:B689 B781:B782 B880:B912 B1056:B1060 B1164 B1177:B1178 B984:B1029 B1145:B1162 B1204:B1245 B1280 B1282:B1283 B1289:B1290 B1295 B1353 B1372 B1457 B1493:B1499 B1501:B1502 B1505:B1509 B1520:B1524 B1531:B1547 B1550:B1551 B1553:B1561 B1563:B1568 B1574:B1577 B1579:B1581 B1583 B1588 B1594:B1598 B1600:B1601 B1605:B1606" xr:uid="{00000000-0002-0000-0100-000002000000}">
      <formula1>1000000</formula1>
      <formula2>2000000000</formula2>
    </dataValidation>
  </dataValidations>
  <printOptions horizontalCentered="1"/>
  <pageMargins left="0.59055118110236227" right="0.59055118110236227" top="0.59055118110236227" bottom="0.59055118110236227" header="0" footer="0"/>
  <pageSetup paperSize="14" scale="9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B1:I7"/>
  <sheetViews>
    <sheetView zoomScale="90" zoomScaleNormal="90" workbookViewId="0">
      <pane xSplit="2" ySplit="4" topLeftCell="C5" activePane="bottomRight" state="frozen"/>
      <selection activeCell="E21" sqref="E21"/>
      <selection pane="topRight" activeCell="E21" sqref="E21"/>
      <selection pane="bottomLeft" activeCell="E21" sqref="E21"/>
      <selection pane="bottomRight" activeCell="E21" sqref="E21"/>
    </sheetView>
  </sheetViews>
  <sheetFormatPr baseColWidth="10" defaultRowHeight="15" x14ac:dyDescent="0.25"/>
  <cols>
    <col min="2" max="2" width="29.140625" bestFit="1" customWidth="1"/>
    <col min="3" max="3" width="22.42578125" bestFit="1" customWidth="1"/>
    <col min="4" max="4" width="12.5703125" bestFit="1" customWidth="1"/>
    <col min="5" max="5" width="24.5703125" bestFit="1" customWidth="1"/>
    <col min="6" max="6" width="11" bestFit="1" customWidth="1"/>
    <col min="7" max="7" width="22.140625" bestFit="1" customWidth="1"/>
    <col min="8" max="8" width="23.85546875" bestFit="1" customWidth="1"/>
    <col min="9" max="9" width="12.5703125" bestFit="1" customWidth="1"/>
    <col min="10" max="10" width="23.28515625" bestFit="1" customWidth="1"/>
    <col min="11" max="11" width="24.5703125" bestFit="1" customWidth="1"/>
    <col min="12" max="12" width="25" bestFit="1" customWidth="1"/>
    <col min="13" max="13" width="23" bestFit="1" customWidth="1"/>
    <col min="14" max="14" width="11" bestFit="1" customWidth="1"/>
    <col min="15" max="15" width="12.5703125" bestFit="1" customWidth="1"/>
  </cols>
  <sheetData>
    <row r="1" spans="2:9" ht="23.25" x14ac:dyDescent="0.35">
      <c r="B1" s="93" t="s">
        <v>19279</v>
      </c>
      <c r="C1" s="93"/>
      <c r="D1" s="93"/>
      <c r="E1" s="93"/>
      <c r="F1" s="93"/>
      <c r="G1" s="93"/>
      <c r="H1" s="93"/>
      <c r="I1" s="93"/>
    </row>
    <row r="3" spans="2:9" x14ac:dyDescent="0.25">
      <c r="B3" s="16" t="s">
        <v>19274</v>
      </c>
      <c r="C3" s="16" t="s">
        <v>19275</v>
      </c>
    </row>
    <row r="4" spans="2:9" x14ac:dyDescent="0.25">
      <c r="B4" s="16" t="s">
        <v>19271</v>
      </c>
      <c r="C4" t="s">
        <v>19272</v>
      </c>
      <c r="D4" t="s">
        <v>19273</v>
      </c>
    </row>
    <row r="5" spans="2:9" x14ac:dyDescent="0.25">
      <c r="B5" s="17" t="s">
        <v>19272</v>
      </c>
    </row>
    <row r="6" spans="2:9" x14ac:dyDescent="0.25">
      <c r="B6" s="40" t="s">
        <v>19272</v>
      </c>
    </row>
    <row r="7" spans="2:9" x14ac:dyDescent="0.25">
      <c r="B7" s="17" t="s">
        <v>19273</v>
      </c>
    </row>
  </sheetData>
  <mergeCells count="1">
    <mergeCell ref="B1:I1"/>
  </mergeCells>
  <pageMargins left="0.70866141732283472" right="0.70866141732283472" top="0.74803149606299213" bottom="0.74803149606299213" header="0.31496062992125984" footer="0.31496062992125984"/>
  <pageSetup paperSize="9" scale="69"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9"/>
  <dimension ref="A3:E12429"/>
  <sheetViews>
    <sheetView workbookViewId="0">
      <selection activeCell="A4" sqref="A4:B4"/>
    </sheetView>
  </sheetViews>
  <sheetFormatPr baseColWidth="10" defaultColWidth="11.42578125" defaultRowHeight="12.75" x14ac:dyDescent="0.2"/>
  <cols>
    <col min="1" max="1" width="7.7109375" style="1" customWidth="1"/>
    <col min="2" max="2" width="71.42578125" style="2" customWidth="1"/>
    <col min="3" max="16384" width="11.42578125" style="1"/>
  </cols>
  <sheetData>
    <row r="3" spans="1:5" ht="12.75" customHeight="1" x14ac:dyDescent="0.2">
      <c r="A3" s="97" t="s">
        <v>28</v>
      </c>
      <c r="B3" s="97"/>
      <c r="C3" s="4"/>
      <c r="D3" s="94"/>
      <c r="E3" s="94"/>
    </row>
    <row r="4" spans="1:5" ht="59.25" customHeight="1" x14ac:dyDescent="0.2">
      <c r="A4" s="96" t="s">
        <v>12479</v>
      </c>
      <c r="B4" s="96"/>
      <c r="C4" s="5"/>
      <c r="D4" s="95"/>
      <c r="E4" s="95"/>
    </row>
    <row r="6" spans="1:5" x14ac:dyDescent="0.2">
      <c r="A6" s="6" t="s">
        <v>29</v>
      </c>
      <c r="B6" s="10" t="s">
        <v>12478</v>
      </c>
    </row>
    <row r="7" spans="1:5" x14ac:dyDescent="0.2">
      <c r="A7" s="7" t="s">
        <v>30</v>
      </c>
      <c r="B7" s="2" t="s">
        <v>12481</v>
      </c>
    </row>
    <row r="8" spans="1:5" x14ac:dyDescent="0.2">
      <c r="A8" s="8" t="s">
        <v>31</v>
      </c>
      <c r="B8" s="2" t="s">
        <v>12481</v>
      </c>
    </row>
    <row r="9" spans="1:5" x14ac:dyDescent="0.2">
      <c r="A9" s="8" t="s">
        <v>32</v>
      </c>
      <c r="B9" s="2" t="s">
        <v>12481</v>
      </c>
    </row>
    <row r="10" spans="1:5" x14ac:dyDescent="0.2">
      <c r="A10" s="8" t="s">
        <v>33</v>
      </c>
      <c r="B10" s="2" t="s">
        <v>12481</v>
      </c>
    </row>
    <row r="11" spans="1:5" x14ac:dyDescent="0.2">
      <c r="A11" s="8" t="s">
        <v>34</v>
      </c>
      <c r="B11" s="2" t="s">
        <v>12481</v>
      </c>
    </row>
    <row r="12" spans="1:5" x14ac:dyDescent="0.2">
      <c r="A12" s="8" t="s">
        <v>35</v>
      </c>
      <c r="B12" s="2" t="s">
        <v>12481</v>
      </c>
    </row>
    <row r="13" spans="1:5" x14ac:dyDescent="0.2">
      <c r="A13" s="8" t="s">
        <v>36</v>
      </c>
      <c r="B13" s="2" t="s">
        <v>12481</v>
      </c>
    </row>
    <row r="14" spans="1:5" x14ac:dyDescent="0.2">
      <c r="A14" s="8" t="s">
        <v>37</v>
      </c>
      <c r="B14" s="2" t="s">
        <v>12481</v>
      </c>
    </row>
    <row r="15" spans="1:5" x14ac:dyDescent="0.2">
      <c r="A15" s="8" t="s">
        <v>38</v>
      </c>
      <c r="B15" s="2" t="s">
        <v>12481</v>
      </c>
    </row>
    <row r="16" spans="1:5" x14ac:dyDescent="0.2">
      <c r="A16" s="8" t="s">
        <v>39</v>
      </c>
      <c r="B16" s="2" t="s">
        <v>12481</v>
      </c>
    </row>
    <row r="17" spans="1:2" x14ac:dyDescent="0.2">
      <c r="A17" s="8" t="s">
        <v>40</v>
      </c>
      <c r="B17" s="2" t="s">
        <v>12481</v>
      </c>
    </row>
    <row r="18" spans="1:2" x14ac:dyDescent="0.2">
      <c r="A18" s="8" t="s">
        <v>41</v>
      </c>
      <c r="B18" s="2" t="s">
        <v>12481</v>
      </c>
    </row>
    <row r="19" spans="1:2" x14ac:dyDescent="0.2">
      <c r="A19" s="8" t="s">
        <v>42</v>
      </c>
      <c r="B19" s="2" t="s">
        <v>12481</v>
      </c>
    </row>
    <row r="20" spans="1:2" x14ac:dyDescent="0.2">
      <c r="A20" s="8" t="s">
        <v>43</v>
      </c>
      <c r="B20" s="2" t="s">
        <v>12481</v>
      </c>
    </row>
    <row r="21" spans="1:2" x14ac:dyDescent="0.2">
      <c r="A21" s="8" t="s">
        <v>44</v>
      </c>
      <c r="B21" s="2" t="s">
        <v>12481</v>
      </c>
    </row>
    <row r="22" spans="1:2" x14ac:dyDescent="0.2">
      <c r="A22" s="8" t="s">
        <v>45</v>
      </c>
      <c r="B22" s="2" t="s">
        <v>12481</v>
      </c>
    </row>
    <row r="23" spans="1:2" x14ac:dyDescent="0.2">
      <c r="A23" s="8" t="s">
        <v>46</v>
      </c>
      <c r="B23" s="2" t="s">
        <v>12481</v>
      </c>
    </row>
    <row r="24" spans="1:2" x14ac:dyDescent="0.2">
      <c r="A24" s="8" t="s">
        <v>47</v>
      </c>
      <c r="B24" s="2" t="s">
        <v>12481</v>
      </c>
    </row>
    <row r="25" spans="1:2" x14ac:dyDescent="0.2">
      <c r="A25" s="8" t="s">
        <v>48</v>
      </c>
      <c r="B25" s="2" t="s">
        <v>12481</v>
      </c>
    </row>
    <row r="26" spans="1:2" x14ac:dyDescent="0.2">
      <c r="A26" s="8" t="s">
        <v>49</v>
      </c>
      <c r="B26" s="2" t="s">
        <v>12481</v>
      </c>
    </row>
    <row r="27" spans="1:2" x14ac:dyDescent="0.2">
      <c r="A27" s="8" t="s">
        <v>50</v>
      </c>
      <c r="B27" s="2" t="s">
        <v>12481</v>
      </c>
    </row>
    <row r="28" spans="1:2" x14ac:dyDescent="0.2">
      <c r="A28" s="8" t="s">
        <v>51</v>
      </c>
      <c r="B28" s="2" t="s">
        <v>12481</v>
      </c>
    </row>
    <row r="29" spans="1:2" x14ac:dyDescent="0.2">
      <c r="A29" s="8" t="s">
        <v>52</v>
      </c>
      <c r="B29" s="2" t="s">
        <v>12481</v>
      </c>
    </row>
    <row r="30" spans="1:2" x14ac:dyDescent="0.2">
      <c r="A30" s="8" t="s">
        <v>53</v>
      </c>
      <c r="B30" s="2" t="s">
        <v>12481</v>
      </c>
    </row>
    <row r="31" spans="1:2" x14ac:dyDescent="0.2">
      <c r="A31" s="8" t="s">
        <v>54</v>
      </c>
      <c r="B31" s="2" t="s">
        <v>12481</v>
      </c>
    </row>
    <row r="32" spans="1:2" x14ac:dyDescent="0.2">
      <c r="A32" s="8" t="s">
        <v>55</v>
      </c>
      <c r="B32" s="2" t="s">
        <v>12481</v>
      </c>
    </row>
    <row r="33" spans="1:2" x14ac:dyDescent="0.2">
      <c r="A33" s="8" t="s">
        <v>56</v>
      </c>
      <c r="B33" s="2" t="s">
        <v>12481</v>
      </c>
    </row>
    <row r="34" spans="1:2" x14ac:dyDescent="0.2">
      <c r="A34" s="8" t="s">
        <v>57</v>
      </c>
      <c r="B34" s="2" t="s">
        <v>12481</v>
      </c>
    </row>
    <row r="35" spans="1:2" x14ac:dyDescent="0.2">
      <c r="A35" s="8" t="s">
        <v>58</v>
      </c>
      <c r="B35" s="2" t="s">
        <v>12481</v>
      </c>
    </row>
    <row r="36" spans="1:2" x14ac:dyDescent="0.2">
      <c r="A36" s="8" t="s">
        <v>59</v>
      </c>
      <c r="B36" s="2" t="s">
        <v>12481</v>
      </c>
    </row>
    <row r="37" spans="1:2" x14ac:dyDescent="0.2">
      <c r="A37" s="8" t="s">
        <v>60</v>
      </c>
      <c r="B37" s="2" t="s">
        <v>12481</v>
      </c>
    </row>
    <row r="38" spans="1:2" x14ac:dyDescent="0.2">
      <c r="A38" s="8" t="s">
        <v>61</v>
      </c>
      <c r="B38" s="2" t="s">
        <v>12481</v>
      </c>
    </row>
    <row r="39" spans="1:2" x14ac:dyDescent="0.2">
      <c r="A39" s="8" t="s">
        <v>62</v>
      </c>
      <c r="B39" s="2" t="s">
        <v>12481</v>
      </c>
    </row>
    <row r="40" spans="1:2" x14ac:dyDescent="0.2">
      <c r="A40" s="8" t="s">
        <v>63</v>
      </c>
      <c r="B40" s="2" t="s">
        <v>12481</v>
      </c>
    </row>
    <row r="41" spans="1:2" x14ac:dyDescent="0.2">
      <c r="A41" s="8" t="s">
        <v>64</v>
      </c>
      <c r="B41" s="2" t="s">
        <v>12481</v>
      </c>
    </row>
    <row r="42" spans="1:2" x14ac:dyDescent="0.2">
      <c r="A42" s="8" t="s">
        <v>65</v>
      </c>
      <c r="B42" s="2" t="s">
        <v>12481</v>
      </c>
    </row>
    <row r="43" spans="1:2" x14ac:dyDescent="0.2">
      <c r="A43" s="8" t="s">
        <v>66</v>
      </c>
      <c r="B43" s="2" t="s">
        <v>12481</v>
      </c>
    </row>
    <row r="44" spans="1:2" x14ac:dyDescent="0.2">
      <c r="A44" s="8" t="s">
        <v>67</v>
      </c>
      <c r="B44" s="2" t="s">
        <v>12481</v>
      </c>
    </row>
    <row r="45" spans="1:2" x14ac:dyDescent="0.2">
      <c r="A45" s="8" t="s">
        <v>68</v>
      </c>
      <c r="B45" s="2" t="s">
        <v>12481</v>
      </c>
    </row>
    <row r="46" spans="1:2" x14ac:dyDescent="0.2">
      <c r="A46" s="8" t="s">
        <v>69</v>
      </c>
      <c r="B46" s="2" t="s">
        <v>12481</v>
      </c>
    </row>
    <row r="47" spans="1:2" x14ac:dyDescent="0.2">
      <c r="A47" s="8" t="s">
        <v>70</v>
      </c>
      <c r="B47" s="2" t="s">
        <v>12481</v>
      </c>
    </row>
    <row r="48" spans="1:2" x14ac:dyDescent="0.2">
      <c r="A48" s="8" t="s">
        <v>71</v>
      </c>
      <c r="B48" s="2" t="s">
        <v>12481</v>
      </c>
    </row>
    <row r="49" spans="1:2" x14ac:dyDescent="0.2">
      <c r="A49" s="8" t="s">
        <v>72</v>
      </c>
      <c r="B49" s="2" t="s">
        <v>12481</v>
      </c>
    </row>
    <row r="50" spans="1:2" x14ac:dyDescent="0.2">
      <c r="A50" s="8" t="s">
        <v>73</v>
      </c>
      <c r="B50" s="2" t="s">
        <v>12481</v>
      </c>
    </row>
    <row r="51" spans="1:2" x14ac:dyDescent="0.2">
      <c r="A51" s="8" t="s">
        <v>74</v>
      </c>
      <c r="B51" s="2" t="s">
        <v>12481</v>
      </c>
    </row>
    <row r="52" spans="1:2" x14ac:dyDescent="0.2">
      <c r="A52" s="8" t="s">
        <v>75</v>
      </c>
      <c r="B52" s="2" t="s">
        <v>12481</v>
      </c>
    </row>
    <row r="53" spans="1:2" x14ac:dyDescent="0.2">
      <c r="A53" s="8" t="s">
        <v>76</v>
      </c>
      <c r="B53" s="2" t="s">
        <v>12481</v>
      </c>
    </row>
    <row r="54" spans="1:2" x14ac:dyDescent="0.2">
      <c r="A54" s="8" t="s">
        <v>77</v>
      </c>
      <c r="B54" s="2" t="s">
        <v>12481</v>
      </c>
    </row>
    <row r="55" spans="1:2" x14ac:dyDescent="0.2">
      <c r="A55" s="8" t="s">
        <v>78</v>
      </c>
      <c r="B55" s="2" t="s">
        <v>12481</v>
      </c>
    </row>
    <row r="56" spans="1:2" x14ac:dyDescent="0.2">
      <c r="A56" s="8" t="s">
        <v>79</v>
      </c>
      <c r="B56" s="2" t="s">
        <v>12481</v>
      </c>
    </row>
    <row r="57" spans="1:2" x14ac:dyDescent="0.2">
      <c r="A57" s="8" t="s">
        <v>80</v>
      </c>
      <c r="B57" s="2" t="s">
        <v>12481</v>
      </c>
    </row>
    <row r="58" spans="1:2" x14ac:dyDescent="0.2">
      <c r="A58" s="8" t="s">
        <v>81</v>
      </c>
      <c r="B58" s="2" t="s">
        <v>12481</v>
      </c>
    </row>
    <row r="59" spans="1:2" x14ac:dyDescent="0.2">
      <c r="A59" s="8" t="s">
        <v>82</v>
      </c>
      <c r="B59" s="2" t="s">
        <v>12481</v>
      </c>
    </row>
    <row r="60" spans="1:2" x14ac:dyDescent="0.2">
      <c r="A60" s="8" t="s">
        <v>83</v>
      </c>
      <c r="B60" s="2" t="s">
        <v>12481</v>
      </c>
    </row>
    <row r="61" spans="1:2" x14ac:dyDescent="0.2">
      <c r="A61" s="8" t="s">
        <v>84</v>
      </c>
      <c r="B61" s="2" t="s">
        <v>12481</v>
      </c>
    </row>
    <row r="62" spans="1:2" x14ac:dyDescent="0.2">
      <c r="A62" s="8" t="s">
        <v>85</v>
      </c>
      <c r="B62" s="2" t="s">
        <v>12481</v>
      </c>
    </row>
    <row r="63" spans="1:2" x14ac:dyDescent="0.2">
      <c r="A63" s="8" t="s">
        <v>86</v>
      </c>
      <c r="B63" s="2" t="s">
        <v>12481</v>
      </c>
    </row>
    <row r="64" spans="1:2" x14ac:dyDescent="0.2">
      <c r="A64" s="8" t="s">
        <v>87</v>
      </c>
      <c r="B64" s="2" t="s">
        <v>12481</v>
      </c>
    </row>
    <row r="65" spans="1:2" x14ac:dyDescent="0.2">
      <c r="A65" s="8" t="s">
        <v>88</v>
      </c>
      <c r="B65" s="2" t="s">
        <v>12481</v>
      </c>
    </row>
    <row r="66" spans="1:2" x14ac:dyDescent="0.2">
      <c r="A66" s="8" t="s">
        <v>89</v>
      </c>
      <c r="B66" s="2" t="s">
        <v>12481</v>
      </c>
    </row>
    <row r="67" spans="1:2" x14ac:dyDescent="0.2">
      <c r="A67" s="8" t="s">
        <v>90</v>
      </c>
      <c r="B67" s="2" t="s">
        <v>12481</v>
      </c>
    </row>
    <row r="68" spans="1:2" x14ac:dyDescent="0.2">
      <c r="A68" s="8" t="s">
        <v>91</v>
      </c>
      <c r="B68" s="2" t="s">
        <v>12481</v>
      </c>
    </row>
    <row r="69" spans="1:2" x14ac:dyDescent="0.2">
      <c r="A69" s="8" t="s">
        <v>92</v>
      </c>
      <c r="B69" s="2" t="s">
        <v>12481</v>
      </c>
    </row>
    <row r="70" spans="1:2" x14ac:dyDescent="0.2">
      <c r="A70" s="8" t="s">
        <v>93</v>
      </c>
      <c r="B70" s="2" t="s">
        <v>12481</v>
      </c>
    </row>
    <row r="71" spans="1:2" x14ac:dyDescent="0.2">
      <c r="A71" s="8" t="s">
        <v>94</v>
      </c>
      <c r="B71" s="2" t="s">
        <v>12481</v>
      </c>
    </row>
    <row r="72" spans="1:2" x14ac:dyDescent="0.2">
      <c r="A72" s="8" t="s">
        <v>95</v>
      </c>
      <c r="B72" s="2" t="s">
        <v>12481</v>
      </c>
    </row>
    <row r="73" spans="1:2" x14ac:dyDescent="0.2">
      <c r="A73" s="8" t="s">
        <v>96</v>
      </c>
      <c r="B73" s="2" t="s">
        <v>12481</v>
      </c>
    </row>
    <row r="74" spans="1:2" x14ac:dyDescent="0.2">
      <c r="A74" s="8" t="s">
        <v>97</v>
      </c>
      <c r="B74" s="2" t="s">
        <v>12481</v>
      </c>
    </row>
    <row r="75" spans="1:2" x14ac:dyDescent="0.2">
      <c r="A75" s="8" t="s">
        <v>98</v>
      </c>
      <c r="B75" s="2" t="s">
        <v>12481</v>
      </c>
    </row>
    <row r="76" spans="1:2" x14ac:dyDescent="0.2">
      <c r="A76" s="8" t="s">
        <v>99</v>
      </c>
      <c r="B76" s="2" t="s">
        <v>12481</v>
      </c>
    </row>
    <row r="77" spans="1:2" x14ac:dyDescent="0.2">
      <c r="A77" s="8" t="s">
        <v>100</v>
      </c>
      <c r="B77" s="2" t="s">
        <v>12481</v>
      </c>
    </row>
    <row r="78" spans="1:2" x14ac:dyDescent="0.2">
      <c r="A78" s="8" t="s">
        <v>101</v>
      </c>
      <c r="B78" s="2" t="s">
        <v>12481</v>
      </c>
    </row>
    <row r="79" spans="1:2" x14ac:dyDescent="0.2">
      <c r="A79" s="8" t="s">
        <v>102</v>
      </c>
      <c r="B79" s="2" t="s">
        <v>12481</v>
      </c>
    </row>
    <row r="80" spans="1:2" x14ac:dyDescent="0.2">
      <c r="A80" s="8" t="s">
        <v>103</v>
      </c>
      <c r="B80" s="2" t="s">
        <v>12481</v>
      </c>
    </row>
    <row r="81" spans="1:2" x14ac:dyDescent="0.2">
      <c r="A81" s="8" t="s">
        <v>104</v>
      </c>
      <c r="B81" s="2" t="s">
        <v>12481</v>
      </c>
    </row>
    <row r="82" spans="1:2" x14ac:dyDescent="0.2">
      <c r="A82" s="8" t="s">
        <v>105</v>
      </c>
      <c r="B82" s="2" t="s">
        <v>12481</v>
      </c>
    </row>
    <row r="83" spans="1:2" x14ac:dyDescent="0.2">
      <c r="A83" s="8" t="s">
        <v>106</v>
      </c>
      <c r="B83" s="2" t="s">
        <v>12481</v>
      </c>
    </row>
    <row r="84" spans="1:2" x14ac:dyDescent="0.2">
      <c r="A84" s="8" t="s">
        <v>107</v>
      </c>
      <c r="B84" s="2" t="s">
        <v>12481</v>
      </c>
    </row>
    <row r="85" spans="1:2" x14ac:dyDescent="0.2">
      <c r="A85" s="8" t="s">
        <v>108</v>
      </c>
      <c r="B85" s="2" t="s">
        <v>12481</v>
      </c>
    </row>
    <row r="86" spans="1:2" x14ac:dyDescent="0.2">
      <c r="A86" s="8" t="s">
        <v>109</v>
      </c>
      <c r="B86" s="2" t="s">
        <v>12481</v>
      </c>
    </row>
    <row r="87" spans="1:2" x14ac:dyDescent="0.2">
      <c r="A87" s="8" t="s">
        <v>110</v>
      </c>
      <c r="B87" s="2" t="s">
        <v>12481</v>
      </c>
    </row>
    <row r="88" spans="1:2" x14ac:dyDescent="0.2">
      <c r="A88" s="8" t="s">
        <v>111</v>
      </c>
      <c r="B88" s="2" t="s">
        <v>12481</v>
      </c>
    </row>
    <row r="89" spans="1:2" x14ac:dyDescent="0.2">
      <c r="A89" s="8" t="s">
        <v>112</v>
      </c>
      <c r="B89" s="2" t="s">
        <v>12481</v>
      </c>
    </row>
    <row r="90" spans="1:2" x14ac:dyDescent="0.2">
      <c r="A90" s="8" t="s">
        <v>113</v>
      </c>
      <c r="B90" s="2" t="s">
        <v>12481</v>
      </c>
    </row>
    <row r="91" spans="1:2" x14ac:dyDescent="0.2">
      <c r="A91" s="8" t="s">
        <v>114</v>
      </c>
      <c r="B91" s="2" t="s">
        <v>12481</v>
      </c>
    </row>
    <row r="92" spans="1:2" x14ac:dyDescent="0.2">
      <c r="A92" s="8" t="s">
        <v>115</v>
      </c>
      <c r="B92" s="2" t="s">
        <v>12481</v>
      </c>
    </row>
    <row r="93" spans="1:2" x14ac:dyDescent="0.2">
      <c r="A93" s="8" t="s">
        <v>116</v>
      </c>
      <c r="B93" s="2" t="s">
        <v>12481</v>
      </c>
    </row>
    <row r="94" spans="1:2" x14ac:dyDescent="0.2">
      <c r="A94" s="8" t="s">
        <v>117</v>
      </c>
      <c r="B94" s="2" t="s">
        <v>12481</v>
      </c>
    </row>
    <row r="95" spans="1:2" x14ac:dyDescent="0.2">
      <c r="A95" s="8" t="s">
        <v>118</v>
      </c>
      <c r="B95" s="2" t="s">
        <v>12481</v>
      </c>
    </row>
    <row r="96" spans="1:2" x14ac:dyDescent="0.2">
      <c r="A96" s="8" t="s">
        <v>119</v>
      </c>
      <c r="B96" s="2" t="s">
        <v>12481</v>
      </c>
    </row>
    <row r="97" spans="1:2" x14ac:dyDescent="0.2">
      <c r="A97" s="8" t="s">
        <v>120</v>
      </c>
      <c r="B97" s="2" t="s">
        <v>12481</v>
      </c>
    </row>
    <row r="98" spans="1:2" x14ac:dyDescent="0.2">
      <c r="A98" s="8" t="s">
        <v>121</v>
      </c>
      <c r="B98" s="2" t="s">
        <v>12481</v>
      </c>
    </row>
    <row r="99" spans="1:2" x14ac:dyDescent="0.2">
      <c r="A99" s="8" t="s">
        <v>122</v>
      </c>
      <c r="B99" s="2" t="s">
        <v>12481</v>
      </c>
    </row>
    <row r="100" spans="1:2" x14ac:dyDescent="0.2">
      <c r="A100" s="8" t="s">
        <v>123</v>
      </c>
      <c r="B100" s="2" t="s">
        <v>12481</v>
      </c>
    </row>
    <row r="101" spans="1:2" x14ac:dyDescent="0.2">
      <c r="A101" s="8" t="s">
        <v>124</v>
      </c>
      <c r="B101" s="2" t="s">
        <v>12481</v>
      </c>
    </row>
    <row r="102" spans="1:2" x14ac:dyDescent="0.2">
      <c r="A102" s="8" t="s">
        <v>125</v>
      </c>
      <c r="B102" s="2" t="s">
        <v>12481</v>
      </c>
    </row>
    <row r="103" spans="1:2" x14ac:dyDescent="0.2">
      <c r="A103" s="8" t="s">
        <v>126</v>
      </c>
      <c r="B103" s="2" t="s">
        <v>12481</v>
      </c>
    </row>
    <row r="104" spans="1:2" x14ac:dyDescent="0.2">
      <c r="A104" s="8" t="s">
        <v>127</v>
      </c>
      <c r="B104" s="2" t="s">
        <v>12481</v>
      </c>
    </row>
    <row r="105" spans="1:2" x14ac:dyDescent="0.2">
      <c r="A105" s="8" t="s">
        <v>128</v>
      </c>
      <c r="B105" s="2" t="s">
        <v>12481</v>
      </c>
    </row>
    <row r="106" spans="1:2" x14ac:dyDescent="0.2">
      <c r="A106" s="8" t="s">
        <v>129</v>
      </c>
      <c r="B106" s="2" t="s">
        <v>12481</v>
      </c>
    </row>
    <row r="107" spans="1:2" x14ac:dyDescent="0.2">
      <c r="A107" s="8" t="s">
        <v>130</v>
      </c>
      <c r="B107" s="2" t="s">
        <v>12481</v>
      </c>
    </row>
    <row r="108" spans="1:2" x14ac:dyDescent="0.2">
      <c r="A108" s="8" t="s">
        <v>131</v>
      </c>
      <c r="B108" s="2" t="s">
        <v>12481</v>
      </c>
    </row>
    <row r="109" spans="1:2" x14ac:dyDescent="0.2">
      <c r="A109" s="8" t="s">
        <v>132</v>
      </c>
      <c r="B109" s="2" t="s">
        <v>12481</v>
      </c>
    </row>
    <row r="110" spans="1:2" x14ac:dyDescent="0.2">
      <c r="A110" s="8" t="s">
        <v>133</v>
      </c>
      <c r="B110" s="2" t="s">
        <v>12481</v>
      </c>
    </row>
    <row r="111" spans="1:2" x14ac:dyDescent="0.2">
      <c r="A111" s="8" t="s">
        <v>134</v>
      </c>
      <c r="B111" s="2" t="s">
        <v>12481</v>
      </c>
    </row>
    <row r="112" spans="1:2" x14ac:dyDescent="0.2">
      <c r="A112" s="8" t="s">
        <v>135</v>
      </c>
      <c r="B112" s="2" t="s">
        <v>12481</v>
      </c>
    </row>
    <row r="113" spans="1:2" x14ac:dyDescent="0.2">
      <c r="A113" s="8" t="s">
        <v>136</v>
      </c>
      <c r="B113" s="2" t="s">
        <v>12481</v>
      </c>
    </row>
    <row r="114" spans="1:2" x14ac:dyDescent="0.2">
      <c r="A114" s="8" t="s">
        <v>137</v>
      </c>
      <c r="B114" s="2" t="s">
        <v>12481</v>
      </c>
    </row>
    <row r="115" spans="1:2" x14ac:dyDescent="0.2">
      <c r="A115" s="8" t="s">
        <v>138</v>
      </c>
      <c r="B115" s="2" t="s">
        <v>12481</v>
      </c>
    </row>
    <row r="116" spans="1:2" x14ac:dyDescent="0.2">
      <c r="A116" s="8" t="s">
        <v>139</v>
      </c>
      <c r="B116" s="2" t="s">
        <v>12481</v>
      </c>
    </row>
    <row r="117" spans="1:2" x14ac:dyDescent="0.2">
      <c r="A117" s="8" t="s">
        <v>140</v>
      </c>
      <c r="B117" s="2" t="s">
        <v>12481</v>
      </c>
    </row>
    <row r="118" spans="1:2" x14ac:dyDescent="0.2">
      <c r="A118" s="8" t="s">
        <v>141</v>
      </c>
      <c r="B118" s="2" t="s">
        <v>12481</v>
      </c>
    </row>
    <row r="119" spans="1:2" x14ac:dyDescent="0.2">
      <c r="A119" s="8" t="s">
        <v>142</v>
      </c>
      <c r="B119" s="2" t="s">
        <v>12481</v>
      </c>
    </row>
    <row r="120" spans="1:2" x14ac:dyDescent="0.2">
      <c r="A120" s="8" t="s">
        <v>143</v>
      </c>
      <c r="B120" s="2" t="s">
        <v>12481</v>
      </c>
    </row>
    <row r="121" spans="1:2" x14ac:dyDescent="0.2">
      <c r="A121" s="8" t="s">
        <v>144</v>
      </c>
      <c r="B121" s="2" t="s">
        <v>12481</v>
      </c>
    </row>
    <row r="122" spans="1:2" x14ac:dyDescent="0.2">
      <c r="A122" s="8" t="s">
        <v>145</v>
      </c>
      <c r="B122" s="2" t="s">
        <v>12481</v>
      </c>
    </row>
    <row r="123" spans="1:2" x14ac:dyDescent="0.2">
      <c r="A123" s="8" t="s">
        <v>146</v>
      </c>
      <c r="B123" s="2" t="s">
        <v>12481</v>
      </c>
    </row>
    <row r="124" spans="1:2" x14ac:dyDescent="0.2">
      <c r="A124" s="8" t="s">
        <v>147</v>
      </c>
      <c r="B124" s="2" t="s">
        <v>12481</v>
      </c>
    </row>
    <row r="125" spans="1:2" x14ac:dyDescent="0.2">
      <c r="A125" s="8" t="s">
        <v>148</v>
      </c>
      <c r="B125" s="2" t="s">
        <v>12481</v>
      </c>
    </row>
    <row r="126" spans="1:2" x14ac:dyDescent="0.2">
      <c r="A126" s="8" t="s">
        <v>149</v>
      </c>
      <c r="B126" s="2" t="s">
        <v>12481</v>
      </c>
    </row>
    <row r="127" spans="1:2" x14ac:dyDescent="0.2">
      <c r="A127" s="8" t="s">
        <v>150</v>
      </c>
      <c r="B127" s="2" t="s">
        <v>12481</v>
      </c>
    </row>
    <row r="128" spans="1:2" x14ac:dyDescent="0.2">
      <c r="A128" s="8" t="s">
        <v>151</v>
      </c>
      <c r="B128" s="2" t="s">
        <v>12481</v>
      </c>
    </row>
    <row r="129" spans="1:2" x14ac:dyDescent="0.2">
      <c r="A129" s="8" t="s">
        <v>152</v>
      </c>
      <c r="B129" s="2" t="s">
        <v>12481</v>
      </c>
    </row>
    <row r="130" spans="1:2" x14ac:dyDescent="0.2">
      <c r="A130" s="8" t="s">
        <v>153</v>
      </c>
      <c r="B130" s="2" t="s">
        <v>12481</v>
      </c>
    </row>
    <row r="131" spans="1:2" x14ac:dyDescent="0.2">
      <c r="A131" s="8" t="s">
        <v>154</v>
      </c>
      <c r="B131" s="2" t="s">
        <v>12481</v>
      </c>
    </row>
    <row r="132" spans="1:2" x14ac:dyDescent="0.2">
      <c r="A132" s="8" t="s">
        <v>155</v>
      </c>
      <c r="B132" s="2" t="s">
        <v>12481</v>
      </c>
    </row>
    <row r="133" spans="1:2" x14ac:dyDescent="0.2">
      <c r="A133" s="8" t="s">
        <v>156</v>
      </c>
      <c r="B133" s="2" t="s">
        <v>12481</v>
      </c>
    </row>
    <row r="134" spans="1:2" x14ac:dyDescent="0.2">
      <c r="A134" s="8" t="s">
        <v>157</v>
      </c>
      <c r="B134" s="2" t="s">
        <v>12481</v>
      </c>
    </row>
    <row r="135" spans="1:2" x14ac:dyDescent="0.2">
      <c r="A135" s="8" t="s">
        <v>158</v>
      </c>
      <c r="B135" s="2" t="s">
        <v>12481</v>
      </c>
    </row>
    <row r="136" spans="1:2" x14ac:dyDescent="0.2">
      <c r="A136" s="8" t="s">
        <v>159</v>
      </c>
      <c r="B136" s="2" t="s">
        <v>12481</v>
      </c>
    </row>
    <row r="137" spans="1:2" x14ac:dyDescent="0.2">
      <c r="A137" s="8" t="s">
        <v>160</v>
      </c>
      <c r="B137" s="2" t="s">
        <v>12481</v>
      </c>
    </row>
    <row r="138" spans="1:2" x14ac:dyDescent="0.2">
      <c r="A138" s="8" t="s">
        <v>161</v>
      </c>
      <c r="B138" s="2" t="s">
        <v>12481</v>
      </c>
    </row>
    <row r="139" spans="1:2" x14ac:dyDescent="0.2">
      <c r="A139" s="8" t="s">
        <v>162</v>
      </c>
      <c r="B139" s="2" t="s">
        <v>12481</v>
      </c>
    </row>
    <row r="140" spans="1:2" x14ac:dyDescent="0.2">
      <c r="A140" s="8" t="s">
        <v>163</v>
      </c>
      <c r="B140" s="2" t="s">
        <v>12481</v>
      </c>
    </row>
    <row r="141" spans="1:2" x14ac:dyDescent="0.2">
      <c r="A141" s="8" t="s">
        <v>164</v>
      </c>
      <c r="B141" s="2" t="s">
        <v>12481</v>
      </c>
    </row>
    <row r="142" spans="1:2" x14ac:dyDescent="0.2">
      <c r="A142" s="8" t="s">
        <v>165</v>
      </c>
      <c r="B142" s="2" t="s">
        <v>12481</v>
      </c>
    </row>
    <row r="143" spans="1:2" x14ac:dyDescent="0.2">
      <c r="A143" s="8" t="s">
        <v>166</v>
      </c>
      <c r="B143" s="2" t="s">
        <v>12481</v>
      </c>
    </row>
    <row r="144" spans="1:2" x14ac:dyDescent="0.2">
      <c r="A144" s="8" t="s">
        <v>167</v>
      </c>
      <c r="B144" s="2" t="s">
        <v>12481</v>
      </c>
    </row>
    <row r="145" spans="1:2" x14ac:dyDescent="0.2">
      <c r="A145" s="8" t="s">
        <v>168</v>
      </c>
      <c r="B145" s="2" t="s">
        <v>12481</v>
      </c>
    </row>
    <row r="146" spans="1:2" x14ac:dyDescent="0.2">
      <c r="A146" s="8" t="s">
        <v>169</v>
      </c>
      <c r="B146" s="2" t="s">
        <v>12481</v>
      </c>
    </row>
    <row r="147" spans="1:2" x14ac:dyDescent="0.2">
      <c r="A147" s="8" t="s">
        <v>170</v>
      </c>
      <c r="B147" s="2" t="s">
        <v>12481</v>
      </c>
    </row>
    <row r="148" spans="1:2" x14ac:dyDescent="0.2">
      <c r="A148" s="8" t="s">
        <v>171</v>
      </c>
      <c r="B148" s="2" t="s">
        <v>12481</v>
      </c>
    </row>
    <row r="149" spans="1:2" x14ac:dyDescent="0.2">
      <c r="A149" s="8" t="s">
        <v>172</v>
      </c>
      <c r="B149" s="2" t="s">
        <v>12481</v>
      </c>
    </row>
    <row r="150" spans="1:2" x14ac:dyDescent="0.2">
      <c r="A150" s="8" t="s">
        <v>173</v>
      </c>
      <c r="B150" s="2" t="s">
        <v>12481</v>
      </c>
    </row>
    <row r="151" spans="1:2" x14ac:dyDescent="0.2">
      <c r="A151" s="8" t="s">
        <v>174</v>
      </c>
      <c r="B151" s="2" t="s">
        <v>12481</v>
      </c>
    </row>
    <row r="152" spans="1:2" x14ac:dyDescent="0.2">
      <c r="A152" s="8" t="s">
        <v>175</v>
      </c>
      <c r="B152" s="2" t="s">
        <v>12481</v>
      </c>
    </row>
    <row r="153" spans="1:2" x14ac:dyDescent="0.2">
      <c r="A153" s="8" t="s">
        <v>176</v>
      </c>
      <c r="B153" s="2" t="s">
        <v>12481</v>
      </c>
    </row>
    <row r="154" spans="1:2" x14ac:dyDescent="0.2">
      <c r="A154" s="8" t="s">
        <v>177</v>
      </c>
      <c r="B154" s="2" t="s">
        <v>12481</v>
      </c>
    </row>
    <row r="155" spans="1:2" x14ac:dyDescent="0.2">
      <c r="A155" s="8" t="s">
        <v>178</v>
      </c>
      <c r="B155" s="2" t="s">
        <v>12481</v>
      </c>
    </row>
    <row r="156" spans="1:2" x14ac:dyDescent="0.2">
      <c r="A156" s="8" t="s">
        <v>179</v>
      </c>
      <c r="B156" s="2" t="s">
        <v>12481</v>
      </c>
    </row>
    <row r="157" spans="1:2" x14ac:dyDescent="0.2">
      <c r="A157" s="8" t="s">
        <v>180</v>
      </c>
      <c r="B157" s="2" t="s">
        <v>12481</v>
      </c>
    </row>
    <row r="158" spans="1:2" x14ac:dyDescent="0.2">
      <c r="A158" s="8" t="s">
        <v>181</v>
      </c>
      <c r="B158" s="2" t="s">
        <v>12481</v>
      </c>
    </row>
    <row r="159" spans="1:2" x14ac:dyDescent="0.2">
      <c r="A159" s="8" t="s">
        <v>182</v>
      </c>
      <c r="B159" s="2" t="s">
        <v>12481</v>
      </c>
    </row>
    <row r="160" spans="1:2" x14ac:dyDescent="0.2">
      <c r="A160" s="8" t="s">
        <v>183</v>
      </c>
      <c r="B160" s="2" t="s">
        <v>12481</v>
      </c>
    </row>
    <row r="161" spans="1:2" x14ac:dyDescent="0.2">
      <c r="A161" s="8" t="s">
        <v>184</v>
      </c>
      <c r="B161" s="2" t="s">
        <v>12481</v>
      </c>
    </row>
    <row r="162" spans="1:2" x14ac:dyDescent="0.2">
      <c r="A162" s="8" t="s">
        <v>185</v>
      </c>
      <c r="B162" s="2" t="s">
        <v>12481</v>
      </c>
    </row>
    <row r="163" spans="1:2" x14ac:dyDescent="0.2">
      <c r="A163" s="8" t="s">
        <v>186</v>
      </c>
      <c r="B163" s="2" t="s">
        <v>12481</v>
      </c>
    </row>
    <row r="164" spans="1:2" x14ac:dyDescent="0.2">
      <c r="A164" s="8" t="s">
        <v>187</v>
      </c>
      <c r="B164" s="2" t="s">
        <v>12481</v>
      </c>
    </row>
    <row r="165" spans="1:2" x14ac:dyDescent="0.2">
      <c r="A165" s="8" t="s">
        <v>188</v>
      </c>
      <c r="B165" s="2" t="s">
        <v>12481</v>
      </c>
    </row>
    <row r="166" spans="1:2" x14ac:dyDescent="0.2">
      <c r="A166" s="8" t="s">
        <v>189</v>
      </c>
      <c r="B166" s="2" t="s">
        <v>12481</v>
      </c>
    </row>
    <row r="167" spans="1:2" x14ac:dyDescent="0.2">
      <c r="A167" s="8" t="s">
        <v>190</v>
      </c>
      <c r="B167" s="2" t="s">
        <v>12481</v>
      </c>
    </row>
    <row r="168" spans="1:2" x14ac:dyDescent="0.2">
      <c r="A168" s="8" t="s">
        <v>191</v>
      </c>
      <c r="B168" s="2" t="s">
        <v>12481</v>
      </c>
    </row>
    <row r="169" spans="1:2" x14ac:dyDescent="0.2">
      <c r="A169" s="8" t="s">
        <v>192</v>
      </c>
      <c r="B169" s="2" t="s">
        <v>12481</v>
      </c>
    </row>
    <row r="170" spans="1:2" x14ac:dyDescent="0.2">
      <c r="A170" s="8" t="s">
        <v>193</v>
      </c>
      <c r="B170" s="2" t="s">
        <v>12481</v>
      </c>
    </row>
    <row r="171" spans="1:2" x14ac:dyDescent="0.2">
      <c r="A171" s="8" t="s">
        <v>194</v>
      </c>
      <c r="B171" s="2" t="s">
        <v>12481</v>
      </c>
    </row>
    <row r="172" spans="1:2" x14ac:dyDescent="0.2">
      <c r="A172" s="8" t="s">
        <v>195</v>
      </c>
      <c r="B172" s="2" t="s">
        <v>12481</v>
      </c>
    </row>
    <row r="173" spans="1:2" x14ac:dyDescent="0.2">
      <c r="A173" s="8" t="s">
        <v>196</v>
      </c>
      <c r="B173" s="2" t="s">
        <v>12481</v>
      </c>
    </row>
    <row r="174" spans="1:2" x14ac:dyDescent="0.2">
      <c r="A174" s="8" t="s">
        <v>197</v>
      </c>
      <c r="B174" s="2" t="s">
        <v>12481</v>
      </c>
    </row>
    <row r="175" spans="1:2" x14ac:dyDescent="0.2">
      <c r="A175" s="8" t="s">
        <v>198</v>
      </c>
      <c r="B175" s="2" t="s">
        <v>12481</v>
      </c>
    </row>
    <row r="176" spans="1:2" x14ac:dyDescent="0.2">
      <c r="A176" s="8" t="s">
        <v>199</v>
      </c>
      <c r="B176" s="2" t="s">
        <v>12481</v>
      </c>
    </row>
    <row r="177" spans="1:2" x14ac:dyDescent="0.2">
      <c r="A177" s="8" t="s">
        <v>200</v>
      </c>
      <c r="B177" s="2" t="s">
        <v>12481</v>
      </c>
    </row>
    <row r="178" spans="1:2" x14ac:dyDescent="0.2">
      <c r="A178" s="8" t="s">
        <v>201</v>
      </c>
      <c r="B178" s="2" t="s">
        <v>12481</v>
      </c>
    </row>
    <row r="179" spans="1:2" x14ac:dyDescent="0.2">
      <c r="A179" s="8" t="s">
        <v>202</v>
      </c>
      <c r="B179" s="2" t="s">
        <v>12481</v>
      </c>
    </row>
    <row r="180" spans="1:2" x14ac:dyDescent="0.2">
      <c r="A180" s="8" t="s">
        <v>203</v>
      </c>
      <c r="B180" s="2" t="s">
        <v>12481</v>
      </c>
    </row>
    <row r="181" spans="1:2" x14ac:dyDescent="0.2">
      <c r="A181" s="8" t="s">
        <v>204</v>
      </c>
      <c r="B181" s="2" t="s">
        <v>12481</v>
      </c>
    </row>
    <row r="182" spans="1:2" x14ac:dyDescent="0.2">
      <c r="A182" s="8" t="s">
        <v>205</v>
      </c>
      <c r="B182" s="2" t="s">
        <v>12481</v>
      </c>
    </row>
    <row r="183" spans="1:2" x14ac:dyDescent="0.2">
      <c r="A183" s="8" t="s">
        <v>206</v>
      </c>
      <c r="B183" s="2" t="s">
        <v>12481</v>
      </c>
    </row>
    <row r="184" spans="1:2" x14ac:dyDescent="0.2">
      <c r="A184" s="8" t="s">
        <v>207</v>
      </c>
      <c r="B184" s="2" t="s">
        <v>12481</v>
      </c>
    </row>
    <row r="185" spans="1:2" x14ac:dyDescent="0.2">
      <c r="A185" s="8" t="s">
        <v>208</v>
      </c>
      <c r="B185" s="2" t="s">
        <v>12481</v>
      </c>
    </row>
    <row r="186" spans="1:2" x14ac:dyDescent="0.2">
      <c r="A186" s="8" t="s">
        <v>209</v>
      </c>
      <c r="B186" s="2" t="s">
        <v>12481</v>
      </c>
    </row>
    <row r="187" spans="1:2" x14ac:dyDescent="0.2">
      <c r="A187" s="8" t="s">
        <v>210</v>
      </c>
      <c r="B187" s="2" t="s">
        <v>12481</v>
      </c>
    </row>
    <row r="188" spans="1:2" x14ac:dyDescent="0.2">
      <c r="A188" s="8" t="s">
        <v>211</v>
      </c>
      <c r="B188" s="2" t="s">
        <v>12481</v>
      </c>
    </row>
    <row r="189" spans="1:2" x14ac:dyDescent="0.2">
      <c r="A189" s="8" t="s">
        <v>212</v>
      </c>
      <c r="B189" s="2" t="s">
        <v>12481</v>
      </c>
    </row>
    <row r="190" spans="1:2" x14ac:dyDescent="0.2">
      <c r="A190" s="8" t="s">
        <v>213</v>
      </c>
      <c r="B190" s="2" t="s">
        <v>12481</v>
      </c>
    </row>
    <row r="191" spans="1:2" x14ac:dyDescent="0.2">
      <c r="A191" s="8" t="s">
        <v>214</v>
      </c>
      <c r="B191" s="2" t="s">
        <v>12481</v>
      </c>
    </row>
    <row r="192" spans="1:2" x14ac:dyDescent="0.2">
      <c r="A192" s="8" t="s">
        <v>215</v>
      </c>
      <c r="B192" s="2" t="s">
        <v>12481</v>
      </c>
    </row>
    <row r="193" spans="1:2" x14ac:dyDescent="0.2">
      <c r="A193" s="8" t="s">
        <v>216</v>
      </c>
      <c r="B193" s="2" t="s">
        <v>12481</v>
      </c>
    </row>
    <row r="194" spans="1:2" x14ac:dyDescent="0.2">
      <c r="A194" s="8" t="s">
        <v>217</v>
      </c>
      <c r="B194" s="2" t="s">
        <v>12481</v>
      </c>
    </row>
    <row r="195" spans="1:2" x14ac:dyDescent="0.2">
      <c r="A195" s="8" t="s">
        <v>218</v>
      </c>
      <c r="B195" s="2" t="s">
        <v>12481</v>
      </c>
    </row>
    <row r="196" spans="1:2" x14ac:dyDescent="0.2">
      <c r="A196" s="8" t="s">
        <v>219</v>
      </c>
      <c r="B196" s="2" t="s">
        <v>12481</v>
      </c>
    </row>
    <row r="197" spans="1:2" x14ac:dyDescent="0.2">
      <c r="A197" s="8" t="s">
        <v>220</v>
      </c>
      <c r="B197" s="2" t="s">
        <v>12481</v>
      </c>
    </row>
    <row r="198" spans="1:2" x14ac:dyDescent="0.2">
      <c r="A198" s="8" t="s">
        <v>221</v>
      </c>
      <c r="B198" s="2" t="s">
        <v>12481</v>
      </c>
    </row>
    <row r="199" spans="1:2" x14ac:dyDescent="0.2">
      <c r="A199" s="8" t="s">
        <v>222</v>
      </c>
      <c r="B199" s="2" t="s">
        <v>12481</v>
      </c>
    </row>
    <row r="200" spans="1:2" x14ac:dyDescent="0.2">
      <c r="A200" s="8" t="s">
        <v>223</v>
      </c>
      <c r="B200" s="2" t="s">
        <v>12481</v>
      </c>
    </row>
    <row r="201" spans="1:2" x14ac:dyDescent="0.2">
      <c r="A201" s="8" t="s">
        <v>224</v>
      </c>
      <c r="B201" s="2" t="s">
        <v>12481</v>
      </c>
    </row>
    <row r="202" spans="1:2" x14ac:dyDescent="0.2">
      <c r="A202" s="8" t="s">
        <v>225</v>
      </c>
      <c r="B202" s="2" t="s">
        <v>12481</v>
      </c>
    </row>
    <row r="203" spans="1:2" x14ac:dyDescent="0.2">
      <c r="A203" s="8" t="s">
        <v>226</v>
      </c>
      <c r="B203" s="2" t="s">
        <v>12481</v>
      </c>
    </row>
    <row r="204" spans="1:2" x14ac:dyDescent="0.2">
      <c r="A204" s="8" t="s">
        <v>227</v>
      </c>
      <c r="B204" s="2" t="s">
        <v>12481</v>
      </c>
    </row>
    <row r="205" spans="1:2" x14ac:dyDescent="0.2">
      <c r="A205" s="8" t="s">
        <v>228</v>
      </c>
      <c r="B205" s="2" t="s">
        <v>12481</v>
      </c>
    </row>
    <row r="206" spans="1:2" x14ac:dyDescent="0.2">
      <c r="A206" s="8" t="s">
        <v>229</v>
      </c>
      <c r="B206" s="2" t="s">
        <v>12481</v>
      </c>
    </row>
    <row r="207" spans="1:2" x14ac:dyDescent="0.2">
      <c r="A207" s="8" t="s">
        <v>230</v>
      </c>
      <c r="B207" s="2" t="s">
        <v>12481</v>
      </c>
    </row>
    <row r="208" spans="1:2" x14ac:dyDescent="0.2">
      <c r="A208" s="8" t="s">
        <v>231</v>
      </c>
      <c r="B208" s="2" t="s">
        <v>12481</v>
      </c>
    </row>
    <row r="209" spans="1:2" x14ac:dyDescent="0.2">
      <c r="A209" s="8" t="s">
        <v>232</v>
      </c>
      <c r="B209" s="2" t="s">
        <v>12481</v>
      </c>
    </row>
    <row r="210" spans="1:2" x14ac:dyDescent="0.2">
      <c r="A210" s="8" t="s">
        <v>233</v>
      </c>
      <c r="B210" s="2" t="s">
        <v>12481</v>
      </c>
    </row>
    <row r="211" spans="1:2" x14ac:dyDescent="0.2">
      <c r="A211" s="8" t="s">
        <v>234</v>
      </c>
      <c r="B211" s="2" t="s">
        <v>12481</v>
      </c>
    </row>
    <row r="212" spans="1:2" x14ac:dyDescent="0.2">
      <c r="A212" s="8" t="s">
        <v>235</v>
      </c>
      <c r="B212" s="2" t="s">
        <v>12481</v>
      </c>
    </row>
    <row r="213" spans="1:2" x14ac:dyDescent="0.2">
      <c r="A213" s="8" t="s">
        <v>236</v>
      </c>
      <c r="B213" s="2" t="s">
        <v>12481</v>
      </c>
    </row>
    <row r="214" spans="1:2" x14ac:dyDescent="0.2">
      <c r="A214" s="8" t="s">
        <v>237</v>
      </c>
      <c r="B214" s="2" t="s">
        <v>12481</v>
      </c>
    </row>
    <row r="215" spans="1:2" x14ac:dyDescent="0.2">
      <c r="A215" s="8" t="s">
        <v>238</v>
      </c>
      <c r="B215" s="2" t="s">
        <v>12481</v>
      </c>
    </row>
    <row r="216" spans="1:2" x14ac:dyDescent="0.2">
      <c r="A216" s="8" t="s">
        <v>239</v>
      </c>
      <c r="B216" s="2" t="s">
        <v>12481</v>
      </c>
    </row>
    <row r="217" spans="1:2" x14ac:dyDescent="0.2">
      <c r="A217" s="8" t="s">
        <v>240</v>
      </c>
      <c r="B217" s="2" t="s">
        <v>12481</v>
      </c>
    </row>
    <row r="218" spans="1:2" x14ac:dyDescent="0.2">
      <c r="A218" s="8" t="s">
        <v>241</v>
      </c>
      <c r="B218" s="2" t="s">
        <v>12481</v>
      </c>
    </row>
    <row r="219" spans="1:2" x14ac:dyDescent="0.2">
      <c r="A219" s="8" t="s">
        <v>242</v>
      </c>
      <c r="B219" s="2" t="s">
        <v>12481</v>
      </c>
    </row>
    <row r="220" spans="1:2" x14ac:dyDescent="0.2">
      <c r="A220" s="8" t="s">
        <v>243</v>
      </c>
      <c r="B220" s="2" t="s">
        <v>12481</v>
      </c>
    </row>
    <row r="221" spans="1:2" x14ac:dyDescent="0.2">
      <c r="A221" s="8" t="s">
        <v>244</v>
      </c>
      <c r="B221" s="2" t="s">
        <v>12481</v>
      </c>
    </row>
    <row r="222" spans="1:2" x14ac:dyDescent="0.2">
      <c r="A222" s="8" t="s">
        <v>245</v>
      </c>
      <c r="B222" s="2" t="s">
        <v>12481</v>
      </c>
    </row>
    <row r="223" spans="1:2" x14ac:dyDescent="0.2">
      <c r="A223" s="8" t="s">
        <v>246</v>
      </c>
      <c r="B223" s="2" t="s">
        <v>12481</v>
      </c>
    </row>
    <row r="224" spans="1:2" x14ac:dyDescent="0.2">
      <c r="A224" s="8" t="s">
        <v>247</v>
      </c>
      <c r="B224" s="2" t="s">
        <v>12481</v>
      </c>
    </row>
    <row r="225" spans="1:2" x14ac:dyDescent="0.2">
      <c r="A225" s="8" t="s">
        <v>248</v>
      </c>
      <c r="B225" s="2" t="s">
        <v>12481</v>
      </c>
    </row>
    <row r="226" spans="1:2" x14ac:dyDescent="0.2">
      <c r="A226" s="8" t="s">
        <v>249</v>
      </c>
      <c r="B226" s="2" t="s">
        <v>12481</v>
      </c>
    </row>
    <row r="227" spans="1:2" x14ac:dyDescent="0.2">
      <c r="A227" s="8" t="s">
        <v>250</v>
      </c>
      <c r="B227" s="2" t="s">
        <v>12481</v>
      </c>
    </row>
    <row r="228" spans="1:2" x14ac:dyDescent="0.2">
      <c r="A228" s="8" t="s">
        <v>251</v>
      </c>
      <c r="B228" s="2" t="s">
        <v>12481</v>
      </c>
    </row>
    <row r="229" spans="1:2" x14ac:dyDescent="0.2">
      <c r="A229" s="8" t="s">
        <v>252</v>
      </c>
      <c r="B229" s="2" t="s">
        <v>12481</v>
      </c>
    </row>
    <row r="230" spans="1:2" x14ac:dyDescent="0.2">
      <c r="A230" s="8" t="s">
        <v>253</v>
      </c>
      <c r="B230" s="2" t="s">
        <v>12481</v>
      </c>
    </row>
    <row r="231" spans="1:2" x14ac:dyDescent="0.2">
      <c r="A231" s="8" t="s">
        <v>254</v>
      </c>
      <c r="B231" s="2" t="s">
        <v>12481</v>
      </c>
    </row>
    <row r="232" spans="1:2" x14ac:dyDescent="0.2">
      <c r="A232" s="8" t="s">
        <v>255</v>
      </c>
      <c r="B232" s="2" t="s">
        <v>12481</v>
      </c>
    </row>
    <row r="233" spans="1:2" x14ac:dyDescent="0.2">
      <c r="A233" s="8" t="s">
        <v>256</v>
      </c>
      <c r="B233" s="2" t="s">
        <v>12481</v>
      </c>
    </row>
    <row r="234" spans="1:2" x14ac:dyDescent="0.2">
      <c r="A234" s="8" t="s">
        <v>257</v>
      </c>
      <c r="B234" s="2" t="s">
        <v>12481</v>
      </c>
    </row>
    <row r="235" spans="1:2" x14ac:dyDescent="0.2">
      <c r="A235" s="8" t="s">
        <v>258</v>
      </c>
      <c r="B235" s="2" t="s">
        <v>12481</v>
      </c>
    </row>
    <row r="236" spans="1:2" x14ac:dyDescent="0.2">
      <c r="A236" s="8" t="s">
        <v>259</v>
      </c>
      <c r="B236" s="2" t="s">
        <v>12481</v>
      </c>
    </row>
    <row r="237" spans="1:2" x14ac:dyDescent="0.2">
      <c r="A237" s="8" t="s">
        <v>260</v>
      </c>
      <c r="B237" s="2" t="s">
        <v>12481</v>
      </c>
    </row>
    <row r="238" spans="1:2" x14ac:dyDescent="0.2">
      <c r="A238" s="8" t="s">
        <v>261</v>
      </c>
      <c r="B238" s="2" t="s">
        <v>12481</v>
      </c>
    </row>
    <row r="239" spans="1:2" x14ac:dyDescent="0.2">
      <c r="A239" s="8" t="s">
        <v>262</v>
      </c>
      <c r="B239" s="2" t="s">
        <v>12481</v>
      </c>
    </row>
    <row r="240" spans="1:2" x14ac:dyDescent="0.2">
      <c r="A240" s="8" t="s">
        <v>263</v>
      </c>
      <c r="B240" s="2" t="s">
        <v>12481</v>
      </c>
    </row>
    <row r="241" spans="1:2" x14ac:dyDescent="0.2">
      <c r="A241" s="8" t="s">
        <v>264</v>
      </c>
      <c r="B241" s="2" t="s">
        <v>12481</v>
      </c>
    </row>
    <row r="242" spans="1:2" x14ac:dyDescent="0.2">
      <c r="A242" s="8" t="s">
        <v>265</v>
      </c>
      <c r="B242" s="2" t="s">
        <v>12481</v>
      </c>
    </row>
    <row r="243" spans="1:2" x14ac:dyDescent="0.2">
      <c r="A243" s="8" t="s">
        <v>266</v>
      </c>
      <c r="B243" s="2" t="s">
        <v>12481</v>
      </c>
    </row>
    <row r="244" spans="1:2" x14ac:dyDescent="0.2">
      <c r="A244" s="8" t="s">
        <v>267</v>
      </c>
      <c r="B244" s="2" t="s">
        <v>12481</v>
      </c>
    </row>
    <row r="245" spans="1:2" x14ac:dyDescent="0.2">
      <c r="A245" s="8" t="s">
        <v>268</v>
      </c>
      <c r="B245" s="2" t="s">
        <v>12481</v>
      </c>
    </row>
    <row r="246" spans="1:2" x14ac:dyDescent="0.2">
      <c r="A246" s="8" t="s">
        <v>269</v>
      </c>
      <c r="B246" s="2" t="s">
        <v>12481</v>
      </c>
    </row>
    <row r="247" spans="1:2" x14ac:dyDescent="0.2">
      <c r="A247" s="8" t="s">
        <v>270</v>
      </c>
      <c r="B247" s="2" t="s">
        <v>12481</v>
      </c>
    </row>
    <row r="248" spans="1:2" x14ac:dyDescent="0.2">
      <c r="A248" s="8" t="s">
        <v>271</v>
      </c>
      <c r="B248" s="2" t="s">
        <v>12481</v>
      </c>
    </row>
    <row r="249" spans="1:2" x14ac:dyDescent="0.2">
      <c r="A249" s="8" t="s">
        <v>272</v>
      </c>
      <c r="B249" s="2" t="s">
        <v>12481</v>
      </c>
    </row>
    <row r="250" spans="1:2" x14ac:dyDescent="0.2">
      <c r="A250" s="8" t="s">
        <v>273</v>
      </c>
      <c r="B250" s="2" t="s">
        <v>12481</v>
      </c>
    </row>
    <row r="251" spans="1:2" x14ac:dyDescent="0.2">
      <c r="A251" s="8" t="s">
        <v>274</v>
      </c>
      <c r="B251" s="2" t="s">
        <v>12481</v>
      </c>
    </row>
    <row r="252" spans="1:2" x14ac:dyDescent="0.2">
      <c r="A252" s="8" t="s">
        <v>275</v>
      </c>
      <c r="B252" s="2" t="s">
        <v>12481</v>
      </c>
    </row>
    <row r="253" spans="1:2" x14ac:dyDescent="0.2">
      <c r="A253" s="8" t="s">
        <v>276</v>
      </c>
      <c r="B253" s="2" t="s">
        <v>12481</v>
      </c>
    </row>
    <row r="254" spans="1:2" x14ac:dyDescent="0.2">
      <c r="A254" s="8" t="s">
        <v>277</v>
      </c>
      <c r="B254" s="2" t="s">
        <v>12481</v>
      </c>
    </row>
    <row r="255" spans="1:2" x14ac:dyDescent="0.2">
      <c r="A255" s="8" t="s">
        <v>278</v>
      </c>
      <c r="B255" s="2" t="s">
        <v>12481</v>
      </c>
    </row>
    <row r="256" spans="1:2" x14ac:dyDescent="0.2">
      <c r="A256" s="8" t="s">
        <v>279</v>
      </c>
      <c r="B256" s="2" t="s">
        <v>12481</v>
      </c>
    </row>
    <row r="257" spans="1:2" x14ac:dyDescent="0.2">
      <c r="A257" s="8" t="s">
        <v>280</v>
      </c>
      <c r="B257" s="2" t="s">
        <v>12481</v>
      </c>
    </row>
    <row r="258" spans="1:2" x14ac:dyDescent="0.2">
      <c r="A258" s="8" t="s">
        <v>281</v>
      </c>
      <c r="B258" s="2" t="s">
        <v>12481</v>
      </c>
    </row>
    <row r="259" spans="1:2" x14ac:dyDescent="0.2">
      <c r="A259" s="8" t="s">
        <v>282</v>
      </c>
      <c r="B259" s="2" t="s">
        <v>12481</v>
      </c>
    </row>
    <row r="260" spans="1:2" x14ac:dyDescent="0.2">
      <c r="A260" s="8" t="s">
        <v>283</v>
      </c>
      <c r="B260" s="2" t="s">
        <v>12481</v>
      </c>
    </row>
    <row r="261" spans="1:2" x14ac:dyDescent="0.2">
      <c r="A261" s="8" t="s">
        <v>284</v>
      </c>
      <c r="B261" s="2" t="s">
        <v>12481</v>
      </c>
    </row>
    <row r="262" spans="1:2" x14ac:dyDescent="0.2">
      <c r="A262" s="8" t="s">
        <v>285</v>
      </c>
      <c r="B262" s="2" t="s">
        <v>12481</v>
      </c>
    </row>
    <row r="263" spans="1:2" x14ac:dyDescent="0.2">
      <c r="A263" s="8" t="s">
        <v>286</v>
      </c>
      <c r="B263" s="2" t="s">
        <v>12481</v>
      </c>
    </row>
    <row r="264" spans="1:2" x14ac:dyDescent="0.2">
      <c r="A264" s="8" t="s">
        <v>287</v>
      </c>
      <c r="B264" s="2" t="s">
        <v>12481</v>
      </c>
    </row>
    <row r="265" spans="1:2" x14ac:dyDescent="0.2">
      <c r="A265" s="8" t="s">
        <v>288</v>
      </c>
      <c r="B265" s="2" t="s">
        <v>12481</v>
      </c>
    </row>
    <row r="266" spans="1:2" x14ac:dyDescent="0.2">
      <c r="A266" s="8" t="s">
        <v>289</v>
      </c>
      <c r="B266" s="2" t="s">
        <v>12481</v>
      </c>
    </row>
    <row r="267" spans="1:2" x14ac:dyDescent="0.2">
      <c r="A267" s="8" t="s">
        <v>290</v>
      </c>
      <c r="B267" s="2" t="s">
        <v>12481</v>
      </c>
    </row>
    <row r="268" spans="1:2" x14ac:dyDescent="0.2">
      <c r="A268" s="8" t="s">
        <v>291</v>
      </c>
      <c r="B268" s="2" t="s">
        <v>12481</v>
      </c>
    </row>
    <row r="269" spans="1:2" x14ac:dyDescent="0.2">
      <c r="A269" s="8" t="s">
        <v>292</v>
      </c>
      <c r="B269" s="2" t="s">
        <v>12481</v>
      </c>
    </row>
    <row r="270" spans="1:2" x14ac:dyDescent="0.2">
      <c r="A270" s="8" t="s">
        <v>293</v>
      </c>
      <c r="B270" s="2" t="s">
        <v>12481</v>
      </c>
    </row>
    <row r="271" spans="1:2" x14ac:dyDescent="0.2">
      <c r="A271" s="8" t="s">
        <v>294</v>
      </c>
      <c r="B271" s="2" t="s">
        <v>12481</v>
      </c>
    </row>
    <row r="272" spans="1:2" x14ac:dyDescent="0.2">
      <c r="A272" s="8" t="s">
        <v>295</v>
      </c>
      <c r="B272" s="2" t="s">
        <v>12481</v>
      </c>
    </row>
    <row r="273" spans="1:2" x14ac:dyDescent="0.2">
      <c r="A273" s="8" t="s">
        <v>296</v>
      </c>
      <c r="B273" s="2" t="s">
        <v>12481</v>
      </c>
    </row>
    <row r="274" spans="1:2" x14ac:dyDescent="0.2">
      <c r="A274" s="8" t="s">
        <v>297</v>
      </c>
      <c r="B274" s="2" t="s">
        <v>12481</v>
      </c>
    </row>
    <row r="275" spans="1:2" x14ac:dyDescent="0.2">
      <c r="A275" s="8" t="s">
        <v>298</v>
      </c>
      <c r="B275" s="2" t="s">
        <v>12481</v>
      </c>
    </row>
    <row r="276" spans="1:2" x14ac:dyDescent="0.2">
      <c r="A276" s="8" t="s">
        <v>299</v>
      </c>
      <c r="B276" s="2" t="s">
        <v>12481</v>
      </c>
    </row>
    <row r="277" spans="1:2" x14ac:dyDescent="0.2">
      <c r="A277" s="8" t="s">
        <v>300</v>
      </c>
      <c r="B277" s="2" t="s">
        <v>12481</v>
      </c>
    </row>
    <row r="278" spans="1:2" x14ac:dyDescent="0.2">
      <c r="A278" s="8" t="s">
        <v>301</v>
      </c>
      <c r="B278" s="2" t="s">
        <v>12481</v>
      </c>
    </row>
    <row r="279" spans="1:2" x14ac:dyDescent="0.2">
      <c r="A279" s="8" t="s">
        <v>302</v>
      </c>
      <c r="B279" s="2" t="s">
        <v>12481</v>
      </c>
    </row>
    <row r="280" spans="1:2" x14ac:dyDescent="0.2">
      <c r="A280" s="8" t="s">
        <v>303</v>
      </c>
      <c r="B280" s="2" t="s">
        <v>12481</v>
      </c>
    </row>
    <row r="281" spans="1:2" x14ac:dyDescent="0.2">
      <c r="A281" s="8" t="s">
        <v>304</v>
      </c>
      <c r="B281" s="2" t="s">
        <v>12481</v>
      </c>
    </row>
    <row r="282" spans="1:2" x14ac:dyDescent="0.2">
      <c r="A282" s="8" t="s">
        <v>305</v>
      </c>
      <c r="B282" s="2" t="s">
        <v>12481</v>
      </c>
    </row>
    <row r="283" spans="1:2" x14ac:dyDescent="0.2">
      <c r="A283" s="8" t="s">
        <v>306</v>
      </c>
      <c r="B283" s="2" t="s">
        <v>12481</v>
      </c>
    </row>
    <row r="284" spans="1:2" x14ac:dyDescent="0.2">
      <c r="A284" s="8" t="s">
        <v>307</v>
      </c>
      <c r="B284" s="2" t="s">
        <v>12481</v>
      </c>
    </row>
    <row r="285" spans="1:2" x14ac:dyDescent="0.2">
      <c r="A285" s="8" t="s">
        <v>308</v>
      </c>
      <c r="B285" s="2" t="s">
        <v>12481</v>
      </c>
    </row>
    <row r="286" spans="1:2" x14ac:dyDescent="0.2">
      <c r="A286" s="8" t="s">
        <v>309</v>
      </c>
      <c r="B286" s="2" t="s">
        <v>12481</v>
      </c>
    </row>
    <row r="287" spans="1:2" x14ac:dyDescent="0.2">
      <c r="A287" s="8" t="s">
        <v>310</v>
      </c>
      <c r="B287" s="2" t="s">
        <v>12481</v>
      </c>
    </row>
    <row r="288" spans="1:2" x14ac:dyDescent="0.2">
      <c r="A288" s="8" t="s">
        <v>311</v>
      </c>
      <c r="B288" s="2" t="s">
        <v>12481</v>
      </c>
    </row>
    <row r="289" spans="1:2" x14ac:dyDescent="0.2">
      <c r="A289" s="8" t="s">
        <v>312</v>
      </c>
      <c r="B289" s="2" t="s">
        <v>12481</v>
      </c>
    </row>
    <row r="290" spans="1:2" x14ac:dyDescent="0.2">
      <c r="A290" s="8" t="s">
        <v>313</v>
      </c>
      <c r="B290" s="2" t="s">
        <v>12481</v>
      </c>
    </row>
    <row r="291" spans="1:2" x14ac:dyDescent="0.2">
      <c r="A291" s="8" t="s">
        <v>314</v>
      </c>
      <c r="B291" s="2" t="s">
        <v>12481</v>
      </c>
    </row>
    <row r="292" spans="1:2" x14ac:dyDescent="0.2">
      <c r="A292" s="8" t="s">
        <v>315</v>
      </c>
      <c r="B292" s="2" t="s">
        <v>12481</v>
      </c>
    </row>
    <row r="293" spans="1:2" x14ac:dyDescent="0.2">
      <c r="A293" s="8" t="s">
        <v>316</v>
      </c>
      <c r="B293" s="2" t="s">
        <v>12481</v>
      </c>
    </row>
    <row r="294" spans="1:2" x14ac:dyDescent="0.2">
      <c r="A294" s="8" t="s">
        <v>317</v>
      </c>
      <c r="B294" s="2" t="s">
        <v>12481</v>
      </c>
    </row>
    <row r="295" spans="1:2" x14ac:dyDescent="0.2">
      <c r="A295" s="8" t="s">
        <v>318</v>
      </c>
      <c r="B295" s="2" t="s">
        <v>12481</v>
      </c>
    </row>
    <row r="296" spans="1:2" x14ac:dyDescent="0.2">
      <c r="A296" s="8" t="s">
        <v>319</v>
      </c>
      <c r="B296" s="2" t="s">
        <v>12481</v>
      </c>
    </row>
    <row r="297" spans="1:2" x14ac:dyDescent="0.2">
      <c r="A297" s="8" t="s">
        <v>320</v>
      </c>
      <c r="B297" s="2" t="s">
        <v>12481</v>
      </c>
    </row>
    <row r="298" spans="1:2" x14ac:dyDescent="0.2">
      <c r="A298" s="8" t="s">
        <v>321</v>
      </c>
      <c r="B298" s="2" t="s">
        <v>12481</v>
      </c>
    </row>
    <row r="299" spans="1:2" x14ac:dyDescent="0.2">
      <c r="A299" s="8" t="s">
        <v>322</v>
      </c>
      <c r="B299" s="2" t="s">
        <v>12481</v>
      </c>
    </row>
    <row r="300" spans="1:2" x14ac:dyDescent="0.2">
      <c r="A300" s="8" t="s">
        <v>323</v>
      </c>
      <c r="B300" s="2" t="s">
        <v>12481</v>
      </c>
    </row>
    <row r="301" spans="1:2" x14ac:dyDescent="0.2">
      <c r="A301" s="8" t="s">
        <v>324</v>
      </c>
      <c r="B301" s="2" t="s">
        <v>12481</v>
      </c>
    </row>
    <row r="302" spans="1:2" x14ac:dyDescent="0.2">
      <c r="A302" s="8" t="s">
        <v>325</v>
      </c>
      <c r="B302" s="2" t="s">
        <v>12481</v>
      </c>
    </row>
    <row r="303" spans="1:2" x14ac:dyDescent="0.2">
      <c r="A303" s="8" t="s">
        <v>326</v>
      </c>
      <c r="B303" s="2" t="s">
        <v>12481</v>
      </c>
    </row>
    <row r="304" spans="1:2" x14ac:dyDescent="0.2">
      <c r="A304" s="8" t="s">
        <v>327</v>
      </c>
      <c r="B304" s="2" t="s">
        <v>12481</v>
      </c>
    </row>
    <row r="305" spans="1:2" x14ac:dyDescent="0.2">
      <c r="A305" s="8" t="s">
        <v>328</v>
      </c>
      <c r="B305" s="2" t="s">
        <v>12481</v>
      </c>
    </row>
    <row r="306" spans="1:2" x14ac:dyDescent="0.2">
      <c r="A306" s="8" t="s">
        <v>329</v>
      </c>
      <c r="B306" s="2" t="s">
        <v>12481</v>
      </c>
    </row>
    <row r="307" spans="1:2" x14ac:dyDescent="0.2">
      <c r="A307" s="8" t="s">
        <v>330</v>
      </c>
      <c r="B307" s="2" t="s">
        <v>12481</v>
      </c>
    </row>
    <row r="308" spans="1:2" x14ac:dyDescent="0.2">
      <c r="A308" s="8" t="s">
        <v>331</v>
      </c>
      <c r="B308" s="2" t="s">
        <v>12481</v>
      </c>
    </row>
    <row r="309" spans="1:2" x14ac:dyDescent="0.2">
      <c r="A309" s="8" t="s">
        <v>332</v>
      </c>
      <c r="B309" s="2" t="s">
        <v>12481</v>
      </c>
    </row>
    <row r="310" spans="1:2" x14ac:dyDescent="0.2">
      <c r="A310" s="8" t="s">
        <v>333</v>
      </c>
      <c r="B310" s="2" t="s">
        <v>12481</v>
      </c>
    </row>
    <row r="311" spans="1:2" x14ac:dyDescent="0.2">
      <c r="A311" s="8" t="s">
        <v>334</v>
      </c>
      <c r="B311" s="2" t="s">
        <v>12481</v>
      </c>
    </row>
    <row r="312" spans="1:2" x14ac:dyDescent="0.2">
      <c r="A312" s="8" t="s">
        <v>335</v>
      </c>
      <c r="B312" s="2" t="s">
        <v>12481</v>
      </c>
    </row>
    <row r="313" spans="1:2" x14ac:dyDescent="0.2">
      <c r="A313" s="8" t="s">
        <v>336</v>
      </c>
      <c r="B313" s="2" t="s">
        <v>12481</v>
      </c>
    </row>
    <row r="314" spans="1:2" x14ac:dyDescent="0.2">
      <c r="A314" s="8" t="s">
        <v>337</v>
      </c>
      <c r="B314" s="2" t="s">
        <v>12481</v>
      </c>
    </row>
    <row r="315" spans="1:2" x14ac:dyDescent="0.2">
      <c r="A315" s="8" t="s">
        <v>338</v>
      </c>
      <c r="B315" s="2" t="s">
        <v>12481</v>
      </c>
    </row>
    <row r="316" spans="1:2" x14ac:dyDescent="0.2">
      <c r="A316" s="8" t="s">
        <v>339</v>
      </c>
      <c r="B316" s="2" t="s">
        <v>12481</v>
      </c>
    </row>
    <row r="317" spans="1:2" x14ac:dyDescent="0.2">
      <c r="A317" s="8" t="s">
        <v>340</v>
      </c>
      <c r="B317" s="2" t="s">
        <v>12481</v>
      </c>
    </row>
    <row r="318" spans="1:2" x14ac:dyDescent="0.2">
      <c r="A318" s="8" t="s">
        <v>341</v>
      </c>
      <c r="B318" s="2" t="s">
        <v>12481</v>
      </c>
    </row>
    <row r="319" spans="1:2" x14ac:dyDescent="0.2">
      <c r="A319" s="8" t="s">
        <v>342</v>
      </c>
      <c r="B319" s="2" t="s">
        <v>12481</v>
      </c>
    </row>
    <row r="320" spans="1:2" x14ac:dyDescent="0.2">
      <c r="A320" s="8" t="s">
        <v>343</v>
      </c>
      <c r="B320" s="2" t="s">
        <v>12481</v>
      </c>
    </row>
    <row r="321" spans="1:2" x14ac:dyDescent="0.2">
      <c r="A321" s="8" t="s">
        <v>344</v>
      </c>
      <c r="B321" s="2" t="s">
        <v>12481</v>
      </c>
    </row>
    <row r="322" spans="1:2" x14ac:dyDescent="0.2">
      <c r="A322" s="8" t="s">
        <v>345</v>
      </c>
      <c r="B322" s="2" t="s">
        <v>12481</v>
      </c>
    </row>
    <row r="323" spans="1:2" x14ac:dyDescent="0.2">
      <c r="A323" s="8" t="s">
        <v>346</v>
      </c>
      <c r="B323" s="2" t="s">
        <v>12481</v>
      </c>
    </row>
    <row r="324" spans="1:2" x14ac:dyDescent="0.2">
      <c r="A324" s="8" t="s">
        <v>347</v>
      </c>
      <c r="B324" s="2" t="s">
        <v>12481</v>
      </c>
    </row>
    <row r="325" spans="1:2" x14ac:dyDescent="0.2">
      <c r="A325" s="8" t="s">
        <v>348</v>
      </c>
      <c r="B325" s="2" t="s">
        <v>12481</v>
      </c>
    </row>
    <row r="326" spans="1:2" x14ac:dyDescent="0.2">
      <c r="A326" s="8" t="s">
        <v>349</v>
      </c>
      <c r="B326" s="2" t="s">
        <v>12481</v>
      </c>
    </row>
    <row r="327" spans="1:2" x14ac:dyDescent="0.2">
      <c r="A327" s="8" t="s">
        <v>350</v>
      </c>
      <c r="B327" s="2" t="s">
        <v>12481</v>
      </c>
    </row>
    <row r="328" spans="1:2" x14ac:dyDescent="0.2">
      <c r="A328" s="8" t="s">
        <v>351</v>
      </c>
      <c r="B328" s="2" t="s">
        <v>12481</v>
      </c>
    </row>
    <row r="329" spans="1:2" x14ac:dyDescent="0.2">
      <c r="A329" s="8" t="s">
        <v>352</v>
      </c>
      <c r="B329" s="2" t="s">
        <v>12481</v>
      </c>
    </row>
    <row r="330" spans="1:2" x14ac:dyDescent="0.2">
      <c r="A330" s="8" t="s">
        <v>353</v>
      </c>
      <c r="B330" s="2" t="s">
        <v>12481</v>
      </c>
    </row>
    <row r="331" spans="1:2" x14ac:dyDescent="0.2">
      <c r="A331" s="8" t="s">
        <v>354</v>
      </c>
      <c r="B331" s="2" t="s">
        <v>12481</v>
      </c>
    </row>
    <row r="332" spans="1:2" x14ac:dyDescent="0.2">
      <c r="A332" s="8" t="s">
        <v>355</v>
      </c>
      <c r="B332" s="2" t="s">
        <v>12481</v>
      </c>
    </row>
    <row r="333" spans="1:2" x14ac:dyDescent="0.2">
      <c r="A333" s="8" t="s">
        <v>356</v>
      </c>
      <c r="B333" s="2" t="s">
        <v>12481</v>
      </c>
    </row>
    <row r="334" spans="1:2" x14ac:dyDescent="0.2">
      <c r="A334" s="8" t="s">
        <v>357</v>
      </c>
      <c r="B334" s="2" t="s">
        <v>12481</v>
      </c>
    </row>
    <row r="335" spans="1:2" x14ac:dyDescent="0.2">
      <c r="A335" s="8" t="s">
        <v>358</v>
      </c>
      <c r="B335" s="2" t="s">
        <v>12481</v>
      </c>
    </row>
    <row r="336" spans="1:2" x14ac:dyDescent="0.2">
      <c r="A336" s="8" t="s">
        <v>359</v>
      </c>
      <c r="B336" s="2" t="s">
        <v>12481</v>
      </c>
    </row>
    <row r="337" spans="1:2" x14ac:dyDescent="0.2">
      <c r="A337" s="8" t="s">
        <v>360</v>
      </c>
      <c r="B337" s="2" t="s">
        <v>12481</v>
      </c>
    </row>
    <row r="338" spans="1:2" x14ac:dyDescent="0.2">
      <c r="A338" s="8" t="s">
        <v>361</v>
      </c>
      <c r="B338" s="2" t="s">
        <v>12481</v>
      </c>
    </row>
    <row r="339" spans="1:2" x14ac:dyDescent="0.2">
      <c r="A339" s="8" t="s">
        <v>362</v>
      </c>
      <c r="B339" s="2" t="s">
        <v>12481</v>
      </c>
    </row>
    <row r="340" spans="1:2" x14ac:dyDescent="0.2">
      <c r="A340" s="8" t="s">
        <v>363</v>
      </c>
      <c r="B340" s="2" t="s">
        <v>12481</v>
      </c>
    </row>
    <row r="341" spans="1:2" x14ac:dyDescent="0.2">
      <c r="A341" s="8" t="s">
        <v>364</v>
      </c>
      <c r="B341" s="2" t="s">
        <v>12481</v>
      </c>
    </row>
    <row r="342" spans="1:2" x14ac:dyDescent="0.2">
      <c r="A342" s="8" t="s">
        <v>365</v>
      </c>
      <c r="B342" s="2" t="s">
        <v>12481</v>
      </c>
    </row>
    <row r="343" spans="1:2" x14ac:dyDescent="0.2">
      <c r="A343" s="8" t="s">
        <v>366</v>
      </c>
      <c r="B343" s="2" t="s">
        <v>12481</v>
      </c>
    </row>
    <row r="344" spans="1:2" x14ac:dyDescent="0.2">
      <c r="A344" s="8" t="s">
        <v>367</v>
      </c>
      <c r="B344" s="2" t="s">
        <v>12481</v>
      </c>
    </row>
    <row r="345" spans="1:2" x14ac:dyDescent="0.2">
      <c r="A345" s="8" t="s">
        <v>368</v>
      </c>
      <c r="B345" s="2" t="s">
        <v>12481</v>
      </c>
    </row>
    <row r="346" spans="1:2" x14ac:dyDescent="0.2">
      <c r="A346" s="8" t="s">
        <v>369</v>
      </c>
      <c r="B346" s="2" t="s">
        <v>12481</v>
      </c>
    </row>
    <row r="347" spans="1:2" x14ac:dyDescent="0.2">
      <c r="A347" s="8" t="s">
        <v>370</v>
      </c>
      <c r="B347" s="2" t="s">
        <v>12481</v>
      </c>
    </row>
    <row r="348" spans="1:2" x14ac:dyDescent="0.2">
      <c r="A348" s="8" t="s">
        <v>371</v>
      </c>
      <c r="B348" s="2" t="s">
        <v>12481</v>
      </c>
    </row>
    <row r="349" spans="1:2" x14ac:dyDescent="0.2">
      <c r="A349" s="8" t="s">
        <v>372</v>
      </c>
      <c r="B349" s="2" t="s">
        <v>12481</v>
      </c>
    </row>
    <row r="350" spans="1:2" x14ac:dyDescent="0.2">
      <c r="A350" s="8" t="s">
        <v>373</v>
      </c>
      <c r="B350" s="2" t="s">
        <v>12481</v>
      </c>
    </row>
    <row r="351" spans="1:2" x14ac:dyDescent="0.2">
      <c r="A351" s="8" t="s">
        <v>374</v>
      </c>
      <c r="B351" s="2" t="s">
        <v>12481</v>
      </c>
    </row>
    <row r="352" spans="1:2" x14ac:dyDescent="0.2">
      <c r="A352" s="8" t="s">
        <v>375</v>
      </c>
      <c r="B352" s="2" t="s">
        <v>12481</v>
      </c>
    </row>
    <row r="353" spans="1:2" x14ac:dyDescent="0.2">
      <c r="A353" s="8" t="s">
        <v>376</v>
      </c>
      <c r="B353" s="2" t="s">
        <v>12481</v>
      </c>
    </row>
    <row r="354" spans="1:2" x14ac:dyDescent="0.2">
      <c r="A354" s="8" t="s">
        <v>377</v>
      </c>
      <c r="B354" s="2" t="s">
        <v>12481</v>
      </c>
    </row>
    <row r="355" spans="1:2" x14ac:dyDescent="0.2">
      <c r="A355" s="8" t="s">
        <v>378</v>
      </c>
      <c r="B355" s="2" t="s">
        <v>12481</v>
      </c>
    </row>
    <row r="356" spans="1:2" x14ac:dyDescent="0.2">
      <c r="A356" s="8" t="s">
        <v>379</v>
      </c>
      <c r="B356" s="2" t="s">
        <v>12481</v>
      </c>
    </row>
    <row r="357" spans="1:2" x14ac:dyDescent="0.2">
      <c r="A357" s="8" t="s">
        <v>380</v>
      </c>
      <c r="B357" s="2" t="s">
        <v>12481</v>
      </c>
    </row>
    <row r="358" spans="1:2" x14ac:dyDescent="0.2">
      <c r="A358" s="8" t="s">
        <v>381</v>
      </c>
      <c r="B358" s="2" t="s">
        <v>12481</v>
      </c>
    </row>
    <row r="359" spans="1:2" x14ac:dyDescent="0.2">
      <c r="A359" s="8" t="s">
        <v>382</v>
      </c>
      <c r="B359" s="2" t="s">
        <v>12481</v>
      </c>
    </row>
    <row r="360" spans="1:2" x14ac:dyDescent="0.2">
      <c r="A360" s="8" t="s">
        <v>383</v>
      </c>
      <c r="B360" s="2" t="s">
        <v>12481</v>
      </c>
    </row>
    <row r="361" spans="1:2" x14ac:dyDescent="0.2">
      <c r="A361" s="8" t="s">
        <v>384</v>
      </c>
      <c r="B361" s="2" t="s">
        <v>12481</v>
      </c>
    </row>
    <row r="362" spans="1:2" x14ac:dyDescent="0.2">
      <c r="A362" s="8" t="s">
        <v>385</v>
      </c>
      <c r="B362" s="2" t="s">
        <v>12481</v>
      </c>
    </row>
    <row r="363" spans="1:2" x14ac:dyDescent="0.2">
      <c r="A363" s="8" t="s">
        <v>386</v>
      </c>
      <c r="B363" s="2" t="s">
        <v>12481</v>
      </c>
    </row>
    <row r="364" spans="1:2" x14ac:dyDescent="0.2">
      <c r="A364" s="8" t="s">
        <v>387</v>
      </c>
      <c r="B364" s="2" t="s">
        <v>12481</v>
      </c>
    </row>
    <row r="365" spans="1:2" x14ac:dyDescent="0.2">
      <c r="A365" s="8" t="s">
        <v>388</v>
      </c>
      <c r="B365" s="2" t="s">
        <v>12481</v>
      </c>
    </row>
    <row r="366" spans="1:2" x14ac:dyDescent="0.2">
      <c r="A366" s="8" t="s">
        <v>389</v>
      </c>
      <c r="B366" s="2" t="s">
        <v>12481</v>
      </c>
    </row>
    <row r="367" spans="1:2" x14ac:dyDescent="0.2">
      <c r="A367" s="8" t="s">
        <v>390</v>
      </c>
      <c r="B367" s="2" t="s">
        <v>12481</v>
      </c>
    </row>
    <row r="368" spans="1:2" x14ac:dyDescent="0.2">
      <c r="A368" s="8" t="s">
        <v>391</v>
      </c>
      <c r="B368" s="2" t="s">
        <v>12481</v>
      </c>
    </row>
    <row r="369" spans="1:2" x14ac:dyDescent="0.2">
      <c r="A369" s="8" t="s">
        <v>392</v>
      </c>
      <c r="B369" s="2" t="s">
        <v>12481</v>
      </c>
    </row>
    <row r="370" spans="1:2" x14ac:dyDescent="0.2">
      <c r="A370" s="8" t="s">
        <v>393</v>
      </c>
      <c r="B370" s="2" t="s">
        <v>12481</v>
      </c>
    </row>
    <row r="371" spans="1:2" x14ac:dyDescent="0.2">
      <c r="A371" s="8" t="s">
        <v>394</v>
      </c>
      <c r="B371" s="2" t="s">
        <v>12481</v>
      </c>
    </row>
    <row r="372" spans="1:2" x14ac:dyDescent="0.2">
      <c r="A372" s="8" t="s">
        <v>395</v>
      </c>
      <c r="B372" s="2" t="s">
        <v>12481</v>
      </c>
    </row>
    <row r="373" spans="1:2" x14ac:dyDescent="0.2">
      <c r="A373" s="8" t="s">
        <v>396</v>
      </c>
      <c r="B373" s="2" t="s">
        <v>12481</v>
      </c>
    </row>
    <row r="374" spans="1:2" x14ac:dyDescent="0.2">
      <c r="A374" s="8" t="s">
        <v>397</v>
      </c>
      <c r="B374" s="2" t="s">
        <v>12481</v>
      </c>
    </row>
    <row r="375" spans="1:2" x14ac:dyDescent="0.2">
      <c r="A375" s="8" t="s">
        <v>398</v>
      </c>
      <c r="B375" s="2" t="s">
        <v>12481</v>
      </c>
    </row>
    <row r="376" spans="1:2" x14ac:dyDescent="0.2">
      <c r="A376" s="8" t="s">
        <v>399</v>
      </c>
      <c r="B376" s="2" t="s">
        <v>12481</v>
      </c>
    </row>
    <row r="377" spans="1:2" x14ac:dyDescent="0.2">
      <c r="A377" s="8" t="s">
        <v>400</v>
      </c>
      <c r="B377" s="2" t="s">
        <v>12481</v>
      </c>
    </row>
    <row r="378" spans="1:2" x14ac:dyDescent="0.2">
      <c r="A378" s="8" t="s">
        <v>401</v>
      </c>
      <c r="B378" s="2" t="s">
        <v>12481</v>
      </c>
    </row>
    <row r="379" spans="1:2" x14ac:dyDescent="0.2">
      <c r="A379" s="8" t="s">
        <v>402</v>
      </c>
      <c r="B379" s="2" t="s">
        <v>12481</v>
      </c>
    </row>
    <row r="380" spans="1:2" x14ac:dyDescent="0.2">
      <c r="A380" s="8" t="s">
        <v>403</v>
      </c>
      <c r="B380" s="2" t="s">
        <v>12481</v>
      </c>
    </row>
    <row r="381" spans="1:2" x14ac:dyDescent="0.2">
      <c r="A381" s="8" t="s">
        <v>404</v>
      </c>
      <c r="B381" s="2" t="s">
        <v>12481</v>
      </c>
    </row>
    <row r="382" spans="1:2" x14ac:dyDescent="0.2">
      <c r="A382" s="8" t="s">
        <v>405</v>
      </c>
      <c r="B382" s="2" t="s">
        <v>12481</v>
      </c>
    </row>
    <row r="383" spans="1:2" x14ac:dyDescent="0.2">
      <c r="A383" s="8" t="s">
        <v>406</v>
      </c>
      <c r="B383" s="2" t="s">
        <v>12481</v>
      </c>
    </row>
    <row r="384" spans="1:2" x14ac:dyDescent="0.2">
      <c r="A384" s="8" t="s">
        <v>407</v>
      </c>
      <c r="B384" s="2" t="s">
        <v>12481</v>
      </c>
    </row>
    <row r="385" spans="1:2" x14ac:dyDescent="0.2">
      <c r="A385" s="8" t="s">
        <v>408</v>
      </c>
      <c r="B385" s="2" t="s">
        <v>12481</v>
      </c>
    </row>
    <row r="386" spans="1:2" x14ac:dyDescent="0.2">
      <c r="A386" s="8" t="s">
        <v>409</v>
      </c>
      <c r="B386" s="2" t="s">
        <v>12481</v>
      </c>
    </row>
    <row r="387" spans="1:2" x14ac:dyDescent="0.2">
      <c r="A387" s="8" t="s">
        <v>410</v>
      </c>
      <c r="B387" s="2" t="s">
        <v>12481</v>
      </c>
    </row>
    <row r="388" spans="1:2" x14ac:dyDescent="0.2">
      <c r="A388" s="8" t="s">
        <v>411</v>
      </c>
      <c r="B388" s="2" t="s">
        <v>12481</v>
      </c>
    </row>
    <row r="389" spans="1:2" x14ac:dyDescent="0.2">
      <c r="A389" s="8" t="s">
        <v>412</v>
      </c>
      <c r="B389" s="2" t="s">
        <v>12481</v>
      </c>
    </row>
    <row r="390" spans="1:2" x14ac:dyDescent="0.2">
      <c r="A390" s="8" t="s">
        <v>413</v>
      </c>
      <c r="B390" s="2" t="s">
        <v>12481</v>
      </c>
    </row>
    <row r="391" spans="1:2" x14ac:dyDescent="0.2">
      <c r="A391" s="8" t="s">
        <v>414</v>
      </c>
      <c r="B391" s="2" t="s">
        <v>12481</v>
      </c>
    </row>
    <row r="392" spans="1:2" x14ac:dyDescent="0.2">
      <c r="A392" s="8" t="s">
        <v>415</v>
      </c>
      <c r="B392" s="2" t="s">
        <v>12481</v>
      </c>
    </row>
    <row r="393" spans="1:2" x14ac:dyDescent="0.2">
      <c r="A393" s="8" t="s">
        <v>416</v>
      </c>
      <c r="B393" s="2" t="s">
        <v>12481</v>
      </c>
    </row>
    <row r="394" spans="1:2" x14ac:dyDescent="0.2">
      <c r="A394" s="8" t="s">
        <v>417</v>
      </c>
      <c r="B394" s="2" t="s">
        <v>12481</v>
      </c>
    </row>
    <row r="395" spans="1:2" x14ac:dyDescent="0.2">
      <c r="A395" s="8" t="s">
        <v>418</v>
      </c>
      <c r="B395" s="2" t="s">
        <v>12481</v>
      </c>
    </row>
    <row r="396" spans="1:2" x14ac:dyDescent="0.2">
      <c r="A396" s="8" t="s">
        <v>419</v>
      </c>
      <c r="B396" s="2" t="s">
        <v>12481</v>
      </c>
    </row>
    <row r="397" spans="1:2" x14ac:dyDescent="0.2">
      <c r="A397" s="8" t="s">
        <v>420</v>
      </c>
      <c r="B397" s="2" t="s">
        <v>12481</v>
      </c>
    </row>
    <row r="398" spans="1:2" x14ac:dyDescent="0.2">
      <c r="A398" s="8" t="s">
        <v>421</v>
      </c>
      <c r="B398" s="2" t="s">
        <v>12481</v>
      </c>
    </row>
    <row r="399" spans="1:2" x14ac:dyDescent="0.2">
      <c r="A399" s="8" t="s">
        <v>422</v>
      </c>
      <c r="B399" s="2" t="s">
        <v>12481</v>
      </c>
    </row>
    <row r="400" spans="1:2" x14ac:dyDescent="0.2">
      <c r="A400" s="8" t="s">
        <v>423</v>
      </c>
      <c r="B400" s="2" t="s">
        <v>12481</v>
      </c>
    </row>
    <row r="401" spans="1:2" x14ac:dyDescent="0.2">
      <c r="A401" s="8" t="s">
        <v>424</v>
      </c>
      <c r="B401" s="2" t="s">
        <v>12481</v>
      </c>
    </row>
    <row r="402" spans="1:2" x14ac:dyDescent="0.2">
      <c r="A402" s="8" t="s">
        <v>425</v>
      </c>
      <c r="B402" s="2" t="s">
        <v>12481</v>
      </c>
    </row>
    <row r="403" spans="1:2" x14ac:dyDescent="0.2">
      <c r="A403" s="8" t="s">
        <v>426</v>
      </c>
      <c r="B403" s="2" t="s">
        <v>12481</v>
      </c>
    </row>
    <row r="404" spans="1:2" x14ac:dyDescent="0.2">
      <c r="A404" s="8" t="s">
        <v>427</v>
      </c>
      <c r="B404" s="2" t="s">
        <v>12481</v>
      </c>
    </row>
    <row r="405" spans="1:2" x14ac:dyDescent="0.2">
      <c r="A405" s="8" t="s">
        <v>428</v>
      </c>
      <c r="B405" s="2" t="s">
        <v>12481</v>
      </c>
    </row>
    <row r="406" spans="1:2" x14ac:dyDescent="0.2">
      <c r="A406" s="8" t="s">
        <v>429</v>
      </c>
      <c r="B406" s="2" t="s">
        <v>12481</v>
      </c>
    </row>
    <row r="407" spans="1:2" x14ac:dyDescent="0.2">
      <c r="A407" s="8" t="s">
        <v>430</v>
      </c>
      <c r="B407" s="2" t="s">
        <v>12481</v>
      </c>
    </row>
    <row r="408" spans="1:2" x14ac:dyDescent="0.2">
      <c r="A408" s="8" t="s">
        <v>431</v>
      </c>
      <c r="B408" s="2" t="s">
        <v>12481</v>
      </c>
    </row>
    <row r="409" spans="1:2" x14ac:dyDescent="0.2">
      <c r="A409" s="8" t="s">
        <v>432</v>
      </c>
      <c r="B409" s="2" t="s">
        <v>12481</v>
      </c>
    </row>
    <row r="410" spans="1:2" x14ac:dyDescent="0.2">
      <c r="A410" s="8" t="s">
        <v>433</v>
      </c>
      <c r="B410" s="2" t="s">
        <v>12481</v>
      </c>
    </row>
    <row r="411" spans="1:2" x14ac:dyDescent="0.2">
      <c r="A411" s="8" t="s">
        <v>434</v>
      </c>
      <c r="B411" s="2" t="s">
        <v>12481</v>
      </c>
    </row>
    <row r="412" spans="1:2" x14ac:dyDescent="0.2">
      <c r="A412" s="8" t="s">
        <v>435</v>
      </c>
      <c r="B412" s="2" t="s">
        <v>12481</v>
      </c>
    </row>
    <row r="413" spans="1:2" x14ac:dyDescent="0.2">
      <c r="A413" s="8" t="s">
        <v>436</v>
      </c>
      <c r="B413" s="2" t="s">
        <v>12481</v>
      </c>
    </row>
    <row r="414" spans="1:2" x14ac:dyDescent="0.2">
      <c r="A414" s="8" t="s">
        <v>437</v>
      </c>
      <c r="B414" s="2" t="s">
        <v>12481</v>
      </c>
    </row>
    <row r="415" spans="1:2" x14ac:dyDescent="0.2">
      <c r="A415" s="8" t="s">
        <v>438</v>
      </c>
      <c r="B415" s="2" t="s">
        <v>12481</v>
      </c>
    </row>
    <row r="416" spans="1:2" x14ac:dyDescent="0.2">
      <c r="A416" s="8" t="s">
        <v>439</v>
      </c>
      <c r="B416" s="2" t="s">
        <v>12481</v>
      </c>
    </row>
    <row r="417" spans="1:2" x14ac:dyDescent="0.2">
      <c r="A417" s="8" t="s">
        <v>440</v>
      </c>
      <c r="B417" s="2" t="s">
        <v>12481</v>
      </c>
    </row>
    <row r="418" spans="1:2" x14ac:dyDescent="0.2">
      <c r="A418" s="8" t="s">
        <v>441</v>
      </c>
      <c r="B418" s="2" t="s">
        <v>12481</v>
      </c>
    </row>
    <row r="419" spans="1:2" x14ac:dyDescent="0.2">
      <c r="A419" s="8" t="s">
        <v>442</v>
      </c>
      <c r="B419" s="2" t="s">
        <v>12481</v>
      </c>
    </row>
    <row r="420" spans="1:2" x14ac:dyDescent="0.2">
      <c r="A420" s="8" t="s">
        <v>443</v>
      </c>
      <c r="B420" s="2" t="s">
        <v>12481</v>
      </c>
    </row>
    <row r="421" spans="1:2" x14ac:dyDescent="0.2">
      <c r="A421" s="8" t="s">
        <v>444</v>
      </c>
      <c r="B421" s="2" t="s">
        <v>12481</v>
      </c>
    </row>
    <row r="422" spans="1:2" x14ac:dyDescent="0.2">
      <c r="A422" s="8" t="s">
        <v>445</v>
      </c>
      <c r="B422" s="2" t="s">
        <v>12481</v>
      </c>
    </row>
    <row r="423" spans="1:2" x14ac:dyDescent="0.2">
      <c r="A423" s="8" t="s">
        <v>446</v>
      </c>
      <c r="B423" s="2" t="s">
        <v>12481</v>
      </c>
    </row>
    <row r="424" spans="1:2" x14ac:dyDescent="0.2">
      <c r="A424" s="8" t="s">
        <v>447</v>
      </c>
      <c r="B424" s="2" t="s">
        <v>12481</v>
      </c>
    </row>
    <row r="425" spans="1:2" x14ac:dyDescent="0.2">
      <c r="A425" s="8" t="s">
        <v>448</v>
      </c>
      <c r="B425" s="2" t="s">
        <v>12481</v>
      </c>
    </row>
    <row r="426" spans="1:2" x14ac:dyDescent="0.2">
      <c r="A426" s="8" t="s">
        <v>449</v>
      </c>
      <c r="B426" s="2" t="s">
        <v>12481</v>
      </c>
    </row>
    <row r="427" spans="1:2" x14ac:dyDescent="0.2">
      <c r="A427" s="8" t="s">
        <v>450</v>
      </c>
      <c r="B427" s="2" t="s">
        <v>12481</v>
      </c>
    </row>
    <row r="428" spans="1:2" x14ac:dyDescent="0.2">
      <c r="A428" s="8" t="s">
        <v>451</v>
      </c>
      <c r="B428" s="2" t="s">
        <v>12481</v>
      </c>
    </row>
    <row r="429" spans="1:2" x14ac:dyDescent="0.2">
      <c r="A429" s="8" t="s">
        <v>452</v>
      </c>
      <c r="B429" s="2" t="s">
        <v>12481</v>
      </c>
    </row>
    <row r="430" spans="1:2" x14ac:dyDescent="0.2">
      <c r="A430" s="8" t="s">
        <v>453</v>
      </c>
      <c r="B430" s="2" t="s">
        <v>12481</v>
      </c>
    </row>
    <row r="431" spans="1:2" x14ac:dyDescent="0.2">
      <c r="A431" s="8" t="s">
        <v>454</v>
      </c>
      <c r="B431" s="2" t="s">
        <v>12481</v>
      </c>
    </row>
    <row r="432" spans="1:2" x14ac:dyDescent="0.2">
      <c r="A432" s="8" t="s">
        <v>455</v>
      </c>
      <c r="B432" s="2" t="s">
        <v>12481</v>
      </c>
    </row>
    <row r="433" spans="1:2" x14ac:dyDescent="0.2">
      <c r="A433" s="8" t="s">
        <v>456</v>
      </c>
      <c r="B433" s="2" t="s">
        <v>12481</v>
      </c>
    </row>
    <row r="434" spans="1:2" x14ac:dyDescent="0.2">
      <c r="A434" s="8" t="s">
        <v>457</v>
      </c>
      <c r="B434" s="2" t="s">
        <v>12481</v>
      </c>
    </row>
    <row r="435" spans="1:2" x14ac:dyDescent="0.2">
      <c r="A435" s="8" t="s">
        <v>458</v>
      </c>
      <c r="B435" s="2" t="s">
        <v>12481</v>
      </c>
    </row>
    <row r="436" spans="1:2" x14ac:dyDescent="0.2">
      <c r="A436" s="8" t="s">
        <v>459</v>
      </c>
      <c r="B436" s="2" t="s">
        <v>12481</v>
      </c>
    </row>
    <row r="437" spans="1:2" x14ac:dyDescent="0.2">
      <c r="A437" s="8" t="s">
        <v>460</v>
      </c>
      <c r="B437" s="2" t="s">
        <v>12481</v>
      </c>
    </row>
    <row r="438" spans="1:2" x14ac:dyDescent="0.2">
      <c r="A438" s="8" t="s">
        <v>461</v>
      </c>
      <c r="B438" s="2" t="s">
        <v>12481</v>
      </c>
    </row>
    <row r="439" spans="1:2" x14ac:dyDescent="0.2">
      <c r="A439" s="8" t="s">
        <v>462</v>
      </c>
      <c r="B439" s="2" t="s">
        <v>12481</v>
      </c>
    </row>
    <row r="440" spans="1:2" x14ac:dyDescent="0.2">
      <c r="A440" s="8" t="s">
        <v>463</v>
      </c>
      <c r="B440" s="2" t="s">
        <v>12481</v>
      </c>
    </row>
    <row r="441" spans="1:2" x14ac:dyDescent="0.2">
      <c r="A441" s="8" t="s">
        <v>464</v>
      </c>
      <c r="B441" s="2" t="s">
        <v>12481</v>
      </c>
    </row>
    <row r="442" spans="1:2" x14ac:dyDescent="0.2">
      <c r="A442" s="8" t="s">
        <v>465</v>
      </c>
      <c r="B442" s="2" t="s">
        <v>12481</v>
      </c>
    </row>
    <row r="443" spans="1:2" x14ac:dyDescent="0.2">
      <c r="A443" s="8" t="s">
        <v>466</v>
      </c>
      <c r="B443" s="2" t="s">
        <v>12481</v>
      </c>
    </row>
    <row r="444" spans="1:2" x14ac:dyDescent="0.2">
      <c r="A444" s="8" t="s">
        <v>467</v>
      </c>
      <c r="B444" s="2" t="s">
        <v>12481</v>
      </c>
    </row>
    <row r="445" spans="1:2" x14ac:dyDescent="0.2">
      <c r="A445" s="8" t="s">
        <v>468</v>
      </c>
      <c r="B445" s="2" t="s">
        <v>12481</v>
      </c>
    </row>
    <row r="446" spans="1:2" x14ac:dyDescent="0.2">
      <c r="A446" s="8" t="s">
        <v>469</v>
      </c>
      <c r="B446" s="2" t="s">
        <v>12481</v>
      </c>
    </row>
    <row r="447" spans="1:2" x14ac:dyDescent="0.2">
      <c r="A447" s="8" t="s">
        <v>470</v>
      </c>
      <c r="B447" s="2" t="s">
        <v>12481</v>
      </c>
    </row>
    <row r="448" spans="1:2" x14ac:dyDescent="0.2">
      <c r="A448" s="8" t="s">
        <v>471</v>
      </c>
      <c r="B448" s="2" t="s">
        <v>12481</v>
      </c>
    </row>
    <row r="449" spans="1:2" x14ac:dyDescent="0.2">
      <c r="A449" s="8" t="s">
        <v>472</v>
      </c>
      <c r="B449" s="2" t="s">
        <v>12481</v>
      </c>
    </row>
    <row r="450" spans="1:2" x14ac:dyDescent="0.2">
      <c r="A450" s="8" t="s">
        <v>473</v>
      </c>
      <c r="B450" s="2" t="s">
        <v>12481</v>
      </c>
    </row>
    <row r="451" spans="1:2" x14ac:dyDescent="0.2">
      <c r="A451" s="8" t="s">
        <v>474</v>
      </c>
      <c r="B451" s="2" t="s">
        <v>12481</v>
      </c>
    </row>
    <row r="452" spans="1:2" x14ac:dyDescent="0.2">
      <c r="A452" s="8" t="s">
        <v>475</v>
      </c>
      <c r="B452" s="2" t="s">
        <v>12481</v>
      </c>
    </row>
    <row r="453" spans="1:2" x14ac:dyDescent="0.2">
      <c r="A453" s="8" t="s">
        <v>476</v>
      </c>
      <c r="B453" s="2" t="s">
        <v>12481</v>
      </c>
    </row>
    <row r="454" spans="1:2" x14ac:dyDescent="0.2">
      <c r="A454" s="8" t="s">
        <v>477</v>
      </c>
      <c r="B454" s="2" t="s">
        <v>12481</v>
      </c>
    </row>
    <row r="455" spans="1:2" x14ac:dyDescent="0.2">
      <c r="A455" s="8" t="s">
        <v>478</v>
      </c>
      <c r="B455" s="2" t="s">
        <v>12481</v>
      </c>
    </row>
    <row r="456" spans="1:2" x14ac:dyDescent="0.2">
      <c r="A456" s="8" t="s">
        <v>479</v>
      </c>
      <c r="B456" s="2" t="s">
        <v>12481</v>
      </c>
    </row>
    <row r="457" spans="1:2" x14ac:dyDescent="0.2">
      <c r="A457" s="8" t="s">
        <v>480</v>
      </c>
      <c r="B457" s="2" t="s">
        <v>12481</v>
      </c>
    </row>
    <row r="458" spans="1:2" x14ac:dyDescent="0.2">
      <c r="A458" s="8" t="s">
        <v>481</v>
      </c>
      <c r="B458" s="2" t="s">
        <v>12481</v>
      </c>
    </row>
    <row r="459" spans="1:2" x14ac:dyDescent="0.2">
      <c r="A459" s="8" t="s">
        <v>482</v>
      </c>
      <c r="B459" s="2" t="s">
        <v>12481</v>
      </c>
    </row>
    <row r="460" spans="1:2" x14ac:dyDescent="0.2">
      <c r="A460" s="8" t="s">
        <v>483</v>
      </c>
      <c r="B460" s="2" t="s">
        <v>12481</v>
      </c>
    </row>
    <row r="461" spans="1:2" x14ac:dyDescent="0.2">
      <c r="A461" s="8" t="s">
        <v>484</v>
      </c>
      <c r="B461" s="2" t="s">
        <v>12481</v>
      </c>
    </row>
    <row r="462" spans="1:2" x14ac:dyDescent="0.2">
      <c r="A462" s="8" t="s">
        <v>485</v>
      </c>
      <c r="B462" s="2" t="s">
        <v>12481</v>
      </c>
    </row>
    <row r="463" spans="1:2" x14ac:dyDescent="0.2">
      <c r="A463" s="8" t="s">
        <v>486</v>
      </c>
      <c r="B463" s="2" t="s">
        <v>12481</v>
      </c>
    </row>
    <row r="464" spans="1:2" x14ac:dyDescent="0.2">
      <c r="A464" s="8" t="s">
        <v>487</v>
      </c>
      <c r="B464" s="2" t="s">
        <v>12481</v>
      </c>
    </row>
    <row r="465" spans="1:2" x14ac:dyDescent="0.2">
      <c r="A465" s="8" t="s">
        <v>488</v>
      </c>
      <c r="B465" s="2" t="s">
        <v>12481</v>
      </c>
    </row>
    <row r="466" spans="1:2" x14ac:dyDescent="0.2">
      <c r="A466" s="8" t="s">
        <v>489</v>
      </c>
      <c r="B466" s="2" t="s">
        <v>12481</v>
      </c>
    </row>
    <row r="467" spans="1:2" x14ac:dyDescent="0.2">
      <c r="A467" s="8" t="s">
        <v>490</v>
      </c>
      <c r="B467" s="2" t="s">
        <v>12481</v>
      </c>
    </row>
    <row r="468" spans="1:2" x14ac:dyDescent="0.2">
      <c r="A468" s="8" t="s">
        <v>491</v>
      </c>
      <c r="B468" s="2" t="s">
        <v>12481</v>
      </c>
    </row>
    <row r="469" spans="1:2" x14ac:dyDescent="0.2">
      <c r="A469" s="8" t="s">
        <v>492</v>
      </c>
      <c r="B469" s="2" t="s">
        <v>12481</v>
      </c>
    </row>
    <row r="470" spans="1:2" x14ac:dyDescent="0.2">
      <c r="A470" s="8" t="s">
        <v>493</v>
      </c>
      <c r="B470" s="2" t="s">
        <v>12481</v>
      </c>
    </row>
    <row r="471" spans="1:2" x14ac:dyDescent="0.2">
      <c r="A471" s="8" t="s">
        <v>494</v>
      </c>
      <c r="B471" s="2" t="s">
        <v>12481</v>
      </c>
    </row>
    <row r="472" spans="1:2" x14ac:dyDescent="0.2">
      <c r="A472" s="8" t="s">
        <v>495</v>
      </c>
      <c r="B472" s="2" t="s">
        <v>12481</v>
      </c>
    </row>
    <row r="473" spans="1:2" x14ac:dyDescent="0.2">
      <c r="A473" s="8" t="s">
        <v>496</v>
      </c>
      <c r="B473" s="2" t="s">
        <v>12481</v>
      </c>
    </row>
    <row r="474" spans="1:2" x14ac:dyDescent="0.2">
      <c r="A474" s="8" t="s">
        <v>497</v>
      </c>
      <c r="B474" s="2" t="s">
        <v>12481</v>
      </c>
    </row>
    <row r="475" spans="1:2" x14ac:dyDescent="0.2">
      <c r="A475" s="8" t="s">
        <v>498</v>
      </c>
      <c r="B475" s="2" t="s">
        <v>12481</v>
      </c>
    </row>
    <row r="476" spans="1:2" x14ac:dyDescent="0.2">
      <c r="A476" s="8" t="s">
        <v>499</v>
      </c>
      <c r="B476" s="2" t="s">
        <v>12481</v>
      </c>
    </row>
    <row r="477" spans="1:2" x14ac:dyDescent="0.2">
      <c r="A477" s="8" t="s">
        <v>500</v>
      </c>
      <c r="B477" s="2" t="s">
        <v>12481</v>
      </c>
    </row>
    <row r="478" spans="1:2" x14ac:dyDescent="0.2">
      <c r="A478" s="8" t="s">
        <v>501</v>
      </c>
      <c r="B478" s="2" t="s">
        <v>12481</v>
      </c>
    </row>
    <row r="479" spans="1:2" x14ac:dyDescent="0.2">
      <c r="A479" s="8" t="s">
        <v>502</v>
      </c>
      <c r="B479" s="2" t="s">
        <v>12481</v>
      </c>
    </row>
    <row r="480" spans="1:2" x14ac:dyDescent="0.2">
      <c r="A480" s="8" t="s">
        <v>503</v>
      </c>
      <c r="B480" s="2" t="s">
        <v>12481</v>
      </c>
    </row>
    <row r="481" spans="1:2" x14ac:dyDescent="0.2">
      <c r="A481" s="8" t="s">
        <v>504</v>
      </c>
      <c r="B481" s="2" t="s">
        <v>12481</v>
      </c>
    </row>
    <row r="482" spans="1:2" x14ac:dyDescent="0.2">
      <c r="A482" s="8" t="s">
        <v>505</v>
      </c>
      <c r="B482" s="2" t="s">
        <v>12481</v>
      </c>
    </row>
    <row r="483" spans="1:2" x14ac:dyDescent="0.2">
      <c r="A483" s="8" t="s">
        <v>506</v>
      </c>
      <c r="B483" s="2" t="s">
        <v>12481</v>
      </c>
    </row>
    <row r="484" spans="1:2" x14ac:dyDescent="0.2">
      <c r="A484" s="8" t="s">
        <v>507</v>
      </c>
      <c r="B484" s="2" t="s">
        <v>12481</v>
      </c>
    </row>
    <row r="485" spans="1:2" x14ac:dyDescent="0.2">
      <c r="A485" s="8" t="s">
        <v>508</v>
      </c>
      <c r="B485" s="2" t="s">
        <v>12481</v>
      </c>
    </row>
    <row r="486" spans="1:2" x14ac:dyDescent="0.2">
      <c r="A486" s="8" t="s">
        <v>509</v>
      </c>
      <c r="B486" s="2" t="s">
        <v>12481</v>
      </c>
    </row>
    <row r="487" spans="1:2" x14ac:dyDescent="0.2">
      <c r="A487" s="8" t="s">
        <v>510</v>
      </c>
      <c r="B487" s="2" t="s">
        <v>12481</v>
      </c>
    </row>
    <row r="488" spans="1:2" x14ac:dyDescent="0.2">
      <c r="A488" s="8" t="s">
        <v>511</v>
      </c>
      <c r="B488" s="2" t="s">
        <v>12481</v>
      </c>
    </row>
    <row r="489" spans="1:2" x14ac:dyDescent="0.2">
      <c r="A489" s="8" t="s">
        <v>512</v>
      </c>
      <c r="B489" s="2" t="s">
        <v>12481</v>
      </c>
    </row>
    <row r="490" spans="1:2" x14ac:dyDescent="0.2">
      <c r="A490" s="8" t="s">
        <v>513</v>
      </c>
      <c r="B490" s="2" t="s">
        <v>12481</v>
      </c>
    </row>
    <row r="491" spans="1:2" x14ac:dyDescent="0.2">
      <c r="A491" s="8" t="s">
        <v>514</v>
      </c>
      <c r="B491" s="2" t="s">
        <v>12481</v>
      </c>
    </row>
    <row r="492" spans="1:2" x14ac:dyDescent="0.2">
      <c r="A492" s="8" t="s">
        <v>515</v>
      </c>
      <c r="B492" s="2" t="s">
        <v>12481</v>
      </c>
    </row>
    <row r="493" spans="1:2" x14ac:dyDescent="0.2">
      <c r="A493" s="8" t="s">
        <v>516</v>
      </c>
      <c r="B493" s="2" t="s">
        <v>12481</v>
      </c>
    </row>
    <row r="494" spans="1:2" x14ac:dyDescent="0.2">
      <c r="A494" s="8" t="s">
        <v>517</v>
      </c>
      <c r="B494" s="2" t="s">
        <v>12481</v>
      </c>
    </row>
    <row r="495" spans="1:2" x14ac:dyDescent="0.2">
      <c r="A495" s="8" t="s">
        <v>518</v>
      </c>
      <c r="B495" s="2" t="s">
        <v>12481</v>
      </c>
    </row>
    <row r="496" spans="1:2" x14ac:dyDescent="0.2">
      <c r="A496" s="8" t="s">
        <v>519</v>
      </c>
      <c r="B496" s="2" t="s">
        <v>12481</v>
      </c>
    </row>
    <row r="497" spans="1:2" x14ac:dyDescent="0.2">
      <c r="A497" s="8" t="s">
        <v>520</v>
      </c>
      <c r="B497" s="2" t="s">
        <v>12481</v>
      </c>
    </row>
    <row r="498" spans="1:2" x14ac:dyDescent="0.2">
      <c r="A498" s="8" t="s">
        <v>521</v>
      </c>
      <c r="B498" s="2" t="s">
        <v>12481</v>
      </c>
    </row>
    <row r="499" spans="1:2" x14ac:dyDescent="0.2">
      <c r="A499" s="8" t="s">
        <v>522</v>
      </c>
      <c r="B499" s="2" t="s">
        <v>12481</v>
      </c>
    </row>
    <row r="500" spans="1:2" x14ac:dyDescent="0.2">
      <c r="A500" s="8" t="s">
        <v>523</v>
      </c>
      <c r="B500" s="2" t="s">
        <v>12481</v>
      </c>
    </row>
    <row r="501" spans="1:2" x14ac:dyDescent="0.2">
      <c r="A501" s="8" t="s">
        <v>524</v>
      </c>
      <c r="B501" s="2" t="s">
        <v>12481</v>
      </c>
    </row>
    <row r="502" spans="1:2" x14ac:dyDescent="0.2">
      <c r="A502" s="8" t="s">
        <v>525</v>
      </c>
      <c r="B502" s="2" t="s">
        <v>12481</v>
      </c>
    </row>
    <row r="503" spans="1:2" x14ac:dyDescent="0.2">
      <c r="A503" s="8" t="s">
        <v>526</v>
      </c>
      <c r="B503" s="2" t="s">
        <v>12481</v>
      </c>
    </row>
    <row r="504" spans="1:2" x14ac:dyDescent="0.2">
      <c r="A504" s="8" t="s">
        <v>527</v>
      </c>
      <c r="B504" s="2" t="s">
        <v>12481</v>
      </c>
    </row>
    <row r="505" spans="1:2" x14ac:dyDescent="0.2">
      <c r="A505" s="8" t="s">
        <v>528</v>
      </c>
      <c r="B505" s="2" t="s">
        <v>12481</v>
      </c>
    </row>
    <row r="506" spans="1:2" x14ac:dyDescent="0.2">
      <c r="A506" s="8" t="s">
        <v>529</v>
      </c>
      <c r="B506" s="2" t="s">
        <v>12481</v>
      </c>
    </row>
    <row r="507" spans="1:2" x14ac:dyDescent="0.2">
      <c r="A507" s="8" t="s">
        <v>530</v>
      </c>
      <c r="B507" s="2" t="s">
        <v>12481</v>
      </c>
    </row>
    <row r="508" spans="1:2" x14ac:dyDescent="0.2">
      <c r="A508" s="8" t="s">
        <v>531</v>
      </c>
      <c r="B508" s="2" t="s">
        <v>12481</v>
      </c>
    </row>
    <row r="509" spans="1:2" x14ac:dyDescent="0.2">
      <c r="A509" s="8" t="s">
        <v>532</v>
      </c>
      <c r="B509" s="2" t="s">
        <v>12481</v>
      </c>
    </row>
    <row r="510" spans="1:2" x14ac:dyDescent="0.2">
      <c r="A510" s="8" t="s">
        <v>533</v>
      </c>
      <c r="B510" s="2" t="s">
        <v>12481</v>
      </c>
    </row>
    <row r="511" spans="1:2" x14ac:dyDescent="0.2">
      <c r="A511" s="8" t="s">
        <v>534</v>
      </c>
      <c r="B511" s="2" t="s">
        <v>12481</v>
      </c>
    </row>
    <row r="512" spans="1:2" x14ac:dyDescent="0.2">
      <c r="A512" s="8" t="s">
        <v>535</v>
      </c>
      <c r="B512" s="2" t="s">
        <v>12481</v>
      </c>
    </row>
    <row r="513" spans="1:2" x14ac:dyDescent="0.2">
      <c r="A513" s="8" t="s">
        <v>536</v>
      </c>
      <c r="B513" s="2" t="s">
        <v>12481</v>
      </c>
    </row>
    <row r="514" spans="1:2" x14ac:dyDescent="0.2">
      <c r="A514" s="8" t="s">
        <v>537</v>
      </c>
      <c r="B514" s="2" t="s">
        <v>12481</v>
      </c>
    </row>
    <row r="515" spans="1:2" x14ac:dyDescent="0.2">
      <c r="A515" s="8" t="s">
        <v>538</v>
      </c>
      <c r="B515" s="2" t="s">
        <v>12481</v>
      </c>
    </row>
    <row r="516" spans="1:2" x14ac:dyDescent="0.2">
      <c r="A516" s="8" t="s">
        <v>539</v>
      </c>
      <c r="B516" s="2" t="s">
        <v>12481</v>
      </c>
    </row>
    <row r="517" spans="1:2" x14ac:dyDescent="0.2">
      <c r="A517" s="8" t="s">
        <v>540</v>
      </c>
      <c r="B517" s="2" t="s">
        <v>12481</v>
      </c>
    </row>
    <row r="518" spans="1:2" x14ac:dyDescent="0.2">
      <c r="A518" s="8" t="s">
        <v>541</v>
      </c>
      <c r="B518" s="2" t="s">
        <v>12481</v>
      </c>
    </row>
    <row r="519" spans="1:2" x14ac:dyDescent="0.2">
      <c r="A519" s="8" t="s">
        <v>542</v>
      </c>
      <c r="B519" s="2" t="s">
        <v>12481</v>
      </c>
    </row>
    <row r="520" spans="1:2" x14ac:dyDescent="0.2">
      <c r="A520" s="8" t="s">
        <v>543</v>
      </c>
      <c r="B520" s="2" t="s">
        <v>12481</v>
      </c>
    </row>
    <row r="521" spans="1:2" x14ac:dyDescent="0.2">
      <c r="A521" s="8" t="s">
        <v>544</v>
      </c>
      <c r="B521" s="2" t="s">
        <v>12481</v>
      </c>
    </row>
    <row r="522" spans="1:2" x14ac:dyDescent="0.2">
      <c r="A522" s="8" t="s">
        <v>545</v>
      </c>
      <c r="B522" s="2" t="s">
        <v>12481</v>
      </c>
    </row>
    <row r="523" spans="1:2" x14ac:dyDescent="0.2">
      <c r="A523" s="8" t="s">
        <v>546</v>
      </c>
      <c r="B523" s="2" t="s">
        <v>12481</v>
      </c>
    </row>
    <row r="524" spans="1:2" x14ac:dyDescent="0.2">
      <c r="A524" s="8" t="s">
        <v>547</v>
      </c>
      <c r="B524" s="2" t="s">
        <v>12481</v>
      </c>
    </row>
    <row r="525" spans="1:2" x14ac:dyDescent="0.2">
      <c r="A525" s="8" t="s">
        <v>548</v>
      </c>
      <c r="B525" s="2" t="s">
        <v>12481</v>
      </c>
    </row>
    <row r="526" spans="1:2" x14ac:dyDescent="0.2">
      <c r="A526" s="8" t="s">
        <v>549</v>
      </c>
      <c r="B526" s="2" t="s">
        <v>12481</v>
      </c>
    </row>
    <row r="527" spans="1:2" x14ac:dyDescent="0.2">
      <c r="A527" s="8" t="s">
        <v>550</v>
      </c>
      <c r="B527" s="2" t="s">
        <v>12481</v>
      </c>
    </row>
    <row r="528" spans="1:2" x14ac:dyDescent="0.2">
      <c r="A528" s="8" t="s">
        <v>551</v>
      </c>
      <c r="B528" s="2" t="s">
        <v>12481</v>
      </c>
    </row>
    <row r="529" spans="1:2" x14ac:dyDescent="0.2">
      <c r="A529" s="8" t="s">
        <v>552</v>
      </c>
      <c r="B529" s="2" t="s">
        <v>12481</v>
      </c>
    </row>
    <row r="530" spans="1:2" x14ac:dyDescent="0.2">
      <c r="A530" s="8" t="s">
        <v>553</v>
      </c>
      <c r="B530" s="2" t="s">
        <v>12481</v>
      </c>
    </row>
    <row r="531" spans="1:2" x14ac:dyDescent="0.2">
      <c r="A531" s="8" t="s">
        <v>554</v>
      </c>
      <c r="B531" s="2" t="s">
        <v>12481</v>
      </c>
    </row>
    <row r="532" spans="1:2" x14ac:dyDescent="0.2">
      <c r="A532" s="8" t="s">
        <v>555</v>
      </c>
      <c r="B532" s="2" t="s">
        <v>12481</v>
      </c>
    </row>
    <row r="533" spans="1:2" x14ac:dyDescent="0.2">
      <c r="A533" s="8" t="s">
        <v>556</v>
      </c>
      <c r="B533" s="2" t="s">
        <v>12481</v>
      </c>
    </row>
    <row r="534" spans="1:2" x14ac:dyDescent="0.2">
      <c r="A534" s="8" t="s">
        <v>557</v>
      </c>
      <c r="B534" s="2" t="s">
        <v>12481</v>
      </c>
    </row>
    <row r="535" spans="1:2" x14ac:dyDescent="0.2">
      <c r="A535" s="8" t="s">
        <v>558</v>
      </c>
      <c r="B535" s="2" t="s">
        <v>12481</v>
      </c>
    </row>
    <row r="536" spans="1:2" x14ac:dyDescent="0.2">
      <c r="A536" s="8" t="s">
        <v>559</v>
      </c>
      <c r="B536" s="2" t="s">
        <v>12481</v>
      </c>
    </row>
    <row r="537" spans="1:2" x14ac:dyDescent="0.2">
      <c r="A537" s="8" t="s">
        <v>560</v>
      </c>
      <c r="B537" s="2" t="s">
        <v>12481</v>
      </c>
    </row>
    <row r="538" spans="1:2" x14ac:dyDescent="0.2">
      <c r="A538" s="8" t="s">
        <v>561</v>
      </c>
      <c r="B538" s="2" t="s">
        <v>12481</v>
      </c>
    </row>
    <row r="539" spans="1:2" x14ac:dyDescent="0.2">
      <c r="A539" s="8" t="s">
        <v>562</v>
      </c>
      <c r="B539" s="2" t="s">
        <v>12481</v>
      </c>
    </row>
    <row r="540" spans="1:2" x14ac:dyDescent="0.2">
      <c r="A540" s="8" t="s">
        <v>563</v>
      </c>
      <c r="B540" s="2" t="s">
        <v>12481</v>
      </c>
    </row>
    <row r="541" spans="1:2" x14ac:dyDescent="0.2">
      <c r="A541" s="8" t="s">
        <v>564</v>
      </c>
      <c r="B541" s="2" t="s">
        <v>12481</v>
      </c>
    </row>
    <row r="542" spans="1:2" x14ac:dyDescent="0.2">
      <c r="A542" s="8" t="s">
        <v>565</v>
      </c>
      <c r="B542" s="2" t="s">
        <v>12481</v>
      </c>
    </row>
    <row r="543" spans="1:2" x14ac:dyDescent="0.2">
      <c r="A543" s="8" t="s">
        <v>566</v>
      </c>
      <c r="B543" s="2" t="s">
        <v>12481</v>
      </c>
    </row>
    <row r="544" spans="1:2" x14ac:dyDescent="0.2">
      <c r="A544" s="8" t="s">
        <v>567</v>
      </c>
      <c r="B544" s="2" t="s">
        <v>12481</v>
      </c>
    </row>
    <row r="545" spans="1:2" x14ac:dyDescent="0.2">
      <c r="A545" s="8" t="s">
        <v>568</v>
      </c>
      <c r="B545" s="2" t="s">
        <v>12481</v>
      </c>
    </row>
    <row r="546" spans="1:2" x14ac:dyDescent="0.2">
      <c r="A546" s="8" t="s">
        <v>569</v>
      </c>
      <c r="B546" s="2" t="s">
        <v>12481</v>
      </c>
    </row>
    <row r="547" spans="1:2" x14ac:dyDescent="0.2">
      <c r="A547" s="8" t="s">
        <v>570</v>
      </c>
      <c r="B547" s="2" t="s">
        <v>12481</v>
      </c>
    </row>
    <row r="548" spans="1:2" x14ac:dyDescent="0.2">
      <c r="A548" s="8" t="s">
        <v>571</v>
      </c>
      <c r="B548" s="2" t="s">
        <v>12481</v>
      </c>
    </row>
    <row r="549" spans="1:2" x14ac:dyDescent="0.2">
      <c r="A549" s="8" t="s">
        <v>572</v>
      </c>
      <c r="B549" s="2" t="s">
        <v>12481</v>
      </c>
    </row>
    <row r="550" spans="1:2" x14ac:dyDescent="0.2">
      <c r="A550" s="8" t="s">
        <v>573</v>
      </c>
      <c r="B550" s="2" t="s">
        <v>12481</v>
      </c>
    </row>
    <row r="551" spans="1:2" x14ac:dyDescent="0.2">
      <c r="A551" s="8" t="s">
        <v>574</v>
      </c>
      <c r="B551" s="2" t="s">
        <v>12481</v>
      </c>
    </row>
    <row r="552" spans="1:2" x14ac:dyDescent="0.2">
      <c r="A552" s="8" t="s">
        <v>575</v>
      </c>
      <c r="B552" s="2" t="s">
        <v>12481</v>
      </c>
    </row>
    <row r="553" spans="1:2" x14ac:dyDescent="0.2">
      <c r="A553" s="8" t="s">
        <v>576</v>
      </c>
      <c r="B553" s="2" t="s">
        <v>12481</v>
      </c>
    </row>
    <row r="554" spans="1:2" x14ac:dyDescent="0.2">
      <c r="A554" s="8" t="s">
        <v>577</v>
      </c>
      <c r="B554" s="2" t="s">
        <v>12481</v>
      </c>
    </row>
    <row r="555" spans="1:2" x14ac:dyDescent="0.2">
      <c r="A555" s="8" t="s">
        <v>578</v>
      </c>
      <c r="B555" s="2" t="s">
        <v>12481</v>
      </c>
    </row>
    <row r="556" spans="1:2" x14ac:dyDescent="0.2">
      <c r="A556" s="8" t="s">
        <v>579</v>
      </c>
      <c r="B556" s="2" t="s">
        <v>12481</v>
      </c>
    </row>
    <row r="557" spans="1:2" x14ac:dyDescent="0.2">
      <c r="A557" s="8" t="s">
        <v>580</v>
      </c>
      <c r="B557" s="2" t="s">
        <v>12481</v>
      </c>
    </row>
    <row r="558" spans="1:2" x14ac:dyDescent="0.2">
      <c r="A558" s="8" t="s">
        <v>581</v>
      </c>
      <c r="B558" s="2" t="s">
        <v>12481</v>
      </c>
    </row>
    <row r="559" spans="1:2" x14ac:dyDescent="0.2">
      <c r="A559" s="8" t="s">
        <v>582</v>
      </c>
      <c r="B559" s="2" t="s">
        <v>12481</v>
      </c>
    </row>
    <row r="560" spans="1:2" x14ac:dyDescent="0.2">
      <c r="A560" s="8" t="s">
        <v>583</v>
      </c>
      <c r="B560" s="2" t="s">
        <v>12481</v>
      </c>
    </row>
    <row r="561" spans="1:2" x14ac:dyDescent="0.2">
      <c r="A561" s="8" t="s">
        <v>584</v>
      </c>
      <c r="B561" s="2" t="s">
        <v>12481</v>
      </c>
    </row>
    <row r="562" spans="1:2" x14ac:dyDescent="0.2">
      <c r="A562" s="8" t="s">
        <v>585</v>
      </c>
      <c r="B562" s="2" t="s">
        <v>12481</v>
      </c>
    </row>
    <row r="563" spans="1:2" x14ac:dyDescent="0.2">
      <c r="A563" s="8" t="s">
        <v>586</v>
      </c>
      <c r="B563" s="2" t="s">
        <v>12481</v>
      </c>
    </row>
    <row r="564" spans="1:2" x14ac:dyDescent="0.2">
      <c r="A564" s="8" t="s">
        <v>587</v>
      </c>
      <c r="B564" s="2" t="s">
        <v>12481</v>
      </c>
    </row>
    <row r="565" spans="1:2" x14ac:dyDescent="0.2">
      <c r="A565" s="8" t="s">
        <v>588</v>
      </c>
      <c r="B565" s="2" t="s">
        <v>12481</v>
      </c>
    </row>
    <row r="566" spans="1:2" x14ac:dyDescent="0.2">
      <c r="A566" s="8" t="s">
        <v>589</v>
      </c>
      <c r="B566" s="2" t="s">
        <v>12481</v>
      </c>
    </row>
    <row r="567" spans="1:2" x14ac:dyDescent="0.2">
      <c r="A567" s="8" t="s">
        <v>590</v>
      </c>
      <c r="B567" s="2" t="s">
        <v>12481</v>
      </c>
    </row>
    <row r="568" spans="1:2" x14ac:dyDescent="0.2">
      <c r="A568" s="8" t="s">
        <v>591</v>
      </c>
      <c r="B568" s="2" t="s">
        <v>12481</v>
      </c>
    </row>
    <row r="569" spans="1:2" x14ac:dyDescent="0.2">
      <c r="A569" s="8" t="s">
        <v>592</v>
      </c>
      <c r="B569" s="2" t="s">
        <v>12481</v>
      </c>
    </row>
    <row r="570" spans="1:2" x14ac:dyDescent="0.2">
      <c r="A570" s="8" t="s">
        <v>593</v>
      </c>
      <c r="B570" s="2" t="s">
        <v>12481</v>
      </c>
    </row>
    <row r="571" spans="1:2" x14ac:dyDescent="0.2">
      <c r="A571" s="8" t="s">
        <v>594</v>
      </c>
      <c r="B571" s="2" t="s">
        <v>12481</v>
      </c>
    </row>
    <row r="572" spans="1:2" x14ac:dyDescent="0.2">
      <c r="A572" s="8" t="s">
        <v>595</v>
      </c>
      <c r="B572" s="2" t="s">
        <v>12481</v>
      </c>
    </row>
    <row r="573" spans="1:2" x14ac:dyDescent="0.2">
      <c r="A573" s="8" t="s">
        <v>596</v>
      </c>
      <c r="B573" s="2" t="s">
        <v>12481</v>
      </c>
    </row>
    <row r="574" spans="1:2" x14ac:dyDescent="0.2">
      <c r="A574" s="8" t="s">
        <v>597</v>
      </c>
      <c r="B574" s="2" t="s">
        <v>12481</v>
      </c>
    </row>
    <row r="575" spans="1:2" x14ac:dyDescent="0.2">
      <c r="A575" s="8" t="s">
        <v>598</v>
      </c>
      <c r="B575" s="2" t="s">
        <v>12481</v>
      </c>
    </row>
    <row r="576" spans="1:2" x14ac:dyDescent="0.2">
      <c r="A576" s="8" t="s">
        <v>599</v>
      </c>
      <c r="B576" s="2" t="s">
        <v>12481</v>
      </c>
    </row>
    <row r="577" spans="1:2" x14ac:dyDescent="0.2">
      <c r="A577" s="8" t="s">
        <v>600</v>
      </c>
      <c r="B577" s="2" t="s">
        <v>12481</v>
      </c>
    </row>
    <row r="578" spans="1:2" x14ac:dyDescent="0.2">
      <c r="A578" s="8" t="s">
        <v>601</v>
      </c>
      <c r="B578" s="2" t="s">
        <v>12481</v>
      </c>
    </row>
    <row r="579" spans="1:2" x14ac:dyDescent="0.2">
      <c r="A579" s="8" t="s">
        <v>602</v>
      </c>
      <c r="B579" s="2" t="s">
        <v>12481</v>
      </c>
    </row>
    <row r="580" spans="1:2" x14ac:dyDescent="0.2">
      <c r="A580" s="8" t="s">
        <v>603</v>
      </c>
      <c r="B580" s="2" t="s">
        <v>12481</v>
      </c>
    </row>
    <row r="581" spans="1:2" x14ac:dyDescent="0.2">
      <c r="A581" s="8" t="s">
        <v>604</v>
      </c>
      <c r="B581" s="2" t="s">
        <v>12481</v>
      </c>
    </row>
    <row r="582" spans="1:2" x14ac:dyDescent="0.2">
      <c r="A582" s="8" t="s">
        <v>605</v>
      </c>
      <c r="B582" s="2" t="s">
        <v>12481</v>
      </c>
    </row>
    <row r="583" spans="1:2" x14ac:dyDescent="0.2">
      <c r="A583" s="8" t="s">
        <v>606</v>
      </c>
      <c r="B583" s="2" t="s">
        <v>12481</v>
      </c>
    </row>
    <row r="584" spans="1:2" x14ac:dyDescent="0.2">
      <c r="A584" s="8" t="s">
        <v>607</v>
      </c>
      <c r="B584" s="2" t="s">
        <v>12481</v>
      </c>
    </row>
    <row r="585" spans="1:2" x14ac:dyDescent="0.2">
      <c r="A585" s="8" t="s">
        <v>608</v>
      </c>
      <c r="B585" s="2" t="s">
        <v>12481</v>
      </c>
    </row>
    <row r="586" spans="1:2" x14ac:dyDescent="0.2">
      <c r="A586" s="8" t="s">
        <v>609</v>
      </c>
      <c r="B586" s="2" t="s">
        <v>12481</v>
      </c>
    </row>
    <row r="587" spans="1:2" x14ac:dyDescent="0.2">
      <c r="A587" s="8" t="s">
        <v>610</v>
      </c>
      <c r="B587" s="2" t="s">
        <v>12481</v>
      </c>
    </row>
    <row r="588" spans="1:2" x14ac:dyDescent="0.2">
      <c r="A588" s="8" t="s">
        <v>611</v>
      </c>
      <c r="B588" s="2" t="s">
        <v>12481</v>
      </c>
    </row>
    <row r="589" spans="1:2" x14ac:dyDescent="0.2">
      <c r="A589" s="8" t="s">
        <v>612</v>
      </c>
      <c r="B589" s="2" t="s">
        <v>12481</v>
      </c>
    </row>
    <row r="590" spans="1:2" x14ac:dyDescent="0.2">
      <c r="A590" s="8" t="s">
        <v>613</v>
      </c>
      <c r="B590" s="2" t="s">
        <v>12481</v>
      </c>
    </row>
    <row r="591" spans="1:2" x14ac:dyDescent="0.2">
      <c r="A591" s="8" t="s">
        <v>614</v>
      </c>
      <c r="B591" s="2" t="s">
        <v>12481</v>
      </c>
    </row>
    <row r="592" spans="1:2" x14ac:dyDescent="0.2">
      <c r="A592" s="8" t="s">
        <v>615</v>
      </c>
      <c r="B592" s="2" t="s">
        <v>12481</v>
      </c>
    </row>
    <row r="593" spans="1:2" x14ac:dyDescent="0.2">
      <c r="A593" s="8" t="s">
        <v>616</v>
      </c>
      <c r="B593" s="2" t="s">
        <v>12481</v>
      </c>
    </row>
    <row r="594" spans="1:2" x14ac:dyDescent="0.2">
      <c r="A594" s="8" t="s">
        <v>617</v>
      </c>
      <c r="B594" s="2" t="s">
        <v>12481</v>
      </c>
    </row>
    <row r="595" spans="1:2" x14ac:dyDescent="0.2">
      <c r="A595" s="8" t="s">
        <v>618</v>
      </c>
      <c r="B595" s="2" t="s">
        <v>12481</v>
      </c>
    </row>
    <row r="596" spans="1:2" x14ac:dyDescent="0.2">
      <c r="A596" s="8" t="s">
        <v>619</v>
      </c>
      <c r="B596" s="2" t="s">
        <v>12481</v>
      </c>
    </row>
    <row r="597" spans="1:2" x14ac:dyDescent="0.2">
      <c r="A597" s="8" t="s">
        <v>620</v>
      </c>
      <c r="B597" s="2" t="s">
        <v>12481</v>
      </c>
    </row>
    <row r="598" spans="1:2" x14ac:dyDescent="0.2">
      <c r="A598" s="8" t="s">
        <v>621</v>
      </c>
      <c r="B598" s="2" t="s">
        <v>12481</v>
      </c>
    </row>
    <row r="599" spans="1:2" x14ac:dyDescent="0.2">
      <c r="A599" s="8" t="s">
        <v>622</v>
      </c>
      <c r="B599" s="2" t="s">
        <v>12481</v>
      </c>
    </row>
    <row r="600" spans="1:2" x14ac:dyDescent="0.2">
      <c r="A600" s="8" t="s">
        <v>623</v>
      </c>
      <c r="B600" s="2" t="s">
        <v>12481</v>
      </c>
    </row>
    <row r="601" spans="1:2" x14ac:dyDescent="0.2">
      <c r="A601" s="8" t="s">
        <v>624</v>
      </c>
      <c r="B601" s="2" t="s">
        <v>12481</v>
      </c>
    </row>
    <row r="602" spans="1:2" x14ac:dyDescent="0.2">
      <c r="A602" s="8" t="s">
        <v>625</v>
      </c>
      <c r="B602" s="2" t="s">
        <v>12481</v>
      </c>
    </row>
    <row r="603" spans="1:2" x14ac:dyDescent="0.2">
      <c r="A603" s="8" t="s">
        <v>626</v>
      </c>
      <c r="B603" s="2" t="s">
        <v>12481</v>
      </c>
    </row>
    <row r="604" spans="1:2" x14ac:dyDescent="0.2">
      <c r="A604" s="8" t="s">
        <v>627</v>
      </c>
      <c r="B604" s="2" t="s">
        <v>12481</v>
      </c>
    </row>
    <row r="605" spans="1:2" x14ac:dyDescent="0.2">
      <c r="A605" s="8" t="s">
        <v>628</v>
      </c>
      <c r="B605" s="2" t="s">
        <v>12481</v>
      </c>
    </row>
    <row r="606" spans="1:2" x14ac:dyDescent="0.2">
      <c r="A606" s="8" t="s">
        <v>629</v>
      </c>
      <c r="B606" s="2" t="s">
        <v>12481</v>
      </c>
    </row>
    <row r="607" spans="1:2" x14ac:dyDescent="0.2">
      <c r="A607" s="8" t="s">
        <v>630</v>
      </c>
      <c r="B607" s="2" t="s">
        <v>12481</v>
      </c>
    </row>
    <row r="608" spans="1:2" x14ac:dyDescent="0.2">
      <c r="A608" s="8" t="s">
        <v>631</v>
      </c>
      <c r="B608" s="2" t="s">
        <v>12481</v>
      </c>
    </row>
    <row r="609" spans="1:2" x14ac:dyDescent="0.2">
      <c r="A609" s="8" t="s">
        <v>632</v>
      </c>
      <c r="B609" s="2" t="s">
        <v>12481</v>
      </c>
    </row>
    <row r="610" spans="1:2" x14ac:dyDescent="0.2">
      <c r="A610" s="8" t="s">
        <v>633</v>
      </c>
      <c r="B610" s="2" t="s">
        <v>12481</v>
      </c>
    </row>
    <row r="611" spans="1:2" x14ac:dyDescent="0.2">
      <c r="A611" s="8" t="s">
        <v>634</v>
      </c>
      <c r="B611" s="2" t="s">
        <v>12481</v>
      </c>
    </row>
    <row r="612" spans="1:2" x14ac:dyDescent="0.2">
      <c r="A612" s="8" t="s">
        <v>635</v>
      </c>
      <c r="B612" s="2" t="s">
        <v>12481</v>
      </c>
    </row>
    <row r="613" spans="1:2" x14ac:dyDescent="0.2">
      <c r="A613" s="8" t="s">
        <v>636</v>
      </c>
      <c r="B613" s="2" t="s">
        <v>12481</v>
      </c>
    </row>
    <row r="614" spans="1:2" x14ac:dyDescent="0.2">
      <c r="A614" s="8" t="s">
        <v>637</v>
      </c>
      <c r="B614" s="2" t="s">
        <v>12481</v>
      </c>
    </row>
    <row r="615" spans="1:2" x14ac:dyDescent="0.2">
      <c r="A615" s="8" t="s">
        <v>638</v>
      </c>
      <c r="B615" s="2" t="s">
        <v>12481</v>
      </c>
    </row>
    <row r="616" spans="1:2" x14ac:dyDescent="0.2">
      <c r="A616" s="8" t="s">
        <v>639</v>
      </c>
      <c r="B616" s="2" t="s">
        <v>12481</v>
      </c>
    </row>
    <row r="617" spans="1:2" x14ac:dyDescent="0.2">
      <c r="A617" s="8" t="s">
        <v>640</v>
      </c>
      <c r="B617" s="2" t="s">
        <v>12481</v>
      </c>
    </row>
    <row r="618" spans="1:2" x14ac:dyDescent="0.2">
      <c r="A618" s="8" t="s">
        <v>641</v>
      </c>
      <c r="B618" s="2" t="s">
        <v>12481</v>
      </c>
    </row>
    <row r="619" spans="1:2" x14ac:dyDescent="0.2">
      <c r="A619" s="8" t="s">
        <v>642</v>
      </c>
      <c r="B619" s="2" t="s">
        <v>12481</v>
      </c>
    </row>
    <row r="620" spans="1:2" x14ac:dyDescent="0.2">
      <c r="A620" s="8" t="s">
        <v>643</v>
      </c>
      <c r="B620" s="2" t="s">
        <v>12481</v>
      </c>
    </row>
    <row r="621" spans="1:2" x14ac:dyDescent="0.2">
      <c r="A621" s="8" t="s">
        <v>644</v>
      </c>
      <c r="B621" s="2" t="s">
        <v>12481</v>
      </c>
    </row>
    <row r="622" spans="1:2" x14ac:dyDescent="0.2">
      <c r="A622" s="8" t="s">
        <v>645</v>
      </c>
      <c r="B622" s="2" t="s">
        <v>12481</v>
      </c>
    </row>
    <row r="623" spans="1:2" x14ac:dyDescent="0.2">
      <c r="A623" s="8" t="s">
        <v>646</v>
      </c>
      <c r="B623" s="2" t="s">
        <v>12481</v>
      </c>
    </row>
    <row r="624" spans="1:2" x14ac:dyDescent="0.2">
      <c r="A624" s="8" t="s">
        <v>647</v>
      </c>
      <c r="B624" s="2" t="s">
        <v>12481</v>
      </c>
    </row>
    <row r="625" spans="1:2" x14ac:dyDescent="0.2">
      <c r="A625" s="8" t="s">
        <v>648</v>
      </c>
      <c r="B625" s="2" t="s">
        <v>12481</v>
      </c>
    </row>
    <row r="626" spans="1:2" x14ac:dyDescent="0.2">
      <c r="A626" s="8" t="s">
        <v>649</v>
      </c>
      <c r="B626" s="2" t="s">
        <v>12481</v>
      </c>
    </row>
    <row r="627" spans="1:2" x14ac:dyDescent="0.2">
      <c r="A627" s="8" t="s">
        <v>650</v>
      </c>
      <c r="B627" s="2" t="s">
        <v>12481</v>
      </c>
    </row>
    <row r="628" spans="1:2" x14ac:dyDescent="0.2">
      <c r="A628" s="8" t="s">
        <v>651</v>
      </c>
      <c r="B628" s="2" t="s">
        <v>12481</v>
      </c>
    </row>
    <row r="629" spans="1:2" x14ac:dyDescent="0.2">
      <c r="A629" s="8" t="s">
        <v>652</v>
      </c>
      <c r="B629" s="2" t="s">
        <v>12481</v>
      </c>
    </row>
    <row r="630" spans="1:2" x14ac:dyDescent="0.2">
      <c r="A630" s="8" t="s">
        <v>653</v>
      </c>
      <c r="B630" s="2" t="s">
        <v>12481</v>
      </c>
    </row>
    <row r="631" spans="1:2" x14ac:dyDescent="0.2">
      <c r="A631" s="8" t="s">
        <v>654</v>
      </c>
      <c r="B631" s="2" t="s">
        <v>12481</v>
      </c>
    </row>
    <row r="632" spans="1:2" x14ac:dyDescent="0.2">
      <c r="A632" s="8" t="s">
        <v>655</v>
      </c>
      <c r="B632" s="2" t="s">
        <v>12481</v>
      </c>
    </row>
    <row r="633" spans="1:2" x14ac:dyDescent="0.2">
      <c r="A633" s="8" t="s">
        <v>656</v>
      </c>
      <c r="B633" s="2" t="s">
        <v>12481</v>
      </c>
    </row>
    <row r="634" spans="1:2" x14ac:dyDescent="0.2">
      <c r="A634" s="8" t="s">
        <v>657</v>
      </c>
      <c r="B634" s="2" t="s">
        <v>12481</v>
      </c>
    </row>
    <row r="635" spans="1:2" x14ac:dyDescent="0.2">
      <c r="A635" s="8" t="s">
        <v>658</v>
      </c>
      <c r="B635" s="2" t="s">
        <v>12481</v>
      </c>
    </row>
    <row r="636" spans="1:2" x14ac:dyDescent="0.2">
      <c r="A636" s="8" t="s">
        <v>659</v>
      </c>
      <c r="B636" s="2" t="s">
        <v>12481</v>
      </c>
    </row>
    <row r="637" spans="1:2" x14ac:dyDescent="0.2">
      <c r="A637" s="8" t="s">
        <v>660</v>
      </c>
      <c r="B637" s="2" t="s">
        <v>12481</v>
      </c>
    </row>
    <row r="638" spans="1:2" x14ac:dyDescent="0.2">
      <c r="A638" s="8" t="s">
        <v>661</v>
      </c>
      <c r="B638" s="2" t="s">
        <v>12481</v>
      </c>
    </row>
    <row r="639" spans="1:2" x14ac:dyDescent="0.2">
      <c r="A639" s="8" t="s">
        <v>662</v>
      </c>
      <c r="B639" s="2" t="s">
        <v>12481</v>
      </c>
    </row>
    <row r="640" spans="1:2" x14ac:dyDescent="0.2">
      <c r="A640" s="8" t="s">
        <v>663</v>
      </c>
      <c r="B640" s="2" t="s">
        <v>12481</v>
      </c>
    </row>
    <row r="641" spans="1:2" x14ac:dyDescent="0.2">
      <c r="A641" s="8" t="s">
        <v>664</v>
      </c>
      <c r="B641" s="2" t="s">
        <v>12481</v>
      </c>
    </row>
    <row r="642" spans="1:2" x14ac:dyDescent="0.2">
      <c r="A642" s="8" t="s">
        <v>665</v>
      </c>
      <c r="B642" s="2" t="s">
        <v>12481</v>
      </c>
    </row>
    <row r="643" spans="1:2" x14ac:dyDescent="0.2">
      <c r="A643" s="8" t="s">
        <v>666</v>
      </c>
      <c r="B643" s="2" t="s">
        <v>12481</v>
      </c>
    </row>
    <row r="644" spans="1:2" x14ac:dyDescent="0.2">
      <c r="A644" s="8" t="s">
        <v>667</v>
      </c>
      <c r="B644" s="2" t="s">
        <v>12481</v>
      </c>
    </row>
    <row r="645" spans="1:2" x14ac:dyDescent="0.2">
      <c r="A645" s="8" t="s">
        <v>668</v>
      </c>
      <c r="B645" s="2" t="s">
        <v>12481</v>
      </c>
    </row>
    <row r="646" spans="1:2" x14ac:dyDescent="0.2">
      <c r="A646" s="8" t="s">
        <v>669</v>
      </c>
      <c r="B646" s="2" t="s">
        <v>12481</v>
      </c>
    </row>
    <row r="647" spans="1:2" x14ac:dyDescent="0.2">
      <c r="A647" s="8" t="s">
        <v>670</v>
      </c>
      <c r="B647" s="2" t="s">
        <v>12481</v>
      </c>
    </row>
    <row r="648" spans="1:2" x14ac:dyDescent="0.2">
      <c r="A648" s="8" t="s">
        <v>671</v>
      </c>
      <c r="B648" s="2" t="s">
        <v>12481</v>
      </c>
    </row>
    <row r="649" spans="1:2" x14ac:dyDescent="0.2">
      <c r="A649" s="8" t="s">
        <v>672</v>
      </c>
      <c r="B649" s="2" t="s">
        <v>12481</v>
      </c>
    </row>
    <row r="650" spans="1:2" x14ac:dyDescent="0.2">
      <c r="A650" s="8" t="s">
        <v>673</v>
      </c>
      <c r="B650" s="2" t="s">
        <v>12481</v>
      </c>
    </row>
    <row r="651" spans="1:2" x14ac:dyDescent="0.2">
      <c r="A651" s="8" t="s">
        <v>674</v>
      </c>
      <c r="B651" s="2" t="s">
        <v>12481</v>
      </c>
    </row>
    <row r="652" spans="1:2" x14ac:dyDescent="0.2">
      <c r="A652" s="8" t="s">
        <v>675</v>
      </c>
      <c r="B652" s="2" t="s">
        <v>12481</v>
      </c>
    </row>
    <row r="653" spans="1:2" x14ac:dyDescent="0.2">
      <c r="A653" s="8" t="s">
        <v>676</v>
      </c>
      <c r="B653" s="2" t="s">
        <v>12481</v>
      </c>
    </row>
    <row r="654" spans="1:2" x14ac:dyDescent="0.2">
      <c r="A654" s="8" t="s">
        <v>677</v>
      </c>
      <c r="B654" s="2" t="s">
        <v>12481</v>
      </c>
    </row>
    <row r="655" spans="1:2" x14ac:dyDescent="0.2">
      <c r="A655" s="8" t="s">
        <v>678</v>
      </c>
      <c r="B655" s="2" t="s">
        <v>12481</v>
      </c>
    </row>
    <row r="656" spans="1:2" x14ac:dyDescent="0.2">
      <c r="A656" s="8" t="s">
        <v>679</v>
      </c>
      <c r="B656" s="2" t="s">
        <v>12481</v>
      </c>
    </row>
    <row r="657" spans="1:2" x14ac:dyDescent="0.2">
      <c r="A657" s="8" t="s">
        <v>680</v>
      </c>
      <c r="B657" s="2" t="s">
        <v>12481</v>
      </c>
    </row>
    <row r="658" spans="1:2" x14ac:dyDescent="0.2">
      <c r="A658" s="8" t="s">
        <v>681</v>
      </c>
      <c r="B658" s="2" t="s">
        <v>12481</v>
      </c>
    </row>
    <row r="659" spans="1:2" x14ac:dyDescent="0.2">
      <c r="A659" s="8" t="s">
        <v>682</v>
      </c>
      <c r="B659" s="2" t="s">
        <v>12481</v>
      </c>
    </row>
    <row r="660" spans="1:2" x14ac:dyDescent="0.2">
      <c r="A660" s="8" t="s">
        <v>683</v>
      </c>
      <c r="B660" s="2" t="s">
        <v>12481</v>
      </c>
    </row>
    <row r="661" spans="1:2" x14ac:dyDescent="0.2">
      <c r="A661" s="8" t="s">
        <v>684</v>
      </c>
      <c r="B661" s="2" t="s">
        <v>12481</v>
      </c>
    </row>
    <row r="662" spans="1:2" x14ac:dyDescent="0.2">
      <c r="A662" s="8" t="s">
        <v>685</v>
      </c>
      <c r="B662" s="2" t="s">
        <v>12481</v>
      </c>
    </row>
    <row r="663" spans="1:2" x14ac:dyDescent="0.2">
      <c r="A663" s="8" t="s">
        <v>686</v>
      </c>
      <c r="B663" s="2" t="s">
        <v>12481</v>
      </c>
    </row>
    <row r="664" spans="1:2" x14ac:dyDescent="0.2">
      <c r="A664" s="8" t="s">
        <v>687</v>
      </c>
      <c r="B664" s="2" t="s">
        <v>12481</v>
      </c>
    </row>
    <row r="665" spans="1:2" x14ac:dyDescent="0.2">
      <c r="A665" s="8" t="s">
        <v>688</v>
      </c>
      <c r="B665" s="2" t="s">
        <v>12481</v>
      </c>
    </row>
    <row r="666" spans="1:2" x14ac:dyDescent="0.2">
      <c r="A666" s="8" t="s">
        <v>689</v>
      </c>
      <c r="B666" s="2" t="s">
        <v>12481</v>
      </c>
    </row>
    <row r="667" spans="1:2" x14ac:dyDescent="0.2">
      <c r="A667" s="8" t="s">
        <v>690</v>
      </c>
      <c r="B667" s="2" t="s">
        <v>12481</v>
      </c>
    </row>
    <row r="668" spans="1:2" x14ac:dyDescent="0.2">
      <c r="A668" s="8" t="s">
        <v>691</v>
      </c>
      <c r="B668" s="2" t="s">
        <v>12481</v>
      </c>
    </row>
    <row r="669" spans="1:2" x14ac:dyDescent="0.2">
      <c r="A669" s="8" t="s">
        <v>692</v>
      </c>
      <c r="B669" s="2" t="s">
        <v>12481</v>
      </c>
    </row>
    <row r="670" spans="1:2" x14ac:dyDescent="0.2">
      <c r="A670" s="8" t="s">
        <v>693</v>
      </c>
      <c r="B670" s="2" t="s">
        <v>12481</v>
      </c>
    </row>
    <row r="671" spans="1:2" x14ac:dyDescent="0.2">
      <c r="A671" s="8" t="s">
        <v>694</v>
      </c>
      <c r="B671" s="2" t="s">
        <v>12481</v>
      </c>
    </row>
    <row r="672" spans="1:2" x14ac:dyDescent="0.2">
      <c r="A672" s="8" t="s">
        <v>695</v>
      </c>
      <c r="B672" s="2" t="s">
        <v>12481</v>
      </c>
    </row>
    <row r="673" spans="1:2" x14ac:dyDescent="0.2">
      <c r="A673" s="8" t="s">
        <v>696</v>
      </c>
      <c r="B673" s="2" t="s">
        <v>12481</v>
      </c>
    </row>
    <row r="674" spans="1:2" x14ac:dyDescent="0.2">
      <c r="A674" s="8" t="s">
        <v>697</v>
      </c>
      <c r="B674" s="2" t="s">
        <v>12481</v>
      </c>
    </row>
    <row r="675" spans="1:2" x14ac:dyDescent="0.2">
      <c r="A675" s="8" t="s">
        <v>698</v>
      </c>
      <c r="B675" s="2" t="s">
        <v>12481</v>
      </c>
    </row>
    <row r="676" spans="1:2" x14ac:dyDescent="0.2">
      <c r="A676" s="8" t="s">
        <v>699</v>
      </c>
      <c r="B676" s="2" t="s">
        <v>12481</v>
      </c>
    </row>
    <row r="677" spans="1:2" x14ac:dyDescent="0.2">
      <c r="A677" s="8" t="s">
        <v>700</v>
      </c>
      <c r="B677" s="2" t="s">
        <v>12481</v>
      </c>
    </row>
    <row r="678" spans="1:2" x14ac:dyDescent="0.2">
      <c r="A678" s="8" t="s">
        <v>701</v>
      </c>
      <c r="B678" s="2" t="s">
        <v>12481</v>
      </c>
    </row>
    <row r="679" spans="1:2" x14ac:dyDescent="0.2">
      <c r="A679" s="8" t="s">
        <v>702</v>
      </c>
      <c r="B679" s="2" t="s">
        <v>12481</v>
      </c>
    </row>
    <row r="680" spans="1:2" x14ac:dyDescent="0.2">
      <c r="A680" s="8" t="s">
        <v>703</v>
      </c>
      <c r="B680" s="2" t="s">
        <v>12481</v>
      </c>
    </row>
    <row r="681" spans="1:2" x14ac:dyDescent="0.2">
      <c r="A681" s="8" t="s">
        <v>704</v>
      </c>
      <c r="B681" s="2" t="s">
        <v>12481</v>
      </c>
    </row>
    <row r="682" spans="1:2" x14ac:dyDescent="0.2">
      <c r="A682" s="8" t="s">
        <v>705</v>
      </c>
      <c r="B682" s="2" t="s">
        <v>12481</v>
      </c>
    </row>
    <row r="683" spans="1:2" x14ac:dyDescent="0.2">
      <c r="A683" s="8" t="s">
        <v>706</v>
      </c>
      <c r="B683" s="2" t="s">
        <v>12481</v>
      </c>
    </row>
    <row r="684" spans="1:2" x14ac:dyDescent="0.2">
      <c r="A684" s="8" t="s">
        <v>707</v>
      </c>
      <c r="B684" s="2" t="s">
        <v>12481</v>
      </c>
    </row>
    <row r="685" spans="1:2" x14ac:dyDescent="0.2">
      <c r="A685" s="8" t="s">
        <v>708</v>
      </c>
      <c r="B685" s="2" t="s">
        <v>12481</v>
      </c>
    </row>
    <row r="686" spans="1:2" x14ac:dyDescent="0.2">
      <c r="A686" s="8" t="s">
        <v>709</v>
      </c>
      <c r="B686" s="2" t="s">
        <v>12481</v>
      </c>
    </row>
    <row r="687" spans="1:2" x14ac:dyDescent="0.2">
      <c r="A687" s="8" t="s">
        <v>710</v>
      </c>
      <c r="B687" s="2" t="s">
        <v>12481</v>
      </c>
    </row>
    <row r="688" spans="1:2" x14ac:dyDescent="0.2">
      <c r="A688" s="8" t="s">
        <v>711</v>
      </c>
      <c r="B688" s="2" t="s">
        <v>12481</v>
      </c>
    </row>
    <row r="689" spans="1:2" x14ac:dyDescent="0.2">
      <c r="A689" s="8" t="s">
        <v>712</v>
      </c>
      <c r="B689" s="2" t="s">
        <v>12481</v>
      </c>
    </row>
    <row r="690" spans="1:2" x14ac:dyDescent="0.2">
      <c r="A690" s="8" t="s">
        <v>713</v>
      </c>
      <c r="B690" s="2" t="s">
        <v>12481</v>
      </c>
    </row>
    <row r="691" spans="1:2" x14ac:dyDescent="0.2">
      <c r="A691" s="8" t="s">
        <v>714</v>
      </c>
      <c r="B691" s="2" t="s">
        <v>12481</v>
      </c>
    </row>
    <row r="692" spans="1:2" x14ac:dyDescent="0.2">
      <c r="A692" s="8" t="s">
        <v>715</v>
      </c>
      <c r="B692" s="2" t="s">
        <v>12481</v>
      </c>
    </row>
    <row r="693" spans="1:2" x14ac:dyDescent="0.2">
      <c r="A693" s="8" t="s">
        <v>716</v>
      </c>
      <c r="B693" s="2" t="s">
        <v>12481</v>
      </c>
    </row>
    <row r="694" spans="1:2" x14ac:dyDescent="0.2">
      <c r="A694" s="8" t="s">
        <v>717</v>
      </c>
      <c r="B694" s="2" t="s">
        <v>12481</v>
      </c>
    </row>
    <row r="695" spans="1:2" x14ac:dyDescent="0.2">
      <c r="A695" s="8" t="s">
        <v>718</v>
      </c>
      <c r="B695" s="2" t="s">
        <v>12481</v>
      </c>
    </row>
    <row r="696" spans="1:2" x14ac:dyDescent="0.2">
      <c r="A696" s="8" t="s">
        <v>719</v>
      </c>
      <c r="B696" s="2" t="s">
        <v>12481</v>
      </c>
    </row>
    <row r="697" spans="1:2" x14ac:dyDescent="0.2">
      <c r="A697" s="8" t="s">
        <v>720</v>
      </c>
      <c r="B697" s="2" t="s">
        <v>12481</v>
      </c>
    </row>
    <row r="698" spans="1:2" x14ac:dyDescent="0.2">
      <c r="A698" s="8" t="s">
        <v>721</v>
      </c>
      <c r="B698" s="2" t="s">
        <v>12481</v>
      </c>
    </row>
    <row r="699" spans="1:2" x14ac:dyDescent="0.2">
      <c r="A699" s="8" t="s">
        <v>722</v>
      </c>
      <c r="B699" s="2" t="s">
        <v>12481</v>
      </c>
    </row>
    <row r="700" spans="1:2" x14ac:dyDescent="0.2">
      <c r="A700" s="8" t="s">
        <v>723</v>
      </c>
      <c r="B700" s="2" t="s">
        <v>12481</v>
      </c>
    </row>
    <row r="701" spans="1:2" x14ac:dyDescent="0.2">
      <c r="A701" s="8" t="s">
        <v>724</v>
      </c>
      <c r="B701" s="2" t="s">
        <v>12481</v>
      </c>
    </row>
    <row r="702" spans="1:2" x14ac:dyDescent="0.2">
      <c r="A702" s="8" t="s">
        <v>725</v>
      </c>
      <c r="B702" s="2" t="s">
        <v>12481</v>
      </c>
    </row>
    <row r="703" spans="1:2" x14ac:dyDescent="0.2">
      <c r="A703" s="8" t="s">
        <v>726</v>
      </c>
      <c r="B703" s="2" t="s">
        <v>12481</v>
      </c>
    </row>
    <row r="704" spans="1:2" x14ac:dyDescent="0.2">
      <c r="A704" s="8" t="s">
        <v>727</v>
      </c>
      <c r="B704" s="2" t="s">
        <v>12481</v>
      </c>
    </row>
    <row r="705" spans="1:2" x14ac:dyDescent="0.2">
      <c r="A705" s="8" t="s">
        <v>728</v>
      </c>
      <c r="B705" s="2" t="s">
        <v>12481</v>
      </c>
    </row>
    <row r="706" spans="1:2" x14ac:dyDescent="0.2">
      <c r="A706" s="8" t="s">
        <v>729</v>
      </c>
      <c r="B706" s="2" t="s">
        <v>12481</v>
      </c>
    </row>
    <row r="707" spans="1:2" x14ac:dyDescent="0.2">
      <c r="A707" s="8" t="s">
        <v>730</v>
      </c>
      <c r="B707" s="2" t="s">
        <v>12481</v>
      </c>
    </row>
    <row r="708" spans="1:2" x14ac:dyDescent="0.2">
      <c r="A708" s="8" t="s">
        <v>731</v>
      </c>
      <c r="B708" s="2" t="s">
        <v>12481</v>
      </c>
    </row>
    <row r="709" spans="1:2" x14ac:dyDescent="0.2">
      <c r="A709" s="8" t="s">
        <v>732</v>
      </c>
      <c r="B709" s="2" t="s">
        <v>12481</v>
      </c>
    </row>
    <row r="710" spans="1:2" x14ac:dyDescent="0.2">
      <c r="A710" s="8" t="s">
        <v>733</v>
      </c>
      <c r="B710" s="2" t="s">
        <v>12481</v>
      </c>
    </row>
    <row r="711" spans="1:2" x14ac:dyDescent="0.2">
      <c r="A711" s="8" t="s">
        <v>734</v>
      </c>
      <c r="B711" s="2" t="s">
        <v>12481</v>
      </c>
    </row>
    <row r="712" spans="1:2" x14ac:dyDescent="0.2">
      <c r="A712" s="8" t="s">
        <v>735</v>
      </c>
      <c r="B712" s="2" t="s">
        <v>12481</v>
      </c>
    </row>
    <row r="713" spans="1:2" x14ac:dyDescent="0.2">
      <c r="A713" s="8" t="s">
        <v>736</v>
      </c>
      <c r="B713" s="2" t="s">
        <v>12481</v>
      </c>
    </row>
    <row r="714" spans="1:2" x14ac:dyDescent="0.2">
      <c r="A714" s="8" t="s">
        <v>737</v>
      </c>
      <c r="B714" s="2" t="s">
        <v>12481</v>
      </c>
    </row>
    <row r="715" spans="1:2" x14ac:dyDescent="0.2">
      <c r="A715" s="8" t="s">
        <v>738</v>
      </c>
      <c r="B715" s="2" t="s">
        <v>12481</v>
      </c>
    </row>
    <row r="716" spans="1:2" x14ac:dyDescent="0.2">
      <c r="A716" s="8" t="s">
        <v>739</v>
      </c>
      <c r="B716" s="2" t="s">
        <v>12481</v>
      </c>
    </row>
    <row r="717" spans="1:2" x14ac:dyDescent="0.2">
      <c r="A717" s="8" t="s">
        <v>740</v>
      </c>
      <c r="B717" s="2" t="s">
        <v>12481</v>
      </c>
    </row>
    <row r="718" spans="1:2" x14ac:dyDescent="0.2">
      <c r="A718" s="8" t="s">
        <v>741</v>
      </c>
      <c r="B718" s="2" t="s">
        <v>12481</v>
      </c>
    </row>
    <row r="719" spans="1:2" x14ac:dyDescent="0.2">
      <c r="A719" s="8" t="s">
        <v>742</v>
      </c>
      <c r="B719" s="2" t="s">
        <v>12481</v>
      </c>
    </row>
    <row r="720" spans="1:2" x14ac:dyDescent="0.2">
      <c r="A720" s="8" t="s">
        <v>743</v>
      </c>
      <c r="B720" s="2" t="s">
        <v>12481</v>
      </c>
    </row>
    <row r="721" spans="1:2" x14ac:dyDescent="0.2">
      <c r="A721" s="8" t="s">
        <v>744</v>
      </c>
      <c r="B721" s="2" t="s">
        <v>12481</v>
      </c>
    </row>
    <row r="722" spans="1:2" x14ac:dyDescent="0.2">
      <c r="A722" s="8" t="s">
        <v>745</v>
      </c>
      <c r="B722" s="2" t="s">
        <v>12481</v>
      </c>
    </row>
    <row r="723" spans="1:2" x14ac:dyDescent="0.2">
      <c r="A723" s="8" t="s">
        <v>746</v>
      </c>
      <c r="B723" s="2" t="s">
        <v>12481</v>
      </c>
    </row>
    <row r="724" spans="1:2" x14ac:dyDescent="0.2">
      <c r="A724" s="8" t="s">
        <v>747</v>
      </c>
      <c r="B724" s="2" t="s">
        <v>12481</v>
      </c>
    </row>
    <row r="725" spans="1:2" x14ac:dyDescent="0.2">
      <c r="A725" s="8" t="s">
        <v>748</v>
      </c>
      <c r="B725" s="2" t="s">
        <v>12481</v>
      </c>
    </row>
    <row r="726" spans="1:2" x14ac:dyDescent="0.2">
      <c r="A726" s="8" t="s">
        <v>749</v>
      </c>
      <c r="B726" s="2" t="s">
        <v>12481</v>
      </c>
    </row>
    <row r="727" spans="1:2" x14ac:dyDescent="0.2">
      <c r="A727" s="8" t="s">
        <v>750</v>
      </c>
      <c r="B727" s="2" t="s">
        <v>12481</v>
      </c>
    </row>
    <row r="728" spans="1:2" x14ac:dyDescent="0.2">
      <c r="A728" s="8" t="s">
        <v>751</v>
      </c>
      <c r="B728" s="2" t="s">
        <v>12481</v>
      </c>
    </row>
    <row r="729" spans="1:2" x14ac:dyDescent="0.2">
      <c r="A729" s="8" t="s">
        <v>752</v>
      </c>
      <c r="B729" s="2" t="s">
        <v>12481</v>
      </c>
    </row>
    <row r="730" spans="1:2" x14ac:dyDescent="0.2">
      <c r="A730" s="8" t="s">
        <v>753</v>
      </c>
      <c r="B730" s="2" t="s">
        <v>12481</v>
      </c>
    </row>
    <row r="731" spans="1:2" x14ac:dyDescent="0.2">
      <c r="A731" s="8" t="s">
        <v>754</v>
      </c>
      <c r="B731" s="2" t="s">
        <v>12481</v>
      </c>
    </row>
    <row r="732" spans="1:2" x14ac:dyDescent="0.2">
      <c r="A732" s="8" t="s">
        <v>755</v>
      </c>
      <c r="B732" s="2" t="s">
        <v>12481</v>
      </c>
    </row>
    <row r="733" spans="1:2" x14ac:dyDescent="0.2">
      <c r="A733" s="8" t="s">
        <v>756</v>
      </c>
      <c r="B733" s="2" t="s">
        <v>12481</v>
      </c>
    </row>
    <row r="734" spans="1:2" x14ac:dyDescent="0.2">
      <c r="A734" s="8" t="s">
        <v>757</v>
      </c>
      <c r="B734" s="2" t="s">
        <v>12481</v>
      </c>
    </row>
    <row r="735" spans="1:2" x14ac:dyDescent="0.2">
      <c r="A735" s="8" t="s">
        <v>758</v>
      </c>
      <c r="B735" s="2" t="s">
        <v>12481</v>
      </c>
    </row>
    <row r="736" spans="1:2" x14ac:dyDescent="0.2">
      <c r="A736" s="8" t="s">
        <v>759</v>
      </c>
      <c r="B736" s="2" t="s">
        <v>12481</v>
      </c>
    </row>
    <row r="737" spans="1:2" x14ac:dyDescent="0.2">
      <c r="A737" s="8" t="s">
        <v>760</v>
      </c>
      <c r="B737" s="2" t="s">
        <v>12481</v>
      </c>
    </row>
    <row r="738" spans="1:2" x14ac:dyDescent="0.2">
      <c r="A738" s="8" t="s">
        <v>761</v>
      </c>
      <c r="B738" s="2" t="s">
        <v>12481</v>
      </c>
    </row>
    <row r="739" spans="1:2" x14ac:dyDescent="0.2">
      <c r="A739" s="8" t="s">
        <v>762</v>
      </c>
      <c r="B739" s="2" t="s">
        <v>12481</v>
      </c>
    </row>
    <row r="740" spans="1:2" x14ac:dyDescent="0.2">
      <c r="A740" s="8" t="s">
        <v>763</v>
      </c>
      <c r="B740" s="2" t="s">
        <v>12481</v>
      </c>
    </row>
    <row r="741" spans="1:2" x14ac:dyDescent="0.2">
      <c r="A741" s="8" t="s">
        <v>764</v>
      </c>
      <c r="B741" s="2" t="s">
        <v>12481</v>
      </c>
    </row>
    <row r="742" spans="1:2" x14ac:dyDescent="0.2">
      <c r="A742" s="8" t="s">
        <v>765</v>
      </c>
      <c r="B742" s="2" t="s">
        <v>12481</v>
      </c>
    </row>
    <row r="743" spans="1:2" x14ac:dyDescent="0.2">
      <c r="A743" s="8" t="s">
        <v>766</v>
      </c>
      <c r="B743" s="2" t="s">
        <v>12481</v>
      </c>
    </row>
    <row r="744" spans="1:2" x14ac:dyDescent="0.2">
      <c r="A744" s="8" t="s">
        <v>767</v>
      </c>
      <c r="B744" s="2" t="s">
        <v>12481</v>
      </c>
    </row>
    <row r="745" spans="1:2" x14ac:dyDescent="0.2">
      <c r="A745" s="8" t="s">
        <v>768</v>
      </c>
      <c r="B745" s="2" t="s">
        <v>12481</v>
      </c>
    </row>
    <row r="746" spans="1:2" x14ac:dyDescent="0.2">
      <c r="A746" s="8" t="s">
        <v>769</v>
      </c>
      <c r="B746" s="2" t="s">
        <v>12481</v>
      </c>
    </row>
    <row r="747" spans="1:2" x14ac:dyDescent="0.2">
      <c r="A747" s="8" t="s">
        <v>770</v>
      </c>
      <c r="B747" s="2" t="s">
        <v>12481</v>
      </c>
    </row>
    <row r="748" spans="1:2" x14ac:dyDescent="0.2">
      <c r="A748" s="8" t="s">
        <v>771</v>
      </c>
      <c r="B748" s="2" t="s">
        <v>12481</v>
      </c>
    </row>
    <row r="749" spans="1:2" x14ac:dyDescent="0.2">
      <c r="A749" s="8" t="s">
        <v>772</v>
      </c>
      <c r="B749" s="2" t="s">
        <v>12481</v>
      </c>
    </row>
    <row r="750" spans="1:2" x14ac:dyDescent="0.2">
      <c r="A750" s="8" t="s">
        <v>773</v>
      </c>
      <c r="B750" s="2" t="s">
        <v>12481</v>
      </c>
    </row>
    <row r="751" spans="1:2" x14ac:dyDescent="0.2">
      <c r="A751" s="8" t="s">
        <v>774</v>
      </c>
      <c r="B751" s="2" t="s">
        <v>12481</v>
      </c>
    </row>
    <row r="752" spans="1:2" x14ac:dyDescent="0.2">
      <c r="A752" s="8" t="s">
        <v>775</v>
      </c>
      <c r="B752" s="2" t="s">
        <v>12481</v>
      </c>
    </row>
    <row r="753" spans="1:2" x14ac:dyDescent="0.2">
      <c r="A753" s="8" t="s">
        <v>776</v>
      </c>
      <c r="B753" s="2" t="s">
        <v>12481</v>
      </c>
    </row>
    <row r="754" spans="1:2" x14ac:dyDescent="0.2">
      <c r="A754" s="8" t="s">
        <v>777</v>
      </c>
      <c r="B754" s="2" t="s">
        <v>12481</v>
      </c>
    </row>
    <row r="755" spans="1:2" x14ac:dyDescent="0.2">
      <c r="A755" s="8" t="s">
        <v>778</v>
      </c>
      <c r="B755" s="2" t="s">
        <v>12481</v>
      </c>
    </row>
    <row r="756" spans="1:2" x14ac:dyDescent="0.2">
      <c r="A756" s="8" t="s">
        <v>779</v>
      </c>
      <c r="B756" s="2" t="s">
        <v>12481</v>
      </c>
    </row>
    <row r="757" spans="1:2" x14ac:dyDescent="0.2">
      <c r="A757" s="8" t="s">
        <v>780</v>
      </c>
      <c r="B757" s="2" t="s">
        <v>12481</v>
      </c>
    </row>
    <row r="758" spans="1:2" x14ac:dyDescent="0.2">
      <c r="A758" s="8" t="s">
        <v>781</v>
      </c>
      <c r="B758" s="2" t="s">
        <v>12481</v>
      </c>
    </row>
    <row r="759" spans="1:2" x14ac:dyDescent="0.2">
      <c r="A759" s="8" t="s">
        <v>782</v>
      </c>
      <c r="B759" s="2" t="s">
        <v>12481</v>
      </c>
    </row>
    <row r="760" spans="1:2" x14ac:dyDescent="0.2">
      <c r="A760" s="8" t="s">
        <v>783</v>
      </c>
      <c r="B760" s="2" t="s">
        <v>12481</v>
      </c>
    </row>
    <row r="761" spans="1:2" x14ac:dyDescent="0.2">
      <c r="A761" s="8" t="s">
        <v>784</v>
      </c>
      <c r="B761" s="2" t="s">
        <v>12481</v>
      </c>
    </row>
    <row r="762" spans="1:2" x14ac:dyDescent="0.2">
      <c r="A762" s="8" t="s">
        <v>785</v>
      </c>
      <c r="B762" s="2" t="s">
        <v>12481</v>
      </c>
    </row>
    <row r="763" spans="1:2" x14ac:dyDescent="0.2">
      <c r="A763" s="8" t="s">
        <v>786</v>
      </c>
      <c r="B763" s="2" t="s">
        <v>12481</v>
      </c>
    </row>
    <row r="764" spans="1:2" x14ac:dyDescent="0.2">
      <c r="A764" s="8" t="s">
        <v>787</v>
      </c>
      <c r="B764" s="2" t="s">
        <v>12481</v>
      </c>
    </row>
    <row r="765" spans="1:2" x14ac:dyDescent="0.2">
      <c r="A765" s="8" t="s">
        <v>788</v>
      </c>
      <c r="B765" s="2" t="s">
        <v>12481</v>
      </c>
    </row>
    <row r="766" spans="1:2" x14ac:dyDescent="0.2">
      <c r="A766" s="8" t="s">
        <v>789</v>
      </c>
      <c r="B766" s="2" t="s">
        <v>12481</v>
      </c>
    </row>
    <row r="767" spans="1:2" x14ac:dyDescent="0.2">
      <c r="A767" s="8" t="s">
        <v>790</v>
      </c>
      <c r="B767" s="2" t="s">
        <v>12481</v>
      </c>
    </row>
    <row r="768" spans="1:2" x14ac:dyDescent="0.2">
      <c r="A768" s="8" t="s">
        <v>791</v>
      </c>
      <c r="B768" s="2" t="s">
        <v>12481</v>
      </c>
    </row>
    <row r="769" spans="1:2" x14ac:dyDescent="0.2">
      <c r="A769" s="8" t="s">
        <v>792</v>
      </c>
      <c r="B769" s="2" t="s">
        <v>12481</v>
      </c>
    </row>
    <row r="770" spans="1:2" x14ac:dyDescent="0.2">
      <c r="A770" s="8" t="s">
        <v>793</v>
      </c>
      <c r="B770" s="2" t="s">
        <v>12481</v>
      </c>
    </row>
    <row r="771" spans="1:2" x14ac:dyDescent="0.2">
      <c r="A771" s="8" t="s">
        <v>794</v>
      </c>
      <c r="B771" s="2" t="s">
        <v>12481</v>
      </c>
    </row>
    <row r="772" spans="1:2" x14ac:dyDescent="0.2">
      <c r="A772" s="8" t="s">
        <v>795</v>
      </c>
      <c r="B772" s="2" t="s">
        <v>12481</v>
      </c>
    </row>
    <row r="773" spans="1:2" x14ac:dyDescent="0.2">
      <c r="A773" s="8" t="s">
        <v>796</v>
      </c>
      <c r="B773" s="2" t="s">
        <v>12481</v>
      </c>
    </row>
    <row r="774" spans="1:2" x14ac:dyDescent="0.2">
      <c r="A774" s="8" t="s">
        <v>797</v>
      </c>
      <c r="B774" s="2" t="s">
        <v>12481</v>
      </c>
    </row>
    <row r="775" spans="1:2" x14ac:dyDescent="0.2">
      <c r="A775" s="8" t="s">
        <v>798</v>
      </c>
      <c r="B775" s="2" t="s">
        <v>12481</v>
      </c>
    </row>
    <row r="776" spans="1:2" x14ac:dyDescent="0.2">
      <c r="A776" s="8" t="s">
        <v>799</v>
      </c>
      <c r="B776" s="2" t="s">
        <v>12481</v>
      </c>
    </row>
    <row r="777" spans="1:2" x14ac:dyDescent="0.2">
      <c r="A777" s="8" t="s">
        <v>800</v>
      </c>
      <c r="B777" s="2" t="s">
        <v>12481</v>
      </c>
    </row>
    <row r="778" spans="1:2" x14ac:dyDescent="0.2">
      <c r="A778" s="8" t="s">
        <v>801</v>
      </c>
      <c r="B778" s="2" t="s">
        <v>12481</v>
      </c>
    </row>
    <row r="779" spans="1:2" x14ac:dyDescent="0.2">
      <c r="A779" s="8" t="s">
        <v>802</v>
      </c>
      <c r="B779" s="2" t="s">
        <v>12481</v>
      </c>
    </row>
    <row r="780" spans="1:2" x14ac:dyDescent="0.2">
      <c r="A780" s="8" t="s">
        <v>803</v>
      </c>
      <c r="B780" s="2" t="s">
        <v>12481</v>
      </c>
    </row>
    <row r="781" spans="1:2" x14ac:dyDescent="0.2">
      <c r="A781" s="8" t="s">
        <v>804</v>
      </c>
      <c r="B781" s="2" t="s">
        <v>12481</v>
      </c>
    </row>
    <row r="782" spans="1:2" x14ac:dyDescent="0.2">
      <c r="A782" s="8" t="s">
        <v>805</v>
      </c>
      <c r="B782" s="2" t="s">
        <v>12481</v>
      </c>
    </row>
    <row r="783" spans="1:2" x14ac:dyDescent="0.2">
      <c r="A783" s="8" t="s">
        <v>806</v>
      </c>
      <c r="B783" s="2" t="s">
        <v>12454</v>
      </c>
    </row>
    <row r="784" spans="1:2" x14ac:dyDescent="0.2">
      <c r="A784" s="8" t="s">
        <v>807</v>
      </c>
      <c r="B784" s="2" t="s">
        <v>12454</v>
      </c>
    </row>
    <row r="785" spans="1:2" x14ac:dyDescent="0.2">
      <c r="A785" s="8" t="s">
        <v>808</v>
      </c>
      <c r="B785" s="2" t="s">
        <v>12454</v>
      </c>
    </row>
    <row r="786" spans="1:2" x14ac:dyDescent="0.2">
      <c r="A786" s="8" t="s">
        <v>809</v>
      </c>
      <c r="B786" s="2" t="s">
        <v>12454</v>
      </c>
    </row>
    <row r="787" spans="1:2" x14ac:dyDescent="0.2">
      <c r="A787" s="8" t="s">
        <v>810</v>
      </c>
      <c r="B787" s="2" t="s">
        <v>12454</v>
      </c>
    </row>
    <row r="788" spans="1:2" x14ac:dyDescent="0.2">
      <c r="A788" s="8" t="s">
        <v>811</v>
      </c>
      <c r="B788" s="2" t="s">
        <v>12454</v>
      </c>
    </row>
    <row r="789" spans="1:2" x14ac:dyDescent="0.2">
      <c r="A789" s="8" t="s">
        <v>812</v>
      </c>
      <c r="B789" s="2" t="s">
        <v>12454</v>
      </c>
    </row>
    <row r="790" spans="1:2" x14ac:dyDescent="0.2">
      <c r="A790" s="8" t="s">
        <v>813</v>
      </c>
      <c r="B790" s="2" t="s">
        <v>12454</v>
      </c>
    </row>
    <row r="791" spans="1:2" x14ac:dyDescent="0.2">
      <c r="A791" s="8" t="s">
        <v>814</v>
      </c>
      <c r="B791" s="2" t="s">
        <v>12454</v>
      </c>
    </row>
    <row r="792" spans="1:2" x14ac:dyDescent="0.2">
      <c r="A792" s="8" t="s">
        <v>815</v>
      </c>
      <c r="B792" s="2" t="s">
        <v>12454</v>
      </c>
    </row>
    <row r="793" spans="1:2" x14ac:dyDescent="0.2">
      <c r="A793" s="8" t="s">
        <v>816</v>
      </c>
      <c r="B793" s="2" t="s">
        <v>12454</v>
      </c>
    </row>
    <row r="794" spans="1:2" x14ac:dyDescent="0.2">
      <c r="A794" s="8" t="s">
        <v>817</v>
      </c>
      <c r="B794" s="2" t="s">
        <v>12454</v>
      </c>
    </row>
    <row r="795" spans="1:2" x14ac:dyDescent="0.2">
      <c r="A795" s="8" t="s">
        <v>818</v>
      </c>
      <c r="B795" s="2" t="s">
        <v>12454</v>
      </c>
    </row>
    <row r="796" spans="1:2" x14ac:dyDescent="0.2">
      <c r="A796" s="8" t="s">
        <v>819</v>
      </c>
      <c r="B796" s="2" t="s">
        <v>12454</v>
      </c>
    </row>
    <row r="797" spans="1:2" x14ac:dyDescent="0.2">
      <c r="A797" s="8" t="s">
        <v>820</v>
      </c>
      <c r="B797" s="2" t="s">
        <v>12454</v>
      </c>
    </row>
    <row r="798" spans="1:2" x14ac:dyDescent="0.2">
      <c r="A798" s="8" t="s">
        <v>821</v>
      </c>
      <c r="B798" s="2" t="s">
        <v>12454</v>
      </c>
    </row>
    <row r="799" spans="1:2" x14ac:dyDescent="0.2">
      <c r="A799" s="8" t="s">
        <v>822</v>
      </c>
      <c r="B799" s="2" t="s">
        <v>12454</v>
      </c>
    </row>
    <row r="800" spans="1:2" x14ac:dyDescent="0.2">
      <c r="A800" s="8" t="s">
        <v>823</v>
      </c>
      <c r="B800" s="2" t="s">
        <v>12454</v>
      </c>
    </row>
    <row r="801" spans="1:2" x14ac:dyDescent="0.2">
      <c r="A801" s="8" t="s">
        <v>824</v>
      </c>
      <c r="B801" s="2" t="s">
        <v>12454</v>
      </c>
    </row>
    <row r="802" spans="1:2" x14ac:dyDescent="0.2">
      <c r="A802" s="8" t="s">
        <v>825</v>
      </c>
      <c r="B802" s="2" t="s">
        <v>12454</v>
      </c>
    </row>
    <row r="803" spans="1:2" x14ac:dyDescent="0.2">
      <c r="A803" s="8" t="s">
        <v>826</v>
      </c>
      <c r="B803" s="2" t="s">
        <v>12454</v>
      </c>
    </row>
    <row r="804" spans="1:2" x14ac:dyDescent="0.2">
      <c r="A804" s="8" t="s">
        <v>827</v>
      </c>
      <c r="B804" s="2" t="s">
        <v>12454</v>
      </c>
    </row>
    <row r="805" spans="1:2" x14ac:dyDescent="0.2">
      <c r="A805" s="8" t="s">
        <v>828</v>
      </c>
      <c r="B805" s="2" t="s">
        <v>12454</v>
      </c>
    </row>
    <row r="806" spans="1:2" x14ac:dyDescent="0.2">
      <c r="A806" s="8" t="s">
        <v>829</v>
      </c>
      <c r="B806" s="2" t="s">
        <v>12454</v>
      </c>
    </row>
    <row r="807" spans="1:2" x14ac:dyDescent="0.2">
      <c r="A807" s="8" t="s">
        <v>830</v>
      </c>
      <c r="B807" s="2" t="s">
        <v>12454</v>
      </c>
    </row>
    <row r="808" spans="1:2" x14ac:dyDescent="0.2">
      <c r="A808" s="8" t="s">
        <v>831</v>
      </c>
      <c r="B808" s="2" t="s">
        <v>12454</v>
      </c>
    </row>
    <row r="809" spans="1:2" x14ac:dyDescent="0.2">
      <c r="A809" s="8" t="s">
        <v>832</v>
      </c>
      <c r="B809" s="2" t="s">
        <v>12454</v>
      </c>
    </row>
    <row r="810" spans="1:2" x14ac:dyDescent="0.2">
      <c r="A810" s="8" t="s">
        <v>833</v>
      </c>
      <c r="B810" s="2" t="s">
        <v>12454</v>
      </c>
    </row>
    <row r="811" spans="1:2" x14ac:dyDescent="0.2">
      <c r="A811" s="8" t="s">
        <v>834</v>
      </c>
      <c r="B811" s="2" t="s">
        <v>12454</v>
      </c>
    </row>
    <row r="812" spans="1:2" x14ac:dyDescent="0.2">
      <c r="A812" s="8" t="s">
        <v>835</v>
      </c>
      <c r="B812" s="2" t="s">
        <v>12454</v>
      </c>
    </row>
    <row r="813" spans="1:2" x14ac:dyDescent="0.2">
      <c r="A813" s="8" t="s">
        <v>836</v>
      </c>
      <c r="B813" s="2" t="s">
        <v>12454</v>
      </c>
    </row>
    <row r="814" spans="1:2" x14ac:dyDescent="0.2">
      <c r="A814" s="8" t="s">
        <v>837</v>
      </c>
      <c r="B814" s="2" t="s">
        <v>12454</v>
      </c>
    </row>
    <row r="815" spans="1:2" x14ac:dyDescent="0.2">
      <c r="A815" s="8" t="s">
        <v>838</v>
      </c>
      <c r="B815" s="2" t="s">
        <v>12454</v>
      </c>
    </row>
    <row r="816" spans="1:2" x14ac:dyDescent="0.2">
      <c r="A816" s="8" t="s">
        <v>839</v>
      </c>
      <c r="B816" s="2" t="s">
        <v>12454</v>
      </c>
    </row>
    <row r="817" spans="1:2" x14ac:dyDescent="0.2">
      <c r="A817" s="8" t="s">
        <v>840</v>
      </c>
      <c r="B817" s="2" t="s">
        <v>12454</v>
      </c>
    </row>
    <row r="818" spans="1:2" x14ac:dyDescent="0.2">
      <c r="A818" s="8" t="s">
        <v>841</v>
      </c>
      <c r="B818" s="2" t="s">
        <v>12454</v>
      </c>
    </row>
    <row r="819" spans="1:2" x14ac:dyDescent="0.2">
      <c r="A819" s="8" t="s">
        <v>842</v>
      </c>
      <c r="B819" s="2" t="s">
        <v>12454</v>
      </c>
    </row>
    <row r="820" spans="1:2" x14ac:dyDescent="0.2">
      <c r="A820" s="8" t="s">
        <v>843</v>
      </c>
      <c r="B820" s="2" t="s">
        <v>12454</v>
      </c>
    </row>
    <row r="821" spans="1:2" x14ac:dyDescent="0.2">
      <c r="A821" s="8" t="s">
        <v>844</v>
      </c>
      <c r="B821" s="2" t="s">
        <v>12454</v>
      </c>
    </row>
    <row r="822" spans="1:2" x14ac:dyDescent="0.2">
      <c r="A822" s="8" t="s">
        <v>845</v>
      </c>
      <c r="B822" s="2" t="s">
        <v>12454</v>
      </c>
    </row>
    <row r="823" spans="1:2" x14ac:dyDescent="0.2">
      <c r="A823" s="8" t="s">
        <v>846</v>
      </c>
      <c r="B823" s="2" t="s">
        <v>12454</v>
      </c>
    </row>
    <row r="824" spans="1:2" x14ac:dyDescent="0.2">
      <c r="A824" s="8" t="s">
        <v>847</v>
      </c>
      <c r="B824" s="2" t="s">
        <v>12454</v>
      </c>
    </row>
    <row r="825" spans="1:2" x14ac:dyDescent="0.2">
      <c r="A825" s="8" t="s">
        <v>848</v>
      </c>
      <c r="B825" s="2" t="s">
        <v>12454</v>
      </c>
    </row>
    <row r="826" spans="1:2" x14ac:dyDescent="0.2">
      <c r="A826" s="8" t="s">
        <v>849</v>
      </c>
      <c r="B826" s="2" t="s">
        <v>12454</v>
      </c>
    </row>
    <row r="827" spans="1:2" x14ac:dyDescent="0.2">
      <c r="A827" s="8" t="s">
        <v>850</v>
      </c>
      <c r="B827" s="2" t="s">
        <v>12454</v>
      </c>
    </row>
    <row r="828" spans="1:2" x14ac:dyDescent="0.2">
      <c r="A828" s="8" t="s">
        <v>851</v>
      </c>
      <c r="B828" s="2" t="s">
        <v>12454</v>
      </c>
    </row>
    <row r="829" spans="1:2" x14ac:dyDescent="0.2">
      <c r="A829" s="8" t="s">
        <v>852</v>
      </c>
      <c r="B829" s="2" t="s">
        <v>12454</v>
      </c>
    </row>
    <row r="830" spans="1:2" x14ac:dyDescent="0.2">
      <c r="A830" s="8" t="s">
        <v>853</v>
      </c>
      <c r="B830" s="2" t="s">
        <v>12454</v>
      </c>
    </row>
    <row r="831" spans="1:2" x14ac:dyDescent="0.2">
      <c r="A831" s="8" t="s">
        <v>854</v>
      </c>
      <c r="B831" s="2" t="s">
        <v>12454</v>
      </c>
    </row>
    <row r="832" spans="1:2" x14ac:dyDescent="0.2">
      <c r="A832" s="8" t="s">
        <v>855</v>
      </c>
      <c r="B832" s="2" t="s">
        <v>12454</v>
      </c>
    </row>
    <row r="833" spans="1:2" x14ac:dyDescent="0.2">
      <c r="A833" s="8" t="s">
        <v>856</v>
      </c>
      <c r="B833" s="2" t="s">
        <v>12454</v>
      </c>
    </row>
    <row r="834" spans="1:2" x14ac:dyDescent="0.2">
      <c r="A834" s="8" t="s">
        <v>857</v>
      </c>
      <c r="B834" s="2" t="s">
        <v>12454</v>
      </c>
    </row>
    <row r="835" spans="1:2" x14ac:dyDescent="0.2">
      <c r="A835" s="8" t="s">
        <v>858</v>
      </c>
      <c r="B835" s="2" t="s">
        <v>12454</v>
      </c>
    </row>
    <row r="836" spans="1:2" x14ac:dyDescent="0.2">
      <c r="A836" s="8" t="s">
        <v>859</v>
      </c>
      <c r="B836" s="2" t="s">
        <v>12454</v>
      </c>
    </row>
    <row r="837" spans="1:2" x14ac:dyDescent="0.2">
      <c r="A837" s="8" t="s">
        <v>860</v>
      </c>
      <c r="B837" s="2" t="s">
        <v>12454</v>
      </c>
    </row>
    <row r="838" spans="1:2" x14ac:dyDescent="0.2">
      <c r="A838" s="8" t="s">
        <v>861</v>
      </c>
      <c r="B838" s="2" t="s">
        <v>12454</v>
      </c>
    </row>
    <row r="839" spans="1:2" x14ac:dyDescent="0.2">
      <c r="A839" s="8" t="s">
        <v>862</v>
      </c>
      <c r="B839" s="2" t="s">
        <v>12454</v>
      </c>
    </row>
    <row r="840" spans="1:2" x14ac:dyDescent="0.2">
      <c r="A840" s="8" t="s">
        <v>863</v>
      </c>
      <c r="B840" s="2" t="s">
        <v>12454</v>
      </c>
    </row>
    <row r="841" spans="1:2" x14ac:dyDescent="0.2">
      <c r="A841" s="8" t="s">
        <v>864</v>
      </c>
      <c r="B841" s="2" t="s">
        <v>12454</v>
      </c>
    </row>
    <row r="842" spans="1:2" x14ac:dyDescent="0.2">
      <c r="A842" s="8" t="s">
        <v>865</v>
      </c>
      <c r="B842" s="2" t="s">
        <v>12454</v>
      </c>
    </row>
    <row r="843" spans="1:2" x14ac:dyDescent="0.2">
      <c r="A843" s="8" t="s">
        <v>866</v>
      </c>
      <c r="B843" s="2" t="s">
        <v>12454</v>
      </c>
    </row>
    <row r="844" spans="1:2" x14ac:dyDescent="0.2">
      <c r="A844" s="8" t="s">
        <v>867</v>
      </c>
      <c r="B844" s="2" t="s">
        <v>12454</v>
      </c>
    </row>
    <row r="845" spans="1:2" x14ac:dyDescent="0.2">
      <c r="A845" s="8" t="s">
        <v>868</v>
      </c>
      <c r="B845" s="2" t="s">
        <v>12454</v>
      </c>
    </row>
    <row r="846" spans="1:2" x14ac:dyDescent="0.2">
      <c r="A846" s="8" t="s">
        <v>869</v>
      </c>
      <c r="B846" s="2" t="s">
        <v>12454</v>
      </c>
    </row>
    <row r="847" spans="1:2" x14ac:dyDescent="0.2">
      <c r="A847" s="8" t="s">
        <v>870</v>
      </c>
      <c r="B847" s="2" t="s">
        <v>12454</v>
      </c>
    </row>
    <row r="848" spans="1:2" x14ac:dyDescent="0.2">
      <c r="A848" s="8" t="s">
        <v>871</v>
      </c>
      <c r="B848" s="2" t="s">
        <v>12454</v>
      </c>
    </row>
    <row r="849" spans="1:2" x14ac:dyDescent="0.2">
      <c r="A849" s="8" t="s">
        <v>872</v>
      </c>
      <c r="B849" s="2" t="s">
        <v>12454</v>
      </c>
    </row>
    <row r="850" spans="1:2" x14ac:dyDescent="0.2">
      <c r="A850" s="8" t="s">
        <v>873</v>
      </c>
      <c r="B850" s="2" t="s">
        <v>12454</v>
      </c>
    </row>
    <row r="851" spans="1:2" x14ac:dyDescent="0.2">
      <c r="A851" s="8" t="s">
        <v>874</v>
      </c>
      <c r="B851" s="2" t="s">
        <v>12454</v>
      </c>
    </row>
    <row r="852" spans="1:2" x14ac:dyDescent="0.2">
      <c r="A852" s="8" t="s">
        <v>875</v>
      </c>
      <c r="B852" s="2" t="s">
        <v>12454</v>
      </c>
    </row>
    <row r="853" spans="1:2" x14ac:dyDescent="0.2">
      <c r="A853" s="8" t="s">
        <v>876</v>
      </c>
      <c r="B853" s="2" t="s">
        <v>12454</v>
      </c>
    </row>
    <row r="854" spans="1:2" x14ac:dyDescent="0.2">
      <c r="A854" s="8" t="s">
        <v>877</v>
      </c>
      <c r="B854" s="2" t="s">
        <v>12454</v>
      </c>
    </row>
    <row r="855" spans="1:2" x14ac:dyDescent="0.2">
      <c r="A855" s="8" t="s">
        <v>878</v>
      </c>
      <c r="B855" s="2" t="s">
        <v>12454</v>
      </c>
    </row>
    <row r="856" spans="1:2" x14ac:dyDescent="0.2">
      <c r="A856" s="8" t="s">
        <v>879</v>
      </c>
      <c r="B856" s="2" t="s">
        <v>12454</v>
      </c>
    </row>
    <row r="857" spans="1:2" x14ac:dyDescent="0.2">
      <c r="A857" s="8" t="s">
        <v>880</v>
      </c>
      <c r="B857" s="2" t="s">
        <v>12454</v>
      </c>
    </row>
    <row r="858" spans="1:2" x14ac:dyDescent="0.2">
      <c r="A858" s="8" t="s">
        <v>881</v>
      </c>
      <c r="B858" s="2" t="s">
        <v>12454</v>
      </c>
    </row>
    <row r="859" spans="1:2" x14ac:dyDescent="0.2">
      <c r="A859" s="8" t="s">
        <v>882</v>
      </c>
      <c r="B859" s="2" t="s">
        <v>12454</v>
      </c>
    </row>
    <row r="860" spans="1:2" x14ac:dyDescent="0.2">
      <c r="A860" s="8" t="s">
        <v>883</v>
      </c>
      <c r="B860" s="2" t="s">
        <v>12454</v>
      </c>
    </row>
    <row r="861" spans="1:2" x14ac:dyDescent="0.2">
      <c r="A861" s="8" t="s">
        <v>884</v>
      </c>
      <c r="B861" s="2" t="s">
        <v>12454</v>
      </c>
    </row>
    <row r="862" spans="1:2" x14ac:dyDescent="0.2">
      <c r="A862" s="8" t="s">
        <v>885</v>
      </c>
      <c r="B862" s="2" t="s">
        <v>12454</v>
      </c>
    </row>
    <row r="863" spans="1:2" x14ac:dyDescent="0.2">
      <c r="A863" s="8" t="s">
        <v>886</v>
      </c>
      <c r="B863" s="2" t="s">
        <v>12454</v>
      </c>
    </row>
    <row r="864" spans="1:2" x14ac:dyDescent="0.2">
      <c r="A864" s="8" t="s">
        <v>887</v>
      </c>
      <c r="B864" s="2" t="s">
        <v>12454</v>
      </c>
    </row>
    <row r="865" spans="1:2" x14ac:dyDescent="0.2">
      <c r="A865" s="8" t="s">
        <v>888</v>
      </c>
      <c r="B865" s="2" t="s">
        <v>12454</v>
      </c>
    </row>
    <row r="866" spans="1:2" x14ac:dyDescent="0.2">
      <c r="A866" s="8" t="s">
        <v>889</v>
      </c>
      <c r="B866" s="2" t="s">
        <v>12454</v>
      </c>
    </row>
    <row r="867" spans="1:2" x14ac:dyDescent="0.2">
      <c r="A867" s="8" t="s">
        <v>890</v>
      </c>
      <c r="B867" s="2" t="s">
        <v>12454</v>
      </c>
    </row>
    <row r="868" spans="1:2" x14ac:dyDescent="0.2">
      <c r="A868" s="8" t="s">
        <v>891</v>
      </c>
      <c r="B868" s="2" t="s">
        <v>12454</v>
      </c>
    </row>
    <row r="869" spans="1:2" x14ac:dyDescent="0.2">
      <c r="A869" s="8" t="s">
        <v>892</v>
      </c>
      <c r="B869" s="2" t="s">
        <v>12454</v>
      </c>
    </row>
    <row r="870" spans="1:2" x14ac:dyDescent="0.2">
      <c r="A870" s="8" t="s">
        <v>893</v>
      </c>
      <c r="B870" s="2" t="s">
        <v>12454</v>
      </c>
    </row>
    <row r="871" spans="1:2" x14ac:dyDescent="0.2">
      <c r="A871" s="8" t="s">
        <v>894</v>
      </c>
      <c r="B871" s="2" t="s">
        <v>12454</v>
      </c>
    </row>
    <row r="872" spans="1:2" x14ac:dyDescent="0.2">
      <c r="A872" s="8" t="s">
        <v>895</v>
      </c>
      <c r="B872" s="2" t="s">
        <v>12454</v>
      </c>
    </row>
    <row r="873" spans="1:2" x14ac:dyDescent="0.2">
      <c r="A873" s="8" t="s">
        <v>896</v>
      </c>
      <c r="B873" s="2" t="s">
        <v>12454</v>
      </c>
    </row>
    <row r="874" spans="1:2" x14ac:dyDescent="0.2">
      <c r="A874" s="8" t="s">
        <v>897</v>
      </c>
      <c r="B874" s="2" t="s">
        <v>12454</v>
      </c>
    </row>
    <row r="875" spans="1:2" x14ac:dyDescent="0.2">
      <c r="A875" s="8" t="s">
        <v>898</v>
      </c>
      <c r="B875" s="2" t="s">
        <v>12454</v>
      </c>
    </row>
    <row r="876" spans="1:2" x14ac:dyDescent="0.2">
      <c r="A876" s="8" t="s">
        <v>899</v>
      </c>
      <c r="B876" s="2" t="s">
        <v>12454</v>
      </c>
    </row>
    <row r="877" spans="1:2" x14ac:dyDescent="0.2">
      <c r="A877" s="8" t="s">
        <v>900</v>
      </c>
      <c r="B877" s="2" t="s">
        <v>12454</v>
      </c>
    </row>
    <row r="878" spans="1:2" x14ac:dyDescent="0.2">
      <c r="A878" s="8" t="s">
        <v>901</v>
      </c>
      <c r="B878" s="2" t="s">
        <v>12454</v>
      </c>
    </row>
    <row r="879" spans="1:2" x14ac:dyDescent="0.2">
      <c r="A879" s="8" t="s">
        <v>902</v>
      </c>
      <c r="B879" s="2" t="s">
        <v>12454</v>
      </c>
    </row>
    <row r="880" spans="1:2" x14ac:dyDescent="0.2">
      <c r="A880" s="8" t="s">
        <v>903</v>
      </c>
      <c r="B880" s="2" t="s">
        <v>12454</v>
      </c>
    </row>
    <row r="881" spans="1:2" x14ac:dyDescent="0.2">
      <c r="A881" s="8" t="s">
        <v>904</v>
      </c>
      <c r="B881" s="2" t="s">
        <v>12454</v>
      </c>
    </row>
    <row r="882" spans="1:2" x14ac:dyDescent="0.2">
      <c r="A882" s="8" t="s">
        <v>905</v>
      </c>
      <c r="B882" s="2" t="s">
        <v>12454</v>
      </c>
    </row>
    <row r="883" spans="1:2" x14ac:dyDescent="0.2">
      <c r="A883" s="8" t="s">
        <v>906</v>
      </c>
      <c r="B883" s="2" t="s">
        <v>12454</v>
      </c>
    </row>
    <row r="884" spans="1:2" x14ac:dyDescent="0.2">
      <c r="A884" s="8" t="s">
        <v>907</v>
      </c>
      <c r="B884" s="2" t="s">
        <v>12454</v>
      </c>
    </row>
    <row r="885" spans="1:2" x14ac:dyDescent="0.2">
      <c r="A885" s="8" t="s">
        <v>908</v>
      </c>
      <c r="B885" s="2" t="s">
        <v>12454</v>
      </c>
    </row>
    <row r="886" spans="1:2" x14ac:dyDescent="0.2">
      <c r="A886" s="8" t="s">
        <v>909</v>
      </c>
      <c r="B886" s="2" t="s">
        <v>12454</v>
      </c>
    </row>
    <row r="887" spans="1:2" x14ac:dyDescent="0.2">
      <c r="A887" s="8" t="s">
        <v>910</v>
      </c>
      <c r="B887" s="2" t="s">
        <v>12454</v>
      </c>
    </row>
    <row r="888" spans="1:2" x14ac:dyDescent="0.2">
      <c r="A888" s="8" t="s">
        <v>911</v>
      </c>
      <c r="B888" s="2" t="s">
        <v>12454</v>
      </c>
    </row>
    <row r="889" spans="1:2" x14ac:dyDescent="0.2">
      <c r="A889" s="8" t="s">
        <v>912</v>
      </c>
      <c r="B889" s="2" t="s">
        <v>12454</v>
      </c>
    </row>
    <row r="890" spans="1:2" x14ac:dyDescent="0.2">
      <c r="A890" s="8" t="s">
        <v>913</v>
      </c>
      <c r="B890" s="2" t="s">
        <v>12454</v>
      </c>
    </row>
    <row r="891" spans="1:2" x14ac:dyDescent="0.2">
      <c r="A891" s="8" t="s">
        <v>914</v>
      </c>
      <c r="B891" s="2" t="s">
        <v>12454</v>
      </c>
    </row>
    <row r="892" spans="1:2" x14ac:dyDescent="0.2">
      <c r="A892" s="8" t="s">
        <v>915</v>
      </c>
      <c r="B892" s="2" t="s">
        <v>12454</v>
      </c>
    </row>
    <row r="893" spans="1:2" x14ac:dyDescent="0.2">
      <c r="A893" s="8" t="s">
        <v>916</v>
      </c>
      <c r="B893" s="2" t="s">
        <v>12454</v>
      </c>
    </row>
    <row r="894" spans="1:2" x14ac:dyDescent="0.2">
      <c r="A894" s="8" t="s">
        <v>917</v>
      </c>
      <c r="B894" s="2" t="s">
        <v>12454</v>
      </c>
    </row>
    <row r="895" spans="1:2" x14ac:dyDescent="0.2">
      <c r="A895" s="8" t="s">
        <v>918</v>
      </c>
      <c r="B895" s="2" t="s">
        <v>12454</v>
      </c>
    </row>
    <row r="896" spans="1:2" x14ac:dyDescent="0.2">
      <c r="A896" s="8" t="s">
        <v>919</v>
      </c>
      <c r="B896" s="2" t="s">
        <v>12454</v>
      </c>
    </row>
    <row r="897" spans="1:2" x14ac:dyDescent="0.2">
      <c r="A897" s="8" t="s">
        <v>920</v>
      </c>
      <c r="B897" s="2" t="s">
        <v>12454</v>
      </c>
    </row>
    <row r="898" spans="1:2" x14ac:dyDescent="0.2">
      <c r="A898" s="8" t="s">
        <v>921</v>
      </c>
      <c r="B898" s="2" t="s">
        <v>12454</v>
      </c>
    </row>
    <row r="899" spans="1:2" x14ac:dyDescent="0.2">
      <c r="A899" s="8" t="s">
        <v>922</v>
      </c>
      <c r="B899" s="2" t="s">
        <v>12454</v>
      </c>
    </row>
    <row r="900" spans="1:2" x14ac:dyDescent="0.2">
      <c r="A900" s="8" t="s">
        <v>923</v>
      </c>
      <c r="B900" s="2" t="s">
        <v>12454</v>
      </c>
    </row>
    <row r="901" spans="1:2" x14ac:dyDescent="0.2">
      <c r="A901" s="8" t="s">
        <v>924</v>
      </c>
      <c r="B901" s="2" t="s">
        <v>12454</v>
      </c>
    </row>
    <row r="902" spans="1:2" x14ac:dyDescent="0.2">
      <c r="A902" s="8" t="s">
        <v>925</v>
      </c>
      <c r="B902" s="2" t="s">
        <v>12454</v>
      </c>
    </row>
    <row r="903" spans="1:2" x14ac:dyDescent="0.2">
      <c r="A903" s="8" t="s">
        <v>926</v>
      </c>
      <c r="B903" s="2" t="s">
        <v>12454</v>
      </c>
    </row>
    <row r="904" spans="1:2" x14ac:dyDescent="0.2">
      <c r="A904" s="8" t="s">
        <v>927</v>
      </c>
      <c r="B904" s="2" t="s">
        <v>12454</v>
      </c>
    </row>
    <row r="905" spans="1:2" x14ac:dyDescent="0.2">
      <c r="A905" s="8" t="s">
        <v>928</v>
      </c>
      <c r="B905" s="2" t="s">
        <v>12454</v>
      </c>
    </row>
    <row r="906" spans="1:2" x14ac:dyDescent="0.2">
      <c r="A906" s="8" t="s">
        <v>929</v>
      </c>
      <c r="B906" s="2" t="s">
        <v>12454</v>
      </c>
    </row>
    <row r="907" spans="1:2" x14ac:dyDescent="0.2">
      <c r="A907" s="8" t="s">
        <v>930</v>
      </c>
      <c r="B907" s="2" t="s">
        <v>12454</v>
      </c>
    </row>
    <row r="908" spans="1:2" x14ac:dyDescent="0.2">
      <c r="A908" s="8" t="s">
        <v>931</v>
      </c>
      <c r="B908" s="2" t="s">
        <v>12454</v>
      </c>
    </row>
    <row r="909" spans="1:2" x14ac:dyDescent="0.2">
      <c r="A909" s="8" t="s">
        <v>932</v>
      </c>
      <c r="B909" s="2" t="s">
        <v>12454</v>
      </c>
    </row>
    <row r="910" spans="1:2" x14ac:dyDescent="0.2">
      <c r="A910" s="8" t="s">
        <v>933</v>
      </c>
      <c r="B910" s="2" t="s">
        <v>12454</v>
      </c>
    </row>
    <row r="911" spans="1:2" x14ac:dyDescent="0.2">
      <c r="A911" s="8" t="s">
        <v>934</v>
      </c>
      <c r="B911" s="2" t="s">
        <v>12454</v>
      </c>
    </row>
    <row r="912" spans="1:2" x14ac:dyDescent="0.2">
      <c r="A912" s="8" t="s">
        <v>935</v>
      </c>
      <c r="B912" s="2" t="s">
        <v>12454</v>
      </c>
    </row>
    <row r="913" spans="1:2" x14ac:dyDescent="0.2">
      <c r="A913" s="8" t="s">
        <v>936</v>
      </c>
      <c r="B913" s="2" t="s">
        <v>12454</v>
      </c>
    </row>
    <row r="914" spans="1:2" x14ac:dyDescent="0.2">
      <c r="A914" s="8" t="s">
        <v>937</v>
      </c>
      <c r="B914" s="2" t="s">
        <v>12454</v>
      </c>
    </row>
    <row r="915" spans="1:2" x14ac:dyDescent="0.2">
      <c r="A915" s="8" t="s">
        <v>938</v>
      </c>
      <c r="B915" s="2" t="s">
        <v>12454</v>
      </c>
    </row>
    <row r="916" spans="1:2" x14ac:dyDescent="0.2">
      <c r="A916" s="8" t="s">
        <v>939</v>
      </c>
      <c r="B916" s="2" t="s">
        <v>12454</v>
      </c>
    </row>
    <row r="917" spans="1:2" x14ac:dyDescent="0.2">
      <c r="A917" s="8" t="s">
        <v>940</v>
      </c>
      <c r="B917" s="2" t="s">
        <v>12454</v>
      </c>
    </row>
    <row r="918" spans="1:2" x14ac:dyDescent="0.2">
      <c r="A918" s="8" t="s">
        <v>941</v>
      </c>
      <c r="B918" s="2" t="s">
        <v>12454</v>
      </c>
    </row>
    <row r="919" spans="1:2" x14ac:dyDescent="0.2">
      <c r="A919" s="8" t="s">
        <v>942</v>
      </c>
      <c r="B919" s="2" t="s">
        <v>12454</v>
      </c>
    </row>
    <row r="920" spans="1:2" x14ac:dyDescent="0.2">
      <c r="A920" s="8" t="s">
        <v>943</v>
      </c>
      <c r="B920" s="2" t="s">
        <v>12454</v>
      </c>
    </row>
    <row r="921" spans="1:2" x14ac:dyDescent="0.2">
      <c r="A921" s="8" t="s">
        <v>944</v>
      </c>
      <c r="B921" s="2" t="s">
        <v>12454</v>
      </c>
    </row>
    <row r="922" spans="1:2" x14ac:dyDescent="0.2">
      <c r="A922" s="8" t="s">
        <v>945</v>
      </c>
      <c r="B922" s="2" t="s">
        <v>12454</v>
      </c>
    </row>
    <row r="923" spans="1:2" x14ac:dyDescent="0.2">
      <c r="A923" s="8" t="s">
        <v>946</v>
      </c>
      <c r="B923" s="2" t="s">
        <v>12454</v>
      </c>
    </row>
    <row r="924" spans="1:2" x14ac:dyDescent="0.2">
      <c r="A924" s="8" t="s">
        <v>947</v>
      </c>
      <c r="B924" s="2" t="s">
        <v>12454</v>
      </c>
    </row>
    <row r="925" spans="1:2" x14ac:dyDescent="0.2">
      <c r="A925" s="8" t="s">
        <v>948</v>
      </c>
      <c r="B925" s="2" t="s">
        <v>12454</v>
      </c>
    </row>
    <row r="926" spans="1:2" x14ac:dyDescent="0.2">
      <c r="A926" s="8" t="s">
        <v>949</v>
      </c>
      <c r="B926" s="2" t="s">
        <v>12454</v>
      </c>
    </row>
    <row r="927" spans="1:2" x14ac:dyDescent="0.2">
      <c r="A927" s="8" t="s">
        <v>950</v>
      </c>
      <c r="B927" s="2" t="s">
        <v>12454</v>
      </c>
    </row>
    <row r="928" spans="1:2" x14ac:dyDescent="0.2">
      <c r="A928" s="8" t="s">
        <v>951</v>
      </c>
      <c r="B928" s="2" t="s">
        <v>12454</v>
      </c>
    </row>
    <row r="929" spans="1:2" x14ac:dyDescent="0.2">
      <c r="A929" s="8" t="s">
        <v>952</v>
      </c>
      <c r="B929" s="2" t="s">
        <v>12454</v>
      </c>
    </row>
    <row r="930" spans="1:2" x14ac:dyDescent="0.2">
      <c r="A930" s="8" t="s">
        <v>953</v>
      </c>
      <c r="B930" s="2" t="s">
        <v>12454</v>
      </c>
    </row>
    <row r="931" spans="1:2" x14ac:dyDescent="0.2">
      <c r="A931" s="8" t="s">
        <v>954</v>
      </c>
      <c r="B931" s="2" t="s">
        <v>12454</v>
      </c>
    </row>
    <row r="932" spans="1:2" x14ac:dyDescent="0.2">
      <c r="A932" s="8" t="s">
        <v>955</v>
      </c>
      <c r="B932" s="2" t="s">
        <v>12454</v>
      </c>
    </row>
    <row r="933" spans="1:2" x14ac:dyDescent="0.2">
      <c r="A933" s="8" t="s">
        <v>956</v>
      </c>
      <c r="B933" s="2" t="s">
        <v>12454</v>
      </c>
    </row>
    <row r="934" spans="1:2" x14ac:dyDescent="0.2">
      <c r="A934" s="8" t="s">
        <v>957</v>
      </c>
      <c r="B934" s="2" t="s">
        <v>12454</v>
      </c>
    </row>
    <row r="935" spans="1:2" x14ac:dyDescent="0.2">
      <c r="A935" s="8" t="s">
        <v>958</v>
      </c>
      <c r="B935" s="2" t="s">
        <v>12454</v>
      </c>
    </row>
    <row r="936" spans="1:2" x14ac:dyDescent="0.2">
      <c r="A936" s="8" t="s">
        <v>959</v>
      </c>
      <c r="B936" s="2" t="s">
        <v>12454</v>
      </c>
    </row>
    <row r="937" spans="1:2" x14ac:dyDescent="0.2">
      <c r="A937" s="8" t="s">
        <v>960</v>
      </c>
      <c r="B937" s="2" t="s">
        <v>12454</v>
      </c>
    </row>
    <row r="938" spans="1:2" x14ac:dyDescent="0.2">
      <c r="A938" s="8" t="s">
        <v>961</v>
      </c>
      <c r="B938" s="2" t="s">
        <v>12454</v>
      </c>
    </row>
    <row r="939" spans="1:2" x14ac:dyDescent="0.2">
      <c r="A939" s="8" t="s">
        <v>962</v>
      </c>
      <c r="B939" s="2" t="s">
        <v>12454</v>
      </c>
    </row>
    <row r="940" spans="1:2" x14ac:dyDescent="0.2">
      <c r="A940" s="8" t="s">
        <v>963</v>
      </c>
      <c r="B940" s="2" t="s">
        <v>12454</v>
      </c>
    </row>
    <row r="941" spans="1:2" x14ac:dyDescent="0.2">
      <c r="A941" s="8" t="s">
        <v>964</v>
      </c>
      <c r="B941" s="2" t="s">
        <v>12454</v>
      </c>
    </row>
    <row r="942" spans="1:2" x14ac:dyDescent="0.2">
      <c r="A942" s="8" t="s">
        <v>965</v>
      </c>
      <c r="B942" s="2" t="s">
        <v>12454</v>
      </c>
    </row>
    <row r="943" spans="1:2" x14ac:dyDescent="0.2">
      <c r="A943" s="8" t="s">
        <v>966</v>
      </c>
      <c r="B943" s="2" t="s">
        <v>12454</v>
      </c>
    </row>
    <row r="944" spans="1:2" x14ac:dyDescent="0.2">
      <c r="A944" s="8" t="s">
        <v>967</v>
      </c>
      <c r="B944" s="2" t="s">
        <v>12454</v>
      </c>
    </row>
    <row r="945" spans="1:2" x14ac:dyDescent="0.2">
      <c r="A945" s="8" t="s">
        <v>968</v>
      </c>
      <c r="B945" s="2" t="s">
        <v>12454</v>
      </c>
    </row>
    <row r="946" spans="1:2" x14ac:dyDescent="0.2">
      <c r="A946" s="8" t="s">
        <v>969</v>
      </c>
      <c r="B946" s="2" t="s">
        <v>12454</v>
      </c>
    </row>
    <row r="947" spans="1:2" x14ac:dyDescent="0.2">
      <c r="A947" s="8" t="s">
        <v>970</v>
      </c>
      <c r="B947" s="2" t="s">
        <v>12454</v>
      </c>
    </row>
    <row r="948" spans="1:2" x14ac:dyDescent="0.2">
      <c r="A948" s="8" t="s">
        <v>971</v>
      </c>
      <c r="B948" s="2" t="s">
        <v>12454</v>
      </c>
    </row>
    <row r="949" spans="1:2" x14ac:dyDescent="0.2">
      <c r="A949" s="8" t="s">
        <v>972</v>
      </c>
      <c r="B949" s="2" t="s">
        <v>12454</v>
      </c>
    </row>
    <row r="950" spans="1:2" x14ac:dyDescent="0.2">
      <c r="A950" s="8" t="s">
        <v>973</v>
      </c>
      <c r="B950" s="2" t="s">
        <v>12454</v>
      </c>
    </row>
    <row r="951" spans="1:2" x14ac:dyDescent="0.2">
      <c r="A951" s="8" t="s">
        <v>974</v>
      </c>
      <c r="B951" s="2" t="s">
        <v>12454</v>
      </c>
    </row>
    <row r="952" spans="1:2" x14ac:dyDescent="0.2">
      <c r="A952" s="8" t="s">
        <v>975</v>
      </c>
      <c r="B952" s="2" t="s">
        <v>12454</v>
      </c>
    </row>
    <row r="953" spans="1:2" x14ac:dyDescent="0.2">
      <c r="A953" s="8" t="s">
        <v>976</v>
      </c>
      <c r="B953" s="2" t="s">
        <v>12454</v>
      </c>
    </row>
    <row r="954" spans="1:2" x14ac:dyDescent="0.2">
      <c r="A954" s="8" t="s">
        <v>977</v>
      </c>
      <c r="B954" s="2" t="s">
        <v>12454</v>
      </c>
    </row>
    <row r="955" spans="1:2" x14ac:dyDescent="0.2">
      <c r="A955" s="8" t="s">
        <v>978</v>
      </c>
      <c r="B955" s="2" t="s">
        <v>12454</v>
      </c>
    </row>
    <row r="956" spans="1:2" x14ac:dyDescent="0.2">
      <c r="A956" s="8" t="s">
        <v>979</v>
      </c>
      <c r="B956" s="2" t="s">
        <v>12454</v>
      </c>
    </row>
    <row r="957" spans="1:2" x14ac:dyDescent="0.2">
      <c r="A957" s="8" t="s">
        <v>980</v>
      </c>
      <c r="B957" s="2" t="s">
        <v>12454</v>
      </c>
    </row>
    <row r="958" spans="1:2" x14ac:dyDescent="0.2">
      <c r="A958" s="8" t="s">
        <v>981</v>
      </c>
      <c r="B958" s="2" t="s">
        <v>12454</v>
      </c>
    </row>
    <row r="959" spans="1:2" x14ac:dyDescent="0.2">
      <c r="A959" s="8" t="s">
        <v>982</v>
      </c>
      <c r="B959" s="2" t="s">
        <v>12454</v>
      </c>
    </row>
    <row r="960" spans="1:2" x14ac:dyDescent="0.2">
      <c r="A960" s="8" t="s">
        <v>983</v>
      </c>
      <c r="B960" s="2" t="s">
        <v>12454</v>
      </c>
    </row>
    <row r="961" spans="1:2" x14ac:dyDescent="0.2">
      <c r="A961" s="8" t="s">
        <v>984</v>
      </c>
      <c r="B961" s="2" t="s">
        <v>12454</v>
      </c>
    </row>
    <row r="962" spans="1:2" x14ac:dyDescent="0.2">
      <c r="A962" s="8" t="s">
        <v>985</v>
      </c>
      <c r="B962" s="2" t="s">
        <v>12454</v>
      </c>
    </row>
    <row r="963" spans="1:2" x14ac:dyDescent="0.2">
      <c r="A963" s="8" t="s">
        <v>986</v>
      </c>
      <c r="B963" s="2" t="s">
        <v>12454</v>
      </c>
    </row>
    <row r="964" spans="1:2" x14ac:dyDescent="0.2">
      <c r="A964" s="8" t="s">
        <v>987</v>
      </c>
      <c r="B964" s="2" t="s">
        <v>12454</v>
      </c>
    </row>
    <row r="965" spans="1:2" x14ac:dyDescent="0.2">
      <c r="A965" s="8" t="s">
        <v>988</v>
      </c>
      <c r="B965" s="2" t="s">
        <v>12454</v>
      </c>
    </row>
    <row r="966" spans="1:2" x14ac:dyDescent="0.2">
      <c r="A966" s="8" t="s">
        <v>989</v>
      </c>
      <c r="B966" s="2" t="s">
        <v>12454</v>
      </c>
    </row>
    <row r="967" spans="1:2" x14ac:dyDescent="0.2">
      <c r="A967" s="8" t="s">
        <v>990</v>
      </c>
      <c r="B967" s="2" t="s">
        <v>12454</v>
      </c>
    </row>
    <row r="968" spans="1:2" x14ac:dyDescent="0.2">
      <c r="A968" s="8" t="s">
        <v>991</v>
      </c>
      <c r="B968" s="2" t="s">
        <v>12454</v>
      </c>
    </row>
    <row r="969" spans="1:2" x14ac:dyDescent="0.2">
      <c r="A969" s="8" t="s">
        <v>992</v>
      </c>
      <c r="B969" s="2" t="s">
        <v>12454</v>
      </c>
    </row>
    <row r="970" spans="1:2" x14ac:dyDescent="0.2">
      <c r="A970" s="8" t="s">
        <v>993</v>
      </c>
      <c r="B970" s="2" t="s">
        <v>12454</v>
      </c>
    </row>
    <row r="971" spans="1:2" x14ac:dyDescent="0.2">
      <c r="A971" s="8" t="s">
        <v>994</v>
      </c>
      <c r="B971" s="2" t="s">
        <v>12454</v>
      </c>
    </row>
    <row r="972" spans="1:2" x14ac:dyDescent="0.2">
      <c r="A972" s="8" t="s">
        <v>995</v>
      </c>
      <c r="B972" s="2" t="s">
        <v>12454</v>
      </c>
    </row>
    <row r="973" spans="1:2" x14ac:dyDescent="0.2">
      <c r="A973" s="8" t="s">
        <v>996</v>
      </c>
      <c r="B973" s="2" t="s">
        <v>12454</v>
      </c>
    </row>
    <row r="974" spans="1:2" x14ac:dyDescent="0.2">
      <c r="A974" s="8" t="s">
        <v>997</v>
      </c>
      <c r="B974" s="2" t="s">
        <v>12454</v>
      </c>
    </row>
    <row r="975" spans="1:2" x14ac:dyDescent="0.2">
      <c r="A975" s="8" t="s">
        <v>998</v>
      </c>
      <c r="B975" s="2" t="s">
        <v>12454</v>
      </c>
    </row>
    <row r="976" spans="1:2" x14ac:dyDescent="0.2">
      <c r="A976" s="8" t="s">
        <v>999</v>
      </c>
      <c r="B976" s="2" t="s">
        <v>12454</v>
      </c>
    </row>
    <row r="977" spans="1:2" x14ac:dyDescent="0.2">
      <c r="A977" s="8" t="s">
        <v>1000</v>
      </c>
      <c r="B977" s="2" t="s">
        <v>12454</v>
      </c>
    </row>
    <row r="978" spans="1:2" x14ac:dyDescent="0.2">
      <c r="A978" s="8" t="s">
        <v>1001</v>
      </c>
      <c r="B978" s="2" t="s">
        <v>12454</v>
      </c>
    </row>
    <row r="979" spans="1:2" x14ac:dyDescent="0.2">
      <c r="A979" s="8" t="s">
        <v>1002</v>
      </c>
      <c r="B979" s="2" t="s">
        <v>12454</v>
      </c>
    </row>
    <row r="980" spans="1:2" x14ac:dyDescent="0.2">
      <c r="A980" s="8" t="s">
        <v>1003</v>
      </c>
      <c r="B980" s="2" t="s">
        <v>12454</v>
      </c>
    </row>
    <row r="981" spans="1:2" x14ac:dyDescent="0.2">
      <c r="A981" s="8" t="s">
        <v>1004</v>
      </c>
      <c r="B981" s="2" t="s">
        <v>12454</v>
      </c>
    </row>
    <row r="982" spans="1:2" x14ac:dyDescent="0.2">
      <c r="A982" s="8" t="s">
        <v>1005</v>
      </c>
      <c r="B982" s="2" t="s">
        <v>12454</v>
      </c>
    </row>
    <row r="983" spans="1:2" x14ac:dyDescent="0.2">
      <c r="A983" s="8" t="s">
        <v>1006</v>
      </c>
      <c r="B983" s="2" t="s">
        <v>12454</v>
      </c>
    </row>
    <row r="984" spans="1:2" x14ac:dyDescent="0.2">
      <c r="A984" s="8" t="s">
        <v>1007</v>
      </c>
      <c r="B984" s="2" t="s">
        <v>12454</v>
      </c>
    </row>
    <row r="985" spans="1:2" x14ac:dyDescent="0.2">
      <c r="A985" s="8" t="s">
        <v>1008</v>
      </c>
      <c r="B985" s="2" t="s">
        <v>12454</v>
      </c>
    </row>
    <row r="986" spans="1:2" x14ac:dyDescent="0.2">
      <c r="A986" s="8" t="s">
        <v>1009</v>
      </c>
      <c r="B986" s="2" t="s">
        <v>12454</v>
      </c>
    </row>
    <row r="987" spans="1:2" x14ac:dyDescent="0.2">
      <c r="A987" s="8" t="s">
        <v>1010</v>
      </c>
      <c r="B987" s="2" t="s">
        <v>12454</v>
      </c>
    </row>
    <row r="988" spans="1:2" x14ac:dyDescent="0.2">
      <c r="A988" s="8" t="s">
        <v>1011</v>
      </c>
      <c r="B988" s="2" t="s">
        <v>12454</v>
      </c>
    </row>
    <row r="989" spans="1:2" x14ac:dyDescent="0.2">
      <c r="A989" s="8" t="s">
        <v>1012</v>
      </c>
      <c r="B989" s="2" t="s">
        <v>12454</v>
      </c>
    </row>
    <row r="990" spans="1:2" x14ac:dyDescent="0.2">
      <c r="A990" s="8" t="s">
        <v>1013</v>
      </c>
      <c r="B990" s="2" t="s">
        <v>12454</v>
      </c>
    </row>
    <row r="991" spans="1:2" x14ac:dyDescent="0.2">
      <c r="A991" s="8" t="s">
        <v>1014</v>
      </c>
      <c r="B991" s="2" t="s">
        <v>12454</v>
      </c>
    </row>
    <row r="992" spans="1:2" x14ac:dyDescent="0.2">
      <c r="A992" s="8" t="s">
        <v>1015</v>
      </c>
      <c r="B992" s="2" t="s">
        <v>12454</v>
      </c>
    </row>
    <row r="993" spans="1:2" x14ac:dyDescent="0.2">
      <c r="A993" s="8" t="s">
        <v>1016</v>
      </c>
      <c r="B993" s="2" t="s">
        <v>12454</v>
      </c>
    </row>
    <row r="994" spans="1:2" x14ac:dyDescent="0.2">
      <c r="A994" s="8" t="s">
        <v>1017</v>
      </c>
      <c r="B994" s="2" t="s">
        <v>12454</v>
      </c>
    </row>
    <row r="995" spans="1:2" x14ac:dyDescent="0.2">
      <c r="A995" s="8" t="s">
        <v>1018</v>
      </c>
      <c r="B995" s="2" t="s">
        <v>12454</v>
      </c>
    </row>
    <row r="996" spans="1:2" x14ac:dyDescent="0.2">
      <c r="A996" s="8" t="s">
        <v>1019</v>
      </c>
      <c r="B996" s="2" t="s">
        <v>12454</v>
      </c>
    </row>
    <row r="997" spans="1:2" x14ac:dyDescent="0.2">
      <c r="A997" s="8" t="s">
        <v>1020</v>
      </c>
      <c r="B997" s="2" t="s">
        <v>12454</v>
      </c>
    </row>
    <row r="998" spans="1:2" x14ac:dyDescent="0.2">
      <c r="A998" s="8" t="s">
        <v>1021</v>
      </c>
      <c r="B998" s="2" t="s">
        <v>12454</v>
      </c>
    </row>
    <row r="999" spans="1:2" x14ac:dyDescent="0.2">
      <c r="A999" s="8" t="s">
        <v>1022</v>
      </c>
      <c r="B999" s="2" t="s">
        <v>12454</v>
      </c>
    </row>
    <row r="1000" spans="1:2" x14ac:dyDescent="0.2">
      <c r="A1000" s="8" t="s">
        <v>1023</v>
      </c>
      <c r="B1000" s="2" t="s">
        <v>12454</v>
      </c>
    </row>
    <row r="1001" spans="1:2" x14ac:dyDescent="0.2">
      <c r="A1001" s="8" t="s">
        <v>1024</v>
      </c>
      <c r="B1001" s="2" t="s">
        <v>12454</v>
      </c>
    </row>
    <row r="1002" spans="1:2" x14ac:dyDescent="0.2">
      <c r="A1002" s="8" t="s">
        <v>1025</v>
      </c>
      <c r="B1002" s="2" t="s">
        <v>12454</v>
      </c>
    </row>
    <row r="1003" spans="1:2" x14ac:dyDescent="0.2">
      <c r="A1003" s="8" t="s">
        <v>1026</v>
      </c>
      <c r="B1003" s="2" t="s">
        <v>12454</v>
      </c>
    </row>
    <row r="1004" spans="1:2" x14ac:dyDescent="0.2">
      <c r="A1004" s="8" t="s">
        <v>1027</v>
      </c>
      <c r="B1004" s="2" t="s">
        <v>12454</v>
      </c>
    </row>
    <row r="1005" spans="1:2" x14ac:dyDescent="0.2">
      <c r="A1005" s="8" t="s">
        <v>1028</v>
      </c>
      <c r="B1005" s="2" t="s">
        <v>12454</v>
      </c>
    </row>
    <row r="1006" spans="1:2" x14ac:dyDescent="0.2">
      <c r="A1006" s="8" t="s">
        <v>1029</v>
      </c>
      <c r="B1006" s="2" t="s">
        <v>12454</v>
      </c>
    </row>
    <row r="1007" spans="1:2" x14ac:dyDescent="0.2">
      <c r="A1007" s="8" t="s">
        <v>1030</v>
      </c>
      <c r="B1007" s="2" t="s">
        <v>12454</v>
      </c>
    </row>
    <row r="1008" spans="1:2" x14ac:dyDescent="0.2">
      <c r="A1008" s="8" t="s">
        <v>1031</v>
      </c>
      <c r="B1008" s="2" t="s">
        <v>12454</v>
      </c>
    </row>
    <row r="1009" spans="1:2" x14ac:dyDescent="0.2">
      <c r="A1009" s="8" t="s">
        <v>1032</v>
      </c>
      <c r="B1009" s="2" t="s">
        <v>12454</v>
      </c>
    </row>
    <row r="1010" spans="1:2" x14ac:dyDescent="0.2">
      <c r="A1010" s="8" t="s">
        <v>1033</v>
      </c>
      <c r="B1010" s="2" t="s">
        <v>12454</v>
      </c>
    </row>
    <row r="1011" spans="1:2" x14ac:dyDescent="0.2">
      <c r="A1011" s="8" t="s">
        <v>1034</v>
      </c>
      <c r="B1011" s="2" t="s">
        <v>12454</v>
      </c>
    </row>
    <row r="1012" spans="1:2" x14ac:dyDescent="0.2">
      <c r="A1012" s="8" t="s">
        <v>1035</v>
      </c>
      <c r="B1012" s="2" t="s">
        <v>12454</v>
      </c>
    </row>
    <row r="1013" spans="1:2" x14ac:dyDescent="0.2">
      <c r="A1013" s="8" t="s">
        <v>1036</v>
      </c>
      <c r="B1013" s="2" t="s">
        <v>12454</v>
      </c>
    </row>
    <row r="1014" spans="1:2" x14ac:dyDescent="0.2">
      <c r="A1014" s="8" t="s">
        <v>1037</v>
      </c>
      <c r="B1014" s="2" t="s">
        <v>12454</v>
      </c>
    </row>
    <row r="1015" spans="1:2" x14ac:dyDescent="0.2">
      <c r="A1015" s="8" t="s">
        <v>1038</v>
      </c>
      <c r="B1015" s="2" t="s">
        <v>12454</v>
      </c>
    </row>
    <row r="1016" spans="1:2" x14ac:dyDescent="0.2">
      <c r="A1016" s="8" t="s">
        <v>1039</v>
      </c>
      <c r="B1016" s="2" t="s">
        <v>12454</v>
      </c>
    </row>
    <row r="1017" spans="1:2" x14ac:dyDescent="0.2">
      <c r="A1017" s="8" t="s">
        <v>1040</v>
      </c>
      <c r="B1017" s="2" t="s">
        <v>12454</v>
      </c>
    </row>
    <row r="1018" spans="1:2" x14ac:dyDescent="0.2">
      <c r="A1018" s="8" t="s">
        <v>1041</v>
      </c>
      <c r="B1018" s="2" t="s">
        <v>12454</v>
      </c>
    </row>
    <row r="1019" spans="1:2" x14ac:dyDescent="0.2">
      <c r="A1019" s="8" t="s">
        <v>1042</v>
      </c>
      <c r="B1019" s="2" t="s">
        <v>12454</v>
      </c>
    </row>
    <row r="1020" spans="1:2" x14ac:dyDescent="0.2">
      <c r="A1020" s="8" t="s">
        <v>1043</v>
      </c>
      <c r="B1020" s="2" t="s">
        <v>12454</v>
      </c>
    </row>
    <row r="1021" spans="1:2" x14ac:dyDescent="0.2">
      <c r="A1021" s="8" t="s">
        <v>1044</v>
      </c>
      <c r="B1021" s="2" t="s">
        <v>12454</v>
      </c>
    </row>
    <row r="1022" spans="1:2" x14ac:dyDescent="0.2">
      <c r="A1022" s="8" t="s">
        <v>1045</v>
      </c>
      <c r="B1022" s="2" t="s">
        <v>12454</v>
      </c>
    </row>
    <row r="1023" spans="1:2" x14ac:dyDescent="0.2">
      <c r="A1023" s="8" t="s">
        <v>1046</v>
      </c>
      <c r="B1023" s="2" t="s">
        <v>12454</v>
      </c>
    </row>
    <row r="1024" spans="1:2" x14ac:dyDescent="0.2">
      <c r="A1024" s="8" t="s">
        <v>1047</v>
      </c>
      <c r="B1024" s="2" t="s">
        <v>12454</v>
      </c>
    </row>
    <row r="1025" spans="1:2" x14ac:dyDescent="0.2">
      <c r="A1025" s="8" t="s">
        <v>1048</v>
      </c>
      <c r="B1025" s="2" t="s">
        <v>12454</v>
      </c>
    </row>
    <row r="1026" spans="1:2" x14ac:dyDescent="0.2">
      <c r="A1026" s="8" t="s">
        <v>1049</v>
      </c>
      <c r="B1026" s="2" t="s">
        <v>12454</v>
      </c>
    </row>
    <row r="1027" spans="1:2" x14ac:dyDescent="0.2">
      <c r="A1027" s="8" t="s">
        <v>1050</v>
      </c>
      <c r="B1027" s="2" t="s">
        <v>12454</v>
      </c>
    </row>
    <row r="1028" spans="1:2" x14ac:dyDescent="0.2">
      <c r="A1028" s="8" t="s">
        <v>1051</v>
      </c>
      <c r="B1028" s="2" t="s">
        <v>12454</v>
      </c>
    </row>
    <row r="1029" spans="1:2" x14ac:dyDescent="0.2">
      <c r="A1029" s="8" t="s">
        <v>1052</v>
      </c>
      <c r="B1029" s="2" t="s">
        <v>12454</v>
      </c>
    </row>
    <row r="1030" spans="1:2" x14ac:dyDescent="0.2">
      <c r="A1030" s="8" t="s">
        <v>1053</v>
      </c>
      <c r="B1030" s="2" t="s">
        <v>12454</v>
      </c>
    </row>
    <row r="1031" spans="1:2" x14ac:dyDescent="0.2">
      <c r="A1031" s="8" t="s">
        <v>1054</v>
      </c>
      <c r="B1031" s="2" t="s">
        <v>12454</v>
      </c>
    </row>
    <row r="1032" spans="1:2" x14ac:dyDescent="0.2">
      <c r="A1032" s="8" t="s">
        <v>1055</v>
      </c>
      <c r="B1032" s="2" t="s">
        <v>12454</v>
      </c>
    </row>
    <row r="1033" spans="1:2" x14ac:dyDescent="0.2">
      <c r="A1033" s="8" t="s">
        <v>1056</v>
      </c>
      <c r="B1033" s="2" t="s">
        <v>12454</v>
      </c>
    </row>
    <row r="1034" spans="1:2" x14ac:dyDescent="0.2">
      <c r="A1034" s="8" t="s">
        <v>1057</v>
      </c>
      <c r="B1034" s="2" t="s">
        <v>12454</v>
      </c>
    </row>
    <row r="1035" spans="1:2" x14ac:dyDescent="0.2">
      <c r="A1035" s="8" t="s">
        <v>1058</v>
      </c>
      <c r="B1035" s="2" t="s">
        <v>12454</v>
      </c>
    </row>
    <row r="1036" spans="1:2" x14ac:dyDescent="0.2">
      <c r="A1036" s="8" t="s">
        <v>1059</v>
      </c>
      <c r="B1036" s="2" t="s">
        <v>12454</v>
      </c>
    </row>
    <row r="1037" spans="1:2" x14ac:dyDescent="0.2">
      <c r="A1037" s="8" t="s">
        <v>1060</v>
      </c>
      <c r="B1037" s="2" t="s">
        <v>12454</v>
      </c>
    </row>
    <row r="1038" spans="1:2" x14ac:dyDescent="0.2">
      <c r="A1038" s="8" t="s">
        <v>1061</v>
      </c>
      <c r="B1038" s="2" t="s">
        <v>12454</v>
      </c>
    </row>
    <row r="1039" spans="1:2" x14ac:dyDescent="0.2">
      <c r="A1039" s="8" t="s">
        <v>1062</v>
      </c>
      <c r="B1039" s="2" t="s">
        <v>12454</v>
      </c>
    </row>
    <row r="1040" spans="1:2" x14ac:dyDescent="0.2">
      <c r="A1040" s="8" t="s">
        <v>1063</v>
      </c>
      <c r="B1040" s="2" t="s">
        <v>12454</v>
      </c>
    </row>
    <row r="1041" spans="1:2" x14ac:dyDescent="0.2">
      <c r="A1041" s="8" t="s">
        <v>1064</v>
      </c>
      <c r="B1041" s="2" t="s">
        <v>12454</v>
      </c>
    </row>
    <row r="1042" spans="1:2" x14ac:dyDescent="0.2">
      <c r="A1042" s="8" t="s">
        <v>1065</v>
      </c>
      <c r="B1042" s="2" t="s">
        <v>12454</v>
      </c>
    </row>
    <row r="1043" spans="1:2" x14ac:dyDescent="0.2">
      <c r="A1043" s="8" t="s">
        <v>1066</v>
      </c>
      <c r="B1043" s="2" t="s">
        <v>12454</v>
      </c>
    </row>
    <row r="1044" spans="1:2" x14ac:dyDescent="0.2">
      <c r="A1044" s="8" t="s">
        <v>1067</v>
      </c>
      <c r="B1044" s="2" t="s">
        <v>12454</v>
      </c>
    </row>
    <row r="1045" spans="1:2" x14ac:dyDescent="0.2">
      <c r="A1045" s="8" t="s">
        <v>1068</v>
      </c>
      <c r="B1045" s="2" t="s">
        <v>12454</v>
      </c>
    </row>
    <row r="1046" spans="1:2" x14ac:dyDescent="0.2">
      <c r="A1046" s="8" t="s">
        <v>1069</v>
      </c>
      <c r="B1046" s="2" t="s">
        <v>12454</v>
      </c>
    </row>
    <row r="1047" spans="1:2" x14ac:dyDescent="0.2">
      <c r="A1047" s="8" t="s">
        <v>1070</v>
      </c>
      <c r="B1047" s="2" t="s">
        <v>12454</v>
      </c>
    </row>
    <row r="1048" spans="1:2" x14ac:dyDescent="0.2">
      <c r="A1048" s="8" t="s">
        <v>1071</v>
      </c>
      <c r="B1048" s="2" t="s">
        <v>12454</v>
      </c>
    </row>
    <row r="1049" spans="1:2" x14ac:dyDescent="0.2">
      <c r="A1049" s="8" t="s">
        <v>1072</v>
      </c>
      <c r="B1049" s="2" t="s">
        <v>12454</v>
      </c>
    </row>
    <row r="1050" spans="1:2" x14ac:dyDescent="0.2">
      <c r="A1050" s="8" t="s">
        <v>1073</v>
      </c>
      <c r="B1050" s="2" t="s">
        <v>12454</v>
      </c>
    </row>
    <row r="1051" spans="1:2" x14ac:dyDescent="0.2">
      <c r="A1051" s="8" t="s">
        <v>1074</v>
      </c>
      <c r="B1051" s="2" t="s">
        <v>12454</v>
      </c>
    </row>
    <row r="1052" spans="1:2" x14ac:dyDescent="0.2">
      <c r="A1052" s="8" t="s">
        <v>1075</v>
      </c>
      <c r="B1052" s="2" t="s">
        <v>12454</v>
      </c>
    </row>
    <row r="1053" spans="1:2" x14ac:dyDescent="0.2">
      <c r="A1053" s="8" t="s">
        <v>1076</v>
      </c>
      <c r="B1053" s="2" t="s">
        <v>12454</v>
      </c>
    </row>
    <row r="1054" spans="1:2" x14ac:dyDescent="0.2">
      <c r="A1054" s="8" t="s">
        <v>1077</v>
      </c>
      <c r="B1054" s="2" t="s">
        <v>12454</v>
      </c>
    </row>
    <row r="1055" spans="1:2" x14ac:dyDescent="0.2">
      <c r="A1055" s="8" t="s">
        <v>1078</v>
      </c>
      <c r="B1055" s="2" t="s">
        <v>12454</v>
      </c>
    </row>
    <row r="1056" spans="1:2" x14ac:dyDescent="0.2">
      <c r="A1056" s="8" t="s">
        <v>1079</v>
      </c>
      <c r="B1056" s="2" t="s">
        <v>12454</v>
      </c>
    </row>
    <row r="1057" spans="1:2" x14ac:dyDescent="0.2">
      <c r="A1057" s="8" t="s">
        <v>1080</v>
      </c>
      <c r="B1057" s="2" t="s">
        <v>12454</v>
      </c>
    </row>
    <row r="1058" spans="1:2" x14ac:dyDescent="0.2">
      <c r="A1058" s="8" t="s">
        <v>1081</v>
      </c>
      <c r="B1058" s="2" t="s">
        <v>12454</v>
      </c>
    </row>
    <row r="1059" spans="1:2" x14ac:dyDescent="0.2">
      <c r="A1059" s="8" t="s">
        <v>1082</v>
      </c>
      <c r="B1059" s="2" t="s">
        <v>12454</v>
      </c>
    </row>
    <row r="1060" spans="1:2" x14ac:dyDescent="0.2">
      <c r="A1060" s="8" t="s">
        <v>1083</v>
      </c>
      <c r="B1060" s="2" t="s">
        <v>12454</v>
      </c>
    </row>
    <row r="1061" spans="1:2" x14ac:dyDescent="0.2">
      <c r="A1061" s="8" t="s">
        <v>1084</v>
      </c>
      <c r="B1061" s="2" t="s">
        <v>12454</v>
      </c>
    </row>
    <row r="1062" spans="1:2" x14ac:dyDescent="0.2">
      <c r="A1062" s="8" t="s">
        <v>1085</v>
      </c>
      <c r="B1062" s="2" t="s">
        <v>12454</v>
      </c>
    </row>
    <row r="1063" spans="1:2" x14ac:dyDescent="0.2">
      <c r="A1063" s="8" t="s">
        <v>1086</v>
      </c>
      <c r="B1063" s="2" t="s">
        <v>12454</v>
      </c>
    </row>
    <row r="1064" spans="1:2" x14ac:dyDescent="0.2">
      <c r="A1064" s="8" t="s">
        <v>1087</v>
      </c>
      <c r="B1064" s="2" t="s">
        <v>12454</v>
      </c>
    </row>
    <row r="1065" spans="1:2" x14ac:dyDescent="0.2">
      <c r="A1065" s="8" t="s">
        <v>1088</v>
      </c>
      <c r="B1065" s="2" t="s">
        <v>12454</v>
      </c>
    </row>
    <row r="1066" spans="1:2" x14ac:dyDescent="0.2">
      <c r="A1066" s="8" t="s">
        <v>1089</v>
      </c>
      <c r="B1066" s="2" t="s">
        <v>12454</v>
      </c>
    </row>
    <row r="1067" spans="1:2" x14ac:dyDescent="0.2">
      <c r="A1067" s="8" t="s">
        <v>1090</v>
      </c>
      <c r="B1067" s="2" t="s">
        <v>12454</v>
      </c>
    </row>
    <row r="1068" spans="1:2" x14ac:dyDescent="0.2">
      <c r="A1068" s="8" t="s">
        <v>1091</v>
      </c>
      <c r="B1068" s="2" t="s">
        <v>12454</v>
      </c>
    </row>
    <row r="1069" spans="1:2" x14ac:dyDescent="0.2">
      <c r="A1069" s="8" t="s">
        <v>1092</v>
      </c>
      <c r="B1069" s="2" t="s">
        <v>12454</v>
      </c>
    </row>
    <row r="1070" spans="1:2" x14ac:dyDescent="0.2">
      <c r="A1070" s="8" t="s">
        <v>1093</v>
      </c>
      <c r="B1070" s="2" t="s">
        <v>12454</v>
      </c>
    </row>
    <row r="1071" spans="1:2" x14ac:dyDescent="0.2">
      <c r="A1071" s="8" t="s">
        <v>1094</v>
      </c>
      <c r="B1071" s="2" t="s">
        <v>12454</v>
      </c>
    </row>
    <row r="1072" spans="1:2" x14ac:dyDescent="0.2">
      <c r="A1072" s="8" t="s">
        <v>1095</v>
      </c>
      <c r="B1072" s="2" t="s">
        <v>12454</v>
      </c>
    </row>
    <row r="1073" spans="1:2" x14ac:dyDescent="0.2">
      <c r="A1073" s="8" t="s">
        <v>1096</v>
      </c>
      <c r="B1073" s="2" t="s">
        <v>12454</v>
      </c>
    </row>
    <row r="1074" spans="1:2" x14ac:dyDescent="0.2">
      <c r="A1074" s="8" t="s">
        <v>1097</v>
      </c>
      <c r="B1074" s="2" t="s">
        <v>12454</v>
      </c>
    </row>
    <row r="1075" spans="1:2" x14ac:dyDescent="0.2">
      <c r="A1075" s="8" t="s">
        <v>1098</v>
      </c>
      <c r="B1075" s="2" t="s">
        <v>12454</v>
      </c>
    </row>
    <row r="1076" spans="1:2" x14ac:dyDescent="0.2">
      <c r="A1076" s="8" t="s">
        <v>1099</v>
      </c>
      <c r="B1076" s="2" t="s">
        <v>12454</v>
      </c>
    </row>
    <row r="1077" spans="1:2" x14ac:dyDescent="0.2">
      <c r="A1077" s="8" t="s">
        <v>1100</v>
      </c>
      <c r="B1077" s="2" t="s">
        <v>12454</v>
      </c>
    </row>
    <row r="1078" spans="1:2" x14ac:dyDescent="0.2">
      <c r="A1078" s="8" t="s">
        <v>1101</v>
      </c>
      <c r="B1078" s="2" t="s">
        <v>12454</v>
      </c>
    </row>
    <row r="1079" spans="1:2" x14ac:dyDescent="0.2">
      <c r="A1079" s="8" t="s">
        <v>1102</v>
      </c>
      <c r="B1079" s="2" t="s">
        <v>12454</v>
      </c>
    </row>
    <row r="1080" spans="1:2" x14ac:dyDescent="0.2">
      <c r="A1080" s="8" t="s">
        <v>1103</v>
      </c>
      <c r="B1080" s="2" t="s">
        <v>12454</v>
      </c>
    </row>
    <row r="1081" spans="1:2" x14ac:dyDescent="0.2">
      <c r="A1081" s="8" t="s">
        <v>1104</v>
      </c>
      <c r="B1081" s="2" t="s">
        <v>12454</v>
      </c>
    </row>
    <row r="1082" spans="1:2" x14ac:dyDescent="0.2">
      <c r="A1082" s="8" t="s">
        <v>1105</v>
      </c>
      <c r="B1082" s="2" t="s">
        <v>12454</v>
      </c>
    </row>
    <row r="1083" spans="1:2" x14ac:dyDescent="0.2">
      <c r="A1083" s="8" t="s">
        <v>1106</v>
      </c>
      <c r="B1083" s="2" t="s">
        <v>12454</v>
      </c>
    </row>
    <row r="1084" spans="1:2" x14ac:dyDescent="0.2">
      <c r="A1084" s="8" t="s">
        <v>1107</v>
      </c>
      <c r="B1084" s="2" t="s">
        <v>12454</v>
      </c>
    </row>
    <row r="1085" spans="1:2" x14ac:dyDescent="0.2">
      <c r="A1085" s="8" t="s">
        <v>1108</v>
      </c>
      <c r="B1085" s="2" t="s">
        <v>12454</v>
      </c>
    </row>
    <row r="1086" spans="1:2" x14ac:dyDescent="0.2">
      <c r="A1086" s="8" t="s">
        <v>1109</v>
      </c>
      <c r="B1086" s="2" t="s">
        <v>12454</v>
      </c>
    </row>
    <row r="1087" spans="1:2" x14ac:dyDescent="0.2">
      <c r="A1087" s="8" t="s">
        <v>1110</v>
      </c>
      <c r="B1087" s="2" t="s">
        <v>12454</v>
      </c>
    </row>
    <row r="1088" spans="1:2" x14ac:dyDescent="0.2">
      <c r="A1088" s="8" t="s">
        <v>1111</v>
      </c>
      <c r="B1088" s="2" t="s">
        <v>12454</v>
      </c>
    </row>
    <row r="1089" spans="1:2" x14ac:dyDescent="0.2">
      <c r="A1089" s="8" t="s">
        <v>1112</v>
      </c>
      <c r="B1089" s="2" t="s">
        <v>12454</v>
      </c>
    </row>
    <row r="1090" spans="1:2" x14ac:dyDescent="0.2">
      <c r="A1090" s="8" t="s">
        <v>1113</v>
      </c>
      <c r="B1090" s="2" t="s">
        <v>12454</v>
      </c>
    </row>
    <row r="1091" spans="1:2" x14ac:dyDescent="0.2">
      <c r="A1091" s="8" t="s">
        <v>1114</v>
      </c>
      <c r="B1091" s="2" t="s">
        <v>12454</v>
      </c>
    </row>
    <row r="1092" spans="1:2" x14ac:dyDescent="0.2">
      <c r="A1092" s="8" t="s">
        <v>1115</v>
      </c>
      <c r="B1092" s="2" t="s">
        <v>12454</v>
      </c>
    </row>
    <row r="1093" spans="1:2" x14ac:dyDescent="0.2">
      <c r="A1093" s="8" t="s">
        <v>1116</v>
      </c>
      <c r="B1093" s="2" t="s">
        <v>12454</v>
      </c>
    </row>
    <row r="1094" spans="1:2" x14ac:dyDescent="0.2">
      <c r="A1094" s="8" t="s">
        <v>1117</v>
      </c>
      <c r="B1094" s="2" t="s">
        <v>12454</v>
      </c>
    </row>
    <row r="1095" spans="1:2" x14ac:dyDescent="0.2">
      <c r="A1095" s="8" t="s">
        <v>1118</v>
      </c>
      <c r="B1095" s="2" t="s">
        <v>12454</v>
      </c>
    </row>
    <row r="1096" spans="1:2" x14ac:dyDescent="0.2">
      <c r="A1096" s="8" t="s">
        <v>1119</v>
      </c>
      <c r="B1096" s="2" t="s">
        <v>12454</v>
      </c>
    </row>
    <row r="1097" spans="1:2" x14ac:dyDescent="0.2">
      <c r="A1097" s="8" t="s">
        <v>1120</v>
      </c>
      <c r="B1097" s="2" t="s">
        <v>12454</v>
      </c>
    </row>
    <row r="1098" spans="1:2" x14ac:dyDescent="0.2">
      <c r="A1098" s="8" t="s">
        <v>1121</v>
      </c>
      <c r="B1098" s="2" t="s">
        <v>12454</v>
      </c>
    </row>
    <row r="1099" spans="1:2" x14ac:dyDescent="0.2">
      <c r="A1099" s="8" t="s">
        <v>1122</v>
      </c>
      <c r="B1099" s="2" t="s">
        <v>12454</v>
      </c>
    </row>
    <row r="1100" spans="1:2" x14ac:dyDescent="0.2">
      <c r="A1100" s="8" t="s">
        <v>1123</v>
      </c>
      <c r="B1100" s="2" t="s">
        <v>12454</v>
      </c>
    </row>
    <row r="1101" spans="1:2" x14ac:dyDescent="0.2">
      <c r="A1101" s="8" t="s">
        <v>1124</v>
      </c>
      <c r="B1101" s="2" t="s">
        <v>12454</v>
      </c>
    </row>
    <row r="1102" spans="1:2" x14ac:dyDescent="0.2">
      <c r="A1102" s="8" t="s">
        <v>1125</v>
      </c>
      <c r="B1102" s="2" t="s">
        <v>12454</v>
      </c>
    </row>
    <row r="1103" spans="1:2" x14ac:dyDescent="0.2">
      <c r="A1103" s="8" t="s">
        <v>1126</v>
      </c>
      <c r="B1103" s="2" t="s">
        <v>12454</v>
      </c>
    </row>
    <row r="1104" spans="1:2" x14ac:dyDescent="0.2">
      <c r="A1104" s="8" t="s">
        <v>1127</v>
      </c>
      <c r="B1104" s="2" t="s">
        <v>12454</v>
      </c>
    </row>
    <row r="1105" spans="1:2" x14ac:dyDescent="0.2">
      <c r="A1105" s="8" t="s">
        <v>1128</v>
      </c>
      <c r="B1105" s="2" t="s">
        <v>12454</v>
      </c>
    </row>
    <row r="1106" spans="1:2" x14ac:dyDescent="0.2">
      <c r="A1106" s="8" t="s">
        <v>1129</v>
      </c>
      <c r="B1106" s="2" t="s">
        <v>12454</v>
      </c>
    </row>
    <row r="1107" spans="1:2" x14ac:dyDescent="0.2">
      <c r="A1107" s="8" t="s">
        <v>1130</v>
      </c>
      <c r="B1107" s="2" t="s">
        <v>12454</v>
      </c>
    </row>
    <row r="1108" spans="1:2" x14ac:dyDescent="0.2">
      <c r="A1108" s="8" t="s">
        <v>1131</v>
      </c>
      <c r="B1108" s="2" t="s">
        <v>12454</v>
      </c>
    </row>
    <row r="1109" spans="1:2" x14ac:dyDescent="0.2">
      <c r="A1109" s="8" t="s">
        <v>1132</v>
      </c>
      <c r="B1109" s="2" t="s">
        <v>12454</v>
      </c>
    </row>
    <row r="1110" spans="1:2" x14ac:dyDescent="0.2">
      <c r="A1110" s="8" t="s">
        <v>1133</v>
      </c>
      <c r="B1110" s="2" t="s">
        <v>12454</v>
      </c>
    </row>
    <row r="1111" spans="1:2" x14ac:dyDescent="0.2">
      <c r="A1111" s="8" t="s">
        <v>1134</v>
      </c>
      <c r="B1111" s="2" t="s">
        <v>12454</v>
      </c>
    </row>
    <row r="1112" spans="1:2" x14ac:dyDescent="0.2">
      <c r="A1112" s="8" t="s">
        <v>1135</v>
      </c>
      <c r="B1112" s="2" t="s">
        <v>12454</v>
      </c>
    </row>
    <row r="1113" spans="1:2" x14ac:dyDescent="0.2">
      <c r="A1113" s="8" t="s">
        <v>1136</v>
      </c>
      <c r="B1113" s="2" t="s">
        <v>12454</v>
      </c>
    </row>
    <row r="1114" spans="1:2" x14ac:dyDescent="0.2">
      <c r="A1114" s="8" t="s">
        <v>1137</v>
      </c>
      <c r="B1114" s="2" t="s">
        <v>12454</v>
      </c>
    </row>
    <row r="1115" spans="1:2" x14ac:dyDescent="0.2">
      <c r="A1115" s="8" t="s">
        <v>1138</v>
      </c>
      <c r="B1115" s="2" t="s">
        <v>12454</v>
      </c>
    </row>
    <row r="1116" spans="1:2" x14ac:dyDescent="0.2">
      <c r="A1116" s="8" t="s">
        <v>1139</v>
      </c>
      <c r="B1116" s="2" t="s">
        <v>12454</v>
      </c>
    </row>
    <row r="1117" spans="1:2" x14ac:dyDescent="0.2">
      <c r="A1117" s="8" t="s">
        <v>1140</v>
      </c>
      <c r="B1117" s="2" t="s">
        <v>12454</v>
      </c>
    </row>
    <row r="1118" spans="1:2" x14ac:dyDescent="0.2">
      <c r="A1118" s="8" t="s">
        <v>1141</v>
      </c>
      <c r="B1118" s="2" t="s">
        <v>12454</v>
      </c>
    </row>
    <row r="1119" spans="1:2" x14ac:dyDescent="0.2">
      <c r="A1119" s="8" t="s">
        <v>1142</v>
      </c>
      <c r="B1119" s="2" t="s">
        <v>12454</v>
      </c>
    </row>
    <row r="1120" spans="1:2" x14ac:dyDescent="0.2">
      <c r="A1120" s="8" t="s">
        <v>1143</v>
      </c>
      <c r="B1120" s="2" t="s">
        <v>12454</v>
      </c>
    </row>
    <row r="1121" spans="1:2" x14ac:dyDescent="0.2">
      <c r="A1121" s="8" t="s">
        <v>1144</v>
      </c>
      <c r="B1121" s="2" t="s">
        <v>12454</v>
      </c>
    </row>
    <row r="1122" spans="1:2" x14ac:dyDescent="0.2">
      <c r="A1122" s="8" t="s">
        <v>1145</v>
      </c>
      <c r="B1122" s="2" t="s">
        <v>12454</v>
      </c>
    </row>
    <row r="1123" spans="1:2" x14ac:dyDescent="0.2">
      <c r="A1123" s="8" t="s">
        <v>1146</v>
      </c>
      <c r="B1123" s="2" t="s">
        <v>12454</v>
      </c>
    </row>
    <row r="1124" spans="1:2" x14ac:dyDescent="0.2">
      <c r="A1124" s="8" t="s">
        <v>1147</v>
      </c>
      <c r="B1124" s="2" t="s">
        <v>12454</v>
      </c>
    </row>
    <row r="1125" spans="1:2" x14ac:dyDescent="0.2">
      <c r="A1125" s="8" t="s">
        <v>1148</v>
      </c>
      <c r="B1125" s="2" t="s">
        <v>12454</v>
      </c>
    </row>
    <row r="1126" spans="1:2" x14ac:dyDescent="0.2">
      <c r="A1126" s="8" t="s">
        <v>1149</v>
      </c>
      <c r="B1126" s="2" t="s">
        <v>12454</v>
      </c>
    </row>
    <row r="1127" spans="1:2" x14ac:dyDescent="0.2">
      <c r="A1127" s="8" t="s">
        <v>1150</v>
      </c>
      <c r="B1127" s="2" t="s">
        <v>12454</v>
      </c>
    </row>
    <row r="1128" spans="1:2" x14ac:dyDescent="0.2">
      <c r="A1128" s="8" t="s">
        <v>1151</v>
      </c>
      <c r="B1128" s="2" t="s">
        <v>12454</v>
      </c>
    </row>
    <row r="1129" spans="1:2" x14ac:dyDescent="0.2">
      <c r="A1129" s="8" t="s">
        <v>1152</v>
      </c>
      <c r="B1129" s="2" t="s">
        <v>12454</v>
      </c>
    </row>
    <row r="1130" spans="1:2" x14ac:dyDescent="0.2">
      <c r="A1130" s="8" t="s">
        <v>1153</v>
      </c>
      <c r="B1130" s="2" t="s">
        <v>12454</v>
      </c>
    </row>
    <row r="1131" spans="1:2" x14ac:dyDescent="0.2">
      <c r="A1131" s="8" t="s">
        <v>1154</v>
      </c>
      <c r="B1131" s="2" t="s">
        <v>12454</v>
      </c>
    </row>
    <row r="1132" spans="1:2" x14ac:dyDescent="0.2">
      <c r="A1132" s="8" t="s">
        <v>1155</v>
      </c>
      <c r="B1132" s="2" t="s">
        <v>12454</v>
      </c>
    </row>
    <row r="1133" spans="1:2" x14ac:dyDescent="0.2">
      <c r="A1133" s="8" t="s">
        <v>1156</v>
      </c>
      <c r="B1133" s="2" t="s">
        <v>12454</v>
      </c>
    </row>
    <row r="1134" spans="1:2" x14ac:dyDescent="0.2">
      <c r="A1134" s="8" t="s">
        <v>1157</v>
      </c>
      <c r="B1134" s="2" t="s">
        <v>12454</v>
      </c>
    </row>
    <row r="1135" spans="1:2" x14ac:dyDescent="0.2">
      <c r="A1135" s="8" t="s">
        <v>1158</v>
      </c>
      <c r="B1135" s="2" t="s">
        <v>12454</v>
      </c>
    </row>
    <row r="1136" spans="1:2" x14ac:dyDescent="0.2">
      <c r="A1136" s="8" t="s">
        <v>1159</v>
      </c>
      <c r="B1136" s="2" t="s">
        <v>12454</v>
      </c>
    </row>
    <row r="1137" spans="1:2" x14ac:dyDescent="0.2">
      <c r="A1137" s="8" t="s">
        <v>1160</v>
      </c>
      <c r="B1137" s="2" t="s">
        <v>12454</v>
      </c>
    </row>
    <row r="1138" spans="1:2" x14ac:dyDescent="0.2">
      <c r="A1138" s="8" t="s">
        <v>1161</v>
      </c>
      <c r="B1138" s="2" t="s">
        <v>12454</v>
      </c>
    </row>
    <row r="1139" spans="1:2" x14ac:dyDescent="0.2">
      <c r="A1139" s="8" t="s">
        <v>1162</v>
      </c>
      <c r="B1139" s="2" t="s">
        <v>12454</v>
      </c>
    </row>
    <row r="1140" spans="1:2" x14ac:dyDescent="0.2">
      <c r="A1140" s="8" t="s">
        <v>1163</v>
      </c>
      <c r="B1140" s="2" t="s">
        <v>12454</v>
      </c>
    </row>
    <row r="1141" spans="1:2" x14ac:dyDescent="0.2">
      <c r="A1141" s="8" t="s">
        <v>1164</v>
      </c>
      <c r="B1141" s="2" t="s">
        <v>12454</v>
      </c>
    </row>
    <row r="1142" spans="1:2" x14ac:dyDescent="0.2">
      <c r="A1142" s="8" t="s">
        <v>1165</v>
      </c>
      <c r="B1142" s="2" t="s">
        <v>12454</v>
      </c>
    </row>
    <row r="1143" spans="1:2" x14ac:dyDescent="0.2">
      <c r="A1143" s="8" t="s">
        <v>1166</v>
      </c>
      <c r="B1143" s="2" t="s">
        <v>12454</v>
      </c>
    </row>
    <row r="1144" spans="1:2" x14ac:dyDescent="0.2">
      <c r="A1144" s="8" t="s">
        <v>1167</v>
      </c>
      <c r="B1144" s="2" t="s">
        <v>12454</v>
      </c>
    </row>
    <row r="1145" spans="1:2" x14ac:dyDescent="0.2">
      <c r="A1145" s="8" t="s">
        <v>1168</v>
      </c>
      <c r="B1145" s="2" t="s">
        <v>12454</v>
      </c>
    </row>
    <row r="1146" spans="1:2" x14ac:dyDescent="0.2">
      <c r="A1146" s="8" t="s">
        <v>1169</v>
      </c>
      <c r="B1146" s="2" t="s">
        <v>12454</v>
      </c>
    </row>
    <row r="1147" spans="1:2" x14ac:dyDescent="0.2">
      <c r="A1147" s="8" t="s">
        <v>1170</v>
      </c>
      <c r="B1147" s="2" t="s">
        <v>12454</v>
      </c>
    </row>
    <row r="1148" spans="1:2" x14ac:dyDescent="0.2">
      <c r="A1148" s="8" t="s">
        <v>1171</v>
      </c>
      <c r="B1148" s="2" t="s">
        <v>12454</v>
      </c>
    </row>
    <row r="1149" spans="1:2" x14ac:dyDescent="0.2">
      <c r="A1149" s="8" t="s">
        <v>1172</v>
      </c>
      <c r="B1149" s="2" t="s">
        <v>12454</v>
      </c>
    </row>
    <row r="1150" spans="1:2" x14ac:dyDescent="0.2">
      <c r="A1150" s="8" t="s">
        <v>1173</v>
      </c>
      <c r="B1150" s="2" t="s">
        <v>12454</v>
      </c>
    </row>
    <row r="1151" spans="1:2" x14ac:dyDescent="0.2">
      <c r="A1151" s="8" t="s">
        <v>1174</v>
      </c>
      <c r="B1151" s="2" t="s">
        <v>12454</v>
      </c>
    </row>
    <row r="1152" spans="1:2" x14ac:dyDescent="0.2">
      <c r="A1152" s="8" t="s">
        <v>1175</v>
      </c>
      <c r="B1152" s="2" t="s">
        <v>12454</v>
      </c>
    </row>
    <row r="1153" spans="1:2" x14ac:dyDescent="0.2">
      <c r="A1153" s="8" t="s">
        <v>1176</v>
      </c>
      <c r="B1153" s="2" t="s">
        <v>12454</v>
      </c>
    </row>
    <row r="1154" spans="1:2" x14ac:dyDescent="0.2">
      <c r="A1154" s="8" t="s">
        <v>1177</v>
      </c>
      <c r="B1154" s="2" t="s">
        <v>12454</v>
      </c>
    </row>
    <row r="1155" spans="1:2" x14ac:dyDescent="0.2">
      <c r="A1155" s="8" t="s">
        <v>1178</v>
      </c>
      <c r="B1155" s="2" t="s">
        <v>12454</v>
      </c>
    </row>
    <row r="1156" spans="1:2" x14ac:dyDescent="0.2">
      <c r="A1156" s="8" t="s">
        <v>1179</v>
      </c>
      <c r="B1156" s="2" t="s">
        <v>12454</v>
      </c>
    </row>
    <row r="1157" spans="1:2" x14ac:dyDescent="0.2">
      <c r="A1157" s="8" t="s">
        <v>1180</v>
      </c>
      <c r="B1157" s="2" t="s">
        <v>12454</v>
      </c>
    </row>
    <row r="1158" spans="1:2" x14ac:dyDescent="0.2">
      <c r="A1158" s="8" t="s">
        <v>1181</v>
      </c>
      <c r="B1158" s="2" t="s">
        <v>12454</v>
      </c>
    </row>
    <row r="1159" spans="1:2" x14ac:dyDescent="0.2">
      <c r="A1159" s="8" t="s">
        <v>1182</v>
      </c>
      <c r="B1159" s="2" t="s">
        <v>12454</v>
      </c>
    </row>
    <row r="1160" spans="1:2" x14ac:dyDescent="0.2">
      <c r="A1160" s="8" t="s">
        <v>1183</v>
      </c>
      <c r="B1160" s="2" t="s">
        <v>12454</v>
      </c>
    </row>
    <row r="1161" spans="1:2" x14ac:dyDescent="0.2">
      <c r="A1161" s="8" t="s">
        <v>1184</v>
      </c>
      <c r="B1161" s="2" t="s">
        <v>12454</v>
      </c>
    </row>
    <row r="1162" spans="1:2" x14ac:dyDescent="0.2">
      <c r="A1162" s="8" t="s">
        <v>1185</v>
      </c>
      <c r="B1162" s="2" t="s">
        <v>12454</v>
      </c>
    </row>
    <row r="1163" spans="1:2" x14ac:dyDescent="0.2">
      <c r="A1163" s="8" t="s">
        <v>1186</v>
      </c>
      <c r="B1163" s="2" t="s">
        <v>12454</v>
      </c>
    </row>
    <row r="1164" spans="1:2" x14ac:dyDescent="0.2">
      <c r="A1164" s="8" t="s">
        <v>1187</v>
      </c>
      <c r="B1164" s="2" t="s">
        <v>12454</v>
      </c>
    </row>
    <row r="1165" spans="1:2" x14ac:dyDescent="0.2">
      <c r="A1165" s="8" t="s">
        <v>1188</v>
      </c>
      <c r="B1165" s="2" t="s">
        <v>12454</v>
      </c>
    </row>
    <row r="1166" spans="1:2" x14ac:dyDescent="0.2">
      <c r="A1166" s="8" t="s">
        <v>1189</v>
      </c>
      <c r="B1166" s="2" t="s">
        <v>12454</v>
      </c>
    </row>
    <row r="1167" spans="1:2" x14ac:dyDescent="0.2">
      <c r="A1167" s="8" t="s">
        <v>1190</v>
      </c>
      <c r="B1167" s="2" t="s">
        <v>12454</v>
      </c>
    </row>
    <row r="1168" spans="1:2" x14ac:dyDescent="0.2">
      <c r="A1168" s="8" t="s">
        <v>1191</v>
      </c>
      <c r="B1168" s="2" t="s">
        <v>12454</v>
      </c>
    </row>
    <row r="1169" spans="1:2" x14ac:dyDescent="0.2">
      <c r="A1169" s="8" t="s">
        <v>1192</v>
      </c>
      <c r="B1169" s="2" t="s">
        <v>12454</v>
      </c>
    </row>
    <row r="1170" spans="1:2" x14ac:dyDescent="0.2">
      <c r="A1170" s="8" t="s">
        <v>1193</v>
      </c>
      <c r="B1170" s="2" t="s">
        <v>12454</v>
      </c>
    </row>
    <row r="1171" spans="1:2" x14ac:dyDescent="0.2">
      <c r="A1171" s="8" t="s">
        <v>1194</v>
      </c>
      <c r="B1171" s="2" t="s">
        <v>12454</v>
      </c>
    </row>
    <row r="1172" spans="1:2" x14ac:dyDescent="0.2">
      <c r="A1172" s="8" t="s">
        <v>1195</v>
      </c>
      <c r="B1172" s="2" t="s">
        <v>12454</v>
      </c>
    </row>
    <row r="1173" spans="1:2" x14ac:dyDescent="0.2">
      <c r="A1173" s="8" t="s">
        <v>1196</v>
      </c>
      <c r="B1173" s="2" t="s">
        <v>12454</v>
      </c>
    </row>
    <row r="1174" spans="1:2" x14ac:dyDescent="0.2">
      <c r="A1174" s="8" t="s">
        <v>1197</v>
      </c>
      <c r="B1174" s="2" t="s">
        <v>12454</v>
      </c>
    </row>
    <row r="1175" spans="1:2" x14ac:dyDescent="0.2">
      <c r="A1175" s="8" t="s">
        <v>1198</v>
      </c>
      <c r="B1175" s="2" t="s">
        <v>12454</v>
      </c>
    </row>
    <row r="1176" spans="1:2" x14ac:dyDescent="0.2">
      <c r="A1176" s="8" t="s">
        <v>1199</v>
      </c>
      <c r="B1176" s="2" t="s">
        <v>12454</v>
      </c>
    </row>
    <row r="1177" spans="1:2" x14ac:dyDescent="0.2">
      <c r="A1177" s="8" t="s">
        <v>1200</v>
      </c>
      <c r="B1177" s="2" t="s">
        <v>12454</v>
      </c>
    </row>
    <row r="1178" spans="1:2" x14ac:dyDescent="0.2">
      <c r="A1178" s="8" t="s">
        <v>1201</v>
      </c>
      <c r="B1178" s="2" t="s">
        <v>12454</v>
      </c>
    </row>
    <row r="1179" spans="1:2" x14ac:dyDescent="0.2">
      <c r="A1179" s="8" t="s">
        <v>1202</v>
      </c>
      <c r="B1179" s="2" t="s">
        <v>12454</v>
      </c>
    </row>
    <row r="1180" spans="1:2" x14ac:dyDescent="0.2">
      <c r="A1180" s="8" t="s">
        <v>1203</v>
      </c>
      <c r="B1180" s="2" t="s">
        <v>12454</v>
      </c>
    </row>
    <row r="1181" spans="1:2" x14ac:dyDescent="0.2">
      <c r="A1181" s="8" t="s">
        <v>1204</v>
      </c>
      <c r="B1181" s="2" t="s">
        <v>12454</v>
      </c>
    </row>
    <row r="1182" spans="1:2" x14ac:dyDescent="0.2">
      <c r="A1182" s="8" t="s">
        <v>1205</v>
      </c>
      <c r="B1182" s="2" t="s">
        <v>12454</v>
      </c>
    </row>
    <row r="1183" spans="1:2" x14ac:dyDescent="0.2">
      <c r="A1183" s="8" t="s">
        <v>1206</v>
      </c>
      <c r="B1183" s="2" t="s">
        <v>12454</v>
      </c>
    </row>
    <row r="1184" spans="1:2" x14ac:dyDescent="0.2">
      <c r="A1184" s="8" t="s">
        <v>1207</v>
      </c>
      <c r="B1184" s="2" t="s">
        <v>12454</v>
      </c>
    </row>
    <row r="1185" spans="1:2" x14ac:dyDescent="0.2">
      <c r="A1185" s="8" t="s">
        <v>1208</v>
      </c>
      <c r="B1185" s="2" t="s">
        <v>12454</v>
      </c>
    </row>
    <row r="1186" spans="1:2" x14ac:dyDescent="0.2">
      <c r="A1186" s="8" t="s">
        <v>1209</v>
      </c>
      <c r="B1186" s="2" t="s">
        <v>12454</v>
      </c>
    </row>
    <row r="1187" spans="1:2" x14ac:dyDescent="0.2">
      <c r="A1187" s="8" t="s">
        <v>1210</v>
      </c>
      <c r="B1187" s="2" t="s">
        <v>12454</v>
      </c>
    </row>
    <row r="1188" spans="1:2" x14ac:dyDescent="0.2">
      <c r="A1188" s="8" t="s">
        <v>1211</v>
      </c>
      <c r="B1188" s="2" t="s">
        <v>12454</v>
      </c>
    </row>
    <row r="1189" spans="1:2" x14ac:dyDescent="0.2">
      <c r="A1189" s="8" t="s">
        <v>1212</v>
      </c>
      <c r="B1189" s="2" t="s">
        <v>12454</v>
      </c>
    </row>
    <row r="1190" spans="1:2" x14ac:dyDescent="0.2">
      <c r="A1190" s="8" t="s">
        <v>1213</v>
      </c>
      <c r="B1190" s="2" t="s">
        <v>12454</v>
      </c>
    </row>
    <row r="1191" spans="1:2" x14ac:dyDescent="0.2">
      <c r="A1191" s="8" t="s">
        <v>1214</v>
      </c>
      <c r="B1191" s="2" t="s">
        <v>12454</v>
      </c>
    </row>
    <row r="1192" spans="1:2" x14ac:dyDescent="0.2">
      <c r="A1192" s="8" t="s">
        <v>1215</v>
      </c>
      <c r="B1192" s="2" t="s">
        <v>12454</v>
      </c>
    </row>
    <row r="1193" spans="1:2" x14ac:dyDescent="0.2">
      <c r="A1193" s="8" t="s">
        <v>1216</v>
      </c>
      <c r="B1193" s="2" t="s">
        <v>12454</v>
      </c>
    </row>
    <row r="1194" spans="1:2" x14ac:dyDescent="0.2">
      <c r="A1194" s="8" t="s">
        <v>1217</v>
      </c>
      <c r="B1194" s="2" t="s">
        <v>12454</v>
      </c>
    </row>
    <row r="1195" spans="1:2" x14ac:dyDescent="0.2">
      <c r="A1195" s="8" t="s">
        <v>1218</v>
      </c>
      <c r="B1195" s="2" t="s">
        <v>12454</v>
      </c>
    </row>
    <row r="1196" spans="1:2" x14ac:dyDescent="0.2">
      <c r="A1196" s="8" t="s">
        <v>1219</v>
      </c>
      <c r="B1196" s="2" t="s">
        <v>12454</v>
      </c>
    </row>
    <row r="1197" spans="1:2" x14ac:dyDescent="0.2">
      <c r="A1197" s="8" t="s">
        <v>1220</v>
      </c>
      <c r="B1197" s="2" t="s">
        <v>12454</v>
      </c>
    </row>
    <row r="1198" spans="1:2" x14ac:dyDescent="0.2">
      <c r="A1198" s="8" t="s">
        <v>1221</v>
      </c>
      <c r="B1198" s="2" t="s">
        <v>12454</v>
      </c>
    </row>
    <row r="1199" spans="1:2" x14ac:dyDescent="0.2">
      <c r="A1199" s="8" t="s">
        <v>1222</v>
      </c>
      <c r="B1199" s="2" t="s">
        <v>12454</v>
      </c>
    </row>
    <row r="1200" spans="1:2" x14ac:dyDescent="0.2">
      <c r="A1200" s="8" t="s">
        <v>1223</v>
      </c>
      <c r="B1200" s="2" t="s">
        <v>12454</v>
      </c>
    </row>
    <row r="1201" spans="1:2" x14ac:dyDescent="0.2">
      <c r="A1201" s="8" t="s">
        <v>1224</v>
      </c>
      <c r="B1201" s="2" t="s">
        <v>12454</v>
      </c>
    </row>
    <row r="1202" spans="1:2" x14ac:dyDescent="0.2">
      <c r="A1202" s="8" t="s">
        <v>1225</v>
      </c>
      <c r="B1202" s="2" t="s">
        <v>12454</v>
      </c>
    </row>
    <row r="1203" spans="1:2" x14ac:dyDescent="0.2">
      <c r="A1203" s="8" t="s">
        <v>1226</v>
      </c>
      <c r="B1203" s="2" t="s">
        <v>12454</v>
      </c>
    </row>
    <row r="1204" spans="1:2" x14ac:dyDescent="0.2">
      <c r="A1204" s="8" t="s">
        <v>1227</v>
      </c>
      <c r="B1204" s="2" t="s">
        <v>12454</v>
      </c>
    </row>
    <row r="1205" spans="1:2" x14ac:dyDescent="0.2">
      <c r="A1205" s="8" t="s">
        <v>1228</v>
      </c>
      <c r="B1205" s="2" t="s">
        <v>12454</v>
      </c>
    </row>
    <row r="1206" spans="1:2" x14ac:dyDescent="0.2">
      <c r="A1206" s="8" t="s">
        <v>1229</v>
      </c>
      <c r="B1206" s="2" t="s">
        <v>12454</v>
      </c>
    </row>
    <row r="1207" spans="1:2" x14ac:dyDescent="0.2">
      <c r="A1207" s="8" t="s">
        <v>1230</v>
      </c>
      <c r="B1207" s="2" t="s">
        <v>12454</v>
      </c>
    </row>
    <row r="1208" spans="1:2" x14ac:dyDescent="0.2">
      <c r="A1208" s="8" t="s">
        <v>1231</v>
      </c>
      <c r="B1208" s="2" t="s">
        <v>12454</v>
      </c>
    </row>
    <row r="1209" spans="1:2" x14ac:dyDescent="0.2">
      <c r="A1209" s="8" t="s">
        <v>1232</v>
      </c>
      <c r="B1209" s="2" t="s">
        <v>12454</v>
      </c>
    </row>
    <row r="1210" spans="1:2" x14ac:dyDescent="0.2">
      <c r="A1210" s="8" t="s">
        <v>1233</v>
      </c>
      <c r="B1210" s="2" t="s">
        <v>12454</v>
      </c>
    </row>
    <row r="1211" spans="1:2" x14ac:dyDescent="0.2">
      <c r="A1211" s="8" t="s">
        <v>1234</v>
      </c>
      <c r="B1211" s="2" t="s">
        <v>12454</v>
      </c>
    </row>
    <row r="1212" spans="1:2" x14ac:dyDescent="0.2">
      <c r="A1212" s="8" t="s">
        <v>1235</v>
      </c>
      <c r="B1212" s="2" t="s">
        <v>12454</v>
      </c>
    </row>
    <row r="1213" spans="1:2" x14ac:dyDescent="0.2">
      <c r="A1213" s="8" t="s">
        <v>1236</v>
      </c>
      <c r="B1213" s="2" t="s">
        <v>12454</v>
      </c>
    </row>
    <row r="1214" spans="1:2" x14ac:dyDescent="0.2">
      <c r="A1214" s="8" t="s">
        <v>1237</v>
      </c>
      <c r="B1214" s="2" t="s">
        <v>12454</v>
      </c>
    </row>
    <row r="1215" spans="1:2" x14ac:dyDescent="0.2">
      <c r="A1215" s="8" t="s">
        <v>1238</v>
      </c>
      <c r="B1215" s="2" t="s">
        <v>12454</v>
      </c>
    </row>
    <row r="1216" spans="1:2" x14ac:dyDescent="0.2">
      <c r="A1216" s="8" t="s">
        <v>1239</v>
      </c>
      <c r="B1216" s="2" t="s">
        <v>12454</v>
      </c>
    </row>
    <row r="1217" spans="1:2" x14ac:dyDescent="0.2">
      <c r="A1217" s="8" t="s">
        <v>1240</v>
      </c>
      <c r="B1217" s="2" t="s">
        <v>12454</v>
      </c>
    </row>
    <row r="1218" spans="1:2" x14ac:dyDescent="0.2">
      <c r="A1218" s="8" t="s">
        <v>1241</v>
      </c>
      <c r="B1218" s="2" t="s">
        <v>12454</v>
      </c>
    </row>
    <row r="1219" spans="1:2" x14ac:dyDescent="0.2">
      <c r="A1219" s="8" t="s">
        <v>1242</v>
      </c>
      <c r="B1219" s="2" t="s">
        <v>12454</v>
      </c>
    </row>
    <row r="1220" spans="1:2" x14ac:dyDescent="0.2">
      <c r="A1220" s="8" t="s">
        <v>1243</v>
      </c>
      <c r="B1220" s="2" t="s">
        <v>12454</v>
      </c>
    </row>
    <row r="1221" spans="1:2" x14ac:dyDescent="0.2">
      <c r="A1221" s="8" t="s">
        <v>1244</v>
      </c>
      <c r="B1221" s="2" t="s">
        <v>12454</v>
      </c>
    </row>
    <row r="1222" spans="1:2" x14ac:dyDescent="0.2">
      <c r="A1222" s="8" t="s">
        <v>1245</v>
      </c>
      <c r="B1222" s="2" t="s">
        <v>12454</v>
      </c>
    </row>
    <row r="1223" spans="1:2" x14ac:dyDescent="0.2">
      <c r="A1223" s="8" t="s">
        <v>1246</v>
      </c>
      <c r="B1223" s="2" t="s">
        <v>12454</v>
      </c>
    </row>
    <row r="1224" spans="1:2" x14ac:dyDescent="0.2">
      <c r="A1224" s="8" t="s">
        <v>1247</v>
      </c>
      <c r="B1224" s="2" t="s">
        <v>12454</v>
      </c>
    </row>
    <row r="1225" spans="1:2" x14ac:dyDescent="0.2">
      <c r="A1225" s="8" t="s">
        <v>1248</v>
      </c>
      <c r="B1225" s="2" t="s">
        <v>12454</v>
      </c>
    </row>
    <row r="1226" spans="1:2" x14ac:dyDescent="0.2">
      <c r="A1226" s="8" t="s">
        <v>1249</v>
      </c>
      <c r="B1226" s="2" t="s">
        <v>12454</v>
      </c>
    </row>
    <row r="1227" spans="1:2" x14ac:dyDescent="0.2">
      <c r="A1227" s="8" t="s">
        <v>1250</v>
      </c>
      <c r="B1227" s="2" t="s">
        <v>12454</v>
      </c>
    </row>
    <row r="1228" spans="1:2" x14ac:dyDescent="0.2">
      <c r="A1228" s="8" t="s">
        <v>1251</v>
      </c>
      <c r="B1228" s="2" t="s">
        <v>12454</v>
      </c>
    </row>
    <row r="1229" spans="1:2" x14ac:dyDescent="0.2">
      <c r="A1229" s="8" t="s">
        <v>1252</v>
      </c>
      <c r="B1229" s="2" t="s">
        <v>12454</v>
      </c>
    </row>
    <row r="1230" spans="1:2" x14ac:dyDescent="0.2">
      <c r="A1230" s="8" t="s">
        <v>1253</v>
      </c>
      <c r="B1230" s="2" t="s">
        <v>12454</v>
      </c>
    </row>
    <row r="1231" spans="1:2" x14ac:dyDescent="0.2">
      <c r="A1231" s="8" t="s">
        <v>1254</v>
      </c>
      <c r="B1231" s="2" t="s">
        <v>12454</v>
      </c>
    </row>
    <row r="1232" spans="1:2" x14ac:dyDescent="0.2">
      <c r="A1232" s="8" t="s">
        <v>1255</v>
      </c>
      <c r="B1232" s="2" t="s">
        <v>12454</v>
      </c>
    </row>
    <row r="1233" spans="1:2" x14ac:dyDescent="0.2">
      <c r="A1233" s="8" t="s">
        <v>1256</v>
      </c>
      <c r="B1233" s="2" t="s">
        <v>12454</v>
      </c>
    </row>
    <row r="1234" spans="1:2" x14ac:dyDescent="0.2">
      <c r="A1234" s="8" t="s">
        <v>1257</v>
      </c>
      <c r="B1234" s="2" t="s">
        <v>12454</v>
      </c>
    </row>
    <row r="1235" spans="1:2" x14ac:dyDescent="0.2">
      <c r="A1235" s="8" t="s">
        <v>1258</v>
      </c>
      <c r="B1235" s="2" t="s">
        <v>12454</v>
      </c>
    </row>
    <row r="1236" spans="1:2" x14ac:dyDescent="0.2">
      <c r="A1236" s="8" t="s">
        <v>1259</v>
      </c>
      <c r="B1236" s="2" t="s">
        <v>12454</v>
      </c>
    </row>
    <row r="1237" spans="1:2" x14ac:dyDescent="0.2">
      <c r="A1237" s="8" t="s">
        <v>1260</v>
      </c>
      <c r="B1237" s="2" t="s">
        <v>12454</v>
      </c>
    </row>
    <row r="1238" spans="1:2" x14ac:dyDescent="0.2">
      <c r="A1238" s="8" t="s">
        <v>1261</v>
      </c>
      <c r="B1238" s="2" t="s">
        <v>12454</v>
      </c>
    </row>
    <row r="1239" spans="1:2" x14ac:dyDescent="0.2">
      <c r="A1239" s="8" t="s">
        <v>1262</v>
      </c>
      <c r="B1239" s="2" t="s">
        <v>12454</v>
      </c>
    </row>
    <row r="1240" spans="1:2" x14ac:dyDescent="0.2">
      <c r="A1240" s="8" t="s">
        <v>1263</v>
      </c>
      <c r="B1240" s="2" t="s">
        <v>12454</v>
      </c>
    </row>
    <row r="1241" spans="1:2" x14ac:dyDescent="0.2">
      <c r="A1241" s="8" t="s">
        <v>1264</v>
      </c>
      <c r="B1241" s="2" t="s">
        <v>12454</v>
      </c>
    </row>
    <row r="1242" spans="1:2" x14ac:dyDescent="0.2">
      <c r="A1242" s="8" t="s">
        <v>1265</v>
      </c>
      <c r="B1242" s="2" t="s">
        <v>12454</v>
      </c>
    </row>
    <row r="1243" spans="1:2" x14ac:dyDescent="0.2">
      <c r="A1243" s="8" t="s">
        <v>1266</v>
      </c>
      <c r="B1243" s="2" t="s">
        <v>12454</v>
      </c>
    </row>
    <row r="1244" spans="1:2" x14ac:dyDescent="0.2">
      <c r="A1244" s="8" t="s">
        <v>1267</v>
      </c>
      <c r="B1244" s="2" t="s">
        <v>12454</v>
      </c>
    </row>
    <row r="1245" spans="1:2" x14ac:dyDescent="0.2">
      <c r="A1245" s="8" t="s">
        <v>1268</v>
      </c>
      <c r="B1245" s="2" t="s">
        <v>12454</v>
      </c>
    </row>
    <row r="1246" spans="1:2" x14ac:dyDescent="0.2">
      <c r="A1246" s="8" t="s">
        <v>1269</v>
      </c>
      <c r="B1246" s="2" t="s">
        <v>12454</v>
      </c>
    </row>
    <row r="1247" spans="1:2" x14ac:dyDescent="0.2">
      <c r="A1247" s="8" t="s">
        <v>1270</v>
      </c>
      <c r="B1247" s="2" t="s">
        <v>12454</v>
      </c>
    </row>
    <row r="1248" spans="1:2" x14ac:dyDescent="0.2">
      <c r="A1248" s="8" t="s">
        <v>1271</v>
      </c>
      <c r="B1248" s="2" t="s">
        <v>12454</v>
      </c>
    </row>
    <row r="1249" spans="1:2" x14ac:dyDescent="0.2">
      <c r="A1249" s="8" t="s">
        <v>1272</v>
      </c>
      <c r="B1249" s="2" t="s">
        <v>12454</v>
      </c>
    </row>
    <row r="1250" spans="1:2" x14ac:dyDescent="0.2">
      <c r="A1250" s="8" t="s">
        <v>1273</v>
      </c>
      <c r="B1250" s="2" t="s">
        <v>12454</v>
      </c>
    </row>
    <row r="1251" spans="1:2" x14ac:dyDescent="0.2">
      <c r="A1251" s="8" t="s">
        <v>1274</v>
      </c>
      <c r="B1251" s="2" t="s">
        <v>12454</v>
      </c>
    </row>
    <row r="1252" spans="1:2" x14ac:dyDescent="0.2">
      <c r="A1252" s="8" t="s">
        <v>1275</v>
      </c>
      <c r="B1252" s="2" t="s">
        <v>12454</v>
      </c>
    </row>
    <row r="1253" spans="1:2" x14ac:dyDescent="0.2">
      <c r="A1253" s="8" t="s">
        <v>1276</v>
      </c>
      <c r="B1253" s="2" t="s">
        <v>12454</v>
      </c>
    </row>
    <row r="1254" spans="1:2" x14ac:dyDescent="0.2">
      <c r="A1254" s="8" t="s">
        <v>1277</v>
      </c>
      <c r="B1254" s="2" t="s">
        <v>12454</v>
      </c>
    </row>
    <row r="1255" spans="1:2" x14ac:dyDescent="0.2">
      <c r="A1255" s="8" t="s">
        <v>1278</v>
      </c>
      <c r="B1255" s="2" t="s">
        <v>12454</v>
      </c>
    </row>
    <row r="1256" spans="1:2" x14ac:dyDescent="0.2">
      <c r="A1256" s="8" t="s">
        <v>1279</v>
      </c>
      <c r="B1256" s="2" t="s">
        <v>12454</v>
      </c>
    </row>
    <row r="1257" spans="1:2" x14ac:dyDescent="0.2">
      <c r="A1257" s="8" t="s">
        <v>1280</v>
      </c>
      <c r="B1257" s="2" t="s">
        <v>12454</v>
      </c>
    </row>
    <row r="1258" spans="1:2" x14ac:dyDescent="0.2">
      <c r="A1258" s="8" t="s">
        <v>1281</v>
      </c>
      <c r="B1258" s="2" t="s">
        <v>12454</v>
      </c>
    </row>
    <row r="1259" spans="1:2" x14ac:dyDescent="0.2">
      <c r="A1259" s="8" t="s">
        <v>1282</v>
      </c>
      <c r="B1259" s="2" t="s">
        <v>12454</v>
      </c>
    </row>
    <row r="1260" spans="1:2" x14ac:dyDescent="0.2">
      <c r="A1260" s="8" t="s">
        <v>1283</v>
      </c>
      <c r="B1260" s="2" t="s">
        <v>12454</v>
      </c>
    </row>
    <row r="1261" spans="1:2" x14ac:dyDescent="0.2">
      <c r="A1261" s="8" t="s">
        <v>1284</v>
      </c>
      <c r="B1261" s="2" t="s">
        <v>12454</v>
      </c>
    </row>
    <row r="1262" spans="1:2" x14ac:dyDescent="0.2">
      <c r="A1262" s="8" t="s">
        <v>1285</v>
      </c>
      <c r="B1262" s="2" t="s">
        <v>12454</v>
      </c>
    </row>
    <row r="1263" spans="1:2" x14ac:dyDescent="0.2">
      <c r="A1263" s="8" t="s">
        <v>1286</v>
      </c>
      <c r="B1263" s="2" t="s">
        <v>12454</v>
      </c>
    </row>
    <row r="1264" spans="1:2" x14ac:dyDescent="0.2">
      <c r="A1264" s="8" t="s">
        <v>1287</v>
      </c>
      <c r="B1264" s="2" t="s">
        <v>12454</v>
      </c>
    </row>
    <row r="1265" spans="1:2" x14ac:dyDescent="0.2">
      <c r="A1265" s="8" t="s">
        <v>1288</v>
      </c>
      <c r="B1265" s="2" t="s">
        <v>12454</v>
      </c>
    </row>
    <row r="1266" spans="1:2" x14ac:dyDescent="0.2">
      <c r="A1266" s="8" t="s">
        <v>1289</v>
      </c>
      <c r="B1266" s="2" t="s">
        <v>12454</v>
      </c>
    </row>
    <row r="1267" spans="1:2" x14ac:dyDescent="0.2">
      <c r="A1267" s="8" t="s">
        <v>1290</v>
      </c>
      <c r="B1267" s="2" t="s">
        <v>12454</v>
      </c>
    </row>
    <row r="1268" spans="1:2" x14ac:dyDescent="0.2">
      <c r="A1268" s="8" t="s">
        <v>1291</v>
      </c>
      <c r="B1268" s="2" t="s">
        <v>12454</v>
      </c>
    </row>
    <row r="1269" spans="1:2" x14ac:dyDescent="0.2">
      <c r="A1269" s="8" t="s">
        <v>1292</v>
      </c>
      <c r="B1269" s="2" t="s">
        <v>12454</v>
      </c>
    </row>
    <row r="1270" spans="1:2" x14ac:dyDescent="0.2">
      <c r="A1270" s="8" t="s">
        <v>1293</v>
      </c>
      <c r="B1270" s="2" t="s">
        <v>12454</v>
      </c>
    </row>
    <row r="1271" spans="1:2" x14ac:dyDescent="0.2">
      <c r="A1271" s="8" t="s">
        <v>1294</v>
      </c>
      <c r="B1271" s="2" t="s">
        <v>12454</v>
      </c>
    </row>
    <row r="1272" spans="1:2" x14ac:dyDescent="0.2">
      <c r="A1272" s="8" t="s">
        <v>1295</v>
      </c>
      <c r="B1272" s="2" t="s">
        <v>12454</v>
      </c>
    </row>
    <row r="1273" spans="1:2" x14ac:dyDescent="0.2">
      <c r="A1273" s="8" t="s">
        <v>1296</v>
      </c>
      <c r="B1273" s="2" t="s">
        <v>12454</v>
      </c>
    </row>
    <row r="1274" spans="1:2" x14ac:dyDescent="0.2">
      <c r="A1274" s="8" t="s">
        <v>1297</v>
      </c>
      <c r="B1274" s="2" t="s">
        <v>12454</v>
      </c>
    </row>
    <row r="1275" spans="1:2" x14ac:dyDescent="0.2">
      <c r="A1275" s="8" t="s">
        <v>1298</v>
      </c>
      <c r="B1275" s="2" t="s">
        <v>12454</v>
      </c>
    </row>
    <row r="1276" spans="1:2" x14ac:dyDescent="0.2">
      <c r="A1276" s="8" t="s">
        <v>1299</v>
      </c>
      <c r="B1276" s="2" t="s">
        <v>12454</v>
      </c>
    </row>
    <row r="1277" spans="1:2" x14ac:dyDescent="0.2">
      <c r="A1277" s="8" t="s">
        <v>1300</v>
      </c>
      <c r="B1277" s="2" t="s">
        <v>12454</v>
      </c>
    </row>
    <row r="1278" spans="1:2" x14ac:dyDescent="0.2">
      <c r="A1278" s="8" t="s">
        <v>1301</v>
      </c>
      <c r="B1278" s="2" t="s">
        <v>12454</v>
      </c>
    </row>
    <row r="1279" spans="1:2" x14ac:dyDescent="0.2">
      <c r="A1279" s="8" t="s">
        <v>1302</v>
      </c>
      <c r="B1279" s="2" t="s">
        <v>12454</v>
      </c>
    </row>
    <row r="1280" spans="1:2" x14ac:dyDescent="0.2">
      <c r="A1280" s="8" t="s">
        <v>1303</v>
      </c>
      <c r="B1280" s="2" t="s">
        <v>12454</v>
      </c>
    </row>
    <row r="1281" spans="1:2" x14ac:dyDescent="0.2">
      <c r="A1281" s="8" t="s">
        <v>1304</v>
      </c>
      <c r="B1281" s="2" t="s">
        <v>12454</v>
      </c>
    </row>
    <row r="1282" spans="1:2" x14ac:dyDescent="0.2">
      <c r="A1282" s="8" t="s">
        <v>1305</v>
      </c>
      <c r="B1282" s="2" t="s">
        <v>12454</v>
      </c>
    </row>
    <row r="1283" spans="1:2" x14ac:dyDescent="0.2">
      <c r="A1283" s="8" t="s">
        <v>1306</v>
      </c>
      <c r="B1283" s="2" t="s">
        <v>12454</v>
      </c>
    </row>
    <row r="1284" spans="1:2" x14ac:dyDescent="0.2">
      <c r="A1284" s="8" t="s">
        <v>1307</v>
      </c>
      <c r="B1284" s="2" t="s">
        <v>12454</v>
      </c>
    </row>
    <row r="1285" spans="1:2" x14ac:dyDescent="0.2">
      <c r="A1285" s="8" t="s">
        <v>1308</v>
      </c>
      <c r="B1285" s="2" t="s">
        <v>12454</v>
      </c>
    </row>
    <row r="1286" spans="1:2" x14ac:dyDescent="0.2">
      <c r="A1286" s="8" t="s">
        <v>1309</v>
      </c>
      <c r="B1286" s="2" t="s">
        <v>12454</v>
      </c>
    </row>
    <row r="1287" spans="1:2" x14ac:dyDescent="0.2">
      <c r="A1287" s="8" t="s">
        <v>1310</v>
      </c>
      <c r="B1287" s="2" t="s">
        <v>12454</v>
      </c>
    </row>
    <row r="1288" spans="1:2" x14ac:dyDescent="0.2">
      <c r="A1288" s="8" t="s">
        <v>1311</v>
      </c>
      <c r="B1288" s="2" t="s">
        <v>12454</v>
      </c>
    </row>
    <row r="1289" spans="1:2" x14ac:dyDescent="0.2">
      <c r="A1289" s="8" t="s">
        <v>1312</v>
      </c>
      <c r="B1289" s="2" t="s">
        <v>12454</v>
      </c>
    </row>
    <row r="1290" spans="1:2" x14ac:dyDescent="0.2">
      <c r="A1290" s="8" t="s">
        <v>1313</v>
      </c>
      <c r="B1290" s="2" t="s">
        <v>12454</v>
      </c>
    </row>
    <row r="1291" spans="1:2" x14ac:dyDescent="0.2">
      <c r="A1291" s="8" t="s">
        <v>1314</v>
      </c>
      <c r="B1291" s="2" t="s">
        <v>12454</v>
      </c>
    </row>
    <row r="1292" spans="1:2" x14ac:dyDescent="0.2">
      <c r="A1292" s="8" t="s">
        <v>1315</v>
      </c>
      <c r="B1292" s="2" t="s">
        <v>12454</v>
      </c>
    </row>
    <row r="1293" spans="1:2" x14ac:dyDescent="0.2">
      <c r="A1293" s="8" t="s">
        <v>1316</v>
      </c>
      <c r="B1293" s="2" t="s">
        <v>12454</v>
      </c>
    </row>
    <row r="1294" spans="1:2" x14ac:dyDescent="0.2">
      <c r="A1294" s="8" t="s">
        <v>1317</v>
      </c>
      <c r="B1294" s="2" t="s">
        <v>12454</v>
      </c>
    </row>
    <row r="1295" spans="1:2" x14ac:dyDescent="0.2">
      <c r="A1295" s="8" t="s">
        <v>1318</v>
      </c>
      <c r="B1295" s="2" t="s">
        <v>12454</v>
      </c>
    </row>
    <row r="1296" spans="1:2" x14ac:dyDescent="0.2">
      <c r="A1296" s="8" t="s">
        <v>1319</v>
      </c>
      <c r="B1296" s="2" t="s">
        <v>12454</v>
      </c>
    </row>
    <row r="1297" spans="1:2" x14ac:dyDescent="0.2">
      <c r="A1297" s="8" t="s">
        <v>1320</v>
      </c>
      <c r="B1297" s="2" t="s">
        <v>12454</v>
      </c>
    </row>
    <row r="1298" spans="1:2" x14ac:dyDescent="0.2">
      <c r="A1298" s="8" t="s">
        <v>1321</v>
      </c>
      <c r="B1298" s="2" t="s">
        <v>12454</v>
      </c>
    </row>
    <row r="1299" spans="1:2" x14ac:dyDescent="0.2">
      <c r="A1299" s="8" t="s">
        <v>1322</v>
      </c>
      <c r="B1299" s="2" t="s">
        <v>12454</v>
      </c>
    </row>
    <row r="1300" spans="1:2" x14ac:dyDescent="0.2">
      <c r="A1300" s="8" t="s">
        <v>1323</v>
      </c>
      <c r="B1300" s="2" t="s">
        <v>12454</v>
      </c>
    </row>
    <row r="1301" spans="1:2" x14ac:dyDescent="0.2">
      <c r="A1301" s="8" t="s">
        <v>1324</v>
      </c>
      <c r="B1301" s="2" t="s">
        <v>12454</v>
      </c>
    </row>
    <row r="1302" spans="1:2" x14ac:dyDescent="0.2">
      <c r="A1302" s="8" t="s">
        <v>1325</v>
      </c>
      <c r="B1302" s="2" t="s">
        <v>12454</v>
      </c>
    </row>
    <row r="1303" spans="1:2" x14ac:dyDescent="0.2">
      <c r="A1303" s="8" t="s">
        <v>1326</v>
      </c>
      <c r="B1303" s="2" t="s">
        <v>12454</v>
      </c>
    </row>
    <row r="1304" spans="1:2" x14ac:dyDescent="0.2">
      <c r="A1304" s="8" t="s">
        <v>1327</v>
      </c>
      <c r="B1304" s="2" t="s">
        <v>12454</v>
      </c>
    </row>
    <row r="1305" spans="1:2" x14ac:dyDescent="0.2">
      <c r="A1305" s="8" t="s">
        <v>1328</v>
      </c>
      <c r="B1305" s="2" t="s">
        <v>12454</v>
      </c>
    </row>
    <row r="1306" spans="1:2" x14ac:dyDescent="0.2">
      <c r="A1306" s="8" t="s">
        <v>1329</v>
      </c>
      <c r="B1306" s="2" t="s">
        <v>12454</v>
      </c>
    </row>
    <row r="1307" spans="1:2" x14ac:dyDescent="0.2">
      <c r="A1307" s="8" t="s">
        <v>1330</v>
      </c>
      <c r="B1307" s="2" t="s">
        <v>12454</v>
      </c>
    </row>
    <row r="1308" spans="1:2" x14ac:dyDescent="0.2">
      <c r="A1308" s="8" t="s">
        <v>1331</v>
      </c>
      <c r="B1308" s="2" t="s">
        <v>12454</v>
      </c>
    </row>
    <row r="1309" spans="1:2" x14ac:dyDescent="0.2">
      <c r="A1309" s="8" t="s">
        <v>1332</v>
      </c>
      <c r="B1309" s="2" t="s">
        <v>12454</v>
      </c>
    </row>
    <row r="1310" spans="1:2" x14ac:dyDescent="0.2">
      <c r="A1310" s="8" t="s">
        <v>1333</v>
      </c>
      <c r="B1310" s="2" t="s">
        <v>12454</v>
      </c>
    </row>
    <row r="1311" spans="1:2" x14ac:dyDescent="0.2">
      <c r="A1311" s="8" t="s">
        <v>1334</v>
      </c>
      <c r="B1311" s="2" t="s">
        <v>12454</v>
      </c>
    </row>
    <row r="1312" spans="1:2" x14ac:dyDescent="0.2">
      <c r="A1312" s="8" t="s">
        <v>1335</v>
      </c>
      <c r="B1312" s="2" t="s">
        <v>12454</v>
      </c>
    </row>
    <row r="1313" spans="1:2" x14ac:dyDescent="0.2">
      <c r="A1313" s="8" t="s">
        <v>1336</v>
      </c>
      <c r="B1313" s="2" t="s">
        <v>12454</v>
      </c>
    </row>
    <row r="1314" spans="1:2" x14ac:dyDescent="0.2">
      <c r="A1314" s="8" t="s">
        <v>1337</v>
      </c>
      <c r="B1314" s="2" t="s">
        <v>12454</v>
      </c>
    </row>
    <row r="1315" spans="1:2" x14ac:dyDescent="0.2">
      <c r="A1315" s="8" t="s">
        <v>1338</v>
      </c>
      <c r="B1315" s="2" t="s">
        <v>12454</v>
      </c>
    </row>
    <row r="1316" spans="1:2" x14ac:dyDescent="0.2">
      <c r="A1316" s="8" t="s">
        <v>1339</v>
      </c>
      <c r="B1316" s="2" t="s">
        <v>12454</v>
      </c>
    </row>
    <row r="1317" spans="1:2" x14ac:dyDescent="0.2">
      <c r="A1317" s="8" t="s">
        <v>1340</v>
      </c>
      <c r="B1317" s="2" t="s">
        <v>12454</v>
      </c>
    </row>
    <row r="1318" spans="1:2" x14ac:dyDescent="0.2">
      <c r="A1318" s="8" t="s">
        <v>1341</v>
      </c>
      <c r="B1318" s="2" t="s">
        <v>12454</v>
      </c>
    </row>
    <row r="1319" spans="1:2" x14ac:dyDescent="0.2">
      <c r="A1319" s="8" t="s">
        <v>1342</v>
      </c>
      <c r="B1319" s="2" t="s">
        <v>12454</v>
      </c>
    </row>
    <row r="1320" spans="1:2" x14ac:dyDescent="0.2">
      <c r="A1320" s="8" t="s">
        <v>1343</v>
      </c>
      <c r="B1320" s="2" t="s">
        <v>12454</v>
      </c>
    </row>
    <row r="1321" spans="1:2" x14ac:dyDescent="0.2">
      <c r="A1321" s="8" t="s">
        <v>1344</v>
      </c>
      <c r="B1321" s="2" t="s">
        <v>12454</v>
      </c>
    </row>
    <row r="1322" spans="1:2" x14ac:dyDescent="0.2">
      <c r="A1322" s="8" t="s">
        <v>1345</v>
      </c>
      <c r="B1322" s="2" t="s">
        <v>12454</v>
      </c>
    </row>
    <row r="1323" spans="1:2" x14ac:dyDescent="0.2">
      <c r="A1323" s="8" t="s">
        <v>1346</v>
      </c>
      <c r="B1323" s="2" t="s">
        <v>12454</v>
      </c>
    </row>
    <row r="1324" spans="1:2" x14ac:dyDescent="0.2">
      <c r="A1324" s="8" t="s">
        <v>1347</v>
      </c>
      <c r="B1324" s="2" t="s">
        <v>12454</v>
      </c>
    </row>
    <row r="1325" spans="1:2" x14ac:dyDescent="0.2">
      <c r="A1325" s="8" t="s">
        <v>1348</v>
      </c>
      <c r="B1325" s="2" t="s">
        <v>12454</v>
      </c>
    </row>
    <row r="1326" spans="1:2" x14ac:dyDescent="0.2">
      <c r="A1326" s="8" t="s">
        <v>1349</v>
      </c>
      <c r="B1326" s="2" t="s">
        <v>12454</v>
      </c>
    </row>
    <row r="1327" spans="1:2" x14ac:dyDescent="0.2">
      <c r="A1327" s="8" t="s">
        <v>1350</v>
      </c>
      <c r="B1327" s="2" t="s">
        <v>12454</v>
      </c>
    </row>
    <row r="1328" spans="1:2" x14ac:dyDescent="0.2">
      <c r="A1328" s="8" t="s">
        <v>1351</v>
      </c>
      <c r="B1328" s="2" t="s">
        <v>12454</v>
      </c>
    </row>
    <row r="1329" spans="1:2" x14ac:dyDescent="0.2">
      <c r="A1329" s="8" t="s">
        <v>1352</v>
      </c>
      <c r="B1329" s="2" t="s">
        <v>12454</v>
      </c>
    </row>
    <row r="1330" spans="1:2" x14ac:dyDescent="0.2">
      <c r="A1330" s="8" t="s">
        <v>1353</v>
      </c>
      <c r="B1330" s="2" t="s">
        <v>12454</v>
      </c>
    </row>
    <row r="1331" spans="1:2" x14ac:dyDescent="0.2">
      <c r="A1331" s="8" t="s">
        <v>1354</v>
      </c>
      <c r="B1331" s="2" t="s">
        <v>12454</v>
      </c>
    </row>
    <row r="1332" spans="1:2" x14ac:dyDescent="0.2">
      <c r="A1332" s="8" t="s">
        <v>1355</v>
      </c>
      <c r="B1332" s="2" t="s">
        <v>12454</v>
      </c>
    </row>
    <row r="1333" spans="1:2" x14ac:dyDescent="0.2">
      <c r="A1333" s="8" t="s">
        <v>1356</v>
      </c>
      <c r="B1333" s="2" t="s">
        <v>12454</v>
      </c>
    </row>
    <row r="1334" spans="1:2" x14ac:dyDescent="0.2">
      <c r="A1334" s="8" t="s">
        <v>1357</v>
      </c>
      <c r="B1334" s="2" t="s">
        <v>12454</v>
      </c>
    </row>
    <row r="1335" spans="1:2" x14ac:dyDescent="0.2">
      <c r="A1335" s="8" t="s">
        <v>1358</v>
      </c>
      <c r="B1335" s="2" t="s">
        <v>12454</v>
      </c>
    </row>
    <row r="1336" spans="1:2" x14ac:dyDescent="0.2">
      <c r="A1336" s="8" t="s">
        <v>1359</v>
      </c>
      <c r="B1336" s="2" t="s">
        <v>12454</v>
      </c>
    </row>
    <row r="1337" spans="1:2" x14ac:dyDescent="0.2">
      <c r="A1337" s="8" t="s">
        <v>1360</v>
      </c>
      <c r="B1337" s="2" t="s">
        <v>12454</v>
      </c>
    </row>
    <row r="1338" spans="1:2" x14ac:dyDescent="0.2">
      <c r="A1338" s="8" t="s">
        <v>1361</v>
      </c>
      <c r="B1338" s="2" t="s">
        <v>12454</v>
      </c>
    </row>
    <row r="1339" spans="1:2" x14ac:dyDescent="0.2">
      <c r="A1339" s="8" t="s">
        <v>1362</v>
      </c>
      <c r="B1339" s="2" t="s">
        <v>12454</v>
      </c>
    </row>
    <row r="1340" spans="1:2" x14ac:dyDescent="0.2">
      <c r="A1340" s="8" t="s">
        <v>1363</v>
      </c>
      <c r="B1340" s="2" t="s">
        <v>12454</v>
      </c>
    </row>
    <row r="1341" spans="1:2" x14ac:dyDescent="0.2">
      <c r="A1341" s="8" t="s">
        <v>1364</v>
      </c>
      <c r="B1341" s="2" t="s">
        <v>12454</v>
      </c>
    </row>
    <row r="1342" spans="1:2" x14ac:dyDescent="0.2">
      <c r="A1342" s="8" t="s">
        <v>1365</v>
      </c>
      <c r="B1342" s="2" t="s">
        <v>12454</v>
      </c>
    </row>
    <row r="1343" spans="1:2" x14ac:dyDescent="0.2">
      <c r="A1343" s="8" t="s">
        <v>1366</v>
      </c>
      <c r="B1343" s="2" t="s">
        <v>12454</v>
      </c>
    </row>
    <row r="1344" spans="1:2" x14ac:dyDescent="0.2">
      <c r="A1344" s="8" t="s">
        <v>1367</v>
      </c>
      <c r="B1344" s="2" t="s">
        <v>12454</v>
      </c>
    </row>
    <row r="1345" spans="1:2" x14ac:dyDescent="0.2">
      <c r="A1345" s="8" t="s">
        <v>1368</v>
      </c>
      <c r="B1345" s="2" t="s">
        <v>12454</v>
      </c>
    </row>
    <row r="1346" spans="1:2" x14ac:dyDescent="0.2">
      <c r="A1346" s="8" t="s">
        <v>1369</v>
      </c>
      <c r="B1346" s="2" t="s">
        <v>12454</v>
      </c>
    </row>
    <row r="1347" spans="1:2" x14ac:dyDescent="0.2">
      <c r="A1347" s="8" t="s">
        <v>1370</v>
      </c>
      <c r="B1347" s="2" t="s">
        <v>12454</v>
      </c>
    </row>
    <row r="1348" spans="1:2" x14ac:dyDescent="0.2">
      <c r="A1348" s="8" t="s">
        <v>1371</v>
      </c>
      <c r="B1348" s="2" t="s">
        <v>12454</v>
      </c>
    </row>
    <row r="1349" spans="1:2" x14ac:dyDescent="0.2">
      <c r="A1349" s="8" t="s">
        <v>1372</v>
      </c>
      <c r="B1349" s="2" t="s">
        <v>12454</v>
      </c>
    </row>
    <row r="1350" spans="1:2" x14ac:dyDescent="0.2">
      <c r="A1350" s="8" t="s">
        <v>1373</v>
      </c>
      <c r="B1350" s="2" t="s">
        <v>12454</v>
      </c>
    </row>
    <row r="1351" spans="1:2" x14ac:dyDescent="0.2">
      <c r="A1351" s="8" t="s">
        <v>1374</v>
      </c>
      <c r="B1351" s="2" t="s">
        <v>12454</v>
      </c>
    </row>
    <row r="1352" spans="1:2" x14ac:dyDescent="0.2">
      <c r="A1352" s="8" t="s">
        <v>1375</v>
      </c>
      <c r="B1352" s="2" t="s">
        <v>12454</v>
      </c>
    </row>
    <row r="1353" spans="1:2" x14ac:dyDescent="0.2">
      <c r="A1353" s="8" t="s">
        <v>1376</v>
      </c>
      <c r="B1353" s="2" t="s">
        <v>12454</v>
      </c>
    </row>
    <row r="1354" spans="1:2" x14ac:dyDescent="0.2">
      <c r="A1354" s="8" t="s">
        <v>1377</v>
      </c>
      <c r="B1354" s="2" t="s">
        <v>12454</v>
      </c>
    </row>
    <row r="1355" spans="1:2" x14ac:dyDescent="0.2">
      <c r="A1355" s="8" t="s">
        <v>1378</v>
      </c>
      <c r="B1355" s="2" t="s">
        <v>12454</v>
      </c>
    </row>
    <row r="1356" spans="1:2" x14ac:dyDescent="0.2">
      <c r="A1356" s="8" t="s">
        <v>1379</v>
      </c>
      <c r="B1356" s="2" t="s">
        <v>12454</v>
      </c>
    </row>
    <row r="1357" spans="1:2" x14ac:dyDescent="0.2">
      <c r="A1357" s="8" t="s">
        <v>1380</v>
      </c>
      <c r="B1357" s="2" t="s">
        <v>12454</v>
      </c>
    </row>
    <row r="1358" spans="1:2" x14ac:dyDescent="0.2">
      <c r="A1358" s="8" t="s">
        <v>1381</v>
      </c>
      <c r="B1358" s="2" t="s">
        <v>12454</v>
      </c>
    </row>
    <row r="1359" spans="1:2" x14ac:dyDescent="0.2">
      <c r="A1359" s="8" t="s">
        <v>1382</v>
      </c>
      <c r="B1359" s="2" t="s">
        <v>12454</v>
      </c>
    </row>
    <row r="1360" spans="1:2" x14ac:dyDescent="0.2">
      <c r="A1360" s="8" t="s">
        <v>1383</v>
      </c>
      <c r="B1360" s="2" t="s">
        <v>12454</v>
      </c>
    </row>
    <row r="1361" spans="1:2" x14ac:dyDescent="0.2">
      <c r="A1361" s="8" t="s">
        <v>1384</v>
      </c>
      <c r="B1361" s="2" t="s">
        <v>12454</v>
      </c>
    </row>
    <row r="1362" spans="1:2" x14ac:dyDescent="0.2">
      <c r="A1362" s="8" t="s">
        <v>1385</v>
      </c>
      <c r="B1362" s="2" t="s">
        <v>12454</v>
      </c>
    </row>
    <row r="1363" spans="1:2" x14ac:dyDescent="0.2">
      <c r="A1363" s="8" t="s">
        <v>1386</v>
      </c>
      <c r="B1363" s="2" t="s">
        <v>12454</v>
      </c>
    </row>
    <row r="1364" spans="1:2" x14ac:dyDescent="0.2">
      <c r="A1364" s="8" t="s">
        <v>1387</v>
      </c>
      <c r="B1364" s="2" t="s">
        <v>12454</v>
      </c>
    </row>
    <row r="1365" spans="1:2" x14ac:dyDescent="0.2">
      <c r="A1365" s="8" t="s">
        <v>1388</v>
      </c>
      <c r="B1365" s="2" t="s">
        <v>12454</v>
      </c>
    </row>
    <row r="1366" spans="1:2" x14ac:dyDescent="0.2">
      <c r="A1366" s="8" t="s">
        <v>1389</v>
      </c>
      <c r="B1366" s="2" t="s">
        <v>12454</v>
      </c>
    </row>
    <row r="1367" spans="1:2" x14ac:dyDescent="0.2">
      <c r="A1367" s="8" t="s">
        <v>1390</v>
      </c>
      <c r="B1367" s="2" t="s">
        <v>12454</v>
      </c>
    </row>
    <row r="1368" spans="1:2" x14ac:dyDescent="0.2">
      <c r="A1368" s="8" t="s">
        <v>1391</v>
      </c>
      <c r="B1368" s="2" t="s">
        <v>12454</v>
      </c>
    </row>
    <row r="1369" spans="1:2" x14ac:dyDescent="0.2">
      <c r="A1369" s="8" t="s">
        <v>1392</v>
      </c>
      <c r="B1369" s="2" t="s">
        <v>12454</v>
      </c>
    </row>
    <row r="1370" spans="1:2" x14ac:dyDescent="0.2">
      <c r="A1370" s="8" t="s">
        <v>1393</v>
      </c>
      <c r="B1370" s="2" t="s">
        <v>12454</v>
      </c>
    </row>
    <row r="1371" spans="1:2" x14ac:dyDescent="0.2">
      <c r="A1371" s="8" t="s">
        <v>1394</v>
      </c>
      <c r="B1371" s="2" t="s">
        <v>12454</v>
      </c>
    </row>
    <row r="1372" spans="1:2" x14ac:dyDescent="0.2">
      <c r="A1372" s="8" t="s">
        <v>1395</v>
      </c>
      <c r="B1372" s="2" t="s">
        <v>12454</v>
      </c>
    </row>
    <row r="1373" spans="1:2" x14ac:dyDescent="0.2">
      <c r="A1373" s="8" t="s">
        <v>1396</v>
      </c>
      <c r="B1373" s="2" t="s">
        <v>12454</v>
      </c>
    </row>
    <row r="1374" spans="1:2" x14ac:dyDescent="0.2">
      <c r="A1374" s="8" t="s">
        <v>1397</v>
      </c>
      <c r="B1374" s="2" t="s">
        <v>12454</v>
      </c>
    </row>
    <row r="1375" spans="1:2" x14ac:dyDescent="0.2">
      <c r="A1375" s="8" t="s">
        <v>1398</v>
      </c>
      <c r="B1375" s="2" t="s">
        <v>12454</v>
      </c>
    </row>
    <row r="1376" spans="1:2" x14ac:dyDescent="0.2">
      <c r="A1376" s="8" t="s">
        <v>1399</v>
      </c>
      <c r="B1376" s="2" t="s">
        <v>12454</v>
      </c>
    </row>
    <row r="1377" spans="1:2" x14ac:dyDescent="0.2">
      <c r="A1377" s="8" t="s">
        <v>1400</v>
      </c>
      <c r="B1377" s="2" t="s">
        <v>12454</v>
      </c>
    </row>
    <row r="1378" spans="1:2" x14ac:dyDescent="0.2">
      <c r="A1378" s="8" t="s">
        <v>1401</v>
      </c>
      <c r="B1378" s="2" t="s">
        <v>12454</v>
      </c>
    </row>
    <row r="1379" spans="1:2" x14ac:dyDescent="0.2">
      <c r="A1379" s="8" t="s">
        <v>1402</v>
      </c>
      <c r="B1379" s="2" t="s">
        <v>12454</v>
      </c>
    </row>
    <row r="1380" spans="1:2" x14ac:dyDescent="0.2">
      <c r="A1380" s="8" t="s">
        <v>1403</v>
      </c>
      <c r="B1380" s="2" t="s">
        <v>12454</v>
      </c>
    </row>
    <row r="1381" spans="1:2" x14ac:dyDescent="0.2">
      <c r="A1381" s="8" t="s">
        <v>1404</v>
      </c>
      <c r="B1381" s="2" t="s">
        <v>12454</v>
      </c>
    </row>
    <row r="1382" spans="1:2" x14ac:dyDescent="0.2">
      <c r="A1382" s="8" t="s">
        <v>1405</v>
      </c>
      <c r="B1382" s="2" t="s">
        <v>12454</v>
      </c>
    </row>
    <row r="1383" spans="1:2" x14ac:dyDescent="0.2">
      <c r="A1383" s="8" t="s">
        <v>1406</v>
      </c>
      <c r="B1383" s="2" t="s">
        <v>12454</v>
      </c>
    </row>
    <row r="1384" spans="1:2" x14ac:dyDescent="0.2">
      <c r="A1384" s="8" t="s">
        <v>1407</v>
      </c>
      <c r="B1384" s="2" t="s">
        <v>12454</v>
      </c>
    </row>
    <row r="1385" spans="1:2" x14ac:dyDescent="0.2">
      <c r="A1385" s="8" t="s">
        <v>1408</v>
      </c>
      <c r="B1385" s="2" t="s">
        <v>12454</v>
      </c>
    </row>
    <row r="1386" spans="1:2" x14ac:dyDescent="0.2">
      <c r="A1386" s="8" t="s">
        <v>1409</v>
      </c>
      <c r="B1386" s="2" t="s">
        <v>12454</v>
      </c>
    </row>
    <row r="1387" spans="1:2" x14ac:dyDescent="0.2">
      <c r="A1387" s="8" t="s">
        <v>1410</v>
      </c>
      <c r="B1387" s="2" t="s">
        <v>12454</v>
      </c>
    </row>
    <row r="1388" spans="1:2" x14ac:dyDescent="0.2">
      <c r="A1388" s="8" t="s">
        <v>1411</v>
      </c>
      <c r="B1388" s="2" t="s">
        <v>12454</v>
      </c>
    </row>
    <row r="1389" spans="1:2" x14ac:dyDescent="0.2">
      <c r="A1389" s="8" t="s">
        <v>1412</v>
      </c>
      <c r="B1389" s="2" t="s">
        <v>12454</v>
      </c>
    </row>
    <row r="1390" spans="1:2" x14ac:dyDescent="0.2">
      <c r="A1390" s="8" t="s">
        <v>1413</v>
      </c>
      <c r="B1390" s="2" t="s">
        <v>12454</v>
      </c>
    </row>
    <row r="1391" spans="1:2" x14ac:dyDescent="0.2">
      <c r="A1391" s="8" t="s">
        <v>1414</v>
      </c>
      <c r="B1391" s="2" t="s">
        <v>12454</v>
      </c>
    </row>
    <row r="1392" spans="1:2" x14ac:dyDescent="0.2">
      <c r="A1392" s="8" t="s">
        <v>1415</v>
      </c>
      <c r="B1392" s="2" t="s">
        <v>12454</v>
      </c>
    </row>
    <row r="1393" spans="1:2" x14ac:dyDescent="0.2">
      <c r="A1393" s="8" t="s">
        <v>1416</v>
      </c>
      <c r="B1393" s="2" t="s">
        <v>12454</v>
      </c>
    </row>
    <row r="1394" spans="1:2" x14ac:dyDescent="0.2">
      <c r="A1394" s="8" t="s">
        <v>1417</v>
      </c>
      <c r="B1394" s="2" t="s">
        <v>12454</v>
      </c>
    </row>
    <row r="1395" spans="1:2" x14ac:dyDescent="0.2">
      <c r="A1395" s="8" t="s">
        <v>1418</v>
      </c>
      <c r="B1395" s="2" t="s">
        <v>12454</v>
      </c>
    </row>
    <row r="1396" spans="1:2" x14ac:dyDescent="0.2">
      <c r="A1396" s="8" t="s">
        <v>1419</v>
      </c>
      <c r="B1396" s="2" t="s">
        <v>12454</v>
      </c>
    </row>
    <row r="1397" spans="1:2" x14ac:dyDescent="0.2">
      <c r="A1397" s="8" t="s">
        <v>1420</v>
      </c>
      <c r="B1397" s="2" t="s">
        <v>12454</v>
      </c>
    </row>
    <row r="1398" spans="1:2" x14ac:dyDescent="0.2">
      <c r="A1398" s="8" t="s">
        <v>1421</v>
      </c>
      <c r="B1398" s="2" t="s">
        <v>12454</v>
      </c>
    </row>
    <row r="1399" spans="1:2" x14ac:dyDescent="0.2">
      <c r="A1399" s="8" t="s">
        <v>1422</v>
      </c>
      <c r="B1399" s="2" t="s">
        <v>12454</v>
      </c>
    </row>
    <row r="1400" spans="1:2" x14ac:dyDescent="0.2">
      <c r="A1400" s="8" t="s">
        <v>1423</v>
      </c>
      <c r="B1400" s="2" t="s">
        <v>12454</v>
      </c>
    </row>
    <row r="1401" spans="1:2" x14ac:dyDescent="0.2">
      <c r="A1401" s="8" t="s">
        <v>1424</v>
      </c>
      <c r="B1401" s="2" t="s">
        <v>12454</v>
      </c>
    </row>
    <row r="1402" spans="1:2" x14ac:dyDescent="0.2">
      <c r="A1402" s="8" t="s">
        <v>1425</v>
      </c>
      <c r="B1402" s="2" t="s">
        <v>12454</v>
      </c>
    </row>
    <row r="1403" spans="1:2" x14ac:dyDescent="0.2">
      <c r="A1403" s="8" t="s">
        <v>1426</v>
      </c>
      <c r="B1403" s="2" t="s">
        <v>12454</v>
      </c>
    </row>
    <row r="1404" spans="1:2" x14ac:dyDescent="0.2">
      <c r="A1404" s="8" t="s">
        <v>1427</v>
      </c>
      <c r="B1404" s="2" t="s">
        <v>12454</v>
      </c>
    </row>
    <row r="1405" spans="1:2" x14ac:dyDescent="0.2">
      <c r="A1405" s="8" t="s">
        <v>1428</v>
      </c>
      <c r="B1405" s="2" t="s">
        <v>12454</v>
      </c>
    </row>
    <row r="1406" spans="1:2" x14ac:dyDescent="0.2">
      <c r="A1406" s="8" t="s">
        <v>1429</v>
      </c>
      <c r="B1406" s="2" t="s">
        <v>12454</v>
      </c>
    </row>
    <row r="1407" spans="1:2" x14ac:dyDescent="0.2">
      <c r="A1407" s="8" t="s">
        <v>1430</v>
      </c>
      <c r="B1407" s="2" t="s">
        <v>12454</v>
      </c>
    </row>
    <row r="1408" spans="1:2" x14ac:dyDescent="0.2">
      <c r="A1408" s="8" t="s">
        <v>1431</v>
      </c>
      <c r="B1408" s="2" t="s">
        <v>12454</v>
      </c>
    </row>
    <row r="1409" spans="1:2" x14ac:dyDescent="0.2">
      <c r="A1409" s="8" t="s">
        <v>1432</v>
      </c>
      <c r="B1409" s="2" t="s">
        <v>12454</v>
      </c>
    </row>
    <row r="1410" spans="1:2" x14ac:dyDescent="0.2">
      <c r="A1410" s="8" t="s">
        <v>1433</v>
      </c>
      <c r="B1410" s="2" t="s">
        <v>12454</v>
      </c>
    </row>
    <row r="1411" spans="1:2" x14ac:dyDescent="0.2">
      <c r="A1411" s="8" t="s">
        <v>1434</v>
      </c>
      <c r="B1411" s="2" t="s">
        <v>12454</v>
      </c>
    </row>
    <row r="1412" spans="1:2" x14ac:dyDescent="0.2">
      <c r="A1412" s="8" t="s">
        <v>1435</v>
      </c>
      <c r="B1412" s="2" t="s">
        <v>12454</v>
      </c>
    </row>
    <row r="1413" spans="1:2" x14ac:dyDescent="0.2">
      <c r="A1413" s="8" t="s">
        <v>1436</v>
      </c>
      <c r="B1413" s="2" t="s">
        <v>12454</v>
      </c>
    </row>
    <row r="1414" spans="1:2" x14ac:dyDescent="0.2">
      <c r="A1414" s="8" t="s">
        <v>1437</v>
      </c>
      <c r="B1414" s="2" t="s">
        <v>12454</v>
      </c>
    </row>
    <row r="1415" spans="1:2" x14ac:dyDescent="0.2">
      <c r="A1415" s="8" t="s">
        <v>1438</v>
      </c>
      <c r="B1415" s="2" t="s">
        <v>12454</v>
      </c>
    </row>
    <row r="1416" spans="1:2" x14ac:dyDescent="0.2">
      <c r="A1416" s="8" t="s">
        <v>1439</v>
      </c>
      <c r="B1416" s="2" t="s">
        <v>12454</v>
      </c>
    </row>
    <row r="1417" spans="1:2" x14ac:dyDescent="0.2">
      <c r="A1417" s="8" t="s">
        <v>1440</v>
      </c>
      <c r="B1417" s="2" t="s">
        <v>12454</v>
      </c>
    </row>
    <row r="1418" spans="1:2" x14ac:dyDescent="0.2">
      <c r="A1418" s="8" t="s">
        <v>1441</v>
      </c>
      <c r="B1418" s="2" t="s">
        <v>12454</v>
      </c>
    </row>
    <row r="1419" spans="1:2" x14ac:dyDescent="0.2">
      <c r="A1419" s="8" t="s">
        <v>1442</v>
      </c>
      <c r="B1419" s="2" t="s">
        <v>12454</v>
      </c>
    </row>
    <row r="1420" spans="1:2" x14ac:dyDescent="0.2">
      <c r="A1420" s="8" t="s">
        <v>1443</v>
      </c>
      <c r="B1420" s="2" t="s">
        <v>12454</v>
      </c>
    </row>
    <row r="1421" spans="1:2" x14ac:dyDescent="0.2">
      <c r="A1421" s="8" t="s">
        <v>1444</v>
      </c>
      <c r="B1421" s="2" t="s">
        <v>12454</v>
      </c>
    </row>
    <row r="1422" spans="1:2" x14ac:dyDescent="0.2">
      <c r="A1422" s="8" t="s">
        <v>1445</v>
      </c>
      <c r="B1422" s="2" t="s">
        <v>12454</v>
      </c>
    </row>
    <row r="1423" spans="1:2" x14ac:dyDescent="0.2">
      <c r="A1423" s="8" t="s">
        <v>1446</v>
      </c>
      <c r="B1423" s="2" t="s">
        <v>12454</v>
      </c>
    </row>
    <row r="1424" spans="1:2" x14ac:dyDescent="0.2">
      <c r="A1424" s="8" t="s">
        <v>1447</v>
      </c>
      <c r="B1424" s="2" t="s">
        <v>12454</v>
      </c>
    </row>
    <row r="1425" spans="1:2" x14ac:dyDescent="0.2">
      <c r="A1425" s="8" t="s">
        <v>1448</v>
      </c>
      <c r="B1425" s="2" t="s">
        <v>12454</v>
      </c>
    </row>
    <row r="1426" spans="1:2" x14ac:dyDescent="0.2">
      <c r="A1426" s="8" t="s">
        <v>1449</v>
      </c>
      <c r="B1426" s="2" t="s">
        <v>12454</v>
      </c>
    </row>
    <row r="1427" spans="1:2" x14ac:dyDescent="0.2">
      <c r="A1427" s="8" t="s">
        <v>1450</v>
      </c>
      <c r="B1427" s="2" t="s">
        <v>12454</v>
      </c>
    </row>
    <row r="1428" spans="1:2" x14ac:dyDescent="0.2">
      <c r="A1428" s="8" t="s">
        <v>1451</v>
      </c>
      <c r="B1428" s="2" t="s">
        <v>12454</v>
      </c>
    </row>
    <row r="1429" spans="1:2" x14ac:dyDescent="0.2">
      <c r="A1429" s="8" t="s">
        <v>1452</v>
      </c>
      <c r="B1429" s="2" t="s">
        <v>12454</v>
      </c>
    </row>
    <row r="1430" spans="1:2" x14ac:dyDescent="0.2">
      <c r="A1430" s="8" t="s">
        <v>1453</v>
      </c>
      <c r="B1430" s="2" t="s">
        <v>12454</v>
      </c>
    </row>
    <row r="1431" spans="1:2" x14ac:dyDescent="0.2">
      <c r="A1431" s="8" t="s">
        <v>1454</v>
      </c>
      <c r="B1431" s="2" t="s">
        <v>12454</v>
      </c>
    </row>
    <row r="1432" spans="1:2" x14ac:dyDescent="0.2">
      <c r="A1432" s="8" t="s">
        <v>1455</v>
      </c>
      <c r="B1432" s="2" t="s">
        <v>12454</v>
      </c>
    </row>
    <row r="1433" spans="1:2" x14ac:dyDescent="0.2">
      <c r="A1433" s="8" t="s">
        <v>1456</v>
      </c>
      <c r="B1433" s="2" t="s">
        <v>12454</v>
      </c>
    </row>
    <row r="1434" spans="1:2" x14ac:dyDescent="0.2">
      <c r="A1434" s="8" t="s">
        <v>1457</v>
      </c>
      <c r="B1434" s="2" t="s">
        <v>12454</v>
      </c>
    </row>
    <row r="1435" spans="1:2" x14ac:dyDescent="0.2">
      <c r="A1435" s="8" t="s">
        <v>1458</v>
      </c>
      <c r="B1435" s="2" t="s">
        <v>12454</v>
      </c>
    </row>
    <row r="1436" spans="1:2" x14ac:dyDescent="0.2">
      <c r="A1436" s="8" t="s">
        <v>1459</v>
      </c>
      <c r="B1436" s="2" t="s">
        <v>12454</v>
      </c>
    </row>
    <row r="1437" spans="1:2" x14ac:dyDescent="0.2">
      <c r="A1437" s="8" t="s">
        <v>1460</v>
      </c>
      <c r="B1437" s="2" t="s">
        <v>12454</v>
      </c>
    </row>
    <row r="1438" spans="1:2" x14ac:dyDescent="0.2">
      <c r="A1438" s="8" t="s">
        <v>1461</v>
      </c>
      <c r="B1438" s="2" t="s">
        <v>12454</v>
      </c>
    </row>
    <row r="1439" spans="1:2" x14ac:dyDescent="0.2">
      <c r="A1439" s="8" t="s">
        <v>1462</v>
      </c>
      <c r="B1439" s="2" t="s">
        <v>12454</v>
      </c>
    </row>
    <row r="1440" spans="1:2" x14ac:dyDescent="0.2">
      <c r="A1440" s="8" t="s">
        <v>1463</v>
      </c>
      <c r="B1440" s="2" t="s">
        <v>12454</v>
      </c>
    </row>
    <row r="1441" spans="1:2" x14ac:dyDescent="0.2">
      <c r="A1441" s="8" t="s">
        <v>1464</v>
      </c>
      <c r="B1441" s="2" t="s">
        <v>12454</v>
      </c>
    </row>
    <row r="1442" spans="1:2" x14ac:dyDescent="0.2">
      <c r="A1442" s="8" t="s">
        <v>1465</v>
      </c>
      <c r="B1442" s="2" t="s">
        <v>12454</v>
      </c>
    </row>
    <row r="1443" spans="1:2" x14ac:dyDescent="0.2">
      <c r="A1443" s="8" t="s">
        <v>1466</v>
      </c>
      <c r="B1443" s="2" t="s">
        <v>12454</v>
      </c>
    </row>
    <row r="1444" spans="1:2" x14ac:dyDescent="0.2">
      <c r="A1444" s="8" t="s">
        <v>1467</v>
      </c>
      <c r="B1444" s="2" t="s">
        <v>12454</v>
      </c>
    </row>
    <row r="1445" spans="1:2" x14ac:dyDescent="0.2">
      <c r="A1445" s="8" t="s">
        <v>1468</v>
      </c>
      <c r="B1445" s="2" t="s">
        <v>12454</v>
      </c>
    </row>
    <row r="1446" spans="1:2" x14ac:dyDescent="0.2">
      <c r="A1446" s="8" t="s">
        <v>1469</v>
      </c>
      <c r="B1446" s="2" t="s">
        <v>12454</v>
      </c>
    </row>
    <row r="1447" spans="1:2" x14ac:dyDescent="0.2">
      <c r="A1447" s="8" t="s">
        <v>1470</v>
      </c>
      <c r="B1447" s="2" t="s">
        <v>12454</v>
      </c>
    </row>
    <row r="1448" spans="1:2" x14ac:dyDescent="0.2">
      <c r="A1448" s="8" t="s">
        <v>1471</v>
      </c>
      <c r="B1448" s="2" t="s">
        <v>12454</v>
      </c>
    </row>
    <row r="1449" spans="1:2" x14ac:dyDescent="0.2">
      <c r="A1449" s="8" t="s">
        <v>1472</v>
      </c>
      <c r="B1449" s="2" t="s">
        <v>12454</v>
      </c>
    </row>
    <row r="1450" spans="1:2" x14ac:dyDescent="0.2">
      <c r="A1450" s="8" t="s">
        <v>1473</v>
      </c>
      <c r="B1450" s="2" t="s">
        <v>12454</v>
      </c>
    </row>
    <row r="1451" spans="1:2" x14ac:dyDescent="0.2">
      <c r="A1451" s="8" t="s">
        <v>1474</v>
      </c>
      <c r="B1451" s="2" t="s">
        <v>12454</v>
      </c>
    </row>
    <row r="1452" spans="1:2" x14ac:dyDescent="0.2">
      <c r="A1452" s="8" t="s">
        <v>1475</v>
      </c>
      <c r="B1452" s="2" t="s">
        <v>12454</v>
      </c>
    </row>
    <row r="1453" spans="1:2" x14ac:dyDescent="0.2">
      <c r="A1453" s="8" t="s">
        <v>1476</v>
      </c>
      <c r="B1453" s="2" t="s">
        <v>12454</v>
      </c>
    </row>
    <row r="1454" spans="1:2" x14ac:dyDescent="0.2">
      <c r="A1454" s="8" t="s">
        <v>1477</v>
      </c>
      <c r="B1454" s="2" t="s">
        <v>12454</v>
      </c>
    </row>
    <row r="1455" spans="1:2" x14ac:dyDescent="0.2">
      <c r="A1455" s="8" t="s">
        <v>1478</v>
      </c>
      <c r="B1455" s="2" t="s">
        <v>12454</v>
      </c>
    </row>
    <row r="1456" spans="1:2" x14ac:dyDescent="0.2">
      <c r="A1456" s="8" t="s">
        <v>1479</v>
      </c>
      <c r="B1456" s="2" t="s">
        <v>12454</v>
      </c>
    </row>
    <row r="1457" spans="1:2" x14ac:dyDescent="0.2">
      <c r="A1457" s="8" t="s">
        <v>1480</v>
      </c>
      <c r="B1457" s="2" t="s">
        <v>12454</v>
      </c>
    </row>
    <row r="1458" spans="1:2" x14ac:dyDescent="0.2">
      <c r="A1458" s="8" t="s">
        <v>1481</v>
      </c>
      <c r="B1458" s="2" t="s">
        <v>12454</v>
      </c>
    </row>
    <row r="1459" spans="1:2" x14ac:dyDescent="0.2">
      <c r="A1459" s="8" t="s">
        <v>1482</v>
      </c>
      <c r="B1459" s="2" t="s">
        <v>12454</v>
      </c>
    </row>
    <row r="1460" spans="1:2" x14ac:dyDescent="0.2">
      <c r="A1460" s="8" t="s">
        <v>1483</v>
      </c>
      <c r="B1460" s="2" t="s">
        <v>12454</v>
      </c>
    </row>
    <row r="1461" spans="1:2" x14ac:dyDescent="0.2">
      <c r="A1461" s="8" t="s">
        <v>1484</v>
      </c>
      <c r="B1461" s="2" t="s">
        <v>12454</v>
      </c>
    </row>
    <row r="1462" spans="1:2" x14ac:dyDescent="0.2">
      <c r="A1462" s="8" t="s">
        <v>1485</v>
      </c>
      <c r="B1462" s="2" t="s">
        <v>12454</v>
      </c>
    </row>
    <row r="1463" spans="1:2" x14ac:dyDescent="0.2">
      <c r="A1463" s="8" t="s">
        <v>1486</v>
      </c>
      <c r="B1463" s="2" t="s">
        <v>12454</v>
      </c>
    </row>
    <row r="1464" spans="1:2" x14ac:dyDescent="0.2">
      <c r="A1464" s="8" t="s">
        <v>1487</v>
      </c>
      <c r="B1464" s="2" t="s">
        <v>12454</v>
      </c>
    </row>
    <row r="1465" spans="1:2" x14ac:dyDescent="0.2">
      <c r="A1465" s="8" t="s">
        <v>1488</v>
      </c>
      <c r="B1465" s="2" t="s">
        <v>12454</v>
      </c>
    </row>
    <row r="1466" spans="1:2" x14ac:dyDescent="0.2">
      <c r="A1466" s="8" t="s">
        <v>1489</v>
      </c>
      <c r="B1466" s="2" t="s">
        <v>12454</v>
      </c>
    </row>
    <row r="1467" spans="1:2" x14ac:dyDescent="0.2">
      <c r="A1467" s="8" t="s">
        <v>1490</v>
      </c>
      <c r="B1467" s="2" t="s">
        <v>12454</v>
      </c>
    </row>
    <row r="1468" spans="1:2" x14ac:dyDescent="0.2">
      <c r="A1468" s="8" t="s">
        <v>1491</v>
      </c>
      <c r="B1468" s="2" t="s">
        <v>12454</v>
      </c>
    </row>
    <row r="1469" spans="1:2" x14ac:dyDescent="0.2">
      <c r="A1469" s="8" t="s">
        <v>1492</v>
      </c>
      <c r="B1469" s="2" t="s">
        <v>12454</v>
      </c>
    </row>
    <row r="1470" spans="1:2" x14ac:dyDescent="0.2">
      <c r="A1470" s="8" t="s">
        <v>1493</v>
      </c>
      <c r="B1470" s="2" t="s">
        <v>12454</v>
      </c>
    </row>
    <row r="1471" spans="1:2" x14ac:dyDescent="0.2">
      <c r="A1471" s="8" t="s">
        <v>1494</v>
      </c>
      <c r="B1471" s="2" t="s">
        <v>12454</v>
      </c>
    </row>
    <row r="1472" spans="1:2" x14ac:dyDescent="0.2">
      <c r="A1472" s="8" t="s">
        <v>1495</v>
      </c>
      <c r="B1472" s="2" t="s">
        <v>12454</v>
      </c>
    </row>
    <row r="1473" spans="1:2" x14ac:dyDescent="0.2">
      <c r="A1473" s="8" t="s">
        <v>1496</v>
      </c>
      <c r="B1473" s="2" t="s">
        <v>12454</v>
      </c>
    </row>
    <row r="1474" spans="1:2" x14ac:dyDescent="0.2">
      <c r="A1474" s="8" t="s">
        <v>1497</v>
      </c>
      <c r="B1474" s="2" t="s">
        <v>12454</v>
      </c>
    </row>
    <row r="1475" spans="1:2" x14ac:dyDescent="0.2">
      <c r="A1475" s="8" t="s">
        <v>1498</v>
      </c>
      <c r="B1475" s="2" t="s">
        <v>12454</v>
      </c>
    </row>
    <row r="1476" spans="1:2" x14ac:dyDescent="0.2">
      <c r="A1476" s="8" t="s">
        <v>1499</v>
      </c>
      <c r="B1476" s="2" t="s">
        <v>12454</v>
      </c>
    </row>
    <row r="1477" spans="1:2" x14ac:dyDescent="0.2">
      <c r="A1477" s="8" t="s">
        <v>1500</v>
      </c>
      <c r="B1477" s="2" t="s">
        <v>12454</v>
      </c>
    </row>
    <row r="1478" spans="1:2" x14ac:dyDescent="0.2">
      <c r="A1478" s="8" t="s">
        <v>1501</v>
      </c>
      <c r="B1478" s="2" t="s">
        <v>12454</v>
      </c>
    </row>
    <row r="1479" spans="1:2" x14ac:dyDescent="0.2">
      <c r="A1479" s="8" t="s">
        <v>1502</v>
      </c>
      <c r="B1479" s="2" t="s">
        <v>12454</v>
      </c>
    </row>
    <row r="1480" spans="1:2" x14ac:dyDescent="0.2">
      <c r="A1480" s="8" t="s">
        <v>1503</v>
      </c>
      <c r="B1480" s="2" t="s">
        <v>12454</v>
      </c>
    </row>
    <row r="1481" spans="1:2" x14ac:dyDescent="0.2">
      <c r="A1481" s="8" t="s">
        <v>1504</v>
      </c>
      <c r="B1481" s="2" t="s">
        <v>12454</v>
      </c>
    </row>
    <row r="1482" spans="1:2" x14ac:dyDescent="0.2">
      <c r="A1482" s="8" t="s">
        <v>1505</v>
      </c>
      <c r="B1482" s="2" t="s">
        <v>12454</v>
      </c>
    </row>
    <row r="1483" spans="1:2" x14ac:dyDescent="0.2">
      <c r="A1483" s="8" t="s">
        <v>1506</v>
      </c>
      <c r="B1483" s="2" t="s">
        <v>12454</v>
      </c>
    </row>
    <row r="1484" spans="1:2" x14ac:dyDescent="0.2">
      <c r="A1484" s="8" t="s">
        <v>1507</v>
      </c>
      <c r="B1484" s="2" t="s">
        <v>12454</v>
      </c>
    </row>
    <row r="1485" spans="1:2" x14ac:dyDescent="0.2">
      <c r="A1485" s="8" t="s">
        <v>1508</v>
      </c>
      <c r="B1485" s="2" t="s">
        <v>12454</v>
      </c>
    </row>
    <row r="1486" spans="1:2" x14ac:dyDescent="0.2">
      <c r="A1486" s="8" t="s">
        <v>1509</v>
      </c>
      <c r="B1486" s="2" t="s">
        <v>12454</v>
      </c>
    </row>
    <row r="1487" spans="1:2" x14ac:dyDescent="0.2">
      <c r="A1487" s="8" t="s">
        <v>1510</v>
      </c>
      <c r="B1487" s="2" t="s">
        <v>12454</v>
      </c>
    </row>
    <row r="1488" spans="1:2" x14ac:dyDescent="0.2">
      <c r="A1488" s="8" t="s">
        <v>1511</v>
      </c>
      <c r="B1488" s="2" t="s">
        <v>12454</v>
      </c>
    </row>
    <row r="1489" spans="1:2" x14ac:dyDescent="0.2">
      <c r="A1489" s="8" t="s">
        <v>1512</v>
      </c>
      <c r="B1489" s="2" t="s">
        <v>12454</v>
      </c>
    </row>
    <row r="1490" spans="1:2" x14ac:dyDescent="0.2">
      <c r="A1490" s="8" t="s">
        <v>1513</v>
      </c>
      <c r="B1490" s="2" t="s">
        <v>12454</v>
      </c>
    </row>
    <row r="1491" spans="1:2" x14ac:dyDescent="0.2">
      <c r="A1491" s="8" t="s">
        <v>1514</v>
      </c>
      <c r="B1491" s="2" t="s">
        <v>12454</v>
      </c>
    </row>
    <row r="1492" spans="1:2" x14ac:dyDescent="0.2">
      <c r="A1492" s="8" t="s">
        <v>1515</v>
      </c>
      <c r="B1492" s="2" t="s">
        <v>12454</v>
      </c>
    </row>
    <row r="1493" spans="1:2" x14ac:dyDescent="0.2">
      <c r="A1493" s="8" t="s">
        <v>1516</v>
      </c>
      <c r="B1493" s="2" t="s">
        <v>12454</v>
      </c>
    </row>
    <row r="1494" spans="1:2" x14ac:dyDescent="0.2">
      <c r="A1494" s="8" t="s">
        <v>1517</v>
      </c>
      <c r="B1494" s="2" t="s">
        <v>12454</v>
      </c>
    </row>
    <row r="1495" spans="1:2" x14ac:dyDescent="0.2">
      <c r="A1495" s="8" t="s">
        <v>1518</v>
      </c>
      <c r="B1495" s="2" t="s">
        <v>12454</v>
      </c>
    </row>
    <row r="1496" spans="1:2" x14ac:dyDescent="0.2">
      <c r="A1496" s="8" t="s">
        <v>1519</v>
      </c>
      <c r="B1496" s="2" t="s">
        <v>12454</v>
      </c>
    </row>
    <row r="1497" spans="1:2" x14ac:dyDescent="0.2">
      <c r="A1497" s="8" t="s">
        <v>1520</v>
      </c>
      <c r="B1497" s="2" t="s">
        <v>12454</v>
      </c>
    </row>
    <row r="1498" spans="1:2" x14ac:dyDescent="0.2">
      <c r="A1498" s="8" t="s">
        <v>1521</v>
      </c>
      <c r="B1498" s="2" t="s">
        <v>12454</v>
      </c>
    </row>
    <row r="1499" spans="1:2" x14ac:dyDescent="0.2">
      <c r="A1499" s="8" t="s">
        <v>1522</v>
      </c>
      <c r="B1499" s="2" t="s">
        <v>12454</v>
      </c>
    </row>
    <row r="1500" spans="1:2" x14ac:dyDescent="0.2">
      <c r="A1500" s="8" t="s">
        <v>1523</v>
      </c>
      <c r="B1500" s="2" t="s">
        <v>12454</v>
      </c>
    </row>
    <row r="1501" spans="1:2" x14ac:dyDescent="0.2">
      <c r="A1501" s="8" t="s">
        <v>1524</v>
      </c>
      <c r="B1501" s="2" t="s">
        <v>12454</v>
      </c>
    </row>
    <row r="1502" spans="1:2" x14ac:dyDescent="0.2">
      <c r="A1502" s="8" t="s">
        <v>1525</v>
      </c>
      <c r="B1502" s="2" t="s">
        <v>12454</v>
      </c>
    </row>
    <row r="1503" spans="1:2" x14ac:dyDescent="0.2">
      <c r="A1503" s="8" t="s">
        <v>1526</v>
      </c>
      <c r="B1503" s="2" t="s">
        <v>12454</v>
      </c>
    </row>
    <row r="1504" spans="1:2" x14ac:dyDescent="0.2">
      <c r="A1504" s="8" t="s">
        <v>1527</v>
      </c>
      <c r="B1504" s="2" t="s">
        <v>12454</v>
      </c>
    </row>
    <row r="1505" spans="1:2" x14ac:dyDescent="0.2">
      <c r="A1505" s="8" t="s">
        <v>1528</v>
      </c>
      <c r="B1505" s="2" t="s">
        <v>12454</v>
      </c>
    </row>
    <row r="1506" spans="1:2" x14ac:dyDescent="0.2">
      <c r="A1506" s="8" t="s">
        <v>1529</v>
      </c>
      <c r="B1506" s="2" t="s">
        <v>12454</v>
      </c>
    </row>
    <row r="1507" spans="1:2" x14ac:dyDescent="0.2">
      <c r="A1507" s="8" t="s">
        <v>1530</v>
      </c>
      <c r="B1507" s="2" t="s">
        <v>12454</v>
      </c>
    </row>
    <row r="1508" spans="1:2" x14ac:dyDescent="0.2">
      <c r="A1508" s="8" t="s">
        <v>1531</v>
      </c>
      <c r="B1508" s="2" t="s">
        <v>12454</v>
      </c>
    </row>
    <row r="1509" spans="1:2" x14ac:dyDescent="0.2">
      <c r="A1509" s="8" t="s">
        <v>1532</v>
      </c>
      <c r="B1509" s="2" t="s">
        <v>12454</v>
      </c>
    </row>
    <row r="1510" spans="1:2" x14ac:dyDescent="0.2">
      <c r="A1510" s="8" t="s">
        <v>1533</v>
      </c>
      <c r="B1510" s="2" t="s">
        <v>12454</v>
      </c>
    </row>
    <row r="1511" spans="1:2" x14ac:dyDescent="0.2">
      <c r="A1511" s="8" t="s">
        <v>1534</v>
      </c>
      <c r="B1511" s="2" t="s">
        <v>12454</v>
      </c>
    </row>
    <row r="1512" spans="1:2" x14ac:dyDescent="0.2">
      <c r="A1512" s="8" t="s">
        <v>1535</v>
      </c>
      <c r="B1512" s="2" t="s">
        <v>12454</v>
      </c>
    </row>
    <row r="1513" spans="1:2" x14ac:dyDescent="0.2">
      <c r="A1513" s="8" t="s">
        <v>1536</v>
      </c>
      <c r="B1513" s="2" t="s">
        <v>12454</v>
      </c>
    </row>
    <row r="1514" spans="1:2" x14ac:dyDescent="0.2">
      <c r="A1514" s="8" t="s">
        <v>1537</v>
      </c>
      <c r="B1514" s="2" t="s">
        <v>12454</v>
      </c>
    </row>
    <row r="1515" spans="1:2" x14ac:dyDescent="0.2">
      <c r="A1515" s="8" t="s">
        <v>1538</v>
      </c>
      <c r="B1515" s="2" t="s">
        <v>12454</v>
      </c>
    </row>
    <row r="1516" spans="1:2" x14ac:dyDescent="0.2">
      <c r="A1516" s="8" t="s">
        <v>1539</v>
      </c>
      <c r="B1516" s="2" t="s">
        <v>12454</v>
      </c>
    </row>
    <row r="1517" spans="1:2" x14ac:dyDescent="0.2">
      <c r="A1517" s="8" t="s">
        <v>1540</v>
      </c>
      <c r="B1517" s="2" t="s">
        <v>12454</v>
      </c>
    </row>
    <row r="1518" spans="1:2" x14ac:dyDescent="0.2">
      <c r="A1518" s="8" t="s">
        <v>1541</v>
      </c>
      <c r="B1518" s="2" t="s">
        <v>12454</v>
      </c>
    </row>
    <row r="1519" spans="1:2" x14ac:dyDescent="0.2">
      <c r="A1519" s="8" t="s">
        <v>1542</v>
      </c>
      <c r="B1519" s="2" t="s">
        <v>12454</v>
      </c>
    </row>
    <row r="1520" spans="1:2" x14ac:dyDescent="0.2">
      <c r="A1520" s="8" t="s">
        <v>1543</v>
      </c>
      <c r="B1520" s="2" t="s">
        <v>12454</v>
      </c>
    </row>
    <row r="1521" spans="1:2" x14ac:dyDescent="0.2">
      <c r="A1521" s="8" t="s">
        <v>1544</v>
      </c>
      <c r="B1521" s="2" t="s">
        <v>12454</v>
      </c>
    </row>
    <row r="1522" spans="1:2" x14ac:dyDescent="0.2">
      <c r="A1522" s="8" t="s">
        <v>1545</v>
      </c>
      <c r="B1522" s="2" t="s">
        <v>12455</v>
      </c>
    </row>
    <row r="1523" spans="1:2" x14ac:dyDescent="0.2">
      <c r="A1523" s="8" t="s">
        <v>1546</v>
      </c>
      <c r="B1523" s="2" t="s">
        <v>12455</v>
      </c>
    </row>
    <row r="1524" spans="1:2" x14ac:dyDescent="0.2">
      <c r="A1524" s="8" t="s">
        <v>1547</v>
      </c>
      <c r="B1524" s="2" t="s">
        <v>12455</v>
      </c>
    </row>
    <row r="1525" spans="1:2" x14ac:dyDescent="0.2">
      <c r="A1525" s="8" t="s">
        <v>1548</v>
      </c>
      <c r="B1525" s="2" t="s">
        <v>12455</v>
      </c>
    </row>
    <row r="1526" spans="1:2" x14ac:dyDescent="0.2">
      <c r="A1526" s="8" t="s">
        <v>1549</v>
      </c>
      <c r="B1526" s="2" t="s">
        <v>12455</v>
      </c>
    </row>
    <row r="1527" spans="1:2" x14ac:dyDescent="0.2">
      <c r="A1527" s="8" t="s">
        <v>1550</v>
      </c>
      <c r="B1527" s="2" t="s">
        <v>12455</v>
      </c>
    </row>
    <row r="1528" spans="1:2" x14ac:dyDescent="0.2">
      <c r="A1528" s="8" t="s">
        <v>1551</v>
      </c>
      <c r="B1528" s="2" t="s">
        <v>12455</v>
      </c>
    </row>
    <row r="1529" spans="1:2" x14ac:dyDescent="0.2">
      <c r="A1529" s="8" t="s">
        <v>1552</v>
      </c>
      <c r="B1529" s="2" t="s">
        <v>12455</v>
      </c>
    </row>
    <row r="1530" spans="1:2" x14ac:dyDescent="0.2">
      <c r="A1530" s="8" t="s">
        <v>1553</v>
      </c>
      <c r="B1530" s="2" t="s">
        <v>12455</v>
      </c>
    </row>
    <row r="1531" spans="1:2" x14ac:dyDescent="0.2">
      <c r="A1531" s="8" t="s">
        <v>1554</v>
      </c>
      <c r="B1531" s="2" t="s">
        <v>12455</v>
      </c>
    </row>
    <row r="1532" spans="1:2" x14ac:dyDescent="0.2">
      <c r="A1532" s="8" t="s">
        <v>1555</v>
      </c>
      <c r="B1532" s="2" t="s">
        <v>12455</v>
      </c>
    </row>
    <row r="1533" spans="1:2" x14ac:dyDescent="0.2">
      <c r="A1533" s="8" t="s">
        <v>1556</v>
      </c>
      <c r="B1533" s="2" t="s">
        <v>12455</v>
      </c>
    </row>
    <row r="1534" spans="1:2" x14ac:dyDescent="0.2">
      <c r="A1534" s="8" t="s">
        <v>1557</v>
      </c>
      <c r="B1534" s="2" t="s">
        <v>12455</v>
      </c>
    </row>
    <row r="1535" spans="1:2" x14ac:dyDescent="0.2">
      <c r="A1535" s="8" t="s">
        <v>1558</v>
      </c>
      <c r="B1535" s="2" t="s">
        <v>12455</v>
      </c>
    </row>
    <row r="1536" spans="1:2" x14ac:dyDescent="0.2">
      <c r="A1536" s="8" t="s">
        <v>1559</v>
      </c>
      <c r="B1536" s="2" t="s">
        <v>12455</v>
      </c>
    </row>
    <row r="1537" spans="1:2" x14ac:dyDescent="0.2">
      <c r="A1537" s="8" t="s">
        <v>1560</v>
      </c>
      <c r="B1537" s="2" t="s">
        <v>12455</v>
      </c>
    </row>
    <row r="1538" spans="1:2" x14ac:dyDescent="0.2">
      <c r="A1538" s="8" t="s">
        <v>1561</v>
      </c>
      <c r="B1538" s="2" t="s">
        <v>12455</v>
      </c>
    </row>
    <row r="1539" spans="1:2" x14ac:dyDescent="0.2">
      <c r="A1539" s="8" t="s">
        <v>1562</v>
      </c>
      <c r="B1539" s="2" t="s">
        <v>12455</v>
      </c>
    </row>
    <row r="1540" spans="1:2" x14ac:dyDescent="0.2">
      <c r="A1540" s="8" t="s">
        <v>1563</v>
      </c>
      <c r="B1540" s="2" t="s">
        <v>12455</v>
      </c>
    </row>
    <row r="1541" spans="1:2" x14ac:dyDescent="0.2">
      <c r="A1541" s="8" t="s">
        <v>1564</v>
      </c>
      <c r="B1541" s="2" t="s">
        <v>12455</v>
      </c>
    </row>
    <row r="1542" spans="1:2" x14ac:dyDescent="0.2">
      <c r="A1542" s="8" t="s">
        <v>1565</v>
      </c>
      <c r="B1542" s="2" t="s">
        <v>12455</v>
      </c>
    </row>
    <row r="1543" spans="1:2" x14ac:dyDescent="0.2">
      <c r="A1543" s="8" t="s">
        <v>1566</v>
      </c>
      <c r="B1543" s="2" t="s">
        <v>12455</v>
      </c>
    </row>
    <row r="1544" spans="1:2" x14ac:dyDescent="0.2">
      <c r="A1544" s="8" t="s">
        <v>1567</v>
      </c>
      <c r="B1544" s="2" t="s">
        <v>12455</v>
      </c>
    </row>
    <row r="1545" spans="1:2" x14ac:dyDescent="0.2">
      <c r="A1545" s="8" t="s">
        <v>1568</v>
      </c>
      <c r="B1545" s="2" t="s">
        <v>12455</v>
      </c>
    </row>
    <row r="1546" spans="1:2" x14ac:dyDescent="0.2">
      <c r="A1546" s="8" t="s">
        <v>1569</v>
      </c>
      <c r="B1546" s="2" t="s">
        <v>12455</v>
      </c>
    </row>
    <row r="1547" spans="1:2" x14ac:dyDescent="0.2">
      <c r="A1547" s="8" t="s">
        <v>1570</v>
      </c>
      <c r="B1547" s="2" t="s">
        <v>12455</v>
      </c>
    </row>
    <row r="1548" spans="1:2" x14ac:dyDescent="0.2">
      <c r="A1548" s="8" t="s">
        <v>1571</v>
      </c>
      <c r="B1548" s="2" t="s">
        <v>12455</v>
      </c>
    </row>
    <row r="1549" spans="1:2" x14ac:dyDescent="0.2">
      <c r="A1549" s="8" t="s">
        <v>1572</v>
      </c>
      <c r="B1549" s="2" t="s">
        <v>12455</v>
      </c>
    </row>
    <row r="1550" spans="1:2" x14ac:dyDescent="0.2">
      <c r="A1550" s="8" t="s">
        <v>1573</v>
      </c>
      <c r="B1550" s="2" t="s">
        <v>12455</v>
      </c>
    </row>
    <row r="1551" spans="1:2" x14ac:dyDescent="0.2">
      <c r="A1551" s="8" t="s">
        <v>1574</v>
      </c>
      <c r="B1551" s="2" t="s">
        <v>12455</v>
      </c>
    </row>
    <row r="1552" spans="1:2" x14ac:dyDescent="0.2">
      <c r="A1552" s="8" t="s">
        <v>1575</v>
      </c>
      <c r="B1552" s="2" t="s">
        <v>12455</v>
      </c>
    </row>
    <row r="1553" spans="1:2" x14ac:dyDescent="0.2">
      <c r="A1553" s="8" t="s">
        <v>1576</v>
      </c>
      <c r="B1553" s="2" t="s">
        <v>12455</v>
      </c>
    </row>
    <row r="1554" spans="1:2" x14ac:dyDescent="0.2">
      <c r="A1554" s="8" t="s">
        <v>1577</v>
      </c>
      <c r="B1554" s="2" t="s">
        <v>12455</v>
      </c>
    </row>
    <row r="1555" spans="1:2" x14ac:dyDescent="0.2">
      <c r="A1555" s="8" t="s">
        <v>1578</v>
      </c>
      <c r="B1555" s="2" t="s">
        <v>12455</v>
      </c>
    </row>
    <row r="1556" spans="1:2" x14ac:dyDescent="0.2">
      <c r="A1556" s="8" t="s">
        <v>1579</v>
      </c>
      <c r="B1556" s="2" t="s">
        <v>12455</v>
      </c>
    </row>
    <row r="1557" spans="1:2" x14ac:dyDescent="0.2">
      <c r="A1557" s="8" t="s">
        <v>1580</v>
      </c>
      <c r="B1557" s="2" t="s">
        <v>12455</v>
      </c>
    </row>
    <row r="1558" spans="1:2" x14ac:dyDescent="0.2">
      <c r="A1558" s="8" t="s">
        <v>1581</v>
      </c>
      <c r="B1558" s="2" t="s">
        <v>12455</v>
      </c>
    </row>
    <row r="1559" spans="1:2" x14ac:dyDescent="0.2">
      <c r="A1559" s="8" t="s">
        <v>1582</v>
      </c>
      <c r="B1559" s="2" t="s">
        <v>12455</v>
      </c>
    </row>
    <row r="1560" spans="1:2" x14ac:dyDescent="0.2">
      <c r="A1560" s="8" t="s">
        <v>1583</v>
      </c>
      <c r="B1560" s="2" t="s">
        <v>12455</v>
      </c>
    </row>
    <row r="1561" spans="1:2" x14ac:dyDescent="0.2">
      <c r="A1561" s="8" t="s">
        <v>1584</v>
      </c>
      <c r="B1561" s="2" t="s">
        <v>12455</v>
      </c>
    </row>
    <row r="1562" spans="1:2" x14ac:dyDescent="0.2">
      <c r="A1562" s="8" t="s">
        <v>1585</v>
      </c>
      <c r="B1562" s="2" t="s">
        <v>12455</v>
      </c>
    </row>
    <row r="1563" spans="1:2" x14ac:dyDescent="0.2">
      <c r="A1563" s="8" t="s">
        <v>1586</v>
      </c>
      <c r="B1563" s="2" t="s">
        <v>12455</v>
      </c>
    </row>
    <row r="1564" spans="1:2" x14ac:dyDescent="0.2">
      <c r="A1564" s="8" t="s">
        <v>1587</v>
      </c>
      <c r="B1564" s="2" t="s">
        <v>12455</v>
      </c>
    </row>
    <row r="1565" spans="1:2" x14ac:dyDescent="0.2">
      <c r="A1565" s="8" t="s">
        <v>1588</v>
      </c>
      <c r="B1565" s="2" t="s">
        <v>12455</v>
      </c>
    </row>
    <row r="1566" spans="1:2" x14ac:dyDescent="0.2">
      <c r="A1566" s="8" t="s">
        <v>1589</v>
      </c>
      <c r="B1566" s="2" t="s">
        <v>12455</v>
      </c>
    </row>
    <row r="1567" spans="1:2" x14ac:dyDescent="0.2">
      <c r="A1567" s="8" t="s">
        <v>1590</v>
      </c>
      <c r="B1567" s="2" t="s">
        <v>12455</v>
      </c>
    </row>
    <row r="1568" spans="1:2" x14ac:dyDescent="0.2">
      <c r="A1568" s="8" t="s">
        <v>1591</v>
      </c>
      <c r="B1568" s="2" t="s">
        <v>12455</v>
      </c>
    </row>
    <row r="1569" spans="1:2" x14ac:dyDescent="0.2">
      <c r="A1569" s="8" t="s">
        <v>1592</v>
      </c>
      <c r="B1569" s="2" t="s">
        <v>12455</v>
      </c>
    </row>
    <row r="1570" spans="1:2" x14ac:dyDescent="0.2">
      <c r="A1570" s="8" t="s">
        <v>1593</v>
      </c>
      <c r="B1570" s="2" t="s">
        <v>12455</v>
      </c>
    </row>
    <row r="1571" spans="1:2" x14ac:dyDescent="0.2">
      <c r="A1571" s="8" t="s">
        <v>1594</v>
      </c>
      <c r="B1571" s="2" t="s">
        <v>12455</v>
      </c>
    </row>
    <row r="1572" spans="1:2" x14ac:dyDescent="0.2">
      <c r="A1572" s="8" t="s">
        <v>1595</v>
      </c>
      <c r="B1572" s="2" t="s">
        <v>12455</v>
      </c>
    </row>
    <row r="1573" spans="1:2" x14ac:dyDescent="0.2">
      <c r="A1573" s="8" t="s">
        <v>1596</v>
      </c>
      <c r="B1573" s="2" t="s">
        <v>12455</v>
      </c>
    </row>
    <row r="1574" spans="1:2" x14ac:dyDescent="0.2">
      <c r="A1574" s="8" t="s">
        <v>1597</v>
      </c>
      <c r="B1574" s="2" t="s">
        <v>12455</v>
      </c>
    </row>
    <row r="1575" spans="1:2" x14ac:dyDescent="0.2">
      <c r="A1575" s="8" t="s">
        <v>1598</v>
      </c>
      <c r="B1575" s="2" t="s">
        <v>12455</v>
      </c>
    </row>
    <row r="1576" spans="1:2" x14ac:dyDescent="0.2">
      <c r="A1576" s="8" t="s">
        <v>1599</v>
      </c>
      <c r="B1576" s="2" t="s">
        <v>12455</v>
      </c>
    </row>
    <row r="1577" spans="1:2" x14ac:dyDescent="0.2">
      <c r="A1577" s="8" t="s">
        <v>1600</v>
      </c>
      <c r="B1577" s="2" t="s">
        <v>12455</v>
      </c>
    </row>
    <row r="1578" spans="1:2" x14ac:dyDescent="0.2">
      <c r="A1578" s="8" t="s">
        <v>1601</v>
      </c>
      <c r="B1578" s="2" t="s">
        <v>12455</v>
      </c>
    </row>
    <row r="1579" spans="1:2" x14ac:dyDescent="0.2">
      <c r="A1579" s="8" t="s">
        <v>1602</v>
      </c>
      <c r="B1579" s="2" t="s">
        <v>12455</v>
      </c>
    </row>
    <row r="1580" spans="1:2" x14ac:dyDescent="0.2">
      <c r="A1580" s="8" t="s">
        <v>1603</v>
      </c>
      <c r="B1580" s="2" t="s">
        <v>12455</v>
      </c>
    </row>
    <row r="1581" spans="1:2" x14ac:dyDescent="0.2">
      <c r="A1581" s="8" t="s">
        <v>1604</v>
      </c>
      <c r="B1581" s="2" t="s">
        <v>12455</v>
      </c>
    </row>
    <row r="1582" spans="1:2" x14ac:dyDescent="0.2">
      <c r="A1582" s="8" t="s">
        <v>1605</v>
      </c>
      <c r="B1582" s="2" t="s">
        <v>12455</v>
      </c>
    </row>
    <row r="1583" spans="1:2" x14ac:dyDescent="0.2">
      <c r="A1583" s="8" t="s">
        <v>1606</v>
      </c>
      <c r="B1583" s="2" t="s">
        <v>12455</v>
      </c>
    </row>
    <row r="1584" spans="1:2" x14ac:dyDescent="0.2">
      <c r="A1584" s="8" t="s">
        <v>1607</v>
      </c>
      <c r="B1584" s="2" t="s">
        <v>12455</v>
      </c>
    </row>
    <row r="1585" spans="1:2" x14ac:dyDescent="0.2">
      <c r="A1585" s="8" t="s">
        <v>1608</v>
      </c>
      <c r="B1585" s="2" t="s">
        <v>12455</v>
      </c>
    </row>
    <row r="1586" spans="1:2" x14ac:dyDescent="0.2">
      <c r="A1586" s="8" t="s">
        <v>1609</v>
      </c>
      <c r="B1586" s="2" t="s">
        <v>12455</v>
      </c>
    </row>
    <row r="1587" spans="1:2" x14ac:dyDescent="0.2">
      <c r="A1587" s="8" t="s">
        <v>1610</v>
      </c>
      <c r="B1587" s="2" t="s">
        <v>12455</v>
      </c>
    </row>
    <row r="1588" spans="1:2" x14ac:dyDescent="0.2">
      <c r="A1588" s="8" t="s">
        <v>1611</v>
      </c>
      <c r="B1588" s="2" t="s">
        <v>12455</v>
      </c>
    </row>
    <row r="1589" spans="1:2" x14ac:dyDescent="0.2">
      <c r="A1589" s="8" t="s">
        <v>1612</v>
      </c>
      <c r="B1589" s="2" t="s">
        <v>12455</v>
      </c>
    </row>
    <row r="1590" spans="1:2" x14ac:dyDescent="0.2">
      <c r="A1590" s="8" t="s">
        <v>1613</v>
      </c>
      <c r="B1590" s="2" t="s">
        <v>12455</v>
      </c>
    </row>
    <row r="1591" spans="1:2" x14ac:dyDescent="0.2">
      <c r="A1591" s="8" t="s">
        <v>1614</v>
      </c>
      <c r="B1591" s="2" t="s">
        <v>12455</v>
      </c>
    </row>
    <row r="1592" spans="1:2" x14ac:dyDescent="0.2">
      <c r="A1592" s="8" t="s">
        <v>1615</v>
      </c>
      <c r="B1592" s="2" t="s">
        <v>12455</v>
      </c>
    </row>
    <row r="1593" spans="1:2" x14ac:dyDescent="0.2">
      <c r="A1593" s="8" t="s">
        <v>1616</v>
      </c>
      <c r="B1593" s="2" t="s">
        <v>12455</v>
      </c>
    </row>
    <row r="1594" spans="1:2" x14ac:dyDescent="0.2">
      <c r="A1594" s="8" t="s">
        <v>1617</v>
      </c>
      <c r="B1594" s="2" t="s">
        <v>12455</v>
      </c>
    </row>
    <row r="1595" spans="1:2" x14ac:dyDescent="0.2">
      <c r="A1595" s="8" t="s">
        <v>1618</v>
      </c>
      <c r="B1595" s="2" t="s">
        <v>12455</v>
      </c>
    </row>
    <row r="1596" spans="1:2" x14ac:dyDescent="0.2">
      <c r="A1596" s="8" t="s">
        <v>1619</v>
      </c>
      <c r="B1596" s="2" t="s">
        <v>12455</v>
      </c>
    </row>
    <row r="1597" spans="1:2" x14ac:dyDescent="0.2">
      <c r="A1597" s="8" t="s">
        <v>1620</v>
      </c>
      <c r="B1597" s="2" t="s">
        <v>12455</v>
      </c>
    </row>
    <row r="1598" spans="1:2" x14ac:dyDescent="0.2">
      <c r="A1598" s="8" t="s">
        <v>1621</v>
      </c>
      <c r="B1598" s="2" t="s">
        <v>12455</v>
      </c>
    </row>
    <row r="1599" spans="1:2" x14ac:dyDescent="0.2">
      <c r="A1599" s="8" t="s">
        <v>1622</v>
      </c>
      <c r="B1599" s="2" t="s">
        <v>12455</v>
      </c>
    </row>
    <row r="1600" spans="1:2" x14ac:dyDescent="0.2">
      <c r="A1600" s="8" t="s">
        <v>1623</v>
      </c>
      <c r="B1600" s="2" t="s">
        <v>12455</v>
      </c>
    </row>
    <row r="1601" spans="1:2" x14ac:dyDescent="0.2">
      <c r="A1601" s="8" t="s">
        <v>1624</v>
      </c>
      <c r="B1601" s="2" t="s">
        <v>12455</v>
      </c>
    </row>
    <row r="1602" spans="1:2" x14ac:dyDescent="0.2">
      <c r="A1602" s="8" t="s">
        <v>1625</v>
      </c>
      <c r="B1602" s="2" t="s">
        <v>12455</v>
      </c>
    </row>
    <row r="1603" spans="1:2" x14ac:dyDescent="0.2">
      <c r="A1603" s="8" t="s">
        <v>1626</v>
      </c>
      <c r="B1603" s="2" t="s">
        <v>12455</v>
      </c>
    </row>
    <row r="1604" spans="1:2" x14ac:dyDescent="0.2">
      <c r="A1604" s="8" t="s">
        <v>1627</v>
      </c>
      <c r="B1604" s="2" t="s">
        <v>12455</v>
      </c>
    </row>
    <row r="1605" spans="1:2" x14ac:dyDescent="0.2">
      <c r="A1605" s="8" t="s">
        <v>1628</v>
      </c>
      <c r="B1605" s="2" t="s">
        <v>12455</v>
      </c>
    </row>
    <row r="1606" spans="1:2" x14ac:dyDescent="0.2">
      <c r="A1606" s="8" t="s">
        <v>1629</v>
      </c>
      <c r="B1606" s="2" t="s">
        <v>12455</v>
      </c>
    </row>
    <row r="1607" spans="1:2" x14ac:dyDescent="0.2">
      <c r="A1607" s="8" t="s">
        <v>1630</v>
      </c>
      <c r="B1607" s="2" t="s">
        <v>12455</v>
      </c>
    </row>
    <row r="1608" spans="1:2" x14ac:dyDescent="0.2">
      <c r="A1608" s="8" t="s">
        <v>1631</v>
      </c>
      <c r="B1608" s="2" t="s">
        <v>12455</v>
      </c>
    </row>
    <row r="1609" spans="1:2" x14ac:dyDescent="0.2">
      <c r="A1609" s="8" t="s">
        <v>1632</v>
      </c>
      <c r="B1609" s="2" t="s">
        <v>12455</v>
      </c>
    </row>
    <row r="1610" spans="1:2" x14ac:dyDescent="0.2">
      <c r="A1610" s="8" t="s">
        <v>1633</v>
      </c>
      <c r="B1610" s="2" t="s">
        <v>12455</v>
      </c>
    </row>
    <row r="1611" spans="1:2" x14ac:dyDescent="0.2">
      <c r="A1611" s="8" t="s">
        <v>1634</v>
      </c>
      <c r="B1611" s="2" t="s">
        <v>12455</v>
      </c>
    </row>
    <row r="1612" spans="1:2" x14ac:dyDescent="0.2">
      <c r="A1612" s="8" t="s">
        <v>1635</v>
      </c>
      <c r="B1612" s="2" t="s">
        <v>12455</v>
      </c>
    </row>
    <row r="1613" spans="1:2" x14ac:dyDescent="0.2">
      <c r="A1613" s="8" t="s">
        <v>1636</v>
      </c>
      <c r="B1613" s="2" t="s">
        <v>12455</v>
      </c>
    </row>
    <row r="1614" spans="1:2" x14ac:dyDescent="0.2">
      <c r="A1614" s="8" t="s">
        <v>1637</v>
      </c>
      <c r="B1614" s="2" t="s">
        <v>12455</v>
      </c>
    </row>
    <row r="1615" spans="1:2" x14ac:dyDescent="0.2">
      <c r="A1615" s="8" t="s">
        <v>1638</v>
      </c>
      <c r="B1615" s="2" t="s">
        <v>12455</v>
      </c>
    </row>
    <row r="1616" spans="1:2" x14ac:dyDescent="0.2">
      <c r="A1616" s="8" t="s">
        <v>1639</v>
      </c>
      <c r="B1616" s="2" t="s">
        <v>12455</v>
      </c>
    </row>
    <row r="1617" spans="1:2" x14ac:dyDescent="0.2">
      <c r="A1617" s="8" t="s">
        <v>1640</v>
      </c>
      <c r="B1617" s="2" t="s">
        <v>12455</v>
      </c>
    </row>
    <row r="1618" spans="1:2" x14ac:dyDescent="0.2">
      <c r="A1618" s="8" t="s">
        <v>1641</v>
      </c>
      <c r="B1618" s="2" t="s">
        <v>12455</v>
      </c>
    </row>
    <row r="1619" spans="1:2" x14ac:dyDescent="0.2">
      <c r="A1619" s="8" t="s">
        <v>1642</v>
      </c>
      <c r="B1619" s="2" t="s">
        <v>12455</v>
      </c>
    </row>
    <row r="1620" spans="1:2" x14ac:dyDescent="0.2">
      <c r="A1620" s="8" t="s">
        <v>1643</v>
      </c>
      <c r="B1620" s="2" t="s">
        <v>12455</v>
      </c>
    </row>
    <row r="1621" spans="1:2" x14ac:dyDescent="0.2">
      <c r="A1621" s="8" t="s">
        <v>1644</v>
      </c>
      <c r="B1621" s="2" t="s">
        <v>12455</v>
      </c>
    </row>
    <row r="1622" spans="1:2" x14ac:dyDescent="0.2">
      <c r="A1622" s="8" t="s">
        <v>1645</v>
      </c>
      <c r="B1622" s="2" t="s">
        <v>12455</v>
      </c>
    </row>
    <row r="1623" spans="1:2" x14ac:dyDescent="0.2">
      <c r="A1623" s="8" t="s">
        <v>1646</v>
      </c>
      <c r="B1623" s="2" t="s">
        <v>12455</v>
      </c>
    </row>
    <row r="1624" spans="1:2" x14ac:dyDescent="0.2">
      <c r="A1624" s="8" t="s">
        <v>1647</v>
      </c>
      <c r="B1624" s="2" t="s">
        <v>12455</v>
      </c>
    </row>
    <row r="1625" spans="1:2" x14ac:dyDescent="0.2">
      <c r="A1625" s="8" t="s">
        <v>1648</v>
      </c>
      <c r="B1625" s="2" t="s">
        <v>12455</v>
      </c>
    </row>
    <row r="1626" spans="1:2" x14ac:dyDescent="0.2">
      <c r="A1626" s="8" t="s">
        <v>1649</v>
      </c>
      <c r="B1626" s="2" t="s">
        <v>12455</v>
      </c>
    </row>
    <row r="1627" spans="1:2" x14ac:dyDescent="0.2">
      <c r="A1627" s="8" t="s">
        <v>1650</v>
      </c>
      <c r="B1627" s="2" t="s">
        <v>12455</v>
      </c>
    </row>
    <row r="1628" spans="1:2" x14ac:dyDescent="0.2">
      <c r="A1628" s="8" t="s">
        <v>1651</v>
      </c>
      <c r="B1628" s="2" t="s">
        <v>12455</v>
      </c>
    </row>
    <row r="1629" spans="1:2" x14ac:dyDescent="0.2">
      <c r="A1629" s="8" t="s">
        <v>1652</v>
      </c>
      <c r="B1629" s="2" t="s">
        <v>12455</v>
      </c>
    </row>
    <row r="1630" spans="1:2" x14ac:dyDescent="0.2">
      <c r="A1630" s="8" t="s">
        <v>1653</v>
      </c>
      <c r="B1630" s="2" t="s">
        <v>12455</v>
      </c>
    </row>
    <row r="1631" spans="1:2" x14ac:dyDescent="0.2">
      <c r="A1631" s="8" t="s">
        <v>1654</v>
      </c>
      <c r="B1631" s="2" t="s">
        <v>12455</v>
      </c>
    </row>
    <row r="1632" spans="1:2" x14ac:dyDescent="0.2">
      <c r="A1632" s="8" t="s">
        <v>1655</v>
      </c>
      <c r="B1632" s="2" t="s">
        <v>12455</v>
      </c>
    </row>
    <row r="1633" spans="1:2" x14ac:dyDescent="0.2">
      <c r="A1633" s="8" t="s">
        <v>1656</v>
      </c>
      <c r="B1633" s="2" t="s">
        <v>12455</v>
      </c>
    </row>
    <row r="1634" spans="1:2" x14ac:dyDescent="0.2">
      <c r="A1634" s="8" t="s">
        <v>1657</v>
      </c>
      <c r="B1634" s="2" t="s">
        <v>12455</v>
      </c>
    </row>
    <row r="1635" spans="1:2" x14ac:dyDescent="0.2">
      <c r="A1635" s="8" t="s">
        <v>1658</v>
      </c>
      <c r="B1635" s="2" t="s">
        <v>12455</v>
      </c>
    </row>
    <row r="1636" spans="1:2" x14ac:dyDescent="0.2">
      <c r="A1636" s="8" t="s">
        <v>1659</v>
      </c>
      <c r="B1636" s="2" t="s">
        <v>12455</v>
      </c>
    </row>
    <row r="1637" spans="1:2" x14ac:dyDescent="0.2">
      <c r="A1637" s="8" t="s">
        <v>1660</v>
      </c>
      <c r="B1637" s="2" t="s">
        <v>12455</v>
      </c>
    </row>
    <row r="1638" spans="1:2" x14ac:dyDescent="0.2">
      <c r="A1638" s="8" t="s">
        <v>1661</v>
      </c>
      <c r="B1638" s="2" t="s">
        <v>12455</v>
      </c>
    </row>
    <row r="1639" spans="1:2" x14ac:dyDescent="0.2">
      <c r="A1639" s="8" t="s">
        <v>1662</v>
      </c>
      <c r="B1639" s="2" t="s">
        <v>12455</v>
      </c>
    </row>
    <row r="1640" spans="1:2" x14ac:dyDescent="0.2">
      <c r="A1640" s="8" t="s">
        <v>1663</v>
      </c>
      <c r="B1640" s="2" t="s">
        <v>12455</v>
      </c>
    </row>
    <row r="1641" spans="1:2" x14ac:dyDescent="0.2">
      <c r="A1641" s="8" t="s">
        <v>1664</v>
      </c>
      <c r="B1641" s="2" t="s">
        <v>12455</v>
      </c>
    </row>
    <row r="1642" spans="1:2" x14ac:dyDescent="0.2">
      <c r="A1642" s="8" t="s">
        <v>1665</v>
      </c>
      <c r="B1642" s="2" t="s">
        <v>12455</v>
      </c>
    </row>
    <row r="1643" spans="1:2" x14ac:dyDescent="0.2">
      <c r="A1643" s="8" t="s">
        <v>1666</v>
      </c>
      <c r="B1643" s="2" t="s">
        <v>12455</v>
      </c>
    </row>
    <row r="1644" spans="1:2" x14ac:dyDescent="0.2">
      <c r="A1644" s="8" t="s">
        <v>1667</v>
      </c>
      <c r="B1644" s="2" t="s">
        <v>12455</v>
      </c>
    </row>
    <row r="1645" spans="1:2" x14ac:dyDescent="0.2">
      <c r="A1645" s="8" t="s">
        <v>1668</v>
      </c>
      <c r="B1645" s="2" t="s">
        <v>12455</v>
      </c>
    </row>
    <row r="1646" spans="1:2" x14ac:dyDescent="0.2">
      <c r="A1646" s="8" t="s">
        <v>1669</v>
      </c>
      <c r="B1646" s="2" t="s">
        <v>12455</v>
      </c>
    </row>
    <row r="1647" spans="1:2" x14ac:dyDescent="0.2">
      <c r="A1647" s="8" t="s">
        <v>1670</v>
      </c>
      <c r="B1647" s="2" t="s">
        <v>12455</v>
      </c>
    </row>
    <row r="1648" spans="1:2" x14ac:dyDescent="0.2">
      <c r="A1648" s="8" t="s">
        <v>1671</v>
      </c>
      <c r="B1648" s="2" t="s">
        <v>12455</v>
      </c>
    </row>
    <row r="1649" spans="1:2" x14ac:dyDescent="0.2">
      <c r="A1649" s="8" t="s">
        <v>1672</v>
      </c>
      <c r="B1649" s="2" t="s">
        <v>12455</v>
      </c>
    </row>
    <row r="1650" spans="1:2" x14ac:dyDescent="0.2">
      <c r="A1650" s="8" t="s">
        <v>1673</v>
      </c>
      <c r="B1650" s="2" t="s">
        <v>12455</v>
      </c>
    </row>
    <row r="1651" spans="1:2" x14ac:dyDescent="0.2">
      <c r="A1651" s="8" t="s">
        <v>1674</v>
      </c>
      <c r="B1651" s="2" t="s">
        <v>12455</v>
      </c>
    </row>
    <row r="1652" spans="1:2" x14ac:dyDescent="0.2">
      <c r="A1652" s="8" t="s">
        <v>1675</v>
      </c>
      <c r="B1652" s="2" t="s">
        <v>12455</v>
      </c>
    </row>
    <row r="1653" spans="1:2" x14ac:dyDescent="0.2">
      <c r="A1653" s="8" t="s">
        <v>1676</v>
      </c>
      <c r="B1653" s="2" t="s">
        <v>12455</v>
      </c>
    </row>
    <row r="1654" spans="1:2" x14ac:dyDescent="0.2">
      <c r="A1654" s="8" t="s">
        <v>1677</v>
      </c>
      <c r="B1654" s="2" t="s">
        <v>12455</v>
      </c>
    </row>
    <row r="1655" spans="1:2" x14ac:dyDescent="0.2">
      <c r="A1655" s="8" t="s">
        <v>1678</v>
      </c>
      <c r="B1655" s="2" t="s">
        <v>12455</v>
      </c>
    </row>
    <row r="1656" spans="1:2" x14ac:dyDescent="0.2">
      <c r="A1656" s="8" t="s">
        <v>1679</v>
      </c>
      <c r="B1656" s="2" t="s">
        <v>12455</v>
      </c>
    </row>
    <row r="1657" spans="1:2" x14ac:dyDescent="0.2">
      <c r="A1657" s="8" t="s">
        <v>1680</v>
      </c>
      <c r="B1657" s="2" t="s">
        <v>12455</v>
      </c>
    </row>
    <row r="1658" spans="1:2" x14ac:dyDescent="0.2">
      <c r="A1658" s="8" t="s">
        <v>1681</v>
      </c>
      <c r="B1658" s="2" t="s">
        <v>12455</v>
      </c>
    </row>
    <row r="1659" spans="1:2" x14ac:dyDescent="0.2">
      <c r="A1659" s="8" t="s">
        <v>1682</v>
      </c>
      <c r="B1659" s="2" t="s">
        <v>12455</v>
      </c>
    </row>
    <row r="1660" spans="1:2" x14ac:dyDescent="0.2">
      <c r="A1660" s="8" t="s">
        <v>1683</v>
      </c>
      <c r="B1660" s="2" t="s">
        <v>12455</v>
      </c>
    </row>
    <row r="1661" spans="1:2" x14ac:dyDescent="0.2">
      <c r="A1661" s="8" t="s">
        <v>1684</v>
      </c>
      <c r="B1661" s="2" t="s">
        <v>12455</v>
      </c>
    </row>
    <row r="1662" spans="1:2" x14ac:dyDescent="0.2">
      <c r="A1662" s="8" t="s">
        <v>1685</v>
      </c>
      <c r="B1662" s="2" t="s">
        <v>12455</v>
      </c>
    </row>
    <row r="1663" spans="1:2" x14ac:dyDescent="0.2">
      <c r="A1663" s="8" t="s">
        <v>1686</v>
      </c>
      <c r="B1663" s="2" t="s">
        <v>12455</v>
      </c>
    </row>
    <row r="1664" spans="1:2" x14ac:dyDescent="0.2">
      <c r="A1664" s="8" t="s">
        <v>1687</v>
      </c>
      <c r="B1664" s="2" t="s">
        <v>12455</v>
      </c>
    </row>
    <row r="1665" spans="1:2" x14ac:dyDescent="0.2">
      <c r="A1665" s="8" t="s">
        <v>1688</v>
      </c>
      <c r="B1665" s="2" t="s">
        <v>12455</v>
      </c>
    </row>
    <row r="1666" spans="1:2" x14ac:dyDescent="0.2">
      <c r="A1666" s="8" t="s">
        <v>1689</v>
      </c>
      <c r="B1666" s="2" t="s">
        <v>12455</v>
      </c>
    </row>
    <row r="1667" spans="1:2" x14ac:dyDescent="0.2">
      <c r="A1667" s="8" t="s">
        <v>1690</v>
      </c>
      <c r="B1667" s="2" t="s">
        <v>12455</v>
      </c>
    </row>
    <row r="1668" spans="1:2" x14ac:dyDescent="0.2">
      <c r="A1668" s="8" t="s">
        <v>1691</v>
      </c>
      <c r="B1668" s="2" t="s">
        <v>12455</v>
      </c>
    </row>
    <row r="1669" spans="1:2" x14ac:dyDescent="0.2">
      <c r="A1669" s="8" t="s">
        <v>1692</v>
      </c>
      <c r="B1669" s="2" t="s">
        <v>12455</v>
      </c>
    </row>
    <row r="1670" spans="1:2" x14ac:dyDescent="0.2">
      <c r="A1670" s="8" t="s">
        <v>1693</v>
      </c>
      <c r="B1670" s="2" t="s">
        <v>12455</v>
      </c>
    </row>
    <row r="1671" spans="1:2" x14ac:dyDescent="0.2">
      <c r="A1671" s="8" t="s">
        <v>1694</v>
      </c>
      <c r="B1671" s="2" t="s">
        <v>12455</v>
      </c>
    </row>
    <row r="1672" spans="1:2" x14ac:dyDescent="0.2">
      <c r="A1672" s="8" t="s">
        <v>1695</v>
      </c>
      <c r="B1672" s="2" t="s">
        <v>12455</v>
      </c>
    </row>
    <row r="1673" spans="1:2" x14ac:dyDescent="0.2">
      <c r="A1673" s="8" t="s">
        <v>1696</v>
      </c>
      <c r="B1673" s="2" t="s">
        <v>12455</v>
      </c>
    </row>
    <row r="1674" spans="1:2" x14ac:dyDescent="0.2">
      <c r="A1674" s="8" t="s">
        <v>1697</v>
      </c>
      <c r="B1674" s="2" t="s">
        <v>12455</v>
      </c>
    </row>
    <row r="1675" spans="1:2" x14ac:dyDescent="0.2">
      <c r="A1675" s="8" t="s">
        <v>1698</v>
      </c>
      <c r="B1675" s="2" t="s">
        <v>12455</v>
      </c>
    </row>
    <row r="1676" spans="1:2" x14ac:dyDescent="0.2">
      <c r="A1676" s="8" t="s">
        <v>1699</v>
      </c>
      <c r="B1676" s="2" t="s">
        <v>12455</v>
      </c>
    </row>
    <row r="1677" spans="1:2" x14ac:dyDescent="0.2">
      <c r="A1677" s="8" t="s">
        <v>1700</v>
      </c>
      <c r="B1677" s="2" t="s">
        <v>12455</v>
      </c>
    </row>
    <row r="1678" spans="1:2" x14ac:dyDescent="0.2">
      <c r="A1678" s="8" t="s">
        <v>1701</v>
      </c>
      <c r="B1678" s="2" t="s">
        <v>12455</v>
      </c>
    </row>
    <row r="1679" spans="1:2" x14ac:dyDescent="0.2">
      <c r="A1679" s="8" t="s">
        <v>1702</v>
      </c>
      <c r="B1679" s="2" t="s">
        <v>12455</v>
      </c>
    </row>
    <row r="1680" spans="1:2" x14ac:dyDescent="0.2">
      <c r="A1680" s="8" t="s">
        <v>1703</v>
      </c>
      <c r="B1680" s="2" t="s">
        <v>12455</v>
      </c>
    </row>
    <row r="1681" spans="1:2" x14ac:dyDescent="0.2">
      <c r="A1681" s="8" t="s">
        <v>1704</v>
      </c>
      <c r="B1681" s="2" t="s">
        <v>12455</v>
      </c>
    </row>
    <row r="1682" spans="1:2" x14ac:dyDescent="0.2">
      <c r="A1682" s="8" t="s">
        <v>1705</v>
      </c>
      <c r="B1682" s="2" t="s">
        <v>12455</v>
      </c>
    </row>
    <row r="1683" spans="1:2" x14ac:dyDescent="0.2">
      <c r="A1683" s="8" t="s">
        <v>1706</v>
      </c>
      <c r="B1683" s="2" t="s">
        <v>12455</v>
      </c>
    </row>
    <row r="1684" spans="1:2" x14ac:dyDescent="0.2">
      <c r="A1684" s="8" t="s">
        <v>1707</v>
      </c>
      <c r="B1684" s="2" t="s">
        <v>12455</v>
      </c>
    </row>
    <row r="1685" spans="1:2" x14ac:dyDescent="0.2">
      <c r="A1685" s="8" t="s">
        <v>1708</v>
      </c>
      <c r="B1685" s="2" t="s">
        <v>12455</v>
      </c>
    </row>
    <row r="1686" spans="1:2" x14ac:dyDescent="0.2">
      <c r="A1686" s="8" t="s">
        <v>1709</v>
      </c>
      <c r="B1686" s="2" t="s">
        <v>12456</v>
      </c>
    </row>
    <row r="1687" spans="1:2" x14ac:dyDescent="0.2">
      <c r="A1687" s="8" t="s">
        <v>1710</v>
      </c>
      <c r="B1687" s="2" t="s">
        <v>12456</v>
      </c>
    </row>
    <row r="1688" spans="1:2" x14ac:dyDescent="0.2">
      <c r="A1688" s="8" t="s">
        <v>1711</v>
      </c>
      <c r="B1688" s="2" t="s">
        <v>12456</v>
      </c>
    </row>
    <row r="1689" spans="1:2" x14ac:dyDescent="0.2">
      <c r="A1689" s="8" t="s">
        <v>1712</v>
      </c>
      <c r="B1689" s="2" t="s">
        <v>12456</v>
      </c>
    </row>
    <row r="1690" spans="1:2" x14ac:dyDescent="0.2">
      <c r="A1690" s="8" t="s">
        <v>1713</v>
      </c>
      <c r="B1690" s="2" t="s">
        <v>12456</v>
      </c>
    </row>
    <row r="1691" spans="1:2" x14ac:dyDescent="0.2">
      <c r="A1691" s="8" t="s">
        <v>1714</v>
      </c>
      <c r="B1691" s="2" t="s">
        <v>12456</v>
      </c>
    </row>
    <row r="1692" spans="1:2" x14ac:dyDescent="0.2">
      <c r="A1692" s="8" t="s">
        <v>1715</v>
      </c>
      <c r="B1692" s="2" t="s">
        <v>12456</v>
      </c>
    </row>
    <row r="1693" spans="1:2" x14ac:dyDescent="0.2">
      <c r="A1693" s="8" t="s">
        <v>1716</v>
      </c>
      <c r="B1693" s="2" t="s">
        <v>12456</v>
      </c>
    </row>
    <row r="1694" spans="1:2" x14ac:dyDescent="0.2">
      <c r="A1694" s="8" t="s">
        <v>1717</v>
      </c>
      <c r="B1694" s="2" t="s">
        <v>12456</v>
      </c>
    </row>
    <row r="1695" spans="1:2" x14ac:dyDescent="0.2">
      <c r="A1695" s="8" t="s">
        <v>1718</v>
      </c>
      <c r="B1695" s="2" t="s">
        <v>12456</v>
      </c>
    </row>
    <row r="1696" spans="1:2" x14ac:dyDescent="0.2">
      <c r="A1696" s="8" t="s">
        <v>1719</v>
      </c>
      <c r="B1696" s="2" t="s">
        <v>12456</v>
      </c>
    </row>
    <row r="1697" spans="1:2" x14ac:dyDescent="0.2">
      <c r="A1697" s="8" t="s">
        <v>1720</v>
      </c>
      <c r="B1697" s="2" t="s">
        <v>12456</v>
      </c>
    </row>
    <row r="1698" spans="1:2" x14ac:dyDescent="0.2">
      <c r="A1698" s="8" t="s">
        <v>1721</v>
      </c>
      <c r="B1698" s="2" t="s">
        <v>12456</v>
      </c>
    </row>
    <row r="1699" spans="1:2" x14ac:dyDescent="0.2">
      <c r="A1699" s="8" t="s">
        <v>1722</v>
      </c>
      <c r="B1699" s="2" t="s">
        <v>12456</v>
      </c>
    </row>
    <row r="1700" spans="1:2" x14ac:dyDescent="0.2">
      <c r="A1700" s="8" t="s">
        <v>1723</v>
      </c>
      <c r="B1700" s="2" t="s">
        <v>12456</v>
      </c>
    </row>
    <row r="1701" spans="1:2" x14ac:dyDescent="0.2">
      <c r="A1701" s="8" t="s">
        <v>1724</v>
      </c>
      <c r="B1701" s="2" t="s">
        <v>12456</v>
      </c>
    </row>
    <row r="1702" spans="1:2" x14ac:dyDescent="0.2">
      <c r="A1702" s="8" t="s">
        <v>1725</v>
      </c>
      <c r="B1702" s="2" t="s">
        <v>12456</v>
      </c>
    </row>
    <row r="1703" spans="1:2" x14ac:dyDescent="0.2">
      <c r="A1703" s="8" t="s">
        <v>1726</v>
      </c>
      <c r="B1703" s="2" t="s">
        <v>12456</v>
      </c>
    </row>
    <row r="1704" spans="1:2" x14ac:dyDescent="0.2">
      <c r="A1704" s="8" t="s">
        <v>1727</v>
      </c>
      <c r="B1704" s="2" t="s">
        <v>12456</v>
      </c>
    </row>
    <row r="1705" spans="1:2" x14ac:dyDescent="0.2">
      <c r="A1705" s="8" t="s">
        <v>1728</v>
      </c>
      <c r="B1705" s="2" t="s">
        <v>12456</v>
      </c>
    </row>
    <row r="1706" spans="1:2" x14ac:dyDescent="0.2">
      <c r="A1706" s="8" t="s">
        <v>1729</v>
      </c>
      <c r="B1706" s="2" t="s">
        <v>12456</v>
      </c>
    </row>
    <row r="1707" spans="1:2" x14ac:dyDescent="0.2">
      <c r="A1707" s="8" t="s">
        <v>1730</v>
      </c>
      <c r="B1707" s="2" t="s">
        <v>12456</v>
      </c>
    </row>
    <row r="1708" spans="1:2" x14ac:dyDescent="0.2">
      <c r="A1708" s="8" t="s">
        <v>1731</v>
      </c>
      <c r="B1708" s="2" t="s">
        <v>12456</v>
      </c>
    </row>
    <row r="1709" spans="1:2" x14ac:dyDescent="0.2">
      <c r="A1709" s="8" t="s">
        <v>1732</v>
      </c>
      <c r="B1709" s="2" t="s">
        <v>12456</v>
      </c>
    </row>
    <row r="1710" spans="1:2" x14ac:dyDescent="0.2">
      <c r="A1710" s="8" t="s">
        <v>1733</v>
      </c>
      <c r="B1710" s="2" t="s">
        <v>12456</v>
      </c>
    </row>
    <row r="1711" spans="1:2" x14ac:dyDescent="0.2">
      <c r="A1711" s="8" t="s">
        <v>1734</v>
      </c>
      <c r="B1711" s="2" t="s">
        <v>12456</v>
      </c>
    </row>
    <row r="1712" spans="1:2" x14ac:dyDescent="0.2">
      <c r="A1712" s="8" t="s">
        <v>1735</v>
      </c>
      <c r="B1712" s="2" t="s">
        <v>12456</v>
      </c>
    </row>
    <row r="1713" spans="1:2" x14ac:dyDescent="0.2">
      <c r="A1713" s="8" t="s">
        <v>1736</v>
      </c>
      <c r="B1713" s="2" t="s">
        <v>12456</v>
      </c>
    </row>
    <row r="1714" spans="1:2" x14ac:dyDescent="0.2">
      <c r="A1714" s="8" t="s">
        <v>1737</v>
      </c>
      <c r="B1714" s="2" t="s">
        <v>12456</v>
      </c>
    </row>
    <row r="1715" spans="1:2" x14ac:dyDescent="0.2">
      <c r="A1715" s="8" t="s">
        <v>1738</v>
      </c>
      <c r="B1715" s="2" t="s">
        <v>12456</v>
      </c>
    </row>
    <row r="1716" spans="1:2" x14ac:dyDescent="0.2">
      <c r="A1716" s="8" t="s">
        <v>1739</v>
      </c>
      <c r="B1716" s="2" t="s">
        <v>12456</v>
      </c>
    </row>
    <row r="1717" spans="1:2" x14ac:dyDescent="0.2">
      <c r="A1717" s="8" t="s">
        <v>1740</v>
      </c>
      <c r="B1717" s="2" t="s">
        <v>12456</v>
      </c>
    </row>
    <row r="1718" spans="1:2" x14ac:dyDescent="0.2">
      <c r="A1718" s="8" t="s">
        <v>1741</v>
      </c>
      <c r="B1718" s="2" t="s">
        <v>12456</v>
      </c>
    </row>
    <row r="1719" spans="1:2" x14ac:dyDescent="0.2">
      <c r="A1719" s="8" t="s">
        <v>1742</v>
      </c>
      <c r="B1719" s="2" t="s">
        <v>12456</v>
      </c>
    </row>
    <row r="1720" spans="1:2" x14ac:dyDescent="0.2">
      <c r="A1720" s="8" t="s">
        <v>1743</v>
      </c>
      <c r="B1720" s="2" t="s">
        <v>12456</v>
      </c>
    </row>
    <row r="1721" spans="1:2" x14ac:dyDescent="0.2">
      <c r="A1721" s="8" t="s">
        <v>1744</v>
      </c>
      <c r="B1721" s="2" t="s">
        <v>12456</v>
      </c>
    </row>
    <row r="1722" spans="1:2" x14ac:dyDescent="0.2">
      <c r="A1722" s="8" t="s">
        <v>1745</v>
      </c>
      <c r="B1722" s="2" t="s">
        <v>12456</v>
      </c>
    </row>
    <row r="1723" spans="1:2" x14ac:dyDescent="0.2">
      <c r="A1723" s="8" t="s">
        <v>1746</v>
      </c>
      <c r="B1723" s="2" t="s">
        <v>12456</v>
      </c>
    </row>
    <row r="1724" spans="1:2" x14ac:dyDescent="0.2">
      <c r="A1724" s="8" t="s">
        <v>1747</v>
      </c>
      <c r="B1724" s="2" t="s">
        <v>12456</v>
      </c>
    </row>
    <row r="1725" spans="1:2" x14ac:dyDescent="0.2">
      <c r="A1725" s="8" t="s">
        <v>1748</v>
      </c>
      <c r="B1725" s="2" t="s">
        <v>12456</v>
      </c>
    </row>
    <row r="1726" spans="1:2" x14ac:dyDescent="0.2">
      <c r="A1726" s="8" t="s">
        <v>1749</v>
      </c>
      <c r="B1726" s="2" t="s">
        <v>12456</v>
      </c>
    </row>
    <row r="1727" spans="1:2" x14ac:dyDescent="0.2">
      <c r="A1727" s="8" t="s">
        <v>1750</v>
      </c>
      <c r="B1727" s="2" t="s">
        <v>12456</v>
      </c>
    </row>
    <row r="1728" spans="1:2" x14ac:dyDescent="0.2">
      <c r="A1728" s="8" t="s">
        <v>1751</v>
      </c>
      <c r="B1728" s="2" t="s">
        <v>12456</v>
      </c>
    </row>
    <row r="1729" spans="1:2" x14ac:dyDescent="0.2">
      <c r="A1729" s="8" t="s">
        <v>1752</v>
      </c>
      <c r="B1729" s="2" t="s">
        <v>12456</v>
      </c>
    </row>
    <row r="1730" spans="1:2" x14ac:dyDescent="0.2">
      <c r="A1730" s="8" t="s">
        <v>1753</v>
      </c>
      <c r="B1730" s="2" t="s">
        <v>12456</v>
      </c>
    </row>
    <row r="1731" spans="1:2" x14ac:dyDescent="0.2">
      <c r="A1731" s="8" t="s">
        <v>1754</v>
      </c>
      <c r="B1731" s="2" t="s">
        <v>12456</v>
      </c>
    </row>
    <row r="1732" spans="1:2" x14ac:dyDescent="0.2">
      <c r="A1732" s="8" t="s">
        <v>1755</v>
      </c>
      <c r="B1732" s="2" t="s">
        <v>12456</v>
      </c>
    </row>
    <row r="1733" spans="1:2" x14ac:dyDescent="0.2">
      <c r="A1733" s="8" t="s">
        <v>1756</v>
      </c>
      <c r="B1733" s="2" t="s">
        <v>12456</v>
      </c>
    </row>
    <row r="1734" spans="1:2" x14ac:dyDescent="0.2">
      <c r="A1734" s="8" t="s">
        <v>1757</v>
      </c>
      <c r="B1734" s="2" t="s">
        <v>12456</v>
      </c>
    </row>
    <row r="1735" spans="1:2" x14ac:dyDescent="0.2">
      <c r="A1735" s="8" t="s">
        <v>1758</v>
      </c>
      <c r="B1735" s="2" t="s">
        <v>12456</v>
      </c>
    </row>
    <row r="1736" spans="1:2" x14ac:dyDescent="0.2">
      <c r="A1736" s="8" t="s">
        <v>1759</v>
      </c>
      <c r="B1736" s="2" t="s">
        <v>12456</v>
      </c>
    </row>
    <row r="1737" spans="1:2" x14ac:dyDescent="0.2">
      <c r="A1737" s="8" t="s">
        <v>1760</v>
      </c>
      <c r="B1737" s="2" t="s">
        <v>12456</v>
      </c>
    </row>
    <row r="1738" spans="1:2" x14ac:dyDescent="0.2">
      <c r="A1738" s="8" t="s">
        <v>1761</v>
      </c>
      <c r="B1738" s="2" t="s">
        <v>12456</v>
      </c>
    </row>
    <row r="1739" spans="1:2" x14ac:dyDescent="0.2">
      <c r="A1739" s="8" t="s">
        <v>1762</v>
      </c>
      <c r="B1739" s="2" t="s">
        <v>12456</v>
      </c>
    </row>
    <row r="1740" spans="1:2" x14ac:dyDescent="0.2">
      <c r="A1740" s="8" t="s">
        <v>1763</v>
      </c>
      <c r="B1740" s="2" t="s">
        <v>12456</v>
      </c>
    </row>
    <row r="1741" spans="1:2" x14ac:dyDescent="0.2">
      <c r="A1741" s="8" t="s">
        <v>1764</v>
      </c>
      <c r="B1741" s="2" t="s">
        <v>12456</v>
      </c>
    </row>
    <row r="1742" spans="1:2" x14ac:dyDescent="0.2">
      <c r="A1742" s="8" t="s">
        <v>1765</v>
      </c>
      <c r="B1742" s="2" t="s">
        <v>12456</v>
      </c>
    </row>
    <row r="1743" spans="1:2" x14ac:dyDescent="0.2">
      <c r="A1743" s="8" t="s">
        <v>1766</v>
      </c>
      <c r="B1743" s="2" t="s">
        <v>12456</v>
      </c>
    </row>
    <row r="1744" spans="1:2" x14ac:dyDescent="0.2">
      <c r="A1744" s="8" t="s">
        <v>1767</v>
      </c>
      <c r="B1744" s="2" t="s">
        <v>12456</v>
      </c>
    </row>
    <row r="1745" spans="1:2" x14ac:dyDescent="0.2">
      <c r="A1745" s="8" t="s">
        <v>1768</v>
      </c>
      <c r="B1745" s="2" t="s">
        <v>12456</v>
      </c>
    </row>
    <row r="1746" spans="1:2" x14ac:dyDescent="0.2">
      <c r="A1746" s="8" t="s">
        <v>1769</v>
      </c>
      <c r="B1746" s="2" t="s">
        <v>12456</v>
      </c>
    </row>
    <row r="1747" spans="1:2" x14ac:dyDescent="0.2">
      <c r="A1747" s="8" t="s">
        <v>1770</v>
      </c>
      <c r="B1747" s="2" t="s">
        <v>12456</v>
      </c>
    </row>
    <row r="1748" spans="1:2" x14ac:dyDescent="0.2">
      <c r="A1748" s="8" t="s">
        <v>1771</v>
      </c>
      <c r="B1748" s="2" t="s">
        <v>12456</v>
      </c>
    </row>
    <row r="1749" spans="1:2" x14ac:dyDescent="0.2">
      <c r="A1749" s="8" t="s">
        <v>1772</v>
      </c>
      <c r="B1749" s="2" t="s">
        <v>12456</v>
      </c>
    </row>
    <row r="1750" spans="1:2" x14ac:dyDescent="0.2">
      <c r="A1750" s="8" t="s">
        <v>1773</v>
      </c>
      <c r="B1750" s="2" t="s">
        <v>12456</v>
      </c>
    </row>
    <row r="1751" spans="1:2" x14ac:dyDescent="0.2">
      <c r="A1751" s="8" t="s">
        <v>1774</v>
      </c>
      <c r="B1751" s="2" t="s">
        <v>12456</v>
      </c>
    </row>
    <row r="1752" spans="1:2" x14ac:dyDescent="0.2">
      <c r="A1752" s="8" t="s">
        <v>1775</v>
      </c>
      <c r="B1752" s="2" t="s">
        <v>12456</v>
      </c>
    </row>
    <row r="1753" spans="1:2" x14ac:dyDescent="0.2">
      <c r="A1753" s="8" t="s">
        <v>1776</v>
      </c>
      <c r="B1753" s="2" t="s">
        <v>12456</v>
      </c>
    </row>
    <row r="1754" spans="1:2" x14ac:dyDescent="0.2">
      <c r="A1754" s="8" t="s">
        <v>1777</v>
      </c>
      <c r="B1754" s="2" t="s">
        <v>12456</v>
      </c>
    </row>
    <row r="1755" spans="1:2" x14ac:dyDescent="0.2">
      <c r="A1755" s="8" t="s">
        <v>1778</v>
      </c>
      <c r="B1755" s="2" t="s">
        <v>12456</v>
      </c>
    </row>
    <row r="1756" spans="1:2" x14ac:dyDescent="0.2">
      <c r="A1756" s="8" t="s">
        <v>1779</v>
      </c>
      <c r="B1756" s="2" t="s">
        <v>12456</v>
      </c>
    </row>
    <row r="1757" spans="1:2" x14ac:dyDescent="0.2">
      <c r="A1757" s="8" t="s">
        <v>1780</v>
      </c>
      <c r="B1757" s="2" t="s">
        <v>12456</v>
      </c>
    </row>
    <row r="1758" spans="1:2" x14ac:dyDescent="0.2">
      <c r="A1758" s="8" t="s">
        <v>1781</v>
      </c>
      <c r="B1758" s="2" t="s">
        <v>12456</v>
      </c>
    </row>
    <row r="1759" spans="1:2" x14ac:dyDescent="0.2">
      <c r="A1759" s="8" t="s">
        <v>1782</v>
      </c>
      <c r="B1759" s="2" t="s">
        <v>12456</v>
      </c>
    </row>
    <row r="1760" spans="1:2" x14ac:dyDescent="0.2">
      <c r="A1760" s="8" t="s">
        <v>1783</v>
      </c>
      <c r="B1760" s="2" t="s">
        <v>12456</v>
      </c>
    </row>
    <row r="1761" spans="1:2" x14ac:dyDescent="0.2">
      <c r="A1761" s="8" t="s">
        <v>1784</v>
      </c>
      <c r="B1761" s="2" t="s">
        <v>12456</v>
      </c>
    </row>
    <row r="1762" spans="1:2" x14ac:dyDescent="0.2">
      <c r="A1762" s="8" t="s">
        <v>1785</v>
      </c>
      <c r="B1762" s="2" t="s">
        <v>12456</v>
      </c>
    </row>
    <row r="1763" spans="1:2" x14ac:dyDescent="0.2">
      <c r="A1763" s="8" t="s">
        <v>1786</v>
      </c>
      <c r="B1763" s="2" t="s">
        <v>12456</v>
      </c>
    </row>
    <row r="1764" spans="1:2" x14ac:dyDescent="0.2">
      <c r="A1764" s="8" t="s">
        <v>1787</v>
      </c>
      <c r="B1764" s="2" t="s">
        <v>12456</v>
      </c>
    </row>
    <row r="1765" spans="1:2" x14ac:dyDescent="0.2">
      <c r="A1765" s="8" t="s">
        <v>1788</v>
      </c>
      <c r="B1765" s="2" t="s">
        <v>12456</v>
      </c>
    </row>
    <row r="1766" spans="1:2" x14ac:dyDescent="0.2">
      <c r="A1766" s="8" t="s">
        <v>1789</v>
      </c>
      <c r="B1766" s="2" t="s">
        <v>12456</v>
      </c>
    </row>
    <row r="1767" spans="1:2" x14ac:dyDescent="0.2">
      <c r="A1767" s="8" t="s">
        <v>1790</v>
      </c>
      <c r="B1767" s="2" t="s">
        <v>12456</v>
      </c>
    </row>
    <row r="1768" spans="1:2" x14ac:dyDescent="0.2">
      <c r="A1768" s="8" t="s">
        <v>1791</v>
      </c>
      <c r="B1768" s="2" t="s">
        <v>12456</v>
      </c>
    </row>
    <row r="1769" spans="1:2" x14ac:dyDescent="0.2">
      <c r="A1769" s="8" t="s">
        <v>1792</v>
      </c>
      <c r="B1769" s="2" t="s">
        <v>12456</v>
      </c>
    </row>
    <row r="1770" spans="1:2" x14ac:dyDescent="0.2">
      <c r="A1770" s="8" t="s">
        <v>1793</v>
      </c>
      <c r="B1770" s="2" t="s">
        <v>12456</v>
      </c>
    </row>
    <row r="1771" spans="1:2" x14ac:dyDescent="0.2">
      <c r="A1771" s="8" t="s">
        <v>1794</v>
      </c>
      <c r="B1771" s="2" t="s">
        <v>12456</v>
      </c>
    </row>
    <row r="1772" spans="1:2" x14ac:dyDescent="0.2">
      <c r="A1772" s="8" t="s">
        <v>1795</v>
      </c>
      <c r="B1772" s="2" t="s">
        <v>12456</v>
      </c>
    </row>
    <row r="1773" spans="1:2" x14ac:dyDescent="0.2">
      <c r="A1773" s="8" t="s">
        <v>1796</v>
      </c>
      <c r="B1773" s="2" t="s">
        <v>12456</v>
      </c>
    </row>
    <row r="1774" spans="1:2" x14ac:dyDescent="0.2">
      <c r="A1774" s="8" t="s">
        <v>1797</v>
      </c>
      <c r="B1774" s="2" t="s">
        <v>12456</v>
      </c>
    </row>
    <row r="1775" spans="1:2" x14ac:dyDescent="0.2">
      <c r="A1775" s="8" t="s">
        <v>1798</v>
      </c>
      <c r="B1775" s="2" t="s">
        <v>12456</v>
      </c>
    </row>
    <row r="1776" spans="1:2" x14ac:dyDescent="0.2">
      <c r="A1776" s="8" t="s">
        <v>1799</v>
      </c>
      <c r="B1776" s="2" t="s">
        <v>12456</v>
      </c>
    </row>
    <row r="1777" spans="1:2" x14ac:dyDescent="0.2">
      <c r="A1777" s="8" t="s">
        <v>1800</v>
      </c>
      <c r="B1777" s="2" t="s">
        <v>12456</v>
      </c>
    </row>
    <row r="1778" spans="1:2" x14ac:dyDescent="0.2">
      <c r="A1778" s="8" t="s">
        <v>1801</v>
      </c>
      <c r="B1778" s="2" t="s">
        <v>12456</v>
      </c>
    </row>
    <row r="1779" spans="1:2" x14ac:dyDescent="0.2">
      <c r="A1779" s="8" t="s">
        <v>1802</v>
      </c>
      <c r="B1779" s="2" t="s">
        <v>12456</v>
      </c>
    </row>
    <row r="1780" spans="1:2" x14ac:dyDescent="0.2">
      <c r="A1780" s="8" t="s">
        <v>1803</v>
      </c>
      <c r="B1780" s="2" t="s">
        <v>12456</v>
      </c>
    </row>
    <row r="1781" spans="1:2" x14ac:dyDescent="0.2">
      <c r="A1781" s="8" t="s">
        <v>1804</v>
      </c>
      <c r="B1781" s="2" t="s">
        <v>12456</v>
      </c>
    </row>
    <row r="1782" spans="1:2" x14ac:dyDescent="0.2">
      <c r="A1782" s="8" t="s">
        <v>1805</v>
      </c>
      <c r="B1782" s="2" t="s">
        <v>12456</v>
      </c>
    </row>
    <row r="1783" spans="1:2" x14ac:dyDescent="0.2">
      <c r="A1783" s="8" t="s">
        <v>1806</v>
      </c>
      <c r="B1783" s="2" t="s">
        <v>12456</v>
      </c>
    </row>
    <row r="1784" spans="1:2" x14ac:dyDescent="0.2">
      <c r="A1784" s="8" t="s">
        <v>1807</v>
      </c>
      <c r="B1784" s="2" t="s">
        <v>12456</v>
      </c>
    </row>
    <row r="1785" spans="1:2" x14ac:dyDescent="0.2">
      <c r="A1785" s="8" t="s">
        <v>1808</v>
      </c>
      <c r="B1785" s="2" t="s">
        <v>12456</v>
      </c>
    </row>
    <row r="1786" spans="1:2" x14ac:dyDescent="0.2">
      <c r="A1786" s="8" t="s">
        <v>1809</v>
      </c>
      <c r="B1786" s="2" t="s">
        <v>12456</v>
      </c>
    </row>
    <row r="1787" spans="1:2" x14ac:dyDescent="0.2">
      <c r="A1787" s="8" t="s">
        <v>1810</v>
      </c>
      <c r="B1787" s="2" t="s">
        <v>12456</v>
      </c>
    </row>
    <row r="1788" spans="1:2" x14ac:dyDescent="0.2">
      <c r="A1788" s="8" t="s">
        <v>1811</v>
      </c>
      <c r="B1788" s="2" t="s">
        <v>12456</v>
      </c>
    </row>
    <row r="1789" spans="1:2" x14ac:dyDescent="0.2">
      <c r="A1789" s="8" t="s">
        <v>1812</v>
      </c>
      <c r="B1789" s="2" t="s">
        <v>12456</v>
      </c>
    </row>
    <row r="1790" spans="1:2" x14ac:dyDescent="0.2">
      <c r="A1790" s="8" t="s">
        <v>1813</v>
      </c>
      <c r="B1790" s="2" t="s">
        <v>12456</v>
      </c>
    </row>
    <row r="1791" spans="1:2" x14ac:dyDescent="0.2">
      <c r="A1791" s="8" t="s">
        <v>1814</v>
      </c>
      <c r="B1791" s="2" t="s">
        <v>12456</v>
      </c>
    </row>
    <row r="1792" spans="1:2" x14ac:dyDescent="0.2">
      <c r="A1792" s="8" t="s">
        <v>1815</v>
      </c>
      <c r="B1792" s="2" t="s">
        <v>12456</v>
      </c>
    </row>
    <row r="1793" spans="1:2" x14ac:dyDescent="0.2">
      <c r="A1793" s="8" t="s">
        <v>1816</v>
      </c>
      <c r="B1793" s="2" t="s">
        <v>12456</v>
      </c>
    </row>
    <row r="1794" spans="1:2" x14ac:dyDescent="0.2">
      <c r="A1794" s="8" t="s">
        <v>1817</v>
      </c>
      <c r="B1794" s="2" t="s">
        <v>12456</v>
      </c>
    </row>
    <row r="1795" spans="1:2" x14ac:dyDescent="0.2">
      <c r="A1795" s="8" t="s">
        <v>1818</v>
      </c>
      <c r="B1795" s="2" t="s">
        <v>12456</v>
      </c>
    </row>
    <row r="1796" spans="1:2" x14ac:dyDescent="0.2">
      <c r="A1796" s="8" t="s">
        <v>1819</v>
      </c>
      <c r="B1796" s="2" t="s">
        <v>12456</v>
      </c>
    </row>
    <row r="1797" spans="1:2" x14ac:dyDescent="0.2">
      <c r="A1797" s="8" t="s">
        <v>1820</v>
      </c>
      <c r="B1797" s="2" t="s">
        <v>12456</v>
      </c>
    </row>
    <row r="1798" spans="1:2" x14ac:dyDescent="0.2">
      <c r="A1798" s="8" t="s">
        <v>1821</v>
      </c>
      <c r="B1798" s="2" t="s">
        <v>12456</v>
      </c>
    </row>
    <row r="1799" spans="1:2" x14ac:dyDescent="0.2">
      <c r="A1799" s="8" t="s">
        <v>1822</v>
      </c>
      <c r="B1799" s="2" t="s">
        <v>12456</v>
      </c>
    </row>
    <row r="1800" spans="1:2" x14ac:dyDescent="0.2">
      <c r="A1800" s="8" t="s">
        <v>1823</v>
      </c>
      <c r="B1800" s="2" t="s">
        <v>12456</v>
      </c>
    </row>
    <row r="1801" spans="1:2" x14ac:dyDescent="0.2">
      <c r="A1801" s="8" t="s">
        <v>1824</v>
      </c>
      <c r="B1801" s="2" t="s">
        <v>12456</v>
      </c>
    </row>
    <row r="1802" spans="1:2" x14ac:dyDescent="0.2">
      <c r="A1802" s="8" t="s">
        <v>1825</v>
      </c>
      <c r="B1802" s="2" t="s">
        <v>12456</v>
      </c>
    </row>
    <row r="1803" spans="1:2" x14ac:dyDescent="0.2">
      <c r="A1803" s="8" t="s">
        <v>1826</v>
      </c>
      <c r="B1803" s="2" t="s">
        <v>12456</v>
      </c>
    </row>
    <row r="1804" spans="1:2" x14ac:dyDescent="0.2">
      <c r="A1804" s="8" t="s">
        <v>1827</v>
      </c>
      <c r="B1804" s="2" t="s">
        <v>12456</v>
      </c>
    </row>
    <row r="1805" spans="1:2" x14ac:dyDescent="0.2">
      <c r="A1805" s="8" t="s">
        <v>1828</v>
      </c>
      <c r="B1805" s="2" t="s">
        <v>12456</v>
      </c>
    </row>
    <row r="1806" spans="1:2" x14ac:dyDescent="0.2">
      <c r="A1806" s="8" t="s">
        <v>1829</v>
      </c>
      <c r="B1806" s="2" t="s">
        <v>12456</v>
      </c>
    </row>
    <row r="1807" spans="1:2" x14ac:dyDescent="0.2">
      <c r="A1807" s="8" t="s">
        <v>1830</v>
      </c>
      <c r="B1807" s="2" t="s">
        <v>12456</v>
      </c>
    </row>
    <row r="1808" spans="1:2" x14ac:dyDescent="0.2">
      <c r="A1808" s="8" t="s">
        <v>1831</v>
      </c>
      <c r="B1808" s="2" t="s">
        <v>12456</v>
      </c>
    </row>
    <row r="1809" spans="1:2" x14ac:dyDescent="0.2">
      <c r="A1809" s="8" t="s">
        <v>1832</v>
      </c>
      <c r="B1809" s="2" t="s">
        <v>12456</v>
      </c>
    </row>
    <row r="1810" spans="1:2" x14ac:dyDescent="0.2">
      <c r="A1810" s="8" t="s">
        <v>1833</v>
      </c>
      <c r="B1810" s="2" t="s">
        <v>12456</v>
      </c>
    </row>
    <row r="1811" spans="1:2" x14ac:dyDescent="0.2">
      <c r="A1811" s="8" t="s">
        <v>1834</v>
      </c>
      <c r="B1811" s="2" t="s">
        <v>12456</v>
      </c>
    </row>
    <row r="1812" spans="1:2" x14ac:dyDescent="0.2">
      <c r="A1812" s="8" t="s">
        <v>1835</v>
      </c>
      <c r="B1812" s="2" t="s">
        <v>12456</v>
      </c>
    </row>
    <row r="1813" spans="1:2" x14ac:dyDescent="0.2">
      <c r="A1813" s="8" t="s">
        <v>1836</v>
      </c>
      <c r="B1813" s="2" t="s">
        <v>12456</v>
      </c>
    </row>
    <row r="1814" spans="1:2" x14ac:dyDescent="0.2">
      <c r="A1814" s="8" t="s">
        <v>1837</v>
      </c>
      <c r="B1814" s="2" t="s">
        <v>12456</v>
      </c>
    </row>
    <row r="1815" spans="1:2" x14ac:dyDescent="0.2">
      <c r="A1815" s="8" t="s">
        <v>1838</v>
      </c>
      <c r="B1815" s="2" t="s">
        <v>12456</v>
      </c>
    </row>
    <row r="1816" spans="1:2" x14ac:dyDescent="0.2">
      <c r="A1816" s="8" t="s">
        <v>1839</v>
      </c>
      <c r="B1816" s="2" t="s">
        <v>12456</v>
      </c>
    </row>
    <row r="1817" spans="1:2" x14ac:dyDescent="0.2">
      <c r="A1817" s="8" t="s">
        <v>1840</v>
      </c>
      <c r="B1817" s="2" t="s">
        <v>12456</v>
      </c>
    </row>
    <row r="1818" spans="1:2" x14ac:dyDescent="0.2">
      <c r="A1818" s="8" t="s">
        <v>1841</v>
      </c>
      <c r="B1818" s="2" t="s">
        <v>12456</v>
      </c>
    </row>
    <row r="1819" spans="1:2" x14ac:dyDescent="0.2">
      <c r="A1819" s="8" t="s">
        <v>1842</v>
      </c>
      <c r="B1819" s="2" t="s">
        <v>12456</v>
      </c>
    </row>
    <row r="1820" spans="1:2" x14ac:dyDescent="0.2">
      <c r="A1820" s="8" t="s">
        <v>1843</v>
      </c>
      <c r="B1820" s="2" t="s">
        <v>12456</v>
      </c>
    </row>
    <row r="1821" spans="1:2" x14ac:dyDescent="0.2">
      <c r="A1821" s="8" t="s">
        <v>1844</v>
      </c>
      <c r="B1821" s="2" t="s">
        <v>12456</v>
      </c>
    </row>
    <row r="1822" spans="1:2" x14ac:dyDescent="0.2">
      <c r="A1822" s="8" t="s">
        <v>1845</v>
      </c>
      <c r="B1822" s="2" t="s">
        <v>12456</v>
      </c>
    </row>
    <row r="1823" spans="1:2" x14ac:dyDescent="0.2">
      <c r="A1823" s="8" t="s">
        <v>1846</v>
      </c>
      <c r="B1823" s="2" t="s">
        <v>12456</v>
      </c>
    </row>
    <row r="1824" spans="1:2" x14ac:dyDescent="0.2">
      <c r="A1824" s="8" t="s">
        <v>1847</v>
      </c>
      <c r="B1824" s="2" t="s">
        <v>12456</v>
      </c>
    </row>
    <row r="1825" spans="1:2" x14ac:dyDescent="0.2">
      <c r="A1825" s="8" t="s">
        <v>1848</v>
      </c>
      <c r="B1825" s="2" t="s">
        <v>12456</v>
      </c>
    </row>
    <row r="1826" spans="1:2" x14ac:dyDescent="0.2">
      <c r="A1826" s="8" t="s">
        <v>1849</v>
      </c>
      <c r="B1826" s="2" t="s">
        <v>12456</v>
      </c>
    </row>
    <row r="1827" spans="1:2" x14ac:dyDescent="0.2">
      <c r="A1827" s="8" t="s">
        <v>1850</v>
      </c>
      <c r="B1827" s="2" t="s">
        <v>12456</v>
      </c>
    </row>
    <row r="1828" spans="1:2" x14ac:dyDescent="0.2">
      <c r="A1828" s="8" t="s">
        <v>1851</v>
      </c>
      <c r="B1828" s="2" t="s">
        <v>12456</v>
      </c>
    </row>
    <row r="1829" spans="1:2" x14ac:dyDescent="0.2">
      <c r="A1829" s="8" t="s">
        <v>1852</v>
      </c>
      <c r="B1829" s="2" t="s">
        <v>12456</v>
      </c>
    </row>
    <row r="1830" spans="1:2" x14ac:dyDescent="0.2">
      <c r="A1830" s="8" t="s">
        <v>1853</v>
      </c>
      <c r="B1830" s="2" t="s">
        <v>12456</v>
      </c>
    </row>
    <row r="1831" spans="1:2" x14ac:dyDescent="0.2">
      <c r="A1831" s="8" t="s">
        <v>1854</v>
      </c>
      <c r="B1831" s="2" t="s">
        <v>12456</v>
      </c>
    </row>
    <row r="1832" spans="1:2" x14ac:dyDescent="0.2">
      <c r="A1832" s="8" t="s">
        <v>1855</v>
      </c>
      <c r="B1832" s="2" t="s">
        <v>12456</v>
      </c>
    </row>
    <row r="1833" spans="1:2" x14ac:dyDescent="0.2">
      <c r="A1833" s="8" t="s">
        <v>1856</v>
      </c>
      <c r="B1833" s="2" t="s">
        <v>12456</v>
      </c>
    </row>
    <row r="1834" spans="1:2" x14ac:dyDescent="0.2">
      <c r="A1834" s="8" t="s">
        <v>1857</v>
      </c>
      <c r="B1834" s="2" t="s">
        <v>12456</v>
      </c>
    </row>
    <row r="1835" spans="1:2" x14ac:dyDescent="0.2">
      <c r="A1835" s="8" t="s">
        <v>1858</v>
      </c>
      <c r="B1835" s="2" t="s">
        <v>12456</v>
      </c>
    </row>
    <row r="1836" spans="1:2" x14ac:dyDescent="0.2">
      <c r="A1836" s="8" t="s">
        <v>1859</v>
      </c>
      <c r="B1836" s="2" t="s">
        <v>12456</v>
      </c>
    </row>
    <row r="1837" spans="1:2" x14ac:dyDescent="0.2">
      <c r="A1837" s="8" t="s">
        <v>1860</v>
      </c>
      <c r="B1837" s="2" t="s">
        <v>12456</v>
      </c>
    </row>
    <row r="1838" spans="1:2" x14ac:dyDescent="0.2">
      <c r="A1838" s="8" t="s">
        <v>1861</v>
      </c>
      <c r="B1838" s="2" t="s">
        <v>12456</v>
      </c>
    </row>
    <row r="1839" spans="1:2" x14ac:dyDescent="0.2">
      <c r="A1839" s="8" t="s">
        <v>1862</v>
      </c>
      <c r="B1839" s="2" t="s">
        <v>12456</v>
      </c>
    </row>
    <row r="1840" spans="1:2" x14ac:dyDescent="0.2">
      <c r="A1840" s="8" t="s">
        <v>1863</v>
      </c>
      <c r="B1840" s="2" t="s">
        <v>12456</v>
      </c>
    </row>
    <row r="1841" spans="1:2" x14ac:dyDescent="0.2">
      <c r="A1841" s="8" t="s">
        <v>1864</v>
      </c>
      <c r="B1841" s="2" t="s">
        <v>12456</v>
      </c>
    </row>
    <row r="1842" spans="1:2" x14ac:dyDescent="0.2">
      <c r="A1842" s="8" t="s">
        <v>1865</v>
      </c>
      <c r="B1842" s="2" t="s">
        <v>12456</v>
      </c>
    </row>
    <row r="1843" spans="1:2" x14ac:dyDescent="0.2">
      <c r="A1843" s="8" t="s">
        <v>1866</v>
      </c>
      <c r="B1843" s="2" t="s">
        <v>12456</v>
      </c>
    </row>
    <row r="1844" spans="1:2" x14ac:dyDescent="0.2">
      <c r="A1844" s="8" t="s">
        <v>1867</v>
      </c>
      <c r="B1844" s="2" t="s">
        <v>12456</v>
      </c>
    </row>
    <row r="1845" spans="1:2" x14ac:dyDescent="0.2">
      <c r="A1845" s="8" t="s">
        <v>1868</v>
      </c>
      <c r="B1845" s="2" t="s">
        <v>12456</v>
      </c>
    </row>
    <row r="1846" spans="1:2" x14ac:dyDescent="0.2">
      <c r="A1846" s="8" t="s">
        <v>1869</v>
      </c>
      <c r="B1846" s="2" t="s">
        <v>12456</v>
      </c>
    </row>
    <row r="1847" spans="1:2" x14ac:dyDescent="0.2">
      <c r="A1847" s="8" t="s">
        <v>1870</v>
      </c>
      <c r="B1847" s="2" t="s">
        <v>12456</v>
      </c>
    </row>
    <row r="1848" spans="1:2" x14ac:dyDescent="0.2">
      <c r="A1848" s="8" t="s">
        <v>1871</v>
      </c>
      <c r="B1848" s="2" t="s">
        <v>12456</v>
      </c>
    </row>
    <row r="1849" spans="1:2" x14ac:dyDescent="0.2">
      <c r="A1849" s="8" t="s">
        <v>1872</v>
      </c>
      <c r="B1849" s="2" t="s">
        <v>12456</v>
      </c>
    </row>
    <row r="1850" spans="1:2" x14ac:dyDescent="0.2">
      <c r="A1850" s="8" t="s">
        <v>1873</v>
      </c>
      <c r="B1850" s="2" t="s">
        <v>12456</v>
      </c>
    </row>
    <row r="1851" spans="1:2" x14ac:dyDescent="0.2">
      <c r="A1851" s="8" t="s">
        <v>1874</v>
      </c>
      <c r="B1851" s="2" t="s">
        <v>12456</v>
      </c>
    </row>
    <row r="1852" spans="1:2" x14ac:dyDescent="0.2">
      <c r="A1852" s="8" t="s">
        <v>1875</v>
      </c>
      <c r="B1852" s="2" t="s">
        <v>12456</v>
      </c>
    </row>
    <row r="1853" spans="1:2" x14ac:dyDescent="0.2">
      <c r="A1853" s="8" t="s">
        <v>1876</v>
      </c>
      <c r="B1853" s="2" t="s">
        <v>12456</v>
      </c>
    </row>
    <row r="1854" spans="1:2" x14ac:dyDescent="0.2">
      <c r="A1854" s="8" t="s">
        <v>1877</v>
      </c>
      <c r="B1854" s="2" t="s">
        <v>12456</v>
      </c>
    </row>
    <row r="1855" spans="1:2" x14ac:dyDescent="0.2">
      <c r="A1855" s="8" t="s">
        <v>1878</v>
      </c>
      <c r="B1855" s="2" t="s">
        <v>12456</v>
      </c>
    </row>
    <row r="1856" spans="1:2" x14ac:dyDescent="0.2">
      <c r="A1856" s="8" t="s">
        <v>1879</v>
      </c>
      <c r="B1856" s="2" t="s">
        <v>12456</v>
      </c>
    </row>
    <row r="1857" spans="1:2" x14ac:dyDescent="0.2">
      <c r="A1857" s="8" t="s">
        <v>1880</v>
      </c>
      <c r="B1857" s="2" t="s">
        <v>12456</v>
      </c>
    </row>
    <row r="1858" spans="1:2" x14ac:dyDescent="0.2">
      <c r="A1858" s="8" t="s">
        <v>1881</v>
      </c>
      <c r="B1858" s="2" t="s">
        <v>12456</v>
      </c>
    </row>
    <row r="1859" spans="1:2" x14ac:dyDescent="0.2">
      <c r="A1859" s="8" t="s">
        <v>1882</v>
      </c>
      <c r="B1859" s="2" t="s">
        <v>12456</v>
      </c>
    </row>
    <row r="1860" spans="1:2" x14ac:dyDescent="0.2">
      <c r="A1860" s="8" t="s">
        <v>1883</v>
      </c>
      <c r="B1860" s="2" t="s">
        <v>12456</v>
      </c>
    </row>
    <row r="1861" spans="1:2" x14ac:dyDescent="0.2">
      <c r="A1861" s="8" t="s">
        <v>1884</v>
      </c>
      <c r="B1861" s="2" t="s">
        <v>12456</v>
      </c>
    </row>
    <row r="1862" spans="1:2" x14ac:dyDescent="0.2">
      <c r="A1862" s="8" t="s">
        <v>1885</v>
      </c>
      <c r="B1862" s="2" t="s">
        <v>12456</v>
      </c>
    </row>
    <row r="1863" spans="1:2" x14ac:dyDescent="0.2">
      <c r="A1863" s="8" t="s">
        <v>1886</v>
      </c>
      <c r="B1863" s="2" t="s">
        <v>12456</v>
      </c>
    </row>
    <row r="1864" spans="1:2" x14ac:dyDescent="0.2">
      <c r="A1864" s="8" t="s">
        <v>1887</v>
      </c>
      <c r="B1864" s="2" t="s">
        <v>12456</v>
      </c>
    </row>
    <row r="1865" spans="1:2" x14ac:dyDescent="0.2">
      <c r="A1865" s="8" t="s">
        <v>1888</v>
      </c>
      <c r="B1865" s="2" t="s">
        <v>12456</v>
      </c>
    </row>
    <row r="1866" spans="1:2" x14ac:dyDescent="0.2">
      <c r="A1866" s="8" t="s">
        <v>1889</v>
      </c>
      <c r="B1866" s="2" t="s">
        <v>12456</v>
      </c>
    </row>
    <row r="1867" spans="1:2" x14ac:dyDescent="0.2">
      <c r="A1867" s="8" t="s">
        <v>1890</v>
      </c>
      <c r="B1867" s="2" t="s">
        <v>12456</v>
      </c>
    </row>
    <row r="1868" spans="1:2" x14ac:dyDescent="0.2">
      <c r="A1868" s="8" t="s">
        <v>1891</v>
      </c>
      <c r="B1868" s="2" t="s">
        <v>12456</v>
      </c>
    </row>
    <row r="1869" spans="1:2" x14ac:dyDescent="0.2">
      <c r="A1869" s="8" t="s">
        <v>1892</v>
      </c>
      <c r="B1869" s="2" t="s">
        <v>12456</v>
      </c>
    </row>
    <row r="1870" spans="1:2" x14ac:dyDescent="0.2">
      <c r="A1870" s="8" t="s">
        <v>1893</v>
      </c>
      <c r="B1870" s="2" t="s">
        <v>12456</v>
      </c>
    </row>
    <row r="1871" spans="1:2" x14ac:dyDescent="0.2">
      <c r="A1871" s="8" t="s">
        <v>1894</v>
      </c>
      <c r="B1871" s="2" t="s">
        <v>12456</v>
      </c>
    </row>
    <row r="1872" spans="1:2" x14ac:dyDescent="0.2">
      <c r="A1872" s="8" t="s">
        <v>1895</v>
      </c>
      <c r="B1872" s="2" t="s">
        <v>12456</v>
      </c>
    </row>
    <row r="1873" spans="1:2" x14ac:dyDescent="0.2">
      <c r="A1873" s="8" t="s">
        <v>1896</v>
      </c>
      <c r="B1873" s="2" t="s">
        <v>12456</v>
      </c>
    </row>
    <row r="1874" spans="1:2" x14ac:dyDescent="0.2">
      <c r="A1874" s="8" t="s">
        <v>1897</v>
      </c>
      <c r="B1874" s="2" t="s">
        <v>12456</v>
      </c>
    </row>
    <row r="1875" spans="1:2" x14ac:dyDescent="0.2">
      <c r="A1875" s="8" t="s">
        <v>1898</v>
      </c>
      <c r="B1875" s="2" t="s">
        <v>12456</v>
      </c>
    </row>
    <row r="1876" spans="1:2" x14ac:dyDescent="0.2">
      <c r="A1876" s="8" t="s">
        <v>1899</v>
      </c>
      <c r="B1876" s="2" t="s">
        <v>12456</v>
      </c>
    </row>
    <row r="1877" spans="1:2" x14ac:dyDescent="0.2">
      <c r="A1877" s="8" t="s">
        <v>1900</v>
      </c>
      <c r="B1877" s="2" t="s">
        <v>12456</v>
      </c>
    </row>
    <row r="1878" spans="1:2" x14ac:dyDescent="0.2">
      <c r="A1878" s="8" t="s">
        <v>1901</v>
      </c>
      <c r="B1878" s="2" t="s">
        <v>12456</v>
      </c>
    </row>
    <row r="1879" spans="1:2" x14ac:dyDescent="0.2">
      <c r="A1879" s="8" t="s">
        <v>1902</v>
      </c>
      <c r="B1879" s="2" t="s">
        <v>12456</v>
      </c>
    </row>
    <row r="1880" spans="1:2" x14ac:dyDescent="0.2">
      <c r="A1880" s="8" t="s">
        <v>1903</v>
      </c>
      <c r="B1880" s="2" t="s">
        <v>12456</v>
      </c>
    </row>
    <row r="1881" spans="1:2" x14ac:dyDescent="0.2">
      <c r="A1881" s="8" t="s">
        <v>1904</v>
      </c>
      <c r="B1881" s="2" t="s">
        <v>12456</v>
      </c>
    </row>
    <row r="1882" spans="1:2" x14ac:dyDescent="0.2">
      <c r="A1882" s="8" t="s">
        <v>1905</v>
      </c>
      <c r="B1882" s="2" t="s">
        <v>12456</v>
      </c>
    </row>
    <row r="1883" spans="1:2" x14ac:dyDescent="0.2">
      <c r="A1883" s="8" t="s">
        <v>1906</v>
      </c>
      <c r="B1883" s="2" t="s">
        <v>12456</v>
      </c>
    </row>
    <row r="1884" spans="1:2" x14ac:dyDescent="0.2">
      <c r="A1884" s="8" t="s">
        <v>1907</v>
      </c>
      <c r="B1884" s="2" t="s">
        <v>12456</v>
      </c>
    </row>
    <row r="1885" spans="1:2" x14ac:dyDescent="0.2">
      <c r="A1885" s="8" t="s">
        <v>1908</v>
      </c>
      <c r="B1885" s="2" t="s">
        <v>12456</v>
      </c>
    </row>
    <row r="1886" spans="1:2" x14ac:dyDescent="0.2">
      <c r="A1886" s="8" t="s">
        <v>1909</v>
      </c>
      <c r="B1886" s="2" t="s">
        <v>12456</v>
      </c>
    </row>
    <row r="1887" spans="1:2" x14ac:dyDescent="0.2">
      <c r="A1887" s="8" t="s">
        <v>1910</v>
      </c>
      <c r="B1887" s="2" t="s">
        <v>12456</v>
      </c>
    </row>
    <row r="1888" spans="1:2" x14ac:dyDescent="0.2">
      <c r="A1888" s="8" t="s">
        <v>1911</v>
      </c>
      <c r="B1888" s="2" t="s">
        <v>12456</v>
      </c>
    </row>
    <row r="1889" spans="1:2" x14ac:dyDescent="0.2">
      <c r="A1889" s="8" t="s">
        <v>1912</v>
      </c>
      <c r="B1889" s="2" t="s">
        <v>12456</v>
      </c>
    </row>
    <row r="1890" spans="1:2" x14ac:dyDescent="0.2">
      <c r="A1890" s="8" t="s">
        <v>1913</v>
      </c>
      <c r="B1890" s="2" t="s">
        <v>12456</v>
      </c>
    </row>
    <row r="1891" spans="1:2" x14ac:dyDescent="0.2">
      <c r="A1891" s="8" t="s">
        <v>1914</v>
      </c>
      <c r="B1891" s="2" t="s">
        <v>12456</v>
      </c>
    </row>
    <row r="1892" spans="1:2" x14ac:dyDescent="0.2">
      <c r="A1892" s="8" t="s">
        <v>1915</v>
      </c>
      <c r="B1892" s="2" t="s">
        <v>12456</v>
      </c>
    </row>
    <row r="1893" spans="1:2" x14ac:dyDescent="0.2">
      <c r="A1893" s="8" t="s">
        <v>1916</v>
      </c>
      <c r="B1893" s="2" t="s">
        <v>12456</v>
      </c>
    </row>
    <row r="1894" spans="1:2" x14ac:dyDescent="0.2">
      <c r="A1894" s="8" t="s">
        <v>1917</v>
      </c>
      <c r="B1894" s="2" t="s">
        <v>12456</v>
      </c>
    </row>
    <row r="1895" spans="1:2" x14ac:dyDescent="0.2">
      <c r="A1895" s="8" t="s">
        <v>1918</v>
      </c>
      <c r="B1895" s="2" t="s">
        <v>12456</v>
      </c>
    </row>
    <row r="1896" spans="1:2" x14ac:dyDescent="0.2">
      <c r="A1896" s="8" t="s">
        <v>1919</v>
      </c>
      <c r="B1896" s="2" t="s">
        <v>12456</v>
      </c>
    </row>
    <row r="1897" spans="1:2" x14ac:dyDescent="0.2">
      <c r="A1897" s="8" t="s">
        <v>1920</v>
      </c>
      <c r="B1897" s="2" t="s">
        <v>12456</v>
      </c>
    </row>
    <row r="1898" spans="1:2" x14ac:dyDescent="0.2">
      <c r="A1898" s="8" t="s">
        <v>1921</v>
      </c>
      <c r="B1898" s="2" t="s">
        <v>12456</v>
      </c>
    </row>
    <row r="1899" spans="1:2" x14ac:dyDescent="0.2">
      <c r="A1899" s="8" t="s">
        <v>1922</v>
      </c>
      <c r="B1899" s="2" t="s">
        <v>12456</v>
      </c>
    </row>
    <row r="1900" spans="1:2" x14ac:dyDescent="0.2">
      <c r="A1900" s="8" t="s">
        <v>1923</v>
      </c>
      <c r="B1900" s="2" t="s">
        <v>12456</v>
      </c>
    </row>
    <row r="1901" spans="1:2" x14ac:dyDescent="0.2">
      <c r="A1901" s="8" t="s">
        <v>1924</v>
      </c>
      <c r="B1901" s="2" t="s">
        <v>12456</v>
      </c>
    </row>
    <row r="1902" spans="1:2" x14ac:dyDescent="0.2">
      <c r="A1902" s="8" t="s">
        <v>1925</v>
      </c>
      <c r="B1902" s="2" t="s">
        <v>12456</v>
      </c>
    </row>
    <row r="1903" spans="1:2" x14ac:dyDescent="0.2">
      <c r="A1903" s="8" t="s">
        <v>1926</v>
      </c>
      <c r="B1903" s="2" t="s">
        <v>12456</v>
      </c>
    </row>
    <row r="1904" spans="1:2" x14ac:dyDescent="0.2">
      <c r="A1904" s="8" t="s">
        <v>1927</v>
      </c>
      <c r="B1904" s="2" t="s">
        <v>12456</v>
      </c>
    </row>
    <row r="1905" spans="1:2" x14ac:dyDescent="0.2">
      <c r="A1905" s="8" t="s">
        <v>1928</v>
      </c>
      <c r="B1905" s="2" t="s">
        <v>12456</v>
      </c>
    </row>
    <row r="1906" spans="1:2" x14ac:dyDescent="0.2">
      <c r="A1906" s="8" t="s">
        <v>1929</v>
      </c>
      <c r="B1906" s="2" t="s">
        <v>12456</v>
      </c>
    </row>
    <row r="1907" spans="1:2" x14ac:dyDescent="0.2">
      <c r="A1907" s="8" t="s">
        <v>1930</v>
      </c>
      <c r="B1907" s="2" t="s">
        <v>12456</v>
      </c>
    </row>
    <row r="1908" spans="1:2" x14ac:dyDescent="0.2">
      <c r="A1908" s="8" t="s">
        <v>1931</v>
      </c>
      <c r="B1908" s="2" t="s">
        <v>12456</v>
      </c>
    </row>
    <row r="1909" spans="1:2" x14ac:dyDescent="0.2">
      <c r="A1909" s="8" t="s">
        <v>1932</v>
      </c>
      <c r="B1909" s="2" t="s">
        <v>12456</v>
      </c>
    </row>
    <row r="1910" spans="1:2" x14ac:dyDescent="0.2">
      <c r="A1910" s="8" t="s">
        <v>1933</v>
      </c>
      <c r="B1910" s="2" t="s">
        <v>12456</v>
      </c>
    </row>
    <row r="1911" spans="1:2" x14ac:dyDescent="0.2">
      <c r="A1911" s="8" t="s">
        <v>1934</v>
      </c>
      <c r="B1911" s="2" t="s">
        <v>12456</v>
      </c>
    </row>
    <row r="1912" spans="1:2" x14ac:dyDescent="0.2">
      <c r="A1912" s="8" t="s">
        <v>1935</v>
      </c>
      <c r="B1912" s="2" t="s">
        <v>12456</v>
      </c>
    </row>
    <row r="1913" spans="1:2" x14ac:dyDescent="0.2">
      <c r="A1913" s="8" t="s">
        <v>1936</v>
      </c>
      <c r="B1913" s="2" t="s">
        <v>12456</v>
      </c>
    </row>
    <row r="1914" spans="1:2" x14ac:dyDescent="0.2">
      <c r="A1914" s="8" t="s">
        <v>1937</v>
      </c>
      <c r="B1914" s="2" t="s">
        <v>12456</v>
      </c>
    </row>
    <row r="1915" spans="1:2" x14ac:dyDescent="0.2">
      <c r="A1915" s="8" t="s">
        <v>1938</v>
      </c>
      <c r="B1915" s="2" t="s">
        <v>12456</v>
      </c>
    </row>
    <row r="1916" spans="1:2" x14ac:dyDescent="0.2">
      <c r="A1916" s="8" t="s">
        <v>1939</v>
      </c>
      <c r="B1916" s="2" t="s">
        <v>12456</v>
      </c>
    </row>
    <row r="1917" spans="1:2" x14ac:dyDescent="0.2">
      <c r="A1917" s="8" t="s">
        <v>1940</v>
      </c>
      <c r="B1917" s="2" t="s">
        <v>12456</v>
      </c>
    </row>
    <row r="1918" spans="1:2" x14ac:dyDescent="0.2">
      <c r="A1918" s="8" t="s">
        <v>1941</v>
      </c>
      <c r="B1918" s="2" t="s">
        <v>12456</v>
      </c>
    </row>
    <row r="1919" spans="1:2" x14ac:dyDescent="0.2">
      <c r="A1919" s="8" t="s">
        <v>1942</v>
      </c>
      <c r="B1919" s="2" t="s">
        <v>12456</v>
      </c>
    </row>
    <row r="1920" spans="1:2" x14ac:dyDescent="0.2">
      <c r="A1920" s="8" t="s">
        <v>1943</v>
      </c>
      <c r="B1920" s="2" t="s">
        <v>12456</v>
      </c>
    </row>
    <row r="1921" spans="1:2" x14ac:dyDescent="0.2">
      <c r="A1921" s="8" t="s">
        <v>1944</v>
      </c>
      <c r="B1921" s="2" t="s">
        <v>12456</v>
      </c>
    </row>
    <row r="1922" spans="1:2" x14ac:dyDescent="0.2">
      <c r="A1922" s="8" t="s">
        <v>1945</v>
      </c>
      <c r="B1922" s="2" t="s">
        <v>12456</v>
      </c>
    </row>
    <row r="1923" spans="1:2" x14ac:dyDescent="0.2">
      <c r="A1923" s="8" t="s">
        <v>1946</v>
      </c>
      <c r="B1923" s="2" t="s">
        <v>12456</v>
      </c>
    </row>
    <row r="1924" spans="1:2" x14ac:dyDescent="0.2">
      <c r="A1924" s="8" t="s">
        <v>1947</v>
      </c>
      <c r="B1924" s="2" t="s">
        <v>12456</v>
      </c>
    </row>
    <row r="1925" spans="1:2" x14ac:dyDescent="0.2">
      <c r="A1925" s="8" t="s">
        <v>1948</v>
      </c>
      <c r="B1925" s="2" t="s">
        <v>12456</v>
      </c>
    </row>
    <row r="1926" spans="1:2" x14ac:dyDescent="0.2">
      <c r="A1926" s="8" t="s">
        <v>1949</v>
      </c>
      <c r="B1926" s="2" t="s">
        <v>12456</v>
      </c>
    </row>
    <row r="1927" spans="1:2" x14ac:dyDescent="0.2">
      <c r="A1927" s="8" t="s">
        <v>1950</v>
      </c>
      <c r="B1927" s="2" t="s">
        <v>12456</v>
      </c>
    </row>
    <row r="1928" spans="1:2" x14ac:dyDescent="0.2">
      <c r="A1928" s="8" t="s">
        <v>1951</v>
      </c>
      <c r="B1928" s="2" t="s">
        <v>12456</v>
      </c>
    </row>
    <row r="1929" spans="1:2" x14ac:dyDescent="0.2">
      <c r="A1929" s="8" t="s">
        <v>1952</v>
      </c>
      <c r="B1929" s="2" t="s">
        <v>12456</v>
      </c>
    </row>
    <row r="1930" spans="1:2" x14ac:dyDescent="0.2">
      <c r="A1930" s="8" t="s">
        <v>1953</v>
      </c>
      <c r="B1930" s="2" t="s">
        <v>12456</v>
      </c>
    </row>
    <row r="1931" spans="1:2" x14ac:dyDescent="0.2">
      <c r="A1931" s="8" t="s">
        <v>1954</v>
      </c>
      <c r="B1931" s="2" t="s">
        <v>12456</v>
      </c>
    </row>
    <row r="1932" spans="1:2" x14ac:dyDescent="0.2">
      <c r="A1932" s="8" t="s">
        <v>1955</v>
      </c>
      <c r="B1932" s="2" t="s">
        <v>12456</v>
      </c>
    </row>
    <row r="1933" spans="1:2" x14ac:dyDescent="0.2">
      <c r="A1933" s="8" t="s">
        <v>1956</v>
      </c>
      <c r="B1933" s="2" t="s">
        <v>12456</v>
      </c>
    </row>
    <row r="1934" spans="1:2" x14ac:dyDescent="0.2">
      <c r="A1934" s="8" t="s">
        <v>1957</v>
      </c>
      <c r="B1934" s="2" t="s">
        <v>12456</v>
      </c>
    </row>
    <row r="1935" spans="1:2" x14ac:dyDescent="0.2">
      <c r="A1935" s="8" t="s">
        <v>1958</v>
      </c>
      <c r="B1935" s="2" t="s">
        <v>12456</v>
      </c>
    </row>
    <row r="1936" spans="1:2" x14ac:dyDescent="0.2">
      <c r="A1936" s="8" t="s">
        <v>1959</v>
      </c>
      <c r="B1936" s="2" t="s">
        <v>12456</v>
      </c>
    </row>
    <row r="1937" spans="1:2" x14ac:dyDescent="0.2">
      <c r="A1937" s="8" t="s">
        <v>1960</v>
      </c>
      <c r="B1937" s="2" t="s">
        <v>12456</v>
      </c>
    </row>
    <row r="1938" spans="1:2" x14ac:dyDescent="0.2">
      <c r="A1938" s="8" t="s">
        <v>1961</v>
      </c>
      <c r="B1938" s="2" t="s">
        <v>12456</v>
      </c>
    </row>
    <row r="1939" spans="1:2" x14ac:dyDescent="0.2">
      <c r="A1939" s="8" t="s">
        <v>1962</v>
      </c>
      <c r="B1939" s="2" t="s">
        <v>12456</v>
      </c>
    </row>
    <row r="1940" spans="1:2" x14ac:dyDescent="0.2">
      <c r="A1940" s="8" t="s">
        <v>1963</v>
      </c>
      <c r="B1940" s="2" t="s">
        <v>12456</v>
      </c>
    </row>
    <row r="1941" spans="1:2" x14ac:dyDescent="0.2">
      <c r="A1941" s="8" t="s">
        <v>1964</v>
      </c>
      <c r="B1941" s="2" t="s">
        <v>12456</v>
      </c>
    </row>
    <row r="1942" spans="1:2" x14ac:dyDescent="0.2">
      <c r="A1942" s="8" t="s">
        <v>1965</v>
      </c>
      <c r="B1942" s="2" t="s">
        <v>12456</v>
      </c>
    </row>
    <row r="1943" spans="1:2" x14ac:dyDescent="0.2">
      <c r="A1943" s="8" t="s">
        <v>1966</v>
      </c>
      <c r="B1943" s="2" t="s">
        <v>12456</v>
      </c>
    </row>
    <row r="1944" spans="1:2" x14ac:dyDescent="0.2">
      <c r="A1944" s="8" t="s">
        <v>1967</v>
      </c>
      <c r="B1944" s="2" t="s">
        <v>12456</v>
      </c>
    </row>
    <row r="1945" spans="1:2" x14ac:dyDescent="0.2">
      <c r="A1945" s="8" t="s">
        <v>1968</v>
      </c>
      <c r="B1945" s="2" t="s">
        <v>12456</v>
      </c>
    </row>
    <row r="1946" spans="1:2" x14ac:dyDescent="0.2">
      <c r="A1946" s="8" t="s">
        <v>1969</v>
      </c>
      <c r="B1946" s="2" t="s">
        <v>12456</v>
      </c>
    </row>
    <row r="1947" spans="1:2" x14ac:dyDescent="0.2">
      <c r="A1947" s="8" t="s">
        <v>1970</v>
      </c>
      <c r="B1947" s="2" t="s">
        <v>12456</v>
      </c>
    </row>
    <row r="1948" spans="1:2" x14ac:dyDescent="0.2">
      <c r="A1948" s="8" t="s">
        <v>1971</v>
      </c>
      <c r="B1948" s="2" t="s">
        <v>12456</v>
      </c>
    </row>
    <row r="1949" spans="1:2" x14ac:dyDescent="0.2">
      <c r="A1949" s="8" t="s">
        <v>1972</v>
      </c>
      <c r="B1949" s="2" t="s">
        <v>12456</v>
      </c>
    </row>
    <row r="1950" spans="1:2" x14ac:dyDescent="0.2">
      <c r="A1950" s="8" t="s">
        <v>1973</v>
      </c>
      <c r="B1950" s="2" t="s">
        <v>12456</v>
      </c>
    </row>
    <row r="1951" spans="1:2" x14ac:dyDescent="0.2">
      <c r="A1951" s="8" t="s">
        <v>1974</v>
      </c>
      <c r="B1951" s="2" t="s">
        <v>12456</v>
      </c>
    </row>
    <row r="1952" spans="1:2" x14ac:dyDescent="0.2">
      <c r="A1952" s="8" t="s">
        <v>1975</v>
      </c>
      <c r="B1952" s="2" t="s">
        <v>12456</v>
      </c>
    </row>
    <row r="1953" spans="1:2" x14ac:dyDescent="0.2">
      <c r="A1953" s="8" t="s">
        <v>1976</v>
      </c>
      <c r="B1953" s="2" t="s">
        <v>12456</v>
      </c>
    </row>
    <row r="1954" spans="1:2" x14ac:dyDescent="0.2">
      <c r="A1954" s="8" t="s">
        <v>1977</v>
      </c>
      <c r="B1954" s="2" t="s">
        <v>12456</v>
      </c>
    </row>
    <row r="1955" spans="1:2" x14ac:dyDescent="0.2">
      <c r="A1955" s="8" t="s">
        <v>1978</v>
      </c>
      <c r="B1955" s="2" t="s">
        <v>12456</v>
      </c>
    </row>
    <row r="1956" spans="1:2" x14ac:dyDescent="0.2">
      <c r="A1956" s="8" t="s">
        <v>1979</v>
      </c>
      <c r="B1956" s="2" t="s">
        <v>12456</v>
      </c>
    </row>
    <row r="1957" spans="1:2" x14ac:dyDescent="0.2">
      <c r="A1957" s="8" t="s">
        <v>1980</v>
      </c>
      <c r="B1957" s="2" t="s">
        <v>12456</v>
      </c>
    </row>
    <row r="1958" spans="1:2" x14ac:dyDescent="0.2">
      <c r="A1958" s="8" t="s">
        <v>1981</v>
      </c>
      <c r="B1958" s="2" t="s">
        <v>12456</v>
      </c>
    </row>
    <row r="1959" spans="1:2" x14ac:dyDescent="0.2">
      <c r="A1959" s="8" t="s">
        <v>1982</v>
      </c>
      <c r="B1959" s="2" t="s">
        <v>12456</v>
      </c>
    </row>
    <row r="1960" spans="1:2" x14ac:dyDescent="0.2">
      <c r="A1960" s="8" t="s">
        <v>1983</v>
      </c>
      <c r="B1960" s="2" t="s">
        <v>12456</v>
      </c>
    </row>
    <row r="1961" spans="1:2" x14ac:dyDescent="0.2">
      <c r="A1961" s="8" t="s">
        <v>1984</v>
      </c>
      <c r="B1961" s="2" t="s">
        <v>12456</v>
      </c>
    </row>
    <row r="1962" spans="1:2" x14ac:dyDescent="0.2">
      <c r="A1962" s="8" t="s">
        <v>1985</v>
      </c>
      <c r="B1962" s="2" t="s">
        <v>12456</v>
      </c>
    </row>
    <row r="1963" spans="1:2" x14ac:dyDescent="0.2">
      <c r="A1963" s="8" t="s">
        <v>1986</v>
      </c>
      <c r="B1963" s="2" t="s">
        <v>12456</v>
      </c>
    </row>
    <row r="1964" spans="1:2" x14ac:dyDescent="0.2">
      <c r="A1964" s="8" t="s">
        <v>1987</v>
      </c>
      <c r="B1964" s="2" t="s">
        <v>12456</v>
      </c>
    </row>
    <row r="1965" spans="1:2" x14ac:dyDescent="0.2">
      <c r="A1965" s="8" t="s">
        <v>1988</v>
      </c>
      <c r="B1965" s="2" t="s">
        <v>12456</v>
      </c>
    </row>
    <row r="1966" spans="1:2" x14ac:dyDescent="0.2">
      <c r="A1966" s="8" t="s">
        <v>1989</v>
      </c>
      <c r="B1966" s="2" t="s">
        <v>12456</v>
      </c>
    </row>
    <row r="1967" spans="1:2" x14ac:dyDescent="0.2">
      <c r="A1967" s="8" t="s">
        <v>1990</v>
      </c>
      <c r="B1967" s="2" t="s">
        <v>12456</v>
      </c>
    </row>
    <row r="1968" spans="1:2" x14ac:dyDescent="0.2">
      <c r="A1968" s="8" t="s">
        <v>1991</v>
      </c>
      <c r="B1968" s="2" t="s">
        <v>12456</v>
      </c>
    </row>
    <row r="1969" spans="1:2" x14ac:dyDescent="0.2">
      <c r="A1969" s="8" t="s">
        <v>1992</v>
      </c>
      <c r="B1969" s="2" t="s">
        <v>12456</v>
      </c>
    </row>
    <row r="1970" spans="1:2" x14ac:dyDescent="0.2">
      <c r="A1970" s="8" t="s">
        <v>1993</v>
      </c>
      <c r="B1970" s="2" t="s">
        <v>12456</v>
      </c>
    </row>
    <row r="1971" spans="1:2" x14ac:dyDescent="0.2">
      <c r="A1971" s="8" t="s">
        <v>1994</v>
      </c>
      <c r="B1971" s="2" t="s">
        <v>12456</v>
      </c>
    </row>
    <row r="1972" spans="1:2" x14ac:dyDescent="0.2">
      <c r="A1972" s="8" t="s">
        <v>1995</v>
      </c>
      <c r="B1972" s="2" t="s">
        <v>12456</v>
      </c>
    </row>
    <row r="1973" spans="1:2" x14ac:dyDescent="0.2">
      <c r="A1973" s="8" t="s">
        <v>1996</v>
      </c>
      <c r="B1973" s="2" t="s">
        <v>12456</v>
      </c>
    </row>
    <row r="1974" spans="1:2" x14ac:dyDescent="0.2">
      <c r="A1974" s="8" t="s">
        <v>1997</v>
      </c>
      <c r="B1974" s="2" t="s">
        <v>12456</v>
      </c>
    </row>
    <row r="1975" spans="1:2" x14ac:dyDescent="0.2">
      <c r="A1975" s="8" t="s">
        <v>1998</v>
      </c>
      <c r="B1975" s="2" t="s">
        <v>12456</v>
      </c>
    </row>
    <row r="1976" spans="1:2" x14ac:dyDescent="0.2">
      <c r="A1976" s="8" t="s">
        <v>1999</v>
      </c>
      <c r="B1976" s="2" t="s">
        <v>12456</v>
      </c>
    </row>
    <row r="1977" spans="1:2" x14ac:dyDescent="0.2">
      <c r="A1977" s="8" t="s">
        <v>2000</v>
      </c>
      <c r="B1977" s="2" t="s">
        <v>12456</v>
      </c>
    </row>
    <row r="1978" spans="1:2" x14ac:dyDescent="0.2">
      <c r="A1978" s="8" t="s">
        <v>2001</v>
      </c>
      <c r="B1978" s="2" t="s">
        <v>12456</v>
      </c>
    </row>
    <row r="1979" spans="1:2" x14ac:dyDescent="0.2">
      <c r="A1979" s="8" t="s">
        <v>2002</v>
      </c>
      <c r="B1979" s="2" t="s">
        <v>12456</v>
      </c>
    </row>
    <row r="1980" spans="1:2" x14ac:dyDescent="0.2">
      <c r="A1980" s="8" t="s">
        <v>2003</v>
      </c>
      <c r="B1980" s="2" t="s">
        <v>12456</v>
      </c>
    </row>
    <row r="1981" spans="1:2" x14ac:dyDescent="0.2">
      <c r="A1981" s="8" t="s">
        <v>2004</v>
      </c>
      <c r="B1981" s="2" t="s">
        <v>12456</v>
      </c>
    </row>
    <row r="1982" spans="1:2" x14ac:dyDescent="0.2">
      <c r="A1982" s="8" t="s">
        <v>2005</v>
      </c>
      <c r="B1982" s="2" t="s">
        <v>12456</v>
      </c>
    </row>
    <row r="1983" spans="1:2" x14ac:dyDescent="0.2">
      <c r="A1983" s="8" t="s">
        <v>2006</v>
      </c>
      <c r="B1983" s="2" t="s">
        <v>12456</v>
      </c>
    </row>
    <row r="1984" spans="1:2" x14ac:dyDescent="0.2">
      <c r="A1984" s="8" t="s">
        <v>2007</v>
      </c>
      <c r="B1984" s="2" t="s">
        <v>12456</v>
      </c>
    </row>
    <row r="1985" spans="1:2" x14ac:dyDescent="0.2">
      <c r="A1985" s="8" t="s">
        <v>2008</v>
      </c>
      <c r="B1985" s="2" t="s">
        <v>12456</v>
      </c>
    </row>
    <row r="1986" spans="1:2" x14ac:dyDescent="0.2">
      <c r="A1986" s="8" t="s">
        <v>2009</v>
      </c>
      <c r="B1986" s="2" t="s">
        <v>12456</v>
      </c>
    </row>
    <row r="1987" spans="1:2" x14ac:dyDescent="0.2">
      <c r="A1987" s="8" t="s">
        <v>2010</v>
      </c>
      <c r="B1987" s="2" t="s">
        <v>12456</v>
      </c>
    </row>
    <row r="1988" spans="1:2" x14ac:dyDescent="0.2">
      <c r="A1988" s="8" t="s">
        <v>2011</v>
      </c>
      <c r="B1988" s="2" t="s">
        <v>12456</v>
      </c>
    </row>
    <row r="1989" spans="1:2" x14ac:dyDescent="0.2">
      <c r="A1989" s="8" t="s">
        <v>2012</v>
      </c>
      <c r="B1989" s="2" t="s">
        <v>12456</v>
      </c>
    </row>
    <row r="1990" spans="1:2" x14ac:dyDescent="0.2">
      <c r="A1990" s="8" t="s">
        <v>2013</v>
      </c>
      <c r="B1990" s="2" t="s">
        <v>12456</v>
      </c>
    </row>
    <row r="1991" spans="1:2" x14ac:dyDescent="0.2">
      <c r="A1991" s="8" t="s">
        <v>2014</v>
      </c>
      <c r="B1991" s="2" t="s">
        <v>12456</v>
      </c>
    </row>
    <row r="1992" spans="1:2" x14ac:dyDescent="0.2">
      <c r="A1992" s="8" t="s">
        <v>2015</v>
      </c>
      <c r="B1992" s="2" t="s">
        <v>12456</v>
      </c>
    </row>
    <row r="1993" spans="1:2" x14ac:dyDescent="0.2">
      <c r="A1993" s="8" t="s">
        <v>2016</v>
      </c>
      <c r="B1993" s="2" t="s">
        <v>12456</v>
      </c>
    </row>
    <row r="1994" spans="1:2" x14ac:dyDescent="0.2">
      <c r="A1994" s="8" t="s">
        <v>2017</v>
      </c>
      <c r="B1994" s="2" t="s">
        <v>12456</v>
      </c>
    </row>
    <row r="1995" spans="1:2" x14ac:dyDescent="0.2">
      <c r="A1995" s="8" t="s">
        <v>2018</v>
      </c>
      <c r="B1995" s="2" t="s">
        <v>12456</v>
      </c>
    </row>
    <row r="1996" spans="1:2" x14ac:dyDescent="0.2">
      <c r="A1996" s="8" t="s">
        <v>2019</v>
      </c>
      <c r="B1996" s="2" t="s">
        <v>12456</v>
      </c>
    </row>
    <row r="1997" spans="1:2" x14ac:dyDescent="0.2">
      <c r="A1997" s="8" t="s">
        <v>2020</v>
      </c>
      <c r="B1997" s="2" t="s">
        <v>12456</v>
      </c>
    </row>
    <row r="1998" spans="1:2" x14ac:dyDescent="0.2">
      <c r="A1998" s="8" t="s">
        <v>2021</v>
      </c>
      <c r="B1998" s="2" t="s">
        <v>12456</v>
      </c>
    </row>
    <row r="1999" spans="1:2" x14ac:dyDescent="0.2">
      <c r="A1999" s="8" t="s">
        <v>2022</v>
      </c>
      <c r="B1999" s="2" t="s">
        <v>12456</v>
      </c>
    </row>
    <row r="2000" spans="1:2" x14ac:dyDescent="0.2">
      <c r="A2000" s="8" t="s">
        <v>2023</v>
      </c>
      <c r="B2000" s="2" t="s">
        <v>12456</v>
      </c>
    </row>
    <row r="2001" spans="1:2" x14ac:dyDescent="0.2">
      <c r="A2001" s="8" t="s">
        <v>2024</v>
      </c>
      <c r="B2001" s="2" t="s">
        <v>12456</v>
      </c>
    </row>
    <row r="2002" spans="1:2" x14ac:dyDescent="0.2">
      <c r="A2002" s="8" t="s">
        <v>2025</v>
      </c>
      <c r="B2002" s="2" t="s">
        <v>12456</v>
      </c>
    </row>
    <row r="2003" spans="1:2" x14ac:dyDescent="0.2">
      <c r="A2003" s="8" t="s">
        <v>2026</v>
      </c>
      <c r="B2003" s="2" t="s">
        <v>12456</v>
      </c>
    </row>
    <row r="2004" spans="1:2" x14ac:dyDescent="0.2">
      <c r="A2004" s="8" t="s">
        <v>2027</v>
      </c>
      <c r="B2004" s="2" t="s">
        <v>12456</v>
      </c>
    </row>
    <row r="2005" spans="1:2" x14ac:dyDescent="0.2">
      <c r="A2005" s="8" t="s">
        <v>2028</v>
      </c>
      <c r="B2005" s="2" t="s">
        <v>12456</v>
      </c>
    </row>
    <row r="2006" spans="1:2" x14ac:dyDescent="0.2">
      <c r="A2006" s="8" t="s">
        <v>2029</v>
      </c>
      <c r="B2006" s="2" t="s">
        <v>12456</v>
      </c>
    </row>
    <row r="2007" spans="1:2" x14ac:dyDescent="0.2">
      <c r="A2007" s="8" t="s">
        <v>2030</v>
      </c>
      <c r="B2007" s="2" t="s">
        <v>12456</v>
      </c>
    </row>
    <row r="2008" spans="1:2" x14ac:dyDescent="0.2">
      <c r="A2008" s="8" t="s">
        <v>2031</v>
      </c>
      <c r="B2008" s="2" t="s">
        <v>12456</v>
      </c>
    </row>
    <row r="2009" spans="1:2" x14ac:dyDescent="0.2">
      <c r="A2009" s="8" t="s">
        <v>2032</v>
      </c>
      <c r="B2009" s="2" t="s">
        <v>12456</v>
      </c>
    </row>
    <row r="2010" spans="1:2" x14ac:dyDescent="0.2">
      <c r="A2010" s="8" t="s">
        <v>2033</v>
      </c>
      <c r="B2010" s="2" t="s">
        <v>12456</v>
      </c>
    </row>
    <row r="2011" spans="1:2" x14ac:dyDescent="0.2">
      <c r="A2011" s="8" t="s">
        <v>2034</v>
      </c>
      <c r="B2011" s="2" t="s">
        <v>12456</v>
      </c>
    </row>
    <row r="2012" spans="1:2" x14ac:dyDescent="0.2">
      <c r="A2012" s="8" t="s">
        <v>2035</v>
      </c>
      <c r="B2012" s="2" t="s">
        <v>12456</v>
      </c>
    </row>
    <row r="2013" spans="1:2" x14ac:dyDescent="0.2">
      <c r="A2013" s="8" t="s">
        <v>2036</v>
      </c>
      <c r="B2013" s="2" t="s">
        <v>12456</v>
      </c>
    </row>
    <row r="2014" spans="1:2" x14ac:dyDescent="0.2">
      <c r="A2014" s="8" t="s">
        <v>2037</v>
      </c>
      <c r="B2014" s="2" t="s">
        <v>12456</v>
      </c>
    </row>
    <row r="2015" spans="1:2" x14ac:dyDescent="0.2">
      <c r="A2015" s="8" t="s">
        <v>2038</v>
      </c>
      <c r="B2015" s="2" t="s">
        <v>12456</v>
      </c>
    </row>
    <row r="2016" spans="1:2" x14ac:dyDescent="0.2">
      <c r="A2016" s="8" t="s">
        <v>2039</v>
      </c>
      <c r="B2016" s="2" t="s">
        <v>12456</v>
      </c>
    </row>
    <row r="2017" spans="1:2" x14ac:dyDescent="0.2">
      <c r="A2017" s="8" t="s">
        <v>2040</v>
      </c>
      <c r="B2017" s="2" t="s">
        <v>12456</v>
      </c>
    </row>
    <row r="2018" spans="1:2" x14ac:dyDescent="0.2">
      <c r="A2018" s="8" t="s">
        <v>2041</v>
      </c>
      <c r="B2018" s="2" t="s">
        <v>12456</v>
      </c>
    </row>
    <row r="2019" spans="1:2" x14ac:dyDescent="0.2">
      <c r="A2019" s="8" t="s">
        <v>2042</v>
      </c>
      <c r="B2019" s="2" t="s">
        <v>12456</v>
      </c>
    </row>
    <row r="2020" spans="1:2" x14ac:dyDescent="0.2">
      <c r="A2020" s="8" t="s">
        <v>2043</v>
      </c>
      <c r="B2020" s="2" t="s">
        <v>12456</v>
      </c>
    </row>
    <row r="2021" spans="1:2" x14ac:dyDescent="0.2">
      <c r="A2021" s="8" t="s">
        <v>2044</v>
      </c>
      <c r="B2021" s="2" t="s">
        <v>12456</v>
      </c>
    </row>
    <row r="2022" spans="1:2" x14ac:dyDescent="0.2">
      <c r="A2022" s="8" t="s">
        <v>2045</v>
      </c>
      <c r="B2022" s="2" t="s">
        <v>12456</v>
      </c>
    </row>
    <row r="2023" spans="1:2" x14ac:dyDescent="0.2">
      <c r="A2023" s="8" t="s">
        <v>2046</v>
      </c>
      <c r="B2023" s="2" t="s">
        <v>12456</v>
      </c>
    </row>
    <row r="2024" spans="1:2" x14ac:dyDescent="0.2">
      <c r="A2024" s="8" t="s">
        <v>2047</v>
      </c>
      <c r="B2024" s="2" t="s">
        <v>12456</v>
      </c>
    </row>
    <row r="2025" spans="1:2" x14ac:dyDescent="0.2">
      <c r="A2025" s="8" t="s">
        <v>2048</v>
      </c>
      <c r="B2025" s="2" t="s">
        <v>12456</v>
      </c>
    </row>
    <row r="2026" spans="1:2" x14ac:dyDescent="0.2">
      <c r="A2026" s="8" t="s">
        <v>2049</v>
      </c>
      <c r="B2026" s="2" t="s">
        <v>12456</v>
      </c>
    </row>
    <row r="2027" spans="1:2" x14ac:dyDescent="0.2">
      <c r="A2027" s="8" t="s">
        <v>2050</v>
      </c>
      <c r="B2027" s="2" t="s">
        <v>12456</v>
      </c>
    </row>
    <row r="2028" spans="1:2" x14ac:dyDescent="0.2">
      <c r="A2028" s="8" t="s">
        <v>2051</v>
      </c>
      <c r="B2028" s="2" t="s">
        <v>12456</v>
      </c>
    </row>
    <row r="2029" spans="1:2" x14ac:dyDescent="0.2">
      <c r="A2029" s="8" t="s">
        <v>2052</v>
      </c>
      <c r="B2029" s="2" t="s">
        <v>12456</v>
      </c>
    </row>
    <row r="2030" spans="1:2" x14ac:dyDescent="0.2">
      <c r="A2030" s="8" t="s">
        <v>2053</v>
      </c>
      <c r="B2030" s="2" t="s">
        <v>12456</v>
      </c>
    </row>
    <row r="2031" spans="1:2" x14ac:dyDescent="0.2">
      <c r="A2031" s="8" t="s">
        <v>2054</v>
      </c>
      <c r="B2031" s="2" t="s">
        <v>12456</v>
      </c>
    </row>
    <row r="2032" spans="1:2" x14ac:dyDescent="0.2">
      <c r="A2032" s="8" t="s">
        <v>2055</v>
      </c>
      <c r="B2032" s="2" t="s">
        <v>12456</v>
      </c>
    </row>
    <row r="2033" spans="1:2" x14ac:dyDescent="0.2">
      <c r="A2033" s="8" t="s">
        <v>2056</v>
      </c>
      <c r="B2033" s="2" t="s">
        <v>12456</v>
      </c>
    </row>
    <row r="2034" spans="1:2" x14ac:dyDescent="0.2">
      <c r="A2034" s="8" t="s">
        <v>2057</v>
      </c>
      <c r="B2034" s="2" t="s">
        <v>12456</v>
      </c>
    </row>
    <row r="2035" spans="1:2" x14ac:dyDescent="0.2">
      <c r="A2035" s="8" t="s">
        <v>2058</v>
      </c>
      <c r="B2035" s="2" t="s">
        <v>12456</v>
      </c>
    </row>
    <row r="2036" spans="1:2" x14ac:dyDescent="0.2">
      <c r="A2036" s="8" t="s">
        <v>2059</v>
      </c>
      <c r="B2036" s="2" t="s">
        <v>12456</v>
      </c>
    </row>
    <row r="2037" spans="1:2" x14ac:dyDescent="0.2">
      <c r="A2037" s="8" t="s">
        <v>2060</v>
      </c>
      <c r="B2037" s="2" t="s">
        <v>12456</v>
      </c>
    </row>
    <row r="2038" spans="1:2" x14ac:dyDescent="0.2">
      <c r="A2038" s="8" t="s">
        <v>2061</v>
      </c>
      <c r="B2038" s="2" t="s">
        <v>12456</v>
      </c>
    </row>
    <row r="2039" spans="1:2" x14ac:dyDescent="0.2">
      <c r="A2039" s="8" t="s">
        <v>2062</v>
      </c>
      <c r="B2039" s="2" t="s">
        <v>12456</v>
      </c>
    </row>
    <row r="2040" spans="1:2" x14ac:dyDescent="0.2">
      <c r="A2040" s="8" t="s">
        <v>2063</v>
      </c>
      <c r="B2040" s="2" t="s">
        <v>12456</v>
      </c>
    </row>
    <row r="2041" spans="1:2" x14ac:dyDescent="0.2">
      <c r="A2041" s="8" t="s">
        <v>2064</v>
      </c>
      <c r="B2041" s="2" t="s">
        <v>12457</v>
      </c>
    </row>
    <row r="2042" spans="1:2" x14ac:dyDescent="0.2">
      <c r="A2042" s="8" t="s">
        <v>2065</v>
      </c>
      <c r="B2042" s="2" t="s">
        <v>12457</v>
      </c>
    </row>
    <row r="2043" spans="1:2" x14ac:dyDescent="0.2">
      <c r="A2043" s="8" t="s">
        <v>2066</v>
      </c>
      <c r="B2043" s="2" t="s">
        <v>12457</v>
      </c>
    </row>
    <row r="2044" spans="1:2" x14ac:dyDescent="0.2">
      <c r="A2044" s="8" t="s">
        <v>2067</v>
      </c>
      <c r="B2044" s="2" t="s">
        <v>12457</v>
      </c>
    </row>
    <row r="2045" spans="1:2" x14ac:dyDescent="0.2">
      <c r="A2045" s="8" t="s">
        <v>2068</v>
      </c>
      <c r="B2045" s="2" t="s">
        <v>12457</v>
      </c>
    </row>
    <row r="2046" spans="1:2" x14ac:dyDescent="0.2">
      <c r="A2046" s="8" t="s">
        <v>2069</v>
      </c>
      <c r="B2046" s="2" t="s">
        <v>12457</v>
      </c>
    </row>
    <row r="2047" spans="1:2" x14ac:dyDescent="0.2">
      <c r="A2047" s="8" t="s">
        <v>2070</v>
      </c>
      <c r="B2047" s="2" t="s">
        <v>12457</v>
      </c>
    </row>
    <row r="2048" spans="1:2" x14ac:dyDescent="0.2">
      <c r="A2048" s="8" t="s">
        <v>2071</v>
      </c>
      <c r="B2048" s="2" t="s">
        <v>12457</v>
      </c>
    </row>
    <row r="2049" spans="1:2" x14ac:dyDescent="0.2">
      <c r="A2049" s="8" t="s">
        <v>2072</v>
      </c>
      <c r="B2049" s="2" t="s">
        <v>12457</v>
      </c>
    </row>
    <row r="2050" spans="1:2" x14ac:dyDescent="0.2">
      <c r="A2050" s="8" t="s">
        <v>2073</v>
      </c>
      <c r="B2050" s="2" t="s">
        <v>12457</v>
      </c>
    </row>
    <row r="2051" spans="1:2" x14ac:dyDescent="0.2">
      <c r="A2051" s="8" t="s">
        <v>2074</v>
      </c>
      <c r="B2051" s="2" t="s">
        <v>12457</v>
      </c>
    </row>
    <row r="2052" spans="1:2" x14ac:dyDescent="0.2">
      <c r="A2052" s="8" t="s">
        <v>2075</v>
      </c>
      <c r="B2052" s="2" t="s">
        <v>12457</v>
      </c>
    </row>
    <row r="2053" spans="1:2" x14ac:dyDescent="0.2">
      <c r="A2053" s="8" t="s">
        <v>2076</v>
      </c>
      <c r="B2053" s="2" t="s">
        <v>12457</v>
      </c>
    </row>
    <row r="2054" spans="1:2" x14ac:dyDescent="0.2">
      <c r="A2054" s="8" t="s">
        <v>2077</v>
      </c>
      <c r="B2054" s="2" t="s">
        <v>12457</v>
      </c>
    </row>
    <row r="2055" spans="1:2" x14ac:dyDescent="0.2">
      <c r="A2055" s="8" t="s">
        <v>2078</v>
      </c>
      <c r="B2055" s="2" t="s">
        <v>12457</v>
      </c>
    </row>
    <row r="2056" spans="1:2" x14ac:dyDescent="0.2">
      <c r="A2056" s="8" t="s">
        <v>2079</v>
      </c>
      <c r="B2056" s="2" t="s">
        <v>12457</v>
      </c>
    </row>
    <row r="2057" spans="1:2" x14ac:dyDescent="0.2">
      <c r="A2057" s="8" t="s">
        <v>2080</v>
      </c>
      <c r="B2057" s="2" t="s">
        <v>12457</v>
      </c>
    </row>
    <row r="2058" spans="1:2" x14ac:dyDescent="0.2">
      <c r="A2058" s="8" t="s">
        <v>2081</v>
      </c>
      <c r="B2058" s="2" t="s">
        <v>12457</v>
      </c>
    </row>
    <row r="2059" spans="1:2" x14ac:dyDescent="0.2">
      <c r="A2059" s="8" t="s">
        <v>2082</v>
      </c>
      <c r="B2059" s="2" t="s">
        <v>12457</v>
      </c>
    </row>
    <row r="2060" spans="1:2" x14ac:dyDescent="0.2">
      <c r="A2060" s="8" t="s">
        <v>2083</v>
      </c>
      <c r="B2060" s="2" t="s">
        <v>12457</v>
      </c>
    </row>
    <row r="2061" spans="1:2" x14ac:dyDescent="0.2">
      <c r="A2061" s="8" t="s">
        <v>2084</v>
      </c>
      <c r="B2061" s="2" t="s">
        <v>12457</v>
      </c>
    </row>
    <row r="2062" spans="1:2" x14ac:dyDescent="0.2">
      <c r="A2062" s="8" t="s">
        <v>2085</v>
      </c>
      <c r="B2062" s="2" t="s">
        <v>12457</v>
      </c>
    </row>
    <row r="2063" spans="1:2" x14ac:dyDescent="0.2">
      <c r="A2063" s="8" t="s">
        <v>2086</v>
      </c>
      <c r="B2063" s="2" t="s">
        <v>12457</v>
      </c>
    </row>
    <row r="2064" spans="1:2" x14ac:dyDescent="0.2">
      <c r="A2064" s="8" t="s">
        <v>2087</v>
      </c>
      <c r="B2064" s="2" t="s">
        <v>12457</v>
      </c>
    </row>
    <row r="2065" spans="1:2" x14ac:dyDescent="0.2">
      <c r="A2065" s="8" t="s">
        <v>2088</v>
      </c>
      <c r="B2065" s="2" t="s">
        <v>12457</v>
      </c>
    </row>
    <row r="2066" spans="1:2" x14ac:dyDescent="0.2">
      <c r="A2066" s="8" t="s">
        <v>2089</v>
      </c>
      <c r="B2066" s="2" t="s">
        <v>12457</v>
      </c>
    </row>
    <row r="2067" spans="1:2" x14ac:dyDescent="0.2">
      <c r="A2067" s="8" t="s">
        <v>2090</v>
      </c>
      <c r="B2067" s="2" t="s">
        <v>12457</v>
      </c>
    </row>
    <row r="2068" spans="1:2" x14ac:dyDescent="0.2">
      <c r="A2068" s="8" t="s">
        <v>2091</v>
      </c>
      <c r="B2068" s="2" t="s">
        <v>12457</v>
      </c>
    </row>
    <row r="2069" spans="1:2" x14ac:dyDescent="0.2">
      <c r="A2069" s="8" t="s">
        <v>2092</v>
      </c>
      <c r="B2069" s="2" t="s">
        <v>12457</v>
      </c>
    </row>
    <row r="2070" spans="1:2" x14ac:dyDescent="0.2">
      <c r="A2070" s="8" t="s">
        <v>2093</v>
      </c>
      <c r="B2070" s="2" t="s">
        <v>12457</v>
      </c>
    </row>
    <row r="2071" spans="1:2" x14ac:dyDescent="0.2">
      <c r="A2071" s="8" t="s">
        <v>2094</v>
      </c>
      <c r="B2071" s="2" t="s">
        <v>12457</v>
      </c>
    </row>
    <row r="2072" spans="1:2" x14ac:dyDescent="0.2">
      <c r="A2072" s="8" t="s">
        <v>2095</v>
      </c>
      <c r="B2072" s="2" t="s">
        <v>12457</v>
      </c>
    </row>
    <row r="2073" spans="1:2" x14ac:dyDescent="0.2">
      <c r="A2073" s="8" t="s">
        <v>2096</v>
      </c>
      <c r="B2073" s="2" t="s">
        <v>12457</v>
      </c>
    </row>
    <row r="2074" spans="1:2" x14ac:dyDescent="0.2">
      <c r="A2074" s="8" t="s">
        <v>2097</v>
      </c>
      <c r="B2074" s="2" t="s">
        <v>12457</v>
      </c>
    </row>
    <row r="2075" spans="1:2" x14ac:dyDescent="0.2">
      <c r="A2075" s="8" t="s">
        <v>2098</v>
      </c>
      <c r="B2075" s="2" t="s">
        <v>12457</v>
      </c>
    </row>
    <row r="2076" spans="1:2" x14ac:dyDescent="0.2">
      <c r="A2076" s="8" t="s">
        <v>2099</v>
      </c>
      <c r="B2076" s="2" t="s">
        <v>12457</v>
      </c>
    </row>
    <row r="2077" spans="1:2" x14ac:dyDescent="0.2">
      <c r="A2077" s="8" t="s">
        <v>2100</v>
      </c>
      <c r="B2077" s="2" t="s">
        <v>12457</v>
      </c>
    </row>
    <row r="2078" spans="1:2" x14ac:dyDescent="0.2">
      <c r="A2078" s="8" t="s">
        <v>2101</v>
      </c>
      <c r="B2078" s="2" t="s">
        <v>12457</v>
      </c>
    </row>
    <row r="2079" spans="1:2" x14ac:dyDescent="0.2">
      <c r="A2079" s="8" t="s">
        <v>2102</v>
      </c>
      <c r="B2079" s="2" t="s">
        <v>12457</v>
      </c>
    </row>
    <row r="2080" spans="1:2" x14ac:dyDescent="0.2">
      <c r="A2080" s="8" t="s">
        <v>2103</v>
      </c>
      <c r="B2080" s="2" t="s">
        <v>12457</v>
      </c>
    </row>
    <row r="2081" spans="1:2" x14ac:dyDescent="0.2">
      <c r="A2081" s="8" t="s">
        <v>2104</v>
      </c>
      <c r="B2081" s="2" t="s">
        <v>12457</v>
      </c>
    </row>
    <row r="2082" spans="1:2" x14ac:dyDescent="0.2">
      <c r="A2082" s="8" t="s">
        <v>2105</v>
      </c>
      <c r="B2082" s="2" t="s">
        <v>12457</v>
      </c>
    </row>
    <row r="2083" spans="1:2" x14ac:dyDescent="0.2">
      <c r="A2083" s="8" t="s">
        <v>2106</v>
      </c>
      <c r="B2083" s="2" t="s">
        <v>12457</v>
      </c>
    </row>
    <row r="2084" spans="1:2" x14ac:dyDescent="0.2">
      <c r="A2084" s="8" t="s">
        <v>2107</v>
      </c>
      <c r="B2084" s="2" t="s">
        <v>12457</v>
      </c>
    </row>
    <row r="2085" spans="1:2" x14ac:dyDescent="0.2">
      <c r="A2085" s="8" t="s">
        <v>2108</v>
      </c>
      <c r="B2085" s="2" t="s">
        <v>12457</v>
      </c>
    </row>
    <row r="2086" spans="1:2" x14ac:dyDescent="0.2">
      <c r="A2086" s="8" t="s">
        <v>2109</v>
      </c>
      <c r="B2086" s="2" t="s">
        <v>12457</v>
      </c>
    </row>
    <row r="2087" spans="1:2" x14ac:dyDescent="0.2">
      <c r="A2087" s="8" t="s">
        <v>2110</v>
      </c>
      <c r="B2087" s="2" t="s">
        <v>12457</v>
      </c>
    </row>
    <row r="2088" spans="1:2" x14ac:dyDescent="0.2">
      <c r="A2088" s="8" t="s">
        <v>2111</v>
      </c>
      <c r="B2088" s="2" t="s">
        <v>12457</v>
      </c>
    </row>
    <row r="2089" spans="1:2" x14ac:dyDescent="0.2">
      <c r="A2089" s="8" t="s">
        <v>2112</v>
      </c>
      <c r="B2089" s="2" t="s">
        <v>12457</v>
      </c>
    </row>
    <row r="2090" spans="1:2" x14ac:dyDescent="0.2">
      <c r="A2090" s="8" t="s">
        <v>2113</v>
      </c>
      <c r="B2090" s="2" t="s">
        <v>12457</v>
      </c>
    </row>
    <row r="2091" spans="1:2" x14ac:dyDescent="0.2">
      <c r="A2091" s="8" t="s">
        <v>2114</v>
      </c>
      <c r="B2091" s="2" t="s">
        <v>12457</v>
      </c>
    </row>
    <row r="2092" spans="1:2" x14ac:dyDescent="0.2">
      <c r="A2092" s="8" t="s">
        <v>2115</v>
      </c>
      <c r="B2092" s="2" t="s">
        <v>12457</v>
      </c>
    </row>
    <row r="2093" spans="1:2" x14ac:dyDescent="0.2">
      <c r="A2093" s="8" t="s">
        <v>2116</v>
      </c>
      <c r="B2093" s="2" t="s">
        <v>12457</v>
      </c>
    </row>
    <row r="2094" spans="1:2" x14ac:dyDescent="0.2">
      <c r="A2094" s="8" t="s">
        <v>2117</v>
      </c>
      <c r="B2094" s="2" t="s">
        <v>12457</v>
      </c>
    </row>
    <row r="2095" spans="1:2" x14ac:dyDescent="0.2">
      <c r="A2095" s="8" t="s">
        <v>2118</v>
      </c>
      <c r="B2095" s="2" t="s">
        <v>12457</v>
      </c>
    </row>
    <row r="2096" spans="1:2" x14ac:dyDescent="0.2">
      <c r="A2096" s="8" t="s">
        <v>2119</v>
      </c>
      <c r="B2096" s="2" t="s">
        <v>12457</v>
      </c>
    </row>
    <row r="2097" spans="1:2" x14ac:dyDescent="0.2">
      <c r="A2097" s="8" t="s">
        <v>2120</v>
      </c>
      <c r="B2097" s="2" t="s">
        <v>12457</v>
      </c>
    </row>
    <row r="2098" spans="1:2" x14ac:dyDescent="0.2">
      <c r="A2098" s="8" t="s">
        <v>2121</v>
      </c>
      <c r="B2098" s="2" t="s">
        <v>12457</v>
      </c>
    </row>
    <row r="2099" spans="1:2" x14ac:dyDescent="0.2">
      <c r="A2099" s="8" t="s">
        <v>2122</v>
      </c>
      <c r="B2099" s="2" t="s">
        <v>12457</v>
      </c>
    </row>
    <row r="2100" spans="1:2" x14ac:dyDescent="0.2">
      <c r="A2100" s="8" t="s">
        <v>2123</v>
      </c>
      <c r="B2100" s="2" t="s">
        <v>12457</v>
      </c>
    </row>
    <row r="2101" spans="1:2" x14ac:dyDescent="0.2">
      <c r="A2101" s="8" t="s">
        <v>2124</v>
      </c>
      <c r="B2101" s="2" t="s">
        <v>12457</v>
      </c>
    </row>
    <row r="2102" spans="1:2" x14ac:dyDescent="0.2">
      <c r="A2102" s="8" t="s">
        <v>2125</v>
      </c>
      <c r="B2102" s="2" t="s">
        <v>12457</v>
      </c>
    </row>
    <row r="2103" spans="1:2" x14ac:dyDescent="0.2">
      <c r="A2103" s="8" t="s">
        <v>2126</v>
      </c>
      <c r="B2103" s="2" t="s">
        <v>12457</v>
      </c>
    </row>
    <row r="2104" spans="1:2" x14ac:dyDescent="0.2">
      <c r="A2104" s="8" t="s">
        <v>2127</v>
      </c>
      <c r="B2104" s="2" t="s">
        <v>12457</v>
      </c>
    </row>
    <row r="2105" spans="1:2" x14ac:dyDescent="0.2">
      <c r="A2105" s="8" t="s">
        <v>2128</v>
      </c>
      <c r="B2105" s="2" t="s">
        <v>12457</v>
      </c>
    </row>
    <row r="2106" spans="1:2" x14ac:dyDescent="0.2">
      <c r="A2106" s="8" t="s">
        <v>2129</v>
      </c>
      <c r="B2106" s="2" t="s">
        <v>12457</v>
      </c>
    </row>
    <row r="2107" spans="1:2" x14ac:dyDescent="0.2">
      <c r="A2107" s="8" t="s">
        <v>2130</v>
      </c>
      <c r="B2107" s="2" t="s">
        <v>12457</v>
      </c>
    </row>
    <row r="2108" spans="1:2" x14ac:dyDescent="0.2">
      <c r="A2108" s="8" t="s">
        <v>2131</v>
      </c>
      <c r="B2108" s="2" t="s">
        <v>12457</v>
      </c>
    </row>
    <row r="2109" spans="1:2" x14ac:dyDescent="0.2">
      <c r="A2109" s="8" t="s">
        <v>2132</v>
      </c>
      <c r="B2109" s="2" t="s">
        <v>12457</v>
      </c>
    </row>
    <row r="2110" spans="1:2" x14ac:dyDescent="0.2">
      <c r="A2110" s="8" t="s">
        <v>2133</v>
      </c>
      <c r="B2110" s="2" t="s">
        <v>12457</v>
      </c>
    </row>
    <row r="2111" spans="1:2" x14ac:dyDescent="0.2">
      <c r="A2111" s="8" t="s">
        <v>2134</v>
      </c>
      <c r="B2111" s="2" t="s">
        <v>12457</v>
      </c>
    </row>
    <row r="2112" spans="1:2" x14ac:dyDescent="0.2">
      <c r="A2112" s="8" t="s">
        <v>2135</v>
      </c>
      <c r="B2112" s="2" t="s">
        <v>12457</v>
      </c>
    </row>
    <row r="2113" spans="1:2" x14ac:dyDescent="0.2">
      <c r="A2113" s="8" t="s">
        <v>2136</v>
      </c>
      <c r="B2113" s="2" t="s">
        <v>12457</v>
      </c>
    </row>
    <row r="2114" spans="1:2" x14ac:dyDescent="0.2">
      <c r="A2114" s="8" t="s">
        <v>2137</v>
      </c>
      <c r="B2114" s="2" t="s">
        <v>12457</v>
      </c>
    </row>
    <row r="2115" spans="1:2" x14ac:dyDescent="0.2">
      <c r="A2115" s="8" t="s">
        <v>2138</v>
      </c>
      <c r="B2115" s="2" t="s">
        <v>12457</v>
      </c>
    </row>
    <row r="2116" spans="1:2" x14ac:dyDescent="0.2">
      <c r="A2116" s="8" t="s">
        <v>2139</v>
      </c>
      <c r="B2116" s="2" t="s">
        <v>12457</v>
      </c>
    </row>
    <row r="2117" spans="1:2" x14ac:dyDescent="0.2">
      <c r="A2117" s="8" t="s">
        <v>2140</v>
      </c>
      <c r="B2117" s="2" t="s">
        <v>12457</v>
      </c>
    </row>
    <row r="2118" spans="1:2" x14ac:dyDescent="0.2">
      <c r="A2118" s="8" t="s">
        <v>2141</v>
      </c>
      <c r="B2118" s="2" t="s">
        <v>12457</v>
      </c>
    </row>
    <row r="2119" spans="1:2" x14ac:dyDescent="0.2">
      <c r="A2119" s="8" t="s">
        <v>2142</v>
      </c>
      <c r="B2119" s="2" t="s">
        <v>12457</v>
      </c>
    </row>
    <row r="2120" spans="1:2" x14ac:dyDescent="0.2">
      <c r="A2120" s="8" t="s">
        <v>2143</v>
      </c>
      <c r="B2120" s="2" t="s">
        <v>12457</v>
      </c>
    </row>
    <row r="2121" spans="1:2" x14ac:dyDescent="0.2">
      <c r="A2121" s="8" t="s">
        <v>2144</v>
      </c>
      <c r="B2121" s="2" t="s">
        <v>12457</v>
      </c>
    </row>
    <row r="2122" spans="1:2" x14ac:dyDescent="0.2">
      <c r="A2122" s="8" t="s">
        <v>2145</v>
      </c>
      <c r="B2122" s="2" t="s">
        <v>12457</v>
      </c>
    </row>
    <row r="2123" spans="1:2" x14ac:dyDescent="0.2">
      <c r="A2123" s="8" t="s">
        <v>2146</v>
      </c>
      <c r="B2123" s="2" t="s">
        <v>12457</v>
      </c>
    </row>
    <row r="2124" spans="1:2" x14ac:dyDescent="0.2">
      <c r="A2124" s="8" t="s">
        <v>2147</v>
      </c>
      <c r="B2124" s="2" t="s">
        <v>12457</v>
      </c>
    </row>
    <row r="2125" spans="1:2" x14ac:dyDescent="0.2">
      <c r="A2125" s="8" t="s">
        <v>2148</v>
      </c>
      <c r="B2125" s="2" t="s">
        <v>12457</v>
      </c>
    </row>
    <row r="2126" spans="1:2" x14ac:dyDescent="0.2">
      <c r="A2126" s="8" t="s">
        <v>2149</v>
      </c>
      <c r="B2126" s="2" t="s">
        <v>12457</v>
      </c>
    </row>
    <row r="2127" spans="1:2" x14ac:dyDescent="0.2">
      <c r="A2127" s="8" t="s">
        <v>2150</v>
      </c>
      <c r="B2127" s="2" t="s">
        <v>12457</v>
      </c>
    </row>
    <row r="2128" spans="1:2" x14ac:dyDescent="0.2">
      <c r="A2128" s="8" t="s">
        <v>2151</v>
      </c>
      <c r="B2128" s="2" t="s">
        <v>12457</v>
      </c>
    </row>
    <row r="2129" spans="1:2" x14ac:dyDescent="0.2">
      <c r="A2129" s="8" t="s">
        <v>2152</v>
      </c>
      <c r="B2129" s="2" t="s">
        <v>12457</v>
      </c>
    </row>
    <row r="2130" spans="1:2" x14ac:dyDescent="0.2">
      <c r="A2130" s="8" t="s">
        <v>2153</v>
      </c>
      <c r="B2130" s="2" t="s">
        <v>12457</v>
      </c>
    </row>
    <row r="2131" spans="1:2" x14ac:dyDescent="0.2">
      <c r="A2131" s="8" t="s">
        <v>2154</v>
      </c>
      <c r="B2131" s="2" t="s">
        <v>12457</v>
      </c>
    </row>
    <row r="2132" spans="1:2" x14ac:dyDescent="0.2">
      <c r="A2132" s="8" t="s">
        <v>2155</v>
      </c>
      <c r="B2132" s="2" t="s">
        <v>12457</v>
      </c>
    </row>
    <row r="2133" spans="1:2" x14ac:dyDescent="0.2">
      <c r="A2133" s="8" t="s">
        <v>2156</v>
      </c>
      <c r="B2133" s="2" t="s">
        <v>12457</v>
      </c>
    </row>
    <row r="2134" spans="1:2" x14ac:dyDescent="0.2">
      <c r="A2134" s="8" t="s">
        <v>2157</v>
      </c>
      <c r="B2134" s="2" t="s">
        <v>12457</v>
      </c>
    </row>
    <row r="2135" spans="1:2" x14ac:dyDescent="0.2">
      <c r="A2135" s="8" t="s">
        <v>2158</v>
      </c>
      <c r="B2135" s="2" t="s">
        <v>12457</v>
      </c>
    </row>
    <row r="2136" spans="1:2" x14ac:dyDescent="0.2">
      <c r="A2136" s="8" t="s">
        <v>2159</v>
      </c>
      <c r="B2136" s="2" t="s">
        <v>12457</v>
      </c>
    </row>
    <row r="2137" spans="1:2" x14ac:dyDescent="0.2">
      <c r="A2137" s="8" t="s">
        <v>2160</v>
      </c>
      <c r="B2137" s="2" t="s">
        <v>12457</v>
      </c>
    </row>
    <row r="2138" spans="1:2" x14ac:dyDescent="0.2">
      <c r="A2138" s="8" t="s">
        <v>2161</v>
      </c>
      <c r="B2138" s="2" t="s">
        <v>12457</v>
      </c>
    </row>
    <row r="2139" spans="1:2" x14ac:dyDescent="0.2">
      <c r="A2139" s="8" t="s">
        <v>2162</v>
      </c>
      <c r="B2139" s="2" t="s">
        <v>12457</v>
      </c>
    </row>
    <row r="2140" spans="1:2" x14ac:dyDescent="0.2">
      <c r="A2140" s="8" t="s">
        <v>2163</v>
      </c>
      <c r="B2140" s="2" t="s">
        <v>12457</v>
      </c>
    </row>
    <row r="2141" spans="1:2" x14ac:dyDescent="0.2">
      <c r="A2141" s="8" t="s">
        <v>2164</v>
      </c>
      <c r="B2141" s="2" t="s">
        <v>12457</v>
      </c>
    </row>
    <row r="2142" spans="1:2" x14ac:dyDescent="0.2">
      <c r="A2142" s="8" t="s">
        <v>2165</v>
      </c>
      <c r="B2142" s="2" t="s">
        <v>12457</v>
      </c>
    </row>
    <row r="2143" spans="1:2" x14ac:dyDescent="0.2">
      <c r="A2143" s="8" t="s">
        <v>2166</v>
      </c>
      <c r="B2143" s="2" t="s">
        <v>12457</v>
      </c>
    </row>
    <row r="2144" spans="1:2" x14ac:dyDescent="0.2">
      <c r="A2144" s="8" t="s">
        <v>2167</v>
      </c>
      <c r="B2144" s="2" t="s">
        <v>12457</v>
      </c>
    </row>
    <row r="2145" spans="1:2" x14ac:dyDescent="0.2">
      <c r="A2145" s="8" t="s">
        <v>2168</v>
      </c>
      <c r="B2145" s="2" t="s">
        <v>12457</v>
      </c>
    </row>
    <row r="2146" spans="1:2" x14ac:dyDescent="0.2">
      <c r="A2146" s="8" t="s">
        <v>2169</v>
      </c>
      <c r="B2146" s="2" t="s">
        <v>12457</v>
      </c>
    </row>
    <row r="2147" spans="1:2" x14ac:dyDescent="0.2">
      <c r="A2147" s="8" t="s">
        <v>2170</v>
      </c>
      <c r="B2147" s="2" t="s">
        <v>12457</v>
      </c>
    </row>
    <row r="2148" spans="1:2" x14ac:dyDescent="0.2">
      <c r="A2148" s="8" t="s">
        <v>2171</v>
      </c>
      <c r="B2148" s="2" t="s">
        <v>12457</v>
      </c>
    </row>
    <row r="2149" spans="1:2" x14ac:dyDescent="0.2">
      <c r="A2149" s="8" t="s">
        <v>2172</v>
      </c>
      <c r="B2149" s="2" t="s">
        <v>12457</v>
      </c>
    </row>
    <row r="2150" spans="1:2" x14ac:dyDescent="0.2">
      <c r="A2150" s="8" t="s">
        <v>2173</v>
      </c>
      <c r="B2150" s="2" t="s">
        <v>12457</v>
      </c>
    </row>
    <row r="2151" spans="1:2" x14ac:dyDescent="0.2">
      <c r="A2151" s="8" t="s">
        <v>2174</v>
      </c>
      <c r="B2151" s="2" t="s">
        <v>12457</v>
      </c>
    </row>
    <row r="2152" spans="1:2" x14ac:dyDescent="0.2">
      <c r="A2152" s="8" t="s">
        <v>2175</v>
      </c>
      <c r="B2152" s="2" t="s">
        <v>12457</v>
      </c>
    </row>
    <row r="2153" spans="1:2" x14ac:dyDescent="0.2">
      <c r="A2153" s="8" t="s">
        <v>2176</v>
      </c>
      <c r="B2153" s="2" t="s">
        <v>12457</v>
      </c>
    </row>
    <row r="2154" spans="1:2" x14ac:dyDescent="0.2">
      <c r="A2154" s="8" t="s">
        <v>2177</v>
      </c>
      <c r="B2154" s="2" t="s">
        <v>12457</v>
      </c>
    </row>
    <row r="2155" spans="1:2" x14ac:dyDescent="0.2">
      <c r="A2155" s="8" t="s">
        <v>2178</v>
      </c>
      <c r="B2155" s="2" t="s">
        <v>12457</v>
      </c>
    </row>
    <row r="2156" spans="1:2" x14ac:dyDescent="0.2">
      <c r="A2156" s="8" t="s">
        <v>2179</v>
      </c>
      <c r="B2156" s="2" t="s">
        <v>12457</v>
      </c>
    </row>
    <row r="2157" spans="1:2" x14ac:dyDescent="0.2">
      <c r="A2157" s="8" t="s">
        <v>2180</v>
      </c>
      <c r="B2157" s="2" t="s">
        <v>12457</v>
      </c>
    </row>
    <row r="2158" spans="1:2" x14ac:dyDescent="0.2">
      <c r="A2158" s="8" t="s">
        <v>2181</v>
      </c>
      <c r="B2158" s="2" t="s">
        <v>12457</v>
      </c>
    </row>
    <row r="2159" spans="1:2" x14ac:dyDescent="0.2">
      <c r="A2159" s="8" t="s">
        <v>2182</v>
      </c>
      <c r="B2159" s="2" t="s">
        <v>12457</v>
      </c>
    </row>
    <row r="2160" spans="1:2" x14ac:dyDescent="0.2">
      <c r="A2160" s="8" t="s">
        <v>2183</v>
      </c>
      <c r="B2160" s="2" t="s">
        <v>12457</v>
      </c>
    </row>
    <row r="2161" spans="1:2" x14ac:dyDescent="0.2">
      <c r="A2161" s="8" t="s">
        <v>2184</v>
      </c>
      <c r="B2161" s="2" t="s">
        <v>12457</v>
      </c>
    </row>
    <row r="2162" spans="1:2" x14ac:dyDescent="0.2">
      <c r="A2162" s="8" t="s">
        <v>2185</v>
      </c>
      <c r="B2162" s="2" t="s">
        <v>12457</v>
      </c>
    </row>
    <row r="2163" spans="1:2" x14ac:dyDescent="0.2">
      <c r="A2163" s="8" t="s">
        <v>2186</v>
      </c>
      <c r="B2163" s="2" t="s">
        <v>12457</v>
      </c>
    </row>
    <row r="2164" spans="1:2" x14ac:dyDescent="0.2">
      <c r="A2164" s="8" t="s">
        <v>2187</v>
      </c>
      <c r="B2164" s="2" t="s">
        <v>12457</v>
      </c>
    </row>
    <row r="2165" spans="1:2" x14ac:dyDescent="0.2">
      <c r="A2165" s="8" t="s">
        <v>2188</v>
      </c>
      <c r="B2165" s="2" t="s">
        <v>12457</v>
      </c>
    </row>
    <row r="2166" spans="1:2" x14ac:dyDescent="0.2">
      <c r="A2166" s="8" t="s">
        <v>2189</v>
      </c>
      <c r="B2166" s="2" t="s">
        <v>12457</v>
      </c>
    </row>
    <row r="2167" spans="1:2" x14ac:dyDescent="0.2">
      <c r="A2167" s="8" t="s">
        <v>2190</v>
      </c>
      <c r="B2167" s="2" t="s">
        <v>12457</v>
      </c>
    </row>
    <row r="2168" spans="1:2" x14ac:dyDescent="0.2">
      <c r="A2168" s="8" t="s">
        <v>2191</v>
      </c>
      <c r="B2168" s="2" t="s">
        <v>12457</v>
      </c>
    </row>
    <row r="2169" spans="1:2" x14ac:dyDescent="0.2">
      <c r="A2169" s="8" t="s">
        <v>2192</v>
      </c>
      <c r="B2169" s="2" t="s">
        <v>12457</v>
      </c>
    </row>
    <row r="2170" spans="1:2" x14ac:dyDescent="0.2">
      <c r="A2170" s="8" t="s">
        <v>2193</v>
      </c>
      <c r="B2170" s="2" t="s">
        <v>12457</v>
      </c>
    </row>
    <row r="2171" spans="1:2" x14ac:dyDescent="0.2">
      <c r="A2171" s="8" t="s">
        <v>2194</v>
      </c>
      <c r="B2171" s="2" t="s">
        <v>12457</v>
      </c>
    </row>
    <row r="2172" spans="1:2" x14ac:dyDescent="0.2">
      <c r="A2172" s="8" t="s">
        <v>2195</v>
      </c>
      <c r="B2172" s="2" t="s">
        <v>12457</v>
      </c>
    </row>
    <row r="2173" spans="1:2" x14ac:dyDescent="0.2">
      <c r="A2173" s="8" t="s">
        <v>2196</v>
      </c>
      <c r="B2173" s="2" t="s">
        <v>12457</v>
      </c>
    </row>
    <row r="2174" spans="1:2" x14ac:dyDescent="0.2">
      <c r="A2174" s="8" t="s">
        <v>2197</v>
      </c>
      <c r="B2174" s="2" t="s">
        <v>12457</v>
      </c>
    </row>
    <row r="2175" spans="1:2" x14ac:dyDescent="0.2">
      <c r="A2175" s="8" t="s">
        <v>2198</v>
      </c>
      <c r="B2175" s="2" t="s">
        <v>12457</v>
      </c>
    </row>
    <row r="2176" spans="1:2" x14ac:dyDescent="0.2">
      <c r="A2176" s="8" t="s">
        <v>2199</v>
      </c>
      <c r="B2176" s="2" t="s">
        <v>12457</v>
      </c>
    </row>
    <row r="2177" spans="1:2" x14ac:dyDescent="0.2">
      <c r="A2177" s="8" t="s">
        <v>2200</v>
      </c>
      <c r="B2177" s="2" t="s">
        <v>12457</v>
      </c>
    </row>
    <row r="2178" spans="1:2" x14ac:dyDescent="0.2">
      <c r="A2178" s="8" t="s">
        <v>2201</v>
      </c>
      <c r="B2178" s="2" t="s">
        <v>12457</v>
      </c>
    </row>
    <row r="2179" spans="1:2" x14ac:dyDescent="0.2">
      <c r="A2179" s="8" t="s">
        <v>2202</v>
      </c>
      <c r="B2179" s="2" t="s">
        <v>12457</v>
      </c>
    </row>
    <row r="2180" spans="1:2" x14ac:dyDescent="0.2">
      <c r="A2180" s="8" t="s">
        <v>2203</v>
      </c>
      <c r="B2180" s="2" t="s">
        <v>12457</v>
      </c>
    </row>
    <row r="2181" spans="1:2" x14ac:dyDescent="0.2">
      <c r="A2181" s="8" t="s">
        <v>2204</v>
      </c>
      <c r="B2181" s="2" t="s">
        <v>12457</v>
      </c>
    </row>
    <row r="2182" spans="1:2" x14ac:dyDescent="0.2">
      <c r="A2182" s="8" t="s">
        <v>2205</v>
      </c>
      <c r="B2182" s="2" t="s">
        <v>12457</v>
      </c>
    </row>
    <row r="2183" spans="1:2" x14ac:dyDescent="0.2">
      <c r="A2183" s="8" t="s">
        <v>2206</v>
      </c>
      <c r="B2183" s="2" t="s">
        <v>12457</v>
      </c>
    </row>
    <row r="2184" spans="1:2" x14ac:dyDescent="0.2">
      <c r="A2184" s="8" t="s">
        <v>2207</v>
      </c>
      <c r="B2184" s="2" t="s">
        <v>12457</v>
      </c>
    </row>
    <row r="2185" spans="1:2" x14ac:dyDescent="0.2">
      <c r="A2185" s="8" t="s">
        <v>2208</v>
      </c>
      <c r="B2185" s="2" t="s">
        <v>12457</v>
      </c>
    </row>
    <row r="2186" spans="1:2" x14ac:dyDescent="0.2">
      <c r="A2186" s="8" t="s">
        <v>2209</v>
      </c>
      <c r="B2186" s="2" t="s">
        <v>12457</v>
      </c>
    </row>
    <row r="2187" spans="1:2" x14ac:dyDescent="0.2">
      <c r="A2187" s="8" t="s">
        <v>2210</v>
      </c>
      <c r="B2187" s="2" t="s">
        <v>12457</v>
      </c>
    </row>
    <row r="2188" spans="1:2" x14ac:dyDescent="0.2">
      <c r="A2188" s="8" t="s">
        <v>2211</v>
      </c>
      <c r="B2188" s="2" t="s">
        <v>12457</v>
      </c>
    </row>
    <row r="2189" spans="1:2" x14ac:dyDescent="0.2">
      <c r="A2189" s="8" t="s">
        <v>2212</v>
      </c>
      <c r="B2189" s="2" t="s">
        <v>12457</v>
      </c>
    </row>
    <row r="2190" spans="1:2" x14ac:dyDescent="0.2">
      <c r="A2190" s="8" t="s">
        <v>2213</v>
      </c>
      <c r="B2190" s="2" t="s">
        <v>12457</v>
      </c>
    </row>
    <row r="2191" spans="1:2" x14ac:dyDescent="0.2">
      <c r="A2191" s="8" t="s">
        <v>2214</v>
      </c>
      <c r="B2191" s="2" t="s">
        <v>12457</v>
      </c>
    </row>
    <row r="2192" spans="1:2" x14ac:dyDescent="0.2">
      <c r="A2192" s="8" t="s">
        <v>2215</v>
      </c>
      <c r="B2192" s="2" t="s">
        <v>12457</v>
      </c>
    </row>
    <row r="2193" spans="1:2" x14ac:dyDescent="0.2">
      <c r="A2193" s="8" t="s">
        <v>2216</v>
      </c>
      <c r="B2193" s="2" t="s">
        <v>12457</v>
      </c>
    </row>
    <row r="2194" spans="1:2" x14ac:dyDescent="0.2">
      <c r="A2194" s="8" t="s">
        <v>2217</v>
      </c>
      <c r="B2194" s="2" t="s">
        <v>12457</v>
      </c>
    </row>
    <row r="2195" spans="1:2" x14ac:dyDescent="0.2">
      <c r="A2195" s="8" t="s">
        <v>2218</v>
      </c>
      <c r="B2195" s="2" t="s">
        <v>12457</v>
      </c>
    </row>
    <row r="2196" spans="1:2" x14ac:dyDescent="0.2">
      <c r="A2196" s="8" t="s">
        <v>2219</v>
      </c>
      <c r="B2196" s="2" t="s">
        <v>12457</v>
      </c>
    </row>
    <row r="2197" spans="1:2" x14ac:dyDescent="0.2">
      <c r="A2197" s="8" t="s">
        <v>2220</v>
      </c>
      <c r="B2197" s="2" t="s">
        <v>12457</v>
      </c>
    </row>
    <row r="2198" spans="1:2" x14ac:dyDescent="0.2">
      <c r="A2198" s="8" t="s">
        <v>2221</v>
      </c>
      <c r="B2198" s="2" t="s">
        <v>12457</v>
      </c>
    </row>
    <row r="2199" spans="1:2" x14ac:dyDescent="0.2">
      <c r="A2199" s="8" t="s">
        <v>2222</v>
      </c>
      <c r="B2199" s="2" t="s">
        <v>12457</v>
      </c>
    </row>
    <row r="2200" spans="1:2" x14ac:dyDescent="0.2">
      <c r="A2200" s="8" t="s">
        <v>2223</v>
      </c>
      <c r="B2200" s="2" t="s">
        <v>12457</v>
      </c>
    </row>
    <row r="2201" spans="1:2" x14ac:dyDescent="0.2">
      <c r="A2201" s="8" t="s">
        <v>2224</v>
      </c>
      <c r="B2201" s="2" t="s">
        <v>12457</v>
      </c>
    </row>
    <row r="2202" spans="1:2" x14ac:dyDescent="0.2">
      <c r="A2202" s="8" t="s">
        <v>2225</v>
      </c>
      <c r="B2202" s="2" t="s">
        <v>12457</v>
      </c>
    </row>
    <row r="2203" spans="1:2" x14ac:dyDescent="0.2">
      <c r="A2203" s="8" t="s">
        <v>2226</v>
      </c>
      <c r="B2203" s="2" t="s">
        <v>12457</v>
      </c>
    </row>
    <row r="2204" spans="1:2" x14ac:dyDescent="0.2">
      <c r="A2204" s="8" t="s">
        <v>2227</v>
      </c>
      <c r="B2204" s="2" t="s">
        <v>12457</v>
      </c>
    </row>
    <row r="2205" spans="1:2" x14ac:dyDescent="0.2">
      <c r="A2205" s="8" t="s">
        <v>2228</v>
      </c>
      <c r="B2205" s="2" t="s">
        <v>12457</v>
      </c>
    </row>
    <row r="2206" spans="1:2" x14ac:dyDescent="0.2">
      <c r="A2206" s="8" t="s">
        <v>2229</v>
      </c>
      <c r="B2206" s="2" t="s">
        <v>12457</v>
      </c>
    </row>
    <row r="2207" spans="1:2" x14ac:dyDescent="0.2">
      <c r="A2207" s="8" t="s">
        <v>2230</v>
      </c>
      <c r="B2207" s="2" t="s">
        <v>12457</v>
      </c>
    </row>
    <row r="2208" spans="1:2" x14ac:dyDescent="0.2">
      <c r="A2208" s="8" t="s">
        <v>2231</v>
      </c>
      <c r="B2208" s="2" t="s">
        <v>12457</v>
      </c>
    </row>
    <row r="2209" spans="1:2" x14ac:dyDescent="0.2">
      <c r="A2209" s="8" t="s">
        <v>2232</v>
      </c>
      <c r="B2209" s="2" t="s">
        <v>12457</v>
      </c>
    </row>
    <row r="2210" spans="1:2" x14ac:dyDescent="0.2">
      <c r="A2210" s="8" t="s">
        <v>2233</v>
      </c>
      <c r="B2210" s="2" t="s">
        <v>12457</v>
      </c>
    </row>
    <row r="2211" spans="1:2" x14ac:dyDescent="0.2">
      <c r="A2211" s="8" t="s">
        <v>2234</v>
      </c>
      <c r="B2211" s="2" t="s">
        <v>12457</v>
      </c>
    </row>
    <row r="2212" spans="1:2" x14ac:dyDescent="0.2">
      <c r="A2212" s="8" t="s">
        <v>2235</v>
      </c>
      <c r="B2212" s="2" t="s">
        <v>12457</v>
      </c>
    </row>
    <row r="2213" spans="1:2" x14ac:dyDescent="0.2">
      <c r="A2213" s="8" t="s">
        <v>2236</v>
      </c>
      <c r="B2213" s="2" t="s">
        <v>12457</v>
      </c>
    </row>
    <row r="2214" spans="1:2" x14ac:dyDescent="0.2">
      <c r="A2214" s="8" t="s">
        <v>2237</v>
      </c>
      <c r="B2214" s="2" t="s">
        <v>12457</v>
      </c>
    </row>
    <row r="2215" spans="1:2" x14ac:dyDescent="0.2">
      <c r="A2215" s="8" t="s">
        <v>2238</v>
      </c>
      <c r="B2215" s="2" t="s">
        <v>12457</v>
      </c>
    </row>
    <row r="2216" spans="1:2" x14ac:dyDescent="0.2">
      <c r="A2216" s="8" t="s">
        <v>2239</v>
      </c>
      <c r="B2216" s="2" t="s">
        <v>12457</v>
      </c>
    </row>
    <row r="2217" spans="1:2" x14ac:dyDescent="0.2">
      <c r="A2217" s="8" t="s">
        <v>2240</v>
      </c>
      <c r="B2217" s="2" t="s">
        <v>12457</v>
      </c>
    </row>
    <row r="2218" spans="1:2" x14ac:dyDescent="0.2">
      <c r="A2218" s="8" t="s">
        <v>2241</v>
      </c>
      <c r="B2218" s="2" t="s">
        <v>12457</v>
      </c>
    </row>
    <row r="2219" spans="1:2" x14ac:dyDescent="0.2">
      <c r="A2219" s="8" t="s">
        <v>2242</v>
      </c>
      <c r="B2219" s="2" t="s">
        <v>12457</v>
      </c>
    </row>
    <row r="2220" spans="1:2" x14ac:dyDescent="0.2">
      <c r="A2220" s="8" t="s">
        <v>2243</v>
      </c>
      <c r="B2220" s="2" t="s">
        <v>12457</v>
      </c>
    </row>
    <row r="2221" spans="1:2" x14ac:dyDescent="0.2">
      <c r="A2221" s="8" t="s">
        <v>2244</v>
      </c>
      <c r="B2221" s="2" t="s">
        <v>12457</v>
      </c>
    </row>
    <row r="2222" spans="1:2" x14ac:dyDescent="0.2">
      <c r="A2222" s="8" t="s">
        <v>2245</v>
      </c>
      <c r="B2222" s="2" t="s">
        <v>12457</v>
      </c>
    </row>
    <row r="2223" spans="1:2" x14ac:dyDescent="0.2">
      <c r="A2223" s="8" t="s">
        <v>2246</v>
      </c>
      <c r="B2223" s="2" t="s">
        <v>12457</v>
      </c>
    </row>
    <row r="2224" spans="1:2" x14ac:dyDescent="0.2">
      <c r="A2224" s="8" t="s">
        <v>2247</v>
      </c>
      <c r="B2224" s="2" t="s">
        <v>12457</v>
      </c>
    </row>
    <row r="2225" spans="1:2" x14ac:dyDescent="0.2">
      <c r="A2225" s="8" t="s">
        <v>2248</v>
      </c>
      <c r="B2225" s="2" t="s">
        <v>12457</v>
      </c>
    </row>
    <row r="2226" spans="1:2" x14ac:dyDescent="0.2">
      <c r="A2226" s="8" t="s">
        <v>2249</v>
      </c>
      <c r="B2226" s="2" t="s">
        <v>12457</v>
      </c>
    </row>
    <row r="2227" spans="1:2" x14ac:dyDescent="0.2">
      <c r="A2227" s="8" t="s">
        <v>2250</v>
      </c>
      <c r="B2227" s="2" t="s">
        <v>12457</v>
      </c>
    </row>
    <row r="2228" spans="1:2" x14ac:dyDescent="0.2">
      <c r="A2228" s="8" t="s">
        <v>2251</v>
      </c>
      <c r="B2228" s="2" t="s">
        <v>12457</v>
      </c>
    </row>
    <row r="2229" spans="1:2" x14ac:dyDescent="0.2">
      <c r="A2229" s="8" t="s">
        <v>2252</v>
      </c>
      <c r="B2229" s="2" t="s">
        <v>12457</v>
      </c>
    </row>
    <row r="2230" spans="1:2" x14ac:dyDescent="0.2">
      <c r="A2230" s="8" t="s">
        <v>2253</v>
      </c>
      <c r="B2230" s="2" t="s">
        <v>12457</v>
      </c>
    </row>
    <row r="2231" spans="1:2" x14ac:dyDescent="0.2">
      <c r="A2231" s="8" t="s">
        <v>2254</v>
      </c>
      <c r="B2231" s="2" t="s">
        <v>12457</v>
      </c>
    </row>
    <row r="2232" spans="1:2" x14ac:dyDescent="0.2">
      <c r="A2232" s="8" t="s">
        <v>2255</v>
      </c>
      <c r="B2232" s="2" t="s">
        <v>12457</v>
      </c>
    </row>
    <row r="2233" spans="1:2" x14ac:dyDescent="0.2">
      <c r="A2233" s="8" t="s">
        <v>2256</v>
      </c>
      <c r="B2233" s="2" t="s">
        <v>12457</v>
      </c>
    </row>
    <row r="2234" spans="1:2" x14ac:dyDescent="0.2">
      <c r="A2234" s="8" t="s">
        <v>2257</v>
      </c>
      <c r="B2234" s="2" t="s">
        <v>12457</v>
      </c>
    </row>
    <row r="2235" spans="1:2" x14ac:dyDescent="0.2">
      <c r="A2235" s="8" t="s">
        <v>2258</v>
      </c>
      <c r="B2235" s="2" t="s">
        <v>12457</v>
      </c>
    </row>
    <row r="2236" spans="1:2" x14ac:dyDescent="0.2">
      <c r="A2236" s="8" t="s">
        <v>2259</v>
      </c>
      <c r="B2236" s="2" t="s">
        <v>12457</v>
      </c>
    </row>
    <row r="2237" spans="1:2" x14ac:dyDescent="0.2">
      <c r="A2237" s="8" t="s">
        <v>2260</v>
      </c>
      <c r="B2237" s="2" t="s">
        <v>12457</v>
      </c>
    </row>
    <row r="2238" spans="1:2" x14ac:dyDescent="0.2">
      <c r="A2238" s="8" t="s">
        <v>2261</v>
      </c>
      <c r="B2238" s="2" t="s">
        <v>12457</v>
      </c>
    </row>
    <row r="2239" spans="1:2" x14ac:dyDescent="0.2">
      <c r="A2239" s="8" t="s">
        <v>2262</v>
      </c>
      <c r="B2239" s="2" t="s">
        <v>12457</v>
      </c>
    </row>
    <row r="2240" spans="1:2" x14ac:dyDescent="0.2">
      <c r="A2240" s="8" t="s">
        <v>2263</v>
      </c>
      <c r="B2240" s="2" t="s">
        <v>12457</v>
      </c>
    </row>
    <row r="2241" spans="1:2" x14ac:dyDescent="0.2">
      <c r="A2241" s="8" t="s">
        <v>2264</v>
      </c>
      <c r="B2241" s="2" t="s">
        <v>12457</v>
      </c>
    </row>
    <row r="2242" spans="1:2" x14ac:dyDescent="0.2">
      <c r="A2242" s="8" t="s">
        <v>2265</v>
      </c>
      <c r="B2242" s="2" t="s">
        <v>12457</v>
      </c>
    </row>
    <row r="2243" spans="1:2" x14ac:dyDescent="0.2">
      <c r="A2243" s="8" t="s">
        <v>2266</v>
      </c>
      <c r="B2243" s="2" t="s">
        <v>12457</v>
      </c>
    </row>
    <row r="2244" spans="1:2" x14ac:dyDescent="0.2">
      <c r="A2244" s="8" t="s">
        <v>2267</v>
      </c>
      <c r="B2244" s="2" t="s">
        <v>12457</v>
      </c>
    </row>
    <row r="2245" spans="1:2" x14ac:dyDescent="0.2">
      <c r="A2245" s="8" t="s">
        <v>2268</v>
      </c>
      <c r="B2245" s="2" t="s">
        <v>12457</v>
      </c>
    </row>
    <row r="2246" spans="1:2" x14ac:dyDescent="0.2">
      <c r="A2246" s="8" t="s">
        <v>2269</v>
      </c>
      <c r="B2246" s="2" t="s">
        <v>12457</v>
      </c>
    </row>
    <row r="2247" spans="1:2" x14ac:dyDescent="0.2">
      <c r="A2247" s="8" t="s">
        <v>2270</v>
      </c>
      <c r="B2247" s="2" t="s">
        <v>12457</v>
      </c>
    </row>
    <row r="2248" spans="1:2" x14ac:dyDescent="0.2">
      <c r="A2248" s="8" t="s">
        <v>2271</v>
      </c>
      <c r="B2248" s="2" t="s">
        <v>12457</v>
      </c>
    </row>
    <row r="2249" spans="1:2" x14ac:dyDescent="0.2">
      <c r="A2249" s="8" t="s">
        <v>2272</v>
      </c>
      <c r="B2249" s="2" t="s">
        <v>12457</v>
      </c>
    </row>
    <row r="2250" spans="1:2" x14ac:dyDescent="0.2">
      <c r="A2250" s="8" t="s">
        <v>2273</v>
      </c>
      <c r="B2250" s="2" t="s">
        <v>12457</v>
      </c>
    </row>
    <row r="2251" spans="1:2" x14ac:dyDescent="0.2">
      <c r="A2251" s="8" t="s">
        <v>2274</v>
      </c>
      <c r="B2251" s="2" t="s">
        <v>12457</v>
      </c>
    </row>
    <row r="2252" spans="1:2" x14ac:dyDescent="0.2">
      <c r="A2252" s="8" t="s">
        <v>2275</v>
      </c>
      <c r="B2252" s="2" t="s">
        <v>12457</v>
      </c>
    </row>
    <row r="2253" spans="1:2" x14ac:dyDescent="0.2">
      <c r="A2253" s="8" t="s">
        <v>2276</v>
      </c>
      <c r="B2253" s="2" t="s">
        <v>12457</v>
      </c>
    </row>
    <row r="2254" spans="1:2" x14ac:dyDescent="0.2">
      <c r="A2254" s="8" t="s">
        <v>2277</v>
      </c>
      <c r="B2254" s="2" t="s">
        <v>12457</v>
      </c>
    </row>
    <row r="2255" spans="1:2" x14ac:dyDescent="0.2">
      <c r="A2255" s="8" t="s">
        <v>2278</v>
      </c>
      <c r="B2255" s="2" t="s">
        <v>12457</v>
      </c>
    </row>
    <row r="2256" spans="1:2" x14ac:dyDescent="0.2">
      <c r="A2256" s="8" t="s">
        <v>2279</v>
      </c>
      <c r="B2256" s="2" t="s">
        <v>12457</v>
      </c>
    </row>
    <row r="2257" spans="1:2" x14ac:dyDescent="0.2">
      <c r="A2257" s="8" t="s">
        <v>2280</v>
      </c>
      <c r="B2257" s="2" t="s">
        <v>12457</v>
      </c>
    </row>
    <row r="2258" spans="1:2" x14ac:dyDescent="0.2">
      <c r="A2258" s="8" t="s">
        <v>2281</v>
      </c>
      <c r="B2258" s="2" t="s">
        <v>12457</v>
      </c>
    </row>
    <row r="2259" spans="1:2" x14ac:dyDescent="0.2">
      <c r="A2259" s="8" t="s">
        <v>2282</v>
      </c>
      <c r="B2259" s="2" t="s">
        <v>12457</v>
      </c>
    </row>
    <row r="2260" spans="1:2" x14ac:dyDescent="0.2">
      <c r="A2260" s="8" t="s">
        <v>2283</v>
      </c>
      <c r="B2260" s="2" t="s">
        <v>12457</v>
      </c>
    </row>
    <row r="2261" spans="1:2" x14ac:dyDescent="0.2">
      <c r="A2261" s="8" t="s">
        <v>2284</v>
      </c>
      <c r="B2261" s="2" t="s">
        <v>12457</v>
      </c>
    </row>
    <row r="2262" spans="1:2" x14ac:dyDescent="0.2">
      <c r="A2262" s="8" t="s">
        <v>2285</v>
      </c>
      <c r="B2262" s="2" t="s">
        <v>12457</v>
      </c>
    </row>
    <row r="2263" spans="1:2" x14ac:dyDescent="0.2">
      <c r="A2263" s="8" t="s">
        <v>2286</v>
      </c>
      <c r="B2263" s="2" t="s">
        <v>12457</v>
      </c>
    </row>
    <row r="2264" spans="1:2" x14ac:dyDescent="0.2">
      <c r="A2264" s="8" t="s">
        <v>2287</v>
      </c>
      <c r="B2264" s="2" t="s">
        <v>12457</v>
      </c>
    </row>
    <row r="2265" spans="1:2" x14ac:dyDescent="0.2">
      <c r="A2265" s="8" t="s">
        <v>2288</v>
      </c>
      <c r="B2265" s="2" t="s">
        <v>12457</v>
      </c>
    </row>
    <row r="2266" spans="1:2" x14ac:dyDescent="0.2">
      <c r="A2266" s="8" t="s">
        <v>2289</v>
      </c>
      <c r="B2266" s="2" t="s">
        <v>12457</v>
      </c>
    </row>
    <row r="2267" spans="1:2" x14ac:dyDescent="0.2">
      <c r="A2267" s="8" t="s">
        <v>2290</v>
      </c>
      <c r="B2267" s="2" t="s">
        <v>12457</v>
      </c>
    </row>
    <row r="2268" spans="1:2" x14ac:dyDescent="0.2">
      <c r="A2268" s="8" t="s">
        <v>2291</v>
      </c>
      <c r="B2268" s="2" t="s">
        <v>12457</v>
      </c>
    </row>
    <row r="2269" spans="1:2" x14ac:dyDescent="0.2">
      <c r="A2269" s="8" t="s">
        <v>2292</v>
      </c>
      <c r="B2269" s="2" t="s">
        <v>12457</v>
      </c>
    </row>
    <row r="2270" spans="1:2" x14ac:dyDescent="0.2">
      <c r="A2270" s="8" t="s">
        <v>2293</v>
      </c>
      <c r="B2270" s="2" t="s">
        <v>12457</v>
      </c>
    </row>
    <row r="2271" spans="1:2" x14ac:dyDescent="0.2">
      <c r="A2271" s="8" t="s">
        <v>2294</v>
      </c>
      <c r="B2271" s="2" t="s">
        <v>12457</v>
      </c>
    </row>
    <row r="2272" spans="1:2" x14ac:dyDescent="0.2">
      <c r="A2272" s="8" t="s">
        <v>2295</v>
      </c>
      <c r="B2272" s="2" t="s">
        <v>12457</v>
      </c>
    </row>
    <row r="2273" spans="1:2" x14ac:dyDescent="0.2">
      <c r="A2273" s="8" t="s">
        <v>2296</v>
      </c>
      <c r="B2273" s="2" t="s">
        <v>12457</v>
      </c>
    </row>
    <row r="2274" spans="1:2" x14ac:dyDescent="0.2">
      <c r="A2274" s="8" t="s">
        <v>2297</v>
      </c>
      <c r="B2274" s="2" t="s">
        <v>12457</v>
      </c>
    </row>
    <row r="2275" spans="1:2" x14ac:dyDescent="0.2">
      <c r="A2275" s="8" t="s">
        <v>2298</v>
      </c>
      <c r="B2275" s="2" t="s">
        <v>12457</v>
      </c>
    </row>
    <row r="2276" spans="1:2" x14ac:dyDescent="0.2">
      <c r="A2276" s="8" t="s">
        <v>2299</v>
      </c>
      <c r="B2276" s="2" t="s">
        <v>12457</v>
      </c>
    </row>
    <row r="2277" spans="1:2" x14ac:dyDescent="0.2">
      <c r="A2277" s="8" t="s">
        <v>2300</v>
      </c>
      <c r="B2277" s="2" t="s">
        <v>12457</v>
      </c>
    </row>
    <row r="2278" spans="1:2" x14ac:dyDescent="0.2">
      <c r="A2278" s="8" t="s">
        <v>2301</v>
      </c>
      <c r="B2278" s="2" t="s">
        <v>12457</v>
      </c>
    </row>
    <row r="2279" spans="1:2" x14ac:dyDescent="0.2">
      <c r="A2279" s="8" t="s">
        <v>2302</v>
      </c>
      <c r="B2279" s="2" t="s">
        <v>12457</v>
      </c>
    </row>
    <row r="2280" spans="1:2" x14ac:dyDescent="0.2">
      <c r="A2280" s="8" t="s">
        <v>2303</v>
      </c>
      <c r="B2280" s="2" t="s">
        <v>12457</v>
      </c>
    </row>
    <row r="2281" spans="1:2" x14ac:dyDescent="0.2">
      <c r="A2281" s="8" t="s">
        <v>2304</v>
      </c>
      <c r="B2281" s="2" t="s">
        <v>12457</v>
      </c>
    </row>
    <row r="2282" spans="1:2" x14ac:dyDescent="0.2">
      <c r="A2282" s="8" t="s">
        <v>2305</v>
      </c>
      <c r="B2282" s="2" t="s">
        <v>12457</v>
      </c>
    </row>
    <row r="2283" spans="1:2" x14ac:dyDescent="0.2">
      <c r="A2283" s="8" t="s">
        <v>2306</v>
      </c>
      <c r="B2283" s="2" t="s">
        <v>12457</v>
      </c>
    </row>
    <row r="2284" spans="1:2" x14ac:dyDescent="0.2">
      <c r="A2284" s="8" t="s">
        <v>2307</v>
      </c>
      <c r="B2284" s="2" t="s">
        <v>12457</v>
      </c>
    </row>
    <row r="2285" spans="1:2" x14ac:dyDescent="0.2">
      <c r="A2285" s="8" t="s">
        <v>2308</v>
      </c>
      <c r="B2285" s="2" t="s">
        <v>12457</v>
      </c>
    </row>
    <row r="2286" spans="1:2" x14ac:dyDescent="0.2">
      <c r="A2286" s="8" t="s">
        <v>2309</v>
      </c>
      <c r="B2286" s="2" t="s">
        <v>12457</v>
      </c>
    </row>
    <row r="2287" spans="1:2" x14ac:dyDescent="0.2">
      <c r="A2287" s="8" t="s">
        <v>2310</v>
      </c>
      <c r="B2287" s="2" t="s">
        <v>12457</v>
      </c>
    </row>
    <row r="2288" spans="1:2" x14ac:dyDescent="0.2">
      <c r="A2288" s="8" t="s">
        <v>2311</v>
      </c>
      <c r="B2288" s="2" t="s">
        <v>12457</v>
      </c>
    </row>
    <row r="2289" spans="1:2" x14ac:dyDescent="0.2">
      <c r="A2289" s="8" t="s">
        <v>2312</v>
      </c>
      <c r="B2289" s="2" t="s">
        <v>12457</v>
      </c>
    </row>
    <row r="2290" spans="1:2" x14ac:dyDescent="0.2">
      <c r="A2290" s="8" t="s">
        <v>2313</v>
      </c>
      <c r="B2290" s="2" t="s">
        <v>12457</v>
      </c>
    </row>
    <row r="2291" spans="1:2" x14ac:dyDescent="0.2">
      <c r="A2291" s="8" t="s">
        <v>2314</v>
      </c>
      <c r="B2291" s="2" t="s">
        <v>12457</v>
      </c>
    </row>
    <row r="2292" spans="1:2" x14ac:dyDescent="0.2">
      <c r="A2292" s="8" t="s">
        <v>2315</v>
      </c>
      <c r="B2292" s="2" t="s">
        <v>12457</v>
      </c>
    </row>
    <row r="2293" spans="1:2" x14ac:dyDescent="0.2">
      <c r="A2293" s="8" t="s">
        <v>2316</v>
      </c>
      <c r="B2293" s="2" t="s">
        <v>12457</v>
      </c>
    </row>
    <row r="2294" spans="1:2" x14ac:dyDescent="0.2">
      <c r="A2294" s="8" t="s">
        <v>2317</v>
      </c>
      <c r="B2294" s="2" t="s">
        <v>12457</v>
      </c>
    </row>
    <row r="2295" spans="1:2" x14ac:dyDescent="0.2">
      <c r="A2295" s="8" t="s">
        <v>2318</v>
      </c>
      <c r="B2295" s="2" t="s">
        <v>12457</v>
      </c>
    </row>
    <row r="2296" spans="1:2" x14ac:dyDescent="0.2">
      <c r="A2296" s="8" t="s">
        <v>2319</v>
      </c>
      <c r="B2296" s="2" t="s">
        <v>12457</v>
      </c>
    </row>
    <row r="2297" spans="1:2" x14ac:dyDescent="0.2">
      <c r="A2297" s="8" t="s">
        <v>2320</v>
      </c>
      <c r="B2297" s="2" t="s">
        <v>12457</v>
      </c>
    </row>
    <row r="2298" spans="1:2" x14ac:dyDescent="0.2">
      <c r="A2298" s="8" t="s">
        <v>2321</v>
      </c>
      <c r="B2298" s="2" t="s">
        <v>12457</v>
      </c>
    </row>
    <row r="2299" spans="1:2" x14ac:dyDescent="0.2">
      <c r="A2299" s="8" t="s">
        <v>2322</v>
      </c>
      <c r="B2299" s="2" t="s">
        <v>12457</v>
      </c>
    </row>
    <row r="2300" spans="1:2" x14ac:dyDescent="0.2">
      <c r="A2300" s="8" t="s">
        <v>2323</v>
      </c>
      <c r="B2300" s="2" t="s">
        <v>12457</v>
      </c>
    </row>
    <row r="2301" spans="1:2" x14ac:dyDescent="0.2">
      <c r="A2301" s="8" t="s">
        <v>2324</v>
      </c>
      <c r="B2301" s="2" t="s">
        <v>12457</v>
      </c>
    </row>
    <row r="2302" spans="1:2" x14ac:dyDescent="0.2">
      <c r="A2302" s="8" t="s">
        <v>2325</v>
      </c>
      <c r="B2302" s="2" t="s">
        <v>12457</v>
      </c>
    </row>
    <row r="2303" spans="1:2" x14ac:dyDescent="0.2">
      <c r="A2303" s="8" t="s">
        <v>2326</v>
      </c>
      <c r="B2303" s="2" t="s">
        <v>12457</v>
      </c>
    </row>
    <row r="2304" spans="1:2" x14ac:dyDescent="0.2">
      <c r="A2304" s="8" t="s">
        <v>2327</v>
      </c>
      <c r="B2304" s="2" t="s">
        <v>12457</v>
      </c>
    </row>
    <row r="2305" spans="1:2" x14ac:dyDescent="0.2">
      <c r="A2305" s="8" t="s">
        <v>2328</v>
      </c>
      <c r="B2305" s="2" t="s">
        <v>12457</v>
      </c>
    </row>
    <row r="2306" spans="1:2" x14ac:dyDescent="0.2">
      <c r="A2306" s="8" t="s">
        <v>2329</v>
      </c>
      <c r="B2306" s="2" t="s">
        <v>12457</v>
      </c>
    </row>
    <row r="2307" spans="1:2" x14ac:dyDescent="0.2">
      <c r="A2307" s="8" t="s">
        <v>2330</v>
      </c>
      <c r="B2307" s="2" t="s">
        <v>12457</v>
      </c>
    </row>
    <row r="2308" spans="1:2" x14ac:dyDescent="0.2">
      <c r="A2308" s="8" t="s">
        <v>2331</v>
      </c>
      <c r="B2308" s="2" t="s">
        <v>12457</v>
      </c>
    </row>
    <row r="2309" spans="1:2" x14ac:dyDescent="0.2">
      <c r="A2309" s="8" t="s">
        <v>2332</v>
      </c>
      <c r="B2309" s="2" t="s">
        <v>12457</v>
      </c>
    </row>
    <row r="2310" spans="1:2" x14ac:dyDescent="0.2">
      <c r="A2310" s="8" t="s">
        <v>2333</v>
      </c>
      <c r="B2310" s="2" t="s">
        <v>12457</v>
      </c>
    </row>
    <row r="2311" spans="1:2" x14ac:dyDescent="0.2">
      <c r="A2311" s="8" t="s">
        <v>2334</v>
      </c>
      <c r="B2311" s="2" t="s">
        <v>12457</v>
      </c>
    </row>
    <row r="2312" spans="1:2" x14ac:dyDescent="0.2">
      <c r="A2312" s="8" t="s">
        <v>2335</v>
      </c>
      <c r="B2312" s="2" t="s">
        <v>12457</v>
      </c>
    </row>
    <row r="2313" spans="1:2" x14ac:dyDescent="0.2">
      <c r="A2313" s="8" t="s">
        <v>2336</v>
      </c>
      <c r="B2313" s="2" t="s">
        <v>12457</v>
      </c>
    </row>
    <row r="2314" spans="1:2" x14ac:dyDescent="0.2">
      <c r="A2314" s="8" t="s">
        <v>2337</v>
      </c>
      <c r="B2314" s="2" t="s">
        <v>12457</v>
      </c>
    </row>
    <row r="2315" spans="1:2" x14ac:dyDescent="0.2">
      <c r="A2315" s="8" t="s">
        <v>2338</v>
      </c>
      <c r="B2315" s="2" t="s">
        <v>12457</v>
      </c>
    </row>
    <row r="2316" spans="1:2" x14ac:dyDescent="0.2">
      <c r="A2316" s="8" t="s">
        <v>2339</v>
      </c>
      <c r="B2316" s="2" t="s">
        <v>12457</v>
      </c>
    </row>
    <row r="2317" spans="1:2" x14ac:dyDescent="0.2">
      <c r="A2317" s="8" t="s">
        <v>2340</v>
      </c>
      <c r="B2317" s="2" t="s">
        <v>12457</v>
      </c>
    </row>
    <row r="2318" spans="1:2" x14ac:dyDescent="0.2">
      <c r="A2318" s="8" t="s">
        <v>2341</v>
      </c>
      <c r="B2318" s="2" t="s">
        <v>12457</v>
      </c>
    </row>
    <row r="2319" spans="1:2" x14ac:dyDescent="0.2">
      <c r="A2319" s="8" t="s">
        <v>2342</v>
      </c>
      <c r="B2319" s="2" t="s">
        <v>12457</v>
      </c>
    </row>
    <row r="2320" spans="1:2" x14ac:dyDescent="0.2">
      <c r="A2320" s="8" t="s">
        <v>2343</v>
      </c>
      <c r="B2320" s="2" t="s">
        <v>12457</v>
      </c>
    </row>
    <row r="2321" spans="1:2" x14ac:dyDescent="0.2">
      <c r="A2321" s="8" t="s">
        <v>2344</v>
      </c>
      <c r="B2321" s="2" t="s">
        <v>12457</v>
      </c>
    </row>
    <row r="2322" spans="1:2" x14ac:dyDescent="0.2">
      <c r="A2322" s="8" t="s">
        <v>2345</v>
      </c>
      <c r="B2322" s="2" t="s">
        <v>12457</v>
      </c>
    </row>
    <row r="2323" spans="1:2" x14ac:dyDescent="0.2">
      <c r="A2323" s="8" t="s">
        <v>2346</v>
      </c>
      <c r="B2323" s="2" t="s">
        <v>12457</v>
      </c>
    </row>
    <row r="2324" spans="1:2" x14ac:dyDescent="0.2">
      <c r="A2324" s="8" t="s">
        <v>2347</v>
      </c>
      <c r="B2324" s="2" t="s">
        <v>12457</v>
      </c>
    </row>
    <row r="2325" spans="1:2" x14ac:dyDescent="0.2">
      <c r="A2325" s="8" t="s">
        <v>2348</v>
      </c>
      <c r="B2325" s="2" t="s">
        <v>12457</v>
      </c>
    </row>
    <row r="2326" spans="1:2" x14ac:dyDescent="0.2">
      <c r="A2326" s="8" t="s">
        <v>2349</v>
      </c>
      <c r="B2326" s="2" t="s">
        <v>12457</v>
      </c>
    </row>
    <row r="2327" spans="1:2" x14ac:dyDescent="0.2">
      <c r="A2327" s="8" t="s">
        <v>2350</v>
      </c>
      <c r="B2327" s="2" t="s">
        <v>12457</v>
      </c>
    </row>
    <row r="2328" spans="1:2" x14ac:dyDescent="0.2">
      <c r="A2328" s="8" t="s">
        <v>2351</v>
      </c>
      <c r="B2328" s="2" t="s">
        <v>12457</v>
      </c>
    </row>
    <row r="2329" spans="1:2" x14ac:dyDescent="0.2">
      <c r="A2329" s="8" t="s">
        <v>2352</v>
      </c>
      <c r="B2329" s="2" t="s">
        <v>12457</v>
      </c>
    </row>
    <row r="2330" spans="1:2" x14ac:dyDescent="0.2">
      <c r="A2330" s="8" t="s">
        <v>2353</v>
      </c>
      <c r="B2330" s="2" t="s">
        <v>12457</v>
      </c>
    </row>
    <row r="2331" spans="1:2" x14ac:dyDescent="0.2">
      <c r="A2331" s="8" t="s">
        <v>2354</v>
      </c>
      <c r="B2331" s="2" t="s">
        <v>12457</v>
      </c>
    </row>
    <row r="2332" spans="1:2" x14ac:dyDescent="0.2">
      <c r="A2332" s="8" t="s">
        <v>2355</v>
      </c>
      <c r="B2332" s="2" t="s">
        <v>12457</v>
      </c>
    </row>
    <row r="2333" spans="1:2" x14ac:dyDescent="0.2">
      <c r="A2333" s="8" t="s">
        <v>2356</v>
      </c>
      <c r="B2333" s="2" t="s">
        <v>12457</v>
      </c>
    </row>
    <row r="2334" spans="1:2" x14ac:dyDescent="0.2">
      <c r="A2334" s="8" t="s">
        <v>2357</v>
      </c>
      <c r="B2334" s="2" t="s">
        <v>12457</v>
      </c>
    </row>
    <row r="2335" spans="1:2" x14ac:dyDescent="0.2">
      <c r="A2335" s="8" t="s">
        <v>2358</v>
      </c>
      <c r="B2335" s="2" t="s">
        <v>12457</v>
      </c>
    </row>
    <row r="2336" spans="1:2" x14ac:dyDescent="0.2">
      <c r="A2336" s="8" t="s">
        <v>2359</v>
      </c>
      <c r="B2336" s="2" t="s">
        <v>12457</v>
      </c>
    </row>
    <row r="2337" spans="1:2" x14ac:dyDescent="0.2">
      <c r="A2337" s="8" t="s">
        <v>2360</v>
      </c>
      <c r="B2337" s="2" t="s">
        <v>12457</v>
      </c>
    </row>
    <row r="2338" spans="1:2" x14ac:dyDescent="0.2">
      <c r="A2338" s="8" t="s">
        <v>2361</v>
      </c>
      <c r="B2338" s="2" t="s">
        <v>12457</v>
      </c>
    </row>
    <row r="2339" spans="1:2" x14ac:dyDescent="0.2">
      <c r="A2339" s="8" t="s">
        <v>2362</v>
      </c>
      <c r="B2339" s="2" t="s">
        <v>12457</v>
      </c>
    </row>
    <row r="2340" spans="1:2" x14ac:dyDescent="0.2">
      <c r="A2340" s="8" t="s">
        <v>2363</v>
      </c>
      <c r="B2340" s="2" t="s">
        <v>12457</v>
      </c>
    </row>
    <row r="2341" spans="1:2" x14ac:dyDescent="0.2">
      <c r="A2341" s="8" t="s">
        <v>2364</v>
      </c>
      <c r="B2341" s="2" t="s">
        <v>12457</v>
      </c>
    </row>
    <row r="2342" spans="1:2" x14ac:dyDescent="0.2">
      <c r="A2342" s="8" t="s">
        <v>2365</v>
      </c>
      <c r="B2342" s="2" t="s">
        <v>12457</v>
      </c>
    </row>
    <row r="2343" spans="1:2" x14ac:dyDescent="0.2">
      <c r="A2343" s="8" t="s">
        <v>2366</v>
      </c>
      <c r="B2343" s="2" t="s">
        <v>12457</v>
      </c>
    </row>
    <row r="2344" spans="1:2" x14ac:dyDescent="0.2">
      <c r="A2344" s="8" t="s">
        <v>2367</v>
      </c>
      <c r="B2344" s="2" t="s">
        <v>12457</v>
      </c>
    </row>
    <row r="2345" spans="1:2" x14ac:dyDescent="0.2">
      <c r="A2345" s="8" t="s">
        <v>2368</v>
      </c>
      <c r="B2345" s="2" t="s">
        <v>12457</v>
      </c>
    </row>
    <row r="2346" spans="1:2" x14ac:dyDescent="0.2">
      <c r="A2346" s="8" t="s">
        <v>2369</v>
      </c>
      <c r="B2346" s="2" t="s">
        <v>12457</v>
      </c>
    </row>
    <row r="2347" spans="1:2" x14ac:dyDescent="0.2">
      <c r="A2347" s="8" t="s">
        <v>2370</v>
      </c>
      <c r="B2347" s="2" t="s">
        <v>12457</v>
      </c>
    </row>
    <row r="2348" spans="1:2" x14ac:dyDescent="0.2">
      <c r="A2348" s="8" t="s">
        <v>2371</v>
      </c>
      <c r="B2348" s="2" t="s">
        <v>12457</v>
      </c>
    </row>
    <row r="2349" spans="1:2" x14ac:dyDescent="0.2">
      <c r="A2349" s="8" t="s">
        <v>2372</v>
      </c>
      <c r="B2349" s="2" t="s">
        <v>12457</v>
      </c>
    </row>
    <row r="2350" spans="1:2" x14ac:dyDescent="0.2">
      <c r="A2350" s="8" t="s">
        <v>2373</v>
      </c>
      <c r="B2350" s="2" t="s">
        <v>12457</v>
      </c>
    </row>
    <row r="2351" spans="1:2" x14ac:dyDescent="0.2">
      <c r="A2351" s="8" t="s">
        <v>2374</v>
      </c>
      <c r="B2351" s="2" t="s">
        <v>12457</v>
      </c>
    </row>
    <row r="2352" spans="1:2" x14ac:dyDescent="0.2">
      <c r="A2352" s="8" t="s">
        <v>2375</v>
      </c>
      <c r="B2352" s="2" t="s">
        <v>12457</v>
      </c>
    </row>
    <row r="2353" spans="1:2" x14ac:dyDescent="0.2">
      <c r="A2353" s="8" t="s">
        <v>2376</v>
      </c>
      <c r="B2353" s="2" t="s">
        <v>12457</v>
      </c>
    </row>
    <row r="2354" spans="1:2" x14ac:dyDescent="0.2">
      <c r="A2354" s="8" t="s">
        <v>2377</v>
      </c>
      <c r="B2354" s="2" t="s">
        <v>12457</v>
      </c>
    </row>
    <row r="2355" spans="1:2" x14ac:dyDescent="0.2">
      <c r="A2355" s="8" t="s">
        <v>2378</v>
      </c>
      <c r="B2355" s="2" t="s">
        <v>12457</v>
      </c>
    </row>
    <row r="2356" spans="1:2" x14ac:dyDescent="0.2">
      <c r="A2356" s="8" t="s">
        <v>2379</v>
      </c>
      <c r="B2356" s="2" t="s">
        <v>12457</v>
      </c>
    </row>
    <row r="2357" spans="1:2" x14ac:dyDescent="0.2">
      <c r="A2357" s="8" t="s">
        <v>2380</v>
      </c>
      <c r="B2357" s="2" t="s">
        <v>12457</v>
      </c>
    </row>
    <row r="2358" spans="1:2" x14ac:dyDescent="0.2">
      <c r="A2358" s="8" t="s">
        <v>2381</v>
      </c>
      <c r="B2358" s="2" t="s">
        <v>12457</v>
      </c>
    </row>
    <row r="2359" spans="1:2" x14ac:dyDescent="0.2">
      <c r="A2359" s="8" t="s">
        <v>2382</v>
      </c>
      <c r="B2359" s="2" t="s">
        <v>12457</v>
      </c>
    </row>
    <row r="2360" spans="1:2" x14ac:dyDescent="0.2">
      <c r="A2360" s="8" t="s">
        <v>2383</v>
      </c>
      <c r="B2360" s="2" t="s">
        <v>12457</v>
      </c>
    </row>
    <row r="2361" spans="1:2" x14ac:dyDescent="0.2">
      <c r="A2361" s="8" t="s">
        <v>2384</v>
      </c>
      <c r="B2361" s="2" t="s">
        <v>12457</v>
      </c>
    </row>
    <row r="2362" spans="1:2" x14ac:dyDescent="0.2">
      <c r="A2362" s="8" t="s">
        <v>2385</v>
      </c>
      <c r="B2362" s="2" t="s">
        <v>12457</v>
      </c>
    </row>
    <row r="2363" spans="1:2" x14ac:dyDescent="0.2">
      <c r="A2363" s="8" t="s">
        <v>2386</v>
      </c>
      <c r="B2363" s="2" t="s">
        <v>12457</v>
      </c>
    </row>
    <row r="2364" spans="1:2" x14ac:dyDescent="0.2">
      <c r="A2364" s="8" t="s">
        <v>2387</v>
      </c>
      <c r="B2364" s="2" t="s">
        <v>12457</v>
      </c>
    </row>
    <row r="2365" spans="1:2" x14ac:dyDescent="0.2">
      <c r="A2365" s="8" t="s">
        <v>2388</v>
      </c>
      <c r="B2365" s="2" t="s">
        <v>12457</v>
      </c>
    </row>
    <row r="2366" spans="1:2" x14ac:dyDescent="0.2">
      <c r="A2366" s="8" t="s">
        <v>2389</v>
      </c>
      <c r="B2366" s="2" t="s">
        <v>12457</v>
      </c>
    </row>
    <row r="2367" spans="1:2" x14ac:dyDescent="0.2">
      <c r="A2367" s="8" t="s">
        <v>2390</v>
      </c>
      <c r="B2367" s="2" t="s">
        <v>12457</v>
      </c>
    </row>
    <row r="2368" spans="1:2" x14ac:dyDescent="0.2">
      <c r="A2368" s="8" t="s">
        <v>2391</v>
      </c>
      <c r="B2368" s="2" t="s">
        <v>12457</v>
      </c>
    </row>
    <row r="2369" spans="1:2" x14ac:dyDescent="0.2">
      <c r="A2369" s="8" t="s">
        <v>2392</v>
      </c>
      <c r="B2369" s="2" t="s">
        <v>12457</v>
      </c>
    </row>
    <row r="2370" spans="1:2" x14ac:dyDescent="0.2">
      <c r="A2370" s="8" t="s">
        <v>2393</v>
      </c>
      <c r="B2370" s="2" t="s">
        <v>12457</v>
      </c>
    </row>
    <row r="2371" spans="1:2" x14ac:dyDescent="0.2">
      <c r="A2371" s="8" t="s">
        <v>2394</v>
      </c>
      <c r="B2371" s="2" t="s">
        <v>12457</v>
      </c>
    </row>
    <row r="2372" spans="1:2" x14ac:dyDescent="0.2">
      <c r="A2372" s="8" t="s">
        <v>2395</v>
      </c>
      <c r="B2372" s="2" t="s">
        <v>12457</v>
      </c>
    </row>
    <row r="2373" spans="1:2" x14ac:dyDescent="0.2">
      <c r="A2373" s="8" t="s">
        <v>2396</v>
      </c>
      <c r="B2373" s="2" t="s">
        <v>12457</v>
      </c>
    </row>
    <row r="2374" spans="1:2" x14ac:dyDescent="0.2">
      <c r="A2374" s="8" t="s">
        <v>2397</v>
      </c>
      <c r="B2374" s="2" t="s">
        <v>12457</v>
      </c>
    </row>
    <row r="2375" spans="1:2" x14ac:dyDescent="0.2">
      <c r="A2375" s="8" t="s">
        <v>2398</v>
      </c>
      <c r="B2375" s="2" t="s">
        <v>12457</v>
      </c>
    </row>
    <row r="2376" spans="1:2" x14ac:dyDescent="0.2">
      <c r="A2376" s="8" t="s">
        <v>2399</v>
      </c>
      <c r="B2376" s="2" t="s">
        <v>12457</v>
      </c>
    </row>
    <row r="2377" spans="1:2" x14ac:dyDescent="0.2">
      <c r="A2377" s="8" t="s">
        <v>2400</v>
      </c>
      <c r="B2377" s="2" t="s">
        <v>12457</v>
      </c>
    </row>
    <row r="2378" spans="1:2" x14ac:dyDescent="0.2">
      <c r="A2378" s="8" t="s">
        <v>2401</v>
      </c>
      <c r="B2378" s="2" t="s">
        <v>12457</v>
      </c>
    </row>
    <row r="2379" spans="1:2" x14ac:dyDescent="0.2">
      <c r="A2379" s="8" t="s">
        <v>2402</v>
      </c>
      <c r="B2379" s="2" t="s">
        <v>12457</v>
      </c>
    </row>
    <row r="2380" spans="1:2" x14ac:dyDescent="0.2">
      <c r="A2380" s="8" t="s">
        <v>2403</v>
      </c>
      <c r="B2380" s="2" t="s">
        <v>12457</v>
      </c>
    </row>
    <row r="2381" spans="1:2" x14ac:dyDescent="0.2">
      <c r="A2381" s="8" t="s">
        <v>2404</v>
      </c>
      <c r="B2381" s="2" t="s">
        <v>12457</v>
      </c>
    </row>
    <row r="2382" spans="1:2" x14ac:dyDescent="0.2">
      <c r="A2382" s="8" t="s">
        <v>2405</v>
      </c>
      <c r="B2382" s="2" t="s">
        <v>12457</v>
      </c>
    </row>
    <row r="2383" spans="1:2" x14ac:dyDescent="0.2">
      <c r="A2383" s="8" t="s">
        <v>2406</v>
      </c>
      <c r="B2383" s="2" t="s">
        <v>12457</v>
      </c>
    </row>
    <row r="2384" spans="1:2" x14ac:dyDescent="0.2">
      <c r="A2384" s="8" t="s">
        <v>2407</v>
      </c>
      <c r="B2384" s="2" t="s">
        <v>12457</v>
      </c>
    </row>
    <row r="2385" spans="1:2" x14ac:dyDescent="0.2">
      <c r="A2385" s="8" t="s">
        <v>2408</v>
      </c>
      <c r="B2385" s="2" t="s">
        <v>12457</v>
      </c>
    </row>
    <row r="2386" spans="1:2" x14ac:dyDescent="0.2">
      <c r="A2386" s="8" t="s">
        <v>2409</v>
      </c>
      <c r="B2386" s="2" t="s">
        <v>12457</v>
      </c>
    </row>
    <row r="2387" spans="1:2" x14ac:dyDescent="0.2">
      <c r="A2387" s="8" t="s">
        <v>2410</v>
      </c>
      <c r="B2387" s="2" t="s">
        <v>12457</v>
      </c>
    </row>
    <row r="2388" spans="1:2" x14ac:dyDescent="0.2">
      <c r="A2388" s="8" t="s">
        <v>2411</v>
      </c>
      <c r="B2388" s="2" t="s">
        <v>12457</v>
      </c>
    </row>
    <row r="2389" spans="1:2" x14ac:dyDescent="0.2">
      <c r="A2389" s="8" t="s">
        <v>2412</v>
      </c>
      <c r="B2389" s="2" t="s">
        <v>12457</v>
      </c>
    </row>
    <row r="2390" spans="1:2" x14ac:dyDescent="0.2">
      <c r="A2390" s="8" t="s">
        <v>2413</v>
      </c>
      <c r="B2390" s="2" t="s">
        <v>12457</v>
      </c>
    </row>
    <row r="2391" spans="1:2" x14ac:dyDescent="0.2">
      <c r="A2391" s="8" t="s">
        <v>2414</v>
      </c>
      <c r="B2391" s="2" t="s">
        <v>12457</v>
      </c>
    </row>
    <row r="2392" spans="1:2" x14ac:dyDescent="0.2">
      <c r="A2392" s="8" t="s">
        <v>2415</v>
      </c>
      <c r="B2392" s="2" t="s">
        <v>12457</v>
      </c>
    </row>
    <row r="2393" spans="1:2" x14ac:dyDescent="0.2">
      <c r="A2393" s="8" t="s">
        <v>2416</v>
      </c>
      <c r="B2393" s="2" t="s">
        <v>12457</v>
      </c>
    </row>
    <row r="2394" spans="1:2" x14ac:dyDescent="0.2">
      <c r="A2394" s="8" t="s">
        <v>2417</v>
      </c>
      <c r="B2394" s="2" t="s">
        <v>12457</v>
      </c>
    </row>
    <row r="2395" spans="1:2" x14ac:dyDescent="0.2">
      <c r="A2395" s="8" t="s">
        <v>2418</v>
      </c>
      <c r="B2395" s="2" t="s">
        <v>12457</v>
      </c>
    </row>
    <row r="2396" spans="1:2" x14ac:dyDescent="0.2">
      <c r="A2396" s="8" t="s">
        <v>2419</v>
      </c>
      <c r="B2396" s="2" t="s">
        <v>12457</v>
      </c>
    </row>
    <row r="2397" spans="1:2" x14ac:dyDescent="0.2">
      <c r="A2397" s="8" t="s">
        <v>2420</v>
      </c>
      <c r="B2397" s="2" t="s">
        <v>12457</v>
      </c>
    </row>
    <row r="2398" spans="1:2" x14ac:dyDescent="0.2">
      <c r="A2398" s="8" t="s">
        <v>2421</v>
      </c>
      <c r="B2398" s="2" t="s">
        <v>12457</v>
      </c>
    </row>
    <row r="2399" spans="1:2" x14ac:dyDescent="0.2">
      <c r="A2399" s="8" t="s">
        <v>2422</v>
      </c>
      <c r="B2399" s="2" t="s">
        <v>12457</v>
      </c>
    </row>
    <row r="2400" spans="1:2" x14ac:dyDescent="0.2">
      <c r="A2400" s="8" t="s">
        <v>2423</v>
      </c>
      <c r="B2400" s="2" t="s">
        <v>12457</v>
      </c>
    </row>
    <row r="2401" spans="1:2" x14ac:dyDescent="0.2">
      <c r="A2401" s="8" t="s">
        <v>2424</v>
      </c>
      <c r="B2401" s="2" t="s">
        <v>12457</v>
      </c>
    </row>
    <row r="2402" spans="1:2" x14ac:dyDescent="0.2">
      <c r="A2402" s="8" t="s">
        <v>2425</v>
      </c>
      <c r="B2402" s="2" t="s">
        <v>12457</v>
      </c>
    </row>
    <row r="2403" spans="1:2" x14ac:dyDescent="0.2">
      <c r="A2403" s="8" t="s">
        <v>2426</v>
      </c>
      <c r="B2403" s="2" t="s">
        <v>12457</v>
      </c>
    </row>
    <row r="2404" spans="1:2" x14ac:dyDescent="0.2">
      <c r="A2404" s="8" t="s">
        <v>2427</v>
      </c>
      <c r="B2404" s="2" t="s">
        <v>12457</v>
      </c>
    </row>
    <row r="2405" spans="1:2" x14ac:dyDescent="0.2">
      <c r="A2405" s="8" t="s">
        <v>2428</v>
      </c>
      <c r="B2405" s="2" t="s">
        <v>12457</v>
      </c>
    </row>
    <row r="2406" spans="1:2" x14ac:dyDescent="0.2">
      <c r="A2406" s="8" t="s">
        <v>2429</v>
      </c>
      <c r="B2406" s="2" t="s">
        <v>12457</v>
      </c>
    </row>
    <row r="2407" spans="1:2" x14ac:dyDescent="0.2">
      <c r="A2407" s="8" t="s">
        <v>2430</v>
      </c>
      <c r="B2407" s="2" t="s">
        <v>12457</v>
      </c>
    </row>
    <row r="2408" spans="1:2" x14ac:dyDescent="0.2">
      <c r="A2408" s="8" t="s">
        <v>2431</v>
      </c>
      <c r="B2408" s="2" t="s">
        <v>12457</v>
      </c>
    </row>
    <row r="2409" spans="1:2" x14ac:dyDescent="0.2">
      <c r="A2409" s="8" t="s">
        <v>2432</v>
      </c>
      <c r="B2409" s="2" t="s">
        <v>12457</v>
      </c>
    </row>
    <row r="2410" spans="1:2" x14ac:dyDescent="0.2">
      <c r="A2410" s="8" t="s">
        <v>2433</v>
      </c>
      <c r="B2410" s="2" t="s">
        <v>12457</v>
      </c>
    </row>
    <row r="2411" spans="1:2" x14ac:dyDescent="0.2">
      <c r="A2411" s="8" t="s">
        <v>2434</v>
      </c>
      <c r="B2411" s="2" t="s">
        <v>12457</v>
      </c>
    </row>
    <row r="2412" spans="1:2" x14ac:dyDescent="0.2">
      <c r="A2412" s="8" t="s">
        <v>2435</v>
      </c>
      <c r="B2412" s="2" t="s">
        <v>12457</v>
      </c>
    </row>
    <row r="2413" spans="1:2" x14ac:dyDescent="0.2">
      <c r="A2413" s="8" t="s">
        <v>2436</v>
      </c>
      <c r="B2413" s="2" t="s">
        <v>12457</v>
      </c>
    </row>
    <row r="2414" spans="1:2" x14ac:dyDescent="0.2">
      <c r="A2414" s="8" t="s">
        <v>2437</v>
      </c>
      <c r="B2414" s="2" t="s">
        <v>12457</v>
      </c>
    </row>
    <row r="2415" spans="1:2" x14ac:dyDescent="0.2">
      <c r="A2415" s="8" t="s">
        <v>2438</v>
      </c>
      <c r="B2415" s="2" t="s">
        <v>12457</v>
      </c>
    </row>
    <row r="2416" spans="1:2" x14ac:dyDescent="0.2">
      <c r="A2416" s="8" t="s">
        <v>2439</v>
      </c>
      <c r="B2416" s="2" t="s">
        <v>12457</v>
      </c>
    </row>
    <row r="2417" spans="1:2" x14ac:dyDescent="0.2">
      <c r="A2417" s="8" t="s">
        <v>2440</v>
      </c>
      <c r="B2417" s="2" t="s">
        <v>12457</v>
      </c>
    </row>
    <row r="2418" spans="1:2" x14ac:dyDescent="0.2">
      <c r="A2418" s="8" t="s">
        <v>2441</v>
      </c>
      <c r="B2418" s="2" t="s">
        <v>12457</v>
      </c>
    </row>
    <row r="2419" spans="1:2" x14ac:dyDescent="0.2">
      <c r="A2419" s="8" t="s">
        <v>2442</v>
      </c>
      <c r="B2419" s="2" t="s">
        <v>12457</v>
      </c>
    </row>
    <row r="2420" spans="1:2" x14ac:dyDescent="0.2">
      <c r="A2420" s="8" t="s">
        <v>2443</v>
      </c>
      <c r="B2420" s="2" t="s">
        <v>12457</v>
      </c>
    </row>
    <row r="2421" spans="1:2" x14ac:dyDescent="0.2">
      <c r="A2421" s="8" t="s">
        <v>2444</v>
      </c>
      <c r="B2421" s="2" t="s">
        <v>12457</v>
      </c>
    </row>
    <row r="2422" spans="1:2" x14ac:dyDescent="0.2">
      <c r="A2422" s="8" t="s">
        <v>2445</v>
      </c>
      <c r="B2422" s="2" t="s">
        <v>12457</v>
      </c>
    </row>
    <row r="2423" spans="1:2" x14ac:dyDescent="0.2">
      <c r="A2423" s="8" t="s">
        <v>2446</v>
      </c>
      <c r="B2423" s="2" t="s">
        <v>12457</v>
      </c>
    </row>
    <row r="2424" spans="1:2" x14ac:dyDescent="0.2">
      <c r="A2424" s="8" t="s">
        <v>2447</v>
      </c>
      <c r="B2424" s="2" t="s">
        <v>12457</v>
      </c>
    </row>
    <row r="2425" spans="1:2" x14ac:dyDescent="0.2">
      <c r="A2425" s="8" t="s">
        <v>2448</v>
      </c>
      <c r="B2425" s="2" t="s">
        <v>12457</v>
      </c>
    </row>
    <row r="2426" spans="1:2" x14ac:dyDescent="0.2">
      <c r="A2426" s="8" t="s">
        <v>2449</v>
      </c>
      <c r="B2426" s="2" t="s">
        <v>12457</v>
      </c>
    </row>
    <row r="2427" spans="1:2" x14ac:dyDescent="0.2">
      <c r="A2427" s="8" t="s">
        <v>2450</v>
      </c>
      <c r="B2427" s="2" t="s">
        <v>12457</v>
      </c>
    </row>
    <row r="2428" spans="1:2" x14ac:dyDescent="0.2">
      <c r="A2428" s="8" t="s">
        <v>2451</v>
      </c>
      <c r="B2428" s="2" t="s">
        <v>12457</v>
      </c>
    </row>
    <row r="2429" spans="1:2" x14ac:dyDescent="0.2">
      <c r="A2429" s="8" t="s">
        <v>2452</v>
      </c>
      <c r="B2429" s="2" t="s">
        <v>12457</v>
      </c>
    </row>
    <row r="2430" spans="1:2" x14ac:dyDescent="0.2">
      <c r="A2430" s="8" t="s">
        <v>2453</v>
      </c>
      <c r="B2430" s="2" t="s">
        <v>12457</v>
      </c>
    </row>
    <row r="2431" spans="1:2" x14ac:dyDescent="0.2">
      <c r="A2431" s="8" t="s">
        <v>2454</v>
      </c>
      <c r="B2431" s="2" t="s">
        <v>12457</v>
      </c>
    </row>
    <row r="2432" spans="1:2" x14ac:dyDescent="0.2">
      <c r="A2432" s="8" t="s">
        <v>2455</v>
      </c>
      <c r="B2432" s="2" t="s">
        <v>12457</v>
      </c>
    </row>
    <row r="2433" spans="1:2" x14ac:dyDescent="0.2">
      <c r="A2433" s="8" t="s">
        <v>2456</v>
      </c>
      <c r="B2433" s="2" t="s">
        <v>12457</v>
      </c>
    </row>
    <row r="2434" spans="1:2" x14ac:dyDescent="0.2">
      <c r="A2434" s="8" t="s">
        <v>2457</v>
      </c>
      <c r="B2434" s="2" t="s">
        <v>12457</v>
      </c>
    </row>
    <row r="2435" spans="1:2" x14ac:dyDescent="0.2">
      <c r="A2435" s="8" t="s">
        <v>2458</v>
      </c>
      <c r="B2435" s="2" t="s">
        <v>12457</v>
      </c>
    </row>
    <row r="2436" spans="1:2" x14ac:dyDescent="0.2">
      <c r="A2436" s="8" t="s">
        <v>2459</v>
      </c>
      <c r="B2436" s="2" t="s">
        <v>12457</v>
      </c>
    </row>
    <row r="2437" spans="1:2" x14ac:dyDescent="0.2">
      <c r="A2437" s="8" t="s">
        <v>2460</v>
      </c>
      <c r="B2437" s="2" t="s">
        <v>12457</v>
      </c>
    </row>
    <row r="2438" spans="1:2" x14ac:dyDescent="0.2">
      <c r="A2438" s="8" t="s">
        <v>2461</v>
      </c>
      <c r="B2438" s="2" t="s">
        <v>12457</v>
      </c>
    </row>
    <row r="2439" spans="1:2" x14ac:dyDescent="0.2">
      <c r="A2439" s="8" t="s">
        <v>2462</v>
      </c>
      <c r="B2439" s="2" t="s">
        <v>12457</v>
      </c>
    </row>
    <row r="2440" spans="1:2" x14ac:dyDescent="0.2">
      <c r="A2440" s="8" t="s">
        <v>2463</v>
      </c>
      <c r="B2440" s="2" t="s">
        <v>12457</v>
      </c>
    </row>
    <row r="2441" spans="1:2" x14ac:dyDescent="0.2">
      <c r="A2441" s="8" t="s">
        <v>2464</v>
      </c>
      <c r="B2441" s="2" t="s">
        <v>12457</v>
      </c>
    </row>
    <row r="2442" spans="1:2" x14ac:dyDescent="0.2">
      <c r="A2442" s="8" t="s">
        <v>2465</v>
      </c>
      <c r="B2442" s="2" t="s">
        <v>12457</v>
      </c>
    </row>
    <row r="2443" spans="1:2" x14ac:dyDescent="0.2">
      <c r="A2443" s="8" t="s">
        <v>2466</v>
      </c>
      <c r="B2443" s="2" t="s">
        <v>12457</v>
      </c>
    </row>
    <row r="2444" spans="1:2" x14ac:dyDescent="0.2">
      <c r="A2444" s="8" t="s">
        <v>2467</v>
      </c>
      <c r="B2444" s="2" t="s">
        <v>12457</v>
      </c>
    </row>
    <row r="2445" spans="1:2" x14ac:dyDescent="0.2">
      <c r="A2445" s="8" t="s">
        <v>2468</v>
      </c>
      <c r="B2445" s="2" t="s">
        <v>12457</v>
      </c>
    </row>
    <row r="2446" spans="1:2" x14ac:dyDescent="0.2">
      <c r="A2446" s="8" t="s">
        <v>2469</v>
      </c>
      <c r="B2446" s="2" t="s">
        <v>12457</v>
      </c>
    </row>
    <row r="2447" spans="1:2" x14ac:dyDescent="0.2">
      <c r="A2447" s="8" t="s">
        <v>2470</v>
      </c>
      <c r="B2447" s="2" t="s">
        <v>12457</v>
      </c>
    </row>
    <row r="2448" spans="1:2" x14ac:dyDescent="0.2">
      <c r="A2448" s="8" t="s">
        <v>2471</v>
      </c>
      <c r="B2448" s="2" t="s">
        <v>12458</v>
      </c>
    </row>
    <row r="2449" spans="1:2" x14ac:dyDescent="0.2">
      <c r="A2449" s="8" t="s">
        <v>2472</v>
      </c>
      <c r="B2449" s="2" t="s">
        <v>12458</v>
      </c>
    </row>
    <row r="2450" spans="1:2" x14ac:dyDescent="0.2">
      <c r="A2450" s="8" t="s">
        <v>2473</v>
      </c>
      <c r="B2450" s="2" t="s">
        <v>12458</v>
      </c>
    </row>
    <row r="2451" spans="1:2" x14ac:dyDescent="0.2">
      <c r="A2451" s="8" t="s">
        <v>2474</v>
      </c>
      <c r="B2451" s="2" t="s">
        <v>12458</v>
      </c>
    </row>
    <row r="2452" spans="1:2" x14ac:dyDescent="0.2">
      <c r="A2452" s="8" t="s">
        <v>2475</v>
      </c>
      <c r="B2452" s="2" t="s">
        <v>12458</v>
      </c>
    </row>
    <row r="2453" spans="1:2" x14ac:dyDescent="0.2">
      <c r="A2453" s="8" t="s">
        <v>2476</v>
      </c>
      <c r="B2453" s="2" t="s">
        <v>12458</v>
      </c>
    </row>
    <row r="2454" spans="1:2" x14ac:dyDescent="0.2">
      <c r="A2454" s="8" t="s">
        <v>2477</v>
      </c>
      <c r="B2454" s="2" t="s">
        <v>12458</v>
      </c>
    </row>
    <row r="2455" spans="1:2" x14ac:dyDescent="0.2">
      <c r="A2455" s="8" t="s">
        <v>2478</v>
      </c>
      <c r="B2455" s="2" t="s">
        <v>12458</v>
      </c>
    </row>
    <row r="2456" spans="1:2" x14ac:dyDescent="0.2">
      <c r="A2456" s="8" t="s">
        <v>2479</v>
      </c>
      <c r="B2456" s="2" t="s">
        <v>12458</v>
      </c>
    </row>
    <row r="2457" spans="1:2" x14ac:dyDescent="0.2">
      <c r="A2457" s="8" t="s">
        <v>2480</v>
      </c>
      <c r="B2457" s="2" t="s">
        <v>12458</v>
      </c>
    </row>
    <row r="2458" spans="1:2" x14ac:dyDescent="0.2">
      <c r="A2458" s="8" t="s">
        <v>2481</v>
      </c>
      <c r="B2458" s="2" t="s">
        <v>12458</v>
      </c>
    </row>
    <row r="2459" spans="1:2" x14ac:dyDescent="0.2">
      <c r="A2459" s="8" t="s">
        <v>2482</v>
      </c>
      <c r="B2459" s="2" t="s">
        <v>12458</v>
      </c>
    </row>
    <row r="2460" spans="1:2" x14ac:dyDescent="0.2">
      <c r="A2460" s="8" t="s">
        <v>2483</v>
      </c>
      <c r="B2460" s="2" t="s">
        <v>12458</v>
      </c>
    </row>
    <row r="2461" spans="1:2" x14ac:dyDescent="0.2">
      <c r="A2461" s="8" t="s">
        <v>2484</v>
      </c>
      <c r="B2461" s="2" t="s">
        <v>12458</v>
      </c>
    </row>
    <row r="2462" spans="1:2" x14ac:dyDescent="0.2">
      <c r="A2462" s="8" t="s">
        <v>2485</v>
      </c>
      <c r="B2462" s="2" t="s">
        <v>12458</v>
      </c>
    </row>
    <row r="2463" spans="1:2" x14ac:dyDescent="0.2">
      <c r="A2463" s="8" t="s">
        <v>2486</v>
      </c>
      <c r="B2463" s="2" t="s">
        <v>12458</v>
      </c>
    </row>
    <row r="2464" spans="1:2" x14ac:dyDescent="0.2">
      <c r="A2464" s="8" t="s">
        <v>2487</v>
      </c>
      <c r="B2464" s="2" t="s">
        <v>12458</v>
      </c>
    </row>
    <row r="2465" spans="1:2" x14ac:dyDescent="0.2">
      <c r="A2465" s="8" t="s">
        <v>2488</v>
      </c>
      <c r="B2465" s="2" t="s">
        <v>12458</v>
      </c>
    </row>
    <row r="2466" spans="1:2" x14ac:dyDescent="0.2">
      <c r="A2466" s="8" t="s">
        <v>2489</v>
      </c>
      <c r="B2466" s="2" t="s">
        <v>12458</v>
      </c>
    </row>
    <row r="2467" spans="1:2" x14ac:dyDescent="0.2">
      <c r="A2467" s="8" t="s">
        <v>2490</v>
      </c>
      <c r="B2467" s="2" t="s">
        <v>12458</v>
      </c>
    </row>
    <row r="2468" spans="1:2" x14ac:dyDescent="0.2">
      <c r="A2468" s="8" t="s">
        <v>2491</v>
      </c>
      <c r="B2468" s="2" t="s">
        <v>12458</v>
      </c>
    </row>
    <row r="2469" spans="1:2" x14ac:dyDescent="0.2">
      <c r="A2469" s="8" t="s">
        <v>2492</v>
      </c>
      <c r="B2469" s="2" t="s">
        <v>12458</v>
      </c>
    </row>
    <row r="2470" spans="1:2" x14ac:dyDescent="0.2">
      <c r="A2470" s="8" t="s">
        <v>2493</v>
      </c>
      <c r="B2470" s="2" t="s">
        <v>12458</v>
      </c>
    </row>
    <row r="2471" spans="1:2" x14ac:dyDescent="0.2">
      <c r="A2471" s="8" t="s">
        <v>2494</v>
      </c>
      <c r="B2471" s="2" t="s">
        <v>12458</v>
      </c>
    </row>
    <row r="2472" spans="1:2" x14ac:dyDescent="0.2">
      <c r="A2472" s="8" t="s">
        <v>2495</v>
      </c>
      <c r="B2472" s="2" t="s">
        <v>12458</v>
      </c>
    </row>
    <row r="2473" spans="1:2" x14ac:dyDescent="0.2">
      <c r="A2473" s="8" t="s">
        <v>2496</v>
      </c>
      <c r="B2473" s="2" t="s">
        <v>12458</v>
      </c>
    </row>
    <row r="2474" spans="1:2" x14ac:dyDescent="0.2">
      <c r="A2474" s="8" t="s">
        <v>2497</v>
      </c>
      <c r="B2474" s="2" t="s">
        <v>12458</v>
      </c>
    </row>
    <row r="2475" spans="1:2" x14ac:dyDescent="0.2">
      <c r="A2475" s="8" t="s">
        <v>2498</v>
      </c>
      <c r="B2475" s="2" t="s">
        <v>12458</v>
      </c>
    </row>
    <row r="2476" spans="1:2" x14ac:dyDescent="0.2">
      <c r="A2476" s="8" t="s">
        <v>2499</v>
      </c>
      <c r="B2476" s="2" t="s">
        <v>12458</v>
      </c>
    </row>
    <row r="2477" spans="1:2" x14ac:dyDescent="0.2">
      <c r="A2477" s="8" t="s">
        <v>2500</v>
      </c>
      <c r="B2477" s="2" t="s">
        <v>12458</v>
      </c>
    </row>
    <row r="2478" spans="1:2" x14ac:dyDescent="0.2">
      <c r="A2478" s="8" t="s">
        <v>2501</v>
      </c>
      <c r="B2478" s="2" t="s">
        <v>12458</v>
      </c>
    </row>
    <row r="2479" spans="1:2" x14ac:dyDescent="0.2">
      <c r="A2479" s="8" t="s">
        <v>2502</v>
      </c>
      <c r="B2479" s="2" t="s">
        <v>12458</v>
      </c>
    </row>
    <row r="2480" spans="1:2" x14ac:dyDescent="0.2">
      <c r="A2480" s="8" t="s">
        <v>2503</v>
      </c>
      <c r="B2480" s="2" t="s">
        <v>12458</v>
      </c>
    </row>
    <row r="2481" spans="1:2" x14ac:dyDescent="0.2">
      <c r="A2481" s="8" t="s">
        <v>2504</v>
      </c>
      <c r="B2481" s="2" t="s">
        <v>12458</v>
      </c>
    </row>
    <row r="2482" spans="1:2" x14ac:dyDescent="0.2">
      <c r="A2482" s="8" t="s">
        <v>2505</v>
      </c>
      <c r="B2482" s="2" t="s">
        <v>12458</v>
      </c>
    </row>
    <row r="2483" spans="1:2" x14ac:dyDescent="0.2">
      <c r="A2483" s="8" t="s">
        <v>2506</v>
      </c>
      <c r="B2483" s="2" t="s">
        <v>12458</v>
      </c>
    </row>
    <row r="2484" spans="1:2" x14ac:dyDescent="0.2">
      <c r="A2484" s="8" t="s">
        <v>2507</v>
      </c>
      <c r="B2484" s="2" t="s">
        <v>12458</v>
      </c>
    </row>
    <row r="2485" spans="1:2" x14ac:dyDescent="0.2">
      <c r="A2485" s="8" t="s">
        <v>2508</v>
      </c>
      <c r="B2485" s="2" t="s">
        <v>12458</v>
      </c>
    </row>
    <row r="2486" spans="1:2" x14ac:dyDescent="0.2">
      <c r="A2486" s="8" t="s">
        <v>2509</v>
      </c>
      <c r="B2486" s="2" t="s">
        <v>12458</v>
      </c>
    </row>
    <row r="2487" spans="1:2" x14ac:dyDescent="0.2">
      <c r="A2487" s="8" t="s">
        <v>2510</v>
      </c>
      <c r="B2487" s="2" t="s">
        <v>12458</v>
      </c>
    </row>
    <row r="2488" spans="1:2" x14ac:dyDescent="0.2">
      <c r="A2488" s="8" t="s">
        <v>2511</v>
      </c>
      <c r="B2488" s="2" t="s">
        <v>12458</v>
      </c>
    </row>
    <row r="2489" spans="1:2" x14ac:dyDescent="0.2">
      <c r="A2489" s="8" t="s">
        <v>2512</v>
      </c>
      <c r="B2489" s="2" t="s">
        <v>12458</v>
      </c>
    </row>
    <row r="2490" spans="1:2" x14ac:dyDescent="0.2">
      <c r="A2490" s="8" t="s">
        <v>2513</v>
      </c>
      <c r="B2490" s="2" t="s">
        <v>12458</v>
      </c>
    </row>
    <row r="2491" spans="1:2" x14ac:dyDescent="0.2">
      <c r="A2491" s="8" t="s">
        <v>2514</v>
      </c>
      <c r="B2491" s="2" t="s">
        <v>12458</v>
      </c>
    </row>
    <row r="2492" spans="1:2" x14ac:dyDescent="0.2">
      <c r="A2492" s="8" t="s">
        <v>2515</v>
      </c>
      <c r="B2492" s="2" t="s">
        <v>12458</v>
      </c>
    </row>
    <row r="2493" spans="1:2" x14ac:dyDescent="0.2">
      <c r="A2493" s="8" t="s">
        <v>2516</v>
      </c>
      <c r="B2493" s="2" t="s">
        <v>12458</v>
      </c>
    </row>
    <row r="2494" spans="1:2" x14ac:dyDescent="0.2">
      <c r="A2494" s="8" t="s">
        <v>2517</v>
      </c>
      <c r="B2494" s="2" t="s">
        <v>12458</v>
      </c>
    </row>
    <row r="2495" spans="1:2" x14ac:dyDescent="0.2">
      <c r="A2495" s="8" t="s">
        <v>2518</v>
      </c>
      <c r="B2495" s="2" t="s">
        <v>12458</v>
      </c>
    </row>
    <row r="2496" spans="1:2" x14ac:dyDescent="0.2">
      <c r="A2496" s="8" t="s">
        <v>2519</v>
      </c>
      <c r="B2496" s="2" t="s">
        <v>12458</v>
      </c>
    </row>
    <row r="2497" spans="1:2" x14ac:dyDescent="0.2">
      <c r="A2497" s="8" t="s">
        <v>2520</v>
      </c>
      <c r="B2497" s="2" t="s">
        <v>12458</v>
      </c>
    </row>
    <row r="2498" spans="1:2" x14ac:dyDescent="0.2">
      <c r="A2498" s="8" t="s">
        <v>2521</v>
      </c>
      <c r="B2498" s="2" t="s">
        <v>12458</v>
      </c>
    </row>
    <row r="2499" spans="1:2" x14ac:dyDescent="0.2">
      <c r="A2499" s="8" t="s">
        <v>2522</v>
      </c>
      <c r="B2499" s="2" t="s">
        <v>12458</v>
      </c>
    </row>
    <row r="2500" spans="1:2" x14ac:dyDescent="0.2">
      <c r="A2500" s="8" t="s">
        <v>2523</v>
      </c>
      <c r="B2500" s="2" t="s">
        <v>12458</v>
      </c>
    </row>
    <row r="2501" spans="1:2" x14ac:dyDescent="0.2">
      <c r="A2501" s="8" t="s">
        <v>2524</v>
      </c>
      <c r="B2501" s="2" t="s">
        <v>12458</v>
      </c>
    </row>
    <row r="2502" spans="1:2" x14ac:dyDescent="0.2">
      <c r="A2502" s="8" t="s">
        <v>2525</v>
      </c>
      <c r="B2502" s="2" t="s">
        <v>12458</v>
      </c>
    </row>
    <row r="2503" spans="1:2" x14ac:dyDescent="0.2">
      <c r="A2503" s="8" t="s">
        <v>2526</v>
      </c>
      <c r="B2503" s="2" t="s">
        <v>12458</v>
      </c>
    </row>
    <row r="2504" spans="1:2" x14ac:dyDescent="0.2">
      <c r="A2504" s="8" t="s">
        <v>2527</v>
      </c>
      <c r="B2504" s="2" t="s">
        <v>12458</v>
      </c>
    </row>
    <row r="2505" spans="1:2" x14ac:dyDescent="0.2">
      <c r="A2505" s="8" t="s">
        <v>2528</v>
      </c>
      <c r="B2505" s="2" t="s">
        <v>12458</v>
      </c>
    </row>
    <row r="2506" spans="1:2" x14ac:dyDescent="0.2">
      <c r="A2506" s="8" t="s">
        <v>2529</v>
      </c>
      <c r="B2506" s="2" t="s">
        <v>12458</v>
      </c>
    </row>
    <row r="2507" spans="1:2" x14ac:dyDescent="0.2">
      <c r="A2507" s="8" t="s">
        <v>2530</v>
      </c>
      <c r="B2507" s="2" t="s">
        <v>12458</v>
      </c>
    </row>
    <row r="2508" spans="1:2" x14ac:dyDescent="0.2">
      <c r="A2508" s="8" t="s">
        <v>2531</v>
      </c>
      <c r="B2508" s="2" t="s">
        <v>12458</v>
      </c>
    </row>
    <row r="2509" spans="1:2" x14ac:dyDescent="0.2">
      <c r="A2509" s="8" t="s">
        <v>2532</v>
      </c>
      <c r="B2509" s="2" t="s">
        <v>12458</v>
      </c>
    </row>
    <row r="2510" spans="1:2" x14ac:dyDescent="0.2">
      <c r="A2510" s="8" t="s">
        <v>2533</v>
      </c>
      <c r="B2510" s="2" t="s">
        <v>12458</v>
      </c>
    </row>
    <row r="2511" spans="1:2" x14ac:dyDescent="0.2">
      <c r="A2511" s="8" t="s">
        <v>2534</v>
      </c>
      <c r="B2511" s="2" t="s">
        <v>12458</v>
      </c>
    </row>
    <row r="2512" spans="1:2" x14ac:dyDescent="0.2">
      <c r="A2512" s="8" t="s">
        <v>2535</v>
      </c>
      <c r="B2512" s="2" t="s">
        <v>12458</v>
      </c>
    </row>
    <row r="2513" spans="1:2" x14ac:dyDescent="0.2">
      <c r="A2513" s="8" t="s">
        <v>2536</v>
      </c>
      <c r="B2513" s="2" t="s">
        <v>12458</v>
      </c>
    </row>
    <row r="2514" spans="1:2" x14ac:dyDescent="0.2">
      <c r="A2514" s="8" t="s">
        <v>2537</v>
      </c>
      <c r="B2514" s="2" t="s">
        <v>12458</v>
      </c>
    </row>
    <row r="2515" spans="1:2" x14ac:dyDescent="0.2">
      <c r="A2515" s="8" t="s">
        <v>2538</v>
      </c>
      <c r="B2515" s="2" t="s">
        <v>12458</v>
      </c>
    </row>
    <row r="2516" spans="1:2" x14ac:dyDescent="0.2">
      <c r="A2516" s="8" t="s">
        <v>2539</v>
      </c>
      <c r="B2516" s="2" t="s">
        <v>12458</v>
      </c>
    </row>
    <row r="2517" spans="1:2" x14ac:dyDescent="0.2">
      <c r="A2517" s="8" t="s">
        <v>2540</v>
      </c>
      <c r="B2517" s="2" t="s">
        <v>12458</v>
      </c>
    </row>
    <row r="2518" spans="1:2" x14ac:dyDescent="0.2">
      <c r="A2518" s="8" t="s">
        <v>2541</v>
      </c>
      <c r="B2518" s="2" t="s">
        <v>12458</v>
      </c>
    </row>
    <row r="2519" spans="1:2" x14ac:dyDescent="0.2">
      <c r="A2519" s="8" t="s">
        <v>2542</v>
      </c>
      <c r="B2519" s="2" t="s">
        <v>12458</v>
      </c>
    </row>
    <row r="2520" spans="1:2" x14ac:dyDescent="0.2">
      <c r="A2520" s="8" t="s">
        <v>2543</v>
      </c>
      <c r="B2520" s="2" t="s">
        <v>12458</v>
      </c>
    </row>
    <row r="2521" spans="1:2" x14ac:dyDescent="0.2">
      <c r="A2521" s="8" t="s">
        <v>2544</v>
      </c>
      <c r="B2521" s="2" t="s">
        <v>12458</v>
      </c>
    </row>
    <row r="2522" spans="1:2" x14ac:dyDescent="0.2">
      <c r="A2522" s="8" t="s">
        <v>2545</v>
      </c>
      <c r="B2522" s="2" t="s">
        <v>12458</v>
      </c>
    </row>
    <row r="2523" spans="1:2" x14ac:dyDescent="0.2">
      <c r="A2523" s="8" t="s">
        <v>2546</v>
      </c>
      <c r="B2523" s="2" t="s">
        <v>12458</v>
      </c>
    </row>
    <row r="2524" spans="1:2" x14ac:dyDescent="0.2">
      <c r="A2524" s="8" t="s">
        <v>2547</v>
      </c>
      <c r="B2524" s="2" t="s">
        <v>12458</v>
      </c>
    </row>
    <row r="2525" spans="1:2" x14ac:dyDescent="0.2">
      <c r="A2525" s="8" t="s">
        <v>2548</v>
      </c>
      <c r="B2525" s="2" t="s">
        <v>12458</v>
      </c>
    </row>
    <row r="2526" spans="1:2" x14ac:dyDescent="0.2">
      <c r="A2526" s="8" t="s">
        <v>2549</v>
      </c>
      <c r="B2526" s="2" t="s">
        <v>12458</v>
      </c>
    </row>
    <row r="2527" spans="1:2" x14ac:dyDescent="0.2">
      <c r="A2527" s="8" t="s">
        <v>2550</v>
      </c>
      <c r="B2527" s="2" t="s">
        <v>12458</v>
      </c>
    </row>
    <row r="2528" spans="1:2" x14ac:dyDescent="0.2">
      <c r="A2528" s="8" t="s">
        <v>2551</v>
      </c>
      <c r="B2528" s="2" t="s">
        <v>12458</v>
      </c>
    </row>
    <row r="2529" spans="1:2" x14ac:dyDescent="0.2">
      <c r="A2529" s="8" t="s">
        <v>2552</v>
      </c>
      <c r="B2529" s="2" t="s">
        <v>12458</v>
      </c>
    </row>
    <row r="2530" spans="1:2" x14ac:dyDescent="0.2">
      <c r="A2530" s="8" t="s">
        <v>2553</v>
      </c>
      <c r="B2530" s="2" t="s">
        <v>12458</v>
      </c>
    </row>
    <row r="2531" spans="1:2" x14ac:dyDescent="0.2">
      <c r="A2531" s="8" t="s">
        <v>2554</v>
      </c>
      <c r="B2531" s="2" t="s">
        <v>12458</v>
      </c>
    </row>
    <row r="2532" spans="1:2" x14ac:dyDescent="0.2">
      <c r="A2532" s="8" t="s">
        <v>2555</v>
      </c>
      <c r="B2532" s="2" t="s">
        <v>12458</v>
      </c>
    </row>
    <row r="2533" spans="1:2" x14ac:dyDescent="0.2">
      <c r="A2533" s="8" t="s">
        <v>2556</v>
      </c>
      <c r="B2533" s="2" t="s">
        <v>12458</v>
      </c>
    </row>
    <row r="2534" spans="1:2" x14ac:dyDescent="0.2">
      <c r="A2534" s="8" t="s">
        <v>2557</v>
      </c>
      <c r="B2534" s="2" t="s">
        <v>12458</v>
      </c>
    </row>
    <row r="2535" spans="1:2" x14ac:dyDescent="0.2">
      <c r="A2535" s="8" t="s">
        <v>2558</v>
      </c>
      <c r="B2535" s="2" t="s">
        <v>12458</v>
      </c>
    </row>
    <row r="2536" spans="1:2" x14ac:dyDescent="0.2">
      <c r="A2536" s="8" t="s">
        <v>2559</v>
      </c>
      <c r="B2536" s="2" t="s">
        <v>12458</v>
      </c>
    </row>
    <row r="2537" spans="1:2" x14ac:dyDescent="0.2">
      <c r="A2537" s="8" t="s">
        <v>2560</v>
      </c>
      <c r="B2537" s="2" t="s">
        <v>12458</v>
      </c>
    </row>
    <row r="2538" spans="1:2" x14ac:dyDescent="0.2">
      <c r="A2538" s="8" t="s">
        <v>2561</v>
      </c>
      <c r="B2538" s="2" t="s">
        <v>12458</v>
      </c>
    </row>
    <row r="2539" spans="1:2" x14ac:dyDescent="0.2">
      <c r="A2539" s="8" t="s">
        <v>2562</v>
      </c>
      <c r="B2539" s="2" t="s">
        <v>12458</v>
      </c>
    </row>
    <row r="2540" spans="1:2" x14ac:dyDescent="0.2">
      <c r="A2540" s="8" t="s">
        <v>2563</v>
      </c>
      <c r="B2540" s="2" t="s">
        <v>12458</v>
      </c>
    </row>
    <row r="2541" spans="1:2" x14ac:dyDescent="0.2">
      <c r="A2541" s="8" t="s">
        <v>2564</v>
      </c>
      <c r="B2541" s="2" t="s">
        <v>12458</v>
      </c>
    </row>
    <row r="2542" spans="1:2" x14ac:dyDescent="0.2">
      <c r="A2542" s="8" t="s">
        <v>2565</v>
      </c>
      <c r="B2542" s="2" t="s">
        <v>12458</v>
      </c>
    </row>
    <row r="2543" spans="1:2" x14ac:dyDescent="0.2">
      <c r="A2543" s="8" t="s">
        <v>2566</v>
      </c>
      <c r="B2543" s="2" t="s">
        <v>12458</v>
      </c>
    </row>
    <row r="2544" spans="1:2" x14ac:dyDescent="0.2">
      <c r="A2544" s="8" t="s">
        <v>2567</v>
      </c>
      <c r="B2544" s="2" t="s">
        <v>12458</v>
      </c>
    </row>
    <row r="2545" spans="1:2" x14ac:dyDescent="0.2">
      <c r="A2545" s="8" t="s">
        <v>2568</v>
      </c>
      <c r="B2545" s="2" t="s">
        <v>12458</v>
      </c>
    </row>
    <row r="2546" spans="1:2" x14ac:dyDescent="0.2">
      <c r="A2546" s="8" t="s">
        <v>2569</v>
      </c>
      <c r="B2546" s="2" t="s">
        <v>12458</v>
      </c>
    </row>
    <row r="2547" spans="1:2" x14ac:dyDescent="0.2">
      <c r="A2547" s="8" t="s">
        <v>2570</v>
      </c>
      <c r="B2547" s="2" t="s">
        <v>12458</v>
      </c>
    </row>
    <row r="2548" spans="1:2" x14ac:dyDescent="0.2">
      <c r="A2548" s="8" t="s">
        <v>2571</v>
      </c>
      <c r="B2548" s="2" t="s">
        <v>12458</v>
      </c>
    </row>
    <row r="2549" spans="1:2" x14ac:dyDescent="0.2">
      <c r="A2549" s="8" t="s">
        <v>2572</v>
      </c>
      <c r="B2549" s="2" t="s">
        <v>12458</v>
      </c>
    </row>
    <row r="2550" spans="1:2" x14ac:dyDescent="0.2">
      <c r="A2550" s="8" t="s">
        <v>2573</v>
      </c>
      <c r="B2550" s="2" t="s">
        <v>12458</v>
      </c>
    </row>
    <row r="2551" spans="1:2" x14ac:dyDescent="0.2">
      <c r="A2551" s="8" t="s">
        <v>2574</v>
      </c>
      <c r="B2551" s="2" t="s">
        <v>12458</v>
      </c>
    </row>
    <row r="2552" spans="1:2" x14ac:dyDescent="0.2">
      <c r="A2552" s="8" t="s">
        <v>2575</v>
      </c>
      <c r="B2552" s="2" t="s">
        <v>12458</v>
      </c>
    </row>
    <row r="2553" spans="1:2" x14ac:dyDescent="0.2">
      <c r="A2553" s="8" t="s">
        <v>2576</v>
      </c>
      <c r="B2553" s="2" t="s">
        <v>12458</v>
      </c>
    </row>
    <row r="2554" spans="1:2" x14ac:dyDescent="0.2">
      <c r="A2554" s="8" t="s">
        <v>2577</v>
      </c>
      <c r="B2554" s="2" t="s">
        <v>12458</v>
      </c>
    </row>
    <row r="2555" spans="1:2" x14ac:dyDescent="0.2">
      <c r="A2555" s="8" t="s">
        <v>2578</v>
      </c>
      <c r="B2555" s="2" t="s">
        <v>12458</v>
      </c>
    </row>
    <row r="2556" spans="1:2" x14ac:dyDescent="0.2">
      <c r="A2556" s="8" t="s">
        <v>2579</v>
      </c>
      <c r="B2556" s="2" t="s">
        <v>12458</v>
      </c>
    </row>
    <row r="2557" spans="1:2" x14ac:dyDescent="0.2">
      <c r="A2557" s="8" t="s">
        <v>2580</v>
      </c>
      <c r="B2557" s="2" t="s">
        <v>12458</v>
      </c>
    </row>
    <row r="2558" spans="1:2" x14ac:dyDescent="0.2">
      <c r="A2558" s="8" t="s">
        <v>2581</v>
      </c>
      <c r="B2558" s="2" t="s">
        <v>12458</v>
      </c>
    </row>
    <row r="2559" spans="1:2" x14ac:dyDescent="0.2">
      <c r="A2559" s="8" t="s">
        <v>2582</v>
      </c>
      <c r="B2559" s="2" t="s">
        <v>12458</v>
      </c>
    </row>
    <row r="2560" spans="1:2" x14ac:dyDescent="0.2">
      <c r="A2560" s="8" t="s">
        <v>2583</v>
      </c>
      <c r="B2560" s="2" t="s">
        <v>12458</v>
      </c>
    </row>
    <row r="2561" spans="1:2" x14ac:dyDescent="0.2">
      <c r="A2561" s="8" t="s">
        <v>2584</v>
      </c>
      <c r="B2561" s="2" t="s">
        <v>12458</v>
      </c>
    </row>
    <row r="2562" spans="1:2" x14ac:dyDescent="0.2">
      <c r="A2562" s="8" t="s">
        <v>2585</v>
      </c>
      <c r="B2562" s="2" t="s">
        <v>12458</v>
      </c>
    </row>
    <row r="2563" spans="1:2" x14ac:dyDescent="0.2">
      <c r="A2563" s="8" t="s">
        <v>2586</v>
      </c>
      <c r="B2563" s="2" t="s">
        <v>12458</v>
      </c>
    </row>
    <row r="2564" spans="1:2" x14ac:dyDescent="0.2">
      <c r="A2564" s="8" t="s">
        <v>2587</v>
      </c>
      <c r="B2564" s="2" t="s">
        <v>12458</v>
      </c>
    </row>
    <row r="2565" spans="1:2" x14ac:dyDescent="0.2">
      <c r="A2565" s="8" t="s">
        <v>2588</v>
      </c>
      <c r="B2565" s="2" t="s">
        <v>12458</v>
      </c>
    </row>
    <row r="2566" spans="1:2" x14ac:dyDescent="0.2">
      <c r="A2566" s="8" t="s">
        <v>2589</v>
      </c>
      <c r="B2566" s="2" t="s">
        <v>12458</v>
      </c>
    </row>
    <row r="2567" spans="1:2" x14ac:dyDescent="0.2">
      <c r="A2567" s="8" t="s">
        <v>2590</v>
      </c>
      <c r="B2567" s="2" t="s">
        <v>12458</v>
      </c>
    </row>
    <row r="2568" spans="1:2" x14ac:dyDescent="0.2">
      <c r="A2568" s="8" t="s">
        <v>2591</v>
      </c>
      <c r="B2568" s="2" t="s">
        <v>12458</v>
      </c>
    </row>
    <row r="2569" spans="1:2" x14ac:dyDescent="0.2">
      <c r="A2569" s="8" t="s">
        <v>2592</v>
      </c>
      <c r="B2569" s="2" t="s">
        <v>12458</v>
      </c>
    </row>
    <row r="2570" spans="1:2" x14ac:dyDescent="0.2">
      <c r="A2570" s="8" t="s">
        <v>2593</v>
      </c>
      <c r="B2570" s="2" t="s">
        <v>12458</v>
      </c>
    </row>
    <row r="2571" spans="1:2" x14ac:dyDescent="0.2">
      <c r="A2571" s="8" t="s">
        <v>2594</v>
      </c>
      <c r="B2571" s="2" t="s">
        <v>12458</v>
      </c>
    </row>
    <row r="2572" spans="1:2" x14ac:dyDescent="0.2">
      <c r="A2572" s="8" t="s">
        <v>2595</v>
      </c>
      <c r="B2572" s="2" t="s">
        <v>12458</v>
      </c>
    </row>
    <row r="2573" spans="1:2" x14ac:dyDescent="0.2">
      <c r="A2573" s="8" t="s">
        <v>2596</v>
      </c>
      <c r="B2573" s="2" t="s">
        <v>12458</v>
      </c>
    </row>
    <row r="2574" spans="1:2" x14ac:dyDescent="0.2">
      <c r="A2574" s="8" t="s">
        <v>2597</v>
      </c>
      <c r="B2574" s="2" t="s">
        <v>12458</v>
      </c>
    </row>
    <row r="2575" spans="1:2" x14ac:dyDescent="0.2">
      <c r="A2575" s="8" t="s">
        <v>2598</v>
      </c>
      <c r="B2575" s="2" t="s">
        <v>12458</v>
      </c>
    </row>
    <row r="2576" spans="1:2" x14ac:dyDescent="0.2">
      <c r="A2576" s="8" t="s">
        <v>2599</v>
      </c>
      <c r="B2576" s="2" t="s">
        <v>12458</v>
      </c>
    </row>
    <row r="2577" spans="1:2" x14ac:dyDescent="0.2">
      <c r="A2577" s="8" t="s">
        <v>2600</v>
      </c>
      <c r="B2577" s="2" t="s">
        <v>12458</v>
      </c>
    </row>
    <row r="2578" spans="1:2" x14ac:dyDescent="0.2">
      <c r="A2578" s="8" t="s">
        <v>2601</v>
      </c>
      <c r="B2578" s="2" t="s">
        <v>12458</v>
      </c>
    </row>
    <row r="2579" spans="1:2" x14ac:dyDescent="0.2">
      <c r="A2579" s="8" t="s">
        <v>2602</v>
      </c>
      <c r="B2579" s="2" t="s">
        <v>12458</v>
      </c>
    </row>
    <row r="2580" spans="1:2" x14ac:dyDescent="0.2">
      <c r="A2580" s="8" t="s">
        <v>2603</v>
      </c>
      <c r="B2580" s="2" t="s">
        <v>12458</v>
      </c>
    </row>
    <row r="2581" spans="1:2" x14ac:dyDescent="0.2">
      <c r="A2581" s="8" t="s">
        <v>2604</v>
      </c>
      <c r="B2581" s="2" t="s">
        <v>12458</v>
      </c>
    </row>
    <row r="2582" spans="1:2" x14ac:dyDescent="0.2">
      <c r="A2582" s="8" t="s">
        <v>2605</v>
      </c>
      <c r="B2582" s="2" t="s">
        <v>12458</v>
      </c>
    </row>
    <row r="2583" spans="1:2" x14ac:dyDescent="0.2">
      <c r="A2583" s="8" t="s">
        <v>2606</v>
      </c>
      <c r="B2583" s="2" t="s">
        <v>12458</v>
      </c>
    </row>
    <row r="2584" spans="1:2" x14ac:dyDescent="0.2">
      <c r="A2584" s="8" t="s">
        <v>2607</v>
      </c>
      <c r="B2584" s="2" t="s">
        <v>12458</v>
      </c>
    </row>
    <row r="2585" spans="1:2" x14ac:dyDescent="0.2">
      <c r="A2585" s="8" t="s">
        <v>2608</v>
      </c>
      <c r="B2585" s="2" t="s">
        <v>12458</v>
      </c>
    </row>
    <row r="2586" spans="1:2" x14ac:dyDescent="0.2">
      <c r="A2586" s="8" t="s">
        <v>2609</v>
      </c>
      <c r="B2586" s="2" t="s">
        <v>12458</v>
      </c>
    </row>
    <row r="2587" spans="1:2" x14ac:dyDescent="0.2">
      <c r="A2587" s="8" t="s">
        <v>2610</v>
      </c>
      <c r="B2587" s="2" t="s">
        <v>12458</v>
      </c>
    </row>
    <row r="2588" spans="1:2" x14ac:dyDescent="0.2">
      <c r="A2588" s="8" t="s">
        <v>2611</v>
      </c>
      <c r="B2588" s="2" t="s">
        <v>12458</v>
      </c>
    </row>
    <row r="2589" spans="1:2" x14ac:dyDescent="0.2">
      <c r="A2589" s="8" t="s">
        <v>2612</v>
      </c>
      <c r="B2589" s="2" t="s">
        <v>12458</v>
      </c>
    </row>
    <row r="2590" spans="1:2" x14ac:dyDescent="0.2">
      <c r="A2590" s="8" t="s">
        <v>2613</v>
      </c>
      <c r="B2590" s="2" t="s">
        <v>12458</v>
      </c>
    </row>
    <row r="2591" spans="1:2" x14ac:dyDescent="0.2">
      <c r="A2591" s="8" t="s">
        <v>2614</v>
      </c>
      <c r="B2591" s="2" t="s">
        <v>12458</v>
      </c>
    </row>
    <row r="2592" spans="1:2" x14ac:dyDescent="0.2">
      <c r="A2592" s="8" t="s">
        <v>2615</v>
      </c>
      <c r="B2592" s="2" t="s">
        <v>12458</v>
      </c>
    </row>
    <row r="2593" spans="1:2" x14ac:dyDescent="0.2">
      <c r="A2593" s="8" t="s">
        <v>2616</v>
      </c>
      <c r="B2593" s="2" t="s">
        <v>12458</v>
      </c>
    </row>
    <row r="2594" spans="1:2" x14ac:dyDescent="0.2">
      <c r="A2594" s="8" t="s">
        <v>2617</v>
      </c>
      <c r="B2594" s="2" t="s">
        <v>12458</v>
      </c>
    </row>
    <row r="2595" spans="1:2" x14ac:dyDescent="0.2">
      <c r="A2595" s="8" t="s">
        <v>2618</v>
      </c>
      <c r="B2595" s="2" t="s">
        <v>12458</v>
      </c>
    </row>
    <row r="2596" spans="1:2" x14ac:dyDescent="0.2">
      <c r="A2596" s="8" t="s">
        <v>2619</v>
      </c>
      <c r="B2596" s="2" t="s">
        <v>12458</v>
      </c>
    </row>
    <row r="2597" spans="1:2" x14ac:dyDescent="0.2">
      <c r="A2597" s="8" t="s">
        <v>2620</v>
      </c>
      <c r="B2597" s="2" t="s">
        <v>12458</v>
      </c>
    </row>
    <row r="2598" spans="1:2" x14ac:dyDescent="0.2">
      <c r="A2598" s="8" t="s">
        <v>2621</v>
      </c>
      <c r="B2598" s="2" t="s">
        <v>12458</v>
      </c>
    </row>
    <row r="2599" spans="1:2" x14ac:dyDescent="0.2">
      <c r="A2599" s="8" t="s">
        <v>2622</v>
      </c>
      <c r="B2599" s="2" t="s">
        <v>12458</v>
      </c>
    </row>
    <row r="2600" spans="1:2" x14ac:dyDescent="0.2">
      <c r="A2600" s="8" t="s">
        <v>2623</v>
      </c>
      <c r="B2600" s="2" t="s">
        <v>12458</v>
      </c>
    </row>
    <row r="2601" spans="1:2" x14ac:dyDescent="0.2">
      <c r="A2601" s="8" t="s">
        <v>2624</v>
      </c>
      <c r="B2601" s="2" t="s">
        <v>12458</v>
      </c>
    </row>
    <row r="2602" spans="1:2" x14ac:dyDescent="0.2">
      <c r="A2602" s="8" t="s">
        <v>2625</v>
      </c>
      <c r="B2602" s="2" t="s">
        <v>12458</v>
      </c>
    </row>
    <row r="2603" spans="1:2" x14ac:dyDescent="0.2">
      <c r="A2603" s="8" t="s">
        <v>2626</v>
      </c>
      <c r="B2603" s="2" t="s">
        <v>12458</v>
      </c>
    </row>
    <row r="2604" spans="1:2" x14ac:dyDescent="0.2">
      <c r="A2604" s="8" t="s">
        <v>2627</v>
      </c>
      <c r="B2604" s="2" t="s">
        <v>12458</v>
      </c>
    </row>
    <row r="2605" spans="1:2" x14ac:dyDescent="0.2">
      <c r="A2605" s="8" t="s">
        <v>2628</v>
      </c>
      <c r="B2605" s="2" t="s">
        <v>12458</v>
      </c>
    </row>
    <row r="2606" spans="1:2" x14ac:dyDescent="0.2">
      <c r="A2606" s="8" t="s">
        <v>2629</v>
      </c>
      <c r="B2606" s="2" t="s">
        <v>12458</v>
      </c>
    </row>
    <row r="2607" spans="1:2" x14ac:dyDescent="0.2">
      <c r="A2607" s="8" t="s">
        <v>2630</v>
      </c>
      <c r="B2607" s="2" t="s">
        <v>12458</v>
      </c>
    </row>
    <row r="2608" spans="1:2" x14ac:dyDescent="0.2">
      <c r="A2608" s="8" t="s">
        <v>2631</v>
      </c>
      <c r="B2608" s="2" t="s">
        <v>12458</v>
      </c>
    </row>
    <row r="2609" spans="1:2" x14ac:dyDescent="0.2">
      <c r="A2609" s="8" t="s">
        <v>2632</v>
      </c>
      <c r="B2609" s="2" t="s">
        <v>12458</v>
      </c>
    </row>
    <row r="2610" spans="1:2" x14ac:dyDescent="0.2">
      <c r="A2610" s="8" t="s">
        <v>2633</v>
      </c>
      <c r="B2610" s="2" t="s">
        <v>12458</v>
      </c>
    </row>
    <row r="2611" spans="1:2" x14ac:dyDescent="0.2">
      <c r="A2611" s="8" t="s">
        <v>2634</v>
      </c>
      <c r="B2611" s="2" t="s">
        <v>12458</v>
      </c>
    </row>
    <row r="2612" spans="1:2" x14ac:dyDescent="0.2">
      <c r="A2612" s="8" t="s">
        <v>2635</v>
      </c>
      <c r="B2612" s="2" t="s">
        <v>12458</v>
      </c>
    </row>
    <row r="2613" spans="1:2" x14ac:dyDescent="0.2">
      <c r="A2613" s="8" t="s">
        <v>2636</v>
      </c>
      <c r="B2613" s="2" t="s">
        <v>12458</v>
      </c>
    </row>
    <row r="2614" spans="1:2" x14ac:dyDescent="0.2">
      <c r="A2614" s="8" t="s">
        <v>2637</v>
      </c>
      <c r="B2614" s="2" t="s">
        <v>12458</v>
      </c>
    </row>
    <row r="2615" spans="1:2" x14ac:dyDescent="0.2">
      <c r="A2615" s="8" t="s">
        <v>2638</v>
      </c>
      <c r="B2615" s="2" t="s">
        <v>12458</v>
      </c>
    </row>
    <row r="2616" spans="1:2" x14ac:dyDescent="0.2">
      <c r="A2616" s="8" t="s">
        <v>2639</v>
      </c>
      <c r="B2616" s="2" t="s">
        <v>12458</v>
      </c>
    </row>
    <row r="2617" spans="1:2" x14ac:dyDescent="0.2">
      <c r="A2617" s="8" t="s">
        <v>2640</v>
      </c>
      <c r="B2617" s="2" t="s">
        <v>12458</v>
      </c>
    </row>
    <row r="2618" spans="1:2" x14ac:dyDescent="0.2">
      <c r="A2618" s="8" t="s">
        <v>2641</v>
      </c>
      <c r="B2618" s="2" t="s">
        <v>12458</v>
      </c>
    </row>
    <row r="2619" spans="1:2" x14ac:dyDescent="0.2">
      <c r="A2619" s="8" t="s">
        <v>2642</v>
      </c>
      <c r="B2619" s="2" t="s">
        <v>12458</v>
      </c>
    </row>
    <row r="2620" spans="1:2" x14ac:dyDescent="0.2">
      <c r="A2620" s="8" t="s">
        <v>2643</v>
      </c>
      <c r="B2620" s="2" t="s">
        <v>12458</v>
      </c>
    </row>
    <row r="2621" spans="1:2" x14ac:dyDescent="0.2">
      <c r="A2621" s="8" t="s">
        <v>2644</v>
      </c>
      <c r="B2621" s="2" t="s">
        <v>12458</v>
      </c>
    </row>
    <row r="2622" spans="1:2" x14ac:dyDescent="0.2">
      <c r="A2622" s="8" t="s">
        <v>2645</v>
      </c>
      <c r="B2622" s="2" t="s">
        <v>12458</v>
      </c>
    </row>
    <row r="2623" spans="1:2" x14ac:dyDescent="0.2">
      <c r="A2623" s="8" t="s">
        <v>2646</v>
      </c>
      <c r="B2623" s="2" t="s">
        <v>12458</v>
      </c>
    </row>
    <row r="2624" spans="1:2" x14ac:dyDescent="0.2">
      <c r="A2624" s="8" t="s">
        <v>2647</v>
      </c>
      <c r="B2624" s="2" t="s">
        <v>12458</v>
      </c>
    </row>
    <row r="2625" spans="1:2" x14ac:dyDescent="0.2">
      <c r="A2625" s="8" t="s">
        <v>2648</v>
      </c>
      <c r="B2625" s="2" t="s">
        <v>12458</v>
      </c>
    </row>
    <row r="2626" spans="1:2" x14ac:dyDescent="0.2">
      <c r="A2626" s="8" t="s">
        <v>2649</v>
      </c>
      <c r="B2626" s="2" t="s">
        <v>12458</v>
      </c>
    </row>
    <row r="2627" spans="1:2" x14ac:dyDescent="0.2">
      <c r="A2627" s="8" t="s">
        <v>2650</v>
      </c>
      <c r="B2627" s="2" t="s">
        <v>12458</v>
      </c>
    </row>
    <row r="2628" spans="1:2" x14ac:dyDescent="0.2">
      <c r="A2628" s="8" t="s">
        <v>2651</v>
      </c>
      <c r="B2628" s="2" t="s">
        <v>12458</v>
      </c>
    </row>
    <row r="2629" spans="1:2" x14ac:dyDescent="0.2">
      <c r="A2629" s="8" t="s">
        <v>2652</v>
      </c>
      <c r="B2629" s="2" t="s">
        <v>12458</v>
      </c>
    </row>
    <row r="2630" spans="1:2" x14ac:dyDescent="0.2">
      <c r="A2630" s="8" t="s">
        <v>2653</v>
      </c>
      <c r="B2630" s="2" t="s">
        <v>12458</v>
      </c>
    </row>
    <row r="2631" spans="1:2" x14ac:dyDescent="0.2">
      <c r="A2631" s="8" t="s">
        <v>2654</v>
      </c>
      <c r="B2631" s="2" t="s">
        <v>12458</v>
      </c>
    </row>
    <row r="2632" spans="1:2" x14ac:dyDescent="0.2">
      <c r="A2632" s="8" t="s">
        <v>2655</v>
      </c>
      <c r="B2632" s="2" t="s">
        <v>12458</v>
      </c>
    </row>
    <row r="2633" spans="1:2" x14ac:dyDescent="0.2">
      <c r="A2633" s="8" t="s">
        <v>2656</v>
      </c>
      <c r="B2633" s="2" t="s">
        <v>12458</v>
      </c>
    </row>
    <row r="2634" spans="1:2" x14ac:dyDescent="0.2">
      <c r="A2634" s="8" t="s">
        <v>2657</v>
      </c>
      <c r="B2634" s="2" t="s">
        <v>12458</v>
      </c>
    </row>
    <row r="2635" spans="1:2" x14ac:dyDescent="0.2">
      <c r="A2635" s="8" t="s">
        <v>2658</v>
      </c>
      <c r="B2635" s="2" t="s">
        <v>12458</v>
      </c>
    </row>
    <row r="2636" spans="1:2" x14ac:dyDescent="0.2">
      <c r="A2636" s="8" t="s">
        <v>2659</v>
      </c>
      <c r="B2636" s="2" t="s">
        <v>12458</v>
      </c>
    </row>
    <row r="2637" spans="1:2" x14ac:dyDescent="0.2">
      <c r="A2637" s="8" t="s">
        <v>2660</v>
      </c>
      <c r="B2637" s="2" t="s">
        <v>12458</v>
      </c>
    </row>
    <row r="2638" spans="1:2" x14ac:dyDescent="0.2">
      <c r="A2638" s="8" t="s">
        <v>2661</v>
      </c>
      <c r="B2638" s="2" t="s">
        <v>12458</v>
      </c>
    </row>
    <row r="2639" spans="1:2" x14ac:dyDescent="0.2">
      <c r="A2639" s="8" t="s">
        <v>2662</v>
      </c>
      <c r="B2639" s="2" t="s">
        <v>12458</v>
      </c>
    </row>
    <row r="2640" spans="1:2" x14ac:dyDescent="0.2">
      <c r="A2640" s="8" t="s">
        <v>2663</v>
      </c>
      <c r="B2640" s="2" t="s">
        <v>12458</v>
      </c>
    </row>
    <row r="2641" spans="1:2" x14ac:dyDescent="0.2">
      <c r="A2641" s="8" t="s">
        <v>2664</v>
      </c>
      <c r="B2641" s="2" t="s">
        <v>12458</v>
      </c>
    </row>
    <row r="2642" spans="1:2" x14ac:dyDescent="0.2">
      <c r="A2642" s="8" t="s">
        <v>2665</v>
      </c>
      <c r="B2642" s="2" t="s">
        <v>12458</v>
      </c>
    </row>
    <row r="2643" spans="1:2" x14ac:dyDescent="0.2">
      <c r="A2643" s="8" t="s">
        <v>2666</v>
      </c>
      <c r="B2643" s="2" t="s">
        <v>12458</v>
      </c>
    </row>
    <row r="2644" spans="1:2" x14ac:dyDescent="0.2">
      <c r="A2644" s="8" t="s">
        <v>2667</v>
      </c>
      <c r="B2644" s="2" t="s">
        <v>12458</v>
      </c>
    </row>
    <row r="2645" spans="1:2" x14ac:dyDescent="0.2">
      <c r="A2645" s="8" t="s">
        <v>2668</v>
      </c>
      <c r="B2645" s="2" t="s">
        <v>12458</v>
      </c>
    </row>
    <row r="2646" spans="1:2" x14ac:dyDescent="0.2">
      <c r="A2646" s="8" t="s">
        <v>2669</v>
      </c>
      <c r="B2646" s="2" t="s">
        <v>12458</v>
      </c>
    </row>
    <row r="2647" spans="1:2" x14ac:dyDescent="0.2">
      <c r="A2647" s="8" t="s">
        <v>2670</v>
      </c>
      <c r="B2647" s="2" t="s">
        <v>12458</v>
      </c>
    </row>
    <row r="2648" spans="1:2" x14ac:dyDescent="0.2">
      <c r="A2648" s="8" t="s">
        <v>2671</v>
      </c>
      <c r="B2648" s="2" t="s">
        <v>12458</v>
      </c>
    </row>
    <row r="2649" spans="1:2" x14ac:dyDescent="0.2">
      <c r="A2649" s="8" t="s">
        <v>2672</v>
      </c>
      <c r="B2649" s="2" t="s">
        <v>12458</v>
      </c>
    </row>
    <row r="2650" spans="1:2" x14ac:dyDescent="0.2">
      <c r="A2650" s="8" t="s">
        <v>2673</v>
      </c>
      <c r="B2650" s="2" t="s">
        <v>12458</v>
      </c>
    </row>
    <row r="2651" spans="1:2" x14ac:dyDescent="0.2">
      <c r="A2651" s="8" t="s">
        <v>2674</v>
      </c>
      <c r="B2651" s="2" t="s">
        <v>12458</v>
      </c>
    </row>
    <row r="2652" spans="1:2" x14ac:dyDescent="0.2">
      <c r="A2652" s="8" t="s">
        <v>2675</v>
      </c>
      <c r="B2652" s="2" t="s">
        <v>12458</v>
      </c>
    </row>
    <row r="2653" spans="1:2" x14ac:dyDescent="0.2">
      <c r="A2653" s="8" t="s">
        <v>2676</v>
      </c>
      <c r="B2653" s="2" t="s">
        <v>12458</v>
      </c>
    </row>
    <row r="2654" spans="1:2" x14ac:dyDescent="0.2">
      <c r="A2654" s="8" t="s">
        <v>2677</v>
      </c>
      <c r="B2654" s="2" t="s">
        <v>12458</v>
      </c>
    </row>
    <row r="2655" spans="1:2" x14ac:dyDescent="0.2">
      <c r="A2655" s="8" t="s">
        <v>2678</v>
      </c>
      <c r="B2655" s="2" t="s">
        <v>12458</v>
      </c>
    </row>
    <row r="2656" spans="1:2" x14ac:dyDescent="0.2">
      <c r="A2656" s="8" t="s">
        <v>2679</v>
      </c>
      <c r="B2656" s="2" t="s">
        <v>12458</v>
      </c>
    </row>
    <row r="2657" spans="1:2" x14ac:dyDescent="0.2">
      <c r="A2657" s="8" t="s">
        <v>2680</v>
      </c>
      <c r="B2657" s="2" t="s">
        <v>12458</v>
      </c>
    </row>
    <row r="2658" spans="1:2" x14ac:dyDescent="0.2">
      <c r="A2658" s="8" t="s">
        <v>2681</v>
      </c>
      <c r="B2658" s="2" t="s">
        <v>12458</v>
      </c>
    </row>
    <row r="2659" spans="1:2" x14ac:dyDescent="0.2">
      <c r="A2659" s="8" t="s">
        <v>2682</v>
      </c>
      <c r="B2659" s="2" t="s">
        <v>12458</v>
      </c>
    </row>
    <row r="2660" spans="1:2" x14ac:dyDescent="0.2">
      <c r="A2660" s="8" t="s">
        <v>2683</v>
      </c>
      <c r="B2660" s="2" t="s">
        <v>12458</v>
      </c>
    </row>
    <row r="2661" spans="1:2" x14ac:dyDescent="0.2">
      <c r="A2661" s="8" t="s">
        <v>2684</v>
      </c>
      <c r="B2661" s="2" t="s">
        <v>12458</v>
      </c>
    </row>
    <row r="2662" spans="1:2" x14ac:dyDescent="0.2">
      <c r="A2662" s="8" t="s">
        <v>2685</v>
      </c>
      <c r="B2662" s="2" t="s">
        <v>12458</v>
      </c>
    </row>
    <row r="2663" spans="1:2" x14ac:dyDescent="0.2">
      <c r="A2663" s="8" t="s">
        <v>2686</v>
      </c>
      <c r="B2663" s="2" t="s">
        <v>12458</v>
      </c>
    </row>
    <row r="2664" spans="1:2" x14ac:dyDescent="0.2">
      <c r="A2664" s="8" t="s">
        <v>2687</v>
      </c>
      <c r="B2664" s="2" t="s">
        <v>12458</v>
      </c>
    </row>
    <row r="2665" spans="1:2" x14ac:dyDescent="0.2">
      <c r="A2665" s="8" t="s">
        <v>2688</v>
      </c>
      <c r="B2665" s="2" t="s">
        <v>12458</v>
      </c>
    </row>
    <row r="2666" spans="1:2" x14ac:dyDescent="0.2">
      <c r="A2666" s="8" t="s">
        <v>2689</v>
      </c>
      <c r="B2666" s="2" t="s">
        <v>12458</v>
      </c>
    </row>
    <row r="2667" spans="1:2" x14ac:dyDescent="0.2">
      <c r="A2667" s="8" t="s">
        <v>2690</v>
      </c>
      <c r="B2667" s="2" t="s">
        <v>12458</v>
      </c>
    </row>
    <row r="2668" spans="1:2" x14ac:dyDescent="0.2">
      <c r="A2668" s="8" t="s">
        <v>2691</v>
      </c>
      <c r="B2668" s="2" t="s">
        <v>12458</v>
      </c>
    </row>
    <row r="2669" spans="1:2" x14ac:dyDescent="0.2">
      <c r="A2669" s="8" t="s">
        <v>2692</v>
      </c>
      <c r="B2669" s="2" t="s">
        <v>12458</v>
      </c>
    </row>
    <row r="2670" spans="1:2" x14ac:dyDescent="0.2">
      <c r="A2670" s="8" t="s">
        <v>2693</v>
      </c>
      <c r="B2670" s="2" t="s">
        <v>12458</v>
      </c>
    </row>
    <row r="2671" spans="1:2" x14ac:dyDescent="0.2">
      <c r="A2671" s="8" t="s">
        <v>2694</v>
      </c>
      <c r="B2671" s="2" t="s">
        <v>12458</v>
      </c>
    </row>
    <row r="2672" spans="1:2" x14ac:dyDescent="0.2">
      <c r="A2672" s="8" t="s">
        <v>2695</v>
      </c>
      <c r="B2672" s="2" t="s">
        <v>12458</v>
      </c>
    </row>
    <row r="2673" spans="1:2" x14ac:dyDescent="0.2">
      <c r="A2673" s="8" t="s">
        <v>2696</v>
      </c>
      <c r="B2673" s="2" t="s">
        <v>12458</v>
      </c>
    </row>
    <row r="2674" spans="1:2" x14ac:dyDescent="0.2">
      <c r="A2674" s="8" t="s">
        <v>2697</v>
      </c>
      <c r="B2674" s="2" t="s">
        <v>12458</v>
      </c>
    </row>
    <row r="2675" spans="1:2" x14ac:dyDescent="0.2">
      <c r="A2675" s="8" t="s">
        <v>2698</v>
      </c>
      <c r="B2675" s="2" t="s">
        <v>12458</v>
      </c>
    </row>
    <row r="2676" spans="1:2" x14ac:dyDescent="0.2">
      <c r="A2676" s="8" t="s">
        <v>2699</v>
      </c>
      <c r="B2676" s="2" t="s">
        <v>12458</v>
      </c>
    </row>
    <row r="2677" spans="1:2" x14ac:dyDescent="0.2">
      <c r="A2677" s="8" t="s">
        <v>2700</v>
      </c>
      <c r="B2677" s="2" t="s">
        <v>12458</v>
      </c>
    </row>
    <row r="2678" spans="1:2" x14ac:dyDescent="0.2">
      <c r="A2678" s="8" t="s">
        <v>2701</v>
      </c>
      <c r="B2678" s="2" t="s">
        <v>12458</v>
      </c>
    </row>
    <row r="2679" spans="1:2" x14ac:dyDescent="0.2">
      <c r="A2679" s="8" t="s">
        <v>2702</v>
      </c>
      <c r="B2679" s="2" t="s">
        <v>12458</v>
      </c>
    </row>
    <row r="2680" spans="1:2" x14ac:dyDescent="0.2">
      <c r="A2680" s="8" t="s">
        <v>2703</v>
      </c>
      <c r="B2680" s="2" t="s">
        <v>12458</v>
      </c>
    </row>
    <row r="2681" spans="1:2" x14ac:dyDescent="0.2">
      <c r="A2681" s="8" t="s">
        <v>2704</v>
      </c>
      <c r="B2681" s="2" t="s">
        <v>12458</v>
      </c>
    </row>
    <row r="2682" spans="1:2" x14ac:dyDescent="0.2">
      <c r="A2682" s="8" t="s">
        <v>2705</v>
      </c>
      <c r="B2682" s="2" t="s">
        <v>12458</v>
      </c>
    </row>
    <row r="2683" spans="1:2" x14ac:dyDescent="0.2">
      <c r="A2683" s="8" t="s">
        <v>2706</v>
      </c>
      <c r="B2683" s="2" t="s">
        <v>12458</v>
      </c>
    </row>
    <row r="2684" spans="1:2" x14ac:dyDescent="0.2">
      <c r="A2684" s="8" t="s">
        <v>2707</v>
      </c>
      <c r="B2684" s="2" t="s">
        <v>12458</v>
      </c>
    </row>
    <row r="2685" spans="1:2" x14ac:dyDescent="0.2">
      <c r="A2685" s="8" t="s">
        <v>2708</v>
      </c>
      <c r="B2685" s="2" t="s">
        <v>12458</v>
      </c>
    </row>
    <row r="2686" spans="1:2" x14ac:dyDescent="0.2">
      <c r="A2686" s="8" t="s">
        <v>2709</v>
      </c>
      <c r="B2686" s="2" t="s">
        <v>12458</v>
      </c>
    </row>
    <row r="2687" spans="1:2" x14ac:dyDescent="0.2">
      <c r="A2687" s="8" t="s">
        <v>2710</v>
      </c>
      <c r="B2687" s="2" t="s">
        <v>12458</v>
      </c>
    </row>
    <row r="2688" spans="1:2" x14ac:dyDescent="0.2">
      <c r="A2688" s="8" t="s">
        <v>2711</v>
      </c>
      <c r="B2688" s="2" t="s">
        <v>12458</v>
      </c>
    </row>
    <row r="2689" spans="1:2" x14ac:dyDescent="0.2">
      <c r="A2689" s="8" t="s">
        <v>2712</v>
      </c>
      <c r="B2689" s="2" t="s">
        <v>12458</v>
      </c>
    </row>
    <row r="2690" spans="1:2" x14ac:dyDescent="0.2">
      <c r="A2690" s="8" t="s">
        <v>2713</v>
      </c>
      <c r="B2690" s="2" t="s">
        <v>12458</v>
      </c>
    </row>
    <row r="2691" spans="1:2" x14ac:dyDescent="0.2">
      <c r="A2691" s="8" t="s">
        <v>2714</v>
      </c>
      <c r="B2691" s="2" t="s">
        <v>12458</v>
      </c>
    </row>
    <row r="2692" spans="1:2" x14ac:dyDescent="0.2">
      <c r="A2692" s="8" t="s">
        <v>2715</v>
      </c>
      <c r="B2692" s="2" t="s">
        <v>12458</v>
      </c>
    </row>
    <row r="2693" spans="1:2" x14ac:dyDescent="0.2">
      <c r="A2693" s="8" t="s">
        <v>2716</v>
      </c>
      <c r="B2693" s="2" t="s">
        <v>12458</v>
      </c>
    </row>
    <row r="2694" spans="1:2" x14ac:dyDescent="0.2">
      <c r="A2694" s="8" t="s">
        <v>2717</v>
      </c>
      <c r="B2694" s="2" t="s">
        <v>12458</v>
      </c>
    </row>
    <row r="2695" spans="1:2" x14ac:dyDescent="0.2">
      <c r="A2695" s="8" t="s">
        <v>2718</v>
      </c>
      <c r="B2695" s="2" t="s">
        <v>12458</v>
      </c>
    </row>
    <row r="2696" spans="1:2" x14ac:dyDescent="0.2">
      <c r="A2696" s="8" t="s">
        <v>2719</v>
      </c>
      <c r="B2696" s="2" t="s">
        <v>12458</v>
      </c>
    </row>
    <row r="2697" spans="1:2" x14ac:dyDescent="0.2">
      <c r="A2697" s="8" t="s">
        <v>2720</v>
      </c>
      <c r="B2697" s="2" t="s">
        <v>12458</v>
      </c>
    </row>
    <row r="2698" spans="1:2" x14ac:dyDescent="0.2">
      <c r="A2698" s="8" t="s">
        <v>2721</v>
      </c>
      <c r="B2698" s="2" t="s">
        <v>12458</v>
      </c>
    </row>
    <row r="2699" spans="1:2" x14ac:dyDescent="0.2">
      <c r="A2699" s="8" t="s">
        <v>2722</v>
      </c>
      <c r="B2699" s="2" t="s">
        <v>12458</v>
      </c>
    </row>
    <row r="2700" spans="1:2" x14ac:dyDescent="0.2">
      <c r="A2700" s="8" t="s">
        <v>2723</v>
      </c>
      <c r="B2700" s="2" t="s">
        <v>12458</v>
      </c>
    </row>
    <row r="2701" spans="1:2" x14ac:dyDescent="0.2">
      <c r="A2701" s="8" t="s">
        <v>2724</v>
      </c>
      <c r="B2701" s="2" t="s">
        <v>12458</v>
      </c>
    </row>
    <row r="2702" spans="1:2" x14ac:dyDescent="0.2">
      <c r="A2702" s="8" t="s">
        <v>2725</v>
      </c>
      <c r="B2702" s="2" t="s">
        <v>12458</v>
      </c>
    </row>
    <row r="2703" spans="1:2" x14ac:dyDescent="0.2">
      <c r="A2703" s="8" t="s">
        <v>2726</v>
      </c>
      <c r="B2703" s="2" t="s">
        <v>12458</v>
      </c>
    </row>
    <row r="2704" spans="1:2" x14ac:dyDescent="0.2">
      <c r="A2704" s="8" t="s">
        <v>2727</v>
      </c>
      <c r="B2704" s="2" t="s">
        <v>12458</v>
      </c>
    </row>
    <row r="2705" spans="1:2" x14ac:dyDescent="0.2">
      <c r="A2705" s="8" t="s">
        <v>2728</v>
      </c>
      <c r="B2705" s="2" t="s">
        <v>12458</v>
      </c>
    </row>
    <row r="2706" spans="1:2" x14ac:dyDescent="0.2">
      <c r="A2706" s="8" t="s">
        <v>2729</v>
      </c>
      <c r="B2706" s="2" t="s">
        <v>12458</v>
      </c>
    </row>
    <row r="2707" spans="1:2" x14ac:dyDescent="0.2">
      <c r="A2707" s="8" t="s">
        <v>2730</v>
      </c>
      <c r="B2707" s="2" t="s">
        <v>12458</v>
      </c>
    </row>
    <row r="2708" spans="1:2" x14ac:dyDescent="0.2">
      <c r="A2708" s="8" t="s">
        <v>2731</v>
      </c>
      <c r="B2708" s="2" t="s">
        <v>12458</v>
      </c>
    </row>
    <row r="2709" spans="1:2" x14ac:dyDescent="0.2">
      <c r="A2709" s="8" t="s">
        <v>2732</v>
      </c>
      <c r="B2709" s="2" t="s">
        <v>12458</v>
      </c>
    </row>
    <row r="2710" spans="1:2" x14ac:dyDescent="0.2">
      <c r="A2710" s="8" t="s">
        <v>2733</v>
      </c>
      <c r="B2710" s="2" t="s">
        <v>12458</v>
      </c>
    </row>
    <row r="2711" spans="1:2" x14ac:dyDescent="0.2">
      <c r="A2711" s="8" t="s">
        <v>2734</v>
      </c>
      <c r="B2711" s="2" t="s">
        <v>12458</v>
      </c>
    </row>
    <row r="2712" spans="1:2" x14ac:dyDescent="0.2">
      <c r="A2712" s="8" t="s">
        <v>2735</v>
      </c>
      <c r="B2712" s="2" t="s">
        <v>12458</v>
      </c>
    </row>
    <row r="2713" spans="1:2" x14ac:dyDescent="0.2">
      <c r="A2713" s="8" t="s">
        <v>2736</v>
      </c>
      <c r="B2713" s="2" t="s">
        <v>12458</v>
      </c>
    </row>
    <row r="2714" spans="1:2" x14ac:dyDescent="0.2">
      <c r="A2714" s="8" t="s">
        <v>2737</v>
      </c>
      <c r="B2714" s="2" t="s">
        <v>12458</v>
      </c>
    </row>
    <row r="2715" spans="1:2" x14ac:dyDescent="0.2">
      <c r="A2715" s="8" t="s">
        <v>2738</v>
      </c>
      <c r="B2715" s="2" t="s">
        <v>12458</v>
      </c>
    </row>
    <row r="2716" spans="1:2" x14ac:dyDescent="0.2">
      <c r="A2716" s="8" t="s">
        <v>2739</v>
      </c>
      <c r="B2716" s="2" t="s">
        <v>12458</v>
      </c>
    </row>
    <row r="2717" spans="1:2" x14ac:dyDescent="0.2">
      <c r="A2717" s="8" t="s">
        <v>2740</v>
      </c>
      <c r="B2717" s="2" t="s">
        <v>12458</v>
      </c>
    </row>
    <row r="2718" spans="1:2" x14ac:dyDescent="0.2">
      <c r="A2718" s="8" t="s">
        <v>2741</v>
      </c>
      <c r="B2718" s="2" t="s">
        <v>12458</v>
      </c>
    </row>
    <row r="2719" spans="1:2" x14ac:dyDescent="0.2">
      <c r="A2719" s="8" t="s">
        <v>2742</v>
      </c>
      <c r="B2719" s="2" t="s">
        <v>12458</v>
      </c>
    </row>
    <row r="2720" spans="1:2" x14ac:dyDescent="0.2">
      <c r="A2720" s="8" t="s">
        <v>2743</v>
      </c>
      <c r="B2720" s="2" t="s">
        <v>12458</v>
      </c>
    </row>
    <row r="2721" spans="1:2" x14ac:dyDescent="0.2">
      <c r="A2721" s="8" t="s">
        <v>2744</v>
      </c>
      <c r="B2721" s="2" t="s">
        <v>12458</v>
      </c>
    </row>
    <row r="2722" spans="1:2" x14ac:dyDescent="0.2">
      <c r="A2722" s="8" t="s">
        <v>2745</v>
      </c>
      <c r="B2722" s="2" t="s">
        <v>12458</v>
      </c>
    </row>
    <row r="2723" spans="1:2" x14ac:dyDescent="0.2">
      <c r="A2723" s="8" t="s">
        <v>2746</v>
      </c>
      <c r="B2723" s="2" t="s">
        <v>12458</v>
      </c>
    </row>
    <row r="2724" spans="1:2" x14ac:dyDescent="0.2">
      <c r="A2724" s="8" t="s">
        <v>2747</v>
      </c>
      <c r="B2724" s="2" t="s">
        <v>12458</v>
      </c>
    </row>
    <row r="2725" spans="1:2" x14ac:dyDescent="0.2">
      <c r="A2725" s="8" t="s">
        <v>2748</v>
      </c>
      <c r="B2725" s="2" t="s">
        <v>12458</v>
      </c>
    </row>
    <row r="2726" spans="1:2" x14ac:dyDescent="0.2">
      <c r="A2726" s="8" t="s">
        <v>2749</v>
      </c>
      <c r="B2726" s="2" t="s">
        <v>12458</v>
      </c>
    </row>
    <row r="2727" spans="1:2" x14ac:dyDescent="0.2">
      <c r="A2727" s="8" t="s">
        <v>2750</v>
      </c>
      <c r="B2727" s="2" t="s">
        <v>12458</v>
      </c>
    </row>
    <row r="2728" spans="1:2" x14ac:dyDescent="0.2">
      <c r="A2728" s="8" t="s">
        <v>2751</v>
      </c>
      <c r="B2728" s="2" t="s">
        <v>12458</v>
      </c>
    </row>
    <row r="2729" spans="1:2" x14ac:dyDescent="0.2">
      <c r="A2729" s="8" t="s">
        <v>2752</v>
      </c>
      <c r="B2729" s="2" t="s">
        <v>12458</v>
      </c>
    </row>
    <row r="2730" spans="1:2" x14ac:dyDescent="0.2">
      <c r="A2730" s="8" t="s">
        <v>2753</v>
      </c>
      <c r="B2730" s="2" t="s">
        <v>12458</v>
      </c>
    </row>
    <row r="2731" spans="1:2" x14ac:dyDescent="0.2">
      <c r="A2731" s="8" t="s">
        <v>2754</v>
      </c>
      <c r="B2731" s="2" t="s">
        <v>12458</v>
      </c>
    </row>
    <row r="2732" spans="1:2" x14ac:dyDescent="0.2">
      <c r="A2732" s="8" t="s">
        <v>2755</v>
      </c>
      <c r="B2732" s="2" t="s">
        <v>12458</v>
      </c>
    </row>
    <row r="2733" spans="1:2" x14ac:dyDescent="0.2">
      <c r="A2733" s="8" t="s">
        <v>2756</v>
      </c>
      <c r="B2733" s="2" t="s">
        <v>12458</v>
      </c>
    </row>
    <row r="2734" spans="1:2" x14ac:dyDescent="0.2">
      <c r="A2734" s="8" t="s">
        <v>2757</v>
      </c>
      <c r="B2734" s="2" t="s">
        <v>12458</v>
      </c>
    </row>
    <row r="2735" spans="1:2" x14ac:dyDescent="0.2">
      <c r="A2735" s="8" t="s">
        <v>2758</v>
      </c>
      <c r="B2735" s="2" t="s">
        <v>12458</v>
      </c>
    </row>
    <row r="2736" spans="1:2" x14ac:dyDescent="0.2">
      <c r="A2736" s="8" t="s">
        <v>2759</v>
      </c>
      <c r="B2736" s="2" t="s">
        <v>12458</v>
      </c>
    </row>
    <row r="2737" spans="1:2" x14ac:dyDescent="0.2">
      <c r="A2737" s="8" t="s">
        <v>2760</v>
      </c>
      <c r="B2737" s="2" t="s">
        <v>12458</v>
      </c>
    </row>
    <row r="2738" spans="1:2" x14ac:dyDescent="0.2">
      <c r="A2738" s="8" t="s">
        <v>2761</v>
      </c>
      <c r="B2738" s="2" t="s">
        <v>12458</v>
      </c>
    </row>
    <row r="2739" spans="1:2" x14ac:dyDescent="0.2">
      <c r="A2739" s="8" t="s">
        <v>2762</v>
      </c>
      <c r="B2739" s="2" t="s">
        <v>12458</v>
      </c>
    </row>
    <row r="2740" spans="1:2" x14ac:dyDescent="0.2">
      <c r="A2740" s="8" t="s">
        <v>2763</v>
      </c>
      <c r="B2740" s="2" t="s">
        <v>12458</v>
      </c>
    </row>
    <row r="2741" spans="1:2" x14ac:dyDescent="0.2">
      <c r="A2741" s="8" t="s">
        <v>2764</v>
      </c>
      <c r="B2741" s="2" t="s">
        <v>12458</v>
      </c>
    </row>
    <row r="2742" spans="1:2" x14ac:dyDescent="0.2">
      <c r="A2742" s="8" t="s">
        <v>2765</v>
      </c>
      <c r="B2742" s="2" t="s">
        <v>12458</v>
      </c>
    </row>
    <row r="2743" spans="1:2" x14ac:dyDescent="0.2">
      <c r="A2743" s="8" t="s">
        <v>2766</v>
      </c>
      <c r="B2743" s="2" t="s">
        <v>12458</v>
      </c>
    </row>
    <row r="2744" spans="1:2" x14ac:dyDescent="0.2">
      <c r="A2744" s="8" t="s">
        <v>2767</v>
      </c>
      <c r="B2744" s="2" t="s">
        <v>12458</v>
      </c>
    </row>
    <row r="2745" spans="1:2" x14ac:dyDescent="0.2">
      <c r="A2745" s="8" t="s">
        <v>2768</v>
      </c>
      <c r="B2745" s="2" t="s">
        <v>12458</v>
      </c>
    </row>
    <row r="2746" spans="1:2" x14ac:dyDescent="0.2">
      <c r="A2746" s="8" t="s">
        <v>2769</v>
      </c>
      <c r="B2746" s="2" t="s">
        <v>12458</v>
      </c>
    </row>
    <row r="2747" spans="1:2" x14ac:dyDescent="0.2">
      <c r="A2747" s="8" t="s">
        <v>2770</v>
      </c>
      <c r="B2747" s="2" t="s">
        <v>12458</v>
      </c>
    </row>
    <row r="2748" spans="1:2" x14ac:dyDescent="0.2">
      <c r="A2748" s="8" t="s">
        <v>2771</v>
      </c>
      <c r="B2748" s="2" t="s">
        <v>12458</v>
      </c>
    </row>
    <row r="2749" spans="1:2" x14ac:dyDescent="0.2">
      <c r="A2749" s="8" t="s">
        <v>2772</v>
      </c>
      <c r="B2749" s="2" t="s">
        <v>12458</v>
      </c>
    </row>
    <row r="2750" spans="1:2" x14ac:dyDescent="0.2">
      <c r="A2750" s="8" t="s">
        <v>2773</v>
      </c>
      <c r="B2750" s="2" t="s">
        <v>12458</v>
      </c>
    </row>
    <row r="2751" spans="1:2" x14ac:dyDescent="0.2">
      <c r="A2751" s="8" t="s">
        <v>2774</v>
      </c>
      <c r="B2751" s="2" t="s">
        <v>12458</v>
      </c>
    </row>
    <row r="2752" spans="1:2" x14ac:dyDescent="0.2">
      <c r="A2752" s="8" t="s">
        <v>2775</v>
      </c>
      <c r="B2752" s="2" t="s">
        <v>12458</v>
      </c>
    </row>
    <row r="2753" spans="1:2" x14ac:dyDescent="0.2">
      <c r="A2753" s="8" t="s">
        <v>2776</v>
      </c>
      <c r="B2753" s="2" t="s">
        <v>12458</v>
      </c>
    </row>
    <row r="2754" spans="1:2" x14ac:dyDescent="0.2">
      <c r="A2754" s="8" t="s">
        <v>2777</v>
      </c>
      <c r="B2754" s="2" t="s">
        <v>12458</v>
      </c>
    </row>
    <row r="2755" spans="1:2" x14ac:dyDescent="0.2">
      <c r="A2755" s="8" t="s">
        <v>2778</v>
      </c>
      <c r="B2755" s="2" t="s">
        <v>12458</v>
      </c>
    </row>
    <row r="2756" spans="1:2" x14ac:dyDescent="0.2">
      <c r="A2756" s="8" t="s">
        <v>2779</v>
      </c>
      <c r="B2756" s="2" t="s">
        <v>12458</v>
      </c>
    </row>
    <row r="2757" spans="1:2" x14ac:dyDescent="0.2">
      <c r="A2757" s="8" t="s">
        <v>2780</v>
      </c>
      <c r="B2757" s="2" t="s">
        <v>12458</v>
      </c>
    </row>
    <row r="2758" spans="1:2" x14ac:dyDescent="0.2">
      <c r="A2758" s="8" t="s">
        <v>2781</v>
      </c>
      <c r="B2758" s="2" t="s">
        <v>12458</v>
      </c>
    </row>
    <row r="2759" spans="1:2" x14ac:dyDescent="0.2">
      <c r="A2759" s="8" t="s">
        <v>2782</v>
      </c>
      <c r="B2759" s="2" t="s">
        <v>12458</v>
      </c>
    </row>
    <row r="2760" spans="1:2" x14ac:dyDescent="0.2">
      <c r="A2760" s="8" t="s">
        <v>2783</v>
      </c>
      <c r="B2760" s="2" t="s">
        <v>12458</v>
      </c>
    </row>
    <row r="2761" spans="1:2" x14ac:dyDescent="0.2">
      <c r="A2761" s="8" t="s">
        <v>2784</v>
      </c>
      <c r="B2761" s="2" t="s">
        <v>12458</v>
      </c>
    </row>
    <row r="2762" spans="1:2" x14ac:dyDescent="0.2">
      <c r="A2762" s="8" t="s">
        <v>2785</v>
      </c>
      <c r="B2762" s="2" t="s">
        <v>12458</v>
      </c>
    </row>
    <row r="2763" spans="1:2" x14ac:dyDescent="0.2">
      <c r="A2763" s="8" t="s">
        <v>2786</v>
      </c>
      <c r="B2763" s="2" t="s">
        <v>12458</v>
      </c>
    </row>
    <row r="2764" spans="1:2" x14ac:dyDescent="0.2">
      <c r="A2764" s="8" t="s">
        <v>2787</v>
      </c>
      <c r="B2764" s="2" t="s">
        <v>12458</v>
      </c>
    </row>
    <row r="2765" spans="1:2" x14ac:dyDescent="0.2">
      <c r="A2765" s="8" t="s">
        <v>2788</v>
      </c>
      <c r="B2765" s="2" t="s">
        <v>12458</v>
      </c>
    </row>
    <row r="2766" spans="1:2" x14ac:dyDescent="0.2">
      <c r="A2766" s="8" t="s">
        <v>2789</v>
      </c>
      <c r="B2766" s="2" t="s">
        <v>12458</v>
      </c>
    </row>
    <row r="2767" spans="1:2" x14ac:dyDescent="0.2">
      <c r="A2767" s="8" t="s">
        <v>2790</v>
      </c>
      <c r="B2767" s="2" t="s">
        <v>12458</v>
      </c>
    </row>
    <row r="2768" spans="1:2" x14ac:dyDescent="0.2">
      <c r="A2768" s="8" t="s">
        <v>2791</v>
      </c>
      <c r="B2768" s="2" t="s">
        <v>12458</v>
      </c>
    </row>
    <row r="2769" spans="1:2" x14ac:dyDescent="0.2">
      <c r="A2769" s="8" t="s">
        <v>2792</v>
      </c>
      <c r="B2769" s="2" t="s">
        <v>12458</v>
      </c>
    </row>
    <row r="2770" spans="1:2" x14ac:dyDescent="0.2">
      <c r="A2770" s="8" t="s">
        <v>2793</v>
      </c>
      <c r="B2770" s="2" t="s">
        <v>12458</v>
      </c>
    </row>
    <row r="2771" spans="1:2" x14ac:dyDescent="0.2">
      <c r="A2771" s="8" t="s">
        <v>2794</v>
      </c>
      <c r="B2771" s="2" t="s">
        <v>12458</v>
      </c>
    </row>
    <row r="2772" spans="1:2" x14ac:dyDescent="0.2">
      <c r="A2772" s="8" t="s">
        <v>2795</v>
      </c>
      <c r="B2772" s="2" t="s">
        <v>12458</v>
      </c>
    </row>
    <row r="2773" spans="1:2" x14ac:dyDescent="0.2">
      <c r="A2773" s="8" t="s">
        <v>2796</v>
      </c>
      <c r="B2773" s="2" t="s">
        <v>12458</v>
      </c>
    </row>
    <row r="2774" spans="1:2" x14ac:dyDescent="0.2">
      <c r="A2774" s="8" t="s">
        <v>2797</v>
      </c>
      <c r="B2774" s="2" t="s">
        <v>12458</v>
      </c>
    </row>
    <row r="2775" spans="1:2" x14ac:dyDescent="0.2">
      <c r="A2775" s="8" t="s">
        <v>2798</v>
      </c>
      <c r="B2775" s="2" t="s">
        <v>12458</v>
      </c>
    </row>
    <row r="2776" spans="1:2" x14ac:dyDescent="0.2">
      <c r="A2776" s="8" t="s">
        <v>2799</v>
      </c>
      <c r="B2776" s="2" t="s">
        <v>12458</v>
      </c>
    </row>
    <row r="2777" spans="1:2" x14ac:dyDescent="0.2">
      <c r="A2777" s="8" t="s">
        <v>2800</v>
      </c>
      <c r="B2777" s="2" t="s">
        <v>12458</v>
      </c>
    </row>
    <row r="2778" spans="1:2" x14ac:dyDescent="0.2">
      <c r="A2778" s="8" t="s">
        <v>2801</v>
      </c>
      <c r="B2778" s="3" t="s">
        <v>12458</v>
      </c>
    </row>
    <row r="2779" spans="1:2" x14ac:dyDescent="0.2">
      <c r="A2779" s="8" t="s">
        <v>2802</v>
      </c>
      <c r="B2779" s="2" t="s">
        <v>12459</v>
      </c>
    </row>
    <row r="2780" spans="1:2" x14ac:dyDescent="0.2">
      <c r="A2780" s="8" t="s">
        <v>2803</v>
      </c>
      <c r="B2780" s="2" t="s">
        <v>12459</v>
      </c>
    </row>
    <row r="2781" spans="1:2" x14ac:dyDescent="0.2">
      <c r="A2781" s="8" t="s">
        <v>2804</v>
      </c>
      <c r="B2781" s="2" t="s">
        <v>12459</v>
      </c>
    </row>
    <row r="2782" spans="1:2" x14ac:dyDescent="0.2">
      <c r="A2782" s="8" t="s">
        <v>2805</v>
      </c>
      <c r="B2782" s="2" t="s">
        <v>12459</v>
      </c>
    </row>
    <row r="2783" spans="1:2" x14ac:dyDescent="0.2">
      <c r="A2783" s="8" t="s">
        <v>2806</v>
      </c>
      <c r="B2783" s="2" t="s">
        <v>12459</v>
      </c>
    </row>
    <row r="2784" spans="1:2" x14ac:dyDescent="0.2">
      <c r="A2784" s="8" t="s">
        <v>2807</v>
      </c>
      <c r="B2784" s="2" t="s">
        <v>12459</v>
      </c>
    </row>
    <row r="2785" spans="1:2" x14ac:dyDescent="0.2">
      <c r="A2785" s="8" t="s">
        <v>2808</v>
      </c>
      <c r="B2785" s="2" t="s">
        <v>12459</v>
      </c>
    </row>
    <row r="2786" spans="1:2" x14ac:dyDescent="0.2">
      <c r="A2786" s="8" t="s">
        <v>2809</v>
      </c>
      <c r="B2786" s="2" t="s">
        <v>12459</v>
      </c>
    </row>
    <row r="2787" spans="1:2" x14ac:dyDescent="0.2">
      <c r="A2787" s="8" t="s">
        <v>2810</v>
      </c>
      <c r="B2787" s="2" t="s">
        <v>12459</v>
      </c>
    </row>
    <row r="2788" spans="1:2" x14ac:dyDescent="0.2">
      <c r="A2788" s="8" t="s">
        <v>2811</v>
      </c>
      <c r="B2788" s="2" t="s">
        <v>12459</v>
      </c>
    </row>
    <row r="2789" spans="1:2" x14ac:dyDescent="0.2">
      <c r="A2789" s="8" t="s">
        <v>2812</v>
      </c>
      <c r="B2789" s="2" t="s">
        <v>12459</v>
      </c>
    </row>
    <row r="2790" spans="1:2" x14ac:dyDescent="0.2">
      <c r="A2790" s="8" t="s">
        <v>2813</v>
      </c>
      <c r="B2790" s="2" t="s">
        <v>12459</v>
      </c>
    </row>
    <row r="2791" spans="1:2" x14ac:dyDescent="0.2">
      <c r="A2791" s="8" t="s">
        <v>2814</v>
      </c>
      <c r="B2791" s="2" t="s">
        <v>12459</v>
      </c>
    </row>
    <row r="2792" spans="1:2" x14ac:dyDescent="0.2">
      <c r="A2792" s="8" t="s">
        <v>2815</v>
      </c>
      <c r="B2792" s="2" t="s">
        <v>12459</v>
      </c>
    </row>
    <row r="2793" spans="1:2" x14ac:dyDescent="0.2">
      <c r="A2793" s="8" t="s">
        <v>2816</v>
      </c>
      <c r="B2793" s="2" t="s">
        <v>12459</v>
      </c>
    </row>
    <row r="2794" spans="1:2" x14ac:dyDescent="0.2">
      <c r="A2794" s="8" t="s">
        <v>2817</v>
      </c>
      <c r="B2794" s="2" t="s">
        <v>12459</v>
      </c>
    </row>
    <row r="2795" spans="1:2" x14ac:dyDescent="0.2">
      <c r="A2795" s="8" t="s">
        <v>2818</v>
      </c>
      <c r="B2795" s="2" t="s">
        <v>12459</v>
      </c>
    </row>
    <row r="2796" spans="1:2" x14ac:dyDescent="0.2">
      <c r="A2796" s="8" t="s">
        <v>2819</v>
      </c>
      <c r="B2796" s="2" t="s">
        <v>12459</v>
      </c>
    </row>
    <row r="2797" spans="1:2" x14ac:dyDescent="0.2">
      <c r="A2797" s="8" t="s">
        <v>2820</v>
      </c>
      <c r="B2797" s="2" t="s">
        <v>12459</v>
      </c>
    </row>
    <row r="2798" spans="1:2" x14ac:dyDescent="0.2">
      <c r="A2798" s="8" t="s">
        <v>2821</v>
      </c>
      <c r="B2798" s="2" t="s">
        <v>12459</v>
      </c>
    </row>
    <row r="2799" spans="1:2" x14ac:dyDescent="0.2">
      <c r="A2799" s="8" t="s">
        <v>2822</v>
      </c>
      <c r="B2799" s="2" t="s">
        <v>12459</v>
      </c>
    </row>
    <row r="2800" spans="1:2" x14ac:dyDescent="0.2">
      <c r="A2800" s="8" t="s">
        <v>2823</v>
      </c>
      <c r="B2800" s="2" t="s">
        <v>12459</v>
      </c>
    </row>
    <row r="2801" spans="1:2" x14ac:dyDescent="0.2">
      <c r="A2801" s="8" t="s">
        <v>2824</v>
      </c>
      <c r="B2801" s="2" t="s">
        <v>12459</v>
      </c>
    </row>
    <row r="2802" spans="1:2" x14ac:dyDescent="0.2">
      <c r="A2802" s="8" t="s">
        <v>2825</v>
      </c>
      <c r="B2802" s="2" t="s">
        <v>12459</v>
      </c>
    </row>
    <row r="2803" spans="1:2" x14ac:dyDescent="0.2">
      <c r="A2803" s="8" t="s">
        <v>2826</v>
      </c>
      <c r="B2803" s="2" t="s">
        <v>12459</v>
      </c>
    </row>
    <row r="2804" spans="1:2" x14ac:dyDescent="0.2">
      <c r="A2804" s="8" t="s">
        <v>2827</v>
      </c>
      <c r="B2804" s="2" t="s">
        <v>12459</v>
      </c>
    </row>
    <row r="2805" spans="1:2" x14ac:dyDescent="0.2">
      <c r="A2805" s="8" t="s">
        <v>2828</v>
      </c>
      <c r="B2805" s="2" t="s">
        <v>12459</v>
      </c>
    </row>
    <row r="2806" spans="1:2" x14ac:dyDescent="0.2">
      <c r="A2806" s="8" t="s">
        <v>2829</v>
      </c>
      <c r="B2806" s="2" t="s">
        <v>12459</v>
      </c>
    </row>
    <row r="2807" spans="1:2" x14ac:dyDescent="0.2">
      <c r="A2807" s="8" t="s">
        <v>2830</v>
      </c>
      <c r="B2807" s="2" t="s">
        <v>12459</v>
      </c>
    </row>
    <row r="2808" spans="1:2" x14ac:dyDescent="0.2">
      <c r="A2808" s="8" t="s">
        <v>2831</v>
      </c>
      <c r="B2808" s="2" t="s">
        <v>12459</v>
      </c>
    </row>
    <row r="2809" spans="1:2" x14ac:dyDescent="0.2">
      <c r="A2809" s="8" t="s">
        <v>2832</v>
      </c>
      <c r="B2809" s="2" t="s">
        <v>12459</v>
      </c>
    </row>
    <row r="2810" spans="1:2" x14ac:dyDescent="0.2">
      <c r="A2810" s="8" t="s">
        <v>2833</v>
      </c>
      <c r="B2810" s="2" t="s">
        <v>12459</v>
      </c>
    </row>
    <row r="2811" spans="1:2" x14ac:dyDescent="0.2">
      <c r="A2811" s="8" t="s">
        <v>2834</v>
      </c>
      <c r="B2811" s="2" t="s">
        <v>12459</v>
      </c>
    </row>
    <row r="2812" spans="1:2" x14ac:dyDescent="0.2">
      <c r="A2812" s="8" t="s">
        <v>2835</v>
      </c>
      <c r="B2812" s="2" t="s">
        <v>12459</v>
      </c>
    </row>
    <row r="2813" spans="1:2" x14ac:dyDescent="0.2">
      <c r="A2813" s="8" t="s">
        <v>2836</v>
      </c>
      <c r="B2813" s="2" t="s">
        <v>12459</v>
      </c>
    </row>
    <row r="2814" spans="1:2" x14ac:dyDescent="0.2">
      <c r="A2814" s="8" t="s">
        <v>2837</v>
      </c>
      <c r="B2814" s="2" t="s">
        <v>12459</v>
      </c>
    </row>
    <row r="2815" spans="1:2" x14ac:dyDescent="0.2">
      <c r="A2815" s="8" t="s">
        <v>2838</v>
      </c>
      <c r="B2815" s="2" t="s">
        <v>12459</v>
      </c>
    </row>
    <row r="2816" spans="1:2" x14ac:dyDescent="0.2">
      <c r="A2816" s="8" t="s">
        <v>2839</v>
      </c>
      <c r="B2816" s="2" t="s">
        <v>12459</v>
      </c>
    </row>
    <row r="2817" spans="1:2" x14ac:dyDescent="0.2">
      <c r="A2817" s="8" t="s">
        <v>2840</v>
      </c>
      <c r="B2817" s="2" t="s">
        <v>12459</v>
      </c>
    </row>
    <row r="2818" spans="1:2" x14ac:dyDescent="0.2">
      <c r="A2818" s="8" t="s">
        <v>2841</v>
      </c>
      <c r="B2818" s="2" t="s">
        <v>12459</v>
      </c>
    </row>
    <row r="2819" spans="1:2" x14ac:dyDescent="0.2">
      <c r="A2819" s="8" t="s">
        <v>2842</v>
      </c>
      <c r="B2819" s="2" t="s">
        <v>12459</v>
      </c>
    </row>
    <row r="2820" spans="1:2" x14ac:dyDescent="0.2">
      <c r="A2820" s="8" t="s">
        <v>2843</v>
      </c>
      <c r="B2820" s="2" t="s">
        <v>12459</v>
      </c>
    </row>
    <row r="2821" spans="1:2" x14ac:dyDescent="0.2">
      <c r="A2821" s="8" t="s">
        <v>2844</v>
      </c>
      <c r="B2821" s="2" t="s">
        <v>12459</v>
      </c>
    </row>
    <row r="2822" spans="1:2" x14ac:dyDescent="0.2">
      <c r="A2822" s="8" t="s">
        <v>2845</v>
      </c>
      <c r="B2822" s="2" t="s">
        <v>12459</v>
      </c>
    </row>
    <row r="2823" spans="1:2" x14ac:dyDescent="0.2">
      <c r="A2823" s="8" t="s">
        <v>2846</v>
      </c>
      <c r="B2823" s="2" t="s">
        <v>12459</v>
      </c>
    </row>
    <row r="2824" spans="1:2" x14ac:dyDescent="0.2">
      <c r="A2824" s="8" t="s">
        <v>2847</v>
      </c>
      <c r="B2824" s="2" t="s">
        <v>12459</v>
      </c>
    </row>
    <row r="2825" spans="1:2" x14ac:dyDescent="0.2">
      <c r="A2825" s="8" t="s">
        <v>2848</v>
      </c>
      <c r="B2825" s="2" t="s">
        <v>12459</v>
      </c>
    </row>
    <row r="2826" spans="1:2" x14ac:dyDescent="0.2">
      <c r="A2826" s="8" t="s">
        <v>2849</v>
      </c>
      <c r="B2826" s="2" t="s">
        <v>12459</v>
      </c>
    </row>
    <row r="2827" spans="1:2" x14ac:dyDescent="0.2">
      <c r="A2827" s="8" t="s">
        <v>2850</v>
      </c>
      <c r="B2827" s="2" t="s">
        <v>12459</v>
      </c>
    </row>
    <row r="2828" spans="1:2" x14ac:dyDescent="0.2">
      <c r="A2828" s="8" t="s">
        <v>2851</v>
      </c>
      <c r="B2828" s="2" t="s">
        <v>12459</v>
      </c>
    </row>
    <row r="2829" spans="1:2" x14ac:dyDescent="0.2">
      <c r="A2829" s="8" t="s">
        <v>2852</v>
      </c>
      <c r="B2829" s="2" t="s">
        <v>12459</v>
      </c>
    </row>
    <row r="2830" spans="1:2" x14ac:dyDescent="0.2">
      <c r="A2830" s="8" t="s">
        <v>2853</v>
      </c>
      <c r="B2830" s="2" t="s">
        <v>12459</v>
      </c>
    </row>
    <row r="2831" spans="1:2" x14ac:dyDescent="0.2">
      <c r="A2831" s="8" t="s">
        <v>2854</v>
      </c>
      <c r="B2831" s="2" t="s">
        <v>12459</v>
      </c>
    </row>
    <row r="2832" spans="1:2" x14ac:dyDescent="0.2">
      <c r="A2832" s="8" t="s">
        <v>2855</v>
      </c>
      <c r="B2832" s="2" t="s">
        <v>12459</v>
      </c>
    </row>
    <row r="2833" spans="1:2" x14ac:dyDescent="0.2">
      <c r="A2833" s="8" t="s">
        <v>2856</v>
      </c>
      <c r="B2833" s="2" t="s">
        <v>12459</v>
      </c>
    </row>
    <row r="2834" spans="1:2" x14ac:dyDescent="0.2">
      <c r="A2834" s="8" t="s">
        <v>2857</v>
      </c>
      <c r="B2834" s="2" t="s">
        <v>12459</v>
      </c>
    </row>
    <row r="2835" spans="1:2" x14ac:dyDescent="0.2">
      <c r="A2835" s="8" t="s">
        <v>2858</v>
      </c>
      <c r="B2835" s="2" t="s">
        <v>12459</v>
      </c>
    </row>
    <row r="2836" spans="1:2" x14ac:dyDescent="0.2">
      <c r="A2836" s="8" t="s">
        <v>2859</v>
      </c>
      <c r="B2836" s="2" t="s">
        <v>12459</v>
      </c>
    </row>
    <row r="2837" spans="1:2" x14ac:dyDescent="0.2">
      <c r="A2837" s="8" t="s">
        <v>2860</v>
      </c>
      <c r="B2837" s="2" t="s">
        <v>12459</v>
      </c>
    </row>
    <row r="2838" spans="1:2" x14ac:dyDescent="0.2">
      <c r="A2838" s="8" t="s">
        <v>2861</v>
      </c>
      <c r="B2838" s="2" t="s">
        <v>12459</v>
      </c>
    </row>
    <row r="2839" spans="1:2" x14ac:dyDescent="0.2">
      <c r="A2839" s="8" t="s">
        <v>2862</v>
      </c>
      <c r="B2839" s="2" t="s">
        <v>12459</v>
      </c>
    </row>
    <row r="2840" spans="1:2" x14ac:dyDescent="0.2">
      <c r="A2840" s="8" t="s">
        <v>2863</v>
      </c>
      <c r="B2840" s="2" t="s">
        <v>12459</v>
      </c>
    </row>
    <row r="2841" spans="1:2" x14ac:dyDescent="0.2">
      <c r="A2841" s="8" t="s">
        <v>2864</v>
      </c>
      <c r="B2841" s="2" t="s">
        <v>12459</v>
      </c>
    </row>
    <row r="2842" spans="1:2" x14ac:dyDescent="0.2">
      <c r="A2842" s="8" t="s">
        <v>2865</v>
      </c>
      <c r="B2842" s="2" t="s">
        <v>12459</v>
      </c>
    </row>
    <row r="2843" spans="1:2" x14ac:dyDescent="0.2">
      <c r="A2843" s="8" t="s">
        <v>2866</v>
      </c>
      <c r="B2843" s="2" t="s">
        <v>12459</v>
      </c>
    </row>
    <row r="2844" spans="1:2" x14ac:dyDescent="0.2">
      <c r="A2844" s="8" t="s">
        <v>2867</v>
      </c>
      <c r="B2844" s="2" t="s">
        <v>12459</v>
      </c>
    </row>
    <row r="2845" spans="1:2" x14ac:dyDescent="0.2">
      <c r="A2845" s="8" t="s">
        <v>2868</v>
      </c>
      <c r="B2845" s="2" t="s">
        <v>12459</v>
      </c>
    </row>
    <row r="2846" spans="1:2" x14ac:dyDescent="0.2">
      <c r="A2846" s="8" t="s">
        <v>2869</v>
      </c>
      <c r="B2846" s="2" t="s">
        <v>12459</v>
      </c>
    </row>
    <row r="2847" spans="1:2" x14ac:dyDescent="0.2">
      <c r="A2847" s="8" t="s">
        <v>2870</v>
      </c>
      <c r="B2847" s="2" t="s">
        <v>12459</v>
      </c>
    </row>
    <row r="2848" spans="1:2" x14ac:dyDescent="0.2">
      <c r="A2848" s="8" t="s">
        <v>2871</v>
      </c>
      <c r="B2848" s="2" t="s">
        <v>12459</v>
      </c>
    </row>
    <row r="2849" spans="1:2" x14ac:dyDescent="0.2">
      <c r="A2849" s="8" t="s">
        <v>2872</v>
      </c>
      <c r="B2849" s="2" t="s">
        <v>12459</v>
      </c>
    </row>
    <row r="2850" spans="1:2" x14ac:dyDescent="0.2">
      <c r="A2850" s="8" t="s">
        <v>2873</v>
      </c>
      <c r="B2850" s="2" t="s">
        <v>12459</v>
      </c>
    </row>
    <row r="2851" spans="1:2" x14ac:dyDescent="0.2">
      <c r="A2851" s="8" t="s">
        <v>2874</v>
      </c>
      <c r="B2851" s="2" t="s">
        <v>12459</v>
      </c>
    </row>
    <row r="2852" spans="1:2" x14ac:dyDescent="0.2">
      <c r="A2852" s="8" t="s">
        <v>2875</v>
      </c>
      <c r="B2852" s="2" t="s">
        <v>12459</v>
      </c>
    </row>
    <row r="2853" spans="1:2" x14ac:dyDescent="0.2">
      <c r="A2853" s="8" t="s">
        <v>2876</v>
      </c>
      <c r="B2853" s="2" t="s">
        <v>12459</v>
      </c>
    </row>
    <row r="2854" spans="1:2" x14ac:dyDescent="0.2">
      <c r="A2854" s="8" t="s">
        <v>2877</v>
      </c>
      <c r="B2854" s="2" t="s">
        <v>12459</v>
      </c>
    </row>
    <row r="2855" spans="1:2" x14ac:dyDescent="0.2">
      <c r="A2855" s="8" t="s">
        <v>2878</v>
      </c>
      <c r="B2855" s="2" t="s">
        <v>12459</v>
      </c>
    </row>
    <row r="2856" spans="1:2" x14ac:dyDescent="0.2">
      <c r="A2856" s="8" t="s">
        <v>2879</v>
      </c>
      <c r="B2856" s="2" t="s">
        <v>12459</v>
      </c>
    </row>
    <row r="2857" spans="1:2" x14ac:dyDescent="0.2">
      <c r="A2857" s="8" t="s">
        <v>2880</v>
      </c>
      <c r="B2857" s="2" t="s">
        <v>12459</v>
      </c>
    </row>
    <row r="2858" spans="1:2" x14ac:dyDescent="0.2">
      <c r="A2858" s="8" t="s">
        <v>2881</v>
      </c>
      <c r="B2858" s="2" t="s">
        <v>12459</v>
      </c>
    </row>
    <row r="2859" spans="1:2" x14ac:dyDescent="0.2">
      <c r="A2859" s="8" t="s">
        <v>2882</v>
      </c>
      <c r="B2859" s="2" t="s">
        <v>12459</v>
      </c>
    </row>
    <row r="2860" spans="1:2" x14ac:dyDescent="0.2">
      <c r="A2860" s="8" t="s">
        <v>2883</v>
      </c>
      <c r="B2860" s="2" t="s">
        <v>12459</v>
      </c>
    </row>
    <row r="2861" spans="1:2" x14ac:dyDescent="0.2">
      <c r="A2861" s="8" t="s">
        <v>2884</v>
      </c>
      <c r="B2861" s="2" t="s">
        <v>12459</v>
      </c>
    </row>
    <row r="2862" spans="1:2" x14ac:dyDescent="0.2">
      <c r="A2862" s="8" t="s">
        <v>2885</v>
      </c>
      <c r="B2862" s="2" t="s">
        <v>12459</v>
      </c>
    </row>
    <row r="2863" spans="1:2" x14ac:dyDescent="0.2">
      <c r="A2863" s="8" t="s">
        <v>2886</v>
      </c>
      <c r="B2863" s="2" t="s">
        <v>12459</v>
      </c>
    </row>
    <row r="2864" spans="1:2" x14ac:dyDescent="0.2">
      <c r="A2864" s="8" t="s">
        <v>2887</v>
      </c>
      <c r="B2864" s="2" t="s">
        <v>12459</v>
      </c>
    </row>
    <row r="2865" spans="1:2" x14ac:dyDescent="0.2">
      <c r="A2865" s="8" t="s">
        <v>2888</v>
      </c>
      <c r="B2865" s="2" t="s">
        <v>12459</v>
      </c>
    </row>
    <row r="2866" spans="1:2" x14ac:dyDescent="0.2">
      <c r="A2866" s="8" t="s">
        <v>2889</v>
      </c>
      <c r="B2866" s="2" t="s">
        <v>12459</v>
      </c>
    </row>
    <row r="2867" spans="1:2" x14ac:dyDescent="0.2">
      <c r="A2867" s="8" t="s">
        <v>2890</v>
      </c>
      <c r="B2867" s="2" t="s">
        <v>12459</v>
      </c>
    </row>
    <row r="2868" spans="1:2" x14ac:dyDescent="0.2">
      <c r="A2868" s="8" t="s">
        <v>2891</v>
      </c>
      <c r="B2868" s="2" t="s">
        <v>12459</v>
      </c>
    </row>
    <row r="2869" spans="1:2" x14ac:dyDescent="0.2">
      <c r="A2869" s="8" t="s">
        <v>2892</v>
      </c>
      <c r="B2869" s="2" t="s">
        <v>12459</v>
      </c>
    </row>
    <row r="2870" spans="1:2" x14ac:dyDescent="0.2">
      <c r="A2870" s="8" t="s">
        <v>2893</v>
      </c>
      <c r="B2870" s="2" t="s">
        <v>12459</v>
      </c>
    </row>
    <row r="2871" spans="1:2" x14ac:dyDescent="0.2">
      <c r="A2871" s="8" t="s">
        <v>2894</v>
      </c>
      <c r="B2871" s="2" t="s">
        <v>12459</v>
      </c>
    </row>
    <row r="2872" spans="1:2" x14ac:dyDescent="0.2">
      <c r="A2872" s="8" t="s">
        <v>2895</v>
      </c>
      <c r="B2872" s="2" t="s">
        <v>12459</v>
      </c>
    </row>
    <row r="2873" spans="1:2" x14ac:dyDescent="0.2">
      <c r="A2873" s="8" t="s">
        <v>2896</v>
      </c>
      <c r="B2873" s="2" t="s">
        <v>12459</v>
      </c>
    </row>
    <row r="2874" spans="1:2" x14ac:dyDescent="0.2">
      <c r="A2874" s="8" t="s">
        <v>2897</v>
      </c>
      <c r="B2874" s="2" t="s">
        <v>12459</v>
      </c>
    </row>
    <row r="2875" spans="1:2" x14ac:dyDescent="0.2">
      <c r="A2875" s="8" t="s">
        <v>2898</v>
      </c>
      <c r="B2875" s="2" t="s">
        <v>12459</v>
      </c>
    </row>
    <row r="2876" spans="1:2" x14ac:dyDescent="0.2">
      <c r="A2876" s="8" t="s">
        <v>2899</v>
      </c>
      <c r="B2876" s="2" t="s">
        <v>12459</v>
      </c>
    </row>
    <row r="2877" spans="1:2" x14ac:dyDescent="0.2">
      <c r="A2877" s="8" t="s">
        <v>2900</v>
      </c>
      <c r="B2877" s="2" t="s">
        <v>12459</v>
      </c>
    </row>
    <row r="2878" spans="1:2" x14ac:dyDescent="0.2">
      <c r="A2878" s="8" t="s">
        <v>2901</v>
      </c>
      <c r="B2878" s="2" t="s">
        <v>12459</v>
      </c>
    </row>
    <row r="2879" spans="1:2" x14ac:dyDescent="0.2">
      <c r="A2879" s="8" t="s">
        <v>2902</v>
      </c>
      <c r="B2879" s="2" t="s">
        <v>12459</v>
      </c>
    </row>
    <row r="2880" spans="1:2" x14ac:dyDescent="0.2">
      <c r="A2880" s="8" t="s">
        <v>2903</v>
      </c>
      <c r="B2880" s="2" t="s">
        <v>12459</v>
      </c>
    </row>
    <row r="2881" spans="1:2" x14ac:dyDescent="0.2">
      <c r="A2881" s="8" t="s">
        <v>2904</v>
      </c>
      <c r="B2881" s="2" t="s">
        <v>12459</v>
      </c>
    </row>
    <row r="2882" spans="1:2" x14ac:dyDescent="0.2">
      <c r="A2882" s="8" t="s">
        <v>2905</v>
      </c>
      <c r="B2882" s="2" t="s">
        <v>12459</v>
      </c>
    </row>
    <row r="2883" spans="1:2" x14ac:dyDescent="0.2">
      <c r="A2883" s="8" t="s">
        <v>2906</v>
      </c>
      <c r="B2883" s="2" t="s">
        <v>12459</v>
      </c>
    </row>
    <row r="2884" spans="1:2" x14ac:dyDescent="0.2">
      <c r="A2884" s="8" t="s">
        <v>2907</v>
      </c>
      <c r="B2884" s="2" t="s">
        <v>12459</v>
      </c>
    </row>
    <row r="2885" spans="1:2" x14ac:dyDescent="0.2">
      <c r="A2885" s="8" t="s">
        <v>2908</v>
      </c>
      <c r="B2885" s="2" t="s">
        <v>12459</v>
      </c>
    </row>
    <row r="2886" spans="1:2" x14ac:dyDescent="0.2">
      <c r="A2886" s="8" t="s">
        <v>2909</v>
      </c>
      <c r="B2886" s="2" t="s">
        <v>12459</v>
      </c>
    </row>
    <row r="2887" spans="1:2" x14ac:dyDescent="0.2">
      <c r="A2887" s="8" t="s">
        <v>2910</v>
      </c>
      <c r="B2887" s="2" t="s">
        <v>12459</v>
      </c>
    </row>
    <row r="2888" spans="1:2" x14ac:dyDescent="0.2">
      <c r="A2888" s="8" t="s">
        <v>2911</v>
      </c>
      <c r="B2888" s="2" t="s">
        <v>12459</v>
      </c>
    </row>
    <row r="2889" spans="1:2" x14ac:dyDescent="0.2">
      <c r="A2889" s="8" t="s">
        <v>2912</v>
      </c>
      <c r="B2889" s="2" t="s">
        <v>12459</v>
      </c>
    </row>
    <row r="2890" spans="1:2" x14ac:dyDescent="0.2">
      <c r="A2890" s="8" t="s">
        <v>2913</v>
      </c>
      <c r="B2890" s="2" t="s">
        <v>12459</v>
      </c>
    </row>
    <row r="2891" spans="1:2" x14ac:dyDescent="0.2">
      <c r="A2891" s="8" t="s">
        <v>2914</v>
      </c>
      <c r="B2891" s="2" t="s">
        <v>12459</v>
      </c>
    </row>
    <row r="2892" spans="1:2" x14ac:dyDescent="0.2">
      <c r="A2892" s="8" t="s">
        <v>2915</v>
      </c>
      <c r="B2892" s="2" t="s">
        <v>12459</v>
      </c>
    </row>
    <row r="2893" spans="1:2" x14ac:dyDescent="0.2">
      <c r="A2893" s="8" t="s">
        <v>2916</v>
      </c>
      <c r="B2893" s="2" t="s">
        <v>12459</v>
      </c>
    </row>
    <row r="2894" spans="1:2" x14ac:dyDescent="0.2">
      <c r="A2894" s="8" t="s">
        <v>2917</v>
      </c>
      <c r="B2894" s="2" t="s">
        <v>12459</v>
      </c>
    </row>
    <row r="2895" spans="1:2" x14ac:dyDescent="0.2">
      <c r="A2895" s="8" t="s">
        <v>2918</v>
      </c>
      <c r="B2895" s="2" t="s">
        <v>12459</v>
      </c>
    </row>
    <row r="2896" spans="1:2" x14ac:dyDescent="0.2">
      <c r="A2896" s="8" t="s">
        <v>2919</v>
      </c>
      <c r="B2896" s="2" t="s">
        <v>12459</v>
      </c>
    </row>
    <row r="2897" spans="1:2" x14ac:dyDescent="0.2">
      <c r="A2897" s="8" t="s">
        <v>2920</v>
      </c>
      <c r="B2897" s="2" t="s">
        <v>12459</v>
      </c>
    </row>
    <row r="2898" spans="1:2" x14ac:dyDescent="0.2">
      <c r="A2898" s="8" t="s">
        <v>2921</v>
      </c>
      <c r="B2898" s="2" t="s">
        <v>12459</v>
      </c>
    </row>
    <row r="2899" spans="1:2" x14ac:dyDescent="0.2">
      <c r="A2899" s="8" t="s">
        <v>2922</v>
      </c>
      <c r="B2899" s="2" t="s">
        <v>12459</v>
      </c>
    </row>
    <row r="2900" spans="1:2" x14ac:dyDescent="0.2">
      <c r="A2900" s="8" t="s">
        <v>2923</v>
      </c>
      <c r="B2900" s="2" t="s">
        <v>12459</v>
      </c>
    </row>
    <row r="2901" spans="1:2" x14ac:dyDescent="0.2">
      <c r="A2901" s="8" t="s">
        <v>2924</v>
      </c>
      <c r="B2901" s="2" t="s">
        <v>12459</v>
      </c>
    </row>
    <row r="2902" spans="1:2" x14ac:dyDescent="0.2">
      <c r="A2902" s="8" t="s">
        <v>2925</v>
      </c>
      <c r="B2902" s="2" t="s">
        <v>12459</v>
      </c>
    </row>
    <row r="2903" spans="1:2" x14ac:dyDescent="0.2">
      <c r="A2903" s="8" t="s">
        <v>2926</v>
      </c>
      <c r="B2903" s="2" t="s">
        <v>12459</v>
      </c>
    </row>
    <row r="2904" spans="1:2" x14ac:dyDescent="0.2">
      <c r="A2904" s="8" t="s">
        <v>2927</v>
      </c>
      <c r="B2904" s="2" t="s">
        <v>12459</v>
      </c>
    </row>
    <row r="2905" spans="1:2" x14ac:dyDescent="0.2">
      <c r="A2905" s="8" t="s">
        <v>2928</v>
      </c>
      <c r="B2905" s="2" t="s">
        <v>12459</v>
      </c>
    </row>
    <row r="2906" spans="1:2" x14ac:dyDescent="0.2">
      <c r="A2906" s="8" t="s">
        <v>2929</v>
      </c>
      <c r="B2906" s="2" t="s">
        <v>12459</v>
      </c>
    </row>
    <row r="2907" spans="1:2" x14ac:dyDescent="0.2">
      <c r="A2907" s="8" t="s">
        <v>2930</v>
      </c>
      <c r="B2907" s="2" t="s">
        <v>12459</v>
      </c>
    </row>
    <row r="2908" spans="1:2" x14ac:dyDescent="0.2">
      <c r="A2908" s="8" t="s">
        <v>2931</v>
      </c>
      <c r="B2908" s="2" t="s">
        <v>12459</v>
      </c>
    </row>
    <row r="2909" spans="1:2" x14ac:dyDescent="0.2">
      <c r="A2909" s="8" t="s">
        <v>2932</v>
      </c>
      <c r="B2909" s="2" t="s">
        <v>12459</v>
      </c>
    </row>
    <row r="2910" spans="1:2" x14ac:dyDescent="0.2">
      <c r="A2910" s="8" t="s">
        <v>2933</v>
      </c>
      <c r="B2910" s="2" t="s">
        <v>12459</v>
      </c>
    </row>
    <row r="2911" spans="1:2" x14ac:dyDescent="0.2">
      <c r="A2911" s="8" t="s">
        <v>2934</v>
      </c>
      <c r="B2911" s="2" t="s">
        <v>12459</v>
      </c>
    </row>
    <row r="2912" spans="1:2" x14ac:dyDescent="0.2">
      <c r="A2912" s="8" t="s">
        <v>2935</v>
      </c>
      <c r="B2912" s="2" t="s">
        <v>12459</v>
      </c>
    </row>
    <row r="2913" spans="1:2" x14ac:dyDescent="0.2">
      <c r="A2913" s="8" t="s">
        <v>2936</v>
      </c>
      <c r="B2913" s="2" t="s">
        <v>12459</v>
      </c>
    </row>
    <row r="2914" spans="1:2" x14ac:dyDescent="0.2">
      <c r="A2914" s="8" t="s">
        <v>2937</v>
      </c>
      <c r="B2914" s="2" t="s">
        <v>12459</v>
      </c>
    </row>
    <row r="2915" spans="1:2" x14ac:dyDescent="0.2">
      <c r="A2915" s="8" t="s">
        <v>2938</v>
      </c>
      <c r="B2915" s="2" t="s">
        <v>12459</v>
      </c>
    </row>
    <row r="2916" spans="1:2" x14ac:dyDescent="0.2">
      <c r="A2916" s="8" t="s">
        <v>2939</v>
      </c>
      <c r="B2916" s="2" t="s">
        <v>12459</v>
      </c>
    </row>
    <row r="2917" spans="1:2" x14ac:dyDescent="0.2">
      <c r="A2917" s="8" t="s">
        <v>2940</v>
      </c>
      <c r="B2917" s="2" t="s">
        <v>12459</v>
      </c>
    </row>
    <row r="2918" spans="1:2" x14ac:dyDescent="0.2">
      <c r="A2918" s="8" t="s">
        <v>2941</v>
      </c>
      <c r="B2918" s="2" t="s">
        <v>12459</v>
      </c>
    </row>
    <row r="2919" spans="1:2" x14ac:dyDescent="0.2">
      <c r="A2919" s="8" t="s">
        <v>2942</v>
      </c>
      <c r="B2919" s="2" t="s">
        <v>12459</v>
      </c>
    </row>
    <row r="2920" spans="1:2" x14ac:dyDescent="0.2">
      <c r="A2920" s="8" t="s">
        <v>2943</v>
      </c>
      <c r="B2920" s="2" t="s">
        <v>12459</v>
      </c>
    </row>
    <row r="2921" spans="1:2" x14ac:dyDescent="0.2">
      <c r="A2921" s="8" t="s">
        <v>2944</v>
      </c>
      <c r="B2921" s="2" t="s">
        <v>12459</v>
      </c>
    </row>
    <row r="2922" spans="1:2" x14ac:dyDescent="0.2">
      <c r="A2922" s="8" t="s">
        <v>2945</v>
      </c>
      <c r="B2922" s="2" t="s">
        <v>12459</v>
      </c>
    </row>
    <row r="2923" spans="1:2" x14ac:dyDescent="0.2">
      <c r="A2923" s="8" t="s">
        <v>2946</v>
      </c>
      <c r="B2923" s="2" t="s">
        <v>12459</v>
      </c>
    </row>
    <row r="2924" spans="1:2" x14ac:dyDescent="0.2">
      <c r="A2924" s="8" t="s">
        <v>2947</v>
      </c>
      <c r="B2924" s="2" t="s">
        <v>12459</v>
      </c>
    </row>
    <row r="2925" spans="1:2" x14ac:dyDescent="0.2">
      <c r="A2925" s="8" t="s">
        <v>2948</v>
      </c>
      <c r="B2925" s="2" t="s">
        <v>12459</v>
      </c>
    </row>
    <row r="2926" spans="1:2" x14ac:dyDescent="0.2">
      <c r="A2926" s="8" t="s">
        <v>2949</v>
      </c>
      <c r="B2926" s="2" t="s">
        <v>12459</v>
      </c>
    </row>
    <row r="2927" spans="1:2" x14ac:dyDescent="0.2">
      <c r="A2927" s="8" t="s">
        <v>2950</v>
      </c>
      <c r="B2927" s="2" t="s">
        <v>12459</v>
      </c>
    </row>
    <row r="2928" spans="1:2" x14ac:dyDescent="0.2">
      <c r="A2928" s="8" t="s">
        <v>2951</v>
      </c>
      <c r="B2928" s="2" t="s">
        <v>12459</v>
      </c>
    </row>
    <row r="2929" spans="1:2" x14ac:dyDescent="0.2">
      <c r="A2929" s="8" t="s">
        <v>2952</v>
      </c>
      <c r="B2929" s="2" t="s">
        <v>12459</v>
      </c>
    </row>
    <row r="2930" spans="1:2" x14ac:dyDescent="0.2">
      <c r="A2930" s="8" t="s">
        <v>2953</v>
      </c>
      <c r="B2930" s="2" t="s">
        <v>12459</v>
      </c>
    </row>
    <row r="2931" spans="1:2" x14ac:dyDescent="0.2">
      <c r="A2931" s="8" t="s">
        <v>2954</v>
      </c>
      <c r="B2931" s="2" t="s">
        <v>12459</v>
      </c>
    </row>
    <row r="2932" spans="1:2" x14ac:dyDescent="0.2">
      <c r="A2932" s="8" t="s">
        <v>2955</v>
      </c>
      <c r="B2932" s="2" t="s">
        <v>12459</v>
      </c>
    </row>
    <row r="2933" spans="1:2" x14ac:dyDescent="0.2">
      <c r="A2933" s="8" t="s">
        <v>2956</v>
      </c>
      <c r="B2933" s="2" t="s">
        <v>12459</v>
      </c>
    </row>
    <row r="2934" spans="1:2" x14ac:dyDescent="0.2">
      <c r="A2934" s="8" t="s">
        <v>2957</v>
      </c>
      <c r="B2934" s="2" t="s">
        <v>12459</v>
      </c>
    </row>
    <row r="2935" spans="1:2" x14ac:dyDescent="0.2">
      <c r="A2935" s="8" t="s">
        <v>2958</v>
      </c>
      <c r="B2935" s="2" t="s">
        <v>12459</v>
      </c>
    </row>
    <row r="2936" spans="1:2" x14ac:dyDescent="0.2">
      <c r="A2936" s="8" t="s">
        <v>2959</v>
      </c>
      <c r="B2936" s="2" t="s">
        <v>12459</v>
      </c>
    </row>
    <row r="2937" spans="1:2" x14ac:dyDescent="0.2">
      <c r="A2937" s="8" t="s">
        <v>2960</v>
      </c>
      <c r="B2937" s="2" t="s">
        <v>12459</v>
      </c>
    </row>
    <row r="2938" spans="1:2" x14ac:dyDescent="0.2">
      <c r="A2938" s="8" t="s">
        <v>2961</v>
      </c>
      <c r="B2938" s="2" t="s">
        <v>12459</v>
      </c>
    </row>
    <row r="2939" spans="1:2" x14ac:dyDescent="0.2">
      <c r="A2939" s="8" t="s">
        <v>2962</v>
      </c>
      <c r="B2939" s="2" t="s">
        <v>12459</v>
      </c>
    </row>
    <row r="2940" spans="1:2" x14ac:dyDescent="0.2">
      <c r="A2940" s="8" t="s">
        <v>2963</v>
      </c>
      <c r="B2940" s="2" t="s">
        <v>12459</v>
      </c>
    </row>
    <row r="2941" spans="1:2" x14ac:dyDescent="0.2">
      <c r="A2941" s="8" t="s">
        <v>2964</v>
      </c>
      <c r="B2941" s="2" t="s">
        <v>12459</v>
      </c>
    </row>
    <row r="2942" spans="1:2" x14ac:dyDescent="0.2">
      <c r="A2942" s="8" t="s">
        <v>2965</v>
      </c>
      <c r="B2942" s="2" t="s">
        <v>12459</v>
      </c>
    </row>
    <row r="2943" spans="1:2" x14ac:dyDescent="0.2">
      <c r="A2943" s="8" t="s">
        <v>2966</v>
      </c>
      <c r="B2943" s="2" t="s">
        <v>12459</v>
      </c>
    </row>
    <row r="2944" spans="1:2" x14ac:dyDescent="0.2">
      <c r="A2944" s="8" t="s">
        <v>2967</v>
      </c>
      <c r="B2944" s="2" t="s">
        <v>12459</v>
      </c>
    </row>
    <row r="2945" spans="1:2" x14ac:dyDescent="0.2">
      <c r="A2945" s="8" t="s">
        <v>2968</v>
      </c>
      <c r="B2945" s="2" t="s">
        <v>12459</v>
      </c>
    </row>
    <row r="2946" spans="1:2" x14ac:dyDescent="0.2">
      <c r="A2946" s="8" t="s">
        <v>2969</v>
      </c>
      <c r="B2946" s="2" t="s">
        <v>12459</v>
      </c>
    </row>
    <row r="2947" spans="1:2" x14ac:dyDescent="0.2">
      <c r="A2947" s="8" t="s">
        <v>2970</v>
      </c>
      <c r="B2947" s="2" t="s">
        <v>12459</v>
      </c>
    </row>
    <row r="2948" spans="1:2" x14ac:dyDescent="0.2">
      <c r="A2948" s="8" t="s">
        <v>2971</v>
      </c>
      <c r="B2948" s="2" t="s">
        <v>12459</v>
      </c>
    </row>
    <row r="2949" spans="1:2" x14ac:dyDescent="0.2">
      <c r="A2949" s="8" t="s">
        <v>2972</v>
      </c>
      <c r="B2949" s="2" t="s">
        <v>12459</v>
      </c>
    </row>
    <row r="2950" spans="1:2" x14ac:dyDescent="0.2">
      <c r="A2950" s="8" t="s">
        <v>2973</v>
      </c>
      <c r="B2950" s="2" t="s">
        <v>12459</v>
      </c>
    </row>
    <row r="2951" spans="1:2" x14ac:dyDescent="0.2">
      <c r="A2951" s="8" t="s">
        <v>2974</v>
      </c>
      <c r="B2951" s="2" t="s">
        <v>12459</v>
      </c>
    </row>
    <row r="2952" spans="1:2" x14ac:dyDescent="0.2">
      <c r="A2952" s="8" t="s">
        <v>2975</v>
      </c>
      <c r="B2952" s="2" t="s">
        <v>12459</v>
      </c>
    </row>
    <row r="2953" spans="1:2" x14ac:dyDescent="0.2">
      <c r="A2953" s="8" t="s">
        <v>2976</v>
      </c>
      <c r="B2953" s="2" t="s">
        <v>12459</v>
      </c>
    </row>
    <row r="2954" spans="1:2" x14ac:dyDescent="0.2">
      <c r="A2954" s="8" t="s">
        <v>2977</v>
      </c>
      <c r="B2954" s="2" t="s">
        <v>12459</v>
      </c>
    </row>
    <row r="2955" spans="1:2" x14ac:dyDescent="0.2">
      <c r="A2955" s="8" t="s">
        <v>2978</v>
      </c>
      <c r="B2955" s="2" t="s">
        <v>12459</v>
      </c>
    </row>
    <row r="2956" spans="1:2" x14ac:dyDescent="0.2">
      <c r="A2956" s="8" t="s">
        <v>2979</v>
      </c>
      <c r="B2956" s="2" t="s">
        <v>12459</v>
      </c>
    </row>
    <row r="2957" spans="1:2" x14ac:dyDescent="0.2">
      <c r="A2957" s="8" t="s">
        <v>2980</v>
      </c>
      <c r="B2957" s="2" t="s">
        <v>12459</v>
      </c>
    </row>
    <row r="2958" spans="1:2" x14ac:dyDescent="0.2">
      <c r="A2958" s="8" t="s">
        <v>2981</v>
      </c>
      <c r="B2958" s="2" t="s">
        <v>12459</v>
      </c>
    </row>
    <row r="2959" spans="1:2" x14ac:dyDescent="0.2">
      <c r="A2959" s="8" t="s">
        <v>2982</v>
      </c>
      <c r="B2959" s="2" t="s">
        <v>12459</v>
      </c>
    </row>
    <row r="2960" spans="1:2" x14ac:dyDescent="0.2">
      <c r="A2960" s="8" t="s">
        <v>2983</v>
      </c>
      <c r="B2960" s="2" t="s">
        <v>12459</v>
      </c>
    </row>
    <row r="2961" spans="1:2" x14ac:dyDescent="0.2">
      <c r="A2961" s="8" t="s">
        <v>2984</v>
      </c>
      <c r="B2961" s="2" t="s">
        <v>12459</v>
      </c>
    </row>
    <row r="2962" spans="1:2" x14ac:dyDescent="0.2">
      <c r="A2962" s="8" t="s">
        <v>2985</v>
      </c>
      <c r="B2962" s="2" t="s">
        <v>12459</v>
      </c>
    </row>
    <row r="2963" spans="1:2" x14ac:dyDescent="0.2">
      <c r="A2963" s="8" t="s">
        <v>2986</v>
      </c>
      <c r="B2963" s="2" t="s">
        <v>12459</v>
      </c>
    </row>
    <row r="2964" spans="1:2" x14ac:dyDescent="0.2">
      <c r="A2964" s="8" t="s">
        <v>2987</v>
      </c>
      <c r="B2964" s="2" t="s">
        <v>12459</v>
      </c>
    </row>
    <row r="2965" spans="1:2" x14ac:dyDescent="0.2">
      <c r="A2965" s="8" t="s">
        <v>2988</v>
      </c>
      <c r="B2965" s="2" t="s">
        <v>12459</v>
      </c>
    </row>
    <row r="2966" spans="1:2" x14ac:dyDescent="0.2">
      <c r="A2966" s="8" t="s">
        <v>2989</v>
      </c>
      <c r="B2966" s="2" t="s">
        <v>12459</v>
      </c>
    </row>
    <row r="2967" spans="1:2" x14ac:dyDescent="0.2">
      <c r="A2967" s="8" t="s">
        <v>2990</v>
      </c>
      <c r="B2967" s="2" t="s">
        <v>12459</v>
      </c>
    </row>
    <row r="2968" spans="1:2" x14ac:dyDescent="0.2">
      <c r="A2968" s="8" t="s">
        <v>2991</v>
      </c>
      <c r="B2968" s="2" t="s">
        <v>12459</v>
      </c>
    </row>
    <row r="2969" spans="1:2" x14ac:dyDescent="0.2">
      <c r="A2969" s="8" t="s">
        <v>2992</v>
      </c>
      <c r="B2969" s="2" t="s">
        <v>12459</v>
      </c>
    </row>
    <row r="2970" spans="1:2" x14ac:dyDescent="0.2">
      <c r="A2970" s="8" t="s">
        <v>2993</v>
      </c>
      <c r="B2970" s="2" t="s">
        <v>12459</v>
      </c>
    </row>
    <row r="2971" spans="1:2" x14ac:dyDescent="0.2">
      <c r="A2971" s="8" t="s">
        <v>2994</v>
      </c>
      <c r="B2971" s="2" t="s">
        <v>12459</v>
      </c>
    </row>
    <row r="2972" spans="1:2" x14ac:dyDescent="0.2">
      <c r="A2972" s="8" t="s">
        <v>2995</v>
      </c>
      <c r="B2972" s="2" t="s">
        <v>12459</v>
      </c>
    </row>
    <row r="2973" spans="1:2" x14ac:dyDescent="0.2">
      <c r="A2973" s="8" t="s">
        <v>2996</v>
      </c>
      <c r="B2973" s="2" t="s">
        <v>12459</v>
      </c>
    </row>
    <row r="2974" spans="1:2" x14ac:dyDescent="0.2">
      <c r="A2974" s="8" t="s">
        <v>2997</v>
      </c>
      <c r="B2974" s="2" t="s">
        <v>12459</v>
      </c>
    </row>
    <row r="2975" spans="1:2" x14ac:dyDescent="0.2">
      <c r="A2975" s="8" t="s">
        <v>2998</v>
      </c>
      <c r="B2975" s="2" t="s">
        <v>12459</v>
      </c>
    </row>
    <row r="2976" spans="1:2" x14ac:dyDescent="0.2">
      <c r="A2976" s="8" t="s">
        <v>2999</v>
      </c>
      <c r="B2976" s="2" t="s">
        <v>12459</v>
      </c>
    </row>
    <row r="2977" spans="1:2" x14ac:dyDescent="0.2">
      <c r="A2977" s="8" t="s">
        <v>3000</v>
      </c>
      <c r="B2977" s="2" t="s">
        <v>12459</v>
      </c>
    </row>
    <row r="2978" spans="1:2" x14ac:dyDescent="0.2">
      <c r="A2978" s="8" t="s">
        <v>3001</v>
      </c>
      <c r="B2978" s="2" t="s">
        <v>12459</v>
      </c>
    </row>
    <row r="2979" spans="1:2" x14ac:dyDescent="0.2">
      <c r="A2979" s="8" t="s">
        <v>3002</v>
      </c>
      <c r="B2979" s="2" t="s">
        <v>12459</v>
      </c>
    </row>
    <row r="2980" spans="1:2" x14ac:dyDescent="0.2">
      <c r="A2980" s="8" t="s">
        <v>3003</v>
      </c>
      <c r="B2980" s="2" t="s">
        <v>12459</v>
      </c>
    </row>
    <row r="2981" spans="1:2" x14ac:dyDescent="0.2">
      <c r="A2981" s="8" t="s">
        <v>3004</v>
      </c>
      <c r="B2981" s="2" t="s">
        <v>12459</v>
      </c>
    </row>
    <row r="2982" spans="1:2" x14ac:dyDescent="0.2">
      <c r="A2982" s="8" t="s">
        <v>3005</v>
      </c>
      <c r="B2982" s="2" t="s">
        <v>12459</v>
      </c>
    </row>
    <row r="2983" spans="1:2" x14ac:dyDescent="0.2">
      <c r="A2983" s="8" t="s">
        <v>3006</v>
      </c>
      <c r="B2983" s="2" t="s">
        <v>12459</v>
      </c>
    </row>
    <row r="2984" spans="1:2" x14ac:dyDescent="0.2">
      <c r="A2984" s="8" t="s">
        <v>3007</v>
      </c>
      <c r="B2984" s="2" t="s">
        <v>12459</v>
      </c>
    </row>
    <row r="2985" spans="1:2" x14ac:dyDescent="0.2">
      <c r="A2985" s="8" t="s">
        <v>3008</v>
      </c>
      <c r="B2985" s="2" t="s">
        <v>12459</v>
      </c>
    </row>
    <row r="2986" spans="1:2" x14ac:dyDescent="0.2">
      <c r="A2986" s="8" t="s">
        <v>3009</v>
      </c>
      <c r="B2986" s="2" t="s">
        <v>12459</v>
      </c>
    </row>
    <row r="2987" spans="1:2" x14ac:dyDescent="0.2">
      <c r="A2987" s="8" t="s">
        <v>3010</v>
      </c>
      <c r="B2987" s="2" t="s">
        <v>12459</v>
      </c>
    </row>
    <row r="2988" spans="1:2" x14ac:dyDescent="0.2">
      <c r="A2988" s="8" t="s">
        <v>3011</v>
      </c>
      <c r="B2988" s="2" t="s">
        <v>12459</v>
      </c>
    </row>
    <row r="2989" spans="1:2" x14ac:dyDescent="0.2">
      <c r="A2989" s="8" t="s">
        <v>3012</v>
      </c>
      <c r="B2989" s="2" t="s">
        <v>12459</v>
      </c>
    </row>
    <row r="2990" spans="1:2" x14ac:dyDescent="0.2">
      <c r="A2990" s="8" t="s">
        <v>3013</v>
      </c>
      <c r="B2990" s="2" t="s">
        <v>12459</v>
      </c>
    </row>
    <row r="2991" spans="1:2" x14ac:dyDescent="0.2">
      <c r="A2991" s="8" t="s">
        <v>3014</v>
      </c>
      <c r="B2991" s="2" t="s">
        <v>12459</v>
      </c>
    </row>
    <row r="2992" spans="1:2" x14ac:dyDescent="0.2">
      <c r="A2992" s="8" t="s">
        <v>3015</v>
      </c>
      <c r="B2992" s="2" t="s">
        <v>12459</v>
      </c>
    </row>
    <row r="2993" spans="1:2" x14ac:dyDescent="0.2">
      <c r="A2993" s="8" t="s">
        <v>3016</v>
      </c>
      <c r="B2993" s="2" t="s">
        <v>12459</v>
      </c>
    </row>
    <row r="2994" spans="1:2" x14ac:dyDescent="0.2">
      <c r="A2994" s="8" t="s">
        <v>3017</v>
      </c>
      <c r="B2994" s="2" t="s">
        <v>12459</v>
      </c>
    </row>
    <row r="2995" spans="1:2" x14ac:dyDescent="0.2">
      <c r="A2995" s="8" t="s">
        <v>3018</v>
      </c>
      <c r="B2995" s="2" t="s">
        <v>12459</v>
      </c>
    </row>
    <row r="2996" spans="1:2" x14ac:dyDescent="0.2">
      <c r="A2996" s="8" t="s">
        <v>3019</v>
      </c>
      <c r="B2996" s="2" t="s">
        <v>12459</v>
      </c>
    </row>
    <row r="2997" spans="1:2" x14ac:dyDescent="0.2">
      <c r="A2997" s="8" t="s">
        <v>3020</v>
      </c>
      <c r="B2997" s="2" t="s">
        <v>12459</v>
      </c>
    </row>
    <row r="2998" spans="1:2" x14ac:dyDescent="0.2">
      <c r="A2998" s="8" t="s">
        <v>3021</v>
      </c>
      <c r="B2998" s="2" t="s">
        <v>12459</v>
      </c>
    </row>
    <row r="2999" spans="1:2" x14ac:dyDescent="0.2">
      <c r="A2999" s="8" t="s">
        <v>3022</v>
      </c>
      <c r="B2999" s="2" t="s">
        <v>12459</v>
      </c>
    </row>
    <row r="3000" spans="1:2" x14ac:dyDescent="0.2">
      <c r="A3000" s="8" t="s">
        <v>3023</v>
      </c>
      <c r="B3000" s="2" t="s">
        <v>12459</v>
      </c>
    </row>
    <row r="3001" spans="1:2" x14ac:dyDescent="0.2">
      <c r="A3001" s="8" t="s">
        <v>3024</v>
      </c>
      <c r="B3001" s="2" t="s">
        <v>12459</v>
      </c>
    </row>
    <row r="3002" spans="1:2" x14ac:dyDescent="0.2">
      <c r="A3002" s="8" t="s">
        <v>3025</v>
      </c>
      <c r="B3002" s="2" t="s">
        <v>12459</v>
      </c>
    </row>
    <row r="3003" spans="1:2" x14ac:dyDescent="0.2">
      <c r="A3003" s="8" t="s">
        <v>3026</v>
      </c>
      <c r="B3003" s="2" t="s">
        <v>12459</v>
      </c>
    </row>
    <row r="3004" spans="1:2" x14ac:dyDescent="0.2">
      <c r="A3004" s="8" t="s">
        <v>3027</v>
      </c>
      <c r="B3004" s="2" t="s">
        <v>12459</v>
      </c>
    </row>
    <row r="3005" spans="1:2" x14ac:dyDescent="0.2">
      <c r="A3005" s="8" t="s">
        <v>3028</v>
      </c>
      <c r="B3005" s="2" t="s">
        <v>12459</v>
      </c>
    </row>
    <row r="3006" spans="1:2" x14ac:dyDescent="0.2">
      <c r="A3006" s="8" t="s">
        <v>3029</v>
      </c>
      <c r="B3006" s="2" t="s">
        <v>12459</v>
      </c>
    </row>
    <row r="3007" spans="1:2" x14ac:dyDescent="0.2">
      <c r="A3007" s="8" t="s">
        <v>3030</v>
      </c>
      <c r="B3007" s="2" t="s">
        <v>12459</v>
      </c>
    </row>
    <row r="3008" spans="1:2" x14ac:dyDescent="0.2">
      <c r="A3008" s="8" t="s">
        <v>3031</v>
      </c>
      <c r="B3008" s="2" t="s">
        <v>12459</v>
      </c>
    </row>
    <row r="3009" spans="1:2" x14ac:dyDescent="0.2">
      <c r="A3009" s="8" t="s">
        <v>3032</v>
      </c>
      <c r="B3009" s="2" t="s">
        <v>12459</v>
      </c>
    </row>
    <row r="3010" spans="1:2" x14ac:dyDescent="0.2">
      <c r="A3010" s="8" t="s">
        <v>3033</v>
      </c>
      <c r="B3010" s="2" t="s">
        <v>12459</v>
      </c>
    </row>
    <row r="3011" spans="1:2" x14ac:dyDescent="0.2">
      <c r="A3011" s="8" t="s">
        <v>3034</v>
      </c>
      <c r="B3011" s="2" t="s">
        <v>12459</v>
      </c>
    </row>
    <row r="3012" spans="1:2" x14ac:dyDescent="0.2">
      <c r="A3012" s="8" t="s">
        <v>3035</v>
      </c>
      <c r="B3012" s="2" t="s">
        <v>12459</v>
      </c>
    </row>
    <row r="3013" spans="1:2" x14ac:dyDescent="0.2">
      <c r="A3013" s="8" t="s">
        <v>3036</v>
      </c>
      <c r="B3013" s="2" t="s">
        <v>12459</v>
      </c>
    </row>
    <row r="3014" spans="1:2" x14ac:dyDescent="0.2">
      <c r="A3014" s="8" t="s">
        <v>3037</v>
      </c>
      <c r="B3014" s="2" t="s">
        <v>12459</v>
      </c>
    </row>
    <row r="3015" spans="1:2" x14ac:dyDescent="0.2">
      <c r="A3015" s="8" t="s">
        <v>3038</v>
      </c>
      <c r="B3015" s="2" t="s">
        <v>12459</v>
      </c>
    </row>
    <row r="3016" spans="1:2" x14ac:dyDescent="0.2">
      <c r="A3016" s="8" t="s">
        <v>3039</v>
      </c>
      <c r="B3016" s="2" t="s">
        <v>12459</v>
      </c>
    </row>
    <row r="3017" spans="1:2" x14ac:dyDescent="0.2">
      <c r="A3017" s="8" t="s">
        <v>3040</v>
      </c>
      <c r="B3017" s="2" t="s">
        <v>12459</v>
      </c>
    </row>
    <row r="3018" spans="1:2" x14ac:dyDescent="0.2">
      <c r="A3018" s="8" t="s">
        <v>3041</v>
      </c>
      <c r="B3018" s="2" t="s">
        <v>12459</v>
      </c>
    </row>
    <row r="3019" spans="1:2" x14ac:dyDescent="0.2">
      <c r="A3019" s="8" t="s">
        <v>3042</v>
      </c>
      <c r="B3019" s="2" t="s">
        <v>12459</v>
      </c>
    </row>
    <row r="3020" spans="1:2" x14ac:dyDescent="0.2">
      <c r="A3020" s="8" t="s">
        <v>3043</v>
      </c>
      <c r="B3020" s="2" t="s">
        <v>12459</v>
      </c>
    </row>
    <row r="3021" spans="1:2" x14ac:dyDescent="0.2">
      <c r="A3021" s="8" t="s">
        <v>3044</v>
      </c>
      <c r="B3021" s="2" t="s">
        <v>12459</v>
      </c>
    </row>
    <row r="3022" spans="1:2" x14ac:dyDescent="0.2">
      <c r="A3022" s="8" t="s">
        <v>3045</v>
      </c>
      <c r="B3022" s="2" t="s">
        <v>12459</v>
      </c>
    </row>
    <row r="3023" spans="1:2" x14ac:dyDescent="0.2">
      <c r="A3023" s="8" t="s">
        <v>3046</v>
      </c>
      <c r="B3023" s="2" t="s">
        <v>12459</v>
      </c>
    </row>
    <row r="3024" spans="1:2" x14ac:dyDescent="0.2">
      <c r="A3024" s="8" t="s">
        <v>3047</v>
      </c>
      <c r="B3024" s="2" t="s">
        <v>12459</v>
      </c>
    </row>
    <row r="3025" spans="1:2" x14ac:dyDescent="0.2">
      <c r="A3025" s="8" t="s">
        <v>3048</v>
      </c>
      <c r="B3025" s="2" t="s">
        <v>12459</v>
      </c>
    </row>
    <row r="3026" spans="1:2" x14ac:dyDescent="0.2">
      <c r="A3026" s="8" t="s">
        <v>3049</v>
      </c>
      <c r="B3026" s="2" t="s">
        <v>12459</v>
      </c>
    </row>
    <row r="3027" spans="1:2" x14ac:dyDescent="0.2">
      <c r="A3027" s="8" t="s">
        <v>3050</v>
      </c>
      <c r="B3027" s="2" t="s">
        <v>12459</v>
      </c>
    </row>
    <row r="3028" spans="1:2" x14ac:dyDescent="0.2">
      <c r="A3028" s="8" t="s">
        <v>3051</v>
      </c>
      <c r="B3028" s="2" t="s">
        <v>12459</v>
      </c>
    </row>
    <row r="3029" spans="1:2" x14ac:dyDescent="0.2">
      <c r="A3029" s="8" t="s">
        <v>3052</v>
      </c>
      <c r="B3029" s="2" t="s">
        <v>12459</v>
      </c>
    </row>
    <row r="3030" spans="1:2" x14ac:dyDescent="0.2">
      <c r="A3030" s="8" t="s">
        <v>3053</v>
      </c>
      <c r="B3030" s="2" t="s">
        <v>12459</v>
      </c>
    </row>
    <row r="3031" spans="1:2" x14ac:dyDescent="0.2">
      <c r="A3031" s="8" t="s">
        <v>3054</v>
      </c>
      <c r="B3031" s="2" t="s">
        <v>12459</v>
      </c>
    </row>
    <row r="3032" spans="1:2" x14ac:dyDescent="0.2">
      <c r="A3032" s="8" t="s">
        <v>3055</v>
      </c>
      <c r="B3032" s="2" t="s">
        <v>12459</v>
      </c>
    </row>
    <row r="3033" spans="1:2" x14ac:dyDescent="0.2">
      <c r="A3033" s="8" t="s">
        <v>3056</v>
      </c>
      <c r="B3033" s="2" t="s">
        <v>12459</v>
      </c>
    </row>
    <row r="3034" spans="1:2" x14ac:dyDescent="0.2">
      <c r="A3034" s="8" t="s">
        <v>3057</v>
      </c>
      <c r="B3034" s="2" t="s">
        <v>12459</v>
      </c>
    </row>
    <row r="3035" spans="1:2" x14ac:dyDescent="0.2">
      <c r="A3035" s="8" t="s">
        <v>3058</v>
      </c>
      <c r="B3035" s="2" t="s">
        <v>12459</v>
      </c>
    </row>
    <row r="3036" spans="1:2" x14ac:dyDescent="0.2">
      <c r="A3036" s="8" t="s">
        <v>3059</v>
      </c>
      <c r="B3036" s="2" t="s">
        <v>12459</v>
      </c>
    </row>
    <row r="3037" spans="1:2" x14ac:dyDescent="0.2">
      <c r="A3037" s="8" t="s">
        <v>3060</v>
      </c>
      <c r="B3037" s="2" t="s">
        <v>12459</v>
      </c>
    </row>
    <row r="3038" spans="1:2" x14ac:dyDescent="0.2">
      <c r="A3038" s="8" t="s">
        <v>3061</v>
      </c>
      <c r="B3038" s="2" t="s">
        <v>12459</v>
      </c>
    </row>
    <row r="3039" spans="1:2" x14ac:dyDescent="0.2">
      <c r="A3039" s="8" t="s">
        <v>3062</v>
      </c>
      <c r="B3039" s="2" t="s">
        <v>12459</v>
      </c>
    </row>
    <row r="3040" spans="1:2" x14ac:dyDescent="0.2">
      <c r="A3040" s="8" t="s">
        <v>3063</v>
      </c>
      <c r="B3040" s="2" t="s">
        <v>12459</v>
      </c>
    </row>
    <row r="3041" spans="1:2" x14ac:dyDescent="0.2">
      <c r="A3041" s="8" t="s">
        <v>3064</v>
      </c>
      <c r="B3041" s="2" t="s">
        <v>12460</v>
      </c>
    </row>
    <row r="3042" spans="1:2" x14ac:dyDescent="0.2">
      <c r="A3042" s="8" t="s">
        <v>3065</v>
      </c>
      <c r="B3042" s="2" t="s">
        <v>12460</v>
      </c>
    </row>
    <row r="3043" spans="1:2" x14ac:dyDescent="0.2">
      <c r="A3043" s="8" t="s">
        <v>3066</v>
      </c>
      <c r="B3043" s="2" t="s">
        <v>12460</v>
      </c>
    </row>
    <row r="3044" spans="1:2" x14ac:dyDescent="0.2">
      <c r="A3044" s="8" t="s">
        <v>3067</v>
      </c>
      <c r="B3044" s="2" t="s">
        <v>12460</v>
      </c>
    </row>
    <row r="3045" spans="1:2" x14ac:dyDescent="0.2">
      <c r="A3045" s="8" t="s">
        <v>3068</v>
      </c>
      <c r="B3045" s="2" t="s">
        <v>12460</v>
      </c>
    </row>
    <row r="3046" spans="1:2" x14ac:dyDescent="0.2">
      <c r="A3046" s="8" t="s">
        <v>3069</v>
      </c>
      <c r="B3046" s="2" t="s">
        <v>12460</v>
      </c>
    </row>
    <row r="3047" spans="1:2" x14ac:dyDescent="0.2">
      <c r="A3047" s="8" t="s">
        <v>3070</v>
      </c>
      <c r="B3047" s="2" t="s">
        <v>12460</v>
      </c>
    </row>
    <row r="3048" spans="1:2" x14ac:dyDescent="0.2">
      <c r="A3048" s="8" t="s">
        <v>3071</v>
      </c>
      <c r="B3048" s="2" t="s">
        <v>12460</v>
      </c>
    </row>
    <row r="3049" spans="1:2" x14ac:dyDescent="0.2">
      <c r="A3049" s="8" t="s">
        <v>3072</v>
      </c>
      <c r="B3049" s="2" t="s">
        <v>12460</v>
      </c>
    </row>
    <row r="3050" spans="1:2" x14ac:dyDescent="0.2">
      <c r="A3050" s="8" t="s">
        <v>3073</v>
      </c>
      <c r="B3050" s="2" t="s">
        <v>12460</v>
      </c>
    </row>
    <row r="3051" spans="1:2" x14ac:dyDescent="0.2">
      <c r="A3051" s="8" t="s">
        <v>3074</v>
      </c>
      <c r="B3051" s="2" t="s">
        <v>12460</v>
      </c>
    </row>
    <row r="3052" spans="1:2" x14ac:dyDescent="0.2">
      <c r="A3052" s="8" t="s">
        <v>3075</v>
      </c>
      <c r="B3052" s="2" t="s">
        <v>12460</v>
      </c>
    </row>
    <row r="3053" spans="1:2" x14ac:dyDescent="0.2">
      <c r="A3053" s="8" t="s">
        <v>3076</v>
      </c>
      <c r="B3053" s="2" t="s">
        <v>12460</v>
      </c>
    </row>
    <row r="3054" spans="1:2" x14ac:dyDescent="0.2">
      <c r="A3054" s="8" t="s">
        <v>3077</v>
      </c>
      <c r="B3054" s="2" t="s">
        <v>12460</v>
      </c>
    </row>
    <row r="3055" spans="1:2" x14ac:dyDescent="0.2">
      <c r="A3055" s="8" t="s">
        <v>3078</v>
      </c>
      <c r="B3055" s="2" t="s">
        <v>12460</v>
      </c>
    </row>
    <row r="3056" spans="1:2" x14ac:dyDescent="0.2">
      <c r="A3056" s="8" t="s">
        <v>3079</v>
      </c>
      <c r="B3056" s="2" t="s">
        <v>12460</v>
      </c>
    </row>
    <row r="3057" spans="1:2" x14ac:dyDescent="0.2">
      <c r="A3057" s="8" t="s">
        <v>3080</v>
      </c>
      <c r="B3057" s="2" t="s">
        <v>12460</v>
      </c>
    </row>
    <row r="3058" spans="1:2" x14ac:dyDescent="0.2">
      <c r="A3058" s="8" t="s">
        <v>3081</v>
      </c>
      <c r="B3058" s="2" t="s">
        <v>12460</v>
      </c>
    </row>
    <row r="3059" spans="1:2" x14ac:dyDescent="0.2">
      <c r="A3059" s="8" t="s">
        <v>3082</v>
      </c>
      <c r="B3059" s="2" t="s">
        <v>12460</v>
      </c>
    </row>
    <row r="3060" spans="1:2" x14ac:dyDescent="0.2">
      <c r="A3060" s="8" t="s">
        <v>3083</v>
      </c>
      <c r="B3060" s="2" t="s">
        <v>12460</v>
      </c>
    </row>
    <row r="3061" spans="1:2" x14ac:dyDescent="0.2">
      <c r="A3061" s="8" t="s">
        <v>3084</v>
      </c>
      <c r="B3061" s="2" t="s">
        <v>12460</v>
      </c>
    </row>
    <row r="3062" spans="1:2" x14ac:dyDescent="0.2">
      <c r="A3062" s="8" t="s">
        <v>3085</v>
      </c>
      <c r="B3062" s="2" t="s">
        <v>12460</v>
      </c>
    </row>
    <row r="3063" spans="1:2" x14ac:dyDescent="0.2">
      <c r="A3063" s="8" t="s">
        <v>3086</v>
      </c>
      <c r="B3063" s="2" t="s">
        <v>12460</v>
      </c>
    </row>
    <row r="3064" spans="1:2" x14ac:dyDescent="0.2">
      <c r="A3064" s="8" t="s">
        <v>3087</v>
      </c>
      <c r="B3064" s="2" t="s">
        <v>12460</v>
      </c>
    </row>
    <row r="3065" spans="1:2" x14ac:dyDescent="0.2">
      <c r="A3065" s="8" t="s">
        <v>3088</v>
      </c>
      <c r="B3065" s="2" t="s">
        <v>12460</v>
      </c>
    </row>
    <row r="3066" spans="1:2" x14ac:dyDescent="0.2">
      <c r="A3066" s="8" t="s">
        <v>3089</v>
      </c>
      <c r="B3066" s="2" t="s">
        <v>12460</v>
      </c>
    </row>
    <row r="3067" spans="1:2" x14ac:dyDescent="0.2">
      <c r="A3067" s="8" t="s">
        <v>3090</v>
      </c>
      <c r="B3067" s="2" t="s">
        <v>12460</v>
      </c>
    </row>
    <row r="3068" spans="1:2" x14ac:dyDescent="0.2">
      <c r="A3068" s="8" t="s">
        <v>3091</v>
      </c>
      <c r="B3068" s="2" t="s">
        <v>12460</v>
      </c>
    </row>
    <row r="3069" spans="1:2" x14ac:dyDescent="0.2">
      <c r="A3069" s="8" t="s">
        <v>3092</v>
      </c>
      <c r="B3069" s="2" t="s">
        <v>12460</v>
      </c>
    </row>
    <row r="3070" spans="1:2" x14ac:dyDescent="0.2">
      <c r="A3070" s="8" t="s">
        <v>3093</v>
      </c>
      <c r="B3070" s="2" t="s">
        <v>12460</v>
      </c>
    </row>
    <row r="3071" spans="1:2" x14ac:dyDescent="0.2">
      <c r="A3071" s="8" t="s">
        <v>3094</v>
      </c>
      <c r="B3071" s="2" t="s">
        <v>12460</v>
      </c>
    </row>
    <row r="3072" spans="1:2" x14ac:dyDescent="0.2">
      <c r="A3072" s="8" t="s">
        <v>3095</v>
      </c>
      <c r="B3072" s="2" t="s">
        <v>12460</v>
      </c>
    </row>
    <row r="3073" spans="1:2" x14ac:dyDescent="0.2">
      <c r="A3073" s="8" t="s">
        <v>3096</v>
      </c>
      <c r="B3073" s="2" t="s">
        <v>12460</v>
      </c>
    </row>
    <row r="3074" spans="1:2" x14ac:dyDescent="0.2">
      <c r="A3074" s="8" t="s">
        <v>3097</v>
      </c>
      <c r="B3074" s="2" t="s">
        <v>12460</v>
      </c>
    </row>
    <row r="3075" spans="1:2" x14ac:dyDescent="0.2">
      <c r="A3075" s="8" t="s">
        <v>3098</v>
      </c>
      <c r="B3075" s="2" t="s">
        <v>12460</v>
      </c>
    </row>
    <row r="3076" spans="1:2" x14ac:dyDescent="0.2">
      <c r="A3076" s="8" t="s">
        <v>3099</v>
      </c>
      <c r="B3076" s="2" t="s">
        <v>12460</v>
      </c>
    </row>
    <row r="3077" spans="1:2" x14ac:dyDescent="0.2">
      <c r="A3077" s="8" t="s">
        <v>3100</v>
      </c>
      <c r="B3077" s="2" t="s">
        <v>12460</v>
      </c>
    </row>
    <row r="3078" spans="1:2" x14ac:dyDescent="0.2">
      <c r="A3078" s="8" t="s">
        <v>3101</v>
      </c>
      <c r="B3078" s="2" t="s">
        <v>12460</v>
      </c>
    </row>
    <row r="3079" spans="1:2" x14ac:dyDescent="0.2">
      <c r="A3079" s="8" t="s">
        <v>3102</v>
      </c>
      <c r="B3079" s="2" t="s">
        <v>12460</v>
      </c>
    </row>
    <row r="3080" spans="1:2" x14ac:dyDescent="0.2">
      <c r="A3080" s="8" t="s">
        <v>3103</v>
      </c>
      <c r="B3080" s="2" t="s">
        <v>12460</v>
      </c>
    </row>
    <row r="3081" spans="1:2" x14ac:dyDescent="0.2">
      <c r="A3081" s="8" t="s">
        <v>3104</v>
      </c>
      <c r="B3081" s="2" t="s">
        <v>12460</v>
      </c>
    </row>
    <row r="3082" spans="1:2" x14ac:dyDescent="0.2">
      <c r="A3082" s="8" t="s">
        <v>3105</v>
      </c>
      <c r="B3082" s="2" t="s">
        <v>12460</v>
      </c>
    </row>
    <row r="3083" spans="1:2" x14ac:dyDescent="0.2">
      <c r="A3083" s="8" t="s">
        <v>3106</v>
      </c>
      <c r="B3083" s="2" t="s">
        <v>12460</v>
      </c>
    </row>
    <row r="3084" spans="1:2" x14ac:dyDescent="0.2">
      <c r="A3084" s="8" t="s">
        <v>3107</v>
      </c>
      <c r="B3084" s="2" t="s">
        <v>12460</v>
      </c>
    </row>
    <row r="3085" spans="1:2" x14ac:dyDescent="0.2">
      <c r="A3085" s="8" t="s">
        <v>3108</v>
      </c>
      <c r="B3085" s="2" t="s">
        <v>12460</v>
      </c>
    </row>
    <row r="3086" spans="1:2" x14ac:dyDescent="0.2">
      <c r="A3086" s="8" t="s">
        <v>3109</v>
      </c>
      <c r="B3086" s="2" t="s">
        <v>12460</v>
      </c>
    </row>
    <row r="3087" spans="1:2" x14ac:dyDescent="0.2">
      <c r="A3087" s="8" t="s">
        <v>3110</v>
      </c>
      <c r="B3087" s="2" t="s">
        <v>12460</v>
      </c>
    </row>
    <row r="3088" spans="1:2" x14ac:dyDescent="0.2">
      <c r="A3088" s="8" t="s">
        <v>3111</v>
      </c>
      <c r="B3088" s="2" t="s">
        <v>12460</v>
      </c>
    </row>
    <row r="3089" spans="1:2" x14ac:dyDescent="0.2">
      <c r="A3089" s="8" t="s">
        <v>3112</v>
      </c>
      <c r="B3089" s="2" t="s">
        <v>12460</v>
      </c>
    </row>
    <row r="3090" spans="1:2" x14ac:dyDescent="0.2">
      <c r="A3090" s="8" t="s">
        <v>3113</v>
      </c>
      <c r="B3090" s="2" t="s">
        <v>12460</v>
      </c>
    </row>
    <row r="3091" spans="1:2" x14ac:dyDescent="0.2">
      <c r="A3091" s="8" t="s">
        <v>3114</v>
      </c>
      <c r="B3091" s="2" t="s">
        <v>12460</v>
      </c>
    </row>
    <row r="3092" spans="1:2" x14ac:dyDescent="0.2">
      <c r="A3092" s="8" t="s">
        <v>3115</v>
      </c>
      <c r="B3092" s="2" t="s">
        <v>12460</v>
      </c>
    </row>
    <row r="3093" spans="1:2" x14ac:dyDescent="0.2">
      <c r="A3093" s="8" t="s">
        <v>3116</v>
      </c>
      <c r="B3093" s="2" t="s">
        <v>12460</v>
      </c>
    </row>
    <row r="3094" spans="1:2" x14ac:dyDescent="0.2">
      <c r="A3094" s="8" t="s">
        <v>3117</v>
      </c>
      <c r="B3094" s="2" t="s">
        <v>12460</v>
      </c>
    </row>
    <row r="3095" spans="1:2" x14ac:dyDescent="0.2">
      <c r="A3095" s="8" t="s">
        <v>3118</v>
      </c>
      <c r="B3095" s="2" t="s">
        <v>12460</v>
      </c>
    </row>
    <row r="3096" spans="1:2" x14ac:dyDescent="0.2">
      <c r="A3096" s="8" t="s">
        <v>3119</v>
      </c>
      <c r="B3096" s="2" t="s">
        <v>12460</v>
      </c>
    </row>
    <row r="3097" spans="1:2" x14ac:dyDescent="0.2">
      <c r="A3097" s="8" t="s">
        <v>3120</v>
      </c>
      <c r="B3097" s="2" t="s">
        <v>12460</v>
      </c>
    </row>
    <row r="3098" spans="1:2" x14ac:dyDescent="0.2">
      <c r="A3098" s="8" t="s">
        <v>3121</v>
      </c>
      <c r="B3098" s="2" t="s">
        <v>12460</v>
      </c>
    </row>
    <row r="3099" spans="1:2" x14ac:dyDescent="0.2">
      <c r="A3099" s="8" t="s">
        <v>3122</v>
      </c>
      <c r="B3099" s="2" t="s">
        <v>12460</v>
      </c>
    </row>
    <row r="3100" spans="1:2" x14ac:dyDescent="0.2">
      <c r="A3100" s="8" t="s">
        <v>3123</v>
      </c>
      <c r="B3100" s="2" t="s">
        <v>12460</v>
      </c>
    </row>
    <row r="3101" spans="1:2" x14ac:dyDescent="0.2">
      <c r="A3101" s="8" t="s">
        <v>3124</v>
      </c>
      <c r="B3101" s="2" t="s">
        <v>12460</v>
      </c>
    </row>
    <row r="3102" spans="1:2" x14ac:dyDescent="0.2">
      <c r="A3102" s="8" t="s">
        <v>3125</v>
      </c>
      <c r="B3102" s="2" t="s">
        <v>12460</v>
      </c>
    </row>
    <row r="3103" spans="1:2" x14ac:dyDescent="0.2">
      <c r="A3103" s="8" t="s">
        <v>3126</v>
      </c>
      <c r="B3103" s="2" t="s">
        <v>12460</v>
      </c>
    </row>
    <row r="3104" spans="1:2" x14ac:dyDescent="0.2">
      <c r="A3104" s="8" t="s">
        <v>3127</v>
      </c>
      <c r="B3104" s="2" t="s">
        <v>12460</v>
      </c>
    </row>
    <row r="3105" spans="1:2" x14ac:dyDescent="0.2">
      <c r="A3105" s="8" t="s">
        <v>3128</v>
      </c>
      <c r="B3105" s="2" t="s">
        <v>12460</v>
      </c>
    </row>
    <row r="3106" spans="1:2" x14ac:dyDescent="0.2">
      <c r="A3106" s="8" t="s">
        <v>3129</v>
      </c>
      <c r="B3106" s="2" t="s">
        <v>12460</v>
      </c>
    </row>
    <row r="3107" spans="1:2" x14ac:dyDescent="0.2">
      <c r="A3107" s="8" t="s">
        <v>3130</v>
      </c>
      <c r="B3107" s="2" t="s">
        <v>12460</v>
      </c>
    </row>
    <row r="3108" spans="1:2" x14ac:dyDescent="0.2">
      <c r="A3108" s="8" t="s">
        <v>3131</v>
      </c>
      <c r="B3108" s="2" t="s">
        <v>12460</v>
      </c>
    </row>
    <row r="3109" spans="1:2" x14ac:dyDescent="0.2">
      <c r="A3109" s="8" t="s">
        <v>3132</v>
      </c>
      <c r="B3109" s="2" t="s">
        <v>12460</v>
      </c>
    </row>
    <row r="3110" spans="1:2" x14ac:dyDescent="0.2">
      <c r="A3110" s="8" t="s">
        <v>3133</v>
      </c>
      <c r="B3110" s="2" t="s">
        <v>12460</v>
      </c>
    </row>
    <row r="3111" spans="1:2" x14ac:dyDescent="0.2">
      <c r="A3111" s="8" t="s">
        <v>3134</v>
      </c>
      <c r="B3111" s="2" t="s">
        <v>12460</v>
      </c>
    </row>
    <row r="3112" spans="1:2" x14ac:dyDescent="0.2">
      <c r="A3112" s="8" t="s">
        <v>3135</v>
      </c>
      <c r="B3112" s="2" t="s">
        <v>12460</v>
      </c>
    </row>
    <row r="3113" spans="1:2" x14ac:dyDescent="0.2">
      <c r="A3113" s="8" t="s">
        <v>3136</v>
      </c>
      <c r="B3113" s="2" t="s">
        <v>12460</v>
      </c>
    </row>
    <row r="3114" spans="1:2" x14ac:dyDescent="0.2">
      <c r="A3114" s="8" t="s">
        <v>3137</v>
      </c>
      <c r="B3114" s="2" t="s">
        <v>12460</v>
      </c>
    </row>
    <row r="3115" spans="1:2" x14ac:dyDescent="0.2">
      <c r="A3115" s="8" t="s">
        <v>3138</v>
      </c>
      <c r="B3115" s="2" t="s">
        <v>12460</v>
      </c>
    </row>
    <row r="3116" spans="1:2" x14ac:dyDescent="0.2">
      <c r="A3116" s="8" t="s">
        <v>3139</v>
      </c>
      <c r="B3116" s="2" t="s">
        <v>12460</v>
      </c>
    </row>
    <row r="3117" spans="1:2" x14ac:dyDescent="0.2">
      <c r="A3117" s="8" t="s">
        <v>3140</v>
      </c>
      <c r="B3117" s="2" t="s">
        <v>12460</v>
      </c>
    </row>
    <row r="3118" spans="1:2" x14ac:dyDescent="0.2">
      <c r="A3118" s="8" t="s">
        <v>3141</v>
      </c>
      <c r="B3118" s="2" t="s">
        <v>12460</v>
      </c>
    </row>
    <row r="3119" spans="1:2" x14ac:dyDescent="0.2">
      <c r="A3119" s="8" t="s">
        <v>3142</v>
      </c>
      <c r="B3119" s="2" t="s">
        <v>12460</v>
      </c>
    </row>
    <row r="3120" spans="1:2" x14ac:dyDescent="0.2">
      <c r="A3120" s="8" t="s">
        <v>3143</v>
      </c>
      <c r="B3120" s="2" t="s">
        <v>12460</v>
      </c>
    </row>
    <row r="3121" spans="1:2" x14ac:dyDescent="0.2">
      <c r="A3121" s="8" t="s">
        <v>3144</v>
      </c>
      <c r="B3121" s="2" t="s">
        <v>12460</v>
      </c>
    </row>
    <row r="3122" spans="1:2" x14ac:dyDescent="0.2">
      <c r="A3122" s="8" t="s">
        <v>3145</v>
      </c>
      <c r="B3122" s="2" t="s">
        <v>12460</v>
      </c>
    </row>
    <row r="3123" spans="1:2" x14ac:dyDescent="0.2">
      <c r="A3123" s="8" t="s">
        <v>3146</v>
      </c>
      <c r="B3123" s="2" t="s">
        <v>12460</v>
      </c>
    </row>
    <row r="3124" spans="1:2" x14ac:dyDescent="0.2">
      <c r="A3124" s="8" t="s">
        <v>3147</v>
      </c>
      <c r="B3124" s="2" t="s">
        <v>12460</v>
      </c>
    </row>
    <row r="3125" spans="1:2" x14ac:dyDescent="0.2">
      <c r="A3125" s="8" t="s">
        <v>3148</v>
      </c>
      <c r="B3125" s="2" t="s">
        <v>12460</v>
      </c>
    </row>
    <row r="3126" spans="1:2" x14ac:dyDescent="0.2">
      <c r="A3126" s="8" t="s">
        <v>3149</v>
      </c>
      <c r="B3126" s="2" t="s">
        <v>12460</v>
      </c>
    </row>
    <row r="3127" spans="1:2" x14ac:dyDescent="0.2">
      <c r="A3127" s="8" t="s">
        <v>3150</v>
      </c>
      <c r="B3127" s="2" t="s">
        <v>12460</v>
      </c>
    </row>
    <row r="3128" spans="1:2" x14ac:dyDescent="0.2">
      <c r="A3128" s="8" t="s">
        <v>3151</v>
      </c>
      <c r="B3128" s="2" t="s">
        <v>12460</v>
      </c>
    </row>
    <row r="3129" spans="1:2" x14ac:dyDescent="0.2">
      <c r="A3129" s="8" t="s">
        <v>3152</v>
      </c>
      <c r="B3129" s="2" t="s">
        <v>12460</v>
      </c>
    </row>
    <row r="3130" spans="1:2" x14ac:dyDescent="0.2">
      <c r="A3130" s="8" t="s">
        <v>3153</v>
      </c>
      <c r="B3130" s="2" t="s">
        <v>12460</v>
      </c>
    </row>
    <row r="3131" spans="1:2" x14ac:dyDescent="0.2">
      <c r="A3131" s="8" t="s">
        <v>3154</v>
      </c>
      <c r="B3131" s="2" t="s">
        <v>12460</v>
      </c>
    </row>
    <row r="3132" spans="1:2" x14ac:dyDescent="0.2">
      <c r="A3132" s="8" t="s">
        <v>3155</v>
      </c>
      <c r="B3132" s="2" t="s">
        <v>12460</v>
      </c>
    </row>
    <row r="3133" spans="1:2" x14ac:dyDescent="0.2">
      <c r="A3133" s="8" t="s">
        <v>3156</v>
      </c>
      <c r="B3133" s="2" t="s">
        <v>12460</v>
      </c>
    </row>
    <row r="3134" spans="1:2" x14ac:dyDescent="0.2">
      <c r="A3134" s="8" t="s">
        <v>3157</v>
      </c>
      <c r="B3134" s="2" t="s">
        <v>12460</v>
      </c>
    </row>
    <row r="3135" spans="1:2" x14ac:dyDescent="0.2">
      <c r="A3135" s="8" t="s">
        <v>3158</v>
      </c>
      <c r="B3135" s="2" t="s">
        <v>12460</v>
      </c>
    </row>
    <row r="3136" spans="1:2" x14ac:dyDescent="0.2">
      <c r="A3136" s="8" t="s">
        <v>3159</v>
      </c>
      <c r="B3136" s="2" t="s">
        <v>12460</v>
      </c>
    </row>
    <row r="3137" spans="1:2" x14ac:dyDescent="0.2">
      <c r="A3137" s="8" t="s">
        <v>3160</v>
      </c>
      <c r="B3137" s="2" t="s">
        <v>12460</v>
      </c>
    </row>
    <row r="3138" spans="1:2" x14ac:dyDescent="0.2">
      <c r="A3138" s="8" t="s">
        <v>3161</v>
      </c>
      <c r="B3138" s="2" t="s">
        <v>12460</v>
      </c>
    </row>
    <row r="3139" spans="1:2" x14ac:dyDescent="0.2">
      <c r="A3139" s="8" t="s">
        <v>3162</v>
      </c>
      <c r="B3139" s="2" t="s">
        <v>12460</v>
      </c>
    </row>
    <row r="3140" spans="1:2" x14ac:dyDescent="0.2">
      <c r="A3140" s="8" t="s">
        <v>3163</v>
      </c>
      <c r="B3140" s="2" t="s">
        <v>12460</v>
      </c>
    </row>
    <row r="3141" spans="1:2" x14ac:dyDescent="0.2">
      <c r="A3141" s="8" t="s">
        <v>3164</v>
      </c>
      <c r="B3141" s="2" t="s">
        <v>12460</v>
      </c>
    </row>
    <row r="3142" spans="1:2" x14ac:dyDescent="0.2">
      <c r="A3142" s="8" t="s">
        <v>3165</v>
      </c>
      <c r="B3142" s="2" t="s">
        <v>12460</v>
      </c>
    </row>
    <row r="3143" spans="1:2" x14ac:dyDescent="0.2">
      <c r="A3143" s="8" t="s">
        <v>3166</v>
      </c>
      <c r="B3143" s="2" t="s">
        <v>12460</v>
      </c>
    </row>
    <row r="3144" spans="1:2" x14ac:dyDescent="0.2">
      <c r="A3144" s="8" t="s">
        <v>3167</v>
      </c>
      <c r="B3144" s="2" t="s">
        <v>12460</v>
      </c>
    </row>
    <row r="3145" spans="1:2" x14ac:dyDescent="0.2">
      <c r="A3145" s="8" t="s">
        <v>3168</v>
      </c>
      <c r="B3145" s="2" t="s">
        <v>12460</v>
      </c>
    </row>
    <row r="3146" spans="1:2" x14ac:dyDescent="0.2">
      <c r="A3146" s="8" t="s">
        <v>3169</v>
      </c>
      <c r="B3146" s="2" t="s">
        <v>12460</v>
      </c>
    </row>
    <row r="3147" spans="1:2" x14ac:dyDescent="0.2">
      <c r="A3147" s="8" t="s">
        <v>3170</v>
      </c>
      <c r="B3147" s="2" t="s">
        <v>12460</v>
      </c>
    </row>
    <row r="3148" spans="1:2" x14ac:dyDescent="0.2">
      <c r="A3148" s="8" t="s">
        <v>3171</v>
      </c>
      <c r="B3148" s="2" t="s">
        <v>12460</v>
      </c>
    </row>
    <row r="3149" spans="1:2" x14ac:dyDescent="0.2">
      <c r="A3149" s="8" t="s">
        <v>3172</v>
      </c>
      <c r="B3149" s="2" t="s">
        <v>12460</v>
      </c>
    </row>
    <row r="3150" spans="1:2" x14ac:dyDescent="0.2">
      <c r="A3150" s="8" t="s">
        <v>3173</v>
      </c>
      <c r="B3150" s="2" t="s">
        <v>12460</v>
      </c>
    </row>
    <row r="3151" spans="1:2" x14ac:dyDescent="0.2">
      <c r="A3151" s="8" t="s">
        <v>3174</v>
      </c>
      <c r="B3151" s="2" t="s">
        <v>12460</v>
      </c>
    </row>
    <row r="3152" spans="1:2" x14ac:dyDescent="0.2">
      <c r="A3152" s="8" t="s">
        <v>3175</v>
      </c>
      <c r="B3152" s="2" t="s">
        <v>12460</v>
      </c>
    </row>
    <row r="3153" spans="1:2" x14ac:dyDescent="0.2">
      <c r="A3153" s="8" t="s">
        <v>3176</v>
      </c>
      <c r="B3153" s="2" t="s">
        <v>12460</v>
      </c>
    </row>
    <row r="3154" spans="1:2" x14ac:dyDescent="0.2">
      <c r="A3154" s="8" t="s">
        <v>3177</v>
      </c>
      <c r="B3154" s="2" t="s">
        <v>12461</v>
      </c>
    </row>
    <row r="3155" spans="1:2" x14ac:dyDescent="0.2">
      <c r="A3155" s="8" t="s">
        <v>3178</v>
      </c>
      <c r="B3155" s="2" t="s">
        <v>12461</v>
      </c>
    </row>
    <row r="3156" spans="1:2" x14ac:dyDescent="0.2">
      <c r="A3156" s="8" t="s">
        <v>3179</v>
      </c>
      <c r="B3156" s="2" t="s">
        <v>12461</v>
      </c>
    </row>
    <row r="3157" spans="1:2" x14ac:dyDescent="0.2">
      <c r="A3157" s="8" t="s">
        <v>3180</v>
      </c>
      <c r="B3157" s="2" t="s">
        <v>12461</v>
      </c>
    </row>
    <row r="3158" spans="1:2" x14ac:dyDescent="0.2">
      <c r="A3158" s="8" t="s">
        <v>3181</v>
      </c>
      <c r="B3158" s="2" t="s">
        <v>12461</v>
      </c>
    </row>
    <row r="3159" spans="1:2" x14ac:dyDescent="0.2">
      <c r="A3159" s="8" t="s">
        <v>3182</v>
      </c>
      <c r="B3159" s="2" t="s">
        <v>12461</v>
      </c>
    </row>
    <row r="3160" spans="1:2" x14ac:dyDescent="0.2">
      <c r="A3160" s="8" t="s">
        <v>3183</v>
      </c>
      <c r="B3160" s="2" t="s">
        <v>12461</v>
      </c>
    </row>
    <row r="3161" spans="1:2" x14ac:dyDescent="0.2">
      <c r="A3161" s="8" t="s">
        <v>3184</v>
      </c>
      <c r="B3161" s="2" t="s">
        <v>12461</v>
      </c>
    </row>
    <row r="3162" spans="1:2" x14ac:dyDescent="0.2">
      <c r="A3162" s="8" t="s">
        <v>3185</v>
      </c>
      <c r="B3162" s="2" t="s">
        <v>12461</v>
      </c>
    </row>
    <row r="3163" spans="1:2" x14ac:dyDescent="0.2">
      <c r="A3163" s="8" t="s">
        <v>3186</v>
      </c>
      <c r="B3163" s="2" t="s">
        <v>12461</v>
      </c>
    </row>
    <row r="3164" spans="1:2" x14ac:dyDescent="0.2">
      <c r="A3164" s="8" t="s">
        <v>3187</v>
      </c>
      <c r="B3164" s="2" t="s">
        <v>12461</v>
      </c>
    </row>
    <row r="3165" spans="1:2" x14ac:dyDescent="0.2">
      <c r="A3165" s="8" t="s">
        <v>3188</v>
      </c>
      <c r="B3165" s="2" t="s">
        <v>12461</v>
      </c>
    </row>
    <row r="3166" spans="1:2" x14ac:dyDescent="0.2">
      <c r="A3166" s="8" t="s">
        <v>3189</v>
      </c>
      <c r="B3166" s="2" t="s">
        <v>12461</v>
      </c>
    </row>
    <row r="3167" spans="1:2" x14ac:dyDescent="0.2">
      <c r="A3167" s="8" t="s">
        <v>3190</v>
      </c>
      <c r="B3167" s="2" t="s">
        <v>12461</v>
      </c>
    </row>
    <row r="3168" spans="1:2" x14ac:dyDescent="0.2">
      <c r="A3168" s="8" t="s">
        <v>3191</v>
      </c>
      <c r="B3168" s="2" t="s">
        <v>12461</v>
      </c>
    </row>
    <row r="3169" spans="1:2" x14ac:dyDescent="0.2">
      <c r="A3169" s="8" t="s">
        <v>3192</v>
      </c>
      <c r="B3169" s="2" t="s">
        <v>12461</v>
      </c>
    </row>
    <row r="3170" spans="1:2" x14ac:dyDescent="0.2">
      <c r="A3170" s="8" t="s">
        <v>3193</v>
      </c>
      <c r="B3170" s="2" t="s">
        <v>12461</v>
      </c>
    </row>
    <row r="3171" spans="1:2" x14ac:dyDescent="0.2">
      <c r="A3171" s="8" t="s">
        <v>3194</v>
      </c>
      <c r="B3171" s="2" t="s">
        <v>12461</v>
      </c>
    </row>
    <row r="3172" spans="1:2" x14ac:dyDescent="0.2">
      <c r="A3172" s="8" t="s">
        <v>3195</v>
      </c>
      <c r="B3172" s="2" t="s">
        <v>12461</v>
      </c>
    </row>
    <row r="3173" spans="1:2" x14ac:dyDescent="0.2">
      <c r="A3173" s="8" t="s">
        <v>3196</v>
      </c>
      <c r="B3173" s="2" t="s">
        <v>12461</v>
      </c>
    </row>
    <row r="3174" spans="1:2" x14ac:dyDescent="0.2">
      <c r="A3174" s="8" t="s">
        <v>3197</v>
      </c>
      <c r="B3174" s="2" t="s">
        <v>12461</v>
      </c>
    </row>
    <row r="3175" spans="1:2" x14ac:dyDescent="0.2">
      <c r="A3175" s="8" t="s">
        <v>3198</v>
      </c>
      <c r="B3175" s="2" t="s">
        <v>12461</v>
      </c>
    </row>
    <row r="3176" spans="1:2" x14ac:dyDescent="0.2">
      <c r="A3176" s="8" t="s">
        <v>3199</v>
      </c>
      <c r="B3176" s="2" t="s">
        <v>12461</v>
      </c>
    </row>
    <row r="3177" spans="1:2" x14ac:dyDescent="0.2">
      <c r="A3177" s="8" t="s">
        <v>3200</v>
      </c>
      <c r="B3177" s="2" t="s">
        <v>12461</v>
      </c>
    </row>
    <row r="3178" spans="1:2" x14ac:dyDescent="0.2">
      <c r="A3178" s="8" t="s">
        <v>3201</v>
      </c>
      <c r="B3178" s="2" t="s">
        <v>12461</v>
      </c>
    </row>
    <row r="3179" spans="1:2" x14ac:dyDescent="0.2">
      <c r="A3179" s="8" t="s">
        <v>3202</v>
      </c>
      <c r="B3179" s="2" t="s">
        <v>12461</v>
      </c>
    </row>
    <row r="3180" spans="1:2" x14ac:dyDescent="0.2">
      <c r="A3180" s="8" t="s">
        <v>3203</v>
      </c>
      <c r="B3180" s="2" t="s">
        <v>12461</v>
      </c>
    </row>
    <row r="3181" spans="1:2" x14ac:dyDescent="0.2">
      <c r="A3181" s="8" t="s">
        <v>3204</v>
      </c>
      <c r="B3181" s="2" t="s">
        <v>12461</v>
      </c>
    </row>
    <row r="3182" spans="1:2" x14ac:dyDescent="0.2">
      <c r="A3182" s="8" t="s">
        <v>3205</v>
      </c>
      <c r="B3182" s="2" t="s">
        <v>12461</v>
      </c>
    </row>
    <row r="3183" spans="1:2" x14ac:dyDescent="0.2">
      <c r="A3183" s="8" t="s">
        <v>3206</v>
      </c>
      <c r="B3183" s="2" t="s">
        <v>12461</v>
      </c>
    </row>
    <row r="3184" spans="1:2" x14ac:dyDescent="0.2">
      <c r="A3184" s="8" t="s">
        <v>3207</v>
      </c>
      <c r="B3184" s="2" t="s">
        <v>12461</v>
      </c>
    </row>
    <row r="3185" spans="1:2" x14ac:dyDescent="0.2">
      <c r="A3185" s="8" t="s">
        <v>3208</v>
      </c>
      <c r="B3185" s="2" t="s">
        <v>12461</v>
      </c>
    </row>
    <row r="3186" spans="1:2" x14ac:dyDescent="0.2">
      <c r="A3186" s="8" t="s">
        <v>3209</v>
      </c>
      <c r="B3186" s="2" t="s">
        <v>12461</v>
      </c>
    </row>
    <row r="3187" spans="1:2" x14ac:dyDescent="0.2">
      <c r="A3187" s="8" t="s">
        <v>3210</v>
      </c>
      <c r="B3187" s="2" t="s">
        <v>12461</v>
      </c>
    </row>
    <row r="3188" spans="1:2" x14ac:dyDescent="0.2">
      <c r="A3188" s="8" t="s">
        <v>3211</v>
      </c>
      <c r="B3188" s="2" t="s">
        <v>12461</v>
      </c>
    </row>
    <row r="3189" spans="1:2" x14ac:dyDescent="0.2">
      <c r="A3189" s="8" t="s">
        <v>3212</v>
      </c>
      <c r="B3189" s="2" t="s">
        <v>12461</v>
      </c>
    </row>
    <row r="3190" spans="1:2" x14ac:dyDescent="0.2">
      <c r="A3190" s="8" t="s">
        <v>3213</v>
      </c>
      <c r="B3190" s="2" t="s">
        <v>12461</v>
      </c>
    </row>
    <row r="3191" spans="1:2" x14ac:dyDescent="0.2">
      <c r="A3191" s="8" t="s">
        <v>3214</v>
      </c>
      <c r="B3191" s="2" t="s">
        <v>12461</v>
      </c>
    </row>
    <row r="3192" spans="1:2" x14ac:dyDescent="0.2">
      <c r="A3192" s="8" t="s">
        <v>3215</v>
      </c>
      <c r="B3192" s="2" t="s">
        <v>12461</v>
      </c>
    </row>
    <row r="3193" spans="1:2" x14ac:dyDescent="0.2">
      <c r="A3193" s="8" t="s">
        <v>3216</v>
      </c>
      <c r="B3193" s="2" t="s">
        <v>12461</v>
      </c>
    </row>
    <row r="3194" spans="1:2" x14ac:dyDescent="0.2">
      <c r="A3194" s="8" t="s">
        <v>3217</v>
      </c>
      <c r="B3194" s="2" t="s">
        <v>12461</v>
      </c>
    </row>
    <row r="3195" spans="1:2" x14ac:dyDescent="0.2">
      <c r="A3195" s="8" t="s">
        <v>3218</v>
      </c>
      <c r="B3195" s="2" t="s">
        <v>12461</v>
      </c>
    </row>
    <row r="3196" spans="1:2" x14ac:dyDescent="0.2">
      <c r="A3196" s="8" t="s">
        <v>3219</v>
      </c>
      <c r="B3196" s="2" t="s">
        <v>12461</v>
      </c>
    </row>
    <row r="3197" spans="1:2" x14ac:dyDescent="0.2">
      <c r="A3197" s="8" t="s">
        <v>3220</v>
      </c>
      <c r="B3197" s="2" t="s">
        <v>12461</v>
      </c>
    </row>
    <row r="3198" spans="1:2" x14ac:dyDescent="0.2">
      <c r="A3198" s="8" t="s">
        <v>3221</v>
      </c>
      <c r="B3198" s="2" t="s">
        <v>12461</v>
      </c>
    </row>
    <row r="3199" spans="1:2" x14ac:dyDescent="0.2">
      <c r="A3199" s="8" t="s">
        <v>3222</v>
      </c>
      <c r="B3199" s="2" t="s">
        <v>12461</v>
      </c>
    </row>
    <row r="3200" spans="1:2" x14ac:dyDescent="0.2">
      <c r="A3200" s="8" t="s">
        <v>3223</v>
      </c>
      <c r="B3200" s="2" t="s">
        <v>12461</v>
      </c>
    </row>
    <row r="3201" spans="1:2" x14ac:dyDescent="0.2">
      <c r="A3201" s="8" t="s">
        <v>3224</v>
      </c>
      <c r="B3201" s="2" t="s">
        <v>12461</v>
      </c>
    </row>
    <row r="3202" spans="1:2" x14ac:dyDescent="0.2">
      <c r="A3202" s="8" t="s">
        <v>3225</v>
      </c>
      <c r="B3202" s="2" t="s">
        <v>12461</v>
      </c>
    </row>
    <row r="3203" spans="1:2" x14ac:dyDescent="0.2">
      <c r="A3203" s="8" t="s">
        <v>3226</v>
      </c>
      <c r="B3203" s="2" t="s">
        <v>12461</v>
      </c>
    </row>
    <row r="3204" spans="1:2" x14ac:dyDescent="0.2">
      <c r="A3204" s="8" t="s">
        <v>3227</v>
      </c>
      <c r="B3204" s="2" t="s">
        <v>12461</v>
      </c>
    </row>
    <row r="3205" spans="1:2" x14ac:dyDescent="0.2">
      <c r="A3205" s="8" t="s">
        <v>3228</v>
      </c>
      <c r="B3205" s="2" t="s">
        <v>12461</v>
      </c>
    </row>
    <row r="3206" spans="1:2" x14ac:dyDescent="0.2">
      <c r="A3206" s="8" t="s">
        <v>3229</v>
      </c>
      <c r="B3206" s="2" t="s">
        <v>12461</v>
      </c>
    </row>
    <row r="3207" spans="1:2" x14ac:dyDescent="0.2">
      <c r="A3207" s="8" t="s">
        <v>3230</v>
      </c>
      <c r="B3207" s="2" t="s">
        <v>12461</v>
      </c>
    </row>
    <row r="3208" spans="1:2" x14ac:dyDescent="0.2">
      <c r="A3208" s="8" t="s">
        <v>3231</v>
      </c>
      <c r="B3208" s="2" t="s">
        <v>12461</v>
      </c>
    </row>
    <row r="3209" spans="1:2" x14ac:dyDescent="0.2">
      <c r="A3209" s="8" t="s">
        <v>3232</v>
      </c>
      <c r="B3209" s="2" t="s">
        <v>12461</v>
      </c>
    </row>
    <row r="3210" spans="1:2" x14ac:dyDescent="0.2">
      <c r="A3210" s="8" t="s">
        <v>3233</v>
      </c>
      <c r="B3210" s="2" t="s">
        <v>12461</v>
      </c>
    </row>
    <row r="3211" spans="1:2" x14ac:dyDescent="0.2">
      <c r="A3211" s="8" t="s">
        <v>3234</v>
      </c>
      <c r="B3211" s="2" t="s">
        <v>12461</v>
      </c>
    </row>
    <row r="3212" spans="1:2" x14ac:dyDescent="0.2">
      <c r="A3212" s="8" t="s">
        <v>3235</v>
      </c>
      <c r="B3212" s="2" t="s">
        <v>12461</v>
      </c>
    </row>
    <row r="3213" spans="1:2" x14ac:dyDescent="0.2">
      <c r="A3213" s="8" t="s">
        <v>3236</v>
      </c>
      <c r="B3213" s="2" t="s">
        <v>12461</v>
      </c>
    </row>
    <row r="3214" spans="1:2" x14ac:dyDescent="0.2">
      <c r="A3214" s="8" t="s">
        <v>3237</v>
      </c>
      <c r="B3214" s="2" t="s">
        <v>12461</v>
      </c>
    </row>
    <row r="3215" spans="1:2" x14ac:dyDescent="0.2">
      <c r="A3215" s="8" t="s">
        <v>3238</v>
      </c>
      <c r="B3215" s="2" t="s">
        <v>12461</v>
      </c>
    </row>
    <row r="3216" spans="1:2" x14ac:dyDescent="0.2">
      <c r="A3216" s="8" t="s">
        <v>3239</v>
      </c>
      <c r="B3216" s="2" t="s">
        <v>12461</v>
      </c>
    </row>
    <row r="3217" spans="1:2" x14ac:dyDescent="0.2">
      <c r="A3217" s="8" t="s">
        <v>3240</v>
      </c>
      <c r="B3217" s="2" t="s">
        <v>12461</v>
      </c>
    </row>
    <row r="3218" spans="1:2" x14ac:dyDescent="0.2">
      <c r="A3218" s="8" t="s">
        <v>3241</v>
      </c>
      <c r="B3218" s="2" t="s">
        <v>12461</v>
      </c>
    </row>
    <row r="3219" spans="1:2" x14ac:dyDescent="0.2">
      <c r="A3219" s="8" t="s">
        <v>3242</v>
      </c>
      <c r="B3219" s="2" t="s">
        <v>12461</v>
      </c>
    </row>
    <row r="3220" spans="1:2" x14ac:dyDescent="0.2">
      <c r="A3220" s="8" t="s">
        <v>3243</v>
      </c>
      <c r="B3220" s="2" t="s">
        <v>12461</v>
      </c>
    </row>
    <row r="3221" spans="1:2" x14ac:dyDescent="0.2">
      <c r="A3221" s="8" t="s">
        <v>3244</v>
      </c>
      <c r="B3221" s="2" t="s">
        <v>12461</v>
      </c>
    </row>
    <row r="3222" spans="1:2" x14ac:dyDescent="0.2">
      <c r="A3222" s="8" t="s">
        <v>3245</v>
      </c>
      <c r="B3222" s="2" t="s">
        <v>12461</v>
      </c>
    </row>
    <row r="3223" spans="1:2" x14ac:dyDescent="0.2">
      <c r="A3223" s="8" t="s">
        <v>3246</v>
      </c>
      <c r="B3223" s="2" t="s">
        <v>12461</v>
      </c>
    </row>
    <row r="3224" spans="1:2" x14ac:dyDescent="0.2">
      <c r="A3224" s="8" t="s">
        <v>3247</v>
      </c>
      <c r="B3224" s="2" t="s">
        <v>12461</v>
      </c>
    </row>
    <row r="3225" spans="1:2" x14ac:dyDescent="0.2">
      <c r="A3225" s="8" t="s">
        <v>3248</v>
      </c>
      <c r="B3225" s="2" t="s">
        <v>12461</v>
      </c>
    </row>
    <row r="3226" spans="1:2" x14ac:dyDescent="0.2">
      <c r="A3226" s="8" t="s">
        <v>3249</v>
      </c>
      <c r="B3226" s="2" t="s">
        <v>12461</v>
      </c>
    </row>
    <row r="3227" spans="1:2" x14ac:dyDescent="0.2">
      <c r="A3227" s="8" t="s">
        <v>3250</v>
      </c>
      <c r="B3227" s="2" t="s">
        <v>12461</v>
      </c>
    </row>
    <row r="3228" spans="1:2" x14ac:dyDescent="0.2">
      <c r="A3228" s="8" t="s">
        <v>3251</v>
      </c>
      <c r="B3228" s="2" t="s">
        <v>12461</v>
      </c>
    </row>
    <row r="3229" spans="1:2" x14ac:dyDescent="0.2">
      <c r="A3229" s="8" t="s">
        <v>3252</v>
      </c>
      <c r="B3229" s="2" t="s">
        <v>12461</v>
      </c>
    </row>
    <row r="3230" spans="1:2" x14ac:dyDescent="0.2">
      <c r="A3230" s="8" t="s">
        <v>3253</v>
      </c>
      <c r="B3230" s="2" t="s">
        <v>12461</v>
      </c>
    </row>
    <row r="3231" spans="1:2" x14ac:dyDescent="0.2">
      <c r="A3231" s="8" t="s">
        <v>3254</v>
      </c>
      <c r="B3231" s="2" t="s">
        <v>12461</v>
      </c>
    </row>
    <row r="3232" spans="1:2" x14ac:dyDescent="0.2">
      <c r="A3232" s="8" t="s">
        <v>3255</v>
      </c>
      <c r="B3232" s="2" t="s">
        <v>12461</v>
      </c>
    </row>
    <row r="3233" spans="1:2" x14ac:dyDescent="0.2">
      <c r="A3233" s="8" t="s">
        <v>3256</v>
      </c>
      <c r="B3233" s="2" t="s">
        <v>12461</v>
      </c>
    </row>
    <row r="3234" spans="1:2" x14ac:dyDescent="0.2">
      <c r="A3234" s="8" t="s">
        <v>3257</v>
      </c>
      <c r="B3234" s="2" t="s">
        <v>12461</v>
      </c>
    </row>
    <row r="3235" spans="1:2" x14ac:dyDescent="0.2">
      <c r="A3235" s="8" t="s">
        <v>3258</v>
      </c>
      <c r="B3235" s="2" t="s">
        <v>12461</v>
      </c>
    </row>
    <row r="3236" spans="1:2" x14ac:dyDescent="0.2">
      <c r="A3236" s="8" t="s">
        <v>3259</v>
      </c>
      <c r="B3236" s="2" t="s">
        <v>12461</v>
      </c>
    </row>
    <row r="3237" spans="1:2" x14ac:dyDescent="0.2">
      <c r="A3237" s="8" t="s">
        <v>3260</v>
      </c>
      <c r="B3237" s="2" t="s">
        <v>12461</v>
      </c>
    </row>
    <row r="3238" spans="1:2" x14ac:dyDescent="0.2">
      <c r="A3238" s="8" t="s">
        <v>3261</v>
      </c>
      <c r="B3238" s="2" t="s">
        <v>12461</v>
      </c>
    </row>
    <row r="3239" spans="1:2" x14ac:dyDescent="0.2">
      <c r="A3239" s="8" t="s">
        <v>3262</v>
      </c>
      <c r="B3239" s="2" t="s">
        <v>12461</v>
      </c>
    </row>
    <row r="3240" spans="1:2" x14ac:dyDescent="0.2">
      <c r="A3240" s="8" t="s">
        <v>3263</v>
      </c>
      <c r="B3240" s="2" t="s">
        <v>12461</v>
      </c>
    </row>
    <row r="3241" spans="1:2" x14ac:dyDescent="0.2">
      <c r="A3241" s="8" t="s">
        <v>3264</v>
      </c>
      <c r="B3241" s="2" t="s">
        <v>12461</v>
      </c>
    </row>
    <row r="3242" spans="1:2" x14ac:dyDescent="0.2">
      <c r="A3242" s="8" t="s">
        <v>3265</v>
      </c>
      <c r="B3242" s="2" t="s">
        <v>12461</v>
      </c>
    </row>
    <row r="3243" spans="1:2" x14ac:dyDescent="0.2">
      <c r="A3243" s="8" t="s">
        <v>3266</v>
      </c>
      <c r="B3243" s="2" t="s">
        <v>12461</v>
      </c>
    </row>
    <row r="3244" spans="1:2" x14ac:dyDescent="0.2">
      <c r="A3244" s="8" t="s">
        <v>3267</v>
      </c>
      <c r="B3244" s="2" t="s">
        <v>12461</v>
      </c>
    </row>
    <row r="3245" spans="1:2" x14ac:dyDescent="0.2">
      <c r="A3245" s="8" t="s">
        <v>3268</v>
      </c>
      <c r="B3245" s="2" t="s">
        <v>12461</v>
      </c>
    </row>
    <row r="3246" spans="1:2" x14ac:dyDescent="0.2">
      <c r="A3246" s="8" t="s">
        <v>3269</v>
      </c>
      <c r="B3246" s="2" t="s">
        <v>12461</v>
      </c>
    </row>
    <row r="3247" spans="1:2" x14ac:dyDescent="0.2">
      <c r="A3247" s="8" t="s">
        <v>3270</v>
      </c>
      <c r="B3247" s="2" t="s">
        <v>12461</v>
      </c>
    </row>
    <row r="3248" spans="1:2" x14ac:dyDescent="0.2">
      <c r="A3248" s="8" t="s">
        <v>3271</v>
      </c>
      <c r="B3248" s="2" t="s">
        <v>12461</v>
      </c>
    </row>
    <row r="3249" spans="1:2" x14ac:dyDescent="0.2">
      <c r="A3249" s="8" t="s">
        <v>3272</v>
      </c>
      <c r="B3249" s="2" t="s">
        <v>12461</v>
      </c>
    </row>
    <row r="3250" spans="1:2" x14ac:dyDescent="0.2">
      <c r="A3250" s="8" t="s">
        <v>3273</v>
      </c>
      <c r="B3250" s="2" t="s">
        <v>12461</v>
      </c>
    </row>
    <row r="3251" spans="1:2" x14ac:dyDescent="0.2">
      <c r="A3251" s="8" t="s">
        <v>3274</v>
      </c>
      <c r="B3251" s="2" t="s">
        <v>12461</v>
      </c>
    </row>
    <row r="3252" spans="1:2" x14ac:dyDescent="0.2">
      <c r="A3252" s="8" t="s">
        <v>3275</v>
      </c>
      <c r="B3252" s="2" t="s">
        <v>12461</v>
      </c>
    </row>
    <row r="3253" spans="1:2" x14ac:dyDescent="0.2">
      <c r="A3253" s="8" t="s">
        <v>3276</v>
      </c>
      <c r="B3253" s="2" t="s">
        <v>12461</v>
      </c>
    </row>
    <row r="3254" spans="1:2" x14ac:dyDescent="0.2">
      <c r="A3254" s="8" t="s">
        <v>3277</v>
      </c>
      <c r="B3254" s="2" t="s">
        <v>12461</v>
      </c>
    </row>
    <row r="3255" spans="1:2" x14ac:dyDescent="0.2">
      <c r="A3255" s="8" t="s">
        <v>3278</v>
      </c>
      <c r="B3255" s="2" t="s">
        <v>12461</v>
      </c>
    </row>
    <row r="3256" spans="1:2" x14ac:dyDescent="0.2">
      <c r="A3256" s="8" t="s">
        <v>3279</v>
      </c>
      <c r="B3256" s="2" t="s">
        <v>12461</v>
      </c>
    </row>
    <row r="3257" spans="1:2" x14ac:dyDescent="0.2">
      <c r="A3257" s="8" t="s">
        <v>3280</v>
      </c>
      <c r="B3257" s="2" t="s">
        <v>12461</v>
      </c>
    </row>
    <row r="3258" spans="1:2" x14ac:dyDescent="0.2">
      <c r="A3258" s="8" t="s">
        <v>3281</v>
      </c>
      <c r="B3258" s="2" t="s">
        <v>12461</v>
      </c>
    </row>
    <row r="3259" spans="1:2" x14ac:dyDescent="0.2">
      <c r="A3259" s="8" t="s">
        <v>3282</v>
      </c>
      <c r="B3259" s="2" t="s">
        <v>12461</v>
      </c>
    </row>
    <row r="3260" spans="1:2" x14ac:dyDescent="0.2">
      <c r="A3260" s="8" t="s">
        <v>3283</v>
      </c>
      <c r="B3260" s="2" t="s">
        <v>12461</v>
      </c>
    </row>
    <row r="3261" spans="1:2" x14ac:dyDescent="0.2">
      <c r="A3261" s="8" t="s">
        <v>3284</v>
      </c>
      <c r="B3261" s="2" t="s">
        <v>12461</v>
      </c>
    </row>
    <row r="3262" spans="1:2" x14ac:dyDescent="0.2">
      <c r="A3262" s="8" t="s">
        <v>3285</v>
      </c>
      <c r="B3262" s="2" t="s">
        <v>12461</v>
      </c>
    </row>
    <row r="3263" spans="1:2" x14ac:dyDescent="0.2">
      <c r="A3263" s="8" t="s">
        <v>3286</v>
      </c>
      <c r="B3263" s="2" t="s">
        <v>12461</v>
      </c>
    </row>
    <row r="3264" spans="1:2" x14ac:dyDescent="0.2">
      <c r="A3264" s="8" t="s">
        <v>3287</v>
      </c>
      <c r="B3264" s="2" t="s">
        <v>12461</v>
      </c>
    </row>
    <row r="3265" spans="1:2" x14ac:dyDescent="0.2">
      <c r="A3265" s="8" t="s">
        <v>3288</v>
      </c>
      <c r="B3265" s="2" t="s">
        <v>12461</v>
      </c>
    </row>
    <row r="3266" spans="1:2" x14ac:dyDescent="0.2">
      <c r="A3266" s="8" t="s">
        <v>3289</v>
      </c>
      <c r="B3266" s="2" t="s">
        <v>12461</v>
      </c>
    </row>
    <row r="3267" spans="1:2" x14ac:dyDescent="0.2">
      <c r="A3267" s="8" t="s">
        <v>3290</v>
      </c>
      <c r="B3267" s="2" t="s">
        <v>12461</v>
      </c>
    </row>
    <row r="3268" spans="1:2" x14ac:dyDescent="0.2">
      <c r="A3268" s="8" t="s">
        <v>3291</v>
      </c>
      <c r="B3268" s="2" t="s">
        <v>12461</v>
      </c>
    </row>
    <row r="3269" spans="1:2" x14ac:dyDescent="0.2">
      <c r="A3269" s="8" t="s">
        <v>3292</v>
      </c>
      <c r="B3269" s="2" t="s">
        <v>12461</v>
      </c>
    </row>
    <row r="3270" spans="1:2" x14ac:dyDescent="0.2">
      <c r="A3270" s="8" t="s">
        <v>3293</v>
      </c>
      <c r="B3270" s="2" t="s">
        <v>12461</v>
      </c>
    </row>
    <row r="3271" spans="1:2" x14ac:dyDescent="0.2">
      <c r="A3271" s="8" t="s">
        <v>3294</v>
      </c>
      <c r="B3271" s="2" t="s">
        <v>12461</v>
      </c>
    </row>
    <row r="3272" spans="1:2" x14ac:dyDescent="0.2">
      <c r="A3272" s="8" t="s">
        <v>3295</v>
      </c>
      <c r="B3272" s="2" t="s">
        <v>12461</v>
      </c>
    </row>
    <row r="3273" spans="1:2" x14ac:dyDescent="0.2">
      <c r="A3273" s="8" t="s">
        <v>3296</v>
      </c>
      <c r="B3273" s="2" t="s">
        <v>12461</v>
      </c>
    </row>
    <row r="3274" spans="1:2" x14ac:dyDescent="0.2">
      <c r="A3274" s="8" t="s">
        <v>3297</v>
      </c>
      <c r="B3274" s="2" t="s">
        <v>12461</v>
      </c>
    </row>
    <row r="3275" spans="1:2" x14ac:dyDescent="0.2">
      <c r="A3275" s="8" t="s">
        <v>3298</v>
      </c>
      <c r="B3275" s="2" t="s">
        <v>12461</v>
      </c>
    </row>
    <row r="3276" spans="1:2" x14ac:dyDescent="0.2">
      <c r="A3276" s="8" t="s">
        <v>3299</v>
      </c>
      <c r="B3276" s="2" t="s">
        <v>12461</v>
      </c>
    </row>
    <row r="3277" spans="1:2" x14ac:dyDescent="0.2">
      <c r="A3277" s="8" t="s">
        <v>3300</v>
      </c>
      <c r="B3277" s="2" t="s">
        <v>12461</v>
      </c>
    </row>
    <row r="3278" spans="1:2" x14ac:dyDescent="0.2">
      <c r="A3278" s="8" t="s">
        <v>3301</v>
      </c>
      <c r="B3278" s="2" t="s">
        <v>12461</v>
      </c>
    </row>
    <row r="3279" spans="1:2" x14ac:dyDescent="0.2">
      <c r="A3279" s="8" t="s">
        <v>3302</v>
      </c>
      <c r="B3279" s="2" t="s">
        <v>12461</v>
      </c>
    </row>
    <row r="3280" spans="1:2" x14ac:dyDescent="0.2">
      <c r="A3280" s="8" t="s">
        <v>3303</v>
      </c>
      <c r="B3280" s="2" t="s">
        <v>12461</v>
      </c>
    </row>
    <row r="3281" spans="1:2" x14ac:dyDescent="0.2">
      <c r="A3281" s="8" t="s">
        <v>3304</v>
      </c>
      <c r="B3281" s="2" t="s">
        <v>12461</v>
      </c>
    </row>
    <row r="3282" spans="1:2" x14ac:dyDescent="0.2">
      <c r="A3282" s="8" t="s">
        <v>3305</v>
      </c>
      <c r="B3282" s="2" t="s">
        <v>12461</v>
      </c>
    </row>
    <row r="3283" spans="1:2" x14ac:dyDescent="0.2">
      <c r="A3283" s="8" t="s">
        <v>3306</v>
      </c>
      <c r="B3283" s="2" t="s">
        <v>12461</v>
      </c>
    </row>
    <row r="3284" spans="1:2" x14ac:dyDescent="0.2">
      <c r="A3284" s="8" t="s">
        <v>3307</v>
      </c>
      <c r="B3284" s="2" t="s">
        <v>12461</v>
      </c>
    </row>
    <row r="3285" spans="1:2" x14ac:dyDescent="0.2">
      <c r="A3285" s="8" t="s">
        <v>3308</v>
      </c>
      <c r="B3285" s="2" t="s">
        <v>12461</v>
      </c>
    </row>
    <row r="3286" spans="1:2" x14ac:dyDescent="0.2">
      <c r="A3286" s="8" t="s">
        <v>3309</v>
      </c>
      <c r="B3286" s="2" t="s">
        <v>12461</v>
      </c>
    </row>
    <row r="3287" spans="1:2" x14ac:dyDescent="0.2">
      <c r="A3287" s="8" t="s">
        <v>3310</v>
      </c>
      <c r="B3287" s="2" t="s">
        <v>12461</v>
      </c>
    </row>
    <row r="3288" spans="1:2" x14ac:dyDescent="0.2">
      <c r="A3288" s="8" t="s">
        <v>3311</v>
      </c>
      <c r="B3288" s="2" t="s">
        <v>12461</v>
      </c>
    </row>
    <row r="3289" spans="1:2" x14ac:dyDescent="0.2">
      <c r="A3289" s="8" t="s">
        <v>3312</v>
      </c>
      <c r="B3289" s="2" t="s">
        <v>12461</v>
      </c>
    </row>
    <row r="3290" spans="1:2" x14ac:dyDescent="0.2">
      <c r="A3290" s="8" t="s">
        <v>3313</v>
      </c>
      <c r="B3290" s="2" t="s">
        <v>12461</v>
      </c>
    </row>
    <row r="3291" spans="1:2" x14ac:dyDescent="0.2">
      <c r="A3291" s="8" t="s">
        <v>3314</v>
      </c>
      <c r="B3291" s="2" t="s">
        <v>12461</v>
      </c>
    </row>
    <row r="3292" spans="1:2" x14ac:dyDescent="0.2">
      <c r="A3292" s="8" t="s">
        <v>3315</v>
      </c>
      <c r="B3292" s="2" t="s">
        <v>12461</v>
      </c>
    </row>
    <row r="3293" spans="1:2" x14ac:dyDescent="0.2">
      <c r="A3293" s="8" t="s">
        <v>3316</v>
      </c>
      <c r="B3293" s="2" t="s">
        <v>12461</v>
      </c>
    </row>
    <row r="3294" spans="1:2" x14ac:dyDescent="0.2">
      <c r="A3294" s="8" t="s">
        <v>3317</v>
      </c>
      <c r="B3294" s="2" t="s">
        <v>12461</v>
      </c>
    </row>
    <row r="3295" spans="1:2" x14ac:dyDescent="0.2">
      <c r="A3295" s="8" t="s">
        <v>3318</v>
      </c>
      <c r="B3295" s="2" t="s">
        <v>12461</v>
      </c>
    </row>
    <row r="3296" spans="1:2" x14ac:dyDescent="0.2">
      <c r="A3296" s="8" t="s">
        <v>3319</v>
      </c>
      <c r="B3296" s="2" t="s">
        <v>12461</v>
      </c>
    </row>
    <row r="3297" spans="1:2" x14ac:dyDescent="0.2">
      <c r="A3297" s="8" t="s">
        <v>3320</v>
      </c>
      <c r="B3297" s="2" t="s">
        <v>12461</v>
      </c>
    </row>
    <row r="3298" spans="1:2" x14ac:dyDescent="0.2">
      <c r="A3298" s="8" t="s">
        <v>3321</v>
      </c>
      <c r="B3298" s="2" t="s">
        <v>12461</v>
      </c>
    </row>
    <row r="3299" spans="1:2" x14ac:dyDescent="0.2">
      <c r="A3299" s="8" t="s">
        <v>3322</v>
      </c>
      <c r="B3299" s="2" t="s">
        <v>12461</v>
      </c>
    </row>
    <row r="3300" spans="1:2" x14ac:dyDescent="0.2">
      <c r="A3300" s="8" t="s">
        <v>3323</v>
      </c>
      <c r="B3300" s="2" t="s">
        <v>12461</v>
      </c>
    </row>
    <row r="3301" spans="1:2" x14ac:dyDescent="0.2">
      <c r="A3301" s="8" t="s">
        <v>3324</v>
      </c>
      <c r="B3301" s="2" t="s">
        <v>12461</v>
      </c>
    </row>
    <row r="3302" spans="1:2" x14ac:dyDescent="0.2">
      <c r="A3302" s="8" t="s">
        <v>3325</v>
      </c>
      <c r="B3302" s="2" t="s">
        <v>12461</v>
      </c>
    </row>
    <row r="3303" spans="1:2" x14ac:dyDescent="0.2">
      <c r="A3303" s="8" t="s">
        <v>3326</v>
      </c>
      <c r="B3303" s="2" t="s">
        <v>12461</v>
      </c>
    </row>
    <row r="3304" spans="1:2" x14ac:dyDescent="0.2">
      <c r="A3304" s="8" t="s">
        <v>3327</v>
      </c>
      <c r="B3304" s="2" t="s">
        <v>12461</v>
      </c>
    </row>
    <row r="3305" spans="1:2" x14ac:dyDescent="0.2">
      <c r="A3305" s="8" t="s">
        <v>3328</v>
      </c>
      <c r="B3305" s="2" t="s">
        <v>12461</v>
      </c>
    </row>
    <row r="3306" spans="1:2" x14ac:dyDescent="0.2">
      <c r="A3306" s="8" t="s">
        <v>3329</v>
      </c>
      <c r="B3306" s="2" t="s">
        <v>12461</v>
      </c>
    </row>
    <row r="3307" spans="1:2" x14ac:dyDescent="0.2">
      <c r="A3307" s="8" t="s">
        <v>3330</v>
      </c>
      <c r="B3307" s="2" t="s">
        <v>12461</v>
      </c>
    </row>
    <row r="3308" spans="1:2" x14ac:dyDescent="0.2">
      <c r="A3308" s="8" t="s">
        <v>3331</v>
      </c>
      <c r="B3308" s="2" t="s">
        <v>12461</v>
      </c>
    </row>
    <row r="3309" spans="1:2" x14ac:dyDescent="0.2">
      <c r="A3309" s="8" t="s">
        <v>3332</v>
      </c>
      <c r="B3309" s="2" t="s">
        <v>12461</v>
      </c>
    </row>
    <row r="3310" spans="1:2" x14ac:dyDescent="0.2">
      <c r="A3310" s="8" t="s">
        <v>3333</v>
      </c>
      <c r="B3310" s="2" t="s">
        <v>12461</v>
      </c>
    </row>
    <row r="3311" spans="1:2" x14ac:dyDescent="0.2">
      <c r="A3311" s="8" t="s">
        <v>3334</v>
      </c>
      <c r="B3311" s="2" t="s">
        <v>12461</v>
      </c>
    </row>
    <row r="3312" spans="1:2" x14ac:dyDescent="0.2">
      <c r="A3312" s="8" t="s">
        <v>3335</v>
      </c>
      <c r="B3312" s="2" t="s">
        <v>12461</v>
      </c>
    </row>
    <row r="3313" spans="1:2" x14ac:dyDescent="0.2">
      <c r="A3313" s="8" t="s">
        <v>3336</v>
      </c>
      <c r="B3313" s="2" t="s">
        <v>12461</v>
      </c>
    </row>
    <row r="3314" spans="1:2" x14ac:dyDescent="0.2">
      <c r="A3314" s="8" t="s">
        <v>3337</v>
      </c>
      <c r="B3314" s="2" t="s">
        <v>12461</v>
      </c>
    </row>
    <row r="3315" spans="1:2" x14ac:dyDescent="0.2">
      <c r="A3315" s="8" t="s">
        <v>3338</v>
      </c>
      <c r="B3315" s="2" t="s">
        <v>12461</v>
      </c>
    </row>
    <row r="3316" spans="1:2" x14ac:dyDescent="0.2">
      <c r="A3316" s="8" t="s">
        <v>3339</v>
      </c>
      <c r="B3316" s="2" t="s">
        <v>12461</v>
      </c>
    </row>
    <row r="3317" spans="1:2" x14ac:dyDescent="0.2">
      <c r="A3317" s="8" t="s">
        <v>3340</v>
      </c>
      <c r="B3317" s="2" t="s">
        <v>12461</v>
      </c>
    </row>
    <row r="3318" spans="1:2" x14ac:dyDescent="0.2">
      <c r="A3318" s="8" t="s">
        <v>3341</v>
      </c>
      <c r="B3318" s="2" t="s">
        <v>12461</v>
      </c>
    </row>
    <row r="3319" spans="1:2" x14ac:dyDescent="0.2">
      <c r="A3319" s="8" t="s">
        <v>3342</v>
      </c>
      <c r="B3319" s="2" t="s">
        <v>12461</v>
      </c>
    </row>
    <row r="3320" spans="1:2" x14ac:dyDescent="0.2">
      <c r="A3320" s="8" t="s">
        <v>3343</v>
      </c>
      <c r="B3320" s="2" t="s">
        <v>12461</v>
      </c>
    </row>
    <row r="3321" spans="1:2" x14ac:dyDescent="0.2">
      <c r="A3321" s="8" t="s">
        <v>3344</v>
      </c>
      <c r="B3321" s="2" t="s">
        <v>12461</v>
      </c>
    </row>
    <row r="3322" spans="1:2" x14ac:dyDescent="0.2">
      <c r="A3322" s="8" t="s">
        <v>3345</v>
      </c>
      <c r="B3322" s="2" t="s">
        <v>12461</v>
      </c>
    </row>
    <row r="3323" spans="1:2" x14ac:dyDescent="0.2">
      <c r="A3323" s="8" t="s">
        <v>3346</v>
      </c>
      <c r="B3323" s="2" t="s">
        <v>12461</v>
      </c>
    </row>
    <row r="3324" spans="1:2" x14ac:dyDescent="0.2">
      <c r="A3324" s="8" t="s">
        <v>3347</v>
      </c>
      <c r="B3324" s="2" t="s">
        <v>12461</v>
      </c>
    </row>
    <row r="3325" spans="1:2" x14ac:dyDescent="0.2">
      <c r="A3325" s="8" t="s">
        <v>3348</v>
      </c>
      <c r="B3325" s="2" t="s">
        <v>12461</v>
      </c>
    </row>
    <row r="3326" spans="1:2" x14ac:dyDescent="0.2">
      <c r="A3326" s="8" t="s">
        <v>3349</v>
      </c>
      <c r="B3326" s="2" t="s">
        <v>12461</v>
      </c>
    </row>
    <row r="3327" spans="1:2" x14ac:dyDescent="0.2">
      <c r="A3327" s="8" t="s">
        <v>3350</v>
      </c>
      <c r="B3327" s="2" t="s">
        <v>12461</v>
      </c>
    </row>
    <row r="3328" spans="1:2" x14ac:dyDescent="0.2">
      <c r="A3328" s="8" t="s">
        <v>3351</v>
      </c>
      <c r="B3328" s="2" t="s">
        <v>12461</v>
      </c>
    </row>
    <row r="3329" spans="1:2" x14ac:dyDescent="0.2">
      <c r="A3329" s="8" t="s">
        <v>3352</v>
      </c>
      <c r="B3329" s="2" t="s">
        <v>12461</v>
      </c>
    </row>
    <row r="3330" spans="1:2" x14ac:dyDescent="0.2">
      <c r="A3330" s="8" t="s">
        <v>3353</v>
      </c>
      <c r="B3330" s="2" t="s">
        <v>12461</v>
      </c>
    </row>
    <row r="3331" spans="1:2" x14ac:dyDescent="0.2">
      <c r="A3331" s="8" t="s">
        <v>3354</v>
      </c>
      <c r="B3331" s="2" t="s">
        <v>12461</v>
      </c>
    </row>
    <row r="3332" spans="1:2" x14ac:dyDescent="0.2">
      <c r="A3332" s="8" t="s">
        <v>3355</v>
      </c>
      <c r="B3332" s="2" t="s">
        <v>12461</v>
      </c>
    </row>
    <row r="3333" spans="1:2" x14ac:dyDescent="0.2">
      <c r="A3333" s="8" t="s">
        <v>3356</v>
      </c>
      <c r="B3333" s="2" t="s">
        <v>12461</v>
      </c>
    </row>
    <row r="3334" spans="1:2" x14ac:dyDescent="0.2">
      <c r="A3334" s="8" t="s">
        <v>3357</v>
      </c>
      <c r="B3334" s="2" t="s">
        <v>12461</v>
      </c>
    </row>
    <row r="3335" spans="1:2" x14ac:dyDescent="0.2">
      <c r="A3335" s="8" t="s">
        <v>3358</v>
      </c>
      <c r="B3335" s="2" t="s">
        <v>12461</v>
      </c>
    </row>
    <row r="3336" spans="1:2" x14ac:dyDescent="0.2">
      <c r="A3336" s="8" t="s">
        <v>3359</v>
      </c>
      <c r="B3336" s="2" t="s">
        <v>12461</v>
      </c>
    </row>
    <row r="3337" spans="1:2" x14ac:dyDescent="0.2">
      <c r="A3337" s="8" t="s">
        <v>3360</v>
      </c>
      <c r="B3337" s="2" t="s">
        <v>12461</v>
      </c>
    </row>
    <row r="3338" spans="1:2" x14ac:dyDescent="0.2">
      <c r="A3338" s="8" t="s">
        <v>3361</v>
      </c>
      <c r="B3338" s="2" t="s">
        <v>12461</v>
      </c>
    </row>
    <row r="3339" spans="1:2" x14ac:dyDescent="0.2">
      <c r="A3339" s="8" t="s">
        <v>3362</v>
      </c>
      <c r="B3339" s="2" t="s">
        <v>12461</v>
      </c>
    </row>
    <row r="3340" spans="1:2" x14ac:dyDescent="0.2">
      <c r="A3340" s="8" t="s">
        <v>3363</v>
      </c>
      <c r="B3340" s="2" t="s">
        <v>12461</v>
      </c>
    </row>
    <row r="3341" spans="1:2" x14ac:dyDescent="0.2">
      <c r="A3341" s="8" t="s">
        <v>3364</v>
      </c>
      <c r="B3341" s="2" t="s">
        <v>12461</v>
      </c>
    </row>
    <row r="3342" spans="1:2" x14ac:dyDescent="0.2">
      <c r="A3342" s="8" t="s">
        <v>3365</v>
      </c>
      <c r="B3342" s="2" t="s">
        <v>12461</v>
      </c>
    </row>
    <row r="3343" spans="1:2" x14ac:dyDescent="0.2">
      <c r="A3343" s="8" t="s">
        <v>3366</v>
      </c>
      <c r="B3343" s="2" t="s">
        <v>12461</v>
      </c>
    </row>
    <row r="3344" spans="1:2" x14ac:dyDescent="0.2">
      <c r="A3344" s="8" t="s">
        <v>3367</v>
      </c>
      <c r="B3344" s="2" t="s">
        <v>12461</v>
      </c>
    </row>
    <row r="3345" spans="1:2" x14ac:dyDescent="0.2">
      <c r="A3345" s="8" t="s">
        <v>3368</v>
      </c>
      <c r="B3345" s="2" t="s">
        <v>12461</v>
      </c>
    </row>
    <row r="3346" spans="1:2" x14ac:dyDescent="0.2">
      <c r="A3346" s="8" t="s">
        <v>3369</v>
      </c>
      <c r="B3346" s="2" t="s">
        <v>12461</v>
      </c>
    </row>
    <row r="3347" spans="1:2" x14ac:dyDescent="0.2">
      <c r="A3347" s="8" t="s">
        <v>3370</v>
      </c>
      <c r="B3347" s="2" t="s">
        <v>12461</v>
      </c>
    </row>
    <row r="3348" spans="1:2" x14ac:dyDescent="0.2">
      <c r="A3348" s="8" t="s">
        <v>3371</v>
      </c>
      <c r="B3348" s="2" t="s">
        <v>12461</v>
      </c>
    </row>
    <row r="3349" spans="1:2" x14ac:dyDescent="0.2">
      <c r="A3349" s="8" t="s">
        <v>3372</v>
      </c>
      <c r="B3349" s="2" t="s">
        <v>12461</v>
      </c>
    </row>
    <row r="3350" spans="1:2" x14ac:dyDescent="0.2">
      <c r="A3350" s="8" t="s">
        <v>3373</v>
      </c>
      <c r="B3350" s="2" t="s">
        <v>12461</v>
      </c>
    </row>
    <row r="3351" spans="1:2" x14ac:dyDescent="0.2">
      <c r="A3351" s="8" t="s">
        <v>3374</v>
      </c>
      <c r="B3351" s="2" t="s">
        <v>12461</v>
      </c>
    </row>
    <row r="3352" spans="1:2" x14ac:dyDescent="0.2">
      <c r="A3352" s="8" t="s">
        <v>3375</v>
      </c>
      <c r="B3352" s="2" t="s">
        <v>12461</v>
      </c>
    </row>
    <row r="3353" spans="1:2" x14ac:dyDescent="0.2">
      <c r="A3353" s="8" t="s">
        <v>3376</v>
      </c>
      <c r="B3353" s="2" t="s">
        <v>12461</v>
      </c>
    </row>
    <row r="3354" spans="1:2" x14ac:dyDescent="0.2">
      <c r="A3354" s="8" t="s">
        <v>3377</v>
      </c>
      <c r="B3354" s="2" t="s">
        <v>12461</v>
      </c>
    </row>
    <row r="3355" spans="1:2" x14ac:dyDescent="0.2">
      <c r="A3355" s="8" t="s">
        <v>3378</v>
      </c>
      <c r="B3355" s="2" t="s">
        <v>12461</v>
      </c>
    </row>
    <row r="3356" spans="1:2" x14ac:dyDescent="0.2">
      <c r="A3356" s="8" t="s">
        <v>3379</v>
      </c>
      <c r="B3356" s="2" t="s">
        <v>12461</v>
      </c>
    </row>
    <row r="3357" spans="1:2" x14ac:dyDescent="0.2">
      <c r="A3357" s="8" t="s">
        <v>3380</v>
      </c>
      <c r="B3357" s="2" t="s">
        <v>12461</v>
      </c>
    </row>
    <row r="3358" spans="1:2" x14ac:dyDescent="0.2">
      <c r="A3358" s="8" t="s">
        <v>3381</v>
      </c>
      <c r="B3358" s="2" t="s">
        <v>12461</v>
      </c>
    </row>
    <row r="3359" spans="1:2" x14ac:dyDescent="0.2">
      <c r="A3359" s="8" t="s">
        <v>3382</v>
      </c>
      <c r="B3359" s="2" t="s">
        <v>12461</v>
      </c>
    </row>
    <row r="3360" spans="1:2" x14ac:dyDescent="0.2">
      <c r="A3360" s="8" t="s">
        <v>3383</v>
      </c>
      <c r="B3360" s="2" t="s">
        <v>12461</v>
      </c>
    </row>
    <row r="3361" spans="1:2" x14ac:dyDescent="0.2">
      <c r="A3361" s="8" t="s">
        <v>3384</v>
      </c>
      <c r="B3361" s="2" t="s">
        <v>12461</v>
      </c>
    </row>
    <row r="3362" spans="1:2" x14ac:dyDescent="0.2">
      <c r="A3362" s="8" t="s">
        <v>3385</v>
      </c>
      <c r="B3362" s="2" t="s">
        <v>12461</v>
      </c>
    </row>
    <row r="3363" spans="1:2" x14ac:dyDescent="0.2">
      <c r="A3363" s="8" t="s">
        <v>3386</v>
      </c>
      <c r="B3363" s="2" t="s">
        <v>12461</v>
      </c>
    </row>
    <row r="3364" spans="1:2" x14ac:dyDescent="0.2">
      <c r="A3364" s="8" t="s">
        <v>3387</v>
      </c>
      <c r="B3364" s="2" t="s">
        <v>12461</v>
      </c>
    </row>
    <row r="3365" spans="1:2" x14ac:dyDescent="0.2">
      <c r="A3365" s="8" t="s">
        <v>3388</v>
      </c>
      <c r="B3365" s="2" t="s">
        <v>12461</v>
      </c>
    </row>
    <row r="3366" spans="1:2" x14ac:dyDescent="0.2">
      <c r="A3366" s="8" t="s">
        <v>3389</v>
      </c>
      <c r="B3366" s="2" t="s">
        <v>12461</v>
      </c>
    </row>
    <row r="3367" spans="1:2" x14ac:dyDescent="0.2">
      <c r="A3367" s="8" t="s">
        <v>3390</v>
      </c>
      <c r="B3367" s="2" t="s">
        <v>12461</v>
      </c>
    </row>
    <row r="3368" spans="1:2" x14ac:dyDescent="0.2">
      <c r="A3368" s="8" t="s">
        <v>3391</v>
      </c>
      <c r="B3368" s="2" t="s">
        <v>12461</v>
      </c>
    </row>
    <row r="3369" spans="1:2" x14ac:dyDescent="0.2">
      <c r="A3369" s="8" t="s">
        <v>3392</v>
      </c>
      <c r="B3369" s="2" t="s">
        <v>12461</v>
      </c>
    </row>
    <row r="3370" spans="1:2" x14ac:dyDescent="0.2">
      <c r="A3370" s="8" t="s">
        <v>3393</v>
      </c>
      <c r="B3370" s="2" t="s">
        <v>12461</v>
      </c>
    </row>
    <row r="3371" spans="1:2" x14ac:dyDescent="0.2">
      <c r="A3371" s="8" t="s">
        <v>3394</v>
      </c>
      <c r="B3371" s="2" t="s">
        <v>12461</v>
      </c>
    </row>
    <row r="3372" spans="1:2" x14ac:dyDescent="0.2">
      <c r="A3372" s="8" t="s">
        <v>3395</v>
      </c>
      <c r="B3372" s="2" t="s">
        <v>12461</v>
      </c>
    </row>
    <row r="3373" spans="1:2" x14ac:dyDescent="0.2">
      <c r="A3373" s="8" t="s">
        <v>3396</v>
      </c>
      <c r="B3373" s="2" t="s">
        <v>12461</v>
      </c>
    </row>
    <row r="3374" spans="1:2" x14ac:dyDescent="0.2">
      <c r="A3374" s="8" t="s">
        <v>3397</v>
      </c>
      <c r="B3374" s="2" t="s">
        <v>12461</v>
      </c>
    </row>
    <row r="3375" spans="1:2" x14ac:dyDescent="0.2">
      <c r="A3375" s="8" t="s">
        <v>3398</v>
      </c>
      <c r="B3375" s="2" t="s">
        <v>12461</v>
      </c>
    </row>
    <row r="3376" spans="1:2" x14ac:dyDescent="0.2">
      <c r="A3376" s="8" t="s">
        <v>3399</v>
      </c>
      <c r="B3376" s="2" t="s">
        <v>12461</v>
      </c>
    </row>
    <row r="3377" spans="1:2" x14ac:dyDescent="0.2">
      <c r="A3377" s="8" t="s">
        <v>3400</v>
      </c>
      <c r="B3377" s="2" t="s">
        <v>12461</v>
      </c>
    </row>
    <row r="3378" spans="1:2" x14ac:dyDescent="0.2">
      <c r="A3378" s="8" t="s">
        <v>3401</v>
      </c>
      <c r="B3378" s="2" t="s">
        <v>12461</v>
      </c>
    </row>
    <row r="3379" spans="1:2" x14ac:dyDescent="0.2">
      <c r="A3379" s="8" t="s">
        <v>3402</v>
      </c>
      <c r="B3379" s="2" t="s">
        <v>12461</v>
      </c>
    </row>
    <row r="3380" spans="1:2" x14ac:dyDescent="0.2">
      <c r="A3380" s="8" t="s">
        <v>3403</v>
      </c>
      <c r="B3380" s="2" t="s">
        <v>12461</v>
      </c>
    </row>
    <row r="3381" spans="1:2" x14ac:dyDescent="0.2">
      <c r="A3381" s="8" t="s">
        <v>3404</v>
      </c>
      <c r="B3381" s="2" t="s">
        <v>12461</v>
      </c>
    </row>
    <row r="3382" spans="1:2" x14ac:dyDescent="0.2">
      <c r="A3382" s="8" t="s">
        <v>3405</v>
      </c>
      <c r="B3382" s="2" t="s">
        <v>12461</v>
      </c>
    </row>
    <row r="3383" spans="1:2" x14ac:dyDescent="0.2">
      <c r="A3383" s="8" t="s">
        <v>3406</v>
      </c>
      <c r="B3383" s="2" t="s">
        <v>12461</v>
      </c>
    </row>
    <row r="3384" spans="1:2" x14ac:dyDescent="0.2">
      <c r="A3384" s="8" t="s">
        <v>3407</v>
      </c>
      <c r="B3384" s="2" t="s">
        <v>12461</v>
      </c>
    </row>
    <row r="3385" spans="1:2" x14ac:dyDescent="0.2">
      <c r="A3385" s="8" t="s">
        <v>3408</v>
      </c>
      <c r="B3385" s="2" t="s">
        <v>12461</v>
      </c>
    </row>
    <row r="3386" spans="1:2" x14ac:dyDescent="0.2">
      <c r="A3386" s="8" t="s">
        <v>3409</v>
      </c>
      <c r="B3386" s="2" t="s">
        <v>12461</v>
      </c>
    </row>
    <row r="3387" spans="1:2" x14ac:dyDescent="0.2">
      <c r="A3387" s="8" t="s">
        <v>3410</v>
      </c>
      <c r="B3387" s="2" t="s">
        <v>12461</v>
      </c>
    </row>
    <row r="3388" spans="1:2" x14ac:dyDescent="0.2">
      <c r="A3388" s="8" t="s">
        <v>3411</v>
      </c>
      <c r="B3388" s="2" t="s">
        <v>12461</v>
      </c>
    </row>
    <row r="3389" spans="1:2" x14ac:dyDescent="0.2">
      <c r="A3389" s="8" t="s">
        <v>3412</v>
      </c>
      <c r="B3389" s="2" t="s">
        <v>12461</v>
      </c>
    </row>
    <row r="3390" spans="1:2" x14ac:dyDescent="0.2">
      <c r="A3390" s="8" t="s">
        <v>3413</v>
      </c>
      <c r="B3390" s="2" t="s">
        <v>12461</v>
      </c>
    </row>
    <row r="3391" spans="1:2" x14ac:dyDescent="0.2">
      <c r="A3391" s="8" t="s">
        <v>3414</v>
      </c>
      <c r="B3391" s="2" t="s">
        <v>12461</v>
      </c>
    </row>
    <row r="3392" spans="1:2" x14ac:dyDescent="0.2">
      <c r="A3392" s="8" t="s">
        <v>3415</v>
      </c>
      <c r="B3392" s="2" t="s">
        <v>12461</v>
      </c>
    </row>
    <row r="3393" spans="1:2" x14ac:dyDescent="0.2">
      <c r="A3393" s="8" t="s">
        <v>3416</v>
      </c>
      <c r="B3393" s="2" t="s">
        <v>12461</v>
      </c>
    </row>
    <row r="3394" spans="1:2" x14ac:dyDescent="0.2">
      <c r="A3394" s="8" t="s">
        <v>3417</v>
      </c>
      <c r="B3394" s="2" t="s">
        <v>12461</v>
      </c>
    </row>
    <row r="3395" spans="1:2" x14ac:dyDescent="0.2">
      <c r="A3395" s="8" t="s">
        <v>3418</v>
      </c>
      <c r="B3395" s="2" t="s">
        <v>12461</v>
      </c>
    </row>
    <row r="3396" spans="1:2" x14ac:dyDescent="0.2">
      <c r="A3396" s="8" t="s">
        <v>3419</v>
      </c>
      <c r="B3396" s="2" t="s">
        <v>12461</v>
      </c>
    </row>
    <row r="3397" spans="1:2" x14ac:dyDescent="0.2">
      <c r="A3397" s="8" t="s">
        <v>3420</v>
      </c>
      <c r="B3397" s="2" t="s">
        <v>12461</v>
      </c>
    </row>
    <row r="3398" spans="1:2" x14ac:dyDescent="0.2">
      <c r="A3398" s="8" t="s">
        <v>3421</v>
      </c>
      <c r="B3398" s="2" t="s">
        <v>12461</v>
      </c>
    </row>
    <row r="3399" spans="1:2" x14ac:dyDescent="0.2">
      <c r="A3399" s="8" t="s">
        <v>3422</v>
      </c>
      <c r="B3399" s="2" t="s">
        <v>12461</v>
      </c>
    </row>
    <row r="3400" spans="1:2" x14ac:dyDescent="0.2">
      <c r="A3400" s="8" t="s">
        <v>3423</v>
      </c>
      <c r="B3400" s="2" t="s">
        <v>12461</v>
      </c>
    </row>
    <row r="3401" spans="1:2" x14ac:dyDescent="0.2">
      <c r="A3401" s="8" t="s">
        <v>3424</v>
      </c>
      <c r="B3401" s="2" t="s">
        <v>12461</v>
      </c>
    </row>
    <row r="3402" spans="1:2" x14ac:dyDescent="0.2">
      <c r="A3402" s="8" t="s">
        <v>3425</v>
      </c>
      <c r="B3402" s="2" t="s">
        <v>12461</v>
      </c>
    </row>
    <row r="3403" spans="1:2" x14ac:dyDescent="0.2">
      <c r="A3403" s="8" t="s">
        <v>3426</v>
      </c>
      <c r="B3403" s="2" t="s">
        <v>12461</v>
      </c>
    </row>
    <row r="3404" spans="1:2" x14ac:dyDescent="0.2">
      <c r="A3404" s="8" t="s">
        <v>3427</v>
      </c>
      <c r="B3404" s="2" t="s">
        <v>12461</v>
      </c>
    </row>
    <row r="3405" spans="1:2" x14ac:dyDescent="0.2">
      <c r="A3405" s="8" t="s">
        <v>3428</v>
      </c>
      <c r="B3405" s="2" t="s">
        <v>12461</v>
      </c>
    </row>
    <row r="3406" spans="1:2" x14ac:dyDescent="0.2">
      <c r="A3406" s="8" t="s">
        <v>3429</v>
      </c>
      <c r="B3406" s="2" t="s">
        <v>12461</v>
      </c>
    </row>
    <row r="3407" spans="1:2" x14ac:dyDescent="0.2">
      <c r="A3407" s="8" t="s">
        <v>3430</v>
      </c>
      <c r="B3407" s="2" t="s">
        <v>12461</v>
      </c>
    </row>
    <row r="3408" spans="1:2" x14ac:dyDescent="0.2">
      <c r="A3408" s="8" t="s">
        <v>3431</v>
      </c>
      <c r="B3408" s="2" t="s">
        <v>12461</v>
      </c>
    </row>
    <row r="3409" spans="1:2" x14ac:dyDescent="0.2">
      <c r="A3409" s="8" t="s">
        <v>3432</v>
      </c>
      <c r="B3409" s="2" t="s">
        <v>12461</v>
      </c>
    </row>
    <row r="3410" spans="1:2" x14ac:dyDescent="0.2">
      <c r="A3410" s="8" t="s">
        <v>3433</v>
      </c>
      <c r="B3410" s="2" t="s">
        <v>12461</v>
      </c>
    </row>
    <row r="3411" spans="1:2" x14ac:dyDescent="0.2">
      <c r="A3411" s="8" t="s">
        <v>3434</v>
      </c>
      <c r="B3411" s="2" t="s">
        <v>12461</v>
      </c>
    </row>
    <row r="3412" spans="1:2" x14ac:dyDescent="0.2">
      <c r="A3412" s="8" t="s">
        <v>3435</v>
      </c>
      <c r="B3412" s="2" t="s">
        <v>12461</v>
      </c>
    </row>
    <row r="3413" spans="1:2" x14ac:dyDescent="0.2">
      <c r="A3413" s="8" t="s">
        <v>3436</v>
      </c>
      <c r="B3413" s="2" t="s">
        <v>12461</v>
      </c>
    </row>
    <row r="3414" spans="1:2" x14ac:dyDescent="0.2">
      <c r="A3414" s="8" t="s">
        <v>3437</v>
      </c>
      <c r="B3414" s="2" t="s">
        <v>12461</v>
      </c>
    </row>
    <row r="3415" spans="1:2" x14ac:dyDescent="0.2">
      <c r="A3415" s="8" t="s">
        <v>3438</v>
      </c>
      <c r="B3415" s="2" t="s">
        <v>12461</v>
      </c>
    </row>
    <row r="3416" spans="1:2" x14ac:dyDescent="0.2">
      <c r="A3416" s="8" t="s">
        <v>3439</v>
      </c>
      <c r="B3416" s="2" t="s">
        <v>12461</v>
      </c>
    </row>
    <row r="3417" spans="1:2" x14ac:dyDescent="0.2">
      <c r="A3417" s="8" t="s">
        <v>3440</v>
      </c>
      <c r="B3417" s="2" t="s">
        <v>12461</v>
      </c>
    </row>
    <row r="3418" spans="1:2" x14ac:dyDescent="0.2">
      <c r="A3418" s="8" t="s">
        <v>3441</v>
      </c>
      <c r="B3418" s="2" t="s">
        <v>12461</v>
      </c>
    </row>
    <row r="3419" spans="1:2" x14ac:dyDescent="0.2">
      <c r="A3419" s="8" t="s">
        <v>3442</v>
      </c>
      <c r="B3419" s="2" t="s">
        <v>12461</v>
      </c>
    </row>
    <row r="3420" spans="1:2" x14ac:dyDescent="0.2">
      <c r="A3420" s="8" t="s">
        <v>3443</v>
      </c>
      <c r="B3420" s="2" t="s">
        <v>12461</v>
      </c>
    </row>
    <row r="3421" spans="1:2" x14ac:dyDescent="0.2">
      <c r="A3421" s="8" t="s">
        <v>3444</v>
      </c>
      <c r="B3421" s="2" t="s">
        <v>12461</v>
      </c>
    </row>
    <row r="3422" spans="1:2" x14ac:dyDescent="0.2">
      <c r="A3422" s="8" t="s">
        <v>3445</v>
      </c>
      <c r="B3422" s="2" t="s">
        <v>12461</v>
      </c>
    </row>
    <row r="3423" spans="1:2" x14ac:dyDescent="0.2">
      <c r="A3423" s="8" t="s">
        <v>3446</v>
      </c>
      <c r="B3423" s="2" t="s">
        <v>12461</v>
      </c>
    </row>
    <row r="3424" spans="1:2" x14ac:dyDescent="0.2">
      <c r="A3424" s="8" t="s">
        <v>3447</v>
      </c>
      <c r="B3424" s="2" t="s">
        <v>12461</v>
      </c>
    </row>
    <row r="3425" spans="1:2" x14ac:dyDescent="0.2">
      <c r="A3425" s="8" t="s">
        <v>3448</v>
      </c>
      <c r="B3425" s="2" t="s">
        <v>12461</v>
      </c>
    </row>
    <row r="3426" spans="1:2" x14ac:dyDescent="0.2">
      <c r="A3426" s="8" t="s">
        <v>3449</v>
      </c>
      <c r="B3426" s="2" t="s">
        <v>12461</v>
      </c>
    </row>
    <row r="3427" spans="1:2" x14ac:dyDescent="0.2">
      <c r="A3427" s="8" t="s">
        <v>3450</v>
      </c>
      <c r="B3427" s="2" t="s">
        <v>12461</v>
      </c>
    </row>
    <row r="3428" spans="1:2" x14ac:dyDescent="0.2">
      <c r="A3428" s="8" t="s">
        <v>3451</v>
      </c>
      <c r="B3428" s="2" t="s">
        <v>12461</v>
      </c>
    </row>
    <row r="3429" spans="1:2" x14ac:dyDescent="0.2">
      <c r="A3429" s="8" t="s">
        <v>3452</v>
      </c>
      <c r="B3429" s="2" t="s">
        <v>12461</v>
      </c>
    </row>
    <row r="3430" spans="1:2" x14ac:dyDescent="0.2">
      <c r="A3430" s="8" t="s">
        <v>3453</v>
      </c>
      <c r="B3430" s="2" t="s">
        <v>12461</v>
      </c>
    </row>
    <row r="3431" spans="1:2" x14ac:dyDescent="0.2">
      <c r="A3431" s="8" t="s">
        <v>3454</v>
      </c>
      <c r="B3431" s="2" t="s">
        <v>12461</v>
      </c>
    </row>
    <row r="3432" spans="1:2" x14ac:dyDescent="0.2">
      <c r="A3432" s="8" t="s">
        <v>3455</v>
      </c>
      <c r="B3432" s="2" t="s">
        <v>12461</v>
      </c>
    </row>
    <row r="3433" spans="1:2" x14ac:dyDescent="0.2">
      <c r="A3433" s="8" t="s">
        <v>3456</v>
      </c>
      <c r="B3433" s="2" t="s">
        <v>12461</v>
      </c>
    </row>
    <row r="3434" spans="1:2" x14ac:dyDescent="0.2">
      <c r="A3434" s="8" t="s">
        <v>3457</v>
      </c>
      <c r="B3434" s="2" t="s">
        <v>12461</v>
      </c>
    </row>
    <row r="3435" spans="1:2" x14ac:dyDescent="0.2">
      <c r="A3435" s="8" t="s">
        <v>3458</v>
      </c>
      <c r="B3435" s="2" t="s">
        <v>12461</v>
      </c>
    </row>
    <row r="3436" spans="1:2" x14ac:dyDescent="0.2">
      <c r="A3436" s="8" t="s">
        <v>3459</v>
      </c>
      <c r="B3436" s="2" t="s">
        <v>12461</v>
      </c>
    </row>
    <row r="3437" spans="1:2" x14ac:dyDescent="0.2">
      <c r="A3437" s="8" t="s">
        <v>3460</v>
      </c>
      <c r="B3437" s="2" t="s">
        <v>12461</v>
      </c>
    </row>
    <row r="3438" spans="1:2" x14ac:dyDescent="0.2">
      <c r="A3438" s="8" t="s">
        <v>3461</v>
      </c>
      <c r="B3438" s="2" t="s">
        <v>12461</v>
      </c>
    </row>
    <row r="3439" spans="1:2" x14ac:dyDescent="0.2">
      <c r="A3439" s="8" t="s">
        <v>3462</v>
      </c>
      <c r="B3439" s="2" t="s">
        <v>12461</v>
      </c>
    </row>
    <row r="3440" spans="1:2" x14ac:dyDescent="0.2">
      <c r="A3440" s="8" t="s">
        <v>3463</v>
      </c>
      <c r="B3440" s="2" t="s">
        <v>12461</v>
      </c>
    </row>
    <row r="3441" spans="1:2" x14ac:dyDescent="0.2">
      <c r="A3441" s="8" t="s">
        <v>3464</v>
      </c>
      <c r="B3441" s="2" t="s">
        <v>12461</v>
      </c>
    </row>
    <row r="3442" spans="1:2" x14ac:dyDescent="0.2">
      <c r="A3442" s="8" t="s">
        <v>3465</v>
      </c>
      <c r="B3442" s="2" t="s">
        <v>12461</v>
      </c>
    </row>
    <row r="3443" spans="1:2" x14ac:dyDescent="0.2">
      <c r="A3443" s="8" t="s">
        <v>3466</v>
      </c>
      <c r="B3443" s="2" t="s">
        <v>12461</v>
      </c>
    </row>
    <row r="3444" spans="1:2" x14ac:dyDescent="0.2">
      <c r="A3444" s="8" t="s">
        <v>3467</v>
      </c>
      <c r="B3444" s="2" t="s">
        <v>12461</v>
      </c>
    </row>
    <row r="3445" spans="1:2" x14ac:dyDescent="0.2">
      <c r="A3445" s="8" t="s">
        <v>3468</v>
      </c>
      <c r="B3445" s="2" t="s">
        <v>12461</v>
      </c>
    </row>
    <row r="3446" spans="1:2" x14ac:dyDescent="0.2">
      <c r="A3446" s="8" t="s">
        <v>3469</v>
      </c>
      <c r="B3446" s="2" t="s">
        <v>12461</v>
      </c>
    </row>
    <row r="3447" spans="1:2" x14ac:dyDescent="0.2">
      <c r="A3447" s="8" t="s">
        <v>3470</v>
      </c>
      <c r="B3447" s="2" t="s">
        <v>12461</v>
      </c>
    </row>
    <row r="3448" spans="1:2" x14ac:dyDescent="0.2">
      <c r="A3448" s="8" t="s">
        <v>3471</v>
      </c>
      <c r="B3448" s="2" t="s">
        <v>12461</v>
      </c>
    </row>
    <row r="3449" spans="1:2" x14ac:dyDescent="0.2">
      <c r="A3449" s="8" t="s">
        <v>3472</v>
      </c>
      <c r="B3449" s="2" t="s">
        <v>12461</v>
      </c>
    </row>
    <row r="3450" spans="1:2" x14ac:dyDescent="0.2">
      <c r="A3450" s="8" t="s">
        <v>3473</v>
      </c>
      <c r="B3450" s="2" t="s">
        <v>12461</v>
      </c>
    </row>
    <row r="3451" spans="1:2" x14ac:dyDescent="0.2">
      <c r="A3451" s="8" t="s">
        <v>3474</v>
      </c>
      <c r="B3451" s="2" t="s">
        <v>12461</v>
      </c>
    </row>
    <row r="3452" spans="1:2" x14ac:dyDescent="0.2">
      <c r="A3452" s="8" t="s">
        <v>3475</v>
      </c>
      <c r="B3452" s="2" t="s">
        <v>12461</v>
      </c>
    </row>
    <row r="3453" spans="1:2" x14ac:dyDescent="0.2">
      <c r="A3453" s="8" t="s">
        <v>3476</v>
      </c>
      <c r="B3453" s="2" t="s">
        <v>12461</v>
      </c>
    </row>
    <row r="3454" spans="1:2" x14ac:dyDescent="0.2">
      <c r="A3454" s="8" t="s">
        <v>3477</v>
      </c>
      <c r="B3454" s="2" t="s">
        <v>12461</v>
      </c>
    </row>
    <row r="3455" spans="1:2" x14ac:dyDescent="0.2">
      <c r="A3455" s="8" t="s">
        <v>3478</v>
      </c>
      <c r="B3455" s="2" t="s">
        <v>12461</v>
      </c>
    </row>
    <row r="3456" spans="1:2" x14ac:dyDescent="0.2">
      <c r="A3456" s="8" t="s">
        <v>3479</v>
      </c>
      <c r="B3456" s="2" t="s">
        <v>12461</v>
      </c>
    </row>
    <row r="3457" spans="1:2" x14ac:dyDescent="0.2">
      <c r="A3457" s="8" t="s">
        <v>3480</v>
      </c>
      <c r="B3457" s="2" t="s">
        <v>12461</v>
      </c>
    </row>
    <row r="3458" spans="1:2" x14ac:dyDescent="0.2">
      <c r="A3458" s="8" t="s">
        <v>3481</v>
      </c>
      <c r="B3458" s="2" t="s">
        <v>12461</v>
      </c>
    </row>
    <row r="3459" spans="1:2" x14ac:dyDescent="0.2">
      <c r="A3459" s="8" t="s">
        <v>3482</v>
      </c>
      <c r="B3459" s="2" t="s">
        <v>12461</v>
      </c>
    </row>
    <row r="3460" spans="1:2" x14ac:dyDescent="0.2">
      <c r="A3460" s="8" t="s">
        <v>3483</v>
      </c>
      <c r="B3460" s="2" t="s">
        <v>12461</v>
      </c>
    </row>
    <row r="3461" spans="1:2" x14ac:dyDescent="0.2">
      <c r="A3461" s="8" t="s">
        <v>3484</v>
      </c>
      <c r="B3461" s="2" t="s">
        <v>12461</v>
      </c>
    </row>
    <row r="3462" spans="1:2" x14ac:dyDescent="0.2">
      <c r="A3462" s="8" t="s">
        <v>3485</v>
      </c>
      <c r="B3462" s="2" t="s">
        <v>12461</v>
      </c>
    </row>
    <row r="3463" spans="1:2" x14ac:dyDescent="0.2">
      <c r="A3463" s="8" t="s">
        <v>3486</v>
      </c>
      <c r="B3463" s="2" t="s">
        <v>12461</v>
      </c>
    </row>
    <row r="3464" spans="1:2" x14ac:dyDescent="0.2">
      <c r="A3464" s="8" t="s">
        <v>3487</v>
      </c>
      <c r="B3464" s="2" t="s">
        <v>12461</v>
      </c>
    </row>
    <row r="3465" spans="1:2" x14ac:dyDescent="0.2">
      <c r="A3465" s="8" t="s">
        <v>3488</v>
      </c>
      <c r="B3465" s="2" t="s">
        <v>12461</v>
      </c>
    </row>
    <row r="3466" spans="1:2" x14ac:dyDescent="0.2">
      <c r="A3466" s="8" t="s">
        <v>3489</v>
      </c>
      <c r="B3466" s="2" t="s">
        <v>12461</v>
      </c>
    </row>
    <row r="3467" spans="1:2" x14ac:dyDescent="0.2">
      <c r="A3467" s="8" t="s">
        <v>3490</v>
      </c>
      <c r="B3467" s="2" t="s">
        <v>12461</v>
      </c>
    </row>
    <row r="3468" spans="1:2" x14ac:dyDescent="0.2">
      <c r="A3468" s="8" t="s">
        <v>3491</v>
      </c>
      <c r="B3468" s="2" t="s">
        <v>12461</v>
      </c>
    </row>
    <row r="3469" spans="1:2" x14ac:dyDescent="0.2">
      <c r="A3469" s="8" t="s">
        <v>3492</v>
      </c>
      <c r="B3469" s="2" t="s">
        <v>12461</v>
      </c>
    </row>
    <row r="3470" spans="1:2" x14ac:dyDescent="0.2">
      <c r="A3470" s="8" t="s">
        <v>3493</v>
      </c>
      <c r="B3470" s="2" t="s">
        <v>12461</v>
      </c>
    </row>
    <row r="3471" spans="1:2" x14ac:dyDescent="0.2">
      <c r="A3471" s="8" t="s">
        <v>3494</v>
      </c>
      <c r="B3471" s="2" t="s">
        <v>12461</v>
      </c>
    </row>
    <row r="3472" spans="1:2" x14ac:dyDescent="0.2">
      <c r="A3472" s="8" t="s">
        <v>3495</v>
      </c>
      <c r="B3472" s="2" t="s">
        <v>12461</v>
      </c>
    </row>
    <row r="3473" spans="1:2" x14ac:dyDescent="0.2">
      <c r="A3473" s="8" t="s">
        <v>3496</v>
      </c>
      <c r="B3473" s="2" t="s">
        <v>12461</v>
      </c>
    </row>
    <row r="3474" spans="1:2" x14ac:dyDescent="0.2">
      <c r="A3474" s="8" t="s">
        <v>3497</v>
      </c>
      <c r="B3474" s="2" t="s">
        <v>12461</v>
      </c>
    </row>
    <row r="3475" spans="1:2" x14ac:dyDescent="0.2">
      <c r="A3475" s="8" t="s">
        <v>3498</v>
      </c>
      <c r="B3475" s="2" t="s">
        <v>12461</v>
      </c>
    </row>
    <row r="3476" spans="1:2" x14ac:dyDescent="0.2">
      <c r="A3476" s="8" t="s">
        <v>3499</v>
      </c>
      <c r="B3476" s="2" t="s">
        <v>12461</v>
      </c>
    </row>
    <row r="3477" spans="1:2" x14ac:dyDescent="0.2">
      <c r="A3477" s="8" t="s">
        <v>3500</v>
      </c>
      <c r="B3477" s="2" t="s">
        <v>12461</v>
      </c>
    </row>
    <row r="3478" spans="1:2" x14ac:dyDescent="0.2">
      <c r="A3478" s="8" t="s">
        <v>3501</v>
      </c>
      <c r="B3478" s="2" t="s">
        <v>12461</v>
      </c>
    </row>
    <row r="3479" spans="1:2" x14ac:dyDescent="0.2">
      <c r="A3479" s="8" t="s">
        <v>3502</v>
      </c>
      <c r="B3479" s="2" t="s">
        <v>12461</v>
      </c>
    </row>
    <row r="3480" spans="1:2" x14ac:dyDescent="0.2">
      <c r="A3480" s="8" t="s">
        <v>3503</v>
      </c>
      <c r="B3480" s="2" t="s">
        <v>12461</v>
      </c>
    </row>
    <row r="3481" spans="1:2" x14ac:dyDescent="0.2">
      <c r="A3481" s="8" t="s">
        <v>3504</v>
      </c>
      <c r="B3481" s="2" t="s">
        <v>12461</v>
      </c>
    </row>
    <row r="3482" spans="1:2" x14ac:dyDescent="0.2">
      <c r="A3482" s="8" t="s">
        <v>3505</v>
      </c>
      <c r="B3482" s="2" t="s">
        <v>12461</v>
      </c>
    </row>
    <row r="3483" spans="1:2" x14ac:dyDescent="0.2">
      <c r="A3483" s="8" t="s">
        <v>3506</v>
      </c>
      <c r="B3483" s="2" t="s">
        <v>12461</v>
      </c>
    </row>
    <row r="3484" spans="1:2" x14ac:dyDescent="0.2">
      <c r="A3484" s="8" t="s">
        <v>3507</v>
      </c>
      <c r="B3484" s="2" t="s">
        <v>12461</v>
      </c>
    </row>
    <row r="3485" spans="1:2" x14ac:dyDescent="0.2">
      <c r="A3485" s="8" t="s">
        <v>3508</v>
      </c>
      <c r="B3485" s="2" t="s">
        <v>12461</v>
      </c>
    </row>
    <row r="3486" spans="1:2" x14ac:dyDescent="0.2">
      <c r="A3486" s="8" t="s">
        <v>3509</v>
      </c>
      <c r="B3486" s="2" t="s">
        <v>12461</v>
      </c>
    </row>
    <row r="3487" spans="1:2" x14ac:dyDescent="0.2">
      <c r="A3487" s="8" t="s">
        <v>3510</v>
      </c>
      <c r="B3487" s="2" t="s">
        <v>12461</v>
      </c>
    </row>
    <row r="3488" spans="1:2" x14ac:dyDescent="0.2">
      <c r="A3488" s="8" t="s">
        <v>3511</v>
      </c>
      <c r="B3488" s="2" t="s">
        <v>12461</v>
      </c>
    </row>
    <row r="3489" spans="1:2" x14ac:dyDescent="0.2">
      <c r="A3489" s="8" t="s">
        <v>3512</v>
      </c>
      <c r="B3489" s="2" t="s">
        <v>12461</v>
      </c>
    </row>
    <row r="3490" spans="1:2" x14ac:dyDescent="0.2">
      <c r="A3490" s="8" t="s">
        <v>3513</v>
      </c>
      <c r="B3490" s="2" t="s">
        <v>12461</v>
      </c>
    </row>
    <row r="3491" spans="1:2" x14ac:dyDescent="0.2">
      <c r="A3491" s="8" t="s">
        <v>3514</v>
      </c>
      <c r="B3491" s="2" t="s">
        <v>12461</v>
      </c>
    </row>
    <row r="3492" spans="1:2" x14ac:dyDescent="0.2">
      <c r="A3492" s="8" t="s">
        <v>3515</v>
      </c>
      <c r="B3492" s="2" t="s">
        <v>12461</v>
      </c>
    </row>
    <row r="3493" spans="1:2" x14ac:dyDescent="0.2">
      <c r="A3493" s="8" t="s">
        <v>3516</v>
      </c>
      <c r="B3493" s="2" t="s">
        <v>12461</v>
      </c>
    </row>
    <row r="3494" spans="1:2" x14ac:dyDescent="0.2">
      <c r="A3494" s="8" t="s">
        <v>3517</v>
      </c>
      <c r="B3494" s="2" t="s">
        <v>12461</v>
      </c>
    </row>
    <row r="3495" spans="1:2" x14ac:dyDescent="0.2">
      <c r="A3495" s="8" t="s">
        <v>3518</v>
      </c>
      <c r="B3495" s="2" t="s">
        <v>12461</v>
      </c>
    </row>
    <row r="3496" spans="1:2" x14ac:dyDescent="0.2">
      <c r="A3496" s="8" t="s">
        <v>3519</v>
      </c>
      <c r="B3496" s="2" t="s">
        <v>12461</v>
      </c>
    </row>
    <row r="3497" spans="1:2" x14ac:dyDescent="0.2">
      <c r="A3497" s="8" t="s">
        <v>3520</v>
      </c>
      <c r="B3497" s="2" t="s">
        <v>12461</v>
      </c>
    </row>
    <row r="3498" spans="1:2" x14ac:dyDescent="0.2">
      <c r="A3498" s="8" t="s">
        <v>3521</v>
      </c>
      <c r="B3498" s="2" t="s">
        <v>12461</v>
      </c>
    </row>
    <row r="3499" spans="1:2" x14ac:dyDescent="0.2">
      <c r="A3499" s="8" t="s">
        <v>3522</v>
      </c>
      <c r="B3499" s="2" t="s">
        <v>12461</v>
      </c>
    </row>
    <row r="3500" spans="1:2" x14ac:dyDescent="0.2">
      <c r="A3500" s="8" t="s">
        <v>3523</v>
      </c>
      <c r="B3500" s="2" t="s">
        <v>12461</v>
      </c>
    </row>
    <row r="3501" spans="1:2" x14ac:dyDescent="0.2">
      <c r="A3501" s="8" t="s">
        <v>3524</v>
      </c>
      <c r="B3501" s="2" t="s">
        <v>12461</v>
      </c>
    </row>
    <row r="3502" spans="1:2" x14ac:dyDescent="0.2">
      <c r="A3502" s="8" t="s">
        <v>3525</v>
      </c>
      <c r="B3502" s="2" t="s">
        <v>12461</v>
      </c>
    </row>
    <row r="3503" spans="1:2" x14ac:dyDescent="0.2">
      <c r="A3503" s="8" t="s">
        <v>3526</v>
      </c>
      <c r="B3503" s="2" t="s">
        <v>12461</v>
      </c>
    </row>
    <row r="3504" spans="1:2" x14ac:dyDescent="0.2">
      <c r="A3504" s="8" t="s">
        <v>3527</v>
      </c>
      <c r="B3504" s="2" t="s">
        <v>12461</v>
      </c>
    </row>
    <row r="3505" spans="1:2" x14ac:dyDescent="0.2">
      <c r="A3505" s="8" t="s">
        <v>3528</v>
      </c>
      <c r="B3505" s="2" t="s">
        <v>12461</v>
      </c>
    </row>
    <row r="3506" spans="1:2" x14ac:dyDescent="0.2">
      <c r="A3506" s="8" t="s">
        <v>3529</v>
      </c>
      <c r="B3506" s="2" t="s">
        <v>12461</v>
      </c>
    </row>
    <row r="3507" spans="1:2" x14ac:dyDescent="0.2">
      <c r="A3507" s="8" t="s">
        <v>3530</v>
      </c>
      <c r="B3507" s="2" t="s">
        <v>12461</v>
      </c>
    </row>
    <row r="3508" spans="1:2" x14ac:dyDescent="0.2">
      <c r="A3508" s="8" t="s">
        <v>3531</v>
      </c>
      <c r="B3508" s="2" t="s">
        <v>12461</v>
      </c>
    </row>
    <row r="3509" spans="1:2" x14ac:dyDescent="0.2">
      <c r="A3509" s="8" t="s">
        <v>3532</v>
      </c>
      <c r="B3509" s="2" t="s">
        <v>12461</v>
      </c>
    </row>
    <row r="3510" spans="1:2" x14ac:dyDescent="0.2">
      <c r="A3510" s="8" t="s">
        <v>3533</v>
      </c>
      <c r="B3510" s="2" t="s">
        <v>12461</v>
      </c>
    </row>
    <row r="3511" spans="1:2" x14ac:dyDescent="0.2">
      <c r="A3511" s="8" t="s">
        <v>3534</v>
      </c>
      <c r="B3511" s="2" t="s">
        <v>12461</v>
      </c>
    </row>
    <row r="3512" spans="1:2" x14ac:dyDescent="0.2">
      <c r="A3512" s="8" t="s">
        <v>3535</v>
      </c>
      <c r="B3512" s="2" t="s">
        <v>12461</v>
      </c>
    </row>
    <row r="3513" spans="1:2" x14ac:dyDescent="0.2">
      <c r="A3513" s="8" t="s">
        <v>3536</v>
      </c>
      <c r="B3513" s="2" t="s">
        <v>12461</v>
      </c>
    </row>
    <row r="3514" spans="1:2" x14ac:dyDescent="0.2">
      <c r="A3514" s="8" t="s">
        <v>3537</v>
      </c>
      <c r="B3514" s="2" t="s">
        <v>12461</v>
      </c>
    </row>
    <row r="3515" spans="1:2" x14ac:dyDescent="0.2">
      <c r="A3515" s="8" t="s">
        <v>3538</v>
      </c>
      <c r="B3515" s="2" t="s">
        <v>12461</v>
      </c>
    </row>
    <row r="3516" spans="1:2" x14ac:dyDescent="0.2">
      <c r="A3516" s="8" t="s">
        <v>3539</v>
      </c>
      <c r="B3516" s="2" t="s">
        <v>12461</v>
      </c>
    </row>
    <row r="3517" spans="1:2" x14ac:dyDescent="0.2">
      <c r="A3517" s="8" t="s">
        <v>3540</v>
      </c>
      <c r="B3517" s="2" t="s">
        <v>12461</v>
      </c>
    </row>
    <row r="3518" spans="1:2" x14ac:dyDescent="0.2">
      <c r="A3518" s="8" t="s">
        <v>3541</v>
      </c>
      <c r="B3518" s="2" t="s">
        <v>12461</v>
      </c>
    </row>
    <row r="3519" spans="1:2" x14ac:dyDescent="0.2">
      <c r="A3519" s="8" t="s">
        <v>3542</v>
      </c>
      <c r="B3519" s="2" t="s">
        <v>12461</v>
      </c>
    </row>
    <row r="3520" spans="1:2" x14ac:dyDescent="0.2">
      <c r="A3520" s="8" t="s">
        <v>3543</v>
      </c>
      <c r="B3520" s="2" t="s">
        <v>12461</v>
      </c>
    </row>
    <row r="3521" spans="1:2" x14ac:dyDescent="0.2">
      <c r="A3521" s="8" t="s">
        <v>3544</v>
      </c>
      <c r="B3521" s="2" t="s">
        <v>12461</v>
      </c>
    </row>
    <row r="3522" spans="1:2" x14ac:dyDescent="0.2">
      <c r="A3522" s="8" t="s">
        <v>3545</v>
      </c>
      <c r="B3522" s="2" t="s">
        <v>12461</v>
      </c>
    </row>
    <row r="3523" spans="1:2" x14ac:dyDescent="0.2">
      <c r="A3523" s="8" t="s">
        <v>3546</v>
      </c>
      <c r="B3523" s="2" t="s">
        <v>12461</v>
      </c>
    </row>
    <row r="3524" spans="1:2" x14ac:dyDescent="0.2">
      <c r="A3524" s="8" t="s">
        <v>3547</v>
      </c>
      <c r="B3524" s="2" t="s">
        <v>12461</v>
      </c>
    </row>
    <row r="3525" spans="1:2" x14ac:dyDescent="0.2">
      <c r="A3525" s="8" t="s">
        <v>3548</v>
      </c>
      <c r="B3525" s="2" t="s">
        <v>12461</v>
      </c>
    </row>
    <row r="3526" spans="1:2" x14ac:dyDescent="0.2">
      <c r="A3526" s="8" t="s">
        <v>3549</v>
      </c>
      <c r="B3526" s="2" t="s">
        <v>12461</v>
      </c>
    </row>
    <row r="3527" spans="1:2" x14ac:dyDescent="0.2">
      <c r="A3527" s="8" t="s">
        <v>3550</v>
      </c>
      <c r="B3527" s="2" t="s">
        <v>12461</v>
      </c>
    </row>
    <row r="3528" spans="1:2" x14ac:dyDescent="0.2">
      <c r="A3528" s="8" t="s">
        <v>3551</v>
      </c>
      <c r="B3528" s="2" t="s">
        <v>12461</v>
      </c>
    </row>
    <row r="3529" spans="1:2" x14ac:dyDescent="0.2">
      <c r="A3529" s="8" t="s">
        <v>3552</v>
      </c>
      <c r="B3529" s="2" t="s">
        <v>12461</v>
      </c>
    </row>
    <row r="3530" spans="1:2" x14ac:dyDescent="0.2">
      <c r="A3530" s="8" t="s">
        <v>3553</v>
      </c>
      <c r="B3530" s="2" t="s">
        <v>12461</v>
      </c>
    </row>
    <row r="3531" spans="1:2" x14ac:dyDescent="0.2">
      <c r="A3531" s="8" t="s">
        <v>3554</v>
      </c>
      <c r="B3531" s="2" t="s">
        <v>12461</v>
      </c>
    </row>
    <row r="3532" spans="1:2" x14ac:dyDescent="0.2">
      <c r="A3532" s="8" t="s">
        <v>3555</v>
      </c>
      <c r="B3532" s="2" t="s">
        <v>12461</v>
      </c>
    </row>
    <row r="3533" spans="1:2" x14ac:dyDescent="0.2">
      <c r="A3533" s="8" t="s">
        <v>3556</v>
      </c>
      <c r="B3533" s="2" t="s">
        <v>12461</v>
      </c>
    </row>
    <row r="3534" spans="1:2" x14ac:dyDescent="0.2">
      <c r="A3534" s="8" t="s">
        <v>3557</v>
      </c>
      <c r="B3534" s="2" t="s">
        <v>12461</v>
      </c>
    </row>
    <row r="3535" spans="1:2" x14ac:dyDescent="0.2">
      <c r="A3535" s="8" t="s">
        <v>3558</v>
      </c>
      <c r="B3535" s="2" t="s">
        <v>12461</v>
      </c>
    </row>
    <row r="3536" spans="1:2" x14ac:dyDescent="0.2">
      <c r="A3536" s="8" t="s">
        <v>3559</v>
      </c>
      <c r="B3536" s="2" t="s">
        <v>12461</v>
      </c>
    </row>
    <row r="3537" spans="1:2" x14ac:dyDescent="0.2">
      <c r="A3537" s="8" t="s">
        <v>3560</v>
      </c>
      <c r="B3537" s="2" t="s">
        <v>12461</v>
      </c>
    </row>
    <row r="3538" spans="1:2" x14ac:dyDescent="0.2">
      <c r="A3538" s="8" t="s">
        <v>3561</v>
      </c>
      <c r="B3538" s="2" t="s">
        <v>12461</v>
      </c>
    </row>
    <row r="3539" spans="1:2" x14ac:dyDescent="0.2">
      <c r="A3539" s="8" t="s">
        <v>3562</v>
      </c>
      <c r="B3539" s="2" t="s">
        <v>12462</v>
      </c>
    </row>
    <row r="3540" spans="1:2" x14ac:dyDescent="0.2">
      <c r="A3540" s="8" t="s">
        <v>3563</v>
      </c>
      <c r="B3540" s="2" t="s">
        <v>12462</v>
      </c>
    </row>
    <row r="3541" spans="1:2" x14ac:dyDescent="0.2">
      <c r="A3541" s="8" t="s">
        <v>3564</v>
      </c>
      <c r="B3541" s="2" t="s">
        <v>12462</v>
      </c>
    </row>
    <row r="3542" spans="1:2" x14ac:dyDescent="0.2">
      <c r="A3542" s="8" t="s">
        <v>3565</v>
      </c>
      <c r="B3542" s="2" t="s">
        <v>12462</v>
      </c>
    </row>
    <row r="3543" spans="1:2" x14ac:dyDescent="0.2">
      <c r="A3543" s="8" t="s">
        <v>3566</v>
      </c>
      <c r="B3543" s="2" t="s">
        <v>12462</v>
      </c>
    </row>
    <row r="3544" spans="1:2" x14ac:dyDescent="0.2">
      <c r="A3544" s="8" t="s">
        <v>3567</v>
      </c>
      <c r="B3544" s="2" t="s">
        <v>12462</v>
      </c>
    </row>
    <row r="3545" spans="1:2" x14ac:dyDescent="0.2">
      <c r="A3545" s="8" t="s">
        <v>3568</v>
      </c>
      <c r="B3545" s="2" t="s">
        <v>12462</v>
      </c>
    </row>
    <row r="3546" spans="1:2" x14ac:dyDescent="0.2">
      <c r="A3546" s="8" t="s">
        <v>3569</v>
      </c>
      <c r="B3546" s="2" t="s">
        <v>12462</v>
      </c>
    </row>
    <row r="3547" spans="1:2" x14ac:dyDescent="0.2">
      <c r="A3547" s="8" t="s">
        <v>3570</v>
      </c>
      <c r="B3547" s="2" t="s">
        <v>12462</v>
      </c>
    </row>
    <row r="3548" spans="1:2" x14ac:dyDescent="0.2">
      <c r="A3548" s="8" t="s">
        <v>3571</v>
      </c>
      <c r="B3548" s="2" t="s">
        <v>12462</v>
      </c>
    </row>
    <row r="3549" spans="1:2" x14ac:dyDescent="0.2">
      <c r="A3549" s="8" t="s">
        <v>3572</v>
      </c>
      <c r="B3549" s="2" t="s">
        <v>12462</v>
      </c>
    </row>
    <row r="3550" spans="1:2" x14ac:dyDescent="0.2">
      <c r="A3550" s="8" t="s">
        <v>3573</v>
      </c>
      <c r="B3550" s="2" t="s">
        <v>12462</v>
      </c>
    </row>
    <row r="3551" spans="1:2" x14ac:dyDescent="0.2">
      <c r="A3551" s="8" t="s">
        <v>3574</v>
      </c>
      <c r="B3551" s="2" t="s">
        <v>12462</v>
      </c>
    </row>
    <row r="3552" spans="1:2" x14ac:dyDescent="0.2">
      <c r="A3552" s="8" t="s">
        <v>3575</v>
      </c>
      <c r="B3552" s="2" t="s">
        <v>12462</v>
      </c>
    </row>
    <row r="3553" spans="1:2" x14ac:dyDescent="0.2">
      <c r="A3553" s="8" t="s">
        <v>3576</v>
      </c>
      <c r="B3553" s="2" t="s">
        <v>12462</v>
      </c>
    </row>
    <row r="3554" spans="1:2" x14ac:dyDescent="0.2">
      <c r="A3554" s="8" t="s">
        <v>3577</v>
      </c>
      <c r="B3554" s="2" t="s">
        <v>12462</v>
      </c>
    </row>
    <row r="3555" spans="1:2" x14ac:dyDescent="0.2">
      <c r="A3555" s="8" t="s">
        <v>3578</v>
      </c>
      <c r="B3555" s="2" t="s">
        <v>12462</v>
      </c>
    </row>
    <row r="3556" spans="1:2" x14ac:dyDescent="0.2">
      <c r="A3556" s="8" t="s">
        <v>3579</v>
      </c>
      <c r="B3556" s="2" t="s">
        <v>12462</v>
      </c>
    </row>
    <row r="3557" spans="1:2" x14ac:dyDescent="0.2">
      <c r="A3557" s="8" t="s">
        <v>3580</v>
      </c>
      <c r="B3557" s="2" t="s">
        <v>12462</v>
      </c>
    </row>
    <row r="3558" spans="1:2" x14ac:dyDescent="0.2">
      <c r="A3558" s="8" t="s">
        <v>3581</v>
      </c>
      <c r="B3558" s="2" t="s">
        <v>12462</v>
      </c>
    </row>
    <row r="3559" spans="1:2" x14ac:dyDescent="0.2">
      <c r="A3559" s="8" t="s">
        <v>3582</v>
      </c>
      <c r="B3559" s="2" t="s">
        <v>12462</v>
      </c>
    </row>
    <row r="3560" spans="1:2" x14ac:dyDescent="0.2">
      <c r="A3560" s="8" t="s">
        <v>3583</v>
      </c>
      <c r="B3560" s="2" t="s">
        <v>12462</v>
      </c>
    </row>
    <row r="3561" spans="1:2" x14ac:dyDescent="0.2">
      <c r="A3561" s="8" t="s">
        <v>3584</v>
      </c>
      <c r="B3561" s="2" t="s">
        <v>12462</v>
      </c>
    </row>
    <row r="3562" spans="1:2" x14ac:dyDescent="0.2">
      <c r="A3562" s="8" t="s">
        <v>3585</v>
      </c>
      <c r="B3562" s="2" t="s">
        <v>12462</v>
      </c>
    </row>
    <row r="3563" spans="1:2" x14ac:dyDescent="0.2">
      <c r="A3563" s="8" t="s">
        <v>3586</v>
      </c>
      <c r="B3563" s="2" t="s">
        <v>12462</v>
      </c>
    </row>
    <row r="3564" spans="1:2" x14ac:dyDescent="0.2">
      <c r="A3564" s="8" t="s">
        <v>3587</v>
      </c>
      <c r="B3564" s="2" t="s">
        <v>12462</v>
      </c>
    </row>
    <row r="3565" spans="1:2" x14ac:dyDescent="0.2">
      <c r="A3565" s="8" t="s">
        <v>3588</v>
      </c>
      <c r="B3565" s="2" t="s">
        <v>12462</v>
      </c>
    </row>
    <row r="3566" spans="1:2" x14ac:dyDescent="0.2">
      <c r="A3566" s="8" t="s">
        <v>3589</v>
      </c>
      <c r="B3566" s="2" t="s">
        <v>12462</v>
      </c>
    </row>
    <row r="3567" spans="1:2" x14ac:dyDescent="0.2">
      <c r="A3567" s="8" t="s">
        <v>3590</v>
      </c>
      <c r="B3567" s="2" t="s">
        <v>12462</v>
      </c>
    </row>
    <row r="3568" spans="1:2" x14ac:dyDescent="0.2">
      <c r="A3568" s="8" t="s">
        <v>3591</v>
      </c>
      <c r="B3568" s="2" t="s">
        <v>12462</v>
      </c>
    </row>
    <row r="3569" spans="1:2" x14ac:dyDescent="0.2">
      <c r="A3569" s="8" t="s">
        <v>3592</v>
      </c>
      <c r="B3569" s="2" t="s">
        <v>12462</v>
      </c>
    </row>
    <row r="3570" spans="1:2" x14ac:dyDescent="0.2">
      <c r="A3570" s="8" t="s">
        <v>3593</v>
      </c>
      <c r="B3570" s="2" t="s">
        <v>12462</v>
      </c>
    </row>
    <row r="3571" spans="1:2" x14ac:dyDescent="0.2">
      <c r="A3571" s="8" t="s">
        <v>3594</v>
      </c>
      <c r="B3571" s="2" t="s">
        <v>12462</v>
      </c>
    </row>
    <row r="3572" spans="1:2" x14ac:dyDescent="0.2">
      <c r="A3572" s="8" t="s">
        <v>3595</v>
      </c>
      <c r="B3572" s="2" t="s">
        <v>12462</v>
      </c>
    </row>
    <row r="3573" spans="1:2" x14ac:dyDescent="0.2">
      <c r="A3573" s="8" t="s">
        <v>3596</v>
      </c>
      <c r="B3573" s="2" t="s">
        <v>12462</v>
      </c>
    </row>
    <row r="3574" spans="1:2" x14ac:dyDescent="0.2">
      <c r="A3574" s="8" t="s">
        <v>3597</v>
      </c>
      <c r="B3574" s="2" t="s">
        <v>12462</v>
      </c>
    </row>
    <row r="3575" spans="1:2" x14ac:dyDescent="0.2">
      <c r="A3575" s="8" t="s">
        <v>3598</v>
      </c>
      <c r="B3575" s="2" t="s">
        <v>12462</v>
      </c>
    </row>
    <row r="3576" spans="1:2" x14ac:dyDescent="0.2">
      <c r="A3576" s="8" t="s">
        <v>3599</v>
      </c>
      <c r="B3576" s="2" t="s">
        <v>12462</v>
      </c>
    </row>
    <row r="3577" spans="1:2" x14ac:dyDescent="0.2">
      <c r="A3577" s="8" t="s">
        <v>3600</v>
      </c>
      <c r="B3577" s="2" t="s">
        <v>12462</v>
      </c>
    </row>
    <row r="3578" spans="1:2" x14ac:dyDescent="0.2">
      <c r="A3578" s="8" t="s">
        <v>3601</v>
      </c>
      <c r="B3578" s="2" t="s">
        <v>12462</v>
      </c>
    </row>
    <row r="3579" spans="1:2" x14ac:dyDescent="0.2">
      <c r="A3579" s="8" t="s">
        <v>3602</v>
      </c>
      <c r="B3579" s="2" t="s">
        <v>12462</v>
      </c>
    </row>
    <row r="3580" spans="1:2" x14ac:dyDescent="0.2">
      <c r="A3580" s="8" t="s">
        <v>3603</v>
      </c>
      <c r="B3580" s="2" t="s">
        <v>12462</v>
      </c>
    </row>
    <row r="3581" spans="1:2" x14ac:dyDescent="0.2">
      <c r="A3581" s="8" t="s">
        <v>3604</v>
      </c>
      <c r="B3581" s="2" t="s">
        <v>12462</v>
      </c>
    </row>
    <row r="3582" spans="1:2" x14ac:dyDescent="0.2">
      <c r="A3582" s="8" t="s">
        <v>3605</v>
      </c>
      <c r="B3582" s="2" t="s">
        <v>12462</v>
      </c>
    </row>
    <row r="3583" spans="1:2" x14ac:dyDescent="0.2">
      <c r="A3583" s="8" t="s">
        <v>3606</v>
      </c>
      <c r="B3583" s="2" t="s">
        <v>12462</v>
      </c>
    </row>
    <row r="3584" spans="1:2" x14ac:dyDescent="0.2">
      <c r="A3584" s="8" t="s">
        <v>3607</v>
      </c>
      <c r="B3584" s="2" t="s">
        <v>12462</v>
      </c>
    </row>
    <row r="3585" spans="1:2" x14ac:dyDescent="0.2">
      <c r="A3585" s="8" t="s">
        <v>3608</v>
      </c>
      <c r="B3585" s="2" t="s">
        <v>12462</v>
      </c>
    </row>
    <row r="3586" spans="1:2" x14ac:dyDescent="0.2">
      <c r="A3586" s="8" t="s">
        <v>3609</v>
      </c>
      <c r="B3586" s="2" t="s">
        <v>12462</v>
      </c>
    </row>
    <row r="3587" spans="1:2" x14ac:dyDescent="0.2">
      <c r="A3587" s="8" t="s">
        <v>3610</v>
      </c>
      <c r="B3587" s="2" t="s">
        <v>12462</v>
      </c>
    </row>
    <row r="3588" spans="1:2" x14ac:dyDescent="0.2">
      <c r="A3588" s="8" t="s">
        <v>3611</v>
      </c>
      <c r="B3588" s="2" t="s">
        <v>12462</v>
      </c>
    </row>
    <row r="3589" spans="1:2" x14ac:dyDescent="0.2">
      <c r="A3589" s="8" t="s">
        <v>3612</v>
      </c>
      <c r="B3589" s="2" t="s">
        <v>12462</v>
      </c>
    </row>
    <row r="3590" spans="1:2" x14ac:dyDescent="0.2">
      <c r="A3590" s="8" t="s">
        <v>3613</v>
      </c>
      <c r="B3590" s="2" t="s">
        <v>12462</v>
      </c>
    </row>
    <row r="3591" spans="1:2" x14ac:dyDescent="0.2">
      <c r="A3591" s="8" t="s">
        <v>3614</v>
      </c>
      <c r="B3591" s="2" t="s">
        <v>12462</v>
      </c>
    </row>
    <row r="3592" spans="1:2" x14ac:dyDescent="0.2">
      <c r="A3592" s="8" t="s">
        <v>3615</v>
      </c>
      <c r="B3592" s="2" t="s">
        <v>12462</v>
      </c>
    </row>
    <row r="3593" spans="1:2" x14ac:dyDescent="0.2">
      <c r="A3593" s="8" t="s">
        <v>3616</v>
      </c>
      <c r="B3593" s="2" t="s">
        <v>12462</v>
      </c>
    </row>
    <row r="3594" spans="1:2" x14ac:dyDescent="0.2">
      <c r="A3594" s="8" t="s">
        <v>3617</v>
      </c>
      <c r="B3594" s="2" t="s">
        <v>12462</v>
      </c>
    </row>
    <row r="3595" spans="1:2" x14ac:dyDescent="0.2">
      <c r="A3595" s="8" t="s">
        <v>3618</v>
      </c>
      <c r="B3595" s="2" t="s">
        <v>12462</v>
      </c>
    </row>
    <row r="3596" spans="1:2" x14ac:dyDescent="0.2">
      <c r="A3596" s="8" t="s">
        <v>3619</v>
      </c>
      <c r="B3596" s="2" t="s">
        <v>12462</v>
      </c>
    </row>
    <row r="3597" spans="1:2" x14ac:dyDescent="0.2">
      <c r="A3597" s="8" t="s">
        <v>3620</v>
      </c>
      <c r="B3597" s="2" t="s">
        <v>12462</v>
      </c>
    </row>
    <row r="3598" spans="1:2" x14ac:dyDescent="0.2">
      <c r="A3598" s="8" t="s">
        <v>3621</v>
      </c>
      <c r="B3598" s="2" t="s">
        <v>12462</v>
      </c>
    </row>
    <row r="3599" spans="1:2" x14ac:dyDescent="0.2">
      <c r="A3599" s="8" t="s">
        <v>3622</v>
      </c>
      <c r="B3599" s="2" t="s">
        <v>12462</v>
      </c>
    </row>
    <row r="3600" spans="1:2" x14ac:dyDescent="0.2">
      <c r="A3600" s="8" t="s">
        <v>3623</v>
      </c>
      <c r="B3600" s="2" t="s">
        <v>12462</v>
      </c>
    </row>
    <row r="3601" spans="1:2" x14ac:dyDescent="0.2">
      <c r="A3601" s="8" t="s">
        <v>3624</v>
      </c>
      <c r="B3601" s="2" t="s">
        <v>12462</v>
      </c>
    </row>
    <row r="3602" spans="1:2" x14ac:dyDescent="0.2">
      <c r="A3602" s="8" t="s">
        <v>3625</v>
      </c>
      <c r="B3602" s="2" t="s">
        <v>12462</v>
      </c>
    </row>
    <row r="3603" spans="1:2" x14ac:dyDescent="0.2">
      <c r="A3603" s="8" t="s">
        <v>3626</v>
      </c>
      <c r="B3603" s="2" t="s">
        <v>12462</v>
      </c>
    </row>
    <row r="3604" spans="1:2" x14ac:dyDescent="0.2">
      <c r="A3604" s="8" t="s">
        <v>3627</v>
      </c>
      <c r="B3604" s="2" t="s">
        <v>12462</v>
      </c>
    </row>
    <row r="3605" spans="1:2" x14ac:dyDescent="0.2">
      <c r="A3605" s="8" t="s">
        <v>3628</v>
      </c>
      <c r="B3605" s="2" t="s">
        <v>12462</v>
      </c>
    </row>
    <row r="3606" spans="1:2" x14ac:dyDescent="0.2">
      <c r="A3606" s="8" t="s">
        <v>3629</v>
      </c>
      <c r="B3606" s="2" t="s">
        <v>12462</v>
      </c>
    </row>
    <row r="3607" spans="1:2" x14ac:dyDescent="0.2">
      <c r="A3607" s="8" t="s">
        <v>3630</v>
      </c>
      <c r="B3607" s="2" t="s">
        <v>12462</v>
      </c>
    </row>
    <row r="3608" spans="1:2" x14ac:dyDescent="0.2">
      <c r="A3608" s="8" t="s">
        <v>3631</v>
      </c>
      <c r="B3608" s="2" t="s">
        <v>12462</v>
      </c>
    </row>
    <row r="3609" spans="1:2" x14ac:dyDescent="0.2">
      <c r="A3609" s="8" t="s">
        <v>3632</v>
      </c>
      <c r="B3609" s="2" t="s">
        <v>12462</v>
      </c>
    </row>
    <row r="3610" spans="1:2" x14ac:dyDescent="0.2">
      <c r="A3610" s="8" t="s">
        <v>3633</v>
      </c>
      <c r="B3610" s="2" t="s">
        <v>12462</v>
      </c>
    </row>
    <row r="3611" spans="1:2" x14ac:dyDescent="0.2">
      <c r="A3611" s="8" t="s">
        <v>3634</v>
      </c>
      <c r="B3611" s="2" t="s">
        <v>12462</v>
      </c>
    </row>
    <row r="3612" spans="1:2" x14ac:dyDescent="0.2">
      <c r="A3612" s="8" t="s">
        <v>3635</v>
      </c>
      <c r="B3612" s="2" t="s">
        <v>12462</v>
      </c>
    </row>
    <row r="3613" spans="1:2" x14ac:dyDescent="0.2">
      <c r="A3613" s="8" t="s">
        <v>3636</v>
      </c>
      <c r="B3613" s="2" t="s">
        <v>12462</v>
      </c>
    </row>
    <row r="3614" spans="1:2" x14ac:dyDescent="0.2">
      <c r="A3614" s="8" t="s">
        <v>3637</v>
      </c>
      <c r="B3614" s="2" t="s">
        <v>12462</v>
      </c>
    </row>
    <row r="3615" spans="1:2" x14ac:dyDescent="0.2">
      <c r="A3615" s="8" t="s">
        <v>3638</v>
      </c>
      <c r="B3615" s="2" t="s">
        <v>12462</v>
      </c>
    </row>
    <row r="3616" spans="1:2" x14ac:dyDescent="0.2">
      <c r="A3616" s="8" t="s">
        <v>3639</v>
      </c>
      <c r="B3616" s="2" t="s">
        <v>12462</v>
      </c>
    </row>
    <row r="3617" spans="1:2" x14ac:dyDescent="0.2">
      <c r="A3617" s="8" t="s">
        <v>3640</v>
      </c>
      <c r="B3617" s="2" t="s">
        <v>12462</v>
      </c>
    </row>
    <row r="3618" spans="1:2" x14ac:dyDescent="0.2">
      <c r="A3618" s="8" t="s">
        <v>3641</v>
      </c>
      <c r="B3618" s="2" t="s">
        <v>12462</v>
      </c>
    </row>
    <row r="3619" spans="1:2" x14ac:dyDescent="0.2">
      <c r="A3619" s="8" t="s">
        <v>3642</v>
      </c>
      <c r="B3619" s="2" t="s">
        <v>12462</v>
      </c>
    </row>
    <row r="3620" spans="1:2" x14ac:dyDescent="0.2">
      <c r="A3620" s="8" t="s">
        <v>3643</v>
      </c>
      <c r="B3620" s="2" t="s">
        <v>12462</v>
      </c>
    </row>
    <row r="3621" spans="1:2" x14ac:dyDescent="0.2">
      <c r="A3621" s="8" t="s">
        <v>3644</v>
      </c>
      <c r="B3621" s="2" t="s">
        <v>12462</v>
      </c>
    </row>
    <row r="3622" spans="1:2" x14ac:dyDescent="0.2">
      <c r="A3622" s="8" t="s">
        <v>3645</v>
      </c>
      <c r="B3622" s="2" t="s">
        <v>12462</v>
      </c>
    </row>
    <row r="3623" spans="1:2" x14ac:dyDescent="0.2">
      <c r="A3623" s="8" t="s">
        <v>3646</v>
      </c>
      <c r="B3623" s="2" t="s">
        <v>12462</v>
      </c>
    </row>
    <row r="3624" spans="1:2" x14ac:dyDescent="0.2">
      <c r="A3624" s="8" t="s">
        <v>3647</v>
      </c>
      <c r="B3624" s="2" t="s">
        <v>12462</v>
      </c>
    </row>
    <row r="3625" spans="1:2" x14ac:dyDescent="0.2">
      <c r="A3625" s="8" t="s">
        <v>3648</v>
      </c>
      <c r="B3625" s="2" t="s">
        <v>12462</v>
      </c>
    </row>
    <row r="3626" spans="1:2" x14ac:dyDescent="0.2">
      <c r="A3626" s="8" t="s">
        <v>3649</v>
      </c>
      <c r="B3626" s="2" t="s">
        <v>12462</v>
      </c>
    </row>
    <row r="3627" spans="1:2" x14ac:dyDescent="0.2">
      <c r="A3627" s="8" t="s">
        <v>3650</v>
      </c>
      <c r="B3627" s="2" t="s">
        <v>12462</v>
      </c>
    </row>
    <row r="3628" spans="1:2" x14ac:dyDescent="0.2">
      <c r="A3628" s="8" t="s">
        <v>3651</v>
      </c>
      <c r="B3628" s="2" t="s">
        <v>12462</v>
      </c>
    </row>
    <row r="3629" spans="1:2" x14ac:dyDescent="0.2">
      <c r="A3629" s="8" t="s">
        <v>3652</v>
      </c>
      <c r="B3629" s="2" t="s">
        <v>12462</v>
      </c>
    </row>
    <row r="3630" spans="1:2" x14ac:dyDescent="0.2">
      <c r="A3630" s="8" t="s">
        <v>3653</v>
      </c>
      <c r="B3630" s="2" t="s">
        <v>12462</v>
      </c>
    </row>
    <row r="3631" spans="1:2" x14ac:dyDescent="0.2">
      <c r="A3631" s="8" t="s">
        <v>3654</v>
      </c>
      <c r="B3631" s="2" t="s">
        <v>12462</v>
      </c>
    </row>
    <row r="3632" spans="1:2" x14ac:dyDescent="0.2">
      <c r="A3632" s="8" t="s">
        <v>3655</v>
      </c>
      <c r="B3632" s="2" t="s">
        <v>12462</v>
      </c>
    </row>
    <row r="3633" spans="1:2" x14ac:dyDescent="0.2">
      <c r="A3633" s="8" t="s">
        <v>3656</v>
      </c>
      <c r="B3633" s="2" t="s">
        <v>12462</v>
      </c>
    </row>
    <row r="3634" spans="1:2" x14ac:dyDescent="0.2">
      <c r="A3634" s="8" t="s">
        <v>3657</v>
      </c>
      <c r="B3634" s="2" t="s">
        <v>12462</v>
      </c>
    </row>
    <row r="3635" spans="1:2" x14ac:dyDescent="0.2">
      <c r="A3635" s="8" t="s">
        <v>3658</v>
      </c>
      <c r="B3635" s="2" t="s">
        <v>12462</v>
      </c>
    </row>
    <row r="3636" spans="1:2" x14ac:dyDescent="0.2">
      <c r="A3636" s="8" t="s">
        <v>3659</v>
      </c>
      <c r="B3636" s="2" t="s">
        <v>12462</v>
      </c>
    </row>
    <row r="3637" spans="1:2" x14ac:dyDescent="0.2">
      <c r="A3637" s="8" t="s">
        <v>3660</v>
      </c>
      <c r="B3637" s="2" t="s">
        <v>12462</v>
      </c>
    </row>
    <row r="3638" spans="1:2" x14ac:dyDescent="0.2">
      <c r="A3638" s="8" t="s">
        <v>3661</v>
      </c>
      <c r="B3638" s="2" t="s">
        <v>12462</v>
      </c>
    </row>
    <row r="3639" spans="1:2" x14ac:dyDescent="0.2">
      <c r="A3639" s="8" t="s">
        <v>3662</v>
      </c>
      <c r="B3639" s="2" t="s">
        <v>12462</v>
      </c>
    </row>
    <row r="3640" spans="1:2" x14ac:dyDescent="0.2">
      <c r="A3640" s="8" t="s">
        <v>3663</v>
      </c>
      <c r="B3640" s="2" t="s">
        <v>12462</v>
      </c>
    </row>
    <row r="3641" spans="1:2" x14ac:dyDescent="0.2">
      <c r="A3641" s="8" t="s">
        <v>3664</v>
      </c>
      <c r="B3641" s="2" t="s">
        <v>12462</v>
      </c>
    </row>
    <row r="3642" spans="1:2" x14ac:dyDescent="0.2">
      <c r="A3642" s="8" t="s">
        <v>3665</v>
      </c>
      <c r="B3642" s="2" t="s">
        <v>12462</v>
      </c>
    </row>
    <row r="3643" spans="1:2" x14ac:dyDescent="0.2">
      <c r="A3643" s="8" t="s">
        <v>3666</v>
      </c>
      <c r="B3643" s="2" t="s">
        <v>12462</v>
      </c>
    </row>
    <row r="3644" spans="1:2" x14ac:dyDescent="0.2">
      <c r="A3644" s="8" t="s">
        <v>3667</v>
      </c>
      <c r="B3644" s="2" t="s">
        <v>12462</v>
      </c>
    </row>
    <row r="3645" spans="1:2" x14ac:dyDescent="0.2">
      <c r="A3645" s="8" t="s">
        <v>3668</v>
      </c>
      <c r="B3645" s="2" t="s">
        <v>12462</v>
      </c>
    </row>
    <row r="3646" spans="1:2" x14ac:dyDescent="0.2">
      <c r="A3646" s="8" t="s">
        <v>3669</v>
      </c>
      <c r="B3646" s="2" t="s">
        <v>12462</v>
      </c>
    </row>
    <row r="3647" spans="1:2" x14ac:dyDescent="0.2">
      <c r="A3647" s="8" t="s">
        <v>3670</v>
      </c>
      <c r="B3647" s="2" t="s">
        <v>12462</v>
      </c>
    </row>
    <row r="3648" spans="1:2" x14ac:dyDescent="0.2">
      <c r="A3648" s="8" t="s">
        <v>3671</v>
      </c>
      <c r="B3648" s="2" t="s">
        <v>12462</v>
      </c>
    </row>
    <row r="3649" spans="1:2" x14ac:dyDescent="0.2">
      <c r="A3649" s="8" t="s">
        <v>3672</v>
      </c>
      <c r="B3649" s="2" t="s">
        <v>12462</v>
      </c>
    </row>
    <row r="3650" spans="1:2" x14ac:dyDescent="0.2">
      <c r="A3650" s="8" t="s">
        <v>3673</v>
      </c>
      <c r="B3650" s="2" t="s">
        <v>12462</v>
      </c>
    </row>
    <row r="3651" spans="1:2" x14ac:dyDescent="0.2">
      <c r="A3651" s="8" t="s">
        <v>3674</v>
      </c>
      <c r="B3651" s="2" t="s">
        <v>12462</v>
      </c>
    </row>
    <row r="3652" spans="1:2" x14ac:dyDescent="0.2">
      <c r="A3652" s="8" t="s">
        <v>3675</v>
      </c>
      <c r="B3652" s="2" t="s">
        <v>12462</v>
      </c>
    </row>
    <row r="3653" spans="1:2" x14ac:dyDescent="0.2">
      <c r="A3653" s="8" t="s">
        <v>3676</v>
      </c>
      <c r="B3653" s="2" t="s">
        <v>12462</v>
      </c>
    </row>
    <row r="3654" spans="1:2" x14ac:dyDescent="0.2">
      <c r="A3654" s="8" t="s">
        <v>3677</v>
      </c>
      <c r="B3654" s="2" t="s">
        <v>12462</v>
      </c>
    </row>
    <row r="3655" spans="1:2" x14ac:dyDescent="0.2">
      <c r="A3655" s="8" t="s">
        <v>3678</v>
      </c>
      <c r="B3655" s="2" t="s">
        <v>12462</v>
      </c>
    </row>
    <row r="3656" spans="1:2" x14ac:dyDescent="0.2">
      <c r="A3656" s="8" t="s">
        <v>3679</v>
      </c>
      <c r="B3656" s="2" t="s">
        <v>12462</v>
      </c>
    </row>
    <row r="3657" spans="1:2" x14ac:dyDescent="0.2">
      <c r="A3657" s="8" t="s">
        <v>3680</v>
      </c>
      <c r="B3657" s="2" t="s">
        <v>12462</v>
      </c>
    </row>
    <row r="3658" spans="1:2" x14ac:dyDescent="0.2">
      <c r="A3658" s="8" t="s">
        <v>3681</v>
      </c>
      <c r="B3658" s="2" t="s">
        <v>12462</v>
      </c>
    </row>
    <row r="3659" spans="1:2" x14ac:dyDescent="0.2">
      <c r="A3659" s="8" t="s">
        <v>3682</v>
      </c>
      <c r="B3659" s="2" t="s">
        <v>12462</v>
      </c>
    </row>
    <row r="3660" spans="1:2" x14ac:dyDescent="0.2">
      <c r="A3660" s="8" t="s">
        <v>3683</v>
      </c>
      <c r="B3660" s="2" t="s">
        <v>12462</v>
      </c>
    </row>
    <row r="3661" spans="1:2" x14ac:dyDescent="0.2">
      <c r="A3661" s="8" t="s">
        <v>3684</v>
      </c>
      <c r="B3661" s="2" t="s">
        <v>12462</v>
      </c>
    </row>
    <row r="3662" spans="1:2" x14ac:dyDescent="0.2">
      <c r="A3662" s="8" t="s">
        <v>3685</v>
      </c>
      <c r="B3662" s="2" t="s">
        <v>12462</v>
      </c>
    </row>
    <row r="3663" spans="1:2" x14ac:dyDescent="0.2">
      <c r="A3663" s="8" t="s">
        <v>3686</v>
      </c>
      <c r="B3663" s="2" t="s">
        <v>12462</v>
      </c>
    </row>
    <row r="3664" spans="1:2" x14ac:dyDescent="0.2">
      <c r="A3664" s="8" t="s">
        <v>3687</v>
      </c>
      <c r="B3664" s="2" t="s">
        <v>12462</v>
      </c>
    </row>
    <row r="3665" spans="1:2" x14ac:dyDescent="0.2">
      <c r="A3665" s="8" t="s">
        <v>3688</v>
      </c>
      <c r="B3665" s="2" t="s">
        <v>12462</v>
      </c>
    </row>
    <row r="3666" spans="1:2" x14ac:dyDescent="0.2">
      <c r="A3666" s="8" t="s">
        <v>3689</v>
      </c>
      <c r="B3666" s="2" t="s">
        <v>12462</v>
      </c>
    </row>
    <row r="3667" spans="1:2" x14ac:dyDescent="0.2">
      <c r="A3667" s="8" t="s">
        <v>3690</v>
      </c>
      <c r="B3667" s="2" t="s">
        <v>12462</v>
      </c>
    </row>
    <row r="3668" spans="1:2" x14ac:dyDescent="0.2">
      <c r="A3668" s="8" t="s">
        <v>3691</v>
      </c>
      <c r="B3668" s="2" t="s">
        <v>12462</v>
      </c>
    </row>
    <row r="3669" spans="1:2" x14ac:dyDescent="0.2">
      <c r="A3669" s="8" t="s">
        <v>3692</v>
      </c>
      <c r="B3669" s="2" t="s">
        <v>12462</v>
      </c>
    </row>
    <row r="3670" spans="1:2" x14ac:dyDescent="0.2">
      <c r="A3670" s="8" t="s">
        <v>3693</v>
      </c>
      <c r="B3670" s="2" t="s">
        <v>12462</v>
      </c>
    </row>
    <row r="3671" spans="1:2" x14ac:dyDescent="0.2">
      <c r="A3671" s="8" t="s">
        <v>3694</v>
      </c>
      <c r="B3671" s="2" t="s">
        <v>12462</v>
      </c>
    </row>
    <row r="3672" spans="1:2" x14ac:dyDescent="0.2">
      <c r="A3672" s="8" t="s">
        <v>3695</v>
      </c>
      <c r="B3672" s="2" t="s">
        <v>12462</v>
      </c>
    </row>
    <row r="3673" spans="1:2" x14ac:dyDescent="0.2">
      <c r="A3673" s="8" t="s">
        <v>3696</v>
      </c>
      <c r="B3673" s="2" t="s">
        <v>12462</v>
      </c>
    </row>
    <row r="3674" spans="1:2" x14ac:dyDescent="0.2">
      <c r="A3674" s="8" t="s">
        <v>3697</v>
      </c>
      <c r="B3674" s="2" t="s">
        <v>12462</v>
      </c>
    </row>
    <row r="3675" spans="1:2" x14ac:dyDescent="0.2">
      <c r="A3675" s="8" t="s">
        <v>3698</v>
      </c>
      <c r="B3675" s="2" t="s">
        <v>12462</v>
      </c>
    </row>
    <row r="3676" spans="1:2" x14ac:dyDescent="0.2">
      <c r="A3676" s="8" t="s">
        <v>3699</v>
      </c>
      <c r="B3676" s="2" t="s">
        <v>12462</v>
      </c>
    </row>
    <row r="3677" spans="1:2" x14ac:dyDescent="0.2">
      <c r="A3677" s="8" t="s">
        <v>3700</v>
      </c>
      <c r="B3677" s="2" t="s">
        <v>12462</v>
      </c>
    </row>
    <row r="3678" spans="1:2" x14ac:dyDescent="0.2">
      <c r="A3678" s="8" t="s">
        <v>3701</v>
      </c>
      <c r="B3678" s="2" t="s">
        <v>12462</v>
      </c>
    </row>
    <row r="3679" spans="1:2" x14ac:dyDescent="0.2">
      <c r="A3679" s="8" t="s">
        <v>3702</v>
      </c>
      <c r="B3679" s="2" t="s">
        <v>12462</v>
      </c>
    </row>
    <row r="3680" spans="1:2" x14ac:dyDescent="0.2">
      <c r="A3680" s="8" t="s">
        <v>3703</v>
      </c>
      <c r="B3680" s="2" t="s">
        <v>12462</v>
      </c>
    </row>
    <row r="3681" spans="1:2" x14ac:dyDescent="0.2">
      <c r="A3681" s="8" t="s">
        <v>3704</v>
      </c>
      <c r="B3681" s="2" t="s">
        <v>12462</v>
      </c>
    </row>
    <row r="3682" spans="1:2" x14ac:dyDescent="0.2">
      <c r="A3682" s="8" t="s">
        <v>3705</v>
      </c>
      <c r="B3682" s="2" t="s">
        <v>12462</v>
      </c>
    </row>
    <row r="3683" spans="1:2" x14ac:dyDescent="0.2">
      <c r="A3683" s="8" t="s">
        <v>3706</v>
      </c>
      <c r="B3683" s="2" t="s">
        <v>12462</v>
      </c>
    </row>
    <row r="3684" spans="1:2" x14ac:dyDescent="0.2">
      <c r="A3684" s="8" t="s">
        <v>3707</v>
      </c>
      <c r="B3684" s="2" t="s">
        <v>12462</v>
      </c>
    </row>
    <row r="3685" spans="1:2" x14ac:dyDescent="0.2">
      <c r="A3685" s="8" t="s">
        <v>3708</v>
      </c>
      <c r="B3685" s="2" t="s">
        <v>12462</v>
      </c>
    </row>
    <row r="3686" spans="1:2" x14ac:dyDescent="0.2">
      <c r="A3686" s="8" t="s">
        <v>3709</v>
      </c>
      <c r="B3686" s="2" t="s">
        <v>12462</v>
      </c>
    </row>
    <row r="3687" spans="1:2" x14ac:dyDescent="0.2">
      <c r="A3687" s="8" t="s">
        <v>3710</v>
      </c>
      <c r="B3687" s="2" t="s">
        <v>12462</v>
      </c>
    </row>
    <row r="3688" spans="1:2" x14ac:dyDescent="0.2">
      <c r="A3688" s="8" t="s">
        <v>3711</v>
      </c>
      <c r="B3688" s="2" t="s">
        <v>12462</v>
      </c>
    </row>
    <row r="3689" spans="1:2" x14ac:dyDescent="0.2">
      <c r="A3689" s="8" t="s">
        <v>3712</v>
      </c>
      <c r="B3689" s="2" t="s">
        <v>12462</v>
      </c>
    </row>
    <row r="3690" spans="1:2" x14ac:dyDescent="0.2">
      <c r="A3690" s="8" t="s">
        <v>3713</v>
      </c>
      <c r="B3690" s="2" t="s">
        <v>12462</v>
      </c>
    </row>
    <row r="3691" spans="1:2" x14ac:dyDescent="0.2">
      <c r="A3691" s="8" t="s">
        <v>3714</v>
      </c>
      <c r="B3691" s="2" t="s">
        <v>12462</v>
      </c>
    </row>
    <row r="3692" spans="1:2" x14ac:dyDescent="0.2">
      <c r="A3692" s="8" t="s">
        <v>3715</v>
      </c>
      <c r="B3692" s="2" t="s">
        <v>12462</v>
      </c>
    </row>
    <row r="3693" spans="1:2" x14ac:dyDescent="0.2">
      <c r="A3693" s="8" t="s">
        <v>3716</v>
      </c>
      <c r="B3693" s="2" t="s">
        <v>12462</v>
      </c>
    </row>
    <row r="3694" spans="1:2" x14ac:dyDescent="0.2">
      <c r="A3694" s="8" t="s">
        <v>3717</v>
      </c>
      <c r="B3694" s="2" t="s">
        <v>12462</v>
      </c>
    </row>
    <row r="3695" spans="1:2" x14ac:dyDescent="0.2">
      <c r="A3695" s="8" t="s">
        <v>3718</v>
      </c>
      <c r="B3695" s="2" t="s">
        <v>12462</v>
      </c>
    </row>
    <row r="3696" spans="1:2" x14ac:dyDescent="0.2">
      <c r="A3696" s="8" t="s">
        <v>3719</v>
      </c>
      <c r="B3696" s="2" t="s">
        <v>12462</v>
      </c>
    </row>
    <row r="3697" spans="1:2" x14ac:dyDescent="0.2">
      <c r="A3697" s="8" t="s">
        <v>3720</v>
      </c>
      <c r="B3697" s="2" t="s">
        <v>12462</v>
      </c>
    </row>
    <row r="3698" spans="1:2" x14ac:dyDescent="0.2">
      <c r="A3698" s="8" t="s">
        <v>3721</v>
      </c>
      <c r="B3698" s="2" t="s">
        <v>12462</v>
      </c>
    </row>
    <row r="3699" spans="1:2" x14ac:dyDescent="0.2">
      <c r="A3699" s="8" t="s">
        <v>3722</v>
      </c>
      <c r="B3699" s="2" t="s">
        <v>12462</v>
      </c>
    </row>
    <row r="3700" spans="1:2" x14ac:dyDescent="0.2">
      <c r="A3700" s="8" t="s">
        <v>3723</v>
      </c>
      <c r="B3700" s="2" t="s">
        <v>12462</v>
      </c>
    </row>
    <row r="3701" spans="1:2" x14ac:dyDescent="0.2">
      <c r="A3701" s="8" t="s">
        <v>3724</v>
      </c>
      <c r="B3701" s="2" t="s">
        <v>12462</v>
      </c>
    </row>
    <row r="3702" spans="1:2" x14ac:dyDescent="0.2">
      <c r="A3702" s="8" t="s">
        <v>3725</v>
      </c>
      <c r="B3702" s="2" t="s">
        <v>12462</v>
      </c>
    </row>
    <row r="3703" spans="1:2" x14ac:dyDescent="0.2">
      <c r="A3703" s="8" t="s">
        <v>3726</v>
      </c>
      <c r="B3703" s="2" t="s">
        <v>12462</v>
      </c>
    </row>
    <row r="3704" spans="1:2" x14ac:dyDescent="0.2">
      <c r="A3704" s="8" t="s">
        <v>3727</v>
      </c>
      <c r="B3704" s="2" t="s">
        <v>12462</v>
      </c>
    </row>
    <row r="3705" spans="1:2" x14ac:dyDescent="0.2">
      <c r="A3705" s="8" t="s">
        <v>3728</v>
      </c>
      <c r="B3705" s="2" t="s">
        <v>12462</v>
      </c>
    </row>
    <row r="3706" spans="1:2" x14ac:dyDescent="0.2">
      <c r="A3706" s="8" t="s">
        <v>3729</v>
      </c>
      <c r="B3706" s="2" t="s">
        <v>12462</v>
      </c>
    </row>
    <row r="3707" spans="1:2" x14ac:dyDescent="0.2">
      <c r="A3707" s="8" t="s">
        <v>3730</v>
      </c>
      <c r="B3707" s="2" t="s">
        <v>12462</v>
      </c>
    </row>
    <row r="3708" spans="1:2" x14ac:dyDescent="0.2">
      <c r="A3708" s="8" t="s">
        <v>3731</v>
      </c>
      <c r="B3708" s="2" t="s">
        <v>12462</v>
      </c>
    </row>
    <row r="3709" spans="1:2" x14ac:dyDescent="0.2">
      <c r="A3709" s="8" t="s">
        <v>3732</v>
      </c>
      <c r="B3709" s="2" t="s">
        <v>12462</v>
      </c>
    </row>
    <row r="3710" spans="1:2" x14ac:dyDescent="0.2">
      <c r="A3710" s="8" t="s">
        <v>3733</v>
      </c>
      <c r="B3710" s="2" t="s">
        <v>12462</v>
      </c>
    </row>
    <row r="3711" spans="1:2" x14ac:dyDescent="0.2">
      <c r="A3711" s="8" t="s">
        <v>3734</v>
      </c>
      <c r="B3711" s="2" t="s">
        <v>12462</v>
      </c>
    </row>
    <row r="3712" spans="1:2" x14ac:dyDescent="0.2">
      <c r="A3712" s="8" t="s">
        <v>3735</v>
      </c>
      <c r="B3712" s="2" t="s">
        <v>12462</v>
      </c>
    </row>
    <row r="3713" spans="1:2" x14ac:dyDescent="0.2">
      <c r="A3713" s="8" t="s">
        <v>3736</v>
      </c>
      <c r="B3713" s="2" t="s">
        <v>12462</v>
      </c>
    </row>
    <row r="3714" spans="1:2" x14ac:dyDescent="0.2">
      <c r="A3714" s="8" t="s">
        <v>3737</v>
      </c>
      <c r="B3714" s="2" t="s">
        <v>12462</v>
      </c>
    </row>
    <row r="3715" spans="1:2" x14ac:dyDescent="0.2">
      <c r="A3715" s="8" t="s">
        <v>3738</v>
      </c>
      <c r="B3715" s="2" t="s">
        <v>12462</v>
      </c>
    </row>
    <row r="3716" spans="1:2" x14ac:dyDescent="0.2">
      <c r="A3716" s="8" t="s">
        <v>3739</v>
      </c>
      <c r="B3716" s="2" t="s">
        <v>12462</v>
      </c>
    </row>
    <row r="3717" spans="1:2" x14ac:dyDescent="0.2">
      <c r="A3717" s="8" t="s">
        <v>3740</v>
      </c>
      <c r="B3717" s="2" t="s">
        <v>12462</v>
      </c>
    </row>
    <row r="3718" spans="1:2" x14ac:dyDescent="0.2">
      <c r="A3718" s="8" t="s">
        <v>3741</v>
      </c>
      <c r="B3718" s="2" t="s">
        <v>12462</v>
      </c>
    </row>
    <row r="3719" spans="1:2" x14ac:dyDescent="0.2">
      <c r="A3719" s="8" t="s">
        <v>3742</v>
      </c>
      <c r="B3719" s="2" t="s">
        <v>12462</v>
      </c>
    </row>
    <row r="3720" spans="1:2" x14ac:dyDescent="0.2">
      <c r="A3720" s="8" t="s">
        <v>3743</v>
      </c>
      <c r="B3720" s="2" t="s">
        <v>12462</v>
      </c>
    </row>
    <row r="3721" spans="1:2" x14ac:dyDescent="0.2">
      <c r="A3721" s="8" t="s">
        <v>3744</v>
      </c>
      <c r="B3721" s="2" t="s">
        <v>12462</v>
      </c>
    </row>
    <row r="3722" spans="1:2" x14ac:dyDescent="0.2">
      <c r="A3722" s="8" t="s">
        <v>3745</v>
      </c>
      <c r="B3722" s="2" t="s">
        <v>12462</v>
      </c>
    </row>
    <row r="3723" spans="1:2" x14ac:dyDescent="0.2">
      <c r="A3723" s="8" t="s">
        <v>3746</v>
      </c>
      <c r="B3723" s="2" t="s">
        <v>12462</v>
      </c>
    </row>
    <row r="3724" spans="1:2" x14ac:dyDescent="0.2">
      <c r="A3724" s="8" t="s">
        <v>3747</v>
      </c>
      <c r="B3724" s="2" t="s">
        <v>12462</v>
      </c>
    </row>
    <row r="3725" spans="1:2" x14ac:dyDescent="0.2">
      <c r="A3725" s="8" t="s">
        <v>3748</v>
      </c>
      <c r="B3725" s="2" t="s">
        <v>12462</v>
      </c>
    </row>
    <row r="3726" spans="1:2" x14ac:dyDescent="0.2">
      <c r="A3726" s="8" t="s">
        <v>3749</v>
      </c>
      <c r="B3726" s="2" t="s">
        <v>12462</v>
      </c>
    </row>
    <row r="3727" spans="1:2" x14ac:dyDescent="0.2">
      <c r="A3727" s="8" t="s">
        <v>3750</v>
      </c>
      <c r="B3727" s="2" t="s">
        <v>12462</v>
      </c>
    </row>
    <row r="3728" spans="1:2" x14ac:dyDescent="0.2">
      <c r="A3728" s="8" t="s">
        <v>3751</v>
      </c>
      <c r="B3728" s="2" t="s">
        <v>12462</v>
      </c>
    </row>
    <row r="3729" spans="1:2" x14ac:dyDescent="0.2">
      <c r="A3729" s="8" t="s">
        <v>3752</v>
      </c>
      <c r="B3729" s="2" t="s">
        <v>12462</v>
      </c>
    </row>
    <row r="3730" spans="1:2" x14ac:dyDescent="0.2">
      <c r="A3730" s="8" t="s">
        <v>3753</v>
      </c>
      <c r="B3730" s="2" t="s">
        <v>12462</v>
      </c>
    </row>
    <row r="3731" spans="1:2" x14ac:dyDescent="0.2">
      <c r="A3731" s="8" t="s">
        <v>3754</v>
      </c>
      <c r="B3731" s="2" t="s">
        <v>12462</v>
      </c>
    </row>
    <row r="3732" spans="1:2" x14ac:dyDescent="0.2">
      <c r="A3732" s="8" t="s">
        <v>3755</v>
      </c>
      <c r="B3732" s="2" t="s">
        <v>12462</v>
      </c>
    </row>
    <row r="3733" spans="1:2" x14ac:dyDescent="0.2">
      <c r="A3733" s="8" t="s">
        <v>3756</v>
      </c>
      <c r="B3733" s="2" t="s">
        <v>12462</v>
      </c>
    </row>
    <row r="3734" spans="1:2" x14ac:dyDescent="0.2">
      <c r="A3734" s="8" t="s">
        <v>3757</v>
      </c>
      <c r="B3734" s="2" t="s">
        <v>12462</v>
      </c>
    </row>
    <row r="3735" spans="1:2" x14ac:dyDescent="0.2">
      <c r="A3735" s="8" t="s">
        <v>3758</v>
      </c>
      <c r="B3735" s="2" t="s">
        <v>12462</v>
      </c>
    </row>
    <row r="3736" spans="1:2" x14ac:dyDescent="0.2">
      <c r="A3736" s="8" t="s">
        <v>3759</v>
      </c>
      <c r="B3736" s="2" t="s">
        <v>12462</v>
      </c>
    </row>
    <row r="3737" spans="1:2" x14ac:dyDescent="0.2">
      <c r="A3737" s="8" t="s">
        <v>3760</v>
      </c>
      <c r="B3737" s="2" t="s">
        <v>12462</v>
      </c>
    </row>
    <row r="3738" spans="1:2" x14ac:dyDescent="0.2">
      <c r="A3738" s="8" t="s">
        <v>3761</v>
      </c>
      <c r="B3738" s="2" t="s">
        <v>12462</v>
      </c>
    </row>
    <row r="3739" spans="1:2" x14ac:dyDescent="0.2">
      <c r="A3739" s="8" t="s">
        <v>3762</v>
      </c>
      <c r="B3739" s="2" t="s">
        <v>12462</v>
      </c>
    </row>
    <row r="3740" spans="1:2" x14ac:dyDescent="0.2">
      <c r="A3740" s="8" t="s">
        <v>3763</v>
      </c>
      <c r="B3740" s="2" t="s">
        <v>12462</v>
      </c>
    </row>
    <row r="3741" spans="1:2" x14ac:dyDescent="0.2">
      <c r="A3741" s="8" t="s">
        <v>3764</v>
      </c>
      <c r="B3741" s="2" t="s">
        <v>12462</v>
      </c>
    </row>
    <row r="3742" spans="1:2" x14ac:dyDescent="0.2">
      <c r="A3742" s="8" t="s">
        <v>3765</v>
      </c>
      <c r="B3742" s="2" t="s">
        <v>12462</v>
      </c>
    </row>
    <row r="3743" spans="1:2" x14ac:dyDescent="0.2">
      <c r="A3743" s="8" t="s">
        <v>3766</v>
      </c>
      <c r="B3743" s="2" t="s">
        <v>12462</v>
      </c>
    </row>
    <row r="3744" spans="1:2" x14ac:dyDescent="0.2">
      <c r="A3744" s="8" t="s">
        <v>3767</v>
      </c>
      <c r="B3744" s="2" t="s">
        <v>12462</v>
      </c>
    </row>
    <row r="3745" spans="1:2" x14ac:dyDescent="0.2">
      <c r="A3745" s="8" t="s">
        <v>3768</v>
      </c>
      <c r="B3745" s="2" t="s">
        <v>12462</v>
      </c>
    </row>
    <row r="3746" spans="1:2" x14ac:dyDescent="0.2">
      <c r="A3746" s="8" t="s">
        <v>3769</v>
      </c>
      <c r="B3746" s="2" t="s">
        <v>12462</v>
      </c>
    </row>
    <row r="3747" spans="1:2" x14ac:dyDescent="0.2">
      <c r="A3747" s="8" t="s">
        <v>3770</v>
      </c>
      <c r="B3747" s="2" t="s">
        <v>12462</v>
      </c>
    </row>
    <row r="3748" spans="1:2" x14ac:dyDescent="0.2">
      <c r="A3748" s="8" t="s">
        <v>3771</v>
      </c>
      <c r="B3748" s="2" t="s">
        <v>12462</v>
      </c>
    </row>
    <row r="3749" spans="1:2" x14ac:dyDescent="0.2">
      <c r="A3749" s="8" t="s">
        <v>3772</v>
      </c>
      <c r="B3749" s="2" t="s">
        <v>12462</v>
      </c>
    </row>
    <row r="3750" spans="1:2" x14ac:dyDescent="0.2">
      <c r="A3750" s="8" t="s">
        <v>3773</v>
      </c>
      <c r="B3750" s="2" t="s">
        <v>12462</v>
      </c>
    </row>
    <row r="3751" spans="1:2" x14ac:dyDescent="0.2">
      <c r="A3751" s="8" t="s">
        <v>3774</v>
      </c>
      <c r="B3751" s="2" t="s">
        <v>12462</v>
      </c>
    </row>
    <row r="3752" spans="1:2" x14ac:dyDescent="0.2">
      <c r="A3752" s="8" t="s">
        <v>3775</v>
      </c>
      <c r="B3752" s="2" t="s">
        <v>12462</v>
      </c>
    </row>
    <row r="3753" spans="1:2" x14ac:dyDescent="0.2">
      <c r="A3753" s="8" t="s">
        <v>3776</v>
      </c>
      <c r="B3753" s="2" t="s">
        <v>12462</v>
      </c>
    </row>
    <row r="3754" spans="1:2" x14ac:dyDescent="0.2">
      <c r="A3754" s="8" t="s">
        <v>3777</v>
      </c>
      <c r="B3754" s="2" t="s">
        <v>12462</v>
      </c>
    </row>
    <row r="3755" spans="1:2" x14ac:dyDescent="0.2">
      <c r="A3755" s="8" t="s">
        <v>3778</v>
      </c>
      <c r="B3755" s="2" t="s">
        <v>12462</v>
      </c>
    </row>
    <row r="3756" spans="1:2" x14ac:dyDescent="0.2">
      <c r="A3756" s="8" t="s">
        <v>3779</v>
      </c>
      <c r="B3756" s="2" t="s">
        <v>12462</v>
      </c>
    </row>
    <row r="3757" spans="1:2" x14ac:dyDescent="0.2">
      <c r="A3757" s="8" t="s">
        <v>3780</v>
      </c>
      <c r="B3757" s="2" t="s">
        <v>12462</v>
      </c>
    </row>
    <row r="3758" spans="1:2" x14ac:dyDescent="0.2">
      <c r="A3758" s="8" t="s">
        <v>3781</v>
      </c>
      <c r="B3758" s="2" t="s">
        <v>12462</v>
      </c>
    </row>
    <row r="3759" spans="1:2" x14ac:dyDescent="0.2">
      <c r="A3759" s="8" t="s">
        <v>3782</v>
      </c>
      <c r="B3759" s="2" t="s">
        <v>12462</v>
      </c>
    </row>
    <row r="3760" spans="1:2" x14ac:dyDescent="0.2">
      <c r="A3760" s="8" t="s">
        <v>3783</v>
      </c>
      <c r="B3760" s="2" t="s">
        <v>12462</v>
      </c>
    </row>
    <row r="3761" spans="1:2" x14ac:dyDescent="0.2">
      <c r="A3761" s="8" t="s">
        <v>3784</v>
      </c>
      <c r="B3761" s="2" t="s">
        <v>12462</v>
      </c>
    </row>
    <row r="3762" spans="1:2" x14ac:dyDescent="0.2">
      <c r="A3762" s="8" t="s">
        <v>3785</v>
      </c>
      <c r="B3762" s="2" t="s">
        <v>12462</v>
      </c>
    </row>
    <row r="3763" spans="1:2" x14ac:dyDescent="0.2">
      <c r="A3763" s="8" t="s">
        <v>3786</v>
      </c>
      <c r="B3763" s="2" t="s">
        <v>12462</v>
      </c>
    </row>
    <row r="3764" spans="1:2" x14ac:dyDescent="0.2">
      <c r="A3764" s="8" t="s">
        <v>3787</v>
      </c>
      <c r="B3764" s="2" t="s">
        <v>12462</v>
      </c>
    </row>
    <row r="3765" spans="1:2" x14ac:dyDescent="0.2">
      <c r="A3765" s="8" t="s">
        <v>3788</v>
      </c>
      <c r="B3765" s="2" t="s">
        <v>12462</v>
      </c>
    </row>
    <row r="3766" spans="1:2" x14ac:dyDescent="0.2">
      <c r="A3766" s="8" t="s">
        <v>3789</v>
      </c>
      <c r="B3766" s="2" t="s">
        <v>12462</v>
      </c>
    </row>
    <row r="3767" spans="1:2" x14ac:dyDescent="0.2">
      <c r="A3767" s="8" t="s">
        <v>3790</v>
      </c>
      <c r="B3767" s="2" t="s">
        <v>12462</v>
      </c>
    </row>
    <row r="3768" spans="1:2" x14ac:dyDescent="0.2">
      <c r="A3768" s="8" t="s">
        <v>3791</v>
      </c>
      <c r="B3768" s="2" t="s">
        <v>12462</v>
      </c>
    </row>
    <row r="3769" spans="1:2" x14ac:dyDescent="0.2">
      <c r="A3769" s="8" t="s">
        <v>3792</v>
      </c>
      <c r="B3769" s="2" t="s">
        <v>12462</v>
      </c>
    </row>
    <row r="3770" spans="1:2" x14ac:dyDescent="0.2">
      <c r="A3770" s="8" t="s">
        <v>3793</v>
      </c>
      <c r="B3770" s="2" t="s">
        <v>12463</v>
      </c>
    </row>
    <row r="3771" spans="1:2" x14ac:dyDescent="0.2">
      <c r="A3771" s="8" t="s">
        <v>3794</v>
      </c>
      <c r="B3771" s="2" t="s">
        <v>12463</v>
      </c>
    </row>
    <row r="3772" spans="1:2" x14ac:dyDescent="0.2">
      <c r="A3772" s="8" t="s">
        <v>3795</v>
      </c>
      <c r="B3772" s="2" t="s">
        <v>12463</v>
      </c>
    </row>
    <row r="3773" spans="1:2" x14ac:dyDescent="0.2">
      <c r="A3773" s="8" t="s">
        <v>3796</v>
      </c>
      <c r="B3773" s="2" t="s">
        <v>12463</v>
      </c>
    </row>
    <row r="3774" spans="1:2" x14ac:dyDescent="0.2">
      <c r="A3774" s="8" t="s">
        <v>3797</v>
      </c>
      <c r="B3774" s="2" t="s">
        <v>12463</v>
      </c>
    </row>
    <row r="3775" spans="1:2" x14ac:dyDescent="0.2">
      <c r="A3775" s="8" t="s">
        <v>3798</v>
      </c>
      <c r="B3775" s="2" t="s">
        <v>12463</v>
      </c>
    </row>
    <row r="3776" spans="1:2" x14ac:dyDescent="0.2">
      <c r="A3776" s="8" t="s">
        <v>3799</v>
      </c>
      <c r="B3776" s="2" t="s">
        <v>12463</v>
      </c>
    </row>
    <row r="3777" spans="1:2" x14ac:dyDescent="0.2">
      <c r="A3777" s="8" t="s">
        <v>3800</v>
      </c>
      <c r="B3777" s="2" t="s">
        <v>12463</v>
      </c>
    </row>
    <row r="3778" spans="1:2" x14ac:dyDescent="0.2">
      <c r="A3778" s="8" t="s">
        <v>3801</v>
      </c>
      <c r="B3778" s="2" t="s">
        <v>12463</v>
      </c>
    </row>
    <row r="3779" spans="1:2" x14ac:dyDescent="0.2">
      <c r="A3779" s="8" t="s">
        <v>3802</v>
      </c>
      <c r="B3779" s="2" t="s">
        <v>12463</v>
      </c>
    </row>
    <row r="3780" spans="1:2" x14ac:dyDescent="0.2">
      <c r="A3780" s="8" t="s">
        <v>3803</v>
      </c>
      <c r="B3780" s="2" t="s">
        <v>12463</v>
      </c>
    </row>
    <row r="3781" spans="1:2" x14ac:dyDescent="0.2">
      <c r="A3781" s="8" t="s">
        <v>3804</v>
      </c>
      <c r="B3781" s="2" t="s">
        <v>12463</v>
      </c>
    </row>
    <row r="3782" spans="1:2" x14ac:dyDescent="0.2">
      <c r="A3782" s="8" t="s">
        <v>3805</v>
      </c>
      <c r="B3782" s="2" t="s">
        <v>12463</v>
      </c>
    </row>
    <row r="3783" spans="1:2" x14ac:dyDescent="0.2">
      <c r="A3783" s="8" t="s">
        <v>3806</v>
      </c>
      <c r="B3783" s="2" t="s">
        <v>12463</v>
      </c>
    </row>
    <row r="3784" spans="1:2" x14ac:dyDescent="0.2">
      <c r="A3784" s="8" t="s">
        <v>3807</v>
      </c>
      <c r="B3784" s="2" t="s">
        <v>12463</v>
      </c>
    </row>
    <row r="3785" spans="1:2" x14ac:dyDescent="0.2">
      <c r="A3785" s="8" t="s">
        <v>3808</v>
      </c>
      <c r="B3785" s="2" t="s">
        <v>12463</v>
      </c>
    </row>
    <row r="3786" spans="1:2" x14ac:dyDescent="0.2">
      <c r="A3786" s="8" t="s">
        <v>3809</v>
      </c>
      <c r="B3786" s="2" t="s">
        <v>12463</v>
      </c>
    </row>
    <row r="3787" spans="1:2" x14ac:dyDescent="0.2">
      <c r="A3787" s="8" t="s">
        <v>3810</v>
      </c>
      <c r="B3787" s="2" t="s">
        <v>12463</v>
      </c>
    </row>
    <row r="3788" spans="1:2" x14ac:dyDescent="0.2">
      <c r="A3788" s="8" t="s">
        <v>3811</v>
      </c>
      <c r="B3788" s="2" t="s">
        <v>12463</v>
      </c>
    </row>
    <row r="3789" spans="1:2" x14ac:dyDescent="0.2">
      <c r="A3789" s="8" t="s">
        <v>3812</v>
      </c>
      <c r="B3789" s="2" t="s">
        <v>12463</v>
      </c>
    </row>
    <row r="3790" spans="1:2" x14ac:dyDescent="0.2">
      <c r="A3790" s="8" t="s">
        <v>3813</v>
      </c>
      <c r="B3790" s="2" t="s">
        <v>12463</v>
      </c>
    </row>
    <row r="3791" spans="1:2" x14ac:dyDescent="0.2">
      <c r="A3791" s="8" t="s">
        <v>3814</v>
      </c>
      <c r="B3791" s="2" t="s">
        <v>12463</v>
      </c>
    </row>
    <row r="3792" spans="1:2" x14ac:dyDescent="0.2">
      <c r="A3792" s="8" t="s">
        <v>3815</v>
      </c>
      <c r="B3792" s="2" t="s">
        <v>12463</v>
      </c>
    </row>
    <row r="3793" spans="1:2" x14ac:dyDescent="0.2">
      <c r="A3793" s="8" t="s">
        <v>3816</v>
      </c>
      <c r="B3793" s="2" t="s">
        <v>12463</v>
      </c>
    </row>
    <row r="3794" spans="1:2" x14ac:dyDescent="0.2">
      <c r="A3794" s="8" t="s">
        <v>3817</v>
      </c>
      <c r="B3794" s="2" t="s">
        <v>12463</v>
      </c>
    </row>
    <row r="3795" spans="1:2" x14ac:dyDescent="0.2">
      <c r="A3795" s="8" t="s">
        <v>3818</v>
      </c>
      <c r="B3795" s="2" t="s">
        <v>12463</v>
      </c>
    </row>
    <row r="3796" spans="1:2" x14ac:dyDescent="0.2">
      <c r="A3796" s="8" t="s">
        <v>3819</v>
      </c>
      <c r="B3796" s="2" t="s">
        <v>12463</v>
      </c>
    </row>
    <row r="3797" spans="1:2" x14ac:dyDescent="0.2">
      <c r="A3797" s="8" t="s">
        <v>3820</v>
      </c>
      <c r="B3797" s="2" t="s">
        <v>12463</v>
      </c>
    </row>
    <row r="3798" spans="1:2" x14ac:dyDescent="0.2">
      <c r="A3798" s="8" t="s">
        <v>3821</v>
      </c>
      <c r="B3798" s="2" t="s">
        <v>12463</v>
      </c>
    </row>
    <row r="3799" spans="1:2" x14ac:dyDescent="0.2">
      <c r="A3799" s="8" t="s">
        <v>3822</v>
      </c>
      <c r="B3799" s="2" t="s">
        <v>12463</v>
      </c>
    </row>
    <row r="3800" spans="1:2" x14ac:dyDescent="0.2">
      <c r="A3800" s="8" t="s">
        <v>3823</v>
      </c>
      <c r="B3800" s="2" t="s">
        <v>12463</v>
      </c>
    </row>
    <row r="3801" spans="1:2" x14ac:dyDescent="0.2">
      <c r="A3801" s="8" t="s">
        <v>3824</v>
      </c>
      <c r="B3801" s="2" t="s">
        <v>12463</v>
      </c>
    </row>
    <row r="3802" spans="1:2" x14ac:dyDescent="0.2">
      <c r="A3802" s="8" t="s">
        <v>3825</v>
      </c>
      <c r="B3802" s="2" t="s">
        <v>12463</v>
      </c>
    </row>
    <row r="3803" spans="1:2" x14ac:dyDescent="0.2">
      <c r="A3803" s="8" t="s">
        <v>3826</v>
      </c>
      <c r="B3803" s="2" t="s">
        <v>12463</v>
      </c>
    </row>
    <row r="3804" spans="1:2" x14ac:dyDescent="0.2">
      <c r="A3804" s="8" t="s">
        <v>3827</v>
      </c>
      <c r="B3804" s="2" t="s">
        <v>12463</v>
      </c>
    </row>
    <row r="3805" spans="1:2" x14ac:dyDescent="0.2">
      <c r="A3805" s="8" t="s">
        <v>3828</v>
      </c>
      <c r="B3805" s="2" t="s">
        <v>12463</v>
      </c>
    </row>
    <row r="3806" spans="1:2" x14ac:dyDescent="0.2">
      <c r="A3806" s="8" t="s">
        <v>3829</v>
      </c>
      <c r="B3806" s="2" t="s">
        <v>12463</v>
      </c>
    </row>
    <row r="3807" spans="1:2" x14ac:dyDescent="0.2">
      <c r="A3807" s="8" t="s">
        <v>3830</v>
      </c>
      <c r="B3807" s="2" t="s">
        <v>12463</v>
      </c>
    </row>
    <row r="3808" spans="1:2" x14ac:dyDescent="0.2">
      <c r="A3808" s="8" t="s">
        <v>3831</v>
      </c>
      <c r="B3808" s="2" t="s">
        <v>12463</v>
      </c>
    </row>
    <row r="3809" spans="1:2" x14ac:dyDescent="0.2">
      <c r="A3809" s="8" t="s">
        <v>3832</v>
      </c>
      <c r="B3809" s="2" t="s">
        <v>12463</v>
      </c>
    </row>
    <row r="3810" spans="1:2" x14ac:dyDescent="0.2">
      <c r="A3810" s="8" t="s">
        <v>3833</v>
      </c>
      <c r="B3810" s="2" t="s">
        <v>12463</v>
      </c>
    </row>
    <row r="3811" spans="1:2" x14ac:dyDescent="0.2">
      <c r="A3811" s="8" t="s">
        <v>3834</v>
      </c>
      <c r="B3811" s="2" t="s">
        <v>12463</v>
      </c>
    </row>
    <row r="3812" spans="1:2" x14ac:dyDescent="0.2">
      <c r="A3812" s="8" t="s">
        <v>3835</v>
      </c>
      <c r="B3812" s="2" t="s">
        <v>12463</v>
      </c>
    </row>
    <row r="3813" spans="1:2" x14ac:dyDescent="0.2">
      <c r="A3813" s="8" t="s">
        <v>3836</v>
      </c>
      <c r="B3813" s="2" t="s">
        <v>12463</v>
      </c>
    </row>
    <row r="3814" spans="1:2" x14ac:dyDescent="0.2">
      <c r="A3814" s="8" t="s">
        <v>3837</v>
      </c>
      <c r="B3814" s="2" t="s">
        <v>12463</v>
      </c>
    </row>
    <row r="3815" spans="1:2" x14ac:dyDescent="0.2">
      <c r="A3815" s="8" t="s">
        <v>3838</v>
      </c>
      <c r="B3815" s="2" t="s">
        <v>12463</v>
      </c>
    </row>
    <row r="3816" spans="1:2" x14ac:dyDescent="0.2">
      <c r="A3816" s="8" t="s">
        <v>3839</v>
      </c>
      <c r="B3816" s="2" t="s">
        <v>12463</v>
      </c>
    </row>
    <row r="3817" spans="1:2" x14ac:dyDescent="0.2">
      <c r="A3817" s="8" t="s">
        <v>3840</v>
      </c>
      <c r="B3817" s="2" t="s">
        <v>12463</v>
      </c>
    </row>
    <row r="3818" spans="1:2" x14ac:dyDescent="0.2">
      <c r="A3818" s="8" t="s">
        <v>3841</v>
      </c>
      <c r="B3818" s="2" t="s">
        <v>12463</v>
      </c>
    </row>
    <row r="3819" spans="1:2" x14ac:dyDescent="0.2">
      <c r="A3819" s="8" t="s">
        <v>3842</v>
      </c>
      <c r="B3819" s="2" t="s">
        <v>12463</v>
      </c>
    </row>
    <row r="3820" spans="1:2" x14ac:dyDescent="0.2">
      <c r="A3820" s="8" t="s">
        <v>3843</v>
      </c>
      <c r="B3820" s="2" t="s">
        <v>12463</v>
      </c>
    </row>
    <row r="3821" spans="1:2" x14ac:dyDescent="0.2">
      <c r="A3821" s="8" t="s">
        <v>3844</v>
      </c>
      <c r="B3821" s="2" t="s">
        <v>12463</v>
      </c>
    </row>
    <row r="3822" spans="1:2" x14ac:dyDescent="0.2">
      <c r="A3822" s="8" t="s">
        <v>3845</v>
      </c>
      <c r="B3822" s="2" t="s">
        <v>12463</v>
      </c>
    </row>
    <row r="3823" spans="1:2" x14ac:dyDescent="0.2">
      <c r="A3823" s="8" t="s">
        <v>3846</v>
      </c>
      <c r="B3823" s="2" t="s">
        <v>12463</v>
      </c>
    </row>
    <row r="3824" spans="1:2" x14ac:dyDescent="0.2">
      <c r="A3824" s="8" t="s">
        <v>3847</v>
      </c>
      <c r="B3824" s="2" t="s">
        <v>12463</v>
      </c>
    </row>
    <row r="3825" spans="1:2" x14ac:dyDescent="0.2">
      <c r="A3825" s="8" t="s">
        <v>3848</v>
      </c>
      <c r="B3825" s="2" t="s">
        <v>12463</v>
      </c>
    </row>
    <row r="3826" spans="1:2" x14ac:dyDescent="0.2">
      <c r="A3826" s="8" t="s">
        <v>3849</v>
      </c>
      <c r="B3826" s="2" t="s">
        <v>12463</v>
      </c>
    </row>
    <row r="3827" spans="1:2" x14ac:dyDescent="0.2">
      <c r="A3827" s="8" t="s">
        <v>3850</v>
      </c>
      <c r="B3827" s="2" t="s">
        <v>12463</v>
      </c>
    </row>
    <row r="3828" spans="1:2" x14ac:dyDescent="0.2">
      <c r="A3828" s="8" t="s">
        <v>3851</v>
      </c>
      <c r="B3828" s="2" t="s">
        <v>12463</v>
      </c>
    </row>
    <row r="3829" spans="1:2" x14ac:dyDescent="0.2">
      <c r="A3829" s="8" t="s">
        <v>3852</v>
      </c>
      <c r="B3829" s="2" t="s">
        <v>12463</v>
      </c>
    </row>
    <row r="3830" spans="1:2" x14ac:dyDescent="0.2">
      <c r="A3830" s="8" t="s">
        <v>3853</v>
      </c>
      <c r="B3830" s="2" t="s">
        <v>12463</v>
      </c>
    </row>
    <row r="3831" spans="1:2" x14ac:dyDescent="0.2">
      <c r="A3831" s="8" t="s">
        <v>3854</v>
      </c>
      <c r="B3831" s="2" t="s">
        <v>12463</v>
      </c>
    </row>
    <row r="3832" spans="1:2" x14ac:dyDescent="0.2">
      <c r="A3832" s="8" t="s">
        <v>3855</v>
      </c>
      <c r="B3832" s="2" t="s">
        <v>12463</v>
      </c>
    </row>
    <row r="3833" spans="1:2" x14ac:dyDescent="0.2">
      <c r="A3833" s="8" t="s">
        <v>3856</v>
      </c>
      <c r="B3833" s="2" t="s">
        <v>12463</v>
      </c>
    </row>
    <row r="3834" spans="1:2" x14ac:dyDescent="0.2">
      <c r="A3834" s="8" t="s">
        <v>3857</v>
      </c>
      <c r="B3834" s="2" t="s">
        <v>12463</v>
      </c>
    </row>
    <row r="3835" spans="1:2" x14ac:dyDescent="0.2">
      <c r="A3835" s="8" t="s">
        <v>3858</v>
      </c>
      <c r="B3835" s="2" t="s">
        <v>12463</v>
      </c>
    </row>
    <row r="3836" spans="1:2" x14ac:dyDescent="0.2">
      <c r="A3836" s="8" t="s">
        <v>3859</v>
      </c>
      <c r="B3836" s="2" t="s">
        <v>12463</v>
      </c>
    </row>
    <row r="3837" spans="1:2" x14ac:dyDescent="0.2">
      <c r="A3837" s="8" t="s">
        <v>3860</v>
      </c>
      <c r="B3837" s="2" t="s">
        <v>12463</v>
      </c>
    </row>
    <row r="3838" spans="1:2" x14ac:dyDescent="0.2">
      <c r="A3838" s="8" t="s">
        <v>3861</v>
      </c>
      <c r="B3838" s="2" t="s">
        <v>12463</v>
      </c>
    </row>
    <row r="3839" spans="1:2" x14ac:dyDescent="0.2">
      <c r="A3839" s="8" t="s">
        <v>3862</v>
      </c>
      <c r="B3839" s="2" t="s">
        <v>12463</v>
      </c>
    </row>
    <row r="3840" spans="1:2" x14ac:dyDescent="0.2">
      <c r="A3840" s="8" t="s">
        <v>3863</v>
      </c>
      <c r="B3840" s="2" t="s">
        <v>12463</v>
      </c>
    </row>
    <row r="3841" spans="1:2" x14ac:dyDescent="0.2">
      <c r="A3841" s="8" t="s">
        <v>3864</v>
      </c>
      <c r="B3841" s="2" t="s">
        <v>12463</v>
      </c>
    </row>
    <row r="3842" spans="1:2" x14ac:dyDescent="0.2">
      <c r="A3842" s="8" t="s">
        <v>3865</v>
      </c>
      <c r="B3842" s="2" t="s">
        <v>12463</v>
      </c>
    </row>
    <row r="3843" spans="1:2" x14ac:dyDescent="0.2">
      <c r="A3843" s="8" t="s">
        <v>3866</v>
      </c>
      <c r="B3843" s="2" t="s">
        <v>12463</v>
      </c>
    </row>
    <row r="3844" spans="1:2" x14ac:dyDescent="0.2">
      <c r="A3844" s="8" t="s">
        <v>3867</v>
      </c>
      <c r="B3844" s="2" t="s">
        <v>12463</v>
      </c>
    </row>
    <row r="3845" spans="1:2" x14ac:dyDescent="0.2">
      <c r="A3845" s="8" t="s">
        <v>3868</v>
      </c>
      <c r="B3845" s="2" t="s">
        <v>12463</v>
      </c>
    </row>
    <row r="3846" spans="1:2" x14ac:dyDescent="0.2">
      <c r="A3846" s="8" t="s">
        <v>3869</v>
      </c>
      <c r="B3846" s="2" t="s">
        <v>12463</v>
      </c>
    </row>
    <row r="3847" spans="1:2" x14ac:dyDescent="0.2">
      <c r="A3847" s="8" t="s">
        <v>3870</v>
      </c>
      <c r="B3847" s="2" t="s">
        <v>12463</v>
      </c>
    </row>
    <row r="3848" spans="1:2" x14ac:dyDescent="0.2">
      <c r="A3848" s="8" t="s">
        <v>3871</v>
      </c>
      <c r="B3848" s="2" t="s">
        <v>12463</v>
      </c>
    </row>
    <row r="3849" spans="1:2" x14ac:dyDescent="0.2">
      <c r="A3849" s="8" t="s">
        <v>3872</v>
      </c>
      <c r="B3849" s="2" t="s">
        <v>12463</v>
      </c>
    </row>
    <row r="3850" spans="1:2" x14ac:dyDescent="0.2">
      <c r="A3850" s="8" t="s">
        <v>3873</v>
      </c>
      <c r="B3850" s="2" t="s">
        <v>12463</v>
      </c>
    </row>
    <row r="3851" spans="1:2" x14ac:dyDescent="0.2">
      <c r="A3851" s="8" t="s">
        <v>3874</v>
      </c>
      <c r="B3851" s="2" t="s">
        <v>12463</v>
      </c>
    </row>
    <row r="3852" spans="1:2" x14ac:dyDescent="0.2">
      <c r="A3852" s="8" t="s">
        <v>3875</v>
      </c>
      <c r="B3852" s="2" t="s">
        <v>12463</v>
      </c>
    </row>
    <row r="3853" spans="1:2" x14ac:dyDescent="0.2">
      <c r="A3853" s="8" t="s">
        <v>3876</v>
      </c>
      <c r="B3853" s="2" t="s">
        <v>12463</v>
      </c>
    </row>
    <row r="3854" spans="1:2" x14ac:dyDescent="0.2">
      <c r="A3854" s="8" t="s">
        <v>3877</v>
      </c>
      <c r="B3854" s="2" t="s">
        <v>12463</v>
      </c>
    </row>
    <row r="3855" spans="1:2" x14ac:dyDescent="0.2">
      <c r="A3855" s="8" t="s">
        <v>3878</v>
      </c>
      <c r="B3855" s="2" t="s">
        <v>12463</v>
      </c>
    </row>
    <row r="3856" spans="1:2" x14ac:dyDescent="0.2">
      <c r="A3856" s="8" t="s">
        <v>3879</v>
      </c>
      <c r="B3856" s="2" t="s">
        <v>12463</v>
      </c>
    </row>
    <row r="3857" spans="1:2" x14ac:dyDescent="0.2">
      <c r="A3857" s="8" t="s">
        <v>3880</v>
      </c>
      <c r="B3857" s="2" t="s">
        <v>12463</v>
      </c>
    </row>
    <row r="3858" spans="1:2" x14ac:dyDescent="0.2">
      <c r="A3858" s="8" t="s">
        <v>3881</v>
      </c>
      <c r="B3858" s="2" t="s">
        <v>12463</v>
      </c>
    </row>
    <row r="3859" spans="1:2" x14ac:dyDescent="0.2">
      <c r="A3859" s="8" t="s">
        <v>3882</v>
      </c>
      <c r="B3859" s="2" t="s">
        <v>12463</v>
      </c>
    </row>
    <row r="3860" spans="1:2" x14ac:dyDescent="0.2">
      <c r="A3860" s="8" t="s">
        <v>3883</v>
      </c>
      <c r="B3860" s="2" t="s">
        <v>12463</v>
      </c>
    </row>
    <row r="3861" spans="1:2" x14ac:dyDescent="0.2">
      <c r="A3861" s="8" t="s">
        <v>3884</v>
      </c>
      <c r="B3861" s="2" t="s">
        <v>12463</v>
      </c>
    </row>
    <row r="3862" spans="1:2" x14ac:dyDescent="0.2">
      <c r="A3862" s="8" t="s">
        <v>3885</v>
      </c>
      <c r="B3862" s="2" t="s">
        <v>12463</v>
      </c>
    </row>
    <row r="3863" spans="1:2" x14ac:dyDescent="0.2">
      <c r="A3863" s="8" t="s">
        <v>3886</v>
      </c>
      <c r="B3863" s="2" t="s">
        <v>12463</v>
      </c>
    </row>
    <row r="3864" spans="1:2" x14ac:dyDescent="0.2">
      <c r="A3864" s="8" t="s">
        <v>3887</v>
      </c>
      <c r="B3864" s="2" t="s">
        <v>12463</v>
      </c>
    </row>
    <row r="3865" spans="1:2" x14ac:dyDescent="0.2">
      <c r="A3865" s="8" t="s">
        <v>3888</v>
      </c>
      <c r="B3865" s="2" t="s">
        <v>12463</v>
      </c>
    </row>
    <row r="3866" spans="1:2" x14ac:dyDescent="0.2">
      <c r="A3866" s="8" t="s">
        <v>3889</v>
      </c>
      <c r="B3866" s="2" t="s">
        <v>12463</v>
      </c>
    </row>
    <row r="3867" spans="1:2" x14ac:dyDescent="0.2">
      <c r="A3867" s="8" t="s">
        <v>3890</v>
      </c>
      <c r="B3867" s="2" t="s">
        <v>12463</v>
      </c>
    </row>
    <row r="3868" spans="1:2" x14ac:dyDescent="0.2">
      <c r="A3868" s="8" t="s">
        <v>3891</v>
      </c>
      <c r="B3868" s="2" t="s">
        <v>12463</v>
      </c>
    </row>
    <row r="3869" spans="1:2" x14ac:dyDescent="0.2">
      <c r="A3869" s="8" t="s">
        <v>3892</v>
      </c>
      <c r="B3869" s="2" t="s">
        <v>12463</v>
      </c>
    </row>
    <row r="3870" spans="1:2" x14ac:dyDescent="0.2">
      <c r="A3870" s="8" t="s">
        <v>3893</v>
      </c>
      <c r="B3870" s="2" t="s">
        <v>12463</v>
      </c>
    </row>
    <row r="3871" spans="1:2" x14ac:dyDescent="0.2">
      <c r="A3871" s="8" t="s">
        <v>3894</v>
      </c>
      <c r="B3871" s="2" t="s">
        <v>12463</v>
      </c>
    </row>
    <row r="3872" spans="1:2" x14ac:dyDescent="0.2">
      <c r="A3872" s="8" t="s">
        <v>3895</v>
      </c>
      <c r="B3872" s="2" t="s">
        <v>12463</v>
      </c>
    </row>
    <row r="3873" spans="1:2" x14ac:dyDescent="0.2">
      <c r="A3873" s="8" t="s">
        <v>3896</v>
      </c>
      <c r="B3873" s="2" t="s">
        <v>12463</v>
      </c>
    </row>
    <row r="3874" spans="1:2" x14ac:dyDescent="0.2">
      <c r="A3874" s="8" t="s">
        <v>3897</v>
      </c>
      <c r="B3874" s="2" t="s">
        <v>12463</v>
      </c>
    </row>
    <row r="3875" spans="1:2" x14ac:dyDescent="0.2">
      <c r="A3875" s="8" t="s">
        <v>3898</v>
      </c>
      <c r="B3875" s="2" t="s">
        <v>12463</v>
      </c>
    </row>
    <row r="3876" spans="1:2" x14ac:dyDescent="0.2">
      <c r="A3876" s="8" t="s">
        <v>3899</v>
      </c>
      <c r="B3876" s="2" t="s">
        <v>12463</v>
      </c>
    </row>
    <row r="3877" spans="1:2" x14ac:dyDescent="0.2">
      <c r="A3877" s="8" t="s">
        <v>3900</v>
      </c>
      <c r="B3877" s="2" t="s">
        <v>12463</v>
      </c>
    </row>
    <row r="3878" spans="1:2" x14ac:dyDescent="0.2">
      <c r="A3878" s="8" t="s">
        <v>3901</v>
      </c>
      <c r="B3878" s="2" t="s">
        <v>12463</v>
      </c>
    </row>
    <row r="3879" spans="1:2" x14ac:dyDescent="0.2">
      <c r="A3879" s="8" t="s">
        <v>3902</v>
      </c>
      <c r="B3879" s="2" t="s">
        <v>12463</v>
      </c>
    </row>
    <row r="3880" spans="1:2" x14ac:dyDescent="0.2">
      <c r="A3880" s="8" t="s">
        <v>3903</v>
      </c>
      <c r="B3880" s="2" t="s">
        <v>12463</v>
      </c>
    </row>
    <row r="3881" spans="1:2" x14ac:dyDescent="0.2">
      <c r="A3881" s="8" t="s">
        <v>3904</v>
      </c>
      <c r="B3881" s="2" t="s">
        <v>12463</v>
      </c>
    </row>
    <row r="3882" spans="1:2" x14ac:dyDescent="0.2">
      <c r="A3882" s="8" t="s">
        <v>3905</v>
      </c>
      <c r="B3882" s="2" t="s">
        <v>12463</v>
      </c>
    </row>
    <row r="3883" spans="1:2" x14ac:dyDescent="0.2">
      <c r="A3883" s="8" t="s">
        <v>3906</v>
      </c>
      <c r="B3883" s="2" t="s">
        <v>12463</v>
      </c>
    </row>
    <row r="3884" spans="1:2" x14ac:dyDescent="0.2">
      <c r="A3884" s="8" t="s">
        <v>3907</v>
      </c>
      <c r="B3884" s="2" t="s">
        <v>12463</v>
      </c>
    </row>
    <row r="3885" spans="1:2" x14ac:dyDescent="0.2">
      <c r="A3885" s="8" t="s">
        <v>3908</v>
      </c>
      <c r="B3885" s="2" t="s">
        <v>12463</v>
      </c>
    </row>
    <row r="3886" spans="1:2" x14ac:dyDescent="0.2">
      <c r="A3886" s="8" t="s">
        <v>3909</v>
      </c>
      <c r="B3886" s="2" t="s">
        <v>12463</v>
      </c>
    </row>
    <row r="3887" spans="1:2" x14ac:dyDescent="0.2">
      <c r="A3887" s="8" t="s">
        <v>3910</v>
      </c>
      <c r="B3887" s="2" t="s">
        <v>12463</v>
      </c>
    </row>
    <row r="3888" spans="1:2" x14ac:dyDescent="0.2">
      <c r="A3888" s="8" t="s">
        <v>3911</v>
      </c>
      <c r="B3888" s="2" t="s">
        <v>12463</v>
      </c>
    </row>
    <row r="3889" spans="1:2" x14ac:dyDescent="0.2">
      <c r="A3889" s="8" t="s">
        <v>3912</v>
      </c>
      <c r="B3889" s="2" t="s">
        <v>12463</v>
      </c>
    </row>
    <row r="3890" spans="1:2" x14ac:dyDescent="0.2">
      <c r="A3890" s="8" t="s">
        <v>3913</v>
      </c>
      <c r="B3890" s="2" t="s">
        <v>12463</v>
      </c>
    </row>
    <row r="3891" spans="1:2" x14ac:dyDescent="0.2">
      <c r="A3891" s="8" t="s">
        <v>3914</v>
      </c>
      <c r="B3891" s="2" t="s">
        <v>12463</v>
      </c>
    </row>
    <row r="3892" spans="1:2" x14ac:dyDescent="0.2">
      <c r="A3892" s="8" t="s">
        <v>3915</v>
      </c>
      <c r="B3892" s="2" t="s">
        <v>12463</v>
      </c>
    </row>
    <row r="3893" spans="1:2" x14ac:dyDescent="0.2">
      <c r="A3893" s="8" t="s">
        <v>3916</v>
      </c>
      <c r="B3893" s="2" t="s">
        <v>12463</v>
      </c>
    </row>
    <row r="3894" spans="1:2" x14ac:dyDescent="0.2">
      <c r="A3894" s="8" t="s">
        <v>3917</v>
      </c>
      <c r="B3894" s="2" t="s">
        <v>12463</v>
      </c>
    </row>
    <row r="3895" spans="1:2" x14ac:dyDescent="0.2">
      <c r="A3895" s="8" t="s">
        <v>3918</v>
      </c>
      <c r="B3895" s="2" t="s">
        <v>12463</v>
      </c>
    </row>
    <row r="3896" spans="1:2" x14ac:dyDescent="0.2">
      <c r="A3896" s="8" t="s">
        <v>3919</v>
      </c>
      <c r="B3896" s="2" t="s">
        <v>12463</v>
      </c>
    </row>
    <row r="3897" spans="1:2" x14ac:dyDescent="0.2">
      <c r="A3897" s="8" t="s">
        <v>3920</v>
      </c>
      <c r="B3897" s="2" t="s">
        <v>12463</v>
      </c>
    </row>
    <row r="3898" spans="1:2" x14ac:dyDescent="0.2">
      <c r="A3898" s="8" t="s">
        <v>3921</v>
      </c>
      <c r="B3898" s="2" t="s">
        <v>12463</v>
      </c>
    </row>
    <row r="3899" spans="1:2" x14ac:dyDescent="0.2">
      <c r="A3899" s="8" t="s">
        <v>3922</v>
      </c>
      <c r="B3899" s="2" t="s">
        <v>12463</v>
      </c>
    </row>
    <row r="3900" spans="1:2" x14ac:dyDescent="0.2">
      <c r="A3900" s="8" t="s">
        <v>3923</v>
      </c>
      <c r="B3900" s="2" t="s">
        <v>12463</v>
      </c>
    </row>
    <row r="3901" spans="1:2" x14ac:dyDescent="0.2">
      <c r="A3901" s="8" t="s">
        <v>3924</v>
      </c>
      <c r="B3901" s="2" t="s">
        <v>12463</v>
      </c>
    </row>
    <row r="3902" spans="1:2" x14ac:dyDescent="0.2">
      <c r="A3902" s="8" t="s">
        <v>3925</v>
      </c>
      <c r="B3902" s="2" t="s">
        <v>12463</v>
      </c>
    </row>
    <row r="3903" spans="1:2" x14ac:dyDescent="0.2">
      <c r="A3903" s="8" t="s">
        <v>3926</v>
      </c>
      <c r="B3903" s="2" t="s">
        <v>12463</v>
      </c>
    </row>
    <row r="3904" spans="1:2" x14ac:dyDescent="0.2">
      <c r="A3904" s="8" t="s">
        <v>3927</v>
      </c>
      <c r="B3904" s="2" t="s">
        <v>12463</v>
      </c>
    </row>
    <row r="3905" spans="1:2" x14ac:dyDescent="0.2">
      <c r="A3905" s="8" t="s">
        <v>3928</v>
      </c>
      <c r="B3905" s="2" t="s">
        <v>12463</v>
      </c>
    </row>
    <row r="3906" spans="1:2" x14ac:dyDescent="0.2">
      <c r="A3906" s="8" t="s">
        <v>3929</v>
      </c>
      <c r="B3906" s="2" t="s">
        <v>12463</v>
      </c>
    </row>
    <row r="3907" spans="1:2" x14ac:dyDescent="0.2">
      <c r="A3907" s="8" t="s">
        <v>3930</v>
      </c>
      <c r="B3907" s="2" t="s">
        <v>12463</v>
      </c>
    </row>
    <row r="3908" spans="1:2" x14ac:dyDescent="0.2">
      <c r="A3908" s="8" t="s">
        <v>3931</v>
      </c>
      <c r="B3908" s="2" t="s">
        <v>12463</v>
      </c>
    </row>
    <row r="3909" spans="1:2" x14ac:dyDescent="0.2">
      <c r="A3909" s="8" t="s">
        <v>3932</v>
      </c>
      <c r="B3909" s="2" t="s">
        <v>12463</v>
      </c>
    </row>
    <row r="3910" spans="1:2" x14ac:dyDescent="0.2">
      <c r="A3910" s="8" t="s">
        <v>3933</v>
      </c>
      <c r="B3910" s="2" t="s">
        <v>12463</v>
      </c>
    </row>
    <row r="3911" spans="1:2" x14ac:dyDescent="0.2">
      <c r="A3911" s="8" t="s">
        <v>3934</v>
      </c>
      <c r="B3911" s="2" t="s">
        <v>12463</v>
      </c>
    </row>
    <row r="3912" spans="1:2" x14ac:dyDescent="0.2">
      <c r="A3912" s="8" t="s">
        <v>3935</v>
      </c>
      <c r="B3912" s="2" t="s">
        <v>12463</v>
      </c>
    </row>
    <row r="3913" spans="1:2" x14ac:dyDescent="0.2">
      <c r="A3913" s="8" t="s">
        <v>3936</v>
      </c>
      <c r="B3913" s="2" t="s">
        <v>12463</v>
      </c>
    </row>
    <row r="3914" spans="1:2" x14ac:dyDescent="0.2">
      <c r="A3914" s="8" t="s">
        <v>3937</v>
      </c>
      <c r="B3914" s="2" t="s">
        <v>12463</v>
      </c>
    </row>
    <row r="3915" spans="1:2" x14ac:dyDescent="0.2">
      <c r="A3915" s="8" t="s">
        <v>3938</v>
      </c>
      <c r="B3915" s="2" t="s">
        <v>12463</v>
      </c>
    </row>
    <row r="3916" spans="1:2" x14ac:dyDescent="0.2">
      <c r="A3916" s="8" t="s">
        <v>3939</v>
      </c>
      <c r="B3916" s="2" t="s">
        <v>12463</v>
      </c>
    </row>
    <row r="3917" spans="1:2" x14ac:dyDescent="0.2">
      <c r="A3917" s="8" t="s">
        <v>3940</v>
      </c>
      <c r="B3917" s="2" t="s">
        <v>12463</v>
      </c>
    </row>
    <row r="3918" spans="1:2" x14ac:dyDescent="0.2">
      <c r="A3918" s="8" t="s">
        <v>3941</v>
      </c>
      <c r="B3918" s="2" t="s">
        <v>12463</v>
      </c>
    </row>
    <row r="3919" spans="1:2" x14ac:dyDescent="0.2">
      <c r="A3919" s="8" t="s">
        <v>3942</v>
      </c>
      <c r="B3919" s="2" t="s">
        <v>12463</v>
      </c>
    </row>
    <row r="3920" spans="1:2" x14ac:dyDescent="0.2">
      <c r="A3920" s="8" t="s">
        <v>3943</v>
      </c>
      <c r="B3920" s="2" t="s">
        <v>12463</v>
      </c>
    </row>
    <row r="3921" spans="1:2" x14ac:dyDescent="0.2">
      <c r="A3921" s="8" t="s">
        <v>3944</v>
      </c>
      <c r="B3921" s="2" t="s">
        <v>12463</v>
      </c>
    </row>
    <row r="3922" spans="1:2" x14ac:dyDescent="0.2">
      <c r="A3922" s="8" t="s">
        <v>3945</v>
      </c>
      <c r="B3922" s="2" t="s">
        <v>12463</v>
      </c>
    </row>
    <row r="3923" spans="1:2" x14ac:dyDescent="0.2">
      <c r="A3923" s="8" t="s">
        <v>3946</v>
      </c>
      <c r="B3923" s="2" t="s">
        <v>12463</v>
      </c>
    </row>
    <row r="3924" spans="1:2" x14ac:dyDescent="0.2">
      <c r="A3924" s="8" t="s">
        <v>3947</v>
      </c>
      <c r="B3924" s="2" t="s">
        <v>12463</v>
      </c>
    </row>
    <row r="3925" spans="1:2" x14ac:dyDescent="0.2">
      <c r="A3925" s="8" t="s">
        <v>3948</v>
      </c>
      <c r="B3925" s="2" t="s">
        <v>12463</v>
      </c>
    </row>
    <row r="3926" spans="1:2" x14ac:dyDescent="0.2">
      <c r="A3926" s="8" t="s">
        <v>3949</v>
      </c>
      <c r="B3926" s="2" t="s">
        <v>12463</v>
      </c>
    </row>
    <row r="3927" spans="1:2" x14ac:dyDescent="0.2">
      <c r="A3927" s="8" t="s">
        <v>3950</v>
      </c>
      <c r="B3927" s="2" t="s">
        <v>12463</v>
      </c>
    </row>
    <row r="3928" spans="1:2" x14ac:dyDescent="0.2">
      <c r="A3928" s="8" t="s">
        <v>3951</v>
      </c>
      <c r="B3928" s="2" t="s">
        <v>12463</v>
      </c>
    </row>
    <row r="3929" spans="1:2" x14ac:dyDescent="0.2">
      <c r="A3929" s="8" t="s">
        <v>3952</v>
      </c>
      <c r="B3929" s="2" t="s">
        <v>12463</v>
      </c>
    </row>
    <row r="3930" spans="1:2" x14ac:dyDescent="0.2">
      <c r="A3930" s="8" t="s">
        <v>3953</v>
      </c>
      <c r="B3930" s="2" t="s">
        <v>12463</v>
      </c>
    </row>
    <row r="3931" spans="1:2" x14ac:dyDescent="0.2">
      <c r="A3931" s="8" t="s">
        <v>3954</v>
      </c>
      <c r="B3931" s="2" t="s">
        <v>12463</v>
      </c>
    </row>
    <row r="3932" spans="1:2" x14ac:dyDescent="0.2">
      <c r="A3932" s="8" t="s">
        <v>3955</v>
      </c>
      <c r="B3932" s="2" t="s">
        <v>12463</v>
      </c>
    </row>
    <row r="3933" spans="1:2" x14ac:dyDescent="0.2">
      <c r="A3933" s="8" t="s">
        <v>3956</v>
      </c>
      <c r="B3933" s="2" t="s">
        <v>12463</v>
      </c>
    </row>
    <row r="3934" spans="1:2" x14ac:dyDescent="0.2">
      <c r="A3934" s="8" t="s">
        <v>3957</v>
      </c>
      <c r="B3934" s="2" t="s">
        <v>12463</v>
      </c>
    </row>
    <row r="3935" spans="1:2" x14ac:dyDescent="0.2">
      <c r="A3935" s="8" t="s">
        <v>3958</v>
      </c>
      <c r="B3935" s="2" t="s">
        <v>12463</v>
      </c>
    </row>
    <row r="3936" spans="1:2" x14ac:dyDescent="0.2">
      <c r="A3936" s="8" t="s">
        <v>3959</v>
      </c>
      <c r="B3936" s="2" t="s">
        <v>12463</v>
      </c>
    </row>
    <row r="3937" spans="1:2" x14ac:dyDescent="0.2">
      <c r="A3937" s="8" t="s">
        <v>3960</v>
      </c>
      <c r="B3937" s="2" t="s">
        <v>12463</v>
      </c>
    </row>
    <row r="3938" spans="1:2" x14ac:dyDescent="0.2">
      <c r="A3938" s="8" t="s">
        <v>3961</v>
      </c>
      <c r="B3938" s="2" t="s">
        <v>12463</v>
      </c>
    </row>
    <row r="3939" spans="1:2" x14ac:dyDescent="0.2">
      <c r="A3939" s="8" t="s">
        <v>3962</v>
      </c>
      <c r="B3939" s="2" t="s">
        <v>12463</v>
      </c>
    </row>
    <row r="3940" spans="1:2" x14ac:dyDescent="0.2">
      <c r="A3940" s="8" t="s">
        <v>3963</v>
      </c>
      <c r="B3940" s="2" t="s">
        <v>12463</v>
      </c>
    </row>
    <row r="3941" spans="1:2" x14ac:dyDescent="0.2">
      <c r="A3941" s="8" t="s">
        <v>3964</v>
      </c>
      <c r="B3941" s="2" t="s">
        <v>12463</v>
      </c>
    </row>
    <row r="3942" spans="1:2" x14ac:dyDescent="0.2">
      <c r="A3942" s="8" t="s">
        <v>3965</v>
      </c>
      <c r="B3942" s="2" t="s">
        <v>12463</v>
      </c>
    </row>
    <row r="3943" spans="1:2" x14ac:dyDescent="0.2">
      <c r="A3943" s="8" t="s">
        <v>3966</v>
      </c>
      <c r="B3943" s="2" t="s">
        <v>12463</v>
      </c>
    </row>
    <row r="3944" spans="1:2" x14ac:dyDescent="0.2">
      <c r="A3944" s="8" t="s">
        <v>3967</v>
      </c>
      <c r="B3944" s="2" t="s">
        <v>12463</v>
      </c>
    </row>
    <row r="3945" spans="1:2" x14ac:dyDescent="0.2">
      <c r="A3945" s="8" t="s">
        <v>3968</v>
      </c>
      <c r="B3945" s="2" t="s">
        <v>12463</v>
      </c>
    </row>
    <row r="3946" spans="1:2" x14ac:dyDescent="0.2">
      <c r="A3946" s="8" t="s">
        <v>3969</v>
      </c>
      <c r="B3946" s="2" t="s">
        <v>12463</v>
      </c>
    </row>
    <row r="3947" spans="1:2" x14ac:dyDescent="0.2">
      <c r="A3947" s="8" t="s">
        <v>3970</v>
      </c>
      <c r="B3947" s="2" t="s">
        <v>12463</v>
      </c>
    </row>
    <row r="3948" spans="1:2" x14ac:dyDescent="0.2">
      <c r="A3948" s="8" t="s">
        <v>3971</v>
      </c>
      <c r="B3948" s="2" t="s">
        <v>12463</v>
      </c>
    </row>
    <row r="3949" spans="1:2" x14ac:dyDescent="0.2">
      <c r="A3949" s="8" t="s">
        <v>3972</v>
      </c>
      <c r="B3949" s="2" t="s">
        <v>12463</v>
      </c>
    </row>
    <row r="3950" spans="1:2" x14ac:dyDescent="0.2">
      <c r="A3950" s="8" t="s">
        <v>3973</v>
      </c>
      <c r="B3950" s="2" t="s">
        <v>12463</v>
      </c>
    </row>
    <row r="3951" spans="1:2" x14ac:dyDescent="0.2">
      <c r="A3951" s="8" t="s">
        <v>3974</v>
      </c>
      <c r="B3951" s="2" t="s">
        <v>12463</v>
      </c>
    </row>
    <row r="3952" spans="1:2" x14ac:dyDescent="0.2">
      <c r="A3952" s="8" t="s">
        <v>3975</v>
      </c>
      <c r="B3952" s="2" t="s">
        <v>12463</v>
      </c>
    </row>
    <row r="3953" spans="1:2" x14ac:dyDescent="0.2">
      <c r="A3953" s="8" t="s">
        <v>3976</v>
      </c>
      <c r="B3953" s="2" t="s">
        <v>12463</v>
      </c>
    </row>
    <row r="3954" spans="1:2" x14ac:dyDescent="0.2">
      <c r="A3954" s="8" t="s">
        <v>3977</v>
      </c>
      <c r="B3954" s="2" t="s">
        <v>12463</v>
      </c>
    </row>
    <row r="3955" spans="1:2" x14ac:dyDescent="0.2">
      <c r="A3955" s="8" t="s">
        <v>3978</v>
      </c>
      <c r="B3955" s="2" t="s">
        <v>12463</v>
      </c>
    </row>
    <row r="3956" spans="1:2" x14ac:dyDescent="0.2">
      <c r="A3956" s="8" t="s">
        <v>3979</v>
      </c>
      <c r="B3956" s="2" t="s">
        <v>12463</v>
      </c>
    </row>
    <row r="3957" spans="1:2" x14ac:dyDescent="0.2">
      <c r="A3957" s="8" t="s">
        <v>3980</v>
      </c>
      <c r="B3957" s="2" t="s">
        <v>12463</v>
      </c>
    </row>
    <row r="3958" spans="1:2" x14ac:dyDescent="0.2">
      <c r="A3958" s="8" t="s">
        <v>3981</v>
      </c>
      <c r="B3958" s="2" t="s">
        <v>12463</v>
      </c>
    </row>
    <row r="3959" spans="1:2" x14ac:dyDescent="0.2">
      <c r="A3959" s="8" t="s">
        <v>3982</v>
      </c>
      <c r="B3959" s="2" t="s">
        <v>12463</v>
      </c>
    </row>
    <row r="3960" spans="1:2" x14ac:dyDescent="0.2">
      <c r="A3960" s="8" t="s">
        <v>3983</v>
      </c>
      <c r="B3960" s="2" t="s">
        <v>12463</v>
      </c>
    </row>
    <row r="3961" spans="1:2" x14ac:dyDescent="0.2">
      <c r="A3961" s="8" t="s">
        <v>3984</v>
      </c>
      <c r="B3961" s="2" t="s">
        <v>12463</v>
      </c>
    </row>
    <row r="3962" spans="1:2" x14ac:dyDescent="0.2">
      <c r="A3962" s="8" t="s">
        <v>3985</v>
      </c>
      <c r="B3962" s="2" t="s">
        <v>12463</v>
      </c>
    </row>
    <row r="3963" spans="1:2" x14ac:dyDescent="0.2">
      <c r="A3963" s="8" t="s">
        <v>3986</v>
      </c>
      <c r="B3963" s="2" t="s">
        <v>12463</v>
      </c>
    </row>
    <row r="3964" spans="1:2" x14ac:dyDescent="0.2">
      <c r="A3964" s="8" t="s">
        <v>3987</v>
      </c>
      <c r="B3964" s="2" t="s">
        <v>12463</v>
      </c>
    </row>
    <row r="3965" spans="1:2" x14ac:dyDescent="0.2">
      <c r="A3965" s="8" t="s">
        <v>3988</v>
      </c>
      <c r="B3965" s="2" t="s">
        <v>12463</v>
      </c>
    </row>
    <row r="3966" spans="1:2" x14ac:dyDescent="0.2">
      <c r="A3966" s="8" t="s">
        <v>3989</v>
      </c>
      <c r="B3966" s="2" t="s">
        <v>12463</v>
      </c>
    </row>
    <row r="3967" spans="1:2" x14ac:dyDescent="0.2">
      <c r="A3967" s="8" t="s">
        <v>3990</v>
      </c>
      <c r="B3967" s="2" t="s">
        <v>12463</v>
      </c>
    </row>
    <row r="3968" spans="1:2" x14ac:dyDescent="0.2">
      <c r="A3968" s="8" t="s">
        <v>3991</v>
      </c>
      <c r="B3968" s="2" t="s">
        <v>12463</v>
      </c>
    </row>
    <row r="3969" spans="1:2" x14ac:dyDescent="0.2">
      <c r="A3969" s="8" t="s">
        <v>3992</v>
      </c>
      <c r="B3969" s="2" t="s">
        <v>12463</v>
      </c>
    </row>
    <row r="3970" spans="1:2" x14ac:dyDescent="0.2">
      <c r="A3970" s="8" t="s">
        <v>3993</v>
      </c>
      <c r="B3970" s="2" t="s">
        <v>12463</v>
      </c>
    </row>
    <row r="3971" spans="1:2" x14ac:dyDescent="0.2">
      <c r="A3971" s="8" t="s">
        <v>3994</v>
      </c>
      <c r="B3971" s="2" t="s">
        <v>12463</v>
      </c>
    </row>
    <row r="3972" spans="1:2" x14ac:dyDescent="0.2">
      <c r="A3972" s="8" t="s">
        <v>3995</v>
      </c>
      <c r="B3972" s="2" t="s">
        <v>12463</v>
      </c>
    </row>
    <row r="3973" spans="1:2" x14ac:dyDescent="0.2">
      <c r="A3973" s="8" t="s">
        <v>3996</v>
      </c>
      <c r="B3973" s="2" t="s">
        <v>12463</v>
      </c>
    </row>
    <row r="3974" spans="1:2" x14ac:dyDescent="0.2">
      <c r="A3974" s="8" t="s">
        <v>3997</v>
      </c>
      <c r="B3974" s="2" t="s">
        <v>12463</v>
      </c>
    </row>
    <row r="3975" spans="1:2" x14ac:dyDescent="0.2">
      <c r="A3975" s="8" t="s">
        <v>3998</v>
      </c>
      <c r="B3975" s="2" t="s">
        <v>12463</v>
      </c>
    </row>
    <row r="3976" spans="1:2" x14ac:dyDescent="0.2">
      <c r="A3976" s="8" t="s">
        <v>3999</v>
      </c>
      <c r="B3976" s="2" t="s">
        <v>12463</v>
      </c>
    </row>
    <row r="3977" spans="1:2" x14ac:dyDescent="0.2">
      <c r="A3977" s="8" t="s">
        <v>4000</v>
      </c>
      <c r="B3977" s="2" t="s">
        <v>12463</v>
      </c>
    </row>
    <row r="3978" spans="1:2" x14ac:dyDescent="0.2">
      <c r="A3978" s="8" t="s">
        <v>4001</v>
      </c>
      <c r="B3978" s="2" t="s">
        <v>12463</v>
      </c>
    </row>
    <row r="3979" spans="1:2" x14ac:dyDescent="0.2">
      <c r="A3979" s="8" t="s">
        <v>4002</v>
      </c>
      <c r="B3979" s="2" t="s">
        <v>12463</v>
      </c>
    </row>
    <row r="3980" spans="1:2" x14ac:dyDescent="0.2">
      <c r="A3980" s="8" t="s">
        <v>4003</v>
      </c>
      <c r="B3980" s="2" t="s">
        <v>12463</v>
      </c>
    </row>
    <row r="3981" spans="1:2" x14ac:dyDescent="0.2">
      <c r="A3981" s="8" t="s">
        <v>4004</v>
      </c>
      <c r="B3981" s="2" t="s">
        <v>12463</v>
      </c>
    </row>
    <row r="3982" spans="1:2" x14ac:dyDescent="0.2">
      <c r="A3982" s="8" t="s">
        <v>4005</v>
      </c>
      <c r="B3982" s="2" t="s">
        <v>12463</v>
      </c>
    </row>
    <row r="3983" spans="1:2" x14ac:dyDescent="0.2">
      <c r="A3983" s="8" t="s">
        <v>4006</v>
      </c>
      <c r="B3983" s="2" t="s">
        <v>12463</v>
      </c>
    </row>
    <row r="3984" spans="1:2" x14ac:dyDescent="0.2">
      <c r="A3984" s="8" t="s">
        <v>4007</v>
      </c>
      <c r="B3984" s="2" t="s">
        <v>12463</v>
      </c>
    </row>
    <row r="3985" spans="1:2" x14ac:dyDescent="0.2">
      <c r="A3985" s="8" t="s">
        <v>4008</v>
      </c>
      <c r="B3985" s="2" t="s">
        <v>12463</v>
      </c>
    </row>
    <row r="3986" spans="1:2" x14ac:dyDescent="0.2">
      <c r="A3986" s="8" t="s">
        <v>4009</v>
      </c>
      <c r="B3986" s="2" t="s">
        <v>12463</v>
      </c>
    </row>
    <row r="3987" spans="1:2" x14ac:dyDescent="0.2">
      <c r="A3987" s="8" t="s">
        <v>4010</v>
      </c>
      <c r="B3987" s="2" t="s">
        <v>12463</v>
      </c>
    </row>
    <row r="3988" spans="1:2" x14ac:dyDescent="0.2">
      <c r="A3988" s="8" t="s">
        <v>4011</v>
      </c>
      <c r="B3988" s="2" t="s">
        <v>12463</v>
      </c>
    </row>
    <row r="3989" spans="1:2" x14ac:dyDescent="0.2">
      <c r="A3989" s="8" t="s">
        <v>4012</v>
      </c>
      <c r="B3989" s="2" t="s">
        <v>12463</v>
      </c>
    </row>
    <row r="3990" spans="1:2" x14ac:dyDescent="0.2">
      <c r="A3990" s="8" t="s">
        <v>4013</v>
      </c>
      <c r="B3990" s="2" t="s">
        <v>12463</v>
      </c>
    </row>
    <row r="3991" spans="1:2" x14ac:dyDescent="0.2">
      <c r="A3991" s="8" t="s">
        <v>4014</v>
      </c>
      <c r="B3991" s="2" t="s">
        <v>12463</v>
      </c>
    </row>
    <row r="3992" spans="1:2" x14ac:dyDescent="0.2">
      <c r="A3992" s="8" t="s">
        <v>4015</v>
      </c>
      <c r="B3992" s="2" t="s">
        <v>12463</v>
      </c>
    </row>
    <row r="3993" spans="1:2" x14ac:dyDescent="0.2">
      <c r="A3993" s="8" t="s">
        <v>4016</v>
      </c>
      <c r="B3993" s="2" t="s">
        <v>12463</v>
      </c>
    </row>
    <row r="3994" spans="1:2" x14ac:dyDescent="0.2">
      <c r="A3994" s="8" t="s">
        <v>4017</v>
      </c>
      <c r="B3994" s="2" t="s">
        <v>12463</v>
      </c>
    </row>
    <row r="3995" spans="1:2" x14ac:dyDescent="0.2">
      <c r="A3995" s="8" t="s">
        <v>4018</v>
      </c>
      <c r="B3995" s="2" t="s">
        <v>12463</v>
      </c>
    </row>
    <row r="3996" spans="1:2" x14ac:dyDescent="0.2">
      <c r="A3996" s="8" t="s">
        <v>4019</v>
      </c>
      <c r="B3996" s="2" t="s">
        <v>12463</v>
      </c>
    </row>
    <row r="3997" spans="1:2" x14ac:dyDescent="0.2">
      <c r="A3997" s="8" t="s">
        <v>4020</v>
      </c>
      <c r="B3997" s="2" t="s">
        <v>12463</v>
      </c>
    </row>
    <row r="3998" spans="1:2" x14ac:dyDescent="0.2">
      <c r="A3998" s="8" t="s">
        <v>4021</v>
      </c>
      <c r="B3998" s="2" t="s">
        <v>12463</v>
      </c>
    </row>
    <row r="3999" spans="1:2" x14ac:dyDescent="0.2">
      <c r="A3999" s="8" t="s">
        <v>4022</v>
      </c>
      <c r="B3999" s="2" t="s">
        <v>12463</v>
      </c>
    </row>
    <row r="4000" spans="1:2" x14ac:dyDescent="0.2">
      <c r="A4000" s="8" t="s">
        <v>4023</v>
      </c>
      <c r="B4000" s="2" t="s">
        <v>12463</v>
      </c>
    </row>
    <row r="4001" spans="1:2" x14ac:dyDescent="0.2">
      <c r="A4001" s="8" t="s">
        <v>4024</v>
      </c>
      <c r="B4001" s="2" t="s">
        <v>12463</v>
      </c>
    </row>
    <row r="4002" spans="1:2" x14ac:dyDescent="0.2">
      <c r="A4002" s="8" t="s">
        <v>4025</v>
      </c>
      <c r="B4002" s="2" t="s">
        <v>12463</v>
      </c>
    </row>
    <row r="4003" spans="1:2" x14ac:dyDescent="0.2">
      <c r="A4003" s="8" t="s">
        <v>4026</v>
      </c>
      <c r="B4003" s="2" t="s">
        <v>12463</v>
      </c>
    </row>
    <row r="4004" spans="1:2" x14ac:dyDescent="0.2">
      <c r="A4004" s="8" t="s">
        <v>4027</v>
      </c>
      <c r="B4004" s="2" t="s">
        <v>12463</v>
      </c>
    </row>
    <row r="4005" spans="1:2" x14ac:dyDescent="0.2">
      <c r="A4005" s="8" t="s">
        <v>4028</v>
      </c>
      <c r="B4005" s="2" t="s">
        <v>12463</v>
      </c>
    </row>
    <row r="4006" spans="1:2" x14ac:dyDescent="0.2">
      <c r="A4006" s="8" t="s">
        <v>4029</v>
      </c>
      <c r="B4006" s="2" t="s">
        <v>12463</v>
      </c>
    </row>
    <row r="4007" spans="1:2" x14ac:dyDescent="0.2">
      <c r="A4007" s="8" t="s">
        <v>4030</v>
      </c>
      <c r="B4007" s="2" t="s">
        <v>12463</v>
      </c>
    </row>
    <row r="4008" spans="1:2" x14ac:dyDescent="0.2">
      <c r="A4008" s="8" t="s">
        <v>4031</v>
      </c>
      <c r="B4008" s="2" t="s">
        <v>12463</v>
      </c>
    </row>
    <row r="4009" spans="1:2" x14ac:dyDescent="0.2">
      <c r="A4009" s="8" t="s">
        <v>4032</v>
      </c>
      <c r="B4009" s="2" t="s">
        <v>12463</v>
      </c>
    </row>
    <row r="4010" spans="1:2" x14ac:dyDescent="0.2">
      <c r="A4010" s="8" t="s">
        <v>4033</v>
      </c>
      <c r="B4010" s="2" t="s">
        <v>12463</v>
      </c>
    </row>
    <row r="4011" spans="1:2" x14ac:dyDescent="0.2">
      <c r="A4011" s="8" t="s">
        <v>4034</v>
      </c>
      <c r="B4011" s="2" t="s">
        <v>12463</v>
      </c>
    </row>
    <row r="4012" spans="1:2" x14ac:dyDescent="0.2">
      <c r="A4012" s="8" t="s">
        <v>4035</v>
      </c>
      <c r="B4012" s="2" t="s">
        <v>12463</v>
      </c>
    </row>
    <row r="4013" spans="1:2" x14ac:dyDescent="0.2">
      <c r="A4013" s="8" t="s">
        <v>4036</v>
      </c>
      <c r="B4013" s="2" t="s">
        <v>12463</v>
      </c>
    </row>
    <row r="4014" spans="1:2" x14ac:dyDescent="0.2">
      <c r="A4014" s="8" t="s">
        <v>4037</v>
      </c>
      <c r="B4014" s="2" t="s">
        <v>12463</v>
      </c>
    </row>
    <row r="4015" spans="1:2" x14ac:dyDescent="0.2">
      <c r="A4015" s="8" t="s">
        <v>4038</v>
      </c>
      <c r="B4015" s="2" t="s">
        <v>12463</v>
      </c>
    </row>
    <row r="4016" spans="1:2" x14ac:dyDescent="0.2">
      <c r="A4016" s="8" t="s">
        <v>4039</v>
      </c>
      <c r="B4016" s="2" t="s">
        <v>12463</v>
      </c>
    </row>
    <row r="4017" spans="1:2" x14ac:dyDescent="0.2">
      <c r="A4017" s="8" t="s">
        <v>4040</v>
      </c>
      <c r="B4017" s="2" t="s">
        <v>12463</v>
      </c>
    </row>
    <row r="4018" spans="1:2" x14ac:dyDescent="0.2">
      <c r="A4018" s="8" t="s">
        <v>4041</v>
      </c>
      <c r="B4018" s="2" t="s">
        <v>12463</v>
      </c>
    </row>
    <row r="4019" spans="1:2" x14ac:dyDescent="0.2">
      <c r="A4019" s="8" t="s">
        <v>4042</v>
      </c>
      <c r="B4019" s="2" t="s">
        <v>12463</v>
      </c>
    </row>
    <row r="4020" spans="1:2" x14ac:dyDescent="0.2">
      <c r="A4020" s="8" t="s">
        <v>4043</v>
      </c>
      <c r="B4020" s="2" t="s">
        <v>12463</v>
      </c>
    </row>
    <row r="4021" spans="1:2" x14ac:dyDescent="0.2">
      <c r="A4021" s="8" t="s">
        <v>4044</v>
      </c>
      <c r="B4021" s="2" t="s">
        <v>12463</v>
      </c>
    </row>
    <row r="4022" spans="1:2" x14ac:dyDescent="0.2">
      <c r="A4022" s="8" t="s">
        <v>4045</v>
      </c>
      <c r="B4022" s="2" t="s">
        <v>12463</v>
      </c>
    </row>
    <row r="4023" spans="1:2" x14ac:dyDescent="0.2">
      <c r="A4023" s="8" t="s">
        <v>4046</v>
      </c>
      <c r="B4023" s="2" t="s">
        <v>12463</v>
      </c>
    </row>
    <row r="4024" spans="1:2" x14ac:dyDescent="0.2">
      <c r="A4024" s="8" t="s">
        <v>4047</v>
      </c>
      <c r="B4024" s="2" t="s">
        <v>12463</v>
      </c>
    </row>
    <row r="4025" spans="1:2" x14ac:dyDescent="0.2">
      <c r="A4025" s="8" t="s">
        <v>4048</v>
      </c>
      <c r="B4025" s="2" t="s">
        <v>12463</v>
      </c>
    </row>
    <row r="4026" spans="1:2" x14ac:dyDescent="0.2">
      <c r="A4026" s="8" t="s">
        <v>4049</v>
      </c>
      <c r="B4026" s="2" t="s">
        <v>12463</v>
      </c>
    </row>
    <row r="4027" spans="1:2" x14ac:dyDescent="0.2">
      <c r="A4027" s="8" t="s">
        <v>4050</v>
      </c>
      <c r="B4027" s="2" t="s">
        <v>12463</v>
      </c>
    </row>
    <row r="4028" spans="1:2" x14ac:dyDescent="0.2">
      <c r="A4028" s="8" t="s">
        <v>4051</v>
      </c>
      <c r="B4028" s="2" t="s">
        <v>12463</v>
      </c>
    </row>
    <row r="4029" spans="1:2" x14ac:dyDescent="0.2">
      <c r="A4029" s="8" t="s">
        <v>4052</v>
      </c>
      <c r="B4029" s="2" t="s">
        <v>12463</v>
      </c>
    </row>
    <row r="4030" spans="1:2" x14ac:dyDescent="0.2">
      <c r="A4030" s="8" t="s">
        <v>4053</v>
      </c>
      <c r="B4030" s="2" t="s">
        <v>12463</v>
      </c>
    </row>
    <row r="4031" spans="1:2" x14ac:dyDescent="0.2">
      <c r="A4031" s="8" t="s">
        <v>4054</v>
      </c>
      <c r="B4031" s="2" t="s">
        <v>12463</v>
      </c>
    </row>
    <row r="4032" spans="1:2" x14ac:dyDescent="0.2">
      <c r="A4032" s="8" t="s">
        <v>4055</v>
      </c>
      <c r="B4032" s="2" t="s">
        <v>12463</v>
      </c>
    </row>
    <row r="4033" spans="1:2" x14ac:dyDescent="0.2">
      <c r="A4033" s="8" t="s">
        <v>4056</v>
      </c>
      <c r="B4033" s="2" t="s">
        <v>12463</v>
      </c>
    </row>
    <row r="4034" spans="1:2" x14ac:dyDescent="0.2">
      <c r="A4034" s="8" t="s">
        <v>4057</v>
      </c>
      <c r="B4034" s="2" t="s">
        <v>12463</v>
      </c>
    </row>
    <row r="4035" spans="1:2" x14ac:dyDescent="0.2">
      <c r="A4035" s="8" t="s">
        <v>4058</v>
      </c>
      <c r="B4035" s="2" t="s">
        <v>12463</v>
      </c>
    </row>
    <row r="4036" spans="1:2" x14ac:dyDescent="0.2">
      <c r="A4036" s="8" t="s">
        <v>4059</v>
      </c>
      <c r="B4036" s="2" t="s">
        <v>12463</v>
      </c>
    </row>
    <row r="4037" spans="1:2" x14ac:dyDescent="0.2">
      <c r="A4037" s="8" t="s">
        <v>4060</v>
      </c>
      <c r="B4037" s="2" t="s">
        <v>12463</v>
      </c>
    </row>
    <row r="4038" spans="1:2" x14ac:dyDescent="0.2">
      <c r="A4038" s="8" t="s">
        <v>4061</v>
      </c>
      <c r="B4038" s="2" t="s">
        <v>12463</v>
      </c>
    </row>
    <row r="4039" spans="1:2" x14ac:dyDescent="0.2">
      <c r="A4039" s="8" t="s">
        <v>4062</v>
      </c>
      <c r="B4039" s="2" t="s">
        <v>12463</v>
      </c>
    </row>
    <row r="4040" spans="1:2" x14ac:dyDescent="0.2">
      <c r="A4040" s="8" t="s">
        <v>4063</v>
      </c>
      <c r="B4040" s="2" t="s">
        <v>12463</v>
      </c>
    </row>
    <row r="4041" spans="1:2" x14ac:dyDescent="0.2">
      <c r="A4041" s="8" t="s">
        <v>4064</v>
      </c>
      <c r="B4041" s="2" t="s">
        <v>12463</v>
      </c>
    </row>
    <row r="4042" spans="1:2" x14ac:dyDescent="0.2">
      <c r="A4042" s="8" t="s">
        <v>4065</v>
      </c>
      <c r="B4042" s="2" t="s">
        <v>12463</v>
      </c>
    </row>
    <row r="4043" spans="1:2" x14ac:dyDescent="0.2">
      <c r="A4043" s="8" t="s">
        <v>4066</v>
      </c>
      <c r="B4043" s="2" t="s">
        <v>12463</v>
      </c>
    </row>
    <row r="4044" spans="1:2" x14ac:dyDescent="0.2">
      <c r="A4044" s="8" t="s">
        <v>4067</v>
      </c>
      <c r="B4044" s="2" t="s">
        <v>12463</v>
      </c>
    </row>
    <row r="4045" spans="1:2" x14ac:dyDescent="0.2">
      <c r="A4045" s="8" t="s">
        <v>4068</v>
      </c>
      <c r="B4045" s="2" t="s">
        <v>12463</v>
      </c>
    </row>
    <row r="4046" spans="1:2" x14ac:dyDescent="0.2">
      <c r="A4046" s="8" t="s">
        <v>4069</v>
      </c>
      <c r="B4046" s="2" t="s">
        <v>12463</v>
      </c>
    </row>
    <row r="4047" spans="1:2" x14ac:dyDescent="0.2">
      <c r="A4047" s="8" t="s">
        <v>4070</v>
      </c>
      <c r="B4047" s="2" t="s">
        <v>12463</v>
      </c>
    </row>
    <row r="4048" spans="1:2" x14ac:dyDescent="0.2">
      <c r="A4048" s="8" t="s">
        <v>4071</v>
      </c>
      <c r="B4048" s="2" t="s">
        <v>12463</v>
      </c>
    </row>
    <row r="4049" spans="1:2" x14ac:dyDescent="0.2">
      <c r="A4049" s="8" t="s">
        <v>4072</v>
      </c>
      <c r="B4049" s="2" t="s">
        <v>12463</v>
      </c>
    </row>
    <row r="4050" spans="1:2" x14ac:dyDescent="0.2">
      <c r="A4050" s="8" t="s">
        <v>4073</v>
      </c>
      <c r="B4050" s="2" t="s">
        <v>12463</v>
      </c>
    </row>
    <row r="4051" spans="1:2" x14ac:dyDescent="0.2">
      <c r="A4051" s="8" t="s">
        <v>4074</v>
      </c>
      <c r="B4051" s="2" t="s">
        <v>12463</v>
      </c>
    </row>
    <row r="4052" spans="1:2" x14ac:dyDescent="0.2">
      <c r="A4052" s="8" t="s">
        <v>4075</v>
      </c>
      <c r="B4052" s="2" t="s">
        <v>12463</v>
      </c>
    </row>
    <row r="4053" spans="1:2" x14ac:dyDescent="0.2">
      <c r="A4053" s="8" t="s">
        <v>4076</v>
      </c>
      <c r="B4053" s="2" t="s">
        <v>12463</v>
      </c>
    </row>
    <row r="4054" spans="1:2" x14ac:dyDescent="0.2">
      <c r="A4054" s="8" t="s">
        <v>4077</v>
      </c>
      <c r="B4054" s="2" t="s">
        <v>12463</v>
      </c>
    </row>
    <row r="4055" spans="1:2" x14ac:dyDescent="0.2">
      <c r="A4055" s="8" t="s">
        <v>4078</v>
      </c>
      <c r="B4055" s="2" t="s">
        <v>12463</v>
      </c>
    </row>
    <row r="4056" spans="1:2" x14ac:dyDescent="0.2">
      <c r="A4056" s="8" t="s">
        <v>4079</v>
      </c>
      <c r="B4056" s="2" t="s">
        <v>12463</v>
      </c>
    </row>
    <row r="4057" spans="1:2" x14ac:dyDescent="0.2">
      <c r="A4057" s="8" t="s">
        <v>4080</v>
      </c>
      <c r="B4057" s="2" t="s">
        <v>12463</v>
      </c>
    </row>
    <row r="4058" spans="1:2" x14ac:dyDescent="0.2">
      <c r="A4058" s="8" t="s">
        <v>4081</v>
      </c>
      <c r="B4058" s="2" t="s">
        <v>12463</v>
      </c>
    </row>
    <row r="4059" spans="1:2" x14ac:dyDescent="0.2">
      <c r="A4059" s="8" t="s">
        <v>4082</v>
      </c>
      <c r="B4059" s="2" t="s">
        <v>12463</v>
      </c>
    </row>
    <row r="4060" spans="1:2" x14ac:dyDescent="0.2">
      <c r="A4060" s="8" t="s">
        <v>4083</v>
      </c>
      <c r="B4060" s="2" t="s">
        <v>12463</v>
      </c>
    </row>
    <row r="4061" spans="1:2" x14ac:dyDescent="0.2">
      <c r="A4061" s="8" t="s">
        <v>4084</v>
      </c>
      <c r="B4061" s="2" t="s">
        <v>12463</v>
      </c>
    </row>
    <row r="4062" spans="1:2" x14ac:dyDescent="0.2">
      <c r="A4062" s="8" t="s">
        <v>4085</v>
      </c>
      <c r="B4062" s="2" t="s">
        <v>12463</v>
      </c>
    </row>
    <row r="4063" spans="1:2" x14ac:dyDescent="0.2">
      <c r="A4063" s="8" t="s">
        <v>4086</v>
      </c>
      <c r="B4063" s="2" t="s">
        <v>12463</v>
      </c>
    </row>
    <row r="4064" spans="1:2" x14ac:dyDescent="0.2">
      <c r="A4064" s="8" t="s">
        <v>4087</v>
      </c>
      <c r="B4064" s="2" t="s">
        <v>12463</v>
      </c>
    </row>
    <row r="4065" spans="1:2" x14ac:dyDescent="0.2">
      <c r="A4065" s="8" t="s">
        <v>4088</v>
      </c>
      <c r="B4065" s="2" t="s">
        <v>12463</v>
      </c>
    </row>
    <row r="4066" spans="1:2" x14ac:dyDescent="0.2">
      <c r="A4066" s="8" t="s">
        <v>4089</v>
      </c>
      <c r="B4066" s="2" t="s">
        <v>12463</v>
      </c>
    </row>
    <row r="4067" spans="1:2" x14ac:dyDescent="0.2">
      <c r="A4067" s="8" t="s">
        <v>4090</v>
      </c>
      <c r="B4067" s="2" t="s">
        <v>12463</v>
      </c>
    </row>
    <row r="4068" spans="1:2" x14ac:dyDescent="0.2">
      <c r="A4068" s="8" t="s">
        <v>4091</v>
      </c>
      <c r="B4068" s="2" t="s">
        <v>12463</v>
      </c>
    </row>
    <row r="4069" spans="1:2" x14ac:dyDescent="0.2">
      <c r="A4069" s="8" t="s">
        <v>4092</v>
      </c>
      <c r="B4069" s="2" t="s">
        <v>12463</v>
      </c>
    </row>
    <row r="4070" spans="1:2" x14ac:dyDescent="0.2">
      <c r="A4070" s="8" t="s">
        <v>4093</v>
      </c>
      <c r="B4070" s="2" t="s">
        <v>12463</v>
      </c>
    </row>
    <row r="4071" spans="1:2" x14ac:dyDescent="0.2">
      <c r="A4071" s="8" t="s">
        <v>4094</v>
      </c>
      <c r="B4071" s="2" t="s">
        <v>12463</v>
      </c>
    </row>
    <row r="4072" spans="1:2" x14ac:dyDescent="0.2">
      <c r="A4072" s="8" t="s">
        <v>4095</v>
      </c>
      <c r="B4072" s="2" t="s">
        <v>12463</v>
      </c>
    </row>
    <row r="4073" spans="1:2" x14ac:dyDescent="0.2">
      <c r="A4073" s="8" t="s">
        <v>4096</v>
      </c>
      <c r="B4073" s="2" t="s">
        <v>12463</v>
      </c>
    </row>
    <row r="4074" spans="1:2" x14ac:dyDescent="0.2">
      <c r="A4074" s="8" t="s">
        <v>4097</v>
      </c>
      <c r="B4074" s="2" t="s">
        <v>12463</v>
      </c>
    </row>
    <row r="4075" spans="1:2" x14ac:dyDescent="0.2">
      <c r="A4075" s="8" t="s">
        <v>4098</v>
      </c>
      <c r="B4075" s="2" t="s">
        <v>12463</v>
      </c>
    </row>
    <row r="4076" spans="1:2" x14ac:dyDescent="0.2">
      <c r="A4076" s="8" t="s">
        <v>4099</v>
      </c>
      <c r="B4076" s="2" t="s">
        <v>12463</v>
      </c>
    </row>
    <row r="4077" spans="1:2" x14ac:dyDescent="0.2">
      <c r="A4077" s="8" t="s">
        <v>4100</v>
      </c>
      <c r="B4077" s="2" t="s">
        <v>12463</v>
      </c>
    </row>
    <row r="4078" spans="1:2" x14ac:dyDescent="0.2">
      <c r="A4078" s="8" t="s">
        <v>4101</v>
      </c>
      <c r="B4078" s="2" t="s">
        <v>12463</v>
      </c>
    </row>
    <row r="4079" spans="1:2" x14ac:dyDescent="0.2">
      <c r="A4079" s="8" t="s">
        <v>4102</v>
      </c>
      <c r="B4079" s="2" t="s">
        <v>12463</v>
      </c>
    </row>
    <row r="4080" spans="1:2" x14ac:dyDescent="0.2">
      <c r="A4080" s="8" t="s">
        <v>4103</v>
      </c>
      <c r="B4080" s="2" t="s">
        <v>12463</v>
      </c>
    </row>
    <row r="4081" spans="1:2" x14ac:dyDescent="0.2">
      <c r="A4081" s="8" t="s">
        <v>4104</v>
      </c>
      <c r="B4081" s="2" t="s">
        <v>12463</v>
      </c>
    </row>
    <row r="4082" spans="1:2" x14ac:dyDescent="0.2">
      <c r="A4082" s="8" t="s">
        <v>4105</v>
      </c>
      <c r="B4082" s="2" t="s">
        <v>12463</v>
      </c>
    </row>
    <row r="4083" spans="1:2" x14ac:dyDescent="0.2">
      <c r="A4083" s="8" t="s">
        <v>4106</v>
      </c>
      <c r="B4083" s="2" t="s">
        <v>12463</v>
      </c>
    </row>
    <row r="4084" spans="1:2" x14ac:dyDescent="0.2">
      <c r="A4084" s="8" t="s">
        <v>4107</v>
      </c>
      <c r="B4084" s="2" t="s">
        <v>12463</v>
      </c>
    </row>
    <row r="4085" spans="1:2" x14ac:dyDescent="0.2">
      <c r="A4085" s="8" t="s">
        <v>4108</v>
      </c>
      <c r="B4085" s="2" t="s">
        <v>12463</v>
      </c>
    </row>
    <row r="4086" spans="1:2" x14ac:dyDescent="0.2">
      <c r="A4086" s="8" t="s">
        <v>4109</v>
      </c>
      <c r="B4086" s="2" t="s">
        <v>12463</v>
      </c>
    </row>
    <row r="4087" spans="1:2" x14ac:dyDescent="0.2">
      <c r="A4087" s="8" t="s">
        <v>4110</v>
      </c>
      <c r="B4087" s="2" t="s">
        <v>12463</v>
      </c>
    </row>
    <row r="4088" spans="1:2" x14ac:dyDescent="0.2">
      <c r="A4088" s="8" t="s">
        <v>4111</v>
      </c>
      <c r="B4088" s="2" t="s">
        <v>12463</v>
      </c>
    </row>
    <row r="4089" spans="1:2" x14ac:dyDescent="0.2">
      <c r="A4089" s="8" t="s">
        <v>4112</v>
      </c>
      <c r="B4089" s="2" t="s">
        <v>12463</v>
      </c>
    </row>
    <row r="4090" spans="1:2" x14ac:dyDescent="0.2">
      <c r="A4090" s="8" t="s">
        <v>4113</v>
      </c>
      <c r="B4090" s="2" t="s">
        <v>12463</v>
      </c>
    </row>
    <row r="4091" spans="1:2" x14ac:dyDescent="0.2">
      <c r="A4091" s="8" t="s">
        <v>4114</v>
      </c>
      <c r="B4091" s="2" t="s">
        <v>12463</v>
      </c>
    </row>
    <row r="4092" spans="1:2" x14ac:dyDescent="0.2">
      <c r="A4092" s="8" t="s">
        <v>4115</v>
      </c>
      <c r="B4092" s="2" t="s">
        <v>12463</v>
      </c>
    </row>
    <row r="4093" spans="1:2" x14ac:dyDescent="0.2">
      <c r="A4093" s="8" t="s">
        <v>4116</v>
      </c>
      <c r="B4093" s="2" t="s">
        <v>12463</v>
      </c>
    </row>
    <row r="4094" spans="1:2" x14ac:dyDescent="0.2">
      <c r="A4094" s="8" t="s">
        <v>4117</v>
      </c>
      <c r="B4094" s="2" t="s">
        <v>12463</v>
      </c>
    </row>
    <row r="4095" spans="1:2" x14ac:dyDescent="0.2">
      <c r="A4095" s="8" t="s">
        <v>4118</v>
      </c>
      <c r="B4095" s="2" t="s">
        <v>12463</v>
      </c>
    </row>
    <row r="4096" spans="1:2" x14ac:dyDescent="0.2">
      <c r="A4096" s="8" t="s">
        <v>4119</v>
      </c>
      <c r="B4096" s="2" t="s">
        <v>12463</v>
      </c>
    </row>
    <row r="4097" spans="1:2" x14ac:dyDescent="0.2">
      <c r="A4097" s="8" t="s">
        <v>4120</v>
      </c>
      <c r="B4097" s="2" t="s">
        <v>12463</v>
      </c>
    </row>
    <row r="4098" spans="1:2" x14ac:dyDescent="0.2">
      <c r="A4098" s="8" t="s">
        <v>4121</v>
      </c>
      <c r="B4098" s="2" t="s">
        <v>12463</v>
      </c>
    </row>
    <row r="4099" spans="1:2" x14ac:dyDescent="0.2">
      <c r="A4099" s="8" t="s">
        <v>4122</v>
      </c>
      <c r="B4099" s="2" t="s">
        <v>12463</v>
      </c>
    </row>
    <row r="4100" spans="1:2" x14ac:dyDescent="0.2">
      <c r="A4100" s="8" t="s">
        <v>4123</v>
      </c>
      <c r="B4100" s="2" t="s">
        <v>12463</v>
      </c>
    </row>
    <row r="4101" spans="1:2" x14ac:dyDescent="0.2">
      <c r="A4101" s="8" t="s">
        <v>4124</v>
      </c>
      <c r="B4101" s="2" t="s">
        <v>12463</v>
      </c>
    </row>
    <row r="4102" spans="1:2" x14ac:dyDescent="0.2">
      <c r="A4102" s="8" t="s">
        <v>4125</v>
      </c>
      <c r="B4102" s="2" t="s">
        <v>12463</v>
      </c>
    </row>
    <row r="4103" spans="1:2" x14ac:dyDescent="0.2">
      <c r="A4103" s="8" t="s">
        <v>4126</v>
      </c>
      <c r="B4103" s="2" t="s">
        <v>12463</v>
      </c>
    </row>
    <row r="4104" spans="1:2" x14ac:dyDescent="0.2">
      <c r="A4104" s="8" t="s">
        <v>4127</v>
      </c>
      <c r="B4104" s="2" t="s">
        <v>12463</v>
      </c>
    </row>
    <row r="4105" spans="1:2" x14ac:dyDescent="0.2">
      <c r="A4105" s="8" t="s">
        <v>4128</v>
      </c>
      <c r="B4105" s="2" t="s">
        <v>12463</v>
      </c>
    </row>
    <row r="4106" spans="1:2" x14ac:dyDescent="0.2">
      <c r="A4106" s="8" t="s">
        <v>4129</v>
      </c>
      <c r="B4106" s="2" t="s">
        <v>12463</v>
      </c>
    </row>
    <row r="4107" spans="1:2" x14ac:dyDescent="0.2">
      <c r="A4107" s="8" t="s">
        <v>4130</v>
      </c>
      <c r="B4107" s="2" t="s">
        <v>12463</v>
      </c>
    </row>
    <row r="4108" spans="1:2" x14ac:dyDescent="0.2">
      <c r="A4108" s="8" t="s">
        <v>4131</v>
      </c>
      <c r="B4108" s="2" t="s">
        <v>12463</v>
      </c>
    </row>
    <row r="4109" spans="1:2" x14ac:dyDescent="0.2">
      <c r="A4109" s="8" t="s">
        <v>4132</v>
      </c>
      <c r="B4109" s="2" t="s">
        <v>12463</v>
      </c>
    </row>
    <row r="4110" spans="1:2" x14ac:dyDescent="0.2">
      <c r="A4110" s="8" t="s">
        <v>4133</v>
      </c>
      <c r="B4110" s="2" t="s">
        <v>12463</v>
      </c>
    </row>
    <row r="4111" spans="1:2" x14ac:dyDescent="0.2">
      <c r="A4111" s="8" t="s">
        <v>4134</v>
      </c>
      <c r="B4111" s="2" t="s">
        <v>12463</v>
      </c>
    </row>
    <row r="4112" spans="1:2" x14ac:dyDescent="0.2">
      <c r="A4112" s="8" t="s">
        <v>4135</v>
      </c>
      <c r="B4112" s="2" t="s">
        <v>12463</v>
      </c>
    </row>
    <row r="4113" spans="1:2" x14ac:dyDescent="0.2">
      <c r="A4113" s="8" t="s">
        <v>4136</v>
      </c>
      <c r="B4113" s="2" t="s">
        <v>12463</v>
      </c>
    </row>
    <row r="4114" spans="1:2" x14ac:dyDescent="0.2">
      <c r="A4114" s="8" t="s">
        <v>4137</v>
      </c>
      <c r="B4114" s="2" t="s">
        <v>12463</v>
      </c>
    </row>
    <row r="4115" spans="1:2" x14ac:dyDescent="0.2">
      <c r="A4115" s="8" t="s">
        <v>4138</v>
      </c>
      <c r="B4115" s="2" t="s">
        <v>12463</v>
      </c>
    </row>
    <row r="4116" spans="1:2" x14ac:dyDescent="0.2">
      <c r="A4116" s="8" t="s">
        <v>4139</v>
      </c>
      <c r="B4116" s="2" t="s">
        <v>12463</v>
      </c>
    </row>
    <row r="4117" spans="1:2" x14ac:dyDescent="0.2">
      <c r="A4117" s="8" t="s">
        <v>4140</v>
      </c>
      <c r="B4117" s="2" t="s">
        <v>12463</v>
      </c>
    </row>
    <row r="4118" spans="1:2" x14ac:dyDescent="0.2">
      <c r="A4118" s="8" t="s">
        <v>4141</v>
      </c>
      <c r="B4118" s="2" t="s">
        <v>12463</v>
      </c>
    </row>
    <row r="4119" spans="1:2" x14ac:dyDescent="0.2">
      <c r="A4119" s="8" t="s">
        <v>4142</v>
      </c>
      <c r="B4119" s="2" t="s">
        <v>12463</v>
      </c>
    </row>
    <row r="4120" spans="1:2" x14ac:dyDescent="0.2">
      <c r="A4120" s="8" t="s">
        <v>4143</v>
      </c>
      <c r="B4120" s="2" t="s">
        <v>12463</v>
      </c>
    </row>
    <row r="4121" spans="1:2" x14ac:dyDescent="0.2">
      <c r="A4121" s="8" t="s">
        <v>4144</v>
      </c>
      <c r="B4121" s="2" t="s">
        <v>12463</v>
      </c>
    </row>
    <row r="4122" spans="1:2" x14ac:dyDescent="0.2">
      <c r="A4122" s="8" t="s">
        <v>4145</v>
      </c>
      <c r="B4122" s="2" t="s">
        <v>12463</v>
      </c>
    </row>
    <row r="4123" spans="1:2" x14ac:dyDescent="0.2">
      <c r="A4123" s="8" t="s">
        <v>4146</v>
      </c>
      <c r="B4123" s="2" t="s">
        <v>12463</v>
      </c>
    </row>
    <row r="4124" spans="1:2" x14ac:dyDescent="0.2">
      <c r="A4124" s="8" t="s">
        <v>4147</v>
      </c>
      <c r="B4124" s="2" t="s">
        <v>12463</v>
      </c>
    </row>
    <row r="4125" spans="1:2" x14ac:dyDescent="0.2">
      <c r="A4125" s="8" t="s">
        <v>4148</v>
      </c>
      <c r="B4125" s="2" t="s">
        <v>12463</v>
      </c>
    </row>
    <row r="4126" spans="1:2" x14ac:dyDescent="0.2">
      <c r="A4126" s="8" t="s">
        <v>4149</v>
      </c>
      <c r="B4126" s="2" t="s">
        <v>12463</v>
      </c>
    </row>
    <row r="4127" spans="1:2" x14ac:dyDescent="0.2">
      <c r="A4127" s="8" t="s">
        <v>4150</v>
      </c>
      <c r="B4127" s="2" t="s">
        <v>12463</v>
      </c>
    </row>
    <row r="4128" spans="1:2" x14ac:dyDescent="0.2">
      <c r="A4128" s="8" t="s">
        <v>4151</v>
      </c>
      <c r="B4128" s="2" t="s">
        <v>12463</v>
      </c>
    </row>
    <row r="4129" spans="1:2" x14ac:dyDescent="0.2">
      <c r="A4129" s="8" t="s">
        <v>4152</v>
      </c>
      <c r="B4129" s="2" t="s">
        <v>12463</v>
      </c>
    </row>
    <row r="4130" spans="1:2" x14ac:dyDescent="0.2">
      <c r="A4130" s="8" t="s">
        <v>4153</v>
      </c>
      <c r="B4130" s="2" t="s">
        <v>12463</v>
      </c>
    </row>
    <row r="4131" spans="1:2" x14ac:dyDescent="0.2">
      <c r="A4131" s="8" t="s">
        <v>4154</v>
      </c>
      <c r="B4131" s="2" t="s">
        <v>12463</v>
      </c>
    </row>
    <row r="4132" spans="1:2" x14ac:dyDescent="0.2">
      <c r="A4132" s="8" t="s">
        <v>4155</v>
      </c>
      <c r="B4132" s="2" t="s">
        <v>12463</v>
      </c>
    </row>
    <row r="4133" spans="1:2" x14ac:dyDescent="0.2">
      <c r="A4133" s="8" t="s">
        <v>4156</v>
      </c>
      <c r="B4133" s="2" t="s">
        <v>12463</v>
      </c>
    </row>
    <row r="4134" spans="1:2" x14ac:dyDescent="0.2">
      <c r="A4134" s="8" t="s">
        <v>4157</v>
      </c>
      <c r="B4134" s="2" t="s">
        <v>12463</v>
      </c>
    </row>
    <row r="4135" spans="1:2" x14ac:dyDescent="0.2">
      <c r="A4135" s="8" t="s">
        <v>4158</v>
      </c>
      <c r="B4135" s="2" t="s">
        <v>12463</v>
      </c>
    </row>
    <row r="4136" spans="1:2" x14ac:dyDescent="0.2">
      <c r="A4136" s="8" t="s">
        <v>4159</v>
      </c>
      <c r="B4136" s="2" t="s">
        <v>12463</v>
      </c>
    </row>
    <row r="4137" spans="1:2" x14ac:dyDescent="0.2">
      <c r="A4137" s="8" t="s">
        <v>4160</v>
      </c>
      <c r="B4137" s="2" t="s">
        <v>12463</v>
      </c>
    </row>
    <row r="4138" spans="1:2" x14ac:dyDescent="0.2">
      <c r="A4138" s="8" t="s">
        <v>4161</v>
      </c>
      <c r="B4138" s="2" t="s">
        <v>12463</v>
      </c>
    </row>
    <row r="4139" spans="1:2" x14ac:dyDescent="0.2">
      <c r="A4139" s="8" t="s">
        <v>4162</v>
      </c>
      <c r="B4139" s="2" t="s">
        <v>12463</v>
      </c>
    </row>
    <row r="4140" spans="1:2" x14ac:dyDescent="0.2">
      <c r="A4140" s="8" t="s">
        <v>4163</v>
      </c>
      <c r="B4140" s="2" t="s">
        <v>12463</v>
      </c>
    </row>
    <row r="4141" spans="1:2" x14ac:dyDescent="0.2">
      <c r="A4141" s="8" t="s">
        <v>4164</v>
      </c>
      <c r="B4141" s="2" t="s">
        <v>12463</v>
      </c>
    </row>
    <row r="4142" spans="1:2" x14ac:dyDescent="0.2">
      <c r="A4142" s="8" t="s">
        <v>4165</v>
      </c>
      <c r="B4142" s="2" t="s">
        <v>12463</v>
      </c>
    </row>
    <row r="4143" spans="1:2" x14ac:dyDescent="0.2">
      <c r="A4143" s="8" t="s">
        <v>4166</v>
      </c>
      <c r="B4143" s="2" t="s">
        <v>12463</v>
      </c>
    </row>
    <row r="4144" spans="1:2" x14ac:dyDescent="0.2">
      <c r="A4144" s="8" t="s">
        <v>4167</v>
      </c>
      <c r="B4144" s="2" t="s">
        <v>12463</v>
      </c>
    </row>
    <row r="4145" spans="1:2" x14ac:dyDescent="0.2">
      <c r="A4145" s="8" t="s">
        <v>4168</v>
      </c>
      <c r="B4145" s="2" t="s">
        <v>12463</v>
      </c>
    </row>
    <row r="4146" spans="1:2" x14ac:dyDescent="0.2">
      <c r="A4146" s="8" t="s">
        <v>4169</v>
      </c>
      <c r="B4146" s="2" t="s">
        <v>12463</v>
      </c>
    </row>
    <row r="4147" spans="1:2" x14ac:dyDescent="0.2">
      <c r="A4147" s="8" t="s">
        <v>4170</v>
      </c>
      <c r="B4147" s="2" t="s">
        <v>12463</v>
      </c>
    </row>
    <row r="4148" spans="1:2" x14ac:dyDescent="0.2">
      <c r="A4148" s="8" t="s">
        <v>4171</v>
      </c>
      <c r="B4148" s="2" t="s">
        <v>12463</v>
      </c>
    </row>
    <row r="4149" spans="1:2" x14ac:dyDescent="0.2">
      <c r="A4149" s="8" t="s">
        <v>4172</v>
      </c>
      <c r="B4149" s="2" t="s">
        <v>12463</v>
      </c>
    </row>
    <row r="4150" spans="1:2" x14ac:dyDescent="0.2">
      <c r="A4150" s="8" t="s">
        <v>4173</v>
      </c>
      <c r="B4150" s="2" t="s">
        <v>12463</v>
      </c>
    </row>
    <row r="4151" spans="1:2" x14ac:dyDescent="0.2">
      <c r="A4151" s="8" t="s">
        <v>4174</v>
      </c>
      <c r="B4151" s="2" t="s">
        <v>12463</v>
      </c>
    </row>
    <row r="4152" spans="1:2" x14ac:dyDescent="0.2">
      <c r="A4152" s="8" t="s">
        <v>4175</v>
      </c>
      <c r="B4152" s="2" t="s">
        <v>12463</v>
      </c>
    </row>
    <row r="4153" spans="1:2" x14ac:dyDescent="0.2">
      <c r="A4153" s="8" t="s">
        <v>4176</v>
      </c>
      <c r="B4153" s="2" t="s">
        <v>12463</v>
      </c>
    </row>
    <row r="4154" spans="1:2" x14ac:dyDescent="0.2">
      <c r="A4154" s="8" t="s">
        <v>4177</v>
      </c>
      <c r="B4154" s="2" t="s">
        <v>12463</v>
      </c>
    </row>
    <row r="4155" spans="1:2" x14ac:dyDescent="0.2">
      <c r="A4155" s="8" t="s">
        <v>4178</v>
      </c>
      <c r="B4155" s="2" t="s">
        <v>12463</v>
      </c>
    </row>
    <row r="4156" spans="1:2" x14ac:dyDescent="0.2">
      <c r="A4156" s="8" t="s">
        <v>4179</v>
      </c>
      <c r="B4156" s="2" t="s">
        <v>12463</v>
      </c>
    </row>
    <row r="4157" spans="1:2" x14ac:dyDescent="0.2">
      <c r="A4157" s="8" t="s">
        <v>4180</v>
      </c>
      <c r="B4157" s="2" t="s">
        <v>12463</v>
      </c>
    </row>
    <row r="4158" spans="1:2" x14ac:dyDescent="0.2">
      <c r="A4158" s="8" t="s">
        <v>4181</v>
      </c>
      <c r="B4158" s="2" t="s">
        <v>12463</v>
      </c>
    </row>
    <row r="4159" spans="1:2" x14ac:dyDescent="0.2">
      <c r="A4159" s="8" t="s">
        <v>4182</v>
      </c>
      <c r="B4159" s="2" t="s">
        <v>12463</v>
      </c>
    </row>
    <row r="4160" spans="1:2" x14ac:dyDescent="0.2">
      <c r="A4160" s="8" t="s">
        <v>4183</v>
      </c>
      <c r="B4160" s="2" t="s">
        <v>12463</v>
      </c>
    </row>
    <row r="4161" spans="1:2" x14ac:dyDescent="0.2">
      <c r="A4161" s="8" t="s">
        <v>4184</v>
      </c>
      <c r="B4161" s="2" t="s">
        <v>12463</v>
      </c>
    </row>
    <row r="4162" spans="1:2" x14ac:dyDescent="0.2">
      <c r="A4162" s="8" t="s">
        <v>4185</v>
      </c>
      <c r="B4162" s="2" t="s">
        <v>12463</v>
      </c>
    </row>
    <row r="4163" spans="1:2" x14ac:dyDescent="0.2">
      <c r="A4163" s="8" t="s">
        <v>4186</v>
      </c>
      <c r="B4163" s="2" t="s">
        <v>12463</v>
      </c>
    </row>
    <row r="4164" spans="1:2" x14ac:dyDescent="0.2">
      <c r="A4164" s="8" t="s">
        <v>4187</v>
      </c>
      <c r="B4164" s="2" t="s">
        <v>12463</v>
      </c>
    </row>
    <row r="4165" spans="1:2" x14ac:dyDescent="0.2">
      <c r="A4165" s="8" t="s">
        <v>4188</v>
      </c>
      <c r="B4165" s="2" t="s">
        <v>12463</v>
      </c>
    </row>
    <row r="4166" spans="1:2" x14ac:dyDescent="0.2">
      <c r="A4166" s="8" t="s">
        <v>4189</v>
      </c>
      <c r="B4166" s="2" t="s">
        <v>12463</v>
      </c>
    </row>
    <row r="4167" spans="1:2" x14ac:dyDescent="0.2">
      <c r="A4167" s="8" t="s">
        <v>4190</v>
      </c>
      <c r="B4167" s="2" t="s">
        <v>12463</v>
      </c>
    </row>
    <row r="4168" spans="1:2" x14ac:dyDescent="0.2">
      <c r="A4168" s="8" t="s">
        <v>4191</v>
      </c>
      <c r="B4168" s="2" t="s">
        <v>12463</v>
      </c>
    </row>
    <row r="4169" spans="1:2" x14ac:dyDescent="0.2">
      <c r="A4169" s="8" t="s">
        <v>4192</v>
      </c>
      <c r="B4169" s="2" t="s">
        <v>12463</v>
      </c>
    </row>
    <row r="4170" spans="1:2" x14ac:dyDescent="0.2">
      <c r="A4170" s="8" t="s">
        <v>4193</v>
      </c>
      <c r="B4170" s="2" t="s">
        <v>12463</v>
      </c>
    </row>
    <row r="4171" spans="1:2" x14ac:dyDescent="0.2">
      <c r="A4171" s="8" t="s">
        <v>4194</v>
      </c>
      <c r="B4171" s="2" t="s">
        <v>12463</v>
      </c>
    </row>
    <row r="4172" spans="1:2" x14ac:dyDescent="0.2">
      <c r="A4172" s="8" t="s">
        <v>4195</v>
      </c>
      <c r="B4172" s="2" t="s">
        <v>12463</v>
      </c>
    </row>
    <row r="4173" spans="1:2" x14ac:dyDescent="0.2">
      <c r="A4173" s="8" t="s">
        <v>4196</v>
      </c>
      <c r="B4173" s="2" t="s">
        <v>12463</v>
      </c>
    </row>
    <row r="4174" spans="1:2" x14ac:dyDescent="0.2">
      <c r="A4174" s="8" t="s">
        <v>4197</v>
      </c>
      <c r="B4174" s="2" t="s">
        <v>12463</v>
      </c>
    </row>
    <row r="4175" spans="1:2" x14ac:dyDescent="0.2">
      <c r="A4175" s="8" t="s">
        <v>4198</v>
      </c>
      <c r="B4175" s="2" t="s">
        <v>12463</v>
      </c>
    </row>
    <row r="4176" spans="1:2" x14ac:dyDescent="0.2">
      <c r="A4176" s="8" t="s">
        <v>4199</v>
      </c>
      <c r="B4176" s="2" t="s">
        <v>12463</v>
      </c>
    </row>
    <row r="4177" spans="1:2" x14ac:dyDescent="0.2">
      <c r="A4177" s="8" t="s">
        <v>4200</v>
      </c>
      <c r="B4177" s="2" t="s">
        <v>12463</v>
      </c>
    </row>
    <row r="4178" spans="1:2" x14ac:dyDescent="0.2">
      <c r="A4178" s="8" t="s">
        <v>4201</v>
      </c>
      <c r="B4178" s="2" t="s">
        <v>12463</v>
      </c>
    </row>
    <row r="4179" spans="1:2" x14ac:dyDescent="0.2">
      <c r="A4179" s="8" t="s">
        <v>4202</v>
      </c>
      <c r="B4179" s="2" t="s">
        <v>12463</v>
      </c>
    </row>
    <row r="4180" spans="1:2" x14ac:dyDescent="0.2">
      <c r="A4180" s="8" t="s">
        <v>4203</v>
      </c>
      <c r="B4180" s="2" t="s">
        <v>12463</v>
      </c>
    </row>
    <row r="4181" spans="1:2" x14ac:dyDescent="0.2">
      <c r="A4181" s="8" t="s">
        <v>4204</v>
      </c>
      <c r="B4181" s="2" t="s">
        <v>12463</v>
      </c>
    </row>
    <row r="4182" spans="1:2" x14ac:dyDescent="0.2">
      <c r="A4182" s="8" t="s">
        <v>4205</v>
      </c>
      <c r="B4182" s="2" t="s">
        <v>12463</v>
      </c>
    </row>
    <row r="4183" spans="1:2" x14ac:dyDescent="0.2">
      <c r="A4183" s="8" t="s">
        <v>4206</v>
      </c>
      <c r="B4183" s="2" t="s">
        <v>12464</v>
      </c>
    </row>
    <row r="4184" spans="1:2" x14ac:dyDescent="0.2">
      <c r="A4184" s="8" t="s">
        <v>4207</v>
      </c>
      <c r="B4184" s="2" t="s">
        <v>12464</v>
      </c>
    </row>
    <row r="4185" spans="1:2" x14ac:dyDescent="0.2">
      <c r="A4185" s="8" t="s">
        <v>4208</v>
      </c>
      <c r="B4185" s="2" t="s">
        <v>12464</v>
      </c>
    </row>
    <row r="4186" spans="1:2" x14ac:dyDescent="0.2">
      <c r="A4186" s="8" t="s">
        <v>4209</v>
      </c>
      <c r="B4186" s="2" t="s">
        <v>12464</v>
      </c>
    </row>
    <row r="4187" spans="1:2" x14ac:dyDescent="0.2">
      <c r="A4187" s="8" t="s">
        <v>4210</v>
      </c>
      <c r="B4187" s="2" t="s">
        <v>12464</v>
      </c>
    </row>
    <row r="4188" spans="1:2" x14ac:dyDescent="0.2">
      <c r="A4188" s="8" t="s">
        <v>4211</v>
      </c>
      <c r="B4188" s="2" t="s">
        <v>12464</v>
      </c>
    </row>
    <row r="4189" spans="1:2" x14ac:dyDescent="0.2">
      <c r="A4189" s="8" t="s">
        <v>4212</v>
      </c>
      <c r="B4189" s="2" t="s">
        <v>12464</v>
      </c>
    </row>
    <row r="4190" spans="1:2" x14ac:dyDescent="0.2">
      <c r="A4190" s="8" t="s">
        <v>4213</v>
      </c>
      <c r="B4190" s="2" t="s">
        <v>12464</v>
      </c>
    </row>
    <row r="4191" spans="1:2" x14ac:dyDescent="0.2">
      <c r="A4191" s="8" t="s">
        <v>4214</v>
      </c>
      <c r="B4191" s="2" t="s">
        <v>12464</v>
      </c>
    </row>
    <row r="4192" spans="1:2" x14ac:dyDescent="0.2">
      <c r="A4192" s="8" t="s">
        <v>4215</v>
      </c>
      <c r="B4192" s="2" t="s">
        <v>12464</v>
      </c>
    </row>
    <row r="4193" spans="1:2" x14ac:dyDescent="0.2">
      <c r="A4193" s="8" t="s">
        <v>4216</v>
      </c>
      <c r="B4193" s="2" t="s">
        <v>12464</v>
      </c>
    </row>
    <row r="4194" spans="1:2" x14ac:dyDescent="0.2">
      <c r="A4194" s="8" t="s">
        <v>4217</v>
      </c>
      <c r="B4194" s="2" t="s">
        <v>12464</v>
      </c>
    </row>
    <row r="4195" spans="1:2" x14ac:dyDescent="0.2">
      <c r="A4195" s="8" t="s">
        <v>4218</v>
      </c>
      <c r="B4195" s="2" t="s">
        <v>12464</v>
      </c>
    </row>
    <row r="4196" spans="1:2" x14ac:dyDescent="0.2">
      <c r="A4196" s="8" t="s">
        <v>4219</v>
      </c>
      <c r="B4196" s="2" t="s">
        <v>12464</v>
      </c>
    </row>
    <row r="4197" spans="1:2" x14ac:dyDescent="0.2">
      <c r="A4197" s="8" t="s">
        <v>4220</v>
      </c>
      <c r="B4197" s="2" t="s">
        <v>12464</v>
      </c>
    </row>
    <row r="4198" spans="1:2" x14ac:dyDescent="0.2">
      <c r="A4198" s="8" t="s">
        <v>4221</v>
      </c>
      <c r="B4198" s="2" t="s">
        <v>12464</v>
      </c>
    </row>
    <row r="4199" spans="1:2" x14ac:dyDescent="0.2">
      <c r="A4199" s="8" t="s">
        <v>4222</v>
      </c>
      <c r="B4199" s="2" t="s">
        <v>12464</v>
      </c>
    </row>
    <row r="4200" spans="1:2" x14ac:dyDescent="0.2">
      <c r="A4200" s="8" t="s">
        <v>4223</v>
      </c>
      <c r="B4200" s="2" t="s">
        <v>12464</v>
      </c>
    </row>
    <row r="4201" spans="1:2" x14ac:dyDescent="0.2">
      <c r="A4201" s="8" t="s">
        <v>4224</v>
      </c>
      <c r="B4201" s="2" t="s">
        <v>12464</v>
      </c>
    </row>
    <row r="4202" spans="1:2" x14ac:dyDescent="0.2">
      <c r="A4202" s="8" t="s">
        <v>4225</v>
      </c>
      <c r="B4202" s="2" t="s">
        <v>12464</v>
      </c>
    </row>
    <row r="4203" spans="1:2" x14ac:dyDescent="0.2">
      <c r="A4203" s="8" t="s">
        <v>4226</v>
      </c>
      <c r="B4203" s="2" t="s">
        <v>12464</v>
      </c>
    </row>
    <row r="4204" spans="1:2" x14ac:dyDescent="0.2">
      <c r="A4204" s="8" t="s">
        <v>4227</v>
      </c>
      <c r="B4204" s="2" t="s">
        <v>12464</v>
      </c>
    </row>
    <row r="4205" spans="1:2" x14ac:dyDescent="0.2">
      <c r="A4205" s="8" t="s">
        <v>4228</v>
      </c>
      <c r="B4205" s="2" t="s">
        <v>12464</v>
      </c>
    </row>
    <row r="4206" spans="1:2" x14ac:dyDescent="0.2">
      <c r="A4206" s="8" t="s">
        <v>4229</v>
      </c>
      <c r="B4206" s="2" t="s">
        <v>12464</v>
      </c>
    </row>
    <row r="4207" spans="1:2" x14ac:dyDescent="0.2">
      <c r="A4207" s="8" t="s">
        <v>4230</v>
      </c>
      <c r="B4207" s="2" t="s">
        <v>12464</v>
      </c>
    </row>
    <row r="4208" spans="1:2" x14ac:dyDescent="0.2">
      <c r="A4208" s="8" t="s">
        <v>4231</v>
      </c>
      <c r="B4208" s="2" t="s">
        <v>12464</v>
      </c>
    </row>
    <row r="4209" spans="1:2" x14ac:dyDescent="0.2">
      <c r="A4209" s="8" t="s">
        <v>4232</v>
      </c>
      <c r="B4209" s="2" t="s">
        <v>12464</v>
      </c>
    </row>
    <row r="4210" spans="1:2" x14ac:dyDescent="0.2">
      <c r="A4210" s="8" t="s">
        <v>4233</v>
      </c>
      <c r="B4210" s="2" t="s">
        <v>12464</v>
      </c>
    </row>
    <row r="4211" spans="1:2" x14ac:dyDescent="0.2">
      <c r="A4211" s="8" t="s">
        <v>4234</v>
      </c>
      <c r="B4211" s="2" t="s">
        <v>12464</v>
      </c>
    </row>
    <row r="4212" spans="1:2" x14ac:dyDescent="0.2">
      <c r="A4212" s="8" t="s">
        <v>4235</v>
      </c>
      <c r="B4212" s="2" t="s">
        <v>12464</v>
      </c>
    </row>
    <row r="4213" spans="1:2" x14ac:dyDescent="0.2">
      <c r="A4213" s="8" t="s">
        <v>4236</v>
      </c>
      <c r="B4213" s="2" t="s">
        <v>12464</v>
      </c>
    </row>
    <row r="4214" spans="1:2" x14ac:dyDescent="0.2">
      <c r="A4214" s="8" t="s">
        <v>4237</v>
      </c>
      <c r="B4214" s="2" t="s">
        <v>12464</v>
      </c>
    </row>
    <row r="4215" spans="1:2" x14ac:dyDescent="0.2">
      <c r="A4215" s="8" t="s">
        <v>4238</v>
      </c>
      <c r="B4215" s="2" t="s">
        <v>12464</v>
      </c>
    </row>
    <row r="4216" spans="1:2" x14ac:dyDescent="0.2">
      <c r="A4216" s="8" t="s">
        <v>4239</v>
      </c>
      <c r="B4216" s="2" t="s">
        <v>12464</v>
      </c>
    </row>
    <row r="4217" spans="1:2" x14ac:dyDescent="0.2">
      <c r="A4217" s="8" t="s">
        <v>4240</v>
      </c>
      <c r="B4217" s="2" t="s">
        <v>12464</v>
      </c>
    </row>
    <row r="4218" spans="1:2" x14ac:dyDescent="0.2">
      <c r="A4218" s="8" t="s">
        <v>4241</v>
      </c>
      <c r="B4218" s="2" t="s">
        <v>12464</v>
      </c>
    </row>
    <row r="4219" spans="1:2" x14ac:dyDescent="0.2">
      <c r="A4219" s="8" t="s">
        <v>4242</v>
      </c>
      <c r="B4219" s="2" t="s">
        <v>12464</v>
      </c>
    </row>
    <row r="4220" spans="1:2" x14ac:dyDescent="0.2">
      <c r="A4220" s="8" t="s">
        <v>4243</v>
      </c>
      <c r="B4220" s="2" t="s">
        <v>12464</v>
      </c>
    </row>
    <row r="4221" spans="1:2" x14ac:dyDescent="0.2">
      <c r="A4221" s="8" t="s">
        <v>4244</v>
      </c>
      <c r="B4221" s="2" t="s">
        <v>12464</v>
      </c>
    </row>
    <row r="4222" spans="1:2" x14ac:dyDescent="0.2">
      <c r="A4222" s="8" t="s">
        <v>4245</v>
      </c>
      <c r="B4222" s="2" t="s">
        <v>12464</v>
      </c>
    </row>
    <row r="4223" spans="1:2" x14ac:dyDescent="0.2">
      <c r="A4223" s="8" t="s">
        <v>4246</v>
      </c>
      <c r="B4223" s="2" t="s">
        <v>12464</v>
      </c>
    </row>
    <row r="4224" spans="1:2" x14ac:dyDescent="0.2">
      <c r="A4224" s="8" t="s">
        <v>4247</v>
      </c>
      <c r="B4224" s="2" t="s">
        <v>12464</v>
      </c>
    </row>
    <row r="4225" spans="1:2" x14ac:dyDescent="0.2">
      <c r="A4225" s="8" t="s">
        <v>4248</v>
      </c>
      <c r="B4225" s="2" t="s">
        <v>12464</v>
      </c>
    </row>
    <row r="4226" spans="1:2" x14ac:dyDescent="0.2">
      <c r="A4226" s="8" t="s">
        <v>4249</v>
      </c>
      <c r="B4226" s="2" t="s">
        <v>12464</v>
      </c>
    </row>
    <row r="4227" spans="1:2" x14ac:dyDescent="0.2">
      <c r="A4227" s="8" t="s">
        <v>4250</v>
      </c>
      <c r="B4227" s="2" t="s">
        <v>12464</v>
      </c>
    </row>
    <row r="4228" spans="1:2" x14ac:dyDescent="0.2">
      <c r="A4228" s="8" t="s">
        <v>4251</v>
      </c>
      <c r="B4228" s="2" t="s">
        <v>12464</v>
      </c>
    </row>
    <row r="4229" spans="1:2" x14ac:dyDescent="0.2">
      <c r="A4229" s="8" t="s">
        <v>4252</v>
      </c>
      <c r="B4229" s="2" t="s">
        <v>12464</v>
      </c>
    </row>
    <row r="4230" spans="1:2" x14ac:dyDescent="0.2">
      <c r="A4230" s="8" t="s">
        <v>4253</v>
      </c>
      <c r="B4230" s="2" t="s">
        <v>12464</v>
      </c>
    </row>
    <row r="4231" spans="1:2" x14ac:dyDescent="0.2">
      <c r="A4231" s="8" t="s">
        <v>4254</v>
      </c>
      <c r="B4231" s="2" t="s">
        <v>12464</v>
      </c>
    </row>
    <row r="4232" spans="1:2" x14ac:dyDescent="0.2">
      <c r="A4232" s="8" t="s">
        <v>4255</v>
      </c>
      <c r="B4232" s="2" t="s">
        <v>12464</v>
      </c>
    </row>
    <row r="4233" spans="1:2" x14ac:dyDescent="0.2">
      <c r="A4233" s="8" t="s">
        <v>4256</v>
      </c>
      <c r="B4233" s="2" t="s">
        <v>12464</v>
      </c>
    </row>
    <row r="4234" spans="1:2" x14ac:dyDescent="0.2">
      <c r="A4234" s="8" t="s">
        <v>4257</v>
      </c>
      <c r="B4234" s="2" t="s">
        <v>12464</v>
      </c>
    </row>
    <row r="4235" spans="1:2" x14ac:dyDescent="0.2">
      <c r="A4235" s="8" t="s">
        <v>4258</v>
      </c>
      <c r="B4235" s="2" t="s">
        <v>12464</v>
      </c>
    </row>
    <row r="4236" spans="1:2" x14ac:dyDescent="0.2">
      <c r="A4236" s="8" t="s">
        <v>4259</v>
      </c>
      <c r="B4236" s="2" t="s">
        <v>12464</v>
      </c>
    </row>
    <row r="4237" spans="1:2" x14ac:dyDescent="0.2">
      <c r="A4237" s="8" t="s">
        <v>4260</v>
      </c>
      <c r="B4237" s="2" t="s">
        <v>12464</v>
      </c>
    </row>
    <row r="4238" spans="1:2" x14ac:dyDescent="0.2">
      <c r="A4238" s="8" t="s">
        <v>4261</v>
      </c>
      <c r="B4238" s="2" t="s">
        <v>12464</v>
      </c>
    </row>
    <row r="4239" spans="1:2" x14ac:dyDescent="0.2">
      <c r="A4239" s="8" t="s">
        <v>4262</v>
      </c>
      <c r="B4239" s="2" t="s">
        <v>12464</v>
      </c>
    </row>
    <row r="4240" spans="1:2" x14ac:dyDescent="0.2">
      <c r="A4240" s="8" t="s">
        <v>4263</v>
      </c>
      <c r="B4240" s="2" t="s">
        <v>12464</v>
      </c>
    </row>
    <row r="4241" spans="1:2" x14ac:dyDescent="0.2">
      <c r="A4241" s="8" t="s">
        <v>4264</v>
      </c>
      <c r="B4241" s="2" t="s">
        <v>12464</v>
      </c>
    </row>
    <row r="4242" spans="1:2" x14ac:dyDescent="0.2">
      <c r="A4242" s="8" t="s">
        <v>4265</v>
      </c>
      <c r="B4242" s="2" t="s">
        <v>12464</v>
      </c>
    </row>
    <row r="4243" spans="1:2" x14ac:dyDescent="0.2">
      <c r="A4243" s="8" t="s">
        <v>4266</v>
      </c>
      <c r="B4243" s="2" t="s">
        <v>12464</v>
      </c>
    </row>
    <row r="4244" spans="1:2" x14ac:dyDescent="0.2">
      <c r="A4244" s="8" t="s">
        <v>4267</v>
      </c>
      <c r="B4244" s="2" t="s">
        <v>12464</v>
      </c>
    </row>
    <row r="4245" spans="1:2" x14ac:dyDescent="0.2">
      <c r="A4245" s="8" t="s">
        <v>4268</v>
      </c>
      <c r="B4245" s="2" t="s">
        <v>12464</v>
      </c>
    </row>
    <row r="4246" spans="1:2" x14ac:dyDescent="0.2">
      <c r="A4246" s="8" t="s">
        <v>4269</v>
      </c>
      <c r="B4246" s="2" t="s">
        <v>12464</v>
      </c>
    </row>
    <row r="4247" spans="1:2" x14ac:dyDescent="0.2">
      <c r="A4247" s="8" t="s">
        <v>4270</v>
      </c>
      <c r="B4247" s="2" t="s">
        <v>12464</v>
      </c>
    </row>
    <row r="4248" spans="1:2" x14ac:dyDescent="0.2">
      <c r="A4248" s="8" t="s">
        <v>4271</v>
      </c>
      <c r="B4248" s="2" t="s">
        <v>12464</v>
      </c>
    </row>
    <row r="4249" spans="1:2" x14ac:dyDescent="0.2">
      <c r="A4249" s="8" t="s">
        <v>4272</v>
      </c>
      <c r="B4249" s="2" t="s">
        <v>12464</v>
      </c>
    </row>
    <row r="4250" spans="1:2" x14ac:dyDescent="0.2">
      <c r="A4250" s="8" t="s">
        <v>4273</v>
      </c>
      <c r="B4250" s="2" t="s">
        <v>12464</v>
      </c>
    </row>
    <row r="4251" spans="1:2" x14ac:dyDescent="0.2">
      <c r="A4251" s="8" t="s">
        <v>4274</v>
      </c>
      <c r="B4251" s="2" t="s">
        <v>12464</v>
      </c>
    </row>
    <row r="4252" spans="1:2" x14ac:dyDescent="0.2">
      <c r="A4252" s="8" t="s">
        <v>4275</v>
      </c>
      <c r="B4252" s="2" t="s">
        <v>12464</v>
      </c>
    </row>
    <row r="4253" spans="1:2" x14ac:dyDescent="0.2">
      <c r="A4253" s="8" t="s">
        <v>4276</v>
      </c>
      <c r="B4253" s="2" t="s">
        <v>12464</v>
      </c>
    </row>
    <row r="4254" spans="1:2" x14ac:dyDescent="0.2">
      <c r="A4254" s="8" t="s">
        <v>4277</v>
      </c>
      <c r="B4254" s="2" t="s">
        <v>12464</v>
      </c>
    </row>
    <row r="4255" spans="1:2" x14ac:dyDescent="0.2">
      <c r="A4255" s="8" t="s">
        <v>4278</v>
      </c>
      <c r="B4255" s="2" t="s">
        <v>12464</v>
      </c>
    </row>
    <row r="4256" spans="1:2" x14ac:dyDescent="0.2">
      <c r="A4256" s="8" t="s">
        <v>4279</v>
      </c>
      <c r="B4256" s="2" t="s">
        <v>12464</v>
      </c>
    </row>
    <row r="4257" spans="1:2" x14ac:dyDescent="0.2">
      <c r="A4257" s="8" t="s">
        <v>4280</v>
      </c>
      <c r="B4257" s="2" t="s">
        <v>12464</v>
      </c>
    </row>
    <row r="4258" spans="1:2" x14ac:dyDescent="0.2">
      <c r="A4258" s="8" t="s">
        <v>4281</v>
      </c>
      <c r="B4258" s="2" t="s">
        <v>12464</v>
      </c>
    </row>
    <row r="4259" spans="1:2" x14ac:dyDescent="0.2">
      <c r="A4259" s="8" t="s">
        <v>4282</v>
      </c>
      <c r="B4259" s="2" t="s">
        <v>12464</v>
      </c>
    </row>
    <row r="4260" spans="1:2" x14ac:dyDescent="0.2">
      <c r="A4260" s="8" t="s">
        <v>4283</v>
      </c>
      <c r="B4260" s="2" t="s">
        <v>12464</v>
      </c>
    </row>
    <row r="4261" spans="1:2" x14ac:dyDescent="0.2">
      <c r="A4261" s="8" t="s">
        <v>4284</v>
      </c>
      <c r="B4261" s="2" t="s">
        <v>12464</v>
      </c>
    </row>
    <row r="4262" spans="1:2" x14ac:dyDescent="0.2">
      <c r="A4262" s="8" t="s">
        <v>4285</v>
      </c>
      <c r="B4262" s="2" t="s">
        <v>12464</v>
      </c>
    </row>
    <row r="4263" spans="1:2" x14ac:dyDescent="0.2">
      <c r="A4263" s="8" t="s">
        <v>4286</v>
      </c>
      <c r="B4263" s="2" t="s">
        <v>12464</v>
      </c>
    </row>
    <row r="4264" spans="1:2" x14ac:dyDescent="0.2">
      <c r="A4264" s="8" t="s">
        <v>4287</v>
      </c>
      <c r="B4264" s="2" t="s">
        <v>12464</v>
      </c>
    </row>
    <row r="4265" spans="1:2" x14ac:dyDescent="0.2">
      <c r="A4265" s="8" t="s">
        <v>4288</v>
      </c>
      <c r="B4265" s="2" t="s">
        <v>12464</v>
      </c>
    </row>
    <row r="4266" spans="1:2" x14ac:dyDescent="0.2">
      <c r="A4266" s="8" t="s">
        <v>4289</v>
      </c>
      <c r="B4266" s="2" t="s">
        <v>12464</v>
      </c>
    </row>
    <row r="4267" spans="1:2" x14ac:dyDescent="0.2">
      <c r="A4267" s="8" t="s">
        <v>4290</v>
      </c>
      <c r="B4267" s="2" t="s">
        <v>12464</v>
      </c>
    </row>
    <row r="4268" spans="1:2" x14ac:dyDescent="0.2">
      <c r="A4268" s="8" t="s">
        <v>4291</v>
      </c>
      <c r="B4268" s="2" t="s">
        <v>12464</v>
      </c>
    </row>
    <row r="4269" spans="1:2" x14ac:dyDescent="0.2">
      <c r="A4269" s="8" t="s">
        <v>4292</v>
      </c>
      <c r="B4269" s="2" t="s">
        <v>12464</v>
      </c>
    </row>
    <row r="4270" spans="1:2" x14ac:dyDescent="0.2">
      <c r="A4270" s="8" t="s">
        <v>4293</v>
      </c>
      <c r="B4270" s="2" t="s">
        <v>12464</v>
      </c>
    </row>
    <row r="4271" spans="1:2" x14ac:dyDescent="0.2">
      <c r="A4271" s="8" t="s">
        <v>4294</v>
      </c>
      <c r="B4271" s="2" t="s">
        <v>12464</v>
      </c>
    </row>
    <row r="4272" spans="1:2" x14ac:dyDescent="0.2">
      <c r="A4272" s="8" t="s">
        <v>4295</v>
      </c>
      <c r="B4272" s="2" t="s">
        <v>12464</v>
      </c>
    </row>
    <row r="4273" spans="1:2" x14ac:dyDescent="0.2">
      <c r="A4273" s="8" t="s">
        <v>4296</v>
      </c>
      <c r="B4273" s="2" t="s">
        <v>12464</v>
      </c>
    </row>
    <row r="4274" spans="1:2" x14ac:dyDescent="0.2">
      <c r="A4274" s="8" t="s">
        <v>4297</v>
      </c>
      <c r="B4274" s="2" t="s">
        <v>12464</v>
      </c>
    </row>
    <row r="4275" spans="1:2" x14ac:dyDescent="0.2">
      <c r="A4275" s="8" t="s">
        <v>4298</v>
      </c>
      <c r="B4275" s="2" t="s">
        <v>12464</v>
      </c>
    </row>
    <row r="4276" spans="1:2" x14ac:dyDescent="0.2">
      <c r="A4276" s="8" t="s">
        <v>4299</v>
      </c>
      <c r="B4276" s="2" t="s">
        <v>12464</v>
      </c>
    </row>
    <row r="4277" spans="1:2" x14ac:dyDescent="0.2">
      <c r="A4277" s="8" t="s">
        <v>4300</v>
      </c>
      <c r="B4277" s="2" t="s">
        <v>12464</v>
      </c>
    </row>
    <row r="4278" spans="1:2" x14ac:dyDescent="0.2">
      <c r="A4278" s="8" t="s">
        <v>4301</v>
      </c>
      <c r="B4278" s="2" t="s">
        <v>12464</v>
      </c>
    </row>
    <row r="4279" spans="1:2" x14ac:dyDescent="0.2">
      <c r="A4279" s="8" t="s">
        <v>4302</v>
      </c>
      <c r="B4279" s="2" t="s">
        <v>12464</v>
      </c>
    </row>
    <row r="4280" spans="1:2" x14ac:dyDescent="0.2">
      <c r="A4280" s="8" t="s">
        <v>4303</v>
      </c>
      <c r="B4280" s="2" t="s">
        <v>12464</v>
      </c>
    </row>
    <row r="4281" spans="1:2" x14ac:dyDescent="0.2">
      <c r="A4281" s="8" t="s">
        <v>4304</v>
      </c>
      <c r="B4281" s="2" t="s">
        <v>12464</v>
      </c>
    </row>
    <row r="4282" spans="1:2" x14ac:dyDescent="0.2">
      <c r="A4282" s="8" t="s">
        <v>4305</v>
      </c>
      <c r="B4282" s="2" t="s">
        <v>12464</v>
      </c>
    </row>
    <row r="4283" spans="1:2" x14ac:dyDescent="0.2">
      <c r="A4283" s="8" t="s">
        <v>4306</v>
      </c>
      <c r="B4283" s="2" t="s">
        <v>12464</v>
      </c>
    </row>
    <row r="4284" spans="1:2" x14ac:dyDescent="0.2">
      <c r="A4284" s="8" t="s">
        <v>4307</v>
      </c>
      <c r="B4284" s="2" t="s">
        <v>12464</v>
      </c>
    </row>
    <row r="4285" spans="1:2" x14ac:dyDescent="0.2">
      <c r="A4285" s="8" t="s">
        <v>4308</v>
      </c>
      <c r="B4285" s="2" t="s">
        <v>12464</v>
      </c>
    </row>
    <row r="4286" spans="1:2" x14ac:dyDescent="0.2">
      <c r="A4286" s="8" t="s">
        <v>4309</v>
      </c>
      <c r="B4286" s="2" t="s">
        <v>12464</v>
      </c>
    </row>
    <row r="4287" spans="1:2" x14ac:dyDescent="0.2">
      <c r="A4287" s="8" t="s">
        <v>4310</v>
      </c>
      <c r="B4287" s="2" t="s">
        <v>12464</v>
      </c>
    </row>
    <row r="4288" spans="1:2" x14ac:dyDescent="0.2">
      <c r="A4288" s="8" t="s">
        <v>4311</v>
      </c>
      <c r="B4288" s="2" t="s">
        <v>12464</v>
      </c>
    </row>
    <row r="4289" spans="1:2" x14ac:dyDescent="0.2">
      <c r="A4289" s="8" t="s">
        <v>4312</v>
      </c>
      <c r="B4289" s="2" t="s">
        <v>12464</v>
      </c>
    </row>
    <row r="4290" spans="1:2" x14ac:dyDescent="0.2">
      <c r="A4290" s="8" t="s">
        <v>4313</v>
      </c>
      <c r="B4290" s="2" t="s">
        <v>12464</v>
      </c>
    </row>
    <row r="4291" spans="1:2" x14ac:dyDescent="0.2">
      <c r="A4291" s="8" t="s">
        <v>4314</v>
      </c>
      <c r="B4291" s="2" t="s">
        <v>12464</v>
      </c>
    </row>
    <row r="4292" spans="1:2" x14ac:dyDescent="0.2">
      <c r="A4292" s="8" t="s">
        <v>4315</v>
      </c>
      <c r="B4292" s="2" t="s">
        <v>12464</v>
      </c>
    </row>
    <row r="4293" spans="1:2" x14ac:dyDescent="0.2">
      <c r="A4293" s="8" t="s">
        <v>4316</v>
      </c>
      <c r="B4293" s="2" t="s">
        <v>12464</v>
      </c>
    </row>
    <row r="4294" spans="1:2" x14ac:dyDescent="0.2">
      <c r="A4294" s="8" t="s">
        <v>4317</v>
      </c>
      <c r="B4294" s="2" t="s">
        <v>12464</v>
      </c>
    </row>
    <row r="4295" spans="1:2" x14ac:dyDescent="0.2">
      <c r="A4295" s="8" t="s">
        <v>4318</v>
      </c>
      <c r="B4295" s="2" t="s">
        <v>12464</v>
      </c>
    </row>
    <row r="4296" spans="1:2" x14ac:dyDescent="0.2">
      <c r="A4296" s="8" t="s">
        <v>4319</v>
      </c>
      <c r="B4296" s="2" t="s">
        <v>12464</v>
      </c>
    </row>
    <row r="4297" spans="1:2" x14ac:dyDescent="0.2">
      <c r="A4297" s="8" t="s">
        <v>4320</v>
      </c>
      <c r="B4297" s="2" t="s">
        <v>12464</v>
      </c>
    </row>
    <row r="4298" spans="1:2" x14ac:dyDescent="0.2">
      <c r="A4298" s="8" t="s">
        <v>4321</v>
      </c>
      <c r="B4298" s="2" t="s">
        <v>12464</v>
      </c>
    </row>
    <row r="4299" spans="1:2" x14ac:dyDescent="0.2">
      <c r="A4299" s="8" t="s">
        <v>4322</v>
      </c>
      <c r="B4299" s="2" t="s">
        <v>12464</v>
      </c>
    </row>
    <row r="4300" spans="1:2" x14ac:dyDescent="0.2">
      <c r="A4300" s="8" t="s">
        <v>4323</v>
      </c>
      <c r="B4300" s="2" t="s">
        <v>12464</v>
      </c>
    </row>
    <row r="4301" spans="1:2" x14ac:dyDescent="0.2">
      <c r="A4301" s="8" t="s">
        <v>4324</v>
      </c>
      <c r="B4301" s="2" t="s">
        <v>12464</v>
      </c>
    </row>
    <row r="4302" spans="1:2" x14ac:dyDescent="0.2">
      <c r="A4302" s="8" t="s">
        <v>4325</v>
      </c>
      <c r="B4302" s="2" t="s">
        <v>12464</v>
      </c>
    </row>
    <row r="4303" spans="1:2" x14ac:dyDescent="0.2">
      <c r="A4303" s="8" t="s">
        <v>4326</v>
      </c>
      <c r="B4303" s="2" t="s">
        <v>12464</v>
      </c>
    </row>
    <row r="4304" spans="1:2" x14ac:dyDescent="0.2">
      <c r="A4304" s="8" t="s">
        <v>4327</v>
      </c>
      <c r="B4304" s="2" t="s">
        <v>12464</v>
      </c>
    </row>
    <row r="4305" spans="1:2" x14ac:dyDescent="0.2">
      <c r="A4305" s="8" t="s">
        <v>4328</v>
      </c>
      <c r="B4305" s="2" t="s">
        <v>12464</v>
      </c>
    </row>
    <row r="4306" spans="1:2" x14ac:dyDescent="0.2">
      <c r="A4306" s="8" t="s">
        <v>4329</v>
      </c>
      <c r="B4306" s="2" t="s">
        <v>12464</v>
      </c>
    </row>
    <row r="4307" spans="1:2" x14ac:dyDescent="0.2">
      <c r="A4307" s="8" t="s">
        <v>4330</v>
      </c>
      <c r="B4307" s="2" t="s">
        <v>12464</v>
      </c>
    </row>
    <row r="4308" spans="1:2" x14ac:dyDescent="0.2">
      <c r="A4308" s="8" t="s">
        <v>4331</v>
      </c>
      <c r="B4308" s="2" t="s">
        <v>12464</v>
      </c>
    </row>
    <row r="4309" spans="1:2" x14ac:dyDescent="0.2">
      <c r="A4309" s="8" t="s">
        <v>4332</v>
      </c>
      <c r="B4309" s="2" t="s">
        <v>12464</v>
      </c>
    </row>
    <row r="4310" spans="1:2" x14ac:dyDescent="0.2">
      <c r="A4310" s="8" t="s">
        <v>4333</v>
      </c>
      <c r="B4310" s="2" t="s">
        <v>12464</v>
      </c>
    </row>
    <row r="4311" spans="1:2" x14ac:dyDescent="0.2">
      <c r="A4311" s="8" t="s">
        <v>4334</v>
      </c>
      <c r="B4311" s="2" t="s">
        <v>12464</v>
      </c>
    </row>
    <row r="4312" spans="1:2" x14ac:dyDescent="0.2">
      <c r="A4312" s="8" t="s">
        <v>4335</v>
      </c>
      <c r="B4312" s="2" t="s">
        <v>12464</v>
      </c>
    </row>
    <row r="4313" spans="1:2" x14ac:dyDescent="0.2">
      <c r="A4313" s="8" t="s">
        <v>4336</v>
      </c>
      <c r="B4313" s="2" t="s">
        <v>12464</v>
      </c>
    </row>
    <row r="4314" spans="1:2" x14ac:dyDescent="0.2">
      <c r="A4314" s="8" t="s">
        <v>4337</v>
      </c>
      <c r="B4314" s="2" t="s">
        <v>12464</v>
      </c>
    </row>
    <row r="4315" spans="1:2" x14ac:dyDescent="0.2">
      <c r="A4315" s="8" t="s">
        <v>4338</v>
      </c>
      <c r="B4315" s="2" t="s">
        <v>12464</v>
      </c>
    </row>
    <row r="4316" spans="1:2" x14ac:dyDescent="0.2">
      <c r="A4316" s="8" t="s">
        <v>4339</v>
      </c>
      <c r="B4316" s="2" t="s">
        <v>12464</v>
      </c>
    </row>
    <row r="4317" spans="1:2" x14ac:dyDescent="0.2">
      <c r="A4317" s="8" t="s">
        <v>4340</v>
      </c>
      <c r="B4317" s="2" t="s">
        <v>12464</v>
      </c>
    </row>
    <row r="4318" spans="1:2" x14ac:dyDescent="0.2">
      <c r="A4318" s="8" t="s">
        <v>4341</v>
      </c>
      <c r="B4318" s="2" t="s">
        <v>12464</v>
      </c>
    </row>
    <row r="4319" spans="1:2" x14ac:dyDescent="0.2">
      <c r="A4319" s="8" t="s">
        <v>4342</v>
      </c>
      <c r="B4319" s="2" t="s">
        <v>12464</v>
      </c>
    </row>
    <row r="4320" spans="1:2" x14ac:dyDescent="0.2">
      <c r="A4320" s="8" t="s">
        <v>4343</v>
      </c>
      <c r="B4320" s="2" t="s">
        <v>12464</v>
      </c>
    </row>
    <row r="4321" spans="1:2" x14ac:dyDescent="0.2">
      <c r="A4321" s="8" t="s">
        <v>4344</v>
      </c>
      <c r="B4321" s="2" t="s">
        <v>12464</v>
      </c>
    </row>
    <row r="4322" spans="1:2" x14ac:dyDescent="0.2">
      <c r="A4322" s="8" t="s">
        <v>4345</v>
      </c>
      <c r="B4322" s="2" t="s">
        <v>12464</v>
      </c>
    </row>
    <row r="4323" spans="1:2" x14ac:dyDescent="0.2">
      <c r="A4323" s="8" t="s">
        <v>4346</v>
      </c>
      <c r="B4323" s="2" t="s">
        <v>12464</v>
      </c>
    </row>
    <row r="4324" spans="1:2" x14ac:dyDescent="0.2">
      <c r="A4324" s="8" t="s">
        <v>4347</v>
      </c>
      <c r="B4324" s="2" t="s">
        <v>12464</v>
      </c>
    </row>
    <row r="4325" spans="1:2" x14ac:dyDescent="0.2">
      <c r="A4325" s="8" t="s">
        <v>4348</v>
      </c>
      <c r="B4325" s="2" t="s">
        <v>12464</v>
      </c>
    </row>
    <row r="4326" spans="1:2" x14ac:dyDescent="0.2">
      <c r="A4326" s="8" t="s">
        <v>4349</v>
      </c>
      <c r="B4326" s="2" t="s">
        <v>12464</v>
      </c>
    </row>
    <row r="4327" spans="1:2" x14ac:dyDescent="0.2">
      <c r="A4327" s="8" t="s">
        <v>4350</v>
      </c>
      <c r="B4327" s="2" t="s">
        <v>12464</v>
      </c>
    </row>
    <row r="4328" spans="1:2" x14ac:dyDescent="0.2">
      <c r="A4328" s="8" t="s">
        <v>4351</v>
      </c>
      <c r="B4328" s="2" t="s">
        <v>12464</v>
      </c>
    </row>
    <row r="4329" spans="1:2" x14ac:dyDescent="0.2">
      <c r="A4329" s="8" t="s">
        <v>4352</v>
      </c>
      <c r="B4329" s="2" t="s">
        <v>12464</v>
      </c>
    </row>
    <row r="4330" spans="1:2" x14ac:dyDescent="0.2">
      <c r="A4330" s="8" t="s">
        <v>4353</v>
      </c>
      <c r="B4330" s="2" t="s">
        <v>12464</v>
      </c>
    </row>
    <row r="4331" spans="1:2" x14ac:dyDescent="0.2">
      <c r="A4331" s="8" t="s">
        <v>4354</v>
      </c>
      <c r="B4331" s="2" t="s">
        <v>12464</v>
      </c>
    </row>
    <row r="4332" spans="1:2" x14ac:dyDescent="0.2">
      <c r="A4332" s="8" t="s">
        <v>4355</v>
      </c>
      <c r="B4332" s="2" t="s">
        <v>12464</v>
      </c>
    </row>
    <row r="4333" spans="1:2" x14ac:dyDescent="0.2">
      <c r="A4333" s="8" t="s">
        <v>4356</v>
      </c>
      <c r="B4333" s="2" t="s">
        <v>12464</v>
      </c>
    </row>
    <row r="4334" spans="1:2" x14ac:dyDescent="0.2">
      <c r="A4334" s="8" t="s">
        <v>4357</v>
      </c>
      <c r="B4334" s="2" t="s">
        <v>12464</v>
      </c>
    </row>
    <row r="4335" spans="1:2" x14ac:dyDescent="0.2">
      <c r="A4335" s="8" t="s">
        <v>4358</v>
      </c>
      <c r="B4335" s="2" t="s">
        <v>12464</v>
      </c>
    </row>
    <row r="4336" spans="1:2" x14ac:dyDescent="0.2">
      <c r="A4336" s="8" t="s">
        <v>4359</v>
      </c>
      <c r="B4336" s="2" t="s">
        <v>12464</v>
      </c>
    </row>
    <row r="4337" spans="1:2" x14ac:dyDescent="0.2">
      <c r="A4337" s="8" t="s">
        <v>4360</v>
      </c>
      <c r="B4337" s="2" t="s">
        <v>12464</v>
      </c>
    </row>
    <row r="4338" spans="1:2" x14ac:dyDescent="0.2">
      <c r="A4338" s="8" t="s">
        <v>4361</v>
      </c>
      <c r="B4338" s="2" t="s">
        <v>12464</v>
      </c>
    </row>
    <row r="4339" spans="1:2" x14ac:dyDescent="0.2">
      <c r="A4339" s="8" t="s">
        <v>4362</v>
      </c>
      <c r="B4339" s="2" t="s">
        <v>12464</v>
      </c>
    </row>
    <row r="4340" spans="1:2" x14ac:dyDescent="0.2">
      <c r="A4340" s="8" t="s">
        <v>4363</v>
      </c>
      <c r="B4340" s="2" t="s">
        <v>12464</v>
      </c>
    </row>
    <row r="4341" spans="1:2" x14ac:dyDescent="0.2">
      <c r="A4341" s="8" t="s">
        <v>4364</v>
      </c>
      <c r="B4341" s="2" t="s">
        <v>12464</v>
      </c>
    </row>
    <row r="4342" spans="1:2" x14ac:dyDescent="0.2">
      <c r="A4342" s="8" t="s">
        <v>4365</v>
      </c>
      <c r="B4342" s="2" t="s">
        <v>12464</v>
      </c>
    </row>
    <row r="4343" spans="1:2" x14ac:dyDescent="0.2">
      <c r="A4343" s="8" t="s">
        <v>4366</v>
      </c>
      <c r="B4343" s="2" t="s">
        <v>12464</v>
      </c>
    </row>
    <row r="4344" spans="1:2" x14ac:dyDescent="0.2">
      <c r="A4344" s="8" t="s">
        <v>4367</v>
      </c>
      <c r="B4344" s="2" t="s">
        <v>12464</v>
      </c>
    </row>
    <row r="4345" spans="1:2" x14ac:dyDescent="0.2">
      <c r="A4345" s="8" t="s">
        <v>4368</v>
      </c>
      <c r="B4345" s="2" t="s">
        <v>12464</v>
      </c>
    </row>
    <row r="4346" spans="1:2" x14ac:dyDescent="0.2">
      <c r="A4346" s="8" t="s">
        <v>4369</v>
      </c>
      <c r="B4346" s="2" t="s">
        <v>12464</v>
      </c>
    </row>
    <row r="4347" spans="1:2" x14ac:dyDescent="0.2">
      <c r="A4347" s="8" t="s">
        <v>4370</v>
      </c>
      <c r="B4347" s="2" t="s">
        <v>12464</v>
      </c>
    </row>
    <row r="4348" spans="1:2" x14ac:dyDescent="0.2">
      <c r="A4348" s="8" t="s">
        <v>4371</v>
      </c>
      <c r="B4348" s="2" t="s">
        <v>12464</v>
      </c>
    </row>
    <row r="4349" spans="1:2" x14ac:dyDescent="0.2">
      <c r="A4349" s="8" t="s">
        <v>4372</v>
      </c>
      <c r="B4349" s="2" t="s">
        <v>12464</v>
      </c>
    </row>
    <row r="4350" spans="1:2" x14ac:dyDescent="0.2">
      <c r="A4350" s="8" t="s">
        <v>4373</v>
      </c>
      <c r="B4350" s="2" t="s">
        <v>12464</v>
      </c>
    </row>
    <row r="4351" spans="1:2" x14ac:dyDescent="0.2">
      <c r="A4351" s="8" t="s">
        <v>4374</v>
      </c>
      <c r="B4351" s="2" t="s">
        <v>12464</v>
      </c>
    </row>
    <row r="4352" spans="1:2" x14ac:dyDescent="0.2">
      <c r="A4352" s="8" t="s">
        <v>4375</v>
      </c>
      <c r="B4352" s="2" t="s">
        <v>12464</v>
      </c>
    </row>
    <row r="4353" spans="1:2" x14ac:dyDescent="0.2">
      <c r="A4353" s="8" t="s">
        <v>4376</v>
      </c>
      <c r="B4353" s="2" t="s">
        <v>12464</v>
      </c>
    </row>
    <row r="4354" spans="1:2" x14ac:dyDescent="0.2">
      <c r="A4354" s="8" t="s">
        <v>4377</v>
      </c>
      <c r="B4354" s="2" t="s">
        <v>12464</v>
      </c>
    </row>
    <row r="4355" spans="1:2" x14ac:dyDescent="0.2">
      <c r="A4355" s="8" t="s">
        <v>4378</v>
      </c>
      <c r="B4355" s="2" t="s">
        <v>12464</v>
      </c>
    </row>
    <row r="4356" spans="1:2" x14ac:dyDescent="0.2">
      <c r="A4356" s="8" t="s">
        <v>4379</v>
      </c>
      <c r="B4356" s="2" t="s">
        <v>12464</v>
      </c>
    </row>
    <row r="4357" spans="1:2" x14ac:dyDescent="0.2">
      <c r="A4357" s="8" t="s">
        <v>4380</v>
      </c>
      <c r="B4357" s="2" t="s">
        <v>12464</v>
      </c>
    </row>
    <row r="4358" spans="1:2" x14ac:dyDescent="0.2">
      <c r="A4358" s="8" t="s">
        <v>4381</v>
      </c>
      <c r="B4358" s="2" t="s">
        <v>12464</v>
      </c>
    </row>
    <row r="4359" spans="1:2" x14ac:dyDescent="0.2">
      <c r="A4359" s="8" t="s">
        <v>4382</v>
      </c>
      <c r="B4359" s="2" t="s">
        <v>12464</v>
      </c>
    </row>
    <row r="4360" spans="1:2" x14ac:dyDescent="0.2">
      <c r="A4360" s="8" t="s">
        <v>4383</v>
      </c>
      <c r="B4360" s="2" t="s">
        <v>12464</v>
      </c>
    </row>
    <row r="4361" spans="1:2" x14ac:dyDescent="0.2">
      <c r="A4361" s="8" t="s">
        <v>4384</v>
      </c>
      <c r="B4361" s="2" t="s">
        <v>12464</v>
      </c>
    </row>
    <row r="4362" spans="1:2" x14ac:dyDescent="0.2">
      <c r="A4362" s="8" t="s">
        <v>4385</v>
      </c>
      <c r="B4362" s="2" t="s">
        <v>12464</v>
      </c>
    </row>
    <row r="4363" spans="1:2" x14ac:dyDescent="0.2">
      <c r="A4363" s="8" t="s">
        <v>4386</v>
      </c>
      <c r="B4363" s="2" t="s">
        <v>12464</v>
      </c>
    </row>
    <row r="4364" spans="1:2" x14ac:dyDescent="0.2">
      <c r="A4364" s="8" t="s">
        <v>4387</v>
      </c>
      <c r="B4364" s="2" t="s">
        <v>12464</v>
      </c>
    </row>
    <row r="4365" spans="1:2" x14ac:dyDescent="0.2">
      <c r="A4365" s="8" t="s">
        <v>4388</v>
      </c>
      <c r="B4365" s="2" t="s">
        <v>12464</v>
      </c>
    </row>
    <row r="4366" spans="1:2" x14ac:dyDescent="0.2">
      <c r="A4366" s="8" t="s">
        <v>4389</v>
      </c>
      <c r="B4366" s="2" t="s">
        <v>12464</v>
      </c>
    </row>
    <row r="4367" spans="1:2" x14ac:dyDescent="0.2">
      <c r="A4367" s="8" t="s">
        <v>4390</v>
      </c>
      <c r="B4367" s="2" t="s">
        <v>12464</v>
      </c>
    </row>
    <row r="4368" spans="1:2" x14ac:dyDescent="0.2">
      <c r="A4368" s="8" t="s">
        <v>4391</v>
      </c>
      <c r="B4368" s="2" t="s">
        <v>12464</v>
      </c>
    </row>
    <row r="4369" spans="1:2" x14ac:dyDescent="0.2">
      <c r="A4369" s="8" t="s">
        <v>4392</v>
      </c>
      <c r="B4369" s="2" t="s">
        <v>12464</v>
      </c>
    </row>
    <row r="4370" spans="1:2" x14ac:dyDescent="0.2">
      <c r="A4370" s="8" t="s">
        <v>4393</v>
      </c>
      <c r="B4370" s="2" t="s">
        <v>12464</v>
      </c>
    </row>
    <row r="4371" spans="1:2" x14ac:dyDescent="0.2">
      <c r="A4371" s="8" t="s">
        <v>4394</v>
      </c>
      <c r="B4371" s="2" t="s">
        <v>12464</v>
      </c>
    </row>
    <row r="4372" spans="1:2" x14ac:dyDescent="0.2">
      <c r="A4372" s="8" t="s">
        <v>4395</v>
      </c>
      <c r="B4372" s="2" t="s">
        <v>12464</v>
      </c>
    </row>
    <row r="4373" spans="1:2" x14ac:dyDescent="0.2">
      <c r="A4373" s="8" t="s">
        <v>4396</v>
      </c>
      <c r="B4373" s="2" t="s">
        <v>12464</v>
      </c>
    </row>
    <row r="4374" spans="1:2" x14ac:dyDescent="0.2">
      <c r="A4374" s="8" t="s">
        <v>4397</v>
      </c>
      <c r="B4374" s="2" t="s">
        <v>12464</v>
      </c>
    </row>
    <row r="4375" spans="1:2" x14ac:dyDescent="0.2">
      <c r="A4375" s="8" t="s">
        <v>4398</v>
      </c>
      <c r="B4375" s="2" t="s">
        <v>12464</v>
      </c>
    </row>
    <row r="4376" spans="1:2" x14ac:dyDescent="0.2">
      <c r="A4376" s="8" t="s">
        <v>4399</v>
      </c>
      <c r="B4376" s="2" t="s">
        <v>12464</v>
      </c>
    </row>
    <row r="4377" spans="1:2" x14ac:dyDescent="0.2">
      <c r="A4377" s="8" t="s">
        <v>4400</v>
      </c>
      <c r="B4377" s="2" t="s">
        <v>12464</v>
      </c>
    </row>
    <row r="4378" spans="1:2" x14ac:dyDescent="0.2">
      <c r="A4378" s="8" t="s">
        <v>4401</v>
      </c>
      <c r="B4378" s="2" t="s">
        <v>12464</v>
      </c>
    </row>
    <row r="4379" spans="1:2" x14ac:dyDescent="0.2">
      <c r="A4379" s="8" t="s">
        <v>4402</v>
      </c>
      <c r="B4379" s="2" t="s">
        <v>12464</v>
      </c>
    </row>
    <row r="4380" spans="1:2" x14ac:dyDescent="0.2">
      <c r="A4380" s="8" t="s">
        <v>4403</v>
      </c>
      <c r="B4380" s="2" t="s">
        <v>12464</v>
      </c>
    </row>
    <row r="4381" spans="1:2" x14ac:dyDescent="0.2">
      <c r="A4381" s="8" t="s">
        <v>4404</v>
      </c>
      <c r="B4381" s="2" t="s">
        <v>12464</v>
      </c>
    </row>
    <row r="4382" spans="1:2" x14ac:dyDescent="0.2">
      <c r="A4382" s="8" t="s">
        <v>4405</v>
      </c>
      <c r="B4382" s="2" t="s">
        <v>12464</v>
      </c>
    </row>
    <row r="4383" spans="1:2" x14ac:dyDescent="0.2">
      <c r="A4383" s="8" t="s">
        <v>4406</v>
      </c>
      <c r="B4383" s="2" t="s">
        <v>12464</v>
      </c>
    </row>
    <row r="4384" spans="1:2" x14ac:dyDescent="0.2">
      <c r="A4384" s="8" t="s">
        <v>4407</v>
      </c>
      <c r="B4384" s="2" t="s">
        <v>12464</v>
      </c>
    </row>
    <row r="4385" spans="1:2" x14ac:dyDescent="0.2">
      <c r="A4385" s="8" t="s">
        <v>4408</v>
      </c>
      <c r="B4385" s="2" t="s">
        <v>12464</v>
      </c>
    </row>
    <row r="4386" spans="1:2" x14ac:dyDescent="0.2">
      <c r="A4386" s="8" t="s">
        <v>4409</v>
      </c>
      <c r="B4386" s="2" t="s">
        <v>12464</v>
      </c>
    </row>
    <row r="4387" spans="1:2" x14ac:dyDescent="0.2">
      <c r="A4387" s="8" t="s">
        <v>4410</v>
      </c>
      <c r="B4387" s="2" t="s">
        <v>12464</v>
      </c>
    </row>
    <row r="4388" spans="1:2" x14ac:dyDescent="0.2">
      <c r="A4388" s="8" t="s">
        <v>4411</v>
      </c>
      <c r="B4388" s="2" t="s">
        <v>12464</v>
      </c>
    </row>
    <row r="4389" spans="1:2" x14ac:dyDescent="0.2">
      <c r="A4389" s="8" t="s">
        <v>4412</v>
      </c>
      <c r="B4389" s="2" t="s">
        <v>12464</v>
      </c>
    </row>
    <row r="4390" spans="1:2" x14ac:dyDescent="0.2">
      <c r="A4390" s="8" t="s">
        <v>4413</v>
      </c>
      <c r="B4390" s="2" t="s">
        <v>12464</v>
      </c>
    </row>
    <row r="4391" spans="1:2" x14ac:dyDescent="0.2">
      <c r="A4391" s="8" t="s">
        <v>4414</v>
      </c>
      <c r="B4391" s="2" t="s">
        <v>12464</v>
      </c>
    </row>
    <row r="4392" spans="1:2" x14ac:dyDescent="0.2">
      <c r="A4392" s="8" t="s">
        <v>4415</v>
      </c>
      <c r="B4392" s="2" t="s">
        <v>12464</v>
      </c>
    </row>
    <row r="4393" spans="1:2" x14ac:dyDescent="0.2">
      <c r="A4393" s="8" t="s">
        <v>4416</v>
      </c>
      <c r="B4393" s="2" t="s">
        <v>12464</v>
      </c>
    </row>
    <row r="4394" spans="1:2" x14ac:dyDescent="0.2">
      <c r="A4394" s="8" t="s">
        <v>4417</v>
      </c>
      <c r="B4394" s="2" t="s">
        <v>12464</v>
      </c>
    </row>
    <row r="4395" spans="1:2" x14ac:dyDescent="0.2">
      <c r="A4395" s="8" t="s">
        <v>4418</v>
      </c>
      <c r="B4395" s="2" t="s">
        <v>12464</v>
      </c>
    </row>
    <row r="4396" spans="1:2" x14ac:dyDescent="0.2">
      <c r="A4396" s="8" t="s">
        <v>4419</v>
      </c>
      <c r="B4396" s="2" t="s">
        <v>12464</v>
      </c>
    </row>
    <row r="4397" spans="1:2" x14ac:dyDescent="0.2">
      <c r="A4397" s="8" t="s">
        <v>4420</v>
      </c>
      <c r="B4397" s="2" t="s">
        <v>12464</v>
      </c>
    </row>
    <row r="4398" spans="1:2" x14ac:dyDescent="0.2">
      <c r="A4398" s="8" t="s">
        <v>4421</v>
      </c>
      <c r="B4398" s="2" t="s">
        <v>12464</v>
      </c>
    </row>
    <row r="4399" spans="1:2" x14ac:dyDescent="0.2">
      <c r="A4399" s="8" t="s">
        <v>4422</v>
      </c>
      <c r="B4399" s="2" t="s">
        <v>12464</v>
      </c>
    </row>
    <row r="4400" spans="1:2" x14ac:dyDescent="0.2">
      <c r="A4400" s="8" t="s">
        <v>4423</v>
      </c>
      <c r="B4400" s="2" t="s">
        <v>12464</v>
      </c>
    </row>
    <row r="4401" spans="1:2" x14ac:dyDescent="0.2">
      <c r="A4401" s="8" t="s">
        <v>4424</v>
      </c>
      <c r="B4401" s="2" t="s">
        <v>12464</v>
      </c>
    </row>
    <row r="4402" spans="1:2" x14ac:dyDescent="0.2">
      <c r="A4402" s="8" t="s">
        <v>4425</v>
      </c>
      <c r="B4402" s="2" t="s">
        <v>12464</v>
      </c>
    </row>
    <row r="4403" spans="1:2" x14ac:dyDescent="0.2">
      <c r="A4403" s="8" t="s">
        <v>4426</v>
      </c>
      <c r="B4403" s="2" t="s">
        <v>12464</v>
      </c>
    </row>
    <row r="4404" spans="1:2" x14ac:dyDescent="0.2">
      <c r="A4404" s="8" t="s">
        <v>4427</v>
      </c>
      <c r="B4404" s="2" t="s">
        <v>12464</v>
      </c>
    </row>
    <row r="4405" spans="1:2" x14ac:dyDescent="0.2">
      <c r="A4405" s="8" t="s">
        <v>4428</v>
      </c>
      <c r="B4405" s="2" t="s">
        <v>12464</v>
      </c>
    </row>
    <row r="4406" spans="1:2" x14ac:dyDescent="0.2">
      <c r="A4406" s="8" t="s">
        <v>4429</v>
      </c>
      <c r="B4406" s="2" t="s">
        <v>12464</v>
      </c>
    </row>
    <row r="4407" spans="1:2" x14ac:dyDescent="0.2">
      <c r="A4407" s="8" t="s">
        <v>4430</v>
      </c>
      <c r="B4407" s="2" t="s">
        <v>12464</v>
      </c>
    </row>
    <row r="4408" spans="1:2" x14ac:dyDescent="0.2">
      <c r="A4408" s="8" t="s">
        <v>4431</v>
      </c>
      <c r="B4408" s="2" t="s">
        <v>12464</v>
      </c>
    </row>
    <row r="4409" spans="1:2" x14ac:dyDescent="0.2">
      <c r="A4409" s="8" t="s">
        <v>4432</v>
      </c>
      <c r="B4409" s="2" t="s">
        <v>12464</v>
      </c>
    </row>
    <row r="4410" spans="1:2" x14ac:dyDescent="0.2">
      <c r="A4410" s="8" t="s">
        <v>4433</v>
      </c>
      <c r="B4410" s="2" t="s">
        <v>12464</v>
      </c>
    </row>
    <row r="4411" spans="1:2" x14ac:dyDescent="0.2">
      <c r="A4411" s="8" t="s">
        <v>4434</v>
      </c>
      <c r="B4411" s="2" t="s">
        <v>12464</v>
      </c>
    </row>
    <row r="4412" spans="1:2" x14ac:dyDescent="0.2">
      <c r="A4412" s="8" t="s">
        <v>4435</v>
      </c>
      <c r="B4412" s="2" t="s">
        <v>12464</v>
      </c>
    </row>
    <row r="4413" spans="1:2" x14ac:dyDescent="0.2">
      <c r="A4413" s="8" t="s">
        <v>4436</v>
      </c>
      <c r="B4413" s="2" t="s">
        <v>12464</v>
      </c>
    </row>
    <row r="4414" spans="1:2" x14ac:dyDescent="0.2">
      <c r="A4414" s="8" t="s">
        <v>4437</v>
      </c>
      <c r="B4414" s="2" t="s">
        <v>12464</v>
      </c>
    </row>
    <row r="4415" spans="1:2" x14ac:dyDescent="0.2">
      <c r="A4415" s="8" t="s">
        <v>4438</v>
      </c>
      <c r="B4415" s="2" t="s">
        <v>12464</v>
      </c>
    </row>
    <row r="4416" spans="1:2" x14ac:dyDescent="0.2">
      <c r="A4416" s="8" t="s">
        <v>4439</v>
      </c>
      <c r="B4416" s="2" t="s">
        <v>12464</v>
      </c>
    </row>
    <row r="4417" spans="1:2" x14ac:dyDescent="0.2">
      <c r="A4417" s="8" t="s">
        <v>4440</v>
      </c>
      <c r="B4417" s="2" t="s">
        <v>12464</v>
      </c>
    </row>
    <row r="4418" spans="1:2" x14ac:dyDescent="0.2">
      <c r="A4418" s="8" t="s">
        <v>4441</v>
      </c>
      <c r="B4418" s="2" t="s">
        <v>12464</v>
      </c>
    </row>
    <row r="4419" spans="1:2" x14ac:dyDescent="0.2">
      <c r="A4419" s="8" t="s">
        <v>4442</v>
      </c>
      <c r="B4419" s="2" t="s">
        <v>12464</v>
      </c>
    </row>
    <row r="4420" spans="1:2" x14ac:dyDescent="0.2">
      <c r="A4420" s="8" t="s">
        <v>4443</v>
      </c>
      <c r="B4420" s="2" t="s">
        <v>12464</v>
      </c>
    </row>
    <row r="4421" spans="1:2" x14ac:dyDescent="0.2">
      <c r="A4421" s="8" t="s">
        <v>4444</v>
      </c>
      <c r="B4421" s="2" t="s">
        <v>12464</v>
      </c>
    </row>
    <row r="4422" spans="1:2" x14ac:dyDescent="0.2">
      <c r="A4422" s="8" t="s">
        <v>4445</v>
      </c>
      <c r="B4422" s="2" t="s">
        <v>12464</v>
      </c>
    </row>
    <row r="4423" spans="1:2" x14ac:dyDescent="0.2">
      <c r="A4423" s="8" t="s">
        <v>4446</v>
      </c>
      <c r="B4423" s="2" t="s">
        <v>12464</v>
      </c>
    </row>
    <row r="4424" spans="1:2" x14ac:dyDescent="0.2">
      <c r="A4424" s="8" t="s">
        <v>4447</v>
      </c>
      <c r="B4424" s="2" t="s">
        <v>12464</v>
      </c>
    </row>
    <row r="4425" spans="1:2" x14ac:dyDescent="0.2">
      <c r="A4425" s="8" t="s">
        <v>4448</v>
      </c>
      <c r="B4425" s="2" t="s">
        <v>12464</v>
      </c>
    </row>
    <row r="4426" spans="1:2" x14ac:dyDescent="0.2">
      <c r="A4426" s="8" t="s">
        <v>4449</v>
      </c>
      <c r="B4426" s="2" t="s">
        <v>12464</v>
      </c>
    </row>
    <row r="4427" spans="1:2" x14ac:dyDescent="0.2">
      <c r="A4427" s="8" t="s">
        <v>4450</v>
      </c>
      <c r="B4427" s="2" t="s">
        <v>12464</v>
      </c>
    </row>
    <row r="4428" spans="1:2" x14ac:dyDescent="0.2">
      <c r="A4428" s="8" t="s">
        <v>4451</v>
      </c>
      <c r="B4428" s="2" t="s">
        <v>12464</v>
      </c>
    </row>
    <row r="4429" spans="1:2" x14ac:dyDescent="0.2">
      <c r="A4429" s="8" t="s">
        <v>4452</v>
      </c>
      <c r="B4429" s="2" t="s">
        <v>12464</v>
      </c>
    </row>
    <row r="4430" spans="1:2" x14ac:dyDescent="0.2">
      <c r="A4430" s="8" t="s">
        <v>4453</v>
      </c>
      <c r="B4430" s="2" t="s">
        <v>12464</v>
      </c>
    </row>
    <row r="4431" spans="1:2" x14ac:dyDescent="0.2">
      <c r="A4431" s="8" t="s">
        <v>4454</v>
      </c>
      <c r="B4431" s="2" t="s">
        <v>12464</v>
      </c>
    </row>
    <row r="4432" spans="1:2" x14ac:dyDescent="0.2">
      <c r="A4432" s="8" t="s">
        <v>4455</v>
      </c>
      <c r="B4432" s="2" t="s">
        <v>12464</v>
      </c>
    </row>
    <row r="4433" spans="1:2" x14ac:dyDescent="0.2">
      <c r="A4433" s="8" t="s">
        <v>4456</v>
      </c>
      <c r="B4433" s="2" t="s">
        <v>12464</v>
      </c>
    </row>
    <row r="4434" spans="1:2" x14ac:dyDescent="0.2">
      <c r="A4434" s="8" t="s">
        <v>4457</v>
      </c>
      <c r="B4434" s="2" t="s">
        <v>12464</v>
      </c>
    </row>
    <row r="4435" spans="1:2" x14ac:dyDescent="0.2">
      <c r="A4435" s="8" t="s">
        <v>4458</v>
      </c>
      <c r="B4435" s="2" t="s">
        <v>12464</v>
      </c>
    </row>
    <row r="4436" spans="1:2" x14ac:dyDescent="0.2">
      <c r="A4436" s="8" t="s">
        <v>4459</v>
      </c>
      <c r="B4436" s="2" t="s">
        <v>12464</v>
      </c>
    </row>
    <row r="4437" spans="1:2" x14ac:dyDescent="0.2">
      <c r="A4437" s="8" t="s">
        <v>4460</v>
      </c>
      <c r="B4437" s="2" t="s">
        <v>12464</v>
      </c>
    </row>
    <row r="4438" spans="1:2" x14ac:dyDescent="0.2">
      <c r="A4438" s="8" t="s">
        <v>4461</v>
      </c>
      <c r="B4438" s="2" t="s">
        <v>12464</v>
      </c>
    </row>
    <row r="4439" spans="1:2" x14ac:dyDescent="0.2">
      <c r="A4439" s="8" t="s">
        <v>4462</v>
      </c>
      <c r="B4439" s="2" t="s">
        <v>12464</v>
      </c>
    </row>
    <row r="4440" spans="1:2" x14ac:dyDescent="0.2">
      <c r="A4440" s="8" t="s">
        <v>4463</v>
      </c>
      <c r="B4440" s="2" t="s">
        <v>12464</v>
      </c>
    </row>
    <row r="4441" spans="1:2" x14ac:dyDescent="0.2">
      <c r="A4441" s="8" t="s">
        <v>4464</v>
      </c>
      <c r="B4441" s="2" t="s">
        <v>12464</v>
      </c>
    </row>
    <row r="4442" spans="1:2" x14ac:dyDescent="0.2">
      <c r="A4442" s="8" t="s">
        <v>4465</v>
      </c>
      <c r="B4442" s="2" t="s">
        <v>12464</v>
      </c>
    </row>
    <row r="4443" spans="1:2" x14ac:dyDescent="0.2">
      <c r="A4443" s="8" t="s">
        <v>4466</v>
      </c>
      <c r="B4443" s="2" t="s">
        <v>12464</v>
      </c>
    </row>
    <row r="4444" spans="1:2" x14ac:dyDescent="0.2">
      <c r="A4444" s="8" t="s">
        <v>4467</v>
      </c>
      <c r="B4444" s="2" t="s">
        <v>12464</v>
      </c>
    </row>
    <row r="4445" spans="1:2" x14ac:dyDescent="0.2">
      <c r="A4445" s="8" t="s">
        <v>4468</v>
      </c>
      <c r="B4445" s="2" t="s">
        <v>12464</v>
      </c>
    </row>
    <row r="4446" spans="1:2" x14ac:dyDescent="0.2">
      <c r="A4446" s="8" t="s">
        <v>4469</v>
      </c>
      <c r="B4446" s="2" t="s">
        <v>12464</v>
      </c>
    </row>
    <row r="4447" spans="1:2" x14ac:dyDescent="0.2">
      <c r="A4447" s="8" t="s">
        <v>4470</v>
      </c>
      <c r="B4447" s="2" t="s">
        <v>12464</v>
      </c>
    </row>
    <row r="4448" spans="1:2" x14ac:dyDescent="0.2">
      <c r="A4448" s="8" t="s">
        <v>4471</v>
      </c>
      <c r="B4448" s="2" t="s">
        <v>12464</v>
      </c>
    </row>
    <row r="4449" spans="1:2" x14ac:dyDescent="0.2">
      <c r="A4449" s="8" t="s">
        <v>4472</v>
      </c>
      <c r="B4449" s="2" t="s">
        <v>12464</v>
      </c>
    </row>
    <row r="4450" spans="1:2" x14ac:dyDescent="0.2">
      <c r="A4450" s="8" t="s">
        <v>4473</v>
      </c>
      <c r="B4450" s="2" t="s">
        <v>12464</v>
      </c>
    </row>
    <row r="4451" spans="1:2" x14ac:dyDescent="0.2">
      <c r="A4451" s="8" t="s">
        <v>4474</v>
      </c>
      <c r="B4451" s="2" t="s">
        <v>12464</v>
      </c>
    </row>
    <row r="4452" spans="1:2" x14ac:dyDescent="0.2">
      <c r="A4452" s="8" t="s">
        <v>4475</v>
      </c>
      <c r="B4452" s="2" t="s">
        <v>12464</v>
      </c>
    </row>
    <row r="4453" spans="1:2" x14ac:dyDescent="0.2">
      <c r="A4453" s="8" t="s">
        <v>4476</v>
      </c>
      <c r="B4453" s="2" t="s">
        <v>12464</v>
      </c>
    </row>
    <row r="4454" spans="1:2" x14ac:dyDescent="0.2">
      <c r="A4454" s="8" t="s">
        <v>4477</v>
      </c>
      <c r="B4454" s="2" t="s">
        <v>12464</v>
      </c>
    </row>
    <row r="4455" spans="1:2" x14ac:dyDescent="0.2">
      <c r="A4455" s="8" t="s">
        <v>4478</v>
      </c>
      <c r="B4455" s="2" t="s">
        <v>12464</v>
      </c>
    </row>
    <row r="4456" spans="1:2" x14ac:dyDescent="0.2">
      <c r="A4456" s="8" t="s">
        <v>4479</v>
      </c>
      <c r="B4456" s="2" t="s">
        <v>12464</v>
      </c>
    </row>
    <row r="4457" spans="1:2" x14ac:dyDescent="0.2">
      <c r="A4457" s="8" t="s">
        <v>4480</v>
      </c>
      <c r="B4457" s="2" t="s">
        <v>12464</v>
      </c>
    </row>
    <row r="4458" spans="1:2" x14ac:dyDescent="0.2">
      <c r="A4458" s="8" t="s">
        <v>4481</v>
      </c>
      <c r="B4458" s="2" t="s">
        <v>12464</v>
      </c>
    </row>
    <row r="4459" spans="1:2" x14ac:dyDescent="0.2">
      <c r="A4459" s="8" t="s">
        <v>4482</v>
      </c>
      <c r="B4459" s="2" t="s">
        <v>12464</v>
      </c>
    </row>
    <row r="4460" spans="1:2" x14ac:dyDescent="0.2">
      <c r="A4460" s="8" t="s">
        <v>4483</v>
      </c>
      <c r="B4460" s="2" t="s">
        <v>12464</v>
      </c>
    </row>
    <row r="4461" spans="1:2" x14ac:dyDescent="0.2">
      <c r="A4461" s="8" t="s">
        <v>4484</v>
      </c>
      <c r="B4461" s="2" t="s">
        <v>12464</v>
      </c>
    </row>
    <row r="4462" spans="1:2" x14ac:dyDescent="0.2">
      <c r="A4462" s="8" t="s">
        <v>4485</v>
      </c>
      <c r="B4462" s="2" t="s">
        <v>12464</v>
      </c>
    </row>
    <row r="4463" spans="1:2" x14ac:dyDescent="0.2">
      <c r="A4463" s="8" t="s">
        <v>4486</v>
      </c>
      <c r="B4463" s="2" t="s">
        <v>12464</v>
      </c>
    </row>
    <row r="4464" spans="1:2" x14ac:dyDescent="0.2">
      <c r="A4464" s="8" t="s">
        <v>4487</v>
      </c>
      <c r="B4464" s="2" t="s">
        <v>12464</v>
      </c>
    </row>
    <row r="4465" spans="1:2" x14ac:dyDescent="0.2">
      <c r="A4465" s="8" t="s">
        <v>4488</v>
      </c>
      <c r="B4465" s="2" t="s">
        <v>12464</v>
      </c>
    </row>
    <row r="4466" spans="1:2" x14ac:dyDescent="0.2">
      <c r="A4466" s="8" t="s">
        <v>4489</v>
      </c>
      <c r="B4466" s="2" t="s">
        <v>12464</v>
      </c>
    </row>
    <row r="4467" spans="1:2" x14ac:dyDescent="0.2">
      <c r="A4467" s="8" t="s">
        <v>4490</v>
      </c>
      <c r="B4467" s="2" t="s">
        <v>12464</v>
      </c>
    </row>
    <row r="4468" spans="1:2" x14ac:dyDescent="0.2">
      <c r="A4468" s="8" t="s">
        <v>4491</v>
      </c>
      <c r="B4468" s="2" t="s">
        <v>12464</v>
      </c>
    </row>
    <row r="4469" spans="1:2" x14ac:dyDescent="0.2">
      <c r="A4469" s="8" t="s">
        <v>4492</v>
      </c>
      <c r="B4469" s="2" t="s">
        <v>12464</v>
      </c>
    </row>
    <row r="4470" spans="1:2" x14ac:dyDescent="0.2">
      <c r="A4470" s="8" t="s">
        <v>4493</v>
      </c>
      <c r="B4470" s="2" t="s">
        <v>12464</v>
      </c>
    </row>
    <row r="4471" spans="1:2" x14ac:dyDescent="0.2">
      <c r="A4471" s="8" t="s">
        <v>4494</v>
      </c>
      <c r="B4471" s="2" t="s">
        <v>12464</v>
      </c>
    </row>
    <row r="4472" spans="1:2" x14ac:dyDescent="0.2">
      <c r="A4472" s="8" t="s">
        <v>4495</v>
      </c>
      <c r="B4472" s="2" t="s">
        <v>12464</v>
      </c>
    </row>
    <row r="4473" spans="1:2" x14ac:dyDescent="0.2">
      <c r="A4473" s="8" t="s">
        <v>4496</v>
      </c>
      <c r="B4473" s="2" t="s">
        <v>12464</v>
      </c>
    </row>
    <row r="4474" spans="1:2" x14ac:dyDescent="0.2">
      <c r="A4474" s="8" t="s">
        <v>4497</v>
      </c>
      <c r="B4474" s="2" t="s">
        <v>12464</v>
      </c>
    </row>
    <row r="4475" spans="1:2" x14ac:dyDescent="0.2">
      <c r="A4475" s="8" t="s">
        <v>4498</v>
      </c>
      <c r="B4475" s="2" t="s">
        <v>12464</v>
      </c>
    </row>
    <row r="4476" spans="1:2" x14ac:dyDescent="0.2">
      <c r="A4476" s="8" t="s">
        <v>4499</v>
      </c>
      <c r="B4476" s="2" t="s">
        <v>12464</v>
      </c>
    </row>
    <row r="4477" spans="1:2" x14ac:dyDescent="0.2">
      <c r="A4477" s="8" t="s">
        <v>4500</v>
      </c>
      <c r="B4477" s="2" t="s">
        <v>12464</v>
      </c>
    </row>
    <row r="4478" spans="1:2" x14ac:dyDescent="0.2">
      <c r="A4478" s="8" t="s">
        <v>4501</v>
      </c>
      <c r="B4478" s="2" t="s">
        <v>12464</v>
      </c>
    </row>
    <row r="4479" spans="1:2" x14ac:dyDescent="0.2">
      <c r="A4479" s="8" t="s">
        <v>4502</v>
      </c>
      <c r="B4479" s="2" t="s">
        <v>12464</v>
      </c>
    </row>
    <row r="4480" spans="1:2" x14ac:dyDescent="0.2">
      <c r="A4480" s="8" t="s">
        <v>4503</v>
      </c>
      <c r="B4480" s="2" t="s">
        <v>12464</v>
      </c>
    </row>
    <row r="4481" spans="1:2" x14ac:dyDescent="0.2">
      <c r="A4481" s="8" t="s">
        <v>4504</v>
      </c>
      <c r="B4481" s="2" t="s">
        <v>12464</v>
      </c>
    </row>
    <row r="4482" spans="1:2" x14ac:dyDescent="0.2">
      <c r="A4482" s="8" t="s">
        <v>4505</v>
      </c>
      <c r="B4482" s="2" t="s">
        <v>12464</v>
      </c>
    </row>
    <row r="4483" spans="1:2" x14ac:dyDescent="0.2">
      <c r="A4483" s="8" t="s">
        <v>4506</v>
      </c>
      <c r="B4483" s="2" t="s">
        <v>12464</v>
      </c>
    </row>
    <row r="4484" spans="1:2" x14ac:dyDescent="0.2">
      <c r="A4484" s="8" t="s">
        <v>4507</v>
      </c>
      <c r="B4484" s="2" t="s">
        <v>12464</v>
      </c>
    </row>
    <row r="4485" spans="1:2" x14ac:dyDescent="0.2">
      <c r="A4485" s="8" t="s">
        <v>4508</v>
      </c>
      <c r="B4485" s="2" t="s">
        <v>12464</v>
      </c>
    </row>
    <row r="4486" spans="1:2" x14ac:dyDescent="0.2">
      <c r="A4486" s="8" t="s">
        <v>4509</v>
      </c>
      <c r="B4486" s="2" t="s">
        <v>12464</v>
      </c>
    </row>
    <row r="4487" spans="1:2" x14ac:dyDescent="0.2">
      <c r="A4487" s="8" t="s">
        <v>4510</v>
      </c>
      <c r="B4487" s="2" t="s">
        <v>12464</v>
      </c>
    </row>
    <row r="4488" spans="1:2" x14ac:dyDescent="0.2">
      <c r="A4488" s="8" t="s">
        <v>4511</v>
      </c>
      <c r="B4488" s="2" t="s">
        <v>12464</v>
      </c>
    </row>
    <row r="4489" spans="1:2" x14ac:dyDescent="0.2">
      <c r="A4489" s="8" t="s">
        <v>4512</v>
      </c>
      <c r="B4489" s="2" t="s">
        <v>12464</v>
      </c>
    </row>
    <row r="4490" spans="1:2" x14ac:dyDescent="0.2">
      <c r="A4490" s="8" t="s">
        <v>4513</v>
      </c>
      <c r="B4490" s="2" t="s">
        <v>12464</v>
      </c>
    </row>
    <row r="4491" spans="1:2" x14ac:dyDescent="0.2">
      <c r="A4491" s="8" t="s">
        <v>4514</v>
      </c>
      <c r="B4491" s="2" t="s">
        <v>12464</v>
      </c>
    </row>
    <row r="4492" spans="1:2" x14ac:dyDescent="0.2">
      <c r="A4492" s="8" t="s">
        <v>4515</v>
      </c>
      <c r="B4492" s="2" t="s">
        <v>12464</v>
      </c>
    </row>
    <row r="4493" spans="1:2" x14ac:dyDescent="0.2">
      <c r="A4493" s="8" t="s">
        <v>4516</v>
      </c>
      <c r="B4493" s="2" t="s">
        <v>12464</v>
      </c>
    </row>
    <row r="4494" spans="1:2" x14ac:dyDescent="0.2">
      <c r="A4494" s="8" t="s">
        <v>4517</v>
      </c>
      <c r="B4494" s="2" t="s">
        <v>12464</v>
      </c>
    </row>
    <row r="4495" spans="1:2" x14ac:dyDescent="0.2">
      <c r="A4495" s="8" t="s">
        <v>4518</v>
      </c>
      <c r="B4495" s="2" t="s">
        <v>12464</v>
      </c>
    </row>
    <row r="4496" spans="1:2" x14ac:dyDescent="0.2">
      <c r="A4496" s="8" t="s">
        <v>4519</v>
      </c>
      <c r="B4496" s="2" t="s">
        <v>12464</v>
      </c>
    </row>
    <row r="4497" spans="1:2" x14ac:dyDescent="0.2">
      <c r="A4497" s="8" t="s">
        <v>4520</v>
      </c>
      <c r="B4497" s="2" t="s">
        <v>12464</v>
      </c>
    </row>
    <row r="4498" spans="1:2" x14ac:dyDescent="0.2">
      <c r="A4498" s="8" t="s">
        <v>4521</v>
      </c>
      <c r="B4498" s="2" t="s">
        <v>12464</v>
      </c>
    </row>
    <row r="4499" spans="1:2" x14ac:dyDescent="0.2">
      <c r="A4499" s="8" t="s">
        <v>4522</v>
      </c>
      <c r="B4499" s="2" t="s">
        <v>12464</v>
      </c>
    </row>
    <row r="4500" spans="1:2" x14ac:dyDescent="0.2">
      <c r="A4500" s="8" t="s">
        <v>4523</v>
      </c>
      <c r="B4500" s="2" t="s">
        <v>12464</v>
      </c>
    </row>
    <row r="4501" spans="1:2" x14ac:dyDescent="0.2">
      <c r="A4501" s="8" t="s">
        <v>4524</v>
      </c>
      <c r="B4501" s="2" t="s">
        <v>12464</v>
      </c>
    </row>
    <row r="4502" spans="1:2" x14ac:dyDescent="0.2">
      <c r="A4502" s="8" t="s">
        <v>4525</v>
      </c>
      <c r="B4502" s="2" t="s">
        <v>12464</v>
      </c>
    </row>
    <row r="4503" spans="1:2" x14ac:dyDescent="0.2">
      <c r="A4503" s="8" t="s">
        <v>4526</v>
      </c>
      <c r="B4503" s="2" t="s">
        <v>12464</v>
      </c>
    </row>
    <row r="4504" spans="1:2" x14ac:dyDescent="0.2">
      <c r="A4504" s="8" t="s">
        <v>4527</v>
      </c>
      <c r="B4504" s="2" t="s">
        <v>12464</v>
      </c>
    </row>
    <row r="4505" spans="1:2" x14ac:dyDescent="0.2">
      <c r="A4505" s="8" t="s">
        <v>4528</v>
      </c>
      <c r="B4505" s="2" t="s">
        <v>12464</v>
      </c>
    </row>
    <row r="4506" spans="1:2" x14ac:dyDescent="0.2">
      <c r="A4506" s="8" t="s">
        <v>4529</v>
      </c>
      <c r="B4506" s="2" t="s">
        <v>12464</v>
      </c>
    </row>
    <row r="4507" spans="1:2" x14ac:dyDescent="0.2">
      <c r="A4507" s="8" t="s">
        <v>4530</v>
      </c>
      <c r="B4507" s="2" t="s">
        <v>12464</v>
      </c>
    </row>
    <row r="4508" spans="1:2" x14ac:dyDescent="0.2">
      <c r="A4508" s="8" t="s">
        <v>4531</v>
      </c>
      <c r="B4508" s="2" t="s">
        <v>12464</v>
      </c>
    </row>
    <row r="4509" spans="1:2" x14ac:dyDescent="0.2">
      <c r="A4509" s="8" t="s">
        <v>4532</v>
      </c>
      <c r="B4509" s="2" t="s">
        <v>12464</v>
      </c>
    </row>
    <row r="4510" spans="1:2" x14ac:dyDescent="0.2">
      <c r="A4510" s="8" t="s">
        <v>4533</v>
      </c>
      <c r="B4510" s="2" t="s">
        <v>12464</v>
      </c>
    </row>
    <row r="4511" spans="1:2" x14ac:dyDescent="0.2">
      <c r="A4511" s="8" t="s">
        <v>4534</v>
      </c>
      <c r="B4511" s="2" t="s">
        <v>12464</v>
      </c>
    </row>
    <row r="4512" spans="1:2" x14ac:dyDescent="0.2">
      <c r="A4512" s="8" t="s">
        <v>4535</v>
      </c>
      <c r="B4512" s="2" t="s">
        <v>12464</v>
      </c>
    </row>
    <row r="4513" spans="1:2" x14ac:dyDescent="0.2">
      <c r="A4513" s="8" t="s">
        <v>4536</v>
      </c>
      <c r="B4513" s="2" t="s">
        <v>12464</v>
      </c>
    </row>
    <row r="4514" spans="1:2" x14ac:dyDescent="0.2">
      <c r="A4514" s="8" t="s">
        <v>4537</v>
      </c>
      <c r="B4514" s="2" t="s">
        <v>12464</v>
      </c>
    </row>
    <row r="4515" spans="1:2" x14ac:dyDescent="0.2">
      <c r="A4515" s="8" t="s">
        <v>4538</v>
      </c>
      <c r="B4515" s="2" t="s">
        <v>12464</v>
      </c>
    </row>
    <row r="4516" spans="1:2" x14ac:dyDescent="0.2">
      <c r="A4516" s="8" t="s">
        <v>4539</v>
      </c>
      <c r="B4516" s="2" t="s">
        <v>12464</v>
      </c>
    </row>
    <row r="4517" spans="1:2" x14ac:dyDescent="0.2">
      <c r="A4517" s="8" t="s">
        <v>4540</v>
      </c>
      <c r="B4517" s="2" t="s">
        <v>12464</v>
      </c>
    </row>
    <row r="4518" spans="1:2" x14ac:dyDescent="0.2">
      <c r="A4518" s="8" t="s">
        <v>4541</v>
      </c>
      <c r="B4518" s="2" t="s">
        <v>12464</v>
      </c>
    </row>
    <row r="4519" spans="1:2" x14ac:dyDescent="0.2">
      <c r="A4519" s="8" t="s">
        <v>4542</v>
      </c>
      <c r="B4519" s="2" t="s">
        <v>12464</v>
      </c>
    </row>
    <row r="4520" spans="1:2" x14ac:dyDescent="0.2">
      <c r="A4520" s="8" t="s">
        <v>4543</v>
      </c>
      <c r="B4520" s="2" t="s">
        <v>12464</v>
      </c>
    </row>
    <row r="4521" spans="1:2" x14ac:dyDescent="0.2">
      <c r="A4521" s="8" t="s">
        <v>4544</v>
      </c>
      <c r="B4521" s="2" t="s">
        <v>12465</v>
      </c>
    </row>
    <row r="4522" spans="1:2" x14ac:dyDescent="0.2">
      <c r="A4522" s="8" t="s">
        <v>4545</v>
      </c>
      <c r="B4522" s="2" t="s">
        <v>12465</v>
      </c>
    </row>
    <row r="4523" spans="1:2" x14ac:dyDescent="0.2">
      <c r="A4523" s="8" t="s">
        <v>4546</v>
      </c>
      <c r="B4523" s="2" t="s">
        <v>12465</v>
      </c>
    </row>
    <row r="4524" spans="1:2" x14ac:dyDescent="0.2">
      <c r="A4524" s="8" t="s">
        <v>4547</v>
      </c>
      <c r="B4524" s="2" t="s">
        <v>12465</v>
      </c>
    </row>
    <row r="4525" spans="1:2" x14ac:dyDescent="0.2">
      <c r="A4525" s="8" t="s">
        <v>4548</v>
      </c>
      <c r="B4525" s="2" t="s">
        <v>12465</v>
      </c>
    </row>
    <row r="4526" spans="1:2" x14ac:dyDescent="0.2">
      <c r="A4526" s="8" t="s">
        <v>4549</v>
      </c>
      <c r="B4526" s="2" t="s">
        <v>12465</v>
      </c>
    </row>
    <row r="4527" spans="1:2" x14ac:dyDescent="0.2">
      <c r="A4527" s="8" t="s">
        <v>4550</v>
      </c>
      <c r="B4527" s="2" t="s">
        <v>12465</v>
      </c>
    </row>
    <row r="4528" spans="1:2" x14ac:dyDescent="0.2">
      <c r="A4528" s="8" t="s">
        <v>4551</v>
      </c>
      <c r="B4528" s="2" t="s">
        <v>12465</v>
      </c>
    </row>
    <row r="4529" spans="1:2" x14ac:dyDescent="0.2">
      <c r="A4529" s="8" t="s">
        <v>4552</v>
      </c>
      <c r="B4529" s="2" t="s">
        <v>12465</v>
      </c>
    </row>
    <row r="4530" spans="1:2" x14ac:dyDescent="0.2">
      <c r="A4530" s="8" t="s">
        <v>4553</v>
      </c>
      <c r="B4530" s="2" t="s">
        <v>12465</v>
      </c>
    </row>
    <row r="4531" spans="1:2" x14ac:dyDescent="0.2">
      <c r="A4531" s="8" t="s">
        <v>4554</v>
      </c>
      <c r="B4531" s="2" t="s">
        <v>12465</v>
      </c>
    </row>
    <row r="4532" spans="1:2" x14ac:dyDescent="0.2">
      <c r="A4532" s="8" t="s">
        <v>4555</v>
      </c>
      <c r="B4532" s="2" t="s">
        <v>12465</v>
      </c>
    </row>
    <row r="4533" spans="1:2" x14ac:dyDescent="0.2">
      <c r="A4533" s="8" t="s">
        <v>4556</v>
      </c>
      <c r="B4533" s="2" t="s">
        <v>12465</v>
      </c>
    </row>
    <row r="4534" spans="1:2" x14ac:dyDescent="0.2">
      <c r="A4534" s="8" t="s">
        <v>4557</v>
      </c>
      <c r="B4534" s="2" t="s">
        <v>12465</v>
      </c>
    </row>
    <row r="4535" spans="1:2" x14ac:dyDescent="0.2">
      <c r="A4535" s="8" t="s">
        <v>4558</v>
      </c>
      <c r="B4535" s="2" t="s">
        <v>12465</v>
      </c>
    </row>
    <row r="4536" spans="1:2" x14ac:dyDescent="0.2">
      <c r="A4536" s="8" t="s">
        <v>4559</v>
      </c>
      <c r="B4536" s="2" t="s">
        <v>12465</v>
      </c>
    </row>
    <row r="4537" spans="1:2" x14ac:dyDescent="0.2">
      <c r="A4537" s="8" t="s">
        <v>4560</v>
      </c>
      <c r="B4537" s="2" t="s">
        <v>12465</v>
      </c>
    </row>
    <row r="4538" spans="1:2" x14ac:dyDescent="0.2">
      <c r="A4538" s="8" t="s">
        <v>4561</v>
      </c>
      <c r="B4538" s="2" t="s">
        <v>12465</v>
      </c>
    </row>
    <row r="4539" spans="1:2" x14ac:dyDescent="0.2">
      <c r="A4539" s="8" t="s">
        <v>4562</v>
      </c>
      <c r="B4539" s="2" t="s">
        <v>12465</v>
      </c>
    </row>
    <row r="4540" spans="1:2" x14ac:dyDescent="0.2">
      <c r="A4540" s="8" t="s">
        <v>4563</v>
      </c>
      <c r="B4540" s="2" t="s">
        <v>12465</v>
      </c>
    </row>
    <row r="4541" spans="1:2" x14ac:dyDescent="0.2">
      <c r="A4541" s="8" t="s">
        <v>4564</v>
      </c>
      <c r="B4541" s="2" t="s">
        <v>12465</v>
      </c>
    </row>
    <row r="4542" spans="1:2" x14ac:dyDescent="0.2">
      <c r="A4542" s="8" t="s">
        <v>4565</v>
      </c>
      <c r="B4542" s="2" t="s">
        <v>12465</v>
      </c>
    </row>
    <row r="4543" spans="1:2" x14ac:dyDescent="0.2">
      <c r="A4543" s="8" t="s">
        <v>4566</v>
      </c>
      <c r="B4543" s="2" t="s">
        <v>12465</v>
      </c>
    </row>
    <row r="4544" spans="1:2" x14ac:dyDescent="0.2">
      <c r="A4544" s="8" t="s">
        <v>4567</v>
      </c>
      <c r="B4544" s="2" t="s">
        <v>12465</v>
      </c>
    </row>
    <row r="4545" spans="1:2" x14ac:dyDescent="0.2">
      <c r="A4545" s="8" t="s">
        <v>4568</v>
      </c>
      <c r="B4545" s="2" t="s">
        <v>12465</v>
      </c>
    </row>
    <row r="4546" spans="1:2" x14ac:dyDescent="0.2">
      <c r="A4546" s="8" t="s">
        <v>4569</v>
      </c>
      <c r="B4546" s="2" t="s">
        <v>12465</v>
      </c>
    </row>
    <row r="4547" spans="1:2" x14ac:dyDescent="0.2">
      <c r="A4547" s="8" t="s">
        <v>4570</v>
      </c>
      <c r="B4547" s="2" t="s">
        <v>12465</v>
      </c>
    </row>
    <row r="4548" spans="1:2" x14ac:dyDescent="0.2">
      <c r="A4548" s="8" t="s">
        <v>4571</v>
      </c>
      <c r="B4548" s="2" t="s">
        <v>12465</v>
      </c>
    </row>
    <row r="4549" spans="1:2" x14ac:dyDescent="0.2">
      <c r="A4549" s="8" t="s">
        <v>4572</v>
      </c>
      <c r="B4549" s="2" t="s">
        <v>12465</v>
      </c>
    </row>
    <row r="4550" spans="1:2" x14ac:dyDescent="0.2">
      <c r="A4550" s="8" t="s">
        <v>4573</v>
      </c>
      <c r="B4550" s="2" t="s">
        <v>12465</v>
      </c>
    </row>
    <row r="4551" spans="1:2" x14ac:dyDescent="0.2">
      <c r="A4551" s="8" t="s">
        <v>4574</v>
      </c>
      <c r="B4551" s="2" t="s">
        <v>12465</v>
      </c>
    </row>
    <row r="4552" spans="1:2" x14ac:dyDescent="0.2">
      <c r="A4552" s="8" t="s">
        <v>4575</v>
      </c>
      <c r="B4552" s="2" t="s">
        <v>12465</v>
      </c>
    </row>
    <row r="4553" spans="1:2" x14ac:dyDescent="0.2">
      <c r="A4553" s="8" t="s">
        <v>4576</v>
      </c>
      <c r="B4553" s="2" t="s">
        <v>12465</v>
      </c>
    </row>
    <row r="4554" spans="1:2" x14ac:dyDescent="0.2">
      <c r="A4554" s="8" t="s">
        <v>4577</v>
      </c>
      <c r="B4554" s="2" t="s">
        <v>12465</v>
      </c>
    </row>
    <row r="4555" spans="1:2" x14ac:dyDescent="0.2">
      <c r="A4555" s="8" t="s">
        <v>4578</v>
      </c>
      <c r="B4555" s="2" t="s">
        <v>12465</v>
      </c>
    </row>
    <row r="4556" spans="1:2" x14ac:dyDescent="0.2">
      <c r="A4556" s="8" t="s">
        <v>4579</v>
      </c>
      <c r="B4556" s="2" t="s">
        <v>12465</v>
      </c>
    </row>
    <row r="4557" spans="1:2" x14ac:dyDescent="0.2">
      <c r="A4557" s="8" t="s">
        <v>4580</v>
      </c>
      <c r="B4557" s="2" t="s">
        <v>12465</v>
      </c>
    </row>
    <row r="4558" spans="1:2" x14ac:dyDescent="0.2">
      <c r="A4558" s="8" t="s">
        <v>4581</v>
      </c>
      <c r="B4558" s="2" t="s">
        <v>12465</v>
      </c>
    </row>
    <row r="4559" spans="1:2" x14ac:dyDescent="0.2">
      <c r="A4559" s="8" t="s">
        <v>4582</v>
      </c>
      <c r="B4559" s="2" t="s">
        <v>12465</v>
      </c>
    </row>
    <row r="4560" spans="1:2" x14ac:dyDescent="0.2">
      <c r="A4560" s="8" t="s">
        <v>4583</v>
      </c>
      <c r="B4560" s="2" t="s">
        <v>12465</v>
      </c>
    </row>
    <row r="4561" spans="1:2" x14ac:dyDescent="0.2">
      <c r="A4561" s="8" t="s">
        <v>4584</v>
      </c>
      <c r="B4561" s="2" t="s">
        <v>12465</v>
      </c>
    </row>
    <row r="4562" spans="1:2" x14ac:dyDescent="0.2">
      <c r="A4562" s="8" t="s">
        <v>4585</v>
      </c>
      <c r="B4562" s="2" t="s">
        <v>12465</v>
      </c>
    </row>
    <row r="4563" spans="1:2" x14ac:dyDescent="0.2">
      <c r="A4563" s="8" t="s">
        <v>4586</v>
      </c>
      <c r="B4563" s="2" t="s">
        <v>12465</v>
      </c>
    </row>
    <row r="4564" spans="1:2" x14ac:dyDescent="0.2">
      <c r="A4564" s="8" t="s">
        <v>4587</v>
      </c>
      <c r="B4564" s="2" t="s">
        <v>12465</v>
      </c>
    </row>
    <row r="4565" spans="1:2" x14ac:dyDescent="0.2">
      <c r="A4565" s="8" t="s">
        <v>4588</v>
      </c>
      <c r="B4565" s="2" t="s">
        <v>12465</v>
      </c>
    </row>
    <row r="4566" spans="1:2" x14ac:dyDescent="0.2">
      <c r="A4566" s="8" t="s">
        <v>4589</v>
      </c>
      <c r="B4566" s="2" t="s">
        <v>12465</v>
      </c>
    </row>
    <row r="4567" spans="1:2" x14ac:dyDescent="0.2">
      <c r="A4567" s="8" t="s">
        <v>4590</v>
      </c>
      <c r="B4567" s="2" t="s">
        <v>12465</v>
      </c>
    </row>
    <row r="4568" spans="1:2" x14ac:dyDescent="0.2">
      <c r="A4568" s="8" t="s">
        <v>4591</v>
      </c>
      <c r="B4568" s="2" t="s">
        <v>12465</v>
      </c>
    </row>
    <row r="4569" spans="1:2" x14ac:dyDescent="0.2">
      <c r="A4569" s="8" t="s">
        <v>4592</v>
      </c>
      <c r="B4569" s="2" t="s">
        <v>12465</v>
      </c>
    </row>
    <row r="4570" spans="1:2" x14ac:dyDescent="0.2">
      <c r="A4570" s="8" t="s">
        <v>4593</v>
      </c>
      <c r="B4570" s="2" t="s">
        <v>12465</v>
      </c>
    </row>
    <row r="4571" spans="1:2" x14ac:dyDescent="0.2">
      <c r="A4571" s="8" t="s">
        <v>4594</v>
      </c>
      <c r="B4571" s="2" t="s">
        <v>12465</v>
      </c>
    </row>
    <row r="4572" spans="1:2" x14ac:dyDescent="0.2">
      <c r="A4572" s="8" t="s">
        <v>4595</v>
      </c>
      <c r="B4572" s="2" t="s">
        <v>12465</v>
      </c>
    </row>
    <row r="4573" spans="1:2" x14ac:dyDescent="0.2">
      <c r="A4573" s="8" t="s">
        <v>4596</v>
      </c>
      <c r="B4573" s="2" t="s">
        <v>12465</v>
      </c>
    </row>
    <row r="4574" spans="1:2" x14ac:dyDescent="0.2">
      <c r="A4574" s="8" t="s">
        <v>4597</v>
      </c>
      <c r="B4574" s="2" t="s">
        <v>12465</v>
      </c>
    </row>
    <row r="4575" spans="1:2" x14ac:dyDescent="0.2">
      <c r="A4575" s="8" t="s">
        <v>4598</v>
      </c>
      <c r="B4575" s="2" t="s">
        <v>12465</v>
      </c>
    </row>
    <row r="4576" spans="1:2" x14ac:dyDescent="0.2">
      <c r="A4576" s="8" t="s">
        <v>4599</v>
      </c>
      <c r="B4576" s="2" t="s">
        <v>12465</v>
      </c>
    </row>
    <row r="4577" spans="1:2" x14ac:dyDescent="0.2">
      <c r="A4577" s="8" t="s">
        <v>4600</v>
      </c>
      <c r="B4577" s="2" t="s">
        <v>12465</v>
      </c>
    </row>
    <row r="4578" spans="1:2" x14ac:dyDescent="0.2">
      <c r="A4578" s="8" t="s">
        <v>4601</v>
      </c>
      <c r="B4578" s="2" t="s">
        <v>12465</v>
      </c>
    </row>
    <row r="4579" spans="1:2" x14ac:dyDescent="0.2">
      <c r="A4579" s="8" t="s">
        <v>4602</v>
      </c>
      <c r="B4579" s="2" t="s">
        <v>12465</v>
      </c>
    </row>
    <row r="4580" spans="1:2" x14ac:dyDescent="0.2">
      <c r="A4580" s="8" t="s">
        <v>4603</v>
      </c>
      <c r="B4580" s="2" t="s">
        <v>12465</v>
      </c>
    </row>
    <row r="4581" spans="1:2" x14ac:dyDescent="0.2">
      <c r="A4581" s="8" t="s">
        <v>4604</v>
      </c>
      <c r="B4581" s="2" t="s">
        <v>12465</v>
      </c>
    </row>
    <row r="4582" spans="1:2" x14ac:dyDescent="0.2">
      <c r="A4582" s="8" t="s">
        <v>4605</v>
      </c>
      <c r="B4582" s="2" t="s">
        <v>12465</v>
      </c>
    </row>
    <row r="4583" spans="1:2" x14ac:dyDescent="0.2">
      <c r="A4583" s="8" t="s">
        <v>4606</v>
      </c>
      <c r="B4583" s="2" t="s">
        <v>12465</v>
      </c>
    </row>
    <row r="4584" spans="1:2" x14ac:dyDescent="0.2">
      <c r="A4584" s="8" t="s">
        <v>4607</v>
      </c>
      <c r="B4584" s="2" t="s">
        <v>12465</v>
      </c>
    </row>
    <row r="4585" spans="1:2" x14ac:dyDescent="0.2">
      <c r="A4585" s="8" t="s">
        <v>4608</v>
      </c>
      <c r="B4585" s="2" t="s">
        <v>12465</v>
      </c>
    </row>
    <row r="4586" spans="1:2" x14ac:dyDescent="0.2">
      <c r="A4586" s="8" t="s">
        <v>4609</v>
      </c>
      <c r="B4586" s="2" t="s">
        <v>12465</v>
      </c>
    </row>
    <row r="4587" spans="1:2" x14ac:dyDescent="0.2">
      <c r="A4587" s="8" t="s">
        <v>4610</v>
      </c>
      <c r="B4587" s="2" t="s">
        <v>12465</v>
      </c>
    </row>
    <row r="4588" spans="1:2" x14ac:dyDescent="0.2">
      <c r="A4588" s="8" t="s">
        <v>4611</v>
      </c>
      <c r="B4588" s="2" t="s">
        <v>12465</v>
      </c>
    </row>
    <row r="4589" spans="1:2" x14ac:dyDescent="0.2">
      <c r="A4589" s="8" t="s">
        <v>4612</v>
      </c>
      <c r="B4589" s="2" t="s">
        <v>12465</v>
      </c>
    </row>
    <row r="4590" spans="1:2" x14ac:dyDescent="0.2">
      <c r="A4590" s="8" t="s">
        <v>4613</v>
      </c>
      <c r="B4590" s="2" t="s">
        <v>12465</v>
      </c>
    </row>
    <row r="4591" spans="1:2" x14ac:dyDescent="0.2">
      <c r="A4591" s="8" t="s">
        <v>4614</v>
      </c>
      <c r="B4591" s="2" t="s">
        <v>12465</v>
      </c>
    </row>
    <row r="4592" spans="1:2" x14ac:dyDescent="0.2">
      <c r="A4592" s="8" t="s">
        <v>4615</v>
      </c>
      <c r="B4592" s="2" t="s">
        <v>12465</v>
      </c>
    </row>
    <row r="4593" spans="1:2" x14ac:dyDescent="0.2">
      <c r="A4593" s="8" t="s">
        <v>4616</v>
      </c>
      <c r="B4593" s="2" t="s">
        <v>12465</v>
      </c>
    </row>
    <row r="4594" spans="1:2" x14ac:dyDescent="0.2">
      <c r="A4594" s="8" t="s">
        <v>4617</v>
      </c>
      <c r="B4594" s="2" t="s">
        <v>12465</v>
      </c>
    </row>
    <row r="4595" spans="1:2" x14ac:dyDescent="0.2">
      <c r="A4595" s="8" t="s">
        <v>4618</v>
      </c>
      <c r="B4595" s="2" t="s">
        <v>12465</v>
      </c>
    </row>
    <row r="4596" spans="1:2" x14ac:dyDescent="0.2">
      <c r="A4596" s="8" t="s">
        <v>4619</v>
      </c>
      <c r="B4596" s="2" t="s">
        <v>12465</v>
      </c>
    </row>
    <row r="4597" spans="1:2" x14ac:dyDescent="0.2">
      <c r="A4597" s="8" t="s">
        <v>4620</v>
      </c>
      <c r="B4597" s="2" t="s">
        <v>12465</v>
      </c>
    </row>
    <row r="4598" spans="1:2" x14ac:dyDescent="0.2">
      <c r="A4598" s="8" t="s">
        <v>4621</v>
      </c>
      <c r="B4598" s="2" t="s">
        <v>12465</v>
      </c>
    </row>
    <row r="4599" spans="1:2" x14ac:dyDescent="0.2">
      <c r="A4599" s="8" t="s">
        <v>4622</v>
      </c>
      <c r="B4599" s="2" t="s">
        <v>12465</v>
      </c>
    </row>
    <row r="4600" spans="1:2" x14ac:dyDescent="0.2">
      <c r="A4600" s="8" t="s">
        <v>4623</v>
      </c>
      <c r="B4600" s="2" t="s">
        <v>12465</v>
      </c>
    </row>
    <row r="4601" spans="1:2" x14ac:dyDescent="0.2">
      <c r="A4601" s="8" t="s">
        <v>4624</v>
      </c>
      <c r="B4601" s="2" t="s">
        <v>12465</v>
      </c>
    </row>
    <row r="4602" spans="1:2" x14ac:dyDescent="0.2">
      <c r="A4602" s="8" t="s">
        <v>4625</v>
      </c>
      <c r="B4602" s="2" t="s">
        <v>12465</v>
      </c>
    </row>
    <row r="4603" spans="1:2" x14ac:dyDescent="0.2">
      <c r="A4603" s="8" t="s">
        <v>4626</v>
      </c>
      <c r="B4603" s="2" t="s">
        <v>12465</v>
      </c>
    </row>
    <row r="4604" spans="1:2" x14ac:dyDescent="0.2">
      <c r="A4604" s="8" t="s">
        <v>4627</v>
      </c>
      <c r="B4604" s="2" t="s">
        <v>12465</v>
      </c>
    </row>
    <row r="4605" spans="1:2" x14ac:dyDescent="0.2">
      <c r="A4605" s="8" t="s">
        <v>4628</v>
      </c>
      <c r="B4605" s="2" t="s">
        <v>12465</v>
      </c>
    </row>
    <row r="4606" spans="1:2" x14ac:dyDescent="0.2">
      <c r="A4606" s="8" t="s">
        <v>4629</v>
      </c>
      <c r="B4606" s="2" t="s">
        <v>12465</v>
      </c>
    </row>
    <row r="4607" spans="1:2" x14ac:dyDescent="0.2">
      <c r="A4607" s="8" t="s">
        <v>4630</v>
      </c>
      <c r="B4607" s="2" t="s">
        <v>12465</v>
      </c>
    </row>
    <row r="4608" spans="1:2" x14ac:dyDescent="0.2">
      <c r="A4608" s="8" t="s">
        <v>4631</v>
      </c>
      <c r="B4608" s="2" t="s">
        <v>12465</v>
      </c>
    </row>
    <row r="4609" spans="1:2" x14ac:dyDescent="0.2">
      <c r="A4609" s="8" t="s">
        <v>4632</v>
      </c>
      <c r="B4609" s="2" t="s">
        <v>12465</v>
      </c>
    </row>
    <row r="4610" spans="1:2" x14ac:dyDescent="0.2">
      <c r="A4610" s="8" t="s">
        <v>4633</v>
      </c>
      <c r="B4610" s="2" t="s">
        <v>12465</v>
      </c>
    </row>
    <row r="4611" spans="1:2" x14ac:dyDescent="0.2">
      <c r="A4611" s="8" t="s">
        <v>4634</v>
      </c>
      <c r="B4611" s="2" t="s">
        <v>12465</v>
      </c>
    </row>
    <row r="4612" spans="1:2" x14ac:dyDescent="0.2">
      <c r="A4612" s="8" t="s">
        <v>4635</v>
      </c>
      <c r="B4612" s="2" t="s">
        <v>12465</v>
      </c>
    </row>
    <row r="4613" spans="1:2" x14ac:dyDescent="0.2">
      <c r="A4613" s="8" t="s">
        <v>4636</v>
      </c>
      <c r="B4613" s="2" t="s">
        <v>12465</v>
      </c>
    </row>
    <row r="4614" spans="1:2" x14ac:dyDescent="0.2">
      <c r="A4614" s="8" t="s">
        <v>4637</v>
      </c>
      <c r="B4614" s="2" t="s">
        <v>12465</v>
      </c>
    </row>
    <row r="4615" spans="1:2" x14ac:dyDescent="0.2">
      <c r="A4615" s="8" t="s">
        <v>4638</v>
      </c>
      <c r="B4615" s="2" t="s">
        <v>12465</v>
      </c>
    </row>
    <row r="4616" spans="1:2" x14ac:dyDescent="0.2">
      <c r="A4616" s="8" t="s">
        <v>4639</v>
      </c>
      <c r="B4616" s="2" t="s">
        <v>12465</v>
      </c>
    </row>
    <row r="4617" spans="1:2" x14ac:dyDescent="0.2">
      <c r="A4617" s="8" t="s">
        <v>4640</v>
      </c>
      <c r="B4617" s="2" t="s">
        <v>12465</v>
      </c>
    </row>
    <row r="4618" spans="1:2" x14ac:dyDescent="0.2">
      <c r="A4618" s="8" t="s">
        <v>4641</v>
      </c>
      <c r="B4618" s="2" t="s">
        <v>12465</v>
      </c>
    </row>
    <row r="4619" spans="1:2" x14ac:dyDescent="0.2">
      <c r="A4619" s="8" t="s">
        <v>4642</v>
      </c>
      <c r="B4619" s="2" t="s">
        <v>12465</v>
      </c>
    </row>
    <row r="4620" spans="1:2" x14ac:dyDescent="0.2">
      <c r="A4620" s="8" t="s">
        <v>4643</v>
      </c>
      <c r="B4620" s="2" t="s">
        <v>12465</v>
      </c>
    </row>
    <row r="4621" spans="1:2" x14ac:dyDescent="0.2">
      <c r="A4621" s="8" t="s">
        <v>4644</v>
      </c>
      <c r="B4621" s="2" t="s">
        <v>12465</v>
      </c>
    </row>
    <row r="4622" spans="1:2" x14ac:dyDescent="0.2">
      <c r="A4622" s="8" t="s">
        <v>4645</v>
      </c>
      <c r="B4622" s="2" t="s">
        <v>12465</v>
      </c>
    </row>
    <row r="4623" spans="1:2" x14ac:dyDescent="0.2">
      <c r="A4623" s="8" t="s">
        <v>4646</v>
      </c>
      <c r="B4623" s="2" t="s">
        <v>12465</v>
      </c>
    </row>
    <row r="4624" spans="1:2" x14ac:dyDescent="0.2">
      <c r="A4624" s="8" t="s">
        <v>4647</v>
      </c>
      <c r="B4624" s="2" t="s">
        <v>12465</v>
      </c>
    </row>
    <row r="4625" spans="1:2" x14ac:dyDescent="0.2">
      <c r="A4625" s="8" t="s">
        <v>4648</v>
      </c>
      <c r="B4625" s="2" t="s">
        <v>12465</v>
      </c>
    </row>
    <row r="4626" spans="1:2" x14ac:dyDescent="0.2">
      <c r="A4626" s="8" t="s">
        <v>4649</v>
      </c>
      <c r="B4626" s="2" t="s">
        <v>12465</v>
      </c>
    </row>
    <row r="4627" spans="1:2" x14ac:dyDescent="0.2">
      <c r="A4627" s="8" t="s">
        <v>4650</v>
      </c>
      <c r="B4627" s="2" t="s">
        <v>12465</v>
      </c>
    </row>
    <row r="4628" spans="1:2" x14ac:dyDescent="0.2">
      <c r="A4628" s="8" t="s">
        <v>4651</v>
      </c>
      <c r="B4628" s="2" t="s">
        <v>12465</v>
      </c>
    </row>
    <row r="4629" spans="1:2" x14ac:dyDescent="0.2">
      <c r="A4629" s="8" t="s">
        <v>4652</v>
      </c>
      <c r="B4629" s="2" t="s">
        <v>12465</v>
      </c>
    </row>
    <row r="4630" spans="1:2" x14ac:dyDescent="0.2">
      <c r="A4630" s="8" t="s">
        <v>4653</v>
      </c>
      <c r="B4630" s="2" t="s">
        <v>12465</v>
      </c>
    </row>
    <row r="4631" spans="1:2" x14ac:dyDescent="0.2">
      <c r="A4631" s="8" t="s">
        <v>4654</v>
      </c>
      <c r="B4631" s="2" t="s">
        <v>12465</v>
      </c>
    </row>
    <row r="4632" spans="1:2" x14ac:dyDescent="0.2">
      <c r="A4632" s="8" t="s">
        <v>4655</v>
      </c>
      <c r="B4632" s="2" t="s">
        <v>12465</v>
      </c>
    </row>
    <row r="4633" spans="1:2" x14ac:dyDescent="0.2">
      <c r="A4633" s="8" t="s">
        <v>4656</v>
      </c>
      <c r="B4633" s="2" t="s">
        <v>12465</v>
      </c>
    </row>
    <row r="4634" spans="1:2" x14ac:dyDescent="0.2">
      <c r="A4634" s="8" t="s">
        <v>4657</v>
      </c>
      <c r="B4634" s="2" t="s">
        <v>12465</v>
      </c>
    </row>
    <row r="4635" spans="1:2" x14ac:dyDescent="0.2">
      <c r="A4635" s="8" t="s">
        <v>4658</v>
      </c>
      <c r="B4635" s="2" t="s">
        <v>12465</v>
      </c>
    </row>
    <row r="4636" spans="1:2" x14ac:dyDescent="0.2">
      <c r="A4636" s="8" t="s">
        <v>4659</v>
      </c>
      <c r="B4636" s="2" t="s">
        <v>12465</v>
      </c>
    </row>
    <row r="4637" spans="1:2" x14ac:dyDescent="0.2">
      <c r="A4637" s="8" t="s">
        <v>4660</v>
      </c>
      <c r="B4637" s="2" t="s">
        <v>12465</v>
      </c>
    </row>
    <row r="4638" spans="1:2" x14ac:dyDescent="0.2">
      <c r="A4638" s="8" t="s">
        <v>4661</v>
      </c>
      <c r="B4638" s="2" t="s">
        <v>12465</v>
      </c>
    </row>
    <row r="4639" spans="1:2" x14ac:dyDescent="0.2">
      <c r="A4639" s="8" t="s">
        <v>4662</v>
      </c>
      <c r="B4639" s="2" t="s">
        <v>12465</v>
      </c>
    </row>
    <row r="4640" spans="1:2" x14ac:dyDescent="0.2">
      <c r="A4640" s="8" t="s">
        <v>4663</v>
      </c>
      <c r="B4640" s="2" t="s">
        <v>12465</v>
      </c>
    </row>
    <row r="4641" spans="1:2" x14ac:dyDescent="0.2">
      <c r="A4641" s="8" t="s">
        <v>4664</v>
      </c>
      <c r="B4641" s="2" t="s">
        <v>12465</v>
      </c>
    </row>
    <row r="4642" spans="1:2" x14ac:dyDescent="0.2">
      <c r="A4642" s="8" t="s">
        <v>4665</v>
      </c>
      <c r="B4642" s="2" t="s">
        <v>12465</v>
      </c>
    </row>
    <row r="4643" spans="1:2" x14ac:dyDescent="0.2">
      <c r="A4643" s="8" t="s">
        <v>4666</v>
      </c>
      <c r="B4643" s="2" t="s">
        <v>12465</v>
      </c>
    </row>
    <row r="4644" spans="1:2" x14ac:dyDescent="0.2">
      <c r="A4644" s="8" t="s">
        <v>4667</v>
      </c>
      <c r="B4644" s="2" t="s">
        <v>12465</v>
      </c>
    </row>
    <row r="4645" spans="1:2" x14ac:dyDescent="0.2">
      <c r="A4645" s="8" t="s">
        <v>4668</v>
      </c>
      <c r="B4645" s="2" t="s">
        <v>12465</v>
      </c>
    </row>
    <row r="4646" spans="1:2" x14ac:dyDescent="0.2">
      <c r="A4646" s="8" t="s">
        <v>4669</v>
      </c>
      <c r="B4646" s="2" t="s">
        <v>12465</v>
      </c>
    </row>
    <row r="4647" spans="1:2" x14ac:dyDescent="0.2">
      <c r="A4647" s="8" t="s">
        <v>4670</v>
      </c>
      <c r="B4647" s="2" t="s">
        <v>12465</v>
      </c>
    </row>
    <row r="4648" spans="1:2" x14ac:dyDescent="0.2">
      <c r="A4648" s="8" t="s">
        <v>4671</v>
      </c>
      <c r="B4648" s="2" t="s">
        <v>12465</v>
      </c>
    </row>
    <row r="4649" spans="1:2" x14ac:dyDescent="0.2">
      <c r="A4649" s="8" t="s">
        <v>4672</v>
      </c>
      <c r="B4649" s="2" t="s">
        <v>12465</v>
      </c>
    </row>
    <row r="4650" spans="1:2" x14ac:dyDescent="0.2">
      <c r="A4650" s="8" t="s">
        <v>4673</v>
      </c>
      <c r="B4650" s="2" t="s">
        <v>12465</v>
      </c>
    </row>
    <row r="4651" spans="1:2" x14ac:dyDescent="0.2">
      <c r="A4651" s="8" t="s">
        <v>4674</v>
      </c>
      <c r="B4651" s="2" t="s">
        <v>12465</v>
      </c>
    </row>
    <row r="4652" spans="1:2" x14ac:dyDescent="0.2">
      <c r="A4652" s="8" t="s">
        <v>4675</v>
      </c>
      <c r="B4652" s="2" t="s">
        <v>12465</v>
      </c>
    </row>
    <row r="4653" spans="1:2" x14ac:dyDescent="0.2">
      <c r="A4653" s="8" t="s">
        <v>4676</v>
      </c>
      <c r="B4653" s="2" t="s">
        <v>12465</v>
      </c>
    </row>
    <row r="4654" spans="1:2" x14ac:dyDescent="0.2">
      <c r="A4654" s="8" t="s">
        <v>4677</v>
      </c>
      <c r="B4654" s="2" t="s">
        <v>12465</v>
      </c>
    </row>
    <row r="4655" spans="1:2" x14ac:dyDescent="0.2">
      <c r="A4655" s="8" t="s">
        <v>4678</v>
      </c>
      <c r="B4655" s="2" t="s">
        <v>12465</v>
      </c>
    </row>
    <row r="4656" spans="1:2" x14ac:dyDescent="0.2">
      <c r="A4656" s="8" t="s">
        <v>4679</v>
      </c>
      <c r="B4656" s="2" t="s">
        <v>12465</v>
      </c>
    </row>
    <row r="4657" spans="1:2" x14ac:dyDescent="0.2">
      <c r="A4657" s="8" t="s">
        <v>4680</v>
      </c>
      <c r="B4657" s="2" t="s">
        <v>12465</v>
      </c>
    </row>
    <row r="4658" spans="1:2" x14ac:dyDescent="0.2">
      <c r="A4658" s="8" t="s">
        <v>4681</v>
      </c>
      <c r="B4658" s="2" t="s">
        <v>12465</v>
      </c>
    </row>
    <row r="4659" spans="1:2" x14ac:dyDescent="0.2">
      <c r="A4659" s="8" t="s">
        <v>4682</v>
      </c>
      <c r="B4659" s="2" t="s">
        <v>12465</v>
      </c>
    </row>
    <row r="4660" spans="1:2" x14ac:dyDescent="0.2">
      <c r="A4660" s="8" t="s">
        <v>4683</v>
      </c>
      <c r="B4660" s="2" t="s">
        <v>12465</v>
      </c>
    </row>
    <row r="4661" spans="1:2" x14ac:dyDescent="0.2">
      <c r="A4661" s="8" t="s">
        <v>4684</v>
      </c>
      <c r="B4661" s="2" t="s">
        <v>12465</v>
      </c>
    </row>
    <row r="4662" spans="1:2" x14ac:dyDescent="0.2">
      <c r="A4662" s="8" t="s">
        <v>4685</v>
      </c>
      <c r="B4662" s="2" t="s">
        <v>12465</v>
      </c>
    </row>
    <row r="4663" spans="1:2" x14ac:dyDescent="0.2">
      <c r="A4663" s="8" t="s">
        <v>4686</v>
      </c>
      <c r="B4663" s="2" t="s">
        <v>12465</v>
      </c>
    </row>
    <row r="4664" spans="1:2" x14ac:dyDescent="0.2">
      <c r="A4664" s="8" t="s">
        <v>4687</v>
      </c>
      <c r="B4664" s="2" t="s">
        <v>12465</v>
      </c>
    </row>
    <row r="4665" spans="1:2" x14ac:dyDescent="0.2">
      <c r="A4665" s="8" t="s">
        <v>4688</v>
      </c>
      <c r="B4665" s="2" t="s">
        <v>12465</v>
      </c>
    </row>
    <row r="4666" spans="1:2" x14ac:dyDescent="0.2">
      <c r="A4666" s="8" t="s">
        <v>4689</v>
      </c>
      <c r="B4666" s="2" t="s">
        <v>12465</v>
      </c>
    </row>
    <row r="4667" spans="1:2" x14ac:dyDescent="0.2">
      <c r="A4667" s="8" t="s">
        <v>4690</v>
      </c>
      <c r="B4667" s="2" t="s">
        <v>12465</v>
      </c>
    </row>
    <row r="4668" spans="1:2" x14ac:dyDescent="0.2">
      <c r="A4668" s="8" t="s">
        <v>4691</v>
      </c>
      <c r="B4668" s="2" t="s">
        <v>12465</v>
      </c>
    </row>
    <row r="4669" spans="1:2" x14ac:dyDescent="0.2">
      <c r="A4669" s="8" t="s">
        <v>4692</v>
      </c>
      <c r="B4669" s="2" t="s">
        <v>12465</v>
      </c>
    </row>
    <row r="4670" spans="1:2" x14ac:dyDescent="0.2">
      <c r="A4670" s="8" t="s">
        <v>4693</v>
      </c>
      <c r="B4670" s="2" t="s">
        <v>12465</v>
      </c>
    </row>
    <row r="4671" spans="1:2" x14ac:dyDescent="0.2">
      <c r="A4671" s="8" t="s">
        <v>4694</v>
      </c>
      <c r="B4671" s="2" t="s">
        <v>12465</v>
      </c>
    </row>
    <row r="4672" spans="1:2" x14ac:dyDescent="0.2">
      <c r="A4672" s="8" t="s">
        <v>4695</v>
      </c>
      <c r="B4672" s="2" t="s">
        <v>12465</v>
      </c>
    </row>
    <row r="4673" spans="1:2" x14ac:dyDescent="0.2">
      <c r="A4673" s="8" t="s">
        <v>4696</v>
      </c>
      <c r="B4673" s="2" t="s">
        <v>12465</v>
      </c>
    </row>
    <row r="4674" spans="1:2" x14ac:dyDescent="0.2">
      <c r="A4674" s="8" t="s">
        <v>4697</v>
      </c>
      <c r="B4674" s="2" t="s">
        <v>12465</v>
      </c>
    </row>
    <row r="4675" spans="1:2" x14ac:dyDescent="0.2">
      <c r="A4675" s="8" t="s">
        <v>4698</v>
      </c>
      <c r="B4675" s="2" t="s">
        <v>12465</v>
      </c>
    </row>
    <row r="4676" spans="1:2" x14ac:dyDescent="0.2">
      <c r="A4676" s="8" t="s">
        <v>4699</v>
      </c>
      <c r="B4676" s="2" t="s">
        <v>12465</v>
      </c>
    </row>
    <row r="4677" spans="1:2" x14ac:dyDescent="0.2">
      <c r="A4677" s="8" t="s">
        <v>4700</v>
      </c>
      <c r="B4677" s="2" t="s">
        <v>12465</v>
      </c>
    </row>
    <row r="4678" spans="1:2" x14ac:dyDescent="0.2">
      <c r="A4678" s="8" t="s">
        <v>4701</v>
      </c>
      <c r="B4678" s="2" t="s">
        <v>12465</v>
      </c>
    </row>
    <row r="4679" spans="1:2" x14ac:dyDescent="0.2">
      <c r="A4679" s="8" t="s">
        <v>4702</v>
      </c>
      <c r="B4679" s="2" t="s">
        <v>12465</v>
      </c>
    </row>
    <row r="4680" spans="1:2" x14ac:dyDescent="0.2">
      <c r="A4680" s="8" t="s">
        <v>4703</v>
      </c>
      <c r="B4680" s="2" t="s">
        <v>12465</v>
      </c>
    </row>
    <row r="4681" spans="1:2" x14ac:dyDescent="0.2">
      <c r="A4681" s="8" t="s">
        <v>4704</v>
      </c>
      <c r="B4681" s="2" t="s">
        <v>12465</v>
      </c>
    </row>
    <row r="4682" spans="1:2" x14ac:dyDescent="0.2">
      <c r="A4682" s="8" t="s">
        <v>4705</v>
      </c>
      <c r="B4682" s="2" t="s">
        <v>12465</v>
      </c>
    </row>
    <row r="4683" spans="1:2" x14ac:dyDescent="0.2">
      <c r="A4683" s="8" t="s">
        <v>4706</v>
      </c>
      <c r="B4683" s="2" t="s">
        <v>12465</v>
      </c>
    </row>
    <row r="4684" spans="1:2" x14ac:dyDescent="0.2">
      <c r="A4684" s="8" t="s">
        <v>4707</v>
      </c>
      <c r="B4684" s="2" t="s">
        <v>12465</v>
      </c>
    </row>
    <row r="4685" spans="1:2" x14ac:dyDescent="0.2">
      <c r="A4685" s="8" t="s">
        <v>4708</v>
      </c>
      <c r="B4685" s="2" t="s">
        <v>12465</v>
      </c>
    </row>
    <row r="4686" spans="1:2" x14ac:dyDescent="0.2">
      <c r="A4686" s="8" t="s">
        <v>4709</v>
      </c>
      <c r="B4686" s="2" t="s">
        <v>12465</v>
      </c>
    </row>
    <row r="4687" spans="1:2" x14ac:dyDescent="0.2">
      <c r="A4687" s="8" t="s">
        <v>4710</v>
      </c>
      <c r="B4687" s="2" t="s">
        <v>12465</v>
      </c>
    </row>
    <row r="4688" spans="1:2" x14ac:dyDescent="0.2">
      <c r="A4688" s="8" t="s">
        <v>4711</v>
      </c>
      <c r="B4688" s="2" t="s">
        <v>12465</v>
      </c>
    </row>
    <row r="4689" spans="1:2" x14ac:dyDescent="0.2">
      <c r="A4689" s="8" t="s">
        <v>4712</v>
      </c>
      <c r="B4689" s="2" t="s">
        <v>12465</v>
      </c>
    </row>
    <row r="4690" spans="1:2" x14ac:dyDescent="0.2">
      <c r="A4690" s="8" t="s">
        <v>4713</v>
      </c>
      <c r="B4690" s="2" t="s">
        <v>12465</v>
      </c>
    </row>
    <row r="4691" spans="1:2" x14ac:dyDescent="0.2">
      <c r="A4691" s="8" t="s">
        <v>4714</v>
      </c>
      <c r="B4691" s="2" t="s">
        <v>12465</v>
      </c>
    </row>
    <row r="4692" spans="1:2" x14ac:dyDescent="0.2">
      <c r="A4692" s="8" t="s">
        <v>4715</v>
      </c>
      <c r="B4692" s="2" t="s">
        <v>12465</v>
      </c>
    </row>
    <row r="4693" spans="1:2" x14ac:dyDescent="0.2">
      <c r="A4693" s="8" t="s">
        <v>4716</v>
      </c>
      <c r="B4693" s="2" t="s">
        <v>12465</v>
      </c>
    </row>
    <row r="4694" spans="1:2" x14ac:dyDescent="0.2">
      <c r="A4694" s="8" t="s">
        <v>4717</v>
      </c>
      <c r="B4694" s="2" t="s">
        <v>12465</v>
      </c>
    </row>
    <row r="4695" spans="1:2" x14ac:dyDescent="0.2">
      <c r="A4695" s="8" t="s">
        <v>4718</v>
      </c>
      <c r="B4695" s="2" t="s">
        <v>12465</v>
      </c>
    </row>
    <row r="4696" spans="1:2" x14ac:dyDescent="0.2">
      <c r="A4696" s="8" t="s">
        <v>4719</v>
      </c>
      <c r="B4696" s="2" t="s">
        <v>12465</v>
      </c>
    </row>
    <row r="4697" spans="1:2" x14ac:dyDescent="0.2">
      <c r="A4697" s="8" t="s">
        <v>4720</v>
      </c>
      <c r="B4697" s="2" t="s">
        <v>12465</v>
      </c>
    </row>
    <row r="4698" spans="1:2" x14ac:dyDescent="0.2">
      <c r="A4698" s="8" t="s">
        <v>4721</v>
      </c>
      <c r="B4698" s="2" t="s">
        <v>12465</v>
      </c>
    </row>
    <row r="4699" spans="1:2" x14ac:dyDescent="0.2">
      <c r="A4699" s="8" t="s">
        <v>4722</v>
      </c>
      <c r="B4699" s="2" t="s">
        <v>12465</v>
      </c>
    </row>
    <row r="4700" spans="1:2" x14ac:dyDescent="0.2">
      <c r="A4700" s="8" t="s">
        <v>4723</v>
      </c>
      <c r="B4700" s="2" t="s">
        <v>12465</v>
      </c>
    </row>
    <row r="4701" spans="1:2" x14ac:dyDescent="0.2">
      <c r="A4701" s="8" t="s">
        <v>4724</v>
      </c>
      <c r="B4701" s="2" t="s">
        <v>12465</v>
      </c>
    </row>
    <row r="4702" spans="1:2" x14ac:dyDescent="0.2">
      <c r="A4702" s="8" t="s">
        <v>4725</v>
      </c>
      <c r="B4702" s="2" t="s">
        <v>12465</v>
      </c>
    </row>
    <row r="4703" spans="1:2" x14ac:dyDescent="0.2">
      <c r="A4703" s="8" t="s">
        <v>4726</v>
      </c>
      <c r="B4703" s="2" t="s">
        <v>12465</v>
      </c>
    </row>
    <row r="4704" spans="1:2" x14ac:dyDescent="0.2">
      <c r="A4704" s="8" t="s">
        <v>4727</v>
      </c>
      <c r="B4704" s="2" t="s">
        <v>12465</v>
      </c>
    </row>
    <row r="4705" spans="1:2" x14ac:dyDescent="0.2">
      <c r="A4705" s="8" t="s">
        <v>4728</v>
      </c>
      <c r="B4705" s="2" t="s">
        <v>12465</v>
      </c>
    </row>
    <row r="4706" spans="1:2" x14ac:dyDescent="0.2">
      <c r="A4706" s="8" t="s">
        <v>4729</v>
      </c>
      <c r="B4706" s="2" t="s">
        <v>12465</v>
      </c>
    </row>
    <row r="4707" spans="1:2" x14ac:dyDescent="0.2">
      <c r="A4707" s="8" t="s">
        <v>4730</v>
      </c>
      <c r="B4707" s="2" t="s">
        <v>12465</v>
      </c>
    </row>
    <row r="4708" spans="1:2" x14ac:dyDescent="0.2">
      <c r="A4708" s="8" t="s">
        <v>4731</v>
      </c>
      <c r="B4708" s="2" t="s">
        <v>12465</v>
      </c>
    </row>
    <row r="4709" spans="1:2" x14ac:dyDescent="0.2">
      <c r="A4709" s="8" t="s">
        <v>4732</v>
      </c>
      <c r="B4709" s="2" t="s">
        <v>12465</v>
      </c>
    </row>
    <row r="4710" spans="1:2" x14ac:dyDescent="0.2">
      <c r="A4710" s="8" t="s">
        <v>4733</v>
      </c>
      <c r="B4710" s="2" t="s">
        <v>12465</v>
      </c>
    </row>
    <row r="4711" spans="1:2" x14ac:dyDescent="0.2">
      <c r="A4711" s="8" t="s">
        <v>4734</v>
      </c>
      <c r="B4711" s="2" t="s">
        <v>12465</v>
      </c>
    </row>
    <row r="4712" spans="1:2" x14ac:dyDescent="0.2">
      <c r="A4712" s="8" t="s">
        <v>4735</v>
      </c>
      <c r="B4712" s="2" t="s">
        <v>12465</v>
      </c>
    </row>
    <row r="4713" spans="1:2" x14ac:dyDescent="0.2">
      <c r="A4713" s="8" t="s">
        <v>4736</v>
      </c>
      <c r="B4713" s="2" t="s">
        <v>12465</v>
      </c>
    </row>
    <row r="4714" spans="1:2" x14ac:dyDescent="0.2">
      <c r="A4714" s="8" t="s">
        <v>4737</v>
      </c>
      <c r="B4714" s="2" t="s">
        <v>12465</v>
      </c>
    </row>
    <row r="4715" spans="1:2" x14ac:dyDescent="0.2">
      <c r="A4715" s="8" t="s">
        <v>4738</v>
      </c>
      <c r="B4715" s="2" t="s">
        <v>12465</v>
      </c>
    </row>
    <row r="4716" spans="1:2" x14ac:dyDescent="0.2">
      <c r="A4716" s="8" t="s">
        <v>4739</v>
      </c>
      <c r="B4716" s="2" t="s">
        <v>12465</v>
      </c>
    </row>
    <row r="4717" spans="1:2" x14ac:dyDescent="0.2">
      <c r="A4717" s="8" t="s">
        <v>4740</v>
      </c>
      <c r="B4717" s="2" t="s">
        <v>12465</v>
      </c>
    </row>
    <row r="4718" spans="1:2" x14ac:dyDescent="0.2">
      <c r="A4718" s="8" t="s">
        <v>4741</v>
      </c>
      <c r="B4718" s="2" t="s">
        <v>12465</v>
      </c>
    </row>
    <row r="4719" spans="1:2" x14ac:dyDescent="0.2">
      <c r="A4719" s="8" t="s">
        <v>4742</v>
      </c>
      <c r="B4719" s="2" t="s">
        <v>12465</v>
      </c>
    </row>
    <row r="4720" spans="1:2" x14ac:dyDescent="0.2">
      <c r="A4720" s="8" t="s">
        <v>4743</v>
      </c>
      <c r="B4720" s="2" t="s">
        <v>12465</v>
      </c>
    </row>
    <row r="4721" spans="1:2" x14ac:dyDescent="0.2">
      <c r="A4721" s="8" t="s">
        <v>4744</v>
      </c>
      <c r="B4721" s="2" t="s">
        <v>12465</v>
      </c>
    </row>
    <row r="4722" spans="1:2" x14ac:dyDescent="0.2">
      <c r="A4722" s="8" t="s">
        <v>4745</v>
      </c>
      <c r="B4722" s="2" t="s">
        <v>12465</v>
      </c>
    </row>
    <row r="4723" spans="1:2" x14ac:dyDescent="0.2">
      <c r="A4723" s="8" t="s">
        <v>4746</v>
      </c>
      <c r="B4723" s="2" t="s">
        <v>12465</v>
      </c>
    </row>
    <row r="4724" spans="1:2" x14ac:dyDescent="0.2">
      <c r="A4724" s="8" t="s">
        <v>4747</v>
      </c>
      <c r="B4724" s="2" t="s">
        <v>12465</v>
      </c>
    </row>
    <row r="4725" spans="1:2" x14ac:dyDescent="0.2">
      <c r="A4725" s="8" t="s">
        <v>4748</v>
      </c>
      <c r="B4725" s="2" t="s">
        <v>12465</v>
      </c>
    </row>
    <row r="4726" spans="1:2" x14ac:dyDescent="0.2">
      <c r="A4726" s="8" t="s">
        <v>4749</v>
      </c>
      <c r="B4726" s="2" t="s">
        <v>12465</v>
      </c>
    </row>
    <row r="4727" spans="1:2" x14ac:dyDescent="0.2">
      <c r="A4727" s="8" t="s">
        <v>4750</v>
      </c>
      <c r="B4727" s="2" t="s">
        <v>12465</v>
      </c>
    </row>
    <row r="4728" spans="1:2" x14ac:dyDescent="0.2">
      <c r="A4728" s="8" t="s">
        <v>4751</v>
      </c>
      <c r="B4728" s="2" t="s">
        <v>12465</v>
      </c>
    </row>
    <row r="4729" spans="1:2" x14ac:dyDescent="0.2">
      <c r="A4729" s="8" t="s">
        <v>4752</v>
      </c>
      <c r="B4729" s="2" t="s">
        <v>12465</v>
      </c>
    </row>
    <row r="4730" spans="1:2" x14ac:dyDescent="0.2">
      <c r="A4730" s="8" t="s">
        <v>4753</v>
      </c>
      <c r="B4730" s="2" t="s">
        <v>12465</v>
      </c>
    </row>
    <row r="4731" spans="1:2" x14ac:dyDescent="0.2">
      <c r="A4731" s="8" t="s">
        <v>4754</v>
      </c>
      <c r="B4731" s="2" t="s">
        <v>12465</v>
      </c>
    </row>
    <row r="4732" spans="1:2" x14ac:dyDescent="0.2">
      <c r="A4732" s="8" t="s">
        <v>4755</v>
      </c>
      <c r="B4732" s="2" t="s">
        <v>12465</v>
      </c>
    </row>
    <row r="4733" spans="1:2" x14ac:dyDescent="0.2">
      <c r="A4733" s="8" t="s">
        <v>4756</v>
      </c>
      <c r="B4733" s="2" t="s">
        <v>12465</v>
      </c>
    </row>
    <row r="4734" spans="1:2" x14ac:dyDescent="0.2">
      <c r="A4734" s="8" t="s">
        <v>4757</v>
      </c>
      <c r="B4734" s="2" t="s">
        <v>12465</v>
      </c>
    </row>
    <row r="4735" spans="1:2" x14ac:dyDescent="0.2">
      <c r="A4735" s="8" t="s">
        <v>4758</v>
      </c>
      <c r="B4735" s="2" t="s">
        <v>12465</v>
      </c>
    </row>
    <row r="4736" spans="1:2" x14ac:dyDescent="0.2">
      <c r="A4736" s="8" t="s">
        <v>4759</v>
      </c>
      <c r="B4736" s="2" t="s">
        <v>12465</v>
      </c>
    </row>
    <row r="4737" spans="1:2" x14ac:dyDescent="0.2">
      <c r="A4737" s="8" t="s">
        <v>4760</v>
      </c>
      <c r="B4737" s="2" t="s">
        <v>12465</v>
      </c>
    </row>
    <row r="4738" spans="1:2" x14ac:dyDescent="0.2">
      <c r="A4738" s="8" t="s">
        <v>4761</v>
      </c>
      <c r="B4738" s="2" t="s">
        <v>12465</v>
      </c>
    </row>
    <row r="4739" spans="1:2" x14ac:dyDescent="0.2">
      <c r="A4739" s="8" t="s">
        <v>4762</v>
      </c>
      <c r="B4739" s="2" t="s">
        <v>12465</v>
      </c>
    </row>
    <row r="4740" spans="1:2" x14ac:dyDescent="0.2">
      <c r="A4740" s="8" t="s">
        <v>4763</v>
      </c>
      <c r="B4740" s="2" t="s">
        <v>12465</v>
      </c>
    </row>
    <row r="4741" spans="1:2" x14ac:dyDescent="0.2">
      <c r="A4741" s="8" t="s">
        <v>4764</v>
      </c>
      <c r="B4741" s="2" t="s">
        <v>12465</v>
      </c>
    </row>
    <row r="4742" spans="1:2" x14ac:dyDescent="0.2">
      <c r="A4742" s="8" t="s">
        <v>4765</v>
      </c>
      <c r="B4742" s="2" t="s">
        <v>12465</v>
      </c>
    </row>
    <row r="4743" spans="1:2" x14ac:dyDescent="0.2">
      <c r="A4743" s="8" t="s">
        <v>4766</v>
      </c>
      <c r="B4743" s="2" t="s">
        <v>12465</v>
      </c>
    </row>
    <row r="4744" spans="1:2" x14ac:dyDescent="0.2">
      <c r="A4744" s="8" t="s">
        <v>4767</v>
      </c>
      <c r="B4744" s="2" t="s">
        <v>12465</v>
      </c>
    </row>
    <row r="4745" spans="1:2" x14ac:dyDescent="0.2">
      <c r="A4745" s="8" t="s">
        <v>4768</v>
      </c>
      <c r="B4745" s="2" t="s">
        <v>12465</v>
      </c>
    </row>
    <row r="4746" spans="1:2" x14ac:dyDescent="0.2">
      <c r="A4746" s="8" t="s">
        <v>4769</v>
      </c>
      <c r="B4746" s="2" t="s">
        <v>12465</v>
      </c>
    </row>
    <row r="4747" spans="1:2" x14ac:dyDescent="0.2">
      <c r="A4747" s="8" t="s">
        <v>4770</v>
      </c>
      <c r="B4747" s="2" t="s">
        <v>12465</v>
      </c>
    </row>
    <row r="4748" spans="1:2" x14ac:dyDescent="0.2">
      <c r="A4748" s="8" t="s">
        <v>4771</v>
      </c>
      <c r="B4748" s="2" t="s">
        <v>12465</v>
      </c>
    </row>
    <row r="4749" spans="1:2" x14ac:dyDescent="0.2">
      <c r="A4749" s="8" t="s">
        <v>4772</v>
      </c>
      <c r="B4749" s="2" t="s">
        <v>12465</v>
      </c>
    </row>
    <row r="4750" spans="1:2" x14ac:dyDescent="0.2">
      <c r="A4750" s="8" t="s">
        <v>4773</v>
      </c>
      <c r="B4750" s="2" t="s">
        <v>12465</v>
      </c>
    </row>
    <row r="4751" spans="1:2" x14ac:dyDescent="0.2">
      <c r="A4751" s="8" t="s">
        <v>4774</v>
      </c>
      <c r="B4751" s="2" t="s">
        <v>12465</v>
      </c>
    </row>
    <row r="4752" spans="1:2" x14ac:dyDescent="0.2">
      <c r="A4752" s="8" t="s">
        <v>4775</v>
      </c>
      <c r="B4752" s="2" t="s">
        <v>12465</v>
      </c>
    </row>
    <row r="4753" spans="1:2" x14ac:dyDescent="0.2">
      <c r="A4753" s="8" t="s">
        <v>4776</v>
      </c>
      <c r="B4753" s="2" t="s">
        <v>12465</v>
      </c>
    </row>
    <row r="4754" spans="1:2" x14ac:dyDescent="0.2">
      <c r="A4754" s="8" t="s">
        <v>4777</v>
      </c>
      <c r="B4754" s="2" t="s">
        <v>12465</v>
      </c>
    </row>
    <row r="4755" spans="1:2" x14ac:dyDescent="0.2">
      <c r="A4755" s="8" t="s">
        <v>4778</v>
      </c>
      <c r="B4755" s="2" t="s">
        <v>12465</v>
      </c>
    </row>
    <row r="4756" spans="1:2" x14ac:dyDescent="0.2">
      <c r="A4756" s="8" t="s">
        <v>4779</v>
      </c>
      <c r="B4756" s="2" t="s">
        <v>12465</v>
      </c>
    </row>
    <row r="4757" spans="1:2" x14ac:dyDescent="0.2">
      <c r="A4757" s="8" t="s">
        <v>4780</v>
      </c>
      <c r="B4757" s="2" t="s">
        <v>12465</v>
      </c>
    </row>
    <row r="4758" spans="1:2" x14ac:dyDescent="0.2">
      <c r="A4758" s="8" t="s">
        <v>4781</v>
      </c>
      <c r="B4758" s="2" t="s">
        <v>12465</v>
      </c>
    </row>
    <row r="4759" spans="1:2" x14ac:dyDescent="0.2">
      <c r="A4759" s="8" t="s">
        <v>4782</v>
      </c>
      <c r="B4759" s="2" t="s">
        <v>12465</v>
      </c>
    </row>
    <row r="4760" spans="1:2" x14ac:dyDescent="0.2">
      <c r="A4760" s="8" t="s">
        <v>4783</v>
      </c>
      <c r="B4760" s="2" t="s">
        <v>12465</v>
      </c>
    </row>
    <row r="4761" spans="1:2" x14ac:dyDescent="0.2">
      <c r="A4761" s="8" t="s">
        <v>4784</v>
      </c>
      <c r="B4761" s="2" t="s">
        <v>12465</v>
      </c>
    </row>
    <row r="4762" spans="1:2" x14ac:dyDescent="0.2">
      <c r="A4762" s="8" t="s">
        <v>4785</v>
      </c>
      <c r="B4762" s="2" t="s">
        <v>12465</v>
      </c>
    </row>
    <row r="4763" spans="1:2" x14ac:dyDescent="0.2">
      <c r="A4763" s="8" t="s">
        <v>4786</v>
      </c>
      <c r="B4763" s="2" t="s">
        <v>12465</v>
      </c>
    </row>
    <row r="4764" spans="1:2" x14ac:dyDescent="0.2">
      <c r="A4764" s="8" t="s">
        <v>4787</v>
      </c>
      <c r="B4764" s="2" t="s">
        <v>12465</v>
      </c>
    </row>
    <row r="4765" spans="1:2" x14ac:dyDescent="0.2">
      <c r="A4765" s="8" t="s">
        <v>4788</v>
      </c>
      <c r="B4765" s="2" t="s">
        <v>12465</v>
      </c>
    </row>
    <row r="4766" spans="1:2" x14ac:dyDescent="0.2">
      <c r="A4766" s="8" t="s">
        <v>4789</v>
      </c>
      <c r="B4766" s="2" t="s">
        <v>12465</v>
      </c>
    </row>
    <row r="4767" spans="1:2" x14ac:dyDescent="0.2">
      <c r="A4767" s="8" t="s">
        <v>4790</v>
      </c>
      <c r="B4767" s="2" t="s">
        <v>12465</v>
      </c>
    </row>
    <row r="4768" spans="1:2" x14ac:dyDescent="0.2">
      <c r="A4768" s="8" t="s">
        <v>4791</v>
      </c>
      <c r="B4768" s="2" t="s">
        <v>12465</v>
      </c>
    </row>
    <row r="4769" spans="1:2" x14ac:dyDescent="0.2">
      <c r="A4769" s="8" t="s">
        <v>4792</v>
      </c>
      <c r="B4769" s="2" t="s">
        <v>12465</v>
      </c>
    </row>
    <row r="4770" spans="1:2" x14ac:dyDescent="0.2">
      <c r="A4770" s="8" t="s">
        <v>4793</v>
      </c>
      <c r="B4770" s="2" t="s">
        <v>12465</v>
      </c>
    </row>
    <row r="4771" spans="1:2" x14ac:dyDescent="0.2">
      <c r="A4771" s="8" t="s">
        <v>4794</v>
      </c>
      <c r="B4771" s="2" t="s">
        <v>12465</v>
      </c>
    </row>
    <row r="4772" spans="1:2" x14ac:dyDescent="0.2">
      <c r="A4772" s="8" t="s">
        <v>4795</v>
      </c>
      <c r="B4772" s="2" t="s">
        <v>12465</v>
      </c>
    </row>
    <row r="4773" spans="1:2" x14ac:dyDescent="0.2">
      <c r="A4773" s="8" t="s">
        <v>4796</v>
      </c>
      <c r="B4773" s="2" t="s">
        <v>12465</v>
      </c>
    </row>
    <row r="4774" spans="1:2" x14ac:dyDescent="0.2">
      <c r="A4774" s="8" t="s">
        <v>4797</v>
      </c>
      <c r="B4774" s="2" t="s">
        <v>12465</v>
      </c>
    </row>
    <row r="4775" spans="1:2" x14ac:dyDescent="0.2">
      <c r="A4775" s="8" t="s">
        <v>4798</v>
      </c>
      <c r="B4775" s="2" t="s">
        <v>12465</v>
      </c>
    </row>
    <row r="4776" spans="1:2" x14ac:dyDescent="0.2">
      <c r="A4776" s="8" t="s">
        <v>4799</v>
      </c>
      <c r="B4776" s="2" t="s">
        <v>12465</v>
      </c>
    </row>
    <row r="4777" spans="1:2" x14ac:dyDescent="0.2">
      <c r="A4777" s="8" t="s">
        <v>4800</v>
      </c>
      <c r="B4777" s="2" t="s">
        <v>12465</v>
      </c>
    </row>
    <row r="4778" spans="1:2" x14ac:dyDescent="0.2">
      <c r="A4778" s="8" t="s">
        <v>4801</v>
      </c>
      <c r="B4778" s="2" t="s">
        <v>12465</v>
      </c>
    </row>
    <row r="4779" spans="1:2" x14ac:dyDescent="0.2">
      <c r="A4779" s="8" t="s">
        <v>4802</v>
      </c>
      <c r="B4779" s="2" t="s">
        <v>12465</v>
      </c>
    </row>
    <row r="4780" spans="1:2" x14ac:dyDescent="0.2">
      <c r="A4780" s="8" t="s">
        <v>4803</v>
      </c>
      <c r="B4780" s="2" t="s">
        <v>12465</v>
      </c>
    </row>
    <row r="4781" spans="1:2" x14ac:dyDescent="0.2">
      <c r="A4781" s="8" t="s">
        <v>4804</v>
      </c>
      <c r="B4781" s="2" t="s">
        <v>12465</v>
      </c>
    </row>
    <row r="4782" spans="1:2" x14ac:dyDescent="0.2">
      <c r="A4782" s="8" t="s">
        <v>4805</v>
      </c>
      <c r="B4782" s="2" t="s">
        <v>12465</v>
      </c>
    </row>
    <row r="4783" spans="1:2" x14ac:dyDescent="0.2">
      <c r="A4783" s="8" t="s">
        <v>4806</v>
      </c>
      <c r="B4783" s="2" t="s">
        <v>12465</v>
      </c>
    </row>
    <row r="4784" spans="1:2" x14ac:dyDescent="0.2">
      <c r="A4784" s="8" t="s">
        <v>4807</v>
      </c>
      <c r="B4784" s="2" t="s">
        <v>12465</v>
      </c>
    </row>
    <row r="4785" spans="1:2" x14ac:dyDescent="0.2">
      <c r="A4785" s="8" t="s">
        <v>4808</v>
      </c>
      <c r="B4785" s="2" t="s">
        <v>12465</v>
      </c>
    </row>
    <row r="4786" spans="1:2" x14ac:dyDescent="0.2">
      <c r="A4786" s="8" t="s">
        <v>4809</v>
      </c>
      <c r="B4786" s="2" t="s">
        <v>12465</v>
      </c>
    </row>
    <row r="4787" spans="1:2" x14ac:dyDescent="0.2">
      <c r="A4787" s="8" t="s">
        <v>4810</v>
      </c>
      <c r="B4787" s="2" t="s">
        <v>12465</v>
      </c>
    </row>
    <row r="4788" spans="1:2" x14ac:dyDescent="0.2">
      <c r="A4788" s="8" t="s">
        <v>4811</v>
      </c>
      <c r="B4788" s="2" t="s">
        <v>12465</v>
      </c>
    </row>
    <row r="4789" spans="1:2" x14ac:dyDescent="0.2">
      <c r="A4789" s="8" t="s">
        <v>4812</v>
      </c>
      <c r="B4789" s="2" t="s">
        <v>12465</v>
      </c>
    </row>
    <row r="4790" spans="1:2" x14ac:dyDescent="0.2">
      <c r="A4790" s="8" t="s">
        <v>4813</v>
      </c>
      <c r="B4790" s="2" t="s">
        <v>12465</v>
      </c>
    </row>
    <row r="4791" spans="1:2" x14ac:dyDescent="0.2">
      <c r="A4791" s="8" t="s">
        <v>4814</v>
      </c>
      <c r="B4791" s="2" t="s">
        <v>12465</v>
      </c>
    </row>
    <row r="4792" spans="1:2" x14ac:dyDescent="0.2">
      <c r="A4792" s="8" t="s">
        <v>4815</v>
      </c>
      <c r="B4792" s="2" t="s">
        <v>12465</v>
      </c>
    </row>
    <row r="4793" spans="1:2" x14ac:dyDescent="0.2">
      <c r="A4793" s="8" t="s">
        <v>4816</v>
      </c>
      <c r="B4793" s="2" t="s">
        <v>12465</v>
      </c>
    </row>
    <row r="4794" spans="1:2" x14ac:dyDescent="0.2">
      <c r="A4794" s="8" t="s">
        <v>4817</v>
      </c>
      <c r="B4794" s="2" t="s">
        <v>12465</v>
      </c>
    </row>
    <row r="4795" spans="1:2" x14ac:dyDescent="0.2">
      <c r="A4795" s="8" t="s">
        <v>4818</v>
      </c>
      <c r="B4795" s="2" t="s">
        <v>12465</v>
      </c>
    </row>
    <row r="4796" spans="1:2" x14ac:dyDescent="0.2">
      <c r="A4796" s="8" t="s">
        <v>4819</v>
      </c>
      <c r="B4796" s="2" t="s">
        <v>12465</v>
      </c>
    </row>
    <row r="4797" spans="1:2" x14ac:dyDescent="0.2">
      <c r="A4797" s="8" t="s">
        <v>4820</v>
      </c>
      <c r="B4797" s="2" t="s">
        <v>12465</v>
      </c>
    </row>
    <row r="4798" spans="1:2" x14ac:dyDescent="0.2">
      <c r="A4798" s="8" t="s">
        <v>4821</v>
      </c>
      <c r="B4798" s="2" t="s">
        <v>12465</v>
      </c>
    </row>
    <row r="4799" spans="1:2" x14ac:dyDescent="0.2">
      <c r="A4799" s="8" t="s">
        <v>4822</v>
      </c>
      <c r="B4799" s="2" t="s">
        <v>12465</v>
      </c>
    </row>
    <row r="4800" spans="1:2" x14ac:dyDescent="0.2">
      <c r="A4800" s="8" t="s">
        <v>4823</v>
      </c>
      <c r="B4800" s="2" t="s">
        <v>12465</v>
      </c>
    </row>
    <row r="4801" spans="1:2" x14ac:dyDescent="0.2">
      <c r="A4801" s="8" t="s">
        <v>4824</v>
      </c>
      <c r="B4801" s="2" t="s">
        <v>12465</v>
      </c>
    </row>
    <row r="4802" spans="1:2" x14ac:dyDescent="0.2">
      <c r="A4802" s="8" t="s">
        <v>4825</v>
      </c>
      <c r="B4802" s="2" t="s">
        <v>12465</v>
      </c>
    </row>
    <row r="4803" spans="1:2" x14ac:dyDescent="0.2">
      <c r="A4803" s="8" t="s">
        <v>4826</v>
      </c>
      <c r="B4803" s="2" t="s">
        <v>12465</v>
      </c>
    </row>
    <row r="4804" spans="1:2" x14ac:dyDescent="0.2">
      <c r="A4804" s="8" t="s">
        <v>4827</v>
      </c>
      <c r="B4804" s="2" t="s">
        <v>12465</v>
      </c>
    </row>
    <row r="4805" spans="1:2" x14ac:dyDescent="0.2">
      <c r="A4805" s="8" t="s">
        <v>4828</v>
      </c>
      <c r="B4805" s="2" t="s">
        <v>12465</v>
      </c>
    </row>
    <row r="4806" spans="1:2" x14ac:dyDescent="0.2">
      <c r="A4806" s="8" t="s">
        <v>4829</v>
      </c>
      <c r="B4806" s="2" t="s">
        <v>12465</v>
      </c>
    </row>
    <row r="4807" spans="1:2" x14ac:dyDescent="0.2">
      <c r="A4807" s="8" t="s">
        <v>4830</v>
      </c>
      <c r="B4807" s="2" t="s">
        <v>12465</v>
      </c>
    </row>
    <row r="4808" spans="1:2" x14ac:dyDescent="0.2">
      <c r="A4808" s="8" t="s">
        <v>4831</v>
      </c>
      <c r="B4808" s="2" t="s">
        <v>12465</v>
      </c>
    </row>
    <row r="4809" spans="1:2" x14ac:dyDescent="0.2">
      <c r="A4809" s="8" t="s">
        <v>4832</v>
      </c>
      <c r="B4809" s="2" t="s">
        <v>12465</v>
      </c>
    </row>
    <row r="4810" spans="1:2" x14ac:dyDescent="0.2">
      <c r="A4810" s="8" t="s">
        <v>4833</v>
      </c>
      <c r="B4810" s="2" t="s">
        <v>12465</v>
      </c>
    </row>
    <row r="4811" spans="1:2" x14ac:dyDescent="0.2">
      <c r="A4811" s="8" t="s">
        <v>4834</v>
      </c>
      <c r="B4811" s="2" t="s">
        <v>12465</v>
      </c>
    </row>
    <row r="4812" spans="1:2" x14ac:dyDescent="0.2">
      <c r="A4812" s="8" t="s">
        <v>4835</v>
      </c>
      <c r="B4812" s="2" t="s">
        <v>12465</v>
      </c>
    </row>
    <row r="4813" spans="1:2" x14ac:dyDescent="0.2">
      <c r="A4813" s="8" t="s">
        <v>4836</v>
      </c>
      <c r="B4813" s="2" t="s">
        <v>12465</v>
      </c>
    </row>
    <row r="4814" spans="1:2" x14ac:dyDescent="0.2">
      <c r="A4814" s="8" t="s">
        <v>4837</v>
      </c>
      <c r="B4814" s="2" t="s">
        <v>12465</v>
      </c>
    </row>
    <row r="4815" spans="1:2" x14ac:dyDescent="0.2">
      <c r="A4815" s="8" t="s">
        <v>4838</v>
      </c>
      <c r="B4815" s="2" t="s">
        <v>12465</v>
      </c>
    </row>
    <row r="4816" spans="1:2" x14ac:dyDescent="0.2">
      <c r="A4816" s="8" t="s">
        <v>4839</v>
      </c>
      <c r="B4816" s="2" t="s">
        <v>12465</v>
      </c>
    </row>
    <row r="4817" spans="1:2" x14ac:dyDescent="0.2">
      <c r="A4817" s="8" t="s">
        <v>4840</v>
      </c>
      <c r="B4817" s="2" t="s">
        <v>12465</v>
      </c>
    </row>
    <row r="4818" spans="1:2" x14ac:dyDescent="0.2">
      <c r="A4818" s="8" t="s">
        <v>4841</v>
      </c>
      <c r="B4818" s="2" t="s">
        <v>12465</v>
      </c>
    </row>
    <row r="4819" spans="1:2" x14ac:dyDescent="0.2">
      <c r="A4819" s="8" t="s">
        <v>4842</v>
      </c>
      <c r="B4819" s="2" t="s">
        <v>12465</v>
      </c>
    </row>
    <row r="4820" spans="1:2" x14ac:dyDescent="0.2">
      <c r="A4820" s="8" t="s">
        <v>4843</v>
      </c>
      <c r="B4820" s="2" t="s">
        <v>12465</v>
      </c>
    </row>
    <row r="4821" spans="1:2" x14ac:dyDescent="0.2">
      <c r="A4821" s="8" t="s">
        <v>4844</v>
      </c>
      <c r="B4821" s="2" t="s">
        <v>12465</v>
      </c>
    </row>
    <row r="4822" spans="1:2" x14ac:dyDescent="0.2">
      <c r="A4822" s="8" t="s">
        <v>4845</v>
      </c>
      <c r="B4822" s="2" t="s">
        <v>12465</v>
      </c>
    </row>
    <row r="4823" spans="1:2" x14ac:dyDescent="0.2">
      <c r="A4823" s="8" t="s">
        <v>4846</v>
      </c>
      <c r="B4823" s="2" t="s">
        <v>12465</v>
      </c>
    </row>
    <row r="4824" spans="1:2" x14ac:dyDescent="0.2">
      <c r="A4824" s="8" t="s">
        <v>4847</v>
      </c>
      <c r="B4824" s="2" t="s">
        <v>12465</v>
      </c>
    </row>
    <row r="4825" spans="1:2" x14ac:dyDescent="0.2">
      <c r="A4825" s="8" t="s">
        <v>4848</v>
      </c>
      <c r="B4825" s="2" t="s">
        <v>12465</v>
      </c>
    </row>
    <row r="4826" spans="1:2" x14ac:dyDescent="0.2">
      <c r="A4826" s="8" t="s">
        <v>4849</v>
      </c>
      <c r="B4826" s="2" t="s">
        <v>12465</v>
      </c>
    </row>
    <row r="4827" spans="1:2" x14ac:dyDescent="0.2">
      <c r="A4827" s="8" t="s">
        <v>4850</v>
      </c>
      <c r="B4827" s="2" t="s">
        <v>12465</v>
      </c>
    </row>
    <row r="4828" spans="1:2" x14ac:dyDescent="0.2">
      <c r="A4828" s="8" t="s">
        <v>4851</v>
      </c>
      <c r="B4828" s="2" t="s">
        <v>12465</v>
      </c>
    </row>
    <row r="4829" spans="1:2" x14ac:dyDescent="0.2">
      <c r="A4829" s="8" t="s">
        <v>4852</v>
      </c>
      <c r="B4829" s="2" t="s">
        <v>12465</v>
      </c>
    </row>
    <row r="4830" spans="1:2" x14ac:dyDescent="0.2">
      <c r="A4830" s="8" t="s">
        <v>4853</v>
      </c>
      <c r="B4830" s="2" t="s">
        <v>12465</v>
      </c>
    </row>
    <row r="4831" spans="1:2" x14ac:dyDescent="0.2">
      <c r="A4831" s="8" t="s">
        <v>4854</v>
      </c>
      <c r="B4831" s="2" t="s">
        <v>12465</v>
      </c>
    </row>
    <row r="4832" spans="1:2" x14ac:dyDescent="0.2">
      <c r="A4832" s="8" t="s">
        <v>4855</v>
      </c>
      <c r="B4832" s="2" t="s">
        <v>12465</v>
      </c>
    </row>
    <row r="4833" spans="1:2" x14ac:dyDescent="0.2">
      <c r="A4833" s="8" t="s">
        <v>4856</v>
      </c>
      <c r="B4833" s="2" t="s">
        <v>12465</v>
      </c>
    </row>
    <row r="4834" spans="1:2" x14ac:dyDescent="0.2">
      <c r="A4834" s="8" t="s">
        <v>4857</v>
      </c>
      <c r="B4834" s="2" t="s">
        <v>12465</v>
      </c>
    </row>
    <row r="4835" spans="1:2" x14ac:dyDescent="0.2">
      <c r="A4835" s="8" t="s">
        <v>4858</v>
      </c>
      <c r="B4835" s="2" t="s">
        <v>12465</v>
      </c>
    </row>
    <row r="4836" spans="1:2" x14ac:dyDescent="0.2">
      <c r="A4836" s="8" t="s">
        <v>4859</v>
      </c>
      <c r="B4836" s="2" t="s">
        <v>12465</v>
      </c>
    </row>
    <row r="4837" spans="1:2" x14ac:dyDescent="0.2">
      <c r="A4837" s="8" t="s">
        <v>4860</v>
      </c>
      <c r="B4837" s="2" t="s">
        <v>12465</v>
      </c>
    </row>
    <row r="4838" spans="1:2" x14ac:dyDescent="0.2">
      <c r="A4838" s="8" t="s">
        <v>4861</v>
      </c>
      <c r="B4838" s="2" t="s">
        <v>12465</v>
      </c>
    </row>
    <row r="4839" spans="1:2" x14ac:dyDescent="0.2">
      <c r="A4839" s="8" t="s">
        <v>4862</v>
      </c>
      <c r="B4839" s="2" t="s">
        <v>12465</v>
      </c>
    </row>
    <row r="4840" spans="1:2" x14ac:dyDescent="0.2">
      <c r="A4840" s="8" t="s">
        <v>4863</v>
      </c>
      <c r="B4840" s="2" t="s">
        <v>12465</v>
      </c>
    </row>
    <row r="4841" spans="1:2" x14ac:dyDescent="0.2">
      <c r="A4841" s="8" t="s">
        <v>4864</v>
      </c>
      <c r="B4841" s="2" t="s">
        <v>12465</v>
      </c>
    </row>
    <row r="4842" spans="1:2" x14ac:dyDescent="0.2">
      <c r="A4842" s="8" t="s">
        <v>4865</v>
      </c>
      <c r="B4842" s="2" t="s">
        <v>12465</v>
      </c>
    </row>
    <row r="4843" spans="1:2" x14ac:dyDescent="0.2">
      <c r="A4843" s="8" t="s">
        <v>4866</v>
      </c>
      <c r="B4843" s="2" t="s">
        <v>12465</v>
      </c>
    </row>
    <row r="4844" spans="1:2" x14ac:dyDescent="0.2">
      <c r="A4844" s="8" t="s">
        <v>4867</v>
      </c>
      <c r="B4844" s="2" t="s">
        <v>12465</v>
      </c>
    </row>
    <row r="4845" spans="1:2" x14ac:dyDescent="0.2">
      <c r="A4845" s="8" t="s">
        <v>4868</v>
      </c>
      <c r="B4845" s="2" t="s">
        <v>12465</v>
      </c>
    </row>
    <row r="4846" spans="1:2" x14ac:dyDescent="0.2">
      <c r="A4846" s="8" t="s">
        <v>4869</v>
      </c>
      <c r="B4846" s="2" t="s">
        <v>12465</v>
      </c>
    </row>
    <row r="4847" spans="1:2" x14ac:dyDescent="0.2">
      <c r="A4847" s="8" t="s">
        <v>4870</v>
      </c>
      <c r="B4847" s="2" t="s">
        <v>12465</v>
      </c>
    </row>
    <row r="4848" spans="1:2" x14ac:dyDescent="0.2">
      <c r="A4848" s="8" t="s">
        <v>4871</v>
      </c>
      <c r="B4848" s="2" t="s">
        <v>12465</v>
      </c>
    </row>
    <row r="4849" spans="1:2" x14ac:dyDescent="0.2">
      <c r="A4849" s="8" t="s">
        <v>4872</v>
      </c>
      <c r="B4849" s="2" t="s">
        <v>12465</v>
      </c>
    </row>
    <row r="4850" spans="1:2" x14ac:dyDescent="0.2">
      <c r="A4850" s="8" t="s">
        <v>4873</v>
      </c>
      <c r="B4850" s="2" t="s">
        <v>12465</v>
      </c>
    </row>
    <row r="4851" spans="1:2" x14ac:dyDescent="0.2">
      <c r="A4851" s="8" t="s">
        <v>4874</v>
      </c>
      <c r="B4851" s="2" t="s">
        <v>12465</v>
      </c>
    </row>
    <row r="4852" spans="1:2" x14ac:dyDescent="0.2">
      <c r="A4852" s="8" t="s">
        <v>4875</v>
      </c>
      <c r="B4852" s="2" t="s">
        <v>12465</v>
      </c>
    </row>
    <row r="4853" spans="1:2" x14ac:dyDescent="0.2">
      <c r="A4853" s="8" t="s">
        <v>4876</v>
      </c>
      <c r="B4853" s="2" t="s">
        <v>12465</v>
      </c>
    </row>
    <row r="4854" spans="1:2" x14ac:dyDescent="0.2">
      <c r="A4854" s="8" t="s">
        <v>4877</v>
      </c>
      <c r="B4854" s="2" t="s">
        <v>12465</v>
      </c>
    </row>
    <row r="4855" spans="1:2" x14ac:dyDescent="0.2">
      <c r="A4855" s="8" t="s">
        <v>4878</v>
      </c>
      <c r="B4855" s="2" t="s">
        <v>12465</v>
      </c>
    </row>
    <row r="4856" spans="1:2" x14ac:dyDescent="0.2">
      <c r="A4856" s="8" t="s">
        <v>4879</v>
      </c>
      <c r="B4856" s="2" t="s">
        <v>12465</v>
      </c>
    </row>
    <row r="4857" spans="1:2" x14ac:dyDescent="0.2">
      <c r="A4857" s="8" t="s">
        <v>4880</v>
      </c>
      <c r="B4857" s="2" t="s">
        <v>12465</v>
      </c>
    </row>
    <row r="4858" spans="1:2" x14ac:dyDescent="0.2">
      <c r="A4858" s="8" t="s">
        <v>4881</v>
      </c>
      <c r="B4858" s="2" t="s">
        <v>12465</v>
      </c>
    </row>
    <row r="4859" spans="1:2" x14ac:dyDescent="0.2">
      <c r="A4859" s="8" t="s">
        <v>4882</v>
      </c>
      <c r="B4859" s="2" t="s">
        <v>12465</v>
      </c>
    </row>
    <row r="4860" spans="1:2" x14ac:dyDescent="0.2">
      <c r="A4860" s="8" t="s">
        <v>4883</v>
      </c>
      <c r="B4860" s="2" t="s">
        <v>12465</v>
      </c>
    </row>
    <row r="4861" spans="1:2" x14ac:dyDescent="0.2">
      <c r="A4861" s="8" t="s">
        <v>4884</v>
      </c>
      <c r="B4861" s="2" t="s">
        <v>12465</v>
      </c>
    </row>
    <row r="4862" spans="1:2" x14ac:dyDescent="0.2">
      <c r="A4862" s="8" t="s">
        <v>4885</v>
      </c>
      <c r="B4862" s="2" t="s">
        <v>12465</v>
      </c>
    </row>
    <row r="4863" spans="1:2" x14ac:dyDescent="0.2">
      <c r="A4863" s="8" t="s">
        <v>4886</v>
      </c>
      <c r="B4863" s="2" t="s">
        <v>12465</v>
      </c>
    </row>
    <row r="4864" spans="1:2" x14ac:dyDescent="0.2">
      <c r="A4864" s="8" t="s">
        <v>4887</v>
      </c>
      <c r="B4864" s="2" t="s">
        <v>12465</v>
      </c>
    </row>
    <row r="4865" spans="1:2" x14ac:dyDescent="0.2">
      <c r="A4865" s="8" t="s">
        <v>4888</v>
      </c>
      <c r="B4865" s="2" t="s">
        <v>12465</v>
      </c>
    </row>
    <row r="4866" spans="1:2" x14ac:dyDescent="0.2">
      <c r="A4866" s="8" t="s">
        <v>4889</v>
      </c>
      <c r="B4866" s="2" t="s">
        <v>12465</v>
      </c>
    </row>
    <row r="4867" spans="1:2" x14ac:dyDescent="0.2">
      <c r="A4867" s="8" t="s">
        <v>4890</v>
      </c>
      <c r="B4867" s="2" t="s">
        <v>12465</v>
      </c>
    </row>
    <row r="4868" spans="1:2" x14ac:dyDescent="0.2">
      <c r="A4868" s="8" t="s">
        <v>4891</v>
      </c>
      <c r="B4868" s="2" t="s">
        <v>12465</v>
      </c>
    </row>
    <row r="4869" spans="1:2" x14ac:dyDescent="0.2">
      <c r="A4869" s="8" t="s">
        <v>4892</v>
      </c>
      <c r="B4869" s="2" t="s">
        <v>12465</v>
      </c>
    </row>
    <row r="4870" spans="1:2" x14ac:dyDescent="0.2">
      <c r="A4870" s="8" t="s">
        <v>4893</v>
      </c>
      <c r="B4870" s="2" t="s">
        <v>12465</v>
      </c>
    </row>
    <row r="4871" spans="1:2" x14ac:dyDescent="0.2">
      <c r="A4871" s="8" t="s">
        <v>4894</v>
      </c>
      <c r="B4871" s="2" t="s">
        <v>12465</v>
      </c>
    </row>
    <row r="4872" spans="1:2" x14ac:dyDescent="0.2">
      <c r="A4872" s="8" t="s">
        <v>4895</v>
      </c>
      <c r="B4872" s="2" t="s">
        <v>12465</v>
      </c>
    </row>
    <row r="4873" spans="1:2" x14ac:dyDescent="0.2">
      <c r="A4873" s="8" t="s">
        <v>4896</v>
      </c>
      <c r="B4873" s="2" t="s">
        <v>12465</v>
      </c>
    </row>
    <row r="4874" spans="1:2" x14ac:dyDescent="0.2">
      <c r="A4874" s="8" t="s">
        <v>4897</v>
      </c>
      <c r="B4874" s="2" t="s">
        <v>12465</v>
      </c>
    </row>
    <row r="4875" spans="1:2" x14ac:dyDescent="0.2">
      <c r="A4875" s="8" t="s">
        <v>4898</v>
      </c>
      <c r="B4875" s="2" t="s">
        <v>12465</v>
      </c>
    </row>
    <row r="4876" spans="1:2" x14ac:dyDescent="0.2">
      <c r="A4876" s="8" t="s">
        <v>4899</v>
      </c>
      <c r="B4876" s="2" t="s">
        <v>12465</v>
      </c>
    </row>
    <row r="4877" spans="1:2" x14ac:dyDescent="0.2">
      <c r="A4877" s="8" t="s">
        <v>4900</v>
      </c>
      <c r="B4877" s="2" t="s">
        <v>12465</v>
      </c>
    </row>
    <row r="4878" spans="1:2" x14ac:dyDescent="0.2">
      <c r="A4878" s="8" t="s">
        <v>4901</v>
      </c>
      <c r="B4878" s="2" t="s">
        <v>12465</v>
      </c>
    </row>
    <row r="4879" spans="1:2" x14ac:dyDescent="0.2">
      <c r="A4879" s="8" t="s">
        <v>4902</v>
      </c>
      <c r="B4879" s="2" t="s">
        <v>12465</v>
      </c>
    </row>
    <row r="4880" spans="1:2" x14ac:dyDescent="0.2">
      <c r="A4880" s="8" t="s">
        <v>4903</v>
      </c>
      <c r="B4880" s="2" t="s">
        <v>12465</v>
      </c>
    </row>
    <row r="4881" spans="1:2" x14ac:dyDescent="0.2">
      <c r="A4881" s="8" t="s">
        <v>4904</v>
      </c>
      <c r="B4881" s="2" t="s">
        <v>12465</v>
      </c>
    </row>
    <row r="4882" spans="1:2" x14ac:dyDescent="0.2">
      <c r="A4882" s="8" t="s">
        <v>4905</v>
      </c>
      <c r="B4882" s="2" t="s">
        <v>12465</v>
      </c>
    </row>
    <row r="4883" spans="1:2" x14ac:dyDescent="0.2">
      <c r="A4883" s="8" t="s">
        <v>4906</v>
      </c>
      <c r="B4883" s="2" t="s">
        <v>12465</v>
      </c>
    </row>
    <row r="4884" spans="1:2" x14ac:dyDescent="0.2">
      <c r="A4884" s="8" t="s">
        <v>4907</v>
      </c>
      <c r="B4884" s="2" t="s">
        <v>12465</v>
      </c>
    </row>
    <row r="4885" spans="1:2" x14ac:dyDescent="0.2">
      <c r="A4885" s="8" t="s">
        <v>4908</v>
      </c>
      <c r="B4885" s="2" t="s">
        <v>12465</v>
      </c>
    </row>
    <row r="4886" spans="1:2" x14ac:dyDescent="0.2">
      <c r="A4886" s="8" t="s">
        <v>4909</v>
      </c>
      <c r="B4886" s="2" t="s">
        <v>12465</v>
      </c>
    </row>
    <row r="4887" spans="1:2" x14ac:dyDescent="0.2">
      <c r="A4887" s="8" t="s">
        <v>4910</v>
      </c>
      <c r="B4887" s="2" t="s">
        <v>12465</v>
      </c>
    </row>
    <row r="4888" spans="1:2" x14ac:dyDescent="0.2">
      <c r="A4888" s="8" t="s">
        <v>4911</v>
      </c>
      <c r="B4888" s="2" t="s">
        <v>12465</v>
      </c>
    </row>
    <row r="4889" spans="1:2" x14ac:dyDescent="0.2">
      <c r="A4889" s="8" t="s">
        <v>4912</v>
      </c>
      <c r="B4889" s="2" t="s">
        <v>12465</v>
      </c>
    </row>
    <row r="4890" spans="1:2" x14ac:dyDescent="0.2">
      <c r="A4890" s="8" t="s">
        <v>4913</v>
      </c>
      <c r="B4890" s="2" t="s">
        <v>12465</v>
      </c>
    </row>
    <row r="4891" spans="1:2" x14ac:dyDescent="0.2">
      <c r="A4891" s="8" t="s">
        <v>4914</v>
      </c>
      <c r="B4891" s="2" t="s">
        <v>12465</v>
      </c>
    </row>
    <row r="4892" spans="1:2" x14ac:dyDescent="0.2">
      <c r="A4892" s="8" t="s">
        <v>4915</v>
      </c>
      <c r="B4892" s="2" t="s">
        <v>12465</v>
      </c>
    </row>
    <row r="4893" spans="1:2" x14ac:dyDescent="0.2">
      <c r="A4893" s="8" t="s">
        <v>4916</v>
      </c>
      <c r="B4893" s="2" t="s">
        <v>12465</v>
      </c>
    </row>
    <row r="4894" spans="1:2" x14ac:dyDescent="0.2">
      <c r="A4894" s="8" t="s">
        <v>4917</v>
      </c>
      <c r="B4894" s="2" t="s">
        <v>12465</v>
      </c>
    </row>
    <row r="4895" spans="1:2" x14ac:dyDescent="0.2">
      <c r="A4895" s="8" t="s">
        <v>4918</v>
      </c>
      <c r="B4895" s="2" t="s">
        <v>12465</v>
      </c>
    </row>
    <row r="4896" spans="1:2" x14ac:dyDescent="0.2">
      <c r="A4896" s="8" t="s">
        <v>4919</v>
      </c>
      <c r="B4896" s="2" t="s">
        <v>12465</v>
      </c>
    </row>
    <row r="4897" spans="1:2" x14ac:dyDescent="0.2">
      <c r="A4897" s="8" t="s">
        <v>4920</v>
      </c>
      <c r="B4897" s="2" t="s">
        <v>12465</v>
      </c>
    </row>
    <row r="4898" spans="1:2" x14ac:dyDescent="0.2">
      <c r="A4898" s="8" t="s">
        <v>4921</v>
      </c>
      <c r="B4898" s="2" t="s">
        <v>12465</v>
      </c>
    </row>
    <row r="4899" spans="1:2" x14ac:dyDescent="0.2">
      <c r="A4899" s="8" t="s">
        <v>4922</v>
      </c>
      <c r="B4899" s="2" t="s">
        <v>12465</v>
      </c>
    </row>
    <row r="4900" spans="1:2" x14ac:dyDescent="0.2">
      <c r="A4900" s="8" t="s">
        <v>4923</v>
      </c>
      <c r="B4900" s="2" t="s">
        <v>12465</v>
      </c>
    </row>
    <row r="4901" spans="1:2" x14ac:dyDescent="0.2">
      <c r="A4901" s="8" t="s">
        <v>4924</v>
      </c>
      <c r="B4901" s="2" t="s">
        <v>12465</v>
      </c>
    </row>
    <row r="4902" spans="1:2" x14ac:dyDescent="0.2">
      <c r="A4902" s="8" t="s">
        <v>4925</v>
      </c>
      <c r="B4902" s="2" t="s">
        <v>12465</v>
      </c>
    </row>
    <row r="4903" spans="1:2" x14ac:dyDescent="0.2">
      <c r="A4903" s="8" t="s">
        <v>4926</v>
      </c>
      <c r="B4903" s="2" t="s">
        <v>12465</v>
      </c>
    </row>
    <row r="4904" spans="1:2" x14ac:dyDescent="0.2">
      <c r="A4904" s="8" t="s">
        <v>4927</v>
      </c>
      <c r="B4904" s="2" t="s">
        <v>12465</v>
      </c>
    </row>
    <row r="4905" spans="1:2" x14ac:dyDescent="0.2">
      <c r="A4905" s="8" t="s">
        <v>4928</v>
      </c>
      <c r="B4905" s="2" t="s">
        <v>12465</v>
      </c>
    </row>
    <row r="4906" spans="1:2" x14ac:dyDescent="0.2">
      <c r="A4906" s="8" t="s">
        <v>4929</v>
      </c>
      <c r="B4906" s="2" t="s">
        <v>12465</v>
      </c>
    </row>
    <row r="4907" spans="1:2" x14ac:dyDescent="0.2">
      <c r="A4907" s="8" t="s">
        <v>4930</v>
      </c>
      <c r="B4907" s="2" t="s">
        <v>12465</v>
      </c>
    </row>
    <row r="4908" spans="1:2" x14ac:dyDescent="0.2">
      <c r="A4908" s="8" t="s">
        <v>4931</v>
      </c>
      <c r="B4908" s="2" t="s">
        <v>12465</v>
      </c>
    </row>
    <row r="4909" spans="1:2" x14ac:dyDescent="0.2">
      <c r="A4909" s="8" t="s">
        <v>4932</v>
      </c>
      <c r="B4909" s="2" t="s">
        <v>12465</v>
      </c>
    </row>
    <row r="4910" spans="1:2" x14ac:dyDescent="0.2">
      <c r="A4910" s="8" t="s">
        <v>4933</v>
      </c>
      <c r="B4910" s="2" t="s">
        <v>12465</v>
      </c>
    </row>
    <row r="4911" spans="1:2" x14ac:dyDescent="0.2">
      <c r="A4911" s="8" t="s">
        <v>4934</v>
      </c>
      <c r="B4911" s="2" t="s">
        <v>12465</v>
      </c>
    </row>
    <row r="4912" spans="1:2" x14ac:dyDescent="0.2">
      <c r="A4912" s="8" t="s">
        <v>4935</v>
      </c>
      <c r="B4912" s="2" t="s">
        <v>12465</v>
      </c>
    </row>
    <row r="4913" spans="1:2" x14ac:dyDescent="0.2">
      <c r="A4913" s="8" t="s">
        <v>4936</v>
      </c>
      <c r="B4913" s="2" t="s">
        <v>12465</v>
      </c>
    </row>
    <row r="4914" spans="1:2" x14ac:dyDescent="0.2">
      <c r="A4914" s="8" t="s">
        <v>4937</v>
      </c>
      <c r="B4914" s="2" t="s">
        <v>12465</v>
      </c>
    </row>
    <row r="4915" spans="1:2" x14ac:dyDescent="0.2">
      <c r="A4915" s="8" t="s">
        <v>4938</v>
      </c>
      <c r="B4915" s="2" t="s">
        <v>12465</v>
      </c>
    </row>
    <row r="4916" spans="1:2" x14ac:dyDescent="0.2">
      <c r="A4916" s="8" t="s">
        <v>4939</v>
      </c>
      <c r="B4916" s="2" t="s">
        <v>12465</v>
      </c>
    </row>
    <row r="4917" spans="1:2" x14ac:dyDescent="0.2">
      <c r="A4917" s="8" t="s">
        <v>4940</v>
      </c>
      <c r="B4917" s="2" t="s">
        <v>12465</v>
      </c>
    </row>
    <row r="4918" spans="1:2" x14ac:dyDescent="0.2">
      <c r="A4918" s="8" t="s">
        <v>4941</v>
      </c>
      <c r="B4918" s="2" t="s">
        <v>12465</v>
      </c>
    </row>
    <row r="4919" spans="1:2" x14ac:dyDescent="0.2">
      <c r="A4919" s="8" t="s">
        <v>4942</v>
      </c>
      <c r="B4919" s="2" t="s">
        <v>12465</v>
      </c>
    </row>
    <row r="4920" spans="1:2" x14ac:dyDescent="0.2">
      <c r="A4920" s="8" t="s">
        <v>4943</v>
      </c>
      <c r="B4920" s="2" t="s">
        <v>12465</v>
      </c>
    </row>
    <row r="4921" spans="1:2" x14ac:dyDescent="0.2">
      <c r="A4921" s="8" t="s">
        <v>4944</v>
      </c>
      <c r="B4921" s="2" t="s">
        <v>12465</v>
      </c>
    </row>
    <row r="4922" spans="1:2" x14ac:dyDescent="0.2">
      <c r="A4922" s="8" t="s">
        <v>4945</v>
      </c>
      <c r="B4922" s="2" t="s">
        <v>12465</v>
      </c>
    </row>
    <row r="4923" spans="1:2" x14ac:dyDescent="0.2">
      <c r="A4923" s="8" t="s">
        <v>4946</v>
      </c>
      <c r="B4923" s="2" t="s">
        <v>12465</v>
      </c>
    </row>
    <row r="4924" spans="1:2" x14ac:dyDescent="0.2">
      <c r="A4924" s="8" t="s">
        <v>4947</v>
      </c>
      <c r="B4924" s="2" t="s">
        <v>12465</v>
      </c>
    </row>
    <row r="4925" spans="1:2" x14ac:dyDescent="0.2">
      <c r="A4925" s="8" t="s">
        <v>4948</v>
      </c>
      <c r="B4925" s="2" t="s">
        <v>12465</v>
      </c>
    </row>
    <row r="4926" spans="1:2" x14ac:dyDescent="0.2">
      <c r="A4926" s="8" t="s">
        <v>4949</v>
      </c>
      <c r="B4926" s="2" t="s">
        <v>12465</v>
      </c>
    </row>
    <row r="4927" spans="1:2" x14ac:dyDescent="0.2">
      <c r="A4927" s="8" t="s">
        <v>4950</v>
      </c>
      <c r="B4927" s="2" t="s">
        <v>12465</v>
      </c>
    </row>
    <row r="4928" spans="1:2" x14ac:dyDescent="0.2">
      <c r="A4928" s="8" t="s">
        <v>4951</v>
      </c>
      <c r="B4928" s="2" t="s">
        <v>12465</v>
      </c>
    </row>
    <row r="4929" spans="1:2" x14ac:dyDescent="0.2">
      <c r="A4929" s="8" t="s">
        <v>4952</v>
      </c>
      <c r="B4929" s="2" t="s">
        <v>12465</v>
      </c>
    </row>
    <row r="4930" spans="1:2" x14ac:dyDescent="0.2">
      <c r="A4930" s="8" t="s">
        <v>4953</v>
      </c>
      <c r="B4930" s="2" t="s">
        <v>12465</v>
      </c>
    </row>
    <row r="4931" spans="1:2" x14ac:dyDescent="0.2">
      <c r="A4931" s="8" t="s">
        <v>4954</v>
      </c>
      <c r="B4931" s="2" t="s">
        <v>12465</v>
      </c>
    </row>
    <row r="4932" spans="1:2" x14ac:dyDescent="0.2">
      <c r="A4932" s="8" t="s">
        <v>4955</v>
      </c>
      <c r="B4932" s="2" t="s">
        <v>12465</v>
      </c>
    </row>
    <row r="4933" spans="1:2" x14ac:dyDescent="0.2">
      <c r="A4933" s="8" t="s">
        <v>4956</v>
      </c>
      <c r="B4933" s="2" t="s">
        <v>12465</v>
      </c>
    </row>
    <row r="4934" spans="1:2" x14ac:dyDescent="0.2">
      <c r="A4934" s="8" t="s">
        <v>4957</v>
      </c>
      <c r="B4934" s="2" t="s">
        <v>12465</v>
      </c>
    </row>
    <row r="4935" spans="1:2" x14ac:dyDescent="0.2">
      <c r="A4935" s="8" t="s">
        <v>4958</v>
      </c>
      <c r="B4935" s="2" t="s">
        <v>12465</v>
      </c>
    </row>
    <row r="4936" spans="1:2" x14ac:dyDescent="0.2">
      <c r="A4936" s="8" t="s">
        <v>4959</v>
      </c>
      <c r="B4936" s="2" t="s">
        <v>12465</v>
      </c>
    </row>
    <row r="4937" spans="1:2" x14ac:dyDescent="0.2">
      <c r="A4937" s="8" t="s">
        <v>4960</v>
      </c>
      <c r="B4937" s="2" t="s">
        <v>12465</v>
      </c>
    </row>
    <row r="4938" spans="1:2" x14ac:dyDescent="0.2">
      <c r="A4938" s="8" t="s">
        <v>4961</v>
      </c>
      <c r="B4938" s="2" t="s">
        <v>12465</v>
      </c>
    </row>
    <row r="4939" spans="1:2" x14ac:dyDescent="0.2">
      <c r="A4939" s="8" t="s">
        <v>4962</v>
      </c>
      <c r="B4939" s="2" t="s">
        <v>12465</v>
      </c>
    </row>
    <row r="4940" spans="1:2" x14ac:dyDescent="0.2">
      <c r="A4940" s="8" t="s">
        <v>4963</v>
      </c>
      <c r="B4940" s="2" t="s">
        <v>12465</v>
      </c>
    </row>
    <row r="4941" spans="1:2" x14ac:dyDescent="0.2">
      <c r="A4941" s="8" t="s">
        <v>4964</v>
      </c>
      <c r="B4941" s="2" t="s">
        <v>12465</v>
      </c>
    </row>
    <row r="4942" spans="1:2" x14ac:dyDescent="0.2">
      <c r="A4942" s="8" t="s">
        <v>4965</v>
      </c>
      <c r="B4942" s="2" t="s">
        <v>12465</v>
      </c>
    </row>
    <row r="4943" spans="1:2" x14ac:dyDescent="0.2">
      <c r="A4943" s="8" t="s">
        <v>4966</v>
      </c>
      <c r="B4943" s="2" t="s">
        <v>12465</v>
      </c>
    </row>
    <row r="4944" spans="1:2" x14ac:dyDescent="0.2">
      <c r="A4944" s="8" t="s">
        <v>4967</v>
      </c>
      <c r="B4944" s="2" t="s">
        <v>12465</v>
      </c>
    </row>
    <row r="4945" spans="1:2" x14ac:dyDescent="0.2">
      <c r="A4945" s="8" t="s">
        <v>4968</v>
      </c>
      <c r="B4945" s="2" t="s">
        <v>12465</v>
      </c>
    </row>
    <row r="4946" spans="1:2" x14ac:dyDescent="0.2">
      <c r="A4946" s="8" t="s">
        <v>4969</v>
      </c>
      <c r="B4946" s="2" t="s">
        <v>12465</v>
      </c>
    </row>
    <row r="4947" spans="1:2" x14ac:dyDescent="0.2">
      <c r="A4947" s="8" t="s">
        <v>4970</v>
      </c>
      <c r="B4947" s="2" t="s">
        <v>12465</v>
      </c>
    </row>
    <row r="4948" spans="1:2" x14ac:dyDescent="0.2">
      <c r="A4948" s="8" t="s">
        <v>4971</v>
      </c>
      <c r="B4948" s="2" t="s">
        <v>12465</v>
      </c>
    </row>
    <row r="4949" spans="1:2" x14ac:dyDescent="0.2">
      <c r="A4949" s="8" t="s">
        <v>4972</v>
      </c>
      <c r="B4949" s="2" t="s">
        <v>12465</v>
      </c>
    </row>
    <row r="4950" spans="1:2" x14ac:dyDescent="0.2">
      <c r="A4950" s="8" t="s">
        <v>4973</v>
      </c>
      <c r="B4950" s="2" t="s">
        <v>12465</v>
      </c>
    </row>
    <row r="4951" spans="1:2" x14ac:dyDescent="0.2">
      <c r="A4951" s="8" t="s">
        <v>4974</v>
      </c>
      <c r="B4951" s="2" t="s">
        <v>12465</v>
      </c>
    </row>
    <row r="4952" spans="1:2" x14ac:dyDescent="0.2">
      <c r="A4952" s="8" t="s">
        <v>4975</v>
      </c>
      <c r="B4952" s="2" t="s">
        <v>12465</v>
      </c>
    </row>
    <row r="4953" spans="1:2" x14ac:dyDescent="0.2">
      <c r="A4953" s="8" t="s">
        <v>4976</v>
      </c>
      <c r="B4953" s="2" t="s">
        <v>12465</v>
      </c>
    </row>
    <row r="4954" spans="1:2" x14ac:dyDescent="0.2">
      <c r="A4954" s="8" t="s">
        <v>4977</v>
      </c>
      <c r="B4954" s="2" t="s">
        <v>12465</v>
      </c>
    </row>
    <row r="4955" spans="1:2" x14ac:dyDescent="0.2">
      <c r="A4955" s="8" t="s">
        <v>4978</v>
      </c>
      <c r="B4955" s="2" t="s">
        <v>12465</v>
      </c>
    </row>
    <row r="4956" spans="1:2" x14ac:dyDescent="0.2">
      <c r="A4956" s="8" t="s">
        <v>4979</v>
      </c>
      <c r="B4956" s="2" t="s">
        <v>12465</v>
      </c>
    </row>
    <row r="4957" spans="1:2" x14ac:dyDescent="0.2">
      <c r="A4957" s="8" t="s">
        <v>4980</v>
      </c>
      <c r="B4957" s="2" t="s">
        <v>12465</v>
      </c>
    </row>
    <row r="4958" spans="1:2" x14ac:dyDescent="0.2">
      <c r="A4958" s="8" t="s">
        <v>4981</v>
      </c>
      <c r="B4958" s="2" t="s">
        <v>12465</v>
      </c>
    </row>
    <row r="4959" spans="1:2" x14ac:dyDescent="0.2">
      <c r="A4959" s="8" t="s">
        <v>4982</v>
      </c>
      <c r="B4959" s="2" t="s">
        <v>12465</v>
      </c>
    </row>
    <row r="4960" spans="1:2" x14ac:dyDescent="0.2">
      <c r="A4960" s="8" t="s">
        <v>4983</v>
      </c>
      <c r="B4960" s="2" t="s">
        <v>12465</v>
      </c>
    </row>
    <row r="4961" spans="1:2" x14ac:dyDescent="0.2">
      <c r="A4961" s="8" t="s">
        <v>4984</v>
      </c>
      <c r="B4961" s="2" t="s">
        <v>12465</v>
      </c>
    </row>
    <row r="4962" spans="1:2" x14ac:dyDescent="0.2">
      <c r="A4962" s="8" t="s">
        <v>4985</v>
      </c>
      <c r="B4962" s="2" t="s">
        <v>12465</v>
      </c>
    </row>
    <row r="4963" spans="1:2" x14ac:dyDescent="0.2">
      <c r="A4963" s="8" t="s">
        <v>4986</v>
      </c>
      <c r="B4963" s="2" t="s">
        <v>12465</v>
      </c>
    </row>
    <row r="4964" spans="1:2" x14ac:dyDescent="0.2">
      <c r="A4964" s="8" t="s">
        <v>4987</v>
      </c>
      <c r="B4964" s="2" t="s">
        <v>12465</v>
      </c>
    </row>
    <row r="4965" spans="1:2" x14ac:dyDescent="0.2">
      <c r="A4965" s="8" t="s">
        <v>4988</v>
      </c>
      <c r="B4965" s="2" t="s">
        <v>12465</v>
      </c>
    </row>
    <row r="4966" spans="1:2" x14ac:dyDescent="0.2">
      <c r="A4966" s="8" t="s">
        <v>4989</v>
      </c>
      <c r="B4966" s="2" t="s">
        <v>12465</v>
      </c>
    </row>
    <row r="4967" spans="1:2" x14ac:dyDescent="0.2">
      <c r="A4967" s="8" t="s">
        <v>4990</v>
      </c>
      <c r="B4967" s="2" t="s">
        <v>12465</v>
      </c>
    </row>
    <row r="4968" spans="1:2" x14ac:dyDescent="0.2">
      <c r="A4968" s="8" t="s">
        <v>4991</v>
      </c>
      <c r="B4968" s="2" t="s">
        <v>12465</v>
      </c>
    </row>
    <row r="4969" spans="1:2" x14ac:dyDescent="0.2">
      <c r="A4969" s="8" t="s">
        <v>4992</v>
      </c>
      <c r="B4969" s="2" t="s">
        <v>12465</v>
      </c>
    </row>
    <row r="4970" spans="1:2" x14ac:dyDescent="0.2">
      <c r="A4970" s="8" t="s">
        <v>4993</v>
      </c>
      <c r="B4970" s="2" t="s">
        <v>12465</v>
      </c>
    </row>
    <row r="4971" spans="1:2" x14ac:dyDescent="0.2">
      <c r="A4971" s="8" t="s">
        <v>4994</v>
      </c>
      <c r="B4971" s="2" t="s">
        <v>12465</v>
      </c>
    </row>
    <row r="4972" spans="1:2" x14ac:dyDescent="0.2">
      <c r="A4972" s="8" t="s">
        <v>4995</v>
      </c>
      <c r="B4972" s="2" t="s">
        <v>12465</v>
      </c>
    </row>
    <row r="4973" spans="1:2" x14ac:dyDescent="0.2">
      <c r="A4973" s="8" t="s">
        <v>4996</v>
      </c>
      <c r="B4973" s="2" t="s">
        <v>12465</v>
      </c>
    </row>
    <row r="4974" spans="1:2" x14ac:dyDescent="0.2">
      <c r="A4974" s="8" t="s">
        <v>4997</v>
      </c>
      <c r="B4974" s="2" t="s">
        <v>12465</v>
      </c>
    </row>
    <row r="4975" spans="1:2" x14ac:dyDescent="0.2">
      <c r="A4975" s="8" t="s">
        <v>4998</v>
      </c>
      <c r="B4975" s="2" t="s">
        <v>12465</v>
      </c>
    </row>
    <row r="4976" spans="1:2" x14ac:dyDescent="0.2">
      <c r="A4976" s="8" t="s">
        <v>4999</v>
      </c>
      <c r="B4976" s="2" t="s">
        <v>12465</v>
      </c>
    </row>
    <row r="4977" spans="1:2" x14ac:dyDescent="0.2">
      <c r="A4977" s="8" t="s">
        <v>5000</v>
      </c>
      <c r="B4977" s="2" t="s">
        <v>12465</v>
      </c>
    </row>
    <row r="4978" spans="1:2" x14ac:dyDescent="0.2">
      <c r="A4978" s="8" t="s">
        <v>5001</v>
      </c>
      <c r="B4978" s="2" t="s">
        <v>12465</v>
      </c>
    </row>
    <row r="4979" spans="1:2" x14ac:dyDescent="0.2">
      <c r="A4979" s="8" t="s">
        <v>5002</v>
      </c>
      <c r="B4979" s="2" t="s">
        <v>12465</v>
      </c>
    </row>
    <row r="4980" spans="1:2" x14ac:dyDescent="0.2">
      <c r="A4980" s="8" t="s">
        <v>5003</v>
      </c>
      <c r="B4980" s="2" t="s">
        <v>12465</v>
      </c>
    </row>
    <row r="4981" spans="1:2" x14ac:dyDescent="0.2">
      <c r="A4981" s="8" t="s">
        <v>5004</v>
      </c>
      <c r="B4981" s="2" t="s">
        <v>12465</v>
      </c>
    </row>
    <row r="4982" spans="1:2" x14ac:dyDescent="0.2">
      <c r="A4982" s="8" t="s">
        <v>5005</v>
      </c>
      <c r="B4982" s="2" t="s">
        <v>12465</v>
      </c>
    </row>
    <row r="4983" spans="1:2" x14ac:dyDescent="0.2">
      <c r="A4983" s="8" t="s">
        <v>5006</v>
      </c>
      <c r="B4983" s="2" t="s">
        <v>12465</v>
      </c>
    </row>
    <row r="4984" spans="1:2" x14ac:dyDescent="0.2">
      <c r="A4984" s="8" t="s">
        <v>5007</v>
      </c>
      <c r="B4984" s="2" t="s">
        <v>12465</v>
      </c>
    </row>
    <row r="4985" spans="1:2" x14ac:dyDescent="0.2">
      <c r="A4985" s="8" t="s">
        <v>5008</v>
      </c>
      <c r="B4985" s="2" t="s">
        <v>12465</v>
      </c>
    </row>
    <row r="4986" spans="1:2" x14ac:dyDescent="0.2">
      <c r="A4986" s="8" t="s">
        <v>5009</v>
      </c>
      <c r="B4986" s="2" t="s">
        <v>12465</v>
      </c>
    </row>
    <row r="4987" spans="1:2" x14ac:dyDescent="0.2">
      <c r="A4987" s="8" t="s">
        <v>5010</v>
      </c>
      <c r="B4987" s="2" t="s">
        <v>12465</v>
      </c>
    </row>
    <row r="4988" spans="1:2" x14ac:dyDescent="0.2">
      <c r="A4988" s="8" t="s">
        <v>5011</v>
      </c>
      <c r="B4988" s="2" t="s">
        <v>12465</v>
      </c>
    </row>
    <row r="4989" spans="1:2" x14ac:dyDescent="0.2">
      <c r="A4989" s="8" t="s">
        <v>5012</v>
      </c>
      <c r="B4989" s="2" t="s">
        <v>12465</v>
      </c>
    </row>
    <row r="4990" spans="1:2" x14ac:dyDescent="0.2">
      <c r="A4990" s="8" t="s">
        <v>5013</v>
      </c>
      <c r="B4990" s="2" t="s">
        <v>12465</v>
      </c>
    </row>
    <row r="4991" spans="1:2" x14ac:dyDescent="0.2">
      <c r="A4991" s="8" t="s">
        <v>5014</v>
      </c>
      <c r="B4991" s="2" t="s">
        <v>12465</v>
      </c>
    </row>
    <row r="4992" spans="1:2" x14ac:dyDescent="0.2">
      <c r="A4992" s="8" t="s">
        <v>5015</v>
      </c>
      <c r="B4992" s="2" t="s">
        <v>12465</v>
      </c>
    </row>
    <row r="4993" spans="1:2" x14ac:dyDescent="0.2">
      <c r="A4993" s="8" t="s">
        <v>5016</v>
      </c>
      <c r="B4993" s="2" t="s">
        <v>12465</v>
      </c>
    </row>
    <row r="4994" spans="1:2" x14ac:dyDescent="0.2">
      <c r="A4994" s="8" t="s">
        <v>5017</v>
      </c>
      <c r="B4994" s="2" t="s">
        <v>12465</v>
      </c>
    </row>
    <row r="4995" spans="1:2" x14ac:dyDescent="0.2">
      <c r="A4995" s="8" t="s">
        <v>5018</v>
      </c>
      <c r="B4995" s="2" t="s">
        <v>12465</v>
      </c>
    </row>
    <row r="4996" spans="1:2" x14ac:dyDescent="0.2">
      <c r="A4996" s="8" t="s">
        <v>5019</v>
      </c>
      <c r="B4996" s="2" t="s">
        <v>12465</v>
      </c>
    </row>
    <row r="4997" spans="1:2" x14ac:dyDescent="0.2">
      <c r="A4997" s="8" t="s">
        <v>5020</v>
      </c>
      <c r="B4997" s="2" t="s">
        <v>12465</v>
      </c>
    </row>
    <row r="4998" spans="1:2" x14ac:dyDescent="0.2">
      <c r="A4998" s="8" t="s">
        <v>5021</v>
      </c>
      <c r="B4998" s="2" t="s">
        <v>12465</v>
      </c>
    </row>
    <row r="4999" spans="1:2" x14ac:dyDescent="0.2">
      <c r="A4999" s="8" t="s">
        <v>5022</v>
      </c>
      <c r="B4999" s="2" t="s">
        <v>12465</v>
      </c>
    </row>
    <row r="5000" spans="1:2" x14ac:dyDescent="0.2">
      <c r="A5000" s="8" t="s">
        <v>5023</v>
      </c>
      <c r="B5000" s="2" t="s">
        <v>12465</v>
      </c>
    </row>
    <row r="5001" spans="1:2" x14ac:dyDescent="0.2">
      <c r="A5001" s="8" t="s">
        <v>5024</v>
      </c>
      <c r="B5001" s="2" t="s">
        <v>12465</v>
      </c>
    </row>
    <row r="5002" spans="1:2" x14ac:dyDescent="0.2">
      <c r="A5002" s="8" t="s">
        <v>5025</v>
      </c>
      <c r="B5002" s="2" t="s">
        <v>12465</v>
      </c>
    </row>
    <row r="5003" spans="1:2" x14ac:dyDescent="0.2">
      <c r="A5003" s="8" t="s">
        <v>5026</v>
      </c>
      <c r="B5003" s="2" t="s">
        <v>12465</v>
      </c>
    </row>
    <row r="5004" spans="1:2" x14ac:dyDescent="0.2">
      <c r="A5004" s="8" t="s">
        <v>5027</v>
      </c>
      <c r="B5004" s="2" t="s">
        <v>12465</v>
      </c>
    </row>
    <row r="5005" spans="1:2" x14ac:dyDescent="0.2">
      <c r="A5005" s="8" t="s">
        <v>5028</v>
      </c>
      <c r="B5005" s="2" t="s">
        <v>12465</v>
      </c>
    </row>
    <row r="5006" spans="1:2" x14ac:dyDescent="0.2">
      <c r="A5006" s="8" t="s">
        <v>5029</v>
      </c>
      <c r="B5006" s="2" t="s">
        <v>12465</v>
      </c>
    </row>
    <row r="5007" spans="1:2" x14ac:dyDescent="0.2">
      <c r="A5007" s="8" t="s">
        <v>5030</v>
      </c>
      <c r="B5007" s="2" t="s">
        <v>12465</v>
      </c>
    </row>
    <row r="5008" spans="1:2" x14ac:dyDescent="0.2">
      <c r="A5008" s="8" t="s">
        <v>5031</v>
      </c>
      <c r="B5008" s="2" t="s">
        <v>12465</v>
      </c>
    </row>
    <row r="5009" spans="1:2" x14ac:dyDescent="0.2">
      <c r="A5009" s="8" t="s">
        <v>5032</v>
      </c>
      <c r="B5009" s="2" t="s">
        <v>12465</v>
      </c>
    </row>
    <row r="5010" spans="1:2" x14ac:dyDescent="0.2">
      <c r="A5010" s="8" t="s">
        <v>5033</v>
      </c>
      <c r="B5010" s="2" t="s">
        <v>12465</v>
      </c>
    </row>
    <row r="5011" spans="1:2" x14ac:dyDescent="0.2">
      <c r="A5011" s="8" t="s">
        <v>5034</v>
      </c>
      <c r="B5011" s="2" t="s">
        <v>12465</v>
      </c>
    </row>
    <row r="5012" spans="1:2" x14ac:dyDescent="0.2">
      <c r="A5012" s="8" t="s">
        <v>5035</v>
      </c>
      <c r="B5012" s="2" t="s">
        <v>12465</v>
      </c>
    </row>
    <row r="5013" spans="1:2" x14ac:dyDescent="0.2">
      <c r="A5013" s="8" t="s">
        <v>5036</v>
      </c>
      <c r="B5013" s="2" t="s">
        <v>12465</v>
      </c>
    </row>
    <row r="5014" spans="1:2" x14ac:dyDescent="0.2">
      <c r="A5014" s="8" t="s">
        <v>5037</v>
      </c>
      <c r="B5014" s="2" t="s">
        <v>12465</v>
      </c>
    </row>
    <row r="5015" spans="1:2" x14ac:dyDescent="0.2">
      <c r="A5015" s="8" t="s">
        <v>5038</v>
      </c>
      <c r="B5015" s="2" t="s">
        <v>12465</v>
      </c>
    </row>
    <row r="5016" spans="1:2" x14ac:dyDescent="0.2">
      <c r="A5016" s="8" t="s">
        <v>5039</v>
      </c>
      <c r="B5016" s="2" t="s">
        <v>12465</v>
      </c>
    </row>
    <row r="5017" spans="1:2" x14ac:dyDescent="0.2">
      <c r="A5017" s="8" t="s">
        <v>5040</v>
      </c>
      <c r="B5017" s="2" t="s">
        <v>12465</v>
      </c>
    </row>
    <row r="5018" spans="1:2" x14ac:dyDescent="0.2">
      <c r="A5018" s="8" t="s">
        <v>5041</v>
      </c>
      <c r="B5018" s="2" t="s">
        <v>12465</v>
      </c>
    </row>
    <row r="5019" spans="1:2" x14ac:dyDescent="0.2">
      <c r="A5019" s="8" t="s">
        <v>5042</v>
      </c>
      <c r="B5019" s="2" t="s">
        <v>12465</v>
      </c>
    </row>
    <row r="5020" spans="1:2" x14ac:dyDescent="0.2">
      <c r="A5020" s="8" t="s">
        <v>5043</v>
      </c>
      <c r="B5020" s="2" t="s">
        <v>12465</v>
      </c>
    </row>
    <row r="5021" spans="1:2" x14ac:dyDescent="0.2">
      <c r="A5021" s="8" t="s">
        <v>5044</v>
      </c>
      <c r="B5021" s="2" t="s">
        <v>12465</v>
      </c>
    </row>
    <row r="5022" spans="1:2" x14ac:dyDescent="0.2">
      <c r="A5022" s="8" t="s">
        <v>5045</v>
      </c>
      <c r="B5022" s="2" t="s">
        <v>12465</v>
      </c>
    </row>
    <row r="5023" spans="1:2" x14ac:dyDescent="0.2">
      <c r="A5023" s="8" t="s">
        <v>5046</v>
      </c>
      <c r="B5023" s="2" t="s">
        <v>12465</v>
      </c>
    </row>
    <row r="5024" spans="1:2" x14ac:dyDescent="0.2">
      <c r="A5024" s="8" t="s">
        <v>5047</v>
      </c>
      <c r="B5024" s="2" t="s">
        <v>12465</v>
      </c>
    </row>
    <row r="5025" spans="1:2" x14ac:dyDescent="0.2">
      <c r="A5025" s="8" t="s">
        <v>5048</v>
      </c>
      <c r="B5025" s="2" t="s">
        <v>12465</v>
      </c>
    </row>
    <row r="5026" spans="1:2" x14ac:dyDescent="0.2">
      <c r="A5026" s="8" t="s">
        <v>5049</v>
      </c>
      <c r="B5026" s="2" t="s">
        <v>12465</v>
      </c>
    </row>
    <row r="5027" spans="1:2" x14ac:dyDescent="0.2">
      <c r="A5027" s="8" t="s">
        <v>5050</v>
      </c>
      <c r="B5027" s="2" t="s">
        <v>12465</v>
      </c>
    </row>
    <row r="5028" spans="1:2" x14ac:dyDescent="0.2">
      <c r="A5028" s="8" t="s">
        <v>5051</v>
      </c>
      <c r="B5028" s="2" t="s">
        <v>12465</v>
      </c>
    </row>
    <row r="5029" spans="1:2" x14ac:dyDescent="0.2">
      <c r="A5029" s="8" t="s">
        <v>5052</v>
      </c>
      <c r="B5029" s="2" t="s">
        <v>12465</v>
      </c>
    </row>
    <row r="5030" spans="1:2" x14ac:dyDescent="0.2">
      <c r="A5030" s="8" t="s">
        <v>5053</v>
      </c>
      <c r="B5030" s="2" t="s">
        <v>12465</v>
      </c>
    </row>
    <row r="5031" spans="1:2" x14ac:dyDescent="0.2">
      <c r="A5031" s="8" t="s">
        <v>5054</v>
      </c>
      <c r="B5031" s="2" t="s">
        <v>12465</v>
      </c>
    </row>
    <row r="5032" spans="1:2" x14ac:dyDescent="0.2">
      <c r="A5032" s="8" t="s">
        <v>5055</v>
      </c>
      <c r="B5032" s="2" t="s">
        <v>12465</v>
      </c>
    </row>
    <row r="5033" spans="1:2" x14ac:dyDescent="0.2">
      <c r="A5033" s="8" t="s">
        <v>5056</v>
      </c>
      <c r="B5033" s="2" t="s">
        <v>12465</v>
      </c>
    </row>
    <row r="5034" spans="1:2" x14ac:dyDescent="0.2">
      <c r="A5034" s="8" t="s">
        <v>5057</v>
      </c>
      <c r="B5034" s="2" t="s">
        <v>12465</v>
      </c>
    </row>
    <row r="5035" spans="1:2" x14ac:dyDescent="0.2">
      <c r="A5035" s="8" t="s">
        <v>5058</v>
      </c>
      <c r="B5035" s="2" t="s">
        <v>12465</v>
      </c>
    </row>
    <row r="5036" spans="1:2" x14ac:dyDescent="0.2">
      <c r="A5036" s="8" t="s">
        <v>5059</v>
      </c>
      <c r="B5036" s="2" t="s">
        <v>12465</v>
      </c>
    </row>
    <row r="5037" spans="1:2" x14ac:dyDescent="0.2">
      <c r="A5037" s="8" t="s">
        <v>5060</v>
      </c>
      <c r="B5037" s="2" t="s">
        <v>12465</v>
      </c>
    </row>
    <row r="5038" spans="1:2" x14ac:dyDescent="0.2">
      <c r="A5038" s="8" t="s">
        <v>5061</v>
      </c>
      <c r="B5038" s="2" t="s">
        <v>12465</v>
      </c>
    </row>
    <row r="5039" spans="1:2" x14ac:dyDescent="0.2">
      <c r="A5039" s="8" t="s">
        <v>5062</v>
      </c>
      <c r="B5039" s="2" t="s">
        <v>12465</v>
      </c>
    </row>
    <row r="5040" spans="1:2" x14ac:dyDescent="0.2">
      <c r="A5040" s="8" t="s">
        <v>5063</v>
      </c>
      <c r="B5040" s="2" t="s">
        <v>12465</v>
      </c>
    </row>
    <row r="5041" spans="1:2" x14ac:dyDescent="0.2">
      <c r="A5041" s="8" t="s">
        <v>5064</v>
      </c>
      <c r="B5041" s="2" t="s">
        <v>12465</v>
      </c>
    </row>
    <row r="5042" spans="1:2" x14ac:dyDescent="0.2">
      <c r="A5042" s="8" t="s">
        <v>5065</v>
      </c>
      <c r="B5042" s="2" t="s">
        <v>12465</v>
      </c>
    </row>
    <row r="5043" spans="1:2" x14ac:dyDescent="0.2">
      <c r="A5043" s="8" t="s">
        <v>5066</v>
      </c>
      <c r="B5043" s="2" t="s">
        <v>12465</v>
      </c>
    </row>
    <row r="5044" spans="1:2" x14ac:dyDescent="0.2">
      <c r="A5044" s="8" t="s">
        <v>5067</v>
      </c>
      <c r="B5044" s="2" t="s">
        <v>12465</v>
      </c>
    </row>
    <row r="5045" spans="1:2" x14ac:dyDescent="0.2">
      <c r="A5045" s="8" t="s">
        <v>5068</v>
      </c>
      <c r="B5045" s="2" t="s">
        <v>12465</v>
      </c>
    </row>
    <row r="5046" spans="1:2" x14ac:dyDescent="0.2">
      <c r="A5046" s="8" t="s">
        <v>5069</v>
      </c>
      <c r="B5046" s="2" t="s">
        <v>12465</v>
      </c>
    </row>
    <row r="5047" spans="1:2" x14ac:dyDescent="0.2">
      <c r="A5047" s="8" t="s">
        <v>5070</v>
      </c>
      <c r="B5047" s="2" t="s">
        <v>12465</v>
      </c>
    </row>
    <row r="5048" spans="1:2" x14ac:dyDescent="0.2">
      <c r="A5048" s="8" t="s">
        <v>5071</v>
      </c>
      <c r="B5048" s="2" t="s">
        <v>12465</v>
      </c>
    </row>
    <row r="5049" spans="1:2" x14ac:dyDescent="0.2">
      <c r="A5049" s="8" t="s">
        <v>5072</v>
      </c>
      <c r="B5049" s="2" t="s">
        <v>12465</v>
      </c>
    </row>
    <row r="5050" spans="1:2" x14ac:dyDescent="0.2">
      <c r="A5050" s="8" t="s">
        <v>5073</v>
      </c>
      <c r="B5050" s="2" t="s">
        <v>12465</v>
      </c>
    </row>
    <row r="5051" spans="1:2" x14ac:dyDescent="0.2">
      <c r="A5051" s="8" t="s">
        <v>5074</v>
      </c>
      <c r="B5051" s="2" t="s">
        <v>12465</v>
      </c>
    </row>
    <row r="5052" spans="1:2" x14ac:dyDescent="0.2">
      <c r="A5052" s="8" t="s">
        <v>5075</v>
      </c>
      <c r="B5052" s="2" t="s">
        <v>12465</v>
      </c>
    </row>
    <row r="5053" spans="1:2" x14ac:dyDescent="0.2">
      <c r="A5053" s="8" t="s">
        <v>5076</v>
      </c>
      <c r="B5053" s="2" t="s">
        <v>12465</v>
      </c>
    </row>
    <row r="5054" spans="1:2" x14ac:dyDescent="0.2">
      <c r="A5054" s="8" t="s">
        <v>5077</v>
      </c>
      <c r="B5054" s="2" t="s">
        <v>12465</v>
      </c>
    </row>
    <row r="5055" spans="1:2" x14ac:dyDescent="0.2">
      <c r="A5055" s="8" t="s">
        <v>5078</v>
      </c>
      <c r="B5055" s="2" t="s">
        <v>12465</v>
      </c>
    </row>
    <row r="5056" spans="1:2" x14ac:dyDescent="0.2">
      <c r="A5056" s="8" t="s">
        <v>5079</v>
      </c>
      <c r="B5056" s="2" t="s">
        <v>12465</v>
      </c>
    </row>
    <row r="5057" spans="1:2" x14ac:dyDescent="0.2">
      <c r="A5057" s="8" t="s">
        <v>5080</v>
      </c>
      <c r="B5057" s="2" t="s">
        <v>12465</v>
      </c>
    </row>
    <row r="5058" spans="1:2" x14ac:dyDescent="0.2">
      <c r="A5058" s="8" t="s">
        <v>5081</v>
      </c>
      <c r="B5058" s="2" t="s">
        <v>12465</v>
      </c>
    </row>
    <row r="5059" spans="1:2" x14ac:dyDescent="0.2">
      <c r="A5059" s="8" t="s">
        <v>5082</v>
      </c>
      <c r="B5059" s="2" t="s">
        <v>12465</v>
      </c>
    </row>
    <row r="5060" spans="1:2" x14ac:dyDescent="0.2">
      <c r="A5060" s="8" t="s">
        <v>5083</v>
      </c>
      <c r="B5060" s="2" t="s">
        <v>12465</v>
      </c>
    </row>
    <row r="5061" spans="1:2" x14ac:dyDescent="0.2">
      <c r="A5061" s="8" t="s">
        <v>5084</v>
      </c>
      <c r="B5061" s="2" t="s">
        <v>12465</v>
      </c>
    </row>
    <row r="5062" spans="1:2" x14ac:dyDescent="0.2">
      <c r="A5062" s="8" t="s">
        <v>5085</v>
      </c>
      <c r="B5062" s="2" t="s">
        <v>12465</v>
      </c>
    </row>
    <row r="5063" spans="1:2" x14ac:dyDescent="0.2">
      <c r="A5063" s="8" t="s">
        <v>5086</v>
      </c>
      <c r="B5063" s="2" t="s">
        <v>12465</v>
      </c>
    </row>
    <row r="5064" spans="1:2" x14ac:dyDescent="0.2">
      <c r="A5064" s="8" t="s">
        <v>5087</v>
      </c>
      <c r="B5064" s="2" t="s">
        <v>12465</v>
      </c>
    </row>
    <row r="5065" spans="1:2" x14ac:dyDescent="0.2">
      <c r="A5065" s="8" t="s">
        <v>5088</v>
      </c>
      <c r="B5065" s="2" t="s">
        <v>12466</v>
      </c>
    </row>
    <row r="5066" spans="1:2" x14ac:dyDescent="0.2">
      <c r="A5066" s="8" t="s">
        <v>5089</v>
      </c>
      <c r="B5066" s="2" t="s">
        <v>12466</v>
      </c>
    </row>
    <row r="5067" spans="1:2" x14ac:dyDescent="0.2">
      <c r="A5067" s="8" t="s">
        <v>5090</v>
      </c>
      <c r="B5067" s="2" t="s">
        <v>12466</v>
      </c>
    </row>
    <row r="5068" spans="1:2" x14ac:dyDescent="0.2">
      <c r="A5068" s="8" t="s">
        <v>5091</v>
      </c>
      <c r="B5068" s="2" t="s">
        <v>12466</v>
      </c>
    </row>
    <row r="5069" spans="1:2" x14ac:dyDescent="0.2">
      <c r="A5069" s="8" t="s">
        <v>5092</v>
      </c>
      <c r="B5069" s="2" t="s">
        <v>12466</v>
      </c>
    </row>
    <row r="5070" spans="1:2" x14ac:dyDescent="0.2">
      <c r="A5070" s="8" t="s">
        <v>5093</v>
      </c>
      <c r="B5070" s="2" t="s">
        <v>12466</v>
      </c>
    </row>
    <row r="5071" spans="1:2" x14ac:dyDescent="0.2">
      <c r="A5071" s="8" t="s">
        <v>5094</v>
      </c>
      <c r="B5071" s="2" t="s">
        <v>12466</v>
      </c>
    </row>
    <row r="5072" spans="1:2" x14ac:dyDescent="0.2">
      <c r="A5072" s="8" t="s">
        <v>5095</v>
      </c>
      <c r="B5072" s="2" t="s">
        <v>12466</v>
      </c>
    </row>
    <row r="5073" spans="1:2" x14ac:dyDescent="0.2">
      <c r="A5073" s="8" t="s">
        <v>5096</v>
      </c>
      <c r="B5073" s="2" t="s">
        <v>12466</v>
      </c>
    </row>
    <row r="5074" spans="1:2" x14ac:dyDescent="0.2">
      <c r="A5074" s="8" t="s">
        <v>5097</v>
      </c>
      <c r="B5074" s="2" t="s">
        <v>12466</v>
      </c>
    </row>
    <row r="5075" spans="1:2" x14ac:dyDescent="0.2">
      <c r="A5075" s="8" t="s">
        <v>5098</v>
      </c>
      <c r="B5075" s="2" t="s">
        <v>12466</v>
      </c>
    </row>
    <row r="5076" spans="1:2" x14ac:dyDescent="0.2">
      <c r="A5076" s="8" t="s">
        <v>5099</v>
      </c>
      <c r="B5076" s="2" t="s">
        <v>12466</v>
      </c>
    </row>
    <row r="5077" spans="1:2" x14ac:dyDescent="0.2">
      <c r="A5077" s="8" t="s">
        <v>5100</v>
      </c>
      <c r="B5077" s="2" t="s">
        <v>12466</v>
      </c>
    </row>
    <row r="5078" spans="1:2" x14ac:dyDescent="0.2">
      <c r="A5078" s="8" t="s">
        <v>5101</v>
      </c>
      <c r="B5078" s="2" t="s">
        <v>12466</v>
      </c>
    </row>
    <row r="5079" spans="1:2" x14ac:dyDescent="0.2">
      <c r="A5079" s="8" t="s">
        <v>5102</v>
      </c>
      <c r="B5079" s="2" t="s">
        <v>12466</v>
      </c>
    </row>
    <row r="5080" spans="1:2" x14ac:dyDescent="0.2">
      <c r="A5080" s="8" t="s">
        <v>5103</v>
      </c>
      <c r="B5080" s="2" t="s">
        <v>12466</v>
      </c>
    </row>
    <row r="5081" spans="1:2" x14ac:dyDescent="0.2">
      <c r="A5081" s="8" t="s">
        <v>5104</v>
      </c>
      <c r="B5081" s="2" t="s">
        <v>12466</v>
      </c>
    </row>
    <row r="5082" spans="1:2" x14ac:dyDescent="0.2">
      <c r="A5082" s="8" t="s">
        <v>5105</v>
      </c>
      <c r="B5082" s="2" t="s">
        <v>12466</v>
      </c>
    </row>
    <row r="5083" spans="1:2" x14ac:dyDescent="0.2">
      <c r="A5083" s="8" t="s">
        <v>5106</v>
      </c>
      <c r="B5083" s="2" t="s">
        <v>12466</v>
      </c>
    </row>
    <row r="5084" spans="1:2" x14ac:dyDescent="0.2">
      <c r="A5084" s="8" t="s">
        <v>5107</v>
      </c>
      <c r="B5084" s="2" t="s">
        <v>12466</v>
      </c>
    </row>
    <row r="5085" spans="1:2" x14ac:dyDescent="0.2">
      <c r="A5085" s="8" t="s">
        <v>5108</v>
      </c>
      <c r="B5085" s="2" t="s">
        <v>12466</v>
      </c>
    </row>
    <row r="5086" spans="1:2" x14ac:dyDescent="0.2">
      <c r="A5086" s="8" t="s">
        <v>5109</v>
      </c>
      <c r="B5086" s="2" t="s">
        <v>12466</v>
      </c>
    </row>
    <row r="5087" spans="1:2" x14ac:dyDescent="0.2">
      <c r="A5087" s="8" t="s">
        <v>5110</v>
      </c>
      <c r="B5087" s="2" t="s">
        <v>12466</v>
      </c>
    </row>
    <row r="5088" spans="1:2" x14ac:dyDescent="0.2">
      <c r="A5088" s="8" t="s">
        <v>5111</v>
      </c>
      <c r="B5088" s="2" t="s">
        <v>12466</v>
      </c>
    </row>
    <row r="5089" spans="1:2" x14ac:dyDescent="0.2">
      <c r="A5089" s="8" t="s">
        <v>5112</v>
      </c>
      <c r="B5089" s="2" t="s">
        <v>12466</v>
      </c>
    </row>
    <row r="5090" spans="1:2" x14ac:dyDescent="0.2">
      <c r="A5090" s="8" t="s">
        <v>5113</v>
      </c>
      <c r="B5090" s="2" t="s">
        <v>12466</v>
      </c>
    </row>
    <row r="5091" spans="1:2" x14ac:dyDescent="0.2">
      <c r="A5091" s="8" t="s">
        <v>5114</v>
      </c>
      <c r="B5091" s="2" t="s">
        <v>12466</v>
      </c>
    </row>
    <row r="5092" spans="1:2" x14ac:dyDescent="0.2">
      <c r="A5092" s="8" t="s">
        <v>5115</v>
      </c>
      <c r="B5092" s="2" t="s">
        <v>12466</v>
      </c>
    </row>
    <row r="5093" spans="1:2" x14ac:dyDescent="0.2">
      <c r="A5093" s="8" t="s">
        <v>5116</v>
      </c>
      <c r="B5093" s="2" t="s">
        <v>12466</v>
      </c>
    </row>
    <row r="5094" spans="1:2" x14ac:dyDescent="0.2">
      <c r="A5094" s="8" t="s">
        <v>5117</v>
      </c>
      <c r="B5094" s="2" t="s">
        <v>12466</v>
      </c>
    </row>
    <row r="5095" spans="1:2" x14ac:dyDescent="0.2">
      <c r="A5095" s="8" t="s">
        <v>5118</v>
      </c>
      <c r="B5095" s="2" t="s">
        <v>12466</v>
      </c>
    </row>
    <row r="5096" spans="1:2" x14ac:dyDescent="0.2">
      <c r="A5096" s="8" t="s">
        <v>5119</v>
      </c>
      <c r="B5096" s="2" t="s">
        <v>12466</v>
      </c>
    </row>
    <row r="5097" spans="1:2" x14ac:dyDescent="0.2">
      <c r="A5097" s="8" t="s">
        <v>5120</v>
      </c>
      <c r="B5097" s="2" t="s">
        <v>12466</v>
      </c>
    </row>
    <row r="5098" spans="1:2" x14ac:dyDescent="0.2">
      <c r="A5098" s="8" t="s">
        <v>5121</v>
      </c>
      <c r="B5098" s="2" t="s">
        <v>12466</v>
      </c>
    </row>
    <row r="5099" spans="1:2" x14ac:dyDescent="0.2">
      <c r="A5099" s="8" t="s">
        <v>5122</v>
      </c>
      <c r="B5099" s="2" t="s">
        <v>12466</v>
      </c>
    </row>
    <row r="5100" spans="1:2" x14ac:dyDescent="0.2">
      <c r="A5100" s="8" t="s">
        <v>5123</v>
      </c>
      <c r="B5100" s="2" t="s">
        <v>12466</v>
      </c>
    </row>
    <row r="5101" spans="1:2" x14ac:dyDescent="0.2">
      <c r="A5101" s="8" t="s">
        <v>5124</v>
      </c>
      <c r="B5101" s="2" t="s">
        <v>12466</v>
      </c>
    </row>
    <row r="5102" spans="1:2" x14ac:dyDescent="0.2">
      <c r="A5102" s="8" t="s">
        <v>5125</v>
      </c>
      <c r="B5102" s="2" t="s">
        <v>12466</v>
      </c>
    </row>
    <row r="5103" spans="1:2" x14ac:dyDescent="0.2">
      <c r="A5103" s="8" t="s">
        <v>5126</v>
      </c>
      <c r="B5103" s="2" t="s">
        <v>12466</v>
      </c>
    </row>
    <row r="5104" spans="1:2" x14ac:dyDescent="0.2">
      <c r="A5104" s="8" t="s">
        <v>5127</v>
      </c>
      <c r="B5104" s="2" t="s">
        <v>12466</v>
      </c>
    </row>
    <row r="5105" spans="1:2" x14ac:dyDescent="0.2">
      <c r="A5105" s="8" t="s">
        <v>5128</v>
      </c>
      <c r="B5105" s="2" t="s">
        <v>12466</v>
      </c>
    </row>
    <row r="5106" spans="1:2" x14ac:dyDescent="0.2">
      <c r="A5106" s="8" t="s">
        <v>5129</v>
      </c>
      <c r="B5106" s="2" t="s">
        <v>12466</v>
      </c>
    </row>
    <row r="5107" spans="1:2" x14ac:dyDescent="0.2">
      <c r="A5107" s="8" t="s">
        <v>5130</v>
      </c>
      <c r="B5107" s="2" t="s">
        <v>12466</v>
      </c>
    </row>
    <row r="5108" spans="1:2" x14ac:dyDescent="0.2">
      <c r="A5108" s="8" t="s">
        <v>5131</v>
      </c>
      <c r="B5108" s="2" t="s">
        <v>12466</v>
      </c>
    </row>
    <row r="5109" spans="1:2" x14ac:dyDescent="0.2">
      <c r="A5109" s="8" t="s">
        <v>5132</v>
      </c>
      <c r="B5109" s="2" t="s">
        <v>12466</v>
      </c>
    </row>
    <row r="5110" spans="1:2" x14ac:dyDescent="0.2">
      <c r="A5110" s="8" t="s">
        <v>5133</v>
      </c>
      <c r="B5110" s="2" t="s">
        <v>12466</v>
      </c>
    </row>
    <row r="5111" spans="1:2" x14ac:dyDescent="0.2">
      <c r="A5111" s="8" t="s">
        <v>5134</v>
      </c>
      <c r="B5111" s="2" t="s">
        <v>12466</v>
      </c>
    </row>
    <row r="5112" spans="1:2" x14ac:dyDescent="0.2">
      <c r="A5112" s="8" t="s">
        <v>5135</v>
      </c>
      <c r="B5112" s="2" t="s">
        <v>12466</v>
      </c>
    </row>
    <row r="5113" spans="1:2" x14ac:dyDescent="0.2">
      <c r="A5113" s="8" t="s">
        <v>5136</v>
      </c>
      <c r="B5113" s="2" t="s">
        <v>12466</v>
      </c>
    </row>
    <row r="5114" spans="1:2" x14ac:dyDescent="0.2">
      <c r="A5114" s="8" t="s">
        <v>5137</v>
      </c>
      <c r="B5114" s="2" t="s">
        <v>12466</v>
      </c>
    </row>
    <row r="5115" spans="1:2" x14ac:dyDescent="0.2">
      <c r="A5115" s="8" t="s">
        <v>5138</v>
      </c>
      <c r="B5115" s="2" t="s">
        <v>12466</v>
      </c>
    </row>
    <row r="5116" spans="1:2" x14ac:dyDescent="0.2">
      <c r="A5116" s="8" t="s">
        <v>5139</v>
      </c>
      <c r="B5116" s="2" t="s">
        <v>12466</v>
      </c>
    </row>
    <row r="5117" spans="1:2" x14ac:dyDescent="0.2">
      <c r="A5117" s="8" t="s">
        <v>5140</v>
      </c>
      <c r="B5117" s="2" t="s">
        <v>12466</v>
      </c>
    </row>
    <row r="5118" spans="1:2" x14ac:dyDescent="0.2">
      <c r="A5118" s="8" t="s">
        <v>5141</v>
      </c>
      <c r="B5118" s="2" t="s">
        <v>12466</v>
      </c>
    </row>
    <row r="5119" spans="1:2" x14ac:dyDescent="0.2">
      <c r="A5119" s="8" t="s">
        <v>5142</v>
      </c>
      <c r="B5119" s="2" t="s">
        <v>12466</v>
      </c>
    </row>
    <row r="5120" spans="1:2" x14ac:dyDescent="0.2">
      <c r="A5120" s="8" t="s">
        <v>5143</v>
      </c>
      <c r="B5120" s="2" t="s">
        <v>12466</v>
      </c>
    </row>
    <row r="5121" spans="1:2" x14ac:dyDescent="0.2">
      <c r="A5121" s="8" t="s">
        <v>5144</v>
      </c>
      <c r="B5121" s="2" t="s">
        <v>12466</v>
      </c>
    </row>
    <row r="5122" spans="1:2" x14ac:dyDescent="0.2">
      <c r="A5122" s="8" t="s">
        <v>5145</v>
      </c>
      <c r="B5122" s="2" t="s">
        <v>12466</v>
      </c>
    </row>
    <row r="5123" spans="1:2" x14ac:dyDescent="0.2">
      <c r="A5123" s="8" t="s">
        <v>5146</v>
      </c>
      <c r="B5123" s="2" t="s">
        <v>12466</v>
      </c>
    </row>
    <row r="5124" spans="1:2" x14ac:dyDescent="0.2">
      <c r="A5124" s="8" t="s">
        <v>5147</v>
      </c>
      <c r="B5124" s="2" t="s">
        <v>12466</v>
      </c>
    </row>
    <row r="5125" spans="1:2" x14ac:dyDescent="0.2">
      <c r="A5125" s="8" t="s">
        <v>5148</v>
      </c>
      <c r="B5125" s="2" t="s">
        <v>12466</v>
      </c>
    </row>
    <row r="5126" spans="1:2" x14ac:dyDescent="0.2">
      <c r="A5126" s="8" t="s">
        <v>5149</v>
      </c>
      <c r="B5126" s="2" t="s">
        <v>12466</v>
      </c>
    </row>
    <row r="5127" spans="1:2" x14ac:dyDescent="0.2">
      <c r="A5127" s="8" t="s">
        <v>5150</v>
      </c>
      <c r="B5127" s="2" t="s">
        <v>12466</v>
      </c>
    </row>
    <row r="5128" spans="1:2" x14ac:dyDescent="0.2">
      <c r="A5128" s="8" t="s">
        <v>5151</v>
      </c>
      <c r="B5128" s="2" t="s">
        <v>12466</v>
      </c>
    </row>
    <row r="5129" spans="1:2" x14ac:dyDescent="0.2">
      <c r="A5129" s="8" t="s">
        <v>5152</v>
      </c>
      <c r="B5129" s="2" t="s">
        <v>12466</v>
      </c>
    </row>
    <row r="5130" spans="1:2" x14ac:dyDescent="0.2">
      <c r="A5130" s="8" t="s">
        <v>5153</v>
      </c>
      <c r="B5130" s="2" t="s">
        <v>12466</v>
      </c>
    </row>
    <row r="5131" spans="1:2" x14ac:dyDescent="0.2">
      <c r="A5131" s="8" t="s">
        <v>5154</v>
      </c>
      <c r="B5131" s="2" t="s">
        <v>12466</v>
      </c>
    </row>
    <row r="5132" spans="1:2" x14ac:dyDescent="0.2">
      <c r="A5132" s="8" t="s">
        <v>5155</v>
      </c>
      <c r="B5132" s="2" t="s">
        <v>12466</v>
      </c>
    </row>
    <row r="5133" spans="1:2" x14ac:dyDescent="0.2">
      <c r="A5133" s="8" t="s">
        <v>5156</v>
      </c>
      <c r="B5133" s="2" t="s">
        <v>12466</v>
      </c>
    </row>
    <row r="5134" spans="1:2" x14ac:dyDescent="0.2">
      <c r="A5134" s="8" t="s">
        <v>5157</v>
      </c>
      <c r="B5134" s="2" t="s">
        <v>12466</v>
      </c>
    </row>
    <row r="5135" spans="1:2" x14ac:dyDescent="0.2">
      <c r="A5135" s="8" t="s">
        <v>5158</v>
      </c>
      <c r="B5135" s="2" t="s">
        <v>12466</v>
      </c>
    </row>
    <row r="5136" spans="1:2" x14ac:dyDescent="0.2">
      <c r="A5136" s="8" t="s">
        <v>5159</v>
      </c>
      <c r="B5136" s="2" t="s">
        <v>12466</v>
      </c>
    </row>
    <row r="5137" spans="1:2" x14ac:dyDescent="0.2">
      <c r="A5137" s="8" t="s">
        <v>5160</v>
      </c>
      <c r="B5137" s="2" t="s">
        <v>12466</v>
      </c>
    </row>
    <row r="5138" spans="1:2" x14ac:dyDescent="0.2">
      <c r="A5138" s="8" t="s">
        <v>5161</v>
      </c>
      <c r="B5138" s="2" t="s">
        <v>12466</v>
      </c>
    </row>
    <row r="5139" spans="1:2" x14ac:dyDescent="0.2">
      <c r="A5139" s="8" t="s">
        <v>5162</v>
      </c>
      <c r="B5139" s="2" t="s">
        <v>12466</v>
      </c>
    </row>
    <row r="5140" spans="1:2" x14ac:dyDescent="0.2">
      <c r="A5140" s="8" t="s">
        <v>5163</v>
      </c>
      <c r="B5140" s="2" t="s">
        <v>12466</v>
      </c>
    </row>
    <row r="5141" spans="1:2" x14ac:dyDescent="0.2">
      <c r="A5141" s="8" t="s">
        <v>5164</v>
      </c>
      <c r="B5141" s="2" t="s">
        <v>12466</v>
      </c>
    </row>
    <row r="5142" spans="1:2" x14ac:dyDescent="0.2">
      <c r="A5142" s="8" t="s">
        <v>5165</v>
      </c>
      <c r="B5142" s="2" t="s">
        <v>12466</v>
      </c>
    </row>
    <row r="5143" spans="1:2" x14ac:dyDescent="0.2">
      <c r="A5143" s="8" t="s">
        <v>5166</v>
      </c>
      <c r="B5143" s="2" t="s">
        <v>12466</v>
      </c>
    </row>
    <row r="5144" spans="1:2" x14ac:dyDescent="0.2">
      <c r="A5144" s="8" t="s">
        <v>5167</v>
      </c>
      <c r="B5144" s="2" t="s">
        <v>12466</v>
      </c>
    </row>
    <row r="5145" spans="1:2" x14ac:dyDescent="0.2">
      <c r="A5145" s="8" t="s">
        <v>5168</v>
      </c>
      <c r="B5145" s="2" t="s">
        <v>12466</v>
      </c>
    </row>
    <row r="5146" spans="1:2" x14ac:dyDescent="0.2">
      <c r="A5146" s="8" t="s">
        <v>5169</v>
      </c>
      <c r="B5146" s="2" t="s">
        <v>12466</v>
      </c>
    </row>
    <row r="5147" spans="1:2" x14ac:dyDescent="0.2">
      <c r="A5147" s="8" t="s">
        <v>5170</v>
      </c>
      <c r="B5147" s="2" t="s">
        <v>12466</v>
      </c>
    </row>
    <row r="5148" spans="1:2" x14ac:dyDescent="0.2">
      <c r="A5148" s="8" t="s">
        <v>5171</v>
      </c>
      <c r="B5148" s="2" t="s">
        <v>12466</v>
      </c>
    </row>
    <row r="5149" spans="1:2" x14ac:dyDescent="0.2">
      <c r="A5149" s="8" t="s">
        <v>5172</v>
      </c>
      <c r="B5149" s="2" t="s">
        <v>12466</v>
      </c>
    </row>
    <row r="5150" spans="1:2" x14ac:dyDescent="0.2">
      <c r="A5150" s="8" t="s">
        <v>5173</v>
      </c>
      <c r="B5150" s="2" t="s">
        <v>12466</v>
      </c>
    </row>
    <row r="5151" spans="1:2" x14ac:dyDescent="0.2">
      <c r="A5151" s="8" t="s">
        <v>5174</v>
      </c>
      <c r="B5151" s="2" t="s">
        <v>12466</v>
      </c>
    </row>
    <row r="5152" spans="1:2" x14ac:dyDescent="0.2">
      <c r="A5152" s="8" t="s">
        <v>5175</v>
      </c>
      <c r="B5152" s="2" t="s">
        <v>12466</v>
      </c>
    </row>
    <row r="5153" spans="1:2" x14ac:dyDescent="0.2">
      <c r="A5153" s="8" t="s">
        <v>5176</v>
      </c>
      <c r="B5153" s="2" t="s">
        <v>12466</v>
      </c>
    </row>
    <row r="5154" spans="1:2" x14ac:dyDescent="0.2">
      <c r="A5154" s="8" t="s">
        <v>5177</v>
      </c>
      <c r="B5154" s="2" t="s">
        <v>12466</v>
      </c>
    </row>
    <row r="5155" spans="1:2" x14ac:dyDescent="0.2">
      <c r="A5155" s="8" t="s">
        <v>5178</v>
      </c>
      <c r="B5155" s="2" t="s">
        <v>12466</v>
      </c>
    </row>
    <row r="5156" spans="1:2" x14ac:dyDescent="0.2">
      <c r="A5156" s="8" t="s">
        <v>5179</v>
      </c>
      <c r="B5156" s="2" t="s">
        <v>12466</v>
      </c>
    </row>
    <row r="5157" spans="1:2" x14ac:dyDescent="0.2">
      <c r="A5157" s="8" t="s">
        <v>5180</v>
      </c>
      <c r="B5157" s="2" t="s">
        <v>12466</v>
      </c>
    </row>
    <row r="5158" spans="1:2" x14ac:dyDescent="0.2">
      <c r="A5158" s="8" t="s">
        <v>5181</v>
      </c>
      <c r="B5158" s="2" t="s">
        <v>12466</v>
      </c>
    </row>
    <row r="5159" spans="1:2" x14ac:dyDescent="0.2">
      <c r="A5159" s="8" t="s">
        <v>5182</v>
      </c>
      <c r="B5159" s="2" t="s">
        <v>12466</v>
      </c>
    </row>
    <row r="5160" spans="1:2" x14ac:dyDescent="0.2">
      <c r="A5160" s="8" t="s">
        <v>5183</v>
      </c>
      <c r="B5160" s="2" t="s">
        <v>12466</v>
      </c>
    </row>
    <row r="5161" spans="1:2" x14ac:dyDescent="0.2">
      <c r="A5161" s="8" t="s">
        <v>5184</v>
      </c>
      <c r="B5161" s="2" t="s">
        <v>12466</v>
      </c>
    </row>
    <row r="5162" spans="1:2" x14ac:dyDescent="0.2">
      <c r="A5162" s="8" t="s">
        <v>5185</v>
      </c>
      <c r="B5162" s="2" t="s">
        <v>12466</v>
      </c>
    </row>
    <row r="5163" spans="1:2" x14ac:dyDescent="0.2">
      <c r="A5163" s="8" t="s">
        <v>5186</v>
      </c>
      <c r="B5163" s="2" t="s">
        <v>12466</v>
      </c>
    </row>
    <row r="5164" spans="1:2" x14ac:dyDescent="0.2">
      <c r="A5164" s="8" t="s">
        <v>5187</v>
      </c>
      <c r="B5164" s="2" t="s">
        <v>12466</v>
      </c>
    </row>
    <row r="5165" spans="1:2" x14ac:dyDescent="0.2">
      <c r="A5165" s="8" t="s">
        <v>5188</v>
      </c>
      <c r="B5165" s="2" t="s">
        <v>12466</v>
      </c>
    </row>
    <row r="5166" spans="1:2" x14ac:dyDescent="0.2">
      <c r="A5166" s="8" t="s">
        <v>5189</v>
      </c>
      <c r="B5166" s="2" t="s">
        <v>12466</v>
      </c>
    </row>
    <row r="5167" spans="1:2" x14ac:dyDescent="0.2">
      <c r="A5167" s="8" t="s">
        <v>5190</v>
      </c>
      <c r="B5167" s="2" t="s">
        <v>12466</v>
      </c>
    </row>
    <row r="5168" spans="1:2" x14ac:dyDescent="0.2">
      <c r="A5168" s="8" t="s">
        <v>5191</v>
      </c>
      <c r="B5168" s="2" t="s">
        <v>12466</v>
      </c>
    </row>
    <row r="5169" spans="1:2" x14ac:dyDescent="0.2">
      <c r="A5169" s="8" t="s">
        <v>5192</v>
      </c>
      <c r="B5169" s="2" t="s">
        <v>12466</v>
      </c>
    </row>
    <row r="5170" spans="1:2" x14ac:dyDescent="0.2">
      <c r="A5170" s="8" t="s">
        <v>5193</v>
      </c>
      <c r="B5170" s="2" t="s">
        <v>12466</v>
      </c>
    </row>
    <row r="5171" spans="1:2" x14ac:dyDescent="0.2">
      <c r="A5171" s="8" t="s">
        <v>5194</v>
      </c>
      <c r="B5171" s="2" t="s">
        <v>12466</v>
      </c>
    </row>
    <row r="5172" spans="1:2" x14ac:dyDescent="0.2">
      <c r="A5172" s="8" t="s">
        <v>5195</v>
      </c>
      <c r="B5172" s="2" t="s">
        <v>12466</v>
      </c>
    </row>
    <row r="5173" spans="1:2" x14ac:dyDescent="0.2">
      <c r="A5173" s="8" t="s">
        <v>5196</v>
      </c>
      <c r="B5173" s="2" t="s">
        <v>12466</v>
      </c>
    </row>
    <row r="5174" spans="1:2" x14ac:dyDescent="0.2">
      <c r="A5174" s="8" t="s">
        <v>5197</v>
      </c>
      <c r="B5174" s="2" t="s">
        <v>12466</v>
      </c>
    </row>
    <row r="5175" spans="1:2" x14ac:dyDescent="0.2">
      <c r="A5175" s="8" t="s">
        <v>5198</v>
      </c>
      <c r="B5175" s="2" t="s">
        <v>12466</v>
      </c>
    </row>
    <row r="5176" spans="1:2" x14ac:dyDescent="0.2">
      <c r="A5176" s="8" t="s">
        <v>5199</v>
      </c>
      <c r="B5176" s="2" t="s">
        <v>12466</v>
      </c>
    </row>
    <row r="5177" spans="1:2" x14ac:dyDescent="0.2">
      <c r="A5177" s="8" t="s">
        <v>5200</v>
      </c>
      <c r="B5177" s="2" t="s">
        <v>12466</v>
      </c>
    </row>
    <row r="5178" spans="1:2" x14ac:dyDescent="0.2">
      <c r="A5178" s="8" t="s">
        <v>5201</v>
      </c>
      <c r="B5178" s="2" t="s">
        <v>12466</v>
      </c>
    </row>
    <row r="5179" spans="1:2" x14ac:dyDescent="0.2">
      <c r="A5179" s="8" t="s">
        <v>5202</v>
      </c>
      <c r="B5179" s="2" t="s">
        <v>12466</v>
      </c>
    </row>
    <row r="5180" spans="1:2" x14ac:dyDescent="0.2">
      <c r="A5180" s="8" t="s">
        <v>5203</v>
      </c>
      <c r="B5180" s="2" t="s">
        <v>12466</v>
      </c>
    </row>
    <row r="5181" spans="1:2" x14ac:dyDescent="0.2">
      <c r="A5181" s="8" t="s">
        <v>5204</v>
      </c>
      <c r="B5181" s="2" t="s">
        <v>12466</v>
      </c>
    </row>
    <row r="5182" spans="1:2" x14ac:dyDescent="0.2">
      <c r="A5182" s="8" t="s">
        <v>5205</v>
      </c>
      <c r="B5182" s="2" t="s">
        <v>12466</v>
      </c>
    </row>
    <row r="5183" spans="1:2" x14ac:dyDescent="0.2">
      <c r="A5183" s="8" t="s">
        <v>5206</v>
      </c>
      <c r="B5183" s="2" t="s">
        <v>12466</v>
      </c>
    </row>
    <row r="5184" spans="1:2" x14ac:dyDescent="0.2">
      <c r="A5184" s="8" t="s">
        <v>5207</v>
      </c>
      <c r="B5184" s="2" t="s">
        <v>12466</v>
      </c>
    </row>
    <row r="5185" spans="1:2" x14ac:dyDescent="0.2">
      <c r="A5185" s="8" t="s">
        <v>5208</v>
      </c>
      <c r="B5185" s="2" t="s">
        <v>12466</v>
      </c>
    </row>
    <row r="5186" spans="1:2" x14ac:dyDescent="0.2">
      <c r="A5186" s="8" t="s">
        <v>5209</v>
      </c>
      <c r="B5186" s="2" t="s">
        <v>12466</v>
      </c>
    </row>
    <row r="5187" spans="1:2" x14ac:dyDescent="0.2">
      <c r="A5187" s="8" t="s">
        <v>5210</v>
      </c>
      <c r="B5187" s="2" t="s">
        <v>12466</v>
      </c>
    </row>
    <row r="5188" spans="1:2" x14ac:dyDescent="0.2">
      <c r="A5188" s="8" t="s">
        <v>5211</v>
      </c>
      <c r="B5188" s="2" t="s">
        <v>12466</v>
      </c>
    </row>
    <row r="5189" spans="1:2" x14ac:dyDescent="0.2">
      <c r="A5189" s="8" t="s">
        <v>5212</v>
      </c>
      <c r="B5189" s="2" t="s">
        <v>12466</v>
      </c>
    </row>
    <row r="5190" spans="1:2" x14ac:dyDescent="0.2">
      <c r="A5190" s="8" t="s">
        <v>5213</v>
      </c>
      <c r="B5190" s="2" t="s">
        <v>12466</v>
      </c>
    </row>
    <row r="5191" spans="1:2" x14ac:dyDescent="0.2">
      <c r="A5191" s="8" t="s">
        <v>5214</v>
      </c>
      <c r="B5191" s="2" t="s">
        <v>12466</v>
      </c>
    </row>
    <row r="5192" spans="1:2" x14ac:dyDescent="0.2">
      <c r="A5192" s="8" t="s">
        <v>5215</v>
      </c>
      <c r="B5192" s="2" t="s">
        <v>12466</v>
      </c>
    </row>
    <row r="5193" spans="1:2" x14ac:dyDescent="0.2">
      <c r="A5193" s="8" t="s">
        <v>5216</v>
      </c>
      <c r="B5193" s="2" t="s">
        <v>12466</v>
      </c>
    </row>
    <row r="5194" spans="1:2" x14ac:dyDescent="0.2">
      <c r="A5194" s="8" t="s">
        <v>5217</v>
      </c>
      <c r="B5194" s="2" t="s">
        <v>12466</v>
      </c>
    </row>
    <row r="5195" spans="1:2" x14ac:dyDescent="0.2">
      <c r="A5195" s="8" t="s">
        <v>5218</v>
      </c>
      <c r="B5195" s="2" t="s">
        <v>12466</v>
      </c>
    </row>
    <row r="5196" spans="1:2" x14ac:dyDescent="0.2">
      <c r="A5196" s="8" t="s">
        <v>5219</v>
      </c>
      <c r="B5196" s="2" t="s">
        <v>12466</v>
      </c>
    </row>
    <row r="5197" spans="1:2" x14ac:dyDescent="0.2">
      <c r="A5197" s="8" t="s">
        <v>5220</v>
      </c>
      <c r="B5197" s="2" t="s">
        <v>12466</v>
      </c>
    </row>
    <row r="5198" spans="1:2" x14ac:dyDescent="0.2">
      <c r="A5198" s="8" t="s">
        <v>5221</v>
      </c>
      <c r="B5198" s="2" t="s">
        <v>12466</v>
      </c>
    </row>
    <row r="5199" spans="1:2" x14ac:dyDescent="0.2">
      <c r="A5199" s="8" t="s">
        <v>5222</v>
      </c>
      <c r="B5199" s="2" t="s">
        <v>12466</v>
      </c>
    </row>
    <row r="5200" spans="1:2" x14ac:dyDescent="0.2">
      <c r="A5200" s="8" t="s">
        <v>5223</v>
      </c>
      <c r="B5200" s="2" t="s">
        <v>12466</v>
      </c>
    </row>
    <row r="5201" spans="1:2" x14ac:dyDescent="0.2">
      <c r="A5201" s="8" t="s">
        <v>5224</v>
      </c>
      <c r="B5201" s="2" t="s">
        <v>12466</v>
      </c>
    </row>
    <row r="5202" spans="1:2" x14ac:dyDescent="0.2">
      <c r="A5202" s="8" t="s">
        <v>5225</v>
      </c>
      <c r="B5202" s="2" t="s">
        <v>12466</v>
      </c>
    </row>
    <row r="5203" spans="1:2" x14ac:dyDescent="0.2">
      <c r="A5203" s="8" t="s">
        <v>5226</v>
      </c>
      <c r="B5203" s="2" t="s">
        <v>12466</v>
      </c>
    </row>
    <row r="5204" spans="1:2" x14ac:dyDescent="0.2">
      <c r="A5204" s="8" t="s">
        <v>5227</v>
      </c>
      <c r="B5204" s="2" t="s">
        <v>12466</v>
      </c>
    </row>
    <row r="5205" spans="1:2" x14ac:dyDescent="0.2">
      <c r="A5205" s="8" t="s">
        <v>5228</v>
      </c>
      <c r="B5205" s="2" t="s">
        <v>12466</v>
      </c>
    </row>
    <row r="5206" spans="1:2" x14ac:dyDescent="0.2">
      <c r="A5206" s="8" t="s">
        <v>5229</v>
      </c>
      <c r="B5206" s="2" t="s">
        <v>12466</v>
      </c>
    </row>
    <row r="5207" spans="1:2" x14ac:dyDescent="0.2">
      <c r="A5207" s="8" t="s">
        <v>5230</v>
      </c>
      <c r="B5207" s="2" t="s">
        <v>12466</v>
      </c>
    </row>
    <row r="5208" spans="1:2" x14ac:dyDescent="0.2">
      <c r="A5208" s="8" t="s">
        <v>5231</v>
      </c>
      <c r="B5208" s="2" t="s">
        <v>12466</v>
      </c>
    </row>
    <row r="5209" spans="1:2" x14ac:dyDescent="0.2">
      <c r="A5209" s="8" t="s">
        <v>5232</v>
      </c>
      <c r="B5209" s="2" t="s">
        <v>12466</v>
      </c>
    </row>
    <row r="5210" spans="1:2" x14ac:dyDescent="0.2">
      <c r="A5210" s="8" t="s">
        <v>5233</v>
      </c>
      <c r="B5210" s="2" t="s">
        <v>12466</v>
      </c>
    </row>
    <row r="5211" spans="1:2" x14ac:dyDescent="0.2">
      <c r="A5211" s="8" t="s">
        <v>5234</v>
      </c>
      <c r="B5211" s="2" t="s">
        <v>12466</v>
      </c>
    </row>
    <row r="5212" spans="1:2" x14ac:dyDescent="0.2">
      <c r="A5212" s="8" t="s">
        <v>5235</v>
      </c>
      <c r="B5212" s="2" t="s">
        <v>12466</v>
      </c>
    </row>
    <row r="5213" spans="1:2" x14ac:dyDescent="0.2">
      <c r="A5213" s="8" t="s">
        <v>5236</v>
      </c>
      <c r="B5213" s="2" t="s">
        <v>12466</v>
      </c>
    </row>
    <row r="5214" spans="1:2" x14ac:dyDescent="0.2">
      <c r="A5214" s="8" t="s">
        <v>5237</v>
      </c>
      <c r="B5214" s="2" t="s">
        <v>12466</v>
      </c>
    </row>
    <row r="5215" spans="1:2" x14ac:dyDescent="0.2">
      <c r="A5215" s="8" t="s">
        <v>5238</v>
      </c>
      <c r="B5215" s="2" t="s">
        <v>12466</v>
      </c>
    </row>
    <row r="5216" spans="1:2" x14ac:dyDescent="0.2">
      <c r="A5216" s="8" t="s">
        <v>5239</v>
      </c>
      <c r="B5216" s="2" t="s">
        <v>12466</v>
      </c>
    </row>
    <row r="5217" spans="1:2" x14ac:dyDescent="0.2">
      <c r="A5217" s="8" t="s">
        <v>5240</v>
      </c>
      <c r="B5217" s="2" t="s">
        <v>12466</v>
      </c>
    </row>
    <row r="5218" spans="1:2" x14ac:dyDescent="0.2">
      <c r="A5218" s="8" t="s">
        <v>5241</v>
      </c>
      <c r="B5218" s="2" t="s">
        <v>12466</v>
      </c>
    </row>
    <row r="5219" spans="1:2" x14ac:dyDescent="0.2">
      <c r="A5219" s="8" t="s">
        <v>5242</v>
      </c>
      <c r="B5219" s="2" t="s">
        <v>12466</v>
      </c>
    </row>
    <row r="5220" spans="1:2" x14ac:dyDescent="0.2">
      <c r="A5220" s="8" t="s">
        <v>5243</v>
      </c>
      <c r="B5220" s="2" t="s">
        <v>12466</v>
      </c>
    </row>
    <row r="5221" spans="1:2" x14ac:dyDescent="0.2">
      <c r="A5221" s="8" t="s">
        <v>5244</v>
      </c>
      <c r="B5221" s="2" t="s">
        <v>12466</v>
      </c>
    </row>
    <row r="5222" spans="1:2" x14ac:dyDescent="0.2">
      <c r="A5222" s="8" t="s">
        <v>5245</v>
      </c>
      <c r="B5222" s="2" t="s">
        <v>12466</v>
      </c>
    </row>
    <row r="5223" spans="1:2" x14ac:dyDescent="0.2">
      <c r="A5223" s="8" t="s">
        <v>5246</v>
      </c>
      <c r="B5223" s="2" t="s">
        <v>12466</v>
      </c>
    </row>
    <row r="5224" spans="1:2" x14ac:dyDescent="0.2">
      <c r="A5224" s="8" t="s">
        <v>5247</v>
      </c>
      <c r="B5224" s="2" t="s">
        <v>12466</v>
      </c>
    </row>
    <row r="5225" spans="1:2" x14ac:dyDescent="0.2">
      <c r="A5225" s="8" t="s">
        <v>5248</v>
      </c>
      <c r="B5225" s="2" t="s">
        <v>12466</v>
      </c>
    </row>
    <row r="5226" spans="1:2" x14ac:dyDescent="0.2">
      <c r="A5226" s="8" t="s">
        <v>5249</v>
      </c>
      <c r="B5226" s="2" t="s">
        <v>12466</v>
      </c>
    </row>
    <row r="5227" spans="1:2" x14ac:dyDescent="0.2">
      <c r="A5227" s="8" t="s">
        <v>5250</v>
      </c>
      <c r="B5227" s="2" t="s">
        <v>12466</v>
      </c>
    </row>
    <row r="5228" spans="1:2" x14ac:dyDescent="0.2">
      <c r="A5228" s="8" t="s">
        <v>5251</v>
      </c>
      <c r="B5228" s="2" t="s">
        <v>12466</v>
      </c>
    </row>
    <row r="5229" spans="1:2" x14ac:dyDescent="0.2">
      <c r="A5229" s="8" t="s">
        <v>5252</v>
      </c>
      <c r="B5229" s="2" t="s">
        <v>12466</v>
      </c>
    </row>
    <row r="5230" spans="1:2" x14ac:dyDescent="0.2">
      <c r="A5230" s="8" t="s">
        <v>5253</v>
      </c>
      <c r="B5230" s="2" t="s">
        <v>12466</v>
      </c>
    </row>
    <row r="5231" spans="1:2" x14ac:dyDescent="0.2">
      <c r="A5231" s="8" t="s">
        <v>5254</v>
      </c>
      <c r="B5231" s="2" t="s">
        <v>12466</v>
      </c>
    </row>
    <row r="5232" spans="1:2" x14ac:dyDescent="0.2">
      <c r="A5232" s="8" t="s">
        <v>5255</v>
      </c>
      <c r="B5232" s="2" t="s">
        <v>12466</v>
      </c>
    </row>
    <row r="5233" spans="1:2" x14ac:dyDescent="0.2">
      <c r="A5233" s="8" t="s">
        <v>5256</v>
      </c>
      <c r="B5233" s="2" t="s">
        <v>12466</v>
      </c>
    </row>
    <row r="5234" spans="1:2" x14ac:dyDescent="0.2">
      <c r="A5234" s="8" t="s">
        <v>5257</v>
      </c>
      <c r="B5234" s="2" t="s">
        <v>12466</v>
      </c>
    </row>
    <row r="5235" spans="1:2" x14ac:dyDescent="0.2">
      <c r="A5235" s="8" t="s">
        <v>5258</v>
      </c>
      <c r="B5235" s="2" t="s">
        <v>12466</v>
      </c>
    </row>
    <row r="5236" spans="1:2" x14ac:dyDescent="0.2">
      <c r="A5236" s="8" t="s">
        <v>5259</v>
      </c>
      <c r="B5236" s="2" t="s">
        <v>12466</v>
      </c>
    </row>
    <row r="5237" spans="1:2" x14ac:dyDescent="0.2">
      <c r="A5237" s="8" t="s">
        <v>5260</v>
      </c>
      <c r="B5237" s="2" t="s">
        <v>12466</v>
      </c>
    </row>
    <row r="5238" spans="1:2" x14ac:dyDescent="0.2">
      <c r="A5238" s="8" t="s">
        <v>5261</v>
      </c>
      <c r="B5238" s="2" t="s">
        <v>12466</v>
      </c>
    </row>
    <row r="5239" spans="1:2" x14ac:dyDescent="0.2">
      <c r="A5239" s="8" t="s">
        <v>5262</v>
      </c>
      <c r="B5239" s="2" t="s">
        <v>12466</v>
      </c>
    </row>
    <row r="5240" spans="1:2" x14ac:dyDescent="0.2">
      <c r="A5240" s="8" t="s">
        <v>5263</v>
      </c>
      <c r="B5240" s="2" t="s">
        <v>12466</v>
      </c>
    </row>
    <row r="5241" spans="1:2" x14ac:dyDescent="0.2">
      <c r="A5241" s="8" t="s">
        <v>5264</v>
      </c>
      <c r="B5241" s="2" t="s">
        <v>12466</v>
      </c>
    </row>
    <row r="5242" spans="1:2" x14ac:dyDescent="0.2">
      <c r="A5242" s="8" t="s">
        <v>5265</v>
      </c>
      <c r="B5242" s="2" t="s">
        <v>12466</v>
      </c>
    </row>
    <row r="5243" spans="1:2" x14ac:dyDescent="0.2">
      <c r="A5243" s="8" t="s">
        <v>5266</v>
      </c>
      <c r="B5243" s="2" t="s">
        <v>12466</v>
      </c>
    </row>
    <row r="5244" spans="1:2" x14ac:dyDescent="0.2">
      <c r="A5244" s="8" t="s">
        <v>5267</v>
      </c>
      <c r="B5244" s="2" t="s">
        <v>12466</v>
      </c>
    </row>
    <row r="5245" spans="1:2" x14ac:dyDescent="0.2">
      <c r="A5245" s="8" t="s">
        <v>5268</v>
      </c>
      <c r="B5245" s="2" t="s">
        <v>12466</v>
      </c>
    </row>
    <row r="5246" spans="1:2" x14ac:dyDescent="0.2">
      <c r="A5246" s="8" t="s">
        <v>5269</v>
      </c>
      <c r="B5246" s="2" t="s">
        <v>12466</v>
      </c>
    </row>
    <row r="5247" spans="1:2" x14ac:dyDescent="0.2">
      <c r="A5247" s="8" t="s">
        <v>5270</v>
      </c>
      <c r="B5247" s="2" t="s">
        <v>12466</v>
      </c>
    </row>
    <row r="5248" spans="1:2" x14ac:dyDescent="0.2">
      <c r="A5248" s="8" t="s">
        <v>5271</v>
      </c>
      <c r="B5248" s="2" t="s">
        <v>12466</v>
      </c>
    </row>
    <row r="5249" spans="1:2" x14ac:dyDescent="0.2">
      <c r="A5249" s="8" t="s">
        <v>5272</v>
      </c>
      <c r="B5249" s="2" t="s">
        <v>12466</v>
      </c>
    </row>
    <row r="5250" spans="1:2" x14ac:dyDescent="0.2">
      <c r="A5250" s="8" t="s">
        <v>5273</v>
      </c>
      <c r="B5250" s="2" t="s">
        <v>12466</v>
      </c>
    </row>
    <row r="5251" spans="1:2" x14ac:dyDescent="0.2">
      <c r="A5251" s="8" t="s">
        <v>5274</v>
      </c>
      <c r="B5251" s="2" t="s">
        <v>12466</v>
      </c>
    </row>
    <row r="5252" spans="1:2" x14ac:dyDescent="0.2">
      <c r="A5252" s="8" t="s">
        <v>5275</v>
      </c>
      <c r="B5252" s="2" t="s">
        <v>12466</v>
      </c>
    </row>
    <row r="5253" spans="1:2" x14ac:dyDescent="0.2">
      <c r="A5253" s="8" t="s">
        <v>5276</v>
      </c>
      <c r="B5253" s="2" t="s">
        <v>12466</v>
      </c>
    </row>
    <row r="5254" spans="1:2" x14ac:dyDescent="0.2">
      <c r="A5254" s="8" t="s">
        <v>5277</v>
      </c>
      <c r="B5254" s="2" t="s">
        <v>12466</v>
      </c>
    </row>
    <row r="5255" spans="1:2" x14ac:dyDescent="0.2">
      <c r="A5255" s="8" t="s">
        <v>5278</v>
      </c>
      <c r="B5255" s="2" t="s">
        <v>12466</v>
      </c>
    </row>
    <row r="5256" spans="1:2" x14ac:dyDescent="0.2">
      <c r="A5256" s="8" t="s">
        <v>5279</v>
      </c>
      <c r="B5256" s="2" t="s">
        <v>12466</v>
      </c>
    </row>
    <row r="5257" spans="1:2" x14ac:dyDescent="0.2">
      <c r="A5257" s="8" t="s">
        <v>5280</v>
      </c>
      <c r="B5257" s="2" t="s">
        <v>12466</v>
      </c>
    </row>
    <row r="5258" spans="1:2" x14ac:dyDescent="0.2">
      <c r="A5258" s="8" t="s">
        <v>5281</v>
      </c>
      <c r="B5258" s="2" t="s">
        <v>12466</v>
      </c>
    </row>
    <row r="5259" spans="1:2" x14ac:dyDescent="0.2">
      <c r="A5259" s="8" t="s">
        <v>5282</v>
      </c>
      <c r="B5259" s="2" t="s">
        <v>12466</v>
      </c>
    </row>
    <row r="5260" spans="1:2" x14ac:dyDescent="0.2">
      <c r="A5260" s="8" t="s">
        <v>5283</v>
      </c>
      <c r="B5260" s="2" t="s">
        <v>12466</v>
      </c>
    </row>
    <row r="5261" spans="1:2" x14ac:dyDescent="0.2">
      <c r="A5261" s="8" t="s">
        <v>5284</v>
      </c>
      <c r="B5261" s="2" t="s">
        <v>12466</v>
      </c>
    </row>
    <row r="5262" spans="1:2" x14ac:dyDescent="0.2">
      <c r="A5262" s="8" t="s">
        <v>5285</v>
      </c>
      <c r="B5262" s="2" t="s">
        <v>12466</v>
      </c>
    </row>
    <row r="5263" spans="1:2" x14ac:dyDescent="0.2">
      <c r="A5263" s="8" t="s">
        <v>5286</v>
      </c>
      <c r="B5263" s="2" t="s">
        <v>12466</v>
      </c>
    </row>
    <row r="5264" spans="1:2" x14ac:dyDescent="0.2">
      <c r="A5264" s="8" t="s">
        <v>5287</v>
      </c>
      <c r="B5264" s="2" t="s">
        <v>12466</v>
      </c>
    </row>
    <row r="5265" spans="1:2" x14ac:dyDescent="0.2">
      <c r="A5265" s="8" t="s">
        <v>5288</v>
      </c>
      <c r="B5265" s="2" t="s">
        <v>12466</v>
      </c>
    </row>
    <row r="5266" spans="1:2" x14ac:dyDescent="0.2">
      <c r="A5266" s="8" t="s">
        <v>5289</v>
      </c>
      <c r="B5266" s="2" t="s">
        <v>12466</v>
      </c>
    </row>
    <row r="5267" spans="1:2" x14ac:dyDescent="0.2">
      <c r="A5267" s="8" t="s">
        <v>5290</v>
      </c>
      <c r="B5267" s="2" t="s">
        <v>12466</v>
      </c>
    </row>
    <row r="5268" spans="1:2" x14ac:dyDescent="0.2">
      <c r="A5268" s="8" t="s">
        <v>5291</v>
      </c>
      <c r="B5268" s="2" t="s">
        <v>12466</v>
      </c>
    </row>
    <row r="5269" spans="1:2" x14ac:dyDescent="0.2">
      <c r="A5269" s="8" t="s">
        <v>5292</v>
      </c>
      <c r="B5269" s="2" t="s">
        <v>12466</v>
      </c>
    </row>
    <row r="5270" spans="1:2" x14ac:dyDescent="0.2">
      <c r="A5270" s="8" t="s">
        <v>5293</v>
      </c>
      <c r="B5270" s="2" t="s">
        <v>12466</v>
      </c>
    </row>
    <row r="5271" spans="1:2" x14ac:dyDescent="0.2">
      <c r="A5271" s="8" t="s">
        <v>5294</v>
      </c>
      <c r="B5271" s="2" t="s">
        <v>12466</v>
      </c>
    </row>
    <row r="5272" spans="1:2" x14ac:dyDescent="0.2">
      <c r="A5272" s="8" t="s">
        <v>5295</v>
      </c>
      <c r="B5272" s="2" t="s">
        <v>12466</v>
      </c>
    </row>
    <row r="5273" spans="1:2" x14ac:dyDescent="0.2">
      <c r="A5273" s="8" t="s">
        <v>5296</v>
      </c>
      <c r="B5273" s="2" t="s">
        <v>12466</v>
      </c>
    </row>
    <row r="5274" spans="1:2" x14ac:dyDescent="0.2">
      <c r="A5274" s="8" t="s">
        <v>5297</v>
      </c>
      <c r="B5274" s="2" t="s">
        <v>12466</v>
      </c>
    </row>
    <row r="5275" spans="1:2" x14ac:dyDescent="0.2">
      <c r="A5275" s="8" t="s">
        <v>5298</v>
      </c>
      <c r="B5275" s="2" t="s">
        <v>12466</v>
      </c>
    </row>
    <row r="5276" spans="1:2" x14ac:dyDescent="0.2">
      <c r="A5276" s="8" t="s">
        <v>5299</v>
      </c>
      <c r="B5276" s="2" t="s">
        <v>12466</v>
      </c>
    </row>
    <row r="5277" spans="1:2" x14ac:dyDescent="0.2">
      <c r="A5277" s="8" t="s">
        <v>5300</v>
      </c>
      <c r="B5277" s="2" t="s">
        <v>12466</v>
      </c>
    </row>
    <row r="5278" spans="1:2" x14ac:dyDescent="0.2">
      <c r="A5278" s="8" t="s">
        <v>5301</v>
      </c>
      <c r="B5278" s="2" t="s">
        <v>12466</v>
      </c>
    </row>
    <row r="5279" spans="1:2" x14ac:dyDescent="0.2">
      <c r="A5279" s="8" t="s">
        <v>5302</v>
      </c>
      <c r="B5279" s="2" t="s">
        <v>12466</v>
      </c>
    </row>
    <row r="5280" spans="1:2" x14ac:dyDescent="0.2">
      <c r="A5280" s="8" t="s">
        <v>5303</v>
      </c>
      <c r="B5280" s="2" t="s">
        <v>12466</v>
      </c>
    </row>
    <row r="5281" spans="1:2" x14ac:dyDescent="0.2">
      <c r="A5281" s="8" t="s">
        <v>5304</v>
      </c>
      <c r="B5281" s="2" t="s">
        <v>12466</v>
      </c>
    </row>
    <row r="5282" spans="1:2" x14ac:dyDescent="0.2">
      <c r="A5282" s="8" t="s">
        <v>5305</v>
      </c>
      <c r="B5282" s="2" t="s">
        <v>12466</v>
      </c>
    </row>
    <row r="5283" spans="1:2" x14ac:dyDescent="0.2">
      <c r="A5283" s="8" t="s">
        <v>5306</v>
      </c>
      <c r="B5283" s="2" t="s">
        <v>12466</v>
      </c>
    </row>
    <row r="5284" spans="1:2" x14ac:dyDescent="0.2">
      <c r="A5284" s="8" t="s">
        <v>5307</v>
      </c>
      <c r="B5284" s="2" t="s">
        <v>12466</v>
      </c>
    </row>
    <row r="5285" spans="1:2" x14ac:dyDescent="0.2">
      <c r="A5285" s="8" t="s">
        <v>5308</v>
      </c>
      <c r="B5285" s="2" t="s">
        <v>12466</v>
      </c>
    </row>
    <row r="5286" spans="1:2" x14ac:dyDescent="0.2">
      <c r="A5286" s="8" t="s">
        <v>5309</v>
      </c>
      <c r="B5286" s="2" t="s">
        <v>12466</v>
      </c>
    </row>
    <row r="5287" spans="1:2" x14ac:dyDescent="0.2">
      <c r="A5287" s="8" t="s">
        <v>5310</v>
      </c>
      <c r="B5287" s="2" t="s">
        <v>12466</v>
      </c>
    </row>
    <row r="5288" spans="1:2" x14ac:dyDescent="0.2">
      <c r="A5288" s="8" t="s">
        <v>5311</v>
      </c>
      <c r="B5288" s="2" t="s">
        <v>12466</v>
      </c>
    </row>
    <row r="5289" spans="1:2" x14ac:dyDescent="0.2">
      <c r="A5289" s="8" t="s">
        <v>5312</v>
      </c>
      <c r="B5289" s="2" t="s">
        <v>12466</v>
      </c>
    </row>
    <row r="5290" spans="1:2" x14ac:dyDescent="0.2">
      <c r="A5290" s="8" t="s">
        <v>5313</v>
      </c>
      <c r="B5290" s="2" t="s">
        <v>12466</v>
      </c>
    </row>
    <row r="5291" spans="1:2" x14ac:dyDescent="0.2">
      <c r="A5291" s="8" t="s">
        <v>5314</v>
      </c>
      <c r="B5291" s="2" t="s">
        <v>12466</v>
      </c>
    </row>
    <row r="5292" spans="1:2" x14ac:dyDescent="0.2">
      <c r="A5292" s="8" t="s">
        <v>5315</v>
      </c>
      <c r="B5292" s="2" t="s">
        <v>12466</v>
      </c>
    </row>
    <row r="5293" spans="1:2" x14ac:dyDescent="0.2">
      <c r="A5293" s="8" t="s">
        <v>5316</v>
      </c>
      <c r="B5293" s="2" t="s">
        <v>12466</v>
      </c>
    </row>
    <row r="5294" spans="1:2" x14ac:dyDescent="0.2">
      <c r="A5294" s="8" t="s">
        <v>5317</v>
      </c>
      <c r="B5294" s="2" t="s">
        <v>12466</v>
      </c>
    </row>
    <row r="5295" spans="1:2" x14ac:dyDescent="0.2">
      <c r="A5295" s="8" t="s">
        <v>5318</v>
      </c>
      <c r="B5295" s="2" t="s">
        <v>12466</v>
      </c>
    </row>
    <row r="5296" spans="1:2" x14ac:dyDescent="0.2">
      <c r="A5296" s="8" t="s">
        <v>5319</v>
      </c>
      <c r="B5296" s="2" t="s">
        <v>12466</v>
      </c>
    </row>
    <row r="5297" spans="1:2" x14ac:dyDescent="0.2">
      <c r="A5297" s="8" t="s">
        <v>5320</v>
      </c>
      <c r="B5297" s="2" t="s">
        <v>12466</v>
      </c>
    </row>
    <row r="5298" spans="1:2" x14ac:dyDescent="0.2">
      <c r="A5298" s="8" t="s">
        <v>5321</v>
      </c>
      <c r="B5298" s="2" t="s">
        <v>12466</v>
      </c>
    </row>
    <row r="5299" spans="1:2" x14ac:dyDescent="0.2">
      <c r="A5299" s="8" t="s">
        <v>5322</v>
      </c>
      <c r="B5299" s="2" t="s">
        <v>12466</v>
      </c>
    </row>
    <row r="5300" spans="1:2" x14ac:dyDescent="0.2">
      <c r="A5300" s="8" t="s">
        <v>5323</v>
      </c>
      <c r="B5300" s="2" t="s">
        <v>12466</v>
      </c>
    </row>
    <row r="5301" spans="1:2" x14ac:dyDescent="0.2">
      <c r="A5301" s="8" t="s">
        <v>5324</v>
      </c>
      <c r="B5301" s="2" t="s">
        <v>12466</v>
      </c>
    </row>
    <row r="5302" spans="1:2" x14ac:dyDescent="0.2">
      <c r="A5302" s="8" t="s">
        <v>5325</v>
      </c>
      <c r="B5302" s="2" t="s">
        <v>12466</v>
      </c>
    </row>
    <row r="5303" spans="1:2" x14ac:dyDescent="0.2">
      <c r="A5303" s="8" t="s">
        <v>5326</v>
      </c>
      <c r="B5303" s="2" t="s">
        <v>12466</v>
      </c>
    </row>
    <row r="5304" spans="1:2" x14ac:dyDescent="0.2">
      <c r="A5304" s="8" t="s">
        <v>5327</v>
      </c>
      <c r="B5304" s="2" t="s">
        <v>12466</v>
      </c>
    </row>
    <row r="5305" spans="1:2" x14ac:dyDescent="0.2">
      <c r="A5305" s="8" t="s">
        <v>5328</v>
      </c>
      <c r="B5305" s="2" t="s">
        <v>12466</v>
      </c>
    </row>
    <row r="5306" spans="1:2" x14ac:dyDescent="0.2">
      <c r="A5306" s="8" t="s">
        <v>5329</v>
      </c>
      <c r="B5306" s="2" t="s">
        <v>12466</v>
      </c>
    </row>
    <row r="5307" spans="1:2" x14ac:dyDescent="0.2">
      <c r="A5307" s="8" t="s">
        <v>5330</v>
      </c>
      <c r="B5307" s="2" t="s">
        <v>12466</v>
      </c>
    </row>
    <row r="5308" spans="1:2" x14ac:dyDescent="0.2">
      <c r="A5308" s="8" t="s">
        <v>5331</v>
      </c>
      <c r="B5308" s="2" t="s">
        <v>12466</v>
      </c>
    </row>
    <row r="5309" spans="1:2" x14ac:dyDescent="0.2">
      <c r="A5309" s="8" t="s">
        <v>5332</v>
      </c>
      <c r="B5309" s="2" t="s">
        <v>12466</v>
      </c>
    </row>
    <row r="5310" spans="1:2" x14ac:dyDescent="0.2">
      <c r="A5310" s="8" t="s">
        <v>5333</v>
      </c>
      <c r="B5310" s="2" t="s">
        <v>12466</v>
      </c>
    </row>
    <row r="5311" spans="1:2" x14ac:dyDescent="0.2">
      <c r="A5311" s="8" t="s">
        <v>5334</v>
      </c>
      <c r="B5311" s="2" t="s">
        <v>12466</v>
      </c>
    </row>
    <row r="5312" spans="1:2" x14ac:dyDescent="0.2">
      <c r="A5312" s="8" t="s">
        <v>5335</v>
      </c>
      <c r="B5312" s="2" t="s">
        <v>12466</v>
      </c>
    </row>
    <row r="5313" spans="1:2" x14ac:dyDescent="0.2">
      <c r="A5313" s="8" t="s">
        <v>5336</v>
      </c>
      <c r="B5313" s="2" t="s">
        <v>12466</v>
      </c>
    </row>
    <row r="5314" spans="1:2" x14ac:dyDescent="0.2">
      <c r="A5314" s="8" t="s">
        <v>5337</v>
      </c>
      <c r="B5314" s="2" t="s">
        <v>12466</v>
      </c>
    </row>
    <row r="5315" spans="1:2" x14ac:dyDescent="0.2">
      <c r="A5315" s="8" t="s">
        <v>5338</v>
      </c>
      <c r="B5315" s="2" t="s">
        <v>12466</v>
      </c>
    </row>
    <row r="5316" spans="1:2" x14ac:dyDescent="0.2">
      <c r="A5316" s="8" t="s">
        <v>5339</v>
      </c>
      <c r="B5316" s="2" t="s">
        <v>12466</v>
      </c>
    </row>
    <row r="5317" spans="1:2" x14ac:dyDescent="0.2">
      <c r="A5317" s="8" t="s">
        <v>5340</v>
      </c>
      <c r="B5317" s="2" t="s">
        <v>12466</v>
      </c>
    </row>
    <row r="5318" spans="1:2" x14ac:dyDescent="0.2">
      <c r="A5318" s="8" t="s">
        <v>5341</v>
      </c>
      <c r="B5318" s="2" t="s">
        <v>12466</v>
      </c>
    </row>
    <row r="5319" spans="1:2" x14ac:dyDescent="0.2">
      <c r="A5319" s="8" t="s">
        <v>5342</v>
      </c>
      <c r="B5319" s="2" t="s">
        <v>12466</v>
      </c>
    </row>
    <row r="5320" spans="1:2" x14ac:dyDescent="0.2">
      <c r="A5320" s="8" t="s">
        <v>5343</v>
      </c>
      <c r="B5320" s="2" t="s">
        <v>12466</v>
      </c>
    </row>
    <row r="5321" spans="1:2" x14ac:dyDescent="0.2">
      <c r="A5321" s="8" t="s">
        <v>5344</v>
      </c>
      <c r="B5321" s="2" t="s">
        <v>12466</v>
      </c>
    </row>
    <row r="5322" spans="1:2" x14ac:dyDescent="0.2">
      <c r="A5322" s="8" t="s">
        <v>5345</v>
      </c>
      <c r="B5322" s="2" t="s">
        <v>12466</v>
      </c>
    </row>
    <row r="5323" spans="1:2" x14ac:dyDescent="0.2">
      <c r="A5323" s="8" t="s">
        <v>5346</v>
      </c>
      <c r="B5323" s="2" t="s">
        <v>12466</v>
      </c>
    </row>
    <row r="5324" spans="1:2" x14ac:dyDescent="0.2">
      <c r="A5324" s="8" t="s">
        <v>5347</v>
      </c>
      <c r="B5324" s="2" t="s">
        <v>12466</v>
      </c>
    </row>
    <row r="5325" spans="1:2" x14ac:dyDescent="0.2">
      <c r="A5325" s="8" t="s">
        <v>5348</v>
      </c>
      <c r="B5325" s="2" t="s">
        <v>12466</v>
      </c>
    </row>
    <row r="5326" spans="1:2" x14ac:dyDescent="0.2">
      <c r="A5326" s="8" t="s">
        <v>5349</v>
      </c>
      <c r="B5326" s="2" t="s">
        <v>12466</v>
      </c>
    </row>
    <row r="5327" spans="1:2" x14ac:dyDescent="0.2">
      <c r="A5327" s="8" t="s">
        <v>5350</v>
      </c>
      <c r="B5327" s="2" t="s">
        <v>12466</v>
      </c>
    </row>
    <row r="5328" spans="1:2" x14ac:dyDescent="0.2">
      <c r="A5328" s="8" t="s">
        <v>5351</v>
      </c>
      <c r="B5328" s="2" t="s">
        <v>12466</v>
      </c>
    </row>
    <row r="5329" spans="1:2" x14ac:dyDescent="0.2">
      <c r="A5329" s="8" t="s">
        <v>5352</v>
      </c>
      <c r="B5329" s="2" t="s">
        <v>12466</v>
      </c>
    </row>
    <row r="5330" spans="1:2" x14ac:dyDescent="0.2">
      <c r="A5330" s="8" t="s">
        <v>5353</v>
      </c>
      <c r="B5330" s="2" t="s">
        <v>12466</v>
      </c>
    </row>
    <row r="5331" spans="1:2" x14ac:dyDescent="0.2">
      <c r="A5331" s="8" t="s">
        <v>5354</v>
      </c>
      <c r="B5331" s="2" t="s">
        <v>12466</v>
      </c>
    </row>
    <row r="5332" spans="1:2" x14ac:dyDescent="0.2">
      <c r="A5332" s="8" t="s">
        <v>5355</v>
      </c>
      <c r="B5332" s="2" t="s">
        <v>12466</v>
      </c>
    </row>
    <row r="5333" spans="1:2" x14ac:dyDescent="0.2">
      <c r="A5333" s="8" t="s">
        <v>5356</v>
      </c>
      <c r="B5333" s="2" t="s">
        <v>12466</v>
      </c>
    </row>
    <row r="5334" spans="1:2" x14ac:dyDescent="0.2">
      <c r="A5334" s="8" t="s">
        <v>5357</v>
      </c>
      <c r="B5334" s="2" t="s">
        <v>12466</v>
      </c>
    </row>
    <row r="5335" spans="1:2" x14ac:dyDescent="0.2">
      <c r="A5335" s="8" t="s">
        <v>5358</v>
      </c>
      <c r="B5335" s="2" t="s">
        <v>12466</v>
      </c>
    </row>
    <row r="5336" spans="1:2" x14ac:dyDescent="0.2">
      <c r="A5336" s="8" t="s">
        <v>5359</v>
      </c>
      <c r="B5336" s="2" t="s">
        <v>12466</v>
      </c>
    </row>
    <row r="5337" spans="1:2" x14ac:dyDescent="0.2">
      <c r="A5337" s="8" t="s">
        <v>5360</v>
      </c>
      <c r="B5337" s="2" t="s">
        <v>12466</v>
      </c>
    </row>
    <row r="5338" spans="1:2" x14ac:dyDescent="0.2">
      <c r="A5338" s="8" t="s">
        <v>5361</v>
      </c>
      <c r="B5338" s="2" t="s">
        <v>12466</v>
      </c>
    </row>
    <row r="5339" spans="1:2" x14ac:dyDescent="0.2">
      <c r="A5339" s="8" t="s">
        <v>5362</v>
      </c>
      <c r="B5339" s="2" t="s">
        <v>12466</v>
      </c>
    </row>
    <row r="5340" spans="1:2" x14ac:dyDescent="0.2">
      <c r="A5340" s="8" t="s">
        <v>5363</v>
      </c>
      <c r="B5340" s="2" t="s">
        <v>12466</v>
      </c>
    </row>
    <row r="5341" spans="1:2" x14ac:dyDescent="0.2">
      <c r="A5341" s="8" t="s">
        <v>5364</v>
      </c>
      <c r="B5341" s="2" t="s">
        <v>12466</v>
      </c>
    </row>
    <row r="5342" spans="1:2" x14ac:dyDescent="0.2">
      <c r="A5342" s="8" t="s">
        <v>5365</v>
      </c>
      <c r="B5342" s="2" t="s">
        <v>12466</v>
      </c>
    </row>
    <row r="5343" spans="1:2" x14ac:dyDescent="0.2">
      <c r="A5343" s="8" t="s">
        <v>5366</v>
      </c>
      <c r="B5343" s="2" t="s">
        <v>12466</v>
      </c>
    </row>
    <row r="5344" spans="1:2" x14ac:dyDescent="0.2">
      <c r="A5344" s="8" t="s">
        <v>5367</v>
      </c>
      <c r="B5344" s="2" t="s">
        <v>12466</v>
      </c>
    </row>
    <row r="5345" spans="1:2" x14ac:dyDescent="0.2">
      <c r="A5345" s="8" t="s">
        <v>5368</v>
      </c>
      <c r="B5345" s="2" t="s">
        <v>12466</v>
      </c>
    </row>
    <row r="5346" spans="1:2" x14ac:dyDescent="0.2">
      <c r="A5346" s="8" t="s">
        <v>5369</v>
      </c>
      <c r="B5346" s="2" t="s">
        <v>12466</v>
      </c>
    </row>
    <row r="5347" spans="1:2" x14ac:dyDescent="0.2">
      <c r="A5347" s="8" t="s">
        <v>5370</v>
      </c>
      <c r="B5347" s="2" t="s">
        <v>12466</v>
      </c>
    </row>
    <row r="5348" spans="1:2" x14ac:dyDescent="0.2">
      <c r="A5348" s="8" t="s">
        <v>5371</v>
      </c>
      <c r="B5348" s="2" t="s">
        <v>12466</v>
      </c>
    </row>
    <row r="5349" spans="1:2" x14ac:dyDescent="0.2">
      <c r="A5349" s="8" t="s">
        <v>5372</v>
      </c>
      <c r="B5349" s="2" t="s">
        <v>12466</v>
      </c>
    </row>
    <row r="5350" spans="1:2" x14ac:dyDescent="0.2">
      <c r="A5350" s="8" t="s">
        <v>5373</v>
      </c>
      <c r="B5350" s="2" t="s">
        <v>12466</v>
      </c>
    </row>
    <row r="5351" spans="1:2" x14ac:dyDescent="0.2">
      <c r="A5351" s="8" t="s">
        <v>5374</v>
      </c>
      <c r="B5351" s="2" t="s">
        <v>12466</v>
      </c>
    </row>
    <row r="5352" spans="1:2" x14ac:dyDescent="0.2">
      <c r="A5352" s="8" t="s">
        <v>5375</v>
      </c>
      <c r="B5352" s="2" t="s">
        <v>12466</v>
      </c>
    </row>
    <row r="5353" spans="1:2" x14ac:dyDescent="0.2">
      <c r="A5353" s="8" t="s">
        <v>5376</v>
      </c>
      <c r="B5353" s="2" t="s">
        <v>12466</v>
      </c>
    </row>
    <row r="5354" spans="1:2" x14ac:dyDescent="0.2">
      <c r="A5354" s="8" t="s">
        <v>5377</v>
      </c>
      <c r="B5354" s="2" t="s">
        <v>12466</v>
      </c>
    </row>
    <row r="5355" spans="1:2" x14ac:dyDescent="0.2">
      <c r="A5355" s="8" t="s">
        <v>5378</v>
      </c>
      <c r="B5355" s="2" t="s">
        <v>12466</v>
      </c>
    </row>
    <row r="5356" spans="1:2" x14ac:dyDescent="0.2">
      <c r="A5356" s="8" t="s">
        <v>5379</v>
      </c>
      <c r="B5356" s="2" t="s">
        <v>12466</v>
      </c>
    </row>
    <row r="5357" spans="1:2" x14ac:dyDescent="0.2">
      <c r="A5357" s="8" t="s">
        <v>5380</v>
      </c>
      <c r="B5357" s="2" t="s">
        <v>12466</v>
      </c>
    </row>
    <row r="5358" spans="1:2" x14ac:dyDescent="0.2">
      <c r="A5358" s="8" t="s">
        <v>5381</v>
      </c>
      <c r="B5358" s="2" t="s">
        <v>12466</v>
      </c>
    </row>
    <row r="5359" spans="1:2" x14ac:dyDescent="0.2">
      <c r="A5359" s="8" t="s">
        <v>5382</v>
      </c>
      <c r="B5359" s="2" t="s">
        <v>12466</v>
      </c>
    </row>
    <row r="5360" spans="1:2" x14ac:dyDescent="0.2">
      <c r="A5360" s="8" t="s">
        <v>5383</v>
      </c>
      <c r="B5360" s="2" t="s">
        <v>12466</v>
      </c>
    </row>
    <row r="5361" spans="1:2" x14ac:dyDescent="0.2">
      <c r="A5361" s="8" t="s">
        <v>5384</v>
      </c>
      <c r="B5361" s="2" t="s">
        <v>12466</v>
      </c>
    </row>
    <row r="5362" spans="1:2" x14ac:dyDescent="0.2">
      <c r="A5362" s="8" t="s">
        <v>5385</v>
      </c>
      <c r="B5362" s="2" t="s">
        <v>12466</v>
      </c>
    </row>
    <row r="5363" spans="1:2" x14ac:dyDescent="0.2">
      <c r="A5363" s="8" t="s">
        <v>5386</v>
      </c>
      <c r="B5363" s="2" t="s">
        <v>12466</v>
      </c>
    </row>
    <row r="5364" spans="1:2" x14ac:dyDescent="0.2">
      <c r="A5364" s="8" t="s">
        <v>5387</v>
      </c>
      <c r="B5364" s="2" t="s">
        <v>12466</v>
      </c>
    </row>
    <row r="5365" spans="1:2" x14ac:dyDescent="0.2">
      <c r="A5365" s="8" t="s">
        <v>5388</v>
      </c>
      <c r="B5365" s="2" t="s">
        <v>12466</v>
      </c>
    </row>
    <row r="5366" spans="1:2" x14ac:dyDescent="0.2">
      <c r="A5366" s="8" t="s">
        <v>5389</v>
      </c>
      <c r="B5366" s="2" t="s">
        <v>12466</v>
      </c>
    </row>
    <row r="5367" spans="1:2" x14ac:dyDescent="0.2">
      <c r="A5367" s="8" t="s">
        <v>5390</v>
      </c>
      <c r="B5367" s="2" t="s">
        <v>12466</v>
      </c>
    </row>
    <row r="5368" spans="1:2" x14ac:dyDescent="0.2">
      <c r="A5368" s="8" t="s">
        <v>5391</v>
      </c>
      <c r="B5368" s="2" t="s">
        <v>12466</v>
      </c>
    </row>
    <row r="5369" spans="1:2" x14ac:dyDescent="0.2">
      <c r="A5369" s="8" t="s">
        <v>5392</v>
      </c>
      <c r="B5369" s="2" t="s">
        <v>12466</v>
      </c>
    </row>
    <row r="5370" spans="1:2" x14ac:dyDescent="0.2">
      <c r="A5370" s="8" t="s">
        <v>5393</v>
      </c>
      <c r="B5370" s="2" t="s">
        <v>12466</v>
      </c>
    </row>
    <row r="5371" spans="1:2" x14ac:dyDescent="0.2">
      <c r="A5371" s="8" t="s">
        <v>5394</v>
      </c>
      <c r="B5371" s="2" t="s">
        <v>12466</v>
      </c>
    </row>
    <row r="5372" spans="1:2" x14ac:dyDescent="0.2">
      <c r="A5372" s="8" t="s">
        <v>5395</v>
      </c>
      <c r="B5372" s="2" t="s">
        <v>12466</v>
      </c>
    </row>
    <row r="5373" spans="1:2" x14ac:dyDescent="0.2">
      <c r="A5373" s="8" t="s">
        <v>5396</v>
      </c>
      <c r="B5373" s="2" t="s">
        <v>12466</v>
      </c>
    </row>
    <row r="5374" spans="1:2" x14ac:dyDescent="0.2">
      <c r="A5374" s="8" t="s">
        <v>5397</v>
      </c>
      <c r="B5374" s="2" t="s">
        <v>12466</v>
      </c>
    </row>
    <row r="5375" spans="1:2" x14ac:dyDescent="0.2">
      <c r="A5375" s="8" t="s">
        <v>5398</v>
      </c>
      <c r="B5375" s="2" t="s">
        <v>12466</v>
      </c>
    </row>
    <row r="5376" spans="1:2" x14ac:dyDescent="0.2">
      <c r="A5376" s="8" t="s">
        <v>5399</v>
      </c>
      <c r="B5376" s="2" t="s">
        <v>12466</v>
      </c>
    </row>
    <row r="5377" spans="1:2" x14ac:dyDescent="0.2">
      <c r="A5377" s="8" t="s">
        <v>5400</v>
      </c>
      <c r="B5377" s="2" t="s">
        <v>12466</v>
      </c>
    </row>
    <row r="5378" spans="1:2" x14ac:dyDescent="0.2">
      <c r="A5378" s="8" t="s">
        <v>5401</v>
      </c>
      <c r="B5378" s="2" t="s">
        <v>12466</v>
      </c>
    </row>
    <row r="5379" spans="1:2" x14ac:dyDescent="0.2">
      <c r="A5379" s="8" t="s">
        <v>5402</v>
      </c>
      <c r="B5379" s="2" t="s">
        <v>12466</v>
      </c>
    </row>
    <row r="5380" spans="1:2" x14ac:dyDescent="0.2">
      <c r="A5380" s="8" t="s">
        <v>5403</v>
      </c>
      <c r="B5380" s="2" t="s">
        <v>12466</v>
      </c>
    </row>
    <row r="5381" spans="1:2" x14ac:dyDescent="0.2">
      <c r="A5381" s="8" t="s">
        <v>5404</v>
      </c>
      <c r="B5381" s="2" t="s">
        <v>12466</v>
      </c>
    </row>
    <row r="5382" spans="1:2" x14ac:dyDescent="0.2">
      <c r="A5382" s="8" t="s">
        <v>5405</v>
      </c>
      <c r="B5382" s="2" t="s">
        <v>12466</v>
      </c>
    </row>
    <row r="5383" spans="1:2" x14ac:dyDescent="0.2">
      <c r="A5383" s="8" t="s">
        <v>5406</v>
      </c>
      <c r="B5383" s="2" t="s">
        <v>12466</v>
      </c>
    </row>
    <row r="5384" spans="1:2" x14ac:dyDescent="0.2">
      <c r="A5384" s="8" t="s">
        <v>5407</v>
      </c>
      <c r="B5384" s="2" t="s">
        <v>12466</v>
      </c>
    </row>
    <row r="5385" spans="1:2" x14ac:dyDescent="0.2">
      <c r="A5385" s="8" t="s">
        <v>5408</v>
      </c>
      <c r="B5385" s="2" t="s">
        <v>12466</v>
      </c>
    </row>
    <row r="5386" spans="1:2" x14ac:dyDescent="0.2">
      <c r="A5386" s="8" t="s">
        <v>5409</v>
      </c>
      <c r="B5386" s="2" t="s">
        <v>12466</v>
      </c>
    </row>
    <row r="5387" spans="1:2" x14ac:dyDescent="0.2">
      <c r="A5387" s="8" t="s">
        <v>5410</v>
      </c>
      <c r="B5387" s="2" t="s">
        <v>12466</v>
      </c>
    </row>
    <row r="5388" spans="1:2" x14ac:dyDescent="0.2">
      <c r="A5388" s="8" t="s">
        <v>5411</v>
      </c>
      <c r="B5388" s="2" t="s">
        <v>12466</v>
      </c>
    </row>
    <row r="5389" spans="1:2" x14ac:dyDescent="0.2">
      <c r="A5389" s="8" t="s">
        <v>5412</v>
      </c>
      <c r="B5389" s="2" t="s">
        <v>12466</v>
      </c>
    </row>
    <row r="5390" spans="1:2" x14ac:dyDescent="0.2">
      <c r="A5390" s="8" t="s">
        <v>5413</v>
      </c>
      <c r="B5390" s="2" t="s">
        <v>12466</v>
      </c>
    </row>
    <row r="5391" spans="1:2" x14ac:dyDescent="0.2">
      <c r="A5391" s="8" t="s">
        <v>5414</v>
      </c>
      <c r="B5391" s="2" t="s">
        <v>12466</v>
      </c>
    </row>
    <row r="5392" spans="1:2" x14ac:dyDescent="0.2">
      <c r="A5392" s="8" t="s">
        <v>5415</v>
      </c>
      <c r="B5392" s="2" t="s">
        <v>12466</v>
      </c>
    </row>
    <row r="5393" spans="1:2" x14ac:dyDescent="0.2">
      <c r="A5393" s="8" t="s">
        <v>5416</v>
      </c>
      <c r="B5393" s="2" t="s">
        <v>12466</v>
      </c>
    </row>
    <row r="5394" spans="1:2" x14ac:dyDescent="0.2">
      <c r="A5394" s="8" t="s">
        <v>5417</v>
      </c>
      <c r="B5394" s="2" t="s">
        <v>12466</v>
      </c>
    </row>
    <row r="5395" spans="1:2" x14ac:dyDescent="0.2">
      <c r="A5395" s="8" t="s">
        <v>5418</v>
      </c>
      <c r="B5395" s="2" t="s">
        <v>12466</v>
      </c>
    </row>
    <row r="5396" spans="1:2" x14ac:dyDescent="0.2">
      <c r="A5396" s="8" t="s">
        <v>5419</v>
      </c>
      <c r="B5396" s="2" t="s">
        <v>12466</v>
      </c>
    </row>
    <row r="5397" spans="1:2" x14ac:dyDescent="0.2">
      <c r="A5397" s="8" t="s">
        <v>5420</v>
      </c>
      <c r="B5397" s="2" t="s">
        <v>12466</v>
      </c>
    </row>
    <row r="5398" spans="1:2" x14ac:dyDescent="0.2">
      <c r="A5398" s="8" t="s">
        <v>5421</v>
      </c>
      <c r="B5398" s="2" t="s">
        <v>12466</v>
      </c>
    </row>
    <row r="5399" spans="1:2" x14ac:dyDescent="0.2">
      <c r="A5399" s="8" t="s">
        <v>5422</v>
      </c>
      <c r="B5399" s="2" t="s">
        <v>12466</v>
      </c>
    </row>
    <row r="5400" spans="1:2" x14ac:dyDescent="0.2">
      <c r="A5400" s="8" t="s">
        <v>5423</v>
      </c>
      <c r="B5400" s="2" t="s">
        <v>12466</v>
      </c>
    </row>
    <row r="5401" spans="1:2" x14ac:dyDescent="0.2">
      <c r="A5401" s="8" t="s">
        <v>5424</v>
      </c>
      <c r="B5401" s="2" t="s">
        <v>12466</v>
      </c>
    </row>
    <row r="5402" spans="1:2" x14ac:dyDescent="0.2">
      <c r="A5402" s="8" t="s">
        <v>5425</v>
      </c>
      <c r="B5402" s="2" t="s">
        <v>12466</v>
      </c>
    </row>
    <row r="5403" spans="1:2" x14ac:dyDescent="0.2">
      <c r="A5403" s="8" t="s">
        <v>5426</v>
      </c>
      <c r="B5403" s="2" t="s">
        <v>12466</v>
      </c>
    </row>
    <row r="5404" spans="1:2" x14ac:dyDescent="0.2">
      <c r="A5404" s="8" t="s">
        <v>5427</v>
      </c>
      <c r="B5404" s="2" t="s">
        <v>12466</v>
      </c>
    </row>
    <row r="5405" spans="1:2" x14ac:dyDescent="0.2">
      <c r="A5405" s="8" t="s">
        <v>5428</v>
      </c>
      <c r="B5405" s="2" t="s">
        <v>12466</v>
      </c>
    </row>
    <row r="5406" spans="1:2" x14ac:dyDescent="0.2">
      <c r="A5406" s="8" t="s">
        <v>5429</v>
      </c>
      <c r="B5406" s="2" t="s">
        <v>12466</v>
      </c>
    </row>
    <row r="5407" spans="1:2" x14ac:dyDescent="0.2">
      <c r="A5407" s="8" t="s">
        <v>5430</v>
      </c>
      <c r="B5407" s="2" t="s">
        <v>12466</v>
      </c>
    </row>
    <row r="5408" spans="1:2" x14ac:dyDescent="0.2">
      <c r="A5408" s="8" t="s">
        <v>5431</v>
      </c>
      <c r="B5408" s="2" t="s">
        <v>12466</v>
      </c>
    </row>
    <row r="5409" spans="1:2" x14ac:dyDescent="0.2">
      <c r="A5409" s="8" t="s">
        <v>5432</v>
      </c>
      <c r="B5409" s="2" t="s">
        <v>12466</v>
      </c>
    </row>
    <row r="5410" spans="1:2" x14ac:dyDescent="0.2">
      <c r="A5410" s="8" t="s">
        <v>5433</v>
      </c>
      <c r="B5410" s="2" t="s">
        <v>12466</v>
      </c>
    </row>
    <row r="5411" spans="1:2" x14ac:dyDescent="0.2">
      <c r="A5411" s="8" t="s">
        <v>5434</v>
      </c>
      <c r="B5411" s="2" t="s">
        <v>12466</v>
      </c>
    </row>
    <row r="5412" spans="1:2" x14ac:dyDescent="0.2">
      <c r="A5412" s="8" t="s">
        <v>5435</v>
      </c>
      <c r="B5412" s="2" t="s">
        <v>12466</v>
      </c>
    </row>
    <row r="5413" spans="1:2" x14ac:dyDescent="0.2">
      <c r="A5413" s="8" t="s">
        <v>5436</v>
      </c>
      <c r="B5413" s="2" t="s">
        <v>12466</v>
      </c>
    </row>
    <row r="5414" spans="1:2" x14ac:dyDescent="0.2">
      <c r="A5414" s="8" t="s">
        <v>5437</v>
      </c>
      <c r="B5414" s="2" t="s">
        <v>12466</v>
      </c>
    </row>
    <row r="5415" spans="1:2" x14ac:dyDescent="0.2">
      <c r="A5415" s="8" t="s">
        <v>5438</v>
      </c>
      <c r="B5415" s="2" t="s">
        <v>12466</v>
      </c>
    </row>
    <row r="5416" spans="1:2" x14ac:dyDescent="0.2">
      <c r="A5416" s="8" t="s">
        <v>5439</v>
      </c>
      <c r="B5416" s="2" t="s">
        <v>12466</v>
      </c>
    </row>
    <row r="5417" spans="1:2" x14ac:dyDescent="0.2">
      <c r="A5417" s="8" t="s">
        <v>5440</v>
      </c>
      <c r="B5417" s="2" t="s">
        <v>12466</v>
      </c>
    </row>
    <row r="5418" spans="1:2" x14ac:dyDescent="0.2">
      <c r="A5418" s="8" t="s">
        <v>5441</v>
      </c>
      <c r="B5418" s="2" t="s">
        <v>12466</v>
      </c>
    </row>
    <row r="5419" spans="1:2" x14ac:dyDescent="0.2">
      <c r="A5419" s="8" t="s">
        <v>5442</v>
      </c>
      <c r="B5419" s="2" t="s">
        <v>12466</v>
      </c>
    </row>
    <row r="5420" spans="1:2" x14ac:dyDescent="0.2">
      <c r="A5420" s="8" t="s">
        <v>5443</v>
      </c>
      <c r="B5420" s="2" t="s">
        <v>12466</v>
      </c>
    </row>
    <row r="5421" spans="1:2" x14ac:dyDescent="0.2">
      <c r="A5421" s="8" t="s">
        <v>5444</v>
      </c>
      <c r="B5421" s="2" t="s">
        <v>12466</v>
      </c>
    </row>
    <row r="5422" spans="1:2" x14ac:dyDescent="0.2">
      <c r="A5422" s="8" t="s">
        <v>5445</v>
      </c>
      <c r="B5422" s="2" t="s">
        <v>12466</v>
      </c>
    </row>
    <row r="5423" spans="1:2" x14ac:dyDescent="0.2">
      <c r="A5423" s="8" t="s">
        <v>5446</v>
      </c>
      <c r="B5423" s="2" t="s">
        <v>12466</v>
      </c>
    </row>
    <row r="5424" spans="1:2" x14ac:dyDescent="0.2">
      <c r="A5424" s="8" t="s">
        <v>5447</v>
      </c>
      <c r="B5424" s="2" t="s">
        <v>12466</v>
      </c>
    </row>
    <row r="5425" spans="1:2" x14ac:dyDescent="0.2">
      <c r="A5425" s="8" t="s">
        <v>5448</v>
      </c>
      <c r="B5425" s="2" t="s">
        <v>12466</v>
      </c>
    </row>
    <row r="5426" spans="1:2" x14ac:dyDescent="0.2">
      <c r="A5426" s="8" t="s">
        <v>5449</v>
      </c>
      <c r="B5426" s="2" t="s">
        <v>12466</v>
      </c>
    </row>
    <row r="5427" spans="1:2" x14ac:dyDescent="0.2">
      <c r="A5427" s="8" t="s">
        <v>5450</v>
      </c>
      <c r="B5427" s="2" t="s">
        <v>12466</v>
      </c>
    </row>
    <row r="5428" spans="1:2" x14ac:dyDescent="0.2">
      <c r="A5428" s="8" t="s">
        <v>5451</v>
      </c>
      <c r="B5428" s="2" t="s">
        <v>12466</v>
      </c>
    </row>
    <row r="5429" spans="1:2" x14ac:dyDescent="0.2">
      <c r="A5429" s="8" t="s">
        <v>5452</v>
      </c>
      <c r="B5429" s="2" t="s">
        <v>12466</v>
      </c>
    </row>
    <row r="5430" spans="1:2" x14ac:dyDescent="0.2">
      <c r="A5430" s="8" t="s">
        <v>5453</v>
      </c>
      <c r="B5430" s="2" t="s">
        <v>12466</v>
      </c>
    </row>
    <row r="5431" spans="1:2" x14ac:dyDescent="0.2">
      <c r="A5431" s="8" t="s">
        <v>5454</v>
      </c>
      <c r="B5431" s="2" t="s">
        <v>12466</v>
      </c>
    </row>
    <row r="5432" spans="1:2" x14ac:dyDescent="0.2">
      <c r="A5432" s="8" t="s">
        <v>5455</v>
      </c>
      <c r="B5432" s="2" t="s">
        <v>12466</v>
      </c>
    </row>
    <row r="5433" spans="1:2" x14ac:dyDescent="0.2">
      <c r="A5433" s="8" t="s">
        <v>5456</v>
      </c>
      <c r="B5433" s="2" t="s">
        <v>12466</v>
      </c>
    </row>
    <row r="5434" spans="1:2" x14ac:dyDescent="0.2">
      <c r="A5434" s="8" t="s">
        <v>5457</v>
      </c>
      <c r="B5434" s="2" t="s">
        <v>12466</v>
      </c>
    </row>
    <row r="5435" spans="1:2" x14ac:dyDescent="0.2">
      <c r="A5435" s="8" t="s">
        <v>5458</v>
      </c>
      <c r="B5435" s="2" t="s">
        <v>12466</v>
      </c>
    </row>
    <row r="5436" spans="1:2" x14ac:dyDescent="0.2">
      <c r="A5436" s="8" t="s">
        <v>5459</v>
      </c>
      <c r="B5436" s="2" t="s">
        <v>12466</v>
      </c>
    </row>
    <row r="5437" spans="1:2" x14ac:dyDescent="0.2">
      <c r="A5437" s="8" t="s">
        <v>5460</v>
      </c>
      <c r="B5437" s="2" t="s">
        <v>12466</v>
      </c>
    </row>
    <row r="5438" spans="1:2" x14ac:dyDescent="0.2">
      <c r="A5438" s="8" t="s">
        <v>5461</v>
      </c>
      <c r="B5438" s="2" t="s">
        <v>12466</v>
      </c>
    </row>
    <row r="5439" spans="1:2" x14ac:dyDescent="0.2">
      <c r="A5439" s="8" t="s">
        <v>5462</v>
      </c>
      <c r="B5439" s="2" t="s">
        <v>12466</v>
      </c>
    </row>
    <row r="5440" spans="1:2" x14ac:dyDescent="0.2">
      <c r="A5440" s="8" t="s">
        <v>5463</v>
      </c>
      <c r="B5440" s="2" t="s">
        <v>12466</v>
      </c>
    </row>
    <row r="5441" spans="1:2" x14ac:dyDescent="0.2">
      <c r="A5441" s="8" t="s">
        <v>5464</v>
      </c>
      <c r="B5441" s="2" t="s">
        <v>12466</v>
      </c>
    </row>
    <row r="5442" spans="1:2" x14ac:dyDescent="0.2">
      <c r="A5442" s="8" t="s">
        <v>5465</v>
      </c>
      <c r="B5442" s="2" t="s">
        <v>12466</v>
      </c>
    </row>
    <row r="5443" spans="1:2" x14ac:dyDescent="0.2">
      <c r="A5443" s="8" t="s">
        <v>5466</v>
      </c>
      <c r="B5443" s="2" t="s">
        <v>12466</v>
      </c>
    </row>
    <row r="5444" spans="1:2" x14ac:dyDescent="0.2">
      <c r="A5444" s="8" t="s">
        <v>5467</v>
      </c>
      <c r="B5444" s="2" t="s">
        <v>12466</v>
      </c>
    </row>
    <row r="5445" spans="1:2" x14ac:dyDescent="0.2">
      <c r="A5445" s="8" t="s">
        <v>5468</v>
      </c>
      <c r="B5445" s="2" t="s">
        <v>12466</v>
      </c>
    </row>
    <row r="5446" spans="1:2" x14ac:dyDescent="0.2">
      <c r="A5446" s="8" t="s">
        <v>5469</v>
      </c>
      <c r="B5446" s="2" t="s">
        <v>12466</v>
      </c>
    </row>
    <row r="5447" spans="1:2" x14ac:dyDescent="0.2">
      <c r="A5447" s="8" t="s">
        <v>5470</v>
      </c>
      <c r="B5447" s="2" t="s">
        <v>12466</v>
      </c>
    </row>
    <row r="5448" spans="1:2" x14ac:dyDescent="0.2">
      <c r="A5448" s="8" t="s">
        <v>5471</v>
      </c>
      <c r="B5448" s="2" t="s">
        <v>12466</v>
      </c>
    </row>
    <row r="5449" spans="1:2" x14ac:dyDescent="0.2">
      <c r="A5449" s="8" t="s">
        <v>5472</v>
      </c>
      <c r="B5449" s="2" t="s">
        <v>12466</v>
      </c>
    </row>
    <row r="5450" spans="1:2" x14ac:dyDescent="0.2">
      <c r="A5450" s="8" t="s">
        <v>5473</v>
      </c>
      <c r="B5450" s="2" t="s">
        <v>12466</v>
      </c>
    </row>
    <row r="5451" spans="1:2" x14ac:dyDescent="0.2">
      <c r="A5451" s="8" t="s">
        <v>5474</v>
      </c>
      <c r="B5451" s="2" t="s">
        <v>12466</v>
      </c>
    </row>
    <row r="5452" spans="1:2" x14ac:dyDescent="0.2">
      <c r="A5452" s="8" t="s">
        <v>5475</v>
      </c>
      <c r="B5452" s="2" t="s">
        <v>12466</v>
      </c>
    </row>
    <row r="5453" spans="1:2" x14ac:dyDescent="0.2">
      <c r="A5453" s="8" t="s">
        <v>5476</v>
      </c>
      <c r="B5453" s="2" t="s">
        <v>12466</v>
      </c>
    </row>
    <row r="5454" spans="1:2" x14ac:dyDescent="0.2">
      <c r="A5454" s="8" t="s">
        <v>5477</v>
      </c>
      <c r="B5454" s="2" t="s">
        <v>12466</v>
      </c>
    </row>
    <row r="5455" spans="1:2" x14ac:dyDescent="0.2">
      <c r="A5455" s="8" t="s">
        <v>5478</v>
      </c>
      <c r="B5455" s="2" t="s">
        <v>12466</v>
      </c>
    </row>
    <row r="5456" spans="1:2" x14ac:dyDescent="0.2">
      <c r="A5456" s="8" t="s">
        <v>5479</v>
      </c>
      <c r="B5456" s="2" t="s">
        <v>12466</v>
      </c>
    </row>
    <row r="5457" spans="1:2" x14ac:dyDescent="0.2">
      <c r="A5457" s="8" t="s">
        <v>5480</v>
      </c>
      <c r="B5457" s="2" t="s">
        <v>12466</v>
      </c>
    </row>
    <row r="5458" spans="1:2" x14ac:dyDescent="0.2">
      <c r="A5458" s="8" t="s">
        <v>5481</v>
      </c>
      <c r="B5458" s="2" t="s">
        <v>12466</v>
      </c>
    </row>
    <row r="5459" spans="1:2" x14ac:dyDescent="0.2">
      <c r="A5459" s="8" t="s">
        <v>5482</v>
      </c>
      <c r="B5459" s="2" t="s">
        <v>12466</v>
      </c>
    </row>
    <row r="5460" spans="1:2" x14ac:dyDescent="0.2">
      <c r="A5460" s="8" t="s">
        <v>5483</v>
      </c>
      <c r="B5460" s="2" t="s">
        <v>12466</v>
      </c>
    </row>
    <row r="5461" spans="1:2" x14ac:dyDescent="0.2">
      <c r="A5461" s="8" t="s">
        <v>5484</v>
      </c>
      <c r="B5461" s="2" t="s">
        <v>12466</v>
      </c>
    </row>
    <row r="5462" spans="1:2" x14ac:dyDescent="0.2">
      <c r="A5462" s="8" t="s">
        <v>5485</v>
      </c>
      <c r="B5462" s="2" t="s">
        <v>12466</v>
      </c>
    </row>
    <row r="5463" spans="1:2" x14ac:dyDescent="0.2">
      <c r="A5463" s="8" t="s">
        <v>5486</v>
      </c>
      <c r="B5463" s="2" t="s">
        <v>12466</v>
      </c>
    </row>
    <row r="5464" spans="1:2" x14ac:dyDescent="0.2">
      <c r="A5464" s="8" t="s">
        <v>5487</v>
      </c>
      <c r="B5464" s="2" t="s">
        <v>12466</v>
      </c>
    </row>
    <row r="5465" spans="1:2" x14ac:dyDescent="0.2">
      <c r="A5465" s="8" t="s">
        <v>5488</v>
      </c>
      <c r="B5465" s="2" t="s">
        <v>12466</v>
      </c>
    </row>
    <row r="5466" spans="1:2" x14ac:dyDescent="0.2">
      <c r="A5466" s="8" t="s">
        <v>5489</v>
      </c>
      <c r="B5466" s="2" t="s">
        <v>12466</v>
      </c>
    </row>
    <row r="5467" spans="1:2" x14ac:dyDescent="0.2">
      <c r="A5467" s="8" t="s">
        <v>5490</v>
      </c>
      <c r="B5467" s="2" t="s">
        <v>12466</v>
      </c>
    </row>
    <row r="5468" spans="1:2" x14ac:dyDescent="0.2">
      <c r="A5468" s="8" t="s">
        <v>5491</v>
      </c>
      <c r="B5468" s="2" t="s">
        <v>12466</v>
      </c>
    </row>
    <row r="5469" spans="1:2" x14ac:dyDescent="0.2">
      <c r="A5469" s="8" t="s">
        <v>5492</v>
      </c>
      <c r="B5469" s="2" t="s">
        <v>12466</v>
      </c>
    </row>
    <row r="5470" spans="1:2" x14ac:dyDescent="0.2">
      <c r="A5470" s="8" t="s">
        <v>5493</v>
      </c>
      <c r="B5470" s="2" t="s">
        <v>12466</v>
      </c>
    </row>
    <row r="5471" spans="1:2" x14ac:dyDescent="0.2">
      <c r="A5471" s="8" t="s">
        <v>5494</v>
      </c>
      <c r="B5471" s="2" t="s">
        <v>12466</v>
      </c>
    </row>
    <row r="5472" spans="1:2" x14ac:dyDescent="0.2">
      <c r="A5472" s="8" t="s">
        <v>5495</v>
      </c>
      <c r="B5472" s="2" t="s">
        <v>12466</v>
      </c>
    </row>
    <row r="5473" spans="1:2" x14ac:dyDescent="0.2">
      <c r="A5473" s="8" t="s">
        <v>5496</v>
      </c>
      <c r="B5473" s="2" t="s">
        <v>12466</v>
      </c>
    </row>
    <row r="5474" spans="1:2" x14ac:dyDescent="0.2">
      <c r="A5474" s="8" t="s">
        <v>5497</v>
      </c>
      <c r="B5474" s="2" t="s">
        <v>12466</v>
      </c>
    </row>
    <row r="5475" spans="1:2" x14ac:dyDescent="0.2">
      <c r="A5475" s="8" t="s">
        <v>5498</v>
      </c>
      <c r="B5475" s="2" t="s">
        <v>12466</v>
      </c>
    </row>
    <row r="5476" spans="1:2" x14ac:dyDescent="0.2">
      <c r="A5476" s="8" t="s">
        <v>5499</v>
      </c>
      <c r="B5476" s="2" t="s">
        <v>12466</v>
      </c>
    </row>
    <row r="5477" spans="1:2" x14ac:dyDescent="0.2">
      <c r="A5477" s="8" t="s">
        <v>5500</v>
      </c>
      <c r="B5477" s="2" t="s">
        <v>12466</v>
      </c>
    </row>
    <row r="5478" spans="1:2" x14ac:dyDescent="0.2">
      <c r="A5478" s="8" t="s">
        <v>5501</v>
      </c>
      <c r="B5478" s="2" t="s">
        <v>12466</v>
      </c>
    </row>
    <row r="5479" spans="1:2" x14ac:dyDescent="0.2">
      <c r="A5479" s="8" t="s">
        <v>5502</v>
      </c>
      <c r="B5479" s="2" t="s">
        <v>12466</v>
      </c>
    </row>
    <row r="5480" spans="1:2" x14ac:dyDescent="0.2">
      <c r="A5480" s="8" t="s">
        <v>5503</v>
      </c>
      <c r="B5480" s="2" t="s">
        <v>12466</v>
      </c>
    </row>
    <row r="5481" spans="1:2" x14ac:dyDescent="0.2">
      <c r="A5481" s="8" t="s">
        <v>5504</v>
      </c>
      <c r="B5481" s="2" t="s">
        <v>12466</v>
      </c>
    </row>
    <row r="5482" spans="1:2" x14ac:dyDescent="0.2">
      <c r="A5482" s="8" t="s">
        <v>5505</v>
      </c>
      <c r="B5482" s="2" t="s">
        <v>12466</v>
      </c>
    </row>
    <row r="5483" spans="1:2" x14ac:dyDescent="0.2">
      <c r="A5483" s="8" t="s">
        <v>5506</v>
      </c>
      <c r="B5483" s="2" t="s">
        <v>12466</v>
      </c>
    </row>
    <row r="5484" spans="1:2" x14ac:dyDescent="0.2">
      <c r="A5484" s="8" t="s">
        <v>5507</v>
      </c>
      <c r="B5484" s="2" t="s">
        <v>12466</v>
      </c>
    </row>
    <row r="5485" spans="1:2" x14ac:dyDescent="0.2">
      <c r="A5485" s="8" t="s">
        <v>5508</v>
      </c>
      <c r="B5485" s="2" t="s">
        <v>12466</v>
      </c>
    </row>
    <row r="5486" spans="1:2" x14ac:dyDescent="0.2">
      <c r="A5486" s="8" t="s">
        <v>5509</v>
      </c>
      <c r="B5486" s="2" t="s">
        <v>12466</v>
      </c>
    </row>
    <row r="5487" spans="1:2" x14ac:dyDescent="0.2">
      <c r="A5487" s="8" t="s">
        <v>5510</v>
      </c>
      <c r="B5487" s="2" t="s">
        <v>12466</v>
      </c>
    </row>
    <row r="5488" spans="1:2" x14ac:dyDescent="0.2">
      <c r="A5488" s="8" t="s">
        <v>5511</v>
      </c>
      <c r="B5488" s="2" t="s">
        <v>12466</v>
      </c>
    </row>
    <row r="5489" spans="1:2" x14ac:dyDescent="0.2">
      <c r="A5489" s="8" t="s">
        <v>5512</v>
      </c>
      <c r="B5489" s="2" t="s">
        <v>12466</v>
      </c>
    </row>
    <row r="5490" spans="1:2" x14ac:dyDescent="0.2">
      <c r="A5490" s="8" t="s">
        <v>5513</v>
      </c>
      <c r="B5490" s="2" t="s">
        <v>12466</v>
      </c>
    </row>
    <row r="5491" spans="1:2" x14ac:dyDescent="0.2">
      <c r="A5491" s="8" t="s">
        <v>5514</v>
      </c>
      <c r="B5491" s="2" t="s">
        <v>12466</v>
      </c>
    </row>
    <row r="5492" spans="1:2" x14ac:dyDescent="0.2">
      <c r="A5492" s="8" t="s">
        <v>5515</v>
      </c>
      <c r="B5492" s="2" t="s">
        <v>12466</v>
      </c>
    </row>
    <row r="5493" spans="1:2" x14ac:dyDescent="0.2">
      <c r="A5493" s="8" t="s">
        <v>5516</v>
      </c>
      <c r="B5493" s="2" t="s">
        <v>12466</v>
      </c>
    </row>
    <row r="5494" spans="1:2" x14ac:dyDescent="0.2">
      <c r="A5494" s="8" t="s">
        <v>5517</v>
      </c>
      <c r="B5494" s="2" t="s">
        <v>12466</v>
      </c>
    </row>
    <row r="5495" spans="1:2" x14ac:dyDescent="0.2">
      <c r="A5495" s="8" t="s">
        <v>5518</v>
      </c>
      <c r="B5495" s="2" t="s">
        <v>12466</v>
      </c>
    </row>
    <row r="5496" spans="1:2" x14ac:dyDescent="0.2">
      <c r="A5496" s="8" t="s">
        <v>5519</v>
      </c>
      <c r="B5496" s="2" t="s">
        <v>12466</v>
      </c>
    </row>
    <row r="5497" spans="1:2" x14ac:dyDescent="0.2">
      <c r="A5497" s="8" t="s">
        <v>5520</v>
      </c>
      <c r="B5497" s="2" t="s">
        <v>12466</v>
      </c>
    </row>
    <row r="5498" spans="1:2" x14ac:dyDescent="0.2">
      <c r="A5498" s="8" t="s">
        <v>5521</v>
      </c>
      <c r="B5498" s="2" t="s">
        <v>12466</v>
      </c>
    </row>
    <row r="5499" spans="1:2" x14ac:dyDescent="0.2">
      <c r="A5499" s="8" t="s">
        <v>5522</v>
      </c>
      <c r="B5499" s="2" t="s">
        <v>12467</v>
      </c>
    </row>
    <row r="5500" spans="1:2" x14ac:dyDescent="0.2">
      <c r="A5500" s="8" t="s">
        <v>5523</v>
      </c>
      <c r="B5500" s="2" t="s">
        <v>12467</v>
      </c>
    </row>
    <row r="5501" spans="1:2" x14ac:dyDescent="0.2">
      <c r="A5501" s="8" t="s">
        <v>5524</v>
      </c>
      <c r="B5501" s="2" t="s">
        <v>12467</v>
      </c>
    </row>
    <row r="5502" spans="1:2" x14ac:dyDescent="0.2">
      <c r="A5502" s="8" t="s">
        <v>5525</v>
      </c>
      <c r="B5502" s="2" t="s">
        <v>12467</v>
      </c>
    </row>
    <row r="5503" spans="1:2" x14ac:dyDescent="0.2">
      <c r="A5503" s="8" t="s">
        <v>5526</v>
      </c>
      <c r="B5503" s="2" t="s">
        <v>12467</v>
      </c>
    </row>
    <row r="5504" spans="1:2" x14ac:dyDescent="0.2">
      <c r="A5504" s="8" t="s">
        <v>5527</v>
      </c>
      <c r="B5504" s="2" t="s">
        <v>12467</v>
      </c>
    </row>
    <row r="5505" spans="1:2" x14ac:dyDescent="0.2">
      <c r="A5505" s="8" t="s">
        <v>5528</v>
      </c>
      <c r="B5505" s="2" t="s">
        <v>12467</v>
      </c>
    </row>
    <row r="5506" spans="1:2" x14ac:dyDescent="0.2">
      <c r="A5506" s="8" t="s">
        <v>5529</v>
      </c>
      <c r="B5506" s="2" t="s">
        <v>12467</v>
      </c>
    </row>
    <row r="5507" spans="1:2" x14ac:dyDescent="0.2">
      <c r="A5507" s="8" t="s">
        <v>5530</v>
      </c>
      <c r="B5507" s="2" t="s">
        <v>12467</v>
      </c>
    </row>
    <row r="5508" spans="1:2" x14ac:dyDescent="0.2">
      <c r="A5508" s="8" t="s">
        <v>5531</v>
      </c>
      <c r="B5508" s="2" t="s">
        <v>12467</v>
      </c>
    </row>
    <row r="5509" spans="1:2" x14ac:dyDescent="0.2">
      <c r="A5509" s="8" t="s">
        <v>5532</v>
      </c>
      <c r="B5509" s="2" t="s">
        <v>12467</v>
      </c>
    </row>
    <row r="5510" spans="1:2" x14ac:dyDescent="0.2">
      <c r="A5510" s="8" t="s">
        <v>5533</v>
      </c>
      <c r="B5510" s="2" t="s">
        <v>12467</v>
      </c>
    </row>
    <row r="5511" spans="1:2" x14ac:dyDescent="0.2">
      <c r="A5511" s="8" t="s">
        <v>5534</v>
      </c>
      <c r="B5511" s="2" t="s">
        <v>12467</v>
      </c>
    </row>
    <row r="5512" spans="1:2" x14ac:dyDescent="0.2">
      <c r="A5512" s="8" t="s">
        <v>5535</v>
      </c>
      <c r="B5512" s="2" t="s">
        <v>12467</v>
      </c>
    </row>
    <row r="5513" spans="1:2" x14ac:dyDescent="0.2">
      <c r="A5513" s="8" t="s">
        <v>5536</v>
      </c>
      <c r="B5513" s="2" t="s">
        <v>12467</v>
      </c>
    </row>
    <row r="5514" spans="1:2" x14ac:dyDescent="0.2">
      <c r="A5514" s="8" t="s">
        <v>5537</v>
      </c>
      <c r="B5514" s="2" t="s">
        <v>12467</v>
      </c>
    </row>
    <row r="5515" spans="1:2" x14ac:dyDescent="0.2">
      <c r="A5515" s="8" t="s">
        <v>5538</v>
      </c>
      <c r="B5515" s="2" t="s">
        <v>12467</v>
      </c>
    </row>
    <row r="5516" spans="1:2" x14ac:dyDescent="0.2">
      <c r="A5516" s="8" t="s">
        <v>5539</v>
      </c>
      <c r="B5516" s="2" t="s">
        <v>12467</v>
      </c>
    </row>
    <row r="5517" spans="1:2" x14ac:dyDescent="0.2">
      <c r="A5517" s="8" t="s">
        <v>5540</v>
      </c>
      <c r="B5517" s="2" t="s">
        <v>12467</v>
      </c>
    </row>
    <row r="5518" spans="1:2" x14ac:dyDescent="0.2">
      <c r="A5518" s="8" t="s">
        <v>5541</v>
      </c>
      <c r="B5518" s="2" t="s">
        <v>12467</v>
      </c>
    </row>
    <row r="5519" spans="1:2" x14ac:dyDescent="0.2">
      <c r="A5519" s="8" t="s">
        <v>5542</v>
      </c>
      <c r="B5519" s="2" t="s">
        <v>12467</v>
      </c>
    </row>
    <row r="5520" spans="1:2" x14ac:dyDescent="0.2">
      <c r="A5520" s="8" t="s">
        <v>5543</v>
      </c>
      <c r="B5520" s="2" t="s">
        <v>12467</v>
      </c>
    </row>
    <row r="5521" spans="1:2" x14ac:dyDescent="0.2">
      <c r="A5521" s="8" t="s">
        <v>5544</v>
      </c>
      <c r="B5521" s="2" t="s">
        <v>12467</v>
      </c>
    </row>
    <row r="5522" spans="1:2" x14ac:dyDescent="0.2">
      <c r="A5522" s="8" t="s">
        <v>5545</v>
      </c>
      <c r="B5522" s="2" t="s">
        <v>12467</v>
      </c>
    </row>
    <row r="5523" spans="1:2" x14ac:dyDescent="0.2">
      <c r="A5523" s="8" t="s">
        <v>5546</v>
      </c>
      <c r="B5523" s="2" t="s">
        <v>12467</v>
      </c>
    </row>
    <row r="5524" spans="1:2" x14ac:dyDescent="0.2">
      <c r="A5524" s="8" t="s">
        <v>5547</v>
      </c>
      <c r="B5524" s="2" t="s">
        <v>12467</v>
      </c>
    </row>
    <row r="5525" spans="1:2" x14ac:dyDescent="0.2">
      <c r="A5525" s="8" t="s">
        <v>5548</v>
      </c>
      <c r="B5525" s="2" t="s">
        <v>12467</v>
      </c>
    </row>
    <row r="5526" spans="1:2" x14ac:dyDescent="0.2">
      <c r="A5526" s="8" t="s">
        <v>5549</v>
      </c>
      <c r="B5526" s="2" t="s">
        <v>12467</v>
      </c>
    </row>
    <row r="5527" spans="1:2" x14ac:dyDescent="0.2">
      <c r="A5527" s="8" t="s">
        <v>5550</v>
      </c>
      <c r="B5527" s="2" t="s">
        <v>12467</v>
      </c>
    </row>
    <row r="5528" spans="1:2" x14ac:dyDescent="0.2">
      <c r="A5528" s="8" t="s">
        <v>5551</v>
      </c>
      <c r="B5528" s="2" t="s">
        <v>12467</v>
      </c>
    </row>
    <row r="5529" spans="1:2" x14ac:dyDescent="0.2">
      <c r="A5529" s="8" t="s">
        <v>5552</v>
      </c>
      <c r="B5529" s="2" t="s">
        <v>12467</v>
      </c>
    </row>
    <row r="5530" spans="1:2" x14ac:dyDescent="0.2">
      <c r="A5530" s="8" t="s">
        <v>5553</v>
      </c>
      <c r="B5530" s="2" t="s">
        <v>12467</v>
      </c>
    </row>
    <row r="5531" spans="1:2" x14ac:dyDescent="0.2">
      <c r="A5531" s="8" t="s">
        <v>5554</v>
      </c>
      <c r="B5531" s="2" t="s">
        <v>12467</v>
      </c>
    </row>
    <row r="5532" spans="1:2" x14ac:dyDescent="0.2">
      <c r="A5532" s="8" t="s">
        <v>5555</v>
      </c>
      <c r="B5532" s="2" t="s">
        <v>12467</v>
      </c>
    </row>
    <row r="5533" spans="1:2" x14ac:dyDescent="0.2">
      <c r="A5533" s="8" t="s">
        <v>5556</v>
      </c>
      <c r="B5533" s="2" t="s">
        <v>12467</v>
      </c>
    </row>
    <row r="5534" spans="1:2" x14ac:dyDescent="0.2">
      <c r="A5534" s="8" t="s">
        <v>5557</v>
      </c>
      <c r="B5534" s="2" t="s">
        <v>12467</v>
      </c>
    </row>
    <row r="5535" spans="1:2" x14ac:dyDescent="0.2">
      <c r="A5535" s="8" t="s">
        <v>5558</v>
      </c>
      <c r="B5535" s="2" t="s">
        <v>12467</v>
      </c>
    </row>
    <row r="5536" spans="1:2" x14ac:dyDescent="0.2">
      <c r="A5536" s="8" t="s">
        <v>5559</v>
      </c>
      <c r="B5536" s="2" t="s">
        <v>12467</v>
      </c>
    </row>
    <row r="5537" spans="1:2" x14ac:dyDescent="0.2">
      <c r="A5537" s="8" t="s">
        <v>5560</v>
      </c>
      <c r="B5537" s="2" t="s">
        <v>12467</v>
      </c>
    </row>
    <row r="5538" spans="1:2" x14ac:dyDescent="0.2">
      <c r="A5538" s="8" t="s">
        <v>5561</v>
      </c>
      <c r="B5538" s="2" t="s">
        <v>12467</v>
      </c>
    </row>
    <row r="5539" spans="1:2" x14ac:dyDescent="0.2">
      <c r="A5539" s="8" t="s">
        <v>5562</v>
      </c>
      <c r="B5539" s="2" t="s">
        <v>12467</v>
      </c>
    </row>
    <row r="5540" spans="1:2" x14ac:dyDescent="0.2">
      <c r="A5540" s="8" t="s">
        <v>5563</v>
      </c>
      <c r="B5540" s="2" t="s">
        <v>12467</v>
      </c>
    </row>
    <row r="5541" spans="1:2" x14ac:dyDescent="0.2">
      <c r="A5541" s="8" t="s">
        <v>5564</v>
      </c>
      <c r="B5541" s="2" t="s">
        <v>12467</v>
      </c>
    </row>
    <row r="5542" spans="1:2" x14ac:dyDescent="0.2">
      <c r="A5542" s="8" t="s">
        <v>5565</v>
      </c>
      <c r="B5542" s="2" t="s">
        <v>12467</v>
      </c>
    </row>
    <row r="5543" spans="1:2" x14ac:dyDescent="0.2">
      <c r="A5543" s="8" t="s">
        <v>5566</v>
      </c>
      <c r="B5543" s="2" t="s">
        <v>12467</v>
      </c>
    </row>
    <row r="5544" spans="1:2" x14ac:dyDescent="0.2">
      <c r="A5544" s="8" t="s">
        <v>5567</v>
      </c>
      <c r="B5544" s="2" t="s">
        <v>12467</v>
      </c>
    </row>
    <row r="5545" spans="1:2" x14ac:dyDescent="0.2">
      <c r="A5545" s="8" t="s">
        <v>5568</v>
      </c>
      <c r="B5545" s="2" t="s">
        <v>12467</v>
      </c>
    </row>
    <row r="5546" spans="1:2" x14ac:dyDescent="0.2">
      <c r="A5546" s="8" t="s">
        <v>5569</v>
      </c>
      <c r="B5546" s="2" t="s">
        <v>12467</v>
      </c>
    </row>
    <row r="5547" spans="1:2" x14ac:dyDescent="0.2">
      <c r="A5547" s="8" t="s">
        <v>5570</v>
      </c>
      <c r="B5547" s="2" t="s">
        <v>12467</v>
      </c>
    </row>
    <row r="5548" spans="1:2" x14ac:dyDescent="0.2">
      <c r="A5548" s="8" t="s">
        <v>5571</v>
      </c>
      <c r="B5548" s="2" t="s">
        <v>12467</v>
      </c>
    </row>
    <row r="5549" spans="1:2" x14ac:dyDescent="0.2">
      <c r="A5549" s="8" t="s">
        <v>5572</v>
      </c>
      <c r="B5549" s="2" t="s">
        <v>12467</v>
      </c>
    </row>
    <row r="5550" spans="1:2" x14ac:dyDescent="0.2">
      <c r="A5550" s="8" t="s">
        <v>5573</v>
      </c>
      <c r="B5550" s="2" t="s">
        <v>12467</v>
      </c>
    </row>
    <row r="5551" spans="1:2" x14ac:dyDescent="0.2">
      <c r="A5551" s="8" t="s">
        <v>5574</v>
      </c>
      <c r="B5551" s="2" t="s">
        <v>12467</v>
      </c>
    </row>
    <row r="5552" spans="1:2" x14ac:dyDescent="0.2">
      <c r="A5552" s="8" t="s">
        <v>5575</v>
      </c>
      <c r="B5552" s="2" t="s">
        <v>12467</v>
      </c>
    </row>
    <row r="5553" spans="1:2" x14ac:dyDescent="0.2">
      <c r="A5553" s="8" t="s">
        <v>5576</v>
      </c>
      <c r="B5553" s="2" t="s">
        <v>12467</v>
      </c>
    </row>
    <row r="5554" spans="1:2" x14ac:dyDescent="0.2">
      <c r="A5554" s="8" t="s">
        <v>5577</v>
      </c>
      <c r="B5554" s="2" t="s">
        <v>12467</v>
      </c>
    </row>
    <row r="5555" spans="1:2" x14ac:dyDescent="0.2">
      <c r="A5555" s="8" t="s">
        <v>5578</v>
      </c>
      <c r="B5555" s="2" t="s">
        <v>12467</v>
      </c>
    </row>
    <row r="5556" spans="1:2" x14ac:dyDescent="0.2">
      <c r="A5556" s="8" t="s">
        <v>5579</v>
      </c>
      <c r="B5556" s="2" t="s">
        <v>12467</v>
      </c>
    </row>
    <row r="5557" spans="1:2" x14ac:dyDescent="0.2">
      <c r="A5557" s="8" t="s">
        <v>5580</v>
      </c>
      <c r="B5557" s="2" t="s">
        <v>12467</v>
      </c>
    </row>
    <row r="5558" spans="1:2" x14ac:dyDescent="0.2">
      <c r="A5558" s="8" t="s">
        <v>5581</v>
      </c>
      <c r="B5558" s="2" t="s">
        <v>12467</v>
      </c>
    </row>
    <row r="5559" spans="1:2" x14ac:dyDescent="0.2">
      <c r="A5559" s="8" t="s">
        <v>5582</v>
      </c>
      <c r="B5559" s="2" t="s">
        <v>12467</v>
      </c>
    </row>
    <row r="5560" spans="1:2" x14ac:dyDescent="0.2">
      <c r="A5560" s="8" t="s">
        <v>5583</v>
      </c>
      <c r="B5560" s="2" t="s">
        <v>12467</v>
      </c>
    </row>
    <row r="5561" spans="1:2" x14ac:dyDescent="0.2">
      <c r="A5561" s="8" t="s">
        <v>5584</v>
      </c>
      <c r="B5561" s="2" t="s">
        <v>12467</v>
      </c>
    </row>
    <row r="5562" spans="1:2" x14ac:dyDescent="0.2">
      <c r="A5562" s="8" t="s">
        <v>5585</v>
      </c>
      <c r="B5562" s="2" t="s">
        <v>12467</v>
      </c>
    </row>
    <row r="5563" spans="1:2" x14ac:dyDescent="0.2">
      <c r="A5563" s="8" t="s">
        <v>5586</v>
      </c>
      <c r="B5563" s="2" t="s">
        <v>12467</v>
      </c>
    </row>
    <row r="5564" spans="1:2" x14ac:dyDescent="0.2">
      <c r="A5564" s="8" t="s">
        <v>5587</v>
      </c>
      <c r="B5564" s="2" t="s">
        <v>12467</v>
      </c>
    </row>
    <row r="5565" spans="1:2" x14ac:dyDescent="0.2">
      <c r="A5565" s="8" t="s">
        <v>5588</v>
      </c>
      <c r="B5565" s="2" t="s">
        <v>12467</v>
      </c>
    </row>
    <row r="5566" spans="1:2" x14ac:dyDescent="0.2">
      <c r="A5566" s="8" t="s">
        <v>5589</v>
      </c>
      <c r="B5566" s="2" t="s">
        <v>12467</v>
      </c>
    </row>
    <row r="5567" spans="1:2" x14ac:dyDescent="0.2">
      <c r="A5567" s="8" t="s">
        <v>5590</v>
      </c>
      <c r="B5567" s="2" t="s">
        <v>12467</v>
      </c>
    </row>
    <row r="5568" spans="1:2" x14ac:dyDescent="0.2">
      <c r="A5568" s="8" t="s">
        <v>5591</v>
      </c>
      <c r="B5568" s="2" t="s">
        <v>12467</v>
      </c>
    </row>
    <row r="5569" spans="1:2" x14ac:dyDescent="0.2">
      <c r="A5569" s="8" t="s">
        <v>5592</v>
      </c>
      <c r="B5569" s="2" t="s">
        <v>12467</v>
      </c>
    </row>
    <row r="5570" spans="1:2" x14ac:dyDescent="0.2">
      <c r="A5570" s="8" t="s">
        <v>5593</v>
      </c>
      <c r="B5570" s="2" t="s">
        <v>12467</v>
      </c>
    </row>
    <row r="5571" spans="1:2" x14ac:dyDescent="0.2">
      <c r="A5571" s="8" t="s">
        <v>5594</v>
      </c>
      <c r="B5571" s="2" t="s">
        <v>12467</v>
      </c>
    </row>
    <row r="5572" spans="1:2" x14ac:dyDescent="0.2">
      <c r="A5572" s="8" t="s">
        <v>5595</v>
      </c>
      <c r="B5572" s="2" t="s">
        <v>12467</v>
      </c>
    </row>
    <row r="5573" spans="1:2" x14ac:dyDescent="0.2">
      <c r="A5573" s="8" t="s">
        <v>5596</v>
      </c>
      <c r="B5573" s="2" t="s">
        <v>12467</v>
      </c>
    </row>
    <row r="5574" spans="1:2" x14ac:dyDescent="0.2">
      <c r="A5574" s="8" t="s">
        <v>5597</v>
      </c>
      <c r="B5574" s="2" t="s">
        <v>12467</v>
      </c>
    </row>
    <row r="5575" spans="1:2" x14ac:dyDescent="0.2">
      <c r="A5575" s="8" t="s">
        <v>5598</v>
      </c>
      <c r="B5575" s="2" t="s">
        <v>12467</v>
      </c>
    </row>
    <row r="5576" spans="1:2" x14ac:dyDescent="0.2">
      <c r="A5576" s="8" t="s">
        <v>5599</v>
      </c>
      <c r="B5576" s="2" t="s">
        <v>12467</v>
      </c>
    </row>
    <row r="5577" spans="1:2" x14ac:dyDescent="0.2">
      <c r="A5577" s="8" t="s">
        <v>5600</v>
      </c>
      <c r="B5577" s="2" t="s">
        <v>12467</v>
      </c>
    </row>
    <row r="5578" spans="1:2" x14ac:dyDescent="0.2">
      <c r="A5578" s="8" t="s">
        <v>5601</v>
      </c>
      <c r="B5578" s="2" t="s">
        <v>12467</v>
      </c>
    </row>
    <row r="5579" spans="1:2" x14ac:dyDescent="0.2">
      <c r="A5579" s="8" t="s">
        <v>5602</v>
      </c>
      <c r="B5579" s="2" t="s">
        <v>12467</v>
      </c>
    </row>
    <row r="5580" spans="1:2" x14ac:dyDescent="0.2">
      <c r="A5580" s="8" t="s">
        <v>5603</v>
      </c>
      <c r="B5580" s="2" t="s">
        <v>12467</v>
      </c>
    </row>
    <row r="5581" spans="1:2" x14ac:dyDescent="0.2">
      <c r="A5581" s="8" t="s">
        <v>5604</v>
      </c>
      <c r="B5581" s="2" t="s">
        <v>12467</v>
      </c>
    </row>
    <row r="5582" spans="1:2" x14ac:dyDescent="0.2">
      <c r="A5582" s="8" t="s">
        <v>5605</v>
      </c>
      <c r="B5582" s="2" t="s">
        <v>12467</v>
      </c>
    </row>
    <row r="5583" spans="1:2" x14ac:dyDescent="0.2">
      <c r="A5583" s="8" t="s">
        <v>5606</v>
      </c>
      <c r="B5583" s="2" t="s">
        <v>12467</v>
      </c>
    </row>
    <row r="5584" spans="1:2" x14ac:dyDescent="0.2">
      <c r="A5584" s="8" t="s">
        <v>5607</v>
      </c>
      <c r="B5584" s="2" t="s">
        <v>12467</v>
      </c>
    </row>
    <row r="5585" spans="1:2" x14ac:dyDescent="0.2">
      <c r="A5585" s="8" t="s">
        <v>5608</v>
      </c>
      <c r="B5585" s="2" t="s">
        <v>12467</v>
      </c>
    </row>
    <row r="5586" spans="1:2" x14ac:dyDescent="0.2">
      <c r="A5586" s="8" t="s">
        <v>5609</v>
      </c>
      <c r="B5586" s="2" t="s">
        <v>12467</v>
      </c>
    </row>
    <row r="5587" spans="1:2" x14ac:dyDescent="0.2">
      <c r="A5587" s="8" t="s">
        <v>5610</v>
      </c>
      <c r="B5587" s="2" t="s">
        <v>12467</v>
      </c>
    </row>
    <row r="5588" spans="1:2" x14ac:dyDescent="0.2">
      <c r="A5588" s="8" t="s">
        <v>5611</v>
      </c>
      <c r="B5588" s="2" t="s">
        <v>12467</v>
      </c>
    </row>
    <row r="5589" spans="1:2" x14ac:dyDescent="0.2">
      <c r="A5589" s="8" t="s">
        <v>5612</v>
      </c>
      <c r="B5589" s="2" t="s">
        <v>12467</v>
      </c>
    </row>
    <row r="5590" spans="1:2" x14ac:dyDescent="0.2">
      <c r="A5590" s="8" t="s">
        <v>5613</v>
      </c>
      <c r="B5590" s="2" t="s">
        <v>12467</v>
      </c>
    </row>
    <row r="5591" spans="1:2" x14ac:dyDescent="0.2">
      <c r="A5591" s="8" t="s">
        <v>5614</v>
      </c>
      <c r="B5591" s="2" t="s">
        <v>12467</v>
      </c>
    </row>
    <row r="5592" spans="1:2" x14ac:dyDescent="0.2">
      <c r="A5592" s="8" t="s">
        <v>5615</v>
      </c>
      <c r="B5592" s="2" t="s">
        <v>12467</v>
      </c>
    </row>
    <row r="5593" spans="1:2" x14ac:dyDescent="0.2">
      <c r="A5593" s="8" t="s">
        <v>5616</v>
      </c>
      <c r="B5593" s="2" t="s">
        <v>12467</v>
      </c>
    </row>
    <row r="5594" spans="1:2" x14ac:dyDescent="0.2">
      <c r="A5594" s="8" t="s">
        <v>5617</v>
      </c>
      <c r="B5594" s="2" t="s">
        <v>12467</v>
      </c>
    </row>
    <row r="5595" spans="1:2" x14ac:dyDescent="0.2">
      <c r="A5595" s="8" t="s">
        <v>5618</v>
      </c>
      <c r="B5595" s="2" t="s">
        <v>12467</v>
      </c>
    </row>
    <row r="5596" spans="1:2" x14ac:dyDescent="0.2">
      <c r="A5596" s="8" t="s">
        <v>5619</v>
      </c>
      <c r="B5596" s="2" t="s">
        <v>12467</v>
      </c>
    </row>
    <row r="5597" spans="1:2" x14ac:dyDescent="0.2">
      <c r="A5597" s="8" t="s">
        <v>5620</v>
      </c>
      <c r="B5597" s="2" t="s">
        <v>12467</v>
      </c>
    </row>
    <row r="5598" spans="1:2" x14ac:dyDescent="0.2">
      <c r="A5598" s="8" t="s">
        <v>5621</v>
      </c>
      <c r="B5598" s="2" t="s">
        <v>12467</v>
      </c>
    </row>
    <row r="5599" spans="1:2" x14ac:dyDescent="0.2">
      <c r="A5599" s="8" t="s">
        <v>5622</v>
      </c>
      <c r="B5599" s="2" t="s">
        <v>12467</v>
      </c>
    </row>
    <row r="5600" spans="1:2" x14ac:dyDescent="0.2">
      <c r="A5600" s="8" t="s">
        <v>5623</v>
      </c>
      <c r="B5600" s="2" t="s">
        <v>12467</v>
      </c>
    </row>
    <row r="5601" spans="1:2" x14ac:dyDescent="0.2">
      <c r="A5601" s="8" t="s">
        <v>5624</v>
      </c>
      <c r="B5601" s="2" t="s">
        <v>12467</v>
      </c>
    </row>
    <row r="5602" spans="1:2" x14ac:dyDescent="0.2">
      <c r="A5602" s="8" t="s">
        <v>5625</v>
      </c>
      <c r="B5602" s="2" t="s">
        <v>12467</v>
      </c>
    </row>
    <row r="5603" spans="1:2" x14ac:dyDescent="0.2">
      <c r="A5603" s="8" t="s">
        <v>5626</v>
      </c>
      <c r="B5603" s="2" t="s">
        <v>12467</v>
      </c>
    </row>
    <row r="5604" spans="1:2" x14ac:dyDescent="0.2">
      <c r="A5604" s="8" t="s">
        <v>5627</v>
      </c>
      <c r="B5604" s="2" t="s">
        <v>12467</v>
      </c>
    </row>
    <row r="5605" spans="1:2" x14ac:dyDescent="0.2">
      <c r="A5605" s="8" t="s">
        <v>5628</v>
      </c>
      <c r="B5605" s="2" t="s">
        <v>12467</v>
      </c>
    </row>
    <row r="5606" spans="1:2" x14ac:dyDescent="0.2">
      <c r="A5606" s="8" t="s">
        <v>5629</v>
      </c>
      <c r="B5606" s="2" t="s">
        <v>12467</v>
      </c>
    </row>
    <row r="5607" spans="1:2" x14ac:dyDescent="0.2">
      <c r="A5607" s="8" t="s">
        <v>5630</v>
      </c>
      <c r="B5607" s="2" t="s">
        <v>12467</v>
      </c>
    </row>
    <row r="5608" spans="1:2" x14ac:dyDescent="0.2">
      <c r="A5608" s="8" t="s">
        <v>5631</v>
      </c>
      <c r="B5608" s="2" t="s">
        <v>12467</v>
      </c>
    </row>
    <row r="5609" spans="1:2" x14ac:dyDescent="0.2">
      <c r="A5609" s="8" t="s">
        <v>5632</v>
      </c>
      <c r="B5609" s="2" t="s">
        <v>12467</v>
      </c>
    </row>
    <row r="5610" spans="1:2" x14ac:dyDescent="0.2">
      <c r="A5610" s="8" t="s">
        <v>5633</v>
      </c>
      <c r="B5610" s="2" t="s">
        <v>12467</v>
      </c>
    </row>
    <row r="5611" spans="1:2" x14ac:dyDescent="0.2">
      <c r="A5611" s="8" t="s">
        <v>5634</v>
      </c>
      <c r="B5611" s="2" t="s">
        <v>12467</v>
      </c>
    </row>
    <row r="5612" spans="1:2" x14ac:dyDescent="0.2">
      <c r="A5612" s="8" t="s">
        <v>5635</v>
      </c>
      <c r="B5612" s="2" t="s">
        <v>12467</v>
      </c>
    </row>
    <row r="5613" spans="1:2" x14ac:dyDescent="0.2">
      <c r="A5613" s="8" t="s">
        <v>5636</v>
      </c>
      <c r="B5613" s="2" t="s">
        <v>12467</v>
      </c>
    </row>
    <row r="5614" spans="1:2" x14ac:dyDescent="0.2">
      <c r="A5614" s="8" t="s">
        <v>5637</v>
      </c>
      <c r="B5614" s="2" t="s">
        <v>12467</v>
      </c>
    </row>
    <row r="5615" spans="1:2" x14ac:dyDescent="0.2">
      <c r="A5615" s="8" t="s">
        <v>5638</v>
      </c>
      <c r="B5615" s="2" t="s">
        <v>12467</v>
      </c>
    </row>
    <row r="5616" spans="1:2" x14ac:dyDescent="0.2">
      <c r="A5616" s="8" t="s">
        <v>5639</v>
      </c>
      <c r="B5616" s="2" t="s">
        <v>12467</v>
      </c>
    </row>
    <row r="5617" spans="1:2" x14ac:dyDescent="0.2">
      <c r="A5617" s="8" t="s">
        <v>5640</v>
      </c>
      <c r="B5617" s="2" t="s">
        <v>12467</v>
      </c>
    </row>
    <row r="5618" spans="1:2" x14ac:dyDescent="0.2">
      <c r="A5618" s="8" t="s">
        <v>5641</v>
      </c>
      <c r="B5618" s="2" t="s">
        <v>12467</v>
      </c>
    </row>
    <row r="5619" spans="1:2" x14ac:dyDescent="0.2">
      <c r="A5619" s="8" t="s">
        <v>5642</v>
      </c>
      <c r="B5619" s="2" t="s">
        <v>12467</v>
      </c>
    </row>
    <row r="5620" spans="1:2" x14ac:dyDescent="0.2">
      <c r="A5620" s="8" t="s">
        <v>5643</v>
      </c>
      <c r="B5620" s="2" t="s">
        <v>12467</v>
      </c>
    </row>
    <row r="5621" spans="1:2" x14ac:dyDescent="0.2">
      <c r="A5621" s="8" t="s">
        <v>5644</v>
      </c>
      <c r="B5621" s="2" t="s">
        <v>12467</v>
      </c>
    </row>
    <row r="5622" spans="1:2" x14ac:dyDescent="0.2">
      <c r="A5622" s="8" t="s">
        <v>5645</v>
      </c>
      <c r="B5622" s="2" t="s">
        <v>12467</v>
      </c>
    </row>
    <row r="5623" spans="1:2" x14ac:dyDescent="0.2">
      <c r="A5623" s="8" t="s">
        <v>5646</v>
      </c>
      <c r="B5623" s="2" t="s">
        <v>12467</v>
      </c>
    </row>
    <row r="5624" spans="1:2" x14ac:dyDescent="0.2">
      <c r="A5624" s="8" t="s">
        <v>5647</v>
      </c>
      <c r="B5624" s="2" t="s">
        <v>12467</v>
      </c>
    </row>
    <row r="5625" spans="1:2" x14ac:dyDescent="0.2">
      <c r="A5625" s="8" t="s">
        <v>5648</v>
      </c>
      <c r="B5625" s="2" t="s">
        <v>12467</v>
      </c>
    </row>
    <row r="5626" spans="1:2" x14ac:dyDescent="0.2">
      <c r="A5626" s="8" t="s">
        <v>5649</v>
      </c>
      <c r="B5626" s="2" t="s">
        <v>12467</v>
      </c>
    </row>
    <row r="5627" spans="1:2" x14ac:dyDescent="0.2">
      <c r="A5627" s="8" t="s">
        <v>5650</v>
      </c>
      <c r="B5627" s="2" t="s">
        <v>12467</v>
      </c>
    </row>
    <row r="5628" spans="1:2" x14ac:dyDescent="0.2">
      <c r="A5628" s="8" t="s">
        <v>5651</v>
      </c>
      <c r="B5628" s="2" t="s">
        <v>12467</v>
      </c>
    </row>
    <row r="5629" spans="1:2" x14ac:dyDescent="0.2">
      <c r="A5629" s="8" t="s">
        <v>5652</v>
      </c>
      <c r="B5629" s="2" t="s">
        <v>12467</v>
      </c>
    </row>
    <row r="5630" spans="1:2" x14ac:dyDescent="0.2">
      <c r="A5630" s="8" t="s">
        <v>5653</v>
      </c>
      <c r="B5630" s="2" t="s">
        <v>12467</v>
      </c>
    </row>
    <row r="5631" spans="1:2" x14ac:dyDescent="0.2">
      <c r="A5631" s="8" t="s">
        <v>5654</v>
      </c>
      <c r="B5631" s="2" t="s">
        <v>12467</v>
      </c>
    </row>
    <row r="5632" spans="1:2" x14ac:dyDescent="0.2">
      <c r="A5632" s="8" t="s">
        <v>5655</v>
      </c>
      <c r="B5632" s="2" t="s">
        <v>12467</v>
      </c>
    </row>
    <row r="5633" spans="1:2" x14ac:dyDescent="0.2">
      <c r="A5633" s="8" t="s">
        <v>5656</v>
      </c>
      <c r="B5633" s="2" t="s">
        <v>12467</v>
      </c>
    </row>
    <row r="5634" spans="1:2" x14ac:dyDescent="0.2">
      <c r="A5634" s="8" t="s">
        <v>5657</v>
      </c>
      <c r="B5634" s="2" t="s">
        <v>12467</v>
      </c>
    </row>
    <row r="5635" spans="1:2" x14ac:dyDescent="0.2">
      <c r="A5635" s="8" t="s">
        <v>5658</v>
      </c>
      <c r="B5635" s="2" t="s">
        <v>12467</v>
      </c>
    </row>
    <row r="5636" spans="1:2" x14ac:dyDescent="0.2">
      <c r="A5636" s="8" t="s">
        <v>5659</v>
      </c>
      <c r="B5636" s="2" t="s">
        <v>12467</v>
      </c>
    </row>
    <row r="5637" spans="1:2" x14ac:dyDescent="0.2">
      <c r="A5637" s="8" t="s">
        <v>5660</v>
      </c>
      <c r="B5637" s="2" t="s">
        <v>12467</v>
      </c>
    </row>
    <row r="5638" spans="1:2" x14ac:dyDescent="0.2">
      <c r="A5638" s="8" t="s">
        <v>5661</v>
      </c>
      <c r="B5638" s="2" t="s">
        <v>12467</v>
      </c>
    </row>
    <row r="5639" spans="1:2" x14ac:dyDescent="0.2">
      <c r="A5639" s="8" t="s">
        <v>5662</v>
      </c>
      <c r="B5639" s="2" t="s">
        <v>12467</v>
      </c>
    </row>
    <row r="5640" spans="1:2" x14ac:dyDescent="0.2">
      <c r="A5640" s="8" t="s">
        <v>5663</v>
      </c>
      <c r="B5640" s="2" t="s">
        <v>12467</v>
      </c>
    </row>
    <row r="5641" spans="1:2" x14ac:dyDescent="0.2">
      <c r="A5641" s="8" t="s">
        <v>5664</v>
      </c>
      <c r="B5641" s="2" t="s">
        <v>12467</v>
      </c>
    </row>
    <row r="5642" spans="1:2" x14ac:dyDescent="0.2">
      <c r="A5642" s="8" t="s">
        <v>5665</v>
      </c>
      <c r="B5642" s="2" t="s">
        <v>12467</v>
      </c>
    </row>
    <row r="5643" spans="1:2" x14ac:dyDescent="0.2">
      <c r="A5643" s="8" t="s">
        <v>5666</v>
      </c>
      <c r="B5643" s="2" t="s">
        <v>12467</v>
      </c>
    </row>
    <row r="5644" spans="1:2" x14ac:dyDescent="0.2">
      <c r="A5644" s="8" t="s">
        <v>5667</v>
      </c>
      <c r="B5644" s="2" t="s">
        <v>12467</v>
      </c>
    </row>
    <row r="5645" spans="1:2" x14ac:dyDescent="0.2">
      <c r="A5645" s="8" t="s">
        <v>5668</v>
      </c>
      <c r="B5645" s="2" t="s">
        <v>12467</v>
      </c>
    </row>
    <row r="5646" spans="1:2" x14ac:dyDescent="0.2">
      <c r="A5646" s="8" t="s">
        <v>5669</v>
      </c>
      <c r="B5646" s="2" t="s">
        <v>12467</v>
      </c>
    </row>
    <row r="5647" spans="1:2" x14ac:dyDescent="0.2">
      <c r="A5647" s="8" t="s">
        <v>5670</v>
      </c>
      <c r="B5647" s="2" t="s">
        <v>12467</v>
      </c>
    </row>
    <row r="5648" spans="1:2" x14ac:dyDescent="0.2">
      <c r="A5648" s="8" t="s">
        <v>5671</v>
      </c>
      <c r="B5648" s="2" t="s">
        <v>12467</v>
      </c>
    </row>
    <row r="5649" spans="1:2" x14ac:dyDescent="0.2">
      <c r="A5649" s="8" t="s">
        <v>5672</v>
      </c>
      <c r="B5649" s="2" t="s">
        <v>12467</v>
      </c>
    </row>
    <row r="5650" spans="1:2" x14ac:dyDescent="0.2">
      <c r="A5650" s="8" t="s">
        <v>5673</v>
      </c>
      <c r="B5650" s="2" t="s">
        <v>12467</v>
      </c>
    </row>
    <row r="5651" spans="1:2" x14ac:dyDescent="0.2">
      <c r="A5651" s="8" t="s">
        <v>5674</v>
      </c>
      <c r="B5651" s="2" t="s">
        <v>12467</v>
      </c>
    </row>
    <row r="5652" spans="1:2" x14ac:dyDescent="0.2">
      <c r="A5652" s="8" t="s">
        <v>5675</v>
      </c>
      <c r="B5652" s="2" t="s">
        <v>12467</v>
      </c>
    </row>
    <row r="5653" spans="1:2" x14ac:dyDescent="0.2">
      <c r="A5653" s="8" t="s">
        <v>5676</v>
      </c>
      <c r="B5653" s="2" t="s">
        <v>12467</v>
      </c>
    </row>
    <row r="5654" spans="1:2" x14ac:dyDescent="0.2">
      <c r="A5654" s="8" t="s">
        <v>5677</v>
      </c>
      <c r="B5654" s="2" t="s">
        <v>12467</v>
      </c>
    </row>
    <row r="5655" spans="1:2" x14ac:dyDescent="0.2">
      <c r="A5655" s="8" t="s">
        <v>5678</v>
      </c>
      <c r="B5655" s="2" t="s">
        <v>12467</v>
      </c>
    </row>
    <row r="5656" spans="1:2" x14ac:dyDescent="0.2">
      <c r="A5656" s="8" t="s">
        <v>5679</v>
      </c>
      <c r="B5656" s="2" t="s">
        <v>12467</v>
      </c>
    </row>
    <row r="5657" spans="1:2" x14ac:dyDescent="0.2">
      <c r="A5657" s="8" t="s">
        <v>5680</v>
      </c>
      <c r="B5657" s="2" t="s">
        <v>12467</v>
      </c>
    </row>
    <row r="5658" spans="1:2" x14ac:dyDescent="0.2">
      <c r="A5658" s="8" t="s">
        <v>5681</v>
      </c>
      <c r="B5658" s="2" t="s">
        <v>12467</v>
      </c>
    </row>
    <row r="5659" spans="1:2" x14ac:dyDescent="0.2">
      <c r="A5659" s="8" t="s">
        <v>5682</v>
      </c>
      <c r="B5659" s="2" t="s">
        <v>12467</v>
      </c>
    </row>
    <row r="5660" spans="1:2" x14ac:dyDescent="0.2">
      <c r="A5660" s="8" t="s">
        <v>5683</v>
      </c>
      <c r="B5660" s="2" t="s">
        <v>12467</v>
      </c>
    </row>
    <row r="5661" spans="1:2" x14ac:dyDescent="0.2">
      <c r="A5661" s="8" t="s">
        <v>5684</v>
      </c>
      <c r="B5661" s="2" t="s">
        <v>12467</v>
      </c>
    </row>
    <row r="5662" spans="1:2" x14ac:dyDescent="0.2">
      <c r="A5662" s="8" t="s">
        <v>5685</v>
      </c>
      <c r="B5662" s="2" t="s">
        <v>12467</v>
      </c>
    </row>
    <row r="5663" spans="1:2" x14ac:dyDescent="0.2">
      <c r="A5663" s="8" t="s">
        <v>5686</v>
      </c>
      <c r="B5663" s="2" t="s">
        <v>12467</v>
      </c>
    </row>
    <row r="5664" spans="1:2" x14ac:dyDescent="0.2">
      <c r="A5664" s="8" t="s">
        <v>5687</v>
      </c>
      <c r="B5664" s="2" t="s">
        <v>12467</v>
      </c>
    </row>
    <row r="5665" spans="1:2" x14ac:dyDescent="0.2">
      <c r="A5665" s="8" t="s">
        <v>5688</v>
      </c>
      <c r="B5665" s="2" t="s">
        <v>12467</v>
      </c>
    </row>
    <row r="5666" spans="1:2" x14ac:dyDescent="0.2">
      <c r="A5666" s="8" t="s">
        <v>5689</v>
      </c>
      <c r="B5666" s="2" t="s">
        <v>12467</v>
      </c>
    </row>
    <row r="5667" spans="1:2" x14ac:dyDescent="0.2">
      <c r="A5667" s="8" t="s">
        <v>5690</v>
      </c>
      <c r="B5667" s="2" t="s">
        <v>12467</v>
      </c>
    </row>
    <row r="5668" spans="1:2" x14ac:dyDescent="0.2">
      <c r="A5668" s="8" t="s">
        <v>5691</v>
      </c>
      <c r="B5668" s="2" t="s">
        <v>12467</v>
      </c>
    </row>
    <row r="5669" spans="1:2" x14ac:dyDescent="0.2">
      <c r="A5669" s="8" t="s">
        <v>5692</v>
      </c>
      <c r="B5669" s="2" t="s">
        <v>12467</v>
      </c>
    </row>
    <row r="5670" spans="1:2" x14ac:dyDescent="0.2">
      <c r="A5670" s="8" t="s">
        <v>5693</v>
      </c>
      <c r="B5670" s="2" t="s">
        <v>12467</v>
      </c>
    </row>
    <row r="5671" spans="1:2" x14ac:dyDescent="0.2">
      <c r="A5671" s="8" t="s">
        <v>5694</v>
      </c>
      <c r="B5671" s="2" t="s">
        <v>12467</v>
      </c>
    </row>
    <row r="5672" spans="1:2" x14ac:dyDescent="0.2">
      <c r="A5672" s="8" t="s">
        <v>5695</v>
      </c>
      <c r="B5672" s="2" t="s">
        <v>12467</v>
      </c>
    </row>
    <row r="5673" spans="1:2" x14ac:dyDescent="0.2">
      <c r="A5673" s="8" t="s">
        <v>5696</v>
      </c>
      <c r="B5673" s="2" t="s">
        <v>12467</v>
      </c>
    </row>
    <row r="5674" spans="1:2" x14ac:dyDescent="0.2">
      <c r="A5674" s="8" t="s">
        <v>5697</v>
      </c>
      <c r="B5674" s="2" t="s">
        <v>12467</v>
      </c>
    </row>
    <row r="5675" spans="1:2" x14ac:dyDescent="0.2">
      <c r="A5675" s="8" t="s">
        <v>5698</v>
      </c>
      <c r="B5675" s="2" t="s">
        <v>12467</v>
      </c>
    </row>
    <row r="5676" spans="1:2" x14ac:dyDescent="0.2">
      <c r="A5676" s="8" t="s">
        <v>5699</v>
      </c>
      <c r="B5676" s="2" t="s">
        <v>12467</v>
      </c>
    </row>
    <row r="5677" spans="1:2" x14ac:dyDescent="0.2">
      <c r="A5677" s="8" t="s">
        <v>5700</v>
      </c>
      <c r="B5677" s="2" t="s">
        <v>12467</v>
      </c>
    </row>
    <row r="5678" spans="1:2" x14ac:dyDescent="0.2">
      <c r="A5678" s="8" t="s">
        <v>5701</v>
      </c>
      <c r="B5678" s="2" t="s">
        <v>12467</v>
      </c>
    </row>
    <row r="5679" spans="1:2" x14ac:dyDescent="0.2">
      <c r="A5679" s="8" t="s">
        <v>5702</v>
      </c>
      <c r="B5679" s="2" t="s">
        <v>12467</v>
      </c>
    </row>
    <row r="5680" spans="1:2" x14ac:dyDescent="0.2">
      <c r="A5680" s="8" t="s">
        <v>5703</v>
      </c>
      <c r="B5680" s="2" t="s">
        <v>12467</v>
      </c>
    </row>
    <row r="5681" spans="1:2" x14ac:dyDescent="0.2">
      <c r="A5681" s="8" t="s">
        <v>5704</v>
      </c>
      <c r="B5681" s="2" t="s">
        <v>12467</v>
      </c>
    </row>
    <row r="5682" spans="1:2" x14ac:dyDescent="0.2">
      <c r="A5682" s="8" t="s">
        <v>5705</v>
      </c>
      <c r="B5682" s="2" t="s">
        <v>12467</v>
      </c>
    </row>
    <row r="5683" spans="1:2" x14ac:dyDescent="0.2">
      <c r="A5683" s="8" t="s">
        <v>5706</v>
      </c>
      <c r="B5683" s="2" t="s">
        <v>12467</v>
      </c>
    </row>
    <row r="5684" spans="1:2" x14ac:dyDescent="0.2">
      <c r="A5684" s="8" t="s">
        <v>5707</v>
      </c>
      <c r="B5684" s="2" t="s">
        <v>12467</v>
      </c>
    </row>
    <row r="5685" spans="1:2" x14ac:dyDescent="0.2">
      <c r="A5685" s="8" t="s">
        <v>5708</v>
      </c>
      <c r="B5685" s="2" t="s">
        <v>12467</v>
      </c>
    </row>
    <row r="5686" spans="1:2" x14ac:dyDescent="0.2">
      <c r="A5686" s="8" t="s">
        <v>5709</v>
      </c>
      <c r="B5686" s="2" t="s">
        <v>12467</v>
      </c>
    </row>
    <row r="5687" spans="1:2" x14ac:dyDescent="0.2">
      <c r="A5687" s="8" t="s">
        <v>5710</v>
      </c>
      <c r="B5687" s="2" t="s">
        <v>12467</v>
      </c>
    </row>
    <row r="5688" spans="1:2" x14ac:dyDescent="0.2">
      <c r="A5688" s="8" t="s">
        <v>5711</v>
      </c>
      <c r="B5688" s="2" t="s">
        <v>12467</v>
      </c>
    </row>
    <row r="5689" spans="1:2" x14ac:dyDescent="0.2">
      <c r="A5689" s="8" t="s">
        <v>5712</v>
      </c>
      <c r="B5689" s="2" t="s">
        <v>12467</v>
      </c>
    </row>
    <row r="5690" spans="1:2" x14ac:dyDescent="0.2">
      <c r="A5690" s="8" t="s">
        <v>5713</v>
      </c>
      <c r="B5690" s="2" t="s">
        <v>12467</v>
      </c>
    </row>
    <row r="5691" spans="1:2" x14ac:dyDescent="0.2">
      <c r="A5691" s="8" t="s">
        <v>5714</v>
      </c>
      <c r="B5691" s="2" t="s">
        <v>12467</v>
      </c>
    </row>
    <row r="5692" spans="1:2" x14ac:dyDescent="0.2">
      <c r="A5692" s="8" t="s">
        <v>5715</v>
      </c>
      <c r="B5692" s="2" t="s">
        <v>12467</v>
      </c>
    </row>
    <row r="5693" spans="1:2" x14ac:dyDescent="0.2">
      <c r="A5693" s="8" t="s">
        <v>5716</v>
      </c>
      <c r="B5693" s="2" t="s">
        <v>12467</v>
      </c>
    </row>
    <row r="5694" spans="1:2" x14ac:dyDescent="0.2">
      <c r="A5694" s="8" t="s">
        <v>5717</v>
      </c>
      <c r="B5694" s="2" t="s">
        <v>12467</v>
      </c>
    </row>
    <row r="5695" spans="1:2" x14ac:dyDescent="0.2">
      <c r="A5695" s="8" t="s">
        <v>5718</v>
      </c>
      <c r="B5695" s="2" t="s">
        <v>12467</v>
      </c>
    </row>
    <row r="5696" spans="1:2" x14ac:dyDescent="0.2">
      <c r="A5696" s="8" t="s">
        <v>5719</v>
      </c>
      <c r="B5696" s="2" t="s">
        <v>12467</v>
      </c>
    </row>
    <row r="5697" spans="1:2" x14ac:dyDescent="0.2">
      <c r="A5697" s="8" t="s">
        <v>5720</v>
      </c>
      <c r="B5697" s="2" t="s">
        <v>12467</v>
      </c>
    </row>
    <row r="5698" spans="1:2" x14ac:dyDescent="0.2">
      <c r="A5698" s="8" t="s">
        <v>5721</v>
      </c>
      <c r="B5698" s="2" t="s">
        <v>12467</v>
      </c>
    </row>
    <row r="5699" spans="1:2" x14ac:dyDescent="0.2">
      <c r="A5699" s="8" t="s">
        <v>5722</v>
      </c>
      <c r="B5699" s="2" t="s">
        <v>12467</v>
      </c>
    </row>
    <row r="5700" spans="1:2" x14ac:dyDescent="0.2">
      <c r="A5700" s="8" t="s">
        <v>5723</v>
      </c>
      <c r="B5700" s="2" t="s">
        <v>12467</v>
      </c>
    </row>
    <row r="5701" spans="1:2" x14ac:dyDescent="0.2">
      <c r="A5701" s="8" t="s">
        <v>5724</v>
      </c>
      <c r="B5701" s="2" t="s">
        <v>12467</v>
      </c>
    </row>
    <row r="5702" spans="1:2" x14ac:dyDescent="0.2">
      <c r="A5702" s="8" t="s">
        <v>5725</v>
      </c>
      <c r="B5702" s="2" t="s">
        <v>12467</v>
      </c>
    </row>
    <row r="5703" spans="1:2" x14ac:dyDescent="0.2">
      <c r="A5703" s="8" t="s">
        <v>5726</v>
      </c>
      <c r="B5703" s="2" t="s">
        <v>12467</v>
      </c>
    </row>
    <row r="5704" spans="1:2" x14ac:dyDescent="0.2">
      <c r="A5704" s="8" t="s">
        <v>5727</v>
      </c>
      <c r="B5704" s="2" t="s">
        <v>12467</v>
      </c>
    </row>
    <row r="5705" spans="1:2" x14ac:dyDescent="0.2">
      <c r="A5705" s="8" t="s">
        <v>5728</v>
      </c>
      <c r="B5705" s="2" t="s">
        <v>12467</v>
      </c>
    </row>
    <row r="5706" spans="1:2" x14ac:dyDescent="0.2">
      <c r="A5706" s="8" t="s">
        <v>5729</v>
      </c>
      <c r="B5706" s="2" t="s">
        <v>12467</v>
      </c>
    </row>
    <row r="5707" spans="1:2" x14ac:dyDescent="0.2">
      <c r="A5707" s="8" t="s">
        <v>5730</v>
      </c>
      <c r="B5707" s="2" t="s">
        <v>12467</v>
      </c>
    </row>
    <row r="5708" spans="1:2" x14ac:dyDescent="0.2">
      <c r="A5708" s="8" t="s">
        <v>5731</v>
      </c>
      <c r="B5708" s="2" t="s">
        <v>12467</v>
      </c>
    </row>
    <row r="5709" spans="1:2" x14ac:dyDescent="0.2">
      <c r="A5709" s="8" t="s">
        <v>5732</v>
      </c>
      <c r="B5709" s="2" t="s">
        <v>12467</v>
      </c>
    </row>
    <row r="5710" spans="1:2" x14ac:dyDescent="0.2">
      <c r="A5710" s="8" t="s">
        <v>5733</v>
      </c>
      <c r="B5710" s="2" t="s">
        <v>12467</v>
      </c>
    </row>
    <row r="5711" spans="1:2" x14ac:dyDescent="0.2">
      <c r="A5711" s="8" t="s">
        <v>5734</v>
      </c>
      <c r="B5711" s="2" t="s">
        <v>12467</v>
      </c>
    </row>
    <row r="5712" spans="1:2" x14ac:dyDescent="0.2">
      <c r="A5712" s="8" t="s">
        <v>5735</v>
      </c>
      <c r="B5712" s="2" t="s">
        <v>12467</v>
      </c>
    </row>
    <row r="5713" spans="1:2" x14ac:dyDescent="0.2">
      <c r="A5713" s="8" t="s">
        <v>5736</v>
      </c>
      <c r="B5713" s="2" t="s">
        <v>12467</v>
      </c>
    </row>
    <row r="5714" spans="1:2" x14ac:dyDescent="0.2">
      <c r="A5714" s="8" t="s">
        <v>5737</v>
      </c>
      <c r="B5714" s="2" t="s">
        <v>12467</v>
      </c>
    </row>
    <row r="5715" spans="1:2" x14ac:dyDescent="0.2">
      <c r="A5715" s="8" t="s">
        <v>5738</v>
      </c>
      <c r="B5715" s="2" t="s">
        <v>12467</v>
      </c>
    </row>
    <row r="5716" spans="1:2" x14ac:dyDescent="0.2">
      <c r="A5716" s="8" t="s">
        <v>5739</v>
      </c>
      <c r="B5716" s="2" t="s">
        <v>12467</v>
      </c>
    </row>
    <row r="5717" spans="1:2" x14ac:dyDescent="0.2">
      <c r="A5717" s="8" t="s">
        <v>5740</v>
      </c>
      <c r="B5717" s="2" t="s">
        <v>12467</v>
      </c>
    </row>
    <row r="5718" spans="1:2" x14ac:dyDescent="0.2">
      <c r="A5718" s="8" t="s">
        <v>5741</v>
      </c>
      <c r="B5718" s="2" t="s">
        <v>12467</v>
      </c>
    </row>
    <row r="5719" spans="1:2" x14ac:dyDescent="0.2">
      <c r="A5719" s="8" t="s">
        <v>5742</v>
      </c>
      <c r="B5719" s="2" t="s">
        <v>12467</v>
      </c>
    </row>
    <row r="5720" spans="1:2" x14ac:dyDescent="0.2">
      <c r="A5720" s="8" t="s">
        <v>5743</v>
      </c>
      <c r="B5720" s="2" t="s">
        <v>12467</v>
      </c>
    </row>
    <row r="5721" spans="1:2" x14ac:dyDescent="0.2">
      <c r="A5721" s="8" t="s">
        <v>5744</v>
      </c>
      <c r="B5721" s="2" t="s">
        <v>12467</v>
      </c>
    </row>
    <row r="5722" spans="1:2" x14ac:dyDescent="0.2">
      <c r="A5722" s="8" t="s">
        <v>5745</v>
      </c>
      <c r="B5722" s="2" t="s">
        <v>12467</v>
      </c>
    </row>
    <row r="5723" spans="1:2" x14ac:dyDescent="0.2">
      <c r="A5723" s="8" t="s">
        <v>5746</v>
      </c>
      <c r="B5723" s="2" t="s">
        <v>12467</v>
      </c>
    </row>
    <row r="5724" spans="1:2" x14ac:dyDescent="0.2">
      <c r="A5724" s="8" t="s">
        <v>5747</v>
      </c>
      <c r="B5724" s="2" t="s">
        <v>12467</v>
      </c>
    </row>
    <row r="5725" spans="1:2" x14ac:dyDescent="0.2">
      <c r="A5725" s="8" t="s">
        <v>5748</v>
      </c>
      <c r="B5725" s="2" t="s">
        <v>12467</v>
      </c>
    </row>
    <row r="5726" spans="1:2" x14ac:dyDescent="0.2">
      <c r="A5726" s="8" t="s">
        <v>5749</v>
      </c>
      <c r="B5726" s="2" t="s">
        <v>12467</v>
      </c>
    </row>
    <row r="5727" spans="1:2" x14ac:dyDescent="0.2">
      <c r="A5727" s="8" t="s">
        <v>5750</v>
      </c>
      <c r="B5727" s="2" t="s">
        <v>12467</v>
      </c>
    </row>
    <row r="5728" spans="1:2" x14ac:dyDescent="0.2">
      <c r="A5728" s="8" t="s">
        <v>5751</v>
      </c>
      <c r="B5728" s="2" t="s">
        <v>12467</v>
      </c>
    </row>
    <row r="5729" spans="1:2" x14ac:dyDescent="0.2">
      <c r="A5729" s="8" t="s">
        <v>5752</v>
      </c>
      <c r="B5729" s="2" t="s">
        <v>12467</v>
      </c>
    </row>
    <row r="5730" spans="1:2" x14ac:dyDescent="0.2">
      <c r="A5730" s="8" t="s">
        <v>5753</v>
      </c>
      <c r="B5730" s="2" t="s">
        <v>12467</v>
      </c>
    </row>
    <row r="5731" spans="1:2" x14ac:dyDescent="0.2">
      <c r="A5731" s="8" t="s">
        <v>5754</v>
      </c>
      <c r="B5731" s="2" t="s">
        <v>12467</v>
      </c>
    </row>
    <row r="5732" spans="1:2" x14ac:dyDescent="0.2">
      <c r="A5732" s="8" t="s">
        <v>5755</v>
      </c>
      <c r="B5732" s="2" t="s">
        <v>12467</v>
      </c>
    </row>
    <row r="5733" spans="1:2" x14ac:dyDescent="0.2">
      <c r="A5733" s="8" t="s">
        <v>5756</v>
      </c>
      <c r="B5733" s="2" t="s">
        <v>12467</v>
      </c>
    </row>
    <row r="5734" spans="1:2" x14ac:dyDescent="0.2">
      <c r="A5734" s="8" t="s">
        <v>5757</v>
      </c>
      <c r="B5734" s="2" t="s">
        <v>12467</v>
      </c>
    </row>
    <row r="5735" spans="1:2" x14ac:dyDescent="0.2">
      <c r="A5735" s="8" t="s">
        <v>5758</v>
      </c>
      <c r="B5735" s="2" t="s">
        <v>12467</v>
      </c>
    </row>
    <row r="5736" spans="1:2" x14ac:dyDescent="0.2">
      <c r="A5736" s="8" t="s">
        <v>5759</v>
      </c>
      <c r="B5736" s="2" t="s">
        <v>12467</v>
      </c>
    </row>
    <row r="5737" spans="1:2" x14ac:dyDescent="0.2">
      <c r="A5737" s="8" t="s">
        <v>5760</v>
      </c>
      <c r="B5737" s="2" t="s">
        <v>12467</v>
      </c>
    </row>
    <row r="5738" spans="1:2" x14ac:dyDescent="0.2">
      <c r="A5738" s="8" t="s">
        <v>5761</v>
      </c>
      <c r="B5738" s="2" t="s">
        <v>12467</v>
      </c>
    </row>
    <row r="5739" spans="1:2" x14ac:dyDescent="0.2">
      <c r="A5739" s="8" t="s">
        <v>5762</v>
      </c>
      <c r="B5739" s="2" t="s">
        <v>12467</v>
      </c>
    </row>
    <row r="5740" spans="1:2" x14ac:dyDescent="0.2">
      <c r="A5740" s="8" t="s">
        <v>5763</v>
      </c>
      <c r="B5740" s="2" t="s">
        <v>12467</v>
      </c>
    </row>
    <row r="5741" spans="1:2" x14ac:dyDescent="0.2">
      <c r="A5741" s="8" t="s">
        <v>5764</v>
      </c>
      <c r="B5741" s="2" t="s">
        <v>12467</v>
      </c>
    </row>
    <row r="5742" spans="1:2" x14ac:dyDescent="0.2">
      <c r="A5742" s="8" t="s">
        <v>5765</v>
      </c>
      <c r="B5742" s="2" t="s">
        <v>12467</v>
      </c>
    </row>
    <row r="5743" spans="1:2" x14ac:dyDescent="0.2">
      <c r="A5743" s="8" t="s">
        <v>5766</v>
      </c>
      <c r="B5743" s="2" t="s">
        <v>12467</v>
      </c>
    </row>
    <row r="5744" spans="1:2" x14ac:dyDescent="0.2">
      <c r="A5744" s="8" t="s">
        <v>5767</v>
      </c>
      <c r="B5744" s="2" t="s">
        <v>12467</v>
      </c>
    </row>
    <row r="5745" spans="1:2" x14ac:dyDescent="0.2">
      <c r="A5745" s="8" t="s">
        <v>5768</v>
      </c>
      <c r="B5745" s="2" t="s">
        <v>12467</v>
      </c>
    </row>
    <row r="5746" spans="1:2" x14ac:dyDescent="0.2">
      <c r="A5746" s="8" t="s">
        <v>5769</v>
      </c>
      <c r="B5746" s="2" t="s">
        <v>12467</v>
      </c>
    </row>
    <row r="5747" spans="1:2" x14ac:dyDescent="0.2">
      <c r="A5747" s="8" t="s">
        <v>5770</v>
      </c>
      <c r="B5747" s="2" t="s">
        <v>12467</v>
      </c>
    </row>
    <row r="5748" spans="1:2" x14ac:dyDescent="0.2">
      <c r="A5748" s="8" t="s">
        <v>5771</v>
      </c>
      <c r="B5748" s="2" t="s">
        <v>12467</v>
      </c>
    </row>
    <row r="5749" spans="1:2" x14ac:dyDescent="0.2">
      <c r="A5749" s="8" t="s">
        <v>5772</v>
      </c>
      <c r="B5749" s="2" t="s">
        <v>12467</v>
      </c>
    </row>
    <row r="5750" spans="1:2" x14ac:dyDescent="0.2">
      <c r="A5750" s="8" t="s">
        <v>5773</v>
      </c>
      <c r="B5750" s="2" t="s">
        <v>12467</v>
      </c>
    </row>
    <row r="5751" spans="1:2" x14ac:dyDescent="0.2">
      <c r="A5751" s="8" t="s">
        <v>5774</v>
      </c>
      <c r="B5751" s="2" t="s">
        <v>12467</v>
      </c>
    </row>
    <row r="5752" spans="1:2" x14ac:dyDescent="0.2">
      <c r="A5752" s="8" t="s">
        <v>5775</v>
      </c>
      <c r="B5752" s="2" t="s">
        <v>12467</v>
      </c>
    </row>
    <row r="5753" spans="1:2" x14ac:dyDescent="0.2">
      <c r="A5753" s="8" t="s">
        <v>5776</v>
      </c>
      <c r="B5753" s="2" t="s">
        <v>12467</v>
      </c>
    </row>
    <row r="5754" spans="1:2" x14ac:dyDescent="0.2">
      <c r="A5754" s="8" t="s">
        <v>5777</v>
      </c>
      <c r="B5754" s="2" t="s">
        <v>12467</v>
      </c>
    </row>
    <row r="5755" spans="1:2" x14ac:dyDescent="0.2">
      <c r="A5755" s="8" t="s">
        <v>5778</v>
      </c>
      <c r="B5755" s="2" t="s">
        <v>12467</v>
      </c>
    </row>
    <row r="5756" spans="1:2" x14ac:dyDescent="0.2">
      <c r="A5756" s="8" t="s">
        <v>5779</v>
      </c>
      <c r="B5756" s="2" t="s">
        <v>12467</v>
      </c>
    </row>
    <row r="5757" spans="1:2" x14ac:dyDescent="0.2">
      <c r="A5757" s="8" t="s">
        <v>5780</v>
      </c>
      <c r="B5757" s="2" t="s">
        <v>12467</v>
      </c>
    </row>
    <row r="5758" spans="1:2" x14ac:dyDescent="0.2">
      <c r="A5758" s="8" t="s">
        <v>5781</v>
      </c>
      <c r="B5758" s="2" t="s">
        <v>12467</v>
      </c>
    </row>
    <row r="5759" spans="1:2" x14ac:dyDescent="0.2">
      <c r="A5759" s="8" t="s">
        <v>5782</v>
      </c>
      <c r="B5759" s="2" t="s">
        <v>12467</v>
      </c>
    </row>
    <row r="5760" spans="1:2" x14ac:dyDescent="0.2">
      <c r="A5760" s="8" t="s">
        <v>5783</v>
      </c>
      <c r="B5760" s="2" t="s">
        <v>12467</v>
      </c>
    </row>
    <row r="5761" spans="1:2" x14ac:dyDescent="0.2">
      <c r="A5761" s="8" t="s">
        <v>5784</v>
      </c>
      <c r="B5761" s="2" t="s">
        <v>12467</v>
      </c>
    </row>
    <row r="5762" spans="1:2" x14ac:dyDescent="0.2">
      <c r="A5762" s="8" t="s">
        <v>5785</v>
      </c>
      <c r="B5762" s="2" t="s">
        <v>12467</v>
      </c>
    </row>
    <row r="5763" spans="1:2" x14ac:dyDescent="0.2">
      <c r="A5763" s="8" t="s">
        <v>5786</v>
      </c>
      <c r="B5763" s="2" t="s">
        <v>12467</v>
      </c>
    </row>
    <row r="5764" spans="1:2" x14ac:dyDescent="0.2">
      <c r="A5764" s="8" t="s">
        <v>5787</v>
      </c>
      <c r="B5764" s="2" t="s">
        <v>12467</v>
      </c>
    </row>
    <row r="5765" spans="1:2" x14ac:dyDescent="0.2">
      <c r="A5765" s="8" t="s">
        <v>5788</v>
      </c>
      <c r="B5765" s="2" t="s">
        <v>12467</v>
      </c>
    </row>
    <row r="5766" spans="1:2" x14ac:dyDescent="0.2">
      <c r="A5766" s="8" t="s">
        <v>5789</v>
      </c>
      <c r="B5766" s="2" t="s">
        <v>12467</v>
      </c>
    </row>
    <row r="5767" spans="1:2" x14ac:dyDescent="0.2">
      <c r="A5767" s="8" t="s">
        <v>5790</v>
      </c>
      <c r="B5767" s="2" t="s">
        <v>12467</v>
      </c>
    </row>
    <row r="5768" spans="1:2" x14ac:dyDescent="0.2">
      <c r="A5768" s="8" t="s">
        <v>5791</v>
      </c>
      <c r="B5768" s="2" t="s">
        <v>12467</v>
      </c>
    </row>
    <row r="5769" spans="1:2" x14ac:dyDescent="0.2">
      <c r="A5769" s="8" t="s">
        <v>5792</v>
      </c>
      <c r="B5769" s="2" t="s">
        <v>12467</v>
      </c>
    </row>
    <row r="5770" spans="1:2" x14ac:dyDescent="0.2">
      <c r="A5770" s="8" t="s">
        <v>5793</v>
      </c>
      <c r="B5770" s="2" t="s">
        <v>12467</v>
      </c>
    </row>
    <row r="5771" spans="1:2" x14ac:dyDescent="0.2">
      <c r="A5771" s="8" t="s">
        <v>5794</v>
      </c>
      <c r="B5771" s="2" t="s">
        <v>12467</v>
      </c>
    </row>
    <row r="5772" spans="1:2" x14ac:dyDescent="0.2">
      <c r="A5772" s="8" t="s">
        <v>5795</v>
      </c>
      <c r="B5772" s="2" t="s">
        <v>12467</v>
      </c>
    </row>
    <row r="5773" spans="1:2" x14ac:dyDescent="0.2">
      <c r="A5773" s="8" t="s">
        <v>5796</v>
      </c>
      <c r="B5773" s="2" t="s">
        <v>12467</v>
      </c>
    </row>
    <row r="5774" spans="1:2" x14ac:dyDescent="0.2">
      <c r="A5774" s="8" t="s">
        <v>5797</v>
      </c>
      <c r="B5774" s="2" t="s">
        <v>12467</v>
      </c>
    </row>
    <row r="5775" spans="1:2" x14ac:dyDescent="0.2">
      <c r="A5775" s="8" t="s">
        <v>5798</v>
      </c>
      <c r="B5775" s="2" t="s">
        <v>12467</v>
      </c>
    </row>
    <row r="5776" spans="1:2" x14ac:dyDescent="0.2">
      <c r="A5776" s="8" t="s">
        <v>5799</v>
      </c>
      <c r="B5776" s="2" t="s">
        <v>12467</v>
      </c>
    </row>
    <row r="5777" spans="1:2" x14ac:dyDescent="0.2">
      <c r="A5777" s="8" t="s">
        <v>5800</v>
      </c>
      <c r="B5777" s="2" t="s">
        <v>12467</v>
      </c>
    </row>
    <row r="5778" spans="1:2" x14ac:dyDescent="0.2">
      <c r="A5778" s="8" t="s">
        <v>5801</v>
      </c>
      <c r="B5778" s="2" t="s">
        <v>12467</v>
      </c>
    </row>
    <row r="5779" spans="1:2" x14ac:dyDescent="0.2">
      <c r="A5779" s="8" t="s">
        <v>5802</v>
      </c>
      <c r="B5779" s="2" t="s">
        <v>12467</v>
      </c>
    </row>
    <row r="5780" spans="1:2" x14ac:dyDescent="0.2">
      <c r="A5780" s="8" t="s">
        <v>5803</v>
      </c>
      <c r="B5780" s="2" t="s">
        <v>12467</v>
      </c>
    </row>
    <row r="5781" spans="1:2" x14ac:dyDescent="0.2">
      <c r="A5781" s="8" t="s">
        <v>5804</v>
      </c>
      <c r="B5781" s="2" t="s">
        <v>12467</v>
      </c>
    </row>
    <row r="5782" spans="1:2" x14ac:dyDescent="0.2">
      <c r="A5782" s="8" t="s">
        <v>5805</v>
      </c>
      <c r="B5782" s="2" t="s">
        <v>12467</v>
      </c>
    </row>
    <row r="5783" spans="1:2" x14ac:dyDescent="0.2">
      <c r="A5783" s="8" t="s">
        <v>5806</v>
      </c>
      <c r="B5783" s="2" t="s">
        <v>12467</v>
      </c>
    </row>
    <row r="5784" spans="1:2" x14ac:dyDescent="0.2">
      <c r="A5784" s="8" t="s">
        <v>5807</v>
      </c>
      <c r="B5784" s="2" t="s">
        <v>12467</v>
      </c>
    </row>
    <row r="5785" spans="1:2" x14ac:dyDescent="0.2">
      <c r="A5785" s="8" t="s">
        <v>5808</v>
      </c>
      <c r="B5785" s="2" t="s">
        <v>12467</v>
      </c>
    </row>
    <row r="5786" spans="1:2" x14ac:dyDescent="0.2">
      <c r="A5786" s="8" t="s">
        <v>5809</v>
      </c>
      <c r="B5786" s="2" t="s">
        <v>12467</v>
      </c>
    </row>
    <row r="5787" spans="1:2" x14ac:dyDescent="0.2">
      <c r="A5787" s="8" t="s">
        <v>5810</v>
      </c>
      <c r="B5787" s="2" t="s">
        <v>12467</v>
      </c>
    </row>
    <row r="5788" spans="1:2" x14ac:dyDescent="0.2">
      <c r="A5788" s="8" t="s">
        <v>5811</v>
      </c>
      <c r="B5788" s="2" t="s">
        <v>12467</v>
      </c>
    </row>
    <row r="5789" spans="1:2" x14ac:dyDescent="0.2">
      <c r="A5789" s="8" t="s">
        <v>5812</v>
      </c>
      <c r="B5789" s="2" t="s">
        <v>12467</v>
      </c>
    </row>
    <row r="5790" spans="1:2" x14ac:dyDescent="0.2">
      <c r="A5790" s="8" t="s">
        <v>5813</v>
      </c>
      <c r="B5790" s="2" t="s">
        <v>12467</v>
      </c>
    </row>
    <row r="5791" spans="1:2" x14ac:dyDescent="0.2">
      <c r="A5791" s="8" t="s">
        <v>5814</v>
      </c>
      <c r="B5791" s="2" t="s">
        <v>12467</v>
      </c>
    </row>
    <row r="5792" spans="1:2" x14ac:dyDescent="0.2">
      <c r="A5792" s="8" t="s">
        <v>5815</v>
      </c>
      <c r="B5792" s="2" t="s">
        <v>12467</v>
      </c>
    </row>
    <row r="5793" spans="1:2" x14ac:dyDescent="0.2">
      <c r="A5793" s="8" t="s">
        <v>5816</v>
      </c>
      <c r="B5793" s="2" t="s">
        <v>12467</v>
      </c>
    </row>
    <row r="5794" spans="1:2" x14ac:dyDescent="0.2">
      <c r="A5794" s="8" t="s">
        <v>5817</v>
      </c>
      <c r="B5794" s="2" t="s">
        <v>12467</v>
      </c>
    </row>
    <row r="5795" spans="1:2" x14ac:dyDescent="0.2">
      <c r="A5795" s="8" t="s">
        <v>5818</v>
      </c>
      <c r="B5795" s="2" t="s">
        <v>12467</v>
      </c>
    </row>
    <row r="5796" spans="1:2" x14ac:dyDescent="0.2">
      <c r="A5796" s="8" t="s">
        <v>5819</v>
      </c>
      <c r="B5796" s="2" t="s">
        <v>12467</v>
      </c>
    </row>
    <row r="5797" spans="1:2" x14ac:dyDescent="0.2">
      <c r="A5797" s="8" t="s">
        <v>5820</v>
      </c>
      <c r="B5797" s="2" t="s">
        <v>12467</v>
      </c>
    </row>
    <row r="5798" spans="1:2" x14ac:dyDescent="0.2">
      <c r="A5798" s="8" t="s">
        <v>5821</v>
      </c>
      <c r="B5798" s="2" t="s">
        <v>12467</v>
      </c>
    </row>
    <row r="5799" spans="1:2" x14ac:dyDescent="0.2">
      <c r="A5799" s="8" t="s">
        <v>5822</v>
      </c>
      <c r="B5799" s="2" t="s">
        <v>12467</v>
      </c>
    </row>
    <row r="5800" spans="1:2" x14ac:dyDescent="0.2">
      <c r="A5800" s="8" t="s">
        <v>5823</v>
      </c>
      <c r="B5800" s="2" t="s">
        <v>12467</v>
      </c>
    </row>
    <row r="5801" spans="1:2" x14ac:dyDescent="0.2">
      <c r="A5801" s="8" t="s">
        <v>5824</v>
      </c>
      <c r="B5801" s="2" t="s">
        <v>12467</v>
      </c>
    </row>
    <row r="5802" spans="1:2" x14ac:dyDescent="0.2">
      <c r="A5802" s="8" t="s">
        <v>5825</v>
      </c>
      <c r="B5802" s="2" t="s">
        <v>12467</v>
      </c>
    </row>
    <row r="5803" spans="1:2" x14ac:dyDescent="0.2">
      <c r="A5803" s="8" t="s">
        <v>5826</v>
      </c>
      <c r="B5803" s="2" t="s">
        <v>12467</v>
      </c>
    </row>
    <row r="5804" spans="1:2" x14ac:dyDescent="0.2">
      <c r="A5804" s="8" t="s">
        <v>5827</v>
      </c>
      <c r="B5804" s="2" t="s">
        <v>12467</v>
      </c>
    </row>
    <row r="5805" spans="1:2" x14ac:dyDescent="0.2">
      <c r="A5805" s="8" t="s">
        <v>5828</v>
      </c>
      <c r="B5805" s="2" t="s">
        <v>12467</v>
      </c>
    </row>
    <row r="5806" spans="1:2" x14ac:dyDescent="0.2">
      <c r="A5806" s="8" t="s">
        <v>5829</v>
      </c>
      <c r="B5806" s="2" t="s">
        <v>12467</v>
      </c>
    </row>
    <row r="5807" spans="1:2" x14ac:dyDescent="0.2">
      <c r="A5807" s="8" t="s">
        <v>5830</v>
      </c>
      <c r="B5807" s="2" t="s">
        <v>12467</v>
      </c>
    </row>
    <row r="5808" spans="1:2" x14ac:dyDescent="0.2">
      <c r="A5808" s="8" t="s">
        <v>5831</v>
      </c>
      <c r="B5808" s="2" t="s">
        <v>12467</v>
      </c>
    </row>
    <row r="5809" spans="1:2" x14ac:dyDescent="0.2">
      <c r="A5809" s="8" t="s">
        <v>5832</v>
      </c>
      <c r="B5809" s="2" t="s">
        <v>12467</v>
      </c>
    </row>
    <row r="5810" spans="1:2" x14ac:dyDescent="0.2">
      <c r="A5810" s="8" t="s">
        <v>5833</v>
      </c>
      <c r="B5810" s="2" t="s">
        <v>12467</v>
      </c>
    </row>
    <row r="5811" spans="1:2" x14ac:dyDescent="0.2">
      <c r="A5811" s="8" t="s">
        <v>5834</v>
      </c>
      <c r="B5811" s="2" t="s">
        <v>12467</v>
      </c>
    </row>
    <row r="5812" spans="1:2" x14ac:dyDescent="0.2">
      <c r="A5812" s="8" t="s">
        <v>5835</v>
      </c>
      <c r="B5812" s="2" t="s">
        <v>12467</v>
      </c>
    </row>
    <row r="5813" spans="1:2" x14ac:dyDescent="0.2">
      <c r="A5813" s="8" t="s">
        <v>5836</v>
      </c>
      <c r="B5813" s="2" t="s">
        <v>12467</v>
      </c>
    </row>
    <row r="5814" spans="1:2" x14ac:dyDescent="0.2">
      <c r="A5814" s="8" t="s">
        <v>5837</v>
      </c>
      <c r="B5814" s="2" t="s">
        <v>12467</v>
      </c>
    </row>
    <row r="5815" spans="1:2" x14ac:dyDescent="0.2">
      <c r="A5815" s="8" t="s">
        <v>5838</v>
      </c>
      <c r="B5815" s="2" t="s">
        <v>12467</v>
      </c>
    </row>
    <row r="5816" spans="1:2" x14ac:dyDescent="0.2">
      <c r="A5816" s="8" t="s">
        <v>5839</v>
      </c>
      <c r="B5816" s="2" t="s">
        <v>12467</v>
      </c>
    </row>
    <row r="5817" spans="1:2" x14ac:dyDescent="0.2">
      <c r="A5817" s="8" t="s">
        <v>5840</v>
      </c>
      <c r="B5817" s="2" t="s">
        <v>12467</v>
      </c>
    </row>
    <row r="5818" spans="1:2" x14ac:dyDescent="0.2">
      <c r="A5818" s="8" t="s">
        <v>5841</v>
      </c>
      <c r="B5818" s="2" t="s">
        <v>12467</v>
      </c>
    </row>
    <row r="5819" spans="1:2" x14ac:dyDescent="0.2">
      <c r="A5819" s="8" t="s">
        <v>5842</v>
      </c>
      <c r="B5819" s="2" t="s">
        <v>12467</v>
      </c>
    </row>
    <row r="5820" spans="1:2" x14ac:dyDescent="0.2">
      <c r="A5820" s="8" t="s">
        <v>5843</v>
      </c>
      <c r="B5820" s="2" t="s">
        <v>12467</v>
      </c>
    </row>
    <row r="5821" spans="1:2" x14ac:dyDescent="0.2">
      <c r="A5821" s="8" t="s">
        <v>5844</v>
      </c>
      <c r="B5821" s="2" t="s">
        <v>12467</v>
      </c>
    </row>
    <row r="5822" spans="1:2" x14ac:dyDescent="0.2">
      <c r="A5822" s="8" t="s">
        <v>5845</v>
      </c>
      <c r="B5822" s="2" t="s">
        <v>12467</v>
      </c>
    </row>
    <row r="5823" spans="1:2" x14ac:dyDescent="0.2">
      <c r="A5823" s="8" t="s">
        <v>5846</v>
      </c>
      <c r="B5823" s="2" t="s">
        <v>12467</v>
      </c>
    </row>
    <row r="5824" spans="1:2" x14ac:dyDescent="0.2">
      <c r="A5824" s="8" t="s">
        <v>5847</v>
      </c>
      <c r="B5824" s="2" t="s">
        <v>12467</v>
      </c>
    </row>
    <row r="5825" spans="1:2" x14ac:dyDescent="0.2">
      <c r="A5825" s="8" t="s">
        <v>5848</v>
      </c>
      <c r="B5825" s="2" t="s">
        <v>12467</v>
      </c>
    </row>
    <row r="5826" spans="1:2" x14ac:dyDescent="0.2">
      <c r="A5826" s="8" t="s">
        <v>5849</v>
      </c>
      <c r="B5826" s="2" t="s">
        <v>12467</v>
      </c>
    </row>
    <row r="5827" spans="1:2" x14ac:dyDescent="0.2">
      <c r="A5827" s="8" t="s">
        <v>5850</v>
      </c>
      <c r="B5827" s="2" t="s">
        <v>12467</v>
      </c>
    </row>
    <row r="5828" spans="1:2" x14ac:dyDescent="0.2">
      <c r="A5828" s="8" t="s">
        <v>5851</v>
      </c>
      <c r="B5828" s="2" t="s">
        <v>12467</v>
      </c>
    </row>
    <row r="5829" spans="1:2" x14ac:dyDescent="0.2">
      <c r="A5829" s="8" t="s">
        <v>5852</v>
      </c>
      <c r="B5829" s="2" t="s">
        <v>12467</v>
      </c>
    </row>
    <row r="5830" spans="1:2" x14ac:dyDescent="0.2">
      <c r="A5830" s="8" t="s">
        <v>5853</v>
      </c>
      <c r="B5830" s="2" t="s">
        <v>12467</v>
      </c>
    </row>
    <row r="5831" spans="1:2" x14ac:dyDescent="0.2">
      <c r="A5831" s="8" t="s">
        <v>5854</v>
      </c>
      <c r="B5831" s="2" t="s">
        <v>12467</v>
      </c>
    </row>
    <row r="5832" spans="1:2" x14ac:dyDescent="0.2">
      <c r="A5832" s="8" t="s">
        <v>5855</v>
      </c>
      <c r="B5832" s="2" t="s">
        <v>12467</v>
      </c>
    </row>
    <row r="5833" spans="1:2" x14ac:dyDescent="0.2">
      <c r="A5833" s="8" t="s">
        <v>5856</v>
      </c>
      <c r="B5833" s="2" t="s">
        <v>12467</v>
      </c>
    </row>
    <row r="5834" spans="1:2" x14ac:dyDescent="0.2">
      <c r="A5834" s="8" t="s">
        <v>5857</v>
      </c>
      <c r="B5834" s="2" t="s">
        <v>12467</v>
      </c>
    </row>
    <row r="5835" spans="1:2" x14ac:dyDescent="0.2">
      <c r="A5835" s="8" t="s">
        <v>5858</v>
      </c>
      <c r="B5835" s="2" t="s">
        <v>12467</v>
      </c>
    </row>
    <row r="5836" spans="1:2" x14ac:dyDescent="0.2">
      <c r="A5836" s="8" t="s">
        <v>5859</v>
      </c>
      <c r="B5836" s="2" t="s">
        <v>12467</v>
      </c>
    </row>
    <row r="5837" spans="1:2" x14ac:dyDescent="0.2">
      <c r="A5837" s="8" t="s">
        <v>5860</v>
      </c>
      <c r="B5837" s="2" t="s">
        <v>12467</v>
      </c>
    </row>
    <row r="5838" spans="1:2" x14ac:dyDescent="0.2">
      <c r="A5838" s="8" t="s">
        <v>5861</v>
      </c>
      <c r="B5838" s="2" t="s">
        <v>12467</v>
      </c>
    </row>
    <row r="5839" spans="1:2" x14ac:dyDescent="0.2">
      <c r="A5839" s="8" t="s">
        <v>5862</v>
      </c>
      <c r="B5839" s="2" t="s">
        <v>12467</v>
      </c>
    </row>
    <row r="5840" spans="1:2" x14ac:dyDescent="0.2">
      <c r="A5840" s="8" t="s">
        <v>5863</v>
      </c>
      <c r="B5840" s="2" t="s">
        <v>12467</v>
      </c>
    </row>
    <row r="5841" spans="1:2" x14ac:dyDescent="0.2">
      <c r="A5841" s="8" t="s">
        <v>5864</v>
      </c>
      <c r="B5841" s="2" t="s">
        <v>12467</v>
      </c>
    </row>
    <row r="5842" spans="1:2" x14ac:dyDescent="0.2">
      <c r="A5842" s="8" t="s">
        <v>5865</v>
      </c>
      <c r="B5842" s="2" t="s">
        <v>12467</v>
      </c>
    </row>
    <row r="5843" spans="1:2" x14ac:dyDescent="0.2">
      <c r="A5843" s="8" t="s">
        <v>5866</v>
      </c>
      <c r="B5843" s="2" t="s">
        <v>12467</v>
      </c>
    </row>
    <row r="5844" spans="1:2" x14ac:dyDescent="0.2">
      <c r="A5844" s="8" t="s">
        <v>5867</v>
      </c>
      <c r="B5844" s="2" t="s">
        <v>12467</v>
      </c>
    </row>
    <row r="5845" spans="1:2" x14ac:dyDescent="0.2">
      <c r="A5845" s="8" t="s">
        <v>5868</v>
      </c>
      <c r="B5845" s="2" t="s">
        <v>12467</v>
      </c>
    </row>
    <row r="5846" spans="1:2" x14ac:dyDescent="0.2">
      <c r="A5846" s="8" t="s">
        <v>5869</v>
      </c>
      <c r="B5846" s="2" t="s">
        <v>12467</v>
      </c>
    </row>
    <row r="5847" spans="1:2" x14ac:dyDescent="0.2">
      <c r="A5847" s="8" t="s">
        <v>5870</v>
      </c>
      <c r="B5847" s="2" t="s">
        <v>12467</v>
      </c>
    </row>
    <row r="5848" spans="1:2" x14ac:dyDescent="0.2">
      <c r="A5848" s="8" t="s">
        <v>5871</v>
      </c>
      <c r="B5848" s="2" t="s">
        <v>12467</v>
      </c>
    </row>
    <row r="5849" spans="1:2" x14ac:dyDescent="0.2">
      <c r="A5849" s="8" t="s">
        <v>5872</v>
      </c>
      <c r="B5849" s="2" t="s">
        <v>12467</v>
      </c>
    </row>
    <row r="5850" spans="1:2" x14ac:dyDescent="0.2">
      <c r="A5850" s="8" t="s">
        <v>5873</v>
      </c>
      <c r="B5850" s="2" t="s">
        <v>12467</v>
      </c>
    </row>
    <row r="5851" spans="1:2" x14ac:dyDescent="0.2">
      <c r="A5851" s="8" t="s">
        <v>5874</v>
      </c>
      <c r="B5851" s="2" t="s">
        <v>12467</v>
      </c>
    </row>
    <row r="5852" spans="1:2" x14ac:dyDescent="0.2">
      <c r="A5852" s="8" t="s">
        <v>5875</v>
      </c>
      <c r="B5852" s="2" t="s">
        <v>12467</v>
      </c>
    </row>
    <row r="5853" spans="1:2" x14ac:dyDescent="0.2">
      <c r="A5853" s="8" t="s">
        <v>5876</v>
      </c>
      <c r="B5853" s="2" t="s">
        <v>12467</v>
      </c>
    </row>
    <row r="5854" spans="1:2" x14ac:dyDescent="0.2">
      <c r="A5854" s="8" t="s">
        <v>5877</v>
      </c>
      <c r="B5854" s="2" t="s">
        <v>12467</v>
      </c>
    </row>
    <row r="5855" spans="1:2" x14ac:dyDescent="0.2">
      <c r="A5855" s="8" t="s">
        <v>5878</v>
      </c>
      <c r="B5855" s="2" t="s">
        <v>12467</v>
      </c>
    </row>
    <row r="5856" spans="1:2" x14ac:dyDescent="0.2">
      <c r="A5856" s="8" t="s">
        <v>5879</v>
      </c>
      <c r="B5856" s="2" t="s">
        <v>12467</v>
      </c>
    </row>
    <row r="5857" spans="1:2" x14ac:dyDescent="0.2">
      <c r="A5857" s="8" t="s">
        <v>5880</v>
      </c>
      <c r="B5857" s="2" t="s">
        <v>12467</v>
      </c>
    </row>
    <row r="5858" spans="1:2" x14ac:dyDescent="0.2">
      <c r="A5858" s="8" t="s">
        <v>5881</v>
      </c>
      <c r="B5858" s="2" t="s">
        <v>12467</v>
      </c>
    </row>
    <row r="5859" spans="1:2" x14ac:dyDescent="0.2">
      <c r="A5859" s="8" t="s">
        <v>5882</v>
      </c>
      <c r="B5859" s="2" t="s">
        <v>12467</v>
      </c>
    </row>
    <row r="5860" spans="1:2" x14ac:dyDescent="0.2">
      <c r="A5860" s="8" t="s">
        <v>5883</v>
      </c>
      <c r="B5860" s="2" t="s">
        <v>12467</v>
      </c>
    </row>
    <row r="5861" spans="1:2" x14ac:dyDescent="0.2">
      <c r="A5861" s="8" t="s">
        <v>5884</v>
      </c>
      <c r="B5861" s="2" t="s">
        <v>12467</v>
      </c>
    </row>
    <row r="5862" spans="1:2" x14ac:dyDescent="0.2">
      <c r="A5862" s="8" t="s">
        <v>5885</v>
      </c>
      <c r="B5862" s="2" t="s">
        <v>12467</v>
      </c>
    </row>
    <row r="5863" spans="1:2" x14ac:dyDescent="0.2">
      <c r="A5863" s="8" t="s">
        <v>5886</v>
      </c>
      <c r="B5863" s="2" t="s">
        <v>12467</v>
      </c>
    </row>
    <row r="5864" spans="1:2" x14ac:dyDescent="0.2">
      <c r="A5864" s="8" t="s">
        <v>5887</v>
      </c>
      <c r="B5864" s="2" t="s">
        <v>12467</v>
      </c>
    </row>
    <row r="5865" spans="1:2" x14ac:dyDescent="0.2">
      <c r="A5865" s="8" t="s">
        <v>5888</v>
      </c>
      <c r="B5865" s="2" t="s">
        <v>12467</v>
      </c>
    </row>
    <row r="5866" spans="1:2" x14ac:dyDescent="0.2">
      <c r="A5866" s="8" t="s">
        <v>5889</v>
      </c>
      <c r="B5866" s="2" t="s">
        <v>12467</v>
      </c>
    </row>
    <row r="5867" spans="1:2" x14ac:dyDescent="0.2">
      <c r="A5867" s="8" t="s">
        <v>5890</v>
      </c>
      <c r="B5867" s="2" t="s">
        <v>12467</v>
      </c>
    </row>
    <row r="5868" spans="1:2" x14ac:dyDescent="0.2">
      <c r="A5868" s="8" t="s">
        <v>5891</v>
      </c>
      <c r="B5868" s="2" t="s">
        <v>12467</v>
      </c>
    </row>
    <row r="5869" spans="1:2" x14ac:dyDescent="0.2">
      <c r="A5869" s="8" t="s">
        <v>5892</v>
      </c>
      <c r="B5869" s="2" t="s">
        <v>12467</v>
      </c>
    </row>
    <row r="5870" spans="1:2" x14ac:dyDescent="0.2">
      <c r="A5870" s="8" t="s">
        <v>5893</v>
      </c>
      <c r="B5870" s="2" t="s">
        <v>12467</v>
      </c>
    </row>
    <row r="5871" spans="1:2" x14ac:dyDescent="0.2">
      <c r="A5871" s="8" t="s">
        <v>5894</v>
      </c>
      <c r="B5871" s="2" t="s">
        <v>12467</v>
      </c>
    </row>
    <row r="5872" spans="1:2" x14ac:dyDescent="0.2">
      <c r="A5872" s="8" t="s">
        <v>5895</v>
      </c>
      <c r="B5872" s="2" t="s">
        <v>12467</v>
      </c>
    </row>
    <row r="5873" spans="1:2" x14ac:dyDescent="0.2">
      <c r="A5873" s="8" t="s">
        <v>5896</v>
      </c>
      <c r="B5873" s="2" t="s">
        <v>12467</v>
      </c>
    </row>
    <row r="5874" spans="1:2" x14ac:dyDescent="0.2">
      <c r="A5874" s="8" t="s">
        <v>5897</v>
      </c>
      <c r="B5874" s="2" t="s">
        <v>12467</v>
      </c>
    </row>
    <row r="5875" spans="1:2" x14ac:dyDescent="0.2">
      <c r="A5875" s="8" t="s">
        <v>5898</v>
      </c>
      <c r="B5875" s="2" t="s">
        <v>12467</v>
      </c>
    </row>
    <row r="5876" spans="1:2" x14ac:dyDescent="0.2">
      <c r="A5876" s="8" t="s">
        <v>5899</v>
      </c>
      <c r="B5876" s="2" t="s">
        <v>12467</v>
      </c>
    </row>
    <row r="5877" spans="1:2" x14ac:dyDescent="0.2">
      <c r="A5877" s="8" t="s">
        <v>5900</v>
      </c>
      <c r="B5877" s="2" t="s">
        <v>12467</v>
      </c>
    </row>
    <row r="5878" spans="1:2" x14ac:dyDescent="0.2">
      <c r="A5878" s="8" t="s">
        <v>5901</v>
      </c>
      <c r="B5878" s="2" t="s">
        <v>12467</v>
      </c>
    </row>
    <row r="5879" spans="1:2" x14ac:dyDescent="0.2">
      <c r="A5879" s="8" t="s">
        <v>5902</v>
      </c>
      <c r="B5879" s="2" t="s">
        <v>12467</v>
      </c>
    </row>
    <row r="5880" spans="1:2" x14ac:dyDescent="0.2">
      <c r="A5880" s="8" t="s">
        <v>5903</v>
      </c>
      <c r="B5880" s="2" t="s">
        <v>12467</v>
      </c>
    </row>
    <row r="5881" spans="1:2" x14ac:dyDescent="0.2">
      <c r="A5881" s="8" t="s">
        <v>5904</v>
      </c>
      <c r="B5881" s="2" t="s">
        <v>12467</v>
      </c>
    </row>
    <row r="5882" spans="1:2" x14ac:dyDescent="0.2">
      <c r="A5882" s="8" t="s">
        <v>5905</v>
      </c>
      <c r="B5882" s="2" t="s">
        <v>12467</v>
      </c>
    </row>
    <row r="5883" spans="1:2" x14ac:dyDescent="0.2">
      <c r="A5883" s="8" t="s">
        <v>5906</v>
      </c>
      <c r="B5883" s="2" t="s">
        <v>12467</v>
      </c>
    </row>
    <row r="5884" spans="1:2" x14ac:dyDescent="0.2">
      <c r="A5884" s="8" t="s">
        <v>5907</v>
      </c>
      <c r="B5884" s="2" t="s">
        <v>12467</v>
      </c>
    </row>
    <row r="5885" spans="1:2" x14ac:dyDescent="0.2">
      <c r="A5885" s="8" t="s">
        <v>5908</v>
      </c>
      <c r="B5885" s="2" t="s">
        <v>12467</v>
      </c>
    </row>
    <row r="5886" spans="1:2" x14ac:dyDescent="0.2">
      <c r="A5886" s="8" t="s">
        <v>5909</v>
      </c>
      <c r="B5886" s="2" t="s">
        <v>12467</v>
      </c>
    </row>
    <row r="5887" spans="1:2" x14ac:dyDescent="0.2">
      <c r="A5887" s="8" t="s">
        <v>5910</v>
      </c>
      <c r="B5887" s="2" t="s">
        <v>12467</v>
      </c>
    </row>
    <row r="5888" spans="1:2" x14ac:dyDescent="0.2">
      <c r="A5888" s="8" t="s">
        <v>5911</v>
      </c>
      <c r="B5888" s="2" t="s">
        <v>12467</v>
      </c>
    </row>
    <row r="5889" spans="1:2" x14ac:dyDescent="0.2">
      <c r="A5889" s="8" t="s">
        <v>5912</v>
      </c>
      <c r="B5889" s="2" t="s">
        <v>12467</v>
      </c>
    </row>
    <row r="5890" spans="1:2" x14ac:dyDescent="0.2">
      <c r="A5890" s="8" t="s">
        <v>5913</v>
      </c>
      <c r="B5890" s="2" t="s">
        <v>12467</v>
      </c>
    </row>
    <row r="5891" spans="1:2" x14ac:dyDescent="0.2">
      <c r="A5891" s="8" t="s">
        <v>5914</v>
      </c>
      <c r="B5891" s="2" t="s">
        <v>12467</v>
      </c>
    </row>
    <row r="5892" spans="1:2" x14ac:dyDescent="0.2">
      <c r="A5892" s="8" t="s">
        <v>5915</v>
      </c>
      <c r="B5892" s="2" t="s">
        <v>12467</v>
      </c>
    </row>
    <row r="5893" spans="1:2" x14ac:dyDescent="0.2">
      <c r="A5893" s="8" t="s">
        <v>5916</v>
      </c>
      <c r="B5893" s="2" t="s">
        <v>12467</v>
      </c>
    </row>
    <row r="5894" spans="1:2" x14ac:dyDescent="0.2">
      <c r="A5894" s="8" t="s">
        <v>5917</v>
      </c>
      <c r="B5894" s="2" t="s">
        <v>12467</v>
      </c>
    </row>
    <row r="5895" spans="1:2" x14ac:dyDescent="0.2">
      <c r="A5895" s="8" t="s">
        <v>5918</v>
      </c>
      <c r="B5895" s="2" t="s">
        <v>12467</v>
      </c>
    </row>
    <row r="5896" spans="1:2" x14ac:dyDescent="0.2">
      <c r="A5896" s="8" t="s">
        <v>5919</v>
      </c>
      <c r="B5896" s="2" t="s">
        <v>12467</v>
      </c>
    </row>
    <row r="5897" spans="1:2" x14ac:dyDescent="0.2">
      <c r="A5897" s="8" t="s">
        <v>5920</v>
      </c>
      <c r="B5897" s="2" t="s">
        <v>12467</v>
      </c>
    </row>
    <row r="5898" spans="1:2" x14ac:dyDescent="0.2">
      <c r="A5898" s="8" t="s">
        <v>5921</v>
      </c>
      <c r="B5898" s="2" t="s">
        <v>12467</v>
      </c>
    </row>
    <row r="5899" spans="1:2" x14ac:dyDescent="0.2">
      <c r="A5899" s="8" t="s">
        <v>5922</v>
      </c>
      <c r="B5899" s="2" t="s">
        <v>12467</v>
      </c>
    </row>
    <row r="5900" spans="1:2" x14ac:dyDescent="0.2">
      <c r="A5900" s="8" t="s">
        <v>5923</v>
      </c>
      <c r="B5900" s="2" t="s">
        <v>12467</v>
      </c>
    </row>
    <row r="5901" spans="1:2" x14ac:dyDescent="0.2">
      <c r="A5901" s="8" t="s">
        <v>5924</v>
      </c>
      <c r="B5901" s="2" t="s">
        <v>12467</v>
      </c>
    </row>
    <row r="5902" spans="1:2" x14ac:dyDescent="0.2">
      <c r="A5902" s="8" t="s">
        <v>5925</v>
      </c>
      <c r="B5902" s="2" t="s">
        <v>12467</v>
      </c>
    </row>
    <row r="5903" spans="1:2" x14ac:dyDescent="0.2">
      <c r="A5903" s="8" t="s">
        <v>5926</v>
      </c>
      <c r="B5903" s="2" t="s">
        <v>12467</v>
      </c>
    </row>
    <row r="5904" spans="1:2" x14ac:dyDescent="0.2">
      <c r="A5904" s="8" t="s">
        <v>5927</v>
      </c>
      <c r="B5904" s="2" t="s">
        <v>12467</v>
      </c>
    </row>
    <row r="5905" spans="1:2" x14ac:dyDescent="0.2">
      <c r="A5905" s="8" t="s">
        <v>5928</v>
      </c>
      <c r="B5905" s="2" t="s">
        <v>12467</v>
      </c>
    </row>
    <row r="5906" spans="1:2" x14ac:dyDescent="0.2">
      <c r="A5906" s="8" t="s">
        <v>5929</v>
      </c>
      <c r="B5906" s="2" t="s">
        <v>12467</v>
      </c>
    </row>
    <row r="5907" spans="1:2" x14ac:dyDescent="0.2">
      <c r="A5907" s="8" t="s">
        <v>5930</v>
      </c>
      <c r="B5907" s="2" t="s">
        <v>12467</v>
      </c>
    </row>
    <row r="5908" spans="1:2" x14ac:dyDescent="0.2">
      <c r="A5908" s="8" t="s">
        <v>5931</v>
      </c>
      <c r="B5908" s="2" t="s">
        <v>12467</v>
      </c>
    </row>
    <row r="5909" spans="1:2" x14ac:dyDescent="0.2">
      <c r="A5909" s="8" t="s">
        <v>5932</v>
      </c>
      <c r="B5909" s="2" t="s">
        <v>12467</v>
      </c>
    </row>
    <row r="5910" spans="1:2" x14ac:dyDescent="0.2">
      <c r="A5910" s="8" t="s">
        <v>5933</v>
      </c>
      <c r="B5910" s="2" t="s">
        <v>12467</v>
      </c>
    </row>
    <row r="5911" spans="1:2" x14ac:dyDescent="0.2">
      <c r="A5911" s="8" t="s">
        <v>5934</v>
      </c>
      <c r="B5911" s="2" t="s">
        <v>12467</v>
      </c>
    </row>
    <row r="5912" spans="1:2" x14ac:dyDescent="0.2">
      <c r="A5912" s="8" t="s">
        <v>5935</v>
      </c>
      <c r="B5912" s="2" t="s">
        <v>12467</v>
      </c>
    </row>
    <row r="5913" spans="1:2" x14ac:dyDescent="0.2">
      <c r="A5913" s="8" t="s">
        <v>5936</v>
      </c>
      <c r="B5913" s="2" t="s">
        <v>12467</v>
      </c>
    </row>
    <row r="5914" spans="1:2" x14ac:dyDescent="0.2">
      <c r="A5914" s="8" t="s">
        <v>5937</v>
      </c>
      <c r="B5914" s="2" t="s">
        <v>12467</v>
      </c>
    </row>
    <row r="5915" spans="1:2" x14ac:dyDescent="0.2">
      <c r="A5915" s="8" t="s">
        <v>5938</v>
      </c>
      <c r="B5915" s="2" t="s">
        <v>12467</v>
      </c>
    </row>
    <row r="5916" spans="1:2" x14ac:dyDescent="0.2">
      <c r="A5916" s="8" t="s">
        <v>5939</v>
      </c>
      <c r="B5916" s="2" t="s">
        <v>12467</v>
      </c>
    </row>
    <row r="5917" spans="1:2" x14ac:dyDescent="0.2">
      <c r="A5917" s="8" t="s">
        <v>5940</v>
      </c>
      <c r="B5917" s="2" t="s">
        <v>12467</v>
      </c>
    </row>
    <row r="5918" spans="1:2" x14ac:dyDescent="0.2">
      <c r="A5918" s="8" t="s">
        <v>5941</v>
      </c>
      <c r="B5918" s="2" t="s">
        <v>12467</v>
      </c>
    </row>
    <row r="5919" spans="1:2" x14ac:dyDescent="0.2">
      <c r="A5919" s="8" t="s">
        <v>5942</v>
      </c>
      <c r="B5919" s="2" t="s">
        <v>12467</v>
      </c>
    </row>
    <row r="5920" spans="1:2" x14ac:dyDescent="0.2">
      <c r="A5920" s="8" t="s">
        <v>5943</v>
      </c>
      <c r="B5920" s="2" t="s">
        <v>12467</v>
      </c>
    </row>
    <row r="5921" spans="1:2" x14ac:dyDescent="0.2">
      <c r="A5921" s="8" t="s">
        <v>5944</v>
      </c>
      <c r="B5921" s="2" t="s">
        <v>12467</v>
      </c>
    </row>
    <row r="5922" spans="1:2" x14ac:dyDescent="0.2">
      <c r="A5922" s="8" t="s">
        <v>5945</v>
      </c>
      <c r="B5922" s="2" t="s">
        <v>12467</v>
      </c>
    </row>
    <row r="5923" spans="1:2" x14ac:dyDescent="0.2">
      <c r="A5923" s="8" t="s">
        <v>5946</v>
      </c>
      <c r="B5923" s="2" t="s">
        <v>12468</v>
      </c>
    </row>
    <row r="5924" spans="1:2" x14ac:dyDescent="0.2">
      <c r="A5924" s="8" t="s">
        <v>5947</v>
      </c>
      <c r="B5924" s="2" t="s">
        <v>12468</v>
      </c>
    </row>
    <row r="5925" spans="1:2" x14ac:dyDescent="0.2">
      <c r="A5925" s="8" t="s">
        <v>5948</v>
      </c>
      <c r="B5925" s="2" t="s">
        <v>12468</v>
      </c>
    </row>
    <row r="5926" spans="1:2" x14ac:dyDescent="0.2">
      <c r="A5926" s="8" t="s">
        <v>5949</v>
      </c>
      <c r="B5926" s="2" t="s">
        <v>12468</v>
      </c>
    </row>
    <row r="5927" spans="1:2" x14ac:dyDescent="0.2">
      <c r="A5927" s="8" t="s">
        <v>5950</v>
      </c>
      <c r="B5927" s="2" t="s">
        <v>12468</v>
      </c>
    </row>
    <row r="5928" spans="1:2" x14ac:dyDescent="0.2">
      <c r="A5928" s="8" t="s">
        <v>5951</v>
      </c>
      <c r="B5928" s="2" t="s">
        <v>12468</v>
      </c>
    </row>
    <row r="5929" spans="1:2" x14ac:dyDescent="0.2">
      <c r="A5929" s="8" t="s">
        <v>5952</v>
      </c>
      <c r="B5929" s="2" t="s">
        <v>12468</v>
      </c>
    </row>
    <row r="5930" spans="1:2" x14ac:dyDescent="0.2">
      <c r="A5930" s="8" t="s">
        <v>5953</v>
      </c>
      <c r="B5930" s="2" t="s">
        <v>12468</v>
      </c>
    </row>
    <row r="5931" spans="1:2" x14ac:dyDescent="0.2">
      <c r="A5931" s="8" t="s">
        <v>5954</v>
      </c>
      <c r="B5931" s="2" t="s">
        <v>12468</v>
      </c>
    </row>
    <row r="5932" spans="1:2" x14ac:dyDescent="0.2">
      <c r="A5932" s="8" t="s">
        <v>5955</v>
      </c>
      <c r="B5932" s="2" t="s">
        <v>12468</v>
      </c>
    </row>
    <row r="5933" spans="1:2" x14ac:dyDescent="0.2">
      <c r="A5933" s="8" t="s">
        <v>5956</v>
      </c>
      <c r="B5933" s="2" t="s">
        <v>12468</v>
      </c>
    </row>
    <row r="5934" spans="1:2" x14ac:dyDescent="0.2">
      <c r="A5934" s="8" t="s">
        <v>5957</v>
      </c>
      <c r="B5934" s="2" t="s">
        <v>12468</v>
      </c>
    </row>
    <row r="5935" spans="1:2" x14ac:dyDescent="0.2">
      <c r="A5935" s="8" t="s">
        <v>5958</v>
      </c>
      <c r="B5935" s="2" t="s">
        <v>12468</v>
      </c>
    </row>
    <row r="5936" spans="1:2" x14ac:dyDescent="0.2">
      <c r="A5936" s="8" t="s">
        <v>5959</v>
      </c>
      <c r="B5936" s="2" t="s">
        <v>12468</v>
      </c>
    </row>
    <row r="5937" spans="1:2" x14ac:dyDescent="0.2">
      <c r="A5937" s="8" t="s">
        <v>5960</v>
      </c>
      <c r="B5937" s="2" t="s">
        <v>12468</v>
      </c>
    </row>
    <row r="5938" spans="1:2" x14ac:dyDescent="0.2">
      <c r="A5938" s="8" t="s">
        <v>5961</v>
      </c>
      <c r="B5938" s="2" t="s">
        <v>12468</v>
      </c>
    </row>
    <row r="5939" spans="1:2" x14ac:dyDescent="0.2">
      <c r="A5939" s="8" t="s">
        <v>5962</v>
      </c>
      <c r="B5939" s="2" t="s">
        <v>12468</v>
      </c>
    </row>
    <row r="5940" spans="1:2" x14ac:dyDescent="0.2">
      <c r="A5940" s="8" t="s">
        <v>5963</v>
      </c>
      <c r="B5940" s="2" t="s">
        <v>12468</v>
      </c>
    </row>
    <row r="5941" spans="1:2" x14ac:dyDescent="0.2">
      <c r="A5941" s="8" t="s">
        <v>5964</v>
      </c>
      <c r="B5941" s="2" t="s">
        <v>12468</v>
      </c>
    </row>
    <row r="5942" spans="1:2" x14ac:dyDescent="0.2">
      <c r="A5942" s="8" t="s">
        <v>5965</v>
      </c>
      <c r="B5942" s="2" t="s">
        <v>12468</v>
      </c>
    </row>
    <row r="5943" spans="1:2" x14ac:dyDescent="0.2">
      <c r="A5943" s="8" t="s">
        <v>5966</v>
      </c>
      <c r="B5943" s="2" t="s">
        <v>12468</v>
      </c>
    </row>
    <row r="5944" spans="1:2" x14ac:dyDescent="0.2">
      <c r="A5944" s="8" t="s">
        <v>5967</v>
      </c>
      <c r="B5944" s="2" t="s">
        <v>12468</v>
      </c>
    </row>
    <row r="5945" spans="1:2" x14ac:dyDescent="0.2">
      <c r="A5945" s="8" t="s">
        <v>5968</v>
      </c>
      <c r="B5945" s="2" t="s">
        <v>12468</v>
      </c>
    </row>
    <row r="5946" spans="1:2" x14ac:dyDescent="0.2">
      <c r="A5946" s="8" t="s">
        <v>5969</v>
      </c>
      <c r="B5946" s="2" t="s">
        <v>12468</v>
      </c>
    </row>
    <row r="5947" spans="1:2" x14ac:dyDescent="0.2">
      <c r="A5947" s="8" t="s">
        <v>5970</v>
      </c>
      <c r="B5947" s="2" t="s">
        <v>12468</v>
      </c>
    </row>
    <row r="5948" spans="1:2" x14ac:dyDescent="0.2">
      <c r="A5948" s="8" t="s">
        <v>5971</v>
      </c>
      <c r="B5948" s="2" t="s">
        <v>12468</v>
      </c>
    </row>
    <row r="5949" spans="1:2" x14ac:dyDescent="0.2">
      <c r="A5949" s="8" t="s">
        <v>5972</v>
      </c>
      <c r="B5949" s="2" t="s">
        <v>12468</v>
      </c>
    </row>
    <row r="5950" spans="1:2" x14ac:dyDescent="0.2">
      <c r="A5950" s="8" t="s">
        <v>5973</v>
      </c>
      <c r="B5950" s="2" t="s">
        <v>12468</v>
      </c>
    </row>
    <row r="5951" spans="1:2" x14ac:dyDescent="0.2">
      <c r="A5951" s="8" t="s">
        <v>5974</v>
      </c>
      <c r="B5951" s="2" t="s">
        <v>12468</v>
      </c>
    </row>
    <row r="5952" spans="1:2" x14ac:dyDescent="0.2">
      <c r="A5952" s="8" t="s">
        <v>5975</v>
      </c>
      <c r="B5952" s="2" t="s">
        <v>12468</v>
      </c>
    </row>
    <row r="5953" spans="1:2" x14ac:dyDescent="0.2">
      <c r="A5953" s="8" t="s">
        <v>5976</v>
      </c>
      <c r="B5953" s="2" t="s">
        <v>12468</v>
      </c>
    </row>
    <row r="5954" spans="1:2" x14ac:dyDescent="0.2">
      <c r="A5954" s="8" t="s">
        <v>5977</v>
      </c>
      <c r="B5954" s="2" t="s">
        <v>12468</v>
      </c>
    </row>
    <row r="5955" spans="1:2" x14ac:dyDescent="0.2">
      <c r="A5955" s="8" t="s">
        <v>5978</v>
      </c>
      <c r="B5955" s="2" t="s">
        <v>12468</v>
      </c>
    </row>
    <row r="5956" spans="1:2" x14ac:dyDescent="0.2">
      <c r="A5956" s="8" t="s">
        <v>5979</v>
      </c>
      <c r="B5956" s="2" t="s">
        <v>12468</v>
      </c>
    </row>
    <row r="5957" spans="1:2" x14ac:dyDescent="0.2">
      <c r="A5957" s="8" t="s">
        <v>5980</v>
      </c>
      <c r="B5957" s="2" t="s">
        <v>12468</v>
      </c>
    </row>
    <row r="5958" spans="1:2" x14ac:dyDescent="0.2">
      <c r="A5958" s="8" t="s">
        <v>5981</v>
      </c>
      <c r="B5958" s="2" t="s">
        <v>12468</v>
      </c>
    </row>
    <row r="5959" spans="1:2" x14ac:dyDescent="0.2">
      <c r="A5959" s="8" t="s">
        <v>5982</v>
      </c>
      <c r="B5959" s="2" t="s">
        <v>12468</v>
      </c>
    </row>
    <row r="5960" spans="1:2" x14ac:dyDescent="0.2">
      <c r="A5960" s="8" t="s">
        <v>5983</v>
      </c>
      <c r="B5960" s="2" t="s">
        <v>12468</v>
      </c>
    </row>
    <row r="5961" spans="1:2" x14ac:dyDescent="0.2">
      <c r="A5961" s="8" t="s">
        <v>5984</v>
      </c>
      <c r="B5961" s="2" t="s">
        <v>12468</v>
      </c>
    </row>
    <row r="5962" spans="1:2" x14ac:dyDescent="0.2">
      <c r="A5962" s="8" t="s">
        <v>5985</v>
      </c>
      <c r="B5962" s="2" t="s">
        <v>12468</v>
      </c>
    </row>
    <row r="5963" spans="1:2" x14ac:dyDescent="0.2">
      <c r="A5963" s="8" t="s">
        <v>5986</v>
      </c>
      <c r="B5963" s="2" t="s">
        <v>12468</v>
      </c>
    </row>
    <row r="5964" spans="1:2" x14ac:dyDescent="0.2">
      <c r="A5964" s="8" t="s">
        <v>5987</v>
      </c>
      <c r="B5964" s="2" t="s">
        <v>12468</v>
      </c>
    </row>
    <row r="5965" spans="1:2" x14ac:dyDescent="0.2">
      <c r="A5965" s="8" t="s">
        <v>5988</v>
      </c>
      <c r="B5965" s="2" t="s">
        <v>12468</v>
      </c>
    </row>
    <row r="5966" spans="1:2" x14ac:dyDescent="0.2">
      <c r="A5966" s="8" t="s">
        <v>5989</v>
      </c>
      <c r="B5966" s="2" t="s">
        <v>12468</v>
      </c>
    </row>
    <row r="5967" spans="1:2" x14ac:dyDescent="0.2">
      <c r="A5967" s="8" t="s">
        <v>5990</v>
      </c>
      <c r="B5967" s="2" t="s">
        <v>12468</v>
      </c>
    </row>
    <row r="5968" spans="1:2" x14ac:dyDescent="0.2">
      <c r="A5968" s="8" t="s">
        <v>5991</v>
      </c>
      <c r="B5968" s="2" t="s">
        <v>12468</v>
      </c>
    </row>
    <row r="5969" spans="1:2" x14ac:dyDescent="0.2">
      <c r="A5969" s="8" t="s">
        <v>5992</v>
      </c>
      <c r="B5969" s="2" t="s">
        <v>12468</v>
      </c>
    </row>
    <row r="5970" spans="1:2" x14ac:dyDescent="0.2">
      <c r="A5970" s="8" t="s">
        <v>5993</v>
      </c>
      <c r="B5970" s="2" t="s">
        <v>12468</v>
      </c>
    </row>
    <row r="5971" spans="1:2" x14ac:dyDescent="0.2">
      <c r="A5971" s="8" t="s">
        <v>5994</v>
      </c>
      <c r="B5971" s="2" t="s">
        <v>12468</v>
      </c>
    </row>
    <row r="5972" spans="1:2" x14ac:dyDescent="0.2">
      <c r="A5972" s="8" t="s">
        <v>5995</v>
      </c>
      <c r="B5972" s="2" t="s">
        <v>12468</v>
      </c>
    </row>
    <row r="5973" spans="1:2" x14ac:dyDescent="0.2">
      <c r="A5973" s="8" t="s">
        <v>5996</v>
      </c>
      <c r="B5973" s="2" t="s">
        <v>12468</v>
      </c>
    </row>
    <row r="5974" spans="1:2" x14ac:dyDescent="0.2">
      <c r="A5974" s="8" t="s">
        <v>5997</v>
      </c>
      <c r="B5974" s="2" t="s">
        <v>12468</v>
      </c>
    </row>
    <row r="5975" spans="1:2" x14ac:dyDescent="0.2">
      <c r="A5975" s="8" t="s">
        <v>5998</v>
      </c>
      <c r="B5975" s="2" t="s">
        <v>12468</v>
      </c>
    </row>
    <row r="5976" spans="1:2" x14ac:dyDescent="0.2">
      <c r="A5976" s="8" t="s">
        <v>5999</v>
      </c>
      <c r="B5976" s="2" t="s">
        <v>12468</v>
      </c>
    </row>
    <row r="5977" spans="1:2" x14ac:dyDescent="0.2">
      <c r="A5977" s="8" t="s">
        <v>6000</v>
      </c>
      <c r="B5977" s="2" t="s">
        <v>12468</v>
      </c>
    </row>
    <row r="5978" spans="1:2" x14ac:dyDescent="0.2">
      <c r="A5978" s="8" t="s">
        <v>6001</v>
      </c>
      <c r="B5978" s="2" t="s">
        <v>12468</v>
      </c>
    </row>
    <row r="5979" spans="1:2" x14ac:dyDescent="0.2">
      <c r="A5979" s="8" t="s">
        <v>6002</v>
      </c>
      <c r="B5979" s="2" t="s">
        <v>12468</v>
      </c>
    </row>
    <row r="5980" spans="1:2" x14ac:dyDescent="0.2">
      <c r="A5980" s="8" t="s">
        <v>6003</v>
      </c>
      <c r="B5980" s="2" t="s">
        <v>12468</v>
      </c>
    </row>
    <row r="5981" spans="1:2" x14ac:dyDescent="0.2">
      <c r="A5981" s="8" t="s">
        <v>6004</v>
      </c>
      <c r="B5981" s="2" t="s">
        <v>12468</v>
      </c>
    </row>
    <row r="5982" spans="1:2" x14ac:dyDescent="0.2">
      <c r="A5982" s="8" t="s">
        <v>6005</v>
      </c>
      <c r="B5982" s="2" t="s">
        <v>12468</v>
      </c>
    </row>
    <row r="5983" spans="1:2" x14ac:dyDescent="0.2">
      <c r="A5983" s="8" t="s">
        <v>6006</v>
      </c>
      <c r="B5983" s="2" t="s">
        <v>12468</v>
      </c>
    </row>
    <row r="5984" spans="1:2" x14ac:dyDescent="0.2">
      <c r="A5984" s="8" t="s">
        <v>6007</v>
      </c>
      <c r="B5984" s="2" t="s">
        <v>12468</v>
      </c>
    </row>
    <row r="5985" spans="1:2" x14ac:dyDescent="0.2">
      <c r="A5985" s="8" t="s">
        <v>6008</v>
      </c>
      <c r="B5985" s="2" t="s">
        <v>12468</v>
      </c>
    </row>
    <row r="5986" spans="1:2" x14ac:dyDescent="0.2">
      <c r="A5986" s="8" t="s">
        <v>6009</v>
      </c>
      <c r="B5986" s="2" t="s">
        <v>12468</v>
      </c>
    </row>
    <row r="5987" spans="1:2" x14ac:dyDescent="0.2">
      <c r="A5987" s="8" t="s">
        <v>6010</v>
      </c>
      <c r="B5987" s="2" t="s">
        <v>12468</v>
      </c>
    </row>
    <row r="5988" spans="1:2" x14ac:dyDescent="0.2">
      <c r="A5988" s="8" t="s">
        <v>6011</v>
      </c>
      <c r="B5988" s="2" t="s">
        <v>12468</v>
      </c>
    </row>
    <row r="5989" spans="1:2" x14ac:dyDescent="0.2">
      <c r="A5989" s="8" t="s">
        <v>6012</v>
      </c>
      <c r="B5989" s="2" t="s">
        <v>12468</v>
      </c>
    </row>
    <row r="5990" spans="1:2" x14ac:dyDescent="0.2">
      <c r="A5990" s="8" t="s">
        <v>6013</v>
      </c>
      <c r="B5990" s="2" t="s">
        <v>12468</v>
      </c>
    </row>
    <row r="5991" spans="1:2" x14ac:dyDescent="0.2">
      <c r="A5991" s="8" t="s">
        <v>6014</v>
      </c>
      <c r="B5991" s="2" t="s">
        <v>12468</v>
      </c>
    </row>
    <row r="5992" spans="1:2" x14ac:dyDescent="0.2">
      <c r="A5992" s="8" t="s">
        <v>6015</v>
      </c>
      <c r="B5992" s="2" t="s">
        <v>12468</v>
      </c>
    </row>
    <row r="5993" spans="1:2" x14ac:dyDescent="0.2">
      <c r="A5993" s="8" t="s">
        <v>6016</v>
      </c>
      <c r="B5993" s="2" t="s">
        <v>12468</v>
      </c>
    </row>
    <row r="5994" spans="1:2" x14ac:dyDescent="0.2">
      <c r="A5994" s="8" t="s">
        <v>6017</v>
      </c>
      <c r="B5994" s="2" t="s">
        <v>12468</v>
      </c>
    </row>
    <row r="5995" spans="1:2" x14ac:dyDescent="0.2">
      <c r="A5995" s="8" t="s">
        <v>6018</v>
      </c>
      <c r="B5995" s="2" t="s">
        <v>12468</v>
      </c>
    </row>
    <row r="5996" spans="1:2" x14ac:dyDescent="0.2">
      <c r="A5996" s="8" t="s">
        <v>6019</v>
      </c>
      <c r="B5996" s="2" t="s">
        <v>12468</v>
      </c>
    </row>
    <row r="5997" spans="1:2" x14ac:dyDescent="0.2">
      <c r="A5997" s="8" t="s">
        <v>6020</v>
      </c>
      <c r="B5997" s="2" t="s">
        <v>12468</v>
      </c>
    </row>
    <row r="5998" spans="1:2" x14ac:dyDescent="0.2">
      <c r="A5998" s="8" t="s">
        <v>6021</v>
      </c>
      <c r="B5998" s="2" t="s">
        <v>12468</v>
      </c>
    </row>
    <row r="5999" spans="1:2" x14ac:dyDescent="0.2">
      <c r="A5999" s="8" t="s">
        <v>6022</v>
      </c>
      <c r="B5999" s="2" t="s">
        <v>12468</v>
      </c>
    </row>
    <row r="6000" spans="1:2" x14ac:dyDescent="0.2">
      <c r="A6000" s="8" t="s">
        <v>6023</v>
      </c>
      <c r="B6000" s="2" t="s">
        <v>12468</v>
      </c>
    </row>
    <row r="6001" spans="1:2" x14ac:dyDescent="0.2">
      <c r="A6001" s="8" t="s">
        <v>6024</v>
      </c>
      <c r="B6001" s="2" t="s">
        <v>12468</v>
      </c>
    </row>
    <row r="6002" spans="1:2" x14ac:dyDescent="0.2">
      <c r="A6002" s="8" t="s">
        <v>6025</v>
      </c>
      <c r="B6002" s="2" t="s">
        <v>12468</v>
      </c>
    </row>
    <row r="6003" spans="1:2" x14ac:dyDescent="0.2">
      <c r="A6003" s="8" t="s">
        <v>6026</v>
      </c>
      <c r="B6003" s="2" t="s">
        <v>12468</v>
      </c>
    </row>
    <row r="6004" spans="1:2" x14ac:dyDescent="0.2">
      <c r="A6004" s="8" t="s">
        <v>6027</v>
      </c>
      <c r="B6004" s="2" t="s">
        <v>12468</v>
      </c>
    </row>
    <row r="6005" spans="1:2" x14ac:dyDescent="0.2">
      <c r="A6005" s="8" t="s">
        <v>6028</v>
      </c>
      <c r="B6005" s="2" t="s">
        <v>12468</v>
      </c>
    </row>
    <row r="6006" spans="1:2" x14ac:dyDescent="0.2">
      <c r="A6006" s="8" t="s">
        <v>6029</v>
      </c>
      <c r="B6006" s="2" t="s">
        <v>12468</v>
      </c>
    </row>
    <row r="6007" spans="1:2" x14ac:dyDescent="0.2">
      <c r="A6007" s="8" t="s">
        <v>6030</v>
      </c>
      <c r="B6007" s="2" t="s">
        <v>12468</v>
      </c>
    </row>
    <row r="6008" spans="1:2" x14ac:dyDescent="0.2">
      <c r="A6008" s="8" t="s">
        <v>6031</v>
      </c>
      <c r="B6008" s="2" t="s">
        <v>12468</v>
      </c>
    </row>
    <row r="6009" spans="1:2" x14ac:dyDescent="0.2">
      <c r="A6009" s="8" t="s">
        <v>6032</v>
      </c>
      <c r="B6009" s="2" t="s">
        <v>12468</v>
      </c>
    </row>
    <row r="6010" spans="1:2" x14ac:dyDescent="0.2">
      <c r="A6010" s="8" t="s">
        <v>6033</v>
      </c>
      <c r="B6010" s="2" t="s">
        <v>12468</v>
      </c>
    </row>
    <row r="6011" spans="1:2" x14ac:dyDescent="0.2">
      <c r="A6011" s="8" t="s">
        <v>6034</v>
      </c>
      <c r="B6011" s="2" t="s">
        <v>12468</v>
      </c>
    </row>
    <row r="6012" spans="1:2" x14ac:dyDescent="0.2">
      <c r="A6012" s="8" t="s">
        <v>6035</v>
      </c>
      <c r="B6012" s="2" t="s">
        <v>12468</v>
      </c>
    </row>
    <row r="6013" spans="1:2" x14ac:dyDescent="0.2">
      <c r="A6013" s="8" t="s">
        <v>6036</v>
      </c>
      <c r="B6013" s="2" t="s">
        <v>12468</v>
      </c>
    </row>
    <row r="6014" spans="1:2" x14ac:dyDescent="0.2">
      <c r="A6014" s="8" t="s">
        <v>6037</v>
      </c>
      <c r="B6014" s="2" t="s">
        <v>12468</v>
      </c>
    </row>
    <row r="6015" spans="1:2" x14ac:dyDescent="0.2">
      <c r="A6015" s="8" t="s">
        <v>6038</v>
      </c>
      <c r="B6015" s="2" t="s">
        <v>12468</v>
      </c>
    </row>
    <row r="6016" spans="1:2" x14ac:dyDescent="0.2">
      <c r="A6016" s="8" t="s">
        <v>6039</v>
      </c>
      <c r="B6016" s="2" t="s">
        <v>12468</v>
      </c>
    </row>
    <row r="6017" spans="1:2" x14ac:dyDescent="0.2">
      <c r="A6017" s="8" t="s">
        <v>6040</v>
      </c>
      <c r="B6017" s="2" t="s">
        <v>12468</v>
      </c>
    </row>
    <row r="6018" spans="1:2" x14ac:dyDescent="0.2">
      <c r="A6018" s="8" t="s">
        <v>6041</v>
      </c>
      <c r="B6018" s="2" t="s">
        <v>12468</v>
      </c>
    </row>
    <row r="6019" spans="1:2" x14ac:dyDescent="0.2">
      <c r="A6019" s="8" t="s">
        <v>6042</v>
      </c>
      <c r="B6019" s="2" t="s">
        <v>12468</v>
      </c>
    </row>
    <row r="6020" spans="1:2" x14ac:dyDescent="0.2">
      <c r="A6020" s="8" t="s">
        <v>6043</v>
      </c>
      <c r="B6020" s="2" t="s">
        <v>12468</v>
      </c>
    </row>
    <row r="6021" spans="1:2" x14ac:dyDescent="0.2">
      <c r="A6021" s="8" t="s">
        <v>6044</v>
      </c>
      <c r="B6021" s="2" t="s">
        <v>12468</v>
      </c>
    </row>
    <row r="6022" spans="1:2" x14ac:dyDescent="0.2">
      <c r="A6022" s="8" t="s">
        <v>6045</v>
      </c>
      <c r="B6022" s="2" t="s">
        <v>12468</v>
      </c>
    </row>
    <row r="6023" spans="1:2" x14ac:dyDescent="0.2">
      <c r="A6023" s="8" t="s">
        <v>6046</v>
      </c>
      <c r="B6023" s="2" t="s">
        <v>12468</v>
      </c>
    </row>
    <row r="6024" spans="1:2" x14ac:dyDescent="0.2">
      <c r="A6024" s="8" t="s">
        <v>6047</v>
      </c>
      <c r="B6024" s="2" t="s">
        <v>12468</v>
      </c>
    </row>
    <row r="6025" spans="1:2" x14ac:dyDescent="0.2">
      <c r="A6025" s="8" t="s">
        <v>6048</v>
      </c>
      <c r="B6025" s="2" t="s">
        <v>12468</v>
      </c>
    </row>
    <row r="6026" spans="1:2" x14ac:dyDescent="0.2">
      <c r="A6026" s="8" t="s">
        <v>6049</v>
      </c>
      <c r="B6026" s="2" t="s">
        <v>12468</v>
      </c>
    </row>
    <row r="6027" spans="1:2" x14ac:dyDescent="0.2">
      <c r="A6027" s="8" t="s">
        <v>6050</v>
      </c>
      <c r="B6027" s="2" t="s">
        <v>12468</v>
      </c>
    </row>
    <row r="6028" spans="1:2" x14ac:dyDescent="0.2">
      <c r="A6028" s="8" t="s">
        <v>6051</v>
      </c>
      <c r="B6028" s="2" t="s">
        <v>12468</v>
      </c>
    </row>
    <row r="6029" spans="1:2" x14ac:dyDescent="0.2">
      <c r="A6029" s="8" t="s">
        <v>6052</v>
      </c>
      <c r="B6029" s="2" t="s">
        <v>12468</v>
      </c>
    </row>
    <row r="6030" spans="1:2" x14ac:dyDescent="0.2">
      <c r="A6030" s="8" t="s">
        <v>6053</v>
      </c>
      <c r="B6030" s="2" t="s">
        <v>12468</v>
      </c>
    </row>
    <row r="6031" spans="1:2" x14ac:dyDescent="0.2">
      <c r="A6031" s="8" t="s">
        <v>6054</v>
      </c>
      <c r="B6031" s="2" t="s">
        <v>12468</v>
      </c>
    </row>
    <row r="6032" spans="1:2" x14ac:dyDescent="0.2">
      <c r="A6032" s="8" t="s">
        <v>6055</v>
      </c>
      <c r="B6032" s="2" t="s">
        <v>12468</v>
      </c>
    </row>
    <row r="6033" spans="1:2" x14ac:dyDescent="0.2">
      <c r="A6033" s="8" t="s">
        <v>6056</v>
      </c>
      <c r="B6033" s="2" t="s">
        <v>12468</v>
      </c>
    </row>
    <row r="6034" spans="1:2" x14ac:dyDescent="0.2">
      <c r="A6034" s="8" t="s">
        <v>6057</v>
      </c>
      <c r="B6034" s="2" t="s">
        <v>12468</v>
      </c>
    </row>
    <row r="6035" spans="1:2" x14ac:dyDescent="0.2">
      <c r="A6035" s="8" t="s">
        <v>6058</v>
      </c>
      <c r="B6035" s="2" t="s">
        <v>12468</v>
      </c>
    </row>
    <row r="6036" spans="1:2" x14ac:dyDescent="0.2">
      <c r="A6036" s="8" t="s">
        <v>6059</v>
      </c>
      <c r="B6036" s="2" t="s">
        <v>12468</v>
      </c>
    </row>
    <row r="6037" spans="1:2" x14ac:dyDescent="0.2">
      <c r="A6037" s="8" t="s">
        <v>6060</v>
      </c>
      <c r="B6037" s="2" t="s">
        <v>12468</v>
      </c>
    </row>
    <row r="6038" spans="1:2" x14ac:dyDescent="0.2">
      <c r="A6038" s="8" t="s">
        <v>6061</v>
      </c>
      <c r="B6038" s="2" t="s">
        <v>12468</v>
      </c>
    </row>
    <row r="6039" spans="1:2" x14ac:dyDescent="0.2">
      <c r="A6039" s="8" t="s">
        <v>6062</v>
      </c>
      <c r="B6039" s="2" t="s">
        <v>12468</v>
      </c>
    </row>
    <row r="6040" spans="1:2" x14ac:dyDescent="0.2">
      <c r="A6040" s="8" t="s">
        <v>6063</v>
      </c>
      <c r="B6040" s="2" t="s">
        <v>12468</v>
      </c>
    </row>
    <row r="6041" spans="1:2" x14ac:dyDescent="0.2">
      <c r="A6041" s="8" t="s">
        <v>6064</v>
      </c>
      <c r="B6041" s="2" t="s">
        <v>12468</v>
      </c>
    </row>
    <row r="6042" spans="1:2" x14ac:dyDescent="0.2">
      <c r="A6042" s="8" t="s">
        <v>6065</v>
      </c>
      <c r="B6042" s="2" t="s">
        <v>12468</v>
      </c>
    </row>
    <row r="6043" spans="1:2" x14ac:dyDescent="0.2">
      <c r="A6043" s="8" t="s">
        <v>6066</v>
      </c>
      <c r="B6043" s="2" t="s">
        <v>12468</v>
      </c>
    </row>
    <row r="6044" spans="1:2" x14ac:dyDescent="0.2">
      <c r="A6044" s="8" t="s">
        <v>6067</v>
      </c>
      <c r="B6044" s="2" t="s">
        <v>12468</v>
      </c>
    </row>
    <row r="6045" spans="1:2" x14ac:dyDescent="0.2">
      <c r="A6045" s="8" t="s">
        <v>6068</v>
      </c>
      <c r="B6045" s="2" t="s">
        <v>12468</v>
      </c>
    </row>
    <row r="6046" spans="1:2" x14ac:dyDescent="0.2">
      <c r="A6046" s="8" t="s">
        <v>6069</v>
      </c>
      <c r="B6046" s="2" t="s">
        <v>12468</v>
      </c>
    </row>
    <row r="6047" spans="1:2" x14ac:dyDescent="0.2">
      <c r="A6047" s="8" t="s">
        <v>6070</v>
      </c>
      <c r="B6047" s="2" t="s">
        <v>12468</v>
      </c>
    </row>
    <row r="6048" spans="1:2" x14ac:dyDescent="0.2">
      <c r="A6048" s="8" t="s">
        <v>6071</v>
      </c>
      <c r="B6048" s="2" t="s">
        <v>12468</v>
      </c>
    </row>
    <row r="6049" spans="1:2" x14ac:dyDescent="0.2">
      <c r="A6049" s="8" t="s">
        <v>6072</v>
      </c>
      <c r="B6049" s="2" t="s">
        <v>12468</v>
      </c>
    </row>
    <row r="6050" spans="1:2" x14ac:dyDescent="0.2">
      <c r="A6050" s="8" t="s">
        <v>6073</v>
      </c>
      <c r="B6050" s="2" t="s">
        <v>12468</v>
      </c>
    </row>
    <row r="6051" spans="1:2" x14ac:dyDescent="0.2">
      <c r="A6051" s="8" t="s">
        <v>6074</v>
      </c>
      <c r="B6051" s="2" t="s">
        <v>12468</v>
      </c>
    </row>
    <row r="6052" spans="1:2" x14ac:dyDescent="0.2">
      <c r="A6052" s="8" t="s">
        <v>6075</v>
      </c>
      <c r="B6052" s="2" t="s">
        <v>12468</v>
      </c>
    </row>
    <row r="6053" spans="1:2" x14ac:dyDescent="0.2">
      <c r="A6053" s="8" t="s">
        <v>6076</v>
      </c>
      <c r="B6053" s="2" t="s">
        <v>12468</v>
      </c>
    </row>
    <row r="6054" spans="1:2" x14ac:dyDescent="0.2">
      <c r="A6054" s="8" t="s">
        <v>6077</v>
      </c>
      <c r="B6054" s="2" t="s">
        <v>12468</v>
      </c>
    </row>
    <row r="6055" spans="1:2" x14ac:dyDescent="0.2">
      <c r="A6055" s="8" t="s">
        <v>6078</v>
      </c>
      <c r="B6055" s="2" t="s">
        <v>12468</v>
      </c>
    </row>
    <row r="6056" spans="1:2" x14ac:dyDescent="0.2">
      <c r="A6056" s="8" t="s">
        <v>6079</v>
      </c>
      <c r="B6056" s="2" t="s">
        <v>12468</v>
      </c>
    </row>
    <row r="6057" spans="1:2" x14ac:dyDescent="0.2">
      <c r="A6057" s="8" t="s">
        <v>6080</v>
      </c>
      <c r="B6057" s="2" t="s">
        <v>12468</v>
      </c>
    </row>
    <row r="6058" spans="1:2" x14ac:dyDescent="0.2">
      <c r="A6058" s="8" t="s">
        <v>6081</v>
      </c>
      <c r="B6058" s="2" t="s">
        <v>12468</v>
      </c>
    </row>
    <row r="6059" spans="1:2" x14ac:dyDescent="0.2">
      <c r="A6059" s="8" t="s">
        <v>6082</v>
      </c>
      <c r="B6059" s="2" t="s">
        <v>12468</v>
      </c>
    </row>
    <row r="6060" spans="1:2" x14ac:dyDescent="0.2">
      <c r="A6060" s="8" t="s">
        <v>6083</v>
      </c>
      <c r="B6060" s="2" t="s">
        <v>12468</v>
      </c>
    </row>
    <row r="6061" spans="1:2" x14ac:dyDescent="0.2">
      <c r="A6061" s="8" t="s">
        <v>6084</v>
      </c>
      <c r="B6061" s="2" t="s">
        <v>12468</v>
      </c>
    </row>
    <row r="6062" spans="1:2" x14ac:dyDescent="0.2">
      <c r="A6062" s="8" t="s">
        <v>6085</v>
      </c>
      <c r="B6062" s="2" t="s">
        <v>12468</v>
      </c>
    </row>
    <row r="6063" spans="1:2" x14ac:dyDescent="0.2">
      <c r="A6063" s="8" t="s">
        <v>6086</v>
      </c>
      <c r="B6063" s="2" t="s">
        <v>12468</v>
      </c>
    </row>
    <row r="6064" spans="1:2" x14ac:dyDescent="0.2">
      <c r="A6064" s="8" t="s">
        <v>6087</v>
      </c>
      <c r="B6064" s="2" t="s">
        <v>12468</v>
      </c>
    </row>
    <row r="6065" spans="1:2" x14ac:dyDescent="0.2">
      <c r="A6065" s="8" t="s">
        <v>6088</v>
      </c>
      <c r="B6065" s="2" t="s">
        <v>12468</v>
      </c>
    </row>
    <row r="6066" spans="1:2" x14ac:dyDescent="0.2">
      <c r="A6066" s="8" t="s">
        <v>6089</v>
      </c>
      <c r="B6066" s="2" t="s">
        <v>12468</v>
      </c>
    </row>
    <row r="6067" spans="1:2" x14ac:dyDescent="0.2">
      <c r="A6067" s="8" t="s">
        <v>6090</v>
      </c>
      <c r="B6067" s="2" t="s">
        <v>12468</v>
      </c>
    </row>
    <row r="6068" spans="1:2" x14ac:dyDescent="0.2">
      <c r="A6068" s="8" t="s">
        <v>6091</v>
      </c>
      <c r="B6068" s="2" t="s">
        <v>12468</v>
      </c>
    </row>
    <row r="6069" spans="1:2" x14ac:dyDescent="0.2">
      <c r="A6069" s="8" t="s">
        <v>6092</v>
      </c>
      <c r="B6069" s="2" t="s">
        <v>12468</v>
      </c>
    </row>
    <row r="6070" spans="1:2" x14ac:dyDescent="0.2">
      <c r="A6070" s="8" t="s">
        <v>6093</v>
      </c>
      <c r="B6070" s="2" t="s">
        <v>12468</v>
      </c>
    </row>
    <row r="6071" spans="1:2" x14ac:dyDescent="0.2">
      <c r="A6071" s="8" t="s">
        <v>6094</v>
      </c>
      <c r="B6071" s="2" t="s">
        <v>12468</v>
      </c>
    </row>
    <row r="6072" spans="1:2" x14ac:dyDescent="0.2">
      <c r="A6072" s="8" t="s">
        <v>6095</v>
      </c>
      <c r="B6072" s="2" t="s">
        <v>12468</v>
      </c>
    </row>
    <row r="6073" spans="1:2" x14ac:dyDescent="0.2">
      <c r="A6073" s="8" t="s">
        <v>6096</v>
      </c>
      <c r="B6073" s="2" t="s">
        <v>12468</v>
      </c>
    </row>
    <row r="6074" spans="1:2" x14ac:dyDescent="0.2">
      <c r="A6074" s="8" t="s">
        <v>6097</v>
      </c>
      <c r="B6074" s="2" t="s">
        <v>12468</v>
      </c>
    </row>
    <row r="6075" spans="1:2" x14ac:dyDescent="0.2">
      <c r="A6075" s="8" t="s">
        <v>6098</v>
      </c>
      <c r="B6075" s="2" t="s">
        <v>12468</v>
      </c>
    </row>
    <row r="6076" spans="1:2" x14ac:dyDescent="0.2">
      <c r="A6076" s="8" t="s">
        <v>6099</v>
      </c>
      <c r="B6076" s="2" t="s">
        <v>12468</v>
      </c>
    </row>
    <row r="6077" spans="1:2" x14ac:dyDescent="0.2">
      <c r="A6077" s="8" t="s">
        <v>6100</v>
      </c>
      <c r="B6077" s="2" t="s">
        <v>12468</v>
      </c>
    </row>
    <row r="6078" spans="1:2" x14ac:dyDescent="0.2">
      <c r="A6078" s="8" t="s">
        <v>6101</v>
      </c>
      <c r="B6078" s="2" t="s">
        <v>12468</v>
      </c>
    </row>
    <row r="6079" spans="1:2" x14ac:dyDescent="0.2">
      <c r="A6079" s="8" t="s">
        <v>6102</v>
      </c>
      <c r="B6079" s="2" t="s">
        <v>12468</v>
      </c>
    </row>
    <row r="6080" spans="1:2" x14ac:dyDescent="0.2">
      <c r="A6080" s="8" t="s">
        <v>6103</v>
      </c>
      <c r="B6080" s="2" t="s">
        <v>12468</v>
      </c>
    </row>
    <row r="6081" spans="1:2" x14ac:dyDescent="0.2">
      <c r="A6081" s="8" t="s">
        <v>6104</v>
      </c>
      <c r="B6081" s="2" t="s">
        <v>12468</v>
      </c>
    </row>
    <row r="6082" spans="1:2" x14ac:dyDescent="0.2">
      <c r="A6082" s="8" t="s">
        <v>6105</v>
      </c>
      <c r="B6082" s="2" t="s">
        <v>12468</v>
      </c>
    </row>
    <row r="6083" spans="1:2" x14ac:dyDescent="0.2">
      <c r="A6083" s="8" t="s">
        <v>6106</v>
      </c>
      <c r="B6083" s="2" t="s">
        <v>12468</v>
      </c>
    </row>
    <row r="6084" spans="1:2" x14ac:dyDescent="0.2">
      <c r="A6084" s="8" t="s">
        <v>6107</v>
      </c>
      <c r="B6084" s="2" t="s">
        <v>12468</v>
      </c>
    </row>
    <row r="6085" spans="1:2" x14ac:dyDescent="0.2">
      <c r="A6085" s="8" t="s">
        <v>6108</v>
      </c>
      <c r="B6085" s="2" t="s">
        <v>12468</v>
      </c>
    </row>
    <row r="6086" spans="1:2" x14ac:dyDescent="0.2">
      <c r="A6086" s="8" t="s">
        <v>6109</v>
      </c>
      <c r="B6086" s="2" t="s">
        <v>12468</v>
      </c>
    </row>
    <row r="6087" spans="1:2" x14ac:dyDescent="0.2">
      <c r="A6087" s="8" t="s">
        <v>6110</v>
      </c>
      <c r="B6087" s="2" t="s">
        <v>12468</v>
      </c>
    </row>
    <row r="6088" spans="1:2" x14ac:dyDescent="0.2">
      <c r="A6088" s="8" t="s">
        <v>6111</v>
      </c>
      <c r="B6088" s="2" t="s">
        <v>12468</v>
      </c>
    </row>
    <row r="6089" spans="1:2" x14ac:dyDescent="0.2">
      <c r="A6089" s="8" t="s">
        <v>6112</v>
      </c>
      <c r="B6089" s="2" t="s">
        <v>12468</v>
      </c>
    </row>
    <row r="6090" spans="1:2" x14ac:dyDescent="0.2">
      <c r="A6090" s="8" t="s">
        <v>6113</v>
      </c>
      <c r="B6090" s="2" t="s">
        <v>12468</v>
      </c>
    </row>
    <row r="6091" spans="1:2" x14ac:dyDescent="0.2">
      <c r="A6091" s="8" t="s">
        <v>6114</v>
      </c>
      <c r="B6091" s="2" t="s">
        <v>12468</v>
      </c>
    </row>
    <row r="6092" spans="1:2" x14ac:dyDescent="0.2">
      <c r="A6092" s="8" t="s">
        <v>6115</v>
      </c>
      <c r="B6092" s="2" t="s">
        <v>12468</v>
      </c>
    </row>
    <row r="6093" spans="1:2" x14ac:dyDescent="0.2">
      <c r="A6093" s="8" t="s">
        <v>6116</v>
      </c>
      <c r="B6093" s="2" t="s">
        <v>12468</v>
      </c>
    </row>
    <row r="6094" spans="1:2" x14ac:dyDescent="0.2">
      <c r="A6094" s="8" t="s">
        <v>6117</v>
      </c>
      <c r="B6094" s="2" t="s">
        <v>12468</v>
      </c>
    </row>
    <row r="6095" spans="1:2" x14ac:dyDescent="0.2">
      <c r="A6095" s="8" t="s">
        <v>6118</v>
      </c>
      <c r="B6095" s="2" t="s">
        <v>12468</v>
      </c>
    </row>
    <row r="6096" spans="1:2" x14ac:dyDescent="0.2">
      <c r="A6096" s="8" t="s">
        <v>6119</v>
      </c>
      <c r="B6096" s="2" t="s">
        <v>12468</v>
      </c>
    </row>
    <row r="6097" spans="1:2" x14ac:dyDescent="0.2">
      <c r="A6097" s="8" t="s">
        <v>6120</v>
      </c>
      <c r="B6097" s="2" t="s">
        <v>12468</v>
      </c>
    </row>
    <row r="6098" spans="1:2" x14ac:dyDescent="0.2">
      <c r="A6098" s="8" t="s">
        <v>6121</v>
      </c>
      <c r="B6098" s="2" t="s">
        <v>12468</v>
      </c>
    </row>
    <row r="6099" spans="1:2" x14ac:dyDescent="0.2">
      <c r="A6099" s="8" t="s">
        <v>6122</v>
      </c>
      <c r="B6099" s="2" t="s">
        <v>12468</v>
      </c>
    </row>
    <row r="6100" spans="1:2" x14ac:dyDescent="0.2">
      <c r="A6100" s="8" t="s">
        <v>6123</v>
      </c>
      <c r="B6100" s="2" t="s">
        <v>12468</v>
      </c>
    </row>
    <row r="6101" spans="1:2" x14ac:dyDescent="0.2">
      <c r="A6101" s="8" t="s">
        <v>6124</v>
      </c>
      <c r="B6101" s="2" t="s">
        <v>12468</v>
      </c>
    </row>
    <row r="6102" spans="1:2" x14ac:dyDescent="0.2">
      <c r="A6102" s="8" t="s">
        <v>6125</v>
      </c>
      <c r="B6102" s="2" t="s">
        <v>12468</v>
      </c>
    </row>
    <row r="6103" spans="1:2" x14ac:dyDescent="0.2">
      <c r="A6103" s="8" t="s">
        <v>6126</v>
      </c>
      <c r="B6103" s="2" t="s">
        <v>12468</v>
      </c>
    </row>
    <row r="6104" spans="1:2" x14ac:dyDescent="0.2">
      <c r="A6104" s="8" t="s">
        <v>6127</v>
      </c>
      <c r="B6104" s="2" t="s">
        <v>12468</v>
      </c>
    </row>
    <row r="6105" spans="1:2" x14ac:dyDescent="0.2">
      <c r="A6105" s="8" t="s">
        <v>6128</v>
      </c>
      <c r="B6105" s="2" t="s">
        <v>12468</v>
      </c>
    </row>
    <row r="6106" spans="1:2" x14ac:dyDescent="0.2">
      <c r="A6106" s="8" t="s">
        <v>6129</v>
      </c>
      <c r="B6106" s="2" t="s">
        <v>12468</v>
      </c>
    </row>
    <row r="6107" spans="1:2" x14ac:dyDescent="0.2">
      <c r="A6107" s="8" t="s">
        <v>6130</v>
      </c>
      <c r="B6107" s="2" t="s">
        <v>12468</v>
      </c>
    </row>
    <row r="6108" spans="1:2" x14ac:dyDescent="0.2">
      <c r="A6108" s="8" t="s">
        <v>6131</v>
      </c>
      <c r="B6108" s="2" t="s">
        <v>12468</v>
      </c>
    </row>
    <row r="6109" spans="1:2" x14ac:dyDescent="0.2">
      <c r="A6109" s="8" t="s">
        <v>6132</v>
      </c>
      <c r="B6109" s="2" t="s">
        <v>12468</v>
      </c>
    </row>
    <row r="6110" spans="1:2" x14ac:dyDescent="0.2">
      <c r="A6110" s="8" t="s">
        <v>6133</v>
      </c>
      <c r="B6110" s="2" t="s">
        <v>12468</v>
      </c>
    </row>
    <row r="6111" spans="1:2" x14ac:dyDescent="0.2">
      <c r="A6111" s="8" t="s">
        <v>6134</v>
      </c>
      <c r="B6111" s="2" t="s">
        <v>12468</v>
      </c>
    </row>
    <row r="6112" spans="1:2" x14ac:dyDescent="0.2">
      <c r="A6112" s="8" t="s">
        <v>6135</v>
      </c>
      <c r="B6112" s="2" t="s">
        <v>12468</v>
      </c>
    </row>
    <row r="6113" spans="1:2" x14ac:dyDescent="0.2">
      <c r="A6113" s="8" t="s">
        <v>6136</v>
      </c>
      <c r="B6113" s="2" t="s">
        <v>12468</v>
      </c>
    </row>
    <row r="6114" spans="1:2" x14ac:dyDescent="0.2">
      <c r="A6114" s="8" t="s">
        <v>6137</v>
      </c>
      <c r="B6114" s="2" t="s">
        <v>12468</v>
      </c>
    </row>
    <row r="6115" spans="1:2" x14ac:dyDescent="0.2">
      <c r="A6115" s="8" t="s">
        <v>6138</v>
      </c>
      <c r="B6115" s="2" t="s">
        <v>12468</v>
      </c>
    </row>
    <row r="6116" spans="1:2" x14ac:dyDescent="0.2">
      <c r="A6116" s="8" t="s">
        <v>6139</v>
      </c>
      <c r="B6116" s="2" t="s">
        <v>12468</v>
      </c>
    </row>
    <row r="6117" spans="1:2" x14ac:dyDescent="0.2">
      <c r="A6117" s="8" t="s">
        <v>6140</v>
      </c>
      <c r="B6117" s="2" t="s">
        <v>12468</v>
      </c>
    </row>
    <row r="6118" spans="1:2" x14ac:dyDescent="0.2">
      <c r="A6118" s="8" t="s">
        <v>6141</v>
      </c>
      <c r="B6118" s="2" t="s">
        <v>12468</v>
      </c>
    </row>
    <row r="6119" spans="1:2" x14ac:dyDescent="0.2">
      <c r="A6119" s="8" t="s">
        <v>6142</v>
      </c>
      <c r="B6119" s="2" t="s">
        <v>12468</v>
      </c>
    </row>
    <row r="6120" spans="1:2" x14ac:dyDescent="0.2">
      <c r="A6120" s="8" t="s">
        <v>6143</v>
      </c>
      <c r="B6120" s="2" t="s">
        <v>12468</v>
      </c>
    </row>
    <row r="6121" spans="1:2" x14ac:dyDescent="0.2">
      <c r="A6121" s="8" t="s">
        <v>6144</v>
      </c>
      <c r="B6121" s="2" t="s">
        <v>12468</v>
      </c>
    </row>
    <row r="6122" spans="1:2" x14ac:dyDescent="0.2">
      <c r="A6122" s="8" t="s">
        <v>6145</v>
      </c>
      <c r="B6122" s="2" t="s">
        <v>12468</v>
      </c>
    </row>
    <row r="6123" spans="1:2" x14ac:dyDescent="0.2">
      <c r="A6123" s="8" t="s">
        <v>6146</v>
      </c>
      <c r="B6123" s="2" t="s">
        <v>12468</v>
      </c>
    </row>
    <row r="6124" spans="1:2" x14ac:dyDescent="0.2">
      <c r="A6124" s="8" t="s">
        <v>6147</v>
      </c>
      <c r="B6124" s="2" t="s">
        <v>12468</v>
      </c>
    </row>
    <row r="6125" spans="1:2" x14ac:dyDescent="0.2">
      <c r="A6125" s="8" t="s">
        <v>6148</v>
      </c>
      <c r="B6125" s="2" t="s">
        <v>12468</v>
      </c>
    </row>
    <row r="6126" spans="1:2" x14ac:dyDescent="0.2">
      <c r="A6126" s="8" t="s">
        <v>6149</v>
      </c>
      <c r="B6126" s="2" t="s">
        <v>12468</v>
      </c>
    </row>
    <row r="6127" spans="1:2" x14ac:dyDescent="0.2">
      <c r="A6127" s="8" t="s">
        <v>6150</v>
      </c>
      <c r="B6127" s="2" t="s">
        <v>12468</v>
      </c>
    </row>
    <row r="6128" spans="1:2" x14ac:dyDescent="0.2">
      <c r="A6128" s="8" t="s">
        <v>6151</v>
      </c>
      <c r="B6128" s="2" t="s">
        <v>12468</v>
      </c>
    </row>
    <row r="6129" spans="1:2" x14ac:dyDescent="0.2">
      <c r="A6129" s="8" t="s">
        <v>6152</v>
      </c>
      <c r="B6129" s="2" t="s">
        <v>12468</v>
      </c>
    </row>
    <row r="6130" spans="1:2" x14ac:dyDescent="0.2">
      <c r="A6130" s="8" t="s">
        <v>6153</v>
      </c>
      <c r="B6130" s="2" t="s">
        <v>12468</v>
      </c>
    </row>
    <row r="6131" spans="1:2" x14ac:dyDescent="0.2">
      <c r="A6131" s="8" t="s">
        <v>6154</v>
      </c>
      <c r="B6131" s="2" t="s">
        <v>12468</v>
      </c>
    </row>
    <row r="6132" spans="1:2" x14ac:dyDescent="0.2">
      <c r="A6132" s="8" t="s">
        <v>6155</v>
      </c>
      <c r="B6132" s="2" t="s">
        <v>12468</v>
      </c>
    </row>
    <row r="6133" spans="1:2" x14ac:dyDescent="0.2">
      <c r="A6133" s="8" t="s">
        <v>6156</v>
      </c>
      <c r="B6133" s="2" t="s">
        <v>12468</v>
      </c>
    </row>
    <row r="6134" spans="1:2" x14ac:dyDescent="0.2">
      <c r="A6134" s="8" t="s">
        <v>6157</v>
      </c>
      <c r="B6134" s="2" t="s">
        <v>12468</v>
      </c>
    </row>
    <row r="6135" spans="1:2" x14ac:dyDescent="0.2">
      <c r="A6135" s="8" t="s">
        <v>6158</v>
      </c>
      <c r="B6135" s="2" t="s">
        <v>12468</v>
      </c>
    </row>
    <row r="6136" spans="1:2" x14ac:dyDescent="0.2">
      <c r="A6136" s="8" t="s">
        <v>6159</v>
      </c>
      <c r="B6136" s="2" t="s">
        <v>12468</v>
      </c>
    </row>
    <row r="6137" spans="1:2" x14ac:dyDescent="0.2">
      <c r="A6137" s="8" t="s">
        <v>6160</v>
      </c>
      <c r="B6137" s="2" t="s">
        <v>12468</v>
      </c>
    </row>
    <row r="6138" spans="1:2" x14ac:dyDescent="0.2">
      <c r="A6138" s="8" t="s">
        <v>6161</v>
      </c>
      <c r="B6138" s="2" t="s">
        <v>12468</v>
      </c>
    </row>
    <row r="6139" spans="1:2" x14ac:dyDescent="0.2">
      <c r="A6139" s="8" t="s">
        <v>6162</v>
      </c>
      <c r="B6139" s="2" t="s">
        <v>12468</v>
      </c>
    </row>
    <row r="6140" spans="1:2" x14ac:dyDescent="0.2">
      <c r="A6140" s="8" t="s">
        <v>6163</v>
      </c>
      <c r="B6140" s="2" t="s">
        <v>12468</v>
      </c>
    </row>
    <row r="6141" spans="1:2" x14ac:dyDescent="0.2">
      <c r="A6141" s="8" t="s">
        <v>6164</v>
      </c>
      <c r="B6141" s="2" t="s">
        <v>12468</v>
      </c>
    </row>
    <row r="6142" spans="1:2" x14ac:dyDescent="0.2">
      <c r="A6142" s="8" t="s">
        <v>6165</v>
      </c>
      <c r="B6142" s="2" t="s">
        <v>12468</v>
      </c>
    </row>
    <row r="6143" spans="1:2" x14ac:dyDescent="0.2">
      <c r="A6143" s="8" t="s">
        <v>6166</v>
      </c>
      <c r="B6143" s="2" t="s">
        <v>12468</v>
      </c>
    </row>
    <row r="6144" spans="1:2" x14ac:dyDescent="0.2">
      <c r="A6144" s="8" t="s">
        <v>6167</v>
      </c>
      <c r="B6144" s="2" t="s">
        <v>12468</v>
      </c>
    </row>
    <row r="6145" spans="1:2" x14ac:dyDescent="0.2">
      <c r="A6145" s="8" t="s">
        <v>6168</v>
      </c>
      <c r="B6145" s="2" t="s">
        <v>12468</v>
      </c>
    </row>
    <row r="6146" spans="1:2" x14ac:dyDescent="0.2">
      <c r="A6146" s="8" t="s">
        <v>6169</v>
      </c>
      <c r="B6146" s="2" t="s">
        <v>12468</v>
      </c>
    </row>
    <row r="6147" spans="1:2" x14ac:dyDescent="0.2">
      <c r="A6147" s="8" t="s">
        <v>6170</v>
      </c>
      <c r="B6147" s="2" t="s">
        <v>12468</v>
      </c>
    </row>
    <row r="6148" spans="1:2" x14ac:dyDescent="0.2">
      <c r="A6148" s="8" t="s">
        <v>6171</v>
      </c>
      <c r="B6148" s="2" t="s">
        <v>12468</v>
      </c>
    </row>
    <row r="6149" spans="1:2" x14ac:dyDescent="0.2">
      <c r="A6149" s="8" t="s">
        <v>6172</v>
      </c>
      <c r="B6149" s="2" t="s">
        <v>12468</v>
      </c>
    </row>
    <row r="6150" spans="1:2" x14ac:dyDescent="0.2">
      <c r="A6150" s="8" t="s">
        <v>6173</v>
      </c>
      <c r="B6150" s="2" t="s">
        <v>12468</v>
      </c>
    </row>
    <row r="6151" spans="1:2" x14ac:dyDescent="0.2">
      <c r="A6151" s="8" t="s">
        <v>6174</v>
      </c>
      <c r="B6151" s="2" t="s">
        <v>12468</v>
      </c>
    </row>
    <row r="6152" spans="1:2" x14ac:dyDescent="0.2">
      <c r="A6152" s="8" t="s">
        <v>6175</v>
      </c>
      <c r="B6152" s="2" t="s">
        <v>12468</v>
      </c>
    </row>
    <row r="6153" spans="1:2" x14ac:dyDescent="0.2">
      <c r="A6153" s="8" t="s">
        <v>6176</v>
      </c>
      <c r="B6153" s="2" t="s">
        <v>12468</v>
      </c>
    </row>
    <row r="6154" spans="1:2" x14ac:dyDescent="0.2">
      <c r="A6154" s="8" t="s">
        <v>6177</v>
      </c>
      <c r="B6154" s="2" t="s">
        <v>12468</v>
      </c>
    </row>
    <row r="6155" spans="1:2" x14ac:dyDescent="0.2">
      <c r="A6155" s="8" t="s">
        <v>6178</v>
      </c>
      <c r="B6155" s="2" t="s">
        <v>12468</v>
      </c>
    </row>
    <row r="6156" spans="1:2" x14ac:dyDescent="0.2">
      <c r="A6156" s="8" t="s">
        <v>6179</v>
      </c>
      <c r="B6156" s="2" t="s">
        <v>12468</v>
      </c>
    </row>
    <row r="6157" spans="1:2" x14ac:dyDescent="0.2">
      <c r="A6157" s="8" t="s">
        <v>6180</v>
      </c>
      <c r="B6157" s="2" t="s">
        <v>12468</v>
      </c>
    </row>
    <row r="6158" spans="1:2" x14ac:dyDescent="0.2">
      <c r="A6158" s="8" t="s">
        <v>6181</v>
      </c>
      <c r="B6158" s="2" t="s">
        <v>12468</v>
      </c>
    </row>
    <row r="6159" spans="1:2" x14ac:dyDescent="0.2">
      <c r="A6159" s="8" t="s">
        <v>6182</v>
      </c>
      <c r="B6159" s="2" t="s">
        <v>12468</v>
      </c>
    </row>
    <row r="6160" spans="1:2" x14ac:dyDescent="0.2">
      <c r="A6160" s="8" t="s">
        <v>6183</v>
      </c>
      <c r="B6160" s="2" t="s">
        <v>12468</v>
      </c>
    </row>
    <row r="6161" spans="1:2" x14ac:dyDescent="0.2">
      <c r="A6161" s="8" t="s">
        <v>6184</v>
      </c>
      <c r="B6161" s="2" t="s">
        <v>12468</v>
      </c>
    </row>
    <row r="6162" spans="1:2" x14ac:dyDescent="0.2">
      <c r="A6162" s="8" t="s">
        <v>6185</v>
      </c>
      <c r="B6162" s="2" t="s">
        <v>12468</v>
      </c>
    </row>
    <row r="6163" spans="1:2" x14ac:dyDescent="0.2">
      <c r="A6163" s="8" t="s">
        <v>6186</v>
      </c>
      <c r="B6163" s="2" t="s">
        <v>12468</v>
      </c>
    </row>
    <row r="6164" spans="1:2" x14ac:dyDescent="0.2">
      <c r="A6164" s="8" t="s">
        <v>6187</v>
      </c>
      <c r="B6164" s="2" t="s">
        <v>12468</v>
      </c>
    </row>
    <row r="6165" spans="1:2" x14ac:dyDescent="0.2">
      <c r="A6165" s="8" t="s">
        <v>6188</v>
      </c>
      <c r="B6165" s="2" t="s">
        <v>12468</v>
      </c>
    </row>
    <row r="6166" spans="1:2" x14ac:dyDescent="0.2">
      <c r="A6166" s="8" t="s">
        <v>6189</v>
      </c>
      <c r="B6166" s="2" t="s">
        <v>12468</v>
      </c>
    </row>
    <row r="6167" spans="1:2" x14ac:dyDescent="0.2">
      <c r="A6167" s="8" t="s">
        <v>6190</v>
      </c>
      <c r="B6167" s="2" t="s">
        <v>12468</v>
      </c>
    </row>
    <row r="6168" spans="1:2" x14ac:dyDescent="0.2">
      <c r="A6168" s="8" t="s">
        <v>6191</v>
      </c>
      <c r="B6168" s="2" t="s">
        <v>12468</v>
      </c>
    </row>
    <row r="6169" spans="1:2" x14ac:dyDescent="0.2">
      <c r="A6169" s="8" t="s">
        <v>6192</v>
      </c>
      <c r="B6169" s="2" t="s">
        <v>12468</v>
      </c>
    </row>
    <row r="6170" spans="1:2" x14ac:dyDescent="0.2">
      <c r="A6170" s="8" t="s">
        <v>6193</v>
      </c>
      <c r="B6170" s="2" t="s">
        <v>12468</v>
      </c>
    </row>
    <row r="6171" spans="1:2" x14ac:dyDescent="0.2">
      <c r="A6171" s="8" t="s">
        <v>6194</v>
      </c>
      <c r="B6171" s="2" t="s">
        <v>12468</v>
      </c>
    </row>
    <row r="6172" spans="1:2" x14ac:dyDescent="0.2">
      <c r="A6172" s="8" t="s">
        <v>6195</v>
      </c>
      <c r="B6172" s="2" t="s">
        <v>12468</v>
      </c>
    </row>
    <row r="6173" spans="1:2" x14ac:dyDescent="0.2">
      <c r="A6173" s="8" t="s">
        <v>6196</v>
      </c>
      <c r="B6173" s="2" t="s">
        <v>12468</v>
      </c>
    </row>
    <row r="6174" spans="1:2" x14ac:dyDescent="0.2">
      <c r="A6174" s="8" t="s">
        <v>6197</v>
      </c>
      <c r="B6174" s="2" t="s">
        <v>12468</v>
      </c>
    </row>
    <row r="6175" spans="1:2" x14ac:dyDescent="0.2">
      <c r="A6175" s="8" t="s">
        <v>6198</v>
      </c>
      <c r="B6175" s="2" t="s">
        <v>12468</v>
      </c>
    </row>
    <row r="6176" spans="1:2" x14ac:dyDescent="0.2">
      <c r="A6176" s="8" t="s">
        <v>6199</v>
      </c>
      <c r="B6176" s="2" t="s">
        <v>12468</v>
      </c>
    </row>
    <row r="6177" spans="1:2" x14ac:dyDescent="0.2">
      <c r="A6177" s="8" t="s">
        <v>6200</v>
      </c>
      <c r="B6177" s="2" t="s">
        <v>12468</v>
      </c>
    </row>
    <row r="6178" spans="1:2" x14ac:dyDescent="0.2">
      <c r="A6178" s="8" t="s">
        <v>6201</v>
      </c>
      <c r="B6178" s="2" t="s">
        <v>12468</v>
      </c>
    </row>
    <row r="6179" spans="1:2" x14ac:dyDescent="0.2">
      <c r="A6179" s="8" t="s">
        <v>6202</v>
      </c>
      <c r="B6179" s="2" t="s">
        <v>12468</v>
      </c>
    </row>
    <row r="6180" spans="1:2" x14ac:dyDescent="0.2">
      <c r="A6180" s="8" t="s">
        <v>6203</v>
      </c>
      <c r="B6180" s="2" t="s">
        <v>12468</v>
      </c>
    </row>
    <row r="6181" spans="1:2" x14ac:dyDescent="0.2">
      <c r="A6181" s="8" t="s">
        <v>6204</v>
      </c>
      <c r="B6181" s="2" t="s">
        <v>12468</v>
      </c>
    </row>
    <row r="6182" spans="1:2" x14ac:dyDescent="0.2">
      <c r="A6182" s="8" t="s">
        <v>6205</v>
      </c>
      <c r="B6182" s="2" t="s">
        <v>12468</v>
      </c>
    </row>
    <row r="6183" spans="1:2" x14ac:dyDescent="0.2">
      <c r="A6183" s="8" t="s">
        <v>6206</v>
      </c>
      <c r="B6183" s="2" t="s">
        <v>12468</v>
      </c>
    </row>
    <row r="6184" spans="1:2" x14ac:dyDescent="0.2">
      <c r="A6184" s="8" t="s">
        <v>6207</v>
      </c>
      <c r="B6184" s="2" t="s">
        <v>12468</v>
      </c>
    </row>
    <row r="6185" spans="1:2" x14ac:dyDescent="0.2">
      <c r="A6185" s="8" t="s">
        <v>6208</v>
      </c>
      <c r="B6185" s="2" t="s">
        <v>12468</v>
      </c>
    </row>
    <row r="6186" spans="1:2" x14ac:dyDescent="0.2">
      <c r="A6186" s="8" t="s">
        <v>6209</v>
      </c>
      <c r="B6186" s="2" t="s">
        <v>12468</v>
      </c>
    </row>
    <row r="6187" spans="1:2" x14ac:dyDescent="0.2">
      <c r="A6187" s="8" t="s">
        <v>6210</v>
      </c>
      <c r="B6187" s="2" t="s">
        <v>12468</v>
      </c>
    </row>
    <row r="6188" spans="1:2" x14ac:dyDescent="0.2">
      <c r="A6188" s="8" t="s">
        <v>6211</v>
      </c>
      <c r="B6188" s="2" t="s">
        <v>12468</v>
      </c>
    </row>
    <row r="6189" spans="1:2" x14ac:dyDescent="0.2">
      <c r="A6189" s="8" t="s">
        <v>6212</v>
      </c>
      <c r="B6189" s="2" t="s">
        <v>12468</v>
      </c>
    </row>
    <row r="6190" spans="1:2" x14ac:dyDescent="0.2">
      <c r="A6190" s="8" t="s">
        <v>6213</v>
      </c>
      <c r="B6190" s="2" t="s">
        <v>12468</v>
      </c>
    </row>
    <row r="6191" spans="1:2" x14ac:dyDescent="0.2">
      <c r="A6191" s="8" t="s">
        <v>6214</v>
      </c>
      <c r="B6191" s="2" t="s">
        <v>12468</v>
      </c>
    </row>
    <row r="6192" spans="1:2" x14ac:dyDescent="0.2">
      <c r="A6192" s="8" t="s">
        <v>6215</v>
      </c>
      <c r="B6192" s="2" t="s">
        <v>12468</v>
      </c>
    </row>
    <row r="6193" spans="1:2" x14ac:dyDescent="0.2">
      <c r="A6193" s="8" t="s">
        <v>6216</v>
      </c>
      <c r="B6193" s="2" t="s">
        <v>12468</v>
      </c>
    </row>
    <row r="6194" spans="1:2" x14ac:dyDescent="0.2">
      <c r="A6194" s="8" t="s">
        <v>6217</v>
      </c>
      <c r="B6194" s="2" t="s">
        <v>12468</v>
      </c>
    </row>
    <row r="6195" spans="1:2" x14ac:dyDescent="0.2">
      <c r="A6195" s="8" t="s">
        <v>6218</v>
      </c>
      <c r="B6195" s="2" t="s">
        <v>12468</v>
      </c>
    </row>
    <row r="6196" spans="1:2" x14ac:dyDescent="0.2">
      <c r="A6196" s="8" t="s">
        <v>6219</v>
      </c>
      <c r="B6196" s="2" t="s">
        <v>12468</v>
      </c>
    </row>
    <row r="6197" spans="1:2" x14ac:dyDescent="0.2">
      <c r="A6197" s="8" t="s">
        <v>6220</v>
      </c>
      <c r="B6197" s="2" t="s">
        <v>12468</v>
      </c>
    </row>
    <row r="6198" spans="1:2" x14ac:dyDescent="0.2">
      <c r="A6198" s="8" t="s">
        <v>6221</v>
      </c>
      <c r="B6198" s="2" t="s">
        <v>12468</v>
      </c>
    </row>
    <row r="6199" spans="1:2" x14ac:dyDescent="0.2">
      <c r="A6199" s="8" t="s">
        <v>6222</v>
      </c>
      <c r="B6199" s="2" t="s">
        <v>12468</v>
      </c>
    </row>
    <row r="6200" spans="1:2" x14ac:dyDescent="0.2">
      <c r="A6200" s="8" t="s">
        <v>6223</v>
      </c>
      <c r="B6200" s="2" t="s">
        <v>12468</v>
      </c>
    </row>
    <row r="6201" spans="1:2" x14ac:dyDescent="0.2">
      <c r="A6201" s="8" t="s">
        <v>6224</v>
      </c>
      <c r="B6201" s="2" t="s">
        <v>12468</v>
      </c>
    </row>
    <row r="6202" spans="1:2" x14ac:dyDescent="0.2">
      <c r="A6202" s="8" t="s">
        <v>6225</v>
      </c>
      <c r="B6202" s="2" t="s">
        <v>12468</v>
      </c>
    </row>
    <row r="6203" spans="1:2" x14ac:dyDescent="0.2">
      <c r="A6203" s="8" t="s">
        <v>6226</v>
      </c>
      <c r="B6203" s="2" t="s">
        <v>12468</v>
      </c>
    </row>
    <row r="6204" spans="1:2" x14ac:dyDescent="0.2">
      <c r="A6204" s="8" t="s">
        <v>6227</v>
      </c>
      <c r="B6204" s="2" t="s">
        <v>12468</v>
      </c>
    </row>
    <row r="6205" spans="1:2" x14ac:dyDescent="0.2">
      <c r="A6205" s="8" t="s">
        <v>6228</v>
      </c>
      <c r="B6205" s="2" t="s">
        <v>12468</v>
      </c>
    </row>
    <row r="6206" spans="1:2" x14ac:dyDescent="0.2">
      <c r="A6206" s="8" t="s">
        <v>6229</v>
      </c>
      <c r="B6206" s="2" t="s">
        <v>12468</v>
      </c>
    </row>
    <row r="6207" spans="1:2" x14ac:dyDescent="0.2">
      <c r="A6207" s="8" t="s">
        <v>6230</v>
      </c>
      <c r="B6207" s="2" t="s">
        <v>12468</v>
      </c>
    </row>
    <row r="6208" spans="1:2" x14ac:dyDescent="0.2">
      <c r="A6208" s="8" t="s">
        <v>6231</v>
      </c>
      <c r="B6208" s="2" t="s">
        <v>12468</v>
      </c>
    </row>
    <row r="6209" spans="1:2" x14ac:dyDescent="0.2">
      <c r="A6209" s="8" t="s">
        <v>6232</v>
      </c>
      <c r="B6209" s="2" t="s">
        <v>12468</v>
      </c>
    </row>
    <row r="6210" spans="1:2" x14ac:dyDescent="0.2">
      <c r="A6210" s="8" t="s">
        <v>6233</v>
      </c>
      <c r="B6210" s="2" t="s">
        <v>12468</v>
      </c>
    </row>
    <row r="6211" spans="1:2" x14ac:dyDescent="0.2">
      <c r="A6211" s="8" t="s">
        <v>6234</v>
      </c>
      <c r="B6211" s="2" t="s">
        <v>12468</v>
      </c>
    </row>
    <row r="6212" spans="1:2" x14ac:dyDescent="0.2">
      <c r="A6212" s="8" t="s">
        <v>6235</v>
      </c>
      <c r="B6212" s="2" t="s">
        <v>12468</v>
      </c>
    </row>
    <row r="6213" spans="1:2" x14ac:dyDescent="0.2">
      <c r="A6213" s="8" t="s">
        <v>6236</v>
      </c>
      <c r="B6213" s="2" t="s">
        <v>12468</v>
      </c>
    </row>
    <row r="6214" spans="1:2" x14ac:dyDescent="0.2">
      <c r="A6214" s="8" t="s">
        <v>6237</v>
      </c>
      <c r="B6214" s="2" t="s">
        <v>12468</v>
      </c>
    </row>
    <row r="6215" spans="1:2" x14ac:dyDescent="0.2">
      <c r="A6215" s="8" t="s">
        <v>6238</v>
      </c>
      <c r="B6215" s="2" t="s">
        <v>12468</v>
      </c>
    </row>
    <row r="6216" spans="1:2" x14ac:dyDescent="0.2">
      <c r="A6216" s="8" t="s">
        <v>6239</v>
      </c>
      <c r="B6216" s="2" t="s">
        <v>12468</v>
      </c>
    </row>
    <row r="6217" spans="1:2" x14ac:dyDescent="0.2">
      <c r="A6217" s="8" t="s">
        <v>6240</v>
      </c>
      <c r="B6217" s="2" t="s">
        <v>12468</v>
      </c>
    </row>
    <row r="6218" spans="1:2" x14ac:dyDescent="0.2">
      <c r="A6218" s="8" t="s">
        <v>6241</v>
      </c>
      <c r="B6218" s="2" t="s">
        <v>12468</v>
      </c>
    </row>
    <row r="6219" spans="1:2" x14ac:dyDescent="0.2">
      <c r="A6219" s="8" t="s">
        <v>6242</v>
      </c>
      <c r="B6219" s="2" t="s">
        <v>12468</v>
      </c>
    </row>
    <row r="6220" spans="1:2" x14ac:dyDescent="0.2">
      <c r="A6220" s="8" t="s">
        <v>6243</v>
      </c>
      <c r="B6220" s="2" t="s">
        <v>12468</v>
      </c>
    </row>
    <row r="6221" spans="1:2" x14ac:dyDescent="0.2">
      <c r="A6221" s="8" t="s">
        <v>6244</v>
      </c>
      <c r="B6221" s="2" t="s">
        <v>12468</v>
      </c>
    </row>
    <row r="6222" spans="1:2" x14ac:dyDescent="0.2">
      <c r="A6222" s="8" t="s">
        <v>6245</v>
      </c>
      <c r="B6222" s="2" t="s">
        <v>12468</v>
      </c>
    </row>
    <row r="6223" spans="1:2" x14ac:dyDescent="0.2">
      <c r="A6223" s="8" t="s">
        <v>6246</v>
      </c>
      <c r="B6223" s="2" t="s">
        <v>12468</v>
      </c>
    </row>
    <row r="6224" spans="1:2" x14ac:dyDescent="0.2">
      <c r="A6224" s="8" t="s">
        <v>6247</v>
      </c>
      <c r="B6224" s="2" t="s">
        <v>12468</v>
      </c>
    </row>
    <row r="6225" spans="1:2" x14ac:dyDescent="0.2">
      <c r="A6225" s="8" t="s">
        <v>6248</v>
      </c>
      <c r="B6225" s="2" t="s">
        <v>12468</v>
      </c>
    </row>
    <row r="6226" spans="1:2" x14ac:dyDescent="0.2">
      <c r="A6226" s="8" t="s">
        <v>6249</v>
      </c>
      <c r="B6226" s="2" t="s">
        <v>12468</v>
      </c>
    </row>
    <row r="6227" spans="1:2" x14ac:dyDescent="0.2">
      <c r="A6227" s="8" t="s">
        <v>6250</v>
      </c>
      <c r="B6227" s="2" t="s">
        <v>12468</v>
      </c>
    </row>
    <row r="6228" spans="1:2" x14ac:dyDescent="0.2">
      <c r="A6228" s="8" t="s">
        <v>6251</v>
      </c>
      <c r="B6228" s="2" t="s">
        <v>12468</v>
      </c>
    </row>
    <row r="6229" spans="1:2" x14ac:dyDescent="0.2">
      <c r="A6229" s="8" t="s">
        <v>6252</v>
      </c>
      <c r="B6229" s="2" t="s">
        <v>12468</v>
      </c>
    </row>
    <row r="6230" spans="1:2" x14ac:dyDescent="0.2">
      <c r="A6230" s="8" t="s">
        <v>6253</v>
      </c>
      <c r="B6230" s="2" t="s">
        <v>12468</v>
      </c>
    </row>
    <row r="6231" spans="1:2" x14ac:dyDescent="0.2">
      <c r="A6231" s="8" t="s">
        <v>6254</v>
      </c>
      <c r="B6231" s="2" t="s">
        <v>12468</v>
      </c>
    </row>
    <row r="6232" spans="1:2" x14ac:dyDescent="0.2">
      <c r="A6232" s="8" t="s">
        <v>6255</v>
      </c>
      <c r="B6232" s="2" t="s">
        <v>12468</v>
      </c>
    </row>
    <row r="6233" spans="1:2" x14ac:dyDescent="0.2">
      <c r="A6233" s="8" t="s">
        <v>6256</v>
      </c>
      <c r="B6233" s="2" t="s">
        <v>12468</v>
      </c>
    </row>
    <row r="6234" spans="1:2" x14ac:dyDescent="0.2">
      <c r="A6234" s="8" t="s">
        <v>6257</v>
      </c>
      <c r="B6234" s="2" t="s">
        <v>12468</v>
      </c>
    </row>
    <row r="6235" spans="1:2" x14ac:dyDescent="0.2">
      <c r="A6235" s="8" t="s">
        <v>6258</v>
      </c>
      <c r="B6235" s="2" t="s">
        <v>12468</v>
      </c>
    </row>
    <row r="6236" spans="1:2" x14ac:dyDescent="0.2">
      <c r="A6236" s="8" t="s">
        <v>6259</v>
      </c>
      <c r="B6236" s="2" t="s">
        <v>12468</v>
      </c>
    </row>
    <row r="6237" spans="1:2" x14ac:dyDescent="0.2">
      <c r="A6237" s="8" t="s">
        <v>6260</v>
      </c>
      <c r="B6237" s="2" t="s">
        <v>12468</v>
      </c>
    </row>
    <row r="6238" spans="1:2" x14ac:dyDescent="0.2">
      <c r="A6238" s="8" t="s">
        <v>6261</v>
      </c>
      <c r="B6238" s="2" t="s">
        <v>12468</v>
      </c>
    </row>
    <row r="6239" spans="1:2" x14ac:dyDescent="0.2">
      <c r="A6239" s="8" t="s">
        <v>6262</v>
      </c>
      <c r="B6239" s="2" t="s">
        <v>12468</v>
      </c>
    </row>
    <row r="6240" spans="1:2" x14ac:dyDescent="0.2">
      <c r="A6240" s="8" t="s">
        <v>6263</v>
      </c>
      <c r="B6240" s="2" t="s">
        <v>12468</v>
      </c>
    </row>
    <row r="6241" spans="1:2" x14ac:dyDescent="0.2">
      <c r="A6241" s="8" t="s">
        <v>6264</v>
      </c>
      <c r="B6241" s="2" t="s">
        <v>12468</v>
      </c>
    </row>
    <row r="6242" spans="1:2" x14ac:dyDescent="0.2">
      <c r="A6242" s="8" t="s">
        <v>6265</v>
      </c>
      <c r="B6242" s="2" t="s">
        <v>12468</v>
      </c>
    </row>
    <row r="6243" spans="1:2" x14ac:dyDescent="0.2">
      <c r="A6243" s="8" t="s">
        <v>6266</v>
      </c>
      <c r="B6243" s="2" t="s">
        <v>12468</v>
      </c>
    </row>
    <row r="6244" spans="1:2" x14ac:dyDescent="0.2">
      <c r="A6244" s="8" t="s">
        <v>6267</v>
      </c>
      <c r="B6244" s="2" t="s">
        <v>12468</v>
      </c>
    </row>
    <row r="6245" spans="1:2" x14ac:dyDescent="0.2">
      <c r="A6245" s="8" t="s">
        <v>6268</v>
      </c>
      <c r="B6245" s="2" t="s">
        <v>12468</v>
      </c>
    </row>
    <row r="6246" spans="1:2" x14ac:dyDescent="0.2">
      <c r="A6246" s="8" t="s">
        <v>6269</v>
      </c>
      <c r="B6246" s="2" t="s">
        <v>12468</v>
      </c>
    </row>
    <row r="6247" spans="1:2" x14ac:dyDescent="0.2">
      <c r="A6247" s="8" t="s">
        <v>6270</v>
      </c>
      <c r="B6247" s="2" t="s">
        <v>12468</v>
      </c>
    </row>
    <row r="6248" spans="1:2" x14ac:dyDescent="0.2">
      <c r="A6248" s="8" t="s">
        <v>6271</v>
      </c>
      <c r="B6248" s="2" t="s">
        <v>12468</v>
      </c>
    </row>
    <row r="6249" spans="1:2" x14ac:dyDescent="0.2">
      <c r="A6249" s="8" t="s">
        <v>6272</v>
      </c>
      <c r="B6249" s="2" t="s">
        <v>12468</v>
      </c>
    </row>
    <row r="6250" spans="1:2" x14ac:dyDescent="0.2">
      <c r="A6250" s="8" t="s">
        <v>6273</v>
      </c>
      <c r="B6250" s="2" t="s">
        <v>12468</v>
      </c>
    </row>
    <row r="6251" spans="1:2" x14ac:dyDescent="0.2">
      <c r="A6251" s="8" t="s">
        <v>6274</v>
      </c>
      <c r="B6251" s="2" t="s">
        <v>12468</v>
      </c>
    </row>
    <row r="6252" spans="1:2" x14ac:dyDescent="0.2">
      <c r="A6252" s="8" t="s">
        <v>6275</v>
      </c>
      <c r="B6252" s="2" t="s">
        <v>12468</v>
      </c>
    </row>
    <row r="6253" spans="1:2" x14ac:dyDescent="0.2">
      <c r="A6253" s="8" t="s">
        <v>6276</v>
      </c>
      <c r="B6253" s="2" t="s">
        <v>12468</v>
      </c>
    </row>
    <row r="6254" spans="1:2" x14ac:dyDescent="0.2">
      <c r="A6254" s="8" t="s">
        <v>6277</v>
      </c>
      <c r="B6254" s="2" t="s">
        <v>12468</v>
      </c>
    </row>
    <row r="6255" spans="1:2" x14ac:dyDescent="0.2">
      <c r="A6255" s="8" t="s">
        <v>6278</v>
      </c>
      <c r="B6255" s="2" t="s">
        <v>12468</v>
      </c>
    </row>
    <row r="6256" spans="1:2" x14ac:dyDescent="0.2">
      <c r="A6256" s="8" t="s">
        <v>6279</v>
      </c>
      <c r="B6256" s="2" t="s">
        <v>12468</v>
      </c>
    </row>
    <row r="6257" spans="1:2" x14ac:dyDescent="0.2">
      <c r="A6257" s="8" t="s">
        <v>6280</v>
      </c>
      <c r="B6257" s="2" t="s">
        <v>12468</v>
      </c>
    </row>
    <row r="6258" spans="1:2" x14ac:dyDescent="0.2">
      <c r="A6258" s="8" t="s">
        <v>6281</v>
      </c>
      <c r="B6258" s="2" t="s">
        <v>12469</v>
      </c>
    </row>
    <row r="6259" spans="1:2" x14ac:dyDescent="0.2">
      <c r="A6259" s="8" t="s">
        <v>6282</v>
      </c>
      <c r="B6259" s="2" t="s">
        <v>12469</v>
      </c>
    </row>
    <row r="6260" spans="1:2" x14ac:dyDescent="0.2">
      <c r="A6260" s="8" t="s">
        <v>6283</v>
      </c>
      <c r="B6260" s="2" t="s">
        <v>12469</v>
      </c>
    </row>
    <row r="6261" spans="1:2" x14ac:dyDescent="0.2">
      <c r="A6261" s="8" t="s">
        <v>6284</v>
      </c>
      <c r="B6261" s="2" t="s">
        <v>12469</v>
      </c>
    </row>
    <row r="6262" spans="1:2" x14ac:dyDescent="0.2">
      <c r="A6262" s="8" t="s">
        <v>6285</v>
      </c>
      <c r="B6262" s="2" t="s">
        <v>12469</v>
      </c>
    </row>
    <row r="6263" spans="1:2" x14ac:dyDescent="0.2">
      <c r="A6263" s="8" t="s">
        <v>6286</v>
      </c>
      <c r="B6263" s="2" t="s">
        <v>12469</v>
      </c>
    </row>
    <row r="6264" spans="1:2" x14ac:dyDescent="0.2">
      <c r="A6264" s="8" t="s">
        <v>6287</v>
      </c>
      <c r="B6264" s="2" t="s">
        <v>12469</v>
      </c>
    </row>
    <row r="6265" spans="1:2" x14ac:dyDescent="0.2">
      <c r="A6265" s="8" t="s">
        <v>6288</v>
      </c>
      <c r="B6265" s="2" t="s">
        <v>12469</v>
      </c>
    </row>
    <row r="6266" spans="1:2" x14ac:dyDescent="0.2">
      <c r="A6266" s="8" t="s">
        <v>6289</v>
      </c>
      <c r="B6266" s="2" t="s">
        <v>12469</v>
      </c>
    </row>
    <row r="6267" spans="1:2" x14ac:dyDescent="0.2">
      <c r="A6267" s="8" t="s">
        <v>6290</v>
      </c>
      <c r="B6267" s="2" t="s">
        <v>12469</v>
      </c>
    </row>
    <row r="6268" spans="1:2" x14ac:dyDescent="0.2">
      <c r="A6268" s="8" t="s">
        <v>6291</v>
      </c>
      <c r="B6268" s="2" t="s">
        <v>12469</v>
      </c>
    </row>
    <row r="6269" spans="1:2" x14ac:dyDescent="0.2">
      <c r="A6269" s="8" t="s">
        <v>6292</v>
      </c>
      <c r="B6269" s="2" t="s">
        <v>12469</v>
      </c>
    </row>
    <row r="6270" spans="1:2" x14ac:dyDescent="0.2">
      <c r="A6270" s="8" t="s">
        <v>6293</v>
      </c>
      <c r="B6270" s="2" t="s">
        <v>12469</v>
      </c>
    </row>
    <row r="6271" spans="1:2" x14ac:dyDescent="0.2">
      <c r="A6271" s="8" t="s">
        <v>6294</v>
      </c>
      <c r="B6271" s="2" t="s">
        <v>12469</v>
      </c>
    </row>
    <row r="6272" spans="1:2" x14ac:dyDescent="0.2">
      <c r="A6272" s="8" t="s">
        <v>6295</v>
      </c>
      <c r="B6272" s="2" t="s">
        <v>12469</v>
      </c>
    </row>
    <row r="6273" spans="1:2" x14ac:dyDescent="0.2">
      <c r="A6273" s="8" t="s">
        <v>6296</v>
      </c>
      <c r="B6273" s="2" t="s">
        <v>12469</v>
      </c>
    </row>
    <row r="6274" spans="1:2" x14ac:dyDescent="0.2">
      <c r="A6274" s="8" t="s">
        <v>6297</v>
      </c>
      <c r="B6274" s="2" t="s">
        <v>12469</v>
      </c>
    </row>
    <row r="6275" spans="1:2" x14ac:dyDescent="0.2">
      <c r="A6275" s="8" t="s">
        <v>6298</v>
      </c>
      <c r="B6275" s="2" t="s">
        <v>12469</v>
      </c>
    </row>
    <row r="6276" spans="1:2" x14ac:dyDescent="0.2">
      <c r="A6276" s="8" t="s">
        <v>6299</v>
      </c>
      <c r="B6276" s="2" t="s">
        <v>12469</v>
      </c>
    </row>
    <row r="6277" spans="1:2" x14ac:dyDescent="0.2">
      <c r="A6277" s="8" t="s">
        <v>6300</v>
      </c>
      <c r="B6277" s="2" t="s">
        <v>12469</v>
      </c>
    </row>
    <row r="6278" spans="1:2" x14ac:dyDescent="0.2">
      <c r="A6278" s="8" t="s">
        <v>6301</v>
      </c>
      <c r="B6278" s="2" t="s">
        <v>12469</v>
      </c>
    </row>
    <row r="6279" spans="1:2" x14ac:dyDescent="0.2">
      <c r="A6279" s="8" t="s">
        <v>6302</v>
      </c>
      <c r="B6279" s="2" t="s">
        <v>12469</v>
      </c>
    </row>
    <row r="6280" spans="1:2" x14ac:dyDescent="0.2">
      <c r="A6280" s="8" t="s">
        <v>6303</v>
      </c>
      <c r="B6280" s="2" t="s">
        <v>12469</v>
      </c>
    </row>
    <row r="6281" spans="1:2" x14ac:dyDescent="0.2">
      <c r="A6281" s="8" t="s">
        <v>6304</v>
      </c>
      <c r="B6281" s="2" t="s">
        <v>12469</v>
      </c>
    </row>
    <row r="6282" spans="1:2" x14ac:dyDescent="0.2">
      <c r="A6282" s="8" t="s">
        <v>6305</v>
      </c>
      <c r="B6282" s="2" t="s">
        <v>12469</v>
      </c>
    </row>
    <row r="6283" spans="1:2" x14ac:dyDescent="0.2">
      <c r="A6283" s="8" t="s">
        <v>6306</v>
      </c>
      <c r="B6283" s="2" t="s">
        <v>12469</v>
      </c>
    </row>
    <row r="6284" spans="1:2" x14ac:dyDescent="0.2">
      <c r="A6284" s="8" t="s">
        <v>6307</v>
      </c>
      <c r="B6284" s="2" t="s">
        <v>12469</v>
      </c>
    </row>
    <row r="6285" spans="1:2" x14ac:dyDescent="0.2">
      <c r="A6285" s="8" t="s">
        <v>6308</v>
      </c>
      <c r="B6285" s="2" t="s">
        <v>12469</v>
      </c>
    </row>
    <row r="6286" spans="1:2" x14ac:dyDescent="0.2">
      <c r="A6286" s="8" t="s">
        <v>6309</v>
      </c>
      <c r="B6286" s="2" t="s">
        <v>12469</v>
      </c>
    </row>
    <row r="6287" spans="1:2" x14ac:dyDescent="0.2">
      <c r="A6287" s="8" t="s">
        <v>6310</v>
      </c>
      <c r="B6287" s="2" t="s">
        <v>12469</v>
      </c>
    </row>
    <row r="6288" spans="1:2" x14ac:dyDescent="0.2">
      <c r="A6288" s="8" t="s">
        <v>6311</v>
      </c>
      <c r="B6288" s="2" t="s">
        <v>12469</v>
      </c>
    </row>
    <row r="6289" spans="1:2" x14ac:dyDescent="0.2">
      <c r="A6289" s="8" t="s">
        <v>6312</v>
      </c>
      <c r="B6289" s="2" t="s">
        <v>12469</v>
      </c>
    </row>
    <row r="6290" spans="1:2" x14ac:dyDescent="0.2">
      <c r="A6290" s="8" t="s">
        <v>6313</v>
      </c>
      <c r="B6290" s="2" t="s">
        <v>12469</v>
      </c>
    </row>
    <row r="6291" spans="1:2" x14ac:dyDescent="0.2">
      <c r="A6291" s="8" t="s">
        <v>6314</v>
      </c>
      <c r="B6291" s="2" t="s">
        <v>12469</v>
      </c>
    </row>
    <row r="6292" spans="1:2" x14ac:dyDescent="0.2">
      <c r="A6292" s="8" t="s">
        <v>6315</v>
      </c>
      <c r="B6292" s="2" t="s">
        <v>12469</v>
      </c>
    </row>
    <row r="6293" spans="1:2" x14ac:dyDescent="0.2">
      <c r="A6293" s="8" t="s">
        <v>6316</v>
      </c>
      <c r="B6293" s="2" t="s">
        <v>12469</v>
      </c>
    </row>
    <row r="6294" spans="1:2" x14ac:dyDescent="0.2">
      <c r="A6294" s="8" t="s">
        <v>6317</v>
      </c>
      <c r="B6294" s="2" t="s">
        <v>12469</v>
      </c>
    </row>
    <row r="6295" spans="1:2" x14ac:dyDescent="0.2">
      <c r="A6295" s="8" t="s">
        <v>6318</v>
      </c>
      <c r="B6295" s="2" t="s">
        <v>12469</v>
      </c>
    </row>
    <row r="6296" spans="1:2" x14ac:dyDescent="0.2">
      <c r="A6296" s="8" t="s">
        <v>6319</v>
      </c>
      <c r="B6296" s="2" t="s">
        <v>12469</v>
      </c>
    </row>
    <row r="6297" spans="1:2" x14ac:dyDescent="0.2">
      <c r="A6297" s="8" t="s">
        <v>6320</v>
      </c>
      <c r="B6297" s="2" t="s">
        <v>12469</v>
      </c>
    </row>
    <row r="6298" spans="1:2" x14ac:dyDescent="0.2">
      <c r="A6298" s="8" t="s">
        <v>6321</v>
      </c>
      <c r="B6298" s="2" t="s">
        <v>12469</v>
      </c>
    </row>
    <row r="6299" spans="1:2" x14ac:dyDescent="0.2">
      <c r="A6299" s="8" t="s">
        <v>6322</v>
      </c>
      <c r="B6299" s="2" t="s">
        <v>12469</v>
      </c>
    </row>
    <row r="6300" spans="1:2" x14ac:dyDescent="0.2">
      <c r="A6300" s="8" t="s">
        <v>6323</v>
      </c>
      <c r="B6300" s="2" t="s">
        <v>12469</v>
      </c>
    </row>
    <row r="6301" spans="1:2" x14ac:dyDescent="0.2">
      <c r="A6301" s="8" t="s">
        <v>6324</v>
      </c>
      <c r="B6301" s="2" t="s">
        <v>12469</v>
      </c>
    </row>
    <row r="6302" spans="1:2" x14ac:dyDescent="0.2">
      <c r="A6302" s="8" t="s">
        <v>6325</v>
      </c>
      <c r="B6302" s="2" t="s">
        <v>12469</v>
      </c>
    </row>
    <row r="6303" spans="1:2" x14ac:dyDescent="0.2">
      <c r="A6303" s="8" t="s">
        <v>6326</v>
      </c>
      <c r="B6303" s="2" t="s">
        <v>12469</v>
      </c>
    </row>
    <row r="6304" spans="1:2" x14ac:dyDescent="0.2">
      <c r="A6304" s="8" t="s">
        <v>6327</v>
      </c>
      <c r="B6304" s="2" t="s">
        <v>12469</v>
      </c>
    </row>
    <row r="6305" spans="1:2" x14ac:dyDescent="0.2">
      <c r="A6305" s="8" t="s">
        <v>6328</v>
      </c>
      <c r="B6305" s="2" t="s">
        <v>12469</v>
      </c>
    </row>
    <row r="6306" spans="1:2" x14ac:dyDescent="0.2">
      <c r="A6306" s="8" t="s">
        <v>6329</v>
      </c>
      <c r="B6306" s="2" t="s">
        <v>12469</v>
      </c>
    </row>
    <row r="6307" spans="1:2" x14ac:dyDescent="0.2">
      <c r="A6307" s="8" t="s">
        <v>6330</v>
      </c>
      <c r="B6307" s="2" t="s">
        <v>12469</v>
      </c>
    </row>
    <row r="6308" spans="1:2" x14ac:dyDescent="0.2">
      <c r="A6308" s="8" t="s">
        <v>6331</v>
      </c>
      <c r="B6308" s="2" t="s">
        <v>12469</v>
      </c>
    </row>
    <row r="6309" spans="1:2" x14ac:dyDescent="0.2">
      <c r="A6309" s="8" t="s">
        <v>6332</v>
      </c>
      <c r="B6309" s="2" t="s">
        <v>12469</v>
      </c>
    </row>
    <row r="6310" spans="1:2" x14ac:dyDescent="0.2">
      <c r="A6310" s="8" t="s">
        <v>6333</v>
      </c>
      <c r="B6310" s="2" t="s">
        <v>12469</v>
      </c>
    </row>
    <row r="6311" spans="1:2" x14ac:dyDescent="0.2">
      <c r="A6311" s="8" t="s">
        <v>6334</v>
      </c>
      <c r="B6311" s="2" t="s">
        <v>12469</v>
      </c>
    </row>
    <row r="6312" spans="1:2" x14ac:dyDescent="0.2">
      <c r="A6312" s="8" t="s">
        <v>6335</v>
      </c>
      <c r="B6312" s="2" t="s">
        <v>12469</v>
      </c>
    </row>
    <row r="6313" spans="1:2" x14ac:dyDescent="0.2">
      <c r="A6313" s="8" t="s">
        <v>6336</v>
      </c>
      <c r="B6313" s="2" t="s">
        <v>12469</v>
      </c>
    </row>
    <row r="6314" spans="1:2" x14ac:dyDescent="0.2">
      <c r="A6314" s="8" t="s">
        <v>6337</v>
      </c>
      <c r="B6314" s="2" t="s">
        <v>12469</v>
      </c>
    </row>
    <row r="6315" spans="1:2" x14ac:dyDescent="0.2">
      <c r="A6315" s="8" t="s">
        <v>6338</v>
      </c>
      <c r="B6315" s="2" t="s">
        <v>12469</v>
      </c>
    </row>
    <row r="6316" spans="1:2" x14ac:dyDescent="0.2">
      <c r="A6316" s="8" t="s">
        <v>6339</v>
      </c>
      <c r="B6316" s="2" t="s">
        <v>12469</v>
      </c>
    </row>
    <row r="6317" spans="1:2" x14ac:dyDescent="0.2">
      <c r="A6317" s="8" t="s">
        <v>6340</v>
      </c>
      <c r="B6317" s="2" t="s">
        <v>12469</v>
      </c>
    </row>
    <row r="6318" spans="1:2" x14ac:dyDescent="0.2">
      <c r="A6318" s="8" t="s">
        <v>6341</v>
      </c>
      <c r="B6318" s="2" t="s">
        <v>12469</v>
      </c>
    </row>
    <row r="6319" spans="1:2" x14ac:dyDescent="0.2">
      <c r="A6319" s="8" t="s">
        <v>6342</v>
      </c>
      <c r="B6319" s="2" t="s">
        <v>12469</v>
      </c>
    </row>
    <row r="6320" spans="1:2" x14ac:dyDescent="0.2">
      <c r="A6320" s="8" t="s">
        <v>6343</v>
      </c>
      <c r="B6320" s="2" t="s">
        <v>12469</v>
      </c>
    </row>
    <row r="6321" spans="1:2" x14ac:dyDescent="0.2">
      <c r="A6321" s="8" t="s">
        <v>6344</v>
      </c>
      <c r="B6321" s="2" t="s">
        <v>12469</v>
      </c>
    </row>
    <row r="6322" spans="1:2" x14ac:dyDescent="0.2">
      <c r="A6322" s="8" t="s">
        <v>6345</v>
      </c>
      <c r="B6322" s="2" t="s">
        <v>12469</v>
      </c>
    </row>
    <row r="6323" spans="1:2" x14ac:dyDescent="0.2">
      <c r="A6323" s="8" t="s">
        <v>6346</v>
      </c>
      <c r="B6323" s="2" t="s">
        <v>12469</v>
      </c>
    </row>
    <row r="6324" spans="1:2" x14ac:dyDescent="0.2">
      <c r="A6324" s="8" t="s">
        <v>6347</v>
      </c>
      <c r="B6324" s="2" t="s">
        <v>12469</v>
      </c>
    </row>
    <row r="6325" spans="1:2" x14ac:dyDescent="0.2">
      <c r="A6325" s="8" t="s">
        <v>6348</v>
      </c>
      <c r="B6325" s="2" t="s">
        <v>12469</v>
      </c>
    </row>
    <row r="6326" spans="1:2" x14ac:dyDescent="0.2">
      <c r="A6326" s="8" t="s">
        <v>6349</v>
      </c>
      <c r="B6326" s="2" t="s">
        <v>12469</v>
      </c>
    </row>
    <row r="6327" spans="1:2" x14ac:dyDescent="0.2">
      <c r="A6327" s="8" t="s">
        <v>6350</v>
      </c>
      <c r="B6327" s="2" t="s">
        <v>12469</v>
      </c>
    </row>
    <row r="6328" spans="1:2" x14ac:dyDescent="0.2">
      <c r="A6328" s="8" t="s">
        <v>6351</v>
      </c>
      <c r="B6328" s="2" t="s">
        <v>12469</v>
      </c>
    </row>
    <row r="6329" spans="1:2" x14ac:dyDescent="0.2">
      <c r="A6329" s="8" t="s">
        <v>6352</v>
      </c>
      <c r="B6329" s="2" t="s">
        <v>12469</v>
      </c>
    </row>
    <row r="6330" spans="1:2" x14ac:dyDescent="0.2">
      <c r="A6330" s="8" t="s">
        <v>6353</v>
      </c>
      <c r="B6330" s="2" t="s">
        <v>12469</v>
      </c>
    </row>
    <row r="6331" spans="1:2" x14ac:dyDescent="0.2">
      <c r="A6331" s="8" t="s">
        <v>6354</v>
      </c>
      <c r="B6331" s="2" t="s">
        <v>12469</v>
      </c>
    </row>
    <row r="6332" spans="1:2" x14ac:dyDescent="0.2">
      <c r="A6332" s="8" t="s">
        <v>6355</v>
      </c>
      <c r="B6332" s="2" t="s">
        <v>12469</v>
      </c>
    </row>
    <row r="6333" spans="1:2" x14ac:dyDescent="0.2">
      <c r="A6333" s="8" t="s">
        <v>6356</v>
      </c>
      <c r="B6333" s="2" t="s">
        <v>12469</v>
      </c>
    </row>
    <row r="6334" spans="1:2" x14ac:dyDescent="0.2">
      <c r="A6334" s="8" t="s">
        <v>6357</v>
      </c>
      <c r="B6334" s="2" t="s">
        <v>12469</v>
      </c>
    </row>
    <row r="6335" spans="1:2" x14ac:dyDescent="0.2">
      <c r="A6335" s="8" t="s">
        <v>6358</v>
      </c>
      <c r="B6335" s="2" t="s">
        <v>12469</v>
      </c>
    </row>
    <row r="6336" spans="1:2" x14ac:dyDescent="0.2">
      <c r="A6336" s="8" t="s">
        <v>6359</v>
      </c>
      <c r="B6336" s="2" t="s">
        <v>12469</v>
      </c>
    </row>
    <row r="6337" spans="1:2" x14ac:dyDescent="0.2">
      <c r="A6337" s="8" t="s">
        <v>6360</v>
      </c>
      <c r="B6337" s="2" t="s">
        <v>12469</v>
      </c>
    </row>
    <row r="6338" spans="1:2" x14ac:dyDescent="0.2">
      <c r="A6338" s="8" t="s">
        <v>6361</v>
      </c>
      <c r="B6338" s="2" t="s">
        <v>12469</v>
      </c>
    </row>
    <row r="6339" spans="1:2" x14ac:dyDescent="0.2">
      <c r="A6339" s="8" t="s">
        <v>6362</v>
      </c>
      <c r="B6339" s="2" t="s">
        <v>12469</v>
      </c>
    </row>
    <row r="6340" spans="1:2" x14ac:dyDescent="0.2">
      <c r="A6340" s="8" t="s">
        <v>6363</v>
      </c>
      <c r="B6340" s="2" t="s">
        <v>12469</v>
      </c>
    </row>
    <row r="6341" spans="1:2" x14ac:dyDescent="0.2">
      <c r="A6341" s="8" t="s">
        <v>6364</v>
      </c>
      <c r="B6341" s="2" t="s">
        <v>12469</v>
      </c>
    </row>
    <row r="6342" spans="1:2" x14ac:dyDescent="0.2">
      <c r="A6342" s="8" t="s">
        <v>6365</v>
      </c>
      <c r="B6342" s="2" t="s">
        <v>12469</v>
      </c>
    </row>
    <row r="6343" spans="1:2" x14ac:dyDescent="0.2">
      <c r="A6343" s="8" t="s">
        <v>6366</v>
      </c>
      <c r="B6343" s="2" t="s">
        <v>12469</v>
      </c>
    </row>
    <row r="6344" spans="1:2" x14ac:dyDescent="0.2">
      <c r="A6344" s="8" t="s">
        <v>6367</v>
      </c>
      <c r="B6344" s="2" t="s">
        <v>12469</v>
      </c>
    </row>
    <row r="6345" spans="1:2" x14ac:dyDescent="0.2">
      <c r="A6345" s="8" t="s">
        <v>6368</v>
      </c>
      <c r="B6345" s="2" t="s">
        <v>12469</v>
      </c>
    </row>
    <row r="6346" spans="1:2" x14ac:dyDescent="0.2">
      <c r="A6346" s="8" t="s">
        <v>6369</v>
      </c>
      <c r="B6346" s="2" t="s">
        <v>12469</v>
      </c>
    </row>
    <row r="6347" spans="1:2" x14ac:dyDescent="0.2">
      <c r="A6347" s="8" t="s">
        <v>6370</v>
      </c>
      <c r="B6347" s="2" t="s">
        <v>12469</v>
      </c>
    </row>
    <row r="6348" spans="1:2" x14ac:dyDescent="0.2">
      <c r="A6348" s="8" t="s">
        <v>6371</v>
      </c>
      <c r="B6348" s="2" t="s">
        <v>12469</v>
      </c>
    </row>
    <row r="6349" spans="1:2" x14ac:dyDescent="0.2">
      <c r="A6349" s="8" t="s">
        <v>6372</v>
      </c>
      <c r="B6349" s="2" t="s">
        <v>12469</v>
      </c>
    </row>
    <row r="6350" spans="1:2" x14ac:dyDescent="0.2">
      <c r="A6350" s="8" t="s">
        <v>6373</v>
      </c>
      <c r="B6350" s="2" t="s">
        <v>12469</v>
      </c>
    </row>
    <row r="6351" spans="1:2" x14ac:dyDescent="0.2">
      <c r="A6351" s="8" t="s">
        <v>6374</v>
      </c>
      <c r="B6351" s="2" t="s">
        <v>12469</v>
      </c>
    </row>
    <row r="6352" spans="1:2" x14ac:dyDescent="0.2">
      <c r="A6352" s="8" t="s">
        <v>6375</v>
      </c>
      <c r="B6352" s="2" t="s">
        <v>12469</v>
      </c>
    </row>
    <row r="6353" spans="1:2" x14ac:dyDescent="0.2">
      <c r="A6353" s="8" t="s">
        <v>6376</v>
      </c>
      <c r="B6353" s="2" t="s">
        <v>12469</v>
      </c>
    </row>
    <row r="6354" spans="1:2" x14ac:dyDescent="0.2">
      <c r="A6354" s="8" t="s">
        <v>6377</v>
      </c>
      <c r="B6354" s="2" t="s">
        <v>12469</v>
      </c>
    </row>
    <row r="6355" spans="1:2" x14ac:dyDescent="0.2">
      <c r="A6355" s="8" t="s">
        <v>6378</v>
      </c>
      <c r="B6355" s="2" t="s">
        <v>12469</v>
      </c>
    </row>
    <row r="6356" spans="1:2" x14ac:dyDescent="0.2">
      <c r="A6356" s="8" t="s">
        <v>6379</v>
      </c>
      <c r="B6356" s="2" t="s">
        <v>12469</v>
      </c>
    </row>
    <row r="6357" spans="1:2" x14ac:dyDescent="0.2">
      <c r="A6357" s="8" t="s">
        <v>6380</v>
      </c>
      <c r="B6357" s="2" t="s">
        <v>12469</v>
      </c>
    </row>
    <row r="6358" spans="1:2" x14ac:dyDescent="0.2">
      <c r="A6358" s="8" t="s">
        <v>6381</v>
      </c>
      <c r="B6358" s="2" t="s">
        <v>12469</v>
      </c>
    </row>
    <row r="6359" spans="1:2" x14ac:dyDescent="0.2">
      <c r="A6359" s="8" t="s">
        <v>6382</v>
      </c>
      <c r="B6359" s="2" t="s">
        <v>12469</v>
      </c>
    </row>
    <row r="6360" spans="1:2" x14ac:dyDescent="0.2">
      <c r="A6360" s="8" t="s">
        <v>6383</v>
      </c>
      <c r="B6360" s="2" t="s">
        <v>12469</v>
      </c>
    </row>
    <row r="6361" spans="1:2" x14ac:dyDescent="0.2">
      <c r="A6361" s="8" t="s">
        <v>6384</v>
      </c>
      <c r="B6361" s="2" t="s">
        <v>12469</v>
      </c>
    </row>
    <row r="6362" spans="1:2" x14ac:dyDescent="0.2">
      <c r="A6362" s="8" t="s">
        <v>6385</v>
      </c>
      <c r="B6362" s="2" t="s">
        <v>12469</v>
      </c>
    </row>
    <row r="6363" spans="1:2" x14ac:dyDescent="0.2">
      <c r="A6363" s="8" t="s">
        <v>6386</v>
      </c>
      <c r="B6363" s="2" t="s">
        <v>12469</v>
      </c>
    </row>
    <row r="6364" spans="1:2" x14ac:dyDescent="0.2">
      <c r="A6364" s="8" t="s">
        <v>6387</v>
      </c>
      <c r="B6364" s="2" t="s">
        <v>12469</v>
      </c>
    </row>
    <row r="6365" spans="1:2" x14ac:dyDescent="0.2">
      <c r="A6365" s="8" t="s">
        <v>6388</v>
      </c>
      <c r="B6365" s="2" t="s">
        <v>12469</v>
      </c>
    </row>
    <row r="6366" spans="1:2" x14ac:dyDescent="0.2">
      <c r="A6366" s="8" t="s">
        <v>6389</v>
      </c>
      <c r="B6366" s="2" t="s">
        <v>12469</v>
      </c>
    </row>
    <row r="6367" spans="1:2" x14ac:dyDescent="0.2">
      <c r="A6367" s="8" t="s">
        <v>6390</v>
      </c>
      <c r="B6367" s="2" t="s">
        <v>12469</v>
      </c>
    </row>
    <row r="6368" spans="1:2" x14ac:dyDescent="0.2">
      <c r="A6368" s="8" t="s">
        <v>6391</v>
      </c>
      <c r="B6368" s="2" t="s">
        <v>12469</v>
      </c>
    </row>
    <row r="6369" spans="1:2" x14ac:dyDescent="0.2">
      <c r="A6369" s="8" t="s">
        <v>6392</v>
      </c>
      <c r="B6369" s="2" t="s">
        <v>12469</v>
      </c>
    </row>
    <row r="6370" spans="1:2" x14ac:dyDescent="0.2">
      <c r="A6370" s="8" t="s">
        <v>6393</v>
      </c>
      <c r="B6370" s="2" t="s">
        <v>12469</v>
      </c>
    </row>
    <row r="6371" spans="1:2" x14ac:dyDescent="0.2">
      <c r="A6371" s="8" t="s">
        <v>6394</v>
      </c>
      <c r="B6371" s="2" t="s">
        <v>12469</v>
      </c>
    </row>
    <row r="6372" spans="1:2" x14ac:dyDescent="0.2">
      <c r="A6372" s="8" t="s">
        <v>6395</v>
      </c>
      <c r="B6372" s="2" t="s">
        <v>12469</v>
      </c>
    </row>
    <row r="6373" spans="1:2" x14ac:dyDescent="0.2">
      <c r="A6373" s="8" t="s">
        <v>6396</v>
      </c>
      <c r="B6373" s="2" t="s">
        <v>12469</v>
      </c>
    </row>
    <row r="6374" spans="1:2" x14ac:dyDescent="0.2">
      <c r="A6374" s="8" t="s">
        <v>6397</v>
      </c>
      <c r="B6374" s="2" t="s">
        <v>12469</v>
      </c>
    </row>
    <row r="6375" spans="1:2" x14ac:dyDescent="0.2">
      <c r="A6375" s="8" t="s">
        <v>6398</v>
      </c>
      <c r="B6375" s="2" t="s">
        <v>12469</v>
      </c>
    </row>
    <row r="6376" spans="1:2" x14ac:dyDescent="0.2">
      <c r="A6376" s="8" t="s">
        <v>6399</v>
      </c>
      <c r="B6376" s="2" t="s">
        <v>12469</v>
      </c>
    </row>
    <row r="6377" spans="1:2" x14ac:dyDescent="0.2">
      <c r="A6377" s="8" t="s">
        <v>6400</v>
      </c>
      <c r="B6377" s="2" t="s">
        <v>12469</v>
      </c>
    </row>
    <row r="6378" spans="1:2" x14ac:dyDescent="0.2">
      <c r="A6378" s="8" t="s">
        <v>6401</v>
      </c>
      <c r="B6378" s="2" t="s">
        <v>12469</v>
      </c>
    </row>
    <row r="6379" spans="1:2" x14ac:dyDescent="0.2">
      <c r="A6379" s="8" t="s">
        <v>6402</v>
      </c>
      <c r="B6379" s="2" t="s">
        <v>12469</v>
      </c>
    </row>
    <row r="6380" spans="1:2" x14ac:dyDescent="0.2">
      <c r="A6380" s="8" t="s">
        <v>6403</v>
      </c>
      <c r="B6380" s="2" t="s">
        <v>12469</v>
      </c>
    </row>
    <row r="6381" spans="1:2" x14ac:dyDescent="0.2">
      <c r="A6381" s="8" t="s">
        <v>6404</v>
      </c>
      <c r="B6381" s="2" t="s">
        <v>12469</v>
      </c>
    </row>
    <row r="6382" spans="1:2" x14ac:dyDescent="0.2">
      <c r="A6382" s="8" t="s">
        <v>6405</v>
      </c>
      <c r="B6382" s="2" t="s">
        <v>12469</v>
      </c>
    </row>
    <row r="6383" spans="1:2" x14ac:dyDescent="0.2">
      <c r="A6383" s="8" t="s">
        <v>6406</v>
      </c>
      <c r="B6383" s="2" t="s">
        <v>12469</v>
      </c>
    </row>
    <row r="6384" spans="1:2" x14ac:dyDescent="0.2">
      <c r="A6384" s="8" t="s">
        <v>6407</v>
      </c>
      <c r="B6384" s="2" t="s">
        <v>12469</v>
      </c>
    </row>
    <row r="6385" spans="1:2" x14ac:dyDescent="0.2">
      <c r="A6385" s="8" t="s">
        <v>6408</v>
      </c>
      <c r="B6385" s="2" t="s">
        <v>12469</v>
      </c>
    </row>
    <row r="6386" spans="1:2" x14ac:dyDescent="0.2">
      <c r="A6386" s="8" t="s">
        <v>6409</v>
      </c>
      <c r="B6386" s="2" t="s">
        <v>12469</v>
      </c>
    </row>
    <row r="6387" spans="1:2" x14ac:dyDescent="0.2">
      <c r="A6387" s="8" t="s">
        <v>6410</v>
      </c>
      <c r="B6387" s="2" t="s">
        <v>12469</v>
      </c>
    </row>
    <row r="6388" spans="1:2" x14ac:dyDescent="0.2">
      <c r="A6388" s="8" t="s">
        <v>6411</v>
      </c>
      <c r="B6388" s="2" t="s">
        <v>12469</v>
      </c>
    </row>
    <row r="6389" spans="1:2" x14ac:dyDescent="0.2">
      <c r="A6389" s="8" t="s">
        <v>6412</v>
      </c>
      <c r="B6389" s="2" t="s">
        <v>12469</v>
      </c>
    </row>
    <row r="6390" spans="1:2" x14ac:dyDescent="0.2">
      <c r="A6390" s="8" t="s">
        <v>6413</v>
      </c>
      <c r="B6390" s="2" t="s">
        <v>12469</v>
      </c>
    </row>
    <row r="6391" spans="1:2" x14ac:dyDescent="0.2">
      <c r="A6391" s="8" t="s">
        <v>6414</v>
      </c>
      <c r="B6391" s="2" t="s">
        <v>12469</v>
      </c>
    </row>
    <row r="6392" spans="1:2" x14ac:dyDescent="0.2">
      <c r="A6392" s="8" t="s">
        <v>6415</v>
      </c>
      <c r="B6392" s="2" t="s">
        <v>12469</v>
      </c>
    </row>
    <row r="6393" spans="1:2" x14ac:dyDescent="0.2">
      <c r="A6393" s="8" t="s">
        <v>6416</v>
      </c>
      <c r="B6393" s="2" t="s">
        <v>12469</v>
      </c>
    </row>
    <row r="6394" spans="1:2" x14ac:dyDescent="0.2">
      <c r="A6394" s="8" t="s">
        <v>6417</v>
      </c>
      <c r="B6394" s="2" t="s">
        <v>12469</v>
      </c>
    </row>
    <row r="6395" spans="1:2" x14ac:dyDescent="0.2">
      <c r="A6395" s="8" t="s">
        <v>6418</v>
      </c>
      <c r="B6395" s="2" t="s">
        <v>12469</v>
      </c>
    </row>
    <row r="6396" spans="1:2" x14ac:dyDescent="0.2">
      <c r="A6396" s="8" t="s">
        <v>6419</v>
      </c>
      <c r="B6396" s="2" t="s">
        <v>12469</v>
      </c>
    </row>
    <row r="6397" spans="1:2" x14ac:dyDescent="0.2">
      <c r="A6397" s="8" t="s">
        <v>6420</v>
      </c>
      <c r="B6397" s="2" t="s">
        <v>12469</v>
      </c>
    </row>
    <row r="6398" spans="1:2" x14ac:dyDescent="0.2">
      <c r="A6398" s="8" t="s">
        <v>6421</v>
      </c>
      <c r="B6398" s="2" t="s">
        <v>12469</v>
      </c>
    </row>
    <row r="6399" spans="1:2" x14ac:dyDescent="0.2">
      <c r="A6399" s="8" t="s">
        <v>6422</v>
      </c>
      <c r="B6399" s="2" t="s">
        <v>12469</v>
      </c>
    </row>
    <row r="6400" spans="1:2" x14ac:dyDescent="0.2">
      <c r="A6400" s="8" t="s">
        <v>6423</v>
      </c>
      <c r="B6400" s="2" t="s">
        <v>12469</v>
      </c>
    </row>
    <row r="6401" spans="1:2" x14ac:dyDescent="0.2">
      <c r="A6401" s="8" t="s">
        <v>6424</v>
      </c>
      <c r="B6401" s="2" t="s">
        <v>12469</v>
      </c>
    </row>
    <row r="6402" spans="1:2" x14ac:dyDescent="0.2">
      <c r="A6402" s="8" t="s">
        <v>6425</v>
      </c>
      <c r="B6402" s="2" t="s">
        <v>12469</v>
      </c>
    </row>
    <row r="6403" spans="1:2" x14ac:dyDescent="0.2">
      <c r="A6403" s="8" t="s">
        <v>6426</v>
      </c>
      <c r="B6403" s="2" t="s">
        <v>12469</v>
      </c>
    </row>
    <row r="6404" spans="1:2" x14ac:dyDescent="0.2">
      <c r="A6404" s="8" t="s">
        <v>6427</v>
      </c>
      <c r="B6404" s="2" t="s">
        <v>12469</v>
      </c>
    </row>
    <row r="6405" spans="1:2" x14ac:dyDescent="0.2">
      <c r="A6405" s="8" t="s">
        <v>6428</v>
      </c>
      <c r="B6405" s="2" t="s">
        <v>12469</v>
      </c>
    </row>
    <row r="6406" spans="1:2" x14ac:dyDescent="0.2">
      <c r="A6406" s="8" t="s">
        <v>6429</v>
      </c>
      <c r="B6406" s="2" t="s">
        <v>12469</v>
      </c>
    </row>
    <row r="6407" spans="1:2" x14ac:dyDescent="0.2">
      <c r="A6407" s="8" t="s">
        <v>6430</v>
      </c>
      <c r="B6407" s="2" t="s">
        <v>12469</v>
      </c>
    </row>
    <row r="6408" spans="1:2" x14ac:dyDescent="0.2">
      <c r="A6408" s="8" t="s">
        <v>6431</v>
      </c>
      <c r="B6408" s="2" t="s">
        <v>12469</v>
      </c>
    </row>
    <row r="6409" spans="1:2" x14ac:dyDescent="0.2">
      <c r="A6409" s="8" t="s">
        <v>6432</v>
      </c>
      <c r="B6409" s="2" t="s">
        <v>12469</v>
      </c>
    </row>
    <row r="6410" spans="1:2" x14ac:dyDescent="0.2">
      <c r="A6410" s="8" t="s">
        <v>6433</v>
      </c>
      <c r="B6410" s="2" t="s">
        <v>12469</v>
      </c>
    </row>
    <row r="6411" spans="1:2" x14ac:dyDescent="0.2">
      <c r="A6411" s="8" t="s">
        <v>6434</v>
      </c>
      <c r="B6411" s="2" t="s">
        <v>12469</v>
      </c>
    </row>
    <row r="6412" spans="1:2" x14ac:dyDescent="0.2">
      <c r="A6412" s="8" t="s">
        <v>6435</v>
      </c>
      <c r="B6412" s="2" t="s">
        <v>12469</v>
      </c>
    </row>
    <row r="6413" spans="1:2" x14ac:dyDescent="0.2">
      <c r="A6413" s="8" t="s">
        <v>6436</v>
      </c>
      <c r="B6413" s="2" t="s">
        <v>12469</v>
      </c>
    </row>
    <row r="6414" spans="1:2" x14ac:dyDescent="0.2">
      <c r="A6414" s="8" t="s">
        <v>6437</v>
      </c>
      <c r="B6414" s="2" t="s">
        <v>12469</v>
      </c>
    </row>
    <row r="6415" spans="1:2" x14ac:dyDescent="0.2">
      <c r="A6415" s="8" t="s">
        <v>6438</v>
      </c>
      <c r="B6415" s="2" t="s">
        <v>12469</v>
      </c>
    </row>
    <row r="6416" spans="1:2" x14ac:dyDescent="0.2">
      <c r="A6416" s="8" t="s">
        <v>6439</v>
      </c>
      <c r="B6416" s="2" t="s">
        <v>12469</v>
      </c>
    </row>
    <row r="6417" spans="1:2" x14ac:dyDescent="0.2">
      <c r="A6417" s="8" t="s">
        <v>6440</v>
      </c>
      <c r="B6417" s="2" t="s">
        <v>12469</v>
      </c>
    </row>
    <row r="6418" spans="1:2" x14ac:dyDescent="0.2">
      <c r="A6418" s="8" t="s">
        <v>6441</v>
      </c>
      <c r="B6418" s="2" t="s">
        <v>12469</v>
      </c>
    </row>
    <row r="6419" spans="1:2" x14ac:dyDescent="0.2">
      <c r="A6419" s="8" t="s">
        <v>6442</v>
      </c>
      <c r="B6419" s="2" t="s">
        <v>12469</v>
      </c>
    </row>
    <row r="6420" spans="1:2" x14ac:dyDescent="0.2">
      <c r="A6420" s="8" t="s">
        <v>6443</v>
      </c>
      <c r="B6420" s="2" t="s">
        <v>12469</v>
      </c>
    </row>
    <row r="6421" spans="1:2" x14ac:dyDescent="0.2">
      <c r="A6421" s="8" t="s">
        <v>6444</v>
      </c>
      <c r="B6421" s="2" t="s">
        <v>12469</v>
      </c>
    </row>
    <row r="6422" spans="1:2" x14ac:dyDescent="0.2">
      <c r="A6422" s="8" t="s">
        <v>6445</v>
      </c>
      <c r="B6422" s="2" t="s">
        <v>12469</v>
      </c>
    </row>
    <row r="6423" spans="1:2" x14ac:dyDescent="0.2">
      <c r="A6423" s="8" t="s">
        <v>6446</v>
      </c>
      <c r="B6423" s="2" t="s">
        <v>12469</v>
      </c>
    </row>
    <row r="6424" spans="1:2" x14ac:dyDescent="0.2">
      <c r="A6424" s="8" t="s">
        <v>6447</v>
      </c>
      <c r="B6424" s="2" t="s">
        <v>12469</v>
      </c>
    </row>
    <row r="6425" spans="1:2" x14ac:dyDescent="0.2">
      <c r="A6425" s="8" t="s">
        <v>6448</v>
      </c>
      <c r="B6425" s="2" t="s">
        <v>12469</v>
      </c>
    </row>
    <row r="6426" spans="1:2" x14ac:dyDescent="0.2">
      <c r="A6426" s="8" t="s">
        <v>6449</v>
      </c>
      <c r="B6426" s="2" t="s">
        <v>12469</v>
      </c>
    </row>
    <row r="6427" spans="1:2" x14ac:dyDescent="0.2">
      <c r="A6427" s="8" t="s">
        <v>6450</v>
      </c>
      <c r="B6427" s="2" t="s">
        <v>12469</v>
      </c>
    </row>
    <row r="6428" spans="1:2" x14ac:dyDescent="0.2">
      <c r="A6428" s="8" t="s">
        <v>6451</v>
      </c>
      <c r="B6428" s="2" t="s">
        <v>12469</v>
      </c>
    </row>
    <row r="6429" spans="1:2" x14ac:dyDescent="0.2">
      <c r="A6429" s="8" t="s">
        <v>6452</v>
      </c>
      <c r="B6429" s="2" t="s">
        <v>12469</v>
      </c>
    </row>
    <row r="6430" spans="1:2" x14ac:dyDescent="0.2">
      <c r="A6430" s="8" t="s">
        <v>6453</v>
      </c>
      <c r="B6430" s="2" t="s">
        <v>12469</v>
      </c>
    </row>
    <row r="6431" spans="1:2" x14ac:dyDescent="0.2">
      <c r="A6431" s="8" t="s">
        <v>6454</v>
      </c>
      <c r="B6431" s="2" t="s">
        <v>12469</v>
      </c>
    </row>
    <row r="6432" spans="1:2" x14ac:dyDescent="0.2">
      <c r="A6432" s="8" t="s">
        <v>6455</v>
      </c>
      <c r="B6432" s="2" t="s">
        <v>12469</v>
      </c>
    </row>
    <row r="6433" spans="1:2" x14ac:dyDescent="0.2">
      <c r="A6433" s="8" t="s">
        <v>6456</v>
      </c>
      <c r="B6433" s="2" t="s">
        <v>12469</v>
      </c>
    </row>
    <row r="6434" spans="1:2" x14ac:dyDescent="0.2">
      <c r="A6434" s="8" t="s">
        <v>6457</v>
      </c>
      <c r="B6434" s="2" t="s">
        <v>12469</v>
      </c>
    </row>
    <row r="6435" spans="1:2" x14ac:dyDescent="0.2">
      <c r="A6435" s="8" t="s">
        <v>6458</v>
      </c>
      <c r="B6435" s="2" t="s">
        <v>12469</v>
      </c>
    </row>
    <row r="6436" spans="1:2" x14ac:dyDescent="0.2">
      <c r="A6436" s="8" t="s">
        <v>6459</v>
      </c>
      <c r="B6436" s="2" t="s">
        <v>12469</v>
      </c>
    </row>
    <row r="6437" spans="1:2" x14ac:dyDescent="0.2">
      <c r="A6437" s="8" t="s">
        <v>6460</v>
      </c>
      <c r="B6437" s="2" t="s">
        <v>12469</v>
      </c>
    </row>
    <row r="6438" spans="1:2" x14ac:dyDescent="0.2">
      <c r="A6438" s="8" t="s">
        <v>6461</v>
      </c>
      <c r="B6438" s="2" t="s">
        <v>12469</v>
      </c>
    </row>
    <row r="6439" spans="1:2" x14ac:dyDescent="0.2">
      <c r="A6439" s="8" t="s">
        <v>6462</v>
      </c>
      <c r="B6439" s="2" t="s">
        <v>12469</v>
      </c>
    </row>
    <row r="6440" spans="1:2" x14ac:dyDescent="0.2">
      <c r="A6440" s="8" t="s">
        <v>6463</v>
      </c>
      <c r="B6440" s="2" t="s">
        <v>12469</v>
      </c>
    </row>
    <row r="6441" spans="1:2" x14ac:dyDescent="0.2">
      <c r="A6441" s="8" t="s">
        <v>6464</v>
      </c>
      <c r="B6441" s="2" t="s">
        <v>12469</v>
      </c>
    </row>
    <row r="6442" spans="1:2" x14ac:dyDescent="0.2">
      <c r="A6442" s="8" t="s">
        <v>6465</v>
      </c>
      <c r="B6442" s="2" t="s">
        <v>12469</v>
      </c>
    </row>
    <row r="6443" spans="1:2" x14ac:dyDescent="0.2">
      <c r="A6443" s="8" t="s">
        <v>6466</v>
      </c>
      <c r="B6443" s="2" t="s">
        <v>12469</v>
      </c>
    </row>
    <row r="6444" spans="1:2" x14ac:dyDescent="0.2">
      <c r="A6444" s="8" t="s">
        <v>6467</v>
      </c>
      <c r="B6444" s="2" t="s">
        <v>12469</v>
      </c>
    </row>
    <row r="6445" spans="1:2" x14ac:dyDescent="0.2">
      <c r="A6445" s="8" t="s">
        <v>6468</v>
      </c>
      <c r="B6445" s="2" t="s">
        <v>12469</v>
      </c>
    </row>
    <row r="6446" spans="1:2" x14ac:dyDescent="0.2">
      <c r="A6446" s="8" t="s">
        <v>6469</v>
      </c>
      <c r="B6446" s="2" t="s">
        <v>12469</v>
      </c>
    </row>
    <row r="6447" spans="1:2" x14ac:dyDescent="0.2">
      <c r="A6447" s="8" t="s">
        <v>6470</v>
      </c>
      <c r="B6447" s="2" t="s">
        <v>12469</v>
      </c>
    </row>
    <row r="6448" spans="1:2" x14ac:dyDescent="0.2">
      <c r="A6448" s="8" t="s">
        <v>6471</v>
      </c>
      <c r="B6448" s="2" t="s">
        <v>12469</v>
      </c>
    </row>
    <row r="6449" spans="1:2" x14ac:dyDescent="0.2">
      <c r="A6449" s="8" t="s">
        <v>6472</v>
      </c>
      <c r="B6449" s="2" t="s">
        <v>12469</v>
      </c>
    </row>
    <row r="6450" spans="1:2" x14ac:dyDescent="0.2">
      <c r="A6450" s="8" t="s">
        <v>6473</v>
      </c>
      <c r="B6450" s="2" t="s">
        <v>12469</v>
      </c>
    </row>
    <row r="6451" spans="1:2" x14ac:dyDescent="0.2">
      <c r="A6451" s="8" t="s">
        <v>6474</v>
      </c>
      <c r="B6451" s="2" t="s">
        <v>12469</v>
      </c>
    </row>
    <row r="6452" spans="1:2" x14ac:dyDescent="0.2">
      <c r="A6452" s="8" t="s">
        <v>6475</v>
      </c>
      <c r="B6452" s="2" t="s">
        <v>12469</v>
      </c>
    </row>
    <row r="6453" spans="1:2" x14ac:dyDescent="0.2">
      <c r="A6453" s="8" t="s">
        <v>6476</v>
      </c>
      <c r="B6453" s="2" t="s">
        <v>12469</v>
      </c>
    </row>
    <row r="6454" spans="1:2" x14ac:dyDescent="0.2">
      <c r="A6454" s="8" t="s">
        <v>6477</v>
      </c>
      <c r="B6454" s="2" t="s">
        <v>12469</v>
      </c>
    </row>
    <row r="6455" spans="1:2" x14ac:dyDescent="0.2">
      <c r="A6455" s="8" t="s">
        <v>6478</v>
      </c>
      <c r="B6455" s="2" t="s">
        <v>12469</v>
      </c>
    </row>
    <row r="6456" spans="1:2" x14ac:dyDescent="0.2">
      <c r="A6456" s="8" t="s">
        <v>6479</v>
      </c>
      <c r="B6456" s="2" t="s">
        <v>12469</v>
      </c>
    </row>
    <row r="6457" spans="1:2" x14ac:dyDescent="0.2">
      <c r="A6457" s="8" t="s">
        <v>6480</v>
      </c>
      <c r="B6457" s="2" t="s">
        <v>12469</v>
      </c>
    </row>
    <row r="6458" spans="1:2" x14ac:dyDescent="0.2">
      <c r="A6458" s="8" t="s">
        <v>6481</v>
      </c>
      <c r="B6458" s="2" t="s">
        <v>12469</v>
      </c>
    </row>
    <row r="6459" spans="1:2" x14ac:dyDescent="0.2">
      <c r="A6459" s="8" t="s">
        <v>6482</v>
      </c>
      <c r="B6459" s="2" t="s">
        <v>12469</v>
      </c>
    </row>
    <row r="6460" spans="1:2" x14ac:dyDescent="0.2">
      <c r="A6460" s="8" t="s">
        <v>6483</v>
      </c>
      <c r="B6460" s="2" t="s">
        <v>12469</v>
      </c>
    </row>
    <row r="6461" spans="1:2" x14ac:dyDescent="0.2">
      <c r="A6461" s="8" t="s">
        <v>6484</v>
      </c>
      <c r="B6461" s="2" t="s">
        <v>12469</v>
      </c>
    </row>
    <row r="6462" spans="1:2" x14ac:dyDescent="0.2">
      <c r="A6462" s="8" t="s">
        <v>6485</v>
      </c>
      <c r="B6462" s="2" t="s">
        <v>12469</v>
      </c>
    </row>
    <row r="6463" spans="1:2" x14ac:dyDescent="0.2">
      <c r="A6463" s="8" t="s">
        <v>6486</v>
      </c>
      <c r="B6463" s="2" t="s">
        <v>12469</v>
      </c>
    </row>
    <row r="6464" spans="1:2" x14ac:dyDescent="0.2">
      <c r="A6464" s="8" t="s">
        <v>6487</v>
      </c>
      <c r="B6464" s="2" t="s">
        <v>12469</v>
      </c>
    </row>
    <row r="6465" spans="1:2" x14ac:dyDescent="0.2">
      <c r="A6465" s="8" t="s">
        <v>6488</v>
      </c>
      <c r="B6465" s="2" t="s">
        <v>12469</v>
      </c>
    </row>
    <row r="6466" spans="1:2" x14ac:dyDescent="0.2">
      <c r="A6466" s="8" t="s">
        <v>6489</v>
      </c>
      <c r="B6466" s="2" t="s">
        <v>12469</v>
      </c>
    </row>
    <row r="6467" spans="1:2" x14ac:dyDescent="0.2">
      <c r="A6467" s="8" t="s">
        <v>6490</v>
      </c>
      <c r="B6467" s="2" t="s">
        <v>12469</v>
      </c>
    </row>
    <row r="6468" spans="1:2" x14ac:dyDescent="0.2">
      <c r="A6468" s="8" t="s">
        <v>6491</v>
      </c>
      <c r="B6468" s="2" t="s">
        <v>12469</v>
      </c>
    </row>
    <row r="6469" spans="1:2" x14ac:dyDescent="0.2">
      <c r="A6469" s="8" t="s">
        <v>6492</v>
      </c>
      <c r="B6469" s="2" t="s">
        <v>12469</v>
      </c>
    </row>
    <row r="6470" spans="1:2" x14ac:dyDescent="0.2">
      <c r="A6470" s="8" t="s">
        <v>6493</v>
      </c>
      <c r="B6470" s="2" t="s">
        <v>12469</v>
      </c>
    </row>
    <row r="6471" spans="1:2" x14ac:dyDescent="0.2">
      <c r="A6471" s="8" t="s">
        <v>6494</v>
      </c>
      <c r="B6471" s="2" t="s">
        <v>12469</v>
      </c>
    </row>
    <row r="6472" spans="1:2" x14ac:dyDescent="0.2">
      <c r="A6472" s="8" t="s">
        <v>6495</v>
      </c>
      <c r="B6472" s="2" t="s">
        <v>12469</v>
      </c>
    </row>
    <row r="6473" spans="1:2" x14ac:dyDescent="0.2">
      <c r="A6473" s="8" t="s">
        <v>6496</v>
      </c>
      <c r="B6473" s="2" t="s">
        <v>12469</v>
      </c>
    </row>
    <row r="6474" spans="1:2" x14ac:dyDescent="0.2">
      <c r="A6474" s="8" t="s">
        <v>6497</v>
      </c>
      <c r="B6474" s="2" t="s">
        <v>12469</v>
      </c>
    </row>
    <row r="6475" spans="1:2" x14ac:dyDescent="0.2">
      <c r="A6475" s="8" t="s">
        <v>6498</v>
      </c>
      <c r="B6475" s="2" t="s">
        <v>12469</v>
      </c>
    </row>
    <row r="6476" spans="1:2" x14ac:dyDescent="0.2">
      <c r="A6476" s="8" t="s">
        <v>6499</v>
      </c>
      <c r="B6476" s="2" t="s">
        <v>12469</v>
      </c>
    </row>
    <row r="6477" spans="1:2" x14ac:dyDescent="0.2">
      <c r="A6477" s="8" t="s">
        <v>6500</v>
      </c>
      <c r="B6477" s="2" t="s">
        <v>12469</v>
      </c>
    </row>
    <row r="6478" spans="1:2" x14ac:dyDescent="0.2">
      <c r="A6478" s="8" t="s">
        <v>6501</v>
      </c>
      <c r="B6478" s="2" t="s">
        <v>12469</v>
      </c>
    </row>
    <row r="6479" spans="1:2" x14ac:dyDescent="0.2">
      <c r="A6479" s="8" t="s">
        <v>6502</v>
      </c>
      <c r="B6479" s="2" t="s">
        <v>12469</v>
      </c>
    </row>
    <row r="6480" spans="1:2" x14ac:dyDescent="0.2">
      <c r="A6480" s="8" t="s">
        <v>6503</v>
      </c>
      <c r="B6480" s="2" t="s">
        <v>12469</v>
      </c>
    </row>
    <row r="6481" spans="1:2" x14ac:dyDescent="0.2">
      <c r="A6481" s="8" t="s">
        <v>6504</v>
      </c>
      <c r="B6481" s="2" t="s">
        <v>12469</v>
      </c>
    </row>
    <row r="6482" spans="1:2" x14ac:dyDescent="0.2">
      <c r="A6482" s="8" t="s">
        <v>6505</v>
      </c>
      <c r="B6482" s="2" t="s">
        <v>12469</v>
      </c>
    </row>
    <row r="6483" spans="1:2" x14ac:dyDescent="0.2">
      <c r="A6483" s="8" t="s">
        <v>6506</v>
      </c>
      <c r="B6483" s="2" t="s">
        <v>12469</v>
      </c>
    </row>
    <row r="6484" spans="1:2" x14ac:dyDescent="0.2">
      <c r="A6484" s="8" t="s">
        <v>6507</v>
      </c>
      <c r="B6484" s="2" t="s">
        <v>12469</v>
      </c>
    </row>
    <row r="6485" spans="1:2" x14ac:dyDescent="0.2">
      <c r="A6485" s="8" t="s">
        <v>6508</v>
      </c>
      <c r="B6485" s="2" t="s">
        <v>12469</v>
      </c>
    </row>
    <row r="6486" spans="1:2" x14ac:dyDescent="0.2">
      <c r="A6486" s="8" t="s">
        <v>6509</v>
      </c>
      <c r="B6486" s="2" t="s">
        <v>12469</v>
      </c>
    </row>
    <row r="6487" spans="1:2" x14ac:dyDescent="0.2">
      <c r="A6487" s="8" t="s">
        <v>6510</v>
      </c>
      <c r="B6487" s="2" t="s">
        <v>12469</v>
      </c>
    </row>
    <row r="6488" spans="1:2" x14ac:dyDescent="0.2">
      <c r="A6488" s="8" t="s">
        <v>6511</v>
      </c>
      <c r="B6488" s="2" t="s">
        <v>12469</v>
      </c>
    </row>
    <row r="6489" spans="1:2" x14ac:dyDescent="0.2">
      <c r="A6489" s="8" t="s">
        <v>6512</v>
      </c>
      <c r="B6489" s="2" t="s">
        <v>12469</v>
      </c>
    </row>
    <row r="6490" spans="1:2" x14ac:dyDescent="0.2">
      <c r="A6490" s="8" t="s">
        <v>6513</v>
      </c>
      <c r="B6490" s="2" t="s">
        <v>12469</v>
      </c>
    </row>
    <row r="6491" spans="1:2" x14ac:dyDescent="0.2">
      <c r="A6491" s="8" t="s">
        <v>6514</v>
      </c>
      <c r="B6491" s="2" t="s">
        <v>12469</v>
      </c>
    </row>
    <row r="6492" spans="1:2" x14ac:dyDescent="0.2">
      <c r="A6492" s="8" t="s">
        <v>6515</v>
      </c>
      <c r="B6492" s="2" t="s">
        <v>12469</v>
      </c>
    </row>
    <row r="6493" spans="1:2" x14ac:dyDescent="0.2">
      <c r="A6493" s="8" t="s">
        <v>6516</v>
      </c>
      <c r="B6493" s="2" t="s">
        <v>12469</v>
      </c>
    </row>
    <row r="6494" spans="1:2" x14ac:dyDescent="0.2">
      <c r="A6494" s="8" t="s">
        <v>6517</v>
      </c>
      <c r="B6494" s="2" t="s">
        <v>12469</v>
      </c>
    </row>
    <row r="6495" spans="1:2" x14ac:dyDescent="0.2">
      <c r="A6495" s="8" t="s">
        <v>6518</v>
      </c>
      <c r="B6495" s="2" t="s">
        <v>12469</v>
      </c>
    </row>
    <row r="6496" spans="1:2" x14ac:dyDescent="0.2">
      <c r="A6496" s="8" t="s">
        <v>6519</v>
      </c>
      <c r="B6496" s="2" t="s">
        <v>12469</v>
      </c>
    </row>
    <row r="6497" spans="1:2" x14ac:dyDescent="0.2">
      <c r="A6497" s="8" t="s">
        <v>6520</v>
      </c>
      <c r="B6497" s="2" t="s">
        <v>12469</v>
      </c>
    </row>
    <row r="6498" spans="1:2" x14ac:dyDescent="0.2">
      <c r="A6498" s="8" t="s">
        <v>6521</v>
      </c>
      <c r="B6498" s="2" t="s">
        <v>12469</v>
      </c>
    </row>
    <row r="6499" spans="1:2" x14ac:dyDescent="0.2">
      <c r="A6499" s="8" t="s">
        <v>6522</v>
      </c>
      <c r="B6499" s="2" t="s">
        <v>12469</v>
      </c>
    </row>
    <row r="6500" spans="1:2" x14ac:dyDescent="0.2">
      <c r="A6500" s="8" t="s">
        <v>6523</v>
      </c>
      <c r="B6500" s="2" t="s">
        <v>12469</v>
      </c>
    </row>
    <row r="6501" spans="1:2" x14ac:dyDescent="0.2">
      <c r="A6501" s="8" t="s">
        <v>6524</v>
      </c>
      <c r="B6501" s="2" t="s">
        <v>12469</v>
      </c>
    </row>
    <row r="6502" spans="1:2" x14ac:dyDescent="0.2">
      <c r="A6502" s="8" t="s">
        <v>6525</v>
      </c>
      <c r="B6502" s="2" t="s">
        <v>12469</v>
      </c>
    </row>
    <row r="6503" spans="1:2" x14ac:dyDescent="0.2">
      <c r="A6503" s="8" t="s">
        <v>6526</v>
      </c>
      <c r="B6503" s="2" t="s">
        <v>12469</v>
      </c>
    </row>
    <row r="6504" spans="1:2" x14ac:dyDescent="0.2">
      <c r="A6504" s="8" t="s">
        <v>6527</v>
      </c>
      <c r="B6504" s="2" t="s">
        <v>12469</v>
      </c>
    </row>
    <row r="6505" spans="1:2" x14ac:dyDescent="0.2">
      <c r="A6505" s="8" t="s">
        <v>6528</v>
      </c>
      <c r="B6505" s="2" t="s">
        <v>12469</v>
      </c>
    </row>
    <row r="6506" spans="1:2" x14ac:dyDescent="0.2">
      <c r="A6506" s="8" t="s">
        <v>6529</v>
      </c>
      <c r="B6506" s="2" t="s">
        <v>12469</v>
      </c>
    </row>
    <row r="6507" spans="1:2" x14ac:dyDescent="0.2">
      <c r="A6507" s="8" t="s">
        <v>6530</v>
      </c>
      <c r="B6507" s="2" t="s">
        <v>12469</v>
      </c>
    </row>
    <row r="6508" spans="1:2" x14ac:dyDescent="0.2">
      <c r="A6508" s="8" t="s">
        <v>6531</v>
      </c>
      <c r="B6508" s="2" t="s">
        <v>12469</v>
      </c>
    </row>
    <row r="6509" spans="1:2" x14ac:dyDescent="0.2">
      <c r="A6509" s="8" t="s">
        <v>6532</v>
      </c>
      <c r="B6509" s="2" t="s">
        <v>12469</v>
      </c>
    </row>
    <row r="6510" spans="1:2" x14ac:dyDescent="0.2">
      <c r="A6510" s="8" t="s">
        <v>6533</v>
      </c>
      <c r="B6510" s="2" t="s">
        <v>12469</v>
      </c>
    </row>
    <row r="6511" spans="1:2" x14ac:dyDescent="0.2">
      <c r="A6511" s="8" t="s">
        <v>6534</v>
      </c>
      <c r="B6511" s="2" t="s">
        <v>12469</v>
      </c>
    </row>
    <row r="6512" spans="1:2" x14ac:dyDescent="0.2">
      <c r="A6512" s="8" t="s">
        <v>6535</v>
      </c>
      <c r="B6512" s="2" t="s">
        <v>12469</v>
      </c>
    </row>
    <row r="6513" spans="1:2" x14ac:dyDescent="0.2">
      <c r="A6513" s="8" t="s">
        <v>6536</v>
      </c>
      <c r="B6513" s="2" t="s">
        <v>12469</v>
      </c>
    </row>
    <row r="6514" spans="1:2" x14ac:dyDescent="0.2">
      <c r="A6514" s="8" t="s">
        <v>6537</v>
      </c>
      <c r="B6514" s="2" t="s">
        <v>12469</v>
      </c>
    </row>
    <row r="6515" spans="1:2" x14ac:dyDescent="0.2">
      <c r="A6515" s="8" t="s">
        <v>6538</v>
      </c>
      <c r="B6515" s="2" t="s">
        <v>12469</v>
      </c>
    </row>
    <row r="6516" spans="1:2" x14ac:dyDescent="0.2">
      <c r="A6516" s="8" t="s">
        <v>6539</v>
      </c>
      <c r="B6516" s="2" t="s">
        <v>12469</v>
      </c>
    </row>
    <row r="6517" spans="1:2" x14ac:dyDescent="0.2">
      <c r="A6517" s="8" t="s">
        <v>6540</v>
      </c>
      <c r="B6517" s="2" t="s">
        <v>12469</v>
      </c>
    </row>
    <row r="6518" spans="1:2" x14ac:dyDescent="0.2">
      <c r="A6518" s="8" t="s">
        <v>6541</v>
      </c>
      <c r="B6518" s="2" t="s">
        <v>12469</v>
      </c>
    </row>
    <row r="6519" spans="1:2" x14ac:dyDescent="0.2">
      <c r="A6519" s="8" t="s">
        <v>6542</v>
      </c>
      <c r="B6519" s="2" t="s">
        <v>12469</v>
      </c>
    </row>
    <row r="6520" spans="1:2" x14ac:dyDescent="0.2">
      <c r="A6520" s="8" t="s">
        <v>6543</v>
      </c>
      <c r="B6520" s="2" t="s">
        <v>12469</v>
      </c>
    </row>
    <row r="6521" spans="1:2" x14ac:dyDescent="0.2">
      <c r="A6521" s="8" t="s">
        <v>6544</v>
      </c>
      <c r="B6521" s="2" t="s">
        <v>12469</v>
      </c>
    </row>
    <row r="6522" spans="1:2" x14ac:dyDescent="0.2">
      <c r="A6522" s="8" t="s">
        <v>6545</v>
      </c>
      <c r="B6522" s="2" t="s">
        <v>12469</v>
      </c>
    </row>
    <row r="6523" spans="1:2" x14ac:dyDescent="0.2">
      <c r="A6523" s="8" t="s">
        <v>6546</v>
      </c>
      <c r="B6523" s="2" t="s">
        <v>12469</v>
      </c>
    </row>
    <row r="6524" spans="1:2" x14ac:dyDescent="0.2">
      <c r="A6524" s="8" t="s">
        <v>6547</v>
      </c>
      <c r="B6524" s="2" t="s">
        <v>12469</v>
      </c>
    </row>
    <row r="6525" spans="1:2" x14ac:dyDescent="0.2">
      <c r="A6525" s="8" t="s">
        <v>6548</v>
      </c>
      <c r="B6525" s="2" t="s">
        <v>12469</v>
      </c>
    </row>
    <row r="6526" spans="1:2" x14ac:dyDescent="0.2">
      <c r="A6526" s="8" t="s">
        <v>6549</v>
      </c>
      <c r="B6526" s="2" t="s">
        <v>12469</v>
      </c>
    </row>
    <row r="6527" spans="1:2" x14ac:dyDescent="0.2">
      <c r="A6527" s="8" t="s">
        <v>6550</v>
      </c>
      <c r="B6527" s="2" t="s">
        <v>12469</v>
      </c>
    </row>
    <row r="6528" spans="1:2" x14ac:dyDescent="0.2">
      <c r="A6528" s="8" t="s">
        <v>6551</v>
      </c>
      <c r="B6528" s="2" t="s">
        <v>12469</v>
      </c>
    </row>
    <row r="6529" spans="1:2" x14ac:dyDescent="0.2">
      <c r="A6529" s="8" t="s">
        <v>6552</v>
      </c>
      <c r="B6529" s="2" t="s">
        <v>12469</v>
      </c>
    </row>
    <row r="6530" spans="1:2" x14ac:dyDescent="0.2">
      <c r="A6530" s="8" t="s">
        <v>6553</v>
      </c>
      <c r="B6530" s="2" t="s">
        <v>12469</v>
      </c>
    </row>
    <row r="6531" spans="1:2" x14ac:dyDescent="0.2">
      <c r="A6531" s="8" t="s">
        <v>6554</v>
      </c>
      <c r="B6531" s="2" t="s">
        <v>12469</v>
      </c>
    </row>
    <row r="6532" spans="1:2" x14ac:dyDescent="0.2">
      <c r="A6532" s="8" t="s">
        <v>6555</v>
      </c>
      <c r="B6532" s="2" t="s">
        <v>12469</v>
      </c>
    </row>
    <row r="6533" spans="1:2" x14ac:dyDescent="0.2">
      <c r="A6533" s="8" t="s">
        <v>6556</v>
      </c>
      <c r="B6533" s="2" t="s">
        <v>12469</v>
      </c>
    </row>
    <row r="6534" spans="1:2" x14ac:dyDescent="0.2">
      <c r="A6534" s="8" t="s">
        <v>6557</v>
      </c>
      <c r="B6534" s="2" t="s">
        <v>12469</v>
      </c>
    </row>
    <row r="6535" spans="1:2" x14ac:dyDescent="0.2">
      <c r="A6535" s="8" t="s">
        <v>6558</v>
      </c>
      <c r="B6535" s="2" t="s">
        <v>12469</v>
      </c>
    </row>
    <row r="6536" spans="1:2" x14ac:dyDescent="0.2">
      <c r="A6536" s="8" t="s">
        <v>6559</v>
      </c>
      <c r="B6536" s="2" t="s">
        <v>12469</v>
      </c>
    </row>
    <row r="6537" spans="1:2" x14ac:dyDescent="0.2">
      <c r="A6537" s="8" t="s">
        <v>6560</v>
      </c>
      <c r="B6537" s="2" t="s">
        <v>12469</v>
      </c>
    </row>
    <row r="6538" spans="1:2" x14ac:dyDescent="0.2">
      <c r="A6538" s="8" t="s">
        <v>6561</v>
      </c>
      <c r="B6538" s="2" t="s">
        <v>12469</v>
      </c>
    </row>
    <row r="6539" spans="1:2" x14ac:dyDescent="0.2">
      <c r="A6539" s="8" t="s">
        <v>6562</v>
      </c>
      <c r="B6539" s="2" t="s">
        <v>12469</v>
      </c>
    </row>
    <row r="6540" spans="1:2" x14ac:dyDescent="0.2">
      <c r="A6540" s="8" t="s">
        <v>6563</v>
      </c>
      <c r="B6540" s="2" t="s">
        <v>12469</v>
      </c>
    </row>
    <row r="6541" spans="1:2" x14ac:dyDescent="0.2">
      <c r="A6541" s="8" t="s">
        <v>6564</v>
      </c>
      <c r="B6541" s="2" t="s">
        <v>12469</v>
      </c>
    </row>
    <row r="6542" spans="1:2" x14ac:dyDescent="0.2">
      <c r="A6542" s="8" t="s">
        <v>6565</v>
      </c>
      <c r="B6542" s="2" t="s">
        <v>12469</v>
      </c>
    </row>
    <row r="6543" spans="1:2" x14ac:dyDescent="0.2">
      <c r="A6543" s="8" t="s">
        <v>6566</v>
      </c>
      <c r="B6543" s="2" t="s">
        <v>12469</v>
      </c>
    </row>
    <row r="6544" spans="1:2" x14ac:dyDescent="0.2">
      <c r="A6544" s="8" t="s">
        <v>6567</v>
      </c>
      <c r="B6544" s="2" t="s">
        <v>12469</v>
      </c>
    </row>
    <row r="6545" spans="1:2" x14ac:dyDescent="0.2">
      <c r="A6545" s="8" t="s">
        <v>6568</v>
      </c>
      <c r="B6545" s="2" t="s">
        <v>12469</v>
      </c>
    </row>
    <row r="6546" spans="1:2" x14ac:dyDescent="0.2">
      <c r="A6546" s="8" t="s">
        <v>6569</v>
      </c>
      <c r="B6546" s="2" t="s">
        <v>12469</v>
      </c>
    </row>
    <row r="6547" spans="1:2" x14ac:dyDescent="0.2">
      <c r="A6547" s="8" t="s">
        <v>6570</v>
      </c>
      <c r="B6547" s="2" t="s">
        <v>12469</v>
      </c>
    </row>
    <row r="6548" spans="1:2" x14ac:dyDescent="0.2">
      <c r="A6548" s="8" t="s">
        <v>6571</v>
      </c>
      <c r="B6548" s="2" t="s">
        <v>12469</v>
      </c>
    </row>
    <row r="6549" spans="1:2" x14ac:dyDescent="0.2">
      <c r="A6549" s="8" t="s">
        <v>6572</v>
      </c>
      <c r="B6549" s="2" t="s">
        <v>12469</v>
      </c>
    </row>
    <row r="6550" spans="1:2" x14ac:dyDescent="0.2">
      <c r="A6550" s="8" t="s">
        <v>6573</v>
      </c>
      <c r="B6550" s="2" t="s">
        <v>12469</v>
      </c>
    </row>
    <row r="6551" spans="1:2" x14ac:dyDescent="0.2">
      <c r="A6551" s="8" t="s">
        <v>6574</v>
      </c>
      <c r="B6551" s="2" t="s">
        <v>12469</v>
      </c>
    </row>
    <row r="6552" spans="1:2" x14ac:dyDescent="0.2">
      <c r="A6552" s="8" t="s">
        <v>6575</v>
      </c>
      <c r="B6552" s="2" t="s">
        <v>12469</v>
      </c>
    </row>
    <row r="6553" spans="1:2" x14ac:dyDescent="0.2">
      <c r="A6553" s="8" t="s">
        <v>6576</v>
      </c>
      <c r="B6553" s="2" t="s">
        <v>12469</v>
      </c>
    </row>
    <row r="6554" spans="1:2" x14ac:dyDescent="0.2">
      <c r="A6554" s="8" t="s">
        <v>6577</v>
      </c>
      <c r="B6554" s="2" t="s">
        <v>12469</v>
      </c>
    </row>
    <row r="6555" spans="1:2" x14ac:dyDescent="0.2">
      <c r="A6555" s="8" t="s">
        <v>6578</v>
      </c>
      <c r="B6555" s="2" t="s">
        <v>12469</v>
      </c>
    </row>
    <row r="6556" spans="1:2" x14ac:dyDescent="0.2">
      <c r="A6556" s="8" t="s">
        <v>6579</v>
      </c>
      <c r="B6556" s="2" t="s">
        <v>12469</v>
      </c>
    </row>
    <row r="6557" spans="1:2" x14ac:dyDescent="0.2">
      <c r="A6557" s="8" t="s">
        <v>6580</v>
      </c>
      <c r="B6557" s="2" t="s">
        <v>12469</v>
      </c>
    </row>
    <row r="6558" spans="1:2" x14ac:dyDescent="0.2">
      <c r="A6558" s="8" t="s">
        <v>6581</v>
      </c>
      <c r="B6558" s="2" t="s">
        <v>12469</v>
      </c>
    </row>
    <row r="6559" spans="1:2" x14ac:dyDescent="0.2">
      <c r="A6559" s="8" t="s">
        <v>6582</v>
      </c>
      <c r="B6559" s="2" t="s">
        <v>12469</v>
      </c>
    </row>
    <row r="6560" spans="1:2" x14ac:dyDescent="0.2">
      <c r="A6560" s="8" t="s">
        <v>6583</v>
      </c>
      <c r="B6560" s="2" t="s">
        <v>12469</v>
      </c>
    </row>
    <row r="6561" spans="1:2" x14ac:dyDescent="0.2">
      <c r="A6561" s="8" t="s">
        <v>6584</v>
      </c>
      <c r="B6561" s="2" t="s">
        <v>12469</v>
      </c>
    </row>
    <row r="6562" spans="1:2" x14ac:dyDescent="0.2">
      <c r="A6562" s="8" t="s">
        <v>6585</v>
      </c>
      <c r="B6562" s="2" t="s">
        <v>12469</v>
      </c>
    </row>
    <row r="6563" spans="1:2" x14ac:dyDescent="0.2">
      <c r="A6563" s="8" t="s">
        <v>6586</v>
      </c>
      <c r="B6563" s="2" t="s">
        <v>12469</v>
      </c>
    </row>
    <row r="6564" spans="1:2" x14ac:dyDescent="0.2">
      <c r="A6564" s="8" t="s">
        <v>6587</v>
      </c>
      <c r="B6564" s="2" t="s">
        <v>12469</v>
      </c>
    </row>
    <row r="6565" spans="1:2" x14ac:dyDescent="0.2">
      <c r="A6565" s="8" t="s">
        <v>6588</v>
      </c>
      <c r="B6565" s="2" t="s">
        <v>12469</v>
      </c>
    </row>
    <row r="6566" spans="1:2" x14ac:dyDescent="0.2">
      <c r="A6566" s="8" t="s">
        <v>6589</v>
      </c>
      <c r="B6566" s="2" t="s">
        <v>12469</v>
      </c>
    </row>
    <row r="6567" spans="1:2" x14ac:dyDescent="0.2">
      <c r="A6567" s="8" t="s">
        <v>6590</v>
      </c>
      <c r="B6567" s="2" t="s">
        <v>12469</v>
      </c>
    </row>
    <row r="6568" spans="1:2" x14ac:dyDescent="0.2">
      <c r="A6568" s="8" t="s">
        <v>6591</v>
      </c>
      <c r="B6568" s="2" t="s">
        <v>12469</v>
      </c>
    </row>
    <row r="6569" spans="1:2" x14ac:dyDescent="0.2">
      <c r="A6569" s="8" t="s">
        <v>6592</v>
      </c>
      <c r="B6569" s="2" t="s">
        <v>12469</v>
      </c>
    </row>
    <row r="6570" spans="1:2" x14ac:dyDescent="0.2">
      <c r="A6570" s="8" t="s">
        <v>6593</v>
      </c>
      <c r="B6570" s="2" t="s">
        <v>12469</v>
      </c>
    </row>
    <row r="6571" spans="1:2" x14ac:dyDescent="0.2">
      <c r="A6571" s="8" t="s">
        <v>6594</v>
      </c>
      <c r="B6571" s="2" t="s">
        <v>12469</v>
      </c>
    </row>
    <row r="6572" spans="1:2" x14ac:dyDescent="0.2">
      <c r="A6572" s="8" t="s">
        <v>6595</v>
      </c>
      <c r="B6572" s="2" t="s">
        <v>12469</v>
      </c>
    </row>
    <row r="6573" spans="1:2" x14ac:dyDescent="0.2">
      <c r="A6573" s="8" t="s">
        <v>6596</v>
      </c>
      <c r="B6573" s="2" t="s">
        <v>12469</v>
      </c>
    </row>
    <row r="6574" spans="1:2" x14ac:dyDescent="0.2">
      <c r="A6574" s="8" t="s">
        <v>6597</v>
      </c>
      <c r="B6574" s="2" t="s">
        <v>12469</v>
      </c>
    </row>
    <row r="6575" spans="1:2" x14ac:dyDescent="0.2">
      <c r="A6575" s="8" t="s">
        <v>6598</v>
      </c>
      <c r="B6575" s="2" t="s">
        <v>12469</v>
      </c>
    </row>
    <row r="6576" spans="1:2" x14ac:dyDescent="0.2">
      <c r="A6576" s="8" t="s">
        <v>6599</v>
      </c>
      <c r="B6576" s="2" t="s">
        <v>12469</v>
      </c>
    </row>
    <row r="6577" spans="1:2" x14ac:dyDescent="0.2">
      <c r="A6577" s="8" t="s">
        <v>6600</v>
      </c>
      <c r="B6577" s="2" t="s">
        <v>12469</v>
      </c>
    </row>
    <row r="6578" spans="1:2" x14ac:dyDescent="0.2">
      <c r="A6578" s="8" t="s">
        <v>6601</v>
      </c>
      <c r="B6578" s="2" t="s">
        <v>12469</v>
      </c>
    </row>
    <row r="6579" spans="1:2" x14ac:dyDescent="0.2">
      <c r="A6579" s="8" t="s">
        <v>6602</v>
      </c>
      <c r="B6579" s="2" t="s">
        <v>12469</v>
      </c>
    </row>
    <row r="6580" spans="1:2" x14ac:dyDescent="0.2">
      <c r="A6580" s="8" t="s">
        <v>6603</v>
      </c>
      <c r="B6580" s="2" t="s">
        <v>12469</v>
      </c>
    </row>
    <row r="6581" spans="1:2" x14ac:dyDescent="0.2">
      <c r="A6581" s="8" t="s">
        <v>6604</v>
      </c>
      <c r="B6581" s="2" t="s">
        <v>12469</v>
      </c>
    </row>
    <row r="6582" spans="1:2" x14ac:dyDescent="0.2">
      <c r="A6582" s="8" t="s">
        <v>6605</v>
      </c>
      <c r="B6582" s="2" t="s">
        <v>12469</v>
      </c>
    </row>
    <row r="6583" spans="1:2" x14ac:dyDescent="0.2">
      <c r="A6583" s="8" t="s">
        <v>6606</v>
      </c>
      <c r="B6583" s="2" t="s">
        <v>12469</v>
      </c>
    </row>
    <row r="6584" spans="1:2" x14ac:dyDescent="0.2">
      <c r="A6584" s="8" t="s">
        <v>6607</v>
      </c>
      <c r="B6584" s="2" t="s">
        <v>12469</v>
      </c>
    </row>
    <row r="6585" spans="1:2" x14ac:dyDescent="0.2">
      <c r="A6585" s="8" t="s">
        <v>6608</v>
      </c>
      <c r="B6585" s="2" t="s">
        <v>12469</v>
      </c>
    </row>
    <row r="6586" spans="1:2" x14ac:dyDescent="0.2">
      <c r="A6586" s="8" t="s">
        <v>6609</v>
      </c>
      <c r="B6586" s="2" t="s">
        <v>12469</v>
      </c>
    </row>
    <row r="6587" spans="1:2" x14ac:dyDescent="0.2">
      <c r="A6587" s="8" t="s">
        <v>6610</v>
      </c>
      <c r="B6587" s="2" t="s">
        <v>12469</v>
      </c>
    </row>
    <row r="6588" spans="1:2" x14ac:dyDescent="0.2">
      <c r="A6588" s="8" t="s">
        <v>6611</v>
      </c>
      <c r="B6588" s="2" t="s">
        <v>12469</v>
      </c>
    </row>
    <row r="6589" spans="1:2" x14ac:dyDescent="0.2">
      <c r="A6589" s="8" t="s">
        <v>6612</v>
      </c>
      <c r="B6589" s="2" t="s">
        <v>12469</v>
      </c>
    </row>
    <row r="6590" spans="1:2" x14ac:dyDescent="0.2">
      <c r="A6590" s="8" t="s">
        <v>6613</v>
      </c>
      <c r="B6590" s="2" t="s">
        <v>12469</v>
      </c>
    </row>
    <row r="6591" spans="1:2" x14ac:dyDescent="0.2">
      <c r="A6591" s="8" t="s">
        <v>6614</v>
      </c>
      <c r="B6591" s="2" t="s">
        <v>12469</v>
      </c>
    </row>
    <row r="6592" spans="1:2" x14ac:dyDescent="0.2">
      <c r="A6592" s="8" t="s">
        <v>6615</v>
      </c>
      <c r="B6592" s="2" t="s">
        <v>12469</v>
      </c>
    </row>
    <row r="6593" spans="1:2" x14ac:dyDescent="0.2">
      <c r="A6593" s="8" t="s">
        <v>6616</v>
      </c>
      <c r="B6593" s="2" t="s">
        <v>12469</v>
      </c>
    </row>
    <row r="6594" spans="1:2" x14ac:dyDescent="0.2">
      <c r="A6594" s="8" t="s">
        <v>6617</v>
      </c>
      <c r="B6594" s="2" t="s">
        <v>12469</v>
      </c>
    </row>
    <row r="6595" spans="1:2" x14ac:dyDescent="0.2">
      <c r="A6595" s="8" t="s">
        <v>6618</v>
      </c>
      <c r="B6595" s="2" t="s">
        <v>12469</v>
      </c>
    </row>
    <row r="6596" spans="1:2" x14ac:dyDescent="0.2">
      <c r="A6596" s="8" t="s">
        <v>6619</v>
      </c>
      <c r="B6596" s="2" t="s">
        <v>12469</v>
      </c>
    </row>
    <row r="6597" spans="1:2" x14ac:dyDescent="0.2">
      <c r="A6597" s="8" t="s">
        <v>6620</v>
      </c>
      <c r="B6597" s="2" t="s">
        <v>12469</v>
      </c>
    </row>
    <row r="6598" spans="1:2" x14ac:dyDescent="0.2">
      <c r="A6598" s="8" t="s">
        <v>6621</v>
      </c>
      <c r="B6598" s="2" t="s">
        <v>12469</v>
      </c>
    </row>
    <row r="6599" spans="1:2" x14ac:dyDescent="0.2">
      <c r="A6599" s="8" t="s">
        <v>6622</v>
      </c>
      <c r="B6599" s="2" t="s">
        <v>12469</v>
      </c>
    </row>
    <row r="6600" spans="1:2" x14ac:dyDescent="0.2">
      <c r="A6600" s="8" t="s">
        <v>6623</v>
      </c>
      <c r="B6600" s="2" t="s">
        <v>12469</v>
      </c>
    </row>
    <row r="6601" spans="1:2" x14ac:dyDescent="0.2">
      <c r="A6601" s="8" t="s">
        <v>6624</v>
      </c>
      <c r="B6601" s="2" t="s">
        <v>12469</v>
      </c>
    </row>
    <row r="6602" spans="1:2" x14ac:dyDescent="0.2">
      <c r="A6602" s="8" t="s">
        <v>6625</v>
      </c>
      <c r="B6602" s="2" t="s">
        <v>12469</v>
      </c>
    </row>
    <row r="6603" spans="1:2" x14ac:dyDescent="0.2">
      <c r="A6603" s="8" t="s">
        <v>6626</v>
      </c>
      <c r="B6603" s="2" t="s">
        <v>12469</v>
      </c>
    </row>
    <row r="6604" spans="1:2" x14ac:dyDescent="0.2">
      <c r="A6604" s="8" t="s">
        <v>6627</v>
      </c>
      <c r="B6604" s="2" t="s">
        <v>12469</v>
      </c>
    </row>
    <row r="6605" spans="1:2" x14ac:dyDescent="0.2">
      <c r="A6605" s="8" t="s">
        <v>6628</v>
      </c>
      <c r="B6605" s="2" t="s">
        <v>12469</v>
      </c>
    </row>
    <row r="6606" spans="1:2" x14ac:dyDescent="0.2">
      <c r="A6606" s="8" t="s">
        <v>6629</v>
      </c>
      <c r="B6606" s="2" t="s">
        <v>12469</v>
      </c>
    </row>
    <row r="6607" spans="1:2" x14ac:dyDescent="0.2">
      <c r="A6607" s="8" t="s">
        <v>6630</v>
      </c>
      <c r="B6607" s="2" t="s">
        <v>12469</v>
      </c>
    </row>
    <row r="6608" spans="1:2" x14ac:dyDescent="0.2">
      <c r="A6608" s="8" t="s">
        <v>6631</v>
      </c>
      <c r="B6608" s="2" t="s">
        <v>12469</v>
      </c>
    </row>
    <row r="6609" spans="1:2" x14ac:dyDescent="0.2">
      <c r="A6609" s="8" t="s">
        <v>6632</v>
      </c>
      <c r="B6609" s="2" t="s">
        <v>12469</v>
      </c>
    </row>
    <row r="6610" spans="1:2" x14ac:dyDescent="0.2">
      <c r="A6610" s="8" t="s">
        <v>6633</v>
      </c>
      <c r="B6610" s="2" t="s">
        <v>12469</v>
      </c>
    </row>
    <row r="6611" spans="1:2" x14ac:dyDescent="0.2">
      <c r="A6611" s="8" t="s">
        <v>6634</v>
      </c>
      <c r="B6611" s="2" t="s">
        <v>12469</v>
      </c>
    </row>
    <row r="6612" spans="1:2" x14ac:dyDescent="0.2">
      <c r="A6612" s="8" t="s">
        <v>6635</v>
      </c>
      <c r="B6612" s="2" t="s">
        <v>12469</v>
      </c>
    </row>
    <row r="6613" spans="1:2" x14ac:dyDescent="0.2">
      <c r="A6613" s="8" t="s">
        <v>6636</v>
      </c>
      <c r="B6613" s="2" t="s">
        <v>12469</v>
      </c>
    </row>
    <row r="6614" spans="1:2" x14ac:dyDescent="0.2">
      <c r="A6614" s="8" t="s">
        <v>6637</v>
      </c>
      <c r="B6614" s="2" t="s">
        <v>12469</v>
      </c>
    </row>
    <row r="6615" spans="1:2" x14ac:dyDescent="0.2">
      <c r="A6615" s="8" t="s">
        <v>6638</v>
      </c>
      <c r="B6615" s="2" t="s">
        <v>12469</v>
      </c>
    </row>
    <row r="6616" spans="1:2" x14ac:dyDescent="0.2">
      <c r="A6616" s="8" t="s">
        <v>6639</v>
      </c>
      <c r="B6616" s="2" t="s">
        <v>12469</v>
      </c>
    </row>
    <row r="6617" spans="1:2" x14ac:dyDescent="0.2">
      <c r="A6617" s="8" t="s">
        <v>6640</v>
      </c>
      <c r="B6617" s="2" t="s">
        <v>12469</v>
      </c>
    </row>
    <row r="6618" spans="1:2" x14ac:dyDescent="0.2">
      <c r="A6618" s="8" t="s">
        <v>6641</v>
      </c>
      <c r="B6618" s="2" t="s">
        <v>12469</v>
      </c>
    </row>
    <row r="6619" spans="1:2" x14ac:dyDescent="0.2">
      <c r="A6619" s="8" t="s">
        <v>6642</v>
      </c>
      <c r="B6619" s="2" t="s">
        <v>12469</v>
      </c>
    </row>
    <row r="6620" spans="1:2" x14ac:dyDescent="0.2">
      <c r="A6620" s="8" t="s">
        <v>6643</v>
      </c>
      <c r="B6620" s="2" t="s">
        <v>12469</v>
      </c>
    </row>
    <row r="6621" spans="1:2" x14ac:dyDescent="0.2">
      <c r="A6621" s="8" t="s">
        <v>6644</v>
      </c>
      <c r="B6621" s="2" t="s">
        <v>12469</v>
      </c>
    </row>
    <row r="6622" spans="1:2" x14ac:dyDescent="0.2">
      <c r="A6622" s="8" t="s">
        <v>6645</v>
      </c>
      <c r="B6622" s="2" t="s">
        <v>12469</v>
      </c>
    </row>
    <row r="6623" spans="1:2" x14ac:dyDescent="0.2">
      <c r="A6623" s="8" t="s">
        <v>6646</v>
      </c>
      <c r="B6623" s="2" t="s">
        <v>12469</v>
      </c>
    </row>
    <row r="6624" spans="1:2" x14ac:dyDescent="0.2">
      <c r="A6624" s="8" t="s">
        <v>6647</v>
      </c>
      <c r="B6624" s="2" t="s">
        <v>12469</v>
      </c>
    </row>
    <row r="6625" spans="1:2" x14ac:dyDescent="0.2">
      <c r="A6625" s="8" t="s">
        <v>6648</v>
      </c>
      <c r="B6625" s="2" t="s">
        <v>12469</v>
      </c>
    </row>
    <row r="6626" spans="1:2" x14ac:dyDescent="0.2">
      <c r="A6626" s="8" t="s">
        <v>6649</v>
      </c>
      <c r="B6626" s="2" t="s">
        <v>12469</v>
      </c>
    </row>
    <row r="6627" spans="1:2" x14ac:dyDescent="0.2">
      <c r="A6627" s="8" t="s">
        <v>6650</v>
      </c>
      <c r="B6627" s="2" t="s">
        <v>12469</v>
      </c>
    </row>
    <row r="6628" spans="1:2" x14ac:dyDescent="0.2">
      <c r="A6628" s="8" t="s">
        <v>6651</v>
      </c>
      <c r="B6628" s="2" t="s">
        <v>12469</v>
      </c>
    </row>
    <row r="6629" spans="1:2" x14ac:dyDescent="0.2">
      <c r="A6629" s="8" t="s">
        <v>6652</v>
      </c>
      <c r="B6629" s="2" t="s">
        <v>12469</v>
      </c>
    </row>
    <row r="6630" spans="1:2" x14ac:dyDescent="0.2">
      <c r="A6630" s="8" t="s">
        <v>6653</v>
      </c>
      <c r="B6630" s="2" t="s">
        <v>12469</v>
      </c>
    </row>
    <row r="6631" spans="1:2" x14ac:dyDescent="0.2">
      <c r="A6631" s="8" t="s">
        <v>6654</v>
      </c>
      <c r="B6631" s="2" t="s">
        <v>12469</v>
      </c>
    </row>
    <row r="6632" spans="1:2" x14ac:dyDescent="0.2">
      <c r="A6632" s="8" t="s">
        <v>6655</v>
      </c>
      <c r="B6632" s="2" t="s">
        <v>12469</v>
      </c>
    </row>
    <row r="6633" spans="1:2" x14ac:dyDescent="0.2">
      <c r="A6633" s="8" t="s">
        <v>6656</v>
      </c>
      <c r="B6633" s="2" t="s">
        <v>12469</v>
      </c>
    </row>
    <row r="6634" spans="1:2" x14ac:dyDescent="0.2">
      <c r="A6634" s="8" t="s">
        <v>6657</v>
      </c>
      <c r="B6634" s="2" t="s">
        <v>12469</v>
      </c>
    </row>
    <row r="6635" spans="1:2" x14ac:dyDescent="0.2">
      <c r="A6635" s="8" t="s">
        <v>6658</v>
      </c>
      <c r="B6635" s="2" t="s">
        <v>12469</v>
      </c>
    </row>
    <row r="6636" spans="1:2" x14ac:dyDescent="0.2">
      <c r="A6636" s="8" t="s">
        <v>6659</v>
      </c>
      <c r="B6636" s="2" t="s">
        <v>12469</v>
      </c>
    </row>
    <row r="6637" spans="1:2" x14ac:dyDescent="0.2">
      <c r="A6637" s="8" t="s">
        <v>6660</v>
      </c>
      <c r="B6637" s="2" t="s">
        <v>12469</v>
      </c>
    </row>
    <row r="6638" spans="1:2" x14ac:dyDescent="0.2">
      <c r="A6638" s="8" t="s">
        <v>6661</v>
      </c>
      <c r="B6638" s="2" t="s">
        <v>12469</v>
      </c>
    </row>
    <row r="6639" spans="1:2" x14ac:dyDescent="0.2">
      <c r="A6639" s="8" t="s">
        <v>6662</v>
      </c>
      <c r="B6639" s="2" t="s">
        <v>12469</v>
      </c>
    </row>
    <row r="6640" spans="1:2" x14ac:dyDescent="0.2">
      <c r="A6640" s="8" t="s">
        <v>6663</v>
      </c>
      <c r="B6640" s="2" t="s">
        <v>12469</v>
      </c>
    </row>
    <row r="6641" spans="1:2" x14ac:dyDescent="0.2">
      <c r="A6641" s="8" t="s">
        <v>6664</v>
      </c>
      <c r="B6641" s="2" t="s">
        <v>12469</v>
      </c>
    </row>
    <row r="6642" spans="1:2" x14ac:dyDescent="0.2">
      <c r="A6642" s="8" t="s">
        <v>6665</v>
      </c>
      <c r="B6642" s="2" t="s">
        <v>12469</v>
      </c>
    </row>
    <row r="6643" spans="1:2" x14ac:dyDescent="0.2">
      <c r="A6643" s="8" t="s">
        <v>6666</v>
      </c>
      <c r="B6643" s="2" t="s">
        <v>12469</v>
      </c>
    </row>
    <row r="6644" spans="1:2" x14ac:dyDescent="0.2">
      <c r="A6644" s="8" t="s">
        <v>6667</v>
      </c>
      <c r="B6644" s="2" t="s">
        <v>12469</v>
      </c>
    </row>
    <row r="6645" spans="1:2" x14ac:dyDescent="0.2">
      <c r="A6645" s="8" t="s">
        <v>6668</v>
      </c>
      <c r="B6645" s="2" t="s">
        <v>12469</v>
      </c>
    </row>
    <row r="6646" spans="1:2" x14ac:dyDescent="0.2">
      <c r="A6646" s="8" t="s">
        <v>6669</v>
      </c>
      <c r="B6646" s="2" t="s">
        <v>12469</v>
      </c>
    </row>
    <row r="6647" spans="1:2" x14ac:dyDescent="0.2">
      <c r="A6647" s="8" t="s">
        <v>6670</v>
      </c>
      <c r="B6647" s="2" t="s">
        <v>12469</v>
      </c>
    </row>
    <row r="6648" spans="1:2" x14ac:dyDescent="0.2">
      <c r="A6648" s="8" t="s">
        <v>6671</v>
      </c>
      <c r="B6648" s="2" t="s">
        <v>12469</v>
      </c>
    </row>
    <row r="6649" spans="1:2" x14ac:dyDescent="0.2">
      <c r="A6649" s="8" t="s">
        <v>6672</v>
      </c>
      <c r="B6649" s="2" t="s">
        <v>12469</v>
      </c>
    </row>
    <row r="6650" spans="1:2" x14ac:dyDescent="0.2">
      <c r="A6650" s="8" t="s">
        <v>6673</v>
      </c>
      <c r="B6650" s="2" t="s">
        <v>12469</v>
      </c>
    </row>
    <row r="6651" spans="1:2" x14ac:dyDescent="0.2">
      <c r="A6651" s="8" t="s">
        <v>6674</v>
      </c>
      <c r="B6651" s="2" t="s">
        <v>12469</v>
      </c>
    </row>
    <row r="6652" spans="1:2" x14ac:dyDescent="0.2">
      <c r="A6652" s="8" t="s">
        <v>6675</v>
      </c>
      <c r="B6652" s="2" t="s">
        <v>12469</v>
      </c>
    </row>
    <row r="6653" spans="1:2" x14ac:dyDescent="0.2">
      <c r="A6653" s="8" t="s">
        <v>6676</v>
      </c>
      <c r="B6653" s="2" t="s">
        <v>12469</v>
      </c>
    </row>
    <row r="6654" spans="1:2" x14ac:dyDescent="0.2">
      <c r="A6654" s="8" t="s">
        <v>6677</v>
      </c>
      <c r="B6654" s="2" t="s">
        <v>12469</v>
      </c>
    </row>
    <row r="6655" spans="1:2" x14ac:dyDescent="0.2">
      <c r="A6655" s="8" t="s">
        <v>6678</v>
      </c>
      <c r="B6655" s="2" t="s">
        <v>12469</v>
      </c>
    </row>
    <row r="6656" spans="1:2" x14ac:dyDescent="0.2">
      <c r="A6656" s="8" t="s">
        <v>6679</v>
      </c>
      <c r="B6656" s="2" t="s">
        <v>12469</v>
      </c>
    </row>
    <row r="6657" spans="1:2" x14ac:dyDescent="0.2">
      <c r="A6657" s="8" t="s">
        <v>6680</v>
      </c>
      <c r="B6657" s="2" t="s">
        <v>12469</v>
      </c>
    </row>
    <row r="6658" spans="1:2" x14ac:dyDescent="0.2">
      <c r="A6658" s="8" t="s">
        <v>6681</v>
      </c>
      <c r="B6658" s="2" t="s">
        <v>12469</v>
      </c>
    </row>
    <row r="6659" spans="1:2" x14ac:dyDescent="0.2">
      <c r="A6659" s="8" t="s">
        <v>6682</v>
      </c>
      <c r="B6659" s="2" t="s">
        <v>12469</v>
      </c>
    </row>
    <row r="6660" spans="1:2" x14ac:dyDescent="0.2">
      <c r="A6660" s="8" t="s">
        <v>6683</v>
      </c>
      <c r="B6660" s="2" t="s">
        <v>12469</v>
      </c>
    </row>
    <row r="6661" spans="1:2" x14ac:dyDescent="0.2">
      <c r="A6661" s="8" t="s">
        <v>6684</v>
      </c>
      <c r="B6661" s="2" t="s">
        <v>12469</v>
      </c>
    </row>
    <row r="6662" spans="1:2" x14ac:dyDescent="0.2">
      <c r="A6662" s="8" t="s">
        <v>6685</v>
      </c>
      <c r="B6662" s="2" t="s">
        <v>12469</v>
      </c>
    </row>
    <row r="6663" spans="1:2" x14ac:dyDescent="0.2">
      <c r="A6663" s="8" t="s">
        <v>6686</v>
      </c>
      <c r="B6663" s="2" t="s">
        <v>12469</v>
      </c>
    </row>
    <row r="6664" spans="1:2" x14ac:dyDescent="0.2">
      <c r="A6664" s="8" t="s">
        <v>6687</v>
      </c>
      <c r="B6664" s="2" t="s">
        <v>12469</v>
      </c>
    </row>
    <row r="6665" spans="1:2" x14ac:dyDescent="0.2">
      <c r="A6665" s="8" t="s">
        <v>6688</v>
      </c>
      <c r="B6665" s="2" t="s">
        <v>12469</v>
      </c>
    </row>
    <row r="6666" spans="1:2" x14ac:dyDescent="0.2">
      <c r="A6666" s="8" t="s">
        <v>6689</v>
      </c>
      <c r="B6666" s="2" t="s">
        <v>12469</v>
      </c>
    </row>
    <row r="6667" spans="1:2" x14ac:dyDescent="0.2">
      <c r="A6667" s="8" t="s">
        <v>6690</v>
      </c>
      <c r="B6667" s="2" t="s">
        <v>12469</v>
      </c>
    </row>
    <row r="6668" spans="1:2" x14ac:dyDescent="0.2">
      <c r="A6668" s="8" t="s">
        <v>6691</v>
      </c>
      <c r="B6668" s="2" t="s">
        <v>12469</v>
      </c>
    </row>
    <row r="6669" spans="1:2" x14ac:dyDescent="0.2">
      <c r="A6669" s="8" t="s">
        <v>6692</v>
      </c>
      <c r="B6669" s="2" t="s">
        <v>12469</v>
      </c>
    </row>
    <row r="6670" spans="1:2" x14ac:dyDescent="0.2">
      <c r="A6670" s="8" t="s">
        <v>6693</v>
      </c>
      <c r="B6670" s="2" t="s">
        <v>12469</v>
      </c>
    </row>
    <row r="6671" spans="1:2" x14ac:dyDescent="0.2">
      <c r="A6671" s="8" t="s">
        <v>6694</v>
      </c>
      <c r="B6671" s="2" t="s">
        <v>12469</v>
      </c>
    </row>
    <row r="6672" spans="1:2" x14ac:dyDescent="0.2">
      <c r="A6672" s="8" t="s">
        <v>6695</v>
      </c>
      <c r="B6672" s="2" t="s">
        <v>12469</v>
      </c>
    </row>
    <row r="6673" spans="1:2" x14ac:dyDescent="0.2">
      <c r="A6673" s="8" t="s">
        <v>6696</v>
      </c>
      <c r="B6673" s="2" t="s">
        <v>12469</v>
      </c>
    </row>
    <row r="6674" spans="1:2" x14ac:dyDescent="0.2">
      <c r="A6674" s="8" t="s">
        <v>6697</v>
      </c>
      <c r="B6674" s="2" t="s">
        <v>12469</v>
      </c>
    </row>
    <row r="6675" spans="1:2" x14ac:dyDescent="0.2">
      <c r="A6675" s="8" t="s">
        <v>6698</v>
      </c>
      <c r="B6675" s="2" t="s">
        <v>12469</v>
      </c>
    </row>
    <row r="6676" spans="1:2" x14ac:dyDescent="0.2">
      <c r="A6676" s="8" t="s">
        <v>6699</v>
      </c>
      <c r="B6676" s="2" t="s">
        <v>12469</v>
      </c>
    </row>
    <row r="6677" spans="1:2" x14ac:dyDescent="0.2">
      <c r="A6677" s="8" t="s">
        <v>6700</v>
      </c>
      <c r="B6677" s="2" t="s">
        <v>12469</v>
      </c>
    </row>
    <row r="6678" spans="1:2" x14ac:dyDescent="0.2">
      <c r="A6678" s="8" t="s">
        <v>6701</v>
      </c>
      <c r="B6678" s="2" t="s">
        <v>12469</v>
      </c>
    </row>
    <row r="6679" spans="1:2" x14ac:dyDescent="0.2">
      <c r="A6679" s="8" t="s">
        <v>6702</v>
      </c>
      <c r="B6679" s="2" t="s">
        <v>12469</v>
      </c>
    </row>
    <row r="6680" spans="1:2" x14ac:dyDescent="0.2">
      <c r="A6680" s="8" t="s">
        <v>6703</v>
      </c>
      <c r="B6680" s="2" t="s">
        <v>12469</v>
      </c>
    </row>
    <row r="6681" spans="1:2" x14ac:dyDescent="0.2">
      <c r="A6681" s="8" t="s">
        <v>6704</v>
      </c>
      <c r="B6681" s="2" t="s">
        <v>12469</v>
      </c>
    </row>
    <row r="6682" spans="1:2" x14ac:dyDescent="0.2">
      <c r="A6682" s="8" t="s">
        <v>6705</v>
      </c>
      <c r="B6682" s="2" t="s">
        <v>12469</v>
      </c>
    </row>
    <row r="6683" spans="1:2" x14ac:dyDescent="0.2">
      <c r="A6683" s="8" t="s">
        <v>6706</v>
      </c>
      <c r="B6683" s="2" t="s">
        <v>12469</v>
      </c>
    </row>
    <row r="6684" spans="1:2" x14ac:dyDescent="0.2">
      <c r="A6684" s="8" t="s">
        <v>6707</v>
      </c>
      <c r="B6684" s="2" t="s">
        <v>12469</v>
      </c>
    </row>
    <row r="6685" spans="1:2" x14ac:dyDescent="0.2">
      <c r="A6685" s="8" t="s">
        <v>6708</v>
      </c>
      <c r="B6685" s="2" t="s">
        <v>12469</v>
      </c>
    </row>
    <row r="6686" spans="1:2" x14ac:dyDescent="0.2">
      <c r="A6686" s="8" t="s">
        <v>6709</v>
      </c>
      <c r="B6686" s="2" t="s">
        <v>12469</v>
      </c>
    </row>
    <row r="6687" spans="1:2" x14ac:dyDescent="0.2">
      <c r="A6687" s="8" t="s">
        <v>6710</v>
      </c>
      <c r="B6687" s="2" t="s">
        <v>12469</v>
      </c>
    </row>
    <row r="6688" spans="1:2" x14ac:dyDescent="0.2">
      <c r="A6688" s="8" t="s">
        <v>6711</v>
      </c>
      <c r="B6688" s="2" t="s">
        <v>12469</v>
      </c>
    </row>
    <row r="6689" spans="1:2" x14ac:dyDescent="0.2">
      <c r="A6689" s="8" t="s">
        <v>6712</v>
      </c>
      <c r="B6689" s="2" t="s">
        <v>12469</v>
      </c>
    </row>
    <row r="6690" spans="1:2" x14ac:dyDescent="0.2">
      <c r="A6690" s="8" t="s">
        <v>6713</v>
      </c>
      <c r="B6690" s="2" t="s">
        <v>12469</v>
      </c>
    </row>
    <row r="6691" spans="1:2" x14ac:dyDescent="0.2">
      <c r="A6691" s="8" t="s">
        <v>6714</v>
      </c>
      <c r="B6691" s="2" t="s">
        <v>12469</v>
      </c>
    </row>
    <row r="6692" spans="1:2" x14ac:dyDescent="0.2">
      <c r="A6692" s="8" t="s">
        <v>6715</v>
      </c>
      <c r="B6692" s="2" t="s">
        <v>12469</v>
      </c>
    </row>
    <row r="6693" spans="1:2" x14ac:dyDescent="0.2">
      <c r="A6693" s="8" t="s">
        <v>6716</v>
      </c>
      <c r="B6693" s="2" t="s">
        <v>12469</v>
      </c>
    </row>
    <row r="6694" spans="1:2" x14ac:dyDescent="0.2">
      <c r="A6694" s="8" t="s">
        <v>6717</v>
      </c>
      <c r="B6694" s="2" t="s">
        <v>12469</v>
      </c>
    </row>
    <row r="6695" spans="1:2" x14ac:dyDescent="0.2">
      <c r="A6695" s="8" t="s">
        <v>6718</v>
      </c>
      <c r="B6695" s="2" t="s">
        <v>12469</v>
      </c>
    </row>
    <row r="6696" spans="1:2" x14ac:dyDescent="0.2">
      <c r="A6696" s="8" t="s">
        <v>6719</v>
      </c>
      <c r="B6696" s="2" t="s">
        <v>12469</v>
      </c>
    </row>
    <row r="6697" spans="1:2" x14ac:dyDescent="0.2">
      <c r="A6697" s="8" t="s">
        <v>6720</v>
      </c>
      <c r="B6697" s="2" t="s">
        <v>12469</v>
      </c>
    </row>
    <row r="6698" spans="1:2" x14ac:dyDescent="0.2">
      <c r="A6698" s="8" t="s">
        <v>6721</v>
      </c>
      <c r="B6698" s="2" t="s">
        <v>12469</v>
      </c>
    </row>
    <row r="6699" spans="1:2" x14ac:dyDescent="0.2">
      <c r="A6699" s="8" t="s">
        <v>6722</v>
      </c>
      <c r="B6699" s="2" t="s">
        <v>12469</v>
      </c>
    </row>
    <row r="6700" spans="1:2" x14ac:dyDescent="0.2">
      <c r="A6700" s="8" t="s">
        <v>6723</v>
      </c>
      <c r="B6700" s="2" t="s">
        <v>12469</v>
      </c>
    </row>
    <row r="6701" spans="1:2" x14ac:dyDescent="0.2">
      <c r="A6701" s="8" t="s">
        <v>6724</v>
      </c>
      <c r="B6701" s="2" t="s">
        <v>12469</v>
      </c>
    </row>
    <row r="6702" spans="1:2" x14ac:dyDescent="0.2">
      <c r="A6702" s="8" t="s">
        <v>6725</v>
      </c>
      <c r="B6702" s="2" t="s">
        <v>12469</v>
      </c>
    </row>
    <row r="6703" spans="1:2" x14ac:dyDescent="0.2">
      <c r="A6703" s="8" t="s">
        <v>6726</v>
      </c>
      <c r="B6703" s="2" t="s">
        <v>12469</v>
      </c>
    </row>
    <row r="6704" spans="1:2" x14ac:dyDescent="0.2">
      <c r="A6704" s="8" t="s">
        <v>6727</v>
      </c>
      <c r="B6704" s="2" t="s">
        <v>12469</v>
      </c>
    </row>
    <row r="6705" spans="1:2" x14ac:dyDescent="0.2">
      <c r="A6705" s="8" t="s">
        <v>6728</v>
      </c>
      <c r="B6705" s="2" t="s">
        <v>12469</v>
      </c>
    </row>
    <row r="6706" spans="1:2" x14ac:dyDescent="0.2">
      <c r="A6706" s="8" t="s">
        <v>6729</v>
      </c>
      <c r="B6706" s="2" t="s">
        <v>12469</v>
      </c>
    </row>
    <row r="6707" spans="1:2" x14ac:dyDescent="0.2">
      <c r="A6707" s="8" t="s">
        <v>6730</v>
      </c>
      <c r="B6707" s="2" t="s">
        <v>12469</v>
      </c>
    </row>
    <row r="6708" spans="1:2" x14ac:dyDescent="0.2">
      <c r="A6708" s="8" t="s">
        <v>6731</v>
      </c>
      <c r="B6708" s="2" t="s">
        <v>12469</v>
      </c>
    </row>
    <row r="6709" spans="1:2" x14ac:dyDescent="0.2">
      <c r="A6709" s="8" t="s">
        <v>6732</v>
      </c>
      <c r="B6709" s="2" t="s">
        <v>12469</v>
      </c>
    </row>
    <row r="6710" spans="1:2" x14ac:dyDescent="0.2">
      <c r="A6710" s="8" t="s">
        <v>6733</v>
      </c>
      <c r="B6710" s="2" t="s">
        <v>12469</v>
      </c>
    </row>
    <row r="6711" spans="1:2" x14ac:dyDescent="0.2">
      <c r="A6711" s="8" t="s">
        <v>6734</v>
      </c>
      <c r="B6711" s="2" t="s">
        <v>12469</v>
      </c>
    </row>
    <row r="6712" spans="1:2" x14ac:dyDescent="0.2">
      <c r="A6712" s="8" t="s">
        <v>6735</v>
      </c>
      <c r="B6712" s="2" t="s">
        <v>12469</v>
      </c>
    </row>
    <row r="6713" spans="1:2" x14ac:dyDescent="0.2">
      <c r="A6713" s="8" t="s">
        <v>6736</v>
      </c>
      <c r="B6713" s="2" t="s">
        <v>12469</v>
      </c>
    </row>
    <row r="6714" spans="1:2" x14ac:dyDescent="0.2">
      <c r="A6714" s="8" t="s">
        <v>6737</v>
      </c>
      <c r="B6714" s="2" t="s">
        <v>12469</v>
      </c>
    </row>
    <row r="6715" spans="1:2" x14ac:dyDescent="0.2">
      <c r="A6715" s="8" t="s">
        <v>6738</v>
      </c>
      <c r="B6715" s="2" t="s">
        <v>12469</v>
      </c>
    </row>
    <row r="6716" spans="1:2" x14ac:dyDescent="0.2">
      <c r="A6716" s="8" t="s">
        <v>6739</v>
      </c>
      <c r="B6716" s="2" t="s">
        <v>12469</v>
      </c>
    </row>
    <row r="6717" spans="1:2" x14ac:dyDescent="0.2">
      <c r="A6717" s="8" t="s">
        <v>6740</v>
      </c>
      <c r="B6717" s="2" t="s">
        <v>12469</v>
      </c>
    </row>
    <row r="6718" spans="1:2" x14ac:dyDescent="0.2">
      <c r="A6718" s="8" t="s">
        <v>6741</v>
      </c>
      <c r="B6718" s="2" t="s">
        <v>12469</v>
      </c>
    </row>
    <row r="6719" spans="1:2" x14ac:dyDescent="0.2">
      <c r="A6719" s="8" t="s">
        <v>6742</v>
      </c>
      <c r="B6719" s="2" t="s">
        <v>12469</v>
      </c>
    </row>
    <row r="6720" spans="1:2" x14ac:dyDescent="0.2">
      <c r="A6720" s="8" t="s">
        <v>6743</v>
      </c>
      <c r="B6720" s="2" t="s">
        <v>12469</v>
      </c>
    </row>
    <row r="6721" spans="1:2" x14ac:dyDescent="0.2">
      <c r="A6721" s="8" t="s">
        <v>6744</v>
      </c>
      <c r="B6721" s="2" t="s">
        <v>12469</v>
      </c>
    </row>
    <row r="6722" spans="1:2" x14ac:dyDescent="0.2">
      <c r="A6722" s="8" t="s">
        <v>6745</v>
      </c>
      <c r="B6722" s="2" t="s">
        <v>12469</v>
      </c>
    </row>
    <row r="6723" spans="1:2" x14ac:dyDescent="0.2">
      <c r="A6723" s="8" t="s">
        <v>6746</v>
      </c>
      <c r="B6723" s="2" t="s">
        <v>12469</v>
      </c>
    </row>
    <row r="6724" spans="1:2" x14ac:dyDescent="0.2">
      <c r="A6724" s="8" t="s">
        <v>6747</v>
      </c>
      <c r="B6724" s="2" t="s">
        <v>12469</v>
      </c>
    </row>
    <row r="6725" spans="1:2" x14ac:dyDescent="0.2">
      <c r="A6725" s="8" t="s">
        <v>6748</v>
      </c>
      <c r="B6725" s="2" t="s">
        <v>12469</v>
      </c>
    </row>
    <row r="6726" spans="1:2" x14ac:dyDescent="0.2">
      <c r="A6726" s="8" t="s">
        <v>6749</v>
      </c>
      <c r="B6726" s="2" t="s">
        <v>12469</v>
      </c>
    </row>
    <row r="6727" spans="1:2" x14ac:dyDescent="0.2">
      <c r="A6727" s="8" t="s">
        <v>6750</v>
      </c>
      <c r="B6727" s="2" t="s">
        <v>12469</v>
      </c>
    </row>
    <row r="6728" spans="1:2" x14ac:dyDescent="0.2">
      <c r="A6728" s="8" t="s">
        <v>6751</v>
      </c>
      <c r="B6728" s="2" t="s">
        <v>12469</v>
      </c>
    </row>
    <row r="6729" spans="1:2" x14ac:dyDescent="0.2">
      <c r="A6729" s="8" t="s">
        <v>6752</v>
      </c>
      <c r="B6729" s="2" t="s">
        <v>12469</v>
      </c>
    </row>
    <row r="6730" spans="1:2" x14ac:dyDescent="0.2">
      <c r="A6730" s="8" t="s">
        <v>6753</v>
      </c>
      <c r="B6730" s="2" t="s">
        <v>12469</v>
      </c>
    </row>
    <row r="6731" spans="1:2" x14ac:dyDescent="0.2">
      <c r="A6731" s="8" t="s">
        <v>6754</v>
      </c>
      <c r="B6731" s="2" t="s">
        <v>12469</v>
      </c>
    </row>
    <row r="6732" spans="1:2" x14ac:dyDescent="0.2">
      <c r="A6732" s="8" t="s">
        <v>6755</v>
      </c>
      <c r="B6732" s="2" t="s">
        <v>12469</v>
      </c>
    </row>
    <row r="6733" spans="1:2" x14ac:dyDescent="0.2">
      <c r="A6733" s="8" t="s">
        <v>6756</v>
      </c>
      <c r="B6733" s="2" t="s">
        <v>12469</v>
      </c>
    </row>
    <row r="6734" spans="1:2" x14ac:dyDescent="0.2">
      <c r="A6734" s="8" t="s">
        <v>6757</v>
      </c>
      <c r="B6734" s="2" t="s">
        <v>12469</v>
      </c>
    </row>
    <row r="6735" spans="1:2" x14ac:dyDescent="0.2">
      <c r="A6735" s="8" t="s">
        <v>6758</v>
      </c>
      <c r="B6735" s="2" t="s">
        <v>12469</v>
      </c>
    </row>
    <row r="6736" spans="1:2" x14ac:dyDescent="0.2">
      <c r="A6736" s="8" t="s">
        <v>6759</v>
      </c>
      <c r="B6736" s="2" t="s">
        <v>12469</v>
      </c>
    </row>
    <row r="6737" spans="1:2" x14ac:dyDescent="0.2">
      <c r="A6737" s="8" t="s">
        <v>6760</v>
      </c>
      <c r="B6737" s="2" t="s">
        <v>12469</v>
      </c>
    </row>
    <row r="6738" spans="1:2" x14ac:dyDescent="0.2">
      <c r="A6738" s="8" t="s">
        <v>6761</v>
      </c>
      <c r="B6738" s="2" t="s">
        <v>12469</v>
      </c>
    </row>
    <row r="6739" spans="1:2" x14ac:dyDescent="0.2">
      <c r="A6739" s="8" t="s">
        <v>6762</v>
      </c>
      <c r="B6739" s="2" t="s">
        <v>12469</v>
      </c>
    </row>
    <row r="6740" spans="1:2" x14ac:dyDescent="0.2">
      <c r="A6740" s="8" t="s">
        <v>6763</v>
      </c>
      <c r="B6740" s="2" t="s">
        <v>12469</v>
      </c>
    </row>
    <row r="6741" spans="1:2" x14ac:dyDescent="0.2">
      <c r="A6741" s="8" t="s">
        <v>6764</v>
      </c>
      <c r="B6741" s="2" t="s">
        <v>12469</v>
      </c>
    </row>
    <row r="6742" spans="1:2" x14ac:dyDescent="0.2">
      <c r="A6742" s="8" t="s">
        <v>6765</v>
      </c>
      <c r="B6742" s="2" t="s">
        <v>12469</v>
      </c>
    </row>
    <row r="6743" spans="1:2" x14ac:dyDescent="0.2">
      <c r="A6743" s="8" t="s">
        <v>6766</v>
      </c>
      <c r="B6743" s="2" t="s">
        <v>12469</v>
      </c>
    </row>
    <row r="6744" spans="1:2" x14ac:dyDescent="0.2">
      <c r="A6744" s="8" t="s">
        <v>6767</v>
      </c>
      <c r="B6744" s="2" t="s">
        <v>12469</v>
      </c>
    </row>
    <row r="6745" spans="1:2" x14ac:dyDescent="0.2">
      <c r="A6745" s="8" t="s">
        <v>6768</v>
      </c>
      <c r="B6745" s="2" t="s">
        <v>12469</v>
      </c>
    </row>
    <row r="6746" spans="1:2" x14ac:dyDescent="0.2">
      <c r="A6746" s="8" t="s">
        <v>6769</v>
      </c>
      <c r="B6746" s="2" t="s">
        <v>12469</v>
      </c>
    </row>
    <row r="6747" spans="1:2" x14ac:dyDescent="0.2">
      <c r="A6747" s="8" t="s">
        <v>6770</v>
      </c>
      <c r="B6747" s="2" t="s">
        <v>12469</v>
      </c>
    </row>
    <row r="6748" spans="1:2" x14ac:dyDescent="0.2">
      <c r="A6748" s="8" t="s">
        <v>6771</v>
      </c>
      <c r="B6748" s="2" t="s">
        <v>12469</v>
      </c>
    </row>
    <row r="6749" spans="1:2" x14ac:dyDescent="0.2">
      <c r="A6749" s="8" t="s">
        <v>6772</v>
      </c>
      <c r="B6749" s="2" t="s">
        <v>12469</v>
      </c>
    </row>
    <row r="6750" spans="1:2" x14ac:dyDescent="0.2">
      <c r="A6750" s="8" t="s">
        <v>6773</v>
      </c>
      <c r="B6750" s="2" t="s">
        <v>12469</v>
      </c>
    </row>
    <row r="6751" spans="1:2" x14ac:dyDescent="0.2">
      <c r="A6751" s="8" t="s">
        <v>6774</v>
      </c>
      <c r="B6751" s="2" t="s">
        <v>12469</v>
      </c>
    </row>
    <row r="6752" spans="1:2" x14ac:dyDescent="0.2">
      <c r="A6752" s="8" t="s">
        <v>6775</v>
      </c>
      <c r="B6752" s="2" t="s">
        <v>12469</v>
      </c>
    </row>
    <row r="6753" spans="1:2" x14ac:dyDescent="0.2">
      <c r="A6753" s="8" t="s">
        <v>6776</v>
      </c>
      <c r="B6753" s="2" t="s">
        <v>12469</v>
      </c>
    </row>
    <row r="6754" spans="1:2" x14ac:dyDescent="0.2">
      <c r="A6754" s="8" t="s">
        <v>6777</v>
      </c>
      <c r="B6754" s="2" t="s">
        <v>12469</v>
      </c>
    </row>
    <row r="6755" spans="1:2" x14ac:dyDescent="0.2">
      <c r="A6755" s="8" t="s">
        <v>6778</v>
      </c>
      <c r="B6755" s="2" t="s">
        <v>12469</v>
      </c>
    </row>
    <row r="6756" spans="1:2" x14ac:dyDescent="0.2">
      <c r="A6756" s="8" t="s">
        <v>6779</v>
      </c>
      <c r="B6756" s="2" t="s">
        <v>12469</v>
      </c>
    </row>
    <row r="6757" spans="1:2" x14ac:dyDescent="0.2">
      <c r="A6757" s="8" t="s">
        <v>6780</v>
      </c>
      <c r="B6757" s="2" t="s">
        <v>12469</v>
      </c>
    </row>
    <row r="6758" spans="1:2" x14ac:dyDescent="0.2">
      <c r="A6758" s="8" t="s">
        <v>6781</v>
      </c>
      <c r="B6758" s="2" t="s">
        <v>12469</v>
      </c>
    </row>
    <row r="6759" spans="1:2" x14ac:dyDescent="0.2">
      <c r="A6759" s="8" t="s">
        <v>6782</v>
      </c>
      <c r="B6759" s="2" t="s">
        <v>12469</v>
      </c>
    </row>
    <row r="6760" spans="1:2" x14ac:dyDescent="0.2">
      <c r="A6760" s="8" t="s">
        <v>6783</v>
      </c>
      <c r="B6760" s="2" t="s">
        <v>12469</v>
      </c>
    </row>
    <row r="6761" spans="1:2" x14ac:dyDescent="0.2">
      <c r="A6761" s="8" t="s">
        <v>6784</v>
      </c>
      <c r="B6761" s="2" t="s">
        <v>12469</v>
      </c>
    </row>
    <row r="6762" spans="1:2" x14ac:dyDescent="0.2">
      <c r="A6762" s="8" t="s">
        <v>6785</v>
      </c>
      <c r="B6762" s="2" t="s">
        <v>12469</v>
      </c>
    </row>
    <row r="6763" spans="1:2" x14ac:dyDescent="0.2">
      <c r="A6763" s="8" t="s">
        <v>6786</v>
      </c>
      <c r="B6763" s="2" t="s">
        <v>12469</v>
      </c>
    </row>
    <row r="6764" spans="1:2" x14ac:dyDescent="0.2">
      <c r="A6764" s="8" t="s">
        <v>6787</v>
      </c>
      <c r="B6764" s="2" t="s">
        <v>12469</v>
      </c>
    </row>
    <row r="6765" spans="1:2" x14ac:dyDescent="0.2">
      <c r="A6765" s="8" t="s">
        <v>6788</v>
      </c>
      <c r="B6765" s="2" t="s">
        <v>12469</v>
      </c>
    </row>
    <row r="6766" spans="1:2" x14ac:dyDescent="0.2">
      <c r="A6766" s="8" t="s">
        <v>6789</v>
      </c>
      <c r="B6766" s="2" t="s">
        <v>12469</v>
      </c>
    </row>
    <row r="6767" spans="1:2" x14ac:dyDescent="0.2">
      <c r="A6767" s="8" t="s">
        <v>6790</v>
      </c>
      <c r="B6767" s="2" t="s">
        <v>12469</v>
      </c>
    </row>
    <row r="6768" spans="1:2" x14ac:dyDescent="0.2">
      <c r="A6768" s="8" t="s">
        <v>6791</v>
      </c>
      <c r="B6768" s="2" t="s">
        <v>12469</v>
      </c>
    </row>
    <row r="6769" spans="1:2" x14ac:dyDescent="0.2">
      <c r="A6769" s="8" t="s">
        <v>6792</v>
      </c>
      <c r="B6769" s="2" t="s">
        <v>12469</v>
      </c>
    </row>
    <row r="6770" spans="1:2" x14ac:dyDescent="0.2">
      <c r="A6770" s="8" t="s">
        <v>6793</v>
      </c>
      <c r="B6770" s="2" t="s">
        <v>12469</v>
      </c>
    </row>
    <row r="6771" spans="1:2" x14ac:dyDescent="0.2">
      <c r="A6771" s="8" t="s">
        <v>6794</v>
      </c>
      <c r="B6771" s="2" t="s">
        <v>12469</v>
      </c>
    </row>
    <row r="6772" spans="1:2" x14ac:dyDescent="0.2">
      <c r="A6772" s="8" t="s">
        <v>6795</v>
      </c>
      <c r="B6772" s="2" t="s">
        <v>12469</v>
      </c>
    </row>
    <row r="6773" spans="1:2" x14ac:dyDescent="0.2">
      <c r="A6773" s="8" t="s">
        <v>6796</v>
      </c>
      <c r="B6773" s="2" t="s">
        <v>12469</v>
      </c>
    </row>
    <row r="6774" spans="1:2" x14ac:dyDescent="0.2">
      <c r="A6774" s="8" t="s">
        <v>6797</v>
      </c>
      <c r="B6774" s="2" t="s">
        <v>12469</v>
      </c>
    </row>
    <row r="6775" spans="1:2" x14ac:dyDescent="0.2">
      <c r="A6775" s="8" t="s">
        <v>6798</v>
      </c>
      <c r="B6775" s="2" t="s">
        <v>12469</v>
      </c>
    </row>
    <row r="6776" spans="1:2" x14ac:dyDescent="0.2">
      <c r="A6776" s="8" t="s">
        <v>6799</v>
      </c>
      <c r="B6776" s="2" t="s">
        <v>12469</v>
      </c>
    </row>
    <row r="6777" spans="1:2" x14ac:dyDescent="0.2">
      <c r="A6777" s="8" t="s">
        <v>6800</v>
      </c>
      <c r="B6777" s="2" t="s">
        <v>12469</v>
      </c>
    </row>
    <row r="6778" spans="1:2" x14ac:dyDescent="0.2">
      <c r="A6778" s="8" t="s">
        <v>6801</v>
      </c>
      <c r="B6778" s="2" t="s">
        <v>12469</v>
      </c>
    </row>
    <row r="6779" spans="1:2" x14ac:dyDescent="0.2">
      <c r="A6779" s="8" t="s">
        <v>6802</v>
      </c>
      <c r="B6779" s="2" t="s">
        <v>12469</v>
      </c>
    </row>
    <row r="6780" spans="1:2" x14ac:dyDescent="0.2">
      <c r="A6780" s="8" t="s">
        <v>6803</v>
      </c>
      <c r="B6780" s="2" t="s">
        <v>12469</v>
      </c>
    </row>
    <row r="6781" spans="1:2" x14ac:dyDescent="0.2">
      <c r="A6781" s="8" t="s">
        <v>6804</v>
      </c>
      <c r="B6781" s="2" t="s">
        <v>12469</v>
      </c>
    </row>
    <row r="6782" spans="1:2" x14ac:dyDescent="0.2">
      <c r="A6782" s="8" t="s">
        <v>6805</v>
      </c>
      <c r="B6782" s="2" t="s">
        <v>12469</v>
      </c>
    </row>
    <row r="6783" spans="1:2" x14ac:dyDescent="0.2">
      <c r="A6783" s="8" t="s">
        <v>6806</v>
      </c>
      <c r="B6783" s="2" t="s">
        <v>12469</v>
      </c>
    </row>
    <row r="6784" spans="1:2" x14ac:dyDescent="0.2">
      <c r="A6784" s="8" t="s">
        <v>6807</v>
      </c>
      <c r="B6784" s="2" t="s">
        <v>12469</v>
      </c>
    </row>
    <row r="6785" spans="1:2" x14ac:dyDescent="0.2">
      <c r="A6785" s="8" t="s">
        <v>6808</v>
      </c>
      <c r="B6785" s="2" t="s">
        <v>12469</v>
      </c>
    </row>
    <row r="6786" spans="1:2" x14ac:dyDescent="0.2">
      <c r="A6786" s="8" t="s">
        <v>6809</v>
      </c>
      <c r="B6786" s="2" t="s">
        <v>12469</v>
      </c>
    </row>
    <row r="6787" spans="1:2" x14ac:dyDescent="0.2">
      <c r="A6787" s="8" t="s">
        <v>6810</v>
      </c>
      <c r="B6787" s="2" t="s">
        <v>12469</v>
      </c>
    </row>
    <row r="6788" spans="1:2" x14ac:dyDescent="0.2">
      <c r="A6788" s="8" t="s">
        <v>6811</v>
      </c>
      <c r="B6788" s="2" t="s">
        <v>12469</v>
      </c>
    </row>
    <row r="6789" spans="1:2" x14ac:dyDescent="0.2">
      <c r="A6789" s="8" t="s">
        <v>6812</v>
      </c>
      <c r="B6789" s="2" t="s">
        <v>12469</v>
      </c>
    </row>
    <row r="6790" spans="1:2" x14ac:dyDescent="0.2">
      <c r="A6790" s="8" t="s">
        <v>6813</v>
      </c>
      <c r="B6790" s="2" t="s">
        <v>12469</v>
      </c>
    </row>
    <row r="6791" spans="1:2" x14ac:dyDescent="0.2">
      <c r="A6791" s="8" t="s">
        <v>6814</v>
      </c>
      <c r="B6791" s="2" t="s">
        <v>12469</v>
      </c>
    </row>
    <row r="6792" spans="1:2" x14ac:dyDescent="0.2">
      <c r="A6792" s="8" t="s">
        <v>6815</v>
      </c>
      <c r="B6792" s="2" t="s">
        <v>12469</v>
      </c>
    </row>
    <row r="6793" spans="1:2" x14ac:dyDescent="0.2">
      <c r="A6793" s="8" t="s">
        <v>6816</v>
      </c>
      <c r="B6793" s="2" t="s">
        <v>12469</v>
      </c>
    </row>
    <row r="6794" spans="1:2" x14ac:dyDescent="0.2">
      <c r="A6794" s="8" t="s">
        <v>6817</v>
      </c>
      <c r="B6794" s="2" t="s">
        <v>12469</v>
      </c>
    </row>
    <row r="6795" spans="1:2" x14ac:dyDescent="0.2">
      <c r="A6795" s="8" t="s">
        <v>6818</v>
      </c>
      <c r="B6795" s="2" t="s">
        <v>12469</v>
      </c>
    </row>
    <row r="6796" spans="1:2" x14ac:dyDescent="0.2">
      <c r="A6796" s="8" t="s">
        <v>6819</v>
      </c>
      <c r="B6796" s="2" t="s">
        <v>12469</v>
      </c>
    </row>
    <row r="6797" spans="1:2" x14ac:dyDescent="0.2">
      <c r="A6797" s="8" t="s">
        <v>6820</v>
      </c>
      <c r="B6797" s="2" t="s">
        <v>12469</v>
      </c>
    </row>
    <row r="6798" spans="1:2" x14ac:dyDescent="0.2">
      <c r="A6798" s="8" t="s">
        <v>6821</v>
      </c>
      <c r="B6798" s="2" t="s">
        <v>12469</v>
      </c>
    </row>
    <row r="6799" spans="1:2" x14ac:dyDescent="0.2">
      <c r="A6799" s="8" t="s">
        <v>6822</v>
      </c>
      <c r="B6799" s="2" t="s">
        <v>12469</v>
      </c>
    </row>
    <row r="6800" spans="1:2" x14ac:dyDescent="0.2">
      <c r="A6800" s="8" t="s">
        <v>6823</v>
      </c>
      <c r="B6800" s="2" t="s">
        <v>12469</v>
      </c>
    </row>
    <row r="6801" spans="1:2" x14ac:dyDescent="0.2">
      <c r="A6801" s="8" t="s">
        <v>6824</v>
      </c>
      <c r="B6801" s="2" t="s">
        <v>12469</v>
      </c>
    </row>
    <row r="6802" spans="1:2" x14ac:dyDescent="0.2">
      <c r="A6802" s="8" t="s">
        <v>6825</v>
      </c>
      <c r="B6802" s="2" t="s">
        <v>12469</v>
      </c>
    </row>
    <row r="6803" spans="1:2" x14ac:dyDescent="0.2">
      <c r="A6803" s="8" t="s">
        <v>6826</v>
      </c>
      <c r="B6803" s="2" t="s">
        <v>12469</v>
      </c>
    </row>
    <row r="6804" spans="1:2" x14ac:dyDescent="0.2">
      <c r="A6804" s="8" t="s">
        <v>6827</v>
      </c>
      <c r="B6804" s="2" t="s">
        <v>12469</v>
      </c>
    </row>
    <row r="6805" spans="1:2" x14ac:dyDescent="0.2">
      <c r="A6805" s="8" t="s">
        <v>6828</v>
      </c>
      <c r="B6805" s="2" t="s">
        <v>12469</v>
      </c>
    </row>
    <row r="6806" spans="1:2" x14ac:dyDescent="0.2">
      <c r="A6806" s="8" t="s">
        <v>6829</v>
      </c>
      <c r="B6806" s="2" t="s">
        <v>12469</v>
      </c>
    </row>
    <row r="6807" spans="1:2" x14ac:dyDescent="0.2">
      <c r="A6807" s="8" t="s">
        <v>6830</v>
      </c>
      <c r="B6807" s="2" t="s">
        <v>12469</v>
      </c>
    </row>
    <row r="6808" spans="1:2" x14ac:dyDescent="0.2">
      <c r="A6808" s="8" t="s">
        <v>6831</v>
      </c>
      <c r="B6808" s="2" t="s">
        <v>12469</v>
      </c>
    </row>
    <row r="6809" spans="1:2" x14ac:dyDescent="0.2">
      <c r="A6809" s="8" t="s">
        <v>6832</v>
      </c>
      <c r="B6809" s="2" t="s">
        <v>12469</v>
      </c>
    </row>
    <row r="6810" spans="1:2" x14ac:dyDescent="0.2">
      <c r="A6810" s="8" t="s">
        <v>6833</v>
      </c>
      <c r="B6810" s="2" t="s">
        <v>12469</v>
      </c>
    </row>
    <row r="6811" spans="1:2" x14ac:dyDescent="0.2">
      <c r="A6811" s="8" t="s">
        <v>6834</v>
      </c>
      <c r="B6811" s="2" t="s">
        <v>12469</v>
      </c>
    </row>
    <row r="6812" spans="1:2" x14ac:dyDescent="0.2">
      <c r="A6812" s="8" t="s">
        <v>6835</v>
      </c>
      <c r="B6812" s="2" t="s">
        <v>12469</v>
      </c>
    </row>
    <row r="6813" spans="1:2" x14ac:dyDescent="0.2">
      <c r="A6813" s="8" t="s">
        <v>6836</v>
      </c>
      <c r="B6813" s="2" t="s">
        <v>12469</v>
      </c>
    </row>
    <row r="6814" spans="1:2" x14ac:dyDescent="0.2">
      <c r="A6814" s="8" t="s">
        <v>6837</v>
      </c>
      <c r="B6814" s="2" t="s">
        <v>12469</v>
      </c>
    </row>
    <row r="6815" spans="1:2" x14ac:dyDescent="0.2">
      <c r="A6815" s="8" t="s">
        <v>6838</v>
      </c>
      <c r="B6815" s="2" t="s">
        <v>12469</v>
      </c>
    </row>
    <row r="6816" spans="1:2" x14ac:dyDescent="0.2">
      <c r="A6816" s="8" t="s">
        <v>6839</v>
      </c>
      <c r="B6816" s="2" t="s">
        <v>12469</v>
      </c>
    </row>
    <row r="6817" spans="1:2" x14ac:dyDescent="0.2">
      <c r="A6817" s="8" t="s">
        <v>6840</v>
      </c>
      <c r="B6817" s="2" t="s">
        <v>12469</v>
      </c>
    </row>
    <row r="6818" spans="1:2" x14ac:dyDescent="0.2">
      <c r="A6818" s="8" t="s">
        <v>6841</v>
      </c>
      <c r="B6818" s="2" t="s">
        <v>12469</v>
      </c>
    </row>
    <row r="6819" spans="1:2" x14ac:dyDescent="0.2">
      <c r="A6819" s="8" t="s">
        <v>6842</v>
      </c>
      <c r="B6819" s="2" t="s">
        <v>12469</v>
      </c>
    </row>
    <row r="6820" spans="1:2" x14ac:dyDescent="0.2">
      <c r="A6820" s="8" t="s">
        <v>6843</v>
      </c>
      <c r="B6820" s="2" t="s">
        <v>12469</v>
      </c>
    </row>
    <row r="6821" spans="1:2" x14ac:dyDescent="0.2">
      <c r="A6821" s="8" t="s">
        <v>6844</v>
      </c>
      <c r="B6821" s="2" t="s">
        <v>12469</v>
      </c>
    </row>
    <row r="6822" spans="1:2" x14ac:dyDescent="0.2">
      <c r="A6822" s="8" t="s">
        <v>6845</v>
      </c>
      <c r="B6822" s="2" t="s">
        <v>12469</v>
      </c>
    </row>
    <row r="6823" spans="1:2" x14ac:dyDescent="0.2">
      <c r="A6823" s="8" t="s">
        <v>6846</v>
      </c>
      <c r="B6823" s="2" t="s">
        <v>12469</v>
      </c>
    </row>
    <row r="6824" spans="1:2" x14ac:dyDescent="0.2">
      <c r="A6824" s="8" t="s">
        <v>6847</v>
      </c>
      <c r="B6824" s="2" t="s">
        <v>12469</v>
      </c>
    </row>
    <row r="6825" spans="1:2" x14ac:dyDescent="0.2">
      <c r="A6825" s="8" t="s">
        <v>6848</v>
      </c>
      <c r="B6825" s="2" t="s">
        <v>12469</v>
      </c>
    </row>
    <row r="6826" spans="1:2" x14ac:dyDescent="0.2">
      <c r="A6826" s="8" t="s">
        <v>6849</v>
      </c>
      <c r="B6826" s="2" t="s">
        <v>12469</v>
      </c>
    </row>
    <row r="6827" spans="1:2" x14ac:dyDescent="0.2">
      <c r="A6827" s="8" t="s">
        <v>6850</v>
      </c>
      <c r="B6827" s="2" t="s">
        <v>12469</v>
      </c>
    </row>
    <row r="6828" spans="1:2" x14ac:dyDescent="0.2">
      <c r="A6828" s="8" t="s">
        <v>6851</v>
      </c>
      <c r="B6828" s="2" t="s">
        <v>12469</v>
      </c>
    </row>
    <row r="6829" spans="1:2" x14ac:dyDescent="0.2">
      <c r="A6829" s="8" t="s">
        <v>6852</v>
      </c>
      <c r="B6829" s="2" t="s">
        <v>12469</v>
      </c>
    </row>
    <row r="6830" spans="1:2" x14ac:dyDescent="0.2">
      <c r="A6830" s="8" t="s">
        <v>6853</v>
      </c>
      <c r="B6830" s="2" t="s">
        <v>12469</v>
      </c>
    </row>
    <row r="6831" spans="1:2" x14ac:dyDescent="0.2">
      <c r="A6831" s="8" t="s">
        <v>6854</v>
      </c>
      <c r="B6831" s="2" t="s">
        <v>12469</v>
      </c>
    </row>
    <row r="6832" spans="1:2" x14ac:dyDescent="0.2">
      <c r="A6832" s="8" t="s">
        <v>6855</v>
      </c>
      <c r="B6832" s="2" t="s">
        <v>12469</v>
      </c>
    </row>
    <row r="6833" spans="1:2" x14ac:dyDescent="0.2">
      <c r="A6833" s="8" t="s">
        <v>6856</v>
      </c>
      <c r="B6833" s="2" t="s">
        <v>12469</v>
      </c>
    </row>
    <row r="6834" spans="1:2" x14ac:dyDescent="0.2">
      <c r="A6834" s="8" t="s">
        <v>6857</v>
      </c>
      <c r="B6834" s="2" t="s">
        <v>12469</v>
      </c>
    </row>
    <row r="6835" spans="1:2" x14ac:dyDescent="0.2">
      <c r="A6835" s="8" t="s">
        <v>6858</v>
      </c>
      <c r="B6835" s="2" t="s">
        <v>12469</v>
      </c>
    </row>
    <row r="6836" spans="1:2" x14ac:dyDescent="0.2">
      <c r="A6836" s="8" t="s">
        <v>6859</v>
      </c>
      <c r="B6836" s="2" t="s">
        <v>12469</v>
      </c>
    </row>
    <row r="6837" spans="1:2" x14ac:dyDescent="0.2">
      <c r="A6837" s="8" t="s">
        <v>6860</v>
      </c>
      <c r="B6837" s="2" t="s">
        <v>12469</v>
      </c>
    </row>
    <row r="6838" spans="1:2" x14ac:dyDescent="0.2">
      <c r="A6838" s="8" t="s">
        <v>6861</v>
      </c>
      <c r="B6838" s="2" t="s">
        <v>12469</v>
      </c>
    </row>
    <row r="6839" spans="1:2" x14ac:dyDescent="0.2">
      <c r="A6839" s="8" t="s">
        <v>6862</v>
      </c>
      <c r="B6839" s="2" t="s">
        <v>12469</v>
      </c>
    </row>
    <row r="6840" spans="1:2" x14ac:dyDescent="0.2">
      <c r="A6840" s="8" t="s">
        <v>6863</v>
      </c>
      <c r="B6840" s="2" t="s">
        <v>12469</v>
      </c>
    </row>
    <row r="6841" spans="1:2" x14ac:dyDescent="0.2">
      <c r="A6841" s="8" t="s">
        <v>6864</v>
      </c>
      <c r="B6841" s="2" t="s">
        <v>12469</v>
      </c>
    </row>
    <row r="6842" spans="1:2" x14ac:dyDescent="0.2">
      <c r="A6842" s="8" t="s">
        <v>6865</v>
      </c>
      <c r="B6842" s="2" t="s">
        <v>12469</v>
      </c>
    </row>
    <row r="6843" spans="1:2" x14ac:dyDescent="0.2">
      <c r="A6843" s="8" t="s">
        <v>6866</v>
      </c>
      <c r="B6843" s="2" t="s">
        <v>12469</v>
      </c>
    </row>
    <row r="6844" spans="1:2" x14ac:dyDescent="0.2">
      <c r="A6844" s="8" t="s">
        <v>6867</v>
      </c>
      <c r="B6844" s="2" t="s">
        <v>12469</v>
      </c>
    </row>
    <row r="6845" spans="1:2" x14ac:dyDescent="0.2">
      <c r="A6845" s="8" t="s">
        <v>6868</v>
      </c>
      <c r="B6845" s="2" t="s">
        <v>12469</v>
      </c>
    </row>
    <row r="6846" spans="1:2" x14ac:dyDescent="0.2">
      <c r="A6846" s="8" t="s">
        <v>6869</v>
      </c>
      <c r="B6846" s="2" t="s">
        <v>12469</v>
      </c>
    </row>
    <row r="6847" spans="1:2" x14ac:dyDescent="0.2">
      <c r="A6847" s="8" t="s">
        <v>6870</v>
      </c>
      <c r="B6847" s="2" t="s">
        <v>12469</v>
      </c>
    </row>
    <row r="6848" spans="1:2" x14ac:dyDescent="0.2">
      <c r="A6848" s="8" t="s">
        <v>6871</v>
      </c>
      <c r="B6848" s="2" t="s">
        <v>12469</v>
      </c>
    </row>
    <row r="6849" spans="1:2" x14ac:dyDescent="0.2">
      <c r="A6849" s="8" t="s">
        <v>6872</v>
      </c>
      <c r="B6849" s="2" t="s">
        <v>12469</v>
      </c>
    </row>
    <row r="6850" spans="1:2" x14ac:dyDescent="0.2">
      <c r="A6850" s="8" t="s">
        <v>6873</v>
      </c>
      <c r="B6850" s="2" t="s">
        <v>12469</v>
      </c>
    </row>
    <row r="6851" spans="1:2" x14ac:dyDescent="0.2">
      <c r="A6851" s="8" t="s">
        <v>6874</v>
      </c>
      <c r="B6851" s="2" t="s">
        <v>12469</v>
      </c>
    </row>
    <row r="6852" spans="1:2" x14ac:dyDescent="0.2">
      <c r="A6852" s="8" t="s">
        <v>6875</v>
      </c>
      <c r="B6852" s="2" t="s">
        <v>12469</v>
      </c>
    </row>
    <row r="6853" spans="1:2" x14ac:dyDescent="0.2">
      <c r="A6853" s="8" t="s">
        <v>6876</v>
      </c>
      <c r="B6853" s="2" t="s">
        <v>12469</v>
      </c>
    </row>
    <row r="6854" spans="1:2" x14ac:dyDescent="0.2">
      <c r="A6854" s="8" t="s">
        <v>6877</v>
      </c>
      <c r="B6854" s="2" t="s">
        <v>12469</v>
      </c>
    </row>
    <row r="6855" spans="1:2" x14ac:dyDescent="0.2">
      <c r="A6855" s="8" t="s">
        <v>6878</v>
      </c>
      <c r="B6855" s="2" t="s">
        <v>12469</v>
      </c>
    </row>
    <row r="6856" spans="1:2" x14ac:dyDescent="0.2">
      <c r="A6856" s="8" t="s">
        <v>6879</v>
      </c>
      <c r="B6856" s="2" t="s">
        <v>12469</v>
      </c>
    </row>
    <row r="6857" spans="1:2" x14ac:dyDescent="0.2">
      <c r="A6857" s="8" t="s">
        <v>6880</v>
      </c>
      <c r="B6857" s="2" t="s">
        <v>12469</v>
      </c>
    </row>
    <row r="6858" spans="1:2" x14ac:dyDescent="0.2">
      <c r="A6858" s="8" t="s">
        <v>6881</v>
      </c>
      <c r="B6858" s="2" t="s">
        <v>12469</v>
      </c>
    </row>
    <row r="6859" spans="1:2" x14ac:dyDescent="0.2">
      <c r="A6859" s="8" t="s">
        <v>6882</v>
      </c>
      <c r="B6859" s="2" t="s">
        <v>12469</v>
      </c>
    </row>
    <row r="6860" spans="1:2" x14ac:dyDescent="0.2">
      <c r="A6860" s="8" t="s">
        <v>6883</v>
      </c>
      <c r="B6860" s="2" t="s">
        <v>12469</v>
      </c>
    </row>
    <row r="6861" spans="1:2" x14ac:dyDescent="0.2">
      <c r="A6861" s="8" t="s">
        <v>6884</v>
      </c>
      <c r="B6861" s="2" t="s">
        <v>12469</v>
      </c>
    </row>
    <row r="6862" spans="1:2" x14ac:dyDescent="0.2">
      <c r="A6862" s="8" t="s">
        <v>6885</v>
      </c>
      <c r="B6862" s="2" t="s">
        <v>12469</v>
      </c>
    </row>
    <row r="6863" spans="1:2" x14ac:dyDescent="0.2">
      <c r="A6863" s="8" t="s">
        <v>6886</v>
      </c>
      <c r="B6863" s="2" t="s">
        <v>12469</v>
      </c>
    </row>
    <row r="6864" spans="1:2" x14ac:dyDescent="0.2">
      <c r="A6864" s="8" t="s">
        <v>6887</v>
      </c>
      <c r="B6864" s="2" t="s">
        <v>12469</v>
      </c>
    </row>
    <row r="6865" spans="1:2" x14ac:dyDescent="0.2">
      <c r="A6865" s="8" t="s">
        <v>6888</v>
      </c>
      <c r="B6865" s="2" t="s">
        <v>12469</v>
      </c>
    </row>
    <row r="6866" spans="1:2" x14ac:dyDescent="0.2">
      <c r="A6866" s="8" t="s">
        <v>6889</v>
      </c>
      <c r="B6866" s="2" t="s">
        <v>12469</v>
      </c>
    </row>
    <row r="6867" spans="1:2" x14ac:dyDescent="0.2">
      <c r="A6867" s="8" t="s">
        <v>6890</v>
      </c>
      <c r="B6867" s="2" t="s">
        <v>12469</v>
      </c>
    </row>
    <row r="6868" spans="1:2" x14ac:dyDescent="0.2">
      <c r="A6868" s="8" t="s">
        <v>6891</v>
      </c>
      <c r="B6868" s="2" t="s">
        <v>12469</v>
      </c>
    </row>
    <row r="6869" spans="1:2" x14ac:dyDescent="0.2">
      <c r="A6869" s="8" t="s">
        <v>6892</v>
      </c>
      <c r="B6869" s="2" t="s">
        <v>12469</v>
      </c>
    </row>
    <row r="6870" spans="1:2" x14ac:dyDescent="0.2">
      <c r="A6870" s="8" t="s">
        <v>6893</v>
      </c>
      <c r="B6870" s="2" t="s">
        <v>12469</v>
      </c>
    </row>
    <row r="6871" spans="1:2" x14ac:dyDescent="0.2">
      <c r="A6871" s="8" t="s">
        <v>6894</v>
      </c>
      <c r="B6871" s="2" t="s">
        <v>12469</v>
      </c>
    </row>
    <row r="6872" spans="1:2" x14ac:dyDescent="0.2">
      <c r="A6872" s="8" t="s">
        <v>6895</v>
      </c>
      <c r="B6872" s="2" t="s">
        <v>12469</v>
      </c>
    </row>
    <row r="6873" spans="1:2" x14ac:dyDescent="0.2">
      <c r="A6873" s="8" t="s">
        <v>6896</v>
      </c>
      <c r="B6873" s="2" t="s">
        <v>12469</v>
      </c>
    </row>
    <row r="6874" spans="1:2" x14ac:dyDescent="0.2">
      <c r="A6874" s="8" t="s">
        <v>6897</v>
      </c>
      <c r="B6874" s="2" t="s">
        <v>12469</v>
      </c>
    </row>
    <row r="6875" spans="1:2" x14ac:dyDescent="0.2">
      <c r="A6875" s="8" t="s">
        <v>6898</v>
      </c>
      <c r="B6875" s="2" t="s">
        <v>12469</v>
      </c>
    </row>
    <row r="6876" spans="1:2" x14ac:dyDescent="0.2">
      <c r="A6876" s="8" t="s">
        <v>6899</v>
      </c>
      <c r="B6876" s="2" t="s">
        <v>12469</v>
      </c>
    </row>
    <row r="6877" spans="1:2" x14ac:dyDescent="0.2">
      <c r="A6877" s="8" t="s">
        <v>6900</v>
      </c>
      <c r="B6877" s="2" t="s">
        <v>12470</v>
      </c>
    </row>
    <row r="6878" spans="1:2" x14ac:dyDescent="0.2">
      <c r="A6878" s="8" t="s">
        <v>6901</v>
      </c>
      <c r="B6878" s="2" t="s">
        <v>12470</v>
      </c>
    </row>
    <row r="6879" spans="1:2" x14ac:dyDescent="0.2">
      <c r="A6879" s="8" t="s">
        <v>6902</v>
      </c>
      <c r="B6879" s="2" t="s">
        <v>12470</v>
      </c>
    </row>
    <row r="6880" spans="1:2" x14ac:dyDescent="0.2">
      <c r="A6880" s="8" t="s">
        <v>6903</v>
      </c>
      <c r="B6880" s="2" t="s">
        <v>12470</v>
      </c>
    </row>
    <row r="6881" spans="1:2" x14ac:dyDescent="0.2">
      <c r="A6881" s="8" t="s">
        <v>6904</v>
      </c>
      <c r="B6881" s="2" t="s">
        <v>12470</v>
      </c>
    </row>
    <row r="6882" spans="1:2" x14ac:dyDescent="0.2">
      <c r="A6882" s="8" t="s">
        <v>6905</v>
      </c>
      <c r="B6882" s="2" t="s">
        <v>12470</v>
      </c>
    </row>
    <row r="6883" spans="1:2" x14ac:dyDescent="0.2">
      <c r="A6883" s="8" t="s">
        <v>6906</v>
      </c>
      <c r="B6883" s="2" t="s">
        <v>12470</v>
      </c>
    </row>
    <row r="6884" spans="1:2" x14ac:dyDescent="0.2">
      <c r="A6884" s="8" t="s">
        <v>6907</v>
      </c>
      <c r="B6884" s="2" t="s">
        <v>12470</v>
      </c>
    </row>
    <row r="6885" spans="1:2" x14ac:dyDescent="0.2">
      <c r="A6885" s="8" t="s">
        <v>6908</v>
      </c>
      <c r="B6885" s="2" t="s">
        <v>12470</v>
      </c>
    </row>
    <row r="6886" spans="1:2" x14ac:dyDescent="0.2">
      <c r="A6886" s="8" t="s">
        <v>6909</v>
      </c>
      <c r="B6886" s="2" t="s">
        <v>12470</v>
      </c>
    </row>
    <row r="6887" spans="1:2" x14ac:dyDescent="0.2">
      <c r="A6887" s="8" t="s">
        <v>6910</v>
      </c>
      <c r="B6887" s="2" t="s">
        <v>12470</v>
      </c>
    </row>
    <row r="6888" spans="1:2" x14ac:dyDescent="0.2">
      <c r="A6888" s="8" t="s">
        <v>6911</v>
      </c>
      <c r="B6888" s="2" t="s">
        <v>12470</v>
      </c>
    </row>
    <row r="6889" spans="1:2" x14ac:dyDescent="0.2">
      <c r="A6889" s="8" t="s">
        <v>6912</v>
      </c>
      <c r="B6889" s="2" t="s">
        <v>12470</v>
      </c>
    </row>
    <row r="6890" spans="1:2" x14ac:dyDescent="0.2">
      <c r="A6890" s="8" t="s">
        <v>6913</v>
      </c>
      <c r="B6890" s="2" t="s">
        <v>12470</v>
      </c>
    </row>
    <row r="6891" spans="1:2" x14ac:dyDescent="0.2">
      <c r="A6891" s="8" t="s">
        <v>6914</v>
      </c>
      <c r="B6891" s="2" t="s">
        <v>12470</v>
      </c>
    </row>
    <row r="6892" spans="1:2" x14ac:dyDescent="0.2">
      <c r="A6892" s="8" t="s">
        <v>6915</v>
      </c>
      <c r="B6892" s="2" t="s">
        <v>12470</v>
      </c>
    </row>
    <row r="6893" spans="1:2" x14ac:dyDescent="0.2">
      <c r="A6893" s="8" t="s">
        <v>6916</v>
      </c>
      <c r="B6893" s="2" t="s">
        <v>12470</v>
      </c>
    </row>
    <row r="6894" spans="1:2" x14ac:dyDescent="0.2">
      <c r="A6894" s="8" t="s">
        <v>6917</v>
      </c>
      <c r="B6894" s="2" t="s">
        <v>12470</v>
      </c>
    </row>
    <row r="6895" spans="1:2" x14ac:dyDescent="0.2">
      <c r="A6895" s="8" t="s">
        <v>6918</v>
      </c>
      <c r="B6895" s="2" t="s">
        <v>12470</v>
      </c>
    </row>
    <row r="6896" spans="1:2" x14ac:dyDescent="0.2">
      <c r="A6896" s="8" t="s">
        <v>6919</v>
      </c>
      <c r="B6896" s="2" t="s">
        <v>12470</v>
      </c>
    </row>
    <row r="6897" spans="1:2" x14ac:dyDescent="0.2">
      <c r="A6897" s="8" t="s">
        <v>6920</v>
      </c>
      <c r="B6897" s="2" t="s">
        <v>12470</v>
      </c>
    </row>
    <row r="6898" spans="1:2" x14ac:dyDescent="0.2">
      <c r="A6898" s="8" t="s">
        <v>6921</v>
      </c>
      <c r="B6898" s="2" t="s">
        <v>12470</v>
      </c>
    </row>
    <row r="6899" spans="1:2" x14ac:dyDescent="0.2">
      <c r="A6899" s="8" t="s">
        <v>6922</v>
      </c>
      <c r="B6899" s="2" t="s">
        <v>12470</v>
      </c>
    </row>
    <row r="6900" spans="1:2" x14ac:dyDescent="0.2">
      <c r="A6900" s="8" t="s">
        <v>6923</v>
      </c>
      <c r="B6900" s="2" t="s">
        <v>12470</v>
      </c>
    </row>
    <row r="6901" spans="1:2" x14ac:dyDescent="0.2">
      <c r="A6901" s="8" t="s">
        <v>6924</v>
      </c>
      <c r="B6901" s="2" t="s">
        <v>12470</v>
      </c>
    </row>
    <row r="6902" spans="1:2" x14ac:dyDescent="0.2">
      <c r="A6902" s="8" t="s">
        <v>6925</v>
      </c>
      <c r="B6902" s="2" t="s">
        <v>12470</v>
      </c>
    </row>
    <row r="6903" spans="1:2" x14ac:dyDescent="0.2">
      <c r="A6903" s="8" t="s">
        <v>6926</v>
      </c>
      <c r="B6903" s="2" t="s">
        <v>12470</v>
      </c>
    </row>
    <row r="6904" spans="1:2" x14ac:dyDescent="0.2">
      <c r="A6904" s="8" t="s">
        <v>6927</v>
      </c>
      <c r="B6904" s="2" t="s">
        <v>12470</v>
      </c>
    </row>
    <row r="6905" spans="1:2" x14ac:dyDescent="0.2">
      <c r="A6905" s="8" t="s">
        <v>6928</v>
      </c>
      <c r="B6905" s="2" t="s">
        <v>12470</v>
      </c>
    </row>
    <row r="6906" spans="1:2" x14ac:dyDescent="0.2">
      <c r="A6906" s="8" t="s">
        <v>6929</v>
      </c>
      <c r="B6906" s="2" t="s">
        <v>12470</v>
      </c>
    </row>
    <row r="6907" spans="1:2" x14ac:dyDescent="0.2">
      <c r="A6907" s="8" t="s">
        <v>6930</v>
      </c>
      <c r="B6907" s="2" t="s">
        <v>12470</v>
      </c>
    </row>
    <row r="6908" spans="1:2" x14ac:dyDescent="0.2">
      <c r="A6908" s="8" t="s">
        <v>6931</v>
      </c>
      <c r="B6908" s="2" t="s">
        <v>12470</v>
      </c>
    </row>
    <row r="6909" spans="1:2" x14ac:dyDescent="0.2">
      <c r="A6909" s="8" t="s">
        <v>6932</v>
      </c>
      <c r="B6909" s="2" t="s">
        <v>12470</v>
      </c>
    </row>
    <row r="6910" spans="1:2" x14ac:dyDescent="0.2">
      <c r="A6910" s="8" t="s">
        <v>6933</v>
      </c>
      <c r="B6910" s="2" t="s">
        <v>12470</v>
      </c>
    </row>
    <row r="6911" spans="1:2" x14ac:dyDescent="0.2">
      <c r="A6911" s="8" t="s">
        <v>6934</v>
      </c>
      <c r="B6911" s="2" t="s">
        <v>12470</v>
      </c>
    </row>
    <row r="6912" spans="1:2" x14ac:dyDescent="0.2">
      <c r="A6912" s="8" t="s">
        <v>6935</v>
      </c>
      <c r="B6912" s="2" t="s">
        <v>12470</v>
      </c>
    </row>
    <row r="6913" spans="1:2" x14ac:dyDescent="0.2">
      <c r="A6913" s="8" t="s">
        <v>6936</v>
      </c>
      <c r="B6913" s="2" t="s">
        <v>12470</v>
      </c>
    </row>
    <row r="6914" spans="1:2" x14ac:dyDescent="0.2">
      <c r="A6914" s="8" t="s">
        <v>6937</v>
      </c>
      <c r="B6914" s="2" t="s">
        <v>12470</v>
      </c>
    </row>
    <row r="6915" spans="1:2" x14ac:dyDescent="0.2">
      <c r="A6915" s="8" t="s">
        <v>6938</v>
      </c>
      <c r="B6915" s="2" t="s">
        <v>12470</v>
      </c>
    </row>
    <row r="6916" spans="1:2" x14ac:dyDescent="0.2">
      <c r="A6916" s="8" t="s">
        <v>6939</v>
      </c>
      <c r="B6916" s="2" t="s">
        <v>12470</v>
      </c>
    </row>
    <row r="6917" spans="1:2" x14ac:dyDescent="0.2">
      <c r="A6917" s="8" t="s">
        <v>6940</v>
      </c>
      <c r="B6917" s="2" t="s">
        <v>12470</v>
      </c>
    </row>
    <row r="6918" spans="1:2" x14ac:dyDescent="0.2">
      <c r="A6918" s="8" t="s">
        <v>6941</v>
      </c>
      <c r="B6918" s="2" t="s">
        <v>12470</v>
      </c>
    </row>
    <row r="6919" spans="1:2" x14ac:dyDescent="0.2">
      <c r="A6919" s="8" t="s">
        <v>6942</v>
      </c>
      <c r="B6919" s="2" t="s">
        <v>12470</v>
      </c>
    </row>
    <row r="6920" spans="1:2" x14ac:dyDescent="0.2">
      <c r="A6920" s="8" t="s">
        <v>6943</v>
      </c>
      <c r="B6920" s="2" t="s">
        <v>12470</v>
      </c>
    </row>
    <row r="6921" spans="1:2" x14ac:dyDescent="0.2">
      <c r="A6921" s="8" t="s">
        <v>6944</v>
      </c>
      <c r="B6921" s="2" t="s">
        <v>12470</v>
      </c>
    </row>
    <row r="6922" spans="1:2" x14ac:dyDescent="0.2">
      <c r="A6922" s="8" t="s">
        <v>6945</v>
      </c>
      <c r="B6922" s="2" t="s">
        <v>12470</v>
      </c>
    </row>
    <row r="6923" spans="1:2" x14ac:dyDescent="0.2">
      <c r="A6923" s="8" t="s">
        <v>6946</v>
      </c>
      <c r="B6923" s="2" t="s">
        <v>12470</v>
      </c>
    </row>
    <row r="6924" spans="1:2" x14ac:dyDescent="0.2">
      <c r="A6924" s="8" t="s">
        <v>6947</v>
      </c>
      <c r="B6924" s="2" t="s">
        <v>12470</v>
      </c>
    </row>
    <row r="6925" spans="1:2" x14ac:dyDescent="0.2">
      <c r="A6925" s="8" t="s">
        <v>6948</v>
      </c>
      <c r="B6925" s="2" t="s">
        <v>12470</v>
      </c>
    </row>
    <row r="6926" spans="1:2" x14ac:dyDescent="0.2">
      <c r="A6926" s="8" t="s">
        <v>6949</v>
      </c>
      <c r="B6926" s="2" t="s">
        <v>12470</v>
      </c>
    </row>
    <row r="6927" spans="1:2" x14ac:dyDescent="0.2">
      <c r="A6927" s="8" t="s">
        <v>6950</v>
      </c>
      <c r="B6927" s="2" t="s">
        <v>12470</v>
      </c>
    </row>
    <row r="6928" spans="1:2" x14ac:dyDescent="0.2">
      <c r="A6928" s="8" t="s">
        <v>6951</v>
      </c>
      <c r="B6928" s="2" t="s">
        <v>12470</v>
      </c>
    </row>
    <row r="6929" spans="1:2" x14ac:dyDescent="0.2">
      <c r="A6929" s="8" t="s">
        <v>6952</v>
      </c>
      <c r="B6929" s="2" t="s">
        <v>12470</v>
      </c>
    </row>
    <row r="6930" spans="1:2" x14ac:dyDescent="0.2">
      <c r="A6930" s="8" t="s">
        <v>6953</v>
      </c>
      <c r="B6930" s="2" t="s">
        <v>12470</v>
      </c>
    </row>
    <row r="6931" spans="1:2" x14ac:dyDescent="0.2">
      <c r="A6931" s="8" t="s">
        <v>6954</v>
      </c>
      <c r="B6931" s="2" t="s">
        <v>12470</v>
      </c>
    </row>
    <row r="6932" spans="1:2" x14ac:dyDescent="0.2">
      <c r="A6932" s="8" t="s">
        <v>6955</v>
      </c>
      <c r="B6932" s="2" t="s">
        <v>12470</v>
      </c>
    </row>
    <row r="6933" spans="1:2" x14ac:dyDescent="0.2">
      <c r="A6933" s="8" t="s">
        <v>6956</v>
      </c>
      <c r="B6933" s="2" t="s">
        <v>12470</v>
      </c>
    </row>
    <row r="6934" spans="1:2" x14ac:dyDescent="0.2">
      <c r="A6934" s="8" t="s">
        <v>6957</v>
      </c>
      <c r="B6934" s="2" t="s">
        <v>12470</v>
      </c>
    </row>
    <row r="6935" spans="1:2" x14ac:dyDescent="0.2">
      <c r="A6935" s="8" t="s">
        <v>6958</v>
      </c>
      <c r="B6935" s="2" t="s">
        <v>12470</v>
      </c>
    </row>
    <row r="6936" spans="1:2" x14ac:dyDescent="0.2">
      <c r="A6936" s="8" t="s">
        <v>6959</v>
      </c>
      <c r="B6936" s="2" t="s">
        <v>12470</v>
      </c>
    </row>
    <row r="6937" spans="1:2" x14ac:dyDescent="0.2">
      <c r="A6937" s="8" t="s">
        <v>6960</v>
      </c>
      <c r="B6937" s="2" t="s">
        <v>12470</v>
      </c>
    </row>
    <row r="6938" spans="1:2" x14ac:dyDescent="0.2">
      <c r="A6938" s="8" t="s">
        <v>6961</v>
      </c>
      <c r="B6938" s="2" t="s">
        <v>12470</v>
      </c>
    </row>
    <row r="6939" spans="1:2" x14ac:dyDescent="0.2">
      <c r="A6939" s="8" t="s">
        <v>6962</v>
      </c>
      <c r="B6939" s="2" t="s">
        <v>12470</v>
      </c>
    </row>
    <row r="6940" spans="1:2" x14ac:dyDescent="0.2">
      <c r="A6940" s="8" t="s">
        <v>6963</v>
      </c>
      <c r="B6940" s="2" t="s">
        <v>12470</v>
      </c>
    </row>
    <row r="6941" spans="1:2" x14ac:dyDescent="0.2">
      <c r="A6941" s="8" t="s">
        <v>6964</v>
      </c>
      <c r="B6941" s="2" t="s">
        <v>12470</v>
      </c>
    </row>
    <row r="6942" spans="1:2" x14ac:dyDescent="0.2">
      <c r="A6942" s="8" t="s">
        <v>6965</v>
      </c>
      <c r="B6942" s="2" t="s">
        <v>12470</v>
      </c>
    </row>
    <row r="6943" spans="1:2" x14ac:dyDescent="0.2">
      <c r="A6943" s="8" t="s">
        <v>6966</v>
      </c>
      <c r="B6943" s="2" t="s">
        <v>12470</v>
      </c>
    </row>
    <row r="6944" spans="1:2" x14ac:dyDescent="0.2">
      <c r="A6944" s="8" t="s">
        <v>6967</v>
      </c>
      <c r="B6944" s="2" t="s">
        <v>12470</v>
      </c>
    </row>
    <row r="6945" spans="1:2" x14ac:dyDescent="0.2">
      <c r="A6945" s="8" t="s">
        <v>6968</v>
      </c>
      <c r="B6945" s="2" t="s">
        <v>12470</v>
      </c>
    </row>
    <row r="6946" spans="1:2" x14ac:dyDescent="0.2">
      <c r="A6946" s="8" t="s">
        <v>6969</v>
      </c>
      <c r="B6946" s="2" t="s">
        <v>12470</v>
      </c>
    </row>
    <row r="6947" spans="1:2" x14ac:dyDescent="0.2">
      <c r="A6947" s="8" t="s">
        <v>6970</v>
      </c>
      <c r="B6947" s="2" t="s">
        <v>12470</v>
      </c>
    </row>
    <row r="6948" spans="1:2" x14ac:dyDescent="0.2">
      <c r="A6948" s="8" t="s">
        <v>6971</v>
      </c>
      <c r="B6948" s="2" t="s">
        <v>12470</v>
      </c>
    </row>
    <row r="6949" spans="1:2" x14ac:dyDescent="0.2">
      <c r="A6949" s="8" t="s">
        <v>6972</v>
      </c>
      <c r="B6949" s="2" t="s">
        <v>12470</v>
      </c>
    </row>
    <row r="6950" spans="1:2" x14ac:dyDescent="0.2">
      <c r="A6950" s="8" t="s">
        <v>6973</v>
      </c>
      <c r="B6950" s="2" t="s">
        <v>12470</v>
      </c>
    </row>
    <row r="6951" spans="1:2" x14ac:dyDescent="0.2">
      <c r="A6951" s="8" t="s">
        <v>6974</v>
      </c>
      <c r="B6951" s="2" t="s">
        <v>12470</v>
      </c>
    </row>
    <row r="6952" spans="1:2" x14ac:dyDescent="0.2">
      <c r="A6952" s="8" t="s">
        <v>6975</v>
      </c>
      <c r="B6952" s="2" t="s">
        <v>12470</v>
      </c>
    </row>
    <row r="6953" spans="1:2" x14ac:dyDescent="0.2">
      <c r="A6953" s="8" t="s">
        <v>6976</v>
      </c>
      <c r="B6953" s="2" t="s">
        <v>12470</v>
      </c>
    </row>
    <row r="6954" spans="1:2" x14ac:dyDescent="0.2">
      <c r="A6954" s="8" t="s">
        <v>6977</v>
      </c>
      <c r="B6954" s="2" t="s">
        <v>12470</v>
      </c>
    </row>
    <row r="6955" spans="1:2" x14ac:dyDescent="0.2">
      <c r="A6955" s="8" t="s">
        <v>6978</v>
      </c>
      <c r="B6955" s="2" t="s">
        <v>12470</v>
      </c>
    </row>
    <row r="6956" spans="1:2" x14ac:dyDescent="0.2">
      <c r="A6956" s="8" t="s">
        <v>6979</v>
      </c>
      <c r="B6956" s="2" t="s">
        <v>12470</v>
      </c>
    </row>
    <row r="6957" spans="1:2" x14ac:dyDescent="0.2">
      <c r="A6957" s="8" t="s">
        <v>6980</v>
      </c>
      <c r="B6957" s="2" t="s">
        <v>12470</v>
      </c>
    </row>
    <row r="6958" spans="1:2" x14ac:dyDescent="0.2">
      <c r="A6958" s="8" t="s">
        <v>6981</v>
      </c>
      <c r="B6958" s="2" t="s">
        <v>12470</v>
      </c>
    </row>
    <row r="6959" spans="1:2" x14ac:dyDescent="0.2">
      <c r="A6959" s="8" t="s">
        <v>6982</v>
      </c>
      <c r="B6959" s="2" t="s">
        <v>12470</v>
      </c>
    </row>
    <row r="6960" spans="1:2" x14ac:dyDescent="0.2">
      <c r="A6960" s="8" t="s">
        <v>6983</v>
      </c>
      <c r="B6960" s="2" t="s">
        <v>12470</v>
      </c>
    </row>
    <row r="6961" spans="1:2" x14ac:dyDescent="0.2">
      <c r="A6961" s="8" t="s">
        <v>6984</v>
      </c>
      <c r="B6961" s="2" t="s">
        <v>12470</v>
      </c>
    </row>
    <row r="6962" spans="1:2" x14ac:dyDescent="0.2">
      <c r="A6962" s="8" t="s">
        <v>6985</v>
      </c>
      <c r="B6962" s="2" t="s">
        <v>12470</v>
      </c>
    </row>
    <row r="6963" spans="1:2" x14ac:dyDescent="0.2">
      <c r="A6963" s="8" t="s">
        <v>6986</v>
      </c>
      <c r="B6963" s="2" t="s">
        <v>12470</v>
      </c>
    </row>
    <row r="6964" spans="1:2" x14ac:dyDescent="0.2">
      <c r="A6964" s="8" t="s">
        <v>6987</v>
      </c>
      <c r="B6964" s="2" t="s">
        <v>12470</v>
      </c>
    </row>
    <row r="6965" spans="1:2" x14ac:dyDescent="0.2">
      <c r="A6965" s="8" t="s">
        <v>6988</v>
      </c>
      <c r="B6965" s="2" t="s">
        <v>12470</v>
      </c>
    </row>
    <row r="6966" spans="1:2" x14ac:dyDescent="0.2">
      <c r="A6966" s="8" t="s">
        <v>6989</v>
      </c>
      <c r="B6966" s="2" t="s">
        <v>12470</v>
      </c>
    </row>
    <row r="6967" spans="1:2" x14ac:dyDescent="0.2">
      <c r="A6967" s="8" t="s">
        <v>6990</v>
      </c>
      <c r="B6967" s="2" t="s">
        <v>12470</v>
      </c>
    </row>
    <row r="6968" spans="1:2" x14ac:dyDescent="0.2">
      <c r="A6968" s="8" t="s">
        <v>6991</v>
      </c>
      <c r="B6968" s="2" t="s">
        <v>12470</v>
      </c>
    </row>
    <row r="6969" spans="1:2" x14ac:dyDescent="0.2">
      <c r="A6969" s="8" t="s">
        <v>6992</v>
      </c>
      <c r="B6969" s="2" t="s">
        <v>12470</v>
      </c>
    </row>
    <row r="6970" spans="1:2" x14ac:dyDescent="0.2">
      <c r="A6970" s="8" t="s">
        <v>6993</v>
      </c>
      <c r="B6970" s="2" t="s">
        <v>12470</v>
      </c>
    </row>
    <row r="6971" spans="1:2" x14ac:dyDescent="0.2">
      <c r="A6971" s="8" t="s">
        <v>6994</v>
      </c>
      <c r="B6971" s="2" t="s">
        <v>12470</v>
      </c>
    </row>
    <row r="6972" spans="1:2" x14ac:dyDescent="0.2">
      <c r="A6972" s="8" t="s">
        <v>6995</v>
      </c>
      <c r="B6972" s="2" t="s">
        <v>12470</v>
      </c>
    </row>
    <row r="6973" spans="1:2" x14ac:dyDescent="0.2">
      <c r="A6973" s="8" t="s">
        <v>6996</v>
      </c>
      <c r="B6973" s="2" t="s">
        <v>12470</v>
      </c>
    </row>
    <row r="6974" spans="1:2" x14ac:dyDescent="0.2">
      <c r="A6974" s="8" t="s">
        <v>6997</v>
      </c>
      <c r="B6974" s="2" t="s">
        <v>12470</v>
      </c>
    </row>
    <row r="6975" spans="1:2" x14ac:dyDescent="0.2">
      <c r="A6975" s="8" t="s">
        <v>6998</v>
      </c>
      <c r="B6975" s="2" t="s">
        <v>12470</v>
      </c>
    </row>
    <row r="6976" spans="1:2" x14ac:dyDescent="0.2">
      <c r="A6976" s="8" t="s">
        <v>6999</v>
      </c>
      <c r="B6976" s="2" t="s">
        <v>12470</v>
      </c>
    </row>
    <row r="6977" spans="1:2" x14ac:dyDescent="0.2">
      <c r="A6977" s="8" t="s">
        <v>7000</v>
      </c>
      <c r="B6977" s="2" t="s">
        <v>12470</v>
      </c>
    </row>
    <row r="6978" spans="1:2" x14ac:dyDescent="0.2">
      <c r="A6978" s="8" t="s">
        <v>7001</v>
      </c>
      <c r="B6978" s="2" t="s">
        <v>12470</v>
      </c>
    </row>
    <row r="6979" spans="1:2" x14ac:dyDescent="0.2">
      <c r="A6979" s="8" t="s">
        <v>7002</v>
      </c>
      <c r="B6979" s="2" t="s">
        <v>12470</v>
      </c>
    </row>
    <row r="6980" spans="1:2" x14ac:dyDescent="0.2">
      <c r="A6980" s="8" t="s">
        <v>7003</v>
      </c>
      <c r="B6980" s="2" t="s">
        <v>12470</v>
      </c>
    </row>
    <row r="6981" spans="1:2" x14ac:dyDescent="0.2">
      <c r="A6981" s="8" t="s">
        <v>7004</v>
      </c>
      <c r="B6981" s="2" t="s">
        <v>12470</v>
      </c>
    </row>
    <row r="6982" spans="1:2" x14ac:dyDescent="0.2">
      <c r="A6982" s="8" t="s">
        <v>7005</v>
      </c>
      <c r="B6982" s="2" t="s">
        <v>12470</v>
      </c>
    </row>
    <row r="6983" spans="1:2" x14ac:dyDescent="0.2">
      <c r="A6983" s="8" t="s">
        <v>7006</v>
      </c>
      <c r="B6983" s="2" t="s">
        <v>12470</v>
      </c>
    </row>
    <row r="6984" spans="1:2" x14ac:dyDescent="0.2">
      <c r="A6984" s="8" t="s">
        <v>7007</v>
      </c>
      <c r="B6984" s="2" t="s">
        <v>12470</v>
      </c>
    </row>
    <row r="6985" spans="1:2" x14ac:dyDescent="0.2">
      <c r="A6985" s="8" t="s">
        <v>7008</v>
      </c>
      <c r="B6985" s="2" t="s">
        <v>12470</v>
      </c>
    </row>
    <row r="6986" spans="1:2" x14ac:dyDescent="0.2">
      <c r="A6986" s="8" t="s">
        <v>7009</v>
      </c>
      <c r="B6986" s="2" t="s">
        <v>12470</v>
      </c>
    </row>
    <row r="6987" spans="1:2" x14ac:dyDescent="0.2">
      <c r="A6987" s="8" t="s">
        <v>7010</v>
      </c>
      <c r="B6987" s="2" t="s">
        <v>12470</v>
      </c>
    </row>
    <row r="6988" spans="1:2" x14ac:dyDescent="0.2">
      <c r="A6988" s="8" t="s">
        <v>7011</v>
      </c>
      <c r="B6988" s="2" t="s">
        <v>12470</v>
      </c>
    </row>
    <row r="6989" spans="1:2" x14ac:dyDescent="0.2">
      <c r="A6989" s="8" t="s">
        <v>7012</v>
      </c>
      <c r="B6989" s="2" t="s">
        <v>12470</v>
      </c>
    </row>
    <row r="6990" spans="1:2" x14ac:dyDescent="0.2">
      <c r="A6990" s="8" t="s">
        <v>7013</v>
      </c>
      <c r="B6990" s="2" t="s">
        <v>12470</v>
      </c>
    </row>
    <row r="6991" spans="1:2" x14ac:dyDescent="0.2">
      <c r="A6991" s="8" t="s">
        <v>7014</v>
      </c>
      <c r="B6991" s="2" t="s">
        <v>12470</v>
      </c>
    </row>
    <row r="6992" spans="1:2" x14ac:dyDescent="0.2">
      <c r="A6992" s="8" t="s">
        <v>7015</v>
      </c>
      <c r="B6992" s="2" t="s">
        <v>12470</v>
      </c>
    </row>
    <row r="6993" spans="1:2" x14ac:dyDescent="0.2">
      <c r="A6993" s="8" t="s">
        <v>7016</v>
      </c>
      <c r="B6993" s="2" t="s">
        <v>12470</v>
      </c>
    </row>
    <row r="6994" spans="1:2" x14ac:dyDescent="0.2">
      <c r="A6994" s="8" t="s">
        <v>7017</v>
      </c>
      <c r="B6994" s="2" t="s">
        <v>12470</v>
      </c>
    </row>
    <row r="6995" spans="1:2" x14ac:dyDescent="0.2">
      <c r="A6995" s="8" t="s">
        <v>7018</v>
      </c>
      <c r="B6995" s="2" t="s">
        <v>12470</v>
      </c>
    </row>
    <row r="6996" spans="1:2" x14ac:dyDescent="0.2">
      <c r="A6996" s="8" t="s">
        <v>7019</v>
      </c>
      <c r="B6996" s="2" t="s">
        <v>12470</v>
      </c>
    </row>
    <row r="6997" spans="1:2" x14ac:dyDescent="0.2">
      <c r="A6997" s="8" t="s">
        <v>7020</v>
      </c>
      <c r="B6997" s="2" t="s">
        <v>12470</v>
      </c>
    </row>
    <row r="6998" spans="1:2" x14ac:dyDescent="0.2">
      <c r="A6998" s="8" t="s">
        <v>7021</v>
      </c>
      <c r="B6998" s="2" t="s">
        <v>12470</v>
      </c>
    </row>
    <row r="6999" spans="1:2" x14ac:dyDescent="0.2">
      <c r="A6999" s="8" t="s">
        <v>7022</v>
      </c>
      <c r="B6999" s="2" t="s">
        <v>12470</v>
      </c>
    </row>
    <row r="7000" spans="1:2" x14ac:dyDescent="0.2">
      <c r="A7000" s="8" t="s">
        <v>7023</v>
      </c>
      <c r="B7000" s="2" t="s">
        <v>12470</v>
      </c>
    </row>
    <row r="7001" spans="1:2" x14ac:dyDescent="0.2">
      <c r="A7001" s="8" t="s">
        <v>7024</v>
      </c>
      <c r="B7001" s="2" t="s">
        <v>12470</v>
      </c>
    </row>
    <row r="7002" spans="1:2" x14ac:dyDescent="0.2">
      <c r="A7002" s="8" t="s">
        <v>7025</v>
      </c>
      <c r="B7002" s="2" t="s">
        <v>12470</v>
      </c>
    </row>
    <row r="7003" spans="1:2" x14ac:dyDescent="0.2">
      <c r="A7003" s="8" t="s">
        <v>7026</v>
      </c>
      <c r="B7003" s="2" t="s">
        <v>12470</v>
      </c>
    </row>
    <row r="7004" spans="1:2" x14ac:dyDescent="0.2">
      <c r="A7004" s="8" t="s">
        <v>7027</v>
      </c>
      <c r="B7004" s="2" t="s">
        <v>12470</v>
      </c>
    </row>
    <row r="7005" spans="1:2" x14ac:dyDescent="0.2">
      <c r="A7005" s="8" t="s">
        <v>7028</v>
      </c>
      <c r="B7005" s="2" t="s">
        <v>12470</v>
      </c>
    </row>
    <row r="7006" spans="1:2" x14ac:dyDescent="0.2">
      <c r="A7006" s="8" t="s">
        <v>7029</v>
      </c>
      <c r="B7006" s="2" t="s">
        <v>12470</v>
      </c>
    </row>
    <row r="7007" spans="1:2" x14ac:dyDescent="0.2">
      <c r="A7007" s="8" t="s">
        <v>7030</v>
      </c>
      <c r="B7007" s="2" t="s">
        <v>12470</v>
      </c>
    </row>
    <row r="7008" spans="1:2" x14ac:dyDescent="0.2">
      <c r="A7008" s="8" t="s">
        <v>7031</v>
      </c>
      <c r="B7008" s="2" t="s">
        <v>12470</v>
      </c>
    </row>
    <row r="7009" spans="1:2" x14ac:dyDescent="0.2">
      <c r="A7009" s="8" t="s">
        <v>7032</v>
      </c>
      <c r="B7009" s="2" t="s">
        <v>12470</v>
      </c>
    </row>
    <row r="7010" spans="1:2" x14ac:dyDescent="0.2">
      <c r="A7010" s="8" t="s">
        <v>7033</v>
      </c>
      <c r="B7010" s="2" t="s">
        <v>12470</v>
      </c>
    </row>
    <row r="7011" spans="1:2" x14ac:dyDescent="0.2">
      <c r="A7011" s="8" t="s">
        <v>7034</v>
      </c>
      <c r="B7011" s="2" t="s">
        <v>12470</v>
      </c>
    </row>
    <row r="7012" spans="1:2" x14ac:dyDescent="0.2">
      <c r="A7012" s="8" t="s">
        <v>7035</v>
      </c>
      <c r="B7012" s="2" t="s">
        <v>12470</v>
      </c>
    </row>
    <row r="7013" spans="1:2" x14ac:dyDescent="0.2">
      <c r="A7013" s="8" t="s">
        <v>7036</v>
      </c>
      <c r="B7013" s="2" t="s">
        <v>12470</v>
      </c>
    </row>
    <row r="7014" spans="1:2" x14ac:dyDescent="0.2">
      <c r="A7014" s="8" t="s">
        <v>7037</v>
      </c>
      <c r="B7014" s="2" t="s">
        <v>12470</v>
      </c>
    </row>
    <row r="7015" spans="1:2" x14ac:dyDescent="0.2">
      <c r="A7015" s="8" t="s">
        <v>7038</v>
      </c>
      <c r="B7015" s="2" t="s">
        <v>12470</v>
      </c>
    </row>
    <row r="7016" spans="1:2" x14ac:dyDescent="0.2">
      <c r="A7016" s="8" t="s">
        <v>7039</v>
      </c>
      <c r="B7016" s="2" t="s">
        <v>12470</v>
      </c>
    </row>
    <row r="7017" spans="1:2" x14ac:dyDescent="0.2">
      <c r="A7017" s="8" t="s">
        <v>7040</v>
      </c>
      <c r="B7017" s="2" t="s">
        <v>12470</v>
      </c>
    </row>
    <row r="7018" spans="1:2" x14ac:dyDescent="0.2">
      <c r="A7018" s="8" t="s">
        <v>7041</v>
      </c>
      <c r="B7018" s="2" t="s">
        <v>12470</v>
      </c>
    </row>
    <row r="7019" spans="1:2" x14ac:dyDescent="0.2">
      <c r="A7019" s="8" t="s">
        <v>7042</v>
      </c>
      <c r="B7019" s="2" t="s">
        <v>12470</v>
      </c>
    </row>
    <row r="7020" spans="1:2" x14ac:dyDescent="0.2">
      <c r="A7020" s="8" t="s">
        <v>7043</v>
      </c>
      <c r="B7020" s="2" t="s">
        <v>12470</v>
      </c>
    </row>
    <row r="7021" spans="1:2" x14ac:dyDescent="0.2">
      <c r="A7021" s="8" t="s">
        <v>7044</v>
      </c>
      <c r="B7021" s="2" t="s">
        <v>12470</v>
      </c>
    </row>
    <row r="7022" spans="1:2" x14ac:dyDescent="0.2">
      <c r="A7022" s="8" t="s">
        <v>7045</v>
      </c>
      <c r="B7022" s="2" t="s">
        <v>12470</v>
      </c>
    </row>
    <row r="7023" spans="1:2" x14ac:dyDescent="0.2">
      <c r="A7023" s="8" t="s">
        <v>7046</v>
      </c>
      <c r="B7023" s="2" t="s">
        <v>12470</v>
      </c>
    </row>
    <row r="7024" spans="1:2" x14ac:dyDescent="0.2">
      <c r="A7024" s="8" t="s">
        <v>7047</v>
      </c>
      <c r="B7024" s="2" t="s">
        <v>12470</v>
      </c>
    </row>
    <row r="7025" spans="1:2" x14ac:dyDescent="0.2">
      <c r="A7025" s="8" t="s">
        <v>7048</v>
      </c>
      <c r="B7025" s="2" t="s">
        <v>12470</v>
      </c>
    </row>
    <row r="7026" spans="1:2" x14ac:dyDescent="0.2">
      <c r="A7026" s="8" t="s">
        <v>7049</v>
      </c>
      <c r="B7026" s="2" t="s">
        <v>12470</v>
      </c>
    </row>
    <row r="7027" spans="1:2" x14ac:dyDescent="0.2">
      <c r="A7027" s="8" t="s">
        <v>7050</v>
      </c>
      <c r="B7027" s="2" t="s">
        <v>12470</v>
      </c>
    </row>
    <row r="7028" spans="1:2" x14ac:dyDescent="0.2">
      <c r="A7028" s="8" t="s">
        <v>7051</v>
      </c>
      <c r="B7028" s="2" t="s">
        <v>12470</v>
      </c>
    </row>
    <row r="7029" spans="1:2" x14ac:dyDescent="0.2">
      <c r="A7029" s="8" t="s">
        <v>7052</v>
      </c>
      <c r="B7029" s="2" t="s">
        <v>12470</v>
      </c>
    </row>
    <row r="7030" spans="1:2" x14ac:dyDescent="0.2">
      <c r="A7030" s="8" t="s">
        <v>7053</v>
      </c>
      <c r="B7030" s="2" t="s">
        <v>12470</v>
      </c>
    </row>
    <row r="7031" spans="1:2" x14ac:dyDescent="0.2">
      <c r="A7031" s="8" t="s">
        <v>7054</v>
      </c>
      <c r="B7031" s="2" t="s">
        <v>12470</v>
      </c>
    </row>
    <row r="7032" spans="1:2" x14ac:dyDescent="0.2">
      <c r="A7032" s="8" t="s">
        <v>7055</v>
      </c>
      <c r="B7032" s="2" t="s">
        <v>12470</v>
      </c>
    </row>
    <row r="7033" spans="1:2" x14ac:dyDescent="0.2">
      <c r="A7033" s="8" t="s">
        <v>7056</v>
      </c>
      <c r="B7033" s="2" t="s">
        <v>12470</v>
      </c>
    </row>
    <row r="7034" spans="1:2" x14ac:dyDescent="0.2">
      <c r="A7034" s="8" t="s">
        <v>7057</v>
      </c>
      <c r="B7034" s="2" t="s">
        <v>12470</v>
      </c>
    </row>
    <row r="7035" spans="1:2" x14ac:dyDescent="0.2">
      <c r="A7035" s="8" t="s">
        <v>7058</v>
      </c>
      <c r="B7035" s="2" t="s">
        <v>12470</v>
      </c>
    </row>
    <row r="7036" spans="1:2" x14ac:dyDescent="0.2">
      <c r="A7036" s="8" t="s">
        <v>7059</v>
      </c>
      <c r="B7036" s="2" t="s">
        <v>12470</v>
      </c>
    </row>
    <row r="7037" spans="1:2" x14ac:dyDescent="0.2">
      <c r="A7037" s="8" t="s">
        <v>7060</v>
      </c>
      <c r="B7037" s="2" t="s">
        <v>12470</v>
      </c>
    </row>
    <row r="7038" spans="1:2" x14ac:dyDescent="0.2">
      <c r="A7038" s="8" t="s">
        <v>7061</v>
      </c>
      <c r="B7038" s="2" t="s">
        <v>12470</v>
      </c>
    </row>
    <row r="7039" spans="1:2" x14ac:dyDescent="0.2">
      <c r="A7039" s="8" t="s">
        <v>7062</v>
      </c>
      <c r="B7039" s="2" t="s">
        <v>12470</v>
      </c>
    </row>
    <row r="7040" spans="1:2" x14ac:dyDescent="0.2">
      <c r="A7040" s="8" t="s">
        <v>7063</v>
      </c>
      <c r="B7040" s="2" t="s">
        <v>12470</v>
      </c>
    </row>
    <row r="7041" spans="1:2" x14ac:dyDescent="0.2">
      <c r="A7041" s="8" t="s">
        <v>7064</v>
      </c>
      <c r="B7041" s="2" t="s">
        <v>12470</v>
      </c>
    </row>
    <row r="7042" spans="1:2" x14ac:dyDescent="0.2">
      <c r="A7042" s="8" t="s">
        <v>7065</v>
      </c>
      <c r="B7042" s="2" t="s">
        <v>12470</v>
      </c>
    </row>
    <row r="7043" spans="1:2" x14ac:dyDescent="0.2">
      <c r="A7043" s="8" t="s">
        <v>7066</v>
      </c>
      <c r="B7043" s="2" t="s">
        <v>12470</v>
      </c>
    </row>
    <row r="7044" spans="1:2" x14ac:dyDescent="0.2">
      <c r="A7044" s="8" t="s">
        <v>7067</v>
      </c>
      <c r="B7044" s="2" t="s">
        <v>12470</v>
      </c>
    </row>
    <row r="7045" spans="1:2" x14ac:dyDescent="0.2">
      <c r="A7045" s="8" t="s">
        <v>7068</v>
      </c>
      <c r="B7045" s="2" t="s">
        <v>12470</v>
      </c>
    </row>
    <row r="7046" spans="1:2" x14ac:dyDescent="0.2">
      <c r="A7046" s="8" t="s">
        <v>7069</v>
      </c>
      <c r="B7046" s="2" t="s">
        <v>12470</v>
      </c>
    </row>
    <row r="7047" spans="1:2" x14ac:dyDescent="0.2">
      <c r="A7047" s="8" t="s">
        <v>7070</v>
      </c>
      <c r="B7047" s="2" t="s">
        <v>12470</v>
      </c>
    </row>
    <row r="7048" spans="1:2" x14ac:dyDescent="0.2">
      <c r="A7048" s="8" t="s">
        <v>7071</v>
      </c>
      <c r="B7048" s="2" t="s">
        <v>12470</v>
      </c>
    </row>
    <row r="7049" spans="1:2" x14ac:dyDescent="0.2">
      <c r="A7049" s="8" t="s">
        <v>7072</v>
      </c>
      <c r="B7049" s="2" t="s">
        <v>12470</v>
      </c>
    </row>
    <row r="7050" spans="1:2" x14ac:dyDescent="0.2">
      <c r="A7050" s="8" t="s">
        <v>7073</v>
      </c>
      <c r="B7050" s="2" t="s">
        <v>12470</v>
      </c>
    </row>
    <row r="7051" spans="1:2" x14ac:dyDescent="0.2">
      <c r="A7051" s="8" t="s">
        <v>7074</v>
      </c>
      <c r="B7051" s="2" t="s">
        <v>12470</v>
      </c>
    </row>
    <row r="7052" spans="1:2" x14ac:dyDescent="0.2">
      <c r="A7052" s="8" t="s">
        <v>7075</v>
      </c>
      <c r="B7052" s="2" t="s">
        <v>12470</v>
      </c>
    </row>
    <row r="7053" spans="1:2" x14ac:dyDescent="0.2">
      <c r="A7053" s="8" t="s">
        <v>7076</v>
      </c>
      <c r="B7053" s="2" t="s">
        <v>12470</v>
      </c>
    </row>
    <row r="7054" spans="1:2" x14ac:dyDescent="0.2">
      <c r="A7054" s="8" t="s">
        <v>7077</v>
      </c>
      <c r="B7054" s="2" t="s">
        <v>12470</v>
      </c>
    </row>
    <row r="7055" spans="1:2" x14ac:dyDescent="0.2">
      <c r="A7055" s="8" t="s">
        <v>7078</v>
      </c>
      <c r="B7055" s="2" t="s">
        <v>12470</v>
      </c>
    </row>
    <row r="7056" spans="1:2" x14ac:dyDescent="0.2">
      <c r="A7056" s="8" t="s">
        <v>7079</v>
      </c>
      <c r="B7056" s="2" t="s">
        <v>12470</v>
      </c>
    </row>
    <row r="7057" spans="1:2" x14ac:dyDescent="0.2">
      <c r="A7057" s="8" t="s">
        <v>7080</v>
      </c>
      <c r="B7057" s="2" t="s">
        <v>12470</v>
      </c>
    </row>
    <row r="7058" spans="1:2" x14ac:dyDescent="0.2">
      <c r="A7058" s="8" t="s">
        <v>7081</v>
      </c>
      <c r="B7058" s="2" t="s">
        <v>12470</v>
      </c>
    </row>
    <row r="7059" spans="1:2" x14ac:dyDescent="0.2">
      <c r="A7059" s="8" t="s">
        <v>7082</v>
      </c>
      <c r="B7059" s="2" t="s">
        <v>12470</v>
      </c>
    </row>
    <row r="7060" spans="1:2" x14ac:dyDescent="0.2">
      <c r="A7060" s="8" t="s">
        <v>7083</v>
      </c>
      <c r="B7060" s="2" t="s">
        <v>12470</v>
      </c>
    </row>
    <row r="7061" spans="1:2" x14ac:dyDescent="0.2">
      <c r="A7061" s="8" t="s">
        <v>7084</v>
      </c>
      <c r="B7061" s="2" t="s">
        <v>12470</v>
      </c>
    </row>
    <row r="7062" spans="1:2" x14ac:dyDescent="0.2">
      <c r="A7062" s="8" t="s">
        <v>7085</v>
      </c>
      <c r="B7062" s="2" t="s">
        <v>12470</v>
      </c>
    </row>
    <row r="7063" spans="1:2" x14ac:dyDescent="0.2">
      <c r="A7063" s="8" t="s">
        <v>7086</v>
      </c>
      <c r="B7063" s="2" t="s">
        <v>12470</v>
      </c>
    </row>
    <row r="7064" spans="1:2" x14ac:dyDescent="0.2">
      <c r="A7064" s="8" t="s">
        <v>7087</v>
      </c>
      <c r="B7064" s="2" t="s">
        <v>12470</v>
      </c>
    </row>
    <row r="7065" spans="1:2" x14ac:dyDescent="0.2">
      <c r="A7065" s="8" t="s">
        <v>7088</v>
      </c>
      <c r="B7065" s="2" t="s">
        <v>12470</v>
      </c>
    </row>
    <row r="7066" spans="1:2" x14ac:dyDescent="0.2">
      <c r="A7066" s="8" t="s">
        <v>7089</v>
      </c>
      <c r="B7066" s="2" t="s">
        <v>12470</v>
      </c>
    </row>
    <row r="7067" spans="1:2" x14ac:dyDescent="0.2">
      <c r="A7067" s="8" t="s">
        <v>7090</v>
      </c>
      <c r="B7067" s="2" t="s">
        <v>12470</v>
      </c>
    </row>
    <row r="7068" spans="1:2" x14ac:dyDescent="0.2">
      <c r="A7068" s="8" t="s">
        <v>7091</v>
      </c>
      <c r="B7068" s="2" t="s">
        <v>12470</v>
      </c>
    </row>
    <row r="7069" spans="1:2" x14ac:dyDescent="0.2">
      <c r="A7069" s="8" t="s">
        <v>7092</v>
      </c>
      <c r="B7069" s="2" t="s">
        <v>12470</v>
      </c>
    </row>
    <row r="7070" spans="1:2" x14ac:dyDescent="0.2">
      <c r="A7070" s="8" t="s">
        <v>7093</v>
      </c>
      <c r="B7070" s="2" t="s">
        <v>12470</v>
      </c>
    </row>
    <row r="7071" spans="1:2" x14ac:dyDescent="0.2">
      <c r="A7071" s="8" t="s">
        <v>7094</v>
      </c>
      <c r="B7071" s="2" t="s">
        <v>12470</v>
      </c>
    </row>
    <row r="7072" spans="1:2" x14ac:dyDescent="0.2">
      <c r="A7072" s="8" t="s">
        <v>7095</v>
      </c>
      <c r="B7072" s="2" t="s">
        <v>12470</v>
      </c>
    </row>
    <row r="7073" spans="1:2" x14ac:dyDescent="0.2">
      <c r="A7073" s="8" t="s">
        <v>7096</v>
      </c>
      <c r="B7073" s="2" t="s">
        <v>12470</v>
      </c>
    </row>
    <row r="7074" spans="1:2" x14ac:dyDescent="0.2">
      <c r="A7074" s="8" t="s">
        <v>7097</v>
      </c>
      <c r="B7074" s="2" t="s">
        <v>12470</v>
      </c>
    </row>
    <row r="7075" spans="1:2" x14ac:dyDescent="0.2">
      <c r="A7075" s="8" t="s">
        <v>7098</v>
      </c>
      <c r="B7075" s="2" t="s">
        <v>12470</v>
      </c>
    </row>
    <row r="7076" spans="1:2" x14ac:dyDescent="0.2">
      <c r="A7076" s="8" t="s">
        <v>7099</v>
      </c>
      <c r="B7076" s="2" t="s">
        <v>12470</v>
      </c>
    </row>
    <row r="7077" spans="1:2" x14ac:dyDescent="0.2">
      <c r="A7077" s="8" t="s">
        <v>7100</v>
      </c>
      <c r="B7077" s="2" t="s">
        <v>12470</v>
      </c>
    </row>
    <row r="7078" spans="1:2" x14ac:dyDescent="0.2">
      <c r="A7078" s="8" t="s">
        <v>7101</v>
      </c>
      <c r="B7078" s="2" t="s">
        <v>12470</v>
      </c>
    </row>
    <row r="7079" spans="1:2" x14ac:dyDescent="0.2">
      <c r="A7079" s="8" t="s">
        <v>7102</v>
      </c>
      <c r="B7079" s="2" t="s">
        <v>12470</v>
      </c>
    </row>
    <row r="7080" spans="1:2" x14ac:dyDescent="0.2">
      <c r="A7080" s="8" t="s">
        <v>7103</v>
      </c>
      <c r="B7080" s="2" t="s">
        <v>12470</v>
      </c>
    </row>
    <row r="7081" spans="1:2" x14ac:dyDescent="0.2">
      <c r="A7081" s="8" t="s">
        <v>7104</v>
      </c>
      <c r="B7081" s="2" t="s">
        <v>12470</v>
      </c>
    </row>
    <row r="7082" spans="1:2" x14ac:dyDescent="0.2">
      <c r="A7082" s="8" t="s">
        <v>7105</v>
      </c>
      <c r="B7082" s="2" t="s">
        <v>12470</v>
      </c>
    </row>
    <row r="7083" spans="1:2" x14ac:dyDescent="0.2">
      <c r="A7083" s="8" t="s">
        <v>7106</v>
      </c>
      <c r="B7083" s="2" t="s">
        <v>12470</v>
      </c>
    </row>
    <row r="7084" spans="1:2" x14ac:dyDescent="0.2">
      <c r="A7084" s="8" t="s">
        <v>7107</v>
      </c>
      <c r="B7084" s="2" t="s">
        <v>12470</v>
      </c>
    </row>
    <row r="7085" spans="1:2" x14ac:dyDescent="0.2">
      <c r="A7085" s="8" t="s">
        <v>7108</v>
      </c>
      <c r="B7085" s="2" t="s">
        <v>12470</v>
      </c>
    </row>
    <row r="7086" spans="1:2" x14ac:dyDescent="0.2">
      <c r="A7086" s="8" t="s">
        <v>7109</v>
      </c>
      <c r="B7086" s="2" t="s">
        <v>12470</v>
      </c>
    </row>
    <row r="7087" spans="1:2" x14ac:dyDescent="0.2">
      <c r="A7087" s="8" t="s">
        <v>7110</v>
      </c>
      <c r="B7087" s="2" t="s">
        <v>12470</v>
      </c>
    </row>
    <row r="7088" spans="1:2" x14ac:dyDescent="0.2">
      <c r="A7088" s="8" t="s">
        <v>7111</v>
      </c>
      <c r="B7088" s="2" t="s">
        <v>12470</v>
      </c>
    </row>
    <row r="7089" spans="1:2" x14ac:dyDescent="0.2">
      <c r="A7089" s="8" t="s">
        <v>7112</v>
      </c>
      <c r="B7089" s="2" t="s">
        <v>12470</v>
      </c>
    </row>
    <row r="7090" spans="1:2" x14ac:dyDescent="0.2">
      <c r="A7090" s="8" t="s">
        <v>7113</v>
      </c>
      <c r="B7090" s="2" t="s">
        <v>12470</v>
      </c>
    </row>
    <row r="7091" spans="1:2" x14ac:dyDescent="0.2">
      <c r="A7091" s="8" t="s">
        <v>7114</v>
      </c>
      <c r="B7091" s="2" t="s">
        <v>12470</v>
      </c>
    </row>
    <row r="7092" spans="1:2" x14ac:dyDescent="0.2">
      <c r="A7092" s="8" t="s">
        <v>7115</v>
      </c>
      <c r="B7092" s="2" t="s">
        <v>12470</v>
      </c>
    </row>
    <row r="7093" spans="1:2" x14ac:dyDescent="0.2">
      <c r="A7093" s="8" t="s">
        <v>7116</v>
      </c>
      <c r="B7093" s="2" t="s">
        <v>12470</v>
      </c>
    </row>
    <row r="7094" spans="1:2" x14ac:dyDescent="0.2">
      <c r="A7094" s="8" t="s">
        <v>7117</v>
      </c>
      <c r="B7094" s="2" t="s">
        <v>12470</v>
      </c>
    </row>
    <row r="7095" spans="1:2" x14ac:dyDescent="0.2">
      <c r="A7095" s="8" t="s">
        <v>7118</v>
      </c>
      <c r="B7095" s="2" t="s">
        <v>12470</v>
      </c>
    </row>
    <row r="7096" spans="1:2" x14ac:dyDescent="0.2">
      <c r="A7096" s="8" t="s">
        <v>7119</v>
      </c>
      <c r="B7096" s="2" t="s">
        <v>12470</v>
      </c>
    </row>
    <row r="7097" spans="1:2" x14ac:dyDescent="0.2">
      <c r="A7097" s="8" t="s">
        <v>7120</v>
      </c>
      <c r="B7097" s="2" t="s">
        <v>12470</v>
      </c>
    </row>
    <row r="7098" spans="1:2" x14ac:dyDescent="0.2">
      <c r="A7098" s="8" t="s">
        <v>7121</v>
      </c>
      <c r="B7098" s="2" t="s">
        <v>12470</v>
      </c>
    </row>
    <row r="7099" spans="1:2" x14ac:dyDescent="0.2">
      <c r="A7099" s="8" t="s">
        <v>7122</v>
      </c>
      <c r="B7099" s="2" t="s">
        <v>12470</v>
      </c>
    </row>
    <row r="7100" spans="1:2" x14ac:dyDescent="0.2">
      <c r="A7100" s="8" t="s">
        <v>7123</v>
      </c>
      <c r="B7100" s="2" t="s">
        <v>12470</v>
      </c>
    </row>
    <row r="7101" spans="1:2" x14ac:dyDescent="0.2">
      <c r="A7101" s="8" t="s">
        <v>7124</v>
      </c>
      <c r="B7101" s="2" t="s">
        <v>12470</v>
      </c>
    </row>
    <row r="7102" spans="1:2" x14ac:dyDescent="0.2">
      <c r="A7102" s="8" t="s">
        <v>7125</v>
      </c>
      <c r="B7102" s="2" t="s">
        <v>12470</v>
      </c>
    </row>
    <row r="7103" spans="1:2" x14ac:dyDescent="0.2">
      <c r="A7103" s="8" t="s">
        <v>7126</v>
      </c>
      <c r="B7103" s="2" t="s">
        <v>12470</v>
      </c>
    </row>
    <row r="7104" spans="1:2" x14ac:dyDescent="0.2">
      <c r="A7104" s="8" t="s">
        <v>7127</v>
      </c>
      <c r="B7104" s="2" t="s">
        <v>12470</v>
      </c>
    </row>
    <row r="7105" spans="1:2" x14ac:dyDescent="0.2">
      <c r="A7105" s="8" t="s">
        <v>7128</v>
      </c>
      <c r="B7105" s="2" t="s">
        <v>12470</v>
      </c>
    </row>
    <row r="7106" spans="1:2" x14ac:dyDescent="0.2">
      <c r="A7106" s="8" t="s">
        <v>7129</v>
      </c>
      <c r="B7106" s="2" t="s">
        <v>12470</v>
      </c>
    </row>
    <row r="7107" spans="1:2" x14ac:dyDescent="0.2">
      <c r="A7107" s="8" t="s">
        <v>7130</v>
      </c>
      <c r="B7107" s="2" t="s">
        <v>12470</v>
      </c>
    </row>
    <row r="7108" spans="1:2" x14ac:dyDescent="0.2">
      <c r="A7108" s="8" t="s">
        <v>7131</v>
      </c>
      <c r="B7108" s="2" t="s">
        <v>12470</v>
      </c>
    </row>
    <row r="7109" spans="1:2" x14ac:dyDescent="0.2">
      <c r="A7109" s="8" t="s">
        <v>7132</v>
      </c>
      <c r="B7109" s="2" t="s">
        <v>12470</v>
      </c>
    </row>
    <row r="7110" spans="1:2" x14ac:dyDescent="0.2">
      <c r="A7110" s="8" t="s">
        <v>7133</v>
      </c>
      <c r="B7110" s="2" t="s">
        <v>12470</v>
      </c>
    </row>
    <row r="7111" spans="1:2" x14ac:dyDescent="0.2">
      <c r="A7111" s="8" t="s">
        <v>7134</v>
      </c>
      <c r="B7111" s="2" t="s">
        <v>12470</v>
      </c>
    </row>
    <row r="7112" spans="1:2" x14ac:dyDescent="0.2">
      <c r="A7112" s="8" t="s">
        <v>7135</v>
      </c>
      <c r="B7112" s="2" t="s">
        <v>12470</v>
      </c>
    </row>
    <row r="7113" spans="1:2" x14ac:dyDescent="0.2">
      <c r="A7113" s="8" t="s">
        <v>7136</v>
      </c>
      <c r="B7113" s="2" t="s">
        <v>12470</v>
      </c>
    </row>
    <row r="7114" spans="1:2" x14ac:dyDescent="0.2">
      <c r="A7114" s="8" t="s">
        <v>7137</v>
      </c>
      <c r="B7114" s="2" t="s">
        <v>12470</v>
      </c>
    </row>
    <row r="7115" spans="1:2" x14ac:dyDescent="0.2">
      <c r="A7115" s="8" t="s">
        <v>7138</v>
      </c>
      <c r="B7115" s="2" t="s">
        <v>12470</v>
      </c>
    </row>
    <row r="7116" spans="1:2" x14ac:dyDescent="0.2">
      <c r="A7116" s="8" t="s">
        <v>7139</v>
      </c>
      <c r="B7116" s="2" t="s">
        <v>12470</v>
      </c>
    </row>
    <row r="7117" spans="1:2" x14ac:dyDescent="0.2">
      <c r="A7117" s="8" t="s">
        <v>7140</v>
      </c>
      <c r="B7117" s="2" t="s">
        <v>12470</v>
      </c>
    </row>
    <row r="7118" spans="1:2" x14ac:dyDescent="0.2">
      <c r="A7118" s="8" t="s">
        <v>7141</v>
      </c>
      <c r="B7118" s="2" t="s">
        <v>12470</v>
      </c>
    </row>
    <row r="7119" spans="1:2" x14ac:dyDescent="0.2">
      <c r="A7119" s="8" t="s">
        <v>7142</v>
      </c>
      <c r="B7119" s="2" t="s">
        <v>12470</v>
      </c>
    </row>
    <row r="7120" spans="1:2" x14ac:dyDescent="0.2">
      <c r="A7120" s="8" t="s">
        <v>7143</v>
      </c>
      <c r="B7120" s="2" t="s">
        <v>12470</v>
      </c>
    </row>
    <row r="7121" spans="1:2" x14ac:dyDescent="0.2">
      <c r="A7121" s="8" t="s">
        <v>7144</v>
      </c>
      <c r="B7121" s="2" t="s">
        <v>12470</v>
      </c>
    </row>
    <row r="7122" spans="1:2" x14ac:dyDescent="0.2">
      <c r="A7122" s="8" t="s">
        <v>7145</v>
      </c>
      <c r="B7122" s="2" t="s">
        <v>12470</v>
      </c>
    </row>
    <row r="7123" spans="1:2" x14ac:dyDescent="0.2">
      <c r="A7123" s="8" t="s">
        <v>7146</v>
      </c>
      <c r="B7123" s="2" t="s">
        <v>12470</v>
      </c>
    </row>
    <row r="7124" spans="1:2" x14ac:dyDescent="0.2">
      <c r="A7124" s="8" t="s">
        <v>7147</v>
      </c>
      <c r="B7124" s="2" t="s">
        <v>12470</v>
      </c>
    </row>
    <row r="7125" spans="1:2" x14ac:dyDescent="0.2">
      <c r="A7125" s="8" t="s">
        <v>7148</v>
      </c>
      <c r="B7125" s="2" t="s">
        <v>12470</v>
      </c>
    </row>
    <row r="7126" spans="1:2" x14ac:dyDescent="0.2">
      <c r="A7126" s="8" t="s">
        <v>7149</v>
      </c>
      <c r="B7126" s="2" t="s">
        <v>12470</v>
      </c>
    </row>
    <row r="7127" spans="1:2" x14ac:dyDescent="0.2">
      <c r="A7127" s="8" t="s">
        <v>7150</v>
      </c>
      <c r="B7127" s="2" t="s">
        <v>12470</v>
      </c>
    </row>
    <row r="7128" spans="1:2" x14ac:dyDescent="0.2">
      <c r="A7128" s="8" t="s">
        <v>7151</v>
      </c>
      <c r="B7128" s="2" t="s">
        <v>12470</v>
      </c>
    </row>
    <row r="7129" spans="1:2" x14ac:dyDescent="0.2">
      <c r="A7129" s="8" t="s">
        <v>7152</v>
      </c>
      <c r="B7129" s="2" t="s">
        <v>12470</v>
      </c>
    </row>
    <row r="7130" spans="1:2" x14ac:dyDescent="0.2">
      <c r="A7130" s="8" t="s">
        <v>7153</v>
      </c>
      <c r="B7130" s="2" t="s">
        <v>12470</v>
      </c>
    </row>
    <row r="7131" spans="1:2" x14ac:dyDescent="0.2">
      <c r="A7131" s="8" t="s">
        <v>7154</v>
      </c>
      <c r="B7131" s="2" t="s">
        <v>12470</v>
      </c>
    </row>
    <row r="7132" spans="1:2" x14ac:dyDescent="0.2">
      <c r="A7132" s="8" t="s">
        <v>7155</v>
      </c>
      <c r="B7132" s="2" t="s">
        <v>12470</v>
      </c>
    </row>
    <row r="7133" spans="1:2" x14ac:dyDescent="0.2">
      <c r="A7133" s="8" t="s">
        <v>7156</v>
      </c>
      <c r="B7133" s="2" t="s">
        <v>12470</v>
      </c>
    </row>
    <row r="7134" spans="1:2" x14ac:dyDescent="0.2">
      <c r="A7134" s="8" t="s">
        <v>7157</v>
      </c>
      <c r="B7134" s="2" t="s">
        <v>12470</v>
      </c>
    </row>
    <row r="7135" spans="1:2" x14ac:dyDescent="0.2">
      <c r="A7135" s="8" t="s">
        <v>7158</v>
      </c>
      <c r="B7135" s="2" t="s">
        <v>12470</v>
      </c>
    </row>
    <row r="7136" spans="1:2" x14ac:dyDescent="0.2">
      <c r="A7136" s="8" t="s">
        <v>7159</v>
      </c>
      <c r="B7136" s="2" t="s">
        <v>12470</v>
      </c>
    </row>
    <row r="7137" spans="1:2" x14ac:dyDescent="0.2">
      <c r="A7137" s="8" t="s">
        <v>7160</v>
      </c>
      <c r="B7137" s="2" t="s">
        <v>12470</v>
      </c>
    </row>
    <row r="7138" spans="1:2" x14ac:dyDescent="0.2">
      <c r="A7138" s="8" t="s">
        <v>7161</v>
      </c>
      <c r="B7138" s="2" t="s">
        <v>12470</v>
      </c>
    </row>
    <row r="7139" spans="1:2" x14ac:dyDescent="0.2">
      <c r="A7139" s="8" t="s">
        <v>7162</v>
      </c>
      <c r="B7139" s="2" t="s">
        <v>12470</v>
      </c>
    </row>
    <row r="7140" spans="1:2" x14ac:dyDescent="0.2">
      <c r="A7140" s="8" t="s">
        <v>7163</v>
      </c>
      <c r="B7140" s="2" t="s">
        <v>12470</v>
      </c>
    </row>
    <row r="7141" spans="1:2" x14ac:dyDescent="0.2">
      <c r="A7141" s="8" t="s">
        <v>7164</v>
      </c>
      <c r="B7141" s="2" t="s">
        <v>12470</v>
      </c>
    </row>
    <row r="7142" spans="1:2" x14ac:dyDescent="0.2">
      <c r="A7142" s="8" t="s">
        <v>7165</v>
      </c>
      <c r="B7142" s="2" t="s">
        <v>12470</v>
      </c>
    </row>
    <row r="7143" spans="1:2" x14ac:dyDescent="0.2">
      <c r="A7143" s="8" t="s">
        <v>7166</v>
      </c>
      <c r="B7143" s="2" t="s">
        <v>12470</v>
      </c>
    </row>
    <row r="7144" spans="1:2" x14ac:dyDescent="0.2">
      <c r="A7144" s="8" t="s">
        <v>7167</v>
      </c>
      <c r="B7144" s="2" t="s">
        <v>12470</v>
      </c>
    </row>
    <row r="7145" spans="1:2" x14ac:dyDescent="0.2">
      <c r="A7145" s="8" t="s">
        <v>7168</v>
      </c>
      <c r="B7145" s="2" t="s">
        <v>12470</v>
      </c>
    </row>
    <row r="7146" spans="1:2" x14ac:dyDescent="0.2">
      <c r="A7146" s="8" t="s">
        <v>7169</v>
      </c>
      <c r="B7146" s="2" t="s">
        <v>12470</v>
      </c>
    </row>
    <row r="7147" spans="1:2" x14ac:dyDescent="0.2">
      <c r="A7147" s="8" t="s">
        <v>7170</v>
      </c>
      <c r="B7147" s="2" t="s">
        <v>12470</v>
      </c>
    </row>
    <row r="7148" spans="1:2" x14ac:dyDescent="0.2">
      <c r="A7148" s="8" t="s">
        <v>7171</v>
      </c>
      <c r="B7148" s="2" t="s">
        <v>12470</v>
      </c>
    </row>
    <row r="7149" spans="1:2" x14ac:dyDescent="0.2">
      <c r="A7149" s="8" t="s">
        <v>7172</v>
      </c>
      <c r="B7149" s="2" t="s">
        <v>12470</v>
      </c>
    </row>
    <row r="7150" spans="1:2" x14ac:dyDescent="0.2">
      <c r="A7150" s="8" t="s">
        <v>7173</v>
      </c>
      <c r="B7150" s="2" t="s">
        <v>12470</v>
      </c>
    </row>
    <row r="7151" spans="1:2" x14ac:dyDescent="0.2">
      <c r="A7151" s="8" t="s">
        <v>7174</v>
      </c>
      <c r="B7151" s="2" t="s">
        <v>12470</v>
      </c>
    </row>
    <row r="7152" spans="1:2" x14ac:dyDescent="0.2">
      <c r="A7152" s="8" t="s">
        <v>7175</v>
      </c>
      <c r="B7152" s="2" t="s">
        <v>12470</v>
      </c>
    </row>
    <row r="7153" spans="1:2" x14ac:dyDescent="0.2">
      <c r="A7153" s="8" t="s">
        <v>7176</v>
      </c>
      <c r="B7153" s="2" t="s">
        <v>12470</v>
      </c>
    </row>
    <row r="7154" spans="1:2" x14ac:dyDescent="0.2">
      <c r="A7154" s="8" t="s">
        <v>7177</v>
      </c>
      <c r="B7154" s="2" t="s">
        <v>12470</v>
      </c>
    </row>
    <row r="7155" spans="1:2" x14ac:dyDescent="0.2">
      <c r="A7155" s="8" t="s">
        <v>7178</v>
      </c>
      <c r="B7155" s="2" t="s">
        <v>12470</v>
      </c>
    </row>
    <row r="7156" spans="1:2" x14ac:dyDescent="0.2">
      <c r="A7156" s="8" t="s">
        <v>7179</v>
      </c>
      <c r="B7156" s="2" t="s">
        <v>12470</v>
      </c>
    </row>
    <row r="7157" spans="1:2" x14ac:dyDescent="0.2">
      <c r="A7157" s="8" t="s">
        <v>7180</v>
      </c>
      <c r="B7157" s="2" t="s">
        <v>12470</v>
      </c>
    </row>
    <row r="7158" spans="1:2" x14ac:dyDescent="0.2">
      <c r="A7158" s="8" t="s">
        <v>7181</v>
      </c>
      <c r="B7158" s="2" t="s">
        <v>12470</v>
      </c>
    </row>
    <row r="7159" spans="1:2" x14ac:dyDescent="0.2">
      <c r="A7159" s="8" t="s">
        <v>7182</v>
      </c>
      <c r="B7159" s="2" t="s">
        <v>12470</v>
      </c>
    </row>
    <row r="7160" spans="1:2" x14ac:dyDescent="0.2">
      <c r="A7160" s="8" t="s">
        <v>7183</v>
      </c>
      <c r="B7160" s="2" t="s">
        <v>12470</v>
      </c>
    </row>
    <row r="7161" spans="1:2" x14ac:dyDescent="0.2">
      <c r="A7161" s="8" t="s">
        <v>7184</v>
      </c>
      <c r="B7161" s="2" t="s">
        <v>12470</v>
      </c>
    </row>
    <row r="7162" spans="1:2" x14ac:dyDescent="0.2">
      <c r="A7162" s="8" t="s">
        <v>7185</v>
      </c>
      <c r="B7162" s="2" t="s">
        <v>12470</v>
      </c>
    </row>
    <row r="7163" spans="1:2" x14ac:dyDescent="0.2">
      <c r="A7163" s="8" t="s">
        <v>7186</v>
      </c>
      <c r="B7163" s="2" t="s">
        <v>12470</v>
      </c>
    </row>
    <row r="7164" spans="1:2" x14ac:dyDescent="0.2">
      <c r="A7164" s="8" t="s">
        <v>7187</v>
      </c>
      <c r="B7164" s="2" t="s">
        <v>12470</v>
      </c>
    </row>
    <row r="7165" spans="1:2" x14ac:dyDescent="0.2">
      <c r="A7165" s="8" t="s">
        <v>7188</v>
      </c>
      <c r="B7165" s="2" t="s">
        <v>12470</v>
      </c>
    </row>
    <row r="7166" spans="1:2" x14ac:dyDescent="0.2">
      <c r="A7166" s="8" t="s">
        <v>7189</v>
      </c>
      <c r="B7166" s="2" t="s">
        <v>12470</v>
      </c>
    </row>
    <row r="7167" spans="1:2" x14ac:dyDescent="0.2">
      <c r="A7167" s="8" t="s">
        <v>7190</v>
      </c>
      <c r="B7167" s="2" t="s">
        <v>12470</v>
      </c>
    </row>
    <row r="7168" spans="1:2" x14ac:dyDescent="0.2">
      <c r="A7168" s="8" t="s">
        <v>7191</v>
      </c>
      <c r="B7168" s="2" t="s">
        <v>12470</v>
      </c>
    </row>
    <row r="7169" spans="1:2" x14ac:dyDescent="0.2">
      <c r="A7169" s="8" t="s">
        <v>7192</v>
      </c>
      <c r="B7169" s="2" t="s">
        <v>12470</v>
      </c>
    </row>
    <row r="7170" spans="1:2" x14ac:dyDescent="0.2">
      <c r="A7170" s="8" t="s">
        <v>7193</v>
      </c>
      <c r="B7170" s="2" t="s">
        <v>12470</v>
      </c>
    </row>
    <row r="7171" spans="1:2" x14ac:dyDescent="0.2">
      <c r="A7171" s="8" t="s">
        <v>7194</v>
      </c>
      <c r="B7171" s="2" t="s">
        <v>12470</v>
      </c>
    </row>
    <row r="7172" spans="1:2" x14ac:dyDescent="0.2">
      <c r="A7172" s="8" t="s">
        <v>7195</v>
      </c>
      <c r="B7172" s="2" t="s">
        <v>12470</v>
      </c>
    </row>
    <row r="7173" spans="1:2" x14ac:dyDescent="0.2">
      <c r="A7173" s="8" t="s">
        <v>7196</v>
      </c>
      <c r="B7173" s="2" t="s">
        <v>12470</v>
      </c>
    </row>
    <row r="7174" spans="1:2" x14ac:dyDescent="0.2">
      <c r="A7174" s="8" t="s">
        <v>7197</v>
      </c>
      <c r="B7174" s="2" t="s">
        <v>12470</v>
      </c>
    </row>
    <row r="7175" spans="1:2" x14ac:dyDescent="0.2">
      <c r="A7175" s="8" t="s">
        <v>7198</v>
      </c>
      <c r="B7175" s="2" t="s">
        <v>12470</v>
      </c>
    </row>
    <row r="7176" spans="1:2" x14ac:dyDescent="0.2">
      <c r="A7176" s="8" t="s">
        <v>7199</v>
      </c>
      <c r="B7176" s="2" t="s">
        <v>12470</v>
      </c>
    </row>
    <row r="7177" spans="1:2" x14ac:dyDescent="0.2">
      <c r="A7177" s="8" t="s">
        <v>7200</v>
      </c>
      <c r="B7177" s="2" t="s">
        <v>12470</v>
      </c>
    </row>
    <row r="7178" spans="1:2" x14ac:dyDescent="0.2">
      <c r="A7178" s="8" t="s">
        <v>7201</v>
      </c>
      <c r="B7178" s="2" t="s">
        <v>12470</v>
      </c>
    </row>
    <row r="7179" spans="1:2" x14ac:dyDescent="0.2">
      <c r="A7179" s="8" t="s">
        <v>7202</v>
      </c>
      <c r="B7179" s="2" t="s">
        <v>12470</v>
      </c>
    </row>
    <row r="7180" spans="1:2" x14ac:dyDescent="0.2">
      <c r="A7180" s="8" t="s">
        <v>7203</v>
      </c>
      <c r="B7180" s="2" t="s">
        <v>12470</v>
      </c>
    </row>
    <row r="7181" spans="1:2" x14ac:dyDescent="0.2">
      <c r="A7181" s="8" t="s">
        <v>7204</v>
      </c>
      <c r="B7181" s="2" t="s">
        <v>12470</v>
      </c>
    </row>
    <row r="7182" spans="1:2" x14ac:dyDescent="0.2">
      <c r="A7182" s="8" t="s">
        <v>7205</v>
      </c>
      <c r="B7182" s="2" t="s">
        <v>12470</v>
      </c>
    </row>
    <row r="7183" spans="1:2" x14ac:dyDescent="0.2">
      <c r="A7183" s="8" t="s">
        <v>7206</v>
      </c>
      <c r="B7183" s="2" t="s">
        <v>12470</v>
      </c>
    </row>
    <row r="7184" spans="1:2" x14ac:dyDescent="0.2">
      <c r="A7184" s="8" t="s">
        <v>7207</v>
      </c>
      <c r="B7184" s="2" t="s">
        <v>12470</v>
      </c>
    </row>
    <row r="7185" spans="1:2" x14ac:dyDescent="0.2">
      <c r="A7185" s="8" t="s">
        <v>7208</v>
      </c>
      <c r="B7185" s="2" t="s">
        <v>12470</v>
      </c>
    </row>
    <row r="7186" spans="1:2" x14ac:dyDescent="0.2">
      <c r="A7186" s="8" t="s">
        <v>7209</v>
      </c>
      <c r="B7186" s="2" t="s">
        <v>12470</v>
      </c>
    </row>
    <row r="7187" spans="1:2" x14ac:dyDescent="0.2">
      <c r="A7187" s="8" t="s">
        <v>7210</v>
      </c>
      <c r="B7187" s="2" t="s">
        <v>12470</v>
      </c>
    </row>
    <row r="7188" spans="1:2" x14ac:dyDescent="0.2">
      <c r="A7188" s="8" t="s">
        <v>7211</v>
      </c>
      <c r="B7188" s="2" t="s">
        <v>12470</v>
      </c>
    </row>
    <row r="7189" spans="1:2" x14ac:dyDescent="0.2">
      <c r="A7189" s="8" t="s">
        <v>7212</v>
      </c>
      <c r="B7189" s="2" t="s">
        <v>12470</v>
      </c>
    </row>
    <row r="7190" spans="1:2" x14ac:dyDescent="0.2">
      <c r="A7190" s="8" t="s">
        <v>7213</v>
      </c>
      <c r="B7190" s="2" t="s">
        <v>12470</v>
      </c>
    </row>
    <row r="7191" spans="1:2" x14ac:dyDescent="0.2">
      <c r="A7191" s="8" t="s">
        <v>7214</v>
      </c>
      <c r="B7191" s="2" t="s">
        <v>12470</v>
      </c>
    </row>
    <row r="7192" spans="1:2" x14ac:dyDescent="0.2">
      <c r="A7192" s="8" t="s">
        <v>7215</v>
      </c>
      <c r="B7192" s="2" t="s">
        <v>12470</v>
      </c>
    </row>
    <row r="7193" spans="1:2" x14ac:dyDescent="0.2">
      <c r="A7193" s="8" t="s">
        <v>7216</v>
      </c>
      <c r="B7193" s="2" t="s">
        <v>12470</v>
      </c>
    </row>
    <row r="7194" spans="1:2" x14ac:dyDescent="0.2">
      <c r="A7194" s="8" t="s">
        <v>7217</v>
      </c>
      <c r="B7194" s="2" t="s">
        <v>12470</v>
      </c>
    </row>
    <row r="7195" spans="1:2" x14ac:dyDescent="0.2">
      <c r="A7195" s="8" t="s">
        <v>7218</v>
      </c>
      <c r="B7195" s="2" t="s">
        <v>12470</v>
      </c>
    </row>
    <row r="7196" spans="1:2" x14ac:dyDescent="0.2">
      <c r="A7196" s="8" t="s">
        <v>7219</v>
      </c>
      <c r="B7196" s="2" t="s">
        <v>12470</v>
      </c>
    </row>
    <row r="7197" spans="1:2" x14ac:dyDescent="0.2">
      <c r="A7197" s="8" t="s">
        <v>7220</v>
      </c>
      <c r="B7197" s="2" t="s">
        <v>12470</v>
      </c>
    </row>
    <row r="7198" spans="1:2" x14ac:dyDescent="0.2">
      <c r="A7198" s="8" t="s">
        <v>7221</v>
      </c>
      <c r="B7198" s="2" t="s">
        <v>12470</v>
      </c>
    </row>
    <row r="7199" spans="1:2" x14ac:dyDescent="0.2">
      <c r="A7199" s="8" t="s">
        <v>7222</v>
      </c>
      <c r="B7199" s="2" t="s">
        <v>12470</v>
      </c>
    </row>
    <row r="7200" spans="1:2" x14ac:dyDescent="0.2">
      <c r="A7200" s="8" t="s">
        <v>7223</v>
      </c>
      <c r="B7200" s="2" t="s">
        <v>12470</v>
      </c>
    </row>
    <row r="7201" spans="1:2" x14ac:dyDescent="0.2">
      <c r="A7201" s="8" t="s">
        <v>7224</v>
      </c>
      <c r="B7201" s="2" t="s">
        <v>12470</v>
      </c>
    </row>
    <row r="7202" spans="1:2" x14ac:dyDescent="0.2">
      <c r="A7202" s="8" t="s">
        <v>7225</v>
      </c>
      <c r="B7202" s="2" t="s">
        <v>12470</v>
      </c>
    </row>
    <row r="7203" spans="1:2" x14ac:dyDescent="0.2">
      <c r="A7203" s="8" t="s">
        <v>7226</v>
      </c>
      <c r="B7203" s="2" t="s">
        <v>12470</v>
      </c>
    </row>
    <row r="7204" spans="1:2" x14ac:dyDescent="0.2">
      <c r="A7204" s="8" t="s">
        <v>7227</v>
      </c>
      <c r="B7204" s="2" t="s">
        <v>12470</v>
      </c>
    </row>
    <row r="7205" spans="1:2" x14ac:dyDescent="0.2">
      <c r="A7205" s="8" t="s">
        <v>7228</v>
      </c>
      <c r="B7205" s="2" t="s">
        <v>12470</v>
      </c>
    </row>
    <row r="7206" spans="1:2" x14ac:dyDescent="0.2">
      <c r="A7206" s="8" t="s">
        <v>7229</v>
      </c>
      <c r="B7206" s="2" t="s">
        <v>12470</v>
      </c>
    </row>
    <row r="7207" spans="1:2" x14ac:dyDescent="0.2">
      <c r="A7207" s="8" t="s">
        <v>7230</v>
      </c>
      <c r="B7207" s="2" t="s">
        <v>12471</v>
      </c>
    </row>
    <row r="7208" spans="1:2" x14ac:dyDescent="0.2">
      <c r="A7208" s="8" t="s">
        <v>7231</v>
      </c>
      <c r="B7208" s="2" t="s">
        <v>12471</v>
      </c>
    </row>
    <row r="7209" spans="1:2" x14ac:dyDescent="0.2">
      <c r="A7209" s="8" t="s">
        <v>7232</v>
      </c>
      <c r="B7209" s="2" t="s">
        <v>12471</v>
      </c>
    </row>
    <row r="7210" spans="1:2" x14ac:dyDescent="0.2">
      <c r="A7210" s="8" t="s">
        <v>7233</v>
      </c>
      <c r="B7210" s="2" t="s">
        <v>12471</v>
      </c>
    </row>
    <row r="7211" spans="1:2" x14ac:dyDescent="0.2">
      <c r="A7211" s="8" t="s">
        <v>7234</v>
      </c>
      <c r="B7211" s="2" t="s">
        <v>12471</v>
      </c>
    </row>
    <row r="7212" spans="1:2" x14ac:dyDescent="0.2">
      <c r="A7212" s="8" t="s">
        <v>7235</v>
      </c>
      <c r="B7212" s="2" t="s">
        <v>12471</v>
      </c>
    </row>
    <row r="7213" spans="1:2" x14ac:dyDescent="0.2">
      <c r="A7213" s="8" t="s">
        <v>7236</v>
      </c>
      <c r="B7213" s="2" t="s">
        <v>12471</v>
      </c>
    </row>
    <row r="7214" spans="1:2" x14ac:dyDescent="0.2">
      <c r="A7214" s="8" t="s">
        <v>7237</v>
      </c>
      <c r="B7214" s="2" t="s">
        <v>12471</v>
      </c>
    </row>
    <row r="7215" spans="1:2" x14ac:dyDescent="0.2">
      <c r="A7215" s="8" t="s">
        <v>7238</v>
      </c>
      <c r="B7215" s="2" t="s">
        <v>12471</v>
      </c>
    </row>
    <row r="7216" spans="1:2" x14ac:dyDescent="0.2">
      <c r="A7216" s="8" t="s">
        <v>7239</v>
      </c>
      <c r="B7216" s="2" t="s">
        <v>12471</v>
      </c>
    </row>
    <row r="7217" spans="1:2" x14ac:dyDescent="0.2">
      <c r="A7217" s="8" t="s">
        <v>7240</v>
      </c>
      <c r="B7217" s="2" t="s">
        <v>12471</v>
      </c>
    </row>
    <row r="7218" spans="1:2" x14ac:dyDescent="0.2">
      <c r="A7218" s="8" t="s">
        <v>7241</v>
      </c>
      <c r="B7218" s="2" t="s">
        <v>12471</v>
      </c>
    </row>
    <row r="7219" spans="1:2" x14ac:dyDescent="0.2">
      <c r="A7219" s="8" t="s">
        <v>7242</v>
      </c>
      <c r="B7219" s="2" t="s">
        <v>12471</v>
      </c>
    </row>
    <row r="7220" spans="1:2" x14ac:dyDescent="0.2">
      <c r="A7220" s="8" t="s">
        <v>7243</v>
      </c>
      <c r="B7220" s="2" t="s">
        <v>12471</v>
      </c>
    </row>
    <row r="7221" spans="1:2" x14ac:dyDescent="0.2">
      <c r="A7221" s="8" t="s">
        <v>7244</v>
      </c>
      <c r="B7221" s="2" t="s">
        <v>12471</v>
      </c>
    </row>
    <row r="7222" spans="1:2" x14ac:dyDescent="0.2">
      <c r="A7222" s="8" t="s">
        <v>7245</v>
      </c>
      <c r="B7222" s="2" t="s">
        <v>12471</v>
      </c>
    </row>
    <row r="7223" spans="1:2" x14ac:dyDescent="0.2">
      <c r="A7223" s="8" t="s">
        <v>7246</v>
      </c>
      <c r="B7223" s="2" t="s">
        <v>12471</v>
      </c>
    </row>
    <row r="7224" spans="1:2" x14ac:dyDescent="0.2">
      <c r="A7224" s="8" t="s">
        <v>7247</v>
      </c>
      <c r="B7224" s="2" t="s">
        <v>12471</v>
      </c>
    </row>
    <row r="7225" spans="1:2" x14ac:dyDescent="0.2">
      <c r="A7225" s="8" t="s">
        <v>7248</v>
      </c>
      <c r="B7225" s="2" t="s">
        <v>12471</v>
      </c>
    </row>
    <row r="7226" spans="1:2" x14ac:dyDescent="0.2">
      <c r="A7226" s="8" t="s">
        <v>7249</v>
      </c>
      <c r="B7226" s="2" t="s">
        <v>12471</v>
      </c>
    </row>
    <row r="7227" spans="1:2" x14ac:dyDescent="0.2">
      <c r="A7227" s="8" t="s">
        <v>7250</v>
      </c>
      <c r="B7227" s="2" t="s">
        <v>12471</v>
      </c>
    </row>
    <row r="7228" spans="1:2" x14ac:dyDescent="0.2">
      <c r="A7228" s="8" t="s">
        <v>7251</v>
      </c>
      <c r="B7228" s="2" t="s">
        <v>12471</v>
      </c>
    </row>
    <row r="7229" spans="1:2" x14ac:dyDescent="0.2">
      <c r="A7229" s="8" t="s">
        <v>7252</v>
      </c>
      <c r="B7229" s="2" t="s">
        <v>12471</v>
      </c>
    </row>
    <row r="7230" spans="1:2" x14ac:dyDescent="0.2">
      <c r="A7230" s="8" t="s">
        <v>7253</v>
      </c>
      <c r="B7230" s="2" t="s">
        <v>12471</v>
      </c>
    </row>
    <row r="7231" spans="1:2" x14ac:dyDescent="0.2">
      <c r="A7231" s="8" t="s">
        <v>7254</v>
      </c>
      <c r="B7231" s="2" t="s">
        <v>12471</v>
      </c>
    </row>
    <row r="7232" spans="1:2" x14ac:dyDescent="0.2">
      <c r="A7232" s="8" t="s">
        <v>7255</v>
      </c>
      <c r="B7232" s="2" t="s">
        <v>12471</v>
      </c>
    </row>
    <row r="7233" spans="1:2" x14ac:dyDescent="0.2">
      <c r="A7233" s="8" t="s">
        <v>7256</v>
      </c>
      <c r="B7233" s="2" t="s">
        <v>12471</v>
      </c>
    </row>
    <row r="7234" spans="1:2" x14ac:dyDescent="0.2">
      <c r="A7234" s="8" t="s">
        <v>7257</v>
      </c>
      <c r="B7234" s="2" t="s">
        <v>12471</v>
      </c>
    </row>
    <row r="7235" spans="1:2" x14ac:dyDescent="0.2">
      <c r="A7235" s="8" t="s">
        <v>7258</v>
      </c>
      <c r="B7235" s="2" t="s">
        <v>12471</v>
      </c>
    </row>
    <row r="7236" spans="1:2" x14ac:dyDescent="0.2">
      <c r="A7236" s="8" t="s">
        <v>7259</v>
      </c>
      <c r="B7236" s="2" t="s">
        <v>12471</v>
      </c>
    </row>
    <row r="7237" spans="1:2" x14ac:dyDescent="0.2">
      <c r="A7237" s="8" t="s">
        <v>7260</v>
      </c>
      <c r="B7237" s="2" t="s">
        <v>12471</v>
      </c>
    </row>
    <row r="7238" spans="1:2" x14ac:dyDescent="0.2">
      <c r="A7238" s="8" t="s">
        <v>7261</v>
      </c>
      <c r="B7238" s="2" t="s">
        <v>12471</v>
      </c>
    </row>
    <row r="7239" spans="1:2" x14ac:dyDescent="0.2">
      <c r="A7239" s="8" t="s">
        <v>7262</v>
      </c>
      <c r="B7239" s="2" t="s">
        <v>12471</v>
      </c>
    </row>
    <row r="7240" spans="1:2" x14ac:dyDescent="0.2">
      <c r="A7240" s="8" t="s">
        <v>7263</v>
      </c>
      <c r="B7240" s="2" t="s">
        <v>12471</v>
      </c>
    </row>
    <row r="7241" spans="1:2" x14ac:dyDescent="0.2">
      <c r="A7241" s="8" t="s">
        <v>7264</v>
      </c>
      <c r="B7241" s="2" t="s">
        <v>12471</v>
      </c>
    </row>
    <row r="7242" spans="1:2" x14ac:dyDescent="0.2">
      <c r="A7242" s="8" t="s">
        <v>7265</v>
      </c>
      <c r="B7242" s="2" t="s">
        <v>12471</v>
      </c>
    </row>
    <row r="7243" spans="1:2" x14ac:dyDescent="0.2">
      <c r="A7243" s="8" t="s">
        <v>7266</v>
      </c>
      <c r="B7243" s="2" t="s">
        <v>12471</v>
      </c>
    </row>
    <row r="7244" spans="1:2" x14ac:dyDescent="0.2">
      <c r="A7244" s="8" t="s">
        <v>7267</v>
      </c>
      <c r="B7244" s="2" t="s">
        <v>12471</v>
      </c>
    </row>
    <row r="7245" spans="1:2" x14ac:dyDescent="0.2">
      <c r="A7245" s="8" t="s">
        <v>7268</v>
      </c>
      <c r="B7245" s="2" t="s">
        <v>12471</v>
      </c>
    </row>
    <row r="7246" spans="1:2" x14ac:dyDescent="0.2">
      <c r="A7246" s="8" t="s">
        <v>7269</v>
      </c>
      <c r="B7246" s="2" t="s">
        <v>12471</v>
      </c>
    </row>
    <row r="7247" spans="1:2" x14ac:dyDescent="0.2">
      <c r="A7247" s="8" t="s">
        <v>7270</v>
      </c>
      <c r="B7247" s="2" t="s">
        <v>12471</v>
      </c>
    </row>
    <row r="7248" spans="1:2" x14ac:dyDescent="0.2">
      <c r="A7248" s="8" t="s">
        <v>7271</v>
      </c>
      <c r="B7248" s="2" t="s">
        <v>12471</v>
      </c>
    </row>
    <row r="7249" spans="1:2" x14ac:dyDescent="0.2">
      <c r="A7249" s="8" t="s">
        <v>7272</v>
      </c>
      <c r="B7249" s="2" t="s">
        <v>12471</v>
      </c>
    </row>
    <row r="7250" spans="1:2" x14ac:dyDescent="0.2">
      <c r="A7250" s="8" t="s">
        <v>7273</v>
      </c>
      <c r="B7250" s="2" t="s">
        <v>12471</v>
      </c>
    </row>
    <row r="7251" spans="1:2" x14ac:dyDescent="0.2">
      <c r="A7251" s="8" t="s">
        <v>7274</v>
      </c>
      <c r="B7251" s="2" t="s">
        <v>12471</v>
      </c>
    </row>
    <row r="7252" spans="1:2" x14ac:dyDescent="0.2">
      <c r="A7252" s="8" t="s">
        <v>7275</v>
      </c>
      <c r="B7252" s="2" t="s">
        <v>12471</v>
      </c>
    </row>
    <row r="7253" spans="1:2" x14ac:dyDescent="0.2">
      <c r="A7253" s="8" t="s">
        <v>7276</v>
      </c>
      <c r="B7253" s="2" t="s">
        <v>12471</v>
      </c>
    </row>
    <row r="7254" spans="1:2" x14ac:dyDescent="0.2">
      <c r="A7254" s="8" t="s">
        <v>7277</v>
      </c>
      <c r="B7254" s="2" t="s">
        <v>12471</v>
      </c>
    </row>
    <row r="7255" spans="1:2" x14ac:dyDescent="0.2">
      <c r="A7255" s="8" t="s">
        <v>7278</v>
      </c>
      <c r="B7255" s="2" t="s">
        <v>12471</v>
      </c>
    </row>
    <row r="7256" spans="1:2" x14ac:dyDescent="0.2">
      <c r="A7256" s="8" t="s">
        <v>7279</v>
      </c>
      <c r="B7256" s="2" t="s">
        <v>12471</v>
      </c>
    </row>
    <row r="7257" spans="1:2" x14ac:dyDescent="0.2">
      <c r="A7257" s="8" t="s">
        <v>7280</v>
      </c>
      <c r="B7257" s="2" t="s">
        <v>12471</v>
      </c>
    </row>
    <row r="7258" spans="1:2" x14ac:dyDescent="0.2">
      <c r="A7258" s="8" t="s">
        <v>7281</v>
      </c>
      <c r="B7258" s="2" t="s">
        <v>12471</v>
      </c>
    </row>
    <row r="7259" spans="1:2" x14ac:dyDescent="0.2">
      <c r="A7259" s="8" t="s">
        <v>7282</v>
      </c>
      <c r="B7259" s="2" t="s">
        <v>12471</v>
      </c>
    </row>
    <row r="7260" spans="1:2" x14ac:dyDescent="0.2">
      <c r="A7260" s="8" t="s">
        <v>7283</v>
      </c>
      <c r="B7260" s="2" t="s">
        <v>12471</v>
      </c>
    </row>
    <row r="7261" spans="1:2" x14ac:dyDescent="0.2">
      <c r="A7261" s="8" t="s">
        <v>7284</v>
      </c>
      <c r="B7261" s="2" t="s">
        <v>12471</v>
      </c>
    </row>
    <row r="7262" spans="1:2" x14ac:dyDescent="0.2">
      <c r="A7262" s="8" t="s">
        <v>7285</v>
      </c>
      <c r="B7262" s="2" t="s">
        <v>12471</v>
      </c>
    </row>
    <row r="7263" spans="1:2" x14ac:dyDescent="0.2">
      <c r="A7263" s="8" t="s">
        <v>7286</v>
      </c>
      <c r="B7263" s="2" t="s">
        <v>12471</v>
      </c>
    </row>
    <row r="7264" spans="1:2" x14ac:dyDescent="0.2">
      <c r="A7264" s="8" t="s">
        <v>7287</v>
      </c>
      <c r="B7264" s="2" t="s">
        <v>12471</v>
      </c>
    </row>
    <row r="7265" spans="1:2" x14ac:dyDescent="0.2">
      <c r="A7265" s="8" t="s">
        <v>7288</v>
      </c>
      <c r="B7265" s="2" t="s">
        <v>12471</v>
      </c>
    </row>
    <row r="7266" spans="1:2" x14ac:dyDescent="0.2">
      <c r="A7266" s="8" t="s">
        <v>7289</v>
      </c>
      <c r="B7266" s="2" t="s">
        <v>12471</v>
      </c>
    </row>
    <row r="7267" spans="1:2" x14ac:dyDescent="0.2">
      <c r="A7267" s="8" t="s">
        <v>7290</v>
      </c>
      <c r="B7267" s="2" t="s">
        <v>12471</v>
      </c>
    </row>
    <row r="7268" spans="1:2" x14ac:dyDescent="0.2">
      <c r="A7268" s="8" t="s">
        <v>7291</v>
      </c>
      <c r="B7268" s="2" t="s">
        <v>12471</v>
      </c>
    </row>
    <row r="7269" spans="1:2" x14ac:dyDescent="0.2">
      <c r="A7269" s="8" t="s">
        <v>7292</v>
      </c>
      <c r="B7269" s="2" t="s">
        <v>12471</v>
      </c>
    </row>
    <row r="7270" spans="1:2" x14ac:dyDescent="0.2">
      <c r="A7270" s="8" t="s">
        <v>7293</v>
      </c>
      <c r="B7270" s="2" t="s">
        <v>12471</v>
      </c>
    </row>
    <row r="7271" spans="1:2" x14ac:dyDescent="0.2">
      <c r="A7271" s="8" t="s">
        <v>7294</v>
      </c>
      <c r="B7271" s="2" t="s">
        <v>12471</v>
      </c>
    </row>
    <row r="7272" spans="1:2" x14ac:dyDescent="0.2">
      <c r="A7272" s="8" t="s">
        <v>7295</v>
      </c>
      <c r="B7272" s="2" t="s">
        <v>12471</v>
      </c>
    </row>
    <row r="7273" spans="1:2" x14ac:dyDescent="0.2">
      <c r="A7273" s="8" t="s">
        <v>7296</v>
      </c>
      <c r="B7273" s="2" t="s">
        <v>12471</v>
      </c>
    </row>
    <row r="7274" spans="1:2" x14ac:dyDescent="0.2">
      <c r="A7274" s="8" t="s">
        <v>7297</v>
      </c>
      <c r="B7274" s="2" t="s">
        <v>12471</v>
      </c>
    </row>
    <row r="7275" spans="1:2" x14ac:dyDescent="0.2">
      <c r="A7275" s="8" t="s">
        <v>7298</v>
      </c>
      <c r="B7275" s="2" t="s">
        <v>12471</v>
      </c>
    </row>
    <row r="7276" spans="1:2" x14ac:dyDescent="0.2">
      <c r="A7276" s="8" t="s">
        <v>7299</v>
      </c>
      <c r="B7276" s="2" t="s">
        <v>12471</v>
      </c>
    </row>
    <row r="7277" spans="1:2" x14ac:dyDescent="0.2">
      <c r="A7277" s="8" t="s">
        <v>7300</v>
      </c>
      <c r="B7277" s="2" t="s">
        <v>12471</v>
      </c>
    </row>
    <row r="7278" spans="1:2" x14ac:dyDescent="0.2">
      <c r="A7278" s="8" t="s">
        <v>7301</v>
      </c>
      <c r="B7278" s="2" t="s">
        <v>12471</v>
      </c>
    </row>
    <row r="7279" spans="1:2" x14ac:dyDescent="0.2">
      <c r="A7279" s="8" t="s">
        <v>7302</v>
      </c>
      <c r="B7279" s="2" t="s">
        <v>12471</v>
      </c>
    </row>
    <row r="7280" spans="1:2" x14ac:dyDescent="0.2">
      <c r="A7280" s="8" t="s">
        <v>7303</v>
      </c>
      <c r="B7280" s="2" t="s">
        <v>12471</v>
      </c>
    </row>
    <row r="7281" spans="1:2" x14ac:dyDescent="0.2">
      <c r="A7281" s="8" t="s">
        <v>7304</v>
      </c>
      <c r="B7281" s="2" t="s">
        <v>12471</v>
      </c>
    </row>
    <row r="7282" spans="1:2" x14ac:dyDescent="0.2">
      <c r="A7282" s="8" t="s">
        <v>7305</v>
      </c>
      <c r="B7282" s="2" t="s">
        <v>12471</v>
      </c>
    </row>
    <row r="7283" spans="1:2" x14ac:dyDescent="0.2">
      <c r="A7283" s="8" t="s">
        <v>7306</v>
      </c>
      <c r="B7283" s="2" t="s">
        <v>12471</v>
      </c>
    </row>
    <row r="7284" spans="1:2" x14ac:dyDescent="0.2">
      <c r="A7284" s="8" t="s">
        <v>7307</v>
      </c>
      <c r="B7284" s="2" t="s">
        <v>12471</v>
      </c>
    </row>
    <row r="7285" spans="1:2" x14ac:dyDescent="0.2">
      <c r="A7285" s="8" t="s">
        <v>7308</v>
      </c>
      <c r="B7285" s="2" t="s">
        <v>12471</v>
      </c>
    </row>
    <row r="7286" spans="1:2" x14ac:dyDescent="0.2">
      <c r="A7286" s="8" t="s">
        <v>7309</v>
      </c>
      <c r="B7286" s="2" t="s">
        <v>12471</v>
      </c>
    </row>
    <row r="7287" spans="1:2" x14ac:dyDescent="0.2">
      <c r="A7287" s="8" t="s">
        <v>7310</v>
      </c>
      <c r="B7287" s="2" t="s">
        <v>12471</v>
      </c>
    </row>
    <row r="7288" spans="1:2" x14ac:dyDescent="0.2">
      <c r="A7288" s="8" t="s">
        <v>7311</v>
      </c>
      <c r="B7288" s="2" t="s">
        <v>12471</v>
      </c>
    </row>
    <row r="7289" spans="1:2" x14ac:dyDescent="0.2">
      <c r="A7289" s="8" t="s">
        <v>7312</v>
      </c>
      <c r="B7289" s="2" t="s">
        <v>12471</v>
      </c>
    </row>
    <row r="7290" spans="1:2" x14ac:dyDescent="0.2">
      <c r="A7290" s="8" t="s">
        <v>7313</v>
      </c>
      <c r="B7290" s="2" t="s">
        <v>12471</v>
      </c>
    </row>
    <row r="7291" spans="1:2" x14ac:dyDescent="0.2">
      <c r="A7291" s="8" t="s">
        <v>7314</v>
      </c>
      <c r="B7291" s="2" t="s">
        <v>12471</v>
      </c>
    </row>
    <row r="7292" spans="1:2" x14ac:dyDescent="0.2">
      <c r="A7292" s="8" t="s">
        <v>7315</v>
      </c>
      <c r="B7292" s="2" t="s">
        <v>12471</v>
      </c>
    </row>
    <row r="7293" spans="1:2" x14ac:dyDescent="0.2">
      <c r="A7293" s="8" t="s">
        <v>7316</v>
      </c>
      <c r="B7293" s="2" t="s">
        <v>12471</v>
      </c>
    </row>
    <row r="7294" spans="1:2" x14ac:dyDescent="0.2">
      <c r="A7294" s="8" t="s">
        <v>7317</v>
      </c>
      <c r="B7294" s="2" t="s">
        <v>12471</v>
      </c>
    </row>
    <row r="7295" spans="1:2" x14ac:dyDescent="0.2">
      <c r="A7295" s="8" t="s">
        <v>7318</v>
      </c>
      <c r="B7295" s="2" t="s">
        <v>12471</v>
      </c>
    </row>
    <row r="7296" spans="1:2" x14ac:dyDescent="0.2">
      <c r="A7296" s="8" t="s">
        <v>7319</v>
      </c>
      <c r="B7296" s="2" t="s">
        <v>12471</v>
      </c>
    </row>
    <row r="7297" spans="1:2" x14ac:dyDescent="0.2">
      <c r="A7297" s="8" t="s">
        <v>7320</v>
      </c>
      <c r="B7297" s="2" t="s">
        <v>12471</v>
      </c>
    </row>
    <row r="7298" spans="1:2" x14ac:dyDescent="0.2">
      <c r="A7298" s="8" t="s">
        <v>7321</v>
      </c>
      <c r="B7298" s="2" t="s">
        <v>12471</v>
      </c>
    </row>
    <row r="7299" spans="1:2" x14ac:dyDescent="0.2">
      <c r="A7299" s="8" t="s">
        <v>7322</v>
      </c>
      <c r="B7299" s="2" t="s">
        <v>12471</v>
      </c>
    </row>
    <row r="7300" spans="1:2" x14ac:dyDescent="0.2">
      <c r="A7300" s="8" t="s">
        <v>7323</v>
      </c>
      <c r="B7300" s="2" t="s">
        <v>12471</v>
      </c>
    </row>
    <row r="7301" spans="1:2" x14ac:dyDescent="0.2">
      <c r="A7301" s="8" t="s">
        <v>7324</v>
      </c>
      <c r="B7301" s="2" t="s">
        <v>12471</v>
      </c>
    </row>
    <row r="7302" spans="1:2" x14ac:dyDescent="0.2">
      <c r="A7302" s="8" t="s">
        <v>7325</v>
      </c>
      <c r="B7302" s="2" t="s">
        <v>12471</v>
      </c>
    </row>
    <row r="7303" spans="1:2" x14ac:dyDescent="0.2">
      <c r="A7303" s="8" t="s">
        <v>7326</v>
      </c>
      <c r="B7303" s="2" t="s">
        <v>12471</v>
      </c>
    </row>
    <row r="7304" spans="1:2" x14ac:dyDescent="0.2">
      <c r="A7304" s="8" t="s">
        <v>7327</v>
      </c>
      <c r="B7304" s="2" t="s">
        <v>12471</v>
      </c>
    </row>
    <row r="7305" spans="1:2" x14ac:dyDescent="0.2">
      <c r="A7305" s="8" t="s">
        <v>7328</v>
      </c>
      <c r="B7305" s="2" t="s">
        <v>12471</v>
      </c>
    </row>
    <row r="7306" spans="1:2" x14ac:dyDescent="0.2">
      <c r="A7306" s="8" t="s">
        <v>7329</v>
      </c>
      <c r="B7306" s="2" t="s">
        <v>12471</v>
      </c>
    </row>
    <row r="7307" spans="1:2" x14ac:dyDescent="0.2">
      <c r="A7307" s="8" t="s">
        <v>7330</v>
      </c>
      <c r="B7307" s="2" t="s">
        <v>12471</v>
      </c>
    </row>
    <row r="7308" spans="1:2" x14ac:dyDescent="0.2">
      <c r="A7308" s="8" t="s">
        <v>7331</v>
      </c>
      <c r="B7308" s="2" t="s">
        <v>12471</v>
      </c>
    </row>
    <row r="7309" spans="1:2" x14ac:dyDescent="0.2">
      <c r="A7309" s="8" t="s">
        <v>7332</v>
      </c>
      <c r="B7309" s="2" t="s">
        <v>12471</v>
      </c>
    </row>
    <row r="7310" spans="1:2" x14ac:dyDescent="0.2">
      <c r="A7310" s="8" t="s">
        <v>7333</v>
      </c>
      <c r="B7310" s="2" t="s">
        <v>12471</v>
      </c>
    </row>
    <row r="7311" spans="1:2" x14ac:dyDescent="0.2">
      <c r="A7311" s="8" t="s">
        <v>7334</v>
      </c>
      <c r="B7311" s="2" t="s">
        <v>12471</v>
      </c>
    </row>
    <row r="7312" spans="1:2" x14ac:dyDescent="0.2">
      <c r="A7312" s="8" t="s">
        <v>7335</v>
      </c>
      <c r="B7312" s="2" t="s">
        <v>12471</v>
      </c>
    </row>
    <row r="7313" spans="1:2" x14ac:dyDescent="0.2">
      <c r="A7313" s="8" t="s">
        <v>7336</v>
      </c>
      <c r="B7313" s="2" t="s">
        <v>12471</v>
      </c>
    </row>
    <row r="7314" spans="1:2" x14ac:dyDescent="0.2">
      <c r="A7314" s="8" t="s">
        <v>7337</v>
      </c>
      <c r="B7314" s="2" t="s">
        <v>12471</v>
      </c>
    </row>
    <row r="7315" spans="1:2" x14ac:dyDescent="0.2">
      <c r="A7315" s="8" t="s">
        <v>7338</v>
      </c>
      <c r="B7315" s="2" t="s">
        <v>12471</v>
      </c>
    </row>
    <row r="7316" spans="1:2" x14ac:dyDescent="0.2">
      <c r="A7316" s="8" t="s">
        <v>7339</v>
      </c>
      <c r="B7316" s="2" t="s">
        <v>12471</v>
      </c>
    </row>
    <row r="7317" spans="1:2" x14ac:dyDescent="0.2">
      <c r="A7317" s="8" t="s">
        <v>7340</v>
      </c>
      <c r="B7317" s="2" t="s">
        <v>12471</v>
      </c>
    </row>
    <row r="7318" spans="1:2" x14ac:dyDescent="0.2">
      <c r="A7318" s="8" t="s">
        <v>7341</v>
      </c>
      <c r="B7318" s="2" t="s">
        <v>12471</v>
      </c>
    </row>
    <row r="7319" spans="1:2" x14ac:dyDescent="0.2">
      <c r="A7319" s="8" t="s">
        <v>7342</v>
      </c>
      <c r="B7319" s="2" t="s">
        <v>12471</v>
      </c>
    </row>
    <row r="7320" spans="1:2" x14ac:dyDescent="0.2">
      <c r="A7320" s="8" t="s">
        <v>7343</v>
      </c>
      <c r="B7320" s="2" t="s">
        <v>12471</v>
      </c>
    </row>
    <row r="7321" spans="1:2" x14ac:dyDescent="0.2">
      <c r="A7321" s="8" t="s">
        <v>7344</v>
      </c>
      <c r="B7321" s="2" t="s">
        <v>12471</v>
      </c>
    </row>
    <row r="7322" spans="1:2" x14ac:dyDescent="0.2">
      <c r="A7322" s="8" t="s">
        <v>7345</v>
      </c>
      <c r="B7322" s="2" t="s">
        <v>12471</v>
      </c>
    </row>
    <row r="7323" spans="1:2" x14ac:dyDescent="0.2">
      <c r="A7323" s="8" t="s">
        <v>7346</v>
      </c>
      <c r="B7323" s="2" t="s">
        <v>12471</v>
      </c>
    </row>
    <row r="7324" spans="1:2" x14ac:dyDescent="0.2">
      <c r="A7324" s="8" t="s">
        <v>7347</v>
      </c>
      <c r="B7324" s="2" t="s">
        <v>12471</v>
      </c>
    </row>
    <row r="7325" spans="1:2" x14ac:dyDescent="0.2">
      <c r="A7325" s="8" t="s">
        <v>7348</v>
      </c>
      <c r="B7325" s="2" t="s">
        <v>12471</v>
      </c>
    </row>
    <row r="7326" spans="1:2" x14ac:dyDescent="0.2">
      <c r="A7326" s="8" t="s">
        <v>7349</v>
      </c>
      <c r="B7326" s="2" t="s">
        <v>12471</v>
      </c>
    </row>
    <row r="7327" spans="1:2" x14ac:dyDescent="0.2">
      <c r="A7327" s="8" t="s">
        <v>7350</v>
      </c>
      <c r="B7327" s="2" t="s">
        <v>12471</v>
      </c>
    </row>
    <row r="7328" spans="1:2" x14ac:dyDescent="0.2">
      <c r="A7328" s="8" t="s">
        <v>7351</v>
      </c>
      <c r="B7328" s="2" t="s">
        <v>12471</v>
      </c>
    </row>
    <row r="7329" spans="1:2" x14ac:dyDescent="0.2">
      <c r="A7329" s="8" t="s">
        <v>7352</v>
      </c>
      <c r="B7329" s="2" t="s">
        <v>12471</v>
      </c>
    </row>
    <row r="7330" spans="1:2" x14ac:dyDescent="0.2">
      <c r="A7330" s="8" t="s">
        <v>7353</v>
      </c>
      <c r="B7330" s="2" t="s">
        <v>12471</v>
      </c>
    </row>
    <row r="7331" spans="1:2" x14ac:dyDescent="0.2">
      <c r="A7331" s="8" t="s">
        <v>7354</v>
      </c>
      <c r="B7331" s="2" t="s">
        <v>12471</v>
      </c>
    </row>
    <row r="7332" spans="1:2" x14ac:dyDescent="0.2">
      <c r="A7332" s="8" t="s">
        <v>7355</v>
      </c>
      <c r="B7332" s="2" t="s">
        <v>12471</v>
      </c>
    </row>
    <row r="7333" spans="1:2" x14ac:dyDescent="0.2">
      <c r="A7333" s="8" t="s">
        <v>7356</v>
      </c>
      <c r="B7333" s="2" t="s">
        <v>12471</v>
      </c>
    </row>
    <row r="7334" spans="1:2" x14ac:dyDescent="0.2">
      <c r="A7334" s="8" t="s">
        <v>7357</v>
      </c>
      <c r="B7334" s="2" t="s">
        <v>12471</v>
      </c>
    </row>
    <row r="7335" spans="1:2" x14ac:dyDescent="0.2">
      <c r="A7335" s="8" t="s">
        <v>7358</v>
      </c>
      <c r="B7335" s="2" t="s">
        <v>12471</v>
      </c>
    </row>
    <row r="7336" spans="1:2" x14ac:dyDescent="0.2">
      <c r="A7336" s="8" t="s">
        <v>7359</v>
      </c>
      <c r="B7336" s="2" t="s">
        <v>12471</v>
      </c>
    </row>
    <row r="7337" spans="1:2" x14ac:dyDescent="0.2">
      <c r="A7337" s="8" t="s">
        <v>7360</v>
      </c>
      <c r="B7337" s="2" t="s">
        <v>12471</v>
      </c>
    </row>
    <row r="7338" spans="1:2" x14ac:dyDescent="0.2">
      <c r="A7338" s="8" t="s">
        <v>7361</v>
      </c>
      <c r="B7338" s="2" t="s">
        <v>12471</v>
      </c>
    </row>
    <row r="7339" spans="1:2" x14ac:dyDescent="0.2">
      <c r="A7339" s="8" t="s">
        <v>7362</v>
      </c>
      <c r="B7339" s="2" t="s">
        <v>12471</v>
      </c>
    </row>
    <row r="7340" spans="1:2" x14ac:dyDescent="0.2">
      <c r="A7340" s="8" t="s">
        <v>7363</v>
      </c>
      <c r="B7340" s="2" t="s">
        <v>12471</v>
      </c>
    </row>
    <row r="7341" spans="1:2" x14ac:dyDescent="0.2">
      <c r="A7341" s="8" t="s">
        <v>7364</v>
      </c>
      <c r="B7341" s="2" t="s">
        <v>12471</v>
      </c>
    </row>
    <row r="7342" spans="1:2" x14ac:dyDescent="0.2">
      <c r="A7342" s="8" t="s">
        <v>7365</v>
      </c>
      <c r="B7342" s="2" t="s">
        <v>12471</v>
      </c>
    </row>
    <row r="7343" spans="1:2" x14ac:dyDescent="0.2">
      <c r="A7343" s="8" t="s">
        <v>7366</v>
      </c>
      <c r="B7343" s="2" t="s">
        <v>12471</v>
      </c>
    </row>
    <row r="7344" spans="1:2" x14ac:dyDescent="0.2">
      <c r="A7344" s="8" t="s">
        <v>7367</v>
      </c>
      <c r="B7344" s="2" t="s">
        <v>12471</v>
      </c>
    </row>
    <row r="7345" spans="1:2" x14ac:dyDescent="0.2">
      <c r="A7345" s="8" t="s">
        <v>7368</v>
      </c>
      <c r="B7345" s="2" t="s">
        <v>12471</v>
      </c>
    </row>
    <row r="7346" spans="1:2" x14ac:dyDescent="0.2">
      <c r="A7346" s="8" t="s">
        <v>7369</v>
      </c>
      <c r="B7346" s="2" t="s">
        <v>12471</v>
      </c>
    </row>
    <row r="7347" spans="1:2" x14ac:dyDescent="0.2">
      <c r="A7347" s="8" t="s">
        <v>7370</v>
      </c>
      <c r="B7347" s="2" t="s">
        <v>12471</v>
      </c>
    </row>
    <row r="7348" spans="1:2" x14ac:dyDescent="0.2">
      <c r="A7348" s="8" t="s">
        <v>7371</v>
      </c>
      <c r="B7348" s="2" t="s">
        <v>12471</v>
      </c>
    </row>
    <row r="7349" spans="1:2" x14ac:dyDescent="0.2">
      <c r="A7349" s="8" t="s">
        <v>7372</v>
      </c>
      <c r="B7349" s="2" t="s">
        <v>12471</v>
      </c>
    </row>
    <row r="7350" spans="1:2" x14ac:dyDescent="0.2">
      <c r="A7350" s="8" t="s">
        <v>7373</v>
      </c>
      <c r="B7350" s="2" t="s">
        <v>12471</v>
      </c>
    </row>
    <row r="7351" spans="1:2" x14ac:dyDescent="0.2">
      <c r="A7351" s="8" t="s">
        <v>7374</v>
      </c>
      <c r="B7351" s="2" t="s">
        <v>12471</v>
      </c>
    </row>
    <row r="7352" spans="1:2" x14ac:dyDescent="0.2">
      <c r="A7352" s="8" t="s">
        <v>7375</v>
      </c>
      <c r="B7352" s="2" t="s">
        <v>12471</v>
      </c>
    </row>
    <row r="7353" spans="1:2" x14ac:dyDescent="0.2">
      <c r="A7353" s="8" t="s">
        <v>7376</v>
      </c>
      <c r="B7353" s="2" t="s">
        <v>12471</v>
      </c>
    </row>
    <row r="7354" spans="1:2" x14ac:dyDescent="0.2">
      <c r="A7354" s="8" t="s">
        <v>7377</v>
      </c>
      <c r="B7354" s="2" t="s">
        <v>12471</v>
      </c>
    </row>
    <row r="7355" spans="1:2" x14ac:dyDescent="0.2">
      <c r="A7355" s="8" t="s">
        <v>7378</v>
      </c>
      <c r="B7355" s="2" t="s">
        <v>12471</v>
      </c>
    </row>
    <row r="7356" spans="1:2" x14ac:dyDescent="0.2">
      <c r="A7356" s="8" t="s">
        <v>7379</v>
      </c>
      <c r="B7356" s="2" t="s">
        <v>12471</v>
      </c>
    </row>
    <row r="7357" spans="1:2" x14ac:dyDescent="0.2">
      <c r="A7357" s="8" t="s">
        <v>7380</v>
      </c>
      <c r="B7357" s="2" t="s">
        <v>12471</v>
      </c>
    </row>
    <row r="7358" spans="1:2" x14ac:dyDescent="0.2">
      <c r="A7358" s="8" t="s">
        <v>7381</v>
      </c>
      <c r="B7358" s="2" t="s">
        <v>12471</v>
      </c>
    </row>
    <row r="7359" spans="1:2" x14ac:dyDescent="0.2">
      <c r="A7359" s="8" t="s">
        <v>7382</v>
      </c>
      <c r="B7359" s="2" t="s">
        <v>12471</v>
      </c>
    </row>
    <row r="7360" spans="1:2" x14ac:dyDescent="0.2">
      <c r="A7360" s="8" t="s">
        <v>7383</v>
      </c>
      <c r="B7360" s="2" t="s">
        <v>12471</v>
      </c>
    </row>
    <row r="7361" spans="1:2" x14ac:dyDescent="0.2">
      <c r="A7361" s="8" t="s">
        <v>7384</v>
      </c>
      <c r="B7361" s="2" t="s">
        <v>12471</v>
      </c>
    </row>
    <row r="7362" spans="1:2" x14ac:dyDescent="0.2">
      <c r="A7362" s="8" t="s">
        <v>7385</v>
      </c>
      <c r="B7362" s="2" t="s">
        <v>12471</v>
      </c>
    </row>
    <row r="7363" spans="1:2" x14ac:dyDescent="0.2">
      <c r="A7363" s="8" t="s">
        <v>7386</v>
      </c>
      <c r="B7363" s="2" t="s">
        <v>12471</v>
      </c>
    </row>
    <row r="7364" spans="1:2" x14ac:dyDescent="0.2">
      <c r="A7364" s="8" t="s">
        <v>7387</v>
      </c>
      <c r="B7364" s="2" t="s">
        <v>12471</v>
      </c>
    </row>
    <row r="7365" spans="1:2" x14ac:dyDescent="0.2">
      <c r="A7365" s="8" t="s">
        <v>7388</v>
      </c>
      <c r="B7365" s="2" t="s">
        <v>12471</v>
      </c>
    </row>
    <row r="7366" spans="1:2" x14ac:dyDescent="0.2">
      <c r="A7366" s="8" t="s">
        <v>7389</v>
      </c>
      <c r="B7366" s="2" t="s">
        <v>12471</v>
      </c>
    </row>
    <row r="7367" spans="1:2" x14ac:dyDescent="0.2">
      <c r="A7367" s="8" t="s">
        <v>7390</v>
      </c>
      <c r="B7367" s="2" t="s">
        <v>12471</v>
      </c>
    </row>
    <row r="7368" spans="1:2" x14ac:dyDescent="0.2">
      <c r="A7368" s="8" t="s">
        <v>7391</v>
      </c>
      <c r="B7368" s="2" t="s">
        <v>12471</v>
      </c>
    </row>
    <row r="7369" spans="1:2" x14ac:dyDescent="0.2">
      <c r="A7369" s="8" t="s">
        <v>7392</v>
      </c>
      <c r="B7369" s="2" t="s">
        <v>12471</v>
      </c>
    </row>
    <row r="7370" spans="1:2" x14ac:dyDescent="0.2">
      <c r="A7370" s="8" t="s">
        <v>7393</v>
      </c>
      <c r="B7370" s="2" t="s">
        <v>12471</v>
      </c>
    </row>
    <row r="7371" spans="1:2" x14ac:dyDescent="0.2">
      <c r="A7371" s="8" t="s">
        <v>7394</v>
      </c>
      <c r="B7371" s="2" t="s">
        <v>12471</v>
      </c>
    </row>
    <row r="7372" spans="1:2" x14ac:dyDescent="0.2">
      <c r="A7372" s="8" t="s">
        <v>7395</v>
      </c>
      <c r="B7372" s="2" t="s">
        <v>12471</v>
      </c>
    </row>
    <row r="7373" spans="1:2" x14ac:dyDescent="0.2">
      <c r="A7373" s="8" t="s">
        <v>7396</v>
      </c>
      <c r="B7373" s="2" t="s">
        <v>12471</v>
      </c>
    </row>
    <row r="7374" spans="1:2" x14ac:dyDescent="0.2">
      <c r="A7374" s="8" t="s">
        <v>7397</v>
      </c>
      <c r="B7374" s="2" t="s">
        <v>12471</v>
      </c>
    </row>
    <row r="7375" spans="1:2" x14ac:dyDescent="0.2">
      <c r="A7375" s="8" t="s">
        <v>7398</v>
      </c>
      <c r="B7375" s="2" t="s">
        <v>12471</v>
      </c>
    </row>
    <row r="7376" spans="1:2" x14ac:dyDescent="0.2">
      <c r="A7376" s="8" t="s">
        <v>7399</v>
      </c>
      <c r="B7376" s="2" t="s">
        <v>12471</v>
      </c>
    </row>
    <row r="7377" spans="1:2" x14ac:dyDescent="0.2">
      <c r="A7377" s="8" t="s">
        <v>7400</v>
      </c>
      <c r="B7377" s="2" t="s">
        <v>12471</v>
      </c>
    </row>
    <row r="7378" spans="1:2" x14ac:dyDescent="0.2">
      <c r="A7378" s="8" t="s">
        <v>7401</v>
      </c>
      <c r="B7378" s="2" t="s">
        <v>12471</v>
      </c>
    </row>
    <row r="7379" spans="1:2" x14ac:dyDescent="0.2">
      <c r="A7379" s="8" t="s">
        <v>7402</v>
      </c>
      <c r="B7379" s="2" t="s">
        <v>12471</v>
      </c>
    </row>
    <row r="7380" spans="1:2" x14ac:dyDescent="0.2">
      <c r="A7380" s="8" t="s">
        <v>7403</v>
      </c>
      <c r="B7380" s="2" t="s">
        <v>12471</v>
      </c>
    </row>
    <row r="7381" spans="1:2" x14ac:dyDescent="0.2">
      <c r="A7381" s="8" t="s">
        <v>7404</v>
      </c>
      <c r="B7381" s="2" t="s">
        <v>12471</v>
      </c>
    </row>
    <row r="7382" spans="1:2" x14ac:dyDescent="0.2">
      <c r="A7382" s="8" t="s">
        <v>7405</v>
      </c>
      <c r="B7382" s="2" t="s">
        <v>12471</v>
      </c>
    </row>
    <row r="7383" spans="1:2" x14ac:dyDescent="0.2">
      <c r="A7383" s="8" t="s">
        <v>7406</v>
      </c>
      <c r="B7383" s="2" t="s">
        <v>12471</v>
      </c>
    </row>
    <row r="7384" spans="1:2" x14ac:dyDescent="0.2">
      <c r="A7384" s="8" t="s">
        <v>7407</v>
      </c>
      <c r="B7384" s="2" t="s">
        <v>12471</v>
      </c>
    </row>
    <row r="7385" spans="1:2" x14ac:dyDescent="0.2">
      <c r="A7385" s="8" t="s">
        <v>7408</v>
      </c>
      <c r="B7385" s="2" t="s">
        <v>12471</v>
      </c>
    </row>
    <row r="7386" spans="1:2" x14ac:dyDescent="0.2">
      <c r="A7386" s="8" t="s">
        <v>7409</v>
      </c>
      <c r="B7386" s="2" t="s">
        <v>12471</v>
      </c>
    </row>
    <row r="7387" spans="1:2" x14ac:dyDescent="0.2">
      <c r="A7387" s="8" t="s">
        <v>7410</v>
      </c>
      <c r="B7387" s="2" t="s">
        <v>12471</v>
      </c>
    </row>
    <row r="7388" spans="1:2" x14ac:dyDescent="0.2">
      <c r="A7388" s="8" t="s">
        <v>7411</v>
      </c>
      <c r="B7388" s="2" t="s">
        <v>12471</v>
      </c>
    </row>
    <row r="7389" spans="1:2" x14ac:dyDescent="0.2">
      <c r="A7389" s="8" t="s">
        <v>7412</v>
      </c>
      <c r="B7389" s="2" t="s">
        <v>12471</v>
      </c>
    </row>
    <row r="7390" spans="1:2" x14ac:dyDescent="0.2">
      <c r="A7390" s="8" t="s">
        <v>7413</v>
      </c>
      <c r="B7390" s="2" t="s">
        <v>12471</v>
      </c>
    </row>
    <row r="7391" spans="1:2" x14ac:dyDescent="0.2">
      <c r="A7391" s="8" t="s">
        <v>7414</v>
      </c>
      <c r="B7391" s="2" t="s">
        <v>12471</v>
      </c>
    </row>
    <row r="7392" spans="1:2" x14ac:dyDescent="0.2">
      <c r="A7392" s="8" t="s">
        <v>7415</v>
      </c>
      <c r="B7392" s="2" t="s">
        <v>12471</v>
      </c>
    </row>
    <row r="7393" spans="1:2" x14ac:dyDescent="0.2">
      <c r="A7393" s="8" t="s">
        <v>7416</v>
      </c>
      <c r="B7393" s="2" t="s">
        <v>12471</v>
      </c>
    </row>
    <row r="7394" spans="1:2" x14ac:dyDescent="0.2">
      <c r="A7394" s="8" t="s">
        <v>7417</v>
      </c>
      <c r="B7394" s="2" t="s">
        <v>12471</v>
      </c>
    </row>
    <row r="7395" spans="1:2" x14ac:dyDescent="0.2">
      <c r="A7395" s="8" t="s">
        <v>7418</v>
      </c>
      <c r="B7395" s="2" t="s">
        <v>12471</v>
      </c>
    </row>
    <row r="7396" spans="1:2" x14ac:dyDescent="0.2">
      <c r="A7396" s="8" t="s">
        <v>7419</v>
      </c>
      <c r="B7396" s="2" t="s">
        <v>12471</v>
      </c>
    </row>
    <row r="7397" spans="1:2" x14ac:dyDescent="0.2">
      <c r="A7397" s="8" t="s">
        <v>7420</v>
      </c>
      <c r="B7397" s="2" t="s">
        <v>12471</v>
      </c>
    </row>
    <row r="7398" spans="1:2" x14ac:dyDescent="0.2">
      <c r="A7398" s="8" t="s">
        <v>7421</v>
      </c>
      <c r="B7398" s="2" t="s">
        <v>12471</v>
      </c>
    </row>
    <row r="7399" spans="1:2" x14ac:dyDescent="0.2">
      <c r="A7399" s="8" t="s">
        <v>7422</v>
      </c>
      <c r="B7399" s="2" t="s">
        <v>12471</v>
      </c>
    </row>
    <row r="7400" spans="1:2" x14ac:dyDescent="0.2">
      <c r="A7400" s="8" t="s">
        <v>7423</v>
      </c>
      <c r="B7400" s="2" t="s">
        <v>12471</v>
      </c>
    </row>
    <row r="7401" spans="1:2" x14ac:dyDescent="0.2">
      <c r="A7401" s="8" t="s">
        <v>7424</v>
      </c>
      <c r="B7401" s="2" t="s">
        <v>12471</v>
      </c>
    </row>
    <row r="7402" spans="1:2" x14ac:dyDescent="0.2">
      <c r="A7402" s="8" t="s">
        <v>7425</v>
      </c>
      <c r="B7402" s="2" t="s">
        <v>12471</v>
      </c>
    </row>
    <row r="7403" spans="1:2" x14ac:dyDescent="0.2">
      <c r="A7403" s="8" t="s">
        <v>7426</v>
      </c>
      <c r="B7403" s="2" t="s">
        <v>12471</v>
      </c>
    </row>
    <row r="7404" spans="1:2" x14ac:dyDescent="0.2">
      <c r="A7404" s="8" t="s">
        <v>7427</v>
      </c>
      <c r="B7404" s="2" t="s">
        <v>12471</v>
      </c>
    </row>
    <row r="7405" spans="1:2" x14ac:dyDescent="0.2">
      <c r="A7405" s="8" t="s">
        <v>7428</v>
      </c>
      <c r="B7405" s="2" t="s">
        <v>12471</v>
      </c>
    </row>
    <row r="7406" spans="1:2" x14ac:dyDescent="0.2">
      <c r="A7406" s="8" t="s">
        <v>7429</v>
      </c>
      <c r="B7406" s="2" t="s">
        <v>12471</v>
      </c>
    </row>
    <row r="7407" spans="1:2" x14ac:dyDescent="0.2">
      <c r="A7407" s="8" t="s">
        <v>7430</v>
      </c>
      <c r="B7407" s="2" t="s">
        <v>12471</v>
      </c>
    </row>
    <row r="7408" spans="1:2" x14ac:dyDescent="0.2">
      <c r="A7408" s="8" t="s">
        <v>7431</v>
      </c>
      <c r="B7408" s="2" t="s">
        <v>12471</v>
      </c>
    </row>
    <row r="7409" spans="1:2" x14ac:dyDescent="0.2">
      <c r="A7409" s="8" t="s">
        <v>7432</v>
      </c>
      <c r="B7409" s="2" t="s">
        <v>12471</v>
      </c>
    </row>
    <row r="7410" spans="1:2" x14ac:dyDescent="0.2">
      <c r="A7410" s="8" t="s">
        <v>7433</v>
      </c>
      <c r="B7410" s="2" t="s">
        <v>12471</v>
      </c>
    </row>
    <row r="7411" spans="1:2" x14ac:dyDescent="0.2">
      <c r="A7411" s="8" t="s">
        <v>7434</v>
      </c>
      <c r="B7411" s="2" t="s">
        <v>12471</v>
      </c>
    </row>
    <row r="7412" spans="1:2" x14ac:dyDescent="0.2">
      <c r="A7412" s="8" t="s">
        <v>7435</v>
      </c>
      <c r="B7412" s="2" t="s">
        <v>12471</v>
      </c>
    </row>
    <row r="7413" spans="1:2" x14ac:dyDescent="0.2">
      <c r="A7413" s="8" t="s">
        <v>7436</v>
      </c>
      <c r="B7413" s="2" t="s">
        <v>12471</v>
      </c>
    </row>
    <row r="7414" spans="1:2" x14ac:dyDescent="0.2">
      <c r="A7414" s="8" t="s">
        <v>7437</v>
      </c>
      <c r="B7414" s="2" t="s">
        <v>12471</v>
      </c>
    </row>
    <row r="7415" spans="1:2" x14ac:dyDescent="0.2">
      <c r="A7415" s="8" t="s">
        <v>7438</v>
      </c>
      <c r="B7415" s="2" t="s">
        <v>12471</v>
      </c>
    </row>
    <row r="7416" spans="1:2" x14ac:dyDescent="0.2">
      <c r="A7416" s="8" t="s">
        <v>7439</v>
      </c>
      <c r="B7416" s="2" t="s">
        <v>12471</v>
      </c>
    </row>
    <row r="7417" spans="1:2" x14ac:dyDescent="0.2">
      <c r="A7417" s="8" t="s">
        <v>7440</v>
      </c>
      <c r="B7417" s="2" t="s">
        <v>12471</v>
      </c>
    </row>
    <row r="7418" spans="1:2" x14ac:dyDescent="0.2">
      <c r="A7418" s="8" t="s">
        <v>7441</v>
      </c>
      <c r="B7418" s="2" t="s">
        <v>12471</v>
      </c>
    </row>
    <row r="7419" spans="1:2" x14ac:dyDescent="0.2">
      <c r="A7419" s="8" t="s">
        <v>7442</v>
      </c>
      <c r="B7419" s="2" t="s">
        <v>12471</v>
      </c>
    </row>
    <row r="7420" spans="1:2" x14ac:dyDescent="0.2">
      <c r="A7420" s="8" t="s">
        <v>7443</v>
      </c>
      <c r="B7420" s="2" t="s">
        <v>12471</v>
      </c>
    </row>
    <row r="7421" spans="1:2" x14ac:dyDescent="0.2">
      <c r="A7421" s="8" t="s">
        <v>7444</v>
      </c>
      <c r="B7421" s="2" t="s">
        <v>12471</v>
      </c>
    </row>
    <row r="7422" spans="1:2" x14ac:dyDescent="0.2">
      <c r="A7422" s="8" t="s">
        <v>7445</v>
      </c>
      <c r="B7422" s="2" t="s">
        <v>12471</v>
      </c>
    </row>
    <row r="7423" spans="1:2" x14ac:dyDescent="0.2">
      <c r="A7423" s="8" t="s">
        <v>7446</v>
      </c>
      <c r="B7423" s="2" t="s">
        <v>12471</v>
      </c>
    </row>
    <row r="7424" spans="1:2" x14ac:dyDescent="0.2">
      <c r="A7424" s="8" t="s">
        <v>7447</v>
      </c>
      <c r="B7424" s="2" t="s">
        <v>12471</v>
      </c>
    </row>
    <row r="7425" spans="1:2" x14ac:dyDescent="0.2">
      <c r="A7425" s="8" t="s">
        <v>7448</v>
      </c>
      <c r="B7425" s="2" t="s">
        <v>12471</v>
      </c>
    </row>
    <row r="7426" spans="1:2" x14ac:dyDescent="0.2">
      <c r="A7426" s="8" t="s">
        <v>7449</v>
      </c>
      <c r="B7426" s="2" t="s">
        <v>12471</v>
      </c>
    </row>
    <row r="7427" spans="1:2" x14ac:dyDescent="0.2">
      <c r="A7427" s="8" t="s">
        <v>7450</v>
      </c>
      <c r="B7427" s="2" t="s">
        <v>12471</v>
      </c>
    </row>
    <row r="7428" spans="1:2" x14ac:dyDescent="0.2">
      <c r="A7428" s="8" t="s">
        <v>7451</v>
      </c>
      <c r="B7428" s="2" t="s">
        <v>12471</v>
      </c>
    </row>
    <row r="7429" spans="1:2" x14ac:dyDescent="0.2">
      <c r="A7429" s="8" t="s">
        <v>7452</v>
      </c>
      <c r="B7429" s="2" t="s">
        <v>12471</v>
      </c>
    </row>
    <row r="7430" spans="1:2" x14ac:dyDescent="0.2">
      <c r="A7430" s="8" t="s">
        <v>7453</v>
      </c>
      <c r="B7430" s="2" t="s">
        <v>12471</v>
      </c>
    </row>
    <row r="7431" spans="1:2" x14ac:dyDescent="0.2">
      <c r="A7431" s="8" t="s">
        <v>7454</v>
      </c>
      <c r="B7431" s="2" t="s">
        <v>12471</v>
      </c>
    </row>
    <row r="7432" spans="1:2" x14ac:dyDescent="0.2">
      <c r="A7432" s="8" t="s">
        <v>7455</v>
      </c>
      <c r="B7432" s="2" t="s">
        <v>12471</v>
      </c>
    </row>
    <row r="7433" spans="1:2" x14ac:dyDescent="0.2">
      <c r="A7433" s="8" t="s">
        <v>7456</v>
      </c>
      <c r="B7433" s="2" t="s">
        <v>12471</v>
      </c>
    </row>
    <row r="7434" spans="1:2" x14ac:dyDescent="0.2">
      <c r="A7434" s="8" t="s">
        <v>7457</v>
      </c>
      <c r="B7434" s="2" t="s">
        <v>12471</v>
      </c>
    </row>
    <row r="7435" spans="1:2" x14ac:dyDescent="0.2">
      <c r="A7435" s="8" t="s">
        <v>7458</v>
      </c>
      <c r="B7435" s="2" t="s">
        <v>12471</v>
      </c>
    </row>
    <row r="7436" spans="1:2" x14ac:dyDescent="0.2">
      <c r="A7436" s="8" t="s">
        <v>7459</v>
      </c>
      <c r="B7436" s="2" t="s">
        <v>12471</v>
      </c>
    </row>
    <row r="7437" spans="1:2" x14ac:dyDescent="0.2">
      <c r="A7437" s="8" t="s">
        <v>7460</v>
      </c>
      <c r="B7437" s="2" t="s">
        <v>12471</v>
      </c>
    </row>
    <row r="7438" spans="1:2" x14ac:dyDescent="0.2">
      <c r="A7438" s="8" t="s">
        <v>7461</v>
      </c>
      <c r="B7438" s="2" t="s">
        <v>12471</v>
      </c>
    </row>
    <row r="7439" spans="1:2" x14ac:dyDescent="0.2">
      <c r="A7439" s="8" t="s">
        <v>7462</v>
      </c>
      <c r="B7439" s="2" t="s">
        <v>12471</v>
      </c>
    </row>
    <row r="7440" spans="1:2" x14ac:dyDescent="0.2">
      <c r="A7440" s="8" t="s">
        <v>7463</v>
      </c>
      <c r="B7440" s="2" t="s">
        <v>12471</v>
      </c>
    </row>
    <row r="7441" spans="1:2" x14ac:dyDescent="0.2">
      <c r="A7441" s="8" t="s">
        <v>7464</v>
      </c>
      <c r="B7441" s="2" t="s">
        <v>12471</v>
      </c>
    </row>
    <row r="7442" spans="1:2" x14ac:dyDescent="0.2">
      <c r="A7442" s="8" t="s">
        <v>7465</v>
      </c>
      <c r="B7442" s="2" t="s">
        <v>12471</v>
      </c>
    </row>
    <row r="7443" spans="1:2" x14ac:dyDescent="0.2">
      <c r="A7443" s="8" t="s">
        <v>7466</v>
      </c>
      <c r="B7443" s="2" t="s">
        <v>12471</v>
      </c>
    </row>
    <row r="7444" spans="1:2" x14ac:dyDescent="0.2">
      <c r="A7444" s="8" t="s">
        <v>7467</v>
      </c>
      <c r="B7444" s="2" t="s">
        <v>12471</v>
      </c>
    </row>
    <row r="7445" spans="1:2" x14ac:dyDescent="0.2">
      <c r="A7445" s="8" t="s">
        <v>7468</v>
      </c>
      <c r="B7445" s="2" t="s">
        <v>12471</v>
      </c>
    </row>
    <row r="7446" spans="1:2" x14ac:dyDescent="0.2">
      <c r="A7446" s="8" t="s">
        <v>7469</v>
      </c>
      <c r="B7446" s="2" t="s">
        <v>12471</v>
      </c>
    </row>
    <row r="7447" spans="1:2" x14ac:dyDescent="0.2">
      <c r="A7447" s="8" t="s">
        <v>7470</v>
      </c>
      <c r="B7447" s="2" t="s">
        <v>12471</v>
      </c>
    </row>
    <row r="7448" spans="1:2" x14ac:dyDescent="0.2">
      <c r="A7448" s="8" t="s">
        <v>7471</v>
      </c>
      <c r="B7448" s="2" t="s">
        <v>12471</v>
      </c>
    </row>
    <row r="7449" spans="1:2" x14ac:dyDescent="0.2">
      <c r="A7449" s="8" t="s">
        <v>7472</v>
      </c>
      <c r="B7449" s="2" t="s">
        <v>12471</v>
      </c>
    </row>
    <row r="7450" spans="1:2" x14ac:dyDescent="0.2">
      <c r="A7450" s="8" t="s">
        <v>7473</v>
      </c>
      <c r="B7450" s="2" t="s">
        <v>12471</v>
      </c>
    </row>
    <row r="7451" spans="1:2" x14ac:dyDescent="0.2">
      <c r="A7451" s="8" t="s">
        <v>7474</v>
      </c>
      <c r="B7451" s="2" t="s">
        <v>12471</v>
      </c>
    </row>
    <row r="7452" spans="1:2" x14ac:dyDescent="0.2">
      <c r="A7452" s="8" t="s">
        <v>7475</v>
      </c>
      <c r="B7452" s="2" t="s">
        <v>12471</v>
      </c>
    </row>
    <row r="7453" spans="1:2" x14ac:dyDescent="0.2">
      <c r="A7453" s="8" t="s">
        <v>7476</v>
      </c>
      <c r="B7453" s="2" t="s">
        <v>12471</v>
      </c>
    </row>
    <row r="7454" spans="1:2" x14ac:dyDescent="0.2">
      <c r="A7454" s="8" t="s">
        <v>7477</v>
      </c>
      <c r="B7454" s="2" t="s">
        <v>12471</v>
      </c>
    </row>
    <row r="7455" spans="1:2" x14ac:dyDescent="0.2">
      <c r="A7455" s="8" t="s">
        <v>7478</v>
      </c>
      <c r="B7455" s="2" t="s">
        <v>12471</v>
      </c>
    </row>
    <row r="7456" spans="1:2" x14ac:dyDescent="0.2">
      <c r="A7456" s="8" t="s">
        <v>7479</v>
      </c>
      <c r="B7456" s="2" t="s">
        <v>12471</v>
      </c>
    </row>
    <row r="7457" spans="1:2" x14ac:dyDescent="0.2">
      <c r="A7457" s="8" t="s">
        <v>7480</v>
      </c>
      <c r="B7457" s="2" t="s">
        <v>12471</v>
      </c>
    </row>
    <row r="7458" spans="1:2" x14ac:dyDescent="0.2">
      <c r="A7458" s="8" t="s">
        <v>7481</v>
      </c>
      <c r="B7458" s="2" t="s">
        <v>12471</v>
      </c>
    </row>
    <row r="7459" spans="1:2" x14ac:dyDescent="0.2">
      <c r="A7459" s="8" t="s">
        <v>7482</v>
      </c>
      <c r="B7459" s="2" t="s">
        <v>12471</v>
      </c>
    </row>
    <row r="7460" spans="1:2" x14ac:dyDescent="0.2">
      <c r="A7460" s="8" t="s">
        <v>7483</v>
      </c>
      <c r="B7460" s="2" t="s">
        <v>12471</v>
      </c>
    </row>
    <row r="7461" spans="1:2" x14ac:dyDescent="0.2">
      <c r="A7461" s="8" t="s">
        <v>7484</v>
      </c>
      <c r="B7461" s="2" t="s">
        <v>12471</v>
      </c>
    </row>
    <row r="7462" spans="1:2" x14ac:dyDescent="0.2">
      <c r="A7462" s="8" t="s">
        <v>7485</v>
      </c>
      <c r="B7462" s="2" t="s">
        <v>12471</v>
      </c>
    </row>
    <row r="7463" spans="1:2" x14ac:dyDescent="0.2">
      <c r="A7463" s="8" t="s">
        <v>7486</v>
      </c>
      <c r="B7463" s="2" t="s">
        <v>12471</v>
      </c>
    </row>
    <row r="7464" spans="1:2" x14ac:dyDescent="0.2">
      <c r="A7464" s="8" t="s">
        <v>7487</v>
      </c>
      <c r="B7464" s="2" t="s">
        <v>12471</v>
      </c>
    </row>
    <row r="7465" spans="1:2" x14ac:dyDescent="0.2">
      <c r="A7465" s="8" t="s">
        <v>7488</v>
      </c>
      <c r="B7465" s="2" t="s">
        <v>12471</v>
      </c>
    </row>
    <row r="7466" spans="1:2" x14ac:dyDescent="0.2">
      <c r="A7466" s="8" t="s">
        <v>7489</v>
      </c>
      <c r="B7466" s="2" t="s">
        <v>12471</v>
      </c>
    </row>
    <row r="7467" spans="1:2" x14ac:dyDescent="0.2">
      <c r="A7467" s="8" t="s">
        <v>7490</v>
      </c>
      <c r="B7467" s="2" t="s">
        <v>12471</v>
      </c>
    </row>
    <row r="7468" spans="1:2" x14ac:dyDescent="0.2">
      <c r="A7468" s="8" t="s">
        <v>7491</v>
      </c>
      <c r="B7468" s="2" t="s">
        <v>12471</v>
      </c>
    </row>
    <row r="7469" spans="1:2" x14ac:dyDescent="0.2">
      <c r="A7469" s="8" t="s">
        <v>7492</v>
      </c>
      <c r="B7469" s="2" t="s">
        <v>12471</v>
      </c>
    </row>
    <row r="7470" spans="1:2" x14ac:dyDescent="0.2">
      <c r="A7470" s="8" t="s">
        <v>7493</v>
      </c>
      <c r="B7470" s="2" t="s">
        <v>12471</v>
      </c>
    </row>
    <row r="7471" spans="1:2" x14ac:dyDescent="0.2">
      <c r="A7471" s="8" t="s">
        <v>7494</v>
      </c>
      <c r="B7471" s="2" t="s">
        <v>12471</v>
      </c>
    </row>
    <row r="7472" spans="1:2" x14ac:dyDescent="0.2">
      <c r="A7472" s="8" t="s">
        <v>7495</v>
      </c>
      <c r="B7472" s="2" t="s">
        <v>12471</v>
      </c>
    </row>
    <row r="7473" spans="1:2" x14ac:dyDescent="0.2">
      <c r="A7473" s="8" t="s">
        <v>7496</v>
      </c>
      <c r="B7473" s="2" t="s">
        <v>12471</v>
      </c>
    </row>
    <row r="7474" spans="1:2" x14ac:dyDescent="0.2">
      <c r="A7474" s="8" t="s">
        <v>7497</v>
      </c>
      <c r="B7474" s="2" t="s">
        <v>12471</v>
      </c>
    </row>
    <row r="7475" spans="1:2" x14ac:dyDescent="0.2">
      <c r="A7475" s="8" t="s">
        <v>7498</v>
      </c>
      <c r="B7475" s="2" t="s">
        <v>12471</v>
      </c>
    </row>
    <row r="7476" spans="1:2" x14ac:dyDescent="0.2">
      <c r="A7476" s="8" t="s">
        <v>7499</v>
      </c>
      <c r="B7476" s="2" t="s">
        <v>12471</v>
      </c>
    </row>
    <row r="7477" spans="1:2" x14ac:dyDescent="0.2">
      <c r="A7477" s="8" t="s">
        <v>7500</v>
      </c>
      <c r="B7477" s="2" t="s">
        <v>12471</v>
      </c>
    </row>
    <row r="7478" spans="1:2" x14ac:dyDescent="0.2">
      <c r="A7478" s="8" t="s">
        <v>7501</v>
      </c>
      <c r="B7478" s="2" t="s">
        <v>12471</v>
      </c>
    </row>
    <row r="7479" spans="1:2" x14ac:dyDescent="0.2">
      <c r="A7479" s="8" t="s">
        <v>7502</v>
      </c>
      <c r="B7479" s="2" t="s">
        <v>12471</v>
      </c>
    </row>
    <row r="7480" spans="1:2" x14ac:dyDescent="0.2">
      <c r="A7480" s="8" t="s">
        <v>7503</v>
      </c>
      <c r="B7480" s="2" t="s">
        <v>12471</v>
      </c>
    </row>
    <row r="7481" spans="1:2" x14ac:dyDescent="0.2">
      <c r="A7481" s="8" t="s">
        <v>7504</v>
      </c>
      <c r="B7481" s="2" t="s">
        <v>12471</v>
      </c>
    </row>
    <row r="7482" spans="1:2" x14ac:dyDescent="0.2">
      <c r="A7482" s="8" t="s">
        <v>7505</v>
      </c>
      <c r="B7482" s="2" t="s">
        <v>12471</v>
      </c>
    </row>
    <row r="7483" spans="1:2" x14ac:dyDescent="0.2">
      <c r="A7483" s="8" t="s">
        <v>7506</v>
      </c>
      <c r="B7483" s="2" t="s">
        <v>12471</v>
      </c>
    </row>
    <row r="7484" spans="1:2" x14ac:dyDescent="0.2">
      <c r="A7484" s="8" t="s">
        <v>7507</v>
      </c>
      <c r="B7484" s="2" t="s">
        <v>12471</v>
      </c>
    </row>
    <row r="7485" spans="1:2" x14ac:dyDescent="0.2">
      <c r="A7485" s="8" t="s">
        <v>7508</v>
      </c>
      <c r="B7485" s="2" t="s">
        <v>12471</v>
      </c>
    </row>
    <row r="7486" spans="1:2" x14ac:dyDescent="0.2">
      <c r="A7486" s="8" t="s">
        <v>7509</v>
      </c>
      <c r="B7486" s="2" t="s">
        <v>12471</v>
      </c>
    </row>
    <row r="7487" spans="1:2" x14ac:dyDescent="0.2">
      <c r="A7487" s="8" t="s">
        <v>7510</v>
      </c>
      <c r="B7487" s="2" t="s">
        <v>12471</v>
      </c>
    </row>
    <row r="7488" spans="1:2" x14ac:dyDescent="0.2">
      <c r="A7488" s="8" t="s">
        <v>7511</v>
      </c>
      <c r="B7488" s="2" t="s">
        <v>12471</v>
      </c>
    </row>
    <row r="7489" spans="1:2" x14ac:dyDescent="0.2">
      <c r="A7489" s="8" t="s">
        <v>7512</v>
      </c>
      <c r="B7489" s="2" t="s">
        <v>12471</v>
      </c>
    </row>
    <row r="7490" spans="1:2" x14ac:dyDescent="0.2">
      <c r="A7490" s="8" t="s">
        <v>7513</v>
      </c>
      <c r="B7490" s="2" t="s">
        <v>12471</v>
      </c>
    </row>
    <row r="7491" spans="1:2" x14ac:dyDescent="0.2">
      <c r="A7491" s="8" t="s">
        <v>7514</v>
      </c>
      <c r="B7491" s="2" t="s">
        <v>12471</v>
      </c>
    </row>
    <row r="7492" spans="1:2" x14ac:dyDescent="0.2">
      <c r="A7492" s="8" t="s">
        <v>7515</v>
      </c>
      <c r="B7492" s="2" t="s">
        <v>12471</v>
      </c>
    </row>
    <row r="7493" spans="1:2" x14ac:dyDescent="0.2">
      <c r="A7493" s="8" t="s">
        <v>7516</v>
      </c>
      <c r="B7493" s="2" t="s">
        <v>12471</v>
      </c>
    </row>
    <row r="7494" spans="1:2" x14ac:dyDescent="0.2">
      <c r="A7494" s="8" t="s">
        <v>7517</v>
      </c>
      <c r="B7494" s="2" t="s">
        <v>12471</v>
      </c>
    </row>
    <row r="7495" spans="1:2" x14ac:dyDescent="0.2">
      <c r="A7495" s="8" t="s">
        <v>7518</v>
      </c>
      <c r="B7495" s="2" t="s">
        <v>12471</v>
      </c>
    </row>
    <row r="7496" spans="1:2" x14ac:dyDescent="0.2">
      <c r="A7496" s="8" t="s">
        <v>7519</v>
      </c>
      <c r="B7496" s="2" t="s">
        <v>12471</v>
      </c>
    </row>
    <row r="7497" spans="1:2" x14ac:dyDescent="0.2">
      <c r="A7497" s="8" t="s">
        <v>7520</v>
      </c>
      <c r="B7497" s="2" t="s">
        <v>12471</v>
      </c>
    </row>
    <row r="7498" spans="1:2" x14ac:dyDescent="0.2">
      <c r="A7498" s="8" t="s">
        <v>7521</v>
      </c>
      <c r="B7498" s="2" t="s">
        <v>12471</v>
      </c>
    </row>
    <row r="7499" spans="1:2" x14ac:dyDescent="0.2">
      <c r="A7499" s="8" t="s">
        <v>7522</v>
      </c>
      <c r="B7499" s="2" t="s">
        <v>12471</v>
      </c>
    </row>
    <row r="7500" spans="1:2" x14ac:dyDescent="0.2">
      <c r="A7500" s="8" t="s">
        <v>7523</v>
      </c>
      <c r="B7500" s="2" t="s">
        <v>12471</v>
      </c>
    </row>
    <row r="7501" spans="1:2" x14ac:dyDescent="0.2">
      <c r="A7501" s="8" t="s">
        <v>7524</v>
      </c>
      <c r="B7501" s="2" t="s">
        <v>12471</v>
      </c>
    </row>
    <row r="7502" spans="1:2" x14ac:dyDescent="0.2">
      <c r="A7502" s="8" t="s">
        <v>7525</v>
      </c>
      <c r="B7502" s="2" t="s">
        <v>12471</v>
      </c>
    </row>
    <row r="7503" spans="1:2" x14ac:dyDescent="0.2">
      <c r="A7503" s="8" t="s">
        <v>7526</v>
      </c>
      <c r="B7503" s="2" t="s">
        <v>12471</v>
      </c>
    </row>
    <row r="7504" spans="1:2" x14ac:dyDescent="0.2">
      <c r="A7504" s="8" t="s">
        <v>7527</v>
      </c>
      <c r="B7504" s="2" t="s">
        <v>12471</v>
      </c>
    </row>
    <row r="7505" spans="1:2" x14ac:dyDescent="0.2">
      <c r="A7505" s="8" t="s">
        <v>7528</v>
      </c>
      <c r="B7505" s="2" t="s">
        <v>12471</v>
      </c>
    </row>
    <row r="7506" spans="1:2" x14ac:dyDescent="0.2">
      <c r="A7506" s="8" t="s">
        <v>7529</v>
      </c>
      <c r="B7506" s="2" t="s">
        <v>12471</v>
      </c>
    </row>
    <row r="7507" spans="1:2" x14ac:dyDescent="0.2">
      <c r="A7507" s="8" t="s">
        <v>7530</v>
      </c>
      <c r="B7507" s="2" t="s">
        <v>12471</v>
      </c>
    </row>
    <row r="7508" spans="1:2" x14ac:dyDescent="0.2">
      <c r="A7508" s="8" t="s">
        <v>7531</v>
      </c>
      <c r="B7508" s="2" t="s">
        <v>12471</v>
      </c>
    </row>
    <row r="7509" spans="1:2" x14ac:dyDescent="0.2">
      <c r="A7509" s="8" t="s">
        <v>7532</v>
      </c>
      <c r="B7509" s="2" t="s">
        <v>12471</v>
      </c>
    </row>
    <row r="7510" spans="1:2" x14ac:dyDescent="0.2">
      <c r="A7510" s="8" t="s">
        <v>7533</v>
      </c>
      <c r="B7510" s="2" t="s">
        <v>12471</v>
      </c>
    </row>
    <row r="7511" spans="1:2" x14ac:dyDescent="0.2">
      <c r="A7511" s="8" t="s">
        <v>7534</v>
      </c>
      <c r="B7511" s="2" t="s">
        <v>12471</v>
      </c>
    </row>
    <row r="7512" spans="1:2" x14ac:dyDescent="0.2">
      <c r="A7512" s="8" t="s">
        <v>7535</v>
      </c>
      <c r="B7512" s="2" t="s">
        <v>12471</v>
      </c>
    </row>
    <row r="7513" spans="1:2" x14ac:dyDescent="0.2">
      <c r="A7513" s="8" t="s">
        <v>7536</v>
      </c>
      <c r="B7513" s="2" t="s">
        <v>12471</v>
      </c>
    </row>
    <row r="7514" spans="1:2" x14ac:dyDescent="0.2">
      <c r="A7514" s="8" t="s">
        <v>7537</v>
      </c>
      <c r="B7514" s="2" t="s">
        <v>12471</v>
      </c>
    </row>
    <row r="7515" spans="1:2" x14ac:dyDescent="0.2">
      <c r="A7515" s="8" t="s">
        <v>7538</v>
      </c>
      <c r="B7515" s="2" t="s">
        <v>12471</v>
      </c>
    </row>
    <row r="7516" spans="1:2" x14ac:dyDescent="0.2">
      <c r="A7516" s="8" t="s">
        <v>7539</v>
      </c>
      <c r="B7516" s="2" t="s">
        <v>12471</v>
      </c>
    </row>
    <row r="7517" spans="1:2" x14ac:dyDescent="0.2">
      <c r="A7517" s="8" t="s">
        <v>7540</v>
      </c>
      <c r="B7517" s="2" t="s">
        <v>12471</v>
      </c>
    </row>
    <row r="7518" spans="1:2" x14ac:dyDescent="0.2">
      <c r="A7518" s="8" t="s">
        <v>7541</v>
      </c>
      <c r="B7518" s="2" t="s">
        <v>12471</v>
      </c>
    </row>
    <row r="7519" spans="1:2" x14ac:dyDescent="0.2">
      <c r="A7519" s="8" t="s">
        <v>7542</v>
      </c>
      <c r="B7519" s="2" t="s">
        <v>12471</v>
      </c>
    </row>
    <row r="7520" spans="1:2" x14ac:dyDescent="0.2">
      <c r="A7520" s="8" t="s">
        <v>7543</v>
      </c>
      <c r="B7520" s="2" t="s">
        <v>12471</v>
      </c>
    </row>
    <row r="7521" spans="1:2" x14ac:dyDescent="0.2">
      <c r="A7521" s="8" t="s">
        <v>7544</v>
      </c>
      <c r="B7521" s="2" t="s">
        <v>12471</v>
      </c>
    </row>
    <row r="7522" spans="1:2" x14ac:dyDescent="0.2">
      <c r="A7522" s="8" t="s">
        <v>7545</v>
      </c>
      <c r="B7522" s="2" t="s">
        <v>12471</v>
      </c>
    </row>
    <row r="7523" spans="1:2" x14ac:dyDescent="0.2">
      <c r="A7523" s="8" t="s">
        <v>7546</v>
      </c>
      <c r="B7523" s="2" t="s">
        <v>12471</v>
      </c>
    </row>
    <row r="7524" spans="1:2" x14ac:dyDescent="0.2">
      <c r="A7524" s="8" t="s">
        <v>7547</v>
      </c>
      <c r="B7524" s="2" t="s">
        <v>12471</v>
      </c>
    </row>
    <row r="7525" spans="1:2" x14ac:dyDescent="0.2">
      <c r="A7525" s="8" t="s">
        <v>7548</v>
      </c>
      <c r="B7525" s="2" t="s">
        <v>12471</v>
      </c>
    </row>
    <row r="7526" spans="1:2" x14ac:dyDescent="0.2">
      <c r="A7526" s="8" t="s">
        <v>7549</v>
      </c>
      <c r="B7526" s="2" t="s">
        <v>12471</v>
      </c>
    </row>
    <row r="7527" spans="1:2" x14ac:dyDescent="0.2">
      <c r="A7527" s="8" t="s">
        <v>7550</v>
      </c>
      <c r="B7527" s="2" t="s">
        <v>12471</v>
      </c>
    </row>
    <row r="7528" spans="1:2" x14ac:dyDescent="0.2">
      <c r="A7528" s="8" t="s">
        <v>7551</v>
      </c>
      <c r="B7528" s="2" t="s">
        <v>12471</v>
      </c>
    </row>
    <row r="7529" spans="1:2" x14ac:dyDescent="0.2">
      <c r="A7529" s="8" t="s">
        <v>7552</v>
      </c>
      <c r="B7529" s="2" t="s">
        <v>12471</v>
      </c>
    </row>
    <row r="7530" spans="1:2" x14ac:dyDescent="0.2">
      <c r="A7530" s="8" t="s">
        <v>7553</v>
      </c>
      <c r="B7530" s="2" t="s">
        <v>12471</v>
      </c>
    </row>
    <row r="7531" spans="1:2" x14ac:dyDescent="0.2">
      <c r="A7531" s="8" t="s">
        <v>7554</v>
      </c>
      <c r="B7531" s="2" t="s">
        <v>12471</v>
      </c>
    </row>
    <row r="7532" spans="1:2" x14ac:dyDescent="0.2">
      <c r="A7532" s="8" t="s">
        <v>7555</v>
      </c>
      <c r="B7532" s="2" t="s">
        <v>12471</v>
      </c>
    </row>
    <row r="7533" spans="1:2" x14ac:dyDescent="0.2">
      <c r="A7533" s="8" t="s">
        <v>7556</v>
      </c>
      <c r="B7533" s="2" t="s">
        <v>12471</v>
      </c>
    </row>
    <row r="7534" spans="1:2" x14ac:dyDescent="0.2">
      <c r="A7534" s="8" t="s">
        <v>7557</v>
      </c>
      <c r="B7534" s="2" t="s">
        <v>12471</v>
      </c>
    </row>
    <row r="7535" spans="1:2" x14ac:dyDescent="0.2">
      <c r="A7535" s="8" t="s">
        <v>7558</v>
      </c>
      <c r="B7535" s="2" t="s">
        <v>12471</v>
      </c>
    </row>
    <row r="7536" spans="1:2" x14ac:dyDescent="0.2">
      <c r="A7536" s="8" t="s">
        <v>7559</v>
      </c>
      <c r="B7536" s="2" t="s">
        <v>12471</v>
      </c>
    </row>
    <row r="7537" spans="1:2" x14ac:dyDescent="0.2">
      <c r="A7537" s="8" t="s">
        <v>7560</v>
      </c>
      <c r="B7537" s="2" t="s">
        <v>12471</v>
      </c>
    </row>
    <row r="7538" spans="1:2" x14ac:dyDescent="0.2">
      <c r="A7538" s="8" t="s">
        <v>7561</v>
      </c>
      <c r="B7538" s="2" t="s">
        <v>12471</v>
      </c>
    </row>
    <row r="7539" spans="1:2" x14ac:dyDescent="0.2">
      <c r="A7539" s="8" t="s">
        <v>7562</v>
      </c>
      <c r="B7539" s="2" t="s">
        <v>12471</v>
      </c>
    </row>
    <row r="7540" spans="1:2" x14ac:dyDescent="0.2">
      <c r="A7540" s="8" t="s">
        <v>7563</v>
      </c>
      <c r="B7540" s="2" t="s">
        <v>12471</v>
      </c>
    </row>
    <row r="7541" spans="1:2" x14ac:dyDescent="0.2">
      <c r="A7541" s="8" t="s">
        <v>7564</v>
      </c>
      <c r="B7541" s="2" t="s">
        <v>12471</v>
      </c>
    </row>
    <row r="7542" spans="1:2" x14ac:dyDescent="0.2">
      <c r="A7542" s="8" t="s">
        <v>7565</v>
      </c>
      <c r="B7542" s="2" t="s">
        <v>12471</v>
      </c>
    </row>
    <row r="7543" spans="1:2" x14ac:dyDescent="0.2">
      <c r="A7543" s="8" t="s">
        <v>7566</v>
      </c>
      <c r="B7543" s="2" t="s">
        <v>12471</v>
      </c>
    </row>
    <row r="7544" spans="1:2" x14ac:dyDescent="0.2">
      <c r="A7544" s="8" t="s">
        <v>7567</v>
      </c>
      <c r="B7544" s="2" t="s">
        <v>12471</v>
      </c>
    </row>
    <row r="7545" spans="1:2" x14ac:dyDescent="0.2">
      <c r="A7545" s="8" t="s">
        <v>7568</v>
      </c>
      <c r="B7545" s="2" t="s">
        <v>12471</v>
      </c>
    </row>
    <row r="7546" spans="1:2" x14ac:dyDescent="0.2">
      <c r="A7546" s="8" t="s">
        <v>7569</v>
      </c>
      <c r="B7546" s="2" t="s">
        <v>12471</v>
      </c>
    </row>
    <row r="7547" spans="1:2" x14ac:dyDescent="0.2">
      <c r="A7547" s="8" t="s">
        <v>7570</v>
      </c>
      <c r="B7547" s="2" t="s">
        <v>12471</v>
      </c>
    </row>
    <row r="7548" spans="1:2" x14ac:dyDescent="0.2">
      <c r="A7548" s="8" t="s">
        <v>7571</v>
      </c>
      <c r="B7548" s="2" t="s">
        <v>12471</v>
      </c>
    </row>
    <row r="7549" spans="1:2" x14ac:dyDescent="0.2">
      <c r="A7549" s="8" t="s">
        <v>7572</v>
      </c>
      <c r="B7549" s="2" t="s">
        <v>12471</v>
      </c>
    </row>
    <row r="7550" spans="1:2" x14ac:dyDescent="0.2">
      <c r="A7550" s="8" t="s">
        <v>7573</v>
      </c>
      <c r="B7550" s="2" t="s">
        <v>12471</v>
      </c>
    </row>
    <row r="7551" spans="1:2" x14ac:dyDescent="0.2">
      <c r="A7551" s="8" t="s">
        <v>7574</v>
      </c>
      <c r="B7551" s="2" t="s">
        <v>12471</v>
      </c>
    </row>
    <row r="7552" spans="1:2" x14ac:dyDescent="0.2">
      <c r="A7552" s="8" t="s">
        <v>7575</v>
      </c>
      <c r="B7552" s="2" t="s">
        <v>12471</v>
      </c>
    </row>
    <row r="7553" spans="1:2" x14ac:dyDescent="0.2">
      <c r="A7553" s="8" t="s">
        <v>7576</v>
      </c>
      <c r="B7553" s="2" t="s">
        <v>12471</v>
      </c>
    </row>
    <row r="7554" spans="1:2" x14ac:dyDescent="0.2">
      <c r="A7554" s="8" t="s">
        <v>7577</v>
      </c>
      <c r="B7554" s="2" t="s">
        <v>12471</v>
      </c>
    </row>
    <row r="7555" spans="1:2" x14ac:dyDescent="0.2">
      <c r="A7555" s="8" t="s">
        <v>7578</v>
      </c>
      <c r="B7555" s="2" t="s">
        <v>12471</v>
      </c>
    </row>
    <row r="7556" spans="1:2" x14ac:dyDescent="0.2">
      <c r="A7556" s="8" t="s">
        <v>7579</v>
      </c>
      <c r="B7556" s="2" t="s">
        <v>12471</v>
      </c>
    </row>
    <row r="7557" spans="1:2" x14ac:dyDescent="0.2">
      <c r="A7557" s="8" t="s">
        <v>7580</v>
      </c>
      <c r="B7557" s="2" t="s">
        <v>12471</v>
      </c>
    </row>
    <row r="7558" spans="1:2" x14ac:dyDescent="0.2">
      <c r="A7558" s="8" t="s">
        <v>7581</v>
      </c>
      <c r="B7558" s="2" t="s">
        <v>12471</v>
      </c>
    </row>
    <row r="7559" spans="1:2" x14ac:dyDescent="0.2">
      <c r="A7559" s="8" t="s">
        <v>7582</v>
      </c>
      <c r="B7559" s="2" t="s">
        <v>12471</v>
      </c>
    </row>
    <row r="7560" spans="1:2" x14ac:dyDescent="0.2">
      <c r="A7560" s="8" t="s">
        <v>7583</v>
      </c>
      <c r="B7560" s="2" t="s">
        <v>12471</v>
      </c>
    </row>
    <row r="7561" spans="1:2" x14ac:dyDescent="0.2">
      <c r="A7561" s="8" t="s">
        <v>7584</v>
      </c>
      <c r="B7561" s="2" t="s">
        <v>12471</v>
      </c>
    </row>
    <row r="7562" spans="1:2" x14ac:dyDescent="0.2">
      <c r="A7562" s="8" t="s">
        <v>7585</v>
      </c>
      <c r="B7562" s="2" t="s">
        <v>12471</v>
      </c>
    </row>
    <row r="7563" spans="1:2" x14ac:dyDescent="0.2">
      <c r="A7563" s="8" t="s">
        <v>7586</v>
      </c>
      <c r="B7563" s="2" t="s">
        <v>12471</v>
      </c>
    </row>
    <row r="7564" spans="1:2" x14ac:dyDescent="0.2">
      <c r="A7564" s="8" t="s">
        <v>7587</v>
      </c>
      <c r="B7564" s="2" t="s">
        <v>12471</v>
      </c>
    </row>
    <row r="7565" spans="1:2" x14ac:dyDescent="0.2">
      <c r="A7565" s="8" t="s">
        <v>7588</v>
      </c>
      <c r="B7565" s="2" t="s">
        <v>12471</v>
      </c>
    </row>
    <row r="7566" spans="1:2" x14ac:dyDescent="0.2">
      <c r="A7566" s="8" t="s">
        <v>7589</v>
      </c>
      <c r="B7566" s="2" t="s">
        <v>12471</v>
      </c>
    </row>
    <row r="7567" spans="1:2" x14ac:dyDescent="0.2">
      <c r="A7567" s="8" t="s">
        <v>7590</v>
      </c>
      <c r="B7567" s="2" t="s">
        <v>12471</v>
      </c>
    </row>
    <row r="7568" spans="1:2" x14ac:dyDescent="0.2">
      <c r="A7568" s="8" t="s">
        <v>7591</v>
      </c>
      <c r="B7568" s="2" t="s">
        <v>12471</v>
      </c>
    </row>
    <row r="7569" spans="1:2" x14ac:dyDescent="0.2">
      <c r="A7569" s="8" t="s">
        <v>7592</v>
      </c>
      <c r="B7569" s="2" t="s">
        <v>12471</v>
      </c>
    </row>
    <row r="7570" spans="1:2" x14ac:dyDescent="0.2">
      <c r="A7570" s="8" t="s">
        <v>7593</v>
      </c>
      <c r="B7570" s="2" t="s">
        <v>12471</v>
      </c>
    </row>
    <row r="7571" spans="1:2" x14ac:dyDescent="0.2">
      <c r="A7571" s="8" t="s">
        <v>7594</v>
      </c>
      <c r="B7571" s="2" t="s">
        <v>12471</v>
      </c>
    </row>
    <row r="7572" spans="1:2" x14ac:dyDescent="0.2">
      <c r="A7572" s="8" t="s">
        <v>7595</v>
      </c>
      <c r="B7572" s="2" t="s">
        <v>12471</v>
      </c>
    </row>
    <row r="7573" spans="1:2" x14ac:dyDescent="0.2">
      <c r="A7573" s="8" t="s">
        <v>7596</v>
      </c>
      <c r="B7573" s="2" t="s">
        <v>12471</v>
      </c>
    </row>
    <row r="7574" spans="1:2" x14ac:dyDescent="0.2">
      <c r="A7574" s="8" t="s">
        <v>7597</v>
      </c>
      <c r="B7574" s="2" t="s">
        <v>12471</v>
      </c>
    </row>
    <row r="7575" spans="1:2" x14ac:dyDescent="0.2">
      <c r="A7575" s="8" t="s">
        <v>7598</v>
      </c>
      <c r="B7575" s="2" t="s">
        <v>12471</v>
      </c>
    </row>
    <row r="7576" spans="1:2" x14ac:dyDescent="0.2">
      <c r="A7576" s="8" t="s">
        <v>7599</v>
      </c>
      <c r="B7576" s="2" t="s">
        <v>12471</v>
      </c>
    </row>
    <row r="7577" spans="1:2" x14ac:dyDescent="0.2">
      <c r="A7577" s="8" t="s">
        <v>7600</v>
      </c>
      <c r="B7577" s="2" t="s">
        <v>12471</v>
      </c>
    </row>
    <row r="7578" spans="1:2" x14ac:dyDescent="0.2">
      <c r="A7578" s="8" t="s">
        <v>7601</v>
      </c>
      <c r="B7578" s="2" t="s">
        <v>12471</v>
      </c>
    </row>
    <row r="7579" spans="1:2" x14ac:dyDescent="0.2">
      <c r="A7579" s="8" t="s">
        <v>7602</v>
      </c>
      <c r="B7579" s="2" t="s">
        <v>12471</v>
      </c>
    </row>
    <row r="7580" spans="1:2" x14ac:dyDescent="0.2">
      <c r="A7580" s="8" t="s">
        <v>7603</v>
      </c>
      <c r="B7580" s="2" t="s">
        <v>12471</v>
      </c>
    </row>
    <row r="7581" spans="1:2" x14ac:dyDescent="0.2">
      <c r="A7581" s="8" t="s">
        <v>7604</v>
      </c>
      <c r="B7581" s="2" t="s">
        <v>12471</v>
      </c>
    </row>
    <row r="7582" spans="1:2" x14ac:dyDescent="0.2">
      <c r="A7582" s="8" t="s">
        <v>7605</v>
      </c>
      <c r="B7582" s="2" t="s">
        <v>12471</v>
      </c>
    </row>
    <row r="7583" spans="1:2" x14ac:dyDescent="0.2">
      <c r="A7583" s="8" t="s">
        <v>7606</v>
      </c>
      <c r="B7583" s="2" t="s">
        <v>12471</v>
      </c>
    </row>
    <row r="7584" spans="1:2" x14ac:dyDescent="0.2">
      <c r="A7584" s="8" t="s">
        <v>7607</v>
      </c>
      <c r="B7584" s="2" t="s">
        <v>12471</v>
      </c>
    </row>
    <row r="7585" spans="1:2" x14ac:dyDescent="0.2">
      <c r="A7585" s="8" t="s">
        <v>7608</v>
      </c>
      <c r="B7585" s="2" t="s">
        <v>12471</v>
      </c>
    </row>
    <row r="7586" spans="1:2" x14ac:dyDescent="0.2">
      <c r="A7586" s="8" t="s">
        <v>7609</v>
      </c>
      <c r="B7586" s="2" t="s">
        <v>12471</v>
      </c>
    </row>
    <row r="7587" spans="1:2" x14ac:dyDescent="0.2">
      <c r="A7587" s="8" t="s">
        <v>7610</v>
      </c>
      <c r="B7587" s="2" t="s">
        <v>12471</v>
      </c>
    </row>
    <row r="7588" spans="1:2" x14ac:dyDescent="0.2">
      <c r="A7588" s="8" t="s">
        <v>7611</v>
      </c>
      <c r="B7588" s="2" t="s">
        <v>12471</v>
      </c>
    </row>
    <row r="7589" spans="1:2" x14ac:dyDescent="0.2">
      <c r="A7589" s="8" t="s">
        <v>7612</v>
      </c>
      <c r="B7589" s="2" t="s">
        <v>12471</v>
      </c>
    </row>
    <row r="7590" spans="1:2" x14ac:dyDescent="0.2">
      <c r="A7590" s="8" t="s">
        <v>7613</v>
      </c>
      <c r="B7590" s="2" t="s">
        <v>12471</v>
      </c>
    </row>
    <row r="7591" spans="1:2" x14ac:dyDescent="0.2">
      <c r="A7591" s="8" t="s">
        <v>7614</v>
      </c>
      <c r="B7591" s="2" t="s">
        <v>12471</v>
      </c>
    </row>
    <row r="7592" spans="1:2" x14ac:dyDescent="0.2">
      <c r="A7592" s="8" t="s">
        <v>7615</v>
      </c>
      <c r="B7592" s="2" t="s">
        <v>12471</v>
      </c>
    </row>
    <row r="7593" spans="1:2" x14ac:dyDescent="0.2">
      <c r="A7593" s="8" t="s">
        <v>7616</v>
      </c>
      <c r="B7593" s="2" t="s">
        <v>12471</v>
      </c>
    </row>
    <row r="7594" spans="1:2" x14ac:dyDescent="0.2">
      <c r="A7594" s="8" t="s">
        <v>7617</v>
      </c>
      <c r="B7594" s="2" t="s">
        <v>12471</v>
      </c>
    </row>
    <row r="7595" spans="1:2" x14ac:dyDescent="0.2">
      <c r="A7595" s="8" t="s">
        <v>7618</v>
      </c>
      <c r="B7595" s="2" t="s">
        <v>12471</v>
      </c>
    </row>
    <row r="7596" spans="1:2" x14ac:dyDescent="0.2">
      <c r="A7596" s="8" t="s">
        <v>7619</v>
      </c>
      <c r="B7596" s="2" t="s">
        <v>12471</v>
      </c>
    </row>
    <row r="7597" spans="1:2" x14ac:dyDescent="0.2">
      <c r="A7597" s="8" t="s">
        <v>7620</v>
      </c>
      <c r="B7597" s="2" t="s">
        <v>12471</v>
      </c>
    </row>
    <row r="7598" spans="1:2" x14ac:dyDescent="0.2">
      <c r="A7598" s="8" t="s">
        <v>7621</v>
      </c>
      <c r="B7598" s="2" t="s">
        <v>12471</v>
      </c>
    </row>
    <row r="7599" spans="1:2" x14ac:dyDescent="0.2">
      <c r="A7599" s="8" t="s">
        <v>7622</v>
      </c>
      <c r="B7599" s="2" t="s">
        <v>12471</v>
      </c>
    </row>
    <row r="7600" spans="1:2" x14ac:dyDescent="0.2">
      <c r="A7600" s="8" t="s">
        <v>7623</v>
      </c>
      <c r="B7600" s="2" t="s">
        <v>12471</v>
      </c>
    </row>
    <row r="7601" spans="1:2" x14ac:dyDescent="0.2">
      <c r="A7601" s="8" t="s">
        <v>7624</v>
      </c>
      <c r="B7601" s="2" t="s">
        <v>12471</v>
      </c>
    </row>
    <row r="7602" spans="1:2" x14ac:dyDescent="0.2">
      <c r="A7602" s="8" t="s">
        <v>7625</v>
      </c>
      <c r="B7602" s="2" t="s">
        <v>12471</v>
      </c>
    </row>
    <row r="7603" spans="1:2" x14ac:dyDescent="0.2">
      <c r="A7603" s="8" t="s">
        <v>7626</v>
      </c>
      <c r="B7603" s="2" t="s">
        <v>12471</v>
      </c>
    </row>
    <row r="7604" spans="1:2" x14ac:dyDescent="0.2">
      <c r="A7604" s="8" t="s">
        <v>7627</v>
      </c>
      <c r="B7604" s="2" t="s">
        <v>12471</v>
      </c>
    </row>
    <row r="7605" spans="1:2" x14ac:dyDescent="0.2">
      <c r="A7605" s="8" t="s">
        <v>7628</v>
      </c>
      <c r="B7605" s="2" t="s">
        <v>12471</v>
      </c>
    </row>
    <row r="7606" spans="1:2" x14ac:dyDescent="0.2">
      <c r="A7606" s="8" t="s">
        <v>7629</v>
      </c>
      <c r="B7606" s="2" t="s">
        <v>12471</v>
      </c>
    </row>
    <row r="7607" spans="1:2" x14ac:dyDescent="0.2">
      <c r="A7607" s="8" t="s">
        <v>7630</v>
      </c>
      <c r="B7607" s="2" t="s">
        <v>12471</v>
      </c>
    </row>
    <row r="7608" spans="1:2" x14ac:dyDescent="0.2">
      <c r="A7608" s="8" t="s">
        <v>7631</v>
      </c>
      <c r="B7608" s="2" t="s">
        <v>12471</v>
      </c>
    </row>
    <row r="7609" spans="1:2" x14ac:dyDescent="0.2">
      <c r="A7609" s="8" t="s">
        <v>7632</v>
      </c>
      <c r="B7609" s="2" t="s">
        <v>12471</v>
      </c>
    </row>
    <row r="7610" spans="1:2" x14ac:dyDescent="0.2">
      <c r="A7610" s="8" t="s">
        <v>7633</v>
      </c>
      <c r="B7610" s="2" t="s">
        <v>12471</v>
      </c>
    </row>
    <row r="7611" spans="1:2" x14ac:dyDescent="0.2">
      <c r="A7611" s="8" t="s">
        <v>7634</v>
      </c>
      <c r="B7611" s="2" t="s">
        <v>12471</v>
      </c>
    </row>
    <row r="7612" spans="1:2" x14ac:dyDescent="0.2">
      <c r="A7612" s="8" t="s">
        <v>7635</v>
      </c>
      <c r="B7612" s="2" t="s">
        <v>12471</v>
      </c>
    </row>
    <row r="7613" spans="1:2" x14ac:dyDescent="0.2">
      <c r="A7613" s="8" t="s">
        <v>7636</v>
      </c>
      <c r="B7613" s="2" t="s">
        <v>12471</v>
      </c>
    </row>
    <row r="7614" spans="1:2" x14ac:dyDescent="0.2">
      <c r="A7614" s="8" t="s">
        <v>7637</v>
      </c>
      <c r="B7614" s="2" t="s">
        <v>12471</v>
      </c>
    </row>
    <row r="7615" spans="1:2" x14ac:dyDescent="0.2">
      <c r="A7615" s="8" t="s">
        <v>7638</v>
      </c>
      <c r="B7615" s="2" t="s">
        <v>12471</v>
      </c>
    </row>
    <row r="7616" spans="1:2" x14ac:dyDescent="0.2">
      <c r="A7616" s="8" t="s">
        <v>7639</v>
      </c>
      <c r="B7616" s="2" t="s">
        <v>12471</v>
      </c>
    </row>
    <row r="7617" spans="1:2" x14ac:dyDescent="0.2">
      <c r="A7617" s="8" t="s">
        <v>7640</v>
      </c>
      <c r="B7617" s="2" t="s">
        <v>12471</v>
      </c>
    </row>
    <row r="7618" spans="1:2" x14ac:dyDescent="0.2">
      <c r="A7618" s="8" t="s">
        <v>7641</v>
      </c>
      <c r="B7618" s="2" t="s">
        <v>12471</v>
      </c>
    </row>
    <row r="7619" spans="1:2" x14ac:dyDescent="0.2">
      <c r="A7619" s="8" t="s">
        <v>7642</v>
      </c>
      <c r="B7619" s="2" t="s">
        <v>12471</v>
      </c>
    </row>
    <row r="7620" spans="1:2" x14ac:dyDescent="0.2">
      <c r="A7620" s="8" t="s">
        <v>7643</v>
      </c>
      <c r="B7620" s="2" t="s">
        <v>12471</v>
      </c>
    </row>
    <row r="7621" spans="1:2" x14ac:dyDescent="0.2">
      <c r="A7621" s="8" t="s">
        <v>7644</v>
      </c>
      <c r="B7621" s="2" t="s">
        <v>12471</v>
      </c>
    </row>
    <row r="7622" spans="1:2" x14ac:dyDescent="0.2">
      <c r="A7622" s="8" t="s">
        <v>7645</v>
      </c>
      <c r="B7622" s="2" t="s">
        <v>12471</v>
      </c>
    </row>
    <row r="7623" spans="1:2" x14ac:dyDescent="0.2">
      <c r="A7623" s="8" t="s">
        <v>7646</v>
      </c>
      <c r="B7623" s="2" t="s">
        <v>12471</v>
      </c>
    </row>
    <row r="7624" spans="1:2" x14ac:dyDescent="0.2">
      <c r="A7624" s="8" t="s">
        <v>7647</v>
      </c>
      <c r="B7624" s="2" t="s">
        <v>12471</v>
      </c>
    </row>
    <row r="7625" spans="1:2" x14ac:dyDescent="0.2">
      <c r="A7625" s="8" t="s">
        <v>7648</v>
      </c>
      <c r="B7625" s="2" t="s">
        <v>12471</v>
      </c>
    </row>
    <row r="7626" spans="1:2" x14ac:dyDescent="0.2">
      <c r="A7626" s="8" t="s">
        <v>7649</v>
      </c>
      <c r="B7626" s="2" t="s">
        <v>12471</v>
      </c>
    </row>
    <row r="7627" spans="1:2" x14ac:dyDescent="0.2">
      <c r="A7627" s="8" t="s">
        <v>7650</v>
      </c>
      <c r="B7627" s="2" t="s">
        <v>12471</v>
      </c>
    </row>
    <row r="7628" spans="1:2" x14ac:dyDescent="0.2">
      <c r="A7628" s="8" t="s">
        <v>7651</v>
      </c>
      <c r="B7628" s="2" t="s">
        <v>12471</v>
      </c>
    </row>
    <row r="7629" spans="1:2" x14ac:dyDescent="0.2">
      <c r="A7629" s="8" t="s">
        <v>7652</v>
      </c>
      <c r="B7629" s="2" t="s">
        <v>12471</v>
      </c>
    </row>
    <row r="7630" spans="1:2" x14ac:dyDescent="0.2">
      <c r="A7630" s="8" t="s">
        <v>7653</v>
      </c>
      <c r="B7630" s="2" t="s">
        <v>12471</v>
      </c>
    </row>
    <row r="7631" spans="1:2" x14ac:dyDescent="0.2">
      <c r="A7631" s="8" t="s">
        <v>7654</v>
      </c>
      <c r="B7631" s="2" t="s">
        <v>12471</v>
      </c>
    </row>
    <row r="7632" spans="1:2" x14ac:dyDescent="0.2">
      <c r="A7632" s="8" t="s">
        <v>7655</v>
      </c>
      <c r="B7632" s="2" t="s">
        <v>12471</v>
      </c>
    </row>
    <row r="7633" spans="1:2" x14ac:dyDescent="0.2">
      <c r="A7633" s="8" t="s">
        <v>7656</v>
      </c>
      <c r="B7633" s="2" t="s">
        <v>12471</v>
      </c>
    </row>
    <row r="7634" spans="1:2" x14ac:dyDescent="0.2">
      <c r="A7634" s="8" t="s">
        <v>7657</v>
      </c>
      <c r="B7634" s="2" t="s">
        <v>12471</v>
      </c>
    </row>
    <row r="7635" spans="1:2" x14ac:dyDescent="0.2">
      <c r="A7635" s="8" t="s">
        <v>7658</v>
      </c>
      <c r="B7635" s="2" t="s">
        <v>12471</v>
      </c>
    </row>
    <row r="7636" spans="1:2" x14ac:dyDescent="0.2">
      <c r="A7636" s="8" t="s">
        <v>7659</v>
      </c>
      <c r="B7636" s="2" t="s">
        <v>12471</v>
      </c>
    </row>
    <row r="7637" spans="1:2" x14ac:dyDescent="0.2">
      <c r="A7637" s="8" t="s">
        <v>7660</v>
      </c>
      <c r="B7637" s="2" t="s">
        <v>12471</v>
      </c>
    </row>
    <row r="7638" spans="1:2" x14ac:dyDescent="0.2">
      <c r="A7638" s="8" t="s">
        <v>7661</v>
      </c>
      <c r="B7638" s="2" t="s">
        <v>12471</v>
      </c>
    </row>
    <row r="7639" spans="1:2" x14ac:dyDescent="0.2">
      <c r="A7639" s="8" t="s">
        <v>7662</v>
      </c>
      <c r="B7639" s="2" t="s">
        <v>12471</v>
      </c>
    </row>
    <row r="7640" spans="1:2" x14ac:dyDescent="0.2">
      <c r="A7640" s="8" t="s">
        <v>7663</v>
      </c>
      <c r="B7640" s="2" t="s">
        <v>12471</v>
      </c>
    </row>
    <row r="7641" spans="1:2" x14ac:dyDescent="0.2">
      <c r="A7641" s="8" t="s">
        <v>7664</v>
      </c>
      <c r="B7641" s="2" t="s">
        <v>12471</v>
      </c>
    </row>
    <row r="7642" spans="1:2" x14ac:dyDescent="0.2">
      <c r="A7642" s="8" t="s">
        <v>7665</v>
      </c>
      <c r="B7642" s="2" t="s">
        <v>12471</v>
      </c>
    </row>
    <row r="7643" spans="1:2" x14ac:dyDescent="0.2">
      <c r="A7643" s="8" t="s">
        <v>7666</v>
      </c>
      <c r="B7643" s="2" t="s">
        <v>12471</v>
      </c>
    </row>
    <row r="7644" spans="1:2" x14ac:dyDescent="0.2">
      <c r="A7644" s="8" t="s">
        <v>7667</v>
      </c>
      <c r="B7644" s="2" t="s">
        <v>12471</v>
      </c>
    </row>
    <row r="7645" spans="1:2" x14ac:dyDescent="0.2">
      <c r="A7645" s="8" t="s">
        <v>7668</v>
      </c>
      <c r="B7645" s="2" t="s">
        <v>12471</v>
      </c>
    </row>
    <row r="7646" spans="1:2" x14ac:dyDescent="0.2">
      <c r="A7646" s="8" t="s">
        <v>7669</v>
      </c>
      <c r="B7646" s="2" t="s">
        <v>12471</v>
      </c>
    </row>
    <row r="7647" spans="1:2" x14ac:dyDescent="0.2">
      <c r="A7647" s="8" t="s">
        <v>7670</v>
      </c>
      <c r="B7647" s="2" t="s">
        <v>12471</v>
      </c>
    </row>
    <row r="7648" spans="1:2" x14ac:dyDescent="0.2">
      <c r="A7648" s="8" t="s">
        <v>7671</v>
      </c>
      <c r="B7648" s="2" t="s">
        <v>12471</v>
      </c>
    </row>
    <row r="7649" spans="1:2" x14ac:dyDescent="0.2">
      <c r="A7649" s="8" t="s">
        <v>7672</v>
      </c>
      <c r="B7649" s="2" t="s">
        <v>12471</v>
      </c>
    </row>
    <row r="7650" spans="1:2" x14ac:dyDescent="0.2">
      <c r="A7650" s="8" t="s">
        <v>7673</v>
      </c>
      <c r="B7650" s="2" t="s">
        <v>12471</v>
      </c>
    </row>
    <row r="7651" spans="1:2" x14ac:dyDescent="0.2">
      <c r="A7651" s="8" t="s">
        <v>7674</v>
      </c>
      <c r="B7651" s="2" t="s">
        <v>12471</v>
      </c>
    </row>
    <row r="7652" spans="1:2" x14ac:dyDescent="0.2">
      <c r="A7652" s="8" t="s">
        <v>7675</v>
      </c>
      <c r="B7652" s="2" t="s">
        <v>12471</v>
      </c>
    </row>
    <row r="7653" spans="1:2" x14ac:dyDescent="0.2">
      <c r="A7653" s="8" t="s">
        <v>7676</v>
      </c>
      <c r="B7653" s="2" t="s">
        <v>12471</v>
      </c>
    </row>
    <row r="7654" spans="1:2" x14ac:dyDescent="0.2">
      <c r="A7654" s="8" t="s">
        <v>7677</v>
      </c>
      <c r="B7654" s="2" t="s">
        <v>12471</v>
      </c>
    </row>
    <row r="7655" spans="1:2" x14ac:dyDescent="0.2">
      <c r="A7655" s="8" t="s">
        <v>7678</v>
      </c>
      <c r="B7655" s="2" t="s">
        <v>12471</v>
      </c>
    </row>
    <row r="7656" spans="1:2" x14ac:dyDescent="0.2">
      <c r="A7656" s="8" t="s">
        <v>7679</v>
      </c>
      <c r="B7656" s="2" t="s">
        <v>12471</v>
      </c>
    </row>
    <row r="7657" spans="1:2" x14ac:dyDescent="0.2">
      <c r="A7657" s="8" t="s">
        <v>7680</v>
      </c>
      <c r="B7657" s="2" t="s">
        <v>12471</v>
      </c>
    </row>
    <row r="7658" spans="1:2" x14ac:dyDescent="0.2">
      <c r="A7658" s="8" t="s">
        <v>7681</v>
      </c>
      <c r="B7658" s="2" t="s">
        <v>12471</v>
      </c>
    </row>
    <row r="7659" spans="1:2" x14ac:dyDescent="0.2">
      <c r="A7659" s="8" t="s">
        <v>7682</v>
      </c>
      <c r="B7659" s="2" t="s">
        <v>12471</v>
      </c>
    </row>
    <row r="7660" spans="1:2" x14ac:dyDescent="0.2">
      <c r="A7660" s="8" t="s">
        <v>7683</v>
      </c>
      <c r="B7660" s="2" t="s">
        <v>12471</v>
      </c>
    </row>
    <row r="7661" spans="1:2" x14ac:dyDescent="0.2">
      <c r="A7661" s="8" t="s">
        <v>7684</v>
      </c>
      <c r="B7661" s="2" t="s">
        <v>12471</v>
      </c>
    </row>
    <row r="7662" spans="1:2" x14ac:dyDescent="0.2">
      <c r="A7662" s="8" t="s">
        <v>7685</v>
      </c>
      <c r="B7662" s="2" t="s">
        <v>12471</v>
      </c>
    </row>
    <row r="7663" spans="1:2" x14ac:dyDescent="0.2">
      <c r="A7663" s="8" t="s">
        <v>7686</v>
      </c>
      <c r="B7663" s="2" t="s">
        <v>12471</v>
      </c>
    </row>
    <row r="7664" spans="1:2" x14ac:dyDescent="0.2">
      <c r="A7664" s="8" t="s">
        <v>7687</v>
      </c>
      <c r="B7664" s="2" t="s">
        <v>12471</v>
      </c>
    </row>
    <row r="7665" spans="1:2" x14ac:dyDescent="0.2">
      <c r="A7665" s="8" t="s">
        <v>7688</v>
      </c>
      <c r="B7665" s="2" t="s">
        <v>12471</v>
      </c>
    </row>
    <row r="7666" spans="1:2" x14ac:dyDescent="0.2">
      <c r="A7666" s="8" t="s">
        <v>7689</v>
      </c>
      <c r="B7666" s="2" t="s">
        <v>12471</v>
      </c>
    </row>
    <row r="7667" spans="1:2" x14ac:dyDescent="0.2">
      <c r="A7667" s="8" t="s">
        <v>7690</v>
      </c>
      <c r="B7667" s="2" t="s">
        <v>12471</v>
      </c>
    </row>
    <row r="7668" spans="1:2" x14ac:dyDescent="0.2">
      <c r="A7668" s="8" t="s">
        <v>7691</v>
      </c>
      <c r="B7668" s="2" t="s">
        <v>12471</v>
      </c>
    </row>
    <row r="7669" spans="1:2" x14ac:dyDescent="0.2">
      <c r="A7669" s="8" t="s">
        <v>7692</v>
      </c>
      <c r="B7669" s="2" t="s">
        <v>12471</v>
      </c>
    </row>
    <row r="7670" spans="1:2" x14ac:dyDescent="0.2">
      <c r="A7670" s="8" t="s">
        <v>7693</v>
      </c>
      <c r="B7670" s="2" t="s">
        <v>12471</v>
      </c>
    </row>
    <row r="7671" spans="1:2" x14ac:dyDescent="0.2">
      <c r="A7671" s="8" t="s">
        <v>7694</v>
      </c>
      <c r="B7671" s="2" t="s">
        <v>12471</v>
      </c>
    </row>
    <row r="7672" spans="1:2" x14ac:dyDescent="0.2">
      <c r="A7672" s="8" t="s">
        <v>7695</v>
      </c>
      <c r="B7672" s="2" t="s">
        <v>12471</v>
      </c>
    </row>
    <row r="7673" spans="1:2" x14ac:dyDescent="0.2">
      <c r="A7673" s="8" t="s">
        <v>7696</v>
      </c>
      <c r="B7673" s="2" t="s">
        <v>12471</v>
      </c>
    </row>
    <row r="7674" spans="1:2" x14ac:dyDescent="0.2">
      <c r="A7674" s="8" t="s">
        <v>7697</v>
      </c>
      <c r="B7674" s="2" t="s">
        <v>12471</v>
      </c>
    </row>
    <row r="7675" spans="1:2" x14ac:dyDescent="0.2">
      <c r="A7675" s="8" t="s">
        <v>7698</v>
      </c>
      <c r="B7675" s="2" t="s">
        <v>12471</v>
      </c>
    </row>
    <row r="7676" spans="1:2" x14ac:dyDescent="0.2">
      <c r="A7676" s="8" t="s">
        <v>7699</v>
      </c>
      <c r="B7676" s="2" t="s">
        <v>12471</v>
      </c>
    </row>
    <row r="7677" spans="1:2" x14ac:dyDescent="0.2">
      <c r="A7677" s="8" t="s">
        <v>7700</v>
      </c>
      <c r="B7677" s="2" t="s">
        <v>12471</v>
      </c>
    </row>
    <row r="7678" spans="1:2" x14ac:dyDescent="0.2">
      <c r="A7678" s="8" t="s">
        <v>7701</v>
      </c>
      <c r="B7678" s="2" t="s">
        <v>12471</v>
      </c>
    </row>
    <row r="7679" spans="1:2" x14ac:dyDescent="0.2">
      <c r="A7679" s="8" t="s">
        <v>7702</v>
      </c>
      <c r="B7679" s="2" t="s">
        <v>12471</v>
      </c>
    </row>
    <row r="7680" spans="1:2" x14ac:dyDescent="0.2">
      <c r="A7680" s="8" t="s">
        <v>7703</v>
      </c>
      <c r="B7680" s="2" t="s">
        <v>12471</v>
      </c>
    </row>
    <row r="7681" spans="1:2" x14ac:dyDescent="0.2">
      <c r="A7681" s="8" t="s">
        <v>7704</v>
      </c>
      <c r="B7681" s="2" t="s">
        <v>12471</v>
      </c>
    </row>
    <row r="7682" spans="1:2" x14ac:dyDescent="0.2">
      <c r="A7682" s="8" t="s">
        <v>7705</v>
      </c>
      <c r="B7682" s="2" t="s">
        <v>12471</v>
      </c>
    </row>
    <row r="7683" spans="1:2" x14ac:dyDescent="0.2">
      <c r="A7683" s="8" t="s">
        <v>7706</v>
      </c>
      <c r="B7683" s="2" t="s">
        <v>12471</v>
      </c>
    </row>
    <row r="7684" spans="1:2" x14ac:dyDescent="0.2">
      <c r="A7684" s="8" t="s">
        <v>7707</v>
      </c>
      <c r="B7684" s="2" t="s">
        <v>12471</v>
      </c>
    </row>
    <row r="7685" spans="1:2" x14ac:dyDescent="0.2">
      <c r="A7685" s="8" t="s">
        <v>7708</v>
      </c>
      <c r="B7685" s="2" t="s">
        <v>12471</v>
      </c>
    </row>
    <row r="7686" spans="1:2" x14ac:dyDescent="0.2">
      <c r="A7686" s="8" t="s">
        <v>7709</v>
      </c>
      <c r="B7686" s="2" t="s">
        <v>12471</v>
      </c>
    </row>
    <row r="7687" spans="1:2" x14ac:dyDescent="0.2">
      <c r="A7687" s="8" t="s">
        <v>7710</v>
      </c>
      <c r="B7687" s="2" t="s">
        <v>12471</v>
      </c>
    </row>
    <row r="7688" spans="1:2" x14ac:dyDescent="0.2">
      <c r="A7688" s="8" t="s">
        <v>7711</v>
      </c>
      <c r="B7688" s="2" t="s">
        <v>12471</v>
      </c>
    </row>
    <row r="7689" spans="1:2" x14ac:dyDescent="0.2">
      <c r="A7689" s="8" t="s">
        <v>7712</v>
      </c>
      <c r="B7689" s="2" t="s">
        <v>12471</v>
      </c>
    </row>
    <row r="7690" spans="1:2" x14ac:dyDescent="0.2">
      <c r="A7690" s="8" t="s">
        <v>7713</v>
      </c>
      <c r="B7690" s="2" t="s">
        <v>12471</v>
      </c>
    </row>
    <row r="7691" spans="1:2" x14ac:dyDescent="0.2">
      <c r="A7691" s="8" t="s">
        <v>7714</v>
      </c>
      <c r="B7691" s="2" t="s">
        <v>12471</v>
      </c>
    </row>
    <row r="7692" spans="1:2" x14ac:dyDescent="0.2">
      <c r="A7692" s="8" t="s">
        <v>7715</v>
      </c>
      <c r="B7692" s="2" t="s">
        <v>12471</v>
      </c>
    </row>
    <row r="7693" spans="1:2" x14ac:dyDescent="0.2">
      <c r="A7693" s="8" t="s">
        <v>7716</v>
      </c>
      <c r="B7693" s="2" t="s">
        <v>12471</v>
      </c>
    </row>
    <row r="7694" spans="1:2" x14ac:dyDescent="0.2">
      <c r="A7694" s="8" t="s">
        <v>7717</v>
      </c>
      <c r="B7694" s="2" t="s">
        <v>12471</v>
      </c>
    </row>
    <row r="7695" spans="1:2" x14ac:dyDescent="0.2">
      <c r="A7695" s="8" t="s">
        <v>7718</v>
      </c>
      <c r="B7695" s="2" t="s">
        <v>12471</v>
      </c>
    </row>
    <row r="7696" spans="1:2" x14ac:dyDescent="0.2">
      <c r="A7696" s="8" t="s">
        <v>7719</v>
      </c>
      <c r="B7696" s="2" t="s">
        <v>12471</v>
      </c>
    </row>
    <row r="7697" spans="1:2" x14ac:dyDescent="0.2">
      <c r="A7697" s="8" t="s">
        <v>7720</v>
      </c>
      <c r="B7697" s="2" t="s">
        <v>12471</v>
      </c>
    </row>
    <row r="7698" spans="1:2" x14ac:dyDescent="0.2">
      <c r="A7698" s="8" t="s">
        <v>7721</v>
      </c>
      <c r="B7698" s="2" t="s">
        <v>12471</v>
      </c>
    </row>
    <row r="7699" spans="1:2" x14ac:dyDescent="0.2">
      <c r="A7699" s="8" t="s">
        <v>7722</v>
      </c>
      <c r="B7699" s="2" t="s">
        <v>12471</v>
      </c>
    </row>
    <row r="7700" spans="1:2" x14ac:dyDescent="0.2">
      <c r="A7700" s="8" t="s">
        <v>7723</v>
      </c>
      <c r="B7700" s="2" t="s">
        <v>12471</v>
      </c>
    </row>
    <row r="7701" spans="1:2" x14ac:dyDescent="0.2">
      <c r="A7701" s="8" t="s">
        <v>7724</v>
      </c>
      <c r="B7701" s="2" t="s">
        <v>12471</v>
      </c>
    </row>
    <row r="7702" spans="1:2" x14ac:dyDescent="0.2">
      <c r="A7702" s="8" t="s">
        <v>7725</v>
      </c>
      <c r="B7702" s="2" t="s">
        <v>12471</v>
      </c>
    </row>
    <row r="7703" spans="1:2" x14ac:dyDescent="0.2">
      <c r="A7703" s="8" t="s">
        <v>7726</v>
      </c>
      <c r="B7703" s="2" t="s">
        <v>12471</v>
      </c>
    </row>
    <row r="7704" spans="1:2" x14ac:dyDescent="0.2">
      <c r="A7704" s="8" t="s">
        <v>7727</v>
      </c>
      <c r="B7704" s="2" t="s">
        <v>12471</v>
      </c>
    </row>
    <row r="7705" spans="1:2" x14ac:dyDescent="0.2">
      <c r="A7705" s="8" t="s">
        <v>7728</v>
      </c>
      <c r="B7705" s="2" t="s">
        <v>12471</v>
      </c>
    </row>
    <row r="7706" spans="1:2" x14ac:dyDescent="0.2">
      <c r="A7706" s="8" t="s">
        <v>7729</v>
      </c>
      <c r="B7706" s="2" t="s">
        <v>12471</v>
      </c>
    </row>
    <row r="7707" spans="1:2" x14ac:dyDescent="0.2">
      <c r="A7707" s="8" t="s">
        <v>7730</v>
      </c>
      <c r="B7707" s="2" t="s">
        <v>12471</v>
      </c>
    </row>
    <row r="7708" spans="1:2" x14ac:dyDescent="0.2">
      <c r="A7708" s="8" t="s">
        <v>7731</v>
      </c>
      <c r="B7708" s="2" t="s">
        <v>12471</v>
      </c>
    </row>
    <row r="7709" spans="1:2" x14ac:dyDescent="0.2">
      <c r="A7709" s="8" t="s">
        <v>7732</v>
      </c>
      <c r="B7709" s="2" t="s">
        <v>12471</v>
      </c>
    </row>
    <row r="7710" spans="1:2" x14ac:dyDescent="0.2">
      <c r="A7710" s="8" t="s">
        <v>7733</v>
      </c>
      <c r="B7710" s="2" t="s">
        <v>12471</v>
      </c>
    </row>
    <row r="7711" spans="1:2" x14ac:dyDescent="0.2">
      <c r="A7711" s="8" t="s">
        <v>7734</v>
      </c>
      <c r="B7711" s="2" t="s">
        <v>12471</v>
      </c>
    </row>
    <row r="7712" spans="1:2" x14ac:dyDescent="0.2">
      <c r="A7712" s="8" t="s">
        <v>7735</v>
      </c>
      <c r="B7712" s="2" t="s">
        <v>12471</v>
      </c>
    </row>
    <row r="7713" spans="1:2" x14ac:dyDescent="0.2">
      <c r="A7713" s="8" t="s">
        <v>7736</v>
      </c>
      <c r="B7713" s="2" t="s">
        <v>12471</v>
      </c>
    </row>
    <row r="7714" spans="1:2" x14ac:dyDescent="0.2">
      <c r="A7714" s="8" t="s">
        <v>7737</v>
      </c>
      <c r="B7714" s="2" t="s">
        <v>12471</v>
      </c>
    </row>
    <row r="7715" spans="1:2" x14ac:dyDescent="0.2">
      <c r="A7715" s="8" t="s">
        <v>7738</v>
      </c>
      <c r="B7715" s="2" t="s">
        <v>12471</v>
      </c>
    </row>
    <row r="7716" spans="1:2" x14ac:dyDescent="0.2">
      <c r="A7716" s="8" t="s">
        <v>7739</v>
      </c>
      <c r="B7716" s="2" t="s">
        <v>12471</v>
      </c>
    </row>
    <row r="7717" spans="1:2" x14ac:dyDescent="0.2">
      <c r="A7717" s="8" t="s">
        <v>7740</v>
      </c>
      <c r="B7717" s="2" t="s">
        <v>12471</v>
      </c>
    </row>
    <row r="7718" spans="1:2" x14ac:dyDescent="0.2">
      <c r="A7718" s="8" t="s">
        <v>7741</v>
      </c>
      <c r="B7718" s="2" t="s">
        <v>12471</v>
      </c>
    </row>
    <row r="7719" spans="1:2" x14ac:dyDescent="0.2">
      <c r="A7719" s="8" t="s">
        <v>7742</v>
      </c>
      <c r="B7719" s="2" t="s">
        <v>12471</v>
      </c>
    </row>
    <row r="7720" spans="1:2" x14ac:dyDescent="0.2">
      <c r="A7720" s="8" t="s">
        <v>7743</v>
      </c>
      <c r="B7720" s="2" t="s">
        <v>12471</v>
      </c>
    </row>
    <row r="7721" spans="1:2" x14ac:dyDescent="0.2">
      <c r="A7721" s="8" t="s">
        <v>7744</v>
      </c>
      <c r="B7721" s="2" t="s">
        <v>12471</v>
      </c>
    </row>
    <row r="7722" spans="1:2" x14ac:dyDescent="0.2">
      <c r="A7722" s="8" t="s">
        <v>7745</v>
      </c>
      <c r="B7722" s="2" t="s">
        <v>12471</v>
      </c>
    </row>
    <row r="7723" spans="1:2" x14ac:dyDescent="0.2">
      <c r="A7723" s="8" t="s">
        <v>7746</v>
      </c>
      <c r="B7723" s="2" t="s">
        <v>12471</v>
      </c>
    </row>
    <row r="7724" spans="1:2" x14ac:dyDescent="0.2">
      <c r="A7724" s="8" t="s">
        <v>7747</v>
      </c>
      <c r="B7724" s="2" t="s">
        <v>12471</v>
      </c>
    </row>
    <row r="7725" spans="1:2" x14ac:dyDescent="0.2">
      <c r="A7725" s="8" t="s">
        <v>7748</v>
      </c>
      <c r="B7725" s="2" t="s">
        <v>12471</v>
      </c>
    </row>
    <row r="7726" spans="1:2" x14ac:dyDescent="0.2">
      <c r="A7726" s="8" t="s">
        <v>7749</v>
      </c>
      <c r="B7726" s="2" t="s">
        <v>12471</v>
      </c>
    </row>
    <row r="7727" spans="1:2" x14ac:dyDescent="0.2">
      <c r="A7727" s="8" t="s">
        <v>7750</v>
      </c>
      <c r="B7727" s="2" t="s">
        <v>12471</v>
      </c>
    </row>
    <row r="7728" spans="1:2" x14ac:dyDescent="0.2">
      <c r="A7728" s="8" t="s">
        <v>7751</v>
      </c>
      <c r="B7728" s="2" t="s">
        <v>12471</v>
      </c>
    </row>
    <row r="7729" spans="1:2" x14ac:dyDescent="0.2">
      <c r="A7729" s="8" t="s">
        <v>7752</v>
      </c>
      <c r="B7729" s="2" t="s">
        <v>12471</v>
      </c>
    </row>
    <row r="7730" spans="1:2" x14ac:dyDescent="0.2">
      <c r="A7730" s="8" t="s">
        <v>7753</v>
      </c>
      <c r="B7730" s="2" t="s">
        <v>12471</v>
      </c>
    </row>
    <row r="7731" spans="1:2" x14ac:dyDescent="0.2">
      <c r="A7731" s="8" t="s">
        <v>7754</v>
      </c>
      <c r="B7731" s="2" t="s">
        <v>12471</v>
      </c>
    </row>
    <row r="7732" spans="1:2" x14ac:dyDescent="0.2">
      <c r="A7732" s="8" t="s">
        <v>7755</v>
      </c>
      <c r="B7732" s="2" t="s">
        <v>12471</v>
      </c>
    </row>
    <row r="7733" spans="1:2" x14ac:dyDescent="0.2">
      <c r="A7733" s="8" t="s">
        <v>7756</v>
      </c>
      <c r="B7733" s="2" t="s">
        <v>12471</v>
      </c>
    </row>
    <row r="7734" spans="1:2" x14ac:dyDescent="0.2">
      <c r="A7734" s="8" t="s">
        <v>7757</v>
      </c>
      <c r="B7734" s="2" t="s">
        <v>12471</v>
      </c>
    </row>
    <row r="7735" spans="1:2" x14ac:dyDescent="0.2">
      <c r="A7735" s="8" t="s">
        <v>7758</v>
      </c>
      <c r="B7735" s="2" t="s">
        <v>12471</v>
      </c>
    </row>
    <row r="7736" spans="1:2" x14ac:dyDescent="0.2">
      <c r="A7736" s="8" t="s">
        <v>7759</v>
      </c>
      <c r="B7736" s="2" t="s">
        <v>12471</v>
      </c>
    </row>
    <row r="7737" spans="1:2" x14ac:dyDescent="0.2">
      <c r="A7737" s="8" t="s">
        <v>7760</v>
      </c>
      <c r="B7737" s="2" t="s">
        <v>12471</v>
      </c>
    </row>
    <row r="7738" spans="1:2" x14ac:dyDescent="0.2">
      <c r="A7738" s="8" t="s">
        <v>7761</v>
      </c>
      <c r="B7738" s="2" t="s">
        <v>12471</v>
      </c>
    </row>
    <row r="7739" spans="1:2" x14ac:dyDescent="0.2">
      <c r="A7739" s="8" t="s">
        <v>7762</v>
      </c>
      <c r="B7739" s="2" t="s">
        <v>12471</v>
      </c>
    </row>
    <row r="7740" spans="1:2" x14ac:dyDescent="0.2">
      <c r="A7740" s="8" t="s">
        <v>7763</v>
      </c>
      <c r="B7740" s="2" t="s">
        <v>12471</v>
      </c>
    </row>
    <row r="7741" spans="1:2" x14ac:dyDescent="0.2">
      <c r="A7741" s="8" t="s">
        <v>7764</v>
      </c>
      <c r="B7741" s="2" t="s">
        <v>12471</v>
      </c>
    </row>
    <row r="7742" spans="1:2" x14ac:dyDescent="0.2">
      <c r="A7742" s="8" t="s">
        <v>7765</v>
      </c>
      <c r="B7742" s="2" t="s">
        <v>12471</v>
      </c>
    </row>
    <row r="7743" spans="1:2" x14ac:dyDescent="0.2">
      <c r="A7743" s="8" t="s">
        <v>7766</v>
      </c>
      <c r="B7743" s="2" t="s">
        <v>12471</v>
      </c>
    </row>
    <row r="7744" spans="1:2" x14ac:dyDescent="0.2">
      <c r="A7744" s="8" t="s">
        <v>7767</v>
      </c>
      <c r="B7744" s="2" t="s">
        <v>12471</v>
      </c>
    </row>
    <row r="7745" spans="1:2" x14ac:dyDescent="0.2">
      <c r="A7745" s="8" t="s">
        <v>7768</v>
      </c>
      <c r="B7745" s="2" t="s">
        <v>12471</v>
      </c>
    </row>
    <row r="7746" spans="1:2" x14ac:dyDescent="0.2">
      <c r="A7746" s="8" t="s">
        <v>7769</v>
      </c>
      <c r="B7746" s="2" t="s">
        <v>12471</v>
      </c>
    </row>
    <row r="7747" spans="1:2" x14ac:dyDescent="0.2">
      <c r="A7747" s="8" t="s">
        <v>7770</v>
      </c>
      <c r="B7747" s="2" t="s">
        <v>12471</v>
      </c>
    </row>
    <row r="7748" spans="1:2" x14ac:dyDescent="0.2">
      <c r="A7748" s="8" t="s">
        <v>7771</v>
      </c>
      <c r="B7748" s="2" t="s">
        <v>12471</v>
      </c>
    </row>
    <row r="7749" spans="1:2" x14ac:dyDescent="0.2">
      <c r="A7749" s="8" t="s">
        <v>7772</v>
      </c>
      <c r="B7749" s="2" t="s">
        <v>12471</v>
      </c>
    </row>
    <row r="7750" spans="1:2" x14ac:dyDescent="0.2">
      <c r="A7750" s="8" t="s">
        <v>7773</v>
      </c>
      <c r="B7750" s="2" t="s">
        <v>12471</v>
      </c>
    </row>
    <row r="7751" spans="1:2" x14ac:dyDescent="0.2">
      <c r="A7751" s="8" t="s">
        <v>7774</v>
      </c>
      <c r="B7751" s="2" t="s">
        <v>12471</v>
      </c>
    </row>
    <row r="7752" spans="1:2" x14ac:dyDescent="0.2">
      <c r="A7752" s="8" t="s">
        <v>7775</v>
      </c>
      <c r="B7752" s="2" t="s">
        <v>12471</v>
      </c>
    </row>
    <row r="7753" spans="1:2" x14ac:dyDescent="0.2">
      <c r="A7753" s="8" t="s">
        <v>7776</v>
      </c>
      <c r="B7753" s="2" t="s">
        <v>12471</v>
      </c>
    </row>
    <row r="7754" spans="1:2" x14ac:dyDescent="0.2">
      <c r="A7754" s="8" t="s">
        <v>7777</v>
      </c>
      <c r="B7754" s="2" t="s">
        <v>12471</v>
      </c>
    </row>
    <row r="7755" spans="1:2" x14ac:dyDescent="0.2">
      <c r="A7755" s="8" t="s">
        <v>7778</v>
      </c>
      <c r="B7755" s="2" t="s">
        <v>12471</v>
      </c>
    </row>
    <row r="7756" spans="1:2" x14ac:dyDescent="0.2">
      <c r="A7756" s="8" t="s">
        <v>7779</v>
      </c>
      <c r="B7756" s="2" t="s">
        <v>12471</v>
      </c>
    </row>
    <row r="7757" spans="1:2" x14ac:dyDescent="0.2">
      <c r="A7757" s="8" t="s">
        <v>7780</v>
      </c>
      <c r="B7757" s="2" t="s">
        <v>12471</v>
      </c>
    </row>
    <row r="7758" spans="1:2" x14ac:dyDescent="0.2">
      <c r="A7758" s="8" t="s">
        <v>7781</v>
      </c>
      <c r="B7758" s="2" t="s">
        <v>12471</v>
      </c>
    </row>
    <row r="7759" spans="1:2" x14ac:dyDescent="0.2">
      <c r="A7759" s="8" t="s">
        <v>7782</v>
      </c>
      <c r="B7759" s="2" t="s">
        <v>12471</v>
      </c>
    </row>
    <row r="7760" spans="1:2" x14ac:dyDescent="0.2">
      <c r="A7760" s="8" t="s">
        <v>7783</v>
      </c>
      <c r="B7760" s="2" t="s">
        <v>12471</v>
      </c>
    </row>
    <row r="7761" spans="1:2" x14ac:dyDescent="0.2">
      <c r="A7761" s="8" t="s">
        <v>7784</v>
      </c>
      <c r="B7761" s="2" t="s">
        <v>12471</v>
      </c>
    </row>
    <row r="7762" spans="1:2" x14ac:dyDescent="0.2">
      <c r="A7762" s="8" t="s">
        <v>7785</v>
      </c>
      <c r="B7762" s="2" t="s">
        <v>12471</v>
      </c>
    </row>
    <row r="7763" spans="1:2" x14ac:dyDescent="0.2">
      <c r="A7763" s="8" t="s">
        <v>7786</v>
      </c>
      <c r="B7763" s="2" t="s">
        <v>12471</v>
      </c>
    </row>
    <row r="7764" spans="1:2" x14ac:dyDescent="0.2">
      <c r="A7764" s="8" t="s">
        <v>7787</v>
      </c>
      <c r="B7764" s="2" t="s">
        <v>12471</v>
      </c>
    </row>
    <row r="7765" spans="1:2" x14ac:dyDescent="0.2">
      <c r="A7765" s="8" t="s">
        <v>7788</v>
      </c>
      <c r="B7765" s="2" t="s">
        <v>12471</v>
      </c>
    </row>
    <row r="7766" spans="1:2" x14ac:dyDescent="0.2">
      <c r="A7766" s="8" t="s">
        <v>7789</v>
      </c>
      <c r="B7766" s="2" t="s">
        <v>12471</v>
      </c>
    </row>
    <row r="7767" spans="1:2" x14ac:dyDescent="0.2">
      <c r="A7767" s="8" t="s">
        <v>7790</v>
      </c>
      <c r="B7767" s="2" t="s">
        <v>12471</v>
      </c>
    </row>
    <row r="7768" spans="1:2" x14ac:dyDescent="0.2">
      <c r="A7768" s="8" t="s">
        <v>7791</v>
      </c>
      <c r="B7768" s="2" t="s">
        <v>12471</v>
      </c>
    </row>
    <row r="7769" spans="1:2" x14ac:dyDescent="0.2">
      <c r="A7769" s="8" t="s">
        <v>7792</v>
      </c>
      <c r="B7769" s="2" t="s">
        <v>12471</v>
      </c>
    </row>
    <row r="7770" spans="1:2" x14ac:dyDescent="0.2">
      <c r="A7770" s="8" t="s">
        <v>7793</v>
      </c>
      <c r="B7770" s="2" t="s">
        <v>12471</v>
      </c>
    </row>
    <row r="7771" spans="1:2" x14ac:dyDescent="0.2">
      <c r="A7771" s="8" t="s">
        <v>7794</v>
      </c>
      <c r="B7771" s="2" t="s">
        <v>12471</v>
      </c>
    </row>
    <row r="7772" spans="1:2" x14ac:dyDescent="0.2">
      <c r="A7772" s="8" t="s">
        <v>7795</v>
      </c>
      <c r="B7772" s="2" t="s">
        <v>12471</v>
      </c>
    </row>
    <row r="7773" spans="1:2" x14ac:dyDescent="0.2">
      <c r="A7773" s="8" t="s">
        <v>7796</v>
      </c>
      <c r="B7773" s="2" t="s">
        <v>12471</v>
      </c>
    </row>
    <row r="7774" spans="1:2" x14ac:dyDescent="0.2">
      <c r="A7774" s="8" t="s">
        <v>7797</v>
      </c>
      <c r="B7774" s="2" t="s">
        <v>12471</v>
      </c>
    </row>
    <row r="7775" spans="1:2" x14ac:dyDescent="0.2">
      <c r="A7775" s="8" t="s">
        <v>7798</v>
      </c>
      <c r="B7775" s="2" t="s">
        <v>12471</v>
      </c>
    </row>
    <row r="7776" spans="1:2" x14ac:dyDescent="0.2">
      <c r="A7776" s="8" t="s">
        <v>7799</v>
      </c>
      <c r="B7776" s="2" t="s">
        <v>12471</v>
      </c>
    </row>
    <row r="7777" spans="1:2" x14ac:dyDescent="0.2">
      <c r="A7777" s="8" t="s">
        <v>7800</v>
      </c>
      <c r="B7777" s="2" t="s">
        <v>12471</v>
      </c>
    </row>
    <row r="7778" spans="1:2" x14ac:dyDescent="0.2">
      <c r="A7778" s="8" t="s">
        <v>7801</v>
      </c>
      <c r="B7778" s="2" t="s">
        <v>12471</v>
      </c>
    </row>
    <row r="7779" spans="1:2" x14ac:dyDescent="0.2">
      <c r="A7779" s="8" t="s">
        <v>7802</v>
      </c>
      <c r="B7779" s="2" t="s">
        <v>12471</v>
      </c>
    </row>
    <row r="7780" spans="1:2" x14ac:dyDescent="0.2">
      <c r="A7780" s="8" t="s">
        <v>7803</v>
      </c>
      <c r="B7780" s="2" t="s">
        <v>12471</v>
      </c>
    </row>
    <row r="7781" spans="1:2" x14ac:dyDescent="0.2">
      <c r="A7781" s="8" t="s">
        <v>7804</v>
      </c>
      <c r="B7781" s="2" t="s">
        <v>12471</v>
      </c>
    </row>
    <row r="7782" spans="1:2" x14ac:dyDescent="0.2">
      <c r="A7782" s="8" t="s">
        <v>7805</v>
      </c>
      <c r="B7782" s="2" t="s">
        <v>12471</v>
      </c>
    </row>
    <row r="7783" spans="1:2" x14ac:dyDescent="0.2">
      <c r="A7783" s="8" t="s">
        <v>7806</v>
      </c>
      <c r="B7783" s="2" t="s">
        <v>12471</v>
      </c>
    </row>
    <row r="7784" spans="1:2" x14ac:dyDescent="0.2">
      <c r="A7784" s="8" t="s">
        <v>7807</v>
      </c>
      <c r="B7784" s="2" t="s">
        <v>12471</v>
      </c>
    </row>
    <row r="7785" spans="1:2" x14ac:dyDescent="0.2">
      <c r="A7785" s="8" t="s">
        <v>7808</v>
      </c>
      <c r="B7785" s="2" t="s">
        <v>12471</v>
      </c>
    </row>
    <row r="7786" spans="1:2" x14ac:dyDescent="0.2">
      <c r="A7786" s="8" t="s">
        <v>7809</v>
      </c>
      <c r="B7786" s="2" t="s">
        <v>12471</v>
      </c>
    </row>
    <row r="7787" spans="1:2" x14ac:dyDescent="0.2">
      <c r="A7787" s="8" t="s">
        <v>7810</v>
      </c>
      <c r="B7787" s="2" t="s">
        <v>12471</v>
      </c>
    </row>
    <row r="7788" spans="1:2" x14ac:dyDescent="0.2">
      <c r="A7788" s="8" t="s">
        <v>7811</v>
      </c>
      <c r="B7788" s="2" t="s">
        <v>12471</v>
      </c>
    </row>
    <row r="7789" spans="1:2" x14ac:dyDescent="0.2">
      <c r="A7789" s="8" t="s">
        <v>7812</v>
      </c>
      <c r="B7789" s="2" t="s">
        <v>12471</v>
      </c>
    </row>
    <row r="7790" spans="1:2" x14ac:dyDescent="0.2">
      <c r="A7790" s="8" t="s">
        <v>7813</v>
      </c>
      <c r="B7790" s="2" t="s">
        <v>12471</v>
      </c>
    </row>
    <row r="7791" spans="1:2" x14ac:dyDescent="0.2">
      <c r="A7791" s="8" t="s">
        <v>7814</v>
      </c>
      <c r="B7791" s="2" t="s">
        <v>12471</v>
      </c>
    </row>
    <row r="7792" spans="1:2" x14ac:dyDescent="0.2">
      <c r="A7792" s="8" t="s">
        <v>7815</v>
      </c>
      <c r="B7792" s="2" t="s">
        <v>12471</v>
      </c>
    </row>
    <row r="7793" spans="1:2" x14ac:dyDescent="0.2">
      <c r="A7793" s="8" t="s">
        <v>7816</v>
      </c>
      <c r="B7793" s="2" t="s">
        <v>12471</v>
      </c>
    </row>
    <row r="7794" spans="1:2" x14ac:dyDescent="0.2">
      <c r="A7794" s="8" t="s">
        <v>7817</v>
      </c>
      <c r="B7794" s="2" t="s">
        <v>12471</v>
      </c>
    </row>
    <row r="7795" spans="1:2" x14ac:dyDescent="0.2">
      <c r="A7795" s="8" t="s">
        <v>7818</v>
      </c>
      <c r="B7795" s="2" t="s">
        <v>12471</v>
      </c>
    </row>
    <row r="7796" spans="1:2" x14ac:dyDescent="0.2">
      <c r="A7796" s="8" t="s">
        <v>7819</v>
      </c>
      <c r="B7796" s="2" t="s">
        <v>12471</v>
      </c>
    </row>
    <row r="7797" spans="1:2" x14ac:dyDescent="0.2">
      <c r="A7797" s="8" t="s">
        <v>7820</v>
      </c>
      <c r="B7797" s="2" t="s">
        <v>12471</v>
      </c>
    </row>
    <row r="7798" spans="1:2" x14ac:dyDescent="0.2">
      <c r="A7798" s="8" t="s">
        <v>7821</v>
      </c>
      <c r="B7798" s="2" t="s">
        <v>12471</v>
      </c>
    </row>
    <row r="7799" spans="1:2" x14ac:dyDescent="0.2">
      <c r="A7799" s="8" t="s">
        <v>7822</v>
      </c>
      <c r="B7799" s="2" t="s">
        <v>12471</v>
      </c>
    </row>
    <row r="7800" spans="1:2" x14ac:dyDescent="0.2">
      <c r="A7800" s="8" t="s">
        <v>7823</v>
      </c>
      <c r="B7800" s="2" t="s">
        <v>12471</v>
      </c>
    </row>
    <row r="7801" spans="1:2" x14ac:dyDescent="0.2">
      <c r="A7801" s="8" t="s">
        <v>7824</v>
      </c>
      <c r="B7801" s="2" t="s">
        <v>12471</v>
      </c>
    </row>
    <row r="7802" spans="1:2" x14ac:dyDescent="0.2">
      <c r="A7802" s="8" t="s">
        <v>7825</v>
      </c>
      <c r="B7802" s="2" t="s">
        <v>12471</v>
      </c>
    </row>
    <row r="7803" spans="1:2" x14ac:dyDescent="0.2">
      <c r="A7803" s="8" t="s">
        <v>7826</v>
      </c>
      <c r="B7803" s="2" t="s">
        <v>12471</v>
      </c>
    </row>
    <row r="7804" spans="1:2" x14ac:dyDescent="0.2">
      <c r="A7804" s="8" t="s">
        <v>7827</v>
      </c>
      <c r="B7804" s="2" t="s">
        <v>12471</v>
      </c>
    </row>
    <row r="7805" spans="1:2" x14ac:dyDescent="0.2">
      <c r="A7805" s="8" t="s">
        <v>7828</v>
      </c>
      <c r="B7805" s="2" t="s">
        <v>12471</v>
      </c>
    </row>
    <row r="7806" spans="1:2" x14ac:dyDescent="0.2">
      <c r="A7806" s="8" t="s">
        <v>7829</v>
      </c>
      <c r="B7806" s="2" t="s">
        <v>12471</v>
      </c>
    </row>
    <row r="7807" spans="1:2" x14ac:dyDescent="0.2">
      <c r="A7807" s="8" t="s">
        <v>7830</v>
      </c>
      <c r="B7807" s="2" t="s">
        <v>12471</v>
      </c>
    </row>
    <row r="7808" spans="1:2" x14ac:dyDescent="0.2">
      <c r="A7808" s="8" t="s">
        <v>7831</v>
      </c>
      <c r="B7808" s="2" t="s">
        <v>12471</v>
      </c>
    </row>
    <row r="7809" spans="1:2" x14ac:dyDescent="0.2">
      <c r="A7809" s="8" t="s">
        <v>7832</v>
      </c>
      <c r="B7809" s="2" t="s">
        <v>12471</v>
      </c>
    </row>
    <row r="7810" spans="1:2" x14ac:dyDescent="0.2">
      <c r="A7810" s="8" t="s">
        <v>7833</v>
      </c>
      <c r="B7810" s="2" t="s">
        <v>12471</v>
      </c>
    </row>
    <row r="7811" spans="1:2" x14ac:dyDescent="0.2">
      <c r="A7811" s="8" t="s">
        <v>7834</v>
      </c>
      <c r="B7811" s="2" t="s">
        <v>12471</v>
      </c>
    </row>
    <row r="7812" spans="1:2" x14ac:dyDescent="0.2">
      <c r="A7812" s="8" t="s">
        <v>7835</v>
      </c>
      <c r="B7812" s="2" t="s">
        <v>12471</v>
      </c>
    </row>
    <row r="7813" spans="1:2" x14ac:dyDescent="0.2">
      <c r="A7813" s="8" t="s">
        <v>7836</v>
      </c>
      <c r="B7813" s="2" t="s">
        <v>12471</v>
      </c>
    </row>
    <row r="7814" spans="1:2" x14ac:dyDescent="0.2">
      <c r="A7814" s="8" t="s">
        <v>7837</v>
      </c>
      <c r="B7814" s="2" t="s">
        <v>12471</v>
      </c>
    </row>
    <row r="7815" spans="1:2" x14ac:dyDescent="0.2">
      <c r="A7815" s="8" t="s">
        <v>7838</v>
      </c>
      <c r="B7815" s="2" t="s">
        <v>12471</v>
      </c>
    </row>
    <row r="7816" spans="1:2" x14ac:dyDescent="0.2">
      <c r="A7816" s="8" t="s">
        <v>7839</v>
      </c>
      <c r="B7816" s="2" t="s">
        <v>12471</v>
      </c>
    </row>
    <row r="7817" spans="1:2" x14ac:dyDescent="0.2">
      <c r="A7817" s="8" t="s">
        <v>7840</v>
      </c>
      <c r="B7817" s="2" t="s">
        <v>12471</v>
      </c>
    </row>
    <row r="7818" spans="1:2" x14ac:dyDescent="0.2">
      <c r="A7818" s="8" t="s">
        <v>7841</v>
      </c>
      <c r="B7818" s="2" t="s">
        <v>12471</v>
      </c>
    </row>
    <row r="7819" spans="1:2" x14ac:dyDescent="0.2">
      <c r="A7819" s="8" t="s">
        <v>7842</v>
      </c>
      <c r="B7819" s="2" t="s">
        <v>12471</v>
      </c>
    </row>
    <row r="7820" spans="1:2" x14ac:dyDescent="0.2">
      <c r="A7820" s="8" t="s">
        <v>7843</v>
      </c>
      <c r="B7820" s="2" t="s">
        <v>12471</v>
      </c>
    </row>
    <row r="7821" spans="1:2" x14ac:dyDescent="0.2">
      <c r="A7821" s="8" t="s">
        <v>7844</v>
      </c>
      <c r="B7821" s="2" t="s">
        <v>12471</v>
      </c>
    </row>
    <row r="7822" spans="1:2" x14ac:dyDescent="0.2">
      <c r="A7822" s="8" t="s">
        <v>7845</v>
      </c>
      <c r="B7822" s="2" t="s">
        <v>12471</v>
      </c>
    </row>
    <row r="7823" spans="1:2" x14ac:dyDescent="0.2">
      <c r="A7823" s="8" t="s">
        <v>7846</v>
      </c>
      <c r="B7823" s="2" t="s">
        <v>12471</v>
      </c>
    </row>
    <row r="7824" spans="1:2" x14ac:dyDescent="0.2">
      <c r="A7824" s="8" t="s">
        <v>7847</v>
      </c>
      <c r="B7824" s="2" t="s">
        <v>12471</v>
      </c>
    </row>
    <row r="7825" spans="1:2" x14ac:dyDescent="0.2">
      <c r="A7825" s="8" t="s">
        <v>7848</v>
      </c>
      <c r="B7825" s="2" t="s">
        <v>12471</v>
      </c>
    </row>
    <row r="7826" spans="1:2" x14ac:dyDescent="0.2">
      <c r="A7826" s="8" t="s">
        <v>7849</v>
      </c>
      <c r="B7826" s="2" t="s">
        <v>12471</v>
      </c>
    </row>
    <row r="7827" spans="1:2" x14ac:dyDescent="0.2">
      <c r="A7827" s="8" t="s">
        <v>7850</v>
      </c>
      <c r="B7827" s="2" t="s">
        <v>12471</v>
      </c>
    </row>
    <row r="7828" spans="1:2" x14ac:dyDescent="0.2">
      <c r="A7828" s="8" t="s">
        <v>7851</v>
      </c>
      <c r="B7828" s="2" t="s">
        <v>12471</v>
      </c>
    </row>
    <row r="7829" spans="1:2" x14ac:dyDescent="0.2">
      <c r="A7829" s="8" t="s">
        <v>7852</v>
      </c>
      <c r="B7829" s="2" t="s">
        <v>12471</v>
      </c>
    </row>
    <row r="7830" spans="1:2" x14ac:dyDescent="0.2">
      <c r="A7830" s="8" t="s">
        <v>7853</v>
      </c>
      <c r="B7830" s="2" t="s">
        <v>12471</v>
      </c>
    </row>
    <row r="7831" spans="1:2" x14ac:dyDescent="0.2">
      <c r="A7831" s="8" t="s">
        <v>7854</v>
      </c>
      <c r="B7831" s="2" t="s">
        <v>12471</v>
      </c>
    </row>
    <row r="7832" spans="1:2" x14ac:dyDescent="0.2">
      <c r="A7832" s="8" t="s">
        <v>7855</v>
      </c>
      <c r="B7832" s="2" t="s">
        <v>12471</v>
      </c>
    </row>
    <row r="7833" spans="1:2" x14ac:dyDescent="0.2">
      <c r="A7833" s="8" t="s">
        <v>7856</v>
      </c>
      <c r="B7833" s="2" t="s">
        <v>12471</v>
      </c>
    </row>
    <row r="7834" spans="1:2" x14ac:dyDescent="0.2">
      <c r="A7834" s="8" t="s">
        <v>7857</v>
      </c>
      <c r="B7834" s="2" t="s">
        <v>12471</v>
      </c>
    </row>
    <row r="7835" spans="1:2" x14ac:dyDescent="0.2">
      <c r="A7835" s="8" t="s">
        <v>7858</v>
      </c>
      <c r="B7835" s="2" t="s">
        <v>12471</v>
      </c>
    </row>
    <row r="7836" spans="1:2" x14ac:dyDescent="0.2">
      <c r="A7836" s="8" t="s">
        <v>7859</v>
      </c>
      <c r="B7836" s="2" t="s">
        <v>12471</v>
      </c>
    </row>
    <row r="7837" spans="1:2" x14ac:dyDescent="0.2">
      <c r="A7837" s="8" t="s">
        <v>7860</v>
      </c>
      <c r="B7837" s="2" t="s">
        <v>12471</v>
      </c>
    </row>
    <row r="7838" spans="1:2" x14ac:dyDescent="0.2">
      <c r="A7838" s="8" t="s">
        <v>7861</v>
      </c>
      <c r="B7838" s="2" t="s">
        <v>12471</v>
      </c>
    </row>
    <row r="7839" spans="1:2" x14ac:dyDescent="0.2">
      <c r="A7839" s="8" t="s">
        <v>7862</v>
      </c>
      <c r="B7839" s="2" t="s">
        <v>12471</v>
      </c>
    </row>
    <row r="7840" spans="1:2" x14ac:dyDescent="0.2">
      <c r="A7840" s="8" t="s">
        <v>7863</v>
      </c>
      <c r="B7840" s="2" t="s">
        <v>12471</v>
      </c>
    </row>
    <row r="7841" spans="1:2" x14ac:dyDescent="0.2">
      <c r="A7841" s="8" t="s">
        <v>7864</v>
      </c>
      <c r="B7841" s="2" t="s">
        <v>12471</v>
      </c>
    </row>
    <row r="7842" spans="1:2" x14ac:dyDescent="0.2">
      <c r="A7842" s="8" t="s">
        <v>7865</v>
      </c>
      <c r="B7842" s="2" t="s">
        <v>12471</v>
      </c>
    </row>
    <row r="7843" spans="1:2" x14ac:dyDescent="0.2">
      <c r="A7843" s="8" t="s">
        <v>7866</v>
      </c>
      <c r="B7843" s="2" t="s">
        <v>12471</v>
      </c>
    </row>
    <row r="7844" spans="1:2" x14ac:dyDescent="0.2">
      <c r="A7844" s="8" t="s">
        <v>7867</v>
      </c>
      <c r="B7844" s="2" t="s">
        <v>12471</v>
      </c>
    </row>
    <row r="7845" spans="1:2" x14ac:dyDescent="0.2">
      <c r="A7845" s="8" t="s">
        <v>7868</v>
      </c>
      <c r="B7845" s="2" t="s">
        <v>12471</v>
      </c>
    </row>
    <row r="7846" spans="1:2" x14ac:dyDescent="0.2">
      <c r="A7846" s="8" t="s">
        <v>7869</v>
      </c>
      <c r="B7846" s="2" t="s">
        <v>12471</v>
      </c>
    </row>
    <row r="7847" spans="1:2" x14ac:dyDescent="0.2">
      <c r="A7847" s="8" t="s">
        <v>7870</v>
      </c>
      <c r="B7847" s="2" t="s">
        <v>12471</v>
      </c>
    </row>
    <row r="7848" spans="1:2" x14ac:dyDescent="0.2">
      <c r="A7848" s="8" t="s">
        <v>7871</v>
      </c>
      <c r="B7848" s="2" t="s">
        <v>12471</v>
      </c>
    </row>
    <row r="7849" spans="1:2" x14ac:dyDescent="0.2">
      <c r="A7849" s="8" t="s">
        <v>7872</v>
      </c>
      <c r="B7849" s="2" t="s">
        <v>12471</v>
      </c>
    </row>
    <row r="7850" spans="1:2" x14ac:dyDescent="0.2">
      <c r="A7850" s="8" t="s">
        <v>7873</v>
      </c>
      <c r="B7850" s="2" t="s">
        <v>12471</v>
      </c>
    </row>
    <row r="7851" spans="1:2" x14ac:dyDescent="0.2">
      <c r="A7851" s="8" t="s">
        <v>7874</v>
      </c>
      <c r="B7851" s="2" t="s">
        <v>12471</v>
      </c>
    </row>
    <row r="7852" spans="1:2" x14ac:dyDescent="0.2">
      <c r="A7852" s="8" t="s">
        <v>7875</v>
      </c>
      <c r="B7852" s="2" t="s">
        <v>12471</v>
      </c>
    </row>
    <row r="7853" spans="1:2" x14ac:dyDescent="0.2">
      <c r="A7853" s="8" t="s">
        <v>7876</v>
      </c>
      <c r="B7853" s="2" t="s">
        <v>12471</v>
      </c>
    </row>
    <row r="7854" spans="1:2" x14ac:dyDescent="0.2">
      <c r="A7854" s="8" t="s">
        <v>7877</v>
      </c>
      <c r="B7854" s="2" t="s">
        <v>12471</v>
      </c>
    </row>
    <row r="7855" spans="1:2" x14ac:dyDescent="0.2">
      <c r="A7855" s="8" t="s">
        <v>7878</v>
      </c>
      <c r="B7855" s="2" t="s">
        <v>12471</v>
      </c>
    </row>
    <row r="7856" spans="1:2" x14ac:dyDescent="0.2">
      <c r="A7856" s="8" t="s">
        <v>7879</v>
      </c>
      <c r="B7856" s="2" t="s">
        <v>12471</v>
      </c>
    </row>
    <row r="7857" spans="1:2" x14ac:dyDescent="0.2">
      <c r="A7857" s="8" t="s">
        <v>7880</v>
      </c>
      <c r="B7857" s="2" t="s">
        <v>12471</v>
      </c>
    </row>
    <row r="7858" spans="1:2" x14ac:dyDescent="0.2">
      <c r="A7858" s="8" t="s">
        <v>7881</v>
      </c>
      <c r="B7858" s="2" t="s">
        <v>12471</v>
      </c>
    </row>
    <row r="7859" spans="1:2" x14ac:dyDescent="0.2">
      <c r="A7859" s="8" t="s">
        <v>7882</v>
      </c>
      <c r="B7859" s="2" t="s">
        <v>12471</v>
      </c>
    </row>
    <row r="7860" spans="1:2" x14ac:dyDescent="0.2">
      <c r="A7860" s="8" t="s">
        <v>7883</v>
      </c>
      <c r="B7860" s="2" t="s">
        <v>12471</v>
      </c>
    </row>
    <row r="7861" spans="1:2" x14ac:dyDescent="0.2">
      <c r="A7861" s="8" t="s">
        <v>7884</v>
      </c>
      <c r="B7861" s="2" t="s">
        <v>12471</v>
      </c>
    </row>
    <row r="7862" spans="1:2" x14ac:dyDescent="0.2">
      <c r="A7862" s="8" t="s">
        <v>7885</v>
      </c>
      <c r="B7862" s="2" t="s">
        <v>12471</v>
      </c>
    </row>
    <row r="7863" spans="1:2" x14ac:dyDescent="0.2">
      <c r="A7863" s="8" t="s">
        <v>7886</v>
      </c>
      <c r="B7863" s="2" t="s">
        <v>12471</v>
      </c>
    </row>
    <row r="7864" spans="1:2" x14ac:dyDescent="0.2">
      <c r="A7864" s="8" t="s">
        <v>7887</v>
      </c>
      <c r="B7864" s="2" t="s">
        <v>12471</v>
      </c>
    </row>
    <row r="7865" spans="1:2" x14ac:dyDescent="0.2">
      <c r="A7865" s="8" t="s">
        <v>7888</v>
      </c>
      <c r="B7865" s="2" t="s">
        <v>12471</v>
      </c>
    </row>
    <row r="7866" spans="1:2" x14ac:dyDescent="0.2">
      <c r="A7866" s="8" t="s">
        <v>7889</v>
      </c>
      <c r="B7866" s="2" t="s">
        <v>12471</v>
      </c>
    </row>
    <row r="7867" spans="1:2" x14ac:dyDescent="0.2">
      <c r="A7867" s="8" t="s">
        <v>7890</v>
      </c>
      <c r="B7867" s="2" t="s">
        <v>12471</v>
      </c>
    </row>
    <row r="7868" spans="1:2" x14ac:dyDescent="0.2">
      <c r="A7868" s="8" t="s">
        <v>7891</v>
      </c>
      <c r="B7868" s="2" t="s">
        <v>12471</v>
      </c>
    </row>
    <row r="7869" spans="1:2" x14ac:dyDescent="0.2">
      <c r="A7869" s="8" t="s">
        <v>7892</v>
      </c>
      <c r="B7869" s="2" t="s">
        <v>12471</v>
      </c>
    </row>
    <row r="7870" spans="1:2" x14ac:dyDescent="0.2">
      <c r="A7870" s="8" t="s">
        <v>7893</v>
      </c>
      <c r="B7870" s="2" t="s">
        <v>12471</v>
      </c>
    </row>
    <row r="7871" spans="1:2" x14ac:dyDescent="0.2">
      <c r="A7871" s="8" t="s">
        <v>7894</v>
      </c>
      <c r="B7871" s="2" t="s">
        <v>12471</v>
      </c>
    </row>
    <row r="7872" spans="1:2" x14ac:dyDescent="0.2">
      <c r="A7872" s="8" t="s">
        <v>7895</v>
      </c>
      <c r="B7872" s="2" t="s">
        <v>12471</v>
      </c>
    </row>
    <row r="7873" spans="1:2" x14ac:dyDescent="0.2">
      <c r="A7873" s="8" t="s">
        <v>7896</v>
      </c>
      <c r="B7873" s="2" t="s">
        <v>12471</v>
      </c>
    </row>
    <row r="7874" spans="1:2" x14ac:dyDescent="0.2">
      <c r="A7874" s="8" t="s">
        <v>7897</v>
      </c>
      <c r="B7874" s="2" t="s">
        <v>12471</v>
      </c>
    </row>
    <row r="7875" spans="1:2" x14ac:dyDescent="0.2">
      <c r="A7875" s="8" t="s">
        <v>7898</v>
      </c>
      <c r="B7875" s="2" t="s">
        <v>12471</v>
      </c>
    </row>
    <row r="7876" spans="1:2" x14ac:dyDescent="0.2">
      <c r="A7876" s="8" t="s">
        <v>7899</v>
      </c>
      <c r="B7876" s="2" t="s">
        <v>12471</v>
      </c>
    </row>
    <row r="7877" spans="1:2" x14ac:dyDescent="0.2">
      <c r="A7877" s="8" t="s">
        <v>7900</v>
      </c>
      <c r="B7877" s="2" t="s">
        <v>12471</v>
      </c>
    </row>
    <row r="7878" spans="1:2" x14ac:dyDescent="0.2">
      <c r="A7878" s="8" t="s">
        <v>7901</v>
      </c>
      <c r="B7878" s="2" t="s">
        <v>12471</v>
      </c>
    </row>
    <row r="7879" spans="1:2" x14ac:dyDescent="0.2">
      <c r="A7879" s="8" t="s">
        <v>7902</v>
      </c>
      <c r="B7879" s="2" t="s">
        <v>12471</v>
      </c>
    </row>
    <row r="7880" spans="1:2" x14ac:dyDescent="0.2">
      <c r="A7880" s="8" t="s">
        <v>7903</v>
      </c>
      <c r="B7880" s="2" t="s">
        <v>12471</v>
      </c>
    </row>
    <row r="7881" spans="1:2" x14ac:dyDescent="0.2">
      <c r="A7881" s="8" t="s">
        <v>7904</v>
      </c>
      <c r="B7881" s="2" t="s">
        <v>12471</v>
      </c>
    </row>
    <row r="7882" spans="1:2" x14ac:dyDescent="0.2">
      <c r="A7882" s="8" t="s">
        <v>7905</v>
      </c>
      <c r="B7882" s="2" t="s">
        <v>12471</v>
      </c>
    </row>
    <row r="7883" spans="1:2" x14ac:dyDescent="0.2">
      <c r="A7883" s="8" t="s">
        <v>7906</v>
      </c>
      <c r="B7883" s="2" t="s">
        <v>12471</v>
      </c>
    </row>
    <row r="7884" spans="1:2" x14ac:dyDescent="0.2">
      <c r="A7884" s="8" t="s">
        <v>7907</v>
      </c>
      <c r="B7884" s="2" t="s">
        <v>12471</v>
      </c>
    </row>
    <row r="7885" spans="1:2" x14ac:dyDescent="0.2">
      <c r="A7885" s="8" t="s">
        <v>7908</v>
      </c>
      <c r="B7885" s="2" t="s">
        <v>12471</v>
      </c>
    </row>
    <row r="7886" spans="1:2" x14ac:dyDescent="0.2">
      <c r="A7886" s="8" t="s">
        <v>7909</v>
      </c>
      <c r="B7886" s="2" t="s">
        <v>12471</v>
      </c>
    </row>
    <row r="7887" spans="1:2" x14ac:dyDescent="0.2">
      <c r="A7887" s="8" t="s">
        <v>7910</v>
      </c>
      <c r="B7887" s="2" t="s">
        <v>12471</v>
      </c>
    </row>
    <row r="7888" spans="1:2" x14ac:dyDescent="0.2">
      <c r="A7888" s="8" t="s">
        <v>7911</v>
      </c>
      <c r="B7888" s="2" t="s">
        <v>12471</v>
      </c>
    </row>
    <row r="7889" spans="1:2" x14ac:dyDescent="0.2">
      <c r="A7889" s="8" t="s">
        <v>7912</v>
      </c>
      <c r="B7889" s="2" t="s">
        <v>12471</v>
      </c>
    </row>
    <row r="7890" spans="1:2" x14ac:dyDescent="0.2">
      <c r="A7890" s="8" t="s">
        <v>7913</v>
      </c>
      <c r="B7890" s="2" t="s">
        <v>12471</v>
      </c>
    </row>
    <row r="7891" spans="1:2" x14ac:dyDescent="0.2">
      <c r="A7891" s="8" t="s">
        <v>7914</v>
      </c>
      <c r="B7891" s="2" t="s">
        <v>12471</v>
      </c>
    </row>
    <row r="7892" spans="1:2" x14ac:dyDescent="0.2">
      <c r="A7892" s="8" t="s">
        <v>7915</v>
      </c>
      <c r="B7892" s="2" t="s">
        <v>12471</v>
      </c>
    </row>
    <row r="7893" spans="1:2" x14ac:dyDescent="0.2">
      <c r="A7893" s="8" t="s">
        <v>7916</v>
      </c>
      <c r="B7893" s="2" t="s">
        <v>12471</v>
      </c>
    </row>
    <row r="7894" spans="1:2" x14ac:dyDescent="0.2">
      <c r="A7894" s="8" t="s">
        <v>7917</v>
      </c>
      <c r="B7894" s="2" t="s">
        <v>12471</v>
      </c>
    </row>
    <row r="7895" spans="1:2" x14ac:dyDescent="0.2">
      <c r="A7895" s="8" t="s">
        <v>7918</v>
      </c>
      <c r="B7895" s="2" t="s">
        <v>12471</v>
      </c>
    </row>
    <row r="7896" spans="1:2" x14ac:dyDescent="0.2">
      <c r="A7896" s="8" t="s">
        <v>7919</v>
      </c>
      <c r="B7896" s="2" t="s">
        <v>12471</v>
      </c>
    </row>
    <row r="7897" spans="1:2" x14ac:dyDescent="0.2">
      <c r="A7897" s="8" t="s">
        <v>7920</v>
      </c>
      <c r="B7897" s="2" t="s">
        <v>12471</v>
      </c>
    </row>
    <row r="7898" spans="1:2" x14ac:dyDescent="0.2">
      <c r="A7898" s="8" t="s">
        <v>7921</v>
      </c>
      <c r="B7898" s="2" t="s">
        <v>12471</v>
      </c>
    </row>
    <row r="7899" spans="1:2" x14ac:dyDescent="0.2">
      <c r="A7899" s="8" t="s">
        <v>7922</v>
      </c>
      <c r="B7899" s="2" t="s">
        <v>12471</v>
      </c>
    </row>
    <row r="7900" spans="1:2" x14ac:dyDescent="0.2">
      <c r="A7900" s="8" t="s">
        <v>7923</v>
      </c>
      <c r="B7900" s="2" t="s">
        <v>12471</v>
      </c>
    </row>
    <row r="7901" spans="1:2" x14ac:dyDescent="0.2">
      <c r="A7901" s="8" t="s">
        <v>7924</v>
      </c>
      <c r="B7901" s="2" t="s">
        <v>12471</v>
      </c>
    </row>
    <row r="7902" spans="1:2" x14ac:dyDescent="0.2">
      <c r="A7902" s="8" t="s">
        <v>7925</v>
      </c>
      <c r="B7902" s="2" t="s">
        <v>12471</v>
      </c>
    </row>
    <row r="7903" spans="1:2" x14ac:dyDescent="0.2">
      <c r="A7903" s="8" t="s">
        <v>7926</v>
      </c>
      <c r="B7903" s="2" t="s">
        <v>12471</v>
      </c>
    </row>
    <row r="7904" spans="1:2" x14ac:dyDescent="0.2">
      <c r="A7904" s="8" t="s">
        <v>7927</v>
      </c>
      <c r="B7904" s="2" t="s">
        <v>12471</v>
      </c>
    </row>
    <row r="7905" spans="1:2" x14ac:dyDescent="0.2">
      <c r="A7905" s="8" t="s">
        <v>7928</v>
      </c>
      <c r="B7905" s="2" t="s">
        <v>12471</v>
      </c>
    </row>
    <row r="7906" spans="1:2" x14ac:dyDescent="0.2">
      <c r="A7906" s="8" t="s">
        <v>7929</v>
      </c>
      <c r="B7906" s="2" t="s">
        <v>12471</v>
      </c>
    </row>
    <row r="7907" spans="1:2" x14ac:dyDescent="0.2">
      <c r="A7907" s="8" t="s">
        <v>7930</v>
      </c>
      <c r="B7907" s="2" t="s">
        <v>12471</v>
      </c>
    </row>
    <row r="7908" spans="1:2" x14ac:dyDescent="0.2">
      <c r="A7908" s="8" t="s">
        <v>7931</v>
      </c>
      <c r="B7908" s="2" t="s">
        <v>12471</v>
      </c>
    </row>
    <row r="7909" spans="1:2" x14ac:dyDescent="0.2">
      <c r="A7909" s="8" t="s">
        <v>7932</v>
      </c>
      <c r="B7909" s="2" t="s">
        <v>12471</v>
      </c>
    </row>
    <row r="7910" spans="1:2" x14ac:dyDescent="0.2">
      <c r="A7910" s="8" t="s">
        <v>7933</v>
      </c>
      <c r="B7910" s="2" t="s">
        <v>12471</v>
      </c>
    </row>
    <row r="7911" spans="1:2" x14ac:dyDescent="0.2">
      <c r="A7911" s="8" t="s">
        <v>7934</v>
      </c>
      <c r="B7911" s="2" t="s">
        <v>12471</v>
      </c>
    </row>
    <row r="7912" spans="1:2" x14ac:dyDescent="0.2">
      <c r="A7912" s="8" t="s">
        <v>7935</v>
      </c>
      <c r="B7912" s="2" t="s">
        <v>12471</v>
      </c>
    </row>
    <row r="7913" spans="1:2" x14ac:dyDescent="0.2">
      <c r="A7913" s="8" t="s">
        <v>7936</v>
      </c>
      <c r="B7913" s="2" t="s">
        <v>12471</v>
      </c>
    </row>
    <row r="7914" spans="1:2" x14ac:dyDescent="0.2">
      <c r="A7914" s="8" t="s">
        <v>7937</v>
      </c>
      <c r="B7914" s="2" t="s">
        <v>12471</v>
      </c>
    </row>
    <row r="7915" spans="1:2" x14ac:dyDescent="0.2">
      <c r="A7915" s="8" t="s">
        <v>7938</v>
      </c>
      <c r="B7915" s="2" t="s">
        <v>12471</v>
      </c>
    </row>
    <row r="7916" spans="1:2" x14ac:dyDescent="0.2">
      <c r="A7916" s="8" t="s">
        <v>7939</v>
      </c>
      <c r="B7916" s="2" t="s">
        <v>12471</v>
      </c>
    </row>
    <row r="7917" spans="1:2" x14ac:dyDescent="0.2">
      <c r="A7917" s="8" t="s">
        <v>7940</v>
      </c>
      <c r="B7917" s="2" t="s">
        <v>12471</v>
      </c>
    </row>
    <row r="7918" spans="1:2" x14ac:dyDescent="0.2">
      <c r="A7918" s="8" t="s">
        <v>7941</v>
      </c>
      <c r="B7918" s="2" t="s">
        <v>12471</v>
      </c>
    </row>
    <row r="7919" spans="1:2" x14ac:dyDescent="0.2">
      <c r="A7919" s="8" t="s">
        <v>7942</v>
      </c>
      <c r="B7919" s="2" t="s">
        <v>12471</v>
      </c>
    </row>
    <row r="7920" spans="1:2" x14ac:dyDescent="0.2">
      <c r="A7920" s="8" t="s">
        <v>7943</v>
      </c>
      <c r="B7920" s="2" t="s">
        <v>12471</v>
      </c>
    </row>
    <row r="7921" spans="1:2" x14ac:dyDescent="0.2">
      <c r="A7921" s="8" t="s">
        <v>7944</v>
      </c>
      <c r="B7921" s="2" t="s">
        <v>12471</v>
      </c>
    </row>
    <row r="7922" spans="1:2" x14ac:dyDescent="0.2">
      <c r="A7922" s="8" t="s">
        <v>7945</v>
      </c>
      <c r="B7922" s="2" t="s">
        <v>12471</v>
      </c>
    </row>
    <row r="7923" spans="1:2" x14ac:dyDescent="0.2">
      <c r="A7923" s="8" t="s">
        <v>7946</v>
      </c>
      <c r="B7923" s="2" t="s">
        <v>12471</v>
      </c>
    </row>
    <row r="7924" spans="1:2" x14ac:dyDescent="0.2">
      <c r="A7924" s="8" t="s">
        <v>7947</v>
      </c>
      <c r="B7924" s="2" t="s">
        <v>12471</v>
      </c>
    </row>
    <row r="7925" spans="1:2" x14ac:dyDescent="0.2">
      <c r="A7925" s="8" t="s">
        <v>7948</v>
      </c>
      <c r="B7925" s="2" t="s">
        <v>12471</v>
      </c>
    </row>
    <row r="7926" spans="1:2" x14ac:dyDescent="0.2">
      <c r="A7926" s="8" t="s">
        <v>7949</v>
      </c>
      <c r="B7926" s="2" t="s">
        <v>12471</v>
      </c>
    </row>
    <row r="7927" spans="1:2" x14ac:dyDescent="0.2">
      <c r="A7927" s="8" t="s">
        <v>7950</v>
      </c>
      <c r="B7927" s="2" t="s">
        <v>12471</v>
      </c>
    </row>
    <row r="7928" spans="1:2" x14ac:dyDescent="0.2">
      <c r="A7928" s="8" t="s">
        <v>7951</v>
      </c>
      <c r="B7928" s="2" t="s">
        <v>12471</v>
      </c>
    </row>
    <row r="7929" spans="1:2" x14ac:dyDescent="0.2">
      <c r="A7929" s="8" t="s">
        <v>7952</v>
      </c>
      <c r="B7929" s="2" t="s">
        <v>12471</v>
      </c>
    </row>
    <row r="7930" spans="1:2" x14ac:dyDescent="0.2">
      <c r="A7930" s="8" t="s">
        <v>7953</v>
      </c>
      <c r="B7930" s="2" t="s">
        <v>12471</v>
      </c>
    </row>
    <row r="7931" spans="1:2" x14ac:dyDescent="0.2">
      <c r="A7931" s="8" t="s">
        <v>7954</v>
      </c>
      <c r="B7931" s="2" t="s">
        <v>12471</v>
      </c>
    </row>
    <row r="7932" spans="1:2" x14ac:dyDescent="0.2">
      <c r="A7932" s="8" t="s">
        <v>7955</v>
      </c>
      <c r="B7932" s="2" t="s">
        <v>12471</v>
      </c>
    </row>
    <row r="7933" spans="1:2" x14ac:dyDescent="0.2">
      <c r="A7933" s="8" t="s">
        <v>7956</v>
      </c>
      <c r="B7933" s="2" t="s">
        <v>12471</v>
      </c>
    </row>
    <row r="7934" spans="1:2" x14ac:dyDescent="0.2">
      <c r="A7934" s="8" t="s">
        <v>7957</v>
      </c>
      <c r="B7934" s="2" t="s">
        <v>12471</v>
      </c>
    </row>
    <row r="7935" spans="1:2" x14ac:dyDescent="0.2">
      <c r="A7935" s="8" t="s">
        <v>7958</v>
      </c>
      <c r="B7935" s="2" t="s">
        <v>12471</v>
      </c>
    </row>
    <row r="7936" spans="1:2" x14ac:dyDescent="0.2">
      <c r="A7936" s="8" t="s">
        <v>7959</v>
      </c>
      <c r="B7936" s="2" t="s">
        <v>12471</v>
      </c>
    </row>
    <row r="7937" spans="1:2" x14ac:dyDescent="0.2">
      <c r="A7937" s="8" t="s">
        <v>7960</v>
      </c>
      <c r="B7937" s="2" t="s">
        <v>12471</v>
      </c>
    </row>
    <row r="7938" spans="1:2" x14ac:dyDescent="0.2">
      <c r="A7938" s="8" t="s">
        <v>7961</v>
      </c>
      <c r="B7938" s="2" t="s">
        <v>12471</v>
      </c>
    </row>
    <row r="7939" spans="1:2" x14ac:dyDescent="0.2">
      <c r="A7939" s="8" t="s">
        <v>7962</v>
      </c>
      <c r="B7939" s="2" t="s">
        <v>12471</v>
      </c>
    </row>
    <row r="7940" spans="1:2" x14ac:dyDescent="0.2">
      <c r="A7940" s="8" t="s">
        <v>7963</v>
      </c>
      <c r="B7940" s="2" t="s">
        <v>12471</v>
      </c>
    </row>
    <row r="7941" spans="1:2" x14ac:dyDescent="0.2">
      <c r="A7941" s="8" t="s">
        <v>7964</v>
      </c>
      <c r="B7941" s="2" t="s">
        <v>12471</v>
      </c>
    </row>
    <row r="7942" spans="1:2" x14ac:dyDescent="0.2">
      <c r="A7942" s="8" t="s">
        <v>7965</v>
      </c>
      <c r="B7942" s="2" t="s">
        <v>12471</v>
      </c>
    </row>
    <row r="7943" spans="1:2" x14ac:dyDescent="0.2">
      <c r="A7943" s="8" t="s">
        <v>7966</v>
      </c>
      <c r="B7943" s="2" t="s">
        <v>12471</v>
      </c>
    </row>
    <row r="7944" spans="1:2" x14ac:dyDescent="0.2">
      <c r="A7944" s="8" t="s">
        <v>7967</v>
      </c>
      <c r="B7944" s="2" t="s">
        <v>12471</v>
      </c>
    </row>
    <row r="7945" spans="1:2" x14ac:dyDescent="0.2">
      <c r="A7945" s="8" t="s">
        <v>7968</v>
      </c>
      <c r="B7945" s="2" t="s">
        <v>12471</v>
      </c>
    </row>
    <row r="7946" spans="1:2" x14ac:dyDescent="0.2">
      <c r="A7946" s="8" t="s">
        <v>7969</v>
      </c>
      <c r="B7946" s="2" t="s">
        <v>12471</v>
      </c>
    </row>
    <row r="7947" spans="1:2" x14ac:dyDescent="0.2">
      <c r="A7947" s="8" t="s">
        <v>7970</v>
      </c>
      <c r="B7947" s="2" t="s">
        <v>12471</v>
      </c>
    </row>
    <row r="7948" spans="1:2" x14ac:dyDescent="0.2">
      <c r="A7948" s="8" t="s">
        <v>7971</v>
      </c>
      <c r="B7948" s="2" t="s">
        <v>12471</v>
      </c>
    </row>
    <row r="7949" spans="1:2" x14ac:dyDescent="0.2">
      <c r="A7949" s="8" t="s">
        <v>7972</v>
      </c>
      <c r="B7949" s="2" t="s">
        <v>12471</v>
      </c>
    </row>
    <row r="7950" spans="1:2" x14ac:dyDescent="0.2">
      <c r="A7950" s="8" t="s">
        <v>7973</v>
      </c>
      <c r="B7950" s="2" t="s">
        <v>12471</v>
      </c>
    </row>
    <row r="7951" spans="1:2" x14ac:dyDescent="0.2">
      <c r="A7951" s="8" t="s">
        <v>7974</v>
      </c>
      <c r="B7951" s="2" t="s">
        <v>12471</v>
      </c>
    </row>
    <row r="7952" spans="1:2" x14ac:dyDescent="0.2">
      <c r="A7952" s="8" t="s">
        <v>7975</v>
      </c>
      <c r="B7952" s="2" t="s">
        <v>12471</v>
      </c>
    </row>
    <row r="7953" spans="1:2" x14ac:dyDescent="0.2">
      <c r="A7953" s="8" t="s">
        <v>7976</v>
      </c>
      <c r="B7953" s="2" t="s">
        <v>12471</v>
      </c>
    </row>
    <row r="7954" spans="1:2" x14ac:dyDescent="0.2">
      <c r="A7954" s="8" t="s">
        <v>7977</v>
      </c>
      <c r="B7954" s="2" t="s">
        <v>12471</v>
      </c>
    </row>
    <row r="7955" spans="1:2" x14ac:dyDescent="0.2">
      <c r="A7955" s="8" t="s">
        <v>7978</v>
      </c>
      <c r="B7955" s="2" t="s">
        <v>12471</v>
      </c>
    </row>
    <row r="7956" spans="1:2" x14ac:dyDescent="0.2">
      <c r="A7956" s="8" t="s">
        <v>7979</v>
      </c>
      <c r="B7956" s="2" t="s">
        <v>12471</v>
      </c>
    </row>
    <row r="7957" spans="1:2" x14ac:dyDescent="0.2">
      <c r="A7957" s="8" t="s">
        <v>7980</v>
      </c>
      <c r="B7957" s="2" t="s">
        <v>12471</v>
      </c>
    </row>
    <row r="7958" spans="1:2" x14ac:dyDescent="0.2">
      <c r="A7958" s="8" t="s">
        <v>7981</v>
      </c>
      <c r="B7958" s="2" t="s">
        <v>12471</v>
      </c>
    </row>
    <row r="7959" spans="1:2" x14ac:dyDescent="0.2">
      <c r="A7959" s="8" t="s">
        <v>7982</v>
      </c>
      <c r="B7959" s="2" t="s">
        <v>12471</v>
      </c>
    </row>
    <row r="7960" spans="1:2" x14ac:dyDescent="0.2">
      <c r="A7960" s="8" t="s">
        <v>7983</v>
      </c>
      <c r="B7960" s="2" t="s">
        <v>12471</v>
      </c>
    </row>
    <row r="7961" spans="1:2" x14ac:dyDescent="0.2">
      <c r="A7961" s="8" t="s">
        <v>7984</v>
      </c>
      <c r="B7961" s="2" t="s">
        <v>12471</v>
      </c>
    </row>
    <row r="7962" spans="1:2" x14ac:dyDescent="0.2">
      <c r="A7962" s="8" t="s">
        <v>7985</v>
      </c>
      <c r="B7962" s="2" t="s">
        <v>12471</v>
      </c>
    </row>
    <row r="7963" spans="1:2" x14ac:dyDescent="0.2">
      <c r="A7963" s="8" t="s">
        <v>7986</v>
      </c>
      <c r="B7963" s="2" t="s">
        <v>12471</v>
      </c>
    </row>
    <row r="7964" spans="1:2" x14ac:dyDescent="0.2">
      <c r="A7964" s="8" t="s">
        <v>7987</v>
      </c>
      <c r="B7964" s="2" t="s">
        <v>12471</v>
      </c>
    </row>
    <row r="7965" spans="1:2" x14ac:dyDescent="0.2">
      <c r="A7965" s="8" t="s">
        <v>7988</v>
      </c>
      <c r="B7965" s="2" t="s">
        <v>12471</v>
      </c>
    </row>
    <row r="7966" spans="1:2" x14ac:dyDescent="0.2">
      <c r="A7966" s="8" t="s">
        <v>7989</v>
      </c>
      <c r="B7966" s="2" t="s">
        <v>12471</v>
      </c>
    </row>
    <row r="7967" spans="1:2" x14ac:dyDescent="0.2">
      <c r="A7967" s="8" t="s">
        <v>7990</v>
      </c>
      <c r="B7967" s="2" t="s">
        <v>12471</v>
      </c>
    </row>
    <row r="7968" spans="1:2" x14ac:dyDescent="0.2">
      <c r="A7968" s="8" t="s">
        <v>7991</v>
      </c>
      <c r="B7968" s="2" t="s">
        <v>12471</v>
      </c>
    </row>
    <row r="7969" spans="1:2" x14ac:dyDescent="0.2">
      <c r="A7969" s="8" t="s">
        <v>7992</v>
      </c>
      <c r="B7969" s="2" t="s">
        <v>12471</v>
      </c>
    </row>
    <row r="7970" spans="1:2" x14ac:dyDescent="0.2">
      <c r="A7970" s="8" t="s">
        <v>7993</v>
      </c>
      <c r="B7970" s="2" t="s">
        <v>12471</v>
      </c>
    </row>
    <row r="7971" spans="1:2" x14ac:dyDescent="0.2">
      <c r="A7971" s="8" t="s">
        <v>7994</v>
      </c>
      <c r="B7971" s="2" t="s">
        <v>12471</v>
      </c>
    </row>
    <row r="7972" spans="1:2" x14ac:dyDescent="0.2">
      <c r="A7972" s="8" t="s">
        <v>7995</v>
      </c>
      <c r="B7972" s="2" t="s">
        <v>12471</v>
      </c>
    </row>
    <row r="7973" spans="1:2" x14ac:dyDescent="0.2">
      <c r="A7973" s="8" t="s">
        <v>7996</v>
      </c>
      <c r="B7973" s="2" t="s">
        <v>12471</v>
      </c>
    </row>
    <row r="7974" spans="1:2" x14ac:dyDescent="0.2">
      <c r="A7974" s="8" t="s">
        <v>7997</v>
      </c>
      <c r="B7974" s="2" t="s">
        <v>12471</v>
      </c>
    </row>
    <row r="7975" spans="1:2" x14ac:dyDescent="0.2">
      <c r="A7975" s="8" t="s">
        <v>7998</v>
      </c>
      <c r="B7975" s="2" t="s">
        <v>12471</v>
      </c>
    </row>
    <row r="7976" spans="1:2" x14ac:dyDescent="0.2">
      <c r="A7976" s="8" t="s">
        <v>7999</v>
      </c>
      <c r="B7976" s="2" t="s">
        <v>12471</v>
      </c>
    </row>
    <row r="7977" spans="1:2" x14ac:dyDescent="0.2">
      <c r="A7977" s="8" t="s">
        <v>8000</v>
      </c>
      <c r="B7977" s="2" t="s">
        <v>12471</v>
      </c>
    </row>
    <row r="7978" spans="1:2" x14ac:dyDescent="0.2">
      <c r="A7978" s="8" t="s">
        <v>8001</v>
      </c>
      <c r="B7978" s="2" t="s">
        <v>12471</v>
      </c>
    </row>
    <row r="7979" spans="1:2" x14ac:dyDescent="0.2">
      <c r="A7979" s="8" t="s">
        <v>8002</v>
      </c>
      <c r="B7979" s="2" t="s">
        <v>12471</v>
      </c>
    </row>
    <row r="7980" spans="1:2" x14ac:dyDescent="0.2">
      <c r="A7980" s="8" t="s">
        <v>8003</v>
      </c>
      <c r="B7980" s="2" t="s">
        <v>12471</v>
      </c>
    </row>
    <row r="7981" spans="1:2" x14ac:dyDescent="0.2">
      <c r="A7981" s="8" t="s">
        <v>8004</v>
      </c>
      <c r="B7981" s="2" t="s">
        <v>12471</v>
      </c>
    </row>
    <row r="7982" spans="1:2" x14ac:dyDescent="0.2">
      <c r="A7982" s="8" t="s">
        <v>8005</v>
      </c>
      <c r="B7982" s="2" t="s">
        <v>12471</v>
      </c>
    </row>
    <row r="7983" spans="1:2" x14ac:dyDescent="0.2">
      <c r="A7983" s="8" t="s">
        <v>8006</v>
      </c>
      <c r="B7983" s="2" t="s">
        <v>12471</v>
      </c>
    </row>
    <row r="7984" spans="1:2" x14ac:dyDescent="0.2">
      <c r="A7984" s="8" t="s">
        <v>8007</v>
      </c>
      <c r="B7984" s="2" t="s">
        <v>12471</v>
      </c>
    </row>
    <row r="7985" spans="1:2" x14ac:dyDescent="0.2">
      <c r="A7985" s="8" t="s">
        <v>8008</v>
      </c>
      <c r="B7985" s="2" t="s">
        <v>12471</v>
      </c>
    </row>
    <row r="7986" spans="1:2" x14ac:dyDescent="0.2">
      <c r="A7986" s="8" t="s">
        <v>8009</v>
      </c>
      <c r="B7986" s="2" t="s">
        <v>12471</v>
      </c>
    </row>
    <row r="7987" spans="1:2" x14ac:dyDescent="0.2">
      <c r="A7987" s="8" t="s">
        <v>8010</v>
      </c>
      <c r="B7987" s="2" t="s">
        <v>12471</v>
      </c>
    </row>
    <row r="7988" spans="1:2" x14ac:dyDescent="0.2">
      <c r="A7988" s="8" t="s">
        <v>8011</v>
      </c>
      <c r="B7988" s="2" t="s">
        <v>12471</v>
      </c>
    </row>
    <row r="7989" spans="1:2" x14ac:dyDescent="0.2">
      <c r="A7989" s="8" t="s">
        <v>8012</v>
      </c>
      <c r="B7989" s="2" t="s">
        <v>12471</v>
      </c>
    </row>
    <row r="7990" spans="1:2" x14ac:dyDescent="0.2">
      <c r="A7990" s="8" t="s">
        <v>8013</v>
      </c>
      <c r="B7990" s="2" t="s">
        <v>12471</v>
      </c>
    </row>
    <row r="7991" spans="1:2" x14ac:dyDescent="0.2">
      <c r="A7991" s="8" t="s">
        <v>8014</v>
      </c>
      <c r="B7991" s="2" t="s">
        <v>12471</v>
      </c>
    </row>
    <row r="7992" spans="1:2" x14ac:dyDescent="0.2">
      <c r="A7992" s="8" t="s">
        <v>8015</v>
      </c>
      <c r="B7992" s="2" t="s">
        <v>12471</v>
      </c>
    </row>
    <row r="7993" spans="1:2" x14ac:dyDescent="0.2">
      <c r="A7993" s="8" t="s">
        <v>8016</v>
      </c>
      <c r="B7993" s="2" t="s">
        <v>12471</v>
      </c>
    </row>
    <row r="7994" spans="1:2" x14ac:dyDescent="0.2">
      <c r="A7994" s="8" t="s">
        <v>8017</v>
      </c>
      <c r="B7994" s="2" t="s">
        <v>12471</v>
      </c>
    </row>
    <row r="7995" spans="1:2" x14ac:dyDescent="0.2">
      <c r="A7995" s="8" t="s">
        <v>8018</v>
      </c>
      <c r="B7995" s="2" t="s">
        <v>12471</v>
      </c>
    </row>
    <row r="7996" spans="1:2" x14ac:dyDescent="0.2">
      <c r="A7996" s="8" t="s">
        <v>8019</v>
      </c>
      <c r="B7996" s="2" t="s">
        <v>12471</v>
      </c>
    </row>
    <row r="7997" spans="1:2" x14ac:dyDescent="0.2">
      <c r="A7997" s="8" t="s">
        <v>8020</v>
      </c>
      <c r="B7997" s="2" t="s">
        <v>12471</v>
      </c>
    </row>
    <row r="7998" spans="1:2" x14ac:dyDescent="0.2">
      <c r="A7998" s="8" t="s">
        <v>8021</v>
      </c>
      <c r="B7998" s="2" t="s">
        <v>12471</v>
      </c>
    </row>
    <row r="7999" spans="1:2" x14ac:dyDescent="0.2">
      <c r="A7999" s="8" t="s">
        <v>8022</v>
      </c>
      <c r="B7999" s="2" t="s">
        <v>12471</v>
      </c>
    </row>
    <row r="8000" spans="1:2" x14ac:dyDescent="0.2">
      <c r="A8000" s="8" t="s">
        <v>8023</v>
      </c>
      <c r="B8000" s="2" t="s">
        <v>12471</v>
      </c>
    </row>
    <row r="8001" spans="1:2" x14ac:dyDescent="0.2">
      <c r="A8001" s="8" t="s">
        <v>8024</v>
      </c>
      <c r="B8001" s="2" t="s">
        <v>12471</v>
      </c>
    </row>
    <row r="8002" spans="1:2" x14ac:dyDescent="0.2">
      <c r="A8002" s="8" t="s">
        <v>8025</v>
      </c>
      <c r="B8002" s="2" t="s">
        <v>12471</v>
      </c>
    </row>
    <row r="8003" spans="1:2" x14ac:dyDescent="0.2">
      <c r="A8003" s="8" t="s">
        <v>8026</v>
      </c>
      <c r="B8003" s="2" t="s">
        <v>12471</v>
      </c>
    </row>
    <row r="8004" spans="1:2" x14ac:dyDescent="0.2">
      <c r="A8004" s="8" t="s">
        <v>8027</v>
      </c>
      <c r="B8004" s="2" t="s">
        <v>12471</v>
      </c>
    </row>
    <row r="8005" spans="1:2" x14ac:dyDescent="0.2">
      <c r="A8005" s="8" t="s">
        <v>8028</v>
      </c>
      <c r="B8005" s="2" t="s">
        <v>12471</v>
      </c>
    </row>
    <row r="8006" spans="1:2" x14ac:dyDescent="0.2">
      <c r="A8006" s="8" t="s">
        <v>8029</v>
      </c>
      <c r="B8006" s="2" t="s">
        <v>12471</v>
      </c>
    </row>
    <row r="8007" spans="1:2" x14ac:dyDescent="0.2">
      <c r="A8007" s="8" t="s">
        <v>8030</v>
      </c>
      <c r="B8007" s="2" t="s">
        <v>12471</v>
      </c>
    </row>
    <row r="8008" spans="1:2" x14ac:dyDescent="0.2">
      <c r="A8008" s="8" t="s">
        <v>8031</v>
      </c>
      <c r="B8008" s="2" t="s">
        <v>12471</v>
      </c>
    </row>
    <row r="8009" spans="1:2" x14ac:dyDescent="0.2">
      <c r="A8009" s="8" t="s">
        <v>8032</v>
      </c>
      <c r="B8009" s="2" t="s">
        <v>12471</v>
      </c>
    </row>
    <row r="8010" spans="1:2" x14ac:dyDescent="0.2">
      <c r="A8010" s="8" t="s">
        <v>8033</v>
      </c>
      <c r="B8010" s="2" t="s">
        <v>12471</v>
      </c>
    </row>
    <row r="8011" spans="1:2" x14ac:dyDescent="0.2">
      <c r="A8011" s="8" t="s">
        <v>8034</v>
      </c>
      <c r="B8011" s="2" t="s">
        <v>12471</v>
      </c>
    </row>
    <row r="8012" spans="1:2" x14ac:dyDescent="0.2">
      <c r="A8012" s="8" t="s">
        <v>8035</v>
      </c>
      <c r="B8012" s="2" t="s">
        <v>12471</v>
      </c>
    </row>
    <row r="8013" spans="1:2" x14ac:dyDescent="0.2">
      <c r="A8013" s="8" t="s">
        <v>8036</v>
      </c>
      <c r="B8013" s="2" t="s">
        <v>12471</v>
      </c>
    </row>
    <row r="8014" spans="1:2" x14ac:dyDescent="0.2">
      <c r="A8014" s="8" t="s">
        <v>8037</v>
      </c>
      <c r="B8014" s="2" t="s">
        <v>12471</v>
      </c>
    </row>
    <row r="8015" spans="1:2" x14ac:dyDescent="0.2">
      <c r="A8015" s="8" t="s">
        <v>8038</v>
      </c>
      <c r="B8015" s="2" t="s">
        <v>12471</v>
      </c>
    </row>
    <row r="8016" spans="1:2" x14ac:dyDescent="0.2">
      <c r="A8016" s="8" t="s">
        <v>8039</v>
      </c>
      <c r="B8016" s="2" t="s">
        <v>12471</v>
      </c>
    </row>
    <row r="8017" spans="1:2" x14ac:dyDescent="0.2">
      <c r="A8017" s="8" t="s">
        <v>8040</v>
      </c>
      <c r="B8017" s="2" t="s">
        <v>12471</v>
      </c>
    </row>
    <row r="8018" spans="1:2" x14ac:dyDescent="0.2">
      <c r="A8018" s="8" t="s">
        <v>8041</v>
      </c>
      <c r="B8018" s="2" t="s">
        <v>12471</v>
      </c>
    </row>
    <row r="8019" spans="1:2" x14ac:dyDescent="0.2">
      <c r="A8019" s="8" t="s">
        <v>8042</v>
      </c>
      <c r="B8019" s="2" t="s">
        <v>12471</v>
      </c>
    </row>
    <row r="8020" spans="1:2" x14ac:dyDescent="0.2">
      <c r="A8020" s="8" t="s">
        <v>8043</v>
      </c>
      <c r="B8020" s="2" t="s">
        <v>12471</v>
      </c>
    </row>
    <row r="8021" spans="1:2" x14ac:dyDescent="0.2">
      <c r="A8021" s="8" t="s">
        <v>8044</v>
      </c>
      <c r="B8021" s="2" t="s">
        <v>12471</v>
      </c>
    </row>
    <row r="8022" spans="1:2" x14ac:dyDescent="0.2">
      <c r="A8022" s="8" t="s">
        <v>8045</v>
      </c>
      <c r="B8022" s="2" t="s">
        <v>12471</v>
      </c>
    </row>
    <row r="8023" spans="1:2" x14ac:dyDescent="0.2">
      <c r="A8023" s="8" t="s">
        <v>8046</v>
      </c>
      <c r="B8023" s="2" t="s">
        <v>12471</v>
      </c>
    </row>
    <row r="8024" spans="1:2" x14ac:dyDescent="0.2">
      <c r="A8024" s="8" t="s">
        <v>8047</v>
      </c>
      <c r="B8024" s="2" t="s">
        <v>12471</v>
      </c>
    </row>
    <row r="8025" spans="1:2" x14ac:dyDescent="0.2">
      <c r="A8025" s="8" t="s">
        <v>8048</v>
      </c>
      <c r="B8025" s="2" t="s">
        <v>12471</v>
      </c>
    </row>
    <row r="8026" spans="1:2" x14ac:dyDescent="0.2">
      <c r="A8026" s="8" t="s">
        <v>8049</v>
      </c>
      <c r="B8026" s="2" t="s">
        <v>12471</v>
      </c>
    </row>
    <row r="8027" spans="1:2" x14ac:dyDescent="0.2">
      <c r="A8027" s="8" t="s">
        <v>8050</v>
      </c>
      <c r="B8027" s="2" t="s">
        <v>12471</v>
      </c>
    </row>
    <row r="8028" spans="1:2" x14ac:dyDescent="0.2">
      <c r="A8028" s="8" t="s">
        <v>8051</v>
      </c>
      <c r="B8028" s="2" t="s">
        <v>12471</v>
      </c>
    </row>
    <row r="8029" spans="1:2" x14ac:dyDescent="0.2">
      <c r="A8029" s="8" t="s">
        <v>8052</v>
      </c>
      <c r="B8029" s="2" t="s">
        <v>12471</v>
      </c>
    </row>
    <row r="8030" spans="1:2" x14ac:dyDescent="0.2">
      <c r="A8030" s="8" t="s">
        <v>8053</v>
      </c>
      <c r="B8030" s="2" t="s">
        <v>12471</v>
      </c>
    </row>
    <row r="8031" spans="1:2" x14ac:dyDescent="0.2">
      <c r="A8031" s="8" t="s">
        <v>8054</v>
      </c>
      <c r="B8031" s="2" t="s">
        <v>12471</v>
      </c>
    </row>
    <row r="8032" spans="1:2" x14ac:dyDescent="0.2">
      <c r="A8032" s="8" t="s">
        <v>8055</v>
      </c>
      <c r="B8032" s="2" t="s">
        <v>12471</v>
      </c>
    </row>
    <row r="8033" spans="1:2" x14ac:dyDescent="0.2">
      <c r="A8033" s="8" t="s">
        <v>8056</v>
      </c>
      <c r="B8033" s="2" t="s">
        <v>12471</v>
      </c>
    </row>
    <row r="8034" spans="1:2" x14ac:dyDescent="0.2">
      <c r="A8034" s="8" t="s">
        <v>8057</v>
      </c>
      <c r="B8034" s="2" t="s">
        <v>12471</v>
      </c>
    </row>
    <row r="8035" spans="1:2" x14ac:dyDescent="0.2">
      <c r="A8035" s="8" t="s">
        <v>8058</v>
      </c>
      <c r="B8035" s="2" t="s">
        <v>12471</v>
      </c>
    </row>
    <row r="8036" spans="1:2" x14ac:dyDescent="0.2">
      <c r="A8036" s="8" t="s">
        <v>8059</v>
      </c>
      <c r="B8036" s="2" t="s">
        <v>12471</v>
      </c>
    </row>
    <row r="8037" spans="1:2" x14ac:dyDescent="0.2">
      <c r="A8037" s="8" t="s">
        <v>8060</v>
      </c>
      <c r="B8037" s="2" t="s">
        <v>12471</v>
      </c>
    </row>
    <row r="8038" spans="1:2" x14ac:dyDescent="0.2">
      <c r="A8038" s="8" t="s">
        <v>8061</v>
      </c>
      <c r="B8038" s="2" t="s">
        <v>12471</v>
      </c>
    </row>
    <row r="8039" spans="1:2" x14ac:dyDescent="0.2">
      <c r="A8039" s="8" t="s">
        <v>8062</v>
      </c>
      <c r="B8039" s="2" t="s">
        <v>12471</v>
      </c>
    </row>
    <row r="8040" spans="1:2" x14ac:dyDescent="0.2">
      <c r="A8040" s="8" t="s">
        <v>8063</v>
      </c>
      <c r="B8040" s="2" t="s">
        <v>12471</v>
      </c>
    </row>
    <row r="8041" spans="1:2" x14ac:dyDescent="0.2">
      <c r="A8041" s="8" t="s">
        <v>8064</v>
      </c>
      <c r="B8041" s="2" t="s">
        <v>12471</v>
      </c>
    </row>
    <row r="8042" spans="1:2" x14ac:dyDescent="0.2">
      <c r="A8042" s="8" t="s">
        <v>8065</v>
      </c>
      <c r="B8042" s="2" t="s">
        <v>12471</v>
      </c>
    </row>
    <row r="8043" spans="1:2" x14ac:dyDescent="0.2">
      <c r="A8043" s="8" t="s">
        <v>8066</v>
      </c>
      <c r="B8043" s="2" t="s">
        <v>12471</v>
      </c>
    </row>
    <row r="8044" spans="1:2" x14ac:dyDescent="0.2">
      <c r="A8044" s="8" t="s">
        <v>8067</v>
      </c>
      <c r="B8044" s="2" t="s">
        <v>12471</v>
      </c>
    </row>
    <row r="8045" spans="1:2" x14ac:dyDescent="0.2">
      <c r="A8045" s="8" t="s">
        <v>8068</v>
      </c>
      <c r="B8045" s="2" t="s">
        <v>12471</v>
      </c>
    </row>
    <row r="8046" spans="1:2" x14ac:dyDescent="0.2">
      <c r="A8046" s="8" t="s">
        <v>8069</v>
      </c>
      <c r="B8046" s="2" t="s">
        <v>12471</v>
      </c>
    </row>
    <row r="8047" spans="1:2" x14ac:dyDescent="0.2">
      <c r="A8047" s="8" t="s">
        <v>8070</v>
      </c>
      <c r="B8047" s="2" t="s">
        <v>12471</v>
      </c>
    </row>
    <row r="8048" spans="1:2" x14ac:dyDescent="0.2">
      <c r="A8048" s="8" t="s">
        <v>8071</v>
      </c>
      <c r="B8048" s="2" t="s">
        <v>12471</v>
      </c>
    </row>
    <row r="8049" spans="1:2" x14ac:dyDescent="0.2">
      <c r="A8049" s="8" t="s">
        <v>8072</v>
      </c>
      <c r="B8049" s="2" t="s">
        <v>12471</v>
      </c>
    </row>
    <row r="8050" spans="1:2" x14ac:dyDescent="0.2">
      <c r="A8050" s="8" t="s">
        <v>8073</v>
      </c>
      <c r="B8050" s="2" t="s">
        <v>12471</v>
      </c>
    </row>
    <row r="8051" spans="1:2" x14ac:dyDescent="0.2">
      <c r="A8051" s="8" t="s">
        <v>8074</v>
      </c>
      <c r="B8051" s="2" t="s">
        <v>12471</v>
      </c>
    </row>
    <row r="8052" spans="1:2" x14ac:dyDescent="0.2">
      <c r="A8052" s="8" t="s">
        <v>8075</v>
      </c>
      <c r="B8052" s="2" t="s">
        <v>12471</v>
      </c>
    </row>
    <row r="8053" spans="1:2" x14ac:dyDescent="0.2">
      <c r="A8053" s="8" t="s">
        <v>8076</v>
      </c>
      <c r="B8053" s="2" t="s">
        <v>12471</v>
      </c>
    </row>
    <row r="8054" spans="1:2" x14ac:dyDescent="0.2">
      <c r="A8054" s="8" t="s">
        <v>8077</v>
      </c>
      <c r="B8054" s="2" t="s">
        <v>12471</v>
      </c>
    </row>
    <row r="8055" spans="1:2" x14ac:dyDescent="0.2">
      <c r="A8055" s="8" t="s">
        <v>8078</v>
      </c>
      <c r="B8055" s="2" t="s">
        <v>12471</v>
      </c>
    </row>
    <row r="8056" spans="1:2" x14ac:dyDescent="0.2">
      <c r="A8056" s="8" t="s">
        <v>8079</v>
      </c>
      <c r="B8056" s="2" t="s">
        <v>12471</v>
      </c>
    </row>
    <row r="8057" spans="1:2" x14ac:dyDescent="0.2">
      <c r="A8057" s="8" t="s">
        <v>8080</v>
      </c>
      <c r="B8057" s="2" t="s">
        <v>12471</v>
      </c>
    </row>
    <row r="8058" spans="1:2" x14ac:dyDescent="0.2">
      <c r="A8058" s="8" t="s">
        <v>8081</v>
      </c>
      <c r="B8058" s="2" t="s">
        <v>12471</v>
      </c>
    </row>
    <row r="8059" spans="1:2" x14ac:dyDescent="0.2">
      <c r="A8059" s="8" t="s">
        <v>8082</v>
      </c>
      <c r="B8059" s="2" t="s">
        <v>12471</v>
      </c>
    </row>
    <row r="8060" spans="1:2" x14ac:dyDescent="0.2">
      <c r="A8060" s="8" t="s">
        <v>8083</v>
      </c>
      <c r="B8060" s="2" t="s">
        <v>12471</v>
      </c>
    </row>
    <row r="8061" spans="1:2" x14ac:dyDescent="0.2">
      <c r="A8061" s="8" t="s">
        <v>8084</v>
      </c>
      <c r="B8061" s="2" t="s">
        <v>12471</v>
      </c>
    </row>
    <row r="8062" spans="1:2" x14ac:dyDescent="0.2">
      <c r="A8062" s="8" t="s">
        <v>8085</v>
      </c>
      <c r="B8062" s="2" t="s">
        <v>12471</v>
      </c>
    </row>
    <row r="8063" spans="1:2" x14ac:dyDescent="0.2">
      <c r="A8063" s="8" t="s">
        <v>8086</v>
      </c>
      <c r="B8063" s="2" t="s">
        <v>12471</v>
      </c>
    </row>
    <row r="8064" spans="1:2" x14ac:dyDescent="0.2">
      <c r="A8064" s="8" t="s">
        <v>8087</v>
      </c>
      <c r="B8064" s="2" t="s">
        <v>12471</v>
      </c>
    </row>
    <row r="8065" spans="1:2" x14ac:dyDescent="0.2">
      <c r="A8065" s="8" t="s">
        <v>8088</v>
      </c>
      <c r="B8065" s="2" t="s">
        <v>12471</v>
      </c>
    </row>
    <row r="8066" spans="1:2" x14ac:dyDescent="0.2">
      <c r="A8066" s="8" t="s">
        <v>8089</v>
      </c>
      <c r="B8066" s="2" t="s">
        <v>12471</v>
      </c>
    </row>
    <row r="8067" spans="1:2" x14ac:dyDescent="0.2">
      <c r="A8067" s="8" t="s">
        <v>8090</v>
      </c>
      <c r="B8067" s="2" t="s">
        <v>12471</v>
      </c>
    </row>
    <row r="8068" spans="1:2" x14ac:dyDescent="0.2">
      <c r="A8068" s="8" t="s">
        <v>8091</v>
      </c>
      <c r="B8068" s="2" t="s">
        <v>12471</v>
      </c>
    </row>
    <row r="8069" spans="1:2" x14ac:dyDescent="0.2">
      <c r="A8069" s="8" t="s">
        <v>8092</v>
      </c>
      <c r="B8069" s="2" t="s">
        <v>12471</v>
      </c>
    </row>
    <row r="8070" spans="1:2" x14ac:dyDescent="0.2">
      <c r="A8070" s="8" t="s">
        <v>8093</v>
      </c>
      <c r="B8070" s="2" t="s">
        <v>12471</v>
      </c>
    </row>
    <row r="8071" spans="1:2" x14ac:dyDescent="0.2">
      <c r="A8071" s="8" t="s">
        <v>8094</v>
      </c>
      <c r="B8071" s="2" t="s">
        <v>12471</v>
      </c>
    </row>
    <row r="8072" spans="1:2" x14ac:dyDescent="0.2">
      <c r="A8072" s="8" t="s">
        <v>8095</v>
      </c>
      <c r="B8072" s="2" t="s">
        <v>12471</v>
      </c>
    </row>
    <row r="8073" spans="1:2" x14ac:dyDescent="0.2">
      <c r="A8073" s="8" t="s">
        <v>8096</v>
      </c>
      <c r="B8073" s="2" t="s">
        <v>12471</v>
      </c>
    </row>
    <row r="8074" spans="1:2" x14ac:dyDescent="0.2">
      <c r="A8074" s="8" t="s">
        <v>8097</v>
      </c>
      <c r="B8074" s="2" t="s">
        <v>12471</v>
      </c>
    </row>
    <row r="8075" spans="1:2" x14ac:dyDescent="0.2">
      <c r="A8075" s="8" t="s">
        <v>8098</v>
      </c>
      <c r="B8075" s="2" t="s">
        <v>12471</v>
      </c>
    </row>
    <row r="8076" spans="1:2" x14ac:dyDescent="0.2">
      <c r="A8076" s="8" t="s">
        <v>8099</v>
      </c>
      <c r="B8076" s="2" t="s">
        <v>12471</v>
      </c>
    </row>
    <row r="8077" spans="1:2" x14ac:dyDescent="0.2">
      <c r="A8077" s="8" t="s">
        <v>8100</v>
      </c>
      <c r="B8077" s="2" t="s">
        <v>12471</v>
      </c>
    </row>
    <row r="8078" spans="1:2" x14ac:dyDescent="0.2">
      <c r="A8078" s="8" t="s">
        <v>8101</v>
      </c>
      <c r="B8078" s="2" t="s">
        <v>12471</v>
      </c>
    </row>
    <row r="8079" spans="1:2" x14ac:dyDescent="0.2">
      <c r="A8079" s="8" t="s">
        <v>8102</v>
      </c>
      <c r="B8079" s="2" t="s">
        <v>12471</v>
      </c>
    </row>
    <row r="8080" spans="1:2" x14ac:dyDescent="0.2">
      <c r="A8080" s="8" t="s">
        <v>8103</v>
      </c>
      <c r="B8080" s="2" t="s">
        <v>12471</v>
      </c>
    </row>
    <row r="8081" spans="1:2" x14ac:dyDescent="0.2">
      <c r="A8081" s="8" t="s">
        <v>8104</v>
      </c>
      <c r="B8081" s="2" t="s">
        <v>12471</v>
      </c>
    </row>
    <row r="8082" spans="1:2" x14ac:dyDescent="0.2">
      <c r="A8082" s="8" t="s">
        <v>8105</v>
      </c>
      <c r="B8082" s="2" t="s">
        <v>12471</v>
      </c>
    </row>
    <row r="8083" spans="1:2" x14ac:dyDescent="0.2">
      <c r="A8083" s="8" t="s">
        <v>8106</v>
      </c>
      <c r="B8083" s="2" t="s">
        <v>12471</v>
      </c>
    </row>
    <row r="8084" spans="1:2" x14ac:dyDescent="0.2">
      <c r="A8084" s="8" t="s">
        <v>8107</v>
      </c>
      <c r="B8084" s="2" t="s">
        <v>12471</v>
      </c>
    </row>
    <row r="8085" spans="1:2" x14ac:dyDescent="0.2">
      <c r="A8085" s="8" t="s">
        <v>8108</v>
      </c>
      <c r="B8085" s="2" t="s">
        <v>12471</v>
      </c>
    </row>
    <row r="8086" spans="1:2" x14ac:dyDescent="0.2">
      <c r="A8086" s="8" t="s">
        <v>8109</v>
      </c>
      <c r="B8086" s="2" t="s">
        <v>12471</v>
      </c>
    </row>
    <row r="8087" spans="1:2" x14ac:dyDescent="0.2">
      <c r="A8087" s="8" t="s">
        <v>8110</v>
      </c>
      <c r="B8087" s="2" t="s">
        <v>12471</v>
      </c>
    </row>
    <row r="8088" spans="1:2" x14ac:dyDescent="0.2">
      <c r="A8088" s="8" t="s">
        <v>8111</v>
      </c>
      <c r="B8088" s="2" t="s">
        <v>12471</v>
      </c>
    </row>
    <row r="8089" spans="1:2" x14ac:dyDescent="0.2">
      <c r="A8089" s="8" t="s">
        <v>8112</v>
      </c>
      <c r="B8089" s="2" t="s">
        <v>12471</v>
      </c>
    </row>
    <row r="8090" spans="1:2" x14ac:dyDescent="0.2">
      <c r="A8090" s="8" t="s">
        <v>8113</v>
      </c>
      <c r="B8090" s="2" t="s">
        <v>12471</v>
      </c>
    </row>
    <row r="8091" spans="1:2" x14ac:dyDescent="0.2">
      <c r="A8091" s="8" t="s">
        <v>8114</v>
      </c>
      <c r="B8091" s="2" t="s">
        <v>12471</v>
      </c>
    </row>
    <row r="8092" spans="1:2" x14ac:dyDescent="0.2">
      <c r="A8092" s="8" t="s">
        <v>8115</v>
      </c>
      <c r="B8092" s="2" t="s">
        <v>12471</v>
      </c>
    </row>
    <row r="8093" spans="1:2" x14ac:dyDescent="0.2">
      <c r="A8093" s="8" t="s">
        <v>8116</v>
      </c>
      <c r="B8093" s="2" t="s">
        <v>12471</v>
      </c>
    </row>
    <row r="8094" spans="1:2" x14ac:dyDescent="0.2">
      <c r="A8094" s="8" t="s">
        <v>8117</v>
      </c>
      <c r="B8094" s="2" t="s">
        <v>12471</v>
      </c>
    </row>
    <row r="8095" spans="1:2" x14ac:dyDescent="0.2">
      <c r="A8095" s="8" t="s">
        <v>8118</v>
      </c>
      <c r="B8095" s="2" t="s">
        <v>12471</v>
      </c>
    </row>
    <row r="8096" spans="1:2" x14ac:dyDescent="0.2">
      <c r="A8096" s="8" t="s">
        <v>8119</v>
      </c>
      <c r="B8096" s="2" t="s">
        <v>12471</v>
      </c>
    </row>
    <row r="8097" spans="1:2" x14ac:dyDescent="0.2">
      <c r="A8097" s="8" t="s">
        <v>8120</v>
      </c>
      <c r="B8097" s="2" t="s">
        <v>12471</v>
      </c>
    </row>
    <row r="8098" spans="1:2" x14ac:dyDescent="0.2">
      <c r="A8098" s="8" t="s">
        <v>8121</v>
      </c>
      <c r="B8098" s="2" t="s">
        <v>12471</v>
      </c>
    </row>
    <row r="8099" spans="1:2" x14ac:dyDescent="0.2">
      <c r="A8099" s="8" t="s">
        <v>8122</v>
      </c>
      <c r="B8099" s="2" t="s">
        <v>12471</v>
      </c>
    </row>
    <row r="8100" spans="1:2" x14ac:dyDescent="0.2">
      <c r="A8100" s="8" t="s">
        <v>8123</v>
      </c>
      <c r="B8100" s="2" t="s">
        <v>12471</v>
      </c>
    </row>
    <row r="8101" spans="1:2" x14ac:dyDescent="0.2">
      <c r="A8101" s="8" t="s">
        <v>8124</v>
      </c>
      <c r="B8101" s="2" t="s">
        <v>12471</v>
      </c>
    </row>
    <row r="8102" spans="1:2" x14ac:dyDescent="0.2">
      <c r="A8102" s="8" t="s">
        <v>8125</v>
      </c>
      <c r="B8102" s="2" t="s">
        <v>12471</v>
      </c>
    </row>
    <row r="8103" spans="1:2" x14ac:dyDescent="0.2">
      <c r="A8103" s="8" t="s">
        <v>8126</v>
      </c>
      <c r="B8103" s="2" t="s">
        <v>12471</v>
      </c>
    </row>
    <row r="8104" spans="1:2" x14ac:dyDescent="0.2">
      <c r="A8104" s="8" t="s">
        <v>8127</v>
      </c>
      <c r="B8104" s="2" t="s">
        <v>12471</v>
      </c>
    </row>
    <row r="8105" spans="1:2" x14ac:dyDescent="0.2">
      <c r="A8105" s="8" t="s">
        <v>8128</v>
      </c>
      <c r="B8105" s="2" t="s">
        <v>12471</v>
      </c>
    </row>
    <row r="8106" spans="1:2" x14ac:dyDescent="0.2">
      <c r="A8106" s="8" t="s">
        <v>8129</v>
      </c>
      <c r="B8106" s="2" t="s">
        <v>12471</v>
      </c>
    </row>
    <row r="8107" spans="1:2" x14ac:dyDescent="0.2">
      <c r="A8107" s="8" t="s">
        <v>8130</v>
      </c>
      <c r="B8107" s="2" t="s">
        <v>12471</v>
      </c>
    </row>
    <row r="8108" spans="1:2" x14ac:dyDescent="0.2">
      <c r="A8108" s="8" t="s">
        <v>8131</v>
      </c>
      <c r="B8108" s="2" t="s">
        <v>12471</v>
      </c>
    </row>
    <row r="8109" spans="1:2" x14ac:dyDescent="0.2">
      <c r="A8109" s="8" t="s">
        <v>8132</v>
      </c>
      <c r="B8109" s="2" t="s">
        <v>12471</v>
      </c>
    </row>
    <row r="8110" spans="1:2" x14ac:dyDescent="0.2">
      <c r="A8110" s="8" t="s">
        <v>8133</v>
      </c>
      <c r="B8110" s="2" t="s">
        <v>12471</v>
      </c>
    </row>
    <row r="8111" spans="1:2" x14ac:dyDescent="0.2">
      <c r="A8111" s="8" t="s">
        <v>8134</v>
      </c>
      <c r="B8111" s="2" t="s">
        <v>12471</v>
      </c>
    </row>
    <row r="8112" spans="1:2" x14ac:dyDescent="0.2">
      <c r="A8112" s="8" t="s">
        <v>8135</v>
      </c>
      <c r="B8112" s="2" t="s">
        <v>12471</v>
      </c>
    </row>
    <row r="8113" spans="1:2" x14ac:dyDescent="0.2">
      <c r="A8113" s="8" t="s">
        <v>8136</v>
      </c>
      <c r="B8113" s="2" t="s">
        <v>12471</v>
      </c>
    </row>
    <row r="8114" spans="1:2" x14ac:dyDescent="0.2">
      <c r="A8114" s="8" t="s">
        <v>8137</v>
      </c>
      <c r="B8114" s="2" t="s">
        <v>12471</v>
      </c>
    </row>
    <row r="8115" spans="1:2" x14ac:dyDescent="0.2">
      <c r="A8115" s="8" t="s">
        <v>8138</v>
      </c>
      <c r="B8115" s="2" t="s">
        <v>12471</v>
      </c>
    </row>
    <row r="8116" spans="1:2" x14ac:dyDescent="0.2">
      <c r="A8116" s="8" t="s">
        <v>8139</v>
      </c>
      <c r="B8116" s="2" t="s">
        <v>12471</v>
      </c>
    </row>
    <row r="8117" spans="1:2" x14ac:dyDescent="0.2">
      <c r="A8117" s="8" t="s">
        <v>8140</v>
      </c>
      <c r="B8117" s="2" t="s">
        <v>12471</v>
      </c>
    </row>
    <row r="8118" spans="1:2" x14ac:dyDescent="0.2">
      <c r="A8118" s="8" t="s">
        <v>8141</v>
      </c>
      <c r="B8118" s="2" t="s">
        <v>12471</v>
      </c>
    </row>
    <row r="8119" spans="1:2" x14ac:dyDescent="0.2">
      <c r="A8119" s="8" t="s">
        <v>8142</v>
      </c>
      <c r="B8119" s="2" t="s">
        <v>12471</v>
      </c>
    </row>
    <row r="8120" spans="1:2" x14ac:dyDescent="0.2">
      <c r="A8120" s="8" t="s">
        <v>8143</v>
      </c>
      <c r="B8120" s="2" t="s">
        <v>12471</v>
      </c>
    </row>
    <row r="8121" spans="1:2" x14ac:dyDescent="0.2">
      <c r="A8121" s="8" t="s">
        <v>8144</v>
      </c>
      <c r="B8121" s="2" t="s">
        <v>12471</v>
      </c>
    </row>
    <row r="8122" spans="1:2" x14ac:dyDescent="0.2">
      <c r="A8122" s="8" t="s">
        <v>8145</v>
      </c>
      <c r="B8122" s="2" t="s">
        <v>12471</v>
      </c>
    </row>
    <row r="8123" spans="1:2" x14ac:dyDescent="0.2">
      <c r="A8123" s="8" t="s">
        <v>8146</v>
      </c>
      <c r="B8123" s="2" t="s">
        <v>12471</v>
      </c>
    </row>
    <row r="8124" spans="1:2" x14ac:dyDescent="0.2">
      <c r="A8124" s="8" t="s">
        <v>8147</v>
      </c>
      <c r="B8124" s="2" t="s">
        <v>12471</v>
      </c>
    </row>
    <row r="8125" spans="1:2" x14ac:dyDescent="0.2">
      <c r="A8125" s="8" t="s">
        <v>8148</v>
      </c>
      <c r="B8125" s="2" t="s">
        <v>12471</v>
      </c>
    </row>
    <row r="8126" spans="1:2" x14ac:dyDescent="0.2">
      <c r="A8126" s="8" t="s">
        <v>8149</v>
      </c>
      <c r="B8126" s="2" t="s">
        <v>12471</v>
      </c>
    </row>
    <row r="8127" spans="1:2" x14ac:dyDescent="0.2">
      <c r="A8127" s="8" t="s">
        <v>8150</v>
      </c>
      <c r="B8127" s="2" t="s">
        <v>12471</v>
      </c>
    </row>
    <row r="8128" spans="1:2" x14ac:dyDescent="0.2">
      <c r="A8128" s="8" t="s">
        <v>8151</v>
      </c>
      <c r="B8128" s="2" t="s">
        <v>12471</v>
      </c>
    </row>
    <row r="8129" spans="1:2" x14ac:dyDescent="0.2">
      <c r="A8129" s="8" t="s">
        <v>8152</v>
      </c>
      <c r="B8129" s="2" t="s">
        <v>12471</v>
      </c>
    </row>
    <row r="8130" spans="1:2" x14ac:dyDescent="0.2">
      <c r="A8130" s="8" t="s">
        <v>8153</v>
      </c>
      <c r="B8130" s="2" t="s">
        <v>12471</v>
      </c>
    </row>
    <row r="8131" spans="1:2" x14ac:dyDescent="0.2">
      <c r="A8131" s="8" t="s">
        <v>8154</v>
      </c>
      <c r="B8131" s="2" t="s">
        <v>12471</v>
      </c>
    </row>
    <row r="8132" spans="1:2" x14ac:dyDescent="0.2">
      <c r="A8132" s="8" t="s">
        <v>8155</v>
      </c>
      <c r="B8132" s="2" t="s">
        <v>12471</v>
      </c>
    </row>
    <row r="8133" spans="1:2" x14ac:dyDescent="0.2">
      <c r="A8133" s="8" t="s">
        <v>8156</v>
      </c>
      <c r="B8133" s="2" t="s">
        <v>12471</v>
      </c>
    </row>
    <row r="8134" spans="1:2" x14ac:dyDescent="0.2">
      <c r="A8134" s="8" t="s">
        <v>8157</v>
      </c>
      <c r="B8134" s="2" t="s">
        <v>12471</v>
      </c>
    </row>
    <row r="8135" spans="1:2" x14ac:dyDescent="0.2">
      <c r="A8135" s="8" t="s">
        <v>8158</v>
      </c>
      <c r="B8135" s="2" t="s">
        <v>12471</v>
      </c>
    </row>
    <row r="8136" spans="1:2" x14ac:dyDescent="0.2">
      <c r="A8136" s="8" t="s">
        <v>8159</v>
      </c>
      <c r="B8136" s="2" t="s">
        <v>12471</v>
      </c>
    </row>
    <row r="8137" spans="1:2" x14ac:dyDescent="0.2">
      <c r="A8137" s="8" t="s">
        <v>8160</v>
      </c>
      <c r="B8137" s="2" t="s">
        <v>12471</v>
      </c>
    </row>
    <row r="8138" spans="1:2" x14ac:dyDescent="0.2">
      <c r="A8138" s="8" t="s">
        <v>8161</v>
      </c>
      <c r="B8138" s="2" t="s">
        <v>12471</v>
      </c>
    </row>
    <row r="8139" spans="1:2" x14ac:dyDescent="0.2">
      <c r="A8139" s="8" t="s">
        <v>8162</v>
      </c>
      <c r="B8139" s="2" t="s">
        <v>12471</v>
      </c>
    </row>
    <row r="8140" spans="1:2" x14ac:dyDescent="0.2">
      <c r="A8140" s="8" t="s">
        <v>8163</v>
      </c>
      <c r="B8140" s="2" t="s">
        <v>12471</v>
      </c>
    </row>
    <row r="8141" spans="1:2" x14ac:dyDescent="0.2">
      <c r="A8141" s="8" t="s">
        <v>8164</v>
      </c>
      <c r="B8141" s="2" t="s">
        <v>12471</v>
      </c>
    </row>
    <row r="8142" spans="1:2" x14ac:dyDescent="0.2">
      <c r="A8142" s="8" t="s">
        <v>8165</v>
      </c>
      <c r="B8142" s="2" t="s">
        <v>12471</v>
      </c>
    </row>
    <row r="8143" spans="1:2" x14ac:dyDescent="0.2">
      <c r="A8143" s="8" t="s">
        <v>8166</v>
      </c>
      <c r="B8143" s="2" t="s">
        <v>12471</v>
      </c>
    </row>
    <row r="8144" spans="1:2" x14ac:dyDescent="0.2">
      <c r="A8144" s="8" t="s">
        <v>8167</v>
      </c>
      <c r="B8144" s="2" t="s">
        <v>12471</v>
      </c>
    </row>
    <row r="8145" spans="1:2" x14ac:dyDescent="0.2">
      <c r="A8145" s="8" t="s">
        <v>8168</v>
      </c>
      <c r="B8145" s="2" t="s">
        <v>12471</v>
      </c>
    </row>
    <row r="8146" spans="1:2" x14ac:dyDescent="0.2">
      <c r="A8146" s="8" t="s">
        <v>8169</v>
      </c>
      <c r="B8146" s="2" t="s">
        <v>12471</v>
      </c>
    </row>
    <row r="8147" spans="1:2" x14ac:dyDescent="0.2">
      <c r="A8147" s="8" t="s">
        <v>8170</v>
      </c>
      <c r="B8147" s="2" t="s">
        <v>12471</v>
      </c>
    </row>
    <row r="8148" spans="1:2" x14ac:dyDescent="0.2">
      <c r="A8148" s="8" t="s">
        <v>8171</v>
      </c>
      <c r="B8148" s="2" t="s">
        <v>12471</v>
      </c>
    </row>
    <row r="8149" spans="1:2" x14ac:dyDescent="0.2">
      <c r="A8149" s="8" t="s">
        <v>8172</v>
      </c>
      <c r="B8149" s="2" t="s">
        <v>12471</v>
      </c>
    </row>
    <row r="8150" spans="1:2" x14ac:dyDescent="0.2">
      <c r="A8150" s="8" t="s">
        <v>8173</v>
      </c>
      <c r="B8150" s="2" t="s">
        <v>12471</v>
      </c>
    </row>
    <row r="8151" spans="1:2" x14ac:dyDescent="0.2">
      <c r="A8151" s="8" t="s">
        <v>8174</v>
      </c>
      <c r="B8151" s="2" t="s">
        <v>12471</v>
      </c>
    </row>
    <row r="8152" spans="1:2" x14ac:dyDescent="0.2">
      <c r="A8152" s="8" t="s">
        <v>8175</v>
      </c>
      <c r="B8152" s="2" t="s">
        <v>12471</v>
      </c>
    </row>
    <row r="8153" spans="1:2" x14ac:dyDescent="0.2">
      <c r="A8153" s="8" t="s">
        <v>8176</v>
      </c>
      <c r="B8153" s="2" t="s">
        <v>12471</v>
      </c>
    </row>
    <row r="8154" spans="1:2" x14ac:dyDescent="0.2">
      <c r="A8154" s="8" t="s">
        <v>8177</v>
      </c>
      <c r="B8154" s="2" t="s">
        <v>12471</v>
      </c>
    </row>
    <row r="8155" spans="1:2" x14ac:dyDescent="0.2">
      <c r="A8155" s="8" t="s">
        <v>8178</v>
      </c>
      <c r="B8155" s="2" t="s">
        <v>12471</v>
      </c>
    </row>
    <row r="8156" spans="1:2" x14ac:dyDescent="0.2">
      <c r="A8156" s="8" t="s">
        <v>8179</v>
      </c>
      <c r="B8156" s="2" t="s">
        <v>12471</v>
      </c>
    </row>
    <row r="8157" spans="1:2" x14ac:dyDescent="0.2">
      <c r="A8157" s="8" t="s">
        <v>8180</v>
      </c>
      <c r="B8157" s="2" t="s">
        <v>12471</v>
      </c>
    </row>
    <row r="8158" spans="1:2" x14ac:dyDescent="0.2">
      <c r="A8158" s="8" t="s">
        <v>8181</v>
      </c>
      <c r="B8158" s="2" t="s">
        <v>12471</v>
      </c>
    </row>
    <row r="8159" spans="1:2" x14ac:dyDescent="0.2">
      <c r="A8159" s="8" t="s">
        <v>8182</v>
      </c>
      <c r="B8159" s="2" t="s">
        <v>12471</v>
      </c>
    </row>
    <row r="8160" spans="1:2" x14ac:dyDescent="0.2">
      <c r="A8160" s="8" t="s">
        <v>8183</v>
      </c>
      <c r="B8160" s="2" t="s">
        <v>12471</v>
      </c>
    </row>
    <row r="8161" spans="1:2" x14ac:dyDescent="0.2">
      <c r="A8161" s="8" t="s">
        <v>8184</v>
      </c>
      <c r="B8161" s="2" t="s">
        <v>12471</v>
      </c>
    </row>
    <row r="8162" spans="1:2" x14ac:dyDescent="0.2">
      <c r="A8162" s="8" t="s">
        <v>8185</v>
      </c>
      <c r="B8162" s="2" t="s">
        <v>12471</v>
      </c>
    </row>
    <row r="8163" spans="1:2" x14ac:dyDescent="0.2">
      <c r="A8163" s="8" t="s">
        <v>8186</v>
      </c>
      <c r="B8163" s="2" t="s">
        <v>12471</v>
      </c>
    </row>
    <row r="8164" spans="1:2" x14ac:dyDescent="0.2">
      <c r="A8164" s="8" t="s">
        <v>8187</v>
      </c>
      <c r="B8164" s="2" t="s">
        <v>12471</v>
      </c>
    </row>
    <row r="8165" spans="1:2" x14ac:dyDescent="0.2">
      <c r="A8165" s="8" t="s">
        <v>8188</v>
      </c>
      <c r="B8165" s="2" t="s">
        <v>12471</v>
      </c>
    </row>
    <row r="8166" spans="1:2" x14ac:dyDescent="0.2">
      <c r="A8166" s="8" t="s">
        <v>8189</v>
      </c>
      <c r="B8166" s="2" t="s">
        <v>12471</v>
      </c>
    </row>
    <row r="8167" spans="1:2" x14ac:dyDescent="0.2">
      <c r="A8167" s="8" t="s">
        <v>8190</v>
      </c>
      <c r="B8167" s="2" t="s">
        <v>12471</v>
      </c>
    </row>
    <row r="8168" spans="1:2" x14ac:dyDescent="0.2">
      <c r="A8168" s="8" t="s">
        <v>8191</v>
      </c>
      <c r="B8168" s="2" t="s">
        <v>12471</v>
      </c>
    </row>
    <row r="8169" spans="1:2" x14ac:dyDescent="0.2">
      <c r="A8169" s="8" t="s">
        <v>8192</v>
      </c>
      <c r="B8169" s="2" t="s">
        <v>12471</v>
      </c>
    </row>
    <row r="8170" spans="1:2" x14ac:dyDescent="0.2">
      <c r="A8170" s="8" t="s">
        <v>8193</v>
      </c>
      <c r="B8170" s="2" t="s">
        <v>12471</v>
      </c>
    </row>
    <row r="8171" spans="1:2" x14ac:dyDescent="0.2">
      <c r="A8171" s="8" t="s">
        <v>8194</v>
      </c>
      <c r="B8171" s="2" t="s">
        <v>12471</v>
      </c>
    </row>
    <row r="8172" spans="1:2" x14ac:dyDescent="0.2">
      <c r="A8172" s="8" t="s">
        <v>8195</v>
      </c>
      <c r="B8172" s="2" t="s">
        <v>12471</v>
      </c>
    </row>
    <row r="8173" spans="1:2" x14ac:dyDescent="0.2">
      <c r="A8173" s="8" t="s">
        <v>8196</v>
      </c>
      <c r="B8173" s="2" t="s">
        <v>12471</v>
      </c>
    </row>
    <row r="8174" spans="1:2" x14ac:dyDescent="0.2">
      <c r="A8174" s="8" t="s">
        <v>8197</v>
      </c>
      <c r="B8174" s="2" t="s">
        <v>12471</v>
      </c>
    </row>
    <row r="8175" spans="1:2" x14ac:dyDescent="0.2">
      <c r="A8175" s="8" t="s">
        <v>8198</v>
      </c>
      <c r="B8175" s="2" t="s">
        <v>12471</v>
      </c>
    </row>
    <row r="8176" spans="1:2" x14ac:dyDescent="0.2">
      <c r="A8176" s="8" t="s">
        <v>8199</v>
      </c>
      <c r="B8176" s="2" t="s">
        <v>12471</v>
      </c>
    </row>
    <row r="8177" spans="1:2" x14ac:dyDescent="0.2">
      <c r="A8177" s="8" t="s">
        <v>8200</v>
      </c>
      <c r="B8177" s="2" t="s">
        <v>12471</v>
      </c>
    </row>
    <row r="8178" spans="1:2" x14ac:dyDescent="0.2">
      <c r="A8178" s="8" t="s">
        <v>8201</v>
      </c>
      <c r="B8178" s="2" t="s">
        <v>12471</v>
      </c>
    </row>
    <row r="8179" spans="1:2" x14ac:dyDescent="0.2">
      <c r="A8179" s="8" t="s">
        <v>8202</v>
      </c>
      <c r="B8179" s="2" t="s">
        <v>12471</v>
      </c>
    </row>
    <row r="8180" spans="1:2" x14ac:dyDescent="0.2">
      <c r="A8180" s="8" t="s">
        <v>8203</v>
      </c>
      <c r="B8180" s="2" t="s">
        <v>12471</v>
      </c>
    </row>
    <row r="8181" spans="1:2" x14ac:dyDescent="0.2">
      <c r="A8181" s="8" t="s">
        <v>8204</v>
      </c>
      <c r="B8181" s="2" t="s">
        <v>12471</v>
      </c>
    </row>
    <row r="8182" spans="1:2" x14ac:dyDescent="0.2">
      <c r="A8182" s="8" t="s">
        <v>8205</v>
      </c>
      <c r="B8182" s="2" t="s">
        <v>12471</v>
      </c>
    </row>
    <row r="8183" spans="1:2" x14ac:dyDescent="0.2">
      <c r="A8183" s="8" t="s">
        <v>8206</v>
      </c>
      <c r="B8183" s="2" t="s">
        <v>12471</v>
      </c>
    </row>
    <row r="8184" spans="1:2" x14ac:dyDescent="0.2">
      <c r="A8184" s="8" t="s">
        <v>8207</v>
      </c>
      <c r="B8184" s="2" t="s">
        <v>12471</v>
      </c>
    </row>
    <row r="8185" spans="1:2" x14ac:dyDescent="0.2">
      <c r="A8185" s="8" t="s">
        <v>8208</v>
      </c>
      <c r="B8185" s="2" t="s">
        <v>12471</v>
      </c>
    </row>
    <row r="8186" spans="1:2" x14ac:dyDescent="0.2">
      <c r="A8186" s="8" t="s">
        <v>8209</v>
      </c>
      <c r="B8186" s="2" t="s">
        <v>12471</v>
      </c>
    </row>
    <row r="8187" spans="1:2" x14ac:dyDescent="0.2">
      <c r="A8187" s="8" t="s">
        <v>8210</v>
      </c>
      <c r="B8187" s="2" t="s">
        <v>12471</v>
      </c>
    </row>
    <row r="8188" spans="1:2" x14ac:dyDescent="0.2">
      <c r="A8188" s="8" t="s">
        <v>8211</v>
      </c>
      <c r="B8188" s="2" t="s">
        <v>12471</v>
      </c>
    </row>
    <row r="8189" spans="1:2" x14ac:dyDescent="0.2">
      <c r="A8189" s="8" t="s">
        <v>8212</v>
      </c>
      <c r="B8189" s="2" t="s">
        <v>12471</v>
      </c>
    </row>
    <row r="8190" spans="1:2" x14ac:dyDescent="0.2">
      <c r="A8190" s="8" t="s">
        <v>8213</v>
      </c>
      <c r="B8190" s="2" t="s">
        <v>12471</v>
      </c>
    </row>
    <row r="8191" spans="1:2" x14ac:dyDescent="0.2">
      <c r="A8191" s="8" t="s">
        <v>8214</v>
      </c>
      <c r="B8191" s="2" t="s">
        <v>12471</v>
      </c>
    </row>
    <row r="8192" spans="1:2" x14ac:dyDescent="0.2">
      <c r="A8192" s="8" t="s">
        <v>8215</v>
      </c>
      <c r="B8192" s="2" t="s">
        <v>12471</v>
      </c>
    </row>
    <row r="8193" spans="1:2" x14ac:dyDescent="0.2">
      <c r="A8193" s="8" t="s">
        <v>8216</v>
      </c>
      <c r="B8193" s="2" t="s">
        <v>12471</v>
      </c>
    </row>
    <row r="8194" spans="1:2" x14ac:dyDescent="0.2">
      <c r="A8194" s="8" t="s">
        <v>8217</v>
      </c>
      <c r="B8194" s="2" t="s">
        <v>12471</v>
      </c>
    </row>
    <row r="8195" spans="1:2" x14ac:dyDescent="0.2">
      <c r="A8195" s="8" t="s">
        <v>8218</v>
      </c>
      <c r="B8195" s="2" t="s">
        <v>12471</v>
      </c>
    </row>
    <row r="8196" spans="1:2" x14ac:dyDescent="0.2">
      <c r="A8196" s="8" t="s">
        <v>8219</v>
      </c>
      <c r="B8196" s="2" t="s">
        <v>12471</v>
      </c>
    </row>
    <row r="8197" spans="1:2" x14ac:dyDescent="0.2">
      <c r="A8197" s="8" t="s">
        <v>8220</v>
      </c>
      <c r="B8197" s="2" t="s">
        <v>12471</v>
      </c>
    </row>
    <row r="8198" spans="1:2" x14ac:dyDescent="0.2">
      <c r="A8198" s="8" t="s">
        <v>8221</v>
      </c>
      <c r="B8198" s="2" t="s">
        <v>12471</v>
      </c>
    </row>
    <row r="8199" spans="1:2" x14ac:dyDescent="0.2">
      <c r="A8199" s="8" t="s">
        <v>8222</v>
      </c>
      <c r="B8199" s="2" t="s">
        <v>12471</v>
      </c>
    </row>
    <row r="8200" spans="1:2" x14ac:dyDescent="0.2">
      <c r="A8200" s="8" t="s">
        <v>8223</v>
      </c>
      <c r="B8200" s="2" t="s">
        <v>12471</v>
      </c>
    </row>
    <row r="8201" spans="1:2" x14ac:dyDescent="0.2">
      <c r="A8201" s="8" t="s">
        <v>8224</v>
      </c>
      <c r="B8201" s="2" t="s">
        <v>12471</v>
      </c>
    </row>
    <row r="8202" spans="1:2" x14ac:dyDescent="0.2">
      <c r="A8202" s="8" t="s">
        <v>8225</v>
      </c>
      <c r="B8202" s="2" t="s">
        <v>12471</v>
      </c>
    </row>
    <row r="8203" spans="1:2" x14ac:dyDescent="0.2">
      <c r="A8203" s="8" t="s">
        <v>8226</v>
      </c>
      <c r="B8203" s="2" t="s">
        <v>12471</v>
      </c>
    </row>
    <row r="8204" spans="1:2" x14ac:dyDescent="0.2">
      <c r="A8204" s="8" t="s">
        <v>8227</v>
      </c>
      <c r="B8204" s="2" t="s">
        <v>12471</v>
      </c>
    </row>
    <row r="8205" spans="1:2" x14ac:dyDescent="0.2">
      <c r="A8205" s="8" t="s">
        <v>8228</v>
      </c>
      <c r="B8205" s="2" t="s">
        <v>12471</v>
      </c>
    </row>
    <row r="8206" spans="1:2" x14ac:dyDescent="0.2">
      <c r="A8206" s="8" t="s">
        <v>8229</v>
      </c>
      <c r="B8206" s="2" t="s">
        <v>12471</v>
      </c>
    </row>
    <row r="8207" spans="1:2" x14ac:dyDescent="0.2">
      <c r="A8207" s="8" t="s">
        <v>8230</v>
      </c>
      <c r="B8207" s="2" t="s">
        <v>12471</v>
      </c>
    </row>
    <row r="8208" spans="1:2" x14ac:dyDescent="0.2">
      <c r="A8208" s="8" t="s">
        <v>8231</v>
      </c>
      <c r="B8208" s="2" t="s">
        <v>12471</v>
      </c>
    </row>
    <row r="8209" spans="1:2" x14ac:dyDescent="0.2">
      <c r="A8209" s="8" t="s">
        <v>8232</v>
      </c>
      <c r="B8209" s="2" t="s">
        <v>12471</v>
      </c>
    </row>
    <row r="8210" spans="1:2" x14ac:dyDescent="0.2">
      <c r="A8210" s="8" t="s">
        <v>8233</v>
      </c>
      <c r="B8210" s="2" t="s">
        <v>12471</v>
      </c>
    </row>
    <row r="8211" spans="1:2" x14ac:dyDescent="0.2">
      <c r="A8211" s="8" t="s">
        <v>8234</v>
      </c>
      <c r="B8211" s="2" t="s">
        <v>12471</v>
      </c>
    </row>
    <row r="8212" spans="1:2" x14ac:dyDescent="0.2">
      <c r="A8212" s="8" t="s">
        <v>8235</v>
      </c>
      <c r="B8212" s="2" t="s">
        <v>12471</v>
      </c>
    </row>
    <row r="8213" spans="1:2" x14ac:dyDescent="0.2">
      <c r="A8213" s="8" t="s">
        <v>8236</v>
      </c>
      <c r="B8213" s="2" t="s">
        <v>12471</v>
      </c>
    </row>
    <row r="8214" spans="1:2" x14ac:dyDescent="0.2">
      <c r="A8214" s="8" t="s">
        <v>8237</v>
      </c>
      <c r="B8214" s="2" t="s">
        <v>12471</v>
      </c>
    </row>
    <row r="8215" spans="1:2" x14ac:dyDescent="0.2">
      <c r="A8215" s="8" t="s">
        <v>8238</v>
      </c>
      <c r="B8215" s="2" t="s">
        <v>12471</v>
      </c>
    </row>
    <row r="8216" spans="1:2" x14ac:dyDescent="0.2">
      <c r="A8216" s="8" t="s">
        <v>8239</v>
      </c>
      <c r="B8216" s="2" t="s">
        <v>12471</v>
      </c>
    </row>
    <row r="8217" spans="1:2" x14ac:dyDescent="0.2">
      <c r="A8217" s="8" t="s">
        <v>8240</v>
      </c>
      <c r="B8217" s="2" t="s">
        <v>12471</v>
      </c>
    </row>
    <row r="8218" spans="1:2" x14ac:dyDescent="0.2">
      <c r="A8218" s="8" t="s">
        <v>8241</v>
      </c>
      <c r="B8218" s="2" t="s">
        <v>12471</v>
      </c>
    </row>
    <row r="8219" spans="1:2" x14ac:dyDescent="0.2">
      <c r="A8219" s="8" t="s">
        <v>8242</v>
      </c>
      <c r="B8219" s="2" t="s">
        <v>12471</v>
      </c>
    </row>
    <row r="8220" spans="1:2" x14ac:dyDescent="0.2">
      <c r="A8220" s="8" t="s">
        <v>8243</v>
      </c>
      <c r="B8220" s="2" t="s">
        <v>12471</v>
      </c>
    </row>
    <row r="8221" spans="1:2" x14ac:dyDescent="0.2">
      <c r="A8221" s="8" t="s">
        <v>8244</v>
      </c>
      <c r="B8221" s="2" t="s">
        <v>12471</v>
      </c>
    </row>
    <row r="8222" spans="1:2" x14ac:dyDescent="0.2">
      <c r="A8222" s="8" t="s">
        <v>8245</v>
      </c>
      <c r="B8222" s="2" t="s">
        <v>12471</v>
      </c>
    </row>
    <row r="8223" spans="1:2" x14ac:dyDescent="0.2">
      <c r="A8223" s="8" t="s">
        <v>8246</v>
      </c>
      <c r="B8223" s="2" t="s">
        <v>12471</v>
      </c>
    </row>
    <row r="8224" spans="1:2" x14ac:dyDescent="0.2">
      <c r="A8224" s="8" t="s">
        <v>8247</v>
      </c>
      <c r="B8224" s="2" t="s">
        <v>12471</v>
      </c>
    </row>
    <row r="8225" spans="1:2" x14ac:dyDescent="0.2">
      <c r="A8225" s="8" t="s">
        <v>8248</v>
      </c>
      <c r="B8225" s="2" t="s">
        <v>12471</v>
      </c>
    </row>
    <row r="8226" spans="1:2" x14ac:dyDescent="0.2">
      <c r="A8226" s="8" t="s">
        <v>8249</v>
      </c>
      <c r="B8226" s="2" t="s">
        <v>12471</v>
      </c>
    </row>
    <row r="8227" spans="1:2" x14ac:dyDescent="0.2">
      <c r="A8227" s="8" t="s">
        <v>8250</v>
      </c>
      <c r="B8227" s="2" t="s">
        <v>12471</v>
      </c>
    </row>
    <row r="8228" spans="1:2" x14ac:dyDescent="0.2">
      <c r="A8228" s="8" t="s">
        <v>8251</v>
      </c>
      <c r="B8228" s="2" t="s">
        <v>12471</v>
      </c>
    </row>
    <row r="8229" spans="1:2" x14ac:dyDescent="0.2">
      <c r="A8229" s="8" t="s">
        <v>8252</v>
      </c>
      <c r="B8229" s="2" t="s">
        <v>12471</v>
      </c>
    </row>
    <row r="8230" spans="1:2" x14ac:dyDescent="0.2">
      <c r="A8230" s="8" t="s">
        <v>8253</v>
      </c>
      <c r="B8230" s="2" t="s">
        <v>12471</v>
      </c>
    </row>
    <row r="8231" spans="1:2" x14ac:dyDescent="0.2">
      <c r="A8231" s="8" t="s">
        <v>8254</v>
      </c>
      <c r="B8231" s="2" t="s">
        <v>12471</v>
      </c>
    </row>
    <row r="8232" spans="1:2" x14ac:dyDescent="0.2">
      <c r="A8232" s="8" t="s">
        <v>8255</v>
      </c>
      <c r="B8232" s="2" t="s">
        <v>12471</v>
      </c>
    </row>
    <row r="8233" spans="1:2" x14ac:dyDescent="0.2">
      <c r="A8233" s="8" t="s">
        <v>8256</v>
      </c>
      <c r="B8233" s="2" t="s">
        <v>12471</v>
      </c>
    </row>
    <row r="8234" spans="1:2" x14ac:dyDescent="0.2">
      <c r="A8234" s="8" t="s">
        <v>8257</v>
      </c>
      <c r="B8234" s="2" t="s">
        <v>12471</v>
      </c>
    </row>
    <row r="8235" spans="1:2" x14ac:dyDescent="0.2">
      <c r="A8235" s="8" t="s">
        <v>8258</v>
      </c>
      <c r="B8235" s="2" t="s">
        <v>12471</v>
      </c>
    </row>
    <row r="8236" spans="1:2" x14ac:dyDescent="0.2">
      <c r="A8236" s="8" t="s">
        <v>8259</v>
      </c>
      <c r="B8236" s="2" t="s">
        <v>12471</v>
      </c>
    </row>
    <row r="8237" spans="1:2" x14ac:dyDescent="0.2">
      <c r="A8237" s="8" t="s">
        <v>8260</v>
      </c>
      <c r="B8237" s="2" t="s">
        <v>12471</v>
      </c>
    </row>
    <row r="8238" spans="1:2" x14ac:dyDescent="0.2">
      <c r="A8238" s="8" t="s">
        <v>8261</v>
      </c>
      <c r="B8238" s="2" t="s">
        <v>12471</v>
      </c>
    </row>
    <row r="8239" spans="1:2" x14ac:dyDescent="0.2">
      <c r="A8239" s="8" t="s">
        <v>8262</v>
      </c>
      <c r="B8239" s="2" t="s">
        <v>12471</v>
      </c>
    </row>
    <row r="8240" spans="1:2" x14ac:dyDescent="0.2">
      <c r="A8240" s="8" t="s">
        <v>8263</v>
      </c>
      <c r="B8240" s="2" t="s">
        <v>12471</v>
      </c>
    </row>
    <row r="8241" spans="1:2" x14ac:dyDescent="0.2">
      <c r="A8241" s="8" t="s">
        <v>8264</v>
      </c>
      <c r="B8241" s="2" t="s">
        <v>12471</v>
      </c>
    </row>
    <row r="8242" spans="1:2" x14ac:dyDescent="0.2">
      <c r="A8242" s="8" t="s">
        <v>8265</v>
      </c>
      <c r="B8242" s="2" t="s">
        <v>12471</v>
      </c>
    </row>
    <row r="8243" spans="1:2" x14ac:dyDescent="0.2">
      <c r="A8243" s="8" t="s">
        <v>8266</v>
      </c>
      <c r="B8243" s="2" t="s">
        <v>12471</v>
      </c>
    </row>
    <row r="8244" spans="1:2" x14ac:dyDescent="0.2">
      <c r="A8244" s="8" t="s">
        <v>8267</v>
      </c>
      <c r="B8244" s="2" t="s">
        <v>12471</v>
      </c>
    </row>
    <row r="8245" spans="1:2" x14ac:dyDescent="0.2">
      <c r="A8245" s="8" t="s">
        <v>8268</v>
      </c>
      <c r="B8245" s="2" t="s">
        <v>12471</v>
      </c>
    </row>
    <row r="8246" spans="1:2" x14ac:dyDescent="0.2">
      <c r="A8246" s="8" t="s">
        <v>8269</v>
      </c>
      <c r="B8246" s="2" t="s">
        <v>12471</v>
      </c>
    </row>
    <row r="8247" spans="1:2" x14ac:dyDescent="0.2">
      <c r="A8247" s="8" t="s">
        <v>8270</v>
      </c>
      <c r="B8247" s="2" t="s">
        <v>12471</v>
      </c>
    </row>
    <row r="8248" spans="1:2" x14ac:dyDescent="0.2">
      <c r="A8248" s="8" t="s">
        <v>8271</v>
      </c>
      <c r="B8248" s="2" t="s">
        <v>12471</v>
      </c>
    </row>
    <row r="8249" spans="1:2" x14ac:dyDescent="0.2">
      <c r="A8249" s="8" t="s">
        <v>8272</v>
      </c>
      <c r="B8249" s="2" t="s">
        <v>12471</v>
      </c>
    </row>
    <row r="8250" spans="1:2" x14ac:dyDescent="0.2">
      <c r="A8250" s="8" t="s">
        <v>8273</v>
      </c>
      <c r="B8250" s="2" t="s">
        <v>12471</v>
      </c>
    </row>
    <row r="8251" spans="1:2" x14ac:dyDescent="0.2">
      <c r="A8251" s="8" t="s">
        <v>8274</v>
      </c>
      <c r="B8251" s="2" t="s">
        <v>12471</v>
      </c>
    </row>
    <row r="8252" spans="1:2" x14ac:dyDescent="0.2">
      <c r="A8252" s="8" t="s">
        <v>8275</v>
      </c>
      <c r="B8252" s="2" t="s">
        <v>12471</v>
      </c>
    </row>
    <row r="8253" spans="1:2" x14ac:dyDescent="0.2">
      <c r="A8253" s="8" t="s">
        <v>8276</v>
      </c>
      <c r="B8253" s="2" t="s">
        <v>12471</v>
      </c>
    </row>
    <row r="8254" spans="1:2" x14ac:dyDescent="0.2">
      <c r="A8254" s="8" t="s">
        <v>8277</v>
      </c>
      <c r="B8254" s="2" t="s">
        <v>12471</v>
      </c>
    </row>
    <row r="8255" spans="1:2" x14ac:dyDescent="0.2">
      <c r="A8255" s="8" t="s">
        <v>8278</v>
      </c>
      <c r="B8255" s="2" t="s">
        <v>12471</v>
      </c>
    </row>
    <row r="8256" spans="1:2" x14ac:dyDescent="0.2">
      <c r="A8256" s="8" t="s">
        <v>8279</v>
      </c>
      <c r="B8256" s="2" t="s">
        <v>12471</v>
      </c>
    </row>
    <row r="8257" spans="1:2" x14ac:dyDescent="0.2">
      <c r="A8257" s="8" t="s">
        <v>8280</v>
      </c>
      <c r="B8257" s="2" t="s">
        <v>12471</v>
      </c>
    </row>
    <row r="8258" spans="1:2" x14ac:dyDescent="0.2">
      <c r="A8258" s="8" t="s">
        <v>8281</v>
      </c>
      <c r="B8258" s="2" t="s">
        <v>12471</v>
      </c>
    </row>
    <row r="8259" spans="1:2" x14ac:dyDescent="0.2">
      <c r="A8259" s="8" t="s">
        <v>8282</v>
      </c>
      <c r="B8259" s="2" t="s">
        <v>12471</v>
      </c>
    </row>
    <row r="8260" spans="1:2" x14ac:dyDescent="0.2">
      <c r="A8260" s="8" t="s">
        <v>8283</v>
      </c>
      <c r="B8260" s="2" t="s">
        <v>12471</v>
      </c>
    </row>
    <row r="8261" spans="1:2" x14ac:dyDescent="0.2">
      <c r="A8261" s="8" t="s">
        <v>8284</v>
      </c>
      <c r="B8261" s="2" t="s">
        <v>12471</v>
      </c>
    </row>
    <row r="8262" spans="1:2" x14ac:dyDescent="0.2">
      <c r="A8262" s="8" t="s">
        <v>8285</v>
      </c>
      <c r="B8262" s="2" t="s">
        <v>12471</v>
      </c>
    </row>
    <row r="8263" spans="1:2" x14ac:dyDescent="0.2">
      <c r="A8263" s="8" t="s">
        <v>8286</v>
      </c>
      <c r="B8263" s="2" t="s">
        <v>12471</v>
      </c>
    </row>
    <row r="8264" spans="1:2" x14ac:dyDescent="0.2">
      <c r="A8264" s="8" t="s">
        <v>8287</v>
      </c>
      <c r="B8264" s="2" t="s">
        <v>12471</v>
      </c>
    </row>
    <row r="8265" spans="1:2" x14ac:dyDescent="0.2">
      <c r="A8265" s="8" t="s">
        <v>8288</v>
      </c>
      <c r="B8265" s="2" t="s">
        <v>12471</v>
      </c>
    </row>
    <row r="8266" spans="1:2" x14ac:dyDescent="0.2">
      <c r="A8266" s="8" t="s">
        <v>8289</v>
      </c>
      <c r="B8266" s="2" t="s">
        <v>12471</v>
      </c>
    </row>
    <row r="8267" spans="1:2" x14ac:dyDescent="0.2">
      <c r="A8267" s="8" t="s">
        <v>8290</v>
      </c>
      <c r="B8267" s="2" t="s">
        <v>12471</v>
      </c>
    </row>
    <row r="8268" spans="1:2" x14ac:dyDescent="0.2">
      <c r="A8268" s="8" t="s">
        <v>8291</v>
      </c>
      <c r="B8268" s="2" t="s">
        <v>12471</v>
      </c>
    </row>
    <row r="8269" spans="1:2" x14ac:dyDescent="0.2">
      <c r="A8269" s="8" t="s">
        <v>8292</v>
      </c>
      <c r="B8269" s="2" t="s">
        <v>12471</v>
      </c>
    </row>
    <row r="8270" spans="1:2" x14ac:dyDescent="0.2">
      <c r="A8270" s="8" t="s">
        <v>8293</v>
      </c>
      <c r="B8270" s="2" t="s">
        <v>12471</v>
      </c>
    </row>
    <row r="8271" spans="1:2" x14ac:dyDescent="0.2">
      <c r="A8271" s="8" t="s">
        <v>8294</v>
      </c>
      <c r="B8271" s="2" t="s">
        <v>12471</v>
      </c>
    </row>
    <row r="8272" spans="1:2" x14ac:dyDescent="0.2">
      <c r="A8272" s="8" t="s">
        <v>8295</v>
      </c>
      <c r="B8272" s="2" t="s">
        <v>12471</v>
      </c>
    </row>
    <row r="8273" spans="1:2" x14ac:dyDescent="0.2">
      <c r="A8273" s="8" t="s">
        <v>8296</v>
      </c>
      <c r="B8273" s="2" t="s">
        <v>12471</v>
      </c>
    </row>
    <row r="8274" spans="1:2" x14ac:dyDescent="0.2">
      <c r="A8274" s="8" t="s">
        <v>8297</v>
      </c>
      <c r="B8274" s="2" t="s">
        <v>12471</v>
      </c>
    </row>
    <row r="8275" spans="1:2" x14ac:dyDescent="0.2">
      <c r="A8275" s="8" t="s">
        <v>8298</v>
      </c>
      <c r="B8275" s="2" t="s">
        <v>12471</v>
      </c>
    </row>
    <row r="8276" spans="1:2" x14ac:dyDescent="0.2">
      <c r="A8276" s="8" t="s">
        <v>8299</v>
      </c>
      <c r="B8276" s="2" t="s">
        <v>12471</v>
      </c>
    </row>
    <row r="8277" spans="1:2" x14ac:dyDescent="0.2">
      <c r="A8277" s="8" t="s">
        <v>8300</v>
      </c>
      <c r="B8277" s="2" t="s">
        <v>12471</v>
      </c>
    </row>
    <row r="8278" spans="1:2" x14ac:dyDescent="0.2">
      <c r="A8278" s="8" t="s">
        <v>8301</v>
      </c>
      <c r="B8278" s="2" t="s">
        <v>12471</v>
      </c>
    </row>
    <row r="8279" spans="1:2" x14ac:dyDescent="0.2">
      <c r="A8279" s="8" t="s">
        <v>8302</v>
      </c>
      <c r="B8279" s="2" t="s">
        <v>12471</v>
      </c>
    </row>
    <row r="8280" spans="1:2" x14ac:dyDescent="0.2">
      <c r="A8280" s="8" t="s">
        <v>8303</v>
      </c>
      <c r="B8280" s="2" t="s">
        <v>12471</v>
      </c>
    </row>
    <row r="8281" spans="1:2" x14ac:dyDescent="0.2">
      <c r="A8281" s="8" t="s">
        <v>8304</v>
      </c>
      <c r="B8281" s="2" t="s">
        <v>12471</v>
      </c>
    </row>
    <row r="8282" spans="1:2" x14ac:dyDescent="0.2">
      <c r="A8282" s="8" t="s">
        <v>8305</v>
      </c>
      <c r="B8282" s="2" t="s">
        <v>12471</v>
      </c>
    </row>
    <row r="8283" spans="1:2" x14ac:dyDescent="0.2">
      <c r="A8283" s="8" t="s">
        <v>8306</v>
      </c>
      <c r="B8283" s="2" t="s">
        <v>12471</v>
      </c>
    </row>
    <row r="8284" spans="1:2" x14ac:dyDescent="0.2">
      <c r="A8284" s="8" t="s">
        <v>8307</v>
      </c>
      <c r="B8284" s="2" t="s">
        <v>12471</v>
      </c>
    </row>
    <row r="8285" spans="1:2" x14ac:dyDescent="0.2">
      <c r="A8285" s="8" t="s">
        <v>8308</v>
      </c>
      <c r="B8285" s="2" t="s">
        <v>12471</v>
      </c>
    </row>
    <row r="8286" spans="1:2" x14ac:dyDescent="0.2">
      <c r="A8286" s="8" t="s">
        <v>8309</v>
      </c>
      <c r="B8286" s="2" t="s">
        <v>12471</v>
      </c>
    </row>
    <row r="8287" spans="1:2" x14ac:dyDescent="0.2">
      <c r="A8287" s="8" t="s">
        <v>8310</v>
      </c>
      <c r="B8287" s="2" t="s">
        <v>12471</v>
      </c>
    </row>
    <row r="8288" spans="1:2" x14ac:dyDescent="0.2">
      <c r="A8288" s="8" t="s">
        <v>8311</v>
      </c>
      <c r="B8288" s="2" t="s">
        <v>12471</v>
      </c>
    </row>
    <row r="8289" spans="1:2" x14ac:dyDescent="0.2">
      <c r="A8289" s="8" t="s">
        <v>8312</v>
      </c>
      <c r="B8289" s="2" t="s">
        <v>12471</v>
      </c>
    </row>
    <row r="8290" spans="1:2" x14ac:dyDescent="0.2">
      <c r="A8290" s="8" t="s">
        <v>8313</v>
      </c>
      <c r="B8290" s="2" t="s">
        <v>12471</v>
      </c>
    </row>
    <row r="8291" spans="1:2" x14ac:dyDescent="0.2">
      <c r="A8291" s="8" t="s">
        <v>8314</v>
      </c>
      <c r="B8291" s="2" t="s">
        <v>12471</v>
      </c>
    </row>
    <row r="8292" spans="1:2" x14ac:dyDescent="0.2">
      <c r="A8292" s="8" t="s">
        <v>8315</v>
      </c>
      <c r="B8292" s="2" t="s">
        <v>12471</v>
      </c>
    </row>
    <row r="8293" spans="1:2" x14ac:dyDescent="0.2">
      <c r="A8293" s="8" t="s">
        <v>8316</v>
      </c>
      <c r="B8293" s="2" t="s">
        <v>12471</v>
      </c>
    </row>
    <row r="8294" spans="1:2" x14ac:dyDescent="0.2">
      <c r="A8294" s="8" t="s">
        <v>8317</v>
      </c>
      <c r="B8294" s="2" t="s">
        <v>12471</v>
      </c>
    </row>
    <row r="8295" spans="1:2" x14ac:dyDescent="0.2">
      <c r="A8295" s="8" t="s">
        <v>8318</v>
      </c>
      <c r="B8295" s="2" t="s">
        <v>12471</v>
      </c>
    </row>
    <row r="8296" spans="1:2" x14ac:dyDescent="0.2">
      <c r="A8296" s="8" t="s">
        <v>8319</v>
      </c>
      <c r="B8296" s="2" t="s">
        <v>12471</v>
      </c>
    </row>
    <row r="8297" spans="1:2" x14ac:dyDescent="0.2">
      <c r="A8297" s="8" t="s">
        <v>8320</v>
      </c>
      <c r="B8297" s="2" t="s">
        <v>12471</v>
      </c>
    </row>
    <row r="8298" spans="1:2" x14ac:dyDescent="0.2">
      <c r="A8298" s="8" t="s">
        <v>8321</v>
      </c>
      <c r="B8298" s="2" t="s">
        <v>12471</v>
      </c>
    </row>
    <row r="8299" spans="1:2" x14ac:dyDescent="0.2">
      <c r="A8299" s="8" t="s">
        <v>8322</v>
      </c>
      <c r="B8299" s="2" t="s">
        <v>12471</v>
      </c>
    </row>
    <row r="8300" spans="1:2" x14ac:dyDescent="0.2">
      <c r="A8300" s="8" t="s">
        <v>8323</v>
      </c>
      <c r="B8300" s="2" t="s">
        <v>12471</v>
      </c>
    </row>
    <row r="8301" spans="1:2" x14ac:dyDescent="0.2">
      <c r="A8301" s="8" t="s">
        <v>8324</v>
      </c>
      <c r="B8301" s="2" t="s">
        <v>12471</v>
      </c>
    </row>
    <row r="8302" spans="1:2" x14ac:dyDescent="0.2">
      <c r="A8302" s="8" t="s">
        <v>8325</v>
      </c>
      <c r="B8302" s="2" t="s">
        <v>12471</v>
      </c>
    </row>
    <row r="8303" spans="1:2" x14ac:dyDescent="0.2">
      <c r="A8303" s="8" t="s">
        <v>8326</v>
      </c>
      <c r="B8303" s="2" t="s">
        <v>12471</v>
      </c>
    </row>
    <row r="8304" spans="1:2" x14ac:dyDescent="0.2">
      <c r="A8304" s="8" t="s">
        <v>8327</v>
      </c>
      <c r="B8304" s="2" t="s">
        <v>12471</v>
      </c>
    </row>
    <row r="8305" spans="1:2" x14ac:dyDescent="0.2">
      <c r="A8305" s="8" t="s">
        <v>8328</v>
      </c>
      <c r="B8305" s="2" t="s">
        <v>12471</v>
      </c>
    </row>
    <row r="8306" spans="1:2" x14ac:dyDescent="0.2">
      <c r="A8306" s="8" t="s">
        <v>8329</v>
      </c>
      <c r="B8306" s="2" t="s">
        <v>12471</v>
      </c>
    </row>
    <row r="8307" spans="1:2" x14ac:dyDescent="0.2">
      <c r="A8307" s="8" t="s">
        <v>8330</v>
      </c>
      <c r="B8307" s="2" t="s">
        <v>12471</v>
      </c>
    </row>
    <row r="8308" spans="1:2" x14ac:dyDescent="0.2">
      <c r="A8308" s="8" t="s">
        <v>8331</v>
      </c>
      <c r="B8308" s="2" t="s">
        <v>12471</v>
      </c>
    </row>
    <row r="8309" spans="1:2" x14ac:dyDescent="0.2">
      <c r="A8309" s="8" t="s">
        <v>8332</v>
      </c>
      <c r="B8309" s="2" t="s">
        <v>12471</v>
      </c>
    </row>
    <row r="8310" spans="1:2" x14ac:dyDescent="0.2">
      <c r="A8310" s="8" t="s">
        <v>8333</v>
      </c>
      <c r="B8310" s="2" t="s">
        <v>12471</v>
      </c>
    </row>
    <row r="8311" spans="1:2" x14ac:dyDescent="0.2">
      <c r="A8311" s="8" t="s">
        <v>8334</v>
      </c>
      <c r="B8311" s="2" t="s">
        <v>12471</v>
      </c>
    </row>
    <row r="8312" spans="1:2" x14ac:dyDescent="0.2">
      <c r="A8312" s="8" t="s">
        <v>8335</v>
      </c>
      <c r="B8312" s="2" t="s">
        <v>12471</v>
      </c>
    </row>
    <row r="8313" spans="1:2" x14ac:dyDescent="0.2">
      <c r="A8313" s="8" t="s">
        <v>8336</v>
      </c>
      <c r="B8313" s="2" t="s">
        <v>12471</v>
      </c>
    </row>
    <row r="8314" spans="1:2" x14ac:dyDescent="0.2">
      <c r="A8314" s="8" t="s">
        <v>8337</v>
      </c>
      <c r="B8314" s="2" t="s">
        <v>12471</v>
      </c>
    </row>
    <row r="8315" spans="1:2" x14ac:dyDescent="0.2">
      <c r="A8315" s="8" t="s">
        <v>8338</v>
      </c>
      <c r="B8315" s="2" t="s">
        <v>12471</v>
      </c>
    </row>
    <row r="8316" spans="1:2" x14ac:dyDescent="0.2">
      <c r="A8316" s="8" t="s">
        <v>8339</v>
      </c>
      <c r="B8316" s="2" t="s">
        <v>12471</v>
      </c>
    </row>
    <row r="8317" spans="1:2" x14ac:dyDescent="0.2">
      <c r="A8317" s="8" t="s">
        <v>8340</v>
      </c>
      <c r="B8317" s="2" t="s">
        <v>12471</v>
      </c>
    </row>
    <row r="8318" spans="1:2" x14ac:dyDescent="0.2">
      <c r="A8318" s="8" t="s">
        <v>8341</v>
      </c>
      <c r="B8318" s="2" t="s">
        <v>12471</v>
      </c>
    </row>
    <row r="8319" spans="1:2" x14ac:dyDescent="0.2">
      <c r="A8319" s="8" t="s">
        <v>8342</v>
      </c>
      <c r="B8319" s="2" t="s">
        <v>12471</v>
      </c>
    </row>
    <row r="8320" spans="1:2" x14ac:dyDescent="0.2">
      <c r="A8320" s="8" t="s">
        <v>8343</v>
      </c>
      <c r="B8320" s="2" t="s">
        <v>12471</v>
      </c>
    </row>
    <row r="8321" spans="1:2" x14ac:dyDescent="0.2">
      <c r="A8321" s="8" t="s">
        <v>8344</v>
      </c>
      <c r="B8321" s="2" t="s">
        <v>12471</v>
      </c>
    </row>
    <row r="8322" spans="1:2" x14ac:dyDescent="0.2">
      <c r="A8322" s="8" t="s">
        <v>8345</v>
      </c>
      <c r="B8322" s="2" t="s">
        <v>12471</v>
      </c>
    </row>
    <row r="8323" spans="1:2" x14ac:dyDescent="0.2">
      <c r="A8323" s="8" t="s">
        <v>8346</v>
      </c>
      <c r="B8323" s="2" t="s">
        <v>12471</v>
      </c>
    </row>
    <row r="8324" spans="1:2" x14ac:dyDescent="0.2">
      <c r="A8324" s="8" t="s">
        <v>8347</v>
      </c>
      <c r="B8324" s="2" t="s">
        <v>12471</v>
      </c>
    </row>
    <row r="8325" spans="1:2" x14ac:dyDescent="0.2">
      <c r="A8325" s="8" t="s">
        <v>8348</v>
      </c>
      <c r="B8325" s="2" t="s">
        <v>12471</v>
      </c>
    </row>
    <row r="8326" spans="1:2" x14ac:dyDescent="0.2">
      <c r="A8326" s="8" t="s">
        <v>8349</v>
      </c>
      <c r="B8326" s="2" t="s">
        <v>12471</v>
      </c>
    </row>
    <row r="8327" spans="1:2" x14ac:dyDescent="0.2">
      <c r="A8327" s="8" t="s">
        <v>8350</v>
      </c>
      <c r="B8327" s="2" t="s">
        <v>12471</v>
      </c>
    </row>
    <row r="8328" spans="1:2" x14ac:dyDescent="0.2">
      <c r="A8328" s="8" t="s">
        <v>8351</v>
      </c>
      <c r="B8328" s="2" t="s">
        <v>12471</v>
      </c>
    </row>
    <row r="8329" spans="1:2" x14ac:dyDescent="0.2">
      <c r="A8329" s="8" t="s">
        <v>8352</v>
      </c>
      <c r="B8329" s="2" t="s">
        <v>12471</v>
      </c>
    </row>
    <row r="8330" spans="1:2" x14ac:dyDescent="0.2">
      <c r="A8330" s="8" t="s">
        <v>8353</v>
      </c>
      <c r="B8330" s="2" t="s">
        <v>12471</v>
      </c>
    </row>
    <row r="8331" spans="1:2" x14ac:dyDescent="0.2">
      <c r="A8331" s="8" t="s">
        <v>8354</v>
      </c>
      <c r="B8331" s="2" t="s">
        <v>12471</v>
      </c>
    </row>
    <row r="8332" spans="1:2" x14ac:dyDescent="0.2">
      <c r="A8332" s="8" t="s">
        <v>8355</v>
      </c>
      <c r="B8332" s="2" t="s">
        <v>12471</v>
      </c>
    </row>
    <row r="8333" spans="1:2" x14ac:dyDescent="0.2">
      <c r="A8333" s="8" t="s">
        <v>8356</v>
      </c>
      <c r="B8333" s="2" t="s">
        <v>12471</v>
      </c>
    </row>
    <row r="8334" spans="1:2" x14ac:dyDescent="0.2">
      <c r="A8334" s="8" t="s">
        <v>8357</v>
      </c>
      <c r="B8334" s="2" t="s">
        <v>12471</v>
      </c>
    </row>
    <row r="8335" spans="1:2" x14ac:dyDescent="0.2">
      <c r="A8335" s="8" t="s">
        <v>8358</v>
      </c>
      <c r="B8335" s="2" t="s">
        <v>12471</v>
      </c>
    </row>
    <row r="8336" spans="1:2" x14ac:dyDescent="0.2">
      <c r="A8336" s="8" t="s">
        <v>8359</v>
      </c>
      <c r="B8336" s="2" t="s">
        <v>12471</v>
      </c>
    </row>
    <row r="8337" spans="1:2" x14ac:dyDescent="0.2">
      <c r="A8337" s="8" t="s">
        <v>8360</v>
      </c>
      <c r="B8337" s="2" t="s">
        <v>12471</v>
      </c>
    </row>
    <row r="8338" spans="1:2" x14ac:dyDescent="0.2">
      <c r="A8338" s="8" t="s">
        <v>8361</v>
      </c>
      <c r="B8338" s="2" t="s">
        <v>12471</v>
      </c>
    </row>
    <row r="8339" spans="1:2" x14ac:dyDescent="0.2">
      <c r="A8339" s="8" t="s">
        <v>8362</v>
      </c>
      <c r="B8339" s="2" t="s">
        <v>12471</v>
      </c>
    </row>
    <row r="8340" spans="1:2" x14ac:dyDescent="0.2">
      <c r="A8340" s="8" t="s">
        <v>8363</v>
      </c>
      <c r="B8340" s="2" t="s">
        <v>12471</v>
      </c>
    </row>
    <row r="8341" spans="1:2" x14ac:dyDescent="0.2">
      <c r="A8341" s="8" t="s">
        <v>8364</v>
      </c>
      <c r="B8341" s="2" t="s">
        <v>12471</v>
      </c>
    </row>
    <row r="8342" spans="1:2" x14ac:dyDescent="0.2">
      <c r="A8342" s="8" t="s">
        <v>8365</v>
      </c>
      <c r="B8342" s="2" t="s">
        <v>12471</v>
      </c>
    </row>
    <row r="8343" spans="1:2" x14ac:dyDescent="0.2">
      <c r="A8343" s="8" t="s">
        <v>8366</v>
      </c>
      <c r="B8343" s="2" t="s">
        <v>12471</v>
      </c>
    </row>
    <row r="8344" spans="1:2" x14ac:dyDescent="0.2">
      <c r="A8344" s="8" t="s">
        <v>8367</v>
      </c>
      <c r="B8344" s="2" t="s">
        <v>12471</v>
      </c>
    </row>
    <row r="8345" spans="1:2" x14ac:dyDescent="0.2">
      <c r="A8345" s="8" t="s">
        <v>8368</v>
      </c>
      <c r="B8345" s="2" t="s">
        <v>12471</v>
      </c>
    </row>
    <row r="8346" spans="1:2" x14ac:dyDescent="0.2">
      <c r="A8346" s="8" t="s">
        <v>8369</v>
      </c>
      <c r="B8346" s="2" t="s">
        <v>12471</v>
      </c>
    </row>
    <row r="8347" spans="1:2" x14ac:dyDescent="0.2">
      <c r="A8347" s="8" t="s">
        <v>8370</v>
      </c>
      <c r="B8347" s="2" t="s">
        <v>12471</v>
      </c>
    </row>
    <row r="8348" spans="1:2" x14ac:dyDescent="0.2">
      <c r="A8348" s="8" t="s">
        <v>8371</v>
      </c>
      <c r="B8348" s="2" t="s">
        <v>12471</v>
      </c>
    </row>
    <row r="8349" spans="1:2" x14ac:dyDescent="0.2">
      <c r="A8349" s="8" t="s">
        <v>8372</v>
      </c>
      <c r="B8349" s="2" t="s">
        <v>12471</v>
      </c>
    </row>
    <row r="8350" spans="1:2" x14ac:dyDescent="0.2">
      <c r="A8350" s="8" t="s">
        <v>8373</v>
      </c>
      <c r="B8350" s="2" t="s">
        <v>12471</v>
      </c>
    </row>
    <row r="8351" spans="1:2" x14ac:dyDescent="0.2">
      <c r="A8351" s="8" t="s">
        <v>8374</v>
      </c>
      <c r="B8351" s="2" t="s">
        <v>12471</v>
      </c>
    </row>
    <row r="8352" spans="1:2" x14ac:dyDescent="0.2">
      <c r="A8352" s="8" t="s">
        <v>8375</v>
      </c>
      <c r="B8352" s="2" t="s">
        <v>12471</v>
      </c>
    </row>
    <row r="8353" spans="1:2" x14ac:dyDescent="0.2">
      <c r="A8353" s="8" t="s">
        <v>8376</v>
      </c>
      <c r="B8353" s="2" t="s">
        <v>12471</v>
      </c>
    </row>
    <row r="8354" spans="1:2" x14ac:dyDescent="0.2">
      <c r="A8354" s="8" t="s">
        <v>8377</v>
      </c>
      <c r="B8354" s="2" t="s">
        <v>12471</v>
      </c>
    </row>
    <row r="8355" spans="1:2" x14ac:dyDescent="0.2">
      <c r="A8355" s="8" t="s">
        <v>8378</v>
      </c>
      <c r="B8355" s="2" t="s">
        <v>12471</v>
      </c>
    </row>
    <row r="8356" spans="1:2" x14ac:dyDescent="0.2">
      <c r="A8356" s="8" t="s">
        <v>8379</v>
      </c>
      <c r="B8356" s="2" t="s">
        <v>12471</v>
      </c>
    </row>
    <row r="8357" spans="1:2" x14ac:dyDescent="0.2">
      <c r="A8357" s="8" t="s">
        <v>8380</v>
      </c>
      <c r="B8357" s="2" t="s">
        <v>12471</v>
      </c>
    </row>
    <row r="8358" spans="1:2" x14ac:dyDescent="0.2">
      <c r="A8358" s="8" t="s">
        <v>8381</v>
      </c>
      <c r="B8358" s="2" t="s">
        <v>12471</v>
      </c>
    </row>
    <row r="8359" spans="1:2" x14ac:dyDescent="0.2">
      <c r="A8359" s="8" t="s">
        <v>8382</v>
      </c>
      <c r="B8359" s="2" t="s">
        <v>12471</v>
      </c>
    </row>
    <row r="8360" spans="1:2" x14ac:dyDescent="0.2">
      <c r="A8360" s="8" t="s">
        <v>8383</v>
      </c>
      <c r="B8360" s="2" t="s">
        <v>12471</v>
      </c>
    </row>
    <row r="8361" spans="1:2" x14ac:dyDescent="0.2">
      <c r="A8361" s="8" t="s">
        <v>8384</v>
      </c>
      <c r="B8361" s="2" t="s">
        <v>12471</v>
      </c>
    </row>
    <row r="8362" spans="1:2" x14ac:dyDescent="0.2">
      <c r="A8362" s="8" t="s">
        <v>8385</v>
      </c>
      <c r="B8362" s="2" t="s">
        <v>12471</v>
      </c>
    </row>
    <row r="8363" spans="1:2" x14ac:dyDescent="0.2">
      <c r="A8363" s="8" t="s">
        <v>8386</v>
      </c>
      <c r="B8363" s="2" t="s">
        <v>12471</v>
      </c>
    </row>
    <row r="8364" spans="1:2" x14ac:dyDescent="0.2">
      <c r="A8364" s="8" t="s">
        <v>8387</v>
      </c>
      <c r="B8364" s="2" t="s">
        <v>12471</v>
      </c>
    </row>
    <row r="8365" spans="1:2" x14ac:dyDescent="0.2">
      <c r="A8365" s="8" t="s">
        <v>8388</v>
      </c>
      <c r="B8365" s="2" t="s">
        <v>12471</v>
      </c>
    </row>
    <row r="8366" spans="1:2" x14ac:dyDescent="0.2">
      <c r="A8366" s="8" t="s">
        <v>8389</v>
      </c>
      <c r="B8366" s="2" t="s">
        <v>12471</v>
      </c>
    </row>
    <row r="8367" spans="1:2" x14ac:dyDescent="0.2">
      <c r="A8367" s="8" t="s">
        <v>8390</v>
      </c>
      <c r="B8367" s="2" t="s">
        <v>12471</v>
      </c>
    </row>
    <row r="8368" spans="1:2" x14ac:dyDescent="0.2">
      <c r="A8368" s="8" t="s">
        <v>8391</v>
      </c>
      <c r="B8368" s="2" t="s">
        <v>12471</v>
      </c>
    </row>
    <row r="8369" spans="1:2" x14ac:dyDescent="0.2">
      <c r="A8369" s="8" t="s">
        <v>8392</v>
      </c>
      <c r="B8369" s="2" t="s">
        <v>12471</v>
      </c>
    </row>
    <row r="8370" spans="1:2" x14ac:dyDescent="0.2">
      <c r="A8370" s="8" t="s">
        <v>8393</v>
      </c>
      <c r="B8370" s="2" t="s">
        <v>12471</v>
      </c>
    </row>
    <row r="8371" spans="1:2" x14ac:dyDescent="0.2">
      <c r="A8371" s="8" t="s">
        <v>8394</v>
      </c>
      <c r="B8371" s="2" t="s">
        <v>12471</v>
      </c>
    </row>
    <row r="8372" spans="1:2" x14ac:dyDescent="0.2">
      <c r="A8372" s="8" t="s">
        <v>8395</v>
      </c>
      <c r="B8372" s="2" t="s">
        <v>12471</v>
      </c>
    </row>
    <row r="8373" spans="1:2" x14ac:dyDescent="0.2">
      <c r="A8373" s="8" t="s">
        <v>8396</v>
      </c>
      <c r="B8373" s="2" t="s">
        <v>12471</v>
      </c>
    </row>
    <row r="8374" spans="1:2" x14ac:dyDescent="0.2">
      <c r="A8374" s="8" t="s">
        <v>8397</v>
      </c>
      <c r="B8374" s="2" t="s">
        <v>12471</v>
      </c>
    </row>
    <row r="8375" spans="1:2" x14ac:dyDescent="0.2">
      <c r="A8375" s="8" t="s">
        <v>8398</v>
      </c>
      <c r="B8375" s="2" t="s">
        <v>12471</v>
      </c>
    </row>
    <row r="8376" spans="1:2" x14ac:dyDescent="0.2">
      <c r="A8376" s="8" t="s">
        <v>8399</v>
      </c>
      <c r="B8376" s="2" t="s">
        <v>12471</v>
      </c>
    </row>
    <row r="8377" spans="1:2" x14ac:dyDescent="0.2">
      <c r="A8377" s="8" t="s">
        <v>8400</v>
      </c>
      <c r="B8377" s="2" t="s">
        <v>12471</v>
      </c>
    </row>
    <row r="8378" spans="1:2" x14ac:dyDescent="0.2">
      <c r="A8378" s="8" t="s">
        <v>8401</v>
      </c>
      <c r="B8378" s="2" t="s">
        <v>12471</v>
      </c>
    </row>
    <row r="8379" spans="1:2" x14ac:dyDescent="0.2">
      <c r="A8379" s="8" t="s">
        <v>8402</v>
      </c>
      <c r="B8379" s="2" t="s">
        <v>12471</v>
      </c>
    </row>
    <row r="8380" spans="1:2" x14ac:dyDescent="0.2">
      <c r="A8380" s="8" t="s">
        <v>8403</v>
      </c>
      <c r="B8380" s="2" t="s">
        <v>12471</v>
      </c>
    </row>
    <row r="8381" spans="1:2" x14ac:dyDescent="0.2">
      <c r="A8381" s="8" t="s">
        <v>8404</v>
      </c>
      <c r="B8381" s="2" t="s">
        <v>12471</v>
      </c>
    </row>
    <row r="8382" spans="1:2" x14ac:dyDescent="0.2">
      <c r="A8382" s="8" t="s">
        <v>8405</v>
      </c>
      <c r="B8382" s="2" t="s">
        <v>12471</v>
      </c>
    </row>
    <row r="8383" spans="1:2" x14ac:dyDescent="0.2">
      <c r="A8383" s="8" t="s">
        <v>8406</v>
      </c>
      <c r="B8383" s="2" t="s">
        <v>12471</v>
      </c>
    </row>
    <row r="8384" spans="1:2" x14ac:dyDescent="0.2">
      <c r="A8384" s="8" t="s">
        <v>8407</v>
      </c>
      <c r="B8384" s="2" t="s">
        <v>12471</v>
      </c>
    </row>
    <row r="8385" spans="1:2" x14ac:dyDescent="0.2">
      <c r="A8385" s="8" t="s">
        <v>8408</v>
      </c>
      <c r="B8385" s="2" t="s">
        <v>12471</v>
      </c>
    </row>
    <row r="8386" spans="1:2" x14ac:dyDescent="0.2">
      <c r="A8386" s="8" t="s">
        <v>8409</v>
      </c>
      <c r="B8386" s="2" t="s">
        <v>12471</v>
      </c>
    </row>
    <row r="8387" spans="1:2" x14ac:dyDescent="0.2">
      <c r="A8387" s="8" t="s">
        <v>8410</v>
      </c>
      <c r="B8387" s="2" t="s">
        <v>12471</v>
      </c>
    </row>
    <row r="8388" spans="1:2" x14ac:dyDescent="0.2">
      <c r="A8388" s="8" t="s">
        <v>8411</v>
      </c>
      <c r="B8388" s="2" t="s">
        <v>12471</v>
      </c>
    </row>
    <row r="8389" spans="1:2" x14ac:dyDescent="0.2">
      <c r="A8389" s="8" t="s">
        <v>8412</v>
      </c>
      <c r="B8389" s="2" t="s">
        <v>12471</v>
      </c>
    </row>
    <row r="8390" spans="1:2" x14ac:dyDescent="0.2">
      <c r="A8390" s="8" t="s">
        <v>8413</v>
      </c>
      <c r="B8390" s="2" t="s">
        <v>12471</v>
      </c>
    </row>
    <row r="8391" spans="1:2" x14ac:dyDescent="0.2">
      <c r="A8391" s="8" t="s">
        <v>8414</v>
      </c>
      <c r="B8391" s="2" t="s">
        <v>12471</v>
      </c>
    </row>
    <row r="8392" spans="1:2" x14ac:dyDescent="0.2">
      <c r="A8392" s="8" t="s">
        <v>8415</v>
      </c>
      <c r="B8392" s="2" t="s">
        <v>12471</v>
      </c>
    </row>
    <row r="8393" spans="1:2" x14ac:dyDescent="0.2">
      <c r="A8393" s="8" t="s">
        <v>8416</v>
      </c>
      <c r="B8393" s="2" t="s">
        <v>12471</v>
      </c>
    </row>
    <row r="8394" spans="1:2" x14ac:dyDescent="0.2">
      <c r="A8394" s="8" t="s">
        <v>8417</v>
      </c>
      <c r="B8394" s="2" t="s">
        <v>12471</v>
      </c>
    </row>
    <row r="8395" spans="1:2" x14ac:dyDescent="0.2">
      <c r="A8395" s="8" t="s">
        <v>8418</v>
      </c>
      <c r="B8395" s="2" t="s">
        <v>12471</v>
      </c>
    </row>
    <row r="8396" spans="1:2" x14ac:dyDescent="0.2">
      <c r="A8396" s="8" t="s">
        <v>8419</v>
      </c>
      <c r="B8396" s="2" t="s">
        <v>12471</v>
      </c>
    </row>
    <row r="8397" spans="1:2" x14ac:dyDescent="0.2">
      <c r="A8397" s="8" t="s">
        <v>8420</v>
      </c>
      <c r="B8397" s="2" t="s">
        <v>12471</v>
      </c>
    </row>
    <row r="8398" spans="1:2" x14ac:dyDescent="0.2">
      <c r="A8398" s="8" t="s">
        <v>8421</v>
      </c>
      <c r="B8398" s="2" t="s">
        <v>12471</v>
      </c>
    </row>
    <row r="8399" spans="1:2" x14ac:dyDescent="0.2">
      <c r="A8399" s="8" t="s">
        <v>8422</v>
      </c>
      <c r="B8399" s="2" t="s">
        <v>12471</v>
      </c>
    </row>
    <row r="8400" spans="1:2" x14ac:dyDescent="0.2">
      <c r="A8400" s="8" t="s">
        <v>8423</v>
      </c>
      <c r="B8400" s="2" t="s">
        <v>12471</v>
      </c>
    </row>
    <row r="8401" spans="1:2" x14ac:dyDescent="0.2">
      <c r="A8401" s="8" t="s">
        <v>8424</v>
      </c>
      <c r="B8401" s="2" t="s">
        <v>12471</v>
      </c>
    </row>
    <row r="8402" spans="1:2" x14ac:dyDescent="0.2">
      <c r="A8402" s="8" t="s">
        <v>8425</v>
      </c>
      <c r="B8402" s="2" t="s">
        <v>12471</v>
      </c>
    </row>
    <row r="8403" spans="1:2" x14ac:dyDescent="0.2">
      <c r="A8403" s="8" t="s">
        <v>8426</v>
      </c>
      <c r="B8403" s="2" t="s">
        <v>12471</v>
      </c>
    </row>
    <row r="8404" spans="1:2" x14ac:dyDescent="0.2">
      <c r="A8404" s="8" t="s">
        <v>8427</v>
      </c>
      <c r="B8404" s="2" t="s">
        <v>12471</v>
      </c>
    </row>
    <row r="8405" spans="1:2" x14ac:dyDescent="0.2">
      <c r="A8405" s="8" t="s">
        <v>8428</v>
      </c>
      <c r="B8405" s="2" t="s">
        <v>12471</v>
      </c>
    </row>
    <row r="8406" spans="1:2" x14ac:dyDescent="0.2">
      <c r="A8406" s="8" t="s">
        <v>8429</v>
      </c>
      <c r="B8406" s="2" t="s">
        <v>12471</v>
      </c>
    </row>
    <row r="8407" spans="1:2" x14ac:dyDescent="0.2">
      <c r="A8407" s="8" t="s">
        <v>8430</v>
      </c>
      <c r="B8407" s="2" t="s">
        <v>12471</v>
      </c>
    </row>
    <row r="8408" spans="1:2" x14ac:dyDescent="0.2">
      <c r="A8408" s="8" t="s">
        <v>8431</v>
      </c>
      <c r="B8408" s="2" t="s">
        <v>12471</v>
      </c>
    </row>
    <row r="8409" spans="1:2" x14ac:dyDescent="0.2">
      <c r="A8409" s="8" t="s">
        <v>8432</v>
      </c>
      <c r="B8409" s="2" t="s">
        <v>12471</v>
      </c>
    </row>
    <row r="8410" spans="1:2" x14ac:dyDescent="0.2">
      <c r="A8410" s="8" t="s">
        <v>8433</v>
      </c>
      <c r="B8410" s="2" t="s">
        <v>12471</v>
      </c>
    </row>
    <row r="8411" spans="1:2" x14ac:dyDescent="0.2">
      <c r="A8411" s="8" t="s">
        <v>8434</v>
      </c>
      <c r="B8411" s="2" t="s">
        <v>12471</v>
      </c>
    </row>
    <row r="8412" spans="1:2" x14ac:dyDescent="0.2">
      <c r="A8412" s="8" t="s">
        <v>8435</v>
      </c>
      <c r="B8412" s="2" t="s">
        <v>12471</v>
      </c>
    </row>
    <row r="8413" spans="1:2" x14ac:dyDescent="0.2">
      <c r="A8413" s="8" t="s">
        <v>8436</v>
      </c>
      <c r="B8413" s="2" t="s">
        <v>12471</v>
      </c>
    </row>
    <row r="8414" spans="1:2" x14ac:dyDescent="0.2">
      <c r="A8414" s="8" t="s">
        <v>8437</v>
      </c>
      <c r="B8414" s="2" t="s">
        <v>12471</v>
      </c>
    </row>
    <row r="8415" spans="1:2" x14ac:dyDescent="0.2">
      <c r="A8415" s="8" t="s">
        <v>8438</v>
      </c>
      <c r="B8415" s="2" t="s">
        <v>12471</v>
      </c>
    </row>
    <row r="8416" spans="1:2" x14ac:dyDescent="0.2">
      <c r="A8416" s="8" t="s">
        <v>8439</v>
      </c>
      <c r="B8416" s="2" t="s">
        <v>12471</v>
      </c>
    </row>
    <row r="8417" spans="1:2" x14ac:dyDescent="0.2">
      <c r="A8417" s="8" t="s">
        <v>8440</v>
      </c>
      <c r="B8417" s="2" t="s">
        <v>12471</v>
      </c>
    </row>
    <row r="8418" spans="1:2" x14ac:dyDescent="0.2">
      <c r="A8418" s="8" t="s">
        <v>8441</v>
      </c>
      <c r="B8418" s="2" t="s">
        <v>12471</v>
      </c>
    </row>
    <row r="8419" spans="1:2" x14ac:dyDescent="0.2">
      <c r="A8419" s="8" t="s">
        <v>8442</v>
      </c>
      <c r="B8419" s="2" t="s">
        <v>12471</v>
      </c>
    </row>
    <row r="8420" spans="1:2" x14ac:dyDescent="0.2">
      <c r="A8420" s="8" t="s">
        <v>8443</v>
      </c>
      <c r="B8420" s="2" t="s">
        <v>12471</v>
      </c>
    </row>
    <row r="8421" spans="1:2" x14ac:dyDescent="0.2">
      <c r="A8421" s="8" t="s">
        <v>8444</v>
      </c>
      <c r="B8421" s="2" t="s">
        <v>12471</v>
      </c>
    </row>
    <row r="8422" spans="1:2" x14ac:dyDescent="0.2">
      <c r="A8422" s="8" t="s">
        <v>8445</v>
      </c>
      <c r="B8422" s="2" t="s">
        <v>12471</v>
      </c>
    </row>
    <row r="8423" spans="1:2" x14ac:dyDescent="0.2">
      <c r="A8423" s="8" t="s">
        <v>8446</v>
      </c>
      <c r="B8423" s="2" t="s">
        <v>12471</v>
      </c>
    </row>
    <row r="8424" spans="1:2" x14ac:dyDescent="0.2">
      <c r="A8424" s="8" t="s">
        <v>8447</v>
      </c>
      <c r="B8424" s="2" t="s">
        <v>12471</v>
      </c>
    </row>
    <row r="8425" spans="1:2" x14ac:dyDescent="0.2">
      <c r="A8425" s="8" t="s">
        <v>8448</v>
      </c>
      <c r="B8425" s="2" t="s">
        <v>12471</v>
      </c>
    </row>
    <row r="8426" spans="1:2" x14ac:dyDescent="0.2">
      <c r="A8426" s="8" t="s">
        <v>8449</v>
      </c>
      <c r="B8426" s="2" t="s">
        <v>12471</v>
      </c>
    </row>
    <row r="8427" spans="1:2" x14ac:dyDescent="0.2">
      <c r="A8427" s="8" t="s">
        <v>8450</v>
      </c>
      <c r="B8427" s="2" t="s">
        <v>12471</v>
      </c>
    </row>
    <row r="8428" spans="1:2" x14ac:dyDescent="0.2">
      <c r="A8428" s="8" t="s">
        <v>8451</v>
      </c>
      <c r="B8428" s="2" t="s">
        <v>12471</v>
      </c>
    </row>
    <row r="8429" spans="1:2" x14ac:dyDescent="0.2">
      <c r="A8429" s="8" t="s">
        <v>8452</v>
      </c>
      <c r="B8429" s="2" t="s">
        <v>12471</v>
      </c>
    </row>
    <row r="8430" spans="1:2" x14ac:dyDescent="0.2">
      <c r="A8430" s="8" t="s">
        <v>8453</v>
      </c>
      <c r="B8430" s="2" t="s">
        <v>12471</v>
      </c>
    </row>
    <row r="8431" spans="1:2" x14ac:dyDescent="0.2">
      <c r="A8431" s="8" t="s">
        <v>8454</v>
      </c>
      <c r="B8431" s="2" t="s">
        <v>12471</v>
      </c>
    </row>
    <row r="8432" spans="1:2" x14ac:dyDescent="0.2">
      <c r="A8432" s="8" t="s">
        <v>8455</v>
      </c>
      <c r="B8432" s="2" t="s">
        <v>12471</v>
      </c>
    </row>
    <row r="8433" spans="1:2" x14ac:dyDescent="0.2">
      <c r="A8433" s="8" t="s">
        <v>8456</v>
      </c>
      <c r="B8433" s="2" t="s">
        <v>12471</v>
      </c>
    </row>
    <row r="8434" spans="1:2" x14ac:dyDescent="0.2">
      <c r="A8434" s="8" t="s">
        <v>8457</v>
      </c>
      <c r="B8434" s="2" t="s">
        <v>12471</v>
      </c>
    </row>
    <row r="8435" spans="1:2" x14ac:dyDescent="0.2">
      <c r="A8435" s="8" t="s">
        <v>8458</v>
      </c>
      <c r="B8435" s="2" t="s">
        <v>12471</v>
      </c>
    </row>
    <row r="8436" spans="1:2" x14ac:dyDescent="0.2">
      <c r="A8436" s="8" t="s">
        <v>8459</v>
      </c>
      <c r="B8436" s="2" t="s">
        <v>12471</v>
      </c>
    </row>
    <row r="8437" spans="1:2" x14ac:dyDescent="0.2">
      <c r="A8437" s="8" t="s">
        <v>8460</v>
      </c>
      <c r="B8437" s="2" t="s">
        <v>12471</v>
      </c>
    </row>
    <row r="8438" spans="1:2" x14ac:dyDescent="0.2">
      <c r="A8438" s="8" t="s">
        <v>8461</v>
      </c>
      <c r="B8438" s="2" t="s">
        <v>12471</v>
      </c>
    </row>
    <row r="8439" spans="1:2" x14ac:dyDescent="0.2">
      <c r="A8439" s="8" t="s">
        <v>8462</v>
      </c>
      <c r="B8439" s="2" t="s">
        <v>12471</v>
      </c>
    </row>
    <row r="8440" spans="1:2" x14ac:dyDescent="0.2">
      <c r="A8440" s="8" t="s">
        <v>8463</v>
      </c>
      <c r="B8440" s="2" t="s">
        <v>12471</v>
      </c>
    </row>
    <row r="8441" spans="1:2" x14ac:dyDescent="0.2">
      <c r="A8441" s="8" t="s">
        <v>8464</v>
      </c>
      <c r="B8441" s="2" t="s">
        <v>12471</v>
      </c>
    </row>
    <row r="8442" spans="1:2" x14ac:dyDescent="0.2">
      <c r="A8442" s="8" t="s">
        <v>8465</v>
      </c>
      <c r="B8442" s="2" t="s">
        <v>12471</v>
      </c>
    </row>
    <row r="8443" spans="1:2" x14ac:dyDescent="0.2">
      <c r="A8443" s="8" t="s">
        <v>8466</v>
      </c>
      <c r="B8443" s="2" t="s">
        <v>12471</v>
      </c>
    </row>
    <row r="8444" spans="1:2" x14ac:dyDescent="0.2">
      <c r="A8444" s="8" t="s">
        <v>8467</v>
      </c>
      <c r="B8444" s="2" t="s">
        <v>12471</v>
      </c>
    </row>
    <row r="8445" spans="1:2" x14ac:dyDescent="0.2">
      <c r="A8445" s="8" t="s">
        <v>8468</v>
      </c>
      <c r="B8445" s="2" t="s">
        <v>12471</v>
      </c>
    </row>
    <row r="8446" spans="1:2" x14ac:dyDescent="0.2">
      <c r="A8446" s="8" t="s">
        <v>8469</v>
      </c>
      <c r="B8446" s="2" t="s">
        <v>12471</v>
      </c>
    </row>
    <row r="8447" spans="1:2" x14ac:dyDescent="0.2">
      <c r="A8447" s="8" t="s">
        <v>8470</v>
      </c>
      <c r="B8447" s="2" t="s">
        <v>12471</v>
      </c>
    </row>
    <row r="8448" spans="1:2" x14ac:dyDescent="0.2">
      <c r="A8448" s="8" t="s">
        <v>8471</v>
      </c>
      <c r="B8448" s="2" t="s">
        <v>12471</v>
      </c>
    </row>
    <row r="8449" spans="1:2" x14ac:dyDescent="0.2">
      <c r="A8449" s="8" t="s">
        <v>8472</v>
      </c>
      <c r="B8449" s="2" t="s">
        <v>12471</v>
      </c>
    </row>
    <row r="8450" spans="1:2" x14ac:dyDescent="0.2">
      <c r="A8450" s="8" t="s">
        <v>8473</v>
      </c>
      <c r="B8450" s="2" t="s">
        <v>12471</v>
      </c>
    </row>
    <row r="8451" spans="1:2" x14ac:dyDescent="0.2">
      <c r="A8451" s="8" t="s">
        <v>8474</v>
      </c>
      <c r="B8451" s="2" t="s">
        <v>12471</v>
      </c>
    </row>
    <row r="8452" spans="1:2" x14ac:dyDescent="0.2">
      <c r="A8452" s="8" t="s">
        <v>8475</v>
      </c>
      <c r="B8452" s="2" t="s">
        <v>12471</v>
      </c>
    </row>
    <row r="8453" spans="1:2" x14ac:dyDescent="0.2">
      <c r="A8453" s="8" t="s">
        <v>8476</v>
      </c>
      <c r="B8453" s="2" t="s">
        <v>12471</v>
      </c>
    </row>
    <row r="8454" spans="1:2" x14ac:dyDescent="0.2">
      <c r="A8454" s="8" t="s">
        <v>8477</v>
      </c>
      <c r="B8454" s="2" t="s">
        <v>12471</v>
      </c>
    </row>
    <row r="8455" spans="1:2" x14ac:dyDescent="0.2">
      <c r="A8455" s="8" t="s">
        <v>8478</v>
      </c>
      <c r="B8455" s="2" t="s">
        <v>12471</v>
      </c>
    </row>
    <row r="8456" spans="1:2" x14ac:dyDescent="0.2">
      <c r="A8456" s="8" t="s">
        <v>8479</v>
      </c>
      <c r="B8456" s="2" t="s">
        <v>12471</v>
      </c>
    </row>
    <row r="8457" spans="1:2" x14ac:dyDescent="0.2">
      <c r="A8457" s="8" t="s">
        <v>8480</v>
      </c>
      <c r="B8457" s="2" t="s">
        <v>12471</v>
      </c>
    </row>
    <row r="8458" spans="1:2" x14ac:dyDescent="0.2">
      <c r="A8458" s="8" t="s">
        <v>8481</v>
      </c>
      <c r="B8458" s="2" t="s">
        <v>12471</v>
      </c>
    </row>
    <row r="8459" spans="1:2" x14ac:dyDescent="0.2">
      <c r="A8459" s="8" t="s">
        <v>8482</v>
      </c>
      <c r="B8459" s="2" t="s">
        <v>12471</v>
      </c>
    </row>
    <row r="8460" spans="1:2" x14ac:dyDescent="0.2">
      <c r="A8460" s="8" t="s">
        <v>8483</v>
      </c>
      <c r="B8460" s="2" t="s">
        <v>12471</v>
      </c>
    </row>
    <row r="8461" spans="1:2" x14ac:dyDescent="0.2">
      <c r="A8461" s="8" t="s">
        <v>8484</v>
      </c>
      <c r="B8461" s="2" t="s">
        <v>12471</v>
      </c>
    </row>
    <row r="8462" spans="1:2" x14ac:dyDescent="0.2">
      <c r="A8462" s="8" t="s">
        <v>8485</v>
      </c>
      <c r="B8462" s="2" t="s">
        <v>12471</v>
      </c>
    </row>
    <row r="8463" spans="1:2" x14ac:dyDescent="0.2">
      <c r="A8463" s="8" t="s">
        <v>8486</v>
      </c>
      <c r="B8463" s="2" t="s">
        <v>12471</v>
      </c>
    </row>
    <row r="8464" spans="1:2" x14ac:dyDescent="0.2">
      <c r="A8464" s="8" t="s">
        <v>8487</v>
      </c>
      <c r="B8464" s="2" t="s">
        <v>12471</v>
      </c>
    </row>
    <row r="8465" spans="1:2" x14ac:dyDescent="0.2">
      <c r="A8465" s="8" t="s">
        <v>8488</v>
      </c>
      <c r="B8465" s="2" t="s">
        <v>12471</v>
      </c>
    </row>
    <row r="8466" spans="1:2" x14ac:dyDescent="0.2">
      <c r="A8466" s="8" t="s">
        <v>8489</v>
      </c>
      <c r="B8466" s="2" t="s">
        <v>12471</v>
      </c>
    </row>
    <row r="8467" spans="1:2" x14ac:dyDescent="0.2">
      <c r="A8467" s="8" t="s">
        <v>8490</v>
      </c>
      <c r="B8467" s="2" t="s">
        <v>12471</v>
      </c>
    </row>
    <row r="8468" spans="1:2" x14ac:dyDescent="0.2">
      <c r="A8468" s="8" t="s">
        <v>8491</v>
      </c>
      <c r="B8468" s="2" t="s">
        <v>12471</v>
      </c>
    </row>
    <row r="8469" spans="1:2" x14ac:dyDescent="0.2">
      <c r="A8469" s="8" t="s">
        <v>8492</v>
      </c>
      <c r="B8469" s="2" t="s">
        <v>12471</v>
      </c>
    </row>
    <row r="8470" spans="1:2" x14ac:dyDescent="0.2">
      <c r="A8470" s="8" t="s">
        <v>8493</v>
      </c>
      <c r="B8470" s="2" t="s">
        <v>12471</v>
      </c>
    </row>
    <row r="8471" spans="1:2" x14ac:dyDescent="0.2">
      <c r="A8471" s="8" t="s">
        <v>8494</v>
      </c>
      <c r="B8471" s="2" t="s">
        <v>12471</v>
      </c>
    </row>
    <row r="8472" spans="1:2" x14ac:dyDescent="0.2">
      <c r="A8472" s="8" t="s">
        <v>8495</v>
      </c>
      <c r="B8472" s="2" t="s">
        <v>12471</v>
      </c>
    </row>
    <row r="8473" spans="1:2" x14ac:dyDescent="0.2">
      <c r="A8473" s="8" t="s">
        <v>8496</v>
      </c>
      <c r="B8473" s="2" t="s">
        <v>12471</v>
      </c>
    </row>
    <row r="8474" spans="1:2" x14ac:dyDescent="0.2">
      <c r="A8474" s="8" t="s">
        <v>8497</v>
      </c>
      <c r="B8474" s="2" t="s">
        <v>12471</v>
      </c>
    </row>
    <row r="8475" spans="1:2" x14ac:dyDescent="0.2">
      <c r="A8475" s="8" t="s">
        <v>8498</v>
      </c>
      <c r="B8475" s="2" t="s">
        <v>12471</v>
      </c>
    </row>
    <row r="8476" spans="1:2" x14ac:dyDescent="0.2">
      <c r="A8476" s="8" t="s">
        <v>8499</v>
      </c>
      <c r="B8476" s="2" t="s">
        <v>12471</v>
      </c>
    </row>
    <row r="8477" spans="1:2" x14ac:dyDescent="0.2">
      <c r="A8477" s="8" t="s">
        <v>8500</v>
      </c>
      <c r="B8477" s="2" t="s">
        <v>12471</v>
      </c>
    </row>
    <row r="8478" spans="1:2" x14ac:dyDescent="0.2">
      <c r="A8478" s="8" t="s">
        <v>8501</v>
      </c>
      <c r="B8478" s="2" t="s">
        <v>12471</v>
      </c>
    </row>
    <row r="8479" spans="1:2" x14ac:dyDescent="0.2">
      <c r="A8479" s="8" t="s">
        <v>8502</v>
      </c>
      <c r="B8479" s="2" t="s">
        <v>12471</v>
      </c>
    </row>
    <row r="8480" spans="1:2" x14ac:dyDescent="0.2">
      <c r="A8480" s="8" t="s">
        <v>8503</v>
      </c>
      <c r="B8480" s="2" t="s">
        <v>12471</v>
      </c>
    </row>
    <row r="8481" spans="1:2" x14ac:dyDescent="0.2">
      <c r="A8481" s="8" t="s">
        <v>8504</v>
      </c>
      <c r="B8481" s="2" t="s">
        <v>12471</v>
      </c>
    </row>
    <row r="8482" spans="1:2" x14ac:dyDescent="0.2">
      <c r="A8482" s="8" t="s">
        <v>8505</v>
      </c>
      <c r="B8482" s="2" t="s">
        <v>12471</v>
      </c>
    </row>
    <row r="8483" spans="1:2" x14ac:dyDescent="0.2">
      <c r="A8483" s="8" t="s">
        <v>8506</v>
      </c>
      <c r="B8483" s="2" t="s">
        <v>12471</v>
      </c>
    </row>
    <row r="8484" spans="1:2" x14ac:dyDescent="0.2">
      <c r="A8484" s="8" t="s">
        <v>8507</v>
      </c>
      <c r="B8484" s="2" t="s">
        <v>12471</v>
      </c>
    </row>
    <row r="8485" spans="1:2" x14ac:dyDescent="0.2">
      <c r="A8485" s="8" t="s">
        <v>8508</v>
      </c>
      <c r="B8485" s="2" t="s">
        <v>12472</v>
      </c>
    </row>
    <row r="8486" spans="1:2" x14ac:dyDescent="0.2">
      <c r="A8486" s="8" t="s">
        <v>8509</v>
      </c>
      <c r="B8486" s="2" t="s">
        <v>12472</v>
      </c>
    </row>
    <row r="8487" spans="1:2" x14ac:dyDescent="0.2">
      <c r="A8487" s="8" t="s">
        <v>8510</v>
      </c>
      <c r="B8487" s="2" t="s">
        <v>12472</v>
      </c>
    </row>
    <row r="8488" spans="1:2" x14ac:dyDescent="0.2">
      <c r="A8488" s="8" t="s">
        <v>8511</v>
      </c>
      <c r="B8488" s="2" t="s">
        <v>12472</v>
      </c>
    </row>
    <row r="8489" spans="1:2" x14ac:dyDescent="0.2">
      <c r="A8489" s="8" t="s">
        <v>8512</v>
      </c>
      <c r="B8489" s="2" t="s">
        <v>12472</v>
      </c>
    </row>
    <row r="8490" spans="1:2" x14ac:dyDescent="0.2">
      <c r="A8490" s="8" t="s">
        <v>8513</v>
      </c>
      <c r="B8490" s="2" t="s">
        <v>12472</v>
      </c>
    </row>
    <row r="8491" spans="1:2" x14ac:dyDescent="0.2">
      <c r="A8491" s="8" t="s">
        <v>8514</v>
      </c>
      <c r="B8491" s="2" t="s">
        <v>12472</v>
      </c>
    </row>
    <row r="8492" spans="1:2" x14ac:dyDescent="0.2">
      <c r="A8492" s="8" t="s">
        <v>8515</v>
      </c>
      <c r="B8492" s="2" t="s">
        <v>12472</v>
      </c>
    </row>
    <row r="8493" spans="1:2" x14ac:dyDescent="0.2">
      <c r="A8493" s="8" t="s">
        <v>8516</v>
      </c>
      <c r="B8493" s="2" t="s">
        <v>12472</v>
      </c>
    </row>
    <row r="8494" spans="1:2" x14ac:dyDescent="0.2">
      <c r="A8494" s="8" t="s">
        <v>8517</v>
      </c>
      <c r="B8494" s="2" t="s">
        <v>12472</v>
      </c>
    </row>
    <row r="8495" spans="1:2" x14ac:dyDescent="0.2">
      <c r="A8495" s="8" t="s">
        <v>8518</v>
      </c>
      <c r="B8495" s="2" t="s">
        <v>12472</v>
      </c>
    </row>
    <row r="8496" spans="1:2" x14ac:dyDescent="0.2">
      <c r="A8496" s="8" t="s">
        <v>8519</v>
      </c>
      <c r="B8496" s="2" t="s">
        <v>12472</v>
      </c>
    </row>
    <row r="8497" spans="1:2" x14ac:dyDescent="0.2">
      <c r="A8497" s="8" t="s">
        <v>8520</v>
      </c>
      <c r="B8497" s="2" t="s">
        <v>12472</v>
      </c>
    </row>
    <row r="8498" spans="1:2" x14ac:dyDescent="0.2">
      <c r="A8498" s="8" t="s">
        <v>8521</v>
      </c>
      <c r="B8498" s="2" t="s">
        <v>12472</v>
      </c>
    </row>
    <row r="8499" spans="1:2" x14ac:dyDescent="0.2">
      <c r="A8499" s="8" t="s">
        <v>8522</v>
      </c>
      <c r="B8499" s="2" t="s">
        <v>12472</v>
      </c>
    </row>
    <row r="8500" spans="1:2" x14ac:dyDescent="0.2">
      <c r="A8500" s="8" t="s">
        <v>8523</v>
      </c>
      <c r="B8500" s="2" t="s">
        <v>12472</v>
      </c>
    </row>
    <row r="8501" spans="1:2" x14ac:dyDescent="0.2">
      <c r="A8501" s="8" t="s">
        <v>8524</v>
      </c>
      <c r="B8501" s="2" t="s">
        <v>12472</v>
      </c>
    </row>
    <row r="8502" spans="1:2" x14ac:dyDescent="0.2">
      <c r="A8502" s="8" t="s">
        <v>8525</v>
      </c>
      <c r="B8502" s="2" t="s">
        <v>12472</v>
      </c>
    </row>
    <row r="8503" spans="1:2" x14ac:dyDescent="0.2">
      <c r="A8503" s="8" t="s">
        <v>8526</v>
      </c>
      <c r="B8503" s="2" t="s">
        <v>12472</v>
      </c>
    </row>
    <row r="8504" spans="1:2" x14ac:dyDescent="0.2">
      <c r="A8504" s="8" t="s">
        <v>8527</v>
      </c>
      <c r="B8504" s="2" t="s">
        <v>12472</v>
      </c>
    </row>
    <row r="8505" spans="1:2" x14ac:dyDescent="0.2">
      <c r="A8505" s="8" t="s">
        <v>8528</v>
      </c>
      <c r="B8505" s="2" t="s">
        <v>12472</v>
      </c>
    </row>
    <row r="8506" spans="1:2" x14ac:dyDescent="0.2">
      <c r="A8506" s="8" t="s">
        <v>8529</v>
      </c>
      <c r="B8506" s="2" t="s">
        <v>12472</v>
      </c>
    </row>
    <row r="8507" spans="1:2" x14ac:dyDescent="0.2">
      <c r="A8507" s="8" t="s">
        <v>8530</v>
      </c>
      <c r="B8507" s="2" t="s">
        <v>12472</v>
      </c>
    </row>
    <row r="8508" spans="1:2" x14ac:dyDescent="0.2">
      <c r="A8508" s="8" t="s">
        <v>8531</v>
      </c>
      <c r="B8508" s="2" t="s">
        <v>12472</v>
      </c>
    </row>
    <row r="8509" spans="1:2" x14ac:dyDescent="0.2">
      <c r="A8509" s="8" t="s">
        <v>8532</v>
      </c>
      <c r="B8509" s="2" t="s">
        <v>12472</v>
      </c>
    </row>
    <row r="8510" spans="1:2" x14ac:dyDescent="0.2">
      <c r="A8510" s="8" t="s">
        <v>8533</v>
      </c>
      <c r="B8510" s="2" t="s">
        <v>12472</v>
      </c>
    </row>
    <row r="8511" spans="1:2" x14ac:dyDescent="0.2">
      <c r="A8511" s="8" t="s">
        <v>8534</v>
      </c>
      <c r="B8511" s="2" t="s">
        <v>12472</v>
      </c>
    </row>
    <row r="8512" spans="1:2" x14ac:dyDescent="0.2">
      <c r="A8512" s="8" t="s">
        <v>8535</v>
      </c>
      <c r="B8512" s="2" t="s">
        <v>12472</v>
      </c>
    </row>
    <row r="8513" spans="1:2" x14ac:dyDescent="0.2">
      <c r="A8513" s="8" t="s">
        <v>8536</v>
      </c>
      <c r="B8513" s="2" t="s">
        <v>12472</v>
      </c>
    </row>
    <row r="8514" spans="1:2" x14ac:dyDescent="0.2">
      <c r="A8514" s="8" t="s">
        <v>8537</v>
      </c>
      <c r="B8514" s="2" t="s">
        <v>12472</v>
      </c>
    </row>
    <row r="8515" spans="1:2" x14ac:dyDescent="0.2">
      <c r="A8515" s="8" t="s">
        <v>8538</v>
      </c>
      <c r="B8515" s="2" t="s">
        <v>12472</v>
      </c>
    </row>
    <row r="8516" spans="1:2" x14ac:dyDescent="0.2">
      <c r="A8516" s="8" t="s">
        <v>8539</v>
      </c>
      <c r="B8516" s="2" t="s">
        <v>12472</v>
      </c>
    </row>
    <row r="8517" spans="1:2" x14ac:dyDescent="0.2">
      <c r="A8517" s="8" t="s">
        <v>8540</v>
      </c>
      <c r="B8517" s="2" t="s">
        <v>12472</v>
      </c>
    </row>
    <row r="8518" spans="1:2" x14ac:dyDescent="0.2">
      <c r="A8518" s="8" t="s">
        <v>8541</v>
      </c>
      <c r="B8518" s="2" t="s">
        <v>12472</v>
      </c>
    </row>
    <row r="8519" spans="1:2" x14ac:dyDescent="0.2">
      <c r="A8519" s="8" t="s">
        <v>8542</v>
      </c>
      <c r="B8519" s="2" t="s">
        <v>12472</v>
      </c>
    </row>
    <row r="8520" spans="1:2" x14ac:dyDescent="0.2">
      <c r="A8520" s="8" t="s">
        <v>8543</v>
      </c>
      <c r="B8520" s="2" t="s">
        <v>12472</v>
      </c>
    </row>
    <row r="8521" spans="1:2" x14ac:dyDescent="0.2">
      <c r="A8521" s="8" t="s">
        <v>8544</v>
      </c>
      <c r="B8521" s="2" t="s">
        <v>12472</v>
      </c>
    </row>
    <row r="8522" spans="1:2" x14ac:dyDescent="0.2">
      <c r="A8522" s="8" t="s">
        <v>8545</v>
      </c>
      <c r="B8522" s="2" t="s">
        <v>12472</v>
      </c>
    </row>
    <row r="8523" spans="1:2" x14ac:dyDescent="0.2">
      <c r="A8523" s="8" t="s">
        <v>8546</v>
      </c>
      <c r="B8523" s="2" t="s">
        <v>12472</v>
      </c>
    </row>
    <row r="8524" spans="1:2" x14ac:dyDescent="0.2">
      <c r="A8524" s="8" t="s">
        <v>8547</v>
      </c>
      <c r="B8524" s="2" t="s">
        <v>12472</v>
      </c>
    </row>
    <row r="8525" spans="1:2" x14ac:dyDescent="0.2">
      <c r="A8525" s="8" t="s">
        <v>8548</v>
      </c>
      <c r="B8525" s="2" t="s">
        <v>12472</v>
      </c>
    </row>
    <row r="8526" spans="1:2" x14ac:dyDescent="0.2">
      <c r="A8526" s="8" t="s">
        <v>8549</v>
      </c>
      <c r="B8526" s="2" t="s">
        <v>12472</v>
      </c>
    </row>
    <row r="8527" spans="1:2" x14ac:dyDescent="0.2">
      <c r="A8527" s="8" t="s">
        <v>8550</v>
      </c>
      <c r="B8527" s="2" t="s">
        <v>12472</v>
      </c>
    </row>
    <row r="8528" spans="1:2" x14ac:dyDescent="0.2">
      <c r="A8528" s="8" t="s">
        <v>8551</v>
      </c>
      <c r="B8528" s="2" t="s">
        <v>12472</v>
      </c>
    </row>
    <row r="8529" spans="1:2" x14ac:dyDescent="0.2">
      <c r="A8529" s="8" t="s">
        <v>8552</v>
      </c>
      <c r="B8529" s="2" t="s">
        <v>12472</v>
      </c>
    </row>
    <row r="8530" spans="1:2" x14ac:dyDescent="0.2">
      <c r="A8530" s="8" t="s">
        <v>8553</v>
      </c>
      <c r="B8530" s="2" t="s">
        <v>12472</v>
      </c>
    </row>
    <row r="8531" spans="1:2" x14ac:dyDescent="0.2">
      <c r="A8531" s="8" t="s">
        <v>8554</v>
      </c>
      <c r="B8531" s="2" t="s">
        <v>12472</v>
      </c>
    </row>
    <row r="8532" spans="1:2" x14ac:dyDescent="0.2">
      <c r="A8532" s="8" t="s">
        <v>8555</v>
      </c>
      <c r="B8532" s="2" t="s">
        <v>12472</v>
      </c>
    </row>
    <row r="8533" spans="1:2" x14ac:dyDescent="0.2">
      <c r="A8533" s="8" t="s">
        <v>8556</v>
      </c>
      <c r="B8533" s="2" t="s">
        <v>12472</v>
      </c>
    </row>
    <row r="8534" spans="1:2" x14ac:dyDescent="0.2">
      <c r="A8534" s="8" t="s">
        <v>8557</v>
      </c>
      <c r="B8534" s="2" t="s">
        <v>12472</v>
      </c>
    </row>
    <row r="8535" spans="1:2" x14ac:dyDescent="0.2">
      <c r="A8535" s="8" t="s">
        <v>8558</v>
      </c>
      <c r="B8535" s="2" t="s">
        <v>12472</v>
      </c>
    </row>
    <row r="8536" spans="1:2" x14ac:dyDescent="0.2">
      <c r="A8536" s="8" t="s">
        <v>8559</v>
      </c>
      <c r="B8536" s="2" t="s">
        <v>12472</v>
      </c>
    </row>
    <row r="8537" spans="1:2" x14ac:dyDescent="0.2">
      <c r="A8537" s="8" t="s">
        <v>8560</v>
      </c>
      <c r="B8537" s="2" t="s">
        <v>12472</v>
      </c>
    </row>
    <row r="8538" spans="1:2" x14ac:dyDescent="0.2">
      <c r="A8538" s="8" t="s">
        <v>8561</v>
      </c>
      <c r="B8538" s="2" t="s">
        <v>12472</v>
      </c>
    </row>
    <row r="8539" spans="1:2" x14ac:dyDescent="0.2">
      <c r="A8539" s="8" t="s">
        <v>8562</v>
      </c>
      <c r="B8539" s="2" t="s">
        <v>12472</v>
      </c>
    </row>
    <row r="8540" spans="1:2" x14ac:dyDescent="0.2">
      <c r="A8540" s="8" t="s">
        <v>8563</v>
      </c>
      <c r="B8540" s="2" t="s">
        <v>12472</v>
      </c>
    </row>
    <row r="8541" spans="1:2" x14ac:dyDescent="0.2">
      <c r="A8541" s="8" t="s">
        <v>8564</v>
      </c>
      <c r="B8541" s="2" t="s">
        <v>12472</v>
      </c>
    </row>
    <row r="8542" spans="1:2" x14ac:dyDescent="0.2">
      <c r="A8542" s="8" t="s">
        <v>8565</v>
      </c>
      <c r="B8542" s="2" t="s">
        <v>12472</v>
      </c>
    </row>
    <row r="8543" spans="1:2" x14ac:dyDescent="0.2">
      <c r="A8543" s="8" t="s">
        <v>8566</v>
      </c>
      <c r="B8543" s="2" t="s">
        <v>12472</v>
      </c>
    </row>
    <row r="8544" spans="1:2" x14ac:dyDescent="0.2">
      <c r="A8544" s="8" t="s">
        <v>8567</v>
      </c>
      <c r="B8544" s="2" t="s">
        <v>12472</v>
      </c>
    </row>
    <row r="8545" spans="1:2" x14ac:dyDescent="0.2">
      <c r="A8545" s="8" t="s">
        <v>8568</v>
      </c>
      <c r="B8545" s="2" t="s">
        <v>12472</v>
      </c>
    </row>
    <row r="8546" spans="1:2" x14ac:dyDescent="0.2">
      <c r="A8546" s="8" t="s">
        <v>8569</v>
      </c>
      <c r="B8546" s="2" t="s">
        <v>12472</v>
      </c>
    </row>
    <row r="8547" spans="1:2" x14ac:dyDescent="0.2">
      <c r="A8547" s="8" t="s">
        <v>8570</v>
      </c>
      <c r="B8547" s="2" t="s">
        <v>12472</v>
      </c>
    </row>
    <row r="8548" spans="1:2" x14ac:dyDescent="0.2">
      <c r="A8548" s="8" t="s">
        <v>8571</v>
      </c>
      <c r="B8548" s="2" t="s">
        <v>12472</v>
      </c>
    </row>
    <row r="8549" spans="1:2" x14ac:dyDescent="0.2">
      <c r="A8549" s="8" t="s">
        <v>8572</v>
      </c>
      <c r="B8549" s="2" t="s">
        <v>12472</v>
      </c>
    </row>
    <row r="8550" spans="1:2" x14ac:dyDescent="0.2">
      <c r="A8550" s="8" t="s">
        <v>8573</v>
      </c>
      <c r="B8550" s="2" t="s">
        <v>12472</v>
      </c>
    </row>
    <row r="8551" spans="1:2" x14ac:dyDescent="0.2">
      <c r="A8551" s="8" t="s">
        <v>8574</v>
      </c>
      <c r="B8551" s="2" t="s">
        <v>12472</v>
      </c>
    </row>
    <row r="8552" spans="1:2" x14ac:dyDescent="0.2">
      <c r="A8552" s="8" t="s">
        <v>8575</v>
      </c>
      <c r="B8552" s="2" t="s">
        <v>12472</v>
      </c>
    </row>
    <row r="8553" spans="1:2" x14ac:dyDescent="0.2">
      <c r="A8553" s="8" t="s">
        <v>8576</v>
      </c>
      <c r="B8553" s="2" t="s">
        <v>12472</v>
      </c>
    </row>
    <row r="8554" spans="1:2" x14ac:dyDescent="0.2">
      <c r="A8554" s="8" t="s">
        <v>8577</v>
      </c>
      <c r="B8554" s="2" t="s">
        <v>12472</v>
      </c>
    </row>
    <row r="8555" spans="1:2" x14ac:dyDescent="0.2">
      <c r="A8555" s="8" t="s">
        <v>8578</v>
      </c>
      <c r="B8555" s="2" t="s">
        <v>12472</v>
      </c>
    </row>
    <row r="8556" spans="1:2" x14ac:dyDescent="0.2">
      <c r="A8556" s="8" t="s">
        <v>8579</v>
      </c>
      <c r="B8556" s="2" t="s">
        <v>12472</v>
      </c>
    </row>
    <row r="8557" spans="1:2" x14ac:dyDescent="0.2">
      <c r="A8557" s="8" t="s">
        <v>8580</v>
      </c>
      <c r="B8557" s="2" t="s">
        <v>12472</v>
      </c>
    </row>
    <row r="8558" spans="1:2" x14ac:dyDescent="0.2">
      <c r="A8558" s="8" t="s">
        <v>8581</v>
      </c>
      <c r="B8558" s="2" t="s">
        <v>12472</v>
      </c>
    </row>
    <row r="8559" spans="1:2" x14ac:dyDescent="0.2">
      <c r="A8559" s="8" t="s">
        <v>8582</v>
      </c>
      <c r="B8559" s="2" t="s">
        <v>12472</v>
      </c>
    </row>
    <row r="8560" spans="1:2" x14ac:dyDescent="0.2">
      <c r="A8560" s="8" t="s">
        <v>8583</v>
      </c>
      <c r="B8560" s="2" t="s">
        <v>12472</v>
      </c>
    </row>
    <row r="8561" spans="1:2" x14ac:dyDescent="0.2">
      <c r="A8561" s="8" t="s">
        <v>8584</v>
      </c>
      <c r="B8561" s="2" t="s">
        <v>12472</v>
      </c>
    </row>
    <row r="8562" spans="1:2" x14ac:dyDescent="0.2">
      <c r="A8562" s="8" t="s">
        <v>8585</v>
      </c>
      <c r="B8562" s="2" t="s">
        <v>12472</v>
      </c>
    </row>
    <row r="8563" spans="1:2" x14ac:dyDescent="0.2">
      <c r="A8563" s="8" t="s">
        <v>8586</v>
      </c>
      <c r="B8563" s="2" t="s">
        <v>12472</v>
      </c>
    </row>
    <row r="8564" spans="1:2" x14ac:dyDescent="0.2">
      <c r="A8564" s="8" t="s">
        <v>8587</v>
      </c>
      <c r="B8564" s="2" t="s">
        <v>12472</v>
      </c>
    </row>
    <row r="8565" spans="1:2" x14ac:dyDescent="0.2">
      <c r="A8565" s="8" t="s">
        <v>8588</v>
      </c>
      <c r="B8565" s="2" t="s">
        <v>12472</v>
      </c>
    </row>
    <row r="8566" spans="1:2" x14ac:dyDescent="0.2">
      <c r="A8566" s="8" t="s">
        <v>8589</v>
      </c>
      <c r="B8566" s="2" t="s">
        <v>12472</v>
      </c>
    </row>
    <row r="8567" spans="1:2" x14ac:dyDescent="0.2">
      <c r="A8567" s="8" t="s">
        <v>8590</v>
      </c>
      <c r="B8567" s="2" t="s">
        <v>12472</v>
      </c>
    </row>
    <row r="8568" spans="1:2" x14ac:dyDescent="0.2">
      <c r="A8568" s="8" t="s">
        <v>8591</v>
      </c>
      <c r="B8568" s="2" t="s">
        <v>12472</v>
      </c>
    </row>
    <row r="8569" spans="1:2" x14ac:dyDescent="0.2">
      <c r="A8569" s="8" t="s">
        <v>8592</v>
      </c>
      <c r="B8569" s="2" t="s">
        <v>12472</v>
      </c>
    </row>
    <row r="8570" spans="1:2" x14ac:dyDescent="0.2">
      <c r="A8570" s="8" t="s">
        <v>8593</v>
      </c>
      <c r="B8570" s="2" t="s">
        <v>12472</v>
      </c>
    </row>
    <row r="8571" spans="1:2" x14ac:dyDescent="0.2">
      <c r="A8571" s="8" t="s">
        <v>8594</v>
      </c>
      <c r="B8571" s="2" t="s">
        <v>12472</v>
      </c>
    </row>
    <row r="8572" spans="1:2" x14ac:dyDescent="0.2">
      <c r="A8572" s="8" t="s">
        <v>8595</v>
      </c>
      <c r="B8572" s="2" t="s">
        <v>12472</v>
      </c>
    </row>
    <row r="8573" spans="1:2" x14ac:dyDescent="0.2">
      <c r="A8573" s="8" t="s">
        <v>8596</v>
      </c>
      <c r="B8573" s="2" t="s">
        <v>12472</v>
      </c>
    </row>
    <row r="8574" spans="1:2" x14ac:dyDescent="0.2">
      <c r="A8574" s="8" t="s">
        <v>8597</v>
      </c>
      <c r="B8574" s="2" t="s">
        <v>12472</v>
      </c>
    </row>
    <row r="8575" spans="1:2" x14ac:dyDescent="0.2">
      <c r="A8575" s="8" t="s">
        <v>8598</v>
      </c>
      <c r="B8575" s="2" t="s">
        <v>12472</v>
      </c>
    </row>
    <row r="8576" spans="1:2" x14ac:dyDescent="0.2">
      <c r="A8576" s="8" t="s">
        <v>8599</v>
      </c>
      <c r="B8576" s="2" t="s">
        <v>12472</v>
      </c>
    </row>
    <row r="8577" spans="1:2" x14ac:dyDescent="0.2">
      <c r="A8577" s="8" t="s">
        <v>8600</v>
      </c>
      <c r="B8577" s="2" t="s">
        <v>12472</v>
      </c>
    </row>
    <row r="8578" spans="1:2" x14ac:dyDescent="0.2">
      <c r="A8578" s="8" t="s">
        <v>8601</v>
      </c>
      <c r="B8578" s="2" t="s">
        <v>12472</v>
      </c>
    </row>
    <row r="8579" spans="1:2" x14ac:dyDescent="0.2">
      <c r="A8579" s="8" t="s">
        <v>8602</v>
      </c>
      <c r="B8579" s="2" t="s">
        <v>12472</v>
      </c>
    </row>
    <row r="8580" spans="1:2" x14ac:dyDescent="0.2">
      <c r="A8580" s="8" t="s">
        <v>8603</v>
      </c>
      <c r="B8580" s="2" t="s">
        <v>12472</v>
      </c>
    </row>
    <row r="8581" spans="1:2" x14ac:dyDescent="0.2">
      <c r="A8581" s="8" t="s">
        <v>8604</v>
      </c>
      <c r="B8581" s="2" t="s">
        <v>12472</v>
      </c>
    </row>
    <row r="8582" spans="1:2" x14ac:dyDescent="0.2">
      <c r="A8582" s="8" t="s">
        <v>8605</v>
      </c>
      <c r="B8582" s="2" t="s">
        <v>12472</v>
      </c>
    </row>
    <row r="8583" spans="1:2" x14ac:dyDescent="0.2">
      <c r="A8583" s="8" t="s">
        <v>8606</v>
      </c>
      <c r="B8583" s="2" t="s">
        <v>12472</v>
      </c>
    </row>
    <row r="8584" spans="1:2" x14ac:dyDescent="0.2">
      <c r="A8584" s="8" t="s">
        <v>8607</v>
      </c>
      <c r="B8584" s="2" t="s">
        <v>12472</v>
      </c>
    </row>
    <row r="8585" spans="1:2" x14ac:dyDescent="0.2">
      <c r="A8585" s="8" t="s">
        <v>8608</v>
      </c>
      <c r="B8585" s="2" t="s">
        <v>12472</v>
      </c>
    </row>
    <row r="8586" spans="1:2" x14ac:dyDescent="0.2">
      <c r="A8586" s="8" t="s">
        <v>8609</v>
      </c>
      <c r="B8586" s="2" t="s">
        <v>12472</v>
      </c>
    </row>
    <row r="8587" spans="1:2" x14ac:dyDescent="0.2">
      <c r="A8587" s="8" t="s">
        <v>8610</v>
      </c>
      <c r="B8587" s="2" t="s">
        <v>12472</v>
      </c>
    </row>
    <row r="8588" spans="1:2" x14ac:dyDescent="0.2">
      <c r="A8588" s="8" t="s">
        <v>8611</v>
      </c>
      <c r="B8588" s="2" t="s">
        <v>12472</v>
      </c>
    </row>
    <row r="8589" spans="1:2" x14ac:dyDescent="0.2">
      <c r="A8589" s="8" t="s">
        <v>8612</v>
      </c>
      <c r="B8589" s="2" t="s">
        <v>12472</v>
      </c>
    </row>
    <row r="8590" spans="1:2" x14ac:dyDescent="0.2">
      <c r="A8590" s="8" t="s">
        <v>8613</v>
      </c>
      <c r="B8590" s="2" t="s">
        <v>12472</v>
      </c>
    </row>
    <row r="8591" spans="1:2" x14ac:dyDescent="0.2">
      <c r="A8591" s="8" t="s">
        <v>8614</v>
      </c>
      <c r="B8591" s="2" t="s">
        <v>12472</v>
      </c>
    </row>
    <row r="8592" spans="1:2" x14ac:dyDescent="0.2">
      <c r="A8592" s="8" t="s">
        <v>8615</v>
      </c>
      <c r="B8592" s="2" t="s">
        <v>12472</v>
      </c>
    </row>
    <row r="8593" spans="1:2" x14ac:dyDescent="0.2">
      <c r="A8593" s="8" t="s">
        <v>8616</v>
      </c>
      <c r="B8593" s="2" t="s">
        <v>12472</v>
      </c>
    </row>
    <row r="8594" spans="1:2" x14ac:dyDescent="0.2">
      <c r="A8594" s="8" t="s">
        <v>8617</v>
      </c>
      <c r="B8594" s="2" t="s">
        <v>12472</v>
      </c>
    </row>
    <row r="8595" spans="1:2" x14ac:dyDescent="0.2">
      <c r="A8595" s="8" t="s">
        <v>8618</v>
      </c>
      <c r="B8595" s="2" t="s">
        <v>12472</v>
      </c>
    </row>
    <row r="8596" spans="1:2" x14ac:dyDescent="0.2">
      <c r="A8596" s="8" t="s">
        <v>8619</v>
      </c>
      <c r="B8596" s="2" t="s">
        <v>12472</v>
      </c>
    </row>
    <row r="8597" spans="1:2" x14ac:dyDescent="0.2">
      <c r="A8597" s="8" t="s">
        <v>8620</v>
      </c>
      <c r="B8597" s="2" t="s">
        <v>12472</v>
      </c>
    </row>
    <row r="8598" spans="1:2" x14ac:dyDescent="0.2">
      <c r="A8598" s="8" t="s">
        <v>8621</v>
      </c>
      <c r="B8598" s="2" t="s">
        <v>12472</v>
      </c>
    </row>
    <row r="8599" spans="1:2" x14ac:dyDescent="0.2">
      <c r="A8599" s="8" t="s">
        <v>8622</v>
      </c>
      <c r="B8599" s="2" t="s">
        <v>12472</v>
      </c>
    </row>
    <row r="8600" spans="1:2" x14ac:dyDescent="0.2">
      <c r="A8600" s="8" t="s">
        <v>8623</v>
      </c>
      <c r="B8600" s="2" t="s">
        <v>12472</v>
      </c>
    </row>
    <row r="8601" spans="1:2" x14ac:dyDescent="0.2">
      <c r="A8601" s="8" t="s">
        <v>8624</v>
      </c>
      <c r="B8601" s="2" t="s">
        <v>12472</v>
      </c>
    </row>
    <row r="8602" spans="1:2" x14ac:dyDescent="0.2">
      <c r="A8602" s="8" t="s">
        <v>8625</v>
      </c>
      <c r="B8602" s="2" t="s">
        <v>12472</v>
      </c>
    </row>
    <row r="8603" spans="1:2" x14ac:dyDescent="0.2">
      <c r="A8603" s="8" t="s">
        <v>8626</v>
      </c>
      <c r="B8603" s="2" t="s">
        <v>12472</v>
      </c>
    </row>
    <row r="8604" spans="1:2" x14ac:dyDescent="0.2">
      <c r="A8604" s="8" t="s">
        <v>8627</v>
      </c>
      <c r="B8604" s="2" t="s">
        <v>12472</v>
      </c>
    </row>
    <row r="8605" spans="1:2" x14ac:dyDescent="0.2">
      <c r="A8605" s="8" t="s">
        <v>8628</v>
      </c>
      <c r="B8605" s="2" t="s">
        <v>12472</v>
      </c>
    </row>
    <row r="8606" spans="1:2" x14ac:dyDescent="0.2">
      <c r="A8606" s="8" t="s">
        <v>8629</v>
      </c>
      <c r="B8606" s="2" t="s">
        <v>12472</v>
      </c>
    </row>
    <row r="8607" spans="1:2" x14ac:dyDescent="0.2">
      <c r="A8607" s="8" t="s">
        <v>8630</v>
      </c>
      <c r="B8607" s="2" t="s">
        <v>12472</v>
      </c>
    </row>
    <row r="8608" spans="1:2" x14ac:dyDescent="0.2">
      <c r="A8608" s="8" t="s">
        <v>8631</v>
      </c>
      <c r="B8608" s="2" t="s">
        <v>12472</v>
      </c>
    </row>
    <row r="8609" spans="1:2" x14ac:dyDescent="0.2">
      <c r="A8609" s="8" t="s">
        <v>8632</v>
      </c>
      <c r="B8609" s="2" t="s">
        <v>12472</v>
      </c>
    </row>
    <row r="8610" spans="1:2" x14ac:dyDescent="0.2">
      <c r="A8610" s="8" t="s">
        <v>8633</v>
      </c>
      <c r="B8610" s="2" t="s">
        <v>12472</v>
      </c>
    </row>
    <row r="8611" spans="1:2" x14ac:dyDescent="0.2">
      <c r="A8611" s="8" t="s">
        <v>8634</v>
      </c>
      <c r="B8611" s="2" t="s">
        <v>12472</v>
      </c>
    </row>
    <row r="8612" spans="1:2" x14ac:dyDescent="0.2">
      <c r="A8612" s="8" t="s">
        <v>8635</v>
      </c>
      <c r="B8612" s="2" t="s">
        <v>12472</v>
      </c>
    </row>
    <row r="8613" spans="1:2" x14ac:dyDescent="0.2">
      <c r="A8613" s="8" t="s">
        <v>8636</v>
      </c>
      <c r="B8613" s="2" t="s">
        <v>12472</v>
      </c>
    </row>
    <row r="8614" spans="1:2" x14ac:dyDescent="0.2">
      <c r="A8614" s="8" t="s">
        <v>8637</v>
      </c>
      <c r="B8614" s="2" t="s">
        <v>12472</v>
      </c>
    </row>
    <row r="8615" spans="1:2" x14ac:dyDescent="0.2">
      <c r="A8615" s="8" t="s">
        <v>8638</v>
      </c>
      <c r="B8615" s="2" t="s">
        <v>12472</v>
      </c>
    </row>
    <row r="8616" spans="1:2" x14ac:dyDescent="0.2">
      <c r="A8616" s="8" t="s">
        <v>8639</v>
      </c>
      <c r="B8616" s="2" t="s">
        <v>12472</v>
      </c>
    </row>
    <row r="8617" spans="1:2" x14ac:dyDescent="0.2">
      <c r="A8617" s="8" t="s">
        <v>8640</v>
      </c>
      <c r="B8617" s="2" t="s">
        <v>12472</v>
      </c>
    </row>
    <row r="8618" spans="1:2" x14ac:dyDescent="0.2">
      <c r="A8618" s="8" t="s">
        <v>8641</v>
      </c>
      <c r="B8618" s="2" t="s">
        <v>12472</v>
      </c>
    </row>
    <row r="8619" spans="1:2" x14ac:dyDescent="0.2">
      <c r="A8619" s="8" t="s">
        <v>8642</v>
      </c>
      <c r="B8619" s="2" t="s">
        <v>12472</v>
      </c>
    </row>
    <row r="8620" spans="1:2" x14ac:dyDescent="0.2">
      <c r="A8620" s="8" t="s">
        <v>8643</v>
      </c>
      <c r="B8620" s="2" t="s">
        <v>12472</v>
      </c>
    </row>
    <row r="8621" spans="1:2" x14ac:dyDescent="0.2">
      <c r="A8621" s="8" t="s">
        <v>8644</v>
      </c>
      <c r="B8621" s="2" t="s">
        <v>12472</v>
      </c>
    </row>
    <row r="8622" spans="1:2" x14ac:dyDescent="0.2">
      <c r="A8622" s="8" t="s">
        <v>8645</v>
      </c>
      <c r="B8622" s="2" t="s">
        <v>12472</v>
      </c>
    </row>
    <row r="8623" spans="1:2" x14ac:dyDescent="0.2">
      <c r="A8623" s="8" t="s">
        <v>8646</v>
      </c>
      <c r="B8623" s="2" t="s">
        <v>12472</v>
      </c>
    </row>
    <row r="8624" spans="1:2" x14ac:dyDescent="0.2">
      <c r="A8624" s="8" t="s">
        <v>8647</v>
      </c>
      <c r="B8624" s="2" t="s">
        <v>12472</v>
      </c>
    </row>
    <row r="8625" spans="1:2" x14ac:dyDescent="0.2">
      <c r="A8625" s="8" t="s">
        <v>8648</v>
      </c>
      <c r="B8625" s="2" t="s">
        <v>12472</v>
      </c>
    </row>
    <row r="8626" spans="1:2" x14ac:dyDescent="0.2">
      <c r="A8626" s="8" t="s">
        <v>8649</v>
      </c>
      <c r="B8626" s="2" t="s">
        <v>12472</v>
      </c>
    </row>
    <row r="8627" spans="1:2" x14ac:dyDescent="0.2">
      <c r="A8627" s="8" t="s">
        <v>8650</v>
      </c>
      <c r="B8627" s="2" t="s">
        <v>12472</v>
      </c>
    </row>
    <row r="8628" spans="1:2" x14ac:dyDescent="0.2">
      <c r="A8628" s="8" t="s">
        <v>8651</v>
      </c>
      <c r="B8628" s="2" t="s">
        <v>12472</v>
      </c>
    </row>
    <row r="8629" spans="1:2" x14ac:dyDescent="0.2">
      <c r="A8629" s="8" t="s">
        <v>8652</v>
      </c>
      <c r="B8629" s="2" t="s">
        <v>12472</v>
      </c>
    </row>
    <row r="8630" spans="1:2" x14ac:dyDescent="0.2">
      <c r="A8630" s="8" t="s">
        <v>8653</v>
      </c>
      <c r="B8630" s="2" t="s">
        <v>12472</v>
      </c>
    </row>
    <row r="8631" spans="1:2" x14ac:dyDescent="0.2">
      <c r="A8631" s="8" t="s">
        <v>8654</v>
      </c>
      <c r="B8631" s="2" t="s">
        <v>12472</v>
      </c>
    </row>
    <row r="8632" spans="1:2" x14ac:dyDescent="0.2">
      <c r="A8632" s="8" t="s">
        <v>8655</v>
      </c>
      <c r="B8632" s="2" t="s">
        <v>12472</v>
      </c>
    </row>
    <row r="8633" spans="1:2" x14ac:dyDescent="0.2">
      <c r="A8633" s="8" t="s">
        <v>8656</v>
      </c>
      <c r="B8633" s="2" t="s">
        <v>12472</v>
      </c>
    </row>
    <row r="8634" spans="1:2" x14ac:dyDescent="0.2">
      <c r="A8634" s="8" t="s">
        <v>8657</v>
      </c>
      <c r="B8634" s="2" t="s">
        <v>12472</v>
      </c>
    </row>
    <row r="8635" spans="1:2" x14ac:dyDescent="0.2">
      <c r="A8635" s="8" t="s">
        <v>8658</v>
      </c>
      <c r="B8635" s="2" t="s">
        <v>12472</v>
      </c>
    </row>
    <row r="8636" spans="1:2" x14ac:dyDescent="0.2">
      <c r="A8636" s="8" t="s">
        <v>8659</v>
      </c>
      <c r="B8636" s="2" t="s">
        <v>12472</v>
      </c>
    </row>
    <row r="8637" spans="1:2" x14ac:dyDescent="0.2">
      <c r="A8637" s="8" t="s">
        <v>8660</v>
      </c>
      <c r="B8637" s="2" t="s">
        <v>12472</v>
      </c>
    </row>
    <row r="8638" spans="1:2" x14ac:dyDescent="0.2">
      <c r="A8638" s="8" t="s">
        <v>8661</v>
      </c>
      <c r="B8638" s="2" t="s">
        <v>12472</v>
      </c>
    </row>
    <row r="8639" spans="1:2" x14ac:dyDescent="0.2">
      <c r="A8639" s="8" t="s">
        <v>8662</v>
      </c>
      <c r="B8639" s="2" t="s">
        <v>12472</v>
      </c>
    </row>
    <row r="8640" spans="1:2" x14ac:dyDescent="0.2">
      <c r="A8640" s="8" t="s">
        <v>8663</v>
      </c>
      <c r="B8640" s="2" t="s">
        <v>12472</v>
      </c>
    </row>
    <row r="8641" spans="1:2" x14ac:dyDescent="0.2">
      <c r="A8641" s="8" t="s">
        <v>8664</v>
      </c>
      <c r="B8641" s="2" t="s">
        <v>12472</v>
      </c>
    </row>
    <row r="8642" spans="1:2" x14ac:dyDescent="0.2">
      <c r="A8642" s="8" t="s">
        <v>8665</v>
      </c>
      <c r="B8642" s="2" t="s">
        <v>12472</v>
      </c>
    </row>
    <row r="8643" spans="1:2" x14ac:dyDescent="0.2">
      <c r="A8643" s="8" t="s">
        <v>8666</v>
      </c>
      <c r="B8643" s="2" t="s">
        <v>12472</v>
      </c>
    </row>
    <row r="8644" spans="1:2" x14ac:dyDescent="0.2">
      <c r="A8644" s="8" t="s">
        <v>8667</v>
      </c>
      <c r="B8644" s="2" t="s">
        <v>12472</v>
      </c>
    </row>
    <row r="8645" spans="1:2" x14ac:dyDescent="0.2">
      <c r="A8645" s="8" t="s">
        <v>8668</v>
      </c>
      <c r="B8645" s="2" t="s">
        <v>12472</v>
      </c>
    </row>
    <row r="8646" spans="1:2" x14ac:dyDescent="0.2">
      <c r="A8646" s="8" t="s">
        <v>8669</v>
      </c>
      <c r="B8646" s="2" t="s">
        <v>12472</v>
      </c>
    </row>
    <row r="8647" spans="1:2" x14ac:dyDescent="0.2">
      <c r="A8647" s="8" t="s">
        <v>8670</v>
      </c>
      <c r="B8647" s="2" t="s">
        <v>12472</v>
      </c>
    </row>
    <row r="8648" spans="1:2" x14ac:dyDescent="0.2">
      <c r="A8648" s="8" t="s">
        <v>8671</v>
      </c>
      <c r="B8648" s="2" t="s">
        <v>12472</v>
      </c>
    </row>
    <row r="8649" spans="1:2" x14ac:dyDescent="0.2">
      <c r="A8649" s="8" t="s">
        <v>8672</v>
      </c>
      <c r="B8649" s="2" t="s">
        <v>12472</v>
      </c>
    </row>
    <row r="8650" spans="1:2" x14ac:dyDescent="0.2">
      <c r="A8650" s="8" t="s">
        <v>8673</v>
      </c>
      <c r="B8650" s="2" t="s">
        <v>12472</v>
      </c>
    </row>
    <row r="8651" spans="1:2" x14ac:dyDescent="0.2">
      <c r="A8651" s="8" t="s">
        <v>8674</v>
      </c>
      <c r="B8651" s="2" t="s">
        <v>12472</v>
      </c>
    </row>
    <row r="8652" spans="1:2" x14ac:dyDescent="0.2">
      <c r="A8652" s="8" t="s">
        <v>8675</v>
      </c>
      <c r="B8652" s="2" t="s">
        <v>12472</v>
      </c>
    </row>
    <row r="8653" spans="1:2" x14ac:dyDescent="0.2">
      <c r="A8653" s="8" t="s">
        <v>8676</v>
      </c>
      <c r="B8653" s="2" t="s">
        <v>12472</v>
      </c>
    </row>
    <row r="8654" spans="1:2" x14ac:dyDescent="0.2">
      <c r="A8654" s="8" t="s">
        <v>8677</v>
      </c>
      <c r="B8654" s="2" t="s">
        <v>12472</v>
      </c>
    </row>
    <row r="8655" spans="1:2" x14ac:dyDescent="0.2">
      <c r="A8655" s="8" t="s">
        <v>8678</v>
      </c>
      <c r="B8655" s="2" t="s">
        <v>12472</v>
      </c>
    </row>
    <row r="8656" spans="1:2" x14ac:dyDescent="0.2">
      <c r="A8656" s="8" t="s">
        <v>8679</v>
      </c>
      <c r="B8656" s="2" t="s">
        <v>12472</v>
      </c>
    </row>
    <row r="8657" spans="1:2" x14ac:dyDescent="0.2">
      <c r="A8657" s="8" t="s">
        <v>8680</v>
      </c>
      <c r="B8657" s="2" t="s">
        <v>12472</v>
      </c>
    </row>
    <row r="8658" spans="1:2" x14ac:dyDescent="0.2">
      <c r="A8658" s="8" t="s">
        <v>8681</v>
      </c>
      <c r="B8658" s="2" t="s">
        <v>12472</v>
      </c>
    </row>
    <row r="8659" spans="1:2" x14ac:dyDescent="0.2">
      <c r="A8659" s="8" t="s">
        <v>8682</v>
      </c>
      <c r="B8659" s="2" t="s">
        <v>12472</v>
      </c>
    </row>
    <row r="8660" spans="1:2" x14ac:dyDescent="0.2">
      <c r="A8660" s="8" t="s">
        <v>8683</v>
      </c>
      <c r="B8660" s="2" t="s">
        <v>12472</v>
      </c>
    </row>
    <row r="8661" spans="1:2" x14ac:dyDescent="0.2">
      <c r="A8661" s="8" t="s">
        <v>8684</v>
      </c>
      <c r="B8661" s="2" t="s">
        <v>12472</v>
      </c>
    </row>
    <row r="8662" spans="1:2" x14ac:dyDescent="0.2">
      <c r="A8662" s="8" t="s">
        <v>8685</v>
      </c>
      <c r="B8662" s="2" t="s">
        <v>12472</v>
      </c>
    </row>
    <row r="8663" spans="1:2" x14ac:dyDescent="0.2">
      <c r="A8663" s="8" t="s">
        <v>8686</v>
      </c>
      <c r="B8663" s="2" t="s">
        <v>12472</v>
      </c>
    </row>
    <row r="8664" spans="1:2" x14ac:dyDescent="0.2">
      <c r="A8664" s="8" t="s">
        <v>8687</v>
      </c>
      <c r="B8664" s="2" t="s">
        <v>12472</v>
      </c>
    </row>
    <row r="8665" spans="1:2" x14ac:dyDescent="0.2">
      <c r="A8665" s="8" t="s">
        <v>8688</v>
      </c>
      <c r="B8665" s="2" t="s">
        <v>12472</v>
      </c>
    </row>
    <row r="8666" spans="1:2" x14ac:dyDescent="0.2">
      <c r="A8666" s="8" t="s">
        <v>8689</v>
      </c>
      <c r="B8666" s="2" t="s">
        <v>12472</v>
      </c>
    </row>
    <row r="8667" spans="1:2" x14ac:dyDescent="0.2">
      <c r="A8667" s="8" t="s">
        <v>8690</v>
      </c>
      <c r="B8667" s="2" t="s">
        <v>12472</v>
      </c>
    </row>
    <row r="8668" spans="1:2" x14ac:dyDescent="0.2">
      <c r="A8668" s="8" t="s">
        <v>8691</v>
      </c>
      <c r="B8668" s="2" t="s">
        <v>12472</v>
      </c>
    </row>
    <row r="8669" spans="1:2" x14ac:dyDescent="0.2">
      <c r="A8669" s="8" t="s">
        <v>8692</v>
      </c>
      <c r="B8669" s="2" t="s">
        <v>12472</v>
      </c>
    </row>
    <row r="8670" spans="1:2" x14ac:dyDescent="0.2">
      <c r="A8670" s="8" t="s">
        <v>8693</v>
      </c>
      <c r="B8670" s="2" t="s">
        <v>12472</v>
      </c>
    </row>
    <row r="8671" spans="1:2" x14ac:dyDescent="0.2">
      <c r="A8671" s="8" t="s">
        <v>8694</v>
      </c>
      <c r="B8671" s="2" t="s">
        <v>12472</v>
      </c>
    </row>
    <row r="8672" spans="1:2" x14ac:dyDescent="0.2">
      <c r="A8672" s="8" t="s">
        <v>8695</v>
      </c>
      <c r="B8672" s="2" t="s">
        <v>12472</v>
      </c>
    </row>
    <row r="8673" spans="1:2" x14ac:dyDescent="0.2">
      <c r="A8673" s="8" t="s">
        <v>8696</v>
      </c>
      <c r="B8673" s="2" t="s">
        <v>12472</v>
      </c>
    </row>
    <row r="8674" spans="1:2" x14ac:dyDescent="0.2">
      <c r="A8674" s="8" t="s">
        <v>8697</v>
      </c>
      <c r="B8674" s="2" t="s">
        <v>12472</v>
      </c>
    </row>
    <row r="8675" spans="1:2" x14ac:dyDescent="0.2">
      <c r="A8675" s="8" t="s">
        <v>8698</v>
      </c>
      <c r="B8675" s="2" t="s">
        <v>12472</v>
      </c>
    </row>
    <row r="8676" spans="1:2" x14ac:dyDescent="0.2">
      <c r="A8676" s="8" t="s">
        <v>8699</v>
      </c>
      <c r="B8676" s="2" t="s">
        <v>12472</v>
      </c>
    </row>
    <row r="8677" spans="1:2" x14ac:dyDescent="0.2">
      <c r="A8677" s="8" t="s">
        <v>8700</v>
      </c>
      <c r="B8677" s="2" t="s">
        <v>12472</v>
      </c>
    </row>
    <row r="8678" spans="1:2" x14ac:dyDescent="0.2">
      <c r="A8678" s="8" t="s">
        <v>8701</v>
      </c>
      <c r="B8678" s="2" t="s">
        <v>12472</v>
      </c>
    </row>
    <row r="8679" spans="1:2" x14ac:dyDescent="0.2">
      <c r="A8679" s="8" t="s">
        <v>8702</v>
      </c>
      <c r="B8679" s="2" t="s">
        <v>12472</v>
      </c>
    </row>
    <row r="8680" spans="1:2" x14ac:dyDescent="0.2">
      <c r="A8680" s="8" t="s">
        <v>8703</v>
      </c>
      <c r="B8680" s="2" t="s">
        <v>12472</v>
      </c>
    </row>
    <row r="8681" spans="1:2" x14ac:dyDescent="0.2">
      <c r="A8681" s="8" t="s">
        <v>8704</v>
      </c>
      <c r="B8681" s="2" t="s">
        <v>12472</v>
      </c>
    </row>
    <row r="8682" spans="1:2" x14ac:dyDescent="0.2">
      <c r="A8682" s="8" t="s">
        <v>8705</v>
      </c>
      <c r="B8682" s="2" t="s">
        <v>12472</v>
      </c>
    </row>
    <row r="8683" spans="1:2" x14ac:dyDescent="0.2">
      <c r="A8683" s="8" t="s">
        <v>8706</v>
      </c>
      <c r="B8683" s="2" t="s">
        <v>12472</v>
      </c>
    </row>
    <row r="8684" spans="1:2" x14ac:dyDescent="0.2">
      <c r="A8684" s="8" t="s">
        <v>8707</v>
      </c>
      <c r="B8684" s="2" t="s">
        <v>12472</v>
      </c>
    </row>
    <row r="8685" spans="1:2" x14ac:dyDescent="0.2">
      <c r="A8685" s="8" t="s">
        <v>8708</v>
      </c>
      <c r="B8685" s="2" t="s">
        <v>12472</v>
      </c>
    </row>
    <row r="8686" spans="1:2" x14ac:dyDescent="0.2">
      <c r="A8686" s="8" t="s">
        <v>8709</v>
      </c>
      <c r="B8686" s="2" t="s">
        <v>12472</v>
      </c>
    </row>
    <row r="8687" spans="1:2" x14ac:dyDescent="0.2">
      <c r="A8687" s="8" t="s">
        <v>8710</v>
      </c>
      <c r="B8687" s="2" t="s">
        <v>12472</v>
      </c>
    </row>
    <row r="8688" spans="1:2" x14ac:dyDescent="0.2">
      <c r="A8688" s="8" t="s">
        <v>8711</v>
      </c>
      <c r="B8688" s="2" t="s">
        <v>12472</v>
      </c>
    </row>
    <row r="8689" spans="1:2" x14ac:dyDescent="0.2">
      <c r="A8689" s="8" t="s">
        <v>8712</v>
      </c>
      <c r="B8689" s="2" t="s">
        <v>12472</v>
      </c>
    </row>
    <row r="8690" spans="1:2" x14ac:dyDescent="0.2">
      <c r="A8690" s="8" t="s">
        <v>8713</v>
      </c>
      <c r="B8690" s="2" t="s">
        <v>12472</v>
      </c>
    </row>
    <row r="8691" spans="1:2" x14ac:dyDescent="0.2">
      <c r="A8691" s="8" t="s">
        <v>8714</v>
      </c>
      <c r="B8691" s="2" t="s">
        <v>12472</v>
      </c>
    </row>
    <row r="8692" spans="1:2" x14ac:dyDescent="0.2">
      <c r="A8692" s="8" t="s">
        <v>8715</v>
      </c>
      <c r="B8692" s="2" t="s">
        <v>12472</v>
      </c>
    </row>
    <row r="8693" spans="1:2" x14ac:dyDescent="0.2">
      <c r="A8693" s="8" t="s">
        <v>8716</v>
      </c>
      <c r="B8693" s="2" t="s">
        <v>12472</v>
      </c>
    </row>
    <row r="8694" spans="1:2" x14ac:dyDescent="0.2">
      <c r="A8694" s="8" t="s">
        <v>8717</v>
      </c>
      <c r="B8694" s="2" t="s">
        <v>12472</v>
      </c>
    </row>
    <row r="8695" spans="1:2" x14ac:dyDescent="0.2">
      <c r="A8695" s="8" t="s">
        <v>8718</v>
      </c>
      <c r="B8695" s="2" t="s">
        <v>12472</v>
      </c>
    </row>
    <row r="8696" spans="1:2" x14ac:dyDescent="0.2">
      <c r="A8696" s="8" t="s">
        <v>8719</v>
      </c>
      <c r="B8696" s="2" t="s">
        <v>12472</v>
      </c>
    </row>
    <row r="8697" spans="1:2" x14ac:dyDescent="0.2">
      <c r="A8697" s="8" t="s">
        <v>8720</v>
      </c>
      <c r="B8697" s="2" t="s">
        <v>12472</v>
      </c>
    </row>
    <row r="8698" spans="1:2" x14ac:dyDescent="0.2">
      <c r="A8698" s="8" t="s">
        <v>8721</v>
      </c>
      <c r="B8698" s="2" t="s">
        <v>12472</v>
      </c>
    </row>
    <row r="8699" spans="1:2" x14ac:dyDescent="0.2">
      <c r="A8699" s="8" t="s">
        <v>8722</v>
      </c>
      <c r="B8699" s="2" t="s">
        <v>12472</v>
      </c>
    </row>
    <row r="8700" spans="1:2" x14ac:dyDescent="0.2">
      <c r="A8700" s="8" t="s">
        <v>8723</v>
      </c>
      <c r="B8700" s="2" t="s">
        <v>12472</v>
      </c>
    </row>
    <row r="8701" spans="1:2" x14ac:dyDescent="0.2">
      <c r="A8701" s="8" t="s">
        <v>8724</v>
      </c>
      <c r="B8701" s="2" t="s">
        <v>12472</v>
      </c>
    </row>
    <row r="8702" spans="1:2" x14ac:dyDescent="0.2">
      <c r="A8702" s="8" t="s">
        <v>8725</v>
      </c>
      <c r="B8702" s="2" t="s">
        <v>12472</v>
      </c>
    </row>
    <row r="8703" spans="1:2" x14ac:dyDescent="0.2">
      <c r="A8703" s="8" t="s">
        <v>8726</v>
      </c>
      <c r="B8703" s="2" t="s">
        <v>12472</v>
      </c>
    </row>
    <row r="8704" spans="1:2" x14ac:dyDescent="0.2">
      <c r="A8704" s="8" t="s">
        <v>8727</v>
      </c>
      <c r="B8704" s="2" t="s">
        <v>12472</v>
      </c>
    </row>
    <row r="8705" spans="1:2" x14ac:dyDescent="0.2">
      <c r="A8705" s="8" t="s">
        <v>8728</v>
      </c>
      <c r="B8705" s="2" t="s">
        <v>12472</v>
      </c>
    </row>
    <row r="8706" spans="1:2" x14ac:dyDescent="0.2">
      <c r="A8706" s="8" t="s">
        <v>8729</v>
      </c>
      <c r="B8706" s="2" t="s">
        <v>12472</v>
      </c>
    </row>
    <row r="8707" spans="1:2" x14ac:dyDescent="0.2">
      <c r="A8707" s="8" t="s">
        <v>8730</v>
      </c>
      <c r="B8707" s="2" t="s">
        <v>12472</v>
      </c>
    </row>
    <row r="8708" spans="1:2" x14ac:dyDescent="0.2">
      <c r="A8708" s="8" t="s">
        <v>8731</v>
      </c>
      <c r="B8708" s="2" t="s">
        <v>12472</v>
      </c>
    </row>
    <row r="8709" spans="1:2" x14ac:dyDescent="0.2">
      <c r="A8709" s="8" t="s">
        <v>8732</v>
      </c>
      <c r="B8709" s="2" t="s">
        <v>12472</v>
      </c>
    </row>
    <row r="8710" spans="1:2" x14ac:dyDescent="0.2">
      <c r="A8710" s="8" t="s">
        <v>8733</v>
      </c>
      <c r="B8710" s="2" t="s">
        <v>12472</v>
      </c>
    </row>
    <row r="8711" spans="1:2" x14ac:dyDescent="0.2">
      <c r="A8711" s="8" t="s">
        <v>8734</v>
      </c>
      <c r="B8711" s="2" t="s">
        <v>12472</v>
      </c>
    </row>
    <row r="8712" spans="1:2" x14ac:dyDescent="0.2">
      <c r="A8712" s="8" t="s">
        <v>8735</v>
      </c>
      <c r="B8712" s="2" t="s">
        <v>12472</v>
      </c>
    </row>
    <row r="8713" spans="1:2" x14ac:dyDescent="0.2">
      <c r="A8713" s="8" t="s">
        <v>8736</v>
      </c>
      <c r="B8713" s="2" t="s">
        <v>12472</v>
      </c>
    </row>
    <row r="8714" spans="1:2" x14ac:dyDescent="0.2">
      <c r="A8714" s="8" t="s">
        <v>8737</v>
      </c>
      <c r="B8714" s="2" t="s">
        <v>12472</v>
      </c>
    </row>
    <row r="8715" spans="1:2" x14ac:dyDescent="0.2">
      <c r="A8715" s="8" t="s">
        <v>8738</v>
      </c>
      <c r="B8715" s="2" t="s">
        <v>12472</v>
      </c>
    </row>
    <row r="8716" spans="1:2" x14ac:dyDescent="0.2">
      <c r="A8716" s="8" t="s">
        <v>8739</v>
      </c>
      <c r="B8716" s="2" t="s">
        <v>12472</v>
      </c>
    </row>
    <row r="8717" spans="1:2" x14ac:dyDescent="0.2">
      <c r="A8717" s="8" t="s">
        <v>8740</v>
      </c>
      <c r="B8717" s="2" t="s">
        <v>12472</v>
      </c>
    </row>
    <row r="8718" spans="1:2" x14ac:dyDescent="0.2">
      <c r="A8718" s="8" t="s">
        <v>8741</v>
      </c>
      <c r="B8718" s="2" t="s">
        <v>12472</v>
      </c>
    </row>
    <row r="8719" spans="1:2" x14ac:dyDescent="0.2">
      <c r="A8719" s="8" t="s">
        <v>8742</v>
      </c>
      <c r="B8719" s="2" t="s">
        <v>12472</v>
      </c>
    </row>
    <row r="8720" spans="1:2" x14ac:dyDescent="0.2">
      <c r="A8720" s="8" t="s">
        <v>8743</v>
      </c>
      <c r="B8720" s="2" t="s">
        <v>12472</v>
      </c>
    </row>
    <row r="8721" spans="1:2" x14ac:dyDescent="0.2">
      <c r="A8721" s="8" t="s">
        <v>8744</v>
      </c>
      <c r="B8721" s="2" t="s">
        <v>12472</v>
      </c>
    </row>
    <row r="8722" spans="1:2" x14ac:dyDescent="0.2">
      <c r="A8722" s="8" t="s">
        <v>8745</v>
      </c>
      <c r="B8722" s="2" t="s">
        <v>12472</v>
      </c>
    </row>
    <row r="8723" spans="1:2" x14ac:dyDescent="0.2">
      <c r="A8723" s="8" t="s">
        <v>8746</v>
      </c>
      <c r="B8723" s="2" t="s">
        <v>12472</v>
      </c>
    </row>
    <row r="8724" spans="1:2" x14ac:dyDescent="0.2">
      <c r="A8724" s="8" t="s">
        <v>8747</v>
      </c>
      <c r="B8724" s="2" t="s">
        <v>12472</v>
      </c>
    </row>
    <row r="8725" spans="1:2" x14ac:dyDescent="0.2">
      <c r="A8725" s="8" t="s">
        <v>8748</v>
      </c>
      <c r="B8725" s="2" t="s">
        <v>12472</v>
      </c>
    </row>
    <row r="8726" spans="1:2" x14ac:dyDescent="0.2">
      <c r="A8726" s="8" t="s">
        <v>8749</v>
      </c>
      <c r="B8726" s="2" t="s">
        <v>12472</v>
      </c>
    </row>
    <row r="8727" spans="1:2" x14ac:dyDescent="0.2">
      <c r="A8727" s="8" t="s">
        <v>8750</v>
      </c>
      <c r="B8727" s="2" t="s">
        <v>12472</v>
      </c>
    </row>
    <row r="8728" spans="1:2" x14ac:dyDescent="0.2">
      <c r="A8728" s="8" t="s">
        <v>8751</v>
      </c>
      <c r="B8728" s="2" t="s">
        <v>12472</v>
      </c>
    </row>
    <row r="8729" spans="1:2" x14ac:dyDescent="0.2">
      <c r="A8729" s="8" t="s">
        <v>8752</v>
      </c>
      <c r="B8729" s="2" t="s">
        <v>12472</v>
      </c>
    </row>
    <row r="8730" spans="1:2" x14ac:dyDescent="0.2">
      <c r="A8730" s="8" t="s">
        <v>8753</v>
      </c>
      <c r="B8730" s="2" t="s">
        <v>12472</v>
      </c>
    </row>
    <row r="8731" spans="1:2" x14ac:dyDescent="0.2">
      <c r="A8731" s="8" t="s">
        <v>8754</v>
      </c>
      <c r="B8731" s="2" t="s">
        <v>12472</v>
      </c>
    </row>
    <row r="8732" spans="1:2" x14ac:dyDescent="0.2">
      <c r="A8732" s="8" t="s">
        <v>8755</v>
      </c>
      <c r="B8732" s="2" t="s">
        <v>12472</v>
      </c>
    </row>
    <row r="8733" spans="1:2" x14ac:dyDescent="0.2">
      <c r="A8733" s="8" t="s">
        <v>8756</v>
      </c>
      <c r="B8733" s="2" t="s">
        <v>12472</v>
      </c>
    </row>
    <row r="8734" spans="1:2" x14ac:dyDescent="0.2">
      <c r="A8734" s="8" t="s">
        <v>8757</v>
      </c>
      <c r="B8734" s="2" t="s">
        <v>12472</v>
      </c>
    </row>
    <row r="8735" spans="1:2" x14ac:dyDescent="0.2">
      <c r="A8735" s="8" t="s">
        <v>8758</v>
      </c>
      <c r="B8735" s="2" t="s">
        <v>12472</v>
      </c>
    </row>
    <row r="8736" spans="1:2" x14ac:dyDescent="0.2">
      <c r="A8736" s="8" t="s">
        <v>8759</v>
      </c>
      <c r="B8736" s="2" t="s">
        <v>12472</v>
      </c>
    </row>
    <row r="8737" spans="1:2" x14ac:dyDescent="0.2">
      <c r="A8737" s="8" t="s">
        <v>8760</v>
      </c>
      <c r="B8737" s="2" t="s">
        <v>12472</v>
      </c>
    </row>
    <row r="8738" spans="1:2" x14ac:dyDescent="0.2">
      <c r="A8738" s="8" t="s">
        <v>8761</v>
      </c>
      <c r="B8738" s="2" t="s">
        <v>12472</v>
      </c>
    </row>
    <row r="8739" spans="1:2" x14ac:dyDescent="0.2">
      <c r="A8739" s="8" t="s">
        <v>8762</v>
      </c>
      <c r="B8739" s="2" t="s">
        <v>12472</v>
      </c>
    </row>
    <row r="8740" spans="1:2" x14ac:dyDescent="0.2">
      <c r="A8740" s="8" t="s">
        <v>8763</v>
      </c>
      <c r="B8740" s="2" t="s">
        <v>12472</v>
      </c>
    </row>
    <row r="8741" spans="1:2" x14ac:dyDescent="0.2">
      <c r="A8741" s="8" t="s">
        <v>8764</v>
      </c>
      <c r="B8741" s="2" t="s">
        <v>12472</v>
      </c>
    </row>
    <row r="8742" spans="1:2" x14ac:dyDescent="0.2">
      <c r="A8742" s="8" t="s">
        <v>8765</v>
      </c>
      <c r="B8742" s="2" t="s">
        <v>12472</v>
      </c>
    </row>
    <row r="8743" spans="1:2" x14ac:dyDescent="0.2">
      <c r="A8743" s="8" t="s">
        <v>8766</v>
      </c>
      <c r="B8743" s="2" t="s">
        <v>12472</v>
      </c>
    </row>
    <row r="8744" spans="1:2" x14ac:dyDescent="0.2">
      <c r="A8744" s="8" t="s">
        <v>8767</v>
      </c>
      <c r="B8744" s="2" t="s">
        <v>12472</v>
      </c>
    </row>
    <row r="8745" spans="1:2" x14ac:dyDescent="0.2">
      <c r="A8745" s="8" t="s">
        <v>8768</v>
      </c>
      <c r="B8745" s="2" t="s">
        <v>12472</v>
      </c>
    </row>
    <row r="8746" spans="1:2" x14ac:dyDescent="0.2">
      <c r="A8746" s="8" t="s">
        <v>8769</v>
      </c>
      <c r="B8746" s="2" t="s">
        <v>12472</v>
      </c>
    </row>
    <row r="8747" spans="1:2" x14ac:dyDescent="0.2">
      <c r="A8747" s="8" t="s">
        <v>8770</v>
      </c>
      <c r="B8747" s="2" t="s">
        <v>12472</v>
      </c>
    </row>
    <row r="8748" spans="1:2" x14ac:dyDescent="0.2">
      <c r="A8748" s="8" t="s">
        <v>8771</v>
      </c>
      <c r="B8748" s="2" t="s">
        <v>12472</v>
      </c>
    </row>
    <row r="8749" spans="1:2" x14ac:dyDescent="0.2">
      <c r="A8749" s="8" t="s">
        <v>8772</v>
      </c>
      <c r="B8749" s="2" t="s">
        <v>12472</v>
      </c>
    </row>
    <row r="8750" spans="1:2" x14ac:dyDescent="0.2">
      <c r="A8750" s="8" t="s">
        <v>8773</v>
      </c>
      <c r="B8750" s="2" t="s">
        <v>12472</v>
      </c>
    </row>
    <row r="8751" spans="1:2" x14ac:dyDescent="0.2">
      <c r="A8751" s="8" t="s">
        <v>8774</v>
      </c>
      <c r="B8751" s="2" t="s">
        <v>12472</v>
      </c>
    </row>
    <row r="8752" spans="1:2" x14ac:dyDescent="0.2">
      <c r="A8752" s="8" t="s">
        <v>8775</v>
      </c>
      <c r="B8752" s="2" t="s">
        <v>12472</v>
      </c>
    </row>
    <row r="8753" spans="1:2" x14ac:dyDescent="0.2">
      <c r="A8753" s="8" t="s">
        <v>8776</v>
      </c>
      <c r="B8753" s="2" t="s">
        <v>12472</v>
      </c>
    </row>
    <row r="8754" spans="1:2" x14ac:dyDescent="0.2">
      <c r="A8754" s="8" t="s">
        <v>8777</v>
      </c>
      <c r="B8754" s="2" t="s">
        <v>12472</v>
      </c>
    </row>
    <row r="8755" spans="1:2" x14ac:dyDescent="0.2">
      <c r="A8755" s="8" t="s">
        <v>8778</v>
      </c>
      <c r="B8755" s="2" t="s">
        <v>12472</v>
      </c>
    </row>
    <row r="8756" spans="1:2" x14ac:dyDescent="0.2">
      <c r="A8756" s="8" t="s">
        <v>8779</v>
      </c>
      <c r="B8756" s="2" t="s">
        <v>12472</v>
      </c>
    </row>
    <row r="8757" spans="1:2" x14ac:dyDescent="0.2">
      <c r="A8757" s="8" t="s">
        <v>8780</v>
      </c>
      <c r="B8757" s="2" t="s">
        <v>12472</v>
      </c>
    </row>
    <row r="8758" spans="1:2" x14ac:dyDescent="0.2">
      <c r="A8758" s="8" t="s">
        <v>8781</v>
      </c>
      <c r="B8758" s="2" t="s">
        <v>12472</v>
      </c>
    </row>
    <row r="8759" spans="1:2" x14ac:dyDescent="0.2">
      <c r="A8759" s="8" t="s">
        <v>8782</v>
      </c>
      <c r="B8759" s="2" t="s">
        <v>12472</v>
      </c>
    </row>
    <row r="8760" spans="1:2" x14ac:dyDescent="0.2">
      <c r="A8760" s="8" t="s">
        <v>8783</v>
      </c>
      <c r="B8760" s="2" t="s">
        <v>12472</v>
      </c>
    </row>
    <row r="8761" spans="1:2" x14ac:dyDescent="0.2">
      <c r="A8761" s="8" t="s">
        <v>8784</v>
      </c>
      <c r="B8761" s="2" t="s">
        <v>12472</v>
      </c>
    </row>
    <row r="8762" spans="1:2" x14ac:dyDescent="0.2">
      <c r="A8762" s="8" t="s">
        <v>8785</v>
      </c>
      <c r="B8762" s="2" t="s">
        <v>12472</v>
      </c>
    </row>
    <row r="8763" spans="1:2" x14ac:dyDescent="0.2">
      <c r="A8763" s="8" t="s">
        <v>8786</v>
      </c>
      <c r="B8763" s="2" t="s">
        <v>12472</v>
      </c>
    </row>
    <row r="8764" spans="1:2" x14ac:dyDescent="0.2">
      <c r="A8764" s="8" t="s">
        <v>8787</v>
      </c>
      <c r="B8764" s="2" t="s">
        <v>12472</v>
      </c>
    </row>
    <row r="8765" spans="1:2" x14ac:dyDescent="0.2">
      <c r="A8765" s="8" t="s">
        <v>8788</v>
      </c>
      <c r="B8765" s="2" t="s">
        <v>12472</v>
      </c>
    </row>
    <row r="8766" spans="1:2" x14ac:dyDescent="0.2">
      <c r="A8766" s="8" t="s">
        <v>8789</v>
      </c>
      <c r="B8766" s="2" t="s">
        <v>12472</v>
      </c>
    </row>
    <row r="8767" spans="1:2" x14ac:dyDescent="0.2">
      <c r="A8767" s="8" t="s">
        <v>8790</v>
      </c>
      <c r="B8767" s="2" t="s">
        <v>12472</v>
      </c>
    </row>
    <row r="8768" spans="1:2" x14ac:dyDescent="0.2">
      <c r="A8768" s="8" t="s">
        <v>8791</v>
      </c>
      <c r="B8768" s="2" t="s">
        <v>12472</v>
      </c>
    </row>
    <row r="8769" spans="1:2" x14ac:dyDescent="0.2">
      <c r="A8769" s="8" t="s">
        <v>8792</v>
      </c>
      <c r="B8769" s="2" t="s">
        <v>12472</v>
      </c>
    </row>
    <row r="8770" spans="1:2" x14ac:dyDescent="0.2">
      <c r="A8770" s="8" t="s">
        <v>8793</v>
      </c>
      <c r="B8770" s="2" t="s">
        <v>12472</v>
      </c>
    </row>
    <row r="8771" spans="1:2" x14ac:dyDescent="0.2">
      <c r="A8771" s="8" t="s">
        <v>8794</v>
      </c>
      <c r="B8771" s="2" t="s">
        <v>12472</v>
      </c>
    </row>
    <row r="8772" spans="1:2" x14ac:dyDescent="0.2">
      <c r="A8772" s="8" t="s">
        <v>8795</v>
      </c>
      <c r="B8772" s="2" t="s">
        <v>12472</v>
      </c>
    </row>
    <row r="8773" spans="1:2" x14ac:dyDescent="0.2">
      <c r="A8773" s="8" t="s">
        <v>8796</v>
      </c>
      <c r="B8773" s="2" t="s">
        <v>12472</v>
      </c>
    </row>
    <row r="8774" spans="1:2" x14ac:dyDescent="0.2">
      <c r="A8774" s="8" t="s">
        <v>8797</v>
      </c>
      <c r="B8774" s="2" t="s">
        <v>12472</v>
      </c>
    </row>
    <row r="8775" spans="1:2" x14ac:dyDescent="0.2">
      <c r="A8775" s="8" t="s">
        <v>8798</v>
      </c>
      <c r="B8775" s="2" t="s">
        <v>12472</v>
      </c>
    </row>
    <row r="8776" spans="1:2" x14ac:dyDescent="0.2">
      <c r="A8776" s="8" t="s">
        <v>8799</v>
      </c>
      <c r="B8776" s="2" t="s">
        <v>12472</v>
      </c>
    </row>
    <row r="8777" spans="1:2" x14ac:dyDescent="0.2">
      <c r="A8777" s="8" t="s">
        <v>8800</v>
      </c>
      <c r="B8777" s="2" t="s">
        <v>12472</v>
      </c>
    </row>
    <row r="8778" spans="1:2" x14ac:dyDescent="0.2">
      <c r="A8778" s="8" t="s">
        <v>8801</v>
      </c>
      <c r="B8778" s="2" t="s">
        <v>12472</v>
      </c>
    </row>
    <row r="8779" spans="1:2" x14ac:dyDescent="0.2">
      <c r="A8779" s="8" t="s">
        <v>8802</v>
      </c>
      <c r="B8779" s="2" t="s">
        <v>12472</v>
      </c>
    </row>
    <row r="8780" spans="1:2" x14ac:dyDescent="0.2">
      <c r="A8780" s="8" t="s">
        <v>8803</v>
      </c>
      <c r="B8780" s="2" t="s">
        <v>12472</v>
      </c>
    </row>
    <row r="8781" spans="1:2" x14ac:dyDescent="0.2">
      <c r="A8781" s="8" t="s">
        <v>8804</v>
      </c>
      <c r="B8781" s="2" t="s">
        <v>12472</v>
      </c>
    </row>
    <row r="8782" spans="1:2" x14ac:dyDescent="0.2">
      <c r="A8782" s="8" t="s">
        <v>8805</v>
      </c>
      <c r="B8782" s="2" t="s">
        <v>12472</v>
      </c>
    </row>
    <row r="8783" spans="1:2" x14ac:dyDescent="0.2">
      <c r="A8783" s="8" t="s">
        <v>8806</v>
      </c>
      <c r="B8783" s="2" t="s">
        <v>12472</v>
      </c>
    </row>
    <row r="8784" spans="1:2" x14ac:dyDescent="0.2">
      <c r="A8784" s="8" t="s">
        <v>8807</v>
      </c>
      <c r="B8784" s="2" t="s">
        <v>12472</v>
      </c>
    </row>
    <row r="8785" spans="1:2" x14ac:dyDescent="0.2">
      <c r="A8785" s="8" t="s">
        <v>8808</v>
      </c>
      <c r="B8785" s="2" t="s">
        <v>12472</v>
      </c>
    </row>
    <row r="8786" spans="1:2" x14ac:dyDescent="0.2">
      <c r="A8786" s="8" t="s">
        <v>8809</v>
      </c>
      <c r="B8786" s="2" t="s">
        <v>12472</v>
      </c>
    </row>
    <row r="8787" spans="1:2" x14ac:dyDescent="0.2">
      <c r="A8787" s="8" t="s">
        <v>8810</v>
      </c>
      <c r="B8787" s="2" t="s">
        <v>12472</v>
      </c>
    </row>
    <row r="8788" spans="1:2" x14ac:dyDescent="0.2">
      <c r="A8788" s="8" t="s">
        <v>8811</v>
      </c>
      <c r="B8788" s="2" t="s">
        <v>12472</v>
      </c>
    </row>
    <row r="8789" spans="1:2" x14ac:dyDescent="0.2">
      <c r="A8789" s="8" t="s">
        <v>8812</v>
      </c>
      <c r="B8789" s="2" t="s">
        <v>12472</v>
      </c>
    </row>
    <row r="8790" spans="1:2" x14ac:dyDescent="0.2">
      <c r="A8790" s="8" t="s">
        <v>8813</v>
      </c>
      <c r="B8790" s="2" t="s">
        <v>12472</v>
      </c>
    </row>
    <row r="8791" spans="1:2" x14ac:dyDescent="0.2">
      <c r="A8791" s="8" t="s">
        <v>8814</v>
      </c>
      <c r="B8791" s="2" t="s">
        <v>12472</v>
      </c>
    </row>
    <row r="8792" spans="1:2" x14ac:dyDescent="0.2">
      <c r="A8792" s="8" t="s">
        <v>8815</v>
      </c>
      <c r="B8792" s="2" t="s">
        <v>12472</v>
      </c>
    </row>
    <row r="8793" spans="1:2" x14ac:dyDescent="0.2">
      <c r="A8793" s="8" t="s">
        <v>8816</v>
      </c>
      <c r="B8793" s="2" t="s">
        <v>12472</v>
      </c>
    </row>
    <row r="8794" spans="1:2" x14ac:dyDescent="0.2">
      <c r="A8794" s="8" t="s">
        <v>8817</v>
      </c>
      <c r="B8794" s="2" t="s">
        <v>12472</v>
      </c>
    </row>
    <row r="8795" spans="1:2" x14ac:dyDescent="0.2">
      <c r="A8795" s="8" t="s">
        <v>8818</v>
      </c>
      <c r="B8795" s="2" t="s">
        <v>12472</v>
      </c>
    </row>
    <row r="8796" spans="1:2" x14ac:dyDescent="0.2">
      <c r="A8796" s="8" t="s">
        <v>8819</v>
      </c>
      <c r="B8796" s="2" t="s">
        <v>12472</v>
      </c>
    </row>
    <row r="8797" spans="1:2" x14ac:dyDescent="0.2">
      <c r="A8797" s="8" t="s">
        <v>8820</v>
      </c>
      <c r="B8797" s="2" t="s">
        <v>12472</v>
      </c>
    </row>
    <row r="8798" spans="1:2" x14ac:dyDescent="0.2">
      <c r="A8798" s="8" t="s">
        <v>8821</v>
      </c>
      <c r="B8798" s="2" t="s">
        <v>12472</v>
      </c>
    </row>
    <row r="8799" spans="1:2" x14ac:dyDescent="0.2">
      <c r="A8799" s="8" t="s">
        <v>8822</v>
      </c>
      <c r="B8799" s="2" t="s">
        <v>12472</v>
      </c>
    </row>
    <row r="8800" spans="1:2" x14ac:dyDescent="0.2">
      <c r="A8800" s="8" t="s">
        <v>8823</v>
      </c>
      <c r="B8800" s="2" t="s">
        <v>12472</v>
      </c>
    </row>
    <row r="8801" spans="1:2" x14ac:dyDescent="0.2">
      <c r="A8801" s="8" t="s">
        <v>8824</v>
      </c>
      <c r="B8801" s="2" t="s">
        <v>12472</v>
      </c>
    </row>
    <row r="8802" spans="1:2" x14ac:dyDescent="0.2">
      <c r="A8802" s="8" t="s">
        <v>8825</v>
      </c>
      <c r="B8802" s="2" t="s">
        <v>12472</v>
      </c>
    </row>
    <row r="8803" spans="1:2" x14ac:dyDescent="0.2">
      <c r="A8803" s="8" t="s">
        <v>8826</v>
      </c>
      <c r="B8803" s="2" t="s">
        <v>12472</v>
      </c>
    </row>
    <row r="8804" spans="1:2" x14ac:dyDescent="0.2">
      <c r="A8804" s="8" t="s">
        <v>8827</v>
      </c>
      <c r="B8804" s="2" t="s">
        <v>12472</v>
      </c>
    </row>
    <row r="8805" spans="1:2" x14ac:dyDescent="0.2">
      <c r="A8805" s="8" t="s">
        <v>8828</v>
      </c>
      <c r="B8805" s="2" t="s">
        <v>12472</v>
      </c>
    </row>
    <row r="8806" spans="1:2" x14ac:dyDescent="0.2">
      <c r="A8806" s="8" t="s">
        <v>8829</v>
      </c>
      <c r="B8806" s="2" t="s">
        <v>12472</v>
      </c>
    </row>
    <row r="8807" spans="1:2" x14ac:dyDescent="0.2">
      <c r="A8807" s="8" t="s">
        <v>8830</v>
      </c>
      <c r="B8807" s="2" t="s">
        <v>12472</v>
      </c>
    </row>
    <row r="8808" spans="1:2" x14ac:dyDescent="0.2">
      <c r="A8808" s="8" t="s">
        <v>8831</v>
      </c>
      <c r="B8808" s="2" t="s">
        <v>12472</v>
      </c>
    </row>
    <row r="8809" spans="1:2" x14ac:dyDescent="0.2">
      <c r="A8809" s="8" t="s">
        <v>8832</v>
      </c>
      <c r="B8809" s="2" t="s">
        <v>12472</v>
      </c>
    </row>
    <row r="8810" spans="1:2" x14ac:dyDescent="0.2">
      <c r="A8810" s="8" t="s">
        <v>8833</v>
      </c>
      <c r="B8810" s="2" t="s">
        <v>12472</v>
      </c>
    </row>
    <row r="8811" spans="1:2" x14ac:dyDescent="0.2">
      <c r="A8811" s="8" t="s">
        <v>8834</v>
      </c>
      <c r="B8811" s="2" t="s">
        <v>12472</v>
      </c>
    </row>
    <row r="8812" spans="1:2" x14ac:dyDescent="0.2">
      <c r="A8812" s="8" t="s">
        <v>8835</v>
      </c>
      <c r="B8812" s="2" t="s">
        <v>12472</v>
      </c>
    </row>
    <row r="8813" spans="1:2" x14ac:dyDescent="0.2">
      <c r="A8813" s="8" t="s">
        <v>8836</v>
      </c>
      <c r="B8813" s="2" t="s">
        <v>12472</v>
      </c>
    </row>
    <row r="8814" spans="1:2" x14ac:dyDescent="0.2">
      <c r="A8814" s="8" t="s">
        <v>8837</v>
      </c>
      <c r="B8814" s="2" t="s">
        <v>12472</v>
      </c>
    </row>
    <row r="8815" spans="1:2" x14ac:dyDescent="0.2">
      <c r="A8815" s="8" t="s">
        <v>8838</v>
      </c>
      <c r="B8815" s="2" t="s">
        <v>12472</v>
      </c>
    </row>
    <row r="8816" spans="1:2" x14ac:dyDescent="0.2">
      <c r="A8816" s="8" t="s">
        <v>8839</v>
      </c>
      <c r="B8816" s="2" t="s">
        <v>12472</v>
      </c>
    </row>
    <row r="8817" spans="1:2" x14ac:dyDescent="0.2">
      <c r="A8817" s="8" t="s">
        <v>8840</v>
      </c>
      <c r="B8817" s="2" t="s">
        <v>12472</v>
      </c>
    </row>
    <row r="8818" spans="1:2" x14ac:dyDescent="0.2">
      <c r="A8818" s="8" t="s">
        <v>8841</v>
      </c>
      <c r="B8818" s="2" t="s">
        <v>12472</v>
      </c>
    </row>
    <row r="8819" spans="1:2" x14ac:dyDescent="0.2">
      <c r="A8819" s="8" t="s">
        <v>8842</v>
      </c>
      <c r="B8819" s="2" t="s">
        <v>12472</v>
      </c>
    </row>
    <row r="8820" spans="1:2" x14ac:dyDescent="0.2">
      <c r="A8820" s="8" t="s">
        <v>8843</v>
      </c>
      <c r="B8820" s="2" t="s">
        <v>12472</v>
      </c>
    </row>
    <row r="8821" spans="1:2" x14ac:dyDescent="0.2">
      <c r="A8821" s="8" t="s">
        <v>8844</v>
      </c>
      <c r="B8821" s="2" t="s">
        <v>12472</v>
      </c>
    </row>
    <row r="8822" spans="1:2" x14ac:dyDescent="0.2">
      <c r="A8822" s="8" t="s">
        <v>8845</v>
      </c>
      <c r="B8822" s="2" t="s">
        <v>12472</v>
      </c>
    </row>
    <row r="8823" spans="1:2" x14ac:dyDescent="0.2">
      <c r="A8823" s="8" t="s">
        <v>8846</v>
      </c>
      <c r="B8823" s="2" t="s">
        <v>12472</v>
      </c>
    </row>
    <row r="8824" spans="1:2" x14ac:dyDescent="0.2">
      <c r="A8824" s="8" t="s">
        <v>8847</v>
      </c>
      <c r="B8824" s="2" t="s">
        <v>12472</v>
      </c>
    </row>
    <row r="8825" spans="1:2" x14ac:dyDescent="0.2">
      <c r="A8825" s="8" t="s">
        <v>8848</v>
      </c>
      <c r="B8825" s="2" t="s">
        <v>12472</v>
      </c>
    </row>
    <row r="8826" spans="1:2" x14ac:dyDescent="0.2">
      <c r="A8826" s="8" t="s">
        <v>8849</v>
      </c>
      <c r="B8826" s="2" t="s">
        <v>12472</v>
      </c>
    </row>
    <row r="8827" spans="1:2" x14ac:dyDescent="0.2">
      <c r="A8827" s="8" t="s">
        <v>8850</v>
      </c>
      <c r="B8827" s="2" t="s">
        <v>12472</v>
      </c>
    </row>
    <row r="8828" spans="1:2" x14ac:dyDescent="0.2">
      <c r="A8828" s="8" t="s">
        <v>8851</v>
      </c>
      <c r="B8828" s="2" t="s">
        <v>12472</v>
      </c>
    </row>
    <row r="8829" spans="1:2" x14ac:dyDescent="0.2">
      <c r="A8829" s="8" t="s">
        <v>8852</v>
      </c>
      <c r="B8829" s="2" t="s">
        <v>12472</v>
      </c>
    </row>
    <row r="8830" spans="1:2" x14ac:dyDescent="0.2">
      <c r="A8830" s="8" t="s">
        <v>8853</v>
      </c>
      <c r="B8830" s="2" t="s">
        <v>12472</v>
      </c>
    </row>
    <row r="8831" spans="1:2" x14ac:dyDescent="0.2">
      <c r="A8831" s="8" t="s">
        <v>8854</v>
      </c>
      <c r="B8831" s="2" t="s">
        <v>12472</v>
      </c>
    </row>
    <row r="8832" spans="1:2" x14ac:dyDescent="0.2">
      <c r="A8832" s="8" t="s">
        <v>8855</v>
      </c>
      <c r="B8832" s="2" t="s">
        <v>12472</v>
      </c>
    </row>
    <row r="8833" spans="1:2" x14ac:dyDescent="0.2">
      <c r="A8833" s="8" t="s">
        <v>8856</v>
      </c>
      <c r="B8833" s="2" t="s">
        <v>12472</v>
      </c>
    </row>
    <row r="8834" spans="1:2" x14ac:dyDescent="0.2">
      <c r="A8834" s="8" t="s">
        <v>8857</v>
      </c>
      <c r="B8834" s="2" t="s">
        <v>12472</v>
      </c>
    </row>
    <row r="8835" spans="1:2" x14ac:dyDescent="0.2">
      <c r="A8835" s="8" t="s">
        <v>8858</v>
      </c>
      <c r="B8835" s="2" t="s">
        <v>12472</v>
      </c>
    </row>
    <row r="8836" spans="1:2" x14ac:dyDescent="0.2">
      <c r="A8836" s="8" t="s">
        <v>8859</v>
      </c>
      <c r="B8836" s="2" t="s">
        <v>12472</v>
      </c>
    </row>
    <row r="8837" spans="1:2" x14ac:dyDescent="0.2">
      <c r="A8837" s="8" t="s">
        <v>8860</v>
      </c>
      <c r="B8837" s="2" t="s">
        <v>12472</v>
      </c>
    </row>
    <row r="8838" spans="1:2" x14ac:dyDescent="0.2">
      <c r="A8838" s="8" t="s">
        <v>8861</v>
      </c>
      <c r="B8838" s="2" t="s">
        <v>12472</v>
      </c>
    </row>
    <row r="8839" spans="1:2" x14ac:dyDescent="0.2">
      <c r="A8839" s="8" t="s">
        <v>8862</v>
      </c>
      <c r="B8839" s="2" t="s">
        <v>12472</v>
      </c>
    </row>
    <row r="8840" spans="1:2" x14ac:dyDescent="0.2">
      <c r="A8840" s="8" t="s">
        <v>8863</v>
      </c>
      <c r="B8840" s="2" t="s">
        <v>12472</v>
      </c>
    </row>
    <row r="8841" spans="1:2" x14ac:dyDescent="0.2">
      <c r="A8841" s="8" t="s">
        <v>8864</v>
      </c>
      <c r="B8841" s="2" t="s">
        <v>12472</v>
      </c>
    </row>
    <row r="8842" spans="1:2" x14ac:dyDescent="0.2">
      <c r="A8842" s="8" t="s">
        <v>8865</v>
      </c>
      <c r="B8842" s="2" t="s">
        <v>12472</v>
      </c>
    </row>
    <row r="8843" spans="1:2" x14ac:dyDescent="0.2">
      <c r="A8843" s="8" t="s">
        <v>8866</v>
      </c>
      <c r="B8843" s="2" t="s">
        <v>12472</v>
      </c>
    </row>
    <row r="8844" spans="1:2" x14ac:dyDescent="0.2">
      <c r="A8844" s="8" t="s">
        <v>8867</v>
      </c>
      <c r="B8844" s="2" t="s">
        <v>12472</v>
      </c>
    </row>
    <row r="8845" spans="1:2" x14ac:dyDescent="0.2">
      <c r="A8845" s="8" t="s">
        <v>8868</v>
      </c>
      <c r="B8845" s="2" t="s">
        <v>12472</v>
      </c>
    </row>
    <row r="8846" spans="1:2" x14ac:dyDescent="0.2">
      <c r="A8846" s="8" t="s">
        <v>8869</v>
      </c>
      <c r="B8846" s="2" t="s">
        <v>12472</v>
      </c>
    </row>
    <row r="8847" spans="1:2" x14ac:dyDescent="0.2">
      <c r="A8847" s="8" t="s">
        <v>8870</v>
      </c>
      <c r="B8847" s="2" t="s">
        <v>12472</v>
      </c>
    </row>
    <row r="8848" spans="1:2" x14ac:dyDescent="0.2">
      <c r="A8848" s="8" t="s">
        <v>8871</v>
      </c>
      <c r="B8848" s="2" t="s">
        <v>12472</v>
      </c>
    </row>
    <row r="8849" spans="1:2" x14ac:dyDescent="0.2">
      <c r="A8849" s="8" t="s">
        <v>8872</v>
      </c>
      <c r="B8849" s="2" t="s">
        <v>12472</v>
      </c>
    </row>
    <row r="8850" spans="1:2" x14ac:dyDescent="0.2">
      <c r="A8850" s="8" t="s">
        <v>8873</v>
      </c>
      <c r="B8850" s="2" t="s">
        <v>12472</v>
      </c>
    </row>
    <row r="8851" spans="1:2" x14ac:dyDescent="0.2">
      <c r="A8851" s="8" t="s">
        <v>8874</v>
      </c>
      <c r="B8851" s="2" t="s">
        <v>12472</v>
      </c>
    </row>
    <row r="8852" spans="1:2" x14ac:dyDescent="0.2">
      <c r="A8852" s="8" t="s">
        <v>8875</v>
      </c>
      <c r="B8852" s="2" t="s">
        <v>12472</v>
      </c>
    </row>
    <row r="8853" spans="1:2" x14ac:dyDescent="0.2">
      <c r="A8853" s="8" t="s">
        <v>8876</v>
      </c>
      <c r="B8853" s="2" t="s">
        <v>12472</v>
      </c>
    </row>
    <row r="8854" spans="1:2" x14ac:dyDescent="0.2">
      <c r="A8854" s="8" t="s">
        <v>8877</v>
      </c>
      <c r="B8854" s="2" t="s">
        <v>12472</v>
      </c>
    </row>
    <row r="8855" spans="1:2" x14ac:dyDescent="0.2">
      <c r="A8855" s="8" t="s">
        <v>8878</v>
      </c>
      <c r="B8855" s="2" t="s">
        <v>12472</v>
      </c>
    </row>
    <row r="8856" spans="1:2" x14ac:dyDescent="0.2">
      <c r="A8856" s="8" t="s">
        <v>8879</v>
      </c>
      <c r="B8856" s="2" t="s">
        <v>12472</v>
      </c>
    </row>
    <row r="8857" spans="1:2" x14ac:dyDescent="0.2">
      <c r="A8857" s="8" t="s">
        <v>8880</v>
      </c>
      <c r="B8857" s="2" t="s">
        <v>12472</v>
      </c>
    </row>
    <row r="8858" spans="1:2" x14ac:dyDescent="0.2">
      <c r="A8858" s="8" t="s">
        <v>8881</v>
      </c>
      <c r="B8858" s="2" t="s">
        <v>12472</v>
      </c>
    </row>
    <row r="8859" spans="1:2" x14ac:dyDescent="0.2">
      <c r="A8859" s="8" t="s">
        <v>8882</v>
      </c>
      <c r="B8859" s="2" t="s">
        <v>12472</v>
      </c>
    </row>
    <row r="8860" spans="1:2" x14ac:dyDescent="0.2">
      <c r="A8860" s="8" t="s">
        <v>8883</v>
      </c>
      <c r="B8860" s="2" t="s">
        <v>12472</v>
      </c>
    </row>
    <row r="8861" spans="1:2" x14ac:dyDescent="0.2">
      <c r="A8861" s="8" t="s">
        <v>8884</v>
      </c>
      <c r="B8861" s="2" t="s">
        <v>12472</v>
      </c>
    </row>
    <row r="8862" spans="1:2" x14ac:dyDescent="0.2">
      <c r="A8862" s="8" t="s">
        <v>8885</v>
      </c>
      <c r="B8862" s="2" t="s">
        <v>12472</v>
      </c>
    </row>
    <row r="8863" spans="1:2" x14ac:dyDescent="0.2">
      <c r="A8863" s="8" t="s">
        <v>8886</v>
      </c>
      <c r="B8863" s="2" t="s">
        <v>12472</v>
      </c>
    </row>
    <row r="8864" spans="1:2" x14ac:dyDescent="0.2">
      <c r="A8864" s="8" t="s">
        <v>8887</v>
      </c>
      <c r="B8864" s="2" t="s">
        <v>12472</v>
      </c>
    </row>
    <row r="8865" spans="1:2" x14ac:dyDescent="0.2">
      <c r="A8865" s="8" t="s">
        <v>8888</v>
      </c>
      <c r="B8865" s="2" t="s">
        <v>12472</v>
      </c>
    </row>
    <row r="8866" spans="1:2" x14ac:dyDescent="0.2">
      <c r="A8866" s="8" t="s">
        <v>8889</v>
      </c>
      <c r="B8866" s="2" t="s">
        <v>12472</v>
      </c>
    </row>
    <row r="8867" spans="1:2" x14ac:dyDescent="0.2">
      <c r="A8867" s="8" t="s">
        <v>8890</v>
      </c>
      <c r="B8867" s="2" t="s">
        <v>12472</v>
      </c>
    </row>
    <row r="8868" spans="1:2" x14ac:dyDescent="0.2">
      <c r="A8868" s="8" t="s">
        <v>8891</v>
      </c>
      <c r="B8868" s="2" t="s">
        <v>12472</v>
      </c>
    </row>
    <row r="8869" spans="1:2" x14ac:dyDescent="0.2">
      <c r="A8869" s="8" t="s">
        <v>8892</v>
      </c>
      <c r="B8869" s="2" t="s">
        <v>12472</v>
      </c>
    </row>
    <row r="8870" spans="1:2" x14ac:dyDescent="0.2">
      <c r="A8870" s="8" t="s">
        <v>8893</v>
      </c>
      <c r="B8870" s="2" t="s">
        <v>12472</v>
      </c>
    </row>
    <row r="8871" spans="1:2" x14ac:dyDescent="0.2">
      <c r="A8871" s="8" t="s">
        <v>8894</v>
      </c>
      <c r="B8871" s="2" t="s">
        <v>12472</v>
      </c>
    </row>
    <row r="8872" spans="1:2" x14ac:dyDescent="0.2">
      <c r="A8872" s="8" t="s">
        <v>8895</v>
      </c>
      <c r="B8872" s="2" t="s">
        <v>12472</v>
      </c>
    </row>
    <row r="8873" spans="1:2" x14ac:dyDescent="0.2">
      <c r="A8873" s="8" t="s">
        <v>8896</v>
      </c>
      <c r="B8873" s="2" t="s">
        <v>12472</v>
      </c>
    </row>
    <row r="8874" spans="1:2" x14ac:dyDescent="0.2">
      <c r="A8874" s="8" t="s">
        <v>8897</v>
      </c>
      <c r="B8874" s="2" t="s">
        <v>12472</v>
      </c>
    </row>
    <row r="8875" spans="1:2" x14ac:dyDescent="0.2">
      <c r="A8875" s="8" t="s">
        <v>8898</v>
      </c>
      <c r="B8875" s="2" t="s">
        <v>12472</v>
      </c>
    </row>
    <row r="8876" spans="1:2" x14ac:dyDescent="0.2">
      <c r="A8876" s="8" t="s">
        <v>8899</v>
      </c>
      <c r="B8876" s="2" t="s">
        <v>12472</v>
      </c>
    </row>
    <row r="8877" spans="1:2" x14ac:dyDescent="0.2">
      <c r="A8877" s="8" t="s">
        <v>8900</v>
      </c>
      <c r="B8877" s="2" t="s">
        <v>12472</v>
      </c>
    </row>
    <row r="8878" spans="1:2" x14ac:dyDescent="0.2">
      <c r="A8878" s="8" t="s">
        <v>8901</v>
      </c>
      <c r="B8878" s="2" t="s">
        <v>12472</v>
      </c>
    </row>
    <row r="8879" spans="1:2" x14ac:dyDescent="0.2">
      <c r="A8879" s="8" t="s">
        <v>8902</v>
      </c>
      <c r="B8879" s="2" t="s">
        <v>12472</v>
      </c>
    </row>
    <row r="8880" spans="1:2" x14ac:dyDescent="0.2">
      <c r="A8880" s="8" t="s">
        <v>8903</v>
      </c>
      <c r="B8880" s="2" t="s">
        <v>12472</v>
      </c>
    </row>
    <row r="8881" spans="1:2" x14ac:dyDescent="0.2">
      <c r="A8881" s="8" t="s">
        <v>8904</v>
      </c>
      <c r="B8881" s="2" t="s">
        <v>12472</v>
      </c>
    </row>
    <row r="8882" spans="1:2" x14ac:dyDescent="0.2">
      <c r="A8882" s="8" t="s">
        <v>8905</v>
      </c>
      <c r="B8882" s="2" t="s">
        <v>12472</v>
      </c>
    </row>
    <row r="8883" spans="1:2" x14ac:dyDescent="0.2">
      <c r="A8883" s="8" t="s">
        <v>8906</v>
      </c>
      <c r="B8883" s="2" t="s">
        <v>12472</v>
      </c>
    </row>
    <row r="8884" spans="1:2" x14ac:dyDescent="0.2">
      <c r="A8884" s="8" t="s">
        <v>8907</v>
      </c>
      <c r="B8884" s="2" t="s">
        <v>12472</v>
      </c>
    </row>
    <row r="8885" spans="1:2" x14ac:dyDescent="0.2">
      <c r="A8885" s="8" t="s">
        <v>8908</v>
      </c>
      <c r="B8885" s="2" t="s">
        <v>12472</v>
      </c>
    </row>
    <row r="8886" spans="1:2" x14ac:dyDescent="0.2">
      <c r="A8886" s="8" t="s">
        <v>8909</v>
      </c>
      <c r="B8886" s="2" t="s">
        <v>12472</v>
      </c>
    </row>
    <row r="8887" spans="1:2" x14ac:dyDescent="0.2">
      <c r="A8887" s="8" t="s">
        <v>8910</v>
      </c>
      <c r="B8887" s="2" t="s">
        <v>12472</v>
      </c>
    </row>
    <row r="8888" spans="1:2" x14ac:dyDescent="0.2">
      <c r="A8888" s="8" t="s">
        <v>8911</v>
      </c>
      <c r="B8888" s="2" t="s">
        <v>12472</v>
      </c>
    </row>
    <row r="8889" spans="1:2" x14ac:dyDescent="0.2">
      <c r="A8889" s="8" t="s">
        <v>8912</v>
      </c>
      <c r="B8889" s="2" t="s">
        <v>12472</v>
      </c>
    </row>
    <row r="8890" spans="1:2" x14ac:dyDescent="0.2">
      <c r="A8890" s="8" t="s">
        <v>8913</v>
      </c>
      <c r="B8890" s="2" t="s">
        <v>12472</v>
      </c>
    </row>
    <row r="8891" spans="1:2" x14ac:dyDescent="0.2">
      <c r="A8891" s="8" t="s">
        <v>8914</v>
      </c>
      <c r="B8891" s="2" t="s">
        <v>12472</v>
      </c>
    </row>
    <row r="8892" spans="1:2" x14ac:dyDescent="0.2">
      <c r="A8892" s="8" t="s">
        <v>8915</v>
      </c>
      <c r="B8892" s="2" t="s">
        <v>12472</v>
      </c>
    </row>
    <row r="8893" spans="1:2" x14ac:dyDescent="0.2">
      <c r="A8893" s="8" t="s">
        <v>8916</v>
      </c>
      <c r="B8893" s="2" t="s">
        <v>12472</v>
      </c>
    </row>
    <row r="8894" spans="1:2" x14ac:dyDescent="0.2">
      <c r="A8894" s="8" t="s">
        <v>8917</v>
      </c>
      <c r="B8894" s="2" t="s">
        <v>12472</v>
      </c>
    </row>
    <row r="8895" spans="1:2" x14ac:dyDescent="0.2">
      <c r="A8895" s="8" t="s">
        <v>8918</v>
      </c>
      <c r="B8895" s="2" t="s">
        <v>12472</v>
      </c>
    </row>
    <row r="8896" spans="1:2" x14ac:dyDescent="0.2">
      <c r="A8896" s="8" t="s">
        <v>8919</v>
      </c>
      <c r="B8896" s="2" t="s">
        <v>12472</v>
      </c>
    </row>
    <row r="8897" spans="1:2" x14ac:dyDescent="0.2">
      <c r="A8897" s="8" t="s">
        <v>8920</v>
      </c>
      <c r="B8897" s="2" t="s">
        <v>12472</v>
      </c>
    </row>
    <row r="8898" spans="1:2" x14ac:dyDescent="0.2">
      <c r="A8898" s="8" t="s">
        <v>8921</v>
      </c>
      <c r="B8898" s="2" t="s">
        <v>12472</v>
      </c>
    </row>
    <row r="8899" spans="1:2" x14ac:dyDescent="0.2">
      <c r="A8899" s="8" t="s">
        <v>8922</v>
      </c>
      <c r="B8899" s="2" t="s">
        <v>12472</v>
      </c>
    </row>
    <row r="8900" spans="1:2" x14ac:dyDescent="0.2">
      <c r="A8900" s="8" t="s">
        <v>8923</v>
      </c>
      <c r="B8900" s="2" t="s">
        <v>12472</v>
      </c>
    </row>
    <row r="8901" spans="1:2" x14ac:dyDescent="0.2">
      <c r="A8901" s="8" t="s">
        <v>8924</v>
      </c>
      <c r="B8901" s="2" t="s">
        <v>12472</v>
      </c>
    </row>
    <row r="8902" spans="1:2" x14ac:dyDescent="0.2">
      <c r="A8902" s="8" t="s">
        <v>8925</v>
      </c>
      <c r="B8902" s="2" t="s">
        <v>12472</v>
      </c>
    </row>
    <row r="8903" spans="1:2" x14ac:dyDescent="0.2">
      <c r="A8903" s="8" t="s">
        <v>8926</v>
      </c>
      <c r="B8903" s="2" t="s">
        <v>12472</v>
      </c>
    </row>
    <row r="8904" spans="1:2" x14ac:dyDescent="0.2">
      <c r="A8904" s="8" t="s">
        <v>8927</v>
      </c>
      <c r="B8904" s="2" t="s">
        <v>12472</v>
      </c>
    </row>
    <row r="8905" spans="1:2" x14ac:dyDescent="0.2">
      <c r="A8905" s="8" t="s">
        <v>8928</v>
      </c>
      <c r="B8905" s="2" t="s">
        <v>12472</v>
      </c>
    </row>
    <row r="8906" spans="1:2" x14ac:dyDescent="0.2">
      <c r="A8906" s="8" t="s">
        <v>8929</v>
      </c>
      <c r="B8906" s="2" t="s">
        <v>12472</v>
      </c>
    </row>
    <row r="8907" spans="1:2" x14ac:dyDescent="0.2">
      <c r="A8907" s="8" t="s">
        <v>8930</v>
      </c>
      <c r="B8907" s="2" t="s">
        <v>12472</v>
      </c>
    </row>
    <row r="8908" spans="1:2" x14ac:dyDescent="0.2">
      <c r="A8908" s="8" t="s">
        <v>8931</v>
      </c>
      <c r="B8908" s="2" t="s">
        <v>12472</v>
      </c>
    </row>
    <row r="8909" spans="1:2" x14ac:dyDescent="0.2">
      <c r="A8909" s="8" t="s">
        <v>8932</v>
      </c>
      <c r="B8909" s="2" t="s">
        <v>12472</v>
      </c>
    </row>
    <row r="8910" spans="1:2" x14ac:dyDescent="0.2">
      <c r="A8910" s="8" t="s">
        <v>8933</v>
      </c>
      <c r="B8910" s="2" t="s">
        <v>12472</v>
      </c>
    </row>
    <row r="8911" spans="1:2" x14ac:dyDescent="0.2">
      <c r="A8911" s="8" t="s">
        <v>8934</v>
      </c>
      <c r="B8911" s="2" t="s">
        <v>12472</v>
      </c>
    </row>
    <row r="8912" spans="1:2" x14ac:dyDescent="0.2">
      <c r="A8912" s="8" t="s">
        <v>8935</v>
      </c>
      <c r="B8912" s="2" t="s">
        <v>12472</v>
      </c>
    </row>
    <row r="8913" spans="1:2" x14ac:dyDescent="0.2">
      <c r="A8913" s="8" t="s">
        <v>8936</v>
      </c>
      <c r="B8913" s="2" t="s">
        <v>12472</v>
      </c>
    </row>
    <row r="8914" spans="1:2" x14ac:dyDescent="0.2">
      <c r="A8914" s="8" t="s">
        <v>8937</v>
      </c>
      <c r="B8914" s="2" t="s">
        <v>12472</v>
      </c>
    </row>
    <row r="8915" spans="1:2" x14ac:dyDescent="0.2">
      <c r="A8915" s="8" t="s">
        <v>8938</v>
      </c>
      <c r="B8915" s="2" t="s">
        <v>12472</v>
      </c>
    </row>
    <row r="8916" spans="1:2" x14ac:dyDescent="0.2">
      <c r="A8916" s="8" t="s">
        <v>8939</v>
      </c>
      <c r="B8916" s="2" t="s">
        <v>12472</v>
      </c>
    </row>
    <row r="8917" spans="1:2" x14ac:dyDescent="0.2">
      <c r="A8917" s="8" t="s">
        <v>8940</v>
      </c>
      <c r="B8917" s="2" t="s">
        <v>12472</v>
      </c>
    </row>
    <row r="8918" spans="1:2" x14ac:dyDescent="0.2">
      <c r="A8918" s="8" t="s">
        <v>8941</v>
      </c>
      <c r="B8918" s="2" t="s">
        <v>12472</v>
      </c>
    </row>
    <row r="8919" spans="1:2" x14ac:dyDescent="0.2">
      <c r="A8919" s="8" t="s">
        <v>8942</v>
      </c>
      <c r="B8919" s="2" t="s">
        <v>12472</v>
      </c>
    </row>
    <row r="8920" spans="1:2" x14ac:dyDescent="0.2">
      <c r="A8920" s="8" t="s">
        <v>8943</v>
      </c>
      <c r="B8920" s="2" t="s">
        <v>12472</v>
      </c>
    </row>
    <row r="8921" spans="1:2" x14ac:dyDescent="0.2">
      <c r="A8921" s="8" t="s">
        <v>8944</v>
      </c>
      <c r="B8921" s="2" t="s">
        <v>12472</v>
      </c>
    </row>
    <row r="8922" spans="1:2" x14ac:dyDescent="0.2">
      <c r="A8922" s="8" t="s">
        <v>8945</v>
      </c>
      <c r="B8922" s="2" t="s">
        <v>12472</v>
      </c>
    </row>
    <row r="8923" spans="1:2" x14ac:dyDescent="0.2">
      <c r="A8923" s="8" t="s">
        <v>8946</v>
      </c>
      <c r="B8923" s="2" t="s">
        <v>12472</v>
      </c>
    </row>
    <row r="8924" spans="1:2" x14ac:dyDescent="0.2">
      <c r="A8924" s="8" t="s">
        <v>8947</v>
      </c>
      <c r="B8924" s="2" t="s">
        <v>12472</v>
      </c>
    </row>
    <row r="8925" spans="1:2" x14ac:dyDescent="0.2">
      <c r="A8925" s="8" t="s">
        <v>8948</v>
      </c>
      <c r="B8925" s="2" t="s">
        <v>12472</v>
      </c>
    </row>
    <row r="8926" spans="1:2" x14ac:dyDescent="0.2">
      <c r="A8926" s="8" t="s">
        <v>8949</v>
      </c>
      <c r="B8926" s="2" t="s">
        <v>12472</v>
      </c>
    </row>
    <row r="8927" spans="1:2" x14ac:dyDescent="0.2">
      <c r="A8927" s="8" t="s">
        <v>8950</v>
      </c>
      <c r="B8927" s="2" t="s">
        <v>12472</v>
      </c>
    </row>
    <row r="8928" spans="1:2" x14ac:dyDescent="0.2">
      <c r="A8928" s="8" t="s">
        <v>8951</v>
      </c>
      <c r="B8928" s="2" t="s">
        <v>12472</v>
      </c>
    </row>
    <row r="8929" spans="1:2" x14ac:dyDescent="0.2">
      <c r="A8929" s="8" t="s">
        <v>8952</v>
      </c>
      <c r="B8929" s="2" t="s">
        <v>12472</v>
      </c>
    </row>
    <row r="8930" spans="1:2" x14ac:dyDescent="0.2">
      <c r="A8930" s="8" t="s">
        <v>8953</v>
      </c>
      <c r="B8930" s="2" t="s">
        <v>12472</v>
      </c>
    </row>
    <row r="8931" spans="1:2" x14ac:dyDescent="0.2">
      <c r="A8931" s="8" t="s">
        <v>8954</v>
      </c>
      <c r="B8931" s="2" t="s">
        <v>12472</v>
      </c>
    </row>
    <row r="8932" spans="1:2" x14ac:dyDescent="0.2">
      <c r="A8932" s="8" t="s">
        <v>8955</v>
      </c>
      <c r="B8932" s="2" t="s">
        <v>12472</v>
      </c>
    </row>
    <row r="8933" spans="1:2" x14ac:dyDescent="0.2">
      <c r="A8933" s="8" t="s">
        <v>8956</v>
      </c>
      <c r="B8933" s="2" t="s">
        <v>12472</v>
      </c>
    </row>
    <row r="8934" spans="1:2" x14ac:dyDescent="0.2">
      <c r="A8934" s="8" t="s">
        <v>8957</v>
      </c>
      <c r="B8934" s="2" t="s">
        <v>12472</v>
      </c>
    </row>
    <row r="8935" spans="1:2" x14ac:dyDescent="0.2">
      <c r="A8935" s="8" t="s">
        <v>8958</v>
      </c>
      <c r="B8935" s="2" t="s">
        <v>12472</v>
      </c>
    </row>
    <row r="8936" spans="1:2" x14ac:dyDescent="0.2">
      <c r="A8936" s="8" t="s">
        <v>8959</v>
      </c>
      <c r="B8936" s="2" t="s">
        <v>12472</v>
      </c>
    </row>
    <row r="8937" spans="1:2" x14ac:dyDescent="0.2">
      <c r="A8937" s="8" t="s">
        <v>8960</v>
      </c>
      <c r="B8937" s="2" t="s">
        <v>12472</v>
      </c>
    </row>
    <row r="8938" spans="1:2" x14ac:dyDescent="0.2">
      <c r="A8938" s="8" t="s">
        <v>8961</v>
      </c>
      <c r="B8938" s="2" t="s">
        <v>12472</v>
      </c>
    </row>
    <row r="8939" spans="1:2" x14ac:dyDescent="0.2">
      <c r="A8939" s="8" t="s">
        <v>8962</v>
      </c>
      <c r="B8939" s="2" t="s">
        <v>12472</v>
      </c>
    </row>
    <row r="8940" spans="1:2" x14ac:dyDescent="0.2">
      <c r="A8940" s="8" t="s">
        <v>8963</v>
      </c>
      <c r="B8940" s="2" t="s">
        <v>12472</v>
      </c>
    </row>
    <row r="8941" spans="1:2" x14ac:dyDescent="0.2">
      <c r="A8941" s="8" t="s">
        <v>8964</v>
      </c>
      <c r="B8941" s="2" t="s">
        <v>12472</v>
      </c>
    </row>
    <row r="8942" spans="1:2" x14ac:dyDescent="0.2">
      <c r="A8942" s="8" t="s">
        <v>8965</v>
      </c>
      <c r="B8942" s="2" t="s">
        <v>12472</v>
      </c>
    </row>
    <row r="8943" spans="1:2" x14ac:dyDescent="0.2">
      <c r="A8943" s="8" t="s">
        <v>8966</v>
      </c>
      <c r="B8943" s="2" t="s">
        <v>12472</v>
      </c>
    </row>
    <row r="8944" spans="1:2" x14ac:dyDescent="0.2">
      <c r="A8944" s="8" t="s">
        <v>8967</v>
      </c>
      <c r="B8944" s="2" t="s">
        <v>12472</v>
      </c>
    </row>
    <row r="8945" spans="1:2" x14ac:dyDescent="0.2">
      <c r="A8945" s="8" t="s">
        <v>8968</v>
      </c>
      <c r="B8945" s="2" t="s">
        <v>12472</v>
      </c>
    </row>
    <row r="8946" spans="1:2" x14ac:dyDescent="0.2">
      <c r="A8946" s="8" t="s">
        <v>8969</v>
      </c>
      <c r="B8946" s="2" t="s">
        <v>12472</v>
      </c>
    </row>
    <row r="8947" spans="1:2" x14ac:dyDescent="0.2">
      <c r="A8947" s="8" t="s">
        <v>8970</v>
      </c>
      <c r="B8947" s="2" t="s">
        <v>12472</v>
      </c>
    </row>
    <row r="8948" spans="1:2" x14ac:dyDescent="0.2">
      <c r="A8948" s="8" t="s">
        <v>8971</v>
      </c>
      <c r="B8948" s="2" t="s">
        <v>12472</v>
      </c>
    </row>
    <row r="8949" spans="1:2" x14ac:dyDescent="0.2">
      <c r="A8949" s="8" t="s">
        <v>8972</v>
      </c>
      <c r="B8949" s="2" t="s">
        <v>12472</v>
      </c>
    </row>
    <row r="8950" spans="1:2" x14ac:dyDescent="0.2">
      <c r="A8950" s="8" t="s">
        <v>8973</v>
      </c>
      <c r="B8950" s="2" t="s">
        <v>12472</v>
      </c>
    </row>
    <row r="8951" spans="1:2" x14ac:dyDescent="0.2">
      <c r="A8951" s="8" t="s">
        <v>8974</v>
      </c>
      <c r="B8951" s="2" t="s">
        <v>12472</v>
      </c>
    </row>
    <row r="8952" spans="1:2" x14ac:dyDescent="0.2">
      <c r="A8952" s="8" t="s">
        <v>8975</v>
      </c>
      <c r="B8952" s="2" t="s">
        <v>12472</v>
      </c>
    </row>
    <row r="8953" spans="1:2" x14ac:dyDescent="0.2">
      <c r="A8953" s="8" t="s">
        <v>8976</v>
      </c>
      <c r="B8953" s="2" t="s">
        <v>12472</v>
      </c>
    </row>
    <row r="8954" spans="1:2" x14ac:dyDescent="0.2">
      <c r="A8954" s="8" t="s">
        <v>8977</v>
      </c>
      <c r="B8954" s="2" t="s">
        <v>12472</v>
      </c>
    </row>
    <row r="8955" spans="1:2" x14ac:dyDescent="0.2">
      <c r="A8955" s="8" t="s">
        <v>8978</v>
      </c>
      <c r="B8955" s="2" t="s">
        <v>12472</v>
      </c>
    </row>
    <row r="8956" spans="1:2" x14ac:dyDescent="0.2">
      <c r="A8956" s="8" t="s">
        <v>8979</v>
      </c>
      <c r="B8956" s="2" t="s">
        <v>12472</v>
      </c>
    </row>
    <row r="8957" spans="1:2" x14ac:dyDescent="0.2">
      <c r="A8957" s="8" t="s">
        <v>8980</v>
      </c>
      <c r="B8957" s="2" t="s">
        <v>12472</v>
      </c>
    </row>
    <row r="8958" spans="1:2" x14ac:dyDescent="0.2">
      <c r="A8958" s="8" t="s">
        <v>8981</v>
      </c>
      <c r="B8958" s="2" t="s">
        <v>12472</v>
      </c>
    </row>
    <row r="8959" spans="1:2" x14ac:dyDescent="0.2">
      <c r="A8959" s="8" t="s">
        <v>8982</v>
      </c>
      <c r="B8959" s="2" t="s">
        <v>12472</v>
      </c>
    </row>
    <row r="8960" spans="1:2" x14ac:dyDescent="0.2">
      <c r="A8960" s="8" t="s">
        <v>8983</v>
      </c>
      <c r="B8960" s="2" t="s">
        <v>12472</v>
      </c>
    </row>
    <row r="8961" spans="1:2" x14ac:dyDescent="0.2">
      <c r="A8961" s="8" t="s">
        <v>8984</v>
      </c>
      <c r="B8961" s="2" t="s">
        <v>12472</v>
      </c>
    </row>
    <row r="8962" spans="1:2" x14ac:dyDescent="0.2">
      <c r="A8962" s="8" t="s">
        <v>8985</v>
      </c>
      <c r="B8962" s="2" t="s">
        <v>12472</v>
      </c>
    </row>
    <row r="8963" spans="1:2" x14ac:dyDescent="0.2">
      <c r="A8963" s="8" t="s">
        <v>8986</v>
      </c>
      <c r="B8963" s="2" t="s">
        <v>12472</v>
      </c>
    </row>
    <row r="8964" spans="1:2" x14ac:dyDescent="0.2">
      <c r="A8964" s="8" t="s">
        <v>8987</v>
      </c>
      <c r="B8964" s="2" t="s">
        <v>12472</v>
      </c>
    </row>
    <row r="8965" spans="1:2" x14ac:dyDescent="0.2">
      <c r="A8965" s="8" t="s">
        <v>8988</v>
      </c>
      <c r="B8965" s="2" t="s">
        <v>12472</v>
      </c>
    </row>
    <row r="8966" spans="1:2" x14ac:dyDescent="0.2">
      <c r="A8966" s="8" t="s">
        <v>8989</v>
      </c>
      <c r="B8966" s="2" t="s">
        <v>12472</v>
      </c>
    </row>
    <row r="8967" spans="1:2" x14ac:dyDescent="0.2">
      <c r="A8967" s="8" t="s">
        <v>8990</v>
      </c>
      <c r="B8967" s="2" t="s">
        <v>12472</v>
      </c>
    </row>
    <row r="8968" spans="1:2" x14ac:dyDescent="0.2">
      <c r="A8968" s="8" t="s">
        <v>8991</v>
      </c>
      <c r="B8968" s="2" t="s">
        <v>12472</v>
      </c>
    </row>
    <row r="8969" spans="1:2" x14ac:dyDescent="0.2">
      <c r="A8969" s="8" t="s">
        <v>8992</v>
      </c>
      <c r="B8969" s="2" t="s">
        <v>12472</v>
      </c>
    </row>
    <row r="8970" spans="1:2" x14ac:dyDescent="0.2">
      <c r="A8970" s="8" t="s">
        <v>8993</v>
      </c>
      <c r="B8970" s="2" t="s">
        <v>12472</v>
      </c>
    </row>
    <row r="8971" spans="1:2" x14ac:dyDescent="0.2">
      <c r="A8971" s="8" t="s">
        <v>8994</v>
      </c>
      <c r="B8971" s="2" t="s">
        <v>12472</v>
      </c>
    </row>
    <row r="8972" spans="1:2" x14ac:dyDescent="0.2">
      <c r="A8972" s="8" t="s">
        <v>8995</v>
      </c>
      <c r="B8972" s="2" t="s">
        <v>12472</v>
      </c>
    </row>
    <row r="8973" spans="1:2" x14ac:dyDescent="0.2">
      <c r="A8973" s="8" t="s">
        <v>8996</v>
      </c>
      <c r="B8973" s="2" t="s">
        <v>12472</v>
      </c>
    </row>
    <row r="8974" spans="1:2" x14ac:dyDescent="0.2">
      <c r="A8974" s="8" t="s">
        <v>8997</v>
      </c>
      <c r="B8974" s="2" t="s">
        <v>12472</v>
      </c>
    </row>
    <row r="8975" spans="1:2" x14ac:dyDescent="0.2">
      <c r="A8975" s="8" t="s">
        <v>8998</v>
      </c>
      <c r="B8975" s="2" t="s">
        <v>12472</v>
      </c>
    </row>
    <row r="8976" spans="1:2" x14ac:dyDescent="0.2">
      <c r="A8976" s="8" t="s">
        <v>8999</v>
      </c>
      <c r="B8976" s="2" t="s">
        <v>12472</v>
      </c>
    </row>
    <row r="8977" spans="1:2" x14ac:dyDescent="0.2">
      <c r="A8977" s="8" t="s">
        <v>9000</v>
      </c>
      <c r="B8977" s="2" t="s">
        <v>12472</v>
      </c>
    </row>
    <row r="8978" spans="1:2" x14ac:dyDescent="0.2">
      <c r="A8978" s="8" t="s">
        <v>9001</v>
      </c>
      <c r="B8978" s="2" t="s">
        <v>12472</v>
      </c>
    </row>
    <row r="8979" spans="1:2" x14ac:dyDescent="0.2">
      <c r="A8979" s="8" t="s">
        <v>9002</v>
      </c>
      <c r="B8979" s="2" t="s">
        <v>12472</v>
      </c>
    </row>
    <row r="8980" spans="1:2" x14ac:dyDescent="0.2">
      <c r="A8980" s="8" t="s">
        <v>9003</v>
      </c>
      <c r="B8980" s="2" t="s">
        <v>12472</v>
      </c>
    </row>
    <row r="8981" spans="1:2" x14ac:dyDescent="0.2">
      <c r="A8981" s="8" t="s">
        <v>9004</v>
      </c>
      <c r="B8981" s="2" t="s">
        <v>12472</v>
      </c>
    </row>
    <row r="8982" spans="1:2" x14ac:dyDescent="0.2">
      <c r="A8982" s="8" t="s">
        <v>9005</v>
      </c>
      <c r="B8982" s="2" t="s">
        <v>12472</v>
      </c>
    </row>
    <row r="8983" spans="1:2" x14ac:dyDescent="0.2">
      <c r="A8983" s="8" t="s">
        <v>9006</v>
      </c>
      <c r="B8983" s="2" t="s">
        <v>12472</v>
      </c>
    </row>
    <row r="8984" spans="1:2" x14ac:dyDescent="0.2">
      <c r="A8984" s="8" t="s">
        <v>9007</v>
      </c>
      <c r="B8984" s="2" t="s">
        <v>12472</v>
      </c>
    </row>
    <row r="8985" spans="1:2" x14ac:dyDescent="0.2">
      <c r="A8985" s="8" t="s">
        <v>9008</v>
      </c>
      <c r="B8985" s="2" t="s">
        <v>12472</v>
      </c>
    </row>
    <row r="8986" spans="1:2" x14ac:dyDescent="0.2">
      <c r="A8986" s="8" t="s">
        <v>9009</v>
      </c>
      <c r="B8986" s="2" t="s">
        <v>12472</v>
      </c>
    </row>
    <row r="8987" spans="1:2" x14ac:dyDescent="0.2">
      <c r="A8987" s="8" t="s">
        <v>9010</v>
      </c>
      <c r="B8987" s="2" t="s">
        <v>12472</v>
      </c>
    </row>
    <row r="8988" spans="1:2" x14ac:dyDescent="0.2">
      <c r="A8988" s="8" t="s">
        <v>9011</v>
      </c>
      <c r="B8988" s="2" t="s">
        <v>12472</v>
      </c>
    </row>
    <row r="8989" spans="1:2" x14ac:dyDescent="0.2">
      <c r="A8989" s="8" t="s">
        <v>9012</v>
      </c>
      <c r="B8989" s="2" t="s">
        <v>12472</v>
      </c>
    </row>
    <row r="8990" spans="1:2" x14ac:dyDescent="0.2">
      <c r="A8990" s="8" t="s">
        <v>9013</v>
      </c>
      <c r="B8990" s="2" t="s">
        <v>12472</v>
      </c>
    </row>
    <row r="8991" spans="1:2" x14ac:dyDescent="0.2">
      <c r="A8991" s="8" t="s">
        <v>9014</v>
      </c>
      <c r="B8991" s="2" t="s">
        <v>12472</v>
      </c>
    </row>
    <row r="8992" spans="1:2" x14ac:dyDescent="0.2">
      <c r="A8992" s="8" t="s">
        <v>9015</v>
      </c>
      <c r="B8992" s="2" t="s">
        <v>12472</v>
      </c>
    </row>
    <row r="8993" spans="1:2" x14ac:dyDescent="0.2">
      <c r="A8993" s="8" t="s">
        <v>9016</v>
      </c>
      <c r="B8993" s="2" t="s">
        <v>12472</v>
      </c>
    </row>
    <row r="8994" spans="1:2" x14ac:dyDescent="0.2">
      <c r="A8994" s="8" t="s">
        <v>9017</v>
      </c>
      <c r="B8994" s="2" t="s">
        <v>12472</v>
      </c>
    </row>
    <row r="8995" spans="1:2" x14ac:dyDescent="0.2">
      <c r="A8995" s="8" t="s">
        <v>9018</v>
      </c>
      <c r="B8995" s="2" t="s">
        <v>12472</v>
      </c>
    </row>
    <row r="8996" spans="1:2" x14ac:dyDescent="0.2">
      <c r="A8996" s="8" t="s">
        <v>9019</v>
      </c>
      <c r="B8996" s="2" t="s">
        <v>12472</v>
      </c>
    </row>
    <row r="8997" spans="1:2" x14ac:dyDescent="0.2">
      <c r="A8997" s="8" t="s">
        <v>9020</v>
      </c>
      <c r="B8997" s="2" t="s">
        <v>12472</v>
      </c>
    </row>
    <row r="8998" spans="1:2" x14ac:dyDescent="0.2">
      <c r="A8998" s="8" t="s">
        <v>9021</v>
      </c>
      <c r="B8998" s="2" t="s">
        <v>12472</v>
      </c>
    </row>
    <row r="8999" spans="1:2" x14ac:dyDescent="0.2">
      <c r="A8999" s="8" t="s">
        <v>9022</v>
      </c>
      <c r="B8999" s="2" t="s">
        <v>12472</v>
      </c>
    </row>
    <row r="9000" spans="1:2" x14ac:dyDescent="0.2">
      <c r="A9000" s="8" t="s">
        <v>9023</v>
      </c>
      <c r="B9000" s="2" t="s">
        <v>12472</v>
      </c>
    </row>
    <row r="9001" spans="1:2" x14ac:dyDescent="0.2">
      <c r="A9001" s="8" t="s">
        <v>9024</v>
      </c>
      <c r="B9001" s="2" t="s">
        <v>12472</v>
      </c>
    </row>
    <row r="9002" spans="1:2" x14ac:dyDescent="0.2">
      <c r="A9002" s="8" t="s">
        <v>9025</v>
      </c>
      <c r="B9002" s="2" t="s">
        <v>12472</v>
      </c>
    </row>
    <row r="9003" spans="1:2" x14ac:dyDescent="0.2">
      <c r="A9003" s="8" t="s">
        <v>9026</v>
      </c>
      <c r="B9003" s="2" t="s">
        <v>12472</v>
      </c>
    </row>
    <row r="9004" spans="1:2" x14ac:dyDescent="0.2">
      <c r="A9004" s="8" t="s">
        <v>9027</v>
      </c>
      <c r="B9004" s="2" t="s">
        <v>12472</v>
      </c>
    </row>
    <row r="9005" spans="1:2" x14ac:dyDescent="0.2">
      <c r="A9005" s="8" t="s">
        <v>9028</v>
      </c>
      <c r="B9005" s="2" t="s">
        <v>12472</v>
      </c>
    </row>
    <row r="9006" spans="1:2" x14ac:dyDescent="0.2">
      <c r="A9006" s="8" t="s">
        <v>9029</v>
      </c>
      <c r="B9006" s="2" t="s">
        <v>12472</v>
      </c>
    </row>
    <row r="9007" spans="1:2" x14ac:dyDescent="0.2">
      <c r="A9007" s="8" t="s">
        <v>9030</v>
      </c>
      <c r="B9007" s="2" t="s">
        <v>12472</v>
      </c>
    </row>
    <row r="9008" spans="1:2" x14ac:dyDescent="0.2">
      <c r="A9008" s="8" t="s">
        <v>9031</v>
      </c>
      <c r="B9008" s="2" t="s">
        <v>12472</v>
      </c>
    </row>
    <row r="9009" spans="1:2" x14ac:dyDescent="0.2">
      <c r="A9009" s="8" t="s">
        <v>9032</v>
      </c>
      <c r="B9009" s="2" t="s">
        <v>12472</v>
      </c>
    </row>
    <row r="9010" spans="1:2" x14ac:dyDescent="0.2">
      <c r="A9010" s="8" t="s">
        <v>9033</v>
      </c>
      <c r="B9010" s="2" t="s">
        <v>12472</v>
      </c>
    </row>
    <row r="9011" spans="1:2" x14ac:dyDescent="0.2">
      <c r="A9011" s="8" t="s">
        <v>9034</v>
      </c>
      <c r="B9011" s="2" t="s">
        <v>12472</v>
      </c>
    </row>
    <row r="9012" spans="1:2" x14ac:dyDescent="0.2">
      <c r="A9012" s="8" t="s">
        <v>9035</v>
      </c>
      <c r="B9012" s="2" t="s">
        <v>12472</v>
      </c>
    </row>
    <row r="9013" spans="1:2" x14ac:dyDescent="0.2">
      <c r="A9013" s="8" t="s">
        <v>9036</v>
      </c>
      <c r="B9013" s="2" t="s">
        <v>12472</v>
      </c>
    </row>
    <row r="9014" spans="1:2" x14ac:dyDescent="0.2">
      <c r="A9014" s="8" t="s">
        <v>9037</v>
      </c>
      <c r="B9014" s="2" t="s">
        <v>12472</v>
      </c>
    </row>
    <row r="9015" spans="1:2" x14ac:dyDescent="0.2">
      <c r="A9015" s="8" t="s">
        <v>9038</v>
      </c>
      <c r="B9015" s="2" t="s">
        <v>12472</v>
      </c>
    </row>
    <row r="9016" spans="1:2" x14ac:dyDescent="0.2">
      <c r="A9016" s="8" t="s">
        <v>9039</v>
      </c>
      <c r="B9016" s="2" t="s">
        <v>12472</v>
      </c>
    </row>
    <row r="9017" spans="1:2" x14ac:dyDescent="0.2">
      <c r="A9017" s="8" t="s">
        <v>9040</v>
      </c>
      <c r="B9017" s="2" t="s">
        <v>12472</v>
      </c>
    </row>
    <row r="9018" spans="1:2" x14ac:dyDescent="0.2">
      <c r="A9018" s="8" t="s">
        <v>9041</v>
      </c>
      <c r="B9018" s="2" t="s">
        <v>12472</v>
      </c>
    </row>
    <row r="9019" spans="1:2" x14ac:dyDescent="0.2">
      <c r="A9019" s="8" t="s">
        <v>9042</v>
      </c>
      <c r="B9019" s="2" t="s">
        <v>12472</v>
      </c>
    </row>
    <row r="9020" spans="1:2" x14ac:dyDescent="0.2">
      <c r="A9020" s="8" t="s">
        <v>9043</v>
      </c>
      <c r="B9020" s="2" t="s">
        <v>12472</v>
      </c>
    </row>
    <row r="9021" spans="1:2" x14ac:dyDescent="0.2">
      <c r="A9021" s="8" t="s">
        <v>9044</v>
      </c>
      <c r="B9021" s="2" t="s">
        <v>12472</v>
      </c>
    </row>
    <row r="9022" spans="1:2" x14ac:dyDescent="0.2">
      <c r="A9022" s="8" t="s">
        <v>9045</v>
      </c>
      <c r="B9022" s="2" t="s">
        <v>12472</v>
      </c>
    </row>
    <row r="9023" spans="1:2" x14ac:dyDescent="0.2">
      <c r="A9023" s="8" t="s">
        <v>9046</v>
      </c>
      <c r="B9023" s="2" t="s">
        <v>12472</v>
      </c>
    </row>
    <row r="9024" spans="1:2" x14ac:dyDescent="0.2">
      <c r="A9024" s="8" t="s">
        <v>9047</v>
      </c>
      <c r="B9024" s="2" t="s">
        <v>12472</v>
      </c>
    </row>
    <row r="9025" spans="1:2" x14ac:dyDescent="0.2">
      <c r="A9025" s="8" t="s">
        <v>9048</v>
      </c>
      <c r="B9025" s="2" t="s">
        <v>12472</v>
      </c>
    </row>
    <row r="9026" spans="1:2" x14ac:dyDescent="0.2">
      <c r="A9026" s="8" t="s">
        <v>9049</v>
      </c>
      <c r="B9026" s="2" t="s">
        <v>12472</v>
      </c>
    </row>
    <row r="9027" spans="1:2" x14ac:dyDescent="0.2">
      <c r="A9027" s="8" t="s">
        <v>9050</v>
      </c>
      <c r="B9027" s="2" t="s">
        <v>12472</v>
      </c>
    </row>
    <row r="9028" spans="1:2" x14ac:dyDescent="0.2">
      <c r="A9028" s="8" t="s">
        <v>9051</v>
      </c>
      <c r="B9028" s="2" t="s">
        <v>12472</v>
      </c>
    </row>
    <row r="9029" spans="1:2" x14ac:dyDescent="0.2">
      <c r="A9029" s="8" t="s">
        <v>9052</v>
      </c>
      <c r="B9029" s="2" t="s">
        <v>12472</v>
      </c>
    </row>
    <row r="9030" spans="1:2" x14ac:dyDescent="0.2">
      <c r="A9030" s="8" t="s">
        <v>9053</v>
      </c>
      <c r="B9030" s="2" t="s">
        <v>12472</v>
      </c>
    </row>
    <row r="9031" spans="1:2" x14ac:dyDescent="0.2">
      <c r="A9031" s="8" t="s">
        <v>9054</v>
      </c>
      <c r="B9031" s="2" t="s">
        <v>12472</v>
      </c>
    </row>
    <row r="9032" spans="1:2" x14ac:dyDescent="0.2">
      <c r="A9032" s="8" t="s">
        <v>9055</v>
      </c>
      <c r="B9032" s="2" t="s">
        <v>12472</v>
      </c>
    </row>
    <row r="9033" spans="1:2" x14ac:dyDescent="0.2">
      <c r="A9033" s="8" t="s">
        <v>9056</v>
      </c>
      <c r="B9033" s="2" t="s">
        <v>12472</v>
      </c>
    </row>
    <row r="9034" spans="1:2" x14ac:dyDescent="0.2">
      <c r="A9034" s="8" t="s">
        <v>9057</v>
      </c>
      <c r="B9034" s="2" t="s">
        <v>12472</v>
      </c>
    </row>
    <row r="9035" spans="1:2" x14ac:dyDescent="0.2">
      <c r="A9035" s="8" t="s">
        <v>9058</v>
      </c>
      <c r="B9035" s="2" t="s">
        <v>12472</v>
      </c>
    </row>
    <row r="9036" spans="1:2" x14ac:dyDescent="0.2">
      <c r="A9036" s="8" t="s">
        <v>9059</v>
      </c>
      <c r="B9036" s="2" t="s">
        <v>12472</v>
      </c>
    </row>
    <row r="9037" spans="1:2" x14ac:dyDescent="0.2">
      <c r="A9037" s="8" t="s">
        <v>9060</v>
      </c>
      <c r="B9037" s="2" t="s">
        <v>12472</v>
      </c>
    </row>
    <row r="9038" spans="1:2" x14ac:dyDescent="0.2">
      <c r="A9038" s="8" t="s">
        <v>9061</v>
      </c>
      <c r="B9038" s="2" t="s">
        <v>12472</v>
      </c>
    </row>
    <row r="9039" spans="1:2" x14ac:dyDescent="0.2">
      <c r="A9039" s="8" t="s">
        <v>9062</v>
      </c>
      <c r="B9039" s="2" t="s">
        <v>12472</v>
      </c>
    </row>
    <row r="9040" spans="1:2" x14ac:dyDescent="0.2">
      <c r="A9040" s="8" t="s">
        <v>9063</v>
      </c>
      <c r="B9040" s="2" t="s">
        <v>12472</v>
      </c>
    </row>
    <row r="9041" spans="1:2" x14ac:dyDescent="0.2">
      <c r="A9041" s="8" t="s">
        <v>9064</v>
      </c>
      <c r="B9041" s="2" t="s">
        <v>12472</v>
      </c>
    </row>
    <row r="9042" spans="1:2" x14ac:dyDescent="0.2">
      <c r="A9042" s="8" t="s">
        <v>9065</v>
      </c>
      <c r="B9042" s="2" t="s">
        <v>12472</v>
      </c>
    </row>
    <row r="9043" spans="1:2" x14ac:dyDescent="0.2">
      <c r="A9043" s="8" t="s">
        <v>9066</v>
      </c>
      <c r="B9043" s="2" t="s">
        <v>12472</v>
      </c>
    </row>
    <row r="9044" spans="1:2" x14ac:dyDescent="0.2">
      <c r="A9044" s="8" t="s">
        <v>9067</v>
      </c>
      <c r="B9044" s="2" t="s">
        <v>12472</v>
      </c>
    </row>
    <row r="9045" spans="1:2" x14ac:dyDescent="0.2">
      <c r="A9045" s="8" t="s">
        <v>9068</v>
      </c>
      <c r="B9045" s="2" t="s">
        <v>12472</v>
      </c>
    </row>
    <row r="9046" spans="1:2" x14ac:dyDescent="0.2">
      <c r="A9046" s="8" t="s">
        <v>9069</v>
      </c>
      <c r="B9046" s="2" t="s">
        <v>12472</v>
      </c>
    </row>
    <row r="9047" spans="1:2" x14ac:dyDescent="0.2">
      <c r="A9047" s="8" t="s">
        <v>9070</v>
      </c>
      <c r="B9047" s="2" t="s">
        <v>12472</v>
      </c>
    </row>
    <row r="9048" spans="1:2" x14ac:dyDescent="0.2">
      <c r="A9048" s="8" t="s">
        <v>9071</v>
      </c>
      <c r="B9048" s="2" t="s">
        <v>12472</v>
      </c>
    </row>
    <row r="9049" spans="1:2" x14ac:dyDescent="0.2">
      <c r="A9049" s="8" t="s">
        <v>9072</v>
      </c>
      <c r="B9049" s="2" t="s">
        <v>12472</v>
      </c>
    </row>
    <row r="9050" spans="1:2" x14ac:dyDescent="0.2">
      <c r="A9050" s="8" t="s">
        <v>9073</v>
      </c>
      <c r="B9050" s="2" t="s">
        <v>12472</v>
      </c>
    </row>
    <row r="9051" spans="1:2" x14ac:dyDescent="0.2">
      <c r="A9051" s="8" t="s">
        <v>9074</v>
      </c>
      <c r="B9051" s="2" t="s">
        <v>12472</v>
      </c>
    </row>
    <row r="9052" spans="1:2" x14ac:dyDescent="0.2">
      <c r="A9052" s="8" t="s">
        <v>9075</v>
      </c>
      <c r="B9052" s="2" t="s">
        <v>12472</v>
      </c>
    </row>
    <row r="9053" spans="1:2" x14ac:dyDescent="0.2">
      <c r="A9053" s="8" t="s">
        <v>9076</v>
      </c>
      <c r="B9053" s="2" t="s">
        <v>12472</v>
      </c>
    </row>
    <row r="9054" spans="1:2" x14ac:dyDescent="0.2">
      <c r="A9054" s="8" t="s">
        <v>9077</v>
      </c>
      <c r="B9054" s="2" t="s">
        <v>12472</v>
      </c>
    </row>
    <row r="9055" spans="1:2" x14ac:dyDescent="0.2">
      <c r="A9055" s="8" t="s">
        <v>9078</v>
      </c>
      <c r="B9055" s="2" t="s">
        <v>12472</v>
      </c>
    </row>
    <row r="9056" spans="1:2" x14ac:dyDescent="0.2">
      <c r="A9056" s="8" t="s">
        <v>9079</v>
      </c>
      <c r="B9056" s="2" t="s">
        <v>12472</v>
      </c>
    </row>
    <row r="9057" spans="1:2" x14ac:dyDescent="0.2">
      <c r="A9057" s="8" t="s">
        <v>9080</v>
      </c>
      <c r="B9057" s="2" t="s">
        <v>12472</v>
      </c>
    </row>
    <row r="9058" spans="1:2" x14ac:dyDescent="0.2">
      <c r="A9058" s="8" t="s">
        <v>9081</v>
      </c>
      <c r="B9058" s="2" t="s">
        <v>12472</v>
      </c>
    </row>
    <row r="9059" spans="1:2" x14ac:dyDescent="0.2">
      <c r="A9059" s="8" t="s">
        <v>9082</v>
      </c>
      <c r="B9059" s="2" t="s">
        <v>12472</v>
      </c>
    </row>
    <row r="9060" spans="1:2" x14ac:dyDescent="0.2">
      <c r="A9060" s="8" t="s">
        <v>9083</v>
      </c>
      <c r="B9060" s="2" t="s">
        <v>12472</v>
      </c>
    </row>
    <row r="9061" spans="1:2" x14ac:dyDescent="0.2">
      <c r="A9061" s="8" t="s">
        <v>9084</v>
      </c>
      <c r="B9061" s="2" t="s">
        <v>12472</v>
      </c>
    </row>
    <row r="9062" spans="1:2" x14ac:dyDescent="0.2">
      <c r="A9062" s="8" t="s">
        <v>9085</v>
      </c>
      <c r="B9062" s="2" t="s">
        <v>12472</v>
      </c>
    </row>
    <row r="9063" spans="1:2" x14ac:dyDescent="0.2">
      <c r="A9063" s="8" t="s">
        <v>9086</v>
      </c>
      <c r="B9063" s="2" t="s">
        <v>12472</v>
      </c>
    </row>
    <row r="9064" spans="1:2" x14ac:dyDescent="0.2">
      <c r="A9064" s="8" t="s">
        <v>9087</v>
      </c>
      <c r="B9064" s="2" t="s">
        <v>12472</v>
      </c>
    </row>
    <row r="9065" spans="1:2" x14ac:dyDescent="0.2">
      <c r="A9065" s="8" t="s">
        <v>9088</v>
      </c>
      <c r="B9065" s="2" t="s">
        <v>12472</v>
      </c>
    </row>
    <row r="9066" spans="1:2" x14ac:dyDescent="0.2">
      <c r="A9066" s="8" t="s">
        <v>9089</v>
      </c>
      <c r="B9066" s="2" t="s">
        <v>12472</v>
      </c>
    </row>
    <row r="9067" spans="1:2" x14ac:dyDescent="0.2">
      <c r="A9067" s="8" t="s">
        <v>9090</v>
      </c>
      <c r="B9067" s="2" t="s">
        <v>12472</v>
      </c>
    </row>
    <row r="9068" spans="1:2" x14ac:dyDescent="0.2">
      <c r="A9068" s="8" t="s">
        <v>9091</v>
      </c>
      <c r="B9068" s="2" t="s">
        <v>12472</v>
      </c>
    </row>
    <row r="9069" spans="1:2" x14ac:dyDescent="0.2">
      <c r="A9069" s="8" t="s">
        <v>9092</v>
      </c>
      <c r="B9069" s="2" t="s">
        <v>12472</v>
      </c>
    </row>
    <row r="9070" spans="1:2" x14ac:dyDescent="0.2">
      <c r="A9070" s="8" t="s">
        <v>9093</v>
      </c>
      <c r="B9070" s="2" t="s">
        <v>12472</v>
      </c>
    </row>
    <row r="9071" spans="1:2" x14ac:dyDescent="0.2">
      <c r="A9071" s="8" t="s">
        <v>9094</v>
      </c>
      <c r="B9071" s="2" t="s">
        <v>12472</v>
      </c>
    </row>
    <row r="9072" spans="1:2" x14ac:dyDescent="0.2">
      <c r="A9072" s="8" t="s">
        <v>9095</v>
      </c>
      <c r="B9072" s="2" t="s">
        <v>12472</v>
      </c>
    </row>
    <row r="9073" spans="1:2" x14ac:dyDescent="0.2">
      <c r="A9073" s="8" t="s">
        <v>9096</v>
      </c>
      <c r="B9073" s="2" t="s">
        <v>12472</v>
      </c>
    </row>
    <row r="9074" spans="1:2" x14ac:dyDescent="0.2">
      <c r="A9074" s="8" t="s">
        <v>9097</v>
      </c>
      <c r="B9074" s="2" t="s">
        <v>12472</v>
      </c>
    </row>
    <row r="9075" spans="1:2" x14ac:dyDescent="0.2">
      <c r="A9075" s="8" t="s">
        <v>9098</v>
      </c>
      <c r="B9075" s="2" t="s">
        <v>12472</v>
      </c>
    </row>
    <row r="9076" spans="1:2" x14ac:dyDescent="0.2">
      <c r="A9076" s="8" t="s">
        <v>9099</v>
      </c>
      <c r="B9076" s="2" t="s">
        <v>12472</v>
      </c>
    </row>
    <row r="9077" spans="1:2" x14ac:dyDescent="0.2">
      <c r="A9077" s="8" t="s">
        <v>9100</v>
      </c>
      <c r="B9077" s="2" t="s">
        <v>12472</v>
      </c>
    </row>
    <row r="9078" spans="1:2" x14ac:dyDescent="0.2">
      <c r="A9078" s="8" t="s">
        <v>9101</v>
      </c>
      <c r="B9078" s="2" t="s">
        <v>12472</v>
      </c>
    </row>
    <row r="9079" spans="1:2" x14ac:dyDescent="0.2">
      <c r="A9079" s="8" t="s">
        <v>9102</v>
      </c>
      <c r="B9079" s="2" t="s">
        <v>12472</v>
      </c>
    </row>
    <row r="9080" spans="1:2" x14ac:dyDescent="0.2">
      <c r="A9080" s="8" t="s">
        <v>9103</v>
      </c>
      <c r="B9080" s="2" t="s">
        <v>12472</v>
      </c>
    </row>
    <row r="9081" spans="1:2" x14ac:dyDescent="0.2">
      <c r="A9081" s="8" t="s">
        <v>9104</v>
      </c>
      <c r="B9081" s="2" t="s">
        <v>12472</v>
      </c>
    </row>
    <row r="9082" spans="1:2" x14ac:dyDescent="0.2">
      <c r="A9082" s="8" t="s">
        <v>9105</v>
      </c>
      <c r="B9082" s="2" t="s">
        <v>12472</v>
      </c>
    </row>
    <row r="9083" spans="1:2" x14ac:dyDescent="0.2">
      <c r="A9083" s="8" t="s">
        <v>9106</v>
      </c>
      <c r="B9083" s="2" t="s">
        <v>12472</v>
      </c>
    </row>
    <row r="9084" spans="1:2" x14ac:dyDescent="0.2">
      <c r="A9084" s="8" t="s">
        <v>9107</v>
      </c>
      <c r="B9084" s="2" t="s">
        <v>12472</v>
      </c>
    </row>
    <row r="9085" spans="1:2" x14ac:dyDescent="0.2">
      <c r="A9085" s="8" t="s">
        <v>9108</v>
      </c>
      <c r="B9085" s="2" t="s">
        <v>12472</v>
      </c>
    </row>
    <row r="9086" spans="1:2" x14ac:dyDescent="0.2">
      <c r="A9086" s="8" t="s">
        <v>9109</v>
      </c>
      <c r="B9086" s="2" t="s">
        <v>12472</v>
      </c>
    </row>
    <row r="9087" spans="1:2" x14ac:dyDescent="0.2">
      <c r="A9087" s="8" t="s">
        <v>9110</v>
      </c>
      <c r="B9087" s="2" t="s">
        <v>12472</v>
      </c>
    </row>
    <row r="9088" spans="1:2" x14ac:dyDescent="0.2">
      <c r="A9088" s="8" t="s">
        <v>9111</v>
      </c>
      <c r="B9088" s="2" t="s">
        <v>12472</v>
      </c>
    </row>
    <row r="9089" spans="1:2" x14ac:dyDescent="0.2">
      <c r="A9089" s="8" t="s">
        <v>9112</v>
      </c>
      <c r="B9089" s="2" t="s">
        <v>12472</v>
      </c>
    </row>
    <row r="9090" spans="1:2" x14ac:dyDescent="0.2">
      <c r="A9090" s="8" t="s">
        <v>9113</v>
      </c>
      <c r="B9090" s="2" t="s">
        <v>12472</v>
      </c>
    </row>
    <row r="9091" spans="1:2" x14ac:dyDescent="0.2">
      <c r="A9091" s="8" t="s">
        <v>9114</v>
      </c>
      <c r="B9091" s="2" t="s">
        <v>12472</v>
      </c>
    </row>
    <row r="9092" spans="1:2" x14ac:dyDescent="0.2">
      <c r="A9092" s="8" t="s">
        <v>9115</v>
      </c>
      <c r="B9092" s="2" t="s">
        <v>12472</v>
      </c>
    </row>
    <row r="9093" spans="1:2" x14ac:dyDescent="0.2">
      <c r="A9093" s="8" t="s">
        <v>9116</v>
      </c>
      <c r="B9093" s="2" t="s">
        <v>12472</v>
      </c>
    </row>
    <row r="9094" spans="1:2" x14ac:dyDescent="0.2">
      <c r="A9094" s="8" t="s">
        <v>9117</v>
      </c>
      <c r="B9094" s="2" t="s">
        <v>12472</v>
      </c>
    </row>
    <row r="9095" spans="1:2" x14ac:dyDescent="0.2">
      <c r="A9095" s="8" t="s">
        <v>9118</v>
      </c>
      <c r="B9095" s="2" t="s">
        <v>12472</v>
      </c>
    </row>
    <row r="9096" spans="1:2" x14ac:dyDescent="0.2">
      <c r="A9096" s="8" t="s">
        <v>9119</v>
      </c>
      <c r="B9096" s="2" t="s">
        <v>12472</v>
      </c>
    </row>
    <row r="9097" spans="1:2" x14ac:dyDescent="0.2">
      <c r="A9097" s="8" t="s">
        <v>9120</v>
      </c>
      <c r="B9097" s="2" t="s">
        <v>12472</v>
      </c>
    </row>
    <row r="9098" spans="1:2" x14ac:dyDescent="0.2">
      <c r="A9098" s="8" t="s">
        <v>9121</v>
      </c>
      <c r="B9098" s="2" t="s">
        <v>12472</v>
      </c>
    </row>
    <row r="9099" spans="1:2" x14ac:dyDescent="0.2">
      <c r="A9099" s="8" t="s">
        <v>9122</v>
      </c>
      <c r="B9099" s="2" t="s">
        <v>12472</v>
      </c>
    </row>
    <row r="9100" spans="1:2" x14ac:dyDescent="0.2">
      <c r="A9100" s="8" t="s">
        <v>9123</v>
      </c>
      <c r="B9100" s="2" t="s">
        <v>12472</v>
      </c>
    </row>
    <row r="9101" spans="1:2" x14ac:dyDescent="0.2">
      <c r="A9101" s="8" t="s">
        <v>9124</v>
      </c>
      <c r="B9101" s="2" t="s">
        <v>12472</v>
      </c>
    </row>
    <row r="9102" spans="1:2" x14ac:dyDescent="0.2">
      <c r="A9102" s="8" t="s">
        <v>9125</v>
      </c>
      <c r="B9102" s="2" t="s">
        <v>12472</v>
      </c>
    </row>
    <row r="9103" spans="1:2" x14ac:dyDescent="0.2">
      <c r="A9103" s="8" t="s">
        <v>9126</v>
      </c>
      <c r="B9103" s="2" t="s">
        <v>12472</v>
      </c>
    </row>
    <row r="9104" spans="1:2" x14ac:dyDescent="0.2">
      <c r="A9104" s="8" t="s">
        <v>9127</v>
      </c>
      <c r="B9104" s="2" t="s">
        <v>12472</v>
      </c>
    </row>
    <row r="9105" spans="1:2" x14ac:dyDescent="0.2">
      <c r="A9105" s="8" t="s">
        <v>9128</v>
      </c>
      <c r="B9105" s="2" t="s">
        <v>12472</v>
      </c>
    </row>
    <row r="9106" spans="1:2" x14ac:dyDescent="0.2">
      <c r="A9106" s="8" t="s">
        <v>9129</v>
      </c>
      <c r="B9106" s="2" t="s">
        <v>12472</v>
      </c>
    </row>
    <row r="9107" spans="1:2" x14ac:dyDescent="0.2">
      <c r="A9107" s="8" t="s">
        <v>9130</v>
      </c>
      <c r="B9107" s="2" t="s">
        <v>12472</v>
      </c>
    </row>
    <row r="9108" spans="1:2" x14ac:dyDescent="0.2">
      <c r="A9108" s="8" t="s">
        <v>9131</v>
      </c>
      <c r="B9108" s="2" t="s">
        <v>12472</v>
      </c>
    </row>
    <row r="9109" spans="1:2" x14ac:dyDescent="0.2">
      <c r="A9109" s="8" t="s">
        <v>9132</v>
      </c>
      <c r="B9109" s="2" t="s">
        <v>12472</v>
      </c>
    </row>
    <row r="9110" spans="1:2" x14ac:dyDescent="0.2">
      <c r="A9110" s="8" t="s">
        <v>9133</v>
      </c>
      <c r="B9110" s="2" t="s">
        <v>12472</v>
      </c>
    </row>
    <row r="9111" spans="1:2" x14ac:dyDescent="0.2">
      <c r="A9111" s="8" t="s">
        <v>9134</v>
      </c>
      <c r="B9111" s="2" t="s">
        <v>12472</v>
      </c>
    </row>
    <row r="9112" spans="1:2" x14ac:dyDescent="0.2">
      <c r="A9112" s="8" t="s">
        <v>9135</v>
      </c>
      <c r="B9112" s="2" t="s">
        <v>12472</v>
      </c>
    </row>
    <row r="9113" spans="1:2" x14ac:dyDescent="0.2">
      <c r="A9113" s="8" t="s">
        <v>9136</v>
      </c>
      <c r="B9113" s="2" t="s">
        <v>12472</v>
      </c>
    </row>
    <row r="9114" spans="1:2" x14ac:dyDescent="0.2">
      <c r="A9114" s="8" t="s">
        <v>9137</v>
      </c>
      <c r="B9114" s="2" t="s">
        <v>12472</v>
      </c>
    </row>
    <row r="9115" spans="1:2" x14ac:dyDescent="0.2">
      <c r="A9115" s="8" t="s">
        <v>9138</v>
      </c>
      <c r="B9115" s="2" t="s">
        <v>12472</v>
      </c>
    </row>
    <row r="9116" spans="1:2" x14ac:dyDescent="0.2">
      <c r="A9116" s="8" t="s">
        <v>9139</v>
      </c>
      <c r="B9116" s="2" t="s">
        <v>12472</v>
      </c>
    </row>
    <row r="9117" spans="1:2" x14ac:dyDescent="0.2">
      <c r="A9117" s="8" t="s">
        <v>9140</v>
      </c>
      <c r="B9117" s="2" t="s">
        <v>12472</v>
      </c>
    </row>
    <row r="9118" spans="1:2" x14ac:dyDescent="0.2">
      <c r="A9118" s="8" t="s">
        <v>9141</v>
      </c>
      <c r="B9118" s="2" t="s">
        <v>12472</v>
      </c>
    </row>
    <row r="9119" spans="1:2" x14ac:dyDescent="0.2">
      <c r="A9119" s="8" t="s">
        <v>9142</v>
      </c>
      <c r="B9119" s="2" t="s">
        <v>12472</v>
      </c>
    </row>
    <row r="9120" spans="1:2" x14ac:dyDescent="0.2">
      <c r="A9120" s="8" t="s">
        <v>9143</v>
      </c>
      <c r="B9120" s="2" t="s">
        <v>12472</v>
      </c>
    </row>
    <row r="9121" spans="1:2" x14ac:dyDescent="0.2">
      <c r="A9121" s="8" t="s">
        <v>9144</v>
      </c>
      <c r="B9121" s="2" t="s">
        <v>12472</v>
      </c>
    </row>
    <row r="9122" spans="1:2" x14ac:dyDescent="0.2">
      <c r="A9122" s="8" t="s">
        <v>9145</v>
      </c>
      <c r="B9122" s="2" t="s">
        <v>12472</v>
      </c>
    </row>
    <row r="9123" spans="1:2" x14ac:dyDescent="0.2">
      <c r="A9123" s="8" t="s">
        <v>9146</v>
      </c>
      <c r="B9123" s="2" t="s">
        <v>12472</v>
      </c>
    </row>
    <row r="9124" spans="1:2" x14ac:dyDescent="0.2">
      <c r="A9124" s="8" t="s">
        <v>9147</v>
      </c>
      <c r="B9124" s="2" t="s">
        <v>12472</v>
      </c>
    </row>
    <row r="9125" spans="1:2" x14ac:dyDescent="0.2">
      <c r="A9125" s="8" t="s">
        <v>9148</v>
      </c>
      <c r="B9125" s="2" t="s">
        <v>12472</v>
      </c>
    </row>
    <row r="9126" spans="1:2" x14ac:dyDescent="0.2">
      <c r="A9126" s="8" t="s">
        <v>9149</v>
      </c>
      <c r="B9126" s="2" t="s">
        <v>12472</v>
      </c>
    </row>
    <row r="9127" spans="1:2" x14ac:dyDescent="0.2">
      <c r="A9127" s="8" t="s">
        <v>9150</v>
      </c>
      <c r="B9127" s="2" t="s">
        <v>12472</v>
      </c>
    </row>
    <row r="9128" spans="1:2" x14ac:dyDescent="0.2">
      <c r="A9128" s="8" t="s">
        <v>9151</v>
      </c>
      <c r="B9128" s="2" t="s">
        <v>12472</v>
      </c>
    </row>
    <row r="9129" spans="1:2" x14ac:dyDescent="0.2">
      <c r="A9129" s="8" t="s">
        <v>9152</v>
      </c>
      <c r="B9129" s="2" t="s">
        <v>12472</v>
      </c>
    </row>
    <row r="9130" spans="1:2" x14ac:dyDescent="0.2">
      <c r="A9130" s="8" t="s">
        <v>9153</v>
      </c>
      <c r="B9130" s="2" t="s">
        <v>12472</v>
      </c>
    </row>
    <row r="9131" spans="1:2" x14ac:dyDescent="0.2">
      <c r="A9131" s="8" t="s">
        <v>9154</v>
      </c>
      <c r="B9131" s="2" t="s">
        <v>12472</v>
      </c>
    </row>
    <row r="9132" spans="1:2" x14ac:dyDescent="0.2">
      <c r="A9132" s="8" t="s">
        <v>9155</v>
      </c>
      <c r="B9132" s="2" t="s">
        <v>12472</v>
      </c>
    </row>
    <row r="9133" spans="1:2" x14ac:dyDescent="0.2">
      <c r="A9133" s="8" t="s">
        <v>9156</v>
      </c>
      <c r="B9133" s="2" t="s">
        <v>12472</v>
      </c>
    </row>
    <row r="9134" spans="1:2" x14ac:dyDescent="0.2">
      <c r="A9134" s="8" t="s">
        <v>9157</v>
      </c>
      <c r="B9134" s="2" t="s">
        <v>12472</v>
      </c>
    </row>
    <row r="9135" spans="1:2" x14ac:dyDescent="0.2">
      <c r="A9135" s="8" t="s">
        <v>9158</v>
      </c>
      <c r="B9135" s="2" t="s">
        <v>12472</v>
      </c>
    </row>
    <row r="9136" spans="1:2" x14ac:dyDescent="0.2">
      <c r="A9136" s="8" t="s">
        <v>9159</v>
      </c>
      <c r="B9136" s="2" t="s">
        <v>12472</v>
      </c>
    </row>
    <row r="9137" spans="1:2" x14ac:dyDescent="0.2">
      <c r="A9137" s="8" t="s">
        <v>9160</v>
      </c>
      <c r="B9137" s="2" t="s">
        <v>12472</v>
      </c>
    </row>
    <row r="9138" spans="1:2" x14ac:dyDescent="0.2">
      <c r="A9138" s="8" t="s">
        <v>9161</v>
      </c>
      <c r="B9138" s="2" t="s">
        <v>12472</v>
      </c>
    </row>
    <row r="9139" spans="1:2" x14ac:dyDescent="0.2">
      <c r="A9139" s="8" t="s">
        <v>9162</v>
      </c>
      <c r="B9139" s="2" t="s">
        <v>12472</v>
      </c>
    </row>
    <row r="9140" spans="1:2" x14ac:dyDescent="0.2">
      <c r="A9140" s="8" t="s">
        <v>9163</v>
      </c>
      <c r="B9140" s="2" t="s">
        <v>12472</v>
      </c>
    </row>
    <row r="9141" spans="1:2" x14ac:dyDescent="0.2">
      <c r="A9141" s="8" t="s">
        <v>9164</v>
      </c>
      <c r="B9141" s="2" t="s">
        <v>12472</v>
      </c>
    </row>
    <row r="9142" spans="1:2" x14ac:dyDescent="0.2">
      <c r="A9142" s="8" t="s">
        <v>9165</v>
      </c>
      <c r="B9142" s="2" t="s">
        <v>12472</v>
      </c>
    </row>
    <row r="9143" spans="1:2" x14ac:dyDescent="0.2">
      <c r="A9143" s="8" t="s">
        <v>9166</v>
      </c>
      <c r="B9143" s="2" t="s">
        <v>12472</v>
      </c>
    </row>
    <row r="9144" spans="1:2" x14ac:dyDescent="0.2">
      <c r="A9144" s="8" t="s">
        <v>9167</v>
      </c>
      <c r="B9144" s="2" t="s">
        <v>12472</v>
      </c>
    </row>
    <row r="9145" spans="1:2" x14ac:dyDescent="0.2">
      <c r="A9145" s="8" t="s">
        <v>9168</v>
      </c>
      <c r="B9145" s="2" t="s">
        <v>12472</v>
      </c>
    </row>
    <row r="9146" spans="1:2" x14ac:dyDescent="0.2">
      <c r="A9146" s="8" t="s">
        <v>9169</v>
      </c>
      <c r="B9146" s="2" t="s">
        <v>12472</v>
      </c>
    </row>
    <row r="9147" spans="1:2" x14ac:dyDescent="0.2">
      <c r="A9147" s="8" t="s">
        <v>9170</v>
      </c>
      <c r="B9147" s="2" t="s">
        <v>12472</v>
      </c>
    </row>
    <row r="9148" spans="1:2" x14ac:dyDescent="0.2">
      <c r="A9148" s="8" t="s">
        <v>9171</v>
      </c>
      <c r="B9148" s="2" t="s">
        <v>12472</v>
      </c>
    </row>
    <row r="9149" spans="1:2" x14ac:dyDescent="0.2">
      <c r="A9149" s="8" t="s">
        <v>9172</v>
      </c>
      <c r="B9149" s="2" t="s">
        <v>12472</v>
      </c>
    </row>
    <row r="9150" spans="1:2" x14ac:dyDescent="0.2">
      <c r="A9150" s="8" t="s">
        <v>9173</v>
      </c>
      <c r="B9150" s="2" t="s">
        <v>12472</v>
      </c>
    </row>
    <row r="9151" spans="1:2" x14ac:dyDescent="0.2">
      <c r="A9151" s="8" t="s">
        <v>9174</v>
      </c>
      <c r="B9151" s="2" t="s">
        <v>12472</v>
      </c>
    </row>
    <row r="9152" spans="1:2" x14ac:dyDescent="0.2">
      <c r="A9152" s="8" t="s">
        <v>9175</v>
      </c>
      <c r="B9152" s="2" t="s">
        <v>12472</v>
      </c>
    </row>
    <row r="9153" spans="1:2" x14ac:dyDescent="0.2">
      <c r="A9153" s="8" t="s">
        <v>9176</v>
      </c>
      <c r="B9153" s="2" t="s">
        <v>12472</v>
      </c>
    </row>
    <row r="9154" spans="1:2" x14ac:dyDescent="0.2">
      <c r="A9154" s="8" t="s">
        <v>9177</v>
      </c>
      <c r="B9154" s="2" t="s">
        <v>12472</v>
      </c>
    </row>
    <row r="9155" spans="1:2" x14ac:dyDescent="0.2">
      <c r="A9155" s="8" t="s">
        <v>9178</v>
      </c>
      <c r="B9155" s="2" t="s">
        <v>12472</v>
      </c>
    </row>
    <row r="9156" spans="1:2" x14ac:dyDescent="0.2">
      <c r="A9156" s="8" t="s">
        <v>9179</v>
      </c>
      <c r="B9156" s="2" t="s">
        <v>12472</v>
      </c>
    </row>
    <row r="9157" spans="1:2" x14ac:dyDescent="0.2">
      <c r="A9157" s="8" t="s">
        <v>9180</v>
      </c>
      <c r="B9157" s="2" t="s">
        <v>12472</v>
      </c>
    </row>
    <row r="9158" spans="1:2" x14ac:dyDescent="0.2">
      <c r="A9158" s="8" t="s">
        <v>9181</v>
      </c>
      <c r="B9158" s="2" t="s">
        <v>12472</v>
      </c>
    </row>
    <row r="9159" spans="1:2" x14ac:dyDescent="0.2">
      <c r="A9159" s="8" t="s">
        <v>9182</v>
      </c>
      <c r="B9159" s="2" t="s">
        <v>12472</v>
      </c>
    </row>
    <row r="9160" spans="1:2" x14ac:dyDescent="0.2">
      <c r="A9160" s="8" t="s">
        <v>9183</v>
      </c>
      <c r="B9160" s="2" t="s">
        <v>12472</v>
      </c>
    </row>
    <row r="9161" spans="1:2" x14ac:dyDescent="0.2">
      <c r="A9161" s="8" t="s">
        <v>9184</v>
      </c>
      <c r="B9161" s="2" t="s">
        <v>12472</v>
      </c>
    </row>
    <row r="9162" spans="1:2" x14ac:dyDescent="0.2">
      <c r="A9162" s="8" t="s">
        <v>9185</v>
      </c>
      <c r="B9162" s="2" t="s">
        <v>12472</v>
      </c>
    </row>
    <row r="9163" spans="1:2" x14ac:dyDescent="0.2">
      <c r="A9163" s="8" t="s">
        <v>9186</v>
      </c>
      <c r="B9163" s="2" t="s">
        <v>12472</v>
      </c>
    </row>
    <row r="9164" spans="1:2" x14ac:dyDescent="0.2">
      <c r="A9164" s="8" t="s">
        <v>9187</v>
      </c>
      <c r="B9164" s="2" t="s">
        <v>12472</v>
      </c>
    </row>
    <row r="9165" spans="1:2" x14ac:dyDescent="0.2">
      <c r="A9165" s="8" t="s">
        <v>9188</v>
      </c>
      <c r="B9165" s="2" t="s">
        <v>12472</v>
      </c>
    </row>
    <row r="9166" spans="1:2" x14ac:dyDescent="0.2">
      <c r="A9166" s="8" t="s">
        <v>9189</v>
      </c>
      <c r="B9166" s="2" t="s">
        <v>12472</v>
      </c>
    </row>
    <row r="9167" spans="1:2" x14ac:dyDescent="0.2">
      <c r="A9167" s="8" t="s">
        <v>9190</v>
      </c>
      <c r="B9167" s="2" t="s">
        <v>12472</v>
      </c>
    </row>
    <row r="9168" spans="1:2" x14ac:dyDescent="0.2">
      <c r="A9168" s="8" t="s">
        <v>9191</v>
      </c>
      <c r="B9168" s="2" t="s">
        <v>12472</v>
      </c>
    </row>
    <row r="9169" spans="1:2" x14ac:dyDescent="0.2">
      <c r="A9169" s="8" t="s">
        <v>9192</v>
      </c>
      <c r="B9169" s="2" t="s">
        <v>12472</v>
      </c>
    </row>
    <row r="9170" spans="1:2" x14ac:dyDescent="0.2">
      <c r="A9170" s="8" t="s">
        <v>9193</v>
      </c>
      <c r="B9170" s="2" t="s">
        <v>12472</v>
      </c>
    </row>
    <row r="9171" spans="1:2" x14ac:dyDescent="0.2">
      <c r="A9171" s="8" t="s">
        <v>9194</v>
      </c>
      <c r="B9171" s="2" t="s">
        <v>12472</v>
      </c>
    </row>
    <row r="9172" spans="1:2" x14ac:dyDescent="0.2">
      <c r="A9172" s="8" t="s">
        <v>9195</v>
      </c>
      <c r="B9172" s="2" t="s">
        <v>12472</v>
      </c>
    </row>
    <row r="9173" spans="1:2" x14ac:dyDescent="0.2">
      <c r="A9173" s="8" t="s">
        <v>9196</v>
      </c>
      <c r="B9173" s="2" t="s">
        <v>12472</v>
      </c>
    </row>
    <row r="9174" spans="1:2" x14ac:dyDescent="0.2">
      <c r="A9174" s="8" t="s">
        <v>9197</v>
      </c>
      <c r="B9174" s="2" t="s">
        <v>12472</v>
      </c>
    </row>
    <row r="9175" spans="1:2" x14ac:dyDescent="0.2">
      <c r="A9175" s="8" t="s">
        <v>9198</v>
      </c>
      <c r="B9175" s="2" t="s">
        <v>12472</v>
      </c>
    </row>
    <row r="9176" spans="1:2" x14ac:dyDescent="0.2">
      <c r="A9176" s="8" t="s">
        <v>9199</v>
      </c>
      <c r="B9176" s="2" t="s">
        <v>12472</v>
      </c>
    </row>
    <row r="9177" spans="1:2" x14ac:dyDescent="0.2">
      <c r="A9177" s="8" t="s">
        <v>9200</v>
      </c>
      <c r="B9177" s="2" t="s">
        <v>12472</v>
      </c>
    </row>
    <row r="9178" spans="1:2" x14ac:dyDescent="0.2">
      <c r="A9178" s="8" t="s">
        <v>9201</v>
      </c>
      <c r="B9178" s="2" t="s">
        <v>12472</v>
      </c>
    </row>
    <row r="9179" spans="1:2" x14ac:dyDescent="0.2">
      <c r="A9179" s="8" t="s">
        <v>9202</v>
      </c>
      <c r="B9179" s="2" t="s">
        <v>12472</v>
      </c>
    </row>
    <row r="9180" spans="1:2" x14ac:dyDescent="0.2">
      <c r="A9180" s="8" t="s">
        <v>9203</v>
      </c>
      <c r="B9180" s="2" t="s">
        <v>12472</v>
      </c>
    </row>
    <row r="9181" spans="1:2" x14ac:dyDescent="0.2">
      <c r="A9181" s="8" t="s">
        <v>9204</v>
      </c>
      <c r="B9181" s="2" t="s">
        <v>12472</v>
      </c>
    </row>
    <row r="9182" spans="1:2" x14ac:dyDescent="0.2">
      <c r="A9182" s="8" t="s">
        <v>9205</v>
      </c>
      <c r="B9182" s="2" t="s">
        <v>12472</v>
      </c>
    </row>
    <row r="9183" spans="1:2" x14ac:dyDescent="0.2">
      <c r="A9183" s="8" t="s">
        <v>9206</v>
      </c>
      <c r="B9183" s="2" t="s">
        <v>12472</v>
      </c>
    </row>
    <row r="9184" spans="1:2" x14ac:dyDescent="0.2">
      <c r="A9184" s="8" t="s">
        <v>9207</v>
      </c>
      <c r="B9184" s="2" t="s">
        <v>12472</v>
      </c>
    </row>
    <row r="9185" spans="1:2" x14ac:dyDescent="0.2">
      <c r="A9185" s="8" t="s">
        <v>9208</v>
      </c>
      <c r="B9185" s="2" t="s">
        <v>12472</v>
      </c>
    </row>
    <row r="9186" spans="1:2" x14ac:dyDescent="0.2">
      <c r="A9186" s="8" t="s">
        <v>9209</v>
      </c>
      <c r="B9186" s="2" t="s">
        <v>12472</v>
      </c>
    </row>
    <row r="9187" spans="1:2" x14ac:dyDescent="0.2">
      <c r="A9187" s="8" t="s">
        <v>9210</v>
      </c>
      <c r="B9187" s="2" t="s">
        <v>12472</v>
      </c>
    </row>
    <row r="9188" spans="1:2" x14ac:dyDescent="0.2">
      <c r="A9188" s="8" t="s">
        <v>9211</v>
      </c>
      <c r="B9188" s="2" t="s">
        <v>12472</v>
      </c>
    </row>
    <row r="9189" spans="1:2" x14ac:dyDescent="0.2">
      <c r="A9189" s="8" t="s">
        <v>9212</v>
      </c>
      <c r="B9189" s="2" t="s">
        <v>12472</v>
      </c>
    </row>
    <row r="9190" spans="1:2" x14ac:dyDescent="0.2">
      <c r="A9190" s="8" t="s">
        <v>9213</v>
      </c>
      <c r="B9190" s="2" t="s">
        <v>12472</v>
      </c>
    </row>
    <row r="9191" spans="1:2" x14ac:dyDescent="0.2">
      <c r="A9191" s="8" t="s">
        <v>9214</v>
      </c>
      <c r="B9191" s="2" t="s">
        <v>12472</v>
      </c>
    </row>
    <row r="9192" spans="1:2" x14ac:dyDescent="0.2">
      <c r="A9192" s="8" t="s">
        <v>9215</v>
      </c>
      <c r="B9192" s="2" t="s">
        <v>12472</v>
      </c>
    </row>
    <row r="9193" spans="1:2" x14ac:dyDescent="0.2">
      <c r="A9193" s="8" t="s">
        <v>9216</v>
      </c>
      <c r="B9193" s="2" t="s">
        <v>12472</v>
      </c>
    </row>
    <row r="9194" spans="1:2" x14ac:dyDescent="0.2">
      <c r="A9194" s="8" t="s">
        <v>9217</v>
      </c>
      <c r="B9194" s="2" t="s">
        <v>12472</v>
      </c>
    </row>
    <row r="9195" spans="1:2" x14ac:dyDescent="0.2">
      <c r="A9195" s="8" t="s">
        <v>9218</v>
      </c>
      <c r="B9195" s="2" t="s">
        <v>12472</v>
      </c>
    </row>
    <row r="9196" spans="1:2" x14ac:dyDescent="0.2">
      <c r="A9196" s="8" t="s">
        <v>9219</v>
      </c>
      <c r="B9196" s="2" t="s">
        <v>12472</v>
      </c>
    </row>
    <row r="9197" spans="1:2" x14ac:dyDescent="0.2">
      <c r="A9197" s="8" t="s">
        <v>9220</v>
      </c>
      <c r="B9197" s="2" t="s">
        <v>12472</v>
      </c>
    </row>
    <row r="9198" spans="1:2" x14ac:dyDescent="0.2">
      <c r="A9198" s="8" t="s">
        <v>9221</v>
      </c>
      <c r="B9198" s="2" t="s">
        <v>12472</v>
      </c>
    </row>
    <row r="9199" spans="1:2" x14ac:dyDescent="0.2">
      <c r="A9199" s="8" t="s">
        <v>9222</v>
      </c>
      <c r="B9199" s="2" t="s">
        <v>12472</v>
      </c>
    </row>
    <row r="9200" spans="1:2" x14ac:dyDescent="0.2">
      <c r="A9200" s="8" t="s">
        <v>9223</v>
      </c>
      <c r="B9200" s="2" t="s">
        <v>12472</v>
      </c>
    </row>
    <row r="9201" spans="1:2" x14ac:dyDescent="0.2">
      <c r="A9201" s="8" t="s">
        <v>9224</v>
      </c>
      <c r="B9201" s="2" t="s">
        <v>12472</v>
      </c>
    </row>
    <row r="9202" spans="1:2" x14ac:dyDescent="0.2">
      <c r="A9202" s="8" t="s">
        <v>9225</v>
      </c>
      <c r="B9202" s="2" t="s">
        <v>12472</v>
      </c>
    </row>
    <row r="9203" spans="1:2" x14ac:dyDescent="0.2">
      <c r="A9203" s="8" t="s">
        <v>9226</v>
      </c>
      <c r="B9203" s="2" t="s">
        <v>12472</v>
      </c>
    </row>
    <row r="9204" spans="1:2" x14ac:dyDescent="0.2">
      <c r="A9204" s="8" t="s">
        <v>9227</v>
      </c>
      <c r="B9204" s="2" t="s">
        <v>12472</v>
      </c>
    </row>
    <row r="9205" spans="1:2" x14ac:dyDescent="0.2">
      <c r="A9205" s="8" t="s">
        <v>9228</v>
      </c>
      <c r="B9205" s="2" t="s">
        <v>12472</v>
      </c>
    </row>
    <row r="9206" spans="1:2" x14ac:dyDescent="0.2">
      <c r="A9206" s="8" t="s">
        <v>9229</v>
      </c>
      <c r="B9206" s="2" t="s">
        <v>12472</v>
      </c>
    </row>
    <row r="9207" spans="1:2" x14ac:dyDescent="0.2">
      <c r="A9207" s="8" t="s">
        <v>9230</v>
      </c>
      <c r="B9207" s="2" t="s">
        <v>12472</v>
      </c>
    </row>
    <row r="9208" spans="1:2" x14ac:dyDescent="0.2">
      <c r="A9208" s="8" t="s">
        <v>9231</v>
      </c>
      <c r="B9208" s="2" t="s">
        <v>12472</v>
      </c>
    </row>
    <row r="9209" spans="1:2" x14ac:dyDescent="0.2">
      <c r="A9209" s="8" t="s">
        <v>9232</v>
      </c>
      <c r="B9209" s="2" t="s">
        <v>12472</v>
      </c>
    </row>
    <row r="9210" spans="1:2" x14ac:dyDescent="0.2">
      <c r="A9210" s="8" t="s">
        <v>9233</v>
      </c>
      <c r="B9210" s="2" t="s">
        <v>12472</v>
      </c>
    </row>
    <row r="9211" spans="1:2" x14ac:dyDescent="0.2">
      <c r="A9211" s="8" t="s">
        <v>9234</v>
      </c>
      <c r="B9211" s="2" t="s">
        <v>12472</v>
      </c>
    </row>
    <row r="9212" spans="1:2" x14ac:dyDescent="0.2">
      <c r="A9212" s="8" t="s">
        <v>9235</v>
      </c>
      <c r="B9212" s="2" t="s">
        <v>12472</v>
      </c>
    </row>
    <row r="9213" spans="1:2" x14ac:dyDescent="0.2">
      <c r="A9213" s="8" t="s">
        <v>9236</v>
      </c>
      <c r="B9213" s="2" t="s">
        <v>12472</v>
      </c>
    </row>
    <row r="9214" spans="1:2" x14ac:dyDescent="0.2">
      <c r="A9214" s="8" t="s">
        <v>9237</v>
      </c>
      <c r="B9214" s="2" t="s">
        <v>12472</v>
      </c>
    </row>
    <row r="9215" spans="1:2" x14ac:dyDescent="0.2">
      <c r="A9215" s="8" t="s">
        <v>9238</v>
      </c>
      <c r="B9215" s="2" t="s">
        <v>12472</v>
      </c>
    </row>
    <row r="9216" spans="1:2" x14ac:dyDescent="0.2">
      <c r="A9216" s="8" t="s">
        <v>9239</v>
      </c>
      <c r="B9216" s="2" t="s">
        <v>12472</v>
      </c>
    </row>
    <row r="9217" spans="1:2" x14ac:dyDescent="0.2">
      <c r="A9217" s="8" t="s">
        <v>9240</v>
      </c>
      <c r="B9217" s="2" t="s">
        <v>12472</v>
      </c>
    </row>
    <row r="9218" spans="1:2" x14ac:dyDescent="0.2">
      <c r="A9218" s="8" t="s">
        <v>9241</v>
      </c>
      <c r="B9218" s="2" t="s">
        <v>12472</v>
      </c>
    </row>
    <row r="9219" spans="1:2" x14ac:dyDescent="0.2">
      <c r="A9219" s="8" t="s">
        <v>9242</v>
      </c>
      <c r="B9219" s="2" t="s">
        <v>12472</v>
      </c>
    </row>
    <row r="9220" spans="1:2" x14ac:dyDescent="0.2">
      <c r="A9220" s="8" t="s">
        <v>9243</v>
      </c>
      <c r="B9220" s="2" t="s">
        <v>12472</v>
      </c>
    </row>
    <row r="9221" spans="1:2" x14ac:dyDescent="0.2">
      <c r="A9221" s="8" t="s">
        <v>9244</v>
      </c>
      <c r="B9221" s="2" t="s">
        <v>12472</v>
      </c>
    </row>
    <row r="9222" spans="1:2" x14ac:dyDescent="0.2">
      <c r="A9222" s="8" t="s">
        <v>9245</v>
      </c>
      <c r="B9222" s="2" t="s">
        <v>12472</v>
      </c>
    </row>
    <row r="9223" spans="1:2" x14ac:dyDescent="0.2">
      <c r="A9223" s="8" t="s">
        <v>9246</v>
      </c>
      <c r="B9223" s="2" t="s">
        <v>12472</v>
      </c>
    </row>
    <row r="9224" spans="1:2" x14ac:dyDescent="0.2">
      <c r="A9224" s="8" t="s">
        <v>9247</v>
      </c>
      <c r="B9224" s="2" t="s">
        <v>12472</v>
      </c>
    </row>
    <row r="9225" spans="1:2" x14ac:dyDescent="0.2">
      <c r="A9225" s="8" t="s">
        <v>9248</v>
      </c>
      <c r="B9225" s="2" t="s">
        <v>12472</v>
      </c>
    </row>
    <row r="9226" spans="1:2" x14ac:dyDescent="0.2">
      <c r="A9226" s="8" t="s">
        <v>9249</v>
      </c>
      <c r="B9226" s="2" t="s">
        <v>12472</v>
      </c>
    </row>
    <row r="9227" spans="1:2" x14ac:dyDescent="0.2">
      <c r="A9227" s="8" t="s">
        <v>9250</v>
      </c>
      <c r="B9227" s="2" t="s">
        <v>12472</v>
      </c>
    </row>
    <row r="9228" spans="1:2" x14ac:dyDescent="0.2">
      <c r="A9228" s="8" t="s">
        <v>9251</v>
      </c>
      <c r="B9228" s="2" t="s">
        <v>12472</v>
      </c>
    </row>
    <row r="9229" spans="1:2" x14ac:dyDescent="0.2">
      <c r="A9229" s="8" t="s">
        <v>9252</v>
      </c>
      <c r="B9229" s="2" t="s">
        <v>12472</v>
      </c>
    </row>
    <row r="9230" spans="1:2" x14ac:dyDescent="0.2">
      <c r="A9230" s="8" t="s">
        <v>9253</v>
      </c>
      <c r="B9230" s="2" t="s">
        <v>12472</v>
      </c>
    </row>
    <row r="9231" spans="1:2" x14ac:dyDescent="0.2">
      <c r="A9231" s="8" t="s">
        <v>9254</v>
      </c>
      <c r="B9231" s="2" t="s">
        <v>12472</v>
      </c>
    </row>
    <row r="9232" spans="1:2" x14ac:dyDescent="0.2">
      <c r="A9232" s="8" t="s">
        <v>9255</v>
      </c>
      <c r="B9232" s="2" t="s">
        <v>12472</v>
      </c>
    </row>
    <row r="9233" spans="1:2" x14ac:dyDescent="0.2">
      <c r="A9233" s="8" t="s">
        <v>9256</v>
      </c>
      <c r="B9233" s="2" t="s">
        <v>12472</v>
      </c>
    </row>
    <row r="9234" spans="1:2" x14ac:dyDescent="0.2">
      <c r="A9234" s="8" t="s">
        <v>9257</v>
      </c>
      <c r="B9234" s="2" t="s">
        <v>12472</v>
      </c>
    </row>
    <row r="9235" spans="1:2" x14ac:dyDescent="0.2">
      <c r="A9235" s="8" t="s">
        <v>9258</v>
      </c>
      <c r="B9235" s="2" t="s">
        <v>12472</v>
      </c>
    </row>
    <row r="9236" spans="1:2" x14ac:dyDescent="0.2">
      <c r="A9236" s="8" t="s">
        <v>9259</v>
      </c>
      <c r="B9236" s="2" t="s">
        <v>12472</v>
      </c>
    </row>
    <row r="9237" spans="1:2" x14ac:dyDescent="0.2">
      <c r="A9237" s="8" t="s">
        <v>9260</v>
      </c>
      <c r="B9237" s="2" t="s">
        <v>12472</v>
      </c>
    </row>
    <row r="9238" spans="1:2" x14ac:dyDescent="0.2">
      <c r="A9238" s="8" t="s">
        <v>9261</v>
      </c>
      <c r="B9238" s="2" t="s">
        <v>12472</v>
      </c>
    </row>
    <row r="9239" spans="1:2" x14ac:dyDescent="0.2">
      <c r="A9239" s="8" t="s">
        <v>9262</v>
      </c>
      <c r="B9239" s="2" t="s">
        <v>12472</v>
      </c>
    </row>
    <row r="9240" spans="1:2" x14ac:dyDescent="0.2">
      <c r="A9240" s="8" t="s">
        <v>9263</v>
      </c>
      <c r="B9240" s="2" t="s">
        <v>12472</v>
      </c>
    </row>
    <row r="9241" spans="1:2" x14ac:dyDescent="0.2">
      <c r="A9241" s="8" t="s">
        <v>9264</v>
      </c>
      <c r="B9241" s="2" t="s">
        <v>12472</v>
      </c>
    </row>
    <row r="9242" spans="1:2" x14ac:dyDescent="0.2">
      <c r="A9242" s="8" t="s">
        <v>9265</v>
      </c>
      <c r="B9242" s="2" t="s">
        <v>12472</v>
      </c>
    </row>
    <row r="9243" spans="1:2" x14ac:dyDescent="0.2">
      <c r="A9243" s="8" t="s">
        <v>9266</v>
      </c>
      <c r="B9243" s="2" t="s">
        <v>12472</v>
      </c>
    </row>
    <row r="9244" spans="1:2" x14ac:dyDescent="0.2">
      <c r="A9244" s="8" t="s">
        <v>9267</v>
      </c>
      <c r="B9244" s="2" t="s">
        <v>12472</v>
      </c>
    </row>
    <row r="9245" spans="1:2" x14ac:dyDescent="0.2">
      <c r="A9245" s="8" t="s">
        <v>9268</v>
      </c>
      <c r="B9245" s="2" t="s">
        <v>12472</v>
      </c>
    </row>
    <row r="9246" spans="1:2" x14ac:dyDescent="0.2">
      <c r="A9246" s="8" t="s">
        <v>9269</v>
      </c>
      <c r="B9246" s="2" t="s">
        <v>12472</v>
      </c>
    </row>
    <row r="9247" spans="1:2" x14ac:dyDescent="0.2">
      <c r="A9247" s="8" t="s">
        <v>9270</v>
      </c>
      <c r="B9247" s="2" t="s">
        <v>12472</v>
      </c>
    </row>
    <row r="9248" spans="1:2" x14ac:dyDescent="0.2">
      <c r="A9248" s="8" t="s">
        <v>9271</v>
      </c>
      <c r="B9248" s="2" t="s">
        <v>12472</v>
      </c>
    </row>
    <row r="9249" spans="1:2" x14ac:dyDescent="0.2">
      <c r="A9249" s="8" t="s">
        <v>9272</v>
      </c>
      <c r="B9249" s="2" t="s">
        <v>12472</v>
      </c>
    </row>
    <row r="9250" spans="1:2" x14ac:dyDescent="0.2">
      <c r="A9250" s="8" t="s">
        <v>9273</v>
      </c>
      <c r="B9250" s="2" t="s">
        <v>12472</v>
      </c>
    </row>
    <row r="9251" spans="1:2" x14ac:dyDescent="0.2">
      <c r="A9251" s="8" t="s">
        <v>9274</v>
      </c>
      <c r="B9251" s="2" t="s">
        <v>12472</v>
      </c>
    </row>
    <row r="9252" spans="1:2" x14ac:dyDescent="0.2">
      <c r="A9252" s="8" t="s">
        <v>9275</v>
      </c>
      <c r="B9252" s="2" t="s">
        <v>12472</v>
      </c>
    </row>
    <row r="9253" spans="1:2" x14ac:dyDescent="0.2">
      <c r="A9253" s="8" t="s">
        <v>9276</v>
      </c>
      <c r="B9253" s="2" t="s">
        <v>12472</v>
      </c>
    </row>
    <row r="9254" spans="1:2" x14ac:dyDescent="0.2">
      <c r="A9254" s="8" t="s">
        <v>9277</v>
      </c>
      <c r="B9254" s="2" t="s">
        <v>12472</v>
      </c>
    </row>
    <row r="9255" spans="1:2" x14ac:dyDescent="0.2">
      <c r="A9255" s="8" t="s">
        <v>9278</v>
      </c>
      <c r="B9255" s="2" t="s">
        <v>12472</v>
      </c>
    </row>
    <row r="9256" spans="1:2" x14ac:dyDescent="0.2">
      <c r="A9256" s="8" t="s">
        <v>9279</v>
      </c>
      <c r="B9256" s="2" t="s">
        <v>12472</v>
      </c>
    </row>
    <row r="9257" spans="1:2" x14ac:dyDescent="0.2">
      <c r="A9257" s="8" t="s">
        <v>9280</v>
      </c>
      <c r="B9257" s="2" t="s">
        <v>12472</v>
      </c>
    </row>
    <row r="9258" spans="1:2" x14ac:dyDescent="0.2">
      <c r="A9258" s="8" t="s">
        <v>9281</v>
      </c>
      <c r="B9258" s="2" t="s">
        <v>12472</v>
      </c>
    </row>
    <row r="9259" spans="1:2" x14ac:dyDescent="0.2">
      <c r="A9259" s="8" t="s">
        <v>9282</v>
      </c>
      <c r="B9259" s="2" t="s">
        <v>12472</v>
      </c>
    </row>
    <row r="9260" spans="1:2" x14ac:dyDescent="0.2">
      <c r="A9260" s="8" t="s">
        <v>9283</v>
      </c>
      <c r="B9260" s="2" t="s">
        <v>12472</v>
      </c>
    </row>
    <row r="9261" spans="1:2" x14ac:dyDescent="0.2">
      <c r="A9261" s="8" t="s">
        <v>9284</v>
      </c>
      <c r="B9261" s="2" t="s">
        <v>12472</v>
      </c>
    </row>
    <row r="9262" spans="1:2" x14ac:dyDescent="0.2">
      <c r="A9262" s="8" t="s">
        <v>9285</v>
      </c>
      <c r="B9262" s="2" t="s">
        <v>12472</v>
      </c>
    </row>
    <row r="9263" spans="1:2" x14ac:dyDescent="0.2">
      <c r="A9263" s="8" t="s">
        <v>9286</v>
      </c>
      <c r="B9263" s="2" t="s">
        <v>12472</v>
      </c>
    </row>
    <row r="9264" spans="1:2" x14ac:dyDescent="0.2">
      <c r="A9264" s="8" t="s">
        <v>9287</v>
      </c>
      <c r="B9264" s="2" t="s">
        <v>12472</v>
      </c>
    </row>
    <row r="9265" spans="1:2" x14ac:dyDescent="0.2">
      <c r="A9265" s="8" t="s">
        <v>9288</v>
      </c>
      <c r="B9265" s="2" t="s">
        <v>12472</v>
      </c>
    </row>
    <row r="9266" spans="1:2" x14ac:dyDescent="0.2">
      <c r="A9266" s="8" t="s">
        <v>9289</v>
      </c>
      <c r="B9266" s="2" t="s">
        <v>12472</v>
      </c>
    </row>
    <row r="9267" spans="1:2" x14ac:dyDescent="0.2">
      <c r="A9267" s="8" t="s">
        <v>9290</v>
      </c>
      <c r="B9267" s="2" t="s">
        <v>12472</v>
      </c>
    </row>
    <row r="9268" spans="1:2" x14ac:dyDescent="0.2">
      <c r="A9268" s="8" t="s">
        <v>9291</v>
      </c>
      <c r="B9268" s="2" t="s">
        <v>12472</v>
      </c>
    </row>
    <row r="9269" spans="1:2" x14ac:dyDescent="0.2">
      <c r="A9269" s="8" t="s">
        <v>9292</v>
      </c>
      <c r="B9269" s="2" t="s">
        <v>12472</v>
      </c>
    </row>
    <row r="9270" spans="1:2" x14ac:dyDescent="0.2">
      <c r="A9270" s="8" t="s">
        <v>9293</v>
      </c>
      <c r="B9270" s="2" t="s">
        <v>12472</v>
      </c>
    </row>
    <row r="9271" spans="1:2" x14ac:dyDescent="0.2">
      <c r="A9271" s="8" t="s">
        <v>9294</v>
      </c>
      <c r="B9271" s="2" t="s">
        <v>12472</v>
      </c>
    </row>
    <row r="9272" spans="1:2" x14ac:dyDescent="0.2">
      <c r="A9272" s="8" t="s">
        <v>9295</v>
      </c>
      <c r="B9272" s="2" t="s">
        <v>12472</v>
      </c>
    </row>
    <row r="9273" spans="1:2" x14ac:dyDescent="0.2">
      <c r="A9273" s="8" t="s">
        <v>9296</v>
      </c>
      <c r="B9273" s="2" t="s">
        <v>12472</v>
      </c>
    </row>
    <row r="9274" spans="1:2" x14ac:dyDescent="0.2">
      <c r="A9274" s="8" t="s">
        <v>9297</v>
      </c>
      <c r="B9274" s="2" t="s">
        <v>12472</v>
      </c>
    </row>
    <row r="9275" spans="1:2" x14ac:dyDescent="0.2">
      <c r="A9275" s="8" t="s">
        <v>9298</v>
      </c>
      <c r="B9275" s="2" t="s">
        <v>12472</v>
      </c>
    </row>
    <row r="9276" spans="1:2" x14ac:dyDescent="0.2">
      <c r="A9276" s="8" t="s">
        <v>9299</v>
      </c>
      <c r="B9276" s="2" t="s">
        <v>12472</v>
      </c>
    </row>
    <row r="9277" spans="1:2" x14ac:dyDescent="0.2">
      <c r="A9277" s="8" t="s">
        <v>9300</v>
      </c>
      <c r="B9277" s="2" t="s">
        <v>12472</v>
      </c>
    </row>
    <row r="9278" spans="1:2" x14ac:dyDescent="0.2">
      <c r="A9278" s="8" t="s">
        <v>9301</v>
      </c>
      <c r="B9278" s="2" t="s">
        <v>12472</v>
      </c>
    </row>
    <row r="9279" spans="1:2" x14ac:dyDescent="0.2">
      <c r="A9279" s="8" t="s">
        <v>9302</v>
      </c>
      <c r="B9279" s="2" t="s">
        <v>12472</v>
      </c>
    </row>
    <row r="9280" spans="1:2" x14ac:dyDescent="0.2">
      <c r="A9280" s="8" t="s">
        <v>9303</v>
      </c>
      <c r="B9280" s="2" t="s">
        <v>12472</v>
      </c>
    </row>
    <row r="9281" spans="1:2" x14ac:dyDescent="0.2">
      <c r="A9281" s="8" t="s">
        <v>9304</v>
      </c>
      <c r="B9281" s="2" t="s">
        <v>12472</v>
      </c>
    </row>
    <row r="9282" spans="1:2" x14ac:dyDescent="0.2">
      <c r="A9282" s="8" t="s">
        <v>9305</v>
      </c>
      <c r="B9282" s="2" t="s">
        <v>12472</v>
      </c>
    </row>
    <row r="9283" spans="1:2" x14ac:dyDescent="0.2">
      <c r="A9283" s="8" t="s">
        <v>9306</v>
      </c>
      <c r="B9283" s="2" t="s">
        <v>12472</v>
      </c>
    </row>
    <row r="9284" spans="1:2" x14ac:dyDescent="0.2">
      <c r="A9284" s="8" t="s">
        <v>9307</v>
      </c>
      <c r="B9284" s="2" t="s">
        <v>12472</v>
      </c>
    </row>
    <row r="9285" spans="1:2" x14ac:dyDescent="0.2">
      <c r="A9285" s="8" t="s">
        <v>9308</v>
      </c>
      <c r="B9285" s="2" t="s">
        <v>12472</v>
      </c>
    </row>
    <row r="9286" spans="1:2" x14ac:dyDescent="0.2">
      <c r="A9286" s="8" t="s">
        <v>9309</v>
      </c>
      <c r="B9286" s="2" t="s">
        <v>12472</v>
      </c>
    </row>
    <row r="9287" spans="1:2" x14ac:dyDescent="0.2">
      <c r="A9287" s="8" t="s">
        <v>9310</v>
      </c>
      <c r="B9287" s="2" t="s">
        <v>12472</v>
      </c>
    </row>
    <row r="9288" spans="1:2" x14ac:dyDescent="0.2">
      <c r="A9288" s="8" t="s">
        <v>9311</v>
      </c>
      <c r="B9288" s="2" t="s">
        <v>12472</v>
      </c>
    </row>
    <row r="9289" spans="1:2" x14ac:dyDescent="0.2">
      <c r="A9289" s="8" t="s">
        <v>9312</v>
      </c>
      <c r="B9289" s="2" t="s">
        <v>12472</v>
      </c>
    </row>
    <row r="9290" spans="1:2" x14ac:dyDescent="0.2">
      <c r="A9290" s="8" t="s">
        <v>9313</v>
      </c>
      <c r="B9290" s="2" t="s">
        <v>12472</v>
      </c>
    </row>
    <row r="9291" spans="1:2" x14ac:dyDescent="0.2">
      <c r="A9291" s="8" t="s">
        <v>9314</v>
      </c>
      <c r="B9291" s="2" t="s">
        <v>12472</v>
      </c>
    </row>
    <row r="9292" spans="1:2" x14ac:dyDescent="0.2">
      <c r="A9292" s="8" t="s">
        <v>9315</v>
      </c>
      <c r="B9292" s="2" t="s">
        <v>12472</v>
      </c>
    </row>
    <row r="9293" spans="1:2" x14ac:dyDescent="0.2">
      <c r="A9293" s="8" t="s">
        <v>9316</v>
      </c>
      <c r="B9293" s="2" t="s">
        <v>12472</v>
      </c>
    </row>
    <row r="9294" spans="1:2" x14ac:dyDescent="0.2">
      <c r="A9294" s="8" t="s">
        <v>9317</v>
      </c>
      <c r="B9294" s="2" t="s">
        <v>12472</v>
      </c>
    </row>
    <row r="9295" spans="1:2" x14ac:dyDescent="0.2">
      <c r="A9295" s="8" t="s">
        <v>9318</v>
      </c>
      <c r="B9295" s="2" t="s">
        <v>12472</v>
      </c>
    </row>
    <row r="9296" spans="1:2" x14ac:dyDescent="0.2">
      <c r="A9296" s="8" t="s">
        <v>9319</v>
      </c>
      <c r="B9296" s="2" t="s">
        <v>12472</v>
      </c>
    </row>
    <row r="9297" spans="1:2" x14ac:dyDescent="0.2">
      <c r="A9297" s="8" t="s">
        <v>9320</v>
      </c>
      <c r="B9297" s="2" t="s">
        <v>12472</v>
      </c>
    </row>
    <row r="9298" spans="1:2" x14ac:dyDescent="0.2">
      <c r="A9298" s="8" t="s">
        <v>9321</v>
      </c>
      <c r="B9298" s="2" t="s">
        <v>12472</v>
      </c>
    </row>
    <row r="9299" spans="1:2" x14ac:dyDescent="0.2">
      <c r="A9299" s="8" t="s">
        <v>9322</v>
      </c>
      <c r="B9299" s="2" t="s">
        <v>12472</v>
      </c>
    </row>
    <row r="9300" spans="1:2" x14ac:dyDescent="0.2">
      <c r="A9300" s="8" t="s">
        <v>9323</v>
      </c>
      <c r="B9300" s="2" t="s">
        <v>12472</v>
      </c>
    </row>
    <row r="9301" spans="1:2" x14ac:dyDescent="0.2">
      <c r="A9301" s="8" t="s">
        <v>9324</v>
      </c>
      <c r="B9301" s="2" t="s">
        <v>12472</v>
      </c>
    </row>
    <row r="9302" spans="1:2" x14ac:dyDescent="0.2">
      <c r="A9302" s="8" t="s">
        <v>9325</v>
      </c>
      <c r="B9302" s="2" t="s">
        <v>12472</v>
      </c>
    </row>
    <row r="9303" spans="1:2" x14ac:dyDescent="0.2">
      <c r="A9303" s="8" t="s">
        <v>9326</v>
      </c>
      <c r="B9303" s="2" t="s">
        <v>12472</v>
      </c>
    </row>
    <row r="9304" spans="1:2" x14ac:dyDescent="0.2">
      <c r="A9304" s="8" t="s">
        <v>9327</v>
      </c>
      <c r="B9304" s="2" t="s">
        <v>12472</v>
      </c>
    </row>
    <row r="9305" spans="1:2" x14ac:dyDescent="0.2">
      <c r="A9305" s="8" t="s">
        <v>9328</v>
      </c>
      <c r="B9305" s="2" t="s">
        <v>12472</v>
      </c>
    </row>
    <row r="9306" spans="1:2" x14ac:dyDescent="0.2">
      <c r="A9306" s="8" t="s">
        <v>9329</v>
      </c>
      <c r="B9306" s="2" t="s">
        <v>12472</v>
      </c>
    </row>
    <row r="9307" spans="1:2" x14ac:dyDescent="0.2">
      <c r="A9307" s="8" t="s">
        <v>9330</v>
      </c>
      <c r="B9307" s="2" t="s">
        <v>12472</v>
      </c>
    </row>
    <row r="9308" spans="1:2" x14ac:dyDescent="0.2">
      <c r="A9308" s="8" t="s">
        <v>9331</v>
      </c>
      <c r="B9308" s="2" t="s">
        <v>12472</v>
      </c>
    </row>
    <row r="9309" spans="1:2" x14ac:dyDescent="0.2">
      <c r="A9309" s="8" t="s">
        <v>9332</v>
      </c>
      <c r="B9309" s="2" t="s">
        <v>12472</v>
      </c>
    </row>
    <row r="9310" spans="1:2" x14ac:dyDescent="0.2">
      <c r="A9310" s="8" t="s">
        <v>9333</v>
      </c>
      <c r="B9310" s="2" t="s">
        <v>12472</v>
      </c>
    </row>
    <row r="9311" spans="1:2" x14ac:dyDescent="0.2">
      <c r="A9311" s="8" t="s">
        <v>9334</v>
      </c>
      <c r="B9311" s="2" t="s">
        <v>12472</v>
      </c>
    </row>
    <row r="9312" spans="1:2" x14ac:dyDescent="0.2">
      <c r="A9312" s="8" t="s">
        <v>9335</v>
      </c>
      <c r="B9312" s="2" t="s">
        <v>12472</v>
      </c>
    </row>
    <row r="9313" spans="1:2" x14ac:dyDescent="0.2">
      <c r="A9313" s="8" t="s">
        <v>9336</v>
      </c>
      <c r="B9313" s="2" t="s">
        <v>12472</v>
      </c>
    </row>
    <row r="9314" spans="1:2" x14ac:dyDescent="0.2">
      <c r="A9314" s="8" t="s">
        <v>9337</v>
      </c>
      <c r="B9314" s="2" t="s">
        <v>12472</v>
      </c>
    </row>
    <row r="9315" spans="1:2" x14ac:dyDescent="0.2">
      <c r="A9315" s="8" t="s">
        <v>9338</v>
      </c>
      <c r="B9315" s="2" t="s">
        <v>12472</v>
      </c>
    </row>
    <row r="9316" spans="1:2" x14ac:dyDescent="0.2">
      <c r="A9316" s="8" t="s">
        <v>9339</v>
      </c>
      <c r="B9316" s="2" t="s">
        <v>12472</v>
      </c>
    </row>
    <row r="9317" spans="1:2" x14ac:dyDescent="0.2">
      <c r="A9317" s="8" t="s">
        <v>9340</v>
      </c>
      <c r="B9317" s="2" t="s">
        <v>12472</v>
      </c>
    </row>
    <row r="9318" spans="1:2" x14ac:dyDescent="0.2">
      <c r="A9318" s="8" t="s">
        <v>9341</v>
      </c>
      <c r="B9318" s="2" t="s">
        <v>12472</v>
      </c>
    </row>
    <row r="9319" spans="1:2" x14ac:dyDescent="0.2">
      <c r="A9319" s="8" t="s">
        <v>9342</v>
      </c>
      <c r="B9319" s="2" t="s">
        <v>12472</v>
      </c>
    </row>
    <row r="9320" spans="1:2" x14ac:dyDescent="0.2">
      <c r="A9320" s="8" t="s">
        <v>9343</v>
      </c>
      <c r="B9320" s="2" t="s">
        <v>12472</v>
      </c>
    </row>
    <row r="9321" spans="1:2" x14ac:dyDescent="0.2">
      <c r="A9321" s="8" t="s">
        <v>9344</v>
      </c>
      <c r="B9321" s="2" t="s">
        <v>12472</v>
      </c>
    </row>
    <row r="9322" spans="1:2" x14ac:dyDescent="0.2">
      <c r="A9322" s="8" t="s">
        <v>9345</v>
      </c>
      <c r="B9322" s="2" t="s">
        <v>12472</v>
      </c>
    </row>
    <row r="9323" spans="1:2" x14ac:dyDescent="0.2">
      <c r="A9323" s="8" t="s">
        <v>9346</v>
      </c>
      <c r="B9323" s="2" t="s">
        <v>12472</v>
      </c>
    </row>
    <row r="9324" spans="1:2" x14ac:dyDescent="0.2">
      <c r="A9324" s="8" t="s">
        <v>9347</v>
      </c>
      <c r="B9324" s="2" t="s">
        <v>12472</v>
      </c>
    </row>
    <row r="9325" spans="1:2" x14ac:dyDescent="0.2">
      <c r="A9325" s="8" t="s">
        <v>9348</v>
      </c>
      <c r="B9325" s="2" t="s">
        <v>12472</v>
      </c>
    </row>
    <row r="9326" spans="1:2" x14ac:dyDescent="0.2">
      <c r="A9326" s="8" t="s">
        <v>9349</v>
      </c>
      <c r="B9326" s="2" t="s">
        <v>12472</v>
      </c>
    </row>
    <row r="9327" spans="1:2" x14ac:dyDescent="0.2">
      <c r="A9327" s="8" t="s">
        <v>9350</v>
      </c>
      <c r="B9327" s="2" t="s">
        <v>12472</v>
      </c>
    </row>
    <row r="9328" spans="1:2" x14ac:dyDescent="0.2">
      <c r="A9328" s="8" t="s">
        <v>9351</v>
      </c>
      <c r="B9328" s="2" t="s">
        <v>12472</v>
      </c>
    </row>
    <row r="9329" spans="1:2" x14ac:dyDescent="0.2">
      <c r="A9329" s="8" t="s">
        <v>9352</v>
      </c>
      <c r="B9329" s="2" t="s">
        <v>12472</v>
      </c>
    </row>
    <row r="9330" spans="1:2" x14ac:dyDescent="0.2">
      <c r="A9330" s="8" t="s">
        <v>9353</v>
      </c>
      <c r="B9330" s="2" t="s">
        <v>12472</v>
      </c>
    </row>
    <row r="9331" spans="1:2" x14ac:dyDescent="0.2">
      <c r="A9331" s="8" t="s">
        <v>9354</v>
      </c>
      <c r="B9331" s="2" t="s">
        <v>12472</v>
      </c>
    </row>
    <row r="9332" spans="1:2" x14ac:dyDescent="0.2">
      <c r="A9332" s="8" t="s">
        <v>9355</v>
      </c>
      <c r="B9332" s="2" t="s">
        <v>12472</v>
      </c>
    </row>
    <row r="9333" spans="1:2" x14ac:dyDescent="0.2">
      <c r="A9333" s="8" t="s">
        <v>9356</v>
      </c>
      <c r="B9333" s="2" t="s">
        <v>12472</v>
      </c>
    </row>
    <row r="9334" spans="1:2" x14ac:dyDescent="0.2">
      <c r="A9334" s="8" t="s">
        <v>9357</v>
      </c>
      <c r="B9334" s="2" t="s">
        <v>12472</v>
      </c>
    </row>
    <row r="9335" spans="1:2" x14ac:dyDescent="0.2">
      <c r="A9335" s="8" t="s">
        <v>9358</v>
      </c>
      <c r="B9335" s="2" t="s">
        <v>12472</v>
      </c>
    </row>
    <row r="9336" spans="1:2" x14ac:dyDescent="0.2">
      <c r="A9336" s="8" t="s">
        <v>9359</v>
      </c>
      <c r="B9336" s="2" t="s">
        <v>12472</v>
      </c>
    </row>
    <row r="9337" spans="1:2" x14ac:dyDescent="0.2">
      <c r="A9337" s="8" t="s">
        <v>9360</v>
      </c>
      <c r="B9337" s="2" t="s">
        <v>12472</v>
      </c>
    </row>
    <row r="9338" spans="1:2" x14ac:dyDescent="0.2">
      <c r="A9338" s="8" t="s">
        <v>9361</v>
      </c>
      <c r="B9338" s="2" t="s">
        <v>12472</v>
      </c>
    </row>
    <row r="9339" spans="1:2" x14ac:dyDescent="0.2">
      <c r="A9339" s="8" t="s">
        <v>9362</v>
      </c>
      <c r="B9339" s="2" t="s">
        <v>12472</v>
      </c>
    </row>
    <row r="9340" spans="1:2" x14ac:dyDescent="0.2">
      <c r="A9340" s="8" t="s">
        <v>9363</v>
      </c>
      <c r="B9340" s="2" t="s">
        <v>12472</v>
      </c>
    </row>
    <row r="9341" spans="1:2" x14ac:dyDescent="0.2">
      <c r="A9341" s="8" t="s">
        <v>9364</v>
      </c>
      <c r="B9341" s="2" t="s">
        <v>12472</v>
      </c>
    </row>
    <row r="9342" spans="1:2" x14ac:dyDescent="0.2">
      <c r="A9342" s="8" t="s">
        <v>9365</v>
      </c>
      <c r="B9342" s="2" t="s">
        <v>12472</v>
      </c>
    </row>
    <row r="9343" spans="1:2" x14ac:dyDescent="0.2">
      <c r="A9343" s="8" t="s">
        <v>9366</v>
      </c>
      <c r="B9343" s="2" t="s">
        <v>12472</v>
      </c>
    </row>
    <row r="9344" spans="1:2" x14ac:dyDescent="0.2">
      <c r="A9344" s="8" t="s">
        <v>9367</v>
      </c>
      <c r="B9344" s="2" t="s">
        <v>12472</v>
      </c>
    </row>
    <row r="9345" spans="1:2" x14ac:dyDescent="0.2">
      <c r="A9345" s="8" t="s">
        <v>9368</v>
      </c>
      <c r="B9345" s="2" t="s">
        <v>12472</v>
      </c>
    </row>
    <row r="9346" spans="1:2" x14ac:dyDescent="0.2">
      <c r="A9346" s="8" t="s">
        <v>9369</v>
      </c>
      <c r="B9346" s="2" t="s">
        <v>12472</v>
      </c>
    </row>
    <row r="9347" spans="1:2" x14ac:dyDescent="0.2">
      <c r="A9347" s="8" t="s">
        <v>9370</v>
      </c>
      <c r="B9347" s="2" t="s">
        <v>12472</v>
      </c>
    </row>
    <row r="9348" spans="1:2" x14ac:dyDescent="0.2">
      <c r="A9348" s="8" t="s">
        <v>9371</v>
      </c>
      <c r="B9348" s="2" t="s">
        <v>12472</v>
      </c>
    </row>
    <row r="9349" spans="1:2" x14ac:dyDescent="0.2">
      <c r="A9349" s="8" t="s">
        <v>9372</v>
      </c>
      <c r="B9349" s="2" t="s">
        <v>12472</v>
      </c>
    </row>
    <row r="9350" spans="1:2" x14ac:dyDescent="0.2">
      <c r="A9350" s="8" t="s">
        <v>9373</v>
      </c>
      <c r="B9350" s="2" t="s">
        <v>12472</v>
      </c>
    </row>
    <row r="9351" spans="1:2" x14ac:dyDescent="0.2">
      <c r="A9351" s="8" t="s">
        <v>9374</v>
      </c>
      <c r="B9351" s="2" t="s">
        <v>12472</v>
      </c>
    </row>
    <row r="9352" spans="1:2" x14ac:dyDescent="0.2">
      <c r="A9352" s="8" t="s">
        <v>9375</v>
      </c>
      <c r="B9352" s="2" t="s">
        <v>12472</v>
      </c>
    </row>
    <row r="9353" spans="1:2" x14ac:dyDescent="0.2">
      <c r="A9353" s="8" t="s">
        <v>9376</v>
      </c>
      <c r="B9353" s="2" t="s">
        <v>12472</v>
      </c>
    </row>
    <row r="9354" spans="1:2" x14ac:dyDescent="0.2">
      <c r="A9354" s="8" t="s">
        <v>9377</v>
      </c>
      <c r="B9354" s="2" t="s">
        <v>12472</v>
      </c>
    </row>
    <row r="9355" spans="1:2" x14ac:dyDescent="0.2">
      <c r="A9355" s="8" t="s">
        <v>9378</v>
      </c>
      <c r="B9355" s="2" t="s">
        <v>12472</v>
      </c>
    </row>
    <row r="9356" spans="1:2" x14ac:dyDescent="0.2">
      <c r="A9356" s="8" t="s">
        <v>9379</v>
      </c>
      <c r="B9356" s="2" t="s">
        <v>12472</v>
      </c>
    </row>
    <row r="9357" spans="1:2" x14ac:dyDescent="0.2">
      <c r="A9357" s="8" t="s">
        <v>9380</v>
      </c>
      <c r="B9357" s="2" t="s">
        <v>12472</v>
      </c>
    </row>
    <row r="9358" spans="1:2" x14ac:dyDescent="0.2">
      <c r="A9358" s="8" t="s">
        <v>9381</v>
      </c>
      <c r="B9358" s="2" t="s">
        <v>12472</v>
      </c>
    </row>
    <row r="9359" spans="1:2" x14ac:dyDescent="0.2">
      <c r="A9359" s="8" t="s">
        <v>9382</v>
      </c>
      <c r="B9359" s="2" t="s">
        <v>12472</v>
      </c>
    </row>
    <row r="9360" spans="1:2" x14ac:dyDescent="0.2">
      <c r="A9360" s="8" t="s">
        <v>9383</v>
      </c>
      <c r="B9360" s="2" t="s">
        <v>12472</v>
      </c>
    </row>
    <row r="9361" spans="1:2" x14ac:dyDescent="0.2">
      <c r="A9361" s="8" t="s">
        <v>9384</v>
      </c>
      <c r="B9361" s="2" t="s">
        <v>12472</v>
      </c>
    </row>
    <row r="9362" spans="1:2" x14ac:dyDescent="0.2">
      <c r="A9362" s="8" t="s">
        <v>9385</v>
      </c>
      <c r="B9362" s="2" t="s">
        <v>12472</v>
      </c>
    </row>
    <row r="9363" spans="1:2" x14ac:dyDescent="0.2">
      <c r="A9363" s="8" t="s">
        <v>9386</v>
      </c>
      <c r="B9363" s="2" t="s">
        <v>12472</v>
      </c>
    </row>
    <row r="9364" spans="1:2" x14ac:dyDescent="0.2">
      <c r="A9364" s="8" t="s">
        <v>9387</v>
      </c>
      <c r="B9364" s="2" t="s">
        <v>12472</v>
      </c>
    </row>
    <row r="9365" spans="1:2" x14ac:dyDescent="0.2">
      <c r="A9365" s="8" t="s">
        <v>9388</v>
      </c>
      <c r="B9365" s="2" t="s">
        <v>12472</v>
      </c>
    </row>
    <row r="9366" spans="1:2" x14ac:dyDescent="0.2">
      <c r="A9366" s="8" t="s">
        <v>9389</v>
      </c>
      <c r="B9366" s="2" t="s">
        <v>12472</v>
      </c>
    </row>
    <row r="9367" spans="1:2" x14ac:dyDescent="0.2">
      <c r="A9367" s="8" t="s">
        <v>9390</v>
      </c>
      <c r="B9367" s="2" t="s">
        <v>12472</v>
      </c>
    </row>
    <row r="9368" spans="1:2" x14ac:dyDescent="0.2">
      <c r="A9368" s="8" t="s">
        <v>9391</v>
      </c>
      <c r="B9368" s="2" t="s">
        <v>12472</v>
      </c>
    </row>
    <row r="9369" spans="1:2" x14ac:dyDescent="0.2">
      <c r="A9369" s="8" t="s">
        <v>9392</v>
      </c>
      <c r="B9369" s="2" t="s">
        <v>12472</v>
      </c>
    </row>
    <row r="9370" spans="1:2" x14ac:dyDescent="0.2">
      <c r="A9370" s="8" t="s">
        <v>9393</v>
      </c>
      <c r="B9370" s="2" t="s">
        <v>12472</v>
      </c>
    </row>
    <row r="9371" spans="1:2" x14ac:dyDescent="0.2">
      <c r="A9371" s="8" t="s">
        <v>9394</v>
      </c>
      <c r="B9371" s="2" t="s">
        <v>12472</v>
      </c>
    </row>
    <row r="9372" spans="1:2" x14ac:dyDescent="0.2">
      <c r="A9372" s="8" t="s">
        <v>9395</v>
      </c>
      <c r="B9372" s="2" t="s">
        <v>12472</v>
      </c>
    </row>
    <row r="9373" spans="1:2" x14ac:dyDescent="0.2">
      <c r="A9373" s="8" t="s">
        <v>9396</v>
      </c>
      <c r="B9373" s="2" t="s">
        <v>12472</v>
      </c>
    </row>
    <row r="9374" spans="1:2" x14ac:dyDescent="0.2">
      <c r="A9374" s="8" t="s">
        <v>9397</v>
      </c>
      <c r="B9374" s="2" t="s">
        <v>12472</v>
      </c>
    </row>
    <row r="9375" spans="1:2" x14ac:dyDescent="0.2">
      <c r="A9375" s="8" t="s">
        <v>9398</v>
      </c>
      <c r="B9375" s="2" t="s">
        <v>12472</v>
      </c>
    </row>
    <row r="9376" spans="1:2" x14ac:dyDescent="0.2">
      <c r="A9376" s="8" t="s">
        <v>9399</v>
      </c>
      <c r="B9376" s="2" t="s">
        <v>12472</v>
      </c>
    </row>
    <row r="9377" spans="1:2" x14ac:dyDescent="0.2">
      <c r="A9377" s="8" t="s">
        <v>9400</v>
      </c>
      <c r="B9377" s="2" t="s">
        <v>12472</v>
      </c>
    </row>
    <row r="9378" spans="1:2" x14ac:dyDescent="0.2">
      <c r="A9378" s="8" t="s">
        <v>9401</v>
      </c>
      <c r="B9378" s="2" t="s">
        <v>12472</v>
      </c>
    </row>
    <row r="9379" spans="1:2" x14ac:dyDescent="0.2">
      <c r="A9379" s="8" t="s">
        <v>9402</v>
      </c>
      <c r="B9379" s="2" t="s">
        <v>12472</v>
      </c>
    </row>
    <row r="9380" spans="1:2" x14ac:dyDescent="0.2">
      <c r="A9380" s="8" t="s">
        <v>9403</v>
      </c>
      <c r="B9380" s="2" t="s">
        <v>12472</v>
      </c>
    </row>
    <row r="9381" spans="1:2" x14ac:dyDescent="0.2">
      <c r="A9381" s="8" t="s">
        <v>9404</v>
      </c>
      <c r="B9381" s="2" t="s">
        <v>12472</v>
      </c>
    </row>
    <row r="9382" spans="1:2" x14ac:dyDescent="0.2">
      <c r="A9382" s="8" t="s">
        <v>9405</v>
      </c>
      <c r="B9382" s="2" t="s">
        <v>12472</v>
      </c>
    </row>
    <row r="9383" spans="1:2" x14ac:dyDescent="0.2">
      <c r="A9383" s="8" t="s">
        <v>9406</v>
      </c>
      <c r="B9383" s="2" t="s">
        <v>12472</v>
      </c>
    </row>
    <row r="9384" spans="1:2" x14ac:dyDescent="0.2">
      <c r="A9384" s="8" t="s">
        <v>9407</v>
      </c>
      <c r="B9384" s="2" t="s">
        <v>12472</v>
      </c>
    </row>
    <row r="9385" spans="1:2" x14ac:dyDescent="0.2">
      <c r="A9385" s="8" t="s">
        <v>9408</v>
      </c>
      <c r="B9385" s="2" t="s">
        <v>12472</v>
      </c>
    </row>
    <row r="9386" spans="1:2" x14ac:dyDescent="0.2">
      <c r="A9386" s="8" t="s">
        <v>9409</v>
      </c>
      <c r="B9386" s="2" t="s">
        <v>12472</v>
      </c>
    </row>
    <row r="9387" spans="1:2" x14ac:dyDescent="0.2">
      <c r="A9387" s="8" t="s">
        <v>9410</v>
      </c>
      <c r="B9387" s="2" t="s">
        <v>12472</v>
      </c>
    </row>
    <row r="9388" spans="1:2" x14ac:dyDescent="0.2">
      <c r="A9388" s="8" t="s">
        <v>9411</v>
      </c>
      <c r="B9388" s="2" t="s">
        <v>12472</v>
      </c>
    </row>
    <row r="9389" spans="1:2" x14ac:dyDescent="0.2">
      <c r="A9389" s="8" t="s">
        <v>9412</v>
      </c>
      <c r="B9389" s="2" t="s">
        <v>12472</v>
      </c>
    </row>
    <row r="9390" spans="1:2" x14ac:dyDescent="0.2">
      <c r="A9390" s="8" t="s">
        <v>9413</v>
      </c>
      <c r="B9390" s="2" t="s">
        <v>12472</v>
      </c>
    </row>
    <row r="9391" spans="1:2" x14ac:dyDescent="0.2">
      <c r="A9391" s="8" t="s">
        <v>9414</v>
      </c>
      <c r="B9391" s="2" t="s">
        <v>12472</v>
      </c>
    </row>
    <row r="9392" spans="1:2" x14ac:dyDescent="0.2">
      <c r="A9392" s="8" t="s">
        <v>9415</v>
      </c>
      <c r="B9392" s="2" t="s">
        <v>12472</v>
      </c>
    </row>
    <row r="9393" spans="1:2" x14ac:dyDescent="0.2">
      <c r="A9393" s="8" t="s">
        <v>9416</v>
      </c>
      <c r="B9393" s="2" t="s">
        <v>12472</v>
      </c>
    </row>
    <row r="9394" spans="1:2" x14ac:dyDescent="0.2">
      <c r="A9394" s="8" t="s">
        <v>9417</v>
      </c>
      <c r="B9394" s="2" t="s">
        <v>12472</v>
      </c>
    </row>
    <row r="9395" spans="1:2" x14ac:dyDescent="0.2">
      <c r="A9395" s="8" t="s">
        <v>9418</v>
      </c>
      <c r="B9395" s="2" t="s">
        <v>12472</v>
      </c>
    </row>
    <row r="9396" spans="1:2" x14ac:dyDescent="0.2">
      <c r="A9396" s="8" t="s">
        <v>9419</v>
      </c>
      <c r="B9396" s="2" t="s">
        <v>12472</v>
      </c>
    </row>
    <row r="9397" spans="1:2" x14ac:dyDescent="0.2">
      <c r="A9397" s="8" t="s">
        <v>9420</v>
      </c>
      <c r="B9397" s="2" t="s">
        <v>12472</v>
      </c>
    </row>
    <row r="9398" spans="1:2" x14ac:dyDescent="0.2">
      <c r="A9398" s="8" t="s">
        <v>9421</v>
      </c>
      <c r="B9398" s="2" t="s">
        <v>12472</v>
      </c>
    </row>
    <row r="9399" spans="1:2" x14ac:dyDescent="0.2">
      <c r="A9399" s="8" t="s">
        <v>9422</v>
      </c>
      <c r="B9399" s="2" t="s">
        <v>12472</v>
      </c>
    </row>
    <row r="9400" spans="1:2" x14ac:dyDescent="0.2">
      <c r="A9400" s="8" t="s">
        <v>9423</v>
      </c>
      <c r="B9400" s="2" t="s">
        <v>12472</v>
      </c>
    </row>
    <row r="9401" spans="1:2" x14ac:dyDescent="0.2">
      <c r="A9401" s="8" t="s">
        <v>9424</v>
      </c>
      <c r="B9401" s="2" t="s">
        <v>12472</v>
      </c>
    </row>
    <row r="9402" spans="1:2" x14ac:dyDescent="0.2">
      <c r="A9402" s="8" t="s">
        <v>9425</v>
      </c>
      <c r="B9402" s="2" t="s">
        <v>12472</v>
      </c>
    </row>
    <row r="9403" spans="1:2" x14ac:dyDescent="0.2">
      <c r="A9403" s="8" t="s">
        <v>9426</v>
      </c>
      <c r="B9403" s="2" t="s">
        <v>12472</v>
      </c>
    </row>
    <row r="9404" spans="1:2" x14ac:dyDescent="0.2">
      <c r="A9404" s="8" t="s">
        <v>9427</v>
      </c>
      <c r="B9404" s="2" t="s">
        <v>12472</v>
      </c>
    </row>
    <row r="9405" spans="1:2" x14ac:dyDescent="0.2">
      <c r="A9405" s="8" t="s">
        <v>9428</v>
      </c>
      <c r="B9405" s="2" t="s">
        <v>12472</v>
      </c>
    </row>
    <row r="9406" spans="1:2" x14ac:dyDescent="0.2">
      <c r="A9406" s="8" t="s">
        <v>9429</v>
      </c>
      <c r="B9406" s="2" t="s">
        <v>12472</v>
      </c>
    </row>
    <row r="9407" spans="1:2" x14ac:dyDescent="0.2">
      <c r="A9407" s="8" t="s">
        <v>9430</v>
      </c>
      <c r="B9407" s="2" t="s">
        <v>12472</v>
      </c>
    </row>
    <row r="9408" spans="1:2" x14ac:dyDescent="0.2">
      <c r="A9408" s="8" t="s">
        <v>9431</v>
      </c>
      <c r="B9408" s="2" t="s">
        <v>12472</v>
      </c>
    </row>
    <row r="9409" spans="1:2" x14ac:dyDescent="0.2">
      <c r="A9409" s="8" t="s">
        <v>9432</v>
      </c>
      <c r="B9409" s="2" t="s">
        <v>12472</v>
      </c>
    </row>
    <row r="9410" spans="1:2" x14ac:dyDescent="0.2">
      <c r="A9410" s="8" t="s">
        <v>9433</v>
      </c>
      <c r="B9410" s="2" t="s">
        <v>12472</v>
      </c>
    </row>
    <row r="9411" spans="1:2" x14ac:dyDescent="0.2">
      <c r="A9411" s="8" t="s">
        <v>9434</v>
      </c>
      <c r="B9411" s="2" t="s">
        <v>12472</v>
      </c>
    </row>
    <row r="9412" spans="1:2" x14ac:dyDescent="0.2">
      <c r="A9412" s="8" t="s">
        <v>9435</v>
      </c>
      <c r="B9412" s="2" t="s">
        <v>12472</v>
      </c>
    </row>
    <row r="9413" spans="1:2" x14ac:dyDescent="0.2">
      <c r="A9413" s="8" t="s">
        <v>9436</v>
      </c>
      <c r="B9413" s="2" t="s">
        <v>12472</v>
      </c>
    </row>
    <row r="9414" spans="1:2" x14ac:dyDescent="0.2">
      <c r="A9414" s="8" t="s">
        <v>9437</v>
      </c>
      <c r="B9414" s="2" t="s">
        <v>12472</v>
      </c>
    </row>
    <row r="9415" spans="1:2" x14ac:dyDescent="0.2">
      <c r="A9415" s="8" t="s">
        <v>9438</v>
      </c>
      <c r="B9415" s="2" t="s">
        <v>12472</v>
      </c>
    </row>
    <row r="9416" spans="1:2" x14ac:dyDescent="0.2">
      <c r="A9416" s="8" t="s">
        <v>9439</v>
      </c>
      <c r="B9416" s="2" t="s">
        <v>12472</v>
      </c>
    </row>
    <row r="9417" spans="1:2" x14ac:dyDescent="0.2">
      <c r="A9417" s="8" t="s">
        <v>9440</v>
      </c>
      <c r="B9417" s="2" t="s">
        <v>12472</v>
      </c>
    </row>
    <row r="9418" spans="1:2" x14ac:dyDescent="0.2">
      <c r="A9418" s="8" t="s">
        <v>9441</v>
      </c>
      <c r="B9418" s="2" t="s">
        <v>12472</v>
      </c>
    </row>
    <row r="9419" spans="1:2" x14ac:dyDescent="0.2">
      <c r="A9419" s="8" t="s">
        <v>9442</v>
      </c>
      <c r="B9419" s="2" t="s">
        <v>12472</v>
      </c>
    </row>
    <row r="9420" spans="1:2" x14ac:dyDescent="0.2">
      <c r="A9420" s="8" t="s">
        <v>9443</v>
      </c>
      <c r="B9420" s="2" t="s">
        <v>12472</v>
      </c>
    </row>
    <row r="9421" spans="1:2" x14ac:dyDescent="0.2">
      <c r="A9421" s="8" t="s">
        <v>9444</v>
      </c>
      <c r="B9421" s="2" t="s">
        <v>12472</v>
      </c>
    </row>
    <row r="9422" spans="1:2" x14ac:dyDescent="0.2">
      <c r="A9422" s="8" t="s">
        <v>9445</v>
      </c>
      <c r="B9422" s="2" t="s">
        <v>12472</v>
      </c>
    </row>
    <row r="9423" spans="1:2" x14ac:dyDescent="0.2">
      <c r="A9423" s="8" t="s">
        <v>9446</v>
      </c>
      <c r="B9423" s="2" t="s">
        <v>12472</v>
      </c>
    </row>
    <row r="9424" spans="1:2" x14ac:dyDescent="0.2">
      <c r="A9424" s="8" t="s">
        <v>9447</v>
      </c>
      <c r="B9424" s="2" t="s">
        <v>12472</v>
      </c>
    </row>
    <row r="9425" spans="1:2" x14ac:dyDescent="0.2">
      <c r="A9425" s="8" t="s">
        <v>9448</v>
      </c>
      <c r="B9425" s="2" t="s">
        <v>12472</v>
      </c>
    </row>
    <row r="9426" spans="1:2" x14ac:dyDescent="0.2">
      <c r="A9426" s="8" t="s">
        <v>9449</v>
      </c>
      <c r="B9426" s="2" t="s">
        <v>12472</v>
      </c>
    </row>
    <row r="9427" spans="1:2" x14ac:dyDescent="0.2">
      <c r="A9427" s="8" t="s">
        <v>9450</v>
      </c>
      <c r="B9427" s="2" t="s">
        <v>12472</v>
      </c>
    </row>
    <row r="9428" spans="1:2" x14ac:dyDescent="0.2">
      <c r="A9428" s="8" t="s">
        <v>9451</v>
      </c>
      <c r="B9428" s="2" t="s">
        <v>12472</v>
      </c>
    </row>
    <row r="9429" spans="1:2" x14ac:dyDescent="0.2">
      <c r="A9429" s="8" t="s">
        <v>9452</v>
      </c>
      <c r="B9429" s="2" t="s">
        <v>12472</v>
      </c>
    </row>
    <row r="9430" spans="1:2" x14ac:dyDescent="0.2">
      <c r="A9430" s="8" t="s">
        <v>9453</v>
      </c>
      <c r="B9430" s="2" t="s">
        <v>12472</v>
      </c>
    </row>
    <row r="9431" spans="1:2" x14ac:dyDescent="0.2">
      <c r="A9431" s="8" t="s">
        <v>9454</v>
      </c>
      <c r="B9431" s="2" t="s">
        <v>12472</v>
      </c>
    </row>
    <row r="9432" spans="1:2" x14ac:dyDescent="0.2">
      <c r="A9432" s="8" t="s">
        <v>9455</v>
      </c>
      <c r="B9432" s="2" t="s">
        <v>12472</v>
      </c>
    </row>
    <row r="9433" spans="1:2" x14ac:dyDescent="0.2">
      <c r="A9433" s="8" t="s">
        <v>9456</v>
      </c>
      <c r="B9433" s="2" t="s">
        <v>12472</v>
      </c>
    </row>
    <row r="9434" spans="1:2" x14ac:dyDescent="0.2">
      <c r="A9434" s="8" t="s">
        <v>9457</v>
      </c>
      <c r="B9434" s="2" t="s">
        <v>12472</v>
      </c>
    </row>
    <row r="9435" spans="1:2" x14ac:dyDescent="0.2">
      <c r="A9435" s="8" t="s">
        <v>9458</v>
      </c>
      <c r="B9435" s="2" t="s">
        <v>12472</v>
      </c>
    </row>
    <row r="9436" spans="1:2" x14ac:dyDescent="0.2">
      <c r="A9436" s="8" t="s">
        <v>9459</v>
      </c>
      <c r="B9436" s="2" t="s">
        <v>12472</v>
      </c>
    </row>
    <row r="9437" spans="1:2" x14ac:dyDescent="0.2">
      <c r="A9437" s="8" t="s">
        <v>9460</v>
      </c>
      <c r="B9437" s="2" t="s">
        <v>12472</v>
      </c>
    </row>
    <row r="9438" spans="1:2" x14ac:dyDescent="0.2">
      <c r="A9438" s="8" t="s">
        <v>9461</v>
      </c>
      <c r="B9438" s="2" t="s">
        <v>12472</v>
      </c>
    </row>
    <row r="9439" spans="1:2" x14ac:dyDescent="0.2">
      <c r="A9439" s="8" t="s">
        <v>9462</v>
      </c>
      <c r="B9439" s="2" t="s">
        <v>12472</v>
      </c>
    </row>
    <row r="9440" spans="1:2" x14ac:dyDescent="0.2">
      <c r="A9440" s="8" t="s">
        <v>9463</v>
      </c>
      <c r="B9440" s="2" t="s">
        <v>12472</v>
      </c>
    </row>
    <row r="9441" spans="1:2" x14ac:dyDescent="0.2">
      <c r="A9441" s="8" t="s">
        <v>9464</v>
      </c>
      <c r="B9441" s="2" t="s">
        <v>12472</v>
      </c>
    </row>
    <row r="9442" spans="1:2" x14ac:dyDescent="0.2">
      <c r="A9442" s="8" t="s">
        <v>9465</v>
      </c>
      <c r="B9442" s="2" t="s">
        <v>12472</v>
      </c>
    </row>
    <row r="9443" spans="1:2" x14ac:dyDescent="0.2">
      <c r="A9443" s="8" t="s">
        <v>9466</v>
      </c>
      <c r="B9443" s="2" t="s">
        <v>12472</v>
      </c>
    </row>
    <row r="9444" spans="1:2" x14ac:dyDescent="0.2">
      <c r="A9444" s="8" t="s">
        <v>9467</v>
      </c>
      <c r="B9444" s="2" t="s">
        <v>12472</v>
      </c>
    </row>
    <row r="9445" spans="1:2" x14ac:dyDescent="0.2">
      <c r="A9445" s="8" t="s">
        <v>9468</v>
      </c>
      <c r="B9445" s="2" t="s">
        <v>12472</v>
      </c>
    </row>
    <row r="9446" spans="1:2" x14ac:dyDescent="0.2">
      <c r="A9446" s="8" t="s">
        <v>9469</v>
      </c>
      <c r="B9446" s="2" t="s">
        <v>12472</v>
      </c>
    </row>
    <row r="9447" spans="1:2" x14ac:dyDescent="0.2">
      <c r="A9447" s="8" t="s">
        <v>9470</v>
      </c>
      <c r="B9447" s="2" t="s">
        <v>12472</v>
      </c>
    </row>
    <row r="9448" spans="1:2" x14ac:dyDescent="0.2">
      <c r="A9448" s="8" t="s">
        <v>9471</v>
      </c>
      <c r="B9448" s="2" t="s">
        <v>12472</v>
      </c>
    </row>
    <row r="9449" spans="1:2" x14ac:dyDescent="0.2">
      <c r="A9449" s="8" t="s">
        <v>9472</v>
      </c>
      <c r="B9449" s="2" t="s">
        <v>12472</v>
      </c>
    </row>
    <row r="9450" spans="1:2" x14ac:dyDescent="0.2">
      <c r="A9450" s="8" t="s">
        <v>9473</v>
      </c>
      <c r="B9450" s="2" t="s">
        <v>12472</v>
      </c>
    </row>
    <row r="9451" spans="1:2" x14ac:dyDescent="0.2">
      <c r="A9451" s="8" t="s">
        <v>9474</v>
      </c>
      <c r="B9451" s="2" t="s">
        <v>12472</v>
      </c>
    </row>
    <row r="9452" spans="1:2" x14ac:dyDescent="0.2">
      <c r="A9452" s="8" t="s">
        <v>9475</v>
      </c>
      <c r="B9452" s="2" t="s">
        <v>12472</v>
      </c>
    </row>
    <row r="9453" spans="1:2" x14ac:dyDescent="0.2">
      <c r="A9453" s="8" t="s">
        <v>9476</v>
      </c>
      <c r="B9453" s="2" t="s">
        <v>12472</v>
      </c>
    </row>
    <row r="9454" spans="1:2" x14ac:dyDescent="0.2">
      <c r="A9454" s="8" t="s">
        <v>9477</v>
      </c>
      <c r="B9454" s="2" t="s">
        <v>12472</v>
      </c>
    </row>
    <row r="9455" spans="1:2" x14ac:dyDescent="0.2">
      <c r="A9455" s="8" t="s">
        <v>9478</v>
      </c>
      <c r="B9455" s="2" t="s">
        <v>12472</v>
      </c>
    </row>
    <row r="9456" spans="1:2" x14ac:dyDescent="0.2">
      <c r="A9456" s="8" t="s">
        <v>9479</v>
      </c>
      <c r="B9456" s="2" t="s">
        <v>12472</v>
      </c>
    </row>
    <row r="9457" spans="1:2" x14ac:dyDescent="0.2">
      <c r="A9457" s="8" t="s">
        <v>9480</v>
      </c>
      <c r="B9457" s="2" t="s">
        <v>12472</v>
      </c>
    </row>
    <row r="9458" spans="1:2" x14ac:dyDescent="0.2">
      <c r="A9458" s="8" t="s">
        <v>9481</v>
      </c>
      <c r="B9458" s="2" t="s">
        <v>12472</v>
      </c>
    </row>
    <row r="9459" spans="1:2" x14ac:dyDescent="0.2">
      <c r="A9459" s="8" t="s">
        <v>9482</v>
      </c>
      <c r="B9459" s="2" t="s">
        <v>12472</v>
      </c>
    </row>
    <row r="9460" spans="1:2" x14ac:dyDescent="0.2">
      <c r="A9460" s="8" t="s">
        <v>9483</v>
      </c>
      <c r="B9460" s="2" t="s">
        <v>12472</v>
      </c>
    </row>
    <row r="9461" spans="1:2" x14ac:dyDescent="0.2">
      <c r="A9461" s="8" t="s">
        <v>9484</v>
      </c>
      <c r="B9461" s="2" t="s">
        <v>12472</v>
      </c>
    </row>
    <row r="9462" spans="1:2" x14ac:dyDescent="0.2">
      <c r="A9462" s="8" t="s">
        <v>9485</v>
      </c>
      <c r="B9462" s="2" t="s">
        <v>12472</v>
      </c>
    </row>
    <row r="9463" spans="1:2" x14ac:dyDescent="0.2">
      <c r="A9463" s="8" t="s">
        <v>9486</v>
      </c>
      <c r="B9463" s="2" t="s">
        <v>12472</v>
      </c>
    </row>
    <row r="9464" spans="1:2" x14ac:dyDescent="0.2">
      <c r="A9464" s="8" t="s">
        <v>9487</v>
      </c>
      <c r="B9464" s="2" t="s">
        <v>12472</v>
      </c>
    </row>
    <row r="9465" spans="1:2" x14ac:dyDescent="0.2">
      <c r="A9465" s="8" t="s">
        <v>9488</v>
      </c>
      <c r="B9465" s="2" t="s">
        <v>12472</v>
      </c>
    </row>
    <row r="9466" spans="1:2" x14ac:dyDescent="0.2">
      <c r="A9466" s="8" t="s">
        <v>9489</v>
      </c>
      <c r="B9466" s="2" t="s">
        <v>12472</v>
      </c>
    </row>
    <row r="9467" spans="1:2" x14ac:dyDescent="0.2">
      <c r="A9467" s="8" t="s">
        <v>9490</v>
      </c>
      <c r="B9467" s="2" t="s">
        <v>12472</v>
      </c>
    </row>
    <row r="9468" spans="1:2" x14ac:dyDescent="0.2">
      <c r="A9468" s="8" t="s">
        <v>9491</v>
      </c>
      <c r="B9468" s="2" t="s">
        <v>12472</v>
      </c>
    </row>
    <row r="9469" spans="1:2" x14ac:dyDescent="0.2">
      <c r="A9469" s="8" t="s">
        <v>9492</v>
      </c>
      <c r="B9469" s="2" t="s">
        <v>12472</v>
      </c>
    </row>
    <row r="9470" spans="1:2" x14ac:dyDescent="0.2">
      <c r="A9470" s="8" t="s">
        <v>9493</v>
      </c>
      <c r="B9470" s="2" t="s">
        <v>12472</v>
      </c>
    </row>
    <row r="9471" spans="1:2" x14ac:dyDescent="0.2">
      <c r="A9471" s="8" t="s">
        <v>9494</v>
      </c>
      <c r="B9471" s="2" t="s">
        <v>12472</v>
      </c>
    </row>
    <row r="9472" spans="1:2" x14ac:dyDescent="0.2">
      <c r="A9472" s="8" t="s">
        <v>9495</v>
      </c>
      <c r="B9472" s="2" t="s">
        <v>12472</v>
      </c>
    </row>
    <row r="9473" spans="1:2" x14ac:dyDescent="0.2">
      <c r="A9473" s="8" t="s">
        <v>9496</v>
      </c>
      <c r="B9473" s="2" t="s">
        <v>12472</v>
      </c>
    </row>
    <row r="9474" spans="1:2" x14ac:dyDescent="0.2">
      <c r="A9474" s="8" t="s">
        <v>9497</v>
      </c>
      <c r="B9474" s="2" t="s">
        <v>12472</v>
      </c>
    </row>
    <row r="9475" spans="1:2" x14ac:dyDescent="0.2">
      <c r="A9475" s="8" t="s">
        <v>9498</v>
      </c>
      <c r="B9475" s="2" t="s">
        <v>12472</v>
      </c>
    </row>
    <row r="9476" spans="1:2" x14ac:dyDescent="0.2">
      <c r="A9476" s="8" t="s">
        <v>9499</v>
      </c>
      <c r="B9476" s="2" t="s">
        <v>12472</v>
      </c>
    </row>
    <row r="9477" spans="1:2" x14ac:dyDescent="0.2">
      <c r="A9477" s="8" t="s">
        <v>9500</v>
      </c>
      <c r="B9477" s="2" t="s">
        <v>12472</v>
      </c>
    </row>
    <row r="9478" spans="1:2" x14ac:dyDescent="0.2">
      <c r="A9478" s="8" t="s">
        <v>9501</v>
      </c>
      <c r="B9478" s="2" t="s">
        <v>12472</v>
      </c>
    </row>
    <row r="9479" spans="1:2" x14ac:dyDescent="0.2">
      <c r="A9479" s="8" t="s">
        <v>9502</v>
      </c>
      <c r="B9479" s="2" t="s">
        <v>12472</v>
      </c>
    </row>
    <row r="9480" spans="1:2" x14ac:dyDescent="0.2">
      <c r="A9480" s="8" t="s">
        <v>9503</v>
      </c>
      <c r="B9480" s="2" t="s">
        <v>12472</v>
      </c>
    </row>
    <row r="9481" spans="1:2" x14ac:dyDescent="0.2">
      <c r="A9481" s="8" t="s">
        <v>9504</v>
      </c>
      <c r="B9481" s="2" t="s">
        <v>12472</v>
      </c>
    </row>
    <row r="9482" spans="1:2" x14ac:dyDescent="0.2">
      <c r="A9482" s="8" t="s">
        <v>9505</v>
      </c>
      <c r="B9482" s="2" t="s">
        <v>12472</v>
      </c>
    </row>
    <row r="9483" spans="1:2" x14ac:dyDescent="0.2">
      <c r="A9483" s="8" t="s">
        <v>9506</v>
      </c>
      <c r="B9483" s="2" t="s">
        <v>12472</v>
      </c>
    </row>
    <row r="9484" spans="1:2" x14ac:dyDescent="0.2">
      <c r="A9484" s="8" t="s">
        <v>9507</v>
      </c>
      <c r="B9484" s="2" t="s">
        <v>12472</v>
      </c>
    </row>
    <row r="9485" spans="1:2" x14ac:dyDescent="0.2">
      <c r="A9485" s="8" t="s">
        <v>9508</v>
      </c>
      <c r="B9485" s="2" t="s">
        <v>12472</v>
      </c>
    </row>
    <row r="9486" spans="1:2" x14ac:dyDescent="0.2">
      <c r="A9486" s="8" t="s">
        <v>9509</v>
      </c>
      <c r="B9486" s="2" t="s">
        <v>12472</v>
      </c>
    </row>
    <row r="9487" spans="1:2" x14ac:dyDescent="0.2">
      <c r="A9487" s="8" t="s">
        <v>9510</v>
      </c>
      <c r="B9487" s="2" t="s">
        <v>12472</v>
      </c>
    </row>
    <row r="9488" spans="1:2" x14ac:dyDescent="0.2">
      <c r="A9488" s="8" t="s">
        <v>9511</v>
      </c>
      <c r="B9488" s="2" t="s">
        <v>12472</v>
      </c>
    </row>
    <row r="9489" spans="1:2" x14ac:dyDescent="0.2">
      <c r="A9489" s="8" t="s">
        <v>9512</v>
      </c>
      <c r="B9489" s="2" t="s">
        <v>12472</v>
      </c>
    </row>
    <row r="9490" spans="1:2" x14ac:dyDescent="0.2">
      <c r="A9490" s="8" t="s">
        <v>9513</v>
      </c>
      <c r="B9490" s="2" t="s">
        <v>12472</v>
      </c>
    </row>
    <row r="9491" spans="1:2" x14ac:dyDescent="0.2">
      <c r="A9491" s="8" t="s">
        <v>9514</v>
      </c>
      <c r="B9491" s="2" t="s">
        <v>12472</v>
      </c>
    </row>
    <row r="9492" spans="1:2" x14ac:dyDescent="0.2">
      <c r="A9492" s="8" t="s">
        <v>9515</v>
      </c>
      <c r="B9492" s="2" t="s">
        <v>12472</v>
      </c>
    </row>
    <row r="9493" spans="1:2" x14ac:dyDescent="0.2">
      <c r="A9493" s="8" t="s">
        <v>9516</v>
      </c>
      <c r="B9493" s="2" t="s">
        <v>12472</v>
      </c>
    </row>
    <row r="9494" spans="1:2" x14ac:dyDescent="0.2">
      <c r="A9494" s="8" t="s">
        <v>9517</v>
      </c>
      <c r="B9494" s="2" t="s">
        <v>12472</v>
      </c>
    </row>
    <row r="9495" spans="1:2" x14ac:dyDescent="0.2">
      <c r="A9495" s="8" t="s">
        <v>9518</v>
      </c>
      <c r="B9495" s="2" t="s">
        <v>12472</v>
      </c>
    </row>
    <row r="9496" spans="1:2" x14ac:dyDescent="0.2">
      <c r="A9496" s="8" t="s">
        <v>9519</v>
      </c>
      <c r="B9496" s="2" t="s">
        <v>12472</v>
      </c>
    </row>
    <row r="9497" spans="1:2" x14ac:dyDescent="0.2">
      <c r="A9497" s="8" t="s">
        <v>9520</v>
      </c>
      <c r="B9497" s="2" t="s">
        <v>12472</v>
      </c>
    </row>
    <row r="9498" spans="1:2" x14ac:dyDescent="0.2">
      <c r="A9498" s="8" t="s">
        <v>9521</v>
      </c>
      <c r="B9498" s="2" t="s">
        <v>12472</v>
      </c>
    </row>
    <row r="9499" spans="1:2" x14ac:dyDescent="0.2">
      <c r="A9499" s="8" t="s">
        <v>9522</v>
      </c>
      <c r="B9499" s="2" t="s">
        <v>12472</v>
      </c>
    </row>
    <row r="9500" spans="1:2" x14ac:dyDescent="0.2">
      <c r="A9500" s="8" t="s">
        <v>9523</v>
      </c>
      <c r="B9500" s="2" t="s">
        <v>12472</v>
      </c>
    </row>
    <row r="9501" spans="1:2" x14ac:dyDescent="0.2">
      <c r="A9501" s="8" t="s">
        <v>9524</v>
      </c>
      <c r="B9501" s="2" t="s">
        <v>12472</v>
      </c>
    </row>
    <row r="9502" spans="1:2" x14ac:dyDescent="0.2">
      <c r="A9502" s="8" t="s">
        <v>9525</v>
      </c>
      <c r="B9502" s="2" t="s">
        <v>12472</v>
      </c>
    </row>
    <row r="9503" spans="1:2" x14ac:dyDescent="0.2">
      <c r="A9503" s="8" t="s">
        <v>9526</v>
      </c>
      <c r="B9503" s="2" t="s">
        <v>12472</v>
      </c>
    </row>
    <row r="9504" spans="1:2" x14ac:dyDescent="0.2">
      <c r="A9504" s="8" t="s">
        <v>9527</v>
      </c>
      <c r="B9504" s="2" t="s">
        <v>12472</v>
      </c>
    </row>
    <row r="9505" spans="1:2" x14ac:dyDescent="0.2">
      <c r="A9505" s="8" t="s">
        <v>9528</v>
      </c>
      <c r="B9505" s="2" t="s">
        <v>12472</v>
      </c>
    </row>
    <row r="9506" spans="1:2" x14ac:dyDescent="0.2">
      <c r="A9506" s="8" t="s">
        <v>9529</v>
      </c>
      <c r="B9506" s="2" t="s">
        <v>12472</v>
      </c>
    </row>
    <row r="9507" spans="1:2" x14ac:dyDescent="0.2">
      <c r="A9507" s="8" t="s">
        <v>9530</v>
      </c>
      <c r="B9507" s="2" t="s">
        <v>12472</v>
      </c>
    </row>
    <row r="9508" spans="1:2" x14ac:dyDescent="0.2">
      <c r="A9508" s="8" t="s">
        <v>9531</v>
      </c>
      <c r="B9508" s="2" t="s">
        <v>12472</v>
      </c>
    </row>
    <row r="9509" spans="1:2" x14ac:dyDescent="0.2">
      <c r="A9509" s="8" t="s">
        <v>9532</v>
      </c>
      <c r="B9509" s="2" t="s">
        <v>12472</v>
      </c>
    </row>
    <row r="9510" spans="1:2" x14ac:dyDescent="0.2">
      <c r="A9510" s="8" t="s">
        <v>9533</v>
      </c>
      <c r="B9510" s="2" t="s">
        <v>12472</v>
      </c>
    </row>
    <row r="9511" spans="1:2" x14ac:dyDescent="0.2">
      <c r="A9511" s="8" t="s">
        <v>9534</v>
      </c>
      <c r="B9511" s="2" t="s">
        <v>12472</v>
      </c>
    </row>
    <row r="9512" spans="1:2" x14ac:dyDescent="0.2">
      <c r="A9512" s="8" t="s">
        <v>9535</v>
      </c>
      <c r="B9512" s="2" t="s">
        <v>12472</v>
      </c>
    </row>
    <row r="9513" spans="1:2" x14ac:dyDescent="0.2">
      <c r="A9513" s="8" t="s">
        <v>9536</v>
      </c>
      <c r="B9513" s="2" t="s">
        <v>12472</v>
      </c>
    </row>
    <row r="9514" spans="1:2" x14ac:dyDescent="0.2">
      <c r="A9514" s="8" t="s">
        <v>9537</v>
      </c>
      <c r="B9514" s="2" t="s">
        <v>12472</v>
      </c>
    </row>
    <row r="9515" spans="1:2" x14ac:dyDescent="0.2">
      <c r="A9515" s="8" t="s">
        <v>9538</v>
      </c>
      <c r="B9515" s="2" t="s">
        <v>12472</v>
      </c>
    </row>
    <row r="9516" spans="1:2" x14ac:dyDescent="0.2">
      <c r="A9516" s="8" t="s">
        <v>9539</v>
      </c>
      <c r="B9516" s="2" t="s">
        <v>12472</v>
      </c>
    </row>
    <row r="9517" spans="1:2" x14ac:dyDescent="0.2">
      <c r="A9517" s="8" t="s">
        <v>9540</v>
      </c>
      <c r="B9517" s="2" t="s">
        <v>12472</v>
      </c>
    </row>
    <row r="9518" spans="1:2" x14ac:dyDescent="0.2">
      <c r="A9518" s="8" t="s">
        <v>9541</v>
      </c>
      <c r="B9518" s="2" t="s">
        <v>12472</v>
      </c>
    </row>
    <row r="9519" spans="1:2" x14ac:dyDescent="0.2">
      <c r="A9519" s="8" t="s">
        <v>9542</v>
      </c>
      <c r="B9519" s="2" t="s">
        <v>12472</v>
      </c>
    </row>
    <row r="9520" spans="1:2" x14ac:dyDescent="0.2">
      <c r="A9520" s="8" t="s">
        <v>9543</v>
      </c>
      <c r="B9520" s="2" t="s">
        <v>12472</v>
      </c>
    </row>
    <row r="9521" spans="1:2" x14ac:dyDescent="0.2">
      <c r="A9521" s="8" t="s">
        <v>9544</v>
      </c>
      <c r="B9521" s="2" t="s">
        <v>12472</v>
      </c>
    </row>
    <row r="9522" spans="1:2" x14ac:dyDescent="0.2">
      <c r="A9522" s="8" t="s">
        <v>9545</v>
      </c>
      <c r="B9522" s="2" t="s">
        <v>12472</v>
      </c>
    </row>
    <row r="9523" spans="1:2" x14ac:dyDescent="0.2">
      <c r="A9523" s="8" t="s">
        <v>9546</v>
      </c>
      <c r="B9523" s="2" t="s">
        <v>12472</v>
      </c>
    </row>
    <row r="9524" spans="1:2" x14ac:dyDescent="0.2">
      <c r="A9524" s="8" t="s">
        <v>9547</v>
      </c>
      <c r="B9524" s="2" t="s">
        <v>12472</v>
      </c>
    </row>
    <row r="9525" spans="1:2" x14ac:dyDescent="0.2">
      <c r="A9525" s="8" t="s">
        <v>9548</v>
      </c>
      <c r="B9525" s="2" t="s">
        <v>12472</v>
      </c>
    </row>
    <row r="9526" spans="1:2" x14ac:dyDescent="0.2">
      <c r="A9526" s="8" t="s">
        <v>9549</v>
      </c>
      <c r="B9526" s="2" t="s">
        <v>12472</v>
      </c>
    </row>
    <row r="9527" spans="1:2" x14ac:dyDescent="0.2">
      <c r="A9527" s="8" t="s">
        <v>9550</v>
      </c>
      <c r="B9527" s="2" t="s">
        <v>12472</v>
      </c>
    </row>
    <row r="9528" spans="1:2" x14ac:dyDescent="0.2">
      <c r="A9528" s="8" t="s">
        <v>9551</v>
      </c>
      <c r="B9528" s="2" t="s">
        <v>12472</v>
      </c>
    </row>
    <row r="9529" spans="1:2" x14ac:dyDescent="0.2">
      <c r="A9529" s="8" t="s">
        <v>9552</v>
      </c>
      <c r="B9529" s="2" t="s">
        <v>12472</v>
      </c>
    </row>
    <row r="9530" spans="1:2" x14ac:dyDescent="0.2">
      <c r="A9530" s="8" t="s">
        <v>9553</v>
      </c>
      <c r="B9530" s="2" t="s">
        <v>12472</v>
      </c>
    </row>
    <row r="9531" spans="1:2" x14ac:dyDescent="0.2">
      <c r="A9531" s="8" t="s">
        <v>9554</v>
      </c>
      <c r="B9531" s="2" t="s">
        <v>12472</v>
      </c>
    </row>
    <row r="9532" spans="1:2" x14ac:dyDescent="0.2">
      <c r="A9532" s="8" t="s">
        <v>9555</v>
      </c>
      <c r="B9532" s="2" t="s">
        <v>12472</v>
      </c>
    </row>
    <row r="9533" spans="1:2" x14ac:dyDescent="0.2">
      <c r="A9533" s="8" t="s">
        <v>9556</v>
      </c>
      <c r="B9533" s="2" t="s">
        <v>12472</v>
      </c>
    </row>
    <row r="9534" spans="1:2" x14ac:dyDescent="0.2">
      <c r="A9534" s="8" t="s">
        <v>9557</v>
      </c>
      <c r="B9534" s="2" t="s">
        <v>12472</v>
      </c>
    </row>
    <row r="9535" spans="1:2" x14ac:dyDescent="0.2">
      <c r="A9535" s="8" t="s">
        <v>9558</v>
      </c>
      <c r="B9535" s="2" t="s">
        <v>12472</v>
      </c>
    </row>
    <row r="9536" spans="1:2" x14ac:dyDescent="0.2">
      <c r="A9536" s="8" t="s">
        <v>9559</v>
      </c>
      <c r="B9536" s="2" t="s">
        <v>12472</v>
      </c>
    </row>
    <row r="9537" spans="1:2" x14ac:dyDescent="0.2">
      <c r="A9537" s="8" t="s">
        <v>9560</v>
      </c>
      <c r="B9537" s="2" t="s">
        <v>12472</v>
      </c>
    </row>
    <row r="9538" spans="1:2" x14ac:dyDescent="0.2">
      <c r="A9538" s="8" t="s">
        <v>9561</v>
      </c>
      <c r="B9538" s="2" t="s">
        <v>12472</v>
      </c>
    </row>
    <row r="9539" spans="1:2" x14ac:dyDescent="0.2">
      <c r="A9539" s="8" t="s">
        <v>9562</v>
      </c>
      <c r="B9539" s="2" t="s">
        <v>12472</v>
      </c>
    </row>
    <row r="9540" spans="1:2" x14ac:dyDescent="0.2">
      <c r="A9540" s="8" t="s">
        <v>9563</v>
      </c>
      <c r="B9540" s="2" t="s">
        <v>12472</v>
      </c>
    </row>
    <row r="9541" spans="1:2" x14ac:dyDescent="0.2">
      <c r="A9541" s="8" t="s">
        <v>9564</v>
      </c>
      <c r="B9541" s="2" t="s">
        <v>12472</v>
      </c>
    </row>
    <row r="9542" spans="1:2" x14ac:dyDescent="0.2">
      <c r="A9542" s="8" t="s">
        <v>9565</v>
      </c>
      <c r="B9542" s="2" t="s">
        <v>12472</v>
      </c>
    </row>
    <row r="9543" spans="1:2" x14ac:dyDescent="0.2">
      <c r="A9543" s="8" t="s">
        <v>9566</v>
      </c>
      <c r="B9543" s="2" t="s">
        <v>12472</v>
      </c>
    </row>
    <row r="9544" spans="1:2" x14ac:dyDescent="0.2">
      <c r="A9544" s="8" t="s">
        <v>9567</v>
      </c>
      <c r="B9544" s="2" t="s">
        <v>12472</v>
      </c>
    </row>
    <row r="9545" spans="1:2" x14ac:dyDescent="0.2">
      <c r="A9545" s="8" t="s">
        <v>9568</v>
      </c>
      <c r="B9545" s="2" t="s">
        <v>12472</v>
      </c>
    </row>
    <row r="9546" spans="1:2" x14ac:dyDescent="0.2">
      <c r="A9546" s="8" t="s">
        <v>9569</v>
      </c>
      <c r="B9546" s="2" t="s">
        <v>12472</v>
      </c>
    </row>
    <row r="9547" spans="1:2" x14ac:dyDescent="0.2">
      <c r="A9547" s="8" t="s">
        <v>9570</v>
      </c>
      <c r="B9547" s="2" t="s">
        <v>12472</v>
      </c>
    </row>
    <row r="9548" spans="1:2" x14ac:dyDescent="0.2">
      <c r="A9548" s="8" t="s">
        <v>9571</v>
      </c>
      <c r="B9548" s="2" t="s">
        <v>12472</v>
      </c>
    </row>
    <row r="9549" spans="1:2" x14ac:dyDescent="0.2">
      <c r="A9549" s="8" t="s">
        <v>9572</v>
      </c>
      <c r="B9549" s="2" t="s">
        <v>12472</v>
      </c>
    </row>
    <row r="9550" spans="1:2" x14ac:dyDescent="0.2">
      <c r="A9550" s="8" t="s">
        <v>9573</v>
      </c>
      <c r="B9550" s="2" t="s">
        <v>12472</v>
      </c>
    </row>
    <row r="9551" spans="1:2" x14ac:dyDescent="0.2">
      <c r="A9551" s="8" t="s">
        <v>9574</v>
      </c>
      <c r="B9551" s="2" t="s">
        <v>12472</v>
      </c>
    </row>
    <row r="9552" spans="1:2" x14ac:dyDescent="0.2">
      <c r="A9552" s="8" t="s">
        <v>9575</v>
      </c>
      <c r="B9552" s="2" t="s">
        <v>12472</v>
      </c>
    </row>
    <row r="9553" spans="1:2" x14ac:dyDescent="0.2">
      <c r="A9553" s="8" t="s">
        <v>9576</v>
      </c>
      <c r="B9553" s="2" t="s">
        <v>12472</v>
      </c>
    </row>
    <row r="9554" spans="1:2" x14ac:dyDescent="0.2">
      <c r="A9554" s="8" t="s">
        <v>9577</v>
      </c>
      <c r="B9554" s="2" t="s">
        <v>12472</v>
      </c>
    </row>
    <row r="9555" spans="1:2" x14ac:dyDescent="0.2">
      <c r="A9555" s="8" t="s">
        <v>9578</v>
      </c>
      <c r="B9555" s="2" t="s">
        <v>12472</v>
      </c>
    </row>
    <row r="9556" spans="1:2" x14ac:dyDescent="0.2">
      <c r="A9556" s="8" t="s">
        <v>9579</v>
      </c>
      <c r="B9556" s="2" t="s">
        <v>12472</v>
      </c>
    </row>
    <row r="9557" spans="1:2" x14ac:dyDescent="0.2">
      <c r="A9557" s="8" t="s">
        <v>9580</v>
      </c>
      <c r="B9557" s="2" t="s">
        <v>12472</v>
      </c>
    </row>
    <row r="9558" spans="1:2" x14ac:dyDescent="0.2">
      <c r="A9558" s="8" t="s">
        <v>9581</v>
      </c>
      <c r="B9558" s="2" t="s">
        <v>12472</v>
      </c>
    </row>
    <row r="9559" spans="1:2" x14ac:dyDescent="0.2">
      <c r="A9559" s="8" t="s">
        <v>9582</v>
      </c>
      <c r="B9559" s="2" t="s">
        <v>12472</v>
      </c>
    </row>
    <row r="9560" spans="1:2" x14ac:dyDescent="0.2">
      <c r="A9560" s="8" t="s">
        <v>9583</v>
      </c>
      <c r="B9560" s="2" t="s">
        <v>12472</v>
      </c>
    </row>
    <row r="9561" spans="1:2" x14ac:dyDescent="0.2">
      <c r="A9561" s="8" t="s">
        <v>9584</v>
      </c>
      <c r="B9561" s="2" t="s">
        <v>12472</v>
      </c>
    </row>
    <row r="9562" spans="1:2" x14ac:dyDescent="0.2">
      <c r="A9562" s="8" t="s">
        <v>9585</v>
      </c>
      <c r="B9562" s="2" t="s">
        <v>12472</v>
      </c>
    </row>
    <row r="9563" spans="1:2" x14ac:dyDescent="0.2">
      <c r="A9563" s="8" t="s">
        <v>9586</v>
      </c>
      <c r="B9563" s="2" t="s">
        <v>12472</v>
      </c>
    </row>
    <row r="9564" spans="1:2" x14ac:dyDescent="0.2">
      <c r="A9564" s="8" t="s">
        <v>9587</v>
      </c>
      <c r="B9564" s="2" t="s">
        <v>12472</v>
      </c>
    </row>
    <row r="9565" spans="1:2" x14ac:dyDescent="0.2">
      <c r="A9565" s="8" t="s">
        <v>9588</v>
      </c>
      <c r="B9565" s="2" t="s">
        <v>12472</v>
      </c>
    </row>
    <row r="9566" spans="1:2" x14ac:dyDescent="0.2">
      <c r="A9566" s="8" t="s">
        <v>9589</v>
      </c>
      <c r="B9566" s="2" t="s">
        <v>12472</v>
      </c>
    </row>
    <row r="9567" spans="1:2" x14ac:dyDescent="0.2">
      <c r="A9567" s="8" t="s">
        <v>9590</v>
      </c>
      <c r="B9567" s="2" t="s">
        <v>12472</v>
      </c>
    </row>
    <row r="9568" spans="1:2" x14ac:dyDescent="0.2">
      <c r="A9568" s="8" t="s">
        <v>9591</v>
      </c>
      <c r="B9568" s="2" t="s">
        <v>12472</v>
      </c>
    </row>
    <row r="9569" spans="1:2" x14ac:dyDescent="0.2">
      <c r="A9569" s="8" t="s">
        <v>9592</v>
      </c>
      <c r="B9569" s="2" t="s">
        <v>12472</v>
      </c>
    </row>
    <row r="9570" spans="1:2" x14ac:dyDescent="0.2">
      <c r="A9570" s="8" t="s">
        <v>9593</v>
      </c>
      <c r="B9570" s="2" t="s">
        <v>12472</v>
      </c>
    </row>
    <row r="9571" spans="1:2" x14ac:dyDescent="0.2">
      <c r="A9571" s="8" t="s">
        <v>9594</v>
      </c>
      <c r="B9571" s="2" t="s">
        <v>12472</v>
      </c>
    </row>
    <row r="9572" spans="1:2" x14ac:dyDescent="0.2">
      <c r="A9572" s="8" t="s">
        <v>9595</v>
      </c>
      <c r="B9572" s="2" t="s">
        <v>12472</v>
      </c>
    </row>
    <row r="9573" spans="1:2" x14ac:dyDescent="0.2">
      <c r="A9573" s="8" t="s">
        <v>9596</v>
      </c>
      <c r="B9573" s="2" t="s">
        <v>12472</v>
      </c>
    </row>
    <row r="9574" spans="1:2" x14ac:dyDescent="0.2">
      <c r="A9574" s="8" t="s">
        <v>9597</v>
      </c>
      <c r="B9574" s="2" t="s">
        <v>12472</v>
      </c>
    </row>
    <row r="9575" spans="1:2" x14ac:dyDescent="0.2">
      <c r="A9575" s="8" t="s">
        <v>9598</v>
      </c>
      <c r="B9575" s="2" t="s">
        <v>12472</v>
      </c>
    </row>
    <row r="9576" spans="1:2" x14ac:dyDescent="0.2">
      <c r="A9576" s="8" t="s">
        <v>9599</v>
      </c>
      <c r="B9576" s="2" t="s">
        <v>12472</v>
      </c>
    </row>
    <row r="9577" spans="1:2" x14ac:dyDescent="0.2">
      <c r="A9577" s="8" t="s">
        <v>9600</v>
      </c>
      <c r="B9577" s="2" t="s">
        <v>12472</v>
      </c>
    </row>
    <row r="9578" spans="1:2" x14ac:dyDescent="0.2">
      <c r="A9578" s="8" t="s">
        <v>9601</v>
      </c>
      <c r="B9578" s="2" t="s">
        <v>12472</v>
      </c>
    </row>
    <row r="9579" spans="1:2" x14ac:dyDescent="0.2">
      <c r="A9579" s="8" t="s">
        <v>9602</v>
      </c>
      <c r="B9579" s="2" t="s">
        <v>12472</v>
      </c>
    </row>
    <row r="9580" spans="1:2" x14ac:dyDescent="0.2">
      <c r="A9580" s="8" t="s">
        <v>9603</v>
      </c>
      <c r="B9580" s="2" t="s">
        <v>12472</v>
      </c>
    </row>
    <row r="9581" spans="1:2" x14ac:dyDescent="0.2">
      <c r="A9581" s="8" t="s">
        <v>9604</v>
      </c>
      <c r="B9581" s="2" t="s">
        <v>12472</v>
      </c>
    </row>
    <row r="9582" spans="1:2" x14ac:dyDescent="0.2">
      <c r="A9582" s="8" t="s">
        <v>9605</v>
      </c>
      <c r="B9582" s="2" t="s">
        <v>12472</v>
      </c>
    </row>
    <row r="9583" spans="1:2" x14ac:dyDescent="0.2">
      <c r="A9583" s="8" t="s">
        <v>9606</v>
      </c>
      <c r="B9583" s="2" t="s">
        <v>12472</v>
      </c>
    </row>
    <row r="9584" spans="1:2" x14ac:dyDescent="0.2">
      <c r="A9584" s="8" t="s">
        <v>9607</v>
      </c>
      <c r="B9584" s="2" t="s">
        <v>12472</v>
      </c>
    </row>
    <row r="9585" spans="1:2" x14ac:dyDescent="0.2">
      <c r="A9585" s="8" t="s">
        <v>9608</v>
      </c>
      <c r="B9585" s="2" t="s">
        <v>12472</v>
      </c>
    </row>
    <row r="9586" spans="1:2" x14ac:dyDescent="0.2">
      <c r="A9586" s="8" t="s">
        <v>9609</v>
      </c>
      <c r="B9586" s="2" t="s">
        <v>12472</v>
      </c>
    </row>
    <row r="9587" spans="1:2" x14ac:dyDescent="0.2">
      <c r="A9587" s="8" t="s">
        <v>9610</v>
      </c>
      <c r="B9587" s="2" t="s">
        <v>12472</v>
      </c>
    </row>
    <row r="9588" spans="1:2" x14ac:dyDescent="0.2">
      <c r="A9588" s="8" t="s">
        <v>9611</v>
      </c>
      <c r="B9588" s="2" t="s">
        <v>12472</v>
      </c>
    </row>
    <row r="9589" spans="1:2" x14ac:dyDescent="0.2">
      <c r="A9589" s="8" t="s">
        <v>9612</v>
      </c>
      <c r="B9589" s="2" t="s">
        <v>12472</v>
      </c>
    </row>
    <row r="9590" spans="1:2" x14ac:dyDescent="0.2">
      <c r="A9590" s="8" t="s">
        <v>9613</v>
      </c>
      <c r="B9590" s="2" t="s">
        <v>12472</v>
      </c>
    </row>
    <row r="9591" spans="1:2" x14ac:dyDescent="0.2">
      <c r="A9591" s="8" t="s">
        <v>9614</v>
      </c>
      <c r="B9591" s="2" t="s">
        <v>12472</v>
      </c>
    </row>
    <row r="9592" spans="1:2" x14ac:dyDescent="0.2">
      <c r="A9592" s="8" t="s">
        <v>9615</v>
      </c>
      <c r="B9592" s="2" t="s">
        <v>12472</v>
      </c>
    </row>
    <row r="9593" spans="1:2" x14ac:dyDescent="0.2">
      <c r="A9593" s="8" t="s">
        <v>9616</v>
      </c>
      <c r="B9593" s="2" t="s">
        <v>12472</v>
      </c>
    </row>
    <row r="9594" spans="1:2" x14ac:dyDescent="0.2">
      <c r="A9594" s="8" t="s">
        <v>9617</v>
      </c>
      <c r="B9594" s="2" t="s">
        <v>12472</v>
      </c>
    </row>
    <row r="9595" spans="1:2" x14ac:dyDescent="0.2">
      <c r="A9595" s="8" t="s">
        <v>9618</v>
      </c>
      <c r="B9595" s="2" t="s">
        <v>12472</v>
      </c>
    </row>
    <row r="9596" spans="1:2" x14ac:dyDescent="0.2">
      <c r="A9596" s="8" t="s">
        <v>9619</v>
      </c>
      <c r="B9596" s="2" t="s">
        <v>12472</v>
      </c>
    </row>
    <row r="9597" spans="1:2" x14ac:dyDescent="0.2">
      <c r="A9597" s="8" t="s">
        <v>9620</v>
      </c>
      <c r="B9597" s="2" t="s">
        <v>12472</v>
      </c>
    </row>
    <row r="9598" spans="1:2" x14ac:dyDescent="0.2">
      <c r="A9598" s="8" t="s">
        <v>9621</v>
      </c>
      <c r="B9598" s="2" t="s">
        <v>12472</v>
      </c>
    </row>
    <row r="9599" spans="1:2" x14ac:dyDescent="0.2">
      <c r="A9599" s="8" t="s">
        <v>9622</v>
      </c>
      <c r="B9599" s="2" t="s">
        <v>12472</v>
      </c>
    </row>
    <row r="9600" spans="1:2" x14ac:dyDescent="0.2">
      <c r="A9600" s="8" t="s">
        <v>9623</v>
      </c>
      <c r="B9600" s="2" t="s">
        <v>12472</v>
      </c>
    </row>
    <row r="9601" spans="1:2" x14ac:dyDescent="0.2">
      <c r="A9601" s="8" t="s">
        <v>9624</v>
      </c>
      <c r="B9601" s="2" t="s">
        <v>12472</v>
      </c>
    </row>
    <row r="9602" spans="1:2" x14ac:dyDescent="0.2">
      <c r="A9602" s="8" t="s">
        <v>9625</v>
      </c>
      <c r="B9602" s="2" t="s">
        <v>12472</v>
      </c>
    </row>
    <row r="9603" spans="1:2" x14ac:dyDescent="0.2">
      <c r="A9603" s="8" t="s">
        <v>9626</v>
      </c>
      <c r="B9603" s="2" t="s">
        <v>12472</v>
      </c>
    </row>
    <row r="9604" spans="1:2" x14ac:dyDescent="0.2">
      <c r="A9604" s="8" t="s">
        <v>9627</v>
      </c>
      <c r="B9604" s="2" t="s">
        <v>12472</v>
      </c>
    </row>
    <row r="9605" spans="1:2" x14ac:dyDescent="0.2">
      <c r="A9605" s="8" t="s">
        <v>9628</v>
      </c>
      <c r="B9605" s="2" t="s">
        <v>12472</v>
      </c>
    </row>
    <row r="9606" spans="1:2" x14ac:dyDescent="0.2">
      <c r="A9606" s="8" t="s">
        <v>9629</v>
      </c>
      <c r="B9606" s="2" t="s">
        <v>12472</v>
      </c>
    </row>
    <row r="9607" spans="1:2" x14ac:dyDescent="0.2">
      <c r="A9607" s="8" t="s">
        <v>9630</v>
      </c>
      <c r="B9607" s="2" t="s">
        <v>12472</v>
      </c>
    </row>
    <row r="9608" spans="1:2" x14ac:dyDescent="0.2">
      <c r="A9608" s="8" t="s">
        <v>9631</v>
      </c>
      <c r="B9608" s="2" t="s">
        <v>12472</v>
      </c>
    </row>
    <row r="9609" spans="1:2" x14ac:dyDescent="0.2">
      <c r="A9609" s="8" t="s">
        <v>9632</v>
      </c>
      <c r="B9609" s="2" t="s">
        <v>12472</v>
      </c>
    </row>
    <row r="9610" spans="1:2" x14ac:dyDescent="0.2">
      <c r="A9610" s="8" t="s">
        <v>9633</v>
      </c>
      <c r="B9610" s="2" t="s">
        <v>12472</v>
      </c>
    </row>
    <row r="9611" spans="1:2" x14ac:dyDescent="0.2">
      <c r="A9611" s="8" t="s">
        <v>9634</v>
      </c>
      <c r="B9611" s="2" t="s">
        <v>12472</v>
      </c>
    </row>
    <row r="9612" spans="1:2" x14ac:dyDescent="0.2">
      <c r="A9612" s="8" t="s">
        <v>9635</v>
      </c>
      <c r="B9612" s="2" t="s">
        <v>12472</v>
      </c>
    </row>
    <row r="9613" spans="1:2" x14ac:dyDescent="0.2">
      <c r="A9613" s="8" t="s">
        <v>9636</v>
      </c>
      <c r="B9613" s="2" t="s">
        <v>12472</v>
      </c>
    </row>
    <row r="9614" spans="1:2" x14ac:dyDescent="0.2">
      <c r="A9614" s="8" t="s">
        <v>9637</v>
      </c>
      <c r="B9614" s="2" t="s">
        <v>12472</v>
      </c>
    </row>
    <row r="9615" spans="1:2" x14ac:dyDescent="0.2">
      <c r="A9615" s="8" t="s">
        <v>9638</v>
      </c>
      <c r="B9615" s="2" t="s">
        <v>12472</v>
      </c>
    </row>
    <row r="9616" spans="1:2" x14ac:dyDescent="0.2">
      <c r="A9616" s="8" t="s">
        <v>9639</v>
      </c>
      <c r="B9616" s="2" t="s">
        <v>12472</v>
      </c>
    </row>
    <row r="9617" spans="1:2" x14ac:dyDescent="0.2">
      <c r="A9617" s="8" t="s">
        <v>9640</v>
      </c>
      <c r="B9617" s="2" t="s">
        <v>12472</v>
      </c>
    </row>
    <row r="9618" spans="1:2" x14ac:dyDescent="0.2">
      <c r="A9618" s="8" t="s">
        <v>9641</v>
      </c>
      <c r="B9618" s="2" t="s">
        <v>12472</v>
      </c>
    </row>
    <row r="9619" spans="1:2" x14ac:dyDescent="0.2">
      <c r="A9619" s="8" t="s">
        <v>9642</v>
      </c>
      <c r="B9619" s="2" t="s">
        <v>12472</v>
      </c>
    </row>
    <row r="9620" spans="1:2" x14ac:dyDescent="0.2">
      <c r="A9620" s="8" t="s">
        <v>9643</v>
      </c>
      <c r="B9620" s="2" t="s">
        <v>12472</v>
      </c>
    </row>
    <row r="9621" spans="1:2" x14ac:dyDescent="0.2">
      <c r="A9621" s="8" t="s">
        <v>9644</v>
      </c>
      <c r="B9621" s="2" t="s">
        <v>12472</v>
      </c>
    </row>
    <row r="9622" spans="1:2" x14ac:dyDescent="0.2">
      <c r="A9622" s="8" t="s">
        <v>9645</v>
      </c>
      <c r="B9622" s="2" t="s">
        <v>12472</v>
      </c>
    </row>
    <row r="9623" spans="1:2" x14ac:dyDescent="0.2">
      <c r="A9623" s="8" t="s">
        <v>9646</v>
      </c>
      <c r="B9623" s="2" t="s">
        <v>12472</v>
      </c>
    </row>
    <row r="9624" spans="1:2" x14ac:dyDescent="0.2">
      <c r="A9624" s="8" t="s">
        <v>9647</v>
      </c>
      <c r="B9624" s="2" t="s">
        <v>12472</v>
      </c>
    </row>
    <row r="9625" spans="1:2" x14ac:dyDescent="0.2">
      <c r="A9625" s="8" t="s">
        <v>9648</v>
      </c>
      <c r="B9625" s="2" t="s">
        <v>12472</v>
      </c>
    </row>
    <row r="9626" spans="1:2" x14ac:dyDescent="0.2">
      <c r="A9626" s="8" t="s">
        <v>9649</v>
      </c>
      <c r="B9626" s="2" t="s">
        <v>12472</v>
      </c>
    </row>
    <row r="9627" spans="1:2" x14ac:dyDescent="0.2">
      <c r="A9627" s="8" t="s">
        <v>9650</v>
      </c>
      <c r="B9627" s="2" t="s">
        <v>12472</v>
      </c>
    </row>
    <row r="9628" spans="1:2" x14ac:dyDescent="0.2">
      <c r="A9628" s="8" t="s">
        <v>9651</v>
      </c>
      <c r="B9628" s="2" t="s">
        <v>12472</v>
      </c>
    </row>
    <row r="9629" spans="1:2" x14ac:dyDescent="0.2">
      <c r="A9629" s="8" t="s">
        <v>9652</v>
      </c>
      <c r="B9629" s="2" t="s">
        <v>12472</v>
      </c>
    </row>
    <row r="9630" spans="1:2" x14ac:dyDescent="0.2">
      <c r="A9630" s="8" t="s">
        <v>9653</v>
      </c>
      <c r="B9630" s="2" t="s">
        <v>12472</v>
      </c>
    </row>
    <row r="9631" spans="1:2" x14ac:dyDescent="0.2">
      <c r="A9631" s="8" t="s">
        <v>9654</v>
      </c>
      <c r="B9631" s="2" t="s">
        <v>12472</v>
      </c>
    </row>
    <row r="9632" spans="1:2" x14ac:dyDescent="0.2">
      <c r="A9632" s="8" t="s">
        <v>9655</v>
      </c>
      <c r="B9632" s="2" t="s">
        <v>12472</v>
      </c>
    </row>
    <row r="9633" spans="1:2" x14ac:dyDescent="0.2">
      <c r="A9633" s="8" t="s">
        <v>9656</v>
      </c>
      <c r="B9633" s="2" t="s">
        <v>12472</v>
      </c>
    </row>
    <row r="9634" spans="1:2" x14ac:dyDescent="0.2">
      <c r="A9634" s="8" t="s">
        <v>9657</v>
      </c>
      <c r="B9634" s="2" t="s">
        <v>12472</v>
      </c>
    </row>
    <row r="9635" spans="1:2" x14ac:dyDescent="0.2">
      <c r="A9635" s="8" t="s">
        <v>9658</v>
      </c>
      <c r="B9635" s="2" t="s">
        <v>12472</v>
      </c>
    </row>
    <row r="9636" spans="1:2" x14ac:dyDescent="0.2">
      <c r="A9636" s="8" t="s">
        <v>9659</v>
      </c>
      <c r="B9636" s="2" t="s">
        <v>12472</v>
      </c>
    </row>
    <row r="9637" spans="1:2" x14ac:dyDescent="0.2">
      <c r="A9637" s="8" t="s">
        <v>9660</v>
      </c>
      <c r="B9637" s="2" t="s">
        <v>12472</v>
      </c>
    </row>
    <row r="9638" spans="1:2" x14ac:dyDescent="0.2">
      <c r="A9638" s="8" t="s">
        <v>9661</v>
      </c>
      <c r="B9638" s="2" t="s">
        <v>12472</v>
      </c>
    </row>
    <row r="9639" spans="1:2" x14ac:dyDescent="0.2">
      <c r="A9639" s="8" t="s">
        <v>9662</v>
      </c>
      <c r="B9639" s="2" t="s">
        <v>12472</v>
      </c>
    </row>
    <row r="9640" spans="1:2" x14ac:dyDescent="0.2">
      <c r="A9640" s="8" t="s">
        <v>9663</v>
      </c>
      <c r="B9640" s="2" t="s">
        <v>12472</v>
      </c>
    </row>
    <row r="9641" spans="1:2" x14ac:dyDescent="0.2">
      <c r="A9641" s="8" t="s">
        <v>9664</v>
      </c>
      <c r="B9641" s="2" t="s">
        <v>12472</v>
      </c>
    </row>
    <row r="9642" spans="1:2" x14ac:dyDescent="0.2">
      <c r="A9642" s="8" t="s">
        <v>9665</v>
      </c>
      <c r="B9642" s="2" t="s">
        <v>12472</v>
      </c>
    </row>
    <row r="9643" spans="1:2" x14ac:dyDescent="0.2">
      <c r="A9643" s="8" t="s">
        <v>9666</v>
      </c>
      <c r="B9643" s="2" t="s">
        <v>12472</v>
      </c>
    </row>
    <row r="9644" spans="1:2" x14ac:dyDescent="0.2">
      <c r="A9644" s="8" t="s">
        <v>9667</v>
      </c>
      <c r="B9644" s="2" t="s">
        <v>12472</v>
      </c>
    </row>
    <row r="9645" spans="1:2" x14ac:dyDescent="0.2">
      <c r="A9645" s="8" t="s">
        <v>9668</v>
      </c>
      <c r="B9645" s="2" t="s">
        <v>12472</v>
      </c>
    </row>
    <row r="9646" spans="1:2" x14ac:dyDescent="0.2">
      <c r="A9646" s="8" t="s">
        <v>9669</v>
      </c>
      <c r="B9646" s="2" t="s">
        <v>12472</v>
      </c>
    </row>
    <row r="9647" spans="1:2" x14ac:dyDescent="0.2">
      <c r="A9647" s="8" t="s">
        <v>9670</v>
      </c>
      <c r="B9647" s="2" t="s">
        <v>12472</v>
      </c>
    </row>
    <row r="9648" spans="1:2" x14ac:dyDescent="0.2">
      <c r="A9648" s="8" t="s">
        <v>9671</v>
      </c>
      <c r="B9648" s="2" t="s">
        <v>12472</v>
      </c>
    </row>
    <row r="9649" spans="1:2" x14ac:dyDescent="0.2">
      <c r="A9649" s="8" t="s">
        <v>9672</v>
      </c>
      <c r="B9649" s="2" t="s">
        <v>12472</v>
      </c>
    </row>
    <row r="9650" spans="1:2" x14ac:dyDescent="0.2">
      <c r="A9650" s="8" t="s">
        <v>9673</v>
      </c>
      <c r="B9650" s="2" t="s">
        <v>12472</v>
      </c>
    </row>
    <row r="9651" spans="1:2" x14ac:dyDescent="0.2">
      <c r="A9651" s="8" t="s">
        <v>9674</v>
      </c>
      <c r="B9651" s="2" t="s">
        <v>12472</v>
      </c>
    </row>
    <row r="9652" spans="1:2" x14ac:dyDescent="0.2">
      <c r="A9652" s="8" t="s">
        <v>9675</v>
      </c>
      <c r="B9652" s="2" t="s">
        <v>12472</v>
      </c>
    </row>
    <row r="9653" spans="1:2" x14ac:dyDescent="0.2">
      <c r="A9653" s="8" t="s">
        <v>9676</v>
      </c>
      <c r="B9653" s="2" t="s">
        <v>12472</v>
      </c>
    </row>
    <row r="9654" spans="1:2" x14ac:dyDescent="0.2">
      <c r="A9654" s="8" t="s">
        <v>9677</v>
      </c>
      <c r="B9654" s="2" t="s">
        <v>12472</v>
      </c>
    </row>
    <row r="9655" spans="1:2" x14ac:dyDescent="0.2">
      <c r="A9655" s="8" t="s">
        <v>9678</v>
      </c>
      <c r="B9655" s="2" t="s">
        <v>12472</v>
      </c>
    </row>
    <row r="9656" spans="1:2" x14ac:dyDescent="0.2">
      <c r="A9656" s="8" t="s">
        <v>9679</v>
      </c>
      <c r="B9656" s="2" t="s">
        <v>12472</v>
      </c>
    </row>
    <row r="9657" spans="1:2" x14ac:dyDescent="0.2">
      <c r="A9657" s="8" t="s">
        <v>9680</v>
      </c>
      <c r="B9657" s="2" t="s">
        <v>12472</v>
      </c>
    </row>
    <row r="9658" spans="1:2" x14ac:dyDescent="0.2">
      <c r="A9658" s="8" t="s">
        <v>9681</v>
      </c>
      <c r="B9658" s="2" t="s">
        <v>12472</v>
      </c>
    </row>
    <row r="9659" spans="1:2" x14ac:dyDescent="0.2">
      <c r="A9659" s="8" t="s">
        <v>9682</v>
      </c>
      <c r="B9659" s="2" t="s">
        <v>12472</v>
      </c>
    </row>
    <row r="9660" spans="1:2" x14ac:dyDescent="0.2">
      <c r="A9660" s="8" t="s">
        <v>9683</v>
      </c>
      <c r="B9660" s="2" t="s">
        <v>12472</v>
      </c>
    </row>
    <row r="9661" spans="1:2" x14ac:dyDescent="0.2">
      <c r="A9661" s="8" t="s">
        <v>9684</v>
      </c>
      <c r="B9661" s="2" t="s">
        <v>12472</v>
      </c>
    </row>
    <row r="9662" spans="1:2" x14ac:dyDescent="0.2">
      <c r="A9662" s="8" t="s">
        <v>9685</v>
      </c>
      <c r="B9662" s="2" t="s">
        <v>12472</v>
      </c>
    </row>
    <row r="9663" spans="1:2" x14ac:dyDescent="0.2">
      <c r="A9663" s="8" t="s">
        <v>9686</v>
      </c>
      <c r="B9663" s="2" t="s">
        <v>12472</v>
      </c>
    </row>
    <row r="9664" spans="1:2" x14ac:dyDescent="0.2">
      <c r="A9664" s="8" t="s">
        <v>9687</v>
      </c>
      <c r="B9664" s="2" t="s">
        <v>12472</v>
      </c>
    </row>
    <row r="9665" spans="1:2" x14ac:dyDescent="0.2">
      <c r="A9665" s="8" t="s">
        <v>9688</v>
      </c>
      <c r="B9665" s="2" t="s">
        <v>12472</v>
      </c>
    </row>
    <row r="9666" spans="1:2" x14ac:dyDescent="0.2">
      <c r="A9666" s="8" t="s">
        <v>9689</v>
      </c>
      <c r="B9666" s="2" t="s">
        <v>12472</v>
      </c>
    </row>
    <row r="9667" spans="1:2" x14ac:dyDescent="0.2">
      <c r="A9667" s="8" t="s">
        <v>9690</v>
      </c>
      <c r="B9667" s="2" t="s">
        <v>12472</v>
      </c>
    </row>
    <row r="9668" spans="1:2" x14ac:dyDescent="0.2">
      <c r="A9668" s="8" t="s">
        <v>9691</v>
      </c>
      <c r="B9668" s="2" t="s">
        <v>12472</v>
      </c>
    </row>
    <row r="9669" spans="1:2" x14ac:dyDescent="0.2">
      <c r="A9669" s="8" t="s">
        <v>9692</v>
      </c>
      <c r="B9669" s="2" t="s">
        <v>12472</v>
      </c>
    </row>
    <row r="9670" spans="1:2" x14ac:dyDescent="0.2">
      <c r="A9670" s="8" t="s">
        <v>9693</v>
      </c>
      <c r="B9670" s="2" t="s">
        <v>12472</v>
      </c>
    </row>
    <row r="9671" spans="1:2" x14ac:dyDescent="0.2">
      <c r="A9671" s="8" t="s">
        <v>9694</v>
      </c>
      <c r="B9671" s="2" t="s">
        <v>12472</v>
      </c>
    </row>
    <row r="9672" spans="1:2" x14ac:dyDescent="0.2">
      <c r="A9672" s="8" t="s">
        <v>9695</v>
      </c>
      <c r="B9672" s="2" t="s">
        <v>12472</v>
      </c>
    </row>
    <row r="9673" spans="1:2" x14ac:dyDescent="0.2">
      <c r="A9673" s="8" t="s">
        <v>9696</v>
      </c>
      <c r="B9673" s="2" t="s">
        <v>12472</v>
      </c>
    </row>
    <row r="9674" spans="1:2" x14ac:dyDescent="0.2">
      <c r="A9674" s="8" t="s">
        <v>9697</v>
      </c>
      <c r="B9674" s="2" t="s">
        <v>12472</v>
      </c>
    </row>
    <row r="9675" spans="1:2" x14ac:dyDescent="0.2">
      <c r="A9675" s="8" t="s">
        <v>9698</v>
      </c>
      <c r="B9675" s="2" t="s">
        <v>12472</v>
      </c>
    </row>
    <row r="9676" spans="1:2" x14ac:dyDescent="0.2">
      <c r="A9676" s="8" t="s">
        <v>9699</v>
      </c>
      <c r="B9676" s="2" t="s">
        <v>12472</v>
      </c>
    </row>
    <row r="9677" spans="1:2" x14ac:dyDescent="0.2">
      <c r="A9677" s="8" t="s">
        <v>9700</v>
      </c>
      <c r="B9677" s="2" t="s">
        <v>12472</v>
      </c>
    </row>
    <row r="9678" spans="1:2" x14ac:dyDescent="0.2">
      <c r="A9678" s="8" t="s">
        <v>9701</v>
      </c>
      <c r="B9678" s="2" t="s">
        <v>12472</v>
      </c>
    </row>
    <row r="9679" spans="1:2" x14ac:dyDescent="0.2">
      <c r="A9679" s="8" t="s">
        <v>9702</v>
      </c>
      <c r="B9679" s="2" t="s">
        <v>12472</v>
      </c>
    </row>
    <row r="9680" spans="1:2" x14ac:dyDescent="0.2">
      <c r="A9680" s="8" t="s">
        <v>9703</v>
      </c>
      <c r="B9680" s="2" t="s">
        <v>12472</v>
      </c>
    </row>
    <row r="9681" spans="1:2" x14ac:dyDescent="0.2">
      <c r="A9681" s="8" t="s">
        <v>9704</v>
      </c>
      <c r="B9681" s="2" t="s">
        <v>12472</v>
      </c>
    </row>
    <row r="9682" spans="1:2" x14ac:dyDescent="0.2">
      <c r="A9682" s="8" t="s">
        <v>9705</v>
      </c>
      <c r="B9682" s="2" t="s">
        <v>12472</v>
      </c>
    </row>
    <row r="9683" spans="1:2" x14ac:dyDescent="0.2">
      <c r="A9683" s="8" t="s">
        <v>9706</v>
      </c>
      <c r="B9683" s="2" t="s">
        <v>12472</v>
      </c>
    </row>
    <row r="9684" spans="1:2" x14ac:dyDescent="0.2">
      <c r="A9684" s="8" t="s">
        <v>9707</v>
      </c>
      <c r="B9684" s="2" t="s">
        <v>12472</v>
      </c>
    </row>
    <row r="9685" spans="1:2" x14ac:dyDescent="0.2">
      <c r="A9685" s="8" t="s">
        <v>9708</v>
      </c>
      <c r="B9685" s="2" t="s">
        <v>12472</v>
      </c>
    </row>
    <row r="9686" spans="1:2" x14ac:dyDescent="0.2">
      <c r="A9686" s="8" t="s">
        <v>9709</v>
      </c>
      <c r="B9686" s="2" t="s">
        <v>12472</v>
      </c>
    </row>
    <row r="9687" spans="1:2" x14ac:dyDescent="0.2">
      <c r="A9687" s="8" t="s">
        <v>9710</v>
      </c>
      <c r="B9687" s="2" t="s">
        <v>12472</v>
      </c>
    </row>
    <row r="9688" spans="1:2" x14ac:dyDescent="0.2">
      <c r="A9688" s="8" t="s">
        <v>9711</v>
      </c>
      <c r="B9688" s="2" t="s">
        <v>12472</v>
      </c>
    </row>
    <row r="9689" spans="1:2" x14ac:dyDescent="0.2">
      <c r="A9689" s="8" t="s">
        <v>9712</v>
      </c>
      <c r="B9689" s="2" t="s">
        <v>12472</v>
      </c>
    </row>
    <row r="9690" spans="1:2" x14ac:dyDescent="0.2">
      <c r="A9690" s="8" t="s">
        <v>9713</v>
      </c>
      <c r="B9690" s="2" t="s">
        <v>12472</v>
      </c>
    </row>
    <row r="9691" spans="1:2" x14ac:dyDescent="0.2">
      <c r="A9691" s="8" t="s">
        <v>9714</v>
      </c>
      <c r="B9691" s="2" t="s">
        <v>12472</v>
      </c>
    </row>
    <row r="9692" spans="1:2" x14ac:dyDescent="0.2">
      <c r="A9692" s="8" t="s">
        <v>9715</v>
      </c>
      <c r="B9692" s="2" t="s">
        <v>12472</v>
      </c>
    </row>
    <row r="9693" spans="1:2" x14ac:dyDescent="0.2">
      <c r="A9693" s="8" t="s">
        <v>9716</v>
      </c>
      <c r="B9693" s="2" t="s">
        <v>12472</v>
      </c>
    </row>
    <row r="9694" spans="1:2" x14ac:dyDescent="0.2">
      <c r="A9694" s="8" t="s">
        <v>9717</v>
      </c>
      <c r="B9694" s="2" t="s">
        <v>12472</v>
      </c>
    </row>
    <row r="9695" spans="1:2" x14ac:dyDescent="0.2">
      <c r="A9695" s="8" t="s">
        <v>9718</v>
      </c>
      <c r="B9695" s="2" t="s">
        <v>12472</v>
      </c>
    </row>
    <row r="9696" spans="1:2" x14ac:dyDescent="0.2">
      <c r="A9696" s="8" t="s">
        <v>9719</v>
      </c>
      <c r="B9696" s="2" t="s">
        <v>12472</v>
      </c>
    </row>
    <row r="9697" spans="1:2" x14ac:dyDescent="0.2">
      <c r="A9697" s="8" t="s">
        <v>9720</v>
      </c>
      <c r="B9697" s="2" t="s">
        <v>12472</v>
      </c>
    </row>
    <row r="9698" spans="1:2" x14ac:dyDescent="0.2">
      <c r="A9698" s="8" t="s">
        <v>9721</v>
      </c>
      <c r="B9698" s="2" t="s">
        <v>12472</v>
      </c>
    </row>
    <row r="9699" spans="1:2" x14ac:dyDescent="0.2">
      <c r="A9699" s="8" t="s">
        <v>9722</v>
      </c>
      <c r="B9699" s="2" t="s">
        <v>12472</v>
      </c>
    </row>
    <row r="9700" spans="1:2" x14ac:dyDescent="0.2">
      <c r="A9700" s="8" t="s">
        <v>9723</v>
      </c>
      <c r="B9700" s="2" t="s">
        <v>12472</v>
      </c>
    </row>
    <row r="9701" spans="1:2" x14ac:dyDescent="0.2">
      <c r="A9701" s="8" t="s">
        <v>9724</v>
      </c>
      <c r="B9701" s="2" t="s">
        <v>12472</v>
      </c>
    </row>
    <row r="9702" spans="1:2" x14ac:dyDescent="0.2">
      <c r="A9702" s="8" t="s">
        <v>9725</v>
      </c>
      <c r="B9702" s="2" t="s">
        <v>12472</v>
      </c>
    </row>
    <row r="9703" spans="1:2" x14ac:dyDescent="0.2">
      <c r="A9703" s="8" t="s">
        <v>9726</v>
      </c>
      <c r="B9703" s="2" t="s">
        <v>12472</v>
      </c>
    </row>
    <row r="9704" spans="1:2" x14ac:dyDescent="0.2">
      <c r="A9704" s="8" t="s">
        <v>9727</v>
      </c>
      <c r="B9704" s="2" t="s">
        <v>12472</v>
      </c>
    </row>
    <row r="9705" spans="1:2" x14ac:dyDescent="0.2">
      <c r="A9705" s="8" t="s">
        <v>9728</v>
      </c>
      <c r="B9705" s="2" t="s">
        <v>12472</v>
      </c>
    </row>
    <row r="9706" spans="1:2" x14ac:dyDescent="0.2">
      <c r="A9706" s="8" t="s">
        <v>9729</v>
      </c>
      <c r="B9706" s="2" t="s">
        <v>12472</v>
      </c>
    </row>
    <row r="9707" spans="1:2" x14ac:dyDescent="0.2">
      <c r="A9707" s="8" t="s">
        <v>9730</v>
      </c>
      <c r="B9707" s="2" t="s">
        <v>12472</v>
      </c>
    </row>
    <row r="9708" spans="1:2" x14ac:dyDescent="0.2">
      <c r="A9708" s="8" t="s">
        <v>9731</v>
      </c>
      <c r="B9708" s="2" t="s">
        <v>12472</v>
      </c>
    </row>
    <row r="9709" spans="1:2" x14ac:dyDescent="0.2">
      <c r="A9709" s="8" t="s">
        <v>9732</v>
      </c>
      <c r="B9709" s="2" t="s">
        <v>12472</v>
      </c>
    </row>
    <row r="9710" spans="1:2" x14ac:dyDescent="0.2">
      <c r="A9710" s="8" t="s">
        <v>9733</v>
      </c>
      <c r="B9710" s="2" t="s">
        <v>12472</v>
      </c>
    </row>
    <row r="9711" spans="1:2" x14ac:dyDescent="0.2">
      <c r="A9711" s="8" t="s">
        <v>9734</v>
      </c>
      <c r="B9711" s="2" t="s">
        <v>12472</v>
      </c>
    </row>
    <row r="9712" spans="1:2" x14ac:dyDescent="0.2">
      <c r="A9712" s="8" t="s">
        <v>9735</v>
      </c>
      <c r="B9712" s="2" t="s">
        <v>12472</v>
      </c>
    </row>
    <row r="9713" spans="1:2" x14ac:dyDescent="0.2">
      <c r="A9713" s="8" t="s">
        <v>9736</v>
      </c>
      <c r="B9713" s="2" t="s">
        <v>12472</v>
      </c>
    </row>
    <row r="9714" spans="1:2" x14ac:dyDescent="0.2">
      <c r="A9714" s="8" t="s">
        <v>9737</v>
      </c>
      <c r="B9714" s="2" t="s">
        <v>12472</v>
      </c>
    </row>
    <row r="9715" spans="1:2" x14ac:dyDescent="0.2">
      <c r="A9715" s="8" t="s">
        <v>9738</v>
      </c>
      <c r="B9715" s="2" t="s">
        <v>12472</v>
      </c>
    </row>
    <row r="9716" spans="1:2" x14ac:dyDescent="0.2">
      <c r="A9716" s="8" t="s">
        <v>9739</v>
      </c>
      <c r="B9716" s="2" t="s">
        <v>12472</v>
      </c>
    </row>
    <row r="9717" spans="1:2" x14ac:dyDescent="0.2">
      <c r="A9717" s="8" t="s">
        <v>9740</v>
      </c>
      <c r="B9717" s="2" t="s">
        <v>12472</v>
      </c>
    </row>
    <row r="9718" spans="1:2" x14ac:dyDescent="0.2">
      <c r="A9718" s="8" t="s">
        <v>9741</v>
      </c>
      <c r="B9718" s="2" t="s">
        <v>12472</v>
      </c>
    </row>
    <row r="9719" spans="1:2" x14ac:dyDescent="0.2">
      <c r="A9719" s="8" t="s">
        <v>9742</v>
      </c>
      <c r="B9719" s="2" t="s">
        <v>12472</v>
      </c>
    </row>
    <row r="9720" spans="1:2" x14ac:dyDescent="0.2">
      <c r="A9720" s="8" t="s">
        <v>9743</v>
      </c>
      <c r="B9720" s="2" t="s">
        <v>12472</v>
      </c>
    </row>
    <row r="9721" spans="1:2" x14ac:dyDescent="0.2">
      <c r="A9721" s="8" t="s">
        <v>9744</v>
      </c>
      <c r="B9721" s="2" t="s">
        <v>12472</v>
      </c>
    </row>
    <row r="9722" spans="1:2" x14ac:dyDescent="0.2">
      <c r="A9722" s="8" t="s">
        <v>9745</v>
      </c>
      <c r="B9722" s="2" t="s">
        <v>12472</v>
      </c>
    </row>
    <row r="9723" spans="1:2" x14ac:dyDescent="0.2">
      <c r="A9723" s="8" t="s">
        <v>9746</v>
      </c>
      <c r="B9723" s="2" t="s">
        <v>12472</v>
      </c>
    </row>
    <row r="9724" spans="1:2" x14ac:dyDescent="0.2">
      <c r="A9724" s="8" t="s">
        <v>9747</v>
      </c>
      <c r="B9724" s="2" t="s">
        <v>12472</v>
      </c>
    </row>
    <row r="9725" spans="1:2" x14ac:dyDescent="0.2">
      <c r="A9725" s="8" t="s">
        <v>9748</v>
      </c>
      <c r="B9725" s="2" t="s">
        <v>12472</v>
      </c>
    </row>
    <row r="9726" spans="1:2" x14ac:dyDescent="0.2">
      <c r="A9726" s="8" t="s">
        <v>9749</v>
      </c>
      <c r="B9726" s="2" t="s">
        <v>12472</v>
      </c>
    </row>
    <row r="9727" spans="1:2" x14ac:dyDescent="0.2">
      <c r="A9727" s="8" t="s">
        <v>9750</v>
      </c>
      <c r="B9727" s="2" t="s">
        <v>12472</v>
      </c>
    </row>
    <row r="9728" spans="1:2" x14ac:dyDescent="0.2">
      <c r="A9728" s="8" t="s">
        <v>9751</v>
      </c>
      <c r="B9728" s="2" t="s">
        <v>12472</v>
      </c>
    </row>
    <row r="9729" spans="1:2" x14ac:dyDescent="0.2">
      <c r="A9729" s="8" t="s">
        <v>9752</v>
      </c>
      <c r="B9729" s="2" t="s">
        <v>12472</v>
      </c>
    </row>
    <row r="9730" spans="1:2" x14ac:dyDescent="0.2">
      <c r="A9730" s="8" t="s">
        <v>9753</v>
      </c>
      <c r="B9730" s="2" t="s">
        <v>12472</v>
      </c>
    </row>
    <row r="9731" spans="1:2" x14ac:dyDescent="0.2">
      <c r="A9731" s="8" t="s">
        <v>9754</v>
      </c>
      <c r="B9731" s="2" t="s">
        <v>12472</v>
      </c>
    </row>
    <row r="9732" spans="1:2" x14ac:dyDescent="0.2">
      <c r="A9732" s="8" t="s">
        <v>9755</v>
      </c>
      <c r="B9732" s="2" t="s">
        <v>12472</v>
      </c>
    </row>
    <row r="9733" spans="1:2" x14ac:dyDescent="0.2">
      <c r="A9733" s="8" t="s">
        <v>9756</v>
      </c>
      <c r="B9733" s="2" t="s">
        <v>12472</v>
      </c>
    </row>
    <row r="9734" spans="1:2" x14ac:dyDescent="0.2">
      <c r="A9734" s="8" t="s">
        <v>9757</v>
      </c>
      <c r="B9734" s="2" t="s">
        <v>12472</v>
      </c>
    </row>
    <row r="9735" spans="1:2" x14ac:dyDescent="0.2">
      <c r="A9735" s="8" t="s">
        <v>9758</v>
      </c>
      <c r="B9735" s="2" t="s">
        <v>12472</v>
      </c>
    </row>
    <row r="9736" spans="1:2" x14ac:dyDescent="0.2">
      <c r="A9736" s="8" t="s">
        <v>9759</v>
      </c>
      <c r="B9736" s="2" t="s">
        <v>12472</v>
      </c>
    </row>
    <row r="9737" spans="1:2" x14ac:dyDescent="0.2">
      <c r="A9737" s="8" t="s">
        <v>9760</v>
      </c>
      <c r="B9737" s="2" t="s">
        <v>12472</v>
      </c>
    </row>
    <row r="9738" spans="1:2" x14ac:dyDescent="0.2">
      <c r="A9738" s="8" t="s">
        <v>9761</v>
      </c>
      <c r="B9738" s="2" t="s">
        <v>12472</v>
      </c>
    </row>
    <row r="9739" spans="1:2" x14ac:dyDescent="0.2">
      <c r="A9739" s="8" t="s">
        <v>9762</v>
      </c>
      <c r="B9739" s="2" t="s">
        <v>12472</v>
      </c>
    </row>
    <row r="9740" spans="1:2" x14ac:dyDescent="0.2">
      <c r="A9740" s="8" t="s">
        <v>9763</v>
      </c>
      <c r="B9740" s="2" t="s">
        <v>12472</v>
      </c>
    </row>
    <row r="9741" spans="1:2" x14ac:dyDescent="0.2">
      <c r="A9741" s="8" t="s">
        <v>9764</v>
      </c>
      <c r="B9741" s="2" t="s">
        <v>12472</v>
      </c>
    </row>
    <row r="9742" spans="1:2" x14ac:dyDescent="0.2">
      <c r="A9742" s="8" t="s">
        <v>9765</v>
      </c>
      <c r="B9742" s="2" t="s">
        <v>12472</v>
      </c>
    </row>
    <row r="9743" spans="1:2" x14ac:dyDescent="0.2">
      <c r="A9743" s="8" t="s">
        <v>9766</v>
      </c>
      <c r="B9743" s="2" t="s">
        <v>12472</v>
      </c>
    </row>
    <row r="9744" spans="1:2" x14ac:dyDescent="0.2">
      <c r="A9744" s="8" t="s">
        <v>9767</v>
      </c>
      <c r="B9744" s="2" t="s">
        <v>12472</v>
      </c>
    </row>
    <row r="9745" spans="1:2" x14ac:dyDescent="0.2">
      <c r="A9745" s="8" t="s">
        <v>9768</v>
      </c>
      <c r="B9745" s="2" t="s">
        <v>12472</v>
      </c>
    </row>
    <row r="9746" spans="1:2" x14ac:dyDescent="0.2">
      <c r="A9746" s="8" t="s">
        <v>9769</v>
      </c>
      <c r="B9746" s="2" t="s">
        <v>12472</v>
      </c>
    </row>
    <row r="9747" spans="1:2" x14ac:dyDescent="0.2">
      <c r="A9747" s="8" t="s">
        <v>9770</v>
      </c>
      <c r="B9747" s="2" t="s">
        <v>12472</v>
      </c>
    </row>
    <row r="9748" spans="1:2" x14ac:dyDescent="0.2">
      <c r="A9748" s="8" t="s">
        <v>9771</v>
      </c>
      <c r="B9748" s="2" t="s">
        <v>12472</v>
      </c>
    </row>
    <row r="9749" spans="1:2" x14ac:dyDescent="0.2">
      <c r="A9749" s="8" t="s">
        <v>9772</v>
      </c>
      <c r="B9749" s="2" t="s">
        <v>12472</v>
      </c>
    </row>
    <row r="9750" spans="1:2" x14ac:dyDescent="0.2">
      <c r="A9750" s="8" t="s">
        <v>9773</v>
      </c>
      <c r="B9750" s="2" t="s">
        <v>12472</v>
      </c>
    </row>
    <row r="9751" spans="1:2" x14ac:dyDescent="0.2">
      <c r="A9751" s="8" t="s">
        <v>9774</v>
      </c>
      <c r="B9751" s="2" t="s">
        <v>12472</v>
      </c>
    </row>
    <row r="9752" spans="1:2" x14ac:dyDescent="0.2">
      <c r="A9752" s="8" t="s">
        <v>9775</v>
      </c>
      <c r="B9752" s="2" t="s">
        <v>12472</v>
      </c>
    </row>
    <row r="9753" spans="1:2" x14ac:dyDescent="0.2">
      <c r="A9753" s="8" t="s">
        <v>9776</v>
      </c>
      <c r="B9753" s="2" t="s">
        <v>12472</v>
      </c>
    </row>
    <row r="9754" spans="1:2" x14ac:dyDescent="0.2">
      <c r="A9754" s="8" t="s">
        <v>9777</v>
      </c>
      <c r="B9754" s="2" t="s">
        <v>12472</v>
      </c>
    </row>
    <row r="9755" spans="1:2" x14ac:dyDescent="0.2">
      <c r="A9755" s="8" t="s">
        <v>9778</v>
      </c>
      <c r="B9755" s="2" t="s">
        <v>12472</v>
      </c>
    </row>
    <row r="9756" spans="1:2" x14ac:dyDescent="0.2">
      <c r="A9756" s="8" t="s">
        <v>9779</v>
      </c>
      <c r="B9756" s="2" t="s">
        <v>12472</v>
      </c>
    </row>
    <row r="9757" spans="1:2" x14ac:dyDescent="0.2">
      <c r="A9757" s="8" t="s">
        <v>9780</v>
      </c>
      <c r="B9757" s="2" t="s">
        <v>12472</v>
      </c>
    </row>
    <row r="9758" spans="1:2" x14ac:dyDescent="0.2">
      <c r="A9758" s="8" t="s">
        <v>9781</v>
      </c>
      <c r="B9758" s="2" t="s">
        <v>12472</v>
      </c>
    </row>
    <row r="9759" spans="1:2" x14ac:dyDescent="0.2">
      <c r="A9759" s="8" t="s">
        <v>9782</v>
      </c>
      <c r="B9759" s="2" t="s">
        <v>12472</v>
      </c>
    </row>
    <row r="9760" spans="1:2" x14ac:dyDescent="0.2">
      <c r="A9760" s="8" t="s">
        <v>9783</v>
      </c>
      <c r="B9760" s="2" t="s">
        <v>12472</v>
      </c>
    </row>
    <row r="9761" spans="1:2" x14ac:dyDescent="0.2">
      <c r="A9761" s="8" t="s">
        <v>9784</v>
      </c>
      <c r="B9761" s="2" t="s">
        <v>12472</v>
      </c>
    </row>
    <row r="9762" spans="1:2" x14ac:dyDescent="0.2">
      <c r="A9762" s="8" t="s">
        <v>9785</v>
      </c>
      <c r="B9762" s="2" t="s">
        <v>12472</v>
      </c>
    </row>
    <row r="9763" spans="1:2" x14ac:dyDescent="0.2">
      <c r="A9763" s="8" t="s">
        <v>9786</v>
      </c>
      <c r="B9763" s="2" t="s">
        <v>12472</v>
      </c>
    </row>
    <row r="9764" spans="1:2" x14ac:dyDescent="0.2">
      <c r="A9764" s="8" t="s">
        <v>9787</v>
      </c>
      <c r="B9764" s="2" t="s">
        <v>12472</v>
      </c>
    </row>
    <row r="9765" spans="1:2" x14ac:dyDescent="0.2">
      <c r="A9765" s="8" t="s">
        <v>9788</v>
      </c>
      <c r="B9765" s="2" t="s">
        <v>12472</v>
      </c>
    </row>
    <row r="9766" spans="1:2" x14ac:dyDescent="0.2">
      <c r="A9766" s="8" t="s">
        <v>9789</v>
      </c>
      <c r="B9766" s="2" t="s">
        <v>12472</v>
      </c>
    </row>
    <row r="9767" spans="1:2" x14ac:dyDescent="0.2">
      <c r="A9767" s="8" t="s">
        <v>9790</v>
      </c>
      <c r="B9767" s="2" t="s">
        <v>12472</v>
      </c>
    </row>
    <row r="9768" spans="1:2" x14ac:dyDescent="0.2">
      <c r="A9768" s="8" t="s">
        <v>9791</v>
      </c>
      <c r="B9768" s="2" t="s">
        <v>12472</v>
      </c>
    </row>
    <row r="9769" spans="1:2" x14ac:dyDescent="0.2">
      <c r="A9769" s="8" t="s">
        <v>9792</v>
      </c>
      <c r="B9769" s="2" t="s">
        <v>12472</v>
      </c>
    </row>
    <row r="9770" spans="1:2" x14ac:dyDescent="0.2">
      <c r="A9770" s="8" t="s">
        <v>9793</v>
      </c>
      <c r="B9770" s="2" t="s">
        <v>12472</v>
      </c>
    </row>
    <row r="9771" spans="1:2" x14ac:dyDescent="0.2">
      <c r="A9771" s="8" t="s">
        <v>9794</v>
      </c>
      <c r="B9771" s="2" t="s">
        <v>12472</v>
      </c>
    </row>
    <row r="9772" spans="1:2" x14ac:dyDescent="0.2">
      <c r="A9772" s="8" t="s">
        <v>9795</v>
      </c>
      <c r="B9772" s="2" t="s">
        <v>12472</v>
      </c>
    </row>
    <row r="9773" spans="1:2" x14ac:dyDescent="0.2">
      <c r="A9773" s="8" t="s">
        <v>9796</v>
      </c>
      <c r="B9773" s="2" t="s">
        <v>12472</v>
      </c>
    </row>
    <row r="9774" spans="1:2" x14ac:dyDescent="0.2">
      <c r="A9774" s="8" t="s">
        <v>9797</v>
      </c>
      <c r="B9774" s="2" t="s">
        <v>12472</v>
      </c>
    </row>
    <row r="9775" spans="1:2" x14ac:dyDescent="0.2">
      <c r="A9775" s="8" t="s">
        <v>9798</v>
      </c>
      <c r="B9775" s="2" t="s">
        <v>12472</v>
      </c>
    </row>
    <row r="9776" spans="1:2" x14ac:dyDescent="0.2">
      <c r="A9776" s="8" t="s">
        <v>9799</v>
      </c>
      <c r="B9776" s="2" t="s">
        <v>12472</v>
      </c>
    </row>
    <row r="9777" spans="1:2" x14ac:dyDescent="0.2">
      <c r="A9777" s="8" t="s">
        <v>9800</v>
      </c>
      <c r="B9777" s="2" t="s">
        <v>12472</v>
      </c>
    </row>
    <row r="9778" spans="1:2" x14ac:dyDescent="0.2">
      <c r="A9778" s="8" t="s">
        <v>9801</v>
      </c>
      <c r="B9778" s="2" t="s">
        <v>12472</v>
      </c>
    </row>
    <row r="9779" spans="1:2" x14ac:dyDescent="0.2">
      <c r="A9779" s="8" t="s">
        <v>9802</v>
      </c>
      <c r="B9779" s="2" t="s">
        <v>12472</v>
      </c>
    </row>
    <row r="9780" spans="1:2" x14ac:dyDescent="0.2">
      <c r="A9780" s="8" t="s">
        <v>9803</v>
      </c>
      <c r="B9780" s="2" t="s">
        <v>12472</v>
      </c>
    </row>
    <row r="9781" spans="1:2" x14ac:dyDescent="0.2">
      <c r="A9781" s="8" t="s">
        <v>9804</v>
      </c>
      <c r="B9781" s="2" t="s">
        <v>12472</v>
      </c>
    </row>
    <row r="9782" spans="1:2" x14ac:dyDescent="0.2">
      <c r="A9782" s="8" t="s">
        <v>9805</v>
      </c>
      <c r="B9782" s="2" t="s">
        <v>12472</v>
      </c>
    </row>
    <row r="9783" spans="1:2" x14ac:dyDescent="0.2">
      <c r="A9783" s="8" t="s">
        <v>9806</v>
      </c>
      <c r="B9783" s="2" t="s">
        <v>12472</v>
      </c>
    </row>
    <row r="9784" spans="1:2" x14ac:dyDescent="0.2">
      <c r="A9784" s="8" t="s">
        <v>9807</v>
      </c>
      <c r="B9784" s="2" t="s">
        <v>12472</v>
      </c>
    </row>
    <row r="9785" spans="1:2" x14ac:dyDescent="0.2">
      <c r="A9785" s="8" t="s">
        <v>9808</v>
      </c>
      <c r="B9785" s="2" t="s">
        <v>12472</v>
      </c>
    </row>
    <row r="9786" spans="1:2" x14ac:dyDescent="0.2">
      <c r="A9786" s="8" t="s">
        <v>9809</v>
      </c>
      <c r="B9786" s="2" t="s">
        <v>12472</v>
      </c>
    </row>
    <row r="9787" spans="1:2" x14ac:dyDescent="0.2">
      <c r="A9787" s="8" t="s">
        <v>9810</v>
      </c>
      <c r="B9787" s="2" t="s">
        <v>12472</v>
      </c>
    </row>
    <row r="9788" spans="1:2" x14ac:dyDescent="0.2">
      <c r="A9788" s="8" t="s">
        <v>9811</v>
      </c>
      <c r="B9788" s="2" t="s">
        <v>12472</v>
      </c>
    </row>
    <row r="9789" spans="1:2" x14ac:dyDescent="0.2">
      <c r="A9789" s="8" t="s">
        <v>9812</v>
      </c>
      <c r="B9789" s="2" t="s">
        <v>12472</v>
      </c>
    </row>
    <row r="9790" spans="1:2" x14ac:dyDescent="0.2">
      <c r="A9790" s="8" t="s">
        <v>9813</v>
      </c>
      <c r="B9790" s="2" t="s">
        <v>12472</v>
      </c>
    </row>
    <row r="9791" spans="1:2" x14ac:dyDescent="0.2">
      <c r="A9791" s="8" t="s">
        <v>9814</v>
      </c>
      <c r="B9791" s="2" t="s">
        <v>12472</v>
      </c>
    </row>
    <row r="9792" spans="1:2" x14ac:dyDescent="0.2">
      <c r="A9792" s="8" t="s">
        <v>9815</v>
      </c>
      <c r="B9792" s="2" t="s">
        <v>12472</v>
      </c>
    </row>
    <row r="9793" spans="1:2" x14ac:dyDescent="0.2">
      <c r="A9793" s="8" t="s">
        <v>9816</v>
      </c>
      <c r="B9793" s="2" t="s">
        <v>12472</v>
      </c>
    </row>
    <row r="9794" spans="1:2" x14ac:dyDescent="0.2">
      <c r="A9794" s="8" t="s">
        <v>9817</v>
      </c>
      <c r="B9794" s="2" t="s">
        <v>12472</v>
      </c>
    </row>
    <row r="9795" spans="1:2" x14ac:dyDescent="0.2">
      <c r="A9795" s="8" t="s">
        <v>9818</v>
      </c>
      <c r="B9795" s="2" t="s">
        <v>12472</v>
      </c>
    </row>
    <row r="9796" spans="1:2" x14ac:dyDescent="0.2">
      <c r="A9796" s="8" t="s">
        <v>9819</v>
      </c>
      <c r="B9796" s="2" t="s">
        <v>12472</v>
      </c>
    </row>
    <row r="9797" spans="1:2" x14ac:dyDescent="0.2">
      <c r="A9797" s="8" t="s">
        <v>9820</v>
      </c>
      <c r="B9797" s="2" t="s">
        <v>12472</v>
      </c>
    </row>
    <row r="9798" spans="1:2" x14ac:dyDescent="0.2">
      <c r="A9798" s="8" t="s">
        <v>9821</v>
      </c>
      <c r="B9798" s="2" t="s">
        <v>12472</v>
      </c>
    </row>
    <row r="9799" spans="1:2" x14ac:dyDescent="0.2">
      <c r="A9799" s="8" t="s">
        <v>9822</v>
      </c>
      <c r="B9799" s="2" t="s">
        <v>12472</v>
      </c>
    </row>
    <row r="9800" spans="1:2" x14ac:dyDescent="0.2">
      <c r="A9800" s="8" t="s">
        <v>9823</v>
      </c>
      <c r="B9800" s="2" t="s">
        <v>12472</v>
      </c>
    </row>
    <row r="9801" spans="1:2" x14ac:dyDescent="0.2">
      <c r="A9801" s="8" t="s">
        <v>9824</v>
      </c>
      <c r="B9801" s="2" t="s">
        <v>12472</v>
      </c>
    </row>
    <row r="9802" spans="1:2" x14ac:dyDescent="0.2">
      <c r="A9802" s="8" t="s">
        <v>9825</v>
      </c>
      <c r="B9802" s="2" t="s">
        <v>12472</v>
      </c>
    </row>
    <row r="9803" spans="1:2" x14ac:dyDescent="0.2">
      <c r="A9803" s="8" t="s">
        <v>9826</v>
      </c>
      <c r="B9803" s="2" t="s">
        <v>12472</v>
      </c>
    </row>
    <row r="9804" spans="1:2" x14ac:dyDescent="0.2">
      <c r="A9804" s="8" t="s">
        <v>9827</v>
      </c>
      <c r="B9804" s="2" t="s">
        <v>12472</v>
      </c>
    </row>
    <row r="9805" spans="1:2" x14ac:dyDescent="0.2">
      <c r="A9805" s="8" t="s">
        <v>9828</v>
      </c>
      <c r="B9805" s="2" t="s">
        <v>12472</v>
      </c>
    </row>
    <row r="9806" spans="1:2" x14ac:dyDescent="0.2">
      <c r="A9806" s="8" t="s">
        <v>9829</v>
      </c>
      <c r="B9806" s="2" t="s">
        <v>12472</v>
      </c>
    </row>
    <row r="9807" spans="1:2" x14ac:dyDescent="0.2">
      <c r="A9807" s="8" t="s">
        <v>9830</v>
      </c>
      <c r="B9807" s="2" t="s">
        <v>12472</v>
      </c>
    </row>
    <row r="9808" spans="1:2" x14ac:dyDescent="0.2">
      <c r="A9808" s="8" t="s">
        <v>9831</v>
      </c>
      <c r="B9808" s="2" t="s">
        <v>12472</v>
      </c>
    </row>
    <row r="9809" spans="1:2" x14ac:dyDescent="0.2">
      <c r="A9809" s="8" t="s">
        <v>9832</v>
      </c>
      <c r="B9809" s="2" t="s">
        <v>12472</v>
      </c>
    </row>
    <row r="9810" spans="1:2" x14ac:dyDescent="0.2">
      <c r="A9810" s="8" t="s">
        <v>9833</v>
      </c>
      <c r="B9810" s="2" t="s">
        <v>12472</v>
      </c>
    </row>
    <row r="9811" spans="1:2" x14ac:dyDescent="0.2">
      <c r="A9811" s="8" t="s">
        <v>9834</v>
      </c>
      <c r="B9811" s="2" t="s">
        <v>12472</v>
      </c>
    </row>
    <row r="9812" spans="1:2" x14ac:dyDescent="0.2">
      <c r="A9812" s="8" t="s">
        <v>9835</v>
      </c>
      <c r="B9812" s="2" t="s">
        <v>12472</v>
      </c>
    </row>
    <row r="9813" spans="1:2" x14ac:dyDescent="0.2">
      <c r="A9813" s="8" t="s">
        <v>9836</v>
      </c>
      <c r="B9813" s="2" t="s">
        <v>12472</v>
      </c>
    </row>
    <row r="9814" spans="1:2" x14ac:dyDescent="0.2">
      <c r="A9814" s="8" t="s">
        <v>9837</v>
      </c>
      <c r="B9814" s="2" t="s">
        <v>12472</v>
      </c>
    </row>
    <row r="9815" spans="1:2" x14ac:dyDescent="0.2">
      <c r="A9815" s="8" t="s">
        <v>9838</v>
      </c>
      <c r="B9815" s="2" t="s">
        <v>12472</v>
      </c>
    </row>
    <row r="9816" spans="1:2" x14ac:dyDescent="0.2">
      <c r="A9816" s="8" t="s">
        <v>9839</v>
      </c>
      <c r="B9816" s="2" t="s">
        <v>12472</v>
      </c>
    </row>
    <row r="9817" spans="1:2" x14ac:dyDescent="0.2">
      <c r="A9817" s="8" t="s">
        <v>9840</v>
      </c>
      <c r="B9817" s="2" t="s">
        <v>12472</v>
      </c>
    </row>
    <row r="9818" spans="1:2" x14ac:dyDescent="0.2">
      <c r="A9818" s="8" t="s">
        <v>9841</v>
      </c>
      <c r="B9818" s="2" t="s">
        <v>12472</v>
      </c>
    </row>
    <row r="9819" spans="1:2" x14ac:dyDescent="0.2">
      <c r="A9819" s="8" t="s">
        <v>9842</v>
      </c>
      <c r="B9819" s="2" t="s">
        <v>12472</v>
      </c>
    </row>
    <row r="9820" spans="1:2" x14ac:dyDescent="0.2">
      <c r="A9820" s="8" t="s">
        <v>9843</v>
      </c>
      <c r="B9820" s="2" t="s">
        <v>12472</v>
      </c>
    </row>
    <row r="9821" spans="1:2" x14ac:dyDescent="0.2">
      <c r="A9821" s="8" t="s">
        <v>9844</v>
      </c>
      <c r="B9821" s="2" t="s">
        <v>12472</v>
      </c>
    </row>
    <row r="9822" spans="1:2" x14ac:dyDescent="0.2">
      <c r="A9822" s="8" t="s">
        <v>9845</v>
      </c>
      <c r="B9822" s="2" t="s">
        <v>12472</v>
      </c>
    </row>
    <row r="9823" spans="1:2" x14ac:dyDescent="0.2">
      <c r="A9823" s="8" t="s">
        <v>9846</v>
      </c>
      <c r="B9823" s="2" t="s">
        <v>12472</v>
      </c>
    </row>
    <row r="9824" spans="1:2" x14ac:dyDescent="0.2">
      <c r="A9824" s="8" t="s">
        <v>9847</v>
      </c>
      <c r="B9824" s="2" t="s">
        <v>12472</v>
      </c>
    </row>
    <row r="9825" spans="1:2" x14ac:dyDescent="0.2">
      <c r="A9825" s="8" t="s">
        <v>9848</v>
      </c>
      <c r="B9825" s="2" t="s">
        <v>12472</v>
      </c>
    </row>
    <row r="9826" spans="1:2" x14ac:dyDescent="0.2">
      <c r="A9826" s="8" t="s">
        <v>9849</v>
      </c>
      <c r="B9826" s="2" t="s">
        <v>12472</v>
      </c>
    </row>
    <row r="9827" spans="1:2" x14ac:dyDescent="0.2">
      <c r="A9827" s="8" t="s">
        <v>9850</v>
      </c>
      <c r="B9827" s="2" t="s">
        <v>12472</v>
      </c>
    </row>
    <row r="9828" spans="1:2" x14ac:dyDescent="0.2">
      <c r="A9828" s="8" t="s">
        <v>9851</v>
      </c>
      <c r="B9828" s="2" t="s">
        <v>12472</v>
      </c>
    </row>
    <row r="9829" spans="1:2" x14ac:dyDescent="0.2">
      <c r="A9829" s="8" t="s">
        <v>9852</v>
      </c>
      <c r="B9829" s="2" t="s">
        <v>12472</v>
      </c>
    </row>
    <row r="9830" spans="1:2" x14ac:dyDescent="0.2">
      <c r="A9830" s="8" t="s">
        <v>9853</v>
      </c>
      <c r="B9830" s="2" t="s">
        <v>12472</v>
      </c>
    </row>
    <row r="9831" spans="1:2" x14ac:dyDescent="0.2">
      <c r="A9831" s="8" t="s">
        <v>9854</v>
      </c>
      <c r="B9831" s="2" t="s">
        <v>12472</v>
      </c>
    </row>
    <row r="9832" spans="1:2" x14ac:dyDescent="0.2">
      <c r="A9832" s="8" t="s">
        <v>9855</v>
      </c>
      <c r="B9832" s="2" t="s">
        <v>12472</v>
      </c>
    </row>
    <row r="9833" spans="1:2" x14ac:dyDescent="0.2">
      <c r="A9833" s="8" t="s">
        <v>9856</v>
      </c>
      <c r="B9833" s="2" t="s">
        <v>12472</v>
      </c>
    </row>
    <row r="9834" spans="1:2" x14ac:dyDescent="0.2">
      <c r="A9834" s="8" t="s">
        <v>9857</v>
      </c>
      <c r="B9834" s="2" t="s">
        <v>12472</v>
      </c>
    </row>
    <row r="9835" spans="1:2" x14ac:dyDescent="0.2">
      <c r="A9835" s="8" t="s">
        <v>9858</v>
      </c>
      <c r="B9835" s="2" t="s">
        <v>12472</v>
      </c>
    </row>
    <row r="9836" spans="1:2" x14ac:dyDescent="0.2">
      <c r="A9836" s="8" t="s">
        <v>9859</v>
      </c>
      <c r="B9836" s="2" t="s">
        <v>12472</v>
      </c>
    </row>
    <row r="9837" spans="1:2" x14ac:dyDescent="0.2">
      <c r="A9837" s="8" t="s">
        <v>9860</v>
      </c>
      <c r="B9837" s="2" t="s">
        <v>12472</v>
      </c>
    </row>
    <row r="9838" spans="1:2" x14ac:dyDescent="0.2">
      <c r="A9838" s="8" t="s">
        <v>9861</v>
      </c>
      <c r="B9838" s="2" t="s">
        <v>12472</v>
      </c>
    </row>
    <row r="9839" spans="1:2" x14ac:dyDescent="0.2">
      <c r="A9839" s="8" t="s">
        <v>9862</v>
      </c>
      <c r="B9839" s="2" t="s">
        <v>12472</v>
      </c>
    </row>
    <row r="9840" spans="1:2" x14ac:dyDescent="0.2">
      <c r="A9840" s="8" t="s">
        <v>9863</v>
      </c>
      <c r="B9840" s="2" t="s">
        <v>12472</v>
      </c>
    </row>
    <row r="9841" spans="1:2" x14ac:dyDescent="0.2">
      <c r="A9841" s="8" t="s">
        <v>9864</v>
      </c>
      <c r="B9841" s="2" t="s">
        <v>12472</v>
      </c>
    </row>
    <row r="9842" spans="1:2" x14ac:dyDescent="0.2">
      <c r="A9842" s="8" t="s">
        <v>9865</v>
      </c>
      <c r="B9842" s="2" t="s">
        <v>12472</v>
      </c>
    </row>
    <row r="9843" spans="1:2" x14ac:dyDescent="0.2">
      <c r="A9843" s="8" t="s">
        <v>9866</v>
      </c>
      <c r="B9843" s="2" t="s">
        <v>12472</v>
      </c>
    </row>
    <row r="9844" spans="1:2" x14ac:dyDescent="0.2">
      <c r="A9844" s="8" t="s">
        <v>9867</v>
      </c>
      <c r="B9844" s="2" t="s">
        <v>12472</v>
      </c>
    </row>
    <row r="9845" spans="1:2" x14ac:dyDescent="0.2">
      <c r="A9845" s="8" t="s">
        <v>9868</v>
      </c>
      <c r="B9845" s="2" t="s">
        <v>12472</v>
      </c>
    </row>
    <row r="9846" spans="1:2" x14ac:dyDescent="0.2">
      <c r="A9846" s="8" t="s">
        <v>9869</v>
      </c>
      <c r="B9846" s="2" t="s">
        <v>12472</v>
      </c>
    </row>
    <row r="9847" spans="1:2" x14ac:dyDescent="0.2">
      <c r="A9847" s="8" t="s">
        <v>9870</v>
      </c>
      <c r="B9847" s="2" t="s">
        <v>12472</v>
      </c>
    </row>
    <row r="9848" spans="1:2" x14ac:dyDescent="0.2">
      <c r="A9848" s="8" t="s">
        <v>9871</v>
      </c>
      <c r="B9848" s="2" t="s">
        <v>12472</v>
      </c>
    </row>
    <row r="9849" spans="1:2" x14ac:dyDescent="0.2">
      <c r="A9849" s="8" t="s">
        <v>9872</v>
      </c>
      <c r="B9849" s="2" t="s">
        <v>12472</v>
      </c>
    </row>
    <row r="9850" spans="1:2" x14ac:dyDescent="0.2">
      <c r="A9850" s="8" t="s">
        <v>9873</v>
      </c>
      <c r="B9850" s="2" t="s">
        <v>12472</v>
      </c>
    </row>
    <row r="9851" spans="1:2" x14ac:dyDescent="0.2">
      <c r="A9851" s="8" t="s">
        <v>9874</v>
      </c>
      <c r="B9851" s="2" t="s">
        <v>12472</v>
      </c>
    </row>
    <row r="9852" spans="1:2" x14ac:dyDescent="0.2">
      <c r="A9852" s="8" t="s">
        <v>9875</v>
      </c>
      <c r="B9852" s="2" t="s">
        <v>12472</v>
      </c>
    </row>
    <row r="9853" spans="1:2" x14ac:dyDescent="0.2">
      <c r="A9853" s="8" t="s">
        <v>9876</v>
      </c>
      <c r="B9853" s="2" t="s">
        <v>12472</v>
      </c>
    </row>
    <row r="9854" spans="1:2" x14ac:dyDescent="0.2">
      <c r="A9854" s="8" t="s">
        <v>9877</v>
      </c>
      <c r="B9854" s="2" t="s">
        <v>12472</v>
      </c>
    </row>
    <row r="9855" spans="1:2" x14ac:dyDescent="0.2">
      <c r="A9855" s="8" t="s">
        <v>9878</v>
      </c>
      <c r="B9855" s="2" t="s">
        <v>12472</v>
      </c>
    </row>
    <row r="9856" spans="1:2" x14ac:dyDescent="0.2">
      <c r="A9856" s="8" t="s">
        <v>9879</v>
      </c>
      <c r="B9856" s="2" t="s">
        <v>12472</v>
      </c>
    </row>
    <row r="9857" spans="1:2" x14ac:dyDescent="0.2">
      <c r="A9857" s="8" t="s">
        <v>9880</v>
      </c>
      <c r="B9857" s="2" t="s">
        <v>12472</v>
      </c>
    </row>
    <row r="9858" spans="1:2" x14ac:dyDescent="0.2">
      <c r="A9858" s="8" t="s">
        <v>9881</v>
      </c>
      <c r="B9858" s="2" t="s">
        <v>12472</v>
      </c>
    </row>
    <row r="9859" spans="1:2" x14ac:dyDescent="0.2">
      <c r="A9859" s="8" t="s">
        <v>9882</v>
      </c>
      <c r="B9859" s="2" t="s">
        <v>12472</v>
      </c>
    </row>
    <row r="9860" spans="1:2" x14ac:dyDescent="0.2">
      <c r="A9860" s="8" t="s">
        <v>9883</v>
      </c>
      <c r="B9860" s="2" t="s">
        <v>12472</v>
      </c>
    </row>
    <row r="9861" spans="1:2" x14ac:dyDescent="0.2">
      <c r="A9861" s="8" t="s">
        <v>9884</v>
      </c>
      <c r="B9861" s="2" t="s">
        <v>12472</v>
      </c>
    </row>
    <row r="9862" spans="1:2" x14ac:dyDescent="0.2">
      <c r="A9862" s="8" t="s">
        <v>9885</v>
      </c>
      <c r="B9862" s="2" t="s">
        <v>12472</v>
      </c>
    </row>
    <row r="9863" spans="1:2" x14ac:dyDescent="0.2">
      <c r="A9863" s="8" t="s">
        <v>9886</v>
      </c>
      <c r="B9863" s="2" t="s">
        <v>12472</v>
      </c>
    </row>
    <row r="9864" spans="1:2" x14ac:dyDescent="0.2">
      <c r="A9864" s="8" t="s">
        <v>9887</v>
      </c>
      <c r="B9864" s="2" t="s">
        <v>12472</v>
      </c>
    </row>
    <row r="9865" spans="1:2" x14ac:dyDescent="0.2">
      <c r="A9865" s="8" t="s">
        <v>9888</v>
      </c>
      <c r="B9865" s="2" t="s">
        <v>12472</v>
      </c>
    </row>
    <row r="9866" spans="1:2" x14ac:dyDescent="0.2">
      <c r="A9866" s="8" t="s">
        <v>9889</v>
      </c>
      <c r="B9866" s="2" t="s">
        <v>12472</v>
      </c>
    </row>
    <row r="9867" spans="1:2" x14ac:dyDescent="0.2">
      <c r="A9867" s="8" t="s">
        <v>9890</v>
      </c>
      <c r="B9867" s="2" t="s">
        <v>12472</v>
      </c>
    </row>
    <row r="9868" spans="1:2" x14ac:dyDescent="0.2">
      <c r="A9868" s="8" t="s">
        <v>9891</v>
      </c>
      <c r="B9868" s="2" t="s">
        <v>12472</v>
      </c>
    </row>
    <row r="9869" spans="1:2" x14ac:dyDescent="0.2">
      <c r="A9869" s="8" t="s">
        <v>9892</v>
      </c>
      <c r="B9869" s="2" t="s">
        <v>12472</v>
      </c>
    </row>
    <row r="9870" spans="1:2" x14ac:dyDescent="0.2">
      <c r="A9870" s="8" t="s">
        <v>9893</v>
      </c>
      <c r="B9870" s="2" t="s">
        <v>12472</v>
      </c>
    </row>
    <row r="9871" spans="1:2" x14ac:dyDescent="0.2">
      <c r="A9871" s="8" t="s">
        <v>9894</v>
      </c>
      <c r="B9871" s="2" t="s">
        <v>12472</v>
      </c>
    </row>
    <row r="9872" spans="1:2" x14ac:dyDescent="0.2">
      <c r="A9872" s="8" t="s">
        <v>9895</v>
      </c>
      <c r="B9872" s="2" t="s">
        <v>12472</v>
      </c>
    </row>
    <row r="9873" spans="1:2" x14ac:dyDescent="0.2">
      <c r="A9873" s="8" t="s">
        <v>9896</v>
      </c>
      <c r="B9873" s="2" t="s">
        <v>12472</v>
      </c>
    </row>
    <row r="9874" spans="1:2" x14ac:dyDescent="0.2">
      <c r="A9874" s="8" t="s">
        <v>9897</v>
      </c>
      <c r="B9874" s="2" t="s">
        <v>12472</v>
      </c>
    </row>
    <row r="9875" spans="1:2" x14ac:dyDescent="0.2">
      <c r="A9875" s="8" t="s">
        <v>9898</v>
      </c>
      <c r="B9875" s="2" t="s">
        <v>12472</v>
      </c>
    </row>
    <row r="9876" spans="1:2" x14ac:dyDescent="0.2">
      <c r="A9876" s="8" t="s">
        <v>9899</v>
      </c>
      <c r="B9876" s="2" t="s">
        <v>12472</v>
      </c>
    </row>
    <row r="9877" spans="1:2" x14ac:dyDescent="0.2">
      <c r="A9877" s="8" t="s">
        <v>9900</v>
      </c>
      <c r="B9877" s="2" t="s">
        <v>12472</v>
      </c>
    </row>
    <row r="9878" spans="1:2" x14ac:dyDescent="0.2">
      <c r="A9878" s="8" t="s">
        <v>9901</v>
      </c>
      <c r="B9878" s="2" t="s">
        <v>12472</v>
      </c>
    </row>
    <row r="9879" spans="1:2" x14ac:dyDescent="0.2">
      <c r="A9879" s="8" t="s">
        <v>9902</v>
      </c>
      <c r="B9879" s="2" t="s">
        <v>12472</v>
      </c>
    </row>
    <row r="9880" spans="1:2" x14ac:dyDescent="0.2">
      <c r="A9880" s="8" t="s">
        <v>9903</v>
      </c>
      <c r="B9880" s="2" t="s">
        <v>12472</v>
      </c>
    </row>
    <row r="9881" spans="1:2" x14ac:dyDescent="0.2">
      <c r="A9881" s="8" t="s">
        <v>9904</v>
      </c>
      <c r="B9881" s="2" t="s">
        <v>12472</v>
      </c>
    </row>
    <row r="9882" spans="1:2" x14ac:dyDescent="0.2">
      <c r="A9882" s="8" t="s">
        <v>9905</v>
      </c>
      <c r="B9882" s="2" t="s">
        <v>12472</v>
      </c>
    </row>
    <row r="9883" spans="1:2" x14ac:dyDescent="0.2">
      <c r="A9883" s="8" t="s">
        <v>9906</v>
      </c>
      <c r="B9883" s="2" t="s">
        <v>12472</v>
      </c>
    </row>
    <row r="9884" spans="1:2" x14ac:dyDescent="0.2">
      <c r="A9884" s="8" t="s">
        <v>9907</v>
      </c>
      <c r="B9884" s="2" t="s">
        <v>12472</v>
      </c>
    </row>
    <row r="9885" spans="1:2" x14ac:dyDescent="0.2">
      <c r="A9885" s="8" t="s">
        <v>9908</v>
      </c>
      <c r="B9885" s="2" t="s">
        <v>12472</v>
      </c>
    </row>
    <row r="9886" spans="1:2" x14ac:dyDescent="0.2">
      <c r="A9886" s="8" t="s">
        <v>9909</v>
      </c>
      <c r="B9886" s="2" t="s">
        <v>12472</v>
      </c>
    </row>
    <row r="9887" spans="1:2" x14ac:dyDescent="0.2">
      <c r="A9887" s="8" t="s">
        <v>9910</v>
      </c>
      <c r="B9887" s="2" t="s">
        <v>12472</v>
      </c>
    </row>
    <row r="9888" spans="1:2" x14ac:dyDescent="0.2">
      <c r="A9888" s="8" t="s">
        <v>9911</v>
      </c>
      <c r="B9888" s="2" t="s">
        <v>12472</v>
      </c>
    </row>
    <row r="9889" spans="1:2" x14ac:dyDescent="0.2">
      <c r="A9889" s="8" t="s">
        <v>9912</v>
      </c>
      <c r="B9889" s="2" t="s">
        <v>12472</v>
      </c>
    </row>
    <row r="9890" spans="1:2" x14ac:dyDescent="0.2">
      <c r="A9890" s="8" t="s">
        <v>9913</v>
      </c>
      <c r="B9890" s="2" t="s">
        <v>12472</v>
      </c>
    </row>
    <row r="9891" spans="1:2" x14ac:dyDescent="0.2">
      <c r="A9891" s="8" t="s">
        <v>9914</v>
      </c>
      <c r="B9891" s="2" t="s">
        <v>12472</v>
      </c>
    </row>
    <row r="9892" spans="1:2" x14ac:dyDescent="0.2">
      <c r="A9892" s="8" t="s">
        <v>9915</v>
      </c>
      <c r="B9892" s="2" t="s">
        <v>12472</v>
      </c>
    </row>
    <row r="9893" spans="1:2" x14ac:dyDescent="0.2">
      <c r="A9893" s="8" t="s">
        <v>9916</v>
      </c>
      <c r="B9893" s="2" t="s">
        <v>12472</v>
      </c>
    </row>
    <row r="9894" spans="1:2" x14ac:dyDescent="0.2">
      <c r="A9894" s="8" t="s">
        <v>9917</v>
      </c>
      <c r="B9894" s="2" t="s">
        <v>12472</v>
      </c>
    </row>
    <row r="9895" spans="1:2" x14ac:dyDescent="0.2">
      <c r="A9895" s="8" t="s">
        <v>9918</v>
      </c>
      <c r="B9895" s="2" t="s">
        <v>12472</v>
      </c>
    </row>
    <row r="9896" spans="1:2" x14ac:dyDescent="0.2">
      <c r="A9896" s="8" t="s">
        <v>9919</v>
      </c>
      <c r="B9896" s="2" t="s">
        <v>12472</v>
      </c>
    </row>
    <row r="9897" spans="1:2" x14ac:dyDescent="0.2">
      <c r="A9897" s="8" t="s">
        <v>9920</v>
      </c>
      <c r="B9897" s="2" t="s">
        <v>12472</v>
      </c>
    </row>
    <row r="9898" spans="1:2" x14ac:dyDescent="0.2">
      <c r="A9898" s="8" t="s">
        <v>9921</v>
      </c>
      <c r="B9898" s="2" t="s">
        <v>12472</v>
      </c>
    </row>
    <row r="9899" spans="1:2" x14ac:dyDescent="0.2">
      <c r="A9899" s="8" t="s">
        <v>9922</v>
      </c>
      <c r="B9899" s="2" t="s">
        <v>12472</v>
      </c>
    </row>
    <row r="9900" spans="1:2" x14ac:dyDescent="0.2">
      <c r="A9900" s="8" t="s">
        <v>9923</v>
      </c>
      <c r="B9900" s="2" t="s">
        <v>12472</v>
      </c>
    </row>
    <row r="9901" spans="1:2" x14ac:dyDescent="0.2">
      <c r="A9901" s="8" t="s">
        <v>9924</v>
      </c>
      <c r="B9901" s="2" t="s">
        <v>12472</v>
      </c>
    </row>
    <row r="9902" spans="1:2" x14ac:dyDescent="0.2">
      <c r="A9902" s="8" t="s">
        <v>9925</v>
      </c>
      <c r="B9902" s="2" t="s">
        <v>12472</v>
      </c>
    </row>
    <row r="9903" spans="1:2" x14ac:dyDescent="0.2">
      <c r="A9903" s="8" t="s">
        <v>9926</v>
      </c>
      <c r="B9903" s="2" t="s">
        <v>12472</v>
      </c>
    </row>
    <row r="9904" spans="1:2" x14ac:dyDescent="0.2">
      <c r="A9904" s="8" t="s">
        <v>9927</v>
      </c>
      <c r="B9904" s="2" t="s">
        <v>12472</v>
      </c>
    </row>
    <row r="9905" spans="1:2" x14ac:dyDescent="0.2">
      <c r="A9905" s="8" t="s">
        <v>9928</v>
      </c>
      <c r="B9905" s="2" t="s">
        <v>12472</v>
      </c>
    </row>
    <row r="9906" spans="1:2" x14ac:dyDescent="0.2">
      <c r="A9906" s="8" t="s">
        <v>9929</v>
      </c>
      <c r="B9906" s="2" t="s">
        <v>12472</v>
      </c>
    </row>
    <row r="9907" spans="1:2" x14ac:dyDescent="0.2">
      <c r="A9907" s="8" t="s">
        <v>9930</v>
      </c>
      <c r="B9907" s="2" t="s">
        <v>12472</v>
      </c>
    </row>
    <row r="9908" spans="1:2" x14ac:dyDescent="0.2">
      <c r="A9908" s="8" t="s">
        <v>9931</v>
      </c>
      <c r="B9908" s="2" t="s">
        <v>12472</v>
      </c>
    </row>
    <row r="9909" spans="1:2" x14ac:dyDescent="0.2">
      <c r="A9909" s="8" t="s">
        <v>9932</v>
      </c>
      <c r="B9909" s="2" t="s">
        <v>12472</v>
      </c>
    </row>
    <row r="9910" spans="1:2" x14ac:dyDescent="0.2">
      <c r="A9910" s="8" t="s">
        <v>9933</v>
      </c>
      <c r="B9910" s="2" t="s">
        <v>12472</v>
      </c>
    </row>
    <row r="9911" spans="1:2" x14ac:dyDescent="0.2">
      <c r="A9911" s="8" t="s">
        <v>9934</v>
      </c>
      <c r="B9911" s="2" t="s">
        <v>12472</v>
      </c>
    </row>
    <row r="9912" spans="1:2" x14ac:dyDescent="0.2">
      <c r="A9912" s="8" t="s">
        <v>9935</v>
      </c>
      <c r="B9912" s="2" t="s">
        <v>12472</v>
      </c>
    </row>
    <row r="9913" spans="1:2" x14ac:dyDescent="0.2">
      <c r="A9913" s="8" t="s">
        <v>9936</v>
      </c>
      <c r="B9913" s="2" t="s">
        <v>12472</v>
      </c>
    </row>
    <row r="9914" spans="1:2" x14ac:dyDescent="0.2">
      <c r="A9914" s="8" t="s">
        <v>9937</v>
      </c>
      <c r="B9914" s="2" t="s">
        <v>12472</v>
      </c>
    </row>
    <row r="9915" spans="1:2" x14ac:dyDescent="0.2">
      <c r="A9915" s="8" t="s">
        <v>9938</v>
      </c>
      <c r="B9915" s="2" t="s">
        <v>12472</v>
      </c>
    </row>
    <row r="9916" spans="1:2" x14ac:dyDescent="0.2">
      <c r="A9916" s="8" t="s">
        <v>9939</v>
      </c>
      <c r="B9916" s="2" t="s">
        <v>12472</v>
      </c>
    </row>
    <row r="9917" spans="1:2" x14ac:dyDescent="0.2">
      <c r="A9917" s="8" t="s">
        <v>9940</v>
      </c>
      <c r="B9917" s="2" t="s">
        <v>12472</v>
      </c>
    </row>
    <row r="9918" spans="1:2" x14ac:dyDescent="0.2">
      <c r="A9918" s="8" t="s">
        <v>9941</v>
      </c>
      <c r="B9918" s="2" t="s">
        <v>12472</v>
      </c>
    </row>
    <row r="9919" spans="1:2" x14ac:dyDescent="0.2">
      <c r="A9919" s="8" t="s">
        <v>9942</v>
      </c>
      <c r="B9919" s="2" t="s">
        <v>12472</v>
      </c>
    </row>
    <row r="9920" spans="1:2" x14ac:dyDescent="0.2">
      <c r="A9920" s="8" t="s">
        <v>9943</v>
      </c>
      <c r="B9920" s="2" t="s">
        <v>12472</v>
      </c>
    </row>
    <row r="9921" spans="1:2" x14ac:dyDescent="0.2">
      <c r="A9921" s="8" t="s">
        <v>9944</v>
      </c>
      <c r="B9921" s="2" t="s">
        <v>12472</v>
      </c>
    </row>
    <row r="9922" spans="1:2" x14ac:dyDescent="0.2">
      <c r="A9922" s="8" t="s">
        <v>9945</v>
      </c>
      <c r="B9922" s="2" t="s">
        <v>12472</v>
      </c>
    </row>
    <row r="9923" spans="1:2" x14ac:dyDescent="0.2">
      <c r="A9923" s="8" t="s">
        <v>9946</v>
      </c>
      <c r="B9923" s="2" t="s">
        <v>12472</v>
      </c>
    </row>
    <row r="9924" spans="1:2" x14ac:dyDescent="0.2">
      <c r="A9924" s="8" t="s">
        <v>9947</v>
      </c>
      <c r="B9924" s="2" t="s">
        <v>12472</v>
      </c>
    </row>
    <row r="9925" spans="1:2" x14ac:dyDescent="0.2">
      <c r="A9925" s="8" t="s">
        <v>9948</v>
      </c>
      <c r="B9925" s="2" t="s">
        <v>12472</v>
      </c>
    </row>
    <row r="9926" spans="1:2" x14ac:dyDescent="0.2">
      <c r="A9926" s="8" t="s">
        <v>9949</v>
      </c>
      <c r="B9926" s="2" t="s">
        <v>12472</v>
      </c>
    </row>
    <row r="9927" spans="1:2" x14ac:dyDescent="0.2">
      <c r="A9927" s="8" t="s">
        <v>9950</v>
      </c>
      <c r="B9927" s="2" t="s">
        <v>12472</v>
      </c>
    </row>
    <row r="9928" spans="1:2" x14ac:dyDescent="0.2">
      <c r="A9928" s="8" t="s">
        <v>9951</v>
      </c>
      <c r="B9928" s="2" t="s">
        <v>12472</v>
      </c>
    </row>
    <row r="9929" spans="1:2" x14ac:dyDescent="0.2">
      <c r="A9929" s="8" t="s">
        <v>9952</v>
      </c>
      <c r="B9929" s="2" t="s">
        <v>12472</v>
      </c>
    </row>
    <row r="9930" spans="1:2" x14ac:dyDescent="0.2">
      <c r="A9930" s="8" t="s">
        <v>9953</v>
      </c>
      <c r="B9930" s="2" t="s">
        <v>12472</v>
      </c>
    </row>
    <row r="9931" spans="1:2" x14ac:dyDescent="0.2">
      <c r="A9931" s="8" t="s">
        <v>9954</v>
      </c>
      <c r="B9931" s="2" t="s">
        <v>12472</v>
      </c>
    </row>
    <row r="9932" spans="1:2" x14ac:dyDescent="0.2">
      <c r="A9932" s="8" t="s">
        <v>9955</v>
      </c>
      <c r="B9932" s="2" t="s">
        <v>12472</v>
      </c>
    </row>
    <row r="9933" spans="1:2" x14ac:dyDescent="0.2">
      <c r="A9933" s="8" t="s">
        <v>9956</v>
      </c>
      <c r="B9933" s="2" t="s">
        <v>12472</v>
      </c>
    </row>
    <row r="9934" spans="1:2" x14ac:dyDescent="0.2">
      <c r="A9934" s="8" t="s">
        <v>9957</v>
      </c>
      <c r="B9934" s="2" t="s">
        <v>12472</v>
      </c>
    </row>
    <row r="9935" spans="1:2" x14ac:dyDescent="0.2">
      <c r="A9935" s="8" t="s">
        <v>9958</v>
      </c>
      <c r="B9935" s="2" t="s">
        <v>12472</v>
      </c>
    </row>
    <row r="9936" spans="1:2" x14ac:dyDescent="0.2">
      <c r="A9936" s="8" t="s">
        <v>9959</v>
      </c>
      <c r="B9936" s="2" t="s">
        <v>12472</v>
      </c>
    </row>
    <row r="9937" spans="1:2" x14ac:dyDescent="0.2">
      <c r="A9937" s="8" t="s">
        <v>9960</v>
      </c>
      <c r="B9937" s="2" t="s">
        <v>12472</v>
      </c>
    </row>
    <row r="9938" spans="1:2" x14ac:dyDescent="0.2">
      <c r="A9938" s="8" t="s">
        <v>9961</v>
      </c>
      <c r="B9938" s="2" t="s">
        <v>12472</v>
      </c>
    </row>
    <row r="9939" spans="1:2" x14ac:dyDescent="0.2">
      <c r="A9939" s="8" t="s">
        <v>9962</v>
      </c>
      <c r="B9939" s="2" t="s">
        <v>12472</v>
      </c>
    </row>
    <row r="9940" spans="1:2" x14ac:dyDescent="0.2">
      <c r="A9940" s="8" t="s">
        <v>9963</v>
      </c>
      <c r="B9940" s="2" t="s">
        <v>12472</v>
      </c>
    </row>
    <row r="9941" spans="1:2" x14ac:dyDescent="0.2">
      <c r="A9941" s="8" t="s">
        <v>9964</v>
      </c>
      <c r="B9941" s="2" t="s">
        <v>12472</v>
      </c>
    </row>
    <row r="9942" spans="1:2" x14ac:dyDescent="0.2">
      <c r="A9942" s="8" t="s">
        <v>9965</v>
      </c>
      <c r="B9942" s="2" t="s">
        <v>12472</v>
      </c>
    </row>
    <row r="9943" spans="1:2" x14ac:dyDescent="0.2">
      <c r="A9943" s="8" t="s">
        <v>9966</v>
      </c>
      <c r="B9943" s="2" t="s">
        <v>12472</v>
      </c>
    </row>
    <row r="9944" spans="1:2" x14ac:dyDescent="0.2">
      <c r="A9944" s="8" t="s">
        <v>9967</v>
      </c>
      <c r="B9944" s="2" t="s">
        <v>12472</v>
      </c>
    </row>
    <row r="9945" spans="1:2" x14ac:dyDescent="0.2">
      <c r="A9945" s="8" t="s">
        <v>9968</v>
      </c>
      <c r="B9945" s="2" t="s">
        <v>12472</v>
      </c>
    </row>
    <row r="9946" spans="1:2" x14ac:dyDescent="0.2">
      <c r="A9946" s="8" t="s">
        <v>9969</v>
      </c>
      <c r="B9946" s="2" t="s">
        <v>12472</v>
      </c>
    </row>
    <row r="9947" spans="1:2" x14ac:dyDescent="0.2">
      <c r="A9947" s="8" t="s">
        <v>9970</v>
      </c>
      <c r="B9947" s="2" t="s">
        <v>12472</v>
      </c>
    </row>
    <row r="9948" spans="1:2" x14ac:dyDescent="0.2">
      <c r="A9948" s="8" t="s">
        <v>9971</v>
      </c>
      <c r="B9948" s="2" t="s">
        <v>12472</v>
      </c>
    </row>
    <row r="9949" spans="1:2" x14ac:dyDescent="0.2">
      <c r="A9949" s="8" t="s">
        <v>9972</v>
      </c>
      <c r="B9949" s="2" t="s">
        <v>12472</v>
      </c>
    </row>
    <row r="9950" spans="1:2" x14ac:dyDescent="0.2">
      <c r="A9950" s="8" t="s">
        <v>9973</v>
      </c>
      <c r="B9950" s="2" t="s">
        <v>12472</v>
      </c>
    </row>
    <row r="9951" spans="1:2" x14ac:dyDescent="0.2">
      <c r="A9951" s="8" t="s">
        <v>9974</v>
      </c>
      <c r="B9951" s="2" t="s">
        <v>12472</v>
      </c>
    </row>
    <row r="9952" spans="1:2" x14ac:dyDescent="0.2">
      <c r="A9952" s="8" t="s">
        <v>9975</v>
      </c>
      <c r="B9952" s="2" t="s">
        <v>12472</v>
      </c>
    </row>
    <row r="9953" spans="1:2" x14ac:dyDescent="0.2">
      <c r="A9953" s="8" t="s">
        <v>9976</v>
      </c>
      <c r="B9953" s="2" t="s">
        <v>12472</v>
      </c>
    </row>
    <row r="9954" spans="1:2" x14ac:dyDescent="0.2">
      <c r="A9954" s="8" t="s">
        <v>9977</v>
      </c>
      <c r="B9954" s="2" t="s">
        <v>12472</v>
      </c>
    </row>
    <row r="9955" spans="1:2" x14ac:dyDescent="0.2">
      <c r="A9955" s="8" t="s">
        <v>9978</v>
      </c>
      <c r="B9955" s="2" t="s">
        <v>12472</v>
      </c>
    </row>
    <row r="9956" spans="1:2" x14ac:dyDescent="0.2">
      <c r="A9956" s="8" t="s">
        <v>9979</v>
      </c>
      <c r="B9956" s="2" t="s">
        <v>12472</v>
      </c>
    </row>
    <row r="9957" spans="1:2" x14ac:dyDescent="0.2">
      <c r="A9957" s="8" t="s">
        <v>9980</v>
      </c>
      <c r="B9957" s="2" t="s">
        <v>12472</v>
      </c>
    </row>
    <row r="9958" spans="1:2" x14ac:dyDescent="0.2">
      <c r="A9958" s="8" t="s">
        <v>9981</v>
      </c>
      <c r="B9958" s="2" t="s">
        <v>12472</v>
      </c>
    </row>
    <row r="9959" spans="1:2" x14ac:dyDescent="0.2">
      <c r="A9959" s="8" t="s">
        <v>9982</v>
      </c>
      <c r="B9959" s="2" t="s">
        <v>12472</v>
      </c>
    </row>
    <row r="9960" spans="1:2" x14ac:dyDescent="0.2">
      <c r="A9960" s="8" t="s">
        <v>9983</v>
      </c>
      <c r="B9960" s="2" t="s">
        <v>12472</v>
      </c>
    </row>
    <row r="9961" spans="1:2" x14ac:dyDescent="0.2">
      <c r="A9961" s="8" t="s">
        <v>9984</v>
      </c>
      <c r="B9961" s="2" t="s">
        <v>12472</v>
      </c>
    </row>
    <row r="9962" spans="1:2" x14ac:dyDescent="0.2">
      <c r="A9962" s="8" t="s">
        <v>9985</v>
      </c>
      <c r="B9962" s="2" t="s">
        <v>12472</v>
      </c>
    </row>
    <row r="9963" spans="1:2" x14ac:dyDescent="0.2">
      <c r="A9963" s="8" t="s">
        <v>9986</v>
      </c>
      <c r="B9963" s="2" t="s">
        <v>12472</v>
      </c>
    </row>
    <row r="9964" spans="1:2" x14ac:dyDescent="0.2">
      <c r="A9964" s="8" t="s">
        <v>9987</v>
      </c>
      <c r="B9964" s="2" t="s">
        <v>12472</v>
      </c>
    </row>
    <row r="9965" spans="1:2" x14ac:dyDescent="0.2">
      <c r="A9965" s="8" t="s">
        <v>9988</v>
      </c>
      <c r="B9965" s="2" t="s">
        <v>12472</v>
      </c>
    </row>
    <row r="9966" spans="1:2" x14ac:dyDescent="0.2">
      <c r="A9966" s="8" t="s">
        <v>9989</v>
      </c>
      <c r="B9966" s="2" t="s">
        <v>12472</v>
      </c>
    </row>
    <row r="9967" spans="1:2" x14ac:dyDescent="0.2">
      <c r="A9967" s="8" t="s">
        <v>9990</v>
      </c>
      <c r="B9967" s="2" t="s">
        <v>12472</v>
      </c>
    </row>
    <row r="9968" spans="1:2" x14ac:dyDescent="0.2">
      <c r="A9968" s="8" t="s">
        <v>9991</v>
      </c>
      <c r="B9968" s="2" t="s">
        <v>12472</v>
      </c>
    </row>
    <row r="9969" spans="1:2" x14ac:dyDescent="0.2">
      <c r="A9969" s="8" t="s">
        <v>9992</v>
      </c>
      <c r="B9969" s="2" t="s">
        <v>12472</v>
      </c>
    </row>
    <row r="9970" spans="1:2" x14ac:dyDescent="0.2">
      <c r="A9970" s="8" t="s">
        <v>9993</v>
      </c>
      <c r="B9970" s="2" t="s">
        <v>12472</v>
      </c>
    </row>
    <row r="9971" spans="1:2" x14ac:dyDescent="0.2">
      <c r="A9971" s="8" t="s">
        <v>9994</v>
      </c>
      <c r="B9971" s="2" t="s">
        <v>12472</v>
      </c>
    </row>
    <row r="9972" spans="1:2" x14ac:dyDescent="0.2">
      <c r="A9972" s="8" t="s">
        <v>9995</v>
      </c>
      <c r="B9972" s="2" t="s">
        <v>12472</v>
      </c>
    </row>
    <row r="9973" spans="1:2" x14ac:dyDescent="0.2">
      <c r="A9973" s="8" t="s">
        <v>9996</v>
      </c>
      <c r="B9973" s="2" t="s">
        <v>12472</v>
      </c>
    </row>
    <row r="9974" spans="1:2" x14ac:dyDescent="0.2">
      <c r="A9974" s="8" t="s">
        <v>9997</v>
      </c>
      <c r="B9974" s="2" t="s">
        <v>12472</v>
      </c>
    </row>
    <row r="9975" spans="1:2" x14ac:dyDescent="0.2">
      <c r="A9975" s="8" t="s">
        <v>9998</v>
      </c>
      <c r="B9975" s="2" t="s">
        <v>12472</v>
      </c>
    </row>
    <row r="9976" spans="1:2" x14ac:dyDescent="0.2">
      <c r="A9976" s="8" t="s">
        <v>9999</v>
      </c>
      <c r="B9976" s="2" t="s">
        <v>12472</v>
      </c>
    </row>
    <row r="9977" spans="1:2" x14ac:dyDescent="0.2">
      <c r="A9977" s="8" t="s">
        <v>10000</v>
      </c>
      <c r="B9977" s="2" t="s">
        <v>12472</v>
      </c>
    </row>
    <row r="9978" spans="1:2" x14ac:dyDescent="0.2">
      <c r="A9978" s="8" t="s">
        <v>10001</v>
      </c>
      <c r="B9978" s="2" t="s">
        <v>12472</v>
      </c>
    </row>
    <row r="9979" spans="1:2" x14ac:dyDescent="0.2">
      <c r="A9979" s="8" t="s">
        <v>10002</v>
      </c>
      <c r="B9979" s="2" t="s">
        <v>12472</v>
      </c>
    </row>
    <row r="9980" spans="1:2" x14ac:dyDescent="0.2">
      <c r="A9980" s="8" t="s">
        <v>10003</v>
      </c>
      <c r="B9980" s="2" t="s">
        <v>12472</v>
      </c>
    </row>
    <row r="9981" spans="1:2" x14ac:dyDescent="0.2">
      <c r="A9981" s="8" t="s">
        <v>10004</v>
      </c>
      <c r="B9981" s="2" t="s">
        <v>12472</v>
      </c>
    </row>
    <row r="9982" spans="1:2" x14ac:dyDescent="0.2">
      <c r="A9982" s="8" t="s">
        <v>10005</v>
      </c>
      <c r="B9982" s="2" t="s">
        <v>12472</v>
      </c>
    </row>
    <row r="9983" spans="1:2" x14ac:dyDescent="0.2">
      <c r="A9983" s="8" t="s">
        <v>10006</v>
      </c>
      <c r="B9983" s="2" t="s">
        <v>12472</v>
      </c>
    </row>
    <row r="9984" spans="1:2" x14ac:dyDescent="0.2">
      <c r="A9984" s="8" t="s">
        <v>10007</v>
      </c>
      <c r="B9984" s="2" t="s">
        <v>12472</v>
      </c>
    </row>
    <row r="9985" spans="1:2" x14ac:dyDescent="0.2">
      <c r="A9985" s="8" t="s">
        <v>10008</v>
      </c>
      <c r="B9985" s="2" t="s">
        <v>12472</v>
      </c>
    </row>
    <row r="9986" spans="1:2" x14ac:dyDescent="0.2">
      <c r="A9986" s="8" t="s">
        <v>10009</v>
      </c>
      <c r="B9986" s="2" t="s">
        <v>12472</v>
      </c>
    </row>
    <row r="9987" spans="1:2" x14ac:dyDescent="0.2">
      <c r="A9987" s="8" t="s">
        <v>10010</v>
      </c>
      <c r="B9987" s="2" t="s">
        <v>12472</v>
      </c>
    </row>
    <row r="9988" spans="1:2" x14ac:dyDescent="0.2">
      <c r="A9988" s="8" t="s">
        <v>10011</v>
      </c>
      <c r="B9988" s="2" t="s">
        <v>12472</v>
      </c>
    </row>
    <row r="9989" spans="1:2" x14ac:dyDescent="0.2">
      <c r="A9989" s="8" t="s">
        <v>10012</v>
      </c>
      <c r="B9989" s="2" t="s">
        <v>12472</v>
      </c>
    </row>
    <row r="9990" spans="1:2" x14ac:dyDescent="0.2">
      <c r="A9990" s="8" t="s">
        <v>10013</v>
      </c>
      <c r="B9990" s="2" t="s">
        <v>12472</v>
      </c>
    </row>
    <row r="9991" spans="1:2" x14ac:dyDescent="0.2">
      <c r="A9991" s="8" t="s">
        <v>10014</v>
      </c>
      <c r="B9991" s="2" t="s">
        <v>12472</v>
      </c>
    </row>
    <row r="9992" spans="1:2" x14ac:dyDescent="0.2">
      <c r="A9992" s="8" t="s">
        <v>10015</v>
      </c>
      <c r="B9992" s="2" t="s">
        <v>12472</v>
      </c>
    </row>
    <row r="9993" spans="1:2" x14ac:dyDescent="0.2">
      <c r="A9993" s="8" t="s">
        <v>10016</v>
      </c>
      <c r="B9993" s="2" t="s">
        <v>12472</v>
      </c>
    </row>
    <row r="9994" spans="1:2" x14ac:dyDescent="0.2">
      <c r="A9994" s="8" t="s">
        <v>10017</v>
      </c>
      <c r="B9994" s="2" t="s">
        <v>12472</v>
      </c>
    </row>
    <row r="9995" spans="1:2" x14ac:dyDescent="0.2">
      <c r="A9995" s="8" t="s">
        <v>10018</v>
      </c>
      <c r="B9995" s="2" t="s">
        <v>12472</v>
      </c>
    </row>
    <row r="9996" spans="1:2" x14ac:dyDescent="0.2">
      <c r="A9996" s="8" t="s">
        <v>10019</v>
      </c>
      <c r="B9996" s="2" t="s">
        <v>12472</v>
      </c>
    </row>
    <row r="9997" spans="1:2" x14ac:dyDescent="0.2">
      <c r="A9997" s="8" t="s">
        <v>10020</v>
      </c>
      <c r="B9997" s="2" t="s">
        <v>12472</v>
      </c>
    </row>
    <row r="9998" spans="1:2" x14ac:dyDescent="0.2">
      <c r="A9998" s="8" t="s">
        <v>10021</v>
      </c>
      <c r="B9998" s="2" t="s">
        <v>12472</v>
      </c>
    </row>
    <row r="9999" spans="1:2" x14ac:dyDescent="0.2">
      <c r="A9999" s="8" t="s">
        <v>10022</v>
      </c>
      <c r="B9999" s="2" t="s">
        <v>12472</v>
      </c>
    </row>
    <row r="10000" spans="1:2" x14ac:dyDescent="0.2">
      <c r="A10000" s="8" t="s">
        <v>10023</v>
      </c>
      <c r="B10000" s="2" t="s">
        <v>12472</v>
      </c>
    </row>
    <row r="10001" spans="1:2" x14ac:dyDescent="0.2">
      <c r="A10001" s="8" t="s">
        <v>10024</v>
      </c>
      <c r="B10001" s="2" t="s">
        <v>12472</v>
      </c>
    </row>
    <row r="10002" spans="1:2" x14ac:dyDescent="0.2">
      <c r="A10002" s="8" t="s">
        <v>10025</v>
      </c>
      <c r="B10002" s="2" t="s">
        <v>12472</v>
      </c>
    </row>
    <row r="10003" spans="1:2" x14ac:dyDescent="0.2">
      <c r="A10003" s="8" t="s">
        <v>10026</v>
      </c>
      <c r="B10003" s="2" t="s">
        <v>12472</v>
      </c>
    </row>
    <row r="10004" spans="1:2" x14ac:dyDescent="0.2">
      <c r="A10004" s="8" t="s">
        <v>10027</v>
      </c>
      <c r="B10004" s="2" t="s">
        <v>12472</v>
      </c>
    </row>
    <row r="10005" spans="1:2" x14ac:dyDescent="0.2">
      <c r="A10005" s="8" t="s">
        <v>10028</v>
      </c>
      <c r="B10005" s="2" t="s">
        <v>12472</v>
      </c>
    </row>
    <row r="10006" spans="1:2" x14ac:dyDescent="0.2">
      <c r="A10006" s="8" t="s">
        <v>10029</v>
      </c>
      <c r="B10006" s="2" t="s">
        <v>12472</v>
      </c>
    </row>
    <row r="10007" spans="1:2" x14ac:dyDescent="0.2">
      <c r="A10007" s="8" t="s">
        <v>10030</v>
      </c>
      <c r="B10007" s="2" t="s">
        <v>12472</v>
      </c>
    </row>
    <row r="10008" spans="1:2" x14ac:dyDescent="0.2">
      <c r="A10008" s="8" t="s">
        <v>10031</v>
      </c>
      <c r="B10008" s="2" t="s">
        <v>12472</v>
      </c>
    </row>
    <row r="10009" spans="1:2" x14ac:dyDescent="0.2">
      <c r="A10009" s="8" t="s">
        <v>10032</v>
      </c>
      <c r="B10009" s="2" t="s">
        <v>12472</v>
      </c>
    </row>
    <row r="10010" spans="1:2" x14ac:dyDescent="0.2">
      <c r="A10010" s="8" t="s">
        <v>10033</v>
      </c>
      <c r="B10010" s="2" t="s">
        <v>12472</v>
      </c>
    </row>
    <row r="10011" spans="1:2" x14ac:dyDescent="0.2">
      <c r="A10011" s="8" t="s">
        <v>10034</v>
      </c>
      <c r="B10011" s="2" t="s">
        <v>12472</v>
      </c>
    </row>
    <row r="10012" spans="1:2" x14ac:dyDescent="0.2">
      <c r="A10012" s="8" t="s">
        <v>10035</v>
      </c>
      <c r="B10012" s="2" t="s">
        <v>12472</v>
      </c>
    </row>
    <row r="10013" spans="1:2" x14ac:dyDescent="0.2">
      <c r="A10013" s="8" t="s">
        <v>10036</v>
      </c>
      <c r="B10013" s="2" t="s">
        <v>12472</v>
      </c>
    </row>
    <row r="10014" spans="1:2" x14ac:dyDescent="0.2">
      <c r="A10014" s="8" t="s">
        <v>10037</v>
      </c>
      <c r="B10014" s="2" t="s">
        <v>12472</v>
      </c>
    </row>
    <row r="10015" spans="1:2" x14ac:dyDescent="0.2">
      <c r="A10015" s="8" t="s">
        <v>10038</v>
      </c>
      <c r="B10015" s="2" t="s">
        <v>12472</v>
      </c>
    </row>
    <row r="10016" spans="1:2" x14ac:dyDescent="0.2">
      <c r="A10016" s="8" t="s">
        <v>10039</v>
      </c>
      <c r="B10016" s="2" t="s">
        <v>12472</v>
      </c>
    </row>
    <row r="10017" spans="1:2" x14ac:dyDescent="0.2">
      <c r="A10017" s="8" t="s">
        <v>10040</v>
      </c>
      <c r="B10017" s="2" t="s">
        <v>12472</v>
      </c>
    </row>
    <row r="10018" spans="1:2" x14ac:dyDescent="0.2">
      <c r="A10018" s="8" t="s">
        <v>10041</v>
      </c>
      <c r="B10018" s="2" t="s">
        <v>12472</v>
      </c>
    </row>
    <row r="10019" spans="1:2" x14ac:dyDescent="0.2">
      <c r="A10019" s="8" t="s">
        <v>10042</v>
      </c>
      <c r="B10019" s="2" t="s">
        <v>12472</v>
      </c>
    </row>
    <row r="10020" spans="1:2" x14ac:dyDescent="0.2">
      <c r="A10020" s="8" t="s">
        <v>10043</v>
      </c>
      <c r="B10020" s="2" t="s">
        <v>12472</v>
      </c>
    </row>
    <row r="10021" spans="1:2" x14ac:dyDescent="0.2">
      <c r="A10021" s="8" t="s">
        <v>10044</v>
      </c>
      <c r="B10021" s="2" t="s">
        <v>12472</v>
      </c>
    </row>
    <row r="10022" spans="1:2" x14ac:dyDescent="0.2">
      <c r="A10022" s="8" t="s">
        <v>10045</v>
      </c>
      <c r="B10022" s="2" t="s">
        <v>12472</v>
      </c>
    </row>
    <row r="10023" spans="1:2" x14ac:dyDescent="0.2">
      <c r="A10023" s="8" t="s">
        <v>10046</v>
      </c>
      <c r="B10023" s="2" t="s">
        <v>12472</v>
      </c>
    </row>
    <row r="10024" spans="1:2" x14ac:dyDescent="0.2">
      <c r="A10024" s="8" t="s">
        <v>10047</v>
      </c>
      <c r="B10024" s="2" t="s">
        <v>12472</v>
      </c>
    </row>
    <row r="10025" spans="1:2" x14ac:dyDescent="0.2">
      <c r="A10025" s="8" t="s">
        <v>10048</v>
      </c>
      <c r="B10025" s="2" t="s">
        <v>12472</v>
      </c>
    </row>
    <row r="10026" spans="1:2" x14ac:dyDescent="0.2">
      <c r="A10026" s="8" t="s">
        <v>10049</v>
      </c>
      <c r="B10026" s="2" t="s">
        <v>12472</v>
      </c>
    </row>
    <row r="10027" spans="1:2" x14ac:dyDescent="0.2">
      <c r="A10027" s="8" t="s">
        <v>10050</v>
      </c>
      <c r="B10027" s="2" t="s">
        <v>12472</v>
      </c>
    </row>
    <row r="10028" spans="1:2" x14ac:dyDescent="0.2">
      <c r="A10028" s="8" t="s">
        <v>10051</v>
      </c>
      <c r="B10028" s="2" t="s">
        <v>12472</v>
      </c>
    </row>
    <row r="10029" spans="1:2" x14ac:dyDescent="0.2">
      <c r="A10029" s="8" t="s">
        <v>10052</v>
      </c>
      <c r="B10029" s="2" t="s">
        <v>12472</v>
      </c>
    </row>
    <row r="10030" spans="1:2" x14ac:dyDescent="0.2">
      <c r="A10030" s="8" t="s">
        <v>10053</v>
      </c>
      <c r="B10030" s="2" t="s">
        <v>12472</v>
      </c>
    </row>
    <row r="10031" spans="1:2" x14ac:dyDescent="0.2">
      <c r="A10031" s="8" t="s">
        <v>10054</v>
      </c>
      <c r="B10031" s="2" t="s">
        <v>12472</v>
      </c>
    </row>
    <row r="10032" spans="1:2" x14ac:dyDescent="0.2">
      <c r="A10032" s="8" t="s">
        <v>10055</v>
      </c>
      <c r="B10032" s="2" t="s">
        <v>12472</v>
      </c>
    </row>
    <row r="10033" spans="1:2" x14ac:dyDescent="0.2">
      <c r="A10033" s="8" t="s">
        <v>10056</v>
      </c>
      <c r="B10033" s="2" t="s">
        <v>12472</v>
      </c>
    </row>
    <row r="10034" spans="1:2" x14ac:dyDescent="0.2">
      <c r="A10034" s="8" t="s">
        <v>10057</v>
      </c>
      <c r="B10034" s="2" t="s">
        <v>12472</v>
      </c>
    </row>
    <row r="10035" spans="1:2" x14ac:dyDescent="0.2">
      <c r="A10035" s="8" t="s">
        <v>10058</v>
      </c>
      <c r="B10035" s="2" t="s">
        <v>12472</v>
      </c>
    </row>
    <row r="10036" spans="1:2" x14ac:dyDescent="0.2">
      <c r="A10036" s="8" t="s">
        <v>10059</v>
      </c>
      <c r="B10036" s="2" t="s">
        <v>12472</v>
      </c>
    </row>
    <row r="10037" spans="1:2" x14ac:dyDescent="0.2">
      <c r="A10037" s="8" t="s">
        <v>10060</v>
      </c>
      <c r="B10037" s="2" t="s">
        <v>12472</v>
      </c>
    </row>
    <row r="10038" spans="1:2" x14ac:dyDescent="0.2">
      <c r="A10038" s="8" t="s">
        <v>10061</v>
      </c>
      <c r="B10038" s="2" t="s">
        <v>12472</v>
      </c>
    </row>
    <row r="10039" spans="1:2" x14ac:dyDescent="0.2">
      <c r="A10039" s="8" t="s">
        <v>10062</v>
      </c>
      <c r="B10039" s="2" t="s">
        <v>12472</v>
      </c>
    </row>
    <row r="10040" spans="1:2" x14ac:dyDescent="0.2">
      <c r="A10040" s="8" t="s">
        <v>10063</v>
      </c>
      <c r="B10040" s="2" t="s">
        <v>12472</v>
      </c>
    </row>
    <row r="10041" spans="1:2" x14ac:dyDescent="0.2">
      <c r="A10041" s="8" t="s">
        <v>10064</v>
      </c>
      <c r="B10041" s="2" t="s">
        <v>12472</v>
      </c>
    </row>
    <row r="10042" spans="1:2" x14ac:dyDescent="0.2">
      <c r="A10042" s="8" t="s">
        <v>10065</v>
      </c>
      <c r="B10042" s="2" t="s">
        <v>12472</v>
      </c>
    </row>
    <row r="10043" spans="1:2" x14ac:dyDescent="0.2">
      <c r="A10043" s="8" t="s">
        <v>10066</v>
      </c>
      <c r="B10043" s="2" t="s">
        <v>12472</v>
      </c>
    </row>
    <row r="10044" spans="1:2" x14ac:dyDescent="0.2">
      <c r="A10044" s="8" t="s">
        <v>10067</v>
      </c>
      <c r="B10044" s="2" t="s">
        <v>12472</v>
      </c>
    </row>
    <row r="10045" spans="1:2" x14ac:dyDescent="0.2">
      <c r="A10045" s="8" t="s">
        <v>10068</v>
      </c>
      <c r="B10045" s="2" t="s">
        <v>12472</v>
      </c>
    </row>
    <row r="10046" spans="1:2" x14ac:dyDescent="0.2">
      <c r="A10046" s="8" t="s">
        <v>10069</v>
      </c>
      <c r="B10046" s="2" t="s">
        <v>12472</v>
      </c>
    </row>
    <row r="10047" spans="1:2" x14ac:dyDescent="0.2">
      <c r="A10047" s="8" t="s">
        <v>10070</v>
      </c>
      <c r="B10047" s="2" t="s">
        <v>12472</v>
      </c>
    </row>
    <row r="10048" spans="1:2" x14ac:dyDescent="0.2">
      <c r="A10048" s="8" t="s">
        <v>10071</v>
      </c>
      <c r="B10048" s="2" t="s">
        <v>12472</v>
      </c>
    </row>
    <row r="10049" spans="1:2" x14ac:dyDescent="0.2">
      <c r="A10049" s="8" t="s">
        <v>10072</v>
      </c>
      <c r="B10049" s="2" t="s">
        <v>12472</v>
      </c>
    </row>
    <row r="10050" spans="1:2" x14ac:dyDescent="0.2">
      <c r="A10050" s="8" t="s">
        <v>10073</v>
      </c>
      <c r="B10050" s="2" t="s">
        <v>12472</v>
      </c>
    </row>
    <row r="10051" spans="1:2" x14ac:dyDescent="0.2">
      <c r="A10051" s="8" t="s">
        <v>10074</v>
      </c>
      <c r="B10051" s="2" t="s">
        <v>12472</v>
      </c>
    </row>
    <row r="10052" spans="1:2" x14ac:dyDescent="0.2">
      <c r="A10052" s="8" t="s">
        <v>10075</v>
      </c>
      <c r="B10052" s="2" t="s">
        <v>12472</v>
      </c>
    </row>
    <row r="10053" spans="1:2" x14ac:dyDescent="0.2">
      <c r="A10053" s="8" t="s">
        <v>10076</v>
      </c>
      <c r="B10053" s="2" t="s">
        <v>12472</v>
      </c>
    </row>
    <row r="10054" spans="1:2" x14ac:dyDescent="0.2">
      <c r="A10054" s="8" t="s">
        <v>10077</v>
      </c>
      <c r="B10054" s="2" t="s">
        <v>12472</v>
      </c>
    </row>
    <row r="10055" spans="1:2" x14ac:dyDescent="0.2">
      <c r="A10055" s="8" t="s">
        <v>10078</v>
      </c>
      <c r="B10055" s="2" t="s">
        <v>12472</v>
      </c>
    </row>
    <row r="10056" spans="1:2" x14ac:dyDescent="0.2">
      <c r="A10056" s="8" t="s">
        <v>10079</v>
      </c>
      <c r="B10056" s="2" t="s">
        <v>12472</v>
      </c>
    </row>
    <row r="10057" spans="1:2" x14ac:dyDescent="0.2">
      <c r="A10057" s="8" t="s">
        <v>10080</v>
      </c>
      <c r="B10057" s="2" t="s">
        <v>12472</v>
      </c>
    </row>
    <row r="10058" spans="1:2" x14ac:dyDescent="0.2">
      <c r="A10058" s="8" t="s">
        <v>10081</v>
      </c>
      <c r="B10058" s="2" t="s">
        <v>12472</v>
      </c>
    </row>
    <row r="10059" spans="1:2" x14ac:dyDescent="0.2">
      <c r="A10059" s="8" t="s">
        <v>10082</v>
      </c>
      <c r="B10059" s="2" t="s">
        <v>12472</v>
      </c>
    </row>
    <row r="10060" spans="1:2" x14ac:dyDescent="0.2">
      <c r="A10060" s="8" t="s">
        <v>10083</v>
      </c>
      <c r="B10060" s="2" t="s">
        <v>12472</v>
      </c>
    </row>
    <row r="10061" spans="1:2" x14ac:dyDescent="0.2">
      <c r="A10061" s="8" t="s">
        <v>10084</v>
      </c>
      <c r="B10061" s="2" t="s">
        <v>12472</v>
      </c>
    </row>
    <row r="10062" spans="1:2" x14ac:dyDescent="0.2">
      <c r="A10062" s="8" t="s">
        <v>10085</v>
      </c>
      <c r="B10062" s="2" t="s">
        <v>12472</v>
      </c>
    </row>
    <row r="10063" spans="1:2" x14ac:dyDescent="0.2">
      <c r="A10063" s="8" t="s">
        <v>10086</v>
      </c>
      <c r="B10063" s="2" t="s">
        <v>12472</v>
      </c>
    </row>
    <row r="10064" spans="1:2" x14ac:dyDescent="0.2">
      <c r="A10064" s="8" t="s">
        <v>10087</v>
      </c>
      <c r="B10064" s="2" t="s">
        <v>12472</v>
      </c>
    </row>
    <row r="10065" spans="1:2" x14ac:dyDescent="0.2">
      <c r="A10065" s="8" t="s">
        <v>10088</v>
      </c>
      <c r="B10065" s="2" t="s">
        <v>12472</v>
      </c>
    </row>
    <row r="10066" spans="1:2" x14ac:dyDescent="0.2">
      <c r="A10066" s="8" t="s">
        <v>10089</v>
      </c>
      <c r="B10066" s="2" t="s">
        <v>12472</v>
      </c>
    </row>
    <row r="10067" spans="1:2" x14ac:dyDescent="0.2">
      <c r="A10067" s="8" t="s">
        <v>10090</v>
      </c>
      <c r="B10067" s="2" t="s">
        <v>12472</v>
      </c>
    </row>
    <row r="10068" spans="1:2" x14ac:dyDescent="0.2">
      <c r="A10068" s="8" t="s">
        <v>10091</v>
      </c>
      <c r="B10068" s="2" t="s">
        <v>12472</v>
      </c>
    </row>
    <row r="10069" spans="1:2" x14ac:dyDescent="0.2">
      <c r="A10069" s="8" t="s">
        <v>10092</v>
      </c>
      <c r="B10069" s="2" t="s">
        <v>12472</v>
      </c>
    </row>
    <row r="10070" spans="1:2" x14ac:dyDescent="0.2">
      <c r="A10070" s="8" t="s">
        <v>10093</v>
      </c>
      <c r="B10070" s="2" t="s">
        <v>12472</v>
      </c>
    </row>
    <row r="10071" spans="1:2" x14ac:dyDescent="0.2">
      <c r="A10071" s="8" t="s">
        <v>10094</v>
      </c>
      <c r="B10071" s="2" t="s">
        <v>12472</v>
      </c>
    </row>
    <row r="10072" spans="1:2" x14ac:dyDescent="0.2">
      <c r="A10072" s="8" t="s">
        <v>10095</v>
      </c>
      <c r="B10072" s="2" t="s">
        <v>12472</v>
      </c>
    </row>
    <row r="10073" spans="1:2" x14ac:dyDescent="0.2">
      <c r="A10073" s="8" t="s">
        <v>10096</v>
      </c>
      <c r="B10073" s="2" t="s">
        <v>12472</v>
      </c>
    </row>
    <row r="10074" spans="1:2" x14ac:dyDescent="0.2">
      <c r="A10074" s="8" t="s">
        <v>10097</v>
      </c>
      <c r="B10074" s="2" t="s">
        <v>12472</v>
      </c>
    </row>
    <row r="10075" spans="1:2" x14ac:dyDescent="0.2">
      <c r="A10075" s="8" t="s">
        <v>10098</v>
      </c>
      <c r="B10075" s="2" t="s">
        <v>12472</v>
      </c>
    </row>
    <row r="10076" spans="1:2" x14ac:dyDescent="0.2">
      <c r="A10076" s="8" t="s">
        <v>10099</v>
      </c>
      <c r="B10076" s="2" t="s">
        <v>12472</v>
      </c>
    </row>
    <row r="10077" spans="1:2" x14ac:dyDescent="0.2">
      <c r="A10077" s="8" t="s">
        <v>10100</v>
      </c>
      <c r="B10077" s="2" t="s">
        <v>12472</v>
      </c>
    </row>
    <row r="10078" spans="1:2" x14ac:dyDescent="0.2">
      <c r="A10078" s="8" t="s">
        <v>10101</v>
      </c>
      <c r="B10078" s="2" t="s">
        <v>12472</v>
      </c>
    </row>
    <row r="10079" spans="1:2" x14ac:dyDescent="0.2">
      <c r="A10079" s="8" t="s">
        <v>10102</v>
      </c>
      <c r="B10079" s="2" t="s">
        <v>12472</v>
      </c>
    </row>
    <row r="10080" spans="1:2" x14ac:dyDescent="0.2">
      <c r="A10080" s="8" t="s">
        <v>10103</v>
      </c>
      <c r="B10080" s="2" t="s">
        <v>12472</v>
      </c>
    </row>
    <row r="10081" spans="1:2" x14ac:dyDescent="0.2">
      <c r="A10081" s="8" t="s">
        <v>10104</v>
      </c>
      <c r="B10081" s="2" t="s">
        <v>12472</v>
      </c>
    </row>
    <row r="10082" spans="1:2" x14ac:dyDescent="0.2">
      <c r="A10082" s="8" t="s">
        <v>10105</v>
      </c>
      <c r="B10082" s="2" t="s">
        <v>12472</v>
      </c>
    </row>
    <row r="10083" spans="1:2" x14ac:dyDescent="0.2">
      <c r="A10083" s="8" t="s">
        <v>10106</v>
      </c>
      <c r="B10083" s="2" t="s">
        <v>12472</v>
      </c>
    </row>
    <row r="10084" spans="1:2" x14ac:dyDescent="0.2">
      <c r="A10084" s="8" t="s">
        <v>10107</v>
      </c>
      <c r="B10084" s="2" t="s">
        <v>12472</v>
      </c>
    </row>
    <row r="10085" spans="1:2" x14ac:dyDescent="0.2">
      <c r="A10085" s="8" t="s">
        <v>10108</v>
      </c>
      <c r="B10085" s="2" t="s">
        <v>12472</v>
      </c>
    </row>
    <row r="10086" spans="1:2" x14ac:dyDescent="0.2">
      <c r="A10086" s="8" t="s">
        <v>10109</v>
      </c>
      <c r="B10086" s="2" t="s">
        <v>12472</v>
      </c>
    </row>
    <row r="10087" spans="1:2" x14ac:dyDescent="0.2">
      <c r="A10087" s="8" t="s">
        <v>10110</v>
      </c>
      <c r="B10087" s="2" t="s">
        <v>12472</v>
      </c>
    </row>
    <row r="10088" spans="1:2" x14ac:dyDescent="0.2">
      <c r="A10088" s="8" t="s">
        <v>10111</v>
      </c>
      <c r="B10088" s="2" t="s">
        <v>12472</v>
      </c>
    </row>
    <row r="10089" spans="1:2" x14ac:dyDescent="0.2">
      <c r="A10089" s="8" t="s">
        <v>10112</v>
      </c>
      <c r="B10089" s="2" t="s">
        <v>12472</v>
      </c>
    </row>
    <row r="10090" spans="1:2" x14ac:dyDescent="0.2">
      <c r="A10090" s="8" t="s">
        <v>10113</v>
      </c>
      <c r="B10090" s="2" t="s">
        <v>12472</v>
      </c>
    </row>
    <row r="10091" spans="1:2" x14ac:dyDescent="0.2">
      <c r="A10091" s="8" t="s">
        <v>10114</v>
      </c>
      <c r="B10091" s="2" t="s">
        <v>12472</v>
      </c>
    </row>
    <row r="10092" spans="1:2" x14ac:dyDescent="0.2">
      <c r="A10092" s="8" t="s">
        <v>10115</v>
      </c>
      <c r="B10092" s="2" t="s">
        <v>12472</v>
      </c>
    </row>
    <row r="10093" spans="1:2" x14ac:dyDescent="0.2">
      <c r="A10093" s="8" t="s">
        <v>10116</v>
      </c>
      <c r="B10093" s="2" t="s">
        <v>12472</v>
      </c>
    </row>
    <row r="10094" spans="1:2" x14ac:dyDescent="0.2">
      <c r="A10094" s="8" t="s">
        <v>10117</v>
      </c>
      <c r="B10094" s="2" t="s">
        <v>12472</v>
      </c>
    </row>
    <row r="10095" spans="1:2" x14ac:dyDescent="0.2">
      <c r="A10095" s="8" t="s">
        <v>10118</v>
      </c>
      <c r="B10095" s="2" t="s">
        <v>12472</v>
      </c>
    </row>
    <row r="10096" spans="1:2" x14ac:dyDescent="0.2">
      <c r="A10096" s="8" t="s">
        <v>10119</v>
      </c>
      <c r="B10096" s="2" t="s">
        <v>12472</v>
      </c>
    </row>
    <row r="10097" spans="1:2" x14ac:dyDescent="0.2">
      <c r="A10097" s="8" t="s">
        <v>10120</v>
      </c>
      <c r="B10097" s="2" t="s">
        <v>12472</v>
      </c>
    </row>
    <row r="10098" spans="1:2" x14ac:dyDescent="0.2">
      <c r="A10098" s="8" t="s">
        <v>10121</v>
      </c>
      <c r="B10098" s="2" t="s">
        <v>12472</v>
      </c>
    </row>
    <row r="10099" spans="1:2" x14ac:dyDescent="0.2">
      <c r="A10099" s="8" t="s">
        <v>10122</v>
      </c>
      <c r="B10099" s="2" t="s">
        <v>12472</v>
      </c>
    </row>
    <row r="10100" spans="1:2" x14ac:dyDescent="0.2">
      <c r="A10100" s="8" t="s">
        <v>10123</v>
      </c>
      <c r="B10100" s="2" t="s">
        <v>12472</v>
      </c>
    </row>
    <row r="10101" spans="1:2" x14ac:dyDescent="0.2">
      <c r="A10101" s="8" t="s">
        <v>10124</v>
      </c>
      <c r="B10101" s="2" t="s">
        <v>12472</v>
      </c>
    </row>
    <row r="10102" spans="1:2" x14ac:dyDescent="0.2">
      <c r="A10102" s="8" t="s">
        <v>10125</v>
      </c>
      <c r="B10102" s="2" t="s">
        <v>12472</v>
      </c>
    </row>
    <row r="10103" spans="1:2" x14ac:dyDescent="0.2">
      <c r="A10103" s="8" t="s">
        <v>10126</v>
      </c>
      <c r="B10103" s="2" t="s">
        <v>12472</v>
      </c>
    </row>
    <row r="10104" spans="1:2" x14ac:dyDescent="0.2">
      <c r="A10104" s="8" t="s">
        <v>10127</v>
      </c>
      <c r="B10104" s="2" t="s">
        <v>12472</v>
      </c>
    </row>
    <row r="10105" spans="1:2" x14ac:dyDescent="0.2">
      <c r="A10105" s="8" t="s">
        <v>10128</v>
      </c>
      <c r="B10105" s="2" t="s">
        <v>12472</v>
      </c>
    </row>
    <row r="10106" spans="1:2" x14ac:dyDescent="0.2">
      <c r="A10106" s="8" t="s">
        <v>10129</v>
      </c>
      <c r="B10106" s="2" t="s">
        <v>12472</v>
      </c>
    </row>
    <row r="10107" spans="1:2" x14ac:dyDescent="0.2">
      <c r="A10107" s="8" t="s">
        <v>10130</v>
      </c>
      <c r="B10107" s="2" t="s">
        <v>12472</v>
      </c>
    </row>
    <row r="10108" spans="1:2" x14ac:dyDescent="0.2">
      <c r="A10108" s="8" t="s">
        <v>10131</v>
      </c>
      <c r="B10108" s="2" t="s">
        <v>12472</v>
      </c>
    </row>
    <row r="10109" spans="1:2" x14ac:dyDescent="0.2">
      <c r="A10109" s="8" t="s">
        <v>10132</v>
      </c>
      <c r="B10109" s="2" t="s">
        <v>12472</v>
      </c>
    </row>
    <row r="10110" spans="1:2" x14ac:dyDescent="0.2">
      <c r="A10110" s="8" t="s">
        <v>10133</v>
      </c>
      <c r="B10110" s="2" t="s">
        <v>12472</v>
      </c>
    </row>
    <row r="10111" spans="1:2" x14ac:dyDescent="0.2">
      <c r="A10111" s="8" t="s">
        <v>10134</v>
      </c>
      <c r="B10111" s="2" t="s">
        <v>12472</v>
      </c>
    </row>
    <row r="10112" spans="1:2" x14ac:dyDescent="0.2">
      <c r="A10112" s="8" t="s">
        <v>10135</v>
      </c>
      <c r="B10112" s="2" t="s">
        <v>12472</v>
      </c>
    </row>
    <row r="10113" spans="1:2" x14ac:dyDescent="0.2">
      <c r="A10113" s="8" t="s">
        <v>10136</v>
      </c>
      <c r="B10113" s="2" t="s">
        <v>12472</v>
      </c>
    </row>
    <row r="10114" spans="1:2" x14ac:dyDescent="0.2">
      <c r="A10114" s="8" t="s">
        <v>10137</v>
      </c>
      <c r="B10114" s="2" t="s">
        <v>12472</v>
      </c>
    </row>
    <row r="10115" spans="1:2" x14ac:dyDescent="0.2">
      <c r="A10115" s="8" t="s">
        <v>10138</v>
      </c>
      <c r="B10115" s="2" t="s">
        <v>12472</v>
      </c>
    </row>
    <row r="10116" spans="1:2" x14ac:dyDescent="0.2">
      <c r="A10116" s="8" t="s">
        <v>10139</v>
      </c>
      <c r="B10116" s="2" t="s">
        <v>12472</v>
      </c>
    </row>
    <row r="10117" spans="1:2" x14ac:dyDescent="0.2">
      <c r="A10117" s="8" t="s">
        <v>10140</v>
      </c>
      <c r="B10117" s="2" t="s">
        <v>12472</v>
      </c>
    </row>
    <row r="10118" spans="1:2" x14ac:dyDescent="0.2">
      <c r="A10118" s="8" t="s">
        <v>10141</v>
      </c>
      <c r="B10118" s="2" t="s">
        <v>12472</v>
      </c>
    </row>
    <row r="10119" spans="1:2" x14ac:dyDescent="0.2">
      <c r="A10119" s="8" t="s">
        <v>10142</v>
      </c>
      <c r="B10119" s="2" t="s">
        <v>12472</v>
      </c>
    </row>
    <row r="10120" spans="1:2" x14ac:dyDescent="0.2">
      <c r="A10120" s="8" t="s">
        <v>10143</v>
      </c>
      <c r="B10120" s="2" t="s">
        <v>12472</v>
      </c>
    </row>
    <row r="10121" spans="1:2" x14ac:dyDescent="0.2">
      <c r="A10121" s="8" t="s">
        <v>10144</v>
      </c>
      <c r="B10121" s="2" t="s">
        <v>12472</v>
      </c>
    </row>
    <row r="10122" spans="1:2" x14ac:dyDescent="0.2">
      <c r="A10122" s="8" t="s">
        <v>10145</v>
      </c>
      <c r="B10122" s="2" t="s">
        <v>12472</v>
      </c>
    </row>
    <row r="10123" spans="1:2" x14ac:dyDescent="0.2">
      <c r="A10123" s="8" t="s">
        <v>10146</v>
      </c>
      <c r="B10123" s="2" t="s">
        <v>12472</v>
      </c>
    </row>
    <row r="10124" spans="1:2" x14ac:dyDescent="0.2">
      <c r="A10124" s="8" t="s">
        <v>10147</v>
      </c>
      <c r="B10124" s="2" t="s">
        <v>12472</v>
      </c>
    </row>
    <row r="10125" spans="1:2" x14ac:dyDescent="0.2">
      <c r="A10125" s="8" t="s">
        <v>10148</v>
      </c>
      <c r="B10125" s="2" t="s">
        <v>12472</v>
      </c>
    </row>
    <row r="10126" spans="1:2" x14ac:dyDescent="0.2">
      <c r="A10126" s="8" t="s">
        <v>10149</v>
      </c>
      <c r="B10126" s="2" t="s">
        <v>12472</v>
      </c>
    </row>
    <row r="10127" spans="1:2" x14ac:dyDescent="0.2">
      <c r="A10127" s="8" t="s">
        <v>10150</v>
      </c>
      <c r="B10127" s="2" t="s">
        <v>12472</v>
      </c>
    </row>
    <row r="10128" spans="1:2" x14ac:dyDescent="0.2">
      <c r="A10128" s="8" t="s">
        <v>10151</v>
      </c>
      <c r="B10128" s="2" t="s">
        <v>12472</v>
      </c>
    </row>
    <row r="10129" spans="1:2" x14ac:dyDescent="0.2">
      <c r="A10129" s="8" t="s">
        <v>10152</v>
      </c>
      <c r="B10129" s="2" t="s">
        <v>12472</v>
      </c>
    </row>
    <row r="10130" spans="1:2" x14ac:dyDescent="0.2">
      <c r="A10130" s="8" t="s">
        <v>10153</v>
      </c>
      <c r="B10130" s="2" t="s">
        <v>12472</v>
      </c>
    </row>
    <row r="10131" spans="1:2" x14ac:dyDescent="0.2">
      <c r="A10131" s="8" t="s">
        <v>10154</v>
      </c>
      <c r="B10131" s="2" t="s">
        <v>12472</v>
      </c>
    </row>
    <row r="10132" spans="1:2" x14ac:dyDescent="0.2">
      <c r="A10132" s="8" t="s">
        <v>10155</v>
      </c>
      <c r="B10132" s="2" t="s">
        <v>12472</v>
      </c>
    </row>
    <row r="10133" spans="1:2" x14ac:dyDescent="0.2">
      <c r="A10133" s="8" t="s">
        <v>10156</v>
      </c>
      <c r="B10133" s="2" t="s">
        <v>12472</v>
      </c>
    </row>
    <row r="10134" spans="1:2" x14ac:dyDescent="0.2">
      <c r="A10134" s="8" t="s">
        <v>10157</v>
      </c>
      <c r="B10134" s="2" t="s">
        <v>12472</v>
      </c>
    </row>
    <row r="10135" spans="1:2" x14ac:dyDescent="0.2">
      <c r="A10135" s="8" t="s">
        <v>10158</v>
      </c>
      <c r="B10135" s="2" t="s">
        <v>12472</v>
      </c>
    </row>
    <row r="10136" spans="1:2" x14ac:dyDescent="0.2">
      <c r="A10136" s="8" t="s">
        <v>10159</v>
      </c>
      <c r="B10136" s="2" t="s">
        <v>12472</v>
      </c>
    </row>
    <row r="10137" spans="1:2" x14ac:dyDescent="0.2">
      <c r="A10137" s="8" t="s">
        <v>10160</v>
      </c>
      <c r="B10137" s="2" t="s">
        <v>12472</v>
      </c>
    </row>
    <row r="10138" spans="1:2" x14ac:dyDescent="0.2">
      <c r="A10138" s="8" t="s">
        <v>10161</v>
      </c>
      <c r="B10138" s="2" t="s">
        <v>12472</v>
      </c>
    </row>
    <row r="10139" spans="1:2" x14ac:dyDescent="0.2">
      <c r="A10139" s="8" t="s">
        <v>10162</v>
      </c>
      <c r="B10139" s="2" t="s">
        <v>12472</v>
      </c>
    </row>
    <row r="10140" spans="1:2" x14ac:dyDescent="0.2">
      <c r="A10140" s="8" t="s">
        <v>10163</v>
      </c>
      <c r="B10140" s="2" t="s">
        <v>12472</v>
      </c>
    </row>
    <row r="10141" spans="1:2" x14ac:dyDescent="0.2">
      <c r="A10141" s="8" t="s">
        <v>10164</v>
      </c>
      <c r="B10141" s="2" t="s">
        <v>12472</v>
      </c>
    </row>
    <row r="10142" spans="1:2" x14ac:dyDescent="0.2">
      <c r="A10142" s="8" t="s">
        <v>10165</v>
      </c>
      <c r="B10142" s="2" t="s">
        <v>12472</v>
      </c>
    </row>
    <row r="10143" spans="1:2" x14ac:dyDescent="0.2">
      <c r="A10143" s="8" t="s">
        <v>10166</v>
      </c>
      <c r="B10143" s="2" t="s">
        <v>12472</v>
      </c>
    </row>
    <row r="10144" spans="1:2" x14ac:dyDescent="0.2">
      <c r="A10144" s="8" t="s">
        <v>10167</v>
      </c>
      <c r="B10144" s="2" t="s">
        <v>12472</v>
      </c>
    </row>
    <row r="10145" spans="1:2" x14ac:dyDescent="0.2">
      <c r="A10145" s="8" t="s">
        <v>10168</v>
      </c>
      <c r="B10145" s="2" t="s">
        <v>12472</v>
      </c>
    </row>
    <row r="10146" spans="1:2" x14ac:dyDescent="0.2">
      <c r="A10146" s="8" t="s">
        <v>10169</v>
      </c>
      <c r="B10146" s="2" t="s">
        <v>12472</v>
      </c>
    </row>
    <row r="10147" spans="1:2" x14ac:dyDescent="0.2">
      <c r="A10147" s="8" t="s">
        <v>10170</v>
      </c>
      <c r="B10147" s="2" t="s">
        <v>12472</v>
      </c>
    </row>
    <row r="10148" spans="1:2" x14ac:dyDescent="0.2">
      <c r="A10148" s="8" t="s">
        <v>10171</v>
      </c>
      <c r="B10148" s="2" t="s">
        <v>12472</v>
      </c>
    </row>
    <row r="10149" spans="1:2" x14ac:dyDescent="0.2">
      <c r="A10149" s="8" t="s">
        <v>10172</v>
      </c>
      <c r="B10149" s="2" t="s">
        <v>12472</v>
      </c>
    </row>
    <row r="10150" spans="1:2" x14ac:dyDescent="0.2">
      <c r="A10150" s="8" t="s">
        <v>10173</v>
      </c>
      <c r="B10150" s="2" t="s">
        <v>12472</v>
      </c>
    </row>
    <row r="10151" spans="1:2" x14ac:dyDescent="0.2">
      <c r="A10151" s="8" t="s">
        <v>10174</v>
      </c>
      <c r="B10151" s="2" t="s">
        <v>12472</v>
      </c>
    </row>
    <row r="10152" spans="1:2" x14ac:dyDescent="0.2">
      <c r="A10152" s="8" t="s">
        <v>10175</v>
      </c>
      <c r="B10152" s="2" t="s">
        <v>12472</v>
      </c>
    </row>
    <row r="10153" spans="1:2" x14ac:dyDescent="0.2">
      <c r="A10153" s="8" t="s">
        <v>10176</v>
      </c>
      <c r="B10153" s="2" t="s">
        <v>12472</v>
      </c>
    </row>
    <row r="10154" spans="1:2" x14ac:dyDescent="0.2">
      <c r="A10154" s="8" t="s">
        <v>10177</v>
      </c>
      <c r="B10154" s="2" t="s">
        <v>12472</v>
      </c>
    </row>
    <row r="10155" spans="1:2" x14ac:dyDescent="0.2">
      <c r="A10155" s="8" t="s">
        <v>10178</v>
      </c>
      <c r="B10155" s="2" t="s">
        <v>12472</v>
      </c>
    </row>
    <row r="10156" spans="1:2" x14ac:dyDescent="0.2">
      <c r="A10156" s="8" t="s">
        <v>10179</v>
      </c>
      <c r="B10156" s="2" t="s">
        <v>12472</v>
      </c>
    </row>
    <row r="10157" spans="1:2" x14ac:dyDescent="0.2">
      <c r="A10157" s="8" t="s">
        <v>10180</v>
      </c>
      <c r="B10157" s="2" t="s">
        <v>12472</v>
      </c>
    </row>
    <row r="10158" spans="1:2" x14ac:dyDescent="0.2">
      <c r="A10158" s="8" t="s">
        <v>10181</v>
      </c>
      <c r="B10158" s="2" t="s">
        <v>12472</v>
      </c>
    </row>
    <row r="10159" spans="1:2" x14ac:dyDescent="0.2">
      <c r="A10159" s="8" t="s">
        <v>10182</v>
      </c>
      <c r="B10159" s="2" t="s">
        <v>12472</v>
      </c>
    </row>
    <row r="10160" spans="1:2" x14ac:dyDescent="0.2">
      <c r="A10160" s="8" t="s">
        <v>10183</v>
      </c>
      <c r="B10160" s="2" t="s">
        <v>12472</v>
      </c>
    </row>
    <row r="10161" spans="1:2" x14ac:dyDescent="0.2">
      <c r="A10161" s="8" t="s">
        <v>10184</v>
      </c>
      <c r="B10161" s="2" t="s">
        <v>12472</v>
      </c>
    </row>
    <row r="10162" spans="1:2" x14ac:dyDescent="0.2">
      <c r="A10162" s="8" t="s">
        <v>10185</v>
      </c>
      <c r="B10162" s="2" t="s">
        <v>12472</v>
      </c>
    </row>
    <row r="10163" spans="1:2" x14ac:dyDescent="0.2">
      <c r="A10163" s="8" t="s">
        <v>10186</v>
      </c>
      <c r="B10163" s="2" t="s">
        <v>12472</v>
      </c>
    </row>
    <row r="10164" spans="1:2" x14ac:dyDescent="0.2">
      <c r="A10164" s="8" t="s">
        <v>10187</v>
      </c>
      <c r="B10164" s="2" t="s">
        <v>12472</v>
      </c>
    </row>
    <row r="10165" spans="1:2" x14ac:dyDescent="0.2">
      <c r="A10165" s="8" t="s">
        <v>10188</v>
      </c>
      <c r="B10165" s="2" t="s">
        <v>12472</v>
      </c>
    </row>
    <row r="10166" spans="1:2" x14ac:dyDescent="0.2">
      <c r="A10166" s="8" t="s">
        <v>10189</v>
      </c>
      <c r="B10166" s="2" t="s">
        <v>12472</v>
      </c>
    </row>
    <row r="10167" spans="1:2" x14ac:dyDescent="0.2">
      <c r="A10167" s="8" t="s">
        <v>10190</v>
      </c>
      <c r="B10167" s="2" t="s">
        <v>12472</v>
      </c>
    </row>
    <row r="10168" spans="1:2" x14ac:dyDescent="0.2">
      <c r="A10168" s="8" t="s">
        <v>10191</v>
      </c>
      <c r="B10168" s="2" t="s">
        <v>12472</v>
      </c>
    </row>
    <row r="10169" spans="1:2" x14ac:dyDescent="0.2">
      <c r="A10169" s="8" t="s">
        <v>10192</v>
      </c>
      <c r="B10169" s="2" t="s">
        <v>12472</v>
      </c>
    </row>
    <row r="10170" spans="1:2" x14ac:dyDescent="0.2">
      <c r="A10170" s="8" t="s">
        <v>10193</v>
      </c>
      <c r="B10170" s="2" t="s">
        <v>12472</v>
      </c>
    </row>
    <row r="10171" spans="1:2" x14ac:dyDescent="0.2">
      <c r="A10171" s="8" t="s">
        <v>10194</v>
      </c>
      <c r="B10171" s="2" t="s">
        <v>12472</v>
      </c>
    </row>
    <row r="10172" spans="1:2" x14ac:dyDescent="0.2">
      <c r="A10172" s="8" t="s">
        <v>10195</v>
      </c>
      <c r="B10172" s="2" t="s">
        <v>12472</v>
      </c>
    </row>
    <row r="10173" spans="1:2" x14ac:dyDescent="0.2">
      <c r="A10173" s="8" t="s">
        <v>10196</v>
      </c>
      <c r="B10173" s="2" t="s">
        <v>12472</v>
      </c>
    </row>
    <row r="10174" spans="1:2" x14ac:dyDescent="0.2">
      <c r="A10174" s="8" t="s">
        <v>10197</v>
      </c>
      <c r="B10174" s="2" t="s">
        <v>12472</v>
      </c>
    </row>
    <row r="10175" spans="1:2" x14ac:dyDescent="0.2">
      <c r="A10175" s="8" t="s">
        <v>10198</v>
      </c>
      <c r="B10175" s="2" t="s">
        <v>12472</v>
      </c>
    </row>
    <row r="10176" spans="1:2" x14ac:dyDescent="0.2">
      <c r="A10176" s="8" t="s">
        <v>10199</v>
      </c>
      <c r="B10176" s="2" t="s">
        <v>12472</v>
      </c>
    </row>
    <row r="10177" spans="1:2" x14ac:dyDescent="0.2">
      <c r="A10177" s="8" t="s">
        <v>10200</v>
      </c>
      <c r="B10177" s="2" t="s">
        <v>12472</v>
      </c>
    </row>
    <row r="10178" spans="1:2" x14ac:dyDescent="0.2">
      <c r="A10178" s="8" t="s">
        <v>10201</v>
      </c>
      <c r="B10178" s="2" t="s">
        <v>12472</v>
      </c>
    </row>
    <row r="10179" spans="1:2" x14ac:dyDescent="0.2">
      <c r="A10179" s="8" t="s">
        <v>10202</v>
      </c>
      <c r="B10179" s="2" t="s">
        <v>12472</v>
      </c>
    </row>
    <row r="10180" spans="1:2" x14ac:dyDescent="0.2">
      <c r="A10180" s="8" t="s">
        <v>10203</v>
      </c>
      <c r="B10180" s="2" t="s">
        <v>12472</v>
      </c>
    </row>
    <row r="10181" spans="1:2" x14ac:dyDescent="0.2">
      <c r="A10181" s="8" t="s">
        <v>10204</v>
      </c>
      <c r="B10181" s="2" t="s">
        <v>12472</v>
      </c>
    </row>
    <row r="10182" spans="1:2" x14ac:dyDescent="0.2">
      <c r="A10182" s="8" t="s">
        <v>10205</v>
      </c>
      <c r="B10182" s="2" t="s">
        <v>12472</v>
      </c>
    </row>
    <row r="10183" spans="1:2" x14ac:dyDescent="0.2">
      <c r="A10183" s="8" t="s">
        <v>10206</v>
      </c>
      <c r="B10183" s="2" t="s">
        <v>12472</v>
      </c>
    </row>
    <row r="10184" spans="1:2" x14ac:dyDescent="0.2">
      <c r="A10184" s="8" t="s">
        <v>10207</v>
      </c>
      <c r="B10184" s="2" t="s">
        <v>12472</v>
      </c>
    </row>
    <row r="10185" spans="1:2" x14ac:dyDescent="0.2">
      <c r="A10185" s="8" t="s">
        <v>10208</v>
      </c>
      <c r="B10185" s="2" t="s">
        <v>12472</v>
      </c>
    </row>
    <row r="10186" spans="1:2" x14ac:dyDescent="0.2">
      <c r="A10186" s="8" t="s">
        <v>10209</v>
      </c>
      <c r="B10186" s="2" t="s">
        <v>12472</v>
      </c>
    </row>
    <row r="10187" spans="1:2" x14ac:dyDescent="0.2">
      <c r="A10187" s="8" t="s">
        <v>10210</v>
      </c>
      <c r="B10187" s="2" t="s">
        <v>12472</v>
      </c>
    </row>
    <row r="10188" spans="1:2" x14ac:dyDescent="0.2">
      <c r="A10188" s="8" t="s">
        <v>10211</v>
      </c>
      <c r="B10188" s="2" t="s">
        <v>12472</v>
      </c>
    </row>
    <row r="10189" spans="1:2" x14ac:dyDescent="0.2">
      <c r="A10189" s="8" t="s">
        <v>10212</v>
      </c>
      <c r="B10189" s="2" t="s">
        <v>12472</v>
      </c>
    </row>
    <row r="10190" spans="1:2" x14ac:dyDescent="0.2">
      <c r="A10190" s="8" t="s">
        <v>10213</v>
      </c>
      <c r="B10190" s="2" t="s">
        <v>12472</v>
      </c>
    </row>
    <row r="10191" spans="1:2" x14ac:dyDescent="0.2">
      <c r="A10191" s="8" t="s">
        <v>10214</v>
      </c>
      <c r="B10191" s="2" t="s">
        <v>12472</v>
      </c>
    </row>
    <row r="10192" spans="1:2" x14ac:dyDescent="0.2">
      <c r="A10192" s="8" t="s">
        <v>10215</v>
      </c>
      <c r="B10192" s="2" t="s">
        <v>12472</v>
      </c>
    </row>
    <row r="10193" spans="1:2" x14ac:dyDescent="0.2">
      <c r="A10193" s="8" t="s">
        <v>10216</v>
      </c>
      <c r="B10193" s="2" t="s">
        <v>12472</v>
      </c>
    </row>
    <row r="10194" spans="1:2" x14ac:dyDescent="0.2">
      <c r="A10194" s="8" t="s">
        <v>10217</v>
      </c>
      <c r="B10194" s="2" t="s">
        <v>12472</v>
      </c>
    </row>
    <row r="10195" spans="1:2" x14ac:dyDescent="0.2">
      <c r="A10195" s="8" t="s">
        <v>10218</v>
      </c>
      <c r="B10195" s="2" t="s">
        <v>12472</v>
      </c>
    </row>
    <row r="10196" spans="1:2" x14ac:dyDescent="0.2">
      <c r="A10196" s="8" t="s">
        <v>10219</v>
      </c>
      <c r="B10196" s="2" t="s">
        <v>12472</v>
      </c>
    </row>
    <row r="10197" spans="1:2" x14ac:dyDescent="0.2">
      <c r="A10197" s="8" t="s">
        <v>10220</v>
      </c>
      <c r="B10197" s="2" t="s">
        <v>12472</v>
      </c>
    </row>
    <row r="10198" spans="1:2" x14ac:dyDescent="0.2">
      <c r="A10198" s="8" t="s">
        <v>10221</v>
      </c>
      <c r="B10198" s="2" t="s">
        <v>12472</v>
      </c>
    </row>
    <row r="10199" spans="1:2" x14ac:dyDescent="0.2">
      <c r="A10199" s="8" t="s">
        <v>10222</v>
      </c>
      <c r="B10199" s="2" t="s">
        <v>12472</v>
      </c>
    </row>
    <row r="10200" spans="1:2" x14ac:dyDescent="0.2">
      <c r="A10200" s="8" t="s">
        <v>10223</v>
      </c>
      <c r="B10200" s="2" t="s">
        <v>12472</v>
      </c>
    </row>
    <row r="10201" spans="1:2" x14ac:dyDescent="0.2">
      <c r="A10201" s="8" t="s">
        <v>10224</v>
      </c>
      <c r="B10201" s="2" t="s">
        <v>12472</v>
      </c>
    </row>
    <row r="10202" spans="1:2" x14ac:dyDescent="0.2">
      <c r="A10202" s="8" t="s">
        <v>10225</v>
      </c>
      <c r="B10202" s="2" t="s">
        <v>12472</v>
      </c>
    </row>
    <row r="10203" spans="1:2" x14ac:dyDescent="0.2">
      <c r="A10203" s="8" t="s">
        <v>10226</v>
      </c>
      <c r="B10203" s="2" t="s">
        <v>12472</v>
      </c>
    </row>
    <row r="10204" spans="1:2" x14ac:dyDescent="0.2">
      <c r="A10204" s="8" t="s">
        <v>10227</v>
      </c>
      <c r="B10204" s="2" t="s">
        <v>12472</v>
      </c>
    </row>
    <row r="10205" spans="1:2" x14ac:dyDescent="0.2">
      <c r="A10205" s="8" t="s">
        <v>10228</v>
      </c>
      <c r="B10205" s="2" t="s">
        <v>12472</v>
      </c>
    </row>
    <row r="10206" spans="1:2" x14ac:dyDescent="0.2">
      <c r="A10206" s="8" t="s">
        <v>10229</v>
      </c>
      <c r="B10206" s="2" t="s">
        <v>12472</v>
      </c>
    </row>
    <row r="10207" spans="1:2" x14ac:dyDescent="0.2">
      <c r="A10207" s="8" t="s">
        <v>10230</v>
      </c>
      <c r="B10207" s="2" t="s">
        <v>12472</v>
      </c>
    </row>
    <row r="10208" spans="1:2" x14ac:dyDescent="0.2">
      <c r="A10208" s="8" t="s">
        <v>10231</v>
      </c>
      <c r="B10208" s="2" t="s">
        <v>12472</v>
      </c>
    </row>
    <row r="10209" spans="1:2" x14ac:dyDescent="0.2">
      <c r="A10209" s="8" t="s">
        <v>10232</v>
      </c>
      <c r="B10209" s="2" t="s">
        <v>12472</v>
      </c>
    </row>
    <row r="10210" spans="1:2" x14ac:dyDescent="0.2">
      <c r="A10210" s="8" t="s">
        <v>10233</v>
      </c>
      <c r="B10210" s="2" t="s">
        <v>12472</v>
      </c>
    </row>
    <row r="10211" spans="1:2" x14ac:dyDescent="0.2">
      <c r="A10211" s="8" t="s">
        <v>10234</v>
      </c>
      <c r="B10211" s="2" t="s">
        <v>12472</v>
      </c>
    </row>
    <row r="10212" spans="1:2" x14ac:dyDescent="0.2">
      <c r="A10212" s="8" t="s">
        <v>10235</v>
      </c>
      <c r="B10212" s="2" t="s">
        <v>12472</v>
      </c>
    </row>
    <row r="10213" spans="1:2" x14ac:dyDescent="0.2">
      <c r="A10213" s="8" t="s">
        <v>10236</v>
      </c>
      <c r="B10213" s="2" t="s">
        <v>12472</v>
      </c>
    </row>
    <row r="10214" spans="1:2" x14ac:dyDescent="0.2">
      <c r="A10214" s="8" t="s">
        <v>10237</v>
      </c>
      <c r="B10214" s="2" t="s">
        <v>12472</v>
      </c>
    </row>
    <row r="10215" spans="1:2" x14ac:dyDescent="0.2">
      <c r="A10215" s="8" t="s">
        <v>10238</v>
      </c>
      <c r="B10215" s="2" t="s">
        <v>12472</v>
      </c>
    </row>
    <row r="10216" spans="1:2" x14ac:dyDescent="0.2">
      <c r="A10216" s="8" t="s">
        <v>10239</v>
      </c>
      <c r="B10216" s="2" t="s">
        <v>12472</v>
      </c>
    </row>
    <row r="10217" spans="1:2" x14ac:dyDescent="0.2">
      <c r="A10217" s="8" t="s">
        <v>10240</v>
      </c>
      <c r="B10217" s="2" t="s">
        <v>12472</v>
      </c>
    </row>
    <row r="10218" spans="1:2" x14ac:dyDescent="0.2">
      <c r="A10218" s="8" t="s">
        <v>10241</v>
      </c>
      <c r="B10218" s="2" t="s">
        <v>12472</v>
      </c>
    </row>
    <row r="10219" spans="1:2" x14ac:dyDescent="0.2">
      <c r="A10219" s="8" t="s">
        <v>10242</v>
      </c>
      <c r="B10219" s="2" t="s">
        <v>12472</v>
      </c>
    </row>
    <row r="10220" spans="1:2" x14ac:dyDescent="0.2">
      <c r="A10220" s="8" t="s">
        <v>10243</v>
      </c>
      <c r="B10220" s="2" t="s">
        <v>12472</v>
      </c>
    </row>
    <row r="10221" spans="1:2" x14ac:dyDescent="0.2">
      <c r="A10221" s="8" t="s">
        <v>10244</v>
      </c>
      <c r="B10221" s="2" t="s">
        <v>12472</v>
      </c>
    </row>
    <row r="10222" spans="1:2" x14ac:dyDescent="0.2">
      <c r="A10222" s="8" t="s">
        <v>10245</v>
      </c>
      <c r="B10222" s="2" t="s">
        <v>12472</v>
      </c>
    </row>
    <row r="10223" spans="1:2" x14ac:dyDescent="0.2">
      <c r="A10223" s="8" t="s">
        <v>10246</v>
      </c>
      <c r="B10223" s="2" t="s">
        <v>12472</v>
      </c>
    </row>
    <row r="10224" spans="1:2" x14ac:dyDescent="0.2">
      <c r="A10224" s="8" t="s">
        <v>10247</v>
      </c>
      <c r="B10224" s="2" t="s">
        <v>12472</v>
      </c>
    </row>
    <row r="10225" spans="1:2" x14ac:dyDescent="0.2">
      <c r="A10225" s="8" t="s">
        <v>10248</v>
      </c>
      <c r="B10225" s="2" t="s">
        <v>12472</v>
      </c>
    </row>
    <row r="10226" spans="1:2" x14ac:dyDescent="0.2">
      <c r="A10226" s="8" t="s">
        <v>10249</v>
      </c>
      <c r="B10226" s="2" t="s">
        <v>12472</v>
      </c>
    </row>
    <row r="10227" spans="1:2" x14ac:dyDescent="0.2">
      <c r="A10227" s="8" t="s">
        <v>10250</v>
      </c>
      <c r="B10227" s="2" t="s">
        <v>12472</v>
      </c>
    </row>
    <row r="10228" spans="1:2" x14ac:dyDescent="0.2">
      <c r="A10228" s="8" t="s">
        <v>10251</v>
      </c>
      <c r="B10228" s="2" t="s">
        <v>12472</v>
      </c>
    </row>
    <row r="10229" spans="1:2" x14ac:dyDescent="0.2">
      <c r="A10229" s="8" t="s">
        <v>10252</v>
      </c>
      <c r="B10229" s="2" t="s">
        <v>12472</v>
      </c>
    </row>
    <row r="10230" spans="1:2" x14ac:dyDescent="0.2">
      <c r="A10230" s="8" t="s">
        <v>10253</v>
      </c>
      <c r="B10230" s="2" t="s">
        <v>12472</v>
      </c>
    </row>
    <row r="10231" spans="1:2" x14ac:dyDescent="0.2">
      <c r="A10231" s="8" t="s">
        <v>10254</v>
      </c>
      <c r="B10231" s="2" t="s">
        <v>12472</v>
      </c>
    </row>
    <row r="10232" spans="1:2" x14ac:dyDescent="0.2">
      <c r="A10232" s="8" t="s">
        <v>10255</v>
      </c>
      <c r="B10232" s="2" t="s">
        <v>12472</v>
      </c>
    </row>
    <row r="10233" spans="1:2" x14ac:dyDescent="0.2">
      <c r="A10233" s="8" t="s">
        <v>10256</v>
      </c>
      <c r="B10233" s="2" t="s">
        <v>12472</v>
      </c>
    </row>
    <row r="10234" spans="1:2" x14ac:dyDescent="0.2">
      <c r="A10234" s="8" t="s">
        <v>10257</v>
      </c>
      <c r="B10234" s="2" t="s">
        <v>12472</v>
      </c>
    </row>
    <row r="10235" spans="1:2" x14ac:dyDescent="0.2">
      <c r="A10235" s="8" t="s">
        <v>10258</v>
      </c>
      <c r="B10235" s="2" t="s">
        <v>12472</v>
      </c>
    </row>
    <row r="10236" spans="1:2" x14ac:dyDescent="0.2">
      <c r="A10236" s="8" t="s">
        <v>10259</v>
      </c>
      <c r="B10236" s="2" t="s">
        <v>12472</v>
      </c>
    </row>
    <row r="10237" spans="1:2" x14ac:dyDescent="0.2">
      <c r="A10237" s="8" t="s">
        <v>10260</v>
      </c>
      <c r="B10237" s="2" t="s">
        <v>12472</v>
      </c>
    </row>
    <row r="10238" spans="1:2" x14ac:dyDescent="0.2">
      <c r="A10238" s="8" t="s">
        <v>10261</v>
      </c>
      <c r="B10238" s="2" t="s">
        <v>12472</v>
      </c>
    </row>
    <row r="10239" spans="1:2" x14ac:dyDescent="0.2">
      <c r="A10239" s="8" t="s">
        <v>10262</v>
      </c>
      <c r="B10239" s="2" t="s">
        <v>12472</v>
      </c>
    </row>
    <row r="10240" spans="1:2" x14ac:dyDescent="0.2">
      <c r="A10240" s="8" t="s">
        <v>10263</v>
      </c>
      <c r="B10240" s="2" t="s">
        <v>12472</v>
      </c>
    </row>
    <row r="10241" spans="1:2" x14ac:dyDescent="0.2">
      <c r="A10241" s="8" t="s">
        <v>10264</v>
      </c>
      <c r="B10241" s="2" t="s">
        <v>12472</v>
      </c>
    </row>
    <row r="10242" spans="1:2" x14ac:dyDescent="0.2">
      <c r="A10242" s="8" t="s">
        <v>10265</v>
      </c>
      <c r="B10242" s="2" t="s">
        <v>12472</v>
      </c>
    </row>
    <row r="10243" spans="1:2" x14ac:dyDescent="0.2">
      <c r="A10243" s="8" t="s">
        <v>10266</v>
      </c>
      <c r="B10243" s="2" t="s">
        <v>12472</v>
      </c>
    </row>
    <row r="10244" spans="1:2" x14ac:dyDescent="0.2">
      <c r="A10244" s="8" t="s">
        <v>10267</v>
      </c>
      <c r="B10244" s="2" t="s">
        <v>12472</v>
      </c>
    </row>
    <row r="10245" spans="1:2" x14ac:dyDescent="0.2">
      <c r="A10245" s="8" t="s">
        <v>10268</v>
      </c>
      <c r="B10245" s="2" t="s">
        <v>12472</v>
      </c>
    </row>
    <row r="10246" spans="1:2" x14ac:dyDescent="0.2">
      <c r="A10246" s="8" t="s">
        <v>10269</v>
      </c>
      <c r="B10246" s="2" t="s">
        <v>12472</v>
      </c>
    </row>
    <row r="10247" spans="1:2" x14ac:dyDescent="0.2">
      <c r="A10247" s="8" t="s">
        <v>10270</v>
      </c>
      <c r="B10247" s="2" t="s">
        <v>12472</v>
      </c>
    </row>
    <row r="10248" spans="1:2" x14ac:dyDescent="0.2">
      <c r="A10248" s="8" t="s">
        <v>10271</v>
      </c>
      <c r="B10248" s="2" t="s">
        <v>12472</v>
      </c>
    </row>
    <row r="10249" spans="1:2" x14ac:dyDescent="0.2">
      <c r="A10249" s="8" t="s">
        <v>10272</v>
      </c>
      <c r="B10249" s="2" t="s">
        <v>12472</v>
      </c>
    </row>
    <row r="10250" spans="1:2" x14ac:dyDescent="0.2">
      <c r="A10250" s="8" t="s">
        <v>10273</v>
      </c>
      <c r="B10250" s="2" t="s">
        <v>12472</v>
      </c>
    </row>
    <row r="10251" spans="1:2" x14ac:dyDescent="0.2">
      <c r="A10251" s="8" t="s">
        <v>10274</v>
      </c>
      <c r="B10251" s="2" t="s">
        <v>12472</v>
      </c>
    </row>
    <row r="10252" spans="1:2" x14ac:dyDescent="0.2">
      <c r="A10252" s="8" t="s">
        <v>10275</v>
      </c>
      <c r="B10252" s="2" t="s">
        <v>12472</v>
      </c>
    </row>
    <row r="10253" spans="1:2" x14ac:dyDescent="0.2">
      <c r="A10253" s="8" t="s">
        <v>10276</v>
      </c>
      <c r="B10253" s="2" t="s">
        <v>12472</v>
      </c>
    </row>
    <row r="10254" spans="1:2" x14ac:dyDescent="0.2">
      <c r="A10254" s="8" t="s">
        <v>10277</v>
      </c>
      <c r="B10254" s="2" t="s">
        <v>12472</v>
      </c>
    </row>
    <row r="10255" spans="1:2" x14ac:dyDescent="0.2">
      <c r="A10255" s="8" t="s">
        <v>10278</v>
      </c>
      <c r="B10255" s="2" t="s">
        <v>12472</v>
      </c>
    </row>
    <row r="10256" spans="1:2" x14ac:dyDescent="0.2">
      <c r="A10256" s="8" t="s">
        <v>10279</v>
      </c>
      <c r="B10256" s="2" t="s">
        <v>12472</v>
      </c>
    </row>
    <row r="10257" spans="1:2" x14ac:dyDescent="0.2">
      <c r="A10257" s="8" t="s">
        <v>10280</v>
      </c>
      <c r="B10257" s="2" t="s">
        <v>12472</v>
      </c>
    </row>
    <row r="10258" spans="1:2" x14ac:dyDescent="0.2">
      <c r="A10258" s="8" t="s">
        <v>10281</v>
      </c>
      <c r="B10258" s="2" t="s">
        <v>12472</v>
      </c>
    </row>
    <row r="10259" spans="1:2" x14ac:dyDescent="0.2">
      <c r="A10259" s="8" t="s">
        <v>10282</v>
      </c>
      <c r="B10259" s="2" t="s">
        <v>12472</v>
      </c>
    </row>
    <row r="10260" spans="1:2" x14ac:dyDescent="0.2">
      <c r="A10260" s="8" t="s">
        <v>10283</v>
      </c>
      <c r="B10260" s="2" t="s">
        <v>12472</v>
      </c>
    </row>
    <row r="10261" spans="1:2" x14ac:dyDescent="0.2">
      <c r="A10261" s="8" t="s">
        <v>10284</v>
      </c>
      <c r="B10261" s="2" t="s">
        <v>12472</v>
      </c>
    </row>
    <row r="10262" spans="1:2" x14ac:dyDescent="0.2">
      <c r="A10262" s="8" t="s">
        <v>10285</v>
      </c>
      <c r="B10262" s="2" t="s">
        <v>12472</v>
      </c>
    </row>
    <row r="10263" spans="1:2" x14ac:dyDescent="0.2">
      <c r="A10263" s="8" t="s">
        <v>10286</v>
      </c>
      <c r="B10263" s="2" t="s">
        <v>12472</v>
      </c>
    </row>
    <row r="10264" spans="1:2" x14ac:dyDescent="0.2">
      <c r="A10264" s="8" t="s">
        <v>10287</v>
      </c>
      <c r="B10264" s="2" t="s">
        <v>12472</v>
      </c>
    </row>
    <row r="10265" spans="1:2" x14ac:dyDescent="0.2">
      <c r="A10265" s="8" t="s">
        <v>10288</v>
      </c>
      <c r="B10265" s="2" t="s">
        <v>12472</v>
      </c>
    </row>
    <row r="10266" spans="1:2" x14ac:dyDescent="0.2">
      <c r="A10266" s="8" t="s">
        <v>10289</v>
      </c>
      <c r="B10266" s="2" t="s">
        <v>12472</v>
      </c>
    </row>
    <row r="10267" spans="1:2" x14ac:dyDescent="0.2">
      <c r="A10267" s="8" t="s">
        <v>10290</v>
      </c>
      <c r="B10267" s="2" t="s">
        <v>12472</v>
      </c>
    </row>
    <row r="10268" spans="1:2" x14ac:dyDescent="0.2">
      <c r="A10268" s="8" t="s">
        <v>10291</v>
      </c>
      <c r="B10268" s="2" t="s">
        <v>12472</v>
      </c>
    </row>
    <row r="10269" spans="1:2" x14ac:dyDescent="0.2">
      <c r="A10269" s="8" t="s">
        <v>10292</v>
      </c>
      <c r="B10269" s="2" t="s">
        <v>12472</v>
      </c>
    </row>
    <row r="10270" spans="1:2" x14ac:dyDescent="0.2">
      <c r="A10270" s="8" t="s">
        <v>10293</v>
      </c>
      <c r="B10270" s="2" t="s">
        <v>12472</v>
      </c>
    </row>
    <row r="10271" spans="1:2" x14ac:dyDescent="0.2">
      <c r="A10271" s="8" t="s">
        <v>10294</v>
      </c>
      <c r="B10271" s="2" t="s">
        <v>12472</v>
      </c>
    </row>
    <row r="10272" spans="1:2" x14ac:dyDescent="0.2">
      <c r="A10272" s="8" t="s">
        <v>10295</v>
      </c>
      <c r="B10272" s="2" t="s">
        <v>12472</v>
      </c>
    </row>
    <row r="10273" spans="1:2" x14ac:dyDescent="0.2">
      <c r="A10273" s="8" t="s">
        <v>10296</v>
      </c>
      <c r="B10273" s="2" t="s">
        <v>12472</v>
      </c>
    </row>
    <row r="10274" spans="1:2" x14ac:dyDescent="0.2">
      <c r="A10274" s="8" t="s">
        <v>10297</v>
      </c>
      <c r="B10274" s="2" t="s">
        <v>12472</v>
      </c>
    </row>
    <row r="10275" spans="1:2" x14ac:dyDescent="0.2">
      <c r="A10275" s="8" t="s">
        <v>10298</v>
      </c>
      <c r="B10275" s="2" t="s">
        <v>12472</v>
      </c>
    </row>
    <row r="10276" spans="1:2" x14ac:dyDescent="0.2">
      <c r="A10276" s="8" t="s">
        <v>10299</v>
      </c>
      <c r="B10276" s="2" t="s">
        <v>12472</v>
      </c>
    </row>
    <row r="10277" spans="1:2" x14ac:dyDescent="0.2">
      <c r="A10277" s="8" t="s">
        <v>10300</v>
      </c>
      <c r="B10277" s="2" t="s">
        <v>12472</v>
      </c>
    </row>
    <row r="10278" spans="1:2" x14ac:dyDescent="0.2">
      <c r="A10278" s="8" t="s">
        <v>10301</v>
      </c>
      <c r="B10278" s="2" t="s">
        <v>12472</v>
      </c>
    </row>
    <row r="10279" spans="1:2" x14ac:dyDescent="0.2">
      <c r="A10279" s="8" t="s">
        <v>10302</v>
      </c>
      <c r="B10279" s="2" t="s">
        <v>12472</v>
      </c>
    </row>
    <row r="10280" spans="1:2" x14ac:dyDescent="0.2">
      <c r="A10280" s="8" t="s">
        <v>10303</v>
      </c>
      <c r="B10280" s="2" t="s">
        <v>12472</v>
      </c>
    </row>
    <row r="10281" spans="1:2" x14ac:dyDescent="0.2">
      <c r="A10281" s="8" t="s">
        <v>10304</v>
      </c>
      <c r="B10281" s="2" t="s">
        <v>12472</v>
      </c>
    </row>
    <row r="10282" spans="1:2" x14ac:dyDescent="0.2">
      <c r="A10282" s="8" t="s">
        <v>10305</v>
      </c>
      <c r="B10282" s="2" t="s">
        <v>12472</v>
      </c>
    </row>
    <row r="10283" spans="1:2" x14ac:dyDescent="0.2">
      <c r="A10283" s="8" t="s">
        <v>10306</v>
      </c>
      <c r="B10283" s="2" t="s">
        <v>12472</v>
      </c>
    </row>
    <row r="10284" spans="1:2" x14ac:dyDescent="0.2">
      <c r="A10284" s="8" t="s">
        <v>10307</v>
      </c>
      <c r="B10284" s="2" t="s">
        <v>12472</v>
      </c>
    </row>
    <row r="10285" spans="1:2" x14ac:dyDescent="0.2">
      <c r="A10285" s="8" t="s">
        <v>10308</v>
      </c>
      <c r="B10285" s="2" t="s">
        <v>12472</v>
      </c>
    </row>
    <row r="10286" spans="1:2" x14ac:dyDescent="0.2">
      <c r="A10286" s="8" t="s">
        <v>10309</v>
      </c>
      <c r="B10286" s="2" t="s">
        <v>12472</v>
      </c>
    </row>
    <row r="10287" spans="1:2" x14ac:dyDescent="0.2">
      <c r="A10287" s="8" t="s">
        <v>10310</v>
      </c>
      <c r="B10287" s="2" t="s">
        <v>12472</v>
      </c>
    </row>
    <row r="10288" spans="1:2" x14ac:dyDescent="0.2">
      <c r="A10288" s="8" t="s">
        <v>10311</v>
      </c>
      <c r="B10288" s="2" t="s">
        <v>12472</v>
      </c>
    </row>
    <row r="10289" spans="1:2" x14ac:dyDescent="0.2">
      <c r="A10289" s="8" t="s">
        <v>10312</v>
      </c>
      <c r="B10289" s="2" t="s">
        <v>12472</v>
      </c>
    </row>
    <row r="10290" spans="1:2" x14ac:dyDescent="0.2">
      <c r="A10290" s="8" t="s">
        <v>10313</v>
      </c>
      <c r="B10290" s="2" t="s">
        <v>12472</v>
      </c>
    </row>
    <row r="10291" spans="1:2" x14ac:dyDescent="0.2">
      <c r="A10291" s="8" t="s">
        <v>10314</v>
      </c>
      <c r="B10291" s="2" t="s">
        <v>12472</v>
      </c>
    </row>
    <row r="10292" spans="1:2" x14ac:dyDescent="0.2">
      <c r="A10292" s="8" t="s">
        <v>10315</v>
      </c>
      <c r="B10292" s="2" t="s">
        <v>12472</v>
      </c>
    </row>
    <row r="10293" spans="1:2" x14ac:dyDescent="0.2">
      <c r="A10293" s="8" t="s">
        <v>10316</v>
      </c>
      <c r="B10293" s="2" t="s">
        <v>12472</v>
      </c>
    </row>
    <row r="10294" spans="1:2" x14ac:dyDescent="0.2">
      <c r="A10294" s="8" t="s">
        <v>10317</v>
      </c>
      <c r="B10294" s="2" t="s">
        <v>12472</v>
      </c>
    </row>
    <row r="10295" spans="1:2" x14ac:dyDescent="0.2">
      <c r="A10295" s="8" t="s">
        <v>10318</v>
      </c>
      <c r="B10295" s="2" t="s">
        <v>12472</v>
      </c>
    </row>
    <row r="10296" spans="1:2" x14ac:dyDescent="0.2">
      <c r="A10296" s="8" t="s">
        <v>10319</v>
      </c>
      <c r="B10296" s="2" t="s">
        <v>12472</v>
      </c>
    </row>
    <row r="10297" spans="1:2" x14ac:dyDescent="0.2">
      <c r="A10297" s="8" t="s">
        <v>10320</v>
      </c>
      <c r="B10297" s="2" t="s">
        <v>12472</v>
      </c>
    </row>
    <row r="10298" spans="1:2" x14ac:dyDescent="0.2">
      <c r="A10298" s="8" t="s">
        <v>10321</v>
      </c>
      <c r="B10298" s="2" t="s">
        <v>12472</v>
      </c>
    </row>
    <row r="10299" spans="1:2" x14ac:dyDescent="0.2">
      <c r="A10299" s="8" t="s">
        <v>10322</v>
      </c>
      <c r="B10299" s="2" t="s">
        <v>12472</v>
      </c>
    </row>
    <row r="10300" spans="1:2" x14ac:dyDescent="0.2">
      <c r="A10300" s="8" t="s">
        <v>10323</v>
      </c>
      <c r="B10300" s="2" t="s">
        <v>12472</v>
      </c>
    </row>
    <row r="10301" spans="1:2" x14ac:dyDescent="0.2">
      <c r="A10301" s="8" t="s">
        <v>10324</v>
      </c>
      <c r="B10301" s="2" t="s">
        <v>12472</v>
      </c>
    </row>
    <row r="10302" spans="1:2" x14ac:dyDescent="0.2">
      <c r="A10302" s="8" t="s">
        <v>10325</v>
      </c>
      <c r="B10302" s="2" t="s">
        <v>12472</v>
      </c>
    </row>
    <row r="10303" spans="1:2" x14ac:dyDescent="0.2">
      <c r="A10303" s="8" t="s">
        <v>10326</v>
      </c>
      <c r="B10303" s="2" t="s">
        <v>12472</v>
      </c>
    </row>
    <row r="10304" spans="1:2" x14ac:dyDescent="0.2">
      <c r="A10304" s="8" t="s">
        <v>10327</v>
      </c>
      <c r="B10304" s="2" t="s">
        <v>12472</v>
      </c>
    </row>
    <row r="10305" spans="1:2" x14ac:dyDescent="0.2">
      <c r="A10305" s="8" t="s">
        <v>10328</v>
      </c>
      <c r="B10305" s="2" t="s">
        <v>12472</v>
      </c>
    </row>
    <row r="10306" spans="1:2" x14ac:dyDescent="0.2">
      <c r="A10306" s="8" t="s">
        <v>10329</v>
      </c>
      <c r="B10306" s="2" t="s">
        <v>12472</v>
      </c>
    </row>
    <row r="10307" spans="1:2" x14ac:dyDescent="0.2">
      <c r="A10307" s="8" t="s">
        <v>10330</v>
      </c>
      <c r="B10307" s="2" t="s">
        <v>12472</v>
      </c>
    </row>
    <row r="10308" spans="1:2" x14ac:dyDescent="0.2">
      <c r="A10308" s="8" t="s">
        <v>10331</v>
      </c>
      <c r="B10308" s="2" t="s">
        <v>12472</v>
      </c>
    </row>
    <row r="10309" spans="1:2" x14ac:dyDescent="0.2">
      <c r="A10309" s="8" t="s">
        <v>10332</v>
      </c>
      <c r="B10309" s="2" t="s">
        <v>12472</v>
      </c>
    </row>
    <row r="10310" spans="1:2" x14ac:dyDescent="0.2">
      <c r="A10310" s="8" t="s">
        <v>10333</v>
      </c>
      <c r="B10310" s="2" t="s">
        <v>12472</v>
      </c>
    </row>
    <row r="10311" spans="1:2" x14ac:dyDescent="0.2">
      <c r="A10311" s="8" t="s">
        <v>10334</v>
      </c>
      <c r="B10311" s="2" t="s">
        <v>12472</v>
      </c>
    </row>
    <row r="10312" spans="1:2" x14ac:dyDescent="0.2">
      <c r="A10312" s="8" t="s">
        <v>10335</v>
      </c>
      <c r="B10312" s="2" t="s">
        <v>12472</v>
      </c>
    </row>
    <row r="10313" spans="1:2" x14ac:dyDescent="0.2">
      <c r="A10313" s="8" t="s">
        <v>10336</v>
      </c>
      <c r="B10313" s="2" t="s">
        <v>12472</v>
      </c>
    </row>
    <row r="10314" spans="1:2" x14ac:dyDescent="0.2">
      <c r="A10314" s="8" t="s">
        <v>10337</v>
      </c>
      <c r="B10314" s="2" t="s">
        <v>12472</v>
      </c>
    </row>
    <row r="10315" spans="1:2" x14ac:dyDescent="0.2">
      <c r="A10315" s="8" t="s">
        <v>10338</v>
      </c>
      <c r="B10315" s="2" t="s">
        <v>12472</v>
      </c>
    </row>
    <row r="10316" spans="1:2" x14ac:dyDescent="0.2">
      <c r="A10316" s="8" t="s">
        <v>10339</v>
      </c>
      <c r="B10316" s="2" t="s">
        <v>12472</v>
      </c>
    </row>
    <row r="10317" spans="1:2" x14ac:dyDescent="0.2">
      <c r="A10317" s="8" t="s">
        <v>10340</v>
      </c>
      <c r="B10317" s="2" t="s">
        <v>12472</v>
      </c>
    </row>
    <row r="10318" spans="1:2" x14ac:dyDescent="0.2">
      <c r="A10318" s="8" t="s">
        <v>10341</v>
      </c>
      <c r="B10318" s="2" t="s">
        <v>12472</v>
      </c>
    </row>
    <row r="10319" spans="1:2" x14ac:dyDescent="0.2">
      <c r="A10319" s="8" t="s">
        <v>10342</v>
      </c>
      <c r="B10319" s="2" t="s">
        <v>12472</v>
      </c>
    </row>
    <row r="10320" spans="1:2" x14ac:dyDescent="0.2">
      <c r="A10320" s="8" t="s">
        <v>10343</v>
      </c>
      <c r="B10320" s="2" t="s">
        <v>12472</v>
      </c>
    </row>
    <row r="10321" spans="1:2" x14ac:dyDescent="0.2">
      <c r="A10321" s="8" t="s">
        <v>10344</v>
      </c>
      <c r="B10321" s="2" t="s">
        <v>12472</v>
      </c>
    </row>
    <row r="10322" spans="1:2" x14ac:dyDescent="0.2">
      <c r="A10322" s="8" t="s">
        <v>10345</v>
      </c>
      <c r="B10322" s="2" t="s">
        <v>12472</v>
      </c>
    </row>
    <row r="10323" spans="1:2" x14ac:dyDescent="0.2">
      <c r="A10323" s="8" t="s">
        <v>10346</v>
      </c>
      <c r="B10323" s="2" t="s">
        <v>12472</v>
      </c>
    </row>
    <row r="10324" spans="1:2" x14ac:dyDescent="0.2">
      <c r="A10324" s="8" t="s">
        <v>10347</v>
      </c>
      <c r="B10324" s="2" t="s">
        <v>12472</v>
      </c>
    </row>
    <row r="10325" spans="1:2" x14ac:dyDescent="0.2">
      <c r="A10325" s="8" t="s">
        <v>10348</v>
      </c>
      <c r="B10325" s="2" t="s">
        <v>12472</v>
      </c>
    </row>
    <row r="10326" spans="1:2" x14ac:dyDescent="0.2">
      <c r="A10326" s="8" t="s">
        <v>10349</v>
      </c>
      <c r="B10326" s="2" t="s">
        <v>12472</v>
      </c>
    </row>
    <row r="10327" spans="1:2" x14ac:dyDescent="0.2">
      <c r="A10327" s="8" t="s">
        <v>10350</v>
      </c>
      <c r="B10327" s="2" t="s">
        <v>12472</v>
      </c>
    </row>
    <row r="10328" spans="1:2" x14ac:dyDescent="0.2">
      <c r="A10328" s="8" t="s">
        <v>10351</v>
      </c>
      <c r="B10328" s="2" t="s">
        <v>12472</v>
      </c>
    </row>
    <row r="10329" spans="1:2" x14ac:dyDescent="0.2">
      <c r="A10329" s="8" t="s">
        <v>10352</v>
      </c>
      <c r="B10329" s="2" t="s">
        <v>12472</v>
      </c>
    </row>
    <row r="10330" spans="1:2" x14ac:dyDescent="0.2">
      <c r="A10330" s="8" t="s">
        <v>10353</v>
      </c>
      <c r="B10330" s="2" t="s">
        <v>12472</v>
      </c>
    </row>
    <row r="10331" spans="1:2" x14ac:dyDescent="0.2">
      <c r="A10331" s="8" t="s">
        <v>10354</v>
      </c>
      <c r="B10331" s="2" t="s">
        <v>12472</v>
      </c>
    </row>
    <row r="10332" spans="1:2" x14ac:dyDescent="0.2">
      <c r="A10332" s="8" t="s">
        <v>10355</v>
      </c>
      <c r="B10332" s="2" t="s">
        <v>12472</v>
      </c>
    </row>
    <row r="10333" spans="1:2" x14ac:dyDescent="0.2">
      <c r="A10333" s="8" t="s">
        <v>10356</v>
      </c>
      <c r="B10333" s="2" t="s">
        <v>12472</v>
      </c>
    </row>
    <row r="10334" spans="1:2" x14ac:dyDescent="0.2">
      <c r="A10334" s="8" t="s">
        <v>10357</v>
      </c>
      <c r="B10334" s="2" t="s">
        <v>12472</v>
      </c>
    </row>
    <row r="10335" spans="1:2" x14ac:dyDescent="0.2">
      <c r="A10335" s="8" t="s">
        <v>10358</v>
      </c>
      <c r="B10335" s="2" t="s">
        <v>12472</v>
      </c>
    </row>
    <row r="10336" spans="1:2" x14ac:dyDescent="0.2">
      <c r="A10336" s="8" t="s">
        <v>10359</v>
      </c>
      <c r="B10336" s="2" t="s">
        <v>12472</v>
      </c>
    </row>
    <row r="10337" spans="1:2" x14ac:dyDescent="0.2">
      <c r="A10337" s="8" t="s">
        <v>10360</v>
      </c>
      <c r="B10337" s="2" t="s">
        <v>12472</v>
      </c>
    </row>
    <row r="10338" spans="1:2" x14ac:dyDescent="0.2">
      <c r="A10338" s="8" t="s">
        <v>10361</v>
      </c>
      <c r="B10338" s="2" t="s">
        <v>12472</v>
      </c>
    </row>
    <row r="10339" spans="1:2" x14ac:dyDescent="0.2">
      <c r="A10339" s="8" t="s">
        <v>10362</v>
      </c>
      <c r="B10339" s="2" t="s">
        <v>12472</v>
      </c>
    </row>
    <row r="10340" spans="1:2" x14ac:dyDescent="0.2">
      <c r="A10340" s="8" t="s">
        <v>10363</v>
      </c>
      <c r="B10340" s="2" t="s">
        <v>12472</v>
      </c>
    </row>
    <row r="10341" spans="1:2" x14ac:dyDescent="0.2">
      <c r="A10341" s="8" t="s">
        <v>10364</v>
      </c>
      <c r="B10341" s="2" t="s">
        <v>12472</v>
      </c>
    </row>
    <row r="10342" spans="1:2" x14ac:dyDescent="0.2">
      <c r="A10342" s="8" t="s">
        <v>10365</v>
      </c>
      <c r="B10342" s="2" t="s">
        <v>12472</v>
      </c>
    </row>
    <row r="10343" spans="1:2" x14ac:dyDescent="0.2">
      <c r="A10343" s="8" t="s">
        <v>10366</v>
      </c>
      <c r="B10343" s="2" t="s">
        <v>12472</v>
      </c>
    </row>
    <row r="10344" spans="1:2" x14ac:dyDescent="0.2">
      <c r="A10344" s="8" t="s">
        <v>10367</v>
      </c>
      <c r="B10344" s="2" t="s">
        <v>12472</v>
      </c>
    </row>
    <row r="10345" spans="1:2" x14ac:dyDescent="0.2">
      <c r="A10345" s="8" t="s">
        <v>10368</v>
      </c>
      <c r="B10345" s="2" t="s">
        <v>12472</v>
      </c>
    </row>
    <row r="10346" spans="1:2" x14ac:dyDescent="0.2">
      <c r="A10346" s="8" t="s">
        <v>10369</v>
      </c>
      <c r="B10346" s="2" t="s">
        <v>12472</v>
      </c>
    </row>
    <row r="10347" spans="1:2" x14ac:dyDescent="0.2">
      <c r="A10347" s="8" t="s">
        <v>10370</v>
      </c>
      <c r="B10347" s="2" t="s">
        <v>12472</v>
      </c>
    </row>
    <row r="10348" spans="1:2" x14ac:dyDescent="0.2">
      <c r="A10348" s="8" t="s">
        <v>10371</v>
      </c>
      <c r="B10348" s="2" t="s">
        <v>12472</v>
      </c>
    </row>
    <row r="10349" spans="1:2" x14ac:dyDescent="0.2">
      <c r="A10349" s="8" t="s">
        <v>10372</v>
      </c>
      <c r="B10349" s="2" t="s">
        <v>12472</v>
      </c>
    </row>
    <row r="10350" spans="1:2" x14ac:dyDescent="0.2">
      <c r="A10350" s="8" t="s">
        <v>10373</v>
      </c>
      <c r="B10350" s="2" t="s">
        <v>12472</v>
      </c>
    </row>
    <row r="10351" spans="1:2" x14ac:dyDescent="0.2">
      <c r="A10351" s="8" t="s">
        <v>10374</v>
      </c>
      <c r="B10351" s="2" t="s">
        <v>12472</v>
      </c>
    </row>
    <row r="10352" spans="1:2" x14ac:dyDescent="0.2">
      <c r="A10352" s="8" t="s">
        <v>10375</v>
      </c>
      <c r="B10352" s="2" t="s">
        <v>12472</v>
      </c>
    </row>
    <row r="10353" spans="1:2" x14ac:dyDescent="0.2">
      <c r="A10353" s="8" t="s">
        <v>10376</v>
      </c>
      <c r="B10353" s="2" t="s">
        <v>12472</v>
      </c>
    </row>
    <row r="10354" spans="1:2" x14ac:dyDescent="0.2">
      <c r="A10354" s="8" t="s">
        <v>10377</v>
      </c>
      <c r="B10354" s="2" t="s">
        <v>12472</v>
      </c>
    </row>
    <row r="10355" spans="1:2" x14ac:dyDescent="0.2">
      <c r="A10355" s="8" t="s">
        <v>10378</v>
      </c>
      <c r="B10355" s="2" t="s">
        <v>12472</v>
      </c>
    </row>
    <row r="10356" spans="1:2" x14ac:dyDescent="0.2">
      <c r="A10356" s="8" t="s">
        <v>10379</v>
      </c>
      <c r="B10356" s="2" t="s">
        <v>12472</v>
      </c>
    </row>
    <row r="10357" spans="1:2" x14ac:dyDescent="0.2">
      <c r="A10357" s="8" t="s">
        <v>10380</v>
      </c>
      <c r="B10357" s="2" t="s">
        <v>12472</v>
      </c>
    </row>
    <row r="10358" spans="1:2" x14ac:dyDescent="0.2">
      <c r="A10358" s="8" t="s">
        <v>10381</v>
      </c>
      <c r="B10358" s="2" t="s">
        <v>12472</v>
      </c>
    </row>
    <row r="10359" spans="1:2" x14ac:dyDescent="0.2">
      <c r="A10359" s="8" t="s">
        <v>10382</v>
      </c>
      <c r="B10359" s="2" t="s">
        <v>12472</v>
      </c>
    </row>
    <row r="10360" spans="1:2" x14ac:dyDescent="0.2">
      <c r="A10360" s="8" t="s">
        <v>10383</v>
      </c>
      <c r="B10360" s="2" t="s">
        <v>12472</v>
      </c>
    </row>
    <row r="10361" spans="1:2" x14ac:dyDescent="0.2">
      <c r="A10361" s="8" t="s">
        <v>10384</v>
      </c>
      <c r="B10361" s="2" t="s">
        <v>12472</v>
      </c>
    </row>
    <row r="10362" spans="1:2" x14ac:dyDescent="0.2">
      <c r="A10362" s="8" t="s">
        <v>10385</v>
      </c>
      <c r="B10362" s="2" t="s">
        <v>12472</v>
      </c>
    </row>
    <row r="10363" spans="1:2" x14ac:dyDescent="0.2">
      <c r="A10363" s="8" t="s">
        <v>10386</v>
      </c>
      <c r="B10363" s="2" t="s">
        <v>12472</v>
      </c>
    </row>
    <row r="10364" spans="1:2" x14ac:dyDescent="0.2">
      <c r="A10364" s="8" t="s">
        <v>10387</v>
      </c>
      <c r="B10364" s="2" t="s">
        <v>12472</v>
      </c>
    </row>
    <row r="10365" spans="1:2" x14ac:dyDescent="0.2">
      <c r="A10365" s="8" t="s">
        <v>10388</v>
      </c>
      <c r="B10365" s="2" t="s">
        <v>12472</v>
      </c>
    </row>
    <row r="10366" spans="1:2" x14ac:dyDescent="0.2">
      <c r="A10366" s="8" t="s">
        <v>10389</v>
      </c>
      <c r="B10366" s="2" t="s">
        <v>12472</v>
      </c>
    </row>
    <row r="10367" spans="1:2" x14ac:dyDescent="0.2">
      <c r="A10367" s="8" t="s">
        <v>10390</v>
      </c>
      <c r="B10367" s="2" t="s">
        <v>12472</v>
      </c>
    </row>
    <row r="10368" spans="1:2" x14ac:dyDescent="0.2">
      <c r="A10368" s="8" t="s">
        <v>10391</v>
      </c>
      <c r="B10368" s="2" t="s">
        <v>12472</v>
      </c>
    </row>
    <row r="10369" spans="1:2" x14ac:dyDescent="0.2">
      <c r="A10369" s="8" t="s">
        <v>10392</v>
      </c>
      <c r="B10369" s="2" t="s">
        <v>12472</v>
      </c>
    </row>
    <row r="10370" spans="1:2" x14ac:dyDescent="0.2">
      <c r="A10370" s="8" t="s">
        <v>10393</v>
      </c>
      <c r="B10370" s="2" t="s">
        <v>12472</v>
      </c>
    </row>
    <row r="10371" spans="1:2" x14ac:dyDescent="0.2">
      <c r="A10371" s="8" t="s">
        <v>10394</v>
      </c>
      <c r="B10371" s="2" t="s">
        <v>12472</v>
      </c>
    </row>
    <row r="10372" spans="1:2" x14ac:dyDescent="0.2">
      <c r="A10372" s="8" t="s">
        <v>10395</v>
      </c>
      <c r="B10372" s="2" t="s">
        <v>12472</v>
      </c>
    </row>
    <row r="10373" spans="1:2" x14ac:dyDescent="0.2">
      <c r="A10373" s="8" t="s">
        <v>10396</v>
      </c>
      <c r="B10373" s="2" t="s">
        <v>12472</v>
      </c>
    </row>
    <row r="10374" spans="1:2" x14ac:dyDescent="0.2">
      <c r="A10374" s="8" t="s">
        <v>10397</v>
      </c>
      <c r="B10374" s="2" t="s">
        <v>12472</v>
      </c>
    </row>
    <row r="10375" spans="1:2" x14ac:dyDescent="0.2">
      <c r="A10375" s="8" t="s">
        <v>10398</v>
      </c>
      <c r="B10375" s="2" t="s">
        <v>12472</v>
      </c>
    </row>
    <row r="10376" spans="1:2" x14ac:dyDescent="0.2">
      <c r="A10376" s="8" t="s">
        <v>10399</v>
      </c>
      <c r="B10376" s="2" t="s">
        <v>12472</v>
      </c>
    </row>
    <row r="10377" spans="1:2" x14ac:dyDescent="0.2">
      <c r="A10377" s="8" t="s">
        <v>10400</v>
      </c>
      <c r="B10377" s="2" t="s">
        <v>12472</v>
      </c>
    </row>
    <row r="10378" spans="1:2" x14ac:dyDescent="0.2">
      <c r="A10378" s="8" t="s">
        <v>10401</v>
      </c>
      <c r="B10378" s="2" t="s">
        <v>12472</v>
      </c>
    </row>
    <row r="10379" spans="1:2" x14ac:dyDescent="0.2">
      <c r="A10379" s="8" t="s">
        <v>10402</v>
      </c>
      <c r="B10379" s="2" t="s">
        <v>12472</v>
      </c>
    </row>
    <row r="10380" spans="1:2" x14ac:dyDescent="0.2">
      <c r="A10380" s="8" t="s">
        <v>10403</v>
      </c>
      <c r="B10380" s="2" t="s">
        <v>12472</v>
      </c>
    </row>
    <row r="10381" spans="1:2" x14ac:dyDescent="0.2">
      <c r="A10381" s="8" t="s">
        <v>10404</v>
      </c>
      <c r="B10381" s="2" t="s">
        <v>12472</v>
      </c>
    </row>
    <row r="10382" spans="1:2" x14ac:dyDescent="0.2">
      <c r="A10382" s="8" t="s">
        <v>10405</v>
      </c>
      <c r="B10382" s="2" t="s">
        <v>12472</v>
      </c>
    </row>
    <row r="10383" spans="1:2" x14ac:dyDescent="0.2">
      <c r="A10383" s="8" t="s">
        <v>10406</v>
      </c>
      <c r="B10383" s="2" t="s">
        <v>12472</v>
      </c>
    </row>
    <row r="10384" spans="1:2" x14ac:dyDescent="0.2">
      <c r="A10384" s="8" t="s">
        <v>10407</v>
      </c>
      <c r="B10384" s="2" t="s">
        <v>12472</v>
      </c>
    </row>
    <row r="10385" spans="1:2" x14ac:dyDescent="0.2">
      <c r="A10385" s="8" t="s">
        <v>10408</v>
      </c>
      <c r="B10385" s="2" t="s">
        <v>12472</v>
      </c>
    </row>
    <row r="10386" spans="1:2" x14ac:dyDescent="0.2">
      <c r="A10386" s="8" t="s">
        <v>10409</v>
      </c>
      <c r="B10386" s="2" t="s">
        <v>12472</v>
      </c>
    </row>
    <row r="10387" spans="1:2" x14ac:dyDescent="0.2">
      <c r="A10387" s="8" t="s">
        <v>10410</v>
      </c>
      <c r="B10387" s="2" t="s">
        <v>12472</v>
      </c>
    </row>
    <row r="10388" spans="1:2" x14ac:dyDescent="0.2">
      <c r="A10388" s="8" t="s">
        <v>10411</v>
      </c>
      <c r="B10388" s="2" t="s">
        <v>12472</v>
      </c>
    </row>
    <row r="10389" spans="1:2" x14ac:dyDescent="0.2">
      <c r="A10389" s="8" t="s">
        <v>10412</v>
      </c>
      <c r="B10389" s="2" t="s">
        <v>12472</v>
      </c>
    </row>
    <row r="10390" spans="1:2" x14ac:dyDescent="0.2">
      <c r="A10390" s="8" t="s">
        <v>10413</v>
      </c>
      <c r="B10390" s="2" t="s">
        <v>12472</v>
      </c>
    </row>
    <row r="10391" spans="1:2" x14ac:dyDescent="0.2">
      <c r="A10391" s="8" t="s">
        <v>10414</v>
      </c>
      <c r="B10391" s="2" t="s">
        <v>12472</v>
      </c>
    </row>
    <row r="10392" spans="1:2" x14ac:dyDescent="0.2">
      <c r="A10392" s="8" t="s">
        <v>10415</v>
      </c>
      <c r="B10392" s="2" t="s">
        <v>12472</v>
      </c>
    </row>
    <row r="10393" spans="1:2" x14ac:dyDescent="0.2">
      <c r="A10393" s="8" t="s">
        <v>10416</v>
      </c>
      <c r="B10393" s="2" t="s">
        <v>12472</v>
      </c>
    </row>
    <row r="10394" spans="1:2" x14ac:dyDescent="0.2">
      <c r="A10394" s="8" t="s">
        <v>10417</v>
      </c>
      <c r="B10394" s="2" t="s">
        <v>12472</v>
      </c>
    </row>
    <row r="10395" spans="1:2" x14ac:dyDescent="0.2">
      <c r="A10395" s="8" t="s">
        <v>10418</v>
      </c>
      <c r="B10395" s="2" t="s">
        <v>12472</v>
      </c>
    </row>
    <row r="10396" spans="1:2" x14ac:dyDescent="0.2">
      <c r="A10396" s="8" t="s">
        <v>10419</v>
      </c>
      <c r="B10396" s="2" t="s">
        <v>12472</v>
      </c>
    </row>
    <row r="10397" spans="1:2" x14ac:dyDescent="0.2">
      <c r="A10397" s="8" t="s">
        <v>10420</v>
      </c>
      <c r="B10397" s="2" t="s">
        <v>12472</v>
      </c>
    </row>
    <row r="10398" spans="1:2" x14ac:dyDescent="0.2">
      <c r="A10398" s="8" t="s">
        <v>10421</v>
      </c>
      <c r="B10398" s="2" t="s">
        <v>12472</v>
      </c>
    </row>
    <row r="10399" spans="1:2" x14ac:dyDescent="0.2">
      <c r="A10399" s="8" t="s">
        <v>10422</v>
      </c>
      <c r="B10399" s="2" t="s">
        <v>12472</v>
      </c>
    </row>
    <row r="10400" spans="1:2" x14ac:dyDescent="0.2">
      <c r="A10400" s="8" t="s">
        <v>10423</v>
      </c>
      <c r="B10400" s="2" t="s">
        <v>12472</v>
      </c>
    </row>
    <row r="10401" spans="1:2" x14ac:dyDescent="0.2">
      <c r="A10401" s="8" t="s">
        <v>10424</v>
      </c>
      <c r="B10401" s="2" t="s">
        <v>12472</v>
      </c>
    </row>
    <row r="10402" spans="1:2" x14ac:dyDescent="0.2">
      <c r="A10402" s="8" t="s">
        <v>10425</v>
      </c>
      <c r="B10402" s="2" t="s">
        <v>12472</v>
      </c>
    </row>
    <row r="10403" spans="1:2" x14ac:dyDescent="0.2">
      <c r="A10403" s="8" t="s">
        <v>10426</v>
      </c>
      <c r="B10403" s="2" t="s">
        <v>12472</v>
      </c>
    </row>
    <row r="10404" spans="1:2" x14ac:dyDescent="0.2">
      <c r="A10404" s="8" t="s">
        <v>10427</v>
      </c>
      <c r="B10404" s="2" t="s">
        <v>12472</v>
      </c>
    </row>
    <row r="10405" spans="1:2" x14ac:dyDescent="0.2">
      <c r="A10405" s="8" t="s">
        <v>10428</v>
      </c>
      <c r="B10405" s="2" t="s">
        <v>12472</v>
      </c>
    </row>
    <row r="10406" spans="1:2" x14ac:dyDescent="0.2">
      <c r="A10406" s="8" t="s">
        <v>10429</v>
      </c>
      <c r="B10406" s="2" t="s">
        <v>12472</v>
      </c>
    </row>
    <row r="10407" spans="1:2" x14ac:dyDescent="0.2">
      <c r="A10407" s="8" t="s">
        <v>10430</v>
      </c>
      <c r="B10407" s="2" t="s">
        <v>12472</v>
      </c>
    </row>
    <row r="10408" spans="1:2" x14ac:dyDescent="0.2">
      <c r="A10408" s="8" t="s">
        <v>10431</v>
      </c>
      <c r="B10408" s="2" t="s">
        <v>12472</v>
      </c>
    </row>
    <row r="10409" spans="1:2" x14ac:dyDescent="0.2">
      <c r="A10409" s="8" t="s">
        <v>10432</v>
      </c>
      <c r="B10409" s="2" t="s">
        <v>12472</v>
      </c>
    </row>
    <row r="10410" spans="1:2" x14ac:dyDescent="0.2">
      <c r="A10410" s="8" t="s">
        <v>10433</v>
      </c>
      <c r="B10410" s="2" t="s">
        <v>12472</v>
      </c>
    </row>
    <row r="10411" spans="1:2" x14ac:dyDescent="0.2">
      <c r="A10411" s="8" t="s">
        <v>10434</v>
      </c>
      <c r="B10411" s="2" t="s">
        <v>12472</v>
      </c>
    </row>
    <row r="10412" spans="1:2" x14ac:dyDescent="0.2">
      <c r="A10412" s="8" t="s">
        <v>10435</v>
      </c>
      <c r="B10412" s="2" t="s">
        <v>12472</v>
      </c>
    </row>
    <row r="10413" spans="1:2" x14ac:dyDescent="0.2">
      <c r="A10413" s="8" t="s">
        <v>10436</v>
      </c>
      <c r="B10413" s="2" t="s">
        <v>12472</v>
      </c>
    </row>
    <row r="10414" spans="1:2" x14ac:dyDescent="0.2">
      <c r="A10414" s="8" t="s">
        <v>10437</v>
      </c>
      <c r="B10414" s="2" t="s">
        <v>12472</v>
      </c>
    </row>
    <row r="10415" spans="1:2" x14ac:dyDescent="0.2">
      <c r="A10415" s="8" t="s">
        <v>10438</v>
      </c>
      <c r="B10415" s="2" t="s">
        <v>12472</v>
      </c>
    </row>
    <row r="10416" spans="1:2" x14ac:dyDescent="0.2">
      <c r="A10416" s="8" t="s">
        <v>10439</v>
      </c>
      <c r="B10416" s="2" t="s">
        <v>12472</v>
      </c>
    </row>
    <row r="10417" spans="1:2" x14ac:dyDescent="0.2">
      <c r="A10417" s="8" t="s">
        <v>10440</v>
      </c>
      <c r="B10417" s="2" t="s">
        <v>12472</v>
      </c>
    </row>
    <row r="10418" spans="1:2" x14ac:dyDescent="0.2">
      <c r="A10418" s="8" t="s">
        <v>10441</v>
      </c>
      <c r="B10418" s="2" t="s">
        <v>12472</v>
      </c>
    </row>
    <row r="10419" spans="1:2" x14ac:dyDescent="0.2">
      <c r="A10419" s="8" t="s">
        <v>10442</v>
      </c>
      <c r="B10419" s="2" t="s">
        <v>12472</v>
      </c>
    </row>
    <row r="10420" spans="1:2" x14ac:dyDescent="0.2">
      <c r="A10420" s="8" t="s">
        <v>10443</v>
      </c>
      <c r="B10420" s="2" t="s">
        <v>12472</v>
      </c>
    </row>
    <row r="10421" spans="1:2" x14ac:dyDescent="0.2">
      <c r="A10421" s="8" t="s">
        <v>10444</v>
      </c>
      <c r="B10421" s="2" t="s">
        <v>12472</v>
      </c>
    </row>
    <row r="10422" spans="1:2" x14ac:dyDescent="0.2">
      <c r="A10422" s="8" t="s">
        <v>10445</v>
      </c>
      <c r="B10422" s="2" t="s">
        <v>12472</v>
      </c>
    </row>
    <row r="10423" spans="1:2" x14ac:dyDescent="0.2">
      <c r="A10423" s="8" t="s">
        <v>10446</v>
      </c>
      <c r="B10423" s="2" t="s">
        <v>12472</v>
      </c>
    </row>
    <row r="10424" spans="1:2" x14ac:dyDescent="0.2">
      <c r="A10424" s="8" t="s">
        <v>10447</v>
      </c>
      <c r="B10424" s="2" t="s">
        <v>12472</v>
      </c>
    </row>
    <row r="10425" spans="1:2" x14ac:dyDescent="0.2">
      <c r="A10425" s="8" t="s">
        <v>10448</v>
      </c>
      <c r="B10425" s="2" t="s">
        <v>12472</v>
      </c>
    </row>
    <row r="10426" spans="1:2" x14ac:dyDescent="0.2">
      <c r="A10426" s="8" t="s">
        <v>10449</v>
      </c>
      <c r="B10426" s="2" t="s">
        <v>12472</v>
      </c>
    </row>
    <row r="10427" spans="1:2" x14ac:dyDescent="0.2">
      <c r="A10427" s="8" t="s">
        <v>10450</v>
      </c>
      <c r="B10427" s="2" t="s">
        <v>12472</v>
      </c>
    </row>
    <row r="10428" spans="1:2" x14ac:dyDescent="0.2">
      <c r="A10428" s="8" t="s">
        <v>10451</v>
      </c>
      <c r="B10428" s="2" t="s">
        <v>12472</v>
      </c>
    </row>
    <row r="10429" spans="1:2" x14ac:dyDescent="0.2">
      <c r="A10429" s="8" t="s">
        <v>10452</v>
      </c>
      <c r="B10429" s="2" t="s">
        <v>12472</v>
      </c>
    </row>
    <row r="10430" spans="1:2" x14ac:dyDescent="0.2">
      <c r="A10430" s="8" t="s">
        <v>10453</v>
      </c>
      <c r="B10430" s="2" t="s">
        <v>12472</v>
      </c>
    </row>
    <row r="10431" spans="1:2" x14ac:dyDescent="0.2">
      <c r="A10431" s="8" t="s">
        <v>10454</v>
      </c>
      <c r="B10431" s="2" t="s">
        <v>12472</v>
      </c>
    </row>
    <row r="10432" spans="1:2" x14ac:dyDescent="0.2">
      <c r="A10432" s="8" t="s">
        <v>10455</v>
      </c>
      <c r="B10432" s="2" t="s">
        <v>12472</v>
      </c>
    </row>
    <row r="10433" spans="1:2" x14ac:dyDescent="0.2">
      <c r="A10433" s="8" t="s">
        <v>10456</v>
      </c>
      <c r="B10433" s="2" t="s">
        <v>12472</v>
      </c>
    </row>
    <row r="10434" spans="1:2" x14ac:dyDescent="0.2">
      <c r="A10434" s="8" t="s">
        <v>10457</v>
      </c>
      <c r="B10434" s="2" t="s">
        <v>12472</v>
      </c>
    </row>
    <row r="10435" spans="1:2" x14ac:dyDescent="0.2">
      <c r="A10435" s="8" t="s">
        <v>10458</v>
      </c>
      <c r="B10435" s="2" t="s">
        <v>12472</v>
      </c>
    </row>
    <row r="10436" spans="1:2" x14ac:dyDescent="0.2">
      <c r="A10436" s="8" t="s">
        <v>10459</v>
      </c>
      <c r="B10436" s="2" t="s">
        <v>12472</v>
      </c>
    </row>
    <row r="10437" spans="1:2" x14ac:dyDescent="0.2">
      <c r="A10437" s="8" t="s">
        <v>10460</v>
      </c>
      <c r="B10437" s="2" t="s">
        <v>12472</v>
      </c>
    </row>
    <row r="10438" spans="1:2" x14ac:dyDescent="0.2">
      <c r="A10438" s="8" t="s">
        <v>10461</v>
      </c>
      <c r="B10438" s="2" t="s">
        <v>12472</v>
      </c>
    </row>
    <row r="10439" spans="1:2" x14ac:dyDescent="0.2">
      <c r="A10439" s="8" t="s">
        <v>10462</v>
      </c>
      <c r="B10439" s="2" t="s">
        <v>12472</v>
      </c>
    </row>
    <row r="10440" spans="1:2" x14ac:dyDescent="0.2">
      <c r="A10440" s="8" t="s">
        <v>10463</v>
      </c>
      <c r="B10440" s="2" t="s">
        <v>12472</v>
      </c>
    </row>
    <row r="10441" spans="1:2" x14ac:dyDescent="0.2">
      <c r="A10441" s="8" t="s">
        <v>10464</v>
      </c>
      <c r="B10441" s="2" t="s">
        <v>12472</v>
      </c>
    </row>
    <row r="10442" spans="1:2" x14ac:dyDescent="0.2">
      <c r="A10442" s="8" t="s">
        <v>10465</v>
      </c>
      <c r="B10442" s="2" t="s">
        <v>12472</v>
      </c>
    </row>
    <row r="10443" spans="1:2" x14ac:dyDescent="0.2">
      <c r="A10443" s="8" t="s">
        <v>10466</v>
      </c>
      <c r="B10443" s="2" t="s">
        <v>12472</v>
      </c>
    </row>
    <row r="10444" spans="1:2" x14ac:dyDescent="0.2">
      <c r="A10444" s="8" t="s">
        <v>10467</v>
      </c>
      <c r="B10444" s="2" t="s">
        <v>12472</v>
      </c>
    </row>
    <row r="10445" spans="1:2" x14ac:dyDescent="0.2">
      <c r="A10445" s="8" t="s">
        <v>10468</v>
      </c>
      <c r="B10445" s="2" t="s">
        <v>12472</v>
      </c>
    </row>
    <row r="10446" spans="1:2" x14ac:dyDescent="0.2">
      <c r="A10446" s="8" t="s">
        <v>10469</v>
      </c>
      <c r="B10446" s="2" t="s">
        <v>12472</v>
      </c>
    </row>
    <row r="10447" spans="1:2" x14ac:dyDescent="0.2">
      <c r="A10447" s="8" t="s">
        <v>10470</v>
      </c>
      <c r="B10447" s="2" t="s">
        <v>12472</v>
      </c>
    </row>
    <row r="10448" spans="1:2" x14ac:dyDescent="0.2">
      <c r="A10448" s="8" t="s">
        <v>10471</v>
      </c>
      <c r="B10448" s="2" t="s">
        <v>12472</v>
      </c>
    </row>
    <row r="10449" spans="1:2" x14ac:dyDescent="0.2">
      <c r="A10449" s="8" t="s">
        <v>10472</v>
      </c>
      <c r="B10449" s="2" t="s">
        <v>12472</v>
      </c>
    </row>
    <row r="10450" spans="1:2" x14ac:dyDescent="0.2">
      <c r="A10450" s="8" t="s">
        <v>10473</v>
      </c>
      <c r="B10450" s="2" t="s">
        <v>12472</v>
      </c>
    </row>
    <row r="10451" spans="1:2" x14ac:dyDescent="0.2">
      <c r="A10451" s="8" t="s">
        <v>10474</v>
      </c>
      <c r="B10451" s="2" t="s">
        <v>12472</v>
      </c>
    </row>
    <row r="10452" spans="1:2" x14ac:dyDescent="0.2">
      <c r="A10452" s="8" t="s">
        <v>10475</v>
      </c>
      <c r="B10452" s="2" t="s">
        <v>12472</v>
      </c>
    </row>
    <row r="10453" spans="1:2" x14ac:dyDescent="0.2">
      <c r="A10453" s="8" t="s">
        <v>10476</v>
      </c>
      <c r="B10453" s="2" t="s">
        <v>12472</v>
      </c>
    </row>
    <row r="10454" spans="1:2" x14ac:dyDescent="0.2">
      <c r="A10454" s="8" t="s">
        <v>10477</v>
      </c>
      <c r="B10454" s="2" t="s">
        <v>12472</v>
      </c>
    </row>
    <row r="10455" spans="1:2" x14ac:dyDescent="0.2">
      <c r="A10455" s="8" t="s">
        <v>10478</v>
      </c>
      <c r="B10455" s="2" t="s">
        <v>12472</v>
      </c>
    </row>
    <row r="10456" spans="1:2" x14ac:dyDescent="0.2">
      <c r="A10456" s="8" t="s">
        <v>10479</v>
      </c>
      <c r="B10456" s="2" t="s">
        <v>12472</v>
      </c>
    </row>
    <row r="10457" spans="1:2" x14ac:dyDescent="0.2">
      <c r="A10457" s="8" t="s">
        <v>10480</v>
      </c>
      <c r="B10457" s="2" t="s">
        <v>12472</v>
      </c>
    </row>
    <row r="10458" spans="1:2" x14ac:dyDescent="0.2">
      <c r="A10458" s="8" t="s">
        <v>10481</v>
      </c>
      <c r="B10458" s="2" t="s">
        <v>12472</v>
      </c>
    </row>
    <row r="10459" spans="1:2" x14ac:dyDescent="0.2">
      <c r="A10459" s="8" t="s">
        <v>10482</v>
      </c>
      <c r="B10459" s="2" t="s">
        <v>12472</v>
      </c>
    </row>
    <row r="10460" spans="1:2" x14ac:dyDescent="0.2">
      <c r="A10460" s="8" t="s">
        <v>10483</v>
      </c>
      <c r="B10460" s="2" t="s">
        <v>12472</v>
      </c>
    </row>
    <row r="10461" spans="1:2" x14ac:dyDescent="0.2">
      <c r="A10461" s="8" t="s">
        <v>10484</v>
      </c>
      <c r="B10461" s="2" t="s">
        <v>12472</v>
      </c>
    </row>
    <row r="10462" spans="1:2" x14ac:dyDescent="0.2">
      <c r="A10462" s="8" t="s">
        <v>10485</v>
      </c>
      <c r="B10462" s="2" t="s">
        <v>12472</v>
      </c>
    </row>
    <row r="10463" spans="1:2" x14ac:dyDescent="0.2">
      <c r="A10463" s="8" t="s">
        <v>10486</v>
      </c>
      <c r="B10463" s="2" t="s">
        <v>12472</v>
      </c>
    </row>
    <row r="10464" spans="1:2" x14ac:dyDescent="0.2">
      <c r="A10464" s="8" t="s">
        <v>10487</v>
      </c>
      <c r="B10464" s="2" t="s">
        <v>12472</v>
      </c>
    </row>
    <row r="10465" spans="1:2" x14ac:dyDescent="0.2">
      <c r="A10465" s="8" t="s">
        <v>10488</v>
      </c>
      <c r="B10465" s="2" t="s">
        <v>12472</v>
      </c>
    </row>
    <row r="10466" spans="1:2" x14ac:dyDescent="0.2">
      <c r="A10466" s="8" t="s">
        <v>10489</v>
      </c>
      <c r="B10466" s="2" t="s">
        <v>12472</v>
      </c>
    </row>
    <row r="10467" spans="1:2" x14ac:dyDescent="0.2">
      <c r="A10467" s="8" t="s">
        <v>10490</v>
      </c>
      <c r="B10467" s="2" t="s">
        <v>12472</v>
      </c>
    </row>
    <row r="10468" spans="1:2" x14ac:dyDescent="0.2">
      <c r="A10468" s="8" t="s">
        <v>10491</v>
      </c>
      <c r="B10468" s="2" t="s">
        <v>12472</v>
      </c>
    </row>
    <row r="10469" spans="1:2" x14ac:dyDescent="0.2">
      <c r="A10469" s="8" t="s">
        <v>10492</v>
      </c>
      <c r="B10469" s="2" t="s">
        <v>12472</v>
      </c>
    </row>
    <row r="10470" spans="1:2" x14ac:dyDescent="0.2">
      <c r="A10470" s="8" t="s">
        <v>10493</v>
      </c>
      <c r="B10470" s="2" t="s">
        <v>12472</v>
      </c>
    </row>
    <row r="10471" spans="1:2" x14ac:dyDescent="0.2">
      <c r="A10471" s="8" t="s">
        <v>10494</v>
      </c>
      <c r="B10471" s="2" t="s">
        <v>12472</v>
      </c>
    </row>
    <row r="10472" spans="1:2" x14ac:dyDescent="0.2">
      <c r="A10472" s="8" t="s">
        <v>10495</v>
      </c>
      <c r="B10472" s="2" t="s">
        <v>12472</v>
      </c>
    </row>
    <row r="10473" spans="1:2" x14ac:dyDescent="0.2">
      <c r="A10473" s="8" t="s">
        <v>10496</v>
      </c>
      <c r="B10473" s="2" t="s">
        <v>12472</v>
      </c>
    </row>
    <row r="10474" spans="1:2" x14ac:dyDescent="0.2">
      <c r="A10474" s="8" t="s">
        <v>10497</v>
      </c>
      <c r="B10474" s="2" t="s">
        <v>12472</v>
      </c>
    </row>
    <row r="10475" spans="1:2" x14ac:dyDescent="0.2">
      <c r="A10475" s="8" t="s">
        <v>10498</v>
      </c>
      <c r="B10475" s="2" t="s">
        <v>12472</v>
      </c>
    </row>
    <row r="10476" spans="1:2" x14ac:dyDescent="0.2">
      <c r="A10476" s="8" t="s">
        <v>10499</v>
      </c>
      <c r="B10476" s="2" t="s">
        <v>12472</v>
      </c>
    </row>
    <row r="10477" spans="1:2" x14ac:dyDescent="0.2">
      <c r="A10477" s="8" t="s">
        <v>10500</v>
      </c>
      <c r="B10477" s="2" t="s">
        <v>12472</v>
      </c>
    </row>
    <row r="10478" spans="1:2" x14ac:dyDescent="0.2">
      <c r="A10478" s="8" t="s">
        <v>10501</v>
      </c>
      <c r="B10478" s="2" t="s">
        <v>12472</v>
      </c>
    </row>
    <row r="10479" spans="1:2" x14ac:dyDescent="0.2">
      <c r="A10479" s="8" t="s">
        <v>10502</v>
      </c>
      <c r="B10479" s="2" t="s">
        <v>12472</v>
      </c>
    </row>
    <row r="10480" spans="1:2" x14ac:dyDescent="0.2">
      <c r="A10480" s="8" t="s">
        <v>10503</v>
      </c>
      <c r="B10480" s="2" t="s">
        <v>12472</v>
      </c>
    </row>
    <row r="10481" spans="1:2" x14ac:dyDescent="0.2">
      <c r="A10481" s="8" t="s">
        <v>10504</v>
      </c>
      <c r="B10481" s="2" t="s">
        <v>12472</v>
      </c>
    </row>
    <row r="10482" spans="1:2" x14ac:dyDescent="0.2">
      <c r="A10482" s="8" t="s">
        <v>10505</v>
      </c>
      <c r="B10482" s="2" t="s">
        <v>12472</v>
      </c>
    </row>
    <row r="10483" spans="1:2" x14ac:dyDescent="0.2">
      <c r="A10483" s="8" t="s">
        <v>10506</v>
      </c>
      <c r="B10483" s="2" t="s">
        <v>12472</v>
      </c>
    </row>
    <row r="10484" spans="1:2" x14ac:dyDescent="0.2">
      <c r="A10484" s="8" t="s">
        <v>10507</v>
      </c>
      <c r="B10484" s="2" t="s">
        <v>12472</v>
      </c>
    </row>
    <row r="10485" spans="1:2" x14ac:dyDescent="0.2">
      <c r="A10485" s="8" t="s">
        <v>10508</v>
      </c>
      <c r="B10485" s="2" t="s">
        <v>12472</v>
      </c>
    </row>
    <row r="10486" spans="1:2" x14ac:dyDescent="0.2">
      <c r="A10486" s="8" t="s">
        <v>10509</v>
      </c>
      <c r="B10486" s="2" t="s">
        <v>12472</v>
      </c>
    </row>
    <row r="10487" spans="1:2" x14ac:dyDescent="0.2">
      <c r="A10487" s="8" t="s">
        <v>10510</v>
      </c>
      <c r="B10487" s="2" t="s">
        <v>12472</v>
      </c>
    </row>
    <row r="10488" spans="1:2" x14ac:dyDescent="0.2">
      <c r="A10488" s="8" t="s">
        <v>10511</v>
      </c>
      <c r="B10488" s="2" t="s">
        <v>12472</v>
      </c>
    </row>
    <row r="10489" spans="1:2" x14ac:dyDescent="0.2">
      <c r="A10489" s="8" t="s">
        <v>10512</v>
      </c>
      <c r="B10489" s="2" t="s">
        <v>12472</v>
      </c>
    </row>
    <row r="10490" spans="1:2" x14ac:dyDescent="0.2">
      <c r="A10490" s="8" t="s">
        <v>10513</v>
      </c>
      <c r="B10490" s="2" t="s">
        <v>12472</v>
      </c>
    </row>
    <row r="10491" spans="1:2" x14ac:dyDescent="0.2">
      <c r="A10491" s="8" t="s">
        <v>10514</v>
      </c>
      <c r="B10491" s="2" t="s">
        <v>12472</v>
      </c>
    </row>
    <row r="10492" spans="1:2" x14ac:dyDescent="0.2">
      <c r="A10492" s="8" t="s">
        <v>10515</v>
      </c>
      <c r="B10492" s="2" t="s">
        <v>12472</v>
      </c>
    </row>
    <row r="10493" spans="1:2" x14ac:dyDescent="0.2">
      <c r="A10493" s="8" t="s">
        <v>10516</v>
      </c>
      <c r="B10493" s="2" t="s">
        <v>12472</v>
      </c>
    </row>
    <row r="10494" spans="1:2" x14ac:dyDescent="0.2">
      <c r="A10494" s="8" t="s">
        <v>10517</v>
      </c>
      <c r="B10494" s="2" t="s">
        <v>12472</v>
      </c>
    </row>
    <row r="10495" spans="1:2" x14ac:dyDescent="0.2">
      <c r="A10495" s="8" t="s">
        <v>10518</v>
      </c>
      <c r="B10495" s="2" t="s">
        <v>12472</v>
      </c>
    </row>
    <row r="10496" spans="1:2" x14ac:dyDescent="0.2">
      <c r="A10496" s="8" t="s">
        <v>10519</v>
      </c>
      <c r="B10496" s="2" t="s">
        <v>12472</v>
      </c>
    </row>
    <row r="10497" spans="1:2" x14ac:dyDescent="0.2">
      <c r="A10497" s="8" t="s">
        <v>10520</v>
      </c>
      <c r="B10497" s="2" t="s">
        <v>12472</v>
      </c>
    </row>
    <row r="10498" spans="1:2" x14ac:dyDescent="0.2">
      <c r="A10498" s="8" t="s">
        <v>10521</v>
      </c>
      <c r="B10498" s="2" t="s">
        <v>12472</v>
      </c>
    </row>
    <row r="10499" spans="1:2" x14ac:dyDescent="0.2">
      <c r="A10499" s="8" t="s">
        <v>10522</v>
      </c>
      <c r="B10499" s="2" t="s">
        <v>12472</v>
      </c>
    </row>
    <row r="10500" spans="1:2" x14ac:dyDescent="0.2">
      <c r="A10500" s="8" t="s">
        <v>10523</v>
      </c>
      <c r="B10500" s="2" t="s">
        <v>12472</v>
      </c>
    </row>
    <row r="10501" spans="1:2" x14ac:dyDescent="0.2">
      <c r="A10501" s="8" t="s">
        <v>10524</v>
      </c>
      <c r="B10501" s="2" t="s">
        <v>12472</v>
      </c>
    </row>
    <row r="10502" spans="1:2" x14ac:dyDescent="0.2">
      <c r="A10502" s="8" t="s">
        <v>10525</v>
      </c>
      <c r="B10502" s="2" t="s">
        <v>12472</v>
      </c>
    </row>
    <row r="10503" spans="1:2" x14ac:dyDescent="0.2">
      <c r="A10503" s="8" t="s">
        <v>10526</v>
      </c>
      <c r="B10503" s="2" t="s">
        <v>12472</v>
      </c>
    </row>
    <row r="10504" spans="1:2" x14ac:dyDescent="0.2">
      <c r="A10504" s="8" t="s">
        <v>10527</v>
      </c>
      <c r="B10504" s="2" t="s">
        <v>12472</v>
      </c>
    </row>
    <row r="10505" spans="1:2" x14ac:dyDescent="0.2">
      <c r="A10505" s="8" t="s">
        <v>10528</v>
      </c>
      <c r="B10505" s="2" t="s">
        <v>12472</v>
      </c>
    </row>
    <row r="10506" spans="1:2" x14ac:dyDescent="0.2">
      <c r="A10506" s="8" t="s">
        <v>10529</v>
      </c>
      <c r="B10506" s="2" t="s">
        <v>12472</v>
      </c>
    </row>
    <row r="10507" spans="1:2" x14ac:dyDescent="0.2">
      <c r="A10507" s="8" t="s">
        <v>10530</v>
      </c>
      <c r="B10507" s="2" t="s">
        <v>12472</v>
      </c>
    </row>
    <row r="10508" spans="1:2" x14ac:dyDescent="0.2">
      <c r="A10508" s="8" t="s">
        <v>10531</v>
      </c>
      <c r="B10508" s="2" t="s">
        <v>12472</v>
      </c>
    </row>
    <row r="10509" spans="1:2" x14ac:dyDescent="0.2">
      <c r="A10509" s="8" t="s">
        <v>10532</v>
      </c>
      <c r="B10509" s="2" t="s">
        <v>12472</v>
      </c>
    </row>
    <row r="10510" spans="1:2" x14ac:dyDescent="0.2">
      <c r="A10510" s="8" t="s">
        <v>10533</v>
      </c>
      <c r="B10510" s="2" t="s">
        <v>12472</v>
      </c>
    </row>
    <row r="10511" spans="1:2" x14ac:dyDescent="0.2">
      <c r="A10511" s="8" t="s">
        <v>10534</v>
      </c>
      <c r="B10511" s="2" t="s">
        <v>12472</v>
      </c>
    </row>
    <row r="10512" spans="1:2" x14ac:dyDescent="0.2">
      <c r="A10512" s="8" t="s">
        <v>10535</v>
      </c>
      <c r="B10512" s="2" t="s">
        <v>12472</v>
      </c>
    </row>
    <row r="10513" spans="1:2" x14ac:dyDescent="0.2">
      <c r="A10513" s="8" t="s">
        <v>10536</v>
      </c>
      <c r="B10513" s="2" t="s">
        <v>12472</v>
      </c>
    </row>
    <row r="10514" spans="1:2" x14ac:dyDescent="0.2">
      <c r="A10514" s="8" t="s">
        <v>10537</v>
      </c>
      <c r="B10514" s="2" t="s">
        <v>12472</v>
      </c>
    </row>
    <row r="10515" spans="1:2" x14ac:dyDescent="0.2">
      <c r="A10515" s="8" t="s">
        <v>10538</v>
      </c>
      <c r="B10515" s="2" t="s">
        <v>12472</v>
      </c>
    </row>
    <row r="10516" spans="1:2" x14ac:dyDescent="0.2">
      <c r="A10516" s="8" t="s">
        <v>10539</v>
      </c>
      <c r="B10516" s="2" t="s">
        <v>12472</v>
      </c>
    </row>
    <row r="10517" spans="1:2" x14ac:dyDescent="0.2">
      <c r="A10517" s="8" t="s">
        <v>10540</v>
      </c>
      <c r="B10517" s="2" t="s">
        <v>12472</v>
      </c>
    </row>
    <row r="10518" spans="1:2" x14ac:dyDescent="0.2">
      <c r="A10518" s="8" t="s">
        <v>10541</v>
      </c>
      <c r="B10518" s="2" t="s">
        <v>12472</v>
      </c>
    </row>
    <row r="10519" spans="1:2" x14ac:dyDescent="0.2">
      <c r="A10519" s="8" t="s">
        <v>10542</v>
      </c>
      <c r="B10519" s="2" t="s">
        <v>12472</v>
      </c>
    </row>
    <row r="10520" spans="1:2" x14ac:dyDescent="0.2">
      <c r="A10520" s="8" t="s">
        <v>10543</v>
      </c>
      <c r="B10520" s="2" t="s">
        <v>12472</v>
      </c>
    </row>
    <row r="10521" spans="1:2" x14ac:dyDescent="0.2">
      <c r="A10521" s="8" t="s">
        <v>10544</v>
      </c>
      <c r="B10521" s="2" t="s">
        <v>12472</v>
      </c>
    </row>
    <row r="10522" spans="1:2" x14ac:dyDescent="0.2">
      <c r="A10522" s="8" t="s">
        <v>10545</v>
      </c>
      <c r="B10522" s="2" t="s">
        <v>12472</v>
      </c>
    </row>
    <row r="10523" spans="1:2" x14ac:dyDescent="0.2">
      <c r="A10523" s="8" t="s">
        <v>10546</v>
      </c>
      <c r="B10523" s="2" t="s">
        <v>12472</v>
      </c>
    </row>
    <row r="10524" spans="1:2" x14ac:dyDescent="0.2">
      <c r="A10524" s="8" t="s">
        <v>10547</v>
      </c>
      <c r="B10524" s="2" t="s">
        <v>12472</v>
      </c>
    </row>
    <row r="10525" spans="1:2" x14ac:dyDescent="0.2">
      <c r="A10525" s="8" t="s">
        <v>10548</v>
      </c>
      <c r="B10525" s="2" t="s">
        <v>12472</v>
      </c>
    </row>
    <row r="10526" spans="1:2" x14ac:dyDescent="0.2">
      <c r="A10526" s="8" t="s">
        <v>10549</v>
      </c>
      <c r="B10526" s="2" t="s">
        <v>12472</v>
      </c>
    </row>
    <row r="10527" spans="1:2" x14ac:dyDescent="0.2">
      <c r="A10527" s="8" t="s">
        <v>10550</v>
      </c>
      <c r="B10527" s="2" t="s">
        <v>12472</v>
      </c>
    </row>
    <row r="10528" spans="1:2" x14ac:dyDescent="0.2">
      <c r="A10528" s="8" t="s">
        <v>10551</v>
      </c>
      <c r="B10528" s="2" t="s">
        <v>12472</v>
      </c>
    </row>
    <row r="10529" spans="1:2" x14ac:dyDescent="0.2">
      <c r="A10529" s="8" t="s">
        <v>10552</v>
      </c>
      <c r="B10529" s="2" t="s">
        <v>12472</v>
      </c>
    </row>
    <row r="10530" spans="1:2" x14ac:dyDescent="0.2">
      <c r="A10530" s="8" t="s">
        <v>10553</v>
      </c>
      <c r="B10530" s="2" t="s">
        <v>12472</v>
      </c>
    </row>
    <row r="10531" spans="1:2" x14ac:dyDescent="0.2">
      <c r="A10531" s="8" t="s">
        <v>10554</v>
      </c>
      <c r="B10531" s="2" t="s">
        <v>12472</v>
      </c>
    </row>
    <row r="10532" spans="1:2" x14ac:dyDescent="0.2">
      <c r="A10532" s="8" t="s">
        <v>10555</v>
      </c>
      <c r="B10532" s="2" t="s">
        <v>12472</v>
      </c>
    </row>
    <row r="10533" spans="1:2" x14ac:dyDescent="0.2">
      <c r="A10533" s="8" t="s">
        <v>10556</v>
      </c>
      <c r="B10533" s="2" t="s">
        <v>12472</v>
      </c>
    </row>
    <row r="10534" spans="1:2" x14ac:dyDescent="0.2">
      <c r="A10534" s="8" t="s">
        <v>10557</v>
      </c>
      <c r="B10534" s="2" t="s">
        <v>12472</v>
      </c>
    </row>
    <row r="10535" spans="1:2" x14ac:dyDescent="0.2">
      <c r="A10535" s="8" t="s">
        <v>10558</v>
      </c>
      <c r="B10535" s="2" t="s">
        <v>12472</v>
      </c>
    </row>
    <row r="10536" spans="1:2" x14ac:dyDescent="0.2">
      <c r="A10536" s="8" t="s">
        <v>10559</v>
      </c>
      <c r="B10536" s="2" t="s">
        <v>12472</v>
      </c>
    </row>
    <row r="10537" spans="1:2" x14ac:dyDescent="0.2">
      <c r="A10537" s="8" t="s">
        <v>10560</v>
      </c>
      <c r="B10537" s="2" t="s">
        <v>12472</v>
      </c>
    </row>
    <row r="10538" spans="1:2" x14ac:dyDescent="0.2">
      <c r="A10538" s="8" t="s">
        <v>10561</v>
      </c>
      <c r="B10538" s="2" t="s">
        <v>12472</v>
      </c>
    </row>
    <row r="10539" spans="1:2" x14ac:dyDescent="0.2">
      <c r="A10539" s="8" t="s">
        <v>10562</v>
      </c>
      <c r="B10539" s="2" t="s">
        <v>12472</v>
      </c>
    </row>
    <row r="10540" spans="1:2" x14ac:dyDescent="0.2">
      <c r="A10540" s="8" t="s">
        <v>10563</v>
      </c>
      <c r="B10540" s="2" t="s">
        <v>12472</v>
      </c>
    </row>
    <row r="10541" spans="1:2" x14ac:dyDescent="0.2">
      <c r="A10541" s="8" t="s">
        <v>10564</v>
      </c>
      <c r="B10541" s="2" t="s">
        <v>12472</v>
      </c>
    </row>
    <row r="10542" spans="1:2" x14ac:dyDescent="0.2">
      <c r="A10542" s="8" t="s">
        <v>10565</v>
      </c>
      <c r="B10542" s="2" t="s">
        <v>12472</v>
      </c>
    </row>
    <row r="10543" spans="1:2" x14ac:dyDescent="0.2">
      <c r="A10543" s="8" t="s">
        <v>10566</v>
      </c>
      <c r="B10543" s="2" t="s">
        <v>12472</v>
      </c>
    </row>
    <row r="10544" spans="1:2" x14ac:dyDescent="0.2">
      <c r="A10544" s="8" t="s">
        <v>10567</v>
      </c>
      <c r="B10544" s="2" t="s">
        <v>12472</v>
      </c>
    </row>
    <row r="10545" spans="1:2" x14ac:dyDescent="0.2">
      <c r="A10545" s="8" t="s">
        <v>10568</v>
      </c>
      <c r="B10545" s="2" t="s">
        <v>12472</v>
      </c>
    </row>
    <row r="10546" spans="1:2" x14ac:dyDescent="0.2">
      <c r="A10546" s="8" t="s">
        <v>10569</v>
      </c>
      <c r="B10546" s="2" t="s">
        <v>12472</v>
      </c>
    </row>
    <row r="10547" spans="1:2" x14ac:dyDescent="0.2">
      <c r="A10547" s="8" t="s">
        <v>10570</v>
      </c>
      <c r="B10547" s="2" t="s">
        <v>12472</v>
      </c>
    </row>
    <row r="10548" spans="1:2" x14ac:dyDescent="0.2">
      <c r="A10548" s="8" t="s">
        <v>10571</v>
      </c>
      <c r="B10548" s="2" t="s">
        <v>12472</v>
      </c>
    </row>
    <row r="10549" spans="1:2" x14ac:dyDescent="0.2">
      <c r="A10549" s="8" t="s">
        <v>10572</v>
      </c>
      <c r="B10549" s="2" t="s">
        <v>12472</v>
      </c>
    </row>
    <row r="10550" spans="1:2" x14ac:dyDescent="0.2">
      <c r="A10550" s="8" t="s">
        <v>10573</v>
      </c>
      <c r="B10550" s="2" t="s">
        <v>12472</v>
      </c>
    </row>
    <row r="10551" spans="1:2" x14ac:dyDescent="0.2">
      <c r="A10551" s="8" t="s">
        <v>10574</v>
      </c>
      <c r="B10551" s="2" t="s">
        <v>12472</v>
      </c>
    </row>
    <row r="10552" spans="1:2" x14ac:dyDescent="0.2">
      <c r="A10552" s="8" t="s">
        <v>10575</v>
      </c>
      <c r="B10552" s="2" t="s">
        <v>12472</v>
      </c>
    </row>
    <row r="10553" spans="1:2" x14ac:dyDescent="0.2">
      <c r="A10553" s="8" t="s">
        <v>10576</v>
      </c>
      <c r="B10553" s="2" t="s">
        <v>12472</v>
      </c>
    </row>
    <row r="10554" spans="1:2" x14ac:dyDescent="0.2">
      <c r="A10554" s="8" t="s">
        <v>10577</v>
      </c>
      <c r="B10554" s="2" t="s">
        <v>12472</v>
      </c>
    </row>
    <row r="10555" spans="1:2" x14ac:dyDescent="0.2">
      <c r="A10555" s="8" t="s">
        <v>10578</v>
      </c>
      <c r="B10555" s="2" t="s">
        <v>12472</v>
      </c>
    </row>
    <row r="10556" spans="1:2" x14ac:dyDescent="0.2">
      <c r="A10556" s="8" t="s">
        <v>10579</v>
      </c>
      <c r="B10556" s="2" t="s">
        <v>12472</v>
      </c>
    </row>
    <row r="10557" spans="1:2" x14ac:dyDescent="0.2">
      <c r="A10557" s="8" t="s">
        <v>10580</v>
      </c>
      <c r="B10557" s="2" t="s">
        <v>12472</v>
      </c>
    </row>
    <row r="10558" spans="1:2" x14ac:dyDescent="0.2">
      <c r="A10558" s="8" t="s">
        <v>10581</v>
      </c>
      <c r="B10558" s="2" t="s">
        <v>12472</v>
      </c>
    </row>
    <row r="10559" spans="1:2" x14ac:dyDescent="0.2">
      <c r="A10559" s="8" t="s">
        <v>10582</v>
      </c>
      <c r="B10559" s="2" t="s">
        <v>12472</v>
      </c>
    </row>
    <row r="10560" spans="1:2" x14ac:dyDescent="0.2">
      <c r="A10560" s="8" t="s">
        <v>10583</v>
      </c>
      <c r="B10560" s="2" t="s">
        <v>12472</v>
      </c>
    </row>
    <row r="10561" spans="1:2" x14ac:dyDescent="0.2">
      <c r="A10561" s="8" t="s">
        <v>10584</v>
      </c>
      <c r="B10561" s="2" t="s">
        <v>12472</v>
      </c>
    </row>
    <row r="10562" spans="1:2" x14ac:dyDescent="0.2">
      <c r="A10562" s="8" t="s">
        <v>10585</v>
      </c>
      <c r="B10562" s="2" t="s">
        <v>12472</v>
      </c>
    </row>
    <row r="10563" spans="1:2" x14ac:dyDescent="0.2">
      <c r="A10563" s="8" t="s">
        <v>10586</v>
      </c>
      <c r="B10563" s="2" t="s">
        <v>12472</v>
      </c>
    </row>
    <row r="10564" spans="1:2" x14ac:dyDescent="0.2">
      <c r="A10564" s="8" t="s">
        <v>10587</v>
      </c>
      <c r="B10564" s="2" t="s">
        <v>12472</v>
      </c>
    </row>
    <row r="10565" spans="1:2" x14ac:dyDescent="0.2">
      <c r="A10565" s="8" t="s">
        <v>10588</v>
      </c>
      <c r="B10565" s="2" t="s">
        <v>12472</v>
      </c>
    </row>
    <row r="10566" spans="1:2" x14ac:dyDescent="0.2">
      <c r="A10566" s="8" t="s">
        <v>10589</v>
      </c>
      <c r="B10566" s="2" t="s">
        <v>12472</v>
      </c>
    </row>
    <row r="10567" spans="1:2" x14ac:dyDescent="0.2">
      <c r="A10567" s="8" t="s">
        <v>10590</v>
      </c>
      <c r="B10567" s="2" t="s">
        <v>12472</v>
      </c>
    </row>
    <row r="10568" spans="1:2" x14ac:dyDescent="0.2">
      <c r="A10568" s="8" t="s">
        <v>10591</v>
      </c>
      <c r="B10568" s="2" t="s">
        <v>12472</v>
      </c>
    </row>
    <row r="10569" spans="1:2" x14ac:dyDescent="0.2">
      <c r="A10569" s="8" t="s">
        <v>10592</v>
      </c>
      <c r="B10569" s="2" t="s">
        <v>12472</v>
      </c>
    </row>
    <row r="10570" spans="1:2" x14ac:dyDescent="0.2">
      <c r="A10570" s="8" t="s">
        <v>10593</v>
      </c>
      <c r="B10570" s="2" t="s">
        <v>12472</v>
      </c>
    </row>
    <row r="10571" spans="1:2" x14ac:dyDescent="0.2">
      <c r="A10571" s="8" t="s">
        <v>10594</v>
      </c>
      <c r="B10571" s="2" t="s">
        <v>12472</v>
      </c>
    </row>
    <row r="10572" spans="1:2" x14ac:dyDescent="0.2">
      <c r="A10572" s="8" t="s">
        <v>10595</v>
      </c>
      <c r="B10572" s="2" t="s">
        <v>12472</v>
      </c>
    </row>
    <row r="10573" spans="1:2" x14ac:dyDescent="0.2">
      <c r="A10573" s="8" t="s">
        <v>10596</v>
      </c>
      <c r="B10573" s="2" t="s">
        <v>12472</v>
      </c>
    </row>
    <row r="10574" spans="1:2" x14ac:dyDescent="0.2">
      <c r="A10574" s="8" t="s">
        <v>10597</v>
      </c>
      <c r="B10574" s="2" t="s">
        <v>12472</v>
      </c>
    </row>
    <row r="10575" spans="1:2" x14ac:dyDescent="0.2">
      <c r="A10575" s="8" t="s">
        <v>10598</v>
      </c>
      <c r="B10575" s="2" t="s">
        <v>12472</v>
      </c>
    </row>
    <row r="10576" spans="1:2" x14ac:dyDescent="0.2">
      <c r="A10576" s="8" t="s">
        <v>10599</v>
      </c>
      <c r="B10576" s="2" t="s">
        <v>12472</v>
      </c>
    </row>
    <row r="10577" spans="1:2" x14ac:dyDescent="0.2">
      <c r="A10577" s="8" t="s">
        <v>10600</v>
      </c>
      <c r="B10577" s="2" t="s">
        <v>12472</v>
      </c>
    </row>
    <row r="10578" spans="1:2" x14ac:dyDescent="0.2">
      <c r="A10578" s="8" t="s">
        <v>10601</v>
      </c>
      <c r="B10578" s="2" t="s">
        <v>12472</v>
      </c>
    </row>
    <row r="10579" spans="1:2" x14ac:dyDescent="0.2">
      <c r="A10579" s="8" t="s">
        <v>10602</v>
      </c>
      <c r="B10579" s="2" t="s">
        <v>12472</v>
      </c>
    </row>
    <row r="10580" spans="1:2" x14ac:dyDescent="0.2">
      <c r="A10580" s="8" t="s">
        <v>10603</v>
      </c>
      <c r="B10580" s="2" t="s">
        <v>12472</v>
      </c>
    </row>
    <row r="10581" spans="1:2" x14ac:dyDescent="0.2">
      <c r="A10581" s="8" t="s">
        <v>10604</v>
      </c>
      <c r="B10581" s="2" t="s">
        <v>12472</v>
      </c>
    </row>
    <row r="10582" spans="1:2" x14ac:dyDescent="0.2">
      <c r="A10582" s="8" t="s">
        <v>10605</v>
      </c>
      <c r="B10582" s="2" t="s">
        <v>12472</v>
      </c>
    </row>
    <row r="10583" spans="1:2" x14ac:dyDescent="0.2">
      <c r="A10583" s="8" t="s">
        <v>10606</v>
      </c>
      <c r="B10583" s="2" t="s">
        <v>12472</v>
      </c>
    </row>
    <row r="10584" spans="1:2" x14ac:dyDescent="0.2">
      <c r="A10584" s="8" t="s">
        <v>10607</v>
      </c>
      <c r="B10584" s="2" t="s">
        <v>12472</v>
      </c>
    </row>
    <row r="10585" spans="1:2" x14ac:dyDescent="0.2">
      <c r="A10585" s="8" t="s">
        <v>10608</v>
      </c>
      <c r="B10585" s="2" t="s">
        <v>12472</v>
      </c>
    </row>
    <row r="10586" spans="1:2" x14ac:dyDescent="0.2">
      <c r="A10586" s="8" t="s">
        <v>10609</v>
      </c>
      <c r="B10586" s="2" t="s">
        <v>12472</v>
      </c>
    </row>
    <row r="10587" spans="1:2" x14ac:dyDescent="0.2">
      <c r="A10587" s="8" t="s">
        <v>10610</v>
      </c>
      <c r="B10587" s="2" t="s">
        <v>12472</v>
      </c>
    </row>
    <row r="10588" spans="1:2" x14ac:dyDescent="0.2">
      <c r="A10588" s="8" t="s">
        <v>10611</v>
      </c>
      <c r="B10588" s="2" t="s">
        <v>12472</v>
      </c>
    </row>
    <row r="10589" spans="1:2" x14ac:dyDescent="0.2">
      <c r="A10589" s="8" t="s">
        <v>10612</v>
      </c>
      <c r="B10589" s="2" t="s">
        <v>12472</v>
      </c>
    </row>
    <row r="10590" spans="1:2" x14ac:dyDescent="0.2">
      <c r="A10590" s="8" t="s">
        <v>10613</v>
      </c>
      <c r="B10590" s="2" t="s">
        <v>12472</v>
      </c>
    </row>
    <row r="10591" spans="1:2" x14ac:dyDescent="0.2">
      <c r="A10591" s="8" t="s">
        <v>10614</v>
      </c>
      <c r="B10591" s="2" t="s">
        <v>12472</v>
      </c>
    </row>
    <row r="10592" spans="1:2" x14ac:dyDescent="0.2">
      <c r="A10592" s="8" t="s">
        <v>10615</v>
      </c>
      <c r="B10592" s="2" t="s">
        <v>12472</v>
      </c>
    </row>
    <row r="10593" spans="1:2" x14ac:dyDescent="0.2">
      <c r="A10593" s="8" t="s">
        <v>10616</v>
      </c>
      <c r="B10593" s="2" t="s">
        <v>12472</v>
      </c>
    </row>
    <row r="10594" spans="1:2" x14ac:dyDescent="0.2">
      <c r="A10594" s="8" t="s">
        <v>10617</v>
      </c>
      <c r="B10594" s="2" t="s">
        <v>12472</v>
      </c>
    </row>
    <row r="10595" spans="1:2" x14ac:dyDescent="0.2">
      <c r="A10595" s="8" t="s">
        <v>10618</v>
      </c>
      <c r="B10595" s="2" t="s">
        <v>12472</v>
      </c>
    </row>
    <row r="10596" spans="1:2" x14ac:dyDescent="0.2">
      <c r="A10596" s="8" t="s">
        <v>10619</v>
      </c>
      <c r="B10596" s="2" t="s">
        <v>12472</v>
      </c>
    </row>
    <row r="10597" spans="1:2" x14ac:dyDescent="0.2">
      <c r="A10597" s="8" t="s">
        <v>10620</v>
      </c>
      <c r="B10597" s="2" t="s">
        <v>12472</v>
      </c>
    </row>
    <row r="10598" spans="1:2" x14ac:dyDescent="0.2">
      <c r="A10598" s="8" t="s">
        <v>10621</v>
      </c>
      <c r="B10598" s="2" t="s">
        <v>12472</v>
      </c>
    </row>
    <row r="10599" spans="1:2" x14ac:dyDescent="0.2">
      <c r="A10599" s="8" t="s">
        <v>10622</v>
      </c>
      <c r="B10599" s="2" t="s">
        <v>12472</v>
      </c>
    </row>
    <row r="10600" spans="1:2" x14ac:dyDescent="0.2">
      <c r="A10600" s="8" t="s">
        <v>10623</v>
      </c>
      <c r="B10600" s="2" t="s">
        <v>12472</v>
      </c>
    </row>
    <row r="10601" spans="1:2" x14ac:dyDescent="0.2">
      <c r="A10601" s="8" t="s">
        <v>10624</v>
      </c>
      <c r="B10601" s="2" t="s">
        <v>12472</v>
      </c>
    </row>
    <row r="10602" spans="1:2" x14ac:dyDescent="0.2">
      <c r="A10602" s="8" t="s">
        <v>10625</v>
      </c>
      <c r="B10602" s="2" t="s">
        <v>12472</v>
      </c>
    </row>
    <row r="10603" spans="1:2" x14ac:dyDescent="0.2">
      <c r="A10603" s="8" t="s">
        <v>10626</v>
      </c>
      <c r="B10603" s="2" t="s">
        <v>12472</v>
      </c>
    </row>
    <row r="10604" spans="1:2" x14ac:dyDescent="0.2">
      <c r="A10604" s="8" t="s">
        <v>10627</v>
      </c>
      <c r="B10604" s="2" t="s">
        <v>12472</v>
      </c>
    </row>
    <row r="10605" spans="1:2" x14ac:dyDescent="0.2">
      <c r="A10605" s="8" t="s">
        <v>10628</v>
      </c>
      <c r="B10605" s="2" t="s">
        <v>12472</v>
      </c>
    </row>
    <row r="10606" spans="1:2" x14ac:dyDescent="0.2">
      <c r="A10606" s="8" t="s">
        <v>10629</v>
      </c>
      <c r="B10606" s="2" t="s">
        <v>12472</v>
      </c>
    </row>
    <row r="10607" spans="1:2" x14ac:dyDescent="0.2">
      <c r="A10607" s="8" t="s">
        <v>10630</v>
      </c>
      <c r="B10607" s="2" t="s">
        <v>12472</v>
      </c>
    </row>
    <row r="10608" spans="1:2" x14ac:dyDescent="0.2">
      <c r="A10608" s="8" t="s">
        <v>10631</v>
      </c>
      <c r="B10608" s="2" t="s">
        <v>12472</v>
      </c>
    </row>
    <row r="10609" spans="1:2" x14ac:dyDescent="0.2">
      <c r="A10609" s="8" t="s">
        <v>10632</v>
      </c>
      <c r="B10609" s="2" t="s">
        <v>12472</v>
      </c>
    </row>
    <row r="10610" spans="1:2" x14ac:dyDescent="0.2">
      <c r="A10610" s="8" t="s">
        <v>10633</v>
      </c>
      <c r="B10610" s="2" t="s">
        <v>12472</v>
      </c>
    </row>
    <row r="10611" spans="1:2" x14ac:dyDescent="0.2">
      <c r="A10611" s="8" t="s">
        <v>10634</v>
      </c>
      <c r="B10611" s="2" t="s">
        <v>12472</v>
      </c>
    </row>
    <row r="10612" spans="1:2" x14ac:dyDescent="0.2">
      <c r="A10612" s="8" t="s">
        <v>10635</v>
      </c>
      <c r="B10612" s="2" t="s">
        <v>12472</v>
      </c>
    </row>
    <row r="10613" spans="1:2" x14ac:dyDescent="0.2">
      <c r="A10613" s="8" t="s">
        <v>10636</v>
      </c>
      <c r="B10613" s="2" t="s">
        <v>12472</v>
      </c>
    </row>
    <row r="10614" spans="1:2" x14ac:dyDescent="0.2">
      <c r="A10614" s="8" t="s">
        <v>10637</v>
      </c>
      <c r="B10614" s="2" t="s">
        <v>12472</v>
      </c>
    </row>
    <row r="10615" spans="1:2" x14ac:dyDescent="0.2">
      <c r="A10615" s="8" t="s">
        <v>10638</v>
      </c>
      <c r="B10615" s="2" t="s">
        <v>12472</v>
      </c>
    </row>
    <row r="10616" spans="1:2" x14ac:dyDescent="0.2">
      <c r="A10616" s="8" t="s">
        <v>10639</v>
      </c>
      <c r="B10616" s="2" t="s">
        <v>12472</v>
      </c>
    </row>
    <row r="10617" spans="1:2" x14ac:dyDescent="0.2">
      <c r="A10617" s="8" t="s">
        <v>10640</v>
      </c>
      <c r="B10617" s="2" t="s">
        <v>12472</v>
      </c>
    </row>
    <row r="10618" spans="1:2" x14ac:dyDescent="0.2">
      <c r="A10618" s="8" t="s">
        <v>10641</v>
      </c>
      <c r="B10618" s="2" t="s">
        <v>12472</v>
      </c>
    </row>
    <row r="10619" spans="1:2" x14ac:dyDescent="0.2">
      <c r="A10619" s="8" t="s">
        <v>10642</v>
      </c>
      <c r="B10619" s="2" t="s">
        <v>12472</v>
      </c>
    </row>
    <row r="10620" spans="1:2" x14ac:dyDescent="0.2">
      <c r="A10620" s="8" t="s">
        <v>10643</v>
      </c>
      <c r="B10620" s="2" t="s">
        <v>12472</v>
      </c>
    </row>
    <row r="10621" spans="1:2" x14ac:dyDescent="0.2">
      <c r="A10621" s="8" t="s">
        <v>10644</v>
      </c>
      <c r="B10621" s="2" t="s">
        <v>12472</v>
      </c>
    </row>
    <row r="10622" spans="1:2" x14ac:dyDescent="0.2">
      <c r="A10622" s="8" t="s">
        <v>10645</v>
      </c>
      <c r="B10622" s="2" t="s">
        <v>12472</v>
      </c>
    </row>
    <row r="10623" spans="1:2" x14ac:dyDescent="0.2">
      <c r="A10623" s="8" t="s">
        <v>10646</v>
      </c>
      <c r="B10623" s="2" t="s">
        <v>12472</v>
      </c>
    </row>
    <row r="10624" spans="1:2" x14ac:dyDescent="0.2">
      <c r="A10624" s="8" t="s">
        <v>10647</v>
      </c>
      <c r="B10624" s="2" t="s">
        <v>12472</v>
      </c>
    </row>
    <row r="10625" spans="1:2" x14ac:dyDescent="0.2">
      <c r="A10625" s="8" t="s">
        <v>10648</v>
      </c>
      <c r="B10625" s="2" t="s">
        <v>12472</v>
      </c>
    </row>
    <row r="10626" spans="1:2" x14ac:dyDescent="0.2">
      <c r="A10626" s="8" t="s">
        <v>10649</v>
      </c>
      <c r="B10626" s="2" t="s">
        <v>12472</v>
      </c>
    </row>
    <row r="10627" spans="1:2" x14ac:dyDescent="0.2">
      <c r="A10627" s="8" t="s">
        <v>10650</v>
      </c>
      <c r="B10627" s="2" t="s">
        <v>12472</v>
      </c>
    </row>
    <row r="10628" spans="1:2" x14ac:dyDescent="0.2">
      <c r="A10628" s="8" t="s">
        <v>10651</v>
      </c>
      <c r="B10628" s="2" t="s">
        <v>12472</v>
      </c>
    </row>
    <row r="10629" spans="1:2" x14ac:dyDescent="0.2">
      <c r="A10629" s="8" t="s">
        <v>10652</v>
      </c>
      <c r="B10629" s="2" t="s">
        <v>12472</v>
      </c>
    </row>
    <row r="10630" spans="1:2" x14ac:dyDescent="0.2">
      <c r="A10630" s="8" t="s">
        <v>10653</v>
      </c>
      <c r="B10630" s="2" t="s">
        <v>12472</v>
      </c>
    </row>
    <row r="10631" spans="1:2" x14ac:dyDescent="0.2">
      <c r="A10631" s="8" t="s">
        <v>10654</v>
      </c>
      <c r="B10631" s="2" t="s">
        <v>12472</v>
      </c>
    </row>
    <row r="10632" spans="1:2" x14ac:dyDescent="0.2">
      <c r="A10632" s="8" t="s">
        <v>10655</v>
      </c>
      <c r="B10632" s="2" t="s">
        <v>12472</v>
      </c>
    </row>
    <row r="10633" spans="1:2" x14ac:dyDescent="0.2">
      <c r="A10633" s="8" t="s">
        <v>10656</v>
      </c>
      <c r="B10633" s="2" t="s">
        <v>12472</v>
      </c>
    </row>
    <row r="10634" spans="1:2" x14ac:dyDescent="0.2">
      <c r="A10634" s="8" t="s">
        <v>10657</v>
      </c>
      <c r="B10634" s="2" t="s">
        <v>12472</v>
      </c>
    </row>
    <row r="10635" spans="1:2" x14ac:dyDescent="0.2">
      <c r="A10635" s="8" t="s">
        <v>10658</v>
      </c>
      <c r="B10635" s="2" t="s">
        <v>12472</v>
      </c>
    </row>
    <row r="10636" spans="1:2" x14ac:dyDescent="0.2">
      <c r="A10636" s="8" t="s">
        <v>10659</v>
      </c>
      <c r="B10636" s="2" t="s">
        <v>12472</v>
      </c>
    </row>
    <row r="10637" spans="1:2" x14ac:dyDescent="0.2">
      <c r="A10637" s="8" t="s">
        <v>10660</v>
      </c>
      <c r="B10637" s="2" t="s">
        <v>12472</v>
      </c>
    </row>
    <row r="10638" spans="1:2" x14ac:dyDescent="0.2">
      <c r="A10638" s="8" t="s">
        <v>10661</v>
      </c>
      <c r="B10638" s="2" t="s">
        <v>12472</v>
      </c>
    </row>
    <row r="10639" spans="1:2" x14ac:dyDescent="0.2">
      <c r="A10639" s="8" t="s">
        <v>10662</v>
      </c>
      <c r="B10639" s="2" t="s">
        <v>12472</v>
      </c>
    </row>
    <row r="10640" spans="1:2" x14ac:dyDescent="0.2">
      <c r="A10640" s="8" t="s">
        <v>10663</v>
      </c>
      <c r="B10640" s="2" t="s">
        <v>12472</v>
      </c>
    </row>
    <row r="10641" spans="1:2" x14ac:dyDescent="0.2">
      <c r="A10641" s="8" t="s">
        <v>10664</v>
      </c>
      <c r="B10641" s="2" t="s">
        <v>12472</v>
      </c>
    </row>
    <row r="10642" spans="1:2" x14ac:dyDescent="0.2">
      <c r="A10642" s="8" t="s">
        <v>10665</v>
      </c>
      <c r="B10642" s="2" t="s">
        <v>12472</v>
      </c>
    </row>
    <row r="10643" spans="1:2" x14ac:dyDescent="0.2">
      <c r="A10643" s="8" t="s">
        <v>10666</v>
      </c>
      <c r="B10643" s="2" t="s">
        <v>12472</v>
      </c>
    </row>
    <row r="10644" spans="1:2" x14ac:dyDescent="0.2">
      <c r="A10644" s="8" t="s">
        <v>10667</v>
      </c>
      <c r="B10644" s="2" t="s">
        <v>12472</v>
      </c>
    </row>
    <row r="10645" spans="1:2" x14ac:dyDescent="0.2">
      <c r="A10645" s="8" t="s">
        <v>10668</v>
      </c>
      <c r="B10645" s="2" t="s">
        <v>12472</v>
      </c>
    </row>
    <row r="10646" spans="1:2" x14ac:dyDescent="0.2">
      <c r="A10646" s="8" t="s">
        <v>10669</v>
      </c>
      <c r="B10646" s="2" t="s">
        <v>12472</v>
      </c>
    </row>
    <row r="10647" spans="1:2" x14ac:dyDescent="0.2">
      <c r="A10647" s="8" t="s">
        <v>10670</v>
      </c>
      <c r="B10647" s="2" t="s">
        <v>12472</v>
      </c>
    </row>
    <row r="10648" spans="1:2" x14ac:dyDescent="0.2">
      <c r="A10648" s="8" t="s">
        <v>10671</v>
      </c>
      <c r="B10648" s="2" t="s">
        <v>12472</v>
      </c>
    </row>
    <row r="10649" spans="1:2" x14ac:dyDescent="0.2">
      <c r="A10649" s="8" t="s">
        <v>10672</v>
      </c>
      <c r="B10649" s="2" t="s">
        <v>12472</v>
      </c>
    </row>
    <row r="10650" spans="1:2" x14ac:dyDescent="0.2">
      <c r="A10650" s="8" t="s">
        <v>10673</v>
      </c>
      <c r="B10650" s="2" t="s">
        <v>12472</v>
      </c>
    </row>
    <row r="10651" spans="1:2" x14ac:dyDescent="0.2">
      <c r="A10651" s="8" t="s">
        <v>10674</v>
      </c>
      <c r="B10651" s="2" t="s">
        <v>12472</v>
      </c>
    </row>
    <row r="10652" spans="1:2" x14ac:dyDescent="0.2">
      <c r="A10652" s="8" t="s">
        <v>10675</v>
      </c>
      <c r="B10652" s="2" t="s">
        <v>12472</v>
      </c>
    </row>
    <row r="10653" spans="1:2" x14ac:dyDescent="0.2">
      <c r="A10653" s="8" t="s">
        <v>10676</v>
      </c>
      <c r="B10653" s="2" t="s">
        <v>12472</v>
      </c>
    </row>
    <row r="10654" spans="1:2" x14ac:dyDescent="0.2">
      <c r="A10654" s="8" t="s">
        <v>10677</v>
      </c>
      <c r="B10654" s="2" t="s">
        <v>12472</v>
      </c>
    </row>
    <row r="10655" spans="1:2" x14ac:dyDescent="0.2">
      <c r="A10655" s="8" t="s">
        <v>10678</v>
      </c>
      <c r="B10655" s="2" t="s">
        <v>12472</v>
      </c>
    </row>
    <row r="10656" spans="1:2" x14ac:dyDescent="0.2">
      <c r="A10656" s="8" t="s">
        <v>10679</v>
      </c>
      <c r="B10656" s="2" t="s">
        <v>12472</v>
      </c>
    </row>
    <row r="10657" spans="1:2" x14ac:dyDescent="0.2">
      <c r="A10657" s="8" t="s">
        <v>10680</v>
      </c>
      <c r="B10657" s="2" t="s">
        <v>12472</v>
      </c>
    </row>
    <row r="10658" spans="1:2" x14ac:dyDescent="0.2">
      <c r="A10658" s="8" t="s">
        <v>10681</v>
      </c>
      <c r="B10658" s="2" t="s">
        <v>12472</v>
      </c>
    </row>
    <row r="10659" spans="1:2" x14ac:dyDescent="0.2">
      <c r="A10659" s="8" t="s">
        <v>10682</v>
      </c>
      <c r="B10659" s="2" t="s">
        <v>12472</v>
      </c>
    </row>
    <row r="10660" spans="1:2" x14ac:dyDescent="0.2">
      <c r="A10660" s="8" t="s">
        <v>10683</v>
      </c>
      <c r="B10660" s="2" t="s">
        <v>12472</v>
      </c>
    </row>
    <row r="10661" spans="1:2" x14ac:dyDescent="0.2">
      <c r="A10661" s="8" t="s">
        <v>10684</v>
      </c>
      <c r="B10661" s="2" t="s">
        <v>12472</v>
      </c>
    </row>
    <row r="10662" spans="1:2" x14ac:dyDescent="0.2">
      <c r="A10662" s="8" t="s">
        <v>10685</v>
      </c>
      <c r="B10662" s="2" t="s">
        <v>12472</v>
      </c>
    </row>
    <row r="10663" spans="1:2" x14ac:dyDescent="0.2">
      <c r="A10663" s="8" t="s">
        <v>10686</v>
      </c>
      <c r="B10663" s="2" t="s">
        <v>12472</v>
      </c>
    </row>
    <row r="10664" spans="1:2" x14ac:dyDescent="0.2">
      <c r="A10664" s="8" t="s">
        <v>10687</v>
      </c>
      <c r="B10664" s="2" t="s">
        <v>12472</v>
      </c>
    </row>
    <row r="10665" spans="1:2" x14ac:dyDescent="0.2">
      <c r="A10665" s="8" t="s">
        <v>10688</v>
      </c>
      <c r="B10665" s="2" t="s">
        <v>12472</v>
      </c>
    </row>
    <row r="10666" spans="1:2" x14ac:dyDescent="0.2">
      <c r="A10666" s="8" t="s">
        <v>10689</v>
      </c>
      <c r="B10666" s="2" t="s">
        <v>12472</v>
      </c>
    </row>
    <row r="10667" spans="1:2" x14ac:dyDescent="0.2">
      <c r="A10667" s="8" t="s">
        <v>10690</v>
      </c>
      <c r="B10667" s="2" t="s">
        <v>12472</v>
      </c>
    </row>
    <row r="10668" spans="1:2" x14ac:dyDescent="0.2">
      <c r="A10668" s="8" t="s">
        <v>10691</v>
      </c>
      <c r="B10668" s="2" t="s">
        <v>12472</v>
      </c>
    </row>
    <row r="10669" spans="1:2" x14ac:dyDescent="0.2">
      <c r="A10669" s="8" t="s">
        <v>10692</v>
      </c>
      <c r="B10669" s="2" t="s">
        <v>12472</v>
      </c>
    </row>
    <row r="10670" spans="1:2" x14ac:dyDescent="0.2">
      <c r="A10670" s="8" t="s">
        <v>10693</v>
      </c>
      <c r="B10670" s="2" t="s">
        <v>12472</v>
      </c>
    </row>
    <row r="10671" spans="1:2" x14ac:dyDescent="0.2">
      <c r="A10671" s="8" t="s">
        <v>10694</v>
      </c>
      <c r="B10671" s="2" t="s">
        <v>12472</v>
      </c>
    </row>
    <row r="10672" spans="1:2" x14ac:dyDescent="0.2">
      <c r="A10672" s="8" t="s">
        <v>10695</v>
      </c>
      <c r="B10672" s="2" t="s">
        <v>12472</v>
      </c>
    </row>
    <row r="10673" spans="1:2" x14ac:dyDescent="0.2">
      <c r="A10673" s="8" t="s">
        <v>10696</v>
      </c>
      <c r="B10673" s="2" t="s">
        <v>12472</v>
      </c>
    </row>
    <row r="10674" spans="1:2" x14ac:dyDescent="0.2">
      <c r="A10674" s="8" t="s">
        <v>10697</v>
      </c>
      <c r="B10674" s="2" t="s">
        <v>12472</v>
      </c>
    </row>
    <row r="10675" spans="1:2" x14ac:dyDescent="0.2">
      <c r="A10675" s="8" t="s">
        <v>10698</v>
      </c>
      <c r="B10675" s="2" t="s">
        <v>12472</v>
      </c>
    </row>
    <row r="10676" spans="1:2" x14ac:dyDescent="0.2">
      <c r="A10676" s="8" t="s">
        <v>10699</v>
      </c>
      <c r="B10676" s="2" t="s">
        <v>12472</v>
      </c>
    </row>
    <row r="10677" spans="1:2" x14ac:dyDescent="0.2">
      <c r="A10677" s="8" t="s">
        <v>10700</v>
      </c>
      <c r="B10677" s="2" t="s">
        <v>12472</v>
      </c>
    </row>
    <row r="10678" spans="1:2" x14ac:dyDescent="0.2">
      <c r="A10678" s="8" t="s">
        <v>10701</v>
      </c>
      <c r="B10678" s="2" t="s">
        <v>12472</v>
      </c>
    </row>
    <row r="10679" spans="1:2" x14ac:dyDescent="0.2">
      <c r="A10679" s="8" t="s">
        <v>10702</v>
      </c>
      <c r="B10679" s="2" t="s">
        <v>12472</v>
      </c>
    </row>
    <row r="10680" spans="1:2" x14ac:dyDescent="0.2">
      <c r="A10680" s="8" t="s">
        <v>10703</v>
      </c>
      <c r="B10680" s="2" t="s">
        <v>12472</v>
      </c>
    </row>
    <row r="10681" spans="1:2" x14ac:dyDescent="0.2">
      <c r="A10681" s="8" t="s">
        <v>10704</v>
      </c>
      <c r="B10681" s="2" t="s">
        <v>12472</v>
      </c>
    </row>
    <row r="10682" spans="1:2" x14ac:dyDescent="0.2">
      <c r="A10682" s="8" t="s">
        <v>10705</v>
      </c>
      <c r="B10682" s="2" t="s">
        <v>12472</v>
      </c>
    </row>
    <row r="10683" spans="1:2" x14ac:dyDescent="0.2">
      <c r="A10683" s="8" t="s">
        <v>10706</v>
      </c>
      <c r="B10683" s="2" t="s">
        <v>12472</v>
      </c>
    </row>
    <row r="10684" spans="1:2" x14ac:dyDescent="0.2">
      <c r="A10684" s="8" t="s">
        <v>10707</v>
      </c>
      <c r="B10684" s="2" t="s">
        <v>12472</v>
      </c>
    </row>
    <row r="10685" spans="1:2" x14ac:dyDescent="0.2">
      <c r="A10685" s="8" t="s">
        <v>10708</v>
      </c>
      <c r="B10685" s="2" t="s">
        <v>12472</v>
      </c>
    </row>
    <row r="10686" spans="1:2" x14ac:dyDescent="0.2">
      <c r="A10686" s="8" t="s">
        <v>10709</v>
      </c>
      <c r="B10686" s="2" t="s">
        <v>12472</v>
      </c>
    </row>
    <row r="10687" spans="1:2" x14ac:dyDescent="0.2">
      <c r="A10687" s="8" t="s">
        <v>10710</v>
      </c>
      <c r="B10687" s="2" t="s">
        <v>12472</v>
      </c>
    </row>
    <row r="10688" spans="1:2" x14ac:dyDescent="0.2">
      <c r="A10688" s="8" t="s">
        <v>10711</v>
      </c>
      <c r="B10688" s="2" t="s">
        <v>12472</v>
      </c>
    </row>
    <row r="10689" spans="1:2" x14ac:dyDescent="0.2">
      <c r="A10689" s="8" t="s">
        <v>10712</v>
      </c>
      <c r="B10689" s="2" t="s">
        <v>12472</v>
      </c>
    </row>
    <row r="10690" spans="1:2" x14ac:dyDescent="0.2">
      <c r="A10690" s="8" t="s">
        <v>10713</v>
      </c>
      <c r="B10690" s="2" t="s">
        <v>12472</v>
      </c>
    </row>
    <row r="10691" spans="1:2" x14ac:dyDescent="0.2">
      <c r="A10691" s="8" t="s">
        <v>10714</v>
      </c>
      <c r="B10691" s="2" t="s">
        <v>12472</v>
      </c>
    </row>
    <row r="10692" spans="1:2" x14ac:dyDescent="0.2">
      <c r="A10692" s="8" t="s">
        <v>10715</v>
      </c>
      <c r="B10692" s="2" t="s">
        <v>12472</v>
      </c>
    </row>
    <row r="10693" spans="1:2" x14ac:dyDescent="0.2">
      <c r="A10693" s="8" t="s">
        <v>10716</v>
      </c>
      <c r="B10693" s="2" t="s">
        <v>12472</v>
      </c>
    </row>
    <row r="10694" spans="1:2" x14ac:dyDescent="0.2">
      <c r="A10694" s="8" t="s">
        <v>10717</v>
      </c>
      <c r="B10694" s="2" t="s">
        <v>12472</v>
      </c>
    </row>
    <row r="10695" spans="1:2" x14ac:dyDescent="0.2">
      <c r="A10695" s="8" t="s">
        <v>10718</v>
      </c>
      <c r="B10695" s="2" t="s">
        <v>12472</v>
      </c>
    </row>
    <row r="10696" spans="1:2" x14ac:dyDescent="0.2">
      <c r="A10696" s="8" t="s">
        <v>10719</v>
      </c>
      <c r="B10696" s="2" t="s">
        <v>12472</v>
      </c>
    </row>
    <row r="10697" spans="1:2" x14ac:dyDescent="0.2">
      <c r="A10697" s="8" t="s">
        <v>10720</v>
      </c>
      <c r="B10697" s="2" t="s">
        <v>12472</v>
      </c>
    </row>
    <row r="10698" spans="1:2" x14ac:dyDescent="0.2">
      <c r="A10698" s="8" t="s">
        <v>10721</v>
      </c>
      <c r="B10698" s="2" t="s">
        <v>12472</v>
      </c>
    </row>
    <row r="10699" spans="1:2" x14ac:dyDescent="0.2">
      <c r="A10699" s="8" t="s">
        <v>10722</v>
      </c>
      <c r="B10699" s="2" t="s">
        <v>12472</v>
      </c>
    </row>
    <row r="10700" spans="1:2" x14ac:dyDescent="0.2">
      <c r="A10700" s="8" t="s">
        <v>10723</v>
      </c>
      <c r="B10700" s="2" t="s">
        <v>12472</v>
      </c>
    </row>
    <row r="10701" spans="1:2" x14ac:dyDescent="0.2">
      <c r="A10701" s="8" t="s">
        <v>10724</v>
      </c>
      <c r="B10701" s="2" t="s">
        <v>12472</v>
      </c>
    </row>
    <row r="10702" spans="1:2" x14ac:dyDescent="0.2">
      <c r="A10702" s="8" t="s">
        <v>10725</v>
      </c>
      <c r="B10702" s="2" t="s">
        <v>12472</v>
      </c>
    </row>
    <row r="10703" spans="1:2" x14ac:dyDescent="0.2">
      <c r="A10703" s="8" t="s">
        <v>10726</v>
      </c>
      <c r="B10703" s="2" t="s">
        <v>12472</v>
      </c>
    </row>
    <row r="10704" spans="1:2" x14ac:dyDescent="0.2">
      <c r="A10704" s="8" t="s">
        <v>10727</v>
      </c>
      <c r="B10704" s="2" t="s">
        <v>12472</v>
      </c>
    </row>
    <row r="10705" spans="1:2" x14ac:dyDescent="0.2">
      <c r="A10705" s="8" t="s">
        <v>10728</v>
      </c>
      <c r="B10705" s="2" t="s">
        <v>12472</v>
      </c>
    </row>
    <row r="10706" spans="1:2" x14ac:dyDescent="0.2">
      <c r="A10706" s="8" t="s">
        <v>10729</v>
      </c>
      <c r="B10706" s="2" t="s">
        <v>12472</v>
      </c>
    </row>
    <row r="10707" spans="1:2" x14ac:dyDescent="0.2">
      <c r="A10707" s="8" t="s">
        <v>10730</v>
      </c>
      <c r="B10707" s="2" t="s">
        <v>12472</v>
      </c>
    </row>
    <row r="10708" spans="1:2" x14ac:dyDescent="0.2">
      <c r="A10708" s="8" t="s">
        <v>10731</v>
      </c>
      <c r="B10708" s="2" t="s">
        <v>12472</v>
      </c>
    </row>
    <row r="10709" spans="1:2" x14ac:dyDescent="0.2">
      <c r="A10709" s="8" t="s">
        <v>10732</v>
      </c>
      <c r="B10709" s="2" t="s">
        <v>12472</v>
      </c>
    </row>
    <row r="10710" spans="1:2" x14ac:dyDescent="0.2">
      <c r="A10710" s="8" t="s">
        <v>10733</v>
      </c>
      <c r="B10710" s="2" t="s">
        <v>12472</v>
      </c>
    </row>
    <row r="10711" spans="1:2" x14ac:dyDescent="0.2">
      <c r="A10711" s="8" t="s">
        <v>10734</v>
      </c>
      <c r="B10711" s="2" t="s">
        <v>12472</v>
      </c>
    </row>
    <row r="10712" spans="1:2" x14ac:dyDescent="0.2">
      <c r="A10712" s="8" t="s">
        <v>10735</v>
      </c>
      <c r="B10712" s="2" t="s">
        <v>12472</v>
      </c>
    </row>
    <row r="10713" spans="1:2" x14ac:dyDescent="0.2">
      <c r="A10713" s="8" t="s">
        <v>10736</v>
      </c>
      <c r="B10713" s="2" t="s">
        <v>12472</v>
      </c>
    </row>
    <row r="10714" spans="1:2" x14ac:dyDescent="0.2">
      <c r="A10714" s="8" t="s">
        <v>10737</v>
      </c>
      <c r="B10714" s="2" t="s">
        <v>12472</v>
      </c>
    </row>
    <row r="10715" spans="1:2" x14ac:dyDescent="0.2">
      <c r="A10715" s="8" t="s">
        <v>10738</v>
      </c>
      <c r="B10715" s="2" t="s">
        <v>12472</v>
      </c>
    </row>
    <row r="10716" spans="1:2" x14ac:dyDescent="0.2">
      <c r="A10716" s="8" t="s">
        <v>10739</v>
      </c>
      <c r="B10716" s="2" t="s">
        <v>12472</v>
      </c>
    </row>
    <row r="10717" spans="1:2" x14ac:dyDescent="0.2">
      <c r="A10717" s="8" t="s">
        <v>10740</v>
      </c>
      <c r="B10717" s="2" t="s">
        <v>12472</v>
      </c>
    </row>
    <row r="10718" spans="1:2" x14ac:dyDescent="0.2">
      <c r="A10718" s="8" t="s">
        <v>10741</v>
      </c>
      <c r="B10718" s="2" t="s">
        <v>12472</v>
      </c>
    </row>
    <row r="10719" spans="1:2" x14ac:dyDescent="0.2">
      <c r="A10719" s="8" t="s">
        <v>10742</v>
      </c>
      <c r="B10719" s="2" t="s">
        <v>12472</v>
      </c>
    </row>
    <row r="10720" spans="1:2" x14ac:dyDescent="0.2">
      <c r="A10720" s="8" t="s">
        <v>10743</v>
      </c>
      <c r="B10720" s="2" t="s">
        <v>12472</v>
      </c>
    </row>
    <row r="10721" spans="1:2" x14ac:dyDescent="0.2">
      <c r="A10721" s="8" t="s">
        <v>10744</v>
      </c>
      <c r="B10721" s="2" t="s">
        <v>12472</v>
      </c>
    </row>
    <row r="10722" spans="1:2" x14ac:dyDescent="0.2">
      <c r="A10722" s="8" t="s">
        <v>10745</v>
      </c>
      <c r="B10722" s="2" t="s">
        <v>12472</v>
      </c>
    </row>
    <row r="10723" spans="1:2" x14ac:dyDescent="0.2">
      <c r="A10723" s="8" t="s">
        <v>10746</v>
      </c>
      <c r="B10723" s="2" t="s">
        <v>12472</v>
      </c>
    </row>
    <row r="10724" spans="1:2" x14ac:dyDescent="0.2">
      <c r="A10724" s="8" t="s">
        <v>10747</v>
      </c>
      <c r="B10724" s="2" t="s">
        <v>12472</v>
      </c>
    </row>
    <row r="10725" spans="1:2" x14ac:dyDescent="0.2">
      <c r="A10725" s="8" t="s">
        <v>10748</v>
      </c>
      <c r="B10725" s="2" t="s">
        <v>12472</v>
      </c>
    </row>
    <row r="10726" spans="1:2" x14ac:dyDescent="0.2">
      <c r="A10726" s="8" t="s">
        <v>10749</v>
      </c>
      <c r="B10726" s="2" t="s">
        <v>12472</v>
      </c>
    </row>
    <row r="10727" spans="1:2" x14ac:dyDescent="0.2">
      <c r="A10727" s="8" t="s">
        <v>10750</v>
      </c>
      <c r="B10727" s="2" t="s">
        <v>12472</v>
      </c>
    </row>
    <row r="10728" spans="1:2" x14ac:dyDescent="0.2">
      <c r="A10728" s="8" t="s">
        <v>10751</v>
      </c>
      <c r="B10728" s="2" t="s">
        <v>12472</v>
      </c>
    </row>
    <row r="10729" spans="1:2" x14ac:dyDescent="0.2">
      <c r="A10729" s="8" t="s">
        <v>10752</v>
      </c>
      <c r="B10729" s="2" t="s">
        <v>12472</v>
      </c>
    </row>
    <row r="10730" spans="1:2" x14ac:dyDescent="0.2">
      <c r="A10730" s="8" t="s">
        <v>10753</v>
      </c>
      <c r="B10730" s="2" t="s">
        <v>12472</v>
      </c>
    </row>
    <row r="10731" spans="1:2" x14ac:dyDescent="0.2">
      <c r="A10731" s="8" t="s">
        <v>10754</v>
      </c>
      <c r="B10731" s="2" t="s">
        <v>12472</v>
      </c>
    </row>
    <row r="10732" spans="1:2" x14ac:dyDescent="0.2">
      <c r="A10732" s="8" t="s">
        <v>10755</v>
      </c>
      <c r="B10732" s="2" t="s">
        <v>12472</v>
      </c>
    </row>
    <row r="10733" spans="1:2" x14ac:dyDescent="0.2">
      <c r="A10733" s="8" t="s">
        <v>10756</v>
      </c>
      <c r="B10733" s="2" t="s">
        <v>12472</v>
      </c>
    </row>
    <row r="10734" spans="1:2" x14ac:dyDescent="0.2">
      <c r="A10734" s="8" t="s">
        <v>10757</v>
      </c>
      <c r="B10734" s="2" t="s">
        <v>12472</v>
      </c>
    </row>
    <row r="10735" spans="1:2" x14ac:dyDescent="0.2">
      <c r="A10735" s="8" t="s">
        <v>10758</v>
      </c>
      <c r="B10735" s="2" t="s">
        <v>12472</v>
      </c>
    </row>
    <row r="10736" spans="1:2" x14ac:dyDescent="0.2">
      <c r="A10736" s="8" t="s">
        <v>10759</v>
      </c>
      <c r="B10736" s="2" t="s">
        <v>12472</v>
      </c>
    </row>
    <row r="10737" spans="1:2" x14ac:dyDescent="0.2">
      <c r="A10737" s="8" t="s">
        <v>10760</v>
      </c>
      <c r="B10737" s="2" t="s">
        <v>12472</v>
      </c>
    </row>
    <row r="10738" spans="1:2" x14ac:dyDescent="0.2">
      <c r="A10738" s="8" t="s">
        <v>10761</v>
      </c>
      <c r="B10738" s="2" t="s">
        <v>12472</v>
      </c>
    </row>
    <row r="10739" spans="1:2" x14ac:dyDescent="0.2">
      <c r="A10739" s="8" t="s">
        <v>10762</v>
      </c>
      <c r="B10739" s="2" t="s">
        <v>12472</v>
      </c>
    </row>
    <row r="10740" spans="1:2" x14ac:dyDescent="0.2">
      <c r="A10740" s="8" t="s">
        <v>10763</v>
      </c>
      <c r="B10740" s="2" t="s">
        <v>12472</v>
      </c>
    </row>
    <row r="10741" spans="1:2" x14ac:dyDescent="0.2">
      <c r="A10741" s="8" t="s">
        <v>10764</v>
      </c>
      <c r="B10741" s="2" t="s">
        <v>12472</v>
      </c>
    </row>
    <row r="10742" spans="1:2" x14ac:dyDescent="0.2">
      <c r="A10742" s="8" t="s">
        <v>10765</v>
      </c>
      <c r="B10742" s="2" t="s">
        <v>12472</v>
      </c>
    </row>
    <row r="10743" spans="1:2" x14ac:dyDescent="0.2">
      <c r="A10743" s="8" t="s">
        <v>10766</v>
      </c>
      <c r="B10743" s="2" t="s">
        <v>12472</v>
      </c>
    </row>
    <row r="10744" spans="1:2" x14ac:dyDescent="0.2">
      <c r="A10744" s="8" t="s">
        <v>10767</v>
      </c>
      <c r="B10744" s="2" t="s">
        <v>12472</v>
      </c>
    </row>
    <row r="10745" spans="1:2" x14ac:dyDescent="0.2">
      <c r="A10745" s="8" t="s">
        <v>10768</v>
      </c>
      <c r="B10745" s="2" t="s">
        <v>12472</v>
      </c>
    </row>
    <row r="10746" spans="1:2" x14ac:dyDescent="0.2">
      <c r="A10746" s="8" t="s">
        <v>10769</v>
      </c>
      <c r="B10746" s="2" t="s">
        <v>12472</v>
      </c>
    </row>
    <row r="10747" spans="1:2" x14ac:dyDescent="0.2">
      <c r="A10747" s="8" t="s">
        <v>10770</v>
      </c>
      <c r="B10747" s="2" t="s">
        <v>12472</v>
      </c>
    </row>
    <row r="10748" spans="1:2" x14ac:dyDescent="0.2">
      <c r="A10748" s="8" t="s">
        <v>10771</v>
      </c>
      <c r="B10748" s="2" t="s">
        <v>12472</v>
      </c>
    </row>
    <row r="10749" spans="1:2" x14ac:dyDescent="0.2">
      <c r="A10749" s="8" t="s">
        <v>10772</v>
      </c>
      <c r="B10749" s="2" t="s">
        <v>12472</v>
      </c>
    </row>
    <row r="10750" spans="1:2" x14ac:dyDescent="0.2">
      <c r="A10750" s="8" t="s">
        <v>10773</v>
      </c>
      <c r="B10750" s="2" t="s">
        <v>12472</v>
      </c>
    </row>
    <row r="10751" spans="1:2" x14ac:dyDescent="0.2">
      <c r="A10751" s="8" t="s">
        <v>10774</v>
      </c>
      <c r="B10751" s="2" t="s">
        <v>12472</v>
      </c>
    </row>
    <row r="10752" spans="1:2" x14ac:dyDescent="0.2">
      <c r="A10752" s="8" t="s">
        <v>10775</v>
      </c>
      <c r="B10752" s="2" t="s">
        <v>12472</v>
      </c>
    </row>
    <row r="10753" spans="1:2" x14ac:dyDescent="0.2">
      <c r="A10753" s="8" t="s">
        <v>10776</v>
      </c>
      <c r="B10753" s="2" t="s">
        <v>12472</v>
      </c>
    </row>
    <row r="10754" spans="1:2" x14ac:dyDescent="0.2">
      <c r="A10754" s="8" t="s">
        <v>10777</v>
      </c>
      <c r="B10754" s="2" t="s">
        <v>12472</v>
      </c>
    </row>
    <row r="10755" spans="1:2" x14ac:dyDescent="0.2">
      <c r="A10755" s="8" t="s">
        <v>10778</v>
      </c>
      <c r="B10755" s="2" t="s">
        <v>12472</v>
      </c>
    </row>
    <row r="10756" spans="1:2" x14ac:dyDescent="0.2">
      <c r="A10756" s="8" t="s">
        <v>10779</v>
      </c>
      <c r="B10756" s="2" t="s">
        <v>12472</v>
      </c>
    </row>
    <row r="10757" spans="1:2" x14ac:dyDescent="0.2">
      <c r="A10757" s="8" t="s">
        <v>10780</v>
      </c>
      <c r="B10757" s="2" t="s">
        <v>12472</v>
      </c>
    </row>
    <row r="10758" spans="1:2" x14ac:dyDescent="0.2">
      <c r="A10758" s="8" t="s">
        <v>10781</v>
      </c>
      <c r="B10758" s="2" t="s">
        <v>12472</v>
      </c>
    </row>
    <row r="10759" spans="1:2" x14ac:dyDescent="0.2">
      <c r="A10759" s="8" t="s">
        <v>10782</v>
      </c>
      <c r="B10759" s="2" t="s">
        <v>12472</v>
      </c>
    </row>
    <row r="10760" spans="1:2" x14ac:dyDescent="0.2">
      <c r="A10760" s="8" t="s">
        <v>10783</v>
      </c>
      <c r="B10760" s="2" t="s">
        <v>12472</v>
      </c>
    </row>
    <row r="10761" spans="1:2" x14ac:dyDescent="0.2">
      <c r="A10761" s="8" t="s">
        <v>10784</v>
      </c>
      <c r="B10761" s="2" t="s">
        <v>12472</v>
      </c>
    </row>
    <row r="10762" spans="1:2" x14ac:dyDescent="0.2">
      <c r="A10762" s="8" t="s">
        <v>10785</v>
      </c>
      <c r="B10762" s="2" t="s">
        <v>12472</v>
      </c>
    </row>
    <row r="10763" spans="1:2" x14ac:dyDescent="0.2">
      <c r="A10763" s="8" t="s">
        <v>10786</v>
      </c>
      <c r="B10763" s="2" t="s">
        <v>12472</v>
      </c>
    </row>
    <row r="10764" spans="1:2" x14ac:dyDescent="0.2">
      <c r="A10764" s="8" t="s">
        <v>10787</v>
      </c>
      <c r="B10764" s="2" t="s">
        <v>12472</v>
      </c>
    </row>
    <row r="10765" spans="1:2" x14ac:dyDescent="0.2">
      <c r="A10765" s="8" t="s">
        <v>10788</v>
      </c>
      <c r="B10765" s="2" t="s">
        <v>12472</v>
      </c>
    </row>
    <row r="10766" spans="1:2" x14ac:dyDescent="0.2">
      <c r="A10766" s="8" t="s">
        <v>10789</v>
      </c>
      <c r="B10766" s="2" t="s">
        <v>12472</v>
      </c>
    </row>
    <row r="10767" spans="1:2" x14ac:dyDescent="0.2">
      <c r="A10767" s="8" t="s">
        <v>10790</v>
      </c>
      <c r="B10767" s="2" t="s">
        <v>12472</v>
      </c>
    </row>
    <row r="10768" spans="1:2" x14ac:dyDescent="0.2">
      <c r="A10768" s="8" t="s">
        <v>10791</v>
      </c>
      <c r="B10768" s="2" t="s">
        <v>12472</v>
      </c>
    </row>
    <row r="10769" spans="1:2" x14ac:dyDescent="0.2">
      <c r="A10769" s="8" t="s">
        <v>10792</v>
      </c>
      <c r="B10769" s="2" t="s">
        <v>12472</v>
      </c>
    </row>
    <row r="10770" spans="1:2" x14ac:dyDescent="0.2">
      <c r="A10770" s="8" t="s">
        <v>10793</v>
      </c>
      <c r="B10770" s="2" t="s">
        <v>12472</v>
      </c>
    </row>
    <row r="10771" spans="1:2" x14ac:dyDescent="0.2">
      <c r="A10771" s="8" t="s">
        <v>10794</v>
      </c>
      <c r="B10771" s="2" t="s">
        <v>12472</v>
      </c>
    </row>
    <row r="10772" spans="1:2" x14ac:dyDescent="0.2">
      <c r="A10772" s="8" t="s">
        <v>10795</v>
      </c>
      <c r="B10772" s="2" t="s">
        <v>12472</v>
      </c>
    </row>
    <row r="10773" spans="1:2" x14ac:dyDescent="0.2">
      <c r="A10773" s="8" t="s">
        <v>10796</v>
      </c>
      <c r="B10773" s="2" t="s">
        <v>12472</v>
      </c>
    </row>
    <row r="10774" spans="1:2" x14ac:dyDescent="0.2">
      <c r="A10774" s="8" t="s">
        <v>10797</v>
      </c>
      <c r="B10774" s="2" t="s">
        <v>12472</v>
      </c>
    </row>
    <row r="10775" spans="1:2" x14ac:dyDescent="0.2">
      <c r="A10775" s="8" t="s">
        <v>10798</v>
      </c>
      <c r="B10775" s="2" t="s">
        <v>12472</v>
      </c>
    </row>
    <row r="10776" spans="1:2" x14ac:dyDescent="0.2">
      <c r="A10776" s="8" t="s">
        <v>10799</v>
      </c>
      <c r="B10776" s="2" t="s">
        <v>12472</v>
      </c>
    </row>
    <row r="10777" spans="1:2" x14ac:dyDescent="0.2">
      <c r="A10777" s="8" t="s">
        <v>10800</v>
      </c>
      <c r="B10777" s="2" t="s">
        <v>12472</v>
      </c>
    </row>
    <row r="10778" spans="1:2" x14ac:dyDescent="0.2">
      <c r="A10778" s="8" t="s">
        <v>10801</v>
      </c>
      <c r="B10778" s="2" t="s">
        <v>12472</v>
      </c>
    </row>
    <row r="10779" spans="1:2" x14ac:dyDescent="0.2">
      <c r="A10779" s="8" t="s">
        <v>10802</v>
      </c>
      <c r="B10779" s="2" t="s">
        <v>12472</v>
      </c>
    </row>
    <row r="10780" spans="1:2" x14ac:dyDescent="0.2">
      <c r="A10780" s="8" t="s">
        <v>10803</v>
      </c>
      <c r="B10780" s="2" t="s">
        <v>12472</v>
      </c>
    </row>
    <row r="10781" spans="1:2" x14ac:dyDescent="0.2">
      <c r="A10781" s="8" t="s">
        <v>10804</v>
      </c>
      <c r="B10781" s="2" t="s">
        <v>12472</v>
      </c>
    </row>
    <row r="10782" spans="1:2" x14ac:dyDescent="0.2">
      <c r="A10782" s="8" t="s">
        <v>10805</v>
      </c>
      <c r="B10782" s="2" t="s">
        <v>12472</v>
      </c>
    </row>
    <row r="10783" spans="1:2" x14ac:dyDescent="0.2">
      <c r="A10783" s="8" t="s">
        <v>10806</v>
      </c>
      <c r="B10783" s="2" t="s">
        <v>12472</v>
      </c>
    </row>
    <row r="10784" spans="1:2" x14ac:dyDescent="0.2">
      <c r="A10784" s="8" t="s">
        <v>10807</v>
      </c>
      <c r="B10784" s="2" t="s">
        <v>12472</v>
      </c>
    </row>
    <row r="10785" spans="1:2" x14ac:dyDescent="0.2">
      <c r="A10785" s="8" t="s">
        <v>10808</v>
      </c>
      <c r="B10785" s="2" t="s">
        <v>12472</v>
      </c>
    </row>
    <row r="10786" spans="1:2" x14ac:dyDescent="0.2">
      <c r="A10786" s="8" t="s">
        <v>10809</v>
      </c>
      <c r="B10786" s="2" t="s">
        <v>12472</v>
      </c>
    </row>
    <row r="10787" spans="1:2" x14ac:dyDescent="0.2">
      <c r="A10787" s="8" t="s">
        <v>10810</v>
      </c>
      <c r="B10787" s="2" t="s">
        <v>12472</v>
      </c>
    </row>
    <row r="10788" spans="1:2" x14ac:dyDescent="0.2">
      <c r="A10788" s="8" t="s">
        <v>10811</v>
      </c>
      <c r="B10788" s="2" t="s">
        <v>12472</v>
      </c>
    </row>
    <row r="10789" spans="1:2" x14ac:dyDescent="0.2">
      <c r="A10789" s="8" t="s">
        <v>10812</v>
      </c>
      <c r="B10789" s="2" t="s">
        <v>12472</v>
      </c>
    </row>
    <row r="10790" spans="1:2" x14ac:dyDescent="0.2">
      <c r="A10790" s="8" t="s">
        <v>10813</v>
      </c>
      <c r="B10790" s="2" t="s">
        <v>12472</v>
      </c>
    </row>
    <row r="10791" spans="1:2" x14ac:dyDescent="0.2">
      <c r="A10791" s="8" t="s">
        <v>10814</v>
      </c>
      <c r="B10791" s="2" t="s">
        <v>12472</v>
      </c>
    </row>
    <row r="10792" spans="1:2" x14ac:dyDescent="0.2">
      <c r="A10792" s="8" t="s">
        <v>10815</v>
      </c>
      <c r="B10792" s="2" t="s">
        <v>12472</v>
      </c>
    </row>
    <row r="10793" spans="1:2" x14ac:dyDescent="0.2">
      <c r="A10793" s="8" t="s">
        <v>10816</v>
      </c>
      <c r="B10793" s="2" t="s">
        <v>12472</v>
      </c>
    </row>
    <row r="10794" spans="1:2" x14ac:dyDescent="0.2">
      <c r="A10794" s="8" t="s">
        <v>10817</v>
      </c>
      <c r="B10794" s="2" t="s">
        <v>12472</v>
      </c>
    </row>
    <row r="10795" spans="1:2" x14ac:dyDescent="0.2">
      <c r="A10795" s="8" t="s">
        <v>10818</v>
      </c>
      <c r="B10795" s="2" t="s">
        <v>12472</v>
      </c>
    </row>
    <row r="10796" spans="1:2" x14ac:dyDescent="0.2">
      <c r="A10796" s="8" t="s">
        <v>10819</v>
      </c>
      <c r="B10796" s="2" t="s">
        <v>12472</v>
      </c>
    </row>
    <row r="10797" spans="1:2" x14ac:dyDescent="0.2">
      <c r="A10797" s="8" t="s">
        <v>10820</v>
      </c>
      <c r="B10797" s="2" t="s">
        <v>12472</v>
      </c>
    </row>
    <row r="10798" spans="1:2" x14ac:dyDescent="0.2">
      <c r="A10798" s="8" t="s">
        <v>10821</v>
      </c>
      <c r="B10798" s="2" t="s">
        <v>12472</v>
      </c>
    </row>
    <row r="10799" spans="1:2" x14ac:dyDescent="0.2">
      <c r="A10799" s="8" t="s">
        <v>10822</v>
      </c>
      <c r="B10799" s="2" t="s">
        <v>12472</v>
      </c>
    </row>
    <row r="10800" spans="1:2" x14ac:dyDescent="0.2">
      <c r="A10800" s="8" t="s">
        <v>10823</v>
      </c>
      <c r="B10800" s="2" t="s">
        <v>12472</v>
      </c>
    </row>
    <row r="10801" spans="1:2" x14ac:dyDescent="0.2">
      <c r="A10801" s="8" t="s">
        <v>10824</v>
      </c>
      <c r="B10801" s="2" t="s">
        <v>12472</v>
      </c>
    </row>
    <row r="10802" spans="1:2" x14ac:dyDescent="0.2">
      <c r="A10802" s="8" t="s">
        <v>10825</v>
      </c>
      <c r="B10802" s="2" t="s">
        <v>12472</v>
      </c>
    </row>
    <row r="10803" spans="1:2" x14ac:dyDescent="0.2">
      <c r="A10803" s="8" t="s">
        <v>10826</v>
      </c>
      <c r="B10803" s="2" t="s">
        <v>12472</v>
      </c>
    </row>
    <row r="10804" spans="1:2" x14ac:dyDescent="0.2">
      <c r="A10804" s="8" t="s">
        <v>10827</v>
      </c>
      <c r="B10804" s="2" t="s">
        <v>12472</v>
      </c>
    </row>
    <row r="10805" spans="1:2" x14ac:dyDescent="0.2">
      <c r="A10805" s="8" t="s">
        <v>10828</v>
      </c>
      <c r="B10805" s="2" t="s">
        <v>12472</v>
      </c>
    </row>
    <row r="10806" spans="1:2" x14ac:dyDescent="0.2">
      <c r="A10806" s="8" t="s">
        <v>10829</v>
      </c>
      <c r="B10806" s="2" t="s">
        <v>12472</v>
      </c>
    </row>
    <row r="10807" spans="1:2" x14ac:dyDescent="0.2">
      <c r="A10807" s="8" t="s">
        <v>10830</v>
      </c>
      <c r="B10807" s="2" t="s">
        <v>12472</v>
      </c>
    </row>
    <row r="10808" spans="1:2" x14ac:dyDescent="0.2">
      <c r="A10808" s="8" t="s">
        <v>10831</v>
      </c>
      <c r="B10808" s="2" t="s">
        <v>12472</v>
      </c>
    </row>
    <row r="10809" spans="1:2" x14ac:dyDescent="0.2">
      <c r="A10809" s="8" t="s">
        <v>10832</v>
      </c>
      <c r="B10809" s="2" t="s">
        <v>12472</v>
      </c>
    </row>
    <row r="10810" spans="1:2" x14ac:dyDescent="0.2">
      <c r="A10810" s="8" t="s">
        <v>10833</v>
      </c>
      <c r="B10810" s="2" t="s">
        <v>12472</v>
      </c>
    </row>
    <row r="10811" spans="1:2" x14ac:dyDescent="0.2">
      <c r="A10811" s="8" t="s">
        <v>10834</v>
      </c>
      <c r="B10811" s="2" t="s">
        <v>12472</v>
      </c>
    </row>
    <row r="10812" spans="1:2" x14ac:dyDescent="0.2">
      <c r="A10812" s="8" t="s">
        <v>10835</v>
      </c>
      <c r="B10812" s="2" t="s">
        <v>12472</v>
      </c>
    </row>
    <row r="10813" spans="1:2" x14ac:dyDescent="0.2">
      <c r="A10813" s="8" t="s">
        <v>10836</v>
      </c>
      <c r="B10813" s="2" t="s">
        <v>12472</v>
      </c>
    </row>
    <row r="10814" spans="1:2" x14ac:dyDescent="0.2">
      <c r="A10814" s="8" t="s">
        <v>10837</v>
      </c>
      <c r="B10814" s="2" t="s">
        <v>12472</v>
      </c>
    </row>
    <row r="10815" spans="1:2" x14ac:dyDescent="0.2">
      <c r="A10815" s="8" t="s">
        <v>10838</v>
      </c>
      <c r="B10815" s="2" t="s">
        <v>12472</v>
      </c>
    </row>
    <row r="10816" spans="1:2" x14ac:dyDescent="0.2">
      <c r="A10816" s="8" t="s">
        <v>10839</v>
      </c>
      <c r="B10816" s="2" t="s">
        <v>12472</v>
      </c>
    </row>
    <row r="10817" spans="1:2" x14ac:dyDescent="0.2">
      <c r="A10817" s="8" t="s">
        <v>10840</v>
      </c>
      <c r="B10817" s="2" t="s">
        <v>12472</v>
      </c>
    </row>
    <row r="10818" spans="1:2" x14ac:dyDescent="0.2">
      <c r="A10818" s="8" t="s">
        <v>10841</v>
      </c>
      <c r="B10818" s="2" t="s">
        <v>12472</v>
      </c>
    </row>
    <row r="10819" spans="1:2" x14ac:dyDescent="0.2">
      <c r="A10819" s="8" t="s">
        <v>10842</v>
      </c>
      <c r="B10819" s="2" t="s">
        <v>12472</v>
      </c>
    </row>
    <row r="10820" spans="1:2" x14ac:dyDescent="0.2">
      <c r="A10820" s="8" t="s">
        <v>10843</v>
      </c>
      <c r="B10820" s="2" t="s">
        <v>12472</v>
      </c>
    </row>
    <row r="10821" spans="1:2" x14ac:dyDescent="0.2">
      <c r="A10821" s="8" t="s">
        <v>10844</v>
      </c>
      <c r="B10821" s="2" t="s">
        <v>12472</v>
      </c>
    </row>
    <row r="10822" spans="1:2" x14ac:dyDescent="0.2">
      <c r="A10822" s="8" t="s">
        <v>10845</v>
      </c>
      <c r="B10822" s="2" t="s">
        <v>12472</v>
      </c>
    </row>
    <row r="10823" spans="1:2" x14ac:dyDescent="0.2">
      <c r="A10823" s="8" t="s">
        <v>10846</v>
      </c>
      <c r="B10823" s="2" t="s">
        <v>12472</v>
      </c>
    </row>
    <row r="10824" spans="1:2" x14ac:dyDescent="0.2">
      <c r="A10824" s="8" t="s">
        <v>10847</v>
      </c>
      <c r="B10824" s="2" t="s">
        <v>12472</v>
      </c>
    </row>
    <row r="10825" spans="1:2" x14ac:dyDescent="0.2">
      <c r="A10825" s="8" t="s">
        <v>10848</v>
      </c>
      <c r="B10825" s="2" t="s">
        <v>12472</v>
      </c>
    </row>
    <row r="10826" spans="1:2" x14ac:dyDescent="0.2">
      <c r="A10826" s="8" t="s">
        <v>10849</v>
      </c>
      <c r="B10826" s="2" t="s">
        <v>12472</v>
      </c>
    </row>
    <row r="10827" spans="1:2" x14ac:dyDescent="0.2">
      <c r="A10827" s="8" t="s">
        <v>10850</v>
      </c>
      <c r="B10827" s="2" t="s">
        <v>12472</v>
      </c>
    </row>
    <row r="10828" spans="1:2" x14ac:dyDescent="0.2">
      <c r="A10828" s="8" t="s">
        <v>10851</v>
      </c>
      <c r="B10828" s="2" t="s">
        <v>12472</v>
      </c>
    </row>
    <row r="10829" spans="1:2" x14ac:dyDescent="0.2">
      <c r="A10829" s="8" t="s">
        <v>10852</v>
      </c>
      <c r="B10829" s="2" t="s">
        <v>12472</v>
      </c>
    </row>
    <row r="10830" spans="1:2" x14ac:dyDescent="0.2">
      <c r="A10830" s="8" t="s">
        <v>10853</v>
      </c>
      <c r="B10830" s="2" t="s">
        <v>12472</v>
      </c>
    </row>
    <row r="10831" spans="1:2" x14ac:dyDescent="0.2">
      <c r="A10831" s="8" t="s">
        <v>10854</v>
      </c>
      <c r="B10831" s="2" t="s">
        <v>12472</v>
      </c>
    </row>
    <row r="10832" spans="1:2" x14ac:dyDescent="0.2">
      <c r="A10832" s="8" t="s">
        <v>10855</v>
      </c>
      <c r="B10832" s="2" t="s">
        <v>12472</v>
      </c>
    </row>
    <row r="10833" spans="1:2" x14ac:dyDescent="0.2">
      <c r="A10833" s="8" t="s">
        <v>10856</v>
      </c>
      <c r="B10833" s="2" t="s">
        <v>12472</v>
      </c>
    </row>
    <row r="10834" spans="1:2" x14ac:dyDescent="0.2">
      <c r="A10834" s="8" t="s">
        <v>10857</v>
      </c>
      <c r="B10834" s="2" t="s">
        <v>12472</v>
      </c>
    </row>
    <row r="10835" spans="1:2" x14ac:dyDescent="0.2">
      <c r="A10835" s="8" t="s">
        <v>10858</v>
      </c>
      <c r="B10835" s="2" t="s">
        <v>12472</v>
      </c>
    </row>
    <row r="10836" spans="1:2" x14ac:dyDescent="0.2">
      <c r="A10836" s="8" t="s">
        <v>10859</v>
      </c>
      <c r="B10836" s="2" t="s">
        <v>12472</v>
      </c>
    </row>
    <row r="10837" spans="1:2" x14ac:dyDescent="0.2">
      <c r="A10837" s="8" t="s">
        <v>10860</v>
      </c>
      <c r="B10837" s="2" t="s">
        <v>12472</v>
      </c>
    </row>
    <row r="10838" spans="1:2" x14ac:dyDescent="0.2">
      <c r="A10838" s="8" t="s">
        <v>10861</v>
      </c>
      <c r="B10838" s="2" t="s">
        <v>12472</v>
      </c>
    </row>
    <row r="10839" spans="1:2" x14ac:dyDescent="0.2">
      <c r="A10839" s="8" t="s">
        <v>10862</v>
      </c>
      <c r="B10839" s="2" t="s">
        <v>12472</v>
      </c>
    </row>
    <row r="10840" spans="1:2" x14ac:dyDescent="0.2">
      <c r="A10840" s="8" t="s">
        <v>10863</v>
      </c>
      <c r="B10840" s="2" t="s">
        <v>12472</v>
      </c>
    </row>
    <row r="10841" spans="1:2" x14ac:dyDescent="0.2">
      <c r="A10841" s="8" t="s">
        <v>10864</v>
      </c>
      <c r="B10841" s="2" t="s">
        <v>12472</v>
      </c>
    </row>
    <row r="10842" spans="1:2" x14ac:dyDescent="0.2">
      <c r="A10842" s="8" t="s">
        <v>10865</v>
      </c>
      <c r="B10842" s="2" t="s">
        <v>12472</v>
      </c>
    </row>
    <row r="10843" spans="1:2" x14ac:dyDescent="0.2">
      <c r="A10843" s="8" t="s">
        <v>10866</v>
      </c>
      <c r="B10843" s="2" t="s">
        <v>12472</v>
      </c>
    </row>
    <row r="10844" spans="1:2" x14ac:dyDescent="0.2">
      <c r="A10844" s="8" t="s">
        <v>10867</v>
      </c>
      <c r="B10844" s="2" t="s">
        <v>12472</v>
      </c>
    </row>
    <row r="10845" spans="1:2" x14ac:dyDescent="0.2">
      <c r="A10845" s="8" t="s">
        <v>10868</v>
      </c>
      <c r="B10845" s="2" t="s">
        <v>12472</v>
      </c>
    </row>
    <row r="10846" spans="1:2" x14ac:dyDescent="0.2">
      <c r="A10846" s="8" t="s">
        <v>10869</v>
      </c>
      <c r="B10846" s="2" t="s">
        <v>12472</v>
      </c>
    </row>
    <row r="10847" spans="1:2" x14ac:dyDescent="0.2">
      <c r="A10847" s="8" t="s">
        <v>10870</v>
      </c>
      <c r="B10847" s="2" t="s">
        <v>12472</v>
      </c>
    </row>
    <row r="10848" spans="1:2" x14ac:dyDescent="0.2">
      <c r="A10848" s="8" t="s">
        <v>10871</v>
      </c>
      <c r="B10848" s="2" t="s">
        <v>12472</v>
      </c>
    </row>
    <row r="10849" spans="1:2" x14ac:dyDescent="0.2">
      <c r="A10849" s="8" t="s">
        <v>10872</v>
      </c>
      <c r="B10849" s="2" t="s">
        <v>12472</v>
      </c>
    </row>
    <row r="10850" spans="1:2" x14ac:dyDescent="0.2">
      <c r="A10850" s="8" t="s">
        <v>10873</v>
      </c>
      <c r="B10850" s="2" t="s">
        <v>12472</v>
      </c>
    </row>
    <row r="10851" spans="1:2" x14ac:dyDescent="0.2">
      <c r="A10851" s="8" t="s">
        <v>10874</v>
      </c>
      <c r="B10851" s="2" t="s">
        <v>12472</v>
      </c>
    </row>
    <row r="10852" spans="1:2" x14ac:dyDescent="0.2">
      <c r="A10852" s="8" t="s">
        <v>10875</v>
      </c>
      <c r="B10852" s="2" t="s">
        <v>12472</v>
      </c>
    </row>
    <row r="10853" spans="1:2" x14ac:dyDescent="0.2">
      <c r="A10853" s="8" t="s">
        <v>10876</v>
      </c>
      <c r="B10853" s="2" t="s">
        <v>12472</v>
      </c>
    </row>
    <row r="10854" spans="1:2" x14ac:dyDescent="0.2">
      <c r="A10854" s="8" t="s">
        <v>10877</v>
      </c>
      <c r="B10854" s="2" t="s">
        <v>12472</v>
      </c>
    </row>
    <row r="10855" spans="1:2" x14ac:dyDescent="0.2">
      <c r="A10855" s="8" t="s">
        <v>10878</v>
      </c>
      <c r="B10855" s="2" t="s">
        <v>12472</v>
      </c>
    </row>
    <row r="10856" spans="1:2" x14ac:dyDescent="0.2">
      <c r="A10856" s="8" t="s">
        <v>10879</v>
      </c>
      <c r="B10856" s="2" t="s">
        <v>12472</v>
      </c>
    </row>
    <row r="10857" spans="1:2" x14ac:dyDescent="0.2">
      <c r="A10857" s="8" t="s">
        <v>10880</v>
      </c>
      <c r="B10857" s="2" t="s">
        <v>12472</v>
      </c>
    </row>
    <row r="10858" spans="1:2" x14ac:dyDescent="0.2">
      <c r="A10858" s="8" t="s">
        <v>10881</v>
      </c>
      <c r="B10858" s="2" t="s">
        <v>12472</v>
      </c>
    </row>
    <row r="10859" spans="1:2" x14ac:dyDescent="0.2">
      <c r="A10859" s="8" t="s">
        <v>10882</v>
      </c>
      <c r="B10859" s="2" t="s">
        <v>12472</v>
      </c>
    </row>
    <row r="10860" spans="1:2" x14ac:dyDescent="0.2">
      <c r="A10860" s="8" t="s">
        <v>10883</v>
      </c>
      <c r="B10860" s="2" t="s">
        <v>12472</v>
      </c>
    </row>
    <row r="10861" spans="1:2" x14ac:dyDescent="0.2">
      <c r="A10861" s="8" t="s">
        <v>10884</v>
      </c>
      <c r="B10861" s="2" t="s">
        <v>12472</v>
      </c>
    </row>
    <row r="10862" spans="1:2" x14ac:dyDescent="0.2">
      <c r="A10862" s="8" t="s">
        <v>10885</v>
      </c>
      <c r="B10862" s="2" t="s">
        <v>12472</v>
      </c>
    </row>
    <row r="10863" spans="1:2" x14ac:dyDescent="0.2">
      <c r="A10863" s="8" t="s">
        <v>10886</v>
      </c>
      <c r="B10863" s="2" t="s">
        <v>12472</v>
      </c>
    </row>
    <row r="10864" spans="1:2" x14ac:dyDescent="0.2">
      <c r="A10864" s="8" t="s">
        <v>10887</v>
      </c>
      <c r="B10864" s="2" t="s">
        <v>12472</v>
      </c>
    </row>
    <row r="10865" spans="1:2" x14ac:dyDescent="0.2">
      <c r="A10865" s="8" t="s">
        <v>10888</v>
      </c>
      <c r="B10865" s="2" t="s">
        <v>12472</v>
      </c>
    </row>
    <row r="10866" spans="1:2" x14ac:dyDescent="0.2">
      <c r="A10866" s="8" t="s">
        <v>10889</v>
      </c>
      <c r="B10866" s="2" t="s">
        <v>12472</v>
      </c>
    </row>
    <row r="10867" spans="1:2" x14ac:dyDescent="0.2">
      <c r="A10867" s="8" t="s">
        <v>10890</v>
      </c>
      <c r="B10867" s="2" t="s">
        <v>12472</v>
      </c>
    </row>
    <row r="10868" spans="1:2" x14ac:dyDescent="0.2">
      <c r="A10868" s="8" t="s">
        <v>10891</v>
      </c>
      <c r="B10868" s="2" t="s">
        <v>12472</v>
      </c>
    </row>
    <row r="10869" spans="1:2" x14ac:dyDescent="0.2">
      <c r="A10869" s="8" t="s">
        <v>10892</v>
      </c>
      <c r="B10869" s="2" t="s">
        <v>12472</v>
      </c>
    </row>
    <row r="10870" spans="1:2" x14ac:dyDescent="0.2">
      <c r="A10870" s="8" t="s">
        <v>10893</v>
      </c>
      <c r="B10870" s="2" t="s">
        <v>12472</v>
      </c>
    </row>
    <row r="10871" spans="1:2" x14ac:dyDescent="0.2">
      <c r="A10871" s="8" t="s">
        <v>10894</v>
      </c>
      <c r="B10871" s="2" t="s">
        <v>12472</v>
      </c>
    </row>
    <row r="10872" spans="1:2" x14ac:dyDescent="0.2">
      <c r="A10872" s="8" t="s">
        <v>10895</v>
      </c>
      <c r="B10872" s="2" t="s">
        <v>12472</v>
      </c>
    </row>
    <row r="10873" spans="1:2" x14ac:dyDescent="0.2">
      <c r="A10873" s="8" t="s">
        <v>10896</v>
      </c>
      <c r="B10873" s="2" t="s">
        <v>12472</v>
      </c>
    </row>
    <row r="10874" spans="1:2" x14ac:dyDescent="0.2">
      <c r="A10874" s="8" t="s">
        <v>10897</v>
      </c>
      <c r="B10874" s="2" t="s">
        <v>12472</v>
      </c>
    </row>
    <row r="10875" spans="1:2" x14ac:dyDescent="0.2">
      <c r="A10875" s="8" t="s">
        <v>10898</v>
      </c>
      <c r="B10875" s="2" t="s">
        <v>12472</v>
      </c>
    </row>
    <row r="10876" spans="1:2" x14ac:dyDescent="0.2">
      <c r="A10876" s="8" t="s">
        <v>10899</v>
      </c>
      <c r="B10876" s="2" t="s">
        <v>12472</v>
      </c>
    </row>
    <row r="10877" spans="1:2" x14ac:dyDescent="0.2">
      <c r="A10877" s="8" t="s">
        <v>10900</v>
      </c>
      <c r="B10877" s="2" t="s">
        <v>12472</v>
      </c>
    </row>
    <row r="10878" spans="1:2" x14ac:dyDescent="0.2">
      <c r="A10878" s="8" t="s">
        <v>10901</v>
      </c>
      <c r="B10878" s="2" t="s">
        <v>12472</v>
      </c>
    </row>
    <row r="10879" spans="1:2" x14ac:dyDescent="0.2">
      <c r="A10879" s="8" t="s">
        <v>10902</v>
      </c>
      <c r="B10879" s="2" t="s">
        <v>12472</v>
      </c>
    </row>
    <row r="10880" spans="1:2" x14ac:dyDescent="0.2">
      <c r="A10880" s="8" t="s">
        <v>10903</v>
      </c>
      <c r="B10880" s="2" t="s">
        <v>12472</v>
      </c>
    </row>
    <row r="10881" spans="1:2" x14ac:dyDescent="0.2">
      <c r="A10881" s="8" t="s">
        <v>10904</v>
      </c>
      <c r="B10881" s="2" t="s">
        <v>12472</v>
      </c>
    </row>
    <row r="10882" spans="1:2" x14ac:dyDescent="0.2">
      <c r="A10882" s="8" t="s">
        <v>10905</v>
      </c>
      <c r="B10882" s="2" t="s">
        <v>12472</v>
      </c>
    </row>
    <row r="10883" spans="1:2" x14ac:dyDescent="0.2">
      <c r="A10883" s="8" t="s">
        <v>10906</v>
      </c>
      <c r="B10883" s="2" t="s">
        <v>12472</v>
      </c>
    </row>
    <row r="10884" spans="1:2" x14ac:dyDescent="0.2">
      <c r="A10884" s="8" t="s">
        <v>10907</v>
      </c>
      <c r="B10884" s="2" t="s">
        <v>12472</v>
      </c>
    </row>
    <row r="10885" spans="1:2" x14ac:dyDescent="0.2">
      <c r="A10885" s="8" t="s">
        <v>10908</v>
      </c>
      <c r="B10885" s="2" t="s">
        <v>12472</v>
      </c>
    </row>
    <row r="10886" spans="1:2" x14ac:dyDescent="0.2">
      <c r="A10886" s="8" t="s">
        <v>10909</v>
      </c>
      <c r="B10886" s="2" t="s">
        <v>12472</v>
      </c>
    </row>
    <row r="10887" spans="1:2" x14ac:dyDescent="0.2">
      <c r="A10887" s="8" t="s">
        <v>10910</v>
      </c>
      <c r="B10887" s="2" t="s">
        <v>12472</v>
      </c>
    </row>
    <row r="10888" spans="1:2" x14ac:dyDescent="0.2">
      <c r="A10888" s="8" t="s">
        <v>10911</v>
      </c>
      <c r="B10888" s="2" t="s">
        <v>12472</v>
      </c>
    </row>
    <row r="10889" spans="1:2" x14ac:dyDescent="0.2">
      <c r="A10889" s="8" t="s">
        <v>10912</v>
      </c>
      <c r="B10889" s="2" t="s">
        <v>12472</v>
      </c>
    </row>
    <row r="10890" spans="1:2" x14ac:dyDescent="0.2">
      <c r="A10890" s="8" t="s">
        <v>10913</v>
      </c>
      <c r="B10890" s="2" t="s">
        <v>12472</v>
      </c>
    </row>
    <row r="10891" spans="1:2" x14ac:dyDescent="0.2">
      <c r="A10891" s="8" t="s">
        <v>10914</v>
      </c>
      <c r="B10891" s="2" t="s">
        <v>12472</v>
      </c>
    </row>
    <row r="10892" spans="1:2" x14ac:dyDescent="0.2">
      <c r="A10892" s="8" t="s">
        <v>10915</v>
      </c>
      <c r="B10892" s="2" t="s">
        <v>12472</v>
      </c>
    </row>
    <row r="10893" spans="1:2" x14ac:dyDescent="0.2">
      <c r="A10893" s="8" t="s">
        <v>10916</v>
      </c>
      <c r="B10893" s="2" t="s">
        <v>12472</v>
      </c>
    </row>
    <row r="10894" spans="1:2" x14ac:dyDescent="0.2">
      <c r="A10894" s="8" t="s">
        <v>10917</v>
      </c>
      <c r="B10894" s="2" t="s">
        <v>12472</v>
      </c>
    </row>
    <row r="10895" spans="1:2" x14ac:dyDescent="0.2">
      <c r="A10895" s="8" t="s">
        <v>10918</v>
      </c>
      <c r="B10895" s="2" t="s">
        <v>12472</v>
      </c>
    </row>
    <row r="10896" spans="1:2" x14ac:dyDescent="0.2">
      <c r="A10896" s="8" t="s">
        <v>10919</v>
      </c>
      <c r="B10896" s="2" t="s">
        <v>12472</v>
      </c>
    </row>
    <row r="10897" spans="1:2" x14ac:dyDescent="0.2">
      <c r="A10897" s="8" t="s">
        <v>10920</v>
      </c>
      <c r="B10897" s="2" t="s">
        <v>12472</v>
      </c>
    </row>
    <row r="10898" spans="1:2" x14ac:dyDescent="0.2">
      <c r="A10898" s="8" t="s">
        <v>10921</v>
      </c>
      <c r="B10898" s="2" t="s">
        <v>12472</v>
      </c>
    </row>
    <row r="10899" spans="1:2" x14ac:dyDescent="0.2">
      <c r="A10899" s="8" t="s">
        <v>10922</v>
      </c>
      <c r="B10899" s="2" t="s">
        <v>12472</v>
      </c>
    </row>
    <row r="10900" spans="1:2" x14ac:dyDescent="0.2">
      <c r="A10900" s="8" t="s">
        <v>10923</v>
      </c>
      <c r="B10900" s="2" t="s">
        <v>12472</v>
      </c>
    </row>
    <row r="10901" spans="1:2" x14ac:dyDescent="0.2">
      <c r="A10901" s="8" t="s">
        <v>10924</v>
      </c>
      <c r="B10901" s="2" t="s">
        <v>12472</v>
      </c>
    </row>
    <row r="10902" spans="1:2" x14ac:dyDescent="0.2">
      <c r="A10902" s="8" t="s">
        <v>10925</v>
      </c>
      <c r="B10902" s="2" t="s">
        <v>12472</v>
      </c>
    </row>
    <row r="10903" spans="1:2" x14ac:dyDescent="0.2">
      <c r="A10903" s="8" t="s">
        <v>10926</v>
      </c>
      <c r="B10903" s="2" t="s">
        <v>12472</v>
      </c>
    </row>
    <row r="10904" spans="1:2" x14ac:dyDescent="0.2">
      <c r="A10904" s="8" t="s">
        <v>10927</v>
      </c>
      <c r="B10904" s="2" t="s">
        <v>12472</v>
      </c>
    </row>
    <row r="10905" spans="1:2" x14ac:dyDescent="0.2">
      <c r="A10905" s="8" t="s">
        <v>10928</v>
      </c>
      <c r="B10905" s="2" t="s">
        <v>12472</v>
      </c>
    </row>
    <row r="10906" spans="1:2" x14ac:dyDescent="0.2">
      <c r="A10906" s="8" t="s">
        <v>10929</v>
      </c>
      <c r="B10906" s="2" t="s">
        <v>12472</v>
      </c>
    </row>
    <row r="10907" spans="1:2" x14ac:dyDescent="0.2">
      <c r="A10907" s="8" t="s">
        <v>10930</v>
      </c>
      <c r="B10907" s="2" t="s">
        <v>12472</v>
      </c>
    </row>
    <row r="10908" spans="1:2" x14ac:dyDescent="0.2">
      <c r="A10908" s="8" t="s">
        <v>10931</v>
      </c>
      <c r="B10908" s="2" t="s">
        <v>12472</v>
      </c>
    </row>
    <row r="10909" spans="1:2" x14ac:dyDescent="0.2">
      <c r="A10909" s="8" t="s">
        <v>10932</v>
      </c>
      <c r="B10909" s="2" t="s">
        <v>12472</v>
      </c>
    </row>
    <row r="10910" spans="1:2" x14ac:dyDescent="0.2">
      <c r="A10910" s="8" t="s">
        <v>10933</v>
      </c>
      <c r="B10910" s="2" t="s">
        <v>12472</v>
      </c>
    </row>
    <row r="10911" spans="1:2" x14ac:dyDescent="0.2">
      <c r="A10911" s="8" t="s">
        <v>10934</v>
      </c>
      <c r="B10911" s="2" t="s">
        <v>12472</v>
      </c>
    </row>
    <row r="10912" spans="1:2" x14ac:dyDescent="0.2">
      <c r="A10912" s="8" t="s">
        <v>10935</v>
      </c>
      <c r="B10912" s="2" t="s">
        <v>12472</v>
      </c>
    </row>
    <row r="10913" spans="1:2" x14ac:dyDescent="0.2">
      <c r="A10913" s="8" t="s">
        <v>10936</v>
      </c>
      <c r="B10913" s="2" t="s">
        <v>12472</v>
      </c>
    </row>
    <row r="10914" spans="1:2" x14ac:dyDescent="0.2">
      <c r="A10914" s="8" t="s">
        <v>10937</v>
      </c>
      <c r="B10914" s="2" t="s">
        <v>12472</v>
      </c>
    </row>
    <row r="10915" spans="1:2" x14ac:dyDescent="0.2">
      <c r="A10915" s="8" t="s">
        <v>10938</v>
      </c>
      <c r="B10915" s="2" t="s">
        <v>12472</v>
      </c>
    </row>
    <row r="10916" spans="1:2" x14ac:dyDescent="0.2">
      <c r="A10916" s="8" t="s">
        <v>10939</v>
      </c>
      <c r="B10916" s="2" t="s">
        <v>12472</v>
      </c>
    </row>
    <row r="10917" spans="1:2" x14ac:dyDescent="0.2">
      <c r="A10917" s="8" t="s">
        <v>10940</v>
      </c>
      <c r="B10917" s="2" t="s">
        <v>12472</v>
      </c>
    </row>
    <row r="10918" spans="1:2" x14ac:dyDescent="0.2">
      <c r="A10918" s="8" t="s">
        <v>10941</v>
      </c>
      <c r="B10918" s="2" t="s">
        <v>12472</v>
      </c>
    </row>
    <row r="10919" spans="1:2" x14ac:dyDescent="0.2">
      <c r="A10919" s="8" t="s">
        <v>10942</v>
      </c>
      <c r="B10919" s="2" t="s">
        <v>12472</v>
      </c>
    </row>
    <row r="10920" spans="1:2" x14ac:dyDescent="0.2">
      <c r="A10920" s="8" t="s">
        <v>10943</v>
      </c>
      <c r="B10920" s="2" t="s">
        <v>12472</v>
      </c>
    </row>
    <row r="10921" spans="1:2" x14ac:dyDescent="0.2">
      <c r="A10921" s="8" t="s">
        <v>10944</v>
      </c>
      <c r="B10921" s="2" t="s">
        <v>12472</v>
      </c>
    </row>
    <row r="10922" spans="1:2" x14ac:dyDescent="0.2">
      <c r="A10922" s="8" t="s">
        <v>10945</v>
      </c>
      <c r="B10922" s="2" t="s">
        <v>12472</v>
      </c>
    </row>
    <row r="10923" spans="1:2" x14ac:dyDescent="0.2">
      <c r="A10923" s="8" t="s">
        <v>10946</v>
      </c>
      <c r="B10923" s="2" t="s">
        <v>12472</v>
      </c>
    </row>
    <row r="10924" spans="1:2" x14ac:dyDescent="0.2">
      <c r="A10924" s="8" t="s">
        <v>10947</v>
      </c>
      <c r="B10924" s="2" t="s">
        <v>12472</v>
      </c>
    </row>
    <row r="10925" spans="1:2" x14ac:dyDescent="0.2">
      <c r="A10925" s="8" t="s">
        <v>10948</v>
      </c>
      <c r="B10925" s="2" t="s">
        <v>12472</v>
      </c>
    </row>
    <row r="10926" spans="1:2" x14ac:dyDescent="0.2">
      <c r="A10926" s="8" t="s">
        <v>10949</v>
      </c>
      <c r="B10926" s="2" t="s">
        <v>12472</v>
      </c>
    </row>
    <row r="10927" spans="1:2" x14ac:dyDescent="0.2">
      <c r="A10927" s="8" t="s">
        <v>10950</v>
      </c>
      <c r="B10927" s="2" t="s">
        <v>12472</v>
      </c>
    </row>
    <row r="10928" spans="1:2" x14ac:dyDescent="0.2">
      <c r="A10928" s="8" t="s">
        <v>10951</v>
      </c>
      <c r="B10928" s="2" t="s">
        <v>12472</v>
      </c>
    </row>
    <row r="10929" spans="1:2" x14ac:dyDescent="0.2">
      <c r="A10929" s="8" t="s">
        <v>10952</v>
      </c>
      <c r="B10929" s="2" t="s">
        <v>12472</v>
      </c>
    </row>
    <row r="10930" spans="1:2" x14ac:dyDescent="0.2">
      <c r="A10930" s="8" t="s">
        <v>10953</v>
      </c>
      <c r="B10930" s="2" t="s">
        <v>12472</v>
      </c>
    </row>
    <row r="10931" spans="1:2" x14ac:dyDescent="0.2">
      <c r="A10931" s="8" t="s">
        <v>10954</v>
      </c>
      <c r="B10931" s="2" t="s">
        <v>12472</v>
      </c>
    </row>
    <row r="10932" spans="1:2" x14ac:dyDescent="0.2">
      <c r="A10932" s="8" t="s">
        <v>10955</v>
      </c>
      <c r="B10932" s="2" t="s">
        <v>12472</v>
      </c>
    </row>
    <row r="10933" spans="1:2" x14ac:dyDescent="0.2">
      <c r="A10933" s="8" t="s">
        <v>10956</v>
      </c>
      <c r="B10933" s="2" t="s">
        <v>12472</v>
      </c>
    </row>
    <row r="10934" spans="1:2" x14ac:dyDescent="0.2">
      <c r="A10934" s="8" t="s">
        <v>10957</v>
      </c>
      <c r="B10934" s="2" t="s">
        <v>12472</v>
      </c>
    </row>
    <row r="10935" spans="1:2" x14ac:dyDescent="0.2">
      <c r="A10935" s="8" t="s">
        <v>10958</v>
      </c>
      <c r="B10935" s="2" t="s">
        <v>12472</v>
      </c>
    </row>
    <row r="10936" spans="1:2" x14ac:dyDescent="0.2">
      <c r="A10936" s="8" t="s">
        <v>10959</v>
      </c>
      <c r="B10936" s="2" t="s">
        <v>12472</v>
      </c>
    </row>
    <row r="10937" spans="1:2" x14ac:dyDescent="0.2">
      <c r="A10937" s="8" t="s">
        <v>10960</v>
      </c>
      <c r="B10937" s="2" t="s">
        <v>12472</v>
      </c>
    </row>
    <row r="10938" spans="1:2" x14ac:dyDescent="0.2">
      <c r="A10938" s="8" t="s">
        <v>10961</v>
      </c>
      <c r="B10938" s="2" t="s">
        <v>12472</v>
      </c>
    </row>
    <row r="10939" spans="1:2" x14ac:dyDescent="0.2">
      <c r="A10939" s="8" t="s">
        <v>10962</v>
      </c>
      <c r="B10939" s="2" t="s">
        <v>12472</v>
      </c>
    </row>
    <row r="10940" spans="1:2" x14ac:dyDescent="0.2">
      <c r="A10940" s="8" t="s">
        <v>10963</v>
      </c>
      <c r="B10940" s="2" t="s">
        <v>12472</v>
      </c>
    </row>
    <row r="10941" spans="1:2" x14ac:dyDescent="0.2">
      <c r="A10941" s="8" t="s">
        <v>10964</v>
      </c>
      <c r="B10941" s="2" t="s">
        <v>12472</v>
      </c>
    </row>
    <row r="10942" spans="1:2" x14ac:dyDescent="0.2">
      <c r="A10942" s="8" t="s">
        <v>10965</v>
      </c>
      <c r="B10942" s="2" t="s">
        <v>12472</v>
      </c>
    </row>
    <row r="10943" spans="1:2" x14ac:dyDescent="0.2">
      <c r="A10943" s="8" t="s">
        <v>10966</v>
      </c>
      <c r="B10943" s="2" t="s">
        <v>12472</v>
      </c>
    </row>
    <row r="10944" spans="1:2" x14ac:dyDescent="0.2">
      <c r="A10944" s="8" t="s">
        <v>10967</v>
      </c>
      <c r="B10944" s="2" t="s">
        <v>12472</v>
      </c>
    </row>
    <row r="10945" spans="1:2" x14ac:dyDescent="0.2">
      <c r="A10945" s="8" t="s">
        <v>10968</v>
      </c>
      <c r="B10945" s="2" t="s">
        <v>12472</v>
      </c>
    </row>
    <row r="10946" spans="1:2" x14ac:dyDescent="0.2">
      <c r="A10946" s="8" t="s">
        <v>10969</v>
      </c>
      <c r="B10946" s="2" t="s">
        <v>12472</v>
      </c>
    </row>
    <row r="10947" spans="1:2" x14ac:dyDescent="0.2">
      <c r="A10947" s="8" t="s">
        <v>10970</v>
      </c>
      <c r="B10947" s="2" t="s">
        <v>12472</v>
      </c>
    </row>
    <row r="10948" spans="1:2" x14ac:dyDescent="0.2">
      <c r="A10948" s="8" t="s">
        <v>10971</v>
      </c>
      <c r="B10948" s="2" t="s">
        <v>12472</v>
      </c>
    </row>
    <row r="10949" spans="1:2" x14ac:dyDescent="0.2">
      <c r="A10949" s="8" t="s">
        <v>10972</v>
      </c>
      <c r="B10949" s="2" t="s">
        <v>12472</v>
      </c>
    </row>
    <row r="10950" spans="1:2" x14ac:dyDescent="0.2">
      <c r="A10950" s="8" t="s">
        <v>10973</v>
      </c>
      <c r="B10950" s="2" t="s">
        <v>12472</v>
      </c>
    </row>
    <row r="10951" spans="1:2" x14ac:dyDescent="0.2">
      <c r="A10951" s="8" t="s">
        <v>10974</v>
      </c>
      <c r="B10951" s="2" t="s">
        <v>12472</v>
      </c>
    </row>
    <row r="10952" spans="1:2" x14ac:dyDescent="0.2">
      <c r="A10952" s="8" t="s">
        <v>10975</v>
      </c>
      <c r="B10952" s="2" t="s">
        <v>12472</v>
      </c>
    </row>
    <row r="10953" spans="1:2" x14ac:dyDescent="0.2">
      <c r="A10953" s="8" t="s">
        <v>10976</v>
      </c>
      <c r="B10953" s="2" t="s">
        <v>12472</v>
      </c>
    </row>
    <row r="10954" spans="1:2" x14ac:dyDescent="0.2">
      <c r="A10954" s="8" t="s">
        <v>10977</v>
      </c>
      <c r="B10954" s="2" t="s">
        <v>12472</v>
      </c>
    </row>
    <row r="10955" spans="1:2" x14ac:dyDescent="0.2">
      <c r="A10955" s="8" t="s">
        <v>10978</v>
      </c>
      <c r="B10955" s="2" t="s">
        <v>12472</v>
      </c>
    </row>
    <row r="10956" spans="1:2" x14ac:dyDescent="0.2">
      <c r="A10956" s="8" t="s">
        <v>10979</v>
      </c>
      <c r="B10956" s="2" t="s">
        <v>12472</v>
      </c>
    </row>
    <row r="10957" spans="1:2" x14ac:dyDescent="0.2">
      <c r="A10957" s="8" t="s">
        <v>10980</v>
      </c>
      <c r="B10957" s="2" t="s">
        <v>12472</v>
      </c>
    </row>
    <row r="10958" spans="1:2" x14ac:dyDescent="0.2">
      <c r="A10958" s="8" t="s">
        <v>10981</v>
      </c>
      <c r="B10958" s="2" t="s">
        <v>12472</v>
      </c>
    </row>
    <row r="10959" spans="1:2" x14ac:dyDescent="0.2">
      <c r="A10959" s="8" t="s">
        <v>10982</v>
      </c>
      <c r="B10959" s="2" t="s">
        <v>12472</v>
      </c>
    </row>
    <row r="10960" spans="1:2" x14ac:dyDescent="0.2">
      <c r="A10960" s="8" t="s">
        <v>10983</v>
      </c>
      <c r="B10960" s="2" t="s">
        <v>12472</v>
      </c>
    </row>
    <row r="10961" spans="1:2" x14ac:dyDescent="0.2">
      <c r="A10961" s="8" t="s">
        <v>10984</v>
      </c>
      <c r="B10961" s="2" t="s">
        <v>12472</v>
      </c>
    </row>
    <row r="10962" spans="1:2" x14ac:dyDescent="0.2">
      <c r="A10962" s="8" t="s">
        <v>10985</v>
      </c>
      <c r="B10962" s="2" t="s">
        <v>12472</v>
      </c>
    </row>
    <row r="10963" spans="1:2" x14ac:dyDescent="0.2">
      <c r="A10963" s="8" t="s">
        <v>10986</v>
      </c>
      <c r="B10963" s="2" t="s">
        <v>12472</v>
      </c>
    </row>
    <row r="10964" spans="1:2" x14ac:dyDescent="0.2">
      <c r="A10964" s="8" t="s">
        <v>10987</v>
      </c>
      <c r="B10964" s="2" t="s">
        <v>12472</v>
      </c>
    </row>
    <row r="10965" spans="1:2" x14ac:dyDescent="0.2">
      <c r="A10965" s="8" t="s">
        <v>10988</v>
      </c>
      <c r="B10965" s="2" t="s">
        <v>12472</v>
      </c>
    </row>
    <row r="10966" spans="1:2" x14ac:dyDescent="0.2">
      <c r="A10966" s="8" t="s">
        <v>10989</v>
      </c>
      <c r="B10966" s="2" t="s">
        <v>12472</v>
      </c>
    </row>
    <row r="10967" spans="1:2" x14ac:dyDescent="0.2">
      <c r="A10967" s="8" t="s">
        <v>10990</v>
      </c>
      <c r="B10967" s="2" t="s">
        <v>12472</v>
      </c>
    </row>
    <row r="10968" spans="1:2" x14ac:dyDescent="0.2">
      <c r="A10968" s="8" t="s">
        <v>10991</v>
      </c>
      <c r="B10968" s="2" t="s">
        <v>12472</v>
      </c>
    </row>
    <row r="10969" spans="1:2" x14ac:dyDescent="0.2">
      <c r="A10969" s="8" t="s">
        <v>10992</v>
      </c>
      <c r="B10969" s="2" t="s">
        <v>12472</v>
      </c>
    </row>
    <row r="10970" spans="1:2" x14ac:dyDescent="0.2">
      <c r="A10970" s="8" t="s">
        <v>10993</v>
      </c>
      <c r="B10970" s="2" t="s">
        <v>12472</v>
      </c>
    </row>
    <row r="10971" spans="1:2" x14ac:dyDescent="0.2">
      <c r="A10971" s="8" t="s">
        <v>10994</v>
      </c>
      <c r="B10971" s="2" t="s">
        <v>12472</v>
      </c>
    </row>
    <row r="10972" spans="1:2" x14ac:dyDescent="0.2">
      <c r="A10972" s="8" t="s">
        <v>10995</v>
      </c>
      <c r="B10972" s="2" t="s">
        <v>12472</v>
      </c>
    </row>
    <row r="10973" spans="1:2" x14ac:dyDescent="0.2">
      <c r="A10973" s="8" t="s">
        <v>10996</v>
      </c>
      <c r="B10973" s="2" t="s">
        <v>12472</v>
      </c>
    </row>
    <row r="10974" spans="1:2" x14ac:dyDescent="0.2">
      <c r="A10974" s="8" t="s">
        <v>10997</v>
      </c>
      <c r="B10974" s="2" t="s">
        <v>12472</v>
      </c>
    </row>
    <row r="10975" spans="1:2" x14ac:dyDescent="0.2">
      <c r="A10975" s="8" t="s">
        <v>10998</v>
      </c>
      <c r="B10975" s="2" t="s">
        <v>12472</v>
      </c>
    </row>
    <row r="10976" spans="1:2" x14ac:dyDescent="0.2">
      <c r="A10976" s="8" t="s">
        <v>10999</v>
      </c>
      <c r="B10976" s="2" t="s">
        <v>12472</v>
      </c>
    </row>
    <row r="10977" spans="1:2" x14ac:dyDescent="0.2">
      <c r="A10977" s="8" t="s">
        <v>11000</v>
      </c>
      <c r="B10977" s="2" t="s">
        <v>12472</v>
      </c>
    </row>
    <row r="10978" spans="1:2" x14ac:dyDescent="0.2">
      <c r="A10978" s="8" t="s">
        <v>11001</v>
      </c>
      <c r="B10978" s="2" t="s">
        <v>12472</v>
      </c>
    </row>
    <row r="10979" spans="1:2" x14ac:dyDescent="0.2">
      <c r="A10979" s="8" t="s">
        <v>11002</v>
      </c>
      <c r="B10979" s="2" t="s">
        <v>12472</v>
      </c>
    </row>
    <row r="10980" spans="1:2" x14ac:dyDescent="0.2">
      <c r="A10980" s="8" t="s">
        <v>11003</v>
      </c>
      <c r="B10980" s="2" t="s">
        <v>12472</v>
      </c>
    </row>
    <row r="10981" spans="1:2" x14ac:dyDescent="0.2">
      <c r="A10981" s="8" t="s">
        <v>11004</v>
      </c>
      <c r="B10981" s="2" t="s">
        <v>12472</v>
      </c>
    </row>
    <row r="10982" spans="1:2" x14ac:dyDescent="0.2">
      <c r="A10982" s="8" t="s">
        <v>11005</v>
      </c>
      <c r="B10982" s="2" t="s">
        <v>12472</v>
      </c>
    </row>
    <row r="10983" spans="1:2" x14ac:dyDescent="0.2">
      <c r="A10983" s="8" t="s">
        <v>11006</v>
      </c>
      <c r="B10983" s="2" t="s">
        <v>12472</v>
      </c>
    </row>
    <row r="10984" spans="1:2" x14ac:dyDescent="0.2">
      <c r="A10984" s="8" t="s">
        <v>11007</v>
      </c>
      <c r="B10984" s="2" t="s">
        <v>12472</v>
      </c>
    </row>
    <row r="10985" spans="1:2" x14ac:dyDescent="0.2">
      <c r="A10985" s="8" t="s">
        <v>11008</v>
      </c>
      <c r="B10985" s="2" t="s">
        <v>12472</v>
      </c>
    </row>
    <row r="10986" spans="1:2" x14ac:dyDescent="0.2">
      <c r="A10986" s="8" t="s">
        <v>11009</v>
      </c>
      <c r="B10986" s="2" t="s">
        <v>12472</v>
      </c>
    </row>
    <row r="10987" spans="1:2" x14ac:dyDescent="0.2">
      <c r="A10987" s="8" t="s">
        <v>11010</v>
      </c>
      <c r="B10987" s="2" t="s">
        <v>12472</v>
      </c>
    </row>
    <row r="10988" spans="1:2" x14ac:dyDescent="0.2">
      <c r="A10988" s="8" t="s">
        <v>11011</v>
      </c>
      <c r="B10988" s="2" t="s">
        <v>12472</v>
      </c>
    </row>
    <row r="10989" spans="1:2" x14ac:dyDescent="0.2">
      <c r="A10989" s="8" t="s">
        <v>11012</v>
      </c>
      <c r="B10989" s="2" t="s">
        <v>12472</v>
      </c>
    </row>
    <row r="10990" spans="1:2" x14ac:dyDescent="0.2">
      <c r="A10990" s="8" t="s">
        <v>11013</v>
      </c>
      <c r="B10990" s="2" t="s">
        <v>12472</v>
      </c>
    </row>
    <row r="10991" spans="1:2" x14ac:dyDescent="0.2">
      <c r="A10991" s="8" t="s">
        <v>11014</v>
      </c>
      <c r="B10991" s="2" t="s">
        <v>12472</v>
      </c>
    </row>
    <row r="10992" spans="1:2" x14ac:dyDescent="0.2">
      <c r="A10992" s="8" t="s">
        <v>11015</v>
      </c>
      <c r="B10992" s="2" t="s">
        <v>12472</v>
      </c>
    </row>
    <row r="10993" spans="1:2" x14ac:dyDescent="0.2">
      <c r="A10993" s="8" t="s">
        <v>11016</v>
      </c>
      <c r="B10993" s="2" t="s">
        <v>12472</v>
      </c>
    </row>
    <row r="10994" spans="1:2" x14ac:dyDescent="0.2">
      <c r="A10994" s="8" t="s">
        <v>11017</v>
      </c>
      <c r="B10994" s="2" t="s">
        <v>12472</v>
      </c>
    </row>
    <row r="10995" spans="1:2" x14ac:dyDescent="0.2">
      <c r="A10995" s="8" t="s">
        <v>11018</v>
      </c>
      <c r="B10995" s="2" t="s">
        <v>12472</v>
      </c>
    </row>
    <row r="10996" spans="1:2" x14ac:dyDescent="0.2">
      <c r="A10996" s="8" t="s">
        <v>11019</v>
      </c>
      <c r="B10996" s="2" t="s">
        <v>12472</v>
      </c>
    </row>
    <row r="10997" spans="1:2" x14ac:dyDescent="0.2">
      <c r="A10997" s="8" t="s">
        <v>11020</v>
      </c>
      <c r="B10997" s="2" t="s">
        <v>12472</v>
      </c>
    </row>
    <row r="10998" spans="1:2" x14ac:dyDescent="0.2">
      <c r="A10998" s="8" t="s">
        <v>11021</v>
      </c>
      <c r="B10998" s="2" t="s">
        <v>12472</v>
      </c>
    </row>
    <row r="10999" spans="1:2" x14ac:dyDescent="0.2">
      <c r="A10999" s="8" t="s">
        <v>11022</v>
      </c>
      <c r="B10999" s="2" t="s">
        <v>12472</v>
      </c>
    </row>
    <row r="11000" spans="1:2" x14ac:dyDescent="0.2">
      <c r="A11000" s="8" t="s">
        <v>11023</v>
      </c>
      <c r="B11000" s="2" t="s">
        <v>12472</v>
      </c>
    </row>
    <row r="11001" spans="1:2" x14ac:dyDescent="0.2">
      <c r="A11001" s="8" t="s">
        <v>11024</v>
      </c>
      <c r="B11001" s="2" t="s">
        <v>12472</v>
      </c>
    </row>
    <row r="11002" spans="1:2" x14ac:dyDescent="0.2">
      <c r="A11002" s="8" t="s">
        <v>11025</v>
      </c>
      <c r="B11002" s="2" t="s">
        <v>12472</v>
      </c>
    </row>
    <row r="11003" spans="1:2" x14ac:dyDescent="0.2">
      <c r="A11003" s="8" t="s">
        <v>11026</v>
      </c>
      <c r="B11003" s="2" t="s">
        <v>12472</v>
      </c>
    </row>
    <row r="11004" spans="1:2" x14ac:dyDescent="0.2">
      <c r="A11004" s="8" t="s">
        <v>11027</v>
      </c>
      <c r="B11004" s="2" t="s">
        <v>12472</v>
      </c>
    </row>
    <row r="11005" spans="1:2" x14ac:dyDescent="0.2">
      <c r="A11005" s="8" t="s">
        <v>11028</v>
      </c>
      <c r="B11005" s="2" t="s">
        <v>12472</v>
      </c>
    </row>
    <row r="11006" spans="1:2" x14ac:dyDescent="0.2">
      <c r="A11006" s="8" t="s">
        <v>11029</v>
      </c>
      <c r="B11006" s="2" t="s">
        <v>12472</v>
      </c>
    </row>
    <row r="11007" spans="1:2" x14ac:dyDescent="0.2">
      <c r="A11007" s="8" t="s">
        <v>11030</v>
      </c>
      <c r="B11007" s="2" t="s">
        <v>12472</v>
      </c>
    </row>
    <row r="11008" spans="1:2" x14ac:dyDescent="0.2">
      <c r="A11008" s="8" t="s">
        <v>11031</v>
      </c>
      <c r="B11008" s="2" t="s">
        <v>12472</v>
      </c>
    </row>
    <row r="11009" spans="1:2" x14ac:dyDescent="0.2">
      <c r="A11009" s="8" t="s">
        <v>11032</v>
      </c>
      <c r="B11009" s="2" t="s">
        <v>12472</v>
      </c>
    </row>
    <row r="11010" spans="1:2" x14ac:dyDescent="0.2">
      <c r="A11010" s="8" t="s">
        <v>11033</v>
      </c>
      <c r="B11010" s="2" t="s">
        <v>12472</v>
      </c>
    </row>
    <row r="11011" spans="1:2" x14ac:dyDescent="0.2">
      <c r="A11011" s="8" t="s">
        <v>11034</v>
      </c>
      <c r="B11011" s="2" t="s">
        <v>12472</v>
      </c>
    </row>
    <row r="11012" spans="1:2" x14ac:dyDescent="0.2">
      <c r="A11012" s="8" t="s">
        <v>11035</v>
      </c>
      <c r="B11012" s="2" t="s">
        <v>12472</v>
      </c>
    </row>
    <row r="11013" spans="1:2" x14ac:dyDescent="0.2">
      <c r="A11013" s="8" t="s">
        <v>11036</v>
      </c>
      <c r="B11013" s="2" t="s">
        <v>12472</v>
      </c>
    </row>
    <row r="11014" spans="1:2" x14ac:dyDescent="0.2">
      <c r="A11014" s="8" t="s">
        <v>11037</v>
      </c>
      <c r="B11014" s="2" t="s">
        <v>12472</v>
      </c>
    </row>
    <row r="11015" spans="1:2" x14ac:dyDescent="0.2">
      <c r="A11015" s="8" t="s">
        <v>11038</v>
      </c>
      <c r="B11015" s="2" t="s">
        <v>12472</v>
      </c>
    </row>
    <row r="11016" spans="1:2" x14ac:dyDescent="0.2">
      <c r="A11016" s="8" t="s">
        <v>11039</v>
      </c>
      <c r="B11016" s="2" t="s">
        <v>12472</v>
      </c>
    </row>
    <row r="11017" spans="1:2" x14ac:dyDescent="0.2">
      <c r="A11017" s="8" t="s">
        <v>11040</v>
      </c>
      <c r="B11017" s="2" t="s">
        <v>12472</v>
      </c>
    </row>
    <row r="11018" spans="1:2" x14ac:dyDescent="0.2">
      <c r="A11018" s="8" t="s">
        <v>11041</v>
      </c>
      <c r="B11018" s="2" t="s">
        <v>12472</v>
      </c>
    </row>
    <row r="11019" spans="1:2" x14ac:dyDescent="0.2">
      <c r="A11019" s="8" t="s">
        <v>11042</v>
      </c>
      <c r="B11019" s="2" t="s">
        <v>12472</v>
      </c>
    </row>
    <row r="11020" spans="1:2" x14ac:dyDescent="0.2">
      <c r="A11020" s="8" t="s">
        <v>11043</v>
      </c>
      <c r="B11020" s="2" t="s">
        <v>12472</v>
      </c>
    </row>
    <row r="11021" spans="1:2" x14ac:dyDescent="0.2">
      <c r="A11021" s="8" t="s">
        <v>11044</v>
      </c>
      <c r="B11021" s="2" t="s">
        <v>12472</v>
      </c>
    </row>
    <row r="11022" spans="1:2" x14ac:dyDescent="0.2">
      <c r="A11022" s="8" t="s">
        <v>11045</v>
      </c>
      <c r="B11022" s="2" t="s">
        <v>12472</v>
      </c>
    </row>
    <row r="11023" spans="1:2" x14ac:dyDescent="0.2">
      <c r="A11023" s="8" t="s">
        <v>11046</v>
      </c>
      <c r="B11023" s="2" t="s">
        <v>12472</v>
      </c>
    </row>
    <row r="11024" spans="1:2" x14ac:dyDescent="0.2">
      <c r="A11024" s="8" t="s">
        <v>11047</v>
      </c>
      <c r="B11024" s="2" t="s">
        <v>12472</v>
      </c>
    </row>
    <row r="11025" spans="1:2" x14ac:dyDescent="0.2">
      <c r="A11025" s="8" t="s">
        <v>11048</v>
      </c>
      <c r="B11025" s="2" t="s">
        <v>12472</v>
      </c>
    </row>
    <row r="11026" spans="1:2" x14ac:dyDescent="0.2">
      <c r="A11026" s="8" t="s">
        <v>11049</v>
      </c>
      <c r="B11026" s="2" t="s">
        <v>12472</v>
      </c>
    </row>
    <row r="11027" spans="1:2" x14ac:dyDescent="0.2">
      <c r="A11027" s="8" t="s">
        <v>11050</v>
      </c>
      <c r="B11027" s="2" t="s">
        <v>12472</v>
      </c>
    </row>
    <row r="11028" spans="1:2" x14ac:dyDescent="0.2">
      <c r="A11028" s="8" t="s">
        <v>11051</v>
      </c>
      <c r="B11028" s="2" t="s">
        <v>12472</v>
      </c>
    </row>
    <row r="11029" spans="1:2" x14ac:dyDescent="0.2">
      <c r="A11029" s="8" t="s">
        <v>11052</v>
      </c>
      <c r="B11029" s="2" t="s">
        <v>12472</v>
      </c>
    </row>
    <row r="11030" spans="1:2" x14ac:dyDescent="0.2">
      <c r="A11030" s="8" t="s">
        <v>11053</v>
      </c>
      <c r="B11030" s="2" t="s">
        <v>12472</v>
      </c>
    </row>
    <row r="11031" spans="1:2" x14ac:dyDescent="0.2">
      <c r="A11031" s="8" t="s">
        <v>11054</v>
      </c>
      <c r="B11031" s="2" t="s">
        <v>12472</v>
      </c>
    </row>
    <row r="11032" spans="1:2" x14ac:dyDescent="0.2">
      <c r="A11032" s="8" t="s">
        <v>11055</v>
      </c>
      <c r="B11032" s="2" t="s">
        <v>12472</v>
      </c>
    </row>
    <row r="11033" spans="1:2" x14ac:dyDescent="0.2">
      <c r="A11033" s="8" t="s">
        <v>11056</v>
      </c>
      <c r="B11033" s="2" t="s">
        <v>12472</v>
      </c>
    </row>
    <row r="11034" spans="1:2" x14ac:dyDescent="0.2">
      <c r="A11034" s="8" t="s">
        <v>11057</v>
      </c>
      <c r="B11034" s="2" t="s">
        <v>12472</v>
      </c>
    </row>
    <row r="11035" spans="1:2" x14ac:dyDescent="0.2">
      <c r="A11035" s="8" t="s">
        <v>11058</v>
      </c>
      <c r="B11035" s="2" t="s">
        <v>12472</v>
      </c>
    </row>
    <row r="11036" spans="1:2" x14ac:dyDescent="0.2">
      <c r="A11036" s="8" t="s">
        <v>11059</v>
      </c>
      <c r="B11036" s="2" t="s">
        <v>12472</v>
      </c>
    </row>
    <row r="11037" spans="1:2" x14ac:dyDescent="0.2">
      <c r="A11037" s="8" t="s">
        <v>11060</v>
      </c>
      <c r="B11037" s="2" t="s">
        <v>12472</v>
      </c>
    </row>
    <row r="11038" spans="1:2" x14ac:dyDescent="0.2">
      <c r="A11038" s="8" t="s">
        <v>11061</v>
      </c>
      <c r="B11038" s="2" t="s">
        <v>12472</v>
      </c>
    </row>
    <row r="11039" spans="1:2" x14ac:dyDescent="0.2">
      <c r="A11039" s="8" t="s">
        <v>11062</v>
      </c>
      <c r="B11039" s="2" t="s">
        <v>12472</v>
      </c>
    </row>
    <row r="11040" spans="1:2" x14ac:dyDescent="0.2">
      <c r="A11040" s="8" t="s">
        <v>11063</v>
      </c>
      <c r="B11040" s="2" t="s">
        <v>12472</v>
      </c>
    </row>
    <row r="11041" spans="1:2" x14ac:dyDescent="0.2">
      <c r="A11041" s="8" t="s">
        <v>11064</v>
      </c>
      <c r="B11041" s="2" t="s">
        <v>12472</v>
      </c>
    </row>
    <row r="11042" spans="1:2" x14ac:dyDescent="0.2">
      <c r="A11042" s="8" t="s">
        <v>11065</v>
      </c>
      <c r="B11042" s="2" t="s">
        <v>12472</v>
      </c>
    </row>
    <row r="11043" spans="1:2" x14ac:dyDescent="0.2">
      <c r="A11043" s="8" t="s">
        <v>11066</v>
      </c>
      <c r="B11043" s="2" t="s">
        <v>12472</v>
      </c>
    </row>
    <row r="11044" spans="1:2" x14ac:dyDescent="0.2">
      <c r="A11044" s="8" t="s">
        <v>11067</v>
      </c>
      <c r="B11044" s="2" t="s">
        <v>12472</v>
      </c>
    </row>
    <row r="11045" spans="1:2" x14ac:dyDescent="0.2">
      <c r="A11045" s="8" t="s">
        <v>11068</v>
      </c>
      <c r="B11045" s="2" t="s">
        <v>12472</v>
      </c>
    </row>
    <row r="11046" spans="1:2" x14ac:dyDescent="0.2">
      <c r="A11046" s="8" t="s">
        <v>11069</v>
      </c>
      <c r="B11046" s="2" t="s">
        <v>12472</v>
      </c>
    </row>
    <row r="11047" spans="1:2" x14ac:dyDescent="0.2">
      <c r="A11047" s="8" t="s">
        <v>11070</v>
      </c>
      <c r="B11047" s="2" t="s">
        <v>12472</v>
      </c>
    </row>
    <row r="11048" spans="1:2" x14ac:dyDescent="0.2">
      <c r="A11048" s="8" t="s">
        <v>11071</v>
      </c>
      <c r="B11048" s="2" t="s">
        <v>12472</v>
      </c>
    </row>
    <row r="11049" spans="1:2" x14ac:dyDescent="0.2">
      <c r="A11049" s="8" t="s">
        <v>11072</v>
      </c>
      <c r="B11049" s="2" t="s">
        <v>12472</v>
      </c>
    </row>
    <row r="11050" spans="1:2" x14ac:dyDescent="0.2">
      <c r="A11050" s="8" t="s">
        <v>11073</v>
      </c>
      <c r="B11050" s="2" t="s">
        <v>12472</v>
      </c>
    </row>
    <row r="11051" spans="1:2" x14ac:dyDescent="0.2">
      <c r="A11051" s="8" t="s">
        <v>11074</v>
      </c>
      <c r="B11051" s="2" t="s">
        <v>12472</v>
      </c>
    </row>
    <row r="11052" spans="1:2" x14ac:dyDescent="0.2">
      <c r="A11052" s="8" t="s">
        <v>11075</v>
      </c>
      <c r="B11052" s="2" t="s">
        <v>12472</v>
      </c>
    </row>
    <row r="11053" spans="1:2" x14ac:dyDescent="0.2">
      <c r="A11053" s="8" t="s">
        <v>11076</v>
      </c>
      <c r="B11053" s="2" t="s">
        <v>12472</v>
      </c>
    </row>
    <row r="11054" spans="1:2" x14ac:dyDescent="0.2">
      <c r="A11054" s="8" t="s">
        <v>11077</v>
      </c>
      <c r="B11054" s="2" t="s">
        <v>12472</v>
      </c>
    </row>
    <row r="11055" spans="1:2" x14ac:dyDescent="0.2">
      <c r="A11055" s="8" t="s">
        <v>11078</v>
      </c>
      <c r="B11055" s="2" t="s">
        <v>12472</v>
      </c>
    </row>
    <row r="11056" spans="1:2" x14ac:dyDescent="0.2">
      <c r="A11056" s="8" t="s">
        <v>11079</v>
      </c>
      <c r="B11056" s="2" t="s">
        <v>12472</v>
      </c>
    </row>
    <row r="11057" spans="1:2" x14ac:dyDescent="0.2">
      <c r="A11057" s="8" t="s">
        <v>11080</v>
      </c>
      <c r="B11057" s="2" t="s">
        <v>12472</v>
      </c>
    </row>
    <row r="11058" spans="1:2" x14ac:dyDescent="0.2">
      <c r="A11058" s="8" t="s">
        <v>11081</v>
      </c>
      <c r="B11058" s="2" t="s">
        <v>12472</v>
      </c>
    </row>
    <row r="11059" spans="1:2" x14ac:dyDescent="0.2">
      <c r="A11059" s="8" t="s">
        <v>11082</v>
      </c>
      <c r="B11059" s="2" t="s">
        <v>12472</v>
      </c>
    </row>
    <row r="11060" spans="1:2" x14ac:dyDescent="0.2">
      <c r="A11060" s="8" t="s">
        <v>11083</v>
      </c>
      <c r="B11060" s="2" t="s">
        <v>12472</v>
      </c>
    </row>
    <row r="11061" spans="1:2" x14ac:dyDescent="0.2">
      <c r="A11061" s="8" t="s">
        <v>11084</v>
      </c>
      <c r="B11061" s="2" t="s">
        <v>12472</v>
      </c>
    </row>
    <row r="11062" spans="1:2" x14ac:dyDescent="0.2">
      <c r="A11062" s="8" t="s">
        <v>11085</v>
      </c>
      <c r="B11062" s="2" t="s">
        <v>12472</v>
      </c>
    </row>
    <row r="11063" spans="1:2" x14ac:dyDescent="0.2">
      <c r="A11063" s="8" t="s">
        <v>11086</v>
      </c>
      <c r="B11063" s="2" t="s">
        <v>12472</v>
      </c>
    </row>
    <row r="11064" spans="1:2" x14ac:dyDescent="0.2">
      <c r="A11064" s="8" t="s">
        <v>11087</v>
      </c>
      <c r="B11064" s="2" t="s">
        <v>12472</v>
      </c>
    </row>
    <row r="11065" spans="1:2" x14ac:dyDescent="0.2">
      <c r="A11065" s="8" t="s">
        <v>11088</v>
      </c>
      <c r="B11065" s="2" t="s">
        <v>12472</v>
      </c>
    </row>
    <row r="11066" spans="1:2" x14ac:dyDescent="0.2">
      <c r="A11066" s="8" t="s">
        <v>11089</v>
      </c>
      <c r="B11066" s="2" t="s">
        <v>12472</v>
      </c>
    </row>
    <row r="11067" spans="1:2" x14ac:dyDescent="0.2">
      <c r="A11067" s="8" t="s">
        <v>11090</v>
      </c>
      <c r="B11067" s="2" t="s">
        <v>12472</v>
      </c>
    </row>
    <row r="11068" spans="1:2" x14ac:dyDescent="0.2">
      <c r="A11068" s="8" t="s">
        <v>11091</v>
      </c>
      <c r="B11068" s="2" t="s">
        <v>12472</v>
      </c>
    </row>
    <row r="11069" spans="1:2" x14ac:dyDescent="0.2">
      <c r="A11069" s="8" t="s">
        <v>11092</v>
      </c>
      <c r="B11069" s="2" t="s">
        <v>12472</v>
      </c>
    </row>
    <row r="11070" spans="1:2" x14ac:dyDescent="0.2">
      <c r="A11070" s="8" t="s">
        <v>11093</v>
      </c>
      <c r="B11070" s="2" t="s">
        <v>12472</v>
      </c>
    </row>
    <row r="11071" spans="1:2" x14ac:dyDescent="0.2">
      <c r="A11071" s="8" t="s">
        <v>11094</v>
      </c>
      <c r="B11071" s="2" t="s">
        <v>12472</v>
      </c>
    </row>
    <row r="11072" spans="1:2" x14ac:dyDescent="0.2">
      <c r="A11072" s="8" t="s">
        <v>11095</v>
      </c>
      <c r="B11072" s="2" t="s">
        <v>12472</v>
      </c>
    </row>
    <row r="11073" spans="1:2" x14ac:dyDescent="0.2">
      <c r="A11073" s="8" t="s">
        <v>11096</v>
      </c>
      <c r="B11073" s="2" t="s">
        <v>12472</v>
      </c>
    </row>
    <row r="11074" spans="1:2" x14ac:dyDescent="0.2">
      <c r="A11074" s="8" t="s">
        <v>11097</v>
      </c>
      <c r="B11074" s="2" t="s">
        <v>12472</v>
      </c>
    </row>
    <row r="11075" spans="1:2" x14ac:dyDescent="0.2">
      <c r="A11075" s="8" t="s">
        <v>11098</v>
      </c>
      <c r="B11075" s="2" t="s">
        <v>12472</v>
      </c>
    </row>
    <row r="11076" spans="1:2" x14ac:dyDescent="0.2">
      <c r="A11076" s="8" t="s">
        <v>11099</v>
      </c>
      <c r="B11076" s="2" t="s">
        <v>12472</v>
      </c>
    </row>
    <row r="11077" spans="1:2" x14ac:dyDescent="0.2">
      <c r="A11077" s="8" t="s">
        <v>11100</v>
      </c>
      <c r="B11077" s="2" t="s">
        <v>12472</v>
      </c>
    </row>
    <row r="11078" spans="1:2" x14ac:dyDescent="0.2">
      <c r="A11078" s="8" t="s">
        <v>11101</v>
      </c>
      <c r="B11078" s="2" t="s">
        <v>12472</v>
      </c>
    </row>
    <row r="11079" spans="1:2" x14ac:dyDescent="0.2">
      <c r="A11079" s="8" t="s">
        <v>11102</v>
      </c>
      <c r="B11079" s="2" t="s">
        <v>12472</v>
      </c>
    </row>
    <row r="11080" spans="1:2" x14ac:dyDescent="0.2">
      <c r="A11080" s="8" t="s">
        <v>11103</v>
      </c>
      <c r="B11080" s="2" t="s">
        <v>12472</v>
      </c>
    </row>
    <row r="11081" spans="1:2" x14ac:dyDescent="0.2">
      <c r="A11081" s="8" t="s">
        <v>11104</v>
      </c>
      <c r="B11081" s="2" t="s">
        <v>12472</v>
      </c>
    </row>
    <row r="11082" spans="1:2" x14ac:dyDescent="0.2">
      <c r="A11082" s="8" t="s">
        <v>11105</v>
      </c>
      <c r="B11082" s="2" t="s">
        <v>12472</v>
      </c>
    </row>
    <row r="11083" spans="1:2" x14ac:dyDescent="0.2">
      <c r="A11083" s="8" t="s">
        <v>11106</v>
      </c>
      <c r="B11083" s="2" t="s">
        <v>12472</v>
      </c>
    </row>
    <row r="11084" spans="1:2" x14ac:dyDescent="0.2">
      <c r="A11084" s="8" t="s">
        <v>11107</v>
      </c>
      <c r="B11084" s="2" t="s">
        <v>12472</v>
      </c>
    </row>
    <row r="11085" spans="1:2" x14ac:dyDescent="0.2">
      <c r="A11085" s="8" t="s">
        <v>11108</v>
      </c>
      <c r="B11085" s="2" t="s">
        <v>12472</v>
      </c>
    </row>
    <row r="11086" spans="1:2" x14ac:dyDescent="0.2">
      <c r="A11086" s="8" t="s">
        <v>11109</v>
      </c>
      <c r="B11086" s="2" t="s">
        <v>12472</v>
      </c>
    </row>
    <row r="11087" spans="1:2" x14ac:dyDescent="0.2">
      <c r="A11087" s="8" t="s">
        <v>11110</v>
      </c>
      <c r="B11087" s="2" t="s">
        <v>12472</v>
      </c>
    </row>
    <row r="11088" spans="1:2" x14ac:dyDescent="0.2">
      <c r="A11088" s="8" t="s">
        <v>11111</v>
      </c>
      <c r="B11088" s="2" t="s">
        <v>12472</v>
      </c>
    </row>
    <row r="11089" spans="1:2" x14ac:dyDescent="0.2">
      <c r="A11089" s="8" t="s">
        <v>11112</v>
      </c>
      <c r="B11089" s="2" t="s">
        <v>12472</v>
      </c>
    </row>
    <row r="11090" spans="1:2" x14ac:dyDescent="0.2">
      <c r="A11090" s="8" t="s">
        <v>11113</v>
      </c>
      <c r="B11090" s="2" t="s">
        <v>12472</v>
      </c>
    </row>
    <row r="11091" spans="1:2" x14ac:dyDescent="0.2">
      <c r="A11091" s="8" t="s">
        <v>11114</v>
      </c>
      <c r="B11091" s="2" t="s">
        <v>12472</v>
      </c>
    </row>
    <row r="11092" spans="1:2" x14ac:dyDescent="0.2">
      <c r="A11092" s="8" t="s">
        <v>11115</v>
      </c>
      <c r="B11092" s="2" t="s">
        <v>12472</v>
      </c>
    </row>
    <row r="11093" spans="1:2" x14ac:dyDescent="0.2">
      <c r="A11093" s="8" t="s">
        <v>11116</v>
      </c>
      <c r="B11093" s="2" t="s">
        <v>12472</v>
      </c>
    </row>
    <row r="11094" spans="1:2" x14ac:dyDescent="0.2">
      <c r="A11094" s="8" t="s">
        <v>11117</v>
      </c>
      <c r="B11094" s="2" t="s">
        <v>12472</v>
      </c>
    </row>
    <row r="11095" spans="1:2" x14ac:dyDescent="0.2">
      <c r="A11095" s="8" t="s">
        <v>11118</v>
      </c>
      <c r="B11095" s="2" t="s">
        <v>12472</v>
      </c>
    </row>
    <row r="11096" spans="1:2" x14ac:dyDescent="0.2">
      <c r="A11096" s="8" t="s">
        <v>11119</v>
      </c>
      <c r="B11096" s="2" t="s">
        <v>12472</v>
      </c>
    </row>
    <row r="11097" spans="1:2" x14ac:dyDescent="0.2">
      <c r="A11097" s="8" t="s">
        <v>11120</v>
      </c>
      <c r="B11097" s="2" t="s">
        <v>12472</v>
      </c>
    </row>
    <row r="11098" spans="1:2" x14ac:dyDescent="0.2">
      <c r="A11098" s="8" t="s">
        <v>11121</v>
      </c>
      <c r="B11098" s="2" t="s">
        <v>12472</v>
      </c>
    </row>
    <row r="11099" spans="1:2" x14ac:dyDescent="0.2">
      <c r="A11099" s="8" t="s">
        <v>11122</v>
      </c>
      <c r="B11099" s="2" t="s">
        <v>12472</v>
      </c>
    </row>
    <row r="11100" spans="1:2" x14ac:dyDescent="0.2">
      <c r="A11100" s="8" t="s">
        <v>11123</v>
      </c>
      <c r="B11100" s="2" t="s">
        <v>12472</v>
      </c>
    </row>
    <row r="11101" spans="1:2" x14ac:dyDescent="0.2">
      <c r="A11101" s="8" t="s">
        <v>11124</v>
      </c>
      <c r="B11101" s="2" t="s">
        <v>12472</v>
      </c>
    </row>
    <row r="11102" spans="1:2" x14ac:dyDescent="0.2">
      <c r="A11102" s="8" t="s">
        <v>11125</v>
      </c>
      <c r="B11102" s="2" t="s">
        <v>12472</v>
      </c>
    </row>
    <row r="11103" spans="1:2" x14ac:dyDescent="0.2">
      <c r="A11103" s="8" t="s">
        <v>11126</v>
      </c>
      <c r="B11103" s="2" t="s">
        <v>12472</v>
      </c>
    </row>
    <row r="11104" spans="1:2" x14ac:dyDescent="0.2">
      <c r="A11104" s="8" t="s">
        <v>11127</v>
      </c>
      <c r="B11104" s="2" t="s">
        <v>12472</v>
      </c>
    </row>
    <row r="11105" spans="1:2" x14ac:dyDescent="0.2">
      <c r="A11105" s="8" t="s">
        <v>11128</v>
      </c>
      <c r="B11105" s="2" t="s">
        <v>12472</v>
      </c>
    </row>
    <row r="11106" spans="1:2" x14ac:dyDescent="0.2">
      <c r="A11106" s="8" t="s">
        <v>11129</v>
      </c>
      <c r="B11106" s="2" t="s">
        <v>12472</v>
      </c>
    </row>
    <row r="11107" spans="1:2" x14ac:dyDescent="0.2">
      <c r="A11107" s="8" t="s">
        <v>11130</v>
      </c>
      <c r="B11107" s="2" t="s">
        <v>12472</v>
      </c>
    </row>
    <row r="11108" spans="1:2" x14ac:dyDescent="0.2">
      <c r="A11108" s="8" t="s">
        <v>11131</v>
      </c>
      <c r="B11108" s="2" t="s">
        <v>12472</v>
      </c>
    </row>
    <row r="11109" spans="1:2" x14ac:dyDescent="0.2">
      <c r="A11109" s="8" t="s">
        <v>11132</v>
      </c>
      <c r="B11109" s="2" t="s">
        <v>12472</v>
      </c>
    </row>
    <row r="11110" spans="1:2" x14ac:dyDescent="0.2">
      <c r="A11110" s="8" t="s">
        <v>11133</v>
      </c>
      <c r="B11110" s="2" t="s">
        <v>12472</v>
      </c>
    </row>
    <row r="11111" spans="1:2" x14ac:dyDescent="0.2">
      <c r="A11111" s="8" t="s">
        <v>11134</v>
      </c>
      <c r="B11111" s="2" t="s">
        <v>12472</v>
      </c>
    </row>
    <row r="11112" spans="1:2" x14ac:dyDescent="0.2">
      <c r="A11112" s="8" t="s">
        <v>11135</v>
      </c>
      <c r="B11112" s="2" t="s">
        <v>12472</v>
      </c>
    </row>
    <row r="11113" spans="1:2" x14ac:dyDescent="0.2">
      <c r="A11113" s="8" t="s">
        <v>11136</v>
      </c>
      <c r="B11113" s="2" t="s">
        <v>12472</v>
      </c>
    </row>
    <row r="11114" spans="1:2" x14ac:dyDescent="0.2">
      <c r="A11114" s="8" t="s">
        <v>11137</v>
      </c>
      <c r="B11114" s="2" t="s">
        <v>12472</v>
      </c>
    </row>
    <row r="11115" spans="1:2" x14ac:dyDescent="0.2">
      <c r="A11115" s="8" t="s">
        <v>11138</v>
      </c>
      <c r="B11115" s="2" t="s">
        <v>12472</v>
      </c>
    </row>
    <row r="11116" spans="1:2" x14ac:dyDescent="0.2">
      <c r="A11116" s="8" t="s">
        <v>11139</v>
      </c>
      <c r="B11116" s="2" t="s">
        <v>12472</v>
      </c>
    </row>
    <row r="11117" spans="1:2" x14ac:dyDescent="0.2">
      <c r="A11117" s="8" t="s">
        <v>11140</v>
      </c>
      <c r="B11117" s="2" t="s">
        <v>12472</v>
      </c>
    </row>
    <row r="11118" spans="1:2" x14ac:dyDescent="0.2">
      <c r="A11118" s="8" t="s">
        <v>11141</v>
      </c>
      <c r="B11118" s="2" t="s">
        <v>12472</v>
      </c>
    </row>
    <row r="11119" spans="1:2" x14ac:dyDescent="0.2">
      <c r="A11119" s="8" t="s">
        <v>11142</v>
      </c>
      <c r="B11119" s="2" t="s">
        <v>12472</v>
      </c>
    </row>
    <row r="11120" spans="1:2" x14ac:dyDescent="0.2">
      <c r="A11120" s="8" t="s">
        <v>11143</v>
      </c>
      <c r="B11120" s="2" t="s">
        <v>12472</v>
      </c>
    </row>
    <row r="11121" spans="1:2" x14ac:dyDescent="0.2">
      <c r="A11121" s="8" t="s">
        <v>11144</v>
      </c>
      <c r="B11121" s="2" t="s">
        <v>12472</v>
      </c>
    </row>
    <row r="11122" spans="1:2" x14ac:dyDescent="0.2">
      <c r="A11122" s="8" t="s">
        <v>11145</v>
      </c>
      <c r="B11122" s="2" t="s">
        <v>12472</v>
      </c>
    </row>
    <row r="11123" spans="1:2" x14ac:dyDescent="0.2">
      <c r="A11123" s="8" t="s">
        <v>11146</v>
      </c>
      <c r="B11123" s="2" t="s">
        <v>12472</v>
      </c>
    </row>
    <row r="11124" spans="1:2" x14ac:dyDescent="0.2">
      <c r="A11124" s="8" t="s">
        <v>11147</v>
      </c>
      <c r="B11124" s="2" t="s">
        <v>12472</v>
      </c>
    </row>
    <row r="11125" spans="1:2" x14ac:dyDescent="0.2">
      <c r="A11125" s="8" t="s">
        <v>11148</v>
      </c>
      <c r="B11125" s="2" t="s">
        <v>12472</v>
      </c>
    </row>
    <row r="11126" spans="1:2" x14ac:dyDescent="0.2">
      <c r="A11126" s="8" t="s">
        <v>11149</v>
      </c>
      <c r="B11126" s="2" t="s">
        <v>12472</v>
      </c>
    </row>
    <row r="11127" spans="1:2" x14ac:dyDescent="0.2">
      <c r="A11127" s="8" t="s">
        <v>11150</v>
      </c>
      <c r="B11127" s="2" t="s">
        <v>12472</v>
      </c>
    </row>
    <row r="11128" spans="1:2" x14ac:dyDescent="0.2">
      <c r="A11128" s="8" t="s">
        <v>11151</v>
      </c>
      <c r="B11128" s="2" t="s">
        <v>12472</v>
      </c>
    </row>
    <row r="11129" spans="1:2" x14ac:dyDescent="0.2">
      <c r="A11129" s="8" t="s">
        <v>11152</v>
      </c>
      <c r="B11129" s="2" t="s">
        <v>12472</v>
      </c>
    </row>
    <row r="11130" spans="1:2" x14ac:dyDescent="0.2">
      <c r="A11130" s="8" t="s">
        <v>11153</v>
      </c>
      <c r="B11130" s="2" t="s">
        <v>12472</v>
      </c>
    </row>
    <row r="11131" spans="1:2" x14ac:dyDescent="0.2">
      <c r="A11131" s="8" t="s">
        <v>11154</v>
      </c>
      <c r="B11131" s="2" t="s">
        <v>12472</v>
      </c>
    </row>
    <row r="11132" spans="1:2" x14ac:dyDescent="0.2">
      <c r="A11132" s="8" t="s">
        <v>11155</v>
      </c>
      <c r="B11132" s="2" t="s">
        <v>12472</v>
      </c>
    </row>
    <row r="11133" spans="1:2" x14ac:dyDescent="0.2">
      <c r="A11133" s="8" t="s">
        <v>11156</v>
      </c>
      <c r="B11133" s="2" t="s">
        <v>12472</v>
      </c>
    </row>
    <row r="11134" spans="1:2" x14ac:dyDescent="0.2">
      <c r="A11134" s="8" t="s">
        <v>11157</v>
      </c>
      <c r="B11134" s="2" t="s">
        <v>12472</v>
      </c>
    </row>
    <row r="11135" spans="1:2" x14ac:dyDescent="0.2">
      <c r="A11135" s="8" t="s">
        <v>11158</v>
      </c>
      <c r="B11135" s="2" t="s">
        <v>12472</v>
      </c>
    </row>
    <row r="11136" spans="1:2" x14ac:dyDescent="0.2">
      <c r="A11136" s="8" t="s">
        <v>11159</v>
      </c>
      <c r="B11136" s="2" t="s">
        <v>12472</v>
      </c>
    </row>
    <row r="11137" spans="1:2" x14ac:dyDescent="0.2">
      <c r="A11137" s="8" t="s">
        <v>11160</v>
      </c>
      <c r="B11137" s="2" t="s">
        <v>12472</v>
      </c>
    </row>
    <row r="11138" spans="1:2" x14ac:dyDescent="0.2">
      <c r="A11138" s="8" t="s">
        <v>11161</v>
      </c>
      <c r="B11138" s="2" t="s">
        <v>12472</v>
      </c>
    </row>
    <row r="11139" spans="1:2" x14ac:dyDescent="0.2">
      <c r="A11139" s="8" t="s">
        <v>11162</v>
      </c>
      <c r="B11139" s="2" t="s">
        <v>12472</v>
      </c>
    </row>
    <row r="11140" spans="1:2" x14ac:dyDescent="0.2">
      <c r="A11140" s="8" t="s">
        <v>11163</v>
      </c>
      <c r="B11140" s="2" t="s">
        <v>12472</v>
      </c>
    </row>
    <row r="11141" spans="1:2" x14ac:dyDescent="0.2">
      <c r="A11141" s="8" t="s">
        <v>11164</v>
      </c>
      <c r="B11141" s="2" t="s">
        <v>12472</v>
      </c>
    </row>
    <row r="11142" spans="1:2" x14ac:dyDescent="0.2">
      <c r="A11142" s="8" t="s">
        <v>11165</v>
      </c>
      <c r="B11142" s="2" t="s">
        <v>12472</v>
      </c>
    </row>
    <row r="11143" spans="1:2" x14ac:dyDescent="0.2">
      <c r="A11143" s="8" t="s">
        <v>11166</v>
      </c>
      <c r="B11143" s="2" t="s">
        <v>12472</v>
      </c>
    </row>
    <row r="11144" spans="1:2" x14ac:dyDescent="0.2">
      <c r="A11144" s="8" t="s">
        <v>11167</v>
      </c>
      <c r="B11144" s="2" t="s">
        <v>12472</v>
      </c>
    </row>
    <row r="11145" spans="1:2" x14ac:dyDescent="0.2">
      <c r="A11145" s="8" t="s">
        <v>11168</v>
      </c>
      <c r="B11145" s="2" t="s">
        <v>12472</v>
      </c>
    </row>
    <row r="11146" spans="1:2" x14ac:dyDescent="0.2">
      <c r="A11146" s="8" t="s">
        <v>11169</v>
      </c>
      <c r="B11146" s="2" t="s">
        <v>12472</v>
      </c>
    </row>
    <row r="11147" spans="1:2" x14ac:dyDescent="0.2">
      <c r="A11147" s="8" t="s">
        <v>11170</v>
      </c>
      <c r="B11147" s="2" t="s">
        <v>12472</v>
      </c>
    </row>
    <row r="11148" spans="1:2" x14ac:dyDescent="0.2">
      <c r="A11148" s="8" t="s">
        <v>11171</v>
      </c>
      <c r="B11148" s="2" t="s">
        <v>12472</v>
      </c>
    </row>
    <row r="11149" spans="1:2" x14ac:dyDescent="0.2">
      <c r="A11149" s="8" t="s">
        <v>11172</v>
      </c>
      <c r="B11149" s="2" t="s">
        <v>12472</v>
      </c>
    </row>
    <row r="11150" spans="1:2" x14ac:dyDescent="0.2">
      <c r="A11150" s="8" t="s">
        <v>11173</v>
      </c>
      <c r="B11150" s="2" t="s">
        <v>12472</v>
      </c>
    </row>
    <row r="11151" spans="1:2" x14ac:dyDescent="0.2">
      <c r="A11151" s="8" t="s">
        <v>11174</v>
      </c>
      <c r="B11151" s="2" t="s">
        <v>12472</v>
      </c>
    </row>
    <row r="11152" spans="1:2" x14ac:dyDescent="0.2">
      <c r="A11152" s="8" t="s">
        <v>11175</v>
      </c>
      <c r="B11152" s="2" t="s">
        <v>12472</v>
      </c>
    </row>
    <row r="11153" spans="1:2" x14ac:dyDescent="0.2">
      <c r="A11153" s="8" t="s">
        <v>11176</v>
      </c>
      <c r="B11153" s="2" t="s">
        <v>12472</v>
      </c>
    </row>
    <row r="11154" spans="1:2" x14ac:dyDescent="0.2">
      <c r="A11154" s="8" t="s">
        <v>11177</v>
      </c>
      <c r="B11154" s="2" t="s">
        <v>12472</v>
      </c>
    </row>
    <row r="11155" spans="1:2" x14ac:dyDescent="0.2">
      <c r="A11155" s="8" t="s">
        <v>11178</v>
      </c>
      <c r="B11155" s="2" t="s">
        <v>12472</v>
      </c>
    </row>
    <row r="11156" spans="1:2" x14ac:dyDescent="0.2">
      <c r="A11156" s="8" t="s">
        <v>11179</v>
      </c>
      <c r="B11156" s="2" t="s">
        <v>12472</v>
      </c>
    </row>
    <row r="11157" spans="1:2" x14ac:dyDescent="0.2">
      <c r="A11157" s="8" t="s">
        <v>11180</v>
      </c>
      <c r="B11157" s="2" t="s">
        <v>12472</v>
      </c>
    </row>
    <row r="11158" spans="1:2" x14ac:dyDescent="0.2">
      <c r="A11158" s="8" t="s">
        <v>11181</v>
      </c>
      <c r="B11158" s="2" t="s">
        <v>12472</v>
      </c>
    </row>
    <row r="11159" spans="1:2" x14ac:dyDescent="0.2">
      <c r="A11159" s="8" t="s">
        <v>11182</v>
      </c>
      <c r="B11159" s="2" t="s">
        <v>12472</v>
      </c>
    </row>
    <row r="11160" spans="1:2" x14ac:dyDescent="0.2">
      <c r="A11160" s="8" t="s">
        <v>11183</v>
      </c>
      <c r="B11160" s="2" t="s">
        <v>12472</v>
      </c>
    </row>
    <row r="11161" spans="1:2" x14ac:dyDescent="0.2">
      <c r="A11161" s="8" t="s">
        <v>11184</v>
      </c>
      <c r="B11161" s="2" t="s">
        <v>12472</v>
      </c>
    </row>
    <row r="11162" spans="1:2" x14ac:dyDescent="0.2">
      <c r="A11162" s="8" t="s">
        <v>11185</v>
      </c>
      <c r="B11162" s="2" t="s">
        <v>12472</v>
      </c>
    </row>
    <row r="11163" spans="1:2" x14ac:dyDescent="0.2">
      <c r="A11163" s="8" t="s">
        <v>11186</v>
      </c>
      <c r="B11163" s="2" t="s">
        <v>12472</v>
      </c>
    </row>
    <row r="11164" spans="1:2" x14ac:dyDescent="0.2">
      <c r="A11164" s="8" t="s">
        <v>11187</v>
      </c>
      <c r="B11164" s="2" t="s">
        <v>12472</v>
      </c>
    </row>
    <row r="11165" spans="1:2" x14ac:dyDescent="0.2">
      <c r="A11165" s="8" t="s">
        <v>11188</v>
      </c>
      <c r="B11165" s="2" t="s">
        <v>12472</v>
      </c>
    </row>
    <row r="11166" spans="1:2" x14ac:dyDescent="0.2">
      <c r="A11166" s="8" t="s">
        <v>11189</v>
      </c>
      <c r="B11166" s="2" t="s">
        <v>12472</v>
      </c>
    </row>
    <row r="11167" spans="1:2" x14ac:dyDescent="0.2">
      <c r="A11167" s="8" t="s">
        <v>11190</v>
      </c>
      <c r="B11167" s="2" t="s">
        <v>12472</v>
      </c>
    </row>
    <row r="11168" spans="1:2" x14ac:dyDescent="0.2">
      <c r="A11168" s="8" t="s">
        <v>11191</v>
      </c>
      <c r="B11168" s="2" t="s">
        <v>12472</v>
      </c>
    </row>
    <row r="11169" spans="1:2" x14ac:dyDescent="0.2">
      <c r="A11169" s="8" t="s">
        <v>11192</v>
      </c>
      <c r="B11169" s="2" t="s">
        <v>12472</v>
      </c>
    </row>
    <row r="11170" spans="1:2" x14ac:dyDescent="0.2">
      <c r="A11170" s="8" t="s">
        <v>11193</v>
      </c>
      <c r="B11170" s="2" t="s">
        <v>12472</v>
      </c>
    </row>
    <row r="11171" spans="1:2" x14ac:dyDescent="0.2">
      <c r="A11171" s="8" t="s">
        <v>11194</v>
      </c>
      <c r="B11171" s="2" t="s">
        <v>12472</v>
      </c>
    </row>
    <row r="11172" spans="1:2" x14ac:dyDescent="0.2">
      <c r="A11172" s="8" t="s">
        <v>11195</v>
      </c>
      <c r="B11172" s="2" t="s">
        <v>12472</v>
      </c>
    </row>
    <row r="11173" spans="1:2" x14ac:dyDescent="0.2">
      <c r="A11173" s="8" t="s">
        <v>11196</v>
      </c>
      <c r="B11173" s="2" t="s">
        <v>12472</v>
      </c>
    </row>
    <row r="11174" spans="1:2" x14ac:dyDescent="0.2">
      <c r="A11174" s="8" t="s">
        <v>11197</v>
      </c>
      <c r="B11174" s="2" t="s">
        <v>12472</v>
      </c>
    </row>
    <row r="11175" spans="1:2" x14ac:dyDescent="0.2">
      <c r="A11175" s="8" t="s">
        <v>11198</v>
      </c>
      <c r="B11175" s="2" t="s">
        <v>12472</v>
      </c>
    </row>
    <row r="11176" spans="1:2" x14ac:dyDescent="0.2">
      <c r="A11176" s="8" t="s">
        <v>11199</v>
      </c>
      <c r="B11176" s="2" t="s">
        <v>12472</v>
      </c>
    </row>
    <row r="11177" spans="1:2" x14ac:dyDescent="0.2">
      <c r="A11177" s="8" t="s">
        <v>11200</v>
      </c>
      <c r="B11177" s="2" t="s">
        <v>12472</v>
      </c>
    </row>
    <row r="11178" spans="1:2" x14ac:dyDescent="0.2">
      <c r="A11178" s="8" t="s">
        <v>11201</v>
      </c>
      <c r="B11178" s="2" t="s">
        <v>12472</v>
      </c>
    </row>
    <row r="11179" spans="1:2" x14ac:dyDescent="0.2">
      <c r="A11179" s="8" t="s">
        <v>11202</v>
      </c>
      <c r="B11179" s="2" t="s">
        <v>12472</v>
      </c>
    </row>
    <row r="11180" spans="1:2" x14ac:dyDescent="0.2">
      <c r="A11180" s="8" t="s">
        <v>11203</v>
      </c>
      <c r="B11180" s="2" t="s">
        <v>12472</v>
      </c>
    </row>
    <row r="11181" spans="1:2" x14ac:dyDescent="0.2">
      <c r="A11181" s="8" t="s">
        <v>11204</v>
      </c>
      <c r="B11181" s="2" t="s">
        <v>12472</v>
      </c>
    </row>
    <row r="11182" spans="1:2" x14ac:dyDescent="0.2">
      <c r="A11182" s="8" t="s">
        <v>11205</v>
      </c>
      <c r="B11182" s="2" t="s">
        <v>12472</v>
      </c>
    </row>
    <row r="11183" spans="1:2" x14ac:dyDescent="0.2">
      <c r="A11183" s="8" t="s">
        <v>11206</v>
      </c>
      <c r="B11183" s="2" t="s">
        <v>12472</v>
      </c>
    </row>
    <row r="11184" spans="1:2" x14ac:dyDescent="0.2">
      <c r="A11184" s="8" t="s">
        <v>11207</v>
      </c>
      <c r="B11184" s="2" t="s">
        <v>12472</v>
      </c>
    </row>
    <row r="11185" spans="1:2" x14ac:dyDescent="0.2">
      <c r="A11185" s="8" t="s">
        <v>11208</v>
      </c>
      <c r="B11185" s="2" t="s">
        <v>12472</v>
      </c>
    </row>
    <row r="11186" spans="1:2" x14ac:dyDescent="0.2">
      <c r="A11186" s="8" t="s">
        <v>11209</v>
      </c>
      <c r="B11186" s="2" t="s">
        <v>12472</v>
      </c>
    </row>
    <row r="11187" spans="1:2" x14ac:dyDescent="0.2">
      <c r="A11187" s="8" t="s">
        <v>11210</v>
      </c>
      <c r="B11187" s="2" t="s">
        <v>12472</v>
      </c>
    </row>
    <row r="11188" spans="1:2" x14ac:dyDescent="0.2">
      <c r="A11188" s="8" t="s">
        <v>11211</v>
      </c>
      <c r="B11188" s="2" t="s">
        <v>12472</v>
      </c>
    </row>
    <row r="11189" spans="1:2" x14ac:dyDescent="0.2">
      <c r="A11189" s="8" t="s">
        <v>11212</v>
      </c>
      <c r="B11189" s="2" t="s">
        <v>12472</v>
      </c>
    </row>
    <row r="11190" spans="1:2" x14ac:dyDescent="0.2">
      <c r="A11190" s="8" t="s">
        <v>11213</v>
      </c>
      <c r="B11190" s="2" t="s">
        <v>12472</v>
      </c>
    </row>
    <row r="11191" spans="1:2" x14ac:dyDescent="0.2">
      <c r="A11191" s="8" t="s">
        <v>11214</v>
      </c>
      <c r="B11191" s="2" t="s">
        <v>12472</v>
      </c>
    </row>
    <row r="11192" spans="1:2" x14ac:dyDescent="0.2">
      <c r="A11192" s="8" t="s">
        <v>11215</v>
      </c>
      <c r="B11192" s="2" t="s">
        <v>12472</v>
      </c>
    </row>
    <row r="11193" spans="1:2" x14ac:dyDescent="0.2">
      <c r="A11193" s="8" t="s">
        <v>11216</v>
      </c>
      <c r="B11193" s="2" t="s">
        <v>12472</v>
      </c>
    </row>
    <row r="11194" spans="1:2" x14ac:dyDescent="0.2">
      <c r="A11194" s="8" t="s">
        <v>11217</v>
      </c>
      <c r="B11194" s="2" t="s">
        <v>12472</v>
      </c>
    </row>
    <row r="11195" spans="1:2" x14ac:dyDescent="0.2">
      <c r="A11195" s="8" t="s">
        <v>11218</v>
      </c>
      <c r="B11195" s="2" t="s">
        <v>12472</v>
      </c>
    </row>
    <row r="11196" spans="1:2" x14ac:dyDescent="0.2">
      <c r="A11196" s="8" t="s">
        <v>11219</v>
      </c>
      <c r="B11196" s="2" t="s">
        <v>12472</v>
      </c>
    </row>
    <row r="11197" spans="1:2" x14ac:dyDescent="0.2">
      <c r="A11197" s="8" t="s">
        <v>11220</v>
      </c>
      <c r="B11197" s="2" t="s">
        <v>12472</v>
      </c>
    </row>
    <row r="11198" spans="1:2" x14ac:dyDescent="0.2">
      <c r="A11198" s="8" t="s">
        <v>11221</v>
      </c>
      <c r="B11198" s="2" t="s">
        <v>12472</v>
      </c>
    </row>
    <row r="11199" spans="1:2" x14ac:dyDescent="0.2">
      <c r="A11199" s="8" t="s">
        <v>11222</v>
      </c>
      <c r="B11199" s="2" t="s">
        <v>12472</v>
      </c>
    </row>
    <row r="11200" spans="1:2" x14ac:dyDescent="0.2">
      <c r="A11200" s="8" t="s">
        <v>11223</v>
      </c>
      <c r="B11200" s="2" t="s">
        <v>12472</v>
      </c>
    </row>
    <row r="11201" spans="1:2" x14ac:dyDescent="0.2">
      <c r="A11201" s="8" t="s">
        <v>11224</v>
      </c>
      <c r="B11201" s="2" t="s">
        <v>12472</v>
      </c>
    </row>
    <row r="11202" spans="1:2" x14ac:dyDescent="0.2">
      <c r="A11202" s="8" t="s">
        <v>11225</v>
      </c>
      <c r="B11202" s="2" t="s">
        <v>12472</v>
      </c>
    </row>
    <row r="11203" spans="1:2" x14ac:dyDescent="0.2">
      <c r="A11203" s="8" t="s">
        <v>11226</v>
      </c>
      <c r="B11203" s="2" t="s">
        <v>12472</v>
      </c>
    </row>
    <row r="11204" spans="1:2" x14ac:dyDescent="0.2">
      <c r="A11204" s="8" t="s">
        <v>11227</v>
      </c>
      <c r="B11204" s="2" t="s">
        <v>12472</v>
      </c>
    </row>
    <row r="11205" spans="1:2" x14ac:dyDescent="0.2">
      <c r="A11205" s="8" t="s">
        <v>11228</v>
      </c>
      <c r="B11205" s="2" t="s">
        <v>12472</v>
      </c>
    </row>
    <row r="11206" spans="1:2" x14ac:dyDescent="0.2">
      <c r="A11206" s="8" t="s">
        <v>11229</v>
      </c>
      <c r="B11206" s="2" t="s">
        <v>12472</v>
      </c>
    </row>
    <row r="11207" spans="1:2" x14ac:dyDescent="0.2">
      <c r="A11207" s="8" t="s">
        <v>11230</v>
      </c>
      <c r="B11207" s="2" t="s">
        <v>12472</v>
      </c>
    </row>
    <row r="11208" spans="1:2" x14ac:dyDescent="0.2">
      <c r="A11208" s="8" t="s">
        <v>11231</v>
      </c>
      <c r="B11208" s="2" t="s">
        <v>12472</v>
      </c>
    </row>
    <row r="11209" spans="1:2" x14ac:dyDescent="0.2">
      <c r="A11209" s="8" t="s">
        <v>11232</v>
      </c>
      <c r="B11209" s="2" t="s">
        <v>12472</v>
      </c>
    </row>
    <row r="11210" spans="1:2" x14ac:dyDescent="0.2">
      <c r="A11210" s="8" t="s">
        <v>11233</v>
      </c>
      <c r="B11210" s="2" t="s">
        <v>12472</v>
      </c>
    </row>
    <row r="11211" spans="1:2" x14ac:dyDescent="0.2">
      <c r="A11211" s="8" t="s">
        <v>11234</v>
      </c>
      <c r="B11211" s="2" t="s">
        <v>12472</v>
      </c>
    </row>
    <row r="11212" spans="1:2" x14ac:dyDescent="0.2">
      <c r="A11212" s="8" t="s">
        <v>11235</v>
      </c>
      <c r="B11212" s="2" t="s">
        <v>12472</v>
      </c>
    </row>
    <row r="11213" spans="1:2" x14ac:dyDescent="0.2">
      <c r="A11213" s="8" t="s">
        <v>11236</v>
      </c>
      <c r="B11213" s="2" t="s">
        <v>12472</v>
      </c>
    </row>
    <row r="11214" spans="1:2" x14ac:dyDescent="0.2">
      <c r="A11214" s="8" t="s">
        <v>11237</v>
      </c>
      <c r="B11214" s="2" t="s">
        <v>12472</v>
      </c>
    </row>
    <row r="11215" spans="1:2" x14ac:dyDescent="0.2">
      <c r="A11215" s="8" t="s">
        <v>11238</v>
      </c>
      <c r="B11215" s="2" t="s">
        <v>12472</v>
      </c>
    </row>
    <row r="11216" spans="1:2" x14ac:dyDescent="0.2">
      <c r="A11216" s="8" t="s">
        <v>11239</v>
      </c>
      <c r="B11216" s="2" t="s">
        <v>12472</v>
      </c>
    </row>
    <row r="11217" spans="1:2" x14ac:dyDescent="0.2">
      <c r="A11217" s="8" t="s">
        <v>11240</v>
      </c>
      <c r="B11217" s="2" t="s">
        <v>12472</v>
      </c>
    </row>
    <row r="11218" spans="1:2" x14ac:dyDescent="0.2">
      <c r="A11218" s="8" t="s">
        <v>11241</v>
      </c>
      <c r="B11218" s="2" t="s">
        <v>12472</v>
      </c>
    </row>
    <row r="11219" spans="1:2" x14ac:dyDescent="0.2">
      <c r="A11219" s="8" t="s">
        <v>11242</v>
      </c>
      <c r="B11219" s="2" t="s">
        <v>12472</v>
      </c>
    </row>
    <row r="11220" spans="1:2" x14ac:dyDescent="0.2">
      <c r="A11220" s="8" t="s">
        <v>11243</v>
      </c>
      <c r="B11220" s="2" t="s">
        <v>12472</v>
      </c>
    </row>
    <row r="11221" spans="1:2" x14ac:dyDescent="0.2">
      <c r="A11221" s="8" t="s">
        <v>11244</v>
      </c>
      <c r="B11221" s="2" t="s">
        <v>12472</v>
      </c>
    </row>
    <row r="11222" spans="1:2" x14ac:dyDescent="0.2">
      <c r="A11222" s="8" t="s">
        <v>11245</v>
      </c>
      <c r="B11222" s="2" t="s">
        <v>12472</v>
      </c>
    </row>
    <row r="11223" spans="1:2" x14ac:dyDescent="0.2">
      <c r="A11223" s="8" t="s">
        <v>11246</v>
      </c>
      <c r="B11223" s="2" t="s">
        <v>12472</v>
      </c>
    </row>
    <row r="11224" spans="1:2" x14ac:dyDescent="0.2">
      <c r="A11224" s="8" t="s">
        <v>11247</v>
      </c>
      <c r="B11224" s="2" t="s">
        <v>12472</v>
      </c>
    </row>
    <row r="11225" spans="1:2" x14ac:dyDescent="0.2">
      <c r="A11225" s="8" t="s">
        <v>11248</v>
      </c>
      <c r="B11225" s="2" t="s">
        <v>12472</v>
      </c>
    </row>
    <row r="11226" spans="1:2" x14ac:dyDescent="0.2">
      <c r="A11226" s="8" t="s">
        <v>11249</v>
      </c>
      <c r="B11226" s="2" t="s">
        <v>12472</v>
      </c>
    </row>
    <row r="11227" spans="1:2" x14ac:dyDescent="0.2">
      <c r="A11227" s="8" t="s">
        <v>11250</v>
      </c>
      <c r="B11227" s="2" t="s">
        <v>12472</v>
      </c>
    </row>
    <row r="11228" spans="1:2" x14ac:dyDescent="0.2">
      <c r="A11228" s="8" t="s">
        <v>11251</v>
      </c>
      <c r="B11228" s="2" t="s">
        <v>12472</v>
      </c>
    </row>
    <row r="11229" spans="1:2" x14ac:dyDescent="0.2">
      <c r="A11229" s="8" t="s">
        <v>11252</v>
      </c>
      <c r="B11229" s="2" t="s">
        <v>12472</v>
      </c>
    </row>
    <row r="11230" spans="1:2" x14ac:dyDescent="0.2">
      <c r="A11230" s="8" t="s">
        <v>11253</v>
      </c>
      <c r="B11230" s="2" t="s">
        <v>12472</v>
      </c>
    </row>
    <row r="11231" spans="1:2" x14ac:dyDescent="0.2">
      <c r="A11231" s="8" t="s">
        <v>11254</v>
      </c>
      <c r="B11231" s="2" t="s">
        <v>12472</v>
      </c>
    </row>
    <row r="11232" spans="1:2" x14ac:dyDescent="0.2">
      <c r="A11232" s="8" t="s">
        <v>11255</v>
      </c>
      <c r="B11232" s="2" t="s">
        <v>12472</v>
      </c>
    </row>
    <row r="11233" spans="1:2" x14ac:dyDescent="0.2">
      <c r="A11233" s="8" t="s">
        <v>11256</v>
      </c>
      <c r="B11233" s="2" t="s">
        <v>12472</v>
      </c>
    </row>
    <row r="11234" spans="1:2" x14ac:dyDescent="0.2">
      <c r="A11234" s="8" t="s">
        <v>11257</v>
      </c>
      <c r="B11234" s="2" t="s">
        <v>12472</v>
      </c>
    </row>
    <row r="11235" spans="1:2" x14ac:dyDescent="0.2">
      <c r="A11235" s="8" t="s">
        <v>11258</v>
      </c>
      <c r="B11235" s="2" t="s">
        <v>12472</v>
      </c>
    </row>
    <row r="11236" spans="1:2" x14ac:dyDescent="0.2">
      <c r="A11236" s="8" t="s">
        <v>11259</v>
      </c>
      <c r="B11236" s="2" t="s">
        <v>12472</v>
      </c>
    </row>
    <row r="11237" spans="1:2" x14ac:dyDescent="0.2">
      <c r="A11237" s="8" t="s">
        <v>11260</v>
      </c>
      <c r="B11237" s="2" t="s">
        <v>12472</v>
      </c>
    </row>
    <row r="11238" spans="1:2" x14ac:dyDescent="0.2">
      <c r="A11238" s="8" t="s">
        <v>11261</v>
      </c>
      <c r="B11238" s="2" t="s">
        <v>12472</v>
      </c>
    </row>
    <row r="11239" spans="1:2" x14ac:dyDescent="0.2">
      <c r="A11239" s="8" t="s">
        <v>11262</v>
      </c>
      <c r="B11239" s="2" t="s">
        <v>12472</v>
      </c>
    </row>
    <row r="11240" spans="1:2" x14ac:dyDescent="0.2">
      <c r="A11240" s="8" t="s">
        <v>11263</v>
      </c>
      <c r="B11240" s="2" t="s">
        <v>12472</v>
      </c>
    </row>
    <row r="11241" spans="1:2" x14ac:dyDescent="0.2">
      <c r="A11241" s="8" t="s">
        <v>11264</v>
      </c>
      <c r="B11241" s="2" t="s">
        <v>12472</v>
      </c>
    </row>
    <row r="11242" spans="1:2" x14ac:dyDescent="0.2">
      <c r="A11242" s="8" t="s">
        <v>11265</v>
      </c>
      <c r="B11242" s="2" t="s">
        <v>12472</v>
      </c>
    </row>
    <row r="11243" spans="1:2" x14ac:dyDescent="0.2">
      <c r="A11243" s="8" t="s">
        <v>11266</v>
      </c>
      <c r="B11243" s="2" t="s">
        <v>12472</v>
      </c>
    </row>
    <row r="11244" spans="1:2" x14ac:dyDescent="0.2">
      <c r="A11244" s="8" t="s">
        <v>11267</v>
      </c>
      <c r="B11244" s="2" t="s">
        <v>12472</v>
      </c>
    </row>
    <row r="11245" spans="1:2" x14ac:dyDescent="0.2">
      <c r="A11245" s="8" t="s">
        <v>11268</v>
      </c>
      <c r="B11245" s="2" t="s">
        <v>12472</v>
      </c>
    </row>
    <row r="11246" spans="1:2" x14ac:dyDescent="0.2">
      <c r="A11246" s="8" t="s">
        <v>11269</v>
      </c>
      <c r="B11246" s="2" t="s">
        <v>12472</v>
      </c>
    </row>
    <row r="11247" spans="1:2" x14ac:dyDescent="0.2">
      <c r="A11247" s="8" t="s">
        <v>11270</v>
      </c>
      <c r="B11247" s="2" t="s">
        <v>12472</v>
      </c>
    </row>
    <row r="11248" spans="1:2" x14ac:dyDescent="0.2">
      <c r="A11248" s="8" t="s">
        <v>11271</v>
      </c>
      <c r="B11248" s="2" t="s">
        <v>12472</v>
      </c>
    </row>
    <row r="11249" spans="1:2" x14ac:dyDescent="0.2">
      <c r="A11249" s="8" t="s">
        <v>11272</v>
      </c>
      <c r="B11249" s="2" t="s">
        <v>12472</v>
      </c>
    </row>
    <row r="11250" spans="1:2" x14ac:dyDescent="0.2">
      <c r="A11250" s="8" t="s">
        <v>11273</v>
      </c>
      <c r="B11250" s="2" t="s">
        <v>12472</v>
      </c>
    </row>
    <row r="11251" spans="1:2" x14ac:dyDescent="0.2">
      <c r="A11251" s="8" t="s">
        <v>11274</v>
      </c>
      <c r="B11251" s="2" t="s">
        <v>12472</v>
      </c>
    </row>
    <row r="11252" spans="1:2" x14ac:dyDescent="0.2">
      <c r="A11252" s="8" t="s">
        <v>11275</v>
      </c>
      <c r="B11252" s="2" t="s">
        <v>12472</v>
      </c>
    </row>
    <row r="11253" spans="1:2" x14ac:dyDescent="0.2">
      <c r="A11253" s="8" t="s">
        <v>11276</v>
      </c>
      <c r="B11253" s="2" t="s">
        <v>12472</v>
      </c>
    </row>
    <row r="11254" spans="1:2" x14ac:dyDescent="0.2">
      <c r="A11254" s="8" t="s">
        <v>11277</v>
      </c>
      <c r="B11254" s="2" t="s">
        <v>12472</v>
      </c>
    </row>
    <row r="11255" spans="1:2" x14ac:dyDescent="0.2">
      <c r="A11255" s="8" t="s">
        <v>11278</v>
      </c>
      <c r="B11255" s="2" t="s">
        <v>12472</v>
      </c>
    </row>
    <row r="11256" spans="1:2" x14ac:dyDescent="0.2">
      <c r="A11256" s="8" t="s">
        <v>11279</v>
      </c>
      <c r="B11256" s="2" t="s">
        <v>12472</v>
      </c>
    </row>
    <row r="11257" spans="1:2" x14ac:dyDescent="0.2">
      <c r="A11257" s="8" t="s">
        <v>11280</v>
      </c>
      <c r="B11257" s="2" t="s">
        <v>12472</v>
      </c>
    </row>
    <row r="11258" spans="1:2" x14ac:dyDescent="0.2">
      <c r="A11258" s="8" t="s">
        <v>11281</v>
      </c>
      <c r="B11258" s="2" t="s">
        <v>12472</v>
      </c>
    </row>
    <row r="11259" spans="1:2" x14ac:dyDescent="0.2">
      <c r="A11259" s="8" t="s">
        <v>11282</v>
      </c>
      <c r="B11259" s="2" t="s">
        <v>12472</v>
      </c>
    </row>
    <row r="11260" spans="1:2" x14ac:dyDescent="0.2">
      <c r="A11260" s="8" t="s">
        <v>11283</v>
      </c>
      <c r="B11260" s="2" t="s">
        <v>12472</v>
      </c>
    </row>
    <row r="11261" spans="1:2" x14ac:dyDescent="0.2">
      <c r="A11261" s="8" t="s">
        <v>11284</v>
      </c>
      <c r="B11261" s="2" t="s">
        <v>12472</v>
      </c>
    </row>
    <row r="11262" spans="1:2" x14ac:dyDescent="0.2">
      <c r="A11262" s="8" t="s">
        <v>11285</v>
      </c>
      <c r="B11262" s="2" t="s">
        <v>12472</v>
      </c>
    </row>
    <row r="11263" spans="1:2" x14ac:dyDescent="0.2">
      <c r="A11263" s="8" t="s">
        <v>11286</v>
      </c>
      <c r="B11263" s="2" t="s">
        <v>12472</v>
      </c>
    </row>
    <row r="11264" spans="1:2" x14ac:dyDescent="0.2">
      <c r="A11264" s="8" t="s">
        <v>11287</v>
      </c>
      <c r="B11264" s="2" t="s">
        <v>12472</v>
      </c>
    </row>
    <row r="11265" spans="1:2" x14ac:dyDescent="0.2">
      <c r="A11265" s="8" t="s">
        <v>11288</v>
      </c>
      <c r="B11265" s="2" t="s">
        <v>12472</v>
      </c>
    </row>
    <row r="11266" spans="1:2" x14ac:dyDescent="0.2">
      <c r="A11266" s="8" t="s">
        <v>11289</v>
      </c>
      <c r="B11266" s="2" t="s">
        <v>12472</v>
      </c>
    </row>
    <row r="11267" spans="1:2" x14ac:dyDescent="0.2">
      <c r="A11267" s="8" t="s">
        <v>11290</v>
      </c>
      <c r="B11267" s="2" t="s">
        <v>12472</v>
      </c>
    </row>
    <row r="11268" spans="1:2" x14ac:dyDescent="0.2">
      <c r="A11268" s="8" t="s">
        <v>11291</v>
      </c>
      <c r="B11268" s="2" t="s">
        <v>12472</v>
      </c>
    </row>
    <row r="11269" spans="1:2" x14ac:dyDescent="0.2">
      <c r="A11269" s="8" t="s">
        <v>11292</v>
      </c>
      <c r="B11269" s="2" t="s">
        <v>12472</v>
      </c>
    </row>
    <row r="11270" spans="1:2" x14ac:dyDescent="0.2">
      <c r="A11270" s="8" t="s">
        <v>11293</v>
      </c>
      <c r="B11270" s="2" t="s">
        <v>12472</v>
      </c>
    </row>
    <row r="11271" spans="1:2" x14ac:dyDescent="0.2">
      <c r="A11271" s="8" t="s">
        <v>11294</v>
      </c>
      <c r="B11271" s="2" t="s">
        <v>12472</v>
      </c>
    </row>
    <row r="11272" spans="1:2" x14ac:dyDescent="0.2">
      <c r="A11272" s="8" t="s">
        <v>11295</v>
      </c>
      <c r="B11272" s="2" t="s">
        <v>12472</v>
      </c>
    </row>
    <row r="11273" spans="1:2" x14ac:dyDescent="0.2">
      <c r="A11273" s="8" t="s">
        <v>11296</v>
      </c>
      <c r="B11273" s="2" t="s">
        <v>12472</v>
      </c>
    </row>
    <row r="11274" spans="1:2" x14ac:dyDescent="0.2">
      <c r="A11274" s="8" t="s">
        <v>11297</v>
      </c>
      <c r="B11274" s="2" t="s">
        <v>12472</v>
      </c>
    </row>
    <row r="11275" spans="1:2" x14ac:dyDescent="0.2">
      <c r="A11275" s="8" t="s">
        <v>11298</v>
      </c>
      <c r="B11275" s="2" t="s">
        <v>12472</v>
      </c>
    </row>
    <row r="11276" spans="1:2" x14ac:dyDescent="0.2">
      <c r="A11276" s="8" t="s">
        <v>11299</v>
      </c>
      <c r="B11276" s="2" t="s">
        <v>12472</v>
      </c>
    </row>
    <row r="11277" spans="1:2" x14ac:dyDescent="0.2">
      <c r="A11277" s="8" t="s">
        <v>11300</v>
      </c>
      <c r="B11277" s="2" t="s">
        <v>12472</v>
      </c>
    </row>
    <row r="11278" spans="1:2" x14ac:dyDescent="0.2">
      <c r="A11278" s="8" t="s">
        <v>11301</v>
      </c>
      <c r="B11278" s="2" t="s">
        <v>12472</v>
      </c>
    </row>
    <row r="11279" spans="1:2" x14ac:dyDescent="0.2">
      <c r="A11279" s="8" t="s">
        <v>11302</v>
      </c>
      <c r="B11279" s="2" t="s">
        <v>12472</v>
      </c>
    </row>
    <row r="11280" spans="1:2" x14ac:dyDescent="0.2">
      <c r="A11280" s="8" t="s">
        <v>11303</v>
      </c>
      <c r="B11280" s="2" t="s">
        <v>12472</v>
      </c>
    </row>
    <row r="11281" spans="1:2" x14ac:dyDescent="0.2">
      <c r="A11281" s="8" t="s">
        <v>11304</v>
      </c>
      <c r="B11281" s="2" t="s">
        <v>12472</v>
      </c>
    </row>
    <row r="11282" spans="1:2" x14ac:dyDescent="0.2">
      <c r="A11282" s="8" t="s">
        <v>11305</v>
      </c>
      <c r="B11282" s="2" t="s">
        <v>12472</v>
      </c>
    </row>
    <row r="11283" spans="1:2" x14ac:dyDescent="0.2">
      <c r="A11283" s="8" t="s">
        <v>11306</v>
      </c>
      <c r="B11283" s="2" t="s">
        <v>12472</v>
      </c>
    </row>
    <row r="11284" spans="1:2" x14ac:dyDescent="0.2">
      <c r="A11284" s="8" t="s">
        <v>11307</v>
      </c>
      <c r="B11284" s="2" t="s">
        <v>12472</v>
      </c>
    </row>
    <row r="11285" spans="1:2" x14ac:dyDescent="0.2">
      <c r="A11285" s="8" t="s">
        <v>11308</v>
      </c>
      <c r="B11285" s="2" t="s">
        <v>12472</v>
      </c>
    </row>
    <row r="11286" spans="1:2" x14ac:dyDescent="0.2">
      <c r="A11286" s="8" t="s">
        <v>11309</v>
      </c>
      <c r="B11286" s="2" t="s">
        <v>12472</v>
      </c>
    </row>
    <row r="11287" spans="1:2" x14ac:dyDescent="0.2">
      <c r="A11287" s="8" t="s">
        <v>11310</v>
      </c>
      <c r="B11287" s="2" t="s">
        <v>12472</v>
      </c>
    </row>
    <row r="11288" spans="1:2" x14ac:dyDescent="0.2">
      <c r="A11288" s="8" t="s">
        <v>11311</v>
      </c>
      <c r="B11288" s="2" t="s">
        <v>12472</v>
      </c>
    </row>
    <row r="11289" spans="1:2" x14ac:dyDescent="0.2">
      <c r="A11289" s="8" t="s">
        <v>11312</v>
      </c>
      <c r="B11289" s="2" t="s">
        <v>12472</v>
      </c>
    </row>
    <row r="11290" spans="1:2" x14ac:dyDescent="0.2">
      <c r="A11290" s="8" t="s">
        <v>11313</v>
      </c>
      <c r="B11290" s="2" t="s">
        <v>12472</v>
      </c>
    </row>
    <row r="11291" spans="1:2" x14ac:dyDescent="0.2">
      <c r="A11291" s="8" t="s">
        <v>11314</v>
      </c>
      <c r="B11291" s="2" t="s">
        <v>12472</v>
      </c>
    </row>
    <row r="11292" spans="1:2" x14ac:dyDescent="0.2">
      <c r="A11292" s="8" t="s">
        <v>11315</v>
      </c>
      <c r="B11292" s="2" t="s">
        <v>12472</v>
      </c>
    </row>
    <row r="11293" spans="1:2" x14ac:dyDescent="0.2">
      <c r="A11293" s="8" t="s">
        <v>11316</v>
      </c>
      <c r="B11293" s="2" t="s">
        <v>12472</v>
      </c>
    </row>
    <row r="11294" spans="1:2" x14ac:dyDescent="0.2">
      <c r="A11294" s="8" t="s">
        <v>11317</v>
      </c>
      <c r="B11294" s="2" t="s">
        <v>12472</v>
      </c>
    </row>
    <row r="11295" spans="1:2" x14ac:dyDescent="0.2">
      <c r="A11295" s="8" t="s">
        <v>11318</v>
      </c>
      <c r="B11295" s="2" t="s">
        <v>12472</v>
      </c>
    </row>
    <row r="11296" spans="1:2" x14ac:dyDescent="0.2">
      <c r="A11296" s="8" t="s">
        <v>11319</v>
      </c>
      <c r="B11296" s="2" t="s">
        <v>12472</v>
      </c>
    </row>
    <row r="11297" spans="1:2" x14ac:dyDescent="0.2">
      <c r="A11297" s="8" t="s">
        <v>11320</v>
      </c>
      <c r="B11297" s="2" t="s">
        <v>12472</v>
      </c>
    </row>
    <row r="11298" spans="1:2" x14ac:dyDescent="0.2">
      <c r="A11298" s="8" t="s">
        <v>11321</v>
      </c>
      <c r="B11298" s="2" t="s">
        <v>12472</v>
      </c>
    </row>
    <row r="11299" spans="1:2" x14ac:dyDescent="0.2">
      <c r="A11299" s="8" t="s">
        <v>11322</v>
      </c>
      <c r="B11299" s="2" t="s">
        <v>12472</v>
      </c>
    </row>
    <row r="11300" spans="1:2" x14ac:dyDescent="0.2">
      <c r="A11300" s="8" t="s">
        <v>11323</v>
      </c>
      <c r="B11300" s="2" t="s">
        <v>12472</v>
      </c>
    </row>
    <row r="11301" spans="1:2" x14ac:dyDescent="0.2">
      <c r="A11301" s="8" t="s">
        <v>11324</v>
      </c>
      <c r="B11301" s="2" t="s">
        <v>12472</v>
      </c>
    </row>
    <row r="11302" spans="1:2" x14ac:dyDescent="0.2">
      <c r="A11302" s="8" t="s">
        <v>11325</v>
      </c>
      <c r="B11302" s="2" t="s">
        <v>12472</v>
      </c>
    </row>
    <row r="11303" spans="1:2" x14ac:dyDescent="0.2">
      <c r="A11303" s="8" t="s">
        <v>11326</v>
      </c>
      <c r="B11303" s="2" t="s">
        <v>12472</v>
      </c>
    </row>
    <row r="11304" spans="1:2" x14ac:dyDescent="0.2">
      <c r="A11304" s="8" t="s">
        <v>11327</v>
      </c>
      <c r="B11304" s="2" t="s">
        <v>12472</v>
      </c>
    </row>
    <row r="11305" spans="1:2" x14ac:dyDescent="0.2">
      <c r="A11305" s="8" t="s">
        <v>11328</v>
      </c>
      <c r="B11305" s="2" t="s">
        <v>12472</v>
      </c>
    </row>
    <row r="11306" spans="1:2" x14ac:dyDescent="0.2">
      <c r="A11306" s="8" t="s">
        <v>11329</v>
      </c>
      <c r="B11306" s="2" t="s">
        <v>12472</v>
      </c>
    </row>
    <row r="11307" spans="1:2" x14ac:dyDescent="0.2">
      <c r="A11307" s="8" t="s">
        <v>11330</v>
      </c>
      <c r="B11307" s="2" t="s">
        <v>12472</v>
      </c>
    </row>
    <row r="11308" spans="1:2" x14ac:dyDescent="0.2">
      <c r="A11308" s="8" t="s">
        <v>11331</v>
      </c>
      <c r="B11308" s="2" t="s">
        <v>12472</v>
      </c>
    </row>
    <row r="11309" spans="1:2" x14ac:dyDescent="0.2">
      <c r="A11309" s="8" t="s">
        <v>11332</v>
      </c>
      <c r="B11309" s="2" t="s">
        <v>12472</v>
      </c>
    </row>
    <row r="11310" spans="1:2" x14ac:dyDescent="0.2">
      <c r="A11310" s="8" t="s">
        <v>11333</v>
      </c>
      <c r="B11310" s="2" t="s">
        <v>12472</v>
      </c>
    </row>
    <row r="11311" spans="1:2" x14ac:dyDescent="0.2">
      <c r="A11311" s="8" t="s">
        <v>11334</v>
      </c>
      <c r="B11311" s="2" t="s">
        <v>12472</v>
      </c>
    </row>
    <row r="11312" spans="1:2" x14ac:dyDescent="0.2">
      <c r="A11312" s="8" t="s">
        <v>11335</v>
      </c>
      <c r="B11312" s="2" t="s">
        <v>12472</v>
      </c>
    </row>
    <row r="11313" spans="1:2" x14ac:dyDescent="0.2">
      <c r="A11313" s="8" t="s">
        <v>11336</v>
      </c>
      <c r="B11313" s="2" t="s">
        <v>12472</v>
      </c>
    </row>
    <row r="11314" spans="1:2" x14ac:dyDescent="0.2">
      <c r="A11314" s="8" t="s">
        <v>11337</v>
      </c>
      <c r="B11314" s="2" t="s">
        <v>12472</v>
      </c>
    </row>
    <row r="11315" spans="1:2" x14ac:dyDescent="0.2">
      <c r="A11315" s="8" t="s">
        <v>11338</v>
      </c>
      <c r="B11315" s="2" t="s">
        <v>12472</v>
      </c>
    </row>
    <row r="11316" spans="1:2" x14ac:dyDescent="0.2">
      <c r="A11316" s="8" t="s">
        <v>11339</v>
      </c>
      <c r="B11316" s="2" t="s">
        <v>12472</v>
      </c>
    </row>
    <row r="11317" spans="1:2" x14ac:dyDescent="0.2">
      <c r="A11317" s="8" t="s">
        <v>11340</v>
      </c>
      <c r="B11317" s="2" t="s">
        <v>12472</v>
      </c>
    </row>
    <row r="11318" spans="1:2" x14ac:dyDescent="0.2">
      <c r="A11318" s="8" t="s">
        <v>11341</v>
      </c>
      <c r="B11318" s="2" t="s">
        <v>12472</v>
      </c>
    </row>
    <row r="11319" spans="1:2" x14ac:dyDescent="0.2">
      <c r="A11319" s="8" t="s">
        <v>11342</v>
      </c>
      <c r="B11319" s="2" t="s">
        <v>12472</v>
      </c>
    </row>
    <row r="11320" spans="1:2" x14ac:dyDescent="0.2">
      <c r="A11320" s="8" t="s">
        <v>11343</v>
      </c>
      <c r="B11320" s="2" t="s">
        <v>12472</v>
      </c>
    </row>
    <row r="11321" spans="1:2" x14ac:dyDescent="0.2">
      <c r="A11321" s="8" t="s">
        <v>11344</v>
      </c>
      <c r="B11321" s="2" t="s">
        <v>12472</v>
      </c>
    </row>
    <row r="11322" spans="1:2" x14ac:dyDescent="0.2">
      <c r="A11322" s="8" t="s">
        <v>11345</v>
      </c>
      <c r="B11322" s="2" t="s">
        <v>12472</v>
      </c>
    </row>
    <row r="11323" spans="1:2" x14ac:dyDescent="0.2">
      <c r="A11323" s="8" t="s">
        <v>11346</v>
      </c>
      <c r="B11323" s="2" t="s">
        <v>12472</v>
      </c>
    </row>
    <row r="11324" spans="1:2" x14ac:dyDescent="0.2">
      <c r="A11324" s="8" t="s">
        <v>11347</v>
      </c>
      <c r="B11324" s="2" t="s">
        <v>12472</v>
      </c>
    </row>
    <row r="11325" spans="1:2" x14ac:dyDescent="0.2">
      <c r="A11325" s="8" t="s">
        <v>11348</v>
      </c>
      <c r="B11325" s="2" t="s">
        <v>12472</v>
      </c>
    </row>
    <row r="11326" spans="1:2" x14ac:dyDescent="0.2">
      <c r="A11326" s="8" t="s">
        <v>11349</v>
      </c>
      <c r="B11326" s="2" t="s">
        <v>12472</v>
      </c>
    </row>
    <row r="11327" spans="1:2" x14ac:dyDescent="0.2">
      <c r="A11327" s="8" t="s">
        <v>11350</v>
      </c>
      <c r="B11327" s="2" t="s">
        <v>12472</v>
      </c>
    </row>
    <row r="11328" spans="1:2" x14ac:dyDescent="0.2">
      <c r="A11328" s="8" t="s">
        <v>11351</v>
      </c>
      <c r="B11328" s="2" t="s">
        <v>12472</v>
      </c>
    </row>
    <row r="11329" spans="1:2" x14ac:dyDescent="0.2">
      <c r="A11329" s="8" t="s">
        <v>11352</v>
      </c>
      <c r="B11329" s="2" t="s">
        <v>12472</v>
      </c>
    </row>
    <row r="11330" spans="1:2" x14ac:dyDescent="0.2">
      <c r="A11330" s="8" t="s">
        <v>11353</v>
      </c>
      <c r="B11330" s="2" t="s">
        <v>12472</v>
      </c>
    </row>
    <row r="11331" spans="1:2" x14ac:dyDescent="0.2">
      <c r="A11331" s="8" t="s">
        <v>11354</v>
      </c>
      <c r="B11331" s="2" t="s">
        <v>12472</v>
      </c>
    </row>
    <row r="11332" spans="1:2" x14ac:dyDescent="0.2">
      <c r="A11332" s="8" t="s">
        <v>11355</v>
      </c>
      <c r="B11332" s="2" t="s">
        <v>12472</v>
      </c>
    </row>
    <row r="11333" spans="1:2" x14ac:dyDescent="0.2">
      <c r="A11333" s="8" t="s">
        <v>11356</v>
      </c>
      <c r="B11333" s="2" t="s">
        <v>12472</v>
      </c>
    </row>
    <row r="11334" spans="1:2" x14ac:dyDescent="0.2">
      <c r="A11334" s="8" t="s">
        <v>11357</v>
      </c>
      <c r="B11334" s="2" t="s">
        <v>12472</v>
      </c>
    </row>
    <row r="11335" spans="1:2" x14ac:dyDescent="0.2">
      <c r="A11335" s="8" t="s">
        <v>11358</v>
      </c>
      <c r="B11335" s="2" t="s">
        <v>12472</v>
      </c>
    </row>
    <row r="11336" spans="1:2" x14ac:dyDescent="0.2">
      <c r="A11336" s="8" t="s">
        <v>11359</v>
      </c>
      <c r="B11336" s="2" t="s">
        <v>12472</v>
      </c>
    </row>
    <row r="11337" spans="1:2" x14ac:dyDescent="0.2">
      <c r="A11337" s="8" t="s">
        <v>11360</v>
      </c>
      <c r="B11337" s="2" t="s">
        <v>12472</v>
      </c>
    </row>
    <row r="11338" spans="1:2" x14ac:dyDescent="0.2">
      <c r="A11338" s="8" t="s">
        <v>11361</v>
      </c>
      <c r="B11338" s="2" t="s">
        <v>12472</v>
      </c>
    </row>
    <row r="11339" spans="1:2" x14ac:dyDescent="0.2">
      <c r="A11339" s="8" t="s">
        <v>11362</v>
      </c>
      <c r="B11339" s="2" t="s">
        <v>12472</v>
      </c>
    </row>
    <row r="11340" spans="1:2" x14ac:dyDescent="0.2">
      <c r="A11340" s="8" t="s">
        <v>11363</v>
      </c>
      <c r="B11340" s="2" t="s">
        <v>12472</v>
      </c>
    </row>
    <row r="11341" spans="1:2" x14ac:dyDescent="0.2">
      <c r="A11341" s="8" t="s">
        <v>11364</v>
      </c>
      <c r="B11341" s="2" t="s">
        <v>12472</v>
      </c>
    </row>
    <row r="11342" spans="1:2" x14ac:dyDescent="0.2">
      <c r="A11342" s="8" t="s">
        <v>11365</v>
      </c>
      <c r="B11342" s="2" t="s">
        <v>12472</v>
      </c>
    </row>
    <row r="11343" spans="1:2" x14ac:dyDescent="0.2">
      <c r="A11343" s="8" t="s">
        <v>11366</v>
      </c>
      <c r="B11343" s="2" t="s">
        <v>12472</v>
      </c>
    </row>
    <row r="11344" spans="1:2" x14ac:dyDescent="0.2">
      <c r="A11344" s="8" t="s">
        <v>11367</v>
      </c>
      <c r="B11344" s="2" t="s">
        <v>12472</v>
      </c>
    </row>
    <row r="11345" spans="1:2" x14ac:dyDescent="0.2">
      <c r="A11345" s="8" t="s">
        <v>11368</v>
      </c>
      <c r="B11345" s="2" t="s">
        <v>12472</v>
      </c>
    </row>
    <row r="11346" spans="1:2" x14ac:dyDescent="0.2">
      <c r="A11346" s="8" t="s">
        <v>11369</v>
      </c>
      <c r="B11346" s="2" t="s">
        <v>12472</v>
      </c>
    </row>
    <row r="11347" spans="1:2" x14ac:dyDescent="0.2">
      <c r="A11347" s="8" t="s">
        <v>11370</v>
      </c>
      <c r="B11347" s="2" t="s">
        <v>12472</v>
      </c>
    </row>
    <row r="11348" spans="1:2" x14ac:dyDescent="0.2">
      <c r="A11348" s="8" t="s">
        <v>11371</v>
      </c>
      <c r="B11348" s="2" t="s">
        <v>12472</v>
      </c>
    </row>
    <row r="11349" spans="1:2" x14ac:dyDescent="0.2">
      <c r="A11349" s="8" t="s">
        <v>11372</v>
      </c>
      <c r="B11349" s="2" t="s">
        <v>12472</v>
      </c>
    </row>
    <row r="11350" spans="1:2" x14ac:dyDescent="0.2">
      <c r="A11350" s="8" t="s">
        <v>11373</v>
      </c>
      <c r="B11350" s="2" t="s">
        <v>12472</v>
      </c>
    </row>
    <row r="11351" spans="1:2" x14ac:dyDescent="0.2">
      <c r="A11351" s="8" t="s">
        <v>11374</v>
      </c>
      <c r="B11351" s="2" t="s">
        <v>12472</v>
      </c>
    </row>
    <row r="11352" spans="1:2" x14ac:dyDescent="0.2">
      <c r="A11352" s="8" t="s">
        <v>11375</v>
      </c>
      <c r="B11352" s="2" t="s">
        <v>12472</v>
      </c>
    </row>
    <row r="11353" spans="1:2" x14ac:dyDescent="0.2">
      <c r="A11353" s="8" t="s">
        <v>11376</v>
      </c>
      <c r="B11353" s="2" t="s">
        <v>12472</v>
      </c>
    </row>
    <row r="11354" spans="1:2" x14ac:dyDescent="0.2">
      <c r="A11354" s="8" t="s">
        <v>11377</v>
      </c>
      <c r="B11354" s="2" t="s">
        <v>12472</v>
      </c>
    </row>
    <row r="11355" spans="1:2" x14ac:dyDescent="0.2">
      <c r="A11355" s="8" t="s">
        <v>11378</v>
      </c>
      <c r="B11355" s="2" t="s">
        <v>12472</v>
      </c>
    </row>
    <row r="11356" spans="1:2" x14ac:dyDescent="0.2">
      <c r="A11356" s="8" t="s">
        <v>11379</v>
      </c>
      <c r="B11356" s="2" t="s">
        <v>12472</v>
      </c>
    </row>
    <row r="11357" spans="1:2" x14ac:dyDescent="0.2">
      <c r="A11357" s="8" t="s">
        <v>11380</v>
      </c>
      <c r="B11357" s="2" t="s">
        <v>12472</v>
      </c>
    </row>
    <row r="11358" spans="1:2" x14ac:dyDescent="0.2">
      <c r="A11358" s="8" t="s">
        <v>11381</v>
      </c>
      <c r="B11358" s="2" t="s">
        <v>12472</v>
      </c>
    </row>
    <row r="11359" spans="1:2" x14ac:dyDescent="0.2">
      <c r="A11359" s="8" t="s">
        <v>11382</v>
      </c>
      <c r="B11359" s="2" t="s">
        <v>12472</v>
      </c>
    </row>
    <row r="11360" spans="1:2" x14ac:dyDescent="0.2">
      <c r="A11360" s="8" t="s">
        <v>11383</v>
      </c>
      <c r="B11360" s="2" t="s">
        <v>12472</v>
      </c>
    </row>
    <row r="11361" spans="1:2" x14ac:dyDescent="0.2">
      <c r="A11361" s="8" t="s">
        <v>11384</v>
      </c>
      <c r="B11361" s="2" t="s">
        <v>12472</v>
      </c>
    </row>
    <row r="11362" spans="1:2" x14ac:dyDescent="0.2">
      <c r="A11362" s="8" t="s">
        <v>11385</v>
      </c>
      <c r="B11362" s="2" t="s">
        <v>12472</v>
      </c>
    </row>
    <row r="11363" spans="1:2" x14ac:dyDescent="0.2">
      <c r="A11363" s="8" t="s">
        <v>11386</v>
      </c>
      <c r="B11363" s="2" t="s">
        <v>12472</v>
      </c>
    </row>
    <row r="11364" spans="1:2" x14ac:dyDescent="0.2">
      <c r="A11364" s="8" t="s">
        <v>11387</v>
      </c>
      <c r="B11364" s="2" t="s">
        <v>12472</v>
      </c>
    </row>
    <row r="11365" spans="1:2" x14ac:dyDescent="0.2">
      <c r="A11365" s="8" t="s">
        <v>11388</v>
      </c>
      <c r="B11365" s="2" t="s">
        <v>12472</v>
      </c>
    </row>
    <row r="11366" spans="1:2" x14ac:dyDescent="0.2">
      <c r="A11366" s="8" t="s">
        <v>11389</v>
      </c>
      <c r="B11366" s="2" t="s">
        <v>12472</v>
      </c>
    </row>
    <row r="11367" spans="1:2" x14ac:dyDescent="0.2">
      <c r="A11367" s="8" t="s">
        <v>11390</v>
      </c>
      <c r="B11367" s="2" t="s">
        <v>12472</v>
      </c>
    </row>
    <row r="11368" spans="1:2" x14ac:dyDescent="0.2">
      <c r="A11368" s="8" t="s">
        <v>11391</v>
      </c>
      <c r="B11368" s="2" t="s">
        <v>12472</v>
      </c>
    </row>
    <row r="11369" spans="1:2" x14ac:dyDescent="0.2">
      <c r="A11369" s="8" t="s">
        <v>11392</v>
      </c>
      <c r="B11369" s="2" t="s">
        <v>12472</v>
      </c>
    </row>
    <row r="11370" spans="1:2" x14ac:dyDescent="0.2">
      <c r="A11370" s="8" t="s">
        <v>11393</v>
      </c>
      <c r="B11370" s="2" t="s">
        <v>12472</v>
      </c>
    </row>
    <row r="11371" spans="1:2" x14ac:dyDescent="0.2">
      <c r="A11371" s="8" t="s">
        <v>11394</v>
      </c>
      <c r="B11371" s="2" t="s">
        <v>12472</v>
      </c>
    </row>
    <row r="11372" spans="1:2" x14ac:dyDescent="0.2">
      <c r="A11372" s="8" t="s">
        <v>11395</v>
      </c>
      <c r="B11372" s="2" t="s">
        <v>12472</v>
      </c>
    </row>
    <row r="11373" spans="1:2" x14ac:dyDescent="0.2">
      <c r="A11373" s="8" t="s">
        <v>11396</v>
      </c>
      <c r="B11373" s="2" t="s">
        <v>12472</v>
      </c>
    </row>
    <row r="11374" spans="1:2" x14ac:dyDescent="0.2">
      <c r="A11374" s="8" t="s">
        <v>11397</v>
      </c>
      <c r="B11374" s="2" t="s">
        <v>12472</v>
      </c>
    </row>
    <row r="11375" spans="1:2" x14ac:dyDescent="0.2">
      <c r="A11375" s="8" t="s">
        <v>11398</v>
      </c>
      <c r="B11375" s="2" t="s">
        <v>12472</v>
      </c>
    </row>
    <row r="11376" spans="1:2" x14ac:dyDescent="0.2">
      <c r="A11376" s="8" t="s">
        <v>11399</v>
      </c>
      <c r="B11376" s="2" t="s">
        <v>12472</v>
      </c>
    </row>
    <row r="11377" spans="1:2" x14ac:dyDescent="0.2">
      <c r="A11377" s="8" t="s">
        <v>11400</v>
      </c>
      <c r="B11377" s="2" t="s">
        <v>12472</v>
      </c>
    </row>
    <row r="11378" spans="1:2" x14ac:dyDescent="0.2">
      <c r="A11378" s="8" t="s">
        <v>11401</v>
      </c>
      <c r="B11378" s="2" t="s">
        <v>12472</v>
      </c>
    </row>
    <row r="11379" spans="1:2" x14ac:dyDescent="0.2">
      <c r="A11379" s="8" t="s">
        <v>11402</v>
      </c>
      <c r="B11379" s="2" t="s">
        <v>12472</v>
      </c>
    </row>
    <row r="11380" spans="1:2" x14ac:dyDescent="0.2">
      <c r="A11380" s="8" t="s">
        <v>11403</v>
      </c>
      <c r="B11380" s="2" t="s">
        <v>12472</v>
      </c>
    </row>
    <row r="11381" spans="1:2" x14ac:dyDescent="0.2">
      <c r="A11381" s="8" t="s">
        <v>11404</v>
      </c>
      <c r="B11381" s="2" t="s">
        <v>12472</v>
      </c>
    </row>
    <row r="11382" spans="1:2" x14ac:dyDescent="0.2">
      <c r="A11382" s="8" t="s">
        <v>11405</v>
      </c>
      <c r="B11382" s="2" t="s">
        <v>12472</v>
      </c>
    </row>
    <row r="11383" spans="1:2" x14ac:dyDescent="0.2">
      <c r="A11383" s="8" t="s">
        <v>11406</v>
      </c>
      <c r="B11383" s="2" t="s">
        <v>12472</v>
      </c>
    </row>
    <row r="11384" spans="1:2" x14ac:dyDescent="0.2">
      <c r="A11384" s="8" t="s">
        <v>11407</v>
      </c>
      <c r="B11384" s="2" t="s">
        <v>12472</v>
      </c>
    </row>
    <row r="11385" spans="1:2" x14ac:dyDescent="0.2">
      <c r="A11385" s="8" t="s">
        <v>11408</v>
      </c>
      <c r="B11385" s="2" t="s">
        <v>12472</v>
      </c>
    </row>
    <row r="11386" spans="1:2" x14ac:dyDescent="0.2">
      <c r="A11386" s="8" t="s">
        <v>11409</v>
      </c>
      <c r="B11386" s="2" t="s">
        <v>12472</v>
      </c>
    </row>
    <row r="11387" spans="1:2" x14ac:dyDescent="0.2">
      <c r="A11387" s="8" t="s">
        <v>11410</v>
      </c>
      <c r="B11387" s="2" t="s">
        <v>12472</v>
      </c>
    </row>
    <row r="11388" spans="1:2" x14ac:dyDescent="0.2">
      <c r="A11388" s="8" t="s">
        <v>11411</v>
      </c>
      <c r="B11388" s="2" t="s">
        <v>12472</v>
      </c>
    </row>
    <row r="11389" spans="1:2" x14ac:dyDescent="0.2">
      <c r="A11389" s="8" t="s">
        <v>11412</v>
      </c>
      <c r="B11389" s="2" t="s">
        <v>12472</v>
      </c>
    </row>
    <row r="11390" spans="1:2" x14ac:dyDescent="0.2">
      <c r="A11390" s="8" t="s">
        <v>11413</v>
      </c>
      <c r="B11390" s="2" t="s">
        <v>12472</v>
      </c>
    </row>
    <row r="11391" spans="1:2" x14ac:dyDescent="0.2">
      <c r="A11391" s="8" t="s">
        <v>11414</v>
      </c>
      <c r="B11391" s="2" t="s">
        <v>12472</v>
      </c>
    </row>
    <row r="11392" spans="1:2" x14ac:dyDescent="0.2">
      <c r="A11392" s="8" t="s">
        <v>11415</v>
      </c>
      <c r="B11392" s="2" t="s">
        <v>12472</v>
      </c>
    </row>
    <row r="11393" spans="1:2" x14ac:dyDescent="0.2">
      <c r="A11393" s="8" t="s">
        <v>11416</v>
      </c>
      <c r="B11393" s="2" t="s">
        <v>12472</v>
      </c>
    </row>
    <row r="11394" spans="1:2" x14ac:dyDescent="0.2">
      <c r="A11394" s="8" t="s">
        <v>11417</v>
      </c>
      <c r="B11394" s="2" t="s">
        <v>12472</v>
      </c>
    </row>
    <row r="11395" spans="1:2" x14ac:dyDescent="0.2">
      <c r="A11395" s="8" t="s">
        <v>11418</v>
      </c>
      <c r="B11395" s="2" t="s">
        <v>12472</v>
      </c>
    </row>
    <row r="11396" spans="1:2" x14ac:dyDescent="0.2">
      <c r="A11396" s="8" t="s">
        <v>11419</v>
      </c>
      <c r="B11396" s="2" t="s">
        <v>12472</v>
      </c>
    </row>
    <row r="11397" spans="1:2" x14ac:dyDescent="0.2">
      <c r="A11397" s="8" t="s">
        <v>11420</v>
      </c>
      <c r="B11397" s="2" t="s">
        <v>12472</v>
      </c>
    </row>
    <row r="11398" spans="1:2" x14ac:dyDescent="0.2">
      <c r="A11398" s="8" t="s">
        <v>11421</v>
      </c>
      <c r="B11398" s="2" t="s">
        <v>12472</v>
      </c>
    </row>
    <row r="11399" spans="1:2" x14ac:dyDescent="0.2">
      <c r="A11399" s="8" t="s">
        <v>11422</v>
      </c>
      <c r="B11399" s="2" t="s">
        <v>12472</v>
      </c>
    </row>
    <row r="11400" spans="1:2" x14ac:dyDescent="0.2">
      <c r="A11400" s="8" t="s">
        <v>11423</v>
      </c>
      <c r="B11400" s="2" t="s">
        <v>12472</v>
      </c>
    </row>
    <row r="11401" spans="1:2" x14ac:dyDescent="0.2">
      <c r="A11401" s="8" t="s">
        <v>11424</v>
      </c>
      <c r="B11401" s="2" t="s">
        <v>12472</v>
      </c>
    </row>
    <row r="11402" spans="1:2" x14ac:dyDescent="0.2">
      <c r="A11402" s="8" t="s">
        <v>11425</v>
      </c>
      <c r="B11402" s="2" t="s">
        <v>12472</v>
      </c>
    </row>
    <row r="11403" spans="1:2" x14ac:dyDescent="0.2">
      <c r="A11403" s="8" t="s">
        <v>11426</v>
      </c>
      <c r="B11403" s="2" t="s">
        <v>12472</v>
      </c>
    </row>
    <row r="11404" spans="1:2" x14ac:dyDescent="0.2">
      <c r="A11404" s="8" t="s">
        <v>11427</v>
      </c>
      <c r="B11404" s="2" t="s">
        <v>12472</v>
      </c>
    </row>
    <row r="11405" spans="1:2" x14ac:dyDescent="0.2">
      <c r="A11405" s="8" t="s">
        <v>11428</v>
      </c>
      <c r="B11405" s="2" t="s">
        <v>12472</v>
      </c>
    </row>
    <row r="11406" spans="1:2" x14ac:dyDescent="0.2">
      <c r="A11406" s="8" t="s">
        <v>11429</v>
      </c>
      <c r="B11406" s="2" t="s">
        <v>12472</v>
      </c>
    </row>
    <row r="11407" spans="1:2" x14ac:dyDescent="0.2">
      <c r="A11407" s="8" t="s">
        <v>11430</v>
      </c>
      <c r="B11407" s="2" t="s">
        <v>12472</v>
      </c>
    </row>
    <row r="11408" spans="1:2" x14ac:dyDescent="0.2">
      <c r="A11408" s="8" t="s">
        <v>11431</v>
      </c>
      <c r="B11408" s="2" t="s">
        <v>12472</v>
      </c>
    </row>
    <row r="11409" spans="1:2" x14ac:dyDescent="0.2">
      <c r="A11409" s="8" t="s">
        <v>11432</v>
      </c>
      <c r="B11409" s="2" t="s">
        <v>12472</v>
      </c>
    </row>
    <row r="11410" spans="1:2" x14ac:dyDescent="0.2">
      <c r="A11410" s="8" t="s">
        <v>11433</v>
      </c>
      <c r="B11410" s="2" t="s">
        <v>12472</v>
      </c>
    </row>
    <row r="11411" spans="1:2" x14ac:dyDescent="0.2">
      <c r="A11411" s="8" t="s">
        <v>11434</v>
      </c>
      <c r="B11411" s="2" t="s">
        <v>12472</v>
      </c>
    </row>
    <row r="11412" spans="1:2" x14ac:dyDescent="0.2">
      <c r="A11412" s="8" t="s">
        <v>11435</v>
      </c>
      <c r="B11412" s="2" t="s">
        <v>12472</v>
      </c>
    </row>
    <row r="11413" spans="1:2" x14ac:dyDescent="0.2">
      <c r="A11413" s="8" t="s">
        <v>11436</v>
      </c>
      <c r="B11413" s="2" t="s">
        <v>12472</v>
      </c>
    </row>
    <row r="11414" spans="1:2" x14ac:dyDescent="0.2">
      <c r="A11414" s="8" t="s">
        <v>11437</v>
      </c>
      <c r="B11414" s="2" t="s">
        <v>12472</v>
      </c>
    </row>
    <row r="11415" spans="1:2" x14ac:dyDescent="0.2">
      <c r="A11415" s="8" t="s">
        <v>11438</v>
      </c>
      <c r="B11415" s="2" t="s">
        <v>12472</v>
      </c>
    </row>
    <row r="11416" spans="1:2" x14ac:dyDescent="0.2">
      <c r="A11416" s="8" t="s">
        <v>11439</v>
      </c>
      <c r="B11416" s="2" t="s">
        <v>12472</v>
      </c>
    </row>
    <row r="11417" spans="1:2" x14ac:dyDescent="0.2">
      <c r="A11417" s="8" t="s">
        <v>11440</v>
      </c>
      <c r="B11417" s="2" t="s">
        <v>12472</v>
      </c>
    </row>
    <row r="11418" spans="1:2" x14ac:dyDescent="0.2">
      <c r="A11418" s="8" t="s">
        <v>11441</v>
      </c>
      <c r="B11418" s="2" t="s">
        <v>12472</v>
      </c>
    </row>
    <row r="11419" spans="1:2" x14ac:dyDescent="0.2">
      <c r="A11419" s="8" t="s">
        <v>11442</v>
      </c>
      <c r="B11419" s="2" t="s">
        <v>12472</v>
      </c>
    </row>
    <row r="11420" spans="1:2" x14ac:dyDescent="0.2">
      <c r="A11420" s="8" t="s">
        <v>11443</v>
      </c>
      <c r="B11420" s="2" t="s">
        <v>12472</v>
      </c>
    </row>
    <row r="11421" spans="1:2" x14ac:dyDescent="0.2">
      <c r="A11421" s="8" t="s">
        <v>11444</v>
      </c>
      <c r="B11421" s="2" t="s">
        <v>12472</v>
      </c>
    </row>
    <row r="11422" spans="1:2" x14ac:dyDescent="0.2">
      <c r="A11422" s="8" t="s">
        <v>11445</v>
      </c>
      <c r="B11422" s="2" t="s">
        <v>12472</v>
      </c>
    </row>
    <row r="11423" spans="1:2" x14ac:dyDescent="0.2">
      <c r="A11423" s="8" t="s">
        <v>11446</v>
      </c>
      <c r="B11423" s="2" t="s">
        <v>12472</v>
      </c>
    </row>
    <row r="11424" spans="1:2" x14ac:dyDescent="0.2">
      <c r="A11424" s="8" t="s">
        <v>11447</v>
      </c>
      <c r="B11424" s="2" t="s">
        <v>12472</v>
      </c>
    </row>
    <row r="11425" spans="1:2" x14ac:dyDescent="0.2">
      <c r="A11425" s="8" t="s">
        <v>11448</v>
      </c>
      <c r="B11425" s="2" t="s">
        <v>12472</v>
      </c>
    </row>
    <row r="11426" spans="1:2" x14ac:dyDescent="0.2">
      <c r="A11426" s="8" t="s">
        <v>11449</v>
      </c>
      <c r="B11426" s="2" t="s">
        <v>12472</v>
      </c>
    </row>
    <row r="11427" spans="1:2" x14ac:dyDescent="0.2">
      <c r="A11427" s="8" t="s">
        <v>11450</v>
      </c>
      <c r="B11427" s="2" t="s">
        <v>12472</v>
      </c>
    </row>
    <row r="11428" spans="1:2" x14ac:dyDescent="0.2">
      <c r="A11428" s="8" t="s">
        <v>11451</v>
      </c>
      <c r="B11428" s="2" t="s">
        <v>12472</v>
      </c>
    </row>
    <row r="11429" spans="1:2" x14ac:dyDescent="0.2">
      <c r="A11429" s="8" t="s">
        <v>11452</v>
      </c>
      <c r="B11429" s="2" t="s">
        <v>12472</v>
      </c>
    </row>
    <row r="11430" spans="1:2" x14ac:dyDescent="0.2">
      <c r="A11430" s="8" t="s">
        <v>11453</v>
      </c>
      <c r="B11430" s="2" t="s">
        <v>12472</v>
      </c>
    </row>
    <row r="11431" spans="1:2" x14ac:dyDescent="0.2">
      <c r="A11431" s="8" t="s">
        <v>11454</v>
      </c>
      <c r="B11431" s="2" t="s">
        <v>12472</v>
      </c>
    </row>
    <row r="11432" spans="1:2" x14ac:dyDescent="0.2">
      <c r="A11432" s="8" t="s">
        <v>11455</v>
      </c>
      <c r="B11432" s="2" t="s">
        <v>12472</v>
      </c>
    </row>
    <row r="11433" spans="1:2" x14ac:dyDescent="0.2">
      <c r="A11433" s="8" t="s">
        <v>11456</v>
      </c>
      <c r="B11433" s="2" t="s">
        <v>12472</v>
      </c>
    </row>
    <row r="11434" spans="1:2" x14ac:dyDescent="0.2">
      <c r="A11434" s="8" t="s">
        <v>11457</v>
      </c>
      <c r="B11434" s="2" t="s">
        <v>12472</v>
      </c>
    </row>
    <row r="11435" spans="1:2" x14ac:dyDescent="0.2">
      <c r="A11435" s="8" t="s">
        <v>11458</v>
      </c>
      <c r="B11435" s="2" t="s">
        <v>12472</v>
      </c>
    </row>
    <row r="11436" spans="1:2" x14ac:dyDescent="0.2">
      <c r="A11436" s="8" t="s">
        <v>11459</v>
      </c>
      <c r="B11436" s="2" t="s">
        <v>12472</v>
      </c>
    </row>
    <row r="11437" spans="1:2" x14ac:dyDescent="0.2">
      <c r="A11437" s="8" t="s">
        <v>11460</v>
      </c>
      <c r="B11437" s="2" t="s">
        <v>12472</v>
      </c>
    </row>
    <row r="11438" spans="1:2" x14ac:dyDescent="0.2">
      <c r="A11438" s="8" t="s">
        <v>11461</v>
      </c>
      <c r="B11438" s="2" t="s">
        <v>12472</v>
      </c>
    </row>
    <row r="11439" spans="1:2" x14ac:dyDescent="0.2">
      <c r="A11439" s="8" t="s">
        <v>11462</v>
      </c>
      <c r="B11439" s="2" t="s">
        <v>12472</v>
      </c>
    </row>
    <row r="11440" spans="1:2" x14ac:dyDescent="0.2">
      <c r="A11440" s="8" t="s">
        <v>11463</v>
      </c>
      <c r="B11440" s="2" t="s">
        <v>12472</v>
      </c>
    </row>
    <row r="11441" spans="1:2" x14ac:dyDescent="0.2">
      <c r="A11441" s="8" t="s">
        <v>11464</v>
      </c>
      <c r="B11441" s="2" t="s">
        <v>12472</v>
      </c>
    </row>
    <row r="11442" spans="1:2" x14ac:dyDescent="0.2">
      <c r="A11442" s="8" t="s">
        <v>11465</v>
      </c>
      <c r="B11442" s="2" t="s">
        <v>12472</v>
      </c>
    </row>
    <row r="11443" spans="1:2" x14ac:dyDescent="0.2">
      <c r="A11443" s="8" t="s">
        <v>11466</v>
      </c>
      <c r="B11443" s="2" t="s">
        <v>12472</v>
      </c>
    </row>
    <row r="11444" spans="1:2" x14ac:dyDescent="0.2">
      <c r="A11444" s="8" t="s">
        <v>11467</v>
      </c>
      <c r="B11444" s="2" t="s">
        <v>12472</v>
      </c>
    </row>
    <row r="11445" spans="1:2" x14ac:dyDescent="0.2">
      <c r="A11445" s="8" t="s">
        <v>11468</v>
      </c>
      <c r="B11445" s="2" t="s">
        <v>12472</v>
      </c>
    </row>
    <row r="11446" spans="1:2" x14ac:dyDescent="0.2">
      <c r="A11446" s="8" t="s">
        <v>11469</v>
      </c>
      <c r="B11446" s="2" t="s">
        <v>12472</v>
      </c>
    </row>
    <row r="11447" spans="1:2" x14ac:dyDescent="0.2">
      <c r="A11447" s="8" t="s">
        <v>11470</v>
      </c>
      <c r="B11447" s="2" t="s">
        <v>12472</v>
      </c>
    </row>
    <row r="11448" spans="1:2" x14ac:dyDescent="0.2">
      <c r="A11448" s="8" t="s">
        <v>11471</v>
      </c>
      <c r="B11448" s="2" t="s">
        <v>12472</v>
      </c>
    </row>
    <row r="11449" spans="1:2" x14ac:dyDescent="0.2">
      <c r="A11449" s="8" t="s">
        <v>11472</v>
      </c>
      <c r="B11449" s="2" t="s">
        <v>12472</v>
      </c>
    </row>
    <row r="11450" spans="1:2" x14ac:dyDescent="0.2">
      <c r="A11450" s="8" t="s">
        <v>11473</v>
      </c>
      <c r="B11450" s="2" t="s">
        <v>12472</v>
      </c>
    </row>
    <row r="11451" spans="1:2" x14ac:dyDescent="0.2">
      <c r="A11451" s="8" t="s">
        <v>11474</v>
      </c>
      <c r="B11451" s="2" t="s">
        <v>12472</v>
      </c>
    </row>
    <row r="11452" spans="1:2" x14ac:dyDescent="0.2">
      <c r="A11452" s="8" t="s">
        <v>11475</v>
      </c>
      <c r="B11452" s="2" t="s">
        <v>12472</v>
      </c>
    </row>
    <row r="11453" spans="1:2" x14ac:dyDescent="0.2">
      <c r="A11453" s="8" t="s">
        <v>11476</v>
      </c>
      <c r="B11453" s="2" t="s">
        <v>12472</v>
      </c>
    </row>
    <row r="11454" spans="1:2" x14ac:dyDescent="0.2">
      <c r="A11454" s="8" t="s">
        <v>11477</v>
      </c>
      <c r="B11454" s="2" t="s">
        <v>12472</v>
      </c>
    </row>
    <row r="11455" spans="1:2" x14ac:dyDescent="0.2">
      <c r="A11455" s="8" t="s">
        <v>11478</v>
      </c>
      <c r="B11455" s="2" t="s">
        <v>12472</v>
      </c>
    </row>
    <row r="11456" spans="1:2" x14ac:dyDescent="0.2">
      <c r="A11456" s="8" t="s">
        <v>11479</v>
      </c>
      <c r="B11456" s="2" t="s">
        <v>12472</v>
      </c>
    </row>
    <row r="11457" spans="1:2" x14ac:dyDescent="0.2">
      <c r="A11457" s="8" t="s">
        <v>11480</v>
      </c>
      <c r="B11457" s="2" t="s">
        <v>12472</v>
      </c>
    </row>
    <row r="11458" spans="1:2" x14ac:dyDescent="0.2">
      <c r="A11458" s="8" t="s">
        <v>11481</v>
      </c>
      <c r="B11458" s="2" t="s">
        <v>12472</v>
      </c>
    </row>
    <row r="11459" spans="1:2" x14ac:dyDescent="0.2">
      <c r="A11459" s="8" t="s">
        <v>11482</v>
      </c>
      <c r="B11459" s="2" t="s">
        <v>12472</v>
      </c>
    </row>
    <row r="11460" spans="1:2" x14ac:dyDescent="0.2">
      <c r="A11460" s="8" t="s">
        <v>11483</v>
      </c>
      <c r="B11460" s="2" t="s">
        <v>12472</v>
      </c>
    </row>
    <row r="11461" spans="1:2" x14ac:dyDescent="0.2">
      <c r="A11461" s="8" t="s">
        <v>11484</v>
      </c>
      <c r="B11461" s="2" t="s">
        <v>12472</v>
      </c>
    </row>
    <row r="11462" spans="1:2" x14ac:dyDescent="0.2">
      <c r="A11462" s="8" t="s">
        <v>11485</v>
      </c>
      <c r="B11462" s="2" t="s">
        <v>12472</v>
      </c>
    </row>
    <row r="11463" spans="1:2" x14ac:dyDescent="0.2">
      <c r="A11463" s="8" t="s">
        <v>11486</v>
      </c>
      <c r="B11463" s="2" t="s">
        <v>12472</v>
      </c>
    </row>
    <row r="11464" spans="1:2" x14ac:dyDescent="0.2">
      <c r="A11464" s="8" t="s">
        <v>11487</v>
      </c>
      <c r="B11464" s="2" t="s">
        <v>12472</v>
      </c>
    </row>
    <row r="11465" spans="1:2" x14ac:dyDescent="0.2">
      <c r="A11465" s="8" t="s">
        <v>11488</v>
      </c>
      <c r="B11465" s="2" t="s">
        <v>12472</v>
      </c>
    </row>
    <row r="11466" spans="1:2" x14ac:dyDescent="0.2">
      <c r="A11466" s="8" t="s">
        <v>11489</v>
      </c>
      <c r="B11466" s="2" t="s">
        <v>12472</v>
      </c>
    </row>
    <row r="11467" spans="1:2" x14ac:dyDescent="0.2">
      <c r="A11467" s="8" t="s">
        <v>11490</v>
      </c>
      <c r="B11467" s="2" t="s">
        <v>12472</v>
      </c>
    </row>
    <row r="11468" spans="1:2" x14ac:dyDescent="0.2">
      <c r="A11468" s="8" t="s">
        <v>11491</v>
      </c>
      <c r="B11468" s="2" t="s">
        <v>12472</v>
      </c>
    </row>
    <row r="11469" spans="1:2" x14ac:dyDescent="0.2">
      <c r="A11469" s="8" t="s">
        <v>11492</v>
      </c>
      <c r="B11469" s="2" t="s">
        <v>12472</v>
      </c>
    </row>
    <row r="11470" spans="1:2" x14ac:dyDescent="0.2">
      <c r="A11470" s="8" t="s">
        <v>11493</v>
      </c>
      <c r="B11470" s="2" t="s">
        <v>12472</v>
      </c>
    </row>
    <row r="11471" spans="1:2" x14ac:dyDescent="0.2">
      <c r="A11471" s="8" t="s">
        <v>11494</v>
      </c>
      <c r="B11471" s="2" t="s">
        <v>12472</v>
      </c>
    </row>
    <row r="11472" spans="1:2" x14ac:dyDescent="0.2">
      <c r="A11472" s="8" t="s">
        <v>11495</v>
      </c>
      <c r="B11472" s="2" t="s">
        <v>12472</v>
      </c>
    </row>
    <row r="11473" spans="1:2" x14ac:dyDescent="0.2">
      <c r="A11473" s="8" t="s">
        <v>11496</v>
      </c>
      <c r="B11473" s="2" t="s">
        <v>12472</v>
      </c>
    </row>
    <row r="11474" spans="1:2" x14ac:dyDescent="0.2">
      <c r="A11474" s="8" t="s">
        <v>11497</v>
      </c>
      <c r="B11474" s="2" t="s">
        <v>12472</v>
      </c>
    </row>
    <row r="11475" spans="1:2" x14ac:dyDescent="0.2">
      <c r="A11475" s="8" t="s">
        <v>11498</v>
      </c>
      <c r="B11475" s="2" t="s">
        <v>12472</v>
      </c>
    </row>
    <row r="11476" spans="1:2" x14ac:dyDescent="0.2">
      <c r="A11476" s="8" t="s">
        <v>11499</v>
      </c>
      <c r="B11476" s="2" t="s">
        <v>12472</v>
      </c>
    </row>
    <row r="11477" spans="1:2" x14ac:dyDescent="0.2">
      <c r="A11477" s="8" t="s">
        <v>11500</v>
      </c>
      <c r="B11477" s="2" t="s">
        <v>12472</v>
      </c>
    </row>
    <row r="11478" spans="1:2" x14ac:dyDescent="0.2">
      <c r="A11478" s="8" t="s">
        <v>11501</v>
      </c>
      <c r="B11478" s="2" t="s">
        <v>12472</v>
      </c>
    </row>
    <row r="11479" spans="1:2" x14ac:dyDescent="0.2">
      <c r="A11479" s="8" t="s">
        <v>11502</v>
      </c>
      <c r="B11479" s="2" t="s">
        <v>12472</v>
      </c>
    </row>
    <row r="11480" spans="1:2" x14ac:dyDescent="0.2">
      <c r="A11480" s="8" t="s">
        <v>11503</v>
      </c>
      <c r="B11480" s="2" t="s">
        <v>12472</v>
      </c>
    </row>
    <row r="11481" spans="1:2" x14ac:dyDescent="0.2">
      <c r="A11481" s="8" t="s">
        <v>11504</v>
      </c>
      <c r="B11481" s="2" t="s">
        <v>12472</v>
      </c>
    </row>
    <row r="11482" spans="1:2" x14ac:dyDescent="0.2">
      <c r="A11482" s="8" t="s">
        <v>11505</v>
      </c>
      <c r="B11482" s="2" t="s">
        <v>12472</v>
      </c>
    </row>
    <row r="11483" spans="1:2" x14ac:dyDescent="0.2">
      <c r="A11483" s="8" t="s">
        <v>11506</v>
      </c>
      <c r="B11483" s="2" t="s">
        <v>12472</v>
      </c>
    </row>
    <row r="11484" spans="1:2" x14ac:dyDescent="0.2">
      <c r="A11484" s="8" t="s">
        <v>11507</v>
      </c>
      <c r="B11484" s="2" t="s">
        <v>12472</v>
      </c>
    </row>
    <row r="11485" spans="1:2" x14ac:dyDescent="0.2">
      <c r="A11485" s="8" t="s">
        <v>11508</v>
      </c>
      <c r="B11485" s="2" t="s">
        <v>12472</v>
      </c>
    </row>
    <row r="11486" spans="1:2" x14ac:dyDescent="0.2">
      <c r="A11486" s="8" t="s">
        <v>11509</v>
      </c>
      <c r="B11486" s="2" t="s">
        <v>12472</v>
      </c>
    </row>
    <row r="11487" spans="1:2" x14ac:dyDescent="0.2">
      <c r="A11487" s="8" t="s">
        <v>11510</v>
      </c>
      <c r="B11487" s="2" t="s">
        <v>12472</v>
      </c>
    </row>
    <row r="11488" spans="1:2" x14ac:dyDescent="0.2">
      <c r="A11488" s="8" t="s">
        <v>11511</v>
      </c>
      <c r="B11488" s="2" t="s">
        <v>12472</v>
      </c>
    </row>
    <row r="11489" spans="1:2" x14ac:dyDescent="0.2">
      <c r="A11489" s="8" t="s">
        <v>11512</v>
      </c>
      <c r="B11489" s="2" t="s">
        <v>12472</v>
      </c>
    </row>
    <row r="11490" spans="1:2" x14ac:dyDescent="0.2">
      <c r="A11490" s="8" t="s">
        <v>11513</v>
      </c>
      <c r="B11490" s="2" t="s">
        <v>12472</v>
      </c>
    </row>
    <row r="11491" spans="1:2" x14ac:dyDescent="0.2">
      <c r="A11491" s="8" t="s">
        <v>11514</v>
      </c>
      <c r="B11491" s="2" t="s">
        <v>12472</v>
      </c>
    </row>
    <row r="11492" spans="1:2" x14ac:dyDescent="0.2">
      <c r="A11492" s="8" t="s">
        <v>11515</v>
      </c>
      <c r="B11492" s="2" t="s">
        <v>12472</v>
      </c>
    </row>
    <row r="11493" spans="1:2" x14ac:dyDescent="0.2">
      <c r="A11493" s="8" t="s">
        <v>11516</v>
      </c>
      <c r="B11493" s="2" t="s">
        <v>12472</v>
      </c>
    </row>
    <row r="11494" spans="1:2" x14ac:dyDescent="0.2">
      <c r="A11494" s="8" t="s">
        <v>11517</v>
      </c>
      <c r="B11494" s="2" t="s">
        <v>12472</v>
      </c>
    </row>
    <row r="11495" spans="1:2" x14ac:dyDescent="0.2">
      <c r="A11495" s="8" t="s">
        <v>11518</v>
      </c>
      <c r="B11495" s="2" t="s">
        <v>12472</v>
      </c>
    </row>
    <row r="11496" spans="1:2" x14ac:dyDescent="0.2">
      <c r="A11496" s="8" t="s">
        <v>11519</v>
      </c>
      <c r="B11496" s="2" t="s">
        <v>12472</v>
      </c>
    </row>
    <row r="11497" spans="1:2" x14ac:dyDescent="0.2">
      <c r="A11497" s="8" t="s">
        <v>11520</v>
      </c>
      <c r="B11497" s="2" t="s">
        <v>12472</v>
      </c>
    </row>
    <row r="11498" spans="1:2" x14ac:dyDescent="0.2">
      <c r="A11498" s="8" t="s">
        <v>11521</v>
      </c>
      <c r="B11498" s="2" t="s">
        <v>12472</v>
      </c>
    </row>
    <row r="11499" spans="1:2" x14ac:dyDescent="0.2">
      <c r="A11499" s="8" t="s">
        <v>11522</v>
      </c>
      <c r="B11499" s="2" t="s">
        <v>12472</v>
      </c>
    </row>
    <row r="11500" spans="1:2" x14ac:dyDescent="0.2">
      <c r="A11500" s="8" t="s">
        <v>11523</v>
      </c>
      <c r="B11500" s="2" t="s">
        <v>12472</v>
      </c>
    </row>
    <row r="11501" spans="1:2" x14ac:dyDescent="0.2">
      <c r="A11501" s="8" t="s">
        <v>11524</v>
      </c>
      <c r="B11501" s="2" t="s">
        <v>12472</v>
      </c>
    </row>
    <row r="11502" spans="1:2" x14ac:dyDescent="0.2">
      <c r="A11502" s="8" t="s">
        <v>11525</v>
      </c>
      <c r="B11502" s="2" t="s">
        <v>12472</v>
      </c>
    </row>
    <row r="11503" spans="1:2" x14ac:dyDescent="0.2">
      <c r="A11503" s="8" t="s">
        <v>11526</v>
      </c>
      <c r="B11503" s="2" t="s">
        <v>12472</v>
      </c>
    </row>
    <row r="11504" spans="1:2" x14ac:dyDescent="0.2">
      <c r="A11504" s="8" t="s">
        <v>11527</v>
      </c>
      <c r="B11504" s="2" t="s">
        <v>12472</v>
      </c>
    </row>
    <row r="11505" spans="1:2" x14ac:dyDescent="0.2">
      <c r="A11505" s="8" t="s">
        <v>11528</v>
      </c>
      <c r="B11505" s="2" t="s">
        <v>12472</v>
      </c>
    </row>
    <row r="11506" spans="1:2" x14ac:dyDescent="0.2">
      <c r="A11506" s="8" t="s">
        <v>11529</v>
      </c>
      <c r="B11506" s="2" t="s">
        <v>12472</v>
      </c>
    </row>
    <row r="11507" spans="1:2" x14ac:dyDescent="0.2">
      <c r="A11507" s="8" t="s">
        <v>11530</v>
      </c>
      <c r="B11507" s="2" t="s">
        <v>12472</v>
      </c>
    </row>
    <row r="11508" spans="1:2" x14ac:dyDescent="0.2">
      <c r="A11508" s="8" t="s">
        <v>11531</v>
      </c>
      <c r="B11508" s="2" t="s">
        <v>12472</v>
      </c>
    </row>
    <row r="11509" spans="1:2" x14ac:dyDescent="0.2">
      <c r="A11509" s="8" t="s">
        <v>11532</v>
      </c>
      <c r="B11509" s="2" t="s">
        <v>12472</v>
      </c>
    </row>
    <row r="11510" spans="1:2" x14ac:dyDescent="0.2">
      <c r="A11510" s="8" t="s">
        <v>11533</v>
      </c>
      <c r="B11510" s="2" t="s">
        <v>12472</v>
      </c>
    </row>
    <row r="11511" spans="1:2" x14ac:dyDescent="0.2">
      <c r="A11511" s="8" t="s">
        <v>11534</v>
      </c>
      <c r="B11511" s="2" t="s">
        <v>12472</v>
      </c>
    </row>
    <row r="11512" spans="1:2" x14ac:dyDescent="0.2">
      <c r="A11512" s="8" t="s">
        <v>11535</v>
      </c>
      <c r="B11512" s="2" t="s">
        <v>12472</v>
      </c>
    </row>
    <row r="11513" spans="1:2" x14ac:dyDescent="0.2">
      <c r="A11513" s="8" t="s">
        <v>11536</v>
      </c>
      <c r="B11513" s="2" t="s">
        <v>12472</v>
      </c>
    </row>
    <row r="11514" spans="1:2" x14ac:dyDescent="0.2">
      <c r="A11514" s="8" t="s">
        <v>11537</v>
      </c>
      <c r="B11514" s="2" t="s">
        <v>12472</v>
      </c>
    </row>
    <row r="11515" spans="1:2" x14ac:dyDescent="0.2">
      <c r="A11515" s="8" t="s">
        <v>11538</v>
      </c>
      <c r="B11515" s="2" t="s">
        <v>12472</v>
      </c>
    </row>
    <row r="11516" spans="1:2" x14ac:dyDescent="0.2">
      <c r="A11516" s="8" t="s">
        <v>11539</v>
      </c>
      <c r="B11516" s="2" t="s">
        <v>12472</v>
      </c>
    </row>
    <row r="11517" spans="1:2" x14ac:dyDescent="0.2">
      <c r="A11517" s="8" t="s">
        <v>11540</v>
      </c>
      <c r="B11517" s="2" t="s">
        <v>12472</v>
      </c>
    </row>
    <row r="11518" spans="1:2" x14ac:dyDescent="0.2">
      <c r="A11518" s="8" t="s">
        <v>11541</v>
      </c>
      <c r="B11518" s="2" t="s">
        <v>12472</v>
      </c>
    </row>
    <row r="11519" spans="1:2" x14ac:dyDescent="0.2">
      <c r="A11519" s="8" t="s">
        <v>11542</v>
      </c>
      <c r="B11519" s="2" t="s">
        <v>12472</v>
      </c>
    </row>
    <row r="11520" spans="1:2" x14ac:dyDescent="0.2">
      <c r="A11520" s="8" t="s">
        <v>11543</v>
      </c>
      <c r="B11520" s="2" t="s">
        <v>12472</v>
      </c>
    </row>
    <row r="11521" spans="1:2" x14ac:dyDescent="0.2">
      <c r="A11521" s="8" t="s">
        <v>11544</v>
      </c>
      <c r="B11521" s="2" t="s">
        <v>12472</v>
      </c>
    </row>
    <row r="11522" spans="1:2" x14ac:dyDescent="0.2">
      <c r="A11522" s="8" t="s">
        <v>11545</v>
      </c>
      <c r="B11522" s="2" t="s">
        <v>12472</v>
      </c>
    </row>
    <row r="11523" spans="1:2" x14ac:dyDescent="0.2">
      <c r="A11523" s="8" t="s">
        <v>11546</v>
      </c>
      <c r="B11523" s="2" t="s">
        <v>12472</v>
      </c>
    </row>
    <row r="11524" spans="1:2" x14ac:dyDescent="0.2">
      <c r="A11524" s="8" t="s">
        <v>11547</v>
      </c>
      <c r="B11524" s="2" t="s">
        <v>12472</v>
      </c>
    </row>
    <row r="11525" spans="1:2" x14ac:dyDescent="0.2">
      <c r="A11525" s="8" t="s">
        <v>11548</v>
      </c>
      <c r="B11525" s="2" t="s">
        <v>12472</v>
      </c>
    </row>
    <row r="11526" spans="1:2" x14ac:dyDescent="0.2">
      <c r="A11526" s="8" t="s">
        <v>11549</v>
      </c>
      <c r="B11526" s="2" t="s">
        <v>12472</v>
      </c>
    </row>
    <row r="11527" spans="1:2" x14ac:dyDescent="0.2">
      <c r="A11527" s="8" t="s">
        <v>11550</v>
      </c>
      <c r="B11527" s="2" t="s">
        <v>12472</v>
      </c>
    </row>
    <row r="11528" spans="1:2" x14ac:dyDescent="0.2">
      <c r="A11528" s="8" t="s">
        <v>11551</v>
      </c>
      <c r="B11528" s="2" t="s">
        <v>12472</v>
      </c>
    </row>
    <row r="11529" spans="1:2" x14ac:dyDescent="0.2">
      <c r="A11529" s="8" t="s">
        <v>11552</v>
      </c>
      <c r="B11529" s="2" t="s">
        <v>12472</v>
      </c>
    </row>
    <row r="11530" spans="1:2" x14ac:dyDescent="0.2">
      <c r="A11530" s="8" t="s">
        <v>11553</v>
      </c>
      <c r="B11530" s="2" t="s">
        <v>12472</v>
      </c>
    </row>
    <row r="11531" spans="1:2" x14ac:dyDescent="0.2">
      <c r="A11531" s="8" t="s">
        <v>11554</v>
      </c>
      <c r="B11531" s="2" t="s">
        <v>12472</v>
      </c>
    </row>
    <row r="11532" spans="1:2" x14ac:dyDescent="0.2">
      <c r="A11532" s="8" t="s">
        <v>11555</v>
      </c>
      <c r="B11532" s="2" t="s">
        <v>12472</v>
      </c>
    </row>
    <row r="11533" spans="1:2" x14ac:dyDescent="0.2">
      <c r="A11533" s="8" t="s">
        <v>11556</v>
      </c>
      <c r="B11533" s="2" t="s">
        <v>12472</v>
      </c>
    </row>
    <row r="11534" spans="1:2" x14ac:dyDescent="0.2">
      <c r="A11534" s="8" t="s">
        <v>11557</v>
      </c>
      <c r="B11534" s="2" t="s">
        <v>12472</v>
      </c>
    </row>
    <row r="11535" spans="1:2" x14ac:dyDescent="0.2">
      <c r="A11535" s="8" t="s">
        <v>11558</v>
      </c>
      <c r="B11535" s="2" t="s">
        <v>12472</v>
      </c>
    </row>
    <row r="11536" spans="1:2" x14ac:dyDescent="0.2">
      <c r="A11536" s="8" t="s">
        <v>11559</v>
      </c>
      <c r="B11536" s="2" t="s">
        <v>12472</v>
      </c>
    </row>
    <row r="11537" spans="1:2" x14ac:dyDescent="0.2">
      <c r="A11537" s="8" t="s">
        <v>11560</v>
      </c>
      <c r="B11537" s="2" t="s">
        <v>12472</v>
      </c>
    </row>
    <row r="11538" spans="1:2" x14ac:dyDescent="0.2">
      <c r="A11538" s="8" t="s">
        <v>11561</v>
      </c>
      <c r="B11538" s="2" t="s">
        <v>12472</v>
      </c>
    </row>
    <row r="11539" spans="1:2" x14ac:dyDescent="0.2">
      <c r="A11539" s="8" t="s">
        <v>11562</v>
      </c>
      <c r="B11539" s="2" t="s">
        <v>12472</v>
      </c>
    </row>
    <row r="11540" spans="1:2" x14ac:dyDescent="0.2">
      <c r="A11540" s="8" t="s">
        <v>11563</v>
      </c>
      <c r="B11540" s="2" t="s">
        <v>12472</v>
      </c>
    </row>
    <row r="11541" spans="1:2" x14ac:dyDescent="0.2">
      <c r="A11541" s="8" t="s">
        <v>11564</v>
      </c>
      <c r="B11541" s="2" t="s">
        <v>12472</v>
      </c>
    </row>
    <row r="11542" spans="1:2" x14ac:dyDescent="0.2">
      <c r="A11542" s="8" t="s">
        <v>11565</v>
      </c>
      <c r="B11542" s="2" t="s">
        <v>12472</v>
      </c>
    </row>
    <row r="11543" spans="1:2" x14ac:dyDescent="0.2">
      <c r="A11543" s="8" t="s">
        <v>11566</v>
      </c>
      <c r="B11543" s="2" t="s">
        <v>12472</v>
      </c>
    </row>
    <row r="11544" spans="1:2" x14ac:dyDescent="0.2">
      <c r="A11544" s="8" t="s">
        <v>11567</v>
      </c>
      <c r="B11544" s="2" t="s">
        <v>12472</v>
      </c>
    </row>
    <row r="11545" spans="1:2" x14ac:dyDescent="0.2">
      <c r="A11545" s="8" t="s">
        <v>11568</v>
      </c>
      <c r="B11545" s="2" t="s">
        <v>12472</v>
      </c>
    </row>
    <row r="11546" spans="1:2" x14ac:dyDescent="0.2">
      <c r="A11546" s="8" t="s">
        <v>11569</v>
      </c>
      <c r="B11546" s="2" t="s">
        <v>12472</v>
      </c>
    </row>
    <row r="11547" spans="1:2" x14ac:dyDescent="0.2">
      <c r="A11547" s="8" t="s">
        <v>11570</v>
      </c>
      <c r="B11547" s="2" t="s">
        <v>12472</v>
      </c>
    </row>
    <row r="11548" spans="1:2" x14ac:dyDescent="0.2">
      <c r="A11548" s="8" t="s">
        <v>11571</v>
      </c>
      <c r="B11548" s="2" t="s">
        <v>12472</v>
      </c>
    </row>
    <row r="11549" spans="1:2" x14ac:dyDescent="0.2">
      <c r="A11549" s="8" t="s">
        <v>11572</v>
      </c>
      <c r="B11549" s="2" t="s">
        <v>12472</v>
      </c>
    </row>
    <row r="11550" spans="1:2" x14ac:dyDescent="0.2">
      <c r="A11550" s="8" t="s">
        <v>11573</v>
      </c>
      <c r="B11550" s="2" t="s">
        <v>12472</v>
      </c>
    </row>
    <row r="11551" spans="1:2" x14ac:dyDescent="0.2">
      <c r="A11551" s="8" t="s">
        <v>11574</v>
      </c>
      <c r="B11551" s="2" t="s">
        <v>12472</v>
      </c>
    </row>
    <row r="11552" spans="1:2" x14ac:dyDescent="0.2">
      <c r="A11552" s="8" t="s">
        <v>11575</v>
      </c>
      <c r="B11552" s="2" t="s">
        <v>12472</v>
      </c>
    </row>
    <row r="11553" spans="1:2" x14ac:dyDescent="0.2">
      <c r="A11553" s="8" t="s">
        <v>11576</v>
      </c>
      <c r="B11553" s="2" t="s">
        <v>12472</v>
      </c>
    </row>
    <row r="11554" spans="1:2" x14ac:dyDescent="0.2">
      <c r="A11554" s="8" t="s">
        <v>11577</v>
      </c>
      <c r="B11554" s="2" t="s">
        <v>12472</v>
      </c>
    </row>
    <row r="11555" spans="1:2" x14ac:dyDescent="0.2">
      <c r="A11555" s="8" t="s">
        <v>11578</v>
      </c>
      <c r="B11555" s="2" t="s">
        <v>12472</v>
      </c>
    </row>
    <row r="11556" spans="1:2" x14ac:dyDescent="0.2">
      <c r="A11556" s="8" t="s">
        <v>11579</v>
      </c>
      <c r="B11556" s="2" t="s">
        <v>12472</v>
      </c>
    </row>
    <row r="11557" spans="1:2" x14ac:dyDescent="0.2">
      <c r="A11557" s="8" t="s">
        <v>11580</v>
      </c>
      <c r="B11557" s="2" t="s">
        <v>12472</v>
      </c>
    </row>
    <row r="11558" spans="1:2" x14ac:dyDescent="0.2">
      <c r="A11558" s="8" t="s">
        <v>11581</v>
      </c>
      <c r="B11558" s="2" t="s">
        <v>12472</v>
      </c>
    </row>
    <row r="11559" spans="1:2" x14ac:dyDescent="0.2">
      <c r="A11559" s="8" t="s">
        <v>11582</v>
      </c>
      <c r="B11559" s="2" t="s">
        <v>12472</v>
      </c>
    </row>
    <row r="11560" spans="1:2" x14ac:dyDescent="0.2">
      <c r="A11560" s="8" t="s">
        <v>11583</v>
      </c>
      <c r="B11560" s="2" t="s">
        <v>12472</v>
      </c>
    </row>
    <row r="11561" spans="1:2" x14ac:dyDescent="0.2">
      <c r="A11561" s="8" t="s">
        <v>11584</v>
      </c>
      <c r="B11561" s="2" t="s">
        <v>12472</v>
      </c>
    </row>
    <row r="11562" spans="1:2" x14ac:dyDescent="0.2">
      <c r="A11562" s="8" t="s">
        <v>11585</v>
      </c>
      <c r="B11562" s="2" t="s">
        <v>12472</v>
      </c>
    </row>
    <row r="11563" spans="1:2" x14ac:dyDescent="0.2">
      <c r="A11563" s="8" t="s">
        <v>11586</v>
      </c>
      <c r="B11563" s="2" t="s">
        <v>12472</v>
      </c>
    </row>
    <row r="11564" spans="1:2" x14ac:dyDescent="0.2">
      <c r="A11564" s="8" t="s">
        <v>11587</v>
      </c>
      <c r="B11564" s="2" t="s">
        <v>12472</v>
      </c>
    </row>
    <row r="11565" spans="1:2" x14ac:dyDescent="0.2">
      <c r="A11565" s="8" t="s">
        <v>11588</v>
      </c>
      <c r="B11565" s="2" t="s">
        <v>12472</v>
      </c>
    </row>
    <row r="11566" spans="1:2" x14ac:dyDescent="0.2">
      <c r="A11566" s="8" t="s">
        <v>11589</v>
      </c>
      <c r="B11566" s="2" t="s">
        <v>12472</v>
      </c>
    </row>
    <row r="11567" spans="1:2" x14ac:dyDescent="0.2">
      <c r="A11567" s="8" t="s">
        <v>11590</v>
      </c>
      <c r="B11567" s="2" t="s">
        <v>12472</v>
      </c>
    </row>
    <row r="11568" spans="1:2" x14ac:dyDescent="0.2">
      <c r="A11568" s="8" t="s">
        <v>11591</v>
      </c>
      <c r="B11568" s="2" t="s">
        <v>12472</v>
      </c>
    </row>
    <row r="11569" spans="1:2" x14ac:dyDescent="0.2">
      <c r="A11569" s="8" t="s">
        <v>11592</v>
      </c>
      <c r="B11569" s="2" t="s">
        <v>12472</v>
      </c>
    </row>
    <row r="11570" spans="1:2" x14ac:dyDescent="0.2">
      <c r="A11570" s="8" t="s">
        <v>11593</v>
      </c>
      <c r="B11570" s="2" t="s">
        <v>12472</v>
      </c>
    </row>
    <row r="11571" spans="1:2" x14ac:dyDescent="0.2">
      <c r="A11571" s="8" t="s">
        <v>11594</v>
      </c>
      <c r="B11571" s="2" t="s">
        <v>12472</v>
      </c>
    </row>
    <row r="11572" spans="1:2" x14ac:dyDescent="0.2">
      <c r="A11572" s="8" t="s">
        <v>11595</v>
      </c>
      <c r="B11572" s="2" t="s">
        <v>12472</v>
      </c>
    </row>
    <row r="11573" spans="1:2" x14ac:dyDescent="0.2">
      <c r="A11573" s="8" t="s">
        <v>11596</v>
      </c>
      <c r="B11573" s="2" t="s">
        <v>12472</v>
      </c>
    </row>
    <row r="11574" spans="1:2" x14ac:dyDescent="0.2">
      <c r="A11574" s="8" t="s">
        <v>11597</v>
      </c>
      <c r="B11574" s="2" t="s">
        <v>12472</v>
      </c>
    </row>
    <row r="11575" spans="1:2" x14ac:dyDescent="0.2">
      <c r="A11575" s="8" t="s">
        <v>11598</v>
      </c>
      <c r="B11575" s="2" t="s">
        <v>12472</v>
      </c>
    </row>
    <row r="11576" spans="1:2" x14ac:dyDescent="0.2">
      <c r="A11576" s="8" t="s">
        <v>11599</v>
      </c>
      <c r="B11576" s="2" t="s">
        <v>12472</v>
      </c>
    </row>
    <row r="11577" spans="1:2" x14ac:dyDescent="0.2">
      <c r="A11577" s="8" t="s">
        <v>11600</v>
      </c>
      <c r="B11577" s="2" t="s">
        <v>12472</v>
      </c>
    </row>
    <row r="11578" spans="1:2" x14ac:dyDescent="0.2">
      <c r="A11578" s="8" t="s">
        <v>11601</v>
      </c>
      <c r="B11578" s="2" t="s">
        <v>12472</v>
      </c>
    </row>
    <row r="11579" spans="1:2" x14ac:dyDescent="0.2">
      <c r="A11579" s="8" t="s">
        <v>11602</v>
      </c>
      <c r="B11579" s="2" t="s">
        <v>12472</v>
      </c>
    </row>
    <row r="11580" spans="1:2" x14ac:dyDescent="0.2">
      <c r="A11580" s="8" t="s">
        <v>11603</v>
      </c>
      <c r="B11580" s="2" t="s">
        <v>12472</v>
      </c>
    </row>
    <row r="11581" spans="1:2" x14ac:dyDescent="0.2">
      <c r="A11581" s="8" t="s">
        <v>11604</v>
      </c>
      <c r="B11581" s="2" t="s">
        <v>12472</v>
      </c>
    </row>
    <row r="11582" spans="1:2" x14ac:dyDescent="0.2">
      <c r="A11582" s="8" t="s">
        <v>11605</v>
      </c>
      <c r="B11582" s="2" t="s">
        <v>12472</v>
      </c>
    </row>
    <row r="11583" spans="1:2" x14ac:dyDescent="0.2">
      <c r="A11583" s="8" t="s">
        <v>11606</v>
      </c>
      <c r="B11583" s="2" t="s">
        <v>12472</v>
      </c>
    </row>
    <row r="11584" spans="1:2" x14ac:dyDescent="0.2">
      <c r="A11584" s="8" t="s">
        <v>11607</v>
      </c>
      <c r="B11584" s="2" t="s">
        <v>12472</v>
      </c>
    </row>
    <row r="11585" spans="1:2" x14ac:dyDescent="0.2">
      <c r="A11585" s="8" t="s">
        <v>11608</v>
      </c>
      <c r="B11585" s="2" t="s">
        <v>12472</v>
      </c>
    </row>
    <row r="11586" spans="1:2" x14ac:dyDescent="0.2">
      <c r="A11586" s="8" t="s">
        <v>11609</v>
      </c>
      <c r="B11586" s="2" t="s">
        <v>12472</v>
      </c>
    </row>
    <row r="11587" spans="1:2" x14ac:dyDescent="0.2">
      <c r="A11587" s="8" t="s">
        <v>11610</v>
      </c>
      <c r="B11587" s="2" t="s">
        <v>12472</v>
      </c>
    </row>
    <row r="11588" spans="1:2" x14ac:dyDescent="0.2">
      <c r="A11588" s="8" t="s">
        <v>11611</v>
      </c>
      <c r="B11588" s="2" t="s">
        <v>12472</v>
      </c>
    </row>
    <row r="11589" spans="1:2" x14ac:dyDescent="0.2">
      <c r="A11589" s="8" t="s">
        <v>11612</v>
      </c>
      <c r="B11589" s="2" t="s">
        <v>12472</v>
      </c>
    </row>
    <row r="11590" spans="1:2" x14ac:dyDescent="0.2">
      <c r="A11590" s="8" t="s">
        <v>11613</v>
      </c>
      <c r="B11590" s="2" t="s">
        <v>12472</v>
      </c>
    </row>
    <row r="11591" spans="1:2" x14ac:dyDescent="0.2">
      <c r="A11591" s="8" t="s">
        <v>11614</v>
      </c>
      <c r="B11591" s="2" t="s">
        <v>12472</v>
      </c>
    </row>
    <row r="11592" spans="1:2" x14ac:dyDescent="0.2">
      <c r="A11592" s="8" t="s">
        <v>11615</v>
      </c>
      <c r="B11592" s="2" t="s">
        <v>12472</v>
      </c>
    </row>
    <row r="11593" spans="1:2" x14ac:dyDescent="0.2">
      <c r="A11593" s="8" t="s">
        <v>11616</v>
      </c>
      <c r="B11593" s="2" t="s">
        <v>12472</v>
      </c>
    </row>
    <row r="11594" spans="1:2" x14ac:dyDescent="0.2">
      <c r="A11594" s="8" t="s">
        <v>11617</v>
      </c>
      <c r="B11594" s="2" t="s">
        <v>12472</v>
      </c>
    </row>
    <row r="11595" spans="1:2" x14ac:dyDescent="0.2">
      <c r="A11595" s="8" t="s">
        <v>11618</v>
      </c>
      <c r="B11595" s="2" t="s">
        <v>12472</v>
      </c>
    </row>
    <row r="11596" spans="1:2" x14ac:dyDescent="0.2">
      <c r="A11596" s="8" t="s">
        <v>11619</v>
      </c>
      <c r="B11596" s="2" t="s">
        <v>12472</v>
      </c>
    </row>
    <row r="11597" spans="1:2" x14ac:dyDescent="0.2">
      <c r="A11597" s="8" t="s">
        <v>11620</v>
      </c>
      <c r="B11597" s="2" t="s">
        <v>12472</v>
      </c>
    </row>
    <row r="11598" spans="1:2" x14ac:dyDescent="0.2">
      <c r="A11598" s="8" t="s">
        <v>11621</v>
      </c>
      <c r="B11598" s="2" t="s">
        <v>12472</v>
      </c>
    </row>
    <row r="11599" spans="1:2" x14ac:dyDescent="0.2">
      <c r="A11599" s="8" t="s">
        <v>11622</v>
      </c>
      <c r="B11599" s="2" t="s">
        <v>12472</v>
      </c>
    </row>
    <row r="11600" spans="1:2" x14ac:dyDescent="0.2">
      <c r="A11600" s="8" t="s">
        <v>11623</v>
      </c>
      <c r="B11600" s="2" t="s">
        <v>12472</v>
      </c>
    </row>
    <row r="11601" spans="1:2" x14ac:dyDescent="0.2">
      <c r="A11601" s="8" t="s">
        <v>11624</v>
      </c>
      <c r="B11601" s="2" t="s">
        <v>12472</v>
      </c>
    </row>
    <row r="11602" spans="1:2" x14ac:dyDescent="0.2">
      <c r="A11602" s="8" t="s">
        <v>11625</v>
      </c>
      <c r="B11602" s="2" t="s">
        <v>12472</v>
      </c>
    </row>
    <row r="11603" spans="1:2" x14ac:dyDescent="0.2">
      <c r="A11603" s="8" t="s">
        <v>11626</v>
      </c>
      <c r="B11603" s="2" t="s">
        <v>12472</v>
      </c>
    </row>
    <row r="11604" spans="1:2" x14ac:dyDescent="0.2">
      <c r="A11604" s="8" t="s">
        <v>11627</v>
      </c>
      <c r="B11604" s="2" t="s">
        <v>12472</v>
      </c>
    </row>
    <row r="11605" spans="1:2" x14ac:dyDescent="0.2">
      <c r="A11605" s="8" t="s">
        <v>11628</v>
      </c>
      <c r="B11605" s="2" t="s">
        <v>12472</v>
      </c>
    </row>
    <row r="11606" spans="1:2" x14ac:dyDescent="0.2">
      <c r="A11606" s="8" t="s">
        <v>11629</v>
      </c>
      <c r="B11606" s="2" t="s">
        <v>12472</v>
      </c>
    </row>
    <row r="11607" spans="1:2" x14ac:dyDescent="0.2">
      <c r="A11607" s="8" t="s">
        <v>11630</v>
      </c>
      <c r="B11607" s="2" t="s">
        <v>12472</v>
      </c>
    </row>
    <row r="11608" spans="1:2" x14ac:dyDescent="0.2">
      <c r="A11608" s="8" t="s">
        <v>11631</v>
      </c>
      <c r="B11608" s="2" t="s">
        <v>12472</v>
      </c>
    </row>
    <row r="11609" spans="1:2" x14ac:dyDescent="0.2">
      <c r="A11609" s="8" t="s">
        <v>11632</v>
      </c>
      <c r="B11609" s="2" t="s">
        <v>12472</v>
      </c>
    </row>
    <row r="11610" spans="1:2" x14ac:dyDescent="0.2">
      <c r="A11610" s="8" t="s">
        <v>11633</v>
      </c>
      <c r="B11610" s="2" t="s">
        <v>12472</v>
      </c>
    </row>
    <row r="11611" spans="1:2" x14ac:dyDescent="0.2">
      <c r="A11611" s="8" t="s">
        <v>11634</v>
      </c>
      <c r="B11611" s="2" t="s">
        <v>12472</v>
      </c>
    </row>
    <row r="11612" spans="1:2" x14ac:dyDescent="0.2">
      <c r="A11612" s="8" t="s">
        <v>11635</v>
      </c>
      <c r="B11612" s="2" t="s">
        <v>12472</v>
      </c>
    </row>
    <row r="11613" spans="1:2" x14ac:dyDescent="0.2">
      <c r="A11613" s="8" t="s">
        <v>11636</v>
      </c>
      <c r="B11613" s="2" t="s">
        <v>12472</v>
      </c>
    </row>
    <row r="11614" spans="1:2" x14ac:dyDescent="0.2">
      <c r="A11614" s="8" t="s">
        <v>11637</v>
      </c>
      <c r="B11614" s="2" t="s">
        <v>12472</v>
      </c>
    </row>
    <row r="11615" spans="1:2" x14ac:dyDescent="0.2">
      <c r="A11615" s="8" t="s">
        <v>11638</v>
      </c>
      <c r="B11615" s="2" t="s">
        <v>12472</v>
      </c>
    </row>
    <row r="11616" spans="1:2" x14ac:dyDescent="0.2">
      <c r="A11616" s="8" t="s">
        <v>11639</v>
      </c>
      <c r="B11616" s="2" t="s">
        <v>12472</v>
      </c>
    </row>
    <row r="11617" spans="1:2" x14ac:dyDescent="0.2">
      <c r="A11617" s="8" t="s">
        <v>11640</v>
      </c>
      <c r="B11617" s="2" t="s">
        <v>12472</v>
      </c>
    </row>
    <row r="11618" spans="1:2" x14ac:dyDescent="0.2">
      <c r="A11618" s="8" t="s">
        <v>11641</v>
      </c>
      <c r="B11618" s="2" t="s">
        <v>12472</v>
      </c>
    </row>
    <row r="11619" spans="1:2" x14ac:dyDescent="0.2">
      <c r="A11619" s="8" t="s">
        <v>11642</v>
      </c>
      <c r="B11619" s="2" t="s">
        <v>12472</v>
      </c>
    </row>
    <row r="11620" spans="1:2" x14ac:dyDescent="0.2">
      <c r="A11620" s="8" t="s">
        <v>11643</v>
      </c>
      <c r="B11620" s="2" t="s">
        <v>12472</v>
      </c>
    </row>
    <row r="11621" spans="1:2" x14ac:dyDescent="0.2">
      <c r="A11621" s="8" t="s">
        <v>11644</v>
      </c>
      <c r="B11621" s="2" t="s">
        <v>12472</v>
      </c>
    </row>
    <row r="11622" spans="1:2" x14ac:dyDescent="0.2">
      <c r="A11622" s="8" t="s">
        <v>11645</v>
      </c>
      <c r="B11622" s="2" t="s">
        <v>12472</v>
      </c>
    </row>
    <row r="11623" spans="1:2" x14ac:dyDescent="0.2">
      <c r="A11623" s="8" t="s">
        <v>11646</v>
      </c>
      <c r="B11623" s="2" t="s">
        <v>12472</v>
      </c>
    </row>
    <row r="11624" spans="1:2" x14ac:dyDescent="0.2">
      <c r="A11624" s="8" t="s">
        <v>11647</v>
      </c>
      <c r="B11624" s="2" t="s">
        <v>12472</v>
      </c>
    </row>
    <row r="11625" spans="1:2" x14ac:dyDescent="0.2">
      <c r="A11625" s="8" t="s">
        <v>11648</v>
      </c>
      <c r="B11625" s="2" t="s">
        <v>12472</v>
      </c>
    </row>
    <row r="11626" spans="1:2" x14ac:dyDescent="0.2">
      <c r="A11626" s="8" t="s">
        <v>11649</v>
      </c>
      <c r="B11626" s="2" t="s">
        <v>12472</v>
      </c>
    </row>
    <row r="11627" spans="1:2" x14ac:dyDescent="0.2">
      <c r="A11627" s="8" t="s">
        <v>11650</v>
      </c>
      <c r="B11627" s="2" t="s">
        <v>12472</v>
      </c>
    </row>
    <row r="11628" spans="1:2" x14ac:dyDescent="0.2">
      <c r="A11628" s="8" t="s">
        <v>11651</v>
      </c>
      <c r="B11628" s="2" t="s">
        <v>12472</v>
      </c>
    </row>
    <row r="11629" spans="1:2" x14ac:dyDescent="0.2">
      <c r="A11629" s="8" t="s">
        <v>11652</v>
      </c>
      <c r="B11629" s="2" t="s">
        <v>12472</v>
      </c>
    </row>
    <row r="11630" spans="1:2" x14ac:dyDescent="0.2">
      <c r="A11630" s="8" t="s">
        <v>11653</v>
      </c>
      <c r="B11630" s="2" t="s">
        <v>12472</v>
      </c>
    </row>
    <row r="11631" spans="1:2" x14ac:dyDescent="0.2">
      <c r="A11631" s="8" t="s">
        <v>11654</v>
      </c>
      <c r="B11631" s="2" t="s">
        <v>12472</v>
      </c>
    </row>
    <row r="11632" spans="1:2" x14ac:dyDescent="0.2">
      <c r="A11632" s="8" t="s">
        <v>11655</v>
      </c>
      <c r="B11632" s="2" t="s">
        <v>12472</v>
      </c>
    </row>
    <row r="11633" spans="1:2" x14ac:dyDescent="0.2">
      <c r="A11633" s="8" t="s">
        <v>11656</v>
      </c>
      <c r="B11633" s="2" t="s">
        <v>12472</v>
      </c>
    </row>
    <row r="11634" spans="1:2" x14ac:dyDescent="0.2">
      <c r="A11634" s="8" t="s">
        <v>11657</v>
      </c>
      <c r="B11634" s="2" t="s">
        <v>12472</v>
      </c>
    </row>
    <row r="11635" spans="1:2" x14ac:dyDescent="0.2">
      <c r="A11635" s="8" t="s">
        <v>11658</v>
      </c>
      <c r="B11635" s="2" t="s">
        <v>12472</v>
      </c>
    </row>
    <row r="11636" spans="1:2" x14ac:dyDescent="0.2">
      <c r="A11636" s="8" t="s">
        <v>11659</v>
      </c>
      <c r="B11636" s="2" t="s">
        <v>12472</v>
      </c>
    </row>
    <row r="11637" spans="1:2" x14ac:dyDescent="0.2">
      <c r="A11637" s="8" t="s">
        <v>11660</v>
      </c>
      <c r="B11637" s="2" t="s">
        <v>12472</v>
      </c>
    </row>
    <row r="11638" spans="1:2" x14ac:dyDescent="0.2">
      <c r="A11638" s="8" t="s">
        <v>11661</v>
      </c>
      <c r="B11638" s="2" t="s">
        <v>12472</v>
      </c>
    </row>
    <row r="11639" spans="1:2" x14ac:dyDescent="0.2">
      <c r="A11639" s="8" t="s">
        <v>11662</v>
      </c>
      <c r="B11639" s="2" t="s">
        <v>12472</v>
      </c>
    </row>
    <row r="11640" spans="1:2" x14ac:dyDescent="0.2">
      <c r="A11640" s="8" t="s">
        <v>11663</v>
      </c>
      <c r="B11640" s="2" t="s">
        <v>12472</v>
      </c>
    </row>
    <row r="11641" spans="1:2" x14ac:dyDescent="0.2">
      <c r="A11641" s="8" t="s">
        <v>11664</v>
      </c>
      <c r="B11641" s="2" t="s">
        <v>12472</v>
      </c>
    </row>
    <row r="11642" spans="1:2" x14ac:dyDescent="0.2">
      <c r="A11642" s="8" t="s">
        <v>11665</v>
      </c>
      <c r="B11642" s="2" t="s">
        <v>12472</v>
      </c>
    </row>
    <row r="11643" spans="1:2" x14ac:dyDescent="0.2">
      <c r="A11643" s="8" t="s">
        <v>11666</v>
      </c>
      <c r="B11643" s="2" t="s">
        <v>12472</v>
      </c>
    </row>
    <row r="11644" spans="1:2" x14ac:dyDescent="0.2">
      <c r="A11644" s="8" t="s">
        <v>11667</v>
      </c>
      <c r="B11644" s="2" t="s">
        <v>12472</v>
      </c>
    </row>
    <row r="11645" spans="1:2" x14ac:dyDescent="0.2">
      <c r="A11645" s="8" t="s">
        <v>11668</v>
      </c>
      <c r="B11645" s="2" t="s">
        <v>12472</v>
      </c>
    </row>
    <row r="11646" spans="1:2" x14ac:dyDescent="0.2">
      <c r="A11646" s="8" t="s">
        <v>11669</v>
      </c>
      <c r="B11646" s="2" t="s">
        <v>12472</v>
      </c>
    </row>
    <row r="11647" spans="1:2" x14ac:dyDescent="0.2">
      <c r="A11647" s="8" t="s">
        <v>11670</v>
      </c>
      <c r="B11647" s="2" t="s">
        <v>12472</v>
      </c>
    </row>
    <row r="11648" spans="1:2" x14ac:dyDescent="0.2">
      <c r="A11648" s="8" t="s">
        <v>11671</v>
      </c>
      <c r="B11648" s="2" t="s">
        <v>12472</v>
      </c>
    </row>
    <row r="11649" spans="1:2" x14ac:dyDescent="0.2">
      <c r="A11649" s="8" t="s">
        <v>11672</v>
      </c>
      <c r="B11649" s="2" t="s">
        <v>12472</v>
      </c>
    </row>
    <row r="11650" spans="1:2" x14ac:dyDescent="0.2">
      <c r="A11650" s="8" t="s">
        <v>11673</v>
      </c>
      <c r="B11650" s="2" t="s">
        <v>12472</v>
      </c>
    </row>
    <row r="11651" spans="1:2" x14ac:dyDescent="0.2">
      <c r="A11651" s="8" t="s">
        <v>11674</v>
      </c>
      <c r="B11651" s="2" t="s">
        <v>12472</v>
      </c>
    </row>
    <row r="11652" spans="1:2" x14ac:dyDescent="0.2">
      <c r="A11652" s="8" t="s">
        <v>11675</v>
      </c>
      <c r="B11652" s="2" t="s">
        <v>12472</v>
      </c>
    </row>
    <row r="11653" spans="1:2" x14ac:dyDescent="0.2">
      <c r="A11653" s="8" t="s">
        <v>11676</v>
      </c>
      <c r="B11653" s="2" t="s">
        <v>12472</v>
      </c>
    </row>
    <row r="11654" spans="1:2" x14ac:dyDescent="0.2">
      <c r="A11654" s="8" t="s">
        <v>11677</v>
      </c>
      <c r="B11654" s="2" t="s">
        <v>12472</v>
      </c>
    </row>
    <row r="11655" spans="1:2" x14ac:dyDescent="0.2">
      <c r="A11655" s="8" t="s">
        <v>11678</v>
      </c>
      <c r="B11655" s="2" t="s">
        <v>12472</v>
      </c>
    </row>
    <row r="11656" spans="1:2" x14ac:dyDescent="0.2">
      <c r="A11656" s="8" t="s">
        <v>11679</v>
      </c>
      <c r="B11656" s="2" t="s">
        <v>12472</v>
      </c>
    </row>
    <row r="11657" spans="1:2" x14ac:dyDescent="0.2">
      <c r="A11657" s="8" t="s">
        <v>11680</v>
      </c>
      <c r="B11657" s="2" t="s">
        <v>12472</v>
      </c>
    </row>
    <row r="11658" spans="1:2" x14ac:dyDescent="0.2">
      <c r="A11658" s="8" t="s">
        <v>11681</v>
      </c>
      <c r="B11658" s="2" t="s">
        <v>12472</v>
      </c>
    </row>
    <row r="11659" spans="1:2" x14ac:dyDescent="0.2">
      <c r="A11659" s="8" t="s">
        <v>11682</v>
      </c>
      <c r="B11659" s="2" t="s">
        <v>12472</v>
      </c>
    </row>
    <row r="11660" spans="1:2" x14ac:dyDescent="0.2">
      <c r="A11660" s="8" t="s">
        <v>11683</v>
      </c>
      <c r="B11660" s="2" t="s">
        <v>12472</v>
      </c>
    </row>
    <row r="11661" spans="1:2" x14ac:dyDescent="0.2">
      <c r="A11661" s="8" t="s">
        <v>11684</v>
      </c>
      <c r="B11661" s="2" t="s">
        <v>12472</v>
      </c>
    </row>
    <row r="11662" spans="1:2" x14ac:dyDescent="0.2">
      <c r="A11662" s="8" t="s">
        <v>11685</v>
      </c>
      <c r="B11662" s="2" t="s">
        <v>12472</v>
      </c>
    </row>
    <row r="11663" spans="1:2" x14ac:dyDescent="0.2">
      <c r="A11663" s="8" t="s">
        <v>11686</v>
      </c>
      <c r="B11663" s="2" t="s">
        <v>12472</v>
      </c>
    </row>
    <row r="11664" spans="1:2" x14ac:dyDescent="0.2">
      <c r="A11664" s="8" t="s">
        <v>11687</v>
      </c>
      <c r="B11664" s="2" t="s">
        <v>12472</v>
      </c>
    </row>
    <row r="11665" spans="1:2" x14ac:dyDescent="0.2">
      <c r="A11665" s="8" t="s">
        <v>11688</v>
      </c>
      <c r="B11665" s="2" t="s">
        <v>12472</v>
      </c>
    </row>
    <row r="11666" spans="1:2" x14ac:dyDescent="0.2">
      <c r="A11666" s="8" t="s">
        <v>11689</v>
      </c>
      <c r="B11666" s="2" t="s">
        <v>12472</v>
      </c>
    </row>
    <row r="11667" spans="1:2" x14ac:dyDescent="0.2">
      <c r="A11667" s="8" t="s">
        <v>11690</v>
      </c>
      <c r="B11667" s="2" t="s">
        <v>12472</v>
      </c>
    </row>
    <row r="11668" spans="1:2" x14ac:dyDescent="0.2">
      <c r="A11668" s="8" t="s">
        <v>11691</v>
      </c>
      <c r="B11668" s="2" t="s">
        <v>12472</v>
      </c>
    </row>
    <row r="11669" spans="1:2" x14ac:dyDescent="0.2">
      <c r="A11669" s="8" t="s">
        <v>11692</v>
      </c>
      <c r="B11669" s="2" t="s">
        <v>12472</v>
      </c>
    </row>
    <row r="11670" spans="1:2" x14ac:dyDescent="0.2">
      <c r="A11670" s="8" t="s">
        <v>11693</v>
      </c>
      <c r="B11670" s="2" t="s">
        <v>12472</v>
      </c>
    </row>
    <row r="11671" spans="1:2" x14ac:dyDescent="0.2">
      <c r="A11671" s="8" t="s">
        <v>11694</v>
      </c>
      <c r="B11671" s="2" t="s">
        <v>12472</v>
      </c>
    </row>
    <row r="11672" spans="1:2" x14ac:dyDescent="0.2">
      <c r="A11672" s="8" t="s">
        <v>11695</v>
      </c>
      <c r="B11672" s="2" t="s">
        <v>12472</v>
      </c>
    </row>
    <row r="11673" spans="1:2" x14ac:dyDescent="0.2">
      <c r="A11673" s="8" t="s">
        <v>11696</v>
      </c>
      <c r="B11673" s="2" t="s">
        <v>12472</v>
      </c>
    </row>
    <row r="11674" spans="1:2" x14ac:dyDescent="0.2">
      <c r="A11674" s="8" t="s">
        <v>11697</v>
      </c>
      <c r="B11674" s="2" t="s">
        <v>12472</v>
      </c>
    </row>
    <row r="11675" spans="1:2" x14ac:dyDescent="0.2">
      <c r="A11675" s="8" t="s">
        <v>11698</v>
      </c>
      <c r="B11675" s="2" t="s">
        <v>12472</v>
      </c>
    </row>
    <row r="11676" spans="1:2" x14ac:dyDescent="0.2">
      <c r="A11676" s="8" t="s">
        <v>11699</v>
      </c>
      <c r="B11676" s="2" t="s">
        <v>12472</v>
      </c>
    </row>
    <row r="11677" spans="1:2" x14ac:dyDescent="0.2">
      <c r="A11677" s="8" t="s">
        <v>11700</v>
      </c>
      <c r="B11677" s="2" t="s">
        <v>12472</v>
      </c>
    </row>
    <row r="11678" spans="1:2" x14ac:dyDescent="0.2">
      <c r="A11678" s="8" t="s">
        <v>11701</v>
      </c>
      <c r="B11678" s="2" t="s">
        <v>12472</v>
      </c>
    </row>
    <row r="11679" spans="1:2" x14ac:dyDescent="0.2">
      <c r="A11679" s="8" t="s">
        <v>11702</v>
      </c>
      <c r="B11679" s="2" t="s">
        <v>12472</v>
      </c>
    </row>
    <row r="11680" spans="1:2" x14ac:dyDescent="0.2">
      <c r="A11680" s="8" t="s">
        <v>11703</v>
      </c>
      <c r="B11680" s="2" t="s">
        <v>12472</v>
      </c>
    </row>
    <row r="11681" spans="1:2" x14ac:dyDescent="0.2">
      <c r="A11681" s="8" t="s">
        <v>11704</v>
      </c>
      <c r="B11681" s="2" t="s">
        <v>12472</v>
      </c>
    </row>
    <row r="11682" spans="1:2" x14ac:dyDescent="0.2">
      <c r="A11682" s="8" t="s">
        <v>11705</v>
      </c>
      <c r="B11682" s="2" t="s">
        <v>12472</v>
      </c>
    </row>
    <row r="11683" spans="1:2" x14ac:dyDescent="0.2">
      <c r="A11683" s="8" t="s">
        <v>11706</v>
      </c>
      <c r="B11683" s="2" t="s">
        <v>12472</v>
      </c>
    </row>
    <row r="11684" spans="1:2" x14ac:dyDescent="0.2">
      <c r="A11684" s="8" t="s">
        <v>11707</v>
      </c>
      <c r="B11684" s="2" t="s">
        <v>12472</v>
      </c>
    </row>
    <row r="11685" spans="1:2" x14ac:dyDescent="0.2">
      <c r="A11685" s="8" t="s">
        <v>11708</v>
      </c>
      <c r="B11685" s="2" t="s">
        <v>12472</v>
      </c>
    </row>
    <row r="11686" spans="1:2" x14ac:dyDescent="0.2">
      <c r="A11686" s="8" t="s">
        <v>11709</v>
      </c>
      <c r="B11686" s="2" t="s">
        <v>12472</v>
      </c>
    </row>
    <row r="11687" spans="1:2" x14ac:dyDescent="0.2">
      <c r="A11687" s="8" t="s">
        <v>11710</v>
      </c>
      <c r="B11687" s="2" t="s">
        <v>12472</v>
      </c>
    </row>
    <row r="11688" spans="1:2" x14ac:dyDescent="0.2">
      <c r="A11688" s="8" t="s">
        <v>11711</v>
      </c>
      <c r="B11688" s="2" t="s">
        <v>12472</v>
      </c>
    </row>
    <row r="11689" spans="1:2" x14ac:dyDescent="0.2">
      <c r="A11689" s="8" t="s">
        <v>11712</v>
      </c>
      <c r="B11689" s="2" t="s">
        <v>12472</v>
      </c>
    </row>
    <row r="11690" spans="1:2" x14ac:dyDescent="0.2">
      <c r="A11690" s="8" t="s">
        <v>11713</v>
      </c>
      <c r="B11690" s="2" t="s">
        <v>12472</v>
      </c>
    </row>
    <row r="11691" spans="1:2" x14ac:dyDescent="0.2">
      <c r="A11691" s="8" t="s">
        <v>11714</v>
      </c>
      <c r="B11691" s="2" t="s">
        <v>12472</v>
      </c>
    </row>
    <row r="11692" spans="1:2" x14ac:dyDescent="0.2">
      <c r="A11692" s="8" t="s">
        <v>11715</v>
      </c>
      <c r="B11692" s="2" t="s">
        <v>12472</v>
      </c>
    </row>
    <row r="11693" spans="1:2" x14ac:dyDescent="0.2">
      <c r="A11693" s="8" t="s">
        <v>11716</v>
      </c>
      <c r="B11693" s="2" t="s">
        <v>12472</v>
      </c>
    </row>
    <row r="11694" spans="1:2" x14ac:dyDescent="0.2">
      <c r="A11694" s="8" t="s">
        <v>11717</v>
      </c>
      <c r="B11694" s="2" t="s">
        <v>12472</v>
      </c>
    </row>
    <row r="11695" spans="1:2" x14ac:dyDescent="0.2">
      <c r="A11695" s="8" t="s">
        <v>11718</v>
      </c>
      <c r="B11695" s="2" t="s">
        <v>12472</v>
      </c>
    </row>
    <row r="11696" spans="1:2" x14ac:dyDescent="0.2">
      <c r="A11696" s="8" t="s">
        <v>11719</v>
      </c>
      <c r="B11696" s="2" t="s">
        <v>12472</v>
      </c>
    </row>
    <row r="11697" spans="1:2" x14ac:dyDescent="0.2">
      <c r="A11697" s="8" t="s">
        <v>11720</v>
      </c>
      <c r="B11697" s="2" t="s">
        <v>12472</v>
      </c>
    </row>
    <row r="11698" spans="1:2" x14ac:dyDescent="0.2">
      <c r="A11698" s="8" t="s">
        <v>11721</v>
      </c>
      <c r="B11698" s="2" t="s">
        <v>12472</v>
      </c>
    </row>
    <row r="11699" spans="1:2" x14ac:dyDescent="0.2">
      <c r="A11699" s="8" t="s">
        <v>11722</v>
      </c>
      <c r="B11699" s="2" t="s">
        <v>12472</v>
      </c>
    </row>
    <row r="11700" spans="1:2" x14ac:dyDescent="0.2">
      <c r="A11700" s="8" t="s">
        <v>11723</v>
      </c>
      <c r="B11700" s="2" t="s">
        <v>12472</v>
      </c>
    </row>
    <row r="11701" spans="1:2" x14ac:dyDescent="0.2">
      <c r="A11701" s="8" t="s">
        <v>11724</v>
      </c>
      <c r="B11701" s="2" t="s">
        <v>12472</v>
      </c>
    </row>
    <row r="11702" spans="1:2" x14ac:dyDescent="0.2">
      <c r="A11702" s="8" t="s">
        <v>11725</v>
      </c>
      <c r="B11702" s="2" t="s">
        <v>12472</v>
      </c>
    </row>
    <row r="11703" spans="1:2" x14ac:dyDescent="0.2">
      <c r="A11703" s="8" t="s">
        <v>11726</v>
      </c>
      <c r="B11703" s="2" t="s">
        <v>12472</v>
      </c>
    </row>
    <row r="11704" spans="1:2" x14ac:dyDescent="0.2">
      <c r="A11704" s="8" t="s">
        <v>11727</v>
      </c>
      <c r="B11704" s="2" t="s">
        <v>12472</v>
      </c>
    </row>
    <row r="11705" spans="1:2" x14ac:dyDescent="0.2">
      <c r="A11705" s="8" t="s">
        <v>11728</v>
      </c>
      <c r="B11705" s="2" t="s">
        <v>12472</v>
      </c>
    </row>
    <row r="11706" spans="1:2" x14ac:dyDescent="0.2">
      <c r="A11706" s="8" t="s">
        <v>11729</v>
      </c>
      <c r="B11706" s="2" t="s">
        <v>12472</v>
      </c>
    </row>
    <row r="11707" spans="1:2" x14ac:dyDescent="0.2">
      <c r="A11707" s="8" t="s">
        <v>11730</v>
      </c>
      <c r="B11707" s="2" t="s">
        <v>12472</v>
      </c>
    </row>
    <row r="11708" spans="1:2" x14ac:dyDescent="0.2">
      <c r="A11708" s="8" t="s">
        <v>11731</v>
      </c>
      <c r="B11708" s="2" t="s">
        <v>12472</v>
      </c>
    </row>
    <row r="11709" spans="1:2" x14ac:dyDescent="0.2">
      <c r="A11709" s="8" t="s">
        <v>11732</v>
      </c>
      <c r="B11709" s="2" t="s">
        <v>12472</v>
      </c>
    </row>
    <row r="11710" spans="1:2" x14ac:dyDescent="0.2">
      <c r="A11710" s="8" t="s">
        <v>11733</v>
      </c>
      <c r="B11710" s="2" t="s">
        <v>12472</v>
      </c>
    </row>
    <row r="11711" spans="1:2" x14ac:dyDescent="0.2">
      <c r="A11711" s="8" t="s">
        <v>11734</v>
      </c>
      <c r="B11711" s="2" t="s">
        <v>12472</v>
      </c>
    </row>
    <row r="11712" spans="1:2" x14ac:dyDescent="0.2">
      <c r="A11712" s="8" t="s">
        <v>11735</v>
      </c>
      <c r="B11712" s="2" t="s">
        <v>12472</v>
      </c>
    </row>
    <row r="11713" spans="1:2" x14ac:dyDescent="0.2">
      <c r="A11713" s="8" t="s">
        <v>11736</v>
      </c>
      <c r="B11713" s="2" t="s">
        <v>12472</v>
      </c>
    </row>
    <row r="11714" spans="1:2" x14ac:dyDescent="0.2">
      <c r="A11714" s="8" t="s">
        <v>11737</v>
      </c>
      <c r="B11714" s="2" t="s">
        <v>12472</v>
      </c>
    </row>
    <row r="11715" spans="1:2" x14ac:dyDescent="0.2">
      <c r="A11715" s="8" t="s">
        <v>11738</v>
      </c>
      <c r="B11715" s="2" t="s">
        <v>12472</v>
      </c>
    </row>
    <row r="11716" spans="1:2" x14ac:dyDescent="0.2">
      <c r="A11716" s="8" t="s">
        <v>11739</v>
      </c>
      <c r="B11716" s="2" t="s">
        <v>12472</v>
      </c>
    </row>
    <row r="11717" spans="1:2" x14ac:dyDescent="0.2">
      <c r="A11717" s="8" t="s">
        <v>11740</v>
      </c>
      <c r="B11717" s="2" t="s">
        <v>12472</v>
      </c>
    </row>
    <row r="11718" spans="1:2" x14ac:dyDescent="0.2">
      <c r="A11718" s="8" t="s">
        <v>11741</v>
      </c>
      <c r="B11718" s="2" t="s">
        <v>12472</v>
      </c>
    </row>
    <row r="11719" spans="1:2" x14ac:dyDescent="0.2">
      <c r="A11719" s="8" t="s">
        <v>11742</v>
      </c>
      <c r="B11719" s="2" t="s">
        <v>12472</v>
      </c>
    </row>
    <row r="11720" spans="1:2" x14ac:dyDescent="0.2">
      <c r="A11720" s="8" t="s">
        <v>11743</v>
      </c>
      <c r="B11720" s="2" t="s">
        <v>12472</v>
      </c>
    </row>
    <row r="11721" spans="1:2" x14ac:dyDescent="0.2">
      <c r="A11721" s="8" t="s">
        <v>11744</v>
      </c>
      <c r="B11721" s="2" t="s">
        <v>12472</v>
      </c>
    </row>
    <row r="11722" spans="1:2" x14ac:dyDescent="0.2">
      <c r="A11722" s="8" t="s">
        <v>11745</v>
      </c>
      <c r="B11722" s="2" t="s">
        <v>12472</v>
      </c>
    </row>
    <row r="11723" spans="1:2" x14ac:dyDescent="0.2">
      <c r="A11723" s="8" t="s">
        <v>11746</v>
      </c>
      <c r="B11723" s="2" t="s">
        <v>12472</v>
      </c>
    </row>
    <row r="11724" spans="1:2" x14ac:dyDescent="0.2">
      <c r="A11724" s="8" t="s">
        <v>11747</v>
      </c>
      <c r="B11724" s="2" t="s">
        <v>12472</v>
      </c>
    </row>
    <row r="11725" spans="1:2" x14ac:dyDescent="0.2">
      <c r="A11725" s="8" t="s">
        <v>11748</v>
      </c>
      <c r="B11725" s="2" t="s">
        <v>12472</v>
      </c>
    </row>
    <row r="11726" spans="1:2" x14ac:dyDescent="0.2">
      <c r="A11726" s="8" t="s">
        <v>11749</v>
      </c>
      <c r="B11726" s="2" t="s">
        <v>12472</v>
      </c>
    </row>
    <row r="11727" spans="1:2" x14ac:dyDescent="0.2">
      <c r="A11727" s="8" t="s">
        <v>11750</v>
      </c>
      <c r="B11727" s="2" t="s">
        <v>12472</v>
      </c>
    </row>
    <row r="11728" spans="1:2" x14ac:dyDescent="0.2">
      <c r="A11728" s="8" t="s">
        <v>11751</v>
      </c>
      <c r="B11728" s="2" t="s">
        <v>12472</v>
      </c>
    </row>
    <row r="11729" spans="1:2" x14ac:dyDescent="0.2">
      <c r="A11729" s="8" t="s">
        <v>11752</v>
      </c>
      <c r="B11729" s="2" t="s">
        <v>12472</v>
      </c>
    </row>
    <row r="11730" spans="1:2" x14ac:dyDescent="0.2">
      <c r="A11730" s="8" t="s">
        <v>11753</v>
      </c>
      <c r="B11730" s="2" t="s">
        <v>12472</v>
      </c>
    </row>
    <row r="11731" spans="1:2" x14ac:dyDescent="0.2">
      <c r="A11731" s="8" t="s">
        <v>11754</v>
      </c>
      <c r="B11731" s="2" t="s">
        <v>12472</v>
      </c>
    </row>
    <row r="11732" spans="1:2" x14ac:dyDescent="0.2">
      <c r="A11732" s="8" t="s">
        <v>11755</v>
      </c>
      <c r="B11732" s="2" t="s">
        <v>12472</v>
      </c>
    </row>
    <row r="11733" spans="1:2" x14ac:dyDescent="0.2">
      <c r="A11733" s="8" t="s">
        <v>11756</v>
      </c>
      <c r="B11733" s="2" t="s">
        <v>12472</v>
      </c>
    </row>
    <row r="11734" spans="1:2" x14ac:dyDescent="0.2">
      <c r="A11734" s="8" t="s">
        <v>11757</v>
      </c>
      <c r="B11734" s="2" t="s">
        <v>12472</v>
      </c>
    </row>
    <row r="11735" spans="1:2" x14ac:dyDescent="0.2">
      <c r="A11735" s="8" t="s">
        <v>11758</v>
      </c>
      <c r="B11735" s="2" t="s">
        <v>12472</v>
      </c>
    </row>
    <row r="11736" spans="1:2" x14ac:dyDescent="0.2">
      <c r="A11736" s="8" t="s">
        <v>11759</v>
      </c>
      <c r="B11736" s="2" t="s">
        <v>12472</v>
      </c>
    </row>
    <row r="11737" spans="1:2" x14ac:dyDescent="0.2">
      <c r="A11737" s="8" t="s">
        <v>11760</v>
      </c>
      <c r="B11737" s="2" t="s">
        <v>12472</v>
      </c>
    </row>
    <row r="11738" spans="1:2" x14ac:dyDescent="0.2">
      <c r="A11738" s="8" t="s">
        <v>11761</v>
      </c>
      <c r="B11738" s="2" t="s">
        <v>12472</v>
      </c>
    </row>
    <row r="11739" spans="1:2" x14ac:dyDescent="0.2">
      <c r="A11739" s="8" t="s">
        <v>11762</v>
      </c>
      <c r="B11739" s="2" t="s">
        <v>12472</v>
      </c>
    </row>
    <row r="11740" spans="1:2" x14ac:dyDescent="0.2">
      <c r="A11740" s="8" t="s">
        <v>11763</v>
      </c>
      <c r="B11740" s="2" t="s">
        <v>12472</v>
      </c>
    </row>
    <row r="11741" spans="1:2" x14ac:dyDescent="0.2">
      <c r="A11741" s="8" t="s">
        <v>11764</v>
      </c>
      <c r="B11741" s="2" t="s">
        <v>12472</v>
      </c>
    </row>
    <row r="11742" spans="1:2" x14ac:dyDescent="0.2">
      <c r="A11742" s="8" t="s">
        <v>11765</v>
      </c>
      <c r="B11742" s="2" t="s">
        <v>12472</v>
      </c>
    </row>
    <row r="11743" spans="1:2" x14ac:dyDescent="0.2">
      <c r="A11743" s="8" t="s">
        <v>11766</v>
      </c>
      <c r="B11743" s="2" t="s">
        <v>12472</v>
      </c>
    </row>
    <row r="11744" spans="1:2" x14ac:dyDescent="0.2">
      <c r="A11744" s="8" t="s">
        <v>11767</v>
      </c>
      <c r="B11744" s="2" t="s">
        <v>12472</v>
      </c>
    </row>
    <row r="11745" spans="1:2" x14ac:dyDescent="0.2">
      <c r="A11745" s="8" t="s">
        <v>11768</v>
      </c>
      <c r="B11745" s="2" t="s">
        <v>12472</v>
      </c>
    </row>
    <row r="11746" spans="1:2" x14ac:dyDescent="0.2">
      <c r="A11746" s="8" t="s">
        <v>11769</v>
      </c>
      <c r="B11746" s="2" t="s">
        <v>12472</v>
      </c>
    </row>
    <row r="11747" spans="1:2" x14ac:dyDescent="0.2">
      <c r="A11747" s="8" t="s">
        <v>11770</v>
      </c>
      <c r="B11747" s="2" t="s">
        <v>12472</v>
      </c>
    </row>
    <row r="11748" spans="1:2" x14ac:dyDescent="0.2">
      <c r="A11748" s="8" t="s">
        <v>11771</v>
      </c>
      <c r="B11748" s="2" t="s">
        <v>12472</v>
      </c>
    </row>
    <row r="11749" spans="1:2" x14ac:dyDescent="0.2">
      <c r="A11749" s="8" t="s">
        <v>11772</v>
      </c>
      <c r="B11749" s="2" t="s">
        <v>12472</v>
      </c>
    </row>
    <row r="11750" spans="1:2" x14ac:dyDescent="0.2">
      <c r="A11750" s="8" t="s">
        <v>11773</v>
      </c>
      <c r="B11750" s="2" t="s">
        <v>12472</v>
      </c>
    </row>
    <row r="11751" spans="1:2" x14ac:dyDescent="0.2">
      <c r="A11751" s="8" t="s">
        <v>11774</v>
      </c>
      <c r="B11751" s="2" t="s">
        <v>12472</v>
      </c>
    </row>
    <row r="11752" spans="1:2" x14ac:dyDescent="0.2">
      <c r="A11752" s="8" t="s">
        <v>11775</v>
      </c>
      <c r="B11752" s="2" t="s">
        <v>12472</v>
      </c>
    </row>
    <row r="11753" spans="1:2" x14ac:dyDescent="0.2">
      <c r="A11753" s="8" t="s">
        <v>11776</v>
      </c>
      <c r="B11753" s="2" t="s">
        <v>12472</v>
      </c>
    </row>
    <row r="11754" spans="1:2" x14ac:dyDescent="0.2">
      <c r="A11754" s="8" t="s">
        <v>11777</v>
      </c>
      <c r="B11754" s="2" t="s">
        <v>12472</v>
      </c>
    </row>
    <row r="11755" spans="1:2" x14ac:dyDescent="0.2">
      <c r="A11755" s="8" t="s">
        <v>11778</v>
      </c>
      <c r="B11755" s="2" t="s">
        <v>12472</v>
      </c>
    </row>
    <row r="11756" spans="1:2" x14ac:dyDescent="0.2">
      <c r="A11756" s="8" t="s">
        <v>11779</v>
      </c>
      <c r="B11756" s="2" t="s">
        <v>12472</v>
      </c>
    </row>
    <row r="11757" spans="1:2" x14ac:dyDescent="0.2">
      <c r="A11757" s="8" t="s">
        <v>11780</v>
      </c>
      <c r="B11757" s="2" t="s">
        <v>12472</v>
      </c>
    </row>
    <row r="11758" spans="1:2" x14ac:dyDescent="0.2">
      <c r="A11758" s="8" t="s">
        <v>11781</v>
      </c>
      <c r="B11758" s="2" t="s">
        <v>12472</v>
      </c>
    </row>
    <row r="11759" spans="1:2" x14ac:dyDescent="0.2">
      <c r="A11759" s="8" t="s">
        <v>11782</v>
      </c>
      <c r="B11759" s="2" t="s">
        <v>12472</v>
      </c>
    </row>
    <row r="11760" spans="1:2" x14ac:dyDescent="0.2">
      <c r="A11760" s="8" t="s">
        <v>11783</v>
      </c>
      <c r="B11760" s="2" t="s">
        <v>12472</v>
      </c>
    </row>
    <row r="11761" spans="1:2" x14ac:dyDescent="0.2">
      <c r="A11761" s="8" t="s">
        <v>11784</v>
      </c>
      <c r="B11761" s="2" t="s">
        <v>12472</v>
      </c>
    </row>
    <row r="11762" spans="1:2" x14ac:dyDescent="0.2">
      <c r="A11762" s="8" t="s">
        <v>11785</v>
      </c>
      <c r="B11762" s="2" t="s">
        <v>12472</v>
      </c>
    </row>
    <row r="11763" spans="1:2" x14ac:dyDescent="0.2">
      <c r="A11763" s="8" t="s">
        <v>11786</v>
      </c>
      <c r="B11763" s="2" t="s">
        <v>12472</v>
      </c>
    </row>
    <row r="11764" spans="1:2" x14ac:dyDescent="0.2">
      <c r="A11764" s="8" t="s">
        <v>11787</v>
      </c>
      <c r="B11764" s="2" t="s">
        <v>12472</v>
      </c>
    </row>
    <row r="11765" spans="1:2" x14ac:dyDescent="0.2">
      <c r="A11765" s="8" t="s">
        <v>11788</v>
      </c>
      <c r="B11765" s="2" t="s">
        <v>12472</v>
      </c>
    </row>
    <row r="11766" spans="1:2" x14ac:dyDescent="0.2">
      <c r="A11766" s="8" t="s">
        <v>11789</v>
      </c>
      <c r="B11766" s="2" t="s">
        <v>12472</v>
      </c>
    </row>
    <row r="11767" spans="1:2" x14ac:dyDescent="0.2">
      <c r="A11767" s="8" t="s">
        <v>11790</v>
      </c>
      <c r="B11767" s="2" t="s">
        <v>12472</v>
      </c>
    </row>
    <row r="11768" spans="1:2" x14ac:dyDescent="0.2">
      <c r="A11768" s="8" t="s">
        <v>11791</v>
      </c>
      <c r="B11768" s="2" t="s">
        <v>12472</v>
      </c>
    </row>
    <row r="11769" spans="1:2" x14ac:dyDescent="0.2">
      <c r="A11769" s="8" t="s">
        <v>11792</v>
      </c>
      <c r="B11769" s="2" t="s">
        <v>12472</v>
      </c>
    </row>
    <row r="11770" spans="1:2" x14ac:dyDescent="0.2">
      <c r="A11770" s="8" t="s">
        <v>11793</v>
      </c>
      <c r="B11770" s="2" t="s">
        <v>12472</v>
      </c>
    </row>
    <row r="11771" spans="1:2" x14ac:dyDescent="0.2">
      <c r="A11771" s="8" t="s">
        <v>11794</v>
      </c>
      <c r="B11771" s="2" t="s">
        <v>12472</v>
      </c>
    </row>
    <row r="11772" spans="1:2" x14ac:dyDescent="0.2">
      <c r="A11772" s="8" t="s">
        <v>11795</v>
      </c>
      <c r="B11772" s="2" t="s">
        <v>12472</v>
      </c>
    </row>
    <row r="11773" spans="1:2" x14ac:dyDescent="0.2">
      <c r="A11773" s="8" t="s">
        <v>11796</v>
      </c>
      <c r="B11773" s="2" t="s">
        <v>12472</v>
      </c>
    </row>
    <row r="11774" spans="1:2" x14ac:dyDescent="0.2">
      <c r="A11774" s="8" t="s">
        <v>11797</v>
      </c>
      <c r="B11774" s="2" t="s">
        <v>12472</v>
      </c>
    </row>
    <row r="11775" spans="1:2" x14ac:dyDescent="0.2">
      <c r="A11775" s="8" t="s">
        <v>11798</v>
      </c>
      <c r="B11775" s="2" t="s">
        <v>12472</v>
      </c>
    </row>
    <row r="11776" spans="1:2" x14ac:dyDescent="0.2">
      <c r="A11776" s="8" t="s">
        <v>11799</v>
      </c>
      <c r="B11776" s="2" t="s">
        <v>12472</v>
      </c>
    </row>
    <row r="11777" spans="1:2" x14ac:dyDescent="0.2">
      <c r="A11777" s="8" t="s">
        <v>11800</v>
      </c>
      <c r="B11777" s="2" t="s">
        <v>12472</v>
      </c>
    </row>
    <row r="11778" spans="1:2" x14ac:dyDescent="0.2">
      <c r="A11778" s="8" t="s">
        <v>11801</v>
      </c>
      <c r="B11778" s="2" t="s">
        <v>12472</v>
      </c>
    </row>
    <row r="11779" spans="1:2" x14ac:dyDescent="0.2">
      <c r="A11779" s="8" t="s">
        <v>11802</v>
      </c>
      <c r="B11779" s="2" t="s">
        <v>12472</v>
      </c>
    </row>
    <row r="11780" spans="1:2" x14ac:dyDescent="0.2">
      <c r="A11780" s="8" t="s">
        <v>11803</v>
      </c>
      <c r="B11780" s="2" t="s">
        <v>12472</v>
      </c>
    </row>
    <row r="11781" spans="1:2" x14ac:dyDescent="0.2">
      <c r="A11781" s="8" t="s">
        <v>11804</v>
      </c>
      <c r="B11781" s="2" t="s">
        <v>12472</v>
      </c>
    </row>
    <row r="11782" spans="1:2" x14ac:dyDescent="0.2">
      <c r="A11782" s="8" t="s">
        <v>11805</v>
      </c>
      <c r="B11782" s="2" t="s">
        <v>12472</v>
      </c>
    </row>
    <row r="11783" spans="1:2" x14ac:dyDescent="0.2">
      <c r="A11783" s="8" t="s">
        <v>11806</v>
      </c>
      <c r="B11783" s="2" t="s">
        <v>12472</v>
      </c>
    </row>
    <row r="11784" spans="1:2" x14ac:dyDescent="0.2">
      <c r="A11784" s="8" t="s">
        <v>11807</v>
      </c>
      <c r="B11784" s="2" t="s">
        <v>12472</v>
      </c>
    </row>
    <row r="11785" spans="1:2" x14ac:dyDescent="0.2">
      <c r="A11785" s="8" t="s">
        <v>11808</v>
      </c>
      <c r="B11785" s="2" t="s">
        <v>12472</v>
      </c>
    </row>
    <row r="11786" spans="1:2" x14ac:dyDescent="0.2">
      <c r="A11786" s="8" t="s">
        <v>11809</v>
      </c>
      <c r="B11786" s="2" t="s">
        <v>12472</v>
      </c>
    </row>
    <row r="11787" spans="1:2" x14ac:dyDescent="0.2">
      <c r="A11787" s="8" t="s">
        <v>11810</v>
      </c>
      <c r="B11787" s="2" t="s">
        <v>12472</v>
      </c>
    </row>
    <row r="11788" spans="1:2" x14ac:dyDescent="0.2">
      <c r="A11788" s="8" t="s">
        <v>11811</v>
      </c>
      <c r="B11788" s="2" t="s">
        <v>12472</v>
      </c>
    </row>
    <row r="11789" spans="1:2" x14ac:dyDescent="0.2">
      <c r="A11789" s="8" t="s">
        <v>11812</v>
      </c>
      <c r="B11789" s="2" t="s">
        <v>12472</v>
      </c>
    </row>
    <row r="11790" spans="1:2" x14ac:dyDescent="0.2">
      <c r="A11790" s="8" t="s">
        <v>11813</v>
      </c>
      <c r="B11790" s="2" t="s">
        <v>12472</v>
      </c>
    </row>
    <row r="11791" spans="1:2" x14ac:dyDescent="0.2">
      <c r="A11791" s="8" t="s">
        <v>11814</v>
      </c>
      <c r="B11791" s="2" t="s">
        <v>12472</v>
      </c>
    </row>
    <row r="11792" spans="1:2" x14ac:dyDescent="0.2">
      <c r="A11792" s="8" t="s">
        <v>11815</v>
      </c>
      <c r="B11792" s="2" t="s">
        <v>12472</v>
      </c>
    </row>
    <row r="11793" spans="1:2" x14ac:dyDescent="0.2">
      <c r="A11793" s="8" t="s">
        <v>11816</v>
      </c>
      <c r="B11793" s="2" t="s">
        <v>12472</v>
      </c>
    </row>
    <row r="11794" spans="1:2" x14ac:dyDescent="0.2">
      <c r="A11794" s="8" t="s">
        <v>11817</v>
      </c>
      <c r="B11794" s="2" t="s">
        <v>12472</v>
      </c>
    </row>
    <row r="11795" spans="1:2" x14ac:dyDescent="0.2">
      <c r="A11795" s="8" t="s">
        <v>11818</v>
      </c>
      <c r="B11795" s="2" t="s">
        <v>12472</v>
      </c>
    </row>
    <row r="11796" spans="1:2" x14ac:dyDescent="0.2">
      <c r="A11796" s="8" t="s">
        <v>11819</v>
      </c>
      <c r="B11796" s="2" t="s">
        <v>12472</v>
      </c>
    </row>
    <row r="11797" spans="1:2" x14ac:dyDescent="0.2">
      <c r="A11797" s="8" t="s">
        <v>11820</v>
      </c>
      <c r="B11797" s="2" t="s">
        <v>12472</v>
      </c>
    </row>
    <row r="11798" spans="1:2" x14ac:dyDescent="0.2">
      <c r="A11798" s="8" t="s">
        <v>11821</v>
      </c>
      <c r="B11798" s="2" t="s">
        <v>12472</v>
      </c>
    </row>
    <row r="11799" spans="1:2" x14ac:dyDescent="0.2">
      <c r="A11799" s="8" t="s">
        <v>11822</v>
      </c>
      <c r="B11799" s="2" t="s">
        <v>12472</v>
      </c>
    </row>
    <row r="11800" spans="1:2" x14ac:dyDescent="0.2">
      <c r="A11800" s="8" t="s">
        <v>11823</v>
      </c>
      <c r="B11800" s="2" t="s">
        <v>12472</v>
      </c>
    </row>
    <row r="11801" spans="1:2" x14ac:dyDescent="0.2">
      <c r="A11801" s="8" t="s">
        <v>11824</v>
      </c>
      <c r="B11801" s="2" t="s">
        <v>12472</v>
      </c>
    </row>
    <row r="11802" spans="1:2" x14ac:dyDescent="0.2">
      <c r="A11802" s="8" t="s">
        <v>11825</v>
      </c>
      <c r="B11802" s="2" t="s">
        <v>12472</v>
      </c>
    </row>
    <row r="11803" spans="1:2" x14ac:dyDescent="0.2">
      <c r="A11803" s="8" t="s">
        <v>11826</v>
      </c>
      <c r="B11803" s="2" t="s">
        <v>12473</v>
      </c>
    </row>
    <row r="11804" spans="1:2" x14ac:dyDescent="0.2">
      <c r="A11804" s="8" t="s">
        <v>11827</v>
      </c>
      <c r="B11804" s="2" t="s">
        <v>12473</v>
      </c>
    </row>
    <row r="11805" spans="1:2" x14ac:dyDescent="0.2">
      <c r="A11805" s="8" t="s">
        <v>11828</v>
      </c>
      <c r="B11805" s="2" t="s">
        <v>12473</v>
      </c>
    </row>
    <row r="11806" spans="1:2" x14ac:dyDescent="0.2">
      <c r="A11806" s="8" t="s">
        <v>11829</v>
      </c>
      <c r="B11806" s="2" t="s">
        <v>12473</v>
      </c>
    </row>
    <row r="11807" spans="1:2" x14ac:dyDescent="0.2">
      <c r="A11807" s="8" t="s">
        <v>11830</v>
      </c>
      <c r="B11807" s="2" t="s">
        <v>12473</v>
      </c>
    </row>
    <row r="11808" spans="1:2" x14ac:dyDescent="0.2">
      <c r="A11808" s="8" t="s">
        <v>11831</v>
      </c>
      <c r="B11808" s="2" t="s">
        <v>12473</v>
      </c>
    </row>
    <row r="11809" spans="1:2" x14ac:dyDescent="0.2">
      <c r="A11809" s="8" t="s">
        <v>11832</v>
      </c>
      <c r="B11809" s="2" t="s">
        <v>12473</v>
      </c>
    </row>
    <row r="11810" spans="1:2" x14ac:dyDescent="0.2">
      <c r="A11810" s="8" t="s">
        <v>11833</v>
      </c>
      <c r="B11810" s="2" t="s">
        <v>12473</v>
      </c>
    </row>
    <row r="11811" spans="1:2" x14ac:dyDescent="0.2">
      <c r="A11811" s="8" t="s">
        <v>11834</v>
      </c>
      <c r="B11811" s="2" t="s">
        <v>12473</v>
      </c>
    </row>
    <row r="11812" spans="1:2" x14ac:dyDescent="0.2">
      <c r="A11812" s="8" t="s">
        <v>11835</v>
      </c>
      <c r="B11812" s="2" t="s">
        <v>12473</v>
      </c>
    </row>
    <row r="11813" spans="1:2" x14ac:dyDescent="0.2">
      <c r="A11813" s="8" t="s">
        <v>11836</v>
      </c>
      <c r="B11813" s="2" t="s">
        <v>12473</v>
      </c>
    </row>
    <row r="11814" spans="1:2" x14ac:dyDescent="0.2">
      <c r="A11814" s="8" t="s">
        <v>11837</v>
      </c>
      <c r="B11814" s="2" t="s">
        <v>12473</v>
      </c>
    </row>
    <row r="11815" spans="1:2" x14ac:dyDescent="0.2">
      <c r="A11815" s="8" t="s">
        <v>11838</v>
      </c>
      <c r="B11815" s="2" t="s">
        <v>12473</v>
      </c>
    </row>
    <row r="11816" spans="1:2" x14ac:dyDescent="0.2">
      <c r="A11816" s="8" t="s">
        <v>11839</v>
      </c>
      <c r="B11816" s="2" t="s">
        <v>12473</v>
      </c>
    </row>
    <row r="11817" spans="1:2" x14ac:dyDescent="0.2">
      <c r="A11817" s="8" t="s">
        <v>11840</v>
      </c>
      <c r="B11817" s="2" t="s">
        <v>12473</v>
      </c>
    </row>
    <row r="11818" spans="1:2" x14ac:dyDescent="0.2">
      <c r="A11818" s="8" t="s">
        <v>11841</v>
      </c>
      <c r="B11818" s="2" t="s">
        <v>12473</v>
      </c>
    </row>
    <row r="11819" spans="1:2" x14ac:dyDescent="0.2">
      <c r="A11819" s="8" t="s">
        <v>11842</v>
      </c>
      <c r="B11819" s="2" t="s">
        <v>12473</v>
      </c>
    </row>
    <row r="11820" spans="1:2" x14ac:dyDescent="0.2">
      <c r="A11820" s="8" t="s">
        <v>11843</v>
      </c>
      <c r="B11820" s="2" t="s">
        <v>12473</v>
      </c>
    </row>
    <row r="11821" spans="1:2" x14ac:dyDescent="0.2">
      <c r="A11821" s="8" t="s">
        <v>11844</v>
      </c>
      <c r="B11821" s="2" t="s">
        <v>12473</v>
      </c>
    </row>
    <row r="11822" spans="1:2" x14ac:dyDescent="0.2">
      <c r="A11822" s="8" t="s">
        <v>11845</v>
      </c>
      <c r="B11822" s="2" t="s">
        <v>12473</v>
      </c>
    </row>
    <row r="11823" spans="1:2" x14ac:dyDescent="0.2">
      <c r="A11823" s="8" t="s">
        <v>11846</v>
      </c>
      <c r="B11823" s="2" t="s">
        <v>12473</v>
      </c>
    </row>
    <row r="11824" spans="1:2" x14ac:dyDescent="0.2">
      <c r="A11824" s="8" t="s">
        <v>11847</v>
      </c>
      <c r="B11824" s="2" t="s">
        <v>12473</v>
      </c>
    </row>
    <row r="11825" spans="1:2" x14ac:dyDescent="0.2">
      <c r="A11825" s="8" t="s">
        <v>11848</v>
      </c>
      <c r="B11825" s="2" t="s">
        <v>12473</v>
      </c>
    </row>
    <row r="11826" spans="1:2" x14ac:dyDescent="0.2">
      <c r="A11826" s="8" t="s">
        <v>11849</v>
      </c>
      <c r="B11826" s="2" t="s">
        <v>12473</v>
      </c>
    </row>
    <row r="11827" spans="1:2" x14ac:dyDescent="0.2">
      <c r="A11827" s="8" t="s">
        <v>11850</v>
      </c>
      <c r="B11827" s="2" t="s">
        <v>12473</v>
      </c>
    </row>
    <row r="11828" spans="1:2" x14ac:dyDescent="0.2">
      <c r="A11828" s="8" t="s">
        <v>11851</v>
      </c>
      <c r="B11828" s="2" t="s">
        <v>12473</v>
      </c>
    </row>
    <row r="11829" spans="1:2" x14ac:dyDescent="0.2">
      <c r="A11829" s="8" t="s">
        <v>11852</v>
      </c>
      <c r="B11829" s="2" t="s">
        <v>12473</v>
      </c>
    </row>
    <row r="11830" spans="1:2" x14ac:dyDescent="0.2">
      <c r="A11830" s="8" t="s">
        <v>11853</v>
      </c>
      <c r="B11830" s="2" t="s">
        <v>12473</v>
      </c>
    </row>
    <row r="11831" spans="1:2" x14ac:dyDescent="0.2">
      <c r="A11831" s="8" t="s">
        <v>11854</v>
      </c>
      <c r="B11831" s="2" t="s">
        <v>12473</v>
      </c>
    </row>
    <row r="11832" spans="1:2" x14ac:dyDescent="0.2">
      <c r="A11832" s="8" t="s">
        <v>11855</v>
      </c>
      <c r="B11832" s="2" t="s">
        <v>12473</v>
      </c>
    </row>
    <row r="11833" spans="1:2" x14ac:dyDescent="0.2">
      <c r="A11833" s="8" t="s">
        <v>11856</v>
      </c>
      <c r="B11833" s="2" t="s">
        <v>12473</v>
      </c>
    </row>
    <row r="11834" spans="1:2" x14ac:dyDescent="0.2">
      <c r="A11834" s="8" t="s">
        <v>11857</v>
      </c>
      <c r="B11834" s="2" t="s">
        <v>12473</v>
      </c>
    </row>
    <row r="11835" spans="1:2" x14ac:dyDescent="0.2">
      <c r="A11835" s="8" t="s">
        <v>11858</v>
      </c>
      <c r="B11835" s="2" t="s">
        <v>12473</v>
      </c>
    </row>
    <row r="11836" spans="1:2" x14ac:dyDescent="0.2">
      <c r="A11836" s="8" t="s">
        <v>11859</v>
      </c>
      <c r="B11836" s="2" t="s">
        <v>12473</v>
      </c>
    </row>
    <row r="11837" spans="1:2" x14ac:dyDescent="0.2">
      <c r="A11837" s="8" t="s">
        <v>11860</v>
      </c>
      <c r="B11837" s="2" t="s">
        <v>12473</v>
      </c>
    </row>
    <row r="11838" spans="1:2" x14ac:dyDescent="0.2">
      <c r="A11838" s="8" t="s">
        <v>11861</v>
      </c>
      <c r="B11838" s="2" t="s">
        <v>12473</v>
      </c>
    </row>
    <row r="11839" spans="1:2" x14ac:dyDescent="0.2">
      <c r="A11839" s="8" t="s">
        <v>11862</v>
      </c>
      <c r="B11839" s="2" t="s">
        <v>12473</v>
      </c>
    </row>
    <row r="11840" spans="1:2" x14ac:dyDescent="0.2">
      <c r="A11840" s="8" t="s">
        <v>11863</v>
      </c>
      <c r="B11840" s="2" t="s">
        <v>12473</v>
      </c>
    </row>
    <row r="11841" spans="1:2" x14ac:dyDescent="0.2">
      <c r="A11841" s="8" t="s">
        <v>11864</v>
      </c>
      <c r="B11841" s="2" t="s">
        <v>12473</v>
      </c>
    </row>
    <row r="11842" spans="1:2" x14ac:dyDescent="0.2">
      <c r="A11842" s="8" t="s">
        <v>11865</v>
      </c>
      <c r="B11842" s="2" t="s">
        <v>12473</v>
      </c>
    </row>
    <row r="11843" spans="1:2" x14ac:dyDescent="0.2">
      <c r="A11843" s="8" t="s">
        <v>11866</v>
      </c>
      <c r="B11843" s="2" t="s">
        <v>12473</v>
      </c>
    </row>
    <row r="11844" spans="1:2" x14ac:dyDescent="0.2">
      <c r="A11844" s="8" t="s">
        <v>11867</v>
      </c>
      <c r="B11844" s="2" t="s">
        <v>12473</v>
      </c>
    </row>
    <row r="11845" spans="1:2" x14ac:dyDescent="0.2">
      <c r="A11845" s="8" t="s">
        <v>11868</v>
      </c>
      <c r="B11845" s="2" t="s">
        <v>12473</v>
      </c>
    </row>
    <row r="11846" spans="1:2" x14ac:dyDescent="0.2">
      <c r="A11846" s="8" t="s">
        <v>11869</v>
      </c>
      <c r="B11846" s="2" t="s">
        <v>12473</v>
      </c>
    </row>
    <row r="11847" spans="1:2" x14ac:dyDescent="0.2">
      <c r="A11847" s="8" t="s">
        <v>11870</v>
      </c>
      <c r="B11847" s="2" t="s">
        <v>12473</v>
      </c>
    </row>
    <row r="11848" spans="1:2" x14ac:dyDescent="0.2">
      <c r="A11848" s="8" t="s">
        <v>11871</v>
      </c>
      <c r="B11848" s="2" t="s">
        <v>12473</v>
      </c>
    </row>
    <row r="11849" spans="1:2" x14ac:dyDescent="0.2">
      <c r="A11849" s="8" t="s">
        <v>11872</v>
      </c>
      <c r="B11849" s="2" t="s">
        <v>12473</v>
      </c>
    </row>
    <row r="11850" spans="1:2" x14ac:dyDescent="0.2">
      <c r="A11850" s="8" t="s">
        <v>11873</v>
      </c>
      <c r="B11850" s="2" t="s">
        <v>12473</v>
      </c>
    </row>
    <row r="11851" spans="1:2" x14ac:dyDescent="0.2">
      <c r="A11851" s="8" t="s">
        <v>11874</v>
      </c>
      <c r="B11851" s="2" t="s">
        <v>12473</v>
      </c>
    </row>
    <row r="11852" spans="1:2" x14ac:dyDescent="0.2">
      <c r="A11852" s="8" t="s">
        <v>11875</v>
      </c>
      <c r="B11852" s="2" t="s">
        <v>12473</v>
      </c>
    </row>
    <row r="11853" spans="1:2" x14ac:dyDescent="0.2">
      <c r="A11853" s="8" t="s">
        <v>11876</v>
      </c>
      <c r="B11853" s="2" t="s">
        <v>12473</v>
      </c>
    </row>
    <row r="11854" spans="1:2" x14ac:dyDescent="0.2">
      <c r="A11854" s="8" t="s">
        <v>11877</v>
      </c>
      <c r="B11854" s="2" t="s">
        <v>12473</v>
      </c>
    </row>
    <row r="11855" spans="1:2" x14ac:dyDescent="0.2">
      <c r="A11855" s="8" t="s">
        <v>11878</v>
      </c>
      <c r="B11855" s="2" t="s">
        <v>12473</v>
      </c>
    </row>
    <row r="11856" spans="1:2" x14ac:dyDescent="0.2">
      <c r="A11856" s="8" t="s">
        <v>11879</v>
      </c>
      <c r="B11856" s="2" t="s">
        <v>12473</v>
      </c>
    </row>
    <row r="11857" spans="1:2" x14ac:dyDescent="0.2">
      <c r="A11857" s="8" t="s">
        <v>11880</v>
      </c>
      <c r="B11857" s="2" t="s">
        <v>12473</v>
      </c>
    </row>
    <row r="11858" spans="1:2" x14ac:dyDescent="0.2">
      <c r="A11858" s="8" t="s">
        <v>11881</v>
      </c>
      <c r="B11858" s="2" t="s">
        <v>12473</v>
      </c>
    </row>
    <row r="11859" spans="1:2" x14ac:dyDescent="0.2">
      <c r="A11859" s="8" t="s">
        <v>11882</v>
      </c>
      <c r="B11859" s="2" t="s">
        <v>12473</v>
      </c>
    </row>
    <row r="11860" spans="1:2" x14ac:dyDescent="0.2">
      <c r="A11860" s="8" t="s">
        <v>11883</v>
      </c>
      <c r="B11860" s="2" t="s">
        <v>12473</v>
      </c>
    </row>
    <row r="11861" spans="1:2" x14ac:dyDescent="0.2">
      <c r="A11861" s="8" t="s">
        <v>11884</v>
      </c>
      <c r="B11861" s="2" t="s">
        <v>12473</v>
      </c>
    </row>
    <row r="11862" spans="1:2" x14ac:dyDescent="0.2">
      <c r="A11862" s="8" t="s">
        <v>11885</v>
      </c>
      <c r="B11862" s="2" t="s">
        <v>12473</v>
      </c>
    </row>
    <row r="11863" spans="1:2" x14ac:dyDescent="0.2">
      <c r="A11863" s="8" t="s">
        <v>11886</v>
      </c>
      <c r="B11863" s="2" t="s">
        <v>12473</v>
      </c>
    </row>
    <row r="11864" spans="1:2" x14ac:dyDescent="0.2">
      <c r="A11864" s="8" t="s">
        <v>11887</v>
      </c>
      <c r="B11864" s="2" t="s">
        <v>12473</v>
      </c>
    </row>
    <row r="11865" spans="1:2" x14ac:dyDescent="0.2">
      <c r="A11865" s="8" t="s">
        <v>11888</v>
      </c>
      <c r="B11865" s="2" t="s">
        <v>12473</v>
      </c>
    </row>
    <row r="11866" spans="1:2" x14ac:dyDescent="0.2">
      <c r="A11866" s="8" t="s">
        <v>11889</v>
      </c>
      <c r="B11866" s="2" t="s">
        <v>12473</v>
      </c>
    </row>
    <row r="11867" spans="1:2" x14ac:dyDescent="0.2">
      <c r="A11867" s="8" t="s">
        <v>11890</v>
      </c>
      <c r="B11867" s="2" t="s">
        <v>12473</v>
      </c>
    </row>
    <row r="11868" spans="1:2" x14ac:dyDescent="0.2">
      <c r="A11868" s="8" t="s">
        <v>11891</v>
      </c>
      <c r="B11868" s="2" t="s">
        <v>12473</v>
      </c>
    </row>
    <row r="11869" spans="1:2" x14ac:dyDescent="0.2">
      <c r="A11869" s="8" t="s">
        <v>11892</v>
      </c>
      <c r="B11869" s="2" t="s">
        <v>12473</v>
      </c>
    </row>
    <row r="11870" spans="1:2" x14ac:dyDescent="0.2">
      <c r="A11870" s="8" t="s">
        <v>11893</v>
      </c>
      <c r="B11870" s="2" t="s">
        <v>12473</v>
      </c>
    </row>
    <row r="11871" spans="1:2" x14ac:dyDescent="0.2">
      <c r="A11871" s="8" t="s">
        <v>11894</v>
      </c>
      <c r="B11871" s="2" t="s">
        <v>12473</v>
      </c>
    </row>
    <row r="11872" spans="1:2" x14ac:dyDescent="0.2">
      <c r="A11872" s="8" t="s">
        <v>11895</v>
      </c>
      <c r="B11872" s="2" t="s">
        <v>12473</v>
      </c>
    </row>
    <row r="11873" spans="1:2" x14ac:dyDescent="0.2">
      <c r="A11873" s="8" t="s">
        <v>11896</v>
      </c>
      <c r="B11873" s="2" t="s">
        <v>12473</v>
      </c>
    </row>
    <row r="11874" spans="1:2" x14ac:dyDescent="0.2">
      <c r="A11874" s="8" t="s">
        <v>11897</v>
      </c>
      <c r="B11874" s="2" t="s">
        <v>12473</v>
      </c>
    </row>
    <row r="11875" spans="1:2" x14ac:dyDescent="0.2">
      <c r="A11875" s="8" t="s">
        <v>11898</v>
      </c>
      <c r="B11875" s="2" t="s">
        <v>12473</v>
      </c>
    </row>
    <row r="11876" spans="1:2" x14ac:dyDescent="0.2">
      <c r="A11876" s="8" t="s">
        <v>11899</v>
      </c>
      <c r="B11876" s="2" t="s">
        <v>12473</v>
      </c>
    </row>
    <row r="11877" spans="1:2" x14ac:dyDescent="0.2">
      <c r="A11877" s="8" t="s">
        <v>11900</v>
      </c>
      <c r="B11877" s="2" t="s">
        <v>12473</v>
      </c>
    </row>
    <row r="11878" spans="1:2" x14ac:dyDescent="0.2">
      <c r="A11878" s="8" t="s">
        <v>11901</v>
      </c>
      <c r="B11878" s="2" t="s">
        <v>12473</v>
      </c>
    </row>
    <row r="11879" spans="1:2" x14ac:dyDescent="0.2">
      <c r="A11879" s="8" t="s">
        <v>11902</v>
      </c>
      <c r="B11879" s="2" t="s">
        <v>12473</v>
      </c>
    </row>
    <row r="11880" spans="1:2" x14ac:dyDescent="0.2">
      <c r="A11880" s="8" t="s">
        <v>11903</v>
      </c>
      <c r="B11880" s="2" t="s">
        <v>12473</v>
      </c>
    </row>
    <row r="11881" spans="1:2" x14ac:dyDescent="0.2">
      <c r="A11881" s="8" t="s">
        <v>11904</v>
      </c>
      <c r="B11881" s="2" t="s">
        <v>12473</v>
      </c>
    </row>
    <row r="11882" spans="1:2" x14ac:dyDescent="0.2">
      <c r="A11882" s="8" t="s">
        <v>11905</v>
      </c>
      <c r="B11882" s="2" t="s">
        <v>12473</v>
      </c>
    </row>
    <row r="11883" spans="1:2" x14ac:dyDescent="0.2">
      <c r="A11883" s="8" t="s">
        <v>11906</v>
      </c>
      <c r="B11883" s="2" t="s">
        <v>12473</v>
      </c>
    </row>
    <row r="11884" spans="1:2" x14ac:dyDescent="0.2">
      <c r="A11884" s="8" t="s">
        <v>11907</v>
      </c>
      <c r="B11884" s="2" t="s">
        <v>12473</v>
      </c>
    </row>
    <row r="11885" spans="1:2" x14ac:dyDescent="0.2">
      <c r="A11885" s="8" t="s">
        <v>11908</v>
      </c>
      <c r="B11885" s="2" t="s">
        <v>12473</v>
      </c>
    </row>
    <row r="11886" spans="1:2" x14ac:dyDescent="0.2">
      <c r="A11886" s="8" t="s">
        <v>11909</v>
      </c>
      <c r="B11886" s="2" t="s">
        <v>12473</v>
      </c>
    </row>
    <row r="11887" spans="1:2" x14ac:dyDescent="0.2">
      <c r="A11887" s="8" t="s">
        <v>11910</v>
      </c>
      <c r="B11887" s="2" t="s">
        <v>12473</v>
      </c>
    </row>
    <row r="11888" spans="1:2" x14ac:dyDescent="0.2">
      <c r="A11888" s="8" t="s">
        <v>11911</v>
      </c>
      <c r="B11888" s="2" t="s">
        <v>12473</v>
      </c>
    </row>
    <row r="11889" spans="1:2" x14ac:dyDescent="0.2">
      <c r="A11889" s="8" t="s">
        <v>11912</v>
      </c>
      <c r="B11889" s="2" t="s">
        <v>12473</v>
      </c>
    </row>
    <row r="11890" spans="1:2" x14ac:dyDescent="0.2">
      <c r="A11890" s="8" t="s">
        <v>11913</v>
      </c>
      <c r="B11890" s="2" t="s">
        <v>12473</v>
      </c>
    </row>
    <row r="11891" spans="1:2" x14ac:dyDescent="0.2">
      <c r="A11891" s="8" t="s">
        <v>11914</v>
      </c>
      <c r="B11891" s="2" t="s">
        <v>12473</v>
      </c>
    </row>
    <row r="11892" spans="1:2" x14ac:dyDescent="0.2">
      <c r="A11892" s="8" t="s">
        <v>11915</v>
      </c>
      <c r="B11892" s="2" t="s">
        <v>12473</v>
      </c>
    </row>
    <row r="11893" spans="1:2" x14ac:dyDescent="0.2">
      <c r="A11893" s="8" t="s">
        <v>11916</v>
      </c>
      <c r="B11893" s="2" t="s">
        <v>12473</v>
      </c>
    </row>
    <row r="11894" spans="1:2" x14ac:dyDescent="0.2">
      <c r="A11894" s="8" t="s">
        <v>11917</v>
      </c>
      <c r="B11894" s="2" t="s">
        <v>12473</v>
      </c>
    </row>
    <row r="11895" spans="1:2" x14ac:dyDescent="0.2">
      <c r="A11895" s="8" t="s">
        <v>11918</v>
      </c>
      <c r="B11895" s="2" t="s">
        <v>12473</v>
      </c>
    </row>
    <row r="11896" spans="1:2" x14ac:dyDescent="0.2">
      <c r="A11896" s="8" t="s">
        <v>11919</v>
      </c>
      <c r="B11896" s="2" t="s">
        <v>12473</v>
      </c>
    </row>
    <row r="11897" spans="1:2" x14ac:dyDescent="0.2">
      <c r="A11897" s="8" t="s">
        <v>11920</v>
      </c>
      <c r="B11897" s="2" t="s">
        <v>12473</v>
      </c>
    </row>
    <row r="11898" spans="1:2" x14ac:dyDescent="0.2">
      <c r="A11898" s="8" t="s">
        <v>11921</v>
      </c>
      <c r="B11898" s="2" t="s">
        <v>12473</v>
      </c>
    </row>
    <row r="11899" spans="1:2" x14ac:dyDescent="0.2">
      <c r="A11899" s="8" t="s">
        <v>11922</v>
      </c>
      <c r="B11899" s="2" t="s">
        <v>12473</v>
      </c>
    </row>
    <row r="11900" spans="1:2" x14ac:dyDescent="0.2">
      <c r="A11900" s="8" t="s">
        <v>11923</v>
      </c>
      <c r="B11900" s="2" t="s">
        <v>12473</v>
      </c>
    </row>
    <row r="11901" spans="1:2" x14ac:dyDescent="0.2">
      <c r="A11901" s="8" t="s">
        <v>11924</v>
      </c>
      <c r="B11901" s="2" t="s">
        <v>12473</v>
      </c>
    </row>
    <row r="11902" spans="1:2" x14ac:dyDescent="0.2">
      <c r="A11902" s="8" t="s">
        <v>11925</v>
      </c>
      <c r="B11902" s="2" t="s">
        <v>12473</v>
      </c>
    </row>
    <row r="11903" spans="1:2" x14ac:dyDescent="0.2">
      <c r="A11903" s="8" t="s">
        <v>11926</v>
      </c>
      <c r="B11903" s="2" t="s">
        <v>12473</v>
      </c>
    </row>
    <row r="11904" spans="1:2" x14ac:dyDescent="0.2">
      <c r="A11904" s="8" t="s">
        <v>11927</v>
      </c>
      <c r="B11904" s="2" t="s">
        <v>12473</v>
      </c>
    </row>
    <row r="11905" spans="1:2" x14ac:dyDescent="0.2">
      <c r="A11905" s="8" t="s">
        <v>11928</v>
      </c>
      <c r="B11905" s="2" t="s">
        <v>12473</v>
      </c>
    </row>
    <row r="11906" spans="1:2" x14ac:dyDescent="0.2">
      <c r="A11906" s="8" t="s">
        <v>11929</v>
      </c>
      <c r="B11906" s="2" t="s">
        <v>12473</v>
      </c>
    </row>
    <row r="11907" spans="1:2" x14ac:dyDescent="0.2">
      <c r="A11907" s="8" t="s">
        <v>11930</v>
      </c>
      <c r="B11907" s="2" t="s">
        <v>12473</v>
      </c>
    </row>
    <row r="11908" spans="1:2" x14ac:dyDescent="0.2">
      <c r="A11908" s="8" t="s">
        <v>11931</v>
      </c>
      <c r="B11908" s="2" t="s">
        <v>12473</v>
      </c>
    </row>
    <row r="11909" spans="1:2" x14ac:dyDescent="0.2">
      <c r="A11909" s="8" t="s">
        <v>11932</v>
      </c>
      <c r="B11909" s="2" t="s">
        <v>12473</v>
      </c>
    </row>
    <row r="11910" spans="1:2" x14ac:dyDescent="0.2">
      <c r="A11910" s="8" t="s">
        <v>11933</v>
      </c>
      <c r="B11910" s="2" t="s">
        <v>12473</v>
      </c>
    </row>
    <row r="11911" spans="1:2" x14ac:dyDescent="0.2">
      <c r="A11911" s="8" t="s">
        <v>11934</v>
      </c>
      <c r="B11911" s="2" t="s">
        <v>12473</v>
      </c>
    </row>
    <row r="11912" spans="1:2" x14ac:dyDescent="0.2">
      <c r="A11912" s="8" t="s">
        <v>11935</v>
      </c>
      <c r="B11912" s="2" t="s">
        <v>12473</v>
      </c>
    </row>
    <row r="11913" spans="1:2" x14ac:dyDescent="0.2">
      <c r="A11913" s="8" t="s">
        <v>11936</v>
      </c>
      <c r="B11913" s="2" t="s">
        <v>12473</v>
      </c>
    </row>
    <row r="11914" spans="1:2" x14ac:dyDescent="0.2">
      <c r="A11914" s="8" t="s">
        <v>11937</v>
      </c>
      <c r="B11914" s="2" t="s">
        <v>12473</v>
      </c>
    </row>
    <row r="11915" spans="1:2" x14ac:dyDescent="0.2">
      <c r="A11915" s="8" t="s">
        <v>11938</v>
      </c>
      <c r="B11915" s="2" t="s">
        <v>12473</v>
      </c>
    </row>
    <row r="11916" spans="1:2" x14ac:dyDescent="0.2">
      <c r="A11916" s="8" t="s">
        <v>11939</v>
      </c>
      <c r="B11916" s="2" t="s">
        <v>12473</v>
      </c>
    </row>
    <row r="11917" spans="1:2" x14ac:dyDescent="0.2">
      <c r="A11917" s="8" t="s">
        <v>11940</v>
      </c>
      <c r="B11917" s="2" t="s">
        <v>12473</v>
      </c>
    </row>
    <row r="11918" spans="1:2" x14ac:dyDescent="0.2">
      <c r="A11918" s="8" t="s">
        <v>11941</v>
      </c>
      <c r="B11918" s="2" t="s">
        <v>12473</v>
      </c>
    </row>
    <row r="11919" spans="1:2" x14ac:dyDescent="0.2">
      <c r="A11919" s="8" t="s">
        <v>11942</v>
      </c>
      <c r="B11919" s="2" t="s">
        <v>12473</v>
      </c>
    </row>
    <row r="11920" spans="1:2" x14ac:dyDescent="0.2">
      <c r="A11920" s="8" t="s">
        <v>11943</v>
      </c>
      <c r="B11920" s="2" t="s">
        <v>12473</v>
      </c>
    </row>
    <row r="11921" spans="1:2" x14ac:dyDescent="0.2">
      <c r="A11921" s="8" t="s">
        <v>11944</v>
      </c>
      <c r="B11921" s="2" t="s">
        <v>12473</v>
      </c>
    </row>
    <row r="11922" spans="1:2" x14ac:dyDescent="0.2">
      <c r="A11922" s="8" t="s">
        <v>11945</v>
      </c>
      <c r="B11922" s="2" t="s">
        <v>12473</v>
      </c>
    </row>
    <row r="11923" spans="1:2" x14ac:dyDescent="0.2">
      <c r="A11923" s="8" t="s">
        <v>11946</v>
      </c>
      <c r="B11923" s="2" t="s">
        <v>12473</v>
      </c>
    </row>
    <row r="11924" spans="1:2" x14ac:dyDescent="0.2">
      <c r="A11924" s="8" t="s">
        <v>11947</v>
      </c>
      <c r="B11924" s="2" t="s">
        <v>12473</v>
      </c>
    </row>
    <row r="11925" spans="1:2" x14ac:dyDescent="0.2">
      <c r="A11925" s="8" t="s">
        <v>11948</v>
      </c>
      <c r="B11925" s="2" t="s">
        <v>12473</v>
      </c>
    </row>
    <row r="11926" spans="1:2" x14ac:dyDescent="0.2">
      <c r="A11926" s="8" t="s">
        <v>11949</v>
      </c>
      <c r="B11926" s="2" t="s">
        <v>12473</v>
      </c>
    </row>
    <row r="11927" spans="1:2" x14ac:dyDescent="0.2">
      <c r="A11927" s="8" t="s">
        <v>11950</v>
      </c>
      <c r="B11927" s="2" t="s">
        <v>12473</v>
      </c>
    </row>
    <row r="11928" spans="1:2" x14ac:dyDescent="0.2">
      <c r="A11928" s="8" t="s">
        <v>11951</v>
      </c>
      <c r="B11928" s="2" t="s">
        <v>12473</v>
      </c>
    </row>
    <row r="11929" spans="1:2" x14ac:dyDescent="0.2">
      <c r="A11929" s="8" t="s">
        <v>11952</v>
      </c>
      <c r="B11929" s="2" t="s">
        <v>12473</v>
      </c>
    </row>
    <row r="11930" spans="1:2" x14ac:dyDescent="0.2">
      <c r="A11930" s="8" t="s">
        <v>11953</v>
      </c>
      <c r="B11930" s="2" t="s">
        <v>12473</v>
      </c>
    </row>
    <row r="11931" spans="1:2" x14ac:dyDescent="0.2">
      <c r="A11931" s="8" t="s">
        <v>11954</v>
      </c>
      <c r="B11931" s="2" t="s">
        <v>12473</v>
      </c>
    </row>
    <row r="11932" spans="1:2" x14ac:dyDescent="0.2">
      <c r="A11932" s="8" t="s">
        <v>11955</v>
      </c>
      <c r="B11932" s="2" t="s">
        <v>12473</v>
      </c>
    </row>
    <row r="11933" spans="1:2" x14ac:dyDescent="0.2">
      <c r="A11933" s="8" t="s">
        <v>11956</v>
      </c>
      <c r="B11933" s="2" t="s">
        <v>12473</v>
      </c>
    </row>
    <row r="11934" spans="1:2" x14ac:dyDescent="0.2">
      <c r="A11934" s="8" t="s">
        <v>11957</v>
      </c>
      <c r="B11934" s="2" t="s">
        <v>12473</v>
      </c>
    </row>
    <row r="11935" spans="1:2" x14ac:dyDescent="0.2">
      <c r="A11935" s="8" t="s">
        <v>11958</v>
      </c>
      <c r="B11935" s="2" t="s">
        <v>12473</v>
      </c>
    </row>
    <row r="11936" spans="1:2" x14ac:dyDescent="0.2">
      <c r="A11936" s="8" t="s">
        <v>11959</v>
      </c>
      <c r="B11936" s="2" t="s">
        <v>12473</v>
      </c>
    </row>
    <row r="11937" spans="1:2" x14ac:dyDescent="0.2">
      <c r="A11937" s="8" t="s">
        <v>11960</v>
      </c>
      <c r="B11937" s="2" t="s">
        <v>12473</v>
      </c>
    </row>
    <row r="11938" spans="1:2" x14ac:dyDescent="0.2">
      <c r="A11938" s="8" t="s">
        <v>11961</v>
      </c>
      <c r="B11938" s="2" t="s">
        <v>12473</v>
      </c>
    </row>
    <row r="11939" spans="1:2" x14ac:dyDescent="0.2">
      <c r="A11939" s="8" t="s">
        <v>11962</v>
      </c>
      <c r="B11939" s="2" t="s">
        <v>12473</v>
      </c>
    </row>
    <row r="11940" spans="1:2" x14ac:dyDescent="0.2">
      <c r="A11940" s="8" t="s">
        <v>11963</v>
      </c>
      <c r="B11940" s="2" t="s">
        <v>12473</v>
      </c>
    </row>
    <row r="11941" spans="1:2" x14ac:dyDescent="0.2">
      <c r="A11941" s="8" t="s">
        <v>11964</v>
      </c>
      <c r="B11941" s="2" t="s">
        <v>12473</v>
      </c>
    </row>
    <row r="11942" spans="1:2" x14ac:dyDescent="0.2">
      <c r="A11942" s="8" t="s">
        <v>11965</v>
      </c>
      <c r="B11942" s="2" t="s">
        <v>12473</v>
      </c>
    </row>
    <row r="11943" spans="1:2" x14ac:dyDescent="0.2">
      <c r="A11943" s="8" t="s">
        <v>11966</v>
      </c>
      <c r="B11943" s="2" t="s">
        <v>12473</v>
      </c>
    </row>
    <row r="11944" spans="1:2" x14ac:dyDescent="0.2">
      <c r="A11944" s="8" t="s">
        <v>11967</v>
      </c>
      <c r="B11944" s="2" t="s">
        <v>12473</v>
      </c>
    </row>
    <row r="11945" spans="1:2" x14ac:dyDescent="0.2">
      <c r="A11945" s="8" t="s">
        <v>11968</v>
      </c>
      <c r="B11945" s="2" t="s">
        <v>12473</v>
      </c>
    </row>
    <row r="11946" spans="1:2" x14ac:dyDescent="0.2">
      <c r="A11946" s="8" t="s">
        <v>11969</v>
      </c>
      <c r="B11946" s="2" t="s">
        <v>12473</v>
      </c>
    </row>
    <row r="11947" spans="1:2" x14ac:dyDescent="0.2">
      <c r="A11947" s="8" t="s">
        <v>11970</v>
      </c>
      <c r="B11947" s="2" t="s">
        <v>12473</v>
      </c>
    </row>
    <row r="11948" spans="1:2" x14ac:dyDescent="0.2">
      <c r="A11948" s="8" t="s">
        <v>11971</v>
      </c>
      <c r="B11948" s="2" t="s">
        <v>12473</v>
      </c>
    </row>
    <row r="11949" spans="1:2" x14ac:dyDescent="0.2">
      <c r="A11949" s="8" t="s">
        <v>11972</v>
      </c>
      <c r="B11949" s="2" t="s">
        <v>12473</v>
      </c>
    </row>
    <row r="11950" spans="1:2" x14ac:dyDescent="0.2">
      <c r="A11950" s="8" t="s">
        <v>11973</v>
      </c>
      <c r="B11950" s="2" t="s">
        <v>12473</v>
      </c>
    </row>
    <row r="11951" spans="1:2" x14ac:dyDescent="0.2">
      <c r="A11951" s="8" t="s">
        <v>11974</v>
      </c>
      <c r="B11951" s="2" t="s">
        <v>12473</v>
      </c>
    </row>
    <row r="11952" spans="1:2" x14ac:dyDescent="0.2">
      <c r="A11952" s="8" t="s">
        <v>11975</v>
      </c>
      <c r="B11952" s="2" t="s">
        <v>12473</v>
      </c>
    </row>
    <row r="11953" spans="1:2" x14ac:dyDescent="0.2">
      <c r="A11953" s="8" t="s">
        <v>11976</v>
      </c>
      <c r="B11953" s="2" t="s">
        <v>12473</v>
      </c>
    </row>
    <row r="11954" spans="1:2" x14ac:dyDescent="0.2">
      <c r="A11954" s="8" t="s">
        <v>11977</v>
      </c>
      <c r="B11954" s="2" t="s">
        <v>12473</v>
      </c>
    </row>
    <row r="11955" spans="1:2" x14ac:dyDescent="0.2">
      <c r="A11955" s="8" t="s">
        <v>11978</v>
      </c>
      <c r="B11955" s="2" t="s">
        <v>12473</v>
      </c>
    </row>
    <row r="11956" spans="1:2" x14ac:dyDescent="0.2">
      <c r="A11956" s="8" t="s">
        <v>11979</v>
      </c>
      <c r="B11956" s="2" t="s">
        <v>12473</v>
      </c>
    </row>
    <row r="11957" spans="1:2" x14ac:dyDescent="0.2">
      <c r="A11957" s="8" t="s">
        <v>11980</v>
      </c>
      <c r="B11957" s="2" t="s">
        <v>12473</v>
      </c>
    </row>
    <row r="11958" spans="1:2" x14ac:dyDescent="0.2">
      <c r="A11958" s="8" t="s">
        <v>11981</v>
      </c>
      <c r="B11958" s="2" t="s">
        <v>12473</v>
      </c>
    </row>
    <row r="11959" spans="1:2" x14ac:dyDescent="0.2">
      <c r="A11959" s="8" t="s">
        <v>11982</v>
      </c>
      <c r="B11959" s="2" t="s">
        <v>12473</v>
      </c>
    </row>
    <row r="11960" spans="1:2" x14ac:dyDescent="0.2">
      <c r="A11960" s="8" t="s">
        <v>11983</v>
      </c>
      <c r="B11960" s="2" t="s">
        <v>12473</v>
      </c>
    </row>
    <row r="11961" spans="1:2" x14ac:dyDescent="0.2">
      <c r="A11961" s="8" t="s">
        <v>11984</v>
      </c>
      <c r="B11961" s="2" t="s">
        <v>12473</v>
      </c>
    </row>
    <row r="11962" spans="1:2" x14ac:dyDescent="0.2">
      <c r="A11962" s="8" t="s">
        <v>11985</v>
      </c>
      <c r="B11962" s="2" t="s">
        <v>12473</v>
      </c>
    </row>
    <row r="11963" spans="1:2" x14ac:dyDescent="0.2">
      <c r="A11963" s="8" t="s">
        <v>11986</v>
      </c>
      <c r="B11963" s="2" t="s">
        <v>12473</v>
      </c>
    </row>
    <row r="11964" spans="1:2" x14ac:dyDescent="0.2">
      <c r="A11964" s="8" t="s">
        <v>11987</v>
      </c>
      <c r="B11964" s="2" t="s">
        <v>12473</v>
      </c>
    </row>
    <row r="11965" spans="1:2" x14ac:dyDescent="0.2">
      <c r="A11965" s="8" t="s">
        <v>11988</v>
      </c>
      <c r="B11965" s="2" t="s">
        <v>12473</v>
      </c>
    </row>
    <row r="11966" spans="1:2" x14ac:dyDescent="0.2">
      <c r="A11966" s="8" t="s">
        <v>11989</v>
      </c>
      <c r="B11966" s="2" t="s">
        <v>12473</v>
      </c>
    </row>
    <row r="11967" spans="1:2" x14ac:dyDescent="0.2">
      <c r="A11967" s="8" t="s">
        <v>11990</v>
      </c>
      <c r="B11967" s="2" t="s">
        <v>12473</v>
      </c>
    </row>
    <row r="11968" spans="1:2" x14ac:dyDescent="0.2">
      <c r="A11968" s="8" t="s">
        <v>11991</v>
      </c>
      <c r="B11968" s="2" t="s">
        <v>12473</v>
      </c>
    </row>
    <row r="11969" spans="1:2" x14ac:dyDescent="0.2">
      <c r="A11969" s="8" t="s">
        <v>11992</v>
      </c>
      <c r="B11969" s="2" t="s">
        <v>12473</v>
      </c>
    </row>
    <row r="11970" spans="1:2" x14ac:dyDescent="0.2">
      <c r="A11970" s="8" t="s">
        <v>11993</v>
      </c>
      <c r="B11970" s="2" t="s">
        <v>12473</v>
      </c>
    </row>
    <row r="11971" spans="1:2" x14ac:dyDescent="0.2">
      <c r="A11971" s="8" t="s">
        <v>11994</v>
      </c>
      <c r="B11971" s="2" t="s">
        <v>12473</v>
      </c>
    </row>
    <row r="11972" spans="1:2" x14ac:dyDescent="0.2">
      <c r="A11972" s="8" t="s">
        <v>11995</v>
      </c>
      <c r="B11972" s="2" t="s">
        <v>12473</v>
      </c>
    </row>
    <row r="11973" spans="1:2" x14ac:dyDescent="0.2">
      <c r="A11973" s="8" t="s">
        <v>11996</v>
      </c>
      <c r="B11973" s="2" t="s">
        <v>12473</v>
      </c>
    </row>
    <row r="11974" spans="1:2" x14ac:dyDescent="0.2">
      <c r="A11974" s="8" t="s">
        <v>11997</v>
      </c>
      <c r="B11974" s="2" t="s">
        <v>12473</v>
      </c>
    </row>
    <row r="11975" spans="1:2" x14ac:dyDescent="0.2">
      <c r="A11975" s="8" t="s">
        <v>11998</v>
      </c>
      <c r="B11975" s="2" t="s">
        <v>12473</v>
      </c>
    </row>
    <row r="11976" spans="1:2" x14ac:dyDescent="0.2">
      <c r="A11976" s="8" t="s">
        <v>11999</v>
      </c>
      <c r="B11976" s="2" t="s">
        <v>12473</v>
      </c>
    </row>
    <row r="11977" spans="1:2" x14ac:dyDescent="0.2">
      <c r="A11977" s="8" t="s">
        <v>12000</v>
      </c>
      <c r="B11977" s="2" t="s">
        <v>12473</v>
      </c>
    </row>
    <row r="11978" spans="1:2" x14ac:dyDescent="0.2">
      <c r="A11978" s="8" t="s">
        <v>12001</v>
      </c>
      <c r="B11978" s="2" t="s">
        <v>12473</v>
      </c>
    </row>
    <row r="11979" spans="1:2" x14ac:dyDescent="0.2">
      <c r="A11979" s="8" t="s">
        <v>12002</v>
      </c>
      <c r="B11979" s="2" t="s">
        <v>12473</v>
      </c>
    </row>
    <row r="11980" spans="1:2" x14ac:dyDescent="0.2">
      <c r="A11980" s="8" t="s">
        <v>12003</v>
      </c>
      <c r="B11980" s="2" t="s">
        <v>12473</v>
      </c>
    </row>
    <row r="11981" spans="1:2" x14ac:dyDescent="0.2">
      <c r="A11981" s="8" t="s">
        <v>12004</v>
      </c>
      <c r="B11981" s="2" t="s">
        <v>12473</v>
      </c>
    </row>
    <row r="11982" spans="1:2" x14ac:dyDescent="0.2">
      <c r="A11982" s="8" t="s">
        <v>12005</v>
      </c>
      <c r="B11982" s="2" t="s">
        <v>12473</v>
      </c>
    </row>
    <row r="11983" spans="1:2" x14ac:dyDescent="0.2">
      <c r="A11983" s="8" t="s">
        <v>12006</v>
      </c>
      <c r="B11983" s="2" t="s">
        <v>12473</v>
      </c>
    </row>
    <row r="11984" spans="1:2" x14ac:dyDescent="0.2">
      <c r="A11984" s="8" t="s">
        <v>12007</v>
      </c>
      <c r="B11984" s="2" t="s">
        <v>12473</v>
      </c>
    </row>
    <row r="11985" spans="1:2" x14ac:dyDescent="0.2">
      <c r="A11985" s="8" t="s">
        <v>12008</v>
      </c>
      <c r="B11985" s="2" t="s">
        <v>12473</v>
      </c>
    </row>
    <row r="11986" spans="1:2" x14ac:dyDescent="0.2">
      <c r="A11986" s="8" t="s">
        <v>12009</v>
      </c>
      <c r="B11986" s="2" t="s">
        <v>12473</v>
      </c>
    </row>
    <row r="11987" spans="1:2" x14ac:dyDescent="0.2">
      <c r="A11987" s="8" t="s">
        <v>12010</v>
      </c>
      <c r="B11987" s="2" t="s">
        <v>12473</v>
      </c>
    </row>
    <row r="11988" spans="1:2" x14ac:dyDescent="0.2">
      <c r="A11988" s="8" t="s">
        <v>12011</v>
      </c>
      <c r="B11988" s="2" t="s">
        <v>12473</v>
      </c>
    </row>
    <row r="11989" spans="1:2" x14ac:dyDescent="0.2">
      <c r="A11989" s="8" t="s">
        <v>12012</v>
      </c>
      <c r="B11989" s="2" t="s">
        <v>12473</v>
      </c>
    </row>
    <row r="11990" spans="1:2" x14ac:dyDescent="0.2">
      <c r="A11990" s="8" t="s">
        <v>12013</v>
      </c>
      <c r="B11990" s="2" t="s">
        <v>12473</v>
      </c>
    </row>
    <row r="11991" spans="1:2" x14ac:dyDescent="0.2">
      <c r="A11991" s="8" t="s">
        <v>12014</v>
      </c>
      <c r="B11991" s="2" t="s">
        <v>12473</v>
      </c>
    </row>
    <row r="11992" spans="1:2" x14ac:dyDescent="0.2">
      <c r="A11992" s="8" t="s">
        <v>12015</v>
      </c>
      <c r="B11992" s="2" t="s">
        <v>12473</v>
      </c>
    </row>
    <row r="11993" spans="1:2" x14ac:dyDescent="0.2">
      <c r="A11993" s="8" t="s">
        <v>12016</v>
      </c>
      <c r="B11993" s="2" t="s">
        <v>12473</v>
      </c>
    </row>
    <row r="11994" spans="1:2" x14ac:dyDescent="0.2">
      <c r="A11994" s="8" t="s">
        <v>12017</v>
      </c>
      <c r="B11994" s="2" t="s">
        <v>12473</v>
      </c>
    </row>
    <row r="11995" spans="1:2" x14ac:dyDescent="0.2">
      <c r="A11995" s="8" t="s">
        <v>12018</v>
      </c>
      <c r="B11995" s="2" t="s">
        <v>12473</v>
      </c>
    </row>
    <row r="11996" spans="1:2" x14ac:dyDescent="0.2">
      <c r="A11996" s="8" t="s">
        <v>12019</v>
      </c>
      <c r="B11996" s="2" t="s">
        <v>12473</v>
      </c>
    </row>
    <row r="11997" spans="1:2" x14ac:dyDescent="0.2">
      <c r="A11997" s="8" t="s">
        <v>12020</v>
      </c>
      <c r="B11997" s="2" t="s">
        <v>12473</v>
      </c>
    </row>
    <row r="11998" spans="1:2" x14ac:dyDescent="0.2">
      <c r="A11998" s="8" t="s">
        <v>12021</v>
      </c>
      <c r="B11998" s="2" t="s">
        <v>12473</v>
      </c>
    </row>
    <row r="11999" spans="1:2" x14ac:dyDescent="0.2">
      <c r="A11999" s="8" t="s">
        <v>12022</v>
      </c>
      <c r="B11999" s="2" t="s">
        <v>12473</v>
      </c>
    </row>
    <row r="12000" spans="1:2" x14ac:dyDescent="0.2">
      <c r="A12000" s="8" t="s">
        <v>12023</v>
      </c>
      <c r="B12000" s="2" t="s">
        <v>12473</v>
      </c>
    </row>
    <row r="12001" spans="1:2" x14ac:dyDescent="0.2">
      <c r="A12001" s="8" t="s">
        <v>12024</v>
      </c>
      <c r="B12001" s="2" t="s">
        <v>12473</v>
      </c>
    </row>
    <row r="12002" spans="1:2" x14ac:dyDescent="0.2">
      <c r="A12002" s="8" t="s">
        <v>12025</v>
      </c>
      <c r="B12002" s="2" t="s">
        <v>12473</v>
      </c>
    </row>
    <row r="12003" spans="1:2" x14ac:dyDescent="0.2">
      <c r="A12003" s="8" t="s">
        <v>12026</v>
      </c>
      <c r="B12003" s="2" t="s">
        <v>12473</v>
      </c>
    </row>
    <row r="12004" spans="1:2" x14ac:dyDescent="0.2">
      <c r="A12004" s="8" t="s">
        <v>12027</v>
      </c>
      <c r="B12004" s="2" t="s">
        <v>12473</v>
      </c>
    </row>
    <row r="12005" spans="1:2" x14ac:dyDescent="0.2">
      <c r="A12005" s="8" t="s">
        <v>12028</v>
      </c>
      <c r="B12005" s="2" t="s">
        <v>12473</v>
      </c>
    </row>
    <row r="12006" spans="1:2" x14ac:dyDescent="0.2">
      <c r="A12006" s="8" t="s">
        <v>12029</v>
      </c>
      <c r="B12006" s="2" t="s">
        <v>12473</v>
      </c>
    </row>
    <row r="12007" spans="1:2" x14ac:dyDescent="0.2">
      <c r="A12007" s="8" t="s">
        <v>12030</v>
      </c>
      <c r="B12007" s="2" t="s">
        <v>12473</v>
      </c>
    </row>
    <row r="12008" spans="1:2" x14ac:dyDescent="0.2">
      <c r="A12008" s="8" t="s">
        <v>12031</v>
      </c>
      <c r="B12008" s="2" t="s">
        <v>12473</v>
      </c>
    </row>
    <row r="12009" spans="1:2" x14ac:dyDescent="0.2">
      <c r="A12009" s="8" t="s">
        <v>12032</v>
      </c>
      <c r="B12009" s="2" t="s">
        <v>12473</v>
      </c>
    </row>
    <row r="12010" spans="1:2" x14ac:dyDescent="0.2">
      <c r="A12010" s="8" t="s">
        <v>12033</v>
      </c>
      <c r="B12010" s="2" t="s">
        <v>12473</v>
      </c>
    </row>
    <row r="12011" spans="1:2" x14ac:dyDescent="0.2">
      <c r="A12011" s="8" t="s">
        <v>12034</v>
      </c>
      <c r="B12011" s="2" t="s">
        <v>12473</v>
      </c>
    </row>
    <row r="12012" spans="1:2" x14ac:dyDescent="0.2">
      <c r="A12012" s="8" t="s">
        <v>12035</v>
      </c>
      <c r="B12012" s="2" t="s">
        <v>12473</v>
      </c>
    </row>
    <row r="12013" spans="1:2" x14ac:dyDescent="0.2">
      <c r="A12013" s="8" t="s">
        <v>12036</v>
      </c>
      <c r="B12013" s="2" t="s">
        <v>12473</v>
      </c>
    </row>
    <row r="12014" spans="1:2" x14ac:dyDescent="0.2">
      <c r="A12014" s="8" t="s">
        <v>12037</v>
      </c>
      <c r="B12014" s="2" t="s">
        <v>12473</v>
      </c>
    </row>
    <row r="12015" spans="1:2" x14ac:dyDescent="0.2">
      <c r="A12015" s="8" t="s">
        <v>12038</v>
      </c>
      <c r="B12015" s="2" t="s">
        <v>12473</v>
      </c>
    </row>
    <row r="12016" spans="1:2" x14ac:dyDescent="0.2">
      <c r="A12016" s="8" t="s">
        <v>12039</v>
      </c>
      <c r="B12016" s="2" t="s">
        <v>12473</v>
      </c>
    </row>
    <row r="12017" spans="1:2" x14ac:dyDescent="0.2">
      <c r="A12017" s="8" t="s">
        <v>12040</v>
      </c>
      <c r="B12017" s="2" t="s">
        <v>12473</v>
      </c>
    </row>
    <row r="12018" spans="1:2" x14ac:dyDescent="0.2">
      <c r="A12018" s="8" t="s">
        <v>12041</v>
      </c>
      <c r="B12018" s="2" t="s">
        <v>12473</v>
      </c>
    </row>
    <row r="12019" spans="1:2" x14ac:dyDescent="0.2">
      <c r="A12019" s="8" t="s">
        <v>12042</v>
      </c>
      <c r="B12019" s="2" t="s">
        <v>12473</v>
      </c>
    </row>
    <row r="12020" spans="1:2" x14ac:dyDescent="0.2">
      <c r="A12020" s="8" t="s">
        <v>12043</v>
      </c>
      <c r="B12020" s="2" t="s">
        <v>12473</v>
      </c>
    </row>
    <row r="12021" spans="1:2" x14ac:dyDescent="0.2">
      <c r="A12021" s="8" t="s">
        <v>12044</v>
      </c>
      <c r="B12021" s="2" t="s">
        <v>12473</v>
      </c>
    </row>
    <row r="12022" spans="1:2" x14ac:dyDescent="0.2">
      <c r="A12022" s="8" t="s">
        <v>12045</v>
      </c>
      <c r="B12022" s="2" t="s">
        <v>12473</v>
      </c>
    </row>
    <row r="12023" spans="1:2" x14ac:dyDescent="0.2">
      <c r="A12023" s="8" t="s">
        <v>12046</v>
      </c>
      <c r="B12023" s="2" t="s">
        <v>12473</v>
      </c>
    </row>
    <row r="12024" spans="1:2" x14ac:dyDescent="0.2">
      <c r="A12024" s="8" t="s">
        <v>12047</v>
      </c>
      <c r="B12024" s="2" t="s">
        <v>12473</v>
      </c>
    </row>
    <row r="12025" spans="1:2" x14ac:dyDescent="0.2">
      <c r="A12025" s="8" t="s">
        <v>12048</v>
      </c>
      <c r="B12025" s="2" t="s">
        <v>12473</v>
      </c>
    </row>
    <row r="12026" spans="1:2" x14ac:dyDescent="0.2">
      <c r="A12026" s="8" t="s">
        <v>12049</v>
      </c>
      <c r="B12026" s="2" t="s">
        <v>12473</v>
      </c>
    </row>
    <row r="12027" spans="1:2" x14ac:dyDescent="0.2">
      <c r="A12027" s="8" t="s">
        <v>12050</v>
      </c>
      <c r="B12027" s="2" t="s">
        <v>12473</v>
      </c>
    </row>
    <row r="12028" spans="1:2" x14ac:dyDescent="0.2">
      <c r="A12028" s="8" t="s">
        <v>12051</v>
      </c>
      <c r="B12028" s="2" t="s">
        <v>12473</v>
      </c>
    </row>
    <row r="12029" spans="1:2" x14ac:dyDescent="0.2">
      <c r="A12029" s="8" t="s">
        <v>12052</v>
      </c>
      <c r="B12029" s="2" t="s">
        <v>12473</v>
      </c>
    </row>
    <row r="12030" spans="1:2" x14ac:dyDescent="0.2">
      <c r="A12030" s="8" t="s">
        <v>12053</v>
      </c>
      <c r="B12030" s="2" t="s">
        <v>12473</v>
      </c>
    </row>
    <row r="12031" spans="1:2" x14ac:dyDescent="0.2">
      <c r="A12031" s="8" t="s">
        <v>12054</v>
      </c>
      <c r="B12031" s="2" t="s">
        <v>12473</v>
      </c>
    </row>
    <row r="12032" spans="1:2" x14ac:dyDescent="0.2">
      <c r="A12032" s="8" t="s">
        <v>12055</v>
      </c>
      <c r="B12032" s="2" t="s">
        <v>12473</v>
      </c>
    </row>
    <row r="12033" spans="1:2" x14ac:dyDescent="0.2">
      <c r="A12033" s="8" t="s">
        <v>12056</v>
      </c>
      <c r="B12033" s="2" t="s">
        <v>12473</v>
      </c>
    </row>
    <row r="12034" spans="1:2" x14ac:dyDescent="0.2">
      <c r="A12034" s="8" t="s">
        <v>12057</v>
      </c>
      <c r="B12034" s="2" t="s">
        <v>12473</v>
      </c>
    </row>
    <row r="12035" spans="1:2" x14ac:dyDescent="0.2">
      <c r="A12035" s="8" t="s">
        <v>12058</v>
      </c>
      <c r="B12035" s="2" t="s">
        <v>12473</v>
      </c>
    </row>
    <row r="12036" spans="1:2" x14ac:dyDescent="0.2">
      <c r="A12036" s="8" t="s">
        <v>12059</v>
      </c>
      <c r="B12036" s="2" t="s">
        <v>12473</v>
      </c>
    </row>
    <row r="12037" spans="1:2" x14ac:dyDescent="0.2">
      <c r="A12037" s="8" t="s">
        <v>12060</v>
      </c>
      <c r="B12037" s="2" t="s">
        <v>12473</v>
      </c>
    </row>
    <row r="12038" spans="1:2" x14ac:dyDescent="0.2">
      <c r="A12038" s="8" t="s">
        <v>12061</v>
      </c>
      <c r="B12038" s="2" t="s">
        <v>12473</v>
      </c>
    </row>
    <row r="12039" spans="1:2" x14ac:dyDescent="0.2">
      <c r="A12039" s="8" t="s">
        <v>12062</v>
      </c>
      <c r="B12039" s="2" t="s">
        <v>12473</v>
      </c>
    </row>
    <row r="12040" spans="1:2" x14ac:dyDescent="0.2">
      <c r="A12040" s="8" t="s">
        <v>12063</v>
      </c>
      <c r="B12040" s="2" t="s">
        <v>12473</v>
      </c>
    </row>
    <row r="12041" spans="1:2" x14ac:dyDescent="0.2">
      <c r="A12041" s="8" t="s">
        <v>12064</v>
      </c>
      <c r="B12041" s="2" t="s">
        <v>12473</v>
      </c>
    </row>
    <row r="12042" spans="1:2" x14ac:dyDescent="0.2">
      <c r="A12042" s="8" t="s">
        <v>12065</v>
      </c>
      <c r="B12042" s="2" t="s">
        <v>12473</v>
      </c>
    </row>
    <row r="12043" spans="1:2" x14ac:dyDescent="0.2">
      <c r="A12043" s="8" t="s">
        <v>12066</v>
      </c>
      <c r="B12043" s="2" t="s">
        <v>12473</v>
      </c>
    </row>
    <row r="12044" spans="1:2" x14ac:dyDescent="0.2">
      <c r="A12044" s="8" t="s">
        <v>12067</v>
      </c>
      <c r="B12044" s="2" t="s">
        <v>12473</v>
      </c>
    </row>
    <row r="12045" spans="1:2" x14ac:dyDescent="0.2">
      <c r="A12045" s="8" t="s">
        <v>12068</v>
      </c>
      <c r="B12045" s="2" t="s">
        <v>12473</v>
      </c>
    </row>
    <row r="12046" spans="1:2" x14ac:dyDescent="0.2">
      <c r="A12046" s="8" t="s">
        <v>12069</v>
      </c>
      <c r="B12046" s="2" t="s">
        <v>12473</v>
      </c>
    </row>
    <row r="12047" spans="1:2" x14ac:dyDescent="0.2">
      <c r="A12047" s="8" t="s">
        <v>12070</v>
      </c>
      <c r="B12047" s="2" t="s">
        <v>12473</v>
      </c>
    </row>
    <row r="12048" spans="1:2" x14ac:dyDescent="0.2">
      <c r="A12048" s="8" t="s">
        <v>12071</v>
      </c>
      <c r="B12048" s="2" t="s">
        <v>12473</v>
      </c>
    </row>
    <row r="12049" spans="1:2" x14ac:dyDescent="0.2">
      <c r="A12049" s="8" t="s">
        <v>12072</v>
      </c>
      <c r="B12049" s="2" t="s">
        <v>12473</v>
      </c>
    </row>
    <row r="12050" spans="1:2" x14ac:dyDescent="0.2">
      <c r="A12050" s="8" t="s">
        <v>12073</v>
      </c>
      <c r="B12050" s="2" t="s">
        <v>12473</v>
      </c>
    </row>
    <row r="12051" spans="1:2" x14ac:dyDescent="0.2">
      <c r="A12051" s="8" t="s">
        <v>12074</v>
      </c>
      <c r="B12051" s="2" t="s">
        <v>12473</v>
      </c>
    </row>
    <row r="12052" spans="1:2" x14ac:dyDescent="0.2">
      <c r="A12052" s="8" t="s">
        <v>12075</v>
      </c>
      <c r="B12052" s="2" t="s">
        <v>12473</v>
      </c>
    </row>
    <row r="12053" spans="1:2" x14ac:dyDescent="0.2">
      <c r="A12053" s="8" t="s">
        <v>12076</v>
      </c>
      <c r="B12053" s="2" t="s">
        <v>12473</v>
      </c>
    </row>
    <row r="12054" spans="1:2" x14ac:dyDescent="0.2">
      <c r="A12054" s="8" t="s">
        <v>12077</v>
      </c>
      <c r="B12054" s="2" t="s">
        <v>12473</v>
      </c>
    </row>
    <row r="12055" spans="1:2" x14ac:dyDescent="0.2">
      <c r="A12055" s="8" t="s">
        <v>12078</v>
      </c>
      <c r="B12055" s="2" t="s">
        <v>12473</v>
      </c>
    </row>
    <row r="12056" spans="1:2" x14ac:dyDescent="0.2">
      <c r="A12056" s="8" t="s">
        <v>12079</v>
      </c>
      <c r="B12056" s="2" t="s">
        <v>12473</v>
      </c>
    </row>
    <row r="12057" spans="1:2" x14ac:dyDescent="0.2">
      <c r="A12057" s="8" t="s">
        <v>12080</v>
      </c>
      <c r="B12057" s="2" t="s">
        <v>12473</v>
      </c>
    </row>
    <row r="12058" spans="1:2" x14ac:dyDescent="0.2">
      <c r="A12058" s="8" t="s">
        <v>12081</v>
      </c>
      <c r="B12058" s="2" t="s">
        <v>12473</v>
      </c>
    </row>
    <row r="12059" spans="1:2" x14ac:dyDescent="0.2">
      <c r="A12059" s="8" t="s">
        <v>12082</v>
      </c>
      <c r="B12059" s="2" t="s">
        <v>12473</v>
      </c>
    </row>
    <row r="12060" spans="1:2" x14ac:dyDescent="0.2">
      <c r="A12060" s="8" t="s">
        <v>12083</v>
      </c>
      <c r="B12060" s="2" t="s">
        <v>12473</v>
      </c>
    </row>
    <row r="12061" spans="1:2" x14ac:dyDescent="0.2">
      <c r="A12061" s="8" t="s">
        <v>12084</v>
      </c>
      <c r="B12061" s="2" t="s">
        <v>12473</v>
      </c>
    </row>
    <row r="12062" spans="1:2" x14ac:dyDescent="0.2">
      <c r="A12062" s="8" t="s">
        <v>12085</v>
      </c>
      <c r="B12062" s="2" t="s">
        <v>12473</v>
      </c>
    </row>
    <row r="12063" spans="1:2" x14ac:dyDescent="0.2">
      <c r="A12063" s="8" t="s">
        <v>12086</v>
      </c>
      <c r="B12063" s="2" t="s">
        <v>12473</v>
      </c>
    </row>
    <row r="12064" spans="1:2" x14ac:dyDescent="0.2">
      <c r="A12064" s="8" t="s">
        <v>12087</v>
      </c>
      <c r="B12064" s="2" t="s">
        <v>12473</v>
      </c>
    </row>
    <row r="12065" spans="1:2" x14ac:dyDescent="0.2">
      <c r="A12065" s="8" t="s">
        <v>12088</v>
      </c>
      <c r="B12065" s="2" t="s">
        <v>12473</v>
      </c>
    </row>
    <row r="12066" spans="1:2" x14ac:dyDescent="0.2">
      <c r="A12066" s="8" t="s">
        <v>12089</v>
      </c>
      <c r="B12066" s="2" t="s">
        <v>12473</v>
      </c>
    </row>
    <row r="12067" spans="1:2" x14ac:dyDescent="0.2">
      <c r="A12067" s="8" t="s">
        <v>12090</v>
      </c>
      <c r="B12067" s="2" t="s">
        <v>12473</v>
      </c>
    </row>
    <row r="12068" spans="1:2" x14ac:dyDescent="0.2">
      <c r="A12068" s="8" t="s">
        <v>12091</v>
      </c>
      <c r="B12068" s="2" t="s">
        <v>12473</v>
      </c>
    </row>
    <row r="12069" spans="1:2" x14ac:dyDescent="0.2">
      <c r="A12069" s="8" t="s">
        <v>12092</v>
      </c>
      <c r="B12069" s="2" t="s">
        <v>12473</v>
      </c>
    </row>
    <row r="12070" spans="1:2" x14ac:dyDescent="0.2">
      <c r="A12070" s="8" t="s">
        <v>12093</v>
      </c>
      <c r="B12070" s="2" t="s">
        <v>12473</v>
      </c>
    </row>
    <row r="12071" spans="1:2" x14ac:dyDescent="0.2">
      <c r="A12071" s="8" t="s">
        <v>12094</v>
      </c>
      <c r="B12071" s="2" t="s">
        <v>12473</v>
      </c>
    </row>
    <row r="12072" spans="1:2" x14ac:dyDescent="0.2">
      <c r="A12072" s="8" t="s">
        <v>12095</v>
      </c>
      <c r="B12072" s="2" t="s">
        <v>12473</v>
      </c>
    </row>
    <row r="12073" spans="1:2" x14ac:dyDescent="0.2">
      <c r="A12073" s="8" t="s">
        <v>12096</v>
      </c>
      <c r="B12073" s="2" t="s">
        <v>12473</v>
      </c>
    </row>
    <row r="12074" spans="1:2" x14ac:dyDescent="0.2">
      <c r="A12074" s="8" t="s">
        <v>12097</v>
      </c>
      <c r="B12074" s="2" t="s">
        <v>12473</v>
      </c>
    </row>
    <row r="12075" spans="1:2" x14ac:dyDescent="0.2">
      <c r="A12075" s="8" t="s">
        <v>12098</v>
      </c>
      <c r="B12075" s="2" t="s">
        <v>12473</v>
      </c>
    </row>
    <row r="12076" spans="1:2" x14ac:dyDescent="0.2">
      <c r="A12076" s="8" t="s">
        <v>12099</v>
      </c>
      <c r="B12076" s="2" t="s">
        <v>12473</v>
      </c>
    </row>
    <row r="12077" spans="1:2" x14ac:dyDescent="0.2">
      <c r="A12077" s="8" t="s">
        <v>12100</v>
      </c>
      <c r="B12077" s="2" t="s">
        <v>12473</v>
      </c>
    </row>
    <row r="12078" spans="1:2" x14ac:dyDescent="0.2">
      <c r="A12078" s="8" t="s">
        <v>12101</v>
      </c>
      <c r="B12078" s="2" t="s">
        <v>12473</v>
      </c>
    </row>
    <row r="12079" spans="1:2" x14ac:dyDescent="0.2">
      <c r="A12079" s="8" t="s">
        <v>12102</v>
      </c>
      <c r="B12079" s="2" t="s">
        <v>12473</v>
      </c>
    </row>
    <row r="12080" spans="1:2" x14ac:dyDescent="0.2">
      <c r="A12080" s="8" t="s">
        <v>12103</v>
      </c>
      <c r="B12080" s="2" t="s">
        <v>12473</v>
      </c>
    </row>
    <row r="12081" spans="1:2" x14ac:dyDescent="0.2">
      <c r="A12081" s="8" t="s">
        <v>12104</v>
      </c>
      <c r="B12081" s="2" t="s">
        <v>12473</v>
      </c>
    </row>
    <row r="12082" spans="1:2" x14ac:dyDescent="0.2">
      <c r="A12082" s="8" t="s">
        <v>12105</v>
      </c>
      <c r="B12082" s="2" t="s">
        <v>12473</v>
      </c>
    </row>
    <row r="12083" spans="1:2" x14ac:dyDescent="0.2">
      <c r="A12083" s="8" t="s">
        <v>12106</v>
      </c>
      <c r="B12083" s="2" t="s">
        <v>12473</v>
      </c>
    </row>
    <row r="12084" spans="1:2" x14ac:dyDescent="0.2">
      <c r="A12084" s="8" t="s">
        <v>12107</v>
      </c>
      <c r="B12084" s="2" t="s">
        <v>12473</v>
      </c>
    </row>
    <row r="12085" spans="1:2" x14ac:dyDescent="0.2">
      <c r="A12085" s="8" t="s">
        <v>12108</v>
      </c>
      <c r="B12085" s="2" t="s">
        <v>12473</v>
      </c>
    </row>
    <row r="12086" spans="1:2" x14ac:dyDescent="0.2">
      <c r="A12086" s="8" t="s">
        <v>12109</v>
      </c>
      <c r="B12086" s="2" t="s">
        <v>12473</v>
      </c>
    </row>
    <row r="12087" spans="1:2" x14ac:dyDescent="0.2">
      <c r="A12087" s="8" t="s">
        <v>12110</v>
      </c>
      <c r="B12087" s="2" t="s">
        <v>12473</v>
      </c>
    </row>
    <row r="12088" spans="1:2" x14ac:dyDescent="0.2">
      <c r="A12088" s="8" t="s">
        <v>12111</v>
      </c>
      <c r="B12088" s="2" t="s">
        <v>12473</v>
      </c>
    </row>
    <row r="12089" spans="1:2" x14ac:dyDescent="0.2">
      <c r="A12089" s="8" t="s">
        <v>12112</v>
      </c>
      <c r="B12089" s="2" t="s">
        <v>12473</v>
      </c>
    </row>
    <row r="12090" spans="1:2" x14ac:dyDescent="0.2">
      <c r="A12090" s="8" t="s">
        <v>12113</v>
      </c>
      <c r="B12090" s="2" t="s">
        <v>12473</v>
      </c>
    </row>
    <row r="12091" spans="1:2" x14ac:dyDescent="0.2">
      <c r="A12091" s="8" t="s">
        <v>12114</v>
      </c>
      <c r="B12091" s="2" t="s">
        <v>12473</v>
      </c>
    </row>
    <row r="12092" spans="1:2" x14ac:dyDescent="0.2">
      <c r="A12092" s="8" t="s">
        <v>12115</v>
      </c>
      <c r="B12092" s="2" t="s">
        <v>12473</v>
      </c>
    </row>
    <row r="12093" spans="1:2" x14ac:dyDescent="0.2">
      <c r="A12093" s="8" t="s">
        <v>12116</v>
      </c>
      <c r="B12093" s="2" t="s">
        <v>12473</v>
      </c>
    </row>
    <row r="12094" spans="1:2" x14ac:dyDescent="0.2">
      <c r="A12094" s="8" t="s">
        <v>12117</v>
      </c>
      <c r="B12094" s="2" t="s">
        <v>12473</v>
      </c>
    </row>
    <row r="12095" spans="1:2" x14ac:dyDescent="0.2">
      <c r="A12095" s="8" t="s">
        <v>12118</v>
      </c>
      <c r="B12095" s="2" t="s">
        <v>12473</v>
      </c>
    </row>
    <row r="12096" spans="1:2" x14ac:dyDescent="0.2">
      <c r="A12096" s="8" t="s">
        <v>12119</v>
      </c>
      <c r="B12096" s="2" t="s">
        <v>12473</v>
      </c>
    </row>
    <row r="12097" spans="1:2" x14ac:dyDescent="0.2">
      <c r="A12097" s="8" t="s">
        <v>12120</v>
      </c>
      <c r="B12097" s="2" t="s">
        <v>12473</v>
      </c>
    </row>
    <row r="12098" spans="1:2" x14ac:dyDescent="0.2">
      <c r="A12098" s="8" t="s">
        <v>12121</v>
      </c>
      <c r="B12098" s="2" t="s">
        <v>12473</v>
      </c>
    </row>
    <row r="12099" spans="1:2" x14ac:dyDescent="0.2">
      <c r="A12099" s="8" t="s">
        <v>12122</v>
      </c>
      <c r="B12099" s="2" t="s">
        <v>12473</v>
      </c>
    </row>
    <row r="12100" spans="1:2" x14ac:dyDescent="0.2">
      <c r="A12100" s="8" t="s">
        <v>12123</v>
      </c>
      <c r="B12100" s="2" t="s">
        <v>12473</v>
      </c>
    </row>
    <row r="12101" spans="1:2" x14ac:dyDescent="0.2">
      <c r="A12101" s="8" t="s">
        <v>12124</v>
      </c>
      <c r="B12101" s="2" t="s">
        <v>12473</v>
      </c>
    </row>
    <row r="12102" spans="1:2" x14ac:dyDescent="0.2">
      <c r="A12102" s="8" t="s">
        <v>12125</v>
      </c>
      <c r="B12102" s="2" t="s">
        <v>12473</v>
      </c>
    </row>
    <row r="12103" spans="1:2" x14ac:dyDescent="0.2">
      <c r="A12103" s="8" t="s">
        <v>12126</v>
      </c>
      <c r="B12103" s="2" t="s">
        <v>12473</v>
      </c>
    </row>
    <row r="12104" spans="1:2" x14ac:dyDescent="0.2">
      <c r="A12104" s="8" t="s">
        <v>12127</v>
      </c>
      <c r="B12104" s="2" t="s">
        <v>12473</v>
      </c>
    </row>
    <row r="12105" spans="1:2" x14ac:dyDescent="0.2">
      <c r="A12105" s="8" t="s">
        <v>12128</v>
      </c>
      <c r="B12105" s="2" t="s">
        <v>12473</v>
      </c>
    </row>
    <row r="12106" spans="1:2" x14ac:dyDescent="0.2">
      <c r="A12106" s="8" t="s">
        <v>12129</v>
      </c>
      <c r="B12106" s="2" t="s">
        <v>12473</v>
      </c>
    </row>
    <row r="12107" spans="1:2" x14ac:dyDescent="0.2">
      <c r="A12107" s="8" t="s">
        <v>12130</v>
      </c>
      <c r="B12107" s="2" t="s">
        <v>12473</v>
      </c>
    </row>
    <row r="12108" spans="1:2" x14ac:dyDescent="0.2">
      <c r="A12108" s="8" t="s">
        <v>12131</v>
      </c>
      <c r="B12108" s="2" t="s">
        <v>12473</v>
      </c>
    </row>
    <row r="12109" spans="1:2" x14ac:dyDescent="0.2">
      <c r="A12109" s="8" t="s">
        <v>12132</v>
      </c>
      <c r="B12109" s="2" t="s">
        <v>12473</v>
      </c>
    </row>
    <row r="12110" spans="1:2" x14ac:dyDescent="0.2">
      <c r="A12110" s="8" t="s">
        <v>12133</v>
      </c>
      <c r="B12110" s="2" t="s">
        <v>12473</v>
      </c>
    </row>
    <row r="12111" spans="1:2" x14ac:dyDescent="0.2">
      <c r="A12111" s="8" t="s">
        <v>12134</v>
      </c>
      <c r="B12111" s="2" t="s">
        <v>12473</v>
      </c>
    </row>
    <row r="12112" spans="1:2" x14ac:dyDescent="0.2">
      <c r="A12112" s="8" t="s">
        <v>12135</v>
      </c>
      <c r="B12112" s="2" t="s">
        <v>12473</v>
      </c>
    </row>
    <row r="12113" spans="1:2" x14ac:dyDescent="0.2">
      <c r="A12113" s="8" t="s">
        <v>12136</v>
      </c>
      <c r="B12113" s="2" t="s">
        <v>12473</v>
      </c>
    </row>
    <row r="12114" spans="1:2" x14ac:dyDescent="0.2">
      <c r="A12114" s="8" t="s">
        <v>12137</v>
      </c>
      <c r="B12114" s="2" t="s">
        <v>12473</v>
      </c>
    </row>
    <row r="12115" spans="1:2" x14ac:dyDescent="0.2">
      <c r="A12115" s="8" t="s">
        <v>12138</v>
      </c>
      <c r="B12115" s="2" t="s">
        <v>12473</v>
      </c>
    </row>
    <row r="12116" spans="1:2" x14ac:dyDescent="0.2">
      <c r="A12116" s="8" t="s">
        <v>12139</v>
      </c>
      <c r="B12116" s="2" t="s">
        <v>12473</v>
      </c>
    </row>
    <row r="12117" spans="1:2" x14ac:dyDescent="0.2">
      <c r="A12117" s="8" t="s">
        <v>12140</v>
      </c>
      <c r="B12117" s="2" t="s">
        <v>12473</v>
      </c>
    </row>
    <row r="12118" spans="1:2" x14ac:dyDescent="0.2">
      <c r="A12118" s="8" t="s">
        <v>12141</v>
      </c>
      <c r="B12118" s="2" t="s">
        <v>12473</v>
      </c>
    </row>
    <row r="12119" spans="1:2" x14ac:dyDescent="0.2">
      <c r="A12119" s="8" t="s">
        <v>12142</v>
      </c>
      <c r="B12119" s="2" t="s">
        <v>12473</v>
      </c>
    </row>
    <row r="12120" spans="1:2" x14ac:dyDescent="0.2">
      <c r="A12120" s="8" t="s">
        <v>12143</v>
      </c>
      <c r="B12120" s="2" t="s">
        <v>12473</v>
      </c>
    </row>
    <row r="12121" spans="1:2" x14ac:dyDescent="0.2">
      <c r="A12121" s="8" t="s">
        <v>12144</v>
      </c>
      <c r="B12121" s="2" t="s">
        <v>12473</v>
      </c>
    </row>
    <row r="12122" spans="1:2" x14ac:dyDescent="0.2">
      <c r="A12122" s="8" t="s">
        <v>12145</v>
      </c>
      <c r="B12122" s="2" t="s">
        <v>12473</v>
      </c>
    </row>
    <row r="12123" spans="1:2" x14ac:dyDescent="0.2">
      <c r="A12123" s="8" t="s">
        <v>12146</v>
      </c>
      <c r="B12123" s="2" t="s">
        <v>12473</v>
      </c>
    </row>
    <row r="12124" spans="1:2" x14ac:dyDescent="0.2">
      <c r="A12124" s="8" t="s">
        <v>12147</v>
      </c>
      <c r="B12124" s="2" t="s">
        <v>12473</v>
      </c>
    </row>
    <row r="12125" spans="1:2" x14ac:dyDescent="0.2">
      <c r="A12125" s="8" t="s">
        <v>12148</v>
      </c>
      <c r="B12125" s="2" t="s">
        <v>12473</v>
      </c>
    </row>
    <row r="12126" spans="1:2" x14ac:dyDescent="0.2">
      <c r="A12126" s="8" t="s">
        <v>12149</v>
      </c>
      <c r="B12126" s="2" t="s">
        <v>12473</v>
      </c>
    </row>
    <row r="12127" spans="1:2" x14ac:dyDescent="0.2">
      <c r="A12127" s="8" t="s">
        <v>12150</v>
      </c>
      <c r="B12127" s="2" t="s">
        <v>12473</v>
      </c>
    </row>
    <row r="12128" spans="1:2" x14ac:dyDescent="0.2">
      <c r="A12128" s="8" t="s">
        <v>12151</v>
      </c>
      <c r="B12128" s="2" t="s">
        <v>12473</v>
      </c>
    </row>
    <row r="12129" spans="1:2" x14ac:dyDescent="0.2">
      <c r="A12129" s="8" t="s">
        <v>12152</v>
      </c>
      <c r="B12129" s="2" t="s">
        <v>12473</v>
      </c>
    </row>
    <row r="12130" spans="1:2" x14ac:dyDescent="0.2">
      <c r="A12130" s="8" t="s">
        <v>12153</v>
      </c>
      <c r="B12130" s="2" t="s">
        <v>12473</v>
      </c>
    </row>
    <row r="12131" spans="1:2" x14ac:dyDescent="0.2">
      <c r="A12131" s="8" t="s">
        <v>12154</v>
      </c>
      <c r="B12131" s="2" t="s">
        <v>12473</v>
      </c>
    </row>
    <row r="12132" spans="1:2" x14ac:dyDescent="0.2">
      <c r="A12132" s="8" t="s">
        <v>12155</v>
      </c>
      <c r="B12132" s="2" t="s">
        <v>12473</v>
      </c>
    </row>
    <row r="12133" spans="1:2" x14ac:dyDescent="0.2">
      <c r="A12133" s="8" t="s">
        <v>12156</v>
      </c>
      <c r="B12133" s="2" t="s">
        <v>12473</v>
      </c>
    </row>
    <row r="12134" spans="1:2" x14ac:dyDescent="0.2">
      <c r="A12134" s="8" t="s">
        <v>12157</v>
      </c>
      <c r="B12134" s="2" t="s">
        <v>12473</v>
      </c>
    </row>
    <row r="12135" spans="1:2" x14ac:dyDescent="0.2">
      <c r="A12135" s="8" t="s">
        <v>12158</v>
      </c>
      <c r="B12135" s="2" t="s">
        <v>12473</v>
      </c>
    </row>
    <row r="12136" spans="1:2" x14ac:dyDescent="0.2">
      <c r="A12136" s="8" t="s">
        <v>12159</v>
      </c>
      <c r="B12136" s="2" t="s">
        <v>12473</v>
      </c>
    </row>
    <row r="12137" spans="1:2" x14ac:dyDescent="0.2">
      <c r="A12137" s="8" t="s">
        <v>12160</v>
      </c>
      <c r="B12137" s="2" t="s">
        <v>12473</v>
      </c>
    </row>
    <row r="12138" spans="1:2" x14ac:dyDescent="0.2">
      <c r="A12138" s="8" t="s">
        <v>12161</v>
      </c>
      <c r="B12138" s="2" t="s">
        <v>12473</v>
      </c>
    </row>
    <row r="12139" spans="1:2" x14ac:dyDescent="0.2">
      <c r="A12139" s="8" t="s">
        <v>12162</v>
      </c>
      <c r="B12139" s="2" t="s">
        <v>12473</v>
      </c>
    </row>
    <row r="12140" spans="1:2" x14ac:dyDescent="0.2">
      <c r="A12140" s="8" t="s">
        <v>12163</v>
      </c>
      <c r="B12140" s="2" t="s">
        <v>12473</v>
      </c>
    </row>
    <row r="12141" spans="1:2" x14ac:dyDescent="0.2">
      <c r="A12141" s="8" t="s">
        <v>12164</v>
      </c>
      <c r="B12141" s="2" t="s">
        <v>12473</v>
      </c>
    </row>
    <row r="12142" spans="1:2" x14ac:dyDescent="0.2">
      <c r="A12142" s="8" t="s">
        <v>12165</v>
      </c>
      <c r="B12142" s="2" t="s">
        <v>12473</v>
      </c>
    </row>
    <row r="12143" spans="1:2" x14ac:dyDescent="0.2">
      <c r="A12143" s="8" t="s">
        <v>12166</v>
      </c>
      <c r="B12143" s="2" t="s">
        <v>12473</v>
      </c>
    </row>
    <row r="12144" spans="1:2" x14ac:dyDescent="0.2">
      <c r="A12144" s="8" t="s">
        <v>12167</v>
      </c>
      <c r="B12144" s="2" t="s">
        <v>12473</v>
      </c>
    </row>
    <row r="12145" spans="1:2" x14ac:dyDescent="0.2">
      <c r="A12145" s="8" t="s">
        <v>12168</v>
      </c>
      <c r="B12145" s="2" t="s">
        <v>12473</v>
      </c>
    </row>
    <row r="12146" spans="1:2" x14ac:dyDescent="0.2">
      <c r="A12146" s="8" t="s">
        <v>12169</v>
      </c>
      <c r="B12146" s="2" t="s">
        <v>12473</v>
      </c>
    </row>
    <row r="12147" spans="1:2" x14ac:dyDescent="0.2">
      <c r="A12147" s="8" t="s">
        <v>12170</v>
      </c>
      <c r="B12147" s="2" t="s">
        <v>12473</v>
      </c>
    </row>
    <row r="12148" spans="1:2" x14ac:dyDescent="0.2">
      <c r="A12148" s="8" t="s">
        <v>12171</v>
      </c>
      <c r="B12148" s="2" t="s">
        <v>12473</v>
      </c>
    </row>
    <row r="12149" spans="1:2" x14ac:dyDescent="0.2">
      <c r="A12149" s="8" t="s">
        <v>12172</v>
      </c>
      <c r="B12149" s="2" t="s">
        <v>12473</v>
      </c>
    </row>
    <row r="12150" spans="1:2" x14ac:dyDescent="0.2">
      <c r="A12150" s="8" t="s">
        <v>12173</v>
      </c>
      <c r="B12150" s="2" t="s">
        <v>12473</v>
      </c>
    </row>
    <row r="12151" spans="1:2" x14ac:dyDescent="0.2">
      <c r="A12151" s="8" t="s">
        <v>12174</v>
      </c>
      <c r="B12151" s="2" t="s">
        <v>12473</v>
      </c>
    </row>
    <row r="12152" spans="1:2" x14ac:dyDescent="0.2">
      <c r="A12152" s="8" t="s">
        <v>12175</v>
      </c>
      <c r="B12152" s="2" t="s">
        <v>12473</v>
      </c>
    </row>
    <row r="12153" spans="1:2" x14ac:dyDescent="0.2">
      <c r="A12153" s="8" t="s">
        <v>12176</v>
      </c>
      <c r="B12153" s="2" t="s">
        <v>12473</v>
      </c>
    </row>
    <row r="12154" spans="1:2" x14ac:dyDescent="0.2">
      <c r="A12154" s="8" t="s">
        <v>12177</v>
      </c>
      <c r="B12154" s="2" t="s">
        <v>12473</v>
      </c>
    </row>
    <row r="12155" spans="1:2" x14ac:dyDescent="0.2">
      <c r="A12155" s="8" t="s">
        <v>12178</v>
      </c>
      <c r="B12155" s="2" t="s">
        <v>12473</v>
      </c>
    </row>
    <row r="12156" spans="1:2" x14ac:dyDescent="0.2">
      <c r="A12156" s="8" t="s">
        <v>12179</v>
      </c>
      <c r="B12156" s="2" t="s">
        <v>12473</v>
      </c>
    </row>
    <row r="12157" spans="1:2" x14ac:dyDescent="0.2">
      <c r="A12157" s="8" t="s">
        <v>12180</v>
      </c>
      <c r="B12157" s="2" t="s">
        <v>12473</v>
      </c>
    </row>
    <row r="12158" spans="1:2" x14ac:dyDescent="0.2">
      <c r="A12158" s="8" t="s">
        <v>12181</v>
      </c>
      <c r="B12158" s="2" t="s">
        <v>12473</v>
      </c>
    </row>
    <row r="12159" spans="1:2" x14ac:dyDescent="0.2">
      <c r="A12159" s="8" t="s">
        <v>12182</v>
      </c>
      <c r="B12159" s="2" t="s">
        <v>12473</v>
      </c>
    </row>
    <row r="12160" spans="1:2" x14ac:dyDescent="0.2">
      <c r="A12160" s="8" t="s">
        <v>12183</v>
      </c>
      <c r="B12160" s="2" t="s">
        <v>12473</v>
      </c>
    </row>
    <row r="12161" spans="1:2" x14ac:dyDescent="0.2">
      <c r="A12161" s="8" t="s">
        <v>12184</v>
      </c>
      <c r="B12161" s="2" t="s">
        <v>12473</v>
      </c>
    </row>
    <row r="12162" spans="1:2" x14ac:dyDescent="0.2">
      <c r="A12162" s="8" t="s">
        <v>12185</v>
      </c>
      <c r="B12162" s="2" t="s">
        <v>12473</v>
      </c>
    </row>
    <row r="12163" spans="1:2" x14ac:dyDescent="0.2">
      <c r="A12163" s="8" t="s">
        <v>12186</v>
      </c>
      <c r="B12163" s="2" t="s">
        <v>12473</v>
      </c>
    </row>
    <row r="12164" spans="1:2" x14ac:dyDescent="0.2">
      <c r="A12164" s="8" t="s">
        <v>12187</v>
      </c>
      <c r="B12164" s="2" t="s">
        <v>12473</v>
      </c>
    </row>
    <row r="12165" spans="1:2" x14ac:dyDescent="0.2">
      <c r="A12165" s="8" t="s">
        <v>12188</v>
      </c>
      <c r="B12165" s="2" t="s">
        <v>12473</v>
      </c>
    </row>
    <row r="12166" spans="1:2" x14ac:dyDescent="0.2">
      <c r="A12166" s="8" t="s">
        <v>12189</v>
      </c>
      <c r="B12166" s="2" t="s">
        <v>12473</v>
      </c>
    </row>
    <row r="12167" spans="1:2" x14ac:dyDescent="0.2">
      <c r="A12167" s="8" t="s">
        <v>12190</v>
      </c>
      <c r="B12167" s="2" t="s">
        <v>12473</v>
      </c>
    </row>
    <row r="12168" spans="1:2" x14ac:dyDescent="0.2">
      <c r="A12168" s="8" t="s">
        <v>12191</v>
      </c>
      <c r="B12168" s="2" t="s">
        <v>12473</v>
      </c>
    </row>
    <row r="12169" spans="1:2" x14ac:dyDescent="0.2">
      <c r="A12169" s="8" t="s">
        <v>12192</v>
      </c>
      <c r="B12169" s="2" t="s">
        <v>12473</v>
      </c>
    </row>
    <row r="12170" spans="1:2" x14ac:dyDescent="0.2">
      <c r="A12170" s="8" t="s">
        <v>12193</v>
      </c>
      <c r="B12170" s="2" t="s">
        <v>12473</v>
      </c>
    </row>
    <row r="12171" spans="1:2" x14ac:dyDescent="0.2">
      <c r="A12171" s="8" t="s">
        <v>12194</v>
      </c>
      <c r="B12171" s="2" t="s">
        <v>12473</v>
      </c>
    </row>
    <row r="12172" spans="1:2" x14ac:dyDescent="0.2">
      <c r="A12172" s="8" t="s">
        <v>12195</v>
      </c>
      <c r="B12172" s="2" t="s">
        <v>12473</v>
      </c>
    </row>
    <row r="12173" spans="1:2" x14ac:dyDescent="0.2">
      <c r="A12173" s="8" t="s">
        <v>12196</v>
      </c>
      <c r="B12173" s="2" t="s">
        <v>12473</v>
      </c>
    </row>
    <row r="12174" spans="1:2" x14ac:dyDescent="0.2">
      <c r="A12174" s="8" t="s">
        <v>12197</v>
      </c>
      <c r="B12174" s="2" t="s">
        <v>12473</v>
      </c>
    </row>
    <row r="12175" spans="1:2" x14ac:dyDescent="0.2">
      <c r="A12175" s="8" t="s">
        <v>12198</v>
      </c>
      <c r="B12175" s="2" t="s">
        <v>12473</v>
      </c>
    </row>
    <row r="12176" spans="1:2" x14ac:dyDescent="0.2">
      <c r="A12176" s="8" t="s">
        <v>12199</v>
      </c>
      <c r="B12176" s="2" t="s">
        <v>12473</v>
      </c>
    </row>
    <row r="12177" spans="1:2" x14ac:dyDescent="0.2">
      <c r="A12177" s="8" t="s">
        <v>12200</v>
      </c>
      <c r="B12177" s="2" t="s">
        <v>12473</v>
      </c>
    </row>
    <row r="12178" spans="1:2" x14ac:dyDescent="0.2">
      <c r="A12178" s="8" t="s">
        <v>12201</v>
      </c>
      <c r="B12178" s="2" t="s">
        <v>12473</v>
      </c>
    </row>
    <row r="12179" spans="1:2" x14ac:dyDescent="0.2">
      <c r="A12179" s="8" t="s">
        <v>12202</v>
      </c>
      <c r="B12179" s="2" t="s">
        <v>12473</v>
      </c>
    </row>
    <row r="12180" spans="1:2" x14ac:dyDescent="0.2">
      <c r="A12180" s="8" t="s">
        <v>12203</v>
      </c>
      <c r="B12180" s="2" t="s">
        <v>12473</v>
      </c>
    </row>
    <row r="12181" spans="1:2" x14ac:dyDescent="0.2">
      <c r="A12181" s="8" t="s">
        <v>12204</v>
      </c>
      <c r="B12181" s="2" t="s">
        <v>12473</v>
      </c>
    </row>
    <row r="12182" spans="1:2" x14ac:dyDescent="0.2">
      <c r="A12182" s="8" t="s">
        <v>12205</v>
      </c>
      <c r="B12182" s="2" t="s">
        <v>12473</v>
      </c>
    </row>
    <row r="12183" spans="1:2" x14ac:dyDescent="0.2">
      <c r="A12183" s="8" t="s">
        <v>12206</v>
      </c>
      <c r="B12183" s="2" t="s">
        <v>12473</v>
      </c>
    </row>
    <row r="12184" spans="1:2" x14ac:dyDescent="0.2">
      <c r="A12184" s="8" t="s">
        <v>12207</v>
      </c>
      <c r="B12184" s="2" t="s">
        <v>12473</v>
      </c>
    </row>
    <row r="12185" spans="1:2" x14ac:dyDescent="0.2">
      <c r="A12185" s="8" t="s">
        <v>12208</v>
      </c>
      <c r="B12185" s="2" t="s">
        <v>12473</v>
      </c>
    </row>
    <row r="12186" spans="1:2" x14ac:dyDescent="0.2">
      <c r="A12186" s="8" t="s">
        <v>12209</v>
      </c>
      <c r="B12186" s="2" t="s">
        <v>12473</v>
      </c>
    </row>
    <row r="12187" spans="1:2" x14ac:dyDescent="0.2">
      <c r="A12187" s="8" t="s">
        <v>12210</v>
      </c>
      <c r="B12187" s="2" t="s">
        <v>12473</v>
      </c>
    </row>
    <row r="12188" spans="1:2" x14ac:dyDescent="0.2">
      <c r="A12188" s="8" t="s">
        <v>12211</v>
      </c>
      <c r="B12188" s="2" t="s">
        <v>12473</v>
      </c>
    </row>
    <row r="12189" spans="1:2" x14ac:dyDescent="0.2">
      <c r="A12189" s="8" t="s">
        <v>12212</v>
      </c>
      <c r="B12189" s="2" t="s">
        <v>12473</v>
      </c>
    </row>
    <row r="12190" spans="1:2" x14ac:dyDescent="0.2">
      <c r="A12190" s="8" t="s">
        <v>12213</v>
      </c>
      <c r="B12190" s="2" t="s">
        <v>12473</v>
      </c>
    </row>
    <row r="12191" spans="1:2" x14ac:dyDescent="0.2">
      <c r="A12191" s="8" t="s">
        <v>12214</v>
      </c>
      <c r="B12191" s="2" t="s">
        <v>12473</v>
      </c>
    </row>
    <row r="12192" spans="1:2" x14ac:dyDescent="0.2">
      <c r="A12192" s="8" t="s">
        <v>12215</v>
      </c>
      <c r="B12192" s="2" t="s">
        <v>12473</v>
      </c>
    </row>
    <row r="12193" spans="1:2" x14ac:dyDescent="0.2">
      <c r="A12193" s="8" t="s">
        <v>12216</v>
      </c>
      <c r="B12193" s="2" t="s">
        <v>12473</v>
      </c>
    </row>
    <row r="12194" spans="1:2" x14ac:dyDescent="0.2">
      <c r="A12194" s="8" t="s">
        <v>12217</v>
      </c>
      <c r="B12194" s="2" t="s">
        <v>12473</v>
      </c>
    </row>
    <row r="12195" spans="1:2" x14ac:dyDescent="0.2">
      <c r="A12195" s="8" t="s">
        <v>12218</v>
      </c>
      <c r="B12195" s="2" t="s">
        <v>12473</v>
      </c>
    </row>
    <row r="12196" spans="1:2" x14ac:dyDescent="0.2">
      <c r="A12196" s="8" t="s">
        <v>12219</v>
      </c>
      <c r="B12196" s="2" t="s">
        <v>12473</v>
      </c>
    </row>
    <row r="12197" spans="1:2" x14ac:dyDescent="0.2">
      <c r="A12197" s="8" t="s">
        <v>12220</v>
      </c>
      <c r="B12197" s="2" t="s">
        <v>12473</v>
      </c>
    </row>
    <row r="12198" spans="1:2" x14ac:dyDescent="0.2">
      <c r="A12198" s="8" t="s">
        <v>12221</v>
      </c>
      <c r="B12198" s="2" t="s">
        <v>12473</v>
      </c>
    </row>
    <row r="12199" spans="1:2" x14ac:dyDescent="0.2">
      <c r="A12199" s="8" t="s">
        <v>12222</v>
      </c>
      <c r="B12199" s="2" t="s">
        <v>12473</v>
      </c>
    </row>
    <row r="12200" spans="1:2" x14ac:dyDescent="0.2">
      <c r="A12200" s="8" t="s">
        <v>12223</v>
      </c>
      <c r="B12200" s="2" t="s">
        <v>12473</v>
      </c>
    </row>
    <row r="12201" spans="1:2" x14ac:dyDescent="0.2">
      <c r="A12201" s="8" t="s">
        <v>12224</v>
      </c>
      <c r="B12201" s="2" t="s">
        <v>12473</v>
      </c>
    </row>
    <row r="12202" spans="1:2" x14ac:dyDescent="0.2">
      <c r="A12202" s="8" t="s">
        <v>12225</v>
      </c>
      <c r="B12202" s="2" t="s">
        <v>12473</v>
      </c>
    </row>
    <row r="12203" spans="1:2" x14ac:dyDescent="0.2">
      <c r="A12203" s="8" t="s">
        <v>12226</v>
      </c>
      <c r="B12203" s="2" t="s">
        <v>12473</v>
      </c>
    </row>
    <row r="12204" spans="1:2" x14ac:dyDescent="0.2">
      <c r="A12204" s="8" t="s">
        <v>12227</v>
      </c>
      <c r="B12204" s="2" t="s">
        <v>12473</v>
      </c>
    </row>
    <row r="12205" spans="1:2" x14ac:dyDescent="0.2">
      <c r="A12205" s="8" t="s">
        <v>12228</v>
      </c>
      <c r="B12205" s="2" t="s">
        <v>12473</v>
      </c>
    </row>
    <row r="12206" spans="1:2" x14ac:dyDescent="0.2">
      <c r="A12206" s="8" t="s">
        <v>12229</v>
      </c>
      <c r="B12206" s="2" t="s">
        <v>12473</v>
      </c>
    </row>
    <row r="12207" spans="1:2" x14ac:dyDescent="0.2">
      <c r="A12207" s="8" t="s">
        <v>12230</v>
      </c>
      <c r="B12207" s="2" t="s">
        <v>12473</v>
      </c>
    </row>
    <row r="12208" spans="1:2" x14ac:dyDescent="0.2">
      <c r="A12208" s="8" t="s">
        <v>12231</v>
      </c>
      <c r="B12208" s="2" t="s">
        <v>12473</v>
      </c>
    </row>
    <row r="12209" spans="1:2" x14ac:dyDescent="0.2">
      <c r="A12209" s="8" t="s">
        <v>12232</v>
      </c>
      <c r="B12209" s="2" t="s">
        <v>12473</v>
      </c>
    </row>
    <row r="12210" spans="1:2" x14ac:dyDescent="0.2">
      <c r="A12210" s="8" t="s">
        <v>12233</v>
      </c>
      <c r="B12210" s="2" t="s">
        <v>12473</v>
      </c>
    </row>
    <row r="12211" spans="1:2" x14ac:dyDescent="0.2">
      <c r="A12211" s="8" t="s">
        <v>12234</v>
      </c>
      <c r="B12211" s="2" t="s">
        <v>12473</v>
      </c>
    </row>
    <row r="12212" spans="1:2" x14ac:dyDescent="0.2">
      <c r="A12212" s="8" t="s">
        <v>12235</v>
      </c>
      <c r="B12212" s="2" t="s">
        <v>12473</v>
      </c>
    </row>
    <row r="12213" spans="1:2" x14ac:dyDescent="0.2">
      <c r="A12213" s="8" t="s">
        <v>12236</v>
      </c>
      <c r="B12213" s="2" t="s">
        <v>12473</v>
      </c>
    </row>
    <row r="12214" spans="1:2" x14ac:dyDescent="0.2">
      <c r="A12214" s="8" t="s">
        <v>12237</v>
      </c>
      <c r="B12214" s="2" t="s">
        <v>12473</v>
      </c>
    </row>
    <row r="12215" spans="1:2" x14ac:dyDescent="0.2">
      <c r="A12215" s="8" t="s">
        <v>12238</v>
      </c>
      <c r="B12215" s="2" t="s">
        <v>12473</v>
      </c>
    </row>
    <row r="12216" spans="1:2" x14ac:dyDescent="0.2">
      <c r="A12216" s="8" t="s">
        <v>12239</v>
      </c>
      <c r="B12216" s="2" t="s">
        <v>12473</v>
      </c>
    </row>
    <row r="12217" spans="1:2" x14ac:dyDescent="0.2">
      <c r="A12217" s="8" t="s">
        <v>12240</v>
      </c>
      <c r="B12217" s="2" t="s">
        <v>12473</v>
      </c>
    </row>
    <row r="12218" spans="1:2" x14ac:dyDescent="0.2">
      <c r="A12218" s="8" t="s">
        <v>12241</v>
      </c>
      <c r="B12218" s="2" t="s">
        <v>12473</v>
      </c>
    </row>
    <row r="12219" spans="1:2" x14ac:dyDescent="0.2">
      <c r="A12219" s="8" t="s">
        <v>12242</v>
      </c>
      <c r="B12219" s="2" t="s">
        <v>12473</v>
      </c>
    </row>
    <row r="12220" spans="1:2" x14ac:dyDescent="0.2">
      <c r="A12220" s="8" t="s">
        <v>12243</v>
      </c>
      <c r="B12220" s="2" t="s">
        <v>12473</v>
      </c>
    </row>
    <row r="12221" spans="1:2" x14ac:dyDescent="0.2">
      <c r="A12221" s="8" t="s">
        <v>12244</v>
      </c>
      <c r="B12221" s="2" t="s">
        <v>12473</v>
      </c>
    </row>
    <row r="12222" spans="1:2" x14ac:dyDescent="0.2">
      <c r="A12222" s="8" t="s">
        <v>12245</v>
      </c>
      <c r="B12222" s="2" t="s">
        <v>12473</v>
      </c>
    </row>
    <row r="12223" spans="1:2" x14ac:dyDescent="0.2">
      <c r="A12223" s="8" t="s">
        <v>12246</v>
      </c>
      <c r="B12223" s="2" t="s">
        <v>12473</v>
      </c>
    </row>
    <row r="12224" spans="1:2" x14ac:dyDescent="0.2">
      <c r="A12224" s="8" t="s">
        <v>12247</v>
      </c>
      <c r="B12224" s="2" t="s">
        <v>12473</v>
      </c>
    </row>
    <row r="12225" spans="1:2" x14ac:dyDescent="0.2">
      <c r="A12225" s="8" t="s">
        <v>12248</v>
      </c>
      <c r="B12225" s="2" t="s">
        <v>12473</v>
      </c>
    </row>
    <row r="12226" spans="1:2" x14ac:dyDescent="0.2">
      <c r="A12226" s="8" t="s">
        <v>12249</v>
      </c>
      <c r="B12226" s="2" t="s">
        <v>12473</v>
      </c>
    </row>
    <row r="12227" spans="1:2" x14ac:dyDescent="0.2">
      <c r="A12227" s="8" t="s">
        <v>12250</v>
      </c>
      <c r="B12227" s="2" t="s">
        <v>12473</v>
      </c>
    </row>
    <row r="12228" spans="1:2" x14ac:dyDescent="0.2">
      <c r="A12228" s="8" t="s">
        <v>12251</v>
      </c>
      <c r="B12228" s="2" t="s">
        <v>12473</v>
      </c>
    </row>
    <row r="12229" spans="1:2" x14ac:dyDescent="0.2">
      <c r="A12229" s="8" t="s">
        <v>12252</v>
      </c>
      <c r="B12229" s="2" t="s">
        <v>12473</v>
      </c>
    </row>
    <row r="12230" spans="1:2" x14ac:dyDescent="0.2">
      <c r="A12230" s="8" t="s">
        <v>12253</v>
      </c>
      <c r="B12230" s="2" t="s">
        <v>12473</v>
      </c>
    </row>
    <row r="12231" spans="1:2" x14ac:dyDescent="0.2">
      <c r="A12231" s="8" t="s">
        <v>12254</v>
      </c>
      <c r="B12231" s="2" t="s">
        <v>12473</v>
      </c>
    </row>
    <row r="12232" spans="1:2" x14ac:dyDescent="0.2">
      <c r="A12232" s="8" t="s">
        <v>12255</v>
      </c>
      <c r="B12232" s="2" t="s">
        <v>12473</v>
      </c>
    </row>
    <row r="12233" spans="1:2" x14ac:dyDescent="0.2">
      <c r="A12233" s="8" t="s">
        <v>12256</v>
      </c>
      <c r="B12233" s="2" t="s">
        <v>12473</v>
      </c>
    </row>
    <row r="12234" spans="1:2" x14ac:dyDescent="0.2">
      <c r="A12234" s="8" t="s">
        <v>12257</v>
      </c>
      <c r="B12234" s="2" t="s">
        <v>12473</v>
      </c>
    </row>
    <row r="12235" spans="1:2" x14ac:dyDescent="0.2">
      <c r="A12235" s="8" t="s">
        <v>12258</v>
      </c>
      <c r="B12235" s="2" t="s">
        <v>12473</v>
      </c>
    </row>
    <row r="12236" spans="1:2" x14ac:dyDescent="0.2">
      <c r="A12236" s="8" t="s">
        <v>12259</v>
      </c>
      <c r="B12236" s="2" t="s">
        <v>12473</v>
      </c>
    </row>
    <row r="12237" spans="1:2" x14ac:dyDescent="0.2">
      <c r="A12237" s="8" t="s">
        <v>12260</v>
      </c>
      <c r="B12237" s="2" t="s">
        <v>12473</v>
      </c>
    </row>
    <row r="12238" spans="1:2" x14ac:dyDescent="0.2">
      <c r="A12238" s="8" t="s">
        <v>12261</v>
      </c>
      <c r="B12238" s="2" t="s">
        <v>12473</v>
      </c>
    </row>
    <row r="12239" spans="1:2" x14ac:dyDescent="0.2">
      <c r="A12239" s="8" t="s">
        <v>12262</v>
      </c>
      <c r="B12239" s="2" t="s">
        <v>12473</v>
      </c>
    </row>
    <row r="12240" spans="1:2" x14ac:dyDescent="0.2">
      <c r="A12240" s="8" t="s">
        <v>12263</v>
      </c>
      <c r="B12240" s="2" t="s">
        <v>12473</v>
      </c>
    </row>
    <row r="12241" spans="1:2" x14ac:dyDescent="0.2">
      <c r="A12241" s="8" t="s">
        <v>12264</v>
      </c>
      <c r="B12241" s="2" t="s">
        <v>12473</v>
      </c>
    </row>
    <row r="12242" spans="1:2" x14ac:dyDescent="0.2">
      <c r="A12242" s="8" t="s">
        <v>12265</v>
      </c>
      <c r="B12242" s="2" t="s">
        <v>12473</v>
      </c>
    </row>
    <row r="12243" spans="1:2" x14ac:dyDescent="0.2">
      <c r="A12243" s="8" t="s">
        <v>12266</v>
      </c>
      <c r="B12243" s="2" t="s">
        <v>12473</v>
      </c>
    </row>
    <row r="12244" spans="1:2" x14ac:dyDescent="0.2">
      <c r="A12244" s="8" t="s">
        <v>12267</v>
      </c>
      <c r="B12244" s="2" t="s">
        <v>12473</v>
      </c>
    </row>
    <row r="12245" spans="1:2" x14ac:dyDescent="0.2">
      <c r="A12245" s="8" t="s">
        <v>12268</v>
      </c>
      <c r="B12245" s="2" t="s">
        <v>12473</v>
      </c>
    </row>
    <row r="12246" spans="1:2" x14ac:dyDescent="0.2">
      <c r="A12246" s="8" t="s">
        <v>12269</v>
      </c>
      <c r="B12246" s="2" t="s">
        <v>12473</v>
      </c>
    </row>
    <row r="12247" spans="1:2" x14ac:dyDescent="0.2">
      <c r="A12247" s="8" t="s">
        <v>12270</v>
      </c>
      <c r="B12247" s="2" t="s">
        <v>12473</v>
      </c>
    </row>
    <row r="12248" spans="1:2" x14ac:dyDescent="0.2">
      <c r="A12248" s="8" t="s">
        <v>12271</v>
      </c>
      <c r="B12248" s="2" t="s">
        <v>12473</v>
      </c>
    </row>
    <row r="12249" spans="1:2" x14ac:dyDescent="0.2">
      <c r="A12249" s="8" t="s">
        <v>12272</v>
      </c>
      <c r="B12249" s="2" t="s">
        <v>12473</v>
      </c>
    </row>
    <row r="12250" spans="1:2" x14ac:dyDescent="0.2">
      <c r="A12250" s="8" t="s">
        <v>12273</v>
      </c>
      <c r="B12250" s="2" t="s">
        <v>12473</v>
      </c>
    </row>
    <row r="12251" spans="1:2" x14ac:dyDescent="0.2">
      <c r="A12251" s="8" t="s">
        <v>12274</v>
      </c>
      <c r="B12251" s="2" t="s">
        <v>12473</v>
      </c>
    </row>
    <row r="12252" spans="1:2" x14ac:dyDescent="0.2">
      <c r="A12252" s="8" t="s">
        <v>12275</v>
      </c>
      <c r="B12252" s="2" t="s">
        <v>12473</v>
      </c>
    </row>
    <row r="12253" spans="1:2" x14ac:dyDescent="0.2">
      <c r="A12253" s="8" t="s">
        <v>12276</v>
      </c>
      <c r="B12253" s="2" t="s">
        <v>12473</v>
      </c>
    </row>
    <row r="12254" spans="1:2" x14ac:dyDescent="0.2">
      <c r="A12254" s="8" t="s">
        <v>12277</v>
      </c>
      <c r="B12254" s="2" t="s">
        <v>12473</v>
      </c>
    </row>
    <row r="12255" spans="1:2" x14ac:dyDescent="0.2">
      <c r="A12255" s="8" t="s">
        <v>12278</v>
      </c>
      <c r="B12255" s="2" t="s">
        <v>12473</v>
      </c>
    </row>
    <row r="12256" spans="1:2" x14ac:dyDescent="0.2">
      <c r="A12256" s="8" t="s">
        <v>12279</v>
      </c>
      <c r="B12256" s="2" t="s">
        <v>12473</v>
      </c>
    </row>
    <row r="12257" spans="1:2" x14ac:dyDescent="0.2">
      <c r="A12257" s="8" t="s">
        <v>12280</v>
      </c>
      <c r="B12257" s="2" t="s">
        <v>12473</v>
      </c>
    </row>
    <row r="12258" spans="1:2" x14ac:dyDescent="0.2">
      <c r="A12258" s="8" t="s">
        <v>12281</v>
      </c>
      <c r="B12258" s="2" t="s">
        <v>12473</v>
      </c>
    </row>
    <row r="12259" spans="1:2" x14ac:dyDescent="0.2">
      <c r="A12259" s="8" t="s">
        <v>12282</v>
      </c>
      <c r="B12259" s="2" t="s">
        <v>12473</v>
      </c>
    </row>
    <row r="12260" spans="1:2" x14ac:dyDescent="0.2">
      <c r="A12260" s="8" t="s">
        <v>12283</v>
      </c>
      <c r="B12260" s="2" t="s">
        <v>12473</v>
      </c>
    </row>
    <row r="12261" spans="1:2" x14ac:dyDescent="0.2">
      <c r="A12261" s="8" t="s">
        <v>12284</v>
      </c>
      <c r="B12261" s="2" t="s">
        <v>12473</v>
      </c>
    </row>
    <row r="12262" spans="1:2" x14ac:dyDescent="0.2">
      <c r="A12262" s="8" t="s">
        <v>12285</v>
      </c>
      <c r="B12262" s="2" t="s">
        <v>12473</v>
      </c>
    </row>
    <row r="12263" spans="1:2" x14ac:dyDescent="0.2">
      <c r="A12263" s="8" t="s">
        <v>12286</v>
      </c>
      <c r="B12263" s="2" t="s">
        <v>12473</v>
      </c>
    </row>
    <row r="12264" spans="1:2" x14ac:dyDescent="0.2">
      <c r="A12264" s="8" t="s">
        <v>12287</v>
      </c>
      <c r="B12264" s="2" t="s">
        <v>12473</v>
      </c>
    </row>
    <row r="12265" spans="1:2" x14ac:dyDescent="0.2">
      <c r="A12265" s="8" t="s">
        <v>12288</v>
      </c>
      <c r="B12265" s="2" t="s">
        <v>12473</v>
      </c>
    </row>
    <row r="12266" spans="1:2" x14ac:dyDescent="0.2">
      <c r="A12266" s="8" t="s">
        <v>12289</v>
      </c>
      <c r="B12266" s="2" t="s">
        <v>12473</v>
      </c>
    </row>
    <row r="12267" spans="1:2" x14ac:dyDescent="0.2">
      <c r="A12267" s="8" t="s">
        <v>12290</v>
      </c>
      <c r="B12267" s="2" t="s">
        <v>12473</v>
      </c>
    </row>
    <row r="12268" spans="1:2" x14ac:dyDescent="0.2">
      <c r="A12268" s="8" t="s">
        <v>12291</v>
      </c>
      <c r="B12268" s="2" t="s">
        <v>12473</v>
      </c>
    </row>
    <row r="12269" spans="1:2" x14ac:dyDescent="0.2">
      <c r="A12269" s="8" t="s">
        <v>12292</v>
      </c>
      <c r="B12269" s="2" t="s">
        <v>12473</v>
      </c>
    </row>
    <row r="12270" spans="1:2" x14ac:dyDescent="0.2">
      <c r="A12270" s="8" t="s">
        <v>12293</v>
      </c>
      <c r="B12270" s="2" t="s">
        <v>12473</v>
      </c>
    </row>
    <row r="12271" spans="1:2" x14ac:dyDescent="0.2">
      <c r="A12271" s="8" t="s">
        <v>12294</v>
      </c>
      <c r="B12271" s="2" t="s">
        <v>12473</v>
      </c>
    </row>
    <row r="12272" spans="1:2" x14ac:dyDescent="0.2">
      <c r="A12272" s="8" t="s">
        <v>12295</v>
      </c>
      <c r="B12272" s="2" t="s">
        <v>12473</v>
      </c>
    </row>
    <row r="12273" spans="1:2" x14ac:dyDescent="0.2">
      <c r="A12273" s="8" t="s">
        <v>12296</v>
      </c>
      <c r="B12273" s="2" t="s">
        <v>12473</v>
      </c>
    </row>
    <row r="12274" spans="1:2" x14ac:dyDescent="0.2">
      <c r="A12274" s="8" t="s">
        <v>12297</v>
      </c>
      <c r="B12274" s="2" t="s">
        <v>12473</v>
      </c>
    </row>
    <row r="12275" spans="1:2" x14ac:dyDescent="0.2">
      <c r="A12275" s="8" t="s">
        <v>12298</v>
      </c>
      <c r="B12275" s="2" t="s">
        <v>12473</v>
      </c>
    </row>
    <row r="12276" spans="1:2" x14ac:dyDescent="0.2">
      <c r="A12276" s="8" t="s">
        <v>12299</v>
      </c>
      <c r="B12276" s="2" t="s">
        <v>12473</v>
      </c>
    </row>
    <row r="12277" spans="1:2" x14ac:dyDescent="0.2">
      <c r="A12277" s="8" t="s">
        <v>12300</v>
      </c>
      <c r="B12277" s="2" t="s">
        <v>12473</v>
      </c>
    </row>
    <row r="12278" spans="1:2" x14ac:dyDescent="0.2">
      <c r="A12278" s="8" t="s">
        <v>12301</v>
      </c>
      <c r="B12278" s="2" t="s">
        <v>12473</v>
      </c>
    </row>
    <row r="12279" spans="1:2" x14ac:dyDescent="0.2">
      <c r="A12279" s="8" t="s">
        <v>12302</v>
      </c>
      <c r="B12279" s="2" t="s">
        <v>12473</v>
      </c>
    </row>
    <row r="12280" spans="1:2" x14ac:dyDescent="0.2">
      <c r="A12280" s="8" t="s">
        <v>12303</v>
      </c>
      <c r="B12280" s="2" t="s">
        <v>12473</v>
      </c>
    </row>
    <row r="12281" spans="1:2" x14ac:dyDescent="0.2">
      <c r="A12281" s="8" t="s">
        <v>12304</v>
      </c>
      <c r="B12281" s="2" t="s">
        <v>12473</v>
      </c>
    </row>
    <row r="12282" spans="1:2" x14ac:dyDescent="0.2">
      <c r="A12282" s="8" t="s">
        <v>12305</v>
      </c>
      <c r="B12282" s="2" t="s">
        <v>12473</v>
      </c>
    </row>
    <row r="12283" spans="1:2" x14ac:dyDescent="0.2">
      <c r="A12283" s="8" t="s">
        <v>12306</v>
      </c>
      <c r="B12283" s="2" t="s">
        <v>12473</v>
      </c>
    </row>
    <row r="12284" spans="1:2" x14ac:dyDescent="0.2">
      <c r="A12284" s="8" t="s">
        <v>12307</v>
      </c>
      <c r="B12284" s="2" t="s">
        <v>12473</v>
      </c>
    </row>
    <row r="12285" spans="1:2" x14ac:dyDescent="0.2">
      <c r="A12285" s="8" t="s">
        <v>12308</v>
      </c>
      <c r="B12285" s="2" t="s">
        <v>12473</v>
      </c>
    </row>
    <row r="12286" spans="1:2" x14ac:dyDescent="0.2">
      <c r="A12286" s="8" t="s">
        <v>12309</v>
      </c>
      <c r="B12286" s="2" t="s">
        <v>12473</v>
      </c>
    </row>
    <row r="12287" spans="1:2" x14ac:dyDescent="0.2">
      <c r="A12287" s="8" t="s">
        <v>12310</v>
      </c>
      <c r="B12287" s="2" t="s">
        <v>12473</v>
      </c>
    </row>
    <row r="12288" spans="1:2" x14ac:dyDescent="0.2">
      <c r="A12288" s="8" t="s">
        <v>12311</v>
      </c>
      <c r="B12288" s="2" t="s">
        <v>12473</v>
      </c>
    </row>
    <row r="12289" spans="1:2" x14ac:dyDescent="0.2">
      <c r="A12289" s="8" t="s">
        <v>12312</v>
      </c>
      <c r="B12289" s="2" t="s">
        <v>12473</v>
      </c>
    </row>
    <row r="12290" spans="1:2" x14ac:dyDescent="0.2">
      <c r="A12290" s="8" t="s">
        <v>12313</v>
      </c>
      <c r="B12290" s="2" t="s">
        <v>12473</v>
      </c>
    </row>
    <row r="12291" spans="1:2" x14ac:dyDescent="0.2">
      <c r="A12291" s="8" t="s">
        <v>12314</v>
      </c>
      <c r="B12291" s="2" t="s">
        <v>12473</v>
      </c>
    </row>
    <row r="12292" spans="1:2" x14ac:dyDescent="0.2">
      <c r="A12292" s="8" t="s">
        <v>12315</v>
      </c>
      <c r="B12292" s="2" t="s">
        <v>12473</v>
      </c>
    </row>
    <row r="12293" spans="1:2" x14ac:dyDescent="0.2">
      <c r="A12293" s="8" t="s">
        <v>12316</v>
      </c>
      <c r="B12293" s="2" t="s">
        <v>12473</v>
      </c>
    </row>
    <row r="12294" spans="1:2" x14ac:dyDescent="0.2">
      <c r="A12294" s="8" t="s">
        <v>12317</v>
      </c>
      <c r="B12294" s="2" t="s">
        <v>12473</v>
      </c>
    </row>
    <row r="12295" spans="1:2" x14ac:dyDescent="0.2">
      <c r="A12295" s="8" t="s">
        <v>12318</v>
      </c>
      <c r="B12295" s="2" t="s">
        <v>12473</v>
      </c>
    </row>
    <row r="12296" spans="1:2" x14ac:dyDescent="0.2">
      <c r="A12296" s="8" t="s">
        <v>12319</v>
      </c>
      <c r="B12296" s="2" t="s">
        <v>12473</v>
      </c>
    </row>
    <row r="12297" spans="1:2" x14ac:dyDescent="0.2">
      <c r="A12297" s="8" t="s">
        <v>12320</v>
      </c>
      <c r="B12297" s="2" t="s">
        <v>12473</v>
      </c>
    </row>
    <row r="12298" spans="1:2" x14ac:dyDescent="0.2">
      <c r="A12298" s="8" t="s">
        <v>12321</v>
      </c>
      <c r="B12298" s="2" t="s">
        <v>12473</v>
      </c>
    </row>
    <row r="12299" spans="1:2" x14ac:dyDescent="0.2">
      <c r="A12299" s="8" t="s">
        <v>12322</v>
      </c>
      <c r="B12299" s="2" t="s">
        <v>12473</v>
      </c>
    </row>
    <row r="12300" spans="1:2" x14ac:dyDescent="0.2">
      <c r="A12300" s="8" t="s">
        <v>12323</v>
      </c>
      <c r="B12300" s="2" t="s">
        <v>12473</v>
      </c>
    </row>
    <row r="12301" spans="1:2" x14ac:dyDescent="0.2">
      <c r="A12301" s="8" t="s">
        <v>12324</v>
      </c>
      <c r="B12301" s="2" t="s">
        <v>12473</v>
      </c>
    </row>
    <row r="12302" spans="1:2" x14ac:dyDescent="0.2">
      <c r="A12302" s="8" t="s">
        <v>12325</v>
      </c>
      <c r="B12302" s="2" t="s">
        <v>12473</v>
      </c>
    </row>
    <row r="12303" spans="1:2" x14ac:dyDescent="0.2">
      <c r="A12303" s="8" t="s">
        <v>12326</v>
      </c>
      <c r="B12303" s="2" t="s">
        <v>12473</v>
      </c>
    </row>
    <row r="12304" spans="1:2" x14ac:dyDescent="0.2">
      <c r="A12304" s="8" t="s">
        <v>12327</v>
      </c>
      <c r="B12304" s="2" t="s">
        <v>12473</v>
      </c>
    </row>
    <row r="12305" spans="1:2" x14ac:dyDescent="0.2">
      <c r="A12305" s="8" t="s">
        <v>12328</v>
      </c>
      <c r="B12305" s="2" t="s">
        <v>12473</v>
      </c>
    </row>
    <row r="12306" spans="1:2" x14ac:dyDescent="0.2">
      <c r="A12306" s="8" t="s">
        <v>12329</v>
      </c>
      <c r="B12306" s="2" t="s">
        <v>12473</v>
      </c>
    </row>
    <row r="12307" spans="1:2" x14ac:dyDescent="0.2">
      <c r="A12307" s="8" t="s">
        <v>12330</v>
      </c>
      <c r="B12307" s="2" t="s">
        <v>12473</v>
      </c>
    </row>
    <row r="12308" spans="1:2" x14ac:dyDescent="0.2">
      <c r="A12308" s="8" t="s">
        <v>12331</v>
      </c>
      <c r="B12308" s="2" t="s">
        <v>12473</v>
      </c>
    </row>
    <row r="12309" spans="1:2" x14ac:dyDescent="0.2">
      <c r="A12309" s="8" t="s">
        <v>12332</v>
      </c>
      <c r="B12309" s="2" t="s">
        <v>12473</v>
      </c>
    </row>
    <row r="12310" spans="1:2" x14ac:dyDescent="0.2">
      <c r="A12310" s="8" t="s">
        <v>12333</v>
      </c>
      <c r="B12310" s="2" t="s">
        <v>12473</v>
      </c>
    </row>
    <row r="12311" spans="1:2" x14ac:dyDescent="0.2">
      <c r="A12311" s="8" t="s">
        <v>12334</v>
      </c>
      <c r="B12311" s="2" t="s">
        <v>12473</v>
      </c>
    </row>
    <row r="12312" spans="1:2" x14ac:dyDescent="0.2">
      <c r="A12312" s="8" t="s">
        <v>12335</v>
      </c>
      <c r="B12312" s="2" t="s">
        <v>12473</v>
      </c>
    </row>
    <row r="12313" spans="1:2" x14ac:dyDescent="0.2">
      <c r="A12313" s="8" t="s">
        <v>12336</v>
      </c>
      <c r="B12313" s="2" t="s">
        <v>12473</v>
      </c>
    </row>
    <row r="12314" spans="1:2" x14ac:dyDescent="0.2">
      <c r="A12314" s="8" t="s">
        <v>12337</v>
      </c>
      <c r="B12314" s="2" t="s">
        <v>12473</v>
      </c>
    </row>
    <row r="12315" spans="1:2" x14ac:dyDescent="0.2">
      <c r="A12315" s="8" t="s">
        <v>12338</v>
      </c>
      <c r="B12315" s="2" t="s">
        <v>12473</v>
      </c>
    </row>
    <row r="12316" spans="1:2" x14ac:dyDescent="0.2">
      <c r="A12316" s="8" t="s">
        <v>12339</v>
      </c>
      <c r="B12316" s="2" t="s">
        <v>12473</v>
      </c>
    </row>
    <row r="12317" spans="1:2" x14ac:dyDescent="0.2">
      <c r="A12317" s="8" t="s">
        <v>12340</v>
      </c>
      <c r="B12317" s="2" t="s">
        <v>12473</v>
      </c>
    </row>
    <row r="12318" spans="1:2" x14ac:dyDescent="0.2">
      <c r="A12318" s="8" t="s">
        <v>12341</v>
      </c>
      <c r="B12318" s="2" t="s">
        <v>12473</v>
      </c>
    </row>
    <row r="12319" spans="1:2" x14ac:dyDescent="0.2">
      <c r="A12319" s="8" t="s">
        <v>12342</v>
      </c>
      <c r="B12319" s="2" t="s">
        <v>12473</v>
      </c>
    </row>
    <row r="12320" spans="1:2" x14ac:dyDescent="0.2">
      <c r="A12320" s="8" t="s">
        <v>12343</v>
      </c>
      <c r="B12320" s="2" t="s">
        <v>12473</v>
      </c>
    </row>
    <row r="12321" spans="1:2" x14ac:dyDescent="0.2">
      <c r="A12321" s="8" t="s">
        <v>12344</v>
      </c>
      <c r="B12321" s="2" t="s">
        <v>12473</v>
      </c>
    </row>
    <row r="12322" spans="1:2" x14ac:dyDescent="0.2">
      <c r="A12322" s="8" t="s">
        <v>12345</v>
      </c>
      <c r="B12322" s="2" t="s">
        <v>12473</v>
      </c>
    </row>
    <row r="12323" spans="1:2" x14ac:dyDescent="0.2">
      <c r="A12323" s="8" t="s">
        <v>12346</v>
      </c>
      <c r="B12323" s="2" t="s">
        <v>12473</v>
      </c>
    </row>
    <row r="12324" spans="1:2" x14ac:dyDescent="0.2">
      <c r="A12324" s="8" t="s">
        <v>12347</v>
      </c>
      <c r="B12324" s="2" t="s">
        <v>12473</v>
      </c>
    </row>
    <row r="12325" spans="1:2" x14ac:dyDescent="0.2">
      <c r="A12325" s="8" t="s">
        <v>12348</v>
      </c>
      <c r="B12325" s="2" t="s">
        <v>12473</v>
      </c>
    </row>
    <row r="12326" spans="1:2" x14ac:dyDescent="0.2">
      <c r="A12326" s="8" t="s">
        <v>12349</v>
      </c>
      <c r="B12326" s="2" t="s">
        <v>12473</v>
      </c>
    </row>
    <row r="12327" spans="1:2" x14ac:dyDescent="0.2">
      <c r="A12327" s="8" t="s">
        <v>12350</v>
      </c>
      <c r="B12327" s="2" t="s">
        <v>12473</v>
      </c>
    </row>
    <row r="12328" spans="1:2" x14ac:dyDescent="0.2">
      <c r="A12328" s="8" t="s">
        <v>12351</v>
      </c>
      <c r="B12328" s="2" t="s">
        <v>12473</v>
      </c>
    </row>
    <row r="12329" spans="1:2" x14ac:dyDescent="0.2">
      <c r="A12329" s="8" t="s">
        <v>12352</v>
      </c>
      <c r="B12329" s="2" t="s">
        <v>12473</v>
      </c>
    </row>
    <row r="12330" spans="1:2" x14ac:dyDescent="0.2">
      <c r="A12330" s="8" t="s">
        <v>12353</v>
      </c>
      <c r="B12330" s="2" t="s">
        <v>12473</v>
      </c>
    </row>
    <row r="12331" spans="1:2" x14ac:dyDescent="0.2">
      <c r="A12331" s="8" t="s">
        <v>12354</v>
      </c>
      <c r="B12331" s="2" t="s">
        <v>12473</v>
      </c>
    </row>
    <row r="12332" spans="1:2" x14ac:dyDescent="0.2">
      <c r="A12332" s="8" t="s">
        <v>12355</v>
      </c>
      <c r="B12332" s="2" t="s">
        <v>12473</v>
      </c>
    </row>
    <row r="12333" spans="1:2" x14ac:dyDescent="0.2">
      <c r="A12333" s="8" t="s">
        <v>12356</v>
      </c>
      <c r="B12333" s="2" t="s">
        <v>12473</v>
      </c>
    </row>
    <row r="12334" spans="1:2" x14ac:dyDescent="0.2">
      <c r="A12334" s="8" t="s">
        <v>12357</v>
      </c>
      <c r="B12334" s="2" t="s">
        <v>12473</v>
      </c>
    </row>
    <row r="12335" spans="1:2" x14ac:dyDescent="0.2">
      <c r="A12335" s="8" t="s">
        <v>12358</v>
      </c>
      <c r="B12335" s="2" t="s">
        <v>12473</v>
      </c>
    </row>
    <row r="12336" spans="1:2" x14ac:dyDescent="0.2">
      <c r="A12336" s="8" t="s">
        <v>12359</v>
      </c>
      <c r="B12336" s="2" t="s">
        <v>12473</v>
      </c>
    </row>
    <row r="12337" spans="1:2" x14ac:dyDescent="0.2">
      <c r="A12337" s="8" t="s">
        <v>12360</v>
      </c>
      <c r="B12337" s="2" t="s">
        <v>12473</v>
      </c>
    </row>
    <row r="12338" spans="1:2" x14ac:dyDescent="0.2">
      <c r="A12338" s="8" t="s">
        <v>12361</v>
      </c>
      <c r="B12338" s="2" t="s">
        <v>12473</v>
      </c>
    </row>
    <row r="12339" spans="1:2" x14ac:dyDescent="0.2">
      <c r="A12339" s="8" t="s">
        <v>12362</v>
      </c>
      <c r="B12339" s="2" t="s">
        <v>12473</v>
      </c>
    </row>
    <row r="12340" spans="1:2" x14ac:dyDescent="0.2">
      <c r="A12340" s="8" t="s">
        <v>12363</v>
      </c>
      <c r="B12340" s="2" t="s">
        <v>12473</v>
      </c>
    </row>
    <row r="12341" spans="1:2" x14ac:dyDescent="0.2">
      <c r="A12341" s="8" t="s">
        <v>12364</v>
      </c>
      <c r="B12341" s="2" t="s">
        <v>12473</v>
      </c>
    </row>
    <row r="12342" spans="1:2" x14ac:dyDescent="0.2">
      <c r="A12342" s="8" t="s">
        <v>12365</v>
      </c>
      <c r="B12342" s="2" t="s">
        <v>12473</v>
      </c>
    </row>
    <row r="12343" spans="1:2" x14ac:dyDescent="0.2">
      <c r="A12343" s="8" t="s">
        <v>12366</v>
      </c>
      <c r="B12343" s="2" t="s">
        <v>12473</v>
      </c>
    </row>
    <row r="12344" spans="1:2" x14ac:dyDescent="0.2">
      <c r="A12344" s="8" t="s">
        <v>12367</v>
      </c>
      <c r="B12344" s="2" t="s">
        <v>12473</v>
      </c>
    </row>
    <row r="12345" spans="1:2" x14ac:dyDescent="0.2">
      <c r="A12345" s="8" t="s">
        <v>12368</v>
      </c>
      <c r="B12345" s="2" t="s">
        <v>12473</v>
      </c>
    </row>
    <row r="12346" spans="1:2" x14ac:dyDescent="0.2">
      <c r="A12346" s="8" t="s">
        <v>12369</v>
      </c>
      <c r="B12346" s="2" t="s">
        <v>12473</v>
      </c>
    </row>
    <row r="12347" spans="1:2" x14ac:dyDescent="0.2">
      <c r="A12347" s="8" t="s">
        <v>12370</v>
      </c>
      <c r="B12347" s="2" t="s">
        <v>12473</v>
      </c>
    </row>
    <row r="12348" spans="1:2" x14ac:dyDescent="0.2">
      <c r="A12348" s="8" t="s">
        <v>12371</v>
      </c>
      <c r="B12348" s="2" t="s">
        <v>12473</v>
      </c>
    </row>
    <row r="12349" spans="1:2" x14ac:dyDescent="0.2">
      <c r="A12349" s="8" t="s">
        <v>12372</v>
      </c>
      <c r="B12349" s="2" t="s">
        <v>12473</v>
      </c>
    </row>
    <row r="12350" spans="1:2" x14ac:dyDescent="0.2">
      <c r="A12350" s="8" t="s">
        <v>12373</v>
      </c>
      <c r="B12350" s="2" t="s">
        <v>12473</v>
      </c>
    </row>
    <row r="12351" spans="1:2" x14ac:dyDescent="0.2">
      <c r="A12351" s="8" t="s">
        <v>12374</v>
      </c>
      <c r="B12351" s="2" t="s">
        <v>12473</v>
      </c>
    </row>
    <row r="12352" spans="1:2" x14ac:dyDescent="0.2">
      <c r="A12352" s="8" t="s">
        <v>12375</v>
      </c>
      <c r="B12352" s="2" t="s">
        <v>12473</v>
      </c>
    </row>
    <row r="12353" spans="1:2" x14ac:dyDescent="0.2">
      <c r="A12353" s="8" t="s">
        <v>12376</v>
      </c>
      <c r="B12353" s="2" t="s">
        <v>12473</v>
      </c>
    </row>
    <row r="12354" spans="1:2" x14ac:dyDescent="0.2">
      <c r="A12354" s="8" t="s">
        <v>12377</v>
      </c>
      <c r="B12354" s="2" t="s">
        <v>12473</v>
      </c>
    </row>
    <row r="12355" spans="1:2" x14ac:dyDescent="0.2">
      <c r="A12355" s="8" t="s">
        <v>12378</v>
      </c>
      <c r="B12355" s="2" t="s">
        <v>12473</v>
      </c>
    </row>
    <row r="12356" spans="1:2" x14ac:dyDescent="0.2">
      <c r="A12356" s="8" t="s">
        <v>12379</v>
      </c>
      <c r="B12356" s="2" t="s">
        <v>12473</v>
      </c>
    </row>
    <row r="12357" spans="1:2" x14ac:dyDescent="0.2">
      <c r="A12357" s="8" t="s">
        <v>12380</v>
      </c>
      <c r="B12357" s="2" t="s">
        <v>12473</v>
      </c>
    </row>
    <row r="12358" spans="1:2" x14ac:dyDescent="0.2">
      <c r="A12358" s="8" t="s">
        <v>12381</v>
      </c>
      <c r="B12358" s="2" t="s">
        <v>12473</v>
      </c>
    </row>
    <row r="12359" spans="1:2" x14ac:dyDescent="0.2">
      <c r="A12359" s="8" t="s">
        <v>12382</v>
      </c>
      <c r="B12359" s="2" t="s">
        <v>12473</v>
      </c>
    </row>
    <row r="12360" spans="1:2" x14ac:dyDescent="0.2">
      <c r="A12360" s="8" t="s">
        <v>12383</v>
      </c>
      <c r="B12360" s="2" t="s">
        <v>12473</v>
      </c>
    </row>
    <row r="12361" spans="1:2" x14ac:dyDescent="0.2">
      <c r="A12361" s="8" t="s">
        <v>12384</v>
      </c>
      <c r="B12361" s="2" t="s">
        <v>12473</v>
      </c>
    </row>
    <row r="12362" spans="1:2" x14ac:dyDescent="0.2">
      <c r="A12362" s="8" t="s">
        <v>12385</v>
      </c>
      <c r="B12362" s="2" t="s">
        <v>12473</v>
      </c>
    </row>
    <row r="12363" spans="1:2" x14ac:dyDescent="0.2">
      <c r="A12363" s="8" t="s">
        <v>12386</v>
      </c>
      <c r="B12363" s="2" t="s">
        <v>12473</v>
      </c>
    </row>
    <row r="12364" spans="1:2" x14ac:dyDescent="0.2">
      <c r="A12364" s="8" t="s">
        <v>12387</v>
      </c>
      <c r="B12364" s="2" t="s">
        <v>12473</v>
      </c>
    </row>
    <row r="12365" spans="1:2" x14ac:dyDescent="0.2">
      <c r="A12365" s="8" t="s">
        <v>12388</v>
      </c>
      <c r="B12365" s="2" t="s">
        <v>12473</v>
      </c>
    </row>
    <row r="12366" spans="1:2" x14ac:dyDescent="0.2">
      <c r="A12366" s="8" t="s">
        <v>12389</v>
      </c>
      <c r="B12366" s="2" t="s">
        <v>12473</v>
      </c>
    </row>
    <row r="12367" spans="1:2" x14ac:dyDescent="0.2">
      <c r="A12367" s="8" t="s">
        <v>12390</v>
      </c>
      <c r="B12367" s="2" t="s">
        <v>12473</v>
      </c>
    </row>
    <row r="12368" spans="1:2" x14ac:dyDescent="0.2">
      <c r="A12368" s="8" t="s">
        <v>12391</v>
      </c>
      <c r="B12368" s="2" t="s">
        <v>12473</v>
      </c>
    </row>
    <row r="12369" spans="1:2" x14ac:dyDescent="0.2">
      <c r="A12369" s="8" t="s">
        <v>12392</v>
      </c>
      <c r="B12369" s="2" t="s">
        <v>12473</v>
      </c>
    </row>
    <row r="12370" spans="1:2" x14ac:dyDescent="0.2">
      <c r="A12370" s="8" t="s">
        <v>12393</v>
      </c>
      <c r="B12370" s="2" t="s">
        <v>12473</v>
      </c>
    </row>
    <row r="12371" spans="1:2" x14ac:dyDescent="0.2">
      <c r="A12371" s="8" t="s">
        <v>12394</v>
      </c>
      <c r="B12371" s="2" t="s">
        <v>12473</v>
      </c>
    </row>
    <row r="12372" spans="1:2" x14ac:dyDescent="0.2">
      <c r="A12372" s="8" t="s">
        <v>12395</v>
      </c>
      <c r="B12372" s="2" t="s">
        <v>12473</v>
      </c>
    </row>
    <row r="12373" spans="1:2" x14ac:dyDescent="0.2">
      <c r="A12373" s="8" t="s">
        <v>12396</v>
      </c>
      <c r="B12373" s="2" t="s">
        <v>12473</v>
      </c>
    </row>
    <row r="12374" spans="1:2" x14ac:dyDescent="0.2">
      <c r="A12374" s="8" t="s">
        <v>12397</v>
      </c>
      <c r="B12374" s="2" t="s">
        <v>12473</v>
      </c>
    </row>
    <row r="12375" spans="1:2" x14ac:dyDescent="0.2">
      <c r="A12375" s="8" t="s">
        <v>12398</v>
      </c>
      <c r="B12375" s="2" t="s">
        <v>12473</v>
      </c>
    </row>
    <row r="12376" spans="1:2" x14ac:dyDescent="0.2">
      <c r="A12376" s="8" t="s">
        <v>12399</v>
      </c>
      <c r="B12376" s="2" t="s">
        <v>12473</v>
      </c>
    </row>
    <row r="12377" spans="1:2" x14ac:dyDescent="0.2">
      <c r="A12377" s="8" t="s">
        <v>12400</v>
      </c>
      <c r="B12377" s="2" t="s">
        <v>12473</v>
      </c>
    </row>
    <row r="12378" spans="1:2" x14ac:dyDescent="0.2">
      <c r="A12378" s="8" t="s">
        <v>12401</v>
      </c>
      <c r="B12378" s="2" t="s">
        <v>12473</v>
      </c>
    </row>
    <row r="12379" spans="1:2" x14ac:dyDescent="0.2">
      <c r="A12379" s="8" t="s">
        <v>12402</v>
      </c>
      <c r="B12379" s="2" t="s">
        <v>12473</v>
      </c>
    </row>
    <row r="12380" spans="1:2" x14ac:dyDescent="0.2">
      <c r="A12380" s="8" t="s">
        <v>12403</v>
      </c>
      <c r="B12380" s="2" t="s">
        <v>12473</v>
      </c>
    </row>
    <row r="12381" spans="1:2" x14ac:dyDescent="0.2">
      <c r="A12381" s="8" t="s">
        <v>12404</v>
      </c>
      <c r="B12381" s="2" t="s">
        <v>12473</v>
      </c>
    </row>
    <row r="12382" spans="1:2" x14ac:dyDescent="0.2">
      <c r="A12382" s="8" t="s">
        <v>12405</v>
      </c>
      <c r="B12382" s="2" t="s">
        <v>12473</v>
      </c>
    </row>
    <row r="12383" spans="1:2" x14ac:dyDescent="0.2">
      <c r="A12383" s="8" t="s">
        <v>12406</v>
      </c>
      <c r="B12383" s="2" t="s">
        <v>12473</v>
      </c>
    </row>
    <row r="12384" spans="1:2" x14ac:dyDescent="0.2">
      <c r="A12384" s="8" t="s">
        <v>12407</v>
      </c>
      <c r="B12384" s="2" t="s">
        <v>12473</v>
      </c>
    </row>
    <row r="12385" spans="1:2" x14ac:dyDescent="0.2">
      <c r="A12385" s="8" t="s">
        <v>12408</v>
      </c>
      <c r="B12385" s="2" t="s">
        <v>12473</v>
      </c>
    </row>
    <row r="12386" spans="1:2" x14ac:dyDescent="0.2">
      <c r="A12386" s="8" t="s">
        <v>12409</v>
      </c>
      <c r="B12386" s="2" t="s">
        <v>12473</v>
      </c>
    </row>
    <row r="12387" spans="1:2" x14ac:dyDescent="0.2">
      <c r="A12387" s="8" t="s">
        <v>12410</v>
      </c>
      <c r="B12387" s="2" t="s">
        <v>12473</v>
      </c>
    </row>
    <row r="12388" spans="1:2" x14ac:dyDescent="0.2">
      <c r="A12388" s="8" t="s">
        <v>12411</v>
      </c>
      <c r="B12388" s="2" t="s">
        <v>12473</v>
      </c>
    </row>
    <row r="12389" spans="1:2" x14ac:dyDescent="0.2">
      <c r="A12389" s="8" t="s">
        <v>12412</v>
      </c>
      <c r="B12389" s="2" t="s">
        <v>12473</v>
      </c>
    </row>
    <row r="12390" spans="1:2" x14ac:dyDescent="0.2">
      <c r="A12390" s="8" t="s">
        <v>12413</v>
      </c>
      <c r="B12390" s="2" t="s">
        <v>12473</v>
      </c>
    </row>
    <row r="12391" spans="1:2" x14ac:dyDescent="0.2">
      <c r="A12391" s="8" t="s">
        <v>12414</v>
      </c>
      <c r="B12391" s="2" t="s">
        <v>12473</v>
      </c>
    </row>
    <row r="12392" spans="1:2" x14ac:dyDescent="0.2">
      <c r="A12392" s="8" t="s">
        <v>12415</v>
      </c>
      <c r="B12392" s="2" t="s">
        <v>12473</v>
      </c>
    </row>
    <row r="12393" spans="1:2" x14ac:dyDescent="0.2">
      <c r="A12393" s="8" t="s">
        <v>12416</v>
      </c>
      <c r="B12393" s="2" t="s">
        <v>12473</v>
      </c>
    </row>
    <row r="12394" spans="1:2" x14ac:dyDescent="0.2">
      <c r="A12394" s="8" t="s">
        <v>12417</v>
      </c>
      <c r="B12394" s="2" t="s">
        <v>12473</v>
      </c>
    </row>
    <row r="12395" spans="1:2" x14ac:dyDescent="0.2">
      <c r="A12395" s="8" t="s">
        <v>12418</v>
      </c>
      <c r="B12395" s="2" t="s">
        <v>12473</v>
      </c>
    </row>
    <row r="12396" spans="1:2" x14ac:dyDescent="0.2">
      <c r="A12396" s="8" t="s">
        <v>12419</v>
      </c>
      <c r="B12396" s="2" t="s">
        <v>12473</v>
      </c>
    </row>
    <row r="12397" spans="1:2" x14ac:dyDescent="0.2">
      <c r="A12397" s="8" t="s">
        <v>12420</v>
      </c>
      <c r="B12397" s="2" t="s">
        <v>12473</v>
      </c>
    </row>
    <row r="12398" spans="1:2" x14ac:dyDescent="0.2">
      <c r="A12398" s="8" t="s">
        <v>12421</v>
      </c>
      <c r="B12398" s="2" t="s">
        <v>12473</v>
      </c>
    </row>
    <row r="12399" spans="1:2" x14ac:dyDescent="0.2">
      <c r="A12399" s="8" t="s">
        <v>12422</v>
      </c>
      <c r="B12399" s="2" t="s">
        <v>12473</v>
      </c>
    </row>
    <row r="12400" spans="1:2" x14ac:dyDescent="0.2">
      <c r="A12400" s="8" t="s">
        <v>12423</v>
      </c>
      <c r="B12400" s="2" t="s">
        <v>12473</v>
      </c>
    </row>
    <row r="12401" spans="1:2" x14ac:dyDescent="0.2">
      <c r="A12401" s="8" t="s">
        <v>12424</v>
      </c>
      <c r="B12401" s="2" t="s">
        <v>12473</v>
      </c>
    </row>
    <row r="12402" spans="1:2" x14ac:dyDescent="0.2">
      <c r="A12402" s="8" t="s">
        <v>12425</v>
      </c>
      <c r="B12402" s="2" t="s">
        <v>12473</v>
      </c>
    </row>
    <row r="12403" spans="1:2" x14ac:dyDescent="0.2">
      <c r="A12403" s="8" t="s">
        <v>12426</v>
      </c>
      <c r="B12403" s="2" t="s">
        <v>12473</v>
      </c>
    </row>
    <row r="12404" spans="1:2" x14ac:dyDescent="0.2">
      <c r="A12404" s="8" t="s">
        <v>12427</v>
      </c>
      <c r="B12404" s="2" t="s">
        <v>12473</v>
      </c>
    </row>
    <row r="12405" spans="1:2" x14ac:dyDescent="0.2">
      <c r="A12405" s="8" t="s">
        <v>12428</v>
      </c>
      <c r="B12405" s="2" t="s">
        <v>12473</v>
      </c>
    </row>
    <row r="12406" spans="1:2" x14ac:dyDescent="0.2">
      <c r="A12406" s="8" t="s">
        <v>12429</v>
      </c>
      <c r="B12406" s="2" t="s">
        <v>12473</v>
      </c>
    </row>
    <row r="12407" spans="1:2" x14ac:dyDescent="0.2">
      <c r="A12407" s="8" t="s">
        <v>12430</v>
      </c>
      <c r="B12407" s="2" t="s">
        <v>12473</v>
      </c>
    </row>
    <row r="12408" spans="1:2" x14ac:dyDescent="0.2">
      <c r="A12408" s="8" t="s">
        <v>12431</v>
      </c>
      <c r="B12408" s="2" t="s">
        <v>12473</v>
      </c>
    </row>
    <row r="12409" spans="1:2" x14ac:dyDescent="0.2">
      <c r="A12409" s="8" t="s">
        <v>12432</v>
      </c>
      <c r="B12409" s="2" t="s">
        <v>12473</v>
      </c>
    </row>
    <row r="12410" spans="1:2" x14ac:dyDescent="0.2">
      <c r="A12410" s="8" t="s">
        <v>12433</v>
      </c>
      <c r="B12410" s="2" t="s">
        <v>12473</v>
      </c>
    </row>
    <row r="12411" spans="1:2" x14ac:dyDescent="0.2">
      <c r="A12411" s="8" t="s">
        <v>12434</v>
      </c>
      <c r="B12411" s="2" t="s">
        <v>12473</v>
      </c>
    </row>
    <row r="12412" spans="1:2" x14ac:dyDescent="0.2">
      <c r="A12412" s="8" t="s">
        <v>12435</v>
      </c>
      <c r="B12412" s="2" t="s">
        <v>12473</v>
      </c>
    </row>
    <row r="12413" spans="1:2" x14ac:dyDescent="0.2">
      <c r="A12413" s="8" t="s">
        <v>12436</v>
      </c>
      <c r="B12413" s="2" t="s">
        <v>12473</v>
      </c>
    </row>
    <row r="12414" spans="1:2" x14ac:dyDescent="0.2">
      <c r="A12414" s="8" t="s">
        <v>12437</v>
      </c>
      <c r="B12414" s="2" t="s">
        <v>12473</v>
      </c>
    </row>
    <row r="12415" spans="1:2" x14ac:dyDescent="0.2">
      <c r="A12415" s="8" t="s">
        <v>12438</v>
      </c>
      <c r="B12415" s="2" t="s">
        <v>12473</v>
      </c>
    </row>
    <row r="12416" spans="1:2" x14ac:dyDescent="0.2">
      <c r="A12416" s="8" t="s">
        <v>12439</v>
      </c>
      <c r="B12416" s="2" t="s">
        <v>12473</v>
      </c>
    </row>
    <row r="12417" spans="1:2" x14ac:dyDescent="0.2">
      <c r="A12417" s="8" t="s">
        <v>12440</v>
      </c>
      <c r="B12417" s="2" t="s">
        <v>12473</v>
      </c>
    </row>
    <row r="12418" spans="1:2" x14ac:dyDescent="0.2">
      <c r="A12418" s="8" t="s">
        <v>12441</v>
      </c>
      <c r="B12418" s="2" t="s">
        <v>12473</v>
      </c>
    </row>
    <row r="12419" spans="1:2" x14ac:dyDescent="0.2">
      <c r="A12419" s="8" t="s">
        <v>12442</v>
      </c>
      <c r="B12419" s="2" t="s">
        <v>12473</v>
      </c>
    </row>
    <row r="12420" spans="1:2" x14ac:dyDescent="0.2">
      <c r="A12420" s="8" t="s">
        <v>12443</v>
      </c>
      <c r="B12420" s="2" t="s">
        <v>12473</v>
      </c>
    </row>
    <row r="12421" spans="1:2" x14ac:dyDescent="0.2">
      <c r="A12421" s="8" t="s">
        <v>12444</v>
      </c>
      <c r="B12421" s="2" t="s">
        <v>12473</v>
      </c>
    </row>
    <row r="12422" spans="1:2" x14ac:dyDescent="0.2">
      <c r="A12422" s="8" t="s">
        <v>12445</v>
      </c>
      <c r="B12422" s="2" t="s">
        <v>12473</v>
      </c>
    </row>
    <row r="12423" spans="1:2" x14ac:dyDescent="0.2">
      <c r="A12423" s="8" t="s">
        <v>12446</v>
      </c>
      <c r="B12423" s="2" t="s">
        <v>12473</v>
      </c>
    </row>
    <row r="12424" spans="1:2" x14ac:dyDescent="0.2">
      <c r="A12424" s="8" t="s">
        <v>12447</v>
      </c>
      <c r="B12424" s="2" t="s">
        <v>12473</v>
      </c>
    </row>
    <row r="12425" spans="1:2" x14ac:dyDescent="0.2">
      <c r="A12425" s="8" t="s">
        <v>12448</v>
      </c>
      <c r="B12425" s="2" t="s">
        <v>12473</v>
      </c>
    </row>
    <row r="12426" spans="1:2" x14ac:dyDescent="0.2">
      <c r="A12426" s="8" t="s">
        <v>12449</v>
      </c>
      <c r="B12426" s="2" t="s">
        <v>12473</v>
      </c>
    </row>
    <row r="12427" spans="1:2" x14ac:dyDescent="0.2">
      <c r="A12427" s="8" t="s">
        <v>12450</v>
      </c>
      <c r="B12427" s="2" t="s">
        <v>12473</v>
      </c>
    </row>
    <row r="12428" spans="1:2" x14ac:dyDescent="0.2">
      <c r="A12428" s="8" t="s">
        <v>12451</v>
      </c>
      <c r="B12428" s="2" t="s">
        <v>12473</v>
      </c>
    </row>
    <row r="12429" spans="1:2" x14ac:dyDescent="0.2">
      <c r="A12429" s="9" t="s">
        <v>12452</v>
      </c>
      <c r="B12429" s="2" t="s">
        <v>12473</v>
      </c>
    </row>
  </sheetData>
  <mergeCells count="4">
    <mergeCell ref="D3:E3"/>
    <mergeCell ref="D4:E4"/>
    <mergeCell ref="A4:B4"/>
    <mergeCell ref="A3:B3"/>
  </mergeCells>
  <pageMargins left="0.75" right="0.75" top="1" bottom="1" header="0" footer="0"/>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B4:D42"/>
  <sheetViews>
    <sheetView zoomScale="86" zoomScaleNormal="86" workbookViewId="0">
      <selection activeCell="E21" sqref="E21"/>
    </sheetView>
  </sheetViews>
  <sheetFormatPr baseColWidth="10" defaultRowHeight="15" x14ac:dyDescent="0.25"/>
  <cols>
    <col min="2" max="2" width="27.7109375" bestFit="1" customWidth="1"/>
    <col min="3" max="3" width="32.7109375" bestFit="1" customWidth="1"/>
    <col min="4" max="4" width="29.85546875" bestFit="1" customWidth="1"/>
    <col min="5" max="5" width="19.85546875" bestFit="1" customWidth="1"/>
    <col min="6" max="6" width="25.28515625" bestFit="1" customWidth="1"/>
    <col min="7" max="7" width="24.42578125" bestFit="1" customWidth="1"/>
    <col min="8" max="8" width="11.140625" bestFit="1" customWidth="1"/>
    <col min="9" max="9" width="13" bestFit="1" customWidth="1"/>
  </cols>
  <sheetData>
    <row r="4" spans="2:4" x14ac:dyDescent="0.25">
      <c r="B4" s="16" t="s">
        <v>19271</v>
      </c>
      <c r="C4" t="s">
        <v>19290</v>
      </c>
      <c r="D4" t="s">
        <v>19274</v>
      </c>
    </row>
    <row r="5" spans="2:4" x14ac:dyDescent="0.25">
      <c r="B5" s="17" t="s">
        <v>19272</v>
      </c>
    </row>
    <row r="6" spans="2:4" x14ac:dyDescent="0.25">
      <c r="B6" s="40" t="s">
        <v>19272</v>
      </c>
    </row>
    <row r="7" spans="2:4" x14ac:dyDescent="0.25">
      <c r="B7" s="17">
        <v>1</v>
      </c>
      <c r="C7">
        <v>66</v>
      </c>
      <c r="D7">
        <v>593</v>
      </c>
    </row>
    <row r="8" spans="2:4" x14ac:dyDescent="0.25">
      <c r="B8" s="40" t="s">
        <v>19263</v>
      </c>
      <c r="C8">
        <v>4</v>
      </c>
      <c r="D8">
        <v>85</v>
      </c>
    </row>
    <row r="9" spans="2:4" x14ac:dyDescent="0.25">
      <c r="B9" s="40" t="s">
        <v>19269</v>
      </c>
      <c r="C9">
        <v>62</v>
      </c>
      <c r="D9">
        <v>508</v>
      </c>
    </row>
    <row r="10" spans="2:4" x14ac:dyDescent="0.25">
      <c r="B10" s="17">
        <v>2</v>
      </c>
      <c r="C10">
        <v>66</v>
      </c>
      <c r="D10">
        <v>500</v>
      </c>
    </row>
    <row r="11" spans="2:4" x14ac:dyDescent="0.25">
      <c r="B11" s="40" t="s">
        <v>19263</v>
      </c>
      <c r="C11">
        <v>1</v>
      </c>
      <c r="D11">
        <v>3</v>
      </c>
    </row>
    <row r="12" spans="2:4" x14ac:dyDescent="0.25">
      <c r="B12" s="40" t="s">
        <v>19269</v>
      </c>
      <c r="C12">
        <v>65</v>
      </c>
      <c r="D12">
        <v>497</v>
      </c>
    </row>
    <row r="13" spans="2:4" x14ac:dyDescent="0.25">
      <c r="B13" s="17">
        <v>3</v>
      </c>
      <c r="C13">
        <v>35</v>
      </c>
      <c r="D13">
        <v>268</v>
      </c>
    </row>
    <row r="14" spans="2:4" x14ac:dyDescent="0.25">
      <c r="B14" s="40" t="s">
        <v>19263</v>
      </c>
      <c r="C14">
        <v>1</v>
      </c>
      <c r="D14">
        <v>7</v>
      </c>
    </row>
    <row r="15" spans="2:4" x14ac:dyDescent="0.25">
      <c r="B15" s="40" t="s">
        <v>19269</v>
      </c>
      <c r="C15">
        <v>34</v>
      </c>
      <c r="D15">
        <v>261</v>
      </c>
    </row>
    <row r="16" spans="2:4" x14ac:dyDescent="0.25">
      <c r="B16" s="17">
        <v>4</v>
      </c>
      <c r="C16">
        <v>31</v>
      </c>
      <c r="D16">
        <v>314</v>
      </c>
    </row>
    <row r="17" spans="2:4" x14ac:dyDescent="0.25">
      <c r="B17" s="40" t="s">
        <v>19263</v>
      </c>
      <c r="C17">
        <v>1</v>
      </c>
      <c r="D17">
        <v>30</v>
      </c>
    </row>
    <row r="18" spans="2:4" x14ac:dyDescent="0.25">
      <c r="B18" s="40" t="s">
        <v>19269</v>
      </c>
      <c r="C18">
        <v>30</v>
      </c>
      <c r="D18">
        <v>284</v>
      </c>
    </row>
    <row r="19" spans="2:4" x14ac:dyDescent="0.25">
      <c r="B19" s="17">
        <v>8</v>
      </c>
      <c r="C19">
        <v>56</v>
      </c>
      <c r="D19">
        <v>648</v>
      </c>
    </row>
    <row r="20" spans="2:4" x14ac:dyDescent="0.25">
      <c r="B20" s="40" t="s">
        <v>19263</v>
      </c>
      <c r="C20">
        <v>5</v>
      </c>
      <c r="D20">
        <v>51</v>
      </c>
    </row>
    <row r="21" spans="2:4" x14ac:dyDescent="0.25">
      <c r="B21" s="40" t="s">
        <v>19269</v>
      </c>
      <c r="C21">
        <v>51</v>
      </c>
      <c r="D21">
        <v>597</v>
      </c>
    </row>
    <row r="22" spans="2:4" x14ac:dyDescent="0.25">
      <c r="B22" s="17">
        <v>5</v>
      </c>
      <c r="C22">
        <v>61</v>
      </c>
      <c r="D22">
        <v>515</v>
      </c>
    </row>
    <row r="23" spans="2:4" x14ac:dyDescent="0.25">
      <c r="B23" s="40" t="s">
        <v>19263</v>
      </c>
      <c r="C23">
        <v>2</v>
      </c>
      <c r="D23">
        <v>33</v>
      </c>
    </row>
    <row r="24" spans="2:4" x14ac:dyDescent="0.25">
      <c r="B24" s="40" t="s">
        <v>19269</v>
      </c>
      <c r="C24">
        <v>59</v>
      </c>
      <c r="D24">
        <v>482</v>
      </c>
    </row>
    <row r="25" spans="2:4" x14ac:dyDescent="0.25">
      <c r="B25" s="17">
        <v>6</v>
      </c>
      <c r="C25">
        <v>52</v>
      </c>
      <c r="D25">
        <v>416</v>
      </c>
    </row>
    <row r="26" spans="2:4" x14ac:dyDescent="0.25">
      <c r="B26" s="40" t="s">
        <v>19263</v>
      </c>
      <c r="C26">
        <v>4</v>
      </c>
      <c r="D26">
        <v>43</v>
      </c>
    </row>
    <row r="27" spans="2:4" x14ac:dyDescent="0.25">
      <c r="B27" s="40" t="s">
        <v>19269</v>
      </c>
      <c r="C27">
        <v>48</v>
      </c>
      <c r="D27">
        <v>373</v>
      </c>
    </row>
    <row r="28" spans="2:4" x14ac:dyDescent="0.25">
      <c r="B28" s="17">
        <v>9</v>
      </c>
      <c r="C28">
        <v>58</v>
      </c>
      <c r="D28">
        <v>664</v>
      </c>
    </row>
    <row r="29" spans="2:4" x14ac:dyDescent="0.25">
      <c r="B29" s="40" t="s">
        <v>19263</v>
      </c>
      <c r="C29">
        <v>5</v>
      </c>
      <c r="D29">
        <v>77</v>
      </c>
    </row>
    <row r="30" spans="2:4" x14ac:dyDescent="0.25">
      <c r="B30" s="40" t="s">
        <v>19269</v>
      </c>
      <c r="C30">
        <v>52</v>
      </c>
      <c r="D30">
        <v>573</v>
      </c>
    </row>
    <row r="31" spans="2:4" x14ac:dyDescent="0.25">
      <c r="B31" s="40" t="s">
        <v>19264</v>
      </c>
      <c r="C31">
        <v>1</v>
      </c>
      <c r="D31">
        <v>14</v>
      </c>
    </row>
    <row r="32" spans="2:4" x14ac:dyDescent="0.25">
      <c r="B32" s="17">
        <v>7</v>
      </c>
      <c r="C32">
        <v>37</v>
      </c>
      <c r="D32">
        <v>434</v>
      </c>
    </row>
    <row r="33" spans="2:4" x14ac:dyDescent="0.25">
      <c r="B33" s="40" t="s">
        <v>19263</v>
      </c>
      <c r="C33">
        <v>3</v>
      </c>
      <c r="D33">
        <v>61</v>
      </c>
    </row>
    <row r="34" spans="2:4" x14ac:dyDescent="0.25">
      <c r="B34" s="40" t="s">
        <v>19269</v>
      </c>
      <c r="C34">
        <v>34</v>
      </c>
      <c r="D34">
        <v>373</v>
      </c>
    </row>
    <row r="35" spans="2:4" x14ac:dyDescent="0.25">
      <c r="B35" s="17">
        <v>10</v>
      </c>
      <c r="C35">
        <v>27</v>
      </c>
      <c r="D35">
        <v>338</v>
      </c>
    </row>
    <row r="36" spans="2:4" x14ac:dyDescent="0.25">
      <c r="B36" s="40" t="s">
        <v>19263</v>
      </c>
      <c r="C36">
        <v>1</v>
      </c>
      <c r="D36">
        <v>5</v>
      </c>
    </row>
    <row r="37" spans="2:4" x14ac:dyDescent="0.25">
      <c r="B37" s="40" t="s">
        <v>19269</v>
      </c>
      <c r="C37">
        <v>26</v>
      </c>
      <c r="D37">
        <v>333</v>
      </c>
    </row>
    <row r="38" spans="2:4" x14ac:dyDescent="0.25">
      <c r="B38" s="17">
        <v>11</v>
      </c>
      <c r="C38">
        <v>38</v>
      </c>
      <c r="D38">
        <v>338</v>
      </c>
    </row>
    <row r="39" spans="2:4" x14ac:dyDescent="0.25">
      <c r="B39" s="40" t="s">
        <v>19269</v>
      </c>
      <c r="C39">
        <v>38</v>
      </c>
      <c r="D39">
        <v>338</v>
      </c>
    </row>
    <row r="40" spans="2:4" x14ac:dyDescent="0.25">
      <c r="B40" s="17">
        <v>12</v>
      </c>
      <c r="C40">
        <v>19</v>
      </c>
      <c r="D40">
        <v>228</v>
      </c>
    </row>
    <row r="41" spans="2:4" x14ac:dyDescent="0.25">
      <c r="B41" s="40" t="s">
        <v>19269</v>
      </c>
      <c r="C41">
        <v>19</v>
      </c>
      <c r="D41">
        <v>228</v>
      </c>
    </row>
    <row r="42" spans="2:4" x14ac:dyDescent="0.25">
      <c r="B42" s="17" t="s">
        <v>19273</v>
      </c>
      <c r="C42">
        <v>546</v>
      </c>
      <c r="D42">
        <v>5256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21"/>
  <dimension ref="A1:D12427"/>
  <sheetViews>
    <sheetView topLeftCell="A12242" workbookViewId="0">
      <selection activeCell="E21" sqref="E21"/>
    </sheetView>
  </sheetViews>
  <sheetFormatPr baseColWidth="10" defaultRowHeight="15" x14ac:dyDescent="0.25"/>
  <cols>
    <col min="2" max="2" width="255.7109375" bestFit="1" customWidth="1"/>
  </cols>
  <sheetData>
    <row r="1" spans="1:4" x14ac:dyDescent="0.25">
      <c r="A1" s="11" t="s">
        <v>12483</v>
      </c>
      <c r="B1" s="11" t="s">
        <v>12484</v>
      </c>
      <c r="C1" t="s">
        <v>12485</v>
      </c>
      <c r="D1" t="s">
        <v>12486</v>
      </c>
    </row>
    <row r="2" spans="1:4" x14ac:dyDescent="0.25">
      <c r="A2" s="43" t="s">
        <v>30</v>
      </c>
      <c r="B2" s="44" t="s">
        <v>12487</v>
      </c>
      <c r="C2">
        <v>1</v>
      </c>
      <c r="D2">
        <v>1</v>
      </c>
    </row>
    <row r="3" spans="1:4" x14ac:dyDescent="0.25">
      <c r="A3" s="45" t="s">
        <v>31</v>
      </c>
      <c r="B3" s="46" t="s">
        <v>12488</v>
      </c>
      <c r="C3">
        <v>1</v>
      </c>
      <c r="D3">
        <v>1</v>
      </c>
    </row>
    <row r="4" spans="1:4" x14ac:dyDescent="0.25">
      <c r="A4" s="45" t="s">
        <v>32</v>
      </c>
      <c r="B4" s="46" t="s">
        <v>19292</v>
      </c>
      <c r="C4">
        <v>1</v>
      </c>
      <c r="D4">
        <v>1</v>
      </c>
    </row>
    <row r="5" spans="1:4" x14ac:dyDescent="0.25">
      <c r="A5" s="45" t="s">
        <v>33</v>
      </c>
      <c r="B5" s="46" t="s">
        <v>12489</v>
      </c>
      <c r="C5">
        <v>1</v>
      </c>
      <c r="D5">
        <v>1</v>
      </c>
    </row>
    <row r="6" spans="1:4" x14ac:dyDescent="0.25">
      <c r="A6" s="45" t="s">
        <v>34</v>
      </c>
      <c r="B6" s="46" t="s">
        <v>12490</v>
      </c>
      <c r="C6">
        <v>1</v>
      </c>
      <c r="D6">
        <v>1</v>
      </c>
    </row>
    <row r="7" spans="1:4" x14ac:dyDescent="0.25">
      <c r="A7" s="45" t="s">
        <v>35</v>
      </c>
      <c r="B7" s="46" t="s">
        <v>12491</v>
      </c>
      <c r="C7">
        <v>1</v>
      </c>
      <c r="D7">
        <v>1</v>
      </c>
    </row>
    <row r="8" spans="1:4" x14ac:dyDescent="0.25">
      <c r="A8" s="45" t="s">
        <v>36</v>
      </c>
      <c r="B8" s="46" t="s">
        <v>12492</v>
      </c>
      <c r="C8">
        <v>1</v>
      </c>
      <c r="D8">
        <v>1</v>
      </c>
    </row>
    <row r="9" spans="1:4" x14ac:dyDescent="0.25">
      <c r="A9" s="45" t="s">
        <v>37</v>
      </c>
      <c r="B9" s="46" t="s">
        <v>12493</v>
      </c>
      <c r="C9">
        <v>1</v>
      </c>
      <c r="D9">
        <v>1</v>
      </c>
    </row>
    <row r="10" spans="1:4" x14ac:dyDescent="0.25">
      <c r="A10" s="45" t="s">
        <v>38</v>
      </c>
      <c r="B10" s="46" t="s">
        <v>12494</v>
      </c>
      <c r="C10">
        <v>1</v>
      </c>
      <c r="D10">
        <v>1</v>
      </c>
    </row>
    <row r="11" spans="1:4" x14ac:dyDescent="0.25">
      <c r="A11" s="45" t="s">
        <v>39</v>
      </c>
      <c r="B11" s="46" t="s">
        <v>12495</v>
      </c>
      <c r="C11">
        <v>1</v>
      </c>
      <c r="D11">
        <v>1</v>
      </c>
    </row>
    <row r="12" spans="1:4" x14ac:dyDescent="0.25">
      <c r="A12" s="45" t="s">
        <v>40</v>
      </c>
      <c r="B12" s="46" t="s">
        <v>19293</v>
      </c>
      <c r="C12">
        <v>1</v>
      </c>
      <c r="D12">
        <v>1</v>
      </c>
    </row>
    <row r="13" spans="1:4" x14ac:dyDescent="0.25">
      <c r="A13" s="45" t="s">
        <v>41</v>
      </c>
      <c r="B13" s="46" t="s">
        <v>12496</v>
      </c>
      <c r="C13">
        <v>1</v>
      </c>
      <c r="D13">
        <v>1</v>
      </c>
    </row>
    <row r="14" spans="1:4" x14ac:dyDescent="0.25">
      <c r="A14" s="45" t="s">
        <v>42</v>
      </c>
      <c r="B14" s="46" t="s">
        <v>19294</v>
      </c>
      <c r="C14">
        <v>1</v>
      </c>
      <c r="D14">
        <v>1</v>
      </c>
    </row>
    <row r="15" spans="1:4" x14ac:dyDescent="0.25">
      <c r="A15" s="45" t="s">
        <v>43</v>
      </c>
      <c r="B15" s="46" t="s">
        <v>12497</v>
      </c>
      <c r="C15">
        <v>1</v>
      </c>
      <c r="D15">
        <v>1</v>
      </c>
    </row>
    <row r="16" spans="1:4" x14ac:dyDescent="0.25">
      <c r="A16" s="45" t="s">
        <v>44</v>
      </c>
      <c r="B16" s="46" t="s">
        <v>12498</v>
      </c>
      <c r="C16">
        <v>1</v>
      </c>
      <c r="D16">
        <v>1</v>
      </c>
    </row>
    <row r="17" spans="1:4" x14ac:dyDescent="0.25">
      <c r="A17" s="45" t="s">
        <v>45</v>
      </c>
      <c r="B17" s="46" t="s">
        <v>12499</v>
      </c>
      <c r="C17">
        <v>1</v>
      </c>
      <c r="D17">
        <v>1</v>
      </c>
    </row>
    <row r="18" spans="1:4" x14ac:dyDescent="0.25">
      <c r="A18" s="45" t="s">
        <v>46</v>
      </c>
      <c r="B18" s="46" t="s">
        <v>12500</v>
      </c>
      <c r="C18">
        <v>1</v>
      </c>
      <c r="D18">
        <v>1</v>
      </c>
    </row>
    <row r="19" spans="1:4" x14ac:dyDescent="0.25">
      <c r="A19" s="45" t="s">
        <v>47</v>
      </c>
      <c r="B19" s="46" t="s">
        <v>12501</v>
      </c>
      <c r="C19">
        <v>1</v>
      </c>
      <c r="D19">
        <v>1</v>
      </c>
    </row>
    <row r="20" spans="1:4" x14ac:dyDescent="0.25">
      <c r="A20" s="45" t="s">
        <v>48</v>
      </c>
      <c r="B20" s="46" t="s">
        <v>12502</v>
      </c>
      <c r="C20">
        <v>1</v>
      </c>
      <c r="D20">
        <v>1</v>
      </c>
    </row>
    <row r="21" spans="1:4" x14ac:dyDescent="0.25">
      <c r="A21" s="45" t="s">
        <v>49</v>
      </c>
      <c r="B21" s="46" t="s">
        <v>12503</v>
      </c>
      <c r="C21">
        <v>1</v>
      </c>
      <c r="D21">
        <v>1</v>
      </c>
    </row>
    <row r="22" spans="1:4" x14ac:dyDescent="0.25">
      <c r="A22" s="45" t="s">
        <v>50</v>
      </c>
      <c r="B22" s="46" t="s">
        <v>12504</v>
      </c>
      <c r="C22">
        <v>1</v>
      </c>
      <c r="D22">
        <v>1</v>
      </c>
    </row>
    <row r="23" spans="1:4" x14ac:dyDescent="0.25">
      <c r="A23" s="45" t="s">
        <v>51</v>
      </c>
      <c r="B23" s="46" t="s">
        <v>12505</v>
      </c>
      <c r="C23">
        <v>1</v>
      </c>
      <c r="D23">
        <v>1</v>
      </c>
    </row>
    <row r="24" spans="1:4" x14ac:dyDescent="0.25">
      <c r="A24" s="45" t="s">
        <v>52</v>
      </c>
      <c r="B24" s="46" t="s">
        <v>12506</v>
      </c>
      <c r="C24">
        <v>1</v>
      </c>
      <c r="D24">
        <v>1</v>
      </c>
    </row>
    <row r="25" spans="1:4" x14ac:dyDescent="0.25">
      <c r="A25" s="45" t="s">
        <v>53</v>
      </c>
      <c r="B25" s="46" t="s">
        <v>12507</v>
      </c>
      <c r="C25">
        <v>1</v>
      </c>
      <c r="D25">
        <v>1</v>
      </c>
    </row>
    <row r="26" spans="1:4" x14ac:dyDescent="0.25">
      <c r="A26" s="45" t="s">
        <v>54</v>
      </c>
      <c r="B26" s="46" t="s">
        <v>12508</v>
      </c>
      <c r="C26">
        <v>1</v>
      </c>
      <c r="D26">
        <v>1</v>
      </c>
    </row>
    <row r="27" spans="1:4" x14ac:dyDescent="0.25">
      <c r="A27" s="45" t="s">
        <v>55</v>
      </c>
      <c r="B27" s="46" t="s">
        <v>12509</v>
      </c>
      <c r="C27">
        <v>1</v>
      </c>
      <c r="D27">
        <v>1</v>
      </c>
    </row>
    <row r="28" spans="1:4" x14ac:dyDescent="0.25">
      <c r="A28" s="45" t="s">
        <v>56</v>
      </c>
      <c r="B28" s="46" t="s">
        <v>12510</v>
      </c>
      <c r="C28">
        <v>1</v>
      </c>
      <c r="D28">
        <v>1</v>
      </c>
    </row>
    <row r="29" spans="1:4" x14ac:dyDescent="0.25">
      <c r="A29" s="45" t="s">
        <v>57</v>
      </c>
      <c r="B29" s="46" t="s">
        <v>12511</v>
      </c>
      <c r="C29">
        <v>1</v>
      </c>
      <c r="D29">
        <v>1</v>
      </c>
    </row>
    <row r="30" spans="1:4" x14ac:dyDescent="0.25">
      <c r="A30" s="45" t="s">
        <v>58</v>
      </c>
      <c r="B30" s="46" t="s">
        <v>12512</v>
      </c>
      <c r="C30">
        <v>1</v>
      </c>
      <c r="D30">
        <v>1</v>
      </c>
    </row>
    <row r="31" spans="1:4" x14ac:dyDescent="0.25">
      <c r="A31" s="45" t="s">
        <v>59</v>
      </c>
      <c r="B31" s="46" t="s">
        <v>12513</v>
      </c>
      <c r="C31">
        <v>1</v>
      </c>
      <c r="D31">
        <v>1</v>
      </c>
    </row>
    <row r="32" spans="1:4" x14ac:dyDescent="0.25">
      <c r="A32" s="45" t="s">
        <v>60</v>
      </c>
      <c r="B32" s="46" t="s">
        <v>12514</v>
      </c>
      <c r="C32">
        <v>1</v>
      </c>
      <c r="D32">
        <v>1</v>
      </c>
    </row>
    <row r="33" spans="1:4" x14ac:dyDescent="0.25">
      <c r="A33" s="45" t="s">
        <v>61</v>
      </c>
      <c r="B33" s="46" t="s">
        <v>19295</v>
      </c>
      <c r="C33">
        <v>1</v>
      </c>
      <c r="D33">
        <v>1</v>
      </c>
    </row>
    <row r="34" spans="1:4" x14ac:dyDescent="0.25">
      <c r="A34" s="45" t="s">
        <v>62</v>
      </c>
      <c r="B34" s="46" t="s">
        <v>12515</v>
      </c>
      <c r="C34">
        <v>1</v>
      </c>
      <c r="D34">
        <v>1</v>
      </c>
    </row>
    <row r="35" spans="1:4" x14ac:dyDescent="0.25">
      <c r="A35" s="45" t="s">
        <v>63</v>
      </c>
      <c r="B35" s="46" t="s">
        <v>12516</v>
      </c>
      <c r="C35">
        <v>1</v>
      </c>
      <c r="D35">
        <v>1</v>
      </c>
    </row>
    <row r="36" spans="1:4" x14ac:dyDescent="0.25">
      <c r="A36" s="45" t="s">
        <v>64</v>
      </c>
      <c r="B36" s="46" t="s">
        <v>12517</v>
      </c>
      <c r="C36">
        <v>1</v>
      </c>
      <c r="D36">
        <v>1</v>
      </c>
    </row>
    <row r="37" spans="1:4" x14ac:dyDescent="0.25">
      <c r="A37" s="45" t="s">
        <v>65</v>
      </c>
      <c r="B37" s="46" t="s">
        <v>12518</v>
      </c>
      <c r="C37">
        <v>1</v>
      </c>
      <c r="D37">
        <v>1</v>
      </c>
    </row>
    <row r="38" spans="1:4" x14ac:dyDescent="0.25">
      <c r="A38" s="45" t="s">
        <v>66</v>
      </c>
      <c r="B38" s="46" t="s">
        <v>12519</v>
      </c>
      <c r="C38">
        <v>1</v>
      </c>
      <c r="D38">
        <v>1</v>
      </c>
    </row>
    <row r="39" spans="1:4" x14ac:dyDescent="0.25">
      <c r="A39" s="45" t="s">
        <v>67</v>
      </c>
      <c r="B39" s="46" t="s">
        <v>12520</v>
      </c>
      <c r="C39">
        <v>1</v>
      </c>
      <c r="D39">
        <v>1</v>
      </c>
    </row>
    <row r="40" spans="1:4" x14ac:dyDescent="0.25">
      <c r="A40" s="45" t="s">
        <v>68</v>
      </c>
      <c r="B40" s="46" t="s">
        <v>12521</v>
      </c>
      <c r="C40">
        <v>1</v>
      </c>
      <c r="D40">
        <v>1</v>
      </c>
    </row>
    <row r="41" spans="1:4" x14ac:dyDescent="0.25">
      <c r="A41" s="45" t="s">
        <v>69</v>
      </c>
      <c r="B41" s="46" t="s">
        <v>12522</v>
      </c>
      <c r="C41">
        <v>1</v>
      </c>
      <c r="D41">
        <v>1</v>
      </c>
    </row>
    <row r="42" spans="1:4" x14ac:dyDescent="0.25">
      <c r="A42" s="45" t="s">
        <v>70</v>
      </c>
      <c r="B42" s="46" t="s">
        <v>12523</v>
      </c>
      <c r="C42">
        <v>1</v>
      </c>
      <c r="D42">
        <v>1</v>
      </c>
    </row>
    <row r="43" spans="1:4" x14ac:dyDescent="0.25">
      <c r="A43" s="45" t="s">
        <v>71</v>
      </c>
      <c r="B43" s="46" t="s">
        <v>12524</v>
      </c>
      <c r="C43">
        <v>1</v>
      </c>
      <c r="D43">
        <v>1</v>
      </c>
    </row>
    <row r="44" spans="1:4" x14ac:dyDescent="0.25">
      <c r="A44" s="45" t="s">
        <v>72</v>
      </c>
      <c r="B44" s="46" t="s">
        <v>12525</v>
      </c>
      <c r="C44">
        <v>1</v>
      </c>
      <c r="D44">
        <v>1</v>
      </c>
    </row>
    <row r="45" spans="1:4" x14ac:dyDescent="0.25">
      <c r="A45" s="45" t="s">
        <v>73</v>
      </c>
      <c r="B45" s="46" t="s">
        <v>12526</v>
      </c>
      <c r="C45">
        <v>1</v>
      </c>
      <c r="D45">
        <v>1</v>
      </c>
    </row>
    <row r="46" spans="1:4" x14ac:dyDescent="0.25">
      <c r="A46" s="45" t="s">
        <v>74</v>
      </c>
      <c r="B46" s="46" t="s">
        <v>12527</v>
      </c>
      <c r="C46">
        <v>1</v>
      </c>
      <c r="D46">
        <v>1</v>
      </c>
    </row>
    <row r="47" spans="1:4" x14ac:dyDescent="0.25">
      <c r="A47" s="45" t="s">
        <v>75</v>
      </c>
      <c r="B47" s="46" t="s">
        <v>12528</v>
      </c>
      <c r="C47">
        <v>1</v>
      </c>
      <c r="D47">
        <v>1</v>
      </c>
    </row>
    <row r="48" spans="1:4" x14ac:dyDescent="0.25">
      <c r="A48" s="45" t="s">
        <v>76</v>
      </c>
      <c r="B48" s="46" t="s">
        <v>12529</v>
      </c>
      <c r="C48">
        <v>1</v>
      </c>
      <c r="D48">
        <v>1</v>
      </c>
    </row>
    <row r="49" spans="1:4" x14ac:dyDescent="0.25">
      <c r="A49" s="45" t="s">
        <v>77</v>
      </c>
      <c r="B49" s="46" t="s">
        <v>19296</v>
      </c>
      <c r="C49">
        <v>1</v>
      </c>
      <c r="D49">
        <v>1</v>
      </c>
    </row>
    <row r="50" spans="1:4" x14ac:dyDescent="0.25">
      <c r="A50" s="45" t="s">
        <v>78</v>
      </c>
      <c r="B50" s="46" t="s">
        <v>12530</v>
      </c>
      <c r="C50">
        <v>1</v>
      </c>
      <c r="D50">
        <v>1</v>
      </c>
    </row>
    <row r="51" spans="1:4" x14ac:dyDescent="0.25">
      <c r="A51" s="45" t="s">
        <v>79</v>
      </c>
      <c r="B51" s="46" t="s">
        <v>12531</v>
      </c>
      <c r="C51">
        <v>1</v>
      </c>
      <c r="D51">
        <v>1</v>
      </c>
    </row>
    <row r="52" spans="1:4" x14ac:dyDescent="0.25">
      <c r="A52" s="45" t="s">
        <v>80</v>
      </c>
      <c r="B52" s="46" t="s">
        <v>12532</v>
      </c>
      <c r="C52">
        <v>1</v>
      </c>
      <c r="D52">
        <v>1</v>
      </c>
    </row>
    <row r="53" spans="1:4" x14ac:dyDescent="0.25">
      <c r="A53" s="45" t="s">
        <v>81</v>
      </c>
      <c r="B53" s="46" t="s">
        <v>12533</v>
      </c>
      <c r="C53">
        <v>1</v>
      </c>
      <c r="D53">
        <v>1</v>
      </c>
    </row>
    <row r="54" spans="1:4" x14ac:dyDescent="0.25">
      <c r="A54" s="45" t="s">
        <v>82</v>
      </c>
      <c r="B54" s="46" t="s">
        <v>12534</v>
      </c>
      <c r="C54">
        <v>1</v>
      </c>
      <c r="D54">
        <v>1</v>
      </c>
    </row>
    <row r="55" spans="1:4" x14ac:dyDescent="0.25">
      <c r="A55" s="45" t="s">
        <v>83</v>
      </c>
      <c r="B55" s="46" t="s">
        <v>12535</v>
      </c>
      <c r="C55">
        <v>1</v>
      </c>
      <c r="D55">
        <v>1</v>
      </c>
    </row>
    <row r="56" spans="1:4" x14ac:dyDescent="0.25">
      <c r="A56" s="45" t="s">
        <v>84</v>
      </c>
      <c r="B56" s="46" t="s">
        <v>12536</v>
      </c>
      <c r="C56">
        <v>1</v>
      </c>
      <c r="D56">
        <v>1</v>
      </c>
    </row>
    <row r="57" spans="1:4" x14ac:dyDescent="0.25">
      <c r="A57" s="45" t="s">
        <v>85</v>
      </c>
      <c r="B57" s="46" t="s">
        <v>12537</v>
      </c>
      <c r="C57">
        <v>1</v>
      </c>
      <c r="D57">
        <v>1</v>
      </c>
    </row>
    <row r="58" spans="1:4" x14ac:dyDescent="0.25">
      <c r="A58" s="45" t="s">
        <v>86</v>
      </c>
      <c r="B58" s="46" t="s">
        <v>12538</v>
      </c>
      <c r="C58">
        <v>1</v>
      </c>
      <c r="D58">
        <v>1</v>
      </c>
    </row>
    <row r="59" spans="1:4" x14ac:dyDescent="0.25">
      <c r="A59" s="45" t="s">
        <v>87</v>
      </c>
      <c r="B59" s="46" t="s">
        <v>12539</v>
      </c>
      <c r="C59">
        <v>1</v>
      </c>
      <c r="D59">
        <v>1</v>
      </c>
    </row>
    <row r="60" spans="1:4" x14ac:dyDescent="0.25">
      <c r="A60" s="45" t="s">
        <v>88</v>
      </c>
      <c r="B60" s="46" t="s">
        <v>12540</v>
      </c>
      <c r="C60">
        <v>1</v>
      </c>
      <c r="D60">
        <v>1</v>
      </c>
    </row>
    <row r="61" spans="1:4" x14ac:dyDescent="0.25">
      <c r="A61" s="45" t="s">
        <v>89</v>
      </c>
      <c r="B61" s="46" t="s">
        <v>19297</v>
      </c>
      <c r="C61">
        <v>1</v>
      </c>
      <c r="D61">
        <v>2</v>
      </c>
    </row>
    <row r="62" spans="1:4" x14ac:dyDescent="0.25">
      <c r="A62" s="45" t="s">
        <v>90</v>
      </c>
      <c r="B62" s="46" t="s">
        <v>12541</v>
      </c>
      <c r="C62">
        <v>1</v>
      </c>
      <c r="D62">
        <v>2</v>
      </c>
    </row>
    <row r="63" spans="1:4" x14ac:dyDescent="0.25">
      <c r="A63" s="45" t="s">
        <v>91</v>
      </c>
      <c r="B63" s="46" t="s">
        <v>12542</v>
      </c>
      <c r="C63">
        <v>1</v>
      </c>
      <c r="D63">
        <v>2</v>
      </c>
    </row>
    <row r="64" spans="1:4" x14ac:dyDescent="0.25">
      <c r="A64" s="45" t="s">
        <v>92</v>
      </c>
      <c r="B64" s="46" t="s">
        <v>19298</v>
      </c>
      <c r="C64">
        <v>1</v>
      </c>
      <c r="D64">
        <v>2</v>
      </c>
    </row>
    <row r="65" spans="1:4" x14ac:dyDescent="0.25">
      <c r="A65" s="45" t="s">
        <v>93</v>
      </c>
      <c r="B65" s="46" t="s">
        <v>19299</v>
      </c>
      <c r="C65">
        <v>1</v>
      </c>
      <c r="D65">
        <v>2</v>
      </c>
    </row>
    <row r="66" spans="1:4" x14ac:dyDescent="0.25">
      <c r="A66" s="45" t="s">
        <v>94</v>
      </c>
      <c r="B66" s="46" t="s">
        <v>19300</v>
      </c>
      <c r="C66">
        <v>1</v>
      </c>
      <c r="D66">
        <v>2</v>
      </c>
    </row>
    <row r="67" spans="1:4" x14ac:dyDescent="0.25">
      <c r="A67" s="45" t="s">
        <v>95</v>
      </c>
      <c r="B67" s="46" t="s">
        <v>12543</v>
      </c>
      <c r="C67">
        <v>1</v>
      </c>
      <c r="D67">
        <v>2</v>
      </c>
    </row>
    <row r="68" spans="1:4" x14ac:dyDescent="0.25">
      <c r="A68" s="45" t="s">
        <v>96</v>
      </c>
      <c r="B68" s="46" t="s">
        <v>19301</v>
      </c>
      <c r="C68">
        <v>1</v>
      </c>
      <c r="D68">
        <v>2</v>
      </c>
    </row>
    <row r="69" spans="1:4" x14ac:dyDescent="0.25">
      <c r="A69" s="45" t="s">
        <v>97</v>
      </c>
      <c r="B69" s="46" t="s">
        <v>19302</v>
      </c>
      <c r="C69">
        <v>1</v>
      </c>
      <c r="D69">
        <v>2</v>
      </c>
    </row>
    <row r="70" spans="1:4" x14ac:dyDescent="0.25">
      <c r="A70" s="45" t="s">
        <v>98</v>
      </c>
      <c r="B70" s="46" t="s">
        <v>19303</v>
      </c>
      <c r="C70">
        <v>1</v>
      </c>
      <c r="D70">
        <v>2</v>
      </c>
    </row>
    <row r="71" spans="1:4" x14ac:dyDescent="0.25">
      <c r="A71" s="45" t="s">
        <v>99</v>
      </c>
      <c r="B71" s="46" t="s">
        <v>19304</v>
      </c>
      <c r="C71">
        <v>1</v>
      </c>
      <c r="D71">
        <v>2</v>
      </c>
    </row>
    <row r="72" spans="1:4" x14ac:dyDescent="0.25">
      <c r="A72" s="45" t="s">
        <v>100</v>
      </c>
      <c r="B72" s="46" t="s">
        <v>12544</v>
      </c>
      <c r="C72">
        <v>1</v>
      </c>
      <c r="D72">
        <v>2</v>
      </c>
    </row>
    <row r="73" spans="1:4" x14ac:dyDescent="0.25">
      <c r="A73" s="45" t="s">
        <v>101</v>
      </c>
      <c r="B73" s="46" t="s">
        <v>19305</v>
      </c>
      <c r="C73">
        <v>1</v>
      </c>
      <c r="D73">
        <v>2</v>
      </c>
    </row>
    <row r="74" spans="1:4" x14ac:dyDescent="0.25">
      <c r="A74" s="45" t="s">
        <v>102</v>
      </c>
      <c r="B74" s="46" t="s">
        <v>19306</v>
      </c>
      <c r="C74">
        <v>1</v>
      </c>
      <c r="D74">
        <v>2</v>
      </c>
    </row>
    <row r="75" spans="1:4" x14ac:dyDescent="0.25">
      <c r="A75" s="45" t="s">
        <v>103</v>
      </c>
      <c r="B75" s="46" t="s">
        <v>19307</v>
      </c>
      <c r="C75">
        <v>1</v>
      </c>
      <c r="D75">
        <v>2</v>
      </c>
    </row>
    <row r="76" spans="1:4" x14ac:dyDescent="0.25">
      <c r="A76" s="45" t="s">
        <v>104</v>
      </c>
      <c r="B76" s="46" t="s">
        <v>19308</v>
      </c>
      <c r="C76">
        <v>1</v>
      </c>
      <c r="D76">
        <v>2</v>
      </c>
    </row>
    <row r="77" spans="1:4" x14ac:dyDescent="0.25">
      <c r="A77" s="45" t="s">
        <v>105</v>
      </c>
      <c r="B77" s="46" t="s">
        <v>19309</v>
      </c>
      <c r="C77">
        <v>1</v>
      </c>
      <c r="D77">
        <v>2</v>
      </c>
    </row>
    <row r="78" spans="1:4" x14ac:dyDescent="0.25">
      <c r="A78" s="45" t="s">
        <v>106</v>
      </c>
      <c r="B78" s="46" t="s">
        <v>12545</v>
      </c>
      <c r="C78">
        <v>1</v>
      </c>
      <c r="D78">
        <v>2</v>
      </c>
    </row>
    <row r="79" spans="1:4" x14ac:dyDescent="0.25">
      <c r="A79" s="45" t="s">
        <v>107</v>
      </c>
      <c r="B79" s="46" t="s">
        <v>19310</v>
      </c>
      <c r="C79">
        <v>1</v>
      </c>
      <c r="D79">
        <v>2</v>
      </c>
    </row>
    <row r="80" spans="1:4" x14ac:dyDescent="0.25">
      <c r="A80" s="45" t="s">
        <v>108</v>
      </c>
      <c r="B80" s="46" t="s">
        <v>12546</v>
      </c>
      <c r="C80">
        <v>1</v>
      </c>
      <c r="D80">
        <v>2</v>
      </c>
    </row>
    <row r="81" spans="1:4" x14ac:dyDescent="0.25">
      <c r="A81" s="45" t="s">
        <v>109</v>
      </c>
      <c r="B81" s="46" t="s">
        <v>12547</v>
      </c>
      <c r="C81">
        <v>1</v>
      </c>
      <c r="D81">
        <v>2</v>
      </c>
    </row>
    <row r="82" spans="1:4" x14ac:dyDescent="0.25">
      <c r="A82" s="45" t="s">
        <v>110</v>
      </c>
      <c r="B82" s="46" t="s">
        <v>12548</v>
      </c>
      <c r="C82">
        <v>1</v>
      </c>
      <c r="D82">
        <v>2</v>
      </c>
    </row>
    <row r="83" spans="1:4" x14ac:dyDescent="0.25">
      <c r="A83" s="45" t="s">
        <v>111</v>
      </c>
      <c r="B83" s="46" t="s">
        <v>12549</v>
      </c>
      <c r="C83">
        <v>1</v>
      </c>
      <c r="D83">
        <v>2</v>
      </c>
    </row>
    <row r="84" spans="1:4" x14ac:dyDescent="0.25">
      <c r="A84" s="45" t="s">
        <v>112</v>
      </c>
      <c r="B84" s="46" t="s">
        <v>12550</v>
      </c>
      <c r="C84">
        <v>1</v>
      </c>
      <c r="D84">
        <v>2</v>
      </c>
    </row>
    <row r="85" spans="1:4" x14ac:dyDescent="0.25">
      <c r="A85" s="45" t="s">
        <v>113</v>
      </c>
      <c r="B85" s="46" t="s">
        <v>12551</v>
      </c>
      <c r="C85">
        <v>1</v>
      </c>
      <c r="D85">
        <v>2</v>
      </c>
    </row>
    <row r="86" spans="1:4" x14ac:dyDescent="0.25">
      <c r="A86" s="45" t="s">
        <v>114</v>
      </c>
      <c r="B86" s="46" t="s">
        <v>12552</v>
      </c>
      <c r="C86">
        <v>1</v>
      </c>
      <c r="D86">
        <v>2</v>
      </c>
    </row>
    <row r="87" spans="1:4" x14ac:dyDescent="0.25">
      <c r="A87" s="45" t="s">
        <v>115</v>
      </c>
      <c r="B87" s="46" t="s">
        <v>19311</v>
      </c>
      <c r="C87">
        <v>1</v>
      </c>
      <c r="D87">
        <v>2</v>
      </c>
    </row>
    <row r="88" spans="1:4" x14ac:dyDescent="0.25">
      <c r="A88" s="45" t="s">
        <v>116</v>
      </c>
      <c r="B88" s="46" t="s">
        <v>12553</v>
      </c>
      <c r="C88">
        <v>1</v>
      </c>
      <c r="D88">
        <v>2</v>
      </c>
    </row>
    <row r="89" spans="1:4" x14ac:dyDescent="0.25">
      <c r="A89" s="45" t="s">
        <v>117</v>
      </c>
      <c r="B89" s="46" t="s">
        <v>12554</v>
      </c>
      <c r="C89">
        <v>1</v>
      </c>
      <c r="D89">
        <v>2</v>
      </c>
    </row>
    <row r="90" spans="1:4" x14ac:dyDescent="0.25">
      <c r="A90" s="45" t="s">
        <v>118</v>
      </c>
      <c r="B90" s="46" t="s">
        <v>12555</v>
      </c>
      <c r="C90">
        <v>1</v>
      </c>
      <c r="D90">
        <v>2</v>
      </c>
    </row>
    <row r="91" spans="1:4" x14ac:dyDescent="0.25">
      <c r="A91" s="45" t="s">
        <v>119</v>
      </c>
      <c r="B91" s="46" t="s">
        <v>12556</v>
      </c>
      <c r="C91">
        <v>1</v>
      </c>
      <c r="D91">
        <v>2</v>
      </c>
    </row>
    <row r="92" spans="1:4" x14ac:dyDescent="0.25">
      <c r="A92" s="45" t="s">
        <v>120</v>
      </c>
      <c r="B92" s="46" t="s">
        <v>12557</v>
      </c>
      <c r="C92">
        <v>1</v>
      </c>
      <c r="D92">
        <v>2</v>
      </c>
    </row>
    <row r="93" spans="1:4" x14ac:dyDescent="0.25">
      <c r="A93" s="45" t="s">
        <v>121</v>
      </c>
      <c r="B93" s="46" t="s">
        <v>12558</v>
      </c>
      <c r="C93">
        <v>1</v>
      </c>
      <c r="D93">
        <v>2</v>
      </c>
    </row>
    <row r="94" spans="1:4" x14ac:dyDescent="0.25">
      <c r="A94" s="45" t="s">
        <v>122</v>
      </c>
      <c r="B94" s="46" t="s">
        <v>12559</v>
      </c>
      <c r="C94">
        <v>1</v>
      </c>
      <c r="D94">
        <v>2</v>
      </c>
    </row>
    <row r="95" spans="1:4" x14ac:dyDescent="0.25">
      <c r="A95" s="45" t="s">
        <v>123</v>
      </c>
      <c r="B95" s="46" t="s">
        <v>12560</v>
      </c>
      <c r="C95">
        <v>1</v>
      </c>
      <c r="D95">
        <v>2</v>
      </c>
    </row>
    <row r="96" spans="1:4" x14ac:dyDescent="0.25">
      <c r="A96" s="45" t="s">
        <v>124</v>
      </c>
      <c r="B96" s="46" t="s">
        <v>12561</v>
      </c>
      <c r="C96">
        <v>1</v>
      </c>
      <c r="D96">
        <v>2</v>
      </c>
    </row>
    <row r="97" spans="1:4" x14ac:dyDescent="0.25">
      <c r="A97" s="45" t="s">
        <v>125</v>
      </c>
      <c r="B97" s="46" t="s">
        <v>12562</v>
      </c>
      <c r="C97">
        <v>1</v>
      </c>
      <c r="D97">
        <v>2</v>
      </c>
    </row>
    <row r="98" spans="1:4" x14ac:dyDescent="0.25">
      <c r="A98" s="45" t="s">
        <v>126</v>
      </c>
      <c r="B98" s="46" t="s">
        <v>12563</v>
      </c>
      <c r="C98">
        <v>1</v>
      </c>
      <c r="D98">
        <v>3</v>
      </c>
    </row>
    <row r="99" spans="1:4" x14ac:dyDescent="0.25">
      <c r="A99" s="45" t="s">
        <v>127</v>
      </c>
      <c r="B99" s="46" t="s">
        <v>12564</v>
      </c>
      <c r="C99">
        <v>1</v>
      </c>
      <c r="D99">
        <v>3</v>
      </c>
    </row>
    <row r="100" spans="1:4" x14ac:dyDescent="0.25">
      <c r="A100" s="45" t="s">
        <v>128</v>
      </c>
      <c r="B100" s="46" t="s">
        <v>12565</v>
      </c>
      <c r="C100">
        <v>1</v>
      </c>
      <c r="D100">
        <v>3</v>
      </c>
    </row>
    <row r="101" spans="1:4" x14ac:dyDescent="0.25">
      <c r="A101" s="45" t="s">
        <v>129</v>
      </c>
      <c r="B101" s="46" t="s">
        <v>12566</v>
      </c>
      <c r="C101">
        <v>1</v>
      </c>
      <c r="D101">
        <v>3</v>
      </c>
    </row>
    <row r="102" spans="1:4" x14ac:dyDescent="0.25">
      <c r="A102" s="45" t="s">
        <v>130</v>
      </c>
      <c r="B102" s="46" t="s">
        <v>12567</v>
      </c>
      <c r="C102">
        <v>1</v>
      </c>
      <c r="D102">
        <v>3</v>
      </c>
    </row>
    <row r="103" spans="1:4" x14ac:dyDescent="0.25">
      <c r="A103" s="45" t="s">
        <v>131</v>
      </c>
      <c r="B103" s="46" t="s">
        <v>12568</v>
      </c>
      <c r="C103">
        <v>1</v>
      </c>
      <c r="D103">
        <v>3</v>
      </c>
    </row>
    <row r="104" spans="1:4" x14ac:dyDescent="0.25">
      <c r="A104" s="45" t="s">
        <v>132</v>
      </c>
      <c r="B104" s="46" t="s">
        <v>12569</v>
      </c>
      <c r="C104">
        <v>1</v>
      </c>
      <c r="D104">
        <v>3</v>
      </c>
    </row>
    <row r="105" spans="1:4" x14ac:dyDescent="0.25">
      <c r="A105" s="45" t="s">
        <v>133</v>
      </c>
      <c r="B105" s="46" t="s">
        <v>12570</v>
      </c>
      <c r="C105">
        <v>1</v>
      </c>
      <c r="D105">
        <v>3</v>
      </c>
    </row>
    <row r="106" spans="1:4" x14ac:dyDescent="0.25">
      <c r="A106" s="45" t="s">
        <v>134</v>
      </c>
      <c r="B106" s="46" t="s">
        <v>12571</v>
      </c>
      <c r="C106">
        <v>1</v>
      </c>
      <c r="D106">
        <v>3</v>
      </c>
    </row>
    <row r="107" spans="1:4" x14ac:dyDescent="0.25">
      <c r="A107" s="45" t="s">
        <v>135</v>
      </c>
      <c r="B107" s="46" t="s">
        <v>12572</v>
      </c>
      <c r="C107">
        <v>1</v>
      </c>
      <c r="D107">
        <v>3</v>
      </c>
    </row>
    <row r="108" spans="1:4" x14ac:dyDescent="0.25">
      <c r="A108" s="45" t="s">
        <v>136</v>
      </c>
      <c r="B108" s="46" t="s">
        <v>12573</v>
      </c>
      <c r="C108">
        <v>1</v>
      </c>
      <c r="D108">
        <v>3</v>
      </c>
    </row>
    <row r="109" spans="1:4" x14ac:dyDescent="0.25">
      <c r="A109" s="45" t="s">
        <v>137</v>
      </c>
      <c r="B109" s="46" t="s">
        <v>12574</v>
      </c>
      <c r="C109">
        <v>1</v>
      </c>
      <c r="D109">
        <v>3</v>
      </c>
    </row>
    <row r="110" spans="1:4" x14ac:dyDescent="0.25">
      <c r="A110" s="45" t="s">
        <v>138</v>
      </c>
      <c r="B110" s="46" t="s">
        <v>12575</v>
      </c>
      <c r="C110">
        <v>1</v>
      </c>
      <c r="D110">
        <v>3</v>
      </c>
    </row>
    <row r="111" spans="1:4" x14ac:dyDescent="0.25">
      <c r="A111" s="45" t="s">
        <v>139</v>
      </c>
      <c r="B111" s="46" t="s">
        <v>19312</v>
      </c>
      <c r="C111">
        <v>1</v>
      </c>
      <c r="D111">
        <v>3</v>
      </c>
    </row>
    <row r="112" spans="1:4" x14ac:dyDescent="0.25">
      <c r="A112" s="45" t="s">
        <v>140</v>
      </c>
      <c r="B112" s="46" t="s">
        <v>12576</v>
      </c>
      <c r="C112">
        <v>1</v>
      </c>
      <c r="D112">
        <v>3</v>
      </c>
    </row>
    <row r="113" spans="1:4" x14ac:dyDescent="0.25">
      <c r="A113" s="45" t="s">
        <v>141</v>
      </c>
      <c r="B113" s="46" t="s">
        <v>12577</v>
      </c>
      <c r="C113">
        <v>1</v>
      </c>
      <c r="D113">
        <v>3</v>
      </c>
    </row>
    <row r="114" spans="1:4" x14ac:dyDescent="0.25">
      <c r="A114" s="45" t="s">
        <v>142</v>
      </c>
      <c r="B114" s="46" t="s">
        <v>12578</v>
      </c>
      <c r="C114">
        <v>1</v>
      </c>
      <c r="D114">
        <v>3</v>
      </c>
    </row>
    <row r="115" spans="1:4" x14ac:dyDescent="0.25">
      <c r="A115" s="45" t="s">
        <v>143</v>
      </c>
      <c r="B115" s="46" t="s">
        <v>12579</v>
      </c>
      <c r="C115">
        <v>1</v>
      </c>
      <c r="D115">
        <v>3</v>
      </c>
    </row>
    <row r="116" spans="1:4" x14ac:dyDescent="0.25">
      <c r="A116" s="45" t="s">
        <v>144</v>
      </c>
      <c r="B116" s="46" t="s">
        <v>12580</v>
      </c>
      <c r="C116">
        <v>1</v>
      </c>
      <c r="D116">
        <v>3</v>
      </c>
    </row>
    <row r="117" spans="1:4" x14ac:dyDescent="0.25">
      <c r="A117" s="45" t="s">
        <v>145</v>
      </c>
      <c r="B117" s="46" t="s">
        <v>12581</v>
      </c>
      <c r="C117">
        <v>1</v>
      </c>
      <c r="D117">
        <v>3</v>
      </c>
    </row>
    <row r="118" spans="1:4" x14ac:dyDescent="0.25">
      <c r="A118" s="45" t="s">
        <v>146</v>
      </c>
      <c r="B118" s="46" t="s">
        <v>12582</v>
      </c>
      <c r="C118">
        <v>1</v>
      </c>
      <c r="D118">
        <v>3</v>
      </c>
    </row>
    <row r="119" spans="1:4" x14ac:dyDescent="0.25">
      <c r="A119" s="45" t="s">
        <v>147</v>
      </c>
      <c r="B119" s="46" t="s">
        <v>12583</v>
      </c>
      <c r="C119">
        <v>1</v>
      </c>
      <c r="D119">
        <v>3</v>
      </c>
    </row>
    <row r="120" spans="1:4" x14ac:dyDescent="0.25">
      <c r="A120" s="45" t="s">
        <v>148</v>
      </c>
      <c r="B120" s="46" t="s">
        <v>12584</v>
      </c>
      <c r="C120">
        <v>1</v>
      </c>
      <c r="D120">
        <v>3</v>
      </c>
    </row>
    <row r="121" spans="1:4" x14ac:dyDescent="0.25">
      <c r="A121" s="45" t="s">
        <v>149</v>
      </c>
      <c r="B121" s="46" t="s">
        <v>12585</v>
      </c>
      <c r="C121">
        <v>1</v>
      </c>
      <c r="D121">
        <v>3</v>
      </c>
    </row>
    <row r="122" spans="1:4" x14ac:dyDescent="0.25">
      <c r="A122" s="45" t="s">
        <v>150</v>
      </c>
      <c r="B122" s="46" t="s">
        <v>12586</v>
      </c>
      <c r="C122">
        <v>1</v>
      </c>
      <c r="D122">
        <v>3</v>
      </c>
    </row>
    <row r="123" spans="1:4" x14ac:dyDescent="0.25">
      <c r="A123" s="45" t="s">
        <v>151</v>
      </c>
      <c r="B123" s="46" t="s">
        <v>12587</v>
      </c>
      <c r="C123">
        <v>1</v>
      </c>
      <c r="D123">
        <v>3</v>
      </c>
    </row>
    <row r="124" spans="1:4" x14ac:dyDescent="0.25">
      <c r="A124" s="45" t="s">
        <v>152</v>
      </c>
      <c r="B124" s="46" t="s">
        <v>12588</v>
      </c>
      <c r="C124">
        <v>1</v>
      </c>
      <c r="D124">
        <v>3</v>
      </c>
    </row>
    <row r="125" spans="1:4" x14ac:dyDescent="0.25">
      <c r="A125" s="45" t="s">
        <v>153</v>
      </c>
      <c r="B125" s="46" t="s">
        <v>12589</v>
      </c>
      <c r="C125">
        <v>1</v>
      </c>
      <c r="D125">
        <v>3</v>
      </c>
    </row>
    <row r="126" spans="1:4" x14ac:dyDescent="0.25">
      <c r="A126" s="45" t="s">
        <v>154</v>
      </c>
      <c r="B126" s="46" t="s">
        <v>12590</v>
      </c>
      <c r="C126">
        <v>1</v>
      </c>
      <c r="D126">
        <v>3</v>
      </c>
    </row>
    <row r="127" spans="1:4" x14ac:dyDescent="0.25">
      <c r="A127" s="45" t="s">
        <v>155</v>
      </c>
      <c r="B127" s="46" t="s">
        <v>12591</v>
      </c>
      <c r="C127">
        <v>1</v>
      </c>
      <c r="D127">
        <v>3</v>
      </c>
    </row>
    <row r="128" spans="1:4" x14ac:dyDescent="0.25">
      <c r="A128" s="45" t="s">
        <v>156</v>
      </c>
      <c r="B128" s="46" t="s">
        <v>19313</v>
      </c>
      <c r="C128">
        <v>1</v>
      </c>
      <c r="D128">
        <v>3</v>
      </c>
    </row>
    <row r="129" spans="1:4" x14ac:dyDescent="0.25">
      <c r="A129" s="45" t="s">
        <v>157</v>
      </c>
      <c r="B129" s="46" t="s">
        <v>12592</v>
      </c>
      <c r="C129">
        <v>1</v>
      </c>
      <c r="D129">
        <v>3</v>
      </c>
    </row>
    <row r="130" spans="1:4" x14ac:dyDescent="0.25">
      <c r="A130" s="45" t="s">
        <v>158</v>
      </c>
      <c r="B130" s="46" t="s">
        <v>12593</v>
      </c>
      <c r="C130">
        <v>1</v>
      </c>
      <c r="D130">
        <v>3</v>
      </c>
    </row>
    <row r="131" spans="1:4" x14ac:dyDescent="0.25">
      <c r="A131" s="45" t="s">
        <v>159</v>
      </c>
      <c r="B131" s="46" t="s">
        <v>12594</v>
      </c>
      <c r="C131">
        <v>1</v>
      </c>
      <c r="D131">
        <v>3</v>
      </c>
    </row>
    <row r="132" spans="1:4" x14ac:dyDescent="0.25">
      <c r="A132" s="45" t="s">
        <v>160</v>
      </c>
      <c r="B132" s="46" t="s">
        <v>12595</v>
      </c>
      <c r="C132">
        <v>1</v>
      </c>
      <c r="D132">
        <v>3</v>
      </c>
    </row>
    <row r="133" spans="1:4" x14ac:dyDescent="0.25">
      <c r="A133" s="45" t="s">
        <v>161</v>
      </c>
      <c r="B133" s="46" t="s">
        <v>12596</v>
      </c>
      <c r="C133">
        <v>1</v>
      </c>
      <c r="D133">
        <v>3</v>
      </c>
    </row>
    <row r="134" spans="1:4" x14ac:dyDescent="0.25">
      <c r="A134" s="45" t="s">
        <v>162</v>
      </c>
      <c r="B134" s="46" t="s">
        <v>12597</v>
      </c>
      <c r="C134">
        <v>1</v>
      </c>
      <c r="D134">
        <v>3</v>
      </c>
    </row>
    <row r="135" spans="1:4" x14ac:dyDescent="0.25">
      <c r="A135" s="45" t="s">
        <v>163</v>
      </c>
      <c r="B135" s="46" t="s">
        <v>12598</v>
      </c>
      <c r="C135">
        <v>1</v>
      </c>
      <c r="D135">
        <v>3</v>
      </c>
    </row>
    <row r="136" spans="1:4" x14ac:dyDescent="0.25">
      <c r="A136" s="45" t="s">
        <v>164</v>
      </c>
      <c r="B136" s="46" t="s">
        <v>12599</v>
      </c>
      <c r="C136">
        <v>1</v>
      </c>
      <c r="D136">
        <v>12</v>
      </c>
    </row>
    <row r="137" spans="1:4" x14ac:dyDescent="0.25">
      <c r="A137" s="45" t="s">
        <v>165</v>
      </c>
      <c r="B137" s="46" t="s">
        <v>12600</v>
      </c>
      <c r="C137">
        <v>1</v>
      </c>
      <c r="D137">
        <v>12</v>
      </c>
    </row>
    <row r="138" spans="1:4" x14ac:dyDescent="0.25">
      <c r="A138" s="45" t="s">
        <v>166</v>
      </c>
      <c r="B138" s="46" t="s">
        <v>12601</v>
      </c>
      <c r="C138">
        <v>1</v>
      </c>
      <c r="D138">
        <v>12</v>
      </c>
    </row>
    <row r="139" spans="1:4" x14ac:dyDescent="0.25">
      <c r="A139" s="45" t="s">
        <v>167</v>
      </c>
      <c r="B139" s="46" t="s">
        <v>12602</v>
      </c>
      <c r="C139">
        <v>1</v>
      </c>
      <c r="D139">
        <v>3</v>
      </c>
    </row>
    <row r="140" spans="1:4" x14ac:dyDescent="0.25">
      <c r="A140" s="45" t="s">
        <v>168</v>
      </c>
      <c r="B140" s="46" t="s">
        <v>12603</v>
      </c>
      <c r="C140">
        <v>1</v>
      </c>
      <c r="D140">
        <v>9</v>
      </c>
    </row>
    <row r="141" spans="1:4" x14ac:dyDescent="0.25">
      <c r="A141" s="45" t="s">
        <v>169</v>
      </c>
      <c r="B141" s="46" t="s">
        <v>12604</v>
      </c>
      <c r="C141">
        <v>1</v>
      </c>
      <c r="D141">
        <v>3</v>
      </c>
    </row>
    <row r="142" spans="1:4" x14ac:dyDescent="0.25">
      <c r="A142" s="45" t="s">
        <v>170</v>
      </c>
      <c r="B142" s="46" t="s">
        <v>19314</v>
      </c>
      <c r="C142">
        <v>1</v>
      </c>
      <c r="D142">
        <v>3</v>
      </c>
    </row>
    <row r="143" spans="1:4" x14ac:dyDescent="0.25">
      <c r="A143" s="45" t="s">
        <v>171</v>
      </c>
      <c r="B143" s="46" t="s">
        <v>12605</v>
      </c>
      <c r="C143">
        <v>1</v>
      </c>
      <c r="D143">
        <v>3</v>
      </c>
    </row>
    <row r="144" spans="1:4" x14ac:dyDescent="0.25">
      <c r="A144" s="45" t="s">
        <v>172</v>
      </c>
      <c r="B144" s="46" t="s">
        <v>12606</v>
      </c>
      <c r="C144">
        <v>1</v>
      </c>
      <c r="D144">
        <v>4</v>
      </c>
    </row>
    <row r="145" spans="1:4" x14ac:dyDescent="0.25">
      <c r="A145" s="45" t="s">
        <v>173</v>
      </c>
      <c r="B145" s="46" t="s">
        <v>12607</v>
      </c>
      <c r="C145">
        <v>1</v>
      </c>
      <c r="D145">
        <v>4</v>
      </c>
    </row>
    <row r="146" spans="1:4" x14ac:dyDescent="0.25">
      <c r="A146" s="45" t="s">
        <v>174</v>
      </c>
      <c r="B146" s="46" t="s">
        <v>12608</v>
      </c>
      <c r="C146">
        <v>1</v>
      </c>
      <c r="D146">
        <v>4</v>
      </c>
    </row>
    <row r="147" spans="1:4" x14ac:dyDescent="0.25">
      <c r="A147" s="45" t="s">
        <v>175</v>
      </c>
      <c r="B147" s="46" t="s">
        <v>12609</v>
      </c>
      <c r="C147">
        <v>1</v>
      </c>
      <c r="D147">
        <v>4</v>
      </c>
    </row>
    <row r="148" spans="1:4" x14ac:dyDescent="0.25">
      <c r="A148" s="45" t="s">
        <v>176</v>
      </c>
      <c r="B148" s="46" t="s">
        <v>12610</v>
      </c>
      <c r="C148">
        <v>1</v>
      </c>
      <c r="D148">
        <v>4</v>
      </c>
    </row>
    <row r="149" spans="1:4" x14ac:dyDescent="0.25">
      <c r="A149" s="45" t="s">
        <v>177</v>
      </c>
      <c r="B149" s="46" t="s">
        <v>12611</v>
      </c>
      <c r="C149">
        <v>1</v>
      </c>
      <c r="D149">
        <v>4</v>
      </c>
    </row>
    <row r="150" spans="1:4" x14ac:dyDescent="0.25">
      <c r="A150" s="45" t="s">
        <v>178</v>
      </c>
      <c r="B150" s="46" t="s">
        <v>12612</v>
      </c>
      <c r="C150">
        <v>1</v>
      </c>
      <c r="D150">
        <v>4</v>
      </c>
    </row>
    <row r="151" spans="1:4" x14ac:dyDescent="0.25">
      <c r="A151" s="45" t="s">
        <v>179</v>
      </c>
      <c r="B151" s="46" t="s">
        <v>12613</v>
      </c>
      <c r="C151">
        <v>1</v>
      </c>
      <c r="D151">
        <v>4</v>
      </c>
    </row>
    <row r="152" spans="1:4" x14ac:dyDescent="0.25">
      <c r="A152" s="45" t="s">
        <v>180</v>
      </c>
      <c r="B152" s="46" t="s">
        <v>12614</v>
      </c>
      <c r="C152">
        <v>1</v>
      </c>
      <c r="D152">
        <v>4</v>
      </c>
    </row>
    <row r="153" spans="1:4" x14ac:dyDescent="0.25">
      <c r="A153" s="45" t="s">
        <v>181</v>
      </c>
      <c r="B153" s="46" t="s">
        <v>12615</v>
      </c>
      <c r="C153">
        <v>1</v>
      </c>
      <c r="D153">
        <v>4</v>
      </c>
    </row>
    <row r="154" spans="1:4" x14ac:dyDescent="0.25">
      <c r="A154" s="45" t="s">
        <v>182</v>
      </c>
      <c r="B154" s="46" t="s">
        <v>12616</v>
      </c>
      <c r="C154">
        <v>1</v>
      </c>
      <c r="D154">
        <v>4</v>
      </c>
    </row>
    <row r="155" spans="1:4" x14ac:dyDescent="0.25">
      <c r="A155" s="45" t="s">
        <v>183</v>
      </c>
      <c r="B155" s="46" t="s">
        <v>12617</v>
      </c>
      <c r="C155">
        <v>1</v>
      </c>
      <c r="D155">
        <v>4</v>
      </c>
    </row>
    <row r="156" spans="1:4" x14ac:dyDescent="0.25">
      <c r="A156" s="45" t="s">
        <v>184</v>
      </c>
      <c r="B156" s="46" t="s">
        <v>12618</v>
      </c>
      <c r="C156">
        <v>1</v>
      </c>
      <c r="D156">
        <v>3</v>
      </c>
    </row>
    <row r="157" spans="1:4" x14ac:dyDescent="0.25">
      <c r="A157" s="45" t="s">
        <v>185</v>
      </c>
      <c r="B157" s="46" t="s">
        <v>12619</v>
      </c>
      <c r="C157">
        <v>1</v>
      </c>
      <c r="D157">
        <v>3</v>
      </c>
    </row>
    <row r="158" spans="1:4" x14ac:dyDescent="0.25">
      <c r="A158" s="45" t="s">
        <v>186</v>
      </c>
      <c r="B158" s="46" t="s">
        <v>12620</v>
      </c>
      <c r="C158">
        <v>1</v>
      </c>
      <c r="D158">
        <v>3</v>
      </c>
    </row>
    <row r="159" spans="1:4" x14ac:dyDescent="0.25">
      <c r="A159" s="45" t="s">
        <v>187</v>
      </c>
      <c r="B159" s="46" t="s">
        <v>12621</v>
      </c>
      <c r="C159">
        <v>1</v>
      </c>
      <c r="D159">
        <v>3</v>
      </c>
    </row>
    <row r="160" spans="1:4" x14ac:dyDescent="0.25">
      <c r="A160" s="45" t="s">
        <v>188</v>
      </c>
      <c r="B160" s="46" t="s">
        <v>12622</v>
      </c>
      <c r="C160">
        <v>1</v>
      </c>
      <c r="D160">
        <v>3</v>
      </c>
    </row>
    <row r="161" spans="1:4" x14ac:dyDescent="0.25">
      <c r="A161" s="45" t="s">
        <v>189</v>
      </c>
      <c r="B161" s="46" t="s">
        <v>12623</v>
      </c>
      <c r="C161">
        <v>15</v>
      </c>
      <c r="D161">
        <v>82</v>
      </c>
    </row>
    <row r="162" spans="1:4" x14ac:dyDescent="0.25">
      <c r="A162" s="45" t="s">
        <v>190</v>
      </c>
      <c r="B162" s="46" t="s">
        <v>12624</v>
      </c>
      <c r="C162">
        <v>11</v>
      </c>
      <c r="D162">
        <v>68</v>
      </c>
    </row>
    <row r="163" spans="1:4" x14ac:dyDescent="0.25">
      <c r="A163" s="45" t="s">
        <v>191</v>
      </c>
      <c r="B163" s="46" t="s">
        <v>12625</v>
      </c>
      <c r="C163">
        <v>1</v>
      </c>
      <c r="D163">
        <v>4</v>
      </c>
    </row>
    <row r="164" spans="1:4" x14ac:dyDescent="0.25">
      <c r="A164" s="45" t="s">
        <v>192</v>
      </c>
      <c r="B164" s="46" t="s">
        <v>12626</v>
      </c>
      <c r="C164">
        <v>1</v>
      </c>
      <c r="D164">
        <v>4</v>
      </c>
    </row>
    <row r="165" spans="1:4" x14ac:dyDescent="0.25">
      <c r="A165" s="45" t="s">
        <v>193</v>
      </c>
      <c r="B165" s="46" t="s">
        <v>12627</v>
      </c>
      <c r="C165">
        <v>1</v>
      </c>
      <c r="D165">
        <v>4</v>
      </c>
    </row>
    <row r="166" spans="1:4" x14ac:dyDescent="0.25">
      <c r="A166" s="45" t="s">
        <v>194</v>
      </c>
      <c r="B166" s="46" t="s">
        <v>12628</v>
      </c>
      <c r="C166">
        <v>1</v>
      </c>
      <c r="D166">
        <v>4</v>
      </c>
    </row>
    <row r="167" spans="1:4" x14ac:dyDescent="0.25">
      <c r="A167" s="45" t="s">
        <v>195</v>
      </c>
      <c r="B167" s="46" t="s">
        <v>12629</v>
      </c>
      <c r="C167">
        <v>1</v>
      </c>
      <c r="D167">
        <v>4</v>
      </c>
    </row>
    <row r="168" spans="1:4" x14ac:dyDescent="0.25">
      <c r="A168" s="45" t="s">
        <v>196</v>
      </c>
      <c r="B168" s="46" t="s">
        <v>12630</v>
      </c>
      <c r="C168">
        <v>1</v>
      </c>
      <c r="D168">
        <v>4</v>
      </c>
    </row>
    <row r="169" spans="1:4" x14ac:dyDescent="0.25">
      <c r="A169" s="45" t="s">
        <v>197</v>
      </c>
      <c r="B169" s="46" t="s">
        <v>12631</v>
      </c>
      <c r="C169">
        <v>1</v>
      </c>
      <c r="D169">
        <v>4</v>
      </c>
    </row>
    <row r="170" spans="1:4" x14ac:dyDescent="0.25">
      <c r="A170" s="45" t="s">
        <v>198</v>
      </c>
      <c r="B170" s="46" t="s">
        <v>12632</v>
      </c>
      <c r="C170">
        <v>1</v>
      </c>
      <c r="D170">
        <v>4</v>
      </c>
    </row>
    <row r="171" spans="1:4" x14ac:dyDescent="0.25">
      <c r="A171" s="45" t="s">
        <v>199</v>
      </c>
      <c r="B171" s="46" t="s">
        <v>12633</v>
      </c>
      <c r="C171">
        <v>1</v>
      </c>
      <c r="D171">
        <v>4</v>
      </c>
    </row>
    <row r="172" spans="1:4" x14ac:dyDescent="0.25">
      <c r="A172" s="45" t="s">
        <v>200</v>
      </c>
      <c r="B172" s="46" t="s">
        <v>12634</v>
      </c>
      <c r="C172">
        <v>1</v>
      </c>
      <c r="D172">
        <v>4</v>
      </c>
    </row>
    <row r="173" spans="1:4" x14ac:dyDescent="0.25">
      <c r="A173" s="45" t="s">
        <v>201</v>
      </c>
      <c r="B173" s="46" t="s">
        <v>12635</v>
      </c>
      <c r="C173">
        <v>1</v>
      </c>
      <c r="D173">
        <v>4</v>
      </c>
    </row>
    <row r="174" spans="1:4" x14ac:dyDescent="0.25">
      <c r="A174" s="45" t="s">
        <v>202</v>
      </c>
      <c r="B174" s="46" t="s">
        <v>12636</v>
      </c>
      <c r="C174">
        <v>1</v>
      </c>
      <c r="D174">
        <v>4</v>
      </c>
    </row>
    <row r="175" spans="1:4" x14ac:dyDescent="0.25">
      <c r="A175" s="45" t="s">
        <v>203</v>
      </c>
      <c r="B175" s="46" t="s">
        <v>12637</v>
      </c>
      <c r="C175">
        <v>1</v>
      </c>
      <c r="D175">
        <v>4</v>
      </c>
    </row>
    <row r="176" spans="1:4" x14ac:dyDescent="0.25">
      <c r="A176" s="45" t="s">
        <v>204</v>
      </c>
      <c r="B176" s="46" t="s">
        <v>12638</v>
      </c>
      <c r="C176">
        <v>1</v>
      </c>
      <c r="D176">
        <v>4</v>
      </c>
    </row>
    <row r="177" spans="1:4" x14ac:dyDescent="0.25">
      <c r="A177" s="45" t="s">
        <v>205</v>
      </c>
      <c r="B177" s="46" t="s">
        <v>12639</v>
      </c>
      <c r="C177">
        <v>1</v>
      </c>
      <c r="D177">
        <v>4</v>
      </c>
    </row>
    <row r="178" spans="1:4" x14ac:dyDescent="0.25">
      <c r="A178" s="45" t="s">
        <v>206</v>
      </c>
      <c r="B178" s="46" t="s">
        <v>12640</v>
      </c>
      <c r="C178">
        <v>1</v>
      </c>
      <c r="D178">
        <v>4</v>
      </c>
    </row>
    <row r="179" spans="1:4" x14ac:dyDescent="0.25">
      <c r="A179" s="45" t="s">
        <v>207</v>
      </c>
      <c r="B179" s="46" t="s">
        <v>12641</v>
      </c>
      <c r="C179">
        <v>1</v>
      </c>
      <c r="D179">
        <v>4</v>
      </c>
    </row>
    <row r="180" spans="1:4" x14ac:dyDescent="0.25">
      <c r="A180" s="45" t="s">
        <v>208</v>
      </c>
      <c r="B180" s="46" t="s">
        <v>12642</v>
      </c>
      <c r="C180">
        <v>1</v>
      </c>
      <c r="D180">
        <v>4</v>
      </c>
    </row>
    <row r="181" spans="1:4" x14ac:dyDescent="0.25">
      <c r="A181" s="45" t="s">
        <v>209</v>
      </c>
      <c r="B181" s="46" t="s">
        <v>12643</v>
      </c>
      <c r="C181">
        <v>1</v>
      </c>
      <c r="D181">
        <v>4</v>
      </c>
    </row>
    <row r="182" spans="1:4" x14ac:dyDescent="0.25">
      <c r="A182" s="45" t="s">
        <v>210</v>
      </c>
      <c r="B182" s="46" t="s">
        <v>12644</v>
      </c>
      <c r="C182">
        <v>1</v>
      </c>
      <c r="D182">
        <v>4</v>
      </c>
    </row>
    <row r="183" spans="1:4" x14ac:dyDescent="0.25">
      <c r="A183" s="45" t="s">
        <v>211</v>
      </c>
      <c r="B183" s="46" t="s">
        <v>12645</v>
      </c>
      <c r="C183">
        <v>1</v>
      </c>
      <c r="D183">
        <v>4</v>
      </c>
    </row>
    <row r="184" spans="1:4" x14ac:dyDescent="0.25">
      <c r="A184" s="45" t="s">
        <v>212</v>
      </c>
      <c r="B184" s="46" t="s">
        <v>12646</v>
      </c>
      <c r="C184">
        <v>1</v>
      </c>
      <c r="D184">
        <v>4</v>
      </c>
    </row>
    <row r="185" spans="1:4" x14ac:dyDescent="0.25">
      <c r="A185" s="45" t="s">
        <v>213</v>
      </c>
      <c r="B185" s="46" t="s">
        <v>12647</v>
      </c>
      <c r="C185">
        <v>1</v>
      </c>
      <c r="D185">
        <v>4</v>
      </c>
    </row>
    <row r="186" spans="1:4" x14ac:dyDescent="0.25">
      <c r="A186" s="45" t="s">
        <v>214</v>
      </c>
      <c r="B186" s="46" t="s">
        <v>12648</v>
      </c>
      <c r="C186">
        <v>1</v>
      </c>
      <c r="D186">
        <v>4</v>
      </c>
    </row>
    <row r="187" spans="1:4" x14ac:dyDescent="0.25">
      <c r="A187" s="45" t="s">
        <v>215</v>
      </c>
      <c r="B187" s="46" t="s">
        <v>12649</v>
      </c>
      <c r="C187">
        <v>1</v>
      </c>
      <c r="D187">
        <v>4</v>
      </c>
    </row>
    <row r="188" spans="1:4" x14ac:dyDescent="0.25">
      <c r="A188" s="45" t="s">
        <v>216</v>
      </c>
      <c r="B188" s="46" t="s">
        <v>12650</v>
      </c>
      <c r="C188">
        <v>1</v>
      </c>
      <c r="D188">
        <v>4</v>
      </c>
    </row>
    <row r="189" spans="1:4" x14ac:dyDescent="0.25">
      <c r="A189" s="45" t="s">
        <v>217</v>
      </c>
      <c r="B189" s="46" t="s">
        <v>19315</v>
      </c>
      <c r="C189">
        <v>1</v>
      </c>
      <c r="D189">
        <v>4</v>
      </c>
    </row>
    <row r="190" spans="1:4" x14ac:dyDescent="0.25">
      <c r="A190" s="45" t="s">
        <v>218</v>
      </c>
      <c r="B190" s="46" t="s">
        <v>12651</v>
      </c>
      <c r="C190">
        <v>1</v>
      </c>
      <c r="D190">
        <v>4</v>
      </c>
    </row>
    <row r="191" spans="1:4" x14ac:dyDescent="0.25">
      <c r="A191" s="45" t="s">
        <v>219</v>
      </c>
      <c r="B191" s="46" t="s">
        <v>12652</v>
      </c>
      <c r="C191">
        <v>1</v>
      </c>
      <c r="D191">
        <v>4</v>
      </c>
    </row>
    <row r="192" spans="1:4" x14ac:dyDescent="0.25">
      <c r="A192" s="45" t="s">
        <v>220</v>
      </c>
      <c r="B192" s="46" t="s">
        <v>12653</v>
      </c>
      <c r="C192">
        <v>1</v>
      </c>
      <c r="D192">
        <v>4</v>
      </c>
    </row>
    <row r="193" spans="1:4" x14ac:dyDescent="0.25">
      <c r="A193" s="45" t="s">
        <v>221</v>
      </c>
      <c r="B193" s="46" t="s">
        <v>12654</v>
      </c>
      <c r="C193">
        <v>1</v>
      </c>
      <c r="D193">
        <v>4</v>
      </c>
    </row>
    <row r="194" spans="1:4" x14ac:dyDescent="0.25">
      <c r="A194" s="45" t="s">
        <v>222</v>
      </c>
      <c r="B194" s="46" t="s">
        <v>12655</v>
      </c>
      <c r="C194">
        <v>1</v>
      </c>
      <c r="D194">
        <v>4</v>
      </c>
    </row>
    <row r="195" spans="1:4" x14ac:dyDescent="0.25">
      <c r="A195" s="45" t="s">
        <v>223</v>
      </c>
      <c r="B195" s="46" t="s">
        <v>12656</v>
      </c>
      <c r="C195">
        <v>1</v>
      </c>
      <c r="D195">
        <v>4</v>
      </c>
    </row>
    <row r="196" spans="1:4" x14ac:dyDescent="0.25">
      <c r="A196" s="45" t="s">
        <v>224</v>
      </c>
      <c r="B196" s="46" t="s">
        <v>12657</v>
      </c>
      <c r="C196">
        <v>1</v>
      </c>
      <c r="D196">
        <v>4</v>
      </c>
    </row>
    <row r="197" spans="1:4" x14ac:dyDescent="0.25">
      <c r="A197" s="45" t="s">
        <v>225</v>
      </c>
      <c r="B197" s="46" t="s">
        <v>12658</v>
      </c>
      <c r="C197">
        <v>1</v>
      </c>
      <c r="D197">
        <v>4</v>
      </c>
    </row>
    <row r="198" spans="1:4" x14ac:dyDescent="0.25">
      <c r="A198" s="45" t="s">
        <v>226</v>
      </c>
      <c r="B198" s="46" t="s">
        <v>12659</v>
      </c>
      <c r="C198">
        <v>1</v>
      </c>
      <c r="D198">
        <v>4</v>
      </c>
    </row>
    <row r="199" spans="1:4" x14ac:dyDescent="0.25">
      <c r="A199" s="45" t="s">
        <v>227</v>
      </c>
      <c r="B199" s="46" t="s">
        <v>12660</v>
      </c>
      <c r="C199">
        <v>1</v>
      </c>
      <c r="D199">
        <v>4</v>
      </c>
    </row>
    <row r="200" spans="1:4" x14ac:dyDescent="0.25">
      <c r="A200" s="45" t="s">
        <v>228</v>
      </c>
      <c r="B200" s="46" t="s">
        <v>12661</v>
      </c>
      <c r="C200">
        <v>1</v>
      </c>
      <c r="D200">
        <v>4</v>
      </c>
    </row>
    <row r="201" spans="1:4" x14ac:dyDescent="0.25">
      <c r="A201" s="45" t="s">
        <v>229</v>
      </c>
      <c r="B201" s="46" t="s">
        <v>12662</v>
      </c>
      <c r="C201">
        <v>1</v>
      </c>
      <c r="D201">
        <v>4</v>
      </c>
    </row>
    <row r="202" spans="1:4" x14ac:dyDescent="0.25">
      <c r="A202" s="45" t="s">
        <v>230</v>
      </c>
      <c r="B202" s="46" t="s">
        <v>12663</v>
      </c>
      <c r="C202">
        <v>1</v>
      </c>
      <c r="D202">
        <v>4</v>
      </c>
    </row>
    <row r="203" spans="1:4" x14ac:dyDescent="0.25">
      <c r="A203" s="45" t="s">
        <v>231</v>
      </c>
      <c r="B203" s="46" t="s">
        <v>12664</v>
      </c>
      <c r="C203">
        <v>1</v>
      </c>
      <c r="D203">
        <v>4</v>
      </c>
    </row>
    <row r="204" spans="1:4" x14ac:dyDescent="0.25">
      <c r="A204" s="45" t="s">
        <v>232</v>
      </c>
      <c r="B204" s="46" t="s">
        <v>12665</v>
      </c>
      <c r="C204">
        <v>1</v>
      </c>
      <c r="D204">
        <v>4</v>
      </c>
    </row>
    <row r="205" spans="1:4" x14ac:dyDescent="0.25">
      <c r="A205" s="45" t="s">
        <v>233</v>
      </c>
      <c r="B205" s="46" t="s">
        <v>12666</v>
      </c>
      <c r="C205">
        <v>1</v>
      </c>
      <c r="D205">
        <v>4</v>
      </c>
    </row>
    <row r="206" spans="1:4" x14ac:dyDescent="0.25">
      <c r="A206" s="45" t="s">
        <v>234</v>
      </c>
      <c r="B206" s="46" t="s">
        <v>19316</v>
      </c>
      <c r="C206">
        <v>1</v>
      </c>
      <c r="D206">
        <v>4</v>
      </c>
    </row>
    <row r="207" spans="1:4" x14ac:dyDescent="0.25">
      <c r="A207" s="45" t="s">
        <v>235</v>
      </c>
      <c r="B207" s="46" t="s">
        <v>12667</v>
      </c>
      <c r="C207">
        <v>1</v>
      </c>
      <c r="D207">
        <v>10</v>
      </c>
    </row>
    <row r="208" spans="1:4" x14ac:dyDescent="0.25">
      <c r="A208" s="45" t="s">
        <v>236</v>
      </c>
      <c r="B208" s="46" t="s">
        <v>12668</v>
      </c>
      <c r="C208">
        <v>1</v>
      </c>
      <c r="D208">
        <v>10</v>
      </c>
    </row>
    <row r="209" spans="1:4" x14ac:dyDescent="0.25">
      <c r="A209" s="45" t="s">
        <v>237</v>
      </c>
      <c r="B209" s="46" t="s">
        <v>12669</v>
      </c>
      <c r="C209">
        <v>1</v>
      </c>
      <c r="D209">
        <v>10</v>
      </c>
    </row>
    <row r="210" spans="1:4" x14ac:dyDescent="0.25">
      <c r="A210" s="45" t="s">
        <v>238</v>
      </c>
      <c r="B210" s="46" t="s">
        <v>12670</v>
      </c>
      <c r="C210">
        <v>1</v>
      </c>
      <c r="D210">
        <v>10</v>
      </c>
    </row>
    <row r="211" spans="1:4" x14ac:dyDescent="0.25">
      <c r="A211" s="45" t="s">
        <v>239</v>
      </c>
      <c r="B211" s="46" t="s">
        <v>12671</v>
      </c>
      <c r="C211">
        <v>1</v>
      </c>
      <c r="D211">
        <v>4</v>
      </c>
    </row>
    <row r="212" spans="1:4" x14ac:dyDescent="0.25">
      <c r="A212" s="45" t="s">
        <v>240</v>
      </c>
      <c r="B212" s="46" t="s">
        <v>12672</v>
      </c>
      <c r="C212">
        <v>1</v>
      </c>
      <c r="D212">
        <v>4</v>
      </c>
    </row>
    <row r="213" spans="1:4" x14ac:dyDescent="0.25">
      <c r="A213" s="45" t="s">
        <v>241</v>
      </c>
      <c r="B213" s="46" t="s">
        <v>12673</v>
      </c>
      <c r="C213">
        <v>8</v>
      </c>
      <c r="D213">
        <v>51</v>
      </c>
    </row>
    <row r="214" spans="1:4" x14ac:dyDescent="0.25">
      <c r="A214" s="45" t="s">
        <v>242</v>
      </c>
      <c r="B214" s="46" t="s">
        <v>19317</v>
      </c>
      <c r="C214">
        <v>1</v>
      </c>
      <c r="D214">
        <v>4</v>
      </c>
    </row>
    <row r="215" spans="1:4" x14ac:dyDescent="0.25">
      <c r="A215" s="45" t="s">
        <v>243</v>
      </c>
      <c r="B215" s="46" t="s">
        <v>19318</v>
      </c>
      <c r="C215">
        <v>16</v>
      </c>
      <c r="D215">
        <v>83</v>
      </c>
    </row>
    <row r="216" spans="1:4" x14ac:dyDescent="0.25">
      <c r="A216" s="45" t="s">
        <v>244</v>
      </c>
      <c r="B216" s="46" t="s">
        <v>12674</v>
      </c>
      <c r="C216">
        <v>1</v>
      </c>
      <c r="D216">
        <v>4</v>
      </c>
    </row>
    <row r="217" spans="1:4" x14ac:dyDescent="0.25">
      <c r="A217" s="45" t="s">
        <v>245</v>
      </c>
      <c r="B217" s="46" t="s">
        <v>12675</v>
      </c>
      <c r="C217">
        <v>1</v>
      </c>
      <c r="D217">
        <v>4</v>
      </c>
    </row>
    <row r="218" spans="1:4" x14ac:dyDescent="0.25">
      <c r="A218" s="45" t="s">
        <v>246</v>
      </c>
      <c r="B218" s="46" t="s">
        <v>19319</v>
      </c>
      <c r="C218">
        <v>1</v>
      </c>
      <c r="D218">
        <v>4</v>
      </c>
    </row>
    <row r="219" spans="1:4" x14ac:dyDescent="0.25">
      <c r="A219" s="45" t="s">
        <v>247</v>
      </c>
      <c r="B219" s="46" t="s">
        <v>12676</v>
      </c>
      <c r="C219">
        <v>1</v>
      </c>
      <c r="D219">
        <v>4</v>
      </c>
    </row>
    <row r="220" spans="1:4" x14ac:dyDescent="0.25">
      <c r="A220" s="45" t="s">
        <v>248</v>
      </c>
      <c r="B220" s="46" t="s">
        <v>12677</v>
      </c>
      <c r="C220">
        <v>1</v>
      </c>
      <c r="D220">
        <v>4</v>
      </c>
    </row>
    <row r="221" spans="1:4" x14ac:dyDescent="0.25">
      <c r="A221" s="45" t="s">
        <v>249</v>
      </c>
      <c r="B221" s="46" t="s">
        <v>12678</v>
      </c>
      <c r="C221">
        <v>1</v>
      </c>
      <c r="D221">
        <v>4</v>
      </c>
    </row>
    <row r="222" spans="1:4" x14ac:dyDescent="0.25">
      <c r="A222" s="45" t="s">
        <v>250</v>
      </c>
      <c r="B222" s="46" t="s">
        <v>12679</v>
      </c>
      <c r="C222">
        <v>1</v>
      </c>
      <c r="D222">
        <v>4</v>
      </c>
    </row>
    <row r="223" spans="1:4" x14ac:dyDescent="0.25">
      <c r="A223" s="45" t="s">
        <v>251</v>
      </c>
      <c r="B223" s="46" t="s">
        <v>12680</v>
      </c>
      <c r="C223">
        <v>1</v>
      </c>
      <c r="D223">
        <v>4</v>
      </c>
    </row>
    <row r="224" spans="1:4" x14ac:dyDescent="0.25">
      <c r="A224" s="45" t="s">
        <v>252</v>
      </c>
      <c r="B224" s="46" t="s">
        <v>12681</v>
      </c>
      <c r="C224">
        <v>1</v>
      </c>
      <c r="D224">
        <v>11</v>
      </c>
    </row>
    <row r="225" spans="1:4" x14ac:dyDescent="0.25">
      <c r="A225" s="45" t="s">
        <v>253</v>
      </c>
      <c r="B225" s="46" t="s">
        <v>12682</v>
      </c>
      <c r="C225">
        <v>1</v>
      </c>
      <c r="D225">
        <v>11</v>
      </c>
    </row>
    <row r="226" spans="1:4" x14ac:dyDescent="0.25">
      <c r="A226" s="45" t="s">
        <v>254</v>
      </c>
      <c r="B226" s="46" t="s">
        <v>19320</v>
      </c>
      <c r="C226">
        <v>1</v>
      </c>
      <c r="D226">
        <v>11</v>
      </c>
    </row>
    <row r="227" spans="1:4" x14ac:dyDescent="0.25">
      <c r="A227" s="45" t="s">
        <v>255</v>
      </c>
      <c r="B227" s="46" t="s">
        <v>12683</v>
      </c>
      <c r="C227">
        <v>1</v>
      </c>
      <c r="D227">
        <v>11</v>
      </c>
    </row>
    <row r="228" spans="1:4" x14ac:dyDescent="0.25">
      <c r="A228" s="45" t="s">
        <v>256</v>
      </c>
      <c r="B228" s="46" t="s">
        <v>19321</v>
      </c>
      <c r="C228">
        <v>1</v>
      </c>
      <c r="D228">
        <v>11</v>
      </c>
    </row>
    <row r="229" spans="1:4" x14ac:dyDescent="0.25">
      <c r="A229" s="45" t="s">
        <v>257</v>
      </c>
      <c r="B229" s="46" t="s">
        <v>12684</v>
      </c>
      <c r="C229">
        <v>1</v>
      </c>
      <c r="D229">
        <v>11</v>
      </c>
    </row>
    <row r="230" spans="1:4" x14ac:dyDescent="0.25">
      <c r="A230" s="45" t="s">
        <v>258</v>
      </c>
      <c r="B230" s="46" t="s">
        <v>12685</v>
      </c>
      <c r="C230">
        <v>1</v>
      </c>
      <c r="D230">
        <v>11</v>
      </c>
    </row>
    <row r="231" spans="1:4" x14ac:dyDescent="0.25">
      <c r="A231" s="45" t="s">
        <v>259</v>
      </c>
      <c r="B231" s="46" t="s">
        <v>12686</v>
      </c>
      <c r="C231">
        <v>1</v>
      </c>
      <c r="D231">
        <v>11</v>
      </c>
    </row>
    <row r="232" spans="1:4" x14ac:dyDescent="0.25">
      <c r="A232" s="45" t="s">
        <v>260</v>
      </c>
      <c r="B232" s="46" t="s">
        <v>19322</v>
      </c>
      <c r="C232">
        <v>1</v>
      </c>
      <c r="D232">
        <v>11</v>
      </c>
    </row>
    <row r="233" spans="1:4" x14ac:dyDescent="0.25">
      <c r="A233" s="45" t="s">
        <v>261</v>
      </c>
      <c r="B233" s="46" t="s">
        <v>12687</v>
      </c>
      <c r="C233">
        <v>1</v>
      </c>
      <c r="D233">
        <v>11</v>
      </c>
    </row>
    <row r="234" spans="1:4" x14ac:dyDescent="0.25">
      <c r="A234" s="45" t="s">
        <v>262</v>
      </c>
      <c r="B234" s="46" t="s">
        <v>12688</v>
      </c>
      <c r="C234">
        <v>1</v>
      </c>
      <c r="D234">
        <v>11</v>
      </c>
    </row>
    <row r="235" spans="1:4" x14ac:dyDescent="0.25">
      <c r="A235" s="45" t="s">
        <v>263</v>
      </c>
      <c r="B235" s="46" t="s">
        <v>12689</v>
      </c>
      <c r="C235">
        <v>1</v>
      </c>
      <c r="D235">
        <v>11</v>
      </c>
    </row>
    <row r="236" spans="1:4" x14ac:dyDescent="0.25">
      <c r="A236" s="45" t="s">
        <v>264</v>
      </c>
      <c r="B236" s="46" t="s">
        <v>12690</v>
      </c>
      <c r="C236">
        <v>1</v>
      </c>
      <c r="D236">
        <v>11</v>
      </c>
    </row>
    <row r="237" spans="1:4" x14ac:dyDescent="0.25">
      <c r="A237" s="45" t="s">
        <v>265</v>
      </c>
      <c r="B237" s="46" t="s">
        <v>12691</v>
      </c>
      <c r="C237">
        <v>1</v>
      </c>
      <c r="D237">
        <v>11</v>
      </c>
    </row>
    <row r="238" spans="1:4" x14ac:dyDescent="0.25">
      <c r="A238" s="45" t="s">
        <v>266</v>
      </c>
      <c r="B238" s="46" t="s">
        <v>12692</v>
      </c>
      <c r="C238">
        <v>1</v>
      </c>
      <c r="D238">
        <v>11</v>
      </c>
    </row>
    <row r="239" spans="1:4" x14ac:dyDescent="0.25">
      <c r="A239" s="45" t="s">
        <v>267</v>
      </c>
      <c r="B239" s="46" t="s">
        <v>19323</v>
      </c>
      <c r="C239">
        <v>1</v>
      </c>
      <c r="D239">
        <v>11</v>
      </c>
    </row>
    <row r="240" spans="1:4" x14ac:dyDescent="0.25">
      <c r="A240" s="45" t="s">
        <v>268</v>
      </c>
      <c r="B240" s="46" t="s">
        <v>12693</v>
      </c>
      <c r="C240">
        <v>1</v>
      </c>
      <c r="D240">
        <v>11</v>
      </c>
    </row>
    <row r="241" spans="1:4" x14ac:dyDescent="0.25">
      <c r="A241" s="45" t="s">
        <v>269</v>
      </c>
      <c r="B241" s="46" t="s">
        <v>12694</v>
      </c>
      <c r="C241">
        <v>1</v>
      </c>
      <c r="D241">
        <v>11</v>
      </c>
    </row>
    <row r="242" spans="1:4" x14ac:dyDescent="0.25">
      <c r="A242" s="45" t="s">
        <v>270</v>
      </c>
      <c r="B242" s="46" t="s">
        <v>12695</v>
      </c>
      <c r="C242">
        <v>1</v>
      </c>
      <c r="D242">
        <v>11</v>
      </c>
    </row>
    <row r="243" spans="1:4" x14ac:dyDescent="0.25">
      <c r="A243" s="45" t="s">
        <v>271</v>
      </c>
      <c r="B243" s="46" t="s">
        <v>12696</v>
      </c>
      <c r="C243">
        <v>1</v>
      </c>
      <c r="D243">
        <v>11</v>
      </c>
    </row>
    <row r="244" spans="1:4" x14ac:dyDescent="0.25">
      <c r="A244" s="45" t="s">
        <v>272</v>
      </c>
      <c r="B244" s="46" t="s">
        <v>12697</v>
      </c>
      <c r="C244">
        <v>1</v>
      </c>
      <c r="D244">
        <v>11</v>
      </c>
    </row>
    <row r="245" spans="1:4" x14ac:dyDescent="0.25">
      <c r="A245" s="45" t="s">
        <v>273</v>
      </c>
      <c r="B245" s="46" t="s">
        <v>12698</v>
      </c>
      <c r="C245">
        <v>1</v>
      </c>
      <c r="D245">
        <v>11</v>
      </c>
    </row>
    <row r="246" spans="1:4" x14ac:dyDescent="0.25">
      <c r="A246" s="45" t="s">
        <v>274</v>
      </c>
      <c r="B246" s="46" t="s">
        <v>12699</v>
      </c>
      <c r="C246">
        <v>1</v>
      </c>
      <c r="D246">
        <v>11</v>
      </c>
    </row>
    <row r="247" spans="1:4" x14ac:dyDescent="0.25">
      <c r="A247" s="45" t="s">
        <v>275</v>
      </c>
      <c r="B247" s="46" t="s">
        <v>12700</v>
      </c>
      <c r="C247">
        <v>1</v>
      </c>
      <c r="D247">
        <v>11</v>
      </c>
    </row>
    <row r="248" spans="1:4" x14ac:dyDescent="0.25">
      <c r="A248" s="45" t="s">
        <v>276</v>
      </c>
      <c r="B248" s="46" t="s">
        <v>12701</v>
      </c>
      <c r="C248">
        <v>1</v>
      </c>
      <c r="D248">
        <v>11</v>
      </c>
    </row>
    <row r="249" spans="1:4" x14ac:dyDescent="0.25">
      <c r="A249" s="45" t="s">
        <v>277</v>
      </c>
      <c r="B249" s="46" t="s">
        <v>19324</v>
      </c>
      <c r="C249">
        <v>1</v>
      </c>
      <c r="D249">
        <v>11</v>
      </c>
    </row>
    <row r="250" spans="1:4" x14ac:dyDescent="0.25">
      <c r="A250" s="45" t="s">
        <v>278</v>
      </c>
      <c r="B250" s="46" t="s">
        <v>19325</v>
      </c>
      <c r="C250">
        <v>1</v>
      </c>
      <c r="D250">
        <v>11</v>
      </c>
    </row>
    <row r="251" spans="1:4" x14ac:dyDescent="0.25">
      <c r="A251" s="45" t="s">
        <v>279</v>
      </c>
      <c r="B251" s="46" t="s">
        <v>19326</v>
      </c>
      <c r="C251">
        <v>1</v>
      </c>
      <c r="D251">
        <v>11</v>
      </c>
    </row>
    <row r="252" spans="1:4" x14ac:dyDescent="0.25">
      <c r="A252" s="45" t="s">
        <v>280</v>
      </c>
      <c r="B252" s="46" t="s">
        <v>12702</v>
      </c>
      <c r="C252">
        <v>1</v>
      </c>
      <c r="D252">
        <v>11</v>
      </c>
    </row>
    <row r="253" spans="1:4" x14ac:dyDescent="0.25">
      <c r="A253" s="45" t="s">
        <v>281</v>
      </c>
      <c r="B253" s="46" t="s">
        <v>12703</v>
      </c>
      <c r="C253">
        <v>1</v>
      </c>
      <c r="D253">
        <v>11</v>
      </c>
    </row>
    <row r="254" spans="1:4" x14ac:dyDescent="0.25">
      <c r="A254" s="45" t="s">
        <v>282</v>
      </c>
      <c r="B254" s="46" t="s">
        <v>12704</v>
      </c>
      <c r="C254">
        <v>1</v>
      </c>
      <c r="D254">
        <v>11</v>
      </c>
    </row>
    <row r="255" spans="1:4" x14ac:dyDescent="0.25">
      <c r="A255" s="45" t="s">
        <v>283</v>
      </c>
      <c r="B255" s="46" t="s">
        <v>12705</v>
      </c>
      <c r="C255">
        <v>1</v>
      </c>
      <c r="D255">
        <v>11</v>
      </c>
    </row>
    <row r="256" spans="1:4" x14ac:dyDescent="0.25">
      <c r="A256" s="45" t="s">
        <v>284</v>
      </c>
      <c r="B256" s="46" t="s">
        <v>12706</v>
      </c>
      <c r="C256">
        <v>1</v>
      </c>
      <c r="D256">
        <v>11</v>
      </c>
    </row>
    <row r="257" spans="1:4" x14ac:dyDescent="0.25">
      <c r="A257" s="45" t="s">
        <v>285</v>
      </c>
      <c r="B257" s="46" t="s">
        <v>19327</v>
      </c>
      <c r="C257">
        <v>1</v>
      </c>
      <c r="D257">
        <v>11</v>
      </c>
    </row>
    <row r="258" spans="1:4" x14ac:dyDescent="0.25">
      <c r="A258" s="45" t="s">
        <v>286</v>
      </c>
      <c r="B258" s="46" t="s">
        <v>12707</v>
      </c>
      <c r="C258">
        <v>1</v>
      </c>
      <c r="D258">
        <v>11</v>
      </c>
    </row>
    <row r="259" spans="1:4" x14ac:dyDescent="0.25">
      <c r="A259" s="45" t="s">
        <v>287</v>
      </c>
      <c r="B259" s="46" t="s">
        <v>12708</v>
      </c>
      <c r="C259">
        <v>1</v>
      </c>
      <c r="D259">
        <v>11</v>
      </c>
    </row>
    <row r="260" spans="1:4" x14ac:dyDescent="0.25">
      <c r="A260" s="45" t="s">
        <v>288</v>
      </c>
      <c r="B260" s="46" t="s">
        <v>19328</v>
      </c>
      <c r="C260">
        <v>1</v>
      </c>
      <c r="D260">
        <v>11</v>
      </c>
    </row>
    <row r="261" spans="1:4" x14ac:dyDescent="0.25">
      <c r="A261" s="45" t="s">
        <v>289</v>
      </c>
      <c r="B261" s="46" t="s">
        <v>19329</v>
      </c>
      <c r="C261">
        <v>1</v>
      </c>
      <c r="D261">
        <v>11</v>
      </c>
    </row>
    <row r="262" spans="1:4" x14ac:dyDescent="0.25">
      <c r="A262" s="45" t="s">
        <v>290</v>
      </c>
      <c r="B262" s="46" t="s">
        <v>12709</v>
      </c>
      <c r="C262">
        <v>1</v>
      </c>
      <c r="D262">
        <v>11</v>
      </c>
    </row>
    <row r="263" spans="1:4" x14ac:dyDescent="0.25">
      <c r="A263" s="45" t="s">
        <v>291</v>
      </c>
      <c r="B263" s="46" t="s">
        <v>12710</v>
      </c>
      <c r="C263">
        <v>1</v>
      </c>
      <c r="D263">
        <v>11</v>
      </c>
    </row>
    <row r="264" spans="1:4" x14ac:dyDescent="0.25">
      <c r="A264" s="45" t="s">
        <v>292</v>
      </c>
      <c r="B264" s="46" t="s">
        <v>19330</v>
      </c>
      <c r="C264">
        <v>1</v>
      </c>
      <c r="D264">
        <v>11</v>
      </c>
    </row>
    <row r="265" spans="1:4" x14ac:dyDescent="0.25">
      <c r="A265" s="45" t="s">
        <v>293</v>
      </c>
      <c r="B265" s="46" t="s">
        <v>12711</v>
      </c>
      <c r="C265">
        <v>1</v>
      </c>
      <c r="D265">
        <v>11</v>
      </c>
    </row>
    <row r="266" spans="1:4" x14ac:dyDescent="0.25">
      <c r="A266" s="45" t="s">
        <v>294</v>
      </c>
      <c r="B266" s="46" t="s">
        <v>12712</v>
      </c>
      <c r="C266">
        <v>1</v>
      </c>
      <c r="D266">
        <v>11</v>
      </c>
    </row>
    <row r="267" spans="1:4" x14ac:dyDescent="0.25">
      <c r="A267" s="45" t="s">
        <v>295</v>
      </c>
      <c r="B267" s="46" t="s">
        <v>12713</v>
      </c>
      <c r="C267">
        <v>1</v>
      </c>
      <c r="D267">
        <v>15</v>
      </c>
    </row>
    <row r="268" spans="1:4" x14ac:dyDescent="0.25">
      <c r="A268" s="45" t="s">
        <v>296</v>
      </c>
      <c r="B268" s="46" t="s">
        <v>12714</v>
      </c>
      <c r="C268">
        <v>1</v>
      </c>
      <c r="D268">
        <v>15</v>
      </c>
    </row>
    <row r="269" spans="1:4" x14ac:dyDescent="0.25">
      <c r="A269" s="45" t="s">
        <v>297</v>
      </c>
      <c r="B269" s="46" t="s">
        <v>12715</v>
      </c>
      <c r="C269">
        <v>1</v>
      </c>
      <c r="D269">
        <v>15</v>
      </c>
    </row>
    <row r="270" spans="1:4" x14ac:dyDescent="0.25">
      <c r="A270" s="45" t="s">
        <v>298</v>
      </c>
      <c r="B270" s="46" t="s">
        <v>19331</v>
      </c>
      <c r="C270">
        <v>1</v>
      </c>
      <c r="D270">
        <v>7</v>
      </c>
    </row>
    <row r="271" spans="1:4" x14ac:dyDescent="0.25">
      <c r="A271" s="45" t="s">
        <v>299</v>
      </c>
      <c r="B271" s="46" t="s">
        <v>12716</v>
      </c>
      <c r="C271">
        <v>1</v>
      </c>
      <c r="D271">
        <v>7</v>
      </c>
    </row>
    <row r="272" spans="1:4" x14ac:dyDescent="0.25">
      <c r="A272" s="45" t="s">
        <v>300</v>
      </c>
      <c r="B272" s="46" t="s">
        <v>19332</v>
      </c>
      <c r="C272">
        <v>1</v>
      </c>
      <c r="D272">
        <v>7</v>
      </c>
    </row>
    <row r="273" spans="1:4" x14ac:dyDescent="0.25">
      <c r="A273" s="45" t="s">
        <v>301</v>
      </c>
      <c r="B273" s="46" t="s">
        <v>12717</v>
      </c>
      <c r="C273">
        <v>1</v>
      </c>
      <c r="D273">
        <v>9</v>
      </c>
    </row>
    <row r="274" spans="1:4" x14ac:dyDescent="0.25">
      <c r="A274" s="45" t="s">
        <v>302</v>
      </c>
      <c r="B274" s="46" t="s">
        <v>19333</v>
      </c>
      <c r="C274">
        <v>1</v>
      </c>
      <c r="D274">
        <v>11</v>
      </c>
    </row>
    <row r="275" spans="1:4" x14ac:dyDescent="0.25">
      <c r="A275" s="45" t="s">
        <v>303</v>
      </c>
      <c r="B275" s="46" t="s">
        <v>12718</v>
      </c>
      <c r="C275">
        <v>1</v>
      </c>
      <c r="D275">
        <v>11</v>
      </c>
    </row>
    <row r="276" spans="1:4" x14ac:dyDescent="0.25">
      <c r="A276" s="45" t="s">
        <v>304</v>
      </c>
      <c r="B276" s="46" t="s">
        <v>12719</v>
      </c>
      <c r="C276">
        <v>1</v>
      </c>
      <c r="D276">
        <v>12</v>
      </c>
    </row>
    <row r="277" spans="1:4" x14ac:dyDescent="0.25">
      <c r="A277" s="45" t="s">
        <v>305</v>
      </c>
      <c r="B277" s="46" t="s">
        <v>12720</v>
      </c>
      <c r="C277">
        <v>1</v>
      </c>
      <c r="D277">
        <v>12</v>
      </c>
    </row>
    <row r="278" spans="1:4" x14ac:dyDescent="0.25">
      <c r="A278" s="45" t="s">
        <v>306</v>
      </c>
      <c r="B278" s="46" t="s">
        <v>12721</v>
      </c>
      <c r="C278">
        <v>1</v>
      </c>
      <c r="D278">
        <v>12</v>
      </c>
    </row>
    <row r="279" spans="1:4" x14ac:dyDescent="0.25">
      <c r="A279" s="45" t="s">
        <v>307</v>
      </c>
      <c r="B279" s="46" t="s">
        <v>12722</v>
      </c>
      <c r="C279">
        <v>1</v>
      </c>
      <c r="D279">
        <v>12</v>
      </c>
    </row>
    <row r="280" spans="1:4" x14ac:dyDescent="0.25">
      <c r="A280" s="45" t="s">
        <v>308</v>
      </c>
      <c r="B280" s="46" t="s">
        <v>12723</v>
      </c>
      <c r="C280">
        <v>1</v>
      </c>
      <c r="D280">
        <v>12</v>
      </c>
    </row>
    <row r="281" spans="1:4" x14ac:dyDescent="0.25">
      <c r="A281" s="45" t="s">
        <v>309</v>
      </c>
      <c r="B281" s="46" t="s">
        <v>12724</v>
      </c>
      <c r="C281">
        <v>1</v>
      </c>
      <c r="D281">
        <v>12</v>
      </c>
    </row>
    <row r="282" spans="1:4" x14ac:dyDescent="0.25">
      <c r="A282" s="45" t="s">
        <v>310</v>
      </c>
      <c r="B282" s="46" t="s">
        <v>12725</v>
      </c>
      <c r="C282">
        <v>1</v>
      </c>
      <c r="D282">
        <v>12</v>
      </c>
    </row>
    <row r="283" spans="1:4" x14ac:dyDescent="0.25">
      <c r="A283" s="45" t="s">
        <v>311</v>
      </c>
      <c r="B283" s="46" t="s">
        <v>12726</v>
      </c>
      <c r="C283">
        <v>1</v>
      </c>
      <c r="D283">
        <v>12</v>
      </c>
    </row>
    <row r="284" spans="1:4" x14ac:dyDescent="0.25">
      <c r="A284" s="45" t="s">
        <v>312</v>
      </c>
      <c r="B284" s="46" t="s">
        <v>12727</v>
      </c>
      <c r="C284">
        <v>1</v>
      </c>
      <c r="D284">
        <v>12</v>
      </c>
    </row>
    <row r="285" spans="1:4" x14ac:dyDescent="0.25">
      <c r="A285" s="45" t="s">
        <v>313</v>
      </c>
      <c r="B285" s="46" t="s">
        <v>12728</v>
      </c>
      <c r="C285">
        <v>1</v>
      </c>
      <c r="D285">
        <v>12</v>
      </c>
    </row>
    <row r="286" spans="1:4" x14ac:dyDescent="0.25">
      <c r="A286" s="45" t="s">
        <v>314</v>
      </c>
      <c r="B286" s="46" t="s">
        <v>19334</v>
      </c>
      <c r="C286">
        <v>1</v>
      </c>
      <c r="D286">
        <v>12</v>
      </c>
    </row>
    <row r="287" spans="1:4" x14ac:dyDescent="0.25">
      <c r="A287" s="45" t="s">
        <v>315</v>
      </c>
      <c r="B287" s="46" t="s">
        <v>12729</v>
      </c>
      <c r="C287">
        <v>1</v>
      </c>
      <c r="D287">
        <v>12</v>
      </c>
    </row>
    <row r="288" spans="1:4" x14ac:dyDescent="0.25">
      <c r="A288" s="45" t="s">
        <v>316</v>
      </c>
      <c r="B288" s="46" t="s">
        <v>12730</v>
      </c>
      <c r="C288">
        <v>1</v>
      </c>
      <c r="D288">
        <v>12</v>
      </c>
    </row>
    <row r="289" spans="1:4" x14ac:dyDescent="0.25">
      <c r="A289" s="45" t="s">
        <v>317</v>
      </c>
      <c r="B289" s="46" t="s">
        <v>12731</v>
      </c>
      <c r="C289">
        <v>1</v>
      </c>
      <c r="D289">
        <v>12</v>
      </c>
    </row>
    <row r="290" spans="1:4" x14ac:dyDescent="0.25">
      <c r="A290" s="45" t="s">
        <v>318</v>
      </c>
      <c r="B290" s="46" t="s">
        <v>12732</v>
      </c>
      <c r="C290">
        <v>1</v>
      </c>
      <c r="D290">
        <v>12</v>
      </c>
    </row>
    <row r="291" spans="1:4" x14ac:dyDescent="0.25">
      <c r="A291" s="45" t="s">
        <v>319</v>
      </c>
      <c r="B291" s="46" t="s">
        <v>12733</v>
      </c>
      <c r="C291">
        <v>1</v>
      </c>
      <c r="D291">
        <v>12</v>
      </c>
    </row>
    <row r="292" spans="1:4" x14ac:dyDescent="0.25">
      <c r="A292" s="45" t="s">
        <v>320</v>
      </c>
      <c r="B292" s="46" t="s">
        <v>12734</v>
      </c>
      <c r="C292">
        <v>1</v>
      </c>
      <c r="D292">
        <v>10</v>
      </c>
    </row>
    <row r="293" spans="1:4" x14ac:dyDescent="0.25">
      <c r="A293" s="45" t="s">
        <v>321</v>
      </c>
      <c r="B293" s="46" t="s">
        <v>12735</v>
      </c>
      <c r="C293">
        <v>1</v>
      </c>
      <c r="D293">
        <v>10</v>
      </c>
    </row>
    <row r="294" spans="1:4" x14ac:dyDescent="0.25">
      <c r="A294" s="45" t="s">
        <v>322</v>
      </c>
      <c r="B294" s="46" t="s">
        <v>12736</v>
      </c>
      <c r="C294">
        <v>1</v>
      </c>
      <c r="D294">
        <v>10</v>
      </c>
    </row>
    <row r="295" spans="1:4" x14ac:dyDescent="0.25">
      <c r="A295" s="45" t="s">
        <v>323</v>
      </c>
      <c r="B295" s="46" t="s">
        <v>12737</v>
      </c>
      <c r="C295">
        <v>1</v>
      </c>
      <c r="D295">
        <v>12</v>
      </c>
    </row>
    <row r="296" spans="1:4" x14ac:dyDescent="0.25">
      <c r="A296" s="45" t="s">
        <v>324</v>
      </c>
      <c r="B296" s="46" t="s">
        <v>19335</v>
      </c>
      <c r="C296">
        <v>1</v>
      </c>
      <c r="D296">
        <v>12</v>
      </c>
    </row>
    <row r="297" spans="1:4" x14ac:dyDescent="0.25">
      <c r="A297" s="45" t="s">
        <v>325</v>
      </c>
      <c r="B297" s="46" t="s">
        <v>12738</v>
      </c>
      <c r="C297">
        <v>1</v>
      </c>
      <c r="D297">
        <v>12</v>
      </c>
    </row>
    <row r="298" spans="1:4" x14ac:dyDescent="0.25">
      <c r="A298" s="45" t="s">
        <v>326</v>
      </c>
      <c r="B298" s="46" t="s">
        <v>12739</v>
      </c>
      <c r="C298">
        <v>1</v>
      </c>
      <c r="D298">
        <v>12</v>
      </c>
    </row>
    <row r="299" spans="1:4" x14ac:dyDescent="0.25">
      <c r="A299" s="45" t="s">
        <v>327</v>
      </c>
      <c r="B299" s="46" t="s">
        <v>12740</v>
      </c>
      <c r="C299">
        <v>1</v>
      </c>
      <c r="D299">
        <v>12</v>
      </c>
    </row>
    <row r="300" spans="1:4" x14ac:dyDescent="0.25">
      <c r="A300" s="45" t="s">
        <v>328</v>
      </c>
      <c r="B300" s="46" t="s">
        <v>12741</v>
      </c>
      <c r="C300">
        <v>1</v>
      </c>
      <c r="D300">
        <v>9</v>
      </c>
    </row>
    <row r="301" spans="1:4" x14ac:dyDescent="0.25">
      <c r="A301" s="45" t="s">
        <v>329</v>
      </c>
      <c r="B301" s="46" t="s">
        <v>12742</v>
      </c>
      <c r="C301">
        <v>1</v>
      </c>
      <c r="D301">
        <v>9</v>
      </c>
    </row>
    <row r="302" spans="1:4" x14ac:dyDescent="0.25">
      <c r="A302" s="45" t="s">
        <v>330</v>
      </c>
      <c r="B302" s="46" t="s">
        <v>12743</v>
      </c>
      <c r="C302">
        <v>1</v>
      </c>
      <c r="D302">
        <v>9</v>
      </c>
    </row>
    <row r="303" spans="1:4" x14ac:dyDescent="0.25">
      <c r="A303" s="45" t="s">
        <v>331</v>
      </c>
      <c r="B303" s="46" t="s">
        <v>12744</v>
      </c>
      <c r="C303">
        <v>1</v>
      </c>
      <c r="D303">
        <v>9</v>
      </c>
    </row>
    <row r="304" spans="1:4" x14ac:dyDescent="0.25">
      <c r="A304" s="45" t="s">
        <v>332</v>
      </c>
      <c r="B304" s="46" t="s">
        <v>12745</v>
      </c>
      <c r="C304">
        <v>1</v>
      </c>
      <c r="D304">
        <v>9</v>
      </c>
    </row>
    <row r="305" spans="1:4" x14ac:dyDescent="0.25">
      <c r="A305" s="45" t="s">
        <v>333</v>
      </c>
      <c r="B305" s="46" t="s">
        <v>12746</v>
      </c>
      <c r="C305">
        <v>1</v>
      </c>
      <c r="D305">
        <v>9</v>
      </c>
    </row>
    <row r="306" spans="1:4" x14ac:dyDescent="0.25">
      <c r="A306" s="45" t="s">
        <v>334</v>
      </c>
      <c r="B306" s="46" t="s">
        <v>12747</v>
      </c>
      <c r="C306">
        <v>1</v>
      </c>
      <c r="D306">
        <v>9</v>
      </c>
    </row>
    <row r="307" spans="1:4" x14ac:dyDescent="0.25">
      <c r="A307" s="45" t="s">
        <v>335</v>
      </c>
      <c r="B307" s="46" t="s">
        <v>12748</v>
      </c>
      <c r="C307">
        <v>1</v>
      </c>
      <c r="D307">
        <v>10</v>
      </c>
    </row>
    <row r="308" spans="1:4" x14ac:dyDescent="0.25">
      <c r="A308" s="45" t="s">
        <v>336</v>
      </c>
      <c r="B308" s="46" t="s">
        <v>19336</v>
      </c>
      <c r="C308">
        <v>1</v>
      </c>
      <c r="D308">
        <v>10</v>
      </c>
    </row>
    <row r="309" spans="1:4" x14ac:dyDescent="0.25">
      <c r="A309" s="45" t="s">
        <v>337</v>
      </c>
      <c r="B309" s="46" t="s">
        <v>12749</v>
      </c>
      <c r="C309">
        <v>1</v>
      </c>
      <c r="D309">
        <v>10</v>
      </c>
    </row>
    <row r="310" spans="1:4" x14ac:dyDescent="0.25">
      <c r="A310" s="45" t="s">
        <v>338</v>
      </c>
      <c r="B310" s="46" t="s">
        <v>12750</v>
      </c>
      <c r="C310">
        <v>1</v>
      </c>
      <c r="D310">
        <v>10</v>
      </c>
    </row>
    <row r="311" spans="1:4" x14ac:dyDescent="0.25">
      <c r="A311" s="45" t="s">
        <v>339</v>
      </c>
      <c r="B311" s="46" t="s">
        <v>12751</v>
      </c>
      <c r="C311">
        <v>1</v>
      </c>
      <c r="D311">
        <v>10</v>
      </c>
    </row>
    <row r="312" spans="1:4" x14ac:dyDescent="0.25">
      <c r="A312" s="45" t="s">
        <v>340</v>
      </c>
      <c r="B312" s="46" t="s">
        <v>19337</v>
      </c>
      <c r="C312">
        <v>1</v>
      </c>
      <c r="D312">
        <v>10</v>
      </c>
    </row>
    <row r="313" spans="1:4" x14ac:dyDescent="0.25">
      <c r="A313" s="45" t="s">
        <v>341</v>
      </c>
      <c r="B313" s="46" t="s">
        <v>19338</v>
      </c>
      <c r="C313">
        <v>1</v>
      </c>
      <c r="D313">
        <v>10</v>
      </c>
    </row>
    <row r="314" spans="1:4" x14ac:dyDescent="0.25">
      <c r="A314" s="45" t="s">
        <v>342</v>
      </c>
      <c r="B314" s="46" t="s">
        <v>19339</v>
      </c>
      <c r="C314">
        <v>1</v>
      </c>
      <c r="D314">
        <v>10</v>
      </c>
    </row>
    <row r="315" spans="1:4" x14ac:dyDescent="0.25">
      <c r="A315" s="45" t="s">
        <v>343</v>
      </c>
      <c r="B315" s="46" t="s">
        <v>19340</v>
      </c>
      <c r="C315">
        <v>1</v>
      </c>
      <c r="D315">
        <v>10</v>
      </c>
    </row>
    <row r="316" spans="1:4" x14ac:dyDescent="0.25">
      <c r="A316" s="45" t="s">
        <v>344</v>
      </c>
      <c r="B316" s="46" t="s">
        <v>12752</v>
      </c>
      <c r="C316">
        <v>1</v>
      </c>
      <c r="D316">
        <v>10</v>
      </c>
    </row>
    <row r="317" spans="1:4" x14ac:dyDescent="0.25">
      <c r="A317" s="45" t="s">
        <v>345</v>
      </c>
      <c r="B317" s="46" t="s">
        <v>12753</v>
      </c>
      <c r="C317">
        <v>1</v>
      </c>
      <c r="D317">
        <v>10</v>
      </c>
    </row>
    <row r="318" spans="1:4" x14ac:dyDescent="0.25">
      <c r="A318" s="45" t="s">
        <v>346</v>
      </c>
      <c r="B318" s="46" t="s">
        <v>12754</v>
      </c>
      <c r="C318">
        <v>1</v>
      </c>
      <c r="D318">
        <v>10</v>
      </c>
    </row>
    <row r="319" spans="1:4" x14ac:dyDescent="0.25">
      <c r="A319" s="45" t="s">
        <v>347</v>
      </c>
      <c r="B319" s="46" t="s">
        <v>12755</v>
      </c>
      <c r="C319">
        <v>1</v>
      </c>
      <c r="D319">
        <v>10</v>
      </c>
    </row>
    <row r="320" spans="1:4" x14ac:dyDescent="0.25">
      <c r="A320" s="45" t="s">
        <v>348</v>
      </c>
      <c r="B320" s="46" t="s">
        <v>12756</v>
      </c>
      <c r="C320">
        <v>1</v>
      </c>
      <c r="D320">
        <v>10</v>
      </c>
    </row>
    <row r="321" spans="1:4" x14ac:dyDescent="0.25">
      <c r="A321" s="45" t="s">
        <v>349</v>
      </c>
      <c r="B321" s="46" t="s">
        <v>12757</v>
      </c>
      <c r="C321">
        <v>1</v>
      </c>
      <c r="D321">
        <v>10</v>
      </c>
    </row>
    <row r="322" spans="1:4" x14ac:dyDescent="0.25">
      <c r="A322" s="45" t="s">
        <v>350</v>
      </c>
      <c r="B322" s="46" t="s">
        <v>12758</v>
      </c>
      <c r="C322">
        <v>1</v>
      </c>
      <c r="D322">
        <v>10</v>
      </c>
    </row>
    <row r="323" spans="1:4" x14ac:dyDescent="0.25">
      <c r="A323" s="45" t="s">
        <v>351</v>
      </c>
      <c r="B323" s="46" t="s">
        <v>12759</v>
      </c>
      <c r="C323">
        <v>1</v>
      </c>
      <c r="D323">
        <v>6</v>
      </c>
    </row>
    <row r="324" spans="1:4" x14ac:dyDescent="0.25">
      <c r="A324" s="45" t="s">
        <v>352</v>
      </c>
      <c r="B324" s="46" t="s">
        <v>12760</v>
      </c>
      <c r="C324">
        <v>1</v>
      </c>
      <c r="D324">
        <v>6</v>
      </c>
    </row>
    <row r="325" spans="1:4" x14ac:dyDescent="0.25">
      <c r="A325" s="45" t="s">
        <v>353</v>
      </c>
      <c r="B325" s="46" t="s">
        <v>12761</v>
      </c>
      <c r="C325">
        <v>1</v>
      </c>
      <c r="D325">
        <v>6</v>
      </c>
    </row>
    <row r="326" spans="1:4" x14ac:dyDescent="0.25">
      <c r="A326" s="45" t="s">
        <v>354</v>
      </c>
      <c r="B326" s="46" t="s">
        <v>19341</v>
      </c>
      <c r="C326">
        <v>1</v>
      </c>
      <c r="D326">
        <v>6</v>
      </c>
    </row>
    <row r="327" spans="1:4" x14ac:dyDescent="0.25">
      <c r="A327" s="45" t="s">
        <v>355</v>
      </c>
      <c r="B327" s="46" t="s">
        <v>12762</v>
      </c>
      <c r="C327">
        <v>1</v>
      </c>
      <c r="D327">
        <v>6</v>
      </c>
    </row>
    <row r="328" spans="1:4" x14ac:dyDescent="0.25">
      <c r="A328" s="45" t="s">
        <v>356</v>
      </c>
      <c r="B328" s="46" t="s">
        <v>19342</v>
      </c>
      <c r="C328">
        <v>1</v>
      </c>
      <c r="D328">
        <v>6</v>
      </c>
    </row>
    <row r="329" spans="1:4" x14ac:dyDescent="0.25">
      <c r="A329" s="45" t="s">
        <v>357</v>
      </c>
      <c r="B329" s="46" t="s">
        <v>12763</v>
      </c>
      <c r="C329">
        <v>1</v>
      </c>
      <c r="D329">
        <v>6</v>
      </c>
    </row>
    <row r="330" spans="1:4" x14ac:dyDescent="0.25">
      <c r="A330" s="45" t="s">
        <v>358</v>
      </c>
      <c r="B330" s="46" t="s">
        <v>12764</v>
      </c>
      <c r="C330">
        <v>1</v>
      </c>
      <c r="D330">
        <v>6</v>
      </c>
    </row>
    <row r="331" spans="1:4" x14ac:dyDescent="0.25">
      <c r="A331" s="45" t="s">
        <v>359</v>
      </c>
      <c r="B331" s="46" t="s">
        <v>12765</v>
      </c>
      <c r="C331">
        <v>1</v>
      </c>
      <c r="D331">
        <v>6</v>
      </c>
    </row>
    <row r="332" spans="1:4" x14ac:dyDescent="0.25">
      <c r="A332" s="45" t="s">
        <v>360</v>
      </c>
      <c r="B332" s="46" t="s">
        <v>19343</v>
      </c>
      <c r="C332">
        <v>1</v>
      </c>
      <c r="D332">
        <v>6</v>
      </c>
    </row>
    <row r="333" spans="1:4" x14ac:dyDescent="0.25">
      <c r="A333" s="45" t="s">
        <v>361</v>
      </c>
      <c r="B333" s="46" t="s">
        <v>19344</v>
      </c>
      <c r="C333">
        <v>1</v>
      </c>
      <c r="D333">
        <v>6</v>
      </c>
    </row>
    <row r="334" spans="1:4" x14ac:dyDescent="0.25">
      <c r="A334" s="45" t="s">
        <v>362</v>
      </c>
      <c r="B334" s="46" t="s">
        <v>12766</v>
      </c>
      <c r="C334">
        <v>1</v>
      </c>
      <c r="D334">
        <v>9</v>
      </c>
    </row>
    <row r="335" spans="1:4" x14ac:dyDescent="0.25">
      <c r="A335" s="45" t="s">
        <v>363</v>
      </c>
      <c r="B335" s="46" t="s">
        <v>12767</v>
      </c>
      <c r="C335">
        <v>1</v>
      </c>
      <c r="D335">
        <v>9</v>
      </c>
    </row>
    <row r="336" spans="1:4" x14ac:dyDescent="0.25">
      <c r="A336" s="45" t="s">
        <v>364</v>
      </c>
      <c r="B336" s="46" t="s">
        <v>12768</v>
      </c>
      <c r="C336">
        <v>1</v>
      </c>
      <c r="D336">
        <v>9</v>
      </c>
    </row>
    <row r="337" spans="1:4" x14ac:dyDescent="0.25">
      <c r="A337" s="45" t="s">
        <v>365</v>
      </c>
      <c r="B337" s="46" t="s">
        <v>12769</v>
      </c>
      <c r="C337">
        <v>1</v>
      </c>
      <c r="D337">
        <v>8</v>
      </c>
    </row>
    <row r="338" spans="1:4" x14ac:dyDescent="0.25">
      <c r="A338" s="45" t="s">
        <v>366</v>
      </c>
      <c r="B338" s="46" t="s">
        <v>12770</v>
      </c>
      <c r="C338">
        <v>1</v>
      </c>
      <c r="D338">
        <v>8</v>
      </c>
    </row>
    <row r="339" spans="1:4" x14ac:dyDescent="0.25">
      <c r="A339" s="45" t="s">
        <v>367</v>
      </c>
      <c r="B339" s="46" t="s">
        <v>12771</v>
      </c>
      <c r="C339">
        <v>1</v>
      </c>
      <c r="D339">
        <v>8</v>
      </c>
    </row>
    <row r="340" spans="1:4" x14ac:dyDescent="0.25">
      <c r="A340" s="45" t="s">
        <v>368</v>
      </c>
      <c r="B340" s="46" t="s">
        <v>12772</v>
      </c>
      <c r="C340">
        <v>1</v>
      </c>
      <c r="D340">
        <v>8</v>
      </c>
    </row>
    <row r="341" spans="1:4" x14ac:dyDescent="0.25">
      <c r="A341" s="45" t="s">
        <v>369</v>
      </c>
      <c r="B341" s="46" t="s">
        <v>12773</v>
      </c>
      <c r="C341">
        <v>1</v>
      </c>
      <c r="D341">
        <v>8</v>
      </c>
    </row>
    <row r="342" spans="1:4" x14ac:dyDescent="0.25">
      <c r="A342" s="45" t="s">
        <v>370</v>
      </c>
      <c r="B342" s="46" t="s">
        <v>12774</v>
      </c>
      <c r="C342">
        <v>1</v>
      </c>
      <c r="D342">
        <v>8</v>
      </c>
    </row>
    <row r="343" spans="1:4" x14ac:dyDescent="0.25">
      <c r="A343" s="45" t="s">
        <v>371</v>
      </c>
      <c r="B343" s="46" t="s">
        <v>12775</v>
      </c>
      <c r="C343">
        <v>1</v>
      </c>
      <c r="D343">
        <v>8</v>
      </c>
    </row>
    <row r="344" spans="1:4" x14ac:dyDescent="0.25">
      <c r="A344" s="45" t="s">
        <v>372</v>
      </c>
      <c r="B344" s="46" t="s">
        <v>12776</v>
      </c>
      <c r="C344">
        <v>1</v>
      </c>
      <c r="D344">
        <v>8</v>
      </c>
    </row>
    <row r="345" spans="1:4" x14ac:dyDescent="0.25">
      <c r="A345" s="45" t="s">
        <v>373</v>
      </c>
      <c r="B345" s="46" t="s">
        <v>12777</v>
      </c>
      <c r="C345">
        <v>1</v>
      </c>
      <c r="D345">
        <v>8</v>
      </c>
    </row>
    <row r="346" spans="1:4" x14ac:dyDescent="0.25">
      <c r="A346" s="45" t="s">
        <v>374</v>
      </c>
      <c r="B346" s="46" t="s">
        <v>19345</v>
      </c>
      <c r="C346">
        <v>1</v>
      </c>
      <c r="D346">
        <v>8</v>
      </c>
    </row>
    <row r="347" spans="1:4" x14ac:dyDescent="0.25">
      <c r="A347" s="45" t="s">
        <v>375</v>
      </c>
      <c r="B347" s="46" t="s">
        <v>12778</v>
      </c>
      <c r="C347">
        <v>1</v>
      </c>
      <c r="D347">
        <v>8</v>
      </c>
    </row>
    <row r="348" spans="1:4" x14ac:dyDescent="0.25">
      <c r="A348" s="45" t="s">
        <v>376</v>
      </c>
      <c r="B348" s="46" t="s">
        <v>12779</v>
      </c>
      <c r="C348">
        <v>1</v>
      </c>
      <c r="D348">
        <v>8</v>
      </c>
    </row>
    <row r="349" spans="1:4" x14ac:dyDescent="0.25">
      <c r="A349" s="45" t="s">
        <v>377</v>
      </c>
      <c r="B349" s="46" t="s">
        <v>12780</v>
      </c>
      <c r="C349">
        <v>1</v>
      </c>
      <c r="D349">
        <v>8</v>
      </c>
    </row>
    <row r="350" spans="1:4" x14ac:dyDescent="0.25">
      <c r="A350" s="45" t="s">
        <v>378</v>
      </c>
      <c r="B350" s="46" t="s">
        <v>12781</v>
      </c>
      <c r="C350">
        <v>1</v>
      </c>
      <c r="D350">
        <v>6</v>
      </c>
    </row>
    <row r="351" spans="1:4" x14ac:dyDescent="0.25">
      <c r="A351" s="45" t="s">
        <v>379</v>
      </c>
      <c r="B351" s="46" t="s">
        <v>12782</v>
      </c>
      <c r="C351">
        <v>1</v>
      </c>
      <c r="D351">
        <v>6</v>
      </c>
    </row>
    <row r="352" spans="1:4" x14ac:dyDescent="0.25">
      <c r="A352" s="45" t="s">
        <v>380</v>
      </c>
      <c r="B352" s="46" t="s">
        <v>19346</v>
      </c>
      <c r="C352">
        <v>1</v>
      </c>
      <c r="D352">
        <v>8</v>
      </c>
    </row>
    <row r="353" spans="1:4" x14ac:dyDescent="0.25">
      <c r="A353" s="45" t="s">
        <v>381</v>
      </c>
      <c r="B353" s="46" t="s">
        <v>12783</v>
      </c>
      <c r="C353">
        <v>1</v>
      </c>
      <c r="D353">
        <v>6</v>
      </c>
    </row>
    <row r="354" spans="1:4" x14ac:dyDescent="0.25">
      <c r="A354" s="45" t="s">
        <v>382</v>
      </c>
      <c r="B354" s="46" t="s">
        <v>12784</v>
      </c>
      <c r="C354">
        <v>1</v>
      </c>
      <c r="D354">
        <v>6</v>
      </c>
    </row>
    <row r="355" spans="1:4" x14ac:dyDescent="0.25">
      <c r="A355" s="45" t="s">
        <v>383</v>
      </c>
      <c r="B355" s="46" t="s">
        <v>12785</v>
      </c>
      <c r="C355">
        <v>1</v>
      </c>
      <c r="D355">
        <v>6</v>
      </c>
    </row>
    <row r="356" spans="1:4" x14ac:dyDescent="0.25">
      <c r="A356" s="45" t="s">
        <v>384</v>
      </c>
      <c r="B356" s="46" t="s">
        <v>12786</v>
      </c>
      <c r="C356">
        <v>1</v>
      </c>
      <c r="D356">
        <v>6</v>
      </c>
    </row>
    <row r="357" spans="1:4" x14ac:dyDescent="0.25">
      <c r="A357" s="45" t="s">
        <v>385</v>
      </c>
      <c r="B357" s="46" t="s">
        <v>12787</v>
      </c>
      <c r="C357">
        <v>1</v>
      </c>
      <c r="D357">
        <v>6</v>
      </c>
    </row>
    <row r="358" spans="1:4" x14ac:dyDescent="0.25">
      <c r="A358" s="45" t="s">
        <v>386</v>
      </c>
      <c r="B358" s="46" t="s">
        <v>12788</v>
      </c>
      <c r="C358">
        <v>1</v>
      </c>
      <c r="D358">
        <v>6</v>
      </c>
    </row>
    <row r="359" spans="1:4" x14ac:dyDescent="0.25">
      <c r="A359" s="45" t="s">
        <v>387</v>
      </c>
      <c r="B359" s="46" t="s">
        <v>12789</v>
      </c>
      <c r="C359">
        <v>1</v>
      </c>
      <c r="D359">
        <v>6</v>
      </c>
    </row>
    <row r="360" spans="1:4" x14ac:dyDescent="0.25">
      <c r="A360" s="45" t="s">
        <v>388</v>
      </c>
      <c r="B360" s="46" t="s">
        <v>19347</v>
      </c>
      <c r="C360">
        <v>1</v>
      </c>
      <c r="D360">
        <v>6</v>
      </c>
    </row>
    <row r="361" spans="1:4" x14ac:dyDescent="0.25">
      <c r="A361" s="45" t="s">
        <v>389</v>
      </c>
      <c r="B361" s="46" t="s">
        <v>12790</v>
      </c>
      <c r="C361">
        <v>1</v>
      </c>
      <c r="D361">
        <v>9</v>
      </c>
    </row>
    <row r="362" spans="1:4" x14ac:dyDescent="0.25">
      <c r="A362" s="45" t="s">
        <v>390</v>
      </c>
      <c r="B362" s="46" t="s">
        <v>12791</v>
      </c>
      <c r="C362">
        <v>1</v>
      </c>
      <c r="D362">
        <v>6</v>
      </c>
    </row>
    <row r="363" spans="1:4" x14ac:dyDescent="0.25">
      <c r="A363" s="45" t="s">
        <v>391</v>
      </c>
      <c r="B363" s="46" t="s">
        <v>12792</v>
      </c>
      <c r="C363">
        <v>1</v>
      </c>
      <c r="D363">
        <v>6</v>
      </c>
    </row>
    <row r="364" spans="1:4" x14ac:dyDescent="0.25">
      <c r="A364" s="45" t="s">
        <v>392</v>
      </c>
      <c r="B364" s="46" t="s">
        <v>19348</v>
      </c>
      <c r="C364">
        <v>1</v>
      </c>
      <c r="D364">
        <v>8</v>
      </c>
    </row>
    <row r="365" spans="1:4" x14ac:dyDescent="0.25">
      <c r="A365" s="45" t="s">
        <v>393</v>
      </c>
      <c r="B365" s="46" t="s">
        <v>12793</v>
      </c>
      <c r="C365">
        <v>1</v>
      </c>
      <c r="D365">
        <v>8</v>
      </c>
    </row>
    <row r="366" spans="1:4" x14ac:dyDescent="0.25">
      <c r="A366" s="45" t="s">
        <v>394</v>
      </c>
      <c r="B366" s="46" t="s">
        <v>12794</v>
      </c>
      <c r="C366">
        <v>1</v>
      </c>
      <c r="D366">
        <v>8</v>
      </c>
    </row>
    <row r="367" spans="1:4" x14ac:dyDescent="0.25">
      <c r="A367" s="45" t="s">
        <v>395</v>
      </c>
      <c r="B367" s="46" t="s">
        <v>19349</v>
      </c>
      <c r="C367">
        <v>1</v>
      </c>
      <c r="D367">
        <v>8</v>
      </c>
    </row>
    <row r="368" spans="1:4" x14ac:dyDescent="0.25">
      <c r="A368" s="45" t="s">
        <v>396</v>
      </c>
      <c r="B368" s="46" t="s">
        <v>12795</v>
      </c>
      <c r="C368">
        <v>1</v>
      </c>
      <c r="D368">
        <v>8</v>
      </c>
    </row>
    <row r="369" spans="1:4" x14ac:dyDescent="0.25">
      <c r="A369" s="45" t="s">
        <v>397</v>
      </c>
      <c r="B369" s="46" t="s">
        <v>12796</v>
      </c>
      <c r="C369">
        <v>1</v>
      </c>
      <c r="D369">
        <v>8</v>
      </c>
    </row>
    <row r="370" spans="1:4" x14ac:dyDescent="0.25">
      <c r="A370" s="45" t="s">
        <v>398</v>
      </c>
      <c r="B370" s="46" t="s">
        <v>12797</v>
      </c>
      <c r="C370">
        <v>1</v>
      </c>
      <c r="D370">
        <v>8</v>
      </c>
    </row>
    <row r="371" spans="1:4" x14ac:dyDescent="0.25">
      <c r="A371" s="45" t="s">
        <v>399</v>
      </c>
      <c r="B371" s="46" t="s">
        <v>12798</v>
      </c>
      <c r="C371">
        <v>1</v>
      </c>
      <c r="D371">
        <v>8</v>
      </c>
    </row>
    <row r="372" spans="1:4" x14ac:dyDescent="0.25">
      <c r="A372" s="45" t="s">
        <v>400</v>
      </c>
      <c r="B372" s="46" t="s">
        <v>12799</v>
      </c>
      <c r="C372">
        <v>1</v>
      </c>
      <c r="D372">
        <v>8</v>
      </c>
    </row>
    <row r="373" spans="1:4" x14ac:dyDescent="0.25">
      <c r="A373" s="45" t="s">
        <v>401</v>
      </c>
      <c r="B373" s="46" t="s">
        <v>12800</v>
      </c>
      <c r="C373">
        <v>1</v>
      </c>
      <c r="D373">
        <v>8</v>
      </c>
    </row>
    <row r="374" spans="1:4" x14ac:dyDescent="0.25">
      <c r="A374" s="45" t="s">
        <v>402</v>
      </c>
      <c r="B374" s="46" t="s">
        <v>12801</v>
      </c>
      <c r="C374">
        <v>1</v>
      </c>
      <c r="D374">
        <v>8</v>
      </c>
    </row>
    <row r="375" spans="1:4" x14ac:dyDescent="0.25">
      <c r="A375" s="45" t="s">
        <v>403</v>
      </c>
      <c r="B375" s="46" t="s">
        <v>12802</v>
      </c>
      <c r="C375">
        <v>1</v>
      </c>
      <c r="D375">
        <v>8</v>
      </c>
    </row>
    <row r="376" spans="1:4" x14ac:dyDescent="0.25">
      <c r="A376" s="45" t="s">
        <v>404</v>
      </c>
      <c r="B376" s="46" t="s">
        <v>19350</v>
      </c>
      <c r="C376">
        <v>1</v>
      </c>
      <c r="D376">
        <v>8</v>
      </c>
    </row>
    <row r="377" spans="1:4" x14ac:dyDescent="0.25">
      <c r="A377" s="45" t="s">
        <v>405</v>
      </c>
      <c r="B377" s="46" t="s">
        <v>12803</v>
      </c>
      <c r="C377">
        <v>1</v>
      </c>
      <c r="D377">
        <v>8</v>
      </c>
    </row>
    <row r="378" spans="1:4" x14ac:dyDescent="0.25">
      <c r="A378" s="45" t="s">
        <v>406</v>
      </c>
      <c r="B378" s="46" t="s">
        <v>12804</v>
      </c>
      <c r="C378">
        <v>1</v>
      </c>
      <c r="D378">
        <v>8</v>
      </c>
    </row>
    <row r="379" spans="1:4" x14ac:dyDescent="0.25">
      <c r="A379" s="45" t="s">
        <v>407</v>
      </c>
      <c r="B379" s="46" t="s">
        <v>12805</v>
      </c>
      <c r="C379">
        <v>1</v>
      </c>
      <c r="D379">
        <v>8</v>
      </c>
    </row>
    <row r="380" spans="1:4" x14ac:dyDescent="0.25">
      <c r="A380" s="45" t="s">
        <v>408</v>
      </c>
      <c r="B380" s="46" t="s">
        <v>12806</v>
      </c>
      <c r="C380">
        <v>1</v>
      </c>
      <c r="D380">
        <v>8</v>
      </c>
    </row>
    <row r="381" spans="1:4" x14ac:dyDescent="0.25">
      <c r="A381" s="45" t="s">
        <v>409</v>
      </c>
      <c r="B381" s="46" t="s">
        <v>12807</v>
      </c>
      <c r="C381">
        <v>1</v>
      </c>
      <c r="D381">
        <v>9</v>
      </c>
    </row>
    <row r="382" spans="1:4" x14ac:dyDescent="0.25">
      <c r="A382" s="45" t="s">
        <v>410</v>
      </c>
      <c r="B382" s="46" t="s">
        <v>12808</v>
      </c>
      <c r="C382">
        <v>1</v>
      </c>
      <c r="D382">
        <v>9</v>
      </c>
    </row>
    <row r="383" spans="1:4" x14ac:dyDescent="0.25">
      <c r="A383" s="45" t="s">
        <v>411</v>
      </c>
      <c r="B383" s="46" t="s">
        <v>12809</v>
      </c>
      <c r="C383">
        <v>1</v>
      </c>
      <c r="D383">
        <v>9</v>
      </c>
    </row>
    <row r="384" spans="1:4" x14ac:dyDescent="0.25">
      <c r="A384" s="45" t="s">
        <v>412</v>
      </c>
      <c r="B384" s="46" t="s">
        <v>12810</v>
      </c>
      <c r="C384">
        <v>1</v>
      </c>
      <c r="D384">
        <v>9</v>
      </c>
    </row>
    <row r="385" spans="1:4" x14ac:dyDescent="0.25">
      <c r="A385" s="45" t="s">
        <v>413</v>
      </c>
      <c r="B385" s="46" t="s">
        <v>12811</v>
      </c>
      <c r="C385">
        <v>1</v>
      </c>
      <c r="D385">
        <v>9</v>
      </c>
    </row>
    <row r="386" spans="1:4" x14ac:dyDescent="0.25">
      <c r="A386" s="45" t="s">
        <v>414</v>
      </c>
      <c r="B386" s="46" t="s">
        <v>12812</v>
      </c>
      <c r="C386">
        <v>1</v>
      </c>
      <c r="D386">
        <v>8</v>
      </c>
    </row>
    <row r="387" spans="1:4" x14ac:dyDescent="0.25">
      <c r="A387" s="45" t="s">
        <v>415</v>
      </c>
      <c r="B387" s="46" t="s">
        <v>12813</v>
      </c>
      <c r="C387">
        <v>1</v>
      </c>
      <c r="D387">
        <v>8</v>
      </c>
    </row>
    <row r="388" spans="1:4" x14ac:dyDescent="0.25">
      <c r="A388" s="45" t="s">
        <v>416</v>
      </c>
      <c r="B388" s="46" t="s">
        <v>12814</v>
      </c>
      <c r="C388">
        <v>1</v>
      </c>
      <c r="D388">
        <v>8</v>
      </c>
    </row>
    <row r="389" spans="1:4" x14ac:dyDescent="0.25">
      <c r="A389" s="45" t="s">
        <v>417</v>
      </c>
      <c r="B389" s="46" t="s">
        <v>12815</v>
      </c>
      <c r="C389">
        <v>1</v>
      </c>
      <c r="D389">
        <v>9</v>
      </c>
    </row>
    <row r="390" spans="1:4" x14ac:dyDescent="0.25">
      <c r="A390" s="45" t="s">
        <v>418</v>
      </c>
      <c r="B390" s="46" t="s">
        <v>12816</v>
      </c>
      <c r="C390">
        <v>1</v>
      </c>
      <c r="D390">
        <v>8</v>
      </c>
    </row>
    <row r="391" spans="1:4" x14ac:dyDescent="0.25">
      <c r="A391" s="45" t="s">
        <v>419</v>
      </c>
      <c r="B391" s="46" t="s">
        <v>12817</v>
      </c>
      <c r="C391">
        <v>1</v>
      </c>
      <c r="D391">
        <v>9</v>
      </c>
    </row>
    <row r="392" spans="1:4" x14ac:dyDescent="0.25">
      <c r="A392" s="45" t="s">
        <v>420</v>
      </c>
      <c r="B392" s="46" t="s">
        <v>12818</v>
      </c>
      <c r="C392">
        <v>1</v>
      </c>
      <c r="D392">
        <v>8</v>
      </c>
    </row>
    <row r="393" spans="1:4" x14ac:dyDescent="0.25">
      <c r="A393" s="45" t="s">
        <v>421</v>
      </c>
      <c r="B393" s="46" t="s">
        <v>12819</v>
      </c>
      <c r="C393">
        <v>1</v>
      </c>
      <c r="D393">
        <v>8</v>
      </c>
    </row>
    <row r="394" spans="1:4" x14ac:dyDescent="0.25">
      <c r="A394" s="45" t="s">
        <v>422</v>
      </c>
      <c r="B394" s="46" t="s">
        <v>12820</v>
      </c>
      <c r="C394">
        <v>1</v>
      </c>
      <c r="D394">
        <v>7</v>
      </c>
    </row>
    <row r="395" spans="1:4" x14ac:dyDescent="0.25">
      <c r="A395" s="45" t="s">
        <v>423</v>
      </c>
      <c r="B395" s="46" t="s">
        <v>12821</v>
      </c>
      <c r="C395">
        <v>1</v>
      </c>
      <c r="D395">
        <v>7</v>
      </c>
    </row>
    <row r="396" spans="1:4" x14ac:dyDescent="0.25">
      <c r="A396" s="45" t="s">
        <v>424</v>
      </c>
      <c r="B396" s="46" t="s">
        <v>12822</v>
      </c>
      <c r="C396">
        <v>1</v>
      </c>
      <c r="D396">
        <v>7</v>
      </c>
    </row>
    <row r="397" spans="1:4" x14ac:dyDescent="0.25">
      <c r="A397" s="45" t="s">
        <v>425</v>
      </c>
      <c r="B397" s="46" t="s">
        <v>12823</v>
      </c>
      <c r="C397">
        <v>1</v>
      </c>
      <c r="D397">
        <v>7</v>
      </c>
    </row>
    <row r="398" spans="1:4" x14ac:dyDescent="0.25">
      <c r="A398" s="45" t="s">
        <v>426</v>
      </c>
      <c r="B398" s="46" t="s">
        <v>12824</v>
      </c>
      <c r="C398">
        <v>1</v>
      </c>
      <c r="D398">
        <v>7</v>
      </c>
    </row>
    <row r="399" spans="1:4" x14ac:dyDescent="0.25">
      <c r="A399" s="45" t="s">
        <v>427</v>
      </c>
      <c r="B399" s="46" t="s">
        <v>12825</v>
      </c>
      <c r="C399">
        <v>1</v>
      </c>
      <c r="D399">
        <v>7</v>
      </c>
    </row>
    <row r="400" spans="1:4" x14ac:dyDescent="0.25">
      <c r="A400" s="45" t="s">
        <v>428</v>
      </c>
      <c r="B400" s="46" t="s">
        <v>12826</v>
      </c>
      <c r="C400">
        <v>1</v>
      </c>
      <c r="D400">
        <v>7</v>
      </c>
    </row>
    <row r="401" spans="1:4" x14ac:dyDescent="0.25">
      <c r="A401" s="45" t="s">
        <v>429</v>
      </c>
      <c r="B401" s="46" t="s">
        <v>12827</v>
      </c>
      <c r="C401">
        <v>1</v>
      </c>
      <c r="D401">
        <v>7</v>
      </c>
    </row>
    <row r="402" spans="1:4" x14ac:dyDescent="0.25">
      <c r="A402" s="45" t="s">
        <v>430</v>
      </c>
      <c r="B402" s="46" t="s">
        <v>19351</v>
      </c>
      <c r="C402">
        <v>1</v>
      </c>
      <c r="D402">
        <v>7</v>
      </c>
    </row>
    <row r="403" spans="1:4" x14ac:dyDescent="0.25">
      <c r="A403" s="45" t="s">
        <v>431</v>
      </c>
      <c r="B403" s="46" t="s">
        <v>19352</v>
      </c>
      <c r="C403">
        <v>1</v>
      </c>
      <c r="D403">
        <v>7</v>
      </c>
    </row>
    <row r="404" spans="1:4" x14ac:dyDescent="0.25">
      <c r="A404" s="45" t="s">
        <v>432</v>
      </c>
      <c r="B404" s="46" t="s">
        <v>19353</v>
      </c>
      <c r="C404">
        <v>1</v>
      </c>
      <c r="D404">
        <v>7</v>
      </c>
    </row>
    <row r="405" spans="1:4" x14ac:dyDescent="0.25">
      <c r="A405" s="45" t="s">
        <v>433</v>
      </c>
      <c r="B405" s="46" t="s">
        <v>19354</v>
      </c>
      <c r="C405">
        <v>1</v>
      </c>
      <c r="D405">
        <v>7</v>
      </c>
    </row>
    <row r="406" spans="1:4" x14ac:dyDescent="0.25">
      <c r="A406" s="45" t="s">
        <v>434</v>
      </c>
      <c r="B406" s="46" t="s">
        <v>12828</v>
      </c>
      <c r="C406">
        <v>1</v>
      </c>
      <c r="D406">
        <v>7</v>
      </c>
    </row>
    <row r="407" spans="1:4" x14ac:dyDescent="0.25">
      <c r="A407" s="45" t="s">
        <v>435</v>
      </c>
      <c r="B407" s="46" t="s">
        <v>12829</v>
      </c>
      <c r="C407">
        <v>1</v>
      </c>
      <c r="D407">
        <v>7</v>
      </c>
    </row>
    <row r="408" spans="1:4" x14ac:dyDescent="0.25">
      <c r="A408" s="45" t="s">
        <v>436</v>
      </c>
      <c r="B408" s="46" t="s">
        <v>12830</v>
      </c>
      <c r="C408">
        <v>1</v>
      </c>
      <c r="D408">
        <v>7</v>
      </c>
    </row>
    <row r="409" spans="1:4" x14ac:dyDescent="0.25">
      <c r="A409" s="45" t="s">
        <v>437</v>
      </c>
      <c r="B409" s="46" t="s">
        <v>12831</v>
      </c>
      <c r="C409">
        <v>1</v>
      </c>
      <c r="D409">
        <v>7</v>
      </c>
    </row>
    <row r="410" spans="1:4" x14ac:dyDescent="0.25">
      <c r="A410" s="45" t="s">
        <v>438</v>
      </c>
      <c r="B410" s="46" t="s">
        <v>12832</v>
      </c>
      <c r="C410">
        <v>1</v>
      </c>
      <c r="D410">
        <v>7</v>
      </c>
    </row>
    <row r="411" spans="1:4" x14ac:dyDescent="0.25">
      <c r="A411" s="45" t="s">
        <v>439</v>
      </c>
      <c r="B411" s="46" t="s">
        <v>12833</v>
      </c>
      <c r="C411">
        <v>1</v>
      </c>
      <c r="D411">
        <v>7</v>
      </c>
    </row>
    <row r="412" spans="1:4" x14ac:dyDescent="0.25">
      <c r="A412" s="45" t="s">
        <v>440</v>
      </c>
      <c r="B412" s="46" t="s">
        <v>12834</v>
      </c>
      <c r="C412">
        <v>1</v>
      </c>
      <c r="D412">
        <v>7</v>
      </c>
    </row>
    <row r="413" spans="1:4" x14ac:dyDescent="0.25">
      <c r="A413" s="45" t="s">
        <v>441</v>
      </c>
      <c r="B413" s="46" t="s">
        <v>12835</v>
      </c>
      <c r="C413">
        <v>1</v>
      </c>
      <c r="D413">
        <v>7</v>
      </c>
    </row>
    <row r="414" spans="1:4" x14ac:dyDescent="0.25">
      <c r="A414" s="45" t="s">
        <v>442</v>
      </c>
      <c r="B414" s="46" t="s">
        <v>12836</v>
      </c>
      <c r="C414">
        <v>1</v>
      </c>
      <c r="D414">
        <v>7</v>
      </c>
    </row>
    <row r="415" spans="1:4" x14ac:dyDescent="0.25">
      <c r="A415" s="45" t="s">
        <v>443</v>
      </c>
      <c r="B415" s="46" t="s">
        <v>12837</v>
      </c>
      <c r="C415">
        <v>1</v>
      </c>
      <c r="D415">
        <v>7</v>
      </c>
    </row>
    <row r="416" spans="1:4" x14ac:dyDescent="0.25">
      <c r="A416" s="45" t="s">
        <v>444</v>
      </c>
      <c r="B416" s="46" t="s">
        <v>12838</v>
      </c>
      <c r="C416">
        <v>1</v>
      </c>
      <c r="D416">
        <v>7</v>
      </c>
    </row>
    <row r="417" spans="1:4" x14ac:dyDescent="0.25">
      <c r="A417" s="45" t="s">
        <v>445</v>
      </c>
      <c r="B417" s="46" t="s">
        <v>12839</v>
      </c>
      <c r="C417">
        <v>1</v>
      </c>
      <c r="D417">
        <v>7</v>
      </c>
    </row>
    <row r="418" spans="1:4" x14ac:dyDescent="0.25">
      <c r="A418" s="45" t="s">
        <v>446</v>
      </c>
      <c r="B418" s="46" t="s">
        <v>12840</v>
      </c>
      <c r="C418">
        <v>1</v>
      </c>
      <c r="D418">
        <v>7</v>
      </c>
    </row>
    <row r="419" spans="1:4" x14ac:dyDescent="0.25">
      <c r="A419" s="45" t="s">
        <v>447</v>
      </c>
      <c r="B419" s="46" t="s">
        <v>12841</v>
      </c>
      <c r="C419">
        <v>1</v>
      </c>
      <c r="D419">
        <v>7</v>
      </c>
    </row>
    <row r="420" spans="1:4" x14ac:dyDescent="0.25">
      <c r="A420" s="45" t="s">
        <v>448</v>
      </c>
      <c r="B420" s="46" t="s">
        <v>12842</v>
      </c>
      <c r="C420">
        <v>1</v>
      </c>
      <c r="D420">
        <v>7</v>
      </c>
    </row>
    <row r="421" spans="1:4" x14ac:dyDescent="0.25">
      <c r="A421" s="45" t="s">
        <v>449</v>
      </c>
      <c r="B421" s="46" t="s">
        <v>12843</v>
      </c>
      <c r="C421">
        <v>1</v>
      </c>
      <c r="D421">
        <v>7</v>
      </c>
    </row>
    <row r="422" spans="1:4" x14ac:dyDescent="0.25">
      <c r="A422" s="45" t="s">
        <v>450</v>
      </c>
      <c r="B422" s="46" t="s">
        <v>12844</v>
      </c>
      <c r="C422">
        <v>1</v>
      </c>
      <c r="D422">
        <v>7</v>
      </c>
    </row>
    <row r="423" spans="1:4" x14ac:dyDescent="0.25">
      <c r="A423" s="45" t="s">
        <v>451</v>
      </c>
      <c r="B423" s="46" t="s">
        <v>12845</v>
      </c>
      <c r="C423">
        <v>1</v>
      </c>
      <c r="D423">
        <v>7</v>
      </c>
    </row>
    <row r="424" spans="1:4" x14ac:dyDescent="0.25">
      <c r="A424" s="45" t="s">
        <v>452</v>
      </c>
      <c r="B424" s="46" t="s">
        <v>12846</v>
      </c>
      <c r="C424">
        <v>1</v>
      </c>
      <c r="D424">
        <v>7</v>
      </c>
    </row>
    <row r="425" spans="1:4" x14ac:dyDescent="0.25">
      <c r="A425" s="45" t="s">
        <v>453</v>
      </c>
      <c r="B425" s="46" t="s">
        <v>12847</v>
      </c>
      <c r="C425">
        <v>1</v>
      </c>
      <c r="D425">
        <v>7</v>
      </c>
    </row>
    <row r="426" spans="1:4" x14ac:dyDescent="0.25">
      <c r="A426" s="45" t="s">
        <v>454</v>
      </c>
      <c r="B426" s="46" t="s">
        <v>12848</v>
      </c>
      <c r="C426">
        <v>1</v>
      </c>
      <c r="D426">
        <v>7</v>
      </c>
    </row>
    <row r="427" spans="1:4" x14ac:dyDescent="0.25">
      <c r="A427" s="45" t="s">
        <v>455</v>
      </c>
      <c r="B427" s="46" t="s">
        <v>12849</v>
      </c>
      <c r="C427">
        <v>1</v>
      </c>
      <c r="D427">
        <v>9</v>
      </c>
    </row>
    <row r="428" spans="1:4" x14ac:dyDescent="0.25">
      <c r="A428" s="45" t="s">
        <v>456</v>
      </c>
      <c r="B428" s="46" t="s">
        <v>12850</v>
      </c>
      <c r="C428">
        <v>1</v>
      </c>
      <c r="D428">
        <v>7</v>
      </c>
    </row>
    <row r="429" spans="1:4" x14ac:dyDescent="0.25">
      <c r="A429" s="45" t="s">
        <v>457</v>
      </c>
      <c r="B429" s="46" t="s">
        <v>12851</v>
      </c>
      <c r="C429">
        <v>1</v>
      </c>
      <c r="D429">
        <v>9</v>
      </c>
    </row>
    <row r="430" spans="1:4" x14ac:dyDescent="0.25">
      <c r="A430" s="45" t="s">
        <v>458</v>
      </c>
      <c r="B430" s="46" t="s">
        <v>19355</v>
      </c>
      <c r="C430">
        <v>1</v>
      </c>
      <c r="D430">
        <v>7</v>
      </c>
    </row>
    <row r="431" spans="1:4" x14ac:dyDescent="0.25">
      <c r="A431" s="45" t="s">
        <v>459</v>
      </c>
      <c r="B431" s="46" t="s">
        <v>19356</v>
      </c>
      <c r="C431">
        <v>1</v>
      </c>
      <c r="D431">
        <v>7</v>
      </c>
    </row>
    <row r="432" spans="1:4" x14ac:dyDescent="0.25">
      <c r="A432" s="45" t="s">
        <v>460</v>
      </c>
      <c r="B432" s="46" t="s">
        <v>12852</v>
      </c>
      <c r="C432">
        <v>1</v>
      </c>
      <c r="D432">
        <v>9</v>
      </c>
    </row>
    <row r="433" spans="1:4" x14ac:dyDescent="0.25">
      <c r="A433" s="45" t="s">
        <v>461</v>
      </c>
      <c r="B433" s="46" t="s">
        <v>12853</v>
      </c>
      <c r="C433">
        <v>1</v>
      </c>
      <c r="D433">
        <v>9</v>
      </c>
    </row>
    <row r="434" spans="1:4" x14ac:dyDescent="0.25">
      <c r="A434" s="45" t="s">
        <v>462</v>
      </c>
      <c r="B434" s="46" t="s">
        <v>19357</v>
      </c>
      <c r="C434">
        <v>1</v>
      </c>
      <c r="D434">
        <v>7</v>
      </c>
    </row>
    <row r="435" spans="1:4" x14ac:dyDescent="0.25">
      <c r="A435" s="45" t="s">
        <v>463</v>
      </c>
      <c r="B435" s="46" t="s">
        <v>19358</v>
      </c>
      <c r="C435">
        <v>1</v>
      </c>
      <c r="D435">
        <v>7</v>
      </c>
    </row>
    <row r="436" spans="1:4" x14ac:dyDescent="0.25">
      <c r="A436" s="45" t="s">
        <v>464</v>
      </c>
      <c r="B436" s="46" t="s">
        <v>12855</v>
      </c>
      <c r="C436">
        <v>1</v>
      </c>
      <c r="D436">
        <v>9</v>
      </c>
    </row>
    <row r="437" spans="1:4" x14ac:dyDescent="0.25">
      <c r="A437" s="45" t="s">
        <v>465</v>
      </c>
      <c r="B437" s="46" t="s">
        <v>12854</v>
      </c>
      <c r="C437">
        <v>1</v>
      </c>
      <c r="D437">
        <v>9</v>
      </c>
    </row>
    <row r="438" spans="1:4" x14ac:dyDescent="0.25">
      <c r="A438" s="45" t="s">
        <v>466</v>
      </c>
      <c r="B438" s="46" t="s">
        <v>19359</v>
      </c>
      <c r="C438">
        <v>1</v>
      </c>
      <c r="D438">
        <v>9</v>
      </c>
    </row>
    <row r="439" spans="1:4" x14ac:dyDescent="0.25">
      <c r="A439" s="45" t="s">
        <v>467</v>
      </c>
      <c r="B439" s="46" t="s">
        <v>19360</v>
      </c>
      <c r="C439">
        <v>1</v>
      </c>
      <c r="D439">
        <v>9</v>
      </c>
    </row>
    <row r="440" spans="1:4" x14ac:dyDescent="0.25">
      <c r="A440" s="45" t="s">
        <v>468</v>
      </c>
      <c r="B440" s="46" t="s">
        <v>12856</v>
      </c>
      <c r="C440">
        <v>1</v>
      </c>
      <c r="D440">
        <v>9</v>
      </c>
    </row>
    <row r="441" spans="1:4" x14ac:dyDescent="0.25">
      <c r="A441" s="45" t="s">
        <v>469</v>
      </c>
      <c r="B441" s="46" t="s">
        <v>12857</v>
      </c>
      <c r="C441">
        <v>1</v>
      </c>
      <c r="D441">
        <v>9</v>
      </c>
    </row>
    <row r="442" spans="1:4" x14ac:dyDescent="0.25">
      <c r="A442" s="45" t="s">
        <v>470</v>
      </c>
      <c r="B442" s="46" t="s">
        <v>19361</v>
      </c>
      <c r="C442">
        <v>1</v>
      </c>
      <c r="D442">
        <v>9</v>
      </c>
    </row>
    <row r="443" spans="1:4" x14ac:dyDescent="0.25">
      <c r="A443" s="45" t="s">
        <v>471</v>
      </c>
      <c r="B443" s="46" t="s">
        <v>12858</v>
      </c>
      <c r="C443">
        <v>1</v>
      </c>
      <c r="D443">
        <v>9</v>
      </c>
    </row>
    <row r="444" spans="1:4" x14ac:dyDescent="0.25">
      <c r="A444" s="45" t="s">
        <v>472</v>
      </c>
      <c r="B444" s="46" t="s">
        <v>12859</v>
      </c>
      <c r="C444">
        <v>1</v>
      </c>
      <c r="D444">
        <v>9</v>
      </c>
    </row>
    <row r="445" spans="1:4" x14ac:dyDescent="0.25">
      <c r="A445" s="45" t="s">
        <v>473</v>
      </c>
      <c r="B445" s="46" t="s">
        <v>12860</v>
      </c>
      <c r="C445">
        <v>1</v>
      </c>
      <c r="D445">
        <v>9</v>
      </c>
    </row>
    <row r="446" spans="1:4" x14ac:dyDescent="0.25">
      <c r="A446" s="45" t="s">
        <v>474</v>
      </c>
      <c r="B446" s="46" t="s">
        <v>12861</v>
      </c>
      <c r="C446">
        <v>1</v>
      </c>
      <c r="D446">
        <v>9</v>
      </c>
    </row>
    <row r="447" spans="1:4" x14ac:dyDescent="0.25">
      <c r="A447" s="45" t="s">
        <v>475</v>
      </c>
      <c r="B447" s="46" t="s">
        <v>12862</v>
      </c>
      <c r="C447">
        <v>1</v>
      </c>
      <c r="D447">
        <v>9</v>
      </c>
    </row>
    <row r="448" spans="1:4" x14ac:dyDescent="0.25">
      <c r="A448" s="45" t="s">
        <v>476</v>
      </c>
      <c r="B448" s="46" t="s">
        <v>12863</v>
      </c>
      <c r="C448">
        <v>1</v>
      </c>
      <c r="D448">
        <v>9</v>
      </c>
    </row>
    <row r="449" spans="1:4" x14ac:dyDescent="0.25">
      <c r="A449" s="45" t="s">
        <v>477</v>
      </c>
      <c r="B449" s="46" t="s">
        <v>12864</v>
      </c>
      <c r="C449">
        <v>1</v>
      </c>
      <c r="D449">
        <v>9</v>
      </c>
    </row>
    <row r="450" spans="1:4" x14ac:dyDescent="0.25">
      <c r="A450" s="45" t="s">
        <v>478</v>
      </c>
      <c r="B450" s="46" t="s">
        <v>12865</v>
      </c>
      <c r="C450">
        <v>1</v>
      </c>
      <c r="D450">
        <v>9</v>
      </c>
    </row>
    <row r="451" spans="1:4" x14ac:dyDescent="0.25">
      <c r="A451" s="45" t="s">
        <v>479</v>
      </c>
      <c r="B451" s="46" t="s">
        <v>12866</v>
      </c>
      <c r="C451">
        <v>1</v>
      </c>
      <c r="D451">
        <v>9</v>
      </c>
    </row>
    <row r="452" spans="1:4" x14ac:dyDescent="0.25">
      <c r="A452" s="45" t="s">
        <v>480</v>
      </c>
      <c r="B452" s="46" t="s">
        <v>12867</v>
      </c>
      <c r="C452">
        <v>1</v>
      </c>
      <c r="D452">
        <v>9</v>
      </c>
    </row>
    <row r="453" spans="1:4" x14ac:dyDescent="0.25">
      <c r="A453" s="45" t="s">
        <v>481</v>
      </c>
      <c r="B453" s="46" t="s">
        <v>19362</v>
      </c>
      <c r="C453">
        <v>3</v>
      </c>
      <c r="D453">
        <v>28</v>
      </c>
    </row>
    <row r="454" spans="1:4" x14ac:dyDescent="0.25">
      <c r="A454" s="45" t="s">
        <v>482</v>
      </c>
      <c r="B454" s="46" t="s">
        <v>19363</v>
      </c>
      <c r="C454">
        <v>3</v>
      </c>
      <c r="D454">
        <v>28</v>
      </c>
    </row>
    <row r="455" spans="1:4" x14ac:dyDescent="0.25">
      <c r="A455" s="45" t="s">
        <v>483</v>
      </c>
      <c r="B455" s="46" t="s">
        <v>12868</v>
      </c>
      <c r="C455">
        <v>3</v>
      </c>
      <c r="D455">
        <v>28</v>
      </c>
    </row>
    <row r="456" spans="1:4" x14ac:dyDescent="0.25">
      <c r="A456" s="45" t="s">
        <v>484</v>
      </c>
      <c r="B456" s="46" t="s">
        <v>12869</v>
      </c>
      <c r="C456">
        <v>3</v>
      </c>
      <c r="D456">
        <v>28</v>
      </c>
    </row>
    <row r="457" spans="1:4" x14ac:dyDescent="0.25">
      <c r="A457" s="45" t="s">
        <v>485</v>
      </c>
      <c r="B457" s="46" t="s">
        <v>12870</v>
      </c>
      <c r="C457">
        <v>3</v>
      </c>
      <c r="D457">
        <v>28</v>
      </c>
    </row>
    <row r="458" spans="1:4" x14ac:dyDescent="0.25">
      <c r="A458" s="45" t="s">
        <v>486</v>
      </c>
      <c r="B458" s="46" t="s">
        <v>12871</v>
      </c>
      <c r="C458">
        <v>3</v>
      </c>
      <c r="D458">
        <v>28</v>
      </c>
    </row>
    <row r="459" spans="1:4" x14ac:dyDescent="0.25">
      <c r="A459" s="45" t="s">
        <v>487</v>
      </c>
      <c r="B459" s="46" t="s">
        <v>12872</v>
      </c>
      <c r="C459">
        <v>3</v>
      </c>
      <c r="D459">
        <v>28</v>
      </c>
    </row>
    <row r="460" spans="1:4" x14ac:dyDescent="0.25">
      <c r="A460" s="45" t="s">
        <v>488</v>
      </c>
      <c r="B460" s="46" t="s">
        <v>12873</v>
      </c>
      <c r="C460">
        <v>3</v>
      </c>
      <c r="D460">
        <v>28</v>
      </c>
    </row>
    <row r="461" spans="1:4" x14ac:dyDescent="0.25">
      <c r="A461" s="45" t="s">
        <v>489</v>
      </c>
      <c r="B461" s="46" t="s">
        <v>19364</v>
      </c>
      <c r="C461">
        <v>3</v>
      </c>
      <c r="D461">
        <v>28</v>
      </c>
    </row>
    <row r="462" spans="1:4" x14ac:dyDescent="0.25">
      <c r="A462" s="45" t="s">
        <v>490</v>
      </c>
      <c r="B462" s="46" t="s">
        <v>19365</v>
      </c>
      <c r="C462">
        <v>3</v>
      </c>
      <c r="D462">
        <v>28</v>
      </c>
    </row>
    <row r="463" spans="1:4" x14ac:dyDescent="0.25">
      <c r="A463" s="45" t="s">
        <v>491</v>
      </c>
      <c r="B463" s="46" t="s">
        <v>12874</v>
      </c>
      <c r="C463">
        <v>3</v>
      </c>
      <c r="D463">
        <v>28</v>
      </c>
    </row>
    <row r="464" spans="1:4" x14ac:dyDescent="0.25">
      <c r="A464" s="45" t="s">
        <v>492</v>
      </c>
      <c r="B464" s="46" t="s">
        <v>12875</v>
      </c>
      <c r="C464">
        <v>3</v>
      </c>
      <c r="D464">
        <v>28</v>
      </c>
    </row>
    <row r="465" spans="1:4" x14ac:dyDescent="0.25">
      <c r="A465" s="45" t="s">
        <v>493</v>
      </c>
      <c r="B465" s="46" t="s">
        <v>12876</v>
      </c>
      <c r="C465">
        <v>3</v>
      </c>
      <c r="D465">
        <v>28</v>
      </c>
    </row>
    <row r="466" spans="1:4" x14ac:dyDescent="0.25">
      <c r="A466" s="45" t="s">
        <v>494</v>
      </c>
      <c r="B466" s="46" t="s">
        <v>19366</v>
      </c>
      <c r="C466">
        <v>3</v>
      </c>
      <c r="D466">
        <v>28</v>
      </c>
    </row>
    <row r="467" spans="1:4" x14ac:dyDescent="0.25">
      <c r="A467" s="45" t="s">
        <v>495</v>
      </c>
      <c r="B467" s="46" t="s">
        <v>12877</v>
      </c>
      <c r="C467">
        <v>3</v>
      </c>
      <c r="D467">
        <v>28</v>
      </c>
    </row>
    <row r="468" spans="1:4" x14ac:dyDescent="0.25">
      <c r="A468" s="45" t="s">
        <v>496</v>
      </c>
      <c r="B468" s="46" t="s">
        <v>12878</v>
      </c>
      <c r="C468">
        <v>3</v>
      </c>
      <c r="D468">
        <v>28</v>
      </c>
    </row>
    <row r="469" spans="1:4" x14ac:dyDescent="0.25">
      <c r="A469" s="45" t="s">
        <v>497</v>
      </c>
      <c r="B469" s="46" t="s">
        <v>12879</v>
      </c>
      <c r="C469">
        <v>3</v>
      </c>
      <c r="D469">
        <v>28</v>
      </c>
    </row>
    <row r="470" spans="1:4" x14ac:dyDescent="0.25">
      <c r="A470" s="45" t="s">
        <v>498</v>
      </c>
      <c r="B470" s="46" t="s">
        <v>12880</v>
      </c>
      <c r="C470">
        <v>3</v>
      </c>
      <c r="D470">
        <v>28</v>
      </c>
    </row>
    <row r="471" spans="1:4" x14ac:dyDescent="0.25">
      <c r="A471" s="45" t="s">
        <v>499</v>
      </c>
      <c r="B471" s="46" t="s">
        <v>12881</v>
      </c>
      <c r="C471">
        <v>3</v>
      </c>
      <c r="D471">
        <v>28</v>
      </c>
    </row>
    <row r="472" spans="1:4" x14ac:dyDescent="0.25">
      <c r="A472" s="45" t="s">
        <v>500</v>
      </c>
      <c r="B472" s="46" t="s">
        <v>12882</v>
      </c>
      <c r="C472">
        <v>3</v>
      </c>
      <c r="D472">
        <v>28</v>
      </c>
    </row>
    <row r="473" spans="1:4" x14ac:dyDescent="0.25">
      <c r="A473" s="45" t="s">
        <v>501</v>
      </c>
      <c r="B473" s="46" t="s">
        <v>19367</v>
      </c>
      <c r="C473">
        <v>3</v>
      </c>
      <c r="D473">
        <v>28</v>
      </c>
    </row>
    <row r="474" spans="1:4" x14ac:dyDescent="0.25">
      <c r="A474" s="45" t="s">
        <v>502</v>
      </c>
      <c r="B474" s="46" t="s">
        <v>12883</v>
      </c>
      <c r="C474">
        <v>3</v>
      </c>
      <c r="D474">
        <v>28</v>
      </c>
    </row>
    <row r="475" spans="1:4" x14ac:dyDescent="0.25">
      <c r="A475" s="45" t="s">
        <v>503</v>
      </c>
      <c r="B475" s="46" t="s">
        <v>19368</v>
      </c>
      <c r="C475">
        <v>3</v>
      </c>
      <c r="D475">
        <v>28</v>
      </c>
    </row>
    <row r="476" spans="1:4" x14ac:dyDescent="0.25">
      <c r="A476" s="45" t="s">
        <v>504</v>
      </c>
      <c r="B476" s="46" t="s">
        <v>19369</v>
      </c>
      <c r="C476">
        <v>3</v>
      </c>
      <c r="D476">
        <v>28</v>
      </c>
    </row>
    <row r="477" spans="1:4" x14ac:dyDescent="0.25">
      <c r="A477" s="45" t="s">
        <v>505</v>
      </c>
      <c r="B477" s="46" t="s">
        <v>12884</v>
      </c>
      <c r="C477">
        <v>3</v>
      </c>
      <c r="D477">
        <v>28</v>
      </c>
    </row>
    <row r="478" spans="1:4" x14ac:dyDescent="0.25">
      <c r="A478" s="45" t="s">
        <v>506</v>
      </c>
      <c r="B478" s="46" t="s">
        <v>19370</v>
      </c>
      <c r="C478">
        <v>3</v>
      </c>
      <c r="D478">
        <v>28</v>
      </c>
    </row>
    <row r="479" spans="1:4" x14ac:dyDescent="0.25">
      <c r="A479" s="45" t="s">
        <v>507</v>
      </c>
      <c r="B479" s="46" t="s">
        <v>12885</v>
      </c>
      <c r="C479">
        <v>1</v>
      </c>
      <c r="D479">
        <v>9</v>
      </c>
    </row>
    <row r="480" spans="1:4" x14ac:dyDescent="0.25">
      <c r="A480" s="45" t="s">
        <v>508</v>
      </c>
      <c r="B480" s="46" t="s">
        <v>19371</v>
      </c>
      <c r="C480">
        <v>1</v>
      </c>
      <c r="D480">
        <v>9</v>
      </c>
    </row>
    <row r="481" spans="1:4" x14ac:dyDescent="0.25">
      <c r="A481" s="45" t="s">
        <v>509</v>
      </c>
      <c r="B481" s="46" t="s">
        <v>19372</v>
      </c>
      <c r="C481">
        <v>1</v>
      </c>
      <c r="D481">
        <v>9</v>
      </c>
    </row>
    <row r="482" spans="1:4" x14ac:dyDescent="0.25">
      <c r="A482" s="45" t="s">
        <v>510</v>
      </c>
      <c r="B482" s="46" t="s">
        <v>12886</v>
      </c>
      <c r="C482">
        <v>1</v>
      </c>
      <c r="D482">
        <v>6</v>
      </c>
    </row>
    <row r="483" spans="1:4" x14ac:dyDescent="0.25">
      <c r="A483" s="45" t="s">
        <v>511</v>
      </c>
      <c r="B483" s="46" t="s">
        <v>12887</v>
      </c>
      <c r="C483">
        <v>1</v>
      </c>
      <c r="D483">
        <v>9</v>
      </c>
    </row>
    <row r="484" spans="1:4" x14ac:dyDescent="0.25">
      <c r="A484" s="45" t="s">
        <v>512</v>
      </c>
      <c r="B484" s="46" t="s">
        <v>12888</v>
      </c>
      <c r="C484">
        <v>1</v>
      </c>
      <c r="D484">
        <v>9</v>
      </c>
    </row>
    <row r="485" spans="1:4" x14ac:dyDescent="0.25">
      <c r="A485" s="45" t="s">
        <v>513</v>
      </c>
      <c r="B485" s="46" t="s">
        <v>12889</v>
      </c>
      <c r="C485">
        <v>1</v>
      </c>
      <c r="D485">
        <v>9</v>
      </c>
    </row>
    <row r="486" spans="1:4" x14ac:dyDescent="0.25">
      <c r="A486" s="45" t="s">
        <v>514</v>
      </c>
      <c r="B486" s="46" t="s">
        <v>12890</v>
      </c>
      <c r="C486">
        <v>1</v>
      </c>
      <c r="D486">
        <v>9</v>
      </c>
    </row>
    <row r="487" spans="1:4" x14ac:dyDescent="0.25">
      <c r="A487" s="45" t="s">
        <v>515</v>
      </c>
      <c r="B487" s="46" t="s">
        <v>12891</v>
      </c>
      <c r="C487">
        <v>1</v>
      </c>
      <c r="D487">
        <v>9</v>
      </c>
    </row>
    <row r="488" spans="1:4" x14ac:dyDescent="0.25">
      <c r="A488" s="45" t="s">
        <v>516</v>
      </c>
      <c r="B488" s="46" t="s">
        <v>12892</v>
      </c>
      <c r="C488">
        <v>1</v>
      </c>
      <c r="D488">
        <v>9</v>
      </c>
    </row>
    <row r="489" spans="1:4" x14ac:dyDescent="0.25">
      <c r="A489" s="45" t="s">
        <v>517</v>
      </c>
      <c r="B489" s="46" t="s">
        <v>12893</v>
      </c>
      <c r="C489">
        <v>1</v>
      </c>
      <c r="D489">
        <v>9</v>
      </c>
    </row>
    <row r="490" spans="1:4" x14ac:dyDescent="0.25">
      <c r="A490" s="45" t="s">
        <v>518</v>
      </c>
      <c r="B490" s="46" t="s">
        <v>12894</v>
      </c>
      <c r="C490">
        <v>1</v>
      </c>
      <c r="D490">
        <v>9</v>
      </c>
    </row>
    <row r="491" spans="1:4" x14ac:dyDescent="0.25">
      <c r="A491" s="45" t="s">
        <v>519</v>
      </c>
      <c r="B491" s="46" t="s">
        <v>12895</v>
      </c>
      <c r="C491">
        <v>1</v>
      </c>
      <c r="D491">
        <v>9</v>
      </c>
    </row>
    <row r="492" spans="1:4" x14ac:dyDescent="0.25">
      <c r="A492" s="45" t="s">
        <v>520</v>
      </c>
      <c r="B492" s="46" t="s">
        <v>12896</v>
      </c>
      <c r="C492">
        <v>1</v>
      </c>
      <c r="D492">
        <v>9</v>
      </c>
    </row>
    <row r="493" spans="1:4" x14ac:dyDescent="0.25">
      <c r="A493" s="45" t="s">
        <v>521</v>
      </c>
      <c r="B493" s="46" t="s">
        <v>12897</v>
      </c>
      <c r="C493">
        <v>1</v>
      </c>
      <c r="D493">
        <v>9</v>
      </c>
    </row>
    <row r="494" spans="1:4" x14ac:dyDescent="0.25">
      <c r="A494" s="45" t="s">
        <v>522</v>
      </c>
      <c r="B494" s="46" t="s">
        <v>12898</v>
      </c>
      <c r="C494">
        <v>1</v>
      </c>
      <c r="D494">
        <v>9</v>
      </c>
    </row>
    <row r="495" spans="1:4" x14ac:dyDescent="0.25">
      <c r="A495" s="45" t="s">
        <v>523</v>
      </c>
      <c r="B495" s="46" t="s">
        <v>12899</v>
      </c>
      <c r="C495">
        <v>1</v>
      </c>
      <c r="D495">
        <v>9</v>
      </c>
    </row>
    <row r="496" spans="1:4" x14ac:dyDescent="0.25">
      <c r="A496" s="45" t="s">
        <v>524</v>
      </c>
      <c r="B496" s="46" t="s">
        <v>12900</v>
      </c>
      <c r="C496">
        <v>1</v>
      </c>
      <c r="D496">
        <v>9</v>
      </c>
    </row>
    <row r="497" spans="1:4" x14ac:dyDescent="0.25">
      <c r="A497" s="45" t="s">
        <v>525</v>
      </c>
      <c r="B497" s="46" t="s">
        <v>12901</v>
      </c>
      <c r="C497">
        <v>1</v>
      </c>
      <c r="D497">
        <v>9</v>
      </c>
    </row>
    <row r="498" spans="1:4" x14ac:dyDescent="0.25">
      <c r="A498" s="45" t="s">
        <v>526</v>
      </c>
      <c r="B498" s="46" t="s">
        <v>12902</v>
      </c>
      <c r="C498">
        <v>1</v>
      </c>
      <c r="D498">
        <v>9</v>
      </c>
    </row>
    <row r="499" spans="1:4" x14ac:dyDescent="0.25">
      <c r="A499" s="45" t="s">
        <v>527</v>
      </c>
      <c r="B499" s="46" t="s">
        <v>12903</v>
      </c>
      <c r="C499">
        <v>1</v>
      </c>
      <c r="D499">
        <v>9</v>
      </c>
    </row>
    <row r="500" spans="1:4" x14ac:dyDescent="0.25">
      <c r="A500" s="45" t="s">
        <v>528</v>
      </c>
      <c r="B500" s="46" t="s">
        <v>12904</v>
      </c>
      <c r="C500">
        <v>1</v>
      </c>
      <c r="D500">
        <v>9</v>
      </c>
    </row>
    <row r="501" spans="1:4" x14ac:dyDescent="0.25">
      <c r="A501" s="45" t="s">
        <v>529</v>
      </c>
      <c r="B501" s="46" t="s">
        <v>12905</v>
      </c>
      <c r="C501">
        <v>1</v>
      </c>
      <c r="D501">
        <v>9</v>
      </c>
    </row>
    <row r="502" spans="1:4" x14ac:dyDescent="0.25">
      <c r="A502" s="45" t="s">
        <v>530</v>
      </c>
      <c r="B502" s="46" t="s">
        <v>12906</v>
      </c>
      <c r="C502">
        <v>1</v>
      </c>
      <c r="D502">
        <v>9</v>
      </c>
    </row>
    <row r="503" spans="1:4" x14ac:dyDescent="0.25">
      <c r="A503" s="45" t="s">
        <v>531</v>
      </c>
      <c r="B503" s="46" t="s">
        <v>12907</v>
      </c>
      <c r="C503">
        <v>1</v>
      </c>
      <c r="D503">
        <v>9</v>
      </c>
    </row>
    <row r="504" spans="1:4" x14ac:dyDescent="0.25">
      <c r="A504" s="45" t="s">
        <v>532</v>
      </c>
      <c r="B504" s="46" t="s">
        <v>12908</v>
      </c>
      <c r="C504">
        <v>1</v>
      </c>
      <c r="D504">
        <v>8</v>
      </c>
    </row>
    <row r="505" spans="1:4" x14ac:dyDescent="0.25">
      <c r="A505" s="45" t="s">
        <v>533</v>
      </c>
      <c r="B505" s="46" t="s">
        <v>12909</v>
      </c>
      <c r="C505">
        <v>1</v>
      </c>
      <c r="D505">
        <v>9</v>
      </c>
    </row>
    <row r="506" spans="1:4" x14ac:dyDescent="0.25">
      <c r="A506" s="45" t="s">
        <v>534</v>
      </c>
      <c r="B506" s="46" t="s">
        <v>12910</v>
      </c>
      <c r="C506">
        <v>1</v>
      </c>
      <c r="D506">
        <v>9</v>
      </c>
    </row>
    <row r="507" spans="1:4" x14ac:dyDescent="0.25">
      <c r="A507" s="45" t="s">
        <v>535</v>
      </c>
      <c r="B507" s="46" t="s">
        <v>12911</v>
      </c>
      <c r="C507">
        <v>1</v>
      </c>
      <c r="D507">
        <v>9</v>
      </c>
    </row>
    <row r="508" spans="1:4" x14ac:dyDescent="0.25">
      <c r="A508" s="45" t="s">
        <v>536</v>
      </c>
      <c r="B508" s="46" t="s">
        <v>12912</v>
      </c>
      <c r="C508">
        <v>1</v>
      </c>
      <c r="D508">
        <v>9</v>
      </c>
    </row>
    <row r="509" spans="1:4" x14ac:dyDescent="0.25">
      <c r="A509" s="45" t="s">
        <v>537</v>
      </c>
      <c r="B509" s="46" t="s">
        <v>12913</v>
      </c>
      <c r="C509">
        <v>1</v>
      </c>
      <c r="D509">
        <v>9</v>
      </c>
    </row>
    <row r="510" spans="1:4" x14ac:dyDescent="0.25">
      <c r="A510" s="45" t="s">
        <v>538</v>
      </c>
      <c r="B510" s="46" t="s">
        <v>12914</v>
      </c>
      <c r="C510">
        <v>1</v>
      </c>
      <c r="D510">
        <v>9</v>
      </c>
    </row>
    <row r="511" spans="1:4" x14ac:dyDescent="0.25">
      <c r="A511" s="45" t="s">
        <v>539</v>
      </c>
      <c r="B511" s="46" t="s">
        <v>12915</v>
      </c>
      <c r="C511">
        <v>1</v>
      </c>
      <c r="D511">
        <v>9</v>
      </c>
    </row>
    <row r="512" spans="1:4" x14ac:dyDescent="0.25">
      <c r="A512" s="45" t="s">
        <v>540</v>
      </c>
      <c r="B512" s="46" t="s">
        <v>12916</v>
      </c>
      <c r="C512">
        <v>1</v>
      </c>
      <c r="D512">
        <v>13</v>
      </c>
    </row>
    <row r="513" spans="1:4" x14ac:dyDescent="0.25">
      <c r="A513" s="45" t="s">
        <v>541</v>
      </c>
      <c r="B513" s="46" t="s">
        <v>12917</v>
      </c>
      <c r="C513">
        <v>1</v>
      </c>
      <c r="D513">
        <v>13</v>
      </c>
    </row>
    <row r="514" spans="1:4" x14ac:dyDescent="0.25">
      <c r="A514" s="45" t="s">
        <v>542</v>
      </c>
      <c r="B514" s="46" t="s">
        <v>12918</v>
      </c>
      <c r="C514">
        <v>1</v>
      </c>
      <c r="D514">
        <v>13</v>
      </c>
    </row>
    <row r="515" spans="1:4" x14ac:dyDescent="0.25">
      <c r="A515" s="45" t="s">
        <v>543</v>
      </c>
      <c r="B515" s="46" t="s">
        <v>19373</v>
      </c>
      <c r="C515">
        <v>1</v>
      </c>
      <c r="D515">
        <v>13</v>
      </c>
    </row>
    <row r="516" spans="1:4" x14ac:dyDescent="0.25">
      <c r="A516" s="45" t="s">
        <v>544</v>
      </c>
      <c r="B516" s="46" t="s">
        <v>19374</v>
      </c>
      <c r="C516">
        <v>1</v>
      </c>
      <c r="D516">
        <v>13</v>
      </c>
    </row>
    <row r="517" spans="1:4" x14ac:dyDescent="0.25">
      <c r="A517" s="45" t="s">
        <v>545</v>
      </c>
      <c r="B517" s="46" t="s">
        <v>19375</v>
      </c>
      <c r="C517">
        <v>1</v>
      </c>
      <c r="D517">
        <v>13</v>
      </c>
    </row>
    <row r="518" spans="1:4" x14ac:dyDescent="0.25">
      <c r="A518" s="45" t="s">
        <v>546</v>
      </c>
      <c r="B518" s="46" t="s">
        <v>19376</v>
      </c>
      <c r="C518">
        <v>1</v>
      </c>
      <c r="D518">
        <v>13</v>
      </c>
    </row>
    <row r="519" spans="1:4" x14ac:dyDescent="0.25">
      <c r="A519" s="45" t="s">
        <v>547</v>
      </c>
      <c r="B519" s="46" t="s">
        <v>12919</v>
      </c>
      <c r="C519">
        <v>1</v>
      </c>
      <c r="D519">
        <v>13</v>
      </c>
    </row>
    <row r="520" spans="1:4" x14ac:dyDescent="0.25">
      <c r="A520" s="45" t="s">
        <v>548</v>
      </c>
      <c r="B520" s="46" t="s">
        <v>12920</v>
      </c>
      <c r="C520">
        <v>1</v>
      </c>
      <c r="D520">
        <v>13</v>
      </c>
    </row>
    <row r="521" spans="1:4" x14ac:dyDescent="0.25">
      <c r="A521" s="45" t="s">
        <v>549</v>
      </c>
      <c r="B521" s="46" t="s">
        <v>12921</v>
      </c>
      <c r="C521">
        <v>1</v>
      </c>
      <c r="D521">
        <v>13</v>
      </c>
    </row>
    <row r="522" spans="1:4" x14ac:dyDescent="0.25">
      <c r="A522" s="45" t="s">
        <v>550</v>
      </c>
      <c r="B522" s="46" t="s">
        <v>12922</v>
      </c>
      <c r="C522">
        <v>1</v>
      </c>
      <c r="D522">
        <v>13</v>
      </c>
    </row>
    <row r="523" spans="1:4" x14ac:dyDescent="0.25">
      <c r="A523" s="45" t="s">
        <v>551</v>
      </c>
      <c r="B523" s="46" t="s">
        <v>12923</v>
      </c>
      <c r="C523">
        <v>1</v>
      </c>
      <c r="D523">
        <v>13</v>
      </c>
    </row>
    <row r="524" spans="1:4" x14ac:dyDescent="0.25">
      <c r="A524" s="45" t="s">
        <v>552</v>
      </c>
      <c r="B524" s="46" t="s">
        <v>12924</v>
      </c>
      <c r="C524">
        <v>1</v>
      </c>
      <c r="D524">
        <v>13</v>
      </c>
    </row>
    <row r="525" spans="1:4" x14ac:dyDescent="0.25">
      <c r="A525" s="45" t="s">
        <v>553</v>
      </c>
      <c r="B525" s="46" t="s">
        <v>12925</v>
      </c>
      <c r="C525">
        <v>1</v>
      </c>
      <c r="D525">
        <v>13</v>
      </c>
    </row>
    <row r="526" spans="1:4" x14ac:dyDescent="0.25">
      <c r="A526" s="45" t="s">
        <v>554</v>
      </c>
      <c r="B526" s="46" t="s">
        <v>12926</v>
      </c>
      <c r="C526">
        <v>1</v>
      </c>
      <c r="D526">
        <v>13</v>
      </c>
    </row>
    <row r="527" spans="1:4" x14ac:dyDescent="0.25">
      <c r="A527" s="45" t="s">
        <v>555</v>
      </c>
      <c r="B527" s="46" t="s">
        <v>12927</v>
      </c>
      <c r="C527">
        <v>1</v>
      </c>
      <c r="D527">
        <v>13</v>
      </c>
    </row>
    <row r="528" spans="1:4" x14ac:dyDescent="0.25">
      <c r="A528" s="45" t="s">
        <v>556</v>
      </c>
      <c r="B528" s="46" t="s">
        <v>12928</v>
      </c>
      <c r="C528">
        <v>1</v>
      </c>
      <c r="D528">
        <v>13</v>
      </c>
    </row>
    <row r="529" spans="1:4" x14ac:dyDescent="0.25">
      <c r="A529" s="45" t="s">
        <v>557</v>
      </c>
      <c r="B529" s="46" t="s">
        <v>19377</v>
      </c>
      <c r="C529">
        <v>1</v>
      </c>
      <c r="D529">
        <v>13</v>
      </c>
    </row>
    <row r="530" spans="1:4" x14ac:dyDescent="0.25">
      <c r="A530" s="45" t="s">
        <v>558</v>
      </c>
      <c r="B530" s="46" t="s">
        <v>12929</v>
      </c>
      <c r="C530">
        <v>1</v>
      </c>
      <c r="D530">
        <v>13</v>
      </c>
    </row>
    <row r="531" spans="1:4" x14ac:dyDescent="0.25">
      <c r="A531" s="45" t="s">
        <v>559</v>
      </c>
      <c r="B531" s="46" t="s">
        <v>12930</v>
      </c>
      <c r="C531">
        <v>1</v>
      </c>
      <c r="D531">
        <v>13</v>
      </c>
    </row>
    <row r="532" spans="1:4" x14ac:dyDescent="0.25">
      <c r="A532" s="45" t="s">
        <v>560</v>
      </c>
      <c r="B532" s="46" t="s">
        <v>12931</v>
      </c>
      <c r="C532">
        <v>1</v>
      </c>
      <c r="D532">
        <v>13</v>
      </c>
    </row>
    <row r="533" spans="1:4" x14ac:dyDescent="0.25">
      <c r="A533" s="45" t="s">
        <v>561</v>
      </c>
      <c r="B533" s="46" t="s">
        <v>12932</v>
      </c>
      <c r="C533">
        <v>1</v>
      </c>
      <c r="D533">
        <v>13</v>
      </c>
    </row>
    <row r="534" spans="1:4" x14ac:dyDescent="0.25">
      <c r="A534" s="45" t="s">
        <v>562</v>
      </c>
      <c r="B534" s="46" t="s">
        <v>12933</v>
      </c>
      <c r="C534">
        <v>1</v>
      </c>
      <c r="D534">
        <v>13</v>
      </c>
    </row>
    <row r="535" spans="1:4" x14ac:dyDescent="0.25">
      <c r="A535" s="45" t="s">
        <v>563</v>
      </c>
      <c r="B535" s="46" t="s">
        <v>12934</v>
      </c>
      <c r="C535">
        <v>1</v>
      </c>
      <c r="D535">
        <v>13</v>
      </c>
    </row>
    <row r="536" spans="1:4" x14ac:dyDescent="0.25">
      <c r="A536" s="45" t="s">
        <v>564</v>
      </c>
      <c r="B536" s="46" t="s">
        <v>12935</v>
      </c>
      <c r="C536">
        <v>1</v>
      </c>
      <c r="D536">
        <v>13</v>
      </c>
    </row>
    <row r="537" spans="1:4" x14ac:dyDescent="0.25">
      <c r="A537" s="45" t="s">
        <v>565</v>
      </c>
      <c r="B537" s="46" t="s">
        <v>12936</v>
      </c>
      <c r="C537">
        <v>1</v>
      </c>
      <c r="D537">
        <v>13</v>
      </c>
    </row>
    <row r="538" spans="1:4" x14ac:dyDescent="0.25">
      <c r="A538" s="45" t="s">
        <v>566</v>
      </c>
      <c r="B538" s="46" t="s">
        <v>12937</v>
      </c>
      <c r="C538">
        <v>1</v>
      </c>
      <c r="D538">
        <v>13</v>
      </c>
    </row>
    <row r="539" spans="1:4" x14ac:dyDescent="0.25">
      <c r="A539" s="45" t="s">
        <v>567</v>
      </c>
      <c r="B539" s="46" t="s">
        <v>12938</v>
      </c>
      <c r="C539">
        <v>1</v>
      </c>
      <c r="D539">
        <v>13</v>
      </c>
    </row>
    <row r="540" spans="1:4" x14ac:dyDescent="0.25">
      <c r="A540" s="45" t="s">
        <v>568</v>
      </c>
      <c r="B540" s="46" t="s">
        <v>12939</v>
      </c>
      <c r="C540">
        <v>1</v>
      </c>
      <c r="D540">
        <v>13</v>
      </c>
    </row>
    <row r="541" spans="1:4" x14ac:dyDescent="0.25">
      <c r="A541" s="45" t="s">
        <v>569</v>
      </c>
      <c r="B541" s="46" t="s">
        <v>12940</v>
      </c>
      <c r="C541">
        <v>1</v>
      </c>
      <c r="D541">
        <v>13</v>
      </c>
    </row>
    <row r="542" spans="1:4" x14ac:dyDescent="0.25">
      <c r="A542" s="45" t="s">
        <v>570</v>
      </c>
      <c r="B542" s="46" t="s">
        <v>12941</v>
      </c>
      <c r="C542">
        <v>1</v>
      </c>
      <c r="D542">
        <v>13</v>
      </c>
    </row>
    <row r="543" spans="1:4" x14ac:dyDescent="0.25">
      <c r="A543" s="45" t="s">
        <v>571</v>
      </c>
      <c r="B543" s="46" t="s">
        <v>12942</v>
      </c>
      <c r="C543">
        <v>1</v>
      </c>
      <c r="D543">
        <v>13</v>
      </c>
    </row>
    <row r="544" spans="1:4" x14ac:dyDescent="0.25">
      <c r="A544" s="45" t="s">
        <v>572</v>
      </c>
      <c r="B544" s="46" t="s">
        <v>12943</v>
      </c>
      <c r="C544">
        <v>1</v>
      </c>
      <c r="D544">
        <v>13</v>
      </c>
    </row>
    <row r="545" spans="1:4" x14ac:dyDescent="0.25">
      <c r="A545" s="45" t="s">
        <v>573</v>
      </c>
      <c r="B545" s="46" t="s">
        <v>12944</v>
      </c>
      <c r="C545">
        <v>1</v>
      </c>
      <c r="D545">
        <v>13</v>
      </c>
    </row>
    <row r="546" spans="1:4" x14ac:dyDescent="0.25">
      <c r="A546" s="45" t="s">
        <v>574</v>
      </c>
      <c r="B546" s="46" t="s">
        <v>12945</v>
      </c>
      <c r="C546">
        <v>1</v>
      </c>
      <c r="D546">
        <v>13</v>
      </c>
    </row>
    <row r="547" spans="1:4" x14ac:dyDescent="0.25">
      <c r="A547" s="45" t="s">
        <v>575</v>
      </c>
      <c r="B547" s="46" t="s">
        <v>19378</v>
      </c>
      <c r="C547">
        <v>1</v>
      </c>
      <c r="D547">
        <v>13</v>
      </c>
    </row>
    <row r="548" spans="1:4" x14ac:dyDescent="0.25">
      <c r="A548" s="45" t="s">
        <v>576</v>
      </c>
      <c r="B548" s="46" t="s">
        <v>12946</v>
      </c>
      <c r="C548">
        <v>1</v>
      </c>
      <c r="D548">
        <v>13</v>
      </c>
    </row>
    <row r="549" spans="1:4" x14ac:dyDescent="0.25">
      <c r="A549" s="45" t="s">
        <v>577</v>
      </c>
      <c r="B549" s="46" t="s">
        <v>19379</v>
      </c>
      <c r="C549">
        <v>1</v>
      </c>
      <c r="D549">
        <v>13</v>
      </c>
    </row>
    <row r="550" spans="1:4" x14ac:dyDescent="0.25">
      <c r="A550" s="45" t="s">
        <v>578</v>
      </c>
      <c r="B550" s="46" t="s">
        <v>12947</v>
      </c>
      <c r="C550">
        <v>1</v>
      </c>
      <c r="D550">
        <v>13</v>
      </c>
    </row>
    <row r="551" spans="1:4" x14ac:dyDescent="0.25">
      <c r="A551" s="45" t="s">
        <v>579</v>
      </c>
      <c r="B551" s="46" t="s">
        <v>12948</v>
      </c>
      <c r="C551">
        <v>1</v>
      </c>
      <c r="D551">
        <v>13</v>
      </c>
    </row>
    <row r="552" spans="1:4" x14ac:dyDescent="0.25">
      <c r="A552" s="45" t="s">
        <v>580</v>
      </c>
      <c r="B552" s="46" t="s">
        <v>12949</v>
      </c>
      <c r="C552">
        <v>1</v>
      </c>
      <c r="D552">
        <v>13</v>
      </c>
    </row>
    <row r="553" spans="1:4" x14ac:dyDescent="0.25">
      <c r="A553" s="45" t="s">
        <v>581</v>
      </c>
      <c r="B553" s="46" t="s">
        <v>12950</v>
      </c>
      <c r="C553">
        <v>1</v>
      </c>
      <c r="D553">
        <v>13</v>
      </c>
    </row>
    <row r="554" spans="1:4" x14ac:dyDescent="0.25">
      <c r="A554" s="45" t="s">
        <v>582</v>
      </c>
      <c r="B554" s="46" t="s">
        <v>12951</v>
      </c>
      <c r="C554">
        <v>1</v>
      </c>
      <c r="D554">
        <v>13</v>
      </c>
    </row>
    <row r="555" spans="1:4" x14ac:dyDescent="0.25">
      <c r="A555" s="45" t="s">
        <v>583</v>
      </c>
      <c r="B555" s="46" t="s">
        <v>12952</v>
      </c>
      <c r="C555">
        <v>1</v>
      </c>
      <c r="D555">
        <v>13</v>
      </c>
    </row>
    <row r="556" spans="1:4" x14ac:dyDescent="0.25">
      <c r="A556" s="45" t="s">
        <v>584</v>
      </c>
      <c r="B556" s="46" t="s">
        <v>12953</v>
      </c>
      <c r="C556">
        <v>1</v>
      </c>
      <c r="D556">
        <v>13</v>
      </c>
    </row>
    <row r="557" spans="1:4" x14ac:dyDescent="0.25">
      <c r="A557" s="45" t="s">
        <v>585</v>
      </c>
      <c r="B557" s="46" t="s">
        <v>12954</v>
      </c>
      <c r="C557">
        <v>1</v>
      </c>
      <c r="D557">
        <v>13</v>
      </c>
    </row>
    <row r="558" spans="1:4" x14ac:dyDescent="0.25">
      <c r="A558" s="45" t="s">
        <v>586</v>
      </c>
      <c r="B558" s="46" t="s">
        <v>12955</v>
      </c>
      <c r="C558">
        <v>1</v>
      </c>
      <c r="D558">
        <v>13</v>
      </c>
    </row>
    <row r="559" spans="1:4" x14ac:dyDescent="0.25">
      <c r="A559" s="45" t="s">
        <v>587</v>
      </c>
      <c r="B559" s="46" t="s">
        <v>12956</v>
      </c>
      <c r="C559">
        <v>1</v>
      </c>
      <c r="D559">
        <v>13</v>
      </c>
    </row>
    <row r="560" spans="1:4" x14ac:dyDescent="0.25">
      <c r="A560" s="45" t="s">
        <v>588</v>
      </c>
      <c r="B560" s="46" t="s">
        <v>12957</v>
      </c>
      <c r="C560">
        <v>1</v>
      </c>
      <c r="D560">
        <v>13</v>
      </c>
    </row>
    <row r="561" spans="1:4" x14ac:dyDescent="0.25">
      <c r="A561" s="45" t="s">
        <v>589</v>
      </c>
      <c r="B561" s="46" t="s">
        <v>19380</v>
      </c>
      <c r="C561">
        <v>1</v>
      </c>
      <c r="D561">
        <v>13</v>
      </c>
    </row>
    <row r="562" spans="1:4" x14ac:dyDescent="0.25">
      <c r="A562" s="45" t="s">
        <v>590</v>
      </c>
      <c r="B562" s="46" t="s">
        <v>12958</v>
      </c>
      <c r="C562">
        <v>1</v>
      </c>
      <c r="D562">
        <v>13</v>
      </c>
    </row>
    <row r="563" spans="1:4" x14ac:dyDescent="0.25">
      <c r="A563" s="45" t="s">
        <v>591</v>
      </c>
      <c r="B563" s="46" t="s">
        <v>12959</v>
      </c>
      <c r="C563">
        <v>1</v>
      </c>
      <c r="D563">
        <v>13</v>
      </c>
    </row>
    <row r="564" spans="1:4" x14ac:dyDescent="0.25">
      <c r="A564" s="45" t="s">
        <v>592</v>
      </c>
      <c r="B564" s="46" t="s">
        <v>12960</v>
      </c>
      <c r="C564">
        <v>1</v>
      </c>
      <c r="D564">
        <v>13</v>
      </c>
    </row>
    <row r="565" spans="1:4" x14ac:dyDescent="0.25">
      <c r="A565" s="45" t="s">
        <v>593</v>
      </c>
      <c r="B565" s="46" t="s">
        <v>12961</v>
      </c>
      <c r="C565">
        <v>1</v>
      </c>
      <c r="D565">
        <v>13</v>
      </c>
    </row>
    <row r="566" spans="1:4" x14ac:dyDescent="0.25">
      <c r="A566" s="45" t="s">
        <v>594</v>
      </c>
      <c r="B566" s="46" t="s">
        <v>12962</v>
      </c>
      <c r="C566">
        <v>1</v>
      </c>
      <c r="D566">
        <v>13</v>
      </c>
    </row>
    <row r="567" spans="1:4" x14ac:dyDescent="0.25">
      <c r="A567" s="45" t="s">
        <v>595</v>
      </c>
      <c r="B567" s="46" t="s">
        <v>12963</v>
      </c>
      <c r="C567">
        <v>1</v>
      </c>
      <c r="D567">
        <v>13</v>
      </c>
    </row>
    <row r="568" spans="1:4" x14ac:dyDescent="0.25">
      <c r="A568" s="45" t="s">
        <v>596</v>
      </c>
      <c r="B568" s="46" t="s">
        <v>12964</v>
      </c>
      <c r="C568">
        <v>1</v>
      </c>
      <c r="D568">
        <v>13</v>
      </c>
    </row>
    <row r="569" spans="1:4" x14ac:dyDescent="0.25">
      <c r="A569" s="45" t="s">
        <v>597</v>
      </c>
      <c r="B569" s="46" t="s">
        <v>12965</v>
      </c>
      <c r="C569">
        <v>1</v>
      </c>
      <c r="D569">
        <v>13</v>
      </c>
    </row>
    <row r="570" spans="1:4" x14ac:dyDescent="0.25">
      <c r="A570" s="45" t="s">
        <v>598</v>
      </c>
      <c r="B570" s="46" t="s">
        <v>12966</v>
      </c>
      <c r="C570">
        <v>1</v>
      </c>
      <c r="D570">
        <v>13</v>
      </c>
    </row>
    <row r="571" spans="1:4" x14ac:dyDescent="0.25">
      <c r="A571" s="45" t="s">
        <v>599</v>
      </c>
      <c r="B571" s="46" t="s">
        <v>12967</v>
      </c>
      <c r="C571">
        <v>1</v>
      </c>
      <c r="D571">
        <v>13</v>
      </c>
    </row>
    <row r="572" spans="1:4" x14ac:dyDescent="0.25">
      <c r="A572" s="45" t="s">
        <v>600</v>
      </c>
      <c r="B572" s="46" t="s">
        <v>12968</v>
      </c>
      <c r="C572">
        <v>1</v>
      </c>
      <c r="D572">
        <v>13</v>
      </c>
    </row>
    <row r="573" spans="1:4" x14ac:dyDescent="0.25">
      <c r="A573" s="45" t="s">
        <v>601</v>
      </c>
      <c r="B573" s="46" t="s">
        <v>12969</v>
      </c>
      <c r="C573">
        <v>1</v>
      </c>
      <c r="D573">
        <v>13</v>
      </c>
    </row>
    <row r="574" spans="1:4" x14ac:dyDescent="0.25">
      <c r="A574" s="45" t="s">
        <v>602</v>
      </c>
      <c r="B574" s="46" t="s">
        <v>12970</v>
      </c>
      <c r="C574">
        <v>1</v>
      </c>
      <c r="D574">
        <v>13</v>
      </c>
    </row>
    <row r="575" spans="1:4" x14ac:dyDescent="0.25">
      <c r="A575" s="45" t="s">
        <v>603</v>
      </c>
      <c r="B575" s="46" t="s">
        <v>12971</v>
      </c>
      <c r="C575">
        <v>1</v>
      </c>
      <c r="D575">
        <v>13</v>
      </c>
    </row>
    <row r="576" spans="1:4" x14ac:dyDescent="0.25">
      <c r="A576" s="45" t="s">
        <v>604</v>
      </c>
      <c r="B576" s="46" t="s">
        <v>12972</v>
      </c>
      <c r="C576">
        <v>1</v>
      </c>
      <c r="D576">
        <v>13</v>
      </c>
    </row>
    <row r="577" spans="1:4" x14ac:dyDescent="0.25">
      <c r="A577" s="45" t="s">
        <v>605</v>
      </c>
      <c r="B577" s="46" t="s">
        <v>12973</v>
      </c>
      <c r="C577">
        <v>1</v>
      </c>
      <c r="D577">
        <v>13</v>
      </c>
    </row>
    <row r="578" spans="1:4" x14ac:dyDescent="0.25">
      <c r="A578" s="45" t="s">
        <v>606</v>
      </c>
      <c r="B578" s="46" t="s">
        <v>12974</v>
      </c>
      <c r="C578">
        <v>1</v>
      </c>
      <c r="D578">
        <v>13</v>
      </c>
    </row>
    <row r="579" spans="1:4" x14ac:dyDescent="0.25">
      <c r="A579" s="45" t="s">
        <v>607</v>
      </c>
      <c r="B579" s="46" t="s">
        <v>12975</v>
      </c>
      <c r="C579">
        <v>1</v>
      </c>
      <c r="D579">
        <v>13</v>
      </c>
    </row>
    <row r="580" spans="1:4" x14ac:dyDescent="0.25">
      <c r="A580" s="45" t="s">
        <v>608</v>
      </c>
      <c r="B580" s="46" t="s">
        <v>12976</v>
      </c>
      <c r="C580">
        <v>1</v>
      </c>
      <c r="D580">
        <v>13</v>
      </c>
    </row>
    <row r="581" spans="1:4" x14ac:dyDescent="0.25">
      <c r="A581" s="45" t="s">
        <v>609</v>
      </c>
      <c r="B581" s="46" t="s">
        <v>12977</v>
      </c>
      <c r="C581">
        <v>1</v>
      </c>
      <c r="D581">
        <v>13</v>
      </c>
    </row>
    <row r="582" spans="1:4" x14ac:dyDescent="0.25">
      <c r="A582" s="45" t="s">
        <v>610</v>
      </c>
      <c r="B582" s="46" t="s">
        <v>12978</v>
      </c>
      <c r="C582">
        <v>1</v>
      </c>
      <c r="D582">
        <v>13</v>
      </c>
    </row>
    <row r="583" spans="1:4" x14ac:dyDescent="0.25">
      <c r="A583" s="45" t="s">
        <v>611</v>
      </c>
      <c r="B583" s="46" t="s">
        <v>12979</v>
      </c>
      <c r="C583">
        <v>1</v>
      </c>
      <c r="D583">
        <v>13</v>
      </c>
    </row>
    <row r="584" spans="1:4" x14ac:dyDescent="0.25">
      <c r="A584" s="45" t="s">
        <v>612</v>
      </c>
      <c r="B584" s="46" t="s">
        <v>12980</v>
      </c>
      <c r="C584">
        <v>1</v>
      </c>
      <c r="D584">
        <v>13</v>
      </c>
    </row>
    <row r="585" spans="1:4" x14ac:dyDescent="0.25">
      <c r="A585" s="45" t="s">
        <v>613</v>
      </c>
      <c r="B585" s="46" t="s">
        <v>12981</v>
      </c>
      <c r="C585">
        <v>1</v>
      </c>
      <c r="D585">
        <v>13</v>
      </c>
    </row>
    <row r="586" spans="1:4" x14ac:dyDescent="0.25">
      <c r="A586" s="45" t="s">
        <v>614</v>
      </c>
      <c r="B586" s="46" t="s">
        <v>12982</v>
      </c>
      <c r="C586">
        <v>1</v>
      </c>
      <c r="D586">
        <v>13</v>
      </c>
    </row>
    <row r="587" spans="1:4" x14ac:dyDescent="0.25">
      <c r="A587" s="45" t="s">
        <v>615</v>
      </c>
      <c r="B587" s="46" t="s">
        <v>12983</v>
      </c>
      <c r="C587">
        <v>1</v>
      </c>
      <c r="D587">
        <v>13</v>
      </c>
    </row>
    <row r="588" spans="1:4" x14ac:dyDescent="0.25">
      <c r="A588" s="45" t="s">
        <v>616</v>
      </c>
      <c r="B588" s="46" t="s">
        <v>12984</v>
      </c>
      <c r="C588">
        <v>1</v>
      </c>
      <c r="D588">
        <v>13</v>
      </c>
    </row>
    <row r="589" spans="1:4" x14ac:dyDescent="0.25">
      <c r="A589" s="45" t="s">
        <v>617</v>
      </c>
      <c r="B589" s="46" t="s">
        <v>12985</v>
      </c>
      <c r="C589">
        <v>1</v>
      </c>
      <c r="D589">
        <v>13</v>
      </c>
    </row>
    <row r="590" spans="1:4" x14ac:dyDescent="0.25">
      <c r="A590" s="45" t="s">
        <v>618</v>
      </c>
      <c r="B590" s="46" t="s">
        <v>12986</v>
      </c>
      <c r="C590">
        <v>1</v>
      </c>
      <c r="D590">
        <v>13</v>
      </c>
    </row>
    <row r="591" spans="1:4" x14ac:dyDescent="0.25">
      <c r="A591" s="45" t="s">
        <v>619</v>
      </c>
      <c r="B591" s="46" t="s">
        <v>12987</v>
      </c>
      <c r="C591">
        <v>1</v>
      </c>
      <c r="D591">
        <v>13</v>
      </c>
    </row>
    <row r="592" spans="1:4" x14ac:dyDescent="0.25">
      <c r="A592" s="45" t="s">
        <v>620</v>
      </c>
      <c r="B592" s="46" t="s">
        <v>12988</v>
      </c>
      <c r="C592">
        <v>1</v>
      </c>
      <c r="D592">
        <v>13</v>
      </c>
    </row>
    <row r="593" spans="1:4" x14ac:dyDescent="0.25">
      <c r="A593" s="45" t="s">
        <v>621</v>
      </c>
      <c r="B593" s="46" t="s">
        <v>12989</v>
      </c>
      <c r="C593">
        <v>1</v>
      </c>
      <c r="D593">
        <v>13</v>
      </c>
    </row>
    <row r="594" spans="1:4" x14ac:dyDescent="0.25">
      <c r="A594" s="45" t="s">
        <v>622</v>
      </c>
      <c r="B594" s="46" t="s">
        <v>12990</v>
      </c>
      <c r="C594">
        <v>1</v>
      </c>
      <c r="D594">
        <v>4</v>
      </c>
    </row>
    <row r="595" spans="1:4" x14ac:dyDescent="0.25">
      <c r="A595" s="45" t="s">
        <v>623</v>
      </c>
      <c r="B595" s="46" t="s">
        <v>12991</v>
      </c>
      <c r="C595">
        <v>1</v>
      </c>
      <c r="D595">
        <v>4</v>
      </c>
    </row>
    <row r="596" spans="1:4" x14ac:dyDescent="0.25">
      <c r="A596" s="45" t="s">
        <v>624</v>
      </c>
      <c r="B596" s="46" t="s">
        <v>12992</v>
      </c>
      <c r="C596">
        <v>1</v>
      </c>
      <c r="D596">
        <v>4</v>
      </c>
    </row>
    <row r="597" spans="1:4" x14ac:dyDescent="0.25">
      <c r="A597" s="45" t="s">
        <v>625</v>
      </c>
      <c r="B597" s="46" t="s">
        <v>12993</v>
      </c>
      <c r="C597">
        <v>1</v>
      </c>
      <c r="D597">
        <v>13</v>
      </c>
    </row>
    <row r="598" spans="1:4" x14ac:dyDescent="0.25">
      <c r="A598" s="45" t="s">
        <v>626</v>
      </c>
      <c r="B598" s="46" t="s">
        <v>12994</v>
      </c>
      <c r="C598">
        <v>1</v>
      </c>
      <c r="D598">
        <v>13</v>
      </c>
    </row>
    <row r="599" spans="1:4" x14ac:dyDescent="0.25">
      <c r="A599" s="45" t="s">
        <v>627</v>
      </c>
      <c r="B599" s="46" t="s">
        <v>12995</v>
      </c>
      <c r="C599">
        <v>1</v>
      </c>
      <c r="D599">
        <v>13</v>
      </c>
    </row>
    <row r="600" spans="1:4" x14ac:dyDescent="0.25">
      <c r="A600" s="45" t="s">
        <v>628</v>
      </c>
      <c r="B600" s="46" t="s">
        <v>12996</v>
      </c>
      <c r="C600">
        <v>1</v>
      </c>
      <c r="D600">
        <v>13</v>
      </c>
    </row>
    <row r="601" spans="1:4" x14ac:dyDescent="0.25">
      <c r="A601" s="45" t="s">
        <v>629</v>
      </c>
      <c r="B601" s="46" t="s">
        <v>12997</v>
      </c>
      <c r="C601">
        <v>1</v>
      </c>
      <c r="D601">
        <v>13</v>
      </c>
    </row>
    <row r="602" spans="1:4" x14ac:dyDescent="0.25">
      <c r="A602" s="45" t="s">
        <v>630</v>
      </c>
      <c r="B602" s="46" t="s">
        <v>12998</v>
      </c>
      <c r="C602">
        <v>1</v>
      </c>
      <c r="D602">
        <v>13</v>
      </c>
    </row>
    <row r="603" spans="1:4" x14ac:dyDescent="0.25">
      <c r="A603" s="45" t="s">
        <v>631</v>
      </c>
      <c r="B603" s="46" t="s">
        <v>12999</v>
      </c>
      <c r="C603">
        <v>1</v>
      </c>
      <c r="D603">
        <v>13</v>
      </c>
    </row>
    <row r="604" spans="1:4" x14ac:dyDescent="0.25">
      <c r="A604" s="45" t="s">
        <v>632</v>
      </c>
      <c r="B604" s="46" t="s">
        <v>13000</v>
      </c>
      <c r="C604">
        <v>1</v>
      </c>
      <c r="D604">
        <v>13</v>
      </c>
    </row>
    <row r="605" spans="1:4" x14ac:dyDescent="0.25">
      <c r="A605" s="45" t="s">
        <v>633</v>
      </c>
      <c r="B605" s="46" t="s">
        <v>13001</v>
      </c>
      <c r="C605">
        <v>1</v>
      </c>
      <c r="D605">
        <v>10</v>
      </c>
    </row>
    <row r="606" spans="1:4" x14ac:dyDescent="0.25">
      <c r="A606" s="45" t="s">
        <v>634</v>
      </c>
      <c r="B606" s="46" t="s">
        <v>13002</v>
      </c>
      <c r="C606">
        <v>1</v>
      </c>
      <c r="D606">
        <v>10</v>
      </c>
    </row>
    <row r="607" spans="1:4" x14ac:dyDescent="0.25">
      <c r="A607" s="45" t="s">
        <v>635</v>
      </c>
      <c r="B607" s="46" t="s">
        <v>13003</v>
      </c>
      <c r="C607">
        <v>1</v>
      </c>
      <c r="D607">
        <v>10</v>
      </c>
    </row>
    <row r="608" spans="1:4" x14ac:dyDescent="0.25">
      <c r="A608" s="45" t="s">
        <v>636</v>
      </c>
      <c r="B608" s="46" t="s">
        <v>13004</v>
      </c>
      <c r="C608">
        <v>1</v>
      </c>
      <c r="D608">
        <v>10</v>
      </c>
    </row>
    <row r="609" spans="1:4" x14ac:dyDescent="0.25">
      <c r="A609" s="45" t="s">
        <v>637</v>
      </c>
      <c r="B609" s="46" t="s">
        <v>13005</v>
      </c>
      <c r="C609">
        <v>1</v>
      </c>
      <c r="D609">
        <v>10</v>
      </c>
    </row>
    <row r="610" spans="1:4" x14ac:dyDescent="0.25">
      <c r="A610" s="45" t="s">
        <v>638</v>
      </c>
      <c r="B610" s="46" t="s">
        <v>13006</v>
      </c>
      <c r="C610">
        <v>1</v>
      </c>
      <c r="D610">
        <v>10</v>
      </c>
    </row>
    <row r="611" spans="1:4" x14ac:dyDescent="0.25">
      <c r="A611" s="45" t="s">
        <v>639</v>
      </c>
      <c r="B611" s="46" t="s">
        <v>13007</v>
      </c>
      <c r="C611">
        <v>1</v>
      </c>
      <c r="D611">
        <v>10</v>
      </c>
    </row>
    <row r="612" spans="1:4" x14ac:dyDescent="0.25">
      <c r="A612" s="45" t="s">
        <v>640</v>
      </c>
      <c r="B612" s="46" t="s">
        <v>13008</v>
      </c>
      <c r="C612">
        <v>1</v>
      </c>
      <c r="D612">
        <v>10</v>
      </c>
    </row>
    <row r="613" spans="1:4" x14ac:dyDescent="0.25">
      <c r="A613" s="45" t="s">
        <v>641</v>
      </c>
      <c r="B613" s="46" t="s">
        <v>13009</v>
      </c>
      <c r="C613">
        <v>1</v>
      </c>
      <c r="D613">
        <v>10</v>
      </c>
    </row>
    <row r="614" spans="1:4" x14ac:dyDescent="0.25">
      <c r="A614" s="45" t="s">
        <v>642</v>
      </c>
      <c r="B614" s="46" t="s">
        <v>19381</v>
      </c>
      <c r="C614">
        <v>1</v>
      </c>
      <c r="D614">
        <v>10</v>
      </c>
    </row>
    <row r="615" spans="1:4" x14ac:dyDescent="0.25">
      <c r="A615" s="45" t="s">
        <v>643</v>
      </c>
      <c r="B615" s="46" t="s">
        <v>13010</v>
      </c>
      <c r="C615">
        <v>1</v>
      </c>
      <c r="D615">
        <v>10</v>
      </c>
    </row>
    <row r="616" spans="1:4" x14ac:dyDescent="0.25">
      <c r="A616" s="45" t="s">
        <v>644</v>
      </c>
      <c r="B616" s="46" t="s">
        <v>19382</v>
      </c>
      <c r="C616">
        <v>1</v>
      </c>
      <c r="D616">
        <v>10</v>
      </c>
    </row>
    <row r="617" spans="1:4" x14ac:dyDescent="0.25">
      <c r="A617" s="45" t="s">
        <v>645</v>
      </c>
      <c r="B617" s="46" t="s">
        <v>19383</v>
      </c>
      <c r="C617">
        <v>1</v>
      </c>
      <c r="D617">
        <v>10</v>
      </c>
    </row>
    <row r="618" spans="1:4" x14ac:dyDescent="0.25">
      <c r="A618" s="45" t="s">
        <v>646</v>
      </c>
      <c r="B618" s="46" t="s">
        <v>19384</v>
      </c>
      <c r="C618">
        <v>1</v>
      </c>
      <c r="D618">
        <v>10</v>
      </c>
    </row>
    <row r="619" spans="1:4" x14ac:dyDescent="0.25">
      <c r="A619" s="45" t="s">
        <v>647</v>
      </c>
      <c r="B619" s="46" t="s">
        <v>13011</v>
      </c>
      <c r="C619">
        <v>1</v>
      </c>
      <c r="D619">
        <v>10</v>
      </c>
    </row>
    <row r="620" spans="1:4" x14ac:dyDescent="0.25">
      <c r="A620" s="45" t="s">
        <v>648</v>
      </c>
      <c r="B620" s="46" t="s">
        <v>13012</v>
      </c>
      <c r="C620">
        <v>1</v>
      </c>
      <c r="D620">
        <v>10</v>
      </c>
    </row>
    <row r="621" spans="1:4" x14ac:dyDescent="0.25">
      <c r="A621" s="45" t="s">
        <v>649</v>
      </c>
      <c r="B621" s="46" t="s">
        <v>13013</v>
      </c>
      <c r="C621">
        <v>1</v>
      </c>
      <c r="D621">
        <v>10</v>
      </c>
    </row>
    <row r="622" spans="1:4" x14ac:dyDescent="0.25">
      <c r="A622" s="45" t="s">
        <v>650</v>
      </c>
      <c r="B622" s="46" t="s">
        <v>13014</v>
      </c>
      <c r="C622">
        <v>1</v>
      </c>
      <c r="D622">
        <v>10</v>
      </c>
    </row>
    <row r="623" spans="1:4" x14ac:dyDescent="0.25">
      <c r="A623" s="45" t="s">
        <v>651</v>
      </c>
      <c r="B623" s="46" t="s">
        <v>13015</v>
      </c>
      <c r="C623">
        <v>1</v>
      </c>
      <c r="D623">
        <v>10</v>
      </c>
    </row>
    <row r="624" spans="1:4" x14ac:dyDescent="0.25">
      <c r="A624" s="45" t="s">
        <v>652</v>
      </c>
      <c r="B624" s="46" t="s">
        <v>19385</v>
      </c>
      <c r="C624">
        <v>1</v>
      </c>
      <c r="D624">
        <v>10</v>
      </c>
    </row>
    <row r="625" spans="1:4" x14ac:dyDescent="0.25">
      <c r="A625" s="45" t="s">
        <v>653</v>
      </c>
      <c r="B625" s="46" t="s">
        <v>19386</v>
      </c>
      <c r="C625">
        <v>1</v>
      </c>
      <c r="D625">
        <v>10</v>
      </c>
    </row>
    <row r="626" spans="1:4" x14ac:dyDescent="0.25">
      <c r="A626" s="45" t="s">
        <v>654</v>
      </c>
      <c r="B626" s="46" t="s">
        <v>13016</v>
      </c>
      <c r="C626">
        <v>1</v>
      </c>
      <c r="D626">
        <v>10</v>
      </c>
    </row>
    <row r="627" spans="1:4" x14ac:dyDescent="0.25">
      <c r="A627" s="45" t="s">
        <v>655</v>
      </c>
      <c r="B627" s="46" t="s">
        <v>19387</v>
      </c>
      <c r="C627">
        <v>1</v>
      </c>
      <c r="D627">
        <v>10</v>
      </c>
    </row>
    <row r="628" spans="1:4" x14ac:dyDescent="0.25">
      <c r="A628" s="45" t="s">
        <v>656</v>
      </c>
      <c r="B628" s="46" t="s">
        <v>13017</v>
      </c>
      <c r="C628">
        <v>1</v>
      </c>
      <c r="D628">
        <v>10</v>
      </c>
    </row>
    <row r="629" spans="1:4" x14ac:dyDescent="0.25">
      <c r="A629" s="45" t="s">
        <v>657</v>
      </c>
      <c r="B629" s="46" t="s">
        <v>13018</v>
      </c>
      <c r="C629">
        <v>1</v>
      </c>
      <c r="D629">
        <v>10</v>
      </c>
    </row>
    <row r="630" spans="1:4" x14ac:dyDescent="0.25">
      <c r="A630" s="45" t="s">
        <v>658</v>
      </c>
      <c r="B630" s="46" t="s">
        <v>13019</v>
      </c>
      <c r="C630">
        <v>1</v>
      </c>
      <c r="D630">
        <v>10</v>
      </c>
    </row>
    <row r="631" spans="1:4" x14ac:dyDescent="0.25">
      <c r="A631" s="45" t="s">
        <v>659</v>
      </c>
      <c r="B631" s="46" t="s">
        <v>13020</v>
      </c>
      <c r="C631">
        <v>1</v>
      </c>
      <c r="D631">
        <v>15</v>
      </c>
    </row>
    <row r="632" spans="1:4" x14ac:dyDescent="0.25">
      <c r="A632" s="45" t="s">
        <v>660</v>
      </c>
      <c r="B632" s="46" t="s">
        <v>13021</v>
      </c>
      <c r="C632">
        <v>1</v>
      </c>
      <c r="D632">
        <v>15</v>
      </c>
    </row>
    <row r="633" spans="1:4" x14ac:dyDescent="0.25">
      <c r="A633" s="45" t="s">
        <v>661</v>
      </c>
      <c r="B633" s="46" t="s">
        <v>13022</v>
      </c>
      <c r="C633">
        <v>1</v>
      </c>
      <c r="D633">
        <v>15</v>
      </c>
    </row>
    <row r="634" spans="1:4" x14ac:dyDescent="0.25">
      <c r="A634" s="45" t="s">
        <v>662</v>
      </c>
      <c r="B634" s="46" t="s">
        <v>13023</v>
      </c>
      <c r="C634">
        <v>1</v>
      </c>
      <c r="D634">
        <v>15</v>
      </c>
    </row>
    <row r="635" spans="1:4" x14ac:dyDescent="0.25">
      <c r="A635" s="45" t="s">
        <v>663</v>
      </c>
      <c r="B635" s="46" t="s">
        <v>13024</v>
      </c>
      <c r="C635">
        <v>1</v>
      </c>
      <c r="D635">
        <v>15</v>
      </c>
    </row>
    <row r="636" spans="1:4" x14ac:dyDescent="0.25">
      <c r="A636" s="45" t="s">
        <v>664</v>
      </c>
      <c r="B636" s="46" t="s">
        <v>13025</v>
      </c>
      <c r="C636">
        <v>1</v>
      </c>
      <c r="D636">
        <v>15</v>
      </c>
    </row>
    <row r="637" spans="1:4" x14ac:dyDescent="0.25">
      <c r="A637" s="45" t="s">
        <v>665</v>
      </c>
      <c r="B637" s="46" t="s">
        <v>19388</v>
      </c>
      <c r="C637">
        <v>1</v>
      </c>
      <c r="D637">
        <v>15</v>
      </c>
    </row>
    <row r="638" spans="1:4" x14ac:dyDescent="0.25">
      <c r="A638" s="45" t="s">
        <v>666</v>
      </c>
      <c r="B638" s="46" t="s">
        <v>13026</v>
      </c>
      <c r="C638">
        <v>1</v>
      </c>
      <c r="D638">
        <v>15</v>
      </c>
    </row>
    <row r="639" spans="1:4" x14ac:dyDescent="0.25">
      <c r="A639" s="45" t="s">
        <v>667</v>
      </c>
      <c r="B639" s="46" t="s">
        <v>13027</v>
      </c>
      <c r="C639">
        <v>1</v>
      </c>
      <c r="D639">
        <v>15</v>
      </c>
    </row>
    <row r="640" spans="1:4" x14ac:dyDescent="0.25">
      <c r="A640" s="45" t="s">
        <v>668</v>
      </c>
      <c r="B640" s="46" t="s">
        <v>13028</v>
      </c>
      <c r="C640">
        <v>1</v>
      </c>
      <c r="D640">
        <v>15</v>
      </c>
    </row>
    <row r="641" spans="1:4" x14ac:dyDescent="0.25">
      <c r="A641" s="45" t="s">
        <v>669</v>
      </c>
      <c r="B641" s="46" t="s">
        <v>13029</v>
      </c>
      <c r="C641">
        <v>1</v>
      </c>
      <c r="D641">
        <v>15</v>
      </c>
    </row>
    <row r="642" spans="1:4" x14ac:dyDescent="0.25">
      <c r="A642" s="45" t="s">
        <v>670</v>
      </c>
      <c r="B642" s="46" t="s">
        <v>13030</v>
      </c>
      <c r="C642">
        <v>1</v>
      </c>
      <c r="D642">
        <v>15</v>
      </c>
    </row>
    <row r="643" spans="1:4" x14ac:dyDescent="0.25">
      <c r="A643" s="45" t="s">
        <v>671</v>
      </c>
      <c r="B643" s="46" t="s">
        <v>19389</v>
      </c>
      <c r="C643">
        <v>1</v>
      </c>
      <c r="D643">
        <v>14</v>
      </c>
    </row>
    <row r="644" spans="1:4" x14ac:dyDescent="0.25">
      <c r="A644" s="45" t="s">
        <v>672</v>
      </c>
      <c r="B644" s="46" t="s">
        <v>19390</v>
      </c>
      <c r="C644">
        <v>1</v>
      </c>
      <c r="D644">
        <v>14</v>
      </c>
    </row>
    <row r="645" spans="1:4" x14ac:dyDescent="0.25">
      <c r="A645" s="45" t="s">
        <v>673</v>
      </c>
      <c r="B645" s="46" t="s">
        <v>13031</v>
      </c>
      <c r="C645">
        <v>1</v>
      </c>
      <c r="D645">
        <v>14</v>
      </c>
    </row>
    <row r="646" spans="1:4" x14ac:dyDescent="0.25">
      <c r="A646" s="45" t="s">
        <v>674</v>
      </c>
      <c r="B646" s="46" t="s">
        <v>13032</v>
      </c>
      <c r="C646">
        <v>1</v>
      </c>
      <c r="D646">
        <v>14</v>
      </c>
    </row>
    <row r="647" spans="1:4" x14ac:dyDescent="0.25">
      <c r="A647" s="45" t="s">
        <v>675</v>
      </c>
      <c r="B647" s="46" t="s">
        <v>13033</v>
      </c>
      <c r="C647">
        <v>1</v>
      </c>
      <c r="D647">
        <v>14</v>
      </c>
    </row>
    <row r="648" spans="1:4" x14ac:dyDescent="0.25">
      <c r="A648" s="45" t="s">
        <v>676</v>
      </c>
      <c r="B648" s="46" t="s">
        <v>13034</v>
      </c>
      <c r="C648">
        <v>1</v>
      </c>
      <c r="D648">
        <v>14</v>
      </c>
    </row>
    <row r="649" spans="1:4" x14ac:dyDescent="0.25">
      <c r="A649" s="45" t="s">
        <v>677</v>
      </c>
      <c r="B649" s="46" t="s">
        <v>13035</v>
      </c>
      <c r="C649">
        <v>1</v>
      </c>
      <c r="D649">
        <v>14</v>
      </c>
    </row>
    <row r="650" spans="1:4" x14ac:dyDescent="0.25">
      <c r="A650" s="45" t="s">
        <v>678</v>
      </c>
      <c r="B650" s="46" t="s">
        <v>13036</v>
      </c>
      <c r="C650">
        <v>1</v>
      </c>
      <c r="D650">
        <v>14</v>
      </c>
    </row>
    <row r="651" spans="1:4" x14ac:dyDescent="0.25">
      <c r="A651" s="45" t="s">
        <v>679</v>
      </c>
      <c r="B651" s="46" t="s">
        <v>13037</v>
      </c>
      <c r="C651">
        <v>1</v>
      </c>
      <c r="D651">
        <v>14</v>
      </c>
    </row>
    <row r="652" spans="1:4" x14ac:dyDescent="0.25">
      <c r="A652" s="45" t="s">
        <v>680</v>
      </c>
      <c r="B652" s="46" t="s">
        <v>13038</v>
      </c>
      <c r="C652">
        <v>1</v>
      </c>
      <c r="D652">
        <v>14</v>
      </c>
    </row>
    <row r="653" spans="1:4" x14ac:dyDescent="0.25">
      <c r="A653" s="45" t="s">
        <v>681</v>
      </c>
      <c r="B653" s="46" t="s">
        <v>13039</v>
      </c>
      <c r="C653">
        <v>1</v>
      </c>
      <c r="D653">
        <v>14</v>
      </c>
    </row>
    <row r="654" spans="1:4" x14ac:dyDescent="0.25">
      <c r="A654" s="45" t="s">
        <v>682</v>
      </c>
      <c r="B654" s="46" t="s">
        <v>13040</v>
      </c>
      <c r="C654">
        <v>1</v>
      </c>
      <c r="D654">
        <v>14</v>
      </c>
    </row>
    <row r="655" spans="1:4" x14ac:dyDescent="0.25">
      <c r="A655" s="45" t="s">
        <v>683</v>
      </c>
      <c r="B655" s="46" t="s">
        <v>13041</v>
      </c>
      <c r="C655">
        <v>1</v>
      </c>
      <c r="D655">
        <v>14</v>
      </c>
    </row>
    <row r="656" spans="1:4" x14ac:dyDescent="0.25">
      <c r="A656" s="45" t="s">
        <v>684</v>
      </c>
      <c r="B656" s="46" t="s">
        <v>13042</v>
      </c>
      <c r="C656">
        <v>1</v>
      </c>
      <c r="D656">
        <v>14</v>
      </c>
    </row>
    <row r="657" spans="1:4" x14ac:dyDescent="0.25">
      <c r="A657" s="45" t="s">
        <v>685</v>
      </c>
      <c r="B657" s="46" t="s">
        <v>13043</v>
      </c>
      <c r="C657">
        <v>1</v>
      </c>
      <c r="D657">
        <v>14</v>
      </c>
    </row>
    <row r="658" spans="1:4" x14ac:dyDescent="0.25">
      <c r="A658" s="45" t="s">
        <v>686</v>
      </c>
      <c r="B658" s="46" t="s">
        <v>13044</v>
      </c>
      <c r="C658">
        <v>1</v>
      </c>
      <c r="D658">
        <v>14</v>
      </c>
    </row>
    <row r="659" spans="1:4" x14ac:dyDescent="0.25">
      <c r="A659" s="45" t="s">
        <v>687</v>
      </c>
      <c r="B659" s="46" t="s">
        <v>13045</v>
      </c>
      <c r="C659">
        <v>1</v>
      </c>
      <c r="D659">
        <v>14</v>
      </c>
    </row>
    <row r="660" spans="1:4" x14ac:dyDescent="0.25">
      <c r="A660" s="45" t="s">
        <v>688</v>
      </c>
      <c r="B660" s="46" t="s">
        <v>19391</v>
      </c>
      <c r="C660">
        <v>1</v>
      </c>
      <c r="D660">
        <v>14</v>
      </c>
    </row>
    <row r="661" spans="1:4" x14ac:dyDescent="0.25">
      <c r="A661" s="45" t="s">
        <v>689</v>
      </c>
      <c r="B661" s="46" t="s">
        <v>13046</v>
      </c>
      <c r="C661">
        <v>1</v>
      </c>
      <c r="D661">
        <v>14</v>
      </c>
    </row>
    <row r="662" spans="1:4" x14ac:dyDescent="0.25">
      <c r="A662" s="45" t="s">
        <v>690</v>
      </c>
      <c r="B662" s="46" t="s">
        <v>13047</v>
      </c>
      <c r="C662">
        <v>1</v>
      </c>
      <c r="D662">
        <v>14</v>
      </c>
    </row>
    <row r="663" spans="1:4" x14ac:dyDescent="0.25">
      <c r="A663" s="45" t="s">
        <v>691</v>
      </c>
      <c r="B663" s="46" t="s">
        <v>19392</v>
      </c>
      <c r="C663">
        <v>1</v>
      </c>
      <c r="D663">
        <v>14</v>
      </c>
    </row>
    <row r="664" spans="1:4" x14ac:dyDescent="0.25">
      <c r="A664" s="45" t="s">
        <v>692</v>
      </c>
      <c r="B664" s="46" t="s">
        <v>19393</v>
      </c>
      <c r="C664">
        <v>1</v>
      </c>
      <c r="D664">
        <v>14</v>
      </c>
    </row>
    <row r="665" spans="1:4" x14ac:dyDescent="0.25">
      <c r="A665" s="45" t="s">
        <v>693</v>
      </c>
      <c r="B665" s="46" t="s">
        <v>13048</v>
      </c>
      <c r="C665">
        <v>1</v>
      </c>
      <c r="D665">
        <v>14</v>
      </c>
    </row>
    <row r="666" spans="1:4" x14ac:dyDescent="0.25">
      <c r="A666" s="45" t="s">
        <v>694</v>
      </c>
      <c r="B666" s="46" t="s">
        <v>13049</v>
      </c>
      <c r="C666">
        <v>1</v>
      </c>
      <c r="D666">
        <v>14</v>
      </c>
    </row>
    <row r="667" spans="1:4" x14ac:dyDescent="0.25">
      <c r="A667" s="45" t="s">
        <v>695</v>
      </c>
      <c r="B667" s="46" t="s">
        <v>13050</v>
      </c>
      <c r="C667">
        <v>1</v>
      </c>
      <c r="D667">
        <v>14</v>
      </c>
    </row>
    <row r="668" spans="1:4" x14ac:dyDescent="0.25">
      <c r="A668" s="45" t="s">
        <v>696</v>
      </c>
      <c r="B668" s="46" t="s">
        <v>13051</v>
      </c>
      <c r="C668">
        <v>1</v>
      </c>
      <c r="D668">
        <v>14</v>
      </c>
    </row>
    <row r="669" spans="1:4" x14ac:dyDescent="0.25">
      <c r="A669" s="45" t="s">
        <v>697</v>
      </c>
      <c r="B669" s="46" t="s">
        <v>13052</v>
      </c>
      <c r="C669">
        <v>1</v>
      </c>
      <c r="D669">
        <v>14</v>
      </c>
    </row>
    <row r="670" spans="1:4" x14ac:dyDescent="0.25">
      <c r="A670" s="45" t="s">
        <v>698</v>
      </c>
      <c r="B670" s="46" t="s">
        <v>13053</v>
      </c>
      <c r="C670">
        <v>1</v>
      </c>
      <c r="D670">
        <v>14</v>
      </c>
    </row>
    <row r="671" spans="1:4" x14ac:dyDescent="0.25">
      <c r="A671" s="45" t="s">
        <v>699</v>
      </c>
      <c r="B671" s="46" t="s">
        <v>13054</v>
      </c>
      <c r="C671">
        <v>1</v>
      </c>
      <c r="D671">
        <v>14</v>
      </c>
    </row>
    <row r="672" spans="1:4" x14ac:dyDescent="0.25">
      <c r="A672" s="45" t="s">
        <v>700</v>
      </c>
      <c r="B672" s="46" t="s">
        <v>13055</v>
      </c>
      <c r="C672">
        <v>1</v>
      </c>
      <c r="D672">
        <v>14</v>
      </c>
    </row>
    <row r="673" spans="1:4" x14ac:dyDescent="0.25">
      <c r="A673" s="45" t="s">
        <v>701</v>
      </c>
      <c r="B673" s="46" t="s">
        <v>13056</v>
      </c>
      <c r="C673">
        <v>1</v>
      </c>
      <c r="D673">
        <v>14</v>
      </c>
    </row>
    <row r="674" spans="1:4" x14ac:dyDescent="0.25">
      <c r="A674" s="45" t="s">
        <v>702</v>
      </c>
      <c r="B674" s="46" t="s">
        <v>13057</v>
      </c>
      <c r="C674">
        <v>1</v>
      </c>
      <c r="D674">
        <v>14</v>
      </c>
    </row>
    <row r="675" spans="1:4" x14ac:dyDescent="0.25">
      <c r="A675" s="45" t="s">
        <v>703</v>
      </c>
      <c r="B675" s="46" t="s">
        <v>13058</v>
      </c>
      <c r="C675">
        <v>1</v>
      </c>
      <c r="D675">
        <v>14</v>
      </c>
    </row>
    <row r="676" spans="1:4" x14ac:dyDescent="0.25">
      <c r="A676" s="45" t="s">
        <v>704</v>
      </c>
      <c r="B676" s="46" t="s">
        <v>13059</v>
      </c>
      <c r="C676">
        <v>1</v>
      </c>
      <c r="D676">
        <v>14</v>
      </c>
    </row>
    <row r="677" spans="1:4" x14ac:dyDescent="0.25">
      <c r="A677" s="45" t="s">
        <v>705</v>
      </c>
      <c r="B677" s="46" t="s">
        <v>13060</v>
      </c>
      <c r="C677">
        <v>1</v>
      </c>
      <c r="D677">
        <v>14</v>
      </c>
    </row>
    <row r="678" spans="1:4" x14ac:dyDescent="0.25">
      <c r="A678" s="45" t="s">
        <v>706</v>
      </c>
      <c r="B678" s="46" t="s">
        <v>19394</v>
      </c>
      <c r="C678">
        <v>1</v>
      </c>
      <c r="D678">
        <v>14</v>
      </c>
    </row>
    <row r="679" spans="1:4" x14ac:dyDescent="0.25">
      <c r="A679" s="45" t="s">
        <v>707</v>
      </c>
      <c r="B679" s="46" t="s">
        <v>13061</v>
      </c>
      <c r="C679">
        <v>1</v>
      </c>
      <c r="D679">
        <v>14</v>
      </c>
    </row>
    <row r="680" spans="1:4" x14ac:dyDescent="0.25">
      <c r="A680" s="45" t="s">
        <v>708</v>
      </c>
      <c r="B680" s="46" t="s">
        <v>13062</v>
      </c>
      <c r="C680">
        <v>1</v>
      </c>
      <c r="D680">
        <v>14</v>
      </c>
    </row>
    <row r="681" spans="1:4" x14ac:dyDescent="0.25">
      <c r="A681" s="45" t="s">
        <v>709</v>
      </c>
      <c r="B681" s="46" t="s">
        <v>13063</v>
      </c>
      <c r="C681">
        <v>1</v>
      </c>
      <c r="D681">
        <v>14</v>
      </c>
    </row>
    <row r="682" spans="1:4" x14ac:dyDescent="0.25">
      <c r="A682" s="45" t="s">
        <v>710</v>
      </c>
      <c r="B682" s="46" t="s">
        <v>13064</v>
      </c>
      <c r="C682">
        <v>1</v>
      </c>
      <c r="D682">
        <v>14</v>
      </c>
    </row>
    <row r="683" spans="1:4" x14ac:dyDescent="0.25">
      <c r="A683" s="45" t="s">
        <v>711</v>
      </c>
      <c r="B683" s="46" t="s">
        <v>13065</v>
      </c>
      <c r="C683">
        <v>1</v>
      </c>
      <c r="D683">
        <v>14</v>
      </c>
    </row>
    <row r="684" spans="1:4" x14ac:dyDescent="0.25">
      <c r="A684" s="45" t="s">
        <v>712</v>
      </c>
      <c r="B684" s="46" t="s">
        <v>13066</v>
      </c>
      <c r="C684">
        <v>1</v>
      </c>
      <c r="D684">
        <v>14</v>
      </c>
    </row>
    <row r="685" spans="1:4" x14ac:dyDescent="0.25">
      <c r="A685" s="45" t="s">
        <v>713</v>
      </c>
      <c r="B685" s="46" t="s">
        <v>13067</v>
      </c>
      <c r="C685">
        <v>1</v>
      </c>
      <c r="D685">
        <v>14</v>
      </c>
    </row>
    <row r="686" spans="1:4" x14ac:dyDescent="0.25">
      <c r="A686" s="45" t="s">
        <v>714</v>
      </c>
      <c r="B686" s="46" t="s">
        <v>13068</v>
      </c>
      <c r="C686">
        <v>1</v>
      </c>
      <c r="D686">
        <v>14</v>
      </c>
    </row>
    <row r="687" spans="1:4" x14ac:dyDescent="0.25">
      <c r="A687" s="45" t="s">
        <v>715</v>
      </c>
      <c r="B687" s="46" t="s">
        <v>13069</v>
      </c>
      <c r="C687">
        <v>1</v>
      </c>
      <c r="D687">
        <v>14</v>
      </c>
    </row>
    <row r="688" spans="1:4" x14ac:dyDescent="0.25">
      <c r="A688" s="45" t="s">
        <v>716</v>
      </c>
      <c r="B688" s="46" t="s">
        <v>13070</v>
      </c>
      <c r="C688">
        <v>1</v>
      </c>
      <c r="D688">
        <v>14</v>
      </c>
    </row>
    <row r="689" spans="1:4" x14ac:dyDescent="0.25">
      <c r="A689" s="45" t="s">
        <v>717</v>
      </c>
      <c r="B689" s="46" t="s">
        <v>13071</v>
      </c>
      <c r="C689">
        <v>1</v>
      </c>
      <c r="D689">
        <v>14</v>
      </c>
    </row>
    <row r="690" spans="1:4" x14ac:dyDescent="0.25">
      <c r="A690" s="45" t="s">
        <v>718</v>
      </c>
      <c r="B690" s="46" t="s">
        <v>13072</v>
      </c>
      <c r="C690">
        <v>1</v>
      </c>
      <c r="D690">
        <v>14</v>
      </c>
    </row>
    <row r="691" spans="1:4" x14ac:dyDescent="0.25">
      <c r="A691" s="45" t="s">
        <v>719</v>
      </c>
      <c r="B691" s="46" t="s">
        <v>13073</v>
      </c>
      <c r="C691">
        <v>1</v>
      </c>
      <c r="D691">
        <v>14</v>
      </c>
    </row>
    <row r="692" spans="1:4" x14ac:dyDescent="0.25">
      <c r="A692" s="45" t="s">
        <v>720</v>
      </c>
      <c r="B692" s="46" t="s">
        <v>13074</v>
      </c>
      <c r="C692">
        <v>1</v>
      </c>
      <c r="D692">
        <v>14</v>
      </c>
    </row>
    <row r="693" spans="1:4" x14ac:dyDescent="0.25">
      <c r="A693" s="45" t="s">
        <v>721</v>
      </c>
      <c r="B693" s="46" t="s">
        <v>13075</v>
      </c>
      <c r="C693">
        <v>1</v>
      </c>
      <c r="D693">
        <v>14</v>
      </c>
    </row>
    <row r="694" spans="1:4" x14ac:dyDescent="0.25">
      <c r="A694" s="45" t="s">
        <v>722</v>
      </c>
      <c r="B694" s="46" t="s">
        <v>13076</v>
      </c>
      <c r="C694">
        <v>1</v>
      </c>
      <c r="D694">
        <v>14</v>
      </c>
    </row>
    <row r="695" spans="1:4" x14ac:dyDescent="0.25">
      <c r="A695" s="45" t="s">
        <v>723</v>
      </c>
      <c r="B695" s="46" t="s">
        <v>13077</v>
      </c>
      <c r="C695">
        <v>1</v>
      </c>
      <c r="D695">
        <v>14</v>
      </c>
    </row>
    <row r="696" spans="1:4" x14ac:dyDescent="0.25">
      <c r="A696" s="45" t="s">
        <v>724</v>
      </c>
      <c r="B696" s="46" t="s">
        <v>13078</v>
      </c>
      <c r="C696">
        <v>1</v>
      </c>
      <c r="D696">
        <v>14</v>
      </c>
    </row>
    <row r="697" spans="1:4" x14ac:dyDescent="0.25">
      <c r="A697" s="45" t="s">
        <v>725</v>
      </c>
      <c r="B697" s="46" t="s">
        <v>13079</v>
      </c>
      <c r="C697">
        <v>1</v>
      </c>
      <c r="D697">
        <v>14</v>
      </c>
    </row>
    <row r="698" spans="1:4" x14ac:dyDescent="0.25">
      <c r="A698" s="45" t="s">
        <v>726</v>
      </c>
      <c r="B698" s="46" t="s">
        <v>13080</v>
      </c>
      <c r="C698">
        <v>1</v>
      </c>
      <c r="D698">
        <v>14</v>
      </c>
    </row>
    <row r="699" spans="1:4" x14ac:dyDescent="0.25">
      <c r="A699" s="45" t="s">
        <v>727</v>
      </c>
      <c r="B699" s="46" t="s">
        <v>13081</v>
      </c>
      <c r="C699">
        <v>1</v>
      </c>
      <c r="D699">
        <v>14</v>
      </c>
    </row>
    <row r="700" spans="1:4" x14ac:dyDescent="0.25">
      <c r="A700" s="45" t="s">
        <v>728</v>
      </c>
      <c r="B700" s="46" t="s">
        <v>13082</v>
      </c>
      <c r="C700">
        <v>1</v>
      </c>
      <c r="D700">
        <v>14</v>
      </c>
    </row>
    <row r="701" spans="1:4" x14ac:dyDescent="0.25">
      <c r="A701" s="45" t="s">
        <v>729</v>
      </c>
      <c r="B701" s="46" t="s">
        <v>13083</v>
      </c>
      <c r="C701">
        <v>1</v>
      </c>
      <c r="D701">
        <v>14</v>
      </c>
    </row>
    <row r="702" spans="1:4" x14ac:dyDescent="0.25">
      <c r="A702" s="45" t="s">
        <v>730</v>
      </c>
      <c r="B702" s="46" t="s">
        <v>13084</v>
      </c>
      <c r="C702">
        <v>1</v>
      </c>
      <c r="D702">
        <v>14</v>
      </c>
    </row>
    <row r="703" spans="1:4" x14ac:dyDescent="0.25">
      <c r="A703" s="45" t="s">
        <v>731</v>
      </c>
      <c r="B703" s="46" t="s">
        <v>13085</v>
      </c>
      <c r="C703">
        <v>1</v>
      </c>
      <c r="D703">
        <v>14</v>
      </c>
    </row>
    <row r="704" spans="1:4" x14ac:dyDescent="0.25">
      <c r="A704" s="45" t="s">
        <v>732</v>
      </c>
      <c r="B704" s="46" t="s">
        <v>13086</v>
      </c>
      <c r="C704">
        <v>1</v>
      </c>
      <c r="D704">
        <v>14</v>
      </c>
    </row>
    <row r="705" spans="1:4" x14ac:dyDescent="0.25">
      <c r="A705" s="45" t="s">
        <v>733</v>
      </c>
      <c r="B705" s="46" t="s">
        <v>13087</v>
      </c>
      <c r="C705">
        <v>1</v>
      </c>
      <c r="D705">
        <v>14</v>
      </c>
    </row>
    <row r="706" spans="1:4" x14ac:dyDescent="0.25">
      <c r="A706" s="45" t="s">
        <v>734</v>
      </c>
      <c r="B706" s="46" t="s">
        <v>13088</v>
      </c>
      <c r="C706">
        <v>1</v>
      </c>
      <c r="D706">
        <v>14</v>
      </c>
    </row>
    <row r="707" spans="1:4" x14ac:dyDescent="0.25">
      <c r="A707" s="45" t="s">
        <v>735</v>
      </c>
      <c r="B707" s="46" t="s">
        <v>13089</v>
      </c>
      <c r="C707">
        <v>1</v>
      </c>
      <c r="D707">
        <v>14</v>
      </c>
    </row>
    <row r="708" spans="1:4" x14ac:dyDescent="0.25">
      <c r="A708" s="45" t="s">
        <v>736</v>
      </c>
      <c r="B708" s="46" t="s">
        <v>13090</v>
      </c>
      <c r="C708">
        <v>1</v>
      </c>
      <c r="D708">
        <v>14</v>
      </c>
    </row>
    <row r="709" spans="1:4" x14ac:dyDescent="0.25">
      <c r="A709" s="45" t="s">
        <v>737</v>
      </c>
      <c r="B709" s="46" t="s">
        <v>13091</v>
      </c>
      <c r="C709">
        <v>1</v>
      </c>
      <c r="D709">
        <v>14</v>
      </c>
    </row>
    <row r="710" spans="1:4" x14ac:dyDescent="0.25">
      <c r="A710" s="45" t="s">
        <v>738</v>
      </c>
      <c r="B710" s="46" t="s">
        <v>13092</v>
      </c>
      <c r="C710">
        <v>1</v>
      </c>
      <c r="D710">
        <v>14</v>
      </c>
    </row>
    <row r="711" spans="1:4" x14ac:dyDescent="0.25">
      <c r="A711" s="45" t="s">
        <v>739</v>
      </c>
      <c r="B711" s="46" t="s">
        <v>13093</v>
      </c>
      <c r="C711">
        <v>1</v>
      </c>
      <c r="D711">
        <v>14</v>
      </c>
    </row>
    <row r="712" spans="1:4" x14ac:dyDescent="0.25">
      <c r="A712" s="45" t="s">
        <v>740</v>
      </c>
      <c r="B712" s="46" t="s">
        <v>13094</v>
      </c>
      <c r="C712">
        <v>1</v>
      </c>
      <c r="D712">
        <v>14</v>
      </c>
    </row>
    <row r="713" spans="1:4" x14ac:dyDescent="0.25">
      <c r="A713" s="45" t="s">
        <v>741</v>
      </c>
      <c r="B713" s="46" t="s">
        <v>13095</v>
      </c>
      <c r="C713">
        <v>1</v>
      </c>
      <c r="D713">
        <v>14</v>
      </c>
    </row>
    <row r="714" spans="1:4" x14ac:dyDescent="0.25">
      <c r="A714" s="45" t="s">
        <v>742</v>
      </c>
      <c r="B714" s="46" t="s">
        <v>13096</v>
      </c>
      <c r="C714">
        <v>1</v>
      </c>
      <c r="D714">
        <v>14</v>
      </c>
    </row>
    <row r="715" spans="1:4" x14ac:dyDescent="0.25">
      <c r="A715" s="45" t="s">
        <v>743</v>
      </c>
      <c r="B715" s="46" t="s">
        <v>13097</v>
      </c>
      <c r="C715">
        <v>1</v>
      </c>
      <c r="D715">
        <v>15</v>
      </c>
    </row>
    <row r="716" spans="1:4" x14ac:dyDescent="0.25">
      <c r="A716" s="45" t="s">
        <v>744</v>
      </c>
      <c r="B716" s="46" t="s">
        <v>13098</v>
      </c>
      <c r="C716">
        <v>1</v>
      </c>
      <c r="D716">
        <v>14</v>
      </c>
    </row>
    <row r="717" spans="1:4" x14ac:dyDescent="0.25">
      <c r="A717" s="45" t="s">
        <v>745</v>
      </c>
      <c r="B717" s="46" t="s">
        <v>13099</v>
      </c>
      <c r="C717">
        <v>1</v>
      </c>
      <c r="D717">
        <v>14</v>
      </c>
    </row>
    <row r="718" spans="1:4" x14ac:dyDescent="0.25">
      <c r="A718" s="45" t="s">
        <v>746</v>
      </c>
      <c r="B718" s="46" t="s">
        <v>13100</v>
      </c>
      <c r="C718">
        <v>1</v>
      </c>
      <c r="D718">
        <v>15</v>
      </c>
    </row>
    <row r="719" spans="1:4" x14ac:dyDescent="0.25">
      <c r="A719" s="45" t="s">
        <v>747</v>
      </c>
      <c r="B719" s="46" t="s">
        <v>13101</v>
      </c>
      <c r="C719">
        <v>1</v>
      </c>
      <c r="D719">
        <v>15</v>
      </c>
    </row>
    <row r="720" spans="1:4" x14ac:dyDescent="0.25">
      <c r="A720" s="45" t="s">
        <v>748</v>
      </c>
      <c r="B720" s="46" t="s">
        <v>13102</v>
      </c>
      <c r="C720">
        <v>1</v>
      </c>
      <c r="D720">
        <v>15</v>
      </c>
    </row>
    <row r="721" spans="1:4" x14ac:dyDescent="0.25">
      <c r="A721" s="45" t="s">
        <v>749</v>
      </c>
      <c r="B721" s="46" t="s">
        <v>13103</v>
      </c>
      <c r="C721">
        <v>1</v>
      </c>
      <c r="D721">
        <v>15</v>
      </c>
    </row>
    <row r="722" spans="1:4" x14ac:dyDescent="0.25">
      <c r="A722" s="45" t="s">
        <v>750</v>
      </c>
      <c r="B722" s="46" t="s">
        <v>13104</v>
      </c>
      <c r="C722">
        <v>1</v>
      </c>
      <c r="D722">
        <v>15</v>
      </c>
    </row>
    <row r="723" spans="1:4" x14ac:dyDescent="0.25">
      <c r="A723" s="45" t="s">
        <v>751</v>
      </c>
      <c r="B723" s="46" t="s">
        <v>13105</v>
      </c>
      <c r="C723">
        <v>1</v>
      </c>
      <c r="D723">
        <v>15</v>
      </c>
    </row>
    <row r="724" spans="1:4" x14ac:dyDescent="0.25">
      <c r="A724" s="45" t="s">
        <v>752</v>
      </c>
      <c r="B724" s="46" t="s">
        <v>13106</v>
      </c>
      <c r="C724">
        <v>1</v>
      </c>
      <c r="D724">
        <v>15</v>
      </c>
    </row>
    <row r="725" spans="1:4" x14ac:dyDescent="0.25">
      <c r="A725" s="45" t="s">
        <v>753</v>
      </c>
      <c r="B725" s="46" t="s">
        <v>13107</v>
      </c>
      <c r="C725">
        <v>1</v>
      </c>
      <c r="D725">
        <v>15</v>
      </c>
    </row>
    <row r="726" spans="1:4" x14ac:dyDescent="0.25">
      <c r="A726" s="45" t="s">
        <v>754</v>
      </c>
      <c r="B726" s="46" t="s">
        <v>13108</v>
      </c>
      <c r="C726">
        <v>1</v>
      </c>
      <c r="D726">
        <v>15</v>
      </c>
    </row>
    <row r="727" spans="1:4" x14ac:dyDescent="0.25">
      <c r="A727" s="45" t="s">
        <v>755</v>
      </c>
      <c r="B727" s="46" t="s">
        <v>13109</v>
      </c>
      <c r="C727">
        <v>1</v>
      </c>
      <c r="D727">
        <v>15</v>
      </c>
    </row>
    <row r="728" spans="1:4" x14ac:dyDescent="0.25">
      <c r="A728" s="45" t="s">
        <v>756</v>
      </c>
      <c r="B728" s="46" t="s">
        <v>13110</v>
      </c>
      <c r="C728">
        <v>1</v>
      </c>
      <c r="D728">
        <v>15</v>
      </c>
    </row>
    <row r="729" spans="1:4" x14ac:dyDescent="0.25">
      <c r="A729" s="45" t="s">
        <v>757</v>
      </c>
      <c r="B729" s="46" t="s">
        <v>13111</v>
      </c>
      <c r="C729">
        <v>1</v>
      </c>
      <c r="D729">
        <v>15</v>
      </c>
    </row>
    <row r="730" spans="1:4" x14ac:dyDescent="0.25">
      <c r="A730" s="45" t="s">
        <v>758</v>
      </c>
      <c r="B730" s="46" t="s">
        <v>13112</v>
      </c>
      <c r="C730">
        <v>1</v>
      </c>
      <c r="D730">
        <v>15</v>
      </c>
    </row>
    <row r="731" spans="1:4" x14ac:dyDescent="0.25">
      <c r="A731" s="45" t="s">
        <v>759</v>
      </c>
      <c r="B731" s="46" t="s">
        <v>13113</v>
      </c>
      <c r="C731">
        <v>1</v>
      </c>
      <c r="D731">
        <v>15</v>
      </c>
    </row>
    <row r="732" spans="1:4" x14ac:dyDescent="0.25">
      <c r="A732" s="45" t="s">
        <v>760</v>
      </c>
      <c r="B732" s="46" t="s">
        <v>19395</v>
      </c>
      <c r="C732">
        <v>1</v>
      </c>
      <c r="D732">
        <v>15</v>
      </c>
    </row>
    <row r="733" spans="1:4" x14ac:dyDescent="0.25">
      <c r="A733" s="45" t="s">
        <v>761</v>
      </c>
      <c r="B733" s="46" t="s">
        <v>13114</v>
      </c>
      <c r="C733">
        <v>1</v>
      </c>
      <c r="D733">
        <v>15</v>
      </c>
    </row>
    <row r="734" spans="1:4" x14ac:dyDescent="0.25">
      <c r="A734" s="45" t="s">
        <v>762</v>
      </c>
      <c r="B734" s="46" t="s">
        <v>13115</v>
      </c>
      <c r="C734">
        <v>1</v>
      </c>
      <c r="D734">
        <v>15</v>
      </c>
    </row>
    <row r="735" spans="1:4" x14ac:dyDescent="0.25">
      <c r="A735" s="45" t="s">
        <v>763</v>
      </c>
      <c r="B735" s="46" t="s">
        <v>19396</v>
      </c>
      <c r="C735">
        <v>1</v>
      </c>
      <c r="D735">
        <v>15</v>
      </c>
    </row>
    <row r="736" spans="1:4" x14ac:dyDescent="0.25">
      <c r="A736" s="45" t="s">
        <v>764</v>
      </c>
      <c r="B736" s="46" t="s">
        <v>13116</v>
      </c>
      <c r="C736">
        <v>1</v>
      </c>
      <c r="D736">
        <v>15</v>
      </c>
    </row>
    <row r="737" spans="1:4" x14ac:dyDescent="0.25">
      <c r="A737" s="45" t="s">
        <v>765</v>
      </c>
      <c r="B737" s="46" t="s">
        <v>13117</v>
      </c>
      <c r="C737">
        <v>1</v>
      </c>
      <c r="D737">
        <v>15</v>
      </c>
    </row>
    <row r="738" spans="1:4" x14ac:dyDescent="0.25">
      <c r="A738" s="45" t="s">
        <v>766</v>
      </c>
      <c r="B738" s="46" t="s">
        <v>13118</v>
      </c>
      <c r="C738">
        <v>1</v>
      </c>
      <c r="D738">
        <v>16</v>
      </c>
    </row>
    <row r="739" spans="1:4" x14ac:dyDescent="0.25">
      <c r="A739" s="45" t="s">
        <v>767</v>
      </c>
      <c r="B739" s="46" t="s">
        <v>13119</v>
      </c>
      <c r="C739">
        <v>1</v>
      </c>
      <c r="D739">
        <v>16</v>
      </c>
    </row>
    <row r="740" spans="1:4" x14ac:dyDescent="0.25">
      <c r="A740" s="45" t="s">
        <v>768</v>
      </c>
      <c r="B740" s="46" t="s">
        <v>13120</v>
      </c>
      <c r="C740">
        <v>1</v>
      </c>
      <c r="D740">
        <v>16</v>
      </c>
    </row>
    <row r="741" spans="1:4" x14ac:dyDescent="0.25">
      <c r="A741" s="45" t="s">
        <v>769</v>
      </c>
      <c r="B741" s="46" t="s">
        <v>13121</v>
      </c>
      <c r="C741">
        <v>1</v>
      </c>
      <c r="D741">
        <v>2</v>
      </c>
    </row>
    <row r="742" spans="1:4" x14ac:dyDescent="0.25">
      <c r="A742" s="45" t="s">
        <v>770</v>
      </c>
      <c r="B742" s="46" t="s">
        <v>19397</v>
      </c>
      <c r="C742">
        <v>1</v>
      </c>
      <c r="D742">
        <v>2</v>
      </c>
    </row>
    <row r="743" spans="1:4" x14ac:dyDescent="0.25">
      <c r="A743" s="45" t="s">
        <v>771</v>
      </c>
      <c r="B743" s="46" t="s">
        <v>13122</v>
      </c>
      <c r="C743">
        <v>1</v>
      </c>
      <c r="D743">
        <v>16</v>
      </c>
    </row>
    <row r="744" spans="1:4" x14ac:dyDescent="0.25">
      <c r="A744" s="45" t="s">
        <v>772</v>
      </c>
      <c r="B744" s="46" t="s">
        <v>13123</v>
      </c>
      <c r="C744">
        <v>1</v>
      </c>
      <c r="D744">
        <v>16</v>
      </c>
    </row>
    <row r="745" spans="1:4" x14ac:dyDescent="0.25">
      <c r="A745" s="45" t="s">
        <v>773</v>
      </c>
      <c r="B745" s="46" t="s">
        <v>13124</v>
      </c>
      <c r="C745">
        <v>1</v>
      </c>
      <c r="D745">
        <v>16</v>
      </c>
    </row>
    <row r="746" spans="1:4" x14ac:dyDescent="0.25">
      <c r="A746" s="45" t="s">
        <v>774</v>
      </c>
      <c r="B746" s="46" t="s">
        <v>13125</v>
      </c>
      <c r="C746">
        <v>1</v>
      </c>
      <c r="D746">
        <v>16</v>
      </c>
    </row>
    <row r="747" spans="1:4" x14ac:dyDescent="0.25">
      <c r="A747" s="45" t="s">
        <v>775</v>
      </c>
      <c r="B747" s="46" t="s">
        <v>13126</v>
      </c>
      <c r="C747">
        <v>1</v>
      </c>
      <c r="D747">
        <v>16</v>
      </c>
    </row>
    <row r="748" spans="1:4" x14ac:dyDescent="0.25">
      <c r="A748" s="45" t="s">
        <v>776</v>
      </c>
      <c r="B748" s="46" t="s">
        <v>19398</v>
      </c>
      <c r="C748">
        <v>1</v>
      </c>
      <c r="D748">
        <v>16</v>
      </c>
    </row>
    <row r="749" spans="1:4" x14ac:dyDescent="0.25">
      <c r="A749" s="45" t="s">
        <v>777</v>
      </c>
      <c r="B749" s="46" t="s">
        <v>13127</v>
      </c>
      <c r="C749">
        <v>1</v>
      </c>
      <c r="D749">
        <v>16</v>
      </c>
    </row>
    <row r="750" spans="1:4" x14ac:dyDescent="0.25">
      <c r="A750" s="45" t="s">
        <v>778</v>
      </c>
      <c r="B750" s="46" t="s">
        <v>19399</v>
      </c>
      <c r="C750">
        <v>1</v>
      </c>
      <c r="D750">
        <v>4</v>
      </c>
    </row>
    <row r="751" spans="1:4" x14ac:dyDescent="0.25">
      <c r="A751" s="45" t="s">
        <v>779</v>
      </c>
      <c r="B751" s="46" t="s">
        <v>19400</v>
      </c>
      <c r="C751">
        <v>1</v>
      </c>
      <c r="D751">
        <v>4</v>
      </c>
    </row>
    <row r="752" spans="1:4" x14ac:dyDescent="0.25">
      <c r="A752" s="45" t="s">
        <v>780</v>
      </c>
      <c r="B752" s="46" t="s">
        <v>19401</v>
      </c>
      <c r="C752">
        <v>1</v>
      </c>
      <c r="D752">
        <v>4</v>
      </c>
    </row>
    <row r="753" spans="1:4" x14ac:dyDescent="0.25">
      <c r="A753" s="45" t="s">
        <v>781</v>
      </c>
      <c r="B753" s="46" t="s">
        <v>19402</v>
      </c>
      <c r="C753">
        <v>1</v>
      </c>
      <c r="D753">
        <v>4</v>
      </c>
    </row>
    <row r="754" spans="1:4" x14ac:dyDescent="0.25">
      <c r="A754" s="45" t="s">
        <v>782</v>
      </c>
      <c r="B754" s="46" t="s">
        <v>19403</v>
      </c>
      <c r="C754">
        <v>1</v>
      </c>
      <c r="D754">
        <v>4</v>
      </c>
    </row>
    <row r="755" spans="1:4" x14ac:dyDescent="0.25">
      <c r="A755" s="45" t="s">
        <v>783</v>
      </c>
      <c r="B755" s="46" t="s">
        <v>19404</v>
      </c>
      <c r="C755">
        <v>1</v>
      </c>
      <c r="D755">
        <v>4</v>
      </c>
    </row>
    <row r="756" spans="1:4" x14ac:dyDescent="0.25">
      <c r="A756" s="45" t="s">
        <v>784</v>
      </c>
      <c r="B756" s="46" t="s">
        <v>19405</v>
      </c>
      <c r="C756">
        <v>1</v>
      </c>
      <c r="D756">
        <v>4</v>
      </c>
    </row>
    <row r="757" spans="1:4" x14ac:dyDescent="0.25">
      <c r="A757" s="45" t="s">
        <v>785</v>
      </c>
      <c r="B757" s="46" t="s">
        <v>19406</v>
      </c>
      <c r="C757">
        <v>1</v>
      </c>
      <c r="D757">
        <v>4</v>
      </c>
    </row>
    <row r="758" spans="1:4" x14ac:dyDescent="0.25">
      <c r="A758" s="45" t="s">
        <v>786</v>
      </c>
      <c r="B758" s="46" t="s">
        <v>19407</v>
      </c>
      <c r="C758">
        <v>1</v>
      </c>
      <c r="D758">
        <v>4</v>
      </c>
    </row>
    <row r="759" spans="1:4" x14ac:dyDescent="0.25">
      <c r="A759" s="45" t="s">
        <v>787</v>
      </c>
      <c r="B759" s="46" t="s">
        <v>19408</v>
      </c>
      <c r="C759">
        <v>1</v>
      </c>
      <c r="D759">
        <v>4</v>
      </c>
    </row>
    <row r="760" spans="1:4" x14ac:dyDescent="0.25">
      <c r="A760" s="45" t="s">
        <v>788</v>
      </c>
      <c r="B760" s="46" t="s">
        <v>19409</v>
      </c>
      <c r="C760">
        <v>1</v>
      </c>
      <c r="D760">
        <v>4</v>
      </c>
    </row>
    <row r="761" spans="1:4" x14ac:dyDescent="0.25">
      <c r="A761" s="45" t="s">
        <v>789</v>
      </c>
      <c r="B761" s="46" t="s">
        <v>19410</v>
      </c>
      <c r="C761">
        <v>1</v>
      </c>
      <c r="D761">
        <v>4</v>
      </c>
    </row>
    <row r="762" spans="1:4" x14ac:dyDescent="0.25">
      <c r="A762" s="45" t="s">
        <v>790</v>
      </c>
      <c r="B762" s="46" t="s">
        <v>19411</v>
      </c>
      <c r="C762">
        <v>1</v>
      </c>
      <c r="D762">
        <v>4</v>
      </c>
    </row>
    <row r="763" spans="1:4" x14ac:dyDescent="0.25">
      <c r="A763" s="45" t="s">
        <v>791</v>
      </c>
      <c r="B763" s="46" t="s">
        <v>19412</v>
      </c>
      <c r="C763">
        <v>1</v>
      </c>
      <c r="D763">
        <v>4</v>
      </c>
    </row>
    <row r="764" spans="1:4" x14ac:dyDescent="0.25">
      <c r="A764" s="45" t="s">
        <v>792</v>
      </c>
      <c r="B764" s="46" t="s">
        <v>19413</v>
      </c>
      <c r="C764">
        <v>1</v>
      </c>
      <c r="D764">
        <v>4</v>
      </c>
    </row>
    <row r="765" spans="1:4" x14ac:dyDescent="0.25">
      <c r="A765" s="45" t="s">
        <v>793</v>
      </c>
      <c r="B765" s="46" t="s">
        <v>19414</v>
      </c>
      <c r="C765">
        <v>1</v>
      </c>
      <c r="D765">
        <v>4</v>
      </c>
    </row>
    <row r="766" spans="1:4" x14ac:dyDescent="0.25">
      <c r="A766" s="45" t="s">
        <v>794</v>
      </c>
      <c r="B766" s="46" t="s">
        <v>19415</v>
      </c>
      <c r="C766">
        <v>1</v>
      </c>
      <c r="D766">
        <v>4</v>
      </c>
    </row>
    <row r="767" spans="1:4" x14ac:dyDescent="0.25">
      <c r="A767" s="45" t="s">
        <v>795</v>
      </c>
      <c r="B767" s="46" t="s">
        <v>19416</v>
      </c>
      <c r="C767">
        <v>1</v>
      </c>
      <c r="D767">
        <v>4</v>
      </c>
    </row>
    <row r="768" spans="1:4" x14ac:dyDescent="0.25">
      <c r="A768" s="45" t="s">
        <v>796</v>
      </c>
      <c r="B768" s="46" t="s">
        <v>13128</v>
      </c>
      <c r="C768">
        <v>1</v>
      </c>
      <c r="D768">
        <v>9</v>
      </c>
    </row>
    <row r="769" spans="1:4" x14ac:dyDescent="0.25">
      <c r="A769" s="45" t="s">
        <v>797</v>
      </c>
      <c r="B769" s="46" t="s">
        <v>13129</v>
      </c>
      <c r="C769">
        <v>1</v>
      </c>
      <c r="D769">
        <v>9</v>
      </c>
    </row>
    <row r="770" spans="1:4" x14ac:dyDescent="0.25">
      <c r="A770" s="45" t="s">
        <v>798</v>
      </c>
      <c r="B770" s="46" t="s">
        <v>13130</v>
      </c>
      <c r="C770">
        <v>1</v>
      </c>
      <c r="D770">
        <v>9</v>
      </c>
    </row>
    <row r="771" spans="1:4" x14ac:dyDescent="0.25">
      <c r="A771" s="45" t="s">
        <v>799</v>
      </c>
      <c r="B771" s="46" t="s">
        <v>13131</v>
      </c>
      <c r="C771">
        <v>1</v>
      </c>
      <c r="D771">
        <v>9</v>
      </c>
    </row>
    <row r="772" spans="1:4" x14ac:dyDescent="0.25">
      <c r="A772" s="45" t="s">
        <v>800</v>
      </c>
      <c r="B772" s="46" t="s">
        <v>19417</v>
      </c>
      <c r="C772">
        <v>1</v>
      </c>
      <c r="D772">
        <v>9</v>
      </c>
    </row>
    <row r="773" spans="1:4" x14ac:dyDescent="0.25">
      <c r="A773" s="45" t="s">
        <v>801</v>
      </c>
      <c r="B773" s="46" t="s">
        <v>13132</v>
      </c>
      <c r="C773">
        <v>1</v>
      </c>
      <c r="D773">
        <v>9</v>
      </c>
    </row>
    <row r="774" spans="1:4" x14ac:dyDescent="0.25">
      <c r="A774" s="45" t="s">
        <v>802</v>
      </c>
      <c r="B774" s="46" t="s">
        <v>13133</v>
      </c>
      <c r="C774">
        <v>1</v>
      </c>
      <c r="D774">
        <v>9</v>
      </c>
    </row>
    <row r="775" spans="1:4" x14ac:dyDescent="0.25">
      <c r="A775" s="45" t="s">
        <v>803</v>
      </c>
      <c r="B775" s="46" t="s">
        <v>19418</v>
      </c>
      <c r="C775">
        <v>1</v>
      </c>
      <c r="D775">
        <v>9</v>
      </c>
    </row>
    <row r="776" spans="1:4" x14ac:dyDescent="0.25">
      <c r="A776" s="45" t="s">
        <v>804</v>
      </c>
      <c r="B776" s="46" t="s">
        <v>19419</v>
      </c>
      <c r="C776">
        <v>1</v>
      </c>
      <c r="D776">
        <v>9</v>
      </c>
    </row>
    <row r="777" spans="1:4" x14ac:dyDescent="0.25">
      <c r="A777" s="45" t="s">
        <v>805</v>
      </c>
      <c r="B777" s="46" t="s">
        <v>13134</v>
      </c>
      <c r="C777">
        <v>1</v>
      </c>
      <c r="D777">
        <v>15</v>
      </c>
    </row>
    <row r="778" spans="1:4" x14ac:dyDescent="0.25">
      <c r="A778" s="45" t="s">
        <v>806</v>
      </c>
      <c r="B778" s="46" t="s">
        <v>13135</v>
      </c>
      <c r="C778">
        <v>2</v>
      </c>
      <c r="D778">
        <v>17</v>
      </c>
    </row>
    <row r="779" spans="1:4" x14ac:dyDescent="0.25">
      <c r="A779" s="45" t="s">
        <v>807</v>
      </c>
      <c r="B779" s="46" t="s">
        <v>13136</v>
      </c>
      <c r="C779">
        <v>2</v>
      </c>
      <c r="D779">
        <v>17</v>
      </c>
    </row>
    <row r="780" spans="1:4" x14ac:dyDescent="0.25">
      <c r="A780" s="45" t="s">
        <v>808</v>
      </c>
      <c r="B780" s="46" t="s">
        <v>19420</v>
      </c>
      <c r="C780">
        <v>2</v>
      </c>
      <c r="D780">
        <v>17</v>
      </c>
    </row>
    <row r="781" spans="1:4" x14ac:dyDescent="0.25">
      <c r="A781" s="45" t="s">
        <v>809</v>
      </c>
      <c r="B781" s="46" t="s">
        <v>13137</v>
      </c>
      <c r="C781">
        <v>2</v>
      </c>
      <c r="D781">
        <v>17</v>
      </c>
    </row>
    <row r="782" spans="1:4" x14ac:dyDescent="0.25">
      <c r="A782" s="45" t="s">
        <v>810</v>
      </c>
      <c r="B782" s="46" t="s">
        <v>13138</v>
      </c>
      <c r="C782">
        <v>2</v>
      </c>
      <c r="D782">
        <v>17</v>
      </c>
    </row>
    <row r="783" spans="1:4" x14ac:dyDescent="0.25">
      <c r="A783" s="45" t="s">
        <v>811</v>
      </c>
      <c r="B783" s="46" t="s">
        <v>13139</v>
      </c>
      <c r="C783">
        <v>2</v>
      </c>
      <c r="D783">
        <v>17</v>
      </c>
    </row>
    <row r="784" spans="1:4" x14ac:dyDescent="0.25">
      <c r="A784" s="45" t="s">
        <v>812</v>
      </c>
      <c r="B784" s="46" t="s">
        <v>13140</v>
      </c>
      <c r="C784">
        <v>2</v>
      </c>
      <c r="D784">
        <v>17</v>
      </c>
    </row>
    <row r="785" spans="1:4" x14ac:dyDescent="0.25">
      <c r="A785" s="45" t="s">
        <v>813</v>
      </c>
      <c r="B785" s="46" t="s">
        <v>13141</v>
      </c>
      <c r="C785">
        <v>2</v>
      </c>
      <c r="D785">
        <v>17</v>
      </c>
    </row>
    <row r="786" spans="1:4" x14ac:dyDescent="0.25">
      <c r="A786" s="45" t="s">
        <v>814</v>
      </c>
      <c r="B786" s="46" t="s">
        <v>13142</v>
      </c>
      <c r="C786">
        <v>2</v>
      </c>
      <c r="D786">
        <v>17</v>
      </c>
    </row>
    <row r="787" spans="1:4" x14ac:dyDescent="0.25">
      <c r="A787" s="45" t="s">
        <v>815</v>
      </c>
      <c r="B787" s="46" t="s">
        <v>13143</v>
      </c>
      <c r="C787">
        <v>2</v>
      </c>
      <c r="D787">
        <v>17</v>
      </c>
    </row>
    <row r="788" spans="1:4" x14ac:dyDescent="0.25">
      <c r="A788" s="45" t="s">
        <v>816</v>
      </c>
      <c r="B788" s="46" t="s">
        <v>13144</v>
      </c>
      <c r="C788">
        <v>2</v>
      </c>
      <c r="D788">
        <v>17</v>
      </c>
    </row>
    <row r="789" spans="1:4" x14ac:dyDescent="0.25">
      <c r="A789" s="45" t="s">
        <v>817</v>
      </c>
      <c r="B789" s="46" t="s">
        <v>13145</v>
      </c>
      <c r="C789">
        <v>2</v>
      </c>
      <c r="D789">
        <v>17</v>
      </c>
    </row>
    <row r="790" spans="1:4" x14ac:dyDescent="0.25">
      <c r="A790" s="45" t="s">
        <v>818</v>
      </c>
      <c r="B790" s="46" t="s">
        <v>13146</v>
      </c>
      <c r="C790">
        <v>2</v>
      </c>
      <c r="D790">
        <v>17</v>
      </c>
    </row>
    <row r="791" spans="1:4" x14ac:dyDescent="0.25">
      <c r="A791" s="45" t="s">
        <v>819</v>
      </c>
      <c r="B791" s="46" t="s">
        <v>19421</v>
      </c>
      <c r="C791">
        <v>2</v>
      </c>
      <c r="D791">
        <v>17</v>
      </c>
    </row>
    <row r="792" spans="1:4" x14ac:dyDescent="0.25">
      <c r="A792" s="45" t="s">
        <v>820</v>
      </c>
      <c r="B792" s="46" t="s">
        <v>13147</v>
      </c>
      <c r="C792">
        <v>2</v>
      </c>
      <c r="D792">
        <v>17</v>
      </c>
    </row>
    <row r="793" spans="1:4" x14ac:dyDescent="0.25">
      <c r="A793" s="45" t="s">
        <v>821</v>
      </c>
      <c r="B793" s="46" t="s">
        <v>13148</v>
      </c>
      <c r="C793">
        <v>2</v>
      </c>
      <c r="D793">
        <v>17</v>
      </c>
    </row>
    <row r="794" spans="1:4" x14ac:dyDescent="0.25">
      <c r="A794" s="45" t="s">
        <v>822</v>
      </c>
      <c r="B794" s="46" t="s">
        <v>13149</v>
      </c>
      <c r="C794">
        <v>2</v>
      </c>
      <c r="D794">
        <v>17</v>
      </c>
    </row>
    <row r="795" spans="1:4" x14ac:dyDescent="0.25">
      <c r="A795" s="45" t="s">
        <v>823</v>
      </c>
      <c r="B795" s="46" t="s">
        <v>13150</v>
      </c>
      <c r="C795">
        <v>2</v>
      </c>
      <c r="D795">
        <v>17</v>
      </c>
    </row>
    <row r="796" spans="1:4" x14ac:dyDescent="0.25">
      <c r="A796" s="45" t="s">
        <v>824</v>
      </c>
      <c r="B796" s="46" t="s">
        <v>13151</v>
      </c>
      <c r="C796">
        <v>2</v>
      </c>
      <c r="D796">
        <v>17</v>
      </c>
    </row>
    <row r="797" spans="1:4" x14ac:dyDescent="0.25">
      <c r="A797" s="45" t="s">
        <v>825</v>
      </c>
      <c r="B797" s="46" t="s">
        <v>13152</v>
      </c>
      <c r="C797">
        <v>2</v>
      </c>
      <c r="D797">
        <v>17</v>
      </c>
    </row>
    <row r="798" spans="1:4" x14ac:dyDescent="0.25">
      <c r="A798" s="45" t="s">
        <v>826</v>
      </c>
      <c r="B798" s="46" t="s">
        <v>13153</v>
      </c>
      <c r="C798">
        <v>2</v>
      </c>
      <c r="D798">
        <v>17</v>
      </c>
    </row>
    <row r="799" spans="1:4" x14ac:dyDescent="0.25">
      <c r="A799" s="45" t="s">
        <v>827</v>
      </c>
      <c r="B799" s="46" t="s">
        <v>13154</v>
      </c>
      <c r="C799">
        <v>2</v>
      </c>
      <c r="D799">
        <v>17</v>
      </c>
    </row>
    <row r="800" spans="1:4" x14ac:dyDescent="0.25">
      <c r="A800" s="45" t="s">
        <v>828</v>
      </c>
      <c r="B800" s="46" t="s">
        <v>13155</v>
      </c>
      <c r="C800">
        <v>2</v>
      </c>
      <c r="D800">
        <v>17</v>
      </c>
    </row>
    <row r="801" spans="1:4" x14ac:dyDescent="0.25">
      <c r="A801" s="45" t="s">
        <v>829</v>
      </c>
      <c r="B801" s="46" t="s">
        <v>13156</v>
      </c>
      <c r="C801">
        <v>2</v>
      </c>
      <c r="D801">
        <v>17</v>
      </c>
    </row>
    <row r="802" spans="1:4" x14ac:dyDescent="0.25">
      <c r="A802" s="45" t="s">
        <v>830</v>
      </c>
      <c r="B802" s="46" t="s">
        <v>13157</v>
      </c>
      <c r="C802">
        <v>2</v>
      </c>
      <c r="D802">
        <v>17</v>
      </c>
    </row>
    <row r="803" spans="1:4" x14ac:dyDescent="0.25">
      <c r="A803" s="45" t="s">
        <v>831</v>
      </c>
      <c r="B803" s="46" t="s">
        <v>13158</v>
      </c>
      <c r="C803">
        <v>2</v>
      </c>
      <c r="D803">
        <v>17</v>
      </c>
    </row>
    <row r="804" spans="1:4" x14ac:dyDescent="0.25">
      <c r="A804" s="45" t="s">
        <v>832</v>
      </c>
      <c r="B804" s="46" t="s">
        <v>13159</v>
      </c>
      <c r="C804">
        <v>2</v>
      </c>
      <c r="D804">
        <v>17</v>
      </c>
    </row>
    <row r="805" spans="1:4" x14ac:dyDescent="0.25">
      <c r="A805" s="45" t="s">
        <v>833</v>
      </c>
      <c r="B805" s="46" t="s">
        <v>13160</v>
      </c>
      <c r="C805">
        <v>2</v>
      </c>
      <c r="D805">
        <v>17</v>
      </c>
    </row>
    <row r="806" spans="1:4" x14ac:dyDescent="0.25">
      <c r="A806" s="45" t="s">
        <v>834</v>
      </c>
      <c r="B806" s="46" t="s">
        <v>13161</v>
      </c>
      <c r="C806">
        <v>2</v>
      </c>
      <c r="D806">
        <v>17</v>
      </c>
    </row>
    <row r="807" spans="1:4" x14ac:dyDescent="0.25">
      <c r="A807" s="45" t="s">
        <v>835</v>
      </c>
      <c r="B807" s="46" t="s">
        <v>13162</v>
      </c>
      <c r="C807">
        <v>2</v>
      </c>
      <c r="D807">
        <v>17</v>
      </c>
    </row>
    <row r="808" spans="1:4" x14ac:dyDescent="0.25">
      <c r="A808" s="45" t="s">
        <v>836</v>
      </c>
      <c r="B808" s="46" t="s">
        <v>13163</v>
      </c>
      <c r="C808">
        <v>2</v>
      </c>
      <c r="D808">
        <v>17</v>
      </c>
    </row>
    <row r="809" spans="1:4" x14ac:dyDescent="0.25">
      <c r="A809" s="45" t="s">
        <v>837</v>
      </c>
      <c r="B809" s="46" t="s">
        <v>13164</v>
      </c>
      <c r="C809">
        <v>2</v>
      </c>
      <c r="D809">
        <v>17</v>
      </c>
    </row>
    <row r="810" spans="1:4" x14ac:dyDescent="0.25">
      <c r="A810" s="45" t="s">
        <v>838</v>
      </c>
      <c r="B810" s="46" t="s">
        <v>19422</v>
      </c>
      <c r="C810">
        <v>2</v>
      </c>
      <c r="D810">
        <v>17</v>
      </c>
    </row>
    <row r="811" spans="1:4" x14ac:dyDescent="0.25">
      <c r="A811" s="45" t="s">
        <v>839</v>
      </c>
      <c r="B811" s="46" t="s">
        <v>13165</v>
      </c>
      <c r="C811">
        <v>2</v>
      </c>
      <c r="D811">
        <v>17</v>
      </c>
    </row>
    <row r="812" spans="1:4" x14ac:dyDescent="0.25">
      <c r="A812" s="45" t="s">
        <v>840</v>
      </c>
      <c r="B812" s="46" t="s">
        <v>13166</v>
      </c>
      <c r="C812">
        <v>2</v>
      </c>
      <c r="D812">
        <v>17</v>
      </c>
    </row>
    <row r="813" spans="1:4" x14ac:dyDescent="0.25">
      <c r="A813" s="45" t="s">
        <v>841</v>
      </c>
      <c r="B813" s="46" t="s">
        <v>13167</v>
      </c>
      <c r="C813">
        <v>2</v>
      </c>
      <c r="D813">
        <v>17</v>
      </c>
    </row>
    <row r="814" spans="1:4" x14ac:dyDescent="0.25">
      <c r="A814" s="45" t="s">
        <v>842</v>
      </c>
      <c r="B814" s="46" t="s">
        <v>13168</v>
      </c>
      <c r="C814">
        <v>2</v>
      </c>
      <c r="D814">
        <v>17</v>
      </c>
    </row>
    <row r="815" spans="1:4" x14ac:dyDescent="0.25">
      <c r="A815" s="45" t="s">
        <v>843</v>
      </c>
      <c r="B815" s="46" t="s">
        <v>13169</v>
      </c>
      <c r="C815">
        <v>2</v>
      </c>
      <c r="D815">
        <v>17</v>
      </c>
    </row>
    <row r="816" spans="1:4" x14ac:dyDescent="0.25">
      <c r="A816" s="45" t="s">
        <v>844</v>
      </c>
      <c r="B816" s="46" t="s">
        <v>13170</v>
      </c>
      <c r="C816">
        <v>2</v>
      </c>
      <c r="D816">
        <v>17</v>
      </c>
    </row>
    <row r="817" spans="1:4" x14ac:dyDescent="0.25">
      <c r="A817" s="45" t="s">
        <v>845</v>
      </c>
      <c r="B817" s="46" t="s">
        <v>13171</v>
      </c>
      <c r="C817">
        <v>2</v>
      </c>
      <c r="D817">
        <v>17</v>
      </c>
    </row>
    <row r="818" spans="1:4" x14ac:dyDescent="0.25">
      <c r="A818" s="45" t="s">
        <v>846</v>
      </c>
      <c r="B818" s="46" t="s">
        <v>13172</v>
      </c>
      <c r="C818">
        <v>2</v>
      </c>
      <c r="D818">
        <v>17</v>
      </c>
    </row>
    <row r="819" spans="1:4" x14ac:dyDescent="0.25">
      <c r="A819" s="45" t="s">
        <v>847</v>
      </c>
      <c r="B819" s="46" t="s">
        <v>13173</v>
      </c>
      <c r="C819">
        <v>2</v>
      </c>
      <c r="D819">
        <v>17</v>
      </c>
    </row>
    <row r="820" spans="1:4" x14ac:dyDescent="0.25">
      <c r="A820" s="45" t="s">
        <v>848</v>
      </c>
      <c r="B820" s="46" t="s">
        <v>13174</v>
      </c>
      <c r="C820">
        <v>2</v>
      </c>
      <c r="D820">
        <v>17</v>
      </c>
    </row>
    <row r="821" spans="1:4" x14ac:dyDescent="0.25">
      <c r="A821" s="45" t="s">
        <v>849</v>
      </c>
      <c r="B821" s="46" t="s">
        <v>13175</v>
      </c>
      <c r="C821">
        <v>2</v>
      </c>
      <c r="D821">
        <v>17</v>
      </c>
    </row>
    <row r="822" spans="1:4" x14ac:dyDescent="0.25">
      <c r="A822" s="45" t="s">
        <v>850</v>
      </c>
      <c r="B822" s="46" t="s">
        <v>13176</v>
      </c>
      <c r="C822">
        <v>2</v>
      </c>
      <c r="D822">
        <v>17</v>
      </c>
    </row>
    <row r="823" spans="1:4" x14ac:dyDescent="0.25">
      <c r="A823" s="45" t="s">
        <v>851</v>
      </c>
      <c r="B823" s="46" t="s">
        <v>13177</v>
      </c>
      <c r="C823">
        <v>2</v>
      </c>
      <c r="D823">
        <v>17</v>
      </c>
    </row>
    <row r="824" spans="1:4" x14ac:dyDescent="0.25">
      <c r="A824" s="45" t="s">
        <v>852</v>
      </c>
      <c r="B824" s="46" t="s">
        <v>13178</v>
      </c>
      <c r="C824">
        <v>2</v>
      </c>
      <c r="D824">
        <v>17</v>
      </c>
    </row>
    <row r="825" spans="1:4" x14ac:dyDescent="0.25">
      <c r="A825" s="45" t="s">
        <v>853</v>
      </c>
      <c r="B825" s="46" t="s">
        <v>13179</v>
      </c>
      <c r="C825">
        <v>2</v>
      </c>
      <c r="D825">
        <v>17</v>
      </c>
    </row>
    <row r="826" spans="1:4" x14ac:dyDescent="0.25">
      <c r="A826" s="45" t="s">
        <v>854</v>
      </c>
      <c r="B826" s="46" t="s">
        <v>13180</v>
      </c>
      <c r="C826">
        <v>2</v>
      </c>
      <c r="D826">
        <v>17</v>
      </c>
    </row>
    <row r="827" spans="1:4" x14ac:dyDescent="0.25">
      <c r="A827" s="45" t="s">
        <v>855</v>
      </c>
      <c r="B827" s="46" t="s">
        <v>13181</v>
      </c>
      <c r="C827">
        <v>2</v>
      </c>
      <c r="D827">
        <v>17</v>
      </c>
    </row>
    <row r="828" spans="1:4" x14ac:dyDescent="0.25">
      <c r="A828" s="45" t="s">
        <v>856</v>
      </c>
      <c r="B828" s="46" t="s">
        <v>13182</v>
      </c>
      <c r="C828">
        <v>2</v>
      </c>
      <c r="D828">
        <v>17</v>
      </c>
    </row>
    <row r="829" spans="1:4" x14ac:dyDescent="0.25">
      <c r="A829" s="45" t="s">
        <v>857</v>
      </c>
      <c r="B829" s="46" t="s">
        <v>13183</v>
      </c>
      <c r="C829">
        <v>2</v>
      </c>
      <c r="D829">
        <v>17</v>
      </c>
    </row>
    <row r="830" spans="1:4" x14ac:dyDescent="0.25">
      <c r="A830" s="45" t="s">
        <v>858</v>
      </c>
      <c r="B830" s="46" t="s">
        <v>13184</v>
      </c>
      <c r="C830">
        <v>2</v>
      </c>
      <c r="D830">
        <v>17</v>
      </c>
    </row>
    <row r="831" spans="1:4" x14ac:dyDescent="0.25">
      <c r="A831" s="45" t="s">
        <v>859</v>
      </c>
      <c r="B831" s="46" t="s">
        <v>13185</v>
      </c>
      <c r="C831">
        <v>2</v>
      </c>
      <c r="D831">
        <v>17</v>
      </c>
    </row>
    <row r="832" spans="1:4" x14ac:dyDescent="0.25">
      <c r="A832" s="45" t="s">
        <v>860</v>
      </c>
      <c r="B832" s="46" t="s">
        <v>13186</v>
      </c>
      <c r="C832">
        <v>2</v>
      </c>
      <c r="D832">
        <v>17</v>
      </c>
    </row>
    <row r="833" spans="1:4" x14ac:dyDescent="0.25">
      <c r="A833" s="45" t="s">
        <v>861</v>
      </c>
      <c r="B833" s="46" t="s">
        <v>13187</v>
      </c>
      <c r="C833">
        <v>2</v>
      </c>
      <c r="D833">
        <v>17</v>
      </c>
    </row>
    <row r="834" spans="1:4" x14ac:dyDescent="0.25">
      <c r="A834" s="45" t="s">
        <v>862</v>
      </c>
      <c r="B834" s="46" t="s">
        <v>13188</v>
      </c>
      <c r="C834">
        <v>2</v>
      </c>
      <c r="D834">
        <v>17</v>
      </c>
    </row>
    <row r="835" spans="1:4" x14ac:dyDescent="0.25">
      <c r="A835" s="45" t="s">
        <v>863</v>
      </c>
      <c r="B835" s="46" t="s">
        <v>13189</v>
      </c>
      <c r="C835">
        <v>2</v>
      </c>
      <c r="D835">
        <v>17</v>
      </c>
    </row>
    <row r="836" spans="1:4" x14ac:dyDescent="0.25">
      <c r="A836" s="45" t="s">
        <v>864</v>
      </c>
      <c r="B836" s="46" t="s">
        <v>13190</v>
      </c>
      <c r="C836">
        <v>2</v>
      </c>
      <c r="D836">
        <v>17</v>
      </c>
    </row>
    <row r="837" spans="1:4" x14ac:dyDescent="0.25">
      <c r="A837" s="45" t="s">
        <v>865</v>
      </c>
      <c r="B837" s="46" t="s">
        <v>13191</v>
      </c>
      <c r="C837">
        <v>2</v>
      </c>
      <c r="D837">
        <v>17</v>
      </c>
    </row>
    <row r="838" spans="1:4" x14ac:dyDescent="0.25">
      <c r="A838" s="45" t="s">
        <v>866</v>
      </c>
      <c r="B838" s="46" t="s">
        <v>13192</v>
      </c>
      <c r="C838">
        <v>2</v>
      </c>
      <c r="D838">
        <v>17</v>
      </c>
    </row>
    <row r="839" spans="1:4" x14ac:dyDescent="0.25">
      <c r="A839" s="45" t="s">
        <v>867</v>
      </c>
      <c r="B839" s="46" t="s">
        <v>13193</v>
      </c>
      <c r="C839">
        <v>2</v>
      </c>
      <c r="D839">
        <v>17</v>
      </c>
    </row>
    <row r="840" spans="1:4" x14ac:dyDescent="0.25">
      <c r="A840" s="45" t="s">
        <v>868</v>
      </c>
      <c r="B840" s="46" t="s">
        <v>13194</v>
      </c>
      <c r="C840">
        <v>2</v>
      </c>
      <c r="D840">
        <v>17</v>
      </c>
    </row>
    <row r="841" spans="1:4" x14ac:dyDescent="0.25">
      <c r="A841" s="45" t="s">
        <v>869</v>
      </c>
      <c r="B841" s="46" t="s">
        <v>13195</v>
      </c>
      <c r="C841">
        <v>2</v>
      </c>
      <c r="D841">
        <v>17</v>
      </c>
    </row>
    <row r="842" spans="1:4" x14ac:dyDescent="0.25">
      <c r="A842" s="45" t="s">
        <v>870</v>
      </c>
      <c r="B842" s="46" t="s">
        <v>19423</v>
      </c>
      <c r="C842">
        <v>2</v>
      </c>
      <c r="D842">
        <v>17</v>
      </c>
    </row>
    <row r="843" spans="1:4" x14ac:dyDescent="0.25">
      <c r="A843" s="45" t="s">
        <v>871</v>
      </c>
      <c r="B843" s="46" t="s">
        <v>13196</v>
      </c>
      <c r="C843">
        <v>2</v>
      </c>
      <c r="D843">
        <v>17</v>
      </c>
    </row>
    <row r="844" spans="1:4" x14ac:dyDescent="0.25">
      <c r="A844" s="45" t="s">
        <v>872</v>
      </c>
      <c r="B844" s="46" t="s">
        <v>13197</v>
      </c>
      <c r="C844">
        <v>2</v>
      </c>
      <c r="D844">
        <v>17</v>
      </c>
    </row>
    <row r="845" spans="1:4" x14ac:dyDescent="0.25">
      <c r="A845" s="45" t="s">
        <v>873</v>
      </c>
      <c r="B845" s="46" t="s">
        <v>13198</v>
      </c>
      <c r="C845">
        <v>2</v>
      </c>
      <c r="D845">
        <v>17</v>
      </c>
    </row>
    <row r="846" spans="1:4" x14ac:dyDescent="0.25">
      <c r="A846" s="45" t="s">
        <v>874</v>
      </c>
      <c r="B846" s="46" t="s">
        <v>13199</v>
      </c>
      <c r="C846">
        <v>2</v>
      </c>
      <c r="D846">
        <v>17</v>
      </c>
    </row>
    <row r="847" spans="1:4" x14ac:dyDescent="0.25">
      <c r="A847" s="45" t="s">
        <v>875</v>
      </c>
      <c r="B847" s="46" t="s">
        <v>13200</v>
      </c>
      <c r="C847">
        <v>2</v>
      </c>
      <c r="D847">
        <v>17</v>
      </c>
    </row>
    <row r="848" spans="1:4" x14ac:dyDescent="0.25">
      <c r="A848" s="45" t="s">
        <v>876</v>
      </c>
      <c r="B848" s="46" t="s">
        <v>13201</v>
      </c>
      <c r="C848">
        <v>2</v>
      </c>
      <c r="D848">
        <v>17</v>
      </c>
    </row>
    <row r="849" spans="1:4" x14ac:dyDescent="0.25">
      <c r="A849" s="45" t="s">
        <v>877</v>
      </c>
      <c r="B849" s="46" t="s">
        <v>13202</v>
      </c>
      <c r="C849">
        <v>2</v>
      </c>
      <c r="D849">
        <v>17</v>
      </c>
    </row>
    <row r="850" spans="1:4" x14ac:dyDescent="0.25">
      <c r="A850" s="45" t="s">
        <v>878</v>
      </c>
      <c r="B850" s="46" t="s">
        <v>13203</v>
      </c>
      <c r="C850">
        <v>2</v>
      </c>
      <c r="D850">
        <v>17</v>
      </c>
    </row>
    <row r="851" spans="1:4" x14ac:dyDescent="0.25">
      <c r="A851" s="45" t="s">
        <v>879</v>
      </c>
      <c r="B851" s="46" t="s">
        <v>13204</v>
      </c>
      <c r="C851">
        <v>2</v>
      </c>
      <c r="D851">
        <v>17</v>
      </c>
    </row>
    <row r="852" spans="1:4" x14ac:dyDescent="0.25">
      <c r="A852" s="45" t="s">
        <v>880</v>
      </c>
      <c r="B852" s="46" t="s">
        <v>13205</v>
      </c>
      <c r="C852">
        <v>2</v>
      </c>
      <c r="D852">
        <v>17</v>
      </c>
    </row>
    <row r="853" spans="1:4" x14ac:dyDescent="0.25">
      <c r="A853" s="45" t="s">
        <v>881</v>
      </c>
      <c r="B853" s="46" t="s">
        <v>13206</v>
      </c>
      <c r="C853">
        <v>2</v>
      </c>
      <c r="D853">
        <v>17</v>
      </c>
    </row>
    <row r="854" spans="1:4" x14ac:dyDescent="0.25">
      <c r="A854" s="45" t="s">
        <v>882</v>
      </c>
      <c r="B854" s="46" t="s">
        <v>13207</v>
      </c>
      <c r="C854">
        <v>2</v>
      </c>
      <c r="D854">
        <v>17</v>
      </c>
    </row>
    <row r="855" spans="1:4" x14ac:dyDescent="0.25">
      <c r="A855" s="45" t="s">
        <v>883</v>
      </c>
      <c r="B855" s="46" t="s">
        <v>13208</v>
      </c>
      <c r="C855">
        <v>2</v>
      </c>
      <c r="D855">
        <v>17</v>
      </c>
    </row>
    <row r="856" spans="1:4" x14ac:dyDescent="0.25">
      <c r="A856" s="45" t="s">
        <v>884</v>
      </c>
      <c r="B856" s="46" t="s">
        <v>19424</v>
      </c>
      <c r="C856">
        <v>2</v>
      </c>
      <c r="D856">
        <v>17</v>
      </c>
    </row>
    <row r="857" spans="1:4" x14ac:dyDescent="0.25">
      <c r="A857" s="45" t="s">
        <v>885</v>
      </c>
      <c r="B857" s="46" t="s">
        <v>19425</v>
      </c>
      <c r="C857">
        <v>2</v>
      </c>
      <c r="D857">
        <v>17</v>
      </c>
    </row>
    <row r="858" spans="1:4" x14ac:dyDescent="0.25">
      <c r="A858" s="45" t="s">
        <v>886</v>
      </c>
      <c r="B858" s="46" t="s">
        <v>13209</v>
      </c>
      <c r="C858">
        <v>2</v>
      </c>
      <c r="D858">
        <v>17</v>
      </c>
    </row>
    <row r="859" spans="1:4" x14ac:dyDescent="0.25">
      <c r="A859" s="45" t="s">
        <v>887</v>
      </c>
      <c r="B859" s="46" t="s">
        <v>13210</v>
      </c>
      <c r="C859">
        <v>2</v>
      </c>
      <c r="D859">
        <v>17</v>
      </c>
    </row>
    <row r="860" spans="1:4" x14ac:dyDescent="0.25">
      <c r="A860" s="45" t="s">
        <v>888</v>
      </c>
      <c r="B860" s="46" t="s">
        <v>13211</v>
      </c>
      <c r="C860">
        <v>2</v>
      </c>
      <c r="D860">
        <v>17</v>
      </c>
    </row>
    <row r="861" spans="1:4" x14ac:dyDescent="0.25">
      <c r="A861" s="45" t="s">
        <v>889</v>
      </c>
      <c r="B861" s="46" t="s">
        <v>13212</v>
      </c>
      <c r="C861">
        <v>2</v>
      </c>
      <c r="D861">
        <v>17</v>
      </c>
    </row>
    <row r="862" spans="1:4" x14ac:dyDescent="0.25">
      <c r="A862" s="45" t="s">
        <v>890</v>
      </c>
      <c r="B862" s="46" t="s">
        <v>13213</v>
      </c>
      <c r="C862">
        <v>2</v>
      </c>
      <c r="D862">
        <v>17</v>
      </c>
    </row>
    <row r="863" spans="1:4" x14ac:dyDescent="0.25">
      <c r="A863" s="45" t="s">
        <v>891</v>
      </c>
      <c r="B863" s="46" t="s">
        <v>13214</v>
      </c>
      <c r="C863">
        <v>2</v>
      </c>
      <c r="D863">
        <v>17</v>
      </c>
    </row>
    <row r="864" spans="1:4" x14ac:dyDescent="0.25">
      <c r="A864" s="45" t="s">
        <v>892</v>
      </c>
      <c r="B864" s="46" t="s">
        <v>19426</v>
      </c>
      <c r="C864">
        <v>2</v>
      </c>
      <c r="D864">
        <v>17</v>
      </c>
    </row>
    <row r="865" spans="1:4" x14ac:dyDescent="0.25">
      <c r="A865" s="45" t="s">
        <v>893</v>
      </c>
      <c r="B865" s="46" t="s">
        <v>13215</v>
      </c>
      <c r="C865">
        <v>2</v>
      </c>
      <c r="D865">
        <v>17</v>
      </c>
    </row>
    <row r="866" spans="1:4" x14ac:dyDescent="0.25">
      <c r="A866" s="45" t="s">
        <v>894</v>
      </c>
      <c r="B866" s="46" t="s">
        <v>13216</v>
      </c>
      <c r="C866">
        <v>2</v>
      </c>
      <c r="D866">
        <v>17</v>
      </c>
    </row>
    <row r="867" spans="1:4" x14ac:dyDescent="0.25">
      <c r="A867" s="45" t="s">
        <v>895</v>
      </c>
      <c r="B867" s="46" t="s">
        <v>13217</v>
      </c>
      <c r="C867">
        <v>2</v>
      </c>
      <c r="D867">
        <v>17</v>
      </c>
    </row>
    <row r="868" spans="1:4" x14ac:dyDescent="0.25">
      <c r="A868" s="45" t="s">
        <v>896</v>
      </c>
      <c r="B868" s="46" t="s">
        <v>13218</v>
      </c>
      <c r="C868">
        <v>2</v>
      </c>
      <c r="D868">
        <v>17</v>
      </c>
    </row>
    <row r="869" spans="1:4" x14ac:dyDescent="0.25">
      <c r="A869" s="45" t="s">
        <v>897</v>
      </c>
      <c r="B869" s="46" t="s">
        <v>13219</v>
      </c>
      <c r="C869">
        <v>2</v>
      </c>
      <c r="D869">
        <v>17</v>
      </c>
    </row>
    <row r="870" spans="1:4" x14ac:dyDescent="0.25">
      <c r="A870" s="45" t="s">
        <v>898</v>
      </c>
      <c r="B870" s="46" t="s">
        <v>13220</v>
      </c>
      <c r="C870">
        <v>2</v>
      </c>
      <c r="D870">
        <v>17</v>
      </c>
    </row>
    <row r="871" spans="1:4" x14ac:dyDescent="0.25">
      <c r="A871" s="45" t="s">
        <v>899</v>
      </c>
      <c r="B871" s="46" t="s">
        <v>13221</v>
      </c>
      <c r="C871">
        <v>2</v>
      </c>
      <c r="D871">
        <v>17</v>
      </c>
    </row>
    <row r="872" spans="1:4" x14ac:dyDescent="0.25">
      <c r="A872" s="45" t="s">
        <v>900</v>
      </c>
      <c r="B872" s="46" t="s">
        <v>13222</v>
      </c>
      <c r="C872">
        <v>2</v>
      </c>
      <c r="D872">
        <v>17</v>
      </c>
    </row>
    <row r="873" spans="1:4" x14ac:dyDescent="0.25">
      <c r="A873" s="45" t="s">
        <v>901</v>
      </c>
      <c r="B873" s="46" t="s">
        <v>13223</v>
      </c>
      <c r="C873">
        <v>2</v>
      </c>
      <c r="D873">
        <v>17</v>
      </c>
    </row>
    <row r="874" spans="1:4" x14ac:dyDescent="0.25">
      <c r="A874" s="45" t="s">
        <v>902</v>
      </c>
      <c r="B874" s="46" t="s">
        <v>13224</v>
      </c>
      <c r="C874">
        <v>2</v>
      </c>
      <c r="D874">
        <v>17</v>
      </c>
    </row>
    <row r="875" spans="1:4" x14ac:dyDescent="0.25">
      <c r="A875" s="45" t="s">
        <v>903</v>
      </c>
      <c r="B875" s="46" t="s">
        <v>13225</v>
      </c>
      <c r="C875">
        <v>2</v>
      </c>
      <c r="D875">
        <v>17</v>
      </c>
    </row>
    <row r="876" spans="1:4" x14ac:dyDescent="0.25">
      <c r="A876" s="45" t="s">
        <v>904</v>
      </c>
      <c r="B876" s="46" t="s">
        <v>13226</v>
      </c>
      <c r="C876">
        <v>2</v>
      </c>
      <c r="D876">
        <v>17</v>
      </c>
    </row>
    <row r="877" spans="1:4" x14ac:dyDescent="0.25">
      <c r="A877" s="45" t="s">
        <v>905</v>
      </c>
      <c r="B877" s="46" t="s">
        <v>13227</v>
      </c>
      <c r="C877">
        <v>2</v>
      </c>
      <c r="D877">
        <v>17</v>
      </c>
    </row>
    <row r="878" spans="1:4" x14ac:dyDescent="0.25">
      <c r="A878" s="45" t="s">
        <v>906</v>
      </c>
      <c r="B878" s="46" t="s">
        <v>13228</v>
      </c>
      <c r="C878">
        <v>2</v>
      </c>
      <c r="D878">
        <v>17</v>
      </c>
    </row>
    <row r="879" spans="1:4" x14ac:dyDescent="0.25">
      <c r="A879" s="45" t="s">
        <v>907</v>
      </c>
      <c r="B879" s="46" t="s">
        <v>13229</v>
      </c>
      <c r="C879">
        <v>2</v>
      </c>
      <c r="D879">
        <v>17</v>
      </c>
    </row>
    <row r="880" spans="1:4" x14ac:dyDescent="0.25">
      <c r="A880" s="45" t="s">
        <v>908</v>
      </c>
      <c r="B880" s="46" t="s">
        <v>13230</v>
      </c>
      <c r="C880">
        <v>2</v>
      </c>
      <c r="D880">
        <v>17</v>
      </c>
    </row>
    <row r="881" spans="1:4" x14ac:dyDescent="0.25">
      <c r="A881" s="45" t="s">
        <v>909</v>
      </c>
      <c r="B881" s="46" t="s">
        <v>13231</v>
      </c>
      <c r="C881">
        <v>2</v>
      </c>
      <c r="D881">
        <v>17</v>
      </c>
    </row>
    <row r="882" spans="1:4" x14ac:dyDescent="0.25">
      <c r="A882" s="45" t="s">
        <v>910</v>
      </c>
      <c r="B882" s="46" t="s">
        <v>13232</v>
      </c>
      <c r="C882">
        <v>2</v>
      </c>
      <c r="D882">
        <v>17</v>
      </c>
    </row>
    <row r="883" spans="1:4" x14ac:dyDescent="0.25">
      <c r="A883" s="45" t="s">
        <v>911</v>
      </c>
      <c r="B883" s="46" t="s">
        <v>13233</v>
      </c>
      <c r="C883">
        <v>2</v>
      </c>
      <c r="D883">
        <v>17</v>
      </c>
    </row>
    <row r="884" spans="1:4" x14ac:dyDescent="0.25">
      <c r="A884" s="45" t="s">
        <v>912</v>
      </c>
      <c r="B884" s="46" t="s">
        <v>13234</v>
      </c>
      <c r="C884">
        <v>2</v>
      </c>
      <c r="D884">
        <v>17</v>
      </c>
    </row>
    <row r="885" spans="1:4" x14ac:dyDescent="0.25">
      <c r="A885" s="45" t="s">
        <v>913</v>
      </c>
      <c r="B885" s="46" t="s">
        <v>13235</v>
      </c>
      <c r="C885">
        <v>2</v>
      </c>
      <c r="D885">
        <v>17</v>
      </c>
    </row>
    <row r="886" spans="1:4" x14ac:dyDescent="0.25">
      <c r="A886" s="45" t="s">
        <v>914</v>
      </c>
      <c r="B886" s="46" t="s">
        <v>13236</v>
      </c>
      <c r="C886">
        <v>2</v>
      </c>
      <c r="D886">
        <v>17</v>
      </c>
    </row>
    <row r="887" spans="1:4" x14ac:dyDescent="0.25">
      <c r="A887" s="45" t="s">
        <v>915</v>
      </c>
      <c r="B887" s="46" t="s">
        <v>13237</v>
      </c>
      <c r="C887">
        <v>2</v>
      </c>
      <c r="D887">
        <v>17</v>
      </c>
    </row>
    <row r="888" spans="1:4" x14ac:dyDescent="0.25">
      <c r="A888" s="45" t="s">
        <v>916</v>
      </c>
      <c r="B888" s="46" t="s">
        <v>13238</v>
      </c>
      <c r="C888">
        <v>2</v>
      </c>
      <c r="D888">
        <v>17</v>
      </c>
    </row>
    <row r="889" spans="1:4" x14ac:dyDescent="0.25">
      <c r="A889" s="45" t="s">
        <v>917</v>
      </c>
      <c r="B889" s="46" t="s">
        <v>13239</v>
      </c>
      <c r="C889">
        <v>2</v>
      </c>
      <c r="D889">
        <v>17</v>
      </c>
    </row>
    <row r="890" spans="1:4" x14ac:dyDescent="0.25">
      <c r="A890" s="45" t="s">
        <v>918</v>
      </c>
      <c r="B890" s="46" t="s">
        <v>19427</v>
      </c>
      <c r="C890">
        <v>2</v>
      </c>
      <c r="D890">
        <v>17</v>
      </c>
    </row>
    <row r="891" spans="1:4" x14ac:dyDescent="0.25">
      <c r="A891" s="45" t="s">
        <v>919</v>
      </c>
      <c r="B891" s="46" t="s">
        <v>13240</v>
      </c>
      <c r="C891">
        <v>2</v>
      </c>
      <c r="D891">
        <v>17</v>
      </c>
    </row>
    <row r="892" spans="1:4" x14ac:dyDescent="0.25">
      <c r="A892" s="45" t="s">
        <v>920</v>
      </c>
      <c r="B892" s="46" t="s">
        <v>13241</v>
      </c>
      <c r="C892">
        <v>2</v>
      </c>
      <c r="D892">
        <v>17</v>
      </c>
    </row>
    <row r="893" spans="1:4" x14ac:dyDescent="0.25">
      <c r="A893" s="45" t="s">
        <v>921</v>
      </c>
      <c r="B893" s="46" t="s">
        <v>13242</v>
      </c>
      <c r="C893">
        <v>2</v>
      </c>
      <c r="D893">
        <v>17</v>
      </c>
    </row>
    <row r="894" spans="1:4" x14ac:dyDescent="0.25">
      <c r="A894" s="45" t="s">
        <v>922</v>
      </c>
      <c r="B894" s="46" t="s">
        <v>13243</v>
      </c>
      <c r="C894">
        <v>2</v>
      </c>
      <c r="D894">
        <v>17</v>
      </c>
    </row>
    <row r="895" spans="1:4" x14ac:dyDescent="0.25">
      <c r="A895" s="45" t="s">
        <v>923</v>
      </c>
      <c r="B895" s="46" t="s">
        <v>13244</v>
      </c>
      <c r="C895">
        <v>2</v>
      </c>
      <c r="D895">
        <v>17</v>
      </c>
    </row>
    <row r="896" spans="1:4" x14ac:dyDescent="0.25">
      <c r="A896" s="45" t="s">
        <v>924</v>
      </c>
      <c r="B896" s="46" t="s">
        <v>13245</v>
      </c>
      <c r="C896">
        <v>2</v>
      </c>
      <c r="D896">
        <v>17</v>
      </c>
    </row>
    <row r="897" spans="1:4" x14ac:dyDescent="0.25">
      <c r="A897" s="45" t="s">
        <v>925</v>
      </c>
      <c r="B897" s="46" t="s">
        <v>13246</v>
      </c>
      <c r="C897">
        <v>2</v>
      </c>
      <c r="D897">
        <v>17</v>
      </c>
    </row>
    <row r="898" spans="1:4" x14ac:dyDescent="0.25">
      <c r="A898" s="45" t="s">
        <v>926</v>
      </c>
      <c r="B898" s="46" t="s">
        <v>13247</v>
      </c>
      <c r="C898">
        <v>2</v>
      </c>
      <c r="D898">
        <v>17</v>
      </c>
    </row>
    <row r="899" spans="1:4" x14ac:dyDescent="0.25">
      <c r="A899" s="45" t="s">
        <v>927</v>
      </c>
      <c r="B899" s="46" t="s">
        <v>13248</v>
      </c>
      <c r="C899">
        <v>2</v>
      </c>
      <c r="D899">
        <v>17</v>
      </c>
    </row>
    <row r="900" spans="1:4" x14ac:dyDescent="0.25">
      <c r="A900" s="45" t="s">
        <v>928</v>
      </c>
      <c r="B900" s="46" t="s">
        <v>13249</v>
      </c>
      <c r="C900">
        <v>2</v>
      </c>
      <c r="D900">
        <v>17</v>
      </c>
    </row>
    <row r="901" spans="1:4" x14ac:dyDescent="0.25">
      <c r="A901" s="45" t="s">
        <v>929</v>
      </c>
      <c r="B901" s="46" t="s">
        <v>13250</v>
      </c>
      <c r="C901">
        <v>2</v>
      </c>
      <c r="D901">
        <v>17</v>
      </c>
    </row>
    <row r="902" spans="1:4" x14ac:dyDescent="0.25">
      <c r="A902" s="45" t="s">
        <v>930</v>
      </c>
      <c r="B902" s="46" t="s">
        <v>13251</v>
      </c>
      <c r="C902">
        <v>2</v>
      </c>
      <c r="D902">
        <v>17</v>
      </c>
    </row>
    <row r="903" spans="1:4" x14ac:dyDescent="0.25">
      <c r="A903" s="45" t="s">
        <v>931</v>
      </c>
      <c r="B903" s="46" t="s">
        <v>13252</v>
      </c>
      <c r="C903">
        <v>2</v>
      </c>
      <c r="D903">
        <v>17</v>
      </c>
    </row>
    <row r="904" spans="1:4" x14ac:dyDescent="0.25">
      <c r="A904" s="45" t="s">
        <v>932</v>
      </c>
      <c r="B904" s="46" t="s">
        <v>13253</v>
      </c>
      <c r="C904">
        <v>2</v>
      </c>
      <c r="D904">
        <v>17</v>
      </c>
    </row>
    <row r="905" spans="1:4" x14ac:dyDescent="0.25">
      <c r="A905" s="45" t="s">
        <v>933</v>
      </c>
      <c r="B905" s="46" t="s">
        <v>13254</v>
      </c>
      <c r="C905">
        <v>2</v>
      </c>
      <c r="D905">
        <v>17</v>
      </c>
    </row>
    <row r="906" spans="1:4" x14ac:dyDescent="0.25">
      <c r="A906" s="45" t="s">
        <v>934</v>
      </c>
      <c r="B906" s="46" t="s">
        <v>13255</v>
      </c>
      <c r="C906">
        <v>2</v>
      </c>
      <c r="D906">
        <v>17</v>
      </c>
    </row>
    <row r="907" spans="1:4" x14ac:dyDescent="0.25">
      <c r="A907" s="45" t="s">
        <v>935</v>
      </c>
      <c r="B907" s="46" t="s">
        <v>13256</v>
      </c>
      <c r="C907">
        <v>2</v>
      </c>
      <c r="D907">
        <v>17</v>
      </c>
    </row>
    <row r="908" spans="1:4" x14ac:dyDescent="0.25">
      <c r="A908" s="45" t="s">
        <v>936</v>
      </c>
      <c r="B908" s="46" t="s">
        <v>13257</v>
      </c>
      <c r="C908">
        <v>2</v>
      </c>
      <c r="D908">
        <v>17</v>
      </c>
    </row>
    <row r="909" spans="1:4" x14ac:dyDescent="0.25">
      <c r="A909" s="45" t="s">
        <v>937</v>
      </c>
      <c r="B909" s="46" t="s">
        <v>13258</v>
      </c>
      <c r="C909">
        <v>2</v>
      </c>
      <c r="D909">
        <v>17</v>
      </c>
    </row>
    <row r="910" spans="1:4" x14ac:dyDescent="0.25">
      <c r="A910" s="45" t="s">
        <v>938</v>
      </c>
      <c r="B910" s="46" t="s">
        <v>13259</v>
      </c>
      <c r="C910">
        <v>2</v>
      </c>
      <c r="D910">
        <v>17</v>
      </c>
    </row>
    <row r="911" spans="1:4" x14ac:dyDescent="0.25">
      <c r="A911" s="45" t="s">
        <v>939</v>
      </c>
      <c r="B911" s="46" t="s">
        <v>13260</v>
      </c>
      <c r="C911">
        <v>2</v>
      </c>
      <c r="D911">
        <v>17</v>
      </c>
    </row>
    <row r="912" spans="1:4" x14ac:dyDescent="0.25">
      <c r="A912" s="45" t="s">
        <v>940</v>
      </c>
      <c r="B912" s="46" t="s">
        <v>13261</v>
      </c>
      <c r="C912">
        <v>2</v>
      </c>
      <c r="D912">
        <v>17</v>
      </c>
    </row>
    <row r="913" spans="1:4" x14ac:dyDescent="0.25">
      <c r="A913" s="45" t="s">
        <v>941</v>
      </c>
      <c r="B913" s="46" t="s">
        <v>19428</v>
      </c>
      <c r="C913">
        <v>2</v>
      </c>
      <c r="D913">
        <v>17</v>
      </c>
    </row>
    <row r="914" spans="1:4" x14ac:dyDescent="0.25">
      <c r="A914" s="45" t="s">
        <v>942</v>
      </c>
      <c r="B914" s="46" t="s">
        <v>13262</v>
      </c>
      <c r="C914">
        <v>2</v>
      </c>
      <c r="D914">
        <v>17</v>
      </c>
    </row>
    <row r="915" spans="1:4" x14ac:dyDescent="0.25">
      <c r="A915" s="45" t="s">
        <v>943</v>
      </c>
      <c r="B915" s="46" t="s">
        <v>13263</v>
      </c>
      <c r="C915">
        <v>2</v>
      </c>
      <c r="D915">
        <v>17</v>
      </c>
    </row>
    <row r="916" spans="1:4" x14ac:dyDescent="0.25">
      <c r="A916" s="45" t="s">
        <v>944</v>
      </c>
      <c r="B916" s="46" t="s">
        <v>13264</v>
      </c>
      <c r="C916">
        <v>2</v>
      </c>
      <c r="D916">
        <v>17</v>
      </c>
    </row>
    <row r="917" spans="1:4" x14ac:dyDescent="0.25">
      <c r="A917" s="45" t="s">
        <v>945</v>
      </c>
      <c r="B917" s="46" t="s">
        <v>13265</v>
      </c>
      <c r="C917">
        <v>2</v>
      </c>
      <c r="D917">
        <v>17</v>
      </c>
    </row>
    <row r="918" spans="1:4" x14ac:dyDescent="0.25">
      <c r="A918" s="45" t="s">
        <v>946</v>
      </c>
      <c r="B918" s="46" t="s">
        <v>13266</v>
      </c>
      <c r="C918">
        <v>2</v>
      </c>
      <c r="D918">
        <v>17</v>
      </c>
    </row>
    <row r="919" spans="1:4" x14ac:dyDescent="0.25">
      <c r="A919" s="45" t="s">
        <v>947</v>
      </c>
      <c r="B919" s="46" t="s">
        <v>13267</v>
      </c>
      <c r="C919">
        <v>2</v>
      </c>
      <c r="D919">
        <v>17</v>
      </c>
    </row>
    <row r="920" spans="1:4" x14ac:dyDescent="0.25">
      <c r="A920" s="45" t="s">
        <v>948</v>
      </c>
      <c r="B920" s="46" t="s">
        <v>13268</v>
      </c>
      <c r="C920">
        <v>2</v>
      </c>
      <c r="D920">
        <v>17</v>
      </c>
    </row>
    <row r="921" spans="1:4" x14ac:dyDescent="0.25">
      <c r="A921" s="45" t="s">
        <v>949</v>
      </c>
      <c r="B921" s="46" t="s">
        <v>13269</v>
      </c>
      <c r="C921">
        <v>2</v>
      </c>
      <c r="D921">
        <v>17</v>
      </c>
    </row>
    <row r="922" spans="1:4" x14ac:dyDescent="0.25">
      <c r="A922" s="45" t="s">
        <v>950</v>
      </c>
      <c r="B922" s="46" t="s">
        <v>13270</v>
      </c>
      <c r="C922">
        <v>2</v>
      </c>
      <c r="D922">
        <v>17</v>
      </c>
    </row>
    <row r="923" spans="1:4" x14ac:dyDescent="0.25">
      <c r="A923" s="45" t="s">
        <v>951</v>
      </c>
      <c r="B923" s="46" t="s">
        <v>13271</v>
      </c>
      <c r="C923">
        <v>2</v>
      </c>
      <c r="D923">
        <v>17</v>
      </c>
    </row>
    <row r="924" spans="1:4" x14ac:dyDescent="0.25">
      <c r="A924" s="45" t="s">
        <v>952</v>
      </c>
      <c r="B924" s="46" t="s">
        <v>13272</v>
      </c>
      <c r="C924">
        <v>2</v>
      </c>
      <c r="D924">
        <v>17</v>
      </c>
    </row>
    <row r="925" spans="1:4" x14ac:dyDescent="0.25">
      <c r="A925" s="45" t="s">
        <v>953</v>
      </c>
      <c r="B925" s="46" t="s">
        <v>13273</v>
      </c>
      <c r="C925">
        <v>2</v>
      </c>
      <c r="D925">
        <v>17</v>
      </c>
    </row>
    <row r="926" spans="1:4" x14ac:dyDescent="0.25">
      <c r="A926" s="45" t="s">
        <v>954</v>
      </c>
      <c r="B926" s="46" t="s">
        <v>13274</v>
      </c>
      <c r="C926">
        <v>2</v>
      </c>
      <c r="D926">
        <v>17</v>
      </c>
    </row>
    <row r="927" spans="1:4" x14ac:dyDescent="0.25">
      <c r="A927" s="45" t="s">
        <v>955</v>
      </c>
      <c r="B927" s="46" t="s">
        <v>13275</v>
      </c>
      <c r="C927">
        <v>2</v>
      </c>
      <c r="D927">
        <v>17</v>
      </c>
    </row>
    <row r="928" spans="1:4" x14ac:dyDescent="0.25">
      <c r="A928" s="45" t="s">
        <v>956</v>
      </c>
      <c r="B928" s="46" t="s">
        <v>13276</v>
      </c>
      <c r="C928">
        <v>2</v>
      </c>
      <c r="D928">
        <v>17</v>
      </c>
    </row>
    <row r="929" spans="1:4" x14ac:dyDescent="0.25">
      <c r="A929" s="45" t="s">
        <v>957</v>
      </c>
      <c r="B929" s="46" t="s">
        <v>13277</v>
      </c>
      <c r="C929">
        <v>2</v>
      </c>
      <c r="D929">
        <v>17</v>
      </c>
    </row>
    <row r="930" spans="1:4" x14ac:dyDescent="0.25">
      <c r="A930" s="45" t="s">
        <v>958</v>
      </c>
      <c r="B930" s="46" t="s">
        <v>13278</v>
      </c>
      <c r="C930">
        <v>2</v>
      </c>
      <c r="D930">
        <v>17</v>
      </c>
    </row>
    <row r="931" spans="1:4" x14ac:dyDescent="0.25">
      <c r="A931" s="45" t="s">
        <v>959</v>
      </c>
      <c r="B931" s="46" t="s">
        <v>13279</v>
      </c>
      <c r="C931">
        <v>2</v>
      </c>
      <c r="D931">
        <v>17</v>
      </c>
    </row>
    <row r="932" spans="1:4" x14ac:dyDescent="0.25">
      <c r="A932" s="45" t="s">
        <v>960</v>
      </c>
      <c r="B932" s="46" t="s">
        <v>13280</v>
      </c>
      <c r="C932">
        <v>2</v>
      </c>
      <c r="D932">
        <v>17</v>
      </c>
    </row>
    <row r="933" spans="1:4" x14ac:dyDescent="0.25">
      <c r="A933" s="45" t="s">
        <v>961</v>
      </c>
      <c r="B933" s="46" t="s">
        <v>13281</v>
      </c>
      <c r="C933">
        <v>2</v>
      </c>
      <c r="D933">
        <v>17</v>
      </c>
    </row>
    <row r="934" spans="1:4" x14ac:dyDescent="0.25">
      <c r="A934" s="45" t="s">
        <v>962</v>
      </c>
      <c r="B934" s="46" t="s">
        <v>19429</v>
      </c>
      <c r="C934">
        <v>2</v>
      </c>
      <c r="D934">
        <v>17</v>
      </c>
    </row>
    <row r="935" spans="1:4" x14ac:dyDescent="0.25">
      <c r="A935" s="45" t="s">
        <v>963</v>
      </c>
      <c r="B935" s="46" t="s">
        <v>19430</v>
      </c>
      <c r="C935">
        <v>2</v>
      </c>
      <c r="D935">
        <v>17</v>
      </c>
    </row>
    <row r="936" spans="1:4" x14ac:dyDescent="0.25">
      <c r="A936" s="45" t="s">
        <v>964</v>
      </c>
      <c r="B936" s="46" t="s">
        <v>13282</v>
      </c>
      <c r="C936">
        <v>2</v>
      </c>
      <c r="D936">
        <v>17</v>
      </c>
    </row>
    <row r="937" spans="1:4" x14ac:dyDescent="0.25">
      <c r="A937" s="45" t="s">
        <v>965</v>
      </c>
      <c r="B937" s="46" t="s">
        <v>13283</v>
      </c>
      <c r="C937">
        <v>2</v>
      </c>
      <c r="D937">
        <v>17</v>
      </c>
    </row>
    <row r="938" spans="1:4" x14ac:dyDescent="0.25">
      <c r="A938" s="45" t="s">
        <v>966</v>
      </c>
      <c r="B938" s="46" t="s">
        <v>13284</v>
      </c>
      <c r="C938">
        <v>2</v>
      </c>
      <c r="D938">
        <v>17</v>
      </c>
    </row>
    <row r="939" spans="1:4" x14ac:dyDescent="0.25">
      <c r="A939" s="45" t="s">
        <v>967</v>
      </c>
      <c r="B939" s="46" t="s">
        <v>13285</v>
      </c>
      <c r="C939">
        <v>2</v>
      </c>
      <c r="D939">
        <v>17</v>
      </c>
    </row>
    <row r="940" spans="1:4" x14ac:dyDescent="0.25">
      <c r="A940" s="45" t="s">
        <v>968</v>
      </c>
      <c r="B940" s="46" t="s">
        <v>13286</v>
      </c>
      <c r="C940">
        <v>2</v>
      </c>
      <c r="D940">
        <v>17</v>
      </c>
    </row>
    <row r="941" spans="1:4" x14ac:dyDescent="0.25">
      <c r="A941" s="45" t="s">
        <v>969</v>
      </c>
      <c r="B941" s="46" t="s">
        <v>19431</v>
      </c>
      <c r="C941">
        <v>2</v>
      </c>
      <c r="D941">
        <v>17</v>
      </c>
    </row>
    <row r="942" spans="1:4" x14ac:dyDescent="0.25">
      <c r="A942" s="45" t="s">
        <v>970</v>
      </c>
      <c r="B942" s="46" t="s">
        <v>19432</v>
      </c>
      <c r="C942">
        <v>2</v>
      </c>
      <c r="D942">
        <v>17</v>
      </c>
    </row>
    <row r="943" spans="1:4" x14ac:dyDescent="0.25">
      <c r="A943" s="45" t="s">
        <v>971</v>
      </c>
      <c r="B943" s="46" t="s">
        <v>13287</v>
      </c>
      <c r="C943">
        <v>2</v>
      </c>
      <c r="D943">
        <v>17</v>
      </c>
    </row>
    <row r="944" spans="1:4" x14ac:dyDescent="0.25">
      <c r="A944" s="45" t="s">
        <v>972</v>
      </c>
      <c r="B944" s="46" t="s">
        <v>13288</v>
      </c>
      <c r="C944">
        <v>2</v>
      </c>
      <c r="D944">
        <v>17</v>
      </c>
    </row>
    <row r="945" spans="1:4" x14ac:dyDescent="0.25">
      <c r="A945" s="45" t="s">
        <v>973</v>
      </c>
      <c r="B945" s="46" t="s">
        <v>13289</v>
      </c>
      <c r="C945">
        <v>2</v>
      </c>
      <c r="D945">
        <v>17</v>
      </c>
    </row>
    <row r="946" spans="1:4" x14ac:dyDescent="0.25">
      <c r="A946" s="45" t="s">
        <v>974</v>
      </c>
      <c r="B946" s="46" t="s">
        <v>13290</v>
      </c>
      <c r="C946">
        <v>2</v>
      </c>
      <c r="D946">
        <v>17</v>
      </c>
    </row>
    <row r="947" spans="1:4" x14ac:dyDescent="0.25">
      <c r="A947" s="45" t="s">
        <v>975</v>
      </c>
      <c r="B947" s="46" t="s">
        <v>13291</v>
      </c>
      <c r="C947">
        <v>2</v>
      </c>
      <c r="D947">
        <v>17</v>
      </c>
    </row>
    <row r="948" spans="1:4" x14ac:dyDescent="0.25">
      <c r="A948" s="45" t="s">
        <v>976</v>
      </c>
      <c r="B948" s="46" t="s">
        <v>13292</v>
      </c>
      <c r="C948">
        <v>2</v>
      </c>
      <c r="D948">
        <v>17</v>
      </c>
    </row>
    <row r="949" spans="1:4" x14ac:dyDescent="0.25">
      <c r="A949" s="45" t="s">
        <v>977</v>
      </c>
      <c r="B949" s="46" t="s">
        <v>19433</v>
      </c>
      <c r="C949">
        <v>2</v>
      </c>
      <c r="D949">
        <v>17</v>
      </c>
    </row>
    <row r="950" spans="1:4" x14ac:dyDescent="0.25">
      <c r="A950" s="45" t="s">
        <v>978</v>
      </c>
      <c r="B950" s="46" t="s">
        <v>13293</v>
      </c>
      <c r="C950">
        <v>2</v>
      </c>
      <c r="D950">
        <v>17</v>
      </c>
    </row>
    <row r="951" spans="1:4" x14ac:dyDescent="0.25">
      <c r="A951" s="45" t="s">
        <v>979</v>
      </c>
      <c r="B951" s="46" t="s">
        <v>13294</v>
      </c>
      <c r="C951">
        <v>2</v>
      </c>
      <c r="D951">
        <v>17</v>
      </c>
    </row>
    <row r="952" spans="1:4" x14ac:dyDescent="0.25">
      <c r="A952" s="45" t="s">
        <v>980</v>
      </c>
      <c r="B952" s="46" t="s">
        <v>13295</v>
      </c>
      <c r="C952">
        <v>2</v>
      </c>
      <c r="D952">
        <v>17</v>
      </c>
    </row>
    <row r="953" spans="1:4" x14ac:dyDescent="0.25">
      <c r="A953" s="45" t="s">
        <v>981</v>
      </c>
      <c r="B953" s="46" t="s">
        <v>13296</v>
      </c>
      <c r="C953">
        <v>2</v>
      </c>
      <c r="D953">
        <v>17</v>
      </c>
    </row>
    <row r="954" spans="1:4" x14ac:dyDescent="0.25">
      <c r="A954" s="45" t="s">
        <v>982</v>
      </c>
      <c r="B954" s="46" t="s">
        <v>13297</v>
      </c>
      <c r="C954">
        <v>2</v>
      </c>
      <c r="D954">
        <v>17</v>
      </c>
    </row>
    <row r="955" spans="1:4" x14ac:dyDescent="0.25">
      <c r="A955" s="45" t="s">
        <v>983</v>
      </c>
      <c r="B955" s="46" t="s">
        <v>13298</v>
      </c>
      <c r="C955">
        <v>2</v>
      </c>
      <c r="D955">
        <v>17</v>
      </c>
    </row>
    <row r="956" spans="1:4" x14ac:dyDescent="0.25">
      <c r="A956" s="45" t="s">
        <v>984</v>
      </c>
      <c r="B956" s="46" t="s">
        <v>13299</v>
      </c>
      <c r="C956">
        <v>2</v>
      </c>
      <c r="D956">
        <v>17</v>
      </c>
    </row>
    <row r="957" spans="1:4" x14ac:dyDescent="0.25">
      <c r="A957" s="45" t="s">
        <v>985</v>
      </c>
      <c r="B957" s="46" t="s">
        <v>13300</v>
      </c>
      <c r="C957">
        <v>2</v>
      </c>
      <c r="D957">
        <v>17</v>
      </c>
    </row>
    <row r="958" spans="1:4" x14ac:dyDescent="0.25">
      <c r="A958" s="45" t="s">
        <v>986</v>
      </c>
      <c r="B958" s="46" t="s">
        <v>13301</v>
      </c>
      <c r="C958">
        <v>2</v>
      </c>
      <c r="D958">
        <v>17</v>
      </c>
    </row>
    <row r="959" spans="1:4" x14ac:dyDescent="0.25">
      <c r="A959" s="45" t="s">
        <v>987</v>
      </c>
      <c r="B959" s="46" t="s">
        <v>13302</v>
      </c>
      <c r="C959">
        <v>2</v>
      </c>
      <c r="D959">
        <v>17</v>
      </c>
    </row>
    <row r="960" spans="1:4" x14ac:dyDescent="0.25">
      <c r="A960" s="45" t="s">
        <v>988</v>
      </c>
      <c r="B960" s="46" t="s">
        <v>13303</v>
      </c>
      <c r="C960">
        <v>2</v>
      </c>
      <c r="D960">
        <v>17</v>
      </c>
    </row>
    <row r="961" spans="1:4" x14ac:dyDescent="0.25">
      <c r="A961" s="45" t="s">
        <v>989</v>
      </c>
      <c r="B961" s="46" t="s">
        <v>13304</v>
      </c>
      <c r="C961">
        <v>2</v>
      </c>
      <c r="D961">
        <v>17</v>
      </c>
    </row>
    <row r="962" spans="1:4" x14ac:dyDescent="0.25">
      <c r="A962" s="45" t="s">
        <v>990</v>
      </c>
      <c r="B962" s="46" t="s">
        <v>13305</v>
      </c>
      <c r="C962">
        <v>2</v>
      </c>
      <c r="D962">
        <v>17</v>
      </c>
    </row>
    <row r="963" spans="1:4" x14ac:dyDescent="0.25">
      <c r="A963" s="45" t="s">
        <v>991</v>
      </c>
      <c r="B963" s="46" t="s">
        <v>19434</v>
      </c>
      <c r="C963">
        <v>2</v>
      </c>
      <c r="D963">
        <v>17</v>
      </c>
    </row>
    <row r="964" spans="1:4" x14ac:dyDescent="0.25">
      <c r="A964" s="45" t="s">
        <v>992</v>
      </c>
      <c r="B964" s="46" t="s">
        <v>13306</v>
      </c>
      <c r="C964">
        <v>2</v>
      </c>
      <c r="D964">
        <v>17</v>
      </c>
    </row>
    <row r="965" spans="1:4" x14ac:dyDescent="0.25">
      <c r="A965" s="45" t="s">
        <v>993</v>
      </c>
      <c r="B965" s="46" t="s">
        <v>13307</v>
      </c>
      <c r="C965">
        <v>2</v>
      </c>
      <c r="D965">
        <v>17</v>
      </c>
    </row>
    <row r="966" spans="1:4" x14ac:dyDescent="0.25">
      <c r="A966" s="45" t="s">
        <v>994</v>
      </c>
      <c r="B966" s="46" t="s">
        <v>13308</v>
      </c>
      <c r="C966">
        <v>2</v>
      </c>
      <c r="D966">
        <v>17</v>
      </c>
    </row>
    <row r="967" spans="1:4" x14ac:dyDescent="0.25">
      <c r="A967" s="45" t="s">
        <v>995</v>
      </c>
      <c r="B967" s="46" t="s">
        <v>13309</v>
      </c>
      <c r="C967">
        <v>2</v>
      </c>
      <c r="D967">
        <v>17</v>
      </c>
    </row>
    <row r="968" spans="1:4" x14ac:dyDescent="0.25">
      <c r="A968" s="45" t="s">
        <v>996</v>
      </c>
      <c r="B968" s="46" t="s">
        <v>13310</v>
      </c>
      <c r="C968">
        <v>2</v>
      </c>
      <c r="D968">
        <v>17</v>
      </c>
    </row>
    <row r="969" spans="1:4" x14ac:dyDescent="0.25">
      <c r="A969" s="45" t="s">
        <v>997</v>
      </c>
      <c r="B969" s="46" t="s">
        <v>13311</v>
      </c>
      <c r="C969">
        <v>2</v>
      </c>
      <c r="D969">
        <v>17</v>
      </c>
    </row>
    <row r="970" spans="1:4" x14ac:dyDescent="0.25">
      <c r="A970" s="45" t="s">
        <v>998</v>
      </c>
      <c r="B970" s="46" t="s">
        <v>13312</v>
      </c>
      <c r="C970">
        <v>2</v>
      </c>
      <c r="D970">
        <v>17</v>
      </c>
    </row>
    <row r="971" spans="1:4" x14ac:dyDescent="0.25">
      <c r="A971" s="45" t="s">
        <v>999</v>
      </c>
      <c r="B971" s="46" t="s">
        <v>13313</v>
      </c>
      <c r="C971">
        <v>2</v>
      </c>
      <c r="D971">
        <v>17</v>
      </c>
    </row>
    <row r="972" spans="1:4" x14ac:dyDescent="0.25">
      <c r="A972" s="45" t="s">
        <v>1000</v>
      </c>
      <c r="B972" s="46" t="s">
        <v>13314</v>
      </c>
      <c r="C972">
        <v>2</v>
      </c>
      <c r="D972">
        <v>17</v>
      </c>
    </row>
    <row r="973" spans="1:4" x14ac:dyDescent="0.25">
      <c r="A973" s="45" t="s">
        <v>1001</v>
      </c>
      <c r="B973" s="46" t="s">
        <v>13315</v>
      </c>
      <c r="C973">
        <v>2</v>
      </c>
      <c r="D973">
        <v>17</v>
      </c>
    </row>
    <row r="974" spans="1:4" x14ac:dyDescent="0.25">
      <c r="A974" s="45" t="s">
        <v>1002</v>
      </c>
      <c r="B974" s="46" t="s">
        <v>13316</v>
      </c>
      <c r="C974">
        <v>2</v>
      </c>
      <c r="D974">
        <v>19</v>
      </c>
    </row>
    <row r="975" spans="1:4" x14ac:dyDescent="0.25">
      <c r="A975" s="45" t="s">
        <v>1003</v>
      </c>
      <c r="B975" s="46" t="s">
        <v>13317</v>
      </c>
      <c r="C975">
        <v>2</v>
      </c>
      <c r="D975">
        <v>17</v>
      </c>
    </row>
    <row r="976" spans="1:4" x14ac:dyDescent="0.25">
      <c r="A976" s="45" t="s">
        <v>1004</v>
      </c>
      <c r="B976" s="46" t="s">
        <v>13318</v>
      </c>
      <c r="C976">
        <v>2</v>
      </c>
      <c r="D976">
        <v>17</v>
      </c>
    </row>
    <row r="977" spans="1:4" x14ac:dyDescent="0.25">
      <c r="A977" s="45" t="s">
        <v>1005</v>
      </c>
      <c r="B977" s="46" t="s">
        <v>13319</v>
      </c>
      <c r="C977">
        <v>2</v>
      </c>
      <c r="D977">
        <v>17</v>
      </c>
    </row>
    <row r="978" spans="1:4" x14ac:dyDescent="0.25">
      <c r="A978" s="45" t="s">
        <v>1006</v>
      </c>
      <c r="B978" s="46" t="s">
        <v>13320</v>
      </c>
      <c r="C978">
        <v>2</v>
      </c>
      <c r="D978">
        <v>20</v>
      </c>
    </row>
    <row r="979" spans="1:4" x14ac:dyDescent="0.25">
      <c r="A979" s="45" t="s">
        <v>1007</v>
      </c>
      <c r="B979" s="46" t="s">
        <v>13321</v>
      </c>
      <c r="C979">
        <v>2</v>
      </c>
      <c r="D979">
        <v>17</v>
      </c>
    </row>
    <row r="980" spans="1:4" x14ac:dyDescent="0.25">
      <c r="A980" s="45" t="s">
        <v>1008</v>
      </c>
      <c r="B980" s="46" t="s">
        <v>13322</v>
      </c>
      <c r="C980">
        <v>2</v>
      </c>
      <c r="D980">
        <v>19</v>
      </c>
    </row>
    <row r="981" spans="1:4" x14ac:dyDescent="0.25">
      <c r="A981" s="45" t="s">
        <v>1009</v>
      </c>
      <c r="B981" s="46" t="s">
        <v>13323</v>
      </c>
      <c r="C981">
        <v>2</v>
      </c>
      <c r="D981">
        <v>17</v>
      </c>
    </row>
    <row r="982" spans="1:4" x14ac:dyDescent="0.25">
      <c r="A982" s="45" t="s">
        <v>1010</v>
      </c>
      <c r="B982" s="46" t="s">
        <v>13324</v>
      </c>
      <c r="C982">
        <v>2</v>
      </c>
      <c r="D982">
        <v>17</v>
      </c>
    </row>
    <row r="983" spans="1:4" x14ac:dyDescent="0.25">
      <c r="A983" s="45" t="s">
        <v>1011</v>
      </c>
      <c r="B983" s="46" t="s">
        <v>19435</v>
      </c>
      <c r="C983">
        <v>2</v>
      </c>
      <c r="D983">
        <v>17</v>
      </c>
    </row>
    <row r="984" spans="1:4" x14ac:dyDescent="0.25">
      <c r="A984" s="45" t="s">
        <v>1012</v>
      </c>
      <c r="B984" s="46" t="s">
        <v>19436</v>
      </c>
      <c r="C984">
        <v>2</v>
      </c>
      <c r="D984">
        <v>17</v>
      </c>
    </row>
    <row r="985" spans="1:4" x14ac:dyDescent="0.25">
      <c r="A985" s="45" t="s">
        <v>1013</v>
      </c>
      <c r="B985" s="46" t="s">
        <v>13325</v>
      </c>
      <c r="C985">
        <v>2</v>
      </c>
      <c r="D985">
        <v>17</v>
      </c>
    </row>
    <row r="986" spans="1:4" x14ac:dyDescent="0.25">
      <c r="A986" s="45" t="s">
        <v>1014</v>
      </c>
      <c r="B986" s="46" t="s">
        <v>13326</v>
      </c>
      <c r="C986">
        <v>2</v>
      </c>
      <c r="D986">
        <v>17</v>
      </c>
    </row>
    <row r="987" spans="1:4" x14ac:dyDescent="0.25">
      <c r="A987" s="45" t="s">
        <v>1015</v>
      </c>
      <c r="B987" s="46" t="s">
        <v>13327</v>
      </c>
      <c r="C987">
        <v>2</v>
      </c>
      <c r="D987">
        <v>17</v>
      </c>
    </row>
    <row r="988" spans="1:4" x14ac:dyDescent="0.25">
      <c r="A988" s="45" t="s">
        <v>1016</v>
      </c>
      <c r="B988" s="46" t="s">
        <v>19437</v>
      </c>
      <c r="C988">
        <v>2</v>
      </c>
      <c r="D988">
        <v>17</v>
      </c>
    </row>
    <row r="989" spans="1:4" x14ac:dyDescent="0.25">
      <c r="A989" s="45" t="s">
        <v>1017</v>
      </c>
      <c r="B989" s="46" t="s">
        <v>19438</v>
      </c>
      <c r="C989">
        <v>2</v>
      </c>
      <c r="D989">
        <v>17</v>
      </c>
    </row>
    <row r="990" spans="1:4" x14ac:dyDescent="0.25">
      <c r="A990" s="45" t="s">
        <v>1018</v>
      </c>
      <c r="B990" s="46" t="s">
        <v>19439</v>
      </c>
      <c r="C990">
        <v>2</v>
      </c>
      <c r="D990">
        <v>17</v>
      </c>
    </row>
    <row r="991" spans="1:4" x14ac:dyDescent="0.25">
      <c r="A991" s="45" t="s">
        <v>1019</v>
      </c>
      <c r="B991" s="46" t="s">
        <v>13328</v>
      </c>
      <c r="C991">
        <v>2</v>
      </c>
      <c r="D991">
        <v>17</v>
      </c>
    </row>
    <row r="992" spans="1:4" x14ac:dyDescent="0.25">
      <c r="A992" s="45" t="s">
        <v>1020</v>
      </c>
      <c r="B992" s="46" t="s">
        <v>13329</v>
      </c>
      <c r="C992">
        <v>2</v>
      </c>
      <c r="D992">
        <v>17</v>
      </c>
    </row>
    <row r="993" spans="1:4" x14ac:dyDescent="0.25">
      <c r="A993" s="45" t="s">
        <v>1021</v>
      </c>
      <c r="B993" s="46" t="s">
        <v>13330</v>
      </c>
      <c r="C993">
        <v>2</v>
      </c>
      <c r="D993">
        <v>17</v>
      </c>
    </row>
    <row r="994" spans="1:4" x14ac:dyDescent="0.25">
      <c r="A994" s="45" t="s">
        <v>1022</v>
      </c>
      <c r="B994" s="46" t="s">
        <v>13331</v>
      </c>
      <c r="C994">
        <v>2</v>
      </c>
      <c r="D994">
        <v>17</v>
      </c>
    </row>
    <row r="995" spans="1:4" x14ac:dyDescent="0.25">
      <c r="A995" s="45" t="s">
        <v>1023</v>
      </c>
      <c r="B995" s="46" t="s">
        <v>19440</v>
      </c>
      <c r="C995">
        <v>2</v>
      </c>
      <c r="D995">
        <v>17</v>
      </c>
    </row>
    <row r="996" spans="1:4" x14ac:dyDescent="0.25">
      <c r="A996" s="45" t="s">
        <v>1024</v>
      </c>
      <c r="B996" s="46" t="s">
        <v>19441</v>
      </c>
      <c r="C996">
        <v>2</v>
      </c>
      <c r="D996">
        <v>17</v>
      </c>
    </row>
    <row r="997" spans="1:4" x14ac:dyDescent="0.25">
      <c r="A997" s="45" t="s">
        <v>1025</v>
      </c>
      <c r="B997" s="46" t="s">
        <v>19442</v>
      </c>
      <c r="C997">
        <v>2</v>
      </c>
      <c r="D997">
        <v>17</v>
      </c>
    </row>
    <row r="998" spans="1:4" x14ac:dyDescent="0.25">
      <c r="A998" s="45" t="s">
        <v>1026</v>
      </c>
      <c r="B998" s="46" t="s">
        <v>13332</v>
      </c>
      <c r="C998">
        <v>2</v>
      </c>
      <c r="D998">
        <v>17</v>
      </c>
    </row>
    <row r="999" spans="1:4" x14ac:dyDescent="0.25">
      <c r="A999" s="45" t="s">
        <v>1027</v>
      </c>
      <c r="B999" s="46" t="s">
        <v>13333</v>
      </c>
      <c r="C999">
        <v>2</v>
      </c>
      <c r="D999">
        <v>17</v>
      </c>
    </row>
    <row r="1000" spans="1:4" x14ac:dyDescent="0.25">
      <c r="A1000" s="45" t="s">
        <v>1028</v>
      </c>
      <c r="B1000" s="46" t="s">
        <v>13334</v>
      </c>
      <c r="C1000">
        <v>2</v>
      </c>
      <c r="D1000">
        <v>17</v>
      </c>
    </row>
    <row r="1001" spans="1:4" x14ac:dyDescent="0.25">
      <c r="A1001" s="45" t="s">
        <v>1029</v>
      </c>
      <c r="B1001" s="46" t="s">
        <v>19443</v>
      </c>
      <c r="C1001">
        <v>2</v>
      </c>
      <c r="D1001">
        <v>17</v>
      </c>
    </row>
    <row r="1002" spans="1:4" x14ac:dyDescent="0.25">
      <c r="A1002" s="45" t="s">
        <v>1030</v>
      </c>
      <c r="B1002" s="46" t="s">
        <v>19444</v>
      </c>
      <c r="C1002">
        <v>2</v>
      </c>
      <c r="D1002">
        <v>17</v>
      </c>
    </row>
    <row r="1003" spans="1:4" x14ac:dyDescent="0.25">
      <c r="A1003" s="45" t="s">
        <v>1031</v>
      </c>
      <c r="B1003" s="46" t="s">
        <v>19445</v>
      </c>
      <c r="C1003">
        <v>2</v>
      </c>
      <c r="D1003">
        <v>17</v>
      </c>
    </row>
    <row r="1004" spans="1:4" x14ac:dyDescent="0.25">
      <c r="A1004" s="45" t="s">
        <v>1032</v>
      </c>
      <c r="B1004" s="46" t="s">
        <v>13335</v>
      </c>
      <c r="C1004">
        <v>2</v>
      </c>
      <c r="D1004">
        <v>17</v>
      </c>
    </row>
    <row r="1005" spans="1:4" x14ac:dyDescent="0.25">
      <c r="A1005" s="45" t="s">
        <v>1033</v>
      </c>
      <c r="B1005" s="46" t="s">
        <v>13336</v>
      </c>
      <c r="C1005">
        <v>2</v>
      </c>
      <c r="D1005">
        <v>17</v>
      </c>
    </row>
    <row r="1006" spans="1:4" x14ac:dyDescent="0.25">
      <c r="A1006" s="45" t="s">
        <v>1034</v>
      </c>
      <c r="B1006" s="46" t="s">
        <v>13337</v>
      </c>
      <c r="C1006">
        <v>2</v>
      </c>
      <c r="D1006">
        <v>17</v>
      </c>
    </row>
    <row r="1007" spans="1:4" x14ac:dyDescent="0.25">
      <c r="A1007" s="45" t="s">
        <v>1035</v>
      </c>
      <c r="B1007" s="46" t="s">
        <v>13338</v>
      </c>
      <c r="C1007">
        <v>2</v>
      </c>
      <c r="D1007">
        <v>17</v>
      </c>
    </row>
    <row r="1008" spans="1:4" x14ac:dyDescent="0.25">
      <c r="A1008" s="45" t="s">
        <v>1036</v>
      </c>
      <c r="B1008" s="46" t="s">
        <v>13339</v>
      </c>
      <c r="C1008">
        <v>2</v>
      </c>
      <c r="D1008">
        <v>17</v>
      </c>
    </row>
    <row r="1009" spans="1:4" x14ac:dyDescent="0.25">
      <c r="A1009" s="45" t="s">
        <v>1037</v>
      </c>
      <c r="B1009" s="46" t="s">
        <v>13340</v>
      </c>
      <c r="C1009">
        <v>2</v>
      </c>
      <c r="D1009">
        <v>17</v>
      </c>
    </row>
    <row r="1010" spans="1:4" x14ac:dyDescent="0.25">
      <c r="A1010" s="45" t="s">
        <v>1038</v>
      </c>
      <c r="B1010" s="46" t="s">
        <v>13341</v>
      </c>
      <c r="C1010">
        <v>2</v>
      </c>
      <c r="D1010">
        <v>17</v>
      </c>
    </row>
    <row r="1011" spans="1:4" x14ac:dyDescent="0.25">
      <c r="A1011" s="45" t="s">
        <v>1039</v>
      </c>
      <c r="B1011" s="46" t="s">
        <v>13342</v>
      </c>
      <c r="C1011">
        <v>2</v>
      </c>
      <c r="D1011">
        <v>17</v>
      </c>
    </row>
    <row r="1012" spans="1:4" x14ac:dyDescent="0.25">
      <c r="A1012" s="45" t="s">
        <v>1040</v>
      </c>
      <c r="B1012" s="46" t="s">
        <v>13343</v>
      </c>
      <c r="C1012">
        <v>2</v>
      </c>
      <c r="D1012">
        <v>17</v>
      </c>
    </row>
    <row r="1013" spans="1:4" x14ac:dyDescent="0.25">
      <c r="A1013" s="45" t="s">
        <v>1041</v>
      </c>
      <c r="B1013" s="46" t="s">
        <v>13344</v>
      </c>
      <c r="C1013">
        <v>2</v>
      </c>
      <c r="D1013">
        <v>17</v>
      </c>
    </row>
    <row r="1014" spans="1:4" x14ac:dyDescent="0.25">
      <c r="A1014" s="45" t="s">
        <v>1042</v>
      </c>
      <c r="B1014" s="46" t="s">
        <v>13345</v>
      </c>
      <c r="C1014">
        <v>2</v>
      </c>
      <c r="D1014">
        <v>17</v>
      </c>
    </row>
    <row r="1015" spans="1:4" x14ac:dyDescent="0.25">
      <c r="A1015" s="45" t="s">
        <v>1043</v>
      </c>
      <c r="B1015" s="46" t="s">
        <v>13346</v>
      </c>
      <c r="C1015">
        <v>2</v>
      </c>
      <c r="D1015">
        <v>17</v>
      </c>
    </row>
    <row r="1016" spans="1:4" x14ac:dyDescent="0.25">
      <c r="A1016" s="45" t="s">
        <v>1044</v>
      </c>
      <c r="B1016" s="46" t="s">
        <v>13347</v>
      </c>
      <c r="C1016">
        <v>2</v>
      </c>
      <c r="D1016">
        <v>17</v>
      </c>
    </row>
    <row r="1017" spans="1:4" x14ac:dyDescent="0.25">
      <c r="A1017" s="45" t="s">
        <v>1045</v>
      </c>
      <c r="B1017" s="46" t="s">
        <v>13348</v>
      </c>
      <c r="C1017">
        <v>2</v>
      </c>
      <c r="D1017">
        <v>17</v>
      </c>
    </row>
    <row r="1018" spans="1:4" x14ac:dyDescent="0.25">
      <c r="A1018" s="45" t="s">
        <v>1046</v>
      </c>
      <c r="B1018" s="46" t="s">
        <v>13349</v>
      </c>
      <c r="C1018">
        <v>2</v>
      </c>
      <c r="D1018">
        <v>17</v>
      </c>
    </row>
    <row r="1019" spans="1:4" x14ac:dyDescent="0.25">
      <c r="A1019" s="45" t="s">
        <v>1047</v>
      </c>
      <c r="B1019" s="46" t="s">
        <v>13350</v>
      </c>
      <c r="C1019">
        <v>2</v>
      </c>
      <c r="D1019">
        <v>17</v>
      </c>
    </row>
    <row r="1020" spans="1:4" x14ac:dyDescent="0.25">
      <c r="A1020" s="45" t="s">
        <v>1048</v>
      </c>
      <c r="B1020" s="46" t="s">
        <v>19446</v>
      </c>
      <c r="C1020">
        <v>2</v>
      </c>
      <c r="D1020">
        <v>17</v>
      </c>
    </row>
    <row r="1021" spans="1:4" x14ac:dyDescent="0.25">
      <c r="A1021" s="45" t="s">
        <v>1049</v>
      </c>
      <c r="B1021" s="46" t="s">
        <v>13351</v>
      </c>
      <c r="C1021">
        <v>2</v>
      </c>
      <c r="D1021">
        <v>17</v>
      </c>
    </row>
    <row r="1022" spans="1:4" x14ac:dyDescent="0.25">
      <c r="A1022" s="45" t="s">
        <v>1050</v>
      </c>
      <c r="B1022" s="46" t="s">
        <v>13352</v>
      </c>
      <c r="C1022">
        <v>2</v>
      </c>
      <c r="D1022">
        <v>17</v>
      </c>
    </row>
    <row r="1023" spans="1:4" x14ac:dyDescent="0.25">
      <c r="A1023" s="45" t="s">
        <v>1051</v>
      </c>
      <c r="B1023" s="46" t="s">
        <v>13353</v>
      </c>
      <c r="C1023">
        <v>2</v>
      </c>
      <c r="D1023">
        <v>17</v>
      </c>
    </row>
    <row r="1024" spans="1:4" x14ac:dyDescent="0.25">
      <c r="A1024" s="45" t="s">
        <v>1052</v>
      </c>
      <c r="B1024" s="46" t="s">
        <v>13354</v>
      </c>
      <c r="C1024">
        <v>2</v>
      </c>
      <c r="D1024">
        <v>17</v>
      </c>
    </row>
    <row r="1025" spans="1:4" x14ac:dyDescent="0.25">
      <c r="A1025" s="45" t="s">
        <v>1053</v>
      </c>
      <c r="B1025" s="46" t="s">
        <v>13355</v>
      </c>
      <c r="C1025">
        <v>2</v>
      </c>
      <c r="D1025">
        <v>17</v>
      </c>
    </row>
    <row r="1026" spans="1:4" x14ac:dyDescent="0.25">
      <c r="A1026" s="45" t="s">
        <v>1054</v>
      </c>
      <c r="B1026" s="46" t="s">
        <v>13356</v>
      </c>
      <c r="C1026">
        <v>2</v>
      </c>
      <c r="D1026">
        <v>17</v>
      </c>
    </row>
    <row r="1027" spans="1:4" x14ac:dyDescent="0.25">
      <c r="A1027" s="45" t="s">
        <v>1055</v>
      </c>
      <c r="B1027" s="46" t="s">
        <v>13357</v>
      </c>
      <c r="C1027">
        <v>2</v>
      </c>
      <c r="D1027">
        <v>17</v>
      </c>
    </row>
    <row r="1028" spans="1:4" x14ac:dyDescent="0.25">
      <c r="A1028" s="45" t="s">
        <v>1056</v>
      </c>
      <c r="B1028" s="46" t="s">
        <v>13358</v>
      </c>
      <c r="C1028">
        <v>2</v>
      </c>
      <c r="D1028">
        <v>17</v>
      </c>
    </row>
    <row r="1029" spans="1:4" x14ac:dyDescent="0.25">
      <c r="A1029" s="45" t="s">
        <v>1057</v>
      </c>
      <c r="B1029" s="46" t="s">
        <v>13359</v>
      </c>
      <c r="C1029">
        <v>2</v>
      </c>
      <c r="D1029">
        <v>17</v>
      </c>
    </row>
    <row r="1030" spans="1:4" x14ac:dyDescent="0.25">
      <c r="A1030" s="45" t="s">
        <v>1058</v>
      </c>
      <c r="B1030" s="46" t="s">
        <v>13360</v>
      </c>
      <c r="C1030">
        <v>2</v>
      </c>
      <c r="D1030">
        <v>17</v>
      </c>
    </row>
    <row r="1031" spans="1:4" x14ac:dyDescent="0.25">
      <c r="A1031" s="45" t="s">
        <v>1059</v>
      </c>
      <c r="B1031" s="46" t="s">
        <v>13361</v>
      </c>
      <c r="C1031">
        <v>2</v>
      </c>
      <c r="D1031">
        <v>17</v>
      </c>
    </row>
    <row r="1032" spans="1:4" x14ac:dyDescent="0.25">
      <c r="A1032" s="45" t="s">
        <v>1060</v>
      </c>
      <c r="B1032" s="46" t="s">
        <v>13362</v>
      </c>
      <c r="C1032">
        <v>2</v>
      </c>
      <c r="D1032">
        <v>17</v>
      </c>
    </row>
    <row r="1033" spans="1:4" x14ac:dyDescent="0.25">
      <c r="A1033" s="45" t="s">
        <v>1061</v>
      </c>
      <c r="B1033" s="46" t="s">
        <v>13363</v>
      </c>
      <c r="C1033">
        <v>2</v>
      </c>
      <c r="D1033">
        <v>17</v>
      </c>
    </row>
    <row r="1034" spans="1:4" x14ac:dyDescent="0.25">
      <c r="A1034" s="45" t="s">
        <v>1062</v>
      </c>
      <c r="B1034" s="46" t="s">
        <v>13364</v>
      </c>
      <c r="C1034">
        <v>2</v>
      </c>
      <c r="D1034">
        <v>17</v>
      </c>
    </row>
    <row r="1035" spans="1:4" x14ac:dyDescent="0.25">
      <c r="A1035" s="45" t="s">
        <v>1063</v>
      </c>
      <c r="B1035" s="46" t="s">
        <v>19447</v>
      </c>
      <c r="C1035">
        <v>2</v>
      </c>
      <c r="D1035">
        <v>17</v>
      </c>
    </row>
    <row r="1036" spans="1:4" x14ac:dyDescent="0.25">
      <c r="A1036" s="45" t="s">
        <v>1064</v>
      </c>
      <c r="B1036" s="46" t="s">
        <v>19448</v>
      </c>
      <c r="C1036">
        <v>2</v>
      </c>
      <c r="D1036">
        <v>17</v>
      </c>
    </row>
    <row r="1037" spans="1:4" x14ac:dyDescent="0.25">
      <c r="A1037" s="45" t="s">
        <v>1065</v>
      </c>
      <c r="B1037" s="46" t="s">
        <v>13365</v>
      </c>
      <c r="C1037">
        <v>2</v>
      </c>
      <c r="D1037">
        <v>17</v>
      </c>
    </row>
    <row r="1038" spans="1:4" x14ac:dyDescent="0.25">
      <c r="A1038" s="45" t="s">
        <v>1066</v>
      </c>
      <c r="B1038" s="46" t="s">
        <v>13366</v>
      </c>
      <c r="C1038">
        <v>2</v>
      </c>
      <c r="D1038">
        <v>17</v>
      </c>
    </row>
    <row r="1039" spans="1:4" x14ac:dyDescent="0.25">
      <c r="A1039" s="45" t="s">
        <v>1067</v>
      </c>
      <c r="B1039" s="46" t="s">
        <v>13367</v>
      </c>
      <c r="C1039">
        <v>2</v>
      </c>
      <c r="D1039">
        <v>17</v>
      </c>
    </row>
    <row r="1040" spans="1:4" x14ac:dyDescent="0.25">
      <c r="A1040" s="45" t="s">
        <v>1068</v>
      </c>
      <c r="B1040" s="46" t="s">
        <v>13368</v>
      </c>
      <c r="C1040">
        <v>2</v>
      </c>
      <c r="D1040">
        <v>17</v>
      </c>
    </row>
    <row r="1041" spans="1:4" x14ac:dyDescent="0.25">
      <c r="A1041" s="45" t="s">
        <v>1069</v>
      </c>
      <c r="B1041" s="46" t="s">
        <v>13369</v>
      </c>
      <c r="C1041">
        <v>2</v>
      </c>
      <c r="D1041">
        <v>17</v>
      </c>
    </row>
    <row r="1042" spans="1:4" x14ac:dyDescent="0.25">
      <c r="A1042" s="45" t="s">
        <v>1070</v>
      </c>
      <c r="B1042" s="46" t="s">
        <v>13370</v>
      </c>
      <c r="C1042">
        <v>2</v>
      </c>
      <c r="D1042">
        <v>17</v>
      </c>
    </row>
    <row r="1043" spans="1:4" x14ac:dyDescent="0.25">
      <c r="A1043" s="45" t="s">
        <v>1071</v>
      </c>
      <c r="B1043" s="46" t="s">
        <v>13371</v>
      </c>
      <c r="C1043">
        <v>2</v>
      </c>
      <c r="D1043">
        <v>17</v>
      </c>
    </row>
    <row r="1044" spans="1:4" x14ac:dyDescent="0.25">
      <c r="A1044" s="45" t="s">
        <v>1072</v>
      </c>
      <c r="B1044" s="46" t="s">
        <v>13372</v>
      </c>
      <c r="C1044">
        <v>2</v>
      </c>
      <c r="D1044">
        <v>17</v>
      </c>
    </row>
    <row r="1045" spans="1:4" x14ac:dyDescent="0.25">
      <c r="A1045" s="45" t="s">
        <v>1073</v>
      </c>
      <c r="B1045" s="46" t="s">
        <v>13373</v>
      </c>
      <c r="C1045">
        <v>2</v>
      </c>
      <c r="D1045">
        <v>17</v>
      </c>
    </row>
    <row r="1046" spans="1:4" x14ac:dyDescent="0.25">
      <c r="A1046" s="45" t="s">
        <v>1074</v>
      </c>
      <c r="B1046" s="46" t="s">
        <v>13374</v>
      </c>
      <c r="C1046">
        <v>2</v>
      </c>
      <c r="D1046">
        <v>17</v>
      </c>
    </row>
    <row r="1047" spans="1:4" x14ac:dyDescent="0.25">
      <c r="A1047" s="45" t="s">
        <v>1075</v>
      </c>
      <c r="B1047" s="46" t="s">
        <v>13375</v>
      </c>
      <c r="C1047">
        <v>2</v>
      </c>
      <c r="D1047">
        <v>17</v>
      </c>
    </row>
    <row r="1048" spans="1:4" x14ac:dyDescent="0.25">
      <c r="A1048" s="45" t="s">
        <v>1076</v>
      </c>
      <c r="B1048" s="46" t="s">
        <v>13376</v>
      </c>
      <c r="C1048">
        <v>2</v>
      </c>
      <c r="D1048">
        <v>17</v>
      </c>
    </row>
    <row r="1049" spans="1:4" x14ac:dyDescent="0.25">
      <c r="A1049" s="45" t="s">
        <v>1077</v>
      </c>
      <c r="B1049" s="46" t="s">
        <v>13377</v>
      </c>
      <c r="C1049">
        <v>2</v>
      </c>
      <c r="D1049">
        <v>17</v>
      </c>
    </row>
    <row r="1050" spans="1:4" x14ac:dyDescent="0.25">
      <c r="A1050" s="45" t="s">
        <v>1078</v>
      </c>
      <c r="B1050" s="46" t="s">
        <v>13378</v>
      </c>
      <c r="C1050">
        <v>2</v>
      </c>
      <c r="D1050">
        <v>17</v>
      </c>
    </row>
    <row r="1051" spans="1:4" x14ac:dyDescent="0.25">
      <c r="A1051" s="45" t="s">
        <v>1079</v>
      </c>
      <c r="B1051" s="46" t="s">
        <v>13379</v>
      </c>
      <c r="C1051">
        <v>2</v>
      </c>
      <c r="D1051">
        <v>17</v>
      </c>
    </row>
    <row r="1052" spans="1:4" x14ac:dyDescent="0.25">
      <c r="A1052" s="45" t="s">
        <v>1080</v>
      </c>
      <c r="B1052" s="46" t="s">
        <v>19449</v>
      </c>
      <c r="C1052">
        <v>2</v>
      </c>
      <c r="D1052">
        <v>17</v>
      </c>
    </row>
    <row r="1053" spans="1:4" x14ac:dyDescent="0.25">
      <c r="A1053" s="45" t="s">
        <v>1081</v>
      </c>
      <c r="B1053" s="46" t="s">
        <v>13380</v>
      </c>
      <c r="C1053">
        <v>2</v>
      </c>
      <c r="D1053">
        <v>17</v>
      </c>
    </row>
    <row r="1054" spans="1:4" x14ac:dyDescent="0.25">
      <c r="A1054" s="45" t="s">
        <v>1082</v>
      </c>
      <c r="B1054" s="46" t="s">
        <v>13381</v>
      </c>
      <c r="C1054">
        <v>2</v>
      </c>
      <c r="D1054">
        <v>17</v>
      </c>
    </row>
    <row r="1055" spans="1:4" x14ac:dyDescent="0.25">
      <c r="A1055" s="45" t="s">
        <v>1083</v>
      </c>
      <c r="B1055" s="46" t="s">
        <v>13382</v>
      </c>
      <c r="C1055">
        <v>2</v>
      </c>
      <c r="D1055">
        <v>17</v>
      </c>
    </row>
    <row r="1056" spans="1:4" x14ac:dyDescent="0.25">
      <c r="A1056" s="45" t="s">
        <v>1084</v>
      </c>
      <c r="B1056" s="46" t="s">
        <v>13383</v>
      </c>
      <c r="C1056">
        <v>2</v>
      </c>
      <c r="D1056">
        <v>17</v>
      </c>
    </row>
    <row r="1057" spans="1:4" x14ac:dyDescent="0.25">
      <c r="A1057" s="45" t="s">
        <v>1085</v>
      </c>
      <c r="B1057" s="46" t="s">
        <v>13384</v>
      </c>
      <c r="C1057">
        <v>2</v>
      </c>
      <c r="D1057">
        <v>17</v>
      </c>
    </row>
    <row r="1058" spans="1:4" x14ac:dyDescent="0.25">
      <c r="A1058" s="45" t="s">
        <v>1086</v>
      </c>
      <c r="B1058" s="46" t="s">
        <v>13385</v>
      </c>
      <c r="C1058">
        <v>2</v>
      </c>
      <c r="D1058">
        <v>17</v>
      </c>
    </row>
    <row r="1059" spans="1:4" x14ac:dyDescent="0.25">
      <c r="A1059" s="45" t="s">
        <v>1087</v>
      </c>
      <c r="B1059" s="46" t="s">
        <v>13386</v>
      </c>
      <c r="C1059">
        <v>2</v>
      </c>
      <c r="D1059">
        <v>17</v>
      </c>
    </row>
    <row r="1060" spans="1:4" x14ac:dyDescent="0.25">
      <c r="A1060" s="45" t="s">
        <v>1088</v>
      </c>
      <c r="B1060" s="46" t="s">
        <v>13387</v>
      </c>
      <c r="C1060">
        <v>2</v>
      </c>
      <c r="D1060">
        <v>17</v>
      </c>
    </row>
    <row r="1061" spans="1:4" x14ac:dyDescent="0.25">
      <c r="A1061" s="45" t="s">
        <v>1089</v>
      </c>
      <c r="B1061" s="46" t="s">
        <v>13388</v>
      </c>
      <c r="C1061">
        <v>2</v>
      </c>
      <c r="D1061">
        <v>17</v>
      </c>
    </row>
    <row r="1062" spans="1:4" x14ac:dyDescent="0.25">
      <c r="A1062" s="45" t="s">
        <v>1090</v>
      </c>
      <c r="B1062" s="46" t="s">
        <v>13389</v>
      </c>
      <c r="C1062">
        <v>2</v>
      </c>
      <c r="D1062">
        <v>17</v>
      </c>
    </row>
    <row r="1063" spans="1:4" x14ac:dyDescent="0.25">
      <c r="A1063" s="45" t="s">
        <v>1091</v>
      </c>
      <c r="B1063" s="46" t="s">
        <v>13390</v>
      </c>
      <c r="C1063">
        <v>2</v>
      </c>
      <c r="D1063">
        <v>17</v>
      </c>
    </row>
    <row r="1064" spans="1:4" x14ac:dyDescent="0.25">
      <c r="A1064" s="45" t="s">
        <v>1092</v>
      </c>
      <c r="B1064" s="46" t="s">
        <v>13391</v>
      </c>
      <c r="C1064">
        <v>2</v>
      </c>
      <c r="D1064">
        <v>17</v>
      </c>
    </row>
    <row r="1065" spans="1:4" x14ac:dyDescent="0.25">
      <c r="A1065" s="45" t="s">
        <v>1093</v>
      </c>
      <c r="B1065" s="46" t="s">
        <v>13392</v>
      </c>
      <c r="C1065">
        <v>2</v>
      </c>
      <c r="D1065">
        <v>17</v>
      </c>
    </row>
    <row r="1066" spans="1:4" x14ac:dyDescent="0.25">
      <c r="A1066" s="45" t="s">
        <v>1094</v>
      </c>
      <c r="B1066" s="46" t="s">
        <v>13393</v>
      </c>
      <c r="C1066">
        <v>2</v>
      </c>
      <c r="D1066">
        <v>17</v>
      </c>
    </row>
    <row r="1067" spans="1:4" x14ac:dyDescent="0.25">
      <c r="A1067" s="45" t="s">
        <v>1095</v>
      </c>
      <c r="B1067" s="46" t="s">
        <v>13394</v>
      </c>
      <c r="C1067">
        <v>2</v>
      </c>
      <c r="D1067">
        <v>17</v>
      </c>
    </row>
    <row r="1068" spans="1:4" x14ac:dyDescent="0.25">
      <c r="A1068" s="45" t="s">
        <v>1096</v>
      </c>
      <c r="B1068" s="46" t="s">
        <v>13395</v>
      </c>
      <c r="C1068">
        <v>2</v>
      </c>
      <c r="D1068">
        <v>17</v>
      </c>
    </row>
    <row r="1069" spans="1:4" x14ac:dyDescent="0.25">
      <c r="A1069" s="45" t="s">
        <v>1097</v>
      </c>
      <c r="B1069" s="46" t="s">
        <v>13396</v>
      </c>
      <c r="C1069">
        <v>2</v>
      </c>
      <c r="D1069">
        <v>17</v>
      </c>
    </row>
    <row r="1070" spans="1:4" x14ac:dyDescent="0.25">
      <c r="A1070" s="45" t="s">
        <v>1098</v>
      </c>
      <c r="B1070" s="46" t="s">
        <v>13397</v>
      </c>
      <c r="C1070">
        <v>2</v>
      </c>
      <c r="D1070">
        <v>17</v>
      </c>
    </row>
    <row r="1071" spans="1:4" x14ac:dyDescent="0.25">
      <c r="A1071" s="45" t="s">
        <v>1099</v>
      </c>
      <c r="B1071" s="46" t="s">
        <v>13398</v>
      </c>
      <c r="C1071">
        <v>2</v>
      </c>
      <c r="D1071">
        <v>17</v>
      </c>
    </row>
    <row r="1072" spans="1:4" x14ac:dyDescent="0.25">
      <c r="A1072" s="45" t="s">
        <v>1100</v>
      </c>
      <c r="B1072" s="46" t="s">
        <v>13399</v>
      </c>
      <c r="C1072">
        <v>2</v>
      </c>
      <c r="D1072">
        <v>17</v>
      </c>
    </row>
    <row r="1073" spans="1:4" x14ac:dyDescent="0.25">
      <c r="A1073" s="45" t="s">
        <v>1101</v>
      </c>
      <c r="B1073" s="46" t="s">
        <v>13400</v>
      </c>
      <c r="C1073">
        <v>2</v>
      </c>
      <c r="D1073">
        <v>17</v>
      </c>
    </row>
    <row r="1074" spans="1:4" x14ac:dyDescent="0.25">
      <c r="A1074" s="45" t="s">
        <v>1102</v>
      </c>
      <c r="B1074" s="46" t="s">
        <v>13401</v>
      </c>
      <c r="C1074">
        <v>2</v>
      </c>
      <c r="D1074">
        <v>17</v>
      </c>
    </row>
    <row r="1075" spans="1:4" x14ac:dyDescent="0.25">
      <c r="A1075" s="45" t="s">
        <v>1103</v>
      </c>
      <c r="B1075" s="46" t="s">
        <v>13402</v>
      </c>
      <c r="C1075">
        <v>2</v>
      </c>
      <c r="D1075">
        <v>17</v>
      </c>
    </row>
    <row r="1076" spans="1:4" x14ac:dyDescent="0.25">
      <c r="A1076" s="45" t="s">
        <v>1104</v>
      </c>
      <c r="B1076" s="46" t="s">
        <v>13403</v>
      </c>
      <c r="C1076">
        <v>2</v>
      </c>
      <c r="D1076">
        <v>17</v>
      </c>
    </row>
    <row r="1077" spans="1:4" x14ac:dyDescent="0.25">
      <c r="A1077" s="45" t="s">
        <v>1105</v>
      </c>
      <c r="B1077" s="46" t="s">
        <v>13404</v>
      </c>
      <c r="C1077">
        <v>2</v>
      </c>
      <c r="D1077">
        <v>17</v>
      </c>
    </row>
    <row r="1078" spans="1:4" x14ac:dyDescent="0.25">
      <c r="A1078" s="45" t="s">
        <v>1106</v>
      </c>
      <c r="B1078" s="46" t="s">
        <v>13405</v>
      </c>
      <c r="C1078">
        <v>2</v>
      </c>
      <c r="D1078">
        <v>17</v>
      </c>
    </row>
    <row r="1079" spans="1:4" x14ac:dyDescent="0.25">
      <c r="A1079" s="45" t="s">
        <v>1107</v>
      </c>
      <c r="B1079" s="46" t="s">
        <v>13406</v>
      </c>
      <c r="C1079">
        <v>2</v>
      </c>
      <c r="D1079">
        <v>17</v>
      </c>
    </row>
    <row r="1080" spans="1:4" x14ac:dyDescent="0.25">
      <c r="A1080" s="45" t="s">
        <v>1108</v>
      </c>
      <c r="B1080" s="46" t="s">
        <v>13407</v>
      </c>
      <c r="C1080">
        <v>2</v>
      </c>
      <c r="D1080">
        <v>17</v>
      </c>
    </row>
    <row r="1081" spans="1:4" x14ac:dyDescent="0.25">
      <c r="A1081" s="45" t="s">
        <v>1109</v>
      </c>
      <c r="B1081" s="46" t="s">
        <v>13408</v>
      </c>
      <c r="C1081">
        <v>2</v>
      </c>
      <c r="D1081">
        <v>17</v>
      </c>
    </row>
    <row r="1082" spans="1:4" x14ac:dyDescent="0.25">
      <c r="A1082" s="45" t="s">
        <v>1110</v>
      </c>
      <c r="B1082" s="46" t="s">
        <v>13409</v>
      </c>
      <c r="C1082">
        <v>2</v>
      </c>
      <c r="D1082">
        <v>17</v>
      </c>
    </row>
    <row r="1083" spans="1:4" x14ac:dyDescent="0.25">
      <c r="A1083" s="45" t="s">
        <v>1111</v>
      </c>
      <c r="B1083" s="46" t="s">
        <v>13410</v>
      </c>
      <c r="C1083">
        <v>2</v>
      </c>
      <c r="D1083">
        <v>17</v>
      </c>
    </row>
    <row r="1084" spans="1:4" x14ac:dyDescent="0.25">
      <c r="A1084" s="45" t="s">
        <v>1112</v>
      </c>
      <c r="B1084" s="46" t="s">
        <v>13411</v>
      </c>
      <c r="C1084">
        <v>2</v>
      </c>
      <c r="D1084">
        <v>17</v>
      </c>
    </row>
    <row r="1085" spans="1:4" x14ac:dyDescent="0.25">
      <c r="A1085" s="45" t="s">
        <v>1113</v>
      </c>
      <c r="B1085" s="46" t="s">
        <v>13412</v>
      </c>
      <c r="C1085">
        <v>2</v>
      </c>
      <c r="D1085">
        <v>17</v>
      </c>
    </row>
    <row r="1086" spans="1:4" x14ac:dyDescent="0.25">
      <c r="A1086" s="45" t="s">
        <v>1114</v>
      </c>
      <c r="B1086" s="46" t="s">
        <v>13413</v>
      </c>
      <c r="C1086">
        <v>2</v>
      </c>
      <c r="D1086">
        <v>17</v>
      </c>
    </row>
    <row r="1087" spans="1:4" x14ac:dyDescent="0.25">
      <c r="A1087" s="45" t="s">
        <v>1115</v>
      </c>
      <c r="B1087" s="46" t="s">
        <v>13414</v>
      </c>
      <c r="C1087">
        <v>2</v>
      </c>
      <c r="D1087">
        <v>17</v>
      </c>
    </row>
    <row r="1088" spans="1:4" x14ac:dyDescent="0.25">
      <c r="A1088" s="45" t="s">
        <v>1116</v>
      </c>
      <c r="B1088" s="46" t="s">
        <v>13415</v>
      </c>
      <c r="C1088">
        <v>2</v>
      </c>
      <c r="D1088">
        <v>17</v>
      </c>
    </row>
    <row r="1089" spans="1:4" x14ac:dyDescent="0.25">
      <c r="A1089" s="45" t="s">
        <v>1117</v>
      </c>
      <c r="B1089" s="46" t="s">
        <v>13416</v>
      </c>
      <c r="C1089">
        <v>2</v>
      </c>
      <c r="D1089">
        <v>17</v>
      </c>
    </row>
    <row r="1090" spans="1:4" x14ac:dyDescent="0.25">
      <c r="A1090" s="45" t="s">
        <v>1118</v>
      </c>
      <c r="B1090" s="46" t="s">
        <v>13417</v>
      </c>
      <c r="C1090">
        <v>2</v>
      </c>
      <c r="D1090">
        <v>17</v>
      </c>
    </row>
    <row r="1091" spans="1:4" x14ac:dyDescent="0.25">
      <c r="A1091" s="45" t="s">
        <v>1119</v>
      </c>
      <c r="B1091" s="46" t="s">
        <v>13418</v>
      </c>
      <c r="C1091">
        <v>2</v>
      </c>
      <c r="D1091">
        <v>17</v>
      </c>
    </row>
    <row r="1092" spans="1:4" x14ac:dyDescent="0.25">
      <c r="A1092" s="45" t="s">
        <v>1120</v>
      </c>
      <c r="B1092" s="46" t="s">
        <v>13419</v>
      </c>
      <c r="C1092">
        <v>2</v>
      </c>
      <c r="D1092">
        <v>17</v>
      </c>
    </row>
    <row r="1093" spans="1:4" x14ac:dyDescent="0.25">
      <c r="A1093" s="45" t="s">
        <v>1121</v>
      </c>
      <c r="B1093" s="46" t="s">
        <v>13420</v>
      </c>
      <c r="C1093">
        <v>2</v>
      </c>
      <c r="D1093">
        <v>17</v>
      </c>
    </row>
    <row r="1094" spans="1:4" x14ac:dyDescent="0.25">
      <c r="A1094" s="45" t="s">
        <v>1122</v>
      </c>
      <c r="B1094" s="46" t="s">
        <v>13421</v>
      </c>
      <c r="C1094">
        <v>2</v>
      </c>
      <c r="D1094">
        <v>17</v>
      </c>
    </row>
    <row r="1095" spans="1:4" x14ac:dyDescent="0.25">
      <c r="A1095" s="45" t="s">
        <v>1123</v>
      </c>
      <c r="B1095" s="46" t="s">
        <v>13422</v>
      </c>
      <c r="C1095">
        <v>2</v>
      </c>
      <c r="D1095">
        <v>17</v>
      </c>
    </row>
    <row r="1096" spans="1:4" x14ac:dyDescent="0.25">
      <c r="A1096" s="45" t="s">
        <v>1124</v>
      </c>
      <c r="B1096" s="46" t="s">
        <v>13423</v>
      </c>
      <c r="C1096">
        <v>2</v>
      </c>
      <c r="D1096">
        <v>17</v>
      </c>
    </row>
    <row r="1097" spans="1:4" x14ac:dyDescent="0.25">
      <c r="A1097" s="45" t="s">
        <v>1125</v>
      </c>
      <c r="B1097" s="46" t="s">
        <v>13424</v>
      </c>
      <c r="C1097">
        <v>2</v>
      </c>
      <c r="D1097">
        <v>17</v>
      </c>
    </row>
    <row r="1098" spans="1:4" x14ac:dyDescent="0.25">
      <c r="A1098" s="45" t="s">
        <v>1126</v>
      </c>
      <c r="B1098" s="46" t="s">
        <v>13425</v>
      </c>
      <c r="C1098">
        <v>2</v>
      </c>
      <c r="D1098">
        <v>17</v>
      </c>
    </row>
    <row r="1099" spans="1:4" x14ac:dyDescent="0.25">
      <c r="A1099" s="45" t="s">
        <v>1127</v>
      </c>
      <c r="B1099" s="46" t="s">
        <v>13426</v>
      </c>
      <c r="C1099">
        <v>2</v>
      </c>
      <c r="D1099">
        <v>17</v>
      </c>
    </row>
    <row r="1100" spans="1:4" x14ac:dyDescent="0.25">
      <c r="A1100" s="45" t="s">
        <v>1128</v>
      </c>
      <c r="B1100" s="46" t="s">
        <v>19450</v>
      </c>
      <c r="C1100">
        <v>2</v>
      </c>
      <c r="D1100">
        <v>17</v>
      </c>
    </row>
    <row r="1101" spans="1:4" x14ac:dyDescent="0.25">
      <c r="A1101" s="45" t="s">
        <v>1129</v>
      </c>
      <c r="B1101" s="46" t="s">
        <v>13427</v>
      </c>
      <c r="C1101">
        <v>2</v>
      </c>
      <c r="D1101">
        <v>17</v>
      </c>
    </row>
    <row r="1102" spans="1:4" x14ac:dyDescent="0.25">
      <c r="A1102" s="45" t="s">
        <v>1130</v>
      </c>
      <c r="B1102" s="46" t="s">
        <v>13428</v>
      </c>
      <c r="C1102">
        <v>2</v>
      </c>
      <c r="D1102">
        <v>17</v>
      </c>
    </row>
    <row r="1103" spans="1:4" x14ac:dyDescent="0.25">
      <c r="A1103" s="45" t="s">
        <v>1131</v>
      </c>
      <c r="B1103" s="46" t="s">
        <v>13429</v>
      </c>
      <c r="C1103">
        <v>2</v>
      </c>
      <c r="D1103">
        <v>17</v>
      </c>
    </row>
    <row r="1104" spans="1:4" x14ac:dyDescent="0.25">
      <c r="A1104" s="45" t="s">
        <v>1132</v>
      </c>
      <c r="B1104" s="46" t="s">
        <v>13430</v>
      </c>
      <c r="C1104">
        <v>2</v>
      </c>
      <c r="D1104">
        <v>17</v>
      </c>
    </row>
    <row r="1105" spans="1:4" x14ac:dyDescent="0.25">
      <c r="A1105" s="45" t="s">
        <v>1133</v>
      </c>
      <c r="B1105" s="46" t="s">
        <v>13431</v>
      </c>
      <c r="C1105">
        <v>2</v>
      </c>
      <c r="D1105">
        <v>17</v>
      </c>
    </row>
    <row r="1106" spans="1:4" x14ac:dyDescent="0.25">
      <c r="A1106" s="45" t="s">
        <v>1134</v>
      </c>
      <c r="B1106" s="46" t="s">
        <v>13432</v>
      </c>
      <c r="C1106">
        <v>2</v>
      </c>
      <c r="D1106">
        <v>17</v>
      </c>
    </row>
    <row r="1107" spans="1:4" x14ac:dyDescent="0.25">
      <c r="A1107" s="45" t="s">
        <v>1135</v>
      </c>
      <c r="B1107" s="46" t="s">
        <v>13433</v>
      </c>
      <c r="C1107">
        <v>2</v>
      </c>
      <c r="D1107">
        <v>17</v>
      </c>
    </row>
    <row r="1108" spans="1:4" x14ac:dyDescent="0.25">
      <c r="A1108" s="45" t="s">
        <v>1136</v>
      </c>
      <c r="B1108" s="46" t="s">
        <v>13434</v>
      </c>
      <c r="C1108">
        <v>2</v>
      </c>
      <c r="D1108">
        <v>17</v>
      </c>
    </row>
    <row r="1109" spans="1:4" x14ac:dyDescent="0.25">
      <c r="A1109" s="45" t="s">
        <v>1137</v>
      </c>
      <c r="B1109" s="46" t="s">
        <v>13435</v>
      </c>
      <c r="C1109">
        <v>2</v>
      </c>
      <c r="D1109">
        <v>17</v>
      </c>
    </row>
    <row r="1110" spans="1:4" x14ac:dyDescent="0.25">
      <c r="A1110" s="45" t="s">
        <v>1138</v>
      </c>
      <c r="B1110" s="46" t="s">
        <v>13436</v>
      </c>
      <c r="C1110">
        <v>2</v>
      </c>
      <c r="D1110">
        <v>17</v>
      </c>
    </row>
    <row r="1111" spans="1:4" x14ac:dyDescent="0.25">
      <c r="A1111" s="45" t="s">
        <v>1139</v>
      </c>
      <c r="B1111" s="46" t="s">
        <v>13437</v>
      </c>
      <c r="C1111">
        <v>2</v>
      </c>
      <c r="D1111">
        <v>17</v>
      </c>
    </row>
    <row r="1112" spans="1:4" x14ac:dyDescent="0.25">
      <c r="A1112" s="45" t="s">
        <v>1140</v>
      </c>
      <c r="B1112" s="46" t="s">
        <v>13438</v>
      </c>
      <c r="C1112">
        <v>2</v>
      </c>
      <c r="D1112">
        <v>17</v>
      </c>
    </row>
    <row r="1113" spans="1:4" x14ac:dyDescent="0.25">
      <c r="A1113" s="45" t="s">
        <v>1141</v>
      </c>
      <c r="B1113" s="46" t="s">
        <v>13439</v>
      </c>
      <c r="C1113">
        <v>2</v>
      </c>
      <c r="D1113">
        <v>17</v>
      </c>
    </row>
    <row r="1114" spans="1:4" x14ac:dyDescent="0.25">
      <c r="A1114" s="45" t="s">
        <v>1142</v>
      </c>
      <c r="B1114" s="46" t="s">
        <v>13440</v>
      </c>
      <c r="C1114">
        <v>2</v>
      </c>
      <c r="D1114">
        <v>17</v>
      </c>
    </row>
    <row r="1115" spans="1:4" x14ac:dyDescent="0.25">
      <c r="A1115" s="45" t="s">
        <v>1143</v>
      </c>
      <c r="B1115" s="46" t="s">
        <v>13441</v>
      </c>
      <c r="C1115">
        <v>2</v>
      </c>
      <c r="D1115">
        <v>17</v>
      </c>
    </row>
    <row r="1116" spans="1:4" x14ac:dyDescent="0.25">
      <c r="A1116" s="45" t="s">
        <v>1144</v>
      </c>
      <c r="B1116" s="46" t="s">
        <v>13442</v>
      </c>
      <c r="C1116">
        <v>2</v>
      </c>
      <c r="D1116">
        <v>17</v>
      </c>
    </row>
    <row r="1117" spans="1:4" x14ac:dyDescent="0.25">
      <c r="A1117" s="45" t="s">
        <v>1145</v>
      </c>
      <c r="B1117" s="46" t="s">
        <v>13443</v>
      </c>
      <c r="C1117">
        <v>2</v>
      </c>
      <c r="D1117">
        <v>17</v>
      </c>
    </row>
    <row r="1118" spans="1:4" x14ac:dyDescent="0.25">
      <c r="A1118" s="45" t="s">
        <v>1146</v>
      </c>
      <c r="B1118" s="46" t="s">
        <v>13444</v>
      </c>
      <c r="C1118">
        <v>2</v>
      </c>
      <c r="D1118">
        <v>17</v>
      </c>
    </row>
    <row r="1119" spans="1:4" x14ac:dyDescent="0.25">
      <c r="A1119" s="45" t="s">
        <v>1147</v>
      </c>
      <c r="B1119" s="46" t="s">
        <v>13445</v>
      </c>
      <c r="C1119">
        <v>2</v>
      </c>
      <c r="D1119">
        <v>17</v>
      </c>
    </row>
    <row r="1120" spans="1:4" x14ac:dyDescent="0.25">
      <c r="A1120" s="45" t="s">
        <v>1148</v>
      </c>
      <c r="B1120" s="46" t="s">
        <v>13446</v>
      </c>
      <c r="C1120">
        <v>2</v>
      </c>
      <c r="D1120">
        <v>17</v>
      </c>
    </row>
    <row r="1121" spans="1:4" x14ac:dyDescent="0.25">
      <c r="A1121" s="45" t="s">
        <v>1149</v>
      </c>
      <c r="B1121" s="46" t="s">
        <v>13447</v>
      </c>
      <c r="C1121">
        <v>2</v>
      </c>
      <c r="D1121">
        <v>17</v>
      </c>
    </row>
    <row r="1122" spans="1:4" x14ac:dyDescent="0.25">
      <c r="A1122" s="45" t="s">
        <v>1150</v>
      </c>
      <c r="B1122" s="46" t="s">
        <v>13448</v>
      </c>
      <c r="C1122">
        <v>2</v>
      </c>
      <c r="D1122">
        <v>18</v>
      </c>
    </row>
    <row r="1123" spans="1:4" x14ac:dyDescent="0.25">
      <c r="A1123" s="45" t="s">
        <v>1151</v>
      </c>
      <c r="B1123" s="46" t="s">
        <v>13449</v>
      </c>
      <c r="C1123">
        <v>2</v>
      </c>
      <c r="D1123">
        <v>18</v>
      </c>
    </row>
    <row r="1124" spans="1:4" x14ac:dyDescent="0.25">
      <c r="A1124" s="45" t="s">
        <v>1152</v>
      </c>
      <c r="B1124" s="46" t="s">
        <v>13450</v>
      </c>
      <c r="C1124">
        <v>2</v>
      </c>
      <c r="D1124">
        <v>18</v>
      </c>
    </row>
    <row r="1125" spans="1:4" x14ac:dyDescent="0.25">
      <c r="A1125" s="45" t="s">
        <v>1153</v>
      </c>
      <c r="B1125" s="46" t="s">
        <v>19451</v>
      </c>
      <c r="C1125">
        <v>2</v>
      </c>
      <c r="D1125">
        <v>18</v>
      </c>
    </row>
    <row r="1126" spans="1:4" x14ac:dyDescent="0.25">
      <c r="A1126" s="45" t="s">
        <v>1154</v>
      </c>
      <c r="B1126" s="46" t="s">
        <v>19452</v>
      </c>
      <c r="C1126">
        <v>2</v>
      </c>
      <c r="D1126">
        <v>18</v>
      </c>
    </row>
    <row r="1127" spans="1:4" x14ac:dyDescent="0.25">
      <c r="A1127" s="45" t="s">
        <v>1155</v>
      </c>
      <c r="B1127" s="46" t="s">
        <v>13451</v>
      </c>
      <c r="C1127">
        <v>2</v>
      </c>
      <c r="D1127">
        <v>18</v>
      </c>
    </row>
    <row r="1128" spans="1:4" x14ac:dyDescent="0.25">
      <c r="A1128" s="45" t="s">
        <v>1156</v>
      </c>
      <c r="B1128" s="46" t="s">
        <v>13452</v>
      </c>
      <c r="C1128">
        <v>2</v>
      </c>
      <c r="D1128">
        <v>18</v>
      </c>
    </row>
    <row r="1129" spans="1:4" x14ac:dyDescent="0.25">
      <c r="A1129" s="45" t="s">
        <v>1157</v>
      </c>
      <c r="B1129" s="46" t="s">
        <v>13453</v>
      </c>
      <c r="C1129">
        <v>2</v>
      </c>
      <c r="D1129">
        <v>18</v>
      </c>
    </row>
    <row r="1130" spans="1:4" x14ac:dyDescent="0.25">
      <c r="A1130" s="45" t="s">
        <v>1158</v>
      </c>
      <c r="B1130" s="46" t="s">
        <v>13454</v>
      </c>
      <c r="C1130">
        <v>2</v>
      </c>
      <c r="D1130">
        <v>18</v>
      </c>
    </row>
    <row r="1131" spans="1:4" x14ac:dyDescent="0.25">
      <c r="A1131" s="45" t="s">
        <v>1159</v>
      </c>
      <c r="B1131" s="46" t="s">
        <v>13455</v>
      </c>
      <c r="C1131">
        <v>2</v>
      </c>
      <c r="D1131">
        <v>18</v>
      </c>
    </row>
    <row r="1132" spans="1:4" x14ac:dyDescent="0.25">
      <c r="A1132" s="45" t="s">
        <v>1160</v>
      </c>
      <c r="B1132" s="46" t="s">
        <v>13456</v>
      </c>
      <c r="C1132">
        <v>2</v>
      </c>
      <c r="D1132">
        <v>18</v>
      </c>
    </row>
    <row r="1133" spans="1:4" x14ac:dyDescent="0.25">
      <c r="A1133" s="45" t="s">
        <v>1161</v>
      </c>
      <c r="B1133" s="46" t="s">
        <v>19453</v>
      </c>
      <c r="C1133">
        <v>2</v>
      </c>
      <c r="D1133">
        <v>18</v>
      </c>
    </row>
    <row r="1134" spans="1:4" x14ac:dyDescent="0.25">
      <c r="A1134" s="45" t="s">
        <v>1162</v>
      </c>
      <c r="B1134" s="46" t="s">
        <v>13457</v>
      </c>
      <c r="C1134">
        <v>2</v>
      </c>
      <c r="D1134">
        <v>18</v>
      </c>
    </row>
    <row r="1135" spans="1:4" x14ac:dyDescent="0.25">
      <c r="A1135" s="45" t="s">
        <v>1163</v>
      </c>
      <c r="B1135" s="46" t="s">
        <v>13458</v>
      </c>
      <c r="C1135">
        <v>2</v>
      </c>
      <c r="D1135">
        <v>18</v>
      </c>
    </row>
    <row r="1136" spans="1:4" x14ac:dyDescent="0.25">
      <c r="A1136" s="45" t="s">
        <v>1164</v>
      </c>
      <c r="B1136" s="46" t="s">
        <v>13459</v>
      </c>
      <c r="C1136">
        <v>2</v>
      </c>
      <c r="D1136">
        <v>18</v>
      </c>
    </row>
    <row r="1137" spans="1:4" x14ac:dyDescent="0.25">
      <c r="A1137" s="45" t="s">
        <v>1165</v>
      </c>
      <c r="B1137" s="46" t="s">
        <v>13460</v>
      </c>
      <c r="C1137">
        <v>2</v>
      </c>
      <c r="D1137">
        <v>18</v>
      </c>
    </row>
    <row r="1138" spans="1:4" x14ac:dyDescent="0.25">
      <c r="A1138" s="45" t="s">
        <v>1166</v>
      </c>
      <c r="B1138" s="46" t="s">
        <v>19454</v>
      </c>
      <c r="C1138">
        <v>2</v>
      </c>
      <c r="D1138">
        <v>18</v>
      </c>
    </row>
    <row r="1139" spans="1:4" x14ac:dyDescent="0.25">
      <c r="A1139" s="45" t="s">
        <v>1167</v>
      </c>
      <c r="B1139" s="46" t="s">
        <v>13461</v>
      </c>
      <c r="C1139">
        <v>2</v>
      </c>
      <c r="D1139">
        <v>18</v>
      </c>
    </row>
    <row r="1140" spans="1:4" x14ac:dyDescent="0.25">
      <c r="A1140" s="45" t="s">
        <v>1168</v>
      </c>
      <c r="B1140" s="46" t="s">
        <v>19455</v>
      </c>
      <c r="C1140">
        <v>2</v>
      </c>
      <c r="D1140">
        <v>18</v>
      </c>
    </row>
    <row r="1141" spans="1:4" x14ac:dyDescent="0.25">
      <c r="A1141" s="45" t="s">
        <v>1169</v>
      </c>
      <c r="B1141" s="46" t="s">
        <v>13462</v>
      </c>
      <c r="C1141">
        <v>2</v>
      </c>
      <c r="D1141">
        <v>18</v>
      </c>
    </row>
    <row r="1142" spans="1:4" x14ac:dyDescent="0.25">
      <c r="A1142" s="45" t="s">
        <v>1170</v>
      </c>
      <c r="B1142" s="46" t="s">
        <v>13463</v>
      </c>
      <c r="C1142">
        <v>2</v>
      </c>
      <c r="D1142">
        <v>18</v>
      </c>
    </row>
    <row r="1143" spans="1:4" x14ac:dyDescent="0.25">
      <c r="A1143" s="45" t="s">
        <v>1171</v>
      </c>
      <c r="B1143" s="46" t="s">
        <v>19456</v>
      </c>
      <c r="C1143">
        <v>2</v>
      </c>
      <c r="D1143">
        <v>18</v>
      </c>
    </row>
    <row r="1144" spans="1:4" x14ac:dyDescent="0.25">
      <c r="A1144" s="45" t="s">
        <v>1172</v>
      </c>
      <c r="B1144" s="46" t="s">
        <v>13464</v>
      </c>
      <c r="C1144">
        <v>2</v>
      </c>
      <c r="D1144">
        <v>18</v>
      </c>
    </row>
    <row r="1145" spans="1:4" x14ac:dyDescent="0.25">
      <c r="A1145" s="45" t="s">
        <v>1173</v>
      </c>
      <c r="B1145" s="46" t="s">
        <v>13465</v>
      </c>
      <c r="C1145">
        <v>2</v>
      </c>
      <c r="D1145">
        <v>18</v>
      </c>
    </row>
    <row r="1146" spans="1:4" x14ac:dyDescent="0.25">
      <c r="A1146" s="45" t="s">
        <v>1174</v>
      </c>
      <c r="B1146" s="46" t="s">
        <v>13466</v>
      </c>
      <c r="C1146">
        <v>2</v>
      </c>
      <c r="D1146">
        <v>18</v>
      </c>
    </row>
    <row r="1147" spans="1:4" x14ac:dyDescent="0.25">
      <c r="A1147" s="45" t="s">
        <v>1175</v>
      </c>
      <c r="B1147" s="46" t="s">
        <v>13467</v>
      </c>
      <c r="C1147">
        <v>2</v>
      </c>
      <c r="D1147">
        <v>17</v>
      </c>
    </row>
    <row r="1148" spans="1:4" x14ac:dyDescent="0.25">
      <c r="A1148" s="45" t="s">
        <v>1176</v>
      </c>
      <c r="B1148" s="46" t="s">
        <v>13468</v>
      </c>
      <c r="C1148">
        <v>2</v>
      </c>
      <c r="D1148">
        <v>17</v>
      </c>
    </row>
    <row r="1149" spans="1:4" x14ac:dyDescent="0.25">
      <c r="A1149" s="45" t="s">
        <v>1177</v>
      </c>
      <c r="B1149" s="46" t="s">
        <v>13469</v>
      </c>
      <c r="C1149">
        <v>2</v>
      </c>
      <c r="D1149">
        <v>20</v>
      </c>
    </row>
    <row r="1150" spans="1:4" x14ac:dyDescent="0.25">
      <c r="A1150" s="45" t="s">
        <v>1178</v>
      </c>
      <c r="B1150" s="46" t="s">
        <v>13470</v>
      </c>
      <c r="C1150">
        <v>2</v>
      </c>
      <c r="D1150">
        <v>20</v>
      </c>
    </row>
    <row r="1151" spans="1:4" x14ac:dyDescent="0.25">
      <c r="A1151" s="45" t="s">
        <v>1179</v>
      </c>
      <c r="B1151" s="46" t="s">
        <v>13471</v>
      </c>
      <c r="C1151">
        <v>2</v>
      </c>
      <c r="D1151">
        <v>20</v>
      </c>
    </row>
    <row r="1152" spans="1:4" x14ac:dyDescent="0.25">
      <c r="A1152" s="45" t="s">
        <v>1180</v>
      </c>
      <c r="B1152" s="46" t="s">
        <v>13472</v>
      </c>
      <c r="C1152">
        <v>2</v>
      </c>
      <c r="D1152">
        <v>20</v>
      </c>
    </row>
    <row r="1153" spans="1:4" x14ac:dyDescent="0.25">
      <c r="A1153" s="45" t="s">
        <v>1181</v>
      </c>
      <c r="B1153" s="46" t="s">
        <v>13473</v>
      </c>
      <c r="C1153">
        <v>2</v>
      </c>
      <c r="D1153">
        <v>20</v>
      </c>
    </row>
    <row r="1154" spans="1:4" x14ac:dyDescent="0.25">
      <c r="A1154" s="45" t="s">
        <v>1182</v>
      </c>
      <c r="B1154" s="46" t="s">
        <v>13474</v>
      </c>
      <c r="C1154">
        <v>2</v>
      </c>
      <c r="D1154">
        <v>20</v>
      </c>
    </row>
    <row r="1155" spans="1:4" x14ac:dyDescent="0.25">
      <c r="A1155" s="45" t="s">
        <v>1183</v>
      </c>
      <c r="B1155" s="46" t="s">
        <v>13475</v>
      </c>
      <c r="C1155">
        <v>2</v>
      </c>
      <c r="D1155">
        <v>20</v>
      </c>
    </row>
    <row r="1156" spans="1:4" x14ac:dyDescent="0.25">
      <c r="A1156" s="45" t="s">
        <v>1184</v>
      </c>
      <c r="B1156" s="46" t="s">
        <v>19457</v>
      </c>
      <c r="C1156">
        <v>2</v>
      </c>
      <c r="D1156">
        <v>20</v>
      </c>
    </row>
    <row r="1157" spans="1:4" x14ac:dyDescent="0.25">
      <c r="A1157" s="45" t="s">
        <v>1185</v>
      </c>
      <c r="B1157" s="46" t="s">
        <v>13476</v>
      </c>
      <c r="C1157">
        <v>2</v>
      </c>
      <c r="D1157">
        <v>20</v>
      </c>
    </row>
    <row r="1158" spans="1:4" x14ac:dyDescent="0.25">
      <c r="A1158" s="45" t="s">
        <v>1186</v>
      </c>
      <c r="B1158" s="46" t="s">
        <v>13477</v>
      </c>
      <c r="C1158">
        <v>2</v>
      </c>
      <c r="D1158">
        <v>20</v>
      </c>
    </row>
    <row r="1159" spans="1:4" x14ac:dyDescent="0.25">
      <c r="A1159" s="45" t="s">
        <v>1187</v>
      </c>
      <c r="B1159" s="46" t="s">
        <v>13478</v>
      </c>
      <c r="C1159">
        <v>2</v>
      </c>
      <c r="D1159">
        <v>20</v>
      </c>
    </row>
    <row r="1160" spans="1:4" x14ac:dyDescent="0.25">
      <c r="A1160" s="45" t="s">
        <v>1188</v>
      </c>
      <c r="B1160" s="46" t="s">
        <v>13479</v>
      </c>
      <c r="C1160">
        <v>2</v>
      </c>
      <c r="D1160">
        <v>20</v>
      </c>
    </row>
    <row r="1161" spans="1:4" x14ac:dyDescent="0.25">
      <c r="A1161" s="45" t="s">
        <v>1189</v>
      </c>
      <c r="B1161" s="46" t="s">
        <v>13480</v>
      </c>
      <c r="C1161">
        <v>2</v>
      </c>
      <c r="D1161">
        <v>20</v>
      </c>
    </row>
    <row r="1162" spans="1:4" x14ac:dyDescent="0.25">
      <c r="A1162" s="45" t="s">
        <v>1190</v>
      </c>
      <c r="B1162" s="46" t="s">
        <v>13481</v>
      </c>
      <c r="C1162">
        <v>2</v>
      </c>
      <c r="D1162">
        <v>20</v>
      </c>
    </row>
    <row r="1163" spans="1:4" x14ac:dyDescent="0.25">
      <c r="A1163" s="45" t="s">
        <v>1191</v>
      </c>
      <c r="B1163" s="46" t="s">
        <v>13482</v>
      </c>
      <c r="C1163">
        <v>2</v>
      </c>
      <c r="D1163">
        <v>20</v>
      </c>
    </row>
    <row r="1164" spans="1:4" x14ac:dyDescent="0.25">
      <c r="A1164" s="45" t="s">
        <v>1192</v>
      </c>
      <c r="B1164" s="46" t="s">
        <v>13483</v>
      </c>
      <c r="C1164">
        <v>2</v>
      </c>
      <c r="D1164">
        <v>20</v>
      </c>
    </row>
    <row r="1165" spans="1:4" x14ac:dyDescent="0.25">
      <c r="A1165" s="45" t="s">
        <v>1193</v>
      </c>
      <c r="B1165" s="46" t="s">
        <v>13484</v>
      </c>
      <c r="C1165">
        <v>2</v>
      </c>
      <c r="D1165">
        <v>20</v>
      </c>
    </row>
    <row r="1166" spans="1:4" x14ac:dyDescent="0.25">
      <c r="A1166" s="45" t="s">
        <v>1194</v>
      </c>
      <c r="B1166" s="46" t="s">
        <v>13485</v>
      </c>
      <c r="C1166">
        <v>2</v>
      </c>
      <c r="D1166">
        <v>20</v>
      </c>
    </row>
    <row r="1167" spans="1:4" x14ac:dyDescent="0.25">
      <c r="A1167" s="45" t="s">
        <v>1195</v>
      </c>
      <c r="B1167" s="46" t="s">
        <v>13486</v>
      </c>
      <c r="C1167">
        <v>2</v>
      </c>
      <c r="D1167">
        <v>20</v>
      </c>
    </row>
    <row r="1168" spans="1:4" x14ac:dyDescent="0.25">
      <c r="A1168" s="45" t="s">
        <v>1196</v>
      </c>
      <c r="B1168" s="46" t="s">
        <v>13487</v>
      </c>
      <c r="C1168">
        <v>2</v>
      </c>
      <c r="D1168">
        <v>20</v>
      </c>
    </row>
    <row r="1169" spans="1:4" x14ac:dyDescent="0.25">
      <c r="A1169" s="45" t="s">
        <v>1197</v>
      </c>
      <c r="B1169" s="46" t="s">
        <v>13488</v>
      </c>
      <c r="C1169">
        <v>2</v>
      </c>
      <c r="D1169">
        <v>20</v>
      </c>
    </row>
    <row r="1170" spans="1:4" x14ac:dyDescent="0.25">
      <c r="A1170" s="45" t="s">
        <v>1198</v>
      </c>
      <c r="B1170" s="46" t="s">
        <v>13489</v>
      </c>
      <c r="C1170">
        <v>2</v>
      </c>
      <c r="D1170">
        <v>20</v>
      </c>
    </row>
    <row r="1171" spans="1:4" x14ac:dyDescent="0.25">
      <c r="A1171" s="45" t="s">
        <v>1199</v>
      </c>
      <c r="B1171" s="46" t="s">
        <v>13490</v>
      </c>
      <c r="C1171">
        <v>2</v>
      </c>
      <c r="D1171">
        <v>20</v>
      </c>
    </row>
    <row r="1172" spans="1:4" x14ac:dyDescent="0.25">
      <c r="A1172" s="45" t="s">
        <v>1200</v>
      </c>
      <c r="B1172" s="46" t="s">
        <v>13491</v>
      </c>
      <c r="C1172">
        <v>2</v>
      </c>
      <c r="D1172">
        <v>20</v>
      </c>
    </row>
    <row r="1173" spans="1:4" x14ac:dyDescent="0.25">
      <c r="A1173" s="45" t="s">
        <v>1201</v>
      </c>
      <c r="B1173" s="46" t="s">
        <v>13492</v>
      </c>
      <c r="C1173">
        <v>2</v>
      </c>
      <c r="D1173">
        <v>20</v>
      </c>
    </row>
    <row r="1174" spans="1:4" x14ac:dyDescent="0.25">
      <c r="A1174" s="45" t="s">
        <v>1202</v>
      </c>
      <c r="B1174" s="46" t="s">
        <v>13493</v>
      </c>
      <c r="C1174">
        <v>2</v>
      </c>
      <c r="D1174">
        <v>20</v>
      </c>
    </row>
    <row r="1175" spans="1:4" x14ac:dyDescent="0.25">
      <c r="A1175" s="45" t="s">
        <v>1203</v>
      </c>
      <c r="B1175" s="46" t="s">
        <v>19458</v>
      </c>
      <c r="C1175">
        <v>2</v>
      </c>
      <c r="D1175">
        <v>20</v>
      </c>
    </row>
    <row r="1176" spans="1:4" x14ac:dyDescent="0.25">
      <c r="A1176" s="45" t="s">
        <v>1204</v>
      </c>
      <c r="B1176" s="46" t="s">
        <v>13494</v>
      </c>
      <c r="C1176">
        <v>2</v>
      </c>
      <c r="D1176">
        <v>20</v>
      </c>
    </row>
    <row r="1177" spans="1:4" x14ac:dyDescent="0.25">
      <c r="A1177" s="45" t="s">
        <v>1205</v>
      </c>
      <c r="B1177" s="46" t="s">
        <v>13495</v>
      </c>
      <c r="C1177">
        <v>2</v>
      </c>
      <c r="D1177">
        <v>20</v>
      </c>
    </row>
    <row r="1178" spans="1:4" x14ac:dyDescent="0.25">
      <c r="A1178" s="45" t="s">
        <v>1206</v>
      </c>
      <c r="B1178" s="46" t="s">
        <v>13496</v>
      </c>
      <c r="C1178">
        <v>2</v>
      </c>
      <c r="D1178">
        <v>20</v>
      </c>
    </row>
    <row r="1179" spans="1:4" x14ac:dyDescent="0.25">
      <c r="A1179" s="45" t="s">
        <v>1207</v>
      </c>
      <c r="B1179" s="46" t="s">
        <v>13497</v>
      </c>
      <c r="C1179">
        <v>2</v>
      </c>
      <c r="D1179">
        <v>20</v>
      </c>
    </row>
    <row r="1180" spans="1:4" x14ac:dyDescent="0.25">
      <c r="A1180" s="45" t="s">
        <v>1208</v>
      </c>
      <c r="B1180" s="46" t="s">
        <v>13498</v>
      </c>
      <c r="C1180">
        <v>3</v>
      </c>
      <c r="D1180">
        <v>28</v>
      </c>
    </row>
    <row r="1181" spans="1:4" x14ac:dyDescent="0.25">
      <c r="A1181" s="45" t="s">
        <v>1209</v>
      </c>
      <c r="B1181" s="46" t="s">
        <v>13499</v>
      </c>
      <c r="C1181">
        <v>3</v>
      </c>
      <c r="D1181">
        <v>28</v>
      </c>
    </row>
    <row r="1182" spans="1:4" x14ac:dyDescent="0.25">
      <c r="A1182" s="45" t="s">
        <v>1210</v>
      </c>
      <c r="B1182" s="46" t="s">
        <v>13500</v>
      </c>
      <c r="C1182">
        <v>3</v>
      </c>
      <c r="D1182">
        <v>28</v>
      </c>
    </row>
    <row r="1183" spans="1:4" x14ac:dyDescent="0.25">
      <c r="A1183" s="45" t="s">
        <v>1211</v>
      </c>
      <c r="B1183" s="46" t="s">
        <v>13501</v>
      </c>
      <c r="C1183">
        <v>2</v>
      </c>
      <c r="D1183">
        <v>20</v>
      </c>
    </row>
    <row r="1184" spans="1:4" x14ac:dyDescent="0.25">
      <c r="A1184" s="45" t="s">
        <v>1212</v>
      </c>
      <c r="B1184" s="46" t="s">
        <v>13502</v>
      </c>
      <c r="C1184">
        <v>2</v>
      </c>
      <c r="D1184">
        <v>20</v>
      </c>
    </row>
    <row r="1185" spans="1:4" x14ac:dyDescent="0.25">
      <c r="A1185" s="45" t="s">
        <v>1213</v>
      </c>
      <c r="B1185" s="46" t="s">
        <v>13503</v>
      </c>
      <c r="C1185">
        <v>2</v>
      </c>
      <c r="D1185">
        <v>20</v>
      </c>
    </row>
    <row r="1186" spans="1:4" x14ac:dyDescent="0.25">
      <c r="A1186" s="45" t="s">
        <v>1214</v>
      </c>
      <c r="B1186" s="46" t="s">
        <v>13504</v>
      </c>
      <c r="C1186">
        <v>2</v>
      </c>
      <c r="D1186">
        <v>20</v>
      </c>
    </row>
    <row r="1187" spans="1:4" x14ac:dyDescent="0.25">
      <c r="A1187" s="45" t="s">
        <v>1215</v>
      </c>
      <c r="B1187" s="46" t="s">
        <v>13505</v>
      </c>
      <c r="C1187">
        <v>2</v>
      </c>
      <c r="D1187">
        <v>20</v>
      </c>
    </row>
    <row r="1188" spans="1:4" x14ac:dyDescent="0.25">
      <c r="A1188" s="45" t="s">
        <v>1216</v>
      </c>
      <c r="B1188" s="46" t="s">
        <v>13506</v>
      </c>
      <c r="C1188">
        <v>2</v>
      </c>
      <c r="D1188">
        <v>20</v>
      </c>
    </row>
    <row r="1189" spans="1:4" x14ac:dyDescent="0.25">
      <c r="A1189" s="45" t="s">
        <v>1217</v>
      </c>
      <c r="B1189" s="46" t="s">
        <v>13507</v>
      </c>
      <c r="C1189">
        <v>2</v>
      </c>
      <c r="D1189">
        <v>20</v>
      </c>
    </row>
    <row r="1190" spans="1:4" x14ac:dyDescent="0.25">
      <c r="A1190" s="45" t="s">
        <v>1218</v>
      </c>
      <c r="B1190" s="46" t="s">
        <v>13508</v>
      </c>
      <c r="C1190">
        <v>2</v>
      </c>
      <c r="D1190">
        <v>20</v>
      </c>
    </row>
    <row r="1191" spans="1:4" x14ac:dyDescent="0.25">
      <c r="A1191" s="45" t="s">
        <v>1219</v>
      </c>
      <c r="B1191" s="46" t="s">
        <v>13509</v>
      </c>
      <c r="C1191">
        <v>2</v>
      </c>
      <c r="D1191">
        <v>20</v>
      </c>
    </row>
    <row r="1192" spans="1:4" x14ac:dyDescent="0.25">
      <c r="A1192" s="45" t="s">
        <v>1220</v>
      </c>
      <c r="B1192" s="46" t="s">
        <v>13510</v>
      </c>
      <c r="C1192">
        <v>2</v>
      </c>
      <c r="D1192">
        <v>20</v>
      </c>
    </row>
    <row r="1193" spans="1:4" x14ac:dyDescent="0.25">
      <c r="A1193" s="45" t="s">
        <v>1221</v>
      </c>
      <c r="B1193" s="46" t="s">
        <v>13511</v>
      </c>
      <c r="C1193">
        <v>2</v>
      </c>
      <c r="D1193">
        <v>20</v>
      </c>
    </row>
    <row r="1194" spans="1:4" x14ac:dyDescent="0.25">
      <c r="A1194" s="45" t="s">
        <v>1222</v>
      </c>
      <c r="B1194" s="46" t="s">
        <v>13512</v>
      </c>
      <c r="C1194">
        <v>2</v>
      </c>
      <c r="D1194">
        <v>20</v>
      </c>
    </row>
    <row r="1195" spans="1:4" x14ac:dyDescent="0.25">
      <c r="A1195" s="45" t="s">
        <v>1223</v>
      </c>
      <c r="B1195" s="46" t="s">
        <v>13513</v>
      </c>
      <c r="C1195">
        <v>2</v>
      </c>
      <c r="D1195">
        <v>20</v>
      </c>
    </row>
    <row r="1196" spans="1:4" x14ac:dyDescent="0.25">
      <c r="A1196" s="45" t="s">
        <v>1224</v>
      </c>
      <c r="B1196" s="46" t="s">
        <v>13514</v>
      </c>
      <c r="C1196">
        <v>2</v>
      </c>
      <c r="D1196">
        <v>20</v>
      </c>
    </row>
    <row r="1197" spans="1:4" x14ac:dyDescent="0.25">
      <c r="A1197" s="45" t="s">
        <v>1225</v>
      </c>
      <c r="B1197" s="46" t="s">
        <v>13515</v>
      </c>
      <c r="C1197">
        <v>2</v>
      </c>
      <c r="D1197">
        <v>20</v>
      </c>
    </row>
    <row r="1198" spans="1:4" x14ac:dyDescent="0.25">
      <c r="A1198" s="45" t="s">
        <v>1226</v>
      </c>
      <c r="B1198" s="46" t="s">
        <v>13516</v>
      </c>
      <c r="C1198">
        <v>2</v>
      </c>
      <c r="D1198">
        <v>20</v>
      </c>
    </row>
    <row r="1199" spans="1:4" x14ac:dyDescent="0.25">
      <c r="A1199" s="45" t="s">
        <v>1227</v>
      </c>
      <c r="B1199" s="46" t="s">
        <v>13517</v>
      </c>
      <c r="C1199">
        <v>2</v>
      </c>
      <c r="D1199">
        <v>20</v>
      </c>
    </row>
    <row r="1200" spans="1:4" x14ac:dyDescent="0.25">
      <c r="A1200" s="45" t="s">
        <v>1228</v>
      </c>
      <c r="B1200" s="46" t="s">
        <v>13518</v>
      </c>
      <c r="C1200">
        <v>2</v>
      </c>
      <c r="D1200">
        <v>20</v>
      </c>
    </row>
    <row r="1201" spans="1:4" x14ac:dyDescent="0.25">
      <c r="A1201" s="45" t="s">
        <v>1229</v>
      </c>
      <c r="B1201" s="46" t="s">
        <v>13519</v>
      </c>
      <c r="C1201">
        <v>2</v>
      </c>
      <c r="D1201">
        <v>20</v>
      </c>
    </row>
    <row r="1202" spans="1:4" x14ac:dyDescent="0.25">
      <c r="A1202" s="45" t="s">
        <v>1230</v>
      </c>
      <c r="B1202" s="46" t="s">
        <v>13520</v>
      </c>
      <c r="C1202">
        <v>2</v>
      </c>
      <c r="D1202">
        <v>20</v>
      </c>
    </row>
    <row r="1203" spans="1:4" x14ac:dyDescent="0.25">
      <c r="A1203" s="45" t="s">
        <v>1231</v>
      </c>
      <c r="B1203" s="46" t="s">
        <v>13521</v>
      </c>
      <c r="C1203">
        <v>2</v>
      </c>
      <c r="D1203">
        <v>20</v>
      </c>
    </row>
    <row r="1204" spans="1:4" x14ac:dyDescent="0.25">
      <c r="A1204" s="45" t="s">
        <v>1232</v>
      </c>
      <c r="B1204" s="46" t="s">
        <v>13522</v>
      </c>
      <c r="C1204">
        <v>2</v>
      </c>
      <c r="D1204">
        <v>20</v>
      </c>
    </row>
    <row r="1205" spans="1:4" x14ac:dyDescent="0.25">
      <c r="A1205" s="45" t="s">
        <v>1233</v>
      </c>
      <c r="B1205" s="46" t="s">
        <v>13523</v>
      </c>
      <c r="C1205">
        <v>2</v>
      </c>
      <c r="D1205">
        <v>20</v>
      </c>
    </row>
    <row r="1206" spans="1:4" x14ac:dyDescent="0.25">
      <c r="A1206" s="45" t="s">
        <v>1234</v>
      </c>
      <c r="B1206" s="46" t="s">
        <v>13524</v>
      </c>
      <c r="C1206">
        <v>2</v>
      </c>
      <c r="D1206">
        <v>20</v>
      </c>
    </row>
    <row r="1207" spans="1:4" x14ac:dyDescent="0.25">
      <c r="A1207" s="45" t="s">
        <v>1235</v>
      </c>
      <c r="B1207" s="46" t="s">
        <v>13525</v>
      </c>
      <c r="C1207">
        <v>2</v>
      </c>
      <c r="D1207">
        <v>20</v>
      </c>
    </row>
    <row r="1208" spans="1:4" x14ac:dyDescent="0.25">
      <c r="A1208" s="45" t="s">
        <v>1236</v>
      </c>
      <c r="B1208" s="46" t="s">
        <v>13526</v>
      </c>
      <c r="C1208">
        <v>2</v>
      </c>
      <c r="D1208">
        <v>20</v>
      </c>
    </row>
    <row r="1209" spans="1:4" x14ac:dyDescent="0.25">
      <c r="A1209" s="45" t="s">
        <v>1237</v>
      </c>
      <c r="B1209" s="46" t="s">
        <v>13527</v>
      </c>
      <c r="C1209">
        <v>2</v>
      </c>
      <c r="D1209">
        <v>20</v>
      </c>
    </row>
    <row r="1210" spans="1:4" x14ac:dyDescent="0.25">
      <c r="A1210" s="45" t="s">
        <v>1238</v>
      </c>
      <c r="B1210" s="46" t="s">
        <v>13528</v>
      </c>
      <c r="C1210">
        <v>2</v>
      </c>
      <c r="D1210">
        <v>20</v>
      </c>
    </row>
    <row r="1211" spans="1:4" x14ac:dyDescent="0.25">
      <c r="A1211" s="45" t="s">
        <v>1239</v>
      </c>
      <c r="B1211" s="46" t="s">
        <v>13529</v>
      </c>
      <c r="C1211">
        <v>2</v>
      </c>
      <c r="D1211">
        <v>20</v>
      </c>
    </row>
    <row r="1212" spans="1:4" x14ac:dyDescent="0.25">
      <c r="A1212" s="45" t="s">
        <v>1240</v>
      </c>
      <c r="B1212" s="46" t="s">
        <v>13530</v>
      </c>
      <c r="C1212">
        <v>2</v>
      </c>
      <c r="D1212">
        <v>20</v>
      </c>
    </row>
    <row r="1213" spans="1:4" x14ac:dyDescent="0.25">
      <c r="A1213" s="45" t="s">
        <v>1241</v>
      </c>
      <c r="B1213" s="46" t="s">
        <v>13531</v>
      </c>
      <c r="C1213">
        <v>2</v>
      </c>
      <c r="D1213">
        <v>20</v>
      </c>
    </row>
    <row r="1214" spans="1:4" x14ac:dyDescent="0.25">
      <c r="A1214" s="45" t="s">
        <v>1242</v>
      </c>
      <c r="B1214" s="46" t="s">
        <v>13532</v>
      </c>
      <c r="C1214">
        <v>2</v>
      </c>
      <c r="D1214">
        <v>23</v>
      </c>
    </row>
    <row r="1215" spans="1:4" x14ac:dyDescent="0.25">
      <c r="A1215" s="45" t="s">
        <v>1243</v>
      </c>
      <c r="B1215" s="46" t="s">
        <v>13533</v>
      </c>
      <c r="C1215">
        <v>4</v>
      </c>
      <c r="D1215">
        <v>29</v>
      </c>
    </row>
    <row r="1216" spans="1:4" x14ac:dyDescent="0.25">
      <c r="A1216" s="45" t="s">
        <v>1244</v>
      </c>
      <c r="B1216" s="46" t="s">
        <v>13534</v>
      </c>
      <c r="C1216">
        <v>2</v>
      </c>
      <c r="D1216">
        <v>20</v>
      </c>
    </row>
    <row r="1217" spans="1:4" x14ac:dyDescent="0.25">
      <c r="A1217" s="45" t="s">
        <v>1245</v>
      </c>
      <c r="B1217" s="46" t="s">
        <v>13535</v>
      </c>
      <c r="C1217">
        <v>2</v>
      </c>
      <c r="D1217">
        <v>20</v>
      </c>
    </row>
    <row r="1218" spans="1:4" x14ac:dyDescent="0.25">
      <c r="A1218" s="45" t="s">
        <v>1246</v>
      </c>
      <c r="B1218" s="46" t="s">
        <v>13536</v>
      </c>
      <c r="C1218">
        <v>2</v>
      </c>
      <c r="D1218">
        <v>20</v>
      </c>
    </row>
    <row r="1219" spans="1:4" x14ac:dyDescent="0.25">
      <c r="A1219" s="45" t="s">
        <v>1247</v>
      </c>
      <c r="B1219" s="46" t="s">
        <v>13537</v>
      </c>
      <c r="C1219">
        <v>2</v>
      </c>
      <c r="D1219">
        <v>20</v>
      </c>
    </row>
    <row r="1220" spans="1:4" x14ac:dyDescent="0.25">
      <c r="A1220" s="45" t="s">
        <v>1248</v>
      </c>
      <c r="B1220" s="46" t="s">
        <v>13538</v>
      </c>
      <c r="C1220">
        <v>2</v>
      </c>
      <c r="D1220">
        <v>20</v>
      </c>
    </row>
    <row r="1221" spans="1:4" x14ac:dyDescent="0.25">
      <c r="A1221" s="45" t="s">
        <v>1249</v>
      </c>
      <c r="B1221" s="46" t="s">
        <v>13539</v>
      </c>
      <c r="C1221">
        <v>2</v>
      </c>
      <c r="D1221">
        <v>20</v>
      </c>
    </row>
    <row r="1222" spans="1:4" x14ac:dyDescent="0.25">
      <c r="A1222" s="45" t="s">
        <v>1250</v>
      </c>
      <c r="B1222" s="46" t="s">
        <v>13540</v>
      </c>
      <c r="C1222">
        <v>2</v>
      </c>
      <c r="D1222">
        <v>20</v>
      </c>
    </row>
    <row r="1223" spans="1:4" x14ac:dyDescent="0.25">
      <c r="A1223" s="45" t="s">
        <v>1251</v>
      </c>
      <c r="B1223" s="46" t="s">
        <v>13541</v>
      </c>
      <c r="C1223">
        <v>2</v>
      </c>
      <c r="D1223">
        <v>20</v>
      </c>
    </row>
    <row r="1224" spans="1:4" x14ac:dyDescent="0.25">
      <c r="A1224" s="45" t="s">
        <v>1252</v>
      </c>
      <c r="B1224" s="46" t="s">
        <v>13542</v>
      </c>
      <c r="C1224">
        <v>2</v>
      </c>
      <c r="D1224">
        <v>20</v>
      </c>
    </row>
    <row r="1225" spans="1:4" x14ac:dyDescent="0.25">
      <c r="A1225" s="45" t="s">
        <v>1253</v>
      </c>
      <c r="B1225" s="46" t="s">
        <v>13543</v>
      </c>
      <c r="C1225">
        <v>2</v>
      </c>
      <c r="D1225">
        <v>20</v>
      </c>
    </row>
    <row r="1226" spans="1:4" x14ac:dyDescent="0.25">
      <c r="A1226" s="45" t="s">
        <v>1254</v>
      </c>
      <c r="B1226" s="46" t="s">
        <v>19459</v>
      </c>
      <c r="C1226">
        <v>2</v>
      </c>
      <c r="D1226">
        <v>20</v>
      </c>
    </row>
    <row r="1227" spans="1:4" x14ac:dyDescent="0.25">
      <c r="A1227" s="45" t="s">
        <v>1255</v>
      </c>
      <c r="B1227" s="46" t="s">
        <v>19460</v>
      </c>
      <c r="C1227">
        <v>2</v>
      </c>
      <c r="D1227">
        <v>20</v>
      </c>
    </row>
    <row r="1228" spans="1:4" x14ac:dyDescent="0.25">
      <c r="A1228" s="45" t="s">
        <v>1256</v>
      </c>
      <c r="B1228" s="46" t="s">
        <v>19461</v>
      </c>
      <c r="C1228">
        <v>2</v>
      </c>
      <c r="D1228">
        <v>19</v>
      </c>
    </row>
    <row r="1229" spans="1:4" x14ac:dyDescent="0.25">
      <c r="A1229" s="45" t="s">
        <v>1257</v>
      </c>
      <c r="B1229" s="46" t="s">
        <v>13544</v>
      </c>
      <c r="C1229">
        <v>2</v>
      </c>
      <c r="D1229">
        <v>22</v>
      </c>
    </row>
    <row r="1230" spans="1:4" x14ac:dyDescent="0.25">
      <c r="A1230" s="45" t="s">
        <v>1258</v>
      </c>
      <c r="B1230" s="46" t="s">
        <v>13545</v>
      </c>
      <c r="C1230">
        <v>2</v>
      </c>
      <c r="D1230">
        <v>22</v>
      </c>
    </row>
    <row r="1231" spans="1:4" x14ac:dyDescent="0.25">
      <c r="A1231" s="45" t="s">
        <v>1259</v>
      </c>
      <c r="B1231" s="46" t="s">
        <v>13546</v>
      </c>
      <c r="C1231">
        <v>2</v>
      </c>
      <c r="D1231">
        <v>22</v>
      </c>
    </row>
    <row r="1232" spans="1:4" x14ac:dyDescent="0.25">
      <c r="A1232" s="45" t="s">
        <v>1260</v>
      </c>
      <c r="B1232" s="46" t="s">
        <v>13547</v>
      </c>
      <c r="C1232">
        <v>2</v>
      </c>
      <c r="D1232">
        <v>22</v>
      </c>
    </row>
    <row r="1233" spans="1:4" x14ac:dyDescent="0.25">
      <c r="A1233" s="45" t="s">
        <v>1261</v>
      </c>
      <c r="B1233" s="46" t="s">
        <v>13548</v>
      </c>
      <c r="C1233">
        <v>2</v>
      </c>
      <c r="D1233">
        <v>22</v>
      </c>
    </row>
    <row r="1234" spans="1:4" x14ac:dyDescent="0.25">
      <c r="A1234" s="45" t="s">
        <v>1262</v>
      </c>
      <c r="B1234" s="46" t="s">
        <v>13549</v>
      </c>
      <c r="C1234">
        <v>2</v>
      </c>
      <c r="D1234">
        <v>22</v>
      </c>
    </row>
    <row r="1235" spans="1:4" x14ac:dyDescent="0.25">
      <c r="A1235" s="45" t="s">
        <v>1263</v>
      </c>
      <c r="B1235" s="46" t="s">
        <v>13550</v>
      </c>
      <c r="C1235">
        <v>2</v>
      </c>
      <c r="D1235">
        <v>22</v>
      </c>
    </row>
    <row r="1236" spans="1:4" x14ac:dyDescent="0.25">
      <c r="A1236" s="45" t="s">
        <v>1264</v>
      </c>
      <c r="B1236" s="46" t="s">
        <v>19462</v>
      </c>
      <c r="C1236">
        <v>2</v>
      </c>
      <c r="D1236">
        <v>22</v>
      </c>
    </row>
    <row r="1237" spans="1:4" x14ac:dyDescent="0.25">
      <c r="A1237" s="45" t="s">
        <v>1265</v>
      </c>
      <c r="B1237" s="46" t="s">
        <v>19463</v>
      </c>
      <c r="C1237">
        <v>2</v>
      </c>
      <c r="D1237">
        <v>22</v>
      </c>
    </row>
    <row r="1238" spans="1:4" x14ac:dyDescent="0.25">
      <c r="A1238" s="45" t="s">
        <v>1266</v>
      </c>
      <c r="B1238" s="46" t="s">
        <v>13551</v>
      </c>
      <c r="C1238">
        <v>2</v>
      </c>
      <c r="D1238">
        <v>22</v>
      </c>
    </row>
    <row r="1239" spans="1:4" x14ac:dyDescent="0.25">
      <c r="A1239" s="45" t="s">
        <v>1267</v>
      </c>
      <c r="B1239" s="46" t="s">
        <v>13552</v>
      </c>
      <c r="C1239">
        <v>2</v>
      </c>
      <c r="D1239">
        <v>22</v>
      </c>
    </row>
    <row r="1240" spans="1:4" x14ac:dyDescent="0.25">
      <c r="A1240" s="45" t="s">
        <v>1268</v>
      </c>
      <c r="B1240" s="46" t="s">
        <v>13553</v>
      </c>
      <c r="C1240">
        <v>2</v>
      </c>
      <c r="D1240">
        <v>22</v>
      </c>
    </row>
    <row r="1241" spans="1:4" x14ac:dyDescent="0.25">
      <c r="A1241" s="45" t="s">
        <v>1269</v>
      </c>
      <c r="B1241" s="46" t="s">
        <v>13554</v>
      </c>
      <c r="C1241">
        <v>2</v>
      </c>
      <c r="D1241">
        <v>22</v>
      </c>
    </row>
    <row r="1242" spans="1:4" x14ac:dyDescent="0.25">
      <c r="A1242" s="45" t="s">
        <v>1270</v>
      </c>
      <c r="B1242" s="46" t="s">
        <v>13555</v>
      </c>
      <c r="C1242">
        <v>2</v>
      </c>
      <c r="D1242">
        <v>22</v>
      </c>
    </row>
    <row r="1243" spans="1:4" x14ac:dyDescent="0.25">
      <c r="A1243" s="45" t="s">
        <v>1271</v>
      </c>
      <c r="B1243" s="46" t="s">
        <v>13556</v>
      </c>
      <c r="C1243">
        <v>2</v>
      </c>
      <c r="D1243">
        <v>22</v>
      </c>
    </row>
    <row r="1244" spans="1:4" x14ac:dyDescent="0.25">
      <c r="A1244" s="45" t="s">
        <v>1272</v>
      </c>
      <c r="B1244" s="46" t="s">
        <v>13557</v>
      </c>
      <c r="C1244">
        <v>2</v>
      </c>
      <c r="D1244">
        <v>22</v>
      </c>
    </row>
    <row r="1245" spans="1:4" x14ac:dyDescent="0.25">
      <c r="A1245" s="45" t="s">
        <v>1273</v>
      </c>
      <c r="B1245" s="46" t="s">
        <v>13558</v>
      </c>
      <c r="C1245">
        <v>2</v>
      </c>
      <c r="D1245">
        <v>22</v>
      </c>
    </row>
    <row r="1246" spans="1:4" x14ac:dyDescent="0.25">
      <c r="A1246" s="45" t="s">
        <v>1274</v>
      </c>
      <c r="B1246" s="46" t="s">
        <v>13559</v>
      </c>
      <c r="C1246">
        <v>2</v>
      </c>
      <c r="D1246">
        <v>22</v>
      </c>
    </row>
    <row r="1247" spans="1:4" x14ac:dyDescent="0.25">
      <c r="A1247" s="45" t="s">
        <v>1275</v>
      </c>
      <c r="B1247" s="46" t="s">
        <v>13560</v>
      </c>
      <c r="C1247">
        <v>2</v>
      </c>
      <c r="D1247">
        <v>22</v>
      </c>
    </row>
    <row r="1248" spans="1:4" x14ac:dyDescent="0.25">
      <c r="A1248" s="45" t="s">
        <v>1276</v>
      </c>
      <c r="B1248" s="46" t="s">
        <v>13561</v>
      </c>
      <c r="C1248">
        <v>2</v>
      </c>
      <c r="D1248">
        <v>22</v>
      </c>
    </row>
    <row r="1249" spans="1:4" x14ac:dyDescent="0.25">
      <c r="A1249" s="45" t="s">
        <v>1277</v>
      </c>
      <c r="B1249" s="46" t="s">
        <v>13562</v>
      </c>
      <c r="C1249">
        <v>2</v>
      </c>
      <c r="D1249">
        <v>22</v>
      </c>
    </row>
    <row r="1250" spans="1:4" x14ac:dyDescent="0.25">
      <c r="A1250" s="45" t="s">
        <v>1278</v>
      </c>
      <c r="B1250" s="46" t="s">
        <v>13563</v>
      </c>
      <c r="C1250">
        <v>2</v>
      </c>
      <c r="D1250">
        <v>22</v>
      </c>
    </row>
    <row r="1251" spans="1:4" x14ac:dyDescent="0.25">
      <c r="A1251" s="45" t="s">
        <v>1279</v>
      </c>
      <c r="B1251" s="46" t="s">
        <v>13564</v>
      </c>
      <c r="C1251">
        <v>2</v>
      </c>
      <c r="D1251">
        <v>22</v>
      </c>
    </row>
    <row r="1252" spans="1:4" x14ac:dyDescent="0.25">
      <c r="A1252" s="45" t="s">
        <v>1280</v>
      </c>
      <c r="B1252" s="46" t="s">
        <v>13565</v>
      </c>
      <c r="C1252">
        <v>2</v>
      </c>
      <c r="D1252">
        <v>22</v>
      </c>
    </row>
    <row r="1253" spans="1:4" x14ac:dyDescent="0.25">
      <c r="A1253" s="45" t="s">
        <v>1281</v>
      </c>
      <c r="B1253" s="46" t="s">
        <v>13566</v>
      </c>
      <c r="C1253">
        <v>2</v>
      </c>
      <c r="D1253">
        <v>22</v>
      </c>
    </row>
    <row r="1254" spans="1:4" x14ac:dyDescent="0.25">
      <c r="A1254" s="45" t="s">
        <v>1282</v>
      </c>
      <c r="B1254" s="46" t="s">
        <v>13567</v>
      </c>
      <c r="C1254">
        <v>2</v>
      </c>
      <c r="D1254">
        <v>22</v>
      </c>
    </row>
    <row r="1255" spans="1:4" x14ac:dyDescent="0.25">
      <c r="A1255" s="45" t="s">
        <v>1283</v>
      </c>
      <c r="B1255" s="46" t="s">
        <v>13568</v>
      </c>
      <c r="C1255">
        <v>2</v>
      </c>
      <c r="D1255">
        <v>22</v>
      </c>
    </row>
    <row r="1256" spans="1:4" x14ac:dyDescent="0.25">
      <c r="A1256" s="45" t="s">
        <v>1284</v>
      </c>
      <c r="B1256" s="46" t="s">
        <v>13569</v>
      </c>
      <c r="C1256">
        <v>2</v>
      </c>
      <c r="D1256">
        <v>22</v>
      </c>
    </row>
    <row r="1257" spans="1:4" x14ac:dyDescent="0.25">
      <c r="A1257" s="45" t="s">
        <v>1285</v>
      </c>
      <c r="B1257" s="46" t="s">
        <v>19464</v>
      </c>
      <c r="C1257">
        <v>2</v>
      </c>
      <c r="D1257">
        <v>22</v>
      </c>
    </row>
    <row r="1258" spans="1:4" x14ac:dyDescent="0.25">
      <c r="A1258" s="45" t="s">
        <v>1286</v>
      </c>
      <c r="B1258" s="46" t="s">
        <v>19465</v>
      </c>
      <c r="C1258">
        <v>2</v>
      </c>
      <c r="D1258">
        <v>22</v>
      </c>
    </row>
    <row r="1259" spans="1:4" x14ac:dyDescent="0.25">
      <c r="A1259" s="45" t="s">
        <v>1287</v>
      </c>
      <c r="B1259" s="46" t="s">
        <v>13570</v>
      </c>
      <c r="C1259">
        <v>2</v>
      </c>
      <c r="D1259">
        <v>22</v>
      </c>
    </row>
    <row r="1260" spans="1:4" x14ac:dyDescent="0.25">
      <c r="A1260" s="45" t="s">
        <v>1288</v>
      </c>
      <c r="B1260" s="46" t="s">
        <v>13571</v>
      </c>
      <c r="C1260">
        <v>2</v>
      </c>
      <c r="D1260">
        <v>22</v>
      </c>
    </row>
    <row r="1261" spans="1:4" x14ac:dyDescent="0.25">
      <c r="A1261" s="45" t="s">
        <v>1289</v>
      </c>
      <c r="B1261" s="46" t="s">
        <v>13572</v>
      </c>
      <c r="C1261">
        <v>2</v>
      </c>
      <c r="D1261">
        <v>22</v>
      </c>
    </row>
    <row r="1262" spans="1:4" x14ac:dyDescent="0.25">
      <c r="A1262" s="45" t="s">
        <v>1290</v>
      </c>
      <c r="B1262" s="46" t="s">
        <v>13573</v>
      </c>
      <c r="C1262">
        <v>2</v>
      </c>
      <c r="D1262">
        <v>22</v>
      </c>
    </row>
    <row r="1263" spans="1:4" x14ac:dyDescent="0.25">
      <c r="A1263" s="45" t="s">
        <v>1291</v>
      </c>
      <c r="B1263" s="46" t="s">
        <v>13574</v>
      </c>
      <c r="C1263">
        <v>2</v>
      </c>
      <c r="D1263">
        <v>22</v>
      </c>
    </row>
    <row r="1264" spans="1:4" x14ac:dyDescent="0.25">
      <c r="A1264" s="45" t="s">
        <v>1292</v>
      </c>
      <c r="B1264" s="46" t="s">
        <v>13575</v>
      </c>
      <c r="C1264">
        <v>2</v>
      </c>
      <c r="D1264">
        <v>22</v>
      </c>
    </row>
    <row r="1265" spans="1:4" x14ac:dyDescent="0.25">
      <c r="A1265" s="45" t="s">
        <v>1293</v>
      </c>
      <c r="B1265" s="46" t="s">
        <v>13576</v>
      </c>
      <c r="C1265">
        <v>2</v>
      </c>
      <c r="D1265">
        <v>22</v>
      </c>
    </row>
    <row r="1266" spans="1:4" x14ac:dyDescent="0.25">
      <c r="A1266" s="45" t="s">
        <v>1294</v>
      </c>
      <c r="B1266" s="46" t="s">
        <v>13577</v>
      </c>
      <c r="C1266">
        <v>2</v>
      </c>
      <c r="D1266">
        <v>22</v>
      </c>
    </row>
    <row r="1267" spans="1:4" x14ac:dyDescent="0.25">
      <c r="A1267" s="45" t="s">
        <v>1295</v>
      </c>
      <c r="B1267" s="46" t="s">
        <v>13578</v>
      </c>
      <c r="C1267">
        <v>2</v>
      </c>
      <c r="D1267">
        <v>22</v>
      </c>
    </row>
    <row r="1268" spans="1:4" x14ac:dyDescent="0.25">
      <c r="A1268" s="45" t="s">
        <v>1296</v>
      </c>
      <c r="B1268" s="46" t="s">
        <v>13579</v>
      </c>
      <c r="C1268">
        <v>2</v>
      </c>
      <c r="D1268">
        <v>22</v>
      </c>
    </row>
    <row r="1269" spans="1:4" x14ac:dyDescent="0.25">
      <c r="A1269" s="45" t="s">
        <v>1297</v>
      </c>
      <c r="B1269" s="46" t="s">
        <v>13580</v>
      </c>
      <c r="C1269">
        <v>2</v>
      </c>
      <c r="D1269">
        <v>22</v>
      </c>
    </row>
    <row r="1270" spans="1:4" x14ac:dyDescent="0.25">
      <c r="A1270" s="45" t="s">
        <v>1298</v>
      </c>
      <c r="B1270" s="46" t="s">
        <v>13581</v>
      </c>
      <c r="C1270">
        <v>2</v>
      </c>
      <c r="D1270">
        <v>22</v>
      </c>
    </row>
    <row r="1271" spans="1:4" x14ac:dyDescent="0.25">
      <c r="A1271" s="45" t="s">
        <v>1299</v>
      </c>
      <c r="B1271" s="46" t="s">
        <v>13582</v>
      </c>
      <c r="C1271">
        <v>2</v>
      </c>
      <c r="D1271">
        <v>22</v>
      </c>
    </row>
    <row r="1272" spans="1:4" x14ac:dyDescent="0.25">
      <c r="A1272" s="45" t="s">
        <v>1300</v>
      </c>
      <c r="B1272" s="46" t="s">
        <v>13583</v>
      </c>
      <c r="C1272">
        <v>2</v>
      </c>
      <c r="D1272">
        <v>22</v>
      </c>
    </row>
    <row r="1273" spans="1:4" x14ac:dyDescent="0.25">
      <c r="A1273" s="45" t="s">
        <v>1301</v>
      </c>
      <c r="B1273" s="46" t="s">
        <v>13584</v>
      </c>
      <c r="C1273">
        <v>2</v>
      </c>
      <c r="D1273">
        <v>22</v>
      </c>
    </row>
    <row r="1274" spans="1:4" x14ac:dyDescent="0.25">
      <c r="A1274" s="45" t="s">
        <v>1302</v>
      </c>
      <c r="B1274" s="46" t="s">
        <v>13585</v>
      </c>
      <c r="C1274">
        <v>2</v>
      </c>
      <c r="D1274">
        <v>22</v>
      </c>
    </row>
    <row r="1275" spans="1:4" x14ac:dyDescent="0.25">
      <c r="A1275" s="45" t="s">
        <v>1303</v>
      </c>
      <c r="B1275" s="46" t="s">
        <v>13586</v>
      </c>
      <c r="C1275">
        <v>2</v>
      </c>
      <c r="D1275">
        <v>22</v>
      </c>
    </row>
    <row r="1276" spans="1:4" x14ac:dyDescent="0.25">
      <c r="A1276" s="45" t="s">
        <v>1304</v>
      </c>
      <c r="B1276" s="46" t="s">
        <v>19466</v>
      </c>
      <c r="C1276">
        <v>2</v>
      </c>
      <c r="D1276">
        <v>22</v>
      </c>
    </row>
    <row r="1277" spans="1:4" x14ac:dyDescent="0.25">
      <c r="A1277" s="45" t="s">
        <v>1305</v>
      </c>
      <c r="B1277" s="46" t="s">
        <v>13587</v>
      </c>
      <c r="C1277">
        <v>2</v>
      </c>
      <c r="D1277">
        <v>22</v>
      </c>
    </row>
    <row r="1278" spans="1:4" x14ac:dyDescent="0.25">
      <c r="A1278" s="45" t="s">
        <v>1306</v>
      </c>
      <c r="B1278" s="46" t="s">
        <v>13588</v>
      </c>
      <c r="C1278">
        <v>2</v>
      </c>
      <c r="D1278">
        <v>22</v>
      </c>
    </row>
    <row r="1279" spans="1:4" x14ac:dyDescent="0.25">
      <c r="A1279" s="45" t="s">
        <v>1307</v>
      </c>
      <c r="B1279" s="46" t="s">
        <v>19467</v>
      </c>
      <c r="C1279">
        <v>2</v>
      </c>
      <c r="D1279">
        <v>22</v>
      </c>
    </row>
    <row r="1280" spans="1:4" x14ac:dyDescent="0.25">
      <c r="A1280" s="45" t="s">
        <v>1308</v>
      </c>
      <c r="B1280" s="46" t="s">
        <v>13589</v>
      </c>
      <c r="C1280">
        <v>2</v>
      </c>
      <c r="D1280">
        <v>22</v>
      </c>
    </row>
    <row r="1281" spans="1:4" x14ac:dyDescent="0.25">
      <c r="A1281" s="45" t="s">
        <v>1309</v>
      </c>
      <c r="B1281" s="46" t="s">
        <v>13590</v>
      </c>
      <c r="C1281">
        <v>2</v>
      </c>
      <c r="D1281">
        <v>22</v>
      </c>
    </row>
    <row r="1282" spans="1:4" x14ac:dyDescent="0.25">
      <c r="A1282" s="45" t="s">
        <v>1310</v>
      </c>
      <c r="B1282" s="46" t="s">
        <v>13591</v>
      </c>
      <c r="C1282">
        <v>2</v>
      </c>
      <c r="D1282">
        <v>22</v>
      </c>
    </row>
    <row r="1283" spans="1:4" x14ac:dyDescent="0.25">
      <c r="A1283" s="45" t="s">
        <v>1311</v>
      </c>
      <c r="B1283" s="46" t="s">
        <v>19468</v>
      </c>
      <c r="C1283">
        <v>2</v>
      </c>
      <c r="D1283">
        <v>22</v>
      </c>
    </row>
    <row r="1284" spans="1:4" x14ac:dyDescent="0.25">
      <c r="A1284" s="45" t="s">
        <v>1312</v>
      </c>
      <c r="B1284" s="46" t="s">
        <v>13592</v>
      </c>
      <c r="C1284">
        <v>2</v>
      </c>
      <c r="D1284">
        <v>22</v>
      </c>
    </row>
    <row r="1285" spans="1:4" x14ac:dyDescent="0.25">
      <c r="A1285" s="45" t="s">
        <v>1313</v>
      </c>
      <c r="B1285" s="46" t="s">
        <v>13593</v>
      </c>
      <c r="C1285">
        <v>2</v>
      </c>
      <c r="D1285">
        <v>22</v>
      </c>
    </row>
    <row r="1286" spans="1:4" x14ac:dyDescent="0.25">
      <c r="A1286" s="45" t="s">
        <v>1314</v>
      </c>
      <c r="B1286" s="46" t="s">
        <v>13594</v>
      </c>
      <c r="C1286">
        <v>2</v>
      </c>
      <c r="D1286">
        <v>21</v>
      </c>
    </row>
    <row r="1287" spans="1:4" x14ac:dyDescent="0.25">
      <c r="A1287" s="45" t="s">
        <v>1315</v>
      </c>
      <c r="B1287" s="46" t="s">
        <v>13595</v>
      </c>
      <c r="C1287">
        <v>2</v>
      </c>
      <c r="D1287">
        <v>21</v>
      </c>
    </row>
    <row r="1288" spans="1:4" x14ac:dyDescent="0.25">
      <c r="A1288" s="45" t="s">
        <v>1316</v>
      </c>
      <c r="B1288" s="46" t="s">
        <v>13596</v>
      </c>
      <c r="C1288">
        <v>2</v>
      </c>
      <c r="D1288">
        <v>21</v>
      </c>
    </row>
    <row r="1289" spans="1:4" x14ac:dyDescent="0.25">
      <c r="A1289" s="45" t="s">
        <v>1317</v>
      </c>
      <c r="B1289" s="46" t="s">
        <v>13597</v>
      </c>
      <c r="C1289">
        <v>2</v>
      </c>
      <c r="D1289">
        <v>21</v>
      </c>
    </row>
    <row r="1290" spans="1:4" x14ac:dyDescent="0.25">
      <c r="A1290" s="45" t="s">
        <v>1318</v>
      </c>
      <c r="B1290" s="46" t="s">
        <v>13598</v>
      </c>
      <c r="C1290">
        <v>2</v>
      </c>
      <c r="D1290">
        <v>21</v>
      </c>
    </row>
    <row r="1291" spans="1:4" x14ac:dyDescent="0.25">
      <c r="A1291" s="45" t="s">
        <v>1319</v>
      </c>
      <c r="B1291" s="46" t="s">
        <v>13599</v>
      </c>
      <c r="C1291">
        <v>2</v>
      </c>
      <c r="D1291">
        <v>21</v>
      </c>
    </row>
    <row r="1292" spans="1:4" x14ac:dyDescent="0.25">
      <c r="A1292" s="45" t="s">
        <v>1320</v>
      </c>
      <c r="B1292" s="46" t="s">
        <v>13600</v>
      </c>
      <c r="C1292">
        <v>2</v>
      </c>
      <c r="D1292">
        <v>21</v>
      </c>
    </row>
    <row r="1293" spans="1:4" x14ac:dyDescent="0.25">
      <c r="A1293" s="45" t="s">
        <v>1321</v>
      </c>
      <c r="B1293" s="46" t="s">
        <v>13601</v>
      </c>
      <c r="C1293">
        <v>2</v>
      </c>
      <c r="D1293">
        <v>21</v>
      </c>
    </row>
    <row r="1294" spans="1:4" x14ac:dyDescent="0.25">
      <c r="A1294" s="45" t="s">
        <v>1322</v>
      </c>
      <c r="B1294" s="46" t="s">
        <v>13602</v>
      </c>
      <c r="C1294">
        <v>2</v>
      </c>
      <c r="D1294">
        <v>21</v>
      </c>
    </row>
    <row r="1295" spans="1:4" x14ac:dyDescent="0.25">
      <c r="A1295" s="45" t="s">
        <v>1323</v>
      </c>
      <c r="B1295" s="46" t="s">
        <v>13603</v>
      </c>
      <c r="C1295">
        <v>2</v>
      </c>
      <c r="D1295">
        <v>21</v>
      </c>
    </row>
    <row r="1296" spans="1:4" x14ac:dyDescent="0.25">
      <c r="A1296" s="45" t="s">
        <v>1324</v>
      </c>
      <c r="B1296" s="46" t="s">
        <v>13604</v>
      </c>
      <c r="C1296">
        <v>2</v>
      </c>
      <c r="D1296">
        <v>21</v>
      </c>
    </row>
    <row r="1297" spans="1:4" x14ac:dyDescent="0.25">
      <c r="A1297" s="45" t="s">
        <v>1325</v>
      </c>
      <c r="B1297" s="46" t="s">
        <v>13605</v>
      </c>
      <c r="C1297">
        <v>2</v>
      </c>
      <c r="D1297">
        <v>21</v>
      </c>
    </row>
    <row r="1298" spans="1:4" x14ac:dyDescent="0.25">
      <c r="A1298" s="45" t="s">
        <v>1326</v>
      </c>
      <c r="B1298" s="46" t="s">
        <v>13606</v>
      </c>
      <c r="C1298">
        <v>2</v>
      </c>
      <c r="D1298">
        <v>21</v>
      </c>
    </row>
    <row r="1299" spans="1:4" x14ac:dyDescent="0.25">
      <c r="A1299" s="45" t="s">
        <v>1327</v>
      </c>
      <c r="B1299" s="46" t="s">
        <v>13607</v>
      </c>
      <c r="C1299">
        <v>2</v>
      </c>
      <c r="D1299">
        <v>21</v>
      </c>
    </row>
    <row r="1300" spans="1:4" x14ac:dyDescent="0.25">
      <c r="A1300" s="45" t="s">
        <v>1328</v>
      </c>
      <c r="B1300" s="46" t="s">
        <v>13608</v>
      </c>
      <c r="C1300">
        <v>2</v>
      </c>
      <c r="D1300">
        <v>21</v>
      </c>
    </row>
    <row r="1301" spans="1:4" x14ac:dyDescent="0.25">
      <c r="A1301" s="45" t="s">
        <v>1329</v>
      </c>
      <c r="B1301" s="46" t="s">
        <v>13609</v>
      </c>
      <c r="C1301">
        <v>2</v>
      </c>
      <c r="D1301">
        <v>21</v>
      </c>
    </row>
    <row r="1302" spans="1:4" x14ac:dyDescent="0.25">
      <c r="A1302" s="45" t="s">
        <v>1330</v>
      </c>
      <c r="B1302" s="46" t="s">
        <v>13610</v>
      </c>
      <c r="C1302">
        <v>2</v>
      </c>
      <c r="D1302">
        <v>21</v>
      </c>
    </row>
    <row r="1303" spans="1:4" x14ac:dyDescent="0.25">
      <c r="A1303" s="45" t="s">
        <v>1331</v>
      </c>
      <c r="B1303" s="46" t="s">
        <v>13611</v>
      </c>
      <c r="C1303">
        <v>2</v>
      </c>
      <c r="D1303">
        <v>21</v>
      </c>
    </row>
    <row r="1304" spans="1:4" x14ac:dyDescent="0.25">
      <c r="A1304" s="45" t="s">
        <v>1332</v>
      </c>
      <c r="B1304" s="46" t="s">
        <v>13612</v>
      </c>
      <c r="C1304">
        <v>2</v>
      </c>
      <c r="D1304">
        <v>21</v>
      </c>
    </row>
    <row r="1305" spans="1:4" x14ac:dyDescent="0.25">
      <c r="A1305" s="45" t="s">
        <v>1333</v>
      </c>
      <c r="B1305" s="46" t="s">
        <v>13613</v>
      </c>
      <c r="C1305">
        <v>2</v>
      </c>
      <c r="D1305">
        <v>21</v>
      </c>
    </row>
    <row r="1306" spans="1:4" x14ac:dyDescent="0.25">
      <c r="A1306" s="45" t="s">
        <v>1334</v>
      </c>
      <c r="B1306" s="46" t="s">
        <v>13614</v>
      </c>
      <c r="C1306">
        <v>2</v>
      </c>
      <c r="D1306">
        <v>21</v>
      </c>
    </row>
    <row r="1307" spans="1:4" x14ac:dyDescent="0.25">
      <c r="A1307" s="45" t="s">
        <v>1335</v>
      </c>
      <c r="B1307" s="46" t="s">
        <v>13615</v>
      </c>
      <c r="C1307">
        <v>2</v>
      </c>
      <c r="D1307">
        <v>21</v>
      </c>
    </row>
    <row r="1308" spans="1:4" x14ac:dyDescent="0.25">
      <c r="A1308" s="45" t="s">
        <v>1336</v>
      </c>
      <c r="B1308" s="46" t="s">
        <v>13616</v>
      </c>
      <c r="C1308">
        <v>2</v>
      </c>
      <c r="D1308">
        <v>21</v>
      </c>
    </row>
    <row r="1309" spans="1:4" x14ac:dyDescent="0.25">
      <c r="A1309" s="45" t="s">
        <v>1337</v>
      </c>
      <c r="B1309" s="46" t="s">
        <v>13617</v>
      </c>
      <c r="C1309">
        <v>2</v>
      </c>
      <c r="D1309">
        <v>21</v>
      </c>
    </row>
    <row r="1310" spans="1:4" x14ac:dyDescent="0.25">
      <c r="A1310" s="45" t="s">
        <v>1338</v>
      </c>
      <c r="B1310" s="46" t="s">
        <v>13618</v>
      </c>
      <c r="C1310">
        <v>2</v>
      </c>
      <c r="D1310">
        <v>21</v>
      </c>
    </row>
    <row r="1311" spans="1:4" x14ac:dyDescent="0.25">
      <c r="A1311" s="45" t="s">
        <v>1339</v>
      </c>
      <c r="B1311" s="46" t="s">
        <v>19469</v>
      </c>
      <c r="C1311">
        <v>2</v>
      </c>
      <c r="D1311">
        <v>21</v>
      </c>
    </row>
    <row r="1312" spans="1:4" x14ac:dyDescent="0.25">
      <c r="A1312" s="45" t="s">
        <v>1340</v>
      </c>
      <c r="B1312" s="46" t="s">
        <v>13619</v>
      </c>
      <c r="C1312">
        <v>2</v>
      </c>
      <c r="D1312">
        <v>21</v>
      </c>
    </row>
    <row r="1313" spans="1:4" x14ac:dyDescent="0.25">
      <c r="A1313" s="45" t="s">
        <v>1341</v>
      </c>
      <c r="B1313" s="46" t="s">
        <v>13620</v>
      </c>
      <c r="C1313">
        <v>2</v>
      </c>
      <c r="D1313">
        <v>21</v>
      </c>
    </row>
    <row r="1314" spans="1:4" x14ac:dyDescent="0.25">
      <c r="A1314" s="45" t="s">
        <v>1342</v>
      </c>
      <c r="B1314" s="46" t="s">
        <v>13621</v>
      </c>
      <c r="C1314">
        <v>2</v>
      </c>
      <c r="D1314">
        <v>21</v>
      </c>
    </row>
    <row r="1315" spans="1:4" x14ac:dyDescent="0.25">
      <c r="A1315" s="45" t="s">
        <v>1343</v>
      </c>
      <c r="B1315" s="46" t="s">
        <v>13622</v>
      </c>
      <c r="C1315">
        <v>2</v>
      </c>
      <c r="D1315">
        <v>21</v>
      </c>
    </row>
    <row r="1316" spans="1:4" x14ac:dyDescent="0.25">
      <c r="A1316" s="45" t="s">
        <v>1344</v>
      </c>
      <c r="B1316" s="46" t="s">
        <v>13623</v>
      </c>
      <c r="C1316">
        <v>2</v>
      </c>
      <c r="D1316">
        <v>21</v>
      </c>
    </row>
    <row r="1317" spans="1:4" x14ac:dyDescent="0.25">
      <c r="A1317" s="45" t="s">
        <v>1345</v>
      </c>
      <c r="B1317" s="46" t="s">
        <v>19470</v>
      </c>
      <c r="C1317">
        <v>2</v>
      </c>
      <c r="D1317">
        <v>21</v>
      </c>
    </row>
    <row r="1318" spans="1:4" x14ac:dyDescent="0.25">
      <c r="A1318" s="45" t="s">
        <v>1346</v>
      </c>
      <c r="B1318" s="46" t="s">
        <v>13624</v>
      </c>
      <c r="C1318">
        <v>2</v>
      </c>
      <c r="D1318">
        <v>21</v>
      </c>
    </row>
    <row r="1319" spans="1:4" x14ac:dyDescent="0.25">
      <c r="A1319" s="45" t="s">
        <v>1347</v>
      </c>
      <c r="B1319" s="46" t="s">
        <v>13625</v>
      </c>
      <c r="C1319">
        <v>2</v>
      </c>
      <c r="D1319">
        <v>21</v>
      </c>
    </row>
    <row r="1320" spans="1:4" x14ac:dyDescent="0.25">
      <c r="A1320" s="45" t="s">
        <v>1348</v>
      </c>
      <c r="B1320" s="46" t="s">
        <v>13626</v>
      </c>
      <c r="C1320">
        <v>2</v>
      </c>
      <c r="D1320">
        <v>21</v>
      </c>
    </row>
    <row r="1321" spans="1:4" x14ac:dyDescent="0.25">
      <c r="A1321" s="45" t="s">
        <v>1349</v>
      </c>
      <c r="B1321" s="46" t="s">
        <v>13627</v>
      </c>
      <c r="C1321">
        <v>2</v>
      </c>
      <c r="D1321">
        <v>21</v>
      </c>
    </row>
    <row r="1322" spans="1:4" x14ac:dyDescent="0.25">
      <c r="A1322" s="45" t="s">
        <v>1350</v>
      </c>
      <c r="B1322" s="46" t="s">
        <v>13628</v>
      </c>
      <c r="C1322">
        <v>2</v>
      </c>
      <c r="D1322">
        <v>21</v>
      </c>
    </row>
    <row r="1323" spans="1:4" x14ac:dyDescent="0.25">
      <c r="A1323" s="45" t="s">
        <v>1351</v>
      </c>
      <c r="B1323" s="46" t="s">
        <v>13629</v>
      </c>
      <c r="C1323">
        <v>2</v>
      </c>
      <c r="D1323">
        <v>21</v>
      </c>
    </row>
    <row r="1324" spans="1:4" x14ac:dyDescent="0.25">
      <c r="A1324" s="45" t="s">
        <v>1352</v>
      </c>
      <c r="B1324" s="46" t="s">
        <v>13630</v>
      </c>
      <c r="C1324">
        <v>2</v>
      </c>
      <c r="D1324">
        <v>21</v>
      </c>
    </row>
    <row r="1325" spans="1:4" x14ac:dyDescent="0.25">
      <c r="A1325" s="45" t="s">
        <v>1353</v>
      </c>
      <c r="B1325" s="46" t="s">
        <v>13631</v>
      </c>
      <c r="C1325">
        <v>2</v>
      </c>
      <c r="D1325">
        <v>21</v>
      </c>
    </row>
    <row r="1326" spans="1:4" x14ac:dyDescent="0.25">
      <c r="A1326" s="45" t="s">
        <v>1354</v>
      </c>
      <c r="B1326" s="46" t="s">
        <v>13632</v>
      </c>
      <c r="C1326">
        <v>2</v>
      </c>
      <c r="D1326">
        <v>21</v>
      </c>
    </row>
    <row r="1327" spans="1:4" x14ac:dyDescent="0.25">
      <c r="A1327" s="45" t="s">
        <v>1355</v>
      </c>
      <c r="B1327" s="46" t="s">
        <v>13633</v>
      </c>
      <c r="C1327">
        <v>2</v>
      </c>
      <c r="D1327">
        <v>21</v>
      </c>
    </row>
    <row r="1328" spans="1:4" x14ac:dyDescent="0.25">
      <c r="A1328" s="45" t="s">
        <v>1356</v>
      </c>
      <c r="B1328" s="46" t="s">
        <v>13634</v>
      </c>
      <c r="C1328">
        <v>2</v>
      </c>
      <c r="D1328">
        <v>21</v>
      </c>
    </row>
    <row r="1329" spans="1:4" x14ac:dyDescent="0.25">
      <c r="A1329" s="45" t="s">
        <v>1357</v>
      </c>
      <c r="B1329" s="46" t="s">
        <v>13635</v>
      </c>
      <c r="C1329">
        <v>2</v>
      </c>
      <c r="D1329">
        <v>21</v>
      </c>
    </row>
    <row r="1330" spans="1:4" x14ac:dyDescent="0.25">
      <c r="A1330" s="45" t="s">
        <v>1358</v>
      </c>
      <c r="B1330" s="46" t="s">
        <v>13636</v>
      </c>
      <c r="C1330">
        <v>2</v>
      </c>
      <c r="D1330">
        <v>21</v>
      </c>
    </row>
    <row r="1331" spans="1:4" x14ac:dyDescent="0.25">
      <c r="A1331" s="45" t="s">
        <v>1359</v>
      </c>
      <c r="B1331" s="46" t="s">
        <v>13637</v>
      </c>
      <c r="C1331">
        <v>2</v>
      </c>
      <c r="D1331">
        <v>21</v>
      </c>
    </row>
    <row r="1332" spans="1:4" x14ac:dyDescent="0.25">
      <c r="A1332" s="45" t="s">
        <v>1360</v>
      </c>
      <c r="B1332" s="46" t="s">
        <v>13638</v>
      </c>
      <c r="C1332">
        <v>2</v>
      </c>
      <c r="D1332">
        <v>21</v>
      </c>
    </row>
    <row r="1333" spans="1:4" x14ac:dyDescent="0.25">
      <c r="A1333" s="45" t="s">
        <v>1361</v>
      </c>
      <c r="B1333" s="46" t="s">
        <v>13639</v>
      </c>
      <c r="C1333">
        <v>2</v>
      </c>
      <c r="D1333">
        <v>21</v>
      </c>
    </row>
    <row r="1334" spans="1:4" x14ac:dyDescent="0.25">
      <c r="A1334" s="45" t="s">
        <v>1362</v>
      </c>
      <c r="B1334" s="46" t="s">
        <v>13640</v>
      </c>
      <c r="C1334">
        <v>2</v>
      </c>
      <c r="D1334">
        <v>21</v>
      </c>
    </row>
    <row r="1335" spans="1:4" x14ac:dyDescent="0.25">
      <c r="A1335" s="45" t="s">
        <v>1363</v>
      </c>
      <c r="B1335" s="46" t="s">
        <v>13641</v>
      </c>
      <c r="C1335">
        <v>2</v>
      </c>
      <c r="D1335">
        <v>21</v>
      </c>
    </row>
    <row r="1336" spans="1:4" x14ac:dyDescent="0.25">
      <c r="A1336" s="45" t="s">
        <v>1364</v>
      </c>
      <c r="B1336" s="46" t="s">
        <v>19471</v>
      </c>
      <c r="C1336">
        <v>2</v>
      </c>
      <c r="D1336">
        <v>21</v>
      </c>
    </row>
    <row r="1337" spans="1:4" x14ac:dyDescent="0.25">
      <c r="A1337" s="45" t="s">
        <v>1365</v>
      </c>
      <c r="B1337" s="46" t="s">
        <v>19472</v>
      </c>
      <c r="C1337">
        <v>2</v>
      </c>
      <c r="D1337">
        <v>21</v>
      </c>
    </row>
    <row r="1338" spans="1:4" x14ac:dyDescent="0.25">
      <c r="A1338" s="45" t="s">
        <v>1366</v>
      </c>
      <c r="B1338" s="46" t="s">
        <v>13642</v>
      </c>
      <c r="C1338">
        <v>2</v>
      </c>
      <c r="D1338">
        <v>21</v>
      </c>
    </row>
    <row r="1339" spans="1:4" x14ac:dyDescent="0.25">
      <c r="A1339" s="45" t="s">
        <v>1367</v>
      </c>
      <c r="B1339" s="46" t="s">
        <v>13643</v>
      </c>
      <c r="C1339">
        <v>2</v>
      </c>
      <c r="D1339">
        <v>21</v>
      </c>
    </row>
    <row r="1340" spans="1:4" x14ac:dyDescent="0.25">
      <c r="A1340" s="45" t="s">
        <v>1368</v>
      </c>
      <c r="B1340" s="46" t="s">
        <v>19473</v>
      </c>
      <c r="C1340">
        <v>2</v>
      </c>
      <c r="D1340">
        <v>21</v>
      </c>
    </row>
    <row r="1341" spans="1:4" x14ac:dyDescent="0.25">
      <c r="A1341" s="45" t="s">
        <v>1369</v>
      </c>
      <c r="B1341" s="46" t="s">
        <v>13644</v>
      </c>
      <c r="C1341">
        <v>2</v>
      </c>
      <c r="D1341">
        <v>21</v>
      </c>
    </row>
    <row r="1342" spans="1:4" x14ac:dyDescent="0.25">
      <c r="A1342" s="45" t="s">
        <v>1370</v>
      </c>
      <c r="B1342" s="46" t="s">
        <v>13645</v>
      </c>
      <c r="C1342">
        <v>2</v>
      </c>
      <c r="D1342">
        <v>21</v>
      </c>
    </row>
    <row r="1343" spans="1:4" x14ac:dyDescent="0.25">
      <c r="A1343" s="45" t="s">
        <v>1371</v>
      </c>
      <c r="B1343" s="46" t="s">
        <v>13646</v>
      </c>
      <c r="C1343">
        <v>2</v>
      </c>
      <c r="D1343">
        <v>21</v>
      </c>
    </row>
    <row r="1344" spans="1:4" x14ac:dyDescent="0.25">
      <c r="A1344" s="45" t="s">
        <v>1372</v>
      </c>
      <c r="B1344" s="46" t="s">
        <v>13647</v>
      </c>
      <c r="C1344">
        <v>2</v>
      </c>
      <c r="D1344">
        <v>21</v>
      </c>
    </row>
    <row r="1345" spans="1:4" x14ac:dyDescent="0.25">
      <c r="A1345" s="45" t="s">
        <v>1373</v>
      </c>
      <c r="B1345" s="46" t="s">
        <v>13648</v>
      </c>
      <c r="C1345">
        <v>2</v>
      </c>
      <c r="D1345">
        <v>21</v>
      </c>
    </row>
    <row r="1346" spans="1:4" x14ac:dyDescent="0.25">
      <c r="A1346" s="45" t="s">
        <v>1374</v>
      </c>
      <c r="B1346" s="46" t="s">
        <v>13649</v>
      </c>
      <c r="C1346">
        <v>2</v>
      </c>
      <c r="D1346">
        <v>21</v>
      </c>
    </row>
    <row r="1347" spans="1:4" x14ac:dyDescent="0.25">
      <c r="A1347" s="45" t="s">
        <v>1375</v>
      </c>
      <c r="B1347" s="46" t="s">
        <v>13650</v>
      </c>
      <c r="C1347">
        <v>2</v>
      </c>
      <c r="D1347">
        <v>21</v>
      </c>
    </row>
    <row r="1348" spans="1:4" x14ac:dyDescent="0.25">
      <c r="A1348" s="45" t="s">
        <v>1376</v>
      </c>
      <c r="B1348" s="46" t="s">
        <v>13651</v>
      </c>
      <c r="C1348">
        <v>2</v>
      </c>
      <c r="D1348">
        <v>21</v>
      </c>
    </row>
    <row r="1349" spans="1:4" x14ac:dyDescent="0.25">
      <c r="A1349" s="45" t="s">
        <v>1377</v>
      </c>
      <c r="B1349" s="46" t="s">
        <v>13652</v>
      </c>
      <c r="C1349">
        <v>2</v>
      </c>
      <c r="D1349">
        <v>21</v>
      </c>
    </row>
    <row r="1350" spans="1:4" x14ac:dyDescent="0.25">
      <c r="A1350" s="45" t="s">
        <v>1378</v>
      </c>
      <c r="B1350" s="46" t="s">
        <v>13653</v>
      </c>
      <c r="C1350">
        <v>2</v>
      </c>
      <c r="D1350">
        <v>21</v>
      </c>
    </row>
    <row r="1351" spans="1:4" x14ac:dyDescent="0.25">
      <c r="A1351" s="45" t="s">
        <v>1379</v>
      </c>
      <c r="B1351" s="46" t="s">
        <v>13654</v>
      </c>
      <c r="C1351">
        <v>2</v>
      </c>
      <c r="D1351">
        <v>21</v>
      </c>
    </row>
    <row r="1352" spans="1:4" x14ac:dyDescent="0.25">
      <c r="A1352" s="45" t="s">
        <v>1380</v>
      </c>
      <c r="B1352" s="46" t="s">
        <v>13655</v>
      </c>
      <c r="C1352">
        <v>2</v>
      </c>
      <c r="D1352">
        <v>21</v>
      </c>
    </row>
    <row r="1353" spans="1:4" x14ac:dyDescent="0.25">
      <c r="A1353" s="45" t="s">
        <v>1381</v>
      </c>
      <c r="B1353" s="46" t="s">
        <v>13656</v>
      </c>
      <c r="C1353">
        <v>2</v>
      </c>
      <c r="D1353">
        <v>21</v>
      </c>
    </row>
    <row r="1354" spans="1:4" x14ac:dyDescent="0.25">
      <c r="A1354" s="45" t="s">
        <v>1382</v>
      </c>
      <c r="B1354" s="46" t="s">
        <v>19474</v>
      </c>
      <c r="C1354">
        <v>2</v>
      </c>
      <c r="D1354">
        <v>21</v>
      </c>
    </row>
    <row r="1355" spans="1:4" x14ac:dyDescent="0.25">
      <c r="A1355" s="45" t="s">
        <v>1383</v>
      </c>
      <c r="B1355" s="46" t="s">
        <v>19475</v>
      </c>
      <c r="C1355">
        <v>2</v>
      </c>
      <c r="D1355">
        <v>21</v>
      </c>
    </row>
    <row r="1356" spans="1:4" x14ac:dyDescent="0.25">
      <c r="A1356" s="45" t="s">
        <v>1384</v>
      </c>
      <c r="B1356" s="46" t="s">
        <v>19476</v>
      </c>
      <c r="C1356">
        <v>2</v>
      </c>
      <c r="D1356">
        <v>21</v>
      </c>
    </row>
    <row r="1357" spans="1:4" x14ac:dyDescent="0.25">
      <c r="A1357" s="45" t="s">
        <v>1385</v>
      </c>
      <c r="B1357" s="46" t="s">
        <v>19477</v>
      </c>
      <c r="C1357">
        <v>2</v>
      </c>
      <c r="D1357">
        <v>21</v>
      </c>
    </row>
    <row r="1358" spans="1:4" x14ac:dyDescent="0.25">
      <c r="A1358" s="45" t="s">
        <v>1386</v>
      </c>
      <c r="B1358" s="46" t="s">
        <v>19478</v>
      </c>
      <c r="C1358">
        <v>2</v>
      </c>
      <c r="D1358">
        <v>21</v>
      </c>
    </row>
    <row r="1359" spans="1:4" x14ac:dyDescent="0.25">
      <c r="A1359" s="45" t="s">
        <v>1387</v>
      </c>
      <c r="B1359" s="46" t="s">
        <v>19479</v>
      </c>
      <c r="C1359">
        <v>2</v>
      </c>
      <c r="D1359">
        <v>21</v>
      </c>
    </row>
    <row r="1360" spans="1:4" x14ac:dyDescent="0.25">
      <c r="A1360" s="45" t="s">
        <v>1388</v>
      </c>
      <c r="B1360" s="46" t="s">
        <v>19480</v>
      </c>
      <c r="C1360">
        <v>2</v>
      </c>
      <c r="D1360">
        <v>21</v>
      </c>
    </row>
    <row r="1361" spans="1:4" x14ac:dyDescent="0.25">
      <c r="A1361" s="45" t="s">
        <v>1389</v>
      </c>
      <c r="B1361" s="46" t="s">
        <v>19481</v>
      </c>
      <c r="C1361">
        <v>2</v>
      </c>
      <c r="D1361">
        <v>21</v>
      </c>
    </row>
    <row r="1362" spans="1:4" x14ac:dyDescent="0.25">
      <c r="A1362" s="45" t="s">
        <v>1390</v>
      </c>
      <c r="B1362" s="46" t="s">
        <v>13657</v>
      </c>
      <c r="C1362">
        <v>2</v>
      </c>
      <c r="D1362">
        <v>21</v>
      </c>
    </row>
    <row r="1363" spans="1:4" x14ac:dyDescent="0.25">
      <c r="A1363" s="45" t="s">
        <v>1391</v>
      </c>
      <c r="B1363" s="46" t="s">
        <v>13658</v>
      </c>
      <c r="C1363">
        <v>2</v>
      </c>
      <c r="D1363">
        <v>21</v>
      </c>
    </row>
    <row r="1364" spans="1:4" x14ac:dyDescent="0.25">
      <c r="A1364" s="45" t="s">
        <v>1392</v>
      </c>
      <c r="B1364" s="46" t="s">
        <v>13659</v>
      </c>
      <c r="C1364">
        <v>2</v>
      </c>
      <c r="D1364">
        <v>21</v>
      </c>
    </row>
    <row r="1365" spans="1:4" x14ac:dyDescent="0.25">
      <c r="A1365" s="45" t="s">
        <v>1393</v>
      </c>
      <c r="B1365" s="46" t="s">
        <v>19482</v>
      </c>
      <c r="C1365">
        <v>2</v>
      </c>
      <c r="D1365">
        <v>21</v>
      </c>
    </row>
    <row r="1366" spans="1:4" x14ac:dyDescent="0.25">
      <c r="A1366" s="45" t="s">
        <v>1394</v>
      </c>
      <c r="B1366" s="46" t="s">
        <v>13660</v>
      </c>
      <c r="C1366">
        <v>2</v>
      </c>
      <c r="D1366">
        <v>21</v>
      </c>
    </row>
    <row r="1367" spans="1:4" x14ac:dyDescent="0.25">
      <c r="A1367" s="45" t="s">
        <v>1395</v>
      </c>
      <c r="B1367" s="46" t="s">
        <v>13661</v>
      </c>
      <c r="C1367">
        <v>2</v>
      </c>
      <c r="D1367">
        <v>21</v>
      </c>
    </row>
    <row r="1368" spans="1:4" x14ac:dyDescent="0.25">
      <c r="A1368" s="45" t="s">
        <v>1396</v>
      </c>
      <c r="B1368" s="46" t="s">
        <v>13662</v>
      </c>
      <c r="C1368">
        <v>2</v>
      </c>
      <c r="D1368">
        <v>21</v>
      </c>
    </row>
    <row r="1369" spans="1:4" x14ac:dyDescent="0.25">
      <c r="A1369" s="45" t="s">
        <v>1397</v>
      </c>
      <c r="B1369" s="46" t="s">
        <v>13663</v>
      </c>
      <c r="C1369">
        <v>2</v>
      </c>
      <c r="D1369">
        <v>21</v>
      </c>
    </row>
    <row r="1370" spans="1:4" x14ac:dyDescent="0.25">
      <c r="A1370" s="45" t="s">
        <v>1398</v>
      </c>
      <c r="B1370" s="46" t="s">
        <v>13664</v>
      </c>
      <c r="C1370">
        <v>2</v>
      </c>
      <c r="D1370">
        <v>21</v>
      </c>
    </row>
    <row r="1371" spans="1:4" x14ac:dyDescent="0.25">
      <c r="A1371" s="45" t="s">
        <v>1399</v>
      </c>
      <c r="B1371" s="46" t="s">
        <v>13665</v>
      </c>
      <c r="C1371">
        <v>2</v>
      </c>
      <c r="D1371">
        <v>21</v>
      </c>
    </row>
    <row r="1372" spans="1:4" x14ac:dyDescent="0.25">
      <c r="A1372" s="45" t="s">
        <v>1400</v>
      </c>
      <c r="B1372" s="46" t="s">
        <v>13666</v>
      </c>
      <c r="C1372">
        <v>2</v>
      </c>
      <c r="D1372">
        <v>21</v>
      </c>
    </row>
    <row r="1373" spans="1:4" x14ac:dyDescent="0.25">
      <c r="A1373" s="45" t="s">
        <v>1401</v>
      </c>
      <c r="B1373" s="46" t="s">
        <v>13667</v>
      </c>
      <c r="C1373">
        <v>2</v>
      </c>
      <c r="D1373">
        <v>21</v>
      </c>
    </row>
    <row r="1374" spans="1:4" x14ac:dyDescent="0.25">
      <c r="A1374" s="45" t="s">
        <v>1402</v>
      </c>
      <c r="B1374" s="46" t="s">
        <v>19483</v>
      </c>
      <c r="C1374">
        <v>2</v>
      </c>
      <c r="D1374">
        <v>21</v>
      </c>
    </row>
    <row r="1375" spans="1:4" x14ac:dyDescent="0.25">
      <c r="A1375" s="45" t="s">
        <v>1403</v>
      </c>
      <c r="B1375" s="46" t="s">
        <v>13668</v>
      </c>
      <c r="C1375">
        <v>2</v>
      </c>
      <c r="D1375">
        <v>21</v>
      </c>
    </row>
    <row r="1376" spans="1:4" x14ac:dyDescent="0.25">
      <c r="A1376" s="45" t="s">
        <v>1404</v>
      </c>
      <c r="B1376" s="46" t="s">
        <v>13669</v>
      </c>
      <c r="C1376">
        <v>2</v>
      </c>
      <c r="D1376">
        <v>21</v>
      </c>
    </row>
    <row r="1377" spans="1:4" x14ac:dyDescent="0.25">
      <c r="A1377" s="45" t="s">
        <v>1405</v>
      </c>
      <c r="B1377" s="46" t="s">
        <v>13670</v>
      </c>
      <c r="C1377">
        <v>2</v>
      </c>
      <c r="D1377">
        <v>21</v>
      </c>
    </row>
    <row r="1378" spans="1:4" x14ac:dyDescent="0.25">
      <c r="A1378" s="45" t="s">
        <v>1406</v>
      </c>
      <c r="B1378" s="46" t="s">
        <v>13671</v>
      </c>
      <c r="C1378">
        <v>2</v>
      </c>
      <c r="D1378">
        <v>21</v>
      </c>
    </row>
    <row r="1379" spans="1:4" x14ac:dyDescent="0.25">
      <c r="A1379" s="45" t="s">
        <v>1407</v>
      </c>
      <c r="B1379" s="46" t="s">
        <v>13672</v>
      </c>
      <c r="C1379">
        <v>2</v>
      </c>
      <c r="D1379">
        <v>21</v>
      </c>
    </row>
    <row r="1380" spans="1:4" x14ac:dyDescent="0.25">
      <c r="A1380" s="45" t="s">
        <v>1408</v>
      </c>
      <c r="B1380" s="46" t="s">
        <v>13673</v>
      </c>
      <c r="C1380">
        <v>2</v>
      </c>
      <c r="D1380">
        <v>21</v>
      </c>
    </row>
    <row r="1381" spans="1:4" x14ac:dyDescent="0.25">
      <c r="A1381" s="45" t="s">
        <v>1409</v>
      </c>
      <c r="B1381" s="46" t="s">
        <v>13674</v>
      </c>
      <c r="C1381">
        <v>2</v>
      </c>
      <c r="D1381">
        <v>21</v>
      </c>
    </row>
    <row r="1382" spans="1:4" x14ac:dyDescent="0.25">
      <c r="A1382" s="45" t="s">
        <v>1410</v>
      </c>
      <c r="B1382" s="46" t="s">
        <v>13675</v>
      </c>
      <c r="C1382">
        <v>2</v>
      </c>
      <c r="D1382">
        <v>21</v>
      </c>
    </row>
    <row r="1383" spans="1:4" x14ac:dyDescent="0.25">
      <c r="A1383" s="45" t="s">
        <v>1411</v>
      </c>
      <c r="B1383" s="46" t="s">
        <v>13676</v>
      </c>
      <c r="C1383">
        <v>2</v>
      </c>
      <c r="D1383">
        <v>21</v>
      </c>
    </row>
    <row r="1384" spans="1:4" x14ac:dyDescent="0.25">
      <c r="A1384" s="45" t="s">
        <v>1412</v>
      </c>
      <c r="B1384" s="46" t="s">
        <v>13677</v>
      </c>
      <c r="C1384">
        <v>2</v>
      </c>
      <c r="D1384">
        <v>21</v>
      </c>
    </row>
    <row r="1385" spans="1:4" x14ac:dyDescent="0.25">
      <c r="A1385" s="45" t="s">
        <v>1413</v>
      </c>
      <c r="B1385" s="46" t="s">
        <v>13678</v>
      </c>
      <c r="C1385">
        <v>2</v>
      </c>
      <c r="D1385">
        <v>21</v>
      </c>
    </row>
    <row r="1386" spans="1:4" x14ac:dyDescent="0.25">
      <c r="A1386" s="45" t="s">
        <v>1414</v>
      </c>
      <c r="B1386" s="46" t="s">
        <v>13679</v>
      </c>
      <c r="C1386">
        <v>2</v>
      </c>
      <c r="D1386">
        <v>21</v>
      </c>
    </row>
    <row r="1387" spans="1:4" x14ac:dyDescent="0.25">
      <c r="A1387" s="45" t="s">
        <v>1415</v>
      </c>
      <c r="B1387" s="46" t="s">
        <v>13680</v>
      </c>
      <c r="C1387">
        <v>2</v>
      </c>
      <c r="D1387">
        <v>21</v>
      </c>
    </row>
    <row r="1388" spans="1:4" x14ac:dyDescent="0.25">
      <c r="A1388" s="45" t="s">
        <v>1416</v>
      </c>
      <c r="B1388" s="46" t="s">
        <v>13681</v>
      </c>
      <c r="C1388">
        <v>2</v>
      </c>
      <c r="D1388">
        <v>21</v>
      </c>
    </row>
    <row r="1389" spans="1:4" x14ac:dyDescent="0.25">
      <c r="A1389" s="45" t="s">
        <v>1417</v>
      </c>
      <c r="B1389" s="46" t="s">
        <v>13682</v>
      </c>
      <c r="C1389">
        <v>2</v>
      </c>
      <c r="D1389">
        <v>21</v>
      </c>
    </row>
    <row r="1390" spans="1:4" x14ac:dyDescent="0.25">
      <c r="A1390" s="45" t="s">
        <v>1418</v>
      </c>
      <c r="B1390" s="46" t="s">
        <v>13683</v>
      </c>
      <c r="C1390">
        <v>2</v>
      </c>
      <c r="D1390">
        <v>21</v>
      </c>
    </row>
    <row r="1391" spans="1:4" x14ac:dyDescent="0.25">
      <c r="A1391" s="45" t="s">
        <v>1419</v>
      </c>
      <c r="B1391" s="46" t="s">
        <v>13684</v>
      </c>
      <c r="C1391">
        <v>2</v>
      </c>
      <c r="D1391">
        <v>21</v>
      </c>
    </row>
    <row r="1392" spans="1:4" x14ac:dyDescent="0.25">
      <c r="A1392" s="45" t="s">
        <v>1420</v>
      </c>
      <c r="B1392" s="46" t="s">
        <v>13685</v>
      </c>
      <c r="C1392">
        <v>2</v>
      </c>
      <c r="D1392">
        <v>21</v>
      </c>
    </row>
    <row r="1393" spans="1:4" x14ac:dyDescent="0.25">
      <c r="A1393" s="45" t="s">
        <v>1421</v>
      </c>
      <c r="B1393" s="46" t="s">
        <v>19484</v>
      </c>
      <c r="C1393">
        <v>2</v>
      </c>
      <c r="D1393">
        <v>21</v>
      </c>
    </row>
    <row r="1394" spans="1:4" x14ac:dyDescent="0.25">
      <c r="A1394" s="45" t="s">
        <v>1422</v>
      </c>
      <c r="B1394" s="46" t="s">
        <v>13686</v>
      </c>
      <c r="C1394">
        <v>2</v>
      </c>
      <c r="D1394">
        <v>21</v>
      </c>
    </row>
    <row r="1395" spans="1:4" x14ac:dyDescent="0.25">
      <c r="A1395" s="45" t="s">
        <v>1423</v>
      </c>
      <c r="B1395" s="46" t="s">
        <v>13687</v>
      </c>
      <c r="C1395">
        <v>2</v>
      </c>
      <c r="D1395">
        <v>21</v>
      </c>
    </row>
    <row r="1396" spans="1:4" x14ac:dyDescent="0.25">
      <c r="A1396" s="45" t="s">
        <v>1424</v>
      </c>
      <c r="B1396" s="46" t="s">
        <v>13688</v>
      </c>
      <c r="C1396">
        <v>2</v>
      </c>
      <c r="D1396">
        <v>21</v>
      </c>
    </row>
    <row r="1397" spans="1:4" x14ac:dyDescent="0.25">
      <c r="A1397" s="45" t="s">
        <v>1425</v>
      </c>
      <c r="B1397" s="46" t="s">
        <v>13689</v>
      </c>
      <c r="C1397">
        <v>2</v>
      </c>
      <c r="D1397">
        <v>21</v>
      </c>
    </row>
    <row r="1398" spans="1:4" x14ac:dyDescent="0.25">
      <c r="A1398" s="45" t="s">
        <v>1426</v>
      </c>
      <c r="B1398" s="46" t="s">
        <v>13690</v>
      </c>
      <c r="C1398">
        <v>2</v>
      </c>
      <c r="D1398">
        <v>21</v>
      </c>
    </row>
    <row r="1399" spans="1:4" x14ac:dyDescent="0.25">
      <c r="A1399" s="45" t="s">
        <v>1427</v>
      </c>
      <c r="B1399" s="46" t="s">
        <v>13691</v>
      </c>
      <c r="C1399">
        <v>2</v>
      </c>
      <c r="D1399">
        <v>21</v>
      </c>
    </row>
    <row r="1400" spans="1:4" x14ac:dyDescent="0.25">
      <c r="A1400" s="45" t="s">
        <v>1428</v>
      </c>
      <c r="B1400" s="46" t="s">
        <v>13692</v>
      </c>
      <c r="C1400">
        <v>2</v>
      </c>
      <c r="D1400">
        <v>21</v>
      </c>
    </row>
    <row r="1401" spans="1:4" x14ac:dyDescent="0.25">
      <c r="A1401" s="45" t="s">
        <v>1429</v>
      </c>
      <c r="B1401" s="46" t="s">
        <v>13693</v>
      </c>
      <c r="C1401">
        <v>2</v>
      </c>
      <c r="D1401">
        <v>21</v>
      </c>
    </row>
    <row r="1402" spans="1:4" x14ac:dyDescent="0.25">
      <c r="A1402" s="45" t="s">
        <v>1430</v>
      </c>
      <c r="B1402" s="46" t="s">
        <v>13694</v>
      </c>
      <c r="C1402">
        <v>2</v>
      </c>
      <c r="D1402">
        <v>21</v>
      </c>
    </row>
    <row r="1403" spans="1:4" x14ac:dyDescent="0.25">
      <c r="A1403" s="45" t="s">
        <v>1431</v>
      </c>
      <c r="B1403" s="46" t="s">
        <v>13695</v>
      </c>
      <c r="C1403">
        <v>2</v>
      </c>
      <c r="D1403">
        <v>21</v>
      </c>
    </row>
    <row r="1404" spans="1:4" x14ac:dyDescent="0.25">
      <c r="A1404" s="45" t="s">
        <v>1432</v>
      </c>
      <c r="B1404" s="46" t="s">
        <v>13696</v>
      </c>
      <c r="C1404">
        <v>2</v>
      </c>
      <c r="D1404">
        <v>21</v>
      </c>
    </row>
    <row r="1405" spans="1:4" x14ac:dyDescent="0.25">
      <c r="A1405" s="45" t="s">
        <v>1433</v>
      </c>
      <c r="B1405" s="46" t="s">
        <v>13697</v>
      </c>
      <c r="C1405">
        <v>2</v>
      </c>
      <c r="D1405">
        <v>21</v>
      </c>
    </row>
    <row r="1406" spans="1:4" x14ac:dyDescent="0.25">
      <c r="A1406" s="45" t="s">
        <v>1434</v>
      </c>
      <c r="B1406" s="46" t="s">
        <v>13698</v>
      </c>
      <c r="C1406">
        <v>2</v>
      </c>
      <c r="D1406">
        <v>21</v>
      </c>
    </row>
    <row r="1407" spans="1:4" x14ac:dyDescent="0.25">
      <c r="A1407" s="45" t="s">
        <v>1435</v>
      </c>
      <c r="B1407" s="46" t="s">
        <v>13699</v>
      </c>
      <c r="C1407">
        <v>2</v>
      </c>
      <c r="D1407">
        <v>21</v>
      </c>
    </row>
    <row r="1408" spans="1:4" x14ac:dyDescent="0.25">
      <c r="A1408" s="45" t="s">
        <v>1436</v>
      </c>
      <c r="B1408" s="46" t="s">
        <v>13700</v>
      </c>
      <c r="C1408">
        <v>2</v>
      </c>
      <c r="D1408">
        <v>21</v>
      </c>
    </row>
    <row r="1409" spans="1:4" x14ac:dyDescent="0.25">
      <c r="A1409" s="45" t="s">
        <v>1437</v>
      </c>
      <c r="B1409" s="46" t="s">
        <v>13701</v>
      </c>
      <c r="C1409">
        <v>2</v>
      </c>
      <c r="D1409">
        <v>21</v>
      </c>
    </row>
    <row r="1410" spans="1:4" x14ac:dyDescent="0.25">
      <c r="A1410" s="45" t="s">
        <v>1438</v>
      </c>
      <c r="B1410" s="46" t="s">
        <v>13702</v>
      </c>
      <c r="C1410">
        <v>2</v>
      </c>
      <c r="D1410">
        <v>21</v>
      </c>
    </row>
    <row r="1411" spans="1:4" x14ac:dyDescent="0.25">
      <c r="A1411" s="45" t="s">
        <v>1439</v>
      </c>
      <c r="B1411" s="46" t="s">
        <v>13703</v>
      </c>
      <c r="C1411">
        <v>2</v>
      </c>
      <c r="D1411">
        <v>21</v>
      </c>
    </row>
    <row r="1412" spans="1:4" x14ac:dyDescent="0.25">
      <c r="A1412" s="45" t="s">
        <v>1440</v>
      </c>
      <c r="B1412" s="46" t="s">
        <v>13704</v>
      </c>
      <c r="C1412">
        <v>2</v>
      </c>
      <c r="D1412">
        <v>21</v>
      </c>
    </row>
    <row r="1413" spans="1:4" x14ac:dyDescent="0.25">
      <c r="A1413" s="45" t="s">
        <v>1441</v>
      </c>
      <c r="B1413" s="46" t="s">
        <v>13705</v>
      </c>
      <c r="C1413">
        <v>2</v>
      </c>
      <c r="D1413">
        <v>21</v>
      </c>
    </row>
    <row r="1414" spans="1:4" x14ac:dyDescent="0.25">
      <c r="A1414" s="45" t="s">
        <v>1442</v>
      </c>
      <c r="B1414" s="46" t="s">
        <v>13706</v>
      </c>
      <c r="C1414">
        <v>2</v>
      </c>
      <c r="D1414">
        <v>21</v>
      </c>
    </row>
    <row r="1415" spans="1:4" x14ac:dyDescent="0.25">
      <c r="A1415" s="45" t="s">
        <v>1443</v>
      </c>
      <c r="B1415" s="46" t="s">
        <v>13707</v>
      </c>
      <c r="C1415">
        <v>2</v>
      </c>
      <c r="D1415">
        <v>21</v>
      </c>
    </row>
    <row r="1416" spans="1:4" x14ac:dyDescent="0.25">
      <c r="A1416" s="45" t="s">
        <v>1444</v>
      </c>
      <c r="B1416" s="46" t="s">
        <v>13708</v>
      </c>
      <c r="C1416">
        <v>2</v>
      </c>
      <c r="D1416">
        <v>21</v>
      </c>
    </row>
    <row r="1417" spans="1:4" x14ac:dyDescent="0.25">
      <c r="A1417" s="45" t="s">
        <v>1445</v>
      </c>
      <c r="B1417" s="46" t="s">
        <v>13709</v>
      </c>
      <c r="C1417">
        <v>2</v>
      </c>
      <c r="D1417">
        <v>21</v>
      </c>
    </row>
    <row r="1418" spans="1:4" x14ac:dyDescent="0.25">
      <c r="A1418" s="45" t="s">
        <v>1446</v>
      </c>
      <c r="B1418" s="46" t="s">
        <v>13710</v>
      </c>
      <c r="C1418">
        <v>2</v>
      </c>
      <c r="D1418">
        <v>21</v>
      </c>
    </row>
    <row r="1419" spans="1:4" x14ac:dyDescent="0.25">
      <c r="A1419" s="45" t="s">
        <v>1447</v>
      </c>
      <c r="B1419" s="46" t="s">
        <v>13711</v>
      </c>
      <c r="C1419">
        <v>2</v>
      </c>
      <c r="D1419">
        <v>21</v>
      </c>
    </row>
    <row r="1420" spans="1:4" x14ac:dyDescent="0.25">
      <c r="A1420" s="45" t="s">
        <v>1448</v>
      </c>
      <c r="B1420" s="46" t="s">
        <v>13712</v>
      </c>
      <c r="C1420">
        <v>2</v>
      </c>
      <c r="D1420">
        <v>21</v>
      </c>
    </row>
    <row r="1421" spans="1:4" x14ac:dyDescent="0.25">
      <c r="A1421" s="45" t="s">
        <v>1449</v>
      </c>
      <c r="B1421" s="46" t="s">
        <v>13713</v>
      </c>
      <c r="C1421">
        <v>2</v>
      </c>
      <c r="D1421">
        <v>21</v>
      </c>
    </row>
    <row r="1422" spans="1:4" x14ac:dyDescent="0.25">
      <c r="A1422" s="45" t="s">
        <v>1450</v>
      </c>
      <c r="B1422" s="46" t="s">
        <v>19485</v>
      </c>
      <c r="C1422">
        <v>2</v>
      </c>
      <c r="D1422">
        <v>21</v>
      </c>
    </row>
    <row r="1423" spans="1:4" x14ac:dyDescent="0.25">
      <c r="A1423" s="45" t="s">
        <v>1451</v>
      </c>
      <c r="B1423" s="46" t="s">
        <v>13714</v>
      </c>
      <c r="C1423">
        <v>2</v>
      </c>
      <c r="D1423">
        <v>21</v>
      </c>
    </row>
    <row r="1424" spans="1:4" x14ac:dyDescent="0.25">
      <c r="A1424" s="45" t="s">
        <v>1452</v>
      </c>
      <c r="B1424" s="46" t="s">
        <v>13715</v>
      </c>
      <c r="C1424">
        <v>2</v>
      </c>
      <c r="D1424">
        <v>21</v>
      </c>
    </row>
    <row r="1425" spans="1:4" x14ac:dyDescent="0.25">
      <c r="A1425" s="45" t="s">
        <v>1453</v>
      </c>
      <c r="B1425" s="46" t="s">
        <v>19486</v>
      </c>
      <c r="C1425">
        <v>2</v>
      </c>
      <c r="D1425">
        <v>21</v>
      </c>
    </row>
    <row r="1426" spans="1:4" x14ac:dyDescent="0.25">
      <c r="A1426" s="45" t="s">
        <v>1454</v>
      </c>
      <c r="B1426" s="46" t="s">
        <v>13716</v>
      </c>
      <c r="C1426">
        <v>2</v>
      </c>
      <c r="D1426">
        <v>21</v>
      </c>
    </row>
    <row r="1427" spans="1:4" x14ac:dyDescent="0.25">
      <c r="A1427" s="45" t="s">
        <v>1455</v>
      </c>
      <c r="B1427" s="46" t="s">
        <v>13717</v>
      </c>
      <c r="C1427">
        <v>2</v>
      </c>
      <c r="D1427">
        <v>21</v>
      </c>
    </row>
    <row r="1428" spans="1:4" x14ac:dyDescent="0.25">
      <c r="A1428" s="45" t="s">
        <v>1456</v>
      </c>
      <c r="B1428" s="46" t="s">
        <v>13718</v>
      </c>
      <c r="C1428">
        <v>2</v>
      </c>
      <c r="D1428">
        <v>21</v>
      </c>
    </row>
    <row r="1429" spans="1:4" x14ac:dyDescent="0.25">
      <c r="A1429" s="45" t="s">
        <v>1457</v>
      </c>
      <c r="B1429" s="46" t="s">
        <v>13719</v>
      </c>
      <c r="C1429">
        <v>2</v>
      </c>
      <c r="D1429">
        <v>21</v>
      </c>
    </row>
    <row r="1430" spans="1:4" x14ac:dyDescent="0.25">
      <c r="A1430" s="45" t="s">
        <v>1458</v>
      </c>
      <c r="B1430" s="46" t="s">
        <v>13720</v>
      </c>
      <c r="C1430">
        <v>2</v>
      </c>
      <c r="D1430">
        <v>21</v>
      </c>
    </row>
    <row r="1431" spans="1:4" x14ac:dyDescent="0.25">
      <c r="A1431" s="45" t="s">
        <v>1459</v>
      </c>
      <c r="B1431" s="46" t="s">
        <v>13721</v>
      </c>
      <c r="C1431">
        <v>2</v>
      </c>
      <c r="D1431">
        <v>21</v>
      </c>
    </row>
    <row r="1432" spans="1:4" x14ac:dyDescent="0.25">
      <c r="A1432" s="45" t="s">
        <v>1460</v>
      </c>
      <c r="B1432" s="46" t="s">
        <v>13722</v>
      </c>
      <c r="C1432">
        <v>2</v>
      </c>
      <c r="D1432">
        <v>21</v>
      </c>
    </row>
    <row r="1433" spans="1:4" x14ac:dyDescent="0.25">
      <c r="A1433" s="45" t="s">
        <v>1461</v>
      </c>
      <c r="B1433" s="46" t="s">
        <v>13723</v>
      </c>
      <c r="C1433">
        <v>2</v>
      </c>
      <c r="D1433">
        <v>21</v>
      </c>
    </row>
    <row r="1434" spans="1:4" x14ac:dyDescent="0.25">
      <c r="A1434" s="45" t="s">
        <v>1462</v>
      </c>
      <c r="B1434" s="46" t="s">
        <v>13724</v>
      </c>
      <c r="C1434">
        <v>2</v>
      </c>
      <c r="D1434">
        <v>21</v>
      </c>
    </row>
    <row r="1435" spans="1:4" x14ac:dyDescent="0.25">
      <c r="A1435" s="45" t="s">
        <v>1463</v>
      </c>
      <c r="B1435" s="46" t="s">
        <v>13725</v>
      </c>
      <c r="C1435">
        <v>2</v>
      </c>
      <c r="D1435">
        <v>21</v>
      </c>
    </row>
    <row r="1436" spans="1:4" x14ac:dyDescent="0.25">
      <c r="A1436" s="45" t="s">
        <v>1464</v>
      </c>
      <c r="B1436" s="46" t="s">
        <v>19487</v>
      </c>
      <c r="C1436">
        <v>2</v>
      </c>
      <c r="D1436">
        <v>21</v>
      </c>
    </row>
    <row r="1437" spans="1:4" x14ac:dyDescent="0.25">
      <c r="A1437" s="45" t="s">
        <v>1465</v>
      </c>
      <c r="B1437" s="46" t="s">
        <v>13726</v>
      </c>
      <c r="C1437">
        <v>2</v>
      </c>
      <c r="D1437">
        <v>21</v>
      </c>
    </row>
    <row r="1438" spans="1:4" x14ac:dyDescent="0.25">
      <c r="A1438" s="45" t="s">
        <v>1466</v>
      </c>
      <c r="B1438" s="46" t="s">
        <v>13727</v>
      </c>
      <c r="C1438">
        <v>2</v>
      </c>
      <c r="D1438">
        <v>21</v>
      </c>
    </row>
    <row r="1439" spans="1:4" x14ac:dyDescent="0.25">
      <c r="A1439" s="45" t="s">
        <v>1467</v>
      </c>
      <c r="B1439" s="46" t="s">
        <v>19488</v>
      </c>
      <c r="C1439">
        <v>2</v>
      </c>
      <c r="D1439">
        <v>21</v>
      </c>
    </row>
    <row r="1440" spans="1:4" x14ac:dyDescent="0.25">
      <c r="A1440" s="45" t="s">
        <v>1468</v>
      </c>
      <c r="B1440" s="46" t="s">
        <v>13728</v>
      </c>
      <c r="C1440">
        <v>2</v>
      </c>
      <c r="D1440">
        <v>21</v>
      </c>
    </row>
    <row r="1441" spans="1:4" x14ac:dyDescent="0.25">
      <c r="A1441" s="45" t="s">
        <v>1469</v>
      </c>
      <c r="B1441" s="46" t="s">
        <v>13729</v>
      </c>
      <c r="C1441">
        <v>2</v>
      </c>
      <c r="D1441">
        <v>21</v>
      </c>
    </row>
    <row r="1442" spans="1:4" x14ac:dyDescent="0.25">
      <c r="A1442" s="45" t="s">
        <v>1470</v>
      </c>
      <c r="B1442" s="46" t="s">
        <v>19489</v>
      </c>
      <c r="C1442">
        <v>2</v>
      </c>
      <c r="D1442">
        <v>23</v>
      </c>
    </row>
    <row r="1443" spans="1:4" x14ac:dyDescent="0.25">
      <c r="A1443" s="45" t="s">
        <v>1471</v>
      </c>
      <c r="B1443" s="46" t="s">
        <v>13730</v>
      </c>
      <c r="C1443">
        <v>2</v>
      </c>
      <c r="D1443">
        <v>23</v>
      </c>
    </row>
    <row r="1444" spans="1:4" x14ac:dyDescent="0.25">
      <c r="A1444" s="45" t="s">
        <v>1472</v>
      </c>
      <c r="B1444" s="46" t="s">
        <v>13731</v>
      </c>
      <c r="C1444">
        <v>2</v>
      </c>
      <c r="D1444">
        <v>23</v>
      </c>
    </row>
    <row r="1445" spans="1:4" x14ac:dyDescent="0.25">
      <c r="A1445" s="45" t="s">
        <v>1473</v>
      </c>
      <c r="B1445" s="46" t="s">
        <v>13732</v>
      </c>
      <c r="C1445">
        <v>2</v>
      </c>
      <c r="D1445">
        <v>23</v>
      </c>
    </row>
    <row r="1446" spans="1:4" x14ac:dyDescent="0.25">
      <c r="A1446" s="45" t="s">
        <v>1474</v>
      </c>
      <c r="B1446" s="46" t="s">
        <v>13733</v>
      </c>
      <c r="C1446">
        <v>2</v>
      </c>
      <c r="D1446">
        <v>23</v>
      </c>
    </row>
    <row r="1447" spans="1:4" x14ac:dyDescent="0.25">
      <c r="A1447" s="45" t="s">
        <v>1475</v>
      </c>
      <c r="B1447" s="46" t="s">
        <v>13734</v>
      </c>
      <c r="C1447">
        <v>2</v>
      </c>
      <c r="D1447">
        <v>23</v>
      </c>
    </row>
    <row r="1448" spans="1:4" x14ac:dyDescent="0.25">
      <c r="A1448" s="45" t="s">
        <v>1476</v>
      </c>
      <c r="B1448" s="46" t="s">
        <v>19490</v>
      </c>
      <c r="C1448">
        <v>2</v>
      </c>
      <c r="D1448">
        <v>23</v>
      </c>
    </row>
    <row r="1449" spans="1:4" x14ac:dyDescent="0.25">
      <c r="A1449" s="45" t="s">
        <v>1477</v>
      </c>
      <c r="B1449" s="46" t="s">
        <v>19491</v>
      </c>
      <c r="C1449">
        <v>2</v>
      </c>
      <c r="D1449">
        <v>23</v>
      </c>
    </row>
    <row r="1450" spans="1:4" x14ac:dyDescent="0.25">
      <c r="A1450" s="45" t="s">
        <v>1478</v>
      </c>
      <c r="B1450" s="46" t="s">
        <v>19492</v>
      </c>
      <c r="C1450">
        <v>2</v>
      </c>
      <c r="D1450">
        <v>23</v>
      </c>
    </row>
    <row r="1451" spans="1:4" x14ac:dyDescent="0.25">
      <c r="A1451" s="45" t="s">
        <v>1479</v>
      </c>
      <c r="B1451" s="46" t="s">
        <v>13735</v>
      </c>
      <c r="C1451">
        <v>2</v>
      </c>
      <c r="D1451">
        <v>23</v>
      </c>
    </row>
    <row r="1452" spans="1:4" x14ac:dyDescent="0.25">
      <c r="A1452" s="45" t="s">
        <v>1480</v>
      </c>
      <c r="B1452" s="46" t="s">
        <v>19493</v>
      </c>
      <c r="C1452">
        <v>2</v>
      </c>
      <c r="D1452">
        <v>23</v>
      </c>
    </row>
    <row r="1453" spans="1:4" x14ac:dyDescent="0.25">
      <c r="A1453" s="45" t="s">
        <v>1481</v>
      </c>
      <c r="B1453" s="46" t="s">
        <v>13736</v>
      </c>
      <c r="C1453">
        <v>2</v>
      </c>
      <c r="D1453">
        <v>23</v>
      </c>
    </row>
    <row r="1454" spans="1:4" x14ac:dyDescent="0.25">
      <c r="A1454" s="45" t="s">
        <v>1482</v>
      </c>
      <c r="B1454" s="46" t="s">
        <v>13737</v>
      </c>
      <c r="C1454">
        <v>2</v>
      </c>
      <c r="D1454">
        <v>23</v>
      </c>
    </row>
    <row r="1455" spans="1:4" x14ac:dyDescent="0.25">
      <c r="A1455" s="45" t="s">
        <v>1483</v>
      </c>
      <c r="B1455" s="46" t="s">
        <v>13738</v>
      </c>
      <c r="C1455">
        <v>2</v>
      </c>
      <c r="D1455">
        <v>23</v>
      </c>
    </row>
    <row r="1456" spans="1:4" x14ac:dyDescent="0.25">
      <c r="A1456" s="45" t="s">
        <v>1484</v>
      </c>
      <c r="B1456" s="46" t="s">
        <v>19494</v>
      </c>
      <c r="C1456">
        <v>2</v>
      </c>
      <c r="D1456">
        <v>23</v>
      </c>
    </row>
    <row r="1457" spans="1:4" x14ac:dyDescent="0.25">
      <c r="A1457" s="45" t="s">
        <v>1485</v>
      </c>
      <c r="B1457" s="46" t="s">
        <v>19495</v>
      </c>
      <c r="C1457">
        <v>2</v>
      </c>
      <c r="D1457">
        <v>23</v>
      </c>
    </row>
    <row r="1458" spans="1:4" x14ac:dyDescent="0.25">
      <c r="A1458" s="45" t="s">
        <v>1486</v>
      </c>
      <c r="B1458" s="46" t="s">
        <v>13739</v>
      </c>
      <c r="C1458">
        <v>2</v>
      </c>
      <c r="D1458">
        <v>23</v>
      </c>
    </row>
    <row r="1459" spans="1:4" x14ac:dyDescent="0.25">
      <c r="A1459" s="45" t="s">
        <v>1487</v>
      </c>
      <c r="B1459" s="46" t="s">
        <v>13740</v>
      </c>
      <c r="C1459">
        <v>2</v>
      </c>
      <c r="D1459">
        <v>23</v>
      </c>
    </row>
    <row r="1460" spans="1:4" x14ac:dyDescent="0.25">
      <c r="A1460" s="45" t="s">
        <v>1488</v>
      </c>
      <c r="B1460" s="46" t="s">
        <v>13741</v>
      </c>
      <c r="C1460">
        <v>2</v>
      </c>
      <c r="D1460">
        <v>23</v>
      </c>
    </row>
    <row r="1461" spans="1:4" x14ac:dyDescent="0.25">
      <c r="A1461" s="45" t="s">
        <v>1489</v>
      </c>
      <c r="B1461" s="46" t="s">
        <v>19496</v>
      </c>
      <c r="C1461">
        <v>2</v>
      </c>
      <c r="D1461">
        <v>23</v>
      </c>
    </row>
    <row r="1462" spans="1:4" x14ac:dyDescent="0.25">
      <c r="A1462" s="45" t="s">
        <v>1490</v>
      </c>
      <c r="B1462" s="46" t="s">
        <v>19497</v>
      </c>
      <c r="C1462">
        <v>2</v>
      </c>
      <c r="D1462">
        <v>23</v>
      </c>
    </row>
    <row r="1463" spans="1:4" x14ac:dyDescent="0.25">
      <c r="A1463" s="45" t="s">
        <v>1491</v>
      </c>
      <c r="B1463" s="46" t="s">
        <v>13742</v>
      </c>
      <c r="C1463">
        <v>2</v>
      </c>
      <c r="D1463">
        <v>23</v>
      </c>
    </row>
    <row r="1464" spans="1:4" x14ac:dyDescent="0.25">
      <c r="A1464" s="45" t="s">
        <v>1492</v>
      </c>
      <c r="B1464" s="46" t="s">
        <v>13743</v>
      </c>
      <c r="C1464">
        <v>2</v>
      </c>
      <c r="D1464">
        <v>23</v>
      </c>
    </row>
    <row r="1465" spans="1:4" x14ac:dyDescent="0.25">
      <c r="A1465" s="45" t="s">
        <v>1493</v>
      </c>
      <c r="B1465" s="46" t="s">
        <v>19498</v>
      </c>
      <c r="C1465">
        <v>2</v>
      </c>
      <c r="D1465">
        <v>23</v>
      </c>
    </row>
    <row r="1466" spans="1:4" x14ac:dyDescent="0.25">
      <c r="A1466" s="45" t="s">
        <v>1494</v>
      </c>
      <c r="B1466" s="46" t="s">
        <v>19499</v>
      </c>
      <c r="C1466">
        <v>2</v>
      </c>
      <c r="D1466">
        <v>23</v>
      </c>
    </row>
    <row r="1467" spans="1:4" x14ac:dyDescent="0.25">
      <c r="A1467" s="45" t="s">
        <v>1495</v>
      </c>
      <c r="B1467" s="46" t="s">
        <v>13744</v>
      </c>
      <c r="C1467">
        <v>2</v>
      </c>
      <c r="D1467">
        <v>23</v>
      </c>
    </row>
    <row r="1468" spans="1:4" x14ac:dyDescent="0.25">
      <c r="A1468" s="45" t="s">
        <v>1496</v>
      </c>
      <c r="B1468" s="46" t="s">
        <v>19500</v>
      </c>
      <c r="C1468">
        <v>2</v>
      </c>
      <c r="D1468">
        <v>23</v>
      </c>
    </row>
    <row r="1469" spans="1:4" x14ac:dyDescent="0.25">
      <c r="A1469" s="45" t="s">
        <v>1497</v>
      </c>
      <c r="B1469" s="46" t="s">
        <v>13745</v>
      </c>
      <c r="C1469">
        <v>2</v>
      </c>
      <c r="D1469">
        <v>23</v>
      </c>
    </row>
    <row r="1470" spans="1:4" x14ac:dyDescent="0.25">
      <c r="A1470" s="45" t="s">
        <v>1498</v>
      </c>
      <c r="B1470" s="46" t="s">
        <v>13746</v>
      </c>
      <c r="C1470">
        <v>2</v>
      </c>
      <c r="D1470">
        <v>23</v>
      </c>
    </row>
    <row r="1471" spans="1:4" x14ac:dyDescent="0.25">
      <c r="A1471" s="45" t="s">
        <v>1499</v>
      </c>
      <c r="B1471" s="46" t="s">
        <v>13747</v>
      </c>
      <c r="C1471">
        <v>2</v>
      </c>
      <c r="D1471">
        <v>23</v>
      </c>
    </row>
    <row r="1472" spans="1:4" x14ac:dyDescent="0.25">
      <c r="A1472" s="45" t="s">
        <v>1500</v>
      </c>
      <c r="B1472" s="46" t="s">
        <v>19501</v>
      </c>
      <c r="C1472">
        <v>2</v>
      </c>
      <c r="D1472">
        <v>23</v>
      </c>
    </row>
    <row r="1473" spans="1:4" x14ac:dyDescent="0.25">
      <c r="A1473" s="45" t="s">
        <v>1501</v>
      </c>
      <c r="B1473" s="46" t="s">
        <v>19502</v>
      </c>
      <c r="C1473">
        <v>2</v>
      </c>
      <c r="D1473">
        <v>23</v>
      </c>
    </row>
    <row r="1474" spans="1:4" x14ac:dyDescent="0.25">
      <c r="A1474" s="45" t="s">
        <v>1502</v>
      </c>
      <c r="B1474" s="46" t="s">
        <v>19503</v>
      </c>
      <c r="C1474">
        <v>2</v>
      </c>
      <c r="D1474">
        <v>23</v>
      </c>
    </row>
    <row r="1475" spans="1:4" x14ac:dyDescent="0.25">
      <c r="A1475" s="45" t="s">
        <v>1503</v>
      </c>
      <c r="B1475" s="46" t="s">
        <v>19504</v>
      </c>
      <c r="C1475">
        <v>2</v>
      </c>
      <c r="D1475">
        <v>23</v>
      </c>
    </row>
    <row r="1476" spans="1:4" x14ac:dyDescent="0.25">
      <c r="A1476" s="45" t="s">
        <v>1504</v>
      </c>
      <c r="B1476" s="46" t="s">
        <v>19505</v>
      </c>
      <c r="C1476">
        <v>2</v>
      </c>
      <c r="D1476">
        <v>23</v>
      </c>
    </row>
    <row r="1477" spans="1:4" x14ac:dyDescent="0.25">
      <c r="A1477" s="45" t="s">
        <v>1505</v>
      </c>
      <c r="B1477" s="46" t="s">
        <v>19506</v>
      </c>
      <c r="C1477">
        <v>2</v>
      </c>
      <c r="D1477">
        <v>23</v>
      </c>
    </row>
    <row r="1478" spans="1:4" x14ac:dyDescent="0.25">
      <c r="A1478" s="45" t="s">
        <v>1506</v>
      </c>
      <c r="B1478" s="46" t="s">
        <v>19507</v>
      </c>
      <c r="C1478">
        <v>2</v>
      </c>
      <c r="D1478">
        <v>23</v>
      </c>
    </row>
    <row r="1479" spans="1:4" x14ac:dyDescent="0.25">
      <c r="A1479" s="45" t="s">
        <v>1507</v>
      </c>
      <c r="B1479" s="46" t="s">
        <v>19508</v>
      </c>
      <c r="C1479">
        <v>2</v>
      </c>
      <c r="D1479">
        <v>23</v>
      </c>
    </row>
    <row r="1480" spans="1:4" x14ac:dyDescent="0.25">
      <c r="A1480" s="45" t="s">
        <v>1508</v>
      </c>
      <c r="B1480" s="46" t="s">
        <v>19509</v>
      </c>
      <c r="C1480">
        <v>2</v>
      </c>
      <c r="D1480">
        <v>23</v>
      </c>
    </row>
    <row r="1481" spans="1:4" x14ac:dyDescent="0.25">
      <c r="A1481" s="45" t="s">
        <v>1509</v>
      </c>
      <c r="B1481" s="46" t="s">
        <v>13748</v>
      </c>
      <c r="C1481">
        <v>2</v>
      </c>
      <c r="D1481">
        <v>23</v>
      </c>
    </row>
    <row r="1482" spans="1:4" x14ac:dyDescent="0.25">
      <c r="A1482" s="45" t="s">
        <v>1510</v>
      </c>
      <c r="B1482" s="46" t="s">
        <v>19510</v>
      </c>
      <c r="C1482">
        <v>2</v>
      </c>
      <c r="D1482">
        <v>23</v>
      </c>
    </row>
    <row r="1483" spans="1:4" x14ac:dyDescent="0.25">
      <c r="A1483" s="45" t="s">
        <v>1511</v>
      </c>
      <c r="B1483" s="46" t="s">
        <v>19511</v>
      </c>
      <c r="C1483">
        <v>2</v>
      </c>
      <c r="D1483">
        <v>23</v>
      </c>
    </row>
    <row r="1484" spans="1:4" x14ac:dyDescent="0.25">
      <c r="A1484" s="45" t="s">
        <v>1512</v>
      </c>
      <c r="B1484" s="46" t="s">
        <v>13749</v>
      </c>
      <c r="C1484">
        <v>2</v>
      </c>
      <c r="D1484">
        <v>23</v>
      </c>
    </row>
    <row r="1485" spans="1:4" x14ac:dyDescent="0.25">
      <c r="A1485" s="45" t="s">
        <v>1513</v>
      </c>
      <c r="B1485" s="46" t="s">
        <v>19512</v>
      </c>
      <c r="C1485">
        <v>2</v>
      </c>
      <c r="D1485">
        <v>23</v>
      </c>
    </row>
    <row r="1486" spans="1:4" x14ac:dyDescent="0.25">
      <c r="A1486" s="45" t="s">
        <v>1514</v>
      </c>
      <c r="B1486" s="46" t="s">
        <v>19513</v>
      </c>
      <c r="C1486">
        <v>2</v>
      </c>
      <c r="D1486">
        <v>23</v>
      </c>
    </row>
    <row r="1487" spans="1:4" x14ac:dyDescent="0.25">
      <c r="A1487" s="45" t="s">
        <v>1515</v>
      </c>
      <c r="B1487" s="46" t="s">
        <v>19514</v>
      </c>
      <c r="C1487">
        <v>2</v>
      </c>
      <c r="D1487">
        <v>23</v>
      </c>
    </row>
    <row r="1488" spans="1:4" x14ac:dyDescent="0.25">
      <c r="A1488" s="45" t="s">
        <v>1516</v>
      </c>
      <c r="B1488" s="46" t="s">
        <v>19515</v>
      </c>
      <c r="C1488">
        <v>2</v>
      </c>
      <c r="D1488">
        <v>23</v>
      </c>
    </row>
    <row r="1489" spans="1:4" x14ac:dyDescent="0.25">
      <c r="A1489" s="45" t="s">
        <v>1517</v>
      </c>
      <c r="B1489" s="46" t="s">
        <v>13750</v>
      </c>
      <c r="C1489">
        <v>2</v>
      </c>
      <c r="D1489">
        <v>23</v>
      </c>
    </row>
    <row r="1490" spans="1:4" x14ac:dyDescent="0.25">
      <c r="A1490" s="45" t="s">
        <v>1518</v>
      </c>
      <c r="B1490" s="46" t="s">
        <v>13751</v>
      </c>
      <c r="C1490">
        <v>2</v>
      </c>
      <c r="D1490">
        <v>23</v>
      </c>
    </row>
    <row r="1491" spans="1:4" x14ac:dyDescent="0.25">
      <c r="A1491" s="45" t="s">
        <v>1519</v>
      </c>
      <c r="B1491" s="46" t="s">
        <v>19516</v>
      </c>
      <c r="C1491">
        <v>2</v>
      </c>
      <c r="D1491">
        <v>23</v>
      </c>
    </row>
    <row r="1492" spans="1:4" x14ac:dyDescent="0.25">
      <c r="A1492" s="45" t="s">
        <v>1520</v>
      </c>
      <c r="B1492" s="46" t="s">
        <v>19517</v>
      </c>
      <c r="C1492">
        <v>2</v>
      </c>
      <c r="D1492">
        <v>23</v>
      </c>
    </row>
    <row r="1493" spans="1:4" x14ac:dyDescent="0.25">
      <c r="A1493" s="45" t="s">
        <v>1521</v>
      </c>
      <c r="B1493" s="46" t="s">
        <v>19518</v>
      </c>
      <c r="C1493">
        <v>2</v>
      </c>
      <c r="D1493">
        <v>23</v>
      </c>
    </row>
    <row r="1494" spans="1:4" x14ac:dyDescent="0.25">
      <c r="A1494" s="45" t="s">
        <v>1522</v>
      </c>
      <c r="B1494" s="46" t="s">
        <v>13752</v>
      </c>
      <c r="C1494">
        <v>2</v>
      </c>
      <c r="D1494">
        <v>23</v>
      </c>
    </row>
    <row r="1495" spans="1:4" x14ac:dyDescent="0.25">
      <c r="A1495" s="45" t="s">
        <v>1523</v>
      </c>
      <c r="B1495" s="46" t="s">
        <v>13753</v>
      </c>
      <c r="C1495">
        <v>4</v>
      </c>
      <c r="D1495">
        <v>29</v>
      </c>
    </row>
    <row r="1496" spans="1:4" x14ac:dyDescent="0.25">
      <c r="A1496" s="45" t="s">
        <v>1524</v>
      </c>
      <c r="B1496" s="46" t="s">
        <v>13754</v>
      </c>
      <c r="C1496">
        <v>4</v>
      </c>
      <c r="D1496">
        <v>29</v>
      </c>
    </row>
    <row r="1497" spans="1:4" x14ac:dyDescent="0.25">
      <c r="A1497" s="45" t="s">
        <v>1525</v>
      </c>
      <c r="B1497" s="46" t="s">
        <v>13755</v>
      </c>
      <c r="C1497">
        <v>4</v>
      </c>
      <c r="D1497">
        <v>29</v>
      </c>
    </row>
    <row r="1498" spans="1:4" x14ac:dyDescent="0.25">
      <c r="A1498" s="45" t="s">
        <v>1526</v>
      </c>
      <c r="B1498" s="46" t="s">
        <v>13756</v>
      </c>
      <c r="C1498">
        <v>4</v>
      </c>
      <c r="D1498">
        <v>29</v>
      </c>
    </row>
    <row r="1499" spans="1:4" x14ac:dyDescent="0.25">
      <c r="A1499" s="45" t="s">
        <v>1527</v>
      </c>
      <c r="B1499" s="46" t="s">
        <v>13757</v>
      </c>
      <c r="C1499">
        <v>4</v>
      </c>
      <c r="D1499">
        <v>29</v>
      </c>
    </row>
    <row r="1500" spans="1:4" x14ac:dyDescent="0.25">
      <c r="A1500" s="45" t="s">
        <v>1528</v>
      </c>
      <c r="B1500" s="46" t="s">
        <v>13758</v>
      </c>
      <c r="C1500">
        <v>4</v>
      </c>
      <c r="D1500">
        <v>29</v>
      </c>
    </row>
    <row r="1501" spans="1:4" x14ac:dyDescent="0.25">
      <c r="A1501" s="45" t="s">
        <v>1529</v>
      </c>
      <c r="B1501" s="46" t="s">
        <v>13759</v>
      </c>
      <c r="C1501">
        <v>4</v>
      </c>
      <c r="D1501">
        <v>29</v>
      </c>
    </row>
    <row r="1502" spans="1:4" x14ac:dyDescent="0.25">
      <c r="A1502" s="45" t="s">
        <v>1530</v>
      </c>
      <c r="B1502" s="46" t="s">
        <v>19519</v>
      </c>
      <c r="C1502">
        <v>2</v>
      </c>
      <c r="D1502">
        <v>23</v>
      </c>
    </row>
    <row r="1503" spans="1:4" x14ac:dyDescent="0.25">
      <c r="A1503" s="45" t="s">
        <v>1531</v>
      </c>
      <c r="B1503" s="46" t="s">
        <v>13760</v>
      </c>
      <c r="C1503">
        <v>2</v>
      </c>
      <c r="D1503">
        <v>23</v>
      </c>
    </row>
    <row r="1504" spans="1:4" x14ac:dyDescent="0.25">
      <c r="A1504" s="45" t="s">
        <v>1532</v>
      </c>
      <c r="B1504" s="46" t="s">
        <v>13761</v>
      </c>
      <c r="C1504">
        <v>3</v>
      </c>
      <c r="D1504">
        <v>28</v>
      </c>
    </row>
    <row r="1505" spans="1:4" x14ac:dyDescent="0.25">
      <c r="A1505" s="45" t="s">
        <v>1533</v>
      </c>
      <c r="B1505" s="46" t="s">
        <v>13762</v>
      </c>
      <c r="C1505">
        <v>2</v>
      </c>
      <c r="D1505">
        <v>23</v>
      </c>
    </row>
    <row r="1506" spans="1:4" x14ac:dyDescent="0.25">
      <c r="A1506" s="45" t="s">
        <v>1534</v>
      </c>
      <c r="B1506" s="46" t="s">
        <v>19520</v>
      </c>
      <c r="C1506">
        <v>2</v>
      </c>
      <c r="D1506">
        <v>23</v>
      </c>
    </row>
    <row r="1507" spans="1:4" x14ac:dyDescent="0.25">
      <c r="A1507" s="45" t="s">
        <v>1535</v>
      </c>
      <c r="B1507" s="46" t="s">
        <v>19521</v>
      </c>
      <c r="C1507">
        <v>2</v>
      </c>
      <c r="D1507">
        <v>23</v>
      </c>
    </row>
    <row r="1508" spans="1:4" x14ac:dyDescent="0.25">
      <c r="A1508" s="45" t="s">
        <v>1536</v>
      </c>
      <c r="B1508" s="46" t="s">
        <v>19522</v>
      </c>
      <c r="C1508">
        <v>2</v>
      </c>
      <c r="D1508">
        <v>23</v>
      </c>
    </row>
    <row r="1509" spans="1:4" x14ac:dyDescent="0.25">
      <c r="A1509" s="45" t="s">
        <v>1537</v>
      </c>
      <c r="B1509" s="46" t="s">
        <v>19523</v>
      </c>
      <c r="C1509">
        <v>2</v>
      </c>
      <c r="D1509">
        <v>23</v>
      </c>
    </row>
    <row r="1510" spans="1:4" x14ac:dyDescent="0.25">
      <c r="A1510" s="45" t="s">
        <v>1538</v>
      </c>
      <c r="B1510" s="46" t="s">
        <v>19524</v>
      </c>
      <c r="C1510">
        <v>2</v>
      </c>
      <c r="D1510">
        <v>23</v>
      </c>
    </row>
    <row r="1511" spans="1:4" x14ac:dyDescent="0.25">
      <c r="A1511" s="45" t="s">
        <v>1539</v>
      </c>
      <c r="B1511" s="46" t="s">
        <v>13763</v>
      </c>
      <c r="C1511">
        <v>2</v>
      </c>
      <c r="D1511">
        <v>23</v>
      </c>
    </row>
    <row r="1512" spans="1:4" x14ac:dyDescent="0.25">
      <c r="A1512" s="45" t="s">
        <v>1540</v>
      </c>
      <c r="B1512" s="46" t="s">
        <v>13764</v>
      </c>
      <c r="C1512">
        <v>2</v>
      </c>
      <c r="D1512">
        <v>23</v>
      </c>
    </row>
    <row r="1513" spans="1:4" x14ac:dyDescent="0.25">
      <c r="A1513" s="45" t="s">
        <v>1541</v>
      </c>
      <c r="B1513" s="46" t="s">
        <v>13765</v>
      </c>
      <c r="C1513">
        <v>2</v>
      </c>
      <c r="D1513">
        <v>23</v>
      </c>
    </row>
    <row r="1514" spans="1:4" x14ac:dyDescent="0.25">
      <c r="A1514" s="45" t="s">
        <v>1542</v>
      </c>
      <c r="B1514" s="46" t="s">
        <v>13766</v>
      </c>
      <c r="C1514">
        <v>2</v>
      </c>
      <c r="D1514">
        <v>23</v>
      </c>
    </row>
    <row r="1515" spans="1:4" x14ac:dyDescent="0.25">
      <c r="A1515" s="45" t="s">
        <v>1543</v>
      </c>
      <c r="B1515" s="46" t="s">
        <v>19525</v>
      </c>
      <c r="C1515">
        <v>2</v>
      </c>
      <c r="D1515">
        <v>23</v>
      </c>
    </row>
    <row r="1516" spans="1:4" x14ac:dyDescent="0.25">
      <c r="A1516" s="45" t="s">
        <v>1544</v>
      </c>
      <c r="B1516" s="46" t="s">
        <v>19526</v>
      </c>
      <c r="C1516">
        <v>2</v>
      </c>
      <c r="D1516">
        <v>21</v>
      </c>
    </row>
    <row r="1517" spans="1:4" x14ac:dyDescent="0.25">
      <c r="A1517" s="45" t="s">
        <v>1545</v>
      </c>
      <c r="B1517" s="46" t="s">
        <v>19527</v>
      </c>
      <c r="C1517">
        <v>4</v>
      </c>
      <c r="D1517">
        <v>29</v>
      </c>
    </row>
    <row r="1518" spans="1:4" x14ac:dyDescent="0.25">
      <c r="A1518" s="45" t="s">
        <v>1546</v>
      </c>
      <c r="B1518" s="46" t="s">
        <v>13767</v>
      </c>
      <c r="C1518">
        <v>4</v>
      </c>
      <c r="D1518">
        <v>29</v>
      </c>
    </row>
    <row r="1519" spans="1:4" x14ac:dyDescent="0.25">
      <c r="A1519" s="45" t="s">
        <v>1547</v>
      </c>
      <c r="B1519" s="46" t="s">
        <v>13768</v>
      </c>
      <c r="C1519">
        <v>4</v>
      </c>
      <c r="D1519">
        <v>29</v>
      </c>
    </row>
    <row r="1520" spans="1:4" x14ac:dyDescent="0.25">
      <c r="A1520" s="45" t="s">
        <v>1548</v>
      </c>
      <c r="B1520" s="46" t="s">
        <v>13769</v>
      </c>
      <c r="C1520">
        <v>4</v>
      </c>
      <c r="D1520">
        <v>29</v>
      </c>
    </row>
    <row r="1521" spans="1:4" x14ac:dyDescent="0.25">
      <c r="A1521" s="45" t="s">
        <v>1549</v>
      </c>
      <c r="B1521" s="46" t="s">
        <v>19528</v>
      </c>
      <c r="C1521">
        <v>4</v>
      </c>
      <c r="D1521">
        <v>29</v>
      </c>
    </row>
    <row r="1522" spans="1:4" x14ac:dyDescent="0.25">
      <c r="A1522" s="45" t="s">
        <v>1550</v>
      </c>
      <c r="B1522" s="46" t="s">
        <v>19529</v>
      </c>
      <c r="C1522">
        <v>4</v>
      </c>
      <c r="D1522">
        <v>29</v>
      </c>
    </row>
    <row r="1523" spans="1:4" x14ac:dyDescent="0.25">
      <c r="A1523" s="45" t="s">
        <v>1551</v>
      </c>
      <c r="B1523" s="46" t="s">
        <v>13770</v>
      </c>
      <c r="C1523">
        <v>4</v>
      </c>
      <c r="D1523">
        <v>29</v>
      </c>
    </row>
    <row r="1524" spans="1:4" x14ac:dyDescent="0.25">
      <c r="A1524" s="45" t="s">
        <v>1552</v>
      </c>
      <c r="B1524" s="46" t="s">
        <v>13771</v>
      </c>
      <c r="C1524">
        <v>4</v>
      </c>
      <c r="D1524">
        <v>29</v>
      </c>
    </row>
    <row r="1525" spans="1:4" x14ac:dyDescent="0.25">
      <c r="A1525" s="45" t="s">
        <v>1553</v>
      </c>
      <c r="B1525" s="46" t="s">
        <v>13772</v>
      </c>
      <c r="C1525">
        <v>4</v>
      </c>
      <c r="D1525">
        <v>29</v>
      </c>
    </row>
    <row r="1526" spans="1:4" x14ac:dyDescent="0.25">
      <c r="A1526" s="45" t="s">
        <v>1554</v>
      </c>
      <c r="B1526" s="46" t="s">
        <v>13773</v>
      </c>
      <c r="C1526">
        <v>4</v>
      </c>
      <c r="D1526">
        <v>29</v>
      </c>
    </row>
    <row r="1527" spans="1:4" x14ac:dyDescent="0.25">
      <c r="A1527" s="45" t="s">
        <v>1555</v>
      </c>
      <c r="B1527" s="46" t="s">
        <v>13774</v>
      </c>
      <c r="C1527">
        <v>4</v>
      </c>
      <c r="D1527">
        <v>29</v>
      </c>
    </row>
    <row r="1528" spans="1:4" x14ac:dyDescent="0.25">
      <c r="A1528" s="45" t="s">
        <v>1556</v>
      </c>
      <c r="B1528" s="46" t="s">
        <v>13775</v>
      </c>
      <c r="C1528">
        <v>4</v>
      </c>
      <c r="D1528">
        <v>29</v>
      </c>
    </row>
    <row r="1529" spans="1:4" x14ac:dyDescent="0.25">
      <c r="A1529" s="45" t="s">
        <v>1557</v>
      </c>
      <c r="B1529" s="46" t="s">
        <v>13776</v>
      </c>
      <c r="C1529">
        <v>4</v>
      </c>
      <c r="D1529">
        <v>29</v>
      </c>
    </row>
    <row r="1530" spans="1:4" x14ac:dyDescent="0.25">
      <c r="A1530" s="45" t="s">
        <v>1558</v>
      </c>
      <c r="B1530" s="46" t="s">
        <v>13777</v>
      </c>
      <c r="C1530">
        <v>4</v>
      </c>
      <c r="D1530">
        <v>29</v>
      </c>
    </row>
    <row r="1531" spans="1:4" x14ac:dyDescent="0.25">
      <c r="A1531" s="45" t="s">
        <v>1559</v>
      </c>
      <c r="B1531" s="46" t="s">
        <v>13778</v>
      </c>
      <c r="C1531">
        <v>4</v>
      </c>
      <c r="D1531">
        <v>29</v>
      </c>
    </row>
    <row r="1532" spans="1:4" x14ac:dyDescent="0.25">
      <c r="A1532" s="45" t="s">
        <v>1560</v>
      </c>
      <c r="B1532" s="46" t="s">
        <v>13779</v>
      </c>
      <c r="C1532">
        <v>4</v>
      </c>
      <c r="D1532">
        <v>29</v>
      </c>
    </row>
    <row r="1533" spans="1:4" x14ac:dyDescent="0.25">
      <c r="A1533" s="45" t="s">
        <v>1561</v>
      </c>
      <c r="B1533" s="46" t="s">
        <v>13780</v>
      </c>
      <c r="C1533">
        <v>4</v>
      </c>
      <c r="D1533">
        <v>29</v>
      </c>
    </row>
    <row r="1534" spans="1:4" x14ac:dyDescent="0.25">
      <c r="A1534" s="45" t="s">
        <v>1562</v>
      </c>
      <c r="B1534" s="46" t="s">
        <v>13781</v>
      </c>
      <c r="C1534">
        <v>4</v>
      </c>
      <c r="D1534">
        <v>29</v>
      </c>
    </row>
    <row r="1535" spans="1:4" x14ac:dyDescent="0.25">
      <c r="A1535" s="45" t="s">
        <v>1563</v>
      </c>
      <c r="B1535" s="46" t="s">
        <v>13782</v>
      </c>
      <c r="C1535">
        <v>4</v>
      </c>
      <c r="D1535">
        <v>29</v>
      </c>
    </row>
    <row r="1536" spans="1:4" x14ac:dyDescent="0.25">
      <c r="A1536" s="45" t="s">
        <v>1564</v>
      </c>
      <c r="B1536" s="46" t="s">
        <v>13783</v>
      </c>
      <c r="C1536">
        <v>4</v>
      </c>
      <c r="D1536">
        <v>29</v>
      </c>
    </row>
    <row r="1537" spans="1:4" x14ac:dyDescent="0.25">
      <c r="A1537" s="45" t="s">
        <v>1565</v>
      </c>
      <c r="B1537" s="46" t="s">
        <v>13784</v>
      </c>
      <c r="C1537">
        <v>4</v>
      </c>
      <c r="D1537">
        <v>29</v>
      </c>
    </row>
    <row r="1538" spans="1:4" x14ac:dyDescent="0.25">
      <c r="A1538" s="45" t="s">
        <v>1566</v>
      </c>
      <c r="B1538" s="46" t="s">
        <v>13785</v>
      </c>
      <c r="C1538">
        <v>4</v>
      </c>
      <c r="D1538">
        <v>29</v>
      </c>
    </row>
    <row r="1539" spans="1:4" x14ac:dyDescent="0.25">
      <c r="A1539" s="45" t="s">
        <v>1567</v>
      </c>
      <c r="B1539" s="46" t="s">
        <v>13786</v>
      </c>
      <c r="C1539">
        <v>4</v>
      </c>
      <c r="D1539">
        <v>29</v>
      </c>
    </row>
    <row r="1540" spans="1:4" x14ac:dyDescent="0.25">
      <c r="A1540" s="45" t="s">
        <v>1568</v>
      </c>
      <c r="B1540" s="46" t="s">
        <v>13787</v>
      </c>
      <c r="C1540">
        <v>4</v>
      </c>
      <c r="D1540">
        <v>29</v>
      </c>
    </row>
    <row r="1541" spans="1:4" x14ac:dyDescent="0.25">
      <c r="A1541" s="45" t="s">
        <v>1569</v>
      </c>
      <c r="B1541" s="46" t="s">
        <v>13788</v>
      </c>
      <c r="C1541">
        <v>4</v>
      </c>
      <c r="D1541">
        <v>29</v>
      </c>
    </row>
    <row r="1542" spans="1:4" x14ac:dyDescent="0.25">
      <c r="A1542" s="45" t="s">
        <v>1570</v>
      </c>
      <c r="B1542" s="46" t="s">
        <v>13789</v>
      </c>
      <c r="C1542">
        <v>4</v>
      </c>
      <c r="D1542">
        <v>29</v>
      </c>
    </row>
    <row r="1543" spans="1:4" x14ac:dyDescent="0.25">
      <c r="A1543" s="45" t="s">
        <v>1571</v>
      </c>
      <c r="B1543" s="46" t="s">
        <v>13790</v>
      </c>
      <c r="C1543">
        <v>4</v>
      </c>
      <c r="D1543">
        <v>29</v>
      </c>
    </row>
    <row r="1544" spans="1:4" x14ac:dyDescent="0.25">
      <c r="A1544" s="45" t="s">
        <v>1572</v>
      </c>
      <c r="B1544" s="46" t="s">
        <v>13791</v>
      </c>
      <c r="C1544">
        <v>4</v>
      </c>
      <c r="D1544">
        <v>29</v>
      </c>
    </row>
    <row r="1545" spans="1:4" x14ac:dyDescent="0.25">
      <c r="A1545" s="45" t="s">
        <v>1573</v>
      </c>
      <c r="B1545" s="46" t="s">
        <v>13792</v>
      </c>
      <c r="C1545">
        <v>4</v>
      </c>
      <c r="D1545">
        <v>29</v>
      </c>
    </row>
    <row r="1546" spans="1:4" x14ac:dyDescent="0.25">
      <c r="A1546" s="45" t="s">
        <v>1574</v>
      </c>
      <c r="B1546" s="46" t="s">
        <v>13793</v>
      </c>
      <c r="C1546">
        <v>4</v>
      </c>
      <c r="D1546">
        <v>29</v>
      </c>
    </row>
    <row r="1547" spans="1:4" x14ac:dyDescent="0.25">
      <c r="A1547" s="45" t="s">
        <v>1575</v>
      </c>
      <c r="B1547" s="46" t="s">
        <v>13794</v>
      </c>
      <c r="C1547">
        <v>4</v>
      </c>
      <c r="D1547">
        <v>29</v>
      </c>
    </row>
    <row r="1548" spans="1:4" x14ac:dyDescent="0.25">
      <c r="A1548" s="45" t="s">
        <v>1576</v>
      </c>
      <c r="B1548" s="46" t="s">
        <v>13795</v>
      </c>
      <c r="C1548">
        <v>4</v>
      </c>
      <c r="D1548">
        <v>29</v>
      </c>
    </row>
    <row r="1549" spans="1:4" x14ac:dyDescent="0.25">
      <c r="A1549" s="45" t="s">
        <v>1577</v>
      </c>
      <c r="B1549" s="46" t="s">
        <v>13796</v>
      </c>
      <c r="C1549">
        <v>4</v>
      </c>
      <c r="D1549">
        <v>29</v>
      </c>
    </row>
    <row r="1550" spans="1:4" x14ac:dyDescent="0.25">
      <c r="A1550" s="45" t="s">
        <v>1578</v>
      </c>
      <c r="B1550" s="46" t="s">
        <v>13797</v>
      </c>
      <c r="C1550">
        <v>4</v>
      </c>
      <c r="D1550">
        <v>29</v>
      </c>
    </row>
    <row r="1551" spans="1:4" x14ac:dyDescent="0.25">
      <c r="A1551" s="45" t="s">
        <v>1579</v>
      </c>
      <c r="B1551" s="46" t="s">
        <v>19530</v>
      </c>
      <c r="C1551">
        <v>4</v>
      </c>
      <c r="D1551">
        <v>29</v>
      </c>
    </row>
    <row r="1552" spans="1:4" x14ac:dyDescent="0.25">
      <c r="A1552" s="45" t="s">
        <v>1580</v>
      </c>
      <c r="B1552" s="46" t="s">
        <v>13798</v>
      </c>
      <c r="C1552">
        <v>4</v>
      </c>
      <c r="D1552">
        <v>29</v>
      </c>
    </row>
    <row r="1553" spans="1:4" x14ac:dyDescent="0.25">
      <c r="A1553" s="45" t="s">
        <v>1581</v>
      </c>
      <c r="B1553" s="46" t="s">
        <v>13799</v>
      </c>
      <c r="C1553">
        <v>4</v>
      </c>
      <c r="D1553">
        <v>29</v>
      </c>
    </row>
    <row r="1554" spans="1:4" x14ac:dyDescent="0.25">
      <c r="A1554" s="45" t="s">
        <v>1582</v>
      </c>
      <c r="B1554" s="46" t="s">
        <v>13800</v>
      </c>
      <c r="C1554">
        <v>4</v>
      </c>
      <c r="D1554">
        <v>29</v>
      </c>
    </row>
    <row r="1555" spans="1:4" x14ac:dyDescent="0.25">
      <c r="A1555" s="45" t="s">
        <v>1583</v>
      </c>
      <c r="B1555" s="46" t="s">
        <v>13801</v>
      </c>
      <c r="C1555">
        <v>4</v>
      </c>
      <c r="D1555">
        <v>29</v>
      </c>
    </row>
    <row r="1556" spans="1:4" x14ac:dyDescent="0.25">
      <c r="A1556" s="45" t="s">
        <v>1584</v>
      </c>
      <c r="B1556" s="46" t="s">
        <v>13802</v>
      </c>
      <c r="C1556">
        <v>4</v>
      </c>
      <c r="D1556">
        <v>29</v>
      </c>
    </row>
    <row r="1557" spans="1:4" x14ac:dyDescent="0.25">
      <c r="A1557" s="45" t="s">
        <v>1585</v>
      </c>
      <c r="B1557" s="46" t="s">
        <v>13803</v>
      </c>
      <c r="C1557">
        <v>4</v>
      </c>
      <c r="D1557">
        <v>29</v>
      </c>
    </row>
    <row r="1558" spans="1:4" x14ac:dyDescent="0.25">
      <c r="A1558" s="45" t="s">
        <v>1586</v>
      </c>
      <c r="B1558" s="46" t="s">
        <v>13804</v>
      </c>
      <c r="C1558">
        <v>4</v>
      </c>
      <c r="D1558">
        <v>29</v>
      </c>
    </row>
    <row r="1559" spans="1:4" x14ac:dyDescent="0.25">
      <c r="A1559" s="45" t="s">
        <v>1587</v>
      </c>
      <c r="B1559" s="46" t="s">
        <v>13805</v>
      </c>
      <c r="C1559">
        <v>4</v>
      </c>
      <c r="D1559">
        <v>29</v>
      </c>
    </row>
    <row r="1560" spans="1:4" x14ac:dyDescent="0.25">
      <c r="A1560" s="45" t="s">
        <v>1588</v>
      </c>
      <c r="B1560" s="46" t="s">
        <v>13806</v>
      </c>
      <c r="C1560">
        <v>4</v>
      </c>
      <c r="D1560">
        <v>29</v>
      </c>
    </row>
    <row r="1561" spans="1:4" x14ac:dyDescent="0.25">
      <c r="A1561" s="45" t="s">
        <v>1589</v>
      </c>
      <c r="B1561" s="46" t="s">
        <v>13807</v>
      </c>
      <c r="C1561">
        <v>4</v>
      </c>
      <c r="D1561">
        <v>29</v>
      </c>
    </row>
    <row r="1562" spans="1:4" x14ac:dyDescent="0.25">
      <c r="A1562" s="45" t="s">
        <v>1590</v>
      </c>
      <c r="B1562" s="46" t="s">
        <v>13808</v>
      </c>
      <c r="C1562">
        <v>4</v>
      </c>
      <c r="D1562">
        <v>29</v>
      </c>
    </row>
    <row r="1563" spans="1:4" x14ac:dyDescent="0.25">
      <c r="A1563" s="45" t="s">
        <v>1591</v>
      </c>
      <c r="B1563" s="46" t="s">
        <v>13809</v>
      </c>
      <c r="C1563">
        <v>4</v>
      </c>
      <c r="D1563">
        <v>29</v>
      </c>
    </row>
    <row r="1564" spans="1:4" x14ac:dyDescent="0.25">
      <c r="A1564" s="45" t="s">
        <v>1592</v>
      </c>
      <c r="B1564" s="46" t="s">
        <v>19531</v>
      </c>
      <c r="C1564">
        <v>4</v>
      </c>
      <c r="D1564">
        <v>29</v>
      </c>
    </row>
    <row r="1565" spans="1:4" x14ac:dyDescent="0.25">
      <c r="A1565" s="45" t="s">
        <v>1593</v>
      </c>
      <c r="B1565" s="46" t="s">
        <v>13810</v>
      </c>
      <c r="C1565">
        <v>4</v>
      </c>
      <c r="D1565">
        <v>29</v>
      </c>
    </row>
    <row r="1566" spans="1:4" x14ac:dyDescent="0.25">
      <c r="A1566" s="45" t="s">
        <v>1594</v>
      </c>
      <c r="B1566" s="46" t="s">
        <v>13811</v>
      </c>
      <c r="C1566">
        <v>4</v>
      </c>
      <c r="D1566">
        <v>29</v>
      </c>
    </row>
    <row r="1567" spans="1:4" x14ac:dyDescent="0.25">
      <c r="A1567" s="45" t="s">
        <v>1595</v>
      </c>
      <c r="B1567" s="46" t="s">
        <v>19532</v>
      </c>
      <c r="C1567">
        <v>4</v>
      </c>
      <c r="D1567">
        <v>29</v>
      </c>
    </row>
    <row r="1568" spans="1:4" x14ac:dyDescent="0.25">
      <c r="A1568" s="45" t="s">
        <v>1596</v>
      </c>
      <c r="B1568" s="46" t="s">
        <v>13812</v>
      </c>
      <c r="C1568">
        <v>4</v>
      </c>
      <c r="D1568">
        <v>29</v>
      </c>
    </row>
    <row r="1569" spans="1:4" x14ac:dyDescent="0.25">
      <c r="A1569" s="45" t="s">
        <v>1597</v>
      </c>
      <c r="B1569" s="46" t="s">
        <v>13813</v>
      </c>
      <c r="C1569">
        <v>4</v>
      </c>
      <c r="D1569">
        <v>29</v>
      </c>
    </row>
    <row r="1570" spans="1:4" x14ac:dyDescent="0.25">
      <c r="A1570" s="45" t="s">
        <v>1598</v>
      </c>
      <c r="B1570" s="46" t="s">
        <v>13814</v>
      </c>
      <c r="C1570">
        <v>4</v>
      </c>
      <c r="D1570">
        <v>29</v>
      </c>
    </row>
    <row r="1571" spans="1:4" x14ac:dyDescent="0.25">
      <c r="A1571" s="45" t="s">
        <v>1599</v>
      </c>
      <c r="B1571" s="46" t="s">
        <v>13815</v>
      </c>
      <c r="C1571">
        <v>4</v>
      </c>
      <c r="D1571">
        <v>29</v>
      </c>
    </row>
    <row r="1572" spans="1:4" x14ac:dyDescent="0.25">
      <c r="A1572" s="45" t="s">
        <v>1600</v>
      </c>
      <c r="B1572" s="46" t="s">
        <v>13816</v>
      </c>
      <c r="C1572">
        <v>4</v>
      </c>
      <c r="D1572">
        <v>29</v>
      </c>
    </row>
    <row r="1573" spans="1:4" x14ac:dyDescent="0.25">
      <c r="A1573" s="45" t="s">
        <v>1601</v>
      </c>
      <c r="B1573" s="46" t="s">
        <v>13817</v>
      </c>
      <c r="C1573">
        <v>4</v>
      </c>
      <c r="D1573">
        <v>29</v>
      </c>
    </row>
    <row r="1574" spans="1:4" x14ac:dyDescent="0.25">
      <c r="A1574" s="45" t="s">
        <v>1602</v>
      </c>
      <c r="B1574" s="46" t="s">
        <v>13818</v>
      </c>
      <c r="C1574">
        <v>4</v>
      </c>
      <c r="D1574">
        <v>29</v>
      </c>
    </row>
    <row r="1575" spans="1:4" x14ac:dyDescent="0.25">
      <c r="A1575" s="45" t="s">
        <v>1603</v>
      </c>
      <c r="B1575" s="46" t="s">
        <v>13819</v>
      </c>
      <c r="C1575">
        <v>4</v>
      </c>
      <c r="D1575">
        <v>29</v>
      </c>
    </row>
    <row r="1576" spans="1:4" x14ac:dyDescent="0.25">
      <c r="A1576" s="45" t="s">
        <v>1604</v>
      </c>
      <c r="B1576" s="46" t="s">
        <v>13820</v>
      </c>
      <c r="C1576">
        <v>4</v>
      </c>
      <c r="D1576">
        <v>29</v>
      </c>
    </row>
    <row r="1577" spans="1:4" x14ac:dyDescent="0.25">
      <c r="A1577" s="45" t="s">
        <v>1605</v>
      </c>
      <c r="B1577" s="46" t="s">
        <v>13821</v>
      </c>
      <c r="C1577">
        <v>4</v>
      </c>
      <c r="D1577">
        <v>29</v>
      </c>
    </row>
    <row r="1578" spans="1:4" x14ac:dyDescent="0.25">
      <c r="A1578" s="45" t="s">
        <v>1606</v>
      </c>
      <c r="B1578" s="46" t="s">
        <v>13822</v>
      </c>
      <c r="C1578">
        <v>4</v>
      </c>
      <c r="D1578">
        <v>29</v>
      </c>
    </row>
    <row r="1579" spans="1:4" x14ac:dyDescent="0.25">
      <c r="A1579" s="45" t="s">
        <v>1607</v>
      </c>
      <c r="B1579" s="46" t="s">
        <v>19533</v>
      </c>
      <c r="C1579">
        <v>4</v>
      </c>
      <c r="D1579">
        <v>29</v>
      </c>
    </row>
    <row r="1580" spans="1:4" x14ac:dyDescent="0.25">
      <c r="A1580" s="45" t="s">
        <v>1608</v>
      </c>
      <c r="B1580" s="46" t="s">
        <v>13823</v>
      </c>
      <c r="C1580">
        <v>4</v>
      </c>
      <c r="D1580">
        <v>29</v>
      </c>
    </row>
    <row r="1581" spans="1:4" x14ac:dyDescent="0.25">
      <c r="A1581" s="45" t="s">
        <v>1609</v>
      </c>
      <c r="B1581" s="46" t="s">
        <v>13824</v>
      </c>
      <c r="C1581">
        <v>4</v>
      </c>
      <c r="D1581">
        <v>29</v>
      </c>
    </row>
    <row r="1582" spans="1:4" x14ac:dyDescent="0.25">
      <c r="A1582" s="45" t="s">
        <v>1610</v>
      </c>
      <c r="B1582" s="46" t="s">
        <v>13825</v>
      </c>
      <c r="C1582">
        <v>4</v>
      </c>
      <c r="D1582">
        <v>29</v>
      </c>
    </row>
    <row r="1583" spans="1:4" x14ac:dyDescent="0.25">
      <c r="A1583" s="45" t="s">
        <v>1611</v>
      </c>
      <c r="B1583" s="46" t="s">
        <v>13826</v>
      </c>
      <c r="C1583">
        <v>4</v>
      </c>
      <c r="D1583">
        <v>29</v>
      </c>
    </row>
    <row r="1584" spans="1:4" x14ac:dyDescent="0.25">
      <c r="A1584" s="45" t="s">
        <v>1612</v>
      </c>
      <c r="B1584" s="46" t="s">
        <v>13827</v>
      </c>
      <c r="C1584">
        <v>4</v>
      </c>
      <c r="D1584">
        <v>29</v>
      </c>
    </row>
    <row r="1585" spans="1:4" x14ac:dyDescent="0.25">
      <c r="A1585" s="45" t="s">
        <v>1613</v>
      </c>
      <c r="B1585" s="46" t="s">
        <v>13828</v>
      </c>
      <c r="C1585">
        <v>4</v>
      </c>
      <c r="D1585">
        <v>29</v>
      </c>
    </row>
    <row r="1586" spans="1:4" x14ac:dyDescent="0.25">
      <c r="A1586" s="45" t="s">
        <v>1614</v>
      </c>
      <c r="B1586" s="46" t="s">
        <v>13829</v>
      </c>
      <c r="C1586">
        <v>4</v>
      </c>
      <c r="D1586">
        <v>29</v>
      </c>
    </row>
    <row r="1587" spans="1:4" x14ac:dyDescent="0.25">
      <c r="A1587" s="45" t="s">
        <v>1615</v>
      </c>
      <c r="B1587" s="46" t="s">
        <v>13830</v>
      </c>
      <c r="C1587">
        <v>4</v>
      </c>
      <c r="D1587">
        <v>29</v>
      </c>
    </row>
    <row r="1588" spans="1:4" x14ac:dyDescent="0.25">
      <c r="A1588" s="45" t="s">
        <v>1616</v>
      </c>
      <c r="B1588" s="46" t="s">
        <v>19534</v>
      </c>
      <c r="C1588">
        <v>4</v>
      </c>
      <c r="D1588">
        <v>29</v>
      </c>
    </row>
    <row r="1589" spans="1:4" x14ac:dyDescent="0.25">
      <c r="A1589" s="45" t="s">
        <v>1617</v>
      </c>
      <c r="B1589" s="46" t="s">
        <v>13831</v>
      </c>
      <c r="C1589">
        <v>4</v>
      </c>
      <c r="D1589">
        <v>29</v>
      </c>
    </row>
    <row r="1590" spans="1:4" x14ac:dyDescent="0.25">
      <c r="A1590" s="45" t="s">
        <v>1618</v>
      </c>
      <c r="B1590" s="46" t="s">
        <v>13832</v>
      </c>
      <c r="C1590">
        <v>4</v>
      </c>
      <c r="D1590">
        <v>29</v>
      </c>
    </row>
    <row r="1591" spans="1:4" x14ac:dyDescent="0.25">
      <c r="A1591" s="45" t="s">
        <v>1619</v>
      </c>
      <c r="B1591" s="46" t="s">
        <v>13833</v>
      </c>
      <c r="C1591">
        <v>4</v>
      </c>
      <c r="D1591">
        <v>29</v>
      </c>
    </row>
    <row r="1592" spans="1:4" x14ac:dyDescent="0.25">
      <c r="A1592" s="45" t="s">
        <v>1620</v>
      </c>
      <c r="B1592" s="46" t="s">
        <v>13834</v>
      </c>
      <c r="C1592">
        <v>4</v>
      </c>
      <c r="D1592">
        <v>29</v>
      </c>
    </row>
    <row r="1593" spans="1:4" x14ac:dyDescent="0.25">
      <c r="A1593" s="45" t="s">
        <v>1621</v>
      </c>
      <c r="B1593" s="46" t="s">
        <v>13835</v>
      </c>
      <c r="C1593">
        <v>4</v>
      </c>
      <c r="D1593">
        <v>29</v>
      </c>
    </row>
    <row r="1594" spans="1:4" x14ac:dyDescent="0.25">
      <c r="A1594" s="45" t="s">
        <v>1622</v>
      </c>
      <c r="B1594" s="46" t="s">
        <v>13836</v>
      </c>
      <c r="C1594">
        <v>4</v>
      </c>
      <c r="D1594">
        <v>29</v>
      </c>
    </row>
    <row r="1595" spans="1:4" x14ac:dyDescent="0.25">
      <c r="A1595" s="45" t="s">
        <v>1623</v>
      </c>
      <c r="B1595" s="46" t="s">
        <v>13837</v>
      </c>
      <c r="C1595">
        <v>4</v>
      </c>
      <c r="D1595">
        <v>29</v>
      </c>
    </row>
    <row r="1596" spans="1:4" x14ac:dyDescent="0.25">
      <c r="A1596" s="45" t="s">
        <v>1624</v>
      </c>
      <c r="B1596" s="46" t="s">
        <v>13838</v>
      </c>
      <c r="C1596">
        <v>4</v>
      </c>
      <c r="D1596">
        <v>29</v>
      </c>
    </row>
    <row r="1597" spans="1:4" x14ac:dyDescent="0.25">
      <c r="A1597" s="45" t="s">
        <v>1625</v>
      </c>
      <c r="B1597" s="46" t="s">
        <v>13839</v>
      </c>
      <c r="C1597">
        <v>4</v>
      </c>
      <c r="D1597">
        <v>29</v>
      </c>
    </row>
    <row r="1598" spans="1:4" x14ac:dyDescent="0.25">
      <c r="A1598" s="45" t="s">
        <v>1626</v>
      </c>
      <c r="B1598" s="46" t="s">
        <v>13840</v>
      </c>
      <c r="C1598">
        <v>4</v>
      </c>
      <c r="D1598">
        <v>29</v>
      </c>
    </row>
    <row r="1599" spans="1:4" x14ac:dyDescent="0.25">
      <c r="A1599" s="45" t="s">
        <v>1627</v>
      </c>
      <c r="B1599" s="46" t="s">
        <v>13841</v>
      </c>
      <c r="C1599">
        <v>4</v>
      </c>
      <c r="D1599">
        <v>29</v>
      </c>
    </row>
    <row r="1600" spans="1:4" x14ac:dyDescent="0.25">
      <c r="A1600" s="45" t="s">
        <v>1628</v>
      </c>
      <c r="B1600" s="46" t="s">
        <v>13842</v>
      </c>
      <c r="C1600">
        <v>4</v>
      </c>
      <c r="D1600">
        <v>29</v>
      </c>
    </row>
    <row r="1601" spans="1:4" x14ac:dyDescent="0.25">
      <c r="A1601" s="45" t="s">
        <v>1629</v>
      </c>
      <c r="B1601" s="46" t="s">
        <v>19535</v>
      </c>
      <c r="C1601">
        <v>4</v>
      </c>
      <c r="D1601">
        <v>29</v>
      </c>
    </row>
    <row r="1602" spans="1:4" x14ac:dyDescent="0.25">
      <c r="A1602" s="45" t="s">
        <v>1630</v>
      </c>
      <c r="B1602" s="46" t="s">
        <v>13843</v>
      </c>
      <c r="C1602">
        <v>4</v>
      </c>
      <c r="D1602">
        <v>29</v>
      </c>
    </row>
    <row r="1603" spans="1:4" x14ac:dyDescent="0.25">
      <c r="A1603" s="45" t="s">
        <v>1631</v>
      </c>
      <c r="B1603" s="46" t="s">
        <v>19536</v>
      </c>
      <c r="C1603">
        <v>4</v>
      </c>
      <c r="D1603">
        <v>29</v>
      </c>
    </row>
    <row r="1604" spans="1:4" x14ac:dyDescent="0.25">
      <c r="A1604" s="45" t="s">
        <v>1632</v>
      </c>
      <c r="B1604" s="46" t="s">
        <v>13844</v>
      </c>
      <c r="C1604">
        <v>4</v>
      </c>
      <c r="D1604">
        <v>29</v>
      </c>
    </row>
    <row r="1605" spans="1:4" x14ac:dyDescent="0.25">
      <c r="A1605" s="45" t="s">
        <v>1633</v>
      </c>
      <c r="B1605" s="46" t="s">
        <v>13845</v>
      </c>
      <c r="C1605">
        <v>4</v>
      </c>
      <c r="D1605">
        <v>29</v>
      </c>
    </row>
    <row r="1606" spans="1:4" x14ac:dyDescent="0.25">
      <c r="A1606" s="45" t="s">
        <v>1634</v>
      </c>
      <c r="B1606" s="46" t="s">
        <v>13846</v>
      </c>
      <c r="C1606">
        <v>4</v>
      </c>
      <c r="D1606">
        <v>29</v>
      </c>
    </row>
    <row r="1607" spans="1:4" x14ac:dyDescent="0.25">
      <c r="A1607" s="45" t="s">
        <v>1635</v>
      </c>
      <c r="B1607" s="46" t="s">
        <v>13847</v>
      </c>
      <c r="C1607">
        <v>4</v>
      </c>
      <c r="D1607">
        <v>29</v>
      </c>
    </row>
    <row r="1608" spans="1:4" x14ac:dyDescent="0.25">
      <c r="A1608" s="45" t="s">
        <v>1636</v>
      </c>
      <c r="B1608" s="46" t="s">
        <v>13848</v>
      </c>
      <c r="C1608">
        <v>4</v>
      </c>
      <c r="D1608">
        <v>29</v>
      </c>
    </row>
    <row r="1609" spans="1:4" x14ac:dyDescent="0.25">
      <c r="A1609" s="45" t="s">
        <v>1637</v>
      </c>
      <c r="B1609" s="46" t="s">
        <v>13849</v>
      </c>
      <c r="C1609">
        <v>3</v>
      </c>
      <c r="D1609">
        <v>28</v>
      </c>
    </row>
    <row r="1610" spans="1:4" x14ac:dyDescent="0.25">
      <c r="A1610" s="45" t="s">
        <v>1638</v>
      </c>
      <c r="B1610" s="46" t="s">
        <v>13850</v>
      </c>
      <c r="C1610">
        <v>4</v>
      </c>
      <c r="D1610">
        <v>29</v>
      </c>
    </row>
    <row r="1611" spans="1:4" x14ac:dyDescent="0.25">
      <c r="A1611" s="45" t="s">
        <v>1639</v>
      </c>
      <c r="B1611" s="46" t="s">
        <v>13851</v>
      </c>
      <c r="C1611">
        <v>3</v>
      </c>
      <c r="D1611">
        <v>28</v>
      </c>
    </row>
    <row r="1612" spans="1:4" x14ac:dyDescent="0.25">
      <c r="A1612" s="45" t="s">
        <v>1640</v>
      </c>
      <c r="B1612" s="46" t="s">
        <v>19537</v>
      </c>
      <c r="C1612">
        <v>4</v>
      </c>
      <c r="D1612">
        <v>29</v>
      </c>
    </row>
    <row r="1613" spans="1:4" x14ac:dyDescent="0.25">
      <c r="A1613" s="45" t="s">
        <v>1641</v>
      </c>
      <c r="B1613" s="46" t="s">
        <v>13852</v>
      </c>
      <c r="C1613">
        <v>4</v>
      </c>
      <c r="D1613">
        <v>29</v>
      </c>
    </row>
    <row r="1614" spans="1:4" x14ac:dyDescent="0.25">
      <c r="A1614" s="45" t="s">
        <v>1642</v>
      </c>
      <c r="B1614" s="46" t="s">
        <v>13853</v>
      </c>
      <c r="C1614">
        <v>4</v>
      </c>
      <c r="D1614">
        <v>29</v>
      </c>
    </row>
    <row r="1615" spans="1:4" x14ac:dyDescent="0.25">
      <c r="A1615" s="45" t="s">
        <v>1643</v>
      </c>
      <c r="B1615" s="46" t="s">
        <v>13854</v>
      </c>
      <c r="C1615">
        <v>4</v>
      </c>
      <c r="D1615">
        <v>29</v>
      </c>
    </row>
    <row r="1616" spans="1:4" x14ac:dyDescent="0.25">
      <c r="A1616" s="45" t="s">
        <v>1644</v>
      </c>
      <c r="B1616" s="46" t="s">
        <v>13855</v>
      </c>
      <c r="C1616">
        <v>4</v>
      </c>
      <c r="D1616">
        <v>29</v>
      </c>
    </row>
    <row r="1617" spans="1:4" x14ac:dyDescent="0.25">
      <c r="A1617" s="45" t="s">
        <v>1645</v>
      </c>
      <c r="B1617" s="46" t="s">
        <v>13856</v>
      </c>
      <c r="C1617">
        <v>4</v>
      </c>
      <c r="D1617">
        <v>29</v>
      </c>
    </row>
    <row r="1618" spans="1:4" x14ac:dyDescent="0.25">
      <c r="A1618" s="45" t="s">
        <v>1646</v>
      </c>
      <c r="B1618" s="46" t="s">
        <v>13857</v>
      </c>
      <c r="C1618">
        <v>4</v>
      </c>
      <c r="D1618">
        <v>29</v>
      </c>
    </row>
    <row r="1619" spans="1:4" x14ac:dyDescent="0.25">
      <c r="A1619" s="45" t="s">
        <v>1647</v>
      </c>
      <c r="B1619" s="46" t="s">
        <v>13858</v>
      </c>
      <c r="C1619">
        <v>4</v>
      </c>
      <c r="D1619">
        <v>29</v>
      </c>
    </row>
    <row r="1620" spans="1:4" x14ac:dyDescent="0.25">
      <c r="A1620" s="45" t="s">
        <v>1648</v>
      </c>
      <c r="B1620" s="46" t="s">
        <v>13859</v>
      </c>
      <c r="C1620">
        <v>4</v>
      </c>
      <c r="D1620">
        <v>29</v>
      </c>
    </row>
    <row r="1621" spans="1:4" x14ac:dyDescent="0.25">
      <c r="A1621" s="45" t="s">
        <v>1649</v>
      </c>
      <c r="B1621" s="46" t="s">
        <v>13860</v>
      </c>
      <c r="C1621">
        <v>4</v>
      </c>
      <c r="D1621">
        <v>29</v>
      </c>
    </row>
    <row r="1622" spans="1:4" x14ac:dyDescent="0.25">
      <c r="A1622" s="45" t="s">
        <v>1650</v>
      </c>
      <c r="B1622" s="46" t="s">
        <v>13861</v>
      </c>
      <c r="C1622">
        <v>4</v>
      </c>
      <c r="D1622">
        <v>29</v>
      </c>
    </row>
    <row r="1623" spans="1:4" x14ac:dyDescent="0.25">
      <c r="A1623" s="45" t="s">
        <v>1651</v>
      </c>
      <c r="B1623" s="46" t="s">
        <v>13862</v>
      </c>
      <c r="C1623">
        <v>4</v>
      </c>
      <c r="D1623">
        <v>29</v>
      </c>
    </row>
    <row r="1624" spans="1:4" x14ac:dyDescent="0.25">
      <c r="A1624" s="45" t="s">
        <v>1652</v>
      </c>
      <c r="B1624" s="46" t="s">
        <v>13863</v>
      </c>
      <c r="C1624">
        <v>4</v>
      </c>
      <c r="D1624">
        <v>29</v>
      </c>
    </row>
    <row r="1625" spans="1:4" x14ac:dyDescent="0.25">
      <c r="A1625" s="45" t="s">
        <v>1653</v>
      </c>
      <c r="B1625" s="46" t="s">
        <v>13864</v>
      </c>
      <c r="C1625">
        <v>4</v>
      </c>
      <c r="D1625">
        <v>29</v>
      </c>
    </row>
    <row r="1626" spans="1:4" x14ac:dyDescent="0.25">
      <c r="A1626" s="45" t="s">
        <v>1654</v>
      </c>
      <c r="B1626" s="46" t="s">
        <v>13865</v>
      </c>
      <c r="C1626">
        <v>4</v>
      </c>
      <c r="D1626">
        <v>29</v>
      </c>
    </row>
    <row r="1627" spans="1:4" x14ac:dyDescent="0.25">
      <c r="A1627" s="45" t="s">
        <v>1655</v>
      </c>
      <c r="B1627" s="46" t="s">
        <v>19538</v>
      </c>
      <c r="C1627">
        <v>4</v>
      </c>
      <c r="D1627">
        <v>29</v>
      </c>
    </row>
    <row r="1628" spans="1:4" x14ac:dyDescent="0.25">
      <c r="A1628" s="45" t="s">
        <v>1656</v>
      </c>
      <c r="B1628" s="46" t="s">
        <v>19539</v>
      </c>
      <c r="C1628">
        <v>4</v>
      </c>
      <c r="D1628">
        <v>29</v>
      </c>
    </row>
    <row r="1629" spans="1:4" x14ac:dyDescent="0.25">
      <c r="A1629" s="45" t="s">
        <v>1657</v>
      </c>
      <c r="B1629" s="46" t="s">
        <v>19540</v>
      </c>
      <c r="C1629">
        <v>3</v>
      </c>
      <c r="D1629">
        <v>28</v>
      </c>
    </row>
    <row r="1630" spans="1:4" x14ac:dyDescent="0.25">
      <c r="A1630" s="45" t="s">
        <v>1658</v>
      </c>
      <c r="B1630" s="46" t="s">
        <v>13866</v>
      </c>
      <c r="C1630">
        <v>3</v>
      </c>
      <c r="D1630">
        <v>28</v>
      </c>
    </row>
    <row r="1631" spans="1:4" x14ac:dyDescent="0.25">
      <c r="A1631" s="45" t="s">
        <v>1659</v>
      </c>
      <c r="B1631" s="46" t="s">
        <v>13867</v>
      </c>
      <c r="C1631">
        <v>3</v>
      </c>
      <c r="D1631">
        <v>28</v>
      </c>
    </row>
    <row r="1632" spans="1:4" x14ac:dyDescent="0.25">
      <c r="A1632" s="45" t="s">
        <v>1660</v>
      </c>
      <c r="B1632" s="46" t="s">
        <v>13868</v>
      </c>
      <c r="C1632">
        <v>3</v>
      </c>
      <c r="D1632">
        <v>28</v>
      </c>
    </row>
    <row r="1633" spans="1:4" x14ac:dyDescent="0.25">
      <c r="A1633" s="45" t="s">
        <v>1661</v>
      </c>
      <c r="B1633" s="46" t="s">
        <v>19541</v>
      </c>
      <c r="C1633">
        <v>4</v>
      </c>
      <c r="D1633">
        <v>29</v>
      </c>
    </row>
    <row r="1634" spans="1:4" x14ac:dyDescent="0.25">
      <c r="A1634" s="45" t="s">
        <v>1662</v>
      </c>
      <c r="B1634" s="46" t="s">
        <v>13869</v>
      </c>
      <c r="C1634">
        <v>3</v>
      </c>
      <c r="D1634">
        <v>28</v>
      </c>
    </row>
    <row r="1635" spans="1:4" x14ac:dyDescent="0.25">
      <c r="A1635" s="45" t="s">
        <v>1663</v>
      </c>
      <c r="B1635" s="46" t="s">
        <v>13870</v>
      </c>
      <c r="C1635">
        <v>3</v>
      </c>
      <c r="D1635">
        <v>28</v>
      </c>
    </row>
    <row r="1636" spans="1:4" x14ac:dyDescent="0.25">
      <c r="A1636" s="45" t="s">
        <v>1664</v>
      </c>
      <c r="B1636" s="46" t="s">
        <v>19542</v>
      </c>
      <c r="C1636">
        <v>3</v>
      </c>
      <c r="D1636">
        <v>28</v>
      </c>
    </row>
    <row r="1637" spans="1:4" x14ac:dyDescent="0.25">
      <c r="A1637" s="45" t="s">
        <v>1665</v>
      </c>
      <c r="B1637" s="46" t="s">
        <v>19543</v>
      </c>
      <c r="C1637">
        <v>3</v>
      </c>
      <c r="D1637">
        <v>28</v>
      </c>
    </row>
    <row r="1638" spans="1:4" x14ac:dyDescent="0.25">
      <c r="A1638" s="45" t="s">
        <v>1666</v>
      </c>
      <c r="B1638" s="46" t="s">
        <v>19544</v>
      </c>
      <c r="C1638">
        <v>3</v>
      </c>
      <c r="D1638">
        <v>28</v>
      </c>
    </row>
    <row r="1639" spans="1:4" x14ac:dyDescent="0.25">
      <c r="A1639" s="45" t="s">
        <v>1667</v>
      </c>
      <c r="B1639" s="46" t="s">
        <v>19545</v>
      </c>
      <c r="C1639">
        <v>3</v>
      </c>
      <c r="D1639">
        <v>28</v>
      </c>
    </row>
    <row r="1640" spans="1:4" x14ac:dyDescent="0.25">
      <c r="A1640" s="45" t="s">
        <v>1668</v>
      </c>
      <c r="B1640" s="46" t="s">
        <v>19546</v>
      </c>
      <c r="C1640">
        <v>3</v>
      </c>
      <c r="D1640">
        <v>28</v>
      </c>
    </row>
    <row r="1641" spans="1:4" x14ac:dyDescent="0.25">
      <c r="A1641" s="45" t="s">
        <v>1669</v>
      </c>
      <c r="B1641" s="46" t="s">
        <v>13871</v>
      </c>
      <c r="C1641">
        <v>3</v>
      </c>
      <c r="D1641">
        <v>28</v>
      </c>
    </row>
    <row r="1642" spans="1:4" x14ac:dyDescent="0.25">
      <c r="A1642" s="45" t="s">
        <v>1670</v>
      </c>
      <c r="B1642" s="46" t="s">
        <v>13872</v>
      </c>
      <c r="C1642">
        <v>3</v>
      </c>
      <c r="D1642">
        <v>28</v>
      </c>
    </row>
    <row r="1643" spans="1:4" x14ac:dyDescent="0.25">
      <c r="A1643" s="45" t="s">
        <v>1671</v>
      </c>
      <c r="B1643" s="46" t="s">
        <v>19547</v>
      </c>
      <c r="C1643">
        <v>3</v>
      </c>
      <c r="D1643">
        <v>28</v>
      </c>
    </row>
    <row r="1644" spans="1:4" x14ac:dyDescent="0.25">
      <c r="A1644" s="45" t="s">
        <v>1672</v>
      </c>
      <c r="B1644" s="46" t="s">
        <v>19548</v>
      </c>
      <c r="C1644">
        <v>3</v>
      </c>
      <c r="D1644">
        <v>28</v>
      </c>
    </row>
    <row r="1645" spans="1:4" x14ac:dyDescent="0.25">
      <c r="A1645" s="45" t="s">
        <v>1673</v>
      </c>
      <c r="B1645" s="46" t="s">
        <v>19549</v>
      </c>
      <c r="C1645">
        <v>3</v>
      </c>
      <c r="D1645">
        <v>28</v>
      </c>
    </row>
    <row r="1646" spans="1:4" x14ac:dyDescent="0.25">
      <c r="A1646" s="45" t="s">
        <v>1674</v>
      </c>
      <c r="B1646" s="46" t="s">
        <v>19550</v>
      </c>
      <c r="C1646">
        <v>3</v>
      </c>
      <c r="D1646">
        <v>28</v>
      </c>
    </row>
    <row r="1647" spans="1:4" x14ac:dyDescent="0.25">
      <c r="A1647" s="45" t="s">
        <v>1675</v>
      </c>
      <c r="B1647" s="46" t="s">
        <v>19551</v>
      </c>
      <c r="C1647">
        <v>3</v>
      </c>
      <c r="D1647">
        <v>28</v>
      </c>
    </row>
    <row r="1648" spans="1:4" x14ac:dyDescent="0.25">
      <c r="A1648" s="45" t="s">
        <v>1676</v>
      </c>
      <c r="B1648" s="46" t="s">
        <v>13873</v>
      </c>
      <c r="C1648">
        <v>3</v>
      </c>
      <c r="D1648">
        <v>28</v>
      </c>
    </row>
    <row r="1649" spans="1:4" x14ac:dyDescent="0.25">
      <c r="A1649" s="45" t="s">
        <v>1677</v>
      </c>
      <c r="B1649" s="46" t="s">
        <v>19552</v>
      </c>
      <c r="C1649">
        <v>3</v>
      </c>
      <c r="D1649">
        <v>28</v>
      </c>
    </row>
    <row r="1650" spans="1:4" x14ac:dyDescent="0.25">
      <c r="A1650" s="45" t="s">
        <v>1678</v>
      </c>
      <c r="B1650" s="46" t="s">
        <v>13874</v>
      </c>
      <c r="C1650">
        <v>3</v>
      </c>
      <c r="D1650">
        <v>28</v>
      </c>
    </row>
    <row r="1651" spans="1:4" x14ac:dyDescent="0.25">
      <c r="A1651" s="45" t="s">
        <v>1679</v>
      </c>
      <c r="B1651" s="46" t="s">
        <v>13875</v>
      </c>
      <c r="C1651">
        <v>3</v>
      </c>
      <c r="D1651">
        <v>28</v>
      </c>
    </row>
    <row r="1652" spans="1:4" x14ac:dyDescent="0.25">
      <c r="A1652" s="45" t="s">
        <v>1680</v>
      </c>
      <c r="B1652" s="46" t="s">
        <v>13876</v>
      </c>
      <c r="C1652">
        <v>3</v>
      </c>
      <c r="D1652">
        <v>28</v>
      </c>
    </row>
    <row r="1653" spans="1:4" x14ac:dyDescent="0.25">
      <c r="A1653" s="45" t="s">
        <v>1681</v>
      </c>
      <c r="B1653" s="46" t="s">
        <v>13877</v>
      </c>
      <c r="C1653">
        <v>3</v>
      </c>
      <c r="D1653">
        <v>28</v>
      </c>
    </row>
    <row r="1654" spans="1:4" x14ac:dyDescent="0.25">
      <c r="A1654" s="45" t="s">
        <v>1682</v>
      </c>
      <c r="B1654" s="46" t="s">
        <v>13878</v>
      </c>
      <c r="C1654">
        <v>3</v>
      </c>
      <c r="D1654">
        <v>28</v>
      </c>
    </row>
    <row r="1655" spans="1:4" x14ac:dyDescent="0.25">
      <c r="A1655" s="45" t="s">
        <v>1683</v>
      </c>
      <c r="B1655" s="46" t="s">
        <v>13879</v>
      </c>
      <c r="C1655">
        <v>3</v>
      </c>
      <c r="D1655">
        <v>28</v>
      </c>
    </row>
    <row r="1656" spans="1:4" x14ac:dyDescent="0.25">
      <c r="A1656" s="45" t="s">
        <v>1684</v>
      </c>
      <c r="B1656" s="46" t="s">
        <v>19553</v>
      </c>
      <c r="C1656">
        <v>3</v>
      </c>
      <c r="D1656">
        <v>28</v>
      </c>
    </row>
    <row r="1657" spans="1:4" x14ac:dyDescent="0.25">
      <c r="A1657" s="45" t="s">
        <v>1685</v>
      </c>
      <c r="B1657" s="46" t="s">
        <v>19554</v>
      </c>
      <c r="C1657">
        <v>3</v>
      </c>
      <c r="D1657">
        <v>28</v>
      </c>
    </row>
    <row r="1658" spans="1:4" x14ac:dyDescent="0.25">
      <c r="A1658" s="45" t="s">
        <v>1686</v>
      </c>
      <c r="B1658" s="46" t="s">
        <v>19555</v>
      </c>
      <c r="C1658">
        <v>3</v>
      </c>
      <c r="D1658">
        <v>28</v>
      </c>
    </row>
    <row r="1659" spans="1:4" x14ac:dyDescent="0.25">
      <c r="A1659" s="45" t="s">
        <v>1687</v>
      </c>
      <c r="B1659" s="46" t="s">
        <v>13880</v>
      </c>
      <c r="C1659">
        <v>3</v>
      </c>
      <c r="D1659">
        <v>28</v>
      </c>
    </row>
    <row r="1660" spans="1:4" x14ac:dyDescent="0.25">
      <c r="A1660" s="45" t="s">
        <v>1688</v>
      </c>
      <c r="B1660" s="46" t="s">
        <v>19556</v>
      </c>
      <c r="C1660">
        <v>3</v>
      </c>
      <c r="D1660">
        <v>28</v>
      </c>
    </row>
    <row r="1661" spans="1:4" x14ac:dyDescent="0.25">
      <c r="A1661" s="45" t="s">
        <v>1689</v>
      </c>
      <c r="B1661" s="46" t="s">
        <v>19557</v>
      </c>
      <c r="C1661">
        <v>3</v>
      </c>
      <c r="D1661">
        <v>28</v>
      </c>
    </row>
    <row r="1662" spans="1:4" x14ac:dyDescent="0.25">
      <c r="A1662" s="45" t="s">
        <v>1690</v>
      </c>
      <c r="B1662" s="46" t="s">
        <v>19558</v>
      </c>
      <c r="C1662">
        <v>3</v>
      </c>
      <c r="D1662">
        <v>28</v>
      </c>
    </row>
    <row r="1663" spans="1:4" x14ac:dyDescent="0.25">
      <c r="A1663" s="45" t="s">
        <v>1691</v>
      </c>
      <c r="B1663" s="46" t="s">
        <v>13881</v>
      </c>
      <c r="C1663">
        <v>3</v>
      </c>
      <c r="D1663">
        <v>28</v>
      </c>
    </row>
    <row r="1664" spans="1:4" x14ac:dyDescent="0.25">
      <c r="A1664" s="45" t="s">
        <v>1692</v>
      </c>
      <c r="B1664" s="46" t="s">
        <v>13882</v>
      </c>
      <c r="C1664">
        <v>3</v>
      </c>
      <c r="D1664">
        <v>28</v>
      </c>
    </row>
    <row r="1665" spans="1:4" x14ac:dyDescent="0.25">
      <c r="A1665" s="45" t="s">
        <v>1693</v>
      </c>
      <c r="B1665" s="46" t="s">
        <v>13883</v>
      </c>
      <c r="C1665">
        <v>3</v>
      </c>
      <c r="D1665">
        <v>28</v>
      </c>
    </row>
    <row r="1666" spans="1:4" x14ac:dyDescent="0.25">
      <c r="A1666" s="45" t="s">
        <v>1694</v>
      </c>
      <c r="B1666" s="46" t="s">
        <v>19559</v>
      </c>
      <c r="C1666">
        <v>3</v>
      </c>
      <c r="D1666">
        <v>28</v>
      </c>
    </row>
    <row r="1667" spans="1:4" x14ac:dyDescent="0.25">
      <c r="A1667" s="45" t="s">
        <v>1695</v>
      </c>
      <c r="B1667" s="46" t="s">
        <v>13884</v>
      </c>
      <c r="C1667">
        <v>3</v>
      </c>
      <c r="D1667">
        <v>28</v>
      </c>
    </row>
    <row r="1668" spans="1:4" x14ac:dyDescent="0.25">
      <c r="A1668" s="45" t="s">
        <v>1696</v>
      </c>
      <c r="B1668" s="46" t="s">
        <v>13885</v>
      </c>
      <c r="C1668">
        <v>3</v>
      </c>
      <c r="D1668">
        <v>28</v>
      </c>
    </row>
    <row r="1669" spans="1:4" x14ac:dyDescent="0.25">
      <c r="A1669" s="45" t="s">
        <v>1697</v>
      </c>
      <c r="B1669" s="46" t="s">
        <v>13886</v>
      </c>
      <c r="C1669">
        <v>3</v>
      </c>
      <c r="D1669">
        <v>28</v>
      </c>
    </row>
    <row r="1670" spans="1:4" x14ac:dyDescent="0.25">
      <c r="A1670" s="45" t="s">
        <v>1698</v>
      </c>
      <c r="B1670" s="46" t="s">
        <v>13887</v>
      </c>
      <c r="C1670">
        <v>1</v>
      </c>
      <c r="D1670">
        <v>15</v>
      </c>
    </row>
    <row r="1671" spans="1:4" x14ac:dyDescent="0.25">
      <c r="A1671" s="45" t="s">
        <v>1699</v>
      </c>
      <c r="B1671" s="46" t="s">
        <v>19560</v>
      </c>
      <c r="C1671">
        <v>1</v>
      </c>
      <c r="D1671">
        <v>15</v>
      </c>
    </row>
    <row r="1672" spans="1:4" x14ac:dyDescent="0.25">
      <c r="A1672" s="45" t="s">
        <v>1700</v>
      </c>
      <c r="B1672" s="46" t="s">
        <v>13888</v>
      </c>
      <c r="C1672">
        <v>1</v>
      </c>
      <c r="D1672">
        <v>15</v>
      </c>
    </row>
    <row r="1673" spans="1:4" x14ac:dyDescent="0.25">
      <c r="A1673" s="45" t="s">
        <v>1701</v>
      </c>
      <c r="B1673" s="46" t="s">
        <v>13889</v>
      </c>
      <c r="C1673">
        <v>1</v>
      </c>
      <c r="D1673">
        <v>15</v>
      </c>
    </row>
    <row r="1674" spans="1:4" x14ac:dyDescent="0.25">
      <c r="A1674" s="45" t="s">
        <v>1702</v>
      </c>
      <c r="B1674" s="46" t="s">
        <v>13890</v>
      </c>
      <c r="C1674">
        <v>1</v>
      </c>
      <c r="D1674">
        <v>15</v>
      </c>
    </row>
    <row r="1675" spans="1:4" x14ac:dyDescent="0.25">
      <c r="A1675" s="45" t="s">
        <v>1703</v>
      </c>
      <c r="B1675" s="46" t="s">
        <v>13891</v>
      </c>
      <c r="C1675">
        <v>1</v>
      </c>
      <c r="D1675">
        <v>15</v>
      </c>
    </row>
    <row r="1676" spans="1:4" x14ac:dyDescent="0.25">
      <c r="A1676" s="45" t="s">
        <v>1704</v>
      </c>
      <c r="B1676" s="46" t="s">
        <v>13892</v>
      </c>
      <c r="C1676">
        <v>3</v>
      </c>
      <c r="D1676">
        <v>28</v>
      </c>
    </row>
    <row r="1677" spans="1:4" x14ac:dyDescent="0.25">
      <c r="A1677" s="45" t="s">
        <v>1705</v>
      </c>
      <c r="B1677" s="46" t="s">
        <v>13893</v>
      </c>
      <c r="C1677">
        <v>3</v>
      </c>
      <c r="D1677">
        <v>28</v>
      </c>
    </row>
    <row r="1678" spans="1:4" x14ac:dyDescent="0.25">
      <c r="A1678" s="45" t="s">
        <v>1706</v>
      </c>
      <c r="B1678" s="46" t="s">
        <v>13894</v>
      </c>
      <c r="C1678">
        <v>3</v>
      </c>
      <c r="D1678">
        <v>28</v>
      </c>
    </row>
    <row r="1679" spans="1:4" x14ac:dyDescent="0.25">
      <c r="A1679" s="45" t="s">
        <v>1707</v>
      </c>
      <c r="B1679" s="46" t="s">
        <v>19561</v>
      </c>
      <c r="C1679">
        <v>3</v>
      </c>
      <c r="D1679">
        <v>28</v>
      </c>
    </row>
    <row r="1680" spans="1:4" x14ac:dyDescent="0.25">
      <c r="A1680" s="45" t="s">
        <v>1708</v>
      </c>
      <c r="B1680" s="46" t="s">
        <v>13895</v>
      </c>
      <c r="C1680">
        <v>3</v>
      </c>
      <c r="D1680">
        <v>28</v>
      </c>
    </row>
    <row r="1681" spans="1:4" x14ac:dyDescent="0.25">
      <c r="A1681" s="45" t="s">
        <v>1709</v>
      </c>
      <c r="B1681" s="46" t="s">
        <v>13896</v>
      </c>
      <c r="C1681">
        <v>3</v>
      </c>
      <c r="D1681">
        <v>25</v>
      </c>
    </row>
    <row r="1682" spans="1:4" x14ac:dyDescent="0.25">
      <c r="A1682" s="45" t="s">
        <v>1710</v>
      </c>
      <c r="B1682" s="46" t="s">
        <v>13897</v>
      </c>
      <c r="C1682">
        <v>3</v>
      </c>
      <c r="D1682">
        <v>25</v>
      </c>
    </row>
    <row r="1683" spans="1:4" x14ac:dyDescent="0.25">
      <c r="A1683" s="45" t="s">
        <v>1711</v>
      </c>
      <c r="B1683" s="46" t="s">
        <v>13898</v>
      </c>
      <c r="C1683">
        <v>3</v>
      </c>
      <c r="D1683">
        <v>25</v>
      </c>
    </row>
    <row r="1684" spans="1:4" x14ac:dyDescent="0.25">
      <c r="A1684" s="45" t="s">
        <v>1712</v>
      </c>
      <c r="B1684" s="46" t="s">
        <v>13899</v>
      </c>
      <c r="C1684">
        <v>3</v>
      </c>
      <c r="D1684">
        <v>25</v>
      </c>
    </row>
    <row r="1685" spans="1:4" x14ac:dyDescent="0.25">
      <c r="A1685" s="45" t="s">
        <v>1713</v>
      </c>
      <c r="B1685" s="46" t="s">
        <v>13900</v>
      </c>
      <c r="C1685">
        <v>3</v>
      </c>
      <c r="D1685">
        <v>25</v>
      </c>
    </row>
    <row r="1686" spans="1:4" x14ac:dyDescent="0.25">
      <c r="A1686" s="45" t="s">
        <v>1714</v>
      </c>
      <c r="B1686" s="46" t="s">
        <v>13901</v>
      </c>
      <c r="C1686">
        <v>3</v>
      </c>
      <c r="D1686">
        <v>25</v>
      </c>
    </row>
    <row r="1687" spans="1:4" x14ac:dyDescent="0.25">
      <c r="A1687" s="45" t="s">
        <v>1715</v>
      </c>
      <c r="B1687" s="46" t="s">
        <v>13902</v>
      </c>
      <c r="C1687">
        <v>3</v>
      </c>
      <c r="D1687">
        <v>25</v>
      </c>
    </row>
    <row r="1688" spans="1:4" x14ac:dyDescent="0.25">
      <c r="A1688" s="45" t="s">
        <v>1716</v>
      </c>
      <c r="B1688" s="46" t="s">
        <v>19562</v>
      </c>
      <c r="C1688">
        <v>3</v>
      </c>
      <c r="D1688">
        <v>25</v>
      </c>
    </row>
    <row r="1689" spans="1:4" x14ac:dyDescent="0.25">
      <c r="A1689" s="45" t="s">
        <v>1717</v>
      </c>
      <c r="B1689" s="46" t="s">
        <v>13903</v>
      </c>
      <c r="C1689">
        <v>3</v>
      </c>
      <c r="D1689">
        <v>25</v>
      </c>
    </row>
    <row r="1690" spans="1:4" x14ac:dyDescent="0.25">
      <c r="A1690" s="45" t="s">
        <v>1718</v>
      </c>
      <c r="B1690" s="46" t="s">
        <v>13904</v>
      </c>
      <c r="C1690">
        <v>3</v>
      </c>
      <c r="D1690">
        <v>25</v>
      </c>
    </row>
    <row r="1691" spans="1:4" x14ac:dyDescent="0.25">
      <c r="A1691" s="45" t="s">
        <v>1719</v>
      </c>
      <c r="B1691" s="46" t="s">
        <v>13905</v>
      </c>
      <c r="C1691">
        <v>3</v>
      </c>
      <c r="D1691">
        <v>25</v>
      </c>
    </row>
    <row r="1692" spans="1:4" x14ac:dyDescent="0.25">
      <c r="A1692" s="45" t="s">
        <v>1720</v>
      </c>
      <c r="B1692" s="46" t="s">
        <v>13906</v>
      </c>
      <c r="C1692">
        <v>3</v>
      </c>
      <c r="D1692">
        <v>25</v>
      </c>
    </row>
    <row r="1693" spans="1:4" x14ac:dyDescent="0.25">
      <c r="A1693" s="45" t="s">
        <v>1721</v>
      </c>
      <c r="B1693" s="46" t="s">
        <v>13907</v>
      </c>
      <c r="C1693">
        <v>3</v>
      </c>
      <c r="D1693">
        <v>25</v>
      </c>
    </row>
    <row r="1694" spans="1:4" x14ac:dyDescent="0.25">
      <c r="A1694" s="45" t="s">
        <v>1722</v>
      </c>
      <c r="B1694" s="46" t="s">
        <v>13908</v>
      </c>
      <c r="C1694">
        <v>3</v>
      </c>
      <c r="D1694">
        <v>25</v>
      </c>
    </row>
    <row r="1695" spans="1:4" x14ac:dyDescent="0.25">
      <c r="A1695" s="45" t="s">
        <v>1723</v>
      </c>
      <c r="B1695" s="46" t="s">
        <v>13909</v>
      </c>
      <c r="C1695">
        <v>3</v>
      </c>
      <c r="D1695">
        <v>25</v>
      </c>
    </row>
    <row r="1696" spans="1:4" x14ac:dyDescent="0.25">
      <c r="A1696" s="45" t="s">
        <v>1724</v>
      </c>
      <c r="B1696" s="46" t="s">
        <v>13910</v>
      </c>
      <c r="C1696">
        <v>3</v>
      </c>
      <c r="D1696">
        <v>25</v>
      </c>
    </row>
    <row r="1697" spans="1:4" x14ac:dyDescent="0.25">
      <c r="A1697" s="45" t="s">
        <v>1725</v>
      </c>
      <c r="B1697" s="46" t="s">
        <v>13911</v>
      </c>
      <c r="C1697">
        <v>3</v>
      </c>
      <c r="D1697">
        <v>25</v>
      </c>
    </row>
    <row r="1698" spans="1:4" x14ac:dyDescent="0.25">
      <c r="A1698" s="45" t="s">
        <v>1726</v>
      </c>
      <c r="B1698" s="46" t="s">
        <v>13912</v>
      </c>
      <c r="C1698">
        <v>3</v>
      </c>
      <c r="D1698">
        <v>25</v>
      </c>
    </row>
    <row r="1699" spans="1:4" x14ac:dyDescent="0.25">
      <c r="A1699" s="45" t="s">
        <v>1727</v>
      </c>
      <c r="B1699" s="46" t="s">
        <v>13913</v>
      </c>
      <c r="C1699">
        <v>3</v>
      </c>
      <c r="D1699">
        <v>25</v>
      </c>
    </row>
    <row r="1700" spans="1:4" x14ac:dyDescent="0.25">
      <c r="A1700" s="45" t="s">
        <v>1728</v>
      </c>
      <c r="B1700" s="46" t="s">
        <v>13914</v>
      </c>
      <c r="C1700">
        <v>3</v>
      </c>
      <c r="D1700">
        <v>25</v>
      </c>
    </row>
    <row r="1701" spans="1:4" x14ac:dyDescent="0.25">
      <c r="A1701" s="45" t="s">
        <v>1729</v>
      </c>
      <c r="B1701" s="46" t="s">
        <v>13915</v>
      </c>
      <c r="C1701">
        <v>3</v>
      </c>
      <c r="D1701">
        <v>25</v>
      </c>
    </row>
    <row r="1702" spans="1:4" x14ac:dyDescent="0.25">
      <c r="A1702" s="45" t="s">
        <v>1730</v>
      </c>
      <c r="B1702" s="46" t="s">
        <v>13916</v>
      </c>
      <c r="C1702">
        <v>3</v>
      </c>
      <c r="D1702">
        <v>25</v>
      </c>
    </row>
    <row r="1703" spans="1:4" x14ac:dyDescent="0.25">
      <c r="A1703" s="45" t="s">
        <v>1731</v>
      </c>
      <c r="B1703" s="46" t="s">
        <v>13917</v>
      </c>
      <c r="C1703">
        <v>3</v>
      </c>
      <c r="D1703">
        <v>25</v>
      </c>
    </row>
    <row r="1704" spans="1:4" x14ac:dyDescent="0.25">
      <c r="A1704" s="45" t="s">
        <v>1732</v>
      </c>
      <c r="B1704" s="46" t="s">
        <v>13918</v>
      </c>
      <c r="C1704">
        <v>3</v>
      </c>
      <c r="D1704">
        <v>25</v>
      </c>
    </row>
    <row r="1705" spans="1:4" x14ac:dyDescent="0.25">
      <c r="A1705" s="45" t="s">
        <v>1733</v>
      </c>
      <c r="B1705" s="46" t="s">
        <v>13919</v>
      </c>
      <c r="C1705">
        <v>3</v>
      </c>
      <c r="D1705">
        <v>25</v>
      </c>
    </row>
    <row r="1706" spans="1:4" x14ac:dyDescent="0.25">
      <c r="A1706" s="45" t="s">
        <v>1734</v>
      </c>
      <c r="B1706" s="46" t="s">
        <v>13920</v>
      </c>
      <c r="C1706">
        <v>3</v>
      </c>
      <c r="D1706">
        <v>25</v>
      </c>
    </row>
    <row r="1707" spans="1:4" x14ac:dyDescent="0.25">
      <c r="A1707" s="45" t="s">
        <v>1735</v>
      </c>
      <c r="B1707" s="46" t="s">
        <v>13921</v>
      </c>
      <c r="C1707">
        <v>3</v>
      </c>
      <c r="D1707">
        <v>25</v>
      </c>
    </row>
    <row r="1708" spans="1:4" x14ac:dyDescent="0.25">
      <c r="A1708" s="45" t="s">
        <v>1736</v>
      </c>
      <c r="B1708" s="46" t="s">
        <v>13922</v>
      </c>
      <c r="C1708">
        <v>3</v>
      </c>
      <c r="D1708">
        <v>25</v>
      </c>
    </row>
    <row r="1709" spans="1:4" x14ac:dyDescent="0.25">
      <c r="A1709" s="45" t="s">
        <v>1737</v>
      </c>
      <c r="B1709" s="46" t="s">
        <v>13923</v>
      </c>
      <c r="C1709">
        <v>3</v>
      </c>
      <c r="D1709">
        <v>25</v>
      </c>
    </row>
    <row r="1710" spans="1:4" x14ac:dyDescent="0.25">
      <c r="A1710" s="45" t="s">
        <v>1738</v>
      </c>
      <c r="B1710" s="46" t="s">
        <v>13924</v>
      </c>
      <c r="C1710">
        <v>3</v>
      </c>
      <c r="D1710">
        <v>25</v>
      </c>
    </row>
    <row r="1711" spans="1:4" x14ac:dyDescent="0.25">
      <c r="A1711" s="45" t="s">
        <v>1739</v>
      </c>
      <c r="B1711" s="46" t="s">
        <v>13925</v>
      </c>
      <c r="C1711">
        <v>3</v>
      </c>
      <c r="D1711">
        <v>25</v>
      </c>
    </row>
    <row r="1712" spans="1:4" x14ac:dyDescent="0.25">
      <c r="A1712" s="45" t="s">
        <v>1740</v>
      </c>
      <c r="B1712" s="46" t="s">
        <v>13926</v>
      </c>
      <c r="C1712">
        <v>3</v>
      </c>
      <c r="D1712">
        <v>25</v>
      </c>
    </row>
    <row r="1713" spans="1:4" x14ac:dyDescent="0.25">
      <c r="A1713" s="45" t="s">
        <v>1741</v>
      </c>
      <c r="B1713" s="46" t="s">
        <v>13927</v>
      </c>
      <c r="C1713">
        <v>3</v>
      </c>
      <c r="D1713">
        <v>25</v>
      </c>
    </row>
    <row r="1714" spans="1:4" x14ac:dyDescent="0.25">
      <c r="A1714" s="45" t="s">
        <v>1742</v>
      </c>
      <c r="B1714" s="46" t="s">
        <v>13928</v>
      </c>
      <c r="C1714">
        <v>3</v>
      </c>
      <c r="D1714">
        <v>25</v>
      </c>
    </row>
    <row r="1715" spans="1:4" x14ac:dyDescent="0.25">
      <c r="A1715" s="45" t="s">
        <v>1743</v>
      </c>
      <c r="B1715" s="46" t="s">
        <v>13929</v>
      </c>
      <c r="C1715">
        <v>3</v>
      </c>
      <c r="D1715">
        <v>25</v>
      </c>
    </row>
    <row r="1716" spans="1:4" x14ac:dyDescent="0.25">
      <c r="A1716" s="45" t="s">
        <v>1744</v>
      </c>
      <c r="B1716" s="46" t="s">
        <v>13930</v>
      </c>
      <c r="C1716">
        <v>3</v>
      </c>
      <c r="D1716">
        <v>25</v>
      </c>
    </row>
    <row r="1717" spans="1:4" x14ac:dyDescent="0.25">
      <c r="A1717" s="45" t="s">
        <v>1745</v>
      </c>
      <c r="B1717" s="46" t="s">
        <v>13931</v>
      </c>
      <c r="C1717">
        <v>3</v>
      </c>
      <c r="D1717">
        <v>25</v>
      </c>
    </row>
    <row r="1718" spans="1:4" x14ac:dyDescent="0.25">
      <c r="A1718" s="45" t="s">
        <v>1746</v>
      </c>
      <c r="B1718" s="46" t="s">
        <v>13932</v>
      </c>
      <c r="C1718">
        <v>3</v>
      </c>
      <c r="D1718">
        <v>25</v>
      </c>
    </row>
    <row r="1719" spans="1:4" x14ac:dyDescent="0.25">
      <c r="A1719" s="45" t="s">
        <v>1747</v>
      </c>
      <c r="B1719" s="46" t="s">
        <v>13933</v>
      </c>
      <c r="C1719">
        <v>3</v>
      </c>
      <c r="D1719">
        <v>25</v>
      </c>
    </row>
    <row r="1720" spans="1:4" x14ac:dyDescent="0.25">
      <c r="A1720" s="45" t="s">
        <v>1748</v>
      </c>
      <c r="B1720" s="46" t="s">
        <v>13934</v>
      </c>
      <c r="C1720">
        <v>3</v>
      </c>
      <c r="D1720">
        <v>25</v>
      </c>
    </row>
    <row r="1721" spans="1:4" x14ac:dyDescent="0.25">
      <c r="A1721" s="45" t="s">
        <v>1749</v>
      </c>
      <c r="B1721" s="46" t="s">
        <v>13935</v>
      </c>
      <c r="C1721">
        <v>3</v>
      </c>
      <c r="D1721">
        <v>25</v>
      </c>
    </row>
    <row r="1722" spans="1:4" x14ac:dyDescent="0.25">
      <c r="A1722" s="45" t="s">
        <v>1750</v>
      </c>
      <c r="B1722" s="46" t="s">
        <v>19563</v>
      </c>
      <c r="C1722">
        <v>3</v>
      </c>
      <c r="D1722">
        <v>26</v>
      </c>
    </row>
    <row r="1723" spans="1:4" x14ac:dyDescent="0.25">
      <c r="A1723" s="45" t="s">
        <v>1751</v>
      </c>
      <c r="B1723" s="46" t="s">
        <v>19564</v>
      </c>
      <c r="C1723">
        <v>3</v>
      </c>
      <c r="D1723">
        <v>26</v>
      </c>
    </row>
    <row r="1724" spans="1:4" x14ac:dyDescent="0.25">
      <c r="A1724" s="45" t="s">
        <v>13936</v>
      </c>
      <c r="B1724" s="46" t="s">
        <v>19565</v>
      </c>
      <c r="C1724">
        <v>3</v>
      </c>
      <c r="D1724">
        <v>26</v>
      </c>
    </row>
    <row r="1725" spans="1:4" x14ac:dyDescent="0.25">
      <c r="A1725" s="45" t="s">
        <v>13937</v>
      </c>
      <c r="B1725" s="46" t="s">
        <v>19566</v>
      </c>
      <c r="C1725">
        <v>3</v>
      </c>
      <c r="D1725">
        <v>26</v>
      </c>
    </row>
    <row r="1726" spans="1:4" x14ac:dyDescent="0.25">
      <c r="A1726" s="45" t="s">
        <v>13938</v>
      </c>
      <c r="B1726" s="46" t="s">
        <v>19567</v>
      </c>
      <c r="C1726">
        <v>3</v>
      </c>
      <c r="D1726">
        <v>26</v>
      </c>
    </row>
    <row r="1727" spans="1:4" x14ac:dyDescent="0.25">
      <c r="A1727" s="45" t="s">
        <v>1755</v>
      </c>
      <c r="B1727" s="46" t="s">
        <v>19568</v>
      </c>
      <c r="C1727">
        <v>3</v>
      </c>
      <c r="D1727">
        <v>26</v>
      </c>
    </row>
    <row r="1728" spans="1:4" x14ac:dyDescent="0.25">
      <c r="A1728" s="45" t="s">
        <v>1756</v>
      </c>
      <c r="B1728" s="46" t="s">
        <v>19569</v>
      </c>
      <c r="C1728">
        <v>3</v>
      </c>
      <c r="D1728">
        <v>26</v>
      </c>
    </row>
    <row r="1729" spans="1:4" x14ac:dyDescent="0.25">
      <c r="A1729" s="45" t="s">
        <v>1757</v>
      </c>
      <c r="B1729" s="46" t="s">
        <v>19570</v>
      </c>
      <c r="C1729">
        <v>3</v>
      </c>
      <c r="D1729">
        <v>26</v>
      </c>
    </row>
    <row r="1730" spans="1:4" x14ac:dyDescent="0.25">
      <c r="A1730" s="45" t="s">
        <v>1758</v>
      </c>
      <c r="B1730" s="46" t="s">
        <v>19571</v>
      </c>
      <c r="C1730">
        <v>3</v>
      </c>
      <c r="D1730">
        <v>26</v>
      </c>
    </row>
    <row r="1731" spans="1:4" x14ac:dyDescent="0.25">
      <c r="A1731" s="45" t="s">
        <v>1759</v>
      </c>
      <c r="B1731" s="46" t="s">
        <v>19572</v>
      </c>
      <c r="C1731">
        <v>3</v>
      </c>
      <c r="D1731">
        <v>26</v>
      </c>
    </row>
    <row r="1732" spans="1:4" x14ac:dyDescent="0.25">
      <c r="A1732" s="45" t="s">
        <v>1760</v>
      </c>
      <c r="B1732" s="46" t="s">
        <v>19573</v>
      </c>
      <c r="C1732">
        <v>3</v>
      </c>
      <c r="D1732">
        <v>26</v>
      </c>
    </row>
    <row r="1733" spans="1:4" x14ac:dyDescent="0.25">
      <c r="A1733" s="45" t="s">
        <v>1761</v>
      </c>
      <c r="B1733" s="46" t="s">
        <v>19574</v>
      </c>
      <c r="C1733">
        <v>3</v>
      </c>
      <c r="D1733">
        <v>26</v>
      </c>
    </row>
    <row r="1734" spans="1:4" x14ac:dyDescent="0.25">
      <c r="A1734" s="45" t="s">
        <v>1762</v>
      </c>
      <c r="B1734" s="46" t="s">
        <v>19575</v>
      </c>
      <c r="C1734">
        <v>3</v>
      </c>
      <c r="D1734">
        <v>26</v>
      </c>
    </row>
    <row r="1735" spans="1:4" x14ac:dyDescent="0.25">
      <c r="A1735" s="45" t="s">
        <v>1763</v>
      </c>
      <c r="B1735" s="46" t="s">
        <v>19576</v>
      </c>
      <c r="C1735">
        <v>3</v>
      </c>
      <c r="D1735">
        <v>26</v>
      </c>
    </row>
    <row r="1736" spans="1:4" x14ac:dyDescent="0.25">
      <c r="A1736" s="45" t="s">
        <v>1764</v>
      </c>
      <c r="B1736" s="46" t="s">
        <v>19577</v>
      </c>
      <c r="C1736">
        <v>3</v>
      </c>
      <c r="D1736">
        <v>26</v>
      </c>
    </row>
    <row r="1737" spans="1:4" x14ac:dyDescent="0.25">
      <c r="A1737" s="45" t="s">
        <v>1765</v>
      </c>
      <c r="B1737" s="46" t="s">
        <v>19578</v>
      </c>
      <c r="C1737">
        <v>3</v>
      </c>
      <c r="D1737">
        <v>26</v>
      </c>
    </row>
    <row r="1738" spans="1:4" x14ac:dyDescent="0.25">
      <c r="A1738" s="45" t="s">
        <v>1766</v>
      </c>
      <c r="B1738" s="46" t="s">
        <v>19579</v>
      </c>
      <c r="C1738">
        <v>3</v>
      </c>
      <c r="D1738">
        <v>26</v>
      </c>
    </row>
    <row r="1739" spans="1:4" x14ac:dyDescent="0.25">
      <c r="A1739" s="45" t="s">
        <v>1767</v>
      </c>
      <c r="B1739" s="46" t="s">
        <v>19580</v>
      </c>
      <c r="C1739">
        <v>3</v>
      </c>
      <c r="D1739">
        <v>26</v>
      </c>
    </row>
    <row r="1740" spans="1:4" x14ac:dyDescent="0.25">
      <c r="A1740" s="45" t="s">
        <v>1768</v>
      </c>
      <c r="B1740" s="46" t="s">
        <v>19581</v>
      </c>
      <c r="C1740">
        <v>3</v>
      </c>
      <c r="D1740">
        <v>26</v>
      </c>
    </row>
    <row r="1741" spans="1:4" x14ac:dyDescent="0.25">
      <c r="A1741" s="45" t="s">
        <v>1769</v>
      </c>
      <c r="B1741" s="46" t="s">
        <v>19582</v>
      </c>
      <c r="C1741">
        <v>3</v>
      </c>
      <c r="D1741">
        <v>26</v>
      </c>
    </row>
    <row r="1742" spans="1:4" x14ac:dyDescent="0.25">
      <c r="A1742" s="45" t="s">
        <v>1770</v>
      </c>
      <c r="B1742" s="46" t="s">
        <v>19583</v>
      </c>
      <c r="C1742">
        <v>3</v>
      </c>
      <c r="D1742">
        <v>26</v>
      </c>
    </row>
    <row r="1743" spans="1:4" x14ac:dyDescent="0.25">
      <c r="A1743" s="45" t="s">
        <v>1771</v>
      </c>
      <c r="B1743" s="46" t="s">
        <v>19584</v>
      </c>
      <c r="C1743">
        <v>3</v>
      </c>
      <c r="D1743">
        <v>26</v>
      </c>
    </row>
    <row r="1744" spans="1:4" x14ac:dyDescent="0.25">
      <c r="A1744" s="45" t="s">
        <v>1772</v>
      </c>
      <c r="B1744" s="46" t="s">
        <v>13939</v>
      </c>
      <c r="C1744">
        <v>3</v>
      </c>
      <c r="D1744">
        <v>26</v>
      </c>
    </row>
    <row r="1745" spans="1:4" x14ac:dyDescent="0.25">
      <c r="A1745" s="45" t="s">
        <v>1773</v>
      </c>
      <c r="B1745" s="46" t="s">
        <v>19585</v>
      </c>
      <c r="C1745">
        <v>3</v>
      </c>
      <c r="D1745">
        <v>26</v>
      </c>
    </row>
    <row r="1746" spans="1:4" x14ac:dyDescent="0.25">
      <c r="A1746" s="45" t="s">
        <v>1774</v>
      </c>
      <c r="B1746" s="46" t="s">
        <v>19586</v>
      </c>
      <c r="C1746">
        <v>3</v>
      </c>
      <c r="D1746">
        <v>26</v>
      </c>
    </row>
    <row r="1747" spans="1:4" x14ac:dyDescent="0.25">
      <c r="A1747" s="45" t="s">
        <v>1775</v>
      </c>
      <c r="B1747" s="46" t="s">
        <v>19587</v>
      </c>
      <c r="C1747">
        <v>3</v>
      </c>
      <c r="D1747">
        <v>26</v>
      </c>
    </row>
    <row r="1748" spans="1:4" x14ac:dyDescent="0.25">
      <c r="A1748" s="45" t="s">
        <v>1776</v>
      </c>
      <c r="B1748" s="46" t="s">
        <v>19588</v>
      </c>
      <c r="C1748">
        <v>3</v>
      </c>
      <c r="D1748">
        <v>26</v>
      </c>
    </row>
    <row r="1749" spans="1:4" x14ac:dyDescent="0.25">
      <c r="A1749" s="45" t="s">
        <v>1777</v>
      </c>
      <c r="B1749" s="46" t="s">
        <v>19589</v>
      </c>
      <c r="C1749">
        <v>3</v>
      </c>
      <c r="D1749">
        <v>26</v>
      </c>
    </row>
    <row r="1750" spans="1:4" x14ac:dyDescent="0.25">
      <c r="A1750" s="45" t="s">
        <v>1778</v>
      </c>
      <c r="B1750" s="46" t="s">
        <v>19590</v>
      </c>
      <c r="C1750">
        <v>3</v>
      </c>
      <c r="D1750">
        <v>26</v>
      </c>
    </row>
    <row r="1751" spans="1:4" x14ac:dyDescent="0.25">
      <c r="A1751" s="45" t="s">
        <v>1779</v>
      </c>
      <c r="B1751" s="46" t="s">
        <v>19591</v>
      </c>
      <c r="C1751">
        <v>3</v>
      </c>
      <c r="D1751">
        <v>26</v>
      </c>
    </row>
    <row r="1752" spans="1:4" x14ac:dyDescent="0.25">
      <c r="A1752" s="45" t="s">
        <v>1780</v>
      </c>
      <c r="B1752" s="46" t="s">
        <v>19592</v>
      </c>
      <c r="C1752">
        <v>3</v>
      </c>
      <c r="D1752">
        <v>26</v>
      </c>
    </row>
    <row r="1753" spans="1:4" x14ac:dyDescent="0.25">
      <c r="A1753" s="45" t="s">
        <v>1781</v>
      </c>
      <c r="B1753" s="46" t="s">
        <v>19593</v>
      </c>
      <c r="C1753">
        <v>3</v>
      </c>
      <c r="D1753">
        <v>26</v>
      </c>
    </row>
    <row r="1754" spans="1:4" x14ac:dyDescent="0.25">
      <c r="A1754" s="45" t="s">
        <v>1782</v>
      </c>
      <c r="B1754" s="46" t="s">
        <v>19594</v>
      </c>
      <c r="C1754">
        <v>3</v>
      </c>
      <c r="D1754">
        <v>26</v>
      </c>
    </row>
    <row r="1755" spans="1:4" x14ac:dyDescent="0.25">
      <c r="A1755" s="45" t="s">
        <v>1783</v>
      </c>
      <c r="B1755" s="46" t="s">
        <v>19595</v>
      </c>
      <c r="C1755">
        <v>3</v>
      </c>
      <c r="D1755">
        <v>26</v>
      </c>
    </row>
    <row r="1756" spans="1:4" x14ac:dyDescent="0.25">
      <c r="A1756" s="45" t="s">
        <v>1784</v>
      </c>
      <c r="B1756" s="46" t="s">
        <v>19596</v>
      </c>
      <c r="C1756">
        <v>3</v>
      </c>
      <c r="D1756">
        <v>26</v>
      </c>
    </row>
    <row r="1757" spans="1:4" x14ac:dyDescent="0.25">
      <c r="A1757" s="45" t="s">
        <v>1785</v>
      </c>
      <c r="B1757" s="46" t="s">
        <v>19597</v>
      </c>
      <c r="C1757">
        <v>3</v>
      </c>
      <c r="D1757">
        <v>26</v>
      </c>
    </row>
    <row r="1758" spans="1:4" x14ac:dyDescent="0.25">
      <c r="A1758" s="45" t="s">
        <v>1786</v>
      </c>
      <c r="B1758" s="46" t="s">
        <v>19598</v>
      </c>
      <c r="C1758">
        <v>3</v>
      </c>
      <c r="D1758">
        <v>26</v>
      </c>
    </row>
    <row r="1759" spans="1:4" x14ac:dyDescent="0.25">
      <c r="A1759" s="45" t="s">
        <v>1787</v>
      </c>
      <c r="B1759" s="46" t="s">
        <v>19599</v>
      </c>
      <c r="C1759">
        <v>3</v>
      </c>
      <c r="D1759">
        <v>26</v>
      </c>
    </row>
    <row r="1760" spans="1:4" x14ac:dyDescent="0.25">
      <c r="A1760" s="45" t="s">
        <v>1788</v>
      </c>
      <c r="B1760" s="46" t="s">
        <v>19600</v>
      </c>
      <c r="C1760">
        <v>3</v>
      </c>
      <c r="D1760">
        <v>26</v>
      </c>
    </row>
    <row r="1761" spans="1:4" x14ac:dyDescent="0.25">
      <c r="A1761" s="45" t="s">
        <v>1789</v>
      </c>
      <c r="B1761" s="46" t="s">
        <v>19601</v>
      </c>
      <c r="C1761">
        <v>3</v>
      </c>
      <c r="D1761">
        <v>26</v>
      </c>
    </row>
    <row r="1762" spans="1:4" x14ac:dyDescent="0.25">
      <c r="A1762" s="45" t="s">
        <v>1790</v>
      </c>
      <c r="B1762" s="46" t="s">
        <v>19602</v>
      </c>
      <c r="C1762">
        <v>3</v>
      </c>
      <c r="D1762">
        <v>26</v>
      </c>
    </row>
    <row r="1763" spans="1:4" x14ac:dyDescent="0.25">
      <c r="A1763" s="45" t="s">
        <v>1791</v>
      </c>
      <c r="B1763" s="46" t="s">
        <v>19603</v>
      </c>
      <c r="C1763">
        <v>3</v>
      </c>
      <c r="D1763">
        <v>26</v>
      </c>
    </row>
    <row r="1764" spans="1:4" x14ac:dyDescent="0.25">
      <c r="A1764" s="45" t="s">
        <v>1792</v>
      </c>
      <c r="B1764" s="46" t="s">
        <v>19604</v>
      </c>
      <c r="C1764">
        <v>3</v>
      </c>
      <c r="D1764">
        <v>26</v>
      </c>
    </row>
    <row r="1765" spans="1:4" x14ac:dyDescent="0.25">
      <c r="A1765" s="45" t="s">
        <v>1793</v>
      </c>
      <c r="B1765" s="46" t="s">
        <v>19605</v>
      </c>
      <c r="C1765">
        <v>3</v>
      </c>
      <c r="D1765">
        <v>26</v>
      </c>
    </row>
    <row r="1766" spans="1:4" x14ac:dyDescent="0.25">
      <c r="A1766" s="45" t="s">
        <v>1794</v>
      </c>
      <c r="B1766" s="46" t="s">
        <v>19606</v>
      </c>
      <c r="C1766">
        <v>3</v>
      </c>
      <c r="D1766">
        <v>26</v>
      </c>
    </row>
    <row r="1767" spans="1:4" x14ac:dyDescent="0.25">
      <c r="A1767" s="45" t="s">
        <v>1795</v>
      </c>
      <c r="B1767" s="46" t="s">
        <v>19607</v>
      </c>
      <c r="C1767">
        <v>3</v>
      </c>
      <c r="D1767">
        <v>26</v>
      </c>
    </row>
    <row r="1768" spans="1:4" x14ac:dyDescent="0.25">
      <c r="A1768" s="45" t="s">
        <v>1796</v>
      </c>
      <c r="B1768" s="46" t="s">
        <v>19608</v>
      </c>
      <c r="C1768">
        <v>3</v>
      </c>
      <c r="D1768">
        <v>26</v>
      </c>
    </row>
    <row r="1769" spans="1:4" x14ac:dyDescent="0.25">
      <c r="A1769" s="45" t="s">
        <v>1797</v>
      </c>
      <c r="B1769" s="46" t="s">
        <v>19609</v>
      </c>
      <c r="C1769">
        <v>3</v>
      </c>
      <c r="D1769">
        <v>26</v>
      </c>
    </row>
    <row r="1770" spans="1:4" x14ac:dyDescent="0.25">
      <c r="A1770" s="45" t="s">
        <v>1798</v>
      </c>
      <c r="B1770" s="46" t="s">
        <v>19610</v>
      </c>
      <c r="C1770">
        <v>3</v>
      </c>
      <c r="D1770">
        <v>26</v>
      </c>
    </row>
    <row r="1771" spans="1:4" x14ac:dyDescent="0.25">
      <c r="A1771" s="45" t="s">
        <v>1799</v>
      </c>
      <c r="B1771" s="46" t="s">
        <v>19611</v>
      </c>
      <c r="C1771">
        <v>3</v>
      </c>
      <c r="D1771">
        <v>26</v>
      </c>
    </row>
    <row r="1772" spans="1:4" x14ac:dyDescent="0.25">
      <c r="A1772" s="45" t="s">
        <v>1800</v>
      </c>
      <c r="B1772" s="46" t="s">
        <v>13940</v>
      </c>
      <c r="C1772">
        <v>3</v>
      </c>
      <c r="D1772">
        <v>26</v>
      </c>
    </row>
    <row r="1773" spans="1:4" x14ac:dyDescent="0.25">
      <c r="A1773" s="45" t="s">
        <v>1801</v>
      </c>
      <c r="B1773" s="46" t="s">
        <v>13941</v>
      </c>
      <c r="C1773">
        <v>3</v>
      </c>
      <c r="D1773">
        <v>26</v>
      </c>
    </row>
    <row r="1774" spans="1:4" x14ac:dyDescent="0.25">
      <c r="A1774" s="45" t="s">
        <v>1802</v>
      </c>
      <c r="B1774" s="46" t="s">
        <v>13942</v>
      </c>
      <c r="C1774">
        <v>3</v>
      </c>
      <c r="D1774">
        <v>26</v>
      </c>
    </row>
    <row r="1775" spans="1:4" x14ac:dyDescent="0.25">
      <c r="A1775" s="45" t="s">
        <v>1803</v>
      </c>
      <c r="B1775" s="46" t="s">
        <v>19612</v>
      </c>
      <c r="C1775">
        <v>3</v>
      </c>
      <c r="D1775">
        <v>26</v>
      </c>
    </row>
    <row r="1776" spans="1:4" x14ac:dyDescent="0.25">
      <c r="A1776" s="45" t="s">
        <v>1804</v>
      </c>
      <c r="B1776" s="46" t="s">
        <v>13943</v>
      </c>
      <c r="C1776">
        <v>3</v>
      </c>
      <c r="D1776">
        <v>26</v>
      </c>
    </row>
    <row r="1777" spans="1:4" x14ac:dyDescent="0.25">
      <c r="A1777" s="45" t="s">
        <v>1805</v>
      </c>
      <c r="B1777" s="46" t="s">
        <v>19613</v>
      </c>
      <c r="C1777">
        <v>3</v>
      </c>
      <c r="D1777">
        <v>26</v>
      </c>
    </row>
    <row r="1778" spans="1:4" x14ac:dyDescent="0.25">
      <c r="A1778" s="45" t="s">
        <v>1806</v>
      </c>
      <c r="B1778" s="46" t="s">
        <v>13944</v>
      </c>
      <c r="C1778">
        <v>3</v>
      </c>
      <c r="D1778">
        <v>26</v>
      </c>
    </row>
    <row r="1779" spans="1:4" x14ac:dyDescent="0.25">
      <c r="A1779" s="45" t="s">
        <v>1807</v>
      </c>
      <c r="B1779" s="46" t="s">
        <v>19614</v>
      </c>
      <c r="C1779">
        <v>3</v>
      </c>
      <c r="D1779">
        <v>26</v>
      </c>
    </row>
    <row r="1780" spans="1:4" x14ac:dyDescent="0.25">
      <c r="A1780" s="45" t="s">
        <v>1808</v>
      </c>
      <c r="B1780" s="46" t="s">
        <v>13945</v>
      </c>
      <c r="C1780">
        <v>3</v>
      </c>
      <c r="D1780">
        <v>28</v>
      </c>
    </row>
    <row r="1781" spans="1:4" x14ac:dyDescent="0.25">
      <c r="A1781" s="45" t="s">
        <v>1809</v>
      </c>
      <c r="B1781" s="46" t="s">
        <v>13946</v>
      </c>
      <c r="C1781">
        <v>3</v>
      </c>
      <c r="D1781">
        <v>26</v>
      </c>
    </row>
    <row r="1782" spans="1:4" x14ac:dyDescent="0.25">
      <c r="A1782" s="45" t="s">
        <v>1810</v>
      </c>
      <c r="B1782" s="46" t="s">
        <v>13947</v>
      </c>
      <c r="C1782">
        <v>3</v>
      </c>
      <c r="D1782">
        <v>26</v>
      </c>
    </row>
    <row r="1783" spans="1:4" x14ac:dyDescent="0.25">
      <c r="A1783" s="45" t="s">
        <v>1811</v>
      </c>
      <c r="B1783" s="46" t="s">
        <v>13948</v>
      </c>
      <c r="C1783">
        <v>3</v>
      </c>
      <c r="D1783">
        <v>26</v>
      </c>
    </row>
    <row r="1784" spans="1:4" x14ac:dyDescent="0.25">
      <c r="A1784" s="45" t="s">
        <v>1812</v>
      </c>
      <c r="B1784" s="46" t="s">
        <v>13949</v>
      </c>
      <c r="C1784">
        <v>3</v>
      </c>
      <c r="D1784">
        <v>26</v>
      </c>
    </row>
    <row r="1785" spans="1:4" x14ac:dyDescent="0.25">
      <c r="A1785" s="45" t="s">
        <v>1813</v>
      </c>
      <c r="B1785" s="46" t="s">
        <v>13950</v>
      </c>
      <c r="C1785">
        <v>3</v>
      </c>
      <c r="D1785">
        <v>26</v>
      </c>
    </row>
    <row r="1786" spans="1:4" x14ac:dyDescent="0.25">
      <c r="A1786" s="45" t="s">
        <v>1814</v>
      </c>
      <c r="B1786" s="46" t="s">
        <v>13951</v>
      </c>
      <c r="C1786">
        <v>3</v>
      </c>
      <c r="D1786">
        <v>26</v>
      </c>
    </row>
    <row r="1787" spans="1:4" x14ac:dyDescent="0.25">
      <c r="A1787" s="45" t="s">
        <v>1815</v>
      </c>
      <c r="B1787" s="46" t="s">
        <v>13952</v>
      </c>
      <c r="C1787">
        <v>3</v>
      </c>
      <c r="D1787">
        <v>26</v>
      </c>
    </row>
    <row r="1788" spans="1:4" x14ac:dyDescent="0.25">
      <c r="A1788" s="45" t="s">
        <v>1816</v>
      </c>
      <c r="B1788" s="46" t="s">
        <v>13953</v>
      </c>
      <c r="C1788">
        <v>3</v>
      </c>
      <c r="D1788">
        <v>26</v>
      </c>
    </row>
    <row r="1789" spans="1:4" x14ac:dyDescent="0.25">
      <c r="A1789" s="45" t="s">
        <v>1817</v>
      </c>
      <c r="B1789" s="46" t="s">
        <v>13954</v>
      </c>
      <c r="C1789">
        <v>3</v>
      </c>
      <c r="D1789">
        <v>26</v>
      </c>
    </row>
    <row r="1790" spans="1:4" x14ac:dyDescent="0.25">
      <c r="A1790" s="45" t="s">
        <v>1818</v>
      </c>
      <c r="B1790" s="46" t="s">
        <v>13955</v>
      </c>
      <c r="C1790">
        <v>3</v>
      </c>
      <c r="D1790">
        <v>26</v>
      </c>
    </row>
    <row r="1791" spans="1:4" x14ac:dyDescent="0.25">
      <c r="A1791" s="45" t="s">
        <v>1819</v>
      </c>
      <c r="B1791" s="46" t="s">
        <v>13956</v>
      </c>
      <c r="C1791">
        <v>3</v>
      </c>
      <c r="D1791">
        <v>26</v>
      </c>
    </row>
    <row r="1792" spans="1:4" x14ac:dyDescent="0.25">
      <c r="A1792" s="45" t="s">
        <v>1820</v>
      </c>
      <c r="B1792" s="46" t="s">
        <v>13957</v>
      </c>
      <c r="C1792">
        <v>3</v>
      </c>
      <c r="D1792">
        <v>26</v>
      </c>
    </row>
    <row r="1793" spans="1:4" x14ac:dyDescent="0.25">
      <c r="A1793" s="45" t="s">
        <v>1821</v>
      </c>
      <c r="B1793" s="46" t="s">
        <v>13958</v>
      </c>
      <c r="C1793">
        <v>3</v>
      </c>
      <c r="D1793">
        <v>26</v>
      </c>
    </row>
    <row r="1794" spans="1:4" x14ac:dyDescent="0.25">
      <c r="A1794" s="45" t="s">
        <v>1822</v>
      </c>
      <c r="B1794" s="46" t="s">
        <v>13959</v>
      </c>
      <c r="C1794">
        <v>3</v>
      </c>
      <c r="D1794">
        <v>25</v>
      </c>
    </row>
    <row r="1795" spans="1:4" x14ac:dyDescent="0.25">
      <c r="A1795" s="45" t="s">
        <v>1823</v>
      </c>
      <c r="B1795" s="46" t="s">
        <v>13960</v>
      </c>
      <c r="C1795">
        <v>3</v>
      </c>
      <c r="D1795">
        <v>26</v>
      </c>
    </row>
    <row r="1796" spans="1:4" x14ac:dyDescent="0.25">
      <c r="A1796" s="45" t="s">
        <v>1824</v>
      </c>
      <c r="B1796" s="46" t="s">
        <v>13961</v>
      </c>
      <c r="C1796">
        <v>3</v>
      </c>
      <c r="D1796">
        <v>26</v>
      </c>
    </row>
    <row r="1797" spans="1:4" x14ac:dyDescent="0.25">
      <c r="A1797" s="45" t="s">
        <v>1825</v>
      </c>
      <c r="B1797" s="46" t="s">
        <v>13962</v>
      </c>
      <c r="C1797">
        <v>3</v>
      </c>
      <c r="D1797">
        <v>26</v>
      </c>
    </row>
    <row r="1798" spans="1:4" x14ac:dyDescent="0.25">
      <c r="A1798" s="45" t="s">
        <v>1826</v>
      </c>
      <c r="B1798" s="46" t="s">
        <v>13963</v>
      </c>
      <c r="C1798">
        <v>3</v>
      </c>
      <c r="D1798">
        <v>26</v>
      </c>
    </row>
    <row r="1799" spans="1:4" x14ac:dyDescent="0.25">
      <c r="A1799" s="45" t="s">
        <v>1827</v>
      </c>
      <c r="B1799" s="46" t="s">
        <v>13964</v>
      </c>
      <c r="C1799">
        <v>3</v>
      </c>
      <c r="D1799">
        <v>26</v>
      </c>
    </row>
    <row r="1800" spans="1:4" x14ac:dyDescent="0.25">
      <c r="A1800" s="45" t="s">
        <v>1828</v>
      </c>
      <c r="B1800" s="46" t="s">
        <v>13965</v>
      </c>
      <c r="C1800">
        <v>3</v>
      </c>
      <c r="D1800">
        <v>26</v>
      </c>
    </row>
    <row r="1801" spans="1:4" x14ac:dyDescent="0.25">
      <c r="A1801" s="45" t="s">
        <v>1829</v>
      </c>
      <c r="B1801" s="46" t="s">
        <v>13966</v>
      </c>
      <c r="C1801">
        <v>3</v>
      </c>
      <c r="D1801">
        <v>26</v>
      </c>
    </row>
    <row r="1802" spans="1:4" x14ac:dyDescent="0.25">
      <c r="A1802" s="45" t="s">
        <v>1830</v>
      </c>
      <c r="B1802" s="46" t="s">
        <v>13967</v>
      </c>
      <c r="C1802">
        <v>3</v>
      </c>
      <c r="D1802">
        <v>26</v>
      </c>
    </row>
    <row r="1803" spans="1:4" x14ac:dyDescent="0.25">
      <c r="A1803" s="45" t="s">
        <v>1831</v>
      </c>
      <c r="B1803" s="46" t="s">
        <v>13968</v>
      </c>
      <c r="C1803">
        <v>3</v>
      </c>
      <c r="D1803">
        <v>26</v>
      </c>
    </row>
    <row r="1804" spans="1:4" x14ac:dyDescent="0.25">
      <c r="A1804" s="45" t="s">
        <v>1832</v>
      </c>
      <c r="B1804" s="46" t="s">
        <v>13969</v>
      </c>
      <c r="C1804">
        <v>3</v>
      </c>
      <c r="D1804">
        <v>26</v>
      </c>
    </row>
    <row r="1805" spans="1:4" x14ac:dyDescent="0.25">
      <c r="A1805" s="45" t="s">
        <v>1833</v>
      </c>
      <c r="B1805" s="46" t="s">
        <v>13970</v>
      </c>
      <c r="C1805">
        <v>3</v>
      </c>
      <c r="D1805">
        <v>26</v>
      </c>
    </row>
    <row r="1806" spans="1:4" x14ac:dyDescent="0.25">
      <c r="A1806" s="45" t="s">
        <v>1834</v>
      </c>
      <c r="B1806" s="46" t="s">
        <v>13971</v>
      </c>
      <c r="C1806">
        <v>3</v>
      </c>
      <c r="D1806">
        <v>26</v>
      </c>
    </row>
    <row r="1807" spans="1:4" x14ac:dyDescent="0.25">
      <c r="A1807" s="45" t="s">
        <v>1835</v>
      </c>
      <c r="B1807" s="46" t="s">
        <v>13972</v>
      </c>
      <c r="C1807">
        <v>3</v>
      </c>
      <c r="D1807">
        <v>26</v>
      </c>
    </row>
    <row r="1808" spans="1:4" x14ac:dyDescent="0.25">
      <c r="A1808" s="45" t="s">
        <v>1836</v>
      </c>
      <c r="B1808" s="46" t="s">
        <v>13973</v>
      </c>
      <c r="C1808">
        <v>3</v>
      </c>
      <c r="D1808">
        <v>26</v>
      </c>
    </row>
    <row r="1809" spans="1:4" x14ac:dyDescent="0.25">
      <c r="A1809" s="45" t="s">
        <v>1837</v>
      </c>
      <c r="B1809" s="46" t="s">
        <v>13974</v>
      </c>
      <c r="C1809">
        <v>3</v>
      </c>
      <c r="D1809">
        <v>26</v>
      </c>
    </row>
    <row r="1810" spans="1:4" x14ac:dyDescent="0.25">
      <c r="A1810" s="45" t="s">
        <v>1838</v>
      </c>
      <c r="B1810" s="46" t="s">
        <v>13975</v>
      </c>
      <c r="C1810">
        <v>3</v>
      </c>
      <c r="D1810">
        <v>26</v>
      </c>
    </row>
    <row r="1811" spans="1:4" x14ac:dyDescent="0.25">
      <c r="A1811" s="45" t="s">
        <v>1839</v>
      </c>
      <c r="B1811" s="46" t="s">
        <v>13976</v>
      </c>
      <c r="C1811">
        <v>3</v>
      </c>
      <c r="D1811">
        <v>26</v>
      </c>
    </row>
    <row r="1812" spans="1:4" x14ac:dyDescent="0.25">
      <c r="A1812" s="45" t="s">
        <v>1840</v>
      </c>
      <c r="B1812" s="46" t="s">
        <v>13977</v>
      </c>
      <c r="C1812">
        <v>3</v>
      </c>
      <c r="D1812">
        <v>26</v>
      </c>
    </row>
    <row r="1813" spans="1:4" x14ac:dyDescent="0.25">
      <c r="A1813" s="45" t="s">
        <v>1841</v>
      </c>
      <c r="B1813" s="46" t="s">
        <v>13978</v>
      </c>
      <c r="C1813">
        <v>3</v>
      </c>
      <c r="D1813">
        <v>26</v>
      </c>
    </row>
    <row r="1814" spans="1:4" x14ac:dyDescent="0.25">
      <c r="A1814" s="45" t="s">
        <v>1842</v>
      </c>
      <c r="B1814" s="46" t="s">
        <v>13979</v>
      </c>
      <c r="C1814">
        <v>3</v>
      </c>
      <c r="D1814">
        <v>26</v>
      </c>
    </row>
    <row r="1815" spans="1:4" x14ac:dyDescent="0.25">
      <c r="A1815" s="45" t="s">
        <v>1843</v>
      </c>
      <c r="B1815" s="46" t="s">
        <v>13980</v>
      </c>
      <c r="C1815">
        <v>3</v>
      </c>
      <c r="D1815">
        <v>26</v>
      </c>
    </row>
    <row r="1816" spans="1:4" x14ac:dyDescent="0.25">
      <c r="A1816" s="45" t="s">
        <v>1844</v>
      </c>
      <c r="B1816" s="46" t="s">
        <v>13981</v>
      </c>
      <c r="C1816">
        <v>3</v>
      </c>
      <c r="D1816">
        <v>26</v>
      </c>
    </row>
    <row r="1817" spans="1:4" x14ac:dyDescent="0.25">
      <c r="A1817" s="45" t="s">
        <v>1845</v>
      </c>
      <c r="B1817" s="46" t="s">
        <v>13982</v>
      </c>
      <c r="C1817">
        <v>3</v>
      </c>
      <c r="D1817">
        <v>26</v>
      </c>
    </row>
    <row r="1818" spans="1:4" x14ac:dyDescent="0.25">
      <c r="A1818" s="45" t="s">
        <v>1846</v>
      </c>
      <c r="B1818" s="46" t="s">
        <v>13983</v>
      </c>
      <c r="C1818">
        <v>3</v>
      </c>
      <c r="D1818">
        <v>26</v>
      </c>
    </row>
    <row r="1819" spans="1:4" x14ac:dyDescent="0.25">
      <c r="A1819" s="45" t="s">
        <v>1847</v>
      </c>
      <c r="B1819" s="46" t="s">
        <v>13984</v>
      </c>
      <c r="C1819">
        <v>3</v>
      </c>
      <c r="D1819">
        <v>26</v>
      </c>
    </row>
    <row r="1820" spans="1:4" x14ac:dyDescent="0.25">
      <c r="A1820" s="45" t="s">
        <v>1848</v>
      </c>
      <c r="B1820" s="46" t="s">
        <v>13985</v>
      </c>
      <c r="C1820">
        <v>3</v>
      </c>
      <c r="D1820">
        <v>26</v>
      </c>
    </row>
    <row r="1821" spans="1:4" x14ac:dyDescent="0.25">
      <c r="A1821" s="45" t="s">
        <v>1849</v>
      </c>
      <c r="B1821" s="46" t="s">
        <v>13986</v>
      </c>
      <c r="C1821">
        <v>3</v>
      </c>
      <c r="D1821">
        <v>26</v>
      </c>
    </row>
    <row r="1822" spans="1:4" x14ac:dyDescent="0.25">
      <c r="A1822" s="45" t="s">
        <v>1850</v>
      </c>
      <c r="B1822" s="46" t="s">
        <v>13987</v>
      </c>
      <c r="C1822">
        <v>3</v>
      </c>
      <c r="D1822">
        <v>26</v>
      </c>
    </row>
    <row r="1823" spans="1:4" x14ac:dyDescent="0.25">
      <c r="A1823" s="45" t="s">
        <v>1851</v>
      </c>
      <c r="B1823" s="46" t="s">
        <v>13988</v>
      </c>
      <c r="C1823">
        <v>3</v>
      </c>
      <c r="D1823">
        <v>26</v>
      </c>
    </row>
    <row r="1824" spans="1:4" x14ac:dyDescent="0.25">
      <c r="A1824" s="45" t="s">
        <v>1852</v>
      </c>
      <c r="B1824" s="46" t="s">
        <v>13989</v>
      </c>
      <c r="C1824">
        <v>3</v>
      </c>
      <c r="D1824">
        <v>26</v>
      </c>
    </row>
    <row r="1825" spans="1:4" x14ac:dyDescent="0.25">
      <c r="A1825" s="45" t="s">
        <v>1853</v>
      </c>
      <c r="B1825" s="46" t="s">
        <v>13990</v>
      </c>
      <c r="C1825">
        <v>3</v>
      </c>
      <c r="D1825">
        <v>26</v>
      </c>
    </row>
    <row r="1826" spans="1:4" x14ac:dyDescent="0.25">
      <c r="A1826" s="45" t="s">
        <v>1854</v>
      </c>
      <c r="B1826" s="46" t="s">
        <v>13991</v>
      </c>
      <c r="C1826">
        <v>3</v>
      </c>
      <c r="D1826">
        <v>26</v>
      </c>
    </row>
    <row r="1827" spans="1:4" x14ac:dyDescent="0.25">
      <c r="A1827" s="45" t="s">
        <v>1855</v>
      </c>
      <c r="B1827" s="46" t="s">
        <v>13992</v>
      </c>
      <c r="C1827">
        <v>3</v>
      </c>
      <c r="D1827">
        <v>26</v>
      </c>
    </row>
    <row r="1828" spans="1:4" x14ac:dyDescent="0.25">
      <c r="A1828" s="45" t="s">
        <v>1856</v>
      </c>
      <c r="B1828" s="46" t="s">
        <v>13993</v>
      </c>
      <c r="C1828">
        <v>3</v>
      </c>
      <c r="D1828">
        <v>26</v>
      </c>
    </row>
    <row r="1829" spans="1:4" x14ac:dyDescent="0.25">
      <c r="A1829" s="45" t="s">
        <v>1857</v>
      </c>
      <c r="B1829" s="46" t="s">
        <v>13994</v>
      </c>
      <c r="C1829">
        <v>3</v>
      </c>
      <c r="D1829">
        <v>26</v>
      </c>
    </row>
    <row r="1830" spans="1:4" x14ac:dyDescent="0.25">
      <c r="A1830" s="45" t="s">
        <v>1858</v>
      </c>
      <c r="B1830" s="46" t="s">
        <v>13995</v>
      </c>
      <c r="C1830">
        <v>3</v>
      </c>
      <c r="D1830">
        <v>26</v>
      </c>
    </row>
    <row r="1831" spans="1:4" x14ac:dyDescent="0.25">
      <c r="A1831" s="45" t="s">
        <v>1859</v>
      </c>
      <c r="B1831" s="46" t="s">
        <v>13996</v>
      </c>
      <c r="C1831">
        <v>3</v>
      </c>
      <c r="D1831">
        <v>26</v>
      </c>
    </row>
    <row r="1832" spans="1:4" x14ac:dyDescent="0.25">
      <c r="A1832" s="45" t="s">
        <v>1860</v>
      </c>
      <c r="B1832" s="46" t="s">
        <v>13997</v>
      </c>
      <c r="C1832">
        <v>3</v>
      </c>
      <c r="D1832">
        <v>26</v>
      </c>
    </row>
    <row r="1833" spans="1:4" x14ac:dyDescent="0.25">
      <c r="A1833" s="45" t="s">
        <v>1861</v>
      </c>
      <c r="B1833" s="46" t="s">
        <v>13998</v>
      </c>
      <c r="C1833">
        <v>3</v>
      </c>
      <c r="D1833">
        <v>26</v>
      </c>
    </row>
    <row r="1834" spans="1:4" x14ac:dyDescent="0.25">
      <c r="A1834" s="45" t="s">
        <v>1862</v>
      </c>
      <c r="B1834" s="46" t="s">
        <v>13999</v>
      </c>
      <c r="C1834">
        <v>3</v>
      </c>
      <c r="D1834">
        <v>26</v>
      </c>
    </row>
    <row r="1835" spans="1:4" x14ac:dyDescent="0.25">
      <c r="A1835" s="45" t="s">
        <v>1863</v>
      </c>
      <c r="B1835" s="46" t="s">
        <v>14000</v>
      </c>
      <c r="C1835">
        <v>3</v>
      </c>
      <c r="D1835">
        <v>26</v>
      </c>
    </row>
    <row r="1836" spans="1:4" x14ac:dyDescent="0.25">
      <c r="A1836" s="45" t="s">
        <v>1864</v>
      </c>
      <c r="B1836" s="46" t="s">
        <v>14001</v>
      </c>
      <c r="C1836">
        <v>3</v>
      </c>
      <c r="D1836">
        <v>26</v>
      </c>
    </row>
    <row r="1837" spans="1:4" x14ac:dyDescent="0.25">
      <c r="A1837" s="45" t="s">
        <v>1865</v>
      </c>
      <c r="B1837" s="46" t="s">
        <v>19615</v>
      </c>
      <c r="C1837">
        <v>3</v>
      </c>
      <c r="D1837">
        <v>26</v>
      </c>
    </row>
    <row r="1838" spans="1:4" x14ac:dyDescent="0.25">
      <c r="A1838" s="45" t="s">
        <v>1866</v>
      </c>
      <c r="B1838" s="46" t="s">
        <v>14002</v>
      </c>
      <c r="C1838">
        <v>3</v>
      </c>
      <c r="D1838">
        <v>26</v>
      </c>
    </row>
    <row r="1839" spans="1:4" x14ac:dyDescent="0.25">
      <c r="A1839" s="45" t="s">
        <v>1867</v>
      </c>
      <c r="B1839" s="46" t="s">
        <v>14003</v>
      </c>
      <c r="C1839">
        <v>3</v>
      </c>
      <c r="D1839">
        <v>26</v>
      </c>
    </row>
    <row r="1840" spans="1:4" x14ac:dyDescent="0.25">
      <c r="A1840" s="45" t="s">
        <v>1868</v>
      </c>
      <c r="B1840" s="46" t="s">
        <v>14004</v>
      </c>
      <c r="C1840">
        <v>3</v>
      </c>
      <c r="D1840">
        <v>26</v>
      </c>
    </row>
    <row r="1841" spans="1:4" x14ac:dyDescent="0.25">
      <c r="A1841" s="45" t="s">
        <v>1869</v>
      </c>
      <c r="B1841" s="46" t="s">
        <v>14005</v>
      </c>
      <c r="C1841">
        <v>3</v>
      </c>
      <c r="D1841">
        <v>26</v>
      </c>
    </row>
    <row r="1842" spans="1:4" x14ac:dyDescent="0.25">
      <c r="A1842" s="45" t="s">
        <v>1870</v>
      </c>
      <c r="B1842" s="46" t="s">
        <v>14006</v>
      </c>
      <c r="C1842">
        <v>3</v>
      </c>
      <c r="D1842">
        <v>26</v>
      </c>
    </row>
    <row r="1843" spans="1:4" x14ac:dyDescent="0.25">
      <c r="A1843" s="45" t="s">
        <v>1871</v>
      </c>
      <c r="B1843" s="46" t="s">
        <v>14007</v>
      </c>
      <c r="C1843">
        <v>3</v>
      </c>
      <c r="D1843">
        <v>26</v>
      </c>
    </row>
    <row r="1844" spans="1:4" x14ac:dyDescent="0.25">
      <c r="A1844" s="45" t="s">
        <v>1872</v>
      </c>
      <c r="B1844" s="46" t="s">
        <v>14008</v>
      </c>
      <c r="C1844">
        <v>3</v>
      </c>
      <c r="D1844">
        <v>26</v>
      </c>
    </row>
    <row r="1845" spans="1:4" x14ac:dyDescent="0.25">
      <c r="A1845" s="45" t="s">
        <v>1873</v>
      </c>
      <c r="B1845" s="46" t="s">
        <v>14009</v>
      </c>
      <c r="C1845">
        <v>3</v>
      </c>
      <c r="D1845">
        <v>26</v>
      </c>
    </row>
    <row r="1846" spans="1:4" x14ac:dyDescent="0.25">
      <c r="A1846" s="45" t="s">
        <v>1874</v>
      </c>
      <c r="B1846" s="46" t="s">
        <v>14010</v>
      </c>
      <c r="C1846">
        <v>3</v>
      </c>
      <c r="D1846">
        <v>26</v>
      </c>
    </row>
    <row r="1847" spans="1:4" x14ac:dyDescent="0.25">
      <c r="A1847" s="45" t="s">
        <v>1875</v>
      </c>
      <c r="B1847" s="46" t="s">
        <v>14011</v>
      </c>
      <c r="C1847">
        <v>3</v>
      </c>
      <c r="D1847">
        <v>26</v>
      </c>
    </row>
    <row r="1848" spans="1:4" x14ac:dyDescent="0.25">
      <c r="A1848" s="45" t="s">
        <v>1876</v>
      </c>
      <c r="B1848" s="46" t="s">
        <v>14012</v>
      </c>
      <c r="C1848">
        <v>3</v>
      </c>
      <c r="D1848">
        <v>26</v>
      </c>
    </row>
    <row r="1849" spans="1:4" x14ac:dyDescent="0.25">
      <c r="A1849" s="45" t="s">
        <v>1877</v>
      </c>
      <c r="B1849" s="46" t="s">
        <v>14013</v>
      </c>
      <c r="C1849">
        <v>3</v>
      </c>
      <c r="D1849">
        <v>26</v>
      </c>
    </row>
    <row r="1850" spans="1:4" x14ac:dyDescent="0.25">
      <c r="A1850" s="45" t="s">
        <v>1878</v>
      </c>
      <c r="B1850" s="46" t="s">
        <v>14014</v>
      </c>
      <c r="C1850">
        <v>3</v>
      </c>
      <c r="D1850">
        <v>26</v>
      </c>
    </row>
    <row r="1851" spans="1:4" x14ac:dyDescent="0.25">
      <c r="A1851" s="45" t="s">
        <v>1879</v>
      </c>
      <c r="B1851" s="46" t="s">
        <v>14015</v>
      </c>
      <c r="C1851">
        <v>3</v>
      </c>
      <c r="D1851">
        <v>26</v>
      </c>
    </row>
    <row r="1852" spans="1:4" x14ac:dyDescent="0.25">
      <c r="A1852" s="45" t="s">
        <v>1880</v>
      </c>
      <c r="B1852" s="46" t="s">
        <v>14016</v>
      </c>
      <c r="C1852">
        <v>3</v>
      </c>
      <c r="D1852">
        <v>25</v>
      </c>
    </row>
    <row r="1853" spans="1:4" x14ac:dyDescent="0.25">
      <c r="A1853" s="45" t="s">
        <v>1881</v>
      </c>
      <c r="B1853" s="46" t="s">
        <v>19616</v>
      </c>
      <c r="C1853">
        <v>3</v>
      </c>
      <c r="D1853">
        <v>26</v>
      </c>
    </row>
    <row r="1854" spans="1:4" x14ac:dyDescent="0.25">
      <c r="A1854" s="45" t="s">
        <v>1882</v>
      </c>
      <c r="B1854" s="46" t="s">
        <v>19617</v>
      </c>
      <c r="C1854">
        <v>3</v>
      </c>
      <c r="D1854">
        <v>26</v>
      </c>
    </row>
    <row r="1855" spans="1:4" x14ac:dyDescent="0.25">
      <c r="A1855" s="45" t="s">
        <v>1883</v>
      </c>
      <c r="B1855" s="46" t="s">
        <v>19618</v>
      </c>
      <c r="C1855">
        <v>3</v>
      </c>
      <c r="D1855">
        <v>27</v>
      </c>
    </row>
    <row r="1856" spans="1:4" x14ac:dyDescent="0.25">
      <c r="A1856" s="45" t="s">
        <v>1884</v>
      </c>
      <c r="B1856" s="46" t="s">
        <v>14017</v>
      </c>
      <c r="C1856">
        <v>3</v>
      </c>
      <c r="D1856">
        <v>27</v>
      </c>
    </row>
    <row r="1857" spans="1:4" x14ac:dyDescent="0.25">
      <c r="A1857" s="45" t="s">
        <v>1885</v>
      </c>
      <c r="B1857" s="46" t="s">
        <v>14018</v>
      </c>
      <c r="C1857">
        <v>3</v>
      </c>
      <c r="D1857">
        <v>27</v>
      </c>
    </row>
    <row r="1858" spans="1:4" x14ac:dyDescent="0.25">
      <c r="A1858" s="45" t="s">
        <v>1886</v>
      </c>
      <c r="B1858" s="46" t="s">
        <v>14019</v>
      </c>
      <c r="C1858">
        <v>3</v>
      </c>
      <c r="D1858">
        <v>27</v>
      </c>
    </row>
    <row r="1859" spans="1:4" x14ac:dyDescent="0.25">
      <c r="A1859" s="45" t="s">
        <v>1887</v>
      </c>
      <c r="B1859" s="46" t="s">
        <v>14020</v>
      </c>
      <c r="C1859">
        <v>3</v>
      </c>
      <c r="D1859">
        <v>27</v>
      </c>
    </row>
    <row r="1860" spans="1:4" x14ac:dyDescent="0.25">
      <c r="A1860" s="45" t="s">
        <v>1888</v>
      </c>
      <c r="B1860" s="46" t="s">
        <v>14021</v>
      </c>
      <c r="C1860">
        <v>3</v>
      </c>
      <c r="D1860">
        <v>27</v>
      </c>
    </row>
    <row r="1861" spans="1:4" x14ac:dyDescent="0.25">
      <c r="A1861" s="45" t="s">
        <v>1889</v>
      </c>
      <c r="B1861" s="46" t="s">
        <v>14022</v>
      </c>
      <c r="C1861">
        <v>3</v>
      </c>
      <c r="D1861">
        <v>27</v>
      </c>
    </row>
    <row r="1862" spans="1:4" x14ac:dyDescent="0.25">
      <c r="A1862" s="45" t="s">
        <v>1890</v>
      </c>
      <c r="B1862" s="46" t="s">
        <v>14023</v>
      </c>
      <c r="C1862">
        <v>3</v>
      </c>
      <c r="D1862">
        <v>27</v>
      </c>
    </row>
    <row r="1863" spans="1:4" x14ac:dyDescent="0.25">
      <c r="A1863" s="45" t="s">
        <v>1891</v>
      </c>
      <c r="B1863" s="46" t="s">
        <v>19619</v>
      </c>
      <c r="C1863">
        <v>3</v>
      </c>
      <c r="D1863">
        <v>27</v>
      </c>
    </row>
    <row r="1864" spans="1:4" x14ac:dyDescent="0.25">
      <c r="A1864" s="45" t="s">
        <v>1892</v>
      </c>
      <c r="B1864" s="46" t="s">
        <v>14024</v>
      </c>
      <c r="C1864">
        <v>3</v>
      </c>
      <c r="D1864">
        <v>27</v>
      </c>
    </row>
    <row r="1865" spans="1:4" x14ac:dyDescent="0.25">
      <c r="A1865" s="45" t="s">
        <v>1893</v>
      </c>
      <c r="B1865" s="46" t="s">
        <v>14025</v>
      </c>
      <c r="C1865">
        <v>3</v>
      </c>
      <c r="D1865">
        <v>27</v>
      </c>
    </row>
    <row r="1866" spans="1:4" x14ac:dyDescent="0.25">
      <c r="A1866" s="45" t="s">
        <v>1894</v>
      </c>
      <c r="B1866" s="46" t="s">
        <v>14026</v>
      </c>
      <c r="C1866">
        <v>3</v>
      </c>
      <c r="D1866">
        <v>27</v>
      </c>
    </row>
    <row r="1867" spans="1:4" x14ac:dyDescent="0.25">
      <c r="A1867" s="45" t="s">
        <v>1895</v>
      </c>
      <c r="B1867" s="46" t="s">
        <v>14027</v>
      </c>
      <c r="C1867">
        <v>3</v>
      </c>
      <c r="D1867">
        <v>27</v>
      </c>
    </row>
    <row r="1868" spans="1:4" x14ac:dyDescent="0.25">
      <c r="A1868" s="45" t="s">
        <v>1896</v>
      </c>
      <c r="B1868" s="46" t="s">
        <v>14028</v>
      </c>
      <c r="C1868">
        <v>3</v>
      </c>
      <c r="D1868">
        <v>27</v>
      </c>
    </row>
    <row r="1869" spans="1:4" x14ac:dyDescent="0.25">
      <c r="A1869" s="45" t="s">
        <v>1897</v>
      </c>
      <c r="B1869" s="46" t="s">
        <v>14029</v>
      </c>
      <c r="C1869">
        <v>3</v>
      </c>
      <c r="D1869">
        <v>27</v>
      </c>
    </row>
    <row r="1870" spans="1:4" x14ac:dyDescent="0.25">
      <c r="A1870" s="45" t="s">
        <v>1898</v>
      </c>
      <c r="B1870" s="46" t="s">
        <v>14030</v>
      </c>
      <c r="C1870">
        <v>3</v>
      </c>
      <c r="D1870">
        <v>27</v>
      </c>
    </row>
    <row r="1871" spans="1:4" x14ac:dyDescent="0.25">
      <c r="A1871" s="45" t="s">
        <v>1899</v>
      </c>
      <c r="B1871" s="46" t="s">
        <v>19620</v>
      </c>
      <c r="C1871">
        <v>3</v>
      </c>
      <c r="D1871">
        <v>27</v>
      </c>
    </row>
    <row r="1872" spans="1:4" x14ac:dyDescent="0.25">
      <c r="A1872" s="45" t="s">
        <v>1900</v>
      </c>
      <c r="B1872" s="46" t="s">
        <v>14031</v>
      </c>
      <c r="C1872">
        <v>3</v>
      </c>
      <c r="D1872">
        <v>27</v>
      </c>
    </row>
    <row r="1873" spans="1:4" x14ac:dyDescent="0.25">
      <c r="A1873" s="45" t="s">
        <v>1901</v>
      </c>
      <c r="B1873" s="46" t="s">
        <v>14032</v>
      </c>
      <c r="C1873">
        <v>3</v>
      </c>
      <c r="D1873">
        <v>27</v>
      </c>
    </row>
    <row r="1874" spans="1:4" x14ac:dyDescent="0.25">
      <c r="A1874" s="45" t="s">
        <v>1902</v>
      </c>
      <c r="B1874" s="46" t="s">
        <v>14033</v>
      </c>
      <c r="C1874">
        <v>3</v>
      </c>
      <c r="D1874">
        <v>27</v>
      </c>
    </row>
    <row r="1875" spans="1:4" x14ac:dyDescent="0.25">
      <c r="A1875" s="45" t="s">
        <v>1903</v>
      </c>
      <c r="B1875" s="46" t="s">
        <v>14034</v>
      </c>
      <c r="C1875">
        <v>3</v>
      </c>
      <c r="D1875">
        <v>27</v>
      </c>
    </row>
    <row r="1876" spans="1:4" x14ac:dyDescent="0.25">
      <c r="A1876" s="45" t="s">
        <v>1904</v>
      </c>
      <c r="B1876" s="46" t="s">
        <v>14035</v>
      </c>
      <c r="C1876">
        <v>3</v>
      </c>
      <c r="D1876">
        <v>27</v>
      </c>
    </row>
    <row r="1877" spans="1:4" x14ac:dyDescent="0.25">
      <c r="A1877" s="45" t="s">
        <v>1905</v>
      </c>
      <c r="B1877" s="46" t="s">
        <v>14036</v>
      </c>
      <c r="C1877">
        <v>3</v>
      </c>
      <c r="D1877">
        <v>27</v>
      </c>
    </row>
    <row r="1878" spans="1:4" x14ac:dyDescent="0.25">
      <c r="A1878" s="45" t="s">
        <v>1906</v>
      </c>
      <c r="B1878" s="46" t="s">
        <v>19621</v>
      </c>
      <c r="C1878">
        <v>3</v>
      </c>
      <c r="D1878">
        <v>27</v>
      </c>
    </row>
    <row r="1879" spans="1:4" x14ac:dyDescent="0.25">
      <c r="A1879" s="45" t="s">
        <v>1907</v>
      </c>
      <c r="B1879" s="46" t="s">
        <v>14037</v>
      </c>
      <c r="C1879">
        <v>3</v>
      </c>
      <c r="D1879">
        <v>27</v>
      </c>
    </row>
    <row r="1880" spans="1:4" x14ac:dyDescent="0.25">
      <c r="A1880" s="45" t="s">
        <v>1908</v>
      </c>
      <c r="B1880" s="46" t="s">
        <v>14038</v>
      </c>
      <c r="C1880">
        <v>3</v>
      </c>
      <c r="D1880">
        <v>27</v>
      </c>
    </row>
    <row r="1881" spans="1:4" x14ac:dyDescent="0.25">
      <c r="A1881" s="45" t="s">
        <v>1909</v>
      </c>
      <c r="B1881" s="46" t="s">
        <v>14039</v>
      </c>
      <c r="C1881">
        <v>3</v>
      </c>
      <c r="D1881">
        <v>27</v>
      </c>
    </row>
    <row r="1882" spans="1:4" x14ac:dyDescent="0.25">
      <c r="A1882" s="45" t="s">
        <v>1910</v>
      </c>
      <c r="B1882" s="46" t="s">
        <v>14040</v>
      </c>
      <c r="C1882">
        <v>3</v>
      </c>
      <c r="D1882">
        <v>27</v>
      </c>
    </row>
    <row r="1883" spans="1:4" x14ac:dyDescent="0.25">
      <c r="A1883" s="45" t="s">
        <v>1911</v>
      </c>
      <c r="B1883" s="46" t="s">
        <v>14041</v>
      </c>
      <c r="C1883">
        <v>3</v>
      </c>
      <c r="D1883">
        <v>27</v>
      </c>
    </row>
    <row r="1884" spans="1:4" x14ac:dyDescent="0.25">
      <c r="A1884" s="45" t="s">
        <v>1912</v>
      </c>
      <c r="B1884" s="46" t="s">
        <v>14042</v>
      </c>
      <c r="C1884">
        <v>3</v>
      </c>
      <c r="D1884">
        <v>27</v>
      </c>
    </row>
    <row r="1885" spans="1:4" x14ac:dyDescent="0.25">
      <c r="A1885" s="45" t="s">
        <v>1913</v>
      </c>
      <c r="B1885" s="46" t="s">
        <v>14043</v>
      </c>
      <c r="C1885">
        <v>3</v>
      </c>
      <c r="D1885">
        <v>27</v>
      </c>
    </row>
    <row r="1886" spans="1:4" x14ac:dyDescent="0.25">
      <c r="A1886" s="45" t="s">
        <v>1914</v>
      </c>
      <c r="B1886" s="46" t="s">
        <v>14044</v>
      </c>
      <c r="C1886">
        <v>3</v>
      </c>
      <c r="D1886">
        <v>27</v>
      </c>
    </row>
    <row r="1887" spans="1:4" x14ac:dyDescent="0.25">
      <c r="A1887" s="45" t="s">
        <v>1915</v>
      </c>
      <c r="B1887" s="46" t="s">
        <v>14045</v>
      </c>
      <c r="C1887">
        <v>3</v>
      </c>
      <c r="D1887">
        <v>27</v>
      </c>
    </row>
    <row r="1888" spans="1:4" x14ac:dyDescent="0.25">
      <c r="A1888" s="45" t="s">
        <v>1916</v>
      </c>
      <c r="B1888" s="46" t="s">
        <v>14046</v>
      </c>
      <c r="C1888">
        <v>3</v>
      </c>
      <c r="D1888">
        <v>27</v>
      </c>
    </row>
    <row r="1889" spans="1:4" x14ac:dyDescent="0.25">
      <c r="A1889" s="45" t="s">
        <v>1917</v>
      </c>
      <c r="B1889" s="46" t="s">
        <v>14047</v>
      </c>
      <c r="C1889">
        <v>3</v>
      </c>
      <c r="D1889">
        <v>27</v>
      </c>
    </row>
    <row r="1890" spans="1:4" x14ac:dyDescent="0.25">
      <c r="A1890" s="45" t="s">
        <v>1918</v>
      </c>
      <c r="B1890" s="46" t="s">
        <v>14048</v>
      </c>
      <c r="C1890">
        <v>3</v>
      </c>
      <c r="D1890">
        <v>27</v>
      </c>
    </row>
    <row r="1891" spans="1:4" x14ac:dyDescent="0.25">
      <c r="A1891" s="45" t="s">
        <v>1919</v>
      </c>
      <c r="B1891" s="46" t="s">
        <v>14049</v>
      </c>
      <c r="C1891">
        <v>3</v>
      </c>
      <c r="D1891">
        <v>27</v>
      </c>
    </row>
    <row r="1892" spans="1:4" x14ac:dyDescent="0.25">
      <c r="A1892" s="45" t="s">
        <v>1920</v>
      </c>
      <c r="B1892" s="46" t="s">
        <v>14050</v>
      </c>
      <c r="C1892">
        <v>3</v>
      </c>
      <c r="D1892">
        <v>27</v>
      </c>
    </row>
    <row r="1893" spans="1:4" x14ac:dyDescent="0.25">
      <c r="A1893" s="45" t="s">
        <v>1921</v>
      </c>
      <c r="B1893" s="46" t="s">
        <v>14051</v>
      </c>
      <c r="C1893">
        <v>3</v>
      </c>
      <c r="D1893">
        <v>27</v>
      </c>
    </row>
    <row r="1894" spans="1:4" x14ac:dyDescent="0.25">
      <c r="A1894" s="45" t="s">
        <v>1922</v>
      </c>
      <c r="B1894" s="46" t="s">
        <v>14052</v>
      </c>
      <c r="C1894">
        <v>3</v>
      </c>
      <c r="D1894">
        <v>27</v>
      </c>
    </row>
    <row r="1895" spans="1:4" x14ac:dyDescent="0.25">
      <c r="A1895" s="45" t="s">
        <v>1923</v>
      </c>
      <c r="B1895" s="46" t="s">
        <v>14053</v>
      </c>
      <c r="C1895">
        <v>3</v>
      </c>
      <c r="D1895">
        <v>27</v>
      </c>
    </row>
    <row r="1896" spans="1:4" x14ac:dyDescent="0.25">
      <c r="A1896" s="45" t="s">
        <v>1924</v>
      </c>
      <c r="B1896" s="46" t="s">
        <v>14054</v>
      </c>
      <c r="C1896">
        <v>3</v>
      </c>
      <c r="D1896">
        <v>27</v>
      </c>
    </row>
    <row r="1897" spans="1:4" x14ac:dyDescent="0.25">
      <c r="A1897" s="45" t="s">
        <v>1925</v>
      </c>
      <c r="B1897" s="46" t="s">
        <v>14055</v>
      </c>
      <c r="C1897">
        <v>3</v>
      </c>
      <c r="D1897">
        <v>27</v>
      </c>
    </row>
    <row r="1898" spans="1:4" x14ac:dyDescent="0.25">
      <c r="A1898" s="45" t="s">
        <v>1926</v>
      </c>
      <c r="B1898" s="46" t="s">
        <v>14056</v>
      </c>
      <c r="C1898">
        <v>3</v>
      </c>
      <c r="D1898">
        <v>27</v>
      </c>
    </row>
    <row r="1899" spans="1:4" x14ac:dyDescent="0.25">
      <c r="A1899" s="45" t="s">
        <v>1927</v>
      </c>
      <c r="B1899" s="46" t="s">
        <v>14057</v>
      </c>
      <c r="C1899">
        <v>3</v>
      </c>
      <c r="D1899">
        <v>27</v>
      </c>
    </row>
    <row r="1900" spans="1:4" x14ac:dyDescent="0.25">
      <c r="A1900" s="45" t="s">
        <v>1928</v>
      </c>
      <c r="B1900" s="46" t="s">
        <v>14058</v>
      </c>
      <c r="C1900">
        <v>3</v>
      </c>
      <c r="D1900">
        <v>27</v>
      </c>
    </row>
    <row r="1901" spans="1:4" x14ac:dyDescent="0.25">
      <c r="A1901" s="45" t="s">
        <v>1929</v>
      </c>
      <c r="B1901" s="46" t="s">
        <v>14059</v>
      </c>
      <c r="C1901">
        <v>3</v>
      </c>
      <c r="D1901">
        <v>27</v>
      </c>
    </row>
    <row r="1902" spans="1:4" x14ac:dyDescent="0.25">
      <c r="A1902" s="45" t="s">
        <v>1930</v>
      </c>
      <c r="B1902" s="46" t="s">
        <v>14060</v>
      </c>
      <c r="C1902">
        <v>3</v>
      </c>
      <c r="D1902">
        <v>27</v>
      </c>
    </row>
    <row r="1903" spans="1:4" x14ac:dyDescent="0.25">
      <c r="A1903" s="45" t="s">
        <v>1931</v>
      </c>
      <c r="B1903" s="46" t="s">
        <v>19622</v>
      </c>
      <c r="C1903">
        <v>3</v>
      </c>
      <c r="D1903">
        <v>27</v>
      </c>
    </row>
    <row r="1904" spans="1:4" x14ac:dyDescent="0.25">
      <c r="A1904" s="45" t="s">
        <v>1932</v>
      </c>
      <c r="B1904" s="46" t="s">
        <v>14061</v>
      </c>
      <c r="C1904">
        <v>3</v>
      </c>
      <c r="D1904">
        <v>27</v>
      </c>
    </row>
    <row r="1905" spans="1:4" x14ac:dyDescent="0.25">
      <c r="A1905" s="45" t="s">
        <v>1933</v>
      </c>
      <c r="B1905" s="46" t="s">
        <v>14062</v>
      </c>
      <c r="C1905">
        <v>3</v>
      </c>
      <c r="D1905">
        <v>27</v>
      </c>
    </row>
    <row r="1906" spans="1:4" x14ac:dyDescent="0.25">
      <c r="A1906" s="45" t="s">
        <v>1934</v>
      </c>
      <c r="B1906" s="46" t="s">
        <v>14063</v>
      </c>
      <c r="C1906">
        <v>3</v>
      </c>
      <c r="D1906">
        <v>27</v>
      </c>
    </row>
    <row r="1907" spans="1:4" x14ac:dyDescent="0.25">
      <c r="A1907" s="45" t="s">
        <v>1935</v>
      </c>
      <c r="B1907" s="46" t="s">
        <v>14064</v>
      </c>
      <c r="C1907">
        <v>3</v>
      </c>
      <c r="D1907">
        <v>27</v>
      </c>
    </row>
    <row r="1908" spans="1:4" x14ac:dyDescent="0.25">
      <c r="A1908" s="45" t="s">
        <v>1936</v>
      </c>
      <c r="B1908" s="46" t="s">
        <v>14065</v>
      </c>
      <c r="C1908">
        <v>3</v>
      </c>
      <c r="D1908">
        <v>27</v>
      </c>
    </row>
    <row r="1909" spans="1:4" x14ac:dyDescent="0.25">
      <c r="A1909" s="45" t="s">
        <v>1937</v>
      </c>
      <c r="B1909" s="46" t="s">
        <v>14066</v>
      </c>
      <c r="C1909">
        <v>3</v>
      </c>
      <c r="D1909">
        <v>27</v>
      </c>
    </row>
    <row r="1910" spans="1:4" x14ac:dyDescent="0.25">
      <c r="A1910" s="45" t="s">
        <v>1938</v>
      </c>
      <c r="B1910" s="46" t="s">
        <v>14067</v>
      </c>
      <c r="C1910">
        <v>3</v>
      </c>
      <c r="D1910">
        <v>27</v>
      </c>
    </row>
    <row r="1911" spans="1:4" x14ac:dyDescent="0.25">
      <c r="A1911" s="45" t="s">
        <v>1939</v>
      </c>
      <c r="B1911" s="46" t="s">
        <v>14068</v>
      </c>
      <c r="C1911">
        <v>3</v>
      </c>
      <c r="D1911">
        <v>27</v>
      </c>
    </row>
    <row r="1912" spans="1:4" x14ac:dyDescent="0.25">
      <c r="A1912" s="45" t="s">
        <v>1940</v>
      </c>
      <c r="B1912" s="46" t="s">
        <v>14069</v>
      </c>
      <c r="C1912">
        <v>3</v>
      </c>
      <c r="D1912">
        <v>28</v>
      </c>
    </row>
    <row r="1913" spans="1:4" x14ac:dyDescent="0.25">
      <c r="A1913" s="45" t="s">
        <v>1941</v>
      </c>
      <c r="B1913" s="46" t="s">
        <v>14070</v>
      </c>
      <c r="C1913">
        <v>3</v>
      </c>
      <c r="D1913">
        <v>28</v>
      </c>
    </row>
    <row r="1914" spans="1:4" x14ac:dyDescent="0.25">
      <c r="A1914" s="45" t="s">
        <v>1942</v>
      </c>
      <c r="B1914" s="46" t="s">
        <v>14071</v>
      </c>
      <c r="C1914">
        <v>3</v>
      </c>
      <c r="D1914">
        <v>28</v>
      </c>
    </row>
    <row r="1915" spans="1:4" x14ac:dyDescent="0.25">
      <c r="A1915" s="45" t="s">
        <v>1943</v>
      </c>
      <c r="B1915" s="46" t="s">
        <v>14072</v>
      </c>
      <c r="C1915">
        <v>3</v>
      </c>
      <c r="D1915">
        <v>28</v>
      </c>
    </row>
    <row r="1916" spans="1:4" x14ac:dyDescent="0.25">
      <c r="A1916" s="45" t="s">
        <v>1944</v>
      </c>
      <c r="B1916" s="46" t="s">
        <v>14073</v>
      </c>
      <c r="C1916">
        <v>3</v>
      </c>
      <c r="D1916">
        <v>26</v>
      </c>
    </row>
    <row r="1917" spans="1:4" x14ac:dyDescent="0.25">
      <c r="A1917" s="45" t="s">
        <v>1945</v>
      </c>
      <c r="B1917" s="46" t="s">
        <v>14074</v>
      </c>
      <c r="C1917">
        <v>3</v>
      </c>
      <c r="D1917">
        <v>28</v>
      </c>
    </row>
    <row r="1918" spans="1:4" x14ac:dyDescent="0.25">
      <c r="A1918" s="45" t="s">
        <v>1946</v>
      </c>
      <c r="B1918" s="46" t="s">
        <v>14075</v>
      </c>
      <c r="C1918">
        <v>3</v>
      </c>
      <c r="D1918">
        <v>28</v>
      </c>
    </row>
    <row r="1919" spans="1:4" x14ac:dyDescent="0.25">
      <c r="A1919" s="45" t="s">
        <v>1947</v>
      </c>
      <c r="B1919" s="46" t="s">
        <v>14076</v>
      </c>
      <c r="C1919">
        <v>3</v>
      </c>
      <c r="D1919">
        <v>28</v>
      </c>
    </row>
    <row r="1920" spans="1:4" x14ac:dyDescent="0.25">
      <c r="A1920" s="45" t="s">
        <v>1948</v>
      </c>
      <c r="B1920" s="46" t="s">
        <v>14077</v>
      </c>
      <c r="C1920">
        <v>3</v>
      </c>
      <c r="D1920">
        <v>28</v>
      </c>
    </row>
    <row r="1921" spans="1:4" x14ac:dyDescent="0.25">
      <c r="A1921" s="45" t="s">
        <v>1949</v>
      </c>
      <c r="B1921" s="46" t="s">
        <v>14078</v>
      </c>
      <c r="C1921">
        <v>3</v>
      </c>
      <c r="D1921">
        <v>28</v>
      </c>
    </row>
    <row r="1922" spans="1:4" x14ac:dyDescent="0.25">
      <c r="A1922" s="45" t="s">
        <v>1950</v>
      </c>
      <c r="B1922" s="46" t="s">
        <v>14079</v>
      </c>
      <c r="C1922">
        <v>3</v>
      </c>
      <c r="D1922">
        <v>28</v>
      </c>
    </row>
    <row r="1923" spans="1:4" x14ac:dyDescent="0.25">
      <c r="A1923" s="45" t="s">
        <v>1951</v>
      </c>
      <c r="B1923" s="46" t="s">
        <v>14080</v>
      </c>
      <c r="C1923">
        <v>3</v>
      </c>
      <c r="D1923">
        <v>28</v>
      </c>
    </row>
    <row r="1924" spans="1:4" x14ac:dyDescent="0.25">
      <c r="A1924" s="45" t="s">
        <v>1952</v>
      </c>
      <c r="B1924" s="46" t="s">
        <v>14081</v>
      </c>
      <c r="C1924">
        <v>3</v>
      </c>
      <c r="D1924">
        <v>28</v>
      </c>
    </row>
    <row r="1925" spans="1:4" x14ac:dyDescent="0.25">
      <c r="A1925" s="45" t="s">
        <v>1953</v>
      </c>
      <c r="B1925" s="46" t="s">
        <v>14082</v>
      </c>
      <c r="C1925">
        <v>3</v>
      </c>
      <c r="D1925">
        <v>28</v>
      </c>
    </row>
    <row r="1926" spans="1:4" x14ac:dyDescent="0.25">
      <c r="A1926" s="45" t="s">
        <v>1954</v>
      </c>
      <c r="B1926" s="46" t="s">
        <v>14083</v>
      </c>
      <c r="C1926">
        <v>3</v>
      </c>
      <c r="D1926">
        <v>28</v>
      </c>
    </row>
    <row r="1927" spans="1:4" x14ac:dyDescent="0.25">
      <c r="A1927" s="45" t="s">
        <v>1955</v>
      </c>
      <c r="B1927" s="46" t="s">
        <v>14084</v>
      </c>
      <c r="C1927">
        <v>3</v>
      </c>
      <c r="D1927">
        <v>28</v>
      </c>
    </row>
    <row r="1928" spans="1:4" x14ac:dyDescent="0.25">
      <c r="A1928" s="45" t="s">
        <v>1956</v>
      </c>
      <c r="B1928" s="46" t="s">
        <v>14085</v>
      </c>
      <c r="C1928">
        <v>3</v>
      </c>
      <c r="D1928">
        <v>28</v>
      </c>
    </row>
    <row r="1929" spans="1:4" x14ac:dyDescent="0.25">
      <c r="A1929" s="45" t="s">
        <v>1957</v>
      </c>
      <c r="B1929" s="46" t="s">
        <v>14086</v>
      </c>
      <c r="C1929">
        <v>3</v>
      </c>
      <c r="D1929">
        <v>28</v>
      </c>
    </row>
    <row r="1930" spans="1:4" x14ac:dyDescent="0.25">
      <c r="A1930" s="45" t="s">
        <v>1958</v>
      </c>
      <c r="B1930" s="46" t="s">
        <v>19623</v>
      </c>
      <c r="C1930">
        <v>3</v>
      </c>
      <c r="D1930">
        <v>28</v>
      </c>
    </row>
    <row r="1931" spans="1:4" x14ac:dyDescent="0.25">
      <c r="A1931" s="45" t="s">
        <v>1959</v>
      </c>
      <c r="B1931" s="46" t="s">
        <v>14087</v>
      </c>
      <c r="C1931">
        <v>3</v>
      </c>
      <c r="D1931">
        <v>28</v>
      </c>
    </row>
    <row r="1932" spans="1:4" x14ac:dyDescent="0.25">
      <c r="A1932" s="45" t="s">
        <v>1960</v>
      </c>
      <c r="B1932" s="46" t="s">
        <v>19624</v>
      </c>
      <c r="C1932">
        <v>3</v>
      </c>
      <c r="D1932">
        <v>28</v>
      </c>
    </row>
    <row r="1933" spans="1:4" x14ac:dyDescent="0.25">
      <c r="A1933" s="45" t="s">
        <v>1961</v>
      </c>
      <c r="B1933" s="46" t="s">
        <v>19625</v>
      </c>
      <c r="C1933">
        <v>3</v>
      </c>
      <c r="D1933">
        <v>26</v>
      </c>
    </row>
    <row r="1934" spans="1:4" x14ac:dyDescent="0.25">
      <c r="A1934" s="45" t="s">
        <v>1962</v>
      </c>
      <c r="B1934" s="46" t="s">
        <v>14088</v>
      </c>
      <c r="C1934">
        <v>3</v>
      </c>
      <c r="D1934">
        <v>28</v>
      </c>
    </row>
    <row r="1935" spans="1:4" x14ac:dyDescent="0.25">
      <c r="A1935" s="45" t="s">
        <v>1963</v>
      </c>
      <c r="B1935" s="46" t="s">
        <v>14089</v>
      </c>
      <c r="C1935">
        <v>3</v>
      </c>
      <c r="D1935">
        <v>28</v>
      </c>
    </row>
    <row r="1936" spans="1:4" x14ac:dyDescent="0.25">
      <c r="A1936" s="45" t="s">
        <v>1964</v>
      </c>
      <c r="B1936" s="46" t="s">
        <v>19626</v>
      </c>
      <c r="C1936">
        <v>3</v>
      </c>
      <c r="D1936">
        <v>28</v>
      </c>
    </row>
    <row r="1937" spans="1:4" x14ac:dyDescent="0.25">
      <c r="A1937" s="45" t="s">
        <v>1965</v>
      </c>
      <c r="B1937" s="46" t="s">
        <v>14090</v>
      </c>
      <c r="C1937">
        <v>3</v>
      </c>
      <c r="D1937">
        <v>28</v>
      </c>
    </row>
    <row r="1938" spans="1:4" x14ac:dyDescent="0.25">
      <c r="A1938" s="45" t="s">
        <v>1966</v>
      </c>
      <c r="B1938" s="46" t="s">
        <v>14091</v>
      </c>
      <c r="C1938">
        <v>3</v>
      </c>
      <c r="D1938">
        <v>28</v>
      </c>
    </row>
    <row r="1939" spans="1:4" x14ac:dyDescent="0.25">
      <c r="A1939" s="45" t="s">
        <v>1967</v>
      </c>
      <c r="B1939" s="46" t="s">
        <v>19627</v>
      </c>
      <c r="C1939">
        <v>3</v>
      </c>
      <c r="D1939">
        <v>28</v>
      </c>
    </row>
    <row r="1940" spans="1:4" x14ac:dyDescent="0.25">
      <c r="A1940" s="45" t="s">
        <v>1968</v>
      </c>
      <c r="B1940" s="46" t="s">
        <v>19628</v>
      </c>
      <c r="C1940">
        <v>3</v>
      </c>
      <c r="D1940">
        <v>28</v>
      </c>
    </row>
    <row r="1941" spans="1:4" x14ac:dyDescent="0.25">
      <c r="A1941" s="45" t="s">
        <v>1969</v>
      </c>
      <c r="B1941" s="46" t="s">
        <v>14092</v>
      </c>
      <c r="C1941">
        <v>3</v>
      </c>
      <c r="D1941">
        <v>28</v>
      </c>
    </row>
    <row r="1942" spans="1:4" x14ac:dyDescent="0.25">
      <c r="A1942" s="45" t="s">
        <v>1970</v>
      </c>
      <c r="B1942" s="46" t="s">
        <v>14093</v>
      </c>
      <c r="C1942">
        <v>3</v>
      </c>
      <c r="D1942">
        <v>28</v>
      </c>
    </row>
    <row r="1943" spans="1:4" x14ac:dyDescent="0.25">
      <c r="A1943" s="45" t="s">
        <v>1971</v>
      </c>
      <c r="B1943" s="46" t="s">
        <v>14094</v>
      </c>
      <c r="C1943">
        <v>3</v>
      </c>
      <c r="D1943">
        <v>28</v>
      </c>
    </row>
    <row r="1944" spans="1:4" x14ac:dyDescent="0.25">
      <c r="A1944" s="45" t="s">
        <v>1972</v>
      </c>
      <c r="B1944" s="46" t="s">
        <v>14095</v>
      </c>
      <c r="C1944">
        <v>3</v>
      </c>
      <c r="D1944">
        <v>28</v>
      </c>
    </row>
    <row r="1945" spans="1:4" x14ac:dyDescent="0.25">
      <c r="A1945" s="45" t="s">
        <v>1973</v>
      </c>
      <c r="B1945" s="46" t="s">
        <v>14096</v>
      </c>
      <c r="C1945">
        <v>3</v>
      </c>
      <c r="D1945">
        <v>28</v>
      </c>
    </row>
    <row r="1946" spans="1:4" x14ac:dyDescent="0.25">
      <c r="A1946" s="45" t="s">
        <v>1974</v>
      </c>
      <c r="B1946" s="46" t="s">
        <v>14097</v>
      </c>
      <c r="C1946">
        <v>3</v>
      </c>
      <c r="D1946">
        <v>28</v>
      </c>
    </row>
    <row r="1947" spans="1:4" x14ac:dyDescent="0.25">
      <c r="A1947" s="45" t="s">
        <v>1975</v>
      </c>
      <c r="B1947" s="46" t="s">
        <v>14098</v>
      </c>
      <c r="C1947">
        <v>3</v>
      </c>
      <c r="D1947">
        <v>28</v>
      </c>
    </row>
    <row r="1948" spans="1:4" x14ac:dyDescent="0.25">
      <c r="A1948" s="45" t="s">
        <v>1976</v>
      </c>
      <c r="B1948" s="46" t="s">
        <v>14099</v>
      </c>
      <c r="C1948">
        <v>3</v>
      </c>
      <c r="D1948">
        <v>28</v>
      </c>
    </row>
    <row r="1949" spans="1:4" x14ac:dyDescent="0.25">
      <c r="A1949" s="45" t="s">
        <v>1977</v>
      </c>
      <c r="B1949" s="46" t="s">
        <v>14100</v>
      </c>
      <c r="C1949">
        <v>3</v>
      </c>
      <c r="D1949">
        <v>28</v>
      </c>
    </row>
    <row r="1950" spans="1:4" x14ac:dyDescent="0.25">
      <c r="A1950" s="45" t="s">
        <v>1978</v>
      </c>
      <c r="B1950" s="46" t="s">
        <v>14101</v>
      </c>
      <c r="C1950">
        <v>3</v>
      </c>
      <c r="D1950">
        <v>28</v>
      </c>
    </row>
    <row r="1951" spans="1:4" x14ac:dyDescent="0.25">
      <c r="A1951" s="45" t="s">
        <v>1979</v>
      </c>
      <c r="B1951" s="46" t="s">
        <v>19629</v>
      </c>
      <c r="C1951">
        <v>3</v>
      </c>
      <c r="D1951">
        <v>28</v>
      </c>
    </row>
    <row r="1952" spans="1:4" x14ac:dyDescent="0.25">
      <c r="A1952" s="45" t="s">
        <v>1980</v>
      </c>
      <c r="B1952" s="46" t="s">
        <v>14102</v>
      </c>
      <c r="C1952">
        <v>3</v>
      </c>
      <c r="D1952">
        <v>28</v>
      </c>
    </row>
    <row r="1953" spans="1:4" x14ac:dyDescent="0.25">
      <c r="A1953" s="45" t="s">
        <v>1981</v>
      </c>
      <c r="B1953" s="46" t="s">
        <v>14103</v>
      </c>
      <c r="C1953">
        <v>3</v>
      </c>
      <c r="D1953">
        <v>28</v>
      </c>
    </row>
    <row r="1954" spans="1:4" x14ac:dyDescent="0.25">
      <c r="A1954" s="45" t="s">
        <v>1982</v>
      </c>
      <c r="B1954" s="46" t="s">
        <v>14104</v>
      </c>
      <c r="C1954">
        <v>6</v>
      </c>
      <c r="D1954">
        <v>35</v>
      </c>
    </row>
    <row r="1955" spans="1:4" x14ac:dyDescent="0.25">
      <c r="A1955" s="45" t="s">
        <v>1983</v>
      </c>
      <c r="B1955" s="46" t="s">
        <v>14105</v>
      </c>
      <c r="C1955">
        <v>3</v>
      </c>
      <c r="D1955">
        <v>28</v>
      </c>
    </row>
    <row r="1956" spans="1:4" x14ac:dyDescent="0.25">
      <c r="A1956" s="45" t="s">
        <v>1984</v>
      </c>
      <c r="B1956" s="46" t="s">
        <v>14106</v>
      </c>
      <c r="C1956">
        <v>3</v>
      </c>
      <c r="D1956">
        <v>28</v>
      </c>
    </row>
    <row r="1957" spans="1:4" x14ac:dyDescent="0.25">
      <c r="A1957" s="45" t="s">
        <v>1985</v>
      </c>
      <c r="B1957" s="46" t="s">
        <v>14107</v>
      </c>
      <c r="C1957">
        <v>6</v>
      </c>
      <c r="D1957">
        <v>35</v>
      </c>
    </row>
    <row r="1958" spans="1:4" x14ac:dyDescent="0.25">
      <c r="A1958" s="45" t="s">
        <v>1986</v>
      </c>
      <c r="B1958" s="46" t="s">
        <v>14108</v>
      </c>
      <c r="C1958">
        <v>3</v>
      </c>
      <c r="D1958">
        <v>28</v>
      </c>
    </row>
    <row r="1959" spans="1:4" x14ac:dyDescent="0.25">
      <c r="A1959" s="45" t="s">
        <v>1987</v>
      </c>
      <c r="B1959" s="46" t="s">
        <v>14109</v>
      </c>
      <c r="C1959">
        <v>3</v>
      </c>
      <c r="D1959">
        <v>28</v>
      </c>
    </row>
    <row r="1960" spans="1:4" x14ac:dyDescent="0.25">
      <c r="A1960" s="45" t="s">
        <v>1988</v>
      </c>
      <c r="B1960" s="46" t="s">
        <v>19630</v>
      </c>
      <c r="C1960">
        <v>3</v>
      </c>
      <c r="D1960">
        <v>28</v>
      </c>
    </row>
    <row r="1961" spans="1:4" x14ac:dyDescent="0.25">
      <c r="A1961" s="45" t="s">
        <v>1989</v>
      </c>
      <c r="B1961" s="46" t="s">
        <v>14110</v>
      </c>
      <c r="C1961">
        <v>3</v>
      </c>
      <c r="D1961">
        <v>28</v>
      </c>
    </row>
    <row r="1962" spans="1:4" x14ac:dyDescent="0.25">
      <c r="A1962" s="45" t="s">
        <v>1990</v>
      </c>
      <c r="B1962" s="46" t="s">
        <v>14111</v>
      </c>
      <c r="C1962">
        <v>3</v>
      </c>
      <c r="D1962">
        <v>28</v>
      </c>
    </row>
    <row r="1963" spans="1:4" x14ac:dyDescent="0.25">
      <c r="A1963" s="45" t="s">
        <v>1991</v>
      </c>
      <c r="B1963" s="46" t="s">
        <v>14112</v>
      </c>
      <c r="C1963">
        <v>3</v>
      </c>
      <c r="D1963">
        <v>28</v>
      </c>
    </row>
    <row r="1964" spans="1:4" x14ac:dyDescent="0.25">
      <c r="A1964" s="45" t="s">
        <v>1992</v>
      </c>
      <c r="B1964" s="46" t="s">
        <v>14113</v>
      </c>
      <c r="C1964">
        <v>3</v>
      </c>
      <c r="D1964">
        <v>28</v>
      </c>
    </row>
    <row r="1965" spans="1:4" x14ac:dyDescent="0.25">
      <c r="A1965" s="45" t="s">
        <v>1993</v>
      </c>
      <c r="B1965" s="46" t="s">
        <v>19631</v>
      </c>
      <c r="C1965">
        <v>3</v>
      </c>
      <c r="D1965">
        <v>28</v>
      </c>
    </row>
    <row r="1966" spans="1:4" x14ac:dyDescent="0.25">
      <c r="A1966" s="45" t="s">
        <v>1994</v>
      </c>
      <c r="B1966" s="46" t="s">
        <v>14114</v>
      </c>
      <c r="C1966">
        <v>3</v>
      </c>
      <c r="D1966">
        <v>28</v>
      </c>
    </row>
    <row r="1967" spans="1:4" x14ac:dyDescent="0.25">
      <c r="A1967" s="45" t="s">
        <v>1995</v>
      </c>
      <c r="B1967" s="46" t="s">
        <v>14115</v>
      </c>
      <c r="C1967">
        <v>3</v>
      </c>
      <c r="D1967">
        <v>28</v>
      </c>
    </row>
    <row r="1968" spans="1:4" x14ac:dyDescent="0.25">
      <c r="A1968" s="45" t="s">
        <v>1996</v>
      </c>
      <c r="B1968" s="46" t="s">
        <v>14116</v>
      </c>
      <c r="C1968">
        <v>3</v>
      </c>
      <c r="D1968">
        <v>28</v>
      </c>
    </row>
    <row r="1969" spans="1:4" x14ac:dyDescent="0.25">
      <c r="A1969" s="45" t="s">
        <v>1997</v>
      </c>
      <c r="B1969" s="46" t="s">
        <v>14117</v>
      </c>
      <c r="C1969">
        <v>3</v>
      </c>
      <c r="D1969">
        <v>28</v>
      </c>
    </row>
    <row r="1970" spans="1:4" x14ac:dyDescent="0.25">
      <c r="A1970" s="45" t="s">
        <v>1998</v>
      </c>
      <c r="B1970" s="46" t="s">
        <v>14118</v>
      </c>
      <c r="C1970">
        <v>3</v>
      </c>
      <c r="D1970">
        <v>28</v>
      </c>
    </row>
    <row r="1971" spans="1:4" x14ac:dyDescent="0.25">
      <c r="A1971" s="45" t="s">
        <v>1999</v>
      </c>
      <c r="B1971" s="46" t="s">
        <v>14119</v>
      </c>
      <c r="C1971">
        <v>3</v>
      </c>
      <c r="D1971">
        <v>28</v>
      </c>
    </row>
    <row r="1972" spans="1:4" x14ac:dyDescent="0.25">
      <c r="A1972" s="45" t="s">
        <v>2000</v>
      </c>
      <c r="B1972" s="46" t="s">
        <v>14120</v>
      </c>
      <c r="C1972">
        <v>3</v>
      </c>
      <c r="D1972">
        <v>28</v>
      </c>
    </row>
    <row r="1973" spans="1:4" x14ac:dyDescent="0.25">
      <c r="A1973" s="45" t="s">
        <v>2001</v>
      </c>
      <c r="B1973" s="46" t="s">
        <v>14121</v>
      </c>
      <c r="C1973">
        <v>3</v>
      </c>
      <c r="D1973">
        <v>28</v>
      </c>
    </row>
    <row r="1974" spans="1:4" x14ac:dyDescent="0.25">
      <c r="A1974" s="45" t="s">
        <v>2002</v>
      </c>
      <c r="B1974" s="46" t="s">
        <v>14122</v>
      </c>
      <c r="C1974">
        <v>3</v>
      </c>
      <c r="D1974">
        <v>28</v>
      </c>
    </row>
    <row r="1975" spans="1:4" x14ac:dyDescent="0.25">
      <c r="A1975" s="45" t="s">
        <v>2003</v>
      </c>
      <c r="B1975" s="46" t="s">
        <v>14123</v>
      </c>
      <c r="C1975">
        <v>3</v>
      </c>
      <c r="D1975">
        <v>28</v>
      </c>
    </row>
    <row r="1976" spans="1:4" x14ac:dyDescent="0.25">
      <c r="A1976" s="45" t="s">
        <v>2004</v>
      </c>
      <c r="B1976" s="46" t="s">
        <v>14124</v>
      </c>
      <c r="C1976">
        <v>3</v>
      </c>
      <c r="D1976">
        <v>28</v>
      </c>
    </row>
    <row r="1977" spans="1:4" x14ac:dyDescent="0.25">
      <c r="A1977" s="45" t="s">
        <v>2005</v>
      </c>
      <c r="B1977" s="46" t="s">
        <v>14125</v>
      </c>
      <c r="C1977">
        <v>3</v>
      </c>
      <c r="D1977">
        <v>28</v>
      </c>
    </row>
    <row r="1978" spans="1:4" x14ac:dyDescent="0.25">
      <c r="A1978" s="45" t="s">
        <v>2006</v>
      </c>
      <c r="B1978" s="46" t="s">
        <v>14126</v>
      </c>
      <c r="C1978">
        <v>3</v>
      </c>
      <c r="D1978">
        <v>28</v>
      </c>
    </row>
    <row r="1979" spans="1:4" x14ac:dyDescent="0.25">
      <c r="A1979" s="45" t="s">
        <v>2007</v>
      </c>
      <c r="B1979" s="46" t="s">
        <v>14127</v>
      </c>
      <c r="C1979">
        <v>16</v>
      </c>
      <c r="D1979">
        <v>84</v>
      </c>
    </row>
    <row r="1980" spans="1:4" x14ac:dyDescent="0.25">
      <c r="A1980" s="45" t="s">
        <v>2008</v>
      </c>
      <c r="B1980" s="46" t="s">
        <v>14128</v>
      </c>
      <c r="C1980">
        <v>3</v>
      </c>
      <c r="D1980">
        <v>28</v>
      </c>
    </row>
    <row r="1981" spans="1:4" x14ac:dyDescent="0.25">
      <c r="A1981" s="45" t="s">
        <v>2009</v>
      </c>
      <c r="B1981" s="46" t="s">
        <v>14129</v>
      </c>
      <c r="C1981">
        <v>3</v>
      </c>
      <c r="D1981">
        <v>28</v>
      </c>
    </row>
    <row r="1982" spans="1:4" x14ac:dyDescent="0.25">
      <c r="A1982" s="45" t="s">
        <v>2010</v>
      </c>
      <c r="B1982" s="46" t="s">
        <v>14130</v>
      </c>
      <c r="C1982">
        <v>3</v>
      </c>
      <c r="D1982">
        <v>28</v>
      </c>
    </row>
    <row r="1983" spans="1:4" x14ac:dyDescent="0.25">
      <c r="A1983" s="45" t="s">
        <v>2011</v>
      </c>
      <c r="B1983" s="46" t="s">
        <v>19632</v>
      </c>
      <c r="C1983">
        <v>3</v>
      </c>
      <c r="D1983">
        <v>28</v>
      </c>
    </row>
    <row r="1984" spans="1:4" x14ac:dyDescent="0.25">
      <c r="A1984" s="45" t="s">
        <v>2012</v>
      </c>
      <c r="B1984" s="46" t="s">
        <v>14131</v>
      </c>
      <c r="C1984">
        <v>3</v>
      </c>
      <c r="D1984">
        <v>28</v>
      </c>
    </row>
    <row r="1985" spans="1:4" x14ac:dyDescent="0.25">
      <c r="A1985" s="45" t="s">
        <v>2013</v>
      </c>
      <c r="B1985" s="46" t="s">
        <v>14132</v>
      </c>
      <c r="C1985">
        <v>3</v>
      </c>
      <c r="D1985">
        <v>28</v>
      </c>
    </row>
    <row r="1986" spans="1:4" x14ac:dyDescent="0.25">
      <c r="A1986" s="45" t="s">
        <v>2014</v>
      </c>
      <c r="B1986" s="46" t="s">
        <v>14133</v>
      </c>
      <c r="C1986">
        <v>3</v>
      </c>
      <c r="D1986">
        <v>28</v>
      </c>
    </row>
    <row r="1987" spans="1:4" x14ac:dyDescent="0.25">
      <c r="A1987" s="45" t="s">
        <v>2015</v>
      </c>
      <c r="B1987" s="46" t="s">
        <v>14134</v>
      </c>
      <c r="C1987">
        <v>3</v>
      </c>
      <c r="D1987">
        <v>28</v>
      </c>
    </row>
    <row r="1988" spans="1:4" x14ac:dyDescent="0.25">
      <c r="A1988" s="45" t="s">
        <v>2016</v>
      </c>
      <c r="B1988" s="46" t="s">
        <v>14135</v>
      </c>
      <c r="C1988">
        <v>3</v>
      </c>
      <c r="D1988">
        <v>28</v>
      </c>
    </row>
    <row r="1989" spans="1:4" x14ac:dyDescent="0.25">
      <c r="A1989" s="45" t="s">
        <v>2017</v>
      </c>
      <c r="B1989" s="46" t="s">
        <v>14136</v>
      </c>
      <c r="C1989">
        <v>3</v>
      </c>
      <c r="D1989">
        <v>28</v>
      </c>
    </row>
    <row r="1990" spans="1:4" x14ac:dyDescent="0.25">
      <c r="A1990" s="45" t="s">
        <v>2018</v>
      </c>
      <c r="B1990" s="46" t="s">
        <v>14137</v>
      </c>
      <c r="C1990">
        <v>3</v>
      </c>
      <c r="D1990">
        <v>28</v>
      </c>
    </row>
    <row r="1991" spans="1:4" x14ac:dyDescent="0.25">
      <c r="A1991" s="45" t="s">
        <v>2019</v>
      </c>
      <c r="B1991" s="46" t="s">
        <v>19633</v>
      </c>
      <c r="C1991">
        <v>3</v>
      </c>
      <c r="D1991">
        <v>28</v>
      </c>
    </row>
    <row r="1992" spans="1:4" x14ac:dyDescent="0.25">
      <c r="A1992" s="45" t="s">
        <v>2020</v>
      </c>
      <c r="B1992" s="46" t="s">
        <v>14138</v>
      </c>
      <c r="C1992">
        <v>3</v>
      </c>
      <c r="D1992">
        <v>28</v>
      </c>
    </row>
    <row r="1993" spans="1:4" x14ac:dyDescent="0.25">
      <c r="A1993" s="45" t="s">
        <v>2021</v>
      </c>
      <c r="B1993" s="46" t="s">
        <v>14139</v>
      </c>
      <c r="C1993">
        <v>3</v>
      </c>
      <c r="D1993">
        <v>28</v>
      </c>
    </row>
    <row r="1994" spans="1:4" x14ac:dyDescent="0.25">
      <c r="A1994" s="45" t="s">
        <v>2022</v>
      </c>
      <c r="B1994" s="46" t="s">
        <v>14140</v>
      </c>
      <c r="C1994">
        <v>3</v>
      </c>
      <c r="D1994">
        <v>28</v>
      </c>
    </row>
    <row r="1995" spans="1:4" x14ac:dyDescent="0.25">
      <c r="A1995" s="45" t="s">
        <v>2023</v>
      </c>
      <c r="B1995" s="46" t="s">
        <v>14141</v>
      </c>
      <c r="C1995">
        <v>3</v>
      </c>
      <c r="D1995">
        <v>28</v>
      </c>
    </row>
    <row r="1996" spans="1:4" x14ac:dyDescent="0.25">
      <c r="A1996" s="45" t="s">
        <v>2024</v>
      </c>
      <c r="B1996" s="46" t="s">
        <v>14142</v>
      </c>
      <c r="C1996">
        <v>3</v>
      </c>
      <c r="D1996">
        <v>28</v>
      </c>
    </row>
    <row r="1997" spans="1:4" x14ac:dyDescent="0.25">
      <c r="A1997" s="45" t="s">
        <v>2025</v>
      </c>
      <c r="B1997" s="46" t="s">
        <v>14143</v>
      </c>
      <c r="C1997">
        <v>3</v>
      </c>
      <c r="D1997">
        <v>28</v>
      </c>
    </row>
    <row r="1998" spans="1:4" x14ac:dyDescent="0.25">
      <c r="A1998" s="45" t="s">
        <v>2026</v>
      </c>
      <c r="B1998" s="46" t="s">
        <v>14144</v>
      </c>
      <c r="C1998">
        <v>3</v>
      </c>
      <c r="D1998">
        <v>28</v>
      </c>
    </row>
    <row r="1999" spans="1:4" x14ac:dyDescent="0.25">
      <c r="A1999" s="45" t="s">
        <v>2027</v>
      </c>
      <c r="B1999" s="46" t="s">
        <v>14145</v>
      </c>
      <c r="C1999">
        <v>3</v>
      </c>
      <c r="D1999">
        <v>28</v>
      </c>
    </row>
    <row r="2000" spans="1:4" x14ac:dyDescent="0.25">
      <c r="A2000" s="45" t="s">
        <v>2028</v>
      </c>
      <c r="B2000" s="46" t="s">
        <v>14146</v>
      </c>
      <c r="C2000">
        <v>3</v>
      </c>
      <c r="D2000">
        <v>28</v>
      </c>
    </row>
    <row r="2001" spans="1:4" x14ac:dyDescent="0.25">
      <c r="A2001" s="45" t="s">
        <v>2029</v>
      </c>
      <c r="B2001" s="46" t="s">
        <v>14147</v>
      </c>
      <c r="C2001">
        <v>3</v>
      </c>
      <c r="D2001">
        <v>28</v>
      </c>
    </row>
    <row r="2002" spans="1:4" x14ac:dyDescent="0.25">
      <c r="A2002" s="45" t="s">
        <v>2030</v>
      </c>
      <c r="B2002" s="46" t="s">
        <v>14148</v>
      </c>
      <c r="C2002">
        <v>3</v>
      </c>
      <c r="D2002">
        <v>28</v>
      </c>
    </row>
    <row r="2003" spans="1:4" x14ac:dyDescent="0.25">
      <c r="A2003" s="45" t="s">
        <v>2031</v>
      </c>
      <c r="B2003" s="46" t="s">
        <v>14149</v>
      </c>
      <c r="C2003">
        <v>3</v>
      </c>
      <c r="D2003">
        <v>28</v>
      </c>
    </row>
    <row r="2004" spans="1:4" x14ac:dyDescent="0.25">
      <c r="A2004" s="45" t="s">
        <v>2032</v>
      </c>
      <c r="B2004" s="46" t="s">
        <v>14150</v>
      </c>
      <c r="C2004">
        <v>3</v>
      </c>
      <c r="D2004">
        <v>28</v>
      </c>
    </row>
    <row r="2005" spans="1:4" x14ac:dyDescent="0.25">
      <c r="A2005" s="45" t="s">
        <v>2033</v>
      </c>
      <c r="B2005" s="46" t="s">
        <v>14151</v>
      </c>
      <c r="C2005">
        <v>3</v>
      </c>
      <c r="D2005">
        <v>28</v>
      </c>
    </row>
    <row r="2006" spans="1:4" x14ac:dyDescent="0.25">
      <c r="A2006" s="45" t="s">
        <v>2034</v>
      </c>
      <c r="B2006" s="46" t="s">
        <v>19634</v>
      </c>
      <c r="C2006">
        <v>3</v>
      </c>
      <c r="D2006">
        <v>28</v>
      </c>
    </row>
    <row r="2007" spans="1:4" x14ac:dyDescent="0.25">
      <c r="A2007" s="45" t="s">
        <v>2035</v>
      </c>
      <c r="B2007" s="46" t="s">
        <v>14152</v>
      </c>
      <c r="C2007">
        <v>3</v>
      </c>
      <c r="D2007">
        <v>28</v>
      </c>
    </row>
    <row r="2008" spans="1:4" x14ac:dyDescent="0.25">
      <c r="A2008" s="45" t="s">
        <v>2036</v>
      </c>
      <c r="B2008" s="46" t="s">
        <v>14153</v>
      </c>
      <c r="C2008">
        <v>3</v>
      </c>
      <c r="D2008">
        <v>28</v>
      </c>
    </row>
    <row r="2009" spans="1:4" x14ac:dyDescent="0.25">
      <c r="A2009" s="45" t="s">
        <v>2037</v>
      </c>
      <c r="B2009" s="46" t="s">
        <v>14154</v>
      </c>
      <c r="C2009">
        <v>3</v>
      </c>
      <c r="D2009">
        <v>28</v>
      </c>
    </row>
    <row r="2010" spans="1:4" x14ac:dyDescent="0.25">
      <c r="A2010" s="45" t="s">
        <v>2038</v>
      </c>
      <c r="B2010" s="46" t="s">
        <v>14155</v>
      </c>
      <c r="C2010">
        <v>3</v>
      </c>
      <c r="D2010">
        <v>28</v>
      </c>
    </row>
    <row r="2011" spans="1:4" x14ac:dyDescent="0.25">
      <c r="A2011" s="45" t="s">
        <v>2039</v>
      </c>
      <c r="B2011" s="46" t="s">
        <v>14156</v>
      </c>
      <c r="C2011">
        <v>3</v>
      </c>
      <c r="D2011">
        <v>28</v>
      </c>
    </row>
    <row r="2012" spans="1:4" x14ac:dyDescent="0.25">
      <c r="A2012" s="45" t="s">
        <v>2040</v>
      </c>
      <c r="B2012" s="46" t="s">
        <v>14157</v>
      </c>
      <c r="C2012">
        <v>3</v>
      </c>
      <c r="D2012">
        <v>28</v>
      </c>
    </row>
    <row r="2013" spans="1:4" x14ac:dyDescent="0.25">
      <c r="A2013" s="45" t="s">
        <v>2041</v>
      </c>
      <c r="B2013" s="46" t="s">
        <v>19635</v>
      </c>
      <c r="C2013">
        <v>3</v>
      </c>
      <c r="D2013">
        <v>28</v>
      </c>
    </row>
    <row r="2014" spans="1:4" x14ac:dyDescent="0.25">
      <c r="A2014" s="45" t="s">
        <v>2042</v>
      </c>
      <c r="B2014" s="46" t="s">
        <v>14158</v>
      </c>
      <c r="C2014">
        <v>3</v>
      </c>
      <c r="D2014">
        <v>28</v>
      </c>
    </row>
    <row r="2015" spans="1:4" x14ac:dyDescent="0.25">
      <c r="A2015" s="45" t="s">
        <v>2043</v>
      </c>
      <c r="B2015" s="46" t="s">
        <v>14159</v>
      </c>
      <c r="C2015">
        <v>3</v>
      </c>
      <c r="D2015">
        <v>28</v>
      </c>
    </row>
    <row r="2016" spans="1:4" x14ac:dyDescent="0.25">
      <c r="A2016" s="45" t="s">
        <v>2044</v>
      </c>
      <c r="B2016" s="46" t="s">
        <v>14160</v>
      </c>
      <c r="C2016">
        <v>3</v>
      </c>
      <c r="D2016">
        <v>28</v>
      </c>
    </row>
    <row r="2017" spans="1:4" x14ac:dyDescent="0.25">
      <c r="A2017" s="45" t="s">
        <v>2045</v>
      </c>
      <c r="B2017" s="46" t="s">
        <v>14161</v>
      </c>
      <c r="C2017">
        <v>3</v>
      </c>
      <c r="D2017">
        <v>28</v>
      </c>
    </row>
    <row r="2018" spans="1:4" x14ac:dyDescent="0.25">
      <c r="A2018" s="45" t="s">
        <v>2046</v>
      </c>
      <c r="B2018" s="46" t="s">
        <v>14162</v>
      </c>
      <c r="C2018">
        <v>3</v>
      </c>
      <c r="D2018">
        <v>28</v>
      </c>
    </row>
    <row r="2019" spans="1:4" x14ac:dyDescent="0.25">
      <c r="A2019" s="45" t="s">
        <v>2047</v>
      </c>
      <c r="B2019" s="46" t="s">
        <v>14163</v>
      </c>
      <c r="C2019">
        <v>3</v>
      </c>
      <c r="D2019">
        <v>28</v>
      </c>
    </row>
    <row r="2020" spans="1:4" x14ac:dyDescent="0.25">
      <c r="A2020" s="45" t="s">
        <v>2048</v>
      </c>
      <c r="B2020" s="46" t="s">
        <v>19636</v>
      </c>
      <c r="C2020">
        <v>3</v>
      </c>
      <c r="D2020">
        <v>28</v>
      </c>
    </row>
    <row r="2021" spans="1:4" x14ac:dyDescent="0.25">
      <c r="A2021" s="45" t="s">
        <v>2049</v>
      </c>
      <c r="B2021" s="46" t="s">
        <v>19637</v>
      </c>
      <c r="C2021">
        <v>3</v>
      </c>
      <c r="D2021">
        <v>28</v>
      </c>
    </row>
    <row r="2022" spans="1:4" x14ac:dyDescent="0.25">
      <c r="A2022" s="45" t="s">
        <v>2050</v>
      </c>
      <c r="B2022" s="46" t="s">
        <v>14164</v>
      </c>
      <c r="C2022">
        <v>3</v>
      </c>
      <c r="D2022">
        <v>28</v>
      </c>
    </row>
    <row r="2023" spans="1:4" x14ac:dyDescent="0.25">
      <c r="A2023" s="45" t="s">
        <v>2051</v>
      </c>
      <c r="B2023" s="46" t="s">
        <v>14165</v>
      </c>
      <c r="C2023">
        <v>3</v>
      </c>
      <c r="D2023">
        <v>28</v>
      </c>
    </row>
    <row r="2024" spans="1:4" x14ac:dyDescent="0.25">
      <c r="A2024" s="45" t="s">
        <v>2052</v>
      </c>
      <c r="B2024" s="46" t="s">
        <v>14166</v>
      </c>
      <c r="C2024">
        <v>3</v>
      </c>
      <c r="D2024">
        <v>28</v>
      </c>
    </row>
    <row r="2025" spans="1:4" x14ac:dyDescent="0.25">
      <c r="A2025" s="45" t="s">
        <v>2053</v>
      </c>
      <c r="B2025" s="46" t="s">
        <v>14167</v>
      </c>
      <c r="C2025">
        <v>3</v>
      </c>
      <c r="D2025">
        <v>25</v>
      </c>
    </row>
    <row r="2026" spans="1:4" x14ac:dyDescent="0.25">
      <c r="A2026" s="45" t="s">
        <v>2054</v>
      </c>
      <c r="B2026" s="46" t="s">
        <v>14168</v>
      </c>
      <c r="C2026">
        <v>3</v>
      </c>
      <c r="D2026">
        <v>26</v>
      </c>
    </row>
    <row r="2027" spans="1:4" x14ac:dyDescent="0.25">
      <c r="A2027" s="45" t="s">
        <v>2055</v>
      </c>
      <c r="B2027" s="46" t="s">
        <v>14169</v>
      </c>
      <c r="C2027">
        <v>3</v>
      </c>
      <c r="D2027">
        <v>26</v>
      </c>
    </row>
    <row r="2028" spans="1:4" x14ac:dyDescent="0.25">
      <c r="A2028" s="45" t="s">
        <v>2056</v>
      </c>
      <c r="B2028" s="46" t="s">
        <v>14170</v>
      </c>
      <c r="C2028">
        <v>3</v>
      </c>
      <c r="D2028">
        <v>26</v>
      </c>
    </row>
    <row r="2029" spans="1:4" x14ac:dyDescent="0.25">
      <c r="A2029" s="45" t="s">
        <v>2057</v>
      </c>
      <c r="B2029" s="46" t="s">
        <v>14171</v>
      </c>
      <c r="C2029">
        <v>3</v>
      </c>
      <c r="D2029">
        <v>26</v>
      </c>
    </row>
    <row r="2030" spans="1:4" x14ac:dyDescent="0.25">
      <c r="A2030" s="45" t="s">
        <v>2058</v>
      </c>
      <c r="B2030" s="46" t="s">
        <v>14172</v>
      </c>
      <c r="C2030">
        <v>3</v>
      </c>
      <c r="D2030">
        <v>26</v>
      </c>
    </row>
    <row r="2031" spans="1:4" x14ac:dyDescent="0.25">
      <c r="A2031" s="45" t="s">
        <v>2059</v>
      </c>
      <c r="B2031" s="46" t="s">
        <v>14173</v>
      </c>
      <c r="C2031">
        <v>3</v>
      </c>
      <c r="D2031">
        <v>26</v>
      </c>
    </row>
    <row r="2032" spans="1:4" x14ac:dyDescent="0.25">
      <c r="A2032" s="45" t="s">
        <v>2060</v>
      </c>
      <c r="B2032" s="46" t="s">
        <v>19638</v>
      </c>
      <c r="C2032">
        <v>3</v>
      </c>
      <c r="D2032">
        <v>26</v>
      </c>
    </row>
    <row r="2033" spans="1:4" x14ac:dyDescent="0.25">
      <c r="A2033" s="45" t="s">
        <v>2061</v>
      </c>
      <c r="B2033" s="46" t="s">
        <v>19639</v>
      </c>
      <c r="C2033">
        <v>3</v>
      </c>
      <c r="D2033">
        <v>26</v>
      </c>
    </row>
    <row r="2034" spans="1:4" x14ac:dyDescent="0.25">
      <c r="A2034" s="45" t="s">
        <v>2062</v>
      </c>
      <c r="B2034" s="46" t="s">
        <v>19640</v>
      </c>
      <c r="C2034">
        <v>3</v>
      </c>
      <c r="D2034">
        <v>27</v>
      </c>
    </row>
    <row r="2035" spans="1:4" x14ac:dyDescent="0.25">
      <c r="A2035" s="45" t="s">
        <v>2063</v>
      </c>
      <c r="B2035" s="46" t="s">
        <v>19641</v>
      </c>
      <c r="C2035">
        <v>5</v>
      </c>
      <c r="D2035">
        <v>30</v>
      </c>
    </row>
    <row r="2036" spans="1:4" x14ac:dyDescent="0.25">
      <c r="A2036" s="45" t="s">
        <v>2064</v>
      </c>
      <c r="B2036" s="46" t="s">
        <v>19642</v>
      </c>
      <c r="C2036">
        <v>5</v>
      </c>
      <c r="D2036">
        <v>30</v>
      </c>
    </row>
    <row r="2037" spans="1:4" x14ac:dyDescent="0.25">
      <c r="A2037" s="45" t="s">
        <v>2065</v>
      </c>
      <c r="B2037" s="46" t="s">
        <v>19643</v>
      </c>
      <c r="C2037">
        <v>5</v>
      </c>
      <c r="D2037">
        <v>30</v>
      </c>
    </row>
    <row r="2038" spans="1:4" x14ac:dyDescent="0.25">
      <c r="A2038" s="45" t="s">
        <v>2066</v>
      </c>
      <c r="B2038" s="46" t="s">
        <v>19644</v>
      </c>
      <c r="C2038">
        <v>5</v>
      </c>
      <c r="D2038">
        <v>30</v>
      </c>
    </row>
    <row r="2039" spans="1:4" x14ac:dyDescent="0.25">
      <c r="A2039" s="45" t="s">
        <v>2067</v>
      </c>
      <c r="B2039" s="46" t="s">
        <v>19645</v>
      </c>
      <c r="C2039">
        <v>5</v>
      </c>
      <c r="D2039">
        <v>30</v>
      </c>
    </row>
    <row r="2040" spans="1:4" x14ac:dyDescent="0.25">
      <c r="A2040" s="45" t="s">
        <v>2068</v>
      </c>
      <c r="B2040" s="46" t="s">
        <v>14174</v>
      </c>
      <c r="C2040">
        <v>5</v>
      </c>
      <c r="D2040">
        <v>30</v>
      </c>
    </row>
    <row r="2041" spans="1:4" x14ac:dyDescent="0.25">
      <c r="A2041" s="45" t="s">
        <v>2069</v>
      </c>
      <c r="B2041" s="46" t="s">
        <v>14175</v>
      </c>
      <c r="C2041">
        <v>5</v>
      </c>
      <c r="D2041">
        <v>30</v>
      </c>
    </row>
    <row r="2042" spans="1:4" x14ac:dyDescent="0.25">
      <c r="A2042" s="45" t="s">
        <v>2070</v>
      </c>
      <c r="B2042" s="46" t="s">
        <v>14176</v>
      </c>
      <c r="C2042">
        <v>5</v>
      </c>
      <c r="D2042">
        <v>30</v>
      </c>
    </row>
    <row r="2043" spans="1:4" x14ac:dyDescent="0.25">
      <c r="A2043" s="45" t="s">
        <v>2071</v>
      </c>
      <c r="B2043" s="46" t="s">
        <v>14177</v>
      </c>
      <c r="C2043">
        <v>5</v>
      </c>
      <c r="D2043">
        <v>30</v>
      </c>
    </row>
    <row r="2044" spans="1:4" x14ac:dyDescent="0.25">
      <c r="A2044" s="45" t="s">
        <v>2072</v>
      </c>
      <c r="B2044" s="46" t="s">
        <v>14178</v>
      </c>
      <c r="C2044">
        <v>5</v>
      </c>
      <c r="D2044">
        <v>30</v>
      </c>
    </row>
    <row r="2045" spans="1:4" x14ac:dyDescent="0.25">
      <c r="A2045" s="45" t="s">
        <v>2073</v>
      </c>
      <c r="B2045" s="46" t="s">
        <v>14179</v>
      </c>
      <c r="C2045">
        <v>5</v>
      </c>
      <c r="D2045">
        <v>30</v>
      </c>
    </row>
    <row r="2046" spans="1:4" x14ac:dyDescent="0.25">
      <c r="A2046" s="45" t="s">
        <v>2074</v>
      </c>
      <c r="B2046" s="46" t="s">
        <v>19646</v>
      </c>
      <c r="C2046">
        <v>5</v>
      </c>
      <c r="D2046">
        <v>30</v>
      </c>
    </row>
    <row r="2047" spans="1:4" x14ac:dyDescent="0.25">
      <c r="A2047" s="45" t="s">
        <v>2075</v>
      </c>
      <c r="B2047" s="46" t="s">
        <v>19647</v>
      </c>
      <c r="C2047">
        <v>5</v>
      </c>
      <c r="D2047">
        <v>30</v>
      </c>
    </row>
    <row r="2048" spans="1:4" x14ac:dyDescent="0.25">
      <c r="A2048" s="45" t="s">
        <v>2076</v>
      </c>
      <c r="B2048" s="46" t="s">
        <v>19648</v>
      </c>
      <c r="C2048">
        <v>5</v>
      </c>
      <c r="D2048">
        <v>30</v>
      </c>
    </row>
    <row r="2049" spans="1:4" x14ac:dyDescent="0.25">
      <c r="A2049" s="45" t="s">
        <v>2077</v>
      </c>
      <c r="B2049" s="46" t="s">
        <v>19649</v>
      </c>
      <c r="C2049">
        <v>5</v>
      </c>
      <c r="D2049">
        <v>30</v>
      </c>
    </row>
    <row r="2050" spans="1:4" x14ac:dyDescent="0.25">
      <c r="A2050" s="45" t="s">
        <v>2078</v>
      </c>
      <c r="B2050" s="46" t="s">
        <v>19650</v>
      </c>
      <c r="C2050">
        <v>5</v>
      </c>
      <c r="D2050">
        <v>30</v>
      </c>
    </row>
    <row r="2051" spans="1:4" x14ac:dyDescent="0.25">
      <c r="A2051" s="45" t="s">
        <v>2079</v>
      </c>
      <c r="B2051" s="46" t="s">
        <v>19651</v>
      </c>
      <c r="C2051">
        <v>5</v>
      </c>
      <c r="D2051">
        <v>30</v>
      </c>
    </row>
    <row r="2052" spans="1:4" x14ac:dyDescent="0.25">
      <c r="A2052" s="45" t="s">
        <v>2080</v>
      </c>
      <c r="B2052" s="46" t="s">
        <v>19652</v>
      </c>
      <c r="C2052">
        <v>5</v>
      </c>
      <c r="D2052">
        <v>30</v>
      </c>
    </row>
    <row r="2053" spans="1:4" x14ac:dyDescent="0.25">
      <c r="A2053" s="45" t="s">
        <v>2081</v>
      </c>
      <c r="B2053" s="46" t="s">
        <v>19653</v>
      </c>
      <c r="C2053">
        <v>5</v>
      </c>
      <c r="D2053">
        <v>30</v>
      </c>
    </row>
    <row r="2054" spans="1:4" x14ac:dyDescent="0.25">
      <c r="A2054" s="45" t="s">
        <v>2082</v>
      </c>
      <c r="B2054" s="46" t="s">
        <v>14180</v>
      </c>
      <c r="C2054">
        <v>5</v>
      </c>
      <c r="D2054">
        <v>30</v>
      </c>
    </row>
    <row r="2055" spans="1:4" x14ac:dyDescent="0.25">
      <c r="A2055" s="45" t="s">
        <v>2083</v>
      </c>
      <c r="B2055" s="46" t="s">
        <v>14181</v>
      </c>
      <c r="C2055">
        <v>5</v>
      </c>
      <c r="D2055">
        <v>30</v>
      </c>
    </row>
    <row r="2056" spans="1:4" x14ac:dyDescent="0.25">
      <c r="A2056" s="45" t="s">
        <v>2084</v>
      </c>
      <c r="B2056" s="46" t="s">
        <v>14182</v>
      </c>
      <c r="C2056">
        <v>5</v>
      </c>
      <c r="D2056">
        <v>30</v>
      </c>
    </row>
    <row r="2057" spans="1:4" x14ac:dyDescent="0.25">
      <c r="A2057" s="45" t="s">
        <v>2085</v>
      </c>
      <c r="B2057" s="46" t="s">
        <v>14183</v>
      </c>
      <c r="C2057">
        <v>5</v>
      </c>
      <c r="D2057">
        <v>30</v>
      </c>
    </row>
    <row r="2058" spans="1:4" x14ac:dyDescent="0.25">
      <c r="A2058" s="45" t="s">
        <v>2086</v>
      </c>
      <c r="B2058" s="46" t="s">
        <v>14184</v>
      </c>
      <c r="C2058">
        <v>5</v>
      </c>
      <c r="D2058">
        <v>30</v>
      </c>
    </row>
    <row r="2059" spans="1:4" x14ac:dyDescent="0.25">
      <c r="A2059" s="45" t="s">
        <v>2087</v>
      </c>
      <c r="B2059" s="46" t="s">
        <v>14185</v>
      </c>
      <c r="C2059">
        <v>5</v>
      </c>
      <c r="D2059">
        <v>30</v>
      </c>
    </row>
    <row r="2060" spans="1:4" x14ac:dyDescent="0.25">
      <c r="A2060" s="45" t="s">
        <v>2088</v>
      </c>
      <c r="B2060" s="46" t="s">
        <v>19654</v>
      </c>
      <c r="C2060">
        <v>5</v>
      </c>
      <c r="D2060">
        <v>30</v>
      </c>
    </row>
    <row r="2061" spans="1:4" x14ac:dyDescent="0.25">
      <c r="A2061" s="45" t="s">
        <v>2089</v>
      </c>
      <c r="B2061" s="46" t="s">
        <v>19655</v>
      </c>
      <c r="C2061">
        <v>5</v>
      </c>
      <c r="D2061">
        <v>30</v>
      </c>
    </row>
    <row r="2062" spans="1:4" x14ac:dyDescent="0.25">
      <c r="A2062" s="45" t="s">
        <v>2090</v>
      </c>
      <c r="B2062" s="46" t="s">
        <v>14186</v>
      </c>
      <c r="C2062">
        <v>5</v>
      </c>
      <c r="D2062">
        <v>30</v>
      </c>
    </row>
    <row r="2063" spans="1:4" x14ac:dyDescent="0.25">
      <c r="A2063" s="45" t="s">
        <v>2091</v>
      </c>
      <c r="B2063" s="46" t="s">
        <v>14187</v>
      </c>
      <c r="C2063">
        <v>5</v>
      </c>
      <c r="D2063">
        <v>30</v>
      </c>
    </row>
    <row r="2064" spans="1:4" x14ac:dyDescent="0.25">
      <c r="A2064" s="45" t="s">
        <v>2092</v>
      </c>
      <c r="B2064" s="46" t="s">
        <v>19656</v>
      </c>
      <c r="C2064">
        <v>5</v>
      </c>
      <c r="D2064">
        <v>32</v>
      </c>
    </row>
    <row r="2065" spans="1:4" x14ac:dyDescent="0.25">
      <c r="A2065" s="45" t="s">
        <v>2093</v>
      </c>
      <c r="B2065" s="46" t="s">
        <v>14188</v>
      </c>
      <c r="C2065">
        <v>5</v>
      </c>
      <c r="D2065">
        <v>30</v>
      </c>
    </row>
    <row r="2066" spans="1:4" x14ac:dyDescent="0.25">
      <c r="A2066" s="45" t="s">
        <v>2094</v>
      </c>
      <c r="B2066" s="46" t="s">
        <v>19657</v>
      </c>
      <c r="C2066">
        <v>5</v>
      </c>
      <c r="D2066">
        <v>30</v>
      </c>
    </row>
    <row r="2067" spans="1:4" x14ac:dyDescent="0.25">
      <c r="A2067" s="45" t="s">
        <v>2095</v>
      </c>
      <c r="B2067" s="46" t="s">
        <v>19658</v>
      </c>
      <c r="C2067">
        <v>5</v>
      </c>
      <c r="D2067">
        <v>31</v>
      </c>
    </row>
    <row r="2068" spans="1:4" x14ac:dyDescent="0.25">
      <c r="A2068" s="45" t="s">
        <v>2096</v>
      </c>
      <c r="B2068" s="46" t="s">
        <v>14189</v>
      </c>
      <c r="C2068">
        <v>5</v>
      </c>
      <c r="D2068">
        <v>32</v>
      </c>
    </row>
    <row r="2069" spans="1:4" x14ac:dyDescent="0.25">
      <c r="A2069" s="45" t="s">
        <v>2097</v>
      </c>
      <c r="B2069" s="46" t="s">
        <v>14190</v>
      </c>
      <c r="C2069">
        <v>5</v>
      </c>
      <c r="D2069">
        <v>32</v>
      </c>
    </row>
    <row r="2070" spans="1:4" x14ac:dyDescent="0.25">
      <c r="A2070" s="45" t="s">
        <v>2098</v>
      </c>
      <c r="B2070" s="46" t="s">
        <v>14191</v>
      </c>
      <c r="C2070">
        <v>5</v>
      </c>
      <c r="D2070">
        <v>32</v>
      </c>
    </row>
    <row r="2071" spans="1:4" x14ac:dyDescent="0.25">
      <c r="A2071" s="45" t="s">
        <v>2099</v>
      </c>
      <c r="B2071" s="46" t="s">
        <v>19659</v>
      </c>
      <c r="C2071">
        <v>5</v>
      </c>
      <c r="D2071">
        <v>32</v>
      </c>
    </row>
    <row r="2072" spans="1:4" x14ac:dyDescent="0.25">
      <c r="A2072" s="45" t="s">
        <v>2100</v>
      </c>
      <c r="B2072" s="46" t="s">
        <v>19660</v>
      </c>
      <c r="C2072">
        <v>5</v>
      </c>
      <c r="D2072">
        <v>30</v>
      </c>
    </row>
    <row r="2073" spans="1:4" x14ac:dyDescent="0.25">
      <c r="A2073" s="45" t="s">
        <v>2101</v>
      </c>
      <c r="B2073" s="46" t="s">
        <v>14192</v>
      </c>
      <c r="C2073">
        <v>5</v>
      </c>
      <c r="D2073">
        <v>30</v>
      </c>
    </row>
    <row r="2074" spans="1:4" x14ac:dyDescent="0.25">
      <c r="A2074" s="45" t="s">
        <v>2102</v>
      </c>
      <c r="B2074" s="46" t="s">
        <v>19661</v>
      </c>
      <c r="C2074">
        <v>5</v>
      </c>
      <c r="D2074">
        <v>32</v>
      </c>
    </row>
    <row r="2075" spans="1:4" x14ac:dyDescent="0.25">
      <c r="A2075" s="45" t="s">
        <v>2103</v>
      </c>
      <c r="B2075" s="46" t="s">
        <v>19662</v>
      </c>
      <c r="C2075">
        <v>5</v>
      </c>
      <c r="D2075">
        <v>32</v>
      </c>
    </row>
    <row r="2076" spans="1:4" x14ac:dyDescent="0.25">
      <c r="A2076" s="45" t="s">
        <v>2104</v>
      </c>
      <c r="B2076" s="46" t="s">
        <v>19663</v>
      </c>
      <c r="C2076">
        <v>5</v>
      </c>
      <c r="D2076">
        <v>30</v>
      </c>
    </row>
    <row r="2077" spans="1:4" x14ac:dyDescent="0.25">
      <c r="A2077" s="45" t="s">
        <v>2105</v>
      </c>
      <c r="B2077" s="46" t="s">
        <v>19664</v>
      </c>
      <c r="C2077">
        <v>5</v>
      </c>
      <c r="D2077">
        <v>30</v>
      </c>
    </row>
    <row r="2078" spans="1:4" x14ac:dyDescent="0.25">
      <c r="A2078" s="45" t="s">
        <v>2106</v>
      </c>
      <c r="B2078" s="46" t="s">
        <v>19665</v>
      </c>
      <c r="C2078">
        <v>5</v>
      </c>
      <c r="D2078">
        <v>30</v>
      </c>
    </row>
    <row r="2079" spans="1:4" x14ac:dyDescent="0.25">
      <c r="A2079" s="45" t="s">
        <v>2107</v>
      </c>
      <c r="B2079" s="46" t="s">
        <v>19666</v>
      </c>
      <c r="C2079">
        <v>5</v>
      </c>
      <c r="D2079">
        <v>30</v>
      </c>
    </row>
    <row r="2080" spans="1:4" x14ac:dyDescent="0.25">
      <c r="A2080" s="45" t="s">
        <v>2108</v>
      </c>
      <c r="B2080" s="46" t="s">
        <v>19667</v>
      </c>
      <c r="C2080">
        <v>5</v>
      </c>
      <c r="D2080">
        <v>30</v>
      </c>
    </row>
    <row r="2081" spans="1:4" x14ac:dyDescent="0.25">
      <c r="A2081" s="45" t="s">
        <v>2109</v>
      </c>
      <c r="B2081" s="46" t="s">
        <v>19668</v>
      </c>
      <c r="C2081">
        <v>5</v>
      </c>
      <c r="D2081">
        <v>30</v>
      </c>
    </row>
    <row r="2082" spans="1:4" x14ac:dyDescent="0.25">
      <c r="A2082" s="45" t="s">
        <v>2110</v>
      </c>
      <c r="B2082" s="46" t="s">
        <v>19669</v>
      </c>
      <c r="C2082">
        <v>5</v>
      </c>
      <c r="D2082">
        <v>30</v>
      </c>
    </row>
    <row r="2083" spans="1:4" x14ac:dyDescent="0.25">
      <c r="A2083" s="45" t="s">
        <v>2111</v>
      </c>
      <c r="B2083" s="46" t="s">
        <v>19670</v>
      </c>
      <c r="C2083">
        <v>5</v>
      </c>
      <c r="D2083">
        <v>30</v>
      </c>
    </row>
    <row r="2084" spans="1:4" x14ac:dyDescent="0.25">
      <c r="A2084" s="45" t="s">
        <v>2112</v>
      </c>
      <c r="B2084" s="46" t="s">
        <v>19671</v>
      </c>
      <c r="C2084">
        <v>5</v>
      </c>
      <c r="D2084">
        <v>32</v>
      </c>
    </row>
    <row r="2085" spans="1:4" x14ac:dyDescent="0.25">
      <c r="A2085" s="45" t="s">
        <v>2113</v>
      </c>
      <c r="B2085" s="46" t="s">
        <v>19672</v>
      </c>
      <c r="C2085">
        <v>5</v>
      </c>
      <c r="D2085">
        <v>32</v>
      </c>
    </row>
    <row r="2086" spans="1:4" x14ac:dyDescent="0.25">
      <c r="A2086" s="45" t="s">
        <v>2114</v>
      </c>
      <c r="B2086" s="46" t="s">
        <v>19673</v>
      </c>
      <c r="C2086">
        <v>5</v>
      </c>
      <c r="D2086">
        <v>30</v>
      </c>
    </row>
    <row r="2087" spans="1:4" x14ac:dyDescent="0.25">
      <c r="A2087" s="45" t="s">
        <v>2115</v>
      </c>
      <c r="B2087" s="46" t="s">
        <v>19674</v>
      </c>
      <c r="C2087">
        <v>5</v>
      </c>
      <c r="D2087">
        <v>30</v>
      </c>
    </row>
    <row r="2088" spans="1:4" x14ac:dyDescent="0.25">
      <c r="A2088" s="45" t="s">
        <v>2116</v>
      </c>
      <c r="B2088" s="46" t="s">
        <v>19675</v>
      </c>
      <c r="C2088">
        <v>5</v>
      </c>
      <c r="D2088">
        <v>30</v>
      </c>
    </row>
    <row r="2089" spans="1:4" x14ac:dyDescent="0.25">
      <c r="A2089" s="45" t="s">
        <v>2117</v>
      </c>
      <c r="B2089" s="46" t="s">
        <v>19676</v>
      </c>
      <c r="C2089">
        <v>5</v>
      </c>
      <c r="D2089">
        <v>30</v>
      </c>
    </row>
    <row r="2090" spans="1:4" x14ac:dyDescent="0.25">
      <c r="A2090" s="45" t="s">
        <v>2118</v>
      </c>
      <c r="B2090" s="46" t="s">
        <v>19677</v>
      </c>
      <c r="C2090">
        <v>5</v>
      </c>
      <c r="D2090">
        <v>30</v>
      </c>
    </row>
    <row r="2091" spans="1:4" x14ac:dyDescent="0.25">
      <c r="A2091" s="45" t="s">
        <v>2119</v>
      </c>
      <c r="B2091" s="46" t="s">
        <v>19678</v>
      </c>
      <c r="C2091">
        <v>5</v>
      </c>
      <c r="D2091">
        <v>30</v>
      </c>
    </row>
    <row r="2092" spans="1:4" x14ac:dyDescent="0.25">
      <c r="A2092" s="45" t="s">
        <v>2120</v>
      </c>
      <c r="B2092" s="46" t="s">
        <v>19679</v>
      </c>
      <c r="C2092">
        <v>5</v>
      </c>
      <c r="D2092">
        <v>32</v>
      </c>
    </row>
    <row r="2093" spans="1:4" x14ac:dyDescent="0.25">
      <c r="A2093" s="45" t="s">
        <v>2121</v>
      </c>
      <c r="B2093" s="46" t="s">
        <v>19680</v>
      </c>
      <c r="C2093">
        <v>5</v>
      </c>
      <c r="D2093">
        <v>30</v>
      </c>
    </row>
    <row r="2094" spans="1:4" x14ac:dyDescent="0.25">
      <c r="A2094" s="45" t="s">
        <v>2122</v>
      </c>
      <c r="B2094" s="46" t="s">
        <v>19681</v>
      </c>
      <c r="C2094">
        <v>5</v>
      </c>
      <c r="D2094">
        <v>32</v>
      </c>
    </row>
    <row r="2095" spans="1:4" x14ac:dyDescent="0.25">
      <c r="A2095" s="45" t="s">
        <v>2123</v>
      </c>
      <c r="B2095" s="46" t="s">
        <v>19682</v>
      </c>
      <c r="C2095">
        <v>5</v>
      </c>
      <c r="D2095">
        <v>32</v>
      </c>
    </row>
    <row r="2096" spans="1:4" x14ac:dyDescent="0.25">
      <c r="A2096" s="45" t="s">
        <v>2124</v>
      </c>
      <c r="B2096" s="46" t="s">
        <v>19683</v>
      </c>
      <c r="C2096">
        <v>5</v>
      </c>
      <c r="D2096">
        <v>30</v>
      </c>
    </row>
    <row r="2097" spans="1:4" x14ac:dyDescent="0.25">
      <c r="A2097" s="45" t="s">
        <v>2125</v>
      </c>
      <c r="B2097" s="46" t="s">
        <v>19684</v>
      </c>
      <c r="C2097">
        <v>5</v>
      </c>
      <c r="D2097">
        <v>30</v>
      </c>
    </row>
    <row r="2098" spans="1:4" x14ac:dyDescent="0.25">
      <c r="A2098" s="45" t="s">
        <v>2126</v>
      </c>
      <c r="B2098" s="46" t="s">
        <v>19685</v>
      </c>
      <c r="C2098">
        <v>5</v>
      </c>
      <c r="D2098">
        <v>30</v>
      </c>
    </row>
    <row r="2099" spans="1:4" x14ac:dyDescent="0.25">
      <c r="A2099" s="45" t="s">
        <v>2127</v>
      </c>
      <c r="B2099" s="46" t="s">
        <v>19686</v>
      </c>
      <c r="C2099">
        <v>5</v>
      </c>
      <c r="D2099">
        <v>30</v>
      </c>
    </row>
    <row r="2100" spans="1:4" x14ac:dyDescent="0.25">
      <c r="A2100" s="45" t="s">
        <v>2128</v>
      </c>
      <c r="B2100" s="46" t="s">
        <v>19687</v>
      </c>
      <c r="C2100">
        <v>5</v>
      </c>
      <c r="D2100">
        <v>30</v>
      </c>
    </row>
    <row r="2101" spans="1:4" x14ac:dyDescent="0.25">
      <c r="A2101" s="45" t="s">
        <v>2129</v>
      </c>
      <c r="B2101" s="46" t="s">
        <v>19688</v>
      </c>
      <c r="C2101">
        <v>5</v>
      </c>
      <c r="D2101">
        <v>30</v>
      </c>
    </row>
    <row r="2102" spans="1:4" x14ac:dyDescent="0.25">
      <c r="A2102" s="45" t="s">
        <v>2130</v>
      </c>
      <c r="B2102" s="46" t="s">
        <v>19689</v>
      </c>
      <c r="C2102">
        <v>5</v>
      </c>
      <c r="D2102">
        <v>30</v>
      </c>
    </row>
    <row r="2103" spans="1:4" x14ac:dyDescent="0.25">
      <c r="A2103" s="45" t="s">
        <v>2131</v>
      </c>
      <c r="B2103" s="46" t="s">
        <v>19690</v>
      </c>
      <c r="C2103">
        <v>5</v>
      </c>
      <c r="D2103">
        <v>30</v>
      </c>
    </row>
    <row r="2104" spans="1:4" x14ac:dyDescent="0.25">
      <c r="A2104" s="45" t="s">
        <v>2132</v>
      </c>
      <c r="B2104" s="46" t="s">
        <v>19691</v>
      </c>
      <c r="C2104">
        <v>5</v>
      </c>
      <c r="D2104">
        <v>32</v>
      </c>
    </row>
    <row r="2105" spans="1:4" x14ac:dyDescent="0.25">
      <c r="A2105" s="45" t="s">
        <v>2133</v>
      </c>
      <c r="B2105" s="46" t="s">
        <v>19692</v>
      </c>
      <c r="C2105">
        <v>5</v>
      </c>
      <c r="D2105">
        <v>32</v>
      </c>
    </row>
    <row r="2106" spans="1:4" x14ac:dyDescent="0.25">
      <c r="A2106" s="45" t="s">
        <v>2134</v>
      </c>
      <c r="B2106" s="46" t="s">
        <v>19693</v>
      </c>
      <c r="C2106">
        <v>5</v>
      </c>
      <c r="D2106">
        <v>30</v>
      </c>
    </row>
    <row r="2107" spans="1:4" x14ac:dyDescent="0.25">
      <c r="A2107" s="45" t="s">
        <v>2135</v>
      </c>
      <c r="B2107" s="46" t="s">
        <v>19694</v>
      </c>
      <c r="C2107">
        <v>5</v>
      </c>
      <c r="D2107">
        <v>30</v>
      </c>
    </row>
    <row r="2108" spans="1:4" x14ac:dyDescent="0.25">
      <c r="A2108" s="45" t="s">
        <v>2136</v>
      </c>
      <c r="B2108" s="46" t="s">
        <v>19695</v>
      </c>
      <c r="C2108">
        <v>5</v>
      </c>
      <c r="D2108">
        <v>30</v>
      </c>
    </row>
    <row r="2109" spans="1:4" x14ac:dyDescent="0.25">
      <c r="A2109" s="45" t="s">
        <v>2137</v>
      </c>
      <c r="B2109" s="46" t="s">
        <v>19696</v>
      </c>
      <c r="C2109">
        <v>5</v>
      </c>
      <c r="D2109">
        <v>30</v>
      </c>
    </row>
    <row r="2110" spans="1:4" x14ac:dyDescent="0.25">
      <c r="A2110" s="45" t="s">
        <v>2138</v>
      </c>
      <c r="B2110" s="46" t="s">
        <v>19697</v>
      </c>
      <c r="C2110">
        <v>5</v>
      </c>
      <c r="D2110">
        <v>30</v>
      </c>
    </row>
    <row r="2111" spans="1:4" x14ac:dyDescent="0.25">
      <c r="A2111" s="45" t="s">
        <v>2139</v>
      </c>
      <c r="B2111" s="46" t="s">
        <v>19698</v>
      </c>
      <c r="C2111">
        <v>5</v>
      </c>
      <c r="D2111">
        <v>30</v>
      </c>
    </row>
    <row r="2112" spans="1:4" x14ac:dyDescent="0.25">
      <c r="A2112" s="45" t="s">
        <v>2140</v>
      </c>
      <c r="B2112" s="46" t="s">
        <v>19699</v>
      </c>
      <c r="C2112">
        <v>5</v>
      </c>
      <c r="D2112">
        <v>30</v>
      </c>
    </row>
    <row r="2113" spans="1:4" x14ac:dyDescent="0.25">
      <c r="A2113" s="45" t="s">
        <v>2141</v>
      </c>
      <c r="B2113" s="46" t="s">
        <v>19700</v>
      </c>
      <c r="C2113">
        <v>5</v>
      </c>
      <c r="D2113">
        <v>30</v>
      </c>
    </row>
    <row r="2114" spans="1:4" x14ac:dyDescent="0.25">
      <c r="A2114" s="45" t="s">
        <v>2142</v>
      </c>
      <c r="B2114" s="46" t="s">
        <v>19701</v>
      </c>
      <c r="C2114">
        <v>5</v>
      </c>
      <c r="D2114">
        <v>32</v>
      </c>
    </row>
    <row r="2115" spans="1:4" x14ac:dyDescent="0.25">
      <c r="A2115" s="45" t="s">
        <v>2143</v>
      </c>
      <c r="B2115" s="46" t="s">
        <v>19702</v>
      </c>
      <c r="C2115">
        <v>5</v>
      </c>
      <c r="D2115">
        <v>32</v>
      </c>
    </row>
    <row r="2116" spans="1:4" x14ac:dyDescent="0.25">
      <c r="A2116" s="45" t="s">
        <v>2144</v>
      </c>
      <c r="B2116" s="46" t="s">
        <v>19703</v>
      </c>
      <c r="C2116">
        <v>5</v>
      </c>
      <c r="D2116">
        <v>30</v>
      </c>
    </row>
    <row r="2117" spans="1:4" x14ac:dyDescent="0.25">
      <c r="A2117" s="45" t="s">
        <v>2145</v>
      </c>
      <c r="B2117" s="46" t="s">
        <v>19704</v>
      </c>
      <c r="C2117">
        <v>5</v>
      </c>
      <c r="D2117">
        <v>30</v>
      </c>
    </row>
    <row r="2118" spans="1:4" x14ac:dyDescent="0.25">
      <c r="A2118" s="45" t="s">
        <v>2146</v>
      </c>
      <c r="B2118" s="46" t="s">
        <v>19705</v>
      </c>
      <c r="C2118">
        <v>5</v>
      </c>
      <c r="D2118">
        <v>30</v>
      </c>
    </row>
    <row r="2119" spans="1:4" x14ac:dyDescent="0.25">
      <c r="A2119" s="45" t="s">
        <v>2147</v>
      </c>
      <c r="B2119" s="46" t="s">
        <v>19706</v>
      </c>
      <c r="C2119">
        <v>5</v>
      </c>
      <c r="D2119">
        <v>30</v>
      </c>
    </row>
    <row r="2120" spans="1:4" x14ac:dyDescent="0.25">
      <c r="A2120" s="45" t="s">
        <v>2148</v>
      </c>
      <c r="B2120" s="46" t="s">
        <v>19707</v>
      </c>
      <c r="C2120">
        <v>5</v>
      </c>
      <c r="D2120">
        <v>30</v>
      </c>
    </row>
    <row r="2121" spans="1:4" x14ac:dyDescent="0.25">
      <c r="A2121" s="45" t="s">
        <v>2149</v>
      </c>
      <c r="B2121" s="46" t="s">
        <v>19708</v>
      </c>
      <c r="C2121">
        <v>5</v>
      </c>
      <c r="D2121">
        <v>30</v>
      </c>
    </row>
    <row r="2122" spans="1:4" x14ac:dyDescent="0.25">
      <c r="A2122" s="45" t="s">
        <v>2150</v>
      </c>
      <c r="B2122" s="46" t="s">
        <v>19709</v>
      </c>
      <c r="C2122">
        <v>5</v>
      </c>
      <c r="D2122">
        <v>30</v>
      </c>
    </row>
    <row r="2123" spans="1:4" x14ac:dyDescent="0.25">
      <c r="A2123" s="45" t="s">
        <v>2151</v>
      </c>
      <c r="B2123" s="46" t="s">
        <v>19710</v>
      </c>
      <c r="C2123">
        <v>5</v>
      </c>
      <c r="D2123">
        <v>30</v>
      </c>
    </row>
    <row r="2124" spans="1:4" x14ac:dyDescent="0.25">
      <c r="A2124" s="45" t="s">
        <v>2152</v>
      </c>
      <c r="B2124" s="46" t="s">
        <v>19711</v>
      </c>
      <c r="C2124">
        <v>5</v>
      </c>
      <c r="D2124">
        <v>32</v>
      </c>
    </row>
    <row r="2125" spans="1:4" x14ac:dyDescent="0.25">
      <c r="A2125" s="45" t="s">
        <v>2153</v>
      </c>
      <c r="B2125" s="46" t="s">
        <v>19712</v>
      </c>
      <c r="C2125">
        <v>5</v>
      </c>
      <c r="D2125">
        <v>32</v>
      </c>
    </row>
    <row r="2126" spans="1:4" x14ac:dyDescent="0.25">
      <c r="A2126" s="45" t="s">
        <v>2154</v>
      </c>
      <c r="B2126" s="46" t="s">
        <v>19713</v>
      </c>
      <c r="C2126">
        <v>5</v>
      </c>
      <c r="D2126">
        <v>30</v>
      </c>
    </row>
    <row r="2127" spans="1:4" x14ac:dyDescent="0.25">
      <c r="A2127" s="45" t="s">
        <v>2155</v>
      </c>
      <c r="B2127" s="46" t="s">
        <v>19714</v>
      </c>
      <c r="C2127">
        <v>5</v>
      </c>
      <c r="D2127">
        <v>30</v>
      </c>
    </row>
    <row r="2128" spans="1:4" x14ac:dyDescent="0.25">
      <c r="A2128" s="45" t="s">
        <v>2156</v>
      </c>
      <c r="B2128" s="46" t="s">
        <v>19715</v>
      </c>
      <c r="C2128">
        <v>5</v>
      </c>
      <c r="D2128">
        <v>30</v>
      </c>
    </row>
    <row r="2129" spans="1:4" x14ac:dyDescent="0.25">
      <c r="A2129" s="45" t="s">
        <v>2157</v>
      </c>
      <c r="B2129" s="46" t="s">
        <v>19716</v>
      </c>
      <c r="C2129">
        <v>5</v>
      </c>
      <c r="D2129">
        <v>30</v>
      </c>
    </row>
    <row r="2130" spans="1:4" x14ac:dyDescent="0.25">
      <c r="A2130" s="45" t="s">
        <v>2158</v>
      </c>
      <c r="B2130" s="46" t="s">
        <v>19717</v>
      </c>
      <c r="C2130">
        <v>5</v>
      </c>
      <c r="D2130">
        <v>30</v>
      </c>
    </row>
    <row r="2131" spans="1:4" x14ac:dyDescent="0.25">
      <c r="A2131" s="45" t="s">
        <v>2159</v>
      </c>
      <c r="B2131" s="46" t="s">
        <v>19718</v>
      </c>
      <c r="C2131">
        <v>5</v>
      </c>
      <c r="D2131">
        <v>30</v>
      </c>
    </row>
    <row r="2132" spans="1:4" x14ac:dyDescent="0.25">
      <c r="A2132" s="45" t="s">
        <v>2160</v>
      </c>
      <c r="B2132" s="46" t="s">
        <v>19719</v>
      </c>
      <c r="C2132">
        <v>5</v>
      </c>
      <c r="D2132">
        <v>30</v>
      </c>
    </row>
    <row r="2133" spans="1:4" x14ac:dyDescent="0.25">
      <c r="A2133" s="45" t="s">
        <v>2161</v>
      </c>
      <c r="B2133" s="46" t="s">
        <v>19720</v>
      </c>
      <c r="C2133">
        <v>5</v>
      </c>
      <c r="D2133">
        <v>30</v>
      </c>
    </row>
    <row r="2134" spans="1:4" x14ac:dyDescent="0.25">
      <c r="A2134" s="45" t="s">
        <v>2162</v>
      </c>
      <c r="B2134" s="46" t="s">
        <v>19721</v>
      </c>
      <c r="C2134">
        <v>5</v>
      </c>
      <c r="D2134">
        <v>32</v>
      </c>
    </row>
    <row r="2135" spans="1:4" x14ac:dyDescent="0.25">
      <c r="A2135" s="45" t="s">
        <v>2163</v>
      </c>
      <c r="B2135" s="46" t="s">
        <v>19722</v>
      </c>
      <c r="C2135">
        <v>5</v>
      </c>
      <c r="D2135">
        <v>32</v>
      </c>
    </row>
    <row r="2136" spans="1:4" x14ac:dyDescent="0.25">
      <c r="A2136" s="45" t="s">
        <v>2164</v>
      </c>
      <c r="B2136" s="46" t="s">
        <v>19723</v>
      </c>
      <c r="C2136">
        <v>5</v>
      </c>
      <c r="D2136">
        <v>30</v>
      </c>
    </row>
    <row r="2137" spans="1:4" x14ac:dyDescent="0.25">
      <c r="A2137" s="45" t="s">
        <v>2165</v>
      </c>
      <c r="B2137" s="46" t="s">
        <v>19724</v>
      </c>
      <c r="C2137">
        <v>5</v>
      </c>
      <c r="D2137">
        <v>30</v>
      </c>
    </row>
    <row r="2138" spans="1:4" x14ac:dyDescent="0.25">
      <c r="A2138" s="45" t="s">
        <v>2166</v>
      </c>
      <c r="B2138" s="46" t="s">
        <v>19725</v>
      </c>
      <c r="C2138">
        <v>5</v>
      </c>
      <c r="D2138">
        <v>30</v>
      </c>
    </row>
    <row r="2139" spans="1:4" x14ac:dyDescent="0.25">
      <c r="A2139" s="45" t="s">
        <v>2167</v>
      </c>
      <c r="B2139" s="46" t="s">
        <v>19726</v>
      </c>
      <c r="C2139">
        <v>5</v>
      </c>
      <c r="D2139">
        <v>30</v>
      </c>
    </row>
    <row r="2140" spans="1:4" x14ac:dyDescent="0.25">
      <c r="A2140" s="45" t="s">
        <v>2168</v>
      </c>
      <c r="B2140" s="46" t="s">
        <v>19727</v>
      </c>
      <c r="C2140">
        <v>5</v>
      </c>
      <c r="D2140">
        <v>30</v>
      </c>
    </row>
    <row r="2141" spans="1:4" x14ac:dyDescent="0.25">
      <c r="A2141" s="45" t="s">
        <v>2169</v>
      </c>
      <c r="B2141" s="46" t="s">
        <v>19728</v>
      </c>
      <c r="C2141">
        <v>5</v>
      </c>
      <c r="D2141">
        <v>30</v>
      </c>
    </row>
    <row r="2142" spans="1:4" x14ac:dyDescent="0.25">
      <c r="A2142" s="45" t="s">
        <v>2170</v>
      </c>
      <c r="B2142" s="46" t="s">
        <v>19729</v>
      </c>
      <c r="C2142">
        <v>5</v>
      </c>
      <c r="D2142">
        <v>30</v>
      </c>
    </row>
    <row r="2143" spans="1:4" x14ac:dyDescent="0.25">
      <c r="A2143" s="45" t="s">
        <v>2171</v>
      </c>
      <c r="B2143" s="46" t="s">
        <v>19730</v>
      </c>
      <c r="C2143">
        <v>5</v>
      </c>
      <c r="D2143">
        <v>30</v>
      </c>
    </row>
    <row r="2144" spans="1:4" x14ac:dyDescent="0.25">
      <c r="A2144" s="45" t="s">
        <v>2172</v>
      </c>
      <c r="B2144" s="46" t="s">
        <v>19731</v>
      </c>
      <c r="C2144">
        <v>5</v>
      </c>
      <c r="D2144">
        <v>32</v>
      </c>
    </row>
    <row r="2145" spans="1:4" x14ac:dyDescent="0.25">
      <c r="A2145" s="45" t="s">
        <v>2173</v>
      </c>
      <c r="B2145" s="46" t="s">
        <v>19732</v>
      </c>
      <c r="C2145">
        <v>5</v>
      </c>
      <c r="D2145">
        <v>32</v>
      </c>
    </row>
    <row r="2146" spans="1:4" x14ac:dyDescent="0.25">
      <c r="A2146" s="45" t="s">
        <v>2174</v>
      </c>
      <c r="B2146" s="46" t="s">
        <v>19733</v>
      </c>
      <c r="C2146">
        <v>5</v>
      </c>
      <c r="D2146">
        <v>30</v>
      </c>
    </row>
    <row r="2147" spans="1:4" x14ac:dyDescent="0.25">
      <c r="A2147" s="45" t="s">
        <v>2175</v>
      </c>
      <c r="B2147" s="46" t="s">
        <v>19734</v>
      </c>
      <c r="C2147">
        <v>5</v>
      </c>
      <c r="D2147">
        <v>30</v>
      </c>
    </row>
    <row r="2148" spans="1:4" x14ac:dyDescent="0.25">
      <c r="A2148" s="45" t="s">
        <v>2176</v>
      </c>
      <c r="B2148" s="46" t="s">
        <v>19735</v>
      </c>
      <c r="C2148">
        <v>5</v>
      </c>
      <c r="D2148">
        <v>30</v>
      </c>
    </row>
    <row r="2149" spans="1:4" x14ac:dyDescent="0.25">
      <c r="A2149" s="45" t="s">
        <v>2177</v>
      </c>
      <c r="B2149" s="46" t="s">
        <v>19736</v>
      </c>
      <c r="C2149">
        <v>5</v>
      </c>
      <c r="D2149">
        <v>30</v>
      </c>
    </row>
    <row r="2150" spans="1:4" x14ac:dyDescent="0.25">
      <c r="A2150" s="45" t="s">
        <v>2178</v>
      </c>
      <c r="B2150" s="46" t="s">
        <v>19737</v>
      </c>
      <c r="C2150">
        <v>5</v>
      </c>
      <c r="D2150">
        <v>30</v>
      </c>
    </row>
    <row r="2151" spans="1:4" x14ac:dyDescent="0.25">
      <c r="A2151" s="45" t="s">
        <v>2179</v>
      </c>
      <c r="B2151" s="46" t="s">
        <v>19738</v>
      </c>
      <c r="C2151">
        <v>5</v>
      </c>
      <c r="D2151">
        <v>30</v>
      </c>
    </row>
    <row r="2152" spans="1:4" x14ac:dyDescent="0.25">
      <c r="A2152" s="45" t="s">
        <v>2180</v>
      </c>
      <c r="B2152" s="46" t="s">
        <v>19739</v>
      </c>
      <c r="C2152">
        <v>5</v>
      </c>
      <c r="D2152">
        <v>30</v>
      </c>
    </row>
    <row r="2153" spans="1:4" x14ac:dyDescent="0.25">
      <c r="A2153" s="45" t="s">
        <v>2181</v>
      </c>
      <c r="B2153" s="46" t="s">
        <v>19740</v>
      </c>
      <c r="C2153">
        <v>5</v>
      </c>
      <c r="D2153">
        <v>30</v>
      </c>
    </row>
    <row r="2154" spans="1:4" x14ac:dyDescent="0.25">
      <c r="A2154" s="45" t="s">
        <v>2182</v>
      </c>
      <c r="B2154" s="46" t="s">
        <v>19741</v>
      </c>
      <c r="C2154">
        <v>5</v>
      </c>
      <c r="D2154">
        <v>30</v>
      </c>
    </row>
    <row r="2155" spans="1:4" x14ac:dyDescent="0.25">
      <c r="A2155" s="45" t="s">
        <v>2183</v>
      </c>
      <c r="B2155" s="46" t="s">
        <v>19742</v>
      </c>
      <c r="C2155">
        <v>5</v>
      </c>
      <c r="D2155">
        <v>32</v>
      </c>
    </row>
    <row r="2156" spans="1:4" x14ac:dyDescent="0.25">
      <c r="A2156" s="45" t="s">
        <v>2184</v>
      </c>
      <c r="B2156" s="46" t="s">
        <v>19743</v>
      </c>
      <c r="C2156">
        <v>5</v>
      </c>
      <c r="D2156">
        <v>30</v>
      </c>
    </row>
    <row r="2157" spans="1:4" x14ac:dyDescent="0.25">
      <c r="A2157" s="45" t="s">
        <v>2185</v>
      </c>
      <c r="B2157" s="46" t="s">
        <v>19744</v>
      </c>
      <c r="C2157">
        <v>5</v>
      </c>
      <c r="D2157">
        <v>30</v>
      </c>
    </row>
    <row r="2158" spans="1:4" x14ac:dyDescent="0.25">
      <c r="A2158" s="45" t="s">
        <v>2186</v>
      </c>
      <c r="B2158" s="46" t="s">
        <v>19745</v>
      </c>
      <c r="C2158">
        <v>5</v>
      </c>
      <c r="D2158">
        <v>30</v>
      </c>
    </row>
    <row r="2159" spans="1:4" x14ac:dyDescent="0.25">
      <c r="A2159" s="45" t="s">
        <v>2187</v>
      </c>
      <c r="B2159" s="46" t="s">
        <v>19746</v>
      </c>
      <c r="C2159">
        <v>5</v>
      </c>
      <c r="D2159">
        <v>30</v>
      </c>
    </row>
    <row r="2160" spans="1:4" x14ac:dyDescent="0.25">
      <c r="A2160" s="45" t="s">
        <v>2188</v>
      </c>
      <c r="B2160" s="46" t="s">
        <v>19747</v>
      </c>
      <c r="C2160">
        <v>5</v>
      </c>
      <c r="D2160">
        <v>30</v>
      </c>
    </row>
    <row r="2161" spans="1:4" x14ac:dyDescent="0.25">
      <c r="A2161" s="45" t="s">
        <v>2189</v>
      </c>
      <c r="B2161" s="46" t="s">
        <v>19748</v>
      </c>
      <c r="C2161">
        <v>5</v>
      </c>
      <c r="D2161">
        <v>30</v>
      </c>
    </row>
    <row r="2162" spans="1:4" x14ac:dyDescent="0.25">
      <c r="A2162" s="45" t="s">
        <v>2190</v>
      </c>
      <c r="B2162" s="46" t="s">
        <v>19749</v>
      </c>
      <c r="C2162">
        <v>5</v>
      </c>
      <c r="D2162">
        <v>30</v>
      </c>
    </row>
    <row r="2163" spans="1:4" x14ac:dyDescent="0.25">
      <c r="A2163" s="45" t="s">
        <v>2191</v>
      </c>
      <c r="B2163" s="46" t="s">
        <v>19750</v>
      </c>
      <c r="C2163">
        <v>5</v>
      </c>
      <c r="D2163">
        <v>30</v>
      </c>
    </row>
    <row r="2164" spans="1:4" x14ac:dyDescent="0.25">
      <c r="A2164" s="45" t="s">
        <v>2192</v>
      </c>
      <c r="B2164" s="46" t="s">
        <v>19751</v>
      </c>
      <c r="C2164">
        <v>5</v>
      </c>
      <c r="D2164">
        <v>30</v>
      </c>
    </row>
    <row r="2165" spans="1:4" x14ac:dyDescent="0.25">
      <c r="A2165" s="45" t="s">
        <v>2193</v>
      </c>
      <c r="B2165" s="46" t="s">
        <v>19752</v>
      </c>
      <c r="C2165">
        <v>5</v>
      </c>
      <c r="D2165">
        <v>32</v>
      </c>
    </row>
    <row r="2166" spans="1:4" x14ac:dyDescent="0.25">
      <c r="A2166" s="45" t="s">
        <v>2194</v>
      </c>
      <c r="B2166" s="46" t="s">
        <v>19753</v>
      </c>
      <c r="C2166">
        <v>5</v>
      </c>
      <c r="D2166">
        <v>30</v>
      </c>
    </row>
    <row r="2167" spans="1:4" x14ac:dyDescent="0.25">
      <c r="A2167" s="45" t="s">
        <v>2195</v>
      </c>
      <c r="B2167" s="46" t="s">
        <v>19754</v>
      </c>
      <c r="C2167">
        <v>5</v>
      </c>
      <c r="D2167">
        <v>30</v>
      </c>
    </row>
    <row r="2168" spans="1:4" x14ac:dyDescent="0.25">
      <c r="A2168" s="45" t="s">
        <v>2196</v>
      </c>
      <c r="B2168" s="46" t="s">
        <v>19755</v>
      </c>
      <c r="C2168">
        <v>5</v>
      </c>
      <c r="D2168">
        <v>30</v>
      </c>
    </row>
    <row r="2169" spans="1:4" x14ac:dyDescent="0.25">
      <c r="A2169" s="45" t="s">
        <v>2197</v>
      </c>
      <c r="B2169" s="46" t="s">
        <v>19756</v>
      </c>
      <c r="C2169">
        <v>5</v>
      </c>
      <c r="D2169">
        <v>30</v>
      </c>
    </row>
    <row r="2170" spans="1:4" x14ac:dyDescent="0.25">
      <c r="A2170" s="45" t="s">
        <v>2198</v>
      </c>
      <c r="B2170" s="46" t="s">
        <v>19757</v>
      </c>
      <c r="C2170">
        <v>5</v>
      </c>
      <c r="D2170">
        <v>30</v>
      </c>
    </row>
    <row r="2171" spans="1:4" x14ac:dyDescent="0.25">
      <c r="A2171" s="45" t="s">
        <v>2199</v>
      </c>
      <c r="B2171" s="46" t="s">
        <v>19758</v>
      </c>
      <c r="C2171">
        <v>5</v>
      </c>
      <c r="D2171">
        <v>30</v>
      </c>
    </row>
    <row r="2172" spans="1:4" x14ac:dyDescent="0.25">
      <c r="A2172" s="45" t="s">
        <v>2200</v>
      </c>
      <c r="B2172" s="46" t="s">
        <v>19759</v>
      </c>
      <c r="C2172">
        <v>5</v>
      </c>
      <c r="D2172">
        <v>30</v>
      </c>
    </row>
    <row r="2173" spans="1:4" x14ac:dyDescent="0.25">
      <c r="A2173" s="45" t="s">
        <v>2201</v>
      </c>
      <c r="B2173" s="46" t="s">
        <v>19760</v>
      </c>
      <c r="C2173">
        <v>5</v>
      </c>
      <c r="D2173">
        <v>31</v>
      </c>
    </row>
    <row r="2174" spans="1:4" x14ac:dyDescent="0.25">
      <c r="A2174" s="45" t="s">
        <v>2202</v>
      </c>
      <c r="B2174" s="46" t="s">
        <v>14193</v>
      </c>
      <c r="C2174">
        <v>5</v>
      </c>
      <c r="D2174">
        <v>31</v>
      </c>
    </row>
    <row r="2175" spans="1:4" x14ac:dyDescent="0.25">
      <c r="A2175" s="45" t="s">
        <v>2203</v>
      </c>
      <c r="B2175" s="46" t="s">
        <v>14194</v>
      </c>
      <c r="C2175">
        <v>5</v>
      </c>
      <c r="D2175">
        <v>31</v>
      </c>
    </row>
    <row r="2176" spans="1:4" x14ac:dyDescent="0.25">
      <c r="A2176" s="45" t="s">
        <v>2204</v>
      </c>
      <c r="B2176" s="46" t="s">
        <v>14195</v>
      </c>
      <c r="C2176">
        <v>5</v>
      </c>
      <c r="D2176">
        <v>31</v>
      </c>
    </row>
    <row r="2177" spans="1:4" x14ac:dyDescent="0.25">
      <c r="A2177" s="45" t="s">
        <v>2205</v>
      </c>
      <c r="B2177" s="46" t="s">
        <v>14196</v>
      </c>
      <c r="C2177">
        <v>5</v>
      </c>
      <c r="D2177">
        <v>31</v>
      </c>
    </row>
    <row r="2178" spans="1:4" x14ac:dyDescent="0.25">
      <c r="A2178" s="45" t="s">
        <v>2206</v>
      </c>
      <c r="B2178" s="46" t="s">
        <v>14197</v>
      </c>
      <c r="C2178">
        <v>5</v>
      </c>
      <c r="D2178">
        <v>31</v>
      </c>
    </row>
    <row r="2179" spans="1:4" x14ac:dyDescent="0.25">
      <c r="A2179" s="45" t="s">
        <v>2207</v>
      </c>
      <c r="B2179" s="46" t="s">
        <v>14198</v>
      </c>
      <c r="C2179">
        <v>5</v>
      </c>
      <c r="D2179">
        <v>31</v>
      </c>
    </row>
    <row r="2180" spans="1:4" x14ac:dyDescent="0.25">
      <c r="A2180" s="45" t="s">
        <v>2208</v>
      </c>
      <c r="B2180" s="46" t="s">
        <v>14199</v>
      </c>
      <c r="C2180">
        <v>5</v>
      </c>
      <c r="D2180">
        <v>31</v>
      </c>
    </row>
    <row r="2181" spans="1:4" x14ac:dyDescent="0.25">
      <c r="A2181" s="45" t="s">
        <v>2209</v>
      </c>
      <c r="B2181" s="46" t="s">
        <v>14200</v>
      </c>
      <c r="C2181">
        <v>5</v>
      </c>
      <c r="D2181">
        <v>31</v>
      </c>
    </row>
    <row r="2182" spans="1:4" x14ac:dyDescent="0.25">
      <c r="A2182" s="45" t="s">
        <v>2210</v>
      </c>
      <c r="B2182" s="46" t="s">
        <v>14201</v>
      </c>
      <c r="C2182">
        <v>5</v>
      </c>
      <c r="D2182">
        <v>31</v>
      </c>
    </row>
    <row r="2183" spans="1:4" x14ac:dyDescent="0.25">
      <c r="A2183" s="45" t="s">
        <v>2211</v>
      </c>
      <c r="B2183" s="46" t="s">
        <v>14202</v>
      </c>
      <c r="C2183">
        <v>5</v>
      </c>
      <c r="D2183">
        <v>31</v>
      </c>
    </row>
    <row r="2184" spans="1:4" x14ac:dyDescent="0.25">
      <c r="A2184" s="45" t="s">
        <v>2212</v>
      </c>
      <c r="B2184" s="46" t="s">
        <v>14203</v>
      </c>
      <c r="C2184">
        <v>5</v>
      </c>
      <c r="D2184">
        <v>31</v>
      </c>
    </row>
    <row r="2185" spans="1:4" x14ac:dyDescent="0.25">
      <c r="A2185" s="45" t="s">
        <v>2213</v>
      </c>
      <c r="B2185" s="46" t="s">
        <v>14204</v>
      </c>
      <c r="C2185">
        <v>5</v>
      </c>
      <c r="D2185">
        <v>31</v>
      </c>
    </row>
    <row r="2186" spans="1:4" x14ac:dyDescent="0.25">
      <c r="A2186" s="45" t="s">
        <v>2214</v>
      </c>
      <c r="B2186" s="46" t="s">
        <v>14205</v>
      </c>
      <c r="C2186">
        <v>5</v>
      </c>
      <c r="D2186">
        <v>31</v>
      </c>
    </row>
    <row r="2187" spans="1:4" x14ac:dyDescent="0.25">
      <c r="A2187" s="45" t="s">
        <v>2215</v>
      </c>
      <c r="B2187" s="46" t="s">
        <v>14206</v>
      </c>
      <c r="C2187">
        <v>5</v>
      </c>
      <c r="D2187">
        <v>31</v>
      </c>
    </row>
    <row r="2188" spans="1:4" x14ac:dyDescent="0.25">
      <c r="A2188" s="45" t="s">
        <v>2216</v>
      </c>
      <c r="B2188" s="46" t="s">
        <v>14207</v>
      </c>
      <c r="C2188">
        <v>5</v>
      </c>
      <c r="D2188">
        <v>31</v>
      </c>
    </row>
    <row r="2189" spans="1:4" x14ac:dyDescent="0.25">
      <c r="A2189" s="45" t="s">
        <v>2217</v>
      </c>
      <c r="B2189" s="46" t="s">
        <v>14208</v>
      </c>
      <c r="C2189">
        <v>5</v>
      </c>
      <c r="D2189">
        <v>31</v>
      </c>
    </row>
    <row r="2190" spans="1:4" x14ac:dyDescent="0.25">
      <c r="A2190" s="45" t="s">
        <v>2218</v>
      </c>
      <c r="B2190" s="46" t="s">
        <v>14209</v>
      </c>
      <c r="C2190">
        <v>5</v>
      </c>
      <c r="D2190">
        <v>31</v>
      </c>
    </row>
    <row r="2191" spans="1:4" x14ac:dyDescent="0.25">
      <c r="A2191" s="45" t="s">
        <v>2219</v>
      </c>
      <c r="B2191" s="46" t="s">
        <v>14210</v>
      </c>
      <c r="C2191">
        <v>5</v>
      </c>
      <c r="D2191">
        <v>31</v>
      </c>
    </row>
    <row r="2192" spans="1:4" x14ac:dyDescent="0.25">
      <c r="A2192" s="45" t="s">
        <v>2220</v>
      </c>
      <c r="B2192" s="46" t="s">
        <v>19761</v>
      </c>
      <c r="C2192">
        <v>5</v>
      </c>
      <c r="D2192">
        <v>31</v>
      </c>
    </row>
    <row r="2193" spans="1:4" x14ac:dyDescent="0.25">
      <c r="A2193" s="45" t="s">
        <v>2221</v>
      </c>
      <c r="B2193" s="46" t="s">
        <v>14211</v>
      </c>
      <c r="C2193">
        <v>5</v>
      </c>
      <c r="D2193">
        <v>31</v>
      </c>
    </row>
    <row r="2194" spans="1:4" x14ac:dyDescent="0.25">
      <c r="A2194" s="45" t="s">
        <v>2222</v>
      </c>
      <c r="B2194" s="46" t="s">
        <v>14212</v>
      </c>
      <c r="C2194">
        <v>5</v>
      </c>
      <c r="D2194">
        <v>31</v>
      </c>
    </row>
    <row r="2195" spans="1:4" x14ac:dyDescent="0.25">
      <c r="A2195" s="45" t="s">
        <v>2223</v>
      </c>
      <c r="B2195" s="46" t="s">
        <v>14213</v>
      </c>
      <c r="C2195">
        <v>5</v>
      </c>
      <c r="D2195">
        <v>31</v>
      </c>
    </row>
    <row r="2196" spans="1:4" x14ac:dyDescent="0.25">
      <c r="A2196" s="45" t="s">
        <v>2224</v>
      </c>
      <c r="B2196" s="46" t="s">
        <v>14214</v>
      </c>
      <c r="C2196">
        <v>5</v>
      </c>
      <c r="D2196">
        <v>31</v>
      </c>
    </row>
    <row r="2197" spans="1:4" x14ac:dyDescent="0.25">
      <c r="A2197" s="45" t="s">
        <v>2225</v>
      </c>
      <c r="B2197" s="46" t="s">
        <v>14215</v>
      </c>
      <c r="C2197">
        <v>5</v>
      </c>
      <c r="D2197">
        <v>31</v>
      </c>
    </row>
    <row r="2198" spans="1:4" x14ac:dyDescent="0.25">
      <c r="A2198" s="45" t="s">
        <v>2226</v>
      </c>
      <c r="B2198" s="46" t="s">
        <v>14216</v>
      </c>
      <c r="C2198">
        <v>5</v>
      </c>
      <c r="D2198">
        <v>31</v>
      </c>
    </row>
    <row r="2199" spans="1:4" x14ac:dyDescent="0.25">
      <c r="A2199" s="45" t="s">
        <v>2227</v>
      </c>
      <c r="B2199" s="46" t="s">
        <v>14217</v>
      </c>
      <c r="C2199">
        <v>5</v>
      </c>
      <c r="D2199">
        <v>31</v>
      </c>
    </row>
    <row r="2200" spans="1:4" x14ac:dyDescent="0.25">
      <c r="A2200" s="45" t="s">
        <v>2228</v>
      </c>
      <c r="B2200" s="46" t="s">
        <v>14218</v>
      </c>
      <c r="C2200">
        <v>5</v>
      </c>
      <c r="D2200">
        <v>31</v>
      </c>
    </row>
    <row r="2201" spans="1:4" x14ac:dyDescent="0.25">
      <c r="A2201" s="45" t="s">
        <v>2229</v>
      </c>
      <c r="B2201" s="46" t="s">
        <v>19762</v>
      </c>
      <c r="C2201">
        <v>5</v>
      </c>
      <c r="D2201">
        <v>31</v>
      </c>
    </row>
    <row r="2202" spans="1:4" x14ac:dyDescent="0.25">
      <c r="A2202" s="45" t="s">
        <v>2230</v>
      </c>
      <c r="B2202" s="46" t="s">
        <v>14219</v>
      </c>
      <c r="C2202">
        <v>5</v>
      </c>
      <c r="D2202">
        <v>31</v>
      </c>
    </row>
    <row r="2203" spans="1:4" x14ac:dyDescent="0.25">
      <c r="A2203" s="45" t="s">
        <v>2231</v>
      </c>
      <c r="B2203" s="46" t="s">
        <v>14220</v>
      </c>
      <c r="C2203">
        <v>5</v>
      </c>
      <c r="D2203">
        <v>31</v>
      </c>
    </row>
    <row r="2204" spans="1:4" x14ac:dyDescent="0.25">
      <c r="A2204" s="45" t="s">
        <v>2232</v>
      </c>
      <c r="B2204" s="46" t="s">
        <v>14221</v>
      </c>
      <c r="C2204">
        <v>5</v>
      </c>
      <c r="D2204">
        <v>31</v>
      </c>
    </row>
    <row r="2205" spans="1:4" x14ac:dyDescent="0.25">
      <c r="A2205" s="45" t="s">
        <v>2233</v>
      </c>
      <c r="B2205" s="46" t="s">
        <v>14222</v>
      </c>
      <c r="C2205">
        <v>5</v>
      </c>
      <c r="D2205">
        <v>31</v>
      </c>
    </row>
    <row r="2206" spans="1:4" x14ac:dyDescent="0.25">
      <c r="A2206" s="45" t="s">
        <v>2234</v>
      </c>
      <c r="B2206" s="46" t="s">
        <v>14223</v>
      </c>
      <c r="C2206">
        <v>5</v>
      </c>
      <c r="D2206">
        <v>31</v>
      </c>
    </row>
    <row r="2207" spans="1:4" x14ac:dyDescent="0.25">
      <c r="A2207" s="45" t="s">
        <v>2235</v>
      </c>
      <c r="B2207" s="46" t="s">
        <v>19763</v>
      </c>
      <c r="C2207">
        <v>5</v>
      </c>
      <c r="D2207">
        <v>31</v>
      </c>
    </row>
    <row r="2208" spans="1:4" x14ac:dyDescent="0.25">
      <c r="A2208" s="45" t="s">
        <v>2236</v>
      </c>
      <c r="B2208" s="46" t="s">
        <v>19764</v>
      </c>
      <c r="C2208">
        <v>5</v>
      </c>
      <c r="D2208">
        <v>31</v>
      </c>
    </row>
    <row r="2209" spans="1:4" x14ac:dyDescent="0.25">
      <c r="A2209" s="45" t="s">
        <v>2237</v>
      </c>
      <c r="B2209" s="46" t="s">
        <v>19765</v>
      </c>
      <c r="C2209">
        <v>5</v>
      </c>
      <c r="D2209">
        <v>31</v>
      </c>
    </row>
    <row r="2210" spans="1:4" x14ac:dyDescent="0.25">
      <c r="A2210" s="45" t="s">
        <v>2238</v>
      </c>
      <c r="B2210" s="46" t="s">
        <v>19766</v>
      </c>
      <c r="C2210">
        <v>5</v>
      </c>
      <c r="D2210">
        <v>31</v>
      </c>
    </row>
    <row r="2211" spans="1:4" x14ac:dyDescent="0.25">
      <c r="A2211" s="45" t="s">
        <v>2239</v>
      </c>
      <c r="B2211" s="46" t="s">
        <v>19767</v>
      </c>
      <c r="C2211">
        <v>5</v>
      </c>
      <c r="D2211">
        <v>31</v>
      </c>
    </row>
    <row r="2212" spans="1:4" x14ac:dyDescent="0.25">
      <c r="A2212" s="45" t="s">
        <v>2240</v>
      </c>
      <c r="B2212" s="46" t="s">
        <v>14224</v>
      </c>
      <c r="C2212">
        <v>5</v>
      </c>
      <c r="D2212">
        <v>31</v>
      </c>
    </row>
    <row r="2213" spans="1:4" x14ac:dyDescent="0.25">
      <c r="A2213" s="45" t="s">
        <v>2241</v>
      </c>
      <c r="B2213" s="46" t="s">
        <v>14225</v>
      </c>
      <c r="C2213">
        <v>5</v>
      </c>
      <c r="D2213">
        <v>31</v>
      </c>
    </row>
    <row r="2214" spans="1:4" x14ac:dyDescent="0.25">
      <c r="A2214" s="45" t="s">
        <v>2242</v>
      </c>
      <c r="B2214" s="46" t="s">
        <v>14226</v>
      </c>
      <c r="C2214">
        <v>5</v>
      </c>
      <c r="D2214">
        <v>31</v>
      </c>
    </row>
    <row r="2215" spans="1:4" x14ac:dyDescent="0.25">
      <c r="A2215" s="45" t="s">
        <v>2243</v>
      </c>
      <c r="B2215" s="46" t="s">
        <v>14227</v>
      </c>
      <c r="C2215">
        <v>5</v>
      </c>
      <c r="D2215">
        <v>32</v>
      </c>
    </row>
    <row r="2216" spans="1:4" x14ac:dyDescent="0.25">
      <c r="A2216" s="45" t="s">
        <v>2244</v>
      </c>
      <c r="B2216" s="46" t="s">
        <v>14228</v>
      </c>
      <c r="C2216">
        <v>5</v>
      </c>
      <c r="D2216">
        <v>31</v>
      </c>
    </row>
    <row r="2217" spans="1:4" x14ac:dyDescent="0.25">
      <c r="A2217" s="45" t="s">
        <v>2245</v>
      </c>
      <c r="B2217" s="46" t="s">
        <v>14229</v>
      </c>
      <c r="C2217">
        <v>5</v>
      </c>
      <c r="D2217">
        <v>31</v>
      </c>
    </row>
    <row r="2218" spans="1:4" x14ac:dyDescent="0.25">
      <c r="A2218" s="45" t="s">
        <v>2246</v>
      </c>
      <c r="B2218" s="46" t="s">
        <v>14230</v>
      </c>
      <c r="C2218">
        <v>5</v>
      </c>
      <c r="D2218">
        <v>31</v>
      </c>
    </row>
    <row r="2219" spans="1:4" x14ac:dyDescent="0.25">
      <c r="A2219" s="45" t="s">
        <v>2247</v>
      </c>
      <c r="B2219" s="46" t="s">
        <v>14231</v>
      </c>
      <c r="C2219">
        <v>5</v>
      </c>
      <c r="D2219">
        <v>31</v>
      </c>
    </row>
    <row r="2220" spans="1:4" x14ac:dyDescent="0.25">
      <c r="A2220" s="45" t="s">
        <v>2248</v>
      </c>
      <c r="B2220" s="46" t="s">
        <v>14232</v>
      </c>
      <c r="C2220">
        <v>5</v>
      </c>
      <c r="D2220">
        <v>31</v>
      </c>
    </row>
    <row r="2221" spans="1:4" x14ac:dyDescent="0.25">
      <c r="A2221" s="45" t="s">
        <v>2249</v>
      </c>
      <c r="B2221" s="46" t="s">
        <v>14233</v>
      </c>
      <c r="C2221">
        <v>5</v>
      </c>
      <c r="D2221">
        <v>32</v>
      </c>
    </row>
    <row r="2222" spans="1:4" x14ac:dyDescent="0.25">
      <c r="A2222" s="45" t="s">
        <v>2250</v>
      </c>
      <c r="B2222" s="46" t="s">
        <v>14234</v>
      </c>
      <c r="C2222">
        <v>5</v>
      </c>
      <c r="D2222">
        <v>31</v>
      </c>
    </row>
    <row r="2223" spans="1:4" x14ac:dyDescent="0.25">
      <c r="A2223" s="45" t="s">
        <v>2251</v>
      </c>
      <c r="B2223" s="46" t="s">
        <v>14235</v>
      </c>
      <c r="C2223">
        <v>5</v>
      </c>
      <c r="D2223">
        <v>31</v>
      </c>
    </row>
    <row r="2224" spans="1:4" x14ac:dyDescent="0.25">
      <c r="A2224" s="45" t="s">
        <v>2252</v>
      </c>
      <c r="B2224" s="46" t="s">
        <v>19768</v>
      </c>
      <c r="C2224">
        <v>5</v>
      </c>
      <c r="D2224">
        <v>31</v>
      </c>
    </row>
    <row r="2225" spans="1:4" x14ac:dyDescent="0.25">
      <c r="A2225" s="45" t="s">
        <v>2253</v>
      </c>
      <c r="B2225" s="46" t="s">
        <v>19769</v>
      </c>
      <c r="C2225">
        <v>5</v>
      </c>
      <c r="D2225">
        <v>31</v>
      </c>
    </row>
    <row r="2226" spans="1:4" x14ac:dyDescent="0.25">
      <c r="A2226" s="45" t="s">
        <v>2254</v>
      </c>
      <c r="B2226" s="46" t="s">
        <v>14236</v>
      </c>
      <c r="C2226">
        <v>5</v>
      </c>
      <c r="D2226">
        <v>31</v>
      </c>
    </row>
    <row r="2227" spans="1:4" x14ac:dyDescent="0.25">
      <c r="A2227" s="45" t="s">
        <v>2255</v>
      </c>
      <c r="B2227" s="46" t="s">
        <v>14237</v>
      </c>
      <c r="C2227">
        <v>5</v>
      </c>
      <c r="D2227">
        <v>31</v>
      </c>
    </row>
    <row r="2228" spans="1:4" x14ac:dyDescent="0.25">
      <c r="A2228" s="45" t="s">
        <v>2256</v>
      </c>
      <c r="B2228" s="46" t="s">
        <v>14238</v>
      </c>
      <c r="C2228">
        <v>5</v>
      </c>
      <c r="D2228">
        <v>31</v>
      </c>
    </row>
    <row r="2229" spans="1:4" x14ac:dyDescent="0.25">
      <c r="A2229" s="45" t="s">
        <v>2257</v>
      </c>
      <c r="B2229" s="46" t="s">
        <v>14239</v>
      </c>
      <c r="C2229">
        <v>5</v>
      </c>
      <c r="D2229">
        <v>32</v>
      </c>
    </row>
    <row r="2230" spans="1:4" x14ac:dyDescent="0.25">
      <c r="A2230" s="45" t="s">
        <v>2258</v>
      </c>
      <c r="B2230" s="46" t="s">
        <v>14240</v>
      </c>
      <c r="C2230">
        <v>5</v>
      </c>
      <c r="D2230">
        <v>31</v>
      </c>
    </row>
    <row r="2231" spans="1:4" x14ac:dyDescent="0.25">
      <c r="A2231" s="45" t="s">
        <v>2259</v>
      </c>
      <c r="B2231" s="46" t="s">
        <v>19770</v>
      </c>
      <c r="C2231">
        <v>5</v>
      </c>
      <c r="D2231">
        <v>31</v>
      </c>
    </row>
    <row r="2232" spans="1:4" x14ac:dyDescent="0.25">
      <c r="A2232" s="45" t="s">
        <v>2260</v>
      </c>
      <c r="B2232" s="46" t="s">
        <v>19771</v>
      </c>
      <c r="C2232">
        <v>5</v>
      </c>
      <c r="D2232">
        <v>31</v>
      </c>
    </row>
    <row r="2233" spans="1:4" x14ac:dyDescent="0.25">
      <c r="A2233" s="45" t="s">
        <v>2261</v>
      </c>
      <c r="B2233" s="46" t="s">
        <v>19772</v>
      </c>
      <c r="C2233">
        <v>5</v>
      </c>
      <c r="D2233">
        <v>31</v>
      </c>
    </row>
    <row r="2234" spans="1:4" x14ac:dyDescent="0.25">
      <c r="A2234" s="45" t="s">
        <v>2262</v>
      </c>
      <c r="B2234" s="46" t="s">
        <v>19773</v>
      </c>
      <c r="C2234">
        <v>5</v>
      </c>
      <c r="D2234">
        <v>31</v>
      </c>
    </row>
    <row r="2235" spans="1:4" x14ac:dyDescent="0.25">
      <c r="A2235" s="45" t="s">
        <v>2263</v>
      </c>
      <c r="B2235" s="46" t="s">
        <v>19774</v>
      </c>
      <c r="C2235">
        <v>5</v>
      </c>
      <c r="D2235">
        <v>31</v>
      </c>
    </row>
    <row r="2236" spans="1:4" x14ac:dyDescent="0.25">
      <c r="A2236" s="45" t="s">
        <v>2264</v>
      </c>
      <c r="B2236" s="46" t="s">
        <v>19775</v>
      </c>
      <c r="C2236">
        <v>5</v>
      </c>
      <c r="D2236">
        <v>32</v>
      </c>
    </row>
    <row r="2237" spans="1:4" x14ac:dyDescent="0.25">
      <c r="A2237" s="45" t="s">
        <v>2265</v>
      </c>
      <c r="B2237" s="46" t="s">
        <v>14241</v>
      </c>
      <c r="C2237">
        <v>5</v>
      </c>
      <c r="D2237">
        <v>32</v>
      </c>
    </row>
    <row r="2238" spans="1:4" x14ac:dyDescent="0.25">
      <c r="A2238" s="45" t="s">
        <v>2266</v>
      </c>
      <c r="B2238" s="46" t="s">
        <v>14242</v>
      </c>
      <c r="C2238">
        <v>5</v>
      </c>
      <c r="D2238">
        <v>32</v>
      </c>
    </row>
    <row r="2239" spans="1:4" x14ac:dyDescent="0.25">
      <c r="A2239" s="45" t="s">
        <v>2267</v>
      </c>
      <c r="B2239" s="46" t="s">
        <v>19776</v>
      </c>
      <c r="C2239">
        <v>5</v>
      </c>
      <c r="D2239">
        <v>32</v>
      </c>
    </row>
    <row r="2240" spans="1:4" x14ac:dyDescent="0.25">
      <c r="A2240" s="45" t="s">
        <v>2268</v>
      </c>
      <c r="B2240" s="46" t="s">
        <v>14243</v>
      </c>
      <c r="C2240">
        <v>5</v>
      </c>
      <c r="D2240">
        <v>32</v>
      </c>
    </row>
    <row r="2241" spans="1:4" x14ac:dyDescent="0.25">
      <c r="A2241" s="45" t="s">
        <v>2269</v>
      </c>
      <c r="B2241" s="46" t="s">
        <v>14244</v>
      </c>
      <c r="C2241">
        <v>5</v>
      </c>
      <c r="D2241">
        <v>32</v>
      </c>
    </row>
    <row r="2242" spans="1:4" x14ac:dyDescent="0.25">
      <c r="A2242" s="45" t="s">
        <v>2270</v>
      </c>
      <c r="B2242" s="46" t="s">
        <v>19777</v>
      </c>
      <c r="C2242">
        <v>5</v>
      </c>
      <c r="D2242">
        <v>32</v>
      </c>
    </row>
    <row r="2243" spans="1:4" x14ac:dyDescent="0.25">
      <c r="A2243" s="45" t="s">
        <v>2271</v>
      </c>
      <c r="B2243" s="46" t="s">
        <v>14245</v>
      </c>
      <c r="C2243">
        <v>5</v>
      </c>
      <c r="D2243">
        <v>32</v>
      </c>
    </row>
    <row r="2244" spans="1:4" x14ac:dyDescent="0.25">
      <c r="A2244" s="45" t="s">
        <v>2272</v>
      </c>
      <c r="B2244" s="46" t="s">
        <v>14246</v>
      </c>
      <c r="C2244">
        <v>5</v>
      </c>
      <c r="D2244">
        <v>32</v>
      </c>
    </row>
    <row r="2245" spans="1:4" x14ac:dyDescent="0.25">
      <c r="A2245" s="45" t="s">
        <v>2273</v>
      </c>
      <c r="B2245" s="46" t="s">
        <v>14247</v>
      </c>
      <c r="C2245">
        <v>5</v>
      </c>
      <c r="D2245">
        <v>32</v>
      </c>
    </row>
    <row r="2246" spans="1:4" x14ac:dyDescent="0.25">
      <c r="A2246" s="45" t="s">
        <v>2274</v>
      </c>
      <c r="B2246" s="46" t="s">
        <v>14248</v>
      </c>
      <c r="C2246">
        <v>5</v>
      </c>
      <c r="D2246">
        <v>32</v>
      </c>
    </row>
    <row r="2247" spans="1:4" x14ac:dyDescent="0.25">
      <c r="A2247" s="45" t="s">
        <v>2275</v>
      </c>
      <c r="B2247" s="46" t="s">
        <v>19778</v>
      </c>
      <c r="C2247">
        <v>5</v>
      </c>
      <c r="D2247">
        <v>32</v>
      </c>
    </row>
    <row r="2248" spans="1:4" x14ac:dyDescent="0.25">
      <c r="A2248" s="45" t="s">
        <v>2276</v>
      </c>
      <c r="B2248" s="46" t="s">
        <v>14249</v>
      </c>
      <c r="C2248">
        <v>5</v>
      </c>
      <c r="D2248">
        <v>32</v>
      </c>
    </row>
    <row r="2249" spans="1:4" x14ac:dyDescent="0.25">
      <c r="A2249" s="45" t="s">
        <v>2277</v>
      </c>
      <c r="B2249" s="46" t="s">
        <v>19779</v>
      </c>
      <c r="C2249">
        <v>5</v>
      </c>
      <c r="D2249">
        <v>32</v>
      </c>
    </row>
    <row r="2250" spans="1:4" x14ac:dyDescent="0.25">
      <c r="A2250" s="45" t="s">
        <v>2278</v>
      </c>
      <c r="B2250" s="46" t="s">
        <v>14250</v>
      </c>
      <c r="C2250">
        <v>5</v>
      </c>
      <c r="D2250">
        <v>32</v>
      </c>
    </row>
    <row r="2251" spans="1:4" x14ac:dyDescent="0.25">
      <c r="A2251" s="45" t="s">
        <v>2279</v>
      </c>
      <c r="B2251" s="46" t="s">
        <v>14251</v>
      </c>
      <c r="C2251">
        <v>5</v>
      </c>
      <c r="D2251">
        <v>32</v>
      </c>
    </row>
    <row r="2252" spans="1:4" x14ac:dyDescent="0.25">
      <c r="A2252" s="45" t="s">
        <v>2280</v>
      </c>
      <c r="B2252" s="46" t="s">
        <v>14252</v>
      </c>
      <c r="C2252">
        <v>5</v>
      </c>
      <c r="D2252">
        <v>32</v>
      </c>
    </row>
    <row r="2253" spans="1:4" x14ac:dyDescent="0.25">
      <c r="A2253" s="45" t="s">
        <v>2281</v>
      </c>
      <c r="B2253" s="46" t="s">
        <v>19780</v>
      </c>
      <c r="C2253">
        <v>5</v>
      </c>
      <c r="D2253">
        <v>32</v>
      </c>
    </row>
    <row r="2254" spans="1:4" x14ac:dyDescent="0.25">
      <c r="A2254" s="45" t="s">
        <v>2282</v>
      </c>
      <c r="B2254" s="46" t="s">
        <v>19781</v>
      </c>
      <c r="C2254">
        <v>5</v>
      </c>
      <c r="D2254">
        <v>32</v>
      </c>
    </row>
    <row r="2255" spans="1:4" x14ac:dyDescent="0.25">
      <c r="A2255" s="45" t="s">
        <v>2283</v>
      </c>
      <c r="B2255" s="46" t="s">
        <v>14253</v>
      </c>
      <c r="C2255">
        <v>5</v>
      </c>
      <c r="D2255">
        <v>32</v>
      </c>
    </row>
    <row r="2256" spans="1:4" x14ac:dyDescent="0.25">
      <c r="A2256" s="45" t="s">
        <v>2284</v>
      </c>
      <c r="B2256" s="46" t="s">
        <v>19782</v>
      </c>
      <c r="C2256">
        <v>5</v>
      </c>
      <c r="D2256">
        <v>32</v>
      </c>
    </row>
    <row r="2257" spans="1:4" x14ac:dyDescent="0.25">
      <c r="A2257" s="45" t="s">
        <v>2285</v>
      </c>
      <c r="B2257" s="46" t="s">
        <v>19783</v>
      </c>
      <c r="C2257">
        <v>5</v>
      </c>
      <c r="D2257">
        <v>32</v>
      </c>
    </row>
    <row r="2258" spans="1:4" x14ac:dyDescent="0.25">
      <c r="A2258" s="45" t="s">
        <v>2286</v>
      </c>
      <c r="B2258" s="46" t="s">
        <v>14254</v>
      </c>
      <c r="C2258">
        <v>5</v>
      </c>
      <c r="D2258">
        <v>32</v>
      </c>
    </row>
    <row r="2259" spans="1:4" x14ac:dyDescent="0.25">
      <c r="A2259" s="45" t="s">
        <v>2287</v>
      </c>
      <c r="B2259" s="46" t="s">
        <v>14255</v>
      </c>
      <c r="C2259">
        <v>5</v>
      </c>
      <c r="D2259">
        <v>31</v>
      </c>
    </row>
    <row r="2260" spans="1:4" x14ac:dyDescent="0.25">
      <c r="A2260" s="45" t="s">
        <v>2288</v>
      </c>
      <c r="B2260" s="46" t="s">
        <v>14256</v>
      </c>
      <c r="C2260">
        <v>5</v>
      </c>
      <c r="D2260">
        <v>32</v>
      </c>
    </row>
    <row r="2261" spans="1:4" x14ac:dyDescent="0.25">
      <c r="A2261" s="45" t="s">
        <v>2289</v>
      </c>
      <c r="B2261" s="46" t="s">
        <v>14257</v>
      </c>
      <c r="C2261">
        <v>5</v>
      </c>
      <c r="D2261">
        <v>32</v>
      </c>
    </row>
    <row r="2262" spans="1:4" x14ac:dyDescent="0.25">
      <c r="A2262" s="45" t="s">
        <v>2290</v>
      </c>
      <c r="B2262" s="46" t="s">
        <v>14258</v>
      </c>
      <c r="C2262">
        <v>5</v>
      </c>
      <c r="D2262">
        <v>32</v>
      </c>
    </row>
    <row r="2263" spans="1:4" x14ac:dyDescent="0.25">
      <c r="A2263" s="45" t="s">
        <v>2291</v>
      </c>
      <c r="B2263" s="46" t="s">
        <v>14259</v>
      </c>
      <c r="C2263">
        <v>5</v>
      </c>
      <c r="D2263">
        <v>32</v>
      </c>
    </row>
    <row r="2264" spans="1:4" x14ac:dyDescent="0.25">
      <c r="A2264" s="45" t="s">
        <v>2292</v>
      </c>
      <c r="B2264" s="46" t="s">
        <v>14260</v>
      </c>
      <c r="C2264">
        <v>5</v>
      </c>
      <c r="D2264">
        <v>32</v>
      </c>
    </row>
    <row r="2265" spans="1:4" x14ac:dyDescent="0.25">
      <c r="A2265" s="45" t="s">
        <v>2293</v>
      </c>
      <c r="B2265" s="46" t="s">
        <v>19784</v>
      </c>
      <c r="C2265">
        <v>5</v>
      </c>
      <c r="D2265">
        <v>31</v>
      </c>
    </row>
    <row r="2266" spans="1:4" x14ac:dyDescent="0.25">
      <c r="A2266" s="45" t="s">
        <v>2294</v>
      </c>
      <c r="B2266" s="46" t="s">
        <v>19785</v>
      </c>
      <c r="C2266">
        <v>5</v>
      </c>
      <c r="D2266">
        <v>31</v>
      </c>
    </row>
    <row r="2267" spans="1:4" x14ac:dyDescent="0.25">
      <c r="A2267" s="45" t="s">
        <v>2295</v>
      </c>
      <c r="B2267" s="46" t="s">
        <v>19786</v>
      </c>
      <c r="C2267">
        <v>5</v>
      </c>
      <c r="D2267">
        <v>32</v>
      </c>
    </row>
    <row r="2268" spans="1:4" x14ac:dyDescent="0.25">
      <c r="A2268" s="45" t="s">
        <v>2296</v>
      </c>
      <c r="B2268" s="46" t="s">
        <v>14261</v>
      </c>
      <c r="C2268">
        <v>5</v>
      </c>
      <c r="D2268">
        <v>32</v>
      </c>
    </row>
    <row r="2269" spans="1:4" x14ac:dyDescent="0.25">
      <c r="A2269" s="45" t="s">
        <v>2297</v>
      </c>
      <c r="B2269" s="46" t="s">
        <v>14262</v>
      </c>
      <c r="C2269">
        <v>5</v>
      </c>
      <c r="D2269">
        <v>31</v>
      </c>
    </row>
    <row r="2270" spans="1:4" x14ac:dyDescent="0.25">
      <c r="A2270" s="45" t="s">
        <v>2298</v>
      </c>
      <c r="B2270" s="46" t="s">
        <v>14263</v>
      </c>
      <c r="C2270">
        <v>5</v>
      </c>
      <c r="D2270">
        <v>32</v>
      </c>
    </row>
    <row r="2271" spans="1:4" x14ac:dyDescent="0.25">
      <c r="A2271" s="45" t="s">
        <v>2299</v>
      </c>
      <c r="B2271" s="46" t="s">
        <v>14264</v>
      </c>
      <c r="C2271">
        <v>5</v>
      </c>
      <c r="D2271">
        <v>32</v>
      </c>
    </row>
    <row r="2272" spans="1:4" x14ac:dyDescent="0.25">
      <c r="A2272" s="45" t="s">
        <v>2300</v>
      </c>
      <c r="B2272" s="46" t="s">
        <v>14265</v>
      </c>
      <c r="C2272">
        <v>5</v>
      </c>
      <c r="D2272">
        <v>32</v>
      </c>
    </row>
    <row r="2273" spans="1:4" x14ac:dyDescent="0.25">
      <c r="A2273" s="45" t="s">
        <v>2301</v>
      </c>
      <c r="B2273" s="46" t="s">
        <v>14266</v>
      </c>
      <c r="C2273">
        <v>5</v>
      </c>
      <c r="D2273">
        <v>32</v>
      </c>
    </row>
    <row r="2274" spans="1:4" x14ac:dyDescent="0.25">
      <c r="A2274" s="45" t="s">
        <v>2302</v>
      </c>
      <c r="B2274" s="46" t="s">
        <v>14267</v>
      </c>
      <c r="C2274">
        <v>5</v>
      </c>
      <c r="D2274">
        <v>32</v>
      </c>
    </row>
    <row r="2275" spans="1:4" x14ac:dyDescent="0.25">
      <c r="A2275" s="45" t="s">
        <v>2303</v>
      </c>
      <c r="B2275" s="46" t="s">
        <v>14268</v>
      </c>
      <c r="C2275">
        <v>5</v>
      </c>
      <c r="D2275">
        <v>32</v>
      </c>
    </row>
    <row r="2276" spans="1:4" x14ac:dyDescent="0.25">
      <c r="A2276" s="45" t="s">
        <v>2304</v>
      </c>
      <c r="B2276" s="46" t="s">
        <v>14269</v>
      </c>
      <c r="C2276">
        <v>5</v>
      </c>
      <c r="D2276">
        <v>32</v>
      </c>
    </row>
    <row r="2277" spans="1:4" x14ac:dyDescent="0.25">
      <c r="A2277" s="45" t="s">
        <v>2305</v>
      </c>
      <c r="B2277" s="46" t="s">
        <v>14270</v>
      </c>
      <c r="C2277">
        <v>5</v>
      </c>
      <c r="D2277">
        <v>32</v>
      </c>
    </row>
    <row r="2278" spans="1:4" x14ac:dyDescent="0.25">
      <c r="A2278" s="45" t="s">
        <v>2306</v>
      </c>
      <c r="B2278" s="46" t="s">
        <v>14271</v>
      </c>
      <c r="C2278">
        <v>5</v>
      </c>
      <c r="D2278">
        <v>32</v>
      </c>
    </row>
    <row r="2279" spans="1:4" x14ac:dyDescent="0.25">
      <c r="A2279" s="45" t="s">
        <v>2307</v>
      </c>
      <c r="B2279" s="46" t="s">
        <v>14272</v>
      </c>
      <c r="C2279">
        <v>5</v>
      </c>
      <c r="D2279">
        <v>32</v>
      </c>
    </row>
    <row r="2280" spans="1:4" x14ac:dyDescent="0.25">
      <c r="A2280" s="45" t="s">
        <v>2308</v>
      </c>
      <c r="B2280" s="46" t="s">
        <v>14273</v>
      </c>
      <c r="C2280">
        <v>5</v>
      </c>
      <c r="D2280">
        <v>32</v>
      </c>
    </row>
    <row r="2281" spans="1:4" x14ac:dyDescent="0.25">
      <c r="A2281" s="45" t="s">
        <v>2309</v>
      </c>
      <c r="B2281" s="46" t="s">
        <v>14274</v>
      </c>
      <c r="C2281">
        <v>5</v>
      </c>
      <c r="D2281">
        <v>32</v>
      </c>
    </row>
    <row r="2282" spans="1:4" x14ac:dyDescent="0.25">
      <c r="A2282" s="45" t="s">
        <v>2310</v>
      </c>
      <c r="B2282" s="46" t="s">
        <v>14275</v>
      </c>
      <c r="C2282">
        <v>5</v>
      </c>
      <c r="D2282">
        <v>32</v>
      </c>
    </row>
    <row r="2283" spans="1:4" x14ac:dyDescent="0.25">
      <c r="A2283" s="45" t="s">
        <v>2311</v>
      </c>
      <c r="B2283" s="46" t="s">
        <v>14276</v>
      </c>
      <c r="C2283">
        <v>5</v>
      </c>
      <c r="D2283">
        <v>32</v>
      </c>
    </row>
    <row r="2284" spans="1:4" x14ac:dyDescent="0.25">
      <c r="A2284" s="45" t="s">
        <v>2312</v>
      </c>
      <c r="B2284" s="46" t="s">
        <v>14277</v>
      </c>
      <c r="C2284">
        <v>5</v>
      </c>
      <c r="D2284">
        <v>32</v>
      </c>
    </row>
    <row r="2285" spans="1:4" x14ac:dyDescent="0.25">
      <c r="A2285" s="45" t="s">
        <v>2313</v>
      </c>
      <c r="B2285" s="46" t="s">
        <v>14278</v>
      </c>
      <c r="C2285">
        <v>5</v>
      </c>
      <c r="D2285">
        <v>32</v>
      </c>
    </row>
    <row r="2286" spans="1:4" x14ac:dyDescent="0.25">
      <c r="A2286" s="45" t="s">
        <v>2314</v>
      </c>
      <c r="B2286" s="46" t="s">
        <v>14279</v>
      </c>
      <c r="C2286">
        <v>5</v>
      </c>
      <c r="D2286">
        <v>32</v>
      </c>
    </row>
    <row r="2287" spans="1:4" x14ac:dyDescent="0.25">
      <c r="A2287" s="45" t="s">
        <v>2315</v>
      </c>
      <c r="B2287" s="46" t="s">
        <v>14280</v>
      </c>
      <c r="C2287">
        <v>5</v>
      </c>
      <c r="D2287">
        <v>32</v>
      </c>
    </row>
    <row r="2288" spans="1:4" x14ac:dyDescent="0.25">
      <c r="A2288" s="45" t="s">
        <v>2316</v>
      </c>
      <c r="B2288" s="46" t="s">
        <v>14281</v>
      </c>
      <c r="C2288">
        <v>5</v>
      </c>
      <c r="D2288">
        <v>32</v>
      </c>
    </row>
    <row r="2289" spans="1:4" x14ac:dyDescent="0.25">
      <c r="A2289" s="45" t="s">
        <v>2317</v>
      </c>
      <c r="B2289" s="46" t="s">
        <v>14282</v>
      </c>
      <c r="C2289">
        <v>5</v>
      </c>
      <c r="D2289">
        <v>32</v>
      </c>
    </row>
    <row r="2290" spans="1:4" x14ac:dyDescent="0.25">
      <c r="A2290" s="45" t="s">
        <v>2318</v>
      </c>
      <c r="B2290" s="46" t="s">
        <v>14283</v>
      </c>
      <c r="C2290">
        <v>5</v>
      </c>
      <c r="D2290">
        <v>32</v>
      </c>
    </row>
    <row r="2291" spans="1:4" x14ac:dyDescent="0.25">
      <c r="A2291" s="45" t="s">
        <v>2319</v>
      </c>
      <c r="B2291" s="46" t="s">
        <v>19787</v>
      </c>
      <c r="C2291">
        <v>5</v>
      </c>
      <c r="D2291">
        <v>32</v>
      </c>
    </row>
    <row r="2292" spans="1:4" x14ac:dyDescent="0.25">
      <c r="A2292" s="45" t="s">
        <v>2320</v>
      </c>
      <c r="B2292" s="46" t="s">
        <v>14284</v>
      </c>
      <c r="C2292">
        <v>5</v>
      </c>
      <c r="D2292">
        <v>32</v>
      </c>
    </row>
    <row r="2293" spans="1:4" x14ac:dyDescent="0.25">
      <c r="A2293" s="45" t="s">
        <v>2321</v>
      </c>
      <c r="B2293" s="46" t="s">
        <v>14285</v>
      </c>
      <c r="C2293">
        <v>5</v>
      </c>
      <c r="D2293">
        <v>32</v>
      </c>
    </row>
    <row r="2294" spans="1:4" x14ac:dyDescent="0.25">
      <c r="A2294" s="45" t="s">
        <v>2322</v>
      </c>
      <c r="B2294" s="46" t="s">
        <v>14286</v>
      </c>
      <c r="C2294">
        <v>5</v>
      </c>
      <c r="D2294">
        <v>32</v>
      </c>
    </row>
    <row r="2295" spans="1:4" x14ac:dyDescent="0.25">
      <c r="A2295" s="45" t="s">
        <v>2323</v>
      </c>
      <c r="B2295" s="46" t="s">
        <v>14287</v>
      </c>
      <c r="C2295">
        <v>5</v>
      </c>
      <c r="D2295">
        <v>32</v>
      </c>
    </row>
    <row r="2296" spans="1:4" x14ac:dyDescent="0.25">
      <c r="A2296" s="45" t="s">
        <v>2324</v>
      </c>
      <c r="B2296" s="46" t="s">
        <v>14288</v>
      </c>
      <c r="C2296">
        <v>5</v>
      </c>
      <c r="D2296">
        <v>32</v>
      </c>
    </row>
    <row r="2297" spans="1:4" x14ac:dyDescent="0.25">
      <c r="A2297" s="45" t="s">
        <v>2325</v>
      </c>
      <c r="B2297" s="46" t="s">
        <v>14289</v>
      </c>
      <c r="C2297">
        <v>5</v>
      </c>
      <c r="D2297">
        <v>32</v>
      </c>
    </row>
    <row r="2298" spans="1:4" x14ac:dyDescent="0.25">
      <c r="A2298" s="45" t="s">
        <v>2326</v>
      </c>
      <c r="B2298" s="46" t="s">
        <v>14290</v>
      </c>
      <c r="C2298">
        <v>5</v>
      </c>
      <c r="D2298">
        <v>32</v>
      </c>
    </row>
    <row r="2299" spans="1:4" x14ac:dyDescent="0.25">
      <c r="A2299" s="45" t="s">
        <v>2327</v>
      </c>
      <c r="B2299" s="46" t="s">
        <v>14291</v>
      </c>
      <c r="C2299">
        <v>5</v>
      </c>
      <c r="D2299">
        <v>32</v>
      </c>
    </row>
    <row r="2300" spans="1:4" x14ac:dyDescent="0.25">
      <c r="A2300" s="45" t="s">
        <v>2328</v>
      </c>
      <c r="B2300" s="46" t="s">
        <v>14292</v>
      </c>
      <c r="C2300">
        <v>5</v>
      </c>
      <c r="D2300">
        <v>32</v>
      </c>
    </row>
    <row r="2301" spans="1:4" x14ac:dyDescent="0.25">
      <c r="A2301" s="45" t="s">
        <v>2329</v>
      </c>
      <c r="B2301" s="46" t="s">
        <v>14293</v>
      </c>
      <c r="C2301">
        <v>5</v>
      </c>
      <c r="D2301">
        <v>32</v>
      </c>
    </row>
    <row r="2302" spans="1:4" x14ac:dyDescent="0.25">
      <c r="A2302" s="45" t="s">
        <v>2330</v>
      </c>
      <c r="B2302" s="46" t="s">
        <v>14294</v>
      </c>
      <c r="C2302">
        <v>5</v>
      </c>
      <c r="D2302">
        <v>32</v>
      </c>
    </row>
    <row r="2303" spans="1:4" x14ac:dyDescent="0.25">
      <c r="A2303" s="45" t="s">
        <v>2331</v>
      </c>
      <c r="B2303" s="46" t="s">
        <v>19788</v>
      </c>
      <c r="C2303">
        <v>5</v>
      </c>
      <c r="D2303">
        <v>32</v>
      </c>
    </row>
    <row r="2304" spans="1:4" x14ac:dyDescent="0.25">
      <c r="A2304" s="45" t="s">
        <v>2332</v>
      </c>
      <c r="B2304" s="46" t="s">
        <v>19789</v>
      </c>
      <c r="C2304">
        <v>5</v>
      </c>
      <c r="D2304">
        <v>32</v>
      </c>
    </row>
    <row r="2305" spans="1:4" x14ac:dyDescent="0.25">
      <c r="A2305" s="45" t="s">
        <v>2333</v>
      </c>
      <c r="B2305" s="46" t="s">
        <v>19790</v>
      </c>
      <c r="C2305">
        <v>5</v>
      </c>
      <c r="D2305">
        <v>30</v>
      </c>
    </row>
    <row r="2306" spans="1:4" x14ac:dyDescent="0.25">
      <c r="A2306" s="45" t="s">
        <v>2334</v>
      </c>
      <c r="B2306" s="46" t="s">
        <v>19791</v>
      </c>
      <c r="C2306">
        <v>5</v>
      </c>
      <c r="D2306">
        <v>32</v>
      </c>
    </row>
    <row r="2307" spans="1:4" x14ac:dyDescent="0.25">
      <c r="A2307" s="45" t="s">
        <v>2335</v>
      </c>
      <c r="B2307" s="46" t="s">
        <v>19792</v>
      </c>
      <c r="C2307">
        <v>5</v>
      </c>
      <c r="D2307">
        <v>32</v>
      </c>
    </row>
    <row r="2308" spans="1:4" x14ac:dyDescent="0.25">
      <c r="A2308" s="45" t="s">
        <v>2336</v>
      </c>
      <c r="B2308" s="46" t="s">
        <v>14295</v>
      </c>
      <c r="C2308">
        <v>5</v>
      </c>
      <c r="D2308">
        <v>32</v>
      </c>
    </row>
    <row r="2309" spans="1:4" x14ac:dyDescent="0.25">
      <c r="A2309" s="45" t="s">
        <v>2337</v>
      </c>
      <c r="B2309" s="46" t="s">
        <v>19793</v>
      </c>
      <c r="C2309">
        <v>5</v>
      </c>
      <c r="D2309">
        <v>32</v>
      </c>
    </row>
    <row r="2310" spans="1:4" x14ac:dyDescent="0.25">
      <c r="A2310" s="45" t="s">
        <v>2338</v>
      </c>
      <c r="B2310" s="46" t="s">
        <v>14296</v>
      </c>
      <c r="C2310">
        <v>5</v>
      </c>
      <c r="D2310">
        <v>32</v>
      </c>
    </row>
    <row r="2311" spans="1:4" x14ac:dyDescent="0.25">
      <c r="A2311" s="45" t="s">
        <v>2339</v>
      </c>
      <c r="B2311" s="46" t="s">
        <v>19794</v>
      </c>
      <c r="C2311">
        <v>5</v>
      </c>
      <c r="D2311">
        <v>32</v>
      </c>
    </row>
    <row r="2312" spans="1:4" x14ac:dyDescent="0.25">
      <c r="A2312" s="45" t="s">
        <v>2340</v>
      </c>
      <c r="B2312" s="46" t="s">
        <v>14297</v>
      </c>
      <c r="C2312">
        <v>5</v>
      </c>
      <c r="D2312">
        <v>32</v>
      </c>
    </row>
    <row r="2313" spans="1:4" x14ac:dyDescent="0.25">
      <c r="A2313" s="45" t="s">
        <v>2341</v>
      </c>
      <c r="B2313" s="46" t="s">
        <v>14298</v>
      </c>
      <c r="C2313">
        <v>5</v>
      </c>
      <c r="D2313">
        <v>32</v>
      </c>
    </row>
    <row r="2314" spans="1:4" x14ac:dyDescent="0.25">
      <c r="A2314" s="45" t="s">
        <v>2342</v>
      </c>
      <c r="B2314" s="46" t="s">
        <v>14299</v>
      </c>
      <c r="C2314">
        <v>5</v>
      </c>
      <c r="D2314">
        <v>32</v>
      </c>
    </row>
    <row r="2315" spans="1:4" x14ac:dyDescent="0.25">
      <c r="A2315" s="45" t="s">
        <v>2343</v>
      </c>
      <c r="B2315" s="46" t="s">
        <v>14300</v>
      </c>
      <c r="C2315">
        <v>5</v>
      </c>
      <c r="D2315">
        <v>32</v>
      </c>
    </row>
    <row r="2316" spans="1:4" x14ac:dyDescent="0.25">
      <c r="A2316" s="45" t="s">
        <v>2344</v>
      </c>
      <c r="B2316" s="46" t="s">
        <v>14301</v>
      </c>
      <c r="C2316">
        <v>5</v>
      </c>
      <c r="D2316">
        <v>32</v>
      </c>
    </row>
    <row r="2317" spans="1:4" x14ac:dyDescent="0.25">
      <c r="A2317" s="45" t="s">
        <v>2345</v>
      </c>
      <c r="B2317" s="46" t="s">
        <v>14302</v>
      </c>
      <c r="C2317">
        <v>5</v>
      </c>
      <c r="D2317">
        <v>32</v>
      </c>
    </row>
    <row r="2318" spans="1:4" x14ac:dyDescent="0.25">
      <c r="A2318" s="45" t="s">
        <v>2346</v>
      </c>
      <c r="B2318" s="46" t="s">
        <v>14303</v>
      </c>
      <c r="C2318">
        <v>5</v>
      </c>
      <c r="D2318">
        <v>32</v>
      </c>
    </row>
    <row r="2319" spans="1:4" x14ac:dyDescent="0.25">
      <c r="A2319" s="45" t="s">
        <v>2347</v>
      </c>
      <c r="B2319" s="46" t="s">
        <v>14304</v>
      </c>
      <c r="C2319">
        <v>5</v>
      </c>
      <c r="D2319">
        <v>32</v>
      </c>
    </row>
    <row r="2320" spans="1:4" x14ac:dyDescent="0.25">
      <c r="A2320" s="45" t="s">
        <v>2348</v>
      </c>
      <c r="B2320" s="46" t="s">
        <v>14305</v>
      </c>
      <c r="C2320">
        <v>5</v>
      </c>
      <c r="D2320">
        <v>32</v>
      </c>
    </row>
    <row r="2321" spans="1:4" x14ac:dyDescent="0.25">
      <c r="A2321" s="45" t="s">
        <v>2349</v>
      </c>
      <c r="B2321" s="46" t="s">
        <v>14306</v>
      </c>
      <c r="C2321">
        <v>5</v>
      </c>
      <c r="D2321">
        <v>32</v>
      </c>
    </row>
    <row r="2322" spans="1:4" x14ac:dyDescent="0.25">
      <c r="A2322" s="45" t="s">
        <v>2350</v>
      </c>
      <c r="B2322" s="46" t="s">
        <v>14307</v>
      </c>
      <c r="C2322">
        <v>5</v>
      </c>
      <c r="D2322">
        <v>32</v>
      </c>
    </row>
    <row r="2323" spans="1:4" x14ac:dyDescent="0.25">
      <c r="A2323" s="45" t="s">
        <v>2351</v>
      </c>
      <c r="B2323" s="46" t="s">
        <v>19795</v>
      </c>
      <c r="C2323">
        <v>5</v>
      </c>
      <c r="D2323">
        <v>32</v>
      </c>
    </row>
    <row r="2324" spans="1:4" x14ac:dyDescent="0.25">
      <c r="A2324" s="45" t="s">
        <v>2352</v>
      </c>
      <c r="B2324" s="46" t="s">
        <v>19796</v>
      </c>
      <c r="C2324">
        <v>5</v>
      </c>
      <c r="D2324">
        <v>32</v>
      </c>
    </row>
    <row r="2325" spans="1:4" x14ac:dyDescent="0.25">
      <c r="A2325" s="45" t="s">
        <v>2353</v>
      </c>
      <c r="B2325" s="46" t="s">
        <v>14308</v>
      </c>
      <c r="C2325">
        <v>5</v>
      </c>
      <c r="D2325">
        <v>32</v>
      </c>
    </row>
    <row r="2326" spans="1:4" x14ac:dyDescent="0.25">
      <c r="A2326" s="45" t="s">
        <v>2354</v>
      </c>
      <c r="B2326" s="46" t="s">
        <v>14309</v>
      </c>
      <c r="C2326">
        <v>5</v>
      </c>
      <c r="D2326">
        <v>32</v>
      </c>
    </row>
    <row r="2327" spans="1:4" x14ac:dyDescent="0.25">
      <c r="A2327" s="45" t="s">
        <v>2355</v>
      </c>
      <c r="B2327" s="46" t="s">
        <v>14310</v>
      </c>
      <c r="C2327">
        <v>5</v>
      </c>
      <c r="D2327">
        <v>32</v>
      </c>
    </row>
    <row r="2328" spans="1:4" x14ac:dyDescent="0.25">
      <c r="A2328" s="45" t="s">
        <v>2356</v>
      </c>
      <c r="B2328" s="46" t="s">
        <v>14311</v>
      </c>
      <c r="C2328">
        <v>5</v>
      </c>
      <c r="D2328">
        <v>32</v>
      </c>
    </row>
    <row r="2329" spans="1:4" x14ac:dyDescent="0.25">
      <c r="A2329" s="45" t="s">
        <v>2357</v>
      </c>
      <c r="B2329" s="46" t="s">
        <v>14312</v>
      </c>
      <c r="C2329">
        <v>5</v>
      </c>
      <c r="D2329">
        <v>32</v>
      </c>
    </row>
    <row r="2330" spans="1:4" x14ac:dyDescent="0.25">
      <c r="A2330" s="45" t="s">
        <v>2358</v>
      </c>
      <c r="B2330" s="46" t="s">
        <v>14313</v>
      </c>
      <c r="C2330">
        <v>5</v>
      </c>
      <c r="D2330">
        <v>32</v>
      </c>
    </row>
    <row r="2331" spans="1:4" x14ac:dyDescent="0.25">
      <c r="A2331" s="45" t="s">
        <v>2359</v>
      </c>
      <c r="B2331" s="46" t="s">
        <v>14314</v>
      </c>
      <c r="C2331">
        <v>5</v>
      </c>
      <c r="D2331">
        <v>32</v>
      </c>
    </row>
    <row r="2332" spans="1:4" x14ac:dyDescent="0.25">
      <c r="A2332" s="45" t="s">
        <v>2360</v>
      </c>
      <c r="B2332" s="46" t="s">
        <v>14315</v>
      </c>
      <c r="C2332">
        <v>5</v>
      </c>
      <c r="D2332">
        <v>32</v>
      </c>
    </row>
    <row r="2333" spans="1:4" x14ac:dyDescent="0.25">
      <c r="A2333" s="45" t="s">
        <v>2361</v>
      </c>
      <c r="B2333" s="46" t="s">
        <v>14316</v>
      </c>
      <c r="C2333">
        <v>5</v>
      </c>
      <c r="D2333">
        <v>32</v>
      </c>
    </row>
    <row r="2334" spans="1:4" x14ac:dyDescent="0.25">
      <c r="A2334" s="45" t="s">
        <v>2362</v>
      </c>
      <c r="B2334" s="46" t="s">
        <v>14317</v>
      </c>
      <c r="C2334">
        <v>5</v>
      </c>
      <c r="D2334">
        <v>32</v>
      </c>
    </row>
    <row r="2335" spans="1:4" x14ac:dyDescent="0.25">
      <c r="A2335" s="45" t="s">
        <v>2363</v>
      </c>
      <c r="B2335" s="46" t="s">
        <v>14318</v>
      </c>
      <c r="C2335">
        <v>5</v>
      </c>
      <c r="D2335">
        <v>32</v>
      </c>
    </row>
    <row r="2336" spans="1:4" x14ac:dyDescent="0.25">
      <c r="A2336" s="45" t="s">
        <v>2364</v>
      </c>
      <c r="B2336" s="46" t="s">
        <v>14319</v>
      </c>
      <c r="C2336">
        <v>5</v>
      </c>
      <c r="D2336">
        <v>32</v>
      </c>
    </row>
    <row r="2337" spans="1:4" x14ac:dyDescent="0.25">
      <c r="A2337" s="45" t="s">
        <v>2365</v>
      </c>
      <c r="B2337" s="46" t="s">
        <v>14320</v>
      </c>
      <c r="C2337">
        <v>5</v>
      </c>
      <c r="D2337">
        <v>32</v>
      </c>
    </row>
    <row r="2338" spans="1:4" x14ac:dyDescent="0.25">
      <c r="A2338" s="45" t="s">
        <v>2366</v>
      </c>
      <c r="B2338" s="46" t="s">
        <v>14321</v>
      </c>
      <c r="C2338">
        <v>5</v>
      </c>
      <c r="D2338">
        <v>32</v>
      </c>
    </row>
    <row r="2339" spans="1:4" x14ac:dyDescent="0.25">
      <c r="A2339" s="45" t="s">
        <v>2367</v>
      </c>
      <c r="B2339" s="46" t="s">
        <v>14322</v>
      </c>
      <c r="C2339">
        <v>5</v>
      </c>
      <c r="D2339">
        <v>32</v>
      </c>
    </row>
    <row r="2340" spans="1:4" x14ac:dyDescent="0.25">
      <c r="A2340" s="45" t="s">
        <v>2368</v>
      </c>
      <c r="B2340" s="46" t="s">
        <v>14323</v>
      </c>
      <c r="C2340">
        <v>5</v>
      </c>
      <c r="D2340">
        <v>32</v>
      </c>
    </row>
    <row r="2341" spans="1:4" x14ac:dyDescent="0.25">
      <c r="A2341" s="45" t="s">
        <v>2369</v>
      </c>
      <c r="B2341" s="46" t="s">
        <v>14324</v>
      </c>
      <c r="C2341">
        <v>5</v>
      </c>
      <c r="D2341">
        <v>32</v>
      </c>
    </row>
    <row r="2342" spans="1:4" x14ac:dyDescent="0.25">
      <c r="A2342" s="45" t="s">
        <v>2370</v>
      </c>
      <c r="B2342" s="46" t="s">
        <v>14325</v>
      </c>
      <c r="C2342">
        <v>5</v>
      </c>
      <c r="D2342">
        <v>32</v>
      </c>
    </row>
    <row r="2343" spans="1:4" x14ac:dyDescent="0.25">
      <c r="A2343" s="45" t="s">
        <v>2371</v>
      </c>
      <c r="B2343" s="46" t="s">
        <v>14326</v>
      </c>
      <c r="C2343">
        <v>5</v>
      </c>
      <c r="D2343">
        <v>32</v>
      </c>
    </row>
    <row r="2344" spans="1:4" x14ac:dyDescent="0.25">
      <c r="A2344" s="45" t="s">
        <v>2372</v>
      </c>
      <c r="B2344" s="46" t="s">
        <v>14327</v>
      </c>
      <c r="C2344">
        <v>5</v>
      </c>
      <c r="D2344">
        <v>32</v>
      </c>
    </row>
    <row r="2345" spans="1:4" x14ac:dyDescent="0.25">
      <c r="A2345" s="45" t="s">
        <v>2373</v>
      </c>
      <c r="B2345" s="46" t="s">
        <v>14328</v>
      </c>
      <c r="C2345">
        <v>5</v>
      </c>
      <c r="D2345">
        <v>32</v>
      </c>
    </row>
    <row r="2346" spans="1:4" x14ac:dyDescent="0.25">
      <c r="A2346" s="45" t="s">
        <v>2374</v>
      </c>
      <c r="B2346" s="46" t="s">
        <v>14329</v>
      </c>
      <c r="C2346">
        <v>5</v>
      </c>
      <c r="D2346">
        <v>32</v>
      </c>
    </row>
    <row r="2347" spans="1:4" x14ac:dyDescent="0.25">
      <c r="A2347" s="45" t="s">
        <v>2375</v>
      </c>
      <c r="B2347" s="46" t="s">
        <v>14330</v>
      </c>
      <c r="C2347">
        <v>5</v>
      </c>
      <c r="D2347">
        <v>32</v>
      </c>
    </row>
    <row r="2348" spans="1:4" x14ac:dyDescent="0.25">
      <c r="A2348" s="45" t="s">
        <v>2376</v>
      </c>
      <c r="B2348" s="46" t="s">
        <v>14331</v>
      </c>
      <c r="C2348">
        <v>5</v>
      </c>
      <c r="D2348">
        <v>32</v>
      </c>
    </row>
    <row r="2349" spans="1:4" x14ac:dyDescent="0.25">
      <c r="A2349" s="45" t="s">
        <v>2377</v>
      </c>
      <c r="B2349" s="46" t="s">
        <v>14332</v>
      </c>
      <c r="C2349">
        <v>5</v>
      </c>
      <c r="D2349">
        <v>32</v>
      </c>
    </row>
    <row r="2350" spans="1:4" x14ac:dyDescent="0.25">
      <c r="A2350" s="45" t="s">
        <v>2378</v>
      </c>
      <c r="B2350" s="46" t="s">
        <v>14333</v>
      </c>
      <c r="C2350">
        <v>5</v>
      </c>
      <c r="D2350">
        <v>32</v>
      </c>
    </row>
    <row r="2351" spans="1:4" x14ac:dyDescent="0.25">
      <c r="A2351" s="45" t="s">
        <v>2379</v>
      </c>
      <c r="B2351" s="46" t="s">
        <v>14334</v>
      </c>
      <c r="C2351">
        <v>5</v>
      </c>
      <c r="D2351">
        <v>32</v>
      </c>
    </row>
    <row r="2352" spans="1:4" x14ac:dyDescent="0.25">
      <c r="A2352" s="45" t="s">
        <v>2380</v>
      </c>
      <c r="B2352" s="46" t="s">
        <v>14335</v>
      </c>
      <c r="C2352">
        <v>5</v>
      </c>
      <c r="D2352">
        <v>32</v>
      </c>
    </row>
    <row r="2353" spans="1:4" x14ac:dyDescent="0.25">
      <c r="A2353" s="45" t="s">
        <v>2381</v>
      </c>
      <c r="B2353" s="46" t="s">
        <v>19797</v>
      </c>
      <c r="C2353">
        <v>5</v>
      </c>
      <c r="D2353">
        <v>32</v>
      </c>
    </row>
    <row r="2354" spans="1:4" x14ac:dyDescent="0.25">
      <c r="A2354" s="45" t="s">
        <v>2382</v>
      </c>
      <c r="B2354" s="46" t="s">
        <v>19798</v>
      </c>
      <c r="C2354">
        <v>5</v>
      </c>
      <c r="D2354">
        <v>32</v>
      </c>
    </row>
    <row r="2355" spans="1:4" x14ac:dyDescent="0.25">
      <c r="A2355" s="45" t="s">
        <v>2383</v>
      </c>
      <c r="B2355" s="46" t="s">
        <v>19799</v>
      </c>
      <c r="C2355">
        <v>5</v>
      </c>
      <c r="D2355">
        <v>33</v>
      </c>
    </row>
    <row r="2356" spans="1:4" x14ac:dyDescent="0.25">
      <c r="A2356" s="45" t="s">
        <v>2384</v>
      </c>
      <c r="B2356" s="46" t="s">
        <v>19800</v>
      </c>
      <c r="C2356">
        <v>5</v>
      </c>
      <c r="D2356">
        <v>33</v>
      </c>
    </row>
    <row r="2357" spans="1:4" x14ac:dyDescent="0.25">
      <c r="A2357" s="45" t="s">
        <v>2385</v>
      </c>
      <c r="B2357" s="46" t="s">
        <v>19801</v>
      </c>
      <c r="C2357">
        <v>5</v>
      </c>
      <c r="D2357">
        <v>33</v>
      </c>
    </row>
    <row r="2358" spans="1:4" x14ac:dyDescent="0.25">
      <c r="A2358" s="45" t="s">
        <v>2386</v>
      </c>
      <c r="B2358" s="46" t="s">
        <v>19802</v>
      </c>
      <c r="C2358">
        <v>5</v>
      </c>
      <c r="D2358">
        <v>33</v>
      </c>
    </row>
    <row r="2359" spans="1:4" x14ac:dyDescent="0.25">
      <c r="A2359" s="45" t="s">
        <v>2387</v>
      </c>
      <c r="B2359" s="46" t="s">
        <v>19803</v>
      </c>
      <c r="C2359">
        <v>5</v>
      </c>
      <c r="D2359">
        <v>33</v>
      </c>
    </row>
    <row r="2360" spans="1:4" x14ac:dyDescent="0.25">
      <c r="A2360" s="45" t="s">
        <v>2388</v>
      </c>
      <c r="B2360" s="46" t="s">
        <v>19804</v>
      </c>
      <c r="C2360">
        <v>5</v>
      </c>
      <c r="D2360">
        <v>33</v>
      </c>
    </row>
    <row r="2361" spans="1:4" x14ac:dyDescent="0.25">
      <c r="A2361" s="45" t="s">
        <v>2389</v>
      </c>
      <c r="B2361" s="46" t="s">
        <v>19805</v>
      </c>
      <c r="C2361">
        <v>5</v>
      </c>
      <c r="D2361">
        <v>33</v>
      </c>
    </row>
    <row r="2362" spans="1:4" x14ac:dyDescent="0.25">
      <c r="A2362" s="45" t="s">
        <v>2390</v>
      </c>
      <c r="B2362" s="46" t="s">
        <v>19806</v>
      </c>
      <c r="C2362">
        <v>5</v>
      </c>
      <c r="D2362">
        <v>33</v>
      </c>
    </row>
    <row r="2363" spans="1:4" x14ac:dyDescent="0.25">
      <c r="A2363" s="45" t="s">
        <v>2391</v>
      </c>
      <c r="B2363" s="46" t="s">
        <v>19807</v>
      </c>
      <c r="C2363">
        <v>5</v>
      </c>
      <c r="D2363">
        <v>33</v>
      </c>
    </row>
    <row r="2364" spans="1:4" x14ac:dyDescent="0.25">
      <c r="A2364" s="45" t="s">
        <v>2392</v>
      </c>
      <c r="B2364" s="46" t="s">
        <v>19808</v>
      </c>
      <c r="C2364">
        <v>5</v>
      </c>
      <c r="D2364">
        <v>33</v>
      </c>
    </row>
    <row r="2365" spans="1:4" x14ac:dyDescent="0.25">
      <c r="A2365" s="45" t="s">
        <v>2393</v>
      </c>
      <c r="B2365" s="46" t="s">
        <v>19809</v>
      </c>
      <c r="C2365">
        <v>5</v>
      </c>
      <c r="D2365">
        <v>33</v>
      </c>
    </row>
    <row r="2366" spans="1:4" x14ac:dyDescent="0.25">
      <c r="A2366" s="45" t="s">
        <v>2394</v>
      </c>
      <c r="B2366" s="46" t="s">
        <v>19810</v>
      </c>
      <c r="C2366">
        <v>5</v>
      </c>
      <c r="D2366">
        <v>33</v>
      </c>
    </row>
    <row r="2367" spans="1:4" x14ac:dyDescent="0.25">
      <c r="A2367" s="45" t="s">
        <v>2395</v>
      </c>
      <c r="B2367" s="46" t="s">
        <v>19811</v>
      </c>
      <c r="C2367">
        <v>5</v>
      </c>
      <c r="D2367">
        <v>33</v>
      </c>
    </row>
    <row r="2368" spans="1:4" x14ac:dyDescent="0.25">
      <c r="A2368" s="45" t="s">
        <v>2396</v>
      </c>
      <c r="B2368" s="46" t="s">
        <v>19812</v>
      </c>
      <c r="C2368">
        <v>5</v>
      </c>
      <c r="D2368">
        <v>33</v>
      </c>
    </row>
    <row r="2369" spans="1:4" x14ac:dyDescent="0.25">
      <c r="A2369" s="45" t="s">
        <v>2397</v>
      </c>
      <c r="B2369" s="46" t="s">
        <v>19813</v>
      </c>
      <c r="C2369">
        <v>5</v>
      </c>
      <c r="D2369">
        <v>33</v>
      </c>
    </row>
    <row r="2370" spans="1:4" x14ac:dyDescent="0.25">
      <c r="A2370" s="45" t="s">
        <v>2398</v>
      </c>
      <c r="B2370" s="46" t="s">
        <v>19814</v>
      </c>
      <c r="C2370">
        <v>5</v>
      </c>
      <c r="D2370">
        <v>33</v>
      </c>
    </row>
    <row r="2371" spans="1:4" x14ac:dyDescent="0.25">
      <c r="A2371" s="45" t="s">
        <v>2399</v>
      </c>
      <c r="B2371" s="46" t="s">
        <v>19815</v>
      </c>
      <c r="C2371">
        <v>5</v>
      </c>
      <c r="D2371">
        <v>33</v>
      </c>
    </row>
    <row r="2372" spans="1:4" x14ac:dyDescent="0.25">
      <c r="A2372" s="45" t="s">
        <v>2400</v>
      </c>
      <c r="B2372" s="46" t="s">
        <v>19816</v>
      </c>
      <c r="C2372">
        <v>5</v>
      </c>
      <c r="D2372">
        <v>33</v>
      </c>
    </row>
    <row r="2373" spans="1:4" x14ac:dyDescent="0.25">
      <c r="A2373" s="45" t="s">
        <v>2401</v>
      </c>
      <c r="B2373" s="46" t="s">
        <v>19817</v>
      </c>
      <c r="C2373">
        <v>5</v>
      </c>
      <c r="D2373">
        <v>33</v>
      </c>
    </row>
    <row r="2374" spans="1:4" x14ac:dyDescent="0.25">
      <c r="A2374" s="45" t="s">
        <v>2402</v>
      </c>
      <c r="B2374" s="46" t="s">
        <v>19818</v>
      </c>
      <c r="C2374">
        <v>5</v>
      </c>
      <c r="D2374">
        <v>33</v>
      </c>
    </row>
    <row r="2375" spans="1:4" x14ac:dyDescent="0.25">
      <c r="A2375" s="45" t="s">
        <v>2403</v>
      </c>
      <c r="B2375" s="46" t="s">
        <v>19819</v>
      </c>
      <c r="C2375">
        <v>5</v>
      </c>
      <c r="D2375">
        <v>33</v>
      </c>
    </row>
    <row r="2376" spans="1:4" x14ac:dyDescent="0.25">
      <c r="A2376" s="45" t="s">
        <v>2404</v>
      </c>
      <c r="B2376" s="46" t="s">
        <v>19820</v>
      </c>
      <c r="C2376">
        <v>5</v>
      </c>
      <c r="D2376">
        <v>33</v>
      </c>
    </row>
    <row r="2377" spans="1:4" x14ac:dyDescent="0.25">
      <c r="A2377" s="45" t="s">
        <v>2405</v>
      </c>
      <c r="B2377" s="46" t="s">
        <v>19821</v>
      </c>
      <c r="C2377">
        <v>5</v>
      </c>
      <c r="D2377">
        <v>33</v>
      </c>
    </row>
    <row r="2378" spans="1:4" x14ac:dyDescent="0.25">
      <c r="A2378" s="45" t="s">
        <v>2406</v>
      </c>
      <c r="B2378" s="46" t="s">
        <v>19822</v>
      </c>
      <c r="C2378">
        <v>5</v>
      </c>
      <c r="D2378">
        <v>33</v>
      </c>
    </row>
    <row r="2379" spans="1:4" x14ac:dyDescent="0.25">
      <c r="A2379" s="45" t="s">
        <v>2407</v>
      </c>
      <c r="B2379" s="46" t="s">
        <v>19823</v>
      </c>
      <c r="C2379">
        <v>5</v>
      </c>
      <c r="D2379">
        <v>32</v>
      </c>
    </row>
    <row r="2380" spans="1:4" x14ac:dyDescent="0.25">
      <c r="A2380" s="45" t="s">
        <v>2408</v>
      </c>
      <c r="B2380" s="46" t="s">
        <v>14336</v>
      </c>
      <c r="C2380">
        <v>5</v>
      </c>
      <c r="D2380">
        <v>32</v>
      </c>
    </row>
    <row r="2381" spans="1:4" x14ac:dyDescent="0.25">
      <c r="A2381" s="45" t="s">
        <v>2409</v>
      </c>
      <c r="B2381" s="46" t="s">
        <v>14337</v>
      </c>
      <c r="C2381">
        <v>5</v>
      </c>
      <c r="D2381">
        <v>32</v>
      </c>
    </row>
    <row r="2382" spans="1:4" x14ac:dyDescent="0.25">
      <c r="A2382" s="45" t="s">
        <v>2410</v>
      </c>
      <c r="B2382" s="46" t="s">
        <v>14338</v>
      </c>
      <c r="C2382">
        <v>5</v>
      </c>
      <c r="D2382">
        <v>32</v>
      </c>
    </row>
    <row r="2383" spans="1:4" x14ac:dyDescent="0.25">
      <c r="A2383" s="45" t="s">
        <v>2411</v>
      </c>
      <c r="B2383" s="46" t="s">
        <v>19824</v>
      </c>
      <c r="C2383">
        <v>5</v>
      </c>
      <c r="D2383">
        <v>32</v>
      </c>
    </row>
    <row r="2384" spans="1:4" x14ac:dyDescent="0.25">
      <c r="A2384" s="45" t="s">
        <v>2412</v>
      </c>
      <c r="B2384" s="46" t="s">
        <v>14339</v>
      </c>
      <c r="C2384">
        <v>5</v>
      </c>
      <c r="D2384">
        <v>32</v>
      </c>
    </row>
    <row r="2385" spans="1:4" x14ac:dyDescent="0.25">
      <c r="A2385" s="45" t="s">
        <v>2413</v>
      </c>
      <c r="B2385" s="46" t="s">
        <v>14340</v>
      </c>
      <c r="C2385">
        <v>5</v>
      </c>
      <c r="D2385">
        <v>32</v>
      </c>
    </row>
    <row r="2386" spans="1:4" x14ac:dyDescent="0.25">
      <c r="A2386" s="45" t="s">
        <v>2414</v>
      </c>
      <c r="B2386" s="46" t="s">
        <v>14341</v>
      </c>
      <c r="C2386">
        <v>5</v>
      </c>
      <c r="D2386">
        <v>32</v>
      </c>
    </row>
    <row r="2387" spans="1:4" x14ac:dyDescent="0.25">
      <c r="A2387" s="45" t="s">
        <v>2415</v>
      </c>
      <c r="B2387" s="46" t="s">
        <v>14342</v>
      </c>
      <c r="C2387">
        <v>5</v>
      </c>
      <c r="D2387">
        <v>32</v>
      </c>
    </row>
    <row r="2388" spans="1:4" x14ac:dyDescent="0.25">
      <c r="A2388" s="45" t="s">
        <v>2416</v>
      </c>
      <c r="B2388" s="46" t="s">
        <v>14343</v>
      </c>
      <c r="C2388">
        <v>5</v>
      </c>
      <c r="D2388">
        <v>32</v>
      </c>
    </row>
    <row r="2389" spans="1:4" x14ac:dyDescent="0.25">
      <c r="A2389" s="45" t="s">
        <v>2417</v>
      </c>
      <c r="B2389" s="46" t="s">
        <v>14344</v>
      </c>
      <c r="C2389">
        <v>5</v>
      </c>
      <c r="D2389">
        <v>32</v>
      </c>
    </row>
    <row r="2390" spans="1:4" x14ac:dyDescent="0.25">
      <c r="A2390" s="45" t="s">
        <v>2418</v>
      </c>
      <c r="B2390" s="46" t="s">
        <v>14345</v>
      </c>
      <c r="C2390">
        <v>5</v>
      </c>
      <c r="D2390">
        <v>32</v>
      </c>
    </row>
    <row r="2391" spans="1:4" x14ac:dyDescent="0.25">
      <c r="A2391" s="45" t="s">
        <v>2419</v>
      </c>
      <c r="B2391" s="46" t="s">
        <v>14346</v>
      </c>
      <c r="C2391">
        <v>5</v>
      </c>
      <c r="D2391">
        <v>32</v>
      </c>
    </row>
    <row r="2392" spans="1:4" x14ac:dyDescent="0.25">
      <c r="A2392" s="45" t="s">
        <v>2420</v>
      </c>
      <c r="B2392" s="46" t="s">
        <v>14347</v>
      </c>
      <c r="C2392">
        <v>5</v>
      </c>
      <c r="D2392">
        <v>32</v>
      </c>
    </row>
    <row r="2393" spans="1:4" x14ac:dyDescent="0.25">
      <c r="A2393" s="45" t="s">
        <v>2421</v>
      </c>
      <c r="B2393" s="46" t="s">
        <v>14348</v>
      </c>
      <c r="C2393">
        <v>5</v>
      </c>
      <c r="D2393">
        <v>31</v>
      </c>
    </row>
    <row r="2394" spans="1:4" x14ac:dyDescent="0.25">
      <c r="A2394" s="45" t="s">
        <v>2422</v>
      </c>
      <c r="B2394" s="46" t="s">
        <v>14349</v>
      </c>
      <c r="C2394">
        <v>5</v>
      </c>
      <c r="D2394">
        <v>31</v>
      </c>
    </row>
    <row r="2395" spans="1:4" x14ac:dyDescent="0.25">
      <c r="A2395" s="45" t="s">
        <v>2423</v>
      </c>
      <c r="B2395" s="46" t="s">
        <v>14350</v>
      </c>
      <c r="C2395">
        <v>5</v>
      </c>
      <c r="D2395">
        <v>31</v>
      </c>
    </row>
    <row r="2396" spans="1:4" x14ac:dyDescent="0.25">
      <c r="A2396" s="45" t="s">
        <v>2424</v>
      </c>
      <c r="B2396" s="46" t="s">
        <v>14351</v>
      </c>
      <c r="C2396">
        <v>5</v>
      </c>
      <c r="D2396">
        <v>31</v>
      </c>
    </row>
    <row r="2397" spans="1:4" x14ac:dyDescent="0.25">
      <c r="A2397" s="45" t="s">
        <v>2425</v>
      </c>
      <c r="B2397" s="46" t="s">
        <v>14352</v>
      </c>
      <c r="C2397">
        <v>5</v>
      </c>
      <c r="D2397">
        <v>31</v>
      </c>
    </row>
    <row r="2398" spans="1:4" x14ac:dyDescent="0.25">
      <c r="A2398" s="45" t="s">
        <v>2426</v>
      </c>
      <c r="B2398" s="46" t="s">
        <v>19825</v>
      </c>
      <c r="C2398">
        <v>5</v>
      </c>
      <c r="D2398">
        <v>31</v>
      </c>
    </row>
    <row r="2399" spans="1:4" x14ac:dyDescent="0.25">
      <c r="A2399" s="45" t="s">
        <v>2427</v>
      </c>
      <c r="B2399" s="46" t="s">
        <v>14353</v>
      </c>
      <c r="C2399">
        <v>5</v>
      </c>
      <c r="D2399">
        <v>31</v>
      </c>
    </row>
    <row r="2400" spans="1:4" x14ac:dyDescent="0.25">
      <c r="A2400" s="45" t="s">
        <v>2428</v>
      </c>
      <c r="B2400" s="46" t="s">
        <v>14354</v>
      </c>
      <c r="C2400">
        <v>5</v>
      </c>
      <c r="D2400">
        <v>31</v>
      </c>
    </row>
    <row r="2401" spans="1:4" x14ac:dyDescent="0.25">
      <c r="A2401" s="45" t="s">
        <v>2429</v>
      </c>
      <c r="B2401" s="46" t="s">
        <v>14355</v>
      </c>
      <c r="C2401">
        <v>5</v>
      </c>
      <c r="D2401">
        <v>32</v>
      </c>
    </row>
    <row r="2402" spans="1:4" x14ac:dyDescent="0.25">
      <c r="A2402" s="45" t="s">
        <v>2430</v>
      </c>
      <c r="B2402" s="46" t="s">
        <v>14356</v>
      </c>
      <c r="C2402">
        <v>5</v>
      </c>
      <c r="D2402">
        <v>32</v>
      </c>
    </row>
    <row r="2403" spans="1:4" x14ac:dyDescent="0.25">
      <c r="A2403" s="45" t="s">
        <v>2431</v>
      </c>
      <c r="B2403" s="46" t="s">
        <v>14357</v>
      </c>
      <c r="C2403">
        <v>5</v>
      </c>
      <c r="D2403">
        <v>32</v>
      </c>
    </row>
    <row r="2404" spans="1:4" x14ac:dyDescent="0.25">
      <c r="A2404" s="45" t="s">
        <v>2432</v>
      </c>
      <c r="B2404" s="46" t="s">
        <v>14358</v>
      </c>
      <c r="C2404">
        <v>5</v>
      </c>
      <c r="D2404">
        <v>32</v>
      </c>
    </row>
    <row r="2405" spans="1:4" x14ac:dyDescent="0.25">
      <c r="A2405" s="45" t="s">
        <v>2433</v>
      </c>
      <c r="B2405" s="46" t="s">
        <v>14359</v>
      </c>
      <c r="C2405">
        <v>5</v>
      </c>
      <c r="D2405">
        <v>32</v>
      </c>
    </row>
    <row r="2406" spans="1:4" x14ac:dyDescent="0.25">
      <c r="A2406" s="45" t="s">
        <v>2434</v>
      </c>
      <c r="B2406" s="46" t="s">
        <v>14360</v>
      </c>
      <c r="C2406">
        <v>5</v>
      </c>
      <c r="D2406">
        <v>32</v>
      </c>
    </row>
    <row r="2407" spans="1:4" x14ac:dyDescent="0.25">
      <c r="A2407" s="45" t="s">
        <v>2435</v>
      </c>
      <c r="B2407" s="46" t="s">
        <v>14361</v>
      </c>
      <c r="C2407">
        <v>5</v>
      </c>
      <c r="D2407">
        <v>32</v>
      </c>
    </row>
    <row r="2408" spans="1:4" x14ac:dyDescent="0.25">
      <c r="A2408" s="45" t="s">
        <v>2436</v>
      </c>
      <c r="B2408" s="46" t="s">
        <v>14362</v>
      </c>
      <c r="C2408">
        <v>5</v>
      </c>
      <c r="D2408">
        <v>32</v>
      </c>
    </row>
    <row r="2409" spans="1:4" x14ac:dyDescent="0.25">
      <c r="A2409" s="45" t="s">
        <v>2437</v>
      </c>
      <c r="B2409" s="46" t="s">
        <v>14363</v>
      </c>
      <c r="C2409">
        <v>5</v>
      </c>
      <c r="D2409">
        <v>32</v>
      </c>
    </row>
    <row r="2410" spans="1:4" x14ac:dyDescent="0.25">
      <c r="A2410" s="45" t="s">
        <v>2438</v>
      </c>
      <c r="B2410" s="46" t="s">
        <v>14364</v>
      </c>
      <c r="C2410">
        <v>5</v>
      </c>
      <c r="D2410">
        <v>32</v>
      </c>
    </row>
    <row r="2411" spans="1:4" x14ac:dyDescent="0.25">
      <c r="A2411" s="45" t="s">
        <v>2439</v>
      </c>
      <c r="B2411" s="46" t="s">
        <v>14365</v>
      </c>
      <c r="C2411">
        <v>5</v>
      </c>
      <c r="D2411">
        <v>32</v>
      </c>
    </row>
    <row r="2412" spans="1:4" x14ac:dyDescent="0.25">
      <c r="A2412" s="45" t="s">
        <v>2440</v>
      </c>
      <c r="B2412" s="46" t="s">
        <v>14366</v>
      </c>
      <c r="C2412">
        <v>5</v>
      </c>
      <c r="D2412">
        <v>32</v>
      </c>
    </row>
    <row r="2413" spans="1:4" x14ac:dyDescent="0.25">
      <c r="A2413" s="45" t="s">
        <v>2441</v>
      </c>
      <c r="B2413" s="46" t="s">
        <v>14367</v>
      </c>
      <c r="C2413">
        <v>5</v>
      </c>
      <c r="D2413">
        <v>32</v>
      </c>
    </row>
    <row r="2414" spans="1:4" x14ac:dyDescent="0.25">
      <c r="A2414" s="45" t="s">
        <v>2442</v>
      </c>
      <c r="B2414" s="46" t="s">
        <v>14368</v>
      </c>
      <c r="C2414">
        <v>5</v>
      </c>
      <c r="D2414">
        <v>32</v>
      </c>
    </row>
    <row r="2415" spans="1:4" x14ac:dyDescent="0.25">
      <c r="A2415" s="45" t="s">
        <v>2443</v>
      </c>
      <c r="B2415" s="46" t="s">
        <v>14369</v>
      </c>
      <c r="C2415">
        <v>5</v>
      </c>
      <c r="D2415">
        <v>32</v>
      </c>
    </row>
    <row r="2416" spans="1:4" x14ac:dyDescent="0.25">
      <c r="A2416" s="45" t="s">
        <v>2444</v>
      </c>
      <c r="B2416" s="46" t="s">
        <v>14370</v>
      </c>
      <c r="C2416">
        <v>5</v>
      </c>
      <c r="D2416">
        <v>32</v>
      </c>
    </row>
    <row r="2417" spans="1:4" x14ac:dyDescent="0.25">
      <c r="A2417" s="45" t="s">
        <v>2445</v>
      </c>
      <c r="B2417" s="46" t="s">
        <v>14371</v>
      </c>
      <c r="C2417">
        <v>5</v>
      </c>
      <c r="D2417">
        <v>32</v>
      </c>
    </row>
    <row r="2418" spans="1:4" x14ac:dyDescent="0.25">
      <c r="A2418" s="45" t="s">
        <v>2446</v>
      </c>
      <c r="B2418" s="46" t="s">
        <v>14372</v>
      </c>
      <c r="C2418">
        <v>5</v>
      </c>
      <c r="D2418">
        <v>32</v>
      </c>
    </row>
    <row r="2419" spans="1:4" x14ac:dyDescent="0.25">
      <c r="A2419" s="45" t="s">
        <v>2447</v>
      </c>
      <c r="B2419" s="46" t="s">
        <v>14373</v>
      </c>
      <c r="C2419">
        <v>5</v>
      </c>
      <c r="D2419">
        <v>32</v>
      </c>
    </row>
    <row r="2420" spans="1:4" x14ac:dyDescent="0.25">
      <c r="A2420" s="45" t="s">
        <v>2448</v>
      </c>
      <c r="B2420" s="46" t="s">
        <v>14374</v>
      </c>
      <c r="C2420">
        <v>5</v>
      </c>
      <c r="D2420">
        <v>32</v>
      </c>
    </row>
    <row r="2421" spans="1:4" x14ac:dyDescent="0.25">
      <c r="A2421" s="45" t="s">
        <v>2449</v>
      </c>
      <c r="B2421" s="46" t="s">
        <v>14375</v>
      </c>
      <c r="C2421">
        <v>5</v>
      </c>
      <c r="D2421">
        <v>32</v>
      </c>
    </row>
    <row r="2422" spans="1:4" x14ac:dyDescent="0.25">
      <c r="A2422" s="45" t="s">
        <v>2450</v>
      </c>
      <c r="B2422" s="46" t="s">
        <v>14376</v>
      </c>
      <c r="C2422">
        <v>5</v>
      </c>
      <c r="D2422">
        <v>32</v>
      </c>
    </row>
    <row r="2423" spans="1:4" x14ac:dyDescent="0.25">
      <c r="A2423" s="45" t="s">
        <v>2451</v>
      </c>
      <c r="B2423" s="46" t="s">
        <v>14377</v>
      </c>
      <c r="C2423">
        <v>5</v>
      </c>
      <c r="D2423">
        <v>32</v>
      </c>
    </row>
    <row r="2424" spans="1:4" x14ac:dyDescent="0.25">
      <c r="A2424" s="45" t="s">
        <v>2452</v>
      </c>
      <c r="B2424" s="46" t="s">
        <v>14378</v>
      </c>
      <c r="C2424">
        <v>5</v>
      </c>
      <c r="D2424">
        <v>32</v>
      </c>
    </row>
    <row r="2425" spans="1:4" x14ac:dyDescent="0.25">
      <c r="A2425" s="45" t="s">
        <v>2453</v>
      </c>
      <c r="B2425" s="46" t="s">
        <v>14379</v>
      </c>
      <c r="C2425">
        <v>5</v>
      </c>
      <c r="D2425">
        <v>32</v>
      </c>
    </row>
    <row r="2426" spans="1:4" x14ac:dyDescent="0.25">
      <c r="A2426" s="45" t="s">
        <v>2454</v>
      </c>
      <c r="B2426" s="46" t="s">
        <v>14380</v>
      </c>
      <c r="C2426">
        <v>5</v>
      </c>
      <c r="D2426">
        <v>32</v>
      </c>
    </row>
    <row r="2427" spans="1:4" x14ac:dyDescent="0.25">
      <c r="A2427" s="45" t="s">
        <v>2455</v>
      </c>
      <c r="B2427" s="46" t="s">
        <v>14381</v>
      </c>
      <c r="C2427">
        <v>5</v>
      </c>
      <c r="D2427">
        <v>32</v>
      </c>
    </row>
    <row r="2428" spans="1:4" x14ac:dyDescent="0.25">
      <c r="A2428" s="45" t="s">
        <v>2456</v>
      </c>
      <c r="B2428" s="46" t="s">
        <v>14382</v>
      </c>
      <c r="C2428">
        <v>5</v>
      </c>
      <c r="D2428">
        <v>32</v>
      </c>
    </row>
    <row r="2429" spans="1:4" x14ac:dyDescent="0.25">
      <c r="A2429" s="45" t="s">
        <v>2457</v>
      </c>
      <c r="B2429" s="46" t="s">
        <v>14383</v>
      </c>
      <c r="C2429">
        <v>5</v>
      </c>
      <c r="D2429">
        <v>32</v>
      </c>
    </row>
    <row r="2430" spans="1:4" x14ac:dyDescent="0.25">
      <c r="A2430" s="45" t="s">
        <v>2458</v>
      </c>
      <c r="B2430" s="46" t="s">
        <v>19826</v>
      </c>
      <c r="C2430">
        <v>5</v>
      </c>
      <c r="D2430">
        <v>32</v>
      </c>
    </row>
    <row r="2431" spans="1:4" x14ac:dyDescent="0.25">
      <c r="A2431" s="45" t="s">
        <v>2459</v>
      </c>
      <c r="B2431" s="46" t="s">
        <v>19827</v>
      </c>
      <c r="C2431">
        <v>5</v>
      </c>
      <c r="D2431">
        <v>32</v>
      </c>
    </row>
    <row r="2432" spans="1:4" x14ac:dyDescent="0.25">
      <c r="A2432" s="45" t="s">
        <v>2460</v>
      </c>
      <c r="B2432" s="46" t="s">
        <v>14384</v>
      </c>
      <c r="C2432">
        <v>5</v>
      </c>
      <c r="D2432">
        <v>32</v>
      </c>
    </row>
    <row r="2433" spans="1:4" x14ac:dyDescent="0.25">
      <c r="A2433" s="45" t="s">
        <v>2461</v>
      </c>
      <c r="B2433" s="46" t="s">
        <v>14385</v>
      </c>
      <c r="C2433">
        <v>5</v>
      </c>
      <c r="D2433">
        <v>32</v>
      </c>
    </row>
    <row r="2434" spans="1:4" x14ac:dyDescent="0.25">
      <c r="A2434" s="45" t="s">
        <v>2462</v>
      </c>
      <c r="B2434" s="46" t="s">
        <v>19828</v>
      </c>
      <c r="C2434">
        <v>5</v>
      </c>
      <c r="D2434">
        <v>32</v>
      </c>
    </row>
    <row r="2435" spans="1:4" x14ac:dyDescent="0.25">
      <c r="A2435" s="45" t="s">
        <v>2463</v>
      </c>
      <c r="B2435" s="46" t="s">
        <v>19829</v>
      </c>
      <c r="C2435">
        <v>5</v>
      </c>
      <c r="D2435">
        <v>32</v>
      </c>
    </row>
    <row r="2436" spans="1:4" x14ac:dyDescent="0.25">
      <c r="A2436" s="45" t="s">
        <v>2464</v>
      </c>
      <c r="B2436" s="46" t="s">
        <v>14386</v>
      </c>
      <c r="C2436">
        <v>5</v>
      </c>
      <c r="D2436">
        <v>32</v>
      </c>
    </row>
    <row r="2437" spans="1:4" x14ac:dyDescent="0.25">
      <c r="A2437" s="45" t="s">
        <v>2465</v>
      </c>
      <c r="B2437" s="46" t="s">
        <v>14387</v>
      </c>
      <c r="C2437">
        <v>5</v>
      </c>
      <c r="D2437">
        <v>32</v>
      </c>
    </row>
    <row r="2438" spans="1:4" x14ac:dyDescent="0.25">
      <c r="A2438" s="45" t="s">
        <v>2466</v>
      </c>
      <c r="B2438" s="46" t="s">
        <v>19830</v>
      </c>
      <c r="C2438">
        <v>5</v>
      </c>
      <c r="D2438">
        <v>32</v>
      </c>
    </row>
    <row r="2439" spans="1:4" x14ac:dyDescent="0.25">
      <c r="A2439" s="45" t="s">
        <v>2467</v>
      </c>
      <c r="B2439" s="46" t="s">
        <v>14388</v>
      </c>
      <c r="C2439">
        <v>5</v>
      </c>
      <c r="D2439">
        <v>32</v>
      </c>
    </row>
    <row r="2440" spans="1:4" x14ac:dyDescent="0.25">
      <c r="A2440" s="45" t="s">
        <v>2468</v>
      </c>
      <c r="B2440" s="46" t="s">
        <v>19831</v>
      </c>
      <c r="C2440">
        <v>5</v>
      </c>
      <c r="D2440">
        <v>32</v>
      </c>
    </row>
    <row r="2441" spans="1:4" x14ac:dyDescent="0.25">
      <c r="A2441" s="45" t="s">
        <v>2469</v>
      </c>
      <c r="B2441" s="46" t="s">
        <v>19832</v>
      </c>
      <c r="C2441">
        <v>5</v>
      </c>
      <c r="D2441">
        <v>31</v>
      </c>
    </row>
    <row r="2442" spans="1:4" x14ac:dyDescent="0.25">
      <c r="A2442" s="45" t="s">
        <v>2470</v>
      </c>
      <c r="B2442" s="46" t="s">
        <v>14389</v>
      </c>
      <c r="C2442">
        <v>6</v>
      </c>
      <c r="D2442">
        <v>34</v>
      </c>
    </row>
    <row r="2443" spans="1:4" x14ac:dyDescent="0.25">
      <c r="A2443" s="45" t="s">
        <v>2471</v>
      </c>
      <c r="B2443" s="46" t="s">
        <v>14390</v>
      </c>
      <c r="C2443">
        <v>6</v>
      </c>
      <c r="D2443">
        <v>34</v>
      </c>
    </row>
    <row r="2444" spans="1:4" x14ac:dyDescent="0.25">
      <c r="A2444" s="45" t="s">
        <v>2472</v>
      </c>
      <c r="B2444" s="46" t="s">
        <v>14391</v>
      </c>
      <c r="C2444">
        <v>6</v>
      </c>
      <c r="D2444">
        <v>34</v>
      </c>
    </row>
    <row r="2445" spans="1:4" x14ac:dyDescent="0.25">
      <c r="A2445" s="45" t="s">
        <v>2473</v>
      </c>
      <c r="B2445" s="46" t="s">
        <v>14392</v>
      </c>
      <c r="C2445">
        <v>6</v>
      </c>
      <c r="D2445">
        <v>34</v>
      </c>
    </row>
    <row r="2446" spans="1:4" x14ac:dyDescent="0.25">
      <c r="A2446" s="45" t="s">
        <v>2474</v>
      </c>
      <c r="B2446" s="46" t="s">
        <v>14393</v>
      </c>
      <c r="C2446">
        <v>6</v>
      </c>
      <c r="D2446">
        <v>34</v>
      </c>
    </row>
    <row r="2447" spans="1:4" x14ac:dyDescent="0.25">
      <c r="A2447" s="45" t="s">
        <v>2475</v>
      </c>
      <c r="B2447" s="46" t="s">
        <v>14394</v>
      </c>
      <c r="C2447">
        <v>6</v>
      </c>
      <c r="D2447">
        <v>34</v>
      </c>
    </row>
    <row r="2448" spans="1:4" x14ac:dyDescent="0.25">
      <c r="A2448" s="45" t="s">
        <v>2476</v>
      </c>
      <c r="B2448" s="46" t="s">
        <v>14395</v>
      </c>
      <c r="C2448">
        <v>6</v>
      </c>
      <c r="D2448">
        <v>34</v>
      </c>
    </row>
    <row r="2449" spans="1:4" x14ac:dyDescent="0.25">
      <c r="A2449" s="45" t="s">
        <v>2477</v>
      </c>
      <c r="B2449" s="46" t="s">
        <v>14396</v>
      </c>
      <c r="C2449">
        <v>6</v>
      </c>
      <c r="D2449">
        <v>34</v>
      </c>
    </row>
    <row r="2450" spans="1:4" x14ac:dyDescent="0.25">
      <c r="A2450" s="45" t="s">
        <v>2478</v>
      </c>
      <c r="B2450" s="46" t="s">
        <v>14397</v>
      </c>
      <c r="C2450">
        <v>6</v>
      </c>
      <c r="D2450">
        <v>34</v>
      </c>
    </row>
    <row r="2451" spans="1:4" x14ac:dyDescent="0.25">
      <c r="A2451" s="45" t="s">
        <v>2479</v>
      </c>
      <c r="B2451" s="46" t="s">
        <v>14398</v>
      </c>
      <c r="C2451">
        <v>6</v>
      </c>
      <c r="D2451">
        <v>34</v>
      </c>
    </row>
    <row r="2452" spans="1:4" x14ac:dyDescent="0.25">
      <c r="A2452" s="45" t="s">
        <v>2480</v>
      </c>
      <c r="B2452" s="46" t="s">
        <v>19833</v>
      </c>
      <c r="C2452">
        <v>1</v>
      </c>
      <c r="D2452">
        <v>6</v>
      </c>
    </row>
    <row r="2453" spans="1:4" x14ac:dyDescent="0.25">
      <c r="A2453" s="45" t="s">
        <v>2481</v>
      </c>
      <c r="B2453" s="46" t="s">
        <v>14399</v>
      </c>
      <c r="C2453">
        <v>6</v>
      </c>
      <c r="D2453">
        <v>34</v>
      </c>
    </row>
    <row r="2454" spans="1:4" x14ac:dyDescent="0.25">
      <c r="A2454" s="45" t="s">
        <v>2482</v>
      </c>
      <c r="B2454" s="46" t="s">
        <v>14400</v>
      </c>
      <c r="C2454">
        <v>6</v>
      </c>
      <c r="D2454">
        <v>34</v>
      </c>
    </row>
    <row r="2455" spans="1:4" x14ac:dyDescent="0.25">
      <c r="A2455" s="45" t="s">
        <v>2483</v>
      </c>
      <c r="B2455" s="46" t="s">
        <v>19834</v>
      </c>
      <c r="C2455">
        <v>6</v>
      </c>
      <c r="D2455">
        <v>34</v>
      </c>
    </row>
    <row r="2456" spans="1:4" x14ac:dyDescent="0.25">
      <c r="A2456" s="45" t="s">
        <v>2484</v>
      </c>
      <c r="B2456" s="46" t="s">
        <v>14401</v>
      </c>
      <c r="C2456">
        <v>6</v>
      </c>
      <c r="D2456">
        <v>34</v>
      </c>
    </row>
    <row r="2457" spans="1:4" x14ac:dyDescent="0.25">
      <c r="A2457" s="45" t="s">
        <v>2485</v>
      </c>
      <c r="B2457" s="46" t="s">
        <v>14402</v>
      </c>
      <c r="C2457">
        <v>1</v>
      </c>
      <c r="D2457">
        <v>15</v>
      </c>
    </row>
    <row r="2458" spans="1:4" x14ac:dyDescent="0.25">
      <c r="A2458" s="45" t="s">
        <v>2486</v>
      </c>
      <c r="B2458" s="46" t="s">
        <v>14403</v>
      </c>
      <c r="C2458">
        <v>6</v>
      </c>
      <c r="D2458">
        <v>35</v>
      </c>
    </row>
    <row r="2459" spans="1:4" x14ac:dyDescent="0.25">
      <c r="A2459" s="45" t="s">
        <v>2487</v>
      </c>
      <c r="B2459" s="46" t="s">
        <v>19835</v>
      </c>
      <c r="C2459">
        <v>6</v>
      </c>
      <c r="D2459">
        <v>34</v>
      </c>
    </row>
    <row r="2460" spans="1:4" x14ac:dyDescent="0.25">
      <c r="A2460" s="45" t="s">
        <v>2488</v>
      </c>
      <c r="B2460" s="46" t="s">
        <v>19836</v>
      </c>
      <c r="C2460">
        <v>1</v>
      </c>
      <c r="D2460">
        <v>15</v>
      </c>
    </row>
    <row r="2461" spans="1:4" x14ac:dyDescent="0.25">
      <c r="A2461" s="45" t="s">
        <v>2489</v>
      </c>
      <c r="B2461" s="46" t="s">
        <v>14404</v>
      </c>
      <c r="C2461">
        <v>6</v>
      </c>
      <c r="D2461">
        <v>34</v>
      </c>
    </row>
    <row r="2462" spans="1:4" x14ac:dyDescent="0.25">
      <c r="A2462" s="45" t="s">
        <v>2490</v>
      </c>
      <c r="B2462" s="46" t="s">
        <v>14405</v>
      </c>
      <c r="C2462">
        <v>6</v>
      </c>
      <c r="D2462">
        <v>34</v>
      </c>
    </row>
    <row r="2463" spans="1:4" x14ac:dyDescent="0.25">
      <c r="A2463" s="45" t="s">
        <v>2491</v>
      </c>
      <c r="B2463" s="46" t="s">
        <v>19837</v>
      </c>
      <c r="C2463">
        <v>6</v>
      </c>
      <c r="D2463">
        <v>34</v>
      </c>
    </row>
    <row r="2464" spans="1:4" x14ac:dyDescent="0.25">
      <c r="A2464" s="45" t="s">
        <v>2492</v>
      </c>
      <c r="B2464" s="46" t="s">
        <v>19838</v>
      </c>
      <c r="C2464">
        <v>6</v>
      </c>
      <c r="D2464">
        <v>34</v>
      </c>
    </row>
    <row r="2465" spans="1:4" x14ac:dyDescent="0.25">
      <c r="A2465" s="45" t="s">
        <v>2493</v>
      </c>
      <c r="B2465" s="46" t="s">
        <v>19839</v>
      </c>
      <c r="C2465">
        <v>6</v>
      </c>
      <c r="D2465">
        <v>34</v>
      </c>
    </row>
    <row r="2466" spans="1:4" x14ac:dyDescent="0.25">
      <c r="A2466" s="45" t="s">
        <v>2494</v>
      </c>
      <c r="B2466" s="46" t="s">
        <v>19840</v>
      </c>
      <c r="C2466">
        <v>6</v>
      </c>
      <c r="D2466">
        <v>34</v>
      </c>
    </row>
    <row r="2467" spans="1:4" x14ac:dyDescent="0.25">
      <c r="A2467" s="45" t="s">
        <v>2495</v>
      </c>
      <c r="B2467" s="46" t="s">
        <v>14406</v>
      </c>
      <c r="C2467">
        <v>6</v>
      </c>
      <c r="D2467">
        <v>34</v>
      </c>
    </row>
    <row r="2468" spans="1:4" x14ac:dyDescent="0.25">
      <c r="A2468" s="45" t="s">
        <v>2496</v>
      </c>
      <c r="B2468" s="46" t="s">
        <v>14407</v>
      </c>
      <c r="C2468">
        <v>6</v>
      </c>
      <c r="D2468">
        <v>34</v>
      </c>
    </row>
    <row r="2469" spans="1:4" x14ac:dyDescent="0.25">
      <c r="A2469" s="45" t="s">
        <v>2497</v>
      </c>
      <c r="B2469" s="46" t="s">
        <v>14408</v>
      </c>
      <c r="C2469">
        <v>6</v>
      </c>
      <c r="D2469">
        <v>34</v>
      </c>
    </row>
    <row r="2470" spans="1:4" x14ac:dyDescent="0.25">
      <c r="A2470" s="45" t="s">
        <v>2498</v>
      </c>
      <c r="B2470" s="46" t="s">
        <v>19841</v>
      </c>
      <c r="C2470">
        <v>6</v>
      </c>
      <c r="D2470">
        <v>34</v>
      </c>
    </row>
    <row r="2471" spans="1:4" x14ac:dyDescent="0.25">
      <c r="A2471" s="45" t="s">
        <v>2499</v>
      </c>
      <c r="B2471" s="46" t="s">
        <v>14409</v>
      </c>
      <c r="C2471">
        <v>6</v>
      </c>
      <c r="D2471">
        <v>34</v>
      </c>
    </row>
    <row r="2472" spans="1:4" x14ac:dyDescent="0.25">
      <c r="A2472" s="45" t="s">
        <v>2500</v>
      </c>
      <c r="B2472" s="46" t="s">
        <v>14410</v>
      </c>
      <c r="C2472">
        <v>5</v>
      </c>
      <c r="D2472">
        <v>30</v>
      </c>
    </row>
    <row r="2473" spans="1:4" x14ac:dyDescent="0.25">
      <c r="A2473" s="45" t="s">
        <v>2501</v>
      </c>
      <c r="B2473" s="46" t="s">
        <v>14411</v>
      </c>
      <c r="C2473">
        <v>6</v>
      </c>
      <c r="D2473">
        <v>35</v>
      </c>
    </row>
    <row r="2474" spans="1:4" x14ac:dyDescent="0.25">
      <c r="A2474" s="45" t="s">
        <v>2502</v>
      </c>
      <c r="B2474" s="46" t="s">
        <v>14412</v>
      </c>
      <c r="C2474">
        <v>6</v>
      </c>
      <c r="D2474">
        <v>35</v>
      </c>
    </row>
    <row r="2475" spans="1:4" x14ac:dyDescent="0.25">
      <c r="A2475" s="45" t="s">
        <v>2503</v>
      </c>
      <c r="B2475" s="46" t="s">
        <v>14413</v>
      </c>
      <c r="C2475">
        <v>6</v>
      </c>
      <c r="D2475">
        <v>35</v>
      </c>
    </row>
    <row r="2476" spans="1:4" x14ac:dyDescent="0.25">
      <c r="A2476" s="45" t="s">
        <v>2504</v>
      </c>
      <c r="B2476" s="46" t="s">
        <v>14414</v>
      </c>
      <c r="C2476">
        <v>6</v>
      </c>
      <c r="D2476">
        <v>35</v>
      </c>
    </row>
    <row r="2477" spans="1:4" x14ac:dyDescent="0.25">
      <c r="A2477" s="45" t="s">
        <v>2505</v>
      </c>
      <c r="B2477" s="46" t="s">
        <v>14415</v>
      </c>
      <c r="C2477">
        <v>6</v>
      </c>
      <c r="D2477">
        <v>35</v>
      </c>
    </row>
    <row r="2478" spans="1:4" x14ac:dyDescent="0.25">
      <c r="A2478" s="45" t="s">
        <v>2506</v>
      </c>
      <c r="B2478" s="46" t="s">
        <v>19842</v>
      </c>
      <c r="C2478">
        <v>6</v>
      </c>
      <c r="D2478">
        <v>35</v>
      </c>
    </row>
    <row r="2479" spans="1:4" x14ac:dyDescent="0.25">
      <c r="A2479" s="45" t="s">
        <v>2507</v>
      </c>
      <c r="B2479" s="46" t="s">
        <v>14416</v>
      </c>
      <c r="C2479">
        <v>6</v>
      </c>
      <c r="D2479">
        <v>35</v>
      </c>
    </row>
    <row r="2480" spans="1:4" x14ac:dyDescent="0.25">
      <c r="A2480" s="45" t="s">
        <v>2508</v>
      </c>
      <c r="B2480" s="46" t="s">
        <v>14417</v>
      </c>
      <c r="C2480">
        <v>6</v>
      </c>
      <c r="D2480">
        <v>35</v>
      </c>
    </row>
    <row r="2481" spans="1:4" x14ac:dyDescent="0.25">
      <c r="A2481" s="45" t="s">
        <v>2509</v>
      </c>
      <c r="B2481" s="46" t="s">
        <v>19843</v>
      </c>
      <c r="C2481">
        <v>6</v>
      </c>
      <c r="D2481">
        <v>35</v>
      </c>
    </row>
    <row r="2482" spans="1:4" x14ac:dyDescent="0.25">
      <c r="A2482" s="45" t="s">
        <v>2510</v>
      </c>
      <c r="B2482" s="46" t="s">
        <v>14418</v>
      </c>
      <c r="C2482">
        <v>6</v>
      </c>
      <c r="D2482">
        <v>35</v>
      </c>
    </row>
    <row r="2483" spans="1:4" x14ac:dyDescent="0.25">
      <c r="A2483" s="45" t="s">
        <v>2511</v>
      </c>
      <c r="B2483" s="46" t="s">
        <v>14419</v>
      </c>
      <c r="C2483">
        <v>6</v>
      </c>
      <c r="D2483">
        <v>35</v>
      </c>
    </row>
    <row r="2484" spans="1:4" x14ac:dyDescent="0.25">
      <c r="A2484" s="45" t="s">
        <v>2512</v>
      </c>
      <c r="B2484" s="46" t="s">
        <v>14420</v>
      </c>
      <c r="C2484">
        <v>6</v>
      </c>
      <c r="D2484">
        <v>35</v>
      </c>
    </row>
    <row r="2485" spans="1:4" x14ac:dyDescent="0.25">
      <c r="A2485" s="45" t="s">
        <v>2513</v>
      </c>
      <c r="B2485" s="46" t="s">
        <v>14421</v>
      </c>
      <c r="C2485">
        <v>6</v>
      </c>
      <c r="D2485">
        <v>35</v>
      </c>
    </row>
    <row r="2486" spans="1:4" x14ac:dyDescent="0.25">
      <c r="A2486" s="45" t="s">
        <v>2514</v>
      </c>
      <c r="B2486" s="46" t="s">
        <v>14422</v>
      </c>
      <c r="C2486">
        <v>6</v>
      </c>
      <c r="D2486">
        <v>35</v>
      </c>
    </row>
    <row r="2487" spans="1:4" x14ac:dyDescent="0.25">
      <c r="A2487" s="45" t="s">
        <v>2515</v>
      </c>
      <c r="B2487" s="46" t="s">
        <v>19844</v>
      </c>
      <c r="C2487">
        <v>6</v>
      </c>
      <c r="D2487">
        <v>35</v>
      </c>
    </row>
    <row r="2488" spans="1:4" x14ac:dyDescent="0.25">
      <c r="A2488" s="45" t="s">
        <v>2516</v>
      </c>
      <c r="B2488" s="46" t="s">
        <v>19845</v>
      </c>
      <c r="C2488">
        <v>6</v>
      </c>
      <c r="D2488">
        <v>35</v>
      </c>
    </row>
    <row r="2489" spans="1:4" x14ac:dyDescent="0.25">
      <c r="A2489" s="45" t="s">
        <v>2517</v>
      </c>
      <c r="B2489" s="46" t="s">
        <v>19846</v>
      </c>
      <c r="C2489">
        <v>5</v>
      </c>
      <c r="D2489">
        <v>30</v>
      </c>
    </row>
    <row r="2490" spans="1:4" x14ac:dyDescent="0.25">
      <c r="A2490" s="45" t="s">
        <v>2518</v>
      </c>
      <c r="B2490" s="46" t="s">
        <v>14423</v>
      </c>
      <c r="C2490">
        <v>6</v>
      </c>
      <c r="D2490">
        <v>35</v>
      </c>
    </row>
    <row r="2491" spans="1:4" x14ac:dyDescent="0.25">
      <c r="A2491" s="45" t="s">
        <v>2519</v>
      </c>
      <c r="B2491" s="46" t="s">
        <v>14424</v>
      </c>
      <c r="C2491">
        <v>6</v>
      </c>
      <c r="D2491">
        <v>35</v>
      </c>
    </row>
    <row r="2492" spans="1:4" x14ac:dyDescent="0.25">
      <c r="A2492" s="45" t="s">
        <v>2520</v>
      </c>
      <c r="B2492" s="46" t="s">
        <v>14425</v>
      </c>
      <c r="C2492">
        <v>6</v>
      </c>
      <c r="D2492">
        <v>35</v>
      </c>
    </row>
    <row r="2493" spans="1:4" x14ac:dyDescent="0.25">
      <c r="A2493" s="45" t="s">
        <v>2521</v>
      </c>
      <c r="B2493" s="46" t="s">
        <v>14426</v>
      </c>
      <c r="C2493">
        <v>6</v>
      </c>
      <c r="D2493">
        <v>35</v>
      </c>
    </row>
    <row r="2494" spans="1:4" x14ac:dyDescent="0.25">
      <c r="A2494" s="45" t="s">
        <v>2522</v>
      </c>
      <c r="B2494" s="46" t="s">
        <v>14427</v>
      </c>
      <c r="C2494">
        <v>6</v>
      </c>
      <c r="D2494">
        <v>35</v>
      </c>
    </row>
    <row r="2495" spans="1:4" x14ac:dyDescent="0.25">
      <c r="A2495" s="45" t="s">
        <v>2523</v>
      </c>
      <c r="B2495" s="46" t="s">
        <v>14428</v>
      </c>
      <c r="C2495">
        <v>6</v>
      </c>
      <c r="D2495">
        <v>35</v>
      </c>
    </row>
    <row r="2496" spans="1:4" x14ac:dyDescent="0.25">
      <c r="A2496" s="45" t="s">
        <v>2524</v>
      </c>
      <c r="B2496" s="46" t="s">
        <v>14429</v>
      </c>
      <c r="C2496">
        <v>6</v>
      </c>
      <c r="D2496">
        <v>35</v>
      </c>
    </row>
    <row r="2497" spans="1:4" x14ac:dyDescent="0.25">
      <c r="A2497" s="45" t="s">
        <v>2525</v>
      </c>
      <c r="B2497" s="46" t="s">
        <v>14430</v>
      </c>
      <c r="C2497">
        <v>6</v>
      </c>
      <c r="D2497">
        <v>35</v>
      </c>
    </row>
    <row r="2498" spans="1:4" x14ac:dyDescent="0.25">
      <c r="A2498" s="45" t="s">
        <v>2526</v>
      </c>
      <c r="B2498" s="46" t="s">
        <v>14431</v>
      </c>
      <c r="C2498">
        <v>6</v>
      </c>
      <c r="D2498">
        <v>35</v>
      </c>
    </row>
    <row r="2499" spans="1:4" x14ac:dyDescent="0.25">
      <c r="A2499" s="45" t="s">
        <v>2527</v>
      </c>
      <c r="B2499" s="46" t="s">
        <v>19847</v>
      </c>
      <c r="C2499">
        <v>6</v>
      </c>
      <c r="D2499">
        <v>35</v>
      </c>
    </row>
    <row r="2500" spans="1:4" x14ac:dyDescent="0.25">
      <c r="A2500" s="45" t="s">
        <v>2528</v>
      </c>
      <c r="B2500" s="46" t="s">
        <v>19848</v>
      </c>
      <c r="C2500">
        <v>6</v>
      </c>
      <c r="D2500">
        <v>35</v>
      </c>
    </row>
    <row r="2501" spans="1:4" x14ac:dyDescent="0.25">
      <c r="A2501" s="45" t="s">
        <v>2529</v>
      </c>
      <c r="B2501" s="46" t="s">
        <v>19849</v>
      </c>
      <c r="C2501">
        <v>6</v>
      </c>
      <c r="D2501">
        <v>35</v>
      </c>
    </row>
    <row r="2502" spans="1:4" x14ac:dyDescent="0.25">
      <c r="A2502" s="45" t="s">
        <v>2530</v>
      </c>
      <c r="B2502" s="46" t="s">
        <v>14432</v>
      </c>
      <c r="C2502">
        <v>6</v>
      </c>
      <c r="D2502">
        <v>35</v>
      </c>
    </row>
    <row r="2503" spans="1:4" x14ac:dyDescent="0.25">
      <c r="A2503" s="45" t="s">
        <v>2531</v>
      </c>
      <c r="B2503" s="46" t="s">
        <v>14433</v>
      </c>
      <c r="C2503">
        <v>6</v>
      </c>
      <c r="D2503">
        <v>35</v>
      </c>
    </row>
    <row r="2504" spans="1:4" x14ac:dyDescent="0.25">
      <c r="A2504" s="45" t="s">
        <v>2532</v>
      </c>
      <c r="B2504" s="46" t="s">
        <v>14434</v>
      </c>
      <c r="C2504">
        <v>6</v>
      </c>
      <c r="D2504">
        <v>35</v>
      </c>
    </row>
    <row r="2505" spans="1:4" x14ac:dyDescent="0.25">
      <c r="A2505" s="45" t="s">
        <v>2533</v>
      </c>
      <c r="B2505" s="46" t="s">
        <v>14435</v>
      </c>
      <c r="C2505">
        <v>6</v>
      </c>
      <c r="D2505">
        <v>35</v>
      </c>
    </row>
    <row r="2506" spans="1:4" x14ac:dyDescent="0.25">
      <c r="A2506" s="45" t="s">
        <v>2534</v>
      </c>
      <c r="B2506" s="46" t="s">
        <v>14436</v>
      </c>
      <c r="C2506">
        <v>6</v>
      </c>
      <c r="D2506">
        <v>35</v>
      </c>
    </row>
    <row r="2507" spans="1:4" x14ac:dyDescent="0.25">
      <c r="A2507" s="45" t="s">
        <v>2535</v>
      </c>
      <c r="B2507" s="46" t="s">
        <v>14437</v>
      </c>
      <c r="C2507">
        <v>6</v>
      </c>
      <c r="D2507">
        <v>35</v>
      </c>
    </row>
    <row r="2508" spans="1:4" x14ac:dyDescent="0.25">
      <c r="A2508" s="45" t="s">
        <v>2536</v>
      </c>
      <c r="B2508" s="46" t="s">
        <v>14438</v>
      </c>
      <c r="C2508">
        <v>6</v>
      </c>
      <c r="D2508">
        <v>35</v>
      </c>
    </row>
    <row r="2509" spans="1:4" x14ac:dyDescent="0.25">
      <c r="A2509" s="45" t="s">
        <v>2537</v>
      </c>
      <c r="B2509" s="46" t="s">
        <v>14439</v>
      </c>
      <c r="C2509">
        <v>6</v>
      </c>
      <c r="D2509">
        <v>35</v>
      </c>
    </row>
    <row r="2510" spans="1:4" x14ac:dyDescent="0.25">
      <c r="A2510" s="45" t="s">
        <v>2538</v>
      </c>
      <c r="B2510" s="46" t="s">
        <v>14440</v>
      </c>
      <c r="C2510">
        <v>6</v>
      </c>
      <c r="D2510">
        <v>35</v>
      </c>
    </row>
    <row r="2511" spans="1:4" x14ac:dyDescent="0.25">
      <c r="A2511" s="45" t="s">
        <v>2539</v>
      </c>
      <c r="B2511" s="46" t="s">
        <v>14441</v>
      </c>
      <c r="C2511">
        <v>6</v>
      </c>
      <c r="D2511">
        <v>35</v>
      </c>
    </row>
    <row r="2512" spans="1:4" x14ac:dyDescent="0.25">
      <c r="A2512" s="45" t="s">
        <v>2540</v>
      </c>
      <c r="B2512" s="46" t="s">
        <v>14442</v>
      </c>
      <c r="C2512">
        <v>6</v>
      </c>
      <c r="D2512">
        <v>35</v>
      </c>
    </row>
    <row r="2513" spans="1:4" x14ac:dyDescent="0.25">
      <c r="A2513" s="45" t="s">
        <v>2541</v>
      </c>
      <c r="B2513" s="46" t="s">
        <v>14443</v>
      </c>
      <c r="C2513">
        <v>6</v>
      </c>
      <c r="D2513">
        <v>35</v>
      </c>
    </row>
    <row r="2514" spans="1:4" x14ac:dyDescent="0.25">
      <c r="A2514" s="45" t="s">
        <v>2542</v>
      </c>
      <c r="B2514" s="46" t="s">
        <v>14444</v>
      </c>
      <c r="C2514">
        <v>6</v>
      </c>
      <c r="D2514">
        <v>35</v>
      </c>
    </row>
    <row r="2515" spans="1:4" x14ac:dyDescent="0.25">
      <c r="A2515" s="45" t="s">
        <v>2543</v>
      </c>
      <c r="B2515" s="46" t="s">
        <v>14445</v>
      </c>
      <c r="C2515">
        <v>6</v>
      </c>
      <c r="D2515">
        <v>35</v>
      </c>
    </row>
    <row r="2516" spans="1:4" x14ac:dyDescent="0.25">
      <c r="A2516" s="45" t="s">
        <v>2544</v>
      </c>
      <c r="B2516" s="46" t="s">
        <v>14446</v>
      </c>
      <c r="C2516">
        <v>6</v>
      </c>
      <c r="D2516">
        <v>35</v>
      </c>
    </row>
    <row r="2517" spans="1:4" x14ac:dyDescent="0.25">
      <c r="A2517" s="45" t="s">
        <v>2545</v>
      </c>
      <c r="B2517" s="46" t="s">
        <v>19850</v>
      </c>
      <c r="C2517">
        <v>6</v>
      </c>
      <c r="D2517">
        <v>35</v>
      </c>
    </row>
    <row r="2518" spans="1:4" x14ac:dyDescent="0.25">
      <c r="A2518" s="45" t="s">
        <v>2546</v>
      </c>
      <c r="B2518" s="46" t="s">
        <v>14447</v>
      </c>
      <c r="C2518">
        <v>6</v>
      </c>
      <c r="D2518">
        <v>35</v>
      </c>
    </row>
    <row r="2519" spans="1:4" x14ac:dyDescent="0.25">
      <c r="A2519" s="45" t="s">
        <v>2547</v>
      </c>
      <c r="B2519" s="46" t="s">
        <v>14448</v>
      </c>
      <c r="C2519">
        <v>6</v>
      </c>
      <c r="D2519">
        <v>35</v>
      </c>
    </row>
    <row r="2520" spans="1:4" x14ac:dyDescent="0.25">
      <c r="A2520" s="45" t="s">
        <v>2548</v>
      </c>
      <c r="B2520" s="46" t="s">
        <v>19851</v>
      </c>
      <c r="C2520">
        <v>5</v>
      </c>
      <c r="D2520">
        <v>30</v>
      </c>
    </row>
    <row r="2521" spans="1:4" x14ac:dyDescent="0.25">
      <c r="A2521" s="45" t="s">
        <v>2549</v>
      </c>
      <c r="B2521" s="46" t="s">
        <v>14449</v>
      </c>
      <c r="C2521">
        <v>5</v>
      </c>
      <c r="D2521">
        <v>30</v>
      </c>
    </row>
    <row r="2522" spans="1:4" x14ac:dyDescent="0.25">
      <c r="A2522" s="45" t="s">
        <v>2550</v>
      </c>
      <c r="B2522" s="46" t="s">
        <v>19852</v>
      </c>
      <c r="C2522">
        <v>5</v>
      </c>
      <c r="D2522">
        <v>30</v>
      </c>
    </row>
    <row r="2523" spans="1:4" x14ac:dyDescent="0.25">
      <c r="A2523" s="45" t="s">
        <v>2551</v>
      </c>
      <c r="B2523" s="46" t="s">
        <v>14450</v>
      </c>
      <c r="C2523">
        <v>5</v>
      </c>
      <c r="D2523">
        <v>30</v>
      </c>
    </row>
    <row r="2524" spans="1:4" x14ac:dyDescent="0.25">
      <c r="A2524" s="45" t="s">
        <v>2552</v>
      </c>
      <c r="B2524" s="46" t="s">
        <v>14451</v>
      </c>
      <c r="C2524">
        <v>5</v>
      </c>
      <c r="D2524">
        <v>30</v>
      </c>
    </row>
    <row r="2525" spans="1:4" x14ac:dyDescent="0.25">
      <c r="A2525" s="45" t="s">
        <v>2553</v>
      </c>
      <c r="B2525" s="46" t="s">
        <v>14452</v>
      </c>
      <c r="C2525">
        <v>6</v>
      </c>
      <c r="D2525">
        <v>35</v>
      </c>
    </row>
    <row r="2526" spans="1:4" x14ac:dyDescent="0.25">
      <c r="A2526" s="45" t="s">
        <v>2554</v>
      </c>
      <c r="B2526" s="46" t="s">
        <v>14453</v>
      </c>
      <c r="C2526">
        <v>5</v>
      </c>
      <c r="D2526">
        <v>32</v>
      </c>
    </row>
    <row r="2527" spans="1:4" x14ac:dyDescent="0.25">
      <c r="A2527" s="45" t="s">
        <v>2555</v>
      </c>
      <c r="B2527" s="46" t="s">
        <v>19853</v>
      </c>
      <c r="C2527">
        <v>5</v>
      </c>
      <c r="D2527">
        <v>30</v>
      </c>
    </row>
    <row r="2528" spans="1:4" x14ac:dyDescent="0.25">
      <c r="A2528" s="45" t="s">
        <v>2556</v>
      </c>
      <c r="B2528" s="46" t="s">
        <v>14454</v>
      </c>
      <c r="C2528">
        <v>6</v>
      </c>
      <c r="D2528">
        <v>35</v>
      </c>
    </row>
    <row r="2529" spans="1:4" x14ac:dyDescent="0.25">
      <c r="A2529" s="45" t="s">
        <v>2557</v>
      </c>
      <c r="B2529" s="46" t="s">
        <v>14455</v>
      </c>
      <c r="C2529">
        <v>6</v>
      </c>
      <c r="D2529">
        <v>35</v>
      </c>
    </row>
    <row r="2530" spans="1:4" x14ac:dyDescent="0.25">
      <c r="A2530" s="45" t="s">
        <v>2558</v>
      </c>
      <c r="B2530" s="46" t="s">
        <v>19854</v>
      </c>
      <c r="C2530">
        <v>6</v>
      </c>
      <c r="D2530">
        <v>35</v>
      </c>
    </row>
    <row r="2531" spans="1:4" x14ac:dyDescent="0.25">
      <c r="A2531" s="45" t="s">
        <v>2559</v>
      </c>
      <c r="B2531" s="46" t="s">
        <v>19855</v>
      </c>
      <c r="C2531">
        <v>5</v>
      </c>
      <c r="D2531">
        <v>30</v>
      </c>
    </row>
    <row r="2532" spans="1:4" x14ac:dyDescent="0.25">
      <c r="A2532" s="45" t="s">
        <v>2560</v>
      </c>
      <c r="B2532" s="46" t="s">
        <v>14456</v>
      </c>
      <c r="C2532">
        <v>6</v>
      </c>
      <c r="D2532">
        <v>36</v>
      </c>
    </row>
    <row r="2533" spans="1:4" x14ac:dyDescent="0.25">
      <c r="A2533" s="45" t="s">
        <v>2561</v>
      </c>
      <c r="B2533" s="46" t="s">
        <v>19856</v>
      </c>
      <c r="C2533">
        <v>1</v>
      </c>
      <c r="D2533">
        <v>15</v>
      </c>
    </row>
    <row r="2534" spans="1:4" x14ac:dyDescent="0.25">
      <c r="A2534" s="45" t="s">
        <v>2562</v>
      </c>
      <c r="B2534" s="46" t="s">
        <v>19857</v>
      </c>
      <c r="C2534">
        <v>6</v>
      </c>
      <c r="D2534">
        <v>36</v>
      </c>
    </row>
    <row r="2535" spans="1:4" x14ac:dyDescent="0.25">
      <c r="A2535" s="45" t="s">
        <v>2563</v>
      </c>
      <c r="B2535" s="46" t="s">
        <v>14457</v>
      </c>
      <c r="C2535">
        <v>6</v>
      </c>
      <c r="D2535">
        <v>36</v>
      </c>
    </row>
    <row r="2536" spans="1:4" x14ac:dyDescent="0.25">
      <c r="A2536" s="45" t="s">
        <v>2564</v>
      </c>
      <c r="B2536" s="46" t="s">
        <v>19858</v>
      </c>
      <c r="C2536">
        <v>6</v>
      </c>
      <c r="D2536">
        <v>36</v>
      </c>
    </row>
    <row r="2537" spans="1:4" x14ac:dyDescent="0.25">
      <c r="A2537" s="45" t="s">
        <v>2565</v>
      </c>
      <c r="B2537" s="46" t="s">
        <v>14458</v>
      </c>
      <c r="C2537">
        <v>6</v>
      </c>
      <c r="D2537">
        <v>36</v>
      </c>
    </row>
    <row r="2538" spans="1:4" x14ac:dyDescent="0.25">
      <c r="A2538" s="45" t="s">
        <v>2566</v>
      </c>
      <c r="B2538" s="46" t="s">
        <v>14459</v>
      </c>
      <c r="C2538">
        <v>6</v>
      </c>
      <c r="D2538">
        <v>36</v>
      </c>
    </row>
    <row r="2539" spans="1:4" x14ac:dyDescent="0.25">
      <c r="A2539" s="45" t="s">
        <v>2567</v>
      </c>
      <c r="B2539" s="46" t="s">
        <v>14460</v>
      </c>
      <c r="C2539">
        <v>6</v>
      </c>
      <c r="D2539">
        <v>34</v>
      </c>
    </row>
    <row r="2540" spans="1:4" x14ac:dyDescent="0.25">
      <c r="A2540" s="45" t="s">
        <v>2568</v>
      </c>
      <c r="B2540" s="46" t="s">
        <v>19859</v>
      </c>
      <c r="C2540">
        <v>6</v>
      </c>
      <c r="D2540">
        <v>34</v>
      </c>
    </row>
    <row r="2541" spans="1:4" x14ac:dyDescent="0.25">
      <c r="A2541" s="45" t="s">
        <v>2569</v>
      </c>
      <c r="B2541" s="46" t="s">
        <v>14461</v>
      </c>
      <c r="C2541">
        <v>6</v>
      </c>
      <c r="D2541">
        <v>36</v>
      </c>
    </row>
    <row r="2542" spans="1:4" x14ac:dyDescent="0.25">
      <c r="A2542" s="45" t="s">
        <v>2570</v>
      </c>
      <c r="B2542" s="46" t="s">
        <v>14462</v>
      </c>
      <c r="C2542">
        <v>6</v>
      </c>
      <c r="D2542">
        <v>36</v>
      </c>
    </row>
    <row r="2543" spans="1:4" x14ac:dyDescent="0.25">
      <c r="A2543" s="45" t="s">
        <v>2571</v>
      </c>
      <c r="B2543" s="46" t="s">
        <v>19860</v>
      </c>
      <c r="C2543">
        <v>6</v>
      </c>
      <c r="D2543">
        <v>36</v>
      </c>
    </row>
    <row r="2544" spans="1:4" x14ac:dyDescent="0.25">
      <c r="A2544" s="45" t="s">
        <v>2572</v>
      </c>
      <c r="B2544" s="46" t="s">
        <v>19861</v>
      </c>
      <c r="C2544">
        <v>6</v>
      </c>
      <c r="D2544">
        <v>36</v>
      </c>
    </row>
    <row r="2545" spans="1:4" x14ac:dyDescent="0.25">
      <c r="A2545" s="45" t="s">
        <v>2573</v>
      </c>
      <c r="B2545" s="46" t="s">
        <v>19862</v>
      </c>
      <c r="C2545">
        <v>6</v>
      </c>
      <c r="D2545">
        <v>36</v>
      </c>
    </row>
    <row r="2546" spans="1:4" x14ac:dyDescent="0.25">
      <c r="A2546" s="45" t="s">
        <v>2574</v>
      </c>
      <c r="B2546" s="46" t="s">
        <v>19863</v>
      </c>
      <c r="C2546">
        <v>6</v>
      </c>
      <c r="D2546">
        <v>36</v>
      </c>
    </row>
    <row r="2547" spans="1:4" x14ac:dyDescent="0.25">
      <c r="A2547" s="45" t="s">
        <v>2575</v>
      </c>
      <c r="B2547" s="46" t="s">
        <v>19864</v>
      </c>
      <c r="C2547">
        <v>6</v>
      </c>
      <c r="D2547">
        <v>35</v>
      </c>
    </row>
    <row r="2548" spans="1:4" x14ac:dyDescent="0.25">
      <c r="A2548" s="45" t="s">
        <v>2576</v>
      </c>
      <c r="B2548" s="46" t="s">
        <v>14463</v>
      </c>
      <c r="C2548">
        <v>6</v>
      </c>
      <c r="D2548">
        <v>36</v>
      </c>
    </row>
    <row r="2549" spans="1:4" x14ac:dyDescent="0.25">
      <c r="A2549" s="45" t="s">
        <v>2577</v>
      </c>
      <c r="B2549" s="46" t="s">
        <v>14464</v>
      </c>
      <c r="C2549">
        <v>6</v>
      </c>
      <c r="D2549">
        <v>36</v>
      </c>
    </row>
    <row r="2550" spans="1:4" x14ac:dyDescent="0.25">
      <c r="A2550" s="45" t="s">
        <v>2578</v>
      </c>
      <c r="B2550" s="46" t="s">
        <v>14465</v>
      </c>
      <c r="C2550">
        <v>6</v>
      </c>
      <c r="D2550">
        <v>36</v>
      </c>
    </row>
    <row r="2551" spans="1:4" x14ac:dyDescent="0.25">
      <c r="A2551" s="45" t="s">
        <v>2579</v>
      </c>
      <c r="B2551" s="46" t="s">
        <v>14466</v>
      </c>
      <c r="C2551">
        <v>6</v>
      </c>
      <c r="D2551">
        <v>36</v>
      </c>
    </row>
    <row r="2552" spans="1:4" x14ac:dyDescent="0.25">
      <c r="A2552" s="45" t="s">
        <v>2580</v>
      </c>
      <c r="B2552" s="46" t="s">
        <v>14467</v>
      </c>
      <c r="C2552">
        <v>6</v>
      </c>
      <c r="D2552">
        <v>36</v>
      </c>
    </row>
    <row r="2553" spans="1:4" x14ac:dyDescent="0.25">
      <c r="A2553" s="45" t="s">
        <v>2581</v>
      </c>
      <c r="B2553" s="46" t="s">
        <v>14468</v>
      </c>
      <c r="C2553">
        <v>6</v>
      </c>
      <c r="D2553">
        <v>36</v>
      </c>
    </row>
    <row r="2554" spans="1:4" x14ac:dyDescent="0.25">
      <c r="A2554" s="45" t="s">
        <v>2582</v>
      </c>
      <c r="B2554" s="46" t="s">
        <v>14469</v>
      </c>
      <c r="C2554">
        <v>6</v>
      </c>
      <c r="D2554">
        <v>36</v>
      </c>
    </row>
    <row r="2555" spans="1:4" x14ac:dyDescent="0.25">
      <c r="A2555" s="45" t="s">
        <v>2583</v>
      </c>
      <c r="B2555" s="46" t="s">
        <v>14470</v>
      </c>
      <c r="C2555">
        <v>6</v>
      </c>
      <c r="D2555">
        <v>36</v>
      </c>
    </row>
    <row r="2556" spans="1:4" x14ac:dyDescent="0.25">
      <c r="A2556" s="45" t="s">
        <v>2584</v>
      </c>
      <c r="B2556" s="46" t="s">
        <v>14471</v>
      </c>
      <c r="C2556">
        <v>6</v>
      </c>
      <c r="D2556">
        <v>36</v>
      </c>
    </row>
    <row r="2557" spans="1:4" x14ac:dyDescent="0.25">
      <c r="A2557" s="45" t="s">
        <v>2585</v>
      </c>
      <c r="B2557" s="46" t="s">
        <v>14472</v>
      </c>
      <c r="C2557">
        <v>6</v>
      </c>
      <c r="D2557">
        <v>36</v>
      </c>
    </row>
    <row r="2558" spans="1:4" x14ac:dyDescent="0.25">
      <c r="A2558" s="45" t="s">
        <v>2586</v>
      </c>
      <c r="B2558" s="46" t="s">
        <v>19865</v>
      </c>
      <c r="C2558">
        <v>6</v>
      </c>
      <c r="D2558">
        <v>36</v>
      </c>
    </row>
    <row r="2559" spans="1:4" x14ac:dyDescent="0.25">
      <c r="A2559" s="45" t="s">
        <v>2587</v>
      </c>
      <c r="B2559" s="46" t="s">
        <v>14473</v>
      </c>
      <c r="C2559">
        <v>6</v>
      </c>
      <c r="D2559">
        <v>36</v>
      </c>
    </row>
    <row r="2560" spans="1:4" x14ac:dyDescent="0.25">
      <c r="A2560" s="45" t="s">
        <v>2588</v>
      </c>
      <c r="B2560" s="46" t="s">
        <v>19866</v>
      </c>
      <c r="C2560">
        <v>6</v>
      </c>
      <c r="D2560">
        <v>36</v>
      </c>
    </row>
    <row r="2561" spans="1:4" x14ac:dyDescent="0.25">
      <c r="A2561" s="45" t="s">
        <v>2589</v>
      </c>
      <c r="B2561" s="46" t="s">
        <v>19867</v>
      </c>
      <c r="C2561">
        <v>6</v>
      </c>
      <c r="D2561">
        <v>36</v>
      </c>
    </row>
    <row r="2562" spans="1:4" x14ac:dyDescent="0.25">
      <c r="A2562" s="45" t="s">
        <v>2590</v>
      </c>
      <c r="B2562" s="46" t="s">
        <v>14474</v>
      </c>
      <c r="C2562">
        <v>6</v>
      </c>
      <c r="D2562">
        <v>36</v>
      </c>
    </row>
    <row r="2563" spans="1:4" x14ac:dyDescent="0.25">
      <c r="A2563" s="45" t="s">
        <v>2591</v>
      </c>
      <c r="B2563" s="46" t="s">
        <v>14475</v>
      </c>
      <c r="C2563">
        <v>6</v>
      </c>
      <c r="D2563">
        <v>36</v>
      </c>
    </row>
    <row r="2564" spans="1:4" x14ac:dyDescent="0.25">
      <c r="A2564" s="45" t="s">
        <v>2592</v>
      </c>
      <c r="B2564" s="46" t="s">
        <v>14476</v>
      </c>
      <c r="C2564">
        <v>6</v>
      </c>
      <c r="D2564">
        <v>36</v>
      </c>
    </row>
    <row r="2565" spans="1:4" x14ac:dyDescent="0.25">
      <c r="A2565" s="45" t="s">
        <v>2593</v>
      </c>
      <c r="B2565" s="46" t="s">
        <v>14477</v>
      </c>
      <c r="C2565">
        <v>6</v>
      </c>
      <c r="D2565">
        <v>36</v>
      </c>
    </row>
    <row r="2566" spans="1:4" x14ac:dyDescent="0.25">
      <c r="A2566" s="45" t="s">
        <v>2594</v>
      </c>
      <c r="B2566" s="46" t="s">
        <v>14478</v>
      </c>
      <c r="C2566">
        <v>16</v>
      </c>
      <c r="D2566">
        <v>83</v>
      </c>
    </row>
    <row r="2567" spans="1:4" x14ac:dyDescent="0.25">
      <c r="A2567" s="45" t="s">
        <v>2595</v>
      </c>
      <c r="B2567" s="46" t="s">
        <v>14479</v>
      </c>
      <c r="C2567">
        <v>5</v>
      </c>
      <c r="D2567">
        <v>32</v>
      </c>
    </row>
    <row r="2568" spans="1:4" x14ac:dyDescent="0.25">
      <c r="A2568" s="45" t="s">
        <v>2596</v>
      </c>
      <c r="B2568" s="46" t="s">
        <v>14480</v>
      </c>
      <c r="C2568">
        <v>16</v>
      </c>
      <c r="D2568">
        <v>83</v>
      </c>
    </row>
    <row r="2569" spans="1:4" x14ac:dyDescent="0.25">
      <c r="A2569" s="45" t="s">
        <v>2597</v>
      </c>
      <c r="B2569" s="46" t="s">
        <v>14481</v>
      </c>
      <c r="C2569">
        <v>16</v>
      </c>
      <c r="D2569">
        <v>83</v>
      </c>
    </row>
    <row r="2570" spans="1:4" x14ac:dyDescent="0.25">
      <c r="A2570" s="45" t="s">
        <v>2598</v>
      </c>
      <c r="B2570" s="46" t="s">
        <v>14482</v>
      </c>
      <c r="C2570">
        <v>6</v>
      </c>
      <c r="D2570">
        <v>36</v>
      </c>
    </row>
    <row r="2571" spans="1:4" x14ac:dyDescent="0.25">
      <c r="A2571" s="45" t="s">
        <v>2599</v>
      </c>
      <c r="B2571" s="46" t="s">
        <v>14483</v>
      </c>
      <c r="C2571">
        <v>7</v>
      </c>
      <c r="D2571">
        <v>46</v>
      </c>
    </row>
    <row r="2572" spans="1:4" x14ac:dyDescent="0.25">
      <c r="A2572" s="45" t="s">
        <v>2600</v>
      </c>
      <c r="B2572" s="46" t="s">
        <v>14484</v>
      </c>
      <c r="C2572">
        <v>7</v>
      </c>
      <c r="D2572">
        <v>46</v>
      </c>
    </row>
    <row r="2573" spans="1:4" x14ac:dyDescent="0.25">
      <c r="A2573" s="45" t="s">
        <v>2601</v>
      </c>
      <c r="B2573" s="46" t="s">
        <v>19868</v>
      </c>
      <c r="C2573">
        <v>7</v>
      </c>
      <c r="D2573">
        <v>46</v>
      </c>
    </row>
    <row r="2574" spans="1:4" x14ac:dyDescent="0.25">
      <c r="A2574" s="45" t="s">
        <v>2602</v>
      </c>
      <c r="B2574" s="46" t="s">
        <v>14485</v>
      </c>
      <c r="C2574">
        <v>6</v>
      </c>
      <c r="D2574">
        <v>38</v>
      </c>
    </row>
    <row r="2575" spans="1:4" x14ac:dyDescent="0.25">
      <c r="A2575" s="45" t="s">
        <v>2603</v>
      </c>
      <c r="B2575" s="46" t="s">
        <v>14486</v>
      </c>
      <c r="C2575">
        <v>7</v>
      </c>
      <c r="D2575">
        <v>46</v>
      </c>
    </row>
    <row r="2576" spans="1:4" x14ac:dyDescent="0.25">
      <c r="A2576" s="45" t="s">
        <v>2604</v>
      </c>
      <c r="B2576" s="46" t="s">
        <v>14487</v>
      </c>
      <c r="C2576">
        <v>7</v>
      </c>
      <c r="D2576">
        <v>46</v>
      </c>
    </row>
    <row r="2577" spans="1:4" x14ac:dyDescent="0.25">
      <c r="A2577" s="45" t="s">
        <v>2605</v>
      </c>
      <c r="B2577" s="46" t="s">
        <v>14488</v>
      </c>
      <c r="C2577">
        <v>7</v>
      </c>
      <c r="D2577">
        <v>46</v>
      </c>
    </row>
    <row r="2578" spans="1:4" x14ac:dyDescent="0.25">
      <c r="A2578" s="45" t="s">
        <v>2606</v>
      </c>
      <c r="B2578" s="46" t="s">
        <v>14489</v>
      </c>
      <c r="C2578">
        <v>7</v>
      </c>
      <c r="D2578">
        <v>46</v>
      </c>
    </row>
    <row r="2579" spans="1:4" x14ac:dyDescent="0.25">
      <c r="A2579" s="45" t="s">
        <v>2607</v>
      </c>
      <c r="B2579" s="46" t="s">
        <v>19869</v>
      </c>
      <c r="C2579">
        <v>7</v>
      </c>
      <c r="D2579">
        <v>46</v>
      </c>
    </row>
    <row r="2580" spans="1:4" x14ac:dyDescent="0.25">
      <c r="A2580" s="45" t="s">
        <v>2608</v>
      </c>
      <c r="B2580" s="46" t="s">
        <v>19870</v>
      </c>
      <c r="C2580">
        <v>7</v>
      </c>
      <c r="D2580">
        <v>46</v>
      </c>
    </row>
    <row r="2581" spans="1:4" x14ac:dyDescent="0.25">
      <c r="A2581" s="45" t="s">
        <v>2609</v>
      </c>
      <c r="B2581" s="46" t="s">
        <v>19871</v>
      </c>
      <c r="C2581">
        <v>6</v>
      </c>
      <c r="D2581">
        <v>36</v>
      </c>
    </row>
    <row r="2582" spans="1:4" x14ac:dyDescent="0.25">
      <c r="A2582" s="45" t="s">
        <v>2610</v>
      </c>
      <c r="B2582" s="46" t="s">
        <v>19872</v>
      </c>
      <c r="C2582">
        <v>7</v>
      </c>
      <c r="D2582">
        <v>46</v>
      </c>
    </row>
    <row r="2583" spans="1:4" x14ac:dyDescent="0.25">
      <c r="A2583" s="45" t="s">
        <v>2611</v>
      </c>
      <c r="B2583" s="46" t="s">
        <v>19873</v>
      </c>
      <c r="C2583">
        <v>7</v>
      </c>
      <c r="D2583">
        <v>46</v>
      </c>
    </row>
    <row r="2584" spans="1:4" x14ac:dyDescent="0.25">
      <c r="A2584" s="45" t="s">
        <v>2612</v>
      </c>
      <c r="B2584" s="46" t="s">
        <v>19874</v>
      </c>
      <c r="C2584">
        <v>7</v>
      </c>
      <c r="D2584">
        <v>46</v>
      </c>
    </row>
    <row r="2585" spans="1:4" x14ac:dyDescent="0.25">
      <c r="A2585" s="45" t="s">
        <v>2613</v>
      </c>
      <c r="B2585" s="46" t="s">
        <v>19875</v>
      </c>
      <c r="C2585">
        <v>7</v>
      </c>
      <c r="D2585">
        <v>46</v>
      </c>
    </row>
    <row r="2586" spans="1:4" x14ac:dyDescent="0.25">
      <c r="A2586" s="45" t="s">
        <v>2614</v>
      </c>
      <c r="B2586" s="46" t="s">
        <v>19876</v>
      </c>
      <c r="C2586">
        <v>6</v>
      </c>
      <c r="D2586">
        <v>36</v>
      </c>
    </row>
    <row r="2587" spans="1:4" x14ac:dyDescent="0.25">
      <c r="A2587" s="45" t="s">
        <v>2615</v>
      </c>
      <c r="B2587" s="46" t="s">
        <v>19877</v>
      </c>
      <c r="C2587">
        <v>16</v>
      </c>
      <c r="D2587">
        <v>83</v>
      </c>
    </row>
    <row r="2588" spans="1:4" x14ac:dyDescent="0.25">
      <c r="A2588" s="45" t="s">
        <v>2616</v>
      </c>
      <c r="B2588" s="46" t="s">
        <v>19878</v>
      </c>
      <c r="C2588">
        <v>16</v>
      </c>
      <c r="D2588">
        <v>83</v>
      </c>
    </row>
    <row r="2589" spans="1:4" x14ac:dyDescent="0.25">
      <c r="A2589" s="45" t="s">
        <v>2617</v>
      </c>
      <c r="B2589" s="46" t="s">
        <v>19879</v>
      </c>
      <c r="C2589">
        <v>16</v>
      </c>
      <c r="D2589">
        <v>83</v>
      </c>
    </row>
    <row r="2590" spans="1:4" x14ac:dyDescent="0.25">
      <c r="A2590" s="45" t="s">
        <v>2618</v>
      </c>
      <c r="B2590" s="46" t="s">
        <v>14490</v>
      </c>
      <c r="C2590">
        <v>6</v>
      </c>
      <c r="D2590">
        <v>36</v>
      </c>
    </row>
    <row r="2591" spans="1:4" x14ac:dyDescent="0.25">
      <c r="A2591" s="45" t="s">
        <v>2619</v>
      </c>
      <c r="B2591" s="46" t="s">
        <v>14491</v>
      </c>
      <c r="C2591">
        <v>6</v>
      </c>
      <c r="D2591">
        <v>36</v>
      </c>
    </row>
    <row r="2592" spans="1:4" x14ac:dyDescent="0.25">
      <c r="A2592" s="45" t="s">
        <v>2620</v>
      </c>
      <c r="B2592" s="46" t="s">
        <v>14492</v>
      </c>
      <c r="C2592">
        <v>5</v>
      </c>
      <c r="D2592">
        <v>32</v>
      </c>
    </row>
    <row r="2593" spans="1:4" x14ac:dyDescent="0.25">
      <c r="A2593" s="45" t="s">
        <v>2621</v>
      </c>
      <c r="B2593" s="46" t="s">
        <v>14493</v>
      </c>
      <c r="C2593">
        <v>16</v>
      </c>
      <c r="D2593">
        <v>83</v>
      </c>
    </row>
    <row r="2594" spans="1:4" x14ac:dyDescent="0.25">
      <c r="A2594" s="45" t="s">
        <v>2622</v>
      </c>
      <c r="B2594" s="46" t="s">
        <v>14494</v>
      </c>
      <c r="C2594">
        <v>6</v>
      </c>
      <c r="D2594">
        <v>37</v>
      </c>
    </row>
    <row r="2595" spans="1:4" x14ac:dyDescent="0.25">
      <c r="A2595" s="45" t="s">
        <v>2623</v>
      </c>
      <c r="B2595" s="46" t="s">
        <v>14495</v>
      </c>
      <c r="C2595">
        <v>6</v>
      </c>
      <c r="D2595">
        <v>37</v>
      </c>
    </row>
    <row r="2596" spans="1:4" x14ac:dyDescent="0.25">
      <c r="A2596" s="45" t="s">
        <v>2624</v>
      </c>
      <c r="B2596" s="46" t="s">
        <v>14496</v>
      </c>
      <c r="C2596">
        <v>6</v>
      </c>
      <c r="D2596">
        <v>37</v>
      </c>
    </row>
    <row r="2597" spans="1:4" x14ac:dyDescent="0.25">
      <c r="A2597" s="45" t="s">
        <v>2625</v>
      </c>
      <c r="B2597" s="46" t="s">
        <v>14497</v>
      </c>
      <c r="C2597">
        <v>6</v>
      </c>
      <c r="D2597">
        <v>37</v>
      </c>
    </row>
    <row r="2598" spans="1:4" x14ac:dyDescent="0.25">
      <c r="A2598" s="45" t="s">
        <v>2626</v>
      </c>
      <c r="B2598" s="46" t="s">
        <v>19880</v>
      </c>
      <c r="C2598">
        <v>6</v>
      </c>
      <c r="D2598">
        <v>37</v>
      </c>
    </row>
    <row r="2599" spans="1:4" x14ac:dyDescent="0.25">
      <c r="A2599" s="45" t="s">
        <v>2627</v>
      </c>
      <c r="B2599" s="46" t="s">
        <v>14498</v>
      </c>
      <c r="C2599">
        <v>6</v>
      </c>
      <c r="D2599">
        <v>37</v>
      </c>
    </row>
    <row r="2600" spans="1:4" x14ac:dyDescent="0.25">
      <c r="A2600" s="45" t="s">
        <v>2628</v>
      </c>
      <c r="B2600" s="46" t="s">
        <v>14499</v>
      </c>
      <c r="C2600">
        <v>6</v>
      </c>
      <c r="D2600">
        <v>37</v>
      </c>
    </row>
    <row r="2601" spans="1:4" x14ac:dyDescent="0.25">
      <c r="A2601" s="45" t="s">
        <v>2629</v>
      </c>
      <c r="B2601" s="46" t="s">
        <v>14500</v>
      </c>
      <c r="C2601">
        <v>6</v>
      </c>
      <c r="D2601">
        <v>37</v>
      </c>
    </row>
    <row r="2602" spans="1:4" x14ac:dyDescent="0.25">
      <c r="A2602" s="45" t="s">
        <v>2630</v>
      </c>
      <c r="B2602" s="46" t="s">
        <v>14501</v>
      </c>
      <c r="C2602">
        <v>6</v>
      </c>
      <c r="D2602">
        <v>37</v>
      </c>
    </row>
    <row r="2603" spans="1:4" x14ac:dyDescent="0.25">
      <c r="A2603" s="45" t="s">
        <v>2631</v>
      </c>
      <c r="B2603" s="46" t="s">
        <v>14502</v>
      </c>
      <c r="C2603">
        <v>6</v>
      </c>
      <c r="D2603">
        <v>36</v>
      </c>
    </row>
    <row r="2604" spans="1:4" x14ac:dyDescent="0.25">
      <c r="A2604" s="45" t="s">
        <v>2632</v>
      </c>
      <c r="B2604" s="46" t="s">
        <v>14503</v>
      </c>
      <c r="C2604">
        <v>6</v>
      </c>
      <c r="D2604">
        <v>37</v>
      </c>
    </row>
    <row r="2605" spans="1:4" x14ac:dyDescent="0.25">
      <c r="A2605" s="45" t="s">
        <v>2633</v>
      </c>
      <c r="B2605" s="46" t="s">
        <v>19881</v>
      </c>
      <c r="C2605">
        <v>6</v>
      </c>
      <c r="D2605">
        <v>37</v>
      </c>
    </row>
    <row r="2606" spans="1:4" x14ac:dyDescent="0.25">
      <c r="A2606" s="45" t="s">
        <v>2634</v>
      </c>
      <c r="B2606" s="46" t="s">
        <v>14504</v>
      </c>
      <c r="C2606">
        <v>6</v>
      </c>
      <c r="D2606">
        <v>37</v>
      </c>
    </row>
    <row r="2607" spans="1:4" x14ac:dyDescent="0.25">
      <c r="A2607" s="45" t="s">
        <v>2635</v>
      </c>
      <c r="B2607" s="46" t="s">
        <v>14505</v>
      </c>
      <c r="C2607">
        <v>6</v>
      </c>
      <c r="D2607">
        <v>37</v>
      </c>
    </row>
    <row r="2608" spans="1:4" x14ac:dyDescent="0.25">
      <c r="A2608" s="45" t="s">
        <v>2636</v>
      </c>
      <c r="B2608" s="46" t="s">
        <v>14506</v>
      </c>
      <c r="C2608">
        <v>6</v>
      </c>
      <c r="D2608">
        <v>37</v>
      </c>
    </row>
    <row r="2609" spans="1:4" x14ac:dyDescent="0.25">
      <c r="A2609" s="45" t="s">
        <v>2637</v>
      </c>
      <c r="B2609" s="46" t="s">
        <v>14507</v>
      </c>
      <c r="C2609">
        <v>6</v>
      </c>
      <c r="D2609">
        <v>37</v>
      </c>
    </row>
    <row r="2610" spans="1:4" x14ac:dyDescent="0.25">
      <c r="A2610" s="45" t="s">
        <v>2638</v>
      </c>
      <c r="B2610" s="46" t="s">
        <v>14508</v>
      </c>
      <c r="C2610">
        <v>6</v>
      </c>
      <c r="D2610">
        <v>37</v>
      </c>
    </row>
    <row r="2611" spans="1:4" x14ac:dyDescent="0.25">
      <c r="A2611" s="45" t="s">
        <v>2639</v>
      </c>
      <c r="B2611" s="46" t="s">
        <v>14509</v>
      </c>
      <c r="C2611">
        <v>6</v>
      </c>
      <c r="D2611">
        <v>37</v>
      </c>
    </row>
    <row r="2612" spans="1:4" x14ac:dyDescent="0.25">
      <c r="A2612" s="45" t="s">
        <v>2640</v>
      </c>
      <c r="B2612" s="46" t="s">
        <v>14510</v>
      </c>
      <c r="C2612">
        <v>6</v>
      </c>
      <c r="D2612">
        <v>37</v>
      </c>
    </row>
    <row r="2613" spans="1:4" x14ac:dyDescent="0.25">
      <c r="A2613" s="45" t="s">
        <v>2641</v>
      </c>
      <c r="B2613" s="46" t="s">
        <v>19882</v>
      </c>
      <c r="C2613">
        <v>6</v>
      </c>
      <c r="D2613">
        <v>37</v>
      </c>
    </row>
    <row r="2614" spans="1:4" x14ac:dyDescent="0.25">
      <c r="A2614" s="45" t="s">
        <v>2642</v>
      </c>
      <c r="B2614" s="46" t="s">
        <v>19883</v>
      </c>
      <c r="C2614">
        <v>6</v>
      </c>
      <c r="D2614">
        <v>37</v>
      </c>
    </row>
    <row r="2615" spans="1:4" x14ac:dyDescent="0.25">
      <c r="A2615" s="45" t="s">
        <v>2643</v>
      </c>
      <c r="B2615" s="46" t="s">
        <v>19884</v>
      </c>
      <c r="C2615">
        <v>6</v>
      </c>
      <c r="D2615">
        <v>37</v>
      </c>
    </row>
    <row r="2616" spans="1:4" x14ac:dyDescent="0.25">
      <c r="A2616" s="45" t="s">
        <v>2644</v>
      </c>
      <c r="B2616" s="46" t="s">
        <v>19885</v>
      </c>
      <c r="C2616">
        <v>6</v>
      </c>
      <c r="D2616">
        <v>37</v>
      </c>
    </row>
    <row r="2617" spans="1:4" x14ac:dyDescent="0.25">
      <c r="A2617" s="45" t="s">
        <v>2645</v>
      </c>
      <c r="B2617" s="46" t="s">
        <v>19886</v>
      </c>
      <c r="C2617">
        <v>6</v>
      </c>
      <c r="D2617">
        <v>37</v>
      </c>
    </row>
    <row r="2618" spans="1:4" x14ac:dyDescent="0.25">
      <c r="A2618" s="45" t="s">
        <v>2646</v>
      </c>
      <c r="B2618" s="46" t="s">
        <v>14511</v>
      </c>
      <c r="C2618">
        <v>6</v>
      </c>
      <c r="D2618">
        <v>37</v>
      </c>
    </row>
    <row r="2619" spans="1:4" x14ac:dyDescent="0.25">
      <c r="A2619" s="45" t="s">
        <v>2647</v>
      </c>
      <c r="B2619" s="46" t="s">
        <v>14512</v>
      </c>
      <c r="C2619">
        <v>6</v>
      </c>
      <c r="D2619">
        <v>37</v>
      </c>
    </row>
    <row r="2620" spans="1:4" x14ac:dyDescent="0.25">
      <c r="A2620" s="45" t="s">
        <v>2648</v>
      </c>
      <c r="B2620" s="46" t="s">
        <v>14513</v>
      </c>
      <c r="C2620">
        <v>6</v>
      </c>
      <c r="D2620">
        <v>37</v>
      </c>
    </row>
    <row r="2621" spans="1:4" x14ac:dyDescent="0.25">
      <c r="A2621" s="45" t="s">
        <v>2649</v>
      </c>
      <c r="B2621" s="46" t="s">
        <v>14514</v>
      </c>
      <c r="C2621">
        <v>6</v>
      </c>
      <c r="D2621">
        <v>37</v>
      </c>
    </row>
    <row r="2622" spans="1:4" x14ac:dyDescent="0.25">
      <c r="A2622" s="45" t="s">
        <v>2650</v>
      </c>
      <c r="B2622" s="46" t="s">
        <v>14515</v>
      </c>
      <c r="C2622">
        <v>6</v>
      </c>
      <c r="D2622">
        <v>37</v>
      </c>
    </row>
    <row r="2623" spans="1:4" x14ac:dyDescent="0.25">
      <c r="A2623" s="45" t="s">
        <v>2651</v>
      </c>
      <c r="B2623" s="46" t="s">
        <v>14516</v>
      </c>
      <c r="C2623">
        <v>6</v>
      </c>
      <c r="D2623">
        <v>37</v>
      </c>
    </row>
    <row r="2624" spans="1:4" x14ac:dyDescent="0.25">
      <c r="A2624" s="45" t="s">
        <v>2652</v>
      </c>
      <c r="B2624" s="46" t="s">
        <v>14517</v>
      </c>
      <c r="C2624">
        <v>6</v>
      </c>
      <c r="D2624">
        <v>37</v>
      </c>
    </row>
    <row r="2625" spans="1:4" x14ac:dyDescent="0.25">
      <c r="A2625" s="45" t="s">
        <v>2653</v>
      </c>
      <c r="B2625" s="46" t="s">
        <v>14518</v>
      </c>
      <c r="C2625">
        <v>6</v>
      </c>
      <c r="D2625">
        <v>37</v>
      </c>
    </row>
    <row r="2626" spans="1:4" x14ac:dyDescent="0.25">
      <c r="A2626" s="45" t="s">
        <v>2654</v>
      </c>
      <c r="B2626" s="46" t="s">
        <v>14519</v>
      </c>
      <c r="C2626">
        <v>6</v>
      </c>
      <c r="D2626">
        <v>37</v>
      </c>
    </row>
    <row r="2627" spans="1:4" x14ac:dyDescent="0.25">
      <c r="A2627" s="45" t="s">
        <v>2655</v>
      </c>
      <c r="B2627" s="46" t="s">
        <v>14520</v>
      </c>
      <c r="C2627">
        <v>6</v>
      </c>
      <c r="D2627">
        <v>37</v>
      </c>
    </row>
    <row r="2628" spans="1:4" x14ac:dyDescent="0.25">
      <c r="A2628" s="45" t="s">
        <v>2656</v>
      </c>
      <c r="B2628" s="46" t="s">
        <v>19887</v>
      </c>
      <c r="C2628">
        <v>6</v>
      </c>
      <c r="D2628">
        <v>35</v>
      </c>
    </row>
    <row r="2629" spans="1:4" x14ac:dyDescent="0.25">
      <c r="A2629" s="45" t="s">
        <v>2657</v>
      </c>
      <c r="B2629" s="46" t="s">
        <v>19888</v>
      </c>
      <c r="C2629">
        <v>6</v>
      </c>
      <c r="D2629">
        <v>37</v>
      </c>
    </row>
    <row r="2630" spans="1:4" x14ac:dyDescent="0.25">
      <c r="A2630" s="45" t="s">
        <v>2658</v>
      </c>
      <c r="B2630" s="46" t="s">
        <v>19889</v>
      </c>
      <c r="C2630">
        <v>6</v>
      </c>
      <c r="D2630">
        <v>37</v>
      </c>
    </row>
    <row r="2631" spans="1:4" x14ac:dyDescent="0.25">
      <c r="A2631" s="45" t="s">
        <v>2659</v>
      </c>
      <c r="B2631" s="46" t="s">
        <v>19890</v>
      </c>
      <c r="C2631">
        <v>6</v>
      </c>
      <c r="D2631">
        <v>37</v>
      </c>
    </row>
    <row r="2632" spans="1:4" x14ac:dyDescent="0.25">
      <c r="A2632" s="45" t="s">
        <v>2660</v>
      </c>
      <c r="B2632" s="46" t="s">
        <v>19891</v>
      </c>
      <c r="C2632">
        <v>6</v>
      </c>
      <c r="D2632">
        <v>37</v>
      </c>
    </row>
    <row r="2633" spans="1:4" x14ac:dyDescent="0.25">
      <c r="A2633" s="45" t="s">
        <v>2661</v>
      </c>
      <c r="B2633" s="46" t="s">
        <v>14521</v>
      </c>
      <c r="C2633">
        <v>6</v>
      </c>
      <c r="D2633">
        <v>37</v>
      </c>
    </row>
    <row r="2634" spans="1:4" x14ac:dyDescent="0.25">
      <c r="A2634" s="45" t="s">
        <v>2662</v>
      </c>
      <c r="B2634" s="46" t="s">
        <v>14522</v>
      </c>
      <c r="C2634">
        <v>6</v>
      </c>
      <c r="D2634">
        <v>37</v>
      </c>
    </row>
    <row r="2635" spans="1:4" x14ac:dyDescent="0.25">
      <c r="A2635" s="45" t="s">
        <v>2663</v>
      </c>
      <c r="B2635" s="46" t="s">
        <v>14523</v>
      </c>
      <c r="C2635">
        <v>6</v>
      </c>
      <c r="D2635">
        <v>37</v>
      </c>
    </row>
    <row r="2636" spans="1:4" x14ac:dyDescent="0.25">
      <c r="A2636" s="45" t="s">
        <v>2664</v>
      </c>
      <c r="B2636" s="46" t="s">
        <v>14524</v>
      </c>
      <c r="C2636">
        <v>6</v>
      </c>
      <c r="D2636">
        <v>37</v>
      </c>
    </row>
    <row r="2637" spans="1:4" x14ac:dyDescent="0.25">
      <c r="A2637" s="45" t="s">
        <v>2665</v>
      </c>
      <c r="B2637" s="46" t="s">
        <v>14525</v>
      </c>
      <c r="C2637">
        <v>6</v>
      </c>
      <c r="D2637">
        <v>37</v>
      </c>
    </row>
    <row r="2638" spans="1:4" x14ac:dyDescent="0.25">
      <c r="A2638" s="45" t="s">
        <v>2666</v>
      </c>
      <c r="B2638" s="46" t="s">
        <v>14526</v>
      </c>
      <c r="C2638">
        <v>6</v>
      </c>
      <c r="D2638">
        <v>37</v>
      </c>
    </row>
    <row r="2639" spans="1:4" x14ac:dyDescent="0.25">
      <c r="A2639" s="45" t="s">
        <v>2667</v>
      </c>
      <c r="B2639" s="46" t="s">
        <v>19892</v>
      </c>
      <c r="C2639">
        <v>6</v>
      </c>
      <c r="D2639">
        <v>37</v>
      </c>
    </row>
    <row r="2640" spans="1:4" x14ac:dyDescent="0.25">
      <c r="A2640" s="45" t="s">
        <v>2668</v>
      </c>
      <c r="B2640" s="46" t="s">
        <v>14527</v>
      </c>
      <c r="C2640">
        <v>6</v>
      </c>
      <c r="D2640">
        <v>37</v>
      </c>
    </row>
    <row r="2641" spans="1:4" x14ac:dyDescent="0.25">
      <c r="A2641" s="45" t="s">
        <v>2669</v>
      </c>
      <c r="B2641" s="46" t="s">
        <v>14528</v>
      </c>
      <c r="C2641">
        <v>6</v>
      </c>
      <c r="D2641">
        <v>37</v>
      </c>
    </row>
    <row r="2642" spans="1:4" x14ac:dyDescent="0.25">
      <c r="A2642" s="45" t="s">
        <v>2670</v>
      </c>
      <c r="B2642" s="46" t="s">
        <v>14529</v>
      </c>
      <c r="C2642">
        <v>6</v>
      </c>
      <c r="D2642">
        <v>37</v>
      </c>
    </row>
    <row r="2643" spans="1:4" x14ac:dyDescent="0.25">
      <c r="A2643" s="45" t="s">
        <v>2671</v>
      </c>
      <c r="B2643" s="46" t="s">
        <v>14530</v>
      </c>
      <c r="C2643">
        <v>6</v>
      </c>
      <c r="D2643">
        <v>37</v>
      </c>
    </row>
    <row r="2644" spans="1:4" x14ac:dyDescent="0.25">
      <c r="A2644" s="45" t="s">
        <v>2672</v>
      </c>
      <c r="B2644" s="46" t="s">
        <v>14531</v>
      </c>
      <c r="C2644">
        <v>6</v>
      </c>
      <c r="D2644">
        <v>37</v>
      </c>
    </row>
    <row r="2645" spans="1:4" x14ac:dyDescent="0.25">
      <c r="A2645" s="45" t="s">
        <v>2673</v>
      </c>
      <c r="B2645" s="46" t="s">
        <v>14532</v>
      </c>
      <c r="C2645">
        <v>6</v>
      </c>
      <c r="D2645">
        <v>37</v>
      </c>
    </row>
    <row r="2646" spans="1:4" x14ac:dyDescent="0.25">
      <c r="A2646" s="45" t="s">
        <v>2674</v>
      </c>
      <c r="B2646" s="46" t="s">
        <v>14533</v>
      </c>
      <c r="C2646">
        <v>6</v>
      </c>
      <c r="D2646">
        <v>37</v>
      </c>
    </row>
    <row r="2647" spans="1:4" x14ac:dyDescent="0.25">
      <c r="A2647" s="45" t="s">
        <v>2675</v>
      </c>
      <c r="B2647" s="46" t="s">
        <v>14534</v>
      </c>
      <c r="C2647">
        <v>6</v>
      </c>
      <c r="D2647">
        <v>37</v>
      </c>
    </row>
    <row r="2648" spans="1:4" x14ac:dyDescent="0.25">
      <c r="A2648" s="45" t="s">
        <v>2676</v>
      </c>
      <c r="B2648" s="46" t="s">
        <v>14535</v>
      </c>
      <c r="C2648">
        <v>6</v>
      </c>
      <c r="D2648">
        <v>37</v>
      </c>
    </row>
    <row r="2649" spans="1:4" x14ac:dyDescent="0.25">
      <c r="A2649" s="45" t="s">
        <v>2677</v>
      </c>
      <c r="B2649" s="46" t="s">
        <v>14536</v>
      </c>
      <c r="C2649">
        <v>6</v>
      </c>
      <c r="D2649">
        <v>37</v>
      </c>
    </row>
    <row r="2650" spans="1:4" x14ac:dyDescent="0.25">
      <c r="A2650" s="45" t="s">
        <v>2678</v>
      </c>
      <c r="B2650" s="46" t="s">
        <v>14537</v>
      </c>
      <c r="C2650">
        <v>6</v>
      </c>
      <c r="D2650">
        <v>37</v>
      </c>
    </row>
    <row r="2651" spans="1:4" x14ac:dyDescent="0.25">
      <c r="A2651" s="45" t="s">
        <v>2679</v>
      </c>
      <c r="B2651" s="46" t="s">
        <v>14538</v>
      </c>
      <c r="C2651">
        <v>6</v>
      </c>
      <c r="D2651">
        <v>36</v>
      </c>
    </row>
    <row r="2652" spans="1:4" x14ac:dyDescent="0.25">
      <c r="A2652" s="45" t="s">
        <v>2680</v>
      </c>
      <c r="B2652" s="46" t="s">
        <v>14539</v>
      </c>
      <c r="C2652">
        <v>6</v>
      </c>
      <c r="D2652">
        <v>37</v>
      </c>
    </row>
    <row r="2653" spans="1:4" x14ac:dyDescent="0.25">
      <c r="A2653" s="45" t="s">
        <v>2681</v>
      </c>
      <c r="B2653" s="46" t="s">
        <v>19893</v>
      </c>
      <c r="C2653">
        <v>6</v>
      </c>
      <c r="D2653">
        <v>37</v>
      </c>
    </row>
    <row r="2654" spans="1:4" x14ac:dyDescent="0.25">
      <c r="A2654" s="45" t="s">
        <v>2682</v>
      </c>
      <c r="B2654" s="46" t="s">
        <v>14540</v>
      </c>
      <c r="C2654">
        <v>6</v>
      </c>
      <c r="D2654">
        <v>35</v>
      </c>
    </row>
    <row r="2655" spans="1:4" x14ac:dyDescent="0.25">
      <c r="A2655" s="45" t="s">
        <v>2683</v>
      </c>
      <c r="B2655" s="46" t="s">
        <v>19894</v>
      </c>
      <c r="C2655">
        <v>6</v>
      </c>
      <c r="D2655">
        <v>37</v>
      </c>
    </row>
    <row r="2656" spans="1:4" x14ac:dyDescent="0.25">
      <c r="A2656" s="45" t="s">
        <v>2684</v>
      </c>
      <c r="B2656" s="46" t="s">
        <v>14541</v>
      </c>
      <c r="C2656">
        <v>6</v>
      </c>
      <c r="D2656">
        <v>37</v>
      </c>
    </row>
    <row r="2657" spans="1:4" x14ac:dyDescent="0.25">
      <c r="A2657" s="45" t="s">
        <v>2685</v>
      </c>
      <c r="B2657" s="46" t="s">
        <v>14542</v>
      </c>
      <c r="C2657">
        <v>6</v>
      </c>
      <c r="D2657">
        <v>37</v>
      </c>
    </row>
    <row r="2658" spans="1:4" x14ac:dyDescent="0.25">
      <c r="A2658" s="45" t="s">
        <v>2686</v>
      </c>
      <c r="B2658" s="46" t="s">
        <v>14543</v>
      </c>
      <c r="C2658">
        <v>6</v>
      </c>
      <c r="D2658">
        <v>35</v>
      </c>
    </row>
    <row r="2659" spans="1:4" x14ac:dyDescent="0.25">
      <c r="A2659" s="45" t="s">
        <v>2687</v>
      </c>
      <c r="B2659" s="46" t="s">
        <v>14544</v>
      </c>
      <c r="C2659">
        <v>6</v>
      </c>
      <c r="D2659">
        <v>37</v>
      </c>
    </row>
    <row r="2660" spans="1:4" x14ac:dyDescent="0.25">
      <c r="A2660" s="45" t="s">
        <v>2688</v>
      </c>
      <c r="B2660" s="46" t="s">
        <v>14545</v>
      </c>
      <c r="C2660">
        <v>6</v>
      </c>
      <c r="D2660">
        <v>37</v>
      </c>
    </row>
    <row r="2661" spans="1:4" x14ac:dyDescent="0.25">
      <c r="A2661" s="45" t="s">
        <v>2689</v>
      </c>
      <c r="B2661" s="46" t="s">
        <v>14546</v>
      </c>
      <c r="C2661">
        <v>6</v>
      </c>
      <c r="D2661">
        <v>37</v>
      </c>
    </row>
    <row r="2662" spans="1:4" x14ac:dyDescent="0.25">
      <c r="A2662" s="45" t="s">
        <v>2690</v>
      </c>
      <c r="B2662" s="46" t="s">
        <v>14547</v>
      </c>
      <c r="C2662">
        <v>6</v>
      </c>
      <c r="D2662">
        <v>37</v>
      </c>
    </row>
    <row r="2663" spans="1:4" x14ac:dyDescent="0.25">
      <c r="A2663" s="45" t="s">
        <v>2691</v>
      </c>
      <c r="B2663" s="46" t="s">
        <v>14548</v>
      </c>
      <c r="C2663">
        <v>6</v>
      </c>
      <c r="D2663">
        <v>37</v>
      </c>
    </row>
    <row r="2664" spans="1:4" x14ac:dyDescent="0.25">
      <c r="A2664" s="45" t="s">
        <v>2692</v>
      </c>
      <c r="B2664" s="46" t="s">
        <v>14549</v>
      </c>
      <c r="C2664">
        <v>6</v>
      </c>
      <c r="D2664">
        <v>37</v>
      </c>
    </row>
    <row r="2665" spans="1:4" x14ac:dyDescent="0.25">
      <c r="A2665" s="45" t="s">
        <v>2693</v>
      </c>
      <c r="B2665" s="46" t="s">
        <v>14550</v>
      </c>
      <c r="C2665">
        <v>6</v>
      </c>
      <c r="D2665">
        <v>37</v>
      </c>
    </row>
    <row r="2666" spans="1:4" x14ac:dyDescent="0.25">
      <c r="A2666" s="45" t="s">
        <v>2694</v>
      </c>
      <c r="B2666" s="46" t="s">
        <v>14551</v>
      </c>
      <c r="C2666">
        <v>6</v>
      </c>
      <c r="D2666">
        <v>37</v>
      </c>
    </row>
    <row r="2667" spans="1:4" x14ac:dyDescent="0.25">
      <c r="A2667" s="45" t="s">
        <v>2695</v>
      </c>
      <c r="B2667" s="46" t="s">
        <v>14552</v>
      </c>
      <c r="C2667">
        <v>6</v>
      </c>
      <c r="D2667">
        <v>37</v>
      </c>
    </row>
    <row r="2668" spans="1:4" x14ac:dyDescent="0.25">
      <c r="A2668" s="45" t="s">
        <v>2696</v>
      </c>
      <c r="B2668" s="46" t="s">
        <v>14553</v>
      </c>
      <c r="C2668">
        <v>6</v>
      </c>
      <c r="D2668">
        <v>37</v>
      </c>
    </row>
    <row r="2669" spans="1:4" x14ac:dyDescent="0.25">
      <c r="A2669" s="45" t="s">
        <v>2697</v>
      </c>
      <c r="B2669" s="46" t="s">
        <v>14554</v>
      </c>
      <c r="C2669">
        <v>6</v>
      </c>
      <c r="D2669">
        <v>37</v>
      </c>
    </row>
    <row r="2670" spans="1:4" x14ac:dyDescent="0.25">
      <c r="A2670" s="45" t="s">
        <v>2698</v>
      </c>
      <c r="B2670" s="46" t="s">
        <v>19895</v>
      </c>
      <c r="C2670">
        <v>6</v>
      </c>
      <c r="D2670">
        <v>37</v>
      </c>
    </row>
    <row r="2671" spans="1:4" x14ac:dyDescent="0.25">
      <c r="A2671" s="45" t="s">
        <v>2699</v>
      </c>
      <c r="B2671" s="46" t="s">
        <v>19896</v>
      </c>
      <c r="C2671">
        <v>6</v>
      </c>
      <c r="D2671">
        <v>37</v>
      </c>
    </row>
    <row r="2672" spans="1:4" x14ac:dyDescent="0.25">
      <c r="A2672" s="45" t="s">
        <v>2700</v>
      </c>
      <c r="B2672" s="46" t="s">
        <v>19897</v>
      </c>
      <c r="C2672">
        <v>6</v>
      </c>
      <c r="D2672">
        <v>37</v>
      </c>
    </row>
    <row r="2673" spans="1:4" x14ac:dyDescent="0.25">
      <c r="A2673" s="45" t="s">
        <v>2701</v>
      </c>
      <c r="B2673" s="46" t="s">
        <v>19898</v>
      </c>
      <c r="C2673">
        <v>6</v>
      </c>
      <c r="D2673">
        <v>37</v>
      </c>
    </row>
    <row r="2674" spans="1:4" x14ac:dyDescent="0.25">
      <c r="A2674" s="45" t="s">
        <v>2702</v>
      </c>
      <c r="B2674" s="46" t="s">
        <v>19899</v>
      </c>
      <c r="C2674">
        <v>6</v>
      </c>
      <c r="D2674">
        <v>37</v>
      </c>
    </row>
    <row r="2675" spans="1:4" x14ac:dyDescent="0.25">
      <c r="A2675" s="45" t="s">
        <v>2703</v>
      </c>
      <c r="B2675" s="46" t="s">
        <v>19900</v>
      </c>
      <c r="C2675">
        <v>6</v>
      </c>
      <c r="D2675">
        <v>37</v>
      </c>
    </row>
    <row r="2676" spans="1:4" x14ac:dyDescent="0.25">
      <c r="A2676" s="45" t="s">
        <v>2704</v>
      </c>
      <c r="B2676" s="46" t="s">
        <v>19901</v>
      </c>
      <c r="C2676">
        <v>6</v>
      </c>
      <c r="D2676">
        <v>37</v>
      </c>
    </row>
    <row r="2677" spans="1:4" x14ac:dyDescent="0.25">
      <c r="A2677" s="45" t="s">
        <v>2705</v>
      </c>
      <c r="B2677" s="46" t="s">
        <v>14555</v>
      </c>
      <c r="C2677">
        <v>6</v>
      </c>
      <c r="D2677">
        <v>37</v>
      </c>
    </row>
    <row r="2678" spans="1:4" x14ac:dyDescent="0.25">
      <c r="A2678" s="45" t="s">
        <v>2706</v>
      </c>
      <c r="B2678" s="46" t="s">
        <v>14556</v>
      </c>
      <c r="C2678">
        <v>6</v>
      </c>
      <c r="D2678">
        <v>37</v>
      </c>
    </row>
    <row r="2679" spans="1:4" x14ac:dyDescent="0.25">
      <c r="A2679" s="45" t="s">
        <v>2707</v>
      </c>
      <c r="B2679" s="46" t="s">
        <v>14557</v>
      </c>
      <c r="C2679">
        <v>6</v>
      </c>
      <c r="D2679">
        <v>37</v>
      </c>
    </row>
    <row r="2680" spans="1:4" x14ac:dyDescent="0.25">
      <c r="A2680" s="45" t="s">
        <v>2708</v>
      </c>
      <c r="B2680" s="46" t="s">
        <v>14558</v>
      </c>
      <c r="C2680">
        <v>6</v>
      </c>
      <c r="D2680">
        <v>37</v>
      </c>
    </row>
    <row r="2681" spans="1:4" x14ac:dyDescent="0.25">
      <c r="A2681" s="45" t="s">
        <v>2709</v>
      </c>
      <c r="B2681" s="46" t="s">
        <v>14559</v>
      </c>
      <c r="C2681">
        <v>6</v>
      </c>
      <c r="D2681">
        <v>37</v>
      </c>
    </row>
    <row r="2682" spans="1:4" x14ac:dyDescent="0.25">
      <c r="A2682" s="45" t="s">
        <v>2710</v>
      </c>
      <c r="B2682" s="46" t="s">
        <v>14560</v>
      </c>
      <c r="C2682">
        <v>6</v>
      </c>
      <c r="D2682">
        <v>37</v>
      </c>
    </row>
    <row r="2683" spans="1:4" x14ac:dyDescent="0.25">
      <c r="A2683" s="45" t="s">
        <v>2711</v>
      </c>
      <c r="B2683" s="46" t="s">
        <v>14561</v>
      </c>
      <c r="C2683">
        <v>6</v>
      </c>
      <c r="D2683">
        <v>37</v>
      </c>
    </row>
    <row r="2684" spans="1:4" x14ac:dyDescent="0.25">
      <c r="A2684" s="45" t="s">
        <v>2712</v>
      </c>
      <c r="B2684" s="46" t="s">
        <v>14562</v>
      </c>
      <c r="C2684">
        <v>6</v>
      </c>
      <c r="D2684">
        <v>37</v>
      </c>
    </row>
    <row r="2685" spans="1:4" x14ac:dyDescent="0.25">
      <c r="A2685" s="45" t="s">
        <v>2713</v>
      </c>
      <c r="B2685" s="46" t="s">
        <v>14563</v>
      </c>
      <c r="C2685">
        <v>6</v>
      </c>
      <c r="D2685">
        <v>37</v>
      </c>
    </row>
    <row r="2686" spans="1:4" x14ac:dyDescent="0.25">
      <c r="A2686" s="45" t="s">
        <v>2714</v>
      </c>
      <c r="B2686" s="46" t="s">
        <v>14564</v>
      </c>
      <c r="C2686">
        <v>6</v>
      </c>
      <c r="D2686">
        <v>37</v>
      </c>
    </row>
    <row r="2687" spans="1:4" x14ac:dyDescent="0.25">
      <c r="A2687" s="45" t="s">
        <v>2715</v>
      </c>
      <c r="B2687" s="46" t="s">
        <v>14565</v>
      </c>
      <c r="C2687">
        <v>6</v>
      </c>
      <c r="D2687">
        <v>37</v>
      </c>
    </row>
    <row r="2688" spans="1:4" x14ac:dyDescent="0.25">
      <c r="A2688" s="45" t="s">
        <v>2716</v>
      </c>
      <c r="B2688" s="46" t="s">
        <v>14566</v>
      </c>
      <c r="C2688">
        <v>6</v>
      </c>
      <c r="D2688">
        <v>37</v>
      </c>
    </row>
    <row r="2689" spans="1:4" x14ac:dyDescent="0.25">
      <c r="A2689" s="45" t="s">
        <v>2717</v>
      </c>
      <c r="B2689" s="46" t="s">
        <v>14567</v>
      </c>
      <c r="C2689">
        <v>6</v>
      </c>
      <c r="D2689">
        <v>37</v>
      </c>
    </row>
    <row r="2690" spans="1:4" x14ac:dyDescent="0.25">
      <c r="A2690" s="45" t="s">
        <v>2718</v>
      </c>
      <c r="B2690" s="46" t="s">
        <v>14568</v>
      </c>
      <c r="C2690">
        <v>6</v>
      </c>
      <c r="D2690">
        <v>37</v>
      </c>
    </row>
    <row r="2691" spans="1:4" x14ac:dyDescent="0.25">
      <c r="A2691" s="45" t="s">
        <v>2719</v>
      </c>
      <c r="B2691" s="46" t="s">
        <v>14569</v>
      </c>
      <c r="C2691">
        <v>6</v>
      </c>
      <c r="D2691">
        <v>37</v>
      </c>
    </row>
    <row r="2692" spans="1:4" x14ac:dyDescent="0.25">
      <c r="A2692" s="45" t="s">
        <v>2720</v>
      </c>
      <c r="B2692" s="46" t="s">
        <v>14570</v>
      </c>
      <c r="C2692">
        <v>6</v>
      </c>
      <c r="D2692">
        <v>37</v>
      </c>
    </row>
    <row r="2693" spans="1:4" x14ac:dyDescent="0.25">
      <c r="A2693" s="45" t="s">
        <v>2721</v>
      </c>
      <c r="B2693" s="46" t="s">
        <v>14571</v>
      </c>
      <c r="C2693">
        <v>6</v>
      </c>
      <c r="D2693">
        <v>37</v>
      </c>
    </row>
    <row r="2694" spans="1:4" x14ac:dyDescent="0.25">
      <c r="A2694" s="45" t="s">
        <v>2722</v>
      </c>
      <c r="B2694" s="46" t="s">
        <v>14572</v>
      </c>
      <c r="C2694">
        <v>6</v>
      </c>
      <c r="D2694">
        <v>37</v>
      </c>
    </row>
    <row r="2695" spans="1:4" x14ac:dyDescent="0.25">
      <c r="A2695" s="45" t="s">
        <v>2723</v>
      </c>
      <c r="B2695" s="46" t="s">
        <v>14573</v>
      </c>
      <c r="C2695">
        <v>6</v>
      </c>
      <c r="D2695">
        <v>37</v>
      </c>
    </row>
    <row r="2696" spans="1:4" x14ac:dyDescent="0.25">
      <c r="A2696" s="45" t="s">
        <v>2724</v>
      </c>
      <c r="B2696" s="46" t="s">
        <v>14574</v>
      </c>
      <c r="C2696">
        <v>6</v>
      </c>
      <c r="D2696">
        <v>37</v>
      </c>
    </row>
    <row r="2697" spans="1:4" x14ac:dyDescent="0.25">
      <c r="A2697" s="45" t="s">
        <v>2725</v>
      </c>
      <c r="B2697" s="46" t="s">
        <v>14575</v>
      </c>
      <c r="C2697">
        <v>6</v>
      </c>
      <c r="D2697">
        <v>37</v>
      </c>
    </row>
    <row r="2698" spans="1:4" x14ac:dyDescent="0.25">
      <c r="A2698" s="45" t="s">
        <v>2726</v>
      </c>
      <c r="B2698" s="46" t="s">
        <v>19902</v>
      </c>
      <c r="C2698">
        <v>6</v>
      </c>
      <c r="D2698">
        <v>37</v>
      </c>
    </row>
    <row r="2699" spans="1:4" x14ac:dyDescent="0.25">
      <c r="A2699" s="45" t="s">
        <v>2727</v>
      </c>
      <c r="B2699" s="46" t="s">
        <v>19903</v>
      </c>
      <c r="C2699">
        <v>6</v>
      </c>
      <c r="D2699">
        <v>37</v>
      </c>
    </row>
    <row r="2700" spans="1:4" x14ac:dyDescent="0.25">
      <c r="A2700" s="45" t="s">
        <v>2728</v>
      </c>
      <c r="B2700" s="46" t="s">
        <v>14576</v>
      </c>
      <c r="C2700">
        <v>6</v>
      </c>
      <c r="D2700">
        <v>37</v>
      </c>
    </row>
    <row r="2701" spans="1:4" x14ac:dyDescent="0.25">
      <c r="A2701" s="45" t="s">
        <v>2729</v>
      </c>
      <c r="B2701" s="46" t="s">
        <v>19904</v>
      </c>
      <c r="C2701">
        <v>6</v>
      </c>
      <c r="D2701">
        <v>37</v>
      </c>
    </row>
    <row r="2702" spans="1:4" x14ac:dyDescent="0.25">
      <c r="A2702" s="45" t="s">
        <v>2730</v>
      </c>
      <c r="B2702" s="46" t="s">
        <v>14577</v>
      </c>
      <c r="C2702">
        <v>6</v>
      </c>
      <c r="D2702">
        <v>37</v>
      </c>
    </row>
    <row r="2703" spans="1:4" x14ac:dyDescent="0.25">
      <c r="A2703" s="45" t="s">
        <v>2731</v>
      </c>
      <c r="B2703" s="46" t="s">
        <v>14578</v>
      </c>
      <c r="C2703">
        <v>6</v>
      </c>
      <c r="D2703">
        <v>37</v>
      </c>
    </row>
    <row r="2704" spans="1:4" x14ac:dyDescent="0.25">
      <c r="A2704" s="45" t="s">
        <v>2732</v>
      </c>
      <c r="B2704" s="46" t="s">
        <v>14579</v>
      </c>
      <c r="C2704">
        <v>6</v>
      </c>
      <c r="D2704">
        <v>36</v>
      </c>
    </row>
    <row r="2705" spans="1:4" x14ac:dyDescent="0.25">
      <c r="A2705" s="45" t="s">
        <v>2733</v>
      </c>
      <c r="B2705" s="46" t="s">
        <v>14580</v>
      </c>
      <c r="C2705">
        <v>6</v>
      </c>
      <c r="D2705">
        <v>36</v>
      </c>
    </row>
    <row r="2706" spans="1:4" x14ac:dyDescent="0.25">
      <c r="A2706" s="45" t="s">
        <v>2734</v>
      </c>
      <c r="B2706" s="46" t="s">
        <v>14581</v>
      </c>
      <c r="C2706">
        <v>6</v>
      </c>
      <c r="D2706">
        <v>36</v>
      </c>
    </row>
    <row r="2707" spans="1:4" x14ac:dyDescent="0.25">
      <c r="A2707" s="45" t="s">
        <v>2735</v>
      </c>
      <c r="B2707" s="46" t="s">
        <v>14582</v>
      </c>
      <c r="C2707">
        <v>6</v>
      </c>
      <c r="D2707">
        <v>35</v>
      </c>
    </row>
    <row r="2708" spans="1:4" x14ac:dyDescent="0.25">
      <c r="A2708" s="45" t="s">
        <v>2736</v>
      </c>
      <c r="B2708" s="46" t="s">
        <v>14583</v>
      </c>
      <c r="C2708">
        <v>6</v>
      </c>
      <c r="D2708">
        <v>36</v>
      </c>
    </row>
    <row r="2709" spans="1:4" x14ac:dyDescent="0.25">
      <c r="A2709" s="45" t="s">
        <v>2737</v>
      </c>
      <c r="B2709" s="46" t="s">
        <v>14584</v>
      </c>
      <c r="C2709">
        <v>6</v>
      </c>
      <c r="D2709">
        <v>36</v>
      </c>
    </row>
    <row r="2710" spans="1:4" x14ac:dyDescent="0.25">
      <c r="A2710" s="45" t="s">
        <v>2738</v>
      </c>
      <c r="B2710" s="46" t="s">
        <v>14585</v>
      </c>
      <c r="C2710">
        <v>6</v>
      </c>
      <c r="D2710">
        <v>36</v>
      </c>
    </row>
    <row r="2711" spans="1:4" x14ac:dyDescent="0.25">
      <c r="A2711" s="45" t="s">
        <v>2739</v>
      </c>
      <c r="B2711" s="46" t="s">
        <v>14586</v>
      </c>
      <c r="C2711">
        <v>6</v>
      </c>
      <c r="D2711">
        <v>36</v>
      </c>
    </row>
    <row r="2712" spans="1:4" x14ac:dyDescent="0.25">
      <c r="A2712" s="45" t="s">
        <v>2740</v>
      </c>
      <c r="B2712" s="46" t="s">
        <v>14587</v>
      </c>
      <c r="C2712">
        <v>6</v>
      </c>
      <c r="D2712">
        <v>36</v>
      </c>
    </row>
    <row r="2713" spans="1:4" x14ac:dyDescent="0.25">
      <c r="A2713" s="45" t="s">
        <v>2741</v>
      </c>
      <c r="B2713" s="46" t="s">
        <v>14588</v>
      </c>
      <c r="C2713">
        <v>6</v>
      </c>
      <c r="D2713">
        <v>35</v>
      </c>
    </row>
    <row r="2714" spans="1:4" x14ac:dyDescent="0.25">
      <c r="A2714" s="45" t="s">
        <v>2742</v>
      </c>
      <c r="B2714" s="46" t="s">
        <v>14589</v>
      </c>
      <c r="C2714">
        <v>6</v>
      </c>
      <c r="D2714">
        <v>36</v>
      </c>
    </row>
    <row r="2715" spans="1:4" x14ac:dyDescent="0.25">
      <c r="A2715" s="45" t="s">
        <v>2743</v>
      </c>
      <c r="B2715" s="46" t="s">
        <v>14590</v>
      </c>
      <c r="C2715">
        <v>6</v>
      </c>
      <c r="D2715">
        <v>36</v>
      </c>
    </row>
    <row r="2716" spans="1:4" x14ac:dyDescent="0.25">
      <c r="A2716" s="45" t="s">
        <v>2744</v>
      </c>
      <c r="B2716" s="46" t="s">
        <v>14591</v>
      </c>
      <c r="C2716">
        <v>6</v>
      </c>
      <c r="D2716">
        <v>36</v>
      </c>
    </row>
    <row r="2717" spans="1:4" x14ac:dyDescent="0.25">
      <c r="A2717" s="45" t="s">
        <v>2745</v>
      </c>
      <c r="B2717" s="46" t="s">
        <v>14592</v>
      </c>
      <c r="C2717">
        <v>6</v>
      </c>
      <c r="D2717">
        <v>36</v>
      </c>
    </row>
    <row r="2718" spans="1:4" x14ac:dyDescent="0.25">
      <c r="A2718" s="45" t="s">
        <v>2746</v>
      </c>
      <c r="B2718" s="46" t="s">
        <v>14593</v>
      </c>
      <c r="C2718">
        <v>6</v>
      </c>
      <c r="D2718">
        <v>36</v>
      </c>
    </row>
    <row r="2719" spans="1:4" x14ac:dyDescent="0.25">
      <c r="A2719" s="45" t="s">
        <v>2747</v>
      </c>
      <c r="B2719" s="46" t="s">
        <v>14594</v>
      </c>
      <c r="C2719">
        <v>6</v>
      </c>
      <c r="D2719">
        <v>36</v>
      </c>
    </row>
    <row r="2720" spans="1:4" x14ac:dyDescent="0.25">
      <c r="A2720" s="45" t="s">
        <v>2748</v>
      </c>
      <c r="B2720" s="46" t="s">
        <v>14595</v>
      </c>
      <c r="C2720">
        <v>6</v>
      </c>
      <c r="D2720">
        <v>36</v>
      </c>
    </row>
    <row r="2721" spans="1:4" x14ac:dyDescent="0.25">
      <c r="A2721" s="45" t="s">
        <v>2749</v>
      </c>
      <c r="B2721" s="46" t="s">
        <v>14596</v>
      </c>
      <c r="C2721">
        <v>6</v>
      </c>
      <c r="D2721">
        <v>36</v>
      </c>
    </row>
    <row r="2722" spans="1:4" x14ac:dyDescent="0.25">
      <c r="A2722" s="45" t="s">
        <v>2750</v>
      </c>
      <c r="B2722" s="46" t="s">
        <v>19905</v>
      </c>
      <c r="C2722">
        <v>6</v>
      </c>
      <c r="D2722">
        <v>36</v>
      </c>
    </row>
    <row r="2723" spans="1:4" x14ac:dyDescent="0.25">
      <c r="A2723" s="45" t="s">
        <v>2751</v>
      </c>
      <c r="B2723" s="46" t="s">
        <v>19906</v>
      </c>
      <c r="C2723">
        <v>6</v>
      </c>
      <c r="D2723">
        <v>36</v>
      </c>
    </row>
    <row r="2724" spans="1:4" x14ac:dyDescent="0.25">
      <c r="A2724" s="45" t="s">
        <v>2752</v>
      </c>
      <c r="B2724" s="46" t="s">
        <v>14597</v>
      </c>
      <c r="C2724">
        <v>6</v>
      </c>
      <c r="D2724">
        <v>36</v>
      </c>
    </row>
    <row r="2725" spans="1:4" x14ac:dyDescent="0.25">
      <c r="A2725" s="45" t="s">
        <v>2753</v>
      </c>
      <c r="B2725" s="46" t="s">
        <v>14598</v>
      </c>
      <c r="C2725">
        <v>6</v>
      </c>
      <c r="D2725">
        <v>36</v>
      </c>
    </row>
    <row r="2726" spans="1:4" x14ac:dyDescent="0.25">
      <c r="A2726" s="45" t="s">
        <v>2754</v>
      </c>
      <c r="B2726" s="46" t="s">
        <v>14599</v>
      </c>
      <c r="C2726">
        <v>6</v>
      </c>
      <c r="D2726">
        <v>36</v>
      </c>
    </row>
    <row r="2727" spans="1:4" x14ac:dyDescent="0.25">
      <c r="A2727" s="45" t="s">
        <v>2755</v>
      </c>
      <c r="B2727" s="46" t="s">
        <v>14600</v>
      </c>
      <c r="C2727">
        <v>6</v>
      </c>
      <c r="D2727">
        <v>35</v>
      </c>
    </row>
    <row r="2728" spans="1:4" x14ac:dyDescent="0.25">
      <c r="A2728" s="45" t="s">
        <v>2756</v>
      </c>
      <c r="B2728" s="46" t="s">
        <v>14601</v>
      </c>
      <c r="C2728">
        <v>6</v>
      </c>
      <c r="D2728">
        <v>35</v>
      </c>
    </row>
    <row r="2729" spans="1:4" x14ac:dyDescent="0.25">
      <c r="A2729" s="45" t="s">
        <v>2757</v>
      </c>
      <c r="B2729" s="46" t="s">
        <v>19907</v>
      </c>
      <c r="C2729">
        <v>6</v>
      </c>
      <c r="D2729">
        <v>35</v>
      </c>
    </row>
    <row r="2730" spans="1:4" x14ac:dyDescent="0.25">
      <c r="A2730" s="45" t="s">
        <v>2758</v>
      </c>
      <c r="B2730" s="46" t="s">
        <v>14602</v>
      </c>
      <c r="C2730">
        <v>6</v>
      </c>
      <c r="D2730">
        <v>35</v>
      </c>
    </row>
    <row r="2731" spans="1:4" x14ac:dyDescent="0.25">
      <c r="A2731" s="45" t="s">
        <v>2759</v>
      </c>
      <c r="B2731" s="46" t="s">
        <v>14603</v>
      </c>
      <c r="C2731">
        <v>6</v>
      </c>
      <c r="D2731">
        <v>35</v>
      </c>
    </row>
    <row r="2732" spans="1:4" x14ac:dyDescent="0.25">
      <c r="A2732" s="45" t="s">
        <v>2760</v>
      </c>
      <c r="B2732" s="46" t="s">
        <v>14604</v>
      </c>
      <c r="C2732">
        <v>6</v>
      </c>
      <c r="D2732">
        <v>35</v>
      </c>
    </row>
    <row r="2733" spans="1:4" x14ac:dyDescent="0.25">
      <c r="A2733" s="45" t="s">
        <v>2761</v>
      </c>
      <c r="B2733" s="46" t="s">
        <v>14605</v>
      </c>
      <c r="C2733">
        <v>6</v>
      </c>
      <c r="D2733">
        <v>35</v>
      </c>
    </row>
    <row r="2734" spans="1:4" x14ac:dyDescent="0.25">
      <c r="A2734" s="45" t="s">
        <v>2762</v>
      </c>
      <c r="B2734" s="46" t="s">
        <v>14606</v>
      </c>
      <c r="C2734">
        <v>6</v>
      </c>
      <c r="D2734">
        <v>35</v>
      </c>
    </row>
    <row r="2735" spans="1:4" x14ac:dyDescent="0.25">
      <c r="A2735" s="45" t="s">
        <v>2763</v>
      </c>
      <c r="B2735" s="46" t="s">
        <v>14607</v>
      </c>
      <c r="C2735">
        <v>6</v>
      </c>
      <c r="D2735">
        <v>35</v>
      </c>
    </row>
    <row r="2736" spans="1:4" x14ac:dyDescent="0.25">
      <c r="A2736" s="45" t="s">
        <v>2764</v>
      </c>
      <c r="B2736" s="46" t="s">
        <v>14608</v>
      </c>
      <c r="C2736">
        <v>6</v>
      </c>
      <c r="D2736">
        <v>35</v>
      </c>
    </row>
    <row r="2737" spans="1:4" x14ac:dyDescent="0.25">
      <c r="A2737" s="45" t="s">
        <v>2765</v>
      </c>
      <c r="B2737" s="46" t="s">
        <v>14609</v>
      </c>
      <c r="C2737">
        <v>6</v>
      </c>
      <c r="D2737">
        <v>35</v>
      </c>
    </row>
    <row r="2738" spans="1:4" x14ac:dyDescent="0.25">
      <c r="A2738" s="45" t="s">
        <v>2766</v>
      </c>
      <c r="B2738" s="46" t="s">
        <v>14610</v>
      </c>
      <c r="C2738">
        <v>6</v>
      </c>
      <c r="D2738">
        <v>35</v>
      </c>
    </row>
    <row r="2739" spans="1:4" x14ac:dyDescent="0.25">
      <c r="A2739" s="45" t="s">
        <v>2767</v>
      </c>
      <c r="B2739" s="46" t="s">
        <v>14611</v>
      </c>
      <c r="C2739">
        <v>6</v>
      </c>
      <c r="D2739">
        <v>36</v>
      </c>
    </row>
    <row r="2740" spans="1:4" x14ac:dyDescent="0.25">
      <c r="A2740" s="45" t="s">
        <v>2768</v>
      </c>
      <c r="B2740" s="46" t="s">
        <v>14612</v>
      </c>
      <c r="C2740">
        <v>6</v>
      </c>
      <c r="D2740">
        <v>36</v>
      </c>
    </row>
    <row r="2741" spans="1:4" x14ac:dyDescent="0.25">
      <c r="A2741" s="45" t="s">
        <v>2769</v>
      </c>
      <c r="B2741" s="46" t="s">
        <v>14613</v>
      </c>
      <c r="C2741">
        <v>6</v>
      </c>
      <c r="D2741">
        <v>36</v>
      </c>
    </row>
    <row r="2742" spans="1:4" x14ac:dyDescent="0.25">
      <c r="A2742" s="45" t="s">
        <v>2770</v>
      </c>
      <c r="B2742" s="46" t="s">
        <v>14614</v>
      </c>
      <c r="C2742">
        <v>6</v>
      </c>
      <c r="D2742">
        <v>36</v>
      </c>
    </row>
    <row r="2743" spans="1:4" x14ac:dyDescent="0.25">
      <c r="A2743" s="45" t="s">
        <v>2771</v>
      </c>
      <c r="B2743" s="46" t="s">
        <v>14615</v>
      </c>
      <c r="C2743">
        <v>1</v>
      </c>
      <c r="D2743">
        <v>6</v>
      </c>
    </row>
    <row r="2744" spans="1:4" x14ac:dyDescent="0.25">
      <c r="A2744" s="45" t="s">
        <v>2772</v>
      </c>
      <c r="B2744" s="46" t="s">
        <v>14616</v>
      </c>
      <c r="C2744">
        <v>6</v>
      </c>
      <c r="D2744">
        <v>34</v>
      </c>
    </row>
    <row r="2745" spans="1:4" x14ac:dyDescent="0.25">
      <c r="A2745" s="45" t="s">
        <v>2773</v>
      </c>
      <c r="B2745" s="46" t="s">
        <v>14617</v>
      </c>
      <c r="C2745">
        <v>6</v>
      </c>
      <c r="D2745">
        <v>36</v>
      </c>
    </row>
    <row r="2746" spans="1:4" x14ac:dyDescent="0.25">
      <c r="A2746" s="45" t="s">
        <v>2774</v>
      </c>
      <c r="B2746" s="46" t="s">
        <v>14618</v>
      </c>
      <c r="C2746">
        <v>6</v>
      </c>
      <c r="D2746">
        <v>36</v>
      </c>
    </row>
    <row r="2747" spans="1:4" x14ac:dyDescent="0.25">
      <c r="A2747" s="45" t="s">
        <v>2775</v>
      </c>
      <c r="B2747" s="46" t="s">
        <v>14619</v>
      </c>
      <c r="C2747">
        <v>6</v>
      </c>
      <c r="D2747">
        <v>35</v>
      </c>
    </row>
    <row r="2748" spans="1:4" x14ac:dyDescent="0.25">
      <c r="A2748" s="45" t="s">
        <v>2776</v>
      </c>
      <c r="B2748" s="46" t="s">
        <v>14620</v>
      </c>
      <c r="C2748">
        <v>6</v>
      </c>
      <c r="D2748">
        <v>36</v>
      </c>
    </row>
    <row r="2749" spans="1:4" x14ac:dyDescent="0.25">
      <c r="A2749" s="45" t="s">
        <v>2777</v>
      </c>
      <c r="B2749" s="46" t="s">
        <v>14621</v>
      </c>
      <c r="C2749">
        <v>6</v>
      </c>
      <c r="D2749">
        <v>36</v>
      </c>
    </row>
    <row r="2750" spans="1:4" x14ac:dyDescent="0.25">
      <c r="A2750" s="45" t="s">
        <v>2778</v>
      </c>
      <c r="B2750" s="46" t="s">
        <v>14622</v>
      </c>
      <c r="C2750">
        <v>6</v>
      </c>
      <c r="D2750">
        <v>35</v>
      </c>
    </row>
    <row r="2751" spans="1:4" x14ac:dyDescent="0.25">
      <c r="A2751" s="45" t="s">
        <v>2779</v>
      </c>
      <c r="B2751" s="46" t="s">
        <v>19908</v>
      </c>
      <c r="C2751">
        <v>6</v>
      </c>
      <c r="D2751">
        <v>35</v>
      </c>
    </row>
    <row r="2752" spans="1:4" x14ac:dyDescent="0.25">
      <c r="A2752" s="45" t="s">
        <v>2780</v>
      </c>
      <c r="B2752" s="46" t="s">
        <v>19909</v>
      </c>
      <c r="C2752">
        <v>6</v>
      </c>
      <c r="D2752">
        <v>35</v>
      </c>
    </row>
    <row r="2753" spans="1:4" x14ac:dyDescent="0.25">
      <c r="A2753" s="45" t="s">
        <v>2781</v>
      </c>
      <c r="B2753" s="46" t="s">
        <v>14623</v>
      </c>
      <c r="C2753">
        <v>6</v>
      </c>
      <c r="D2753">
        <v>34</v>
      </c>
    </row>
    <row r="2754" spans="1:4" x14ac:dyDescent="0.25">
      <c r="A2754" s="45" t="s">
        <v>2782</v>
      </c>
      <c r="B2754" s="46" t="s">
        <v>19910</v>
      </c>
      <c r="C2754">
        <v>6</v>
      </c>
      <c r="D2754">
        <v>35</v>
      </c>
    </row>
    <row r="2755" spans="1:4" x14ac:dyDescent="0.25">
      <c r="A2755" s="45" t="s">
        <v>2783</v>
      </c>
      <c r="B2755" s="46" t="s">
        <v>14624</v>
      </c>
      <c r="C2755">
        <v>6</v>
      </c>
      <c r="D2755">
        <v>35</v>
      </c>
    </row>
    <row r="2756" spans="1:4" x14ac:dyDescent="0.25">
      <c r="A2756" s="45" t="s">
        <v>2784</v>
      </c>
      <c r="B2756" s="46" t="s">
        <v>14625</v>
      </c>
      <c r="C2756">
        <v>6</v>
      </c>
      <c r="D2756">
        <v>35</v>
      </c>
    </row>
    <row r="2757" spans="1:4" x14ac:dyDescent="0.25">
      <c r="A2757" s="45" t="s">
        <v>2785</v>
      </c>
      <c r="B2757" s="46" t="s">
        <v>14626</v>
      </c>
      <c r="C2757">
        <v>6</v>
      </c>
      <c r="D2757">
        <v>35</v>
      </c>
    </row>
    <row r="2758" spans="1:4" x14ac:dyDescent="0.25">
      <c r="A2758" s="45" t="s">
        <v>2786</v>
      </c>
      <c r="B2758" s="46" t="s">
        <v>14627</v>
      </c>
      <c r="C2758">
        <v>6</v>
      </c>
      <c r="D2758">
        <v>35</v>
      </c>
    </row>
    <row r="2759" spans="1:4" x14ac:dyDescent="0.25">
      <c r="A2759" s="45" t="s">
        <v>2787</v>
      </c>
      <c r="B2759" s="46" t="s">
        <v>14628</v>
      </c>
      <c r="C2759">
        <v>6</v>
      </c>
      <c r="D2759">
        <v>36</v>
      </c>
    </row>
    <row r="2760" spans="1:4" x14ac:dyDescent="0.25">
      <c r="A2760" s="45" t="s">
        <v>2788</v>
      </c>
      <c r="B2760" s="46" t="s">
        <v>14629</v>
      </c>
      <c r="C2760">
        <v>6</v>
      </c>
      <c r="D2760">
        <v>34</v>
      </c>
    </row>
    <row r="2761" spans="1:4" x14ac:dyDescent="0.25">
      <c r="A2761" s="45" t="s">
        <v>2789</v>
      </c>
      <c r="B2761" s="46" t="s">
        <v>19911</v>
      </c>
      <c r="C2761">
        <v>6</v>
      </c>
      <c r="D2761">
        <v>36</v>
      </c>
    </row>
    <row r="2762" spans="1:4" x14ac:dyDescent="0.25">
      <c r="A2762" s="45" t="s">
        <v>2790</v>
      </c>
      <c r="B2762" s="46" t="s">
        <v>14630</v>
      </c>
      <c r="C2762">
        <v>6</v>
      </c>
      <c r="D2762">
        <v>36</v>
      </c>
    </row>
    <row r="2763" spans="1:4" x14ac:dyDescent="0.25">
      <c r="A2763" s="45" t="s">
        <v>2791</v>
      </c>
      <c r="B2763" s="46" t="s">
        <v>14631</v>
      </c>
      <c r="C2763">
        <v>17</v>
      </c>
      <c r="D2763">
        <v>106</v>
      </c>
    </row>
    <row r="2764" spans="1:4" x14ac:dyDescent="0.25">
      <c r="A2764" s="45" t="s">
        <v>2792</v>
      </c>
      <c r="B2764" s="46" t="s">
        <v>14632</v>
      </c>
      <c r="C2764">
        <v>6</v>
      </c>
      <c r="D2764">
        <v>36</v>
      </c>
    </row>
    <row r="2765" spans="1:4" x14ac:dyDescent="0.25">
      <c r="A2765" s="45" t="s">
        <v>2793</v>
      </c>
      <c r="B2765" s="46" t="s">
        <v>14633</v>
      </c>
      <c r="C2765">
        <v>6</v>
      </c>
      <c r="D2765">
        <v>36</v>
      </c>
    </row>
    <row r="2766" spans="1:4" x14ac:dyDescent="0.25">
      <c r="A2766" s="45" t="s">
        <v>2794</v>
      </c>
      <c r="B2766" s="46" t="s">
        <v>14634</v>
      </c>
      <c r="C2766">
        <v>6</v>
      </c>
      <c r="D2766">
        <v>36</v>
      </c>
    </row>
    <row r="2767" spans="1:4" x14ac:dyDescent="0.25">
      <c r="A2767" s="45" t="s">
        <v>2795</v>
      </c>
      <c r="B2767" s="46" t="s">
        <v>14635</v>
      </c>
      <c r="C2767">
        <v>6</v>
      </c>
      <c r="D2767">
        <v>36</v>
      </c>
    </row>
    <row r="2768" spans="1:4" x14ac:dyDescent="0.25">
      <c r="A2768" s="45" t="s">
        <v>2796</v>
      </c>
      <c r="B2768" s="46" t="s">
        <v>19912</v>
      </c>
      <c r="C2768">
        <v>6</v>
      </c>
      <c r="D2768">
        <v>36</v>
      </c>
    </row>
    <row r="2769" spans="1:4" x14ac:dyDescent="0.25">
      <c r="A2769" s="45" t="s">
        <v>2797</v>
      </c>
      <c r="B2769" s="46" t="s">
        <v>14636</v>
      </c>
      <c r="C2769">
        <v>6</v>
      </c>
      <c r="D2769">
        <v>35</v>
      </c>
    </row>
    <row r="2770" spans="1:4" x14ac:dyDescent="0.25">
      <c r="A2770" s="45" t="s">
        <v>2798</v>
      </c>
      <c r="B2770" s="46" t="s">
        <v>19913</v>
      </c>
      <c r="C2770">
        <v>6</v>
      </c>
      <c r="D2770">
        <v>35</v>
      </c>
    </row>
    <row r="2771" spans="1:4" x14ac:dyDescent="0.25">
      <c r="A2771" s="45" t="s">
        <v>2799</v>
      </c>
      <c r="B2771" s="46" t="s">
        <v>19914</v>
      </c>
      <c r="C2771">
        <v>6</v>
      </c>
      <c r="D2771">
        <v>35</v>
      </c>
    </row>
    <row r="2772" spans="1:4" x14ac:dyDescent="0.25">
      <c r="A2772" s="45" t="s">
        <v>2800</v>
      </c>
      <c r="B2772" s="46" t="s">
        <v>14637</v>
      </c>
      <c r="C2772">
        <v>6</v>
      </c>
      <c r="D2772">
        <v>36</v>
      </c>
    </row>
    <row r="2773" spans="1:4" x14ac:dyDescent="0.25">
      <c r="A2773" s="45" t="s">
        <v>2801</v>
      </c>
      <c r="B2773" s="46" t="s">
        <v>19915</v>
      </c>
      <c r="C2773">
        <v>6</v>
      </c>
      <c r="D2773">
        <v>38</v>
      </c>
    </row>
    <row r="2774" spans="1:4" x14ac:dyDescent="0.25">
      <c r="A2774" s="45" t="s">
        <v>2802</v>
      </c>
      <c r="B2774" s="46" t="s">
        <v>14638</v>
      </c>
      <c r="C2774">
        <v>6</v>
      </c>
      <c r="D2774">
        <v>38</v>
      </c>
    </row>
    <row r="2775" spans="1:4" x14ac:dyDescent="0.25">
      <c r="A2775" s="45" t="s">
        <v>2803</v>
      </c>
      <c r="B2775" s="46" t="s">
        <v>19916</v>
      </c>
      <c r="C2775">
        <v>6</v>
      </c>
      <c r="D2775">
        <v>38</v>
      </c>
    </row>
    <row r="2776" spans="1:4" x14ac:dyDescent="0.25">
      <c r="A2776" s="45" t="s">
        <v>2804</v>
      </c>
      <c r="B2776" s="46" t="s">
        <v>14639</v>
      </c>
      <c r="C2776">
        <v>6</v>
      </c>
      <c r="D2776">
        <v>38</v>
      </c>
    </row>
    <row r="2777" spans="1:4" x14ac:dyDescent="0.25">
      <c r="A2777" s="45" t="s">
        <v>2805</v>
      </c>
      <c r="B2777" s="46" t="s">
        <v>14640</v>
      </c>
      <c r="C2777">
        <v>6</v>
      </c>
      <c r="D2777">
        <v>38</v>
      </c>
    </row>
    <row r="2778" spans="1:4" x14ac:dyDescent="0.25">
      <c r="A2778" s="45" t="s">
        <v>2806</v>
      </c>
      <c r="B2778" s="46" t="s">
        <v>14641</v>
      </c>
      <c r="C2778">
        <v>6</v>
      </c>
      <c r="D2778">
        <v>38</v>
      </c>
    </row>
    <row r="2779" spans="1:4" x14ac:dyDescent="0.25">
      <c r="A2779" s="45" t="s">
        <v>2807</v>
      </c>
      <c r="B2779" s="46" t="s">
        <v>14642</v>
      </c>
      <c r="C2779">
        <v>6</v>
      </c>
      <c r="D2779">
        <v>38</v>
      </c>
    </row>
    <row r="2780" spans="1:4" x14ac:dyDescent="0.25">
      <c r="A2780" s="45" t="s">
        <v>2808</v>
      </c>
      <c r="B2780" s="46" t="s">
        <v>14643</v>
      </c>
      <c r="C2780">
        <v>6</v>
      </c>
      <c r="D2780">
        <v>38</v>
      </c>
    </row>
    <row r="2781" spans="1:4" x14ac:dyDescent="0.25">
      <c r="A2781" s="45" t="s">
        <v>2809</v>
      </c>
      <c r="B2781" s="46" t="s">
        <v>14644</v>
      </c>
      <c r="C2781">
        <v>6</v>
      </c>
      <c r="D2781">
        <v>38</v>
      </c>
    </row>
    <row r="2782" spans="1:4" x14ac:dyDescent="0.25">
      <c r="A2782" s="45" t="s">
        <v>2810</v>
      </c>
      <c r="B2782" s="46" t="s">
        <v>14645</v>
      </c>
      <c r="C2782">
        <v>6</v>
      </c>
      <c r="D2782">
        <v>38</v>
      </c>
    </row>
    <row r="2783" spans="1:4" x14ac:dyDescent="0.25">
      <c r="A2783" s="45" t="s">
        <v>2811</v>
      </c>
      <c r="B2783" s="46" t="s">
        <v>14646</v>
      </c>
      <c r="C2783">
        <v>6</v>
      </c>
      <c r="D2783">
        <v>38</v>
      </c>
    </row>
    <row r="2784" spans="1:4" x14ac:dyDescent="0.25">
      <c r="A2784" s="45" t="s">
        <v>2812</v>
      </c>
      <c r="B2784" s="46" t="s">
        <v>14647</v>
      </c>
      <c r="C2784">
        <v>6</v>
      </c>
      <c r="D2784">
        <v>38</v>
      </c>
    </row>
    <row r="2785" spans="1:4" x14ac:dyDescent="0.25">
      <c r="A2785" s="45" t="s">
        <v>2813</v>
      </c>
      <c r="B2785" s="46" t="s">
        <v>14648</v>
      </c>
      <c r="C2785">
        <v>3</v>
      </c>
      <c r="D2785">
        <v>28</v>
      </c>
    </row>
    <row r="2786" spans="1:4" x14ac:dyDescent="0.25">
      <c r="A2786" s="45" t="s">
        <v>2814</v>
      </c>
      <c r="B2786" s="46" t="s">
        <v>14649</v>
      </c>
      <c r="C2786">
        <v>6</v>
      </c>
      <c r="D2786">
        <v>38</v>
      </c>
    </row>
    <row r="2787" spans="1:4" x14ac:dyDescent="0.25">
      <c r="A2787" s="45" t="s">
        <v>2815</v>
      </c>
      <c r="B2787" s="46" t="s">
        <v>14650</v>
      </c>
      <c r="C2787">
        <v>6</v>
      </c>
      <c r="D2787">
        <v>38</v>
      </c>
    </row>
    <row r="2788" spans="1:4" x14ac:dyDescent="0.25">
      <c r="A2788" s="45" t="s">
        <v>2816</v>
      </c>
      <c r="B2788" s="46" t="s">
        <v>14651</v>
      </c>
      <c r="C2788">
        <v>6</v>
      </c>
      <c r="D2788">
        <v>38</v>
      </c>
    </row>
    <row r="2789" spans="1:4" x14ac:dyDescent="0.25">
      <c r="A2789" s="45" t="s">
        <v>2817</v>
      </c>
      <c r="B2789" s="46" t="s">
        <v>19917</v>
      </c>
      <c r="C2789">
        <v>6</v>
      </c>
      <c r="D2789">
        <v>38</v>
      </c>
    </row>
    <row r="2790" spans="1:4" x14ac:dyDescent="0.25">
      <c r="A2790" s="45" t="s">
        <v>2818</v>
      </c>
      <c r="B2790" s="46" t="s">
        <v>19918</v>
      </c>
      <c r="C2790">
        <v>6</v>
      </c>
      <c r="D2790">
        <v>38</v>
      </c>
    </row>
    <row r="2791" spans="1:4" x14ac:dyDescent="0.25">
      <c r="A2791" s="45" t="s">
        <v>2819</v>
      </c>
      <c r="B2791" s="46" t="s">
        <v>19919</v>
      </c>
      <c r="C2791">
        <v>6</v>
      </c>
      <c r="D2791">
        <v>38</v>
      </c>
    </row>
    <row r="2792" spans="1:4" x14ac:dyDescent="0.25">
      <c r="A2792" s="45" t="s">
        <v>2820</v>
      </c>
      <c r="B2792" s="46" t="s">
        <v>14652</v>
      </c>
      <c r="C2792">
        <v>6</v>
      </c>
      <c r="D2792">
        <v>38</v>
      </c>
    </row>
    <row r="2793" spans="1:4" x14ac:dyDescent="0.25">
      <c r="A2793" s="45" t="s">
        <v>2821</v>
      </c>
      <c r="B2793" s="46" t="s">
        <v>14653</v>
      </c>
      <c r="C2793">
        <v>6</v>
      </c>
      <c r="D2793">
        <v>38</v>
      </c>
    </row>
    <row r="2794" spans="1:4" x14ac:dyDescent="0.25">
      <c r="A2794" s="45" t="s">
        <v>2822</v>
      </c>
      <c r="B2794" s="46" t="s">
        <v>14654</v>
      </c>
      <c r="C2794">
        <v>6</v>
      </c>
      <c r="D2794">
        <v>38</v>
      </c>
    </row>
    <row r="2795" spans="1:4" x14ac:dyDescent="0.25">
      <c r="A2795" s="45" t="s">
        <v>2823</v>
      </c>
      <c r="B2795" s="46" t="s">
        <v>14655</v>
      </c>
      <c r="C2795">
        <v>6</v>
      </c>
      <c r="D2795">
        <v>38</v>
      </c>
    </row>
    <row r="2796" spans="1:4" x14ac:dyDescent="0.25">
      <c r="A2796" s="45" t="s">
        <v>2824</v>
      </c>
      <c r="B2796" s="46" t="s">
        <v>14656</v>
      </c>
      <c r="C2796">
        <v>6</v>
      </c>
      <c r="D2796">
        <v>38</v>
      </c>
    </row>
    <row r="2797" spans="1:4" x14ac:dyDescent="0.25">
      <c r="A2797" s="45" t="s">
        <v>2825</v>
      </c>
      <c r="B2797" s="46" t="s">
        <v>14657</v>
      </c>
      <c r="C2797">
        <v>6</v>
      </c>
      <c r="D2797">
        <v>38</v>
      </c>
    </row>
    <row r="2798" spans="1:4" x14ac:dyDescent="0.25">
      <c r="A2798" s="45" t="s">
        <v>2826</v>
      </c>
      <c r="B2798" s="46" t="s">
        <v>14658</v>
      </c>
      <c r="C2798">
        <v>6</v>
      </c>
      <c r="D2798">
        <v>38</v>
      </c>
    </row>
    <row r="2799" spans="1:4" x14ac:dyDescent="0.25">
      <c r="A2799" s="45" t="s">
        <v>2827</v>
      </c>
      <c r="B2799" s="46" t="s">
        <v>14659</v>
      </c>
      <c r="C2799">
        <v>6</v>
      </c>
      <c r="D2799">
        <v>38</v>
      </c>
    </row>
    <row r="2800" spans="1:4" x14ac:dyDescent="0.25">
      <c r="A2800" s="45" t="s">
        <v>2828</v>
      </c>
      <c r="B2800" s="46" t="s">
        <v>14660</v>
      </c>
      <c r="C2800">
        <v>6</v>
      </c>
      <c r="D2800">
        <v>38</v>
      </c>
    </row>
    <row r="2801" spans="1:4" x14ac:dyDescent="0.25">
      <c r="A2801" s="45" t="s">
        <v>2829</v>
      </c>
      <c r="B2801" s="46" t="s">
        <v>14661</v>
      </c>
      <c r="C2801">
        <v>6</v>
      </c>
      <c r="D2801">
        <v>38</v>
      </c>
    </row>
    <row r="2802" spans="1:4" x14ac:dyDescent="0.25">
      <c r="A2802" s="45" t="s">
        <v>2830</v>
      </c>
      <c r="B2802" s="46" t="s">
        <v>14662</v>
      </c>
      <c r="C2802">
        <v>6</v>
      </c>
      <c r="D2802">
        <v>38</v>
      </c>
    </row>
    <row r="2803" spans="1:4" x14ac:dyDescent="0.25">
      <c r="A2803" s="45" t="s">
        <v>2831</v>
      </c>
      <c r="B2803" s="46" t="s">
        <v>14663</v>
      </c>
      <c r="C2803">
        <v>6</v>
      </c>
      <c r="D2803">
        <v>38</v>
      </c>
    </row>
    <row r="2804" spans="1:4" x14ac:dyDescent="0.25">
      <c r="A2804" s="45" t="s">
        <v>2832</v>
      </c>
      <c r="B2804" s="46" t="s">
        <v>14664</v>
      </c>
      <c r="C2804">
        <v>6</v>
      </c>
      <c r="D2804">
        <v>38</v>
      </c>
    </row>
    <row r="2805" spans="1:4" x14ac:dyDescent="0.25">
      <c r="A2805" s="45" t="s">
        <v>2833</v>
      </c>
      <c r="B2805" s="46" t="s">
        <v>14665</v>
      </c>
      <c r="C2805">
        <v>6</v>
      </c>
      <c r="D2805">
        <v>38</v>
      </c>
    </row>
    <row r="2806" spans="1:4" x14ac:dyDescent="0.25">
      <c r="A2806" s="45" t="s">
        <v>2834</v>
      </c>
      <c r="B2806" s="46" t="s">
        <v>14666</v>
      </c>
      <c r="C2806">
        <v>6</v>
      </c>
      <c r="D2806">
        <v>38</v>
      </c>
    </row>
    <row r="2807" spans="1:4" x14ac:dyDescent="0.25">
      <c r="A2807" s="45" t="s">
        <v>2835</v>
      </c>
      <c r="B2807" s="46" t="s">
        <v>19920</v>
      </c>
      <c r="C2807">
        <v>6</v>
      </c>
      <c r="D2807">
        <v>38</v>
      </c>
    </row>
    <row r="2808" spans="1:4" x14ac:dyDescent="0.25">
      <c r="A2808" s="45" t="s">
        <v>2836</v>
      </c>
      <c r="B2808" s="46" t="s">
        <v>14667</v>
      </c>
      <c r="C2808">
        <v>6</v>
      </c>
      <c r="D2808">
        <v>38</v>
      </c>
    </row>
    <row r="2809" spans="1:4" x14ac:dyDescent="0.25">
      <c r="A2809" s="45" t="s">
        <v>2837</v>
      </c>
      <c r="B2809" s="46" t="s">
        <v>14668</v>
      </c>
      <c r="C2809">
        <v>6</v>
      </c>
      <c r="D2809">
        <v>38</v>
      </c>
    </row>
    <row r="2810" spans="1:4" x14ac:dyDescent="0.25">
      <c r="A2810" s="45" t="s">
        <v>2838</v>
      </c>
      <c r="B2810" s="46" t="s">
        <v>19921</v>
      </c>
      <c r="C2810">
        <v>6</v>
      </c>
      <c r="D2810">
        <v>38</v>
      </c>
    </row>
    <row r="2811" spans="1:4" x14ac:dyDescent="0.25">
      <c r="A2811" s="45" t="s">
        <v>2839</v>
      </c>
      <c r="B2811" s="46" t="s">
        <v>19922</v>
      </c>
      <c r="C2811">
        <v>6</v>
      </c>
      <c r="D2811">
        <v>38</v>
      </c>
    </row>
    <row r="2812" spans="1:4" x14ac:dyDescent="0.25">
      <c r="A2812" s="45" t="s">
        <v>2840</v>
      </c>
      <c r="B2812" s="46" t="s">
        <v>19923</v>
      </c>
      <c r="C2812">
        <v>6</v>
      </c>
      <c r="D2812">
        <v>38</v>
      </c>
    </row>
    <row r="2813" spans="1:4" x14ac:dyDescent="0.25">
      <c r="A2813" s="45" t="s">
        <v>2841</v>
      </c>
      <c r="B2813" s="46" t="s">
        <v>19924</v>
      </c>
      <c r="C2813">
        <v>6</v>
      </c>
      <c r="D2813">
        <v>38</v>
      </c>
    </row>
    <row r="2814" spans="1:4" x14ac:dyDescent="0.25">
      <c r="A2814" s="45" t="s">
        <v>2842</v>
      </c>
      <c r="B2814" s="46" t="s">
        <v>14669</v>
      </c>
      <c r="C2814">
        <v>6</v>
      </c>
      <c r="D2814">
        <v>38</v>
      </c>
    </row>
    <row r="2815" spans="1:4" x14ac:dyDescent="0.25">
      <c r="A2815" s="45" t="s">
        <v>2843</v>
      </c>
      <c r="B2815" s="46" t="s">
        <v>14670</v>
      </c>
      <c r="C2815">
        <v>6</v>
      </c>
      <c r="D2815">
        <v>38</v>
      </c>
    </row>
    <row r="2816" spans="1:4" x14ac:dyDescent="0.25">
      <c r="A2816" s="45" t="s">
        <v>2844</v>
      </c>
      <c r="B2816" s="46" t="s">
        <v>14671</v>
      </c>
      <c r="C2816">
        <v>6</v>
      </c>
      <c r="D2816">
        <v>38</v>
      </c>
    </row>
    <row r="2817" spans="1:4" x14ac:dyDescent="0.25">
      <c r="A2817" s="45" t="s">
        <v>2845</v>
      </c>
      <c r="B2817" s="46" t="s">
        <v>14672</v>
      </c>
      <c r="C2817">
        <v>6</v>
      </c>
      <c r="D2817">
        <v>38</v>
      </c>
    </row>
    <row r="2818" spans="1:4" x14ac:dyDescent="0.25">
      <c r="A2818" s="45" t="s">
        <v>2846</v>
      </c>
      <c r="B2818" s="46" t="s">
        <v>14673</v>
      </c>
      <c r="C2818">
        <v>6</v>
      </c>
      <c r="D2818">
        <v>38</v>
      </c>
    </row>
    <row r="2819" spans="1:4" x14ac:dyDescent="0.25">
      <c r="A2819" s="45" t="s">
        <v>2847</v>
      </c>
      <c r="B2819" s="46" t="s">
        <v>14674</v>
      </c>
      <c r="C2819">
        <v>6</v>
      </c>
      <c r="D2819">
        <v>38</v>
      </c>
    </row>
    <row r="2820" spans="1:4" x14ac:dyDescent="0.25">
      <c r="A2820" s="45" t="s">
        <v>2848</v>
      </c>
      <c r="B2820" s="46" t="s">
        <v>14675</v>
      </c>
      <c r="C2820">
        <v>6</v>
      </c>
      <c r="D2820">
        <v>38</v>
      </c>
    </row>
    <row r="2821" spans="1:4" x14ac:dyDescent="0.25">
      <c r="A2821" s="45" t="s">
        <v>2849</v>
      </c>
      <c r="B2821" s="46" t="s">
        <v>14676</v>
      </c>
      <c r="C2821">
        <v>6</v>
      </c>
      <c r="D2821">
        <v>38</v>
      </c>
    </row>
    <row r="2822" spans="1:4" x14ac:dyDescent="0.25">
      <c r="A2822" s="45" t="s">
        <v>2850</v>
      </c>
      <c r="B2822" s="46" t="s">
        <v>14677</v>
      </c>
      <c r="C2822">
        <v>3</v>
      </c>
      <c r="D2822">
        <v>27</v>
      </c>
    </row>
    <row r="2823" spans="1:4" x14ac:dyDescent="0.25">
      <c r="A2823" s="45" t="s">
        <v>2851</v>
      </c>
      <c r="B2823" s="46" t="s">
        <v>14678</v>
      </c>
      <c r="C2823">
        <v>6</v>
      </c>
      <c r="D2823">
        <v>38</v>
      </c>
    </row>
    <row r="2824" spans="1:4" x14ac:dyDescent="0.25">
      <c r="A2824" s="45" t="s">
        <v>2852</v>
      </c>
      <c r="B2824" s="46" t="s">
        <v>14679</v>
      </c>
      <c r="C2824">
        <v>6</v>
      </c>
      <c r="D2824">
        <v>38</v>
      </c>
    </row>
    <row r="2825" spans="1:4" x14ac:dyDescent="0.25">
      <c r="A2825" s="45" t="s">
        <v>2853</v>
      </c>
      <c r="B2825" s="46" t="s">
        <v>14680</v>
      </c>
      <c r="C2825">
        <v>6</v>
      </c>
      <c r="D2825">
        <v>38</v>
      </c>
    </row>
    <row r="2826" spans="1:4" x14ac:dyDescent="0.25">
      <c r="A2826" s="45" t="s">
        <v>2854</v>
      </c>
      <c r="B2826" s="46" t="s">
        <v>14681</v>
      </c>
      <c r="C2826">
        <v>6</v>
      </c>
      <c r="D2826">
        <v>38</v>
      </c>
    </row>
    <row r="2827" spans="1:4" x14ac:dyDescent="0.25">
      <c r="A2827" s="45" t="s">
        <v>2855</v>
      </c>
      <c r="B2827" s="46" t="s">
        <v>14682</v>
      </c>
      <c r="C2827">
        <v>6</v>
      </c>
      <c r="D2827">
        <v>38</v>
      </c>
    </row>
    <row r="2828" spans="1:4" x14ac:dyDescent="0.25">
      <c r="A2828" s="45" t="s">
        <v>2856</v>
      </c>
      <c r="B2828" s="46" t="s">
        <v>14683</v>
      </c>
      <c r="C2828">
        <v>6</v>
      </c>
      <c r="D2828">
        <v>38</v>
      </c>
    </row>
    <row r="2829" spans="1:4" x14ac:dyDescent="0.25">
      <c r="A2829" s="45" t="s">
        <v>2857</v>
      </c>
      <c r="B2829" s="46" t="s">
        <v>19925</v>
      </c>
      <c r="C2829">
        <v>6</v>
      </c>
      <c r="D2829">
        <v>38</v>
      </c>
    </row>
    <row r="2830" spans="1:4" x14ac:dyDescent="0.25">
      <c r="A2830" s="45" t="s">
        <v>2858</v>
      </c>
      <c r="B2830" s="46" t="s">
        <v>19926</v>
      </c>
      <c r="C2830">
        <v>6</v>
      </c>
      <c r="D2830">
        <v>38</v>
      </c>
    </row>
    <row r="2831" spans="1:4" x14ac:dyDescent="0.25">
      <c r="A2831" s="45" t="s">
        <v>2859</v>
      </c>
      <c r="B2831" s="46" t="s">
        <v>14684</v>
      </c>
      <c r="C2831">
        <v>6</v>
      </c>
      <c r="D2831">
        <v>38</v>
      </c>
    </row>
    <row r="2832" spans="1:4" x14ac:dyDescent="0.25">
      <c r="A2832" s="45" t="s">
        <v>2860</v>
      </c>
      <c r="B2832" s="46" t="s">
        <v>19927</v>
      </c>
      <c r="C2832">
        <v>6</v>
      </c>
      <c r="D2832">
        <v>38</v>
      </c>
    </row>
    <row r="2833" spans="1:4" x14ac:dyDescent="0.25">
      <c r="A2833" s="45" t="s">
        <v>2861</v>
      </c>
      <c r="B2833" s="46" t="s">
        <v>19928</v>
      </c>
      <c r="C2833">
        <v>6</v>
      </c>
      <c r="D2833">
        <v>38</v>
      </c>
    </row>
    <row r="2834" spans="1:4" x14ac:dyDescent="0.25">
      <c r="A2834" s="45" t="s">
        <v>2862</v>
      </c>
      <c r="B2834" s="46" t="s">
        <v>14685</v>
      </c>
      <c r="C2834">
        <v>6</v>
      </c>
      <c r="D2834">
        <v>38</v>
      </c>
    </row>
    <row r="2835" spans="1:4" x14ac:dyDescent="0.25">
      <c r="A2835" s="45" t="s">
        <v>2863</v>
      </c>
      <c r="B2835" s="46" t="s">
        <v>14686</v>
      </c>
      <c r="C2835">
        <v>6</v>
      </c>
      <c r="D2835">
        <v>38</v>
      </c>
    </row>
    <row r="2836" spans="1:4" x14ac:dyDescent="0.25">
      <c r="A2836" s="45" t="s">
        <v>2864</v>
      </c>
      <c r="B2836" s="46" t="s">
        <v>14687</v>
      </c>
      <c r="C2836">
        <v>6</v>
      </c>
      <c r="D2836">
        <v>38</v>
      </c>
    </row>
    <row r="2837" spans="1:4" x14ac:dyDescent="0.25">
      <c r="A2837" s="45" t="s">
        <v>2865</v>
      </c>
      <c r="B2837" s="46" t="s">
        <v>19929</v>
      </c>
      <c r="C2837">
        <v>6</v>
      </c>
      <c r="D2837">
        <v>38</v>
      </c>
    </row>
    <row r="2838" spans="1:4" x14ac:dyDescent="0.25">
      <c r="A2838" s="45" t="s">
        <v>2866</v>
      </c>
      <c r="B2838" s="46" t="s">
        <v>14688</v>
      </c>
      <c r="C2838">
        <v>6</v>
      </c>
      <c r="D2838">
        <v>38</v>
      </c>
    </row>
    <row r="2839" spans="1:4" x14ac:dyDescent="0.25">
      <c r="A2839" s="45" t="s">
        <v>2867</v>
      </c>
      <c r="B2839" s="46" t="s">
        <v>19930</v>
      </c>
      <c r="C2839">
        <v>6</v>
      </c>
      <c r="D2839">
        <v>38</v>
      </c>
    </row>
    <row r="2840" spans="1:4" x14ac:dyDescent="0.25">
      <c r="A2840" s="45" t="s">
        <v>2868</v>
      </c>
      <c r="B2840" s="46" t="s">
        <v>14689</v>
      </c>
      <c r="C2840">
        <v>6</v>
      </c>
      <c r="D2840">
        <v>38</v>
      </c>
    </row>
    <row r="2841" spans="1:4" x14ac:dyDescent="0.25">
      <c r="A2841" s="45" t="s">
        <v>2869</v>
      </c>
      <c r="B2841" s="46" t="s">
        <v>14690</v>
      </c>
      <c r="C2841">
        <v>6</v>
      </c>
      <c r="D2841">
        <v>38</v>
      </c>
    </row>
    <row r="2842" spans="1:4" x14ac:dyDescent="0.25">
      <c r="A2842" s="45" t="s">
        <v>2870</v>
      </c>
      <c r="B2842" s="46" t="s">
        <v>14691</v>
      </c>
      <c r="C2842">
        <v>6</v>
      </c>
      <c r="D2842">
        <v>38</v>
      </c>
    </row>
    <row r="2843" spans="1:4" x14ac:dyDescent="0.25">
      <c r="A2843" s="45" t="s">
        <v>2871</v>
      </c>
      <c r="B2843" s="46" t="s">
        <v>14692</v>
      </c>
      <c r="C2843">
        <v>6</v>
      </c>
      <c r="D2843">
        <v>38</v>
      </c>
    </row>
    <row r="2844" spans="1:4" x14ac:dyDescent="0.25">
      <c r="A2844" s="45" t="s">
        <v>2872</v>
      </c>
      <c r="B2844" s="46" t="s">
        <v>14693</v>
      </c>
      <c r="C2844">
        <v>6</v>
      </c>
      <c r="D2844">
        <v>38</v>
      </c>
    </row>
    <row r="2845" spans="1:4" x14ac:dyDescent="0.25">
      <c r="A2845" s="45" t="s">
        <v>2873</v>
      </c>
      <c r="B2845" s="46" t="s">
        <v>14694</v>
      </c>
      <c r="C2845">
        <v>6</v>
      </c>
      <c r="D2845">
        <v>38</v>
      </c>
    </row>
    <row r="2846" spans="1:4" x14ac:dyDescent="0.25">
      <c r="A2846" s="45" t="s">
        <v>2874</v>
      </c>
      <c r="B2846" s="46" t="s">
        <v>14695</v>
      </c>
      <c r="C2846">
        <v>6</v>
      </c>
      <c r="D2846">
        <v>38</v>
      </c>
    </row>
    <row r="2847" spans="1:4" x14ac:dyDescent="0.25">
      <c r="A2847" s="45" t="s">
        <v>2875</v>
      </c>
      <c r="B2847" s="46" t="s">
        <v>14696</v>
      </c>
      <c r="C2847">
        <v>6</v>
      </c>
      <c r="D2847">
        <v>38</v>
      </c>
    </row>
    <row r="2848" spans="1:4" x14ac:dyDescent="0.25">
      <c r="A2848" s="45" t="s">
        <v>2876</v>
      </c>
      <c r="B2848" s="46" t="s">
        <v>14697</v>
      </c>
      <c r="C2848">
        <v>3</v>
      </c>
      <c r="D2848">
        <v>28</v>
      </c>
    </row>
    <row r="2849" spans="1:4" x14ac:dyDescent="0.25">
      <c r="A2849" s="45" t="s">
        <v>2877</v>
      </c>
      <c r="B2849" s="46" t="s">
        <v>14698</v>
      </c>
      <c r="C2849">
        <v>6</v>
      </c>
      <c r="D2849">
        <v>38</v>
      </c>
    </row>
    <row r="2850" spans="1:4" x14ac:dyDescent="0.25">
      <c r="A2850" s="45" t="s">
        <v>2878</v>
      </c>
      <c r="B2850" s="46" t="s">
        <v>14699</v>
      </c>
      <c r="C2850">
        <v>6</v>
      </c>
      <c r="D2850">
        <v>38</v>
      </c>
    </row>
    <row r="2851" spans="1:4" x14ac:dyDescent="0.25">
      <c r="A2851" s="45" t="s">
        <v>2879</v>
      </c>
      <c r="B2851" s="46" t="s">
        <v>14700</v>
      </c>
      <c r="C2851">
        <v>6</v>
      </c>
      <c r="D2851">
        <v>38</v>
      </c>
    </row>
    <row r="2852" spans="1:4" x14ac:dyDescent="0.25">
      <c r="A2852" s="45" t="s">
        <v>2880</v>
      </c>
      <c r="B2852" s="46" t="s">
        <v>14701</v>
      </c>
      <c r="C2852">
        <v>6</v>
      </c>
      <c r="D2852">
        <v>38</v>
      </c>
    </row>
    <row r="2853" spans="1:4" x14ac:dyDescent="0.25">
      <c r="A2853" s="45" t="s">
        <v>2881</v>
      </c>
      <c r="B2853" s="46" t="s">
        <v>14702</v>
      </c>
      <c r="C2853">
        <v>6</v>
      </c>
      <c r="D2853">
        <v>38</v>
      </c>
    </row>
    <row r="2854" spans="1:4" x14ac:dyDescent="0.25">
      <c r="A2854" s="45" t="s">
        <v>2882</v>
      </c>
      <c r="B2854" s="46" t="s">
        <v>14703</v>
      </c>
      <c r="C2854">
        <v>6</v>
      </c>
      <c r="D2854">
        <v>38</v>
      </c>
    </row>
    <row r="2855" spans="1:4" x14ac:dyDescent="0.25">
      <c r="A2855" s="45" t="s">
        <v>2883</v>
      </c>
      <c r="B2855" s="46" t="s">
        <v>14704</v>
      </c>
      <c r="C2855">
        <v>6</v>
      </c>
      <c r="D2855">
        <v>38</v>
      </c>
    </row>
    <row r="2856" spans="1:4" x14ac:dyDescent="0.25">
      <c r="A2856" s="45" t="s">
        <v>2884</v>
      </c>
      <c r="B2856" s="46" t="s">
        <v>14705</v>
      </c>
      <c r="C2856">
        <v>6</v>
      </c>
      <c r="D2856">
        <v>38</v>
      </c>
    </row>
    <row r="2857" spans="1:4" x14ac:dyDescent="0.25">
      <c r="A2857" s="45" t="s">
        <v>2885</v>
      </c>
      <c r="B2857" s="46" t="s">
        <v>14706</v>
      </c>
      <c r="C2857">
        <v>6</v>
      </c>
      <c r="D2857">
        <v>38</v>
      </c>
    </row>
    <row r="2858" spans="1:4" x14ac:dyDescent="0.25">
      <c r="A2858" s="45" t="s">
        <v>2886</v>
      </c>
      <c r="B2858" s="46" t="s">
        <v>14707</v>
      </c>
      <c r="C2858">
        <v>6</v>
      </c>
      <c r="D2858">
        <v>38</v>
      </c>
    </row>
    <row r="2859" spans="1:4" x14ac:dyDescent="0.25">
      <c r="A2859" s="45" t="s">
        <v>2887</v>
      </c>
      <c r="B2859" s="46" t="s">
        <v>14708</v>
      </c>
      <c r="C2859">
        <v>6</v>
      </c>
      <c r="D2859">
        <v>38</v>
      </c>
    </row>
    <row r="2860" spans="1:4" x14ac:dyDescent="0.25">
      <c r="A2860" s="45" t="s">
        <v>2888</v>
      </c>
      <c r="B2860" s="46" t="s">
        <v>19931</v>
      </c>
      <c r="C2860">
        <v>6</v>
      </c>
      <c r="D2860">
        <v>38</v>
      </c>
    </row>
    <row r="2861" spans="1:4" x14ac:dyDescent="0.25">
      <c r="A2861" s="45" t="s">
        <v>2889</v>
      </c>
      <c r="B2861" s="46" t="s">
        <v>19932</v>
      </c>
      <c r="C2861">
        <v>6</v>
      </c>
      <c r="D2861">
        <v>38</v>
      </c>
    </row>
    <row r="2862" spans="1:4" x14ac:dyDescent="0.25">
      <c r="A2862" s="45" t="s">
        <v>2890</v>
      </c>
      <c r="B2862" s="46" t="s">
        <v>19933</v>
      </c>
      <c r="C2862">
        <v>6</v>
      </c>
      <c r="D2862">
        <v>38</v>
      </c>
    </row>
    <row r="2863" spans="1:4" x14ac:dyDescent="0.25">
      <c r="A2863" s="45" t="s">
        <v>2891</v>
      </c>
      <c r="B2863" s="46" t="s">
        <v>19934</v>
      </c>
      <c r="C2863">
        <v>6</v>
      </c>
      <c r="D2863">
        <v>38</v>
      </c>
    </row>
    <row r="2864" spans="1:4" x14ac:dyDescent="0.25">
      <c r="A2864" s="45" t="s">
        <v>2892</v>
      </c>
      <c r="B2864" s="46" t="s">
        <v>14709</v>
      </c>
      <c r="C2864">
        <v>6</v>
      </c>
      <c r="D2864">
        <v>38</v>
      </c>
    </row>
    <row r="2865" spans="1:4" x14ac:dyDescent="0.25">
      <c r="A2865" s="45" t="s">
        <v>2893</v>
      </c>
      <c r="B2865" s="46" t="s">
        <v>14710</v>
      </c>
      <c r="C2865">
        <v>6</v>
      </c>
      <c r="D2865">
        <v>38</v>
      </c>
    </row>
    <row r="2866" spans="1:4" x14ac:dyDescent="0.25">
      <c r="A2866" s="45" t="s">
        <v>2894</v>
      </c>
      <c r="B2866" s="46" t="s">
        <v>14711</v>
      </c>
      <c r="C2866">
        <v>6</v>
      </c>
      <c r="D2866">
        <v>38</v>
      </c>
    </row>
    <row r="2867" spans="1:4" x14ac:dyDescent="0.25">
      <c r="A2867" s="45" t="s">
        <v>2895</v>
      </c>
      <c r="B2867" s="46" t="s">
        <v>14712</v>
      </c>
      <c r="C2867">
        <v>6</v>
      </c>
      <c r="D2867">
        <v>38</v>
      </c>
    </row>
    <row r="2868" spans="1:4" x14ac:dyDescent="0.25">
      <c r="A2868" s="45" t="s">
        <v>2896</v>
      </c>
      <c r="B2868" s="46" t="s">
        <v>14713</v>
      </c>
      <c r="C2868">
        <v>6</v>
      </c>
      <c r="D2868">
        <v>38</v>
      </c>
    </row>
    <row r="2869" spans="1:4" x14ac:dyDescent="0.25">
      <c r="A2869" s="45" t="s">
        <v>2897</v>
      </c>
      <c r="B2869" s="46" t="s">
        <v>14714</v>
      </c>
      <c r="C2869">
        <v>6</v>
      </c>
      <c r="D2869">
        <v>38</v>
      </c>
    </row>
    <row r="2870" spans="1:4" x14ac:dyDescent="0.25">
      <c r="A2870" s="45" t="s">
        <v>2898</v>
      </c>
      <c r="B2870" s="46" t="s">
        <v>14715</v>
      </c>
      <c r="C2870">
        <v>6</v>
      </c>
      <c r="D2870">
        <v>38</v>
      </c>
    </row>
    <row r="2871" spans="1:4" x14ac:dyDescent="0.25">
      <c r="A2871" s="45" t="s">
        <v>2899</v>
      </c>
      <c r="B2871" s="46" t="s">
        <v>14716</v>
      </c>
      <c r="C2871">
        <v>6</v>
      </c>
      <c r="D2871">
        <v>38</v>
      </c>
    </row>
    <row r="2872" spans="1:4" x14ac:dyDescent="0.25">
      <c r="A2872" s="45" t="s">
        <v>2900</v>
      </c>
      <c r="B2872" s="46" t="s">
        <v>14717</v>
      </c>
      <c r="C2872">
        <v>6</v>
      </c>
      <c r="D2872">
        <v>38</v>
      </c>
    </row>
    <row r="2873" spans="1:4" x14ac:dyDescent="0.25">
      <c r="A2873" s="45" t="s">
        <v>2901</v>
      </c>
      <c r="B2873" s="46" t="s">
        <v>14718</v>
      </c>
      <c r="C2873">
        <v>6</v>
      </c>
      <c r="D2873">
        <v>38</v>
      </c>
    </row>
    <row r="2874" spans="1:4" x14ac:dyDescent="0.25">
      <c r="A2874" s="45" t="s">
        <v>2902</v>
      </c>
      <c r="B2874" s="46" t="s">
        <v>14719</v>
      </c>
      <c r="C2874">
        <v>6</v>
      </c>
      <c r="D2874">
        <v>38</v>
      </c>
    </row>
    <row r="2875" spans="1:4" x14ac:dyDescent="0.25">
      <c r="A2875" s="45" t="s">
        <v>2903</v>
      </c>
      <c r="B2875" s="46" t="s">
        <v>14720</v>
      </c>
      <c r="C2875">
        <v>6</v>
      </c>
      <c r="D2875">
        <v>38</v>
      </c>
    </row>
    <row r="2876" spans="1:4" x14ac:dyDescent="0.25">
      <c r="A2876" s="45" t="s">
        <v>2904</v>
      </c>
      <c r="B2876" s="46" t="s">
        <v>19935</v>
      </c>
      <c r="C2876">
        <v>6</v>
      </c>
      <c r="D2876">
        <v>38</v>
      </c>
    </row>
    <row r="2877" spans="1:4" x14ac:dyDescent="0.25">
      <c r="A2877" s="45" t="s">
        <v>2905</v>
      </c>
      <c r="B2877" s="46" t="s">
        <v>19936</v>
      </c>
      <c r="C2877">
        <v>6</v>
      </c>
      <c r="D2877">
        <v>38</v>
      </c>
    </row>
    <row r="2878" spans="1:4" x14ac:dyDescent="0.25">
      <c r="A2878" s="45" t="s">
        <v>2906</v>
      </c>
      <c r="B2878" s="46" t="s">
        <v>14721</v>
      </c>
      <c r="C2878">
        <v>6</v>
      </c>
      <c r="D2878">
        <v>38</v>
      </c>
    </row>
    <row r="2879" spans="1:4" x14ac:dyDescent="0.25">
      <c r="A2879" s="45" t="s">
        <v>2907</v>
      </c>
      <c r="B2879" s="46" t="s">
        <v>19937</v>
      </c>
      <c r="C2879">
        <v>6</v>
      </c>
      <c r="D2879">
        <v>38</v>
      </c>
    </row>
    <row r="2880" spans="1:4" x14ac:dyDescent="0.25">
      <c r="A2880" s="45" t="s">
        <v>2908</v>
      </c>
      <c r="B2880" s="46" t="s">
        <v>14722</v>
      </c>
      <c r="C2880">
        <v>6</v>
      </c>
      <c r="D2880">
        <v>38</v>
      </c>
    </row>
    <row r="2881" spans="1:4" x14ac:dyDescent="0.25">
      <c r="A2881" s="45" t="s">
        <v>2909</v>
      </c>
      <c r="B2881" s="46" t="s">
        <v>14723</v>
      </c>
      <c r="C2881">
        <v>6</v>
      </c>
      <c r="D2881">
        <v>38</v>
      </c>
    </row>
    <row r="2882" spans="1:4" x14ac:dyDescent="0.25">
      <c r="A2882" s="45" t="s">
        <v>2910</v>
      </c>
      <c r="B2882" s="46" t="s">
        <v>14724</v>
      </c>
      <c r="C2882">
        <v>6</v>
      </c>
      <c r="D2882">
        <v>38</v>
      </c>
    </row>
    <row r="2883" spans="1:4" x14ac:dyDescent="0.25">
      <c r="A2883" s="45" t="s">
        <v>2911</v>
      </c>
      <c r="B2883" s="46" t="s">
        <v>14725</v>
      </c>
      <c r="C2883">
        <v>6</v>
      </c>
      <c r="D2883">
        <v>38</v>
      </c>
    </row>
    <row r="2884" spans="1:4" x14ac:dyDescent="0.25">
      <c r="A2884" s="45" t="s">
        <v>2912</v>
      </c>
      <c r="B2884" s="46" t="s">
        <v>14726</v>
      </c>
      <c r="C2884">
        <v>6</v>
      </c>
      <c r="D2884">
        <v>38</v>
      </c>
    </row>
    <row r="2885" spans="1:4" x14ac:dyDescent="0.25">
      <c r="A2885" s="45" t="s">
        <v>2913</v>
      </c>
      <c r="B2885" s="46" t="s">
        <v>14727</v>
      </c>
      <c r="C2885">
        <v>6</v>
      </c>
      <c r="D2885">
        <v>38</v>
      </c>
    </row>
    <row r="2886" spans="1:4" x14ac:dyDescent="0.25">
      <c r="A2886" s="45" t="s">
        <v>2914</v>
      </c>
      <c r="B2886" s="46" t="s">
        <v>14728</v>
      </c>
      <c r="C2886">
        <v>6</v>
      </c>
      <c r="D2886">
        <v>38</v>
      </c>
    </row>
    <row r="2887" spans="1:4" x14ac:dyDescent="0.25">
      <c r="A2887" s="45" t="s">
        <v>2915</v>
      </c>
      <c r="B2887" s="46" t="s">
        <v>14729</v>
      </c>
      <c r="C2887">
        <v>6</v>
      </c>
      <c r="D2887">
        <v>38</v>
      </c>
    </row>
    <row r="2888" spans="1:4" x14ac:dyDescent="0.25">
      <c r="A2888" s="45" t="s">
        <v>2916</v>
      </c>
      <c r="B2888" s="46" t="s">
        <v>14730</v>
      </c>
      <c r="C2888">
        <v>6</v>
      </c>
      <c r="D2888">
        <v>38</v>
      </c>
    </row>
    <row r="2889" spans="1:4" x14ac:dyDescent="0.25">
      <c r="A2889" s="45" t="s">
        <v>2917</v>
      </c>
      <c r="B2889" s="46" t="s">
        <v>14731</v>
      </c>
      <c r="C2889">
        <v>6</v>
      </c>
      <c r="D2889">
        <v>38</v>
      </c>
    </row>
    <row r="2890" spans="1:4" x14ac:dyDescent="0.25">
      <c r="A2890" s="45" t="s">
        <v>2918</v>
      </c>
      <c r="B2890" s="46" t="s">
        <v>14732</v>
      </c>
      <c r="C2890">
        <v>6</v>
      </c>
      <c r="D2890">
        <v>38</v>
      </c>
    </row>
    <row r="2891" spans="1:4" x14ac:dyDescent="0.25">
      <c r="A2891" s="45" t="s">
        <v>2919</v>
      </c>
      <c r="B2891" s="46" t="s">
        <v>14733</v>
      </c>
      <c r="C2891">
        <v>6</v>
      </c>
      <c r="D2891">
        <v>38</v>
      </c>
    </row>
    <row r="2892" spans="1:4" x14ac:dyDescent="0.25">
      <c r="A2892" s="45" t="s">
        <v>2920</v>
      </c>
      <c r="B2892" s="46" t="s">
        <v>14734</v>
      </c>
      <c r="C2892">
        <v>6</v>
      </c>
      <c r="D2892">
        <v>38</v>
      </c>
    </row>
    <row r="2893" spans="1:4" x14ac:dyDescent="0.25">
      <c r="A2893" s="45" t="s">
        <v>2921</v>
      </c>
      <c r="B2893" s="46" t="s">
        <v>14735</v>
      </c>
      <c r="C2893">
        <v>6</v>
      </c>
      <c r="D2893">
        <v>38</v>
      </c>
    </row>
    <row r="2894" spans="1:4" x14ac:dyDescent="0.25">
      <c r="A2894" s="45" t="s">
        <v>2922</v>
      </c>
      <c r="B2894" s="46" t="s">
        <v>14736</v>
      </c>
      <c r="C2894">
        <v>6</v>
      </c>
      <c r="D2894">
        <v>38</v>
      </c>
    </row>
    <row r="2895" spans="1:4" x14ac:dyDescent="0.25">
      <c r="A2895" s="45" t="s">
        <v>2923</v>
      </c>
      <c r="B2895" s="46" t="s">
        <v>14737</v>
      </c>
      <c r="C2895">
        <v>6</v>
      </c>
      <c r="D2895">
        <v>38</v>
      </c>
    </row>
    <row r="2896" spans="1:4" x14ac:dyDescent="0.25">
      <c r="A2896" s="45" t="s">
        <v>2924</v>
      </c>
      <c r="B2896" s="46" t="s">
        <v>19938</v>
      </c>
      <c r="C2896">
        <v>6</v>
      </c>
      <c r="D2896">
        <v>38</v>
      </c>
    </row>
    <row r="2897" spans="1:4" x14ac:dyDescent="0.25">
      <c r="A2897" s="45" t="s">
        <v>2925</v>
      </c>
      <c r="B2897" s="46" t="s">
        <v>19939</v>
      </c>
      <c r="C2897">
        <v>6</v>
      </c>
      <c r="D2897">
        <v>38</v>
      </c>
    </row>
    <row r="2898" spans="1:4" x14ac:dyDescent="0.25">
      <c r="A2898" s="45" t="s">
        <v>2926</v>
      </c>
      <c r="B2898" s="46" t="s">
        <v>14738</v>
      </c>
      <c r="C2898">
        <v>6</v>
      </c>
      <c r="D2898">
        <v>38</v>
      </c>
    </row>
    <row r="2899" spans="1:4" x14ac:dyDescent="0.25">
      <c r="A2899" s="45" t="s">
        <v>2927</v>
      </c>
      <c r="B2899" s="46" t="s">
        <v>19940</v>
      </c>
      <c r="C2899">
        <v>6</v>
      </c>
      <c r="D2899">
        <v>38</v>
      </c>
    </row>
    <row r="2900" spans="1:4" x14ac:dyDescent="0.25">
      <c r="A2900" s="45" t="s">
        <v>2928</v>
      </c>
      <c r="B2900" s="46" t="s">
        <v>14739</v>
      </c>
      <c r="C2900">
        <v>6</v>
      </c>
      <c r="D2900">
        <v>38</v>
      </c>
    </row>
    <row r="2901" spans="1:4" x14ac:dyDescent="0.25">
      <c r="A2901" s="45" t="s">
        <v>2929</v>
      </c>
      <c r="B2901" s="46" t="s">
        <v>14740</v>
      </c>
      <c r="C2901">
        <v>6</v>
      </c>
      <c r="D2901">
        <v>38</v>
      </c>
    </row>
    <row r="2902" spans="1:4" x14ac:dyDescent="0.25">
      <c r="A2902" s="45" t="s">
        <v>2930</v>
      </c>
      <c r="B2902" s="46" t="s">
        <v>14741</v>
      </c>
      <c r="C2902">
        <v>6</v>
      </c>
      <c r="D2902">
        <v>38</v>
      </c>
    </row>
    <row r="2903" spans="1:4" x14ac:dyDescent="0.25">
      <c r="A2903" s="45" t="s">
        <v>2931</v>
      </c>
      <c r="B2903" s="46" t="s">
        <v>14742</v>
      </c>
      <c r="C2903">
        <v>6</v>
      </c>
      <c r="D2903">
        <v>38</v>
      </c>
    </row>
    <row r="2904" spans="1:4" x14ac:dyDescent="0.25">
      <c r="A2904" s="45" t="s">
        <v>2932</v>
      </c>
      <c r="B2904" s="46" t="s">
        <v>14743</v>
      </c>
      <c r="C2904">
        <v>6</v>
      </c>
      <c r="D2904">
        <v>38</v>
      </c>
    </row>
    <row r="2905" spans="1:4" x14ac:dyDescent="0.25">
      <c r="A2905" s="45" t="s">
        <v>2933</v>
      </c>
      <c r="B2905" s="46" t="s">
        <v>14744</v>
      </c>
      <c r="C2905">
        <v>6</v>
      </c>
      <c r="D2905">
        <v>38</v>
      </c>
    </row>
    <row r="2906" spans="1:4" x14ac:dyDescent="0.25">
      <c r="A2906" s="45" t="s">
        <v>2934</v>
      </c>
      <c r="B2906" s="46" t="s">
        <v>19941</v>
      </c>
      <c r="C2906">
        <v>6</v>
      </c>
      <c r="D2906">
        <v>38</v>
      </c>
    </row>
    <row r="2907" spans="1:4" x14ac:dyDescent="0.25">
      <c r="A2907" s="45" t="s">
        <v>2935</v>
      </c>
      <c r="B2907" s="46" t="s">
        <v>14745</v>
      </c>
      <c r="C2907">
        <v>6</v>
      </c>
      <c r="D2907">
        <v>38</v>
      </c>
    </row>
    <row r="2908" spans="1:4" x14ac:dyDescent="0.25">
      <c r="A2908" s="45" t="s">
        <v>2936</v>
      </c>
      <c r="B2908" s="46" t="s">
        <v>14746</v>
      </c>
      <c r="C2908">
        <v>6</v>
      </c>
      <c r="D2908">
        <v>38</v>
      </c>
    </row>
    <row r="2909" spans="1:4" x14ac:dyDescent="0.25">
      <c r="A2909" s="45" t="s">
        <v>2937</v>
      </c>
      <c r="B2909" s="46" t="s">
        <v>14747</v>
      </c>
      <c r="C2909">
        <v>6</v>
      </c>
      <c r="D2909">
        <v>38</v>
      </c>
    </row>
    <row r="2910" spans="1:4" x14ac:dyDescent="0.25">
      <c r="A2910" s="45" t="s">
        <v>2938</v>
      </c>
      <c r="B2910" s="46" t="s">
        <v>14748</v>
      </c>
      <c r="C2910">
        <v>6</v>
      </c>
      <c r="D2910">
        <v>38</v>
      </c>
    </row>
    <row r="2911" spans="1:4" x14ac:dyDescent="0.25">
      <c r="A2911" s="45" t="s">
        <v>2939</v>
      </c>
      <c r="B2911" s="46" t="s">
        <v>14749</v>
      </c>
      <c r="C2911">
        <v>6</v>
      </c>
      <c r="D2911">
        <v>38</v>
      </c>
    </row>
    <row r="2912" spans="1:4" x14ac:dyDescent="0.25">
      <c r="A2912" s="45" t="s">
        <v>2940</v>
      </c>
      <c r="B2912" s="46" t="s">
        <v>19942</v>
      </c>
      <c r="C2912">
        <v>6</v>
      </c>
      <c r="D2912">
        <v>38</v>
      </c>
    </row>
    <row r="2913" spans="1:4" x14ac:dyDescent="0.25">
      <c r="A2913" s="45" t="s">
        <v>2941</v>
      </c>
      <c r="B2913" s="46" t="s">
        <v>19943</v>
      </c>
      <c r="C2913">
        <v>6</v>
      </c>
      <c r="D2913">
        <v>38</v>
      </c>
    </row>
    <row r="2914" spans="1:4" x14ac:dyDescent="0.25">
      <c r="A2914" s="45" t="s">
        <v>2942</v>
      </c>
      <c r="B2914" s="46" t="s">
        <v>14750</v>
      </c>
      <c r="C2914">
        <v>6</v>
      </c>
      <c r="D2914">
        <v>38</v>
      </c>
    </row>
    <row r="2915" spans="1:4" x14ac:dyDescent="0.25">
      <c r="A2915" s="45" t="s">
        <v>2943</v>
      </c>
      <c r="B2915" s="46" t="s">
        <v>14751</v>
      </c>
      <c r="C2915">
        <v>6</v>
      </c>
      <c r="D2915">
        <v>38</v>
      </c>
    </row>
    <row r="2916" spans="1:4" x14ac:dyDescent="0.25">
      <c r="A2916" s="45" t="s">
        <v>2944</v>
      </c>
      <c r="B2916" s="46" t="s">
        <v>14752</v>
      </c>
      <c r="C2916">
        <v>6</v>
      </c>
      <c r="D2916">
        <v>38</v>
      </c>
    </row>
    <row r="2917" spans="1:4" x14ac:dyDescent="0.25">
      <c r="A2917" s="45" t="s">
        <v>2945</v>
      </c>
      <c r="B2917" s="46" t="s">
        <v>14753</v>
      </c>
      <c r="C2917">
        <v>6</v>
      </c>
      <c r="D2917">
        <v>38</v>
      </c>
    </row>
    <row r="2918" spans="1:4" x14ac:dyDescent="0.25">
      <c r="A2918" s="45" t="s">
        <v>2946</v>
      </c>
      <c r="B2918" s="46" t="s">
        <v>14754</v>
      </c>
      <c r="C2918">
        <v>6</v>
      </c>
      <c r="D2918">
        <v>38</v>
      </c>
    </row>
    <row r="2919" spans="1:4" x14ac:dyDescent="0.25">
      <c r="A2919" s="45" t="s">
        <v>2947</v>
      </c>
      <c r="B2919" s="46" t="s">
        <v>19944</v>
      </c>
      <c r="C2919">
        <v>6</v>
      </c>
      <c r="D2919">
        <v>38</v>
      </c>
    </row>
    <row r="2920" spans="1:4" x14ac:dyDescent="0.25">
      <c r="A2920" s="45" t="s">
        <v>2948</v>
      </c>
      <c r="B2920" s="46" t="s">
        <v>14755</v>
      </c>
      <c r="C2920">
        <v>6</v>
      </c>
      <c r="D2920">
        <v>38</v>
      </c>
    </row>
    <row r="2921" spans="1:4" x14ac:dyDescent="0.25">
      <c r="A2921" s="45" t="s">
        <v>2949</v>
      </c>
      <c r="B2921" s="46" t="s">
        <v>14756</v>
      </c>
      <c r="C2921">
        <v>6</v>
      </c>
      <c r="D2921">
        <v>38</v>
      </c>
    </row>
    <row r="2922" spans="1:4" x14ac:dyDescent="0.25">
      <c r="A2922" s="45" t="s">
        <v>2950</v>
      </c>
      <c r="B2922" s="46" t="s">
        <v>14757</v>
      </c>
      <c r="C2922">
        <v>6</v>
      </c>
      <c r="D2922">
        <v>38</v>
      </c>
    </row>
    <row r="2923" spans="1:4" x14ac:dyDescent="0.25">
      <c r="A2923" s="45" t="s">
        <v>2951</v>
      </c>
      <c r="B2923" s="46" t="s">
        <v>14758</v>
      </c>
      <c r="C2923">
        <v>6</v>
      </c>
      <c r="D2923">
        <v>38</v>
      </c>
    </row>
    <row r="2924" spans="1:4" x14ac:dyDescent="0.25">
      <c r="A2924" s="45" t="s">
        <v>2952</v>
      </c>
      <c r="B2924" s="46" t="s">
        <v>14759</v>
      </c>
      <c r="C2924">
        <v>6</v>
      </c>
      <c r="D2924">
        <v>38</v>
      </c>
    </row>
    <row r="2925" spans="1:4" x14ac:dyDescent="0.25">
      <c r="A2925" s="45" t="s">
        <v>2953</v>
      </c>
      <c r="B2925" s="46" t="s">
        <v>14760</v>
      </c>
      <c r="C2925">
        <v>6</v>
      </c>
      <c r="D2925">
        <v>38</v>
      </c>
    </row>
    <row r="2926" spans="1:4" x14ac:dyDescent="0.25">
      <c r="A2926" s="45" t="s">
        <v>2954</v>
      </c>
      <c r="B2926" s="46" t="s">
        <v>14761</v>
      </c>
      <c r="C2926">
        <v>6</v>
      </c>
      <c r="D2926">
        <v>38</v>
      </c>
    </row>
    <row r="2927" spans="1:4" x14ac:dyDescent="0.25">
      <c r="A2927" s="45" t="s">
        <v>2955</v>
      </c>
      <c r="B2927" s="46" t="s">
        <v>14762</v>
      </c>
      <c r="C2927">
        <v>6</v>
      </c>
      <c r="D2927">
        <v>38</v>
      </c>
    </row>
    <row r="2928" spans="1:4" x14ac:dyDescent="0.25">
      <c r="A2928" s="45" t="s">
        <v>2956</v>
      </c>
      <c r="B2928" s="46" t="s">
        <v>14763</v>
      </c>
      <c r="C2928">
        <v>6</v>
      </c>
      <c r="D2928">
        <v>38</v>
      </c>
    </row>
    <row r="2929" spans="1:4" x14ac:dyDescent="0.25">
      <c r="A2929" s="45" t="s">
        <v>2957</v>
      </c>
      <c r="B2929" s="46" t="s">
        <v>14764</v>
      </c>
      <c r="C2929">
        <v>6</v>
      </c>
      <c r="D2929">
        <v>38</v>
      </c>
    </row>
    <row r="2930" spans="1:4" x14ac:dyDescent="0.25">
      <c r="A2930" s="45" t="s">
        <v>2958</v>
      </c>
      <c r="B2930" s="46" t="s">
        <v>14765</v>
      </c>
      <c r="C2930">
        <v>6</v>
      </c>
      <c r="D2930">
        <v>38</v>
      </c>
    </row>
    <row r="2931" spans="1:4" x14ac:dyDescent="0.25">
      <c r="A2931" s="45" t="s">
        <v>2959</v>
      </c>
      <c r="B2931" s="46" t="s">
        <v>14766</v>
      </c>
      <c r="C2931">
        <v>6</v>
      </c>
      <c r="D2931">
        <v>38</v>
      </c>
    </row>
    <row r="2932" spans="1:4" x14ac:dyDescent="0.25">
      <c r="A2932" s="45" t="s">
        <v>2960</v>
      </c>
      <c r="B2932" s="46" t="s">
        <v>19945</v>
      </c>
      <c r="C2932">
        <v>6</v>
      </c>
      <c r="D2932">
        <v>38</v>
      </c>
    </row>
    <row r="2933" spans="1:4" x14ac:dyDescent="0.25">
      <c r="A2933" s="45" t="s">
        <v>2961</v>
      </c>
      <c r="B2933" s="46" t="s">
        <v>14767</v>
      </c>
      <c r="C2933">
        <v>6</v>
      </c>
      <c r="D2933">
        <v>38</v>
      </c>
    </row>
    <row r="2934" spans="1:4" x14ac:dyDescent="0.25">
      <c r="A2934" s="45" t="s">
        <v>2962</v>
      </c>
      <c r="B2934" s="46" t="s">
        <v>14768</v>
      </c>
      <c r="C2934">
        <v>6</v>
      </c>
      <c r="D2934">
        <v>38</v>
      </c>
    </row>
    <row r="2935" spans="1:4" x14ac:dyDescent="0.25">
      <c r="A2935" s="45" t="s">
        <v>2963</v>
      </c>
      <c r="B2935" s="46" t="s">
        <v>19946</v>
      </c>
      <c r="C2935">
        <v>6</v>
      </c>
      <c r="D2935">
        <v>38</v>
      </c>
    </row>
    <row r="2936" spans="1:4" x14ac:dyDescent="0.25">
      <c r="A2936" s="45" t="s">
        <v>2964</v>
      </c>
      <c r="B2936" s="46" t="s">
        <v>19947</v>
      </c>
      <c r="C2936">
        <v>6</v>
      </c>
      <c r="D2936">
        <v>38</v>
      </c>
    </row>
    <row r="2937" spans="1:4" x14ac:dyDescent="0.25">
      <c r="A2937" s="45" t="s">
        <v>2965</v>
      </c>
      <c r="B2937" s="46" t="s">
        <v>14769</v>
      </c>
      <c r="C2937">
        <v>6</v>
      </c>
      <c r="D2937">
        <v>38</v>
      </c>
    </row>
    <row r="2938" spans="1:4" x14ac:dyDescent="0.25">
      <c r="A2938" s="45" t="s">
        <v>2966</v>
      </c>
      <c r="B2938" s="46" t="s">
        <v>14770</v>
      </c>
      <c r="C2938">
        <v>6</v>
      </c>
      <c r="D2938">
        <v>38</v>
      </c>
    </row>
    <row r="2939" spans="1:4" x14ac:dyDescent="0.25">
      <c r="A2939" s="45" t="s">
        <v>2967</v>
      </c>
      <c r="B2939" s="46" t="s">
        <v>14771</v>
      </c>
      <c r="C2939">
        <v>6</v>
      </c>
      <c r="D2939">
        <v>38</v>
      </c>
    </row>
    <row r="2940" spans="1:4" x14ac:dyDescent="0.25">
      <c r="A2940" s="45" t="s">
        <v>2968</v>
      </c>
      <c r="B2940" s="46" t="s">
        <v>14772</v>
      </c>
      <c r="C2940">
        <v>6</v>
      </c>
      <c r="D2940">
        <v>38</v>
      </c>
    </row>
    <row r="2941" spans="1:4" x14ac:dyDescent="0.25">
      <c r="A2941" s="45" t="s">
        <v>2969</v>
      </c>
      <c r="B2941" s="46" t="s">
        <v>14773</v>
      </c>
      <c r="C2941">
        <v>6</v>
      </c>
      <c r="D2941">
        <v>38</v>
      </c>
    </row>
    <row r="2942" spans="1:4" x14ac:dyDescent="0.25">
      <c r="A2942" s="45" t="s">
        <v>2970</v>
      </c>
      <c r="B2942" s="46" t="s">
        <v>14774</v>
      </c>
      <c r="C2942">
        <v>6</v>
      </c>
      <c r="D2942">
        <v>38</v>
      </c>
    </row>
    <row r="2943" spans="1:4" x14ac:dyDescent="0.25">
      <c r="A2943" s="45" t="s">
        <v>2971</v>
      </c>
      <c r="B2943" s="46" t="s">
        <v>14775</v>
      </c>
      <c r="C2943">
        <v>6</v>
      </c>
      <c r="D2943">
        <v>38</v>
      </c>
    </row>
    <row r="2944" spans="1:4" x14ac:dyDescent="0.25">
      <c r="A2944" s="45" t="s">
        <v>2972</v>
      </c>
      <c r="B2944" s="46" t="s">
        <v>14776</v>
      </c>
      <c r="C2944">
        <v>6</v>
      </c>
      <c r="D2944">
        <v>38</v>
      </c>
    </row>
    <row r="2945" spans="1:4" x14ac:dyDescent="0.25">
      <c r="A2945" s="45" t="s">
        <v>2973</v>
      </c>
      <c r="B2945" s="46" t="s">
        <v>14777</v>
      </c>
      <c r="C2945">
        <v>6</v>
      </c>
      <c r="D2945">
        <v>38</v>
      </c>
    </row>
    <row r="2946" spans="1:4" x14ac:dyDescent="0.25">
      <c r="A2946" s="45" t="s">
        <v>2974</v>
      </c>
      <c r="B2946" s="46" t="s">
        <v>19948</v>
      </c>
      <c r="C2946">
        <v>6</v>
      </c>
      <c r="D2946">
        <v>38</v>
      </c>
    </row>
    <row r="2947" spans="1:4" x14ac:dyDescent="0.25">
      <c r="A2947" s="45" t="s">
        <v>2975</v>
      </c>
      <c r="B2947" s="46" t="s">
        <v>14778</v>
      </c>
      <c r="C2947">
        <v>6</v>
      </c>
      <c r="D2947">
        <v>38</v>
      </c>
    </row>
    <row r="2948" spans="1:4" x14ac:dyDescent="0.25">
      <c r="A2948" s="45" t="s">
        <v>2976</v>
      </c>
      <c r="B2948" s="46" t="s">
        <v>14779</v>
      </c>
      <c r="C2948">
        <v>6</v>
      </c>
      <c r="D2948">
        <v>38</v>
      </c>
    </row>
    <row r="2949" spans="1:4" x14ac:dyDescent="0.25">
      <c r="A2949" s="45" t="s">
        <v>2977</v>
      </c>
      <c r="B2949" s="46" t="s">
        <v>14780</v>
      </c>
      <c r="C2949">
        <v>6</v>
      </c>
      <c r="D2949">
        <v>38</v>
      </c>
    </row>
    <row r="2950" spans="1:4" x14ac:dyDescent="0.25">
      <c r="A2950" s="45" t="s">
        <v>2978</v>
      </c>
      <c r="B2950" s="46" t="s">
        <v>14781</v>
      </c>
      <c r="C2950">
        <v>6</v>
      </c>
      <c r="D2950">
        <v>38</v>
      </c>
    </row>
    <row r="2951" spans="1:4" x14ac:dyDescent="0.25">
      <c r="A2951" s="45" t="s">
        <v>2979</v>
      </c>
      <c r="B2951" s="46" t="s">
        <v>14782</v>
      </c>
      <c r="C2951">
        <v>6</v>
      </c>
      <c r="D2951">
        <v>38</v>
      </c>
    </row>
    <row r="2952" spans="1:4" x14ac:dyDescent="0.25">
      <c r="A2952" s="45" t="s">
        <v>2980</v>
      </c>
      <c r="B2952" s="46" t="s">
        <v>14783</v>
      </c>
      <c r="C2952">
        <v>6</v>
      </c>
      <c r="D2952">
        <v>38</v>
      </c>
    </row>
    <row r="2953" spans="1:4" x14ac:dyDescent="0.25">
      <c r="A2953" s="45" t="s">
        <v>2981</v>
      </c>
      <c r="B2953" s="46" t="s">
        <v>19949</v>
      </c>
      <c r="C2953">
        <v>6</v>
      </c>
      <c r="D2953">
        <v>38</v>
      </c>
    </row>
    <row r="2954" spans="1:4" x14ac:dyDescent="0.25">
      <c r="A2954" s="45" t="s">
        <v>2982</v>
      </c>
      <c r="B2954" s="46" t="s">
        <v>14784</v>
      </c>
      <c r="C2954">
        <v>6</v>
      </c>
      <c r="D2954">
        <v>38</v>
      </c>
    </row>
    <row r="2955" spans="1:4" x14ac:dyDescent="0.25">
      <c r="A2955" s="45" t="s">
        <v>2983</v>
      </c>
      <c r="B2955" s="46" t="s">
        <v>14785</v>
      </c>
      <c r="C2955">
        <v>6</v>
      </c>
      <c r="D2955">
        <v>38</v>
      </c>
    </row>
    <row r="2956" spans="1:4" x14ac:dyDescent="0.25">
      <c r="A2956" s="45" t="s">
        <v>2984</v>
      </c>
      <c r="B2956" s="46" t="s">
        <v>14786</v>
      </c>
      <c r="C2956">
        <v>6</v>
      </c>
      <c r="D2956">
        <v>38</v>
      </c>
    </row>
    <row r="2957" spans="1:4" x14ac:dyDescent="0.25">
      <c r="A2957" s="45" t="s">
        <v>2985</v>
      </c>
      <c r="B2957" s="46" t="s">
        <v>14787</v>
      </c>
      <c r="C2957">
        <v>6</v>
      </c>
      <c r="D2957">
        <v>38</v>
      </c>
    </row>
    <row r="2958" spans="1:4" x14ac:dyDescent="0.25">
      <c r="A2958" s="45" t="s">
        <v>2986</v>
      </c>
      <c r="B2958" s="46" t="s">
        <v>14788</v>
      </c>
      <c r="C2958">
        <v>6</v>
      </c>
      <c r="D2958">
        <v>38</v>
      </c>
    </row>
    <row r="2959" spans="1:4" x14ac:dyDescent="0.25">
      <c r="A2959" s="45" t="s">
        <v>2987</v>
      </c>
      <c r="B2959" s="46" t="s">
        <v>14789</v>
      </c>
      <c r="C2959">
        <v>6</v>
      </c>
      <c r="D2959">
        <v>38</v>
      </c>
    </row>
    <row r="2960" spans="1:4" x14ac:dyDescent="0.25">
      <c r="A2960" s="45" t="s">
        <v>2988</v>
      </c>
      <c r="B2960" s="46" t="s">
        <v>14790</v>
      </c>
      <c r="C2960">
        <v>6</v>
      </c>
      <c r="D2960">
        <v>38</v>
      </c>
    </row>
    <row r="2961" spans="1:4" x14ac:dyDescent="0.25">
      <c r="A2961" s="45" t="s">
        <v>2989</v>
      </c>
      <c r="B2961" s="46" t="s">
        <v>14791</v>
      </c>
      <c r="C2961">
        <v>6</v>
      </c>
      <c r="D2961">
        <v>38</v>
      </c>
    </row>
    <row r="2962" spans="1:4" x14ac:dyDescent="0.25">
      <c r="A2962" s="45" t="s">
        <v>2990</v>
      </c>
      <c r="B2962" s="46" t="s">
        <v>14792</v>
      </c>
      <c r="C2962">
        <v>6</v>
      </c>
      <c r="D2962">
        <v>38</v>
      </c>
    </row>
    <row r="2963" spans="1:4" x14ac:dyDescent="0.25">
      <c r="A2963" s="45" t="s">
        <v>2991</v>
      </c>
      <c r="B2963" s="46" t="s">
        <v>14793</v>
      </c>
      <c r="C2963">
        <v>6</v>
      </c>
      <c r="D2963">
        <v>38</v>
      </c>
    </row>
    <row r="2964" spans="1:4" x14ac:dyDescent="0.25">
      <c r="A2964" s="45" t="s">
        <v>2992</v>
      </c>
      <c r="B2964" s="46" t="s">
        <v>14794</v>
      </c>
      <c r="C2964">
        <v>6</v>
      </c>
      <c r="D2964">
        <v>38</v>
      </c>
    </row>
    <row r="2965" spans="1:4" x14ac:dyDescent="0.25">
      <c r="A2965" s="45" t="s">
        <v>2993</v>
      </c>
      <c r="B2965" s="46" t="s">
        <v>19950</v>
      </c>
      <c r="C2965">
        <v>6</v>
      </c>
      <c r="D2965">
        <v>38</v>
      </c>
    </row>
    <row r="2966" spans="1:4" x14ac:dyDescent="0.25">
      <c r="A2966" s="45" t="s">
        <v>2994</v>
      </c>
      <c r="B2966" s="46" t="s">
        <v>19951</v>
      </c>
      <c r="C2966">
        <v>6</v>
      </c>
      <c r="D2966">
        <v>38</v>
      </c>
    </row>
    <row r="2967" spans="1:4" x14ac:dyDescent="0.25">
      <c r="A2967" s="45" t="s">
        <v>2995</v>
      </c>
      <c r="B2967" s="46" t="s">
        <v>14795</v>
      </c>
      <c r="C2967">
        <v>6</v>
      </c>
      <c r="D2967">
        <v>38</v>
      </c>
    </row>
    <row r="2968" spans="1:4" x14ac:dyDescent="0.25">
      <c r="A2968" s="45" t="s">
        <v>2996</v>
      </c>
      <c r="B2968" s="46" t="s">
        <v>14796</v>
      </c>
      <c r="C2968">
        <v>6</v>
      </c>
      <c r="D2968">
        <v>38</v>
      </c>
    </row>
    <row r="2969" spans="1:4" x14ac:dyDescent="0.25">
      <c r="A2969" s="45" t="s">
        <v>2997</v>
      </c>
      <c r="B2969" s="46" t="s">
        <v>14797</v>
      </c>
      <c r="C2969">
        <v>6</v>
      </c>
      <c r="D2969">
        <v>38</v>
      </c>
    </row>
    <row r="2970" spans="1:4" x14ac:dyDescent="0.25">
      <c r="A2970" s="45" t="s">
        <v>2998</v>
      </c>
      <c r="B2970" s="46" t="s">
        <v>14798</v>
      </c>
      <c r="C2970">
        <v>6</v>
      </c>
      <c r="D2970">
        <v>38</v>
      </c>
    </row>
    <row r="2971" spans="1:4" x14ac:dyDescent="0.25">
      <c r="A2971" s="45" t="s">
        <v>2999</v>
      </c>
      <c r="B2971" s="46" t="s">
        <v>14799</v>
      </c>
      <c r="C2971">
        <v>6</v>
      </c>
      <c r="D2971">
        <v>38</v>
      </c>
    </row>
    <row r="2972" spans="1:4" x14ac:dyDescent="0.25">
      <c r="A2972" s="45" t="s">
        <v>3000</v>
      </c>
      <c r="B2972" s="46" t="s">
        <v>14800</v>
      </c>
      <c r="C2972">
        <v>6</v>
      </c>
      <c r="D2972">
        <v>38</v>
      </c>
    </row>
    <row r="2973" spans="1:4" x14ac:dyDescent="0.25">
      <c r="A2973" s="45" t="s">
        <v>3001</v>
      </c>
      <c r="B2973" s="46" t="s">
        <v>14801</v>
      </c>
      <c r="C2973">
        <v>6</v>
      </c>
      <c r="D2973">
        <v>38</v>
      </c>
    </row>
    <row r="2974" spans="1:4" x14ac:dyDescent="0.25">
      <c r="A2974" s="45" t="s">
        <v>3002</v>
      </c>
      <c r="B2974" s="46" t="s">
        <v>14802</v>
      </c>
      <c r="C2974">
        <v>6</v>
      </c>
      <c r="D2974">
        <v>38</v>
      </c>
    </row>
    <row r="2975" spans="1:4" x14ac:dyDescent="0.25">
      <c r="A2975" s="45" t="s">
        <v>3003</v>
      </c>
      <c r="B2975" s="46" t="s">
        <v>19952</v>
      </c>
      <c r="C2975">
        <v>6</v>
      </c>
      <c r="D2975">
        <v>38</v>
      </c>
    </row>
    <row r="2976" spans="1:4" x14ac:dyDescent="0.25">
      <c r="A2976" s="45" t="s">
        <v>3004</v>
      </c>
      <c r="B2976" s="46" t="s">
        <v>14803</v>
      </c>
      <c r="C2976">
        <v>6</v>
      </c>
      <c r="D2976">
        <v>38</v>
      </c>
    </row>
    <row r="2977" spans="1:4" x14ac:dyDescent="0.25">
      <c r="A2977" s="45" t="s">
        <v>3005</v>
      </c>
      <c r="B2977" s="46" t="s">
        <v>14804</v>
      </c>
      <c r="C2977">
        <v>6</v>
      </c>
      <c r="D2977">
        <v>38</v>
      </c>
    </row>
    <row r="2978" spans="1:4" x14ac:dyDescent="0.25">
      <c r="A2978" s="45" t="s">
        <v>3006</v>
      </c>
      <c r="B2978" s="46" t="s">
        <v>19953</v>
      </c>
      <c r="C2978">
        <v>6</v>
      </c>
      <c r="D2978">
        <v>38</v>
      </c>
    </row>
    <row r="2979" spans="1:4" x14ac:dyDescent="0.25">
      <c r="A2979" s="45" t="s">
        <v>3007</v>
      </c>
      <c r="B2979" s="46" t="s">
        <v>19954</v>
      </c>
      <c r="C2979">
        <v>6</v>
      </c>
      <c r="D2979">
        <v>38</v>
      </c>
    </row>
    <row r="2980" spans="1:4" x14ac:dyDescent="0.25">
      <c r="A2980" s="45" t="s">
        <v>3008</v>
      </c>
      <c r="B2980" s="46" t="s">
        <v>19955</v>
      </c>
      <c r="C2980">
        <v>6</v>
      </c>
      <c r="D2980">
        <v>38</v>
      </c>
    </row>
    <row r="2981" spans="1:4" x14ac:dyDescent="0.25">
      <c r="A2981" s="45" t="s">
        <v>3009</v>
      </c>
      <c r="B2981" s="46" t="s">
        <v>19956</v>
      </c>
      <c r="C2981">
        <v>6</v>
      </c>
      <c r="D2981">
        <v>38</v>
      </c>
    </row>
    <row r="2982" spans="1:4" x14ac:dyDescent="0.25">
      <c r="A2982" s="45" t="s">
        <v>3010</v>
      </c>
      <c r="B2982" s="46" t="s">
        <v>14805</v>
      </c>
      <c r="C2982">
        <v>6</v>
      </c>
      <c r="D2982">
        <v>38</v>
      </c>
    </row>
    <row r="2983" spans="1:4" x14ac:dyDescent="0.25">
      <c r="A2983" s="45" t="s">
        <v>3011</v>
      </c>
      <c r="B2983" s="46" t="s">
        <v>14806</v>
      </c>
      <c r="C2983">
        <v>6</v>
      </c>
      <c r="D2983">
        <v>38</v>
      </c>
    </row>
    <row r="2984" spans="1:4" x14ac:dyDescent="0.25">
      <c r="A2984" s="45" t="s">
        <v>3012</v>
      </c>
      <c r="B2984" s="46" t="s">
        <v>14807</v>
      </c>
      <c r="C2984">
        <v>6</v>
      </c>
      <c r="D2984">
        <v>38</v>
      </c>
    </row>
    <row r="2985" spans="1:4" x14ac:dyDescent="0.25">
      <c r="A2985" s="45" t="s">
        <v>3013</v>
      </c>
      <c r="B2985" s="46" t="s">
        <v>14808</v>
      </c>
      <c r="C2985">
        <v>6</v>
      </c>
      <c r="D2985">
        <v>38</v>
      </c>
    </row>
    <row r="2986" spans="1:4" x14ac:dyDescent="0.25">
      <c r="A2986" s="45" t="s">
        <v>3014</v>
      </c>
      <c r="B2986" s="46" t="s">
        <v>14809</v>
      </c>
      <c r="C2986">
        <v>6</v>
      </c>
      <c r="D2986">
        <v>38</v>
      </c>
    </row>
    <row r="2987" spans="1:4" x14ac:dyDescent="0.25">
      <c r="A2987" s="45" t="s">
        <v>3015</v>
      </c>
      <c r="B2987" s="46" t="s">
        <v>14810</v>
      </c>
      <c r="C2987">
        <v>6</v>
      </c>
      <c r="D2987">
        <v>38</v>
      </c>
    </row>
    <row r="2988" spans="1:4" x14ac:dyDescent="0.25">
      <c r="A2988" s="45" t="s">
        <v>3016</v>
      </c>
      <c r="B2988" s="46" t="s">
        <v>14811</v>
      </c>
      <c r="C2988">
        <v>6</v>
      </c>
      <c r="D2988">
        <v>38</v>
      </c>
    </row>
    <row r="2989" spans="1:4" x14ac:dyDescent="0.25">
      <c r="A2989" s="45" t="s">
        <v>3017</v>
      </c>
      <c r="B2989" s="46" t="s">
        <v>14812</v>
      </c>
      <c r="C2989">
        <v>6</v>
      </c>
      <c r="D2989">
        <v>38</v>
      </c>
    </row>
    <row r="2990" spans="1:4" x14ac:dyDescent="0.25">
      <c r="A2990" s="45" t="s">
        <v>3018</v>
      </c>
      <c r="B2990" s="46" t="s">
        <v>14813</v>
      </c>
      <c r="C2990">
        <v>6</v>
      </c>
      <c r="D2990">
        <v>38</v>
      </c>
    </row>
    <row r="2991" spans="1:4" x14ac:dyDescent="0.25">
      <c r="A2991" s="45" t="s">
        <v>3019</v>
      </c>
      <c r="B2991" s="46" t="s">
        <v>14814</v>
      </c>
      <c r="C2991">
        <v>6</v>
      </c>
      <c r="D2991">
        <v>38</v>
      </c>
    </row>
    <row r="2992" spans="1:4" x14ac:dyDescent="0.25">
      <c r="A2992" s="45" t="s">
        <v>3020</v>
      </c>
      <c r="B2992" s="46" t="s">
        <v>14815</v>
      </c>
      <c r="C2992">
        <v>6</v>
      </c>
      <c r="D2992">
        <v>38</v>
      </c>
    </row>
    <row r="2993" spans="1:4" x14ac:dyDescent="0.25">
      <c r="A2993" s="45" t="s">
        <v>3021</v>
      </c>
      <c r="B2993" s="46" t="s">
        <v>14816</v>
      </c>
      <c r="C2993">
        <v>6</v>
      </c>
      <c r="D2993">
        <v>38</v>
      </c>
    </row>
    <row r="2994" spans="1:4" x14ac:dyDescent="0.25">
      <c r="A2994" s="45" t="s">
        <v>3022</v>
      </c>
      <c r="B2994" s="46" t="s">
        <v>14817</v>
      </c>
      <c r="C2994">
        <v>6</v>
      </c>
      <c r="D2994">
        <v>38</v>
      </c>
    </row>
    <row r="2995" spans="1:4" x14ac:dyDescent="0.25">
      <c r="A2995" s="45" t="s">
        <v>3023</v>
      </c>
      <c r="B2995" s="46" t="s">
        <v>14818</v>
      </c>
      <c r="C2995">
        <v>6</v>
      </c>
      <c r="D2995">
        <v>38</v>
      </c>
    </row>
    <row r="2996" spans="1:4" x14ac:dyDescent="0.25">
      <c r="A2996" s="45" t="s">
        <v>3024</v>
      </c>
      <c r="B2996" s="46" t="s">
        <v>14819</v>
      </c>
      <c r="C2996">
        <v>6</v>
      </c>
      <c r="D2996">
        <v>38</v>
      </c>
    </row>
    <row r="2997" spans="1:4" x14ac:dyDescent="0.25">
      <c r="A2997" s="45" t="s">
        <v>3025</v>
      </c>
      <c r="B2997" s="46" t="s">
        <v>14820</v>
      </c>
      <c r="C2997">
        <v>6</v>
      </c>
      <c r="D2997">
        <v>38</v>
      </c>
    </row>
    <row r="2998" spans="1:4" x14ac:dyDescent="0.25">
      <c r="A2998" s="45" t="s">
        <v>3026</v>
      </c>
      <c r="B2998" s="46" t="s">
        <v>14821</v>
      </c>
      <c r="C2998">
        <v>6</v>
      </c>
      <c r="D2998">
        <v>38</v>
      </c>
    </row>
    <row r="2999" spans="1:4" x14ac:dyDescent="0.25">
      <c r="A2999" s="45" t="s">
        <v>3027</v>
      </c>
      <c r="B2999" s="46" t="s">
        <v>19957</v>
      </c>
      <c r="C2999">
        <v>6</v>
      </c>
      <c r="D2999">
        <v>38</v>
      </c>
    </row>
    <row r="3000" spans="1:4" x14ac:dyDescent="0.25">
      <c r="A3000" s="45" t="s">
        <v>3028</v>
      </c>
      <c r="B3000" s="46" t="s">
        <v>14822</v>
      </c>
      <c r="C3000">
        <v>6</v>
      </c>
      <c r="D3000">
        <v>38</v>
      </c>
    </row>
    <row r="3001" spans="1:4" x14ac:dyDescent="0.25">
      <c r="A3001" s="45" t="s">
        <v>3029</v>
      </c>
      <c r="B3001" s="46" t="s">
        <v>14823</v>
      </c>
      <c r="C3001">
        <v>6</v>
      </c>
      <c r="D3001">
        <v>38</v>
      </c>
    </row>
    <row r="3002" spans="1:4" x14ac:dyDescent="0.25">
      <c r="A3002" s="45" t="s">
        <v>3030</v>
      </c>
      <c r="B3002" s="46" t="s">
        <v>14824</v>
      </c>
      <c r="C3002">
        <v>6</v>
      </c>
      <c r="D3002">
        <v>38</v>
      </c>
    </row>
    <row r="3003" spans="1:4" x14ac:dyDescent="0.25">
      <c r="A3003" s="45" t="s">
        <v>3031</v>
      </c>
      <c r="B3003" s="46" t="s">
        <v>14825</v>
      </c>
      <c r="C3003">
        <v>6</v>
      </c>
      <c r="D3003">
        <v>38</v>
      </c>
    </row>
    <row r="3004" spans="1:4" x14ac:dyDescent="0.25">
      <c r="A3004" s="45" t="s">
        <v>3032</v>
      </c>
      <c r="B3004" s="46" t="s">
        <v>14826</v>
      </c>
      <c r="C3004">
        <v>6</v>
      </c>
      <c r="D3004">
        <v>38</v>
      </c>
    </row>
    <row r="3005" spans="1:4" x14ac:dyDescent="0.25">
      <c r="A3005" s="45" t="s">
        <v>3033</v>
      </c>
      <c r="B3005" s="46" t="s">
        <v>14827</v>
      </c>
      <c r="C3005">
        <v>6</v>
      </c>
      <c r="D3005">
        <v>38</v>
      </c>
    </row>
    <row r="3006" spans="1:4" x14ac:dyDescent="0.25">
      <c r="A3006" s="45" t="s">
        <v>3034</v>
      </c>
      <c r="B3006" s="46" t="s">
        <v>14828</v>
      </c>
      <c r="C3006">
        <v>6</v>
      </c>
      <c r="D3006">
        <v>38</v>
      </c>
    </row>
    <row r="3007" spans="1:4" x14ac:dyDescent="0.25">
      <c r="A3007" s="45" t="s">
        <v>3035</v>
      </c>
      <c r="B3007" s="46" t="s">
        <v>14829</v>
      </c>
      <c r="C3007">
        <v>6</v>
      </c>
      <c r="D3007">
        <v>38</v>
      </c>
    </row>
    <row r="3008" spans="1:4" x14ac:dyDescent="0.25">
      <c r="A3008" s="45" t="s">
        <v>3036</v>
      </c>
      <c r="B3008" s="46" t="s">
        <v>14830</v>
      </c>
      <c r="C3008">
        <v>6</v>
      </c>
      <c r="D3008">
        <v>38</v>
      </c>
    </row>
    <row r="3009" spans="1:4" x14ac:dyDescent="0.25">
      <c r="A3009" s="45" t="s">
        <v>3037</v>
      </c>
      <c r="B3009" s="46" t="s">
        <v>14831</v>
      </c>
      <c r="C3009">
        <v>6</v>
      </c>
      <c r="D3009">
        <v>38</v>
      </c>
    </row>
    <row r="3010" spans="1:4" x14ac:dyDescent="0.25">
      <c r="A3010" s="45" t="s">
        <v>3038</v>
      </c>
      <c r="B3010" s="46" t="s">
        <v>14832</v>
      </c>
      <c r="C3010">
        <v>6</v>
      </c>
      <c r="D3010">
        <v>38</v>
      </c>
    </row>
    <row r="3011" spans="1:4" x14ac:dyDescent="0.25">
      <c r="A3011" s="45" t="s">
        <v>3039</v>
      </c>
      <c r="B3011" s="46" t="s">
        <v>14833</v>
      </c>
      <c r="C3011">
        <v>6</v>
      </c>
      <c r="D3011">
        <v>38</v>
      </c>
    </row>
    <row r="3012" spans="1:4" x14ac:dyDescent="0.25">
      <c r="A3012" s="45" t="s">
        <v>3040</v>
      </c>
      <c r="B3012" s="46" t="s">
        <v>14834</v>
      </c>
      <c r="C3012">
        <v>6</v>
      </c>
      <c r="D3012">
        <v>38</v>
      </c>
    </row>
    <row r="3013" spans="1:4" x14ac:dyDescent="0.25">
      <c r="A3013" s="45" t="s">
        <v>3041</v>
      </c>
      <c r="B3013" s="46" t="s">
        <v>19958</v>
      </c>
      <c r="C3013">
        <v>6</v>
      </c>
      <c r="D3013">
        <v>38</v>
      </c>
    </row>
    <row r="3014" spans="1:4" x14ac:dyDescent="0.25">
      <c r="A3014" s="45" t="s">
        <v>3042</v>
      </c>
      <c r="B3014" s="46" t="s">
        <v>14835</v>
      </c>
      <c r="C3014">
        <v>6</v>
      </c>
      <c r="D3014">
        <v>38</v>
      </c>
    </row>
    <row r="3015" spans="1:4" x14ac:dyDescent="0.25">
      <c r="A3015" s="45" t="s">
        <v>3043</v>
      </c>
      <c r="B3015" s="46" t="s">
        <v>14836</v>
      </c>
      <c r="C3015">
        <v>6</v>
      </c>
      <c r="D3015">
        <v>38</v>
      </c>
    </row>
    <row r="3016" spans="1:4" x14ac:dyDescent="0.25">
      <c r="A3016" s="45" t="s">
        <v>3044</v>
      </c>
      <c r="B3016" s="46" t="s">
        <v>14837</v>
      </c>
      <c r="C3016">
        <v>6</v>
      </c>
      <c r="D3016">
        <v>38</v>
      </c>
    </row>
    <row r="3017" spans="1:4" x14ac:dyDescent="0.25">
      <c r="A3017" s="45" t="s">
        <v>3045</v>
      </c>
      <c r="B3017" s="46" t="s">
        <v>14838</v>
      </c>
      <c r="C3017">
        <v>6</v>
      </c>
      <c r="D3017">
        <v>38</v>
      </c>
    </row>
    <row r="3018" spans="1:4" x14ac:dyDescent="0.25">
      <c r="A3018" s="45" t="s">
        <v>3046</v>
      </c>
      <c r="B3018" s="46" t="s">
        <v>14839</v>
      </c>
      <c r="C3018">
        <v>6</v>
      </c>
      <c r="D3018">
        <v>38</v>
      </c>
    </row>
    <row r="3019" spans="1:4" x14ac:dyDescent="0.25">
      <c r="A3019" s="45" t="s">
        <v>3047</v>
      </c>
      <c r="B3019" s="46" t="s">
        <v>14840</v>
      </c>
      <c r="C3019">
        <v>6</v>
      </c>
      <c r="D3019">
        <v>38</v>
      </c>
    </row>
    <row r="3020" spans="1:4" x14ac:dyDescent="0.25">
      <c r="A3020" s="45" t="s">
        <v>3048</v>
      </c>
      <c r="B3020" s="46" t="s">
        <v>14841</v>
      </c>
      <c r="C3020">
        <v>6</v>
      </c>
      <c r="D3020">
        <v>38</v>
      </c>
    </row>
    <row r="3021" spans="1:4" x14ac:dyDescent="0.25">
      <c r="A3021" s="45" t="s">
        <v>3049</v>
      </c>
      <c r="B3021" s="46" t="s">
        <v>14842</v>
      </c>
      <c r="C3021">
        <v>6</v>
      </c>
      <c r="D3021">
        <v>38</v>
      </c>
    </row>
    <row r="3022" spans="1:4" x14ac:dyDescent="0.25">
      <c r="A3022" s="45" t="s">
        <v>3050</v>
      </c>
      <c r="B3022" s="46" t="s">
        <v>14843</v>
      </c>
      <c r="C3022">
        <v>6</v>
      </c>
      <c r="D3022">
        <v>38</v>
      </c>
    </row>
    <row r="3023" spans="1:4" x14ac:dyDescent="0.25">
      <c r="A3023" s="45" t="s">
        <v>3051</v>
      </c>
      <c r="B3023" s="46" t="s">
        <v>14844</v>
      </c>
      <c r="C3023">
        <v>6</v>
      </c>
      <c r="D3023">
        <v>38</v>
      </c>
    </row>
    <row r="3024" spans="1:4" x14ac:dyDescent="0.25">
      <c r="A3024" s="45" t="s">
        <v>3052</v>
      </c>
      <c r="B3024" s="46" t="s">
        <v>14845</v>
      </c>
      <c r="C3024">
        <v>5</v>
      </c>
      <c r="D3024">
        <v>32</v>
      </c>
    </row>
    <row r="3025" spans="1:4" x14ac:dyDescent="0.25">
      <c r="A3025" s="45" t="s">
        <v>3053</v>
      </c>
      <c r="B3025" s="46" t="s">
        <v>14846</v>
      </c>
      <c r="C3025">
        <v>6</v>
      </c>
      <c r="D3025">
        <v>38</v>
      </c>
    </row>
    <row r="3026" spans="1:4" x14ac:dyDescent="0.25">
      <c r="A3026" s="45" t="s">
        <v>3054</v>
      </c>
      <c r="B3026" s="46" t="s">
        <v>14847</v>
      </c>
      <c r="C3026">
        <v>6</v>
      </c>
      <c r="D3026">
        <v>38</v>
      </c>
    </row>
    <row r="3027" spans="1:4" x14ac:dyDescent="0.25">
      <c r="A3027" s="45" t="s">
        <v>3055</v>
      </c>
      <c r="B3027" s="46" t="s">
        <v>14848</v>
      </c>
      <c r="C3027">
        <v>6</v>
      </c>
      <c r="D3027">
        <v>38</v>
      </c>
    </row>
    <row r="3028" spans="1:4" x14ac:dyDescent="0.25">
      <c r="A3028" s="45" t="s">
        <v>3056</v>
      </c>
      <c r="B3028" s="46" t="s">
        <v>14849</v>
      </c>
      <c r="C3028">
        <v>6</v>
      </c>
      <c r="D3028">
        <v>38</v>
      </c>
    </row>
    <row r="3029" spans="1:4" x14ac:dyDescent="0.25">
      <c r="A3029" s="45" t="s">
        <v>3057</v>
      </c>
      <c r="B3029" s="46" t="s">
        <v>14850</v>
      </c>
      <c r="C3029">
        <v>6</v>
      </c>
      <c r="D3029">
        <v>38</v>
      </c>
    </row>
    <row r="3030" spans="1:4" x14ac:dyDescent="0.25">
      <c r="A3030" s="45" t="s">
        <v>3058</v>
      </c>
      <c r="B3030" s="46" t="s">
        <v>19959</v>
      </c>
      <c r="C3030">
        <v>6</v>
      </c>
      <c r="D3030">
        <v>38</v>
      </c>
    </row>
    <row r="3031" spans="1:4" x14ac:dyDescent="0.25">
      <c r="A3031" s="45" t="s">
        <v>3059</v>
      </c>
      <c r="B3031" s="46" t="s">
        <v>14851</v>
      </c>
      <c r="C3031">
        <v>6</v>
      </c>
      <c r="D3031">
        <v>38</v>
      </c>
    </row>
    <row r="3032" spans="1:4" x14ac:dyDescent="0.25">
      <c r="A3032" s="45" t="s">
        <v>3060</v>
      </c>
      <c r="B3032" s="46" t="s">
        <v>19960</v>
      </c>
      <c r="C3032">
        <v>17</v>
      </c>
      <c r="D3032">
        <v>106</v>
      </c>
    </row>
    <row r="3033" spans="1:4" x14ac:dyDescent="0.25">
      <c r="A3033" s="45" t="s">
        <v>3061</v>
      </c>
      <c r="B3033" s="46" t="s">
        <v>14852</v>
      </c>
      <c r="C3033">
        <v>17</v>
      </c>
      <c r="D3033">
        <v>106</v>
      </c>
    </row>
    <row r="3034" spans="1:4" x14ac:dyDescent="0.25">
      <c r="A3034" s="45" t="s">
        <v>3062</v>
      </c>
      <c r="B3034" s="46" t="s">
        <v>14853</v>
      </c>
      <c r="C3034">
        <v>6</v>
      </c>
      <c r="D3034">
        <v>38</v>
      </c>
    </row>
    <row r="3035" spans="1:4" x14ac:dyDescent="0.25">
      <c r="A3035" s="45" t="s">
        <v>3063</v>
      </c>
      <c r="B3035" s="46" t="s">
        <v>19961</v>
      </c>
      <c r="C3035">
        <v>6</v>
      </c>
      <c r="D3035">
        <v>39</v>
      </c>
    </row>
    <row r="3036" spans="1:4" x14ac:dyDescent="0.25">
      <c r="A3036" s="45" t="s">
        <v>3064</v>
      </c>
      <c r="B3036" s="46" t="s">
        <v>14854</v>
      </c>
      <c r="C3036">
        <v>6</v>
      </c>
      <c r="D3036">
        <v>39</v>
      </c>
    </row>
    <row r="3037" spans="1:4" x14ac:dyDescent="0.25">
      <c r="A3037" s="45" t="s">
        <v>3065</v>
      </c>
      <c r="B3037" s="46" t="s">
        <v>14855</v>
      </c>
      <c r="C3037">
        <v>6</v>
      </c>
      <c r="D3037">
        <v>39</v>
      </c>
    </row>
    <row r="3038" spans="1:4" x14ac:dyDescent="0.25">
      <c r="A3038" s="45" t="s">
        <v>3066</v>
      </c>
      <c r="B3038" s="46" t="s">
        <v>14856</v>
      </c>
      <c r="C3038">
        <v>6</v>
      </c>
      <c r="D3038">
        <v>39</v>
      </c>
    </row>
    <row r="3039" spans="1:4" x14ac:dyDescent="0.25">
      <c r="A3039" s="45" t="s">
        <v>3067</v>
      </c>
      <c r="B3039" s="46" t="s">
        <v>14857</v>
      </c>
      <c r="C3039">
        <v>6</v>
      </c>
      <c r="D3039">
        <v>39</v>
      </c>
    </row>
    <row r="3040" spans="1:4" x14ac:dyDescent="0.25">
      <c r="A3040" s="45" t="s">
        <v>3068</v>
      </c>
      <c r="B3040" s="46" t="s">
        <v>14858</v>
      </c>
      <c r="C3040">
        <v>6</v>
      </c>
      <c r="D3040">
        <v>39</v>
      </c>
    </row>
    <row r="3041" spans="1:4" x14ac:dyDescent="0.25">
      <c r="A3041" s="45" t="s">
        <v>3069</v>
      </c>
      <c r="B3041" s="46" t="s">
        <v>14859</v>
      </c>
      <c r="C3041">
        <v>6</v>
      </c>
      <c r="D3041">
        <v>39</v>
      </c>
    </row>
    <row r="3042" spans="1:4" x14ac:dyDescent="0.25">
      <c r="A3042" s="45" t="s">
        <v>3070</v>
      </c>
      <c r="B3042" s="46" t="s">
        <v>14860</v>
      </c>
      <c r="C3042">
        <v>6</v>
      </c>
      <c r="D3042">
        <v>39</v>
      </c>
    </row>
    <row r="3043" spans="1:4" x14ac:dyDescent="0.25">
      <c r="A3043" s="45" t="s">
        <v>3071</v>
      </c>
      <c r="B3043" s="46" t="s">
        <v>14861</v>
      </c>
      <c r="C3043">
        <v>6</v>
      </c>
      <c r="D3043">
        <v>39</v>
      </c>
    </row>
    <row r="3044" spans="1:4" x14ac:dyDescent="0.25">
      <c r="A3044" s="45" t="s">
        <v>3072</v>
      </c>
      <c r="B3044" s="46" t="s">
        <v>14862</v>
      </c>
      <c r="C3044">
        <v>6</v>
      </c>
      <c r="D3044">
        <v>39</v>
      </c>
    </row>
    <row r="3045" spans="1:4" x14ac:dyDescent="0.25">
      <c r="A3045" s="45" t="s">
        <v>3073</v>
      </c>
      <c r="B3045" s="46" t="s">
        <v>14863</v>
      </c>
      <c r="C3045">
        <v>6</v>
      </c>
      <c r="D3045">
        <v>39</v>
      </c>
    </row>
    <row r="3046" spans="1:4" x14ac:dyDescent="0.25">
      <c r="A3046" s="45" t="s">
        <v>3074</v>
      </c>
      <c r="B3046" s="46" t="s">
        <v>14864</v>
      </c>
      <c r="C3046">
        <v>6</v>
      </c>
      <c r="D3046">
        <v>39</v>
      </c>
    </row>
    <row r="3047" spans="1:4" x14ac:dyDescent="0.25">
      <c r="A3047" s="45" t="s">
        <v>3075</v>
      </c>
      <c r="B3047" s="46" t="s">
        <v>14865</v>
      </c>
      <c r="C3047">
        <v>6</v>
      </c>
      <c r="D3047">
        <v>39</v>
      </c>
    </row>
    <row r="3048" spans="1:4" x14ac:dyDescent="0.25">
      <c r="A3048" s="45" t="s">
        <v>3076</v>
      </c>
      <c r="B3048" s="46" t="s">
        <v>14866</v>
      </c>
      <c r="C3048">
        <v>6</v>
      </c>
      <c r="D3048">
        <v>39</v>
      </c>
    </row>
    <row r="3049" spans="1:4" x14ac:dyDescent="0.25">
      <c r="A3049" s="45" t="s">
        <v>3077</v>
      </c>
      <c r="B3049" s="46" t="s">
        <v>14867</v>
      </c>
      <c r="C3049">
        <v>6</v>
      </c>
      <c r="D3049">
        <v>39</v>
      </c>
    </row>
    <row r="3050" spans="1:4" x14ac:dyDescent="0.25">
      <c r="A3050" s="45" t="s">
        <v>3078</v>
      </c>
      <c r="B3050" s="46" t="s">
        <v>14868</v>
      </c>
      <c r="C3050">
        <v>6</v>
      </c>
      <c r="D3050">
        <v>39</v>
      </c>
    </row>
    <row r="3051" spans="1:4" x14ac:dyDescent="0.25">
      <c r="A3051" s="45" t="s">
        <v>3079</v>
      </c>
      <c r="B3051" s="46" t="s">
        <v>14869</v>
      </c>
      <c r="C3051">
        <v>6</v>
      </c>
      <c r="D3051">
        <v>39</v>
      </c>
    </row>
    <row r="3052" spans="1:4" x14ac:dyDescent="0.25">
      <c r="A3052" s="45" t="s">
        <v>3080</v>
      </c>
      <c r="B3052" s="46" t="s">
        <v>14870</v>
      </c>
      <c r="C3052">
        <v>6</v>
      </c>
      <c r="D3052">
        <v>39</v>
      </c>
    </row>
    <row r="3053" spans="1:4" x14ac:dyDescent="0.25">
      <c r="A3053" s="45" t="s">
        <v>3081</v>
      </c>
      <c r="B3053" s="46" t="s">
        <v>19962</v>
      </c>
      <c r="C3053">
        <v>6</v>
      </c>
      <c r="D3053">
        <v>39</v>
      </c>
    </row>
    <row r="3054" spans="1:4" x14ac:dyDescent="0.25">
      <c r="A3054" s="45" t="s">
        <v>3082</v>
      </c>
      <c r="B3054" s="46" t="s">
        <v>19963</v>
      </c>
      <c r="C3054">
        <v>6</v>
      </c>
      <c r="D3054">
        <v>39</v>
      </c>
    </row>
    <row r="3055" spans="1:4" x14ac:dyDescent="0.25">
      <c r="A3055" s="45" t="s">
        <v>3083</v>
      </c>
      <c r="B3055" s="46" t="s">
        <v>19964</v>
      </c>
      <c r="C3055">
        <v>6</v>
      </c>
      <c r="D3055">
        <v>39</v>
      </c>
    </row>
    <row r="3056" spans="1:4" x14ac:dyDescent="0.25">
      <c r="A3056" s="45" t="s">
        <v>3084</v>
      </c>
      <c r="B3056" s="46" t="s">
        <v>14871</v>
      </c>
      <c r="C3056">
        <v>6</v>
      </c>
      <c r="D3056">
        <v>39</v>
      </c>
    </row>
    <row r="3057" spans="1:4" x14ac:dyDescent="0.25">
      <c r="A3057" s="45" t="s">
        <v>3085</v>
      </c>
      <c r="B3057" s="46" t="s">
        <v>14872</v>
      </c>
      <c r="C3057">
        <v>6</v>
      </c>
      <c r="D3057">
        <v>39</v>
      </c>
    </row>
    <row r="3058" spans="1:4" x14ac:dyDescent="0.25">
      <c r="A3058" s="45" t="s">
        <v>3086</v>
      </c>
      <c r="B3058" s="46" t="s">
        <v>14873</v>
      </c>
      <c r="C3058">
        <v>6</v>
      </c>
      <c r="D3058">
        <v>39</v>
      </c>
    </row>
    <row r="3059" spans="1:4" x14ac:dyDescent="0.25">
      <c r="A3059" s="45" t="s">
        <v>3087</v>
      </c>
      <c r="B3059" s="46" t="s">
        <v>14874</v>
      </c>
      <c r="C3059">
        <v>6</v>
      </c>
      <c r="D3059">
        <v>39</v>
      </c>
    </row>
    <row r="3060" spans="1:4" x14ac:dyDescent="0.25">
      <c r="A3060" s="45" t="s">
        <v>3088</v>
      </c>
      <c r="B3060" s="46" t="s">
        <v>14875</v>
      </c>
      <c r="C3060">
        <v>6</v>
      </c>
      <c r="D3060">
        <v>39</v>
      </c>
    </row>
    <row r="3061" spans="1:4" x14ac:dyDescent="0.25">
      <c r="A3061" s="45" t="s">
        <v>3089</v>
      </c>
      <c r="B3061" s="46" t="s">
        <v>14876</v>
      </c>
      <c r="C3061">
        <v>6</v>
      </c>
      <c r="D3061">
        <v>39</v>
      </c>
    </row>
    <row r="3062" spans="1:4" x14ac:dyDescent="0.25">
      <c r="A3062" s="45" t="s">
        <v>3090</v>
      </c>
      <c r="B3062" s="46" t="s">
        <v>14877</v>
      </c>
      <c r="C3062">
        <v>6</v>
      </c>
      <c r="D3062">
        <v>39</v>
      </c>
    </row>
    <row r="3063" spans="1:4" x14ac:dyDescent="0.25">
      <c r="A3063" s="45" t="s">
        <v>3091</v>
      </c>
      <c r="B3063" s="46" t="s">
        <v>14878</v>
      </c>
      <c r="C3063">
        <v>6</v>
      </c>
      <c r="D3063">
        <v>39</v>
      </c>
    </row>
    <row r="3064" spans="1:4" x14ac:dyDescent="0.25">
      <c r="A3064" s="45" t="s">
        <v>3092</v>
      </c>
      <c r="B3064" s="46" t="s">
        <v>14879</v>
      </c>
      <c r="C3064">
        <v>6</v>
      </c>
      <c r="D3064">
        <v>39</v>
      </c>
    </row>
    <row r="3065" spans="1:4" x14ac:dyDescent="0.25">
      <c r="A3065" s="45" t="s">
        <v>3093</v>
      </c>
      <c r="B3065" s="46" t="s">
        <v>14880</v>
      </c>
      <c r="C3065">
        <v>6</v>
      </c>
      <c r="D3065">
        <v>39</v>
      </c>
    </row>
    <row r="3066" spans="1:4" x14ac:dyDescent="0.25">
      <c r="A3066" s="45" t="s">
        <v>3094</v>
      </c>
      <c r="B3066" s="46" t="s">
        <v>14881</v>
      </c>
      <c r="C3066">
        <v>6</v>
      </c>
      <c r="D3066">
        <v>39</v>
      </c>
    </row>
    <row r="3067" spans="1:4" x14ac:dyDescent="0.25">
      <c r="A3067" s="45" t="s">
        <v>3095</v>
      </c>
      <c r="B3067" s="46" t="s">
        <v>14882</v>
      </c>
      <c r="C3067">
        <v>6</v>
      </c>
      <c r="D3067">
        <v>39</v>
      </c>
    </row>
    <row r="3068" spans="1:4" x14ac:dyDescent="0.25">
      <c r="A3068" s="45" t="s">
        <v>3096</v>
      </c>
      <c r="B3068" s="46" t="s">
        <v>14883</v>
      </c>
      <c r="C3068">
        <v>6</v>
      </c>
      <c r="D3068">
        <v>39</v>
      </c>
    </row>
    <row r="3069" spans="1:4" x14ac:dyDescent="0.25">
      <c r="A3069" s="45" t="s">
        <v>3097</v>
      </c>
      <c r="B3069" s="46" t="s">
        <v>14884</v>
      </c>
      <c r="C3069">
        <v>6</v>
      </c>
      <c r="D3069">
        <v>39</v>
      </c>
    </row>
    <row r="3070" spans="1:4" x14ac:dyDescent="0.25">
      <c r="A3070" s="45" t="s">
        <v>3098</v>
      </c>
      <c r="B3070" s="46" t="s">
        <v>14885</v>
      </c>
      <c r="C3070">
        <v>6</v>
      </c>
      <c r="D3070">
        <v>39</v>
      </c>
    </row>
    <row r="3071" spans="1:4" x14ac:dyDescent="0.25">
      <c r="A3071" s="45" t="s">
        <v>3099</v>
      </c>
      <c r="B3071" s="46" t="s">
        <v>14886</v>
      </c>
      <c r="C3071">
        <v>6</v>
      </c>
      <c r="D3071">
        <v>39</v>
      </c>
    </row>
    <row r="3072" spans="1:4" x14ac:dyDescent="0.25">
      <c r="A3072" s="45" t="s">
        <v>3100</v>
      </c>
      <c r="B3072" s="46" t="s">
        <v>14887</v>
      </c>
      <c r="C3072">
        <v>6</v>
      </c>
      <c r="D3072">
        <v>39</v>
      </c>
    </row>
    <row r="3073" spans="1:4" x14ac:dyDescent="0.25">
      <c r="A3073" s="45" t="s">
        <v>3101</v>
      </c>
      <c r="B3073" s="46" t="s">
        <v>14888</v>
      </c>
      <c r="C3073">
        <v>6</v>
      </c>
      <c r="D3073">
        <v>39</v>
      </c>
    </row>
    <row r="3074" spans="1:4" x14ac:dyDescent="0.25">
      <c r="A3074" s="45" t="s">
        <v>3102</v>
      </c>
      <c r="B3074" s="46" t="s">
        <v>14889</v>
      </c>
      <c r="C3074">
        <v>6</v>
      </c>
      <c r="D3074">
        <v>39</v>
      </c>
    </row>
    <row r="3075" spans="1:4" x14ac:dyDescent="0.25">
      <c r="A3075" s="45" t="s">
        <v>3103</v>
      </c>
      <c r="B3075" s="46" t="s">
        <v>14890</v>
      </c>
      <c r="C3075">
        <v>6</v>
      </c>
      <c r="D3075">
        <v>39</v>
      </c>
    </row>
    <row r="3076" spans="1:4" x14ac:dyDescent="0.25">
      <c r="A3076" s="45" t="s">
        <v>3104</v>
      </c>
      <c r="B3076" s="46" t="s">
        <v>14891</v>
      </c>
      <c r="C3076">
        <v>6</v>
      </c>
      <c r="D3076">
        <v>39</v>
      </c>
    </row>
    <row r="3077" spans="1:4" x14ac:dyDescent="0.25">
      <c r="A3077" s="45" t="s">
        <v>3105</v>
      </c>
      <c r="B3077" s="46" t="s">
        <v>14892</v>
      </c>
      <c r="C3077">
        <v>6</v>
      </c>
      <c r="D3077">
        <v>39</v>
      </c>
    </row>
    <row r="3078" spans="1:4" x14ac:dyDescent="0.25">
      <c r="A3078" s="45" t="s">
        <v>3106</v>
      </c>
      <c r="B3078" s="46" t="s">
        <v>14893</v>
      </c>
      <c r="C3078">
        <v>6</v>
      </c>
      <c r="D3078">
        <v>39</v>
      </c>
    </row>
    <row r="3079" spans="1:4" x14ac:dyDescent="0.25">
      <c r="A3079" s="45" t="s">
        <v>3107</v>
      </c>
      <c r="B3079" s="46" t="s">
        <v>14894</v>
      </c>
      <c r="C3079">
        <v>6</v>
      </c>
      <c r="D3079">
        <v>39</v>
      </c>
    </row>
    <row r="3080" spans="1:4" x14ac:dyDescent="0.25">
      <c r="A3080" s="45" t="s">
        <v>3108</v>
      </c>
      <c r="B3080" s="46" t="s">
        <v>14895</v>
      </c>
      <c r="C3080">
        <v>6</v>
      </c>
      <c r="D3080">
        <v>39</v>
      </c>
    </row>
    <row r="3081" spans="1:4" x14ac:dyDescent="0.25">
      <c r="A3081" s="45" t="s">
        <v>3109</v>
      </c>
      <c r="B3081" s="46" t="s">
        <v>14896</v>
      </c>
      <c r="C3081">
        <v>6</v>
      </c>
      <c r="D3081">
        <v>39</v>
      </c>
    </row>
    <row r="3082" spans="1:4" x14ac:dyDescent="0.25">
      <c r="A3082" s="45" t="s">
        <v>3110</v>
      </c>
      <c r="B3082" s="46" t="s">
        <v>14897</v>
      </c>
      <c r="C3082">
        <v>6</v>
      </c>
      <c r="D3082">
        <v>39</v>
      </c>
    </row>
    <row r="3083" spans="1:4" x14ac:dyDescent="0.25">
      <c r="A3083" s="45" t="s">
        <v>3111</v>
      </c>
      <c r="B3083" s="46" t="s">
        <v>14898</v>
      </c>
      <c r="C3083">
        <v>6</v>
      </c>
      <c r="D3083">
        <v>39</v>
      </c>
    </row>
    <row r="3084" spans="1:4" x14ac:dyDescent="0.25">
      <c r="A3084" s="45" t="s">
        <v>3112</v>
      </c>
      <c r="B3084" s="46" t="s">
        <v>14899</v>
      </c>
      <c r="C3084">
        <v>6</v>
      </c>
      <c r="D3084">
        <v>39</v>
      </c>
    </row>
    <row r="3085" spans="1:4" x14ac:dyDescent="0.25">
      <c r="A3085" s="45" t="s">
        <v>3113</v>
      </c>
      <c r="B3085" s="46" t="s">
        <v>14900</v>
      </c>
      <c r="C3085">
        <v>6</v>
      </c>
      <c r="D3085">
        <v>39</v>
      </c>
    </row>
    <row r="3086" spans="1:4" x14ac:dyDescent="0.25">
      <c r="A3086" s="45" t="s">
        <v>3114</v>
      </c>
      <c r="B3086" s="46" t="s">
        <v>14901</v>
      </c>
      <c r="C3086">
        <v>6</v>
      </c>
      <c r="D3086">
        <v>39</v>
      </c>
    </row>
    <row r="3087" spans="1:4" x14ac:dyDescent="0.25">
      <c r="A3087" s="45" t="s">
        <v>3115</v>
      </c>
      <c r="B3087" s="46" t="s">
        <v>14902</v>
      </c>
      <c r="C3087">
        <v>6</v>
      </c>
      <c r="D3087">
        <v>39</v>
      </c>
    </row>
    <row r="3088" spans="1:4" x14ac:dyDescent="0.25">
      <c r="A3088" s="45" t="s">
        <v>3116</v>
      </c>
      <c r="B3088" s="46" t="s">
        <v>14903</v>
      </c>
      <c r="C3088">
        <v>6</v>
      </c>
      <c r="D3088">
        <v>39</v>
      </c>
    </row>
    <row r="3089" spans="1:4" x14ac:dyDescent="0.25">
      <c r="A3089" s="45" t="s">
        <v>3117</v>
      </c>
      <c r="B3089" s="46" t="s">
        <v>14904</v>
      </c>
      <c r="C3089">
        <v>6</v>
      </c>
      <c r="D3089">
        <v>39</v>
      </c>
    </row>
    <row r="3090" spans="1:4" x14ac:dyDescent="0.25">
      <c r="A3090" s="45" t="s">
        <v>3118</v>
      </c>
      <c r="B3090" s="46" t="s">
        <v>14905</v>
      </c>
      <c r="C3090">
        <v>6</v>
      </c>
      <c r="D3090">
        <v>39</v>
      </c>
    </row>
    <row r="3091" spans="1:4" x14ac:dyDescent="0.25">
      <c r="A3091" s="45" t="s">
        <v>3119</v>
      </c>
      <c r="B3091" s="46" t="s">
        <v>14906</v>
      </c>
      <c r="C3091">
        <v>6</v>
      </c>
      <c r="D3091">
        <v>39</v>
      </c>
    </row>
    <row r="3092" spans="1:4" x14ac:dyDescent="0.25">
      <c r="A3092" s="45" t="s">
        <v>3120</v>
      </c>
      <c r="B3092" s="46" t="s">
        <v>14907</v>
      </c>
      <c r="C3092">
        <v>6</v>
      </c>
      <c r="D3092">
        <v>39</v>
      </c>
    </row>
    <row r="3093" spans="1:4" x14ac:dyDescent="0.25">
      <c r="A3093" s="45" t="s">
        <v>3121</v>
      </c>
      <c r="B3093" s="46" t="s">
        <v>14908</v>
      </c>
      <c r="C3093">
        <v>6</v>
      </c>
      <c r="D3093">
        <v>39</v>
      </c>
    </row>
    <row r="3094" spans="1:4" x14ac:dyDescent="0.25">
      <c r="A3094" s="45" t="s">
        <v>3122</v>
      </c>
      <c r="B3094" s="46" t="s">
        <v>14909</v>
      </c>
      <c r="C3094">
        <v>6</v>
      </c>
      <c r="D3094">
        <v>39</v>
      </c>
    </row>
    <row r="3095" spans="1:4" x14ac:dyDescent="0.25">
      <c r="A3095" s="45" t="s">
        <v>3123</v>
      </c>
      <c r="B3095" s="46" t="s">
        <v>14910</v>
      </c>
      <c r="C3095">
        <v>6</v>
      </c>
      <c r="D3095">
        <v>39</v>
      </c>
    </row>
    <row r="3096" spans="1:4" x14ac:dyDescent="0.25">
      <c r="A3096" s="45" t="s">
        <v>3124</v>
      </c>
      <c r="B3096" s="46" t="s">
        <v>19965</v>
      </c>
      <c r="C3096">
        <v>6</v>
      </c>
      <c r="D3096">
        <v>39</v>
      </c>
    </row>
    <row r="3097" spans="1:4" x14ac:dyDescent="0.25">
      <c r="A3097" s="45" t="s">
        <v>3125</v>
      </c>
      <c r="B3097" s="46" t="s">
        <v>14911</v>
      </c>
      <c r="C3097">
        <v>6</v>
      </c>
      <c r="D3097">
        <v>39</v>
      </c>
    </row>
    <row r="3098" spans="1:4" x14ac:dyDescent="0.25">
      <c r="A3098" s="45" t="s">
        <v>3126</v>
      </c>
      <c r="B3098" s="46" t="s">
        <v>19966</v>
      </c>
      <c r="C3098">
        <v>6</v>
      </c>
      <c r="D3098">
        <v>39</v>
      </c>
    </row>
    <row r="3099" spans="1:4" x14ac:dyDescent="0.25">
      <c r="A3099" s="45" t="s">
        <v>3127</v>
      </c>
      <c r="B3099" s="46" t="s">
        <v>19967</v>
      </c>
      <c r="C3099">
        <v>6</v>
      </c>
      <c r="D3099">
        <v>39</v>
      </c>
    </row>
    <row r="3100" spans="1:4" x14ac:dyDescent="0.25">
      <c r="A3100" s="45" t="s">
        <v>3128</v>
      </c>
      <c r="B3100" s="46" t="s">
        <v>14912</v>
      </c>
      <c r="C3100">
        <v>6</v>
      </c>
      <c r="D3100">
        <v>39</v>
      </c>
    </row>
    <row r="3101" spans="1:4" x14ac:dyDescent="0.25">
      <c r="A3101" s="45" t="s">
        <v>3129</v>
      </c>
      <c r="B3101" s="46" t="s">
        <v>14913</v>
      </c>
      <c r="C3101">
        <v>6</v>
      </c>
      <c r="D3101">
        <v>39</v>
      </c>
    </row>
    <row r="3102" spans="1:4" x14ac:dyDescent="0.25">
      <c r="A3102" s="45" t="s">
        <v>3130</v>
      </c>
      <c r="B3102" s="46" t="s">
        <v>19968</v>
      </c>
      <c r="C3102">
        <v>6</v>
      </c>
      <c r="D3102">
        <v>39</v>
      </c>
    </row>
    <row r="3103" spans="1:4" x14ac:dyDescent="0.25">
      <c r="A3103" s="45" t="s">
        <v>3131</v>
      </c>
      <c r="B3103" s="46" t="s">
        <v>14914</v>
      </c>
      <c r="C3103">
        <v>6</v>
      </c>
      <c r="D3103">
        <v>39</v>
      </c>
    </row>
    <row r="3104" spans="1:4" x14ac:dyDescent="0.25">
      <c r="A3104" s="45" t="s">
        <v>3132</v>
      </c>
      <c r="B3104" s="46" t="s">
        <v>14915</v>
      </c>
      <c r="C3104">
        <v>6</v>
      </c>
      <c r="D3104">
        <v>39</v>
      </c>
    </row>
    <row r="3105" spans="1:4" x14ac:dyDescent="0.25">
      <c r="A3105" s="45" t="s">
        <v>3133</v>
      </c>
      <c r="B3105" s="46" t="s">
        <v>14916</v>
      </c>
      <c r="C3105">
        <v>6</v>
      </c>
      <c r="D3105">
        <v>39</v>
      </c>
    </row>
    <row r="3106" spans="1:4" x14ac:dyDescent="0.25">
      <c r="A3106" s="45" t="s">
        <v>3134</v>
      </c>
      <c r="B3106" s="46" t="s">
        <v>14917</v>
      </c>
      <c r="C3106">
        <v>6</v>
      </c>
      <c r="D3106">
        <v>39</v>
      </c>
    </row>
    <row r="3107" spans="1:4" x14ac:dyDescent="0.25">
      <c r="A3107" s="45" t="s">
        <v>3135</v>
      </c>
      <c r="B3107" s="46" t="s">
        <v>14918</v>
      </c>
      <c r="C3107">
        <v>6</v>
      </c>
      <c r="D3107">
        <v>39</v>
      </c>
    </row>
    <row r="3108" spans="1:4" x14ac:dyDescent="0.25">
      <c r="A3108" s="45" t="s">
        <v>3136</v>
      </c>
      <c r="B3108" s="46" t="s">
        <v>14919</v>
      </c>
      <c r="C3108">
        <v>6</v>
      </c>
      <c r="D3108">
        <v>39</v>
      </c>
    </row>
    <row r="3109" spans="1:4" x14ac:dyDescent="0.25">
      <c r="A3109" s="45" t="s">
        <v>3137</v>
      </c>
      <c r="B3109" s="46" t="s">
        <v>14920</v>
      </c>
      <c r="C3109">
        <v>6</v>
      </c>
      <c r="D3109">
        <v>39</v>
      </c>
    </row>
    <row r="3110" spans="1:4" x14ac:dyDescent="0.25">
      <c r="A3110" s="45" t="s">
        <v>3138</v>
      </c>
      <c r="B3110" s="46" t="s">
        <v>14921</v>
      </c>
      <c r="C3110">
        <v>6</v>
      </c>
      <c r="D3110">
        <v>39</v>
      </c>
    </row>
    <row r="3111" spans="1:4" x14ac:dyDescent="0.25">
      <c r="A3111" s="45" t="s">
        <v>3139</v>
      </c>
      <c r="B3111" s="46" t="s">
        <v>14922</v>
      </c>
      <c r="C3111">
        <v>6</v>
      </c>
      <c r="D3111">
        <v>39</v>
      </c>
    </row>
    <row r="3112" spans="1:4" x14ac:dyDescent="0.25">
      <c r="A3112" s="45" t="s">
        <v>3140</v>
      </c>
      <c r="B3112" s="46" t="s">
        <v>14923</v>
      </c>
      <c r="C3112">
        <v>6</v>
      </c>
      <c r="D3112">
        <v>39</v>
      </c>
    </row>
    <row r="3113" spans="1:4" x14ac:dyDescent="0.25">
      <c r="A3113" s="45" t="s">
        <v>3141</v>
      </c>
      <c r="B3113" s="46" t="s">
        <v>14924</v>
      </c>
      <c r="C3113">
        <v>6</v>
      </c>
      <c r="D3113">
        <v>39</v>
      </c>
    </row>
    <row r="3114" spans="1:4" x14ac:dyDescent="0.25">
      <c r="A3114" s="45" t="s">
        <v>3142</v>
      </c>
      <c r="B3114" s="46" t="s">
        <v>14925</v>
      </c>
      <c r="C3114">
        <v>6</v>
      </c>
      <c r="D3114">
        <v>39</v>
      </c>
    </row>
    <row r="3115" spans="1:4" x14ac:dyDescent="0.25">
      <c r="A3115" s="45" t="s">
        <v>3143</v>
      </c>
      <c r="B3115" s="46" t="s">
        <v>14926</v>
      </c>
      <c r="C3115">
        <v>6</v>
      </c>
      <c r="D3115">
        <v>39</v>
      </c>
    </row>
    <row r="3116" spans="1:4" x14ac:dyDescent="0.25">
      <c r="A3116" s="45" t="s">
        <v>3144</v>
      </c>
      <c r="B3116" s="46" t="s">
        <v>14927</v>
      </c>
      <c r="C3116">
        <v>6</v>
      </c>
      <c r="D3116">
        <v>39</v>
      </c>
    </row>
    <row r="3117" spans="1:4" x14ac:dyDescent="0.25">
      <c r="A3117" s="45" t="s">
        <v>3145</v>
      </c>
      <c r="B3117" s="46" t="s">
        <v>14928</v>
      </c>
      <c r="C3117">
        <v>6</v>
      </c>
      <c r="D3117">
        <v>39</v>
      </c>
    </row>
    <row r="3118" spans="1:4" x14ac:dyDescent="0.25">
      <c r="A3118" s="45" t="s">
        <v>3146</v>
      </c>
      <c r="B3118" s="46" t="s">
        <v>14929</v>
      </c>
      <c r="C3118">
        <v>6</v>
      </c>
      <c r="D3118">
        <v>39</v>
      </c>
    </row>
    <row r="3119" spans="1:4" x14ac:dyDescent="0.25">
      <c r="A3119" s="45" t="s">
        <v>3147</v>
      </c>
      <c r="B3119" s="46" t="s">
        <v>14930</v>
      </c>
      <c r="C3119">
        <v>6</v>
      </c>
      <c r="D3119">
        <v>39</v>
      </c>
    </row>
    <row r="3120" spans="1:4" x14ac:dyDescent="0.25">
      <c r="A3120" s="45" t="s">
        <v>3148</v>
      </c>
      <c r="B3120" s="46" t="s">
        <v>19969</v>
      </c>
      <c r="C3120">
        <v>6</v>
      </c>
      <c r="D3120">
        <v>39</v>
      </c>
    </row>
    <row r="3121" spans="1:4" x14ac:dyDescent="0.25">
      <c r="A3121" s="45" t="s">
        <v>3149</v>
      </c>
      <c r="B3121" s="46" t="s">
        <v>14931</v>
      </c>
      <c r="C3121">
        <v>6</v>
      </c>
      <c r="D3121">
        <v>39</v>
      </c>
    </row>
    <row r="3122" spans="1:4" x14ac:dyDescent="0.25">
      <c r="A3122" s="45" t="s">
        <v>3150</v>
      </c>
      <c r="B3122" s="46" t="s">
        <v>14932</v>
      </c>
      <c r="C3122">
        <v>6</v>
      </c>
      <c r="D3122">
        <v>39</v>
      </c>
    </row>
    <row r="3123" spans="1:4" x14ac:dyDescent="0.25">
      <c r="A3123" s="45" t="s">
        <v>3151</v>
      </c>
      <c r="B3123" s="46" t="s">
        <v>19970</v>
      </c>
      <c r="C3123">
        <v>6</v>
      </c>
      <c r="D3123">
        <v>39</v>
      </c>
    </row>
    <row r="3124" spans="1:4" x14ac:dyDescent="0.25">
      <c r="A3124" s="45" t="s">
        <v>3152</v>
      </c>
      <c r="B3124" s="46" t="s">
        <v>14933</v>
      </c>
      <c r="C3124">
        <v>6</v>
      </c>
      <c r="D3124">
        <v>39</v>
      </c>
    </row>
    <row r="3125" spans="1:4" x14ac:dyDescent="0.25">
      <c r="A3125" s="45" t="s">
        <v>3153</v>
      </c>
      <c r="B3125" s="46" t="s">
        <v>14934</v>
      </c>
      <c r="C3125">
        <v>6</v>
      </c>
      <c r="D3125">
        <v>39</v>
      </c>
    </row>
    <row r="3126" spans="1:4" x14ac:dyDescent="0.25">
      <c r="A3126" s="45" t="s">
        <v>3154</v>
      </c>
      <c r="B3126" s="46" t="s">
        <v>19971</v>
      </c>
      <c r="C3126">
        <v>6</v>
      </c>
      <c r="D3126">
        <v>39</v>
      </c>
    </row>
    <row r="3127" spans="1:4" x14ac:dyDescent="0.25">
      <c r="A3127" s="45" t="s">
        <v>3155</v>
      </c>
      <c r="B3127" s="46" t="s">
        <v>14935</v>
      </c>
      <c r="C3127">
        <v>6</v>
      </c>
      <c r="D3127">
        <v>39</v>
      </c>
    </row>
    <row r="3128" spans="1:4" x14ac:dyDescent="0.25">
      <c r="A3128" s="45" t="s">
        <v>3156</v>
      </c>
      <c r="B3128" s="46" t="s">
        <v>14936</v>
      </c>
      <c r="C3128">
        <v>6</v>
      </c>
      <c r="D3128">
        <v>39</v>
      </c>
    </row>
    <row r="3129" spans="1:4" x14ac:dyDescent="0.25">
      <c r="A3129" s="45" t="s">
        <v>3157</v>
      </c>
      <c r="B3129" s="46" t="s">
        <v>14937</v>
      </c>
      <c r="C3129">
        <v>6</v>
      </c>
      <c r="D3129">
        <v>39</v>
      </c>
    </row>
    <row r="3130" spans="1:4" x14ac:dyDescent="0.25">
      <c r="A3130" s="45" t="s">
        <v>3158</v>
      </c>
      <c r="B3130" s="46" t="s">
        <v>19972</v>
      </c>
      <c r="C3130">
        <v>6</v>
      </c>
      <c r="D3130">
        <v>39</v>
      </c>
    </row>
    <row r="3131" spans="1:4" x14ac:dyDescent="0.25">
      <c r="A3131" s="45" t="s">
        <v>3159</v>
      </c>
      <c r="B3131" s="46" t="s">
        <v>14938</v>
      </c>
      <c r="C3131">
        <v>6</v>
      </c>
      <c r="D3131">
        <v>39</v>
      </c>
    </row>
    <row r="3132" spans="1:4" x14ac:dyDescent="0.25">
      <c r="A3132" s="45" t="s">
        <v>3160</v>
      </c>
      <c r="B3132" s="46" t="s">
        <v>14939</v>
      </c>
      <c r="C3132">
        <v>6</v>
      </c>
      <c r="D3132">
        <v>39</v>
      </c>
    </row>
    <row r="3133" spans="1:4" x14ac:dyDescent="0.25">
      <c r="A3133" s="45" t="s">
        <v>3161</v>
      </c>
      <c r="B3133" s="46" t="s">
        <v>14940</v>
      </c>
      <c r="C3133">
        <v>6</v>
      </c>
      <c r="D3133">
        <v>39</v>
      </c>
    </row>
    <row r="3134" spans="1:4" x14ac:dyDescent="0.25">
      <c r="A3134" s="45" t="s">
        <v>3162</v>
      </c>
      <c r="B3134" s="46" t="s">
        <v>14941</v>
      </c>
      <c r="C3134">
        <v>6</v>
      </c>
      <c r="D3134">
        <v>39</v>
      </c>
    </row>
    <row r="3135" spans="1:4" x14ac:dyDescent="0.25">
      <c r="A3135" s="45" t="s">
        <v>3163</v>
      </c>
      <c r="B3135" s="46" t="s">
        <v>14942</v>
      </c>
      <c r="C3135">
        <v>6</v>
      </c>
      <c r="D3135">
        <v>39</v>
      </c>
    </row>
    <row r="3136" spans="1:4" x14ac:dyDescent="0.25">
      <c r="A3136" s="45" t="s">
        <v>3164</v>
      </c>
      <c r="B3136" s="46" t="s">
        <v>14943</v>
      </c>
      <c r="C3136">
        <v>6</v>
      </c>
      <c r="D3136">
        <v>39</v>
      </c>
    </row>
    <row r="3137" spans="1:4" x14ac:dyDescent="0.25">
      <c r="A3137" s="45" t="s">
        <v>3165</v>
      </c>
      <c r="B3137" s="46" t="s">
        <v>14944</v>
      </c>
      <c r="C3137">
        <v>6</v>
      </c>
      <c r="D3137">
        <v>39</v>
      </c>
    </row>
    <row r="3138" spans="1:4" x14ac:dyDescent="0.25">
      <c r="A3138" s="45" t="s">
        <v>3166</v>
      </c>
      <c r="B3138" s="46" t="s">
        <v>14945</v>
      </c>
      <c r="C3138">
        <v>6</v>
      </c>
      <c r="D3138">
        <v>39</v>
      </c>
    </row>
    <row r="3139" spans="1:4" x14ac:dyDescent="0.25">
      <c r="A3139" s="45" t="s">
        <v>3167</v>
      </c>
      <c r="B3139" s="46" t="s">
        <v>14946</v>
      </c>
      <c r="C3139">
        <v>6</v>
      </c>
      <c r="D3139">
        <v>39</v>
      </c>
    </row>
    <row r="3140" spans="1:4" x14ac:dyDescent="0.25">
      <c r="A3140" s="45" t="s">
        <v>3168</v>
      </c>
      <c r="B3140" s="46" t="s">
        <v>14947</v>
      </c>
      <c r="C3140">
        <v>6</v>
      </c>
      <c r="D3140">
        <v>39</v>
      </c>
    </row>
    <row r="3141" spans="1:4" x14ac:dyDescent="0.25">
      <c r="A3141" s="45" t="s">
        <v>3169</v>
      </c>
      <c r="B3141" s="46" t="s">
        <v>14948</v>
      </c>
      <c r="C3141">
        <v>6</v>
      </c>
      <c r="D3141">
        <v>39</v>
      </c>
    </row>
    <row r="3142" spans="1:4" x14ac:dyDescent="0.25">
      <c r="A3142" s="45" t="s">
        <v>3170</v>
      </c>
      <c r="B3142" s="46" t="s">
        <v>14949</v>
      </c>
      <c r="C3142">
        <v>6</v>
      </c>
      <c r="D3142">
        <v>39</v>
      </c>
    </row>
    <row r="3143" spans="1:4" x14ac:dyDescent="0.25">
      <c r="A3143" s="45" t="s">
        <v>3171</v>
      </c>
      <c r="B3143" s="46" t="s">
        <v>19973</v>
      </c>
      <c r="C3143">
        <v>6</v>
      </c>
      <c r="D3143">
        <v>39</v>
      </c>
    </row>
    <row r="3144" spans="1:4" x14ac:dyDescent="0.25">
      <c r="A3144" s="45" t="s">
        <v>3172</v>
      </c>
      <c r="B3144" s="46" t="s">
        <v>19974</v>
      </c>
      <c r="C3144">
        <v>6</v>
      </c>
      <c r="D3144">
        <v>39</v>
      </c>
    </row>
    <row r="3145" spans="1:4" x14ac:dyDescent="0.25">
      <c r="A3145" s="45" t="s">
        <v>3173</v>
      </c>
      <c r="B3145" s="46" t="s">
        <v>14950</v>
      </c>
      <c r="C3145">
        <v>6</v>
      </c>
      <c r="D3145">
        <v>39</v>
      </c>
    </row>
    <row r="3146" spans="1:4" x14ac:dyDescent="0.25">
      <c r="A3146" s="45" t="s">
        <v>3174</v>
      </c>
      <c r="B3146" s="46" t="s">
        <v>14951</v>
      </c>
      <c r="C3146">
        <v>6</v>
      </c>
      <c r="D3146">
        <v>39</v>
      </c>
    </row>
    <row r="3147" spans="1:4" x14ac:dyDescent="0.25">
      <c r="A3147" s="45" t="s">
        <v>3175</v>
      </c>
      <c r="B3147" s="46" t="s">
        <v>19975</v>
      </c>
      <c r="C3147">
        <v>6</v>
      </c>
      <c r="D3147">
        <v>39</v>
      </c>
    </row>
    <row r="3148" spans="1:4" x14ac:dyDescent="0.25">
      <c r="A3148" s="45" t="s">
        <v>3176</v>
      </c>
      <c r="B3148" s="46" t="s">
        <v>19976</v>
      </c>
      <c r="C3148">
        <v>7</v>
      </c>
      <c r="D3148">
        <v>40</v>
      </c>
    </row>
    <row r="3149" spans="1:4" x14ac:dyDescent="0.25">
      <c r="A3149" s="45" t="s">
        <v>3177</v>
      </c>
      <c r="B3149" s="46" t="s">
        <v>14952</v>
      </c>
      <c r="C3149">
        <v>7</v>
      </c>
      <c r="D3149">
        <v>40</v>
      </c>
    </row>
    <row r="3150" spans="1:4" x14ac:dyDescent="0.25">
      <c r="A3150" s="45" t="s">
        <v>3178</v>
      </c>
      <c r="B3150" s="46" t="s">
        <v>14953</v>
      </c>
      <c r="C3150">
        <v>7</v>
      </c>
      <c r="D3150">
        <v>40</v>
      </c>
    </row>
    <row r="3151" spans="1:4" x14ac:dyDescent="0.25">
      <c r="A3151" s="45" t="s">
        <v>3179</v>
      </c>
      <c r="B3151" s="46" t="s">
        <v>14954</v>
      </c>
      <c r="C3151">
        <v>7</v>
      </c>
      <c r="D3151">
        <v>40</v>
      </c>
    </row>
    <row r="3152" spans="1:4" x14ac:dyDescent="0.25">
      <c r="A3152" s="45" t="s">
        <v>3180</v>
      </c>
      <c r="B3152" s="46" t="s">
        <v>14955</v>
      </c>
      <c r="C3152">
        <v>7</v>
      </c>
      <c r="D3152">
        <v>40</v>
      </c>
    </row>
    <row r="3153" spans="1:4" x14ac:dyDescent="0.25">
      <c r="A3153" s="45" t="s">
        <v>3181</v>
      </c>
      <c r="B3153" s="46" t="s">
        <v>14956</v>
      </c>
      <c r="C3153">
        <v>7</v>
      </c>
      <c r="D3153">
        <v>40</v>
      </c>
    </row>
    <row r="3154" spans="1:4" x14ac:dyDescent="0.25">
      <c r="A3154" s="45" t="s">
        <v>3182</v>
      </c>
      <c r="B3154" s="46" t="s">
        <v>14957</v>
      </c>
      <c r="C3154">
        <v>7</v>
      </c>
      <c r="D3154">
        <v>40</v>
      </c>
    </row>
    <row r="3155" spans="1:4" x14ac:dyDescent="0.25">
      <c r="A3155" s="45" t="s">
        <v>3183</v>
      </c>
      <c r="B3155" s="46" t="s">
        <v>14958</v>
      </c>
      <c r="C3155">
        <v>7</v>
      </c>
      <c r="D3155">
        <v>40</v>
      </c>
    </row>
    <row r="3156" spans="1:4" x14ac:dyDescent="0.25">
      <c r="A3156" s="45" t="s">
        <v>3184</v>
      </c>
      <c r="B3156" s="46" t="s">
        <v>14959</v>
      </c>
      <c r="C3156">
        <v>7</v>
      </c>
      <c r="D3156">
        <v>41</v>
      </c>
    </row>
    <row r="3157" spans="1:4" x14ac:dyDescent="0.25">
      <c r="A3157" s="45" t="s">
        <v>3185</v>
      </c>
      <c r="B3157" s="46" t="s">
        <v>14960</v>
      </c>
      <c r="C3157">
        <v>7</v>
      </c>
      <c r="D3157">
        <v>41</v>
      </c>
    </row>
    <row r="3158" spans="1:4" x14ac:dyDescent="0.25">
      <c r="A3158" s="45" t="s">
        <v>3186</v>
      </c>
      <c r="B3158" s="46" t="s">
        <v>14961</v>
      </c>
      <c r="C3158">
        <v>7</v>
      </c>
      <c r="D3158">
        <v>41</v>
      </c>
    </row>
    <row r="3159" spans="1:4" x14ac:dyDescent="0.25">
      <c r="A3159" s="45" t="s">
        <v>3187</v>
      </c>
      <c r="B3159" s="46" t="s">
        <v>14962</v>
      </c>
      <c r="C3159">
        <v>7</v>
      </c>
      <c r="D3159">
        <v>41</v>
      </c>
    </row>
    <row r="3160" spans="1:4" x14ac:dyDescent="0.25">
      <c r="A3160" s="45" t="s">
        <v>3188</v>
      </c>
      <c r="B3160" s="46" t="s">
        <v>14963</v>
      </c>
      <c r="C3160">
        <v>7</v>
      </c>
      <c r="D3160">
        <v>41</v>
      </c>
    </row>
    <row r="3161" spans="1:4" x14ac:dyDescent="0.25">
      <c r="A3161" s="45" t="s">
        <v>3189</v>
      </c>
      <c r="B3161" s="46" t="s">
        <v>14964</v>
      </c>
      <c r="C3161">
        <v>7</v>
      </c>
      <c r="D3161">
        <v>41</v>
      </c>
    </row>
    <row r="3162" spans="1:4" x14ac:dyDescent="0.25">
      <c r="A3162" s="45" t="s">
        <v>3190</v>
      </c>
      <c r="B3162" s="46" t="s">
        <v>14965</v>
      </c>
      <c r="C3162">
        <v>7</v>
      </c>
      <c r="D3162">
        <v>41</v>
      </c>
    </row>
    <row r="3163" spans="1:4" x14ac:dyDescent="0.25">
      <c r="A3163" s="45" t="s">
        <v>3191</v>
      </c>
      <c r="B3163" s="46" t="s">
        <v>14966</v>
      </c>
      <c r="C3163">
        <v>7</v>
      </c>
      <c r="D3163">
        <v>41</v>
      </c>
    </row>
    <row r="3164" spans="1:4" x14ac:dyDescent="0.25">
      <c r="A3164" s="45" t="s">
        <v>3192</v>
      </c>
      <c r="B3164" s="46" t="s">
        <v>19977</v>
      </c>
      <c r="C3164">
        <v>7</v>
      </c>
      <c r="D3164">
        <v>41</v>
      </c>
    </row>
    <row r="3165" spans="1:4" x14ac:dyDescent="0.25">
      <c r="A3165" s="45" t="s">
        <v>3193</v>
      </c>
      <c r="B3165" s="46" t="s">
        <v>14967</v>
      </c>
      <c r="C3165">
        <v>7</v>
      </c>
      <c r="D3165">
        <v>41</v>
      </c>
    </row>
    <row r="3166" spans="1:4" x14ac:dyDescent="0.25">
      <c r="A3166" s="45" t="s">
        <v>3194</v>
      </c>
      <c r="B3166" s="46" t="s">
        <v>14968</v>
      </c>
      <c r="C3166">
        <v>7</v>
      </c>
      <c r="D3166">
        <v>41</v>
      </c>
    </row>
    <row r="3167" spans="1:4" x14ac:dyDescent="0.25">
      <c r="A3167" s="45" t="s">
        <v>3195</v>
      </c>
      <c r="B3167" s="46" t="s">
        <v>14969</v>
      </c>
      <c r="C3167">
        <v>7</v>
      </c>
      <c r="D3167">
        <v>41</v>
      </c>
    </row>
    <row r="3168" spans="1:4" x14ac:dyDescent="0.25">
      <c r="A3168" s="45" t="s">
        <v>3196</v>
      </c>
      <c r="B3168" s="46" t="s">
        <v>14970</v>
      </c>
      <c r="C3168">
        <v>7</v>
      </c>
      <c r="D3168">
        <v>41</v>
      </c>
    </row>
    <row r="3169" spans="1:4" x14ac:dyDescent="0.25">
      <c r="A3169" s="45" t="s">
        <v>3197</v>
      </c>
      <c r="B3169" s="46" t="s">
        <v>14971</v>
      </c>
      <c r="C3169">
        <v>7</v>
      </c>
      <c r="D3169">
        <v>41</v>
      </c>
    </row>
    <row r="3170" spans="1:4" x14ac:dyDescent="0.25">
      <c r="A3170" s="45" t="s">
        <v>3198</v>
      </c>
      <c r="B3170" s="46" t="s">
        <v>14972</v>
      </c>
      <c r="C3170">
        <v>7</v>
      </c>
      <c r="D3170">
        <v>41</v>
      </c>
    </row>
    <row r="3171" spans="1:4" x14ac:dyDescent="0.25">
      <c r="A3171" s="45" t="s">
        <v>3199</v>
      </c>
      <c r="B3171" s="46" t="s">
        <v>14973</v>
      </c>
      <c r="C3171">
        <v>7</v>
      </c>
      <c r="D3171">
        <v>41</v>
      </c>
    </row>
    <row r="3172" spans="1:4" x14ac:dyDescent="0.25">
      <c r="A3172" s="45" t="s">
        <v>3200</v>
      </c>
      <c r="B3172" s="46" t="s">
        <v>14974</v>
      </c>
      <c r="C3172">
        <v>7</v>
      </c>
      <c r="D3172">
        <v>41</v>
      </c>
    </row>
    <row r="3173" spans="1:4" x14ac:dyDescent="0.25">
      <c r="A3173" s="45" t="s">
        <v>3201</v>
      </c>
      <c r="B3173" s="46" t="s">
        <v>14975</v>
      </c>
      <c r="C3173">
        <v>7</v>
      </c>
      <c r="D3173">
        <v>41</v>
      </c>
    </row>
    <row r="3174" spans="1:4" x14ac:dyDescent="0.25">
      <c r="A3174" s="45" t="s">
        <v>3202</v>
      </c>
      <c r="B3174" s="46" t="s">
        <v>14976</v>
      </c>
      <c r="C3174">
        <v>7</v>
      </c>
      <c r="D3174">
        <v>41</v>
      </c>
    </row>
    <row r="3175" spans="1:4" x14ac:dyDescent="0.25">
      <c r="A3175" s="45" t="s">
        <v>3203</v>
      </c>
      <c r="B3175" s="46" t="s">
        <v>14977</v>
      </c>
      <c r="C3175">
        <v>7</v>
      </c>
      <c r="D3175">
        <v>41</v>
      </c>
    </row>
    <row r="3176" spans="1:4" x14ac:dyDescent="0.25">
      <c r="A3176" s="45" t="s">
        <v>3204</v>
      </c>
      <c r="B3176" s="46" t="s">
        <v>14978</v>
      </c>
      <c r="C3176">
        <v>7</v>
      </c>
      <c r="D3176">
        <v>41</v>
      </c>
    </row>
    <row r="3177" spans="1:4" x14ac:dyDescent="0.25">
      <c r="A3177" s="45" t="s">
        <v>3205</v>
      </c>
      <c r="B3177" s="46" t="s">
        <v>14979</v>
      </c>
      <c r="C3177">
        <v>7</v>
      </c>
      <c r="D3177">
        <v>41</v>
      </c>
    </row>
    <row r="3178" spans="1:4" x14ac:dyDescent="0.25">
      <c r="A3178" s="45" t="s">
        <v>3206</v>
      </c>
      <c r="B3178" s="46" t="s">
        <v>14980</v>
      </c>
      <c r="C3178">
        <v>7</v>
      </c>
      <c r="D3178">
        <v>41</v>
      </c>
    </row>
    <row r="3179" spans="1:4" x14ac:dyDescent="0.25">
      <c r="A3179" s="45" t="s">
        <v>3207</v>
      </c>
      <c r="B3179" s="46" t="s">
        <v>14981</v>
      </c>
      <c r="C3179">
        <v>7</v>
      </c>
      <c r="D3179">
        <v>41</v>
      </c>
    </row>
    <row r="3180" spans="1:4" x14ac:dyDescent="0.25">
      <c r="A3180" s="45" t="s">
        <v>3208</v>
      </c>
      <c r="B3180" s="46" t="s">
        <v>14982</v>
      </c>
      <c r="C3180">
        <v>7</v>
      </c>
      <c r="D3180">
        <v>41</v>
      </c>
    </row>
    <row r="3181" spans="1:4" x14ac:dyDescent="0.25">
      <c r="A3181" s="45" t="s">
        <v>3209</v>
      </c>
      <c r="B3181" s="46" t="s">
        <v>14983</v>
      </c>
      <c r="C3181">
        <v>7</v>
      </c>
      <c r="D3181">
        <v>41</v>
      </c>
    </row>
    <row r="3182" spans="1:4" x14ac:dyDescent="0.25">
      <c r="A3182" s="45" t="s">
        <v>3210</v>
      </c>
      <c r="B3182" s="46" t="s">
        <v>14984</v>
      </c>
      <c r="C3182">
        <v>7</v>
      </c>
      <c r="D3182">
        <v>42</v>
      </c>
    </row>
    <row r="3183" spans="1:4" x14ac:dyDescent="0.25">
      <c r="A3183" s="45" t="s">
        <v>3211</v>
      </c>
      <c r="B3183" s="46" t="s">
        <v>14985</v>
      </c>
      <c r="C3183">
        <v>7</v>
      </c>
      <c r="D3183">
        <v>42</v>
      </c>
    </row>
    <row r="3184" spans="1:4" x14ac:dyDescent="0.25">
      <c r="A3184" s="45" t="s">
        <v>3212</v>
      </c>
      <c r="B3184" s="46" t="s">
        <v>19978</v>
      </c>
      <c r="C3184">
        <v>7</v>
      </c>
      <c r="D3184">
        <v>42</v>
      </c>
    </row>
    <row r="3185" spans="1:4" x14ac:dyDescent="0.25">
      <c r="A3185" s="45" t="s">
        <v>3213</v>
      </c>
      <c r="B3185" s="46" t="s">
        <v>19979</v>
      </c>
      <c r="C3185">
        <v>7</v>
      </c>
      <c r="D3185">
        <v>42</v>
      </c>
    </row>
    <row r="3186" spans="1:4" x14ac:dyDescent="0.25">
      <c r="A3186" s="45" t="s">
        <v>3214</v>
      </c>
      <c r="B3186" s="46" t="s">
        <v>14986</v>
      </c>
      <c r="C3186">
        <v>7</v>
      </c>
      <c r="D3186">
        <v>42</v>
      </c>
    </row>
    <row r="3187" spans="1:4" x14ac:dyDescent="0.25">
      <c r="A3187" s="45" t="s">
        <v>3215</v>
      </c>
      <c r="B3187" s="46" t="s">
        <v>14987</v>
      </c>
      <c r="C3187">
        <v>7</v>
      </c>
      <c r="D3187">
        <v>42</v>
      </c>
    </row>
    <row r="3188" spans="1:4" x14ac:dyDescent="0.25">
      <c r="A3188" s="45" t="s">
        <v>3216</v>
      </c>
      <c r="B3188" s="46" t="s">
        <v>19980</v>
      </c>
      <c r="C3188">
        <v>7</v>
      </c>
      <c r="D3188">
        <v>42</v>
      </c>
    </row>
    <row r="3189" spans="1:4" x14ac:dyDescent="0.25">
      <c r="A3189" s="45" t="s">
        <v>3217</v>
      </c>
      <c r="B3189" s="46" t="s">
        <v>14988</v>
      </c>
      <c r="C3189">
        <v>7</v>
      </c>
      <c r="D3189">
        <v>42</v>
      </c>
    </row>
    <row r="3190" spans="1:4" x14ac:dyDescent="0.25">
      <c r="A3190" s="45" t="s">
        <v>3218</v>
      </c>
      <c r="B3190" s="46" t="s">
        <v>19981</v>
      </c>
      <c r="C3190">
        <v>7</v>
      </c>
      <c r="D3190">
        <v>42</v>
      </c>
    </row>
    <row r="3191" spans="1:4" x14ac:dyDescent="0.25">
      <c r="A3191" s="45" t="s">
        <v>3219</v>
      </c>
      <c r="B3191" s="46" t="s">
        <v>14989</v>
      </c>
      <c r="C3191">
        <v>7</v>
      </c>
      <c r="D3191">
        <v>42</v>
      </c>
    </row>
    <row r="3192" spans="1:4" x14ac:dyDescent="0.25">
      <c r="A3192" s="45" t="s">
        <v>3220</v>
      </c>
      <c r="B3192" s="46" t="s">
        <v>14990</v>
      </c>
      <c r="C3192">
        <v>7</v>
      </c>
      <c r="D3192">
        <v>42</v>
      </c>
    </row>
    <row r="3193" spans="1:4" x14ac:dyDescent="0.25">
      <c r="A3193" s="45" t="s">
        <v>3221</v>
      </c>
      <c r="B3193" s="46" t="s">
        <v>14991</v>
      </c>
      <c r="C3193">
        <v>7</v>
      </c>
      <c r="D3193">
        <v>42</v>
      </c>
    </row>
    <row r="3194" spans="1:4" x14ac:dyDescent="0.25">
      <c r="A3194" s="45" t="s">
        <v>3222</v>
      </c>
      <c r="B3194" s="46" t="s">
        <v>14992</v>
      </c>
      <c r="C3194">
        <v>7</v>
      </c>
      <c r="D3194">
        <v>42</v>
      </c>
    </row>
    <row r="3195" spans="1:4" x14ac:dyDescent="0.25">
      <c r="A3195" s="45" t="s">
        <v>3223</v>
      </c>
      <c r="B3195" s="46" t="s">
        <v>14993</v>
      </c>
      <c r="C3195">
        <v>7</v>
      </c>
      <c r="D3195">
        <v>42</v>
      </c>
    </row>
    <row r="3196" spans="1:4" x14ac:dyDescent="0.25">
      <c r="A3196" s="45" t="s">
        <v>3224</v>
      </c>
      <c r="B3196" s="46" t="s">
        <v>14994</v>
      </c>
      <c r="C3196">
        <v>7</v>
      </c>
      <c r="D3196">
        <v>43</v>
      </c>
    </row>
    <row r="3197" spans="1:4" x14ac:dyDescent="0.25">
      <c r="A3197" s="45" t="s">
        <v>3225</v>
      </c>
      <c r="B3197" s="46" t="s">
        <v>14995</v>
      </c>
      <c r="C3197">
        <v>7</v>
      </c>
      <c r="D3197">
        <v>43</v>
      </c>
    </row>
    <row r="3198" spans="1:4" x14ac:dyDescent="0.25">
      <c r="A3198" s="45" t="s">
        <v>3226</v>
      </c>
      <c r="B3198" s="46" t="s">
        <v>14996</v>
      </c>
      <c r="C3198">
        <v>7</v>
      </c>
      <c r="D3198">
        <v>43</v>
      </c>
    </row>
    <row r="3199" spans="1:4" x14ac:dyDescent="0.25">
      <c r="A3199" s="45" t="s">
        <v>3227</v>
      </c>
      <c r="B3199" s="46" t="s">
        <v>14997</v>
      </c>
      <c r="C3199">
        <v>7</v>
      </c>
      <c r="D3199">
        <v>43</v>
      </c>
    </row>
    <row r="3200" spans="1:4" x14ac:dyDescent="0.25">
      <c r="A3200" s="45" t="s">
        <v>3228</v>
      </c>
      <c r="B3200" s="46" t="s">
        <v>14998</v>
      </c>
      <c r="C3200">
        <v>7</v>
      </c>
      <c r="D3200">
        <v>43</v>
      </c>
    </row>
    <row r="3201" spans="1:4" x14ac:dyDescent="0.25">
      <c r="A3201" s="45" t="s">
        <v>3229</v>
      </c>
      <c r="B3201" s="46" t="s">
        <v>14999</v>
      </c>
      <c r="C3201">
        <v>7</v>
      </c>
      <c r="D3201">
        <v>43</v>
      </c>
    </row>
    <row r="3202" spans="1:4" x14ac:dyDescent="0.25">
      <c r="A3202" s="45" t="s">
        <v>3230</v>
      </c>
      <c r="B3202" s="46" t="s">
        <v>15000</v>
      </c>
      <c r="C3202">
        <v>7</v>
      </c>
      <c r="D3202">
        <v>43</v>
      </c>
    </row>
    <row r="3203" spans="1:4" x14ac:dyDescent="0.25">
      <c r="A3203" s="45" t="s">
        <v>3231</v>
      </c>
      <c r="B3203" s="46" t="s">
        <v>15001</v>
      </c>
      <c r="C3203">
        <v>7</v>
      </c>
      <c r="D3203">
        <v>43</v>
      </c>
    </row>
    <row r="3204" spans="1:4" x14ac:dyDescent="0.25">
      <c r="A3204" s="45" t="s">
        <v>3232</v>
      </c>
      <c r="B3204" s="46" t="s">
        <v>15002</v>
      </c>
      <c r="C3204">
        <v>7</v>
      </c>
      <c r="D3204">
        <v>43</v>
      </c>
    </row>
    <row r="3205" spans="1:4" x14ac:dyDescent="0.25">
      <c r="A3205" s="45" t="s">
        <v>3233</v>
      </c>
      <c r="B3205" s="46" t="s">
        <v>15003</v>
      </c>
      <c r="C3205">
        <v>7</v>
      </c>
      <c r="D3205">
        <v>43</v>
      </c>
    </row>
    <row r="3206" spans="1:4" x14ac:dyDescent="0.25">
      <c r="A3206" s="45" t="s">
        <v>3234</v>
      </c>
      <c r="B3206" s="46" t="s">
        <v>15004</v>
      </c>
      <c r="C3206">
        <v>7</v>
      </c>
      <c r="D3206">
        <v>43</v>
      </c>
    </row>
    <row r="3207" spans="1:4" x14ac:dyDescent="0.25">
      <c r="A3207" s="45" t="s">
        <v>3235</v>
      </c>
      <c r="B3207" s="46" t="s">
        <v>15005</v>
      </c>
      <c r="C3207">
        <v>7</v>
      </c>
      <c r="D3207">
        <v>43</v>
      </c>
    </row>
    <row r="3208" spans="1:4" x14ac:dyDescent="0.25">
      <c r="A3208" s="45" t="s">
        <v>3236</v>
      </c>
      <c r="B3208" s="46" t="s">
        <v>15006</v>
      </c>
      <c r="C3208">
        <v>7</v>
      </c>
      <c r="D3208">
        <v>43</v>
      </c>
    </row>
    <row r="3209" spans="1:4" x14ac:dyDescent="0.25">
      <c r="A3209" s="45" t="s">
        <v>3237</v>
      </c>
      <c r="B3209" s="46" t="s">
        <v>15007</v>
      </c>
      <c r="C3209">
        <v>7</v>
      </c>
      <c r="D3209">
        <v>43</v>
      </c>
    </row>
    <row r="3210" spans="1:4" x14ac:dyDescent="0.25">
      <c r="A3210" s="45" t="s">
        <v>3238</v>
      </c>
      <c r="B3210" s="46" t="s">
        <v>19982</v>
      </c>
      <c r="C3210">
        <v>7</v>
      </c>
      <c r="D3210">
        <v>45</v>
      </c>
    </row>
    <row r="3211" spans="1:4" x14ac:dyDescent="0.25">
      <c r="A3211" s="45" t="s">
        <v>3239</v>
      </c>
      <c r="B3211" s="46" t="s">
        <v>19983</v>
      </c>
      <c r="C3211">
        <v>7</v>
      </c>
      <c r="D3211">
        <v>45</v>
      </c>
    </row>
    <row r="3212" spans="1:4" x14ac:dyDescent="0.25">
      <c r="A3212" s="45" t="s">
        <v>3240</v>
      </c>
      <c r="B3212" s="46" t="s">
        <v>19984</v>
      </c>
      <c r="C3212">
        <v>7</v>
      </c>
      <c r="D3212">
        <v>45</v>
      </c>
    </row>
    <row r="3213" spans="1:4" x14ac:dyDescent="0.25">
      <c r="A3213" s="45" t="s">
        <v>3241</v>
      </c>
      <c r="B3213" s="46" t="s">
        <v>19985</v>
      </c>
      <c r="C3213">
        <v>7</v>
      </c>
      <c r="D3213">
        <v>45</v>
      </c>
    </row>
    <row r="3214" spans="1:4" x14ac:dyDescent="0.25">
      <c r="A3214" s="45" t="s">
        <v>3242</v>
      </c>
      <c r="B3214" s="46" t="s">
        <v>19986</v>
      </c>
      <c r="C3214">
        <v>7</v>
      </c>
      <c r="D3214">
        <v>45</v>
      </c>
    </row>
    <row r="3215" spans="1:4" x14ac:dyDescent="0.25">
      <c r="A3215" s="45" t="s">
        <v>3243</v>
      </c>
      <c r="B3215" s="46" t="s">
        <v>19987</v>
      </c>
      <c r="C3215">
        <v>7</v>
      </c>
      <c r="D3215">
        <v>45</v>
      </c>
    </row>
    <row r="3216" spans="1:4" x14ac:dyDescent="0.25">
      <c r="A3216" s="45" t="s">
        <v>3244</v>
      </c>
      <c r="B3216" s="46" t="s">
        <v>19988</v>
      </c>
      <c r="C3216">
        <v>7</v>
      </c>
      <c r="D3216">
        <v>43</v>
      </c>
    </row>
    <row r="3217" spans="1:4" x14ac:dyDescent="0.25">
      <c r="A3217" s="45" t="s">
        <v>3245</v>
      </c>
      <c r="B3217" s="46" t="s">
        <v>19989</v>
      </c>
      <c r="C3217">
        <v>7</v>
      </c>
      <c r="D3217">
        <v>45</v>
      </c>
    </row>
    <row r="3218" spans="1:4" x14ac:dyDescent="0.25">
      <c r="A3218" s="45" t="s">
        <v>3246</v>
      </c>
      <c r="B3218" s="46" t="s">
        <v>19990</v>
      </c>
      <c r="C3218">
        <v>7</v>
      </c>
      <c r="D3218">
        <v>43</v>
      </c>
    </row>
    <row r="3219" spans="1:4" x14ac:dyDescent="0.25">
      <c r="A3219" s="45" t="s">
        <v>3247</v>
      </c>
      <c r="B3219" s="46" t="s">
        <v>15008</v>
      </c>
      <c r="C3219">
        <v>7</v>
      </c>
      <c r="D3219">
        <v>43</v>
      </c>
    </row>
    <row r="3220" spans="1:4" x14ac:dyDescent="0.25">
      <c r="A3220" s="45" t="s">
        <v>3248</v>
      </c>
      <c r="B3220" s="46" t="s">
        <v>15009</v>
      </c>
      <c r="C3220">
        <v>7</v>
      </c>
      <c r="D3220">
        <v>43</v>
      </c>
    </row>
    <row r="3221" spans="1:4" x14ac:dyDescent="0.25">
      <c r="A3221" s="45" t="s">
        <v>3249</v>
      </c>
      <c r="B3221" s="46" t="s">
        <v>15010</v>
      </c>
      <c r="C3221">
        <v>7</v>
      </c>
      <c r="D3221">
        <v>43</v>
      </c>
    </row>
    <row r="3222" spans="1:4" x14ac:dyDescent="0.25">
      <c r="A3222" s="45" t="s">
        <v>3250</v>
      </c>
      <c r="B3222" s="46" t="s">
        <v>15011</v>
      </c>
      <c r="C3222">
        <v>7</v>
      </c>
      <c r="D3222">
        <v>45</v>
      </c>
    </row>
    <row r="3223" spans="1:4" x14ac:dyDescent="0.25">
      <c r="A3223" s="45" t="s">
        <v>3251</v>
      </c>
      <c r="B3223" s="46" t="s">
        <v>15012</v>
      </c>
      <c r="C3223">
        <v>7</v>
      </c>
      <c r="D3223">
        <v>43</v>
      </c>
    </row>
    <row r="3224" spans="1:4" x14ac:dyDescent="0.25">
      <c r="A3224" s="45" t="s">
        <v>3252</v>
      </c>
      <c r="B3224" s="46" t="s">
        <v>15013</v>
      </c>
      <c r="C3224">
        <v>7</v>
      </c>
      <c r="D3224">
        <v>43</v>
      </c>
    </row>
    <row r="3225" spans="1:4" x14ac:dyDescent="0.25">
      <c r="A3225" s="45" t="s">
        <v>3253</v>
      </c>
      <c r="B3225" s="46" t="s">
        <v>15014</v>
      </c>
      <c r="C3225">
        <v>7</v>
      </c>
      <c r="D3225">
        <v>43</v>
      </c>
    </row>
    <row r="3226" spans="1:4" x14ac:dyDescent="0.25">
      <c r="A3226" s="45" t="s">
        <v>3254</v>
      </c>
      <c r="B3226" s="46" t="s">
        <v>15015</v>
      </c>
      <c r="C3226">
        <v>7</v>
      </c>
      <c r="D3226">
        <v>43</v>
      </c>
    </row>
    <row r="3227" spans="1:4" x14ac:dyDescent="0.25">
      <c r="A3227" s="45" t="s">
        <v>3255</v>
      </c>
      <c r="B3227" s="46" t="s">
        <v>15016</v>
      </c>
      <c r="C3227">
        <v>7</v>
      </c>
      <c r="D3227">
        <v>43</v>
      </c>
    </row>
    <row r="3228" spans="1:4" x14ac:dyDescent="0.25">
      <c r="A3228" s="45" t="s">
        <v>3256</v>
      </c>
      <c r="B3228" s="46" t="s">
        <v>15017</v>
      </c>
      <c r="C3228">
        <v>7</v>
      </c>
      <c r="D3228">
        <v>43</v>
      </c>
    </row>
    <row r="3229" spans="1:4" x14ac:dyDescent="0.25">
      <c r="A3229" s="45" t="s">
        <v>3257</v>
      </c>
      <c r="B3229" s="46" t="s">
        <v>15018</v>
      </c>
      <c r="C3229">
        <v>7</v>
      </c>
      <c r="D3229">
        <v>43</v>
      </c>
    </row>
    <row r="3230" spans="1:4" x14ac:dyDescent="0.25">
      <c r="A3230" s="45" t="s">
        <v>3258</v>
      </c>
      <c r="B3230" s="46" t="s">
        <v>15019</v>
      </c>
      <c r="C3230">
        <v>7</v>
      </c>
      <c r="D3230">
        <v>43</v>
      </c>
    </row>
    <row r="3231" spans="1:4" x14ac:dyDescent="0.25">
      <c r="A3231" s="45" t="s">
        <v>3259</v>
      </c>
      <c r="B3231" s="46" t="s">
        <v>19991</v>
      </c>
      <c r="C3231">
        <v>7</v>
      </c>
      <c r="D3231">
        <v>44</v>
      </c>
    </row>
    <row r="3232" spans="1:4" x14ac:dyDescent="0.25">
      <c r="A3232" s="45" t="s">
        <v>3260</v>
      </c>
      <c r="B3232" s="46" t="s">
        <v>15020</v>
      </c>
      <c r="C3232">
        <v>7</v>
      </c>
      <c r="D3232">
        <v>44</v>
      </c>
    </row>
    <row r="3233" spans="1:4" x14ac:dyDescent="0.25">
      <c r="A3233" s="45" t="s">
        <v>3261</v>
      </c>
      <c r="B3233" s="46" t="s">
        <v>15021</v>
      </c>
      <c r="C3233">
        <v>7</v>
      </c>
      <c r="D3233">
        <v>44</v>
      </c>
    </row>
    <row r="3234" spans="1:4" x14ac:dyDescent="0.25">
      <c r="A3234" s="45" t="s">
        <v>3262</v>
      </c>
      <c r="B3234" s="46" t="s">
        <v>15022</v>
      </c>
      <c r="C3234">
        <v>7</v>
      </c>
      <c r="D3234">
        <v>44</v>
      </c>
    </row>
    <row r="3235" spans="1:4" x14ac:dyDescent="0.25">
      <c r="A3235" s="45" t="s">
        <v>3263</v>
      </c>
      <c r="B3235" s="46" t="s">
        <v>15023</v>
      </c>
      <c r="C3235">
        <v>7</v>
      </c>
      <c r="D3235">
        <v>44</v>
      </c>
    </row>
    <row r="3236" spans="1:4" x14ac:dyDescent="0.25">
      <c r="A3236" s="45" t="s">
        <v>3264</v>
      </c>
      <c r="B3236" s="46" t="s">
        <v>19992</v>
      </c>
      <c r="C3236">
        <v>7</v>
      </c>
      <c r="D3236">
        <v>44</v>
      </c>
    </row>
    <row r="3237" spans="1:4" x14ac:dyDescent="0.25">
      <c r="A3237" s="45" t="s">
        <v>3265</v>
      </c>
      <c r="B3237" s="46" t="s">
        <v>15024</v>
      </c>
      <c r="C3237">
        <v>7</v>
      </c>
      <c r="D3237">
        <v>44</v>
      </c>
    </row>
    <row r="3238" spans="1:4" x14ac:dyDescent="0.25">
      <c r="A3238" s="45" t="s">
        <v>3266</v>
      </c>
      <c r="B3238" s="46" t="s">
        <v>15025</v>
      </c>
      <c r="C3238">
        <v>7</v>
      </c>
      <c r="D3238">
        <v>44</v>
      </c>
    </row>
    <row r="3239" spans="1:4" x14ac:dyDescent="0.25">
      <c r="A3239" s="45" t="s">
        <v>3267</v>
      </c>
      <c r="B3239" s="46" t="s">
        <v>15026</v>
      </c>
      <c r="C3239">
        <v>7</v>
      </c>
      <c r="D3239">
        <v>44</v>
      </c>
    </row>
    <row r="3240" spans="1:4" x14ac:dyDescent="0.25">
      <c r="A3240" s="45" t="s">
        <v>3268</v>
      </c>
      <c r="B3240" s="46" t="s">
        <v>15027</v>
      </c>
      <c r="C3240">
        <v>7</v>
      </c>
      <c r="D3240">
        <v>44</v>
      </c>
    </row>
    <row r="3241" spans="1:4" x14ac:dyDescent="0.25">
      <c r="A3241" s="45" t="s">
        <v>3269</v>
      </c>
      <c r="B3241" s="46" t="s">
        <v>15028</v>
      </c>
      <c r="C3241">
        <v>7</v>
      </c>
      <c r="D3241">
        <v>45</v>
      </c>
    </row>
    <row r="3242" spans="1:4" x14ac:dyDescent="0.25">
      <c r="A3242" s="45" t="s">
        <v>3270</v>
      </c>
      <c r="B3242" s="46" t="s">
        <v>15029</v>
      </c>
      <c r="C3242">
        <v>7</v>
      </c>
      <c r="D3242">
        <v>45</v>
      </c>
    </row>
    <row r="3243" spans="1:4" x14ac:dyDescent="0.25">
      <c r="A3243" s="45" t="s">
        <v>3271</v>
      </c>
      <c r="B3243" s="46" t="s">
        <v>15030</v>
      </c>
      <c r="C3243">
        <v>7</v>
      </c>
      <c r="D3243">
        <v>40</v>
      </c>
    </row>
    <row r="3244" spans="1:4" x14ac:dyDescent="0.25">
      <c r="A3244" s="45" t="s">
        <v>3272</v>
      </c>
      <c r="B3244" s="46" t="s">
        <v>15031</v>
      </c>
      <c r="C3244">
        <v>7</v>
      </c>
      <c r="D3244">
        <v>45</v>
      </c>
    </row>
    <row r="3245" spans="1:4" x14ac:dyDescent="0.25">
      <c r="A3245" s="45" t="s">
        <v>3273</v>
      </c>
      <c r="B3245" s="46" t="s">
        <v>15032</v>
      </c>
      <c r="C3245">
        <v>7</v>
      </c>
      <c r="D3245">
        <v>45</v>
      </c>
    </row>
    <row r="3246" spans="1:4" x14ac:dyDescent="0.25">
      <c r="A3246" s="45" t="s">
        <v>3274</v>
      </c>
      <c r="B3246" s="46" t="s">
        <v>15033</v>
      </c>
      <c r="C3246">
        <v>7</v>
      </c>
      <c r="D3246">
        <v>45</v>
      </c>
    </row>
    <row r="3247" spans="1:4" x14ac:dyDescent="0.25">
      <c r="A3247" s="45" t="s">
        <v>3275</v>
      </c>
      <c r="B3247" s="46" t="s">
        <v>15034</v>
      </c>
      <c r="C3247">
        <v>7</v>
      </c>
      <c r="D3247">
        <v>45</v>
      </c>
    </row>
    <row r="3248" spans="1:4" x14ac:dyDescent="0.25">
      <c r="A3248" s="45" t="s">
        <v>3276</v>
      </c>
      <c r="B3248" s="46" t="s">
        <v>15035</v>
      </c>
      <c r="C3248">
        <v>7</v>
      </c>
      <c r="D3248">
        <v>45</v>
      </c>
    </row>
    <row r="3249" spans="1:4" x14ac:dyDescent="0.25">
      <c r="A3249" s="45" t="s">
        <v>3277</v>
      </c>
      <c r="B3249" s="46" t="s">
        <v>15036</v>
      </c>
      <c r="C3249">
        <v>7</v>
      </c>
      <c r="D3249">
        <v>45</v>
      </c>
    </row>
    <row r="3250" spans="1:4" x14ac:dyDescent="0.25">
      <c r="A3250" s="45" t="s">
        <v>3278</v>
      </c>
      <c r="B3250" s="46" t="s">
        <v>15037</v>
      </c>
      <c r="C3250">
        <v>7</v>
      </c>
      <c r="D3250">
        <v>45</v>
      </c>
    </row>
    <row r="3251" spans="1:4" x14ac:dyDescent="0.25">
      <c r="A3251" s="45" t="s">
        <v>3279</v>
      </c>
      <c r="B3251" s="46" t="s">
        <v>15038</v>
      </c>
      <c r="C3251">
        <v>7</v>
      </c>
      <c r="D3251">
        <v>45</v>
      </c>
    </row>
    <row r="3252" spans="1:4" x14ac:dyDescent="0.25">
      <c r="A3252" s="45" t="s">
        <v>3280</v>
      </c>
      <c r="B3252" s="46" t="s">
        <v>15039</v>
      </c>
      <c r="C3252">
        <v>7</v>
      </c>
      <c r="D3252">
        <v>45</v>
      </c>
    </row>
    <row r="3253" spans="1:4" x14ac:dyDescent="0.25">
      <c r="A3253" s="45" t="s">
        <v>3281</v>
      </c>
      <c r="B3253" s="46" t="s">
        <v>15040</v>
      </c>
      <c r="C3253">
        <v>7</v>
      </c>
      <c r="D3253">
        <v>45</v>
      </c>
    </row>
    <row r="3254" spans="1:4" x14ac:dyDescent="0.25">
      <c r="A3254" s="45" t="s">
        <v>3282</v>
      </c>
      <c r="B3254" s="46" t="s">
        <v>19993</v>
      </c>
      <c r="C3254">
        <v>7</v>
      </c>
      <c r="D3254">
        <v>45</v>
      </c>
    </row>
    <row r="3255" spans="1:4" x14ac:dyDescent="0.25">
      <c r="A3255" s="45" t="s">
        <v>3283</v>
      </c>
      <c r="B3255" s="46" t="s">
        <v>15041</v>
      </c>
      <c r="C3255">
        <v>7</v>
      </c>
      <c r="D3255">
        <v>45</v>
      </c>
    </row>
    <row r="3256" spans="1:4" x14ac:dyDescent="0.25">
      <c r="A3256" s="45" t="s">
        <v>3284</v>
      </c>
      <c r="B3256" s="46" t="s">
        <v>15042</v>
      </c>
      <c r="C3256">
        <v>7</v>
      </c>
      <c r="D3256">
        <v>45</v>
      </c>
    </row>
    <row r="3257" spans="1:4" x14ac:dyDescent="0.25">
      <c r="A3257" s="45" t="s">
        <v>3285</v>
      </c>
      <c r="B3257" s="46" t="s">
        <v>15043</v>
      </c>
      <c r="C3257">
        <v>7</v>
      </c>
      <c r="D3257">
        <v>45</v>
      </c>
    </row>
    <row r="3258" spans="1:4" x14ac:dyDescent="0.25">
      <c r="A3258" s="45" t="s">
        <v>3286</v>
      </c>
      <c r="B3258" s="46" t="s">
        <v>15044</v>
      </c>
      <c r="C3258">
        <v>7</v>
      </c>
      <c r="D3258">
        <v>45</v>
      </c>
    </row>
    <row r="3259" spans="1:4" x14ac:dyDescent="0.25">
      <c r="A3259" s="45" t="s">
        <v>3287</v>
      </c>
      <c r="B3259" s="46" t="s">
        <v>15045</v>
      </c>
      <c r="C3259">
        <v>7</v>
      </c>
      <c r="D3259">
        <v>45</v>
      </c>
    </row>
    <row r="3260" spans="1:4" x14ac:dyDescent="0.25">
      <c r="A3260" s="45" t="s">
        <v>3288</v>
      </c>
      <c r="B3260" s="46" t="s">
        <v>15046</v>
      </c>
      <c r="C3260">
        <v>7</v>
      </c>
      <c r="D3260">
        <v>45</v>
      </c>
    </row>
    <row r="3261" spans="1:4" x14ac:dyDescent="0.25">
      <c r="A3261" s="45" t="s">
        <v>3289</v>
      </c>
      <c r="B3261" s="46" t="s">
        <v>15047</v>
      </c>
      <c r="C3261">
        <v>7</v>
      </c>
      <c r="D3261">
        <v>45</v>
      </c>
    </row>
    <row r="3262" spans="1:4" x14ac:dyDescent="0.25">
      <c r="A3262" s="45" t="s">
        <v>3290</v>
      </c>
      <c r="B3262" s="46" t="s">
        <v>15048</v>
      </c>
      <c r="C3262">
        <v>7</v>
      </c>
      <c r="D3262">
        <v>45</v>
      </c>
    </row>
    <row r="3263" spans="1:4" x14ac:dyDescent="0.25">
      <c r="A3263" s="45" t="s">
        <v>3291</v>
      </c>
      <c r="B3263" s="46" t="s">
        <v>15049</v>
      </c>
      <c r="C3263">
        <v>7</v>
      </c>
      <c r="D3263">
        <v>45</v>
      </c>
    </row>
    <row r="3264" spans="1:4" x14ac:dyDescent="0.25">
      <c r="A3264" s="45" t="s">
        <v>3292</v>
      </c>
      <c r="B3264" s="46" t="s">
        <v>15050</v>
      </c>
      <c r="C3264">
        <v>7</v>
      </c>
      <c r="D3264">
        <v>45</v>
      </c>
    </row>
    <row r="3265" spans="1:4" x14ac:dyDescent="0.25">
      <c r="A3265" s="45" t="s">
        <v>3293</v>
      </c>
      <c r="B3265" s="46" t="s">
        <v>15051</v>
      </c>
      <c r="C3265">
        <v>7</v>
      </c>
      <c r="D3265">
        <v>45</v>
      </c>
    </row>
    <row r="3266" spans="1:4" x14ac:dyDescent="0.25">
      <c r="A3266" s="45" t="s">
        <v>3294</v>
      </c>
      <c r="B3266" s="46" t="s">
        <v>15052</v>
      </c>
      <c r="C3266">
        <v>7</v>
      </c>
      <c r="D3266">
        <v>45</v>
      </c>
    </row>
    <row r="3267" spans="1:4" x14ac:dyDescent="0.25">
      <c r="A3267" s="45" t="s">
        <v>3295</v>
      </c>
      <c r="B3267" s="46" t="s">
        <v>15053</v>
      </c>
      <c r="C3267">
        <v>7</v>
      </c>
      <c r="D3267">
        <v>45</v>
      </c>
    </row>
    <row r="3268" spans="1:4" x14ac:dyDescent="0.25">
      <c r="A3268" s="45" t="s">
        <v>3296</v>
      </c>
      <c r="B3268" s="46" t="s">
        <v>19994</v>
      </c>
      <c r="C3268">
        <v>7</v>
      </c>
      <c r="D3268">
        <v>45</v>
      </c>
    </row>
    <row r="3269" spans="1:4" x14ac:dyDescent="0.25">
      <c r="A3269" s="45" t="s">
        <v>3297</v>
      </c>
      <c r="B3269" s="46" t="s">
        <v>15054</v>
      </c>
      <c r="C3269">
        <v>7</v>
      </c>
      <c r="D3269">
        <v>45</v>
      </c>
    </row>
    <row r="3270" spans="1:4" x14ac:dyDescent="0.25">
      <c r="A3270" s="45" t="s">
        <v>3298</v>
      </c>
      <c r="B3270" s="46" t="s">
        <v>15055</v>
      </c>
      <c r="C3270">
        <v>7</v>
      </c>
      <c r="D3270">
        <v>45</v>
      </c>
    </row>
    <row r="3271" spans="1:4" x14ac:dyDescent="0.25">
      <c r="A3271" s="45" t="s">
        <v>3299</v>
      </c>
      <c r="B3271" s="46" t="s">
        <v>15056</v>
      </c>
      <c r="C3271">
        <v>7</v>
      </c>
      <c r="D3271">
        <v>45</v>
      </c>
    </row>
    <row r="3272" spans="1:4" x14ac:dyDescent="0.25">
      <c r="A3272" s="45" t="s">
        <v>3300</v>
      </c>
      <c r="B3272" s="46" t="s">
        <v>15057</v>
      </c>
      <c r="C3272">
        <v>7</v>
      </c>
      <c r="D3272">
        <v>45</v>
      </c>
    </row>
    <row r="3273" spans="1:4" x14ac:dyDescent="0.25">
      <c r="A3273" s="45" t="s">
        <v>3301</v>
      </c>
      <c r="B3273" s="46" t="s">
        <v>15058</v>
      </c>
      <c r="C3273">
        <v>7</v>
      </c>
      <c r="D3273">
        <v>45</v>
      </c>
    </row>
    <row r="3274" spans="1:4" x14ac:dyDescent="0.25">
      <c r="A3274" s="45" t="s">
        <v>3302</v>
      </c>
      <c r="B3274" s="46" t="s">
        <v>15059</v>
      </c>
      <c r="C3274">
        <v>7</v>
      </c>
      <c r="D3274">
        <v>45</v>
      </c>
    </row>
    <row r="3275" spans="1:4" x14ac:dyDescent="0.25">
      <c r="A3275" s="45" t="s">
        <v>3303</v>
      </c>
      <c r="B3275" s="46" t="s">
        <v>15060</v>
      </c>
      <c r="C3275">
        <v>7</v>
      </c>
      <c r="D3275">
        <v>45</v>
      </c>
    </row>
    <row r="3276" spans="1:4" x14ac:dyDescent="0.25">
      <c r="A3276" s="45" t="s">
        <v>3304</v>
      </c>
      <c r="B3276" s="46" t="s">
        <v>15061</v>
      </c>
      <c r="C3276">
        <v>7</v>
      </c>
      <c r="D3276">
        <v>45</v>
      </c>
    </row>
    <row r="3277" spans="1:4" x14ac:dyDescent="0.25">
      <c r="A3277" s="45" t="s">
        <v>3305</v>
      </c>
      <c r="B3277" s="46" t="s">
        <v>15062</v>
      </c>
      <c r="C3277">
        <v>7</v>
      </c>
      <c r="D3277">
        <v>45</v>
      </c>
    </row>
    <row r="3278" spans="1:4" x14ac:dyDescent="0.25">
      <c r="A3278" s="45" t="s">
        <v>3306</v>
      </c>
      <c r="B3278" s="46" t="s">
        <v>15063</v>
      </c>
      <c r="C3278">
        <v>7</v>
      </c>
      <c r="D3278">
        <v>45</v>
      </c>
    </row>
    <row r="3279" spans="1:4" x14ac:dyDescent="0.25">
      <c r="A3279" s="45" t="s">
        <v>3307</v>
      </c>
      <c r="B3279" s="46" t="s">
        <v>19995</v>
      </c>
      <c r="C3279">
        <v>7</v>
      </c>
      <c r="D3279">
        <v>45</v>
      </c>
    </row>
    <row r="3280" spans="1:4" x14ac:dyDescent="0.25">
      <c r="A3280" s="45" t="s">
        <v>3308</v>
      </c>
      <c r="B3280" s="46" t="s">
        <v>19996</v>
      </c>
      <c r="C3280">
        <v>7</v>
      </c>
      <c r="D3280">
        <v>45</v>
      </c>
    </row>
    <row r="3281" spans="1:4" x14ac:dyDescent="0.25">
      <c r="A3281" s="45" t="s">
        <v>3309</v>
      </c>
      <c r="B3281" s="46" t="s">
        <v>19997</v>
      </c>
      <c r="C3281">
        <v>7</v>
      </c>
      <c r="D3281">
        <v>41</v>
      </c>
    </row>
    <row r="3282" spans="1:4" x14ac:dyDescent="0.25">
      <c r="A3282" s="45" t="s">
        <v>3310</v>
      </c>
      <c r="B3282" s="46" t="s">
        <v>19998</v>
      </c>
      <c r="C3282">
        <v>7</v>
      </c>
      <c r="D3282">
        <v>45</v>
      </c>
    </row>
    <row r="3283" spans="1:4" x14ac:dyDescent="0.25">
      <c r="A3283" s="45" t="s">
        <v>3311</v>
      </c>
      <c r="B3283" s="46" t="s">
        <v>19999</v>
      </c>
      <c r="C3283">
        <v>7</v>
      </c>
      <c r="D3283">
        <v>45</v>
      </c>
    </row>
    <row r="3284" spans="1:4" x14ac:dyDescent="0.25">
      <c r="A3284" s="45" t="s">
        <v>3312</v>
      </c>
      <c r="B3284" s="46" t="s">
        <v>20000</v>
      </c>
      <c r="C3284">
        <v>7</v>
      </c>
      <c r="D3284">
        <v>45</v>
      </c>
    </row>
    <row r="3285" spans="1:4" x14ac:dyDescent="0.25">
      <c r="A3285" s="45" t="s">
        <v>3313</v>
      </c>
      <c r="B3285" s="46" t="s">
        <v>15064</v>
      </c>
      <c r="C3285">
        <v>7</v>
      </c>
      <c r="D3285">
        <v>45</v>
      </c>
    </row>
    <row r="3286" spans="1:4" x14ac:dyDescent="0.25">
      <c r="A3286" s="45" t="s">
        <v>3314</v>
      </c>
      <c r="B3286" s="46" t="s">
        <v>15065</v>
      </c>
      <c r="C3286">
        <v>7</v>
      </c>
      <c r="D3286">
        <v>45</v>
      </c>
    </row>
    <row r="3287" spans="1:4" x14ac:dyDescent="0.25">
      <c r="A3287" s="45" t="s">
        <v>3315</v>
      </c>
      <c r="B3287" s="46" t="s">
        <v>15066</v>
      </c>
      <c r="C3287">
        <v>7</v>
      </c>
      <c r="D3287">
        <v>45</v>
      </c>
    </row>
    <row r="3288" spans="1:4" x14ac:dyDescent="0.25">
      <c r="A3288" s="45" t="s">
        <v>3316</v>
      </c>
      <c r="B3288" s="46" t="s">
        <v>15067</v>
      </c>
      <c r="C3288">
        <v>7</v>
      </c>
      <c r="D3288">
        <v>45</v>
      </c>
    </row>
    <row r="3289" spans="1:4" x14ac:dyDescent="0.25">
      <c r="A3289" s="45" t="s">
        <v>3317</v>
      </c>
      <c r="B3289" s="46" t="s">
        <v>15068</v>
      </c>
      <c r="C3289">
        <v>7</v>
      </c>
      <c r="D3289">
        <v>45</v>
      </c>
    </row>
    <row r="3290" spans="1:4" x14ac:dyDescent="0.25">
      <c r="A3290" s="45" t="s">
        <v>3318</v>
      </c>
      <c r="B3290" s="46" t="s">
        <v>15069</v>
      </c>
      <c r="C3290">
        <v>7</v>
      </c>
      <c r="D3290">
        <v>45</v>
      </c>
    </row>
    <row r="3291" spans="1:4" x14ac:dyDescent="0.25">
      <c r="A3291" s="45" t="s">
        <v>3319</v>
      </c>
      <c r="B3291" s="46" t="s">
        <v>20001</v>
      </c>
      <c r="C3291">
        <v>7</v>
      </c>
      <c r="D3291">
        <v>45</v>
      </c>
    </row>
    <row r="3292" spans="1:4" x14ac:dyDescent="0.25">
      <c r="A3292" s="45" t="s">
        <v>3320</v>
      </c>
      <c r="B3292" s="46" t="s">
        <v>15070</v>
      </c>
      <c r="C3292">
        <v>7</v>
      </c>
      <c r="D3292">
        <v>45</v>
      </c>
    </row>
    <row r="3293" spans="1:4" x14ac:dyDescent="0.25">
      <c r="A3293" s="45" t="s">
        <v>3321</v>
      </c>
      <c r="B3293" s="46" t="s">
        <v>15071</v>
      </c>
      <c r="C3293">
        <v>7</v>
      </c>
      <c r="D3293">
        <v>45</v>
      </c>
    </row>
    <row r="3294" spans="1:4" x14ac:dyDescent="0.25">
      <c r="A3294" s="45" t="s">
        <v>3322</v>
      </c>
      <c r="B3294" s="46" t="s">
        <v>15072</v>
      </c>
      <c r="C3294">
        <v>7</v>
      </c>
      <c r="D3294">
        <v>45</v>
      </c>
    </row>
    <row r="3295" spans="1:4" x14ac:dyDescent="0.25">
      <c r="A3295" s="45" t="s">
        <v>3323</v>
      </c>
      <c r="B3295" s="46" t="s">
        <v>20002</v>
      </c>
      <c r="C3295">
        <v>7</v>
      </c>
      <c r="D3295">
        <v>45</v>
      </c>
    </row>
    <row r="3296" spans="1:4" x14ac:dyDescent="0.25">
      <c r="A3296" s="45" t="s">
        <v>3324</v>
      </c>
      <c r="B3296" s="46" t="s">
        <v>15073</v>
      </c>
      <c r="C3296">
        <v>7</v>
      </c>
      <c r="D3296">
        <v>45</v>
      </c>
    </row>
    <row r="3297" spans="1:4" x14ac:dyDescent="0.25">
      <c r="A3297" s="45" t="s">
        <v>3325</v>
      </c>
      <c r="B3297" s="46" t="s">
        <v>15074</v>
      </c>
      <c r="C3297">
        <v>7</v>
      </c>
      <c r="D3297">
        <v>45</v>
      </c>
    </row>
    <row r="3298" spans="1:4" x14ac:dyDescent="0.25">
      <c r="A3298" s="45" t="s">
        <v>3326</v>
      </c>
      <c r="B3298" s="46" t="s">
        <v>15075</v>
      </c>
      <c r="C3298">
        <v>7</v>
      </c>
      <c r="D3298">
        <v>45</v>
      </c>
    </row>
    <row r="3299" spans="1:4" x14ac:dyDescent="0.25">
      <c r="A3299" s="45" t="s">
        <v>3327</v>
      </c>
      <c r="B3299" s="46" t="s">
        <v>15076</v>
      </c>
      <c r="C3299">
        <v>7</v>
      </c>
      <c r="D3299">
        <v>45</v>
      </c>
    </row>
    <row r="3300" spans="1:4" x14ac:dyDescent="0.25">
      <c r="A3300" s="45" t="s">
        <v>3328</v>
      </c>
      <c r="B3300" s="46" t="s">
        <v>20003</v>
      </c>
      <c r="C3300">
        <v>7</v>
      </c>
      <c r="D3300">
        <v>45</v>
      </c>
    </row>
    <row r="3301" spans="1:4" x14ac:dyDescent="0.25">
      <c r="A3301" s="45" t="s">
        <v>3329</v>
      </c>
      <c r="B3301" s="46" t="s">
        <v>20004</v>
      </c>
      <c r="C3301">
        <v>7</v>
      </c>
      <c r="D3301">
        <v>45</v>
      </c>
    </row>
    <row r="3302" spans="1:4" x14ac:dyDescent="0.25">
      <c r="A3302" s="45" t="s">
        <v>3330</v>
      </c>
      <c r="B3302" s="46" t="s">
        <v>15077</v>
      </c>
      <c r="C3302">
        <v>7</v>
      </c>
      <c r="D3302">
        <v>45</v>
      </c>
    </row>
    <row r="3303" spans="1:4" x14ac:dyDescent="0.25">
      <c r="A3303" s="45" t="s">
        <v>3331</v>
      </c>
      <c r="B3303" s="46" t="s">
        <v>20005</v>
      </c>
      <c r="C3303">
        <v>7</v>
      </c>
      <c r="D3303">
        <v>45</v>
      </c>
    </row>
    <row r="3304" spans="1:4" x14ac:dyDescent="0.25">
      <c r="A3304" s="45" t="s">
        <v>3332</v>
      </c>
      <c r="B3304" s="46" t="s">
        <v>15078</v>
      </c>
      <c r="C3304">
        <v>7</v>
      </c>
      <c r="D3304">
        <v>45</v>
      </c>
    </row>
    <row r="3305" spans="1:4" x14ac:dyDescent="0.25">
      <c r="A3305" s="45" t="s">
        <v>3333</v>
      </c>
      <c r="B3305" s="46" t="s">
        <v>15079</v>
      </c>
      <c r="C3305">
        <v>7</v>
      </c>
      <c r="D3305">
        <v>45</v>
      </c>
    </row>
    <row r="3306" spans="1:4" x14ac:dyDescent="0.25">
      <c r="A3306" s="45" t="s">
        <v>3334</v>
      </c>
      <c r="B3306" s="46" t="s">
        <v>15080</v>
      </c>
      <c r="C3306">
        <v>7</v>
      </c>
      <c r="D3306">
        <v>45</v>
      </c>
    </row>
    <row r="3307" spans="1:4" x14ac:dyDescent="0.25">
      <c r="A3307" s="45" t="s">
        <v>3335</v>
      </c>
      <c r="B3307" s="46" t="s">
        <v>15081</v>
      </c>
      <c r="C3307">
        <v>7</v>
      </c>
      <c r="D3307">
        <v>45</v>
      </c>
    </row>
    <row r="3308" spans="1:4" x14ac:dyDescent="0.25">
      <c r="A3308" s="45" t="s">
        <v>3336</v>
      </c>
      <c r="B3308" s="46" t="s">
        <v>15082</v>
      </c>
      <c r="C3308">
        <v>7</v>
      </c>
      <c r="D3308">
        <v>45</v>
      </c>
    </row>
    <row r="3309" spans="1:4" x14ac:dyDescent="0.25">
      <c r="A3309" s="45" t="s">
        <v>3337</v>
      </c>
      <c r="B3309" s="46" t="s">
        <v>15083</v>
      </c>
      <c r="C3309">
        <v>7</v>
      </c>
      <c r="D3309">
        <v>45</v>
      </c>
    </row>
    <row r="3310" spans="1:4" x14ac:dyDescent="0.25">
      <c r="A3310" s="45" t="s">
        <v>3338</v>
      </c>
      <c r="B3310" s="46" t="s">
        <v>15084</v>
      </c>
      <c r="C3310">
        <v>7</v>
      </c>
      <c r="D3310">
        <v>45</v>
      </c>
    </row>
    <row r="3311" spans="1:4" x14ac:dyDescent="0.25">
      <c r="A3311" s="45" t="s">
        <v>3339</v>
      </c>
      <c r="B3311" s="46" t="s">
        <v>15085</v>
      </c>
      <c r="C3311">
        <v>7</v>
      </c>
      <c r="D3311">
        <v>45</v>
      </c>
    </row>
    <row r="3312" spans="1:4" x14ac:dyDescent="0.25">
      <c r="A3312" s="45" t="s">
        <v>3340</v>
      </c>
      <c r="B3312" s="46" t="s">
        <v>15086</v>
      </c>
      <c r="C3312">
        <v>7</v>
      </c>
      <c r="D3312">
        <v>45</v>
      </c>
    </row>
    <row r="3313" spans="1:4" x14ac:dyDescent="0.25">
      <c r="A3313" s="45" t="s">
        <v>3341</v>
      </c>
      <c r="B3313" s="46" t="s">
        <v>15087</v>
      </c>
      <c r="C3313">
        <v>7</v>
      </c>
      <c r="D3313">
        <v>45</v>
      </c>
    </row>
    <row r="3314" spans="1:4" x14ac:dyDescent="0.25">
      <c r="A3314" s="45" t="s">
        <v>3342</v>
      </c>
      <c r="B3314" s="46" t="s">
        <v>15088</v>
      </c>
      <c r="C3314">
        <v>7</v>
      </c>
      <c r="D3314">
        <v>45</v>
      </c>
    </row>
    <row r="3315" spans="1:4" x14ac:dyDescent="0.25">
      <c r="A3315" s="45" t="s">
        <v>3343</v>
      </c>
      <c r="B3315" s="46" t="s">
        <v>15089</v>
      </c>
      <c r="C3315">
        <v>7</v>
      </c>
      <c r="D3315">
        <v>45</v>
      </c>
    </row>
    <row r="3316" spans="1:4" x14ac:dyDescent="0.25">
      <c r="A3316" s="45" t="s">
        <v>3344</v>
      </c>
      <c r="B3316" s="46" t="s">
        <v>15090</v>
      </c>
      <c r="C3316">
        <v>7</v>
      </c>
      <c r="D3316">
        <v>45</v>
      </c>
    </row>
    <row r="3317" spans="1:4" x14ac:dyDescent="0.25">
      <c r="A3317" s="45" t="s">
        <v>3345</v>
      </c>
      <c r="B3317" s="46" t="s">
        <v>15091</v>
      </c>
      <c r="C3317">
        <v>7</v>
      </c>
      <c r="D3317">
        <v>45</v>
      </c>
    </row>
    <row r="3318" spans="1:4" x14ac:dyDescent="0.25">
      <c r="A3318" s="45" t="s">
        <v>3346</v>
      </c>
      <c r="B3318" s="46" t="s">
        <v>15092</v>
      </c>
      <c r="C3318">
        <v>7</v>
      </c>
      <c r="D3318">
        <v>45</v>
      </c>
    </row>
    <row r="3319" spans="1:4" x14ac:dyDescent="0.25">
      <c r="A3319" s="45" t="s">
        <v>3347</v>
      </c>
      <c r="B3319" s="46" t="s">
        <v>15093</v>
      </c>
      <c r="C3319">
        <v>7</v>
      </c>
      <c r="D3319">
        <v>45</v>
      </c>
    </row>
    <row r="3320" spans="1:4" x14ac:dyDescent="0.25">
      <c r="A3320" s="45" t="s">
        <v>3348</v>
      </c>
      <c r="B3320" s="46" t="s">
        <v>15094</v>
      </c>
      <c r="C3320">
        <v>7</v>
      </c>
      <c r="D3320">
        <v>45</v>
      </c>
    </row>
    <row r="3321" spans="1:4" x14ac:dyDescent="0.25">
      <c r="A3321" s="45" t="s">
        <v>3349</v>
      </c>
      <c r="B3321" s="46" t="s">
        <v>15095</v>
      </c>
      <c r="C3321">
        <v>7</v>
      </c>
      <c r="D3321">
        <v>45</v>
      </c>
    </row>
    <row r="3322" spans="1:4" x14ac:dyDescent="0.25">
      <c r="A3322" s="45" t="s">
        <v>3350</v>
      </c>
      <c r="B3322" s="46" t="s">
        <v>15096</v>
      </c>
      <c r="C3322">
        <v>7</v>
      </c>
      <c r="D3322">
        <v>45</v>
      </c>
    </row>
    <row r="3323" spans="1:4" x14ac:dyDescent="0.25">
      <c r="A3323" s="45" t="s">
        <v>3351</v>
      </c>
      <c r="B3323" s="46" t="s">
        <v>15097</v>
      </c>
      <c r="C3323">
        <v>7</v>
      </c>
      <c r="D3323">
        <v>45</v>
      </c>
    </row>
    <row r="3324" spans="1:4" x14ac:dyDescent="0.25">
      <c r="A3324" s="45" t="s">
        <v>3352</v>
      </c>
      <c r="B3324" s="46" t="s">
        <v>15098</v>
      </c>
      <c r="C3324">
        <v>7</v>
      </c>
      <c r="D3324">
        <v>45</v>
      </c>
    </row>
    <row r="3325" spans="1:4" x14ac:dyDescent="0.25">
      <c r="A3325" s="45" t="s">
        <v>3353</v>
      </c>
      <c r="B3325" s="46" t="s">
        <v>15099</v>
      </c>
      <c r="C3325">
        <v>7</v>
      </c>
      <c r="D3325">
        <v>45</v>
      </c>
    </row>
    <row r="3326" spans="1:4" x14ac:dyDescent="0.25">
      <c r="A3326" s="45" t="s">
        <v>3354</v>
      </c>
      <c r="B3326" s="46" t="s">
        <v>15100</v>
      </c>
      <c r="C3326">
        <v>7</v>
      </c>
      <c r="D3326">
        <v>45</v>
      </c>
    </row>
    <row r="3327" spans="1:4" x14ac:dyDescent="0.25">
      <c r="A3327" s="45" t="s">
        <v>3355</v>
      </c>
      <c r="B3327" s="46" t="s">
        <v>15101</v>
      </c>
      <c r="C3327">
        <v>7</v>
      </c>
      <c r="D3327">
        <v>45</v>
      </c>
    </row>
    <row r="3328" spans="1:4" x14ac:dyDescent="0.25">
      <c r="A3328" s="45" t="s">
        <v>3356</v>
      </c>
      <c r="B3328" s="46" t="s">
        <v>15102</v>
      </c>
      <c r="C3328">
        <v>7</v>
      </c>
      <c r="D3328">
        <v>45</v>
      </c>
    </row>
    <row r="3329" spans="1:4" x14ac:dyDescent="0.25">
      <c r="A3329" s="45" t="s">
        <v>3357</v>
      </c>
      <c r="B3329" s="46" t="s">
        <v>15103</v>
      </c>
      <c r="C3329">
        <v>7</v>
      </c>
      <c r="D3329">
        <v>45</v>
      </c>
    </row>
    <row r="3330" spans="1:4" x14ac:dyDescent="0.25">
      <c r="A3330" s="45" t="s">
        <v>3358</v>
      </c>
      <c r="B3330" s="46" t="s">
        <v>15104</v>
      </c>
      <c r="C3330">
        <v>7</v>
      </c>
      <c r="D3330">
        <v>45</v>
      </c>
    </row>
    <row r="3331" spans="1:4" x14ac:dyDescent="0.25">
      <c r="A3331" s="45" t="s">
        <v>3359</v>
      </c>
      <c r="B3331" s="46" t="s">
        <v>15105</v>
      </c>
      <c r="C3331">
        <v>7</v>
      </c>
      <c r="D3331">
        <v>45</v>
      </c>
    </row>
    <row r="3332" spans="1:4" x14ac:dyDescent="0.25">
      <c r="A3332" s="45" t="s">
        <v>3360</v>
      </c>
      <c r="B3332" s="46" t="s">
        <v>15106</v>
      </c>
      <c r="C3332">
        <v>7</v>
      </c>
      <c r="D3332">
        <v>45</v>
      </c>
    </row>
    <row r="3333" spans="1:4" x14ac:dyDescent="0.25">
      <c r="A3333" s="45" t="s">
        <v>3361</v>
      </c>
      <c r="B3333" s="46" t="s">
        <v>15107</v>
      </c>
      <c r="C3333">
        <v>7</v>
      </c>
      <c r="D3333">
        <v>45</v>
      </c>
    </row>
    <row r="3334" spans="1:4" x14ac:dyDescent="0.25">
      <c r="A3334" s="45" t="s">
        <v>3362</v>
      </c>
      <c r="B3334" s="46" t="s">
        <v>15108</v>
      </c>
      <c r="C3334">
        <v>7</v>
      </c>
      <c r="D3334">
        <v>45</v>
      </c>
    </row>
    <row r="3335" spans="1:4" x14ac:dyDescent="0.25">
      <c r="A3335" s="45" t="s">
        <v>3363</v>
      </c>
      <c r="B3335" s="46" t="s">
        <v>15109</v>
      </c>
      <c r="C3335">
        <v>7</v>
      </c>
      <c r="D3335">
        <v>45</v>
      </c>
    </row>
    <row r="3336" spans="1:4" x14ac:dyDescent="0.25">
      <c r="A3336" s="45" t="s">
        <v>3364</v>
      </c>
      <c r="B3336" s="46" t="s">
        <v>15110</v>
      </c>
      <c r="C3336">
        <v>7</v>
      </c>
      <c r="D3336">
        <v>45</v>
      </c>
    </row>
    <row r="3337" spans="1:4" x14ac:dyDescent="0.25">
      <c r="A3337" s="45" t="s">
        <v>3365</v>
      </c>
      <c r="B3337" s="46" t="s">
        <v>15111</v>
      </c>
      <c r="C3337">
        <v>7</v>
      </c>
      <c r="D3337">
        <v>45</v>
      </c>
    </row>
    <row r="3338" spans="1:4" x14ac:dyDescent="0.25">
      <c r="A3338" s="45" t="s">
        <v>3366</v>
      </c>
      <c r="B3338" s="46" t="s">
        <v>15112</v>
      </c>
      <c r="C3338">
        <v>7</v>
      </c>
      <c r="D3338">
        <v>45</v>
      </c>
    </row>
    <row r="3339" spans="1:4" x14ac:dyDescent="0.25">
      <c r="A3339" s="45" t="s">
        <v>3367</v>
      </c>
      <c r="B3339" s="46" t="s">
        <v>15113</v>
      </c>
      <c r="C3339">
        <v>7</v>
      </c>
      <c r="D3339">
        <v>45</v>
      </c>
    </row>
    <row r="3340" spans="1:4" x14ac:dyDescent="0.25">
      <c r="A3340" s="45" t="s">
        <v>3368</v>
      </c>
      <c r="B3340" s="46" t="s">
        <v>15114</v>
      </c>
      <c r="C3340">
        <v>7</v>
      </c>
      <c r="D3340">
        <v>45</v>
      </c>
    </row>
    <row r="3341" spans="1:4" x14ac:dyDescent="0.25">
      <c r="A3341" s="45" t="s">
        <v>3369</v>
      </c>
      <c r="B3341" s="46" t="s">
        <v>15115</v>
      </c>
      <c r="C3341">
        <v>7</v>
      </c>
      <c r="D3341">
        <v>45</v>
      </c>
    </row>
    <row r="3342" spans="1:4" x14ac:dyDescent="0.25">
      <c r="A3342" s="45" t="s">
        <v>3370</v>
      </c>
      <c r="B3342" s="46" t="s">
        <v>15116</v>
      </c>
      <c r="C3342">
        <v>7</v>
      </c>
      <c r="D3342">
        <v>45</v>
      </c>
    </row>
    <row r="3343" spans="1:4" x14ac:dyDescent="0.25">
      <c r="A3343" s="45" t="s">
        <v>3371</v>
      </c>
      <c r="B3343" s="46" t="s">
        <v>15117</v>
      </c>
      <c r="C3343">
        <v>7</v>
      </c>
      <c r="D3343">
        <v>45</v>
      </c>
    </row>
    <row r="3344" spans="1:4" x14ac:dyDescent="0.25">
      <c r="A3344" s="45" t="s">
        <v>3372</v>
      </c>
      <c r="B3344" s="46" t="s">
        <v>15118</v>
      </c>
      <c r="C3344">
        <v>7</v>
      </c>
      <c r="D3344">
        <v>43</v>
      </c>
    </row>
    <row r="3345" spans="1:4" x14ac:dyDescent="0.25">
      <c r="A3345" s="45" t="s">
        <v>3373</v>
      </c>
      <c r="B3345" s="46" t="s">
        <v>20006</v>
      </c>
      <c r="C3345">
        <v>7</v>
      </c>
      <c r="D3345">
        <v>45</v>
      </c>
    </row>
    <row r="3346" spans="1:4" x14ac:dyDescent="0.25">
      <c r="A3346" s="45" t="s">
        <v>3374</v>
      </c>
      <c r="B3346" s="46" t="s">
        <v>15119</v>
      </c>
      <c r="C3346">
        <v>7</v>
      </c>
      <c r="D3346">
        <v>45</v>
      </c>
    </row>
    <row r="3347" spans="1:4" x14ac:dyDescent="0.25">
      <c r="A3347" s="45" t="s">
        <v>3375</v>
      </c>
      <c r="B3347" s="46" t="s">
        <v>15120</v>
      </c>
      <c r="C3347">
        <v>7</v>
      </c>
      <c r="D3347">
        <v>45</v>
      </c>
    </row>
    <row r="3348" spans="1:4" x14ac:dyDescent="0.25">
      <c r="A3348" s="45" t="s">
        <v>3376</v>
      </c>
      <c r="B3348" s="46" t="s">
        <v>15121</v>
      </c>
      <c r="C3348">
        <v>7</v>
      </c>
      <c r="D3348">
        <v>45</v>
      </c>
    </row>
    <row r="3349" spans="1:4" x14ac:dyDescent="0.25">
      <c r="A3349" s="45" t="s">
        <v>3377</v>
      </c>
      <c r="B3349" s="46" t="s">
        <v>15122</v>
      </c>
      <c r="C3349">
        <v>7</v>
      </c>
      <c r="D3349">
        <v>45</v>
      </c>
    </row>
    <row r="3350" spans="1:4" x14ac:dyDescent="0.25">
      <c r="A3350" s="45" t="s">
        <v>3378</v>
      </c>
      <c r="B3350" s="46" t="s">
        <v>15123</v>
      </c>
      <c r="C3350">
        <v>7</v>
      </c>
      <c r="D3350">
        <v>45</v>
      </c>
    </row>
    <row r="3351" spans="1:4" x14ac:dyDescent="0.25">
      <c r="A3351" s="45" t="s">
        <v>3379</v>
      </c>
      <c r="B3351" s="46" t="s">
        <v>15124</v>
      </c>
      <c r="C3351">
        <v>7</v>
      </c>
      <c r="D3351">
        <v>45</v>
      </c>
    </row>
    <row r="3352" spans="1:4" x14ac:dyDescent="0.25">
      <c r="A3352" s="45" t="s">
        <v>3380</v>
      </c>
      <c r="B3352" s="46" t="s">
        <v>15125</v>
      </c>
      <c r="C3352">
        <v>7</v>
      </c>
      <c r="D3352">
        <v>44</v>
      </c>
    </row>
    <row r="3353" spans="1:4" x14ac:dyDescent="0.25">
      <c r="A3353" s="45" t="s">
        <v>3381</v>
      </c>
      <c r="B3353" s="46" t="s">
        <v>20007</v>
      </c>
      <c r="C3353">
        <v>7</v>
      </c>
      <c r="D3353">
        <v>45</v>
      </c>
    </row>
    <row r="3354" spans="1:4" x14ac:dyDescent="0.25">
      <c r="A3354" s="45" t="s">
        <v>3382</v>
      </c>
      <c r="B3354" s="46" t="s">
        <v>20008</v>
      </c>
      <c r="C3354">
        <v>7</v>
      </c>
      <c r="D3354">
        <v>46</v>
      </c>
    </row>
    <row r="3355" spans="1:4" x14ac:dyDescent="0.25">
      <c r="A3355" s="45" t="s">
        <v>3383</v>
      </c>
      <c r="B3355" s="46" t="s">
        <v>20009</v>
      </c>
      <c r="C3355">
        <v>7</v>
      </c>
      <c r="D3355">
        <v>46</v>
      </c>
    </row>
    <row r="3356" spans="1:4" x14ac:dyDescent="0.25">
      <c r="A3356" s="45" t="s">
        <v>3384</v>
      </c>
      <c r="B3356" s="46" t="s">
        <v>15126</v>
      </c>
      <c r="C3356">
        <v>7</v>
      </c>
      <c r="D3356">
        <v>46</v>
      </c>
    </row>
    <row r="3357" spans="1:4" x14ac:dyDescent="0.25">
      <c r="A3357" s="45" t="s">
        <v>3385</v>
      </c>
      <c r="B3357" s="46" t="s">
        <v>15127</v>
      </c>
      <c r="C3357">
        <v>7</v>
      </c>
      <c r="D3357">
        <v>46</v>
      </c>
    </row>
    <row r="3358" spans="1:4" x14ac:dyDescent="0.25">
      <c r="A3358" s="45" t="s">
        <v>3386</v>
      </c>
      <c r="B3358" s="46" t="s">
        <v>15128</v>
      </c>
      <c r="C3358">
        <v>7</v>
      </c>
      <c r="D3358">
        <v>46</v>
      </c>
    </row>
    <row r="3359" spans="1:4" x14ac:dyDescent="0.25">
      <c r="A3359" s="45" t="s">
        <v>3387</v>
      </c>
      <c r="B3359" s="46" t="s">
        <v>15129</v>
      </c>
      <c r="C3359">
        <v>7</v>
      </c>
      <c r="D3359">
        <v>46</v>
      </c>
    </row>
    <row r="3360" spans="1:4" x14ac:dyDescent="0.25">
      <c r="A3360" s="45" t="s">
        <v>3388</v>
      </c>
      <c r="B3360" s="46" t="s">
        <v>15130</v>
      </c>
      <c r="C3360">
        <v>7</v>
      </c>
      <c r="D3360">
        <v>46</v>
      </c>
    </row>
    <row r="3361" spans="1:4" x14ac:dyDescent="0.25">
      <c r="A3361" s="45" t="s">
        <v>3389</v>
      </c>
      <c r="B3361" s="46" t="s">
        <v>15131</v>
      </c>
      <c r="C3361">
        <v>7</v>
      </c>
      <c r="D3361">
        <v>46</v>
      </c>
    </row>
    <row r="3362" spans="1:4" x14ac:dyDescent="0.25">
      <c r="A3362" s="45" t="s">
        <v>3390</v>
      </c>
      <c r="B3362" s="46" t="s">
        <v>15132</v>
      </c>
      <c r="C3362">
        <v>7</v>
      </c>
      <c r="D3362">
        <v>46</v>
      </c>
    </row>
    <row r="3363" spans="1:4" x14ac:dyDescent="0.25">
      <c r="A3363" s="45" t="s">
        <v>3391</v>
      </c>
      <c r="B3363" s="46" t="s">
        <v>15133</v>
      </c>
      <c r="C3363">
        <v>7</v>
      </c>
      <c r="D3363">
        <v>46</v>
      </c>
    </row>
    <row r="3364" spans="1:4" x14ac:dyDescent="0.25">
      <c r="A3364" s="45" t="s">
        <v>3392</v>
      </c>
      <c r="B3364" s="46" t="s">
        <v>15134</v>
      </c>
      <c r="C3364">
        <v>7</v>
      </c>
      <c r="D3364">
        <v>46</v>
      </c>
    </row>
    <row r="3365" spans="1:4" x14ac:dyDescent="0.25">
      <c r="A3365" s="45" t="s">
        <v>3393</v>
      </c>
      <c r="B3365" s="46" t="s">
        <v>15135</v>
      </c>
      <c r="C3365">
        <v>7</v>
      </c>
      <c r="D3365">
        <v>46</v>
      </c>
    </row>
    <row r="3366" spans="1:4" x14ac:dyDescent="0.25">
      <c r="A3366" s="45" t="s">
        <v>3394</v>
      </c>
      <c r="B3366" s="46" t="s">
        <v>15136</v>
      </c>
      <c r="C3366">
        <v>7</v>
      </c>
      <c r="D3366">
        <v>46</v>
      </c>
    </row>
    <row r="3367" spans="1:4" x14ac:dyDescent="0.25">
      <c r="A3367" s="45" t="s">
        <v>3395</v>
      </c>
      <c r="B3367" s="46" t="s">
        <v>15137</v>
      </c>
      <c r="C3367">
        <v>7</v>
      </c>
      <c r="D3367">
        <v>46</v>
      </c>
    </row>
    <row r="3368" spans="1:4" x14ac:dyDescent="0.25">
      <c r="A3368" s="45" t="s">
        <v>3396</v>
      </c>
      <c r="B3368" s="46" t="s">
        <v>15138</v>
      </c>
      <c r="C3368">
        <v>7</v>
      </c>
      <c r="D3368">
        <v>46</v>
      </c>
    </row>
    <row r="3369" spans="1:4" x14ac:dyDescent="0.25">
      <c r="A3369" s="45" t="s">
        <v>3397</v>
      </c>
      <c r="B3369" s="46" t="s">
        <v>15139</v>
      </c>
      <c r="C3369">
        <v>7</v>
      </c>
      <c r="D3369">
        <v>46</v>
      </c>
    </row>
    <row r="3370" spans="1:4" x14ac:dyDescent="0.25">
      <c r="A3370" s="45" t="s">
        <v>3398</v>
      </c>
      <c r="B3370" s="46" t="s">
        <v>15140</v>
      </c>
      <c r="C3370">
        <v>7</v>
      </c>
      <c r="D3370">
        <v>46</v>
      </c>
    </row>
    <row r="3371" spans="1:4" x14ac:dyDescent="0.25">
      <c r="A3371" s="45" t="s">
        <v>3399</v>
      </c>
      <c r="B3371" s="46" t="s">
        <v>15141</v>
      </c>
      <c r="C3371">
        <v>7</v>
      </c>
      <c r="D3371">
        <v>46</v>
      </c>
    </row>
    <row r="3372" spans="1:4" x14ac:dyDescent="0.25">
      <c r="A3372" s="45" t="s">
        <v>3400</v>
      </c>
      <c r="B3372" s="46" t="s">
        <v>15142</v>
      </c>
      <c r="C3372">
        <v>7</v>
      </c>
      <c r="D3372">
        <v>46</v>
      </c>
    </row>
    <row r="3373" spans="1:4" x14ac:dyDescent="0.25">
      <c r="A3373" s="45" t="s">
        <v>3401</v>
      </c>
      <c r="B3373" s="46" t="s">
        <v>15143</v>
      </c>
      <c r="C3373">
        <v>7</v>
      </c>
      <c r="D3373">
        <v>46</v>
      </c>
    </row>
    <row r="3374" spans="1:4" x14ac:dyDescent="0.25">
      <c r="A3374" s="45" t="s">
        <v>3402</v>
      </c>
      <c r="B3374" s="46" t="s">
        <v>15144</v>
      </c>
      <c r="C3374">
        <v>7</v>
      </c>
      <c r="D3374">
        <v>46</v>
      </c>
    </row>
    <row r="3375" spans="1:4" x14ac:dyDescent="0.25">
      <c r="A3375" s="45" t="s">
        <v>3403</v>
      </c>
      <c r="B3375" s="46" t="s">
        <v>15145</v>
      </c>
      <c r="C3375">
        <v>7</v>
      </c>
      <c r="D3375">
        <v>46</v>
      </c>
    </row>
    <row r="3376" spans="1:4" x14ac:dyDescent="0.25">
      <c r="A3376" s="45" t="s">
        <v>3404</v>
      </c>
      <c r="B3376" s="46" t="s">
        <v>15146</v>
      </c>
      <c r="C3376">
        <v>6</v>
      </c>
      <c r="D3376">
        <v>36</v>
      </c>
    </row>
    <row r="3377" spans="1:4" x14ac:dyDescent="0.25">
      <c r="A3377" s="45" t="s">
        <v>3405</v>
      </c>
      <c r="B3377" s="46" t="s">
        <v>15147</v>
      </c>
      <c r="C3377">
        <v>7</v>
      </c>
      <c r="D3377">
        <v>46</v>
      </c>
    </row>
    <row r="3378" spans="1:4" x14ac:dyDescent="0.25">
      <c r="A3378" s="45" t="s">
        <v>3406</v>
      </c>
      <c r="B3378" s="46" t="s">
        <v>15148</v>
      </c>
      <c r="C3378">
        <v>6</v>
      </c>
      <c r="D3378">
        <v>36</v>
      </c>
    </row>
    <row r="3379" spans="1:4" x14ac:dyDescent="0.25">
      <c r="A3379" s="45" t="s">
        <v>3407</v>
      </c>
      <c r="B3379" s="46" t="s">
        <v>15149</v>
      </c>
      <c r="C3379">
        <v>7</v>
      </c>
      <c r="D3379">
        <v>46</v>
      </c>
    </row>
    <row r="3380" spans="1:4" x14ac:dyDescent="0.25">
      <c r="A3380" s="45" t="s">
        <v>3408</v>
      </c>
      <c r="B3380" s="46" t="s">
        <v>20010</v>
      </c>
      <c r="C3380">
        <v>7</v>
      </c>
      <c r="D3380">
        <v>46</v>
      </c>
    </row>
    <row r="3381" spans="1:4" x14ac:dyDescent="0.25">
      <c r="A3381" s="45" t="s">
        <v>3409</v>
      </c>
      <c r="B3381" s="46" t="s">
        <v>15150</v>
      </c>
      <c r="C3381">
        <v>7</v>
      </c>
      <c r="D3381">
        <v>46</v>
      </c>
    </row>
    <row r="3382" spans="1:4" x14ac:dyDescent="0.25">
      <c r="A3382" s="45" t="s">
        <v>3410</v>
      </c>
      <c r="B3382" s="46" t="s">
        <v>15151</v>
      </c>
      <c r="C3382">
        <v>7</v>
      </c>
      <c r="D3382">
        <v>46</v>
      </c>
    </row>
    <row r="3383" spans="1:4" x14ac:dyDescent="0.25">
      <c r="A3383" s="45" t="s">
        <v>3411</v>
      </c>
      <c r="B3383" s="46" t="s">
        <v>20011</v>
      </c>
      <c r="C3383">
        <v>7</v>
      </c>
      <c r="D3383">
        <v>46</v>
      </c>
    </row>
    <row r="3384" spans="1:4" x14ac:dyDescent="0.25">
      <c r="A3384" s="45" t="s">
        <v>3412</v>
      </c>
      <c r="B3384" s="46" t="s">
        <v>15152</v>
      </c>
      <c r="C3384">
        <v>7</v>
      </c>
      <c r="D3384">
        <v>46</v>
      </c>
    </row>
    <row r="3385" spans="1:4" x14ac:dyDescent="0.25">
      <c r="A3385" s="45" t="s">
        <v>3413</v>
      </c>
      <c r="B3385" s="46" t="s">
        <v>15153</v>
      </c>
      <c r="C3385">
        <v>7</v>
      </c>
      <c r="D3385">
        <v>46</v>
      </c>
    </row>
    <row r="3386" spans="1:4" x14ac:dyDescent="0.25">
      <c r="A3386" s="45" t="s">
        <v>3414</v>
      </c>
      <c r="B3386" s="46" t="s">
        <v>15154</v>
      </c>
      <c r="C3386">
        <v>6</v>
      </c>
      <c r="D3386">
        <v>36</v>
      </c>
    </row>
    <row r="3387" spans="1:4" x14ac:dyDescent="0.25">
      <c r="A3387" s="45" t="s">
        <v>3415</v>
      </c>
      <c r="B3387" s="46" t="s">
        <v>20012</v>
      </c>
      <c r="C3387">
        <v>7</v>
      </c>
      <c r="D3387">
        <v>46</v>
      </c>
    </row>
    <row r="3388" spans="1:4" x14ac:dyDescent="0.25">
      <c r="A3388" s="45" t="s">
        <v>3416</v>
      </c>
      <c r="B3388" s="46" t="s">
        <v>15155</v>
      </c>
      <c r="C3388">
        <v>7</v>
      </c>
      <c r="D3388">
        <v>46</v>
      </c>
    </row>
    <row r="3389" spans="1:4" x14ac:dyDescent="0.25">
      <c r="A3389" s="45" t="s">
        <v>3417</v>
      </c>
      <c r="B3389" s="46" t="s">
        <v>15156</v>
      </c>
      <c r="C3389">
        <v>7</v>
      </c>
      <c r="D3389">
        <v>46</v>
      </c>
    </row>
    <row r="3390" spans="1:4" x14ac:dyDescent="0.25">
      <c r="A3390" s="45" t="s">
        <v>3418</v>
      </c>
      <c r="B3390" s="46" t="s">
        <v>15157</v>
      </c>
      <c r="C3390">
        <v>7</v>
      </c>
      <c r="D3390">
        <v>46</v>
      </c>
    </row>
    <row r="3391" spans="1:4" x14ac:dyDescent="0.25">
      <c r="A3391" s="45" t="s">
        <v>3419</v>
      </c>
      <c r="B3391" s="46" t="s">
        <v>15158</v>
      </c>
      <c r="C3391">
        <v>7</v>
      </c>
      <c r="D3391">
        <v>46</v>
      </c>
    </row>
    <row r="3392" spans="1:4" x14ac:dyDescent="0.25">
      <c r="A3392" s="45" t="s">
        <v>3420</v>
      </c>
      <c r="B3392" s="46" t="s">
        <v>15159</v>
      </c>
      <c r="C3392">
        <v>7</v>
      </c>
      <c r="D3392">
        <v>46</v>
      </c>
    </row>
    <row r="3393" spans="1:4" x14ac:dyDescent="0.25">
      <c r="A3393" s="45" t="s">
        <v>3421</v>
      </c>
      <c r="B3393" s="46" t="s">
        <v>15160</v>
      </c>
      <c r="C3393">
        <v>7</v>
      </c>
      <c r="D3393">
        <v>46</v>
      </c>
    </row>
    <row r="3394" spans="1:4" x14ac:dyDescent="0.25">
      <c r="A3394" s="45" t="s">
        <v>3422</v>
      </c>
      <c r="B3394" s="46" t="s">
        <v>15161</v>
      </c>
      <c r="C3394">
        <v>7</v>
      </c>
      <c r="D3394">
        <v>46</v>
      </c>
    </row>
    <row r="3395" spans="1:4" x14ac:dyDescent="0.25">
      <c r="A3395" s="45" t="s">
        <v>3423</v>
      </c>
      <c r="B3395" s="46" t="s">
        <v>15162</v>
      </c>
      <c r="C3395">
        <v>7</v>
      </c>
      <c r="D3395">
        <v>46</v>
      </c>
    </row>
    <row r="3396" spans="1:4" x14ac:dyDescent="0.25">
      <c r="A3396" s="45" t="s">
        <v>3424</v>
      </c>
      <c r="B3396" s="46" t="s">
        <v>15163</v>
      </c>
      <c r="C3396">
        <v>7</v>
      </c>
      <c r="D3396">
        <v>46</v>
      </c>
    </row>
    <row r="3397" spans="1:4" x14ac:dyDescent="0.25">
      <c r="A3397" s="45" t="s">
        <v>3425</v>
      </c>
      <c r="B3397" s="46" t="s">
        <v>15164</v>
      </c>
      <c r="C3397">
        <v>6</v>
      </c>
      <c r="D3397">
        <v>37</v>
      </c>
    </row>
    <row r="3398" spans="1:4" x14ac:dyDescent="0.25">
      <c r="A3398" s="45" t="s">
        <v>3426</v>
      </c>
      <c r="B3398" s="46" t="s">
        <v>15165</v>
      </c>
      <c r="C3398">
        <v>7</v>
      </c>
      <c r="D3398">
        <v>46</v>
      </c>
    </row>
    <row r="3399" spans="1:4" x14ac:dyDescent="0.25">
      <c r="A3399" s="45" t="s">
        <v>3427</v>
      </c>
      <c r="B3399" s="46" t="s">
        <v>15166</v>
      </c>
      <c r="C3399">
        <v>7</v>
      </c>
      <c r="D3399">
        <v>46</v>
      </c>
    </row>
    <row r="3400" spans="1:4" x14ac:dyDescent="0.25">
      <c r="A3400" s="45" t="s">
        <v>3428</v>
      </c>
      <c r="B3400" s="46" t="s">
        <v>15167</v>
      </c>
      <c r="C3400">
        <v>7</v>
      </c>
      <c r="D3400">
        <v>46</v>
      </c>
    </row>
    <row r="3401" spans="1:4" x14ac:dyDescent="0.25">
      <c r="A3401" s="45" t="s">
        <v>3429</v>
      </c>
      <c r="B3401" s="46" t="s">
        <v>15168</v>
      </c>
      <c r="C3401">
        <v>7</v>
      </c>
      <c r="D3401">
        <v>46</v>
      </c>
    </row>
    <row r="3402" spans="1:4" x14ac:dyDescent="0.25">
      <c r="A3402" s="45" t="s">
        <v>3430</v>
      </c>
      <c r="B3402" s="46" t="s">
        <v>15169</v>
      </c>
      <c r="C3402">
        <v>7</v>
      </c>
      <c r="D3402">
        <v>46</v>
      </c>
    </row>
    <row r="3403" spans="1:4" x14ac:dyDescent="0.25">
      <c r="A3403" s="45" t="s">
        <v>3431</v>
      </c>
      <c r="B3403" s="46" t="s">
        <v>15170</v>
      </c>
      <c r="C3403">
        <v>7</v>
      </c>
      <c r="D3403">
        <v>46</v>
      </c>
    </row>
    <row r="3404" spans="1:4" x14ac:dyDescent="0.25">
      <c r="A3404" s="45" t="s">
        <v>3432</v>
      </c>
      <c r="B3404" s="46" t="s">
        <v>15171</v>
      </c>
      <c r="C3404">
        <v>7</v>
      </c>
      <c r="D3404">
        <v>46</v>
      </c>
    </row>
    <row r="3405" spans="1:4" x14ac:dyDescent="0.25">
      <c r="A3405" s="45" t="s">
        <v>3433</v>
      </c>
      <c r="B3405" s="46" t="s">
        <v>15172</v>
      </c>
      <c r="C3405">
        <v>7</v>
      </c>
      <c r="D3405">
        <v>46</v>
      </c>
    </row>
    <row r="3406" spans="1:4" x14ac:dyDescent="0.25">
      <c r="A3406" s="45" t="s">
        <v>3434</v>
      </c>
      <c r="B3406" s="46" t="s">
        <v>15173</v>
      </c>
      <c r="C3406">
        <v>7</v>
      </c>
      <c r="D3406">
        <v>46</v>
      </c>
    </row>
    <row r="3407" spans="1:4" x14ac:dyDescent="0.25">
      <c r="A3407" s="45" t="s">
        <v>3435</v>
      </c>
      <c r="B3407" s="46" t="s">
        <v>15174</v>
      </c>
      <c r="C3407">
        <v>6</v>
      </c>
      <c r="D3407">
        <v>36</v>
      </c>
    </row>
    <row r="3408" spans="1:4" x14ac:dyDescent="0.25">
      <c r="A3408" s="45" t="s">
        <v>3436</v>
      </c>
      <c r="B3408" s="46" t="s">
        <v>15175</v>
      </c>
      <c r="C3408">
        <v>6</v>
      </c>
      <c r="D3408">
        <v>36</v>
      </c>
    </row>
    <row r="3409" spans="1:4" x14ac:dyDescent="0.25">
      <c r="A3409" s="45" t="s">
        <v>3437</v>
      </c>
      <c r="B3409" s="46" t="s">
        <v>15176</v>
      </c>
      <c r="C3409">
        <v>7</v>
      </c>
      <c r="D3409">
        <v>46</v>
      </c>
    </row>
    <row r="3410" spans="1:4" x14ac:dyDescent="0.25">
      <c r="A3410" s="45" t="s">
        <v>3438</v>
      </c>
      <c r="B3410" s="46" t="s">
        <v>15177</v>
      </c>
      <c r="C3410">
        <v>7</v>
      </c>
      <c r="D3410">
        <v>46</v>
      </c>
    </row>
    <row r="3411" spans="1:4" x14ac:dyDescent="0.25">
      <c r="A3411" s="45" t="s">
        <v>3439</v>
      </c>
      <c r="B3411" s="46" t="s">
        <v>20013</v>
      </c>
      <c r="C3411">
        <v>7</v>
      </c>
      <c r="D3411">
        <v>46</v>
      </c>
    </row>
    <row r="3412" spans="1:4" x14ac:dyDescent="0.25">
      <c r="A3412" s="45" t="s">
        <v>3440</v>
      </c>
      <c r="B3412" s="46" t="s">
        <v>20014</v>
      </c>
      <c r="C3412">
        <v>7</v>
      </c>
      <c r="D3412">
        <v>46</v>
      </c>
    </row>
    <row r="3413" spans="1:4" x14ac:dyDescent="0.25">
      <c r="A3413" s="45" t="s">
        <v>3441</v>
      </c>
      <c r="B3413" s="46" t="s">
        <v>20015</v>
      </c>
      <c r="C3413">
        <v>7</v>
      </c>
      <c r="D3413">
        <v>46</v>
      </c>
    </row>
    <row r="3414" spans="1:4" x14ac:dyDescent="0.25">
      <c r="A3414" s="45" t="s">
        <v>3442</v>
      </c>
      <c r="B3414" s="46" t="s">
        <v>20016</v>
      </c>
      <c r="C3414">
        <v>7</v>
      </c>
      <c r="D3414">
        <v>46</v>
      </c>
    </row>
    <row r="3415" spans="1:4" x14ac:dyDescent="0.25">
      <c r="A3415" s="45" t="s">
        <v>3443</v>
      </c>
      <c r="B3415" s="46" t="s">
        <v>15178</v>
      </c>
      <c r="C3415">
        <v>7</v>
      </c>
      <c r="D3415">
        <v>46</v>
      </c>
    </row>
    <row r="3416" spans="1:4" x14ac:dyDescent="0.25">
      <c r="A3416" s="45" t="s">
        <v>3444</v>
      </c>
      <c r="B3416" s="46" t="s">
        <v>15179</v>
      </c>
      <c r="C3416">
        <v>7</v>
      </c>
      <c r="D3416">
        <v>46</v>
      </c>
    </row>
    <row r="3417" spans="1:4" x14ac:dyDescent="0.25">
      <c r="A3417" s="45" t="s">
        <v>3445</v>
      </c>
      <c r="B3417" s="46" t="s">
        <v>15180</v>
      </c>
      <c r="C3417">
        <v>7</v>
      </c>
      <c r="D3417">
        <v>46</v>
      </c>
    </row>
    <row r="3418" spans="1:4" x14ac:dyDescent="0.25">
      <c r="A3418" s="45" t="s">
        <v>3446</v>
      </c>
      <c r="B3418" s="46" t="s">
        <v>15181</v>
      </c>
      <c r="C3418">
        <v>7</v>
      </c>
      <c r="D3418">
        <v>46</v>
      </c>
    </row>
    <row r="3419" spans="1:4" x14ac:dyDescent="0.25">
      <c r="A3419" s="45" t="s">
        <v>3447</v>
      </c>
      <c r="B3419" s="46" t="s">
        <v>20017</v>
      </c>
      <c r="C3419">
        <v>7</v>
      </c>
      <c r="D3419">
        <v>47</v>
      </c>
    </row>
    <row r="3420" spans="1:4" x14ac:dyDescent="0.25">
      <c r="A3420" s="45" t="s">
        <v>3448</v>
      </c>
      <c r="B3420" s="46" t="s">
        <v>20018</v>
      </c>
      <c r="C3420">
        <v>7</v>
      </c>
      <c r="D3420">
        <v>47</v>
      </c>
    </row>
    <row r="3421" spans="1:4" x14ac:dyDescent="0.25">
      <c r="A3421" s="45" t="s">
        <v>3449</v>
      </c>
      <c r="B3421" s="46" t="s">
        <v>15182</v>
      </c>
      <c r="C3421">
        <v>7</v>
      </c>
      <c r="D3421">
        <v>47</v>
      </c>
    </row>
    <row r="3422" spans="1:4" x14ac:dyDescent="0.25">
      <c r="A3422" s="45" t="s">
        <v>3450</v>
      </c>
      <c r="B3422" s="46" t="s">
        <v>15183</v>
      </c>
      <c r="C3422">
        <v>7</v>
      </c>
      <c r="D3422">
        <v>47</v>
      </c>
    </row>
    <row r="3423" spans="1:4" x14ac:dyDescent="0.25">
      <c r="A3423" s="45" t="s">
        <v>3451</v>
      </c>
      <c r="B3423" s="46" t="s">
        <v>15184</v>
      </c>
      <c r="C3423">
        <v>7</v>
      </c>
      <c r="D3423">
        <v>47</v>
      </c>
    </row>
    <row r="3424" spans="1:4" x14ac:dyDescent="0.25">
      <c r="A3424" s="45" t="s">
        <v>3452</v>
      </c>
      <c r="B3424" s="46" t="s">
        <v>15185</v>
      </c>
      <c r="C3424">
        <v>7</v>
      </c>
      <c r="D3424">
        <v>47</v>
      </c>
    </row>
    <row r="3425" spans="1:4" x14ac:dyDescent="0.25">
      <c r="A3425" s="45" t="s">
        <v>3453</v>
      </c>
      <c r="B3425" s="46" t="s">
        <v>15186</v>
      </c>
      <c r="C3425">
        <v>7</v>
      </c>
      <c r="D3425">
        <v>47</v>
      </c>
    </row>
    <row r="3426" spans="1:4" x14ac:dyDescent="0.25">
      <c r="A3426" s="45" t="s">
        <v>3454</v>
      </c>
      <c r="B3426" s="46" t="s">
        <v>15187</v>
      </c>
      <c r="C3426">
        <v>7</v>
      </c>
      <c r="D3426">
        <v>47</v>
      </c>
    </row>
    <row r="3427" spans="1:4" x14ac:dyDescent="0.25">
      <c r="A3427" s="45" t="s">
        <v>3455</v>
      </c>
      <c r="B3427" s="46" t="s">
        <v>15188</v>
      </c>
      <c r="C3427">
        <v>7</v>
      </c>
      <c r="D3427">
        <v>47</v>
      </c>
    </row>
    <row r="3428" spans="1:4" x14ac:dyDescent="0.25">
      <c r="A3428" s="45" t="s">
        <v>3456</v>
      </c>
      <c r="B3428" s="46" t="s">
        <v>15189</v>
      </c>
      <c r="C3428">
        <v>7</v>
      </c>
      <c r="D3428">
        <v>47</v>
      </c>
    </row>
    <row r="3429" spans="1:4" x14ac:dyDescent="0.25">
      <c r="A3429" s="45" t="s">
        <v>3457</v>
      </c>
      <c r="B3429" s="46" t="s">
        <v>15190</v>
      </c>
      <c r="C3429">
        <v>7</v>
      </c>
      <c r="D3429">
        <v>47</v>
      </c>
    </row>
    <row r="3430" spans="1:4" x14ac:dyDescent="0.25">
      <c r="A3430" s="45" t="s">
        <v>3458</v>
      </c>
      <c r="B3430" s="46" t="s">
        <v>15191</v>
      </c>
      <c r="C3430">
        <v>7</v>
      </c>
      <c r="D3430">
        <v>47</v>
      </c>
    </row>
    <row r="3431" spans="1:4" x14ac:dyDescent="0.25">
      <c r="A3431" s="45" t="s">
        <v>3459</v>
      </c>
      <c r="B3431" s="46" t="s">
        <v>15192</v>
      </c>
      <c r="C3431">
        <v>7</v>
      </c>
      <c r="D3431">
        <v>47</v>
      </c>
    </row>
    <row r="3432" spans="1:4" x14ac:dyDescent="0.25">
      <c r="A3432" s="45" t="s">
        <v>3460</v>
      </c>
      <c r="B3432" s="46" t="s">
        <v>15193</v>
      </c>
      <c r="C3432">
        <v>7</v>
      </c>
      <c r="D3432">
        <v>47</v>
      </c>
    </row>
    <row r="3433" spans="1:4" x14ac:dyDescent="0.25">
      <c r="A3433" s="45" t="s">
        <v>3461</v>
      </c>
      <c r="B3433" s="46" t="s">
        <v>15194</v>
      </c>
      <c r="C3433">
        <v>7</v>
      </c>
      <c r="D3433">
        <v>47</v>
      </c>
    </row>
    <row r="3434" spans="1:4" x14ac:dyDescent="0.25">
      <c r="A3434" s="45" t="s">
        <v>3462</v>
      </c>
      <c r="B3434" s="46" t="s">
        <v>15195</v>
      </c>
      <c r="C3434">
        <v>7</v>
      </c>
      <c r="D3434">
        <v>47</v>
      </c>
    </row>
    <row r="3435" spans="1:4" x14ac:dyDescent="0.25">
      <c r="A3435" s="45" t="s">
        <v>3463</v>
      </c>
      <c r="B3435" s="46" t="s">
        <v>15196</v>
      </c>
      <c r="C3435">
        <v>7</v>
      </c>
      <c r="D3435">
        <v>47</v>
      </c>
    </row>
    <row r="3436" spans="1:4" x14ac:dyDescent="0.25">
      <c r="A3436" s="45" t="s">
        <v>3464</v>
      </c>
      <c r="B3436" s="46" t="s">
        <v>20019</v>
      </c>
      <c r="C3436">
        <v>7</v>
      </c>
      <c r="D3436">
        <v>47</v>
      </c>
    </row>
    <row r="3437" spans="1:4" x14ac:dyDescent="0.25">
      <c r="A3437" s="45" t="s">
        <v>3465</v>
      </c>
      <c r="B3437" s="46" t="s">
        <v>15197</v>
      </c>
      <c r="C3437">
        <v>7</v>
      </c>
      <c r="D3437">
        <v>47</v>
      </c>
    </row>
    <row r="3438" spans="1:4" x14ac:dyDescent="0.25">
      <c r="A3438" s="45" t="s">
        <v>3466</v>
      </c>
      <c r="B3438" s="46" t="s">
        <v>15198</v>
      </c>
      <c r="C3438">
        <v>7</v>
      </c>
      <c r="D3438">
        <v>47</v>
      </c>
    </row>
    <row r="3439" spans="1:4" x14ac:dyDescent="0.25">
      <c r="A3439" s="45" t="s">
        <v>3467</v>
      </c>
      <c r="B3439" s="46" t="s">
        <v>15199</v>
      </c>
      <c r="C3439">
        <v>7</v>
      </c>
      <c r="D3439">
        <v>45</v>
      </c>
    </row>
    <row r="3440" spans="1:4" x14ac:dyDescent="0.25">
      <c r="A3440" s="45" t="s">
        <v>3468</v>
      </c>
      <c r="B3440" s="46" t="s">
        <v>15200</v>
      </c>
      <c r="C3440">
        <v>7</v>
      </c>
      <c r="D3440">
        <v>47</v>
      </c>
    </row>
    <row r="3441" spans="1:4" x14ac:dyDescent="0.25">
      <c r="A3441" s="45" t="s">
        <v>3469</v>
      </c>
      <c r="B3441" s="46" t="s">
        <v>15201</v>
      </c>
      <c r="C3441">
        <v>7</v>
      </c>
      <c r="D3441">
        <v>47</v>
      </c>
    </row>
    <row r="3442" spans="1:4" x14ac:dyDescent="0.25">
      <c r="A3442" s="45" t="s">
        <v>3470</v>
      </c>
      <c r="B3442" s="46" t="s">
        <v>15202</v>
      </c>
      <c r="C3442">
        <v>7</v>
      </c>
      <c r="D3442">
        <v>47</v>
      </c>
    </row>
    <row r="3443" spans="1:4" x14ac:dyDescent="0.25">
      <c r="A3443" s="45" t="s">
        <v>3471</v>
      </c>
      <c r="B3443" s="46" t="s">
        <v>20020</v>
      </c>
      <c r="C3443">
        <v>7</v>
      </c>
      <c r="D3443">
        <v>47</v>
      </c>
    </row>
    <row r="3444" spans="1:4" x14ac:dyDescent="0.25">
      <c r="A3444" s="45" t="s">
        <v>3472</v>
      </c>
      <c r="B3444" s="46" t="s">
        <v>15203</v>
      </c>
      <c r="C3444">
        <v>7</v>
      </c>
      <c r="D3444">
        <v>47</v>
      </c>
    </row>
    <row r="3445" spans="1:4" x14ac:dyDescent="0.25">
      <c r="A3445" s="45" t="s">
        <v>3473</v>
      </c>
      <c r="B3445" s="46" t="s">
        <v>15204</v>
      </c>
      <c r="C3445">
        <v>7</v>
      </c>
      <c r="D3445">
        <v>47</v>
      </c>
    </row>
    <row r="3446" spans="1:4" x14ac:dyDescent="0.25">
      <c r="A3446" s="45" t="s">
        <v>3474</v>
      </c>
      <c r="B3446" s="46" t="s">
        <v>15205</v>
      </c>
      <c r="C3446">
        <v>7</v>
      </c>
      <c r="D3446">
        <v>47</v>
      </c>
    </row>
    <row r="3447" spans="1:4" x14ac:dyDescent="0.25">
      <c r="A3447" s="45" t="s">
        <v>3475</v>
      </c>
      <c r="B3447" s="46" t="s">
        <v>20021</v>
      </c>
      <c r="C3447">
        <v>7</v>
      </c>
      <c r="D3447">
        <v>47</v>
      </c>
    </row>
    <row r="3448" spans="1:4" x14ac:dyDescent="0.25">
      <c r="A3448" s="45" t="s">
        <v>3476</v>
      </c>
      <c r="B3448" s="46" t="s">
        <v>15206</v>
      </c>
      <c r="C3448">
        <v>7</v>
      </c>
      <c r="D3448">
        <v>47</v>
      </c>
    </row>
    <row r="3449" spans="1:4" x14ac:dyDescent="0.25">
      <c r="A3449" s="45" t="s">
        <v>3477</v>
      </c>
      <c r="B3449" s="46" t="s">
        <v>15207</v>
      </c>
      <c r="C3449">
        <v>7</v>
      </c>
      <c r="D3449">
        <v>47</v>
      </c>
    </row>
    <row r="3450" spans="1:4" x14ac:dyDescent="0.25">
      <c r="A3450" s="45" t="s">
        <v>3478</v>
      </c>
      <c r="B3450" s="46" t="s">
        <v>15208</v>
      </c>
      <c r="C3450">
        <v>7</v>
      </c>
      <c r="D3450">
        <v>47</v>
      </c>
    </row>
    <row r="3451" spans="1:4" x14ac:dyDescent="0.25">
      <c r="A3451" s="45" t="s">
        <v>3479</v>
      </c>
      <c r="B3451" s="46" t="s">
        <v>15209</v>
      </c>
      <c r="C3451">
        <v>7</v>
      </c>
      <c r="D3451">
        <v>47</v>
      </c>
    </row>
    <row r="3452" spans="1:4" x14ac:dyDescent="0.25">
      <c r="A3452" s="45" t="s">
        <v>3480</v>
      </c>
      <c r="B3452" s="46" t="s">
        <v>15210</v>
      </c>
      <c r="C3452">
        <v>7</v>
      </c>
      <c r="D3452">
        <v>47</v>
      </c>
    </row>
    <row r="3453" spans="1:4" x14ac:dyDescent="0.25">
      <c r="A3453" s="45" t="s">
        <v>3481</v>
      </c>
      <c r="B3453" s="46" t="s">
        <v>15211</v>
      </c>
      <c r="C3453">
        <v>7</v>
      </c>
      <c r="D3453">
        <v>47</v>
      </c>
    </row>
    <row r="3454" spans="1:4" x14ac:dyDescent="0.25">
      <c r="A3454" s="45" t="s">
        <v>3482</v>
      </c>
      <c r="B3454" s="46" t="s">
        <v>15212</v>
      </c>
      <c r="C3454">
        <v>7</v>
      </c>
      <c r="D3454">
        <v>47</v>
      </c>
    </row>
    <row r="3455" spans="1:4" x14ac:dyDescent="0.25">
      <c r="A3455" s="45" t="s">
        <v>3483</v>
      </c>
      <c r="B3455" s="46" t="s">
        <v>15213</v>
      </c>
      <c r="C3455">
        <v>7</v>
      </c>
      <c r="D3455">
        <v>47</v>
      </c>
    </row>
    <row r="3456" spans="1:4" x14ac:dyDescent="0.25">
      <c r="A3456" s="45" t="s">
        <v>3484</v>
      </c>
      <c r="B3456" s="46" t="s">
        <v>15214</v>
      </c>
      <c r="C3456">
        <v>7</v>
      </c>
      <c r="D3456">
        <v>47</v>
      </c>
    </row>
    <row r="3457" spans="1:4" x14ac:dyDescent="0.25">
      <c r="A3457" s="45" t="s">
        <v>3485</v>
      </c>
      <c r="B3457" s="46" t="s">
        <v>15215</v>
      </c>
      <c r="C3457">
        <v>7</v>
      </c>
      <c r="D3457">
        <v>47</v>
      </c>
    </row>
    <row r="3458" spans="1:4" x14ac:dyDescent="0.25">
      <c r="A3458" s="45" t="s">
        <v>3486</v>
      </c>
      <c r="B3458" s="46" t="s">
        <v>15216</v>
      </c>
      <c r="C3458">
        <v>7</v>
      </c>
      <c r="D3458">
        <v>47</v>
      </c>
    </row>
    <row r="3459" spans="1:4" x14ac:dyDescent="0.25">
      <c r="A3459" s="45" t="s">
        <v>3487</v>
      </c>
      <c r="B3459" s="46" t="s">
        <v>15217</v>
      </c>
      <c r="C3459">
        <v>7</v>
      </c>
      <c r="D3459">
        <v>47</v>
      </c>
    </row>
    <row r="3460" spans="1:4" x14ac:dyDescent="0.25">
      <c r="A3460" s="45" t="s">
        <v>3488</v>
      </c>
      <c r="B3460" s="46" t="s">
        <v>15218</v>
      </c>
      <c r="C3460">
        <v>7</v>
      </c>
      <c r="D3460">
        <v>47</v>
      </c>
    </row>
    <row r="3461" spans="1:4" x14ac:dyDescent="0.25">
      <c r="A3461" s="45" t="s">
        <v>3489</v>
      </c>
      <c r="B3461" s="46" t="s">
        <v>15219</v>
      </c>
      <c r="C3461">
        <v>7</v>
      </c>
      <c r="D3461">
        <v>47</v>
      </c>
    </row>
    <row r="3462" spans="1:4" x14ac:dyDescent="0.25">
      <c r="A3462" s="45" t="s">
        <v>3490</v>
      </c>
      <c r="B3462" s="46" t="s">
        <v>20022</v>
      </c>
      <c r="C3462">
        <v>7</v>
      </c>
      <c r="D3462">
        <v>47</v>
      </c>
    </row>
    <row r="3463" spans="1:4" x14ac:dyDescent="0.25">
      <c r="A3463" s="45" t="s">
        <v>3491</v>
      </c>
      <c r="B3463" s="46" t="s">
        <v>15220</v>
      </c>
      <c r="C3463">
        <v>7</v>
      </c>
      <c r="D3463">
        <v>47</v>
      </c>
    </row>
    <row r="3464" spans="1:4" x14ac:dyDescent="0.25">
      <c r="A3464" s="45" t="s">
        <v>3492</v>
      </c>
      <c r="B3464" s="46" t="s">
        <v>15221</v>
      </c>
      <c r="C3464">
        <v>7</v>
      </c>
      <c r="D3464">
        <v>47</v>
      </c>
    </row>
    <row r="3465" spans="1:4" x14ac:dyDescent="0.25">
      <c r="A3465" s="45" t="s">
        <v>3493</v>
      </c>
      <c r="B3465" s="46" t="s">
        <v>15222</v>
      </c>
      <c r="C3465">
        <v>7</v>
      </c>
      <c r="D3465">
        <v>47</v>
      </c>
    </row>
    <row r="3466" spans="1:4" x14ac:dyDescent="0.25">
      <c r="A3466" s="45" t="s">
        <v>3494</v>
      </c>
      <c r="B3466" s="46" t="s">
        <v>15223</v>
      </c>
      <c r="C3466">
        <v>7</v>
      </c>
      <c r="D3466">
        <v>47</v>
      </c>
    </row>
    <row r="3467" spans="1:4" x14ac:dyDescent="0.25">
      <c r="A3467" s="45" t="s">
        <v>3495</v>
      </c>
      <c r="B3467" s="46" t="s">
        <v>15224</v>
      </c>
      <c r="C3467">
        <v>7</v>
      </c>
      <c r="D3467">
        <v>47</v>
      </c>
    </row>
    <row r="3468" spans="1:4" x14ac:dyDescent="0.25">
      <c r="A3468" s="45" t="s">
        <v>3496</v>
      </c>
      <c r="B3468" s="46" t="s">
        <v>15225</v>
      </c>
      <c r="C3468">
        <v>7</v>
      </c>
      <c r="D3468">
        <v>47</v>
      </c>
    </row>
    <row r="3469" spans="1:4" x14ac:dyDescent="0.25">
      <c r="A3469" s="45" t="s">
        <v>3497</v>
      </c>
      <c r="B3469" s="46" t="s">
        <v>15226</v>
      </c>
      <c r="C3469">
        <v>7</v>
      </c>
      <c r="D3469">
        <v>48</v>
      </c>
    </row>
    <row r="3470" spans="1:4" x14ac:dyDescent="0.25">
      <c r="A3470" s="45" t="s">
        <v>3498</v>
      </c>
      <c r="B3470" s="46" t="s">
        <v>20023</v>
      </c>
      <c r="C3470">
        <v>7</v>
      </c>
      <c r="D3470">
        <v>48</v>
      </c>
    </row>
    <row r="3471" spans="1:4" x14ac:dyDescent="0.25">
      <c r="A3471" s="45" t="s">
        <v>3499</v>
      </c>
      <c r="B3471" s="46" t="s">
        <v>20024</v>
      </c>
      <c r="C3471">
        <v>7</v>
      </c>
      <c r="D3471">
        <v>48</v>
      </c>
    </row>
    <row r="3472" spans="1:4" x14ac:dyDescent="0.25">
      <c r="A3472" s="45" t="s">
        <v>3500</v>
      </c>
      <c r="B3472" s="46" t="s">
        <v>15227</v>
      </c>
      <c r="C3472">
        <v>7</v>
      </c>
      <c r="D3472">
        <v>48</v>
      </c>
    </row>
    <row r="3473" spans="1:4" x14ac:dyDescent="0.25">
      <c r="A3473" s="45" t="s">
        <v>3501</v>
      </c>
      <c r="B3473" s="46" t="s">
        <v>20025</v>
      </c>
      <c r="C3473">
        <v>7</v>
      </c>
      <c r="D3473">
        <v>48</v>
      </c>
    </row>
    <row r="3474" spans="1:4" x14ac:dyDescent="0.25">
      <c r="A3474" s="45" t="s">
        <v>3502</v>
      </c>
      <c r="B3474" s="46" t="s">
        <v>15228</v>
      </c>
      <c r="C3474">
        <v>7</v>
      </c>
      <c r="D3474">
        <v>48</v>
      </c>
    </row>
    <row r="3475" spans="1:4" x14ac:dyDescent="0.25">
      <c r="A3475" s="45" t="s">
        <v>3503</v>
      </c>
      <c r="B3475" s="46" t="s">
        <v>15229</v>
      </c>
      <c r="C3475">
        <v>7</v>
      </c>
      <c r="D3475">
        <v>48</v>
      </c>
    </row>
    <row r="3476" spans="1:4" x14ac:dyDescent="0.25">
      <c r="A3476" s="45" t="s">
        <v>3504</v>
      </c>
      <c r="B3476" s="46" t="s">
        <v>15230</v>
      </c>
      <c r="C3476">
        <v>7</v>
      </c>
      <c r="D3476">
        <v>48</v>
      </c>
    </row>
    <row r="3477" spans="1:4" x14ac:dyDescent="0.25">
      <c r="A3477" s="45" t="s">
        <v>3505</v>
      </c>
      <c r="B3477" s="46" t="s">
        <v>15231</v>
      </c>
      <c r="C3477">
        <v>7</v>
      </c>
      <c r="D3477">
        <v>48</v>
      </c>
    </row>
    <row r="3478" spans="1:4" x14ac:dyDescent="0.25">
      <c r="A3478" s="45" t="s">
        <v>3506</v>
      </c>
      <c r="B3478" s="46" t="s">
        <v>15232</v>
      </c>
      <c r="C3478">
        <v>7</v>
      </c>
      <c r="D3478">
        <v>48</v>
      </c>
    </row>
    <row r="3479" spans="1:4" x14ac:dyDescent="0.25">
      <c r="A3479" s="45" t="s">
        <v>3507</v>
      </c>
      <c r="B3479" s="46" t="s">
        <v>15233</v>
      </c>
      <c r="C3479">
        <v>7</v>
      </c>
      <c r="D3479">
        <v>48</v>
      </c>
    </row>
    <row r="3480" spans="1:4" x14ac:dyDescent="0.25">
      <c r="A3480" s="45" t="s">
        <v>3508</v>
      </c>
      <c r="B3480" s="46" t="s">
        <v>15234</v>
      </c>
      <c r="C3480">
        <v>7</v>
      </c>
      <c r="D3480">
        <v>48</v>
      </c>
    </row>
    <row r="3481" spans="1:4" x14ac:dyDescent="0.25">
      <c r="A3481" s="45" t="s">
        <v>3509</v>
      </c>
      <c r="B3481" s="46" t="s">
        <v>15235</v>
      </c>
      <c r="C3481">
        <v>7</v>
      </c>
      <c r="D3481">
        <v>48</v>
      </c>
    </row>
    <row r="3482" spans="1:4" x14ac:dyDescent="0.25">
      <c r="A3482" s="45" t="s">
        <v>3510</v>
      </c>
      <c r="B3482" s="46" t="s">
        <v>15236</v>
      </c>
      <c r="C3482">
        <v>7</v>
      </c>
      <c r="D3482">
        <v>48</v>
      </c>
    </row>
    <row r="3483" spans="1:4" x14ac:dyDescent="0.25">
      <c r="A3483" s="45" t="s">
        <v>3511</v>
      </c>
      <c r="B3483" s="46" t="s">
        <v>15237</v>
      </c>
      <c r="C3483">
        <v>7</v>
      </c>
      <c r="D3483">
        <v>48</v>
      </c>
    </row>
    <row r="3484" spans="1:4" x14ac:dyDescent="0.25">
      <c r="A3484" s="45" t="s">
        <v>3512</v>
      </c>
      <c r="B3484" s="46" t="s">
        <v>15238</v>
      </c>
      <c r="C3484">
        <v>7</v>
      </c>
      <c r="D3484">
        <v>48</v>
      </c>
    </row>
    <row r="3485" spans="1:4" x14ac:dyDescent="0.25">
      <c r="A3485" s="45" t="s">
        <v>3513</v>
      </c>
      <c r="B3485" s="46" t="s">
        <v>15239</v>
      </c>
      <c r="C3485">
        <v>7</v>
      </c>
      <c r="D3485">
        <v>48</v>
      </c>
    </row>
    <row r="3486" spans="1:4" x14ac:dyDescent="0.25">
      <c r="A3486" s="45" t="s">
        <v>3514</v>
      </c>
      <c r="B3486" s="46" t="s">
        <v>15240</v>
      </c>
      <c r="C3486">
        <v>7</v>
      </c>
      <c r="D3486">
        <v>48</v>
      </c>
    </row>
    <row r="3487" spans="1:4" x14ac:dyDescent="0.25">
      <c r="A3487" s="45" t="s">
        <v>3515</v>
      </c>
      <c r="B3487" s="46" t="s">
        <v>15241</v>
      </c>
      <c r="C3487">
        <v>7</v>
      </c>
      <c r="D3487">
        <v>48</v>
      </c>
    </row>
    <row r="3488" spans="1:4" x14ac:dyDescent="0.25">
      <c r="A3488" s="45" t="s">
        <v>3516</v>
      </c>
      <c r="B3488" s="46" t="s">
        <v>15242</v>
      </c>
      <c r="C3488">
        <v>7</v>
      </c>
      <c r="D3488">
        <v>48</v>
      </c>
    </row>
    <row r="3489" spans="1:4" x14ac:dyDescent="0.25">
      <c r="A3489" s="45" t="s">
        <v>3517</v>
      </c>
      <c r="B3489" s="46" t="s">
        <v>15243</v>
      </c>
      <c r="C3489">
        <v>7</v>
      </c>
      <c r="D3489">
        <v>48</v>
      </c>
    </row>
    <row r="3490" spans="1:4" x14ac:dyDescent="0.25">
      <c r="A3490" s="45" t="s">
        <v>3518</v>
      </c>
      <c r="B3490" s="46" t="s">
        <v>15244</v>
      </c>
      <c r="C3490">
        <v>7</v>
      </c>
      <c r="D3490">
        <v>48</v>
      </c>
    </row>
    <row r="3491" spans="1:4" x14ac:dyDescent="0.25">
      <c r="A3491" s="45" t="s">
        <v>3519</v>
      </c>
      <c r="B3491" s="46" t="s">
        <v>15245</v>
      </c>
      <c r="C3491">
        <v>7</v>
      </c>
      <c r="D3491">
        <v>48</v>
      </c>
    </row>
    <row r="3492" spans="1:4" x14ac:dyDescent="0.25">
      <c r="A3492" s="45" t="s">
        <v>3520</v>
      </c>
      <c r="B3492" s="46" t="s">
        <v>15246</v>
      </c>
      <c r="C3492">
        <v>7</v>
      </c>
      <c r="D3492">
        <v>48</v>
      </c>
    </row>
    <row r="3493" spans="1:4" x14ac:dyDescent="0.25">
      <c r="A3493" s="45" t="s">
        <v>3521</v>
      </c>
      <c r="B3493" s="46" t="s">
        <v>15247</v>
      </c>
      <c r="C3493">
        <v>7</v>
      </c>
      <c r="D3493">
        <v>48</v>
      </c>
    </row>
    <row r="3494" spans="1:4" x14ac:dyDescent="0.25">
      <c r="A3494" s="45" t="s">
        <v>3522</v>
      </c>
      <c r="B3494" s="46" t="s">
        <v>15248</v>
      </c>
      <c r="C3494">
        <v>7</v>
      </c>
      <c r="D3494">
        <v>48</v>
      </c>
    </row>
    <row r="3495" spans="1:4" x14ac:dyDescent="0.25">
      <c r="A3495" s="45" t="s">
        <v>3523</v>
      </c>
      <c r="B3495" s="46" t="s">
        <v>15249</v>
      </c>
      <c r="C3495">
        <v>7</v>
      </c>
      <c r="D3495">
        <v>48</v>
      </c>
    </row>
    <row r="3496" spans="1:4" x14ac:dyDescent="0.25">
      <c r="A3496" s="45" t="s">
        <v>3524</v>
      </c>
      <c r="B3496" s="46" t="s">
        <v>15250</v>
      </c>
      <c r="C3496">
        <v>7</v>
      </c>
      <c r="D3496">
        <v>48</v>
      </c>
    </row>
    <row r="3497" spans="1:4" x14ac:dyDescent="0.25">
      <c r="A3497" s="45" t="s">
        <v>3525</v>
      </c>
      <c r="B3497" s="46" t="s">
        <v>15251</v>
      </c>
      <c r="C3497">
        <v>7</v>
      </c>
      <c r="D3497">
        <v>48</v>
      </c>
    </row>
    <row r="3498" spans="1:4" x14ac:dyDescent="0.25">
      <c r="A3498" s="45" t="s">
        <v>3526</v>
      </c>
      <c r="B3498" s="46" t="s">
        <v>15252</v>
      </c>
      <c r="C3498">
        <v>7</v>
      </c>
      <c r="D3498">
        <v>48</v>
      </c>
    </row>
    <row r="3499" spans="1:4" x14ac:dyDescent="0.25">
      <c r="A3499" s="45" t="s">
        <v>3527</v>
      </c>
      <c r="B3499" s="46" t="s">
        <v>15253</v>
      </c>
      <c r="C3499">
        <v>7</v>
      </c>
      <c r="D3499">
        <v>48</v>
      </c>
    </row>
    <row r="3500" spans="1:4" x14ac:dyDescent="0.25">
      <c r="A3500" s="45" t="s">
        <v>3528</v>
      </c>
      <c r="B3500" s="46" t="s">
        <v>15254</v>
      </c>
      <c r="C3500">
        <v>7</v>
      </c>
      <c r="D3500">
        <v>48</v>
      </c>
    </row>
    <row r="3501" spans="1:4" x14ac:dyDescent="0.25">
      <c r="A3501" s="45" t="s">
        <v>3529</v>
      </c>
      <c r="B3501" s="46" t="s">
        <v>15255</v>
      </c>
      <c r="C3501">
        <v>7</v>
      </c>
      <c r="D3501">
        <v>48</v>
      </c>
    </row>
    <row r="3502" spans="1:4" x14ac:dyDescent="0.25">
      <c r="A3502" s="45" t="s">
        <v>3530</v>
      </c>
      <c r="B3502" s="46" t="s">
        <v>15256</v>
      </c>
      <c r="C3502">
        <v>7</v>
      </c>
      <c r="D3502">
        <v>48</v>
      </c>
    </row>
    <row r="3503" spans="1:4" x14ac:dyDescent="0.25">
      <c r="A3503" s="45" t="s">
        <v>3531</v>
      </c>
      <c r="B3503" s="46" t="s">
        <v>15257</v>
      </c>
      <c r="C3503">
        <v>7</v>
      </c>
      <c r="D3503">
        <v>48</v>
      </c>
    </row>
    <row r="3504" spans="1:4" x14ac:dyDescent="0.25">
      <c r="A3504" s="45" t="s">
        <v>3532</v>
      </c>
      <c r="B3504" s="46" t="s">
        <v>15258</v>
      </c>
      <c r="C3504">
        <v>7</v>
      </c>
      <c r="D3504">
        <v>48</v>
      </c>
    </row>
    <row r="3505" spans="1:4" x14ac:dyDescent="0.25">
      <c r="A3505" s="45" t="s">
        <v>3533</v>
      </c>
      <c r="B3505" s="46" t="s">
        <v>15259</v>
      </c>
      <c r="C3505">
        <v>7</v>
      </c>
      <c r="D3505">
        <v>48</v>
      </c>
    </row>
    <row r="3506" spans="1:4" x14ac:dyDescent="0.25">
      <c r="A3506" s="45" t="s">
        <v>3534</v>
      </c>
      <c r="B3506" s="46" t="s">
        <v>15260</v>
      </c>
      <c r="C3506">
        <v>7</v>
      </c>
      <c r="D3506">
        <v>48</v>
      </c>
    </row>
    <row r="3507" spans="1:4" x14ac:dyDescent="0.25">
      <c r="A3507" s="45" t="s">
        <v>3535</v>
      </c>
      <c r="B3507" s="46" t="s">
        <v>15261</v>
      </c>
      <c r="C3507">
        <v>7</v>
      </c>
      <c r="D3507">
        <v>48</v>
      </c>
    </row>
    <row r="3508" spans="1:4" x14ac:dyDescent="0.25">
      <c r="A3508" s="45" t="s">
        <v>3536</v>
      </c>
      <c r="B3508" s="46" t="s">
        <v>15262</v>
      </c>
      <c r="C3508">
        <v>7</v>
      </c>
      <c r="D3508">
        <v>48</v>
      </c>
    </row>
    <row r="3509" spans="1:4" x14ac:dyDescent="0.25">
      <c r="A3509" s="45" t="s">
        <v>3537</v>
      </c>
      <c r="B3509" s="46" t="s">
        <v>15263</v>
      </c>
      <c r="C3509">
        <v>4</v>
      </c>
      <c r="D3509">
        <v>29</v>
      </c>
    </row>
    <row r="3510" spans="1:4" x14ac:dyDescent="0.25">
      <c r="A3510" s="45" t="s">
        <v>3538</v>
      </c>
      <c r="B3510" s="46" t="s">
        <v>15264</v>
      </c>
      <c r="C3510">
        <v>4</v>
      </c>
      <c r="D3510">
        <v>29</v>
      </c>
    </row>
    <row r="3511" spans="1:4" x14ac:dyDescent="0.25">
      <c r="A3511" s="45" t="s">
        <v>3539</v>
      </c>
      <c r="B3511" s="46" t="s">
        <v>15265</v>
      </c>
      <c r="C3511">
        <v>1</v>
      </c>
      <c r="D3511">
        <v>11</v>
      </c>
    </row>
    <row r="3512" spans="1:4" x14ac:dyDescent="0.25">
      <c r="A3512" s="45" t="s">
        <v>3540</v>
      </c>
      <c r="B3512" s="46" t="s">
        <v>15266</v>
      </c>
      <c r="C3512">
        <v>4</v>
      </c>
      <c r="D3512">
        <v>29</v>
      </c>
    </row>
    <row r="3513" spans="1:4" x14ac:dyDescent="0.25">
      <c r="A3513" s="45" t="s">
        <v>3541</v>
      </c>
      <c r="B3513" s="46" t="s">
        <v>15267</v>
      </c>
      <c r="C3513">
        <v>7</v>
      </c>
      <c r="D3513">
        <v>48</v>
      </c>
    </row>
    <row r="3514" spans="1:4" x14ac:dyDescent="0.25">
      <c r="A3514" s="45" t="s">
        <v>3542</v>
      </c>
      <c r="B3514" s="46" t="s">
        <v>15268</v>
      </c>
      <c r="C3514">
        <v>7</v>
      </c>
      <c r="D3514">
        <v>48</v>
      </c>
    </row>
    <row r="3515" spans="1:4" x14ac:dyDescent="0.25">
      <c r="A3515" s="45" t="s">
        <v>3543</v>
      </c>
      <c r="B3515" s="46" t="s">
        <v>15269</v>
      </c>
      <c r="C3515">
        <v>4</v>
      </c>
      <c r="D3515">
        <v>29</v>
      </c>
    </row>
    <row r="3516" spans="1:4" x14ac:dyDescent="0.25">
      <c r="A3516" s="45" t="s">
        <v>3544</v>
      </c>
      <c r="B3516" s="46" t="s">
        <v>15270</v>
      </c>
      <c r="C3516">
        <v>4</v>
      </c>
      <c r="D3516">
        <v>29</v>
      </c>
    </row>
    <row r="3517" spans="1:4" x14ac:dyDescent="0.25">
      <c r="A3517" s="45" t="s">
        <v>3545</v>
      </c>
      <c r="B3517" s="46" t="s">
        <v>20026</v>
      </c>
      <c r="C3517">
        <v>7</v>
      </c>
      <c r="D3517">
        <v>48</v>
      </c>
    </row>
    <row r="3518" spans="1:4" x14ac:dyDescent="0.25">
      <c r="A3518" s="45" t="s">
        <v>3546</v>
      </c>
      <c r="B3518" s="46" t="s">
        <v>20027</v>
      </c>
      <c r="C3518">
        <v>7</v>
      </c>
      <c r="D3518">
        <v>48</v>
      </c>
    </row>
    <row r="3519" spans="1:4" x14ac:dyDescent="0.25">
      <c r="A3519" s="45" t="s">
        <v>3547</v>
      </c>
      <c r="B3519" s="46" t="s">
        <v>15271</v>
      </c>
      <c r="C3519">
        <v>7</v>
      </c>
      <c r="D3519">
        <v>48</v>
      </c>
    </row>
    <row r="3520" spans="1:4" x14ac:dyDescent="0.25">
      <c r="A3520" s="45" t="s">
        <v>3548</v>
      </c>
      <c r="B3520" s="46" t="s">
        <v>15272</v>
      </c>
      <c r="C3520">
        <v>7</v>
      </c>
      <c r="D3520">
        <v>48</v>
      </c>
    </row>
    <row r="3521" spans="1:4" x14ac:dyDescent="0.25">
      <c r="A3521" s="45" t="s">
        <v>3549</v>
      </c>
      <c r="B3521" s="46" t="s">
        <v>15273</v>
      </c>
      <c r="C3521">
        <v>7</v>
      </c>
      <c r="D3521">
        <v>48</v>
      </c>
    </row>
    <row r="3522" spans="1:4" x14ac:dyDescent="0.25">
      <c r="A3522" s="45" t="s">
        <v>3550</v>
      </c>
      <c r="B3522" s="46" t="s">
        <v>15274</v>
      </c>
      <c r="C3522">
        <v>7</v>
      </c>
      <c r="D3522">
        <v>45</v>
      </c>
    </row>
    <row r="3523" spans="1:4" x14ac:dyDescent="0.25">
      <c r="A3523" s="45" t="s">
        <v>3551</v>
      </c>
      <c r="B3523" s="46" t="s">
        <v>15275</v>
      </c>
      <c r="C3523">
        <v>7</v>
      </c>
      <c r="D3523">
        <v>45</v>
      </c>
    </row>
    <row r="3524" spans="1:4" x14ac:dyDescent="0.25">
      <c r="A3524" s="45" t="s">
        <v>3552</v>
      </c>
      <c r="B3524" s="46" t="s">
        <v>15276</v>
      </c>
      <c r="C3524">
        <v>7</v>
      </c>
      <c r="D3524">
        <v>48</v>
      </c>
    </row>
    <row r="3525" spans="1:4" x14ac:dyDescent="0.25">
      <c r="A3525" s="45" t="s">
        <v>3553</v>
      </c>
      <c r="B3525" s="46" t="s">
        <v>15277</v>
      </c>
      <c r="C3525">
        <v>7</v>
      </c>
      <c r="D3525">
        <v>45</v>
      </c>
    </row>
    <row r="3526" spans="1:4" x14ac:dyDescent="0.25">
      <c r="A3526" s="45" t="s">
        <v>3554</v>
      </c>
      <c r="B3526" s="46" t="s">
        <v>15278</v>
      </c>
      <c r="C3526">
        <v>17</v>
      </c>
      <c r="D3526">
        <v>106</v>
      </c>
    </row>
    <row r="3527" spans="1:4" x14ac:dyDescent="0.25">
      <c r="A3527" s="45" t="s">
        <v>3555</v>
      </c>
      <c r="B3527" s="46" t="s">
        <v>20028</v>
      </c>
      <c r="C3527">
        <v>7</v>
      </c>
      <c r="D3527">
        <v>45</v>
      </c>
    </row>
    <row r="3528" spans="1:4" x14ac:dyDescent="0.25">
      <c r="A3528" s="45" t="s">
        <v>3556</v>
      </c>
      <c r="B3528" s="46" t="s">
        <v>20029</v>
      </c>
      <c r="C3528">
        <v>7</v>
      </c>
      <c r="D3528">
        <v>45</v>
      </c>
    </row>
    <row r="3529" spans="1:4" x14ac:dyDescent="0.25">
      <c r="A3529" s="45" t="s">
        <v>3557</v>
      </c>
      <c r="B3529" s="46" t="s">
        <v>12693</v>
      </c>
      <c r="C3529">
        <v>7</v>
      </c>
      <c r="D3529">
        <v>48</v>
      </c>
    </row>
    <row r="3530" spans="1:4" x14ac:dyDescent="0.25">
      <c r="A3530" s="45" t="s">
        <v>3558</v>
      </c>
      <c r="B3530" s="46" t="s">
        <v>20030</v>
      </c>
      <c r="C3530">
        <v>7</v>
      </c>
      <c r="D3530">
        <v>45</v>
      </c>
    </row>
    <row r="3531" spans="1:4" x14ac:dyDescent="0.25">
      <c r="A3531" s="45" t="s">
        <v>3559</v>
      </c>
      <c r="B3531" s="46" t="s">
        <v>15279</v>
      </c>
      <c r="C3531">
        <v>7</v>
      </c>
      <c r="D3531">
        <v>48</v>
      </c>
    </row>
    <row r="3532" spans="1:4" x14ac:dyDescent="0.25">
      <c r="A3532" s="45" t="s">
        <v>3560</v>
      </c>
      <c r="B3532" s="46" t="s">
        <v>20031</v>
      </c>
      <c r="C3532">
        <v>8</v>
      </c>
      <c r="D3532">
        <v>49</v>
      </c>
    </row>
    <row r="3533" spans="1:4" x14ac:dyDescent="0.25">
      <c r="A3533" s="45" t="s">
        <v>3561</v>
      </c>
      <c r="B3533" s="46" t="s">
        <v>15280</v>
      </c>
      <c r="C3533">
        <v>8</v>
      </c>
      <c r="D3533">
        <v>49</v>
      </c>
    </row>
    <row r="3534" spans="1:4" x14ac:dyDescent="0.25">
      <c r="A3534" s="45" t="s">
        <v>15281</v>
      </c>
      <c r="B3534" s="46" t="s">
        <v>15282</v>
      </c>
      <c r="C3534">
        <v>8</v>
      </c>
      <c r="D3534">
        <v>49</v>
      </c>
    </row>
    <row r="3535" spans="1:4" x14ac:dyDescent="0.25">
      <c r="A3535" s="45" t="s">
        <v>3563</v>
      </c>
      <c r="B3535" s="46" t="s">
        <v>15283</v>
      </c>
      <c r="C3535">
        <v>8</v>
      </c>
      <c r="D3535">
        <v>49</v>
      </c>
    </row>
    <row r="3536" spans="1:4" x14ac:dyDescent="0.25">
      <c r="A3536" s="45" t="s">
        <v>3564</v>
      </c>
      <c r="B3536" s="46" t="s">
        <v>15284</v>
      </c>
      <c r="C3536">
        <v>8</v>
      </c>
      <c r="D3536">
        <v>49</v>
      </c>
    </row>
    <row r="3537" spans="1:4" x14ac:dyDescent="0.25">
      <c r="A3537" s="45" t="s">
        <v>3565</v>
      </c>
      <c r="B3537" s="46" t="s">
        <v>15285</v>
      </c>
      <c r="C3537">
        <v>8</v>
      </c>
      <c r="D3537">
        <v>49</v>
      </c>
    </row>
    <row r="3538" spans="1:4" x14ac:dyDescent="0.25">
      <c r="A3538" s="45" t="s">
        <v>3566</v>
      </c>
      <c r="B3538" s="46" t="s">
        <v>15286</v>
      </c>
      <c r="C3538">
        <v>8</v>
      </c>
      <c r="D3538">
        <v>49</v>
      </c>
    </row>
    <row r="3539" spans="1:4" x14ac:dyDescent="0.25">
      <c r="A3539" s="45" t="s">
        <v>3567</v>
      </c>
      <c r="B3539" s="46" t="s">
        <v>15287</v>
      </c>
      <c r="C3539">
        <v>8</v>
      </c>
      <c r="D3539">
        <v>49</v>
      </c>
    </row>
    <row r="3540" spans="1:4" x14ac:dyDescent="0.25">
      <c r="A3540" s="45" t="s">
        <v>3568</v>
      </c>
      <c r="B3540" s="46" t="s">
        <v>15288</v>
      </c>
      <c r="C3540">
        <v>8</v>
      </c>
      <c r="D3540">
        <v>49</v>
      </c>
    </row>
    <row r="3541" spans="1:4" x14ac:dyDescent="0.25">
      <c r="A3541" s="45" t="s">
        <v>3569</v>
      </c>
      <c r="B3541" s="46" t="s">
        <v>15289</v>
      </c>
      <c r="C3541">
        <v>8</v>
      </c>
      <c r="D3541">
        <v>49</v>
      </c>
    </row>
    <row r="3542" spans="1:4" x14ac:dyDescent="0.25">
      <c r="A3542" s="45" t="s">
        <v>3570</v>
      </c>
      <c r="B3542" s="46" t="s">
        <v>15290</v>
      </c>
      <c r="C3542">
        <v>8</v>
      </c>
      <c r="D3542">
        <v>49</v>
      </c>
    </row>
    <row r="3543" spans="1:4" x14ac:dyDescent="0.25">
      <c r="A3543" s="45" t="s">
        <v>3571</v>
      </c>
      <c r="B3543" s="46" t="s">
        <v>15291</v>
      </c>
      <c r="C3543">
        <v>8</v>
      </c>
      <c r="D3543">
        <v>49</v>
      </c>
    </row>
    <row r="3544" spans="1:4" x14ac:dyDescent="0.25">
      <c r="A3544" s="45" t="s">
        <v>3572</v>
      </c>
      <c r="B3544" s="46" t="s">
        <v>15292</v>
      </c>
      <c r="C3544">
        <v>8</v>
      </c>
      <c r="D3544">
        <v>49</v>
      </c>
    </row>
    <row r="3545" spans="1:4" x14ac:dyDescent="0.25">
      <c r="A3545" s="45" t="s">
        <v>3573</v>
      </c>
      <c r="B3545" s="46" t="s">
        <v>15293</v>
      </c>
      <c r="C3545">
        <v>8</v>
      </c>
      <c r="D3545">
        <v>49</v>
      </c>
    </row>
    <row r="3546" spans="1:4" x14ac:dyDescent="0.25">
      <c r="A3546" s="45" t="s">
        <v>3574</v>
      </c>
      <c r="B3546" s="46" t="s">
        <v>15294</v>
      </c>
      <c r="C3546">
        <v>8</v>
      </c>
      <c r="D3546">
        <v>49</v>
      </c>
    </row>
    <row r="3547" spans="1:4" x14ac:dyDescent="0.25">
      <c r="A3547" s="45" t="s">
        <v>3575</v>
      </c>
      <c r="B3547" s="46" t="s">
        <v>15295</v>
      </c>
      <c r="C3547">
        <v>8</v>
      </c>
      <c r="D3547">
        <v>49</v>
      </c>
    </row>
    <row r="3548" spans="1:4" x14ac:dyDescent="0.25">
      <c r="A3548" s="45" t="s">
        <v>3576</v>
      </c>
      <c r="B3548" s="46" t="s">
        <v>15296</v>
      </c>
      <c r="C3548">
        <v>8</v>
      </c>
      <c r="D3548">
        <v>49</v>
      </c>
    </row>
    <row r="3549" spans="1:4" x14ac:dyDescent="0.25">
      <c r="A3549" s="45" t="s">
        <v>3577</v>
      </c>
      <c r="B3549" s="46" t="s">
        <v>15297</v>
      </c>
      <c r="C3549">
        <v>8</v>
      </c>
      <c r="D3549">
        <v>49</v>
      </c>
    </row>
    <row r="3550" spans="1:4" x14ac:dyDescent="0.25">
      <c r="A3550" s="45" t="s">
        <v>3578</v>
      </c>
      <c r="B3550" s="46" t="s">
        <v>15298</v>
      </c>
      <c r="C3550">
        <v>8</v>
      </c>
      <c r="D3550">
        <v>49</v>
      </c>
    </row>
    <row r="3551" spans="1:4" x14ac:dyDescent="0.25">
      <c r="A3551" s="45" t="s">
        <v>3579</v>
      </c>
      <c r="B3551" s="46" t="s">
        <v>20032</v>
      </c>
      <c r="C3551">
        <v>8</v>
      </c>
      <c r="D3551">
        <v>49</v>
      </c>
    </row>
    <row r="3552" spans="1:4" x14ac:dyDescent="0.25">
      <c r="A3552" s="45" t="s">
        <v>3580</v>
      </c>
      <c r="B3552" s="46" t="s">
        <v>15299</v>
      </c>
      <c r="C3552">
        <v>8</v>
      </c>
      <c r="D3552">
        <v>49</v>
      </c>
    </row>
    <row r="3553" spans="1:4" x14ac:dyDescent="0.25">
      <c r="A3553" s="45" t="s">
        <v>3581</v>
      </c>
      <c r="B3553" s="46" t="s">
        <v>15300</v>
      </c>
      <c r="C3553">
        <v>8</v>
      </c>
      <c r="D3553">
        <v>49</v>
      </c>
    </row>
    <row r="3554" spans="1:4" x14ac:dyDescent="0.25">
      <c r="A3554" s="45" t="s">
        <v>3582</v>
      </c>
      <c r="B3554" s="46" t="s">
        <v>20033</v>
      </c>
      <c r="C3554">
        <v>8</v>
      </c>
      <c r="D3554">
        <v>49</v>
      </c>
    </row>
    <row r="3555" spans="1:4" x14ac:dyDescent="0.25">
      <c r="A3555" s="45" t="s">
        <v>3583</v>
      </c>
      <c r="B3555" s="46" t="s">
        <v>15301</v>
      </c>
      <c r="C3555">
        <v>8</v>
      </c>
      <c r="D3555">
        <v>51</v>
      </c>
    </row>
    <row r="3556" spans="1:4" x14ac:dyDescent="0.25">
      <c r="A3556" s="45" t="s">
        <v>3584</v>
      </c>
      <c r="B3556" s="46" t="s">
        <v>15302</v>
      </c>
      <c r="C3556">
        <v>8</v>
      </c>
      <c r="D3556">
        <v>51</v>
      </c>
    </row>
    <row r="3557" spans="1:4" x14ac:dyDescent="0.25">
      <c r="A3557" s="45" t="s">
        <v>3585</v>
      </c>
      <c r="B3557" s="46" t="s">
        <v>20034</v>
      </c>
      <c r="C3557">
        <v>8</v>
      </c>
      <c r="D3557">
        <v>51</v>
      </c>
    </row>
    <row r="3558" spans="1:4" x14ac:dyDescent="0.25">
      <c r="A3558" s="45" t="s">
        <v>3586</v>
      </c>
      <c r="B3558" s="46" t="s">
        <v>20035</v>
      </c>
      <c r="C3558">
        <v>8</v>
      </c>
      <c r="D3558">
        <v>51</v>
      </c>
    </row>
    <row r="3559" spans="1:4" x14ac:dyDescent="0.25">
      <c r="A3559" s="45" t="s">
        <v>3587</v>
      </c>
      <c r="B3559" s="46" t="s">
        <v>15303</v>
      </c>
      <c r="C3559">
        <v>8</v>
      </c>
      <c r="D3559">
        <v>51</v>
      </c>
    </row>
    <row r="3560" spans="1:4" x14ac:dyDescent="0.25">
      <c r="A3560" s="45" t="s">
        <v>3588</v>
      </c>
      <c r="B3560" s="46" t="s">
        <v>20036</v>
      </c>
      <c r="C3560">
        <v>8</v>
      </c>
      <c r="D3560">
        <v>51</v>
      </c>
    </row>
    <row r="3561" spans="1:4" x14ac:dyDescent="0.25">
      <c r="A3561" s="45" t="s">
        <v>3589</v>
      </c>
      <c r="B3561" s="46" t="s">
        <v>15304</v>
      </c>
      <c r="C3561">
        <v>8</v>
      </c>
      <c r="D3561">
        <v>51</v>
      </c>
    </row>
    <row r="3562" spans="1:4" x14ac:dyDescent="0.25">
      <c r="A3562" s="45" t="s">
        <v>3590</v>
      </c>
      <c r="B3562" s="46" t="s">
        <v>15305</v>
      </c>
      <c r="C3562">
        <v>8</v>
      </c>
      <c r="D3562">
        <v>51</v>
      </c>
    </row>
    <row r="3563" spans="1:4" x14ac:dyDescent="0.25">
      <c r="A3563" s="45" t="s">
        <v>3591</v>
      </c>
      <c r="B3563" s="46" t="s">
        <v>15306</v>
      </c>
      <c r="C3563">
        <v>8</v>
      </c>
      <c r="D3563">
        <v>51</v>
      </c>
    </row>
    <row r="3564" spans="1:4" x14ac:dyDescent="0.25">
      <c r="A3564" s="45" t="s">
        <v>3592</v>
      </c>
      <c r="B3564" s="46" t="s">
        <v>15307</v>
      </c>
      <c r="C3564">
        <v>8</v>
      </c>
      <c r="D3564">
        <v>51</v>
      </c>
    </row>
    <row r="3565" spans="1:4" x14ac:dyDescent="0.25">
      <c r="A3565" s="45" t="s">
        <v>3593</v>
      </c>
      <c r="B3565" s="46" t="s">
        <v>15308</v>
      </c>
      <c r="C3565">
        <v>8</v>
      </c>
      <c r="D3565">
        <v>51</v>
      </c>
    </row>
    <row r="3566" spans="1:4" x14ac:dyDescent="0.25">
      <c r="A3566" s="45" t="s">
        <v>3594</v>
      </c>
      <c r="B3566" s="46" t="s">
        <v>15309</v>
      </c>
      <c r="C3566">
        <v>8</v>
      </c>
      <c r="D3566">
        <v>51</v>
      </c>
    </row>
    <row r="3567" spans="1:4" x14ac:dyDescent="0.25">
      <c r="A3567" s="45" t="s">
        <v>3595</v>
      </c>
      <c r="B3567" s="46" t="s">
        <v>15310</v>
      </c>
      <c r="C3567">
        <v>8</v>
      </c>
      <c r="D3567">
        <v>51</v>
      </c>
    </row>
    <row r="3568" spans="1:4" x14ac:dyDescent="0.25">
      <c r="A3568" s="45" t="s">
        <v>3596</v>
      </c>
      <c r="B3568" s="46" t="s">
        <v>15311</v>
      </c>
      <c r="C3568">
        <v>8</v>
      </c>
      <c r="D3568">
        <v>51</v>
      </c>
    </row>
    <row r="3569" spans="1:4" x14ac:dyDescent="0.25">
      <c r="A3569" s="45" t="s">
        <v>3597</v>
      </c>
      <c r="B3569" s="46" t="s">
        <v>15312</v>
      </c>
      <c r="C3569">
        <v>8</v>
      </c>
      <c r="D3569">
        <v>51</v>
      </c>
    </row>
    <row r="3570" spans="1:4" x14ac:dyDescent="0.25">
      <c r="A3570" s="45" t="s">
        <v>3598</v>
      </c>
      <c r="B3570" s="46" t="s">
        <v>15313</v>
      </c>
      <c r="C3570">
        <v>8</v>
      </c>
      <c r="D3570">
        <v>51</v>
      </c>
    </row>
    <row r="3571" spans="1:4" x14ac:dyDescent="0.25">
      <c r="A3571" s="45" t="s">
        <v>3599</v>
      </c>
      <c r="B3571" s="46" t="s">
        <v>15314</v>
      </c>
      <c r="C3571">
        <v>8</v>
      </c>
      <c r="D3571">
        <v>51</v>
      </c>
    </row>
    <row r="3572" spans="1:4" x14ac:dyDescent="0.25">
      <c r="A3572" s="45" t="s">
        <v>3600</v>
      </c>
      <c r="B3572" s="46" t="s">
        <v>15315</v>
      </c>
      <c r="C3572">
        <v>8</v>
      </c>
      <c r="D3572">
        <v>51</v>
      </c>
    </row>
    <row r="3573" spans="1:4" x14ac:dyDescent="0.25">
      <c r="A3573" s="45" t="s">
        <v>3601</v>
      </c>
      <c r="B3573" s="46" t="s">
        <v>15316</v>
      </c>
      <c r="C3573">
        <v>8</v>
      </c>
      <c r="D3573">
        <v>51</v>
      </c>
    </row>
    <row r="3574" spans="1:4" x14ac:dyDescent="0.25">
      <c r="A3574" s="45" t="s">
        <v>3602</v>
      </c>
      <c r="B3574" s="46" t="s">
        <v>15317</v>
      </c>
      <c r="C3574">
        <v>8</v>
      </c>
      <c r="D3574">
        <v>51</v>
      </c>
    </row>
    <row r="3575" spans="1:4" x14ac:dyDescent="0.25">
      <c r="A3575" s="45" t="s">
        <v>3603</v>
      </c>
      <c r="B3575" s="46" t="s">
        <v>15318</v>
      </c>
      <c r="C3575">
        <v>8</v>
      </c>
      <c r="D3575">
        <v>51</v>
      </c>
    </row>
    <row r="3576" spans="1:4" x14ac:dyDescent="0.25">
      <c r="A3576" s="45" t="s">
        <v>3604</v>
      </c>
      <c r="B3576" s="46" t="s">
        <v>15319</v>
      </c>
      <c r="C3576">
        <v>8</v>
      </c>
      <c r="D3576">
        <v>51</v>
      </c>
    </row>
    <row r="3577" spans="1:4" x14ac:dyDescent="0.25">
      <c r="A3577" s="45" t="s">
        <v>3605</v>
      </c>
      <c r="B3577" s="46" t="s">
        <v>15320</v>
      </c>
      <c r="C3577">
        <v>8</v>
      </c>
      <c r="D3577">
        <v>51</v>
      </c>
    </row>
    <row r="3578" spans="1:4" x14ac:dyDescent="0.25">
      <c r="A3578" s="45" t="s">
        <v>3606</v>
      </c>
      <c r="B3578" s="46" t="s">
        <v>15321</v>
      </c>
      <c r="C3578">
        <v>8</v>
      </c>
      <c r="D3578">
        <v>51</v>
      </c>
    </row>
    <row r="3579" spans="1:4" x14ac:dyDescent="0.25">
      <c r="A3579" s="45" t="s">
        <v>3607</v>
      </c>
      <c r="B3579" s="46" t="s">
        <v>15322</v>
      </c>
      <c r="C3579">
        <v>8</v>
      </c>
      <c r="D3579">
        <v>51</v>
      </c>
    </row>
    <row r="3580" spans="1:4" x14ac:dyDescent="0.25">
      <c r="A3580" s="45" t="s">
        <v>3608</v>
      </c>
      <c r="B3580" s="46" t="s">
        <v>15323</v>
      </c>
      <c r="C3580">
        <v>8</v>
      </c>
      <c r="D3580">
        <v>51</v>
      </c>
    </row>
    <row r="3581" spans="1:4" x14ac:dyDescent="0.25">
      <c r="A3581" s="45" t="s">
        <v>3609</v>
      </c>
      <c r="B3581" s="46" t="s">
        <v>15324</v>
      </c>
      <c r="C3581">
        <v>8</v>
      </c>
      <c r="D3581">
        <v>51</v>
      </c>
    </row>
    <row r="3582" spans="1:4" x14ac:dyDescent="0.25">
      <c r="A3582" s="45" t="s">
        <v>3610</v>
      </c>
      <c r="B3582" s="46" t="s">
        <v>15325</v>
      </c>
      <c r="C3582">
        <v>8</v>
      </c>
      <c r="D3582">
        <v>51</v>
      </c>
    </row>
    <row r="3583" spans="1:4" x14ac:dyDescent="0.25">
      <c r="A3583" s="45" t="s">
        <v>3611</v>
      </c>
      <c r="B3583" s="46" t="s">
        <v>15326</v>
      </c>
      <c r="C3583">
        <v>8</v>
      </c>
      <c r="D3583">
        <v>51</v>
      </c>
    </row>
    <row r="3584" spans="1:4" x14ac:dyDescent="0.25">
      <c r="A3584" s="45" t="s">
        <v>3612</v>
      </c>
      <c r="B3584" s="46" t="s">
        <v>15327</v>
      </c>
      <c r="C3584">
        <v>8</v>
      </c>
      <c r="D3584">
        <v>49</v>
      </c>
    </row>
    <row r="3585" spans="1:4" x14ac:dyDescent="0.25">
      <c r="A3585" s="45" t="s">
        <v>3613</v>
      </c>
      <c r="B3585" s="46" t="s">
        <v>15328</v>
      </c>
      <c r="C3585">
        <v>8</v>
      </c>
      <c r="D3585">
        <v>51</v>
      </c>
    </row>
    <row r="3586" spans="1:4" x14ac:dyDescent="0.25">
      <c r="A3586" s="45" t="s">
        <v>3614</v>
      </c>
      <c r="B3586" s="46" t="s">
        <v>15329</v>
      </c>
      <c r="C3586">
        <v>8</v>
      </c>
      <c r="D3586">
        <v>51</v>
      </c>
    </row>
    <row r="3587" spans="1:4" x14ac:dyDescent="0.25">
      <c r="A3587" s="45" t="s">
        <v>3615</v>
      </c>
      <c r="B3587" s="46" t="s">
        <v>20037</v>
      </c>
      <c r="C3587">
        <v>8</v>
      </c>
      <c r="D3587">
        <v>51</v>
      </c>
    </row>
    <row r="3588" spans="1:4" x14ac:dyDescent="0.25">
      <c r="A3588" s="45" t="s">
        <v>3616</v>
      </c>
      <c r="B3588" s="46" t="s">
        <v>15330</v>
      </c>
      <c r="C3588">
        <v>8</v>
      </c>
      <c r="D3588">
        <v>51</v>
      </c>
    </row>
    <row r="3589" spans="1:4" x14ac:dyDescent="0.25">
      <c r="A3589" s="45" t="s">
        <v>3617</v>
      </c>
      <c r="B3589" s="46" t="s">
        <v>15331</v>
      </c>
      <c r="C3589">
        <v>8</v>
      </c>
      <c r="D3589">
        <v>49</v>
      </c>
    </row>
    <row r="3590" spans="1:4" x14ac:dyDescent="0.25">
      <c r="A3590" s="45" t="s">
        <v>3618</v>
      </c>
      <c r="B3590" s="46" t="s">
        <v>15332</v>
      </c>
      <c r="C3590">
        <v>8</v>
      </c>
      <c r="D3590">
        <v>49</v>
      </c>
    </row>
    <row r="3591" spans="1:4" x14ac:dyDescent="0.25">
      <c r="A3591" s="45" t="s">
        <v>3619</v>
      </c>
      <c r="B3591" s="46" t="s">
        <v>15333</v>
      </c>
      <c r="C3591">
        <v>8</v>
      </c>
      <c r="D3591">
        <v>49</v>
      </c>
    </row>
    <row r="3592" spans="1:4" x14ac:dyDescent="0.25">
      <c r="A3592" s="45" t="s">
        <v>3620</v>
      </c>
      <c r="B3592" s="46" t="s">
        <v>15334</v>
      </c>
      <c r="C3592">
        <v>8</v>
      </c>
      <c r="D3592">
        <v>49</v>
      </c>
    </row>
    <row r="3593" spans="1:4" x14ac:dyDescent="0.25">
      <c r="A3593" s="45" t="s">
        <v>3621</v>
      </c>
      <c r="B3593" s="46" t="s">
        <v>15335</v>
      </c>
      <c r="C3593">
        <v>8</v>
      </c>
      <c r="D3593">
        <v>49</v>
      </c>
    </row>
    <row r="3594" spans="1:4" x14ac:dyDescent="0.25">
      <c r="A3594" s="45" t="s">
        <v>3622</v>
      </c>
      <c r="B3594" s="46" t="s">
        <v>15336</v>
      </c>
      <c r="C3594">
        <v>8</v>
      </c>
      <c r="D3594">
        <v>49</v>
      </c>
    </row>
    <row r="3595" spans="1:4" x14ac:dyDescent="0.25">
      <c r="A3595" s="45" t="s">
        <v>3623</v>
      </c>
      <c r="B3595" s="46" t="s">
        <v>15337</v>
      </c>
      <c r="C3595">
        <v>8</v>
      </c>
      <c r="D3595">
        <v>49</v>
      </c>
    </row>
    <row r="3596" spans="1:4" x14ac:dyDescent="0.25">
      <c r="A3596" s="45" t="s">
        <v>3624</v>
      </c>
      <c r="B3596" s="46" t="s">
        <v>15338</v>
      </c>
      <c r="C3596">
        <v>8</v>
      </c>
      <c r="D3596">
        <v>49</v>
      </c>
    </row>
    <row r="3597" spans="1:4" x14ac:dyDescent="0.25">
      <c r="A3597" s="45" t="s">
        <v>3625</v>
      </c>
      <c r="B3597" s="46" t="s">
        <v>15339</v>
      </c>
      <c r="C3597">
        <v>8</v>
      </c>
      <c r="D3597">
        <v>49</v>
      </c>
    </row>
    <row r="3598" spans="1:4" x14ac:dyDescent="0.25">
      <c r="A3598" s="45" t="s">
        <v>3626</v>
      </c>
      <c r="B3598" s="46" t="s">
        <v>15340</v>
      </c>
      <c r="C3598">
        <v>8</v>
      </c>
      <c r="D3598">
        <v>49</v>
      </c>
    </row>
    <row r="3599" spans="1:4" x14ac:dyDescent="0.25">
      <c r="A3599" s="45" t="s">
        <v>3627</v>
      </c>
      <c r="B3599" s="46" t="s">
        <v>15341</v>
      </c>
      <c r="C3599">
        <v>8</v>
      </c>
      <c r="D3599">
        <v>49</v>
      </c>
    </row>
    <row r="3600" spans="1:4" x14ac:dyDescent="0.25">
      <c r="A3600" s="45" t="s">
        <v>3628</v>
      </c>
      <c r="B3600" s="46" t="s">
        <v>15342</v>
      </c>
      <c r="C3600">
        <v>8</v>
      </c>
      <c r="D3600">
        <v>49</v>
      </c>
    </row>
    <row r="3601" spans="1:4" x14ac:dyDescent="0.25">
      <c r="A3601" s="45" t="s">
        <v>3629</v>
      </c>
      <c r="B3601" s="46" t="s">
        <v>15343</v>
      </c>
      <c r="C3601">
        <v>8</v>
      </c>
      <c r="D3601">
        <v>49</v>
      </c>
    </row>
    <row r="3602" spans="1:4" x14ac:dyDescent="0.25">
      <c r="A3602" s="45" t="s">
        <v>3630</v>
      </c>
      <c r="B3602" s="46" t="s">
        <v>15344</v>
      </c>
      <c r="C3602">
        <v>8</v>
      </c>
      <c r="D3602">
        <v>49</v>
      </c>
    </row>
    <row r="3603" spans="1:4" x14ac:dyDescent="0.25">
      <c r="A3603" s="45" t="s">
        <v>3631</v>
      </c>
      <c r="B3603" s="46" t="s">
        <v>15345</v>
      </c>
      <c r="C3603">
        <v>8</v>
      </c>
      <c r="D3603">
        <v>50</v>
      </c>
    </row>
    <row r="3604" spans="1:4" x14ac:dyDescent="0.25">
      <c r="A3604" s="45" t="s">
        <v>3632</v>
      </c>
      <c r="B3604" s="46" t="s">
        <v>15346</v>
      </c>
      <c r="C3604">
        <v>8</v>
      </c>
      <c r="D3604">
        <v>50</v>
      </c>
    </row>
    <row r="3605" spans="1:4" x14ac:dyDescent="0.25">
      <c r="A3605" s="45" t="s">
        <v>3633</v>
      </c>
      <c r="B3605" s="46" t="s">
        <v>15347</v>
      </c>
      <c r="C3605">
        <v>8</v>
      </c>
      <c r="D3605">
        <v>50</v>
      </c>
    </row>
    <row r="3606" spans="1:4" x14ac:dyDescent="0.25">
      <c r="A3606" s="45" t="s">
        <v>3634</v>
      </c>
      <c r="B3606" s="46" t="s">
        <v>15348</v>
      </c>
      <c r="C3606">
        <v>8</v>
      </c>
      <c r="D3606">
        <v>50</v>
      </c>
    </row>
    <row r="3607" spans="1:4" x14ac:dyDescent="0.25">
      <c r="A3607" s="45" t="s">
        <v>3635</v>
      </c>
      <c r="B3607" s="46" t="s">
        <v>15349</v>
      </c>
      <c r="C3607">
        <v>8</v>
      </c>
      <c r="D3607">
        <v>50</v>
      </c>
    </row>
    <row r="3608" spans="1:4" x14ac:dyDescent="0.25">
      <c r="A3608" s="45" t="s">
        <v>3636</v>
      </c>
      <c r="B3608" s="46" t="s">
        <v>15350</v>
      </c>
      <c r="C3608">
        <v>8</v>
      </c>
      <c r="D3608">
        <v>50</v>
      </c>
    </row>
    <row r="3609" spans="1:4" x14ac:dyDescent="0.25">
      <c r="A3609" s="45" t="s">
        <v>3637</v>
      </c>
      <c r="B3609" s="46" t="s">
        <v>15351</v>
      </c>
      <c r="C3609">
        <v>8</v>
      </c>
      <c r="D3609">
        <v>50</v>
      </c>
    </row>
    <row r="3610" spans="1:4" x14ac:dyDescent="0.25">
      <c r="A3610" s="45" t="s">
        <v>3638</v>
      </c>
      <c r="B3610" s="46" t="s">
        <v>15352</v>
      </c>
      <c r="C3610">
        <v>8</v>
      </c>
      <c r="D3610">
        <v>50</v>
      </c>
    </row>
    <row r="3611" spans="1:4" x14ac:dyDescent="0.25">
      <c r="A3611" s="45" t="s">
        <v>3639</v>
      </c>
      <c r="B3611" s="46" t="s">
        <v>15353</v>
      </c>
      <c r="C3611">
        <v>8</v>
      </c>
      <c r="D3611">
        <v>50</v>
      </c>
    </row>
    <row r="3612" spans="1:4" x14ac:dyDescent="0.25">
      <c r="A3612" s="45" t="s">
        <v>3640</v>
      </c>
      <c r="B3612" s="46" t="s">
        <v>15354</v>
      </c>
      <c r="C3612">
        <v>8</v>
      </c>
      <c r="D3612">
        <v>50</v>
      </c>
    </row>
    <row r="3613" spans="1:4" x14ac:dyDescent="0.25">
      <c r="A3613" s="45" t="s">
        <v>3641</v>
      </c>
      <c r="B3613" s="46" t="s">
        <v>15355</v>
      </c>
      <c r="C3613">
        <v>8</v>
      </c>
      <c r="D3613">
        <v>50</v>
      </c>
    </row>
    <row r="3614" spans="1:4" x14ac:dyDescent="0.25">
      <c r="A3614" s="45" t="s">
        <v>3642</v>
      </c>
      <c r="B3614" s="46" t="s">
        <v>15356</v>
      </c>
      <c r="C3614">
        <v>8</v>
      </c>
      <c r="D3614">
        <v>50</v>
      </c>
    </row>
    <row r="3615" spans="1:4" x14ac:dyDescent="0.25">
      <c r="A3615" s="45" t="s">
        <v>3643</v>
      </c>
      <c r="B3615" s="46" t="s">
        <v>15357</v>
      </c>
      <c r="C3615">
        <v>8</v>
      </c>
      <c r="D3615">
        <v>50</v>
      </c>
    </row>
    <row r="3616" spans="1:4" x14ac:dyDescent="0.25">
      <c r="A3616" s="45" t="s">
        <v>3644</v>
      </c>
      <c r="B3616" s="46" t="s">
        <v>15358</v>
      </c>
      <c r="C3616">
        <v>8</v>
      </c>
      <c r="D3616">
        <v>50</v>
      </c>
    </row>
    <row r="3617" spans="1:4" x14ac:dyDescent="0.25">
      <c r="A3617" s="45" t="s">
        <v>3645</v>
      </c>
      <c r="B3617" s="46" t="s">
        <v>15359</v>
      </c>
      <c r="C3617">
        <v>8</v>
      </c>
      <c r="D3617">
        <v>50</v>
      </c>
    </row>
    <row r="3618" spans="1:4" x14ac:dyDescent="0.25">
      <c r="A3618" s="45" t="s">
        <v>3646</v>
      </c>
      <c r="B3618" s="46" t="s">
        <v>15360</v>
      </c>
      <c r="C3618">
        <v>8</v>
      </c>
      <c r="D3618">
        <v>50</v>
      </c>
    </row>
    <row r="3619" spans="1:4" x14ac:dyDescent="0.25">
      <c r="A3619" s="45" t="s">
        <v>3647</v>
      </c>
      <c r="B3619" s="46" t="s">
        <v>15361</v>
      </c>
      <c r="C3619">
        <v>8</v>
      </c>
      <c r="D3619">
        <v>50</v>
      </c>
    </row>
    <row r="3620" spans="1:4" x14ac:dyDescent="0.25">
      <c r="A3620" s="45" t="s">
        <v>3648</v>
      </c>
      <c r="B3620" s="46" t="s">
        <v>15362</v>
      </c>
      <c r="C3620">
        <v>8</v>
      </c>
      <c r="D3620">
        <v>50</v>
      </c>
    </row>
    <row r="3621" spans="1:4" x14ac:dyDescent="0.25">
      <c r="A3621" s="45" t="s">
        <v>3649</v>
      </c>
      <c r="B3621" s="46" t="s">
        <v>15363</v>
      </c>
      <c r="C3621">
        <v>8</v>
      </c>
      <c r="D3621">
        <v>50</v>
      </c>
    </row>
    <row r="3622" spans="1:4" x14ac:dyDescent="0.25">
      <c r="A3622" s="45" t="s">
        <v>3650</v>
      </c>
      <c r="B3622" s="46" t="s">
        <v>15364</v>
      </c>
      <c r="C3622">
        <v>8</v>
      </c>
      <c r="D3622">
        <v>50</v>
      </c>
    </row>
    <row r="3623" spans="1:4" x14ac:dyDescent="0.25">
      <c r="A3623" s="45" t="s">
        <v>3651</v>
      </c>
      <c r="B3623" s="46" t="s">
        <v>15365</v>
      </c>
      <c r="C3623">
        <v>8</v>
      </c>
      <c r="D3623">
        <v>50</v>
      </c>
    </row>
    <row r="3624" spans="1:4" x14ac:dyDescent="0.25">
      <c r="A3624" s="45" t="s">
        <v>3652</v>
      </c>
      <c r="B3624" s="46" t="s">
        <v>20038</v>
      </c>
      <c r="C3624">
        <v>8</v>
      </c>
      <c r="D3624">
        <v>50</v>
      </c>
    </row>
    <row r="3625" spans="1:4" x14ac:dyDescent="0.25">
      <c r="A3625" s="45" t="s">
        <v>3653</v>
      </c>
      <c r="B3625" s="46" t="s">
        <v>20039</v>
      </c>
      <c r="C3625">
        <v>8</v>
      </c>
      <c r="D3625">
        <v>50</v>
      </c>
    </row>
    <row r="3626" spans="1:4" x14ac:dyDescent="0.25">
      <c r="A3626" s="45" t="s">
        <v>3654</v>
      </c>
      <c r="B3626" s="46" t="s">
        <v>15366</v>
      </c>
      <c r="C3626">
        <v>8</v>
      </c>
      <c r="D3626">
        <v>50</v>
      </c>
    </row>
    <row r="3627" spans="1:4" x14ac:dyDescent="0.25">
      <c r="A3627" s="45" t="s">
        <v>3655</v>
      </c>
      <c r="B3627" s="46" t="s">
        <v>15367</v>
      </c>
      <c r="C3627">
        <v>8</v>
      </c>
      <c r="D3627">
        <v>50</v>
      </c>
    </row>
    <row r="3628" spans="1:4" x14ac:dyDescent="0.25">
      <c r="A3628" s="45" t="s">
        <v>3656</v>
      </c>
      <c r="B3628" s="46" t="s">
        <v>15368</v>
      </c>
      <c r="C3628">
        <v>8</v>
      </c>
      <c r="D3628">
        <v>50</v>
      </c>
    </row>
    <row r="3629" spans="1:4" x14ac:dyDescent="0.25">
      <c r="A3629" s="45" t="s">
        <v>3657</v>
      </c>
      <c r="B3629" s="46" t="s">
        <v>15369</v>
      </c>
      <c r="C3629">
        <v>8</v>
      </c>
      <c r="D3629">
        <v>50</v>
      </c>
    </row>
    <row r="3630" spans="1:4" x14ac:dyDescent="0.25">
      <c r="A3630" s="45" t="s">
        <v>3658</v>
      </c>
      <c r="B3630" s="46" t="s">
        <v>15370</v>
      </c>
      <c r="C3630">
        <v>8</v>
      </c>
      <c r="D3630">
        <v>50</v>
      </c>
    </row>
    <row r="3631" spans="1:4" x14ac:dyDescent="0.25">
      <c r="A3631" s="45" t="s">
        <v>3659</v>
      </c>
      <c r="B3631" s="46" t="s">
        <v>15371</v>
      </c>
      <c r="C3631">
        <v>8</v>
      </c>
      <c r="D3631">
        <v>50</v>
      </c>
    </row>
    <row r="3632" spans="1:4" x14ac:dyDescent="0.25">
      <c r="A3632" s="45" t="s">
        <v>3660</v>
      </c>
      <c r="B3632" s="46" t="s">
        <v>15372</v>
      </c>
      <c r="C3632">
        <v>8</v>
      </c>
      <c r="D3632">
        <v>50</v>
      </c>
    </row>
    <row r="3633" spans="1:4" x14ac:dyDescent="0.25">
      <c r="A3633" s="45" t="s">
        <v>3661</v>
      </c>
      <c r="B3633" s="46" t="s">
        <v>15373</v>
      </c>
      <c r="C3633">
        <v>8</v>
      </c>
      <c r="D3633">
        <v>50</v>
      </c>
    </row>
    <row r="3634" spans="1:4" x14ac:dyDescent="0.25">
      <c r="A3634" s="45" t="s">
        <v>3662</v>
      </c>
      <c r="B3634" s="46" t="s">
        <v>20040</v>
      </c>
      <c r="C3634">
        <v>8</v>
      </c>
      <c r="D3634">
        <v>50</v>
      </c>
    </row>
    <row r="3635" spans="1:4" x14ac:dyDescent="0.25">
      <c r="A3635" s="45" t="s">
        <v>3663</v>
      </c>
      <c r="B3635" s="46" t="s">
        <v>15374</v>
      </c>
      <c r="C3635">
        <v>8</v>
      </c>
      <c r="D3635">
        <v>50</v>
      </c>
    </row>
    <row r="3636" spans="1:4" x14ac:dyDescent="0.25">
      <c r="A3636" s="45" t="s">
        <v>3664</v>
      </c>
      <c r="B3636" s="46" t="s">
        <v>15375</v>
      </c>
      <c r="C3636">
        <v>8</v>
      </c>
      <c r="D3636">
        <v>50</v>
      </c>
    </row>
    <row r="3637" spans="1:4" x14ac:dyDescent="0.25">
      <c r="A3637" s="45" t="s">
        <v>3665</v>
      </c>
      <c r="B3637" s="46" t="s">
        <v>15376</v>
      </c>
      <c r="C3637">
        <v>8</v>
      </c>
      <c r="D3637">
        <v>50</v>
      </c>
    </row>
    <row r="3638" spans="1:4" x14ac:dyDescent="0.25">
      <c r="A3638" s="45" t="s">
        <v>3666</v>
      </c>
      <c r="B3638" s="46" t="s">
        <v>15377</v>
      </c>
      <c r="C3638">
        <v>8</v>
      </c>
      <c r="D3638">
        <v>50</v>
      </c>
    </row>
    <row r="3639" spans="1:4" x14ac:dyDescent="0.25">
      <c r="A3639" s="45" t="s">
        <v>3667</v>
      </c>
      <c r="B3639" s="46" t="s">
        <v>15378</v>
      </c>
      <c r="C3639">
        <v>8</v>
      </c>
      <c r="D3639">
        <v>50</v>
      </c>
    </row>
    <row r="3640" spans="1:4" x14ac:dyDescent="0.25">
      <c r="A3640" s="45" t="s">
        <v>3668</v>
      </c>
      <c r="B3640" s="46" t="s">
        <v>15379</v>
      </c>
      <c r="C3640">
        <v>8</v>
      </c>
      <c r="D3640">
        <v>50</v>
      </c>
    </row>
    <row r="3641" spans="1:4" x14ac:dyDescent="0.25">
      <c r="A3641" s="45" t="s">
        <v>3669</v>
      </c>
      <c r="B3641" s="46" t="s">
        <v>15380</v>
      </c>
      <c r="C3641">
        <v>8</v>
      </c>
      <c r="D3641">
        <v>50</v>
      </c>
    </row>
    <row r="3642" spans="1:4" x14ac:dyDescent="0.25">
      <c r="A3642" s="45" t="s">
        <v>3670</v>
      </c>
      <c r="B3642" s="46" t="s">
        <v>15381</v>
      </c>
      <c r="C3642">
        <v>8</v>
      </c>
      <c r="D3642">
        <v>50</v>
      </c>
    </row>
    <row r="3643" spans="1:4" x14ac:dyDescent="0.25">
      <c r="A3643" s="45" t="s">
        <v>3671</v>
      </c>
      <c r="B3643" s="46" t="s">
        <v>15382</v>
      </c>
      <c r="C3643">
        <v>8</v>
      </c>
      <c r="D3643">
        <v>50</v>
      </c>
    </row>
    <row r="3644" spans="1:4" x14ac:dyDescent="0.25">
      <c r="A3644" s="45" t="s">
        <v>3672</v>
      </c>
      <c r="B3644" s="46" t="s">
        <v>15383</v>
      </c>
      <c r="C3644">
        <v>8</v>
      </c>
      <c r="D3644">
        <v>50</v>
      </c>
    </row>
    <row r="3645" spans="1:4" x14ac:dyDescent="0.25">
      <c r="A3645" s="45" t="s">
        <v>3673</v>
      </c>
      <c r="B3645" s="46" t="s">
        <v>15384</v>
      </c>
      <c r="C3645">
        <v>8</v>
      </c>
      <c r="D3645">
        <v>50</v>
      </c>
    </row>
    <row r="3646" spans="1:4" x14ac:dyDescent="0.25">
      <c r="A3646" s="45" t="s">
        <v>3674</v>
      </c>
      <c r="B3646" s="46" t="s">
        <v>15385</v>
      </c>
      <c r="C3646">
        <v>8</v>
      </c>
      <c r="D3646">
        <v>50</v>
      </c>
    </row>
    <row r="3647" spans="1:4" x14ac:dyDescent="0.25">
      <c r="A3647" s="45" t="s">
        <v>3675</v>
      </c>
      <c r="B3647" s="46" t="s">
        <v>15386</v>
      </c>
      <c r="C3647">
        <v>8</v>
      </c>
      <c r="D3647">
        <v>50</v>
      </c>
    </row>
    <row r="3648" spans="1:4" x14ac:dyDescent="0.25">
      <c r="A3648" s="45" t="s">
        <v>3676</v>
      </c>
      <c r="B3648" s="46" t="s">
        <v>15387</v>
      </c>
      <c r="C3648">
        <v>8</v>
      </c>
      <c r="D3648">
        <v>50</v>
      </c>
    </row>
    <row r="3649" spans="1:4" x14ac:dyDescent="0.25">
      <c r="A3649" s="45" t="s">
        <v>3677</v>
      </c>
      <c r="B3649" s="46" t="s">
        <v>20041</v>
      </c>
      <c r="C3649">
        <v>8</v>
      </c>
      <c r="D3649">
        <v>49</v>
      </c>
    </row>
    <row r="3650" spans="1:4" x14ac:dyDescent="0.25">
      <c r="A3650" s="45" t="s">
        <v>3678</v>
      </c>
      <c r="B3650" s="46" t="s">
        <v>15388</v>
      </c>
      <c r="C3650">
        <v>8</v>
      </c>
      <c r="D3650">
        <v>52</v>
      </c>
    </row>
    <row r="3651" spans="1:4" x14ac:dyDescent="0.25">
      <c r="A3651" s="45" t="s">
        <v>3679</v>
      </c>
      <c r="B3651" s="46" t="s">
        <v>15389</v>
      </c>
      <c r="C3651">
        <v>8</v>
      </c>
      <c r="D3651">
        <v>52</v>
      </c>
    </row>
    <row r="3652" spans="1:4" x14ac:dyDescent="0.25">
      <c r="A3652" s="45" t="s">
        <v>3680</v>
      </c>
      <c r="B3652" s="46" t="s">
        <v>15390</v>
      </c>
      <c r="C3652">
        <v>8</v>
      </c>
      <c r="D3652">
        <v>52</v>
      </c>
    </row>
    <row r="3653" spans="1:4" x14ac:dyDescent="0.25">
      <c r="A3653" s="45" t="s">
        <v>3681</v>
      </c>
      <c r="B3653" s="46" t="s">
        <v>15391</v>
      </c>
      <c r="C3653">
        <v>8</v>
      </c>
      <c r="D3653">
        <v>52</v>
      </c>
    </row>
    <row r="3654" spans="1:4" x14ac:dyDescent="0.25">
      <c r="A3654" s="45" t="s">
        <v>3682</v>
      </c>
      <c r="B3654" s="46" t="s">
        <v>15392</v>
      </c>
      <c r="C3654">
        <v>8</v>
      </c>
      <c r="D3654">
        <v>50</v>
      </c>
    </row>
    <row r="3655" spans="1:4" x14ac:dyDescent="0.25">
      <c r="A3655" s="45" t="s">
        <v>3683</v>
      </c>
      <c r="B3655" s="46" t="s">
        <v>15393</v>
      </c>
      <c r="C3655">
        <v>8</v>
      </c>
      <c r="D3655">
        <v>52</v>
      </c>
    </row>
    <row r="3656" spans="1:4" x14ac:dyDescent="0.25">
      <c r="A3656" s="45" t="s">
        <v>3684</v>
      </c>
      <c r="B3656" s="46" t="s">
        <v>15394</v>
      </c>
      <c r="C3656">
        <v>8</v>
      </c>
      <c r="D3656">
        <v>52</v>
      </c>
    </row>
    <row r="3657" spans="1:4" x14ac:dyDescent="0.25">
      <c r="A3657" s="45" t="s">
        <v>3685</v>
      </c>
      <c r="B3657" s="46" t="s">
        <v>15395</v>
      </c>
      <c r="C3657">
        <v>8</v>
      </c>
      <c r="D3657">
        <v>52</v>
      </c>
    </row>
    <row r="3658" spans="1:4" x14ac:dyDescent="0.25">
      <c r="A3658" s="45" t="s">
        <v>3686</v>
      </c>
      <c r="B3658" s="46" t="s">
        <v>15396</v>
      </c>
      <c r="C3658">
        <v>8</v>
      </c>
      <c r="D3658">
        <v>52</v>
      </c>
    </row>
    <row r="3659" spans="1:4" x14ac:dyDescent="0.25">
      <c r="A3659" s="45" t="s">
        <v>3687</v>
      </c>
      <c r="B3659" s="46" t="s">
        <v>15397</v>
      </c>
      <c r="C3659">
        <v>8</v>
      </c>
      <c r="D3659">
        <v>52</v>
      </c>
    </row>
    <row r="3660" spans="1:4" x14ac:dyDescent="0.25">
      <c r="A3660" s="45" t="s">
        <v>3688</v>
      </c>
      <c r="B3660" s="46" t="s">
        <v>15398</v>
      </c>
      <c r="C3660">
        <v>8</v>
      </c>
      <c r="D3660">
        <v>52</v>
      </c>
    </row>
    <row r="3661" spans="1:4" x14ac:dyDescent="0.25">
      <c r="A3661" s="45" t="s">
        <v>3689</v>
      </c>
      <c r="B3661" s="46" t="s">
        <v>15399</v>
      </c>
      <c r="C3661">
        <v>8</v>
      </c>
      <c r="D3661">
        <v>52</v>
      </c>
    </row>
    <row r="3662" spans="1:4" x14ac:dyDescent="0.25">
      <c r="A3662" s="45" t="s">
        <v>3690</v>
      </c>
      <c r="B3662" s="46" t="s">
        <v>20042</v>
      </c>
      <c r="C3662">
        <v>8</v>
      </c>
      <c r="D3662">
        <v>52</v>
      </c>
    </row>
    <row r="3663" spans="1:4" x14ac:dyDescent="0.25">
      <c r="A3663" s="45" t="s">
        <v>3691</v>
      </c>
      <c r="B3663" s="46" t="s">
        <v>20043</v>
      </c>
      <c r="C3663">
        <v>8</v>
      </c>
      <c r="D3663">
        <v>52</v>
      </c>
    </row>
    <row r="3664" spans="1:4" x14ac:dyDescent="0.25">
      <c r="A3664" s="45" t="s">
        <v>3692</v>
      </c>
      <c r="B3664" s="46" t="s">
        <v>15400</v>
      </c>
      <c r="C3664">
        <v>8</v>
      </c>
      <c r="D3664">
        <v>52</v>
      </c>
    </row>
    <row r="3665" spans="1:4" x14ac:dyDescent="0.25">
      <c r="A3665" s="45" t="s">
        <v>3693</v>
      </c>
      <c r="B3665" s="46" t="s">
        <v>15401</v>
      </c>
      <c r="C3665">
        <v>8</v>
      </c>
      <c r="D3665">
        <v>52</v>
      </c>
    </row>
    <row r="3666" spans="1:4" x14ac:dyDescent="0.25">
      <c r="A3666" s="45" t="s">
        <v>3694</v>
      </c>
      <c r="B3666" s="46" t="s">
        <v>15402</v>
      </c>
      <c r="C3666">
        <v>8</v>
      </c>
      <c r="D3666">
        <v>52</v>
      </c>
    </row>
    <row r="3667" spans="1:4" x14ac:dyDescent="0.25">
      <c r="A3667" s="45" t="s">
        <v>3695</v>
      </c>
      <c r="B3667" s="46" t="s">
        <v>15403</v>
      </c>
      <c r="C3667">
        <v>8</v>
      </c>
      <c r="D3667">
        <v>52</v>
      </c>
    </row>
    <row r="3668" spans="1:4" x14ac:dyDescent="0.25">
      <c r="A3668" s="45" t="s">
        <v>3696</v>
      </c>
      <c r="B3668" s="46" t="s">
        <v>15404</v>
      </c>
      <c r="C3668">
        <v>8</v>
      </c>
      <c r="D3668">
        <v>52</v>
      </c>
    </row>
    <row r="3669" spans="1:4" x14ac:dyDescent="0.25">
      <c r="A3669" s="45" t="s">
        <v>3697</v>
      </c>
      <c r="B3669" s="46" t="s">
        <v>15405</v>
      </c>
      <c r="C3669">
        <v>8</v>
      </c>
      <c r="D3669">
        <v>52</v>
      </c>
    </row>
    <row r="3670" spans="1:4" x14ac:dyDescent="0.25">
      <c r="A3670" s="45" t="s">
        <v>3698</v>
      </c>
      <c r="B3670" s="46" t="s">
        <v>15406</v>
      </c>
      <c r="C3670">
        <v>8</v>
      </c>
      <c r="D3670">
        <v>53</v>
      </c>
    </row>
    <row r="3671" spans="1:4" x14ac:dyDescent="0.25">
      <c r="A3671" s="45" t="s">
        <v>3699</v>
      </c>
      <c r="B3671" s="46" t="s">
        <v>15407</v>
      </c>
      <c r="C3671">
        <v>8</v>
      </c>
      <c r="D3671">
        <v>53</v>
      </c>
    </row>
    <row r="3672" spans="1:4" x14ac:dyDescent="0.25">
      <c r="A3672" s="45" t="s">
        <v>3700</v>
      </c>
      <c r="B3672" s="46" t="s">
        <v>15408</v>
      </c>
      <c r="C3672">
        <v>8</v>
      </c>
      <c r="D3672">
        <v>53</v>
      </c>
    </row>
    <row r="3673" spans="1:4" x14ac:dyDescent="0.25">
      <c r="A3673" s="45" t="s">
        <v>3701</v>
      </c>
      <c r="B3673" s="46" t="s">
        <v>15409</v>
      </c>
      <c r="C3673">
        <v>8</v>
      </c>
      <c r="D3673">
        <v>53</v>
      </c>
    </row>
    <row r="3674" spans="1:4" x14ac:dyDescent="0.25">
      <c r="A3674" s="45" t="s">
        <v>3702</v>
      </c>
      <c r="B3674" s="46" t="s">
        <v>15410</v>
      </c>
      <c r="C3674">
        <v>8</v>
      </c>
      <c r="D3674">
        <v>53</v>
      </c>
    </row>
    <row r="3675" spans="1:4" x14ac:dyDescent="0.25">
      <c r="A3675" s="45" t="s">
        <v>3703</v>
      </c>
      <c r="B3675" s="46" t="s">
        <v>15411</v>
      </c>
      <c r="C3675">
        <v>8</v>
      </c>
      <c r="D3675">
        <v>53</v>
      </c>
    </row>
    <row r="3676" spans="1:4" x14ac:dyDescent="0.25">
      <c r="A3676" s="45" t="s">
        <v>3704</v>
      </c>
      <c r="B3676" s="46" t="s">
        <v>15412</v>
      </c>
      <c r="C3676">
        <v>8</v>
      </c>
      <c r="D3676">
        <v>53</v>
      </c>
    </row>
    <row r="3677" spans="1:4" x14ac:dyDescent="0.25">
      <c r="A3677" s="45" t="s">
        <v>3705</v>
      </c>
      <c r="B3677" s="46" t="s">
        <v>15413</v>
      </c>
      <c r="C3677">
        <v>8</v>
      </c>
      <c r="D3677">
        <v>53</v>
      </c>
    </row>
    <row r="3678" spans="1:4" x14ac:dyDescent="0.25">
      <c r="A3678" s="45" t="s">
        <v>3706</v>
      </c>
      <c r="B3678" s="46" t="s">
        <v>15414</v>
      </c>
      <c r="C3678">
        <v>8</v>
      </c>
      <c r="D3678">
        <v>53</v>
      </c>
    </row>
    <row r="3679" spans="1:4" x14ac:dyDescent="0.25">
      <c r="A3679" s="45" t="s">
        <v>3707</v>
      </c>
      <c r="B3679" s="46" t="s">
        <v>15415</v>
      </c>
      <c r="C3679">
        <v>8</v>
      </c>
      <c r="D3679">
        <v>53</v>
      </c>
    </row>
    <row r="3680" spans="1:4" x14ac:dyDescent="0.25">
      <c r="A3680" s="45" t="s">
        <v>3708</v>
      </c>
      <c r="B3680" s="46" t="s">
        <v>15416</v>
      </c>
      <c r="C3680">
        <v>8</v>
      </c>
      <c r="D3680">
        <v>53</v>
      </c>
    </row>
    <row r="3681" spans="1:4" x14ac:dyDescent="0.25">
      <c r="A3681" s="45" t="s">
        <v>3709</v>
      </c>
      <c r="B3681" s="46" t="s">
        <v>15417</v>
      </c>
      <c r="C3681">
        <v>8</v>
      </c>
      <c r="D3681">
        <v>53</v>
      </c>
    </row>
    <row r="3682" spans="1:4" x14ac:dyDescent="0.25">
      <c r="A3682" s="45" t="s">
        <v>3710</v>
      </c>
      <c r="B3682" s="46" t="s">
        <v>15418</v>
      </c>
      <c r="C3682">
        <v>1</v>
      </c>
      <c r="D3682">
        <v>2</v>
      </c>
    </row>
    <row r="3683" spans="1:4" x14ac:dyDescent="0.25">
      <c r="A3683" s="45" t="s">
        <v>3711</v>
      </c>
      <c r="B3683" s="46" t="s">
        <v>15419</v>
      </c>
      <c r="C3683">
        <v>8</v>
      </c>
      <c r="D3683">
        <v>53</v>
      </c>
    </row>
    <row r="3684" spans="1:4" x14ac:dyDescent="0.25">
      <c r="A3684" s="45" t="s">
        <v>3712</v>
      </c>
      <c r="B3684" s="46" t="s">
        <v>20044</v>
      </c>
      <c r="C3684">
        <v>8</v>
      </c>
      <c r="D3684">
        <v>53</v>
      </c>
    </row>
    <row r="3685" spans="1:4" x14ac:dyDescent="0.25">
      <c r="A3685" s="45" t="s">
        <v>3713</v>
      </c>
      <c r="B3685" s="46" t="s">
        <v>15420</v>
      </c>
      <c r="C3685">
        <v>8</v>
      </c>
      <c r="D3685">
        <v>53</v>
      </c>
    </row>
    <row r="3686" spans="1:4" x14ac:dyDescent="0.25">
      <c r="A3686" s="45" t="s">
        <v>3714</v>
      </c>
      <c r="B3686" s="46" t="s">
        <v>15421</v>
      </c>
      <c r="C3686">
        <v>8</v>
      </c>
      <c r="D3686">
        <v>53</v>
      </c>
    </row>
    <row r="3687" spans="1:4" x14ac:dyDescent="0.25">
      <c r="A3687" s="45" t="s">
        <v>3715</v>
      </c>
      <c r="B3687" s="46" t="s">
        <v>15422</v>
      </c>
      <c r="C3687">
        <v>8</v>
      </c>
      <c r="D3687">
        <v>52</v>
      </c>
    </row>
    <row r="3688" spans="1:4" x14ac:dyDescent="0.25">
      <c r="A3688" s="45" t="s">
        <v>3716</v>
      </c>
      <c r="B3688" s="46" t="s">
        <v>20045</v>
      </c>
      <c r="C3688">
        <v>8</v>
      </c>
      <c r="D3688">
        <v>52</v>
      </c>
    </row>
    <row r="3689" spans="1:4" x14ac:dyDescent="0.25">
      <c r="A3689" s="45" t="s">
        <v>3717</v>
      </c>
      <c r="B3689" s="46" t="s">
        <v>15423</v>
      </c>
      <c r="C3689">
        <v>8</v>
      </c>
      <c r="D3689">
        <v>52</v>
      </c>
    </row>
    <row r="3690" spans="1:4" x14ac:dyDescent="0.25">
      <c r="A3690" s="45" t="s">
        <v>3718</v>
      </c>
      <c r="B3690" s="46" t="s">
        <v>15424</v>
      </c>
      <c r="C3690">
        <v>8</v>
      </c>
      <c r="D3690">
        <v>52</v>
      </c>
    </row>
    <row r="3691" spans="1:4" x14ac:dyDescent="0.25">
      <c r="A3691" s="45" t="s">
        <v>3719</v>
      </c>
      <c r="B3691" s="46" t="s">
        <v>15425</v>
      </c>
      <c r="C3691">
        <v>8</v>
      </c>
      <c r="D3691">
        <v>52</v>
      </c>
    </row>
    <row r="3692" spans="1:4" x14ac:dyDescent="0.25">
      <c r="A3692" s="45" t="s">
        <v>3720</v>
      </c>
      <c r="B3692" s="46" t="s">
        <v>15426</v>
      </c>
      <c r="C3692">
        <v>8</v>
      </c>
      <c r="D3692">
        <v>52</v>
      </c>
    </row>
    <row r="3693" spans="1:4" x14ac:dyDescent="0.25">
      <c r="A3693" s="45" t="s">
        <v>3721</v>
      </c>
      <c r="B3693" s="46" t="s">
        <v>15427</v>
      </c>
      <c r="C3693">
        <v>8</v>
      </c>
      <c r="D3693">
        <v>52</v>
      </c>
    </row>
    <row r="3694" spans="1:4" x14ac:dyDescent="0.25">
      <c r="A3694" s="45" t="s">
        <v>3722</v>
      </c>
      <c r="B3694" s="46" t="s">
        <v>15428</v>
      </c>
      <c r="C3694">
        <v>8</v>
      </c>
      <c r="D3694">
        <v>52</v>
      </c>
    </row>
    <row r="3695" spans="1:4" x14ac:dyDescent="0.25">
      <c r="A3695" s="45" t="s">
        <v>3723</v>
      </c>
      <c r="B3695" s="46" t="s">
        <v>15429</v>
      </c>
      <c r="C3695">
        <v>8</v>
      </c>
      <c r="D3695">
        <v>52</v>
      </c>
    </row>
    <row r="3696" spans="1:4" x14ac:dyDescent="0.25">
      <c r="A3696" s="45" t="s">
        <v>3724</v>
      </c>
      <c r="B3696" s="46" t="s">
        <v>20046</v>
      </c>
      <c r="C3696">
        <v>8</v>
      </c>
      <c r="D3696">
        <v>52</v>
      </c>
    </row>
    <row r="3697" spans="1:4" x14ac:dyDescent="0.25">
      <c r="A3697" s="45" t="s">
        <v>3725</v>
      </c>
      <c r="B3697" s="46" t="s">
        <v>20047</v>
      </c>
      <c r="C3697">
        <v>8</v>
      </c>
      <c r="D3697">
        <v>53</v>
      </c>
    </row>
    <row r="3698" spans="1:4" x14ac:dyDescent="0.25">
      <c r="A3698" s="45" t="s">
        <v>3726</v>
      </c>
      <c r="B3698" s="46" t="s">
        <v>15430</v>
      </c>
      <c r="C3698">
        <v>8</v>
      </c>
      <c r="D3698">
        <v>53</v>
      </c>
    </row>
    <row r="3699" spans="1:4" x14ac:dyDescent="0.25">
      <c r="A3699" s="45" t="s">
        <v>3727</v>
      </c>
      <c r="B3699" s="46" t="s">
        <v>20048</v>
      </c>
      <c r="C3699">
        <v>8</v>
      </c>
      <c r="D3699">
        <v>53</v>
      </c>
    </row>
    <row r="3700" spans="1:4" x14ac:dyDescent="0.25">
      <c r="A3700" s="45" t="s">
        <v>3728</v>
      </c>
      <c r="B3700" s="46" t="s">
        <v>20049</v>
      </c>
      <c r="C3700">
        <v>8</v>
      </c>
      <c r="D3700">
        <v>53</v>
      </c>
    </row>
    <row r="3701" spans="1:4" x14ac:dyDescent="0.25">
      <c r="A3701" s="45" t="s">
        <v>3729</v>
      </c>
      <c r="B3701" s="46" t="s">
        <v>20050</v>
      </c>
      <c r="C3701">
        <v>8</v>
      </c>
      <c r="D3701">
        <v>53</v>
      </c>
    </row>
    <row r="3702" spans="1:4" x14ac:dyDescent="0.25">
      <c r="A3702" s="45" t="s">
        <v>3730</v>
      </c>
      <c r="B3702" s="46" t="s">
        <v>20051</v>
      </c>
      <c r="C3702">
        <v>8</v>
      </c>
      <c r="D3702">
        <v>53</v>
      </c>
    </row>
    <row r="3703" spans="1:4" x14ac:dyDescent="0.25">
      <c r="A3703" s="45" t="s">
        <v>3731</v>
      </c>
      <c r="B3703" s="46" t="s">
        <v>20052</v>
      </c>
      <c r="C3703">
        <v>8</v>
      </c>
      <c r="D3703">
        <v>53</v>
      </c>
    </row>
    <row r="3704" spans="1:4" x14ac:dyDescent="0.25">
      <c r="A3704" s="45" t="s">
        <v>3732</v>
      </c>
      <c r="B3704" s="46" t="s">
        <v>20053</v>
      </c>
      <c r="C3704">
        <v>8</v>
      </c>
      <c r="D3704">
        <v>53</v>
      </c>
    </row>
    <row r="3705" spans="1:4" x14ac:dyDescent="0.25">
      <c r="A3705" s="45" t="s">
        <v>3733</v>
      </c>
      <c r="B3705" s="46" t="s">
        <v>20054</v>
      </c>
      <c r="C3705">
        <v>8</v>
      </c>
      <c r="D3705">
        <v>53</v>
      </c>
    </row>
    <row r="3706" spans="1:4" x14ac:dyDescent="0.25">
      <c r="A3706" s="45" t="s">
        <v>3734</v>
      </c>
      <c r="B3706" s="46" t="s">
        <v>15431</v>
      </c>
      <c r="C3706">
        <v>8</v>
      </c>
      <c r="D3706">
        <v>53</v>
      </c>
    </row>
    <row r="3707" spans="1:4" x14ac:dyDescent="0.25">
      <c r="A3707" s="45" t="s">
        <v>3735</v>
      </c>
      <c r="B3707" s="46" t="s">
        <v>15432</v>
      </c>
      <c r="C3707">
        <v>8</v>
      </c>
      <c r="D3707">
        <v>53</v>
      </c>
    </row>
    <row r="3708" spans="1:4" x14ac:dyDescent="0.25">
      <c r="A3708" s="45" t="s">
        <v>3736</v>
      </c>
      <c r="B3708" s="46" t="s">
        <v>15433</v>
      </c>
      <c r="C3708">
        <v>8</v>
      </c>
      <c r="D3708">
        <v>53</v>
      </c>
    </row>
    <row r="3709" spans="1:4" x14ac:dyDescent="0.25">
      <c r="A3709" s="45" t="s">
        <v>3737</v>
      </c>
      <c r="B3709" s="46" t="s">
        <v>15434</v>
      </c>
      <c r="C3709">
        <v>8</v>
      </c>
      <c r="D3709">
        <v>53</v>
      </c>
    </row>
    <row r="3710" spans="1:4" x14ac:dyDescent="0.25">
      <c r="A3710" s="45" t="s">
        <v>3738</v>
      </c>
      <c r="B3710" s="46" t="s">
        <v>20055</v>
      </c>
      <c r="C3710">
        <v>8</v>
      </c>
      <c r="D3710">
        <v>53</v>
      </c>
    </row>
    <row r="3711" spans="1:4" x14ac:dyDescent="0.25">
      <c r="A3711" s="45" t="s">
        <v>3739</v>
      </c>
      <c r="B3711" s="46" t="s">
        <v>15435</v>
      </c>
      <c r="C3711">
        <v>8</v>
      </c>
      <c r="D3711">
        <v>53</v>
      </c>
    </row>
    <row r="3712" spans="1:4" x14ac:dyDescent="0.25">
      <c r="A3712" s="45" t="s">
        <v>3740</v>
      </c>
      <c r="B3712" s="46" t="s">
        <v>15436</v>
      </c>
      <c r="C3712">
        <v>8</v>
      </c>
      <c r="D3712">
        <v>53</v>
      </c>
    </row>
    <row r="3713" spans="1:4" x14ac:dyDescent="0.25">
      <c r="A3713" s="45" t="s">
        <v>3741</v>
      </c>
      <c r="B3713" s="46" t="s">
        <v>20056</v>
      </c>
      <c r="C3713">
        <v>8</v>
      </c>
      <c r="D3713">
        <v>53</v>
      </c>
    </row>
    <row r="3714" spans="1:4" x14ac:dyDescent="0.25">
      <c r="A3714" s="45" t="s">
        <v>3742</v>
      </c>
      <c r="B3714" s="46" t="s">
        <v>20057</v>
      </c>
      <c r="C3714">
        <v>8</v>
      </c>
      <c r="D3714">
        <v>54</v>
      </c>
    </row>
    <row r="3715" spans="1:4" x14ac:dyDescent="0.25">
      <c r="A3715" s="45" t="s">
        <v>3743</v>
      </c>
      <c r="B3715" s="46" t="s">
        <v>15437</v>
      </c>
      <c r="C3715">
        <v>8</v>
      </c>
      <c r="D3715">
        <v>54</v>
      </c>
    </row>
    <row r="3716" spans="1:4" x14ac:dyDescent="0.25">
      <c r="A3716" s="45" t="s">
        <v>3744</v>
      </c>
      <c r="B3716" s="46" t="s">
        <v>15438</v>
      </c>
      <c r="C3716">
        <v>8</v>
      </c>
      <c r="D3716">
        <v>54</v>
      </c>
    </row>
    <row r="3717" spans="1:4" x14ac:dyDescent="0.25">
      <c r="A3717" s="45" t="s">
        <v>3745</v>
      </c>
      <c r="B3717" s="46" t="s">
        <v>15439</v>
      </c>
      <c r="C3717">
        <v>8</v>
      </c>
      <c r="D3717">
        <v>54</v>
      </c>
    </row>
    <row r="3718" spans="1:4" x14ac:dyDescent="0.25">
      <c r="A3718" s="45" t="s">
        <v>3746</v>
      </c>
      <c r="B3718" s="46" t="s">
        <v>15440</v>
      </c>
      <c r="C3718">
        <v>8</v>
      </c>
      <c r="D3718">
        <v>54</v>
      </c>
    </row>
    <row r="3719" spans="1:4" x14ac:dyDescent="0.25">
      <c r="A3719" s="45" t="s">
        <v>3747</v>
      </c>
      <c r="B3719" s="46" t="s">
        <v>15441</v>
      </c>
      <c r="C3719">
        <v>8</v>
      </c>
      <c r="D3719">
        <v>54</v>
      </c>
    </row>
    <row r="3720" spans="1:4" x14ac:dyDescent="0.25">
      <c r="A3720" s="45" t="s">
        <v>3748</v>
      </c>
      <c r="B3720" s="46" t="s">
        <v>15442</v>
      </c>
      <c r="C3720">
        <v>8</v>
      </c>
      <c r="D3720">
        <v>54</v>
      </c>
    </row>
    <row r="3721" spans="1:4" x14ac:dyDescent="0.25">
      <c r="A3721" s="45" t="s">
        <v>3749</v>
      </c>
      <c r="B3721" s="46" t="s">
        <v>15443</v>
      </c>
      <c r="C3721">
        <v>8</v>
      </c>
      <c r="D3721">
        <v>54</v>
      </c>
    </row>
    <row r="3722" spans="1:4" x14ac:dyDescent="0.25">
      <c r="A3722" s="45" t="s">
        <v>3750</v>
      </c>
      <c r="B3722" s="46" t="s">
        <v>15444</v>
      </c>
      <c r="C3722">
        <v>8</v>
      </c>
      <c r="D3722">
        <v>54</v>
      </c>
    </row>
    <row r="3723" spans="1:4" x14ac:dyDescent="0.25">
      <c r="A3723" s="45" t="s">
        <v>3751</v>
      </c>
      <c r="B3723" s="46" t="s">
        <v>15445</v>
      </c>
      <c r="C3723">
        <v>8</v>
      </c>
      <c r="D3723">
        <v>54</v>
      </c>
    </row>
    <row r="3724" spans="1:4" x14ac:dyDescent="0.25">
      <c r="A3724" s="45" t="s">
        <v>3752</v>
      </c>
      <c r="B3724" s="46" t="s">
        <v>15446</v>
      </c>
      <c r="C3724">
        <v>8</v>
      </c>
      <c r="D3724">
        <v>54</v>
      </c>
    </row>
    <row r="3725" spans="1:4" x14ac:dyDescent="0.25">
      <c r="A3725" s="45" t="s">
        <v>3753</v>
      </c>
      <c r="B3725" s="46" t="s">
        <v>15447</v>
      </c>
      <c r="C3725">
        <v>8</v>
      </c>
      <c r="D3725">
        <v>54</v>
      </c>
    </row>
    <row r="3726" spans="1:4" x14ac:dyDescent="0.25">
      <c r="A3726" s="45" t="s">
        <v>3754</v>
      </c>
      <c r="B3726" s="46" t="s">
        <v>15448</v>
      </c>
      <c r="C3726">
        <v>8</v>
      </c>
      <c r="D3726">
        <v>54</v>
      </c>
    </row>
    <row r="3727" spans="1:4" x14ac:dyDescent="0.25">
      <c r="A3727" s="45" t="s">
        <v>3755</v>
      </c>
      <c r="B3727" s="46" t="s">
        <v>15449</v>
      </c>
      <c r="C3727">
        <v>8</v>
      </c>
      <c r="D3727">
        <v>54</v>
      </c>
    </row>
    <row r="3728" spans="1:4" x14ac:dyDescent="0.25">
      <c r="A3728" s="45" t="s">
        <v>3756</v>
      </c>
      <c r="B3728" s="46" t="s">
        <v>15450</v>
      </c>
      <c r="C3728">
        <v>8</v>
      </c>
      <c r="D3728">
        <v>54</v>
      </c>
    </row>
    <row r="3729" spans="1:4" x14ac:dyDescent="0.25">
      <c r="A3729" s="45" t="s">
        <v>3757</v>
      </c>
      <c r="B3729" s="46" t="s">
        <v>15451</v>
      </c>
      <c r="C3729">
        <v>8</v>
      </c>
      <c r="D3729">
        <v>54</v>
      </c>
    </row>
    <row r="3730" spans="1:4" x14ac:dyDescent="0.25">
      <c r="A3730" s="45" t="s">
        <v>3758</v>
      </c>
      <c r="B3730" s="46" t="s">
        <v>15452</v>
      </c>
      <c r="C3730">
        <v>8</v>
      </c>
      <c r="D3730">
        <v>54</v>
      </c>
    </row>
    <row r="3731" spans="1:4" x14ac:dyDescent="0.25">
      <c r="A3731" s="45" t="s">
        <v>3759</v>
      </c>
      <c r="B3731" s="46" t="s">
        <v>15453</v>
      </c>
      <c r="C3731">
        <v>8</v>
      </c>
      <c r="D3731">
        <v>54</v>
      </c>
    </row>
    <row r="3732" spans="1:4" x14ac:dyDescent="0.25">
      <c r="A3732" s="45" t="s">
        <v>3760</v>
      </c>
      <c r="B3732" s="46" t="s">
        <v>15454</v>
      </c>
      <c r="C3732">
        <v>8</v>
      </c>
      <c r="D3732">
        <v>54</v>
      </c>
    </row>
    <row r="3733" spans="1:4" x14ac:dyDescent="0.25">
      <c r="A3733" s="45" t="s">
        <v>3761</v>
      </c>
      <c r="B3733" s="46" t="s">
        <v>15455</v>
      </c>
      <c r="C3733">
        <v>8</v>
      </c>
      <c r="D3733">
        <v>54</v>
      </c>
    </row>
    <row r="3734" spans="1:4" x14ac:dyDescent="0.25">
      <c r="A3734" s="45" t="s">
        <v>3762</v>
      </c>
      <c r="B3734" s="46" t="s">
        <v>15456</v>
      </c>
      <c r="C3734">
        <v>8</v>
      </c>
      <c r="D3734">
        <v>54</v>
      </c>
    </row>
    <row r="3735" spans="1:4" x14ac:dyDescent="0.25">
      <c r="A3735" s="45" t="s">
        <v>3763</v>
      </c>
      <c r="B3735" s="46" t="s">
        <v>15457</v>
      </c>
      <c r="C3735">
        <v>8</v>
      </c>
      <c r="D3735">
        <v>54</v>
      </c>
    </row>
    <row r="3736" spans="1:4" x14ac:dyDescent="0.25">
      <c r="A3736" s="45" t="s">
        <v>3764</v>
      </c>
      <c r="B3736" s="46" t="s">
        <v>15458</v>
      </c>
      <c r="C3736">
        <v>8</v>
      </c>
      <c r="D3736">
        <v>54</v>
      </c>
    </row>
    <row r="3737" spans="1:4" x14ac:dyDescent="0.25">
      <c r="A3737" s="45" t="s">
        <v>3765</v>
      </c>
      <c r="B3737" s="46" t="s">
        <v>15459</v>
      </c>
      <c r="C3737">
        <v>8</v>
      </c>
      <c r="D3737">
        <v>54</v>
      </c>
    </row>
    <row r="3738" spans="1:4" x14ac:dyDescent="0.25">
      <c r="A3738" s="45" t="s">
        <v>3766</v>
      </c>
      <c r="B3738" s="46" t="s">
        <v>15460</v>
      </c>
      <c r="C3738">
        <v>8</v>
      </c>
      <c r="D3738">
        <v>54</v>
      </c>
    </row>
    <row r="3739" spans="1:4" x14ac:dyDescent="0.25">
      <c r="A3739" s="45" t="s">
        <v>3767</v>
      </c>
      <c r="B3739" s="46" t="s">
        <v>15461</v>
      </c>
      <c r="C3739">
        <v>8</v>
      </c>
      <c r="D3739">
        <v>54</v>
      </c>
    </row>
    <row r="3740" spans="1:4" x14ac:dyDescent="0.25">
      <c r="A3740" s="45" t="s">
        <v>3768</v>
      </c>
      <c r="B3740" s="46" t="s">
        <v>15462</v>
      </c>
      <c r="C3740">
        <v>8</v>
      </c>
      <c r="D3740">
        <v>54</v>
      </c>
    </row>
    <row r="3741" spans="1:4" x14ac:dyDescent="0.25">
      <c r="A3741" s="45" t="s">
        <v>3769</v>
      </c>
      <c r="B3741" s="46" t="s">
        <v>15463</v>
      </c>
      <c r="C3741">
        <v>8</v>
      </c>
      <c r="D3741">
        <v>54</v>
      </c>
    </row>
    <row r="3742" spans="1:4" x14ac:dyDescent="0.25">
      <c r="A3742" s="45" t="s">
        <v>3770</v>
      </c>
      <c r="B3742" s="46" t="s">
        <v>15464</v>
      </c>
      <c r="C3742">
        <v>8</v>
      </c>
      <c r="D3742">
        <v>54</v>
      </c>
    </row>
    <row r="3743" spans="1:4" x14ac:dyDescent="0.25">
      <c r="A3743" s="45" t="s">
        <v>3771</v>
      </c>
      <c r="B3743" s="46" t="s">
        <v>15465</v>
      </c>
      <c r="C3743">
        <v>8</v>
      </c>
      <c r="D3743">
        <v>54</v>
      </c>
    </row>
    <row r="3744" spans="1:4" x14ac:dyDescent="0.25">
      <c r="A3744" s="45" t="s">
        <v>3772</v>
      </c>
      <c r="B3744" s="46" t="s">
        <v>15466</v>
      </c>
      <c r="C3744">
        <v>17</v>
      </c>
      <c r="D3744">
        <v>106</v>
      </c>
    </row>
    <row r="3745" spans="1:4" x14ac:dyDescent="0.25">
      <c r="A3745" s="45" t="s">
        <v>3773</v>
      </c>
      <c r="B3745" s="46" t="s">
        <v>15467</v>
      </c>
      <c r="C3745">
        <v>8</v>
      </c>
      <c r="D3745">
        <v>50</v>
      </c>
    </row>
    <row r="3746" spans="1:4" x14ac:dyDescent="0.25">
      <c r="A3746" s="45" t="s">
        <v>3774</v>
      </c>
      <c r="B3746" s="46" t="s">
        <v>15468</v>
      </c>
      <c r="C3746">
        <v>8</v>
      </c>
      <c r="D3746">
        <v>53</v>
      </c>
    </row>
    <row r="3747" spans="1:4" x14ac:dyDescent="0.25">
      <c r="A3747" s="45" t="s">
        <v>3775</v>
      </c>
      <c r="B3747" s="46" t="s">
        <v>15469</v>
      </c>
      <c r="C3747">
        <v>17</v>
      </c>
      <c r="D3747">
        <v>106</v>
      </c>
    </row>
    <row r="3748" spans="1:4" x14ac:dyDescent="0.25">
      <c r="A3748" s="45" t="s">
        <v>3776</v>
      </c>
      <c r="B3748" s="46" t="s">
        <v>15470</v>
      </c>
      <c r="C3748">
        <v>16</v>
      </c>
      <c r="D3748">
        <v>85</v>
      </c>
    </row>
    <row r="3749" spans="1:4" x14ac:dyDescent="0.25">
      <c r="A3749" s="45" t="s">
        <v>3777</v>
      </c>
      <c r="B3749" s="46" t="s">
        <v>20058</v>
      </c>
      <c r="C3749">
        <v>16</v>
      </c>
      <c r="D3749">
        <v>85</v>
      </c>
    </row>
    <row r="3750" spans="1:4" x14ac:dyDescent="0.25">
      <c r="A3750" s="45" t="s">
        <v>3778</v>
      </c>
      <c r="B3750" s="46" t="s">
        <v>15471</v>
      </c>
      <c r="C3750">
        <v>16</v>
      </c>
      <c r="D3750">
        <v>85</v>
      </c>
    </row>
    <row r="3751" spans="1:4" x14ac:dyDescent="0.25">
      <c r="A3751" s="45" t="s">
        <v>3779</v>
      </c>
      <c r="B3751" s="46" t="s">
        <v>15472</v>
      </c>
      <c r="C3751">
        <v>8</v>
      </c>
      <c r="D3751">
        <v>52</v>
      </c>
    </row>
    <row r="3752" spans="1:4" x14ac:dyDescent="0.25">
      <c r="A3752" s="45" t="s">
        <v>3780</v>
      </c>
      <c r="B3752" s="46" t="s">
        <v>15473</v>
      </c>
      <c r="C3752">
        <v>8</v>
      </c>
      <c r="D3752">
        <v>54</v>
      </c>
    </row>
    <row r="3753" spans="1:4" x14ac:dyDescent="0.25">
      <c r="A3753" s="45" t="s">
        <v>3781</v>
      </c>
      <c r="B3753" s="46" t="s">
        <v>20059</v>
      </c>
      <c r="C3753">
        <v>8</v>
      </c>
      <c r="D3753">
        <v>54</v>
      </c>
    </row>
    <row r="3754" spans="1:4" x14ac:dyDescent="0.25">
      <c r="A3754" s="45" t="s">
        <v>3782</v>
      </c>
      <c r="B3754" s="46" t="s">
        <v>15474</v>
      </c>
      <c r="C3754">
        <v>8</v>
      </c>
      <c r="D3754">
        <v>54</v>
      </c>
    </row>
    <row r="3755" spans="1:4" x14ac:dyDescent="0.25">
      <c r="A3755" s="45" t="s">
        <v>3783</v>
      </c>
      <c r="B3755" s="46" t="s">
        <v>15475</v>
      </c>
      <c r="C3755">
        <v>8</v>
      </c>
      <c r="D3755">
        <v>54</v>
      </c>
    </row>
    <row r="3756" spans="1:4" x14ac:dyDescent="0.25">
      <c r="A3756" s="45" t="s">
        <v>3784</v>
      </c>
      <c r="B3756" s="46" t="s">
        <v>15476</v>
      </c>
      <c r="C3756">
        <v>8</v>
      </c>
      <c r="D3756">
        <v>54</v>
      </c>
    </row>
    <row r="3757" spans="1:4" x14ac:dyDescent="0.25">
      <c r="A3757" s="45" t="s">
        <v>3785</v>
      </c>
      <c r="B3757" s="46" t="s">
        <v>15477</v>
      </c>
      <c r="C3757">
        <v>8</v>
      </c>
      <c r="D3757">
        <v>54</v>
      </c>
    </row>
    <row r="3758" spans="1:4" x14ac:dyDescent="0.25">
      <c r="A3758" s="45" t="s">
        <v>3786</v>
      </c>
      <c r="B3758" s="46" t="s">
        <v>20060</v>
      </c>
      <c r="C3758">
        <v>8</v>
      </c>
      <c r="D3758">
        <v>54</v>
      </c>
    </row>
    <row r="3759" spans="1:4" x14ac:dyDescent="0.25">
      <c r="A3759" s="45" t="s">
        <v>3787</v>
      </c>
      <c r="B3759" s="46" t="s">
        <v>15478</v>
      </c>
      <c r="C3759">
        <v>8</v>
      </c>
      <c r="D3759">
        <v>54</v>
      </c>
    </row>
    <row r="3760" spans="1:4" x14ac:dyDescent="0.25">
      <c r="A3760" s="45" t="s">
        <v>3788</v>
      </c>
      <c r="B3760" s="46" t="s">
        <v>15479</v>
      </c>
      <c r="C3760">
        <v>8</v>
      </c>
      <c r="D3760">
        <v>54</v>
      </c>
    </row>
    <row r="3761" spans="1:4" x14ac:dyDescent="0.25">
      <c r="A3761" s="45" t="s">
        <v>3789</v>
      </c>
      <c r="B3761" s="46" t="s">
        <v>15480</v>
      </c>
      <c r="C3761">
        <v>8</v>
      </c>
      <c r="D3761">
        <v>54</v>
      </c>
    </row>
    <row r="3762" spans="1:4" x14ac:dyDescent="0.25">
      <c r="A3762" s="45" t="s">
        <v>3790</v>
      </c>
      <c r="B3762" s="46" t="s">
        <v>20061</v>
      </c>
      <c r="C3762">
        <v>8</v>
      </c>
      <c r="D3762">
        <v>51</v>
      </c>
    </row>
    <row r="3763" spans="1:4" x14ac:dyDescent="0.25">
      <c r="A3763" s="45" t="s">
        <v>3791</v>
      </c>
      <c r="B3763" s="46" t="s">
        <v>20062</v>
      </c>
      <c r="C3763">
        <v>9</v>
      </c>
      <c r="D3763">
        <v>55</v>
      </c>
    </row>
    <row r="3764" spans="1:4" x14ac:dyDescent="0.25">
      <c r="A3764" s="45" t="s">
        <v>3792</v>
      </c>
      <c r="B3764" s="46" t="s">
        <v>20063</v>
      </c>
      <c r="C3764">
        <v>9</v>
      </c>
      <c r="D3764">
        <v>55</v>
      </c>
    </row>
    <row r="3765" spans="1:4" x14ac:dyDescent="0.25">
      <c r="A3765" s="45" t="s">
        <v>3793</v>
      </c>
      <c r="B3765" s="46" t="s">
        <v>15481</v>
      </c>
      <c r="C3765">
        <v>9</v>
      </c>
      <c r="D3765">
        <v>55</v>
      </c>
    </row>
    <row r="3766" spans="1:4" x14ac:dyDescent="0.25">
      <c r="A3766" s="45" t="s">
        <v>3794</v>
      </c>
      <c r="B3766" s="46" t="s">
        <v>15482</v>
      </c>
      <c r="C3766">
        <v>9</v>
      </c>
      <c r="D3766">
        <v>55</v>
      </c>
    </row>
    <row r="3767" spans="1:4" x14ac:dyDescent="0.25">
      <c r="A3767" s="45" t="s">
        <v>3795</v>
      </c>
      <c r="B3767" s="46" t="s">
        <v>15483</v>
      </c>
      <c r="C3767">
        <v>9</v>
      </c>
      <c r="D3767">
        <v>55</v>
      </c>
    </row>
    <row r="3768" spans="1:4" x14ac:dyDescent="0.25">
      <c r="A3768" s="45" t="s">
        <v>3796</v>
      </c>
      <c r="B3768" s="46" t="s">
        <v>15484</v>
      </c>
      <c r="C3768">
        <v>9</v>
      </c>
      <c r="D3768">
        <v>55</v>
      </c>
    </row>
    <row r="3769" spans="1:4" x14ac:dyDescent="0.25">
      <c r="A3769" s="45" t="s">
        <v>3797</v>
      </c>
      <c r="B3769" s="46" t="s">
        <v>15485</v>
      </c>
      <c r="C3769">
        <v>9</v>
      </c>
      <c r="D3769">
        <v>55</v>
      </c>
    </row>
    <row r="3770" spans="1:4" x14ac:dyDescent="0.25">
      <c r="A3770" s="45" t="s">
        <v>3798</v>
      </c>
      <c r="B3770" s="46" t="s">
        <v>20064</v>
      </c>
      <c r="C3770">
        <v>9</v>
      </c>
      <c r="D3770">
        <v>55</v>
      </c>
    </row>
    <row r="3771" spans="1:4" x14ac:dyDescent="0.25">
      <c r="A3771" s="45" t="s">
        <v>3799</v>
      </c>
      <c r="B3771" s="46" t="s">
        <v>15486</v>
      </c>
      <c r="C3771">
        <v>9</v>
      </c>
      <c r="D3771">
        <v>55</v>
      </c>
    </row>
    <row r="3772" spans="1:4" x14ac:dyDescent="0.25">
      <c r="A3772" s="45" t="s">
        <v>3800</v>
      </c>
      <c r="B3772" s="46" t="s">
        <v>15487</v>
      </c>
      <c r="C3772">
        <v>9</v>
      </c>
      <c r="D3772">
        <v>55</v>
      </c>
    </row>
    <row r="3773" spans="1:4" x14ac:dyDescent="0.25">
      <c r="A3773" s="45" t="s">
        <v>3801</v>
      </c>
      <c r="B3773" s="46" t="s">
        <v>15488</v>
      </c>
      <c r="C3773">
        <v>9</v>
      </c>
      <c r="D3773">
        <v>55</v>
      </c>
    </row>
    <row r="3774" spans="1:4" x14ac:dyDescent="0.25">
      <c r="A3774" s="45" t="s">
        <v>3802</v>
      </c>
      <c r="B3774" s="46" t="s">
        <v>15489</v>
      </c>
      <c r="C3774">
        <v>9</v>
      </c>
      <c r="D3774">
        <v>55</v>
      </c>
    </row>
    <row r="3775" spans="1:4" x14ac:dyDescent="0.25">
      <c r="A3775" s="45" t="s">
        <v>3803</v>
      </c>
      <c r="B3775" s="46" t="s">
        <v>15490</v>
      </c>
      <c r="C3775">
        <v>9</v>
      </c>
      <c r="D3775">
        <v>55</v>
      </c>
    </row>
    <row r="3776" spans="1:4" x14ac:dyDescent="0.25">
      <c r="A3776" s="45" t="s">
        <v>3804</v>
      </c>
      <c r="B3776" s="46" t="s">
        <v>15491</v>
      </c>
      <c r="C3776">
        <v>9</v>
      </c>
      <c r="D3776">
        <v>55</v>
      </c>
    </row>
    <row r="3777" spans="1:4" x14ac:dyDescent="0.25">
      <c r="A3777" s="45" t="s">
        <v>3805</v>
      </c>
      <c r="B3777" s="46" t="s">
        <v>15492</v>
      </c>
      <c r="C3777">
        <v>9</v>
      </c>
      <c r="D3777">
        <v>55</v>
      </c>
    </row>
    <row r="3778" spans="1:4" x14ac:dyDescent="0.25">
      <c r="A3778" s="45" t="s">
        <v>3806</v>
      </c>
      <c r="B3778" s="46" t="s">
        <v>15493</v>
      </c>
      <c r="C3778">
        <v>9</v>
      </c>
      <c r="D3778">
        <v>55</v>
      </c>
    </row>
    <row r="3779" spans="1:4" x14ac:dyDescent="0.25">
      <c r="A3779" s="45" t="s">
        <v>3807</v>
      </c>
      <c r="B3779" s="46" t="s">
        <v>15494</v>
      </c>
      <c r="C3779">
        <v>9</v>
      </c>
      <c r="D3779">
        <v>55</v>
      </c>
    </row>
    <row r="3780" spans="1:4" x14ac:dyDescent="0.25">
      <c r="A3780" s="45" t="s">
        <v>3808</v>
      </c>
      <c r="B3780" s="46" t="s">
        <v>15495</v>
      </c>
      <c r="C3780">
        <v>9</v>
      </c>
      <c r="D3780">
        <v>55</v>
      </c>
    </row>
    <row r="3781" spans="1:4" x14ac:dyDescent="0.25">
      <c r="A3781" s="45" t="s">
        <v>3809</v>
      </c>
      <c r="B3781" s="46" t="s">
        <v>15496</v>
      </c>
      <c r="C3781">
        <v>9</v>
      </c>
      <c r="D3781">
        <v>55</v>
      </c>
    </row>
    <row r="3782" spans="1:4" x14ac:dyDescent="0.25">
      <c r="A3782" s="45" t="s">
        <v>3810</v>
      </c>
      <c r="B3782" s="46" t="s">
        <v>15497</v>
      </c>
      <c r="C3782">
        <v>9</v>
      </c>
      <c r="D3782">
        <v>55</v>
      </c>
    </row>
    <row r="3783" spans="1:4" x14ac:dyDescent="0.25">
      <c r="A3783" s="45" t="s">
        <v>3811</v>
      </c>
      <c r="B3783" s="46" t="s">
        <v>15498</v>
      </c>
      <c r="C3783">
        <v>9</v>
      </c>
      <c r="D3783">
        <v>55</v>
      </c>
    </row>
    <row r="3784" spans="1:4" x14ac:dyDescent="0.25">
      <c r="A3784" s="45" t="s">
        <v>3812</v>
      </c>
      <c r="B3784" s="46" t="s">
        <v>15499</v>
      </c>
      <c r="C3784">
        <v>9</v>
      </c>
      <c r="D3784">
        <v>55</v>
      </c>
    </row>
    <row r="3785" spans="1:4" x14ac:dyDescent="0.25">
      <c r="A3785" s="45" t="s">
        <v>3813</v>
      </c>
      <c r="B3785" s="46" t="s">
        <v>15500</v>
      </c>
      <c r="C3785">
        <v>9</v>
      </c>
      <c r="D3785">
        <v>55</v>
      </c>
    </row>
    <row r="3786" spans="1:4" x14ac:dyDescent="0.25">
      <c r="A3786" s="45" t="s">
        <v>3814</v>
      </c>
      <c r="B3786" s="46" t="s">
        <v>15501</v>
      </c>
      <c r="C3786">
        <v>9</v>
      </c>
      <c r="D3786">
        <v>55</v>
      </c>
    </row>
    <row r="3787" spans="1:4" x14ac:dyDescent="0.25">
      <c r="A3787" s="45" t="s">
        <v>3815</v>
      </c>
      <c r="B3787" s="46" t="s">
        <v>15502</v>
      </c>
      <c r="C3787">
        <v>9</v>
      </c>
      <c r="D3787">
        <v>55</v>
      </c>
    </row>
    <row r="3788" spans="1:4" x14ac:dyDescent="0.25">
      <c r="A3788" s="45" t="s">
        <v>3816</v>
      </c>
      <c r="B3788" s="46" t="s">
        <v>15503</v>
      </c>
      <c r="C3788">
        <v>9</v>
      </c>
      <c r="D3788">
        <v>55</v>
      </c>
    </row>
    <row r="3789" spans="1:4" x14ac:dyDescent="0.25">
      <c r="A3789" s="45" t="s">
        <v>3817</v>
      </c>
      <c r="B3789" s="46" t="s">
        <v>15504</v>
      </c>
      <c r="C3789">
        <v>9</v>
      </c>
      <c r="D3789">
        <v>55</v>
      </c>
    </row>
    <row r="3790" spans="1:4" x14ac:dyDescent="0.25">
      <c r="A3790" s="45" t="s">
        <v>3818</v>
      </c>
      <c r="B3790" s="46" t="s">
        <v>15505</v>
      </c>
      <c r="C3790">
        <v>9</v>
      </c>
      <c r="D3790">
        <v>55</v>
      </c>
    </row>
    <row r="3791" spans="1:4" x14ac:dyDescent="0.25">
      <c r="A3791" s="45" t="s">
        <v>3819</v>
      </c>
      <c r="B3791" s="46" t="s">
        <v>15506</v>
      </c>
      <c r="C3791">
        <v>9</v>
      </c>
      <c r="D3791">
        <v>55</v>
      </c>
    </row>
    <row r="3792" spans="1:4" x14ac:dyDescent="0.25">
      <c r="A3792" s="45" t="s">
        <v>3820</v>
      </c>
      <c r="B3792" s="46" t="s">
        <v>15507</v>
      </c>
      <c r="C3792">
        <v>9</v>
      </c>
      <c r="D3792">
        <v>55</v>
      </c>
    </row>
    <row r="3793" spans="1:4" x14ac:dyDescent="0.25">
      <c r="A3793" s="45" t="s">
        <v>3821</v>
      </c>
      <c r="B3793" s="46" t="s">
        <v>15508</v>
      </c>
      <c r="C3793">
        <v>9</v>
      </c>
      <c r="D3793">
        <v>55</v>
      </c>
    </row>
    <row r="3794" spans="1:4" x14ac:dyDescent="0.25">
      <c r="A3794" s="45" t="s">
        <v>3822</v>
      </c>
      <c r="B3794" s="46" t="s">
        <v>15509</v>
      </c>
      <c r="C3794">
        <v>9</v>
      </c>
      <c r="D3794">
        <v>55</v>
      </c>
    </row>
    <row r="3795" spans="1:4" x14ac:dyDescent="0.25">
      <c r="A3795" s="45" t="s">
        <v>3823</v>
      </c>
      <c r="B3795" s="46" t="s">
        <v>15510</v>
      </c>
      <c r="C3795">
        <v>9</v>
      </c>
      <c r="D3795">
        <v>55</v>
      </c>
    </row>
    <row r="3796" spans="1:4" x14ac:dyDescent="0.25">
      <c r="A3796" s="45" t="s">
        <v>3824</v>
      </c>
      <c r="B3796" s="46" t="s">
        <v>15511</v>
      </c>
      <c r="C3796">
        <v>9</v>
      </c>
      <c r="D3796">
        <v>55</v>
      </c>
    </row>
    <row r="3797" spans="1:4" x14ac:dyDescent="0.25">
      <c r="A3797" s="45" t="s">
        <v>3825</v>
      </c>
      <c r="B3797" s="46" t="s">
        <v>15512</v>
      </c>
      <c r="C3797">
        <v>9</v>
      </c>
      <c r="D3797">
        <v>55</v>
      </c>
    </row>
    <row r="3798" spans="1:4" x14ac:dyDescent="0.25">
      <c r="A3798" s="45" t="s">
        <v>3826</v>
      </c>
      <c r="B3798" s="46" t="s">
        <v>15513</v>
      </c>
      <c r="C3798">
        <v>9</v>
      </c>
      <c r="D3798">
        <v>55</v>
      </c>
    </row>
    <row r="3799" spans="1:4" x14ac:dyDescent="0.25">
      <c r="A3799" s="45" t="s">
        <v>3827</v>
      </c>
      <c r="B3799" s="46" t="s">
        <v>15514</v>
      </c>
      <c r="C3799">
        <v>9</v>
      </c>
      <c r="D3799">
        <v>55</v>
      </c>
    </row>
    <row r="3800" spans="1:4" x14ac:dyDescent="0.25">
      <c r="A3800" s="45" t="s">
        <v>3828</v>
      </c>
      <c r="B3800" s="46" t="s">
        <v>15515</v>
      </c>
      <c r="C3800">
        <v>9</v>
      </c>
      <c r="D3800">
        <v>55</v>
      </c>
    </row>
    <row r="3801" spans="1:4" x14ac:dyDescent="0.25">
      <c r="A3801" s="45" t="s">
        <v>3829</v>
      </c>
      <c r="B3801" s="46" t="s">
        <v>15516</v>
      </c>
      <c r="C3801">
        <v>9</v>
      </c>
      <c r="D3801">
        <v>55</v>
      </c>
    </row>
    <row r="3802" spans="1:4" x14ac:dyDescent="0.25">
      <c r="A3802" s="45" t="s">
        <v>3830</v>
      </c>
      <c r="B3802" s="46" t="s">
        <v>15517</v>
      </c>
      <c r="C3802">
        <v>9</v>
      </c>
      <c r="D3802">
        <v>55</v>
      </c>
    </row>
    <row r="3803" spans="1:4" x14ac:dyDescent="0.25">
      <c r="A3803" s="45" t="s">
        <v>3831</v>
      </c>
      <c r="B3803" s="46" t="s">
        <v>20065</v>
      </c>
      <c r="C3803">
        <v>9</v>
      </c>
      <c r="D3803">
        <v>55</v>
      </c>
    </row>
    <row r="3804" spans="1:4" x14ac:dyDescent="0.25">
      <c r="A3804" s="45" t="s">
        <v>3832</v>
      </c>
      <c r="B3804" s="46" t="s">
        <v>15518</v>
      </c>
      <c r="C3804">
        <v>9</v>
      </c>
      <c r="D3804">
        <v>55</v>
      </c>
    </row>
    <row r="3805" spans="1:4" x14ac:dyDescent="0.25">
      <c r="A3805" s="45" t="s">
        <v>3833</v>
      </c>
      <c r="B3805" s="46" t="s">
        <v>15519</v>
      </c>
      <c r="C3805">
        <v>9</v>
      </c>
      <c r="D3805">
        <v>55</v>
      </c>
    </row>
    <row r="3806" spans="1:4" x14ac:dyDescent="0.25">
      <c r="A3806" s="45" t="s">
        <v>3834</v>
      </c>
      <c r="B3806" s="46" t="s">
        <v>15520</v>
      </c>
      <c r="C3806">
        <v>9</v>
      </c>
      <c r="D3806">
        <v>55</v>
      </c>
    </row>
    <row r="3807" spans="1:4" x14ac:dyDescent="0.25">
      <c r="A3807" s="45" t="s">
        <v>3835</v>
      </c>
      <c r="B3807" s="46" t="s">
        <v>15521</v>
      </c>
      <c r="C3807">
        <v>9</v>
      </c>
      <c r="D3807">
        <v>55</v>
      </c>
    </row>
    <row r="3808" spans="1:4" x14ac:dyDescent="0.25">
      <c r="A3808" s="45" t="s">
        <v>3836</v>
      </c>
      <c r="B3808" s="46" t="s">
        <v>15522</v>
      </c>
      <c r="C3808">
        <v>9</v>
      </c>
      <c r="D3808">
        <v>55</v>
      </c>
    </row>
    <row r="3809" spans="1:4" x14ac:dyDescent="0.25">
      <c r="A3809" s="45" t="s">
        <v>3837</v>
      </c>
      <c r="B3809" s="46" t="s">
        <v>15523</v>
      </c>
      <c r="C3809">
        <v>9</v>
      </c>
      <c r="D3809">
        <v>55</v>
      </c>
    </row>
    <row r="3810" spans="1:4" x14ac:dyDescent="0.25">
      <c r="A3810" s="45" t="s">
        <v>3838</v>
      </c>
      <c r="B3810" s="46" t="s">
        <v>20066</v>
      </c>
      <c r="C3810">
        <v>9</v>
      </c>
      <c r="D3810">
        <v>55</v>
      </c>
    </row>
    <row r="3811" spans="1:4" x14ac:dyDescent="0.25">
      <c r="A3811" s="45" t="s">
        <v>3839</v>
      </c>
      <c r="B3811" s="46" t="s">
        <v>15524</v>
      </c>
      <c r="C3811">
        <v>9</v>
      </c>
      <c r="D3811">
        <v>55</v>
      </c>
    </row>
    <row r="3812" spans="1:4" x14ac:dyDescent="0.25">
      <c r="A3812" s="45" t="s">
        <v>3840</v>
      </c>
      <c r="B3812" s="46" t="s">
        <v>15525</v>
      </c>
      <c r="C3812">
        <v>9</v>
      </c>
      <c r="D3812">
        <v>55</v>
      </c>
    </row>
    <row r="3813" spans="1:4" x14ac:dyDescent="0.25">
      <c r="A3813" s="45" t="s">
        <v>3841</v>
      </c>
      <c r="B3813" s="46" t="s">
        <v>15526</v>
      </c>
      <c r="C3813">
        <v>9</v>
      </c>
      <c r="D3813">
        <v>55</v>
      </c>
    </row>
    <row r="3814" spans="1:4" x14ac:dyDescent="0.25">
      <c r="A3814" s="45" t="s">
        <v>3842</v>
      </c>
      <c r="B3814" s="46" t="s">
        <v>15527</v>
      </c>
      <c r="C3814">
        <v>9</v>
      </c>
      <c r="D3814">
        <v>55</v>
      </c>
    </row>
    <row r="3815" spans="1:4" x14ac:dyDescent="0.25">
      <c r="A3815" s="45" t="s">
        <v>3843</v>
      </c>
      <c r="B3815" s="46" t="s">
        <v>15528</v>
      </c>
      <c r="C3815">
        <v>9</v>
      </c>
      <c r="D3815">
        <v>55</v>
      </c>
    </row>
    <row r="3816" spans="1:4" x14ac:dyDescent="0.25">
      <c r="A3816" s="45" t="s">
        <v>3844</v>
      </c>
      <c r="B3816" s="46" t="s">
        <v>15529</v>
      </c>
      <c r="C3816">
        <v>9</v>
      </c>
      <c r="D3816">
        <v>55</v>
      </c>
    </row>
    <row r="3817" spans="1:4" x14ac:dyDescent="0.25">
      <c r="A3817" s="45" t="s">
        <v>3845</v>
      </c>
      <c r="B3817" s="46" t="s">
        <v>15530</v>
      </c>
      <c r="C3817">
        <v>9</v>
      </c>
      <c r="D3817">
        <v>55</v>
      </c>
    </row>
    <row r="3818" spans="1:4" x14ac:dyDescent="0.25">
      <c r="A3818" s="45" t="s">
        <v>3846</v>
      </c>
      <c r="B3818" s="46" t="s">
        <v>15531</v>
      </c>
      <c r="C3818">
        <v>9</v>
      </c>
      <c r="D3818">
        <v>55</v>
      </c>
    </row>
    <row r="3819" spans="1:4" x14ac:dyDescent="0.25">
      <c r="A3819" s="45" t="s">
        <v>3847</v>
      </c>
      <c r="B3819" s="46" t="s">
        <v>15532</v>
      </c>
      <c r="C3819">
        <v>9</v>
      </c>
      <c r="D3819">
        <v>55</v>
      </c>
    </row>
    <row r="3820" spans="1:4" x14ac:dyDescent="0.25">
      <c r="A3820" s="45" t="s">
        <v>3848</v>
      </c>
      <c r="B3820" s="46" t="s">
        <v>15533</v>
      </c>
      <c r="C3820">
        <v>9</v>
      </c>
      <c r="D3820">
        <v>55</v>
      </c>
    </row>
    <row r="3821" spans="1:4" x14ac:dyDescent="0.25">
      <c r="A3821" s="45" t="s">
        <v>3849</v>
      </c>
      <c r="B3821" s="46" t="s">
        <v>15534</v>
      </c>
      <c r="C3821">
        <v>9</v>
      </c>
      <c r="D3821">
        <v>55</v>
      </c>
    </row>
    <row r="3822" spans="1:4" x14ac:dyDescent="0.25">
      <c r="A3822" s="45" t="s">
        <v>3850</v>
      </c>
      <c r="B3822" s="46" t="s">
        <v>15535</v>
      </c>
      <c r="C3822">
        <v>9</v>
      </c>
      <c r="D3822">
        <v>55</v>
      </c>
    </row>
    <row r="3823" spans="1:4" x14ac:dyDescent="0.25">
      <c r="A3823" s="45" t="s">
        <v>3851</v>
      </c>
      <c r="B3823" s="46" t="s">
        <v>15536</v>
      </c>
      <c r="C3823">
        <v>9</v>
      </c>
      <c r="D3823">
        <v>55</v>
      </c>
    </row>
    <row r="3824" spans="1:4" x14ac:dyDescent="0.25">
      <c r="A3824" s="45" t="s">
        <v>3852</v>
      </c>
      <c r="B3824" s="46" t="s">
        <v>15537</v>
      </c>
      <c r="C3824">
        <v>9</v>
      </c>
      <c r="D3824">
        <v>55</v>
      </c>
    </row>
    <row r="3825" spans="1:4" x14ac:dyDescent="0.25">
      <c r="A3825" s="45" t="s">
        <v>3853</v>
      </c>
      <c r="B3825" s="46" t="s">
        <v>15538</v>
      </c>
      <c r="C3825">
        <v>9</v>
      </c>
      <c r="D3825">
        <v>55</v>
      </c>
    </row>
    <row r="3826" spans="1:4" x14ac:dyDescent="0.25">
      <c r="A3826" s="45" t="s">
        <v>3854</v>
      </c>
      <c r="B3826" s="46" t="s">
        <v>20067</v>
      </c>
      <c r="C3826">
        <v>9</v>
      </c>
      <c r="D3826">
        <v>55</v>
      </c>
    </row>
    <row r="3827" spans="1:4" x14ac:dyDescent="0.25">
      <c r="A3827" s="45" t="s">
        <v>3855</v>
      </c>
      <c r="B3827" s="46" t="s">
        <v>20068</v>
      </c>
      <c r="C3827">
        <v>9</v>
      </c>
      <c r="D3827">
        <v>55</v>
      </c>
    </row>
    <row r="3828" spans="1:4" x14ac:dyDescent="0.25">
      <c r="A3828" s="45" t="s">
        <v>3856</v>
      </c>
      <c r="B3828" s="46" t="s">
        <v>15539</v>
      </c>
      <c r="C3828">
        <v>9</v>
      </c>
      <c r="D3828">
        <v>55</v>
      </c>
    </row>
    <row r="3829" spans="1:4" x14ac:dyDescent="0.25">
      <c r="A3829" s="45" t="s">
        <v>3857</v>
      </c>
      <c r="B3829" s="46" t="s">
        <v>20069</v>
      </c>
      <c r="C3829">
        <v>9</v>
      </c>
      <c r="D3829">
        <v>55</v>
      </c>
    </row>
    <row r="3830" spans="1:4" x14ac:dyDescent="0.25">
      <c r="A3830" s="45" t="s">
        <v>3858</v>
      </c>
      <c r="B3830" s="46" t="s">
        <v>20070</v>
      </c>
      <c r="C3830">
        <v>9</v>
      </c>
      <c r="D3830">
        <v>55</v>
      </c>
    </row>
    <row r="3831" spans="1:4" x14ac:dyDescent="0.25">
      <c r="A3831" s="45" t="s">
        <v>3859</v>
      </c>
      <c r="B3831" s="46" t="s">
        <v>15540</v>
      </c>
      <c r="C3831">
        <v>9</v>
      </c>
      <c r="D3831">
        <v>55</v>
      </c>
    </row>
    <row r="3832" spans="1:4" x14ac:dyDescent="0.25">
      <c r="A3832" s="45" t="s">
        <v>3860</v>
      </c>
      <c r="B3832" s="46" t="s">
        <v>15541</v>
      </c>
      <c r="C3832">
        <v>9</v>
      </c>
      <c r="D3832">
        <v>55</v>
      </c>
    </row>
    <row r="3833" spans="1:4" x14ac:dyDescent="0.25">
      <c r="A3833" s="45" t="s">
        <v>3861</v>
      </c>
      <c r="B3833" s="46" t="s">
        <v>15542</v>
      </c>
      <c r="C3833">
        <v>9</v>
      </c>
      <c r="D3833">
        <v>55</v>
      </c>
    </row>
    <row r="3834" spans="1:4" x14ac:dyDescent="0.25">
      <c r="A3834" s="45" t="s">
        <v>3862</v>
      </c>
      <c r="B3834" s="46" t="s">
        <v>15543</v>
      </c>
      <c r="C3834">
        <v>9</v>
      </c>
      <c r="D3834">
        <v>55</v>
      </c>
    </row>
    <row r="3835" spans="1:4" x14ac:dyDescent="0.25">
      <c r="A3835" s="45" t="s">
        <v>3863</v>
      </c>
      <c r="B3835" s="46" t="s">
        <v>15544</v>
      </c>
      <c r="C3835">
        <v>9</v>
      </c>
      <c r="D3835">
        <v>55</v>
      </c>
    </row>
    <row r="3836" spans="1:4" x14ac:dyDescent="0.25">
      <c r="A3836" s="45" t="s">
        <v>3864</v>
      </c>
      <c r="B3836" s="46" t="s">
        <v>15545</v>
      </c>
      <c r="C3836">
        <v>9</v>
      </c>
      <c r="D3836">
        <v>55</v>
      </c>
    </row>
    <row r="3837" spans="1:4" x14ac:dyDescent="0.25">
      <c r="A3837" s="45" t="s">
        <v>3865</v>
      </c>
      <c r="B3837" s="46" t="s">
        <v>15546</v>
      </c>
      <c r="C3837">
        <v>9</v>
      </c>
      <c r="D3837">
        <v>55</v>
      </c>
    </row>
    <row r="3838" spans="1:4" x14ac:dyDescent="0.25">
      <c r="A3838" s="45" t="s">
        <v>3866</v>
      </c>
      <c r="B3838" s="46" t="s">
        <v>15547</v>
      </c>
      <c r="C3838">
        <v>9</v>
      </c>
      <c r="D3838">
        <v>55</v>
      </c>
    </row>
    <row r="3839" spans="1:4" x14ac:dyDescent="0.25">
      <c r="A3839" s="45" t="s">
        <v>3867</v>
      </c>
      <c r="B3839" s="46" t="s">
        <v>15548</v>
      </c>
      <c r="C3839">
        <v>9</v>
      </c>
      <c r="D3839">
        <v>55</v>
      </c>
    </row>
    <row r="3840" spans="1:4" x14ac:dyDescent="0.25">
      <c r="A3840" s="45" t="s">
        <v>3868</v>
      </c>
      <c r="B3840" s="46" t="s">
        <v>15549</v>
      </c>
      <c r="C3840">
        <v>9</v>
      </c>
      <c r="D3840">
        <v>55</v>
      </c>
    </row>
    <row r="3841" spans="1:4" x14ac:dyDescent="0.25">
      <c r="A3841" s="45" t="s">
        <v>3869</v>
      </c>
      <c r="B3841" s="46" t="s">
        <v>15550</v>
      </c>
      <c r="C3841">
        <v>9</v>
      </c>
      <c r="D3841">
        <v>55</v>
      </c>
    </row>
    <row r="3842" spans="1:4" x14ac:dyDescent="0.25">
      <c r="A3842" s="45" t="s">
        <v>3870</v>
      </c>
      <c r="B3842" s="46" t="s">
        <v>15551</v>
      </c>
      <c r="C3842">
        <v>9</v>
      </c>
      <c r="D3842">
        <v>55</v>
      </c>
    </row>
    <row r="3843" spans="1:4" x14ac:dyDescent="0.25">
      <c r="A3843" s="45" t="s">
        <v>3871</v>
      </c>
      <c r="B3843" s="46" t="s">
        <v>15552</v>
      </c>
      <c r="C3843">
        <v>9</v>
      </c>
      <c r="D3843">
        <v>55</v>
      </c>
    </row>
    <row r="3844" spans="1:4" x14ac:dyDescent="0.25">
      <c r="A3844" s="45" t="s">
        <v>3872</v>
      </c>
      <c r="B3844" s="46" t="s">
        <v>15553</v>
      </c>
      <c r="C3844">
        <v>9</v>
      </c>
      <c r="D3844">
        <v>55</v>
      </c>
    </row>
    <row r="3845" spans="1:4" x14ac:dyDescent="0.25">
      <c r="A3845" s="45" t="s">
        <v>3873</v>
      </c>
      <c r="B3845" s="46" t="s">
        <v>15554</v>
      </c>
      <c r="C3845">
        <v>9</v>
      </c>
      <c r="D3845">
        <v>55</v>
      </c>
    </row>
    <row r="3846" spans="1:4" x14ac:dyDescent="0.25">
      <c r="A3846" s="45" t="s">
        <v>3874</v>
      </c>
      <c r="B3846" s="46" t="s">
        <v>15555</v>
      </c>
      <c r="C3846">
        <v>9</v>
      </c>
      <c r="D3846">
        <v>55</v>
      </c>
    </row>
    <row r="3847" spans="1:4" x14ac:dyDescent="0.25">
      <c r="A3847" s="45" t="s">
        <v>3875</v>
      </c>
      <c r="B3847" s="46" t="s">
        <v>15556</v>
      </c>
      <c r="C3847">
        <v>9</v>
      </c>
      <c r="D3847">
        <v>55</v>
      </c>
    </row>
    <row r="3848" spans="1:4" x14ac:dyDescent="0.25">
      <c r="A3848" s="45" t="s">
        <v>3876</v>
      </c>
      <c r="B3848" s="46" t="s">
        <v>15557</v>
      </c>
      <c r="C3848">
        <v>9</v>
      </c>
      <c r="D3848">
        <v>55</v>
      </c>
    </row>
    <row r="3849" spans="1:4" x14ac:dyDescent="0.25">
      <c r="A3849" s="45" t="s">
        <v>3877</v>
      </c>
      <c r="B3849" s="46" t="s">
        <v>15558</v>
      </c>
      <c r="C3849">
        <v>9</v>
      </c>
      <c r="D3849">
        <v>55</v>
      </c>
    </row>
    <row r="3850" spans="1:4" x14ac:dyDescent="0.25">
      <c r="A3850" s="45" t="s">
        <v>3878</v>
      </c>
      <c r="B3850" s="46" t="s">
        <v>15559</v>
      </c>
      <c r="C3850">
        <v>9</v>
      </c>
      <c r="D3850">
        <v>55</v>
      </c>
    </row>
    <row r="3851" spans="1:4" x14ac:dyDescent="0.25">
      <c r="A3851" s="45" t="s">
        <v>3879</v>
      </c>
      <c r="B3851" s="46" t="s">
        <v>20071</v>
      </c>
      <c r="C3851">
        <v>9</v>
      </c>
      <c r="D3851">
        <v>55</v>
      </c>
    </row>
    <row r="3852" spans="1:4" x14ac:dyDescent="0.25">
      <c r="A3852" s="45" t="s">
        <v>3880</v>
      </c>
      <c r="B3852" s="46" t="s">
        <v>15560</v>
      </c>
      <c r="C3852">
        <v>9</v>
      </c>
      <c r="D3852">
        <v>55</v>
      </c>
    </row>
    <row r="3853" spans="1:4" x14ac:dyDescent="0.25">
      <c r="A3853" s="45" t="s">
        <v>3881</v>
      </c>
      <c r="B3853" s="46" t="s">
        <v>15561</v>
      </c>
      <c r="C3853">
        <v>9</v>
      </c>
      <c r="D3853">
        <v>55</v>
      </c>
    </row>
    <row r="3854" spans="1:4" x14ac:dyDescent="0.25">
      <c r="A3854" s="45" t="s">
        <v>3882</v>
      </c>
      <c r="B3854" s="46" t="s">
        <v>20072</v>
      </c>
      <c r="C3854">
        <v>9</v>
      </c>
      <c r="D3854">
        <v>55</v>
      </c>
    </row>
    <row r="3855" spans="1:4" x14ac:dyDescent="0.25">
      <c r="A3855" s="45" t="s">
        <v>3883</v>
      </c>
      <c r="B3855" s="46" t="s">
        <v>15562</v>
      </c>
      <c r="C3855">
        <v>9</v>
      </c>
      <c r="D3855">
        <v>55</v>
      </c>
    </row>
    <row r="3856" spans="1:4" x14ac:dyDescent="0.25">
      <c r="A3856" s="45" t="s">
        <v>3884</v>
      </c>
      <c r="B3856" s="46" t="s">
        <v>15563</v>
      </c>
      <c r="C3856">
        <v>9</v>
      </c>
      <c r="D3856">
        <v>55</v>
      </c>
    </row>
    <row r="3857" spans="1:4" x14ac:dyDescent="0.25">
      <c r="A3857" s="45" t="s">
        <v>3885</v>
      </c>
      <c r="B3857" s="46" t="s">
        <v>20073</v>
      </c>
      <c r="C3857">
        <v>9</v>
      </c>
      <c r="D3857">
        <v>55</v>
      </c>
    </row>
    <row r="3858" spans="1:4" x14ac:dyDescent="0.25">
      <c r="A3858" s="45" t="s">
        <v>3886</v>
      </c>
      <c r="B3858" s="46" t="s">
        <v>15564</v>
      </c>
      <c r="C3858">
        <v>9</v>
      </c>
      <c r="D3858">
        <v>55</v>
      </c>
    </row>
    <row r="3859" spans="1:4" x14ac:dyDescent="0.25">
      <c r="A3859" s="45" t="s">
        <v>3887</v>
      </c>
      <c r="B3859" s="46" t="s">
        <v>15565</v>
      </c>
      <c r="C3859">
        <v>9</v>
      </c>
      <c r="D3859">
        <v>55</v>
      </c>
    </row>
    <row r="3860" spans="1:4" x14ac:dyDescent="0.25">
      <c r="A3860" s="45" t="s">
        <v>3888</v>
      </c>
      <c r="B3860" s="46" t="s">
        <v>15566</v>
      </c>
      <c r="C3860">
        <v>9</v>
      </c>
      <c r="D3860">
        <v>55</v>
      </c>
    </row>
    <row r="3861" spans="1:4" x14ac:dyDescent="0.25">
      <c r="A3861" s="45" t="s">
        <v>3889</v>
      </c>
      <c r="B3861" s="46" t="s">
        <v>20074</v>
      </c>
      <c r="C3861">
        <v>9</v>
      </c>
      <c r="D3861">
        <v>55</v>
      </c>
    </row>
    <row r="3862" spans="1:4" x14ac:dyDescent="0.25">
      <c r="A3862" s="45" t="s">
        <v>3890</v>
      </c>
      <c r="B3862" s="46" t="s">
        <v>15567</v>
      </c>
      <c r="C3862">
        <v>9</v>
      </c>
      <c r="D3862">
        <v>55</v>
      </c>
    </row>
    <row r="3863" spans="1:4" x14ac:dyDescent="0.25">
      <c r="A3863" s="45" t="s">
        <v>3891</v>
      </c>
      <c r="B3863" s="46" t="s">
        <v>15568</v>
      </c>
      <c r="C3863">
        <v>9</v>
      </c>
      <c r="D3863">
        <v>55</v>
      </c>
    </row>
    <row r="3864" spans="1:4" x14ac:dyDescent="0.25">
      <c r="A3864" s="45" t="s">
        <v>3892</v>
      </c>
      <c r="B3864" s="46" t="s">
        <v>15569</v>
      </c>
      <c r="C3864">
        <v>9</v>
      </c>
      <c r="D3864">
        <v>55</v>
      </c>
    </row>
    <row r="3865" spans="1:4" x14ac:dyDescent="0.25">
      <c r="A3865" s="45" t="s">
        <v>3893</v>
      </c>
      <c r="B3865" s="46" t="s">
        <v>15570</v>
      </c>
      <c r="C3865">
        <v>9</v>
      </c>
      <c r="D3865">
        <v>55</v>
      </c>
    </row>
    <row r="3866" spans="1:4" x14ac:dyDescent="0.25">
      <c r="A3866" s="45" t="s">
        <v>3894</v>
      </c>
      <c r="B3866" s="46" t="s">
        <v>15571</v>
      </c>
      <c r="C3866">
        <v>9</v>
      </c>
      <c r="D3866">
        <v>55</v>
      </c>
    </row>
    <row r="3867" spans="1:4" x14ac:dyDescent="0.25">
      <c r="A3867" s="45" t="s">
        <v>3895</v>
      </c>
      <c r="B3867" s="46" t="s">
        <v>15572</v>
      </c>
      <c r="C3867">
        <v>9</v>
      </c>
      <c r="D3867">
        <v>55</v>
      </c>
    </row>
    <row r="3868" spans="1:4" x14ac:dyDescent="0.25">
      <c r="A3868" s="45" t="s">
        <v>3896</v>
      </c>
      <c r="B3868" s="46" t="s">
        <v>15573</v>
      </c>
      <c r="C3868">
        <v>9</v>
      </c>
      <c r="D3868">
        <v>55</v>
      </c>
    </row>
    <row r="3869" spans="1:4" x14ac:dyDescent="0.25">
      <c r="A3869" s="45" t="s">
        <v>3897</v>
      </c>
      <c r="B3869" s="46" t="s">
        <v>15574</v>
      </c>
      <c r="C3869">
        <v>9</v>
      </c>
      <c r="D3869">
        <v>55</v>
      </c>
    </row>
    <row r="3870" spans="1:4" x14ac:dyDescent="0.25">
      <c r="A3870" s="45" t="s">
        <v>3898</v>
      </c>
      <c r="B3870" s="46" t="s">
        <v>15575</v>
      </c>
      <c r="C3870">
        <v>9</v>
      </c>
      <c r="D3870">
        <v>56</v>
      </c>
    </row>
    <row r="3871" spans="1:4" x14ac:dyDescent="0.25">
      <c r="A3871" s="45" t="s">
        <v>3899</v>
      </c>
      <c r="B3871" s="46" t="s">
        <v>15576</v>
      </c>
      <c r="C3871">
        <v>9</v>
      </c>
      <c r="D3871">
        <v>56</v>
      </c>
    </row>
    <row r="3872" spans="1:4" x14ac:dyDescent="0.25">
      <c r="A3872" s="45" t="s">
        <v>3900</v>
      </c>
      <c r="B3872" s="46" t="s">
        <v>15577</v>
      </c>
      <c r="C3872">
        <v>9</v>
      </c>
      <c r="D3872">
        <v>56</v>
      </c>
    </row>
    <row r="3873" spans="1:4" x14ac:dyDescent="0.25">
      <c r="A3873" s="45" t="s">
        <v>3901</v>
      </c>
      <c r="B3873" s="46" t="s">
        <v>15578</v>
      </c>
      <c r="C3873">
        <v>9</v>
      </c>
      <c r="D3873">
        <v>56</v>
      </c>
    </row>
    <row r="3874" spans="1:4" x14ac:dyDescent="0.25">
      <c r="A3874" s="45" t="s">
        <v>3902</v>
      </c>
      <c r="B3874" s="46" t="s">
        <v>15579</v>
      </c>
      <c r="C3874">
        <v>9</v>
      </c>
      <c r="D3874">
        <v>56</v>
      </c>
    </row>
    <row r="3875" spans="1:4" x14ac:dyDescent="0.25">
      <c r="A3875" s="45" t="s">
        <v>3903</v>
      </c>
      <c r="B3875" s="46" t="s">
        <v>15580</v>
      </c>
      <c r="C3875">
        <v>9</v>
      </c>
      <c r="D3875">
        <v>56</v>
      </c>
    </row>
    <row r="3876" spans="1:4" x14ac:dyDescent="0.25">
      <c r="A3876" s="45" t="s">
        <v>3904</v>
      </c>
      <c r="B3876" s="46" t="s">
        <v>15581</v>
      </c>
      <c r="C3876">
        <v>9</v>
      </c>
      <c r="D3876">
        <v>56</v>
      </c>
    </row>
    <row r="3877" spans="1:4" x14ac:dyDescent="0.25">
      <c r="A3877" s="45" t="s">
        <v>3905</v>
      </c>
      <c r="B3877" s="46" t="s">
        <v>15582</v>
      </c>
      <c r="C3877">
        <v>9</v>
      </c>
      <c r="D3877">
        <v>56</v>
      </c>
    </row>
    <row r="3878" spans="1:4" x14ac:dyDescent="0.25">
      <c r="A3878" s="45" t="s">
        <v>3906</v>
      </c>
      <c r="B3878" s="46" t="s">
        <v>15583</v>
      </c>
      <c r="C3878">
        <v>9</v>
      </c>
      <c r="D3878">
        <v>56</v>
      </c>
    </row>
    <row r="3879" spans="1:4" x14ac:dyDescent="0.25">
      <c r="A3879" s="45" t="s">
        <v>3907</v>
      </c>
      <c r="B3879" s="46" t="s">
        <v>15584</v>
      </c>
      <c r="C3879">
        <v>9</v>
      </c>
      <c r="D3879">
        <v>56</v>
      </c>
    </row>
    <row r="3880" spans="1:4" x14ac:dyDescent="0.25">
      <c r="A3880" s="45" t="s">
        <v>3908</v>
      </c>
      <c r="B3880" s="46" t="s">
        <v>15585</v>
      </c>
      <c r="C3880">
        <v>9</v>
      </c>
      <c r="D3880">
        <v>56</v>
      </c>
    </row>
    <row r="3881" spans="1:4" x14ac:dyDescent="0.25">
      <c r="A3881" s="45" t="s">
        <v>3909</v>
      </c>
      <c r="B3881" s="46" t="s">
        <v>15586</v>
      </c>
      <c r="C3881">
        <v>9</v>
      </c>
      <c r="D3881">
        <v>56</v>
      </c>
    </row>
    <row r="3882" spans="1:4" x14ac:dyDescent="0.25">
      <c r="A3882" s="45" t="s">
        <v>3910</v>
      </c>
      <c r="B3882" s="46" t="s">
        <v>15587</v>
      </c>
      <c r="C3882">
        <v>9</v>
      </c>
      <c r="D3882">
        <v>56</v>
      </c>
    </row>
    <row r="3883" spans="1:4" x14ac:dyDescent="0.25">
      <c r="A3883" s="45" t="s">
        <v>3911</v>
      </c>
      <c r="B3883" s="46" t="s">
        <v>15588</v>
      </c>
      <c r="C3883">
        <v>9</v>
      </c>
      <c r="D3883">
        <v>56</v>
      </c>
    </row>
    <row r="3884" spans="1:4" x14ac:dyDescent="0.25">
      <c r="A3884" s="45" t="s">
        <v>3912</v>
      </c>
      <c r="B3884" s="46" t="s">
        <v>20075</v>
      </c>
      <c r="C3884">
        <v>9</v>
      </c>
      <c r="D3884">
        <v>56</v>
      </c>
    </row>
    <row r="3885" spans="1:4" x14ac:dyDescent="0.25">
      <c r="A3885" s="45" t="s">
        <v>3913</v>
      </c>
      <c r="B3885" s="46" t="s">
        <v>20076</v>
      </c>
      <c r="C3885">
        <v>9</v>
      </c>
      <c r="D3885">
        <v>56</v>
      </c>
    </row>
    <row r="3886" spans="1:4" x14ac:dyDescent="0.25">
      <c r="A3886" s="45" t="s">
        <v>3914</v>
      </c>
      <c r="B3886" s="46" t="s">
        <v>20077</v>
      </c>
      <c r="C3886">
        <v>9</v>
      </c>
      <c r="D3886">
        <v>56</v>
      </c>
    </row>
    <row r="3887" spans="1:4" x14ac:dyDescent="0.25">
      <c r="A3887" s="45" t="s">
        <v>3915</v>
      </c>
      <c r="B3887" s="46" t="s">
        <v>20078</v>
      </c>
      <c r="C3887">
        <v>9</v>
      </c>
      <c r="D3887">
        <v>56</v>
      </c>
    </row>
    <row r="3888" spans="1:4" x14ac:dyDescent="0.25">
      <c r="A3888" s="45" t="s">
        <v>3916</v>
      </c>
      <c r="B3888" s="46" t="s">
        <v>20079</v>
      </c>
      <c r="C3888">
        <v>9</v>
      </c>
      <c r="D3888">
        <v>56</v>
      </c>
    </row>
    <row r="3889" spans="1:4" x14ac:dyDescent="0.25">
      <c r="A3889" s="45" t="s">
        <v>3917</v>
      </c>
      <c r="B3889" s="46" t="s">
        <v>20080</v>
      </c>
      <c r="C3889">
        <v>9</v>
      </c>
      <c r="D3889">
        <v>56</v>
      </c>
    </row>
    <row r="3890" spans="1:4" x14ac:dyDescent="0.25">
      <c r="A3890" s="45" t="s">
        <v>3918</v>
      </c>
      <c r="B3890" s="46" t="s">
        <v>20081</v>
      </c>
      <c r="C3890">
        <v>9</v>
      </c>
      <c r="D3890">
        <v>56</v>
      </c>
    </row>
    <row r="3891" spans="1:4" x14ac:dyDescent="0.25">
      <c r="A3891" s="45" t="s">
        <v>3919</v>
      </c>
      <c r="B3891" s="46" t="s">
        <v>20082</v>
      </c>
      <c r="C3891">
        <v>9</v>
      </c>
      <c r="D3891">
        <v>56</v>
      </c>
    </row>
    <row r="3892" spans="1:4" x14ac:dyDescent="0.25">
      <c r="A3892" s="45" t="s">
        <v>3920</v>
      </c>
      <c r="B3892" s="46" t="s">
        <v>20083</v>
      </c>
      <c r="C3892">
        <v>9</v>
      </c>
      <c r="D3892">
        <v>56</v>
      </c>
    </row>
    <row r="3893" spans="1:4" x14ac:dyDescent="0.25">
      <c r="A3893" s="45" t="s">
        <v>3921</v>
      </c>
      <c r="B3893" s="46" t="s">
        <v>20084</v>
      </c>
      <c r="C3893">
        <v>9</v>
      </c>
      <c r="D3893">
        <v>56</v>
      </c>
    </row>
    <row r="3894" spans="1:4" x14ac:dyDescent="0.25">
      <c r="A3894" s="45" t="s">
        <v>3922</v>
      </c>
      <c r="B3894" s="46" t="s">
        <v>20085</v>
      </c>
      <c r="C3894">
        <v>9</v>
      </c>
      <c r="D3894">
        <v>56</v>
      </c>
    </row>
    <row r="3895" spans="1:4" x14ac:dyDescent="0.25">
      <c r="A3895" s="45" t="s">
        <v>3923</v>
      </c>
      <c r="B3895" s="46" t="s">
        <v>20086</v>
      </c>
      <c r="C3895">
        <v>9</v>
      </c>
      <c r="D3895">
        <v>56</v>
      </c>
    </row>
    <row r="3896" spans="1:4" x14ac:dyDescent="0.25">
      <c r="A3896" s="45" t="s">
        <v>3924</v>
      </c>
      <c r="B3896" s="46" t="s">
        <v>20087</v>
      </c>
      <c r="C3896">
        <v>9</v>
      </c>
      <c r="D3896">
        <v>56</v>
      </c>
    </row>
    <row r="3897" spans="1:4" x14ac:dyDescent="0.25">
      <c r="A3897" s="45" t="s">
        <v>3925</v>
      </c>
      <c r="B3897" s="46" t="s">
        <v>20088</v>
      </c>
      <c r="C3897">
        <v>9</v>
      </c>
      <c r="D3897">
        <v>56</v>
      </c>
    </row>
    <row r="3898" spans="1:4" x14ac:dyDescent="0.25">
      <c r="A3898" s="45" t="s">
        <v>3926</v>
      </c>
      <c r="B3898" s="46" t="s">
        <v>20089</v>
      </c>
      <c r="C3898">
        <v>9</v>
      </c>
      <c r="D3898">
        <v>56</v>
      </c>
    </row>
    <row r="3899" spans="1:4" x14ac:dyDescent="0.25">
      <c r="A3899" s="45" t="s">
        <v>3927</v>
      </c>
      <c r="B3899" s="46" t="s">
        <v>20090</v>
      </c>
      <c r="C3899">
        <v>9</v>
      </c>
      <c r="D3899">
        <v>56</v>
      </c>
    </row>
    <row r="3900" spans="1:4" x14ac:dyDescent="0.25">
      <c r="A3900" s="45" t="s">
        <v>3928</v>
      </c>
      <c r="B3900" s="46" t="s">
        <v>20091</v>
      </c>
      <c r="C3900">
        <v>9</v>
      </c>
      <c r="D3900">
        <v>56</v>
      </c>
    </row>
    <row r="3901" spans="1:4" x14ac:dyDescent="0.25">
      <c r="A3901" s="45" t="s">
        <v>3929</v>
      </c>
      <c r="B3901" s="46" t="s">
        <v>20092</v>
      </c>
      <c r="C3901">
        <v>9</v>
      </c>
      <c r="D3901">
        <v>56</v>
      </c>
    </row>
    <row r="3902" spans="1:4" x14ac:dyDescent="0.25">
      <c r="A3902" s="45" t="s">
        <v>3930</v>
      </c>
      <c r="B3902" s="46" t="s">
        <v>20093</v>
      </c>
      <c r="C3902">
        <v>9</v>
      </c>
      <c r="D3902">
        <v>56</v>
      </c>
    </row>
    <row r="3903" spans="1:4" x14ac:dyDescent="0.25">
      <c r="A3903" s="45" t="s">
        <v>3931</v>
      </c>
      <c r="B3903" s="46" t="s">
        <v>20094</v>
      </c>
      <c r="C3903">
        <v>9</v>
      </c>
      <c r="D3903">
        <v>56</v>
      </c>
    </row>
    <row r="3904" spans="1:4" x14ac:dyDescent="0.25">
      <c r="A3904" s="45" t="s">
        <v>3932</v>
      </c>
      <c r="B3904" s="46" t="s">
        <v>20095</v>
      </c>
      <c r="C3904">
        <v>9</v>
      </c>
      <c r="D3904">
        <v>56</v>
      </c>
    </row>
    <row r="3905" spans="1:4" x14ac:dyDescent="0.25">
      <c r="A3905" s="45" t="s">
        <v>3933</v>
      </c>
      <c r="B3905" s="46" t="s">
        <v>20096</v>
      </c>
      <c r="C3905">
        <v>9</v>
      </c>
      <c r="D3905">
        <v>56</v>
      </c>
    </row>
    <row r="3906" spans="1:4" x14ac:dyDescent="0.25">
      <c r="A3906" s="45" t="s">
        <v>3934</v>
      </c>
      <c r="B3906" s="46" t="s">
        <v>20097</v>
      </c>
      <c r="C3906">
        <v>9</v>
      </c>
      <c r="D3906">
        <v>56</v>
      </c>
    </row>
    <row r="3907" spans="1:4" x14ac:dyDescent="0.25">
      <c r="A3907" s="45" t="s">
        <v>3935</v>
      </c>
      <c r="B3907" s="46" t="s">
        <v>20098</v>
      </c>
      <c r="C3907">
        <v>9</v>
      </c>
      <c r="D3907">
        <v>56</v>
      </c>
    </row>
    <row r="3908" spans="1:4" x14ac:dyDescent="0.25">
      <c r="A3908" s="45" t="s">
        <v>3936</v>
      </c>
      <c r="B3908" s="46" t="s">
        <v>20099</v>
      </c>
      <c r="C3908">
        <v>9</v>
      </c>
      <c r="D3908">
        <v>56</v>
      </c>
    </row>
    <row r="3909" spans="1:4" x14ac:dyDescent="0.25">
      <c r="A3909" s="45" t="s">
        <v>3937</v>
      </c>
      <c r="B3909" s="46" t="s">
        <v>20100</v>
      </c>
      <c r="C3909">
        <v>9</v>
      </c>
      <c r="D3909">
        <v>56</v>
      </c>
    </row>
    <row r="3910" spans="1:4" x14ac:dyDescent="0.25">
      <c r="A3910" s="45" t="s">
        <v>3938</v>
      </c>
      <c r="B3910" s="46" t="s">
        <v>20101</v>
      </c>
      <c r="C3910">
        <v>9</v>
      </c>
      <c r="D3910">
        <v>56</v>
      </c>
    </row>
    <row r="3911" spans="1:4" x14ac:dyDescent="0.25">
      <c r="A3911" s="45" t="s">
        <v>3939</v>
      </c>
      <c r="B3911" s="46" t="s">
        <v>20102</v>
      </c>
      <c r="C3911">
        <v>9</v>
      </c>
      <c r="D3911">
        <v>56</v>
      </c>
    </row>
    <row r="3912" spans="1:4" x14ac:dyDescent="0.25">
      <c r="A3912" s="45" t="s">
        <v>3940</v>
      </c>
      <c r="B3912" s="46" t="s">
        <v>20103</v>
      </c>
      <c r="C3912">
        <v>9</v>
      </c>
      <c r="D3912">
        <v>56</v>
      </c>
    </row>
    <row r="3913" spans="1:4" x14ac:dyDescent="0.25">
      <c r="A3913" s="45" t="s">
        <v>3941</v>
      </c>
      <c r="B3913" s="46" t="s">
        <v>20104</v>
      </c>
      <c r="C3913">
        <v>9</v>
      </c>
      <c r="D3913">
        <v>56</v>
      </c>
    </row>
    <row r="3914" spans="1:4" x14ac:dyDescent="0.25">
      <c r="A3914" s="45" t="s">
        <v>3942</v>
      </c>
      <c r="B3914" s="46" t="s">
        <v>20105</v>
      </c>
      <c r="C3914">
        <v>9</v>
      </c>
      <c r="D3914">
        <v>56</v>
      </c>
    </row>
    <row r="3915" spans="1:4" x14ac:dyDescent="0.25">
      <c r="A3915" s="45" t="s">
        <v>3943</v>
      </c>
      <c r="B3915" s="46" t="s">
        <v>20106</v>
      </c>
      <c r="C3915">
        <v>9</v>
      </c>
      <c r="D3915">
        <v>56</v>
      </c>
    </row>
    <row r="3916" spans="1:4" x14ac:dyDescent="0.25">
      <c r="A3916" s="45" t="s">
        <v>3944</v>
      </c>
      <c r="B3916" s="46" t="s">
        <v>20107</v>
      </c>
      <c r="C3916">
        <v>9</v>
      </c>
      <c r="D3916">
        <v>56</v>
      </c>
    </row>
    <row r="3917" spans="1:4" x14ac:dyDescent="0.25">
      <c r="A3917" s="45" t="s">
        <v>3945</v>
      </c>
      <c r="B3917" s="46" t="s">
        <v>20108</v>
      </c>
      <c r="C3917">
        <v>9</v>
      </c>
      <c r="D3917">
        <v>56</v>
      </c>
    </row>
    <row r="3918" spans="1:4" x14ac:dyDescent="0.25">
      <c r="A3918" s="45" t="s">
        <v>3946</v>
      </c>
      <c r="B3918" s="46" t="s">
        <v>20109</v>
      </c>
      <c r="C3918">
        <v>9</v>
      </c>
      <c r="D3918">
        <v>56</v>
      </c>
    </row>
    <row r="3919" spans="1:4" x14ac:dyDescent="0.25">
      <c r="A3919" s="45" t="s">
        <v>3947</v>
      </c>
      <c r="B3919" s="46" t="s">
        <v>20110</v>
      </c>
      <c r="C3919">
        <v>9</v>
      </c>
      <c r="D3919">
        <v>56</v>
      </c>
    </row>
    <row r="3920" spans="1:4" x14ac:dyDescent="0.25">
      <c r="A3920" s="45" t="s">
        <v>3948</v>
      </c>
      <c r="B3920" s="46" t="s">
        <v>20111</v>
      </c>
      <c r="C3920">
        <v>9</v>
      </c>
      <c r="D3920">
        <v>56</v>
      </c>
    </row>
    <row r="3921" spans="1:4" x14ac:dyDescent="0.25">
      <c r="A3921" s="45" t="s">
        <v>3949</v>
      </c>
      <c r="B3921" s="46" t="s">
        <v>20112</v>
      </c>
      <c r="C3921">
        <v>9</v>
      </c>
      <c r="D3921">
        <v>56</v>
      </c>
    </row>
    <row r="3922" spans="1:4" x14ac:dyDescent="0.25">
      <c r="A3922" s="45" t="s">
        <v>3950</v>
      </c>
      <c r="B3922" s="46" t="s">
        <v>20113</v>
      </c>
      <c r="C3922">
        <v>9</v>
      </c>
      <c r="D3922">
        <v>56</v>
      </c>
    </row>
    <row r="3923" spans="1:4" x14ac:dyDescent="0.25">
      <c r="A3923" s="45" t="s">
        <v>3951</v>
      </c>
      <c r="B3923" s="46" t="s">
        <v>15589</v>
      </c>
      <c r="C3923">
        <v>9</v>
      </c>
      <c r="D3923">
        <v>56</v>
      </c>
    </row>
    <row r="3924" spans="1:4" x14ac:dyDescent="0.25">
      <c r="A3924" s="45" t="s">
        <v>3952</v>
      </c>
      <c r="B3924" s="46" t="s">
        <v>15590</v>
      </c>
      <c r="C3924">
        <v>9</v>
      </c>
      <c r="D3924">
        <v>56</v>
      </c>
    </row>
    <row r="3925" spans="1:4" x14ac:dyDescent="0.25">
      <c r="A3925" s="45" t="s">
        <v>3953</v>
      </c>
      <c r="B3925" s="46" t="s">
        <v>15591</v>
      </c>
      <c r="C3925">
        <v>9</v>
      </c>
      <c r="D3925">
        <v>56</v>
      </c>
    </row>
    <row r="3926" spans="1:4" x14ac:dyDescent="0.25">
      <c r="A3926" s="45" t="s">
        <v>3954</v>
      </c>
      <c r="B3926" s="46" t="s">
        <v>20114</v>
      </c>
      <c r="C3926">
        <v>9</v>
      </c>
      <c r="D3926">
        <v>56</v>
      </c>
    </row>
    <row r="3927" spans="1:4" x14ac:dyDescent="0.25">
      <c r="A3927" s="45" t="s">
        <v>3955</v>
      </c>
      <c r="B3927" s="46" t="s">
        <v>15592</v>
      </c>
      <c r="C3927">
        <v>9</v>
      </c>
      <c r="D3927">
        <v>56</v>
      </c>
    </row>
    <row r="3928" spans="1:4" x14ac:dyDescent="0.25">
      <c r="A3928" s="45" t="s">
        <v>3956</v>
      </c>
      <c r="B3928" s="46" t="s">
        <v>15593</v>
      </c>
      <c r="C3928">
        <v>9</v>
      </c>
      <c r="D3928">
        <v>56</v>
      </c>
    </row>
    <row r="3929" spans="1:4" x14ac:dyDescent="0.25">
      <c r="A3929" s="45" t="s">
        <v>3957</v>
      </c>
      <c r="B3929" s="46" t="s">
        <v>15594</v>
      </c>
      <c r="C3929">
        <v>9</v>
      </c>
      <c r="D3929">
        <v>56</v>
      </c>
    </row>
    <row r="3930" spans="1:4" x14ac:dyDescent="0.25">
      <c r="A3930" s="45" t="s">
        <v>3958</v>
      </c>
      <c r="B3930" s="46" t="s">
        <v>15595</v>
      </c>
      <c r="C3930">
        <v>9</v>
      </c>
      <c r="D3930">
        <v>56</v>
      </c>
    </row>
    <row r="3931" spans="1:4" x14ac:dyDescent="0.25">
      <c r="A3931" s="45" t="s">
        <v>3959</v>
      </c>
      <c r="B3931" s="46" t="s">
        <v>15596</v>
      </c>
      <c r="C3931">
        <v>9</v>
      </c>
      <c r="D3931">
        <v>56</v>
      </c>
    </row>
    <row r="3932" spans="1:4" x14ac:dyDescent="0.25">
      <c r="A3932" s="45" t="s">
        <v>3960</v>
      </c>
      <c r="B3932" s="46" t="s">
        <v>15597</v>
      </c>
      <c r="C3932">
        <v>9</v>
      </c>
      <c r="D3932">
        <v>56</v>
      </c>
    </row>
    <row r="3933" spans="1:4" x14ac:dyDescent="0.25">
      <c r="A3933" s="45" t="s">
        <v>3961</v>
      </c>
      <c r="B3933" s="46" t="s">
        <v>15598</v>
      </c>
      <c r="C3933">
        <v>9</v>
      </c>
      <c r="D3933">
        <v>56</v>
      </c>
    </row>
    <row r="3934" spans="1:4" x14ac:dyDescent="0.25">
      <c r="A3934" s="45" t="s">
        <v>3962</v>
      </c>
      <c r="B3934" s="46" t="s">
        <v>15599</v>
      </c>
      <c r="C3934">
        <v>9</v>
      </c>
      <c r="D3934">
        <v>56</v>
      </c>
    </row>
    <row r="3935" spans="1:4" x14ac:dyDescent="0.25">
      <c r="A3935" s="45" t="s">
        <v>3963</v>
      </c>
      <c r="B3935" s="46" t="s">
        <v>15600</v>
      </c>
      <c r="C3935">
        <v>9</v>
      </c>
      <c r="D3935">
        <v>56</v>
      </c>
    </row>
    <row r="3936" spans="1:4" x14ac:dyDescent="0.25">
      <c r="A3936" s="45" t="s">
        <v>3964</v>
      </c>
      <c r="B3936" s="46" t="s">
        <v>15601</v>
      </c>
      <c r="C3936">
        <v>9</v>
      </c>
      <c r="D3936">
        <v>56</v>
      </c>
    </row>
    <row r="3937" spans="1:4" x14ac:dyDescent="0.25">
      <c r="A3937" s="45" t="s">
        <v>3965</v>
      </c>
      <c r="B3937" s="46" t="s">
        <v>15602</v>
      </c>
      <c r="C3937">
        <v>9</v>
      </c>
      <c r="D3937">
        <v>56</v>
      </c>
    </row>
    <row r="3938" spans="1:4" x14ac:dyDescent="0.25">
      <c r="A3938" s="45" t="s">
        <v>3966</v>
      </c>
      <c r="B3938" s="46" t="s">
        <v>15603</v>
      </c>
      <c r="C3938">
        <v>9</v>
      </c>
      <c r="D3938">
        <v>56</v>
      </c>
    </row>
    <row r="3939" spans="1:4" x14ac:dyDescent="0.25">
      <c r="A3939" s="45" t="s">
        <v>3967</v>
      </c>
      <c r="B3939" s="46" t="s">
        <v>15604</v>
      </c>
      <c r="C3939">
        <v>9</v>
      </c>
      <c r="D3939">
        <v>56</v>
      </c>
    </row>
    <row r="3940" spans="1:4" x14ac:dyDescent="0.25">
      <c r="A3940" s="45" t="s">
        <v>3968</v>
      </c>
      <c r="B3940" s="46" t="s">
        <v>15605</v>
      </c>
      <c r="C3940">
        <v>9</v>
      </c>
      <c r="D3940">
        <v>56</v>
      </c>
    </row>
    <row r="3941" spans="1:4" x14ac:dyDescent="0.25">
      <c r="A3941" s="45" t="s">
        <v>3969</v>
      </c>
      <c r="B3941" s="46" t="s">
        <v>20115</v>
      </c>
      <c r="C3941">
        <v>9</v>
      </c>
      <c r="D3941">
        <v>57</v>
      </c>
    </row>
    <row r="3942" spans="1:4" x14ac:dyDescent="0.25">
      <c r="A3942" s="45" t="s">
        <v>3970</v>
      </c>
      <c r="B3942" s="46" t="s">
        <v>15606</v>
      </c>
      <c r="C3942">
        <v>9</v>
      </c>
      <c r="D3942">
        <v>57</v>
      </c>
    </row>
    <row r="3943" spans="1:4" x14ac:dyDescent="0.25">
      <c r="A3943" s="45" t="s">
        <v>3971</v>
      </c>
      <c r="B3943" s="46" t="s">
        <v>15607</v>
      </c>
      <c r="C3943">
        <v>9</v>
      </c>
      <c r="D3943">
        <v>57</v>
      </c>
    </row>
    <row r="3944" spans="1:4" x14ac:dyDescent="0.25">
      <c r="A3944" s="45" t="s">
        <v>3972</v>
      </c>
      <c r="B3944" s="46" t="s">
        <v>15608</v>
      </c>
      <c r="C3944">
        <v>9</v>
      </c>
      <c r="D3944">
        <v>57</v>
      </c>
    </row>
    <row r="3945" spans="1:4" x14ac:dyDescent="0.25">
      <c r="A3945" s="45" t="s">
        <v>3973</v>
      </c>
      <c r="B3945" s="46" t="s">
        <v>15609</v>
      </c>
      <c r="C3945">
        <v>9</v>
      </c>
      <c r="D3945">
        <v>57</v>
      </c>
    </row>
    <row r="3946" spans="1:4" x14ac:dyDescent="0.25">
      <c r="A3946" s="45" t="s">
        <v>3974</v>
      </c>
      <c r="B3946" s="46" t="s">
        <v>15610</v>
      </c>
      <c r="C3946">
        <v>9</v>
      </c>
      <c r="D3946">
        <v>57</v>
      </c>
    </row>
    <row r="3947" spans="1:4" x14ac:dyDescent="0.25">
      <c r="A3947" s="45" t="s">
        <v>3975</v>
      </c>
      <c r="B3947" s="46" t="s">
        <v>15611</v>
      </c>
      <c r="C3947">
        <v>9</v>
      </c>
      <c r="D3947">
        <v>57</v>
      </c>
    </row>
    <row r="3948" spans="1:4" x14ac:dyDescent="0.25">
      <c r="A3948" s="45" t="s">
        <v>3976</v>
      </c>
      <c r="B3948" s="46" t="s">
        <v>15612</v>
      </c>
      <c r="C3948">
        <v>9</v>
      </c>
      <c r="D3948">
        <v>57</v>
      </c>
    </row>
    <row r="3949" spans="1:4" x14ac:dyDescent="0.25">
      <c r="A3949" s="45" t="s">
        <v>3977</v>
      </c>
      <c r="B3949" s="46" t="s">
        <v>15613</v>
      </c>
      <c r="C3949">
        <v>9</v>
      </c>
      <c r="D3949">
        <v>57</v>
      </c>
    </row>
    <row r="3950" spans="1:4" x14ac:dyDescent="0.25">
      <c r="A3950" s="45" t="s">
        <v>3978</v>
      </c>
      <c r="B3950" s="46" t="s">
        <v>15614</v>
      </c>
      <c r="C3950">
        <v>9</v>
      </c>
      <c r="D3950">
        <v>57</v>
      </c>
    </row>
    <row r="3951" spans="1:4" x14ac:dyDescent="0.25">
      <c r="A3951" s="45" t="s">
        <v>3979</v>
      </c>
      <c r="B3951" s="46" t="s">
        <v>15615</v>
      </c>
      <c r="C3951">
        <v>9</v>
      </c>
      <c r="D3951">
        <v>57</v>
      </c>
    </row>
    <row r="3952" spans="1:4" x14ac:dyDescent="0.25">
      <c r="A3952" s="45" t="s">
        <v>3980</v>
      </c>
      <c r="B3952" s="46" t="s">
        <v>15616</v>
      </c>
      <c r="C3952">
        <v>9</v>
      </c>
      <c r="D3952">
        <v>58</v>
      </c>
    </row>
    <row r="3953" spans="1:4" x14ac:dyDescent="0.25">
      <c r="A3953" s="45" t="s">
        <v>3981</v>
      </c>
      <c r="B3953" s="46" t="s">
        <v>15617</v>
      </c>
      <c r="C3953">
        <v>9</v>
      </c>
      <c r="D3953">
        <v>58</v>
      </c>
    </row>
    <row r="3954" spans="1:4" x14ac:dyDescent="0.25">
      <c r="A3954" s="45" t="s">
        <v>3982</v>
      </c>
      <c r="B3954" s="46" t="s">
        <v>15618</v>
      </c>
      <c r="C3954">
        <v>9</v>
      </c>
      <c r="D3954">
        <v>58</v>
      </c>
    </row>
    <row r="3955" spans="1:4" x14ac:dyDescent="0.25">
      <c r="A3955" s="45" t="s">
        <v>3983</v>
      </c>
      <c r="B3955" s="46" t="s">
        <v>15619</v>
      </c>
      <c r="C3955">
        <v>9</v>
      </c>
      <c r="D3955">
        <v>58</v>
      </c>
    </row>
    <row r="3956" spans="1:4" x14ac:dyDescent="0.25">
      <c r="A3956" s="45" t="s">
        <v>3984</v>
      </c>
      <c r="B3956" s="46" t="s">
        <v>20116</v>
      </c>
      <c r="C3956">
        <v>9</v>
      </c>
      <c r="D3956">
        <v>58</v>
      </c>
    </row>
    <row r="3957" spans="1:4" x14ac:dyDescent="0.25">
      <c r="A3957" s="45" t="s">
        <v>3985</v>
      </c>
      <c r="B3957" s="46" t="s">
        <v>15620</v>
      </c>
      <c r="C3957">
        <v>9</v>
      </c>
      <c r="D3957">
        <v>58</v>
      </c>
    </row>
    <row r="3958" spans="1:4" x14ac:dyDescent="0.25">
      <c r="A3958" s="45" t="s">
        <v>3986</v>
      </c>
      <c r="B3958" s="46" t="s">
        <v>20117</v>
      </c>
      <c r="C3958">
        <v>9</v>
      </c>
      <c r="D3958">
        <v>58</v>
      </c>
    </row>
    <row r="3959" spans="1:4" x14ac:dyDescent="0.25">
      <c r="A3959" s="45" t="s">
        <v>3987</v>
      </c>
      <c r="B3959" s="46" t="s">
        <v>15621</v>
      </c>
      <c r="C3959">
        <v>9</v>
      </c>
      <c r="D3959">
        <v>58</v>
      </c>
    </row>
    <row r="3960" spans="1:4" x14ac:dyDescent="0.25">
      <c r="A3960" s="45" t="s">
        <v>3988</v>
      </c>
      <c r="B3960" s="46" t="s">
        <v>20118</v>
      </c>
      <c r="C3960">
        <v>9</v>
      </c>
      <c r="D3960">
        <v>58</v>
      </c>
    </row>
    <row r="3961" spans="1:4" x14ac:dyDescent="0.25">
      <c r="A3961" s="45" t="s">
        <v>3989</v>
      </c>
      <c r="B3961" s="46" t="s">
        <v>15622</v>
      </c>
      <c r="C3961">
        <v>9</v>
      </c>
      <c r="D3961">
        <v>58</v>
      </c>
    </row>
    <row r="3962" spans="1:4" x14ac:dyDescent="0.25">
      <c r="A3962" s="45" t="s">
        <v>3990</v>
      </c>
      <c r="B3962" s="46" t="s">
        <v>15623</v>
      </c>
      <c r="C3962">
        <v>9</v>
      </c>
      <c r="D3962">
        <v>58</v>
      </c>
    </row>
    <row r="3963" spans="1:4" x14ac:dyDescent="0.25">
      <c r="A3963" s="45" t="s">
        <v>3991</v>
      </c>
      <c r="B3963" s="46" t="s">
        <v>15624</v>
      </c>
      <c r="C3963">
        <v>9</v>
      </c>
      <c r="D3963">
        <v>58</v>
      </c>
    </row>
    <row r="3964" spans="1:4" x14ac:dyDescent="0.25">
      <c r="A3964" s="45" t="s">
        <v>3992</v>
      </c>
      <c r="B3964" s="46" t="s">
        <v>20119</v>
      </c>
      <c r="C3964">
        <v>9</v>
      </c>
      <c r="D3964">
        <v>58</v>
      </c>
    </row>
    <row r="3965" spans="1:4" x14ac:dyDescent="0.25">
      <c r="A3965" s="45" t="s">
        <v>3993</v>
      </c>
      <c r="B3965" s="46" t="s">
        <v>15625</v>
      </c>
      <c r="C3965">
        <v>9</v>
      </c>
      <c r="D3965">
        <v>58</v>
      </c>
    </row>
    <row r="3966" spans="1:4" x14ac:dyDescent="0.25">
      <c r="A3966" s="45" t="s">
        <v>3994</v>
      </c>
      <c r="B3966" s="46" t="s">
        <v>20120</v>
      </c>
      <c r="C3966">
        <v>9</v>
      </c>
      <c r="D3966">
        <v>58</v>
      </c>
    </row>
    <row r="3967" spans="1:4" x14ac:dyDescent="0.25">
      <c r="A3967" s="45" t="s">
        <v>3995</v>
      </c>
      <c r="B3967" s="46" t="s">
        <v>15626</v>
      </c>
      <c r="C3967">
        <v>9</v>
      </c>
      <c r="D3967">
        <v>58</v>
      </c>
    </row>
    <row r="3968" spans="1:4" x14ac:dyDescent="0.25">
      <c r="A3968" s="45" t="s">
        <v>3996</v>
      </c>
      <c r="B3968" s="46" t="s">
        <v>15627</v>
      </c>
      <c r="C3968">
        <v>9</v>
      </c>
      <c r="D3968">
        <v>58</v>
      </c>
    </row>
    <row r="3969" spans="1:4" x14ac:dyDescent="0.25">
      <c r="A3969" s="45" t="s">
        <v>3997</v>
      </c>
      <c r="B3969" s="46" t="s">
        <v>15628</v>
      </c>
      <c r="C3969">
        <v>9</v>
      </c>
      <c r="D3969">
        <v>58</v>
      </c>
    </row>
    <row r="3970" spans="1:4" x14ac:dyDescent="0.25">
      <c r="A3970" s="45" t="s">
        <v>3998</v>
      </c>
      <c r="B3970" s="46" t="s">
        <v>15629</v>
      </c>
      <c r="C3970">
        <v>9</v>
      </c>
      <c r="D3970">
        <v>58</v>
      </c>
    </row>
    <row r="3971" spans="1:4" x14ac:dyDescent="0.25">
      <c r="A3971" s="45" t="s">
        <v>3999</v>
      </c>
      <c r="B3971" s="46" t="s">
        <v>15630</v>
      </c>
      <c r="C3971">
        <v>9</v>
      </c>
      <c r="D3971">
        <v>58</v>
      </c>
    </row>
    <row r="3972" spans="1:4" x14ac:dyDescent="0.25">
      <c r="A3972" s="45" t="s">
        <v>4000</v>
      </c>
      <c r="B3972" s="46" t="s">
        <v>15631</v>
      </c>
      <c r="C3972">
        <v>9</v>
      </c>
      <c r="D3972">
        <v>58</v>
      </c>
    </row>
    <row r="3973" spans="1:4" x14ac:dyDescent="0.25">
      <c r="A3973" s="45" t="s">
        <v>4001</v>
      </c>
      <c r="B3973" s="46" t="s">
        <v>15632</v>
      </c>
      <c r="C3973">
        <v>9</v>
      </c>
      <c r="D3973">
        <v>58</v>
      </c>
    </row>
    <row r="3974" spans="1:4" x14ac:dyDescent="0.25">
      <c r="A3974" s="45" t="s">
        <v>4002</v>
      </c>
      <c r="B3974" s="46" t="s">
        <v>15633</v>
      </c>
      <c r="C3974">
        <v>9</v>
      </c>
      <c r="D3974">
        <v>58</v>
      </c>
    </row>
    <row r="3975" spans="1:4" x14ac:dyDescent="0.25">
      <c r="A3975" s="45" t="s">
        <v>4003</v>
      </c>
      <c r="B3975" s="46" t="s">
        <v>20121</v>
      </c>
      <c r="C3975">
        <v>9</v>
      </c>
      <c r="D3975">
        <v>58</v>
      </c>
    </row>
    <row r="3976" spans="1:4" x14ac:dyDescent="0.25">
      <c r="A3976" s="45" t="s">
        <v>4004</v>
      </c>
      <c r="B3976" s="46" t="s">
        <v>20122</v>
      </c>
      <c r="C3976">
        <v>9</v>
      </c>
      <c r="D3976">
        <v>58</v>
      </c>
    </row>
    <row r="3977" spans="1:4" x14ac:dyDescent="0.25">
      <c r="A3977" s="45" t="s">
        <v>4005</v>
      </c>
      <c r="B3977" s="46" t="s">
        <v>15634</v>
      </c>
      <c r="C3977">
        <v>9</v>
      </c>
      <c r="D3977">
        <v>58</v>
      </c>
    </row>
    <row r="3978" spans="1:4" x14ac:dyDescent="0.25">
      <c r="A3978" s="45" t="s">
        <v>4006</v>
      </c>
      <c r="B3978" s="46" t="s">
        <v>20123</v>
      </c>
      <c r="C3978">
        <v>9</v>
      </c>
      <c r="D3978">
        <v>58</v>
      </c>
    </row>
    <row r="3979" spans="1:4" x14ac:dyDescent="0.25">
      <c r="A3979" s="45" t="s">
        <v>4007</v>
      </c>
      <c r="B3979" s="46" t="s">
        <v>15635</v>
      </c>
      <c r="C3979">
        <v>9</v>
      </c>
      <c r="D3979">
        <v>59</v>
      </c>
    </row>
    <row r="3980" spans="1:4" x14ac:dyDescent="0.25">
      <c r="A3980" s="45" t="s">
        <v>4008</v>
      </c>
      <c r="B3980" s="46" t="s">
        <v>15636</v>
      </c>
      <c r="C3980">
        <v>9</v>
      </c>
      <c r="D3980">
        <v>59</v>
      </c>
    </row>
    <row r="3981" spans="1:4" x14ac:dyDescent="0.25">
      <c r="A3981" s="45" t="s">
        <v>4009</v>
      </c>
      <c r="B3981" s="46" t="s">
        <v>15637</v>
      </c>
      <c r="C3981">
        <v>9</v>
      </c>
      <c r="D3981">
        <v>59</v>
      </c>
    </row>
    <row r="3982" spans="1:4" x14ac:dyDescent="0.25">
      <c r="A3982" s="45" t="s">
        <v>4010</v>
      </c>
      <c r="B3982" s="46" t="s">
        <v>15638</v>
      </c>
      <c r="C3982">
        <v>9</v>
      </c>
      <c r="D3982">
        <v>59</v>
      </c>
    </row>
    <row r="3983" spans="1:4" x14ac:dyDescent="0.25">
      <c r="A3983" s="45" t="s">
        <v>4011</v>
      </c>
      <c r="B3983" s="46" t="s">
        <v>15639</v>
      </c>
      <c r="C3983">
        <v>9</v>
      </c>
      <c r="D3983">
        <v>59</v>
      </c>
    </row>
    <row r="3984" spans="1:4" x14ac:dyDescent="0.25">
      <c r="A3984" s="45" t="s">
        <v>4012</v>
      </c>
      <c r="B3984" s="46" t="s">
        <v>15640</v>
      </c>
      <c r="C3984">
        <v>9</v>
      </c>
      <c r="D3984">
        <v>59</v>
      </c>
    </row>
    <row r="3985" spans="1:4" x14ac:dyDescent="0.25">
      <c r="A3985" s="45" t="s">
        <v>4013</v>
      </c>
      <c r="B3985" s="46" t="s">
        <v>15641</v>
      </c>
      <c r="C3985">
        <v>9</v>
      </c>
      <c r="D3985">
        <v>59</v>
      </c>
    </row>
    <row r="3986" spans="1:4" x14ac:dyDescent="0.25">
      <c r="A3986" s="45" t="s">
        <v>4014</v>
      </c>
      <c r="B3986" s="46" t="s">
        <v>15642</v>
      </c>
      <c r="C3986">
        <v>9</v>
      </c>
      <c r="D3986">
        <v>59</v>
      </c>
    </row>
    <row r="3987" spans="1:4" x14ac:dyDescent="0.25">
      <c r="A3987" s="45" t="s">
        <v>4015</v>
      </c>
      <c r="B3987" s="46" t="s">
        <v>15643</v>
      </c>
      <c r="C3987">
        <v>9</v>
      </c>
      <c r="D3987">
        <v>59</v>
      </c>
    </row>
    <row r="3988" spans="1:4" x14ac:dyDescent="0.25">
      <c r="A3988" s="45" t="s">
        <v>4016</v>
      </c>
      <c r="B3988" s="46" t="s">
        <v>15644</v>
      </c>
      <c r="C3988">
        <v>9</v>
      </c>
      <c r="D3988">
        <v>59</v>
      </c>
    </row>
    <row r="3989" spans="1:4" x14ac:dyDescent="0.25">
      <c r="A3989" s="45" t="s">
        <v>4017</v>
      </c>
      <c r="B3989" s="46" t="s">
        <v>15645</v>
      </c>
      <c r="C3989">
        <v>9</v>
      </c>
      <c r="D3989">
        <v>59</v>
      </c>
    </row>
    <row r="3990" spans="1:4" x14ac:dyDescent="0.25">
      <c r="A3990" s="45" t="s">
        <v>4018</v>
      </c>
      <c r="B3990" s="46" t="s">
        <v>15646</v>
      </c>
      <c r="C3990">
        <v>9</v>
      </c>
      <c r="D3990">
        <v>59</v>
      </c>
    </row>
    <row r="3991" spans="1:4" x14ac:dyDescent="0.25">
      <c r="A3991" s="45" t="s">
        <v>4019</v>
      </c>
      <c r="B3991" s="46" t="s">
        <v>15647</v>
      </c>
      <c r="C3991">
        <v>9</v>
      </c>
      <c r="D3991">
        <v>59</v>
      </c>
    </row>
    <row r="3992" spans="1:4" x14ac:dyDescent="0.25">
      <c r="A3992" s="45" t="s">
        <v>4020</v>
      </c>
      <c r="B3992" s="46" t="s">
        <v>15648</v>
      </c>
      <c r="C3992">
        <v>9</v>
      </c>
      <c r="D3992">
        <v>59</v>
      </c>
    </row>
    <row r="3993" spans="1:4" x14ac:dyDescent="0.25">
      <c r="A3993" s="45" t="s">
        <v>4021</v>
      </c>
      <c r="B3993" s="46" t="s">
        <v>15649</v>
      </c>
      <c r="C3993">
        <v>9</v>
      </c>
      <c r="D3993">
        <v>59</v>
      </c>
    </row>
    <row r="3994" spans="1:4" x14ac:dyDescent="0.25">
      <c r="A3994" s="45" t="s">
        <v>4022</v>
      </c>
      <c r="B3994" s="46" t="s">
        <v>15650</v>
      </c>
      <c r="C3994">
        <v>9</v>
      </c>
      <c r="D3994">
        <v>59</v>
      </c>
    </row>
    <row r="3995" spans="1:4" x14ac:dyDescent="0.25">
      <c r="A3995" s="45" t="s">
        <v>4023</v>
      </c>
      <c r="B3995" s="46" t="s">
        <v>15651</v>
      </c>
      <c r="C3995">
        <v>9</v>
      </c>
      <c r="D3995">
        <v>56</v>
      </c>
    </row>
    <row r="3996" spans="1:4" x14ac:dyDescent="0.25">
      <c r="A3996" s="45" t="s">
        <v>4024</v>
      </c>
      <c r="B3996" s="46" t="s">
        <v>15652</v>
      </c>
      <c r="C3996">
        <v>9</v>
      </c>
      <c r="D3996">
        <v>59</v>
      </c>
    </row>
    <row r="3997" spans="1:4" x14ac:dyDescent="0.25">
      <c r="A3997" s="45" t="s">
        <v>4025</v>
      </c>
      <c r="B3997" s="46" t="s">
        <v>15653</v>
      </c>
      <c r="C3997">
        <v>9</v>
      </c>
      <c r="D3997">
        <v>59</v>
      </c>
    </row>
    <row r="3998" spans="1:4" x14ac:dyDescent="0.25">
      <c r="A3998" s="45" t="s">
        <v>4026</v>
      </c>
      <c r="B3998" s="46" t="s">
        <v>15654</v>
      </c>
      <c r="C3998">
        <v>9</v>
      </c>
      <c r="D3998">
        <v>59</v>
      </c>
    </row>
    <row r="3999" spans="1:4" x14ac:dyDescent="0.25">
      <c r="A3999" s="45" t="s">
        <v>4027</v>
      </c>
      <c r="B3999" s="46" t="s">
        <v>15655</v>
      </c>
      <c r="C3999">
        <v>9</v>
      </c>
      <c r="D3999">
        <v>59</v>
      </c>
    </row>
    <row r="4000" spans="1:4" x14ac:dyDescent="0.25">
      <c r="A4000" s="45" t="s">
        <v>4028</v>
      </c>
      <c r="B4000" s="46" t="s">
        <v>15656</v>
      </c>
      <c r="C4000">
        <v>9</v>
      </c>
      <c r="D4000">
        <v>59</v>
      </c>
    </row>
    <row r="4001" spans="1:4" x14ac:dyDescent="0.25">
      <c r="A4001" s="45" t="s">
        <v>4029</v>
      </c>
      <c r="B4001" s="46" t="s">
        <v>15657</v>
      </c>
      <c r="C4001">
        <v>9</v>
      </c>
      <c r="D4001">
        <v>60</v>
      </c>
    </row>
    <row r="4002" spans="1:4" x14ac:dyDescent="0.25">
      <c r="A4002" s="45" t="s">
        <v>4030</v>
      </c>
      <c r="B4002" s="46" t="s">
        <v>15658</v>
      </c>
      <c r="C4002">
        <v>9</v>
      </c>
      <c r="D4002">
        <v>60</v>
      </c>
    </row>
    <row r="4003" spans="1:4" x14ac:dyDescent="0.25">
      <c r="A4003" s="45" t="s">
        <v>4031</v>
      </c>
      <c r="B4003" s="46" t="s">
        <v>15659</v>
      </c>
      <c r="C4003">
        <v>9</v>
      </c>
      <c r="D4003">
        <v>60</v>
      </c>
    </row>
    <row r="4004" spans="1:4" x14ac:dyDescent="0.25">
      <c r="A4004" s="45" t="s">
        <v>4032</v>
      </c>
      <c r="B4004" s="46" t="s">
        <v>15660</v>
      </c>
      <c r="C4004">
        <v>9</v>
      </c>
      <c r="D4004">
        <v>60</v>
      </c>
    </row>
    <row r="4005" spans="1:4" x14ac:dyDescent="0.25">
      <c r="A4005" s="45" t="s">
        <v>4033</v>
      </c>
      <c r="B4005" s="46" t="s">
        <v>15661</v>
      </c>
      <c r="C4005">
        <v>9</v>
      </c>
      <c r="D4005">
        <v>60</v>
      </c>
    </row>
    <row r="4006" spans="1:4" x14ac:dyDescent="0.25">
      <c r="A4006" s="45" t="s">
        <v>4034</v>
      </c>
      <c r="B4006" s="46" t="s">
        <v>15662</v>
      </c>
      <c r="C4006">
        <v>9</v>
      </c>
      <c r="D4006">
        <v>60</v>
      </c>
    </row>
    <row r="4007" spans="1:4" x14ac:dyDescent="0.25">
      <c r="A4007" s="45" t="s">
        <v>4035</v>
      </c>
      <c r="B4007" s="46" t="s">
        <v>15663</v>
      </c>
      <c r="C4007">
        <v>9</v>
      </c>
      <c r="D4007">
        <v>60</v>
      </c>
    </row>
    <row r="4008" spans="1:4" x14ac:dyDescent="0.25">
      <c r="A4008" s="45" t="s">
        <v>4036</v>
      </c>
      <c r="B4008" s="46" t="s">
        <v>15664</v>
      </c>
      <c r="C4008">
        <v>9</v>
      </c>
      <c r="D4008">
        <v>60</v>
      </c>
    </row>
    <row r="4009" spans="1:4" x14ac:dyDescent="0.25">
      <c r="A4009" s="45" t="s">
        <v>4037</v>
      </c>
      <c r="B4009" s="46" t="s">
        <v>20124</v>
      </c>
      <c r="C4009">
        <v>9</v>
      </c>
      <c r="D4009">
        <v>60</v>
      </c>
    </row>
    <row r="4010" spans="1:4" x14ac:dyDescent="0.25">
      <c r="A4010" s="45" t="s">
        <v>4038</v>
      </c>
      <c r="B4010" s="46" t="s">
        <v>15665</v>
      </c>
      <c r="C4010">
        <v>9</v>
      </c>
      <c r="D4010">
        <v>60</v>
      </c>
    </row>
    <row r="4011" spans="1:4" x14ac:dyDescent="0.25">
      <c r="A4011" s="45" t="s">
        <v>4039</v>
      </c>
      <c r="B4011" s="46" t="s">
        <v>15666</v>
      </c>
      <c r="C4011">
        <v>9</v>
      </c>
      <c r="D4011">
        <v>60</v>
      </c>
    </row>
    <row r="4012" spans="1:4" x14ac:dyDescent="0.25">
      <c r="A4012" s="45" t="s">
        <v>4040</v>
      </c>
      <c r="B4012" s="46" t="s">
        <v>20125</v>
      </c>
      <c r="C4012">
        <v>9</v>
      </c>
      <c r="D4012">
        <v>60</v>
      </c>
    </row>
    <row r="4013" spans="1:4" x14ac:dyDescent="0.25">
      <c r="A4013" s="45" t="s">
        <v>4041</v>
      </c>
      <c r="B4013" s="46" t="s">
        <v>20126</v>
      </c>
      <c r="C4013">
        <v>9</v>
      </c>
      <c r="D4013">
        <v>60</v>
      </c>
    </row>
    <row r="4014" spans="1:4" x14ac:dyDescent="0.25">
      <c r="A4014" s="45" t="s">
        <v>4042</v>
      </c>
      <c r="B4014" s="46" t="s">
        <v>15667</v>
      </c>
      <c r="C4014">
        <v>9</v>
      </c>
      <c r="D4014">
        <v>60</v>
      </c>
    </row>
    <row r="4015" spans="1:4" x14ac:dyDescent="0.25">
      <c r="A4015" s="45" t="s">
        <v>4043</v>
      </c>
      <c r="B4015" s="46" t="s">
        <v>20127</v>
      </c>
      <c r="C4015">
        <v>9</v>
      </c>
      <c r="D4015">
        <v>60</v>
      </c>
    </row>
    <row r="4016" spans="1:4" x14ac:dyDescent="0.25">
      <c r="A4016" s="45" t="s">
        <v>4044</v>
      </c>
      <c r="B4016" s="46" t="s">
        <v>15668</v>
      </c>
      <c r="C4016">
        <v>9</v>
      </c>
      <c r="D4016">
        <v>60</v>
      </c>
    </row>
    <row r="4017" spans="1:4" x14ac:dyDescent="0.25">
      <c r="A4017" s="45" t="s">
        <v>4045</v>
      </c>
      <c r="B4017" s="46" t="s">
        <v>20128</v>
      </c>
      <c r="C4017">
        <v>9</v>
      </c>
      <c r="D4017">
        <v>60</v>
      </c>
    </row>
    <row r="4018" spans="1:4" x14ac:dyDescent="0.25">
      <c r="A4018" s="45" t="s">
        <v>4046</v>
      </c>
      <c r="B4018" s="46" t="s">
        <v>20129</v>
      </c>
      <c r="C4018">
        <v>9</v>
      </c>
      <c r="D4018">
        <v>60</v>
      </c>
    </row>
    <row r="4019" spans="1:4" x14ac:dyDescent="0.25">
      <c r="A4019" s="45" t="s">
        <v>4047</v>
      </c>
      <c r="B4019" s="46" t="s">
        <v>20130</v>
      </c>
      <c r="C4019">
        <v>9</v>
      </c>
      <c r="D4019">
        <v>60</v>
      </c>
    </row>
    <row r="4020" spans="1:4" x14ac:dyDescent="0.25">
      <c r="A4020" s="45" t="s">
        <v>4048</v>
      </c>
      <c r="B4020" s="46" t="s">
        <v>15669</v>
      </c>
      <c r="C4020">
        <v>9</v>
      </c>
      <c r="D4020">
        <v>60</v>
      </c>
    </row>
    <row r="4021" spans="1:4" x14ac:dyDescent="0.25">
      <c r="A4021" s="45" t="s">
        <v>4049</v>
      </c>
      <c r="B4021" s="46" t="s">
        <v>15670</v>
      </c>
      <c r="C4021">
        <v>9</v>
      </c>
      <c r="D4021">
        <v>60</v>
      </c>
    </row>
    <row r="4022" spans="1:4" x14ac:dyDescent="0.25">
      <c r="A4022" s="45" t="s">
        <v>4050</v>
      </c>
      <c r="B4022" s="46" t="s">
        <v>15671</v>
      </c>
      <c r="C4022">
        <v>9</v>
      </c>
      <c r="D4022">
        <v>60</v>
      </c>
    </row>
    <row r="4023" spans="1:4" x14ac:dyDescent="0.25">
      <c r="A4023" s="45" t="s">
        <v>4051</v>
      </c>
      <c r="B4023" s="46" t="s">
        <v>15672</v>
      </c>
      <c r="C4023">
        <v>9</v>
      </c>
      <c r="D4023">
        <v>60</v>
      </c>
    </row>
    <row r="4024" spans="1:4" x14ac:dyDescent="0.25">
      <c r="A4024" s="45" t="s">
        <v>4052</v>
      </c>
      <c r="B4024" s="46" t="s">
        <v>15673</v>
      </c>
      <c r="C4024">
        <v>9</v>
      </c>
      <c r="D4024">
        <v>60</v>
      </c>
    </row>
    <row r="4025" spans="1:4" x14ac:dyDescent="0.25">
      <c r="A4025" s="45" t="s">
        <v>4053</v>
      </c>
      <c r="B4025" s="46" t="s">
        <v>15674</v>
      </c>
      <c r="C4025">
        <v>9</v>
      </c>
      <c r="D4025">
        <v>56</v>
      </c>
    </row>
    <row r="4026" spans="1:4" x14ac:dyDescent="0.25">
      <c r="A4026" s="45" t="s">
        <v>4054</v>
      </c>
      <c r="B4026" s="46" t="s">
        <v>15675</v>
      </c>
      <c r="C4026">
        <v>9</v>
      </c>
      <c r="D4026">
        <v>60</v>
      </c>
    </row>
    <row r="4027" spans="1:4" x14ac:dyDescent="0.25">
      <c r="A4027" s="45" t="s">
        <v>4055</v>
      </c>
      <c r="B4027" s="46" t="s">
        <v>15676</v>
      </c>
      <c r="C4027">
        <v>9</v>
      </c>
      <c r="D4027">
        <v>60</v>
      </c>
    </row>
    <row r="4028" spans="1:4" x14ac:dyDescent="0.25">
      <c r="A4028" s="45" t="s">
        <v>4056</v>
      </c>
      <c r="B4028" s="46" t="s">
        <v>15677</v>
      </c>
      <c r="C4028">
        <v>9</v>
      </c>
      <c r="D4028">
        <v>60</v>
      </c>
    </row>
    <row r="4029" spans="1:4" x14ac:dyDescent="0.25">
      <c r="A4029" s="45" t="s">
        <v>4057</v>
      </c>
      <c r="B4029" s="46" t="s">
        <v>15678</v>
      </c>
      <c r="C4029">
        <v>9</v>
      </c>
      <c r="D4029">
        <v>60</v>
      </c>
    </row>
    <row r="4030" spans="1:4" x14ac:dyDescent="0.25">
      <c r="A4030" s="45" t="s">
        <v>4058</v>
      </c>
      <c r="B4030" s="46" t="s">
        <v>15679</v>
      </c>
      <c r="C4030">
        <v>9</v>
      </c>
      <c r="D4030">
        <v>60</v>
      </c>
    </row>
    <row r="4031" spans="1:4" x14ac:dyDescent="0.25">
      <c r="A4031" s="45" t="s">
        <v>4059</v>
      </c>
      <c r="B4031" s="46" t="s">
        <v>15680</v>
      </c>
      <c r="C4031">
        <v>9</v>
      </c>
      <c r="D4031">
        <v>60</v>
      </c>
    </row>
    <row r="4032" spans="1:4" x14ac:dyDescent="0.25">
      <c r="A4032" s="45" t="s">
        <v>4060</v>
      </c>
      <c r="B4032" s="46" t="s">
        <v>20131</v>
      </c>
      <c r="C4032">
        <v>9</v>
      </c>
      <c r="D4032">
        <v>60</v>
      </c>
    </row>
    <row r="4033" spans="1:4" x14ac:dyDescent="0.25">
      <c r="A4033" s="45" t="s">
        <v>4061</v>
      </c>
      <c r="B4033" s="46" t="s">
        <v>15681</v>
      </c>
      <c r="C4033">
        <v>9</v>
      </c>
      <c r="D4033">
        <v>60</v>
      </c>
    </row>
    <row r="4034" spans="1:4" x14ac:dyDescent="0.25">
      <c r="A4034" s="45" t="s">
        <v>4062</v>
      </c>
      <c r="B4034" s="46" t="s">
        <v>15682</v>
      </c>
      <c r="C4034">
        <v>9</v>
      </c>
      <c r="D4034">
        <v>60</v>
      </c>
    </row>
    <row r="4035" spans="1:4" x14ac:dyDescent="0.25">
      <c r="A4035" s="45" t="s">
        <v>4063</v>
      </c>
      <c r="B4035" s="46" t="s">
        <v>15683</v>
      </c>
      <c r="C4035">
        <v>9</v>
      </c>
      <c r="D4035">
        <v>60</v>
      </c>
    </row>
    <row r="4036" spans="1:4" x14ac:dyDescent="0.25">
      <c r="A4036" s="45" t="s">
        <v>4064</v>
      </c>
      <c r="B4036" s="46" t="s">
        <v>15684</v>
      </c>
      <c r="C4036">
        <v>9</v>
      </c>
      <c r="D4036">
        <v>60</v>
      </c>
    </row>
    <row r="4037" spans="1:4" x14ac:dyDescent="0.25">
      <c r="A4037" s="45" t="s">
        <v>4065</v>
      </c>
      <c r="B4037" s="46" t="s">
        <v>15685</v>
      </c>
      <c r="C4037">
        <v>9</v>
      </c>
      <c r="D4037">
        <v>60</v>
      </c>
    </row>
    <row r="4038" spans="1:4" x14ac:dyDescent="0.25">
      <c r="A4038" s="45" t="s">
        <v>4066</v>
      </c>
      <c r="B4038" s="46" t="s">
        <v>15686</v>
      </c>
      <c r="C4038">
        <v>9</v>
      </c>
      <c r="D4038">
        <v>60</v>
      </c>
    </row>
    <row r="4039" spans="1:4" x14ac:dyDescent="0.25">
      <c r="A4039" s="45" t="s">
        <v>4067</v>
      </c>
      <c r="B4039" s="46" t="s">
        <v>15687</v>
      </c>
      <c r="C4039">
        <v>9</v>
      </c>
      <c r="D4039">
        <v>60</v>
      </c>
    </row>
    <row r="4040" spans="1:4" x14ac:dyDescent="0.25">
      <c r="A4040" s="45" t="s">
        <v>4068</v>
      </c>
      <c r="B4040" s="46" t="s">
        <v>15688</v>
      </c>
      <c r="C4040">
        <v>9</v>
      </c>
      <c r="D4040">
        <v>60</v>
      </c>
    </row>
    <row r="4041" spans="1:4" x14ac:dyDescent="0.25">
      <c r="A4041" s="45" t="s">
        <v>4069</v>
      </c>
      <c r="B4041" s="46" t="s">
        <v>15689</v>
      </c>
      <c r="C4041">
        <v>9</v>
      </c>
      <c r="D4041">
        <v>60</v>
      </c>
    </row>
    <row r="4042" spans="1:4" x14ac:dyDescent="0.25">
      <c r="A4042" s="45" t="s">
        <v>4070</v>
      </c>
      <c r="B4042" s="46" t="s">
        <v>15690</v>
      </c>
      <c r="C4042">
        <v>9</v>
      </c>
      <c r="D4042">
        <v>60</v>
      </c>
    </row>
    <row r="4043" spans="1:4" x14ac:dyDescent="0.25">
      <c r="A4043" s="45" t="s">
        <v>4071</v>
      </c>
      <c r="B4043" s="46" t="s">
        <v>15691</v>
      </c>
      <c r="C4043">
        <v>9</v>
      </c>
      <c r="D4043">
        <v>60</v>
      </c>
    </row>
    <row r="4044" spans="1:4" x14ac:dyDescent="0.25">
      <c r="A4044" s="45" t="s">
        <v>4072</v>
      </c>
      <c r="B4044" s="46" t="s">
        <v>15692</v>
      </c>
      <c r="C4044">
        <v>9</v>
      </c>
      <c r="D4044">
        <v>60</v>
      </c>
    </row>
    <row r="4045" spans="1:4" x14ac:dyDescent="0.25">
      <c r="A4045" s="45" t="s">
        <v>4073</v>
      </c>
      <c r="B4045" s="46" t="s">
        <v>15693</v>
      </c>
      <c r="C4045">
        <v>9</v>
      </c>
      <c r="D4045">
        <v>60</v>
      </c>
    </row>
    <row r="4046" spans="1:4" x14ac:dyDescent="0.25">
      <c r="A4046" s="45" t="s">
        <v>4074</v>
      </c>
      <c r="B4046" s="46" t="s">
        <v>15694</v>
      </c>
      <c r="C4046">
        <v>9</v>
      </c>
      <c r="D4046">
        <v>60</v>
      </c>
    </row>
    <row r="4047" spans="1:4" x14ac:dyDescent="0.25">
      <c r="A4047" s="45" t="s">
        <v>4075</v>
      </c>
      <c r="B4047" s="46" t="s">
        <v>15695</v>
      </c>
      <c r="C4047">
        <v>9</v>
      </c>
      <c r="D4047">
        <v>60</v>
      </c>
    </row>
    <row r="4048" spans="1:4" x14ac:dyDescent="0.25">
      <c r="A4048" s="45" t="s">
        <v>4076</v>
      </c>
      <c r="B4048" s="46" t="s">
        <v>15696</v>
      </c>
      <c r="C4048">
        <v>9</v>
      </c>
      <c r="D4048">
        <v>60</v>
      </c>
    </row>
    <row r="4049" spans="1:4" x14ac:dyDescent="0.25">
      <c r="A4049" s="45" t="s">
        <v>4077</v>
      </c>
      <c r="B4049" s="46" t="s">
        <v>15697</v>
      </c>
      <c r="C4049">
        <v>9</v>
      </c>
      <c r="D4049">
        <v>60</v>
      </c>
    </row>
    <row r="4050" spans="1:4" x14ac:dyDescent="0.25">
      <c r="A4050" s="45" t="s">
        <v>4078</v>
      </c>
      <c r="B4050" s="46" t="s">
        <v>15698</v>
      </c>
      <c r="C4050">
        <v>9</v>
      </c>
      <c r="D4050">
        <v>60</v>
      </c>
    </row>
    <row r="4051" spans="1:4" x14ac:dyDescent="0.25">
      <c r="A4051" s="45" t="s">
        <v>4079</v>
      </c>
      <c r="B4051" s="46" t="s">
        <v>15699</v>
      </c>
      <c r="C4051">
        <v>9</v>
      </c>
      <c r="D4051">
        <v>60</v>
      </c>
    </row>
    <row r="4052" spans="1:4" x14ac:dyDescent="0.25">
      <c r="A4052" s="45" t="s">
        <v>4080</v>
      </c>
      <c r="B4052" s="46" t="s">
        <v>15700</v>
      </c>
      <c r="C4052">
        <v>9</v>
      </c>
      <c r="D4052">
        <v>60</v>
      </c>
    </row>
    <row r="4053" spans="1:4" x14ac:dyDescent="0.25">
      <c r="A4053" s="45" t="s">
        <v>4081</v>
      </c>
      <c r="B4053" s="46" t="s">
        <v>15701</v>
      </c>
      <c r="C4053">
        <v>9</v>
      </c>
      <c r="D4053">
        <v>60</v>
      </c>
    </row>
    <row r="4054" spans="1:4" x14ac:dyDescent="0.25">
      <c r="A4054" s="45" t="s">
        <v>4082</v>
      </c>
      <c r="B4054" s="46" t="s">
        <v>15702</v>
      </c>
      <c r="C4054">
        <v>9</v>
      </c>
      <c r="D4054">
        <v>57</v>
      </c>
    </row>
    <row r="4055" spans="1:4" x14ac:dyDescent="0.25">
      <c r="A4055" s="45" t="s">
        <v>4083</v>
      </c>
      <c r="B4055" s="46" t="s">
        <v>20132</v>
      </c>
      <c r="C4055">
        <v>9</v>
      </c>
      <c r="D4055">
        <v>57</v>
      </c>
    </row>
    <row r="4056" spans="1:4" x14ac:dyDescent="0.25">
      <c r="A4056" s="45" t="s">
        <v>4084</v>
      </c>
      <c r="B4056" s="46" t="s">
        <v>15703</v>
      </c>
      <c r="C4056">
        <v>9</v>
      </c>
      <c r="D4056">
        <v>60</v>
      </c>
    </row>
    <row r="4057" spans="1:4" x14ac:dyDescent="0.25">
      <c r="A4057" s="45" t="s">
        <v>4085</v>
      </c>
      <c r="B4057" s="46" t="s">
        <v>15704</v>
      </c>
      <c r="C4057">
        <v>9</v>
      </c>
      <c r="D4057">
        <v>60</v>
      </c>
    </row>
    <row r="4058" spans="1:4" x14ac:dyDescent="0.25">
      <c r="A4058" s="45" t="s">
        <v>25890</v>
      </c>
      <c r="B4058" s="46" t="s">
        <v>25891</v>
      </c>
    </row>
    <row r="4059" spans="1:4" x14ac:dyDescent="0.25">
      <c r="A4059" s="45" t="s">
        <v>4086</v>
      </c>
      <c r="B4059" s="46" t="s">
        <v>15705</v>
      </c>
      <c r="C4059">
        <v>7</v>
      </c>
      <c r="D4059">
        <v>48</v>
      </c>
    </row>
    <row r="4060" spans="1:4" x14ac:dyDescent="0.25">
      <c r="A4060" s="45" t="s">
        <v>4087</v>
      </c>
      <c r="B4060" s="46" t="s">
        <v>15706</v>
      </c>
      <c r="C4060">
        <v>9</v>
      </c>
      <c r="D4060">
        <v>60</v>
      </c>
    </row>
    <row r="4061" spans="1:4" x14ac:dyDescent="0.25">
      <c r="A4061" s="45" t="s">
        <v>4088</v>
      </c>
      <c r="B4061" s="46" t="s">
        <v>15707</v>
      </c>
      <c r="C4061">
        <v>9</v>
      </c>
      <c r="D4061">
        <v>60</v>
      </c>
    </row>
    <row r="4062" spans="1:4" x14ac:dyDescent="0.25">
      <c r="A4062" s="45" t="s">
        <v>4089</v>
      </c>
      <c r="B4062" s="46" t="s">
        <v>15708</v>
      </c>
      <c r="C4062">
        <v>9</v>
      </c>
      <c r="D4062">
        <v>60</v>
      </c>
    </row>
    <row r="4063" spans="1:4" x14ac:dyDescent="0.25">
      <c r="A4063" s="45" t="s">
        <v>4090</v>
      </c>
      <c r="B4063" s="46" t="s">
        <v>15709</v>
      </c>
      <c r="C4063">
        <v>9</v>
      </c>
      <c r="D4063">
        <v>60</v>
      </c>
    </row>
    <row r="4064" spans="1:4" x14ac:dyDescent="0.25">
      <c r="A4064" s="45" t="s">
        <v>4091</v>
      </c>
      <c r="B4064" s="46" t="s">
        <v>15710</v>
      </c>
      <c r="C4064">
        <v>9</v>
      </c>
      <c r="D4064">
        <v>60</v>
      </c>
    </row>
    <row r="4065" spans="1:4" x14ac:dyDescent="0.25">
      <c r="A4065" s="45" t="s">
        <v>4092</v>
      </c>
      <c r="B4065" s="46" t="s">
        <v>15711</v>
      </c>
      <c r="C4065">
        <v>9</v>
      </c>
      <c r="D4065">
        <v>60</v>
      </c>
    </row>
    <row r="4066" spans="1:4" x14ac:dyDescent="0.25">
      <c r="A4066" s="45" t="s">
        <v>4093</v>
      </c>
      <c r="B4066" s="46" t="s">
        <v>20133</v>
      </c>
      <c r="C4066">
        <v>9</v>
      </c>
      <c r="D4066">
        <v>60</v>
      </c>
    </row>
    <row r="4067" spans="1:4" x14ac:dyDescent="0.25">
      <c r="A4067" s="45" t="s">
        <v>4094</v>
      </c>
      <c r="B4067" s="46" t="s">
        <v>20134</v>
      </c>
      <c r="C4067">
        <v>9</v>
      </c>
      <c r="D4067">
        <v>61</v>
      </c>
    </row>
    <row r="4068" spans="1:4" x14ac:dyDescent="0.25">
      <c r="A4068" s="45" t="s">
        <v>4095</v>
      </c>
      <c r="B4068" s="46" t="s">
        <v>20135</v>
      </c>
      <c r="C4068">
        <v>9</v>
      </c>
      <c r="D4068">
        <v>61</v>
      </c>
    </row>
    <row r="4069" spans="1:4" x14ac:dyDescent="0.25">
      <c r="A4069" s="45" t="s">
        <v>4096</v>
      </c>
      <c r="B4069" s="46" t="s">
        <v>20136</v>
      </c>
      <c r="C4069">
        <v>9</v>
      </c>
      <c r="D4069">
        <v>61</v>
      </c>
    </row>
    <row r="4070" spans="1:4" x14ac:dyDescent="0.25">
      <c r="A4070" s="45" t="s">
        <v>4097</v>
      </c>
      <c r="B4070" s="46" t="s">
        <v>20137</v>
      </c>
      <c r="C4070">
        <v>9</v>
      </c>
      <c r="D4070">
        <v>61</v>
      </c>
    </row>
    <row r="4071" spans="1:4" x14ac:dyDescent="0.25">
      <c r="A4071" s="45" t="s">
        <v>4098</v>
      </c>
      <c r="B4071" s="46" t="s">
        <v>15712</v>
      </c>
      <c r="C4071">
        <v>9</v>
      </c>
      <c r="D4071">
        <v>61</v>
      </c>
    </row>
    <row r="4072" spans="1:4" x14ac:dyDescent="0.25">
      <c r="A4072" s="45" t="s">
        <v>4099</v>
      </c>
      <c r="B4072" s="46" t="s">
        <v>15713</v>
      </c>
      <c r="C4072">
        <v>9</v>
      </c>
      <c r="D4072">
        <v>61</v>
      </c>
    </row>
    <row r="4073" spans="1:4" x14ac:dyDescent="0.25">
      <c r="A4073" s="45" t="s">
        <v>4100</v>
      </c>
      <c r="B4073" s="46" t="s">
        <v>15714</v>
      </c>
      <c r="C4073">
        <v>9</v>
      </c>
      <c r="D4073">
        <v>61</v>
      </c>
    </row>
    <row r="4074" spans="1:4" x14ac:dyDescent="0.25">
      <c r="A4074" s="45" t="s">
        <v>4101</v>
      </c>
      <c r="B4074" s="46" t="s">
        <v>15715</v>
      </c>
      <c r="C4074">
        <v>9</v>
      </c>
      <c r="D4074">
        <v>61</v>
      </c>
    </row>
    <row r="4075" spans="1:4" x14ac:dyDescent="0.25">
      <c r="A4075" s="45" t="s">
        <v>4102</v>
      </c>
      <c r="B4075" s="46" t="s">
        <v>15716</v>
      </c>
      <c r="C4075">
        <v>9</v>
      </c>
      <c r="D4075">
        <v>61</v>
      </c>
    </row>
    <row r="4076" spans="1:4" x14ac:dyDescent="0.25">
      <c r="A4076" s="45" t="s">
        <v>4103</v>
      </c>
      <c r="B4076" s="46" t="s">
        <v>15717</v>
      </c>
      <c r="C4076">
        <v>9</v>
      </c>
      <c r="D4076">
        <v>61</v>
      </c>
    </row>
    <row r="4077" spans="1:4" x14ac:dyDescent="0.25">
      <c r="A4077" s="45" t="s">
        <v>4104</v>
      </c>
      <c r="B4077" s="46" t="s">
        <v>15718</v>
      </c>
      <c r="C4077">
        <v>9</v>
      </c>
      <c r="D4077">
        <v>61</v>
      </c>
    </row>
    <row r="4078" spans="1:4" x14ac:dyDescent="0.25">
      <c r="A4078" s="45" t="s">
        <v>4105</v>
      </c>
      <c r="B4078" s="46" t="s">
        <v>20138</v>
      </c>
      <c r="C4078">
        <v>9</v>
      </c>
      <c r="D4078">
        <v>61</v>
      </c>
    </row>
    <row r="4079" spans="1:4" x14ac:dyDescent="0.25">
      <c r="A4079" s="45" t="s">
        <v>4106</v>
      </c>
      <c r="B4079" s="46" t="s">
        <v>20139</v>
      </c>
      <c r="C4079">
        <v>9</v>
      </c>
      <c r="D4079">
        <v>61</v>
      </c>
    </row>
    <row r="4080" spans="1:4" x14ac:dyDescent="0.25">
      <c r="A4080" s="45" t="s">
        <v>4107</v>
      </c>
      <c r="B4080" s="46" t="s">
        <v>20140</v>
      </c>
      <c r="C4080">
        <v>9</v>
      </c>
      <c r="D4080">
        <v>61</v>
      </c>
    </row>
    <row r="4081" spans="1:4" x14ac:dyDescent="0.25">
      <c r="A4081" s="45" t="s">
        <v>4108</v>
      </c>
      <c r="B4081" s="46" t="s">
        <v>20141</v>
      </c>
      <c r="C4081">
        <v>9</v>
      </c>
      <c r="D4081">
        <v>61</v>
      </c>
    </row>
    <row r="4082" spans="1:4" x14ac:dyDescent="0.25">
      <c r="A4082" s="45" t="s">
        <v>4109</v>
      </c>
      <c r="B4082" s="46" t="s">
        <v>20142</v>
      </c>
      <c r="C4082">
        <v>9</v>
      </c>
      <c r="D4082">
        <v>61</v>
      </c>
    </row>
    <row r="4083" spans="1:4" x14ac:dyDescent="0.25">
      <c r="A4083" s="45" t="s">
        <v>4110</v>
      </c>
      <c r="B4083" s="46" t="s">
        <v>20143</v>
      </c>
      <c r="C4083">
        <v>9</v>
      </c>
      <c r="D4083">
        <v>61</v>
      </c>
    </row>
    <row r="4084" spans="1:4" x14ac:dyDescent="0.25">
      <c r="A4084" s="45" t="s">
        <v>4111</v>
      </c>
      <c r="B4084" s="46" t="s">
        <v>20144</v>
      </c>
      <c r="C4084">
        <v>9</v>
      </c>
      <c r="D4084">
        <v>61</v>
      </c>
    </row>
    <row r="4085" spans="1:4" x14ac:dyDescent="0.25">
      <c r="A4085" s="45" t="s">
        <v>4112</v>
      </c>
      <c r="B4085" s="46" t="s">
        <v>20145</v>
      </c>
      <c r="C4085">
        <v>9</v>
      </c>
      <c r="D4085">
        <v>61</v>
      </c>
    </row>
    <row r="4086" spans="1:4" x14ac:dyDescent="0.25">
      <c r="A4086" s="45" t="s">
        <v>4113</v>
      </c>
      <c r="B4086" s="46" t="s">
        <v>15719</v>
      </c>
      <c r="C4086">
        <v>9</v>
      </c>
      <c r="D4086">
        <v>61</v>
      </c>
    </row>
    <row r="4087" spans="1:4" x14ac:dyDescent="0.25">
      <c r="A4087" s="45" t="s">
        <v>4114</v>
      </c>
      <c r="B4087" s="46" t="s">
        <v>15720</v>
      </c>
      <c r="C4087">
        <v>9</v>
      </c>
      <c r="D4087">
        <v>61</v>
      </c>
    </row>
    <row r="4088" spans="1:4" x14ac:dyDescent="0.25">
      <c r="A4088" s="45" t="s">
        <v>4115</v>
      </c>
      <c r="B4088" s="46" t="s">
        <v>15721</v>
      </c>
      <c r="C4088">
        <v>9</v>
      </c>
      <c r="D4088">
        <v>61</v>
      </c>
    </row>
    <row r="4089" spans="1:4" x14ac:dyDescent="0.25">
      <c r="A4089" s="45" t="s">
        <v>4116</v>
      </c>
      <c r="B4089" s="46" t="s">
        <v>15722</v>
      </c>
      <c r="C4089">
        <v>9</v>
      </c>
      <c r="D4089">
        <v>61</v>
      </c>
    </row>
    <row r="4090" spans="1:4" x14ac:dyDescent="0.25">
      <c r="A4090" s="45" t="s">
        <v>4117</v>
      </c>
      <c r="B4090" s="46" t="s">
        <v>15723</v>
      </c>
      <c r="C4090">
        <v>9</v>
      </c>
      <c r="D4090">
        <v>61</v>
      </c>
    </row>
    <row r="4091" spans="1:4" x14ac:dyDescent="0.25">
      <c r="A4091" s="45" t="s">
        <v>4118</v>
      </c>
      <c r="B4091" s="46" t="s">
        <v>15724</v>
      </c>
      <c r="C4091">
        <v>9</v>
      </c>
      <c r="D4091">
        <v>61</v>
      </c>
    </row>
    <row r="4092" spans="1:4" x14ac:dyDescent="0.25">
      <c r="A4092" s="45" t="s">
        <v>4119</v>
      </c>
      <c r="B4092" s="46" t="s">
        <v>15725</v>
      </c>
      <c r="C4092">
        <v>9</v>
      </c>
      <c r="D4092">
        <v>61</v>
      </c>
    </row>
    <row r="4093" spans="1:4" x14ac:dyDescent="0.25">
      <c r="A4093" s="45" t="s">
        <v>4120</v>
      </c>
      <c r="B4093" s="46" t="s">
        <v>15726</v>
      </c>
      <c r="C4093">
        <v>9</v>
      </c>
      <c r="D4093">
        <v>61</v>
      </c>
    </row>
    <row r="4094" spans="1:4" x14ac:dyDescent="0.25">
      <c r="A4094" s="45" t="s">
        <v>4121</v>
      </c>
      <c r="B4094" s="46" t="s">
        <v>15727</v>
      </c>
      <c r="C4094">
        <v>9</v>
      </c>
      <c r="D4094">
        <v>61</v>
      </c>
    </row>
    <row r="4095" spans="1:4" x14ac:dyDescent="0.25">
      <c r="A4095" s="45" t="s">
        <v>4122</v>
      </c>
      <c r="B4095" s="46" t="s">
        <v>15728</v>
      </c>
      <c r="C4095">
        <v>9</v>
      </c>
      <c r="D4095">
        <v>61</v>
      </c>
    </row>
    <row r="4096" spans="1:4" x14ac:dyDescent="0.25">
      <c r="A4096" s="45" t="s">
        <v>4123</v>
      </c>
      <c r="B4096" s="46" t="s">
        <v>15729</v>
      </c>
      <c r="C4096">
        <v>9</v>
      </c>
      <c r="D4096">
        <v>61</v>
      </c>
    </row>
    <row r="4097" spans="1:4" x14ac:dyDescent="0.25">
      <c r="A4097" s="45" t="s">
        <v>4124</v>
      </c>
      <c r="B4097" s="46" t="s">
        <v>15730</v>
      </c>
      <c r="C4097">
        <v>9</v>
      </c>
      <c r="D4097">
        <v>61</v>
      </c>
    </row>
    <row r="4098" spans="1:4" x14ac:dyDescent="0.25">
      <c r="A4098" s="45" t="s">
        <v>4125</v>
      </c>
      <c r="B4098" s="46" t="s">
        <v>15731</v>
      </c>
      <c r="C4098">
        <v>9</v>
      </c>
      <c r="D4098">
        <v>61</v>
      </c>
    </row>
    <row r="4099" spans="1:4" x14ac:dyDescent="0.25">
      <c r="A4099" s="45" t="s">
        <v>4126</v>
      </c>
      <c r="B4099" s="46" t="s">
        <v>15732</v>
      </c>
      <c r="C4099">
        <v>9</v>
      </c>
      <c r="D4099">
        <v>61</v>
      </c>
    </row>
    <row r="4100" spans="1:4" x14ac:dyDescent="0.25">
      <c r="A4100" s="45" t="s">
        <v>4127</v>
      </c>
      <c r="B4100" s="46" t="s">
        <v>15733</v>
      </c>
      <c r="C4100">
        <v>9</v>
      </c>
      <c r="D4100">
        <v>61</v>
      </c>
    </row>
    <row r="4101" spans="1:4" x14ac:dyDescent="0.25">
      <c r="A4101" s="45" t="s">
        <v>4128</v>
      </c>
      <c r="B4101" s="46" t="s">
        <v>20146</v>
      </c>
      <c r="C4101">
        <v>9</v>
      </c>
      <c r="D4101">
        <v>61</v>
      </c>
    </row>
    <row r="4102" spans="1:4" x14ac:dyDescent="0.25">
      <c r="A4102" s="45" t="s">
        <v>4129</v>
      </c>
      <c r="B4102" s="46" t="s">
        <v>15734</v>
      </c>
      <c r="C4102">
        <v>9</v>
      </c>
      <c r="D4102">
        <v>61</v>
      </c>
    </row>
    <row r="4103" spans="1:4" x14ac:dyDescent="0.25">
      <c r="A4103" s="45" t="s">
        <v>4130</v>
      </c>
      <c r="B4103" s="46" t="s">
        <v>15735</v>
      </c>
      <c r="C4103">
        <v>9</v>
      </c>
      <c r="D4103">
        <v>61</v>
      </c>
    </row>
    <row r="4104" spans="1:4" x14ac:dyDescent="0.25">
      <c r="A4104" s="45" t="s">
        <v>4131</v>
      </c>
      <c r="B4104" s="46" t="s">
        <v>15736</v>
      </c>
      <c r="C4104">
        <v>9</v>
      </c>
      <c r="D4104">
        <v>61</v>
      </c>
    </row>
    <row r="4105" spans="1:4" x14ac:dyDescent="0.25">
      <c r="A4105" s="45" t="s">
        <v>4132</v>
      </c>
      <c r="B4105" s="46" t="s">
        <v>15737</v>
      </c>
      <c r="C4105">
        <v>9</v>
      </c>
      <c r="D4105">
        <v>61</v>
      </c>
    </row>
    <row r="4106" spans="1:4" x14ac:dyDescent="0.25">
      <c r="A4106" s="45" t="s">
        <v>4133</v>
      </c>
      <c r="B4106" s="46" t="s">
        <v>20147</v>
      </c>
      <c r="C4106">
        <v>9</v>
      </c>
      <c r="D4106">
        <v>61</v>
      </c>
    </row>
    <row r="4107" spans="1:4" x14ac:dyDescent="0.25">
      <c r="A4107" s="45" t="s">
        <v>4134</v>
      </c>
      <c r="B4107" s="46" t="s">
        <v>15738</v>
      </c>
      <c r="C4107">
        <v>9</v>
      </c>
      <c r="D4107">
        <v>61</v>
      </c>
    </row>
    <row r="4108" spans="1:4" x14ac:dyDescent="0.25">
      <c r="A4108" s="45" t="s">
        <v>4135</v>
      </c>
      <c r="B4108" s="46" t="s">
        <v>15739</v>
      </c>
      <c r="C4108">
        <v>9</v>
      </c>
      <c r="D4108">
        <v>61</v>
      </c>
    </row>
    <row r="4109" spans="1:4" x14ac:dyDescent="0.25">
      <c r="A4109" s="45" t="s">
        <v>4136</v>
      </c>
      <c r="B4109" s="46" t="s">
        <v>15740</v>
      </c>
      <c r="C4109">
        <v>9</v>
      </c>
      <c r="D4109">
        <v>61</v>
      </c>
    </row>
    <row r="4110" spans="1:4" x14ac:dyDescent="0.25">
      <c r="A4110" s="45" t="s">
        <v>4137</v>
      </c>
      <c r="B4110" s="46" t="s">
        <v>15741</v>
      </c>
      <c r="C4110">
        <v>9</v>
      </c>
      <c r="D4110">
        <v>61</v>
      </c>
    </row>
    <row r="4111" spans="1:4" x14ac:dyDescent="0.25">
      <c r="A4111" s="45" t="s">
        <v>4138</v>
      </c>
      <c r="B4111" s="46" t="s">
        <v>15742</v>
      </c>
      <c r="C4111">
        <v>9</v>
      </c>
      <c r="D4111">
        <v>61</v>
      </c>
    </row>
    <row r="4112" spans="1:4" x14ac:dyDescent="0.25">
      <c r="A4112" s="45" t="s">
        <v>4139</v>
      </c>
      <c r="B4112" s="46" t="s">
        <v>15743</v>
      </c>
      <c r="C4112">
        <v>9</v>
      </c>
      <c r="D4112">
        <v>61</v>
      </c>
    </row>
    <row r="4113" spans="1:4" x14ac:dyDescent="0.25">
      <c r="A4113" s="45" t="s">
        <v>4140</v>
      </c>
      <c r="B4113" s="46" t="s">
        <v>15744</v>
      </c>
      <c r="C4113">
        <v>9</v>
      </c>
      <c r="D4113">
        <v>61</v>
      </c>
    </row>
    <row r="4114" spans="1:4" x14ac:dyDescent="0.25">
      <c r="A4114" s="45" t="s">
        <v>4141</v>
      </c>
      <c r="B4114" s="46" t="s">
        <v>15745</v>
      </c>
      <c r="C4114">
        <v>9</v>
      </c>
      <c r="D4114">
        <v>61</v>
      </c>
    </row>
    <row r="4115" spans="1:4" x14ac:dyDescent="0.25">
      <c r="A4115" s="45" t="s">
        <v>4142</v>
      </c>
      <c r="B4115" s="46" t="s">
        <v>15746</v>
      </c>
      <c r="C4115">
        <v>9</v>
      </c>
      <c r="D4115">
        <v>61</v>
      </c>
    </row>
    <row r="4116" spans="1:4" x14ac:dyDescent="0.25">
      <c r="A4116" s="45" t="s">
        <v>4143</v>
      </c>
      <c r="B4116" s="46" t="s">
        <v>15747</v>
      </c>
      <c r="C4116">
        <v>9</v>
      </c>
      <c r="D4116">
        <v>61</v>
      </c>
    </row>
    <row r="4117" spans="1:4" x14ac:dyDescent="0.25">
      <c r="A4117" s="45" t="s">
        <v>4144</v>
      </c>
      <c r="B4117" s="46" t="s">
        <v>20148</v>
      </c>
      <c r="C4117">
        <v>9</v>
      </c>
      <c r="D4117">
        <v>61</v>
      </c>
    </row>
    <row r="4118" spans="1:4" x14ac:dyDescent="0.25">
      <c r="A4118" s="45" t="s">
        <v>4145</v>
      </c>
      <c r="B4118" s="46" t="s">
        <v>15748</v>
      </c>
      <c r="C4118">
        <v>9</v>
      </c>
      <c r="D4118">
        <v>61</v>
      </c>
    </row>
    <row r="4119" spans="1:4" x14ac:dyDescent="0.25">
      <c r="A4119" s="45" t="s">
        <v>4146</v>
      </c>
      <c r="B4119" s="46" t="s">
        <v>20149</v>
      </c>
      <c r="C4119">
        <v>9</v>
      </c>
      <c r="D4119">
        <v>61</v>
      </c>
    </row>
    <row r="4120" spans="1:4" x14ac:dyDescent="0.25">
      <c r="A4120" s="45" t="s">
        <v>4147</v>
      </c>
      <c r="B4120" s="46" t="s">
        <v>20150</v>
      </c>
      <c r="C4120">
        <v>9</v>
      </c>
      <c r="D4120">
        <v>61</v>
      </c>
    </row>
    <row r="4121" spans="1:4" x14ac:dyDescent="0.25">
      <c r="A4121" s="45" t="s">
        <v>4148</v>
      </c>
      <c r="B4121" s="46" t="s">
        <v>15749</v>
      </c>
      <c r="C4121">
        <v>9</v>
      </c>
      <c r="D4121">
        <v>61</v>
      </c>
    </row>
    <row r="4122" spans="1:4" x14ac:dyDescent="0.25">
      <c r="A4122" s="45" t="s">
        <v>4149</v>
      </c>
      <c r="B4122" s="46" t="s">
        <v>15750</v>
      </c>
      <c r="C4122">
        <v>9</v>
      </c>
      <c r="D4122">
        <v>61</v>
      </c>
    </row>
    <row r="4123" spans="1:4" x14ac:dyDescent="0.25">
      <c r="A4123" s="45" t="s">
        <v>4150</v>
      </c>
      <c r="B4123" s="46" t="s">
        <v>15751</v>
      </c>
      <c r="C4123">
        <v>9</v>
      </c>
      <c r="D4123">
        <v>61</v>
      </c>
    </row>
    <row r="4124" spans="1:4" x14ac:dyDescent="0.25">
      <c r="A4124" s="45" t="s">
        <v>4151</v>
      </c>
      <c r="B4124" s="46" t="s">
        <v>15752</v>
      </c>
      <c r="C4124">
        <v>9</v>
      </c>
      <c r="D4124">
        <v>61</v>
      </c>
    </row>
    <row r="4125" spans="1:4" x14ac:dyDescent="0.25">
      <c r="A4125" s="45" t="s">
        <v>4152</v>
      </c>
      <c r="B4125" s="46" t="s">
        <v>15753</v>
      </c>
      <c r="C4125">
        <v>9</v>
      </c>
      <c r="D4125">
        <v>61</v>
      </c>
    </row>
    <row r="4126" spans="1:4" x14ac:dyDescent="0.25">
      <c r="A4126" s="45" t="s">
        <v>4153</v>
      </c>
      <c r="B4126" s="46" t="s">
        <v>15754</v>
      </c>
      <c r="C4126">
        <v>9</v>
      </c>
      <c r="D4126">
        <v>61</v>
      </c>
    </row>
    <row r="4127" spans="1:4" x14ac:dyDescent="0.25">
      <c r="A4127" s="45" t="s">
        <v>4154</v>
      </c>
      <c r="B4127" s="46" t="s">
        <v>15755</v>
      </c>
      <c r="C4127">
        <v>9</v>
      </c>
      <c r="D4127">
        <v>61</v>
      </c>
    </row>
    <row r="4128" spans="1:4" x14ac:dyDescent="0.25">
      <c r="A4128" s="45" t="s">
        <v>4155</v>
      </c>
      <c r="B4128" s="46" t="s">
        <v>15756</v>
      </c>
      <c r="C4128">
        <v>9</v>
      </c>
      <c r="D4128">
        <v>61</v>
      </c>
    </row>
    <row r="4129" spans="1:4" x14ac:dyDescent="0.25">
      <c r="A4129" s="45" t="s">
        <v>4156</v>
      </c>
      <c r="B4129" s="46" t="s">
        <v>15757</v>
      </c>
      <c r="C4129">
        <v>9</v>
      </c>
      <c r="D4129">
        <v>61</v>
      </c>
    </row>
    <row r="4130" spans="1:4" x14ac:dyDescent="0.25">
      <c r="A4130" s="45" t="s">
        <v>4157</v>
      </c>
      <c r="B4130" s="46" t="s">
        <v>15758</v>
      </c>
      <c r="C4130">
        <v>9</v>
      </c>
      <c r="D4130">
        <v>61</v>
      </c>
    </row>
    <row r="4131" spans="1:4" x14ac:dyDescent="0.25">
      <c r="A4131" s="45" t="s">
        <v>4158</v>
      </c>
      <c r="B4131" s="46" t="s">
        <v>15759</v>
      </c>
      <c r="C4131">
        <v>9</v>
      </c>
      <c r="D4131">
        <v>61</v>
      </c>
    </row>
    <row r="4132" spans="1:4" x14ac:dyDescent="0.25">
      <c r="A4132" s="45" t="s">
        <v>4159</v>
      </c>
      <c r="B4132" s="46" t="s">
        <v>15760</v>
      </c>
      <c r="C4132">
        <v>9</v>
      </c>
      <c r="D4132">
        <v>61</v>
      </c>
    </row>
    <row r="4133" spans="1:4" x14ac:dyDescent="0.25">
      <c r="A4133" s="45" t="s">
        <v>4160</v>
      </c>
      <c r="B4133" s="46" t="s">
        <v>15761</v>
      </c>
      <c r="C4133">
        <v>9</v>
      </c>
      <c r="D4133">
        <v>61</v>
      </c>
    </row>
    <row r="4134" spans="1:4" x14ac:dyDescent="0.25">
      <c r="A4134" s="45" t="s">
        <v>4161</v>
      </c>
      <c r="B4134" s="46" t="s">
        <v>15762</v>
      </c>
      <c r="C4134">
        <v>9</v>
      </c>
      <c r="D4134">
        <v>61</v>
      </c>
    </row>
    <row r="4135" spans="1:4" x14ac:dyDescent="0.25">
      <c r="A4135" s="45" t="s">
        <v>4162</v>
      </c>
      <c r="B4135" s="46" t="s">
        <v>15763</v>
      </c>
      <c r="C4135">
        <v>9</v>
      </c>
      <c r="D4135">
        <v>61</v>
      </c>
    </row>
    <row r="4136" spans="1:4" x14ac:dyDescent="0.25">
      <c r="A4136" s="45" t="s">
        <v>4163</v>
      </c>
      <c r="B4136" s="46" t="s">
        <v>15764</v>
      </c>
      <c r="C4136">
        <v>9</v>
      </c>
      <c r="D4136">
        <v>61</v>
      </c>
    </row>
    <row r="4137" spans="1:4" x14ac:dyDescent="0.25">
      <c r="A4137" s="45" t="s">
        <v>4164</v>
      </c>
      <c r="B4137" s="46" t="s">
        <v>15765</v>
      </c>
      <c r="C4137">
        <v>9</v>
      </c>
      <c r="D4137">
        <v>61</v>
      </c>
    </row>
    <row r="4138" spans="1:4" x14ac:dyDescent="0.25">
      <c r="A4138" s="45" t="s">
        <v>4165</v>
      </c>
      <c r="B4138" s="46" t="s">
        <v>15766</v>
      </c>
      <c r="C4138">
        <v>9</v>
      </c>
      <c r="D4138">
        <v>61</v>
      </c>
    </row>
    <row r="4139" spans="1:4" x14ac:dyDescent="0.25">
      <c r="A4139" s="45" t="s">
        <v>4166</v>
      </c>
      <c r="B4139" s="46" t="s">
        <v>15767</v>
      </c>
      <c r="C4139">
        <v>9</v>
      </c>
      <c r="D4139">
        <v>61</v>
      </c>
    </row>
    <row r="4140" spans="1:4" x14ac:dyDescent="0.25">
      <c r="A4140" s="45" t="s">
        <v>4167</v>
      </c>
      <c r="B4140" s="46" t="s">
        <v>15768</v>
      </c>
      <c r="C4140">
        <v>9</v>
      </c>
      <c r="D4140">
        <v>61</v>
      </c>
    </row>
    <row r="4141" spans="1:4" x14ac:dyDescent="0.25">
      <c r="A4141" s="45" t="s">
        <v>4168</v>
      </c>
      <c r="B4141" s="46" t="s">
        <v>15769</v>
      </c>
      <c r="C4141">
        <v>9</v>
      </c>
      <c r="D4141">
        <v>61</v>
      </c>
    </row>
    <row r="4142" spans="1:4" x14ac:dyDescent="0.25">
      <c r="A4142" s="45" t="s">
        <v>4169</v>
      </c>
      <c r="B4142" s="46" t="s">
        <v>15770</v>
      </c>
      <c r="C4142">
        <v>9</v>
      </c>
      <c r="D4142">
        <v>61</v>
      </c>
    </row>
    <row r="4143" spans="1:4" x14ac:dyDescent="0.25">
      <c r="A4143" s="45" t="s">
        <v>4170</v>
      </c>
      <c r="B4143" s="46" t="s">
        <v>15771</v>
      </c>
      <c r="C4143">
        <v>9</v>
      </c>
      <c r="D4143">
        <v>61</v>
      </c>
    </row>
    <row r="4144" spans="1:4" x14ac:dyDescent="0.25">
      <c r="A4144" s="45" t="s">
        <v>4171</v>
      </c>
      <c r="B4144" s="46" t="s">
        <v>15772</v>
      </c>
      <c r="C4144">
        <v>9</v>
      </c>
      <c r="D4144">
        <v>61</v>
      </c>
    </row>
    <row r="4145" spans="1:4" x14ac:dyDescent="0.25">
      <c r="A4145" s="45" t="s">
        <v>4172</v>
      </c>
      <c r="B4145" s="46" t="s">
        <v>20151</v>
      </c>
      <c r="C4145">
        <v>9</v>
      </c>
      <c r="D4145">
        <v>61</v>
      </c>
    </row>
    <row r="4146" spans="1:4" x14ac:dyDescent="0.25">
      <c r="A4146" s="45" t="s">
        <v>4173</v>
      </c>
      <c r="B4146" s="46" t="s">
        <v>15773</v>
      </c>
      <c r="C4146">
        <v>9</v>
      </c>
      <c r="D4146">
        <v>61</v>
      </c>
    </row>
    <row r="4147" spans="1:4" x14ac:dyDescent="0.25">
      <c r="A4147" s="45" t="s">
        <v>4174</v>
      </c>
      <c r="B4147" s="46" t="s">
        <v>15774</v>
      </c>
      <c r="C4147">
        <v>9</v>
      </c>
      <c r="D4147">
        <v>61</v>
      </c>
    </row>
    <row r="4148" spans="1:4" x14ac:dyDescent="0.25">
      <c r="A4148" s="45" t="s">
        <v>4175</v>
      </c>
      <c r="B4148" s="46" t="s">
        <v>15775</v>
      </c>
      <c r="C4148">
        <v>9</v>
      </c>
      <c r="D4148">
        <v>61</v>
      </c>
    </row>
    <row r="4149" spans="1:4" x14ac:dyDescent="0.25">
      <c r="A4149" s="45" t="s">
        <v>4176</v>
      </c>
      <c r="B4149" s="46" t="s">
        <v>15776</v>
      </c>
      <c r="C4149">
        <v>9</v>
      </c>
      <c r="D4149">
        <v>61</v>
      </c>
    </row>
    <row r="4150" spans="1:4" x14ac:dyDescent="0.25">
      <c r="A4150" s="45" t="s">
        <v>4177</v>
      </c>
      <c r="B4150" s="46" t="s">
        <v>15777</v>
      </c>
      <c r="C4150">
        <v>9</v>
      </c>
      <c r="D4150">
        <v>61</v>
      </c>
    </row>
    <row r="4151" spans="1:4" x14ac:dyDescent="0.25">
      <c r="A4151" s="45" t="s">
        <v>4178</v>
      </c>
      <c r="B4151" s="46" t="s">
        <v>15778</v>
      </c>
      <c r="C4151">
        <v>9</v>
      </c>
      <c r="D4151">
        <v>61</v>
      </c>
    </row>
    <row r="4152" spans="1:4" x14ac:dyDescent="0.25">
      <c r="A4152" s="45" t="s">
        <v>4179</v>
      </c>
      <c r="B4152" s="46" t="s">
        <v>15779</v>
      </c>
      <c r="C4152">
        <v>9</v>
      </c>
      <c r="D4152">
        <v>61</v>
      </c>
    </row>
    <row r="4153" spans="1:4" x14ac:dyDescent="0.25">
      <c r="A4153" s="45" t="s">
        <v>4180</v>
      </c>
      <c r="B4153" s="46" t="s">
        <v>15780</v>
      </c>
      <c r="C4153">
        <v>9</v>
      </c>
      <c r="D4153">
        <v>60</v>
      </c>
    </row>
    <row r="4154" spans="1:4" x14ac:dyDescent="0.25">
      <c r="A4154" s="45" t="s">
        <v>4181</v>
      </c>
      <c r="B4154" s="46" t="s">
        <v>20152</v>
      </c>
      <c r="C4154">
        <v>9</v>
      </c>
      <c r="D4154">
        <v>61</v>
      </c>
    </row>
    <row r="4155" spans="1:4" x14ac:dyDescent="0.25">
      <c r="A4155" s="45" t="s">
        <v>4182</v>
      </c>
      <c r="B4155" s="46" t="s">
        <v>15781</v>
      </c>
      <c r="C4155">
        <v>9</v>
      </c>
      <c r="D4155">
        <v>61</v>
      </c>
    </row>
    <row r="4156" spans="1:4" x14ac:dyDescent="0.25">
      <c r="A4156" s="45" t="s">
        <v>4183</v>
      </c>
      <c r="B4156" s="46" t="s">
        <v>15782</v>
      </c>
      <c r="C4156">
        <v>1</v>
      </c>
      <c r="D4156">
        <v>4</v>
      </c>
    </row>
    <row r="4157" spans="1:4" x14ac:dyDescent="0.25">
      <c r="A4157" s="45" t="s">
        <v>4184</v>
      </c>
      <c r="B4157" s="46" t="s">
        <v>15783</v>
      </c>
      <c r="C4157">
        <v>9</v>
      </c>
      <c r="D4157">
        <v>61</v>
      </c>
    </row>
    <row r="4158" spans="1:4" x14ac:dyDescent="0.25">
      <c r="A4158" s="45" t="s">
        <v>4185</v>
      </c>
      <c r="B4158" s="46" t="s">
        <v>15784</v>
      </c>
      <c r="C4158">
        <v>9</v>
      </c>
      <c r="D4158">
        <v>60</v>
      </c>
    </row>
    <row r="4159" spans="1:4" x14ac:dyDescent="0.25">
      <c r="A4159" s="45" t="s">
        <v>4186</v>
      </c>
      <c r="B4159" s="46" t="s">
        <v>15785</v>
      </c>
      <c r="C4159">
        <v>9</v>
      </c>
      <c r="D4159">
        <v>60</v>
      </c>
    </row>
    <row r="4160" spans="1:4" x14ac:dyDescent="0.25">
      <c r="A4160" s="45" t="s">
        <v>4187</v>
      </c>
      <c r="B4160" s="46" t="s">
        <v>15786</v>
      </c>
      <c r="C4160">
        <v>9</v>
      </c>
      <c r="D4160">
        <v>61</v>
      </c>
    </row>
    <row r="4161" spans="1:4" x14ac:dyDescent="0.25">
      <c r="A4161" s="45" t="s">
        <v>4188</v>
      </c>
      <c r="B4161" s="46" t="s">
        <v>15787</v>
      </c>
      <c r="C4161">
        <v>17</v>
      </c>
      <c r="D4161">
        <v>106</v>
      </c>
    </row>
    <row r="4162" spans="1:4" x14ac:dyDescent="0.25">
      <c r="A4162" s="45" t="s">
        <v>4189</v>
      </c>
      <c r="B4162" s="46" t="s">
        <v>15788</v>
      </c>
      <c r="C4162">
        <v>9</v>
      </c>
      <c r="D4162">
        <v>60</v>
      </c>
    </row>
    <row r="4163" spans="1:4" x14ac:dyDescent="0.25">
      <c r="A4163" s="45" t="s">
        <v>4190</v>
      </c>
      <c r="B4163" s="46" t="s">
        <v>15789</v>
      </c>
      <c r="C4163">
        <v>9</v>
      </c>
      <c r="D4163">
        <v>61</v>
      </c>
    </row>
    <row r="4164" spans="1:4" x14ac:dyDescent="0.25">
      <c r="A4164" s="45" t="s">
        <v>4191</v>
      </c>
      <c r="B4164" s="46" t="s">
        <v>15790</v>
      </c>
      <c r="C4164">
        <v>9</v>
      </c>
      <c r="D4164">
        <v>55</v>
      </c>
    </row>
    <row r="4165" spans="1:4" x14ac:dyDescent="0.25">
      <c r="A4165" s="45" t="s">
        <v>4192</v>
      </c>
      <c r="B4165" s="46" t="s">
        <v>15791</v>
      </c>
      <c r="C4165">
        <v>17</v>
      </c>
      <c r="D4165">
        <v>106</v>
      </c>
    </row>
    <row r="4166" spans="1:4" x14ac:dyDescent="0.25">
      <c r="A4166" s="45" t="s">
        <v>4193</v>
      </c>
      <c r="B4166" s="46" t="s">
        <v>20153</v>
      </c>
      <c r="C4166">
        <v>9</v>
      </c>
      <c r="D4166">
        <v>61</v>
      </c>
    </row>
    <row r="4167" spans="1:4" x14ac:dyDescent="0.25">
      <c r="A4167" s="45" t="s">
        <v>4194</v>
      </c>
      <c r="B4167" s="46" t="s">
        <v>15792</v>
      </c>
      <c r="C4167">
        <v>9</v>
      </c>
      <c r="D4167">
        <v>61</v>
      </c>
    </row>
    <row r="4168" spans="1:4" x14ac:dyDescent="0.25">
      <c r="A4168" s="45" t="s">
        <v>4195</v>
      </c>
      <c r="B4168" s="46" t="s">
        <v>15793</v>
      </c>
      <c r="C4168">
        <v>7</v>
      </c>
      <c r="D4168">
        <v>48</v>
      </c>
    </row>
    <row r="4169" spans="1:4" x14ac:dyDescent="0.25">
      <c r="A4169" s="45" t="s">
        <v>4196</v>
      </c>
      <c r="B4169" s="46" t="s">
        <v>20154</v>
      </c>
      <c r="C4169">
        <v>9</v>
      </c>
      <c r="D4169">
        <v>60</v>
      </c>
    </row>
    <row r="4170" spans="1:4" x14ac:dyDescent="0.25">
      <c r="A4170" s="45" t="s">
        <v>4197</v>
      </c>
      <c r="B4170" s="46" t="s">
        <v>20155</v>
      </c>
      <c r="C4170">
        <v>9</v>
      </c>
      <c r="D4170">
        <v>56</v>
      </c>
    </row>
    <row r="4171" spans="1:4" x14ac:dyDescent="0.25">
      <c r="A4171" s="45" t="s">
        <v>4198</v>
      </c>
      <c r="B4171" s="46" t="s">
        <v>15794</v>
      </c>
      <c r="C4171">
        <v>9</v>
      </c>
      <c r="D4171">
        <v>60</v>
      </c>
    </row>
    <row r="4172" spans="1:4" x14ac:dyDescent="0.25">
      <c r="A4172" s="45" t="s">
        <v>4199</v>
      </c>
      <c r="B4172" s="46" t="s">
        <v>15795</v>
      </c>
      <c r="C4172">
        <v>9</v>
      </c>
      <c r="D4172">
        <v>60</v>
      </c>
    </row>
    <row r="4173" spans="1:4" x14ac:dyDescent="0.25">
      <c r="A4173" s="45" t="s">
        <v>4200</v>
      </c>
      <c r="B4173" s="46" t="s">
        <v>15796</v>
      </c>
      <c r="C4173">
        <v>9</v>
      </c>
      <c r="D4173">
        <v>56</v>
      </c>
    </row>
    <row r="4174" spans="1:4" x14ac:dyDescent="0.25">
      <c r="A4174" s="45" t="s">
        <v>4201</v>
      </c>
      <c r="B4174" s="46" t="s">
        <v>15797</v>
      </c>
      <c r="C4174">
        <v>12</v>
      </c>
      <c r="D4174">
        <v>74</v>
      </c>
    </row>
    <row r="4175" spans="1:4" x14ac:dyDescent="0.25">
      <c r="A4175" s="45" t="s">
        <v>4202</v>
      </c>
      <c r="B4175" s="46" t="s">
        <v>15798</v>
      </c>
      <c r="C4175">
        <v>12</v>
      </c>
      <c r="D4175">
        <v>74</v>
      </c>
    </row>
    <row r="4176" spans="1:4" x14ac:dyDescent="0.25">
      <c r="A4176" s="45" t="s">
        <v>4203</v>
      </c>
      <c r="B4176" s="46" t="s">
        <v>20156</v>
      </c>
      <c r="C4176">
        <v>12</v>
      </c>
      <c r="D4176">
        <v>74</v>
      </c>
    </row>
    <row r="4177" spans="1:4" x14ac:dyDescent="0.25">
      <c r="A4177" s="45" t="s">
        <v>4204</v>
      </c>
      <c r="B4177" s="46" t="s">
        <v>20157</v>
      </c>
      <c r="C4177">
        <v>12</v>
      </c>
      <c r="D4177">
        <v>74</v>
      </c>
    </row>
    <row r="4178" spans="1:4" x14ac:dyDescent="0.25">
      <c r="A4178" s="45" t="s">
        <v>4205</v>
      </c>
      <c r="B4178" s="46" t="s">
        <v>20158</v>
      </c>
      <c r="C4178">
        <v>12</v>
      </c>
      <c r="D4178">
        <v>74</v>
      </c>
    </row>
    <row r="4179" spans="1:4" x14ac:dyDescent="0.25">
      <c r="A4179" s="45" t="s">
        <v>4206</v>
      </c>
      <c r="B4179" s="46" t="s">
        <v>15799</v>
      </c>
      <c r="C4179">
        <v>12</v>
      </c>
      <c r="D4179">
        <v>74</v>
      </c>
    </row>
    <row r="4180" spans="1:4" x14ac:dyDescent="0.25">
      <c r="A4180" s="45" t="s">
        <v>4207</v>
      </c>
      <c r="B4180" s="46" t="s">
        <v>20159</v>
      </c>
      <c r="C4180">
        <v>12</v>
      </c>
      <c r="D4180">
        <v>74</v>
      </c>
    </row>
    <row r="4181" spans="1:4" x14ac:dyDescent="0.25">
      <c r="A4181" s="45" t="s">
        <v>4208</v>
      </c>
      <c r="B4181" s="46" t="s">
        <v>15800</v>
      </c>
      <c r="C4181">
        <v>12</v>
      </c>
      <c r="D4181">
        <v>74</v>
      </c>
    </row>
    <row r="4182" spans="1:4" x14ac:dyDescent="0.25">
      <c r="A4182" s="45" t="s">
        <v>4209</v>
      </c>
      <c r="B4182" s="46" t="s">
        <v>20160</v>
      </c>
      <c r="C4182">
        <v>12</v>
      </c>
      <c r="D4182">
        <v>74</v>
      </c>
    </row>
    <row r="4183" spans="1:4" x14ac:dyDescent="0.25">
      <c r="A4183" s="45" t="s">
        <v>4210</v>
      </c>
      <c r="B4183" s="46" t="s">
        <v>20161</v>
      </c>
      <c r="C4183">
        <v>12</v>
      </c>
      <c r="D4183">
        <v>74</v>
      </c>
    </row>
    <row r="4184" spans="1:4" x14ac:dyDescent="0.25">
      <c r="A4184" s="45" t="s">
        <v>4211</v>
      </c>
      <c r="B4184" s="46" t="s">
        <v>20162</v>
      </c>
      <c r="C4184">
        <v>12</v>
      </c>
      <c r="D4184">
        <v>74</v>
      </c>
    </row>
    <row r="4185" spans="1:4" x14ac:dyDescent="0.25">
      <c r="A4185" s="45" t="s">
        <v>4212</v>
      </c>
      <c r="B4185" s="46" t="s">
        <v>20163</v>
      </c>
      <c r="C4185">
        <v>12</v>
      </c>
      <c r="D4185">
        <v>74</v>
      </c>
    </row>
    <row r="4186" spans="1:4" x14ac:dyDescent="0.25">
      <c r="A4186" s="45" t="s">
        <v>4213</v>
      </c>
      <c r="B4186" s="46" t="s">
        <v>20164</v>
      </c>
      <c r="C4186">
        <v>12</v>
      </c>
      <c r="D4186">
        <v>74</v>
      </c>
    </row>
    <row r="4187" spans="1:4" x14ac:dyDescent="0.25">
      <c r="A4187" s="45" t="s">
        <v>4214</v>
      </c>
      <c r="B4187" s="46" t="s">
        <v>20165</v>
      </c>
      <c r="C4187">
        <v>12</v>
      </c>
      <c r="D4187">
        <v>74</v>
      </c>
    </row>
    <row r="4188" spans="1:4" x14ac:dyDescent="0.25">
      <c r="A4188" s="45" t="s">
        <v>4215</v>
      </c>
      <c r="B4188" s="46" t="s">
        <v>20166</v>
      </c>
      <c r="C4188">
        <v>12</v>
      </c>
      <c r="D4188">
        <v>74</v>
      </c>
    </row>
    <row r="4189" spans="1:4" x14ac:dyDescent="0.25">
      <c r="A4189" s="45" t="s">
        <v>4216</v>
      </c>
      <c r="B4189" s="46" t="s">
        <v>15801</v>
      </c>
      <c r="C4189">
        <v>12</v>
      </c>
      <c r="D4189">
        <v>74</v>
      </c>
    </row>
    <row r="4190" spans="1:4" x14ac:dyDescent="0.25">
      <c r="A4190" s="45" t="s">
        <v>4217</v>
      </c>
      <c r="B4190" s="46" t="s">
        <v>15802</v>
      </c>
      <c r="C4190">
        <v>12</v>
      </c>
      <c r="D4190">
        <v>74</v>
      </c>
    </row>
    <row r="4191" spans="1:4" x14ac:dyDescent="0.25">
      <c r="A4191" s="45" t="s">
        <v>4218</v>
      </c>
      <c r="B4191" s="46" t="s">
        <v>15803</v>
      </c>
      <c r="C4191">
        <v>12</v>
      </c>
      <c r="D4191">
        <v>74</v>
      </c>
    </row>
    <row r="4192" spans="1:4" x14ac:dyDescent="0.25">
      <c r="A4192" s="45" t="s">
        <v>4219</v>
      </c>
      <c r="B4192" s="46" t="s">
        <v>15804</v>
      </c>
      <c r="C4192">
        <v>12</v>
      </c>
      <c r="D4192">
        <v>74</v>
      </c>
    </row>
    <row r="4193" spans="1:4" x14ac:dyDescent="0.25">
      <c r="A4193" s="45" t="s">
        <v>4220</v>
      </c>
      <c r="B4193" s="46" t="s">
        <v>15805</v>
      </c>
      <c r="C4193">
        <v>12</v>
      </c>
      <c r="D4193">
        <v>74</v>
      </c>
    </row>
    <row r="4194" spans="1:4" x14ac:dyDescent="0.25">
      <c r="A4194" s="45" t="s">
        <v>4221</v>
      </c>
      <c r="B4194" s="46" t="s">
        <v>15806</v>
      </c>
      <c r="C4194">
        <v>12</v>
      </c>
      <c r="D4194">
        <v>74</v>
      </c>
    </row>
    <row r="4195" spans="1:4" x14ac:dyDescent="0.25">
      <c r="A4195" s="45" t="s">
        <v>4222</v>
      </c>
      <c r="B4195" s="46" t="s">
        <v>15807</v>
      </c>
      <c r="C4195">
        <v>12</v>
      </c>
      <c r="D4195">
        <v>74</v>
      </c>
    </row>
    <row r="4196" spans="1:4" x14ac:dyDescent="0.25">
      <c r="A4196" s="45" t="s">
        <v>4223</v>
      </c>
      <c r="B4196" s="46" t="s">
        <v>15808</v>
      </c>
      <c r="C4196">
        <v>12</v>
      </c>
      <c r="D4196">
        <v>74</v>
      </c>
    </row>
    <row r="4197" spans="1:4" x14ac:dyDescent="0.25">
      <c r="A4197" s="45" t="s">
        <v>4224</v>
      </c>
      <c r="B4197" s="46" t="s">
        <v>15809</v>
      </c>
      <c r="C4197">
        <v>12</v>
      </c>
      <c r="D4197">
        <v>74</v>
      </c>
    </row>
    <row r="4198" spans="1:4" x14ac:dyDescent="0.25">
      <c r="A4198" s="45" t="s">
        <v>4225</v>
      </c>
      <c r="B4198" s="46" t="s">
        <v>15810</v>
      </c>
      <c r="C4198">
        <v>12</v>
      </c>
      <c r="D4198">
        <v>74</v>
      </c>
    </row>
    <row r="4199" spans="1:4" x14ac:dyDescent="0.25">
      <c r="A4199" s="45" t="s">
        <v>4226</v>
      </c>
      <c r="B4199" s="46" t="s">
        <v>15811</v>
      </c>
      <c r="C4199">
        <v>1</v>
      </c>
      <c r="D4199">
        <v>4</v>
      </c>
    </row>
    <row r="4200" spans="1:4" x14ac:dyDescent="0.25">
      <c r="A4200" s="45" t="s">
        <v>4227</v>
      </c>
      <c r="B4200" s="46" t="s">
        <v>15812</v>
      </c>
      <c r="C4200">
        <v>12</v>
      </c>
      <c r="D4200">
        <v>74</v>
      </c>
    </row>
    <row r="4201" spans="1:4" x14ac:dyDescent="0.25">
      <c r="A4201" s="45" t="s">
        <v>4228</v>
      </c>
      <c r="B4201" s="46" t="s">
        <v>15813</v>
      </c>
      <c r="C4201">
        <v>12</v>
      </c>
      <c r="D4201">
        <v>74</v>
      </c>
    </row>
    <row r="4202" spans="1:4" x14ac:dyDescent="0.25">
      <c r="A4202" s="45" t="s">
        <v>4229</v>
      </c>
      <c r="B4202" s="46" t="s">
        <v>15814</v>
      </c>
      <c r="C4202">
        <v>12</v>
      </c>
      <c r="D4202">
        <v>75</v>
      </c>
    </row>
    <row r="4203" spans="1:4" x14ac:dyDescent="0.25">
      <c r="A4203" s="45" t="s">
        <v>4230</v>
      </c>
      <c r="B4203" s="46" t="s">
        <v>15815</v>
      </c>
      <c r="C4203">
        <v>12</v>
      </c>
      <c r="D4203">
        <v>74</v>
      </c>
    </row>
    <row r="4204" spans="1:4" x14ac:dyDescent="0.25">
      <c r="A4204" s="45" t="s">
        <v>4231</v>
      </c>
      <c r="B4204" s="46" t="s">
        <v>15816</v>
      </c>
      <c r="C4204">
        <v>12</v>
      </c>
      <c r="D4204">
        <v>75</v>
      </c>
    </row>
    <row r="4205" spans="1:4" x14ac:dyDescent="0.25">
      <c r="A4205" s="45" t="s">
        <v>4232</v>
      </c>
      <c r="B4205" s="46" t="s">
        <v>20167</v>
      </c>
      <c r="C4205">
        <v>12</v>
      </c>
      <c r="D4205">
        <v>75</v>
      </c>
    </row>
    <row r="4206" spans="1:4" x14ac:dyDescent="0.25">
      <c r="A4206" s="45" t="s">
        <v>4233</v>
      </c>
      <c r="B4206" s="46" t="s">
        <v>15817</v>
      </c>
      <c r="C4206">
        <v>12</v>
      </c>
      <c r="D4206">
        <v>75</v>
      </c>
    </row>
    <row r="4207" spans="1:4" x14ac:dyDescent="0.25">
      <c r="A4207" s="45" t="s">
        <v>4234</v>
      </c>
      <c r="B4207" s="46" t="s">
        <v>15818</v>
      </c>
      <c r="C4207">
        <v>12</v>
      </c>
      <c r="D4207">
        <v>75</v>
      </c>
    </row>
    <row r="4208" spans="1:4" x14ac:dyDescent="0.25">
      <c r="A4208" s="45" t="s">
        <v>4235</v>
      </c>
      <c r="B4208" s="46" t="s">
        <v>15819</v>
      </c>
      <c r="C4208">
        <v>12</v>
      </c>
      <c r="D4208">
        <v>75</v>
      </c>
    </row>
    <row r="4209" spans="1:4" x14ac:dyDescent="0.25">
      <c r="A4209" s="45" t="s">
        <v>4236</v>
      </c>
      <c r="B4209" s="46" t="s">
        <v>15820</v>
      </c>
      <c r="C4209">
        <v>12</v>
      </c>
      <c r="D4209">
        <v>75</v>
      </c>
    </row>
    <row r="4210" spans="1:4" x14ac:dyDescent="0.25">
      <c r="A4210" s="45" t="s">
        <v>4237</v>
      </c>
      <c r="B4210" s="46" t="s">
        <v>20168</v>
      </c>
      <c r="C4210">
        <v>12</v>
      </c>
      <c r="D4210">
        <v>76</v>
      </c>
    </row>
    <row r="4211" spans="1:4" x14ac:dyDescent="0.25">
      <c r="A4211" s="45" t="s">
        <v>4238</v>
      </c>
      <c r="B4211" s="46" t="s">
        <v>15821</v>
      </c>
      <c r="C4211">
        <v>12</v>
      </c>
      <c r="D4211">
        <v>76</v>
      </c>
    </row>
    <row r="4212" spans="1:4" x14ac:dyDescent="0.25">
      <c r="A4212" s="45" t="s">
        <v>4239</v>
      </c>
      <c r="B4212" s="46" t="s">
        <v>15822</v>
      </c>
      <c r="C4212">
        <v>12</v>
      </c>
      <c r="D4212">
        <v>76</v>
      </c>
    </row>
    <row r="4213" spans="1:4" x14ac:dyDescent="0.25">
      <c r="A4213" s="45" t="s">
        <v>4240</v>
      </c>
      <c r="B4213" s="46" t="s">
        <v>15823</v>
      </c>
      <c r="C4213">
        <v>12</v>
      </c>
      <c r="D4213">
        <v>76</v>
      </c>
    </row>
    <row r="4214" spans="1:4" x14ac:dyDescent="0.25">
      <c r="A4214" s="45" t="s">
        <v>4241</v>
      </c>
      <c r="B4214" s="46" t="s">
        <v>15824</v>
      </c>
      <c r="C4214">
        <v>12</v>
      </c>
      <c r="D4214">
        <v>75</v>
      </c>
    </row>
    <row r="4215" spans="1:4" x14ac:dyDescent="0.25">
      <c r="A4215" s="45" t="s">
        <v>4242</v>
      </c>
      <c r="B4215" s="46" t="s">
        <v>15825</v>
      </c>
      <c r="C4215">
        <v>12</v>
      </c>
      <c r="D4215">
        <v>75</v>
      </c>
    </row>
    <row r="4216" spans="1:4" x14ac:dyDescent="0.25">
      <c r="A4216" s="45" t="s">
        <v>4243</v>
      </c>
      <c r="B4216" s="46" t="s">
        <v>20169</v>
      </c>
      <c r="C4216">
        <v>12</v>
      </c>
      <c r="D4216">
        <v>75</v>
      </c>
    </row>
    <row r="4217" spans="1:4" x14ac:dyDescent="0.25">
      <c r="A4217" s="45" t="s">
        <v>4244</v>
      </c>
      <c r="B4217" s="46" t="s">
        <v>15826</v>
      </c>
      <c r="C4217">
        <v>12</v>
      </c>
      <c r="D4217">
        <v>75</v>
      </c>
    </row>
    <row r="4218" spans="1:4" x14ac:dyDescent="0.25">
      <c r="A4218" s="45" t="s">
        <v>4245</v>
      </c>
      <c r="B4218" s="46" t="s">
        <v>15827</v>
      </c>
      <c r="C4218">
        <v>12</v>
      </c>
      <c r="D4218">
        <v>75</v>
      </c>
    </row>
    <row r="4219" spans="1:4" x14ac:dyDescent="0.25">
      <c r="A4219" s="45" t="s">
        <v>4246</v>
      </c>
      <c r="B4219" s="46" t="s">
        <v>15828</v>
      </c>
      <c r="C4219">
        <v>12</v>
      </c>
      <c r="D4219">
        <v>75</v>
      </c>
    </row>
    <row r="4220" spans="1:4" x14ac:dyDescent="0.25">
      <c r="A4220" s="45" t="s">
        <v>4247</v>
      </c>
      <c r="B4220" s="46" t="s">
        <v>15829</v>
      </c>
      <c r="C4220">
        <v>12</v>
      </c>
      <c r="D4220">
        <v>75</v>
      </c>
    </row>
    <row r="4221" spans="1:4" x14ac:dyDescent="0.25">
      <c r="A4221" s="45" t="s">
        <v>4248</v>
      </c>
      <c r="B4221" s="46" t="s">
        <v>15830</v>
      </c>
      <c r="C4221">
        <v>12</v>
      </c>
      <c r="D4221">
        <v>75</v>
      </c>
    </row>
    <row r="4222" spans="1:4" x14ac:dyDescent="0.25">
      <c r="A4222" s="45" t="s">
        <v>4249</v>
      </c>
      <c r="B4222" s="46" t="s">
        <v>15831</v>
      </c>
      <c r="C4222">
        <v>12</v>
      </c>
      <c r="D4222">
        <v>75</v>
      </c>
    </row>
    <row r="4223" spans="1:4" x14ac:dyDescent="0.25">
      <c r="A4223" s="45" t="s">
        <v>4250</v>
      </c>
      <c r="B4223" s="46" t="s">
        <v>15832</v>
      </c>
      <c r="C4223">
        <v>12</v>
      </c>
      <c r="D4223">
        <v>75</v>
      </c>
    </row>
    <row r="4224" spans="1:4" x14ac:dyDescent="0.25">
      <c r="A4224" s="45" t="s">
        <v>4251</v>
      </c>
      <c r="B4224" s="46" t="s">
        <v>15833</v>
      </c>
      <c r="C4224">
        <v>12</v>
      </c>
      <c r="D4224">
        <v>75</v>
      </c>
    </row>
    <row r="4225" spans="1:4" x14ac:dyDescent="0.25">
      <c r="A4225" s="45" t="s">
        <v>4252</v>
      </c>
      <c r="B4225" s="46" t="s">
        <v>15834</v>
      </c>
      <c r="C4225">
        <v>12</v>
      </c>
      <c r="D4225">
        <v>75</v>
      </c>
    </row>
    <row r="4226" spans="1:4" x14ac:dyDescent="0.25">
      <c r="A4226" s="45" t="s">
        <v>4253</v>
      </c>
      <c r="B4226" s="46" t="s">
        <v>15835</v>
      </c>
      <c r="C4226">
        <v>12</v>
      </c>
      <c r="D4226">
        <v>75</v>
      </c>
    </row>
    <row r="4227" spans="1:4" x14ac:dyDescent="0.25">
      <c r="A4227" s="45" t="s">
        <v>4254</v>
      </c>
      <c r="B4227" s="46" t="s">
        <v>15836</v>
      </c>
      <c r="C4227">
        <v>12</v>
      </c>
      <c r="D4227">
        <v>75</v>
      </c>
    </row>
    <row r="4228" spans="1:4" x14ac:dyDescent="0.25">
      <c r="A4228" s="45" t="s">
        <v>4255</v>
      </c>
      <c r="B4228" s="46" t="s">
        <v>15837</v>
      </c>
      <c r="C4228">
        <v>12</v>
      </c>
      <c r="D4228">
        <v>75</v>
      </c>
    </row>
    <row r="4229" spans="1:4" x14ac:dyDescent="0.25">
      <c r="A4229" s="45" t="s">
        <v>4256</v>
      </c>
      <c r="B4229" s="46" t="s">
        <v>15838</v>
      </c>
      <c r="C4229">
        <v>12</v>
      </c>
      <c r="D4229">
        <v>75</v>
      </c>
    </row>
    <row r="4230" spans="1:4" x14ac:dyDescent="0.25">
      <c r="A4230" s="45" t="s">
        <v>4257</v>
      </c>
      <c r="B4230" s="46" t="s">
        <v>15839</v>
      </c>
      <c r="C4230">
        <v>12</v>
      </c>
      <c r="D4230">
        <v>75</v>
      </c>
    </row>
    <row r="4231" spans="1:4" x14ac:dyDescent="0.25">
      <c r="A4231" s="45" t="s">
        <v>4258</v>
      </c>
      <c r="B4231" s="46" t="s">
        <v>15840</v>
      </c>
      <c r="C4231">
        <v>12</v>
      </c>
      <c r="D4231">
        <v>75</v>
      </c>
    </row>
    <row r="4232" spans="1:4" x14ac:dyDescent="0.25">
      <c r="A4232" s="45" t="s">
        <v>4259</v>
      </c>
      <c r="B4232" s="46" t="s">
        <v>15841</v>
      </c>
      <c r="C4232">
        <v>12</v>
      </c>
      <c r="D4232">
        <v>75</v>
      </c>
    </row>
    <row r="4233" spans="1:4" x14ac:dyDescent="0.25">
      <c r="A4233" s="45" t="s">
        <v>4260</v>
      </c>
      <c r="B4233" s="46" t="s">
        <v>15842</v>
      </c>
      <c r="C4233">
        <v>12</v>
      </c>
      <c r="D4233">
        <v>75</v>
      </c>
    </row>
    <row r="4234" spans="1:4" x14ac:dyDescent="0.25">
      <c r="A4234" s="45" t="s">
        <v>4261</v>
      </c>
      <c r="B4234" s="46" t="s">
        <v>15843</v>
      </c>
      <c r="C4234">
        <v>12</v>
      </c>
      <c r="D4234">
        <v>75</v>
      </c>
    </row>
    <row r="4235" spans="1:4" x14ac:dyDescent="0.25">
      <c r="A4235" s="45" t="s">
        <v>4262</v>
      </c>
      <c r="B4235" s="46" t="s">
        <v>15844</v>
      </c>
      <c r="C4235">
        <v>12</v>
      </c>
      <c r="D4235">
        <v>75</v>
      </c>
    </row>
    <row r="4236" spans="1:4" x14ac:dyDescent="0.25">
      <c r="A4236" s="45" t="s">
        <v>4263</v>
      </c>
      <c r="B4236" s="46" t="s">
        <v>15845</v>
      </c>
      <c r="C4236">
        <v>12</v>
      </c>
      <c r="D4236">
        <v>75</v>
      </c>
    </row>
    <row r="4237" spans="1:4" x14ac:dyDescent="0.25">
      <c r="A4237" s="45" t="s">
        <v>4264</v>
      </c>
      <c r="B4237" s="46" t="s">
        <v>15846</v>
      </c>
      <c r="C4237">
        <v>12</v>
      </c>
      <c r="D4237">
        <v>75</v>
      </c>
    </row>
    <row r="4238" spans="1:4" x14ac:dyDescent="0.25">
      <c r="A4238" s="45" t="s">
        <v>4265</v>
      </c>
      <c r="B4238" s="46" t="s">
        <v>15847</v>
      </c>
      <c r="C4238">
        <v>12</v>
      </c>
      <c r="D4238">
        <v>75</v>
      </c>
    </row>
    <row r="4239" spans="1:4" x14ac:dyDescent="0.25">
      <c r="A4239" s="45" t="s">
        <v>4266</v>
      </c>
      <c r="B4239" s="46" t="s">
        <v>15848</v>
      </c>
      <c r="C4239">
        <v>12</v>
      </c>
      <c r="D4239">
        <v>75</v>
      </c>
    </row>
    <row r="4240" spans="1:4" x14ac:dyDescent="0.25">
      <c r="A4240" s="45" t="s">
        <v>4267</v>
      </c>
      <c r="B4240" s="46" t="s">
        <v>15849</v>
      </c>
      <c r="C4240">
        <v>12</v>
      </c>
      <c r="D4240">
        <v>75</v>
      </c>
    </row>
    <row r="4241" spans="1:4" x14ac:dyDescent="0.25">
      <c r="A4241" s="45" t="s">
        <v>4268</v>
      </c>
      <c r="B4241" s="46" t="s">
        <v>20170</v>
      </c>
      <c r="C4241">
        <v>12</v>
      </c>
      <c r="D4241">
        <v>75</v>
      </c>
    </row>
    <row r="4242" spans="1:4" x14ac:dyDescent="0.25">
      <c r="A4242" s="45" t="s">
        <v>4269</v>
      </c>
      <c r="B4242" s="46" t="s">
        <v>15850</v>
      </c>
      <c r="C4242">
        <v>12</v>
      </c>
      <c r="D4242">
        <v>75</v>
      </c>
    </row>
    <row r="4243" spans="1:4" x14ac:dyDescent="0.25">
      <c r="A4243" s="45" t="s">
        <v>4270</v>
      </c>
      <c r="B4243" s="46" t="s">
        <v>15851</v>
      </c>
      <c r="C4243">
        <v>12</v>
      </c>
      <c r="D4243">
        <v>75</v>
      </c>
    </row>
    <row r="4244" spans="1:4" x14ac:dyDescent="0.25">
      <c r="A4244" s="45" t="s">
        <v>4271</v>
      </c>
      <c r="B4244" s="46" t="s">
        <v>20171</v>
      </c>
      <c r="C4244">
        <v>12</v>
      </c>
      <c r="D4244">
        <v>75</v>
      </c>
    </row>
    <row r="4245" spans="1:4" x14ac:dyDescent="0.25">
      <c r="A4245" s="45" t="s">
        <v>4272</v>
      </c>
      <c r="B4245" s="46" t="s">
        <v>20172</v>
      </c>
      <c r="C4245">
        <v>12</v>
      </c>
      <c r="D4245">
        <v>75</v>
      </c>
    </row>
    <row r="4246" spans="1:4" x14ac:dyDescent="0.25">
      <c r="A4246" s="45" t="s">
        <v>4273</v>
      </c>
      <c r="B4246" s="46" t="s">
        <v>15852</v>
      </c>
      <c r="C4246">
        <v>12</v>
      </c>
      <c r="D4246">
        <v>75</v>
      </c>
    </row>
    <row r="4247" spans="1:4" x14ac:dyDescent="0.25">
      <c r="A4247" s="45" t="s">
        <v>4274</v>
      </c>
      <c r="B4247" s="46" t="s">
        <v>15853</v>
      </c>
      <c r="C4247">
        <v>12</v>
      </c>
      <c r="D4247">
        <v>75</v>
      </c>
    </row>
    <row r="4248" spans="1:4" x14ac:dyDescent="0.25">
      <c r="A4248" s="45" t="s">
        <v>4275</v>
      </c>
      <c r="B4248" s="46" t="s">
        <v>15854</v>
      </c>
      <c r="C4248">
        <v>12</v>
      </c>
      <c r="D4248">
        <v>75</v>
      </c>
    </row>
    <row r="4249" spans="1:4" x14ac:dyDescent="0.25">
      <c r="A4249" s="45" t="s">
        <v>4276</v>
      </c>
      <c r="B4249" s="46" t="s">
        <v>15855</v>
      </c>
      <c r="C4249">
        <v>12</v>
      </c>
      <c r="D4249">
        <v>75</v>
      </c>
    </row>
    <row r="4250" spans="1:4" x14ac:dyDescent="0.25">
      <c r="A4250" s="45" t="s">
        <v>4277</v>
      </c>
      <c r="B4250" s="46" t="s">
        <v>15856</v>
      </c>
      <c r="C4250">
        <v>12</v>
      </c>
      <c r="D4250">
        <v>75</v>
      </c>
    </row>
    <row r="4251" spans="1:4" x14ac:dyDescent="0.25">
      <c r="A4251" s="45" t="s">
        <v>4278</v>
      </c>
      <c r="B4251" s="46" t="s">
        <v>15857</v>
      </c>
      <c r="C4251">
        <v>12</v>
      </c>
      <c r="D4251">
        <v>75</v>
      </c>
    </row>
    <row r="4252" spans="1:4" x14ac:dyDescent="0.25">
      <c r="A4252" s="45" t="s">
        <v>4279</v>
      </c>
      <c r="B4252" s="46" t="s">
        <v>20173</v>
      </c>
      <c r="C4252">
        <v>12</v>
      </c>
      <c r="D4252">
        <v>75</v>
      </c>
    </row>
    <row r="4253" spans="1:4" x14ac:dyDescent="0.25">
      <c r="A4253" s="45" t="s">
        <v>4280</v>
      </c>
      <c r="B4253" s="46" t="s">
        <v>20174</v>
      </c>
      <c r="C4253">
        <v>12</v>
      </c>
      <c r="D4253">
        <v>75</v>
      </c>
    </row>
    <row r="4254" spans="1:4" x14ac:dyDescent="0.25">
      <c r="A4254" s="45" t="s">
        <v>4281</v>
      </c>
      <c r="B4254" s="46" t="s">
        <v>20175</v>
      </c>
      <c r="C4254">
        <v>12</v>
      </c>
      <c r="D4254">
        <v>75</v>
      </c>
    </row>
    <row r="4255" spans="1:4" x14ac:dyDescent="0.25">
      <c r="A4255" s="45" t="s">
        <v>4282</v>
      </c>
      <c r="B4255" s="46" t="s">
        <v>20176</v>
      </c>
      <c r="C4255">
        <v>12</v>
      </c>
      <c r="D4255">
        <v>75</v>
      </c>
    </row>
    <row r="4256" spans="1:4" x14ac:dyDescent="0.25">
      <c r="A4256" s="45" t="s">
        <v>4283</v>
      </c>
      <c r="B4256" s="46" t="s">
        <v>15858</v>
      </c>
      <c r="C4256">
        <v>12</v>
      </c>
      <c r="D4256">
        <v>75</v>
      </c>
    </row>
    <row r="4257" spans="1:4" x14ac:dyDescent="0.25">
      <c r="A4257" s="45" t="s">
        <v>4284</v>
      </c>
      <c r="B4257" s="46" t="s">
        <v>15859</v>
      </c>
      <c r="C4257">
        <v>12</v>
      </c>
      <c r="D4257">
        <v>75</v>
      </c>
    </row>
    <row r="4258" spans="1:4" x14ac:dyDescent="0.25">
      <c r="A4258" s="45" t="s">
        <v>4285</v>
      </c>
      <c r="B4258" s="46" t="s">
        <v>15860</v>
      </c>
      <c r="C4258">
        <v>12</v>
      </c>
      <c r="D4258">
        <v>75</v>
      </c>
    </row>
    <row r="4259" spans="1:4" x14ac:dyDescent="0.25">
      <c r="A4259" s="45" t="s">
        <v>4286</v>
      </c>
      <c r="B4259" s="46" t="s">
        <v>20177</v>
      </c>
      <c r="C4259">
        <v>12</v>
      </c>
      <c r="D4259">
        <v>75</v>
      </c>
    </row>
    <row r="4260" spans="1:4" x14ac:dyDescent="0.25">
      <c r="A4260" s="45" t="s">
        <v>4287</v>
      </c>
      <c r="B4260" s="46" t="s">
        <v>15861</v>
      </c>
      <c r="C4260">
        <v>12</v>
      </c>
      <c r="D4260">
        <v>75</v>
      </c>
    </row>
    <row r="4261" spans="1:4" x14ac:dyDescent="0.25">
      <c r="A4261" s="45" t="s">
        <v>4288</v>
      </c>
      <c r="B4261" s="46" t="s">
        <v>20178</v>
      </c>
      <c r="C4261">
        <v>12</v>
      </c>
      <c r="D4261">
        <v>75</v>
      </c>
    </row>
    <row r="4262" spans="1:4" x14ac:dyDescent="0.25">
      <c r="A4262" s="45" t="s">
        <v>4289</v>
      </c>
      <c r="B4262" s="46" t="s">
        <v>20179</v>
      </c>
      <c r="C4262">
        <v>12</v>
      </c>
      <c r="D4262">
        <v>75</v>
      </c>
    </row>
    <row r="4263" spans="1:4" x14ac:dyDescent="0.25">
      <c r="A4263" s="45" t="s">
        <v>4290</v>
      </c>
      <c r="B4263" s="46" t="s">
        <v>20180</v>
      </c>
      <c r="C4263">
        <v>12</v>
      </c>
      <c r="D4263">
        <v>75</v>
      </c>
    </row>
    <row r="4264" spans="1:4" x14ac:dyDescent="0.25">
      <c r="A4264" s="45" t="s">
        <v>4291</v>
      </c>
      <c r="B4264" s="46" t="s">
        <v>15862</v>
      </c>
      <c r="C4264">
        <v>12</v>
      </c>
      <c r="D4264">
        <v>75</v>
      </c>
    </row>
    <row r="4265" spans="1:4" x14ac:dyDescent="0.25">
      <c r="A4265" s="45" t="s">
        <v>4292</v>
      </c>
      <c r="B4265" s="46" t="s">
        <v>15863</v>
      </c>
      <c r="C4265">
        <v>12</v>
      </c>
      <c r="D4265">
        <v>75</v>
      </c>
    </row>
    <row r="4266" spans="1:4" x14ac:dyDescent="0.25">
      <c r="A4266" s="45" t="s">
        <v>4293</v>
      </c>
      <c r="B4266" s="46" t="s">
        <v>15864</v>
      </c>
      <c r="C4266">
        <v>12</v>
      </c>
      <c r="D4266">
        <v>75</v>
      </c>
    </row>
    <row r="4267" spans="1:4" x14ac:dyDescent="0.25">
      <c r="A4267" s="45" t="s">
        <v>4294</v>
      </c>
      <c r="B4267" s="46" t="s">
        <v>15865</v>
      </c>
      <c r="C4267">
        <v>12</v>
      </c>
      <c r="D4267">
        <v>75</v>
      </c>
    </row>
    <row r="4268" spans="1:4" x14ac:dyDescent="0.25">
      <c r="A4268" s="45" t="s">
        <v>4295</v>
      </c>
      <c r="B4268" s="46" t="s">
        <v>15866</v>
      </c>
      <c r="C4268">
        <v>12</v>
      </c>
      <c r="D4268">
        <v>75</v>
      </c>
    </row>
    <row r="4269" spans="1:4" x14ac:dyDescent="0.25">
      <c r="A4269" s="45" t="s">
        <v>4296</v>
      </c>
      <c r="B4269" s="46" t="s">
        <v>15867</v>
      </c>
      <c r="C4269">
        <v>12</v>
      </c>
      <c r="D4269">
        <v>75</v>
      </c>
    </row>
    <row r="4270" spans="1:4" x14ac:dyDescent="0.25">
      <c r="A4270" s="45" t="s">
        <v>4297</v>
      </c>
      <c r="B4270" s="46" t="s">
        <v>15868</v>
      </c>
      <c r="C4270">
        <v>12</v>
      </c>
      <c r="D4270">
        <v>75</v>
      </c>
    </row>
    <row r="4271" spans="1:4" x14ac:dyDescent="0.25">
      <c r="A4271" s="45" t="s">
        <v>4298</v>
      </c>
      <c r="B4271" s="46" t="s">
        <v>15869</v>
      </c>
      <c r="C4271">
        <v>12</v>
      </c>
      <c r="D4271">
        <v>75</v>
      </c>
    </row>
    <row r="4272" spans="1:4" x14ac:dyDescent="0.25">
      <c r="A4272" s="45" t="s">
        <v>4299</v>
      </c>
      <c r="B4272" s="46" t="s">
        <v>15870</v>
      </c>
      <c r="C4272">
        <v>12</v>
      </c>
      <c r="D4272">
        <v>75</v>
      </c>
    </row>
    <row r="4273" spans="1:4" x14ac:dyDescent="0.25">
      <c r="A4273" s="45" t="s">
        <v>4300</v>
      </c>
      <c r="B4273" s="46" t="s">
        <v>15871</v>
      </c>
      <c r="C4273">
        <v>12</v>
      </c>
      <c r="D4273">
        <v>75</v>
      </c>
    </row>
    <row r="4274" spans="1:4" x14ac:dyDescent="0.25">
      <c r="A4274" s="45" t="s">
        <v>4301</v>
      </c>
      <c r="B4274" s="46" t="s">
        <v>15872</v>
      </c>
      <c r="C4274">
        <v>12</v>
      </c>
      <c r="D4274">
        <v>75</v>
      </c>
    </row>
    <row r="4275" spans="1:4" x14ac:dyDescent="0.25">
      <c r="A4275" s="45" t="s">
        <v>4302</v>
      </c>
      <c r="B4275" s="46" t="s">
        <v>15873</v>
      </c>
      <c r="C4275">
        <v>12</v>
      </c>
      <c r="D4275">
        <v>75</v>
      </c>
    </row>
    <row r="4276" spans="1:4" x14ac:dyDescent="0.25">
      <c r="A4276" s="45" t="s">
        <v>4303</v>
      </c>
      <c r="B4276" s="46" t="s">
        <v>15874</v>
      </c>
      <c r="C4276">
        <v>12</v>
      </c>
      <c r="D4276">
        <v>75</v>
      </c>
    </row>
    <row r="4277" spans="1:4" x14ac:dyDescent="0.25">
      <c r="A4277" s="45" t="s">
        <v>4304</v>
      </c>
      <c r="B4277" s="46" t="s">
        <v>15875</v>
      </c>
      <c r="C4277">
        <v>12</v>
      </c>
      <c r="D4277">
        <v>76</v>
      </c>
    </row>
    <row r="4278" spans="1:4" x14ac:dyDescent="0.25">
      <c r="A4278" s="45" t="s">
        <v>4305</v>
      </c>
      <c r="B4278" s="46" t="s">
        <v>15876</v>
      </c>
      <c r="C4278">
        <v>12</v>
      </c>
      <c r="D4278">
        <v>74</v>
      </c>
    </row>
    <row r="4279" spans="1:4" x14ac:dyDescent="0.25">
      <c r="A4279" s="45" t="s">
        <v>4306</v>
      </c>
      <c r="B4279" s="46" t="s">
        <v>15877</v>
      </c>
      <c r="C4279">
        <v>12</v>
      </c>
      <c r="D4279">
        <v>74</v>
      </c>
    </row>
    <row r="4280" spans="1:4" x14ac:dyDescent="0.25">
      <c r="A4280" s="45" t="s">
        <v>4307</v>
      </c>
      <c r="B4280" s="46" t="s">
        <v>15878</v>
      </c>
      <c r="C4280">
        <v>12</v>
      </c>
      <c r="D4280">
        <v>75</v>
      </c>
    </row>
    <row r="4281" spans="1:4" x14ac:dyDescent="0.25">
      <c r="A4281" s="45" t="s">
        <v>4308</v>
      </c>
      <c r="B4281" s="46" t="s">
        <v>15879</v>
      </c>
      <c r="C4281">
        <v>12</v>
      </c>
      <c r="D4281">
        <v>75</v>
      </c>
    </row>
    <row r="4282" spans="1:4" x14ac:dyDescent="0.25">
      <c r="A4282" s="45" t="s">
        <v>4309</v>
      </c>
      <c r="B4282" s="46" t="s">
        <v>20181</v>
      </c>
      <c r="C4282">
        <v>12</v>
      </c>
      <c r="D4282">
        <v>74</v>
      </c>
    </row>
    <row r="4283" spans="1:4" x14ac:dyDescent="0.25">
      <c r="A4283" s="45" t="s">
        <v>4310</v>
      </c>
      <c r="B4283" s="46" t="s">
        <v>15880</v>
      </c>
      <c r="C4283">
        <v>12</v>
      </c>
      <c r="D4283">
        <v>75</v>
      </c>
    </row>
    <row r="4284" spans="1:4" x14ac:dyDescent="0.25">
      <c r="A4284" s="45" t="s">
        <v>4311</v>
      </c>
      <c r="B4284" s="46" t="s">
        <v>15881</v>
      </c>
      <c r="C4284">
        <v>12</v>
      </c>
      <c r="D4284">
        <v>75</v>
      </c>
    </row>
    <row r="4285" spans="1:4" x14ac:dyDescent="0.25">
      <c r="A4285" s="45" t="s">
        <v>4312</v>
      </c>
      <c r="B4285" s="46" t="s">
        <v>15882</v>
      </c>
      <c r="C4285">
        <v>12</v>
      </c>
      <c r="D4285">
        <v>75</v>
      </c>
    </row>
    <row r="4286" spans="1:4" x14ac:dyDescent="0.25">
      <c r="A4286" s="45" t="s">
        <v>4313</v>
      </c>
      <c r="B4286" s="46" t="s">
        <v>15883</v>
      </c>
      <c r="C4286">
        <v>12</v>
      </c>
      <c r="D4286">
        <v>75</v>
      </c>
    </row>
    <row r="4287" spans="1:4" x14ac:dyDescent="0.25">
      <c r="A4287" s="45" t="s">
        <v>4314</v>
      </c>
      <c r="B4287" s="46" t="s">
        <v>15884</v>
      </c>
      <c r="C4287">
        <v>12</v>
      </c>
      <c r="D4287">
        <v>74</v>
      </c>
    </row>
    <row r="4288" spans="1:4" x14ac:dyDescent="0.25">
      <c r="A4288" s="45" t="s">
        <v>4315</v>
      </c>
      <c r="B4288" s="46" t="s">
        <v>15885</v>
      </c>
      <c r="C4288">
        <v>12</v>
      </c>
      <c r="D4288">
        <v>75</v>
      </c>
    </row>
    <row r="4289" spans="1:4" x14ac:dyDescent="0.25">
      <c r="A4289" s="45" t="s">
        <v>4316</v>
      </c>
      <c r="B4289" s="46" t="s">
        <v>15886</v>
      </c>
      <c r="C4289">
        <v>12</v>
      </c>
      <c r="D4289">
        <v>75</v>
      </c>
    </row>
    <row r="4290" spans="1:4" x14ac:dyDescent="0.25">
      <c r="A4290" s="45" t="s">
        <v>4317</v>
      </c>
      <c r="B4290" s="46" t="s">
        <v>15887</v>
      </c>
      <c r="C4290">
        <v>12</v>
      </c>
      <c r="D4290">
        <v>75</v>
      </c>
    </row>
    <row r="4291" spans="1:4" x14ac:dyDescent="0.25">
      <c r="A4291" s="45" t="s">
        <v>4318</v>
      </c>
      <c r="B4291" s="46" t="s">
        <v>15888</v>
      </c>
      <c r="C4291">
        <v>12</v>
      </c>
      <c r="D4291">
        <v>75</v>
      </c>
    </row>
    <row r="4292" spans="1:4" x14ac:dyDescent="0.25">
      <c r="A4292" s="45" t="s">
        <v>4319</v>
      </c>
      <c r="B4292" s="46" t="s">
        <v>15889</v>
      </c>
      <c r="C4292">
        <v>12</v>
      </c>
      <c r="D4292">
        <v>75</v>
      </c>
    </row>
    <row r="4293" spans="1:4" x14ac:dyDescent="0.25">
      <c r="A4293" s="45" t="s">
        <v>4320</v>
      </c>
      <c r="B4293" s="46" t="s">
        <v>15890</v>
      </c>
      <c r="C4293">
        <v>12</v>
      </c>
      <c r="D4293">
        <v>75</v>
      </c>
    </row>
    <row r="4294" spans="1:4" x14ac:dyDescent="0.25">
      <c r="A4294" s="45" t="s">
        <v>4321</v>
      </c>
      <c r="B4294" s="46" t="s">
        <v>15891</v>
      </c>
      <c r="C4294">
        <v>12</v>
      </c>
      <c r="D4294">
        <v>75</v>
      </c>
    </row>
    <row r="4295" spans="1:4" x14ac:dyDescent="0.25">
      <c r="A4295" s="45" t="s">
        <v>4322</v>
      </c>
      <c r="B4295" s="46" t="s">
        <v>15892</v>
      </c>
      <c r="C4295">
        <v>12</v>
      </c>
      <c r="D4295">
        <v>75</v>
      </c>
    </row>
    <row r="4296" spans="1:4" x14ac:dyDescent="0.25">
      <c r="A4296" s="45" t="s">
        <v>4323</v>
      </c>
      <c r="B4296" s="46" t="s">
        <v>15893</v>
      </c>
      <c r="C4296">
        <v>12</v>
      </c>
      <c r="D4296">
        <v>75</v>
      </c>
    </row>
    <row r="4297" spans="1:4" x14ac:dyDescent="0.25">
      <c r="A4297" s="45" t="s">
        <v>4324</v>
      </c>
      <c r="B4297" s="46" t="s">
        <v>20182</v>
      </c>
      <c r="C4297">
        <v>12</v>
      </c>
      <c r="D4297">
        <v>75</v>
      </c>
    </row>
    <row r="4298" spans="1:4" x14ac:dyDescent="0.25">
      <c r="A4298" s="45" t="s">
        <v>4325</v>
      </c>
      <c r="B4298" s="46" t="s">
        <v>20183</v>
      </c>
      <c r="C4298">
        <v>12</v>
      </c>
      <c r="D4298">
        <v>75</v>
      </c>
    </row>
    <row r="4299" spans="1:4" x14ac:dyDescent="0.25">
      <c r="A4299" s="45" t="s">
        <v>4326</v>
      </c>
      <c r="B4299" s="46" t="s">
        <v>15894</v>
      </c>
      <c r="C4299">
        <v>12</v>
      </c>
      <c r="D4299">
        <v>75</v>
      </c>
    </row>
    <row r="4300" spans="1:4" x14ac:dyDescent="0.25">
      <c r="A4300" s="45" t="s">
        <v>4327</v>
      </c>
      <c r="B4300" s="46" t="s">
        <v>15895</v>
      </c>
      <c r="C4300">
        <v>12</v>
      </c>
      <c r="D4300">
        <v>75</v>
      </c>
    </row>
    <row r="4301" spans="1:4" x14ac:dyDescent="0.25">
      <c r="A4301" s="45" t="s">
        <v>4328</v>
      </c>
      <c r="B4301" s="46" t="s">
        <v>15896</v>
      </c>
      <c r="C4301">
        <v>12</v>
      </c>
      <c r="D4301">
        <v>75</v>
      </c>
    </row>
    <row r="4302" spans="1:4" x14ac:dyDescent="0.25">
      <c r="A4302" s="45" t="s">
        <v>4329</v>
      </c>
      <c r="B4302" s="46" t="s">
        <v>15897</v>
      </c>
      <c r="C4302">
        <v>12</v>
      </c>
      <c r="D4302">
        <v>75</v>
      </c>
    </row>
    <row r="4303" spans="1:4" x14ac:dyDescent="0.25">
      <c r="A4303" s="45" t="s">
        <v>4330</v>
      </c>
      <c r="B4303" s="46" t="s">
        <v>15898</v>
      </c>
      <c r="C4303">
        <v>12</v>
      </c>
      <c r="D4303">
        <v>75</v>
      </c>
    </row>
    <row r="4304" spans="1:4" x14ac:dyDescent="0.25">
      <c r="A4304" s="45" t="s">
        <v>4331</v>
      </c>
      <c r="B4304" s="46" t="s">
        <v>15899</v>
      </c>
      <c r="C4304">
        <v>12</v>
      </c>
      <c r="D4304">
        <v>75</v>
      </c>
    </row>
    <row r="4305" spans="1:4" x14ac:dyDescent="0.25">
      <c r="A4305" s="45" t="s">
        <v>4332</v>
      </c>
      <c r="B4305" s="46" t="s">
        <v>15900</v>
      </c>
      <c r="C4305">
        <v>12</v>
      </c>
      <c r="D4305">
        <v>75</v>
      </c>
    </row>
    <row r="4306" spans="1:4" x14ac:dyDescent="0.25">
      <c r="A4306" s="45" t="s">
        <v>4333</v>
      </c>
      <c r="B4306" s="46" t="s">
        <v>15901</v>
      </c>
      <c r="C4306">
        <v>12</v>
      </c>
      <c r="D4306">
        <v>75</v>
      </c>
    </row>
    <row r="4307" spans="1:4" x14ac:dyDescent="0.25">
      <c r="A4307" s="45" t="s">
        <v>4334</v>
      </c>
      <c r="B4307" s="46" t="s">
        <v>15902</v>
      </c>
      <c r="C4307">
        <v>12</v>
      </c>
      <c r="D4307">
        <v>75</v>
      </c>
    </row>
    <row r="4308" spans="1:4" x14ac:dyDescent="0.25">
      <c r="A4308" s="45" t="s">
        <v>4335</v>
      </c>
      <c r="B4308" s="46" t="s">
        <v>20184</v>
      </c>
      <c r="C4308">
        <v>12</v>
      </c>
      <c r="D4308">
        <v>75</v>
      </c>
    </row>
    <row r="4309" spans="1:4" x14ac:dyDescent="0.25">
      <c r="A4309" s="45" t="s">
        <v>4336</v>
      </c>
      <c r="B4309" s="46" t="s">
        <v>15903</v>
      </c>
      <c r="C4309">
        <v>12</v>
      </c>
      <c r="D4309">
        <v>75</v>
      </c>
    </row>
    <row r="4310" spans="1:4" x14ac:dyDescent="0.25">
      <c r="A4310" s="45" t="s">
        <v>4337</v>
      </c>
      <c r="B4310" s="46" t="s">
        <v>15904</v>
      </c>
      <c r="C4310">
        <v>12</v>
      </c>
      <c r="D4310">
        <v>75</v>
      </c>
    </row>
    <row r="4311" spans="1:4" x14ac:dyDescent="0.25">
      <c r="A4311" s="45" t="s">
        <v>4338</v>
      </c>
      <c r="B4311" s="46" t="s">
        <v>15905</v>
      </c>
      <c r="C4311">
        <v>12</v>
      </c>
      <c r="D4311">
        <v>74</v>
      </c>
    </row>
    <row r="4312" spans="1:4" x14ac:dyDescent="0.25">
      <c r="A4312" s="45" t="s">
        <v>4339</v>
      </c>
      <c r="B4312" s="46" t="s">
        <v>15906</v>
      </c>
      <c r="C4312">
        <v>12</v>
      </c>
      <c r="D4312">
        <v>75</v>
      </c>
    </row>
    <row r="4313" spans="1:4" x14ac:dyDescent="0.25">
      <c r="A4313" s="45" t="s">
        <v>4340</v>
      </c>
      <c r="B4313" s="46" t="s">
        <v>15907</v>
      </c>
      <c r="C4313">
        <v>12</v>
      </c>
      <c r="D4313">
        <v>75</v>
      </c>
    </row>
    <row r="4314" spans="1:4" x14ac:dyDescent="0.25">
      <c r="A4314" s="45" t="s">
        <v>4341</v>
      </c>
      <c r="B4314" s="46" t="s">
        <v>15908</v>
      </c>
      <c r="C4314">
        <v>12</v>
      </c>
      <c r="D4314">
        <v>75</v>
      </c>
    </row>
    <row r="4315" spans="1:4" x14ac:dyDescent="0.25">
      <c r="A4315" s="45" t="s">
        <v>4342</v>
      </c>
      <c r="B4315" s="46" t="s">
        <v>15909</v>
      </c>
      <c r="C4315">
        <v>12</v>
      </c>
      <c r="D4315">
        <v>76</v>
      </c>
    </row>
    <row r="4316" spans="1:4" x14ac:dyDescent="0.25">
      <c r="A4316" s="45" t="s">
        <v>4343</v>
      </c>
      <c r="B4316" s="46" t="s">
        <v>20185</v>
      </c>
      <c r="C4316">
        <v>12</v>
      </c>
      <c r="D4316">
        <v>76</v>
      </c>
    </row>
    <row r="4317" spans="1:4" x14ac:dyDescent="0.25">
      <c r="A4317" s="45" t="s">
        <v>4344</v>
      </c>
      <c r="B4317" s="46" t="s">
        <v>20186</v>
      </c>
      <c r="C4317">
        <v>12</v>
      </c>
      <c r="D4317">
        <v>76</v>
      </c>
    </row>
    <row r="4318" spans="1:4" x14ac:dyDescent="0.25">
      <c r="A4318" s="45" t="s">
        <v>4345</v>
      </c>
      <c r="B4318" s="46" t="s">
        <v>15910</v>
      </c>
      <c r="C4318">
        <v>12</v>
      </c>
      <c r="D4318">
        <v>76</v>
      </c>
    </row>
    <row r="4319" spans="1:4" x14ac:dyDescent="0.25">
      <c r="A4319" s="45" t="s">
        <v>4346</v>
      </c>
      <c r="B4319" s="46" t="s">
        <v>15911</v>
      </c>
      <c r="C4319">
        <v>12</v>
      </c>
      <c r="D4319">
        <v>76</v>
      </c>
    </row>
    <row r="4320" spans="1:4" x14ac:dyDescent="0.25">
      <c r="A4320" s="45" t="s">
        <v>4347</v>
      </c>
      <c r="B4320" s="46" t="s">
        <v>15912</v>
      </c>
      <c r="C4320">
        <v>12</v>
      </c>
      <c r="D4320">
        <v>76</v>
      </c>
    </row>
    <row r="4321" spans="1:4" x14ac:dyDescent="0.25">
      <c r="A4321" s="45" t="s">
        <v>4348</v>
      </c>
      <c r="B4321" s="46" t="s">
        <v>15913</v>
      </c>
      <c r="C4321">
        <v>12</v>
      </c>
      <c r="D4321">
        <v>76</v>
      </c>
    </row>
    <row r="4322" spans="1:4" x14ac:dyDescent="0.25">
      <c r="A4322" s="45" t="s">
        <v>4349</v>
      </c>
      <c r="B4322" s="46" t="s">
        <v>15914</v>
      </c>
      <c r="C4322">
        <v>12</v>
      </c>
      <c r="D4322">
        <v>76</v>
      </c>
    </row>
    <row r="4323" spans="1:4" x14ac:dyDescent="0.25">
      <c r="A4323" s="45" t="s">
        <v>4350</v>
      </c>
      <c r="B4323" s="46" t="s">
        <v>15915</v>
      </c>
      <c r="C4323">
        <v>12</v>
      </c>
      <c r="D4323">
        <v>76</v>
      </c>
    </row>
    <row r="4324" spans="1:4" x14ac:dyDescent="0.25">
      <c r="A4324" s="45" t="s">
        <v>4351</v>
      </c>
      <c r="B4324" s="46" t="s">
        <v>15916</v>
      </c>
      <c r="C4324">
        <v>12</v>
      </c>
      <c r="D4324">
        <v>75</v>
      </c>
    </row>
    <row r="4325" spans="1:4" x14ac:dyDescent="0.25">
      <c r="A4325" s="45" t="s">
        <v>4352</v>
      </c>
      <c r="B4325" s="46" t="s">
        <v>15917</v>
      </c>
      <c r="C4325">
        <v>12</v>
      </c>
      <c r="D4325">
        <v>75</v>
      </c>
    </row>
    <row r="4326" spans="1:4" x14ac:dyDescent="0.25">
      <c r="A4326" s="45" t="s">
        <v>4353</v>
      </c>
      <c r="B4326" s="46" t="s">
        <v>15918</v>
      </c>
      <c r="C4326">
        <v>12</v>
      </c>
      <c r="D4326">
        <v>75</v>
      </c>
    </row>
    <row r="4327" spans="1:4" x14ac:dyDescent="0.25">
      <c r="A4327" s="45" t="s">
        <v>4354</v>
      </c>
      <c r="B4327" s="46" t="s">
        <v>15919</v>
      </c>
      <c r="C4327">
        <v>12</v>
      </c>
      <c r="D4327">
        <v>75</v>
      </c>
    </row>
    <row r="4328" spans="1:4" x14ac:dyDescent="0.25">
      <c r="A4328" s="45" t="s">
        <v>4355</v>
      </c>
      <c r="B4328" s="46" t="s">
        <v>15920</v>
      </c>
      <c r="C4328">
        <v>12</v>
      </c>
      <c r="D4328">
        <v>75</v>
      </c>
    </row>
    <row r="4329" spans="1:4" x14ac:dyDescent="0.25">
      <c r="A4329" s="45" t="s">
        <v>4356</v>
      </c>
      <c r="B4329" s="46" t="s">
        <v>15921</v>
      </c>
      <c r="C4329">
        <v>12</v>
      </c>
      <c r="D4329">
        <v>75</v>
      </c>
    </row>
    <row r="4330" spans="1:4" x14ac:dyDescent="0.25">
      <c r="A4330" s="45" t="s">
        <v>4357</v>
      </c>
      <c r="B4330" s="46" t="s">
        <v>15922</v>
      </c>
      <c r="C4330">
        <v>12</v>
      </c>
      <c r="D4330">
        <v>75</v>
      </c>
    </row>
    <row r="4331" spans="1:4" x14ac:dyDescent="0.25">
      <c r="A4331" s="45" t="s">
        <v>4358</v>
      </c>
      <c r="B4331" s="46" t="s">
        <v>20187</v>
      </c>
      <c r="C4331">
        <v>12</v>
      </c>
      <c r="D4331">
        <v>75</v>
      </c>
    </row>
    <row r="4332" spans="1:4" x14ac:dyDescent="0.25">
      <c r="A4332" s="45" t="s">
        <v>4359</v>
      </c>
      <c r="B4332" s="46" t="s">
        <v>15923</v>
      </c>
      <c r="C4332">
        <v>12</v>
      </c>
      <c r="D4332">
        <v>75</v>
      </c>
    </row>
    <row r="4333" spans="1:4" x14ac:dyDescent="0.25">
      <c r="A4333" s="45" t="s">
        <v>4360</v>
      </c>
      <c r="B4333" s="46" t="s">
        <v>15924</v>
      </c>
      <c r="C4333">
        <v>12</v>
      </c>
      <c r="D4333">
        <v>75</v>
      </c>
    </row>
    <row r="4334" spans="1:4" x14ac:dyDescent="0.25">
      <c r="A4334" s="45" t="s">
        <v>4361</v>
      </c>
      <c r="B4334" s="46" t="s">
        <v>15925</v>
      </c>
      <c r="C4334">
        <v>12</v>
      </c>
      <c r="D4334">
        <v>75</v>
      </c>
    </row>
    <row r="4335" spans="1:4" x14ac:dyDescent="0.25">
      <c r="A4335" s="45" t="s">
        <v>4362</v>
      </c>
      <c r="B4335" s="46" t="s">
        <v>15926</v>
      </c>
      <c r="C4335">
        <v>12</v>
      </c>
      <c r="D4335">
        <v>75</v>
      </c>
    </row>
    <row r="4336" spans="1:4" x14ac:dyDescent="0.25">
      <c r="A4336" s="45" t="s">
        <v>4363</v>
      </c>
      <c r="B4336" s="46" t="s">
        <v>15927</v>
      </c>
      <c r="C4336">
        <v>12</v>
      </c>
      <c r="D4336">
        <v>75</v>
      </c>
    </row>
    <row r="4337" spans="1:4" x14ac:dyDescent="0.25">
      <c r="A4337" s="45" t="s">
        <v>4364</v>
      </c>
      <c r="B4337" s="46" t="s">
        <v>15928</v>
      </c>
      <c r="C4337">
        <v>12</v>
      </c>
      <c r="D4337">
        <v>75</v>
      </c>
    </row>
    <row r="4338" spans="1:4" x14ac:dyDescent="0.25">
      <c r="A4338" s="45" t="s">
        <v>4365</v>
      </c>
      <c r="B4338" s="46" t="s">
        <v>15929</v>
      </c>
      <c r="C4338">
        <v>12</v>
      </c>
      <c r="D4338">
        <v>75</v>
      </c>
    </row>
    <row r="4339" spans="1:4" x14ac:dyDescent="0.25">
      <c r="A4339" s="45" t="s">
        <v>4366</v>
      </c>
      <c r="B4339" s="46" t="s">
        <v>15930</v>
      </c>
      <c r="C4339">
        <v>12</v>
      </c>
      <c r="D4339">
        <v>75</v>
      </c>
    </row>
    <row r="4340" spans="1:4" x14ac:dyDescent="0.25">
      <c r="A4340" s="45" t="s">
        <v>4367</v>
      </c>
      <c r="B4340" s="46" t="s">
        <v>15931</v>
      </c>
      <c r="C4340">
        <v>12</v>
      </c>
      <c r="D4340">
        <v>75</v>
      </c>
    </row>
    <row r="4341" spans="1:4" x14ac:dyDescent="0.25">
      <c r="A4341" s="45" t="s">
        <v>4368</v>
      </c>
      <c r="B4341" s="46" t="s">
        <v>20188</v>
      </c>
      <c r="C4341">
        <v>12</v>
      </c>
      <c r="D4341">
        <v>75</v>
      </c>
    </row>
    <row r="4342" spans="1:4" x14ac:dyDescent="0.25">
      <c r="A4342" s="45" t="s">
        <v>4369</v>
      </c>
      <c r="B4342" s="46" t="s">
        <v>15932</v>
      </c>
      <c r="C4342">
        <v>12</v>
      </c>
      <c r="D4342">
        <v>75</v>
      </c>
    </row>
    <row r="4343" spans="1:4" x14ac:dyDescent="0.25">
      <c r="A4343" s="45" t="s">
        <v>4370</v>
      </c>
      <c r="B4343" s="46" t="s">
        <v>20189</v>
      </c>
      <c r="C4343">
        <v>12</v>
      </c>
      <c r="D4343">
        <v>75</v>
      </c>
    </row>
    <row r="4344" spans="1:4" x14ac:dyDescent="0.25">
      <c r="A4344" s="45" t="s">
        <v>4371</v>
      </c>
      <c r="B4344" s="46" t="s">
        <v>20190</v>
      </c>
      <c r="C4344">
        <v>12</v>
      </c>
      <c r="D4344">
        <v>75</v>
      </c>
    </row>
    <row r="4345" spans="1:4" x14ac:dyDescent="0.25">
      <c r="A4345" s="45" t="s">
        <v>4372</v>
      </c>
      <c r="B4345" s="46" t="s">
        <v>20191</v>
      </c>
      <c r="C4345">
        <v>12</v>
      </c>
      <c r="D4345">
        <v>75</v>
      </c>
    </row>
    <row r="4346" spans="1:4" x14ac:dyDescent="0.25">
      <c r="A4346" s="45" t="s">
        <v>4373</v>
      </c>
      <c r="B4346" s="46" t="s">
        <v>15933</v>
      </c>
      <c r="C4346">
        <v>12</v>
      </c>
      <c r="D4346">
        <v>75</v>
      </c>
    </row>
    <row r="4347" spans="1:4" x14ac:dyDescent="0.25">
      <c r="A4347" s="45" t="s">
        <v>4374</v>
      </c>
      <c r="B4347" s="46" t="s">
        <v>15934</v>
      </c>
      <c r="C4347">
        <v>12</v>
      </c>
      <c r="D4347">
        <v>75</v>
      </c>
    </row>
    <row r="4348" spans="1:4" x14ac:dyDescent="0.25">
      <c r="A4348" s="45" t="s">
        <v>4375</v>
      </c>
      <c r="B4348" s="46" t="s">
        <v>15935</v>
      </c>
      <c r="C4348">
        <v>12</v>
      </c>
      <c r="D4348">
        <v>75</v>
      </c>
    </row>
    <row r="4349" spans="1:4" x14ac:dyDescent="0.25">
      <c r="A4349" s="45" t="s">
        <v>4376</v>
      </c>
      <c r="B4349" s="46" t="s">
        <v>15936</v>
      </c>
      <c r="C4349">
        <v>12</v>
      </c>
      <c r="D4349">
        <v>75</v>
      </c>
    </row>
    <row r="4350" spans="1:4" x14ac:dyDescent="0.25">
      <c r="A4350" s="45" t="s">
        <v>4377</v>
      </c>
      <c r="B4350" s="46" t="s">
        <v>20192</v>
      </c>
      <c r="C4350">
        <v>12</v>
      </c>
      <c r="D4350">
        <v>76</v>
      </c>
    </row>
    <row r="4351" spans="1:4" x14ac:dyDescent="0.25">
      <c r="A4351" s="45" t="s">
        <v>4378</v>
      </c>
      <c r="B4351" s="46" t="s">
        <v>15937</v>
      </c>
      <c r="C4351">
        <v>12</v>
      </c>
      <c r="D4351">
        <v>76</v>
      </c>
    </row>
    <row r="4352" spans="1:4" x14ac:dyDescent="0.25">
      <c r="A4352" s="45" t="s">
        <v>4379</v>
      </c>
      <c r="B4352" s="46" t="s">
        <v>15938</v>
      </c>
      <c r="C4352">
        <v>12</v>
      </c>
      <c r="D4352">
        <v>76</v>
      </c>
    </row>
    <row r="4353" spans="1:4" x14ac:dyDescent="0.25">
      <c r="A4353" s="45" t="s">
        <v>4380</v>
      </c>
      <c r="B4353" s="46" t="s">
        <v>20193</v>
      </c>
      <c r="C4353">
        <v>12</v>
      </c>
      <c r="D4353">
        <v>76</v>
      </c>
    </row>
    <row r="4354" spans="1:4" x14ac:dyDescent="0.25">
      <c r="A4354" s="45" t="s">
        <v>4381</v>
      </c>
      <c r="B4354" s="46" t="s">
        <v>20194</v>
      </c>
      <c r="C4354">
        <v>12</v>
      </c>
      <c r="D4354">
        <v>76</v>
      </c>
    </row>
    <row r="4355" spans="1:4" x14ac:dyDescent="0.25">
      <c r="A4355" s="45" t="s">
        <v>4382</v>
      </c>
      <c r="B4355" s="46" t="s">
        <v>15939</v>
      </c>
      <c r="C4355">
        <v>12</v>
      </c>
      <c r="D4355">
        <v>76</v>
      </c>
    </row>
    <row r="4356" spans="1:4" x14ac:dyDescent="0.25">
      <c r="A4356" s="45" t="s">
        <v>4383</v>
      </c>
      <c r="B4356" s="46" t="s">
        <v>15940</v>
      </c>
      <c r="C4356">
        <v>12</v>
      </c>
      <c r="D4356">
        <v>75</v>
      </c>
    </row>
    <row r="4357" spans="1:4" x14ac:dyDescent="0.25">
      <c r="A4357" s="45" t="s">
        <v>4384</v>
      </c>
      <c r="B4357" s="46" t="s">
        <v>15941</v>
      </c>
      <c r="C4357">
        <v>12</v>
      </c>
      <c r="D4357">
        <v>75</v>
      </c>
    </row>
    <row r="4358" spans="1:4" x14ac:dyDescent="0.25">
      <c r="A4358" s="45" t="s">
        <v>4385</v>
      </c>
      <c r="B4358" s="46" t="s">
        <v>15942</v>
      </c>
      <c r="C4358">
        <v>12</v>
      </c>
      <c r="D4358">
        <v>75</v>
      </c>
    </row>
    <row r="4359" spans="1:4" x14ac:dyDescent="0.25">
      <c r="A4359" s="45" t="s">
        <v>4386</v>
      </c>
      <c r="B4359" s="46" t="s">
        <v>15943</v>
      </c>
      <c r="C4359">
        <v>12</v>
      </c>
      <c r="D4359">
        <v>75</v>
      </c>
    </row>
    <row r="4360" spans="1:4" x14ac:dyDescent="0.25">
      <c r="A4360" s="45" t="s">
        <v>4387</v>
      </c>
      <c r="B4360" s="46" t="s">
        <v>15944</v>
      </c>
      <c r="C4360">
        <v>12</v>
      </c>
      <c r="D4360">
        <v>75</v>
      </c>
    </row>
    <row r="4361" spans="1:4" x14ac:dyDescent="0.25">
      <c r="A4361" s="45" t="s">
        <v>4388</v>
      </c>
      <c r="B4361" s="46" t="s">
        <v>20195</v>
      </c>
      <c r="C4361">
        <v>12</v>
      </c>
      <c r="D4361">
        <v>75</v>
      </c>
    </row>
    <row r="4362" spans="1:4" x14ac:dyDescent="0.25">
      <c r="A4362" s="45" t="s">
        <v>4389</v>
      </c>
      <c r="B4362" s="46" t="s">
        <v>20196</v>
      </c>
      <c r="C4362">
        <v>12</v>
      </c>
      <c r="D4362">
        <v>75</v>
      </c>
    </row>
    <row r="4363" spans="1:4" x14ac:dyDescent="0.25">
      <c r="A4363" s="45" t="s">
        <v>4390</v>
      </c>
      <c r="B4363" s="46" t="s">
        <v>15945</v>
      </c>
      <c r="C4363">
        <v>12</v>
      </c>
      <c r="D4363">
        <v>75</v>
      </c>
    </row>
    <row r="4364" spans="1:4" x14ac:dyDescent="0.25">
      <c r="A4364" s="45" t="s">
        <v>4391</v>
      </c>
      <c r="B4364" s="46" t="s">
        <v>15946</v>
      </c>
      <c r="C4364">
        <v>12</v>
      </c>
      <c r="D4364">
        <v>76</v>
      </c>
    </row>
    <row r="4365" spans="1:4" x14ac:dyDescent="0.25">
      <c r="A4365" s="45" t="s">
        <v>4392</v>
      </c>
      <c r="B4365" s="46" t="s">
        <v>15947</v>
      </c>
      <c r="C4365">
        <v>12</v>
      </c>
      <c r="D4365">
        <v>76</v>
      </c>
    </row>
    <row r="4366" spans="1:4" x14ac:dyDescent="0.25">
      <c r="A4366" s="45" t="s">
        <v>4393</v>
      </c>
      <c r="B4366" s="46" t="s">
        <v>20197</v>
      </c>
      <c r="C4366">
        <v>12</v>
      </c>
      <c r="D4366">
        <v>76</v>
      </c>
    </row>
    <row r="4367" spans="1:4" x14ac:dyDescent="0.25">
      <c r="A4367" s="45" t="s">
        <v>4394</v>
      </c>
      <c r="B4367" s="46" t="s">
        <v>20198</v>
      </c>
      <c r="C4367">
        <v>12</v>
      </c>
      <c r="D4367">
        <v>76</v>
      </c>
    </row>
    <row r="4368" spans="1:4" x14ac:dyDescent="0.25">
      <c r="A4368" s="45" t="s">
        <v>4395</v>
      </c>
      <c r="B4368" s="46" t="s">
        <v>20199</v>
      </c>
      <c r="C4368">
        <v>12</v>
      </c>
      <c r="D4368">
        <v>76</v>
      </c>
    </row>
    <row r="4369" spans="1:4" x14ac:dyDescent="0.25">
      <c r="A4369" s="45" t="s">
        <v>4396</v>
      </c>
      <c r="B4369" s="46" t="s">
        <v>15948</v>
      </c>
      <c r="C4369">
        <v>12</v>
      </c>
      <c r="D4369">
        <v>76</v>
      </c>
    </row>
    <row r="4370" spans="1:4" x14ac:dyDescent="0.25">
      <c r="A4370" s="45" t="s">
        <v>4397</v>
      </c>
      <c r="B4370" s="46" t="s">
        <v>15949</v>
      </c>
      <c r="C4370">
        <v>12</v>
      </c>
      <c r="D4370">
        <v>76</v>
      </c>
    </row>
    <row r="4371" spans="1:4" x14ac:dyDescent="0.25">
      <c r="A4371" s="45" t="s">
        <v>4398</v>
      </c>
      <c r="B4371" s="46" t="s">
        <v>15950</v>
      </c>
      <c r="C4371">
        <v>12</v>
      </c>
      <c r="D4371">
        <v>76</v>
      </c>
    </row>
    <row r="4372" spans="1:4" x14ac:dyDescent="0.25">
      <c r="A4372" s="45" t="s">
        <v>4399</v>
      </c>
      <c r="B4372" s="46" t="s">
        <v>15951</v>
      </c>
      <c r="C4372">
        <v>12</v>
      </c>
      <c r="D4372">
        <v>76</v>
      </c>
    </row>
    <row r="4373" spans="1:4" x14ac:dyDescent="0.25">
      <c r="A4373" s="45" t="s">
        <v>4400</v>
      </c>
      <c r="B4373" s="46" t="s">
        <v>15952</v>
      </c>
      <c r="C4373">
        <v>12</v>
      </c>
      <c r="D4373">
        <v>76</v>
      </c>
    </row>
    <row r="4374" spans="1:4" x14ac:dyDescent="0.25">
      <c r="A4374" s="45" t="s">
        <v>4401</v>
      </c>
      <c r="B4374" s="46" t="s">
        <v>15953</v>
      </c>
      <c r="C4374">
        <v>12</v>
      </c>
      <c r="D4374">
        <v>76</v>
      </c>
    </row>
    <row r="4375" spans="1:4" x14ac:dyDescent="0.25">
      <c r="A4375" s="45" t="s">
        <v>4402</v>
      </c>
      <c r="B4375" s="46" t="s">
        <v>15954</v>
      </c>
      <c r="C4375">
        <v>12</v>
      </c>
      <c r="D4375">
        <v>76</v>
      </c>
    </row>
    <row r="4376" spans="1:4" x14ac:dyDescent="0.25">
      <c r="A4376" s="45" t="s">
        <v>4403</v>
      </c>
      <c r="B4376" s="46" t="s">
        <v>15955</v>
      </c>
      <c r="C4376">
        <v>12</v>
      </c>
      <c r="D4376">
        <v>76</v>
      </c>
    </row>
    <row r="4377" spans="1:4" x14ac:dyDescent="0.25">
      <c r="A4377" s="45" t="s">
        <v>4404</v>
      </c>
      <c r="B4377" s="46" t="s">
        <v>20200</v>
      </c>
      <c r="C4377">
        <v>12</v>
      </c>
      <c r="D4377">
        <v>76</v>
      </c>
    </row>
    <row r="4378" spans="1:4" x14ac:dyDescent="0.25">
      <c r="A4378" s="45" t="s">
        <v>4405</v>
      </c>
      <c r="B4378" s="46" t="s">
        <v>20201</v>
      </c>
      <c r="C4378">
        <v>12</v>
      </c>
      <c r="D4378">
        <v>76</v>
      </c>
    </row>
    <row r="4379" spans="1:4" x14ac:dyDescent="0.25">
      <c r="A4379" s="45" t="s">
        <v>4406</v>
      </c>
      <c r="B4379" s="46" t="s">
        <v>15956</v>
      </c>
      <c r="C4379">
        <v>12</v>
      </c>
      <c r="D4379">
        <v>76</v>
      </c>
    </row>
    <row r="4380" spans="1:4" x14ac:dyDescent="0.25">
      <c r="A4380" s="45" t="s">
        <v>4407</v>
      </c>
      <c r="B4380" s="46" t="s">
        <v>15957</v>
      </c>
      <c r="C4380">
        <v>12</v>
      </c>
      <c r="D4380">
        <v>76</v>
      </c>
    </row>
    <row r="4381" spans="1:4" x14ac:dyDescent="0.25">
      <c r="A4381" s="45" t="s">
        <v>4408</v>
      </c>
      <c r="B4381" s="46" t="s">
        <v>15958</v>
      </c>
      <c r="C4381">
        <v>12</v>
      </c>
      <c r="D4381">
        <v>76</v>
      </c>
    </row>
    <row r="4382" spans="1:4" x14ac:dyDescent="0.25">
      <c r="A4382" s="45" t="s">
        <v>4409</v>
      </c>
      <c r="B4382" s="46" t="s">
        <v>15959</v>
      </c>
      <c r="C4382">
        <v>12</v>
      </c>
      <c r="D4382">
        <v>76</v>
      </c>
    </row>
    <row r="4383" spans="1:4" x14ac:dyDescent="0.25">
      <c r="A4383" s="45" t="s">
        <v>4410</v>
      </c>
      <c r="B4383" s="46" t="s">
        <v>15960</v>
      </c>
      <c r="C4383">
        <v>12</v>
      </c>
      <c r="D4383">
        <v>76</v>
      </c>
    </row>
    <row r="4384" spans="1:4" x14ac:dyDescent="0.25">
      <c r="A4384" s="45" t="s">
        <v>4411</v>
      </c>
      <c r="B4384" s="46" t="s">
        <v>15961</v>
      </c>
      <c r="C4384">
        <v>12</v>
      </c>
      <c r="D4384">
        <v>76</v>
      </c>
    </row>
    <row r="4385" spans="1:4" x14ac:dyDescent="0.25">
      <c r="A4385" s="45" t="s">
        <v>4412</v>
      </c>
      <c r="B4385" s="46" t="s">
        <v>15962</v>
      </c>
      <c r="C4385">
        <v>12</v>
      </c>
      <c r="D4385">
        <v>76</v>
      </c>
    </row>
    <row r="4386" spans="1:4" x14ac:dyDescent="0.25">
      <c r="A4386" s="45" t="s">
        <v>4413</v>
      </c>
      <c r="B4386" s="46" t="s">
        <v>15963</v>
      </c>
      <c r="C4386">
        <v>12</v>
      </c>
      <c r="D4386">
        <v>76</v>
      </c>
    </row>
    <row r="4387" spans="1:4" x14ac:dyDescent="0.25">
      <c r="A4387" s="45" t="s">
        <v>4414</v>
      </c>
      <c r="B4387" s="46" t="s">
        <v>15964</v>
      </c>
      <c r="C4387">
        <v>12</v>
      </c>
      <c r="D4387">
        <v>76</v>
      </c>
    </row>
    <row r="4388" spans="1:4" x14ac:dyDescent="0.25">
      <c r="A4388" s="45" t="s">
        <v>4415</v>
      </c>
      <c r="B4388" s="46" t="s">
        <v>15965</v>
      </c>
      <c r="C4388">
        <v>12</v>
      </c>
      <c r="D4388">
        <v>75</v>
      </c>
    </row>
    <row r="4389" spans="1:4" x14ac:dyDescent="0.25">
      <c r="A4389" s="45" t="s">
        <v>4416</v>
      </c>
      <c r="B4389" s="46" t="s">
        <v>15966</v>
      </c>
      <c r="C4389">
        <v>12</v>
      </c>
      <c r="D4389">
        <v>76</v>
      </c>
    </row>
    <row r="4390" spans="1:4" x14ac:dyDescent="0.25">
      <c r="A4390" s="45" t="s">
        <v>4417</v>
      </c>
      <c r="B4390" s="46" t="s">
        <v>15967</v>
      </c>
      <c r="C4390">
        <v>12</v>
      </c>
      <c r="D4390">
        <v>76</v>
      </c>
    </row>
    <row r="4391" spans="1:4" x14ac:dyDescent="0.25">
      <c r="A4391" s="45" t="s">
        <v>4418</v>
      </c>
      <c r="B4391" s="46" t="s">
        <v>15968</v>
      </c>
      <c r="C4391">
        <v>12</v>
      </c>
      <c r="D4391">
        <v>76</v>
      </c>
    </row>
    <row r="4392" spans="1:4" x14ac:dyDescent="0.25">
      <c r="A4392" s="45" t="s">
        <v>4419</v>
      </c>
      <c r="B4392" s="46" t="s">
        <v>15969</v>
      </c>
      <c r="C4392">
        <v>12</v>
      </c>
      <c r="D4392">
        <v>76</v>
      </c>
    </row>
    <row r="4393" spans="1:4" x14ac:dyDescent="0.25">
      <c r="A4393" s="45" t="s">
        <v>4420</v>
      </c>
      <c r="B4393" s="46" t="s">
        <v>15970</v>
      </c>
      <c r="C4393">
        <v>12</v>
      </c>
      <c r="D4393">
        <v>76</v>
      </c>
    </row>
    <row r="4394" spans="1:4" x14ac:dyDescent="0.25">
      <c r="A4394" s="45" t="s">
        <v>4421</v>
      </c>
      <c r="B4394" s="46" t="s">
        <v>15971</v>
      </c>
      <c r="C4394">
        <v>12</v>
      </c>
      <c r="D4394">
        <v>76</v>
      </c>
    </row>
    <row r="4395" spans="1:4" x14ac:dyDescent="0.25">
      <c r="A4395" s="45" t="s">
        <v>4422</v>
      </c>
      <c r="B4395" s="46" t="s">
        <v>15972</v>
      </c>
      <c r="C4395">
        <v>12</v>
      </c>
      <c r="D4395">
        <v>76</v>
      </c>
    </row>
    <row r="4396" spans="1:4" x14ac:dyDescent="0.25">
      <c r="A4396" s="45" t="s">
        <v>4423</v>
      </c>
      <c r="B4396" s="46" t="s">
        <v>15973</v>
      </c>
      <c r="C4396">
        <v>12</v>
      </c>
      <c r="D4396">
        <v>76</v>
      </c>
    </row>
    <row r="4397" spans="1:4" x14ac:dyDescent="0.25">
      <c r="A4397" s="45" t="s">
        <v>4424</v>
      </c>
      <c r="B4397" s="46" t="s">
        <v>15974</v>
      </c>
      <c r="C4397">
        <v>12</v>
      </c>
      <c r="D4397">
        <v>76</v>
      </c>
    </row>
    <row r="4398" spans="1:4" x14ac:dyDescent="0.25">
      <c r="A4398" s="45" t="s">
        <v>4425</v>
      </c>
      <c r="B4398" s="46" t="s">
        <v>15975</v>
      </c>
      <c r="C4398">
        <v>12</v>
      </c>
      <c r="D4398">
        <v>76</v>
      </c>
    </row>
    <row r="4399" spans="1:4" x14ac:dyDescent="0.25">
      <c r="A4399" s="45" t="s">
        <v>4426</v>
      </c>
      <c r="B4399" s="46" t="s">
        <v>15976</v>
      </c>
      <c r="C4399">
        <v>12</v>
      </c>
      <c r="D4399">
        <v>76</v>
      </c>
    </row>
    <row r="4400" spans="1:4" x14ac:dyDescent="0.25">
      <c r="A4400" s="45" t="s">
        <v>4427</v>
      </c>
      <c r="B4400" s="46" t="s">
        <v>15977</v>
      </c>
      <c r="C4400">
        <v>12</v>
      </c>
      <c r="D4400">
        <v>76</v>
      </c>
    </row>
    <row r="4401" spans="1:4" x14ac:dyDescent="0.25">
      <c r="A4401" s="45" t="s">
        <v>4428</v>
      </c>
      <c r="B4401" s="46" t="s">
        <v>20202</v>
      </c>
      <c r="C4401">
        <v>12</v>
      </c>
      <c r="D4401">
        <v>76</v>
      </c>
    </row>
    <row r="4402" spans="1:4" x14ac:dyDescent="0.25">
      <c r="A4402" s="45" t="s">
        <v>4429</v>
      </c>
      <c r="B4402" s="46" t="s">
        <v>15978</v>
      </c>
      <c r="C4402">
        <v>12</v>
      </c>
      <c r="D4402">
        <v>76</v>
      </c>
    </row>
    <row r="4403" spans="1:4" x14ac:dyDescent="0.25">
      <c r="A4403" s="45" t="s">
        <v>4430</v>
      </c>
      <c r="B4403" s="46" t="s">
        <v>15979</v>
      </c>
      <c r="C4403">
        <v>12</v>
      </c>
      <c r="D4403">
        <v>76</v>
      </c>
    </row>
    <row r="4404" spans="1:4" x14ac:dyDescent="0.25">
      <c r="A4404" s="45" t="s">
        <v>4431</v>
      </c>
      <c r="B4404" s="46" t="s">
        <v>15980</v>
      </c>
      <c r="C4404">
        <v>12</v>
      </c>
      <c r="D4404">
        <v>76</v>
      </c>
    </row>
    <row r="4405" spans="1:4" x14ac:dyDescent="0.25">
      <c r="A4405" s="45" t="s">
        <v>4432</v>
      </c>
      <c r="B4405" s="46" t="s">
        <v>15981</v>
      </c>
      <c r="C4405">
        <v>12</v>
      </c>
      <c r="D4405">
        <v>76</v>
      </c>
    </row>
    <row r="4406" spans="1:4" x14ac:dyDescent="0.25">
      <c r="A4406" s="45" t="s">
        <v>4433</v>
      </c>
      <c r="B4406" s="46" t="s">
        <v>15982</v>
      </c>
      <c r="C4406">
        <v>12</v>
      </c>
      <c r="D4406">
        <v>76</v>
      </c>
    </row>
    <row r="4407" spans="1:4" x14ac:dyDescent="0.25">
      <c r="A4407" s="45" t="s">
        <v>4434</v>
      </c>
      <c r="B4407" s="46" t="s">
        <v>15983</v>
      </c>
      <c r="C4407">
        <v>12</v>
      </c>
      <c r="D4407">
        <v>76</v>
      </c>
    </row>
    <row r="4408" spans="1:4" x14ac:dyDescent="0.25">
      <c r="A4408" s="45" t="s">
        <v>4435</v>
      </c>
      <c r="B4408" s="46" t="s">
        <v>20203</v>
      </c>
      <c r="C4408">
        <v>12</v>
      </c>
      <c r="D4408">
        <v>76</v>
      </c>
    </row>
    <row r="4409" spans="1:4" x14ac:dyDescent="0.25">
      <c r="A4409" s="45" t="s">
        <v>4436</v>
      </c>
      <c r="B4409" s="46" t="s">
        <v>15984</v>
      </c>
      <c r="C4409">
        <v>12</v>
      </c>
      <c r="D4409">
        <v>76</v>
      </c>
    </row>
    <row r="4410" spans="1:4" x14ac:dyDescent="0.25">
      <c r="A4410" s="45" t="s">
        <v>4437</v>
      </c>
      <c r="B4410" s="46" t="s">
        <v>15985</v>
      </c>
      <c r="C4410">
        <v>12</v>
      </c>
      <c r="D4410">
        <v>76</v>
      </c>
    </row>
    <row r="4411" spans="1:4" x14ac:dyDescent="0.25">
      <c r="A4411" s="45" t="s">
        <v>4438</v>
      </c>
      <c r="B4411" s="46" t="s">
        <v>15986</v>
      </c>
      <c r="C4411">
        <v>12</v>
      </c>
      <c r="D4411">
        <v>76</v>
      </c>
    </row>
    <row r="4412" spans="1:4" x14ac:dyDescent="0.25">
      <c r="A4412" s="45" t="s">
        <v>4439</v>
      </c>
      <c r="B4412" s="46" t="s">
        <v>15987</v>
      </c>
      <c r="C4412">
        <v>12</v>
      </c>
      <c r="D4412">
        <v>75</v>
      </c>
    </row>
    <row r="4413" spans="1:4" x14ac:dyDescent="0.25">
      <c r="A4413" s="45" t="s">
        <v>4440</v>
      </c>
      <c r="B4413" s="46" t="s">
        <v>15988</v>
      </c>
      <c r="C4413">
        <v>12</v>
      </c>
      <c r="D4413">
        <v>75</v>
      </c>
    </row>
    <row r="4414" spans="1:4" x14ac:dyDescent="0.25">
      <c r="A4414" s="45" t="s">
        <v>4441</v>
      </c>
      <c r="B4414" s="46" t="s">
        <v>15989</v>
      </c>
      <c r="C4414">
        <v>12</v>
      </c>
      <c r="D4414">
        <v>75</v>
      </c>
    </row>
    <row r="4415" spans="1:4" x14ac:dyDescent="0.25">
      <c r="A4415" s="45" t="s">
        <v>4442</v>
      </c>
      <c r="B4415" s="46" t="s">
        <v>15990</v>
      </c>
      <c r="C4415">
        <v>12</v>
      </c>
      <c r="D4415">
        <v>75</v>
      </c>
    </row>
    <row r="4416" spans="1:4" x14ac:dyDescent="0.25">
      <c r="A4416" s="45" t="s">
        <v>4443</v>
      </c>
      <c r="B4416" s="46" t="s">
        <v>15991</v>
      </c>
      <c r="C4416">
        <v>12</v>
      </c>
      <c r="D4416">
        <v>76</v>
      </c>
    </row>
    <row r="4417" spans="1:4" x14ac:dyDescent="0.25">
      <c r="A4417" s="45" t="s">
        <v>4444</v>
      </c>
      <c r="B4417" s="46" t="s">
        <v>15992</v>
      </c>
      <c r="C4417">
        <v>12</v>
      </c>
      <c r="D4417">
        <v>76</v>
      </c>
    </row>
    <row r="4418" spans="1:4" x14ac:dyDescent="0.25">
      <c r="A4418" s="45" t="s">
        <v>4445</v>
      </c>
      <c r="B4418" s="46" t="s">
        <v>15993</v>
      </c>
      <c r="C4418">
        <v>12</v>
      </c>
      <c r="D4418">
        <v>76</v>
      </c>
    </row>
    <row r="4419" spans="1:4" x14ac:dyDescent="0.25">
      <c r="A4419" s="45" t="s">
        <v>4446</v>
      </c>
      <c r="B4419" s="46" t="s">
        <v>15994</v>
      </c>
      <c r="C4419">
        <v>12</v>
      </c>
      <c r="D4419">
        <v>76</v>
      </c>
    </row>
    <row r="4420" spans="1:4" x14ac:dyDescent="0.25">
      <c r="A4420" s="45" t="s">
        <v>4447</v>
      </c>
      <c r="B4420" s="46" t="s">
        <v>15995</v>
      </c>
      <c r="C4420">
        <v>12</v>
      </c>
      <c r="D4420">
        <v>76</v>
      </c>
    </row>
    <row r="4421" spans="1:4" x14ac:dyDescent="0.25">
      <c r="A4421" s="45" t="s">
        <v>4448</v>
      </c>
      <c r="B4421" s="46" t="s">
        <v>15996</v>
      </c>
      <c r="C4421">
        <v>12</v>
      </c>
      <c r="D4421">
        <v>76</v>
      </c>
    </row>
    <row r="4422" spans="1:4" x14ac:dyDescent="0.25">
      <c r="A4422" s="45" t="s">
        <v>4449</v>
      </c>
      <c r="B4422" s="46" t="s">
        <v>15997</v>
      </c>
      <c r="C4422">
        <v>12</v>
      </c>
      <c r="D4422">
        <v>76</v>
      </c>
    </row>
    <row r="4423" spans="1:4" x14ac:dyDescent="0.25">
      <c r="A4423" s="45" t="s">
        <v>4450</v>
      </c>
      <c r="B4423" s="46" t="s">
        <v>15998</v>
      </c>
      <c r="C4423">
        <v>12</v>
      </c>
      <c r="D4423">
        <v>76</v>
      </c>
    </row>
    <row r="4424" spans="1:4" x14ac:dyDescent="0.25">
      <c r="A4424" s="45" t="s">
        <v>4451</v>
      </c>
      <c r="B4424" s="46" t="s">
        <v>15999</v>
      </c>
      <c r="C4424">
        <v>12</v>
      </c>
      <c r="D4424">
        <v>76</v>
      </c>
    </row>
    <row r="4425" spans="1:4" x14ac:dyDescent="0.25">
      <c r="A4425" s="45" t="s">
        <v>4452</v>
      </c>
      <c r="B4425" s="46" t="s">
        <v>20204</v>
      </c>
      <c r="C4425">
        <v>12</v>
      </c>
      <c r="D4425">
        <v>76</v>
      </c>
    </row>
    <row r="4426" spans="1:4" x14ac:dyDescent="0.25">
      <c r="A4426" s="45" t="s">
        <v>4453</v>
      </c>
      <c r="B4426" s="46" t="s">
        <v>16000</v>
      </c>
      <c r="C4426">
        <v>12</v>
      </c>
      <c r="D4426">
        <v>76</v>
      </c>
    </row>
    <row r="4427" spans="1:4" x14ac:dyDescent="0.25">
      <c r="A4427" s="45" t="s">
        <v>4454</v>
      </c>
      <c r="B4427" s="46" t="s">
        <v>16001</v>
      </c>
      <c r="C4427">
        <v>12</v>
      </c>
      <c r="D4427">
        <v>76</v>
      </c>
    </row>
    <row r="4428" spans="1:4" x14ac:dyDescent="0.25">
      <c r="A4428" s="45" t="s">
        <v>4455</v>
      </c>
      <c r="B4428" s="46" t="s">
        <v>16002</v>
      </c>
      <c r="C4428">
        <v>12</v>
      </c>
      <c r="D4428">
        <v>76</v>
      </c>
    </row>
    <row r="4429" spans="1:4" x14ac:dyDescent="0.25">
      <c r="A4429" s="45" t="s">
        <v>4456</v>
      </c>
      <c r="B4429" s="46" t="s">
        <v>16003</v>
      </c>
      <c r="C4429">
        <v>12</v>
      </c>
      <c r="D4429">
        <v>76</v>
      </c>
    </row>
    <row r="4430" spans="1:4" x14ac:dyDescent="0.25">
      <c r="A4430" s="45" t="s">
        <v>4457</v>
      </c>
      <c r="B4430" s="46" t="s">
        <v>16004</v>
      </c>
      <c r="C4430">
        <v>12</v>
      </c>
      <c r="D4430">
        <v>76</v>
      </c>
    </row>
    <row r="4431" spans="1:4" x14ac:dyDescent="0.25">
      <c r="A4431" s="45" t="s">
        <v>4458</v>
      </c>
      <c r="B4431" s="46" t="s">
        <v>16005</v>
      </c>
      <c r="C4431">
        <v>12</v>
      </c>
      <c r="D4431">
        <v>76</v>
      </c>
    </row>
    <row r="4432" spans="1:4" x14ac:dyDescent="0.25">
      <c r="A4432" s="45" t="s">
        <v>4459</v>
      </c>
      <c r="B4432" s="46" t="s">
        <v>16006</v>
      </c>
      <c r="C4432">
        <v>12</v>
      </c>
      <c r="D4432">
        <v>76</v>
      </c>
    </row>
    <row r="4433" spans="1:4" x14ac:dyDescent="0.25">
      <c r="A4433" s="45" t="s">
        <v>4460</v>
      </c>
      <c r="B4433" s="46" t="s">
        <v>16007</v>
      </c>
      <c r="C4433">
        <v>12</v>
      </c>
      <c r="D4433">
        <v>76</v>
      </c>
    </row>
    <row r="4434" spans="1:4" x14ac:dyDescent="0.25">
      <c r="A4434" s="45" t="s">
        <v>4461</v>
      </c>
      <c r="B4434" s="46" t="s">
        <v>20205</v>
      </c>
      <c r="C4434">
        <v>12</v>
      </c>
      <c r="D4434">
        <v>76</v>
      </c>
    </row>
    <row r="4435" spans="1:4" x14ac:dyDescent="0.25">
      <c r="A4435" s="45" t="s">
        <v>4462</v>
      </c>
      <c r="B4435" s="46" t="s">
        <v>16008</v>
      </c>
      <c r="C4435">
        <v>12</v>
      </c>
      <c r="D4435">
        <v>76</v>
      </c>
    </row>
    <row r="4436" spans="1:4" x14ac:dyDescent="0.25">
      <c r="A4436" s="45" t="s">
        <v>4463</v>
      </c>
      <c r="B4436" s="46" t="s">
        <v>20206</v>
      </c>
      <c r="C4436">
        <v>12</v>
      </c>
      <c r="D4436">
        <v>76</v>
      </c>
    </row>
    <row r="4437" spans="1:4" x14ac:dyDescent="0.25">
      <c r="A4437" s="45" t="s">
        <v>4464</v>
      </c>
      <c r="B4437" s="46" t="s">
        <v>16009</v>
      </c>
      <c r="C4437">
        <v>12</v>
      </c>
      <c r="D4437">
        <v>76</v>
      </c>
    </row>
    <row r="4438" spans="1:4" x14ac:dyDescent="0.25">
      <c r="A4438" s="45" t="s">
        <v>4465</v>
      </c>
      <c r="B4438" s="46" t="s">
        <v>16010</v>
      </c>
      <c r="C4438">
        <v>12</v>
      </c>
      <c r="D4438">
        <v>76</v>
      </c>
    </row>
    <row r="4439" spans="1:4" x14ac:dyDescent="0.25">
      <c r="A4439" s="45" t="s">
        <v>4466</v>
      </c>
      <c r="B4439" s="46" t="s">
        <v>16011</v>
      </c>
      <c r="C4439">
        <v>12</v>
      </c>
      <c r="D4439">
        <v>76</v>
      </c>
    </row>
    <row r="4440" spans="1:4" x14ac:dyDescent="0.25">
      <c r="A4440" s="45" t="s">
        <v>4467</v>
      </c>
      <c r="B4440" s="46" t="s">
        <v>16012</v>
      </c>
      <c r="C4440">
        <v>12</v>
      </c>
      <c r="D4440">
        <v>76</v>
      </c>
    </row>
    <row r="4441" spans="1:4" x14ac:dyDescent="0.25">
      <c r="A4441" s="45" t="s">
        <v>4468</v>
      </c>
      <c r="B4441" s="46" t="s">
        <v>20207</v>
      </c>
      <c r="C4441">
        <v>12</v>
      </c>
      <c r="D4441">
        <v>76</v>
      </c>
    </row>
    <row r="4442" spans="1:4" x14ac:dyDescent="0.25">
      <c r="A4442" s="45" t="s">
        <v>4469</v>
      </c>
      <c r="B4442" s="46" t="s">
        <v>16013</v>
      </c>
      <c r="C4442">
        <v>12</v>
      </c>
      <c r="D4442">
        <v>76</v>
      </c>
    </row>
    <row r="4443" spans="1:4" x14ac:dyDescent="0.25">
      <c r="A4443" s="45" t="s">
        <v>4470</v>
      </c>
      <c r="B4443" s="46" t="s">
        <v>16014</v>
      </c>
      <c r="C4443">
        <v>12</v>
      </c>
      <c r="D4443">
        <v>76</v>
      </c>
    </row>
    <row r="4444" spans="1:4" x14ac:dyDescent="0.25">
      <c r="A4444" s="45" t="s">
        <v>4471</v>
      </c>
      <c r="B4444" s="46" t="s">
        <v>16015</v>
      </c>
      <c r="C4444">
        <v>12</v>
      </c>
      <c r="D4444">
        <v>76</v>
      </c>
    </row>
    <row r="4445" spans="1:4" x14ac:dyDescent="0.25">
      <c r="A4445" s="45" t="s">
        <v>4472</v>
      </c>
      <c r="B4445" s="46" t="s">
        <v>16016</v>
      </c>
      <c r="C4445">
        <v>12</v>
      </c>
      <c r="D4445">
        <v>76</v>
      </c>
    </row>
    <row r="4446" spans="1:4" x14ac:dyDescent="0.25">
      <c r="A4446" s="45" t="s">
        <v>4473</v>
      </c>
      <c r="B4446" s="46" t="s">
        <v>16017</v>
      </c>
      <c r="C4446">
        <v>12</v>
      </c>
      <c r="D4446">
        <v>76</v>
      </c>
    </row>
    <row r="4447" spans="1:4" x14ac:dyDescent="0.25">
      <c r="A4447" s="45" t="s">
        <v>4474</v>
      </c>
      <c r="B4447" s="46" t="s">
        <v>20208</v>
      </c>
      <c r="C4447">
        <v>12</v>
      </c>
      <c r="D4447">
        <v>76</v>
      </c>
    </row>
    <row r="4448" spans="1:4" x14ac:dyDescent="0.25">
      <c r="A4448" s="45" t="s">
        <v>4475</v>
      </c>
      <c r="B4448" s="46" t="s">
        <v>16018</v>
      </c>
      <c r="C4448">
        <v>12</v>
      </c>
      <c r="D4448">
        <v>76</v>
      </c>
    </row>
    <row r="4449" spans="1:4" x14ac:dyDescent="0.25">
      <c r="A4449" s="45" t="s">
        <v>4476</v>
      </c>
      <c r="B4449" s="46" t="s">
        <v>16019</v>
      </c>
      <c r="C4449">
        <v>12</v>
      </c>
      <c r="D4449">
        <v>76</v>
      </c>
    </row>
    <row r="4450" spans="1:4" x14ac:dyDescent="0.25">
      <c r="A4450" s="45" t="s">
        <v>4477</v>
      </c>
      <c r="B4450" s="46" t="s">
        <v>16020</v>
      </c>
      <c r="C4450">
        <v>12</v>
      </c>
      <c r="D4450">
        <v>76</v>
      </c>
    </row>
    <row r="4451" spans="1:4" x14ac:dyDescent="0.25">
      <c r="A4451" s="45" t="s">
        <v>4478</v>
      </c>
      <c r="B4451" s="46" t="s">
        <v>16021</v>
      </c>
      <c r="C4451">
        <v>12</v>
      </c>
      <c r="D4451">
        <v>76</v>
      </c>
    </row>
    <row r="4452" spans="1:4" x14ac:dyDescent="0.25">
      <c r="A4452" s="45" t="s">
        <v>4479</v>
      </c>
      <c r="B4452" s="46" t="s">
        <v>16022</v>
      </c>
      <c r="C4452">
        <v>12</v>
      </c>
      <c r="D4452">
        <v>76</v>
      </c>
    </row>
    <row r="4453" spans="1:4" x14ac:dyDescent="0.25">
      <c r="A4453" s="45" t="s">
        <v>4480</v>
      </c>
      <c r="B4453" s="46" t="s">
        <v>16023</v>
      </c>
      <c r="C4453">
        <v>12</v>
      </c>
      <c r="D4453">
        <v>76</v>
      </c>
    </row>
    <row r="4454" spans="1:4" x14ac:dyDescent="0.25">
      <c r="A4454" s="45" t="s">
        <v>4481</v>
      </c>
      <c r="B4454" s="46" t="s">
        <v>16024</v>
      </c>
      <c r="C4454">
        <v>12</v>
      </c>
      <c r="D4454">
        <v>76</v>
      </c>
    </row>
    <row r="4455" spans="1:4" x14ac:dyDescent="0.25">
      <c r="A4455" s="45" t="s">
        <v>4482</v>
      </c>
      <c r="B4455" s="46" t="s">
        <v>16025</v>
      </c>
      <c r="C4455">
        <v>12</v>
      </c>
      <c r="D4455">
        <v>76</v>
      </c>
    </row>
    <row r="4456" spans="1:4" x14ac:dyDescent="0.25">
      <c r="A4456" s="45" t="s">
        <v>4483</v>
      </c>
      <c r="B4456" s="46" t="s">
        <v>16026</v>
      </c>
      <c r="C4456">
        <v>12</v>
      </c>
      <c r="D4456">
        <v>75</v>
      </c>
    </row>
    <row r="4457" spans="1:4" x14ac:dyDescent="0.25">
      <c r="A4457" s="45" t="s">
        <v>4484</v>
      </c>
      <c r="B4457" s="46" t="s">
        <v>16027</v>
      </c>
      <c r="C4457">
        <v>12</v>
      </c>
      <c r="D4457">
        <v>76</v>
      </c>
    </row>
    <row r="4458" spans="1:4" x14ac:dyDescent="0.25">
      <c r="A4458" s="45" t="s">
        <v>4485</v>
      </c>
      <c r="B4458" s="46" t="s">
        <v>20209</v>
      </c>
      <c r="C4458">
        <v>12</v>
      </c>
      <c r="D4458">
        <v>76</v>
      </c>
    </row>
    <row r="4459" spans="1:4" x14ac:dyDescent="0.25">
      <c r="A4459" s="45" t="s">
        <v>4486</v>
      </c>
      <c r="B4459" s="46" t="s">
        <v>16028</v>
      </c>
      <c r="C4459">
        <v>12</v>
      </c>
      <c r="D4459">
        <v>76</v>
      </c>
    </row>
    <row r="4460" spans="1:4" x14ac:dyDescent="0.25">
      <c r="A4460" s="45" t="s">
        <v>4487</v>
      </c>
      <c r="B4460" s="46" t="s">
        <v>16029</v>
      </c>
      <c r="C4460">
        <v>12</v>
      </c>
      <c r="D4460">
        <v>76</v>
      </c>
    </row>
    <row r="4461" spans="1:4" x14ac:dyDescent="0.25">
      <c r="A4461" s="45" t="s">
        <v>4488</v>
      </c>
      <c r="B4461" s="46" t="s">
        <v>16030</v>
      </c>
      <c r="C4461">
        <v>12</v>
      </c>
      <c r="D4461">
        <v>76</v>
      </c>
    </row>
    <row r="4462" spans="1:4" x14ac:dyDescent="0.25">
      <c r="A4462" s="45" t="s">
        <v>4489</v>
      </c>
      <c r="B4462" s="46" t="s">
        <v>16031</v>
      </c>
      <c r="C4462">
        <v>12</v>
      </c>
      <c r="D4462">
        <v>76</v>
      </c>
    </row>
    <row r="4463" spans="1:4" x14ac:dyDescent="0.25">
      <c r="A4463" s="45" t="s">
        <v>4490</v>
      </c>
      <c r="B4463" s="46" t="s">
        <v>20210</v>
      </c>
      <c r="C4463">
        <v>12</v>
      </c>
      <c r="D4463">
        <v>76</v>
      </c>
    </row>
    <row r="4464" spans="1:4" x14ac:dyDescent="0.25">
      <c r="A4464" s="45" t="s">
        <v>4491</v>
      </c>
      <c r="B4464" s="46" t="s">
        <v>20211</v>
      </c>
      <c r="C4464">
        <v>12</v>
      </c>
      <c r="D4464">
        <v>74</v>
      </c>
    </row>
    <row r="4465" spans="1:4" x14ac:dyDescent="0.25">
      <c r="A4465" s="45" t="s">
        <v>4492</v>
      </c>
      <c r="B4465" s="46" t="s">
        <v>16032</v>
      </c>
      <c r="C4465">
        <v>12</v>
      </c>
      <c r="D4465">
        <v>76</v>
      </c>
    </row>
    <row r="4466" spans="1:4" x14ac:dyDescent="0.25">
      <c r="A4466" s="45" t="s">
        <v>4493</v>
      </c>
      <c r="B4466" s="46" t="s">
        <v>16033</v>
      </c>
      <c r="C4466">
        <v>12</v>
      </c>
      <c r="D4466">
        <v>76</v>
      </c>
    </row>
    <row r="4467" spans="1:4" x14ac:dyDescent="0.25">
      <c r="A4467" s="45" t="s">
        <v>4494</v>
      </c>
      <c r="B4467" s="46" t="s">
        <v>16034</v>
      </c>
      <c r="C4467">
        <v>12</v>
      </c>
      <c r="D4467">
        <v>76</v>
      </c>
    </row>
    <row r="4468" spans="1:4" x14ac:dyDescent="0.25">
      <c r="A4468" s="45" t="s">
        <v>4495</v>
      </c>
      <c r="B4468" s="46" t="s">
        <v>20212</v>
      </c>
      <c r="C4468">
        <v>12</v>
      </c>
      <c r="D4468">
        <v>76</v>
      </c>
    </row>
    <row r="4469" spans="1:4" x14ac:dyDescent="0.25">
      <c r="A4469" s="45" t="s">
        <v>4496</v>
      </c>
      <c r="B4469" s="46" t="s">
        <v>16035</v>
      </c>
      <c r="C4469">
        <v>12</v>
      </c>
      <c r="D4469">
        <v>76</v>
      </c>
    </row>
    <row r="4470" spans="1:4" x14ac:dyDescent="0.25">
      <c r="A4470" s="45" t="s">
        <v>4497</v>
      </c>
      <c r="B4470" s="46" t="s">
        <v>16036</v>
      </c>
      <c r="C4470">
        <v>12</v>
      </c>
      <c r="D4470">
        <v>76</v>
      </c>
    </row>
    <row r="4471" spans="1:4" x14ac:dyDescent="0.25">
      <c r="A4471" s="45" t="s">
        <v>4498</v>
      </c>
      <c r="B4471" s="46" t="s">
        <v>16037</v>
      </c>
      <c r="C4471">
        <v>12</v>
      </c>
      <c r="D4471">
        <v>76</v>
      </c>
    </row>
    <row r="4472" spans="1:4" x14ac:dyDescent="0.25">
      <c r="A4472" s="45" t="s">
        <v>4499</v>
      </c>
      <c r="B4472" s="46" t="s">
        <v>16038</v>
      </c>
      <c r="C4472">
        <v>12</v>
      </c>
      <c r="D4472">
        <v>76</v>
      </c>
    </row>
    <row r="4473" spans="1:4" x14ac:dyDescent="0.25">
      <c r="A4473" s="45" t="s">
        <v>4500</v>
      </c>
      <c r="B4473" s="46" t="s">
        <v>16039</v>
      </c>
      <c r="C4473">
        <v>12</v>
      </c>
      <c r="D4473">
        <v>76</v>
      </c>
    </row>
    <row r="4474" spans="1:4" x14ac:dyDescent="0.25">
      <c r="A4474" s="45" t="s">
        <v>4501</v>
      </c>
      <c r="B4474" s="46" t="s">
        <v>16040</v>
      </c>
      <c r="C4474">
        <v>12</v>
      </c>
      <c r="D4474">
        <v>76</v>
      </c>
    </row>
    <row r="4475" spans="1:4" x14ac:dyDescent="0.25">
      <c r="A4475" s="45" t="s">
        <v>4502</v>
      </c>
      <c r="B4475" s="46" t="s">
        <v>16041</v>
      </c>
      <c r="C4475">
        <v>12</v>
      </c>
      <c r="D4475">
        <v>76</v>
      </c>
    </row>
    <row r="4476" spans="1:4" x14ac:dyDescent="0.25">
      <c r="A4476" s="45" t="s">
        <v>4503</v>
      </c>
      <c r="B4476" s="46" t="s">
        <v>16042</v>
      </c>
      <c r="C4476">
        <v>12</v>
      </c>
      <c r="D4476">
        <v>76</v>
      </c>
    </row>
    <row r="4477" spans="1:4" x14ac:dyDescent="0.25">
      <c r="A4477" s="45" t="s">
        <v>4504</v>
      </c>
      <c r="B4477" s="46" t="s">
        <v>16043</v>
      </c>
      <c r="C4477">
        <v>12</v>
      </c>
      <c r="D4477">
        <v>76</v>
      </c>
    </row>
    <row r="4478" spans="1:4" x14ac:dyDescent="0.25">
      <c r="A4478" s="45" t="s">
        <v>4505</v>
      </c>
      <c r="B4478" s="46" t="s">
        <v>16044</v>
      </c>
      <c r="C4478">
        <v>12</v>
      </c>
      <c r="D4478">
        <v>75</v>
      </c>
    </row>
    <row r="4479" spans="1:4" x14ac:dyDescent="0.25">
      <c r="A4479" s="45" t="s">
        <v>4506</v>
      </c>
      <c r="B4479" s="46" t="s">
        <v>16045</v>
      </c>
      <c r="C4479">
        <v>3</v>
      </c>
      <c r="D4479">
        <v>26</v>
      </c>
    </row>
    <row r="4480" spans="1:4" x14ac:dyDescent="0.25">
      <c r="A4480" s="45" t="s">
        <v>4507</v>
      </c>
      <c r="B4480" s="46" t="s">
        <v>16046</v>
      </c>
      <c r="C4480">
        <v>12</v>
      </c>
      <c r="D4480">
        <v>76</v>
      </c>
    </row>
    <row r="4481" spans="1:4" x14ac:dyDescent="0.25">
      <c r="A4481" s="45" t="s">
        <v>4508</v>
      </c>
      <c r="B4481" s="46" t="s">
        <v>16047</v>
      </c>
      <c r="C4481">
        <v>12</v>
      </c>
      <c r="D4481">
        <v>76</v>
      </c>
    </row>
    <row r="4482" spans="1:4" x14ac:dyDescent="0.25">
      <c r="A4482" s="45" t="s">
        <v>4509</v>
      </c>
      <c r="B4482" s="46" t="s">
        <v>16048</v>
      </c>
      <c r="C4482">
        <v>12</v>
      </c>
      <c r="D4482">
        <v>74</v>
      </c>
    </row>
    <row r="4483" spans="1:4" x14ac:dyDescent="0.25">
      <c r="A4483" s="45" t="s">
        <v>4510</v>
      </c>
      <c r="B4483" s="46" t="s">
        <v>16049</v>
      </c>
      <c r="C4483">
        <v>12</v>
      </c>
      <c r="D4483">
        <v>74</v>
      </c>
    </row>
    <row r="4484" spans="1:4" x14ac:dyDescent="0.25">
      <c r="A4484" s="45" t="s">
        <v>4511</v>
      </c>
      <c r="B4484" s="46" t="s">
        <v>16050</v>
      </c>
      <c r="C4484">
        <v>12</v>
      </c>
      <c r="D4484">
        <v>75</v>
      </c>
    </row>
    <row r="4485" spans="1:4" x14ac:dyDescent="0.25">
      <c r="A4485" s="45" t="s">
        <v>4512</v>
      </c>
      <c r="B4485" s="46" t="s">
        <v>20213</v>
      </c>
      <c r="C4485">
        <v>12</v>
      </c>
      <c r="D4485">
        <v>75</v>
      </c>
    </row>
    <row r="4486" spans="1:4" x14ac:dyDescent="0.25">
      <c r="A4486" s="45" t="s">
        <v>4513</v>
      </c>
      <c r="B4486" s="46" t="s">
        <v>20214</v>
      </c>
      <c r="C4486">
        <v>12</v>
      </c>
      <c r="D4486">
        <v>75</v>
      </c>
    </row>
    <row r="4487" spans="1:4" x14ac:dyDescent="0.25">
      <c r="A4487" s="45" t="s">
        <v>4514</v>
      </c>
      <c r="B4487" s="46" t="s">
        <v>16051</v>
      </c>
      <c r="C4487">
        <v>12</v>
      </c>
      <c r="D4487">
        <v>76</v>
      </c>
    </row>
    <row r="4488" spans="1:4" x14ac:dyDescent="0.25">
      <c r="A4488" s="45" t="s">
        <v>4515</v>
      </c>
      <c r="B4488" s="46" t="s">
        <v>20215</v>
      </c>
      <c r="C4488">
        <v>12</v>
      </c>
      <c r="D4488">
        <v>76</v>
      </c>
    </row>
    <row r="4489" spans="1:4" x14ac:dyDescent="0.25">
      <c r="A4489" s="45" t="s">
        <v>4516</v>
      </c>
      <c r="B4489" s="46" t="s">
        <v>16052</v>
      </c>
      <c r="C4489">
        <v>12</v>
      </c>
      <c r="D4489">
        <v>76</v>
      </c>
    </row>
    <row r="4490" spans="1:4" x14ac:dyDescent="0.25">
      <c r="A4490" s="45" t="s">
        <v>4517</v>
      </c>
      <c r="B4490" s="46" t="s">
        <v>16053</v>
      </c>
      <c r="C4490">
        <v>12</v>
      </c>
      <c r="D4490">
        <v>76</v>
      </c>
    </row>
    <row r="4491" spans="1:4" x14ac:dyDescent="0.25">
      <c r="A4491" s="45" t="s">
        <v>4518</v>
      </c>
      <c r="B4491" s="46" t="s">
        <v>16054</v>
      </c>
      <c r="C4491">
        <v>12</v>
      </c>
      <c r="D4491">
        <v>76</v>
      </c>
    </row>
    <row r="4492" spans="1:4" x14ac:dyDescent="0.25">
      <c r="A4492" s="45" t="s">
        <v>4519</v>
      </c>
      <c r="B4492" s="46" t="s">
        <v>20216</v>
      </c>
      <c r="C4492">
        <v>12</v>
      </c>
      <c r="D4492">
        <v>75</v>
      </c>
    </row>
    <row r="4493" spans="1:4" x14ac:dyDescent="0.25">
      <c r="A4493" s="45" t="s">
        <v>4520</v>
      </c>
      <c r="B4493" s="46" t="s">
        <v>16055</v>
      </c>
      <c r="C4493">
        <v>1</v>
      </c>
      <c r="D4493">
        <v>15</v>
      </c>
    </row>
    <row r="4494" spans="1:4" x14ac:dyDescent="0.25">
      <c r="A4494" s="45" t="s">
        <v>4521</v>
      </c>
      <c r="B4494" s="46" t="s">
        <v>16056</v>
      </c>
      <c r="C4494">
        <v>12</v>
      </c>
      <c r="D4494">
        <v>76</v>
      </c>
    </row>
    <row r="4495" spans="1:4" x14ac:dyDescent="0.25">
      <c r="A4495" s="45" t="s">
        <v>4522</v>
      </c>
      <c r="B4495" s="46" t="s">
        <v>16057</v>
      </c>
      <c r="C4495">
        <v>12</v>
      </c>
      <c r="D4495">
        <v>76</v>
      </c>
    </row>
    <row r="4496" spans="1:4" x14ac:dyDescent="0.25">
      <c r="A4496" s="45" t="s">
        <v>4523</v>
      </c>
      <c r="B4496" s="46" t="s">
        <v>16058</v>
      </c>
      <c r="C4496">
        <v>12</v>
      </c>
      <c r="D4496">
        <v>76</v>
      </c>
    </row>
    <row r="4497" spans="1:4" x14ac:dyDescent="0.25">
      <c r="A4497" s="45" t="s">
        <v>4524</v>
      </c>
      <c r="B4497" s="46" t="s">
        <v>16059</v>
      </c>
      <c r="C4497">
        <v>12</v>
      </c>
      <c r="D4497">
        <v>75</v>
      </c>
    </row>
    <row r="4498" spans="1:4" x14ac:dyDescent="0.25">
      <c r="A4498" s="45" t="s">
        <v>4525</v>
      </c>
      <c r="B4498" s="46" t="s">
        <v>16060</v>
      </c>
      <c r="C4498">
        <v>12</v>
      </c>
      <c r="D4498">
        <v>75</v>
      </c>
    </row>
    <row r="4499" spans="1:4" x14ac:dyDescent="0.25">
      <c r="A4499" s="45" t="s">
        <v>4526</v>
      </c>
      <c r="B4499" s="46" t="s">
        <v>16061</v>
      </c>
      <c r="C4499">
        <v>12</v>
      </c>
      <c r="D4499">
        <v>76</v>
      </c>
    </row>
    <row r="4500" spans="1:4" x14ac:dyDescent="0.25">
      <c r="A4500" s="45" t="s">
        <v>4527</v>
      </c>
      <c r="B4500" s="46" t="s">
        <v>16062</v>
      </c>
      <c r="C4500">
        <v>12</v>
      </c>
      <c r="D4500">
        <v>76</v>
      </c>
    </row>
    <row r="4501" spans="1:4" x14ac:dyDescent="0.25">
      <c r="A4501" s="45" t="s">
        <v>4528</v>
      </c>
      <c r="B4501" s="46" t="s">
        <v>16063</v>
      </c>
      <c r="C4501">
        <v>12</v>
      </c>
      <c r="D4501">
        <v>74</v>
      </c>
    </row>
    <row r="4502" spans="1:4" x14ac:dyDescent="0.25">
      <c r="A4502" s="45" t="s">
        <v>4529</v>
      </c>
      <c r="B4502" s="46" t="s">
        <v>16064</v>
      </c>
      <c r="C4502">
        <v>12</v>
      </c>
      <c r="D4502">
        <v>75</v>
      </c>
    </row>
    <row r="4503" spans="1:4" x14ac:dyDescent="0.25">
      <c r="A4503" s="45" t="s">
        <v>4530</v>
      </c>
      <c r="B4503" s="46" t="s">
        <v>20217</v>
      </c>
      <c r="C4503">
        <v>12</v>
      </c>
      <c r="D4503">
        <v>75</v>
      </c>
    </row>
    <row r="4504" spans="1:4" x14ac:dyDescent="0.25">
      <c r="A4504" s="45" t="s">
        <v>4531</v>
      </c>
      <c r="B4504" s="46" t="s">
        <v>16065</v>
      </c>
      <c r="C4504">
        <v>12</v>
      </c>
      <c r="D4504">
        <v>74</v>
      </c>
    </row>
    <row r="4505" spans="1:4" x14ac:dyDescent="0.25">
      <c r="A4505" s="45" t="s">
        <v>4532</v>
      </c>
      <c r="B4505" s="46" t="s">
        <v>20218</v>
      </c>
      <c r="C4505">
        <v>12</v>
      </c>
      <c r="D4505">
        <v>74</v>
      </c>
    </row>
    <row r="4506" spans="1:4" x14ac:dyDescent="0.25">
      <c r="A4506" s="45" t="s">
        <v>4533</v>
      </c>
      <c r="B4506" s="46" t="s">
        <v>16066</v>
      </c>
      <c r="C4506">
        <v>12</v>
      </c>
      <c r="D4506">
        <v>76</v>
      </c>
    </row>
    <row r="4507" spans="1:4" x14ac:dyDescent="0.25">
      <c r="A4507" s="45" t="s">
        <v>4534</v>
      </c>
      <c r="B4507" s="46" t="s">
        <v>16067</v>
      </c>
      <c r="C4507">
        <v>12</v>
      </c>
      <c r="D4507">
        <v>76</v>
      </c>
    </row>
    <row r="4508" spans="1:4" x14ac:dyDescent="0.25">
      <c r="A4508" s="45" t="s">
        <v>4535</v>
      </c>
      <c r="B4508" s="46" t="s">
        <v>20219</v>
      </c>
      <c r="C4508">
        <v>12</v>
      </c>
      <c r="D4508">
        <v>74</v>
      </c>
    </row>
    <row r="4509" spans="1:4" x14ac:dyDescent="0.25">
      <c r="A4509" s="45" t="s">
        <v>4536</v>
      </c>
      <c r="B4509" s="46" t="s">
        <v>20220</v>
      </c>
      <c r="C4509">
        <v>12</v>
      </c>
      <c r="D4509">
        <v>76</v>
      </c>
    </row>
    <row r="4510" spans="1:4" x14ac:dyDescent="0.25">
      <c r="A4510" s="45" t="s">
        <v>4537</v>
      </c>
      <c r="B4510" s="46" t="s">
        <v>16068</v>
      </c>
      <c r="C4510">
        <v>12</v>
      </c>
      <c r="D4510">
        <v>76</v>
      </c>
    </row>
    <row r="4511" spans="1:4" x14ac:dyDescent="0.25">
      <c r="A4511" s="45" t="s">
        <v>4538</v>
      </c>
      <c r="B4511" s="46" t="s">
        <v>16069</v>
      </c>
      <c r="C4511">
        <v>12</v>
      </c>
      <c r="D4511">
        <v>76</v>
      </c>
    </row>
    <row r="4512" spans="1:4" x14ac:dyDescent="0.25">
      <c r="A4512" s="45" t="s">
        <v>4539</v>
      </c>
      <c r="B4512" s="46" t="s">
        <v>20221</v>
      </c>
      <c r="C4512">
        <v>13</v>
      </c>
      <c r="D4512">
        <v>77</v>
      </c>
    </row>
    <row r="4513" spans="1:4" x14ac:dyDescent="0.25">
      <c r="A4513" s="45" t="s">
        <v>4540</v>
      </c>
      <c r="B4513" s="46" t="s">
        <v>16070</v>
      </c>
      <c r="C4513">
        <v>13</v>
      </c>
      <c r="D4513">
        <v>77</v>
      </c>
    </row>
    <row r="4514" spans="1:4" x14ac:dyDescent="0.25">
      <c r="A4514" s="45" t="s">
        <v>4541</v>
      </c>
      <c r="B4514" s="46" t="s">
        <v>16071</v>
      </c>
      <c r="C4514">
        <v>13</v>
      </c>
      <c r="D4514">
        <v>77</v>
      </c>
    </row>
    <row r="4515" spans="1:4" x14ac:dyDescent="0.25">
      <c r="A4515" s="45" t="s">
        <v>4542</v>
      </c>
      <c r="B4515" s="46" t="s">
        <v>20222</v>
      </c>
      <c r="C4515">
        <v>13</v>
      </c>
      <c r="D4515">
        <v>77</v>
      </c>
    </row>
    <row r="4516" spans="1:4" x14ac:dyDescent="0.25">
      <c r="A4516" s="45" t="s">
        <v>4543</v>
      </c>
      <c r="B4516" s="46" t="s">
        <v>20223</v>
      </c>
      <c r="C4516">
        <v>13</v>
      </c>
      <c r="D4516">
        <v>77</v>
      </c>
    </row>
    <row r="4517" spans="1:4" x14ac:dyDescent="0.25">
      <c r="A4517" s="45" t="s">
        <v>4544</v>
      </c>
      <c r="B4517" s="46" t="s">
        <v>16072</v>
      </c>
      <c r="C4517">
        <v>13</v>
      </c>
      <c r="D4517">
        <v>77</v>
      </c>
    </row>
    <row r="4518" spans="1:4" x14ac:dyDescent="0.25">
      <c r="A4518" s="45" t="s">
        <v>4545</v>
      </c>
      <c r="B4518" s="46" t="s">
        <v>16073</v>
      </c>
      <c r="C4518">
        <v>13</v>
      </c>
      <c r="D4518">
        <v>77</v>
      </c>
    </row>
    <row r="4519" spans="1:4" x14ac:dyDescent="0.25">
      <c r="A4519" s="45" t="s">
        <v>4546</v>
      </c>
      <c r="B4519" s="46" t="s">
        <v>20224</v>
      </c>
      <c r="C4519">
        <v>13</v>
      </c>
      <c r="D4519">
        <v>77</v>
      </c>
    </row>
    <row r="4520" spans="1:4" x14ac:dyDescent="0.25">
      <c r="A4520" s="45" t="s">
        <v>4547</v>
      </c>
      <c r="B4520" s="46" t="s">
        <v>20225</v>
      </c>
      <c r="C4520">
        <v>13</v>
      </c>
      <c r="D4520">
        <v>77</v>
      </c>
    </row>
    <row r="4521" spans="1:4" x14ac:dyDescent="0.25">
      <c r="A4521" s="45" t="s">
        <v>4548</v>
      </c>
      <c r="B4521" s="46" t="s">
        <v>16074</v>
      </c>
      <c r="C4521">
        <v>13</v>
      </c>
      <c r="D4521">
        <v>77</v>
      </c>
    </row>
    <row r="4522" spans="1:4" x14ac:dyDescent="0.25">
      <c r="A4522" s="45" t="s">
        <v>4549</v>
      </c>
      <c r="B4522" s="46" t="s">
        <v>20226</v>
      </c>
      <c r="C4522">
        <v>13</v>
      </c>
      <c r="D4522">
        <v>77</v>
      </c>
    </row>
    <row r="4523" spans="1:4" x14ac:dyDescent="0.25">
      <c r="A4523" s="45" t="s">
        <v>4550</v>
      </c>
      <c r="B4523" s="46" t="s">
        <v>20227</v>
      </c>
      <c r="C4523">
        <v>13</v>
      </c>
      <c r="D4523">
        <v>77</v>
      </c>
    </row>
    <row r="4524" spans="1:4" x14ac:dyDescent="0.25">
      <c r="A4524" s="45" t="s">
        <v>4551</v>
      </c>
      <c r="B4524" s="46" t="s">
        <v>20228</v>
      </c>
      <c r="C4524">
        <v>13</v>
      </c>
      <c r="D4524">
        <v>77</v>
      </c>
    </row>
    <row r="4525" spans="1:4" x14ac:dyDescent="0.25">
      <c r="A4525" s="45" t="s">
        <v>4552</v>
      </c>
      <c r="B4525" s="46" t="s">
        <v>16075</v>
      </c>
      <c r="C4525">
        <v>17</v>
      </c>
      <c r="D4525">
        <v>106</v>
      </c>
    </row>
    <row r="4526" spans="1:4" x14ac:dyDescent="0.25">
      <c r="A4526" s="45" t="s">
        <v>4553</v>
      </c>
      <c r="B4526" s="46" t="s">
        <v>20229</v>
      </c>
      <c r="C4526">
        <v>1</v>
      </c>
      <c r="D4526">
        <v>1</v>
      </c>
    </row>
    <row r="4527" spans="1:4" x14ac:dyDescent="0.25">
      <c r="A4527" s="45" t="s">
        <v>4554</v>
      </c>
      <c r="B4527" s="46" t="s">
        <v>16076</v>
      </c>
      <c r="C4527">
        <v>17</v>
      </c>
      <c r="D4527">
        <v>106</v>
      </c>
    </row>
    <row r="4528" spans="1:4" x14ac:dyDescent="0.25">
      <c r="A4528" s="45" t="s">
        <v>4555</v>
      </c>
      <c r="B4528" s="46" t="s">
        <v>20230</v>
      </c>
      <c r="C4528">
        <v>1</v>
      </c>
      <c r="D4528">
        <v>11</v>
      </c>
    </row>
    <row r="4529" spans="1:4" x14ac:dyDescent="0.25">
      <c r="A4529" s="45" t="s">
        <v>4556</v>
      </c>
      <c r="B4529" s="46" t="s">
        <v>20231</v>
      </c>
      <c r="C4529">
        <v>13</v>
      </c>
      <c r="D4529">
        <v>77</v>
      </c>
    </row>
    <row r="4530" spans="1:4" x14ac:dyDescent="0.25">
      <c r="A4530" s="45" t="s">
        <v>4557</v>
      </c>
      <c r="B4530" s="46" t="s">
        <v>16077</v>
      </c>
      <c r="C4530">
        <v>13</v>
      </c>
      <c r="D4530">
        <v>77</v>
      </c>
    </row>
    <row r="4531" spans="1:4" x14ac:dyDescent="0.25">
      <c r="A4531" s="45" t="s">
        <v>4558</v>
      </c>
      <c r="B4531" s="46" t="s">
        <v>16078</v>
      </c>
      <c r="C4531">
        <v>13</v>
      </c>
      <c r="D4531">
        <v>77</v>
      </c>
    </row>
    <row r="4532" spans="1:4" x14ac:dyDescent="0.25">
      <c r="A4532" s="45" t="s">
        <v>4559</v>
      </c>
      <c r="B4532" s="46" t="s">
        <v>16079</v>
      </c>
      <c r="C4532">
        <v>13</v>
      </c>
      <c r="D4532">
        <v>77</v>
      </c>
    </row>
    <row r="4533" spans="1:4" x14ac:dyDescent="0.25">
      <c r="A4533" s="45" t="s">
        <v>4560</v>
      </c>
      <c r="B4533" s="46" t="s">
        <v>16080</v>
      </c>
      <c r="C4533">
        <v>13</v>
      </c>
      <c r="D4533">
        <v>77</v>
      </c>
    </row>
    <row r="4534" spans="1:4" x14ac:dyDescent="0.25">
      <c r="A4534" s="45" t="s">
        <v>4561</v>
      </c>
      <c r="B4534" s="46" t="s">
        <v>20232</v>
      </c>
      <c r="C4534">
        <v>13</v>
      </c>
      <c r="D4534">
        <v>77</v>
      </c>
    </row>
    <row r="4535" spans="1:4" x14ac:dyDescent="0.25">
      <c r="A4535" s="45" t="s">
        <v>4562</v>
      </c>
      <c r="B4535" s="46" t="s">
        <v>16081</v>
      </c>
      <c r="C4535">
        <v>13</v>
      </c>
      <c r="D4535">
        <v>77</v>
      </c>
    </row>
    <row r="4536" spans="1:4" x14ac:dyDescent="0.25">
      <c r="A4536" s="45" t="s">
        <v>4563</v>
      </c>
      <c r="B4536" s="46" t="s">
        <v>20233</v>
      </c>
      <c r="C4536">
        <v>13</v>
      </c>
      <c r="D4536">
        <v>77</v>
      </c>
    </row>
    <row r="4537" spans="1:4" x14ac:dyDescent="0.25">
      <c r="A4537" s="45" t="s">
        <v>4564</v>
      </c>
      <c r="B4537" s="46" t="s">
        <v>16082</v>
      </c>
      <c r="C4537">
        <v>13</v>
      </c>
      <c r="D4537">
        <v>77</v>
      </c>
    </row>
    <row r="4538" spans="1:4" x14ac:dyDescent="0.25">
      <c r="A4538" s="45" t="s">
        <v>4565</v>
      </c>
      <c r="B4538" s="46" t="s">
        <v>20234</v>
      </c>
      <c r="C4538">
        <v>13</v>
      </c>
      <c r="D4538">
        <v>77</v>
      </c>
    </row>
    <row r="4539" spans="1:4" x14ac:dyDescent="0.25">
      <c r="A4539" s="45" t="s">
        <v>4566</v>
      </c>
      <c r="B4539" s="46" t="s">
        <v>16083</v>
      </c>
      <c r="C4539">
        <v>13</v>
      </c>
      <c r="D4539">
        <v>77</v>
      </c>
    </row>
    <row r="4540" spans="1:4" x14ac:dyDescent="0.25">
      <c r="A4540" s="45" t="s">
        <v>4567</v>
      </c>
      <c r="B4540" s="46" t="s">
        <v>16084</v>
      </c>
      <c r="C4540">
        <v>13</v>
      </c>
      <c r="D4540">
        <v>77</v>
      </c>
    </row>
    <row r="4541" spans="1:4" x14ac:dyDescent="0.25">
      <c r="A4541" s="45" t="s">
        <v>4568</v>
      </c>
      <c r="B4541" s="46" t="s">
        <v>16085</v>
      </c>
      <c r="C4541">
        <v>13</v>
      </c>
      <c r="D4541">
        <v>77</v>
      </c>
    </row>
    <row r="4542" spans="1:4" x14ac:dyDescent="0.25">
      <c r="A4542" s="45" t="s">
        <v>4569</v>
      </c>
      <c r="B4542" s="46" t="s">
        <v>16086</v>
      </c>
      <c r="C4542">
        <v>13</v>
      </c>
      <c r="D4542">
        <v>77</v>
      </c>
    </row>
    <row r="4543" spans="1:4" x14ac:dyDescent="0.25">
      <c r="A4543" s="45" t="s">
        <v>4570</v>
      </c>
      <c r="B4543" s="46" t="s">
        <v>16087</v>
      </c>
      <c r="C4543">
        <v>13</v>
      </c>
      <c r="D4543">
        <v>77</v>
      </c>
    </row>
    <row r="4544" spans="1:4" x14ac:dyDescent="0.25">
      <c r="A4544" s="45" t="s">
        <v>4571</v>
      </c>
      <c r="B4544" s="46" t="s">
        <v>16088</v>
      </c>
      <c r="C4544">
        <v>13</v>
      </c>
      <c r="D4544">
        <v>77</v>
      </c>
    </row>
    <row r="4545" spans="1:4" x14ac:dyDescent="0.25">
      <c r="A4545" s="45" t="s">
        <v>4572</v>
      </c>
      <c r="B4545" s="46" t="s">
        <v>20235</v>
      </c>
      <c r="C4545">
        <v>13</v>
      </c>
      <c r="D4545">
        <v>77</v>
      </c>
    </row>
    <row r="4546" spans="1:4" x14ac:dyDescent="0.25">
      <c r="A4546" s="45" t="s">
        <v>4573</v>
      </c>
      <c r="B4546" s="46" t="s">
        <v>16089</v>
      </c>
      <c r="C4546">
        <v>13</v>
      </c>
      <c r="D4546">
        <v>77</v>
      </c>
    </row>
    <row r="4547" spans="1:4" x14ac:dyDescent="0.25">
      <c r="A4547" s="45" t="s">
        <v>4574</v>
      </c>
      <c r="B4547" s="46" t="s">
        <v>16090</v>
      </c>
      <c r="C4547">
        <v>13</v>
      </c>
      <c r="D4547">
        <v>77</v>
      </c>
    </row>
    <row r="4548" spans="1:4" x14ac:dyDescent="0.25">
      <c r="A4548" s="45" t="s">
        <v>4575</v>
      </c>
      <c r="B4548" s="46" t="s">
        <v>16091</v>
      </c>
      <c r="C4548">
        <v>13</v>
      </c>
      <c r="D4548">
        <v>77</v>
      </c>
    </row>
    <row r="4549" spans="1:4" x14ac:dyDescent="0.25">
      <c r="A4549" s="45" t="s">
        <v>4576</v>
      </c>
      <c r="B4549" s="46" t="s">
        <v>16092</v>
      </c>
      <c r="C4549">
        <v>13</v>
      </c>
      <c r="D4549">
        <v>77</v>
      </c>
    </row>
    <row r="4550" spans="1:4" x14ac:dyDescent="0.25">
      <c r="A4550" s="45" t="s">
        <v>4577</v>
      </c>
      <c r="B4550" s="46" t="s">
        <v>16093</v>
      </c>
      <c r="C4550">
        <v>13</v>
      </c>
      <c r="D4550">
        <v>77</v>
      </c>
    </row>
    <row r="4551" spans="1:4" x14ac:dyDescent="0.25">
      <c r="A4551" s="45" t="s">
        <v>4578</v>
      </c>
      <c r="B4551" s="46" t="s">
        <v>20236</v>
      </c>
      <c r="C4551">
        <v>13</v>
      </c>
      <c r="D4551">
        <v>77</v>
      </c>
    </row>
    <row r="4552" spans="1:4" x14ac:dyDescent="0.25">
      <c r="A4552" s="45" t="s">
        <v>4579</v>
      </c>
      <c r="B4552" s="46" t="s">
        <v>16094</v>
      </c>
      <c r="C4552">
        <v>13</v>
      </c>
      <c r="D4552">
        <v>77</v>
      </c>
    </row>
    <row r="4553" spans="1:4" x14ac:dyDescent="0.25">
      <c r="A4553" s="45" t="s">
        <v>4580</v>
      </c>
      <c r="B4553" s="46" t="s">
        <v>20237</v>
      </c>
      <c r="C4553">
        <v>13</v>
      </c>
      <c r="D4553">
        <v>77</v>
      </c>
    </row>
    <row r="4554" spans="1:4" x14ac:dyDescent="0.25">
      <c r="A4554" s="45" t="s">
        <v>4581</v>
      </c>
      <c r="B4554" s="46" t="s">
        <v>20238</v>
      </c>
      <c r="C4554">
        <v>13</v>
      </c>
      <c r="D4554">
        <v>77</v>
      </c>
    </row>
    <row r="4555" spans="1:4" x14ac:dyDescent="0.25">
      <c r="A4555" s="45" t="s">
        <v>4582</v>
      </c>
      <c r="B4555" s="46" t="s">
        <v>20239</v>
      </c>
      <c r="C4555">
        <v>13</v>
      </c>
      <c r="D4555">
        <v>77</v>
      </c>
    </row>
    <row r="4556" spans="1:4" x14ac:dyDescent="0.25">
      <c r="A4556" s="45" t="s">
        <v>4583</v>
      </c>
      <c r="B4556" s="46" t="s">
        <v>20240</v>
      </c>
      <c r="C4556">
        <v>13</v>
      </c>
      <c r="D4556">
        <v>77</v>
      </c>
    </row>
    <row r="4557" spans="1:4" x14ac:dyDescent="0.25">
      <c r="A4557" s="45" t="s">
        <v>4584</v>
      </c>
      <c r="B4557" s="46" t="s">
        <v>20241</v>
      </c>
      <c r="C4557">
        <v>13</v>
      </c>
      <c r="D4557">
        <v>77</v>
      </c>
    </row>
    <row r="4558" spans="1:4" x14ac:dyDescent="0.25">
      <c r="A4558" s="45" t="s">
        <v>4585</v>
      </c>
      <c r="B4558" s="46" t="s">
        <v>20242</v>
      </c>
      <c r="C4558">
        <v>13</v>
      </c>
      <c r="D4558">
        <v>77</v>
      </c>
    </row>
    <row r="4559" spans="1:4" x14ac:dyDescent="0.25">
      <c r="A4559" s="45" t="s">
        <v>4586</v>
      </c>
      <c r="B4559" s="46" t="s">
        <v>16095</v>
      </c>
      <c r="C4559">
        <v>13</v>
      </c>
      <c r="D4559">
        <v>77</v>
      </c>
    </row>
    <row r="4560" spans="1:4" x14ac:dyDescent="0.25">
      <c r="A4560" s="45" t="s">
        <v>4587</v>
      </c>
      <c r="B4560" s="46" t="s">
        <v>16096</v>
      </c>
      <c r="C4560">
        <v>13</v>
      </c>
      <c r="D4560">
        <v>77</v>
      </c>
    </row>
    <row r="4561" spans="1:4" x14ac:dyDescent="0.25">
      <c r="A4561" s="45" t="s">
        <v>4588</v>
      </c>
      <c r="B4561" s="46" t="s">
        <v>16097</v>
      </c>
      <c r="C4561">
        <v>13</v>
      </c>
      <c r="D4561">
        <v>77</v>
      </c>
    </row>
    <row r="4562" spans="1:4" x14ac:dyDescent="0.25">
      <c r="A4562" s="45" t="s">
        <v>4589</v>
      </c>
      <c r="B4562" s="46" t="s">
        <v>16098</v>
      </c>
      <c r="C4562">
        <v>13</v>
      </c>
      <c r="D4562">
        <v>77</v>
      </c>
    </row>
    <row r="4563" spans="1:4" x14ac:dyDescent="0.25">
      <c r="A4563" s="45" t="s">
        <v>4590</v>
      </c>
      <c r="B4563" s="46" t="s">
        <v>16099</v>
      </c>
      <c r="C4563">
        <v>13</v>
      </c>
      <c r="D4563">
        <v>77</v>
      </c>
    </row>
    <row r="4564" spans="1:4" x14ac:dyDescent="0.25">
      <c r="A4564" s="45" t="s">
        <v>4591</v>
      </c>
      <c r="B4564" s="46" t="s">
        <v>16100</v>
      </c>
      <c r="C4564">
        <v>13</v>
      </c>
      <c r="D4564">
        <v>77</v>
      </c>
    </row>
    <row r="4565" spans="1:4" x14ac:dyDescent="0.25">
      <c r="A4565" s="45" t="s">
        <v>4592</v>
      </c>
      <c r="B4565" s="46" t="s">
        <v>16101</v>
      </c>
      <c r="C4565">
        <v>13</v>
      </c>
      <c r="D4565">
        <v>77</v>
      </c>
    </row>
    <row r="4566" spans="1:4" x14ac:dyDescent="0.25">
      <c r="A4566" s="45" t="s">
        <v>4593</v>
      </c>
      <c r="B4566" s="46" t="s">
        <v>16102</v>
      </c>
      <c r="C4566">
        <v>3</v>
      </c>
      <c r="D4566">
        <v>28</v>
      </c>
    </row>
    <row r="4567" spans="1:4" x14ac:dyDescent="0.25">
      <c r="A4567" s="45" t="s">
        <v>4594</v>
      </c>
      <c r="B4567" s="46" t="s">
        <v>20243</v>
      </c>
      <c r="C4567">
        <v>17</v>
      </c>
      <c r="D4567">
        <v>104</v>
      </c>
    </row>
    <row r="4568" spans="1:4" x14ac:dyDescent="0.25">
      <c r="A4568" s="45" t="s">
        <v>4595</v>
      </c>
      <c r="B4568" s="46" t="s">
        <v>20244</v>
      </c>
      <c r="C4568">
        <v>3</v>
      </c>
      <c r="D4568">
        <v>28</v>
      </c>
    </row>
    <row r="4569" spans="1:4" x14ac:dyDescent="0.25">
      <c r="A4569" s="45" t="s">
        <v>4596</v>
      </c>
      <c r="B4569" s="46" t="s">
        <v>20245</v>
      </c>
      <c r="C4569">
        <v>3</v>
      </c>
      <c r="D4569">
        <v>28</v>
      </c>
    </row>
    <row r="4570" spans="1:4" x14ac:dyDescent="0.25">
      <c r="A4570" s="45" t="s">
        <v>4597</v>
      </c>
      <c r="B4570" s="46" t="s">
        <v>16103</v>
      </c>
      <c r="C4570">
        <v>3</v>
      </c>
      <c r="D4570">
        <v>28</v>
      </c>
    </row>
    <row r="4571" spans="1:4" x14ac:dyDescent="0.25">
      <c r="A4571" s="45" t="s">
        <v>4598</v>
      </c>
      <c r="B4571" s="46" t="s">
        <v>16104</v>
      </c>
      <c r="C4571">
        <v>3</v>
      </c>
      <c r="D4571">
        <v>28</v>
      </c>
    </row>
    <row r="4572" spans="1:4" x14ac:dyDescent="0.25">
      <c r="A4572" s="45" t="s">
        <v>4599</v>
      </c>
      <c r="B4572" s="46" t="s">
        <v>16105</v>
      </c>
      <c r="C4572">
        <v>3</v>
      </c>
      <c r="D4572">
        <v>28</v>
      </c>
    </row>
    <row r="4573" spans="1:4" x14ac:dyDescent="0.25">
      <c r="A4573" s="45" t="s">
        <v>4600</v>
      </c>
      <c r="B4573" s="46" t="s">
        <v>16106</v>
      </c>
      <c r="C4573">
        <v>3</v>
      </c>
      <c r="D4573">
        <v>28</v>
      </c>
    </row>
    <row r="4574" spans="1:4" x14ac:dyDescent="0.25">
      <c r="A4574" s="45" t="s">
        <v>4601</v>
      </c>
      <c r="B4574" s="46" t="s">
        <v>16107</v>
      </c>
      <c r="C4574">
        <v>3</v>
      </c>
      <c r="D4574">
        <v>28</v>
      </c>
    </row>
    <row r="4575" spans="1:4" x14ac:dyDescent="0.25">
      <c r="A4575" s="45" t="s">
        <v>4602</v>
      </c>
      <c r="B4575" s="46" t="s">
        <v>16108</v>
      </c>
      <c r="C4575">
        <v>3</v>
      </c>
      <c r="D4575">
        <v>28</v>
      </c>
    </row>
    <row r="4576" spans="1:4" x14ac:dyDescent="0.25">
      <c r="A4576" s="45" t="s">
        <v>4603</v>
      </c>
      <c r="B4576" s="46" t="s">
        <v>16109</v>
      </c>
      <c r="C4576">
        <v>3</v>
      </c>
      <c r="D4576">
        <v>28</v>
      </c>
    </row>
    <row r="4577" spans="1:4" x14ac:dyDescent="0.25">
      <c r="A4577" s="45" t="s">
        <v>4604</v>
      </c>
      <c r="B4577" s="46" t="s">
        <v>16110</v>
      </c>
      <c r="C4577">
        <v>13</v>
      </c>
      <c r="D4577">
        <v>77</v>
      </c>
    </row>
    <row r="4578" spans="1:4" x14ac:dyDescent="0.25">
      <c r="A4578" s="45" t="s">
        <v>4605</v>
      </c>
      <c r="B4578" s="46" t="s">
        <v>16111</v>
      </c>
      <c r="C4578">
        <v>13</v>
      </c>
      <c r="D4578">
        <v>77</v>
      </c>
    </row>
    <row r="4579" spans="1:4" x14ac:dyDescent="0.25">
      <c r="A4579" s="45" t="s">
        <v>4606</v>
      </c>
      <c r="B4579" s="46" t="s">
        <v>16112</v>
      </c>
      <c r="C4579">
        <v>13</v>
      </c>
      <c r="D4579">
        <v>77</v>
      </c>
    </row>
    <row r="4580" spans="1:4" x14ac:dyDescent="0.25">
      <c r="A4580" s="45" t="s">
        <v>4607</v>
      </c>
      <c r="B4580" s="46" t="s">
        <v>16113</v>
      </c>
      <c r="C4580">
        <v>13</v>
      </c>
      <c r="D4580">
        <v>77</v>
      </c>
    </row>
    <row r="4581" spans="1:4" x14ac:dyDescent="0.25">
      <c r="A4581" s="45" t="s">
        <v>4608</v>
      </c>
      <c r="B4581" s="46" t="s">
        <v>16114</v>
      </c>
      <c r="C4581">
        <v>13</v>
      </c>
      <c r="D4581">
        <v>77</v>
      </c>
    </row>
    <row r="4582" spans="1:4" x14ac:dyDescent="0.25">
      <c r="A4582" s="45" t="s">
        <v>4609</v>
      </c>
      <c r="B4582" s="46" t="s">
        <v>20246</v>
      </c>
      <c r="C4582">
        <v>13</v>
      </c>
      <c r="D4582">
        <v>77</v>
      </c>
    </row>
    <row r="4583" spans="1:4" x14ac:dyDescent="0.25">
      <c r="A4583" s="45" t="s">
        <v>4610</v>
      </c>
      <c r="B4583" s="46" t="s">
        <v>16115</v>
      </c>
      <c r="C4583">
        <v>13</v>
      </c>
      <c r="D4583">
        <v>77</v>
      </c>
    </row>
    <row r="4584" spans="1:4" x14ac:dyDescent="0.25">
      <c r="A4584" s="45" t="s">
        <v>4611</v>
      </c>
      <c r="B4584" s="46" t="s">
        <v>16116</v>
      </c>
      <c r="C4584">
        <v>13</v>
      </c>
      <c r="D4584">
        <v>77</v>
      </c>
    </row>
    <row r="4585" spans="1:4" x14ac:dyDescent="0.25">
      <c r="A4585" s="45" t="s">
        <v>4612</v>
      </c>
      <c r="B4585" s="46" t="s">
        <v>16117</v>
      </c>
      <c r="C4585">
        <v>13</v>
      </c>
      <c r="D4585">
        <v>77</v>
      </c>
    </row>
    <row r="4586" spans="1:4" x14ac:dyDescent="0.25">
      <c r="A4586" s="45" t="s">
        <v>4613</v>
      </c>
      <c r="B4586" s="46" t="s">
        <v>16118</v>
      </c>
      <c r="C4586">
        <v>13</v>
      </c>
      <c r="D4586">
        <v>77</v>
      </c>
    </row>
    <row r="4587" spans="1:4" x14ac:dyDescent="0.25">
      <c r="A4587" s="45" t="s">
        <v>4614</v>
      </c>
      <c r="B4587" s="46" t="s">
        <v>16119</v>
      </c>
      <c r="C4587">
        <v>13</v>
      </c>
      <c r="D4587">
        <v>77</v>
      </c>
    </row>
    <row r="4588" spans="1:4" x14ac:dyDescent="0.25">
      <c r="A4588" s="45" t="s">
        <v>4615</v>
      </c>
      <c r="B4588" s="46" t="s">
        <v>16120</v>
      </c>
      <c r="C4588">
        <v>13</v>
      </c>
      <c r="D4588">
        <v>77</v>
      </c>
    </row>
    <row r="4589" spans="1:4" x14ac:dyDescent="0.25">
      <c r="A4589" s="45" t="s">
        <v>4616</v>
      </c>
      <c r="B4589" s="46" t="s">
        <v>16121</v>
      </c>
      <c r="C4589">
        <v>13</v>
      </c>
      <c r="D4589">
        <v>77</v>
      </c>
    </row>
    <row r="4590" spans="1:4" x14ac:dyDescent="0.25">
      <c r="A4590" s="45" t="s">
        <v>4617</v>
      </c>
      <c r="B4590" s="46" t="s">
        <v>16122</v>
      </c>
      <c r="C4590">
        <v>13</v>
      </c>
      <c r="D4590">
        <v>77</v>
      </c>
    </row>
    <row r="4591" spans="1:4" x14ac:dyDescent="0.25">
      <c r="A4591" s="45" t="s">
        <v>4618</v>
      </c>
      <c r="B4591" s="46" t="s">
        <v>16123</v>
      </c>
      <c r="C4591">
        <v>13</v>
      </c>
      <c r="D4591">
        <v>77</v>
      </c>
    </row>
    <row r="4592" spans="1:4" x14ac:dyDescent="0.25">
      <c r="A4592" s="45" t="s">
        <v>4619</v>
      </c>
      <c r="B4592" s="46" t="s">
        <v>16124</v>
      </c>
      <c r="C4592">
        <v>13</v>
      </c>
      <c r="D4592">
        <v>77</v>
      </c>
    </row>
    <row r="4593" spans="1:4" x14ac:dyDescent="0.25">
      <c r="A4593" s="45" t="s">
        <v>4620</v>
      </c>
      <c r="B4593" s="46" t="s">
        <v>20247</v>
      </c>
      <c r="C4593">
        <v>13</v>
      </c>
      <c r="D4593">
        <v>77</v>
      </c>
    </row>
    <row r="4594" spans="1:4" x14ac:dyDescent="0.25">
      <c r="A4594" s="45" t="s">
        <v>4621</v>
      </c>
      <c r="B4594" s="46" t="s">
        <v>20248</v>
      </c>
      <c r="C4594">
        <v>13</v>
      </c>
      <c r="D4594">
        <v>77</v>
      </c>
    </row>
    <row r="4595" spans="1:4" x14ac:dyDescent="0.25">
      <c r="A4595" s="45" t="s">
        <v>4622</v>
      </c>
      <c r="B4595" s="46" t="s">
        <v>20249</v>
      </c>
      <c r="C4595">
        <v>13</v>
      </c>
      <c r="D4595">
        <v>77</v>
      </c>
    </row>
    <row r="4596" spans="1:4" x14ac:dyDescent="0.25">
      <c r="A4596" s="45" t="s">
        <v>4623</v>
      </c>
      <c r="B4596" s="46" t="s">
        <v>20250</v>
      </c>
      <c r="C4596">
        <v>13</v>
      </c>
      <c r="D4596">
        <v>77</v>
      </c>
    </row>
    <row r="4597" spans="1:4" x14ac:dyDescent="0.25">
      <c r="A4597" s="45" t="s">
        <v>4624</v>
      </c>
      <c r="B4597" s="46" t="s">
        <v>20251</v>
      </c>
      <c r="C4597">
        <v>13</v>
      </c>
      <c r="D4597">
        <v>77</v>
      </c>
    </row>
    <row r="4598" spans="1:4" x14ac:dyDescent="0.25">
      <c r="A4598" s="45" t="s">
        <v>4625</v>
      </c>
      <c r="B4598" s="46" t="s">
        <v>16125</v>
      </c>
      <c r="C4598">
        <v>13</v>
      </c>
      <c r="D4598">
        <v>77</v>
      </c>
    </row>
    <row r="4599" spans="1:4" x14ac:dyDescent="0.25">
      <c r="A4599" s="45" t="s">
        <v>4626</v>
      </c>
      <c r="B4599" s="46" t="s">
        <v>16126</v>
      </c>
      <c r="C4599">
        <v>13</v>
      </c>
      <c r="D4599">
        <v>77</v>
      </c>
    </row>
    <row r="4600" spans="1:4" x14ac:dyDescent="0.25">
      <c r="A4600" s="45" t="s">
        <v>4627</v>
      </c>
      <c r="B4600" s="46" t="s">
        <v>20252</v>
      </c>
      <c r="C4600">
        <v>13</v>
      </c>
      <c r="D4600">
        <v>77</v>
      </c>
    </row>
    <row r="4601" spans="1:4" x14ac:dyDescent="0.25">
      <c r="A4601" s="45" t="s">
        <v>4628</v>
      </c>
      <c r="B4601" s="46" t="s">
        <v>16127</v>
      </c>
      <c r="C4601">
        <v>13</v>
      </c>
      <c r="D4601">
        <v>77</v>
      </c>
    </row>
    <row r="4602" spans="1:4" x14ac:dyDescent="0.25">
      <c r="A4602" s="45" t="s">
        <v>4629</v>
      </c>
      <c r="B4602" s="46" t="s">
        <v>16128</v>
      </c>
      <c r="C4602">
        <v>13</v>
      </c>
      <c r="D4602">
        <v>77</v>
      </c>
    </row>
    <row r="4603" spans="1:4" x14ac:dyDescent="0.25">
      <c r="A4603" s="45" t="s">
        <v>4630</v>
      </c>
      <c r="B4603" s="46" t="s">
        <v>16129</v>
      </c>
      <c r="C4603">
        <v>13</v>
      </c>
      <c r="D4603">
        <v>77</v>
      </c>
    </row>
    <row r="4604" spans="1:4" x14ac:dyDescent="0.25">
      <c r="A4604" s="45" t="s">
        <v>4631</v>
      </c>
      <c r="B4604" s="46" t="s">
        <v>16130</v>
      </c>
      <c r="C4604">
        <v>13</v>
      </c>
      <c r="D4604">
        <v>77</v>
      </c>
    </row>
    <row r="4605" spans="1:4" x14ac:dyDescent="0.25">
      <c r="A4605" s="45" t="s">
        <v>4632</v>
      </c>
      <c r="B4605" s="46" t="s">
        <v>16131</v>
      </c>
      <c r="C4605">
        <v>13</v>
      </c>
      <c r="D4605">
        <v>77</v>
      </c>
    </row>
    <row r="4606" spans="1:4" x14ac:dyDescent="0.25">
      <c r="A4606" s="45" t="s">
        <v>4633</v>
      </c>
      <c r="B4606" s="46" t="s">
        <v>16132</v>
      </c>
      <c r="C4606">
        <v>13</v>
      </c>
      <c r="D4606">
        <v>77</v>
      </c>
    </row>
    <row r="4607" spans="1:4" x14ac:dyDescent="0.25">
      <c r="A4607" s="45" t="s">
        <v>4634</v>
      </c>
      <c r="B4607" s="46" t="s">
        <v>16133</v>
      </c>
      <c r="C4607">
        <v>13</v>
      </c>
      <c r="D4607">
        <v>77</v>
      </c>
    </row>
    <row r="4608" spans="1:4" x14ac:dyDescent="0.25">
      <c r="A4608" s="45" t="s">
        <v>4635</v>
      </c>
      <c r="B4608" s="46" t="s">
        <v>16134</v>
      </c>
      <c r="C4608">
        <v>13</v>
      </c>
      <c r="D4608">
        <v>77</v>
      </c>
    </row>
    <row r="4609" spans="1:4" x14ac:dyDescent="0.25">
      <c r="A4609" s="45" t="s">
        <v>4636</v>
      </c>
      <c r="B4609" s="46" t="s">
        <v>16135</v>
      </c>
      <c r="C4609">
        <v>13</v>
      </c>
      <c r="D4609">
        <v>77</v>
      </c>
    </row>
    <row r="4610" spans="1:4" x14ac:dyDescent="0.25">
      <c r="A4610" s="45" t="s">
        <v>4637</v>
      </c>
      <c r="B4610" s="46" t="s">
        <v>16136</v>
      </c>
      <c r="C4610">
        <v>13</v>
      </c>
      <c r="D4610">
        <v>77</v>
      </c>
    </row>
    <row r="4611" spans="1:4" x14ac:dyDescent="0.25">
      <c r="A4611" s="45" t="s">
        <v>4638</v>
      </c>
      <c r="B4611" s="46" t="s">
        <v>16137</v>
      </c>
      <c r="C4611">
        <v>13</v>
      </c>
      <c r="D4611">
        <v>77</v>
      </c>
    </row>
    <row r="4612" spans="1:4" x14ac:dyDescent="0.25">
      <c r="A4612" s="45" t="s">
        <v>4639</v>
      </c>
      <c r="B4612" s="46" t="s">
        <v>20253</v>
      </c>
      <c r="C4612">
        <v>13</v>
      </c>
      <c r="D4612">
        <v>77</v>
      </c>
    </row>
    <row r="4613" spans="1:4" x14ac:dyDescent="0.25">
      <c r="A4613" s="45" t="s">
        <v>4640</v>
      </c>
      <c r="B4613" s="46" t="s">
        <v>16138</v>
      </c>
      <c r="C4613">
        <v>13</v>
      </c>
      <c r="D4613">
        <v>77</v>
      </c>
    </row>
    <row r="4614" spans="1:4" x14ac:dyDescent="0.25">
      <c r="A4614" s="45" t="s">
        <v>4641</v>
      </c>
      <c r="B4614" s="46" t="s">
        <v>16139</v>
      </c>
      <c r="C4614">
        <v>13</v>
      </c>
      <c r="D4614">
        <v>77</v>
      </c>
    </row>
    <row r="4615" spans="1:4" x14ac:dyDescent="0.25">
      <c r="A4615" s="45" t="s">
        <v>4642</v>
      </c>
      <c r="B4615" s="46" t="s">
        <v>16140</v>
      </c>
      <c r="C4615">
        <v>13</v>
      </c>
      <c r="D4615">
        <v>77</v>
      </c>
    </row>
    <row r="4616" spans="1:4" x14ac:dyDescent="0.25">
      <c r="A4616" s="45" t="s">
        <v>4643</v>
      </c>
      <c r="B4616" s="46" t="s">
        <v>16141</v>
      </c>
      <c r="C4616">
        <v>13</v>
      </c>
      <c r="D4616">
        <v>77</v>
      </c>
    </row>
    <row r="4617" spans="1:4" x14ac:dyDescent="0.25">
      <c r="A4617" s="45" t="s">
        <v>4644</v>
      </c>
      <c r="B4617" s="46" t="s">
        <v>16142</v>
      </c>
      <c r="C4617">
        <v>13</v>
      </c>
      <c r="D4617">
        <v>77</v>
      </c>
    </row>
    <row r="4618" spans="1:4" x14ac:dyDescent="0.25">
      <c r="A4618" s="45" t="s">
        <v>4645</v>
      </c>
      <c r="B4618" s="46" t="s">
        <v>16143</v>
      </c>
      <c r="C4618">
        <v>13</v>
      </c>
      <c r="D4618">
        <v>77</v>
      </c>
    </row>
    <row r="4619" spans="1:4" x14ac:dyDescent="0.25">
      <c r="A4619" s="45" t="s">
        <v>4646</v>
      </c>
      <c r="B4619" s="46" t="s">
        <v>16144</v>
      </c>
      <c r="C4619">
        <v>13</v>
      </c>
      <c r="D4619">
        <v>77</v>
      </c>
    </row>
    <row r="4620" spans="1:4" x14ac:dyDescent="0.25">
      <c r="A4620" s="45" t="s">
        <v>4647</v>
      </c>
      <c r="B4620" s="46" t="s">
        <v>16145</v>
      </c>
      <c r="C4620">
        <v>13</v>
      </c>
      <c r="D4620">
        <v>77</v>
      </c>
    </row>
    <row r="4621" spans="1:4" x14ac:dyDescent="0.25">
      <c r="A4621" s="45" t="s">
        <v>4648</v>
      </c>
      <c r="B4621" s="46" t="s">
        <v>16146</v>
      </c>
      <c r="C4621">
        <v>13</v>
      </c>
      <c r="D4621">
        <v>77</v>
      </c>
    </row>
    <row r="4622" spans="1:4" x14ac:dyDescent="0.25">
      <c r="A4622" s="45" t="s">
        <v>4649</v>
      </c>
      <c r="B4622" s="46" t="s">
        <v>16147</v>
      </c>
      <c r="C4622">
        <v>13</v>
      </c>
      <c r="D4622">
        <v>77</v>
      </c>
    </row>
    <row r="4623" spans="1:4" x14ac:dyDescent="0.25">
      <c r="A4623" s="45" t="s">
        <v>4650</v>
      </c>
      <c r="B4623" s="46" t="s">
        <v>16148</v>
      </c>
      <c r="C4623">
        <v>13</v>
      </c>
      <c r="D4623">
        <v>77</v>
      </c>
    </row>
    <row r="4624" spans="1:4" x14ac:dyDescent="0.25">
      <c r="A4624" s="45" t="s">
        <v>4651</v>
      </c>
      <c r="B4624" s="46" t="s">
        <v>20254</v>
      </c>
      <c r="C4624">
        <v>13</v>
      </c>
      <c r="D4624">
        <v>77</v>
      </c>
    </row>
    <row r="4625" spans="1:4" x14ac:dyDescent="0.25">
      <c r="A4625" s="45" t="s">
        <v>4652</v>
      </c>
      <c r="B4625" s="46" t="s">
        <v>16149</v>
      </c>
      <c r="C4625">
        <v>13</v>
      </c>
      <c r="D4625">
        <v>77</v>
      </c>
    </row>
    <row r="4626" spans="1:4" x14ac:dyDescent="0.25">
      <c r="A4626" s="45" t="s">
        <v>4653</v>
      </c>
      <c r="B4626" s="46" t="s">
        <v>20255</v>
      </c>
      <c r="C4626">
        <v>13</v>
      </c>
      <c r="D4626">
        <v>77</v>
      </c>
    </row>
    <row r="4627" spans="1:4" x14ac:dyDescent="0.25">
      <c r="A4627" s="45" t="s">
        <v>4654</v>
      </c>
      <c r="B4627" s="46" t="s">
        <v>20256</v>
      </c>
      <c r="C4627">
        <v>13</v>
      </c>
      <c r="D4627">
        <v>77</v>
      </c>
    </row>
    <row r="4628" spans="1:4" x14ac:dyDescent="0.25">
      <c r="A4628" s="45" t="s">
        <v>4655</v>
      </c>
      <c r="B4628" s="46" t="s">
        <v>20257</v>
      </c>
      <c r="C4628">
        <v>13</v>
      </c>
      <c r="D4628">
        <v>77</v>
      </c>
    </row>
    <row r="4629" spans="1:4" x14ac:dyDescent="0.25">
      <c r="A4629" s="45" t="s">
        <v>4656</v>
      </c>
      <c r="B4629" s="46" t="s">
        <v>20258</v>
      </c>
      <c r="C4629">
        <v>13</v>
      </c>
      <c r="D4629">
        <v>77</v>
      </c>
    </row>
    <row r="4630" spans="1:4" x14ac:dyDescent="0.25">
      <c r="A4630" s="45" t="s">
        <v>4657</v>
      </c>
      <c r="B4630" s="46" t="s">
        <v>20259</v>
      </c>
      <c r="C4630">
        <v>13</v>
      </c>
      <c r="D4630">
        <v>77</v>
      </c>
    </row>
    <row r="4631" spans="1:4" x14ac:dyDescent="0.25">
      <c r="A4631" s="45" t="s">
        <v>4658</v>
      </c>
      <c r="B4631" s="46" t="s">
        <v>16150</v>
      </c>
      <c r="C4631">
        <v>13</v>
      </c>
      <c r="D4631">
        <v>80</v>
      </c>
    </row>
    <row r="4632" spans="1:4" x14ac:dyDescent="0.25">
      <c r="A4632" s="45" t="s">
        <v>4659</v>
      </c>
      <c r="B4632" s="46" t="s">
        <v>16151</v>
      </c>
      <c r="C4632">
        <v>13</v>
      </c>
      <c r="D4632">
        <v>79</v>
      </c>
    </row>
    <row r="4633" spans="1:4" x14ac:dyDescent="0.25">
      <c r="A4633" s="45" t="s">
        <v>4660</v>
      </c>
      <c r="B4633" s="46" t="s">
        <v>16152</v>
      </c>
      <c r="C4633">
        <v>13</v>
      </c>
      <c r="D4633">
        <v>80</v>
      </c>
    </row>
    <row r="4634" spans="1:4" x14ac:dyDescent="0.25">
      <c r="A4634" s="45" t="s">
        <v>4661</v>
      </c>
      <c r="B4634" s="46" t="s">
        <v>16153</v>
      </c>
      <c r="C4634">
        <v>13</v>
      </c>
      <c r="D4634">
        <v>80</v>
      </c>
    </row>
    <row r="4635" spans="1:4" x14ac:dyDescent="0.25">
      <c r="A4635" s="45" t="s">
        <v>4662</v>
      </c>
      <c r="B4635" s="46" t="s">
        <v>16154</v>
      </c>
      <c r="C4635">
        <v>13</v>
      </c>
      <c r="D4635">
        <v>80</v>
      </c>
    </row>
    <row r="4636" spans="1:4" x14ac:dyDescent="0.25">
      <c r="A4636" s="45" t="s">
        <v>4663</v>
      </c>
      <c r="B4636" s="46" t="s">
        <v>16155</v>
      </c>
      <c r="C4636">
        <v>13</v>
      </c>
      <c r="D4636">
        <v>80</v>
      </c>
    </row>
    <row r="4637" spans="1:4" x14ac:dyDescent="0.25">
      <c r="A4637" s="45" t="s">
        <v>4664</v>
      </c>
      <c r="B4637" s="46" t="s">
        <v>16156</v>
      </c>
      <c r="C4637">
        <v>13</v>
      </c>
      <c r="D4637">
        <v>80</v>
      </c>
    </row>
    <row r="4638" spans="1:4" x14ac:dyDescent="0.25">
      <c r="A4638" s="45" t="s">
        <v>4665</v>
      </c>
      <c r="B4638" s="46" t="s">
        <v>16157</v>
      </c>
      <c r="C4638">
        <v>13</v>
      </c>
      <c r="D4638">
        <v>80</v>
      </c>
    </row>
    <row r="4639" spans="1:4" x14ac:dyDescent="0.25">
      <c r="A4639" s="45" t="s">
        <v>4666</v>
      </c>
      <c r="B4639" s="46" t="s">
        <v>16158</v>
      </c>
      <c r="C4639">
        <v>13</v>
      </c>
      <c r="D4639">
        <v>80</v>
      </c>
    </row>
    <row r="4640" spans="1:4" x14ac:dyDescent="0.25">
      <c r="A4640" s="45" t="s">
        <v>4667</v>
      </c>
      <c r="B4640" s="46" t="s">
        <v>16159</v>
      </c>
      <c r="C4640">
        <v>13</v>
      </c>
      <c r="D4640">
        <v>77</v>
      </c>
    </row>
    <row r="4641" spans="1:4" x14ac:dyDescent="0.25">
      <c r="A4641" s="45" t="s">
        <v>4668</v>
      </c>
      <c r="B4641" s="46" t="s">
        <v>16160</v>
      </c>
      <c r="C4641">
        <v>13</v>
      </c>
      <c r="D4641">
        <v>80</v>
      </c>
    </row>
    <row r="4642" spans="1:4" x14ac:dyDescent="0.25">
      <c r="A4642" s="45" t="s">
        <v>4669</v>
      </c>
      <c r="B4642" s="46" t="s">
        <v>16161</v>
      </c>
      <c r="C4642">
        <v>13</v>
      </c>
      <c r="D4642">
        <v>80</v>
      </c>
    </row>
    <row r="4643" spans="1:4" x14ac:dyDescent="0.25">
      <c r="A4643" s="45" t="s">
        <v>4670</v>
      </c>
      <c r="B4643" s="46" t="s">
        <v>16162</v>
      </c>
      <c r="C4643">
        <v>13</v>
      </c>
      <c r="D4643">
        <v>80</v>
      </c>
    </row>
    <row r="4644" spans="1:4" x14ac:dyDescent="0.25">
      <c r="A4644" s="45" t="s">
        <v>4671</v>
      </c>
      <c r="B4644" s="46" t="s">
        <v>20260</v>
      </c>
      <c r="C4644">
        <v>13</v>
      </c>
      <c r="D4644">
        <v>80</v>
      </c>
    </row>
    <row r="4645" spans="1:4" x14ac:dyDescent="0.25">
      <c r="A4645" s="45" t="s">
        <v>4672</v>
      </c>
      <c r="B4645" s="46" t="s">
        <v>16163</v>
      </c>
      <c r="C4645">
        <v>13</v>
      </c>
      <c r="D4645">
        <v>80</v>
      </c>
    </row>
    <row r="4646" spans="1:4" x14ac:dyDescent="0.25">
      <c r="A4646" s="45" t="s">
        <v>4673</v>
      </c>
      <c r="B4646" s="46" t="s">
        <v>16164</v>
      </c>
      <c r="C4646">
        <v>13</v>
      </c>
      <c r="D4646">
        <v>80</v>
      </c>
    </row>
    <row r="4647" spans="1:4" x14ac:dyDescent="0.25">
      <c r="A4647" s="45" t="s">
        <v>4674</v>
      </c>
      <c r="B4647" s="46" t="s">
        <v>20261</v>
      </c>
      <c r="C4647">
        <v>7</v>
      </c>
      <c r="D4647">
        <v>43</v>
      </c>
    </row>
    <row r="4648" spans="1:4" x14ac:dyDescent="0.25">
      <c r="A4648" s="45" t="s">
        <v>4675</v>
      </c>
      <c r="B4648" s="46" t="s">
        <v>16165</v>
      </c>
      <c r="C4648">
        <v>13</v>
      </c>
      <c r="D4648">
        <v>77</v>
      </c>
    </row>
    <row r="4649" spans="1:4" x14ac:dyDescent="0.25">
      <c r="A4649" s="45" t="s">
        <v>4676</v>
      </c>
      <c r="B4649" s="46" t="s">
        <v>16166</v>
      </c>
      <c r="C4649">
        <v>13</v>
      </c>
      <c r="D4649">
        <v>77</v>
      </c>
    </row>
    <row r="4650" spans="1:4" x14ac:dyDescent="0.25">
      <c r="A4650" s="45" t="s">
        <v>4677</v>
      </c>
      <c r="B4650" s="46" t="s">
        <v>16167</v>
      </c>
      <c r="C4650">
        <v>13</v>
      </c>
      <c r="D4650">
        <v>77</v>
      </c>
    </row>
    <row r="4651" spans="1:4" x14ac:dyDescent="0.25">
      <c r="A4651" s="45" t="s">
        <v>4678</v>
      </c>
      <c r="B4651" s="46" t="s">
        <v>16168</v>
      </c>
      <c r="C4651">
        <v>13</v>
      </c>
      <c r="D4651">
        <v>77</v>
      </c>
    </row>
    <row r="4652" spans="1:4" x14ac:dyDescent="0.25">
      <c r="A4652" s="45" t="s">
        <v>4679</v>
      </c>
      <c r="B4652" s="46" t="s">
        <v>16169</v>
      </c>
      <c r="C4652">
        <v>13</v>
      </c>
      <c r="D4652">
        <v>77</v>
      </c>
    </row>
    <row r="4653" spans="1:4" x14ac:dyDescent="0.25">
      <c r="A4653" s="45" t="s">
        <v>4680</v>
      </c>
      <c r="B4653" s="46" t="s">
        <v>16170</v>
      </c>
      <c r="C4653">
        <v>13</v>
      </c>
      <c r="D4653">
        <v>77</v>
      </c>
    </row>
    <row r="4654" spans="1:4" x14ac:dyDescent="0.25">
      <c r="A4654" s="45" t="s">
        <v>4681</v>
      </c>
      <c r="B4654" s="46" t="s">
        <v>16171</v>
      </c>
      <c r="C4654">
        <v>13</v>
      </c>
      <c r="D4654">
        <v>77</v>
      </c>
    </row>
    <row r="4655" spans="1:4" x14ac:dyDescent="0.25">
      <c r="A4655" s="45" t="s">
        <v>4682</v>
      </c>
      <c r="B4655" s="46" t="s">
        <v>16172</v>
      </c>
      <c r="C4655">
        <v>13</v>
      </c>
      <c r="D4655">
        <v>77</v>
      </c>
    </row>
    <row r="4656" spans="1:4" x14ac:dyDescent="0.25">
      <c r="A4656" s="45" t="s">
        <v>4683</v>
      </c>
      <c r="B4656" s="46" t="s">
        <v>16173</v>
      </c>
      <c r="C4656">
        <v>13</v>
      </c>
      <c r="D4656">
        <v>77</v>
      </c>
    </row>
    <row r="4657" spans="1:4" x14ac:dyDescent="0.25">
      <c r="A4657" s="45" t="s">
        <v>4684</v>
      </c>
      <c r="B4657" s="46" t="s">
        <v>16174</v>
      </c>
      <c r="C4657">
        <v>13</v>
      </c>
      <c r="D4657">
        <v>77</v>
      </c>
    </row>
    <row r="4658" spans="1:4" x14ac:dyDescent="0.25">
      <c r="A4658" s="45" t="s">
        <v>4685</v>
      </c>
      <c r="B4658" s="46" t="s">
        <v>16175</v>
      </c>
      <c r="C4658">
        <v>13</v>
      </c>
      <c r="D4658">
        <v>77</v>
      </c>
    </row>
    <row r="4659" spans="1:4" x14ac:dyDescent="0.25">
      <c r="A4659" s="45" t="s">
        <v>4686</v>
      </c>
      <c r="B4659" s="46" t="s">
        <v>16176</v>
      </c>
      <c r="C4659">
        <v>13</v>
      </c>
      <c r="D4659">
        <v>77</v>
      </c>
    </row>
    <row r="4660" spans="1:4" x14ac:dyDescent="0.25">
      <c r="A4660" s="45" t="s">
        <v>4687</v>
      </c>
      <c r="B4660" s="46" t="s">
        <v>16177</v>
      </c>
      <c r="C4660">
        <v>13</v>
      </c>
      <c r="D4660">
        <v>77</v>
      </c>
    </row>
    <row r="4661" spans="1:4" x14ac:dyDescent="0.25">
      <c r="A4661" s="45" t="s">
        <v>4688</v>
      </c>
      <c r="B4661" s="46" t="s">
        <v>16178</v>
      </c>
      <c r="C4661">
        <v>13</v>
      </c>
      <c r="D4661">
        <v>77</v>
      </c>
    </row>
    <row r="4662" spans="1:4" x14ac:dyDescent="0.25">
      <c r="A4662" s="45" t="s">
        <v>4689</v>
      </c>
      <c r="B4662" s="46" t="s">
        <v>20262</v>
      </c>
      <c r="C4662">
        <v>13</v>
      </c>
      <c r="D4662">
        <v>77</v>
      </c>
    </row>
    <row r="4663" spans="1:4" x14ac:dyDescent="0.25">
      <c r="A4663" s="45" t="s">
        <v>4690</v>
      </c>
      <c r="B4663" s="46" t="s">
        <v>16179</v>
      </c>
      <c r="C4663">
        <v>13</v>
      </c>
      <c r="D4663">
        <v>77</v>
      </c>
    </row>
    <row r="4664" spans="1:4" x14ac:dyDescent="0.25">
      <c r="A4664" s="45" t="s">
        <v>4691</v>
      </c>
      <c r="B4664" s="46" t="s">
        <v>16180</v>
      </c>
      <c r="C4664">
        <v>13</v>
      </c>
      <c r="D4664">
        <v>77</v>
      </c>
    </row>
    <row r="4665" spans="1:4" x14ac:dyDescent="0.25">
      <c r="A4665" s="45" t="s">
        <v>4692</v>
      </c>
      <c r="B4665" s="46" t="s">
        <v>16181</v>
      </c>
      <c r="C4665">
        <v>13</v>
      </c>
      <c r="D4665">
        <v>77</v>
      </c>
    </row>
    <row r="4666" spans="1:4" x14ac:dyDescent="0.25">
      <c r="A4666" s="45" t="s">
        <v>4693</v>
      </c>
      <c r="B4666" s="46" t="s">
        <v>16182</v>
      </c>
      <c r="C4666">
        <v>13</v>
      </c>
      <c r="D4666">
        <v>79</v>
      </c>
    </row>
    <row r="4667" spans="1:4" x14ac:dyDescent="0.25">
      <c r="A4667" s="45" t="s">
        <v>4694</v>
      </c>
      <c r="B4667" s="46" t="s">
        <v>16183</v>
      </c>
      <c r="C4667">
        <v>13</v>
      </c>
      <c r="D4667">
        <v>77</v>
      </c>
    </row>
    <row r="4668" spans="1:4" x14ac:dyDescent="0.25">
      <c r="A4668" s="45" t="s">
        <v>4695</v>
      </c>
      <c r="B4668" s="46" t="s">
        <v>20263</v>
      </c>
      <c r="C4668">
        <v>13</v>
      </c>
      <c r="D4668">
        <v>77</v>
      </c>
    </row>
    <row r="4669" spans="1:4" x14ac:dyDescent="0.25">
      <c r="A4669" s="45" t="s">
        <v>4696</v>
      </c>
      <c r="B4669" s="46" t="s">
        <v>16184</v>
      </c>
      <c r="C4669">
        <v>13</v>
      </c>
      <c r="D4669">
        <v>77</v>
      </c>
    </row>
    <row r="4670" spans="1:4" x14ac:dyDescent="0.25">
      <c r="A4670" s="45" t="s">
        <v>4697</v>
      </c>
      <c r="B4670" s="46" t="s">
        <v>16185</v>
      </c>
      <c r="C4670">
        <v>13</v>
      </c>
      <c r="D4670">
        <v>77</v>
      </c>
    </row>
    <row r="4671" spans="1:4" x14ac:dyDescent="0.25">
      <c r="A4671" s="45" t="s">
        <v>4698</v>
      </c>
      <c r="B4671" s="46" t="s">
        <v>16186</v>
      </c>
      <c r="C4671">
        <v>13</v>
      </c>
      <c r="D4671">
        <v>77</v>
      </c>
    </row>
    <row r="4672" spans="1:4" x14ac:dyDescent="0.25">
      <c r="A4672" s="45" t="s">
        <v>4699</v>
      </c>
      <c r="B4672" s="46" t="s">
        <v>20264</v>
      </c>
      <c r="C4672">
        <v>13</v>
      </c>
      <c r="D4672">
        <v>77</v>
      </c>
    </row>
    <row r="4673" spans="1:4" x14ac:dyDescent="0.25">
      <c r="A4673" s="45" t="s">
        <v>4700</v>
      </c>
      <c r="B4673" s="46" t="s">
        <v>16187</v>
      </c>
      <c r="C4673">
        <v>13</v>
      </c>
      <c r="D4673">
        <v>77</v>
      </c>
    </row>
    <row r="4674" spans="1:4" x14ac:dyDescent="0.25">
      <c r="A4674" s="45" t="s">
        <v>4701</v>
      </c>
      <c r="B4674" s="46" t="s">
        <v>16188</v>
      </c>
      <c r="C4674">
        <v>13</v>
      </c>
      <c r="D4674">
        <v>77</v>
      </c>
    </row>
    <row r="4675" spans="1:4" x14ac:dyDescent="0.25">
      <c r="A4675" s="45" t="s">
        <v>4702</v>
      </c>
      <c r="B4675" s="46" t="s">
        <v>16189</v>
      </c>
      <c r="C4675">
        <v>13</v>
      </c>
      <c r="D4675">
        <v>77</v>
      </c>
    </row>
    <row r="4676" spans="1:4" x14ac:dyDescent="0.25">
      <c r="A4676" s="45" t="s">
        <v>4703</v>
      </c>
      <c r="B4676" s="46" t="s">
        <v>16190</v>
      </c>
      <c r="C4676">
        <v>13</v>
      </c>
      <c r="D4676">
        <v>77</v>
      </c>
    </row>
    <row r="4677" spans="1:4" x14ac:dyDescent="0.25">
      <c r="A4677" s="45" t="s">
        <v>4704</v>
      </c>
      <c r="B4677" s="46" t="s">
        <v>20265</v>
      </c>
      <c r="C4677">
        <v>13</v>
      </c>
      <c r="D4677">
        <v>77</v>
      </c>
    </row>
    <row r="4678" spans="1:4" x14ac:dyDescent="0.25">
      <c r="A4678" s="45" t="s">
        <v>4705</v>
      </c>
      <c r="B4678" s="46" t="s">
        <v>16191</v>
      </c>
      <c r="C4678">
        <v>13</v>
      </c>
      <c r="D4678">
        <v>77</v>
      </c>
    </row>
    <row r="4679" spans="1:4" x14ac:dyDescent="0.25">
      <c r="A4679" s="45" t="s">
        <v>4706</v>
      </c>
      <c r="B4679" s="46" t="s">
        <v>16192</v>
      </c>
      <c r="C4679">
        <v>13</v>
      </c>
      <c r="D4679">
        <v>77</v>
      </c>
    </row>
    <row r="4680" spans="1:4" x14ac:dyDescent="0.25">
      <c r="A4680" s="45" t="s">
        <v>4707</v>
      </c>
      <c r="B4680" s="46" t="s">
        <v>16193</v>
      </c>
      <c r="C4680">
        <v>13</v>
      </c>
      <c r="D4680">
        <v>77</v>
      </c>
    </row>
    <row r="4681" spans="1:4" x14ac:dyDescent="0.25">
      <c r="A4681" s="45" t="s">
        <v>4708</v>
      </c>
      <c r="B4681" s="46" t="s">
        <v>16194</v>
      </c>
      <c r="C4681">
        <v>13</v>
      </c>
      <c r="D4681">
        <v>79</v>
      </c>
    </row>
    <row r="4682" spans="1:4" x14ac:dyDescent="0.25">
      <c r="A4682" s="45" t="s">
        <v>4709</v>
      </c>
      <c r="B4682" s="46" t="s">
        <v>16195</v>
      </c>
      <c r="C4682">
        <v>13</v>
      </c>
      <c r="D4682">
        <v>77</v>
      </c>
    </row>
    <row r="4683" spans="1:4" x14ac:dyDescent="0.25">
      <c r="A4683" s="45" t="s">
        <v>4710</v>
      </c>
      <c r="B4683" s="46" t="s">
        <v>16196</v>
      </c>
      <c r="C4683">
        <v>13</v>
      </c>
      <c r="D4683">
        <v>77</v>
      </c>
    </row>
    <row r="4684" spans="1:4" x14ac:dyDescent="0.25">
      <c r="A4684" s="45" t="s">
        <v>4711</v>
      </c>
      <c r="B4684" s="46" t="s">
        <v>20266</v>
      </c>
      <c r="C4684">
        <v>5</v>
      </c>
      <c r="D4684">
        <v>30</v>
      </c>
    </row>
    <row r="4685" spans="1:4" x14ac:dyDescent="0.25">
      <c r="A4685" s="45" t="s">
        <v>4712</v>
      </c>
      <c r="B4685" s="46" t="s">
        <v>16198</v>
      </c>
      <c r="C4685">
        <v>7</v>
      </c>
      <c r="D4685">
        <v>47</v>
      </c>
    </row>
    <row r="4686" spans="1:4" x14ac:dyDescent="0.25">
      <c r="A4686" s="45" t="s">
        <v>4713</v>
      </c>
      <c r="B4686" s="46" t="s">
        <v>16199</v>
      </c>
      <c r="C4686">
        <v>7</v>
      </c>
      <c r="D4686">
        <v>47</v>
      </c>
    </row>
    <row r="4687" spans="1:4" x14ac:dyDescent="0.25">
      <c r="A4687" s="45" t="s">
        <v>4714</v>
      </c>
      <c r="B4687" s="46" t="s">
        <v>16200</v>
      </c>
      <c r="C4687">
        <v>7</v>
      </c>
      <c r="D4687">
        <v>47</v>
      </c>
    </row>
    <row r="4688" spans="1:4" x14ac:dyDescent="0.25">
      <c r="A4688" s="45" t="s">
        <v>4715</v>
      </c>
      <c r="B4688" s="46" t="s">
        <v>16201</v>
      </c>
      <c r="C4688">
        <v>7</v>
      </c>
      <c r="D4688">
        <v>47</v>
      </c>
    </row>
    <row r="4689" spans="1:4" x14ac:dyDescent="0.25">
      <c r="A4689" s="45" t="s">
        <v>4716</v>
      </c>
      <c r="B4689" s="46" t="s">
        <v>16202</v>
      </c>
      <c r="C4689">
        <v>7</v>
      </c>
      <c r="D4689">
        <v>47</v>
      </c>
    </row>
    <row r="4690" spans="1:4" x14ac:dyDescent="0.25">
      <c r="A4690" s="45" t="s">
        <v>4717</v>
      </c>
      <c r="B4690" s="46" t="s">
        <v>20267</v>
      </c>
      <c r="C4690">
        <v>7</v>
      </c>
      <c r="D4690">
        <v>47</v>
      </c>
    </row>
    <row r="4691" spans="1:4" x14ac:dyDescent="0.25">
      <c r="A4691" s="45" t="s">
        <v>4718</v>
      </c>
      <c r="B4691" s="46" t="s">
        <v>16203</v>
      </c>
      <c r="C4691">
        <v>7</v>
      </c>
      <c r="D4691">
        <v>47</v>
      </c>
    </row>
    <row r="4692" spans="1:4" x14ac:dyDescent="0.25">
      <c r="A4692" s="45" t="s">
        <v>4719</v>
      </c>
      <c r="B4692" s="46" t="s">
        <v>20268</v>
      </c>
      <c r="C4692">
        <v>7</v>
      </c>
      <c r="D4692">
        <v>47</v>
      </c>
    </row>
    <row r="4693" spans="1:4" x14ac:dyDescent="0.25">
      <c r="A4693" s="45" t="s">
        <v>4720</v>
      </c>
      <c r="B4693" s="46" t="s">
        <v>16204</v>
      </c>
      <c r="C4693">
        <v>7</v>
      </c>
      <c r="D4693">
        <v>47</v>
      </c>
    </row>
    <row r="4694" spans="1:4" x14ac:dyDescent="0.25">
      <c r="A4694" s="45" t="s">
        <v>4721</v>
      </c>
      <c r="B4694" s="46" t="s">
        <v>16205</v>
      </c>
      <c r="C4694">
        <v>7</v>
      </c>
      <c r="D4694">
        <v>47</v>
      </c>
    </row>
    <row r="4695" spans="1:4" x14ac:dyDescent="0.25">
      <c r="A4695" s="45" t="s">
        <v>4722</v>
      </c>
      <c r="B4695" s="46" t="s">
        <v>16206</v>
      </c>
      <c r="C4695">
        <v>7</v>
      </c>
      <c r="D4695">
        <v>47</v>
      </c>
    </row>
    <row r="4696" spans="1:4" x14ac:dyDescent="0.25">
      <c r="A4696" s="45" t="s">
        <v>4723</v>
      </c>
      <c r="B4696" s="46" t="s">
        <v>16207</v>
      </c>
      <c r="C4696">
        <v>7</v>
      </c>
      <c r="D4696">
        <v>47</v>
      </c>
    </row>
    <row r="4697" spans="1:4" x14ac:dyDescent="0.25">
      <c r="A4697" s="45" t="s">
        <v>4724</v>
      </c>
      <c r="B4697" s="46" t="s">
        <v>16208</v>
      </c>
      <c r="C4697">
        <v>7</v>
      </c>
      <c r="D4697">
        <v>47</v>
      </c>
    </row>
    <row r="4698" spans="1:4" x14ac:dyDescent="0.25">
      <c r="A4698" s="45" t="s">
        <v>4725</v>
      </c>
      <c r="B4698" s="46" t="s">
        <v>20269</v>
      </c>
      <c r="C4698">
        <v>13</v>
      </c>
      <c r="D4698">
        <v>77</v>
      </c>
    </row>
    <row r="4699" spans="1:4" x14ac:dyDescent="0.25">
      <c r="A4699" s="45" t="s">
        <v>4726</v>
      </c>
      <c r="B4699" s="46" t="s">
        <v>16209</v>
      </c>
      <c r="C4699">
        <v>13</v>
      </c>
      <c r="D4699">
        <v>77</v>
      </c>
    </row>
    <row r="4700" spans="1:4" x14ac:dyDescent="0.25">
      <c r="A4700" s="45" t="s">
        <v>4727</v>
      </c>
      <c r="B4700" s="46" t="s">
        <v>16210</v>
      </c>
      <c r="C4700">
        <v>13</v>
      </c>
      <c r="D4700">
        <v>77</v>
      </c>
    </row>
    <row r="4701" spans="1:4" x14ac:dyDescent="0.25">
      <c r="A4701" s="45" t="s">
        <v>4728</v>
      </c>
      <c r="B4701" s="46" t="s">
        <v>16211</v>
      </c>
      <c r="C4701">
        <v>13</v>
      </c>
      <c r="D4701">
        <v>77</v>
      </c>
    </row>
    <row r="4702" spans="1:4" x14ac:dyDescent="0.25">
      <c r="A4702" s="45" t="s">
        <v>4729</v>
      </c>
      <c r="B4702" s="46" t="s">
        <v>16212</v>
      </c>
      <c r="C4702">
        <v>13</v>
      </c>
      <c r="D4702">
        <v>77</v>
      </c>
    </row>
    <row r="4703" spans="1:4" x14ac:dyDescent="0.25">
      <c r="A4703" s="45" t="s">
        <v>4730</v>
      </c>
      <c r="B4703" s="46" t="s">
        <v>16213</v>
      </c>
      <c r="C4703">
        <v>13</v>
      </c>
      <c r="D4703">
        <v>77</v>
      </c>
    </row>
    <row r="4704" spans="1:4" x14ac:dyDescent="0.25">
      <c r="A4704" s="45" t="s">
        <v>4731</v>
      </c>
      <c r="B4704" s="46" t="s">
        <v>16214</v>
      </c>
      <c r="C4704">
        <v>13</v>
      </c>
      <c r="D4704">
        <v>77</v>
      </c>
    </row>
    <row r="4705" spans="1:4" x14ac:dyDescent="0.25">
      <c r="A4705" s="45" t="s">
        <v>4732</v>
      </c>
      <c r="B4705" s="46" t="s">
        <v>16215</v>
      </c>
      <c r="C4705">
        <v>13</v>
      </c>
      <c r="D4705">
        <v>77</v>
      </c>
    </row>
    <row r="4706" spans="1:4" x14ac:dyDescent="0.25">
      <c r="A4706" s="45" t="s">
        <v>4733</v>
      </c>
      <c r="B4706" s="46" t="s">
        <v>16216</v>
      </c>
      <c r="C4706">
        <v>13</v>
      </c>
      <c r="D4706">
        <v>77</v>
      </c>
    </row>
    <row r="4707" spans="1:4" x14ac:dyDescent="0.25">
      <c r="A4707" s="45" t="s">
        <v>4734</v>
      </c>
      <c r="B4707" s="46" t="s">
        <v>16217</v>
      </c>
      <c r="C4707">
        <v>13</v>
      </c>
      <c r="D4707">
        <v>77</v>
      </c>
    </row>
    <row r="4708" spans="1:4" x14ac:dyDescent="0.25">
      <c r="A4708" s="45" t="s">
        <v>4735</v>
      </c>
      <c r="B4708" s="46" t="s">
        <v>16218</v>
      </c>
      <c r="C4708">
        <v>13</v>
      </c>
      <c r="D4708">
        <v>77</v>
      </c>
    </row>
    <row r="4709" spans="1:4" x14ac:dyDescent="0.25">
      <c r="A4709" s="45" t="s">
        <v>4736</v>
      </c>
      <c r="B4709" s="46" t="s">
        <v>16219</v>
      </c>
      <c r="C4709">
        <v>13</v>
      </c>
      <c r="D4709">
        <v>77</v>
      </c>
    </row>
    <row r="4710" spans="1:4" x14ac:dyDescent="0.25">
      <c r="A4710" s="45" t="s">
        <v>4737</v>
      </c>
      <c r="B4710" s="46" t="s">
        <v>16220</v>
      </c>
      <c r="C4710">
        <v>13</v>
      </c>
      <c r="D4710">
        <v>77</v>
      </c>
    </row>
    <row r="4711" spans="1:4" x14ac:dyDescent="0.25">
      <c r="A4711" s="45" t="s">
        <v>4738</v>
      </c>
      <c r="B4711" s="46" t="s">
        <v>16221</v>
      </c>
      <c r="C4711">
        <v>13</v>
      </c>
      <c r="D4711">
        <v>77</v>
      </c>
    </row>
    <row r="4712" spans="1:4" x14ac:dyDescent="0.25">
      <c r="A4712" s="45" t="s">
        <v>4739</v>
      </c>
      <c r="B4712" s="46" t="s">
        <v>16222</v>
      </c>
      <c r="C4712">
        <v>13</v>
      </c>
      <c r="D4712">
        <v>77</v>
      </c>
    </row>
    <row r="4713" spans="1:4" x14ac:dyDescent="0.25">
      <c r="A4713" s="45" t="s">
        <v>4740</v>
      </c>
      <c r="B4713" s="46" t="s">
        <v>16223</v>
      </c>
      <c r="C4713">
        <v>1</v>
      </c>
      <c r="D4713">
        <v>15</v>
      </c>
    </row>
    <row r="4714" spans="1:4" x14ac:dyDescent="0.25">
      <c r="A4714" s="45" t="s">
        <v>4741</v>
      </c>
      <c r="B4714" s="46" t="s">
        <v>16224</v>
      </c>
      <c r="C4714">
        <v>13</v>
      </c>
      <c r="D4714">
        <v>79</v>
      </c>
    </row>
    <row r="4715" spans="1:4" x14ac:dyDescent="0.25">
      <c r="A4715" s="45" t="s">
        <v>4742</v>
      </c>
      <c r="B4715" s="46" t="s">
        <v>16225</v>
      </c>
      <c r="C4715">
        <v>13</v>
      </c>
      <c r="D4715">
        <v>79</v>
      </c>
    </row>
    <row r="4716" spans="1:4" x14ac:dyDescent="0.25">
      <c r="A4716" s="45" t="s">
        <v>4743</v>
      </c>
      <c r="B4716" s="46" t="s">
        <v>20270</v>
      </c>
      <c r="C4716">
        <v>13</v>
      </c>
      <c r="D4716">
        <v>79</v>
      </c>
    </row>
    <row r="4717" spans="1:4" x14ac:dyDescent="0.25">
      <c r="A4717" s="45" t="s">
        <v>4744</v>
      </c>
      <c r="B4717" s="46" t="s">
        <v>16226</v>
      </c>
      <c r="C4717">
        <v>13</v>
      </c>
      <c r="D4717">
        <v>79</v>
      </c>
    </row>
    <row r="4718" spans="1:4" x14ac:dyDescent="0.25">
      <c r="A4718" s="45" t="s">
        <v>4745</v>
      </c>
      <c r="B4718" s="46" t="s">
        <v>20271</v>
      </c>
      <c r="C4718">
        <v>13</v>
      </c>
      <c r="D4718">
        <v>79</v>
      </c>
    </row>
    <row r="4719" spans="1:4" x14ac:dyDescent="0.25">
      <c r="A4719" s="45" t="s">
        <v>4746</v>
      </c>
      <c r="B4719" s="46" t="s">
        <v>16227</v>
      </c>
      <c r="C4719">
        <v>13</v>
      </c>
      <c r="D4719">
        <v>77</v>
      </c>
    </row>
    <row r="4720" spans="1:4" x14ac:dyDescent="0.25">
      <c r="A4720" s="45" t="s">
        <v>4747</v>
      </c>
      <c r="B4720" s="46" t="s">
        <v>16228</v>
      </c>
      <c r="C4720">
        <v>3</v>
      </c>
      <c r="D4720">
        <v>28</v>
      </c>
    </row>
    <row r="4721" spans="1:4" x14ac:dyDescent="0.25">
      <c r="A4721" s="45" t="s">
        <v>4748</v>
      </c>
      <c r="B4721" s="46" t="s">
        <v>16229</v>
      </c>
      <c r="C4721">
        <v>13</v>
      </c>
      <c r="D4721">
        <v>77</v>
      </c>
    </row>
    <row r="4722" spans="1:4" x14ac:dyDescent="0.25">
      <c r="A4722" s="45" t="s">
        <v>4749</v>
      </c>
      <c r="B4722" s="46" t="s">
        <v>20272</v>
      </c>
      <c r="C4722">
        <v>13</v>
      </c>
      <c r="D4722">
        <v>77</v>
      </c>
    </row>
    <row r="4723" spans="1:4" x14ac:dyDescent="0.25">
      <c r="A4723" s="45" t="s">
        <v>4750</v>
      </c>
      <c r="B4723" s="46" t="s">
        <v>16230</v>
      </c>
      <c r="C4723">
        <v>13</v>
      </c>
      <c r="D4723">
        <v>77</v>
      </c>
    </row>
    <row r="4724" spans="1:4" x14ac:dyDescent="0.25">
      <c r="A4724" s="45" t="s">
        <v>4751</v>
      </c>
      <c r="B4724" s="46" t="s">
        <v>20273</v>
      </c>
      <c r="C4724">
        <v>13</v>
      </c>
      <c r="D4724">
        <v>77</v>
      </c>
    </row>
    <row r="4725" spans="1:4" x14ac:dyDescent="0.25">
      <c r="A4725" s="45" t="s">
        <v>4752</v>
      </c>
      <c r="B4725" s="46" t="s">
        <v>16231</v>
      </c>
      <c r="C4725">
        <v>13</v>
      </c>
      <c r="D4725">
        <v>77</v>
      </c>
    </row>
    <row r="4726" spans="1:4" x14ac:dyDescent="0.25">
      <c r="A4726" s="45" t="s">
        <v>4753</v>
      </c>
      <c r="B4726" s="46" t="s">
        <v>20274</v>
      </c>
      <c r="C4726">
        <v>13</v>
      </c>
      <c r="D4726">
        <v>77</v>
      </c>
    </row>
    <row r="4727" spans="1:4" x14ac:dyDescent="0.25">
      <c r="A4727" s="45" t="s">
        <v>4754</v>
      </c>
      <c r="B4727" s="46" t="s">
        <v>20275</v>
      </c>
      <c r="C4727">
        <v>13</v>
      </c>
      <c r="D4727">
        <v>80</v>
      </c>
    </row>
    <row r="4728" spans="1:4" x14ac:dyDescent="0.25">
      <c r="A4728" s="45" t="s">
        <v>4755</v>
      </c>
      <c r="B4728" s="46" t="s">
        <v>20276</v>
      </c>
      <c r="C4728">
        <v>13</v>
      </c>
      <c r="D4728">
        <v>80</v>
      </c>
    </row>
    <row r="4729" spans="1:4" x14ac:dyDescent="0.25">
      <c r="A4729" s="45" t="s">
        <v>4756</v>
      </c>
      <c r="B4729" s="46" t="s">
        <v>20277</v>
      </c>
      <c r="C4729">
        <v>13</v>
      </c>
      <c r="D4729">
        <v>80</v>
      </c>
    </row>
    <row r="4730" spans="1:4" x14ac:dyDescent="0.25">
      <c r="A4730" s="45" t="s">
        <v>4757</v>
      </c>
      <c r="B4730" s="46" t="s">
        <v>20278</v>
      </c>
      <c r="C4730">
        <v>13</v>
      </c>
      <c r="D4730">
        <v>80</v>
      </c>
    </row>
    <row r="4731" spans="1:4" x14ac:dyDescent="0.25">
      <c r="A4731" s="45" t="s">
        <v>4758</v>
      </c>
      <c r="B4731" s="46" t="s">
        <v>20279</v>
      </c>
      <c r="C4731">
        <v>13</v>
      </c>
      <c r="D4731">
        <v>80</v>
      </c>
    </row>
    <row r="4732" spans="1:4" x14ac:dyDescent="0.25">
      <c r="A4732" s="45" t="s">
        <v>4759</v>
      </c>
      <c r="B4732" s="46" t="s">
        <v>16232</v>
      </c>
      <c r="C4732">
        <v>13</v>
      </c>
      <c r="D4732">
        <v>80</v>
      </c>
    </row>
    <row r="4733" spans="1:4" x14ac:dyDescent="0.25">
      <c r="A4733" s="45" t="s">
        <v>4760</v>
      </c>
      <c r="B4733" s="46" t="s">
        <v>16233</v>
      </c>
      <c r="C4733">
        <v>13</v>
      </c>
      <c r="D4733">
        <v>80</v>
      </c>
    </row>
    <row r="4734" spans="1:4" x14ac:dyDescent="0.25">
      <c r="A4734" s="45" t="s">
        <v>4761</v>
      </c>
      <c r="B4734" s="46" t="s">
        <v>16234</v>
      </c>
      <c r="C4734">
        <v>13</v>
      </c>
      <c r="D4734">
        <v>80</v>
      </c>
    </row>
    <row r="4735" spans="1:4" x14ac:dyDescent="0.25">
      <c r="A4735" s="45" t="s">
        <v>4762</v>
      </c>
      <c r="B4735" s="46" t="s">
        <v>16235</v>
      </c>
      <c r="C4735">
        <v>13</v>
      </c>
      <c r="D4735">
        <v>80</v>
      </c>
    </row>
    <row r="4736" spans="1:4" x14ac:dyDescent="0.25">
      <c r="A4736" s="45" t="s">
        <v>4763</v>
      </c>
      <c r="B4736" s="46" t="s">
        <v>16236</v>
      </c>
      <c r="C4736">
        <v>13</v>
      </c>
      <c r="D4736">
        <v>80</v>
      </c>
    </row>
    <row r="4737" spans="1:4" x14ac:dyDescent="0.25">
      <c r="A4737" s="45" t="s">
        <v>4764</v>
      </c>
      <c r="B4737" s="46" t="s">
        <v>16237</v>
      </c>
      <c r="C4737">
        <v>13</v>
      </c>
      <c r="D4737">
        <v>80</v>
      </c>
    </row>
    <row r="4738" spans="1:4" x14ac:dyDescent="0.25">
      <c r="A4738" s="45" t="s">
        <v>4765</v>
      </c>
      <c r="B4738" s="46" t="s">
        <v>16238</v>
      </c>
      <c r="C4738">
        <v>13</v>
      </c>
      <c r="D4738">
        <v>80</v>
      </c>
    </row>
    <row r="4739" spans="1:4" x14ac:dyDescent="0.25">
      <c r="A4739" s="45" t="s">
        <v>4766</v>
      </c>
      <c r="B4739" s="46" t="s">
        <v>16239</v>
      </c>
      <c r="C4739">
        <v>13</v>
      </c>
      <c r="D4739">
        <v>80</v>
      </c>
    </row>
    <row r="4740" spans="1:4" x14ac:dyDescent="0.25">
      <c r="A4740" s="45" t="s">
        <v>4767</v>
      </c>
      <c r="B4740" s="46" t="s">
        <v>16240</v>
      </c>
      <c r="C4740">
        <v>13</v>
      </c>
      <c r="D4740">
        <v>80</v>
      </c>
    </row>
    <row r="4741" spans="1:4" x14ac:dyDescent="0.25">
      <c r="A4741" s="45" t="s">
        <v>4768</v>
      </c>
      <c r="B4741" s="46" t="s">
        <v>16241</v>
      </c>
      <c r="C4741">
        <v>13</v>
      </c>
      <c r="D4741">
        <v>80</v>
      </c>
    </row>
    <row r="4742" spans="1:4" x14ac:dyDescent="0.25">
      <c r="A4742" s="45" t="s">
        <v>4769</v>
      </c>
      <c r="B4742" s="46" t="s">
        <v>16242</v>
      </c>
      <c r="C4742">
        <v>13</v>
      </c>
      <c r="D4742">
        <v>80</v>
      </c>
    </row>
    <row r="4743" spans="1:4" x14ac:dyDescent="0.25">
      <c r="A4743" s="45" t="s">
        <v>4770</v>
      </c>
      <c r="B4743" s="46" t="s">
        <v>16243</v>
      </c>
      <c r="C4743">
        <v>13</v>
      </c>
      <c r="D4743">
        <v>80</v>
      </c>
    </row>
    <row r="4744" spans="1:4" x14ac:dyDescent="0.25">
      <c r="A4744" s="45" t="s">
        <v>4771</v>
      </c>
      <c r="B4744" s="46" t="s">
        <v>16244</v>
      </c>
      <c r="C4744">
        <v>13</v>
      </c>
      <c r="D4744">
        <v>80</v>
      </c>
    </row>
    <row r="4745" spans="1:4" x14ac:dyDescent="0.25">
      <c r="A4745" s="45" t="s">
        <v>4772</v>
      </c>
      <c r="B4745" s="46" t="s">
        <v>16245</v>
      </c>
      <c r="C4745">
        <v>13</v>
      </c>
      <c r="D4745">
        <v>80</v>
      </c>
    </row>
    <row r="4746" spans="1:4" x14ac:dyDescent="0.25">
      <c r="A4746" s="45" t="s">
        <v>4773</v>
      </c>
      <c r="B4746" s="46" t="s">
        <v>16246</v>
      </c>
      <c r="C4746">
        <v>13</v>
      </c>
      <c r="D4746">
        <v>78</v>
      </c>
    </row>
    <row r="4747" spans="1:4" x14ac:dyDescent="0.25">
      <c r="A4747" s="45" t="s">
        <v>4774</v>
      </c>
      <c r="B4747" s="46" t="s">
        <v>16247</v>
      </c>
      <c r="C4747">
        <v>13</v>
      </c>
      <c r="D4747">
        <v>78</v>
      </c>
    </row>
    <row r="4748" spans="1:4" x14ac:dyDescent="0.25">
      <c r="A4748" s="45" t="s">
        <v>4775</v>
      </c>
      <c r="B4748" s="46" t="s">
        <v>16248</v>
      </c>
      <c r="C4748">
        <v>13</v>
      </c>
      <c r="D4748">
        <v>78</v>
      </c>
    </row>
    <row r="4749" spans="1:4" x14ac:dyDescent="0.25">
      <c r="A4749" s="45" t="s">
        <v>4776</v>
      </c>
      <c r="B4749" s="46" t="s">
        <v>16249</v>
      </c>
      <c r="C4749">
        <v>13</v>
      </c>
      <c r="D4749">
        <v>78</v>
      </c>
    </row>
    <row r="4750" spans="1:4" x14ac:dyDescent="0.25">
      <c r="A4750" s="45" t="s">
        <v>4777</v>
      </c>
      <c r="B4750" s="46" t="s">
        <v>16250</v>
      </c>
      <c r="C4750">
        <v>13</v>
      </c>
      <c r="D4750">
        <v>78</v>
      </c>
    </row>
    <row r="4751" spans="1:4" x14ac:dyDescent="0.25">
      <c r="A4751" s="45" t="s">
        <v>4778</v>
      </c>
      <c r="B4751" s="46" t="s">
        <v>20280</v>
      </c>
      <c r="C4751">
        <v>13</v>
      </c>
      <c r="D4751">
        <v>80</v>
      </c>
    </row>
    <row r="4752" spans="1:4" x14ac:dyDescent="0.25">
      <c r="A4752" s="45" t="s">
        <v>4779</v>
      </c>
      <c r="B4752" s="46" t="s">
        <v>16251</v>
      </c>
      <c r="C4752">
        <v>13</v>
      </c>
      <c r="D4752">
        <v>80</v>
      </c>
    </row>
    <row r="4753" spans="1:4" x14ac:dyDescent="0.25">
      <c r="A4753" s="45" t="s">
        <v>4780</v>
      </c>
      <c r="B4753" s="46" t="s">
        <v>16252</v>
      </c>
      <c r="C4753">
        <v>13</v>
      </c>
      <c r="D4753">
        <v>78</v>
      </c>
    </row>
    <row r="4754" spans="1:4" x14ac:dyDescent="0.25">
      <c r="A4754" s="45" t="s">
        <v>4781</v>
      </c>
      <c r="B4754" s="46" t="s">
        <v>16253</v>
      </c>
      <c r="C4754">
        <v>13</v>
      </c>
      <c r="D4754">
        <v>78</v>
      </c>
    </row>
    <row r="4755" spans="1:4" x14ac:dyDescent="0.25">
      <c r="A4755" s="45" t="s">
        <v>4782</v>
      </c>
      <c r="B4755" s="46" t="s">
        <v>16254</v>
      </c>
      <c r="C4755">
        <v>13</v>
      </c>
      <c r="D4755">
        <v>78</v>
      </c>
    </row>
    <row r="4756" spans="1:4" x14ac:dyDescent="0.25">
      <c r="A4756" s="45" t="s">
        <v>4783</v>
      </c>
      <c r="B4756" s="46" t="s">
        <v>16255</v>
      </c>
      <c r="C4756">
        <v>13</v>
      </c>
      <c r="D4756">
        <v>80</v>
      </c>
    </row>
    <row r="4757" spans="1:4" x14ac:dyDescent="0.25">
      <c r="A4757" s="45" t="s">
        <v>4784</v>
      </c>
      <c r="B4757" s="46" t="s">
        <v>16256</v>
      </c>
      <c r="C4757">
        <v>13</v>
      </c>
      <c r="D4757">
        <v>78</v>
      </c>
    </row>
    <row r="4758" spans="1:4" x14ac:dyDescent="0.25">
      <c r="A4758" s="45" t="s">
        <v>4785</v>
      </c>
      <c r="B4758" s="46" t="s">
        <v>16257</v>
      </c>
      <c r="C4758">
        <v>13</v>
      </c>
      <c r="D4758">
        <v>78</v>
      </c>
    </row>
    <row r="4759" spans="1:4" x14ac:dyDescent="0.25">
      <c r="A4759" s="45" t="s">
        <v>4786</v>
      </c>
      <c r="B4759" s="46" t="s">
        <v>16258</v>
      </c>
      <c r="C4759">
        <v>13</v>
      </c>
      <c r="D4759">
        <v>78</v>
      </c>
    </row>
    <row r="4760" spans="1:4" x14ac:dyDescent="0.25">
      <c r="A4760" s="45" t="s">
        <v>4787</v>
      </c>
      <c r="B4760" s="46" t="s">
        <v>16259</v>
      </c>
      <c r="C4760">
        <v>13</v>
      </c>
      <c r="D4760">
        <v>78</v>
      </c>
    </row>
    <row r="4761" spans="1:4" x14ac:dyDescent="0.25">
      <c r="A4761" s="45" t="s">
        <v>4788</v>
      </c>
      <c r="B4761" s="46" t="s">
        <v>16260</v>
      </c>
      <c r="C4761">
        <v>13</v>
      </c>
      <c r="D4761">
        <v>78</v>
      </c>
    </row>
    <row r="4762" spans="1:4" x14ac:dyDescent="0.25">
      <c r="A4762" s="45" t="s">
        <v>4789</v>
      </c>
      <c r="B4762" s="46" t="s">
        <v>16261</v>
      </c>
      <c r="C4762">
        <v>13</v>
      </c>
      <c r="D4762">
        <v>78</v>
      </c>
    </row>
    <row r="4763" spans="1:4" x14ac:dyDescent="0.25">
      <c r="A4763" s="45" t="s">
        <v>4790</v>
      </c>
      <c r="B4763" s="46" t="s">
        <v>16262</v>
      </c>
      <c r="C4763">
        <v>13</v>
      </c>
      <c r="D4763">
        <v>78</v>
      </c>
    </row>
    <row r="4764" spans="1:4" x14ac:dyDescent="0.25">
      <c r="A4764" s="45" t="s">
        <v>4791</v>
      </c>
      <c r="B4764" s="46" t="s">
        <v>16263</v>
      </c>
      <c r="C4764">
        <v>13</v>
      </c>
      <c r="D4764">
        <v>78</v>
      </c>
    </row>
    <row r="4765" spans="1:4" x14ac:dyDescent="0.25">
      <c r="A4765" s="45" t="s">
        <v>4792</v>
      </c>
      <c r="B4765" s="46" t="s">
        <v>16264</v>
      </c>
      <c r="C4765">
        <v>13</v>
      </c>
      <c r="D4765">
        <v>78</v>
      </c>
    </row>
    <row r="4766" spans="1:4" x14ac:dyDescent="0.25">
      <c r="A4766" s="45" t="s">
        <v>4793</v>
      </c>
      <c r="B4766" s="46" t="s">
        <v>16265</v>
      </c>
      <c r="C4766">
        <v>13</v>
      </c>
      <c r="D4766">
        <v>78</v>
      </c>
    </row>
    <row r="4767" spans="1:4" x14ac:dyDescent="0.25">
      <c r="A4767" s="45" t="s">
        <v>4794</v>
      </c>
      <c r="B4767" s="46" t="s">
        <v>20281</v>
      </c>
      <c r="C4767">
        <v>13</v>
      </c>
      <c r="D4767">
        <v>78</v>
      </c>
    </row>
    <row r="4768" spans="1:4" x14ac:dyDescent="0.25">
      <c r="A4768" s="45" t="s">
        <v>4795</v>
      </c>
      <c r="B4768" s="46" t="s">
        <v>16266</v>
      </c>
      <c r="C4768">
        <v>13</v>
      </c>
      <c r="D4768">
        <v>78</v>
      </c>
    </row>
    <row r="4769" spans="1:4" x14ac:dyDescent="0.25">
      <c r="A4769" s="45" t="s">
        <v>4796</v>
      </c>
      <c r="B4769" s="46" t="s">
        <v>16267</v>
      </c>
      <c r="C4769">
        <v>13</v>
      </c>
      <c r="D4769">
        <v>78</v>
      </c>
    </row>
    <row r="4770" spans="1:4" x14ac:dyDescent="0.25">
      <c r="A4770" s="45" t="s">
        <v>4797</v>
      </c>
      <c r="B4770" s="46" t="s">
        <v>16268</v>
      </c>
      <c r="C4770">
        <v>13</v>
      </c>
      <c r="D4770">
        <v>78</v>
      </c>
    </row>
    <row r="4771" spans="1:4" x14ac:dyDescent="0.25">
      <c r="A4771" s="45" t="s">
        <v>4798</v>
      </c>
      <c r="B4771" s="46" t="s">
        <v>16269</v>
      </c>
      <c r="C4771">
        <v>13</v>
      </c>
      <c r="D4771">
        <v>78</v>
      </c>
    </row>
    <row r="4772" spans="1:4" x14ac:dyDescent="0.25">
      <c r="A4772" s="45" t="s">
        <v>4799</v>
      </c>
      <c r="B4772" s="46" t="s">
        <v>16270</v>
      </c>
      <c r="C4772">
        <v>13</v>
      </c>
      <c r="D4772">
        <v>80</v>
      </c>
    </row>
    <row r="4773" spans="1:4" x14ac:dyDescent="0.25">
      <c r="A4773" s="45" t="s">
        <v>4800</v>
      </c>
      <c r="B4773" s="46" t="s">
        <v>20282</v>
      </c>
      <c r="C4773">
        <v>13</v>
      </c>
      <c r="D4773">
        <v>78</v>
      </c>
    </row>
    <row r="4774" spans="1:4" x14ac:dyDescent="0.25">
      <c r="A4774" s="45" t="s">
        <v>4801</v>
      </c>
      <c r="B4774" s="46" t="s">
        <v>16271</v>
      </c>
      <c r="C4774">
        <v>13</v>
      </c>
      <c r="D4774">
        <v>78</v>
      </c>
    </row>
    <row r="4775" spans="1:4" x14ac:dyDescent="0.25">
      <c r="A4775" s="45" t="s">
        <v>4802</v>
      </c>
      <c r="B4775" s="46" t="s">
        <v>16272</v>
      </c>
      <c r="C4775">
        <v>13</v>
      </c>
      <c r="D4775">
        <v>77</v>
      </c>
    </row>
    <row r="4776" spans="1:4" x14ac:dyDescent="0.25">
      <c r="A4776" s="45" t="s">
        <v>4803</v>
      </c>
      <c r="B4776" s="46" t="s">
        <v>16273</v>
      </c>
      <c r="C4776">
        <v>13</v>
      </c>
      <c r="D4776">
        <v>78</v>
      </c>
    </row>
    <row r="4777" spans="1:4" x14ac:dyDescent="0.25">
      <c r="A4777" s="45" t="s">
        <v>4804</v>
      </c>
      <c r="B4777" s="46" t="s">
        <v>16274</v>
      </c>
      <c r="C4777">
        <v>13</v>
      </c>
      <c r="D4777">
        <v>78</v>
      </c>
    </row>
    <row r="4778" spans="1:4" x14ac:dyDescent="0.25">
      <c r="A4778" s="45" t="s">
        <v>4805</v>
      </c>
      <c r="B4778" s="46" t="s">
        <v>16275</v>
      </c>
      <c r="C4778">
        <v>13</v>
      </c>
      <c r="D4778">
        <v>78</v>
      </c>
    </row>
    <row r="4779" spans="1:4" x14ac:dyDescent="0.25">
      <c r="A4779" s="45" t="s">
        <v>4806</v>
      </c>
      <c r="B4779" s="46" t="s">
        <v>20283</v>
      </c>
      <c r="C4779">
        <v>13</v>
      </c>
      <c r="D4779">
        <v>77</v>
      </c>
    </row>
    <row r="4780" spans="1:4" x14ac:dyDescent="0.25">
      <c r="A4780" s="45" t="s">
        <v>4807</v>
      </c>
      <c r="B4780" s="46" t="s">
        <v>20284</v>
      </c>
      <c r="C4780">
        <v>13</v>
      </c>
      <c r="D4780">
        <v>80</v>
      </c>
    </row>
    <row r="4781" spans="1:4" x14ac:dyDescent="0.25">
      <c r="A4781" s="45" t="s">
        <v>4808</v>
      </c>
      <c r="B4781" s="46" t="s">
        <v>20285</v>
      </c>
      <c r="C4781">
        <v>13</v>
      </c>
      <c r="D4781">
        <v>80</v>
      </c>
    </row>
    <row r="4782" spans="1:4" x14ac:dyDescent="0.25">
      <c r="A4782" s="45" t="s">
        <v>4809</v>
      </c>
      <c r="B4782" s="46" t="s">
        <v>20286</v>
      </c>
      <c r="C4782">
        <v>13</v>
      </c>
      <c r="D4782">
        <v>78</v>
      </c>
    </row>
    <row r="4783" spans="1:4" x14ac:dyDescent="0.25">
      <c r="A4783" s="45" t="s">
        <v>4810</v>
      </c>
      <c r="B4783" s="46" t="s">
        <v>20287</v>
      </c>
      <c r="C4783">
        <v>13</v>
      </c>
      <c r="D4783">
        <v>78</v>
      </c>
    </row>
    <row r="4784" spans="1:4" x14ac:dyDescent="0.25">
      <c r="A4784" s="45" t="s">
        <v>4811</v>
      </c>
      <c r="B4784" s="46" t="s">
        <v>16276</v>
      </c>
      <c r="C4784">
        <v>13</v>
      </c>
      <c r="D4784">
        <v>78</v>
      </c>
    </row>
    <row r="4785" spans="1:4" x14ac:dyDescent="0.25">
      <c r="A4785" s="45" t="s">
        <v>4812</v>
      </c>
      <c r="B4785" s="46" t="s">
        <v>16277</v>
      </c>
      <c r="C4785">
        <v>13</v>
      </c>
      <c r="D4785">
        <v>78</v>
      </c>
    </row>
    <row r="4786" spans="1:4" x14ac:dyDescent="0.25">
      <c r="A4786" s="45" t="s">
        <v>4813</v>
      </c>
      <c r="B4786" s="46" t="s">
        <v>16278</v>
      </c>
      <c r="C4786">
        <v>13</v>
      </c>
      <c r="D4786">
        <v>78</v>
      </c>
    </row>
    <row r="4787" spans="1:4" x14ac:dyDescent="0.25">
      <c r="A4787" s="45" t="s">
        <v>4814</v>
      </c>
      <c r="B4787" s="46" t="s">
        <v>16279</v>
      </c>
      <c r="C4787">
        <v>13</v>
      </c>
      <c r="D4787">
        <v>78</v>
      </c>
    </row>
    <row r="4788" spans="1:4" x14ac:dyDescent="0.25">
      <c r="A4788" s="45" t="s">
        <v>4815</v>
      </c>
      <c r="B4788" s="46" t="s">
        <v>16280</v>
      </c>
      <c r="C4788">
        <v>13</v>
      </c>
      <c r="D4788">
        <v>78</v>
      </c>
    </row>
    <row r="4789" spans="1:4" x14ac:dyDescent="0.25">
      <c r="A4789" s="45" t="s">
        <v>4816</v>
      </c>
      <c r="B4789" s="46" t="s">
        <v>20288</v>
      </c>
      <c r="C4789">
        <v>13</v>
      </c>
      <c r="D4789">
        <v>78</v>
      </c>
    </row>
    <row r="4790" spans="1:4" x14ac:dyDescent="0.25">
      <c r="A4790" s="45" t="s">
        <v>4817</v>
      </c>
      <c r="B4790" s="46" t="s">
        <v>20289</v>
      </c>
      <c r="C4790">
        <v>13</v>
      </c>
      <c r="D4790">
        <v>78</v>
      </c>
    </row>
    <row r="4791" spans="1:4" x14ac:dyDescent="0.25">
      <c r="A4791" s="45" t="s">
        <v>4818</v>
      </c>
      <c r="B4791" s="46" t="s">
        <v>20290</v>
      </c>
      <c r="C4791">
        <v>13</v>
      </c>
      <c r="D4791">
        <v>78</v>
      </c>
    </row>
    <row r="4792" spans="1:4" x14ac:dyDescent="0.25">
      <c r="A4792" s="45" t="s">
        <v>4819</v>
      </c>
      <c r="B4792" s="46" t="s">
        <v>16281</v>
      </c>
      <c r="C4792">
        <v>13</v>
      </c>
      <c r="D4792">
        <v>78</v>
      </c>
    </row>
    <row r="4793" spans="1:4" x14ac:dyDescent="0.25">
      <c r="A4793" s="45" t="s">
        <v>4820</v>
      </c>
      <c r="B4793" s="46" t="s">
        <v>20291</v>
      </c>
      <c r="C4793">
        <v>13</v>
      </c>
      <c r="D4793">
        <v>78</v>
      </c>
    </row>
    <row r="4794" spans="1:4" x14ac:dyDescent="0.25">
      <c r="A4794" s="45" t="s">
        <v>4821</v>
      </c>
      <c r="B4794" s="46" t="s">
        <v>20292</v>
      </c>
      <c r="C4794">
        <v>13</v>
      </c>
      <c r="D4794">
        <v>78</v>
      </c>
    </row>
    <row r="4795" spans="1:4" x14ac:dyDescent="0.25">
      <c r="A4795" s="45" t="s">
        <v>4822</v>
      </c>
      <c r="B4795" s="46" t="s">
        <v>20293</v>
      </c>
      <c r="C4795">
        <v>13</v>
      </c>
      <c r="D4795">
        <v>78</v>
      </c>
    </row>
    <row r="4796" spans="1:4" x14ac:dyDescent="0.25">
      <c r="A4796" s="45" t="s">
        <v>4823</v>
      </c>
      <c r="B4796" s="46" t="s">
        <v>16282</v>
      </c>
      <c r="C4796">
        <v>13</v>
      </c>
      <c r="D4796">
        <v>78</v>
      </c>
    </row>
    <row r="4797" spans="1:4" x14ac:dyDescent="0.25">
      <c r="A4797" s="45" t="s">
        <v>4824</v>
      </c>
      <c r="B4797" s="46" t="s">
        <v>16283</v>
      </c>
      <c r="C4797">
        <v>13</v>
      </c>
      <c r="D4797">
        <v>78</v>
      </c>
    </row>
    <row r="4798" spans="1:4" x14ac:dyDescent="0.25">
      <c r="A4798" s="45" t="s">
        <v>4825</v>
      </c>
      <c r="B4798" s="46" t="s">
        <v>20294</v>
      </c>
      <c r="C4798">
        <v>13</v>
      </c>
      <c r="D4798">
        <v>78</v>
      </c>
    </row>
    <row r="4799" spans="1:4" x14ac:dyDescent="0.25">
      <c r="A4799" s="45" t="s">
        <v>4826</v>
      </c>
      <c r="B4799" s="46" t="s">
        <v>20295</v>
      </c>
      <c r="C4799">
        <v>13</v>
      </c>
      <c r="D4799">
        <v>78</v>
      </c>
    </row>
    <row r="4800" spans="1:4" x14ac:dyDescent="0.25">
      <c r="A4800" s="45" t="s">
        <v>4827</v>
      </c>
      <c r="B4800" s="46" t="s">
        <v>16284</v>
      </c>
      <c r="C4800">
        <v>13</v>
      </c>
      <c r="D4800">
        <v>78</v>
      </c>
    </row>
    <row r="4801" spans="1:4" x14ac:dyDescent="0.25">
      <c r="A4801" s="45" t="s">
        <v>4828</v>
      </c>
      <c r="B4801" s="46" t="s">
        <v>16285</v>
      </c>
      <c r="C4801">
        <v>13</v>
      </c>
      <c r="D4801">
        <v>78</v>
      </c>
    </row>
    <row r="4802" spans="1:4" x14ac:dyDescent="0.25">
      <c r="A4802" s="45" t="s">
        <v>4829</v>
      </c>
      <c r="B4802" s="46" t="s">
        <v>16286</v>
      </c>
      <c r="C4802">
        <v>13</v>
      </c>
      <c r="D4802">
        <v>78</v>
      </c>
    </row>
    <row r="4803" spans="1:4" x14ac:dyDescent="0.25">
      <c r="A4803" s="45" t="s">
        <v>4830</v>
      </c>
      <c r="B4803" s="46" t="s">
        <v>16287</v>
      </c>
      <c r="C4803">
        <v>13</v>
      </c>
      <c r="D4803">
        <v>78</v>
      </c>
    </row>
    <row r="4804" spans="1:4" x14ac:dyDescent="0.25">
      <c r="A4804" s="45" t="s">
        <v>4831</v>
      </c>
      <c r="B4804" s="46" t="s">
        <v>16288</v>
      </c>
      <c r="C4804">
        <v>13</v>
      </c>
      <c r="D4804">
        <v>78</v>
      </c>
    </row>
    <row r="4805" spans="1:4" x14ac:dyDescent="0.25">
      <c r="A4805" s="45" t="s">
        <v>4832</v>
      </c>
      <c r="B4805" s="46" t="s">
        <v>16289</v>
      </c>
      <c r="C4805">
        <v>13</v>
      </c>
      <c r="D4805">
        <v>78</v>
      </c>
    </row>
    <row r="4806" spans="1:4" x14ac:dyDescent="0.25">
      <c r="A4806" s="45" t="s">
        <v>4833</v>
      </c>
      <c r="B4806" s="46" t="s">
        <v>16290</v>
      </c>
      <c r="C4806">
        <v>13</v>
      </c>
      <c r="D4806">
        <v>78</v>
      </c>
    </row>
    <row r="4807" spans="1:4" x14ac:dyDescent="0.25">
      <c r="A4807" s="45" t="s">
        <v>4834</v>
      </c>
      <c r="B4807" s="46" t="s">
        <v>16291</v>
      </c>
      <c r="C4807">
        <v>13</v>
      </c>
      <c r="D4807">
        <v>78</v>
      </c>
    </row>
    <row r="4808" spans="1:4" x14ac:dyDescent="0.25">
      <c r="A4808" s="45" t="s">
        <v>4835</v>
      </c>
      <c r="B4808" s="46" t="s">
        <v>16292</v>
      </c>
      <c r="C4808">
        <v>13</v>
      </c>
      <c r="D4808">
        <v>78</v>
      </c>
    </row>
    <row r="4809" spans="1:4" x14ac:dyDescent="0.25">
      <c r="A4809" s="45" t="s">
        <v>4836</v>
      </c>
      <c r="B4809" s="46" t="s">
        <v>16293</v>
      </c>
      <c r="C4809">
        <v>13</v>
      </c>
      <c r="D4809">
        <v>78</v>
      </c>
    </row>
    <row r="4810" spans="1:4" x14ac:dyDescent="0.25">
      <c r="A4810" s="45" t="s">
        <v>4837</v>
      </c>
      <c r="B4810" s="46" t="s">
        <v>16294</v>
      </c>
      <c r="C4810">
        <v>13</v>
      </c>
      <c r="D4810">
        <v>79</v>
      </c>
    </row>
    <row r="4811" spans="1:4" x14ac:dyDescent="0.25">
      <c r="A4811" s="45" t="s">
        <v>4838</v>
      </c>
      <c r="B4811" s="46" t="s">
        <v>16295</v>
      </c>
      <c r="C4811">
        <v>13</v>
      </c>
      <c r="D4811">
        <v>79</v>
      </c>
    </row>
    <row r="4812" spans="1:4" x14ac:dyDescent="0.25">
      <c r="A4812" s="45" t="s">
        <v>4839</v>
      </c>
      <c r="B4812" s="46" t="s">
        <v>16296</v>
      </c>
      <c r="C4812">
        <v>13</v>
      </c>
      <c r="D4812">
        <v>79</v>
      </c>
    </row>
    <row r="4813" spans="1:4" x14ac:dyDescent="0.25">
      <c r="A4813" s="45" t="s">
        <v>4840</v>
      </c>
      <c r="B4813" s="46" t="s">
        <v>16297</v>
      </c>
      <c r="C4813">
        <v>13</v>
      </c>
      <c r="D4813">
        <v>79</v>
      </c>
    </row>
    <row r="4814" spans="1:4" x14ac:dyDescent="0.25">
      <c r="A4814" s="45" t="s">
        <v>4841</v>
      </c>
      <c r="B4814" s="46" t="s">
        <v>16298</v>
      </c>
      <c r="C4814">
        <v>13</v>
      </c>
      <c r="D4814">
        <v>79</v>
      </c>
    </row>
    <row r="4815" spans="1:4" x14ac:dyDescent="0.25">
      <c r="A4815" s="45" t="s">
        <v>4842</v>
      </c>
      <c r="B4815" s="46" t="s">
        <v>16299</v>
      </c>
      <c r="C4815">
        <v>13</v>
      </c>
      <c r="D4815">
        <v>79</v>
      </c>
    </row>
    <row r="4816" spans="1:4" x14ac:dyDescent="0.25">
      <c r="A4816" s="45" t="s">
        <v>4843</v>
      </c>
      <c r="B4816" s="46" t="s">
        <v>16300</v>
      </c>
      <c r="C4816">
        <v>13</v>
      </c>
      <c r="D4816">
        <v>79</v>
      </c>
    </row>
    <row r="4817" spans="1:4" x14ac:dyDescent="0.25">
      <c r="A4817" s="45" t="s">
        <v>4844</v>
      </c>
      <c r="B4817" s="46" t="s">
        <v>20296</v>
      </c>
      <c r="C4817">
        <v>13</v>
      </c>
      <c r="D4817">
        <v>79</v>
      </c>
    </row>
    <row r="4818" spans="1:4" x14ac:dyDescent="0.25">
      <c r="A4818" s="45" t="s">
        <v>4845</v>
      </c>
      <c r="B4818" s="46" t="s">
        <v>16301</v>
      </c>
      <c r="C4818">
        <v>13</v>
      </c>
      <c r="D4818">
        <v>79</v>
      </c>
    </row>
    <row r="4819" spans="1:4" x14ac:dyDescent="0.25">
      <c r="A4819" s="45" t="s">
        <v>4846</v>
      </c>
      <c r="B4819" s="46" t="s">
        <v>16302</v>
      </c>
      <c r="C4819">
        <v>13</v>
      </c>
      <c r="D4819">
        <v>79</v>
      </c>
    </row>
    <row r="4820" spans="1:4" x14ac:dyDescent="0.25">
      <c r="A4820" s="45" t="s">
        <v>4847</v>
      </c>
      <c r="B4820" s="46" t="s">
        <v>16303</v>
      </c>
      <c r="C4820">
        <v>13</v>
      </c>
      <c r="D4820">
        <v>79</v>
      </c>
    </row>
    <row r="4821" spans="1:4" x14ac:dyDescent="0.25">
      <c r="A4821" s="45" t="s">
        <v>4848</v>
      </c>
      <c r="B4821" s="46" t="s">
        <v>16304</v>
      </c>
      <c r="C4821">
        <v>13</v>
      </c>
      <c r="D4821">
        <v>79</v>
      </c>
    </row>
    <row r="4822" spans="1:4" x14ac:dyDescent="0.25">
      <c r="A4822" s="45" t="s">
        <v>4849</v>
      </c>
      <c r="B4822" s="46" t="s">
        <v>16305</v>
      </c>
      <c r="C4822">
        <v>13</v>
      </c>
      <c r="D4822">
        <v>79</v>
      </c>
    </row>
    <row r="4823" spans="1:4" x14ac:dyDescent="0.25">
      <c r="A4823" s="45" t="s">
        <v>4850</v>
      </c>
      <c r="B4823" s="46" t="s">
        <v>16306</v>
      </c>
      <c r="C4823">
        <v>13</v>
      </c>
      <c r="D4823">
        <v>79</v>
      </c>
    </row>
    <row r="4824" spans="1:4" x14ac:dyDescent="0.25">
      <c r="A4824" s="45" t="s">
        <v>4851</v>
      </c>
      <c r="B4824" s="46" t="s">
        <v>16307</v>
      </c>
      <c r="C4824">
        <v>13</v>
      </c>
      <c r="D4824">
        <v>79</v>
      </c>
    </row>
    <row r="4825" spans="1:4" x14ac:dyDescent="0.25">
      <c r="A4825" s="45" t="s">
        <v>4852</v>
      </c>
      <c r="B4825" s="46" t="s">
        <v>16308</v>
      </c>
      <c r="C4825">
        <v>13</v>
      </c>
      <c r="D4825">
        <v>79</v>
      </c>
    </row>
    <row r="4826" spans="1:4" x14ac:dyDescent="0.25">
      <c r="A4826" s="45" t="s">
        <v>4853</v>
      </c>
      <c r="B4826" s="46" t="s">
        <v>16309</v>
      </c>
      <c r="C4826">
        <v>13</v>
      </c>
      <c r="D4826">
        <v>79</v>
      </c>
    </row>
    <row r="4827" spans="1:4" x14ac:dyDescent="0.25">
      <c r="A4827" s="45" t="s">
        <v>4854</v>
      </c>
      <c r="B4827" s="46" t="s">
        <v>16310</v>
      </c>
      <c r="C4827">
        <v>13</v>
      </c>
      <c r="D4827">
        <v>79</v>
      </c>
    </row>
    <row r="4828" spans="1:4" x14ac:dyDescent="0.25">
      <c r="A4828" s="45" t="s">
        <v>4855</v>
      </c>
      <c r="B4828" s="46" t="s">
        <v>16311</v>
      </c>
      <c r="C4828">
        <v>13</v>
      </c>
      <c r="D4828">
        <v>79</v>
      </c>
    </row>
    <row r="4829" spans="1:4" x14ac:dyDescent="0.25">
      <c r="A4829" s="45" t="s">
        <v>4856</v>
      </c>
      <c r="B4829" s="46" t="s">
        <v>16312</v>
      </c>
      <c r="C4829">
        <v>13</v>
      </c>
      <c r="D4829">
        <v>79</v>
      </c>
    </row>
    <row r="4830" spans="1:4" x14ac:dyDescent="0.25">
      <c r="A4830" s="45" t="s">
        <v>4857</v>
      </c>
      <c r="B4830" s="46" t="s">
        <v>16313</v>
      </c>
      <c r="C4830">
        <v>6</v>
      </c>
      <c r="D4830">
        <v>37</v>
      </c>
    </row>
    <row r="4831" spans="1:4" x14ac:dyDescent="0.25">
      <c r="A4831" s="45" t="s">
        <v>4858</v>
      </c>
      <c r="B4831" s="46" t="s">
        <v>16314</v>
      </c>
      <c r="C4831">
        <v>13</v>
      </c>
      <c r="D4831">
        <v>79</v>
      </c>
    </row>
    <row r="4832" spans="1:4" x14ac:dyDescent="0.25">
      <c r="A4832" s="45" t="s">
        <v>4859</v>
      </c>
      <c r="B4832" s="46" t="s">
        <v>16315</v>
      </c>
      <c r="C4832">
        <v>13</v>
      </c>
      <c r="D4832">
        <v>79</v>
      </c>
    </row>
    <row r="4833" spans="1:4" x14ac:dyDescent="0.25">
      <c r="A4833" s="45" t="s">
        <v>4860</v>
      </c>
      <c r="B4833" s="46" t="s">
        <v>16316</v>
      </c>
      <c r="C4833">
        <v>13</v>
      </c>
      <c r="D4833">
        <v>79</v>
      </c>
    </row>
    <row r="4834" spans="1:4" x14ac:dyDescent="0.25">
      <c r="A4834" s="45" t="s">
        <v>4861</v>
      </c>
      <c r="B4834" s="46" t="s">
        <v>16317</v>
      </c>
      <c r="C4834">
        <v>13</v>
      </c>
      <c r="D4834">
        <v>79</v>
      </c>
    </row>
    <row r="4835" spans="1:4" x14ac:dyDescent="0.25">
      <c r="A4835" s="45" t="s">
        <v>4862</v>
      </c>
      <c r="B4835" s="46" t="s">
        <v>16318</v>
      </c>
      <c r="C4835">
        <v>6</v>
      </c>
      <c r="D4835">
        <v>37</v>
      </c>
    </row>
    <row r="4836" spans="1:4" x14ac:dyDescent="0.25">
      <c r="A4836" s="45" t="s">
        <v>4863</v>
      </c>
      <c r="B4836" s="46" t="s">
        <v>16319</v>
      </c>
      <c r="C4836">
        <v>13</v>
      </c>
      <c r="D4836">
        <v>79</v>
      </c>
    </row>
    <row r="4837" spans="1:4" x14ac:dyDescent="0.25">
      <c r="A4837" s="45" t="s">
        <v>4864</v>
      </c>
      <c r="B4837" s="46" t="s">
        <v>20297</v>
      </c>
      <c r="C4837">
        <v>13</v>
      </c>
      <c r="D4837">
        <v>79</v>
      </c>
    </row>
    <row r="4838" spans="1:4" x14ac:dyDescent="0.25">
      <c r="A4838" s="45" t="s">
        <v>4865</v>
      </c>
      <c r="B4838" s="46" t="s">
        <v>20298</v>
      </c>
      <c r="C4838">
        <v>13</v>
      </c>
      <c r="D4838">
        <v>79</v>
      </c>
    </row>
    <row r="4839" spans="1:4" x14ac:dyDescent="0.25">
      <c r="A4839" s="45" t="s">
        <v>4866</v>
      </c>
      <c r="B4839" s="46" t="s">
        <v>20299</v>
      </c>
      <c r="C4839">
        <v>13</v>
      </c>
      <c r="D4839">
        <v>79</v>
      </c>
    </row>
    <row r="4840" spans="1:4" x14ac:dyDescent="0.25">
      <c r="A4840" s="45" t="s">
        <v>4867</v>
      </c>
      <c r="B4840" s="46" t="s">
        <v>20300</v>
      </c>
      <c r="C4840">
        <v>13</v>
      </c>
      <c r="D4840">
        <v>79</v>
      </c>
    </row>
    <row r="4841" spans="1:4" x14ac:dyDescent="0.25">
      <c r="A4841" s="45" t="s">
        <v>4868</v>
      </c>
      <c r="B4841" s="46" t="s">
        <v>16320</v>
      </c>
      <c r="C4841">
        <v>13</v>
      </c>
      <c r="D4841">
        <v>79</v>
      </c>
    </row>
    <row r="4842" spans="1:4" x14ac:dyDescent="0.25">
      <c r="A4842" s="45" t="s">
        <v>4869</v>
      </c>
      <c r="B4842" s="46" t="s">
        <v>20301</v>
      </c>
      <c r="C4842">
        <v>13</v>
      </c>
      <c r="D4842">
        <v>79</v>
      </c>
    </row>
    <row r="4843" spans="1:4" x14ac:dyDescent="0.25">
      <c r="A4843" s="45" t="s">
        <v>4870</v>
      </c>
      <c r="B4843" s="46" t="s">
        <v>16321</v>
      </c>
      <c r="C4843">
        <v>13</v>
      </c>
      <c r="D4843">
        <v>79</v>
      </c>
    </row>
    <row r="4844" spans="1:4" x14ac:dyDescent="0.25">
      <c r="A4844" s="45" t="s">
        <v>4871</v>
      </c>
      <c r="B4844" s="46" t="s">
        <v>16322</v>
      </c>
      <c r="C4844">
        <v>13</v>
      </c>
      <c r="D4844">
        <v>79</v>
      </c>
    </row>
    <row r="4845" spans="1:4" x14ac:dyDescent="0.25">
      <c r="A4845" s="45" t="s">
        <v>4872</v>
      </c>
      <c r="B4845" s="46" t="s">
        <v>20302</v>
      </c>
      <c r="C4845">
        <v>13</v>
      </c>
      <c r="D4845">
        <v>79</v>
      </c>
    </row>
    <row r="4846" spans="1:4" x14ac:dyDescent="0.25">
      <c r="A4846" s="45" t="s">
        <v>4873</v>
      </c>
      <c r="B4846" s="46" t="s">
        <v>16323</v>
      </c>
      <c r="C4846">
        <v>13</v>
      </c>
      <c r="D4846">
        <v>79</v>
      </c>
    </row>
    <row r="4847" spans="1:4" x14ac:dyDescent="0.25">
      <c r="A4847" s="45" t="s">
        <v>4874</v>
      </c>
      <c r="B4847" s="46" t="s">
        <v>16324</v>
      </c>
      <c r="C4847">
        <v>13</v>
      </c>
      <c r="D4847">
        <v>79</v>
      </c>
    </row>
    <row r="4848" spans="1:4" x14ac:dyDescent="0.25">
      <c r="A4848" s="45" t="s">
        <v>4875</v>
      </c>
      <c r="B4848" s="46" t="s">
        <v>16325</v>
      </c>
      <c r="C4848">
        <v>13</v>
      </c>
      <c r="D4848">
        <v>79</v>
      </c>
    </row>
    <row r="4849" spans="1:4" x14ac:dyDescent="0.25">
      <c r="A4849" s="45" t="s">
        <v>4876</v>
      </c>
      <c r="B4849" s="46" t="s">
        <v>16326</v>
      </c>
      <c r="C4849">
        <v>13</v>
      </c>
      <c r="D4849">
        <v>79</v>
      </c>
    </row>
    <row r="4850" spans="1:4" x14ac:dyDescent="0.25">
      <c r="A4850" s="45" t="s">
        <v>4877</v>
      </c>
      <c r="B4850" s="46" t="s">
        <v>16327</v>
      </c>
      <c r="C4850">
        <v>13</v>
      </c>
      <c r="D4850">
        <v>79</v>
      </c>
    </row>
    <row r="4851" spans="1:4" x14ac:dyDescent="0.25">
      <c r="A4851" s="45" t="s">
        <v>4878</v>
      </c>
      <c r="B4851" s="46" t="s">
        <v>16328</v>
      </c>
      <c r="C4851">
        <v>13</v>
      </c>
      <c r="D4851">
        <v>79</v>
      </c>
    </row>
    <row r="4852" spans="1:4" x14ac:dyDescent="0.25">
      <c r="A4852" s="45" t="s">
        <v>4879</v>
      </c>
      <c r="B4852" s="46" t="s">
        <v>16329</v>
      </c>
      <c r="C4852">
        <v>13</v>
      </c>
      <c r="D4852">
        <v>79</v>
      </c>
    </row>
    <row r="4853" spans="1:4" x14ac:dyDescent="0.25">
      <c r="A4853" s="45" t="s">
        <v>4880</v>
      </c>
      <c r="B4853" s="46" t="s">
        <v>16330</v>
      </c>
      <c r="C4853">
        <v>13</v>
      </c>
      <c r="D4853">
        <v>79</v>
      </c>
    </row>
    <row r="4854" spans="1:4" x14ac:dyDescent="0.25">
      <c r="A4854" s="45" t="s">
        <v>4881</v>
      </c>
      <c r="B4854" s="46" t="s">
        <v>16331</v>
      </c>
      <c r="C4854">
        <v>13</v>
      </c>
      <c r="D4854">
        <v>78</v>
      </c>
    </row>
    <row r="4855" spans="1:4" x14ac:dyDescent="0.25">
      <c r="A4855" s="45" t="s">
        <v>4882</v>
      </c>
      <c r="B4855" s="46" t="s">
        <v>16332</v>
      </c>
      <c r="C4855">
        <v>13</v>
      </c>
      <c r="D4855">
        <v>79</v>
      </c>
    </row>
    <row r="4856" spans="1:4" x14ac:dyDescent="0.25">
      <c r="A4856" s="45" t="s">
        <v>4883</v>
      </c>
      <c r="B4856" s="46" t="s">
        <v>16333</v>
      </c>
      <c r="C4856">
        <v>13</v>
      </c>
      <c r="D4856">
        <v>79</v>
      </c>
    </row>
    <row r="4857" spans="1:4" x14ac:dyDescent="0.25">
      <c r="A4857" s="45" t="s">
        <v>4884</v>
      </c>
      <c r="B4857" s="46" t="s">
        <v>16334</v>
      </c>
      <c r="C4857">
        <v>13</v>
      </c>
      <c r="D4857">
        <v>79</v>
      </c>
    </row>
    <row r="4858" spans="1:4" x14ac:dyDescent="0.25">
      <c r="A4858" s="45" t="s">
        <v>4885</v>
      </c>
      <c r="B4858" s="46" t="s">
        <v>16335</v>
      </c>
      <c r="C4858">
        <v>13</v>
      </c>
      <c r="D4858">
        <v>79</v>
      </c>
    </row>
    <row r="4859" spans="1:4" x14ac:dyDescent="0.25">
      <c r="A4859" s="45" t="s">
        <v>4886</v>
      </c>
      <c r="B4859" s="46" t="s">
        <v>16336</v>
      </c>
      <c r="C4859">
        <v>13</v>
      </c>
      <c r="D4859">
        <v>79</v>
      </c>
    </row>
    <row r="4860" spans="1:4" x14ac:dyDescent="0.25">
      <c r="A4860" s="45" t="s">
        <v>4887</v>
      </c>
      <c r="B4860" s="46" t="s">
        <v>20303</v>
      </c>
      <c r="C4860">
        <v>13</v>
      </c>
      <c r="D4860">
        <v>79</v>
      </c>
    </row>
    <row r="4861" spans="1:4" x14ac:dyDescent="0.25">
      <c r="A4861" s="45" t="s">
        <v>4888</v>
      </c>
      <c r="B4861" s="46" t="s">
        <v>20304</v>
      </c>
      <c r="C4861">
        <v>13</v>
      </c>
      <c r="D4861">
        <v>79</v>
      </c>
    </row>
    <row r="4862" spans="1:4" x14ac:dyDescent="0.25">
      <c r="A4862" s="45" t="s">
        <v>4889</v>
      </c>
      <c r="B4862" s="46" t="s">
        <v>20305</v>
      </c>
      <c r="C4862">
        <v>13</v>
      </c>
      <c r="D4862">
        <v>79</v>
      </c>
    </row>
    <row r="4863" spans="1:4" x14ac:dyDescent="0.25">
      <c r="A4863" s="45" t="s">
        <v>4890</v>
      </c>
      <c r="B4863" s="46" t="s">
        <v>16337</v>
      </c>
      <c r="C4863">
        <v>13</v>
      </c>
      <c r="D4863">
        <v>79</v>
      </c>
    </row>
    <row r="4864" spans="1:4" x14ac:dyDescent="0.25">
      <c r="A4864" s="45" t="s">
        <v>4891</v>
      </c>
      <c r="B4864" s="46" t="s">
        <v>16338</v>
      </c>
      <c r="C4864">
        <v>13</v>
      </c>
      <c r="D4864">
        <v>79</v>
      </c>
    </row>
    <row r="4865" spans="1:4" x14ac:dyDescent="0.25">
      <c r="A4865" s="45" t="s">
        <v>4892</v>
      </c>
      <c r="B4865" s="46" t="s">
        <v>16339</v>
      </c>
      <c r="C4865">
        <v>13</v>
      </c>
      <c r="D4865">
        <v>79</v>
      </c>
    </row>
    <row r="4866" spans="1:4" x14ac:dyDescent="0.25">
      <c r="A4866" s="45" t="s">
        <v>4893</v>
      </c>
      <c r="B4866" s="46" t="s">
        <v>16340</v>
      </c>
      <c r="C4866">
        <v>13</v>
      </c>
      <c r="D4866">
        <v>79</v>
      </c>
    </row>
    <row r="4867" spans="1:4" x14ac:dyDescent="0.25">
      <c r="A4867" s="45" t="s">
        <v>4894</v>
      </c>
      <c r="B4867" s="46" t="s">
        <v>16341</v>
      </c>
      <c r="C4867">
        <v>13</v>
      </c>
      <c r="D4867">
        <v>79</v>
      </c>
    </row>
    <row r="4868" spans="1:4" x14ac:dyDescent="0.25">
      <c r="A4868" s="45" t="s">
        <v>4895</v>
      </c>
      <c r="B4868" s="46" t="s">
        <v>16342</v>
      </c>
      <c r="C4868">
        <v>13</v>
      </c>
      <c r="D4868">
        <v>79</v>
      </c>
    </row>
    <row r="4869" spans="1:4" x14ac:dyDescent="0.25">
      <c r="A4869" s="45" t="s">
        <v>4896</v>
      </c>
      <c r="B4869" s="46" t="s">
        <v>16343</v>
      </c>
      <c r="C4869">
        <v>13</v>
      </c>
      <c r="D4869">
        <v>79</v>
      </c>
    </row>
    <row r="4870" spans="1:4" x14ac:dyDescent="0.25">
      <c r="A4870" s="45" t="s">
        <v>4897</v>
      </c>
      <c r="B4870" s="46" t="s">
        <v>16344</v>
      </c>
      <c r="C4870">
        <v>13</v>
      </c>
      <c r="D4870">
        <v>79</v>
      </c>
    </row>
    <row r="4871" spans="1:4" x14ac:dyDescent="0.25">
      <c r="A4871" s="45" t="s">
        <v>4898</v>
      </c>
      <c r="B4871" s="46" t="s">
        <v>20306</v>
      </c>
      <c r="C4871">
        <v>13</v>
      </c>
      <c r="D4871">
        <v>79</v>
      </c>
    </row>
    <row r="4872" spans="1:4" x14ac:dyDescent="0.25">
      <c r="A4872" s="45" t="s">
        <v>4899</v>
      </c>
      <c r="B4872" s="46" t="s">
        <v>20307</v>
      </c>
      <c r="C4872">
        <v>13</v>
      </c>
      <c r="D4872">
        <v>79</v>
      </c>
    </row>
    <row r="4873" spans="1:4" x14ac:dyDescent="0.25">
      <c r="A4873" s="45" t="s">
        <v>4900</v>
      </c>
      <c r="B4873" s="46" t="s">
        <v>16345</v>
      </c>
      <c r="C4873">
        <v>13</v>
      </c>
      <c r="D4873">
        <v>79</v>
      </c>
    </row>
    <row r="4874" spans="1:4" x14ac:dyDescent="0.25">
      <c r="A4874" s="45" t="s">
        <v>4901</v>
      </c>
      <c r="B4874" s="46" t="s">
        <v>16346</v>
      </c>
      <c r="C4874">
        <v>13</v>
      </c>
      <c r="D4874">
        <v>79</v>
      </c>
    </row>
    <row r="4875" spans="1:4" x14ac:dyDescent="0.25">
      <c r="A4875" s="45" t="s">
        <v>4902</v>
      </c>
      <c r="B4875" s="46" t="s">
        <v>20308</v>
      </c>
      <c r="C4875">
        <v>13</v>
      </c>
      <c r="D4875">
        <v>79</v>
      </c>
    </row>
    <row r="4876" spans="1:4" x14ac:dyDescent="0.25">
      <c r="A4876" s="45" t="s">
        <v>4903</v>
      </c>
      <c r="B4876" s="46" t="s">
        <v>16347</v>
      </c>
      <c r="C4876">
        <v>13</v>
      </c>
      <c r="D4876">
        <v>79</v>
      </c>
    </row>
    <row r="4877" spans="1:4" x14ac:dyDescent="0.25">
      <c r="A4877" s="45" t="s">
        <v>4904</v>
      </c>
      <c r="B4877" s="46" t="s">
        <v>16348</v>
      </c>
      <c r="C4877">
        <v>13</v>
      </c>
      <c r="D4877">
        <v>79</v>
      </c>
    </row>
    <row r="4878" spans="1:4" x14ac:dyDescent="0.25">
      <c r="A4878" s="45" t="s">
        <v>4905</v>
      </c>
      <c r="B4878" s="46" t="s">
        <v>16349</v>
      </c>
      <c r="C4878">
        <v>13</v>
      </c>
      <c r="D4878">
        <v>79</v>
      </c>
    </row>
    <row r="4879" spans="1:4" x14ac:dyDescent="0.25">
      <c r="A4879" s="45" t="s">
        <v>4906</v>
      </c>
      <c r="B4879" s="46" t="s">
        <v>16350</v>
      </c>
      <c r="C4879">
        <v>13</v>
      </c>
      <c r="D4879">
        <v>79</v>
      </c>
    </row>
    <row r="4880" spans="1:4" x14ac:dyDescent="0.25">
      <c r="A4880" s="45" t="s">
        <v>4907</v>
      </c>
      <c r="B4880" s="46" t="s">
        <v>16351</v>
      </c>
      <c r="C4880">
        <v>13</v>
      </c>
      <c r="D4880">
        <v>79</v>
      </c>
    </row>
    <row r="4881" spans="1:4" x14ac:dyDescent="0.25">
      <c r="A4881" s="45" t="s">
        <v>4908</v>
      </c>
      <c r="B4881" s="46" t="s">
        <v>20309</v>
      </c>
      <c r="C4881">
        <v>13</v>
      </c>
      <c r="D4881">
        <v>79</v>
      </c>
    </row>
    <row r="4882" spans="1:4" x14ac:dyDescent="0.25">
      <c r="A4882" s="45" t="s">
        <v>4909</v>
      </c>
      <c r="B4882" s="46" t="s">
        <v>16352</v>
      </c>
      <c r="C4882">
        <v>13</v>
      </c>
      <c r="D4882">
        <v>79</v>
      </c>
    </row>
    <row r="4883" spans="1:4" x14ac:dyDescent="0.25">
      <c r="A4883" s="45" t="s">
        <v>4910</v>
      </c>
      <c r="B4883" s="46" t="s">
        <v>16353</v>
      </c>
      <c r="C4883">
        <v>13</v>
      </c>
      <c r="D4883">
        <v>79</v>
      </c>
    </row>
    <row r="4884" spans="1:4" x14ac:dyDescent="0.25">
      <c r="A4884" s="45" t="s">
        <v>4911</v>
      </c>
      <c r="B4884" s="46" t="s">
        <v>16354</v>
      </c>
      <c r="C4884">
        <v>13</v>
      </c>
      <c r="D4884">
        <v>79</v>
      </c>
    </row>
    <row r="4885" spans="1:4" x14ac:dyDescent="0.25">
      <c r="A4885" s="45" t="s">
        <v>4912</v>
      </c>
      <c r="B4885" s="46" t="s">
        <v>16355</v>
      </c>
      <c r="C4885">
        <v>13</v>
      </c>
      <c r="D4885">
        <v>79</v>
      </c>
    </row>
    <row r="4886" spans="1:4" x14ac:dyDescent="0.25">
      <c r="A4886" s="45" t="s">
        <v>4913</v>
      </c>
      <c r="B4886" s="46" t="s">
        <v>16356</v>
      </c>
      <c r="C4886">
        <v>13</v>
      </c>
      <c r="D4886">
        <v>79</v>
      </c>
    </row>
    <row r="4887" spans="1:4" x14ac:dyDescent="0.25">
      <c r="A4887" s="45" t="s">
        <v>4914</v>
      </c>
      <c r="B4887" s="46" t="s">
        <v>16357</v>
      </c>
      <c r="C4887">
        <v>13</v>
      </c>
      <c r="D4887">
        <v>79</v>
      </c>
    </row>
    <row r="4888" spans="1:4" x14ac:dyDescent="0.25">
      <c r="A4888" s="45" t="s">
        <v>4915</v>
      </c>
      <c r="B4888" s="46" t="s">
        <v>16358</v>
      </c>
      <c r="C4888">
        <v>13</v>
      </c>
      <c r="D4888">
        <v>79</v>
      </c>
    </row>
    <row r="4889" spans="1:4" x14ac:dyDescent="0.25">
      <c r="A4889" s="45" t="s">
        <v>4916</v>
      </c>
      <c r="B4889" s="46" t="s">
        <v>20310</v>
      </c>
      <c r="C4889">
        <v>13</v>
      </c>
      <c r="D4889">
        <v>79</v>
      </c>
    </row>
    <row r="4890" spans="1:4" x14ac:dyDescent="0.25">
      <c r="A4890" s="45" t="s">
        <v>4917</v>
      </c>
      <c r="B4890" s="46" t="s">
        <v>20311</v>
      </c>
      <c r="C4890">
        <v>13</v>
      </c>
      <c r="D4890">
        <v>79</v>
      </c>
    </row>
    <row r="4891" spans="1:4" x14ac:dyDescent="0.25">
      <c r="A4891" s="45" t="s">
        <v>4918</v>
      </c>
      <c r="B4891" s="46" t="s">
        <v>20312</v>
      </c>
      <c r="C4891">
        <v>13</v>
      </c>
      <c r="D4891">
        <v>79</v>
      </c>
    </row>
    <row r="4892" spans="1:4" x14ac:dyDescent="0.25">
      <c r="A4892" s="45" t="s">
        <v>4919</v>
      </c>
      <c r="B4892" s="46" t="s">
        <v>16359</v>
      </c>
      <c r="C4892">
        <v>13</v>
      </c>
      <c r="D4892">
        <v>79</v>
      </c>
    </row>
    <row r="4893" spans="1:4" x14ac:dyDescent="0.25">
      <c r="A4893" s="45" t="s">
        <v>4920</v>
      </c>
      <c r="B4893" s="46" t="s">
        <v>20313</v>
      </c>
      <c r="C4893">
        <v>13</v>
      </c>
      <c r="D4893">
        <v>79</v>
      </c>
    </row>
    <row r="4894" spans="1:4" x14ac:dyDescent="0.25">
      <c r="A4894" s="45" t="s">
        <v>4921</v>
      </c>
      <c r="B4894" s="46" t="s">
        <v>20314</v>
      </c>
      <c r="C4894">
        <v>13</v>
      </c>
      <c r="D4894">
        <v>79</v>
      </c>
    </row>
    <row r="4895" spans="1:4" x14ac:dyDescent="0.25">
      <c r="A4895" s="45" t="s">
        <v>4922</v>
      </c>
      <c r="B4895" s="46" t="s">
        <v>16360</v>
      </c>
      <c r="C4895">
        <v>13</v>
      </c>
      <c r="D4895">
        <v>79</v>
      </c>
    </row>
    <row r="4896" spans="1:4" x14ac:dyDescent="0.25">
      <c r="A4896" s="45" t="s">
        <v>4923</v>
      </c>
      <c r="B4896" s="46" t="s">
        <v>16361</v>
      </c>
      <c r="C4896">
        <v>13</v>
      </c>
      <c r="D4896">
        <v>79</v>
      </c>
    </row>
    <row r="4897" spans="1:4" x14ac:dyDescent="0.25">
      <c r="A4897" s="45" t="s">
        <v>4924</v>
      </c>
      <c r="B4897" s="46" t="s">
        <v>16362</v>
      </c>
      <c r="C4897">
        <v>13</v>
      </c>
      <c r="D4897">
        <v>79</v>
      </c>
    </row>
    <row r="4898" spans="1:4" x14ac:dyDescent="0.25">
      <c r="A4898" s="45" t="s">
        <v>4925</v>
      </c>
      <c r="B4898" s="46" t="s">
        <v>16363</v>
      </c>
      <c r="C4898">
        <v>13</v>
      </c>
      <c r="D4898">
        <v>79</v>
      </c>
    </row>
    <row r="4899" spans="1:4" x14ac:dyDescent="0.25">
      <c r="A4899" s="45" t="s">
        <v>4926</v>
      </c>
      <c r="B4899" s="46" t="s">
        <v>20315</v>
      </c>
      <c r="C4899">
        <v>13</v>
      </c>
      <c r="D4899">
        <v>79</v>
      </c>
    </row>
    <row r="4900" spans="1:4" x14ac:dyDescent="0.25">
      <c r="A4900" s="45" t="s">
        <v>4927</v>
      </c>
      <c r="B4900" s="46" t="s">
        <v>16364</v>
      </c>
      <c r="C4900">
        <v>13</v>
      </c>
      <c r="D4900">
        <v>79</v>
      </c>
    </row>
    <row r="4901" spans="1:4" x14ac:dyDescent="0.25">
      <c r="A4901" s="45" t="s">
        <v>4928</v>
      </c>
      <c r="B4901" s="46" t="s">
        <v>16365</v>
      </c>
      <c r="C4901">
        <v>13</v>
      </c>
      <c r="D4901">
        <v>79</v>
      </c>
    </row>
    <row r="4902" spans="1:4" x14ac:dyDescent="0.25">
      <c r="A4902" s="45" t="s">
        <v>4929</v>
      </c>
      <c r="B4902" s="46" t="s">
        <v>16366</v>
      </c>
      <c r="C4902">
        <v>13</v>
      </c>
      <c r="D4902">
        <v>79</v>
      </c>
    </row>
    <row r="4903" spans="1:4" x14ac:dyDescent="0.25">
      <c r="A4903" s="45" t="s">
        <v>4930</v>
      </c>
      <c r="B4903" s="46" t="s">
        <v>16367</v>
      </c>
      <c r="C4903">
        <v>13</v>
      </c>
      <c r="D4903">
        <v>79</v>
      </c>
    </row>
    <row r="4904" spans="1:4" x14ac:dyDescent="0.25">
      <c r="A4904" s="45" t="s">
        <v>4931</v>
      </c>
      <c r="B4904" s="46" t="s">
        <v>20316</v>
      </c>
      <c r="C4904">
        <v>13</v>
      </c>
      <c r="D4904">
        <v>79</v>
      </c>
    </row>
    <row r="4905" spans="1:4" x14ac:dyDescent="0.25">
      <c r="A4905" s="45" t="s">
        <v>4932</v>
      </c>
      <c r="B4905" s="46" t="s">
        <v>16368</v>
      </c>
      <c r="C4905">
        <v>13</v>
      </c>
      <c r="D4905">
        <v>77</v>
      </c>
    </row>
    <row r="4906" spans="1:4" x14ac:dyDescent="0.25">
      <c r="A4906" s="45" t="s">
        <v>4933</v>
      </c>
      <c r="B4906" s="46" t="s">
        <v>16369</v>
      </c>
      <c r="C4906">
        <v>13</v>
      </c>
      <c r="D4906">
        <v>79</v>
      </c>
    </row>
    <row r="4907" spans="1:4" x14ac:dyDescent="0.25">
      <c r="A4907" s="45" t="s">
        <v>4934</v>
      </c>
      <c r="B4907" s="46" t="s">
        <v>16370</v>
      </c>
      <c r="C4907">
        <v>13</v>
      </c>
      <c r="D4907">
        <v>79</v>
      </c>
    </row>
    <row r="4908" spans="1:4" x14ac:dyDescent="0.25">
      <c r="A4908" s="45" t="s">
        <v>4935</v>
      </c>
      <c r="B4908" s="46" t="s">
        <v>16371</v>
      </c>
      <c r="C4908">
        <v>13</v>
      </c>
      <c r="D4908">
        <v>79</v>
      </c>
    </row>
    <row r="4909" spans="1:4" x14ac:dyDescent="0.25">
      <c r="A4909" s="45" t="s">
        <v>4936</v>
      </c>
      <c r="B4909" s="46" t="s">
        <v>16372</v>
      </c>
      <c r="C4909">
        <v>13</v>
      </c>
      <c r="D4909">
        <v>79</v>
      </c>
    </row>
    <row r="4910" spans="1:4" x14ac:dyDescent="0.25">
      <c r="A4910" s="45" t="s">
        <v>4937</v>
      </c>
      <c r="B4910" s="46" t="s">
        <v>16373</v>
      </c>
      <c r="C4910">
        <v>13</v>
      </c>
      <c r="D4910">
        <v>79</v>
      </c>
    </row>
    <row r="4911" spans="1:4" x14ac:dyDescent="0.25">
      <c r="A4911" s="45" t="s">
        <v>4938</v>
      </c>
      <c r="B4911" s="46" t="s">
        <v>16374</v>
      </c>
      <c r="C4911">
        <v>13</v>
      </c>
      <c r="D4911">
        <v>79</v>
      </c>
    </row>
    <row r="4912" spans="1:4" x14ac:dyDescent="0.25">
      <c r="A4912" s="45" t="s">
        <v>4939</v>
      </c>
      <c r="B4912" s="46" t="s">
        <v>16375</v>
      </c>
      <c r="C4912">
        <v>13</v>
      </c>
      <c r="D4912">
        <v>79</v>
      </c>
    </row>
    <row r="4913" spans="1:4" x14ac:dyDescent="0.25">
      <c r="A4913" s="45" t="s">
        <v>4940</v>
      </c>
      <c r="B4913" s="46" t="s">
        <v>16376</v>
      </c>
      <c r="C4913">
        <v>13</v>
      </c>
      <c r="D4913">
        <v>79</v>
      </c>
    </row>
    <row r="4914" spans="1:4" x14ac:dyDescent="0.25">
      <c r="A4914" s="45" t="s">
        <v>4941</v>
      </c>
      <c r="B4914" s="46" t="s">
        <v>16377</v>
      </c>
      <c r="C4914">
        <v>13</v>
      </c>
      <c r="D4914">
        <v>79</v>
      </c>
    </row>
    <row r="4915" spans="1:4" x14ac:dyDescent="0.25">
      <c r="A4915" s="45" t="s">
        <v>4942</v>
      </c>
      <c r="B4915" s="46" t="s">
        <v>16378</v>
      </c>
      <c r="C4915">
        <v>13</v>
      </c>
      <c r="D4915">
        <v>79</v>
      </c>
    </row>
    <row r="4916" spans="1:4" x14ac:dyDescent="0.25">
      <c r="A4916" s="45" t="s">
        <v>4943</v>
      </c>
      <c r="B4916" s="46" t="s">
        <v>16379</v>
      </c>
      <c r="C4916">
        <v>13</v>
      </c>
      <c r="D4916">
        <v>79</v>
      </c>
    </row>
    <row r="4917" spans="1:4" x14ac:dyDescent="0.25">
      <c r="A4917" s="45" t="s">
        <v>4944</v>
      </c>
      <c r="B4917" s="46" t="s">
        <v>16380</v>
      </c>
      <c r="C4917">
        <v>13</v>
      </c>
      <c r="D4917">
        <v>79</v>
      </c>
    </row>
    <row r="4918" spans="1:4" x14ac:dyDescent="0.25">
      <c r="A4918" s="45" t="s">
        <v>4945</v>
      </c>
      <c r="B4918" s="46" t="s">
        <v>16381</v>
      </c>
      <c r="C4918">
        <v>13</v>
      </c>
      <c r="D4918">
        <v>79</v>
      </c>
    </row>
    <row r="4919" spans="1:4" x14ac:dyDescent="0.25">
      <c r="A4919" s="45" t="s">
        <v>4946</v>
      </c>
      <c r="B4919" s="46" t="s">
        <v>16382</v>
      </c>
      <c r="C4919">
        <v>13</v>
      </c>
      <c r="D4919">
        <v>79</v>
      </c>
    </row>
    <row r="4920" spans="1:4" x14ac:dyDescent="0.25">
      <c r="A4920" s="45" t="s">
        <v>4947</v>
      </c>
      <c r="B4920" s="46" t="s">
        <v>16383</v>
      </c>
      <c r="C4920">
        <v>13</v>
      </c>
      <c r="D4920">
        <v>79</v>
      </c>
    </row>
    <row r="4921" spans="1:4" x14ac:dyDescent="0.25">
      <c r="A4921" s="45" t="s">
        <v>4948</v>
      </c>
      <c r="B4921" s="46" t="s">
        <v>16384</v>
      </c>
      <c r="C4921">
        <v>13</v>
      </c>
      <c r="D4921">
        <v>79</v>
      </c>
    </row>
    <row r="4922" spans="1:4" x14ac:dyDescent="0.25">
      <c r="A4922" s="45" t="s">
        <v>4949</v>
      </c>
      <c r="B4922" s="46" t="s">
        <v>16385</v>
      </c>
      <c r="C4922">
        <v>13</v>
      </c>
      <c r="D4922">
        <v>80</v>
      </c>
    </row>
    <row r="4923" spans="1:4" x14ac:dyDescent="0.25">
      <c r="A4923" s="45" t="s">
        <v>4950</v>
      </c>
      <c r="B4923" s="46" t="s">
        <v>16386</v>
      </c>
      <c r="C4923">
        <v>13</v>
      </c>
      <c r="D4923">
        <v>80</v>
      </c>
    </row>
    <row r="4924" spans="1:4" x14ac:dyDescent="0.25">
      <c r="A4924" s="45" t="s">
        <v>4951</v>
      </c>
      <c r="B4924" s="46" t="s">
        <v>16387</v>
      </c>
      <c r="C4924">
        <v>13</v>
      </c>
      <c r="D4924">
        <v>80</v>
      </c>
    </row>
    <row r="4925" spans="1:4" x14ac:dyDescent="0.25">
      <c r="A4925" s="45" t="s">
        <v>4952</v>
      </c>
      <c r="B4925" s="46" t="s">
        <v>16388</v>
      </c>
      <c r="C4925">
        <v>13</v>
      </c>
      <c r="D4925">
        <v>80</v>
      </c>
    </row>
    <row r="4926" spans="1:4" x14ac:dyDescent="0.25">
      <c r="A4926" s="45" t="s">
        <v>4953</v>
      </c>
      <c r="B4926" s="46" t="s">
        <v>16389</v>
      </c>
      <c r="C4926">
        <v>13</v>
      </c>
      <c r="D4926">
        <v>80</v>
      </c>
    </row>
    <row r="4927" spans="1:4" x14ac:dyDescent="0.25">
      <c r="A4927" s="45" t="s">
        <v>4954</v>
      </c>
      <c r="B4927" s="46" t="s">
        <v>16390</v>
      </c>
      <c r="C4927">
        <v>13</v>
      </c>
      <c r="D4927">
        <v>80</v>
      </c>
    </row>
    <row r="4928" spans="1:4" x14ac:dyDescent="0.25">
      <c r="A4928" s="45" t="s">
        <v>4955</v>
      </c>
      <c r="B4928" s="46" t="s">
        <v>16391</v>
      </c>
      <c r="C4928">
        <v>13</v>
      </c>
      <c r="D4928">
        <v>80</v>
      </c>
    </row>
    <row r="4929" spans="1:4" x14ac:dyDescent="0.25">
      <c r="A4929" s="45" t="s">
        <v>4956</v>
      </c>
      <c r="B4929" s="46" t="s">
        <v>16392</v>
      </c>
      <c r="C4929">
        <v>13</v>
      </c>
      <c r="D4929">
        <v>80</v>
      </c>
    </row>
    <row r="4930" spans="1:4" x14ac:dyDescent="0.25">
      <c r="A4930" s="45" t="s">
        <v>4957</v>
      </c>
      <c r="B4930" s="46" t="s">
        <v>16393</v>
      </c>
      <c r="C4930">
        <v>13</v>
      </c>
      <c r="D4930">
        <v>80</v>
      </c>
    </row>
    <row r="4931" spans="1:4" x14ac:dyDescent="0.25">
      <c r="A4931" s="45" t="s">
        <v>4958</v>
      </c>
      <c r="B4931" s="46" t="s">
        <v>16394</v>
      </c>
      <c r="C4931">
        <v>13</v>
      </c>
      <c r="D4931">
        <v>80</v>
      </c>
    </row>
    <row r="4932" spans="1:4" x14ac:dyDescent="0.25">
      <c r="A4932" s="45" t="s">
        <v>4959</v>
      </c>
      <c r="B4932" s="46" t="s">
        <v>16395</v>
      </c>
      <c r="C4932">
        <v>13</v>
      </c>
      <c r="D4932">
        <v>80</v>
      </c>
    </row>
    <row r="4933" spans="1:4" x14ac:dyDescent="0.25">
      <c r="A4933" s="45" t="s">
        <v>4960</v>
      </c>
      <c r="B4933" s="46" t="s">
        <v>16396</v>
      </c>
      <c r="C4933">
        <v>13</v>
      </c>
      <c r="D4933">
        <v>80</v>
      </c>
    </row>
    <row r="4934" spans="1:4" x14ac:dyDescent="0.25">
      <c r="A4934" s="45" t="s">
        <v>4961</v>
      </c>
      <c r="B4934" s="46" t="s">
        <v>16397</v>
      </c>
      <c r="C4934">
        <v>13</v>
      </c>
      <c r="D4934">
        <v>80</v>
      </c>
    </row>
    <row r="4935" spans="1:4" x14ac:dyDescent="0.25">
      <c r="A4935" s="45" t="s">
        <v>4962</v>
      </c>
      <c r="B4935" s="46" t="s">
        <v>16398</v>
      </c>
      <c r="C4935">
        <v>13</v>
      </c>
      <c r="D4935">
        <v>80</v>
      </c>
    </row>
    <row r="4936" spans="1:4" x14ac:dyDescent="0.25">
      <c r="A4936" s="45" t="s">
        <v>4963</v>
      </c>
      <c r="B4936" s="46" t="s">
        <v>16399</v>
      </c>
      <c r="C4936">
        <v>13</v>
      </c>
      <c r="D4936">
        <v>80</v>
      </c>
    </row>
    <row r="4937" spans="1:4" x14ac:dyDescent="0.25">
      <c r="A4937" s="45" t="s">
        <v>4964</v>
      </c>
      <c r="B4937" s="46" t="s">
        <v>16400</v>
      </c>
      <c r="C4937">
        <v>13</v>
      </c>
      <c r="D4937">
        <v>80</v>
      </c>
    </row>
    <row r="4938" spans="1:4" x14ac:dyDescent="0.25">
      <c r="A4938" s="45" t="s">
        <v>4965</v>
      </c>
      <c r="B4938" s="46" t="s">
        <v>16401</v>
      </c>
      <c r="C4938">
        <v>13</v>
      </c>
      <c r="D4938">
        <v>80</v>
      </c>
    </row>
    <row r="4939" spans="1:4" x14ac:dyDescent="0.25">
      <c r="A4939" s="45" t="s">
        <v>4966</v>
      </c>
      <c r="B4939" s="46" t="s">
        <v>16402</v>
      </c>
      <c r="C4939">
        <v>13</v>
      </c>
      <c r="D4939">
        <v>80</v>
      </c>
    </row>
    <row r="4940" spans="1:4" x14ac:dyDescent="0.25">
      <c r="A4940" s="45" t="s">
        <v>4967</v>
      </c>
      <c r="B4940" s="46" t="s">
        <v>16403</v>
      </c>
      <c r="C4940">
        <v>13</v>
      </c>
      <c r="D4940">
        <v>80</v>
      </c>
    </row>
    <row r="4941" spans="1:4" x14ac:dyDescent="0.25">
      <c r="A4941" s="45" t="s">
        <v>4968</v>
      </c>
      <c r="B4941" s="46" t="s">
        <v>16404</v>
      </c>
      <c r="C4941">
        <v>13</v>
      </c>
      <c r="D4941">
        <v>80</v>
      </c>
    </row>
    <row r="4942" spans="1:4" x14ac:dyDescent="0.25">
      <c r="A4942" s="45" t="s">
        <v>4969</v>
      </c>
      <c r="B4942" s="46" t="s">
        <v>16405</v>
      </c>
      <c r="C4942">
        <v>3</v>
      </c>
      <c r="D4942">
        <v>27</v>
      </c>
    </row>
    <row r="4943" spans="1:4" x14ac:dyDescent="0.25">
      <c r="A4943" s="45" t="s">
        <v>4970</v>
      </c>
      <c r="B4943" s="46" t="s">
        <v>16406</v>
      </c>
      <c r="C4943">
        <v>3</v>
      </c>
      <c r="D4943">
        <v>27</v>
      </c>
    </row>
    <row r="4944" spans="1:4" x14ac:dyDescent="0.25">
      <c r="A4944" s="45" t="s">
        <v>4971</v>
      </c>
      <c r="B4944" s="46" t="s">
        <v>20317</v>
      </c>
      <c r="C4944">
        <v>3</v>
      </c>
      <c r="D4944">
        <v>27</v>
      </c>
    </row>
    <row r="4945" spans="1:4" x14ac:dyDescent="0.25">
      <c r="A4945" s="45" t="s">
        <v>4972</v>
      </c>
      <c r="B4945" s="46" t="s">
        <v>20318</v>
      </c>
      <c r="C4945">
        <v>3</v>
      </c>
      <c r="D4945">
        <v>27</v>
      </c>
    </row>
    <row r="4946" spans="1:4" x14ac:dyDescent="0.25">
      <c r="A4946" s="45" t="s">
        <v>4973</v>
      </c>
      <c r="B4946" s="46" t="s">
        <v>16407</v>
      </c>
      <c r="C4946">
        <v>3</v>
      </c>
      <c r="D4946">
        <v>27</v>
      </c>
    </row>
    <row r="4947" spans="1:4" x14ac:dyDescent="0.25">
      <c r="A4947" s="45" t="s">
        <v>4974</v>
      </c>
      <c r="B4947" s="46" t="s">
        <v>16408</v>
      </c>
      <c r="C4947">
        <v>3</v>
      </c>
      <c r="D4947">
        <v>27</v>
      </c>
    </row>
    <row r="4948" spans="1:4" x14ac:dyDescent="0.25">
      <c r="A4948" s="45" t="s">
        <v>4975</v>
      </c>
      <c r="B4948" s="46" t="s">
        <v>16409</v>
      </c>
      <c r="C4948">
        <v>3</v>
      </c>
      <c r="D4948">
        <v>27</v>
      </c>
    </row>
    <row r="4949" spans="1:4" x14ac:dyDescent="0.25">
      <c r="A4949" s="45" t="s">
        <v>4976</v>
      </c>
      <c r="B4949" s="46" t="s">
        <v>16410</v>
      </c>
      <c r="C4949">
        <v>3</v>
      </c>
      <c r="D4949">
        <v>27</v>
      </c>
    </row>
    <row r="4950" spans="1:4" x14ac:dyDescent="0.25">
      <c r="A4950" s="45" t="s">
        <v>4977</v>
      </c>
      <c r="B4950" s="46" t="s">
        <v>16411</v>
      </c>
      <c r="C4950">
        <v>13</v>
      </c>
      <c r="D4950">
        <v>80</v>
      </c>
    </row>
    <row r="4951" spans="1:4" x14ac:dyDescent="0.25">
      <c r="A4951" s="45" t="s">
        <v>4978</v>
      </c>
      <c r="B4951" s="46" t="s">
        <v>16412</v>
      </c>
      <c r="C4951">
        <v>13</v>
      </c>
      <c r="D4951">
        <v>80</v>
      </c>
    </row>
    <row r="4952" spans="1:4" x14ac:dyDescent="0.25">
      <c r="A4952" s="45" t="s">
        <v>4979</v>
      </c>
      <c r="B4952" s="46" t="s">
        <v>16413</v>
      </c>
      <c r="C4952">
        <v>13</v>
      </c>
      <c r="D4952">
        <v>80</v>
      </c>
    </row>
    <row r="4953" spans="1:4" x14ac:dyDescent="0.25">
      <c r="A4953" s="45" t="s">
        <v>4980</v>
      </c>
      <c r="B4953" s="46" t="s">
        <v>16414</v>
      </c>
      <c r="C4953">
        <v>13</v>
      </c>
      <c r="D4953">
        <v>80</v>
      </c>
    </row>
    <row r="4954" spans="1:4" x14ac:dyDescent="0.25">
      <c r="A4954" s="45" t="s">
        <v>4981</v>
      </c>
      <c r="B4954" s="46" t="s">
        <v>16415</v>
      </c>
      <c r="C4954">
        <v>13</v>
      </c>
      <c r="D4954">
        <v>80</v>
      </c>
    </row>
    <row r="4955" spans="1:4" x14ac:dyDescent="0.25">
      <c r="A4955" s="45" t="s">
        <v>4982</v>
      </c>
      <c r="B4955" s="46" t="s">
        <v>16416</v>
      </c>
      <c r="C4955">
        <v>13</v>
      </c>
      <c r="D4955">
        <v>80</v>
      </c>
    </row>
    <row r="4956" spans="1:4" x14ac:dyDescent="0.25">
      <c r="A4956" s="45" t="s">
        <v>4983</v>
      </c>
      <c r="B4956" s="46" t="s">
        <v>20319</v>
      </c>
      <c r="C4956">
        <v>13</v>
      </c>
      <c r="D4956">
        <v>80</v>
      </c>
    </row>
    <row r="4957" spans="1:4" x14ac:dyDescent="0.25">
      <c r="A4957" s="45" t="s">
        <v>4984</v>
      </c>
      <c r="B4957" s="46" t="s">
        <v>16417</v>
      </c>
      <c r="C4957">
        <v>3</v>
      </c>
      <c r="D4957">
        <v>26</v>
      </c>
    </row>
    <row r="4958" spans="1:4" x14ac:dyDescent="0.25">
      <c r="A4958" s="45" t="s">
        <v>4985</v>
      </c>
      <c r="B4958" s="46" t="s">
        <v>16418</v>
      </c>
      <c r="C4958">
        <v>13</v>
      </c>
      <c r="D4958">
        <v>80</v>
      </c>
    </row>
    <row r="4959" spans="1:4" x14ac:dyDescent="0.25">
      <c r="A4959" s="45" t="s">
        <v>4986</v>
      </c>
      <c r="B4959" s="46" t="s">
        <v>16419</v>
      </c>
      <c r="C4959">
        <v>13</v>
      </c>
      <c r="D4959">
        <v>80</v>
      </c>
    </row>
    <row r="4960" spans="1:4" x14ac:dyDescent="0.25">
      <c r="A4960" s="45" t="s">
        <v>4987</v>
      </c>
      <c r="B4960" s="46" t="s">
        <v>16420</v>
      </c>
      <c r="C4960">
        <v>13</v>
      </c>
      <c r="D4960">
        <v>80</v>
      </c>
    </row>
    <row r="4961" spans="1:4" x14ac:dyDescent="0.25">
      <c r="A4961" s="45" t="s">
        <v>4988</v>
      </c>
      <c r="B4961" s="46" t="s">
        <v>16421</v>
      </c>
      <c r="C4961">
        <v>13</v>
      </c>
      <c r="D4961">
        <v>80</v>
      </c>
    </row>
    <row r="4962" spans="1:4" x14ac:dyDescent="0.25">
      <c r="A4962" s="45" t="s">
        <v>4989</v>
      </c>
      <c r="B4962" s="46" t="s">
        <v>16422</v>
      </c>
      <c r="C4962">
        <v>13</v>
      </c>
      <c r="D4962">
        <v>80</v>
      </c>
    </row>
    <row r="4963" spans="1:4" x14ac:dyDescent="0.25">
      <c r="A4963" s="45" t="s">
        <v>4990</v>
      </c>
      <c r="B4963" s="46" t="s">
        <v>16423</v>
      </c>
      <c r="C4963">
        <v>13</v>
      </c>
      <c r="D4963">
        <v>80</v>
      </c>
    </row>
    <row r="4964" spans="1:4" x14ac:dyDescent="0.25">
      <c r="A4964" s="45" t="s">
        <v>4991</v>
      </c>
      <c r="B4964" s="46" t="s">
        <v>16424</v>
      </c>
      <c r="C4964">
        <v>13</v>
      </c>
      <c r="D4964">
        <v>80</v>
      </c>
    </row>
    <row r="4965" spans="1:4" x14ac:dyDescent="0.25">
      <c r="A4965" s="45" t="s">
        <v>4992</v>
      </c>
      <c r="B4965" s="46" t="s">
        <v>16425</v>
      </c>
      <c r="C4965">
        <v>13</v>
      </c>
      <c r="D4965">
        <v>80</v>
      </c>
    </row>
    <row r="4966" spans="1:4" x14ac:dyDescent="0.25">
      <c r="A4966" s="45" t="s">
        <v>4993</v>
      </c>
      <c r="B4966" s="46" t="s">
        <v>16426</v>
      </c>
      <c r="C4966">
        <v>13</v>
      </c>
      <c r="D4966">
        <v>80</v>
      </c>
    </row>
    <row r="4967" spans="1:4" x14ac:dyDescent="0.25">
      <c r="A4967" s="45" t="s">
        <v>4994</v>
      </c>
      <c r="B4967" s="46" t="s">
        <v>16427</v>
      </c>
      <c r="C4967">
        <v>13</v>
      </c>
      <c r="D4967">
        <v>80</v>
      </c>
    </row>
    <row r="4968" spans="1:4" x14ac:dyDescent="0.25">
      <c r="A4968" s="45" t="s">
        <v>4995</v>
      </c>
      <c r="B4968" s="46" t="s">
        <v>16428</v>
      </c>
      <c r="C4968">
        <v>13</v>
      </c>
      <c r="D4968">
        <v>80</v>
      </c>
    </row>
    <row r="4969" spans="1:4" x14ac:dyDescent="0.25">
      <c r="A4969" s="45" t="s">
        <v>4996</v>
      </c>
      <c r="B4969" s="46" t="s">
        <v>16429</v>
      </c>
      <c r="C4969">
        <v>13</v>
      </c>
      <c r="D4969">
        <v>80</v>
      </c>
    </row>
    <row r="4970" spans="1:4" x14ac:dyDescent="0.25">
      <c r="A4970" s="45" t="s">
        <v>4997</v>
      </c>
      <c r="B4970" s="46" t="s">
        <v>16430</v>
      </c>
      <c r="C4970">
        <v>13</v>
      </c>
      <c r="D4970">
        <v>80</v>
      </c>
    </row>
    <row r="4971" spans="1:4" x14ac:dyDescent="0.25">
      <c r="A4971" s="45" t="s">
        <v>4998</v>
      </c>
      <c r="B4971" s="46" t="s">
        <v>16431</v>
      </c>
      <c r="C4971">
        <v>13</v>
      </c>
      <c r="D4971">
        <v>80</v>
      </c>
    </row>
    <row r="4972" spans="1:4" x14ac:dyDescent="0.25">
      <c r="A4972" s="45" t="s">
        <v>4999</v>
      </c>
      <c r="B4972" s="46" t="s">
        <v>16432</v>
      </c>
      <c r="C4972">
        <v>13</v>
      </c>
      <c r="D4972">
        <v>80</v>
      </c>
    </row>
    <row r="4973" spans="1:4" x14ac:dyDescent="0.25">
      <c r="A4973" s="45" t="s">
        <v>5000</v>
      </c>
      <c r="B4973" s="46" t="s">
        <v>16433</v>
      </c>
      <c r="C4973">
        <v>13</v>
      </c>
      <c r="D4973">
        <v>80</v>
      </c>
    </row>
    <row r="4974" spans="1:4" x14ac:dyDescent="0.25">
      <c r="A4974" s="45" t="s">
        <v>5001</v>
      </c>
      <c r="B4974" s="46" t="s">
        <v>16434</v>
      </c>
      <c r="C4974">
        <v>13</v>
      </c>
      <c r="D4974">
        <v>80</v>
      </c>
    </row>
    <row r="4975" spans="1:4" x14ac:dyDescent="0.25">
      <c r="A4975" s="45" t="s">
        <v>5002</v>
      </c>
      <c r="B4975" s="46" t="s">
        <v>16435</v>
      </c>
      <c r="C4975">
        <v>13</v>
      </c>
      <c r="D4975">
        <v>80</v>
      </c>
    </row>
    <row r="4976" spans="1:4" x14ac:dyDescent="0.25">
      <c r="A4976" s="45" t="s">
        <v>5003</v>
      </c>
      <c r="B4976" s="46" t="s">
        <v>16436</v>
      </c>
      <c r="C4976">
        <v>13</v>
      </c>
      <c r="D4976">
        <v>80</v>
      </c>
    </row>
    <row r="4977" spans="1:4" x14ac:dyDescent="0.25">
      <c r="A4977" s="45" t="s">
        <v>5004</v>
      </c>
      <c r="B4977" s="46" t="s">
        <v>16437</v>
      </c>
      <c r="C4977">
        <v>13</v>
      </c>
      <c r="D4977">
        <v>80</v>
      </c>
    </row>
    <row r="4978" spans="1:4" x14ac:dyDescent="0.25">
      <c r="A4978" s="45" t="s">
        <v>5005</v>
      </c>
      <c r="B4978" s="46" t="s">
        <v>16438</v>
      </c>
      <c r="C4978">
        <v>13</v>
      </c>
      <c r="D4978">
        <v>80</v>
      </c>
    </row>
    <row r="4979" spans="1:4" x14ac:dyDescent="0.25">
      <c r="A4979" s="45" t="s">
        <v>5006</v>
      </c>
      <c r="B4979" s="46" t="s">
        <v>16439</v>
      </c>
      <c r="C4979">
        <v>13</v>
      </c>
      <c r="D4979">
        <v>80</v>
      </c>
    </row>
    <row r="4980" spans="1:4" x14ac:dyDescent="0.25">
      <c r="A4980" s="45" t="s">
        <v>5007</v>
      </c>
      <c r="B4980" s="46" t="s">
        <v>16440</v>
      </c>
      <c r="C4980">
        <v>13</v>
      </c>
      <c r="D4980">
        <v>80</v>
      </c>
    </row>
    <row r="4981" spans="1:4" x14ac:dyDescent="0.25">
      <c r="A4981" s="45" t="s">
        <v>5008</v>
      </c>
      <c r="B4981" s="46" t="s">
        <v>16441</v>
      </c>
      <c r="C4981">
        <v>13</v>
      </c>
      <c r="D4981">
        <v>80</v>
      </c>
    </row>
    <row r="4982" spans="1:4" x14ac:dyDescent="0.25">
      <c r="A4982" s="45" t="s">
        <v>5009</v>
      </c>
      <c r="B4982" s="46" t="s">
        <v>16442</v>
      </c>
      <c r="C4982">
        <v>13</v>
      </c>
      <c r="D4982">
        <v>80</v>
      </c>
    </row>
    <row r="4983" spans="1:4" x14ac:dyDescent="0.25">
      <c r="A4983" s="45" t="s">
        <v>5010</v>
      </c>
      <c r="B4983" s="46" t="s">
        <v>16443</v>
      </c>
      <c r="C4983">
        <v>13</v>
      </c>
      <c r="D4983">
        <v>80</v>
      </c>
    </row>
    <row r="4984" spans="1:4" x14ac:dyDescent="0.25">
      <c r="A4984" s="45" t="s">
        <v>5011</v>
      </c>
      <c r="B4984" s="46" t="s">
        <v>16444</v>
      </c>
      <c r="C4984">
        <v>6</v>
      </c>
      <c r="D4984">
        <v>35</v>
      </c>
    </row>
    <row r="4985" spans="1:4" x14ac:dyDescent="0.25">
      <c r="A4985" s="45" t="s">
        <v>5012</v>
      </c>
      <c r="B4985" s="46" t="s">
        <v>16445</v>
      </c>
      <c r="C4985">
        <v>13</v>
      </c>
      <c r="D4985">
        <v>80</v>
      </c>
    </row>
    <row r="4986" spans="1:4" x14ac:dyDescent="0.25">
      <c r="A4986" s="45" t="s">
        <v>5013</v>
      </c>
      <c r="B4986" s="46" t="s">
        <v>16446</v>
      </c>
      <c r="C4986">
        <v>13</v>
      </c>
      <c r="D4986">
        <v>80</v>
      </c>
    </row>
    <row r="4987" spans="1:4" x14ac:dyDescent="0.25">
      <c r="A4987" s="45" t="s">
        <v>5014</v>
      </c>
      <c r="B4987" s="46" t="s">
        <v>16447</v>
      </c>
      <c r="C4987">
        <v>13</v>
      </c>
      <c r="D4987">
        <v>80</v>
      </c>
    </row>
    <row r="4988" spans="1:4" x14ac:dyDescent="0.25">
      <c r="A4988" s="45" t="s">
        <v>5015</v>
      </c>
      <c r="B4988" s="46" t="s">
        <v>16448</v>
      </c>
      <c r="C4988">
        <v>13</v>
      </c>
      <c r="D4988">
        <v>80</v>
      </c>
    </row>
    <row r="4989" spans="1:4" x14ac:dyDescent="0.25">
      <c r="A4989" s="45" t="s">
        <v>5016</v>
      </c>
      <c r="B4989" s="46" t="s">
        <v>16449</v>
      </c>
      <c r="C4989">
        <v>13</v>
      </c>
      <c r="D4989">
        <v>80</v>
      </c>
    </row>
    <row r="4990" spans="1:4" x14ac:dyDescent="0.25">
      <c r="A4990" s="45" t="s">
        <v>5017</v>
      </c>
      <c r="B4990" s="46" t="s">
        <v>16450</v>
      </c>
      <c r="C4990">
        <v>13</v>
      </c>
      <c r="D4990">
        <v>80</v>
      </c>
    </row>
    <row r="4991" spans="1:4" x14ac:dyDescent="0.25">
      <c r="A4991" s="45" t="s">
        <v>5018</v>
      </c>
      <c r="B4991" s="46" t="s">
        <v>16451</v>
      </c>
      <c r="C4991">
        <v>13</v>
      </c>
      <c r="D4991">
        <v>80</v>
      </c>
    </row>
    <row r="4992" spans="1:4" x14ac:dyDescent="0.25">
      <c r="A4992" s="45" t="s">
        <v>5019</v>
      </c>
      <c r="B4992" s="46" t="s">
        <v>16452</v>
      </c>
      <c r="C4992">
        <v>13</v>
      </c>
      <c r="D4992">
        <v>79</v>
      </c>
    </row>
    <row r="4993" spans="1:4" x14ac:dyDescent="0.25">
      <c r="A4993" s="45" t="s">
        <v>5020</v>
      </c>
      <c r="B4993" s="46" t="s">
        <v>16453</v>
      </c>
      <c r="C4993">
        <v>13</v>
      </c>
      <c r="D4993">
        <v>80</v>
      </c>
    </row>
    <row r="4994" spans="1:4" x14ac:dyDescent="0.25">
      <c r="A4994" s="45" t="s">
        <v>5021</v>
      </c>
      <c r="B4994" s="46" t="s">
        <v>16454</v>
      </c>
      <c r="C4994">
        <v>13</v>
      </c>
      <c r="D4994">
        <v>80</v>
      </c>
    </row>
    <row r="4995" spans="1:4" x14ac:dyDescent="0.25">
      <c r="A4995" s="45" t="s">
        <v>5022</v>
      </c>
      <c r="B4995" s="46" t="s">
        <v>16455</v>
      </c>
      <c r="C4995">
        <v>13</v>
      </c>
      <c r="D4995">
        <v>80</v>
      </c>
    </row>
    <row r="4996" spans="1:4" x14ac:dyDescent="0.25">
      <c r="A4996" s="45" t="s">
        <v>5023</v>
      </c>
      <c r="B4996" s="46" t="s">
        <v>16456</v>
      </c>
      <c r="C4996">
        <v>13</v>
      </c>
      <c r="D4996">
        <v>80</v>
      </c>
    </row>
    <row r="4997" spans="1:4" x14ac:dyDescent="0.25">
      <c r="A4997" s="45" t="s">
        <v>5024</v>
      </c>
      <c r="B4997" s="46" t="s">
        <v>16457</v>
      </c>
      <c r="C4997">
        <v>13</v>
      </c>
      <c r="D4997">
        <v>80</v>
      </c>
    </row>
    <row r="4998" spans="1:4" x14ac:dyDescent="0.25">
      <c r="A4998" s="45" t="s">
        <v>5025</v>
      </c>
      <c r="B4998" s="46" t="s">
        <v>20320</v>
      </c>
      <c r="C4998">
        <v>13</v>
      </c>
      <c r="D4998">
        <v>80</v>
      </c>
    </row>
    <row r="4999" spans="1:4" x14ac:dyDescent="0.25">
      <c r="A4999" s="45" t="s">
        <v>5026</v>
      </c>
      <c r="B4999" s="46" t="s">
        <v>20321</v>
      </c>
      <c r="C4999">
        <v>13</v>
      </c>
      <c r="D4999">
        <v>80</v>
      </c>
    </row>
    <row r="5000" spans="1:4" x14ac:dyDescent="0.25">
      <c r="A5000" s="45" t="s">
        <v>5027</v>
      </c>
      <c r="B5000" s="46" t="s">
        <v>20322</v>
      </c>
      <c r="C5000">
        <v>13</v>
      </c>
      <c r="D5000">
        <v>80</v>
      </c>
    </row>
    <row r="5001" spans="1:4" x14ac:dyDescent="0.25">
      <c r="A5001" s="45" t="s">
        <v>5028</v>
      </c>
      <c r="B5001" s="46" t="s">
        <v>20323</v>
      </c>
      <c r="C5001">
        <v>13</v>
      </c>
      <c r="D5001">
        <v>80</v>
      </c>
    </row>
    <row r="5002" spans="1:4" x14ac:dyDescent="0.25">
      <c r="A5002" s="45" t="s">
        <v>5029</v>
      </c>
      <c r="B5002" s="46" t="s">
        <v>20324</v>
      </c>
      <c r="C5002">
        <v>13</v>
      </c>
      <c r="D5002">
        <v>80</v>
      </c>
    </row>
    <row r="5003" spans="1:4" x14ac:dyDescent="0.25">
      <c r="A5003" s="45" t="s">
        <v>5030</v>
      </c>
      <c r="B5003" s="46" t="s">
        <v>16458</v>
      </c>
      <c r="C5003">
        <v>13</v>
      </c>
      <c r="D5003">
        <v>80</v>
      </c>
    </row>
    <row r="5004" spans="1:4" x14ac:dyDescent="0.25">
      <c r="A5004" s="45" t="s">
        <v>5031</v>
      </c>
      <c r="B5004" s="46" t="s">
        <v>20325</v>
      </c>
      <c r="C5004">
        <v>13</v>
      </c>
      <c r="D5004">
        <v>80</v>
      </c>
    </row>
    <row r="5005" spans="1:4" x14ac:dyDescent="0.25">
      <c r="A5005" s="45" t="s">
        <v>5032</v>
      </c>
      <c r="B5005" s="46" t="s">
        <v>20326</v>
      </c>
      <c r="C5005">
        <v>13</v>
      </c>
      <c r="D5005">
        <v>80</v>
      </c>
    </row>
    <row r="5006" spans="1:4" x14ac:dyDescent="0.25">
      <c r="A5006" s="45" t="s">
        <v>5033</v>
      </c>
      <c r="B5006" s="46" t="s">
        <v>16459</v>
      </c>
      <c r="C5006">
        <v>13</v>
      </c>
      <c r="D5006">
        <v>80</v>
      </c>
    </row>
    <row r="5007" spans="1:4" x14ac:dyDescent="0.25">
      <c r="A5007" s="45" t="s">
        <v>5034</v>
      </c>
      <c r="B5007" s="46" t="s">
        <v>16460</v>
      </c>
      <c r="C5007">
        <v>13</v>
      </c>
      <c r="D5007">
        <v>80</v>
      </c>
    </row>
    <row r="5008" spans="1:4" x14ac:dyDescent="0.25">
      <c r="A5008" s="45" t="s">
        <v>5035</v>
      </c>
      <c r="B5008" s="46" t="s">
        <v>20327</v>
      </c>
      <c r="C5008">
        <v>13</v>
      </c>
      <c r="D5008">
        <v>80</v>
      </c>
    </row>
    <row r="5009" spans="1:4" x14ac:dyDescent="0.25">
      <c r="A5009" s="45" t="s">
        <v>5036</v>
      </c>
      <c r="B5009" s="46" t="s">
        <v>16461</v>
      </c>
      <c r="C5009">
        <v>13</v>
      </c>
      <c r="D5009">
        <v>80</v>
      </c>
    </row>
    <row r="5010" spans="1:4" x14ac:dyDescent="0.25">
      <c r="A5010" s="45" t="s">
        <v>5037</v>
      </c>
      <c r="B5010" s="46" t="s">
        <v>16462</v>
      </c>
      <c r="C5010">
        <v>13</v>
      </c>
      <c r="D5010">
        <v>80</v>
      </c>
    </row>
    <row r="5011" spans="1:4" x14ac:dyDescent="0.25">
      <c r="A5011" s="45" t="s">
        <v>5038</v>
      </c>
      <c r="B5011" s="46" t="s">
        <v>16463</v>
      </c>
      <c r="C5011">
        <v>13</v>
      </c>
      <c r="D5011">
        <v>80</v>
      </c>
    </row>
    <row r="5012" spans="1:4" x14ac:dyDescent="0.25">
      <c r="A5012" s="45" t="s">
        <v>5039</v>
      </c>
      <c r="B5012" s="46" t="s">
        <v>20328</v>
      </c>
      <c r="C5012">
        <v>13</v>
      </c>
      <c r="D5012">
        <v>80</v>
      </c>
    </row>
    <row r="5013" spans="1:4" x14ac:dyDescent="0.25">
      <c r="A5013" s="45" t="s">
        <v>5040</v>
      </c>
      <c r="B5013" s="46" t="s">
        <v>16464</v>
      </c>
      <c r="C5013">
        <v>13</v>
      </c>
      <c r="D5013">
        <v>80</v>
      </c>
    </row>
    <row r="5014" spans="1:4" x14ac:dyDescent="0.25">
      <c r="A5014" s="45" t="s">
        <v>5041</v>
      </c>
      <c r="B5014" s="46" t="s">
        <v>16465</v>
      </c>
      <c r="C5014">
        <v>13</v>
      </c>
      <c r="D5014">
        <v>80</v>
      </c>
    </row>
    <row r="5015" spans="1:4" x14ac:dyDescent="0.25">
      <c r="A5015" s="45" t="s">
        <v>5042</v>
      </c>
      <c r="B5015" s="46" t="s">
        <v>16466</v>
      </c>
      <c r="C5015">
        <v>13</v>
      </c>
      <c r="D5015">
        <v>80</v>
      </c>
    </row>
    <row r="5016" spans="1:4" x14ac:dyDescent="0.25">
      <c r="A5016" s="45" t="s">
        <v>5043</v>
      </c>
      <c r="B5016" s="46" t="s">
        <v>16467</v>
      </c>
      <c r="C5016">
        <v>13</v>
      </c>
      <c r="D5016">
        <v>80</v>
      </c>
    </row>
    <row r="5017" spans="1:4" x14ac:dyDescent="0.25">
      <c r="A5017" s="45" t="s">
        <v>5044</v>
      </c>
      <c r="B5017" s="46" t="s">
        <v>16468</v>
      </c>
      <c r="C5017">
        <v>13</v>
      </c>
      <c r="D5017">
        <v>80</v>
      </c>
    </row>
    <row r="5018" spans="1:4" x14ac:dyDescent="0.25">
      <c r="A5018" s="45" t="s">
        <v>5045</v>
      </c>
      <c r="B5018" s="46" t="s">
        <v>16469</v>
      </c>
      <c r="C5018">
        <v>13</v>
      </c>
      <c r="D5018">
        <v>80</v>
      </c>
    </row>
    <row r="5019" spans="1:4" x14ac:dyDescent="0.25">
      <c r="A5019" s="45" t="s">
        <v>5046</v>
      </c>
      <c r="B5019" s="46" t="s">
        <v>16470</v>
      </c>
      <c r="C5019">
        <v>13</v>
      </c>
      <c r="D5019">
        <v>80</v>
      </c>
    </row>
    <row r="5020" spans="1:4" x14ac:dyDescent="0.25">
      <c r="A5020" s="45" t="s">
        <v>5047</v>
      </c>
      <c r="B5020" s="46" t="s">
        <v>16471</v>
      </c>
      <c r="C5020">
        <v>13</v>
      </c>
      <c r="D5020">
        <v>80</v>
      </c>
    </row>
    <row r="5021" spans="1:4" x14ac:dyDescent="0.25">
      <c r="A5021" s="45" t="s">
        <v>5048</v>
      </c>
      <c r="B5021" s="46" t="s">
        <v>16472</v>
      </c>
      <c r="C5021">
        <v>13</v>
      </c>
      <c r="D5021">
        <v>80</v>
      </c>
    </row>
    <row r="5022" spans="1:4" x14ac:dyDescent="0.25">
      <c r="A5022" s="45" t="s">
        <v>5049</v>
      </c>
      <c r="B5022" s="46" t="s">
        <v>16473</v>
      </c>
      <c r="C5022">
        <v>13</v>
      </c>
      <c r="D5022">
        <v>80</v>
      </c>
    </row>
    <row r="5023" spans="1:4" x14ac:dyDescent="0.25">
      <c r="A5023" s="45" t="s">
        <v>5050</v>
      </c>
      <c r="B5023" s="46" t="s">
        <v>16474</v>
      </c>
      <c r="C5023">
        <v>13</v>
      </c>
      <c r="D5023">
        <v>80</v>
      </c>
    </row>
    <row r="5024" spans="1:4" x14ac:dyDescent="0.25">
      <c r="A5024" s="45" t="s">
        <v>5051</v>
      </c>
      <c r="B5024" s="46" t="s">
        <v>20329</v>
      </c>
      <c r="C5024">
        <v>13</v>
      </c>
      <c r="D5024">
        <v>80</v>
      </c>
    </row>
    <row r="5025" spans="1:4" x14ac:dyDescent="0.25">
      <c r="A5025" s="45" t="s">
        <v>5052</v>
      </c>
      <c r="B5025" s="46" t="s">
        <v>20330</v>
      </c>
      <c r="C5025">
        <v>13</v>
      </c>
      <c r="D5025">
        <v>80</v>
      </c>
    </row>
    <row r="5026" spans="1:4" x14ac:dyDescent="0.25">
      <c r="A5026" s="45" t="s">
        <v>5053</v>
      </c>
      <c r="B5026" s="46" t="s">
        <v>16475</v>
      </c>
      <c r="C5026">
        <v>13</v>
      </c>
      <c r="D5026">
        <v>80</v>
      </c>
    </row>
    <row r="5027" spans="1:4" x14ac:dyDescent="0.25">
      <c r="A5027" s="45" t="s">
        <v>5054</v>
      </c>
      <c r="B5027" s="46" t="s">
        <v>16476</v>
      </c>
      <c r="C5027">
        <v>13</v>
      </c>
      <c r="D5027">
        <v>80</v>
      </c>
    </row>
    <row r="5028" spans="1:4" x14ac:dyDescent="0.25">
      <c r="A5028" s="45" t="s">
        <v>5055</v>
      </c>
      <c r="B5028" s="46" t="s">
        <v>20331</v>
      </c>
      <c r="C5028">
        <v>13</v>
      </c>
      <c r="D5028">
        <v>80</v>
      </c>
    </row>
    <row r="5029" spans="1:4" x14ac:dyDescent="0.25">
      <c r="A5029" s="45" t="s">
        <v>5056</v>
      </c>
      <c r="B5029" s="46" t="s">
        <v>16477</v>
      </c>
      <c r="C5029">
        <v>13</v>
      </c>
      <c r="D5029">
        <v>80</v>
      </c>
    </row>
    <row r="5030" spans="1:4" x14ac:dyDescent="0.25">
      <c r="A5030" s="45" t="s">
        <v>5057</v>
      </c>
      <c r="B5030" s="46" t="s">
        <v>16478</v>
      </c>
      <c r="C5030">
        <v>13</v>
      </c>
      <c r="D5030">
        <v>80</v>
      </c>
    </row>
    <row r="5031" spans="1:4" x14ac:dyDescent="0.25">
      <c r="A5031" s="45" t="s">
        <v>5058</v>
      </c>
      <c r="B5031" s="46" t="s">
        <v>16479</v>
      </c>
      <c r="C5031">
        <v>13</v>
      </c>
      <c r="D5031">
        <v>80</v>
      </c>
    </row>
    <row r="5032" spans="1:4" x14ac:dyDescent="0.25">
      <c r="A5032" s="45" t="s">
        <v>5059</v>
      </c>
      <c r="B5032" s="46" t="s">
        <v>16480</v>
      </c>
      <c r="C5032">
        <v>13</v>
      </c>
      <c r="D5032">
        <v>80</v>
      </c>
    </row>
    <row r="5033" spans="1:4" x14ac:dyDescent="0.25">
      <c r="A5033" s="45" t="s">
        <v>5060</v>
      </c>
      <c r="B5033" s="46" t="s">
        <v>16481</v>
      </c>
      <c r="C5033">
        <v>13</v>
      </c>
      <c r="D5033">
        <v>80</v>
      </c>
    </row>
    <row r="5034" spans="1:4" x14ac:dyDescent="0.25">
      <c r="A5034" s="45" t="s">
        <v>5061</v>
      </c>
      <c r="B5034" s="46" t="s">
        <v>16482</v>
      </c>
      <c r="C5034">
        <v>13</v>
      </c>
      <c r="D5034">
        <v>80</v>
      </c>
    </row>
    <row r="5035" spans="1:4" x14ac:dyDescent="0.25">
      <c r="A5035" s="45" t="s">
        <v>5062</v>
      </c>
      <c r="B5035" s="46" t="s">
        <v>16483</v>
      </c>
      <c r="C5035">
        <v>13</v>
      </c>
      <c r="D5035">
        <v>80</v>
      </c>
    </row>
    <row r="5036" spans="1:4" x14ac:dyDescent="0.25">
      <c r="A5036" s="45" t="s">
        <v>5063</v>
      </c>
      <c r="B5036" s="46" t="s">
        <v>16484</v>
      </c>
      <c r="C5036">
        <v>13</v>
      </c>
      <c r="D5036">
        <v>80</v>
      </c>
    </row>
    <row r="5037" spans="1:4" x14ac:dyDescent="0.25">
      <c r="A5037" s="45" t="s">
        <v>5064</v>
      </c>
      <c r="B5037" s="46" t="s">
        <v>16485</v>
      </c>
      <c r="C5037">
        <v>13</v>
      </c>
      <c r="D5037">
        <v>77</v>
      </c>
    </row>
    <row r="5038" spans="1:4" x14ac:dyDescent="0.25">
      <c r="A5038" s="45" t="s">
        <v>5065</v>
      </c>
      <c r="B5038" s="46" t="s">
        <v>16486</v>
      </c>
      <c r="C5038">
        <v>13</v>
      </c>
      <c r="D5038">
        <v>78</v>
      </c>
    </row>
    <row r="5039" spans="1:4" x14ac:dyDescent="0.25">
      <c r="A5039" s="45" t="s">
        <v>5066</v>
      </c>
      <c r="B5039" s="46" t="s">
        <v>16487</v>
      </c>
      <c r="C5039">
        <v>13</v>
      </c>
      <c r="D5039">
        <v>80</v>
      </c>
    </row>
    <row r="5040" spans="1:4" x14ac:dyDescent="0.25">
      <c r="A5040" s="45" t="s">
        <v>5067</v>
      </c>
      <c r="B5040" s="46" t="s">
        <v>20332</v>
      </c>
      <c r="C5040">
        <v>13</v>
      </c>
      <c r="D5040">
        <v>80</v>
      </c>
    </row>
    <row r="5041" spans="1:4" x14ac:dyDescent="0.25">
      <c r="A5041" s="45" t="s">
        <v>5068</v>
      </c>
      <c r="B5041" s="46" t="s">
        <v>16488</v>
      </c>
      <c r="C5041">
        <v>13</v>
      </c>
      <c r="D5041">
        <v>80</v>
      </c>
    </row>
    <row r="5042" spans="1:4" x14ac:dyDescent="0.25">
      <c r="A5042" s="45" t="s">
        <v>5069</v>
      </c>
      <c r="B5042" s="46" t="s">
        <v>16489</v>
      </c>
      <c r="C5042">
        <v>13</v>
      </c>
      <c r="D5042">
        <v>80</v>
      </c>
    </row>
    <row r="5043" spans="1:4" x14ac:dyDescent="0.25">
      <c r="A5043" s="45" t="s">
        <v>5070</v>
      </c>
      <c r="B5043" s="46" t="s">
        <v>16490</v>
      </c>
      <c r="C5043">
        <v>17</v>
      </c>
      <c r="D5043">
        <v>106</v>
      </c>
    </row>
    <row r="5044" spans="1:4" x14ac:dyDescent="0.25">
      <c r="A5044" s="45" t="s">
        <v>5071</v>
      </c>
      <c r="B5044" s="46" t="s">
        <v>16491</v>
      </c>
      <c r="C5044">
        <v>17</v>
      </c>
      <c r="D5044">
        <v>106</v>
      </c>
    </row>
    <row r="5045" spans="1:4" x14ac:dyDescent="0.25">
      <c r="A5045" s="45" t="s">
        <v>5072</v>
      </c>
      <c r="B5045" s="46" t="s">
        <v>16492</v>
      </c>
      <c r="C5045">
        <v>17</v>
      </c>
      <c r="D5045">
        <v>106</v>
      </c>
    </row>
    <row r="5046" spans="1:4" x14ac:dyDescent="0.25">
      <c r="A5046" s="45" t="s">
        <v>5073</v>
      </c>
      <c r="B5046" s="46" t="s">
        <v>16493</v>
      </c>
      <c r="C5046">
        <v>13</v>
      </c>
      <c r="D5046">
        <v>80</v>
      </c>
    </row>
    <row r="5047" spans="1:4" x14ac:dyDescent="0.25">
      <c r="A5047" s="45" t="s">
        <v>5074</v>
      </c>
      <c r="B5047" s="46" t="s">
        <v>20333</v>
      </c>
      <c r="C5047">
        <v>13</v>
      </c>
      <c r="D5047">
        <v>80</v>
      </c>
    </row>
    <row r="5048" spans="1:4" x14ac:dyDescent="0.25">
      <c r="A5048" s="45" t="s">
        <v>5075</v>
      </c>
      <c r="B5048" s="46" t="s">
        <v>20334</v>
      </c>
      <c r="C5048">
        <v>13</v>
      </c>
      <c r="D5048">
        <v>80</v>
      </c>
    </row>
    <row r="5049" spans="1:4" x14ac:dyDescent="0.25">
      <c r="A5049" s="45" t="s">
        <v>5076</v>
      </c>
      <c r="B5049" s="46" t="s">
        <v>16494</v>
      </c>
      <c r="C5049">
        <v>13</v>
      </c>
      <c r="D5049">
        <v>80</v>
      </c>
    </row>
    <row r="5050" spans="1:4" x14ac:dyDescent="0.25">
      <c r="A5050" s="45" t="s">
        <v>5077</v>
      </c>
      <c r="B5050" s="46" t="s">
        <v>20335</v>
      </c>
      <c r="C5050">
        <v>13</v>
      </c>
      <c r="D5050">
        <v>80</v>
      </c>
    </row>
    <row r="5051" spans="1:4" x14ac:dyDescent="0.25">
      <c r="A5051" s="45" t="s">
        <v>5078</v>
      </c>
      <c r="B5051" s="46" t="s">
        <v>16495</v>
      </c>
      <c r="C5051">
        <v>13</v>
      </c>
      <c r="D5051">
        <v>80</v>
      </c>
    </row>
    <row r="5052" spans="1:4" x14ac:dyDescent="0.25">
      <c r="A5052" s="45" t="s">
        <v>5079</v>
      </c>
      <c r="B5052" s="46" t="s">
        <v>16496</v>
      </c>
      <c r="C5052">
        <v>13</v>
      </c>
      <c r="D5052">
        <v>80</v>
      </c>
    </row>
    <row r="5053" spans="1:4" x14ac:dyDescent="0.25">
      <c r="A5053" s="45" t="s">
        <v>5080</v>
      </c>
      <c r="B5053" s="46" t="s">
        <v>16497</v>
      </c>
      <c r="C5053">
        <v>13</v>
      </c>
      <c r="D5053">
        <v>80</v>
      </c>
    </row>
    <row r="5054" spans="1:4" x14ac:dyDescent="0.25">
      <c r="A5054" s="45" t="s">
        <v>5081</v>
      </c>
      <c r="B5054" s="46" t="s">
        <v>16498</v>
      </c>
      <c r="C5054">
        <v>13</v>
      </c>
      <c r="D5054">
        <v>80</v>
      </c>
    </row>
    <row r="5055" spans="1:4" x14ac:dyDescent="0.25">
      <c r="A5055" s="45" t="s">
        <v>5082</v>
      </c>
      <c r="B5055" s="46" t="s">
        <v>16499</v>
      </c>
      <c r="C5055">
        <v>13</v>
      </c>
      <c r="D5055">
        <v>80</v>
      </c>
    </row>
    <row r="5056" spans="1:4" x14ac:dyDescent="0.25">
      <c r="A5056" s="45" t="s">
        <v>5083</v>
      </c>
      <c r="B5056" s="46" t="s">
        <v>16500</v>
      </c>
      <c r="C5056">
        <v>10</v>
      </c>
      <c r="D5056">
        <v>62</v>
      </c>
    </row>
    <row r="5057" spans="1:4" x14ac:dyDescent="0.25">
      <c r="A5057" s="45" t="s">
        <v>5084</v>
      </c>
      <c r="B5057" s="46" t="s">
        <v>16501</v>
      </c>
      <c r="C5057">
        <v>10</v>
      </c>
      <c r="D5057">
        <v>62</v>
      </c>
    </row>
    <row r="5058" spans="1:4" x14ac:dyDescent="0.25">
      <c r="A5058" s="45" t="s">
        <v>5085</v>
      </c>
      <c r="B5058" s="46" t="s">
        <v>20336</v>
      </c>
      <c r="C5058">
        <v>10</v>
      </c>
      <c r="D5058">
        <v>62</v>
      </c>
    </row>
    <row r="5059" spans="1:4" x14ac:dyDescent="0.25">
      <c r="A5059" s="45" t="s">
        <v>5086</v>
      </c>
      <c r="B5059" s="46" t="s">
        <v>16502</v>
      </c>
      <c r="C5059">
        <v>10</v>
      </c>
      <c r="D5059">
        <v>62</v>
      </c>
    </row>
    <row r="5060" spans="1:4" x14ac:dyDescent="0.25">
      <c r="A5060" s="45" t="s">
        <v>5087</v>
      </c>
      <c r="B5060" s="46" t="s">
        <v>16503</v>
      </c>
      <c r="C5060">
        <v>10</v>
      </c>
      <c r="D5060">
        <v>62</v>
      </c>
    </row>
    <row r="5061" spans="1:4" x14ac:dyDescent="0.25">
      <c r="A5061" s="45" t="s">
        <v>5088</v>
      </c>
      <c r="B5061" s="46" t="s">
        <v>20337</v>
      </c>
      <c r="C5061">
        <v>10</v>
      </c>
      <c r="D5061">
        <v>62</v>
      </c>
    </row>
    <row r="5062" spans="1:4" x14ac:dyDescent="0.25">
      <c r="A5062" s="45" t="s">
        <v>5089</v>
      </c>
      <c r="B5062" s="46" t="s">
        <v>20338</v>
      </c>
      <c r="C5062">
        <v>10</v>
      </c>
      <c r="D5062">
        <v>62</v>
      </c>
    </row>
    <row r="5063" spans="1:4" x14ac:dyDescent="0.25">
      <c r="A5063" s="45" t="s">
        <v>5090</v>
      </c>
      <c r="B5063" s="46" t="s">
        <v>20339</v>
      </c>
      <c r="C5063">
        <v>10</v>
      </c>
      <c r="D5063">
        <v>62</v>
      </c>
    </row>
    <row r="5064" spans="1:4" x14ac:dyDescent="0.25">
      <c r="A5064" s="45" t="s">
        <v>5091</v>
      </c>
      <c r="B5064" s="46" t="s">
        <v>20340</v>
      </c>
      <c r="C5064">
        <v>10</v>
      </c>
      <c r="D5064">
        <v>62</v>
      </c>
    </row>
    <row r="5065" spans="1:4" x14ac:dyDescent="0.25">
      <c r="A5065" s="45" t="s">
        <v>5092</v>
      </c>
      <c r="B5065" s="46" t="s">
        <v>20341</v>
      </c>
      <c r="C5065">
        <v>10</v>
      </c>
      <c r="D5065">
        <v>62</v>
      </c>
    </row>
    <row r="5066" spans="1:4" x14ac:dyDescent="0.25">
      <c r="A5066" s="45" t="s">
        <v>5093</v>
      </c>
      <c r="B5066" s="46" t="s">
        <v>20342</v>
      </c>
      <c r="C5066">
        <v>10</v>
      </c>
      <c r="D5066">
        <v>62</v>
      </c>
    </row>
    <row r="5067" spans="1:4" x14ac:dyDescent="0.25">
      <c r="A5067" s="45" t="s">
        <v>5094</v>
      </c>
      <c r="B5067" s="46" t="s">
        <v>20343</v>
      </c>
      <c r="C5067">
        <v>10</v>
      </c>
      <c r="D5067">
        <v>62</v>
      </c>
    </row>
    <row r="5068" spans="1:4" x14ac:dyDescent="0.25">
      <c r="A5068" s="45" t="s">
        <v>5095</v>
      </c>
      <c r="B5068" s="46" t="s">
        <v>20344</v>
      </c>
      <c r="C5068">
        <v>10</v>
      </c>
      <c r="D5068">
        <v>62</v>
      </c>
    </row>
    <row r="5069" spans="1:4" x14ac:dyDescent="0.25">
      <c r="A5069" s="45" t="s">
        <v>5096</v>
      </c>
      <c r="B5069" s="46" t="s">
        <v>20345</v>
      </c>
      <c r="C5069">
        <v>10</v>
      </c>
      <c r="D5069">
        <v>62</v>
      </c>
    </row>
    <row r="5070" spans="1:4" x14ac:dyDescent="0.25">
      <c r="A5070" s="45" t="s">
        <v>5097</v>
      </c>
      <c r="B5070" s="46" t="s">
        <v>20346</v>
      </c>
      <c r="C5070">
        <v>10</v>
      </c>
      <c r="D5070">
        <v>62</v>
      </c>
    </row>
    <row r="5071" spans="1:4" x14ac:dyDescent="0.25">
      <c r="A5071" s="45" t="s">
        <v>5098</v>
      </c>
      <c r="B5071" s="46" t="s">
        <v>20347</v>
      </c>
      <c r="C5071">
        <v>10</v>
      </c>
      <c r="D5071">
        <v>62</v>
      </c>
    </row>
    <row r="5072" spans="1:4" x14ac:dyDescent="0.25">
      <c r="A5072" s="45" t="s">
        <v>5099</v>
      </c>
      <c r="B5072" s="46" t="s">
        <v>20348</v>
      </c>
      <c r="C5072">
        <v>10</v>
      </c>
      <c r="D5072">
        <v>62</v>
      </c>
    </row>
    <row r="5073" spans="1:4" x14ac:dyDescent="0.25">
      <c r="A5073" s="45" t="s">
        <v>5100</v>
      </c>
      <c r="B5073" s="46" t="s">
        <v>20349</v>
      </c>
      <c r="C5073">
        <v>10</v>
      </c>
      <c r="D5073">
        <v>62</v>
      </c>
    </row>
    <row r="5074" spans="1:4" x14ac:dyDescent="0.25">
      <c r="A5074" s="45" t="s">
        <v>5101</v>
      </c>
      <c r="B5074" s="46" t="s">
        <v>20350</v>
      </c>
      <c r="C5074">
        <v>10</v>
      </c>
      <c r="D5074">
        <v>62</v>
      </c>
    </row>
    <row r="5075" spans="1:4" x14ac:dyDescent="0.25">
      <c r="A5075" s="45" t="s">
        <v>5102</v>
      </c>
      <c r="B5075" s="46" t="s">
        <v>20351</v>
      </c>
      <c r="C5075">
        <v>10</v>
      </c>
      <c r="D5075">
        <v>62</v>
      </c>
    </row>
    <row r="5076" spans="1:4" x14ac:dyDescent="0.25">
      <c r="A5076" s="45" t="s">
        <v>5103</v>
      </c>
      <c r="B5076" s="46" t="s">
        <v>20352</v>
      </c>
      <c r="C5076">
        <v>10</v>
      </c>
      <c r="D5076">
        <v>63</v>
      </c>
    </row>
    <row r="5077" spans="1:4" x14ac:dyDescent="0.25">
      <c r="A5077" s="45" t="s">
        <v>5104</v>
      </c>
      <c r="B5077" s="46" t="s">
        <v>20353</v>
      </c>
      <c r="C5077">
        <v>10</v>
      </c>
      <c r="D5077">
        <v>63</v>
      </c>
    </row>
    <row r="5078" spans="1:4" x14ac:dyDescent="0.25">
      <c r="A5078" s="45" t="s">
        <v>5105</v>
      </c>
      <c r="B5078" s="46" t="s">
        <v>20354</v>
      </c>
      <c r="C5078">
        <v>10</v>
      </c>
      <c r="D5078">
        <v>63</v>
      </c>
    </row>
    <row r="5079" spans="1:4" x14ac:dyDescent="0.25">
      <c r="A5079" s="45" t="s">
        <v>5106</v>
      </c>
      <c r="B5079" s="46" t="s">
        <v>20355</v>
      </c>
      <c r="C5079">
        <v>10</v>
      </c>
      <c r="D5079">
        <v>63</v>
      </c>
    </row>
    <row r="5080" spans="1:4" x14ac:dyDescent="0.25">
      <c r="A5080" s="45" t="s">
        <v>5107</v>
      </c>
      <c r="B5080" s="46" t="s">
        <v>20356</v>
      </c>
      <c r="C5080">
        <v>10</v>
      </c>
      <c r="D5080">
        <v>63</v>
      </c>
    </row>
    <row r="5081" spans="1:4" x14ac:dyDescent="0.25">
      <c r="A5081" s="45" t="s">
        <v>5108</v>
      </c>
      <c r="B5081" s="46" t="s">
        <v>20357</v>
      </c>
      <c r="C5081">
        <v>10</v>
      </c>
      <c r="D5081">
        <v>63</v>
      </c>
    </row>
    <row r="5082" spans="1:4" x14ac:dyDescent="0.25">
      <c r="A5082" s="45" t="s">
        <v>5109</v>
      </c>
      <c r="B5082" s="46" t="s">
        <v>20358</v>
      </c>
      <c r="C5082">
        <v>10</v>
      </c>
      <c r="D5082">
        <v>63</v>
      </c>
    </row>
    <row r="5083" spans="1:4" x14ac:dyDescent="0.25">
      <c r="A5083" s="45" t="s">
        <v>5110</v>
      </c>
      <c r="B5083" s="46" t="s">
        <v>20359</v>
      </c>
      <c r="C5083">
        <v>10</v>
      </c>
      <c r="D5083">
        <v>63</v>
      </c>
    </row>
    <row r="5084" spans="1:4" x14ac:dyDescent="0.25">
      <c r="A5084" s="45" t="s">
        <v>5111</v>
      </c>
      <c r="B5084" s="46" t="s">
        <v>20360</v>
      </c>
      <c r="C5084">
        <v>10</v>
      </c>
      <c r="D5084">
        <v>63</v>
      </c>
    </row>
    <row r="5085" spans="1:4" x14ac:dyDescent="0.25">
      <c r="A5085" s="45" t="s">
        <v>5112</v>
      </c>
      <c r="B5085" s="46" t="s">
        <v>20361</v>
      </c>
      <c r="C5085">
        <v>10</v>
      </c>
      <c r="D5085">
        <v>62</v>
      </c>
    </row>
    <row r="5086" spans="1:4" x14ac:dyDescent="0.25">
      <c r="A5086" s="45" t="s">
        <v>5113</v>
      </c>
      <c r="B5086" s="46" t="s">
        <v>20362</v>
      </c>
      <c r="C5086">
        <v>10</v>
      </c>
      <c r="D5086">
        <v>62</v>
      </c>
    </row>
    <row r="5087" spans="1:4" x14ac:dyDescent="0.25">
      <c r="A5087" s="45" t="s">
        <v>5114</v>
      </c>
      <c r="B5087" s="46" t="s">
        <v>20363</v>
      </c>
      <c r="C5087">
        <v>10</v>
      </c>
      <c r="D5087">
        <v>62</v>
      </c>
    </row>
    <row r="5088" spans="1:4" x14ac:dyDescent="0.25">
      <c r="A5088" s="45" t="s">
        <v>5115</v>
      </c>
      <c r="B5088" s="46" t="s">
        <v>20364</v>
      </c>
      <c r="C5088">
        <v>10</v>
      </c>
      <c r="D5088">
        <v>62</v>
      </c>
    </row>
    <row r="5089" spans="1:4" x14ac:dyDescent="0.25">
      <c r="A5089" s="45" t="s">
        <v>5116</v>
      </c>
      <c r="B5089" s="46" t="s">
        <v>20365</v>
      </c>
      <c r="C5089">
        <v>10</v>
      </c>
      <c r="D5089">
        <v>62</v>
      </c>
    </row>
    <row r="5090" spans="1:4" x14ac:dyDescent="0.25">
      <c r="A5090" s="45" t="s">
        <v>5117</v>
      </c>
      <c r="B5090" s="46" t="s">
        <v>20366</v>
      </c>
      <c r="C5090">
        <v>10</v>
      </c>
      <c r="D5090">
        <v>62</v>
      </c>
    </row>
    <row r="5091" spans="1:4" x14ac:dyDescent="0.25">
      <c r="A5091" s="45" t="s">
        <v>5118</v>
      </c>
      <c r="B5091" s="46" t="s">
        <v>20367</v>
      </c>
      <c r="C5091">
        <v>10</v>
      </c>
      <c r="D5091">
        <v>62</v>
      </c>
    </row>
    <row r="5092" spans="1:4" x14ac:dyDescent="0.25">
      <c r="A5092" s="45" t="s">
        <v>5119</v>
      </c>
      <c r="B5092" s="46" t="s">
        <v>20368</v>
      </c>
      <c r="C5092">
        <v>10</v>
      </c>
      <c r="D5092">
        <v>62</v>
      </c>
    </row>
    <row r="5093" spans="1:4" x14ac:dyDescent="0.25">
      <c r="A5093" s="45" t="s">
        <v>5120</v>
      </c>
      <c r="B5093" s="46" t="s">
        <v>20369</v>
      </c>
      <c r="C5093">
        <v>10</v>
      </c>
      <c r="D5093">
        <v>62</v>
      </c>
    </row>
    <row r="5094" spans="1:4" x14ac:dyDescent="0.25">
      <c r="A5094" s="45" t="s">
        <v>5121</v>
      </c>
      <c r="B5094" s="46" t="s">
        <v>20370</v>
      </c>
      <c r="C5094">
        <v>10</v>
      </c>
      <c r="D5094">
        <v>62</v>
      </c>
    </row>
    <row r="5095" spans="1:4" x14ac:dyDescent="0.25">
      <c r="A5095" s="45" t="s">
        <v>5122</v>
      </c>
      <c r="B5095" s="46" t="s">
        <v>20371</v>
      </c>
      <c r="C5095">
        <v>10</v>
      </c>
      <c r="D5095">
        <v>62</v>
      </c>
    </row>
    <row r="5096" spans="1:4" x14ac:dyDescent="0.25">
      <c r="A5096" s="45" t="s">
        <v>5123</v>
      </c>
      <c r="B5096" s="46" t="s">
        <v>20372</v>
      </c>
      <c r="C5096">
        <v>10</v>
      </c>
      <c r="D5096">
        <v>62</v>
      </c>
    </row>
    <row r="5097" spans="1:4" x14ac:dyDescent="0.25">
      <c r="A5097" s="45" t="s">
        <v>5124</v>
      </c>
      <c r="B5097" s="46" t="s">
        <v>20373</v>
      </c>
      <c r="C5097">
        <v>10</v>
      </c>
      <c r="D5097">
        <v>62</v>
      </c>
    </row>
    <row r="5098" spans="1:4" x14ac:dyDescent="0.25">
      <c r="A5098" s="45" t="s">
        <v>5125</v>
      </c>
      <c r="B5098" s="46" t="s">
        <v>20374</v>
      </c>
      <c r="C5098">
        <v>10</v>
      </c>
      <c r="D5098">
        <v>62</v>
      </c>
    </row>
    <row r="5099" spans="1:4" x14ac:dyDescent="0.25">
      <c r="A5099" s="45" t="s">
        <v>5126</v>
      </c>
      <c r="B5099" s="46" t="s">
        <v>20375</v>
      </c>
      <c r="C5099">
        <v>10</v>
      </c>
      <c r="D5099">
        <v>62</v>
      </c>
    </row>
    <row r="5100" spans="1:4" x14ac:dyDescent="0.25">
      <c r="A5100" s="45" t="s">
        <v>5127</v>
      </c>
      <c r="B5100" s="46" t="s">
        <v>20376</v>
      </c>
      <c r="C5100">
        <v>10</v>
      </c>
      <c r="D5100">
        <v>62</v>
      </c>
    </row>
    <row r="5101" spans="1:4" x14ac:dyDescent="0.25">
      <c r="A5101" s="45" t="s">
        <v>5128</v>
      </c>
      <c r="B5101" s="46" t="s">
        <v>20377</v>
      </c>
      <c r="C5101">
        <v>10</v>
      </c>
      <c r="D5101">
        <v>62</v>
      </c>
    </row>
    <row r="5102" spans="1:4" x14ac:dyDescent="0.25">
      <c r="A5102" s="45" t="s">
        <v>5129</v>
      </c>
      <c r="B5102" s="46" t="s">
        <v>20378</v>
      </c>
      <c r="C5102">
        <v>10</v>
      </c>
      <c r="D5102">
        <v>62</v>
      </c>
    </row>
    <row r="5103" spans="1:4" x14ac:dyDescent="0.25">
      <c r="A5103" s="45" t="s">
        <v>5130</v>
      </c>
      <c r="B5103" s="46" t="s">
        <v>20379</v>
      </c>
      <c r="C5103">
        <v>10</v>
      </c>
      <c r="D5103">
        <v>62</v>
      </c>
    </row>
    <row r="5104" spans="1:4" x14ac:dyDescent="0.25">
      <c r="A5104" s="45" t="s">
        <v>5131</v>
      </c>
      <c r="B5104" s="46" t="s">
        <v>20380</v>
      </c>
      <c r="C5104">
        <v>10</v>
      </c>
      <c r="D5104">
        <v>62</v>
      </c>
    </row>
    <row r="5105" spans="1:4" x14ac:dyDescent="0.25">
      <c r="A5105" s="45" t="s">
        <v>5132</v>
      </c>
      <c r="B5105" s="46" t="s">
        <v>20381</v>
      </c>
      <c r="C5105">
        <v>10</v>
      </c>
      <c r="D5105">
        <v>62</v>
      </c>
    </row>
    <row r="5106" spans="1:4" x14ac:dyDescent="0.25">
      <c r="A5106" s="45" t="s">
        <v>5133</v>
      </c>
      <c r="B5106" s="46" t="s">
        <v>20382</v>
      </c>
      <c r="C5106">
        <v>10</v>
      </c>
      <c r="D5106">
        <v>62</v>
      </c>
    </row>
    <row r="5107" spans="1:4" x14ac:dyDescent="0.25">
      <c r="A5107" s="45" t="s">
        <v>5134</v>
      </c>
      <c r="B5107" s="46" t="s">
        <v>20383</v>
      </c>
      <c r="C5107">
        <v>10</v>
      </c>
      <c r="D5107">
        <v>62</v>
      </c>
    </row>
    <row r="5108" spans="1:4" x14ac:dyDescent="0.25">
      <c r="A5108" s="45" t="s">
        <v>5135</v>
      </c>
      <c r="B5108" s="46" t="s">
        <v>20384</v>
      </c>
      <c r="C5108">
        <v>10</v>
      </c>
      <c r="D5108">
        <v>62</v>
      </c>
    </row>
    <row r="5109" spans="1:4" x14ac:dyDescent="0.25">
      <c r="A5109" s="45" t="s">
        <v>5136</v>
      </c>
      <c r="B5109" s="46" t="s">
        <v>20385</v>
      </c>
      <c r="C5109">
        <v>10</v>
      </c>
      <c r="D5109">
        <v>62</v>
      </c>
    </row>
    <row r="5110" spans="1:4" x14ac:dyDescent="0.25">
      <c r="A5110" s="45" t="s">
        <v>5137</v>
      </c>
      <c r="B5110" s="46" t="s">
        <v>20386</v>
      </c>
      <c r="C5110">
        <v>10</v>
      </c>
      <c r="D5110">
        <v>62</v>
      </c>
    </row>
    <row r="5111" spans="1:4" x14ac:dyDescent="0.25">
      <c r="A5111" s="45" t="s">
        <v>5138</v>
      </c>
      <c r="B5111" s="46" t="s">
        <v>20387</v>
      </c>
      <c r="C5111">
        <v>10</v>
      </c>
      <c r="D5111">
        <v>62</v>
      </c>
    </row>
    <row r="5112" spans="1:4" x14ac:dyDescent="0.25">
      <c r="A5112" s="45" t="s">
        <v>5139</v>
      </c>
      <c r="B5112" s="46" t="s">
        <v>20388</v>
      </c>
      <c r="C5112">
        <v>10</v>
      </c>
      <c r="D5112">
        <v>62</v>
      </c>
    </row>
    <row r="5113" spans="1:4" x14ac:dyDescent="0.25">
      <c r="A5113" s="45" t="s">
        <v>5140</v>
      </c>
      <c r="B5113" s="46" t="s">
        <v>20389</v>
      </c>
      <c r="C5113">
        <v>10</v>
      </c>
      <c r="D5113">
        <v>62</v>
      </c>
    </row>
    <row r="5114" spans="1:4" x14ac:dyDescent="0.25">
      <c r="A5114" s="45" t="s">
        <v>5141</v>
      </c>
      <c r="B5114" s="46" t="s">
        <v>20390</v>
      </c>
      <c r="C5114">
        <v>10</v>
      </c>
      <c r="D5114">
        <v>62</v>
      </c>
    </row>
    <row r="5115" spans="1:4" x14ac:dyDescent="0.25">
      <c r="A5115" s="45" t="s">
        <v>5142</v>
      </c>
      <c r="B5115" s="46" t="s">
        <v>20391</v>
      </c>
      <c r="C5115">
        <v>10</v>
      </c>
      <c r="D5115">
        <v>62</v>
      </c>
    </row>
    <row r="5116" spans="1:4" x14ac:dyDescent="0.25">
      <c r="A5116" s="45" t="s">
        <v>5143</v>
      </c>
      <c r="B5116" s="46" t="s">
        <v>20392</v>
      </c>
      <c r="C5116">
        <v>10</v>
      </c>
      <c r="D5116">
        <v>63</v>
      </c>
    </row>
    <row r="5117" spans="1:4" x14ac:dyDescent="0.25">
      <c r="A5117" s="45" t="s">
        <v>5144</v>
      </c>
      <c r="B5117" s="46" t="s">
        <v>20393</v>
      </c>
      <c r="C5117">
        <v>10</v>
      </c>
      <c r="D5117">
        <v>63</v>
      </c>
    </row>
    <row r="5118" spans="1:4" x14ac:dyDescent="0.25">
      <c r="A5118" s="45" t="s">
        <v>5145</v>
      </c>
      <c r="B5118" s="46" t="s">
        <v>20394</v>
      </c>
      <c r="C5118">
        <v>10</v>
      </c>
      <c r="D5118">
        <v>63</v>
      </c>
    </row>
    <row r="5119" spans="1:4" x14ac:dyDescent="0.25">
      <c r="A5119" s="45" t="s">
        <v>5146</v>
      </c>
      <c r="B5119" s="46" t="s">
        <v>20395</v>
      </c>
      <c r="C5119">
        <v>10</v>
      </c>
      <c r="D5119">
        <v>63</v>
      </c>
    </row>
    <row r="5120" spans="1:4" x14ac:dyDescent="0.25">
      <c r="A5120" s="45" t="s">
        <v>5147</v>
      </c>
      <c r="B5120" s="46" t="s">
        <v>20396</v>
      </c>
      <c r="C5120">
        <v>10</v>
      </c>
      <c r="D5120">
        <v>63</v>
      </c>
    </row>
    <row r="5121" spans="1:4" x14ac:dyDescent="0.25">
      <c r="A5121" s="45" t="s">
        <v>5148</v>
      </c>
      <c r="B5121" s="46" t="s">
        <v>20397</v>
      </c>
      <c r="C5121">
        <v>10</v>
      </c>
      <c r="D5121">
        <v>63</v>
      </c>
    </row>
    <row r="5122" spans="1:4" x14ac:dyDescent="0.25">
      <c r="A5122" s="45" t="s">
        <v>5149</v>
      </c>
      <c r="B5122" s="46" t="s">
        <v>20398</v>
      </c>
      <c r="C5122">
        <v>10</v>
      </c>
      <c r="D5122">
        <v>63</v>
      </c>
    </row>
    <row r="5123" spans="1:4" x14ac:dyDescent="0.25">
      <c r="A5123" s="45" t="s">
        <v>5150</v>
      </c>
      <c r="B5123" s="46" t="s">
        <v>20399</v>
      </c>
      <c r="C5123">
        <v>10</v>
      </c>
      <c r="D5123">
        <v>63</v>
      </c>
    </row>
    <row r="5124" spans="1:4" x14ac:dyDescent="0.25">
      <c r="A5124" s="45" t="s">
        <v>5151</v>
      </c>
      <c r="B5124" s="46" t="s">
        <v>20400</v>
      </c>
      <c r="C5124">
        <v>10</v>
      </c>
      <c r="D5124">
        <v>63</v>
      </c>
    </row>
    <row r="5125" spans="1:4" x14ac:dyDescent="0.25">
      <c r="A5125" s="45" t="s">
        <v>5152</v>
      </c>
      <c r="B5125" s="46" t="s">
        <v>20401</v>
      </c>
      <c r="C5125">
        <v>10</v>
      </c>
      <c r="D5125">
        <v>63</v>
      </c>
    </row>
    <row r="5126" spans="1:4" x14ac:dyDescent="0.25">
      <c r="A5126" s="45" t="s">
        <v>5153</v>
      </c>
      <c r="B5126" s="46" t="s">
        <v>20402</v>
      </c>
      <c r="C5126">
        <v>10</v>
      </c>
      <c r="D5126">
        <v>62</v>
      </c>
    </row>
    <row r="5127" spans="1:4" x14ac:dyDescent="0.25">
      <c r="A5127" s="45" t="s">
        <v>5154</v>
      </c>
      <c r="B5127" s="46" t="s">
        <v>20403</v>
      </c>
      <c r="C5127">
        <v>10</v>
      </c>
      <c r="D5127">
        <v>62</v>
      </c>
    </row>
    <row r="5128" spans="1:4" x14ac:dyDescent="0.25">
      <c r="A5128" s="45" t="s">
        <v>5155</v>
      </c>
      <c r="B5128" s="46" t="s">
        <v>20404</v>
      </c>
      <c r="C5128">
        <v>10</v>
      </c>
      <c r="D5128">
        <v>62</v>
      </c>
    </row>
    <row r="5129" spans="1:4" x14ac:dyDescent="0.25">
      <c r="A5129" s="45" t="s">
        <v>5156</v>
      </c>
      <c r="B5129" s="46" t="s">
        <v>20405</v>
      </c>
      <c r="C5129">
        <v>10</v>
      </c>
      <c r="D5129">
        <v>62</v>
      </c>
    </row>
    <row r="5130" spans="1:4" x14ac:dyDescent="0.25">
      <c r="A5130" s="45" t="s">
        <v>5157</v>
      </c>
      <c r="B5130" s="46" t="s">
        <v>20406</v>
      </c>
      <c r="C5130">
        <v>10</v>
      </c>
      <c r="D5130">
        <v>62</v>
      </c>
    </row>
    <row r="5131" spans="1:4" x14ac:dyDescent="0.25">
      <c r="A5131" s="45" t="s">
        <v>5158</v>
      </c>
      <c r="B5131" s="46" t="s">
        <v>20407</v>
      </c>
      <c r="C5131">
        <v>10</v>
      </c>
      <c r="D5131">
        <v>62</v>
      </c>
    </row>
    <row r="5132" spans="1:4" x14ac:dyDescent="0.25">
      <c r="A5132" s="45" t="s">
        <v>5159</v>
      </c>
      <c r="B5132" s="46" t="s">
        <v>20408</v>
      </c>
      <c r="C5132">
        <v>10</v>
      </c>
      <c r="D5132">
        <v>62</v>
      </c>
    </row>
    <row r="5133" spans="1:4" x14ac:dyDescent="0.25">
      <c r="A5133" s="45" t="s">
        <v>5160</v>
      </c>
      <c r="B5133" s="46" t="s">
        <v>20409</v>
      </c>
      <c r="C5133">
        <v>10</v>
      </c>
      <c r="D5133">
        <v>62</v>
      </c>
    </row>
    <row r="5134" spans="1:4" x14ac:dyDescent="0.25">
      <c r="A5134" s="45" t="s">
        <v>5161</v>
      </c>
      <c r="B5134" s="46" t="s">
        <v>20410</v>
      </c>
      <c r="C5134">
        <v>10</v>
      </c>
      <c r="D5134">
        <v>62</v>
      </c>
    </row>
    <row r="5135" spans="1:4" x14ac:dyDescent="0.25">
      <c r="A5135" s="45" t="s">
        <v>5162</v>
      </c>
      <c r="B5135" s="46" t="s">
        <v>20411</v>
      </c>
      <c r="C5135">
        <v>10</v>
      </c>
      <c r="D5135">
        <v>62</v>
      </c>
    </row>
    <row r="5136" spans="1:4" x14ac:dyDescent="0.25">
      <c r="A5136" s="45" t="s">
        <v>5163</v>
      </c>
      <c r="B5136" s="46" t="s">
        <v>20412</v>
      </c>
      <c r="C5136">
        <v>10</v>
      </c>
      <c r="D5136">
        <v>62</v>
      </c>
    </row>
    <row r="5137" spans="1:4" x14ac:dyDescent="0.25">
      <c r="A5137" s="45" t="s">
        <v>5164</v>
      </c>
      <c r="B5137" s="46" t="s">
        <v>20413</v>
      </c>
      <c r="C5137">
        <v>10</v>
      </c>
      <c r="D5137">
        <v>62</v>
      </c>
    </row>
    <row r="5138" spans="1:4" x14ac:dyDescent="0.25">
      <c r="A5138" s="45" t="s">
        <v>5165</v>
      </c>
      <c r="B5138" s="46" t="s">
        <v>20414</v>
      </c>
      <c r="C5138">
        <v>10</v>
      </c>
      <c r="D5138">
        <v>62</v>
      </c>
    </row>
    <row r="5139" spans="1:4" x14ac:dyDescent="0.25">
      <c r="A5139" s="45" t="s">
        <v>5166</v>
      </c>
      <c r="B5139" s="46" t="s">
        <v>20415</v>
      </c>
      <c r="C5139">
        <v>10</v>
      </c>
      <c r="D5139">
        <v>62</v>
      </c>
    </row>
    <row r="5140" spans="1:4" x14ac:dyDescent="0.25">
      <c r="A5140" s="45" t="s">
        <v>5167</v>
      </c>
      <c r="B5140" s="46" t="s">
        <v>20416</v>
      </c>
      <c r="C5140">
        <v>10</v>
      </c>
      <c r="D5140">
        <v>62</v>
      </c>
    </row>
    <row r="5141" spans="1:4" x14ac:dyDescent="0.25">
      <c r="A5141" s="45" t="s">
        <v>5168</v>
      </c>
      <c r="B5141" s="46" t="s">
        <v>20417</v>
      </c>
      <c r="C5141">
        <v>7</v>
      </c>
      <c r="D5141">
        <v>47</v>
      </c>
    </row>
    <row r="5142" spans="1:4" x14ac:dyDescent="0.25">
      <c r="A5142" s="45" t="s">
        <v>5169</v>
      </c>
      <c r="B5142" s="46" t="s">
        <v>16504</v>
      </c>
      <c r="C5142">
        <v>10</v>
      </c>
      <c r="D5142">
        <v>62</v>
      </c>
    </row>
    <row r="5143" spans="1:4" x14ac:dyDescent="0.25">
      <c r="A5143" s="45" t="s">
        <v>5170</v>
      </c>
      <c r="B5143" s="46" t="s">
        <v>20418</v>
      </c>
      <c r="C5143">
        <v>10</v>
      </c>
      <c r="D5143">
        <v>63</v>
      </c>
    </row>
    <row r="5144" spans="1:4" x14ac:dyDescent="0.25">
      <c r="A5144" s="45" t="s">
        <v>5171</v>
      </c>
      <c r="B5144" s="46" t="s">
        <v>20419</v>
      </c>
      <c r="C5144">
        <v>10</v>
      </c>
      <c r="D5144">
        <v>63</v>
      </c>
    </row>
    <row r="5145" spans="1:4" x14ac:dyDescent="0.25">
      <c r="A5145" s="45" t="s">
        <v>5172</v>
      </c>
      <c r="B5145" s="46" t="s">
        <v>20420</v>
      </c>
      <c r="C5145">
        <v>10</v>
      </c>
      <c r="D5145">
        <v>63</v>
      </c>
    </row>
    <row r="5146" spans="1:4" x14ac:dyDescent="0.25">
      <c r="A5146" s="45" t="s">
        <v>5173</v>
      </c>
      <c r="B5146" s="46" t="s">
        <v>16505</v>
      </c>
      <c r="C5146">
        <v>10</v>
      </c>
      <c r="D5146">
        <v>63</v>
      </c>
    </row>
    <row r="5147" spans="1:4" x14ac:dyDescent="0.25">
      <c r="A5147" s="45" t="s">
        <v>5174</v>
      </c>
      <c r="B5147" s="46" t="s">
        <v>20421</v>
      </c>
      <c r="C5147">
        <v>10</v>
      </c>
      <c r="D5147">
        <v>63</v>
      </c>
    </row>
    <row r="5148" spans="1:4" x14ac:dyDescent="0.25">
      <c r="A5148" s="45" t="s">
        <v>5175</v>
      </c>
      <c r="B5148" s="46" t="s">
        <v>16506</v>
      </c>
      <c r="C5148">
        <v>10</v>
      </c>
      <c r="D5148">
        <v>62</v>
      </c>
    </row>
    <row r="5149" spans="1:4" x14ac:dyDescent="0.25">
      <c r="A5149" s="45" t="s">
        <v>5176</v>
      </c>
      <c r="B5149" s="46" t="s">
        <v>16507</v>
      </c>
      <c r="C5149">
        <v>10</v>
      </c>
      <c r="D5149">
        <v>63</v>
      </c>
    </row>
    <row r="5150" spans="1:4" x14ac:dyDescent="0.25">
      <c r="A5150" s="45" t="s">
        <v>5177</v>
      </c>
      <c r="B5150" s="46" t="s">
        <v>16508</v>
      </c>
      <c r="C5150">
        <v>10</v>
      </c>
      <c r="D5150">
        <v>63</v>
      </c>
    </row>
    <row r="5151" spans="1:4" x14ac:dyDescent="0.25">
      <c r="A5151" s="45" t="s">
        <v>5178</v>
      </c>
      <c r="B5151" s="46" t="s">
        <v>16509</v>
      </c>
      <c r="C5151">
        <v>10</v>
      </c>
      <c r="D5151">
        <v>63</v>
      </c>
    </row>
    <row r="5152" spans="1:4" x14ac:dyDescent="0.25">
      <c r="A5152" s="45" t="s">
        <v>5179</v>
      </c>
      <c r="B5152" s="46" t="s">
        <v>16510</v>
      </c>
      <c r="C5152">
        <v>10</v>
      </c>
      <c r="D5152">
        <v>63</v>
      </c>
    </row>
    <row r="5153" spans="1:4" x14ac:dyDescent="0.25">
      <c r="A5153" s="45" t="s">
        <v>5180</v>
      </c>
      <c r="B5153" s="46" t="s">
        <v>16511</v>
      </c>
      <c r="C5153">
        <v>10</v>
      </c>
      <c r="D5153">
        <v>63</v>
      </c>
    </row>
    <row r="5154" spans="1:4" x14ac:dyDescent="0.25">
      <c r="A5154" s="45" t="s">
        <v>5181</v>
      </c>
      <c r="B5154" s="46" t="s">
        <v>16512</v>
      </c>
      <c r="C5154">
        <v>10</v>
      </c>
      <c r="D5154">
        <v>63</v>
      </c>
    </row>
    <row r="5155" spans="1:4" x14ac:dyDescent="0.25">
      <c r="A5155" s="45" t="s">
        <v>5182</v>
      </c>
      <c r="B5155" s="46" t="s">
        <v>16513</v>
      </c>
      <c r="C5155">
        <v>10</v>
      </c>
      <c r="D5155">
        <v>63</v>
      </c>
    </row>
    <row r="5156" spans="1:4" x14ac:dyDescent="0.25">
      <c r="A5156" s="45" t="s">
        <v>5183</v>
      </c>
      <c r="B5156" s="46" t="s">
        <v>16514</v>
      </c>
      <c r="C5156">
        <v>10</v>
      </c>
      <c r="D5156">
        <v>63</v>
      </c>
    </row>
    <row r="5157" spans="1:4" x14ac:dyDescent="0.25">
      <c r="A5157" s="45" t="s">
        <v>5184</v>
      </c>
      <c r="B5157" s="46" t="s">
        <v>16515</v>
      </c>
      <c r="C5157">
        <v>10</v>
      </c>
      <c r="D5157">
        <v>63</v>
      </c>
    </row>
    <row r="5158" spans="1:4" x14ac:dyDescent="0.25">
      <c r="A5158" s="45" t="s">
        <v>5185</v>
      </c>
      <c r="B5158" s="46" t="s">
        <v>16516</v>
      </c>
      <c r="C5158">
        <v>10</v>
      </c>
      <c r="D5158">
        <v>63</v>
      </c>
    </row>
    <row r="5159" spans="1:4" x14ac:dyDescent="0.25">
      <c r="A5159" s="45" t="s">
        <v>5186</v>
      </c>
      <c r="B5159" s="46" t="s">
        <v>16517</v>
      </c>
      <c r="C5159">
        <v>10</v>
      </c>
      <c r="D5159">
        <v>62</v>
      </c>
    </row>
    <row r="5160" spans="1:4" x14ac:dyDescent="0.25">
      <c r="A5160" s="45" t="s">
        <v>5187</v>
      </c>
      <c r="B5160" s="46" t="s">
        <v>16518</v>
      </c>
      <c r="C5160">
        <v>10</v>
      </c>
      <c r="D5160">
        <v>62</v>
      </c>
    </row>
    <row r="5161" spans="1:4" x14ac:dyDescent="0.25">
      <c r="A5161" s="45" t="s">
        <v>5188</v>
      </c>
      <c r="B5161" s="46" t="s">
        <v>16519</v>
      </c>
      <c r="C5161">
        <v>10</v>
      </c>
      <c r="D5161">
        <v>62</v>
      </c>
    </row>
    <row r="5162" spans="1:4" x14ac:dyDescent="0.25">
      <c r="A5162" s="45" t="s">
        <v>5189</v>
      </c>
      <c r="B5162" s="46" t="s">
        <v>20422</v>
      </c>
      <c r="C5162">
        <v>17</v>
      </c>
      <c r="D5162">
        <v>104</v>
      </c>
    </row>
    <row r="5163" spans="1:4" x14ac:dyDescent="0.25">
      <c r="A5163" s="45" t="s">
        <v>5190</v>
      </c>
      <c r="B5163" s="46" t="s">
        <v>20423</v>
      </c>
      <c r="C5163">
        <v>10</v>
      </c>
      <c r="D5163">
        <v>62</v>
      </c>
    </row>
    <row r="5164" spans="1:4" x14ac:dyDescent="0.25">
      <c r="A5164" s="45" t="s">
        <v>5191</v>
      </c>
      <c r="B5164" s="46" t="s">
        <v>16520</v>
      </c>
      <c r="C5164">
        <v>10</v>
      </c>
      <c r="D5164">
        <v>62</v>
      </c>
    </row>
    <row r="5165" spans="1:4" x14ac:dyDescent="0.25">
      <c r="A5165" s="45" t="s">
        <v>5192</v>
      </c>
      <c r="B5165" s="46" t="s">
        <v>20424</v>
      </c>
      <c r="C5165">
        <v>10</v>
      </c>
      <c r="D5165">
        <v>63</v>
      </c>
    </row>
    <row r="5166" spans="1:4" x14ac:dyDescent="0.25">
      <c r="A5166" s="45" t="s">
        <v>5193</v>
      </c>
      <c r="B5166" s="46" t="s">
        <v>20425</v>
      </c>
      <c r="C5166">
        <v>10</v>
      </c>
      <c r="D5166">
        <v>63</v>
      </c>
    </row>
    <row r="5167" spans="1:4" x14ac:dyDescent="0.25">
      <c r="A5167" s="45" t="s">
        <v>5194</v>
      </c>
      <c r="B5167" s="46" t="s">
        <v>16521</v>
      </c>
      <c r="C5167">
        <v>10</v>
      </c>
      <c r="D5167">
        <v>63</v>
      </c>
    </row>
    <row r="5168" spans="1:4" x14ac:dyDescent="0.25">
      <c r="A5168" s="45" t="s">
        <v>5195</v>
      </c>
      <c r="B5168" s="46" t="s">
        <v>20426</v>
      </c>
      <c r="C5168">
        <v>10</v>
      </c>
      <c r="D5168">
        <v>63</v>
      </c>
    </row>
    <row r="5169" spans="1:4" x14ac:dyDescent="0.25">
      <c r="A5169" s="45" t="s">
        <v>5196</v>
      </c>
      <c r="B5169" s="46" t="s">
        <v>16522</v>
      </c>
      <c r="C5169">
        <v>10</v>
      </c>
      <c r="D5169">
        <v>63</v>
      </c>
    </row>
    <row r="5170" spans="1:4" x14ac:dyDescent="0.25">
      <c r="A5170" s="45" t="s">
        <v>5197</v>
      </c>
      <c r="B5170" s="46" t="s">
        <v>16523</v>
      </c>
      <c r="C5170">
        <v>10</v>
      </c>
      <c r="D5170">
        <v>63</v>
      </c>
    </row>
    <row r="5171" spans="1:4" x14ac:dyDescent="0.25">
      <c r="A5171" s="45" t="s">
        <v>5198</v>
      </c>
      <c r="B5171" s="46" t="s">
        <v>16524</v>
      </c>
      <c r="C5171">
        <v>10</v>
      </c>
      <c r="D5171">
        <v>62</v>
      </c>
    </row>
    <row r="5172" spans="1:4" x14ac:dyDescent="0.25">
      <c r="A5172" s="45" t="s">
        <v>5199</v>
      </c>
      <c r="B5172" s="46" t="s">
        <v>16525</v>
      </c>
      <c r="C5172">
        <v>10</v>
      </c>
      <c r="D5172">
        <v>63</v>
      </c>
    </row>
    <row r="5173" spans="1:4" x14ac:dyDescent="0.25">
      <c r="A5173" s="45" t="s">
        <v>5200</v>
      </c>
      <c r="B5173" s="46" t="s">
        <v>20427</v>
      </c>
      <c r="C5173">
        <v>10</v>
      </c>
      <c r="D5173">
        <v>63</v>
      </c>
    </row>
    <row r="5174" spans="1:4" x14ac:dyDescent="0.25">
      <c r="A5174" s="45" t="s">
        <v>5201</v>
      </c>
      <c r="B5174" s="46" t="s">
        <v>16526</v>
      </c>
      <c r="C5174">
        <v>10</v>
      </c>
      <c r="D5174">
        <v>63</v>
      </c>
    </row>
    <row r="5175" spans="1:4" x14ac:dyDescent="0.25">
      <c r="A5175" s="45" t="s">
        <v>5202</v>
      </c>
      <c r="B5175" s="46" t="s">
        <v>20428</v>
      </c>
      <c r="C5175">
        <v>10</v>
      </c>
      <c r="D5175">
        <v>62</v>
      </c>
    </row>
    <row r="5176" spans="1:4" x14ac:dyDescent="0.25">
      <c r="A5176" s="45" t="s">
        <v>5203</v>
      </c>
      <c r="B5176" s="46" t="s">
        <v>16527</v>
      </c>
      <c r="C5176">
        <v>10</v>
      </c>
      <c r="D5176">
        <v>62</v>
      </c>
    </row>
    <row r="5177" spans="1:4" x14ac:dyDescent="0.25">
      <c r="A5177" s="45" t="s">
        <v>5204</v>
      </c>
      <c r="B5177" s="46" t="s">
        <v>20429</v>
      </c>
      <c r="C5177">
        <v>10</v>
      </c>
      <c r="D5177">
        <v>62</v>
      </c>
    </row>
    <row r="5178" spans="1:4" x14ac:dyDescent="0.25">
      <c r="A5178" s="45" t="s">
        <v>5205</v>
      </c>
      <c r="B5178" s="46" t="s">
        <v>20430</v>
      </c>
      <c r="C5178">
        <v>10</v>
      </c>
      <c r="D5178">
        <v>62</v>
      </c>
    </row>
    <row r="5179" spans="1:4" x14ac:dyDescent="0.25">
      <c r="A5179" s="45" t="s">
        <v>5206</v>
      </c>
      <c r="B5179" s="46" t="s">
        <v>20431</v>
      </c>
      <c r="C5179">
        <v>10</v>
      </c>
      <c r="D5179">
        <v>62</v>
      </c>
    </row>
    <row r="5180" spans="1:4" x14ac:dyDescent="0.25">
      <c r="A5180" s="45" t="s">
        <v>5207</v>
      </c>
      <c r="B5180" s="46" t="s">
        <v>16528</v>
      </c>
      <c r="C5180">
        <v>10</v>
      </c>
      <c r="D5180">
        <v>62</v>
      </c>
    </row>
    <row r="5181" spans="1:4" x14ac:dyDescent="0.25">
      <c r="A5181" s="45" t="s">
        <v>5208</v>
      </c>
      <c r="B5181" s="46" t="s">
        <v>16529</v>
      </c>
      <c r="C5181">
        <v>10</v>
      </c>
      <c r="D5181">
        <v>62</v>
      </c>
    </row>
    <row r="5182" spans="1:4" x14ac:dyDescent="0.25">
      <c r="A5182" s="45" t="s">
        <v>5209</v>
      </c>
      <c r="B5182" s="46" t="s">
        <v>16530</v>
      </c>
      <c r="C5182">
        <v>10</v>
      </c>
      <c r="D5182">
        <v>62</v>
      </c>
    </row>
    <row r="5183" spans="1:4" x14ac:dyDescent="0.25">
      <c r="A5183" s="45" t="s">
        <v>5210</v>
      </c>
      <c r="B5183" s="46" t="s">
        <v>16531</v>
      </c>
      <c r="C5183">
        <v>10</v>
      </c>
      <c r="D5183">
        <v>62</v>
      </c>
    </row>
    <row r="5184" spans="1:4" x14ac:dyDescent="0.25">
      <c r="A5184" s="45" t="s">
        <v>5211</v>
      </c>
      <c r="B5184" s="46" t="s">
        <v>16532</v>
      </c>
      <c r="C5184">
        <v>10</v>
      </c>
      <c r="D5184">
        <v>63</v>
      </c>
    </row>
    <row r="5185" spans="1:4" x14ac:dyDescent="0.25">
      <c r="A5185" s="45" t="s">
        <v>5212</v>
      </c>
      <c r="B5185" s="46" t="s">
        <v>16533</v>
      </c>
      <c r="C5185">
        <v>10</v>
      </c>
      <c r="D5185">
        <v>63</v>
      </c>
    </row>
    <row r="5186" spans="1:4" x14ac:dyDescent="0.25">
      <c r="A5186" s="45" t="s">
        <v>5213</v>
      </c>
      <c r="B5186" s="46" t="s">
        <v>16534</v>
      </c>
      <c r="C5186">
        <v>10</v>
      </c>
      <c r="D5186">
        <v>63</v>
      </c>
    </row>
    <row r="5187" spans="1:4" x14ac:dyDescent="0.25">
      <c r="A5187" s="45" t="s">
        <v>5214</v>
      </c>
      <c r="B5187" s="46" t="s">
        <v>16535</v>
      </c>
      <c r="C5187">
        <v>10</v>
      </c>
      <c r="D5187">
        <v>63</v>
      </c>
    </row>
    <row r="5188" spans="1:4" x14ac:dyDescent="0.25">
      <c r="A5188" s="45" t="s">
        <v>5215</v>
      </c>
      <c r="B5188" s="46" t="s">
        <v>16536</v>
      </c>
      <c r="C5188">
        <v>10</v>
      </c>
      <c r="D5188">
        <v>63</v>
      </c>
    </row>
    <row r="5189" spans="1:4" x14ac:dyDescent="0.25">
      <c r="A5189" s="45" t="s">
        <v>5216</v>
      </c>
      <c r="B5189" s="46" t="s">
        <v>16537</v>
      </c>
      <c r="C5189">
        <v>10</v>
      </c>
      <c r="D5189">
        <v>63</v>
      </c>
    </row>
    <row r="5190" spans="1:4" x14ac:dyDescent="0.25">
      <c r="A5190" s="45" t="s">
        <v>5217</v>
      </c>
      <c r="B5190" s="46" t="s">
        <v>16538</v>
      </c>
      <c r="C5190">
        <v>10</v>
      </c>
      <c r="D5190">
        <v>63</v>
      </c>
    </row>
    <row r="5191" spans="1:4" x14ac:dyDescent="0.25">
      <c r="A5191" s="45" t="s">
        <v>5218</v>
      </c>
      <c r="B5191" s="46" t="s">
        <v>16539</v>
      </c>
      <c r="C5191">
        <v>10</v>
      </c>
      <c r="D5191">
        <v>63</v>
      </c>
    </row>
    <row r="5192" spans="1:4" x14ac:dyDescent="0.25">
      <c r="A5192" s="45" t="s">
        <v>5219</v>
      </c>
      <c r="B5192" s="46" t="s">
        <v>16540</v>
      </c>
      <c r="C5192">
        <v>10</v>
      </c>
      <c r="D5192">
        <v>63</v>
      </c>
    </row>
    <row r="5193" spans="1:4" x14ac:dyDescent="0.25">
      <c r="A5193" s="45" t="s">
        <v>5220</v>
      </c>
      <c r="B5193" s="46" t="s">
        <v>16541</v>
      </c>
      <c r="C5193">
        <v>10</v>
      </c>
      <c r="D5193">
        <v>63</v>
      </c>
    </row>
    <row r="5194" spans="1:4" x14ac:dyDescent="0.25">
      <c r="A5194" s="45" t="s">
        <v>5221</v>
      </c>
      <c r="B5194" s="46" t="s">
        <v>16542</v>
      </c>
      <c r="C5194">
        <v>16</v>
      </c>
      <c r="D5194">
        <v>83</v>
      </c>
    </row>
    <row r="5195" spans="1:4" x14ac:dyDescent="0.25">
      <c r="A5195" s="45" t="s">
        <v>5222</v>
      </c>
      <c r="B5195" s="46" t="s">
        <v>16543</v>
      </c>
      <c r="C5195">
        <v>10</v>
      </c>
      <c r="D5195">
        <v>62</v>
      </c>
    </row>
    <row r="5196" spans="1:4" x14ac:dyDescent="0.25">
      <c r="A5196" s="45" t="s">
        <v>5223</v>
      </c>
      <c r="B5196" s="46" t="s">
        <v>16544</v>
      </c>
      <c r="C5196">
        <v>10</v>
      </c>
      <c r="D5196">
        <v>62</v>
      </c>
    </row>
    <row r="5197" spans="1:4" x14ac:dyDescent="0.25">
      <c r="A5197" s="45" t="s">
        <v>5224</v>
      </c>
      <c r="B5197" s="46" t="s">
        <v>20432</v>
      </c>
      <c r="C5197">
        <v>10</v>
      </c>
      <c r="D5197">
        <v>62</v>
      </c>
    </row>
    <row r="5198" spans="1:4" x14ac:dyDescent="0.25">
      <c r="A5198" s="45" t="s">
        <v>5225</v>
      </c>
      <c r="B5198" s="46" t="s">
        <v>20433</v>
      </c>
      <c r="C5198">
        <v>10</v>
      </c>
      <c r="D5198">
        <v>62</v>
      </c>
    </row>
    <row r="5199" spans="1:4" x14ac:dyDescent="0.25">
      <c r="A5199" s="45" t="s">
        <v>5226</v>
      </c>
      <c r="B5199" s="46" t="s">
        <v>16197</v>
      </c>
      <c r="C5199">
        <v>10</v>
      </c>
      <c r="D5199">
        <v>62</v>
      </c>
    </row>
    <row r="5200" spans="1:4" x14ac:dyDescent="0.25">
      <c r="A5200" s="45" t="s">
        <v>5227</v>
      </c>
      <c r="B5200" s="46" t="s">
        <v>16545</v>
      </c>
      <c r="C5200">
        <v>10</v>
      </c>
      <c r="D5200">
        <v>62</v>
      </c>
    </row>
    <row r="5201" spans="1:4" x14ac:dyDescent="0.25">
      <c r="A5201" s="45" t="s">
        <v>5228</v>
      </c>
      <c r="B5201" s="46" t="s">
        <v>16546</v>
      </c>
      <c r="C5201">
        <v>10</v>
      </c>
      <c r="D5201">
        <v>62</v>
      </c>
    </row>
    <row r="5202" spans="1:4" x14ac:dyDescent="0.25">
      <c r="A5202" s="45" t="s">
        <v>5229</v>
      </c>
      <c r="B5202" s="46" t="s">
        <v>16547</v>
      </c>
      <c r="C5202">
        <v>10</v>
      </c>
      <c r="D5202">
        <v>62</v>
      </c>
    </row>
    <row r="5203" spans="1:4" x14ac:dyDescent="0.25">
      <c r="A5203" s="45" t="s">
        <v>5230</v>
      </c>
      <c r="B5203" s="46" t="s">
        <v>20434</v>
      </c>
      <c r="C5203">
        <v>10</v>
      </c>
      <c r="D5203">
        <v>62</v>
      </c>
    </row>
    <row r="5204" spans="1:4" x14ac:dyDescent="0.25">
      <c r="A5204" s="45" t="s">
        <v>5231</v>
      </c>
      <c r="B5204" s="46" t="s">
        <v>16548</v>
      </c>
      <c r="C5204">
        <v>10</v>
      </c>
      <c r="D5204">
        <v>63</v>
      </c>
    </row>
    <row r="5205" spans="1:4" x14ac:dyDescent="0.25">
      <c r="A5205" s="45" t="s">
        <v>5232</v>
      </c>
      <c r="B5205" s="46" t="s">
        <v>16549</v>
      </c>
      <c r="C5205">
        <v>10</v>
      </c>
      <c r="D5205">
        <v>62</v>
      </c>
    </row>
    <row r="5206" spans="1:4" x14ac:dyDescent="0.25">
      <c r="A5206" s="45" t="s">
        <v>5233</v>
      </c>
      <c r="B5206" s="46" t="s">
        <v>16550</v>
      </c>
      <c r="C5206">
        <v>10</v>
      </c>
      <c r="D5206">
        <v>62</v>
      </c>
    </row>
    <row r="5207" spans="1:4" x14ac:dyDescent="0.25">
      <c r="A5207" s="45" t="s">
        <v>5234</v>
      </c>
      <c r="B5207" s="46" t="s">
        <v>16551</v>
      </c>
      <c r="C5207">
        <v>10</v>
      </c>
      <c r="D5207">
        <v>62</v>
      </c>
    </row>
    <row r="5208" spans="1:4" x14ac:dyDescent="0.25">
      <c r="A5208" s="45" t="s">
        <v>5235</v>
      </c>
      <c r="B5208" s="46" t="s">
        <v>16552</v>
      </c>
      <c r="C5208">
        <v>10</v>
      </c>
      <c r="D5208">
        <v>62</v>
      </c>
    </row>
    <row r="5209" spans="1:4" x14ac:dyDescent="0.25">
      <c r="A5209" s="45" t="s">
        <v>5236</v>
      </c>
      <c r="B5209" s="46" t="s">
        <v>16553</v>
      </c>
      <c r="C5209">
        <v>10</v>
      </c>
      <c r="D5209">
        <v>62</v>
      </c>
    </row>
    <row r="5210" spans="1:4" x14ac:dyDescent="0.25">
      <c r="A5210" s="45" t="s">
        <v>5237</v>
      </c>
      <c r="B5210" s="46" t="s">
        <v>16554</v>
      </c>
      <c r="C5210">
        <v>10</v>
      </c>
      <c r="D5210">
        <v>63</v>
      </c>
    </row>
    <row r="5211" spans="1:4" x14ac:dyDescent="0.25">
      <c r="A5211" s="45" t="s">
        <v>5238</v>
      </c>
      <c r="B5211" s="46" t="s">
        <v>16555</v>
      </c>
      <c r="C5211">
        <v>10</v>
      </c>
      <c r="D5211">
        <v>63</v>
      </c>
    </row>
    <row r="5212" spans="1:4" x14ac:dyDescent="0.25">
      <c r="A5212" s="45" t="s">
        <v>5239</v>
      </c>
      <c r="B5212" s="46" t="s">
        <v>20435</v>
      </c>
      <c r="C5212">
        <v>10</v>
      </c>
      <c r="D5212">
        <v>63</v>
      </c>
    </row>
    <row r="5213" spans="1:4" x14ac:dyDescent="0.25">
      <c r="A5213" s="45" t="s">
        <v>5240</v>
      </c>
      <c r="B5213" s="46" t="s">
        <v>20436</v>
      </c>
      <c r="C5213">
        <v>10</v>
      </c>
      <c r="D5213">
        <v>63</v>
      </c>
    </row>
    <row r="5214" spans="1:4" x14ac:dyDescent="0.25">
      <c r="A5214" s="45" t="s">
        <v>5241</v>
      </c>
      <c r="B5214" s="46" t="s">
        <v>20437</v>
      </c>
      <c r="C5214">
        <v>10</v>
      </c>
      <c r="D5214">
        <v>63</v>
      </c>
    </row>
    <row r="5215" spans="1:4" x14ac:dyDescent="0.25">
      <c r="A5215" s="45" t="s">
        <v>5242</v>
      </c>
      <c r="B5215" s="46" t="s">
        <v>20438</v>
      </c>
      <c r="C5215">
        <v>10</v>
      </c>
      <c r="D5215">
        <v>63</v>
      </c>
    </row>
    <row r="5216" spans="1:4" x14ac:dyDescent="0.25">
      <c r="A5216" s="45" t="s">
        <v>5243</v>
      </c>
      <c r="B5216" s="46" t="s">
        <v>16556</v>
      </c>
      <c r="C5216">
        <v>10</v>
      </c>
      <c r="D5216">
        <v>63</v>
      </c>
    </row>
    <row r="5217" spans="1:4" x14ac:dyDescent="0.25">
      <c r="A5217" s="45" t="s">
        <v>5244</v>
      </c>
      <c r="B5217" s="46" t="s">
        <v>16557</v>
      </c>
      <c r="C5217">
        <v>10</v>
      </c>
      <c r="D5217">
        <v>63</v>
      </c>
    </row>
    <row r="5218" spans="1:4" x14ac:dyDescent="0.25">
      <c r="A5218" s="45" t="s">
        <v>5245</v>
      </c>
      <c r="B5218" s="46" t="s">
        <v>16558</v>
      </c>
      <c r="C5218">
        <v>10</v>
      </c>
      <c r="D5218">
        <v>63</v>
      </c>
    </row>
    <row r="5219" spans="1:4" x14ac:dyDescent="0.25">
      <c r="A5219" s="45" t="s">
        <v>5246</v>
      </c>
      <c r="B5219" s="46" t="s">
        <v>16559</v>
      </c>
      <c r="C5219">
        <v>6</v>
      </c>
      <c r="D5219">
        <v>36</v>
      </c>
    </row>
    <row r="5220" spans="1:4" x14ac:dyDescent="0.25">
      <c r="A5220" s="45" t="s">
        <v>5247</v>
      </c>
      <c r="B5220" s="46" t="s">
        <v>16560</v>
      </c>
      <c r="C5220">
        <v>6</v>
      </c>
      <c r="D5220">
        <v>36</v>
      </c>
    </row>
    <row r="5221" spans="1:4" x14ac:dyDescent="0.25">
      <c r="A5221" s="45" t="s">
        <v>5248</v>
      </c>
      <c r="B5221" s="46" t="s">
        <v>16561</v>
      </c>
      <c r="C5221">
        <v>6</v>
      </c>
      <c r="D5221">
        <v>36</v>
      </c>
    </row>
    <row r="5222" spans="1:4" x14ac:dyDescent="0.25">
      <c r="A5222" s="45" t="s">
        <v>5249</v>
      </c>
      <c r="B5222" s="46" t="s">
        <v>16562</v>
      </c>
      <c r="C5222">
        <v>10</v>
      </c>
      <c r="D5222">
        <v>63</v>
      </c>
    </row>
    <row r="5223" spans="1:4" x14ac:dyDescent="0.25">
      <c r="A5223" s="45" t="s">
        <v>5250</v>
      </c>
      <c r="B5223" s="46" t="s">
        <v>16563</v>
      </c>
      <c r="C5223">
        <v>10</v>
      </c>
      <c r="D5223">
        <v>63</v>
      </c>
    </row>
    <row r="5224" spans="1:4" x14ac:dyDescent="0.25">
      <c r="A5224" s="45" t="s">
        <v>5251</v>
      </c>
      <c r="B5224" s="46" t="s">
        <v>16564</v>
      </c>
      <c r="C5224">
        <v>10</v>
      </c>
      <c r="D5224">
        <v>63</v>
      </c>
    </row>
    <row r="5225" spans="1:4" x14ac:dyDescent="0.25">
      <c r="A5225" s="45" t="s">
        <v>5252</v>
      </c>
      <c r="B5225" s="46" t="s">
        <v>16565</v>
      </c>
      <c r="C5225">
        <v>10</v>
      </c>
      <c r="D5225">
        <v>63</v>
      </c>
    </row>
    <row r="5226" spans="1:4" x14ac:dyDescent="0.25">
      <c r="A5226" s="45" t="s">
        <v>5253</v>
      </c>
      <c r="B5226" s="46" t="s">
        <v>16566</v>
      </c>
      <c r="C5226">
        <v>10</v>
      </c>
      <c r="D5226">
        <v>63</v>
      </c>
    </row>
    <row r="5227" spans="1:4" x14ac:dyDescent="0.25">
      <c r="A5227" s="45" t="s">
        <v>5254</v>
      </c>
      <c r="B5227" s="46" t="s">
        <v>16567</v>
      </c>
      <c r="C5227">
        <v>10</v>
      </c>
      <c r="D5227">
        <v>63</v>
      </c>
    </row>
    <row r="5228" spans="1:4" x14ac:dyDescent="0.25">
      <c r="A5228" s="45" t="s">
        <v>5255</v>
      </c>
      <c r="B5228" s="46" t="s">
        <v>16568</v>
      </c>
      <c r="C5228">
        <v>10</v>
      </c>
      <c r="D5228">
        <v>63</v>
      </c>
    </row>
    <row r="5229" spans="1:4" x14ac:dyDescent="0.25">
      <c r="A5229" s="45" t="s">
        <v>5256</v>
      </c>
      <c r="B5229" s="46" t="s">
        <v>16569</v>
      </c>
      <c r="C5229">
        <v>10</v>
      </c>
      <c r="D5229">
        <v>63</v>
      </c>
    </row>
    <row r="5230" spans="1:4" x14ac:dyDescent="0.25">
      <c r="A5230" s="45" t="s">
        <v>5257</v>
      </c>
      <c r="B5230" s="46" t="s">
        <v>16570</v>
      </c>
      <c r="C5230">
        <v>10</v>
      </c>
      <c r="D5230">
        <v>63</v>
      </c>
    </row>
    <row r="5231" spans="1:4" x14ac:dyDescent="0.25">
      <c r="A5231" s="45" t="s">
        <v>5258</v>
      </c>
      <c r="B5231" s="46" t="s">
        <v>16571</v>
      </c>
      <c r="C5231">
        <v>10</v>
      </c>
      <c r="D5231">
        <v>63</v>
      </c>
    </row>
    <row r="5232" spans="1:4" x14ac:dyDescent="0.25">
      <c r="A5232" s="45" t="s">
        <v>5259</v>
      </c>
      <c r="B5232" s="46" t="s">
        <v>16572</v>
      </c>
      <c r="C5232">
        <v>1</v>
      </c>
      <c r="D5232">
        <v>11</v>
      </c>
    </row>
    <row r="5233" spans="1:4" x14ac:dyDescent="0.25">
      <c r="A5233" s="45" t="s">
        <v>5260</v>
      </c>
      <c r="B5233" s="46" t="s">
        <v>16573</v>
      </c>
      <c r="C5233">
        <v>10</v>
      </c>
      <c r="D5233">
        <v>63</v>
      </c>
    </row>
    <row r="5234" spans="1:4" x14ac:dyDescent="0.25">
      <c r="A5234" s="45" t="s">
        <v>5261</v>
      </c>
      <c r="B5234" s="46" t="s">
        <v>20439</v>
      </c>
      <c r="C5234">
        <v>10</v>
      </c>
      <c r="D5234">
        <v>63</v>
      </c>
    </row>
    <row r="5235" spans="1:4" x14ac:dyDescent="0.25">
      <c r="A5235" s="45" t="s">
        <v>5262</v>
      </c>
      <c r="B5235" s="46" t="s">
        <v>20440</v>
      </c>
      <c r="C5235">
        <v>10</v>
      </c>
      <c r="D5235">
        <v>63</v>
      </c>
    </row>
    <row r="5236" spans="1:4" x14ac:dyDescent="0.25">
      <c r="A5236" s="45" t="s">
        <v>5263</v>
      </c>
      <c r="B5236" s="46" t="s">
        <v>16574</v>
      </c>
      <c r="C5236">
        <v>10</v>
      </c>
      <c r="D5236">
        <v>63</v>
      </c>
    </row>
    <row r="5237" spans="1:4" x14ac:dyDescent="0.25">
      <c r="A5237" s="45" t="s">
        <v>5264</v>
      </c>
      <c r="B5237" s="46" t="s">
        <v>20441</v>
      </c>
      <c r="C5237">
        <v>10</v>
      </c>
      <c r="D5237">
        <v>63</v>
      </c>
    </row>
    <row r="5238" spans="1:4" x14ac:dyDescent="0.25">
      <c r="A5238" s="45" t="s">
        <v>5265</v>
      </c>
      <c r="B5238" s="46" t="s">
        <v>16575</v>
      </c>
      <c r="C5238">
        <v>10</v>
      </c>
      <c r="D5238">
        <v>63</v>
      </c>
    </row>
    <row r="5239" spans="1:4" x14ac:dyDescent="0.25">
      <c r="A5239" s="45" t="s">
        <v>5266</v>
      </c>
      <c r="B5239" s="46" t="s">
        <v>16576</v>
      </c>
      <c r="C5239">
        <v>10</v>
      </c>
      <c r="D5239">
        <v>63</v>
      </c>
    </row>
    <row r="5240" spans="1:4" x14ac:dyDescent="0.25">
      <c r="A5240" s="45" t="s">
        <v>5267</v>
      </c>
      <c r="B5240" s="46" t="s">
        <v>16577</v>
      </c>
      <c r="C5240">
        <v>10</v>
      </c>
      <c r="D5240">
        <v>63</v>
      </c>
    </row>
    <row r="5241" spans="1:4" x14ac:dyDescent="0.25">
      <c r="A5241" s="45" t="s">
        <v>5268</v>
      </c>
      <c r="B5241" s="46" t="s">
        <v>16578</v>
      </c>
      <c r="C5241">
        <v>10</v>
      </c>
      <c r="D5241">
        <v>63</v>
      </c>
    </row>
    <row r="5242" spans="1:4" x14ac:dyDescent="0.25">
      <c r="A5242" s="45" t="s">
        <v>5269</v>
      </c>
      <c r="B5242" s="46" t="s">
        <v>16579</v>
      </c>
      <c r="C5242">
        <v>10</v>
      </c>
      <c r="D5242">
        <v>63</v>
      </c>
    </row>
    <row r="5243" spans="1:4" x14ac:dyDescent="0.25">
      <c r="A5243" s="45" t="s">
        <v>5270</v>
      </c>
      <c r="B5243" s="46" t="s">
        <v>16580</v>
      </c>
      <c r="C5243">
        <v>10</v>
      </c>
      <c r="D5243">
        <v>63</v>
      </c>
    </row>
    <row r="5244" spans="1:4" x14ac:dyDescent="0.25">
      <c r="A5244" s="45" t="s">
        <v>5271</v>
      </c>
      <c r="B5244" s="46" t="s">
        <v>16581</v>
      </c>
      <c r="C5244">
        <v>10</v>
      </c>
      <c r="D5244">
        <v>63</v>
      </c>
    </row>
    <row r="5245" spans="1:4" x14ac:dyDescent="0.25">
      <c r="A5245" s="45" t="s">
        <v>5272</v>
      </c>
      <c r="B5245" s="46" t="s">
        <v>16582</v>
      </c>
      <c r="C5245">
        <v>10</v>
      </c>
      <c r="D5245">
        <v>63</v>
      </c>
    </row>
    <row r="5246" spans="1:4" x14ac:dyDescent="0.25">
      <c r="A5246" s="45" t="s">
        <v>5273</v>
      </c>
      <c r="B5246" s="46" t="s">
        <v>16583</v>
      </c>
      <c r="C5246">
        <v>10</v>
      </c>
      <c r="D5246">
        <v>63</v>
      </c>
    </row>
    <row r="5247" spans="1:4" x14ac:dyDescent="0.25">
      <c r="A5247" s="45" t="s">
        <v>5274</v>
      </c>
      <c r="B5247" s="46" t="s">
        <v>16584</v>
      </c>
      <c r="C5247">
        <v>10</v>
      </c>
      <c r="D5247">
        <v>63</v>
      </c>
    </row>
    <row r="5248" spans="1:4" x14ac:dyDescent="0.25">
      <c r="A5248" s="45" t="s">
        <v>5275</v>
      </c>
      <c r="B5248" s="46" t="s">
        <v>16585</v>
      </c>
      <c r="C5248">
        <v>16</v>
      </c>
      <c r="D5248">
        <v>84</v>
      </c>
    </row>
    <row r="5249" spans="1:4" x14ac:dyDescent="0.25">
      <c r="A5249" s="45" t="s">
        <v>5276</v>
      </c>
      <c r="B5249" s="46" t="s">
        <v>16586</v>
      </c>
      <c r="C5249">
        <v>10</v>
      </c>
      <c r="D5249">
        <v>63</v>
      </c>
    </row>
    <row r="5250" spans="1:4" x14ac:dyDescent="0.25">
      <c r="A5250" s="45" t="s">
        <v>25171</v>
      </c>
      <c r="B5250" s="46" t="s">
        <v>16587</v>
      </c>
      <c r="C5250">
        <v>10</v>
      </c>
      <c r="D5250">
        <v>67</v>
      </c>
    </row>
    <row r="5251" spans="1:4" x14ac:dyDescent="0.25">
      <c r="A5251" s="45" t="s">
        <v>25172</v>
      </c>
      <c r="B5251" s="46" t="s">
        <v>16588</v>
      </c>
      <c r="C5251">
        <v>16</v>
      </c>
      <c r="D5251">
        <v>83</v>
      </c>
    </row>
    <row r="5252" spans="1:4" x14ac:dyDescent="0.25">
      <c r="A5252" s="45" t="s">
        <v>5279</v>
      </c>
      <c r="B5252" s="46" t="s">
        <v>16589</v>
      </c>
      <c r="C5252">
        <v>10</v>
      </c>
      <c r="D5252">
        <v>63</v>
      </c>
    </row>
    <row r="5253" spans="1:4" x14ac:dyDescent="0.25">
      <c r="A5253" s="45" t="s">
        <v>5280</v>
      </c>
      <c r="B5253" s="46" t="s">
        <v>16590</v>
      </c>
      <c r="C5253">
        <v>10</v>
      </c>
      <c r="D5253">
        <v>63</v>
      </c>
    </row>
    <row r="5254" spans="1:4" x14ac:dyDescent="0.25">
      <c r="A5254" s="45" t="s">
        <v>5281</v>
      </c>
      <c r="B5254" s="46" t="s">
        <v>16591</v>
      </c>
      <c r="C5254">
        <v>10</v>
      </c>
      <c r="D5254">
        <v>64</v>
      </c>
    </row>
    <row r="5255" spans="1:4" x14ac:dyDescent="0.25">
      <c r="A5255" s="45" t="s">
        <v>5282</v>
      </c>
      <c r="B5255" s="46" t="s">
        <v>16592</v>
      </c>
      <c r="C5255">
        <v>10</v>
      </c>
      <c r="D5255">
        <v>64</v>
      </c>
    </row>
    <row r="5256" spans="1:4" x14ac:dyDescent="0.25">
      <c r="A5256" s="45" t="s">
        <v>5283</v>
      </c>
      <c r="B5256" s="46" t="s">
        <v>16593</v>
      </c>
      <c r="C5256">
        <v>10</v>
      </c>
      <c r="D5256">
        <v>64</v>
      </c>
    </row>
    <row r="5257" spans="1:4" x14ac:dyDescent="0.25">
      <c r="A5257" s="45" t="s">
        <v>5284</v>
      </c>
      <c r="B5257" s="46" t="s">
        <v>16594</v>
      </c>
      <c r="C5257">
        <v>10</v>
      </c>
      <c r="D5257">
        <v>64</v>
      </c>
    </row>
    <row r="5258" spans="1:4" x14ac:dyDescent="0.25">
      <c r="A5258" s="45" t="s">
        <v>5285</v>
      </c>
      <c r="B5258" s="46" t="s">
        <v>16595</v>
      </c>
      <c r="C5258">
        <v>10</v>
      </c>
      <c r="D5258">
        <v>64</v>
      </c>
    </row>
    <row r="5259" spans="1:4" x14ac:dyDescent="0.25">
      <c r="A5259" s="45" t="s">
        <v>5286</v>
      </c>
      <c r="B5259" s="46" t="s">
        <v>16596</v>
      </c>
      <c r="C5259">
        <v>10</v>
      </c>
      <c r="D5259">
        <v>64</v>
      </c>
    </row>
    <row r="5260" spans="1:4" x14ac:dyDescent="0.25">
      <c r="A5260" s="45" t="s">
        <v>5287</v>
      </c>
      <c r="B5260" s="46" t="s">
        <v>16597</v>
      </c>
      <c r="C5260">
        <v>10</v>
      </c>
      <c r="D5260">
        <v>64</v>
      </c>
    </row>
    <row r="5261" spans="1:4" x14ac:dyDescent="0.25">
      <c r="A5261" s="45" t="s">
        <v>5288</v>
      </c>
      <c r="B5261" s="46" t="s">
        <v>16598</v>
      </c>
      <c r="C5261">
        <v>10</v>
      </c>
      <c r="D5261">
        <v>64</v>
      </c>
    </row>
    <row r="5262" spans="1:4" x14ac:dyDescent="0.25">
      <c r="A5262" s="45" t="s">
        <v>5289</v>
      </c>
      <c r="B5262" s="46" t="s">
        <v>16599</v>
      </c>
      <c r="C5262">
        <v>10</v>
      </c>
      <c r="D5262">
        <v>64</v>
      </c>
    </row>
    <row r="5263" spans="1:4" x14ac:dyDescent="0.25">
      <c r="A5263" s="45" t="s">
        <v>5290</v>
      </c>
      <c r="B5263" s="46" t="s">
        <v>16600</v>
      </c>
      <c r="C5263">
        <v>10</v>
      </c>
      <c r="D5263">
        <v>64</v>
      </c>
    </row>
    <row r="5264" spans="1:4" x14ac:dyDescent="0.25">
      <c r="A5264" s="45" t="s">
        <v>5291</v>
      </c>
      <c r="B5264" s="46" t="s">
        <v>16601</v>
      </c>
      <c r="C5264">
        <v>10</v>
      </c>
      <c r="D5264">
        <v>64</v>
      </c>
    </row>
    <row r="5265" spans="1:4" x14ac:dyDescent="0.25">
      <c r="A5265" s="45" t="s">
        <v>5292</v>
      </c>
      <c r="B5265" s="46" t="s">
        <v>16602</v>
      </c>
      <c r="C5265">
        <v>10</v>
      </c>
      <c r="D5265">
        <v>64</v>
      </c>
    </row>
    <row r="5266" spans="1:4" x14ac:dyDescent="0.25">
      <c r="A5266" s="45" t="s">
        <v>5293</v>
      </c>
      <c r="B5266" s="46" t="s">
        <v>16603</v>
      </c>
      <c r="C5266">
        <v>10</v>
      </c>
      <c r="D5266">
        <v>64</v>
      </c>
    </row>
    <row r="5267" spans="1:4" x14ac:dyDescent="0.25">
      <c r="A5267" s="45" t="s">
        <v>5294</v>
      </c>
      <c r="B5267" s="46" t="s">
        <v>16604</v>
      </c>
      <c r="C5267">
        <v>10</v>
      </c>
      <c r="D5267">
        <v>64</v>
      </c>
    </row>
    <row r="5268" spans="1:4" x14ac:dyDescent="0.25">
      <c r="A5268" s="45" t="s">
        <v>5295</v>
      </c>
      <c r="B5268" s="46" t="s">
        <v>16605</v>
      </c>
      <c r="C5268">
        <v>10</v>
      </c>
      <c r="D5268">
        <v>64</v>
      </c>
    </row>
    <row r="5269" spans="1:4" x14ac:dyDescent="0.25">
      <c r="A5269" s="45" t="s">
        <v>5296</v>
      </c>
      <c r="B5269" s="46" t="s">
        <v>16606</v>
      </c>
      <c r="C5269">
        <v>10</v>
      </c>
      <c r="D5269">
        <v>64</v>
      </c>
    </row>
    <row r="5270" spans="1:4" x14ac:dyDescent="0.25">
      <c r="A5270" s="45" t="s">
        <v>5297</v>
      </c>
      <c r="B5270" s="46" t="s">
        <v>16607</v>
      </c>
      <c r="C5270">
        <v>10</v>
      </c>
      <c r="D5270">
        <v>64</v>
      </c>
    </row>
    <row r="5271" spans="1:4" x14ac:dyDescent="0.25">
      <c r="A5271" s="45" t="s">
        <v>5298</v>
      </c>
      <c r="B5271" s="46" t="s">
        <v>16608</v>
      </c>
      <c r="C5271">
        <v>10</v>
      </c>
      <c r="D5271">
        <v>64</v>
      </c>
    </row>
    <row r="5272" spans="1:4" x14ac:dyDescent="0.25">
      <c r="A5272" s="45" t="s">
        <v>5299</v>
      </c>
      <c r="B5272" s="46" t="s">
        <v>16609</v>
      </c>
      <c r="C5272">
        <v>10</v>
      </c>
      <c r="D5272">
        <v>64</v>
      </c>
    </row>
    <row r="5273" spans="1:4" x14ac:dyDescent="0.25">
      <c r="A5273" s="45" t="s">
        <v>5300</v>
      </c>
      <c r="B5273" s="46" t="s">
        <v>20442</v>
      </c>
      <c r="C5273">
        <v>10</v>
      </c>
      <c r="D5273">
        <v>64</v>
      </c>
    </row>
    <row r="5274" spans="1:4" x14ac:dyDescent="0.25">
      <c r="A5274" s="45" t="s">
        <v>5301</v>
      </c>
      <c r="B5274" s="46" t="s">
        <v>16610</v>
      </c>
      <c r="C5274">
        <v>10</v>
      </c>
      <c r="D5274">
        <v>64</v>
      </c>
    </row>
    <row r="5275" spans="1:4" x14ac:dyDescent="0.25">
      <c r="A5275" s="45" t="s">
        <v>5302</v>
      </c>
      <c r="B5275" s="46" t="s">
        <v>16611</v>
      </c>
      <c r="C5275">
        <v>10</v>
      </c>
      <c r="D5275">
        <v>64</v>
      </c>
    </row>
    <row r="5276" spans="1:4" x14ac:dyDescent="0.25">
      <c r="A5276" s="45" t="s">
        <v>5303</v>
      </c>
      <c r="B5276" s="46" t="s">
        <v>16612</v>
      </c>
      <c r="C5276">
        <v>10</v>
      </c>
      <c r="D5276">
        <v>64</v>
      </c>
    </row>
    <row r="5277" spans="1:4" x14ac:dyDescent="0.25">
      <c r="A5277" s="45" t="s">
        <v>5304</v>
      </c>
      <c r="B5277" s="46" t="s">
        <v>16613</v>
      </c>
      <c r="C5277">
        <v>10</v>
      </c>
      <c r="D5277">
        <v>64</v>
      </c>
    </row>
    <row r="5278" spans="1:4" x14ac:dyDescent="0.25">
      <c r="A5278" s="45" t="s">
        <v>5305</v>
      </c>
      <c r="B5278" s="46" t="s">
        <v>16614</v>
      </c>
      <c r="C5278">
        <v>10</v>
      </c>
      <c r="D5278">
        <v>64</v>
      </c>
    </row>
    <row r="5279" spans="1:4" x14ac:dyDescent="0.25">
      <c r="A5279" s="45" t="s">
        <v>5306</v>
      </c>
      <c r="B5279" s="46" t="s">
        <v>16615</v>
      </c>
      <c r="C5279">
        <v>10</v>
      </c>
      <c r="D5279">
        <v>64</v>
      </c>
    </row>
    <row r="5280" spans="1:4" x14ac:dyDescent="0.25">
      <c r="A5280" s="45" t="s">
        <v>5307</v>
      </c>
      <c r="B5280" s="46" t="s">
        <v>16616</v>
      </c>
      <c r="C5280">
        <v>10</v>
      </c>
      <c r="D5280">
        <v>64</v>
      </c>
    </row>
    <row r="5281" spans="1:4" x14ac:dyDescent="0.25">
      <c r="A5281" s="45" t="s">
        <v>5308</v>
      </c>
      <c r="B5281" s="46" t="s">
        <v>16617</v>
      </c>
      <c r="C5281">
        <v>10</v>
      </c>
      <c r="D5281">
        <v>64</v>
      </c>
    </row>
    <row r="5282" spans="1:4" x14ac:dyDescent="0.25">
      <c r="A5282" s="45" t="s">
        <v>5309</v>
      </c>
      <c r="B5282" s="46" t="s">
        <v>16618</v>
      </c>
      <c r="C5282">
        <v>10</v>
      </c>
      <c r="D5282">
        <v>64</v>
      </c>
    </row>
    <row r="5283" spans="1:4" x14ac:dyDescent="0.25">
      <c r="A5283" s="45" t="s">
        <v>5310</v>
      </c>
      <c r="B5283" s="46" t="s">
        <v>16619</v>
      </c>
      <c r="C5283">
        <v>10</v>
      </c>
      <c r="D5283">
        <v>64</v>
      </c>
    </row>
    <row r="5284" spans="1:4" x14ac:dyDescent="0.25">
      <c r="A5284" s="45" t="s">
        <v>5311</v>
      </c>
      <c r="B5284" s="46" t="s">
        <v>16620</v>
      </c>
      <c r="C5284">
        <v>10</v>
      </c>
      <c r="D5284">
        <v>64</v>
      </c>
    </row>
    <row r="5285" spans="1:4" x14ac:dyDescent="0.25">
      <c r="A5285" s="45" t="s">
        <v>5312</v>
      </c>
      <c r="B5285" s="46" t="s">
        <v>16621</v>
      </c>
      <c r="C5285">
        <v>10</v>
      </c>
      <c r="D5285">
        <v>64</v>
      </c>
    </row>
    <row r="5286" spans="1:4" x14ac:dyDescent="0.25">
      <c r="A5286" s="45" t="s">
        <v>5313</v>
      </c>
      <c r="B5286" s="46" t="s">
        <v>16622</v>
      </c>
      <c r="C5286">
        <v>10</v>
      </c>
      <c r="D5286">
        <v>64</v>
      </c>
    </row>
    <row r="5287" spans="1:4" x14ac:dyDescent="0.25">
      <c r="A5287" s="45" t="s">
        <v>5314</v>
      </c>
      <c r="B5287" s="46" t="s">
        <v>20443</v>
      </c>
      <c r="C5287">
        <v>10</v>
      </c>
      <c r="D5287">
        <v>64</v>
      </c>
    </row>
    <row r="5288" spans="1:4" x14ac:dyDescent="0.25">
      <c r="A5288" s="45" t="s">
        <v>5315</v>
      </c>
      <c r="B5288" s="46" t="s">
        <v>16623</v>
      </c>
      <c r="C5288">
        <v>10</v>
      </c>
      <c r="D5288">
        <v>64</v>
      </c>
    </row>
    <row r="5289" spans="1:4" x14ac:dyDescent="0.25">
      <c r="A5289" s="45" t="s">
        <v>5316</v>
      </c>
      <c r="B5289" s="46" t="s">
        <v>16624</v>
      </c>
      <c r="C5289">
        <v>10</v>
      </c>
      <c r="D5289">
        <v>64</v>
      </c>
    </row>
    <row r="5290" spans="1:4" x14ac:dyDescent="0.25">
      <c r="A5290" s="45" t="s">
        <v>5317</v>
      </c>
      <c r="B5290" s="46" t="s">
        <v>16625</v>
      </c>
      <c r="C5290">
        <v>10</v>
      </c>
      <c r="D5290">
        <v>64</v>
      </c>
    </row>
    <row r="5291" spans="1:4" x14ac:dyDescent="0.25">
      <c r="A5291" s="45" t="s">
        <v>5318</v>
      </c>
      <c r="B5291" s="46" t="s">
        <v>20444</v>
      </c>
      <c r="C5291">
        <v>10</v>
      </c>
      <c r="D5291">
        <v>64</v>
      </c>
    </row>
    <row r="5292" spans="1:4" x14ac:dyDescent="0.25">
      <c r="A5292" s="45" t="s">
        <v>5319</v>
      </c>
      <c r="B5292" s="46" t="s">
        <v>16626</v>
      </c>
      <c r="C5292">
        <v>10</v>
      </c>
      <c r="D5292">
        <v>64</v>
      </c>
    </row>
    <row r="5293" spans="1:4" x14ac:dyDescent="0.25">
      <c r="A5293" s="45" t="s">
        <v>5320</v>
      </c>
      <c r="B5293" s="46" t="s">
        <v>16627</v>
      </c>
      <c r="C5293">
        <v>10</v>
      </c>
      <c r="D5293">
        <v>64</v>
      </c>
    </row>
    <row r="5294" spans="1:4" x14ac:dyDescent="0.25">
      <c r="A5294" s="45" t="s">
        <v>5321</v>
      </c>
      <c r="B5294" s="46" t="s">
        <v>20445</v>
      </c>
      <c r="C5294">
        <v>10</v>
      </c>
      <c r="D5294">
        <v>64</v>
      </c>
    </row>
    <row r="5295" spans="1:4" x14ac:dyDescent="0.25">
      <c r="A5295" s="45" t="s">
        <v>5322</v>
      </c>
      <c r="B5295" s="46" t="s">
        <v>16628</v>
      </c>
      <c r="C5295">
        <v>10</v>
      </c>
      <c r="D5295">
        <v>64</v>
      </c>
    </row>
    <row r="5296" spans="1:4" x14ac:dyDescent="0.25">
      <c r="A5296" s="45" t="s">
        <v>5323</v>
      </c>
      <c r="B5296" s="46" t="s">
        <v>16629</v>
      </c>
      <c r="C5296">
        <v>10</v>
      </c>
      <c r="D5296">
        <v>64</v>
      </c>
    </row>
    <row r="5297" spans="1:4" x14ac:dyDescent="0.25">
      <c r="A5297" s="45" t="s">
        <v>5324</v>
      </c>
      <c r="B5297" s="46" t="s">
        <v>16630</v>
      </c>
      <c r="C5297">
        <v>10</v>
      </c>
      <c r="D5297">
        <v>64</v>
      </c>
    </row>
    <row r="5298" spans="1:4" x14ac:dyDescent="0.25">
      <c r="A5298" s="45" t="s">
        <v>5325</v>
      </c>
      <c r="B5298" s="46" t="s">
        <v>16631</v>
      </c>
      <c r="C5298">
        <v>10</v>
      </c>
      <c r="D5298">
        <v>65</v>
      </c>
    </row>
    <row r="5299" spans="1:4" x14ac:dyDescent="0.25">
      <c r="A5299" s="45" t="s">
        <v>5326</v>
      </c>
      <c r="B5299" s="46" t="s">
        <v>16632</v>
      </c>
      <c r="C5299">
        <v>10</v>
      </c>
      <c r="D5299">
        <v>65</v>
      </c>
    </row>
    <row r="5300" spans="1:4" x14ac:dyDescent="0.25">
      <c r="A5300" s="45" t="s">
        <v>5327</v>
      </c>
      <c r="B5300" s="46" t="s">
        <v>20446</v>
      </c>
      <c r="C5300">
        <v>10</v>
      </c>
      <c r="D5300">
        <v>65</v>
      </c>
    </row>
    <row r="5301" spans="1:4" x14ac:dyDescent="0.25">
      <c r="A5301" s="45" t="s">
        <v>5328</v>
      </c>
      <c r="B5301" s="46" t="s">
        <v>16633</v>
      </c>
      <c r="C5301">
        <v>10</v>
      </c>
      <c r="D5301">
        <v>65</v>
      </c>
    </row>
    <row r="5302" spans="1:4" x14ac:dyDescent="0.25">
      <c r="A5302" s="45" t="s">
        <v>5329</v>
      </c>
      <c r="B5302" s="46" t="s">
        <v>20447</v>
      </c>
      <c r="C5302">
        <v>10</v>
      </c>
      <c r="D5302">
        <v>65</v>
      </c>
    </row>
    <row r="5303" spans="1:4" x14ac:dyDescent="0.25">
      <c r="A5303" s="45" t="s">
        <v>5330</v>
      </c>
      <c r="B5303" s="46" t="s">
        <v>16634</v>
      </c>
      <c r="C5303">
        <v>10</v>
      </c>
      <c r="D5303">
        <v>65</v>
      </c>
    </row>
    <row r="5304" spans="1:4" x14ac:dyDescent="0.25">
      <c r="A5304" s="45" t="s">
        <v>5331</v>
      </c>
      <c r="B5304" s="46" t="s">
        <v>16635</v>
      </c>
      <c r="C5304">
        <v>10</v>
      </c>
      <c r="D5304">
        <v>65</v>
      </c>
    </row>
    <row r="5305" spans="1:4" x14ac:dyDescent="0.25">
      <c r="A5305" s="45" t="s">
        <v>5332</v>
      </c>
      <c r="B5305" s="46" t="s">
        <v>20448</v>
      </c>
      <c r="C5305">
        <v>10</v>
      </c>
      <c r="D5305">
        <v>65</v>
      </c>
    </row>
    <row r="5306" spans="1:4" x14ac:dyDescent="0.25">
      <c r="A5306" s="45" t="s">
        <v>5333</v>
      </c>
      <c r="B5306" s="46" t="s">
        <v>16636</v>
      </c>
      <c r="C5306">
        <v>10</v>
      </c>
      <c r="D5306">
        <v>65</v>
      </c>
    </row>
    <row r="5307" spans="1:4" x14ac:dyDescent="0.25">
      <c r="A5307" s="45" t="s">
        <v>5334</v>
      </c>
      <c r="B5307" s="46" t="s">
        <v>16637</v>
      </c>
      <c r="C5307">
        <v>10</v>
      </c>
      <c r="D5307">
        <v>65</v>
      </c>
    </row>
    <row r="5308" spans="1:4" x14ac:dyDescent="0.25">
      <c r="A5308" s="45" t="s">
        <v>5335</v>
      </c>
      <c r="B5308" s="46" t="s">
        <v>16638</v>
      </c>
      <c r="C5308">
        <v>10</v>
      </c>
      <c r="D5308">
        <v>65</v>
      </c>
    </row>
    <row r="5309" spans="1:4" x14ac:dyDescent="0.25">
      <c r="A5309" s="45" t="s">
        <v>5336</v>
      </c>
      <c r="B5309" s="46" t="s">
        <v>16639</v>
      </c>
      <c r="C5309">
        <v>10</v>
      </c>
      <c r="D5309">
        <v>65</v>
      </c>
    </row>
    <row r="5310" spans="1:4" x14ac:dyDescent="0.25">
      <c r="A5310" s="45" t="s">
        <v>5337</v>
      </c>
      <c r="B5310" s="46" t="s">
        <v>16640</v>
      </c>
      <c r="C5310">
        <v>10</v>
      </c>
      <c r="D5310">
        <v>65</v>
      </c>
    </row>
    <row r="5311" spans="1:4" x14ac:dyDescent="0.25">
      <c r="A5311" s="45" t="s">
        <v>5338</v>
      </c>
      <c r="B5311" s="46" t="s">
        <v>16641</v>
      </c>
      <c r="C5311">
        <v>10</v>
      </c>
      <c r="D5311">
        <v>65</v>
      </c>
    </row>
    <row r="5312" spans="1:4" x14ac:dyDescent="0.25">
      <c r="A5312" s="45" t="s">
        <v>5339</v>
      </c>
      <c r="B5312" s="46" t="s">
        <v>16642</v>
      </c>
      <c r="C5312">
        <v>10</v>
      </c>
      <c r="D5312">
        <v>65</v>
      </c>
    </row>
    <row r="5313" spans="1:4" x14ac:dyDescent="0.25">
      <c r="A5313" s="45" t="s">
        <v>5340</v>
      </c>
      <c r="B5313" s="46" t="s">
        <v>16643</v>
      </c>
      <c r="C5313">
        <v>10</v>
      </c>
      <c r="D5313">
        <v>65</v>
      </c>
    </row>
    <row r="5314" spans="1:4" x14ac:dyDescent="0.25">
      <c r="A5314" s="45" t="s">
        <v>5341</v>
      </c>
      <c r="B5314" s="46" t="s">
        <v>16644</v>
      </c>
      <c r="C5314">
        <v>10</v>
      </c>
      <c r="D5314">
        <v>65</v>
      </c>
    </row>
    <row r="5315" spans="1:4" x14ac:dyDescent="0.25">
      <c r="A5315" s="45" t="s">
        <v>5342</v>
      </c>
      <c r="B5315" s="46" t="s">
        <v>16645</v>
      </c>
      <c r="C5315">
        <v>10</v>
      </c>
      <c r="D5315">
        <v>65</v>
      </c>
    </row>
    <row r="5316" spans="1:4" x14ac:dyDescent="0.25">
      <c r="A5316" s="45" t="s">
        <v>5343</v>
      </c>
      <c r="B5316" s="46" t="s">
        <v>16646</v>
      </c>
      <c r="C5316">
        <v>10</v>
      </c>
      <c r="D5316">
        <v>66</v>
      </c>
    </row>
    <row r="5317" spans="1:4" x14ac:dyDescent="0.25">
      <c r="A5317" s="45" t="s">
        <v>5344</v>
      </c>
      <c r="B5317" s="46" t="s">
        <v>16647</v>
      </c>
      <c r="C5317">
        <v>10</v>
      </c>
      <c r="D5317">
        <v>66</v>
      </c>
    </row>
    <row r="5318" spans="1:4" x14ac:dyDescent="0.25">
      <c r="A5318" s="45" t="s">
        <v>5345</v>
      </c>
      <c r="B5318" s="46" t="s">
        <v>16648</v>
      </c>
      <c r="C5318">
        <v>10</v>
      </c>
      <c r="D5318">
        <v>66</v>
      </c>
    </row>
    <row r="5319" spans="1:4" x14ac:dyDescent="0.25">
      <c r="A5319" s="45" t="s">
        <v>5346</v>
      </c>
      <c r="B5319" s="46" t="s">
        <v>16649</v>
      </c>
      <c r="C5319">
        <v>10</v>
      </c>
      <c r="D5319">
        <v>66</v>
      </c>
    </row>
    <row r="5320" spans="1:4" x14ac:dyDescent="0.25">
      <c r="A5320" s="45" t="s">
        <v>5347</v>
      </c>
      <c r="B5320" s="46" t="s">
        <v>16650</v>
      </c>
      <c r="C5320">
        <v>10</v>
      </c>
      <c r="D5320">
        <v>66</v>
      </c>
    </row>
    <row r="5321" spans="1:4" x14ac:dyDescent="0.25">
      <c r="A5321" s="45" t="s">
        <v>5348</v>
      </c>
      <c r="B5321" s="46" t="s">
        <v>16651</v>
      </c>
      <c r="C5321">
        <v>10</v>
      </c>
      <c r="D5321">
        <v>66</v>
      </c>
    </row>
    <row r="5322" spans="1:4" x14ac:dyDescent="0.25">
      <c r="A5322" s="45" t="s">
        <v>5349</v>
      </c>
      <c r="B5322" s="46" t="s">
        <v>16652</v>
      </c>
      <c r="C5322">
        <v>10</v>
      </c>
      <c r="D5322">
        <v>66</v>
      </c>
    </row>
    <row r="5323" spans="1:4" x14ac:dyDescent="0.25">
      <c r="A5323" s="45" t="s">
        <v>5350</v>
      </c>
      <c r="B5323" s="46" t="s">
        <v>16653</v>
      </c>
      <c r="C5323">
        <v>10</v>
      </c>
      <c r="D5323">
        <v>66</v>
      </c>
    </row>
    <row r="5324" spans="1:4" x14ac:dyDescent="0.25">
      <c r="A5324" s="45" t="s">
        <v>5351</v>
      </c>
      <c r="B5324" s="46" t="s">
        <v>16654</v>
      </c>
      <c r="C5324">
        <v>10</v>
      </c>
      <c r="D5324">
        <v>66</v>
      </c>
    </row>
    <row r="5325" spans="1:4" x14ac:dyDescent="0.25">
      <c r="A5325" s="45" t="s">
        <v>5352</v>
      </c>
      <c r="B5325" s="46" t="s">
        <v>16655</v>
      </c>
      <c r="C5325">
        <v>10</v>
      </c>
      <c r="D5325">
        <v>66</v>
      </c>
    </row>
    <row r="5326" spans="1:4" x14ac:dyDescent="0.25">
      <c r="A5326" s="45" t="s">
        <v>5353</v>
      </c>
      <c r="B5326" s="46" t="s">
        <v>20449</v>
      </c>
      <c r="C5326">
        <v>10</v>
      </c>
      <c r="D5326">
        <v>66</v>
      </c>
    </row>
    <row r="5327" spans="1:4" x14ac:dyDescent="0.25">
      <c r="A5327" s="45" t="s">
        <v>5354</v>
      </c>
      <c r="B5327" s="46" t="s">
        <v>16656</v>
      </c>
      <c r="C5327">
        <v>10</v>
      </c>
      <c r="D5327">
        <v>66</v>
      </c>
    </row>
    <row r="5328" spans="1:4" x14ac:dyDescent="0.25">
      <c r="A5328" s="45" t="s">
        <v>5355</v>
      </c>
      <c r="B5328" s="46" t="s">
        <v>16657</v>
      </c>
      <c r="C5328">
        <v>10</v>
      </c>
      <c r="D5328">
        <v>66</v>
      </c>
    </row>
    <row r="5329" spans="1:4" x14ac:dyDescent="0.25">
      <c r="A5329" s="45" t="s">
        <v>5356</v>
      </c>
      <c r="B5329" s="46" t="s">
        <v>16658</v>
      </c>
      <c r="C5329">
        <v>10</v>
      </c>
      <c r="D5329">
        <v>66</v>
      </c>
    </row>
    <row r="5330" spans="1:4" x14ac:dyDescent="0.25">
      <c r="A5330" s="45" t="s">
        <v>5357</v>
      </c>
      <c r="B5330" s="46" t="s">
        <v>16659</v>
      </c>
      <c r="C5330">
        <v>10</v>
      </c>
      <c r="D5330">
        <v>66</v>
      </c>
    </row>
    <row r="5331" spans="1:4" x14ac:dyDescent="0.25">
      <c r="A5331" s="45" t="s">
        <v>5358</v>
      </c>
      <c r="B5331" s="46" t="s">
        <v>16660</v>
      </c>
      <c r="C5331">
        <v>10</v>
      </c>
      <c r="D5331">
        <v>66</v>
      </c>
    </row>
    <row r="5332" spans="1:4" x14ac:dyDescent="0.25">
      <c r="A5332" s="45" t="s">
        <v>5359</v>
      </c>
      <c r="B5332" s="46" t="s">
        <v>16661</v>
      </c>
      <c r="C5332">
        <v>10</v>
      </c>
      <c r="D5332">
        <v>66</v>
      </c>
    </row>
    <row r="5333" spans="1:4" x14ac:dyDescent="0.25">
      <c r="A5333" s="45" t="s">
        <v>5360</v>
      </c>
      <c r="B5333" s="46" t="s">
        <v>16662</v>
      </c>
      <c r="C5333">
        <v>10</v>
      </c>
      <c r="D5333">
        <v>66</v>
      </c>
    </row>
    <row r="5334" spans="1:4" x14ac:dyDescent="0.25">
      <c r="A5334" s="45" t="s">
        <v>5361</v>
      </c>
      <c r="B5334" s="46" t="s">
        <v>16663</v>
      </c>
      <c r="C5334">
        <v>10</v>
      </c>
      <c r="D5334">
        <v>66</v>
      </c>
    </row>
    <row r="5335" spans="1:4" x14ac:dyDescent="0.25">
      <c r="A5335" s="45" t="s">
        <v>5362</v>
      </c>
      <c r="B5335" s="46" t="s">
        <v>16664</v>
      </c>
      <c r="C5335">
        <v>10</v>
      </c>
      <c r="D5335">
        <v>66</v>
      </c>
    </row>
    <row r="5336" spans="1:4" x14ac:dyDescent="0.25">
      <c r="A5336" s="45" t="s">
        <v>5363</v>
      </c>
      <c r="B5336" s="46" t="s">
        <v>16665</v>
      </c>
      <c r="C5336">
        <v>10</v>
      </c>
      <c r="D5336">
        <v>66</v>
      </c>
    </row>
    <row r="5337" spans="1:4" x14ac:dyDescent="0.25">
      <c r="A5337" s="45" t="s">
        <v>5364</v>
      </c>
      <c r="B5337" s="46" t="s">
        <v>20450</v>
      </c>
      <c r="C5337">
        <v>10</v>
      </c>
      <c r="D5337">
        <v>66</v>
      </c>
    </row>
    <row r="5338" spans="1:4" x14ac:dyDescent="0.25">
      <c r="A5338" s="45" t="s">
        <v>5365</v>
      </c>
      <c r="B5338" s="46" t="s">
        <v>20451</v>
      </c>
      <c r="C5338">
        <v>10</v>
      </c>
      <c r="D5338">
        <v>66</v>
      </c>
    </row>
    <row r="5339" spans="1:4" x14ac:dyDescent="0.25">
      <c r="A5339" s="45" t="s">
        <v>5366</v>
      </c>
      <c r="B5339" s="46" t="s">
        <v>20452</v>
      </c>
      <c r="C5339">
        <v>10</v>
      </c>
      <c r="D5339">
        <v>66</v>
      </c>
    </row>
    <row r="5340" spans="1:4" x14ac:dyDescent="0.25">
      <c r="A5340" s="45" t="s">
        <v>5367</v>
      </c>
      <c r="B5340" s="46" t="s">
        <v>20453</v>
      </c>
      <c r="C5340">
        <v>10</v>
      </c>
      <c r="D5340">
        <v>66</v>
      </c>
    </row>
    <row r="5341" spans="1:4" x14ac:dyDescent="0.25">
      <c r="A5341" s="45" t="s">
        <v>5368</v>
      </c>
      <c r="B5341" s="46" t="s">
        <v>20454</v>
      </c>
      <c r="C5341">
        <v>10</v>
      </c>
      <c r="D5341">
        <v>67</v>
      </c>
    </row>
    <row r="5342" spans="1:4" x14ac:dyDescent="0.25">
      <c r="A5342" s="45" t="s">
        <v>5369</v>
      </c>
      <c r="B5342" s="46" t="s">
        <v>20455</v>
      </c>
      <c r="C5342">
        <v>10</v>
      </c>
      <c r="D5342">
        <v>66</v>
      </c>
    </row>
    <row r="5343" spans="1:4" x14ac:dyDescent="0.25">
      <c r="A5343" s="45" t="s">
        <v>5370</v>
      </c>
      <c r="B5343" s="46" t="s">
        <v>16666</v>
      </c>
      <c r="C5343">
        <v>10</v>
      </c>
      <c r="D5343">
        <v>66</v>
      </c>
    </row>
    <row r="5344" spans="1:4" x14ac:dyDescent="0.25">
      <c r="A5344" s="45" t="s">
        <v>5371</v>
      </c>
      <c r="B5344" s="46" t="s">
        <v>16667</v>
      </c>
      <c r="C5344">
        <v>10</v>
      </c>
      <c r="D5344">
        <v>66</v>
      </c>
    </row>
    <row r="5345" spans="1:4" x14ac:dyDescent="0.25">
      <c r="A5345" s="45" t="s">
        <v>5372</v>
      </c>
      <c r="B5345" s="46" t="s">
        <v>16668</v>
      </c>
      <c r="C5345">
        <v>10</v>
      </c>
      <c r="D5345">
        <v>66</v>
      </c>
    </row>
    <row r="5346" spans="1:4" x14ac:dyDescent="0.25">
      <c r="A5346" s="45" t="s">
        <v>5373</v>
      </c>
      <c r="B5346" s="46" t="s">
        <v>16669</v>
      </c>
      <c r="C5346">
        <v>10</v>
      </c>
      <c r="D5346">
        <v>66</v>
      </c>
    </row>
    <row r="5347" spans="1:4" x14ac:dyDescent="0.25">
      <c r="A5347" s="45" t="s">
        <v>5374</v>
      </c>
      <c r="B5347" s="46" t="s">
        <v>16670</v>
      </c>
      <c r="C5347">
        <v>10</v>
      </c>
      <c r="D5347">
        <v>66</v>
      </c>
    </row>
    <row r="5348" spans="1:4" x14ac:dyDescent="0.25">
      <c r="A5348" s="45" t="s">
        <v>5375</v>
      </c>
      <c r="B5348" s="46" t="s">
        <v>16671</v>
      </c>
      <c r="C5348">
        <v>10</v>
      </c>
      <c r="D5348">
        <v>66</v>
      </c>
    </row>
    <row r="5349" spans="1:4" x14ac:dyDescent="0.25">
      <c r="A5349" s="45" t="s">
        <v>5376</v>
      </c>
      <c r="B5349" s="46" t="s">
        <v>16672</v>
      </c>
      <c r="C5349">
        <v>10</v>
      </c>
      <c r="D5349">
        <v>66</v>
      </c>
    </row>
    <row r="5350" spans="1:4" x14ac:dyDescent="0.25">
      <c r="A5350" s="45" t="s">
        <v>5377</v>
      </c>
      <c r="B5350" s="46" t="s">
        <v>16673</v>
      </c>
      <c r="C5350">
        <v>10</v>
      </c>
      <c r="D5350">
        <v>66</v>
      </c>
    </row>
    <row r="5351" spans="1:4" x14ac:dyDescent="0.25">
      <c r="A5351" s="45" t="s">
        <v>5378</v>
      </c>
      <c r="B5351" s="46" t="s">
        <v>16674</v>
      </c>
      <c r="C5351">
        <v>10</v>
      </c>
      <c r="D5351">
        <v>66</v>
      </c>
    </row>
    <row r="5352" spans="1:4" x14ac:dyDescent="0.25">
      <c r="A5352" s="45" t="s">
        <v>5379</v>
      </c>
      <c r="B5352" s="46" t="s">
        <v>16675</v>
      </c>
      <c r="C5352">
        <v>10</v>
      </c>
      <c r="D5352">
        <v>66</v>
      </c>
    </row>
    <row r="5353" spans="1:4" x14ac:dyDescent="0.25">
      <c r="A5353" s="45" t="s">
        <v>5380</v>
      </c>
      <c r="B5353" s="46" t="s">
        <v>16676</v>
      </c>
      <c r="C5353">
        <v>10</v>
      </c>
      <c r="D5353">
        <v>67</v>
      </c>
    </row>
    <row r="5354" spans="1:4" x14ac:dyDescent="0.25">
      <c r="A5354" s="45" t="s">
        <v>5381</v>
      </c>
      <c r="B5354" s="46" t="s">
        <v>16677</v>
      </c>
      <c r="C5354">
        <v>10</v>
      </c>
      <c r="D5354">
        <v>67</v>
      </c>
    </row>
    <row r="5355" spans="1:4" x14ac:dyDescent="0.25">
      <c r="A5355" s="45" t="s">
        <v>5382</v>
      </c>
      <c r="B5355" s="46" t="s">
        <v>20456</v>
      </c>
      <c r="C5355">
        <v>10</v>
      </c>
      <c r="D5355">
        <v>67</v>
      </c>
    </row>
    <row r="5356" spans="1:4" x14ac:dyDescent="0.25">
      <c r="A5356" s="45" t="s">
        <v>5383</v>
      </c>
      <c r="B5356" s="46" t="s">
        <v>20457</v>
      </c>
      <c r="C5356">
        <v>10</v>
      </c>
      <c r="D5356">
        <v>67</v>
      </c>
    </row>
    <row r="5357" spans="1:4" x14ac:dyDescent="0.25">
      <c r="A5357" s="45" t="s">
        <v>5384</v>
      </c>
      <c r="B5357" s="46" t="s">
        <v>20458</v>
      </c>
      <c r="C5357">
        <v>10</v>
      </c>
      <c r="D5357">
        <v>67</v>
      </c>
    </row>
    <row r="5358" spans="1:4" x14ac:dyDescent="0.25">
      <c r="A5358" s="45" t="s">
        <v>5385</v>
      </c>
      <c r="B5358" s="46" t="s">
        <v>16678</v>
      </c>
      <c r="C5358">
        <v>10</v>
      </c>
      <c r="D5358">
        <v>67</v>
      </c>
    </row>
    <row r="5359" spans="1:4" x14ac:dyDescent="0.25">
      <c r="A5359" s="45" t="s">
        <v>5386</v>
      </c>
      <c r="B5359" s="46" t="s">
        <v>16679</v>
      </c>
      <c r="C5359">
        <v>10</v>
      </c>
      <c r="D5359">
        <v>67</v>
      </c>
    </row>
    <row r="5360" spans="1:4" x14ac:dyDescent="0.25">
      <c r="A5360" s="45" t="s">
        <v>5387</v>
      </c>
      <c r="B5360" s="46" t="s">
        <v>16680</v>
      </c>
      <c r="C5360">
        <v>10</v>
      </c>
      <c r="D5360">
        <v>67</v>
      </c>
    </row>
    <row r="5361" spans="1:4" x14ac:dyDescent="0.25">
      <c r="A5361" s="45" t="s">
        <v>5388</v>
      </c>
      <c r="B5361" s="46" t="s">
        <v>16681</v>
      </c>
      <c r="C5361">
        <v>10</v>
      </c>
      <c r="D5361">
        <v>67</v>
      </c>
    </row>
    <row r="5362" spans="1:4" x14ac:dyDescent="0.25">
      <c r="A5362" s="45" t="s">
        <v>5389</v>
      </c>
      <c r="B5362" s="46" t="s">
        <v>16682</v>
      </c>
      <c r="C5362">
        <v>10</v>
      </c>
      <c r="D5362">
        <v>67</v>
      </c>
    </row>
    <row r="5363" spans="1:4" x14ac:dyDescent="0.25">
      <c r="A5363" s="45" t="s">
        <v>5390</v>
      </c>
      <c r="B5363" s="46" t="s">
        <v>16683</v>
      </c>
      <c r="C5363">
        <v>10</v>
      </c>
      <c r="D5363">
        <v>67</v>
      </c>
    </row>
    <row r="5364" spans="1:4" x14ac:dyDescent="0.25">
      <c r="A5364" s="45" t="s">
        <v>5391</v>
      </c>
      <c r="B5364" s="46" t="s">
        <v>16684</v>
      </c>
      <c r="C5364">
        <v>10</v>
      </c>
      <c r="D5364">
        <v>67</v>
      </c>
    </row>
    <row r="5365" spans="1:4" x14ac:dyDescent="0.25">
      <c r="A5365" s="45" t="s">
        <v>5392</v>
      </c>
      <c r="B5365" s="46" t="s">
        <v>16685</v>
      </c>
      <c r="C5365">
        <v>10</v>
      </c>
      <c r="D5365">
        <v>67</v>
      </c>
    </row>
    <row r="5366" spans="1:4" x14ac:dyDescent="0.25">
      <c r="A5366" s="45" t="s">
        <v>5393</v>
      </c>
      <c r="B5366" s="46" t="s">
        <v>16686</v>
      </c>
      <c r="C5366">
        <v>10</v>
      </c>
      <c r="D5366">
        <v>67</v>
      </c>
    </row>
    <row r="5367" spans="1:4" x14ac:dyDescent="0.25">
      <c r="A5367" s="45" t="s">
        <v>5394</v>
      </c>
      <c r="B5367" s="46" t="s">
        <v>16687</v>
      </c>
      <c r="C5367">
        <v>10</v>
      </c>
      <c r="D5367">
        <v>67</v>
      </c>
    </row>
    <row r="5368" spans="1:4" x14ac:dyDescent="0.25">
      <c r="A5368" s="45" t="s">
        <v>5395</v>
      </c>
      <c r="B5368" s="46" t="s">
        <v>16688</v>
      </c>
      <c r="C5368">
        <v>10</v>
      </c>
      <c r="D5368">
        <v>67</v>
      </c>
    </row>
    <row r="5369" spans="1:4" x14ac:dyDescent="0.25">
      <c r="A5369" s="45" t="s">
        <v>5396</v>
      </c>
      <c r="B5369" s="46" t="s">
        <v>16689</v>
      </c>
      <c r="C5369">
        <v>10</v>
      </c>
      <c r="D5369">
        <v>67</v>
      </c>
    </row>
    <row r="5370" spans="1:4" x14ac:dyDescent="0.25">
      <c r="A5370" s="45" t="s">
        <v>5397</v>
      </c>
      <c r="B5370" s="46" t="s">
        <v>16690</v>
      </c>
      <c r="C5370">
        <v>10</v>
      </c>
      <c r="D5370">
        <v>67</v>
      </c>
    </row>
    <row r="5371" spans="1:4" x14ac:dyDescent="0.25">
      <c r="A5371" s="45" t="s">
        <v>5398</v>
      </c>
      <c r="B5371" s="46" t="s">
        <v>16691</v>
      </c>
      <c r="C5371">
        <v>10</v>
      </c>
      <c r="D5371">
        <v>67</v>
      </c>
    </row>
    <row r="5372" spans="1:4" x14ac:dyDescent="0.25">
      <c r="A5372" s="45" t="s">
        <v>5399</v>
      </c>
      <c r="B5372" s="46" t="s">
        <v>16692</v>
      </c>
      <c r="C5372">
        <v>10</v>
      </c>
      <c r="D5372">
        <v>67</v>
      </c>
    </row>
    <row r="5373" spans="1:4" x14ac:dyDescent="0.25">
      <c r="A5373" s="45" t="s">
        <v>5400</v>
      </c>
      <c r="B5373" s="46" t="s">
        <v>16693</v>
      </c>
      <c r="C5373">
        <v>10</v>
      </c>
      <c r="D5373">
        <v>67</v>
      </c>
    </row>
    <row r="5374" spans="1:4" x14ac:dyDescent="0.25">
      <c r="A5374" s="45" t="s">
        <v>5401</v>
      </c>
      <c r="B5374" s="46" t="s">
        <v>16694</v>
      </c>
      <c r="C5374">
        <v>10</v>
      </c>
      <c r="D5374">
        <v>67</v>
      </c>
    </row>
    <row r="5375" spans="1:4" x14ac:dyDescent="0.25">
      <c r="A5375" s="45" t="s">
        <v>5402</v>
      </c>
      <c r="B5375" s="46" t="s">
        <v>16695</v>
      </c>
      <c r="C5375">
        <v>10</v>
      </c>
      <c r="D5375">
        <v>67</v>
      </c>
    </row>
    <row r="5376" spans="1:4" x14ac:dyDescent="0.25">
      <c r="A5376" s="45" t="s">
        <v>5403</v>
      </c>
      <c r="B5376" s="46" t="s">
        <v>16696</v>
      </c>
      <c r="C5376">
        <v>10</v>
      </c>
      <c r="D5376">
        <v>67</v>
      </c>
    </row>
    <row r="5377" spans="1:4" x14ac:dyDescent="0.25">
      <c r="A5377" s="45" t="s">
        <v>5404</v>
      </c>
      <c r="B5377" s="46" t="s">
        <v>16697</v>
      </c>
      <c r="C5377">
        <v>10</v>
      </c>
      <c r="D5377">
        <v>67</v>
      </c>
    </row>
    <row r="5378" spans="1:4" x14ac:dyDescent="0.25">
      <c r="A5378" s="45" t="s">
        <v>5405</v>
      </c>
      <c r="B5378" s="46" t="s">
        <v>16698</v>
      </c>
      <c r="C5378">
        <v>10</v>
      </c>
      <c r="D5378">
        <v>67</v>
      </c>
    </row>
    <row r="5379" spans="1:4" x14ac:dyDescent="0.25">
      <c r="A5379" s="45" t="s">
        <v>5406</v>
      </c>
      <c r="B5379" s="46" t="s">
        <v>16699</v>
      </c>
      <c r="C5379">
        <v>10</v>
      </c>
      <c r="D5379">
        <v>67</v>
      </c>
    </row>
    <row r="5380" spans="1:4" x14ac:dyDescent="0.25">
      <c r="A5380" s="45" t="s">
        <v>5407</v>
      </c>
      <c r="B5380" s="46" t="s">
        <v>20459</v>
      </c>
      <c r="C5380">
        <v>10</v>
      </c>
      <c r="D5380">
        <v>67</v>
      </c>
    </row>
    <row r="5381" spans="1:4" x14ac:dyDescent="0.25">
      <c r="A5381" s="45" t="s">
        <v>5408</v>
      </c>
      <c r="B5381" s="46" t="s">
        <v>16700</v>
      </c>
      <c r="C5381">
        <v>10</v>
      </c>
      <c r="D5381">
        <v>67</v>
      </c>
    </row>
    <row r="5382" spans="1:4" x14ac:dyDescent="0.25">
      <c r="A5382" s="45" t="s">
        <v>5409</v>
      </c>
      <c r="B5382" s="46" t="s">
        <v>16701</v>
      </c>
      <c r="C5382">
        <v>10</v>
      </c>
      <c r="D5382">
        <v>67</v>
      </c>
    </row>
    <row r="5383" spans="1:4" x14ac:dyDescent="0.25">
      <c r="A5383" s="45" t="s">
        <v>5410</v>
      </c>
      <c r="B5383" s="46" t="s">
        <v>16702</v>
      </c>
      <c r="C5383">
        <v>10</v>
      </c>
      <c r="D5383">
        <v>67</v>
      </c>
    </row>
    <row r="5384" spans="1:4" x14ac:dyDescent="0.25">
      <c r="A5384" s="45" t="s">
        <v>5411</v>
      </c>
      <c r="B5384" s="46" t="s">
        <v>16703</v>
      </c>
      <c r="C5384">
        <v>10</v>
      </c>
      <c r="D5384">
        <v>67</v>
      </c>
    </row>
    <row r="5385" spans="1:4" x14ac:dyDescent="0.25">
      <c r="A5385" s="45" t="s">
        <v>5412</v>
      </c>
      <c r="B5385" s="46" t="s">
        <v>16704</v>
      </c>
      <c r="C5385">
        <v>10</v>
      </c>
      <c r="D5385">
        <v>67</v>
      </c>
    </row>
    <row r="5386" spans="1:4" x14ac:dyDescent="0.25">
      <c r="A5386" s="45" t="s">
        <v>5413</v>
      </c>
      <c r="B5386" s="46" t="s">
        <v>16705</v>
      </c>
      <c r="C5386">
        <v>10</v>
      </c>
      <c r="D5386">
        <v>67</v>
      </c>
    </row>
    <row r="5387" spans="1:4" x14ac:dyDescent="0.25">
      <c r="A5387" s="45" t="s">
        <v>5414</v>
      </c>
      <c r="B5387" s="46" t="s">
        <v>20460</v>
      </c>
      <c r="C5387">
        <v>10</v>
      </c>
      <c r="D5387">
        <v>67</v>
      </c>
    </row>
    <row r="5388" spans="1:4" x14ac:dyDescent="0.25">
      <c r="A5388" s="45" t="s">
        <v>5415</v>
      </c>
      <c r="B5388" s="46" t="s">
        <v>16706</v>
      </c>
      <c r="C5388">
        <v>10</v>
      </c>
      <c r="D5388">
        <v>67</v>
      </c>
    </row>
    <row r="5389" spans="1:4" x14ac:dyDescent="0.25">
      <c r="A5389" s="45" t="s">
        <v>5416</v>
      </c>
      <c r="B5389" s="46" t="s">
        <v>16707</v>
      </c>
      <c r="C5389">
        <v>10</v>
      </c>
      <c r="D5389">
        <v>67</v>
      </c>
    </row>
    <row r="5390" spans="1:4" x14ac:dyDescent="0.25">
      <c r="A5390" s="45" t="s">
        <v>5417</v>
      </c>
      <c r="B5390" s="46" t="s">
        <v>16708</v>
      </c>
      <c r="C5390">
        <v>10</v>
      </c>
      <c r="D5390">
        <v>67</v>
      </c>
    </row>
    <row r="5391" spans="1:4" x14ac:dyDescent="0.25">
      <c r="A5391" s="45" t="s">
        <v>5418</v>
      </c>
      <c r="B5391" s="46" t="s">
        <v>16709</v>
      </c>
      <c r="C5391">
        <v>10</v>
      </c>
      <c r="D5391">
        <v>67</v>
      </c>
    </row>
    <row r="5392" spans="1:4" x14ac:dyDescent="0.25">
      <c r="A5392" s="45" t="s">
        <v>5419</v>
      </c>
      <c r="B5392" s="46" t="s">
        <v>20461</v>
      </c>
      <c r="C5392">
        <v>10</v>
      </c>
      <c r="D5392">
        <v>67</v>
      </c>
    </row>
    <row r="5393" spans="1:4" x14ac:dyDescent="0.25">
      <c r="A5393" s="45" t="s">
        <v>5420</v>
      </c>
      <c r="B5393" s="46" t="s">
        <v>20462</v>
      </c>
      <c r="C5393">
        <v>10</v>
      </c>
      <c r="D5393">
        <v>67</v>
      </c>
    </row>
    <row r="5394" spans="1:4" x14ac:dyDescent="0.25">
      <c r="A5394" s="45" t="s">
        <v>5421</v>
      </c>
      <c r="B5394" s="46" t="s">
        <v>16710</v>
      </c>
      <c r="C5394">
        <v>10</v>
      </c>
      <c r="D5394">
        <v>67</v>
      </c>
    </row>
    <row r="5395" spans="1:4" x14ac:dyDescent="0.25">
      <c r="A5395" s="45" t="s">
        <v>5422</v>
      </c>
      <c r="B5395" s="46" t="s">
        <v>16711</v>
      </c>
      <c r="C5395">
        <v>10</v>
      </c>
      <c r="D5395">
        <v>67</v>
      </c>
    </row>
    <row r="5396" spans="1:4" x14ac:dyDescent="0.25">
      <c r="A5396" s="45" t="s">
        <v>5423</v>
      </c>
      <c r="B5396" s="46" t="s">
        <v>16712</v>
      </c>
      <c r="C5396">
        <v>10</v>
      </c>
      <c r="D5396">
        <v>67</v>
      </c>
    </row>
    <row r="5397" spans="1:4" x14ac:dyDescent="0.25">
      <c r="A5397" s="45" t="s">
        <v>5424</v>
      </c>
      <c r="B5397" s="46" t="s">
        <v>16713</v>
      </c>
      <c r="C5397">
        <v>10</v>
      </c>
      <c r="D5397">
        <v>67</v>
      </c>
    </row>
    <row r="5398" spans="1:4" x14ac:dyDescent="0.25">
      <c r="A5398" s="45" t="s">
        <v>5425</v>
      </c>
      <c r="B5398" s="46" t="s">
        <v>20463</v>
      </c>
      <c r="C5398">
        <v>10</v>
      </c>
      <c r="D5398">
        <v>67</v>
      </c>
    </row>
    <row r="5399" spans="1:4" x14ac:dyDescent="0.25">
      <c r="A5399" s="45" t="s">
        <v>5426</v>
      </c>
      <c r="B5399" s="46" t="s">
        <v>16714</v>
      </c>
      <c r="C5399">
        <v>10</v>
      </c>
      <c r="D5399">
        <v>67</v>
      </c>
    </row>
    <row r="5400" spans="1:4" x14ac:dyDescent="0.25">
      <c r="A5400" s="45" t="s">
        <v>5427</v>
      </c>
      <c r="B5400" s="46" t="s">
        <v>16715</v>
      </c>
      <c r="C5400">
        <v>10</v>
      </c>
      <c r="D5400">
        <v>67</v>
      </c>
    </row>
    <row r="5401" spans="1:4" x14ac:dyDescent="0.25">
      <c r="A5401" s="45" t="s">
        <v>5428</v>
      </c>
      <c r="B5401" s="46" t="s">
        <v>16716</v>
      </c>
      <c r="C5401">
        <v>10</v>
      </c>
      <c r="D5401">
        <v>67</v>
      </c>
    </row>
    <row r="5402" spans="1:4" x14ac:dyDescent="0.25">
      <c r="A5402" s="45" t="s">
        <v>5429</v>
      </c>
      <c r="B5402" s="46" t="s">
        <v>16717</v>
      </c>
      <c r="C5402">
        <v>10</v>
      </c>
      <c r="D5402">
        <v>67</v>
      </c>
    </row>
    <row r="5403" spans="1:4" x14ac:dyDescent="0.25">
      <c r="A5403" s="45" t="s">
        <v>5430</v>
      </c>
      <c r="B5403" s="46" t="s">
        <v>16718</v>
      </c>
      <c r="C5403">
        <v>10</v>
      </c>
      <c r="D5403">
        <v>67</v>
      </c>
    </row>
    <row r="5404" spans="1:4" x14ac:dyDescent="0.25">
      <c r="A5404" s="45" t="s">
        <v>5431</v>
      </c>
      <c r="B5404" s="46" t="s">
        <v>16719</v>
      </c>
      <c r="C5404">
        <v>10</v>
      </c>
      <c r="D5404">
        <v>67</v>
      </c>
    </row>
    <row r="5405" spans="1:4" x14ac:dyDescent="0.25">
      <c r="A5405" s="45" t="s">
        <v>5432</v>
      </c>
      <c r="B5405" s="46" t="s">
        <v>16720</v>
      </c>
      <c r="C5405">
        <v>10</v>
      </c>
      <c r="D5405">
        <v>67</v>
      </c>
    </row>
    <row r="5406" spans="1:4" x14ac:dyDescent="0.25">
      <c r="A5406" s="45" t="s">
        <v>5433</v>
      </c>
      <c r="B5406" s="46" t="s">
        <v>16721</v>
      </c>
      <c r="C5406">
        <v>10</v>
      </c>
      <c r="D5406">
        <v>67</v>
      </c>
    </row>
    <row r="5407" spans="1:4" x14ac:dyDescent="0.25">
      <c r="A5407" s="45" t="s">
        <v>5434</v>
      </c>
      <c r="B5407" s="46" t="s">
        <v>16722</v>
      </c>
      <c r="C5407">
        <v>10</v>
      </c>
      <c r="D5407">
        <v>67</v>
      </c>
    </row>
    <row r="5408" spans="1:4" x14ac:dyDescent="0.25">
      <c r="A5408" s="45" t="s">
        <v>5435</v>
      </c>
      <c r="B5408" s="46" t="s">
        <v>16723</v>
      </c>
      <c r="C5408">
        <v>10</v>
      </c>
      <c r="D5408">
        <v>67</v>
      </c>
    </row>
    <row r="5409" spans="1:4" x14ac:dyDescent="0.25">
      <c r="A5409" s="45" t="s">
        <v>5436</v>
      </c>
      <c r="B5409" s="46" t="s">
        <v>16724</v>
      </c>
      <c r="C5409">
        <v>10</v>
      </c>
      <c r="D5409">
        <v>67</v>
      </c>
    </row>
    <row r="5410" spans="1:4" x14ac:dyDescent="0.25">
      <c r="A5410" s="45" t="s">
        <v>5437</v>
      </c>
      <c r="B5410" s="46" t="s">
        <v>16725</v>
      </c>
      <c r="C5410">
        <v>10</v>
      </c>
      <c r="D5410">
        <v>67</v>
      </c>
    </row>
    <row r="5411" spans="1:4" x14ac:dyDescent="0.25">
      <c r="A5411" s="45" t="s">
        <v>5438</v>
      </c>
      <c r="B5411" s="46" t="s">
        <v>16726</v>
      </c>
      <c r="C5411">
        <v>10</v>
      </c>
      <c r="D5411">
        <v>67</v>
      </c>
    </row>
    <row r="5412" spans="1:4" x14ac:dyDescent="0.25">
      <c r="A5412" s="45" t="s">
        <v>5439</v>
      </c>
      <c r="B5412" s="46" t="s">
        <v>16727</v>
      </c>
      <c r="C5412">
        <v>10</v>
      </c>
      <c r="D5412">
        <v>67</v>
      </c>
    </row>
    <row r="5413" spans="1:4" x14ac:dyDescent="0.25">
      <c r="A5413" s="45" t="s">
        <v>5440</v>
      </c>
      <c r="B5413" s="46" t="s">
        <v>16728</v>
      </c>
      <c r="C5413">
        <v>10</v>
      </c>
      <c r="D5413">
        <v>67</v>
      </c>
    </row>
    <row r="5414" spans="1:4" x14ac:dyDescent="0.25">
      <c r="A5414" s="45" t="s">
        <v>5441</v>
      </c>
      <c r="B5414" s="46" t="s">
        <v>16729</v>
      </c>
      <c r="C5414">
        <v>10</v>
      </c>
      <c r="D5414">
        <v>67</v>
      </c>
    </row>
    <row r="5415" spans="1:4" x14ac:dyDescent="0.25">
      <c r="A5415" s="45" t="s">
        <v>5442</v>
      </c>
      <c r="B5415" s="46" t="s">
        <v>16730</v>
      </c>
      <c r="C5415">
        <v>10</v>
      </c>
      <c r="D5415">
        <v>66</v>
      </c>
    </row>
    <row r="5416" spans="1:4" x14ac:dyDescent="0.25">
      <c r="A5416" s="45" t="s">
        <v>5443</v>
      </c>
      <c r="B5416" s="46" t="s">
        <v>16731</v>
      </c>
      <c r="C5416">
        <v>10</v>
      </c>
      <c r="D5416">
        <v>67</v>
      </c>
    </row>
    <row r="5417" spans="1:4" x14ac:dyDescent="0.25">
      <c r="A5417" s="45" t="s">
        <v>5444</v>
      </c>
      <c r="B5417" s="46" t="s">
        <v>16732</v>
      </c>
      <c r="C5417">
        <v>10</v>
      </c>
      <c r="D5417">
        <v>67</v>
      </c>
    </row>
    <row r="5418" spans="1:4" x14ac:dyDescent="0.25">
      <c r="A5418" s="45" t="s">
        <v>5445</v>
      </c>
      <c r="B5418" s="46" t="s">
        <v>16733</v>
      </c>
      <c r="C5418">
        <v>10</v>
      </c>
      <c r="D5418">
        <v>67</v>
      </c>
    </row>
    <row r="5419" spans="1:4" x14ac:dyDescent="0.25">
      <c r="A5419" s="45" t="s">
        <v>5446</v>
      </c>
      <c r="B5419" s="46" t="s">
        <v>16734</v>
      </c>
      <c r="C5419">
        <v>10</v>
      </c>
      <c r="D5419">
        <v>67</v>
      </c>
    </row>
    <row r="5420" spans="1:4" x14ac:dyDescent="0.25">
      <c r="A5420" s="45" t="s">
        <v>5447</v>
      </c>
      <c r="B5420" s="46" t="s">
        <v>16735</v>
      </c>
      <c r="C5420">
        <v>10</v>
      </c>
      <c r="D5420">
        <v>67</v>
      </c>
    </row>
    <row r="5421" spans="1:4" x14ac:dyDescent="0.25">
      <c r="A5421" s="45" t="s">
        <v>5448</v>
      </c>
      <c r="B5421" s="46" t="s">
        <v>16736</v>
      </c>
      <c r="C5421">
        <v>10</v>
      </c>
      <c r="D5421">
        <v>67</v>
      </c>
    </row>
    <row r="5422" spans="1:4" x14ac:dyDescent="0.25">
      <c r="A5422" s="45" t="s">
        <v>5449</v>
      </c>
      <c r="B5422" s="46" t="s">
        <v>16737</v>
      </c>
      <c r="C5422">
        <v>10</v>
      </c>
      <c r="D5422">
        <v>67</v>
      </c>
    </row>
    <row r="5423" spans="1:4" x14ac:dyDescent="0.25">
      <c r="A5423" s="45" t="s">
        <v>5450</v>
      </c>
      <c r="B5423" s="46" t="s">
        <v>16738</v>
      </c>
      <c r="C5423">
        <v>10</v>
      </c>
      <c r="D5423">
        <v>67</v>
      </c>
    </row>
    <row r="5424" spans="1:4" x14ac:dyDescent="0.25">
      <c r="A5424" s="45" t="s">
        <v>5451</v>
      </c>
      <c r="B5424" s="46" t="s">
        <v>16739</v>
      </c>
      <c r="C5424">
        <v>10</v>
      </c>
      <c r="D5424">
        <v>67</v>
      </c>
    </row>
    <row r="5425" spans="1:4" x14ac:dyDescent="0.25">
      <c r="A5425" s="45" t="s">
        <v>5452</v>
      </c>
      <c r="B5425" s="46" t="s">
        <v>16740</v>
      </c>
      <c r="C5425">
        <v>10</v>
      </c>
      <c r="D5425">
        <v>67</v>
      </c>
    </row>
    <row r="5426" spans="1:4" x14ac:dyDescent="0.25">
      <c r="A5426" s="45" t="s">
        <v>5453</v>
      </c>
      <c r="B5426" s="46" t="s">
        <v>16741</v>
      </c>
      <c r="C5426">
        <v>10</v>
      </c>
      <c r="D5426">
        <v>67</v>
      </c>
    </row>
    <row r="5427" spans="1:4" x14ac:dyDescent="0.25">
      <c r="A5427" s="45" t="s">
        <v>5454</v>
      </c>
      <c r="B5427" s="46" t="s">
        <v>16742</v>
      </c>
      <c r="C5427">
        <v>10</v>
      </c>
      <c r="D5427">
        <v>67</v>
      </c>
    </row>
    <row r="5428" spans="1:4" x14ac:dyDescent="0.25">
      <c r="A5428" s="45" t="s">
        <v>5455</v>
      </c>
      <c r="B5428" s="46" t="s">
        <v>16743</v>
      </c>
      <c r="C5428">
        <v>10</v>
      </c>
      <c r="D5428">
        <v>67</v>
      </c>
    </row>
    <row r="5429" spans="1:4" x14ac:dyDescent="0.25">
      <c r="A5429" s="45" t="s">
        <v>5456</v>
      </c>
      <c r="B5429" s="46" t="s">
        <v>16744</v>
      </c>
      <c r="C5429">
        <v>10</v>
      </c>
      <c r="D5429">
        <v>67</v>
      </c>
    </row>
    <row r="5430" spans="1:4" x14ac:dyDescent="0.25">
      <c r="A5430" s="45" t="s">
        <v>5457</v>
      </c>
      <c r="B5430" s="46" t="s">
        <v>16745</v>
      </c>
      <c r="C5430">
        <v>10</v>
      </c>
      <c r="D5430">
        <v>67</v>
      </c>
    </row>
    <row r="5431" spans="1:4" x14ac:dyDescent="0.25">
      <c r="A5431" s="45" t="s">
        <v>5458</v>
      </c>
      <c r="B5431" s="46" t="s">
        <v>16746</v>
      </c>
      <c r="C5431">
        <v>10</v>
      </c>
      <c r="D5431">
        <v>67</v>
      </c>
    </row>
    <row r="5432" spans="1:4" x14ac:dyDescent="0.25">
      <c r="A5432" s="45" t="s">
        <v>5459</v>
      </c>
      <c r="B5432" s="46" t="s">
        <v>16747</v>
      </c>
      <c r="C5432">
        <v>10</v>
      </c>
      <c r="D5432">
        <v>67</v>
      </c>
    </row>
    <row r="5433" spans="1:4" x14ac:dyDescent="0.25">
      <c r="A5433" s="45" t="s">
        <v>5460</v>
      </c>
      <c r="B5433" s="46" t="s">
        <v>16748</v>
      </c>
      <c r="C5433">
        <v>10</v>
      </c>
      <c r="D5433">
        <v>67</v>
      </c>
    </row>
    <row r="5434" spans="1:4" x14ac:dyDescent="0.25">
      <c r="A5434" s="45" t="s">
        <v>5461</v>
      </c>
      <c r="B5434" s="46" t="s">
        <v>16749</v>
      </c>
      <c r="C5434">
        <v>10</v>
      </c>
      <c r="D5434">
        <v>67</v>
      </c>
    </row>
    <row r="5435" spans="1:4" x14ac:dyDescent="0.25">
      <c r="A5435" s="45" t="s">
        <v>5462</v>
      </c>
      <c r="B5435" s="46" t="s">
        <v>16750</v>
      </c>
      <c r="C5435">
        <v>10</v>
      </c>
      <c r="D5435">
        <v>66</v>
      </c>
    </row>
    <row r="5436" spans="1:4" x14ac:dyDescent="0.25">
      <c r="A5436" s="45" t="s">
        <v>5463</v>
      </c>
      <c r="B5436" s="46" t="s">
        <v>16751</v>
      </c>
      <c r="C5436">
        <v>10</v>
      </c>
      <c r="D5436">
        <v>67</v>
      </c>
    </row>
    <row r="5437" spans="1:4" x14ac:dyDescent="0.25">
      <c r="A5437" s="45" t="s">
        <v>5464</v>
      </c>
      <c r="B5437" s="46" t="s">
        <v>16752</v>
      </c>
      <c r="C5437">
        <v>10</v>
      </c>
      <c r="D5437">
        <v>67</v>
      </c>
    </row>
    <row r="5438" spans="1:4" x14ac:dyDescent="0.25">
      <c r="A5438" s="45" t="s">
        <v>5465</v>
      </c>
      <c r="B5438" s="46" t="s">
        <v>16753</v>
      </c>
      <c r="C5438">
        <v>10</v>
      </c>
      <c r="D5438">
        <v>67</v>
      </c>
    </row>
    <row r="5439" spans="1:4" x14ac:dyDescent="0.25">
      <c r="A5439" s="45" t="s">
        <v>5466</v>
      </c>
      <c r="B5439" s="46" t="s">
        <v>16754</v>
      </c>
      <c r="C5439">
        <v>10</v>
      </c>
      <c r="D5439">
        <v>67</v>
      </c>
    </row>
    <row r="5440" spans="1:4" x14ac:dyDescent="0.25">
      <c r="A5440" s="45" t="s">
        <v>5467</v>
      </c>
      <c r="B5440" s="46" t="s">
        <v>20464</v>
      </c>
      <c r="C5440">
        <v>10</v>
      </c>
      <c r="D5440">
        <v>67</v>
      </c>
    </row>
    <row r="5441" spans="1:4" x14ac:dyDescent="0.25">
      <c r="A5441" s="45" t="s">
        <v>5468</v>
      </c>
      <c r="B5441" s="46" t="s">
        <v>16755</v>
      </c>
      <c r="C5441">
        <v>10</v>
      </c>
      <c r="D5441">
        <v>67</v>
      </c>
    </row>
    <row r="5442" spans="1:4" x14ac:dyDescent="0.25">
      <c r="A5442" s="45" t="s">
        <v>5469</v>
      </c>
      <c r="B5442" s="46" t="s">
        <v>16756</v>
      </c>
      <c r="C5442">
        <v>10</v>
      </c>
      <c r="D5442">
        <v>67</v>
      </c>
    </row>
    <row r="5443" spans="1:4" x14ac:dyDescent="0.25">
      <c r="A5443" s="45" t="s">
        <v>5470</v>
      </c>
      <c r="B5443" s="46" t="s">
        <v>16757</v>
      </c>
      <c r="C5443">
        <v>10</v>
      </c>
      <c r="D5443">
        <v>67</v>
      </c>
    </row>
    <row r="5444" spans="1:4" x14ac:dyDescent="0.25">
      <c r="A5444" s="45" t="s">
        <v>5471</v>
      </c>
      <c r="B5444" s="46" t="s">
        <v>16758</v>
      </c>
      <c r="C5444">
        <v>10</v>
      </c>
      <c r="D5444">
        <v>67</v>
      </c>
    </row>
    <row r="5445" spans="1:4" x14ac:dyDescent="0.25">
      <c r="A5445" s="45" t="s">
        <v>5472</v>
      </c>
      <c r="B5445" s="46" t="s">
        <v>16759</v>
      </c>
      <c r="C5445">
        <v>10</v>
      </c>
      <c r="D5445">
        <v>67</v>
      </c>
    </row>
    <row r="5446" spans="1:4" x14ac:dyDescent="0.25">
      <c r="A5446" s="45" t="s">
        <v>5473</v>
      </c>
      <c r="B5446" s="46" t="s">
        <v>16760</v>
      </c>
      <c r="C5446">
        <v>10</v>
      </c>
      <c r="D5446">
        <v>67</v>
      </c>
    </row>
    <row r="5447" spans="1:4" x14ac:dyDescent="0.25">
      <c r="A5447" s="45" t="s">
        <v>5474</v>
      </c>
      <c r="B5447" s="46" t="s">
        <v>20465</v>
      </c>
      <c r="C5447">
        <v>10</v>
      </c>
      <c r="D5447">
        <v>67</v>
      </c>
    </row>
    <row r="5448" spans="1:4" x14ac:dyDescent="0.25">
      <c r="A5448" s="45" t="s">
        <v>5475</v>
      </c>
      <c r="B5448" s="46" t="s">
        <v>16761</v>
      </c>
      <c r="C5448">
        <v>10</v>
      </c>
      <c r="D5448">
        <v>67</v>
      </c>
    </row>
    <row r="5449" spans="1:4" x14ac:dyDescent="0.25">
      <c r="A5449" s="45" t="s">
        <v>5476</v>
      </c>
      <c r="B5449" s="46" t="s">
        <v>16762</v>
      </c>
      <c r="C5449">
        <v>10</v>
      </c>
      <c r="D5449">
        <v>67</v>
      </c>
    </row>
    <row r="5450" spans="1:4" x14ac:dyDescent="0.25">
      <c r="A5450" s="45" t="s">
        <v>5477</v>
      </c>
      <c r="B5450" s="46" t="s">
        <v>16763</v>
      </c>
      <c r="C5450">
        <v>10</v>
      </c>
      <c r="D5450">
        <v>67</v>
      </c>
    </row>
    <row r="5451" spans="1:4" x14ac:dyDescent="0.25">
      <c r="A5451" s="45" t="s">
        <v>5478</v>
      </c>
      <c r="B5451" s="46" t="s">
        <v>16764</v>
      </c>
      <c r="C5451">
        <v>10</v>
      </c>
      <c r="D5451">
        <v>67</v>
      </c>
    </row>
    <row r="5452" spans="1:4" x14ac:dyDescent="0.25">
      <c r="A5452" s="45" t="s">
        <v>5479</v>
      </c>
      <c r="B5452" s="46" t="s">
        <v>16765</v>
      </c>
      <c r="C5452">
        <v>10</v>
      </c>
      <c r="D5452">
        <v>67</v>
      </c>
    </row>
    <row r="5453" spans="1:4" x14ac:dyDescent="0.25">
      <c r="A5453" s="45" t="s">
        <v>5480</v>
      </c>
      <c r="B5453" s="46" t="s">
        <v>16766</v>
      </c>
      <c r="C5453">
        <v>10</v>
      </c>
      <c r="D5453">
        <v>67</v>
      </c>
    </row>
    <row r="5454" spans="1:4" x14ac:dyDescent="0.25">
      <c r="A5454" s="45" t="s">
        <v>5481</v>
      </c>
      <c r="B5454" s="46" t="s">
        <v>16767</v>
      </c>
      <c r="C5454">
        <v>10</v>
      </c>
      <c r="D5454">
        <v>67</v>
      </c>
    </row>
    <row r="5455" spans="1:4" x14ac:dyDescent="0.25">
      <c r="A5455" s="45" t="s">
        <v>5482</v>
      </c>
      <c r="B5455" s="46" t="s">
        <v>16768</v>
      </c>
      <c r="C5455">
        <v>10</v>
      </c>
      <c r="D5455">
        <v>67</v>
      </c>
    </row>
    <row r="5456" spans="1:4" x14ac:dyDescent="0.25">
      <c r="A5456" s="45" t="s">
        <v>5483</v>
      </c>
      <c r="B5456" s="46" t="s">
        <v>16769</v>
      </c>
      <c r="C5456">
        <v>10</v>
      </c>
      <c r="D5456">
        <v>67</v>
      </c>
    </row>
    <row r="5457" spans="1:4" x14ac:dyDescent="0.25">
      <c r="A5457" s="45" t="s">
        <v>5484</v>
      </c>
      <c r="B5457" s="46" t="s">
        <v>16770</v>
      </c>
      <c r="C5457">
        <v>10</v>
      </c>
      <c r="D5457">
        <v>67</v>
      </c>
    </row>
    <row r="5458" spans="1:4" x14ac:dyDescent="0.25">
      <c r="A5458" s="45" t="s">
        <v>5485</v>
      </c>
      <c r="B5458" s="46" t="s">
        <v>16771</v>
      </c>
      <c r="C5458">
        <v>10</v>
      </c>
      <c r="D5458">
        <v>67</v>
      </c>
    </row>
    <row r="5459" spans="1:4" x14ac:dyDescent="0.25">
      <c r="A5459" s="45" t="s">
        <v>5486</v>
      </c>
      <c r="B5459" s="46" t="s">
        <v>16772</v>
      </c>
      <c r="C5459">
        <v>10</v>
      </c>
      <c r="D5459">
        <v>67</v>
      </c>
    </row>
    <row r="5460" spans="1:4" x14ac:dyDescent="0.25">
      <c r="A5460" s="45" t="s">
        <v>5487</v>
      </c>
      <c r="B5460" s="46" t="s">
        <v>16773</v>
      </c>
      <c r="C5460">
        <v>10</v>
      </c>
      <c r="D5460">
        <v>67</v>
      </c>
    </row>
    <row r="5461" spans="1:4" x14ac:dyDescent="0.25">
      <c r="A5461" s="45" t="s">
        <v>5488</v>
      </c>
      <c r="B5461" s="46" t="s">
        <v>16774</v>
      </c>
      <c r="C5461">
        <v>10</v>
      </c>
      <c r="D5461">
        <v>67</v>
      </c>
    </row>
    <row r="5462" spans="1:4" x14ac:dyDescent="0.25">
      <c r="A5462" s="45" t="s">
        <v>5489</v>
      </c>
      <c r="B5462" s="46" t="s">
        <v>16775</v>
      </c>
      <c r="C5462">
        <v>10</v>
      </c>
      <c r="D5462">
        <v>67</v>
      </c>
    </row>
    <row r="5463" spans="1:4" x14ac:dyDescent="0.25">
      <c r="A5463" s="45" t="s">
        <v>5490</v>
      </c>
      <c r="B5463" s="46" t="s">
        <v>16776</v>
      </c>
      <c r="C5463">
        <v>10</v>
      </c>
      <c r="D5463">
        <v>67</v>
      </c>
    </row>
    <row r="5464" spans="1:4" x14ac:dyDescent="0.25">
      <c r="A5464" s="45" t="s">
        <v>5491</v>
      </c>
      <c r="B5464" s="46" t="s">
        <v>16777</v>
      </c>
      <c r="C5464">
        <v>10</v>
      </c>
      <c r="D5464">
        <v>67</v>
      </c>
    </row>
    <row r="5465" spans="1:4" x14ac:dyDescent="0.25">
      <c r="A5465" s="45" t="s">
        <v>5492</v>
      </c>
      <c r="B5465" s="46" t="s">
        <v>20466</v>
      </c>
      <c r="C5465">
        <v>10</v>
      </c>
      <c r="D5465">
        <v>67</v>
      </c>
    </row>
    <row r="5466" spans="1:4" x14ac:dyDescent="0.25">
      <c r="A5466" s="45" t="s">
        <v>5493</v>
      </c>
      <c r="B5466" s="46" t="s">
        <v>20467</v>
      </c>
      <c r="C5466">
        <v>10</v>
      </c>
      <c r="D5466">
        <v>67</v>
      </c>
    </row>
    <row r="5467" spans="1:4" x14ac:dyDescent="0.25">
      <c r="A5467" s="45" t="s">
        <v>5494</v>
      </c>
      <c r="B5467" s="46" t="s">
        <v>16778</v>
      </c>
      <c r="C5467">
        <v>10</v>
      </c>
      <c r="D5467">
        <v>67</v>
      </c>
    </row>
    <row r="5468" spans="1:4" x14ac:dyDescent="0.25">
      <c r="A5468" s="45" t="s">
        <v>5495</v>
      </c>
      <c r="B5468" s="46" t="s">
        <v>16779</v>
      </c>
      <c r="C5468">
        <v>10</v>
      </c>
      <c r="D5468">
        <v>67</v>
      </c>
    </row>
    <row r="5469" spans="1:4" x14ac:dyDescent="0.25">
      <c r="A5469" s="45" t="s">
        <v>5496</v>
      </c>
      <c r="B5469" s="46" t="s">
        <v>16780</v>
      </c>
      <c r="C5469">
        <v>10</v>
      </c>
      <c r="D5469">
        <v>67</v>
      </c>
    </row>
    <row r="5470" spans="1:4" x14ac:dyDescent="0.25">
      <c r="A5470" s="45" t="s">
        <v>5497</v>
      </c>
      <c r="B5470" s="46" t="s">
        <v>16781</v>
      </c>
      <c r="C5470">
        <v>10</v>
      </c>
      <c r="D5470">
        <v>67</v>
      </c>
    </row>
    <row r="5471" spans="1:4" x14ac:dyDescent="0.25">
      <c r="A5471" s="45" t="s">
        <v>5498</v>
      </c>
      <c r="B5471" s="46" t="s">
        <v>16782</v>
      </c>
      <c r="C5471">
        <v>10</v>
      </c>
      <c r="D5471">
        <v>67</v>
      </c>
    </row>
    <row r="5472" spans="1:4" x14ac:dyDescent="0.25">
      <c r="A5472" s="45" t="s">
        <v>5499</v>
      </c>
      <c r="B5472" s="46" t="s">
        <v>16783</v>
      </c>
      <c r="C5472">
        <v>10</v>
      </c>
      <c r="D5472">
        <v>67</v>
      </c>
    </row>
    <row r="5473" spans="1:4" x14ac:dyDescent="0.25">
      <c r="A5473" s="45" t="s">
        <v>5500</v>
      </c>
      <c r="B5473" s="46" t="s">
        <v>16784</v>
      </c>
      <c r="C5473">
        <v>10</v>
      </c>
      <c r="D5473">
        <v>67</v>
      </c>
    </row>
    <row r="5474" spans="1:4" x14ac:dyDescent="0.25">
      <c r="A5474" s="45" t="s">
        <v>5501</v>
      </c>
      <c r="B5474" s="46" t="s">
        <v>16785</v>
      </c>
      <c r="C5474">
        <v>10</v>
      </c>
      <c r="D5474">
        <v>67</v>
      </c>
    </row>
    <row r="5475" spans="1:4" x14ac:dyDescent="0.25">
      <c r="A5475" s="45" t="s">
        <v>5502</v>
      </c>
      <c r="B5475" s="46" t="s">
        <v>16786</v>
      </c>
      <c r="C5475">
        <v>10</v>
      </c>
      <c r="D5475">
        <v>67</v>
      </c>
    </row>
    <row r="5476" spans="1:4" x14ac:dyDescent="0.25">
      <c r="A5476" s="45" t="s">
        <v>5503</v>
      </c>
      <c r="B5476" s="46" t="s">
        <v>16787</v>
      </c>
      <c r="C5476">
        <v>17</v>
      </c>
      <c r="D5476">
        <v>106</v>
      </c>
    </row>
    <row r="5477" spans="1:4" x14ac:dyDescent="0.25">
      <c r="A5477" s="45" t="s">
        <v>5504</v>
      </c>
      <c r="B5477" s="46" t="s">
        <v>16788</v>
      </c>
      <c r="C5477">
        <v>17</v>
      </c>
      <c r="D5477">
        <v>106</v>
      </c>
    </row>
    <row r="5478" spans="1:4" x14ac:dyDescent="0.25">
      <c r="A5478" s="45" t="s">
        <v>5505</v>
      </c>
      <c r="B5478" s="46" t="s">
        <v>16789</v>
      </c>
      <c r="C5478">
        <v>17</v>
      </c>
      <c r="D5478">
        <v>106</v>
      </c>
    </row>
    <row r="5479" spans="1:4" x14ac:dyDescent="0.25">
      <c r="A5479" s="45" t="s">
        <v>5506</v>
      </c>
      <c r="B5479" s="46" t="s">
        <v>16790</v>
      </c>
      <c r="C5479">
        <v>17</v>
      </c>
      <c r="D5479">
        <v>106</v>
      </c>
    </row>
    <row r="5480" spans="1:4" x14ac:dyDescent="0.25">
      <c r="A5480" s="45" t="s">
        <v>5507</v>
      </c>
      <c r="B5480" s="46" t="s">
        <v>16791</v>
      </c>
      <c r="C5480">
        <v>17</v>
      </c>
      <c r="D5480">
        <v>106</v>
      </c>
    </row>
    <row r="5481" spans="1:4" x14ac:dyDescent="0.25">
      <c r="A5481" s="45" t="s">
        <v>5508</v>
      </c>
      <c r="B5481" s="46" t="s">
        <v>16792</v>
      </c>
      <c r="C5481">
        <v>17</v>
      </c>
      <c r="D5481">
        <v>106</v>
      </c>
    </row>
    <row r="5482" spans="1:4" x14ac:dyDescent="0.25">
      <c r="A5482" s="45" t="s">
        <v>5509</v>
      </c>
      <c r="B5482" s="46" t="s">
        <v>16793</v>
      </c>
      <c r="C5482">
        <v>17</v>
      </c>
      <c r="D5482">
        <v>106</v>
      </c>
    </row>
    <row r="5483" spans="1:4" x14ac:dyDescent="0.25">
      <c r="A5483" s="45" t="s">
        <v>5510</v>
      </c>
      <c r="B5483" s="46" t="s">
        <v>20468</v>
      </c>
      <c r="C5483">
        <v>10</v>
      </c>
      <c r="D5483">
        <v>63</v>
      </c>
    </row>
    <row r="5484" spans="1:4" x14ac:dyDescent="0.25">
      <c r="A5484" s="45" t="s">
        <v>5511</v>
      </c>
      <c r="B5484" s="46" t="s">
        <v>20469</v>
      </c>
      <c r="C5484">
        <v>10</v>
      </c>
      <c r="D5484">
        <v>67</v>
      </c>
    </row>
    <row r="5485" spans="1:4" x14ac:dyDescent="0.25">
      <c r="A5485" s="45" t="s">
        <v>5512</v>
      </c>
      <c r="B5485" s="46" t="s">
        <v>16794</v>
      </c>
      <c r="C5485">
        <v>10</v>
      </c>
      <c r="D5485">
        <v>67</v>
      </c>
    </row>
    <row r="5486" spans="1:4" x14ac:dyDescent="0.25">
      <c r="A5486" s="45" t="s">
        <v>5513</v>
      </c>
      <c r="B5486" s="46" t="s">
        <v>16795</v>
      </c>
      <c r="C5486">
        <v>10</v>
      </c>
      <c r="D5486">
        <v>66</v>
      </c>
    </row>
    <row r="5487" spans="1:4" x14ac:dyDescent="0.25">
      <c r="A5487" s="45" t="s">
        <v>5514</v>
      </c>
      <c r="B5487" s="46" t="s">
        <v>16796</v>
      </c>
      <c r="C5487">
        <v>17</v>
      </c>
      <c r="D5487">
        <v>106</v>
      </c>
    </row>
    <row r="5488" spans="1:4" x14ac:dyDescent="0.25">
      <c r="A5488" s="45" t="s">
        <v>5515</v>
      </c>
      <c r="B5488" s="46" t="s">
        <v>16797</v>
      </c>
      <c r="C5488">
        <v>10</v>
      </c>
      <c r="D5488">
        <v>67</v>
      </c>
    </row>
    <row r="5489" spans="1:4" x14ac:dyDescent="0.25">
      <c r="A5489" s="45" t="s">
        <v>5516</v>
      </c>
      <c r="B5489" s="46" t="s">
        <v>16798</v>
      </c>
      <c r="C5489">
        <v>17</v>
      </c>
      <c r="D5489">
        <v>106</v>
      </c>
    </row>
    <row r="5490" spans="1:4" x14ac:dyDescent="0.25">
      <c r="A5490" s="45" t="s">
        <v>5517</v>
      </c>
      <c r="B5490" s="46" t="s">
        <v>16799</v>
      </c>
      <c r="C5490">
        <v>11</v>
      </c>
      <c r="D5490">
        <v>68</v>
      </c>
    </row>
    <row r="5491" spans="1:4" x14ac:dyDescent="0.25">
      <c r="A5491" s="45" t="s">
        <v>5518</v>
      </c>
      <c r="B5491" s="46" t="s">
        <v>16800</v>
      </c>
      <c r="C5491">
        <v>11</v>
      </c>
      <c r="D5491">
        <v>68</v>
      </c>
    </row>
    <row r="5492" spans="1:4" x14ac:dyDescent="0.25">
      <c r="A5492" s="45" t="s">
        <v>5519</v>
      </c>
      <c r="B5492" s="46" t="s">
        <v>16801</v>
      </c>
      <c r="C5492">
        <v>11</v>
      </c>
      <c r="D5492">
        <v>68</v>
      </c>
    </row>
    <row r="5493" spans="1:4" x14ac:dyDescent="0.25">
      <c r="A5493" s="45" t="s">
        <v>5520</v>
      </c>
      <c r="B5493" s="46" t="s">
        <v>20470</v>
      </c>
      <c r="C5493">
        <v>11</v>
      </c>
      <c r="D5493">
        <v>68</v>
      </c>
    </row>
    <row r="5494" spans="1:4" x14ac:dyDescent="0.25">
      <c r="A5494" s="45" t="s">
        <v>5521</v>
      </c>
      <c r="B5494" s="46" t="s">
        <v>20471</v>
      </c>
      <c r="C5494">
        <v>11</v>
      </c>
      <c r="D5494">
        <v>68</v>
      </c>
    </row>
    <row r="5495" spans="1:4" x14ac:dyDescent="0.25">
      <c r="A5495" s="45" t="s">
        <v>5522</v>
      </c>
      <c r="B5495" s="46" t="s">
        <v>16802</v>
      </c>
      <c r="C5495">
        <v>11</v>
      </c>
      <c r="D5495">
        <v>68</v>
      </c>
    </row>
    <row r="5496" spans="1:4" x14ac:dyDescent="0.25">
      <c r="A5496" s="45" t="s">
        <v>5523</v>
      </c>
      <c r="B5496" s="46" t="s">
        <v>16803</v>
      </c>
      <c r="C5496">
        <v>11</v>
      </c>
      <c r="D5496">
        <v>68</v>
      </c>
    </row>
    <row r="5497" spans="1:4" x14ac:dyDescent="0.25">
      <c r="A5497" s="45" t="s">
        <v>5524</v>
      </c>
      <c r="B5497" s="46" t="s">
        <v>16804</v>
      </c>
      <c r="C5497">
        <v>11</v>
      </c>
      <c r="D5497">
        <v>68</v>
      </c>
    </row>
    <row r="5498" spans="1:4" x14ac:dyDescent="0.25">
      <c r="A5498" s="45" t="s">
        <v>5525</v>
      </c>
      <c r="B5498" s="46" t="s">
        <v>16805</v>
      </c>
      <c r="C5498">
        <v>11</v>
      </c>
      <c r="D5498">
        <v>68</v>
      </c>
    </row>
    <row r="5499" spans="1:4" x14ac:dyDescent="0.25">
      <c r="A5499" s="45" t="s">
        <v>5526</v>
      </c>
      <c r="B5499" s="46" t="s">
        <v>16806</v>
      </c>
      <c r="C5499">
        <v>11</v>
      </c>
      <c r="D5499">
        <v>68</v>
      </c>
    </row>
    <row r="5500" spans="1:4" x14ac:dyDescent="0.25">
      <c r="A5500" s="45" t="s">
        <v>5527</v>
      </c>
      <c r="B5500" s="46" t="s">
        <v>16807</v>
      </c>
      <c r="C5500">
        <v>11</v>
      </c>
      <c r="D5500">
        <v>68</v>
      </c>
    </row>
    <row r="5501" spans="1:4" x14ac:dyDescent="0.25">
      <c r="A5501" s="45" t="s">
        <v>5528</v>
      </c>
      <c r="B5501" s="46" t="s">
        <v>16808</v>
      </c>
      <c r="C5501">
        <v>11</v>
      </c>
      <c r="D5501">
        <v>68</v>
      </c>
    </row>
    <row r="5502" spans="1:4" x14ac:dyDescent="0.25">
      <c r="A5502" s="45" t="s">
        <v>5529</v>
      </c>
      <c r="B5502" s="46" t="s">
        <v>16809</v>
      </c>
      <c r="C5502">
        <v>11</v>
      </c>
      <c r="D5502">
        <v>68</v>
      </c>
    </row>
    <row r="5503" spans="1:4" x14ac:dyDescent="0.25">
      <c r="A5503" s="45" t="s">
        <v>5530</v>
      </c>
      <c r="B5503" s="46" t="s">
        <v>16810</v>
      </c>
      <c r="C5503">
        <v>11</v>
      </c>
      <c r="D5503">
        <v>68</v>
      </c>
    </row>
    <row r="5504" spans="1:4" x14ac:dyDescent="0.25">
      <c r="A5504" s="45" t="s">
        <v>5531</v>
      </c>
      <c r="B5504" s="46" t="s">
        <v>16811</v>
      </c>
      <c r="C5504">
        <v>11</v>
      </c>
      <c r="D5504">
        <v>68</v>
      </c>
    </row>
    <row r="5505" spans="1:4" x14ac:dyDescent="0.25">
      <c r="A5505" s="45" t="s">
        <v>5532</v>
      </c>
      <c r="B5505" s="46" t="s">
        <v>16812</v>
      </c>
      <c r="C5505">
        <v>11</v>
      </c>
      <c r="D5505">
        <v>68</v>
      </c>
    </row>
    <row r="5506" spans="1:4" x14ac:dyDescent="0.25">
      <c r="A5506" s="45" t="s">
        <v>5533</v>
      </c>
      <c r="B5506" s="46" t="s">
        <v>16813</v>
      </c>
      <c r="C5506">
        <v>11</v>
      </c>
      <c r="D5506">
        <v>68</v>
      </c>
    </row>
    <row r="5507" spans="1:4" x14ac:dyDescent="0.25">
      <c r="A5507" s="45" t="s">
        <v>5534</v>
      </c>
      <c r="B5507" s="46" t="s">
        <v>20472</v>
      </c>
      <c r="C5507">
        <v>11</v>
      </c>
      <c r="D5507">
        <v>68</v>
      </c>
    </row>
    <row r="5508" spans="1:4" x14ac:dyDescent="0.25">
      <c r="A5508" s="45" t="s">
        <v>5535</v>
      </c>
      <c r="B5508" s="46" t="s">
        <v>20473</v>
      </c>
      <c r="C5508">
        <v>11</v>
      </c>
      <c r="D5508">
        <v>68</v>
      </c>
    </row>
    <row r="5509" spans="1:4" x14ac:dyDescent="0.25">
      <c r="A5509" s="45" t="s">
        <v>5536</v>
      </c>
      <c r="B5509" s="46" t="s">
        <v>20474</v>
      </c>
      <c r="C5509">
        <v>11</v>
      </c>
      <c r="D5509">
        <v>68</v>
      </c>
    </row>
    <row r="5510" spans="1:4" x14ac:dyDescent="0.25">
      <c r="A5510" s="45" t="s">
        <v>5537</v>
      </c>
      <c r="B5510" s="46" t="s">
        <v>20475</v>
      </c>
      <c r="C5510">
        <v>11</v>
      </c>
      <c r="D5510">
        <v>68</v>
      </c>
    </row>
    <row r="5511" spans="1:4" x14ac:dyDescent="0.25">
      <c r="A5511" s="45" t="s">
        <v>5538</v>
      </c>
      <c r="B5511" s="46" t="s">
        <v>20476</v>
      </c>
      <c r="C5511">
        <v>11</v>
      </c>
      <c r="D5511">
        <v>68</v>
      </c>
    </row>
    <row r="5512" spans="1:4" x14ac:dyDescent="0.25">
      <c r="A5512" s="45" t="s">
        <v>5539</v>
      </c>
      <c r="B5512" s="46" t="s">
        <v>20477</v>
      </c>
      <c r="C5512">
        <v>11</v>
      </c>
      <c r="D5512">
        <v>68</v>
      </c>
    </row>
    <row r="5513" spans="1:4" x14ac:dyDescent="0.25">
      <c r="A5513" s="45" t="s">
        <v>5540</v>
      </c>
      <c r="B5513" s="46" t="s">
        <v>20478</v>
      </c>
      <c r="C5513">
        <v>11</v>
      </c>
      <c r="D5513">
        <v>68</v>
      </c>
    </row>
    <row r="5514" spans="1:4" x14ac:dyDescent="0.25">
      <c r="A5514" s="45" t="s">
        <v>5541</v>
      </c>
      <c r="B5514" s="46" t="s">
        <v>20479</v>
      </c>
      <c r="C5514">
        <v>11</v>
      </c>
      <c r="D5514">
        <v>68</v>
      </c>
    </row>
    <row r="5515" spans="1:4" x14ac:dyDescent="0.25">
      <c r="A5515" s="45" t="s">
        <v>5542</v>
      </c>
      <c r="B5515" s="46" t="s">
        <v>20480</v>
      </c>
      <c r="C5515">
        <v>11</v>
      </c>
      <c r="D5515">
        <v>68</v>
      </c>
    </row>
    <row r="5516" spans="1:4" x14ac:dyDescent="0.25">
      <c r="A5516" s="45" t="s">
        <v>5543</v>
      </c>
      <c r="B5516" s="46" t="s">
        <v>20481</v>
      </c>
      <c r="C5516">
        <v>11</v>
      </c>
      <c r="D5516">
        <v>68</v>
      </c>
    </row>
    <row r="5517" spans="1:4" x14ac:dyDescent="0.25">
      <c r="A5517" s="45" t="s">
        <v>5544</v>
      </c>
      <c r="B5517" s="46" t="s">
        <v>20482</v>
      </c>
      <c r="C5517">
        <v>11</v>
      </c>
      <c r="D5517">
        <v>68</v>
      </c>
    </row>
    <row r="5518" spans="1:4" x14ac:dyDescent="0.25">
      <c r="A5518" s="45" t="s">
        <v>5545</v>
      </c>
      <c r="B5518" s="46" t="s">
        <v>20483</v>
      </c>
      <c r="C5518">
        <v>11</v>
      </c>
      <c r="D5518">
        <v>68</v>
      </c>
    </row>
    <row r="5519" spans="1:4" x14ac:dyDescent="0.25">
      <c r="A5519" s="45" t="s">
        <v>5546</v>
      </c>
      <c r="B5519" s="46" t="s">
        <v>20484</v>
      </c>
      <c r="C5519">
        <v>11</v>
      </c>
      <c r="D5519">
        <v>68</v>
      </c>
    </row>
    <row r="5520" spans="1:4" x14ac:dyDescent="0.25">
      <c r="A5520" s="45" t="s">
        <v>5547</v>
      </c>
      <c r="B5520" s="46" t="s">
        <v>20485</v>
      </c>
      <c r="C5520">
        <v>11</v>
      </c>
      <c r="D5520">
        <v>68</v>
      </c>
    </row>
    <row r="5521" spans="1:4" x14ac:dyDescent="0.25">
      <c r="A5521" s="45" t="s">
        <v>5548</v>
      </c>
      <c r="B5521" s="46" t="s">
        <v>20486</v>
      </c>
      <c r="C5521">
        <v>11</v>
      </c>
      <c r="D5521">
        <v>68</v>
      </c>
    </row>
    <row r="5522" spans="1:4" x14ac:dyDescent="0.25">
      <c r="A5522" s="45" t="s">
        <v>5549</v>
      </c>
      <c r="B5522" s="46" t="s">
        <v>20487</v>
      </c>
      <c r="C5522">
        <v>11</v>
      </c>
      <c r="D5522">
        <v>68</v>
      </c>
    </row>
    <row r="5523" spans="1:4" x14ac:dyDescent="0.25">
      <c r="A5523" s="45" t="s">
        <v>5550</v>
      </c>
      <c r="B5523" s="46" t="s">
        <v>20488</v>
      </c>
      <c r="C5523">
        <v>11</v>
      </c>
      <c r="D5523">
        <v>68</v>
      </c>
    </row>
    <row r="5524" spans="1:4" x14ac:dyDescent="0.25">
      <c r="A5524" s="45" t="s">
        <v>5551</v>
      </c>
      <c r="B5524" s="46" t="s">
        <v>20489</v>
      </c>
      <c r="C5524">
        <v>11</v>
      </c>
      <c r="D5524">
        <v>68</v>
      </c>
    </row>
    <row r="5525" spans="1:4" x14ac:dyDescent="0.25">
      <c r="A5525" s="45" t="s">
        <v>5552</v>
      </c>
      <c r="B5525" s="46" t="s">
        <v>20490</v>
      </c>
      <c r="C5525">
        <v>11</v>
      </c>
      <c r="D5525">
        <v>68</v>
      </c>
    </row>
    <row r="5526" spans="1:4" x14ac:dyDescent="0.25">
      <c r="A5526" s="45" t="s">
        <v>5553</v>
      </c>
      <c r="B5526" s="46" t="s">
        <v>20491</v>
      </c>
      <c r="C5526">
        <v>11</v>
      </c>
      <c r="D5526">
        <v>68</v>
      </c>
    </row>
    <row r="5527" spans="1:4" x14ac:dyDescent="0.25">
      <c r="A5527" s="45" t="s">
        <v>5554</v>
      </c>
      <c r="B5527" s="46" t="s">
        <v>20492</v>
      </c>
      <c r="C5527">
        <v>11</v>
      </c>
      <c r="D5527">
        <v>68</v>
      </c>
    </row>
    <row r="5528" spans="1:4" x14ac:dyDescent="0.25">
      <c r="A5528" s="45" t="s">
        <v>5555</v>
      </c>
      <c r="B5528" s="46" t="s">
        <v>20493</v>
      </c>
      <c r="C5528">
        <v>11</v>
      </c>
      <c r="D5528">
        <v>68</v>
      </c>
    </row>
    <row r="5529" spans="1:4" x14ac:dyDescent="0.25">
      <c r="A5529" s="45" t="s">
        <v>5556</v>
      </c>
      <c r="B5529" s="46" t="s">
        <v>20494</v>
      </c>
      <c r="C5529">
        <v>11</v>
      </c>
      <c r="D5529">
        <v>68</v>
      </c>
    </row>
    <row r="5530" spans="1:4" x14ac:dyDescent="0.25">
      <c r="A5530" s="45" t="s">
        <v>5557</v>
      </c>
      <c r="B5530" s="46" t="s">
        <v>20495</v>
      </c>
      <c r="C5530">
        <v>11</v>
      </c>
      <c r="D5530">
        <v>68</v>
      </c>
    </row>
    <row r="5531" spans="1:4" x14ac:dyDescent="0.25">
      <c r="A5531" s="45" t="s">
        <v>5558</v>
      </c>
      <c r="B5531" s="46" t="s">
        <v>20496</v>
      </c>
      <c r="C5531">
        <v>11</v>
      </c>
      <c r="D5531">
        <v>68</v>
      </c>
    </row>
    <row r="5532" spans="1:4" x14ac:dyDescent="0.25">
      <c r="A5532" s="45" t="s">
        <v>5559</v>
      </c>
      <c r="B5532" s="46" t="s">
        <v>20497</v>
      </c>
      <c r="C5532">
        <v>11</v>
      </c>
      <c r="D5532">
        <v>68</v>
      </c>
    </row>
    <row r="5533" spans="1:4" x14ac:dyDescent="0.25">
      <c r="A5533" s="45" t="s">
        <v>5560</v>
      </c>
      <c r="B5533" s="46" t="s">
        <v>20498</v>
      </c>
      <c r="C5533">
        <v>11</v>
      </c>
      <c r="D5533">
        <v>68</v>
      </c>
    </row>
    <row r="5534" spans="1:4" x14ac:dyDescent="0.25">
      <c r="A5534" s="45" t="s">
        <v>5561</v>
      </c>
      <c r="B5534" s="46" t="s">
        <v>20499</v>
      </c>
      <c r="C5534">
        <v>11</v>
      </c>
      <c r="D5534">
        <v>68</v>
      </c>
    </row>
    <row r="5535" spans="1:4" x14ac:dyDescent="0.25">
      <c r="A5535" s="45" t="s">
        <v>5562</v>
      </c>
      <c r="B5535" s="46" t="s">
        <v>20500</v>
      </c>
      <c r="C5535">
        <v>11</v>
      </c>
      <c r="D5535">
        <v>68</v>
      </c>
    </row>
    <row r="5536" spans="1:4" x14ac:dyDescent="0.25">
      <c r="A5536" s="45" t="s">
        <v>5563</v>
      </c>
      <c r="B5536" s="46" t="s">
        <v>20501</v>
      </c>
      <c r="C5536">
        <v>11</v>
      </c>
      <c r="D5536">
        <v>68</v>
      </c>
    </row>
    <row r="5537" spans="1:4" x14ac:dyDescent="0.25">
      <c r="A5537" s="45" t="s">
        <v>5564</v>
      </c>
      <c r="B5537" s="46" t="s">
        <v>20502</v>
      </c>
      <c r="C5537">
        <v>11</v>
      </c>
      <c r="D5537">
        <v>68</v>
      </c>
    </row>
    <row r="5538" spans="1:4" x14ac:dyDescent="0.25">
      <c r="A5538" s="45" t="s">
        <v>5565</v>
      </c>
      <c r="B5538" s="46" t="s">
        <v>20503</v>
      </c>
      <c r="C5538">
        <v>11</v>
      </c>
      <c r="D5538">
        <v>68</v>
      </c>
    </row>
    <row r="5539" spans="1:4" x14ac:dyDescent="0.25">
      <c r="A5539" s="45" t="s">
        <v>5566</v>
      </c>
      <c r="B5539" s="46" t="s">
        <v>20504</v>
      </c>
      <c r="C5539">
        <v>11</v>
      </c>
      <c r="D5539">
        <v>68</v>
      </c>
    </row>
    <row r="5540" spans="1:4" x14ac:dyDescent="0.25">
      <c r="A5540" s="45" t="s">
        <v>5567</v>
      </c>
      <c r="B5540" s="46" t="s">
        <v>20505</v>
      </c>
      <c r="C5540">
        <v>11</v>
      </c>
      <c r="D5540">
        <v>68</v>
      </c>
    </row>
    <row r="5541" spans="1:4" x14ac:dyDescent="0.25">
      <c r="A5541" s="45" t="s">
        <v>5568</v>
      </c>
      <c r="B5541" s="46" t="s">
        <v>20506</v>
      </c>
      <c r="C5541">
        <v>11</v>
      </c>
      <c r="D5541">
        <v>68</v>
      </c>
    </row>
    <row r="5542" spans="1:4" x14ac:dyDescent="0.25">
      <c r="A5542" s="45" t="s">
        <v>5569</v>
      </c>
      <c r="B5542" s="46" t="s">
        <v>20507</v>
      </c>
      <c r="C5542">
        <v>11</v>
      </c>
      <c r="D5542">
        <v>68</v>
      </c>
    </row>
    <row r="5543" spans="1:4" x14ac:dyDescent="0.25">
      <c r="A5543" s="45" t="s">
        <v>5570</v>
      </c>
      <c r="B5543" s="46" t="s">
        <v>20508</v>
      </c>
      <c r="C5543">
        <v>11</v>
      </c>
      <c r="D5543">
        <v>68</v>
      </c>
    </row>
    <row r="5544" spans="1:4" x14ac:dyDescent="0.25">
      <c r="A5544" s="45" t="s">
        <v>5571</v>
      </c>
      <c r="B5544" s="46" t="s">
        <v>20509</v>
      </c>
      <c r="C5544">
        <v>11</v>
      </c>
      <c r="D5544">
        <v>68</v>
      </c>
    </row>
    <row r="5545" spans="1:4" x14ac:dyDescent="0.25">
      <c r="A5545" s="45" t="s">
        <v>5572</v>
      </c>
      <c r="B5545" s="46" t="s">
        <v>20510</v>
      </c>
      <c r="C5545">
        <v>11</v>
      </c>
      <c r="D5545">
        <v>68</v>
      </c>
    </row>
    <row r="5546" spans="1:4" x14ac:dyDescent="0.25">
      <c r="A5546" s="45" t="s">
        <v>5573</v>
      </c>
      <c r="B5546" s="46" t="s">
        <v>20511</v>
      </c>
      <c r="C5546">
        <v>11</v>
      </c>
      <c r="D5546">
        <v>68</v>
      </c>
    </row>
    <row r="5547" spans="1:4" x14ac:dyDescent="0.25">
      <c r="A5547" s="45" t="s">
        <v>5574</v>
      </c>
      <c r="B5547" s="46" t="s">
        <v>20512</v>
      </c>
      <c r="C5547">
        <v>11</v>
      </c>
      <c r="D5547">
        <v>68</v>
      </c>
    </row>
    <row r="5548" spans="1:4" x14ac:dyDescent="0.25">
      <c r="A5548" s="45" t="s">
        <v>5575</v>
      </c>
      <c r="B5548" s="46" t="s">
        <v>20513</v>
      </c>
      <c r="C5548">
        <v>11</v>
      </c>
      <c r="D5548">
        <v>68</v>
      </c>
    </row>
    <row r="5549" spans="1:4" x14ac:dyDescent="0.25">
      <c r="A5549" s="45" t="s">
        <v>5576</v>
      </c>
      <c r="B5549" s="46" t="s">
        <v>16814</v>
      </c>
      <c r="C5549">
        <v>11</v>
      </c>
      <c r="D5549">
        <v>68</v>
      </c>
    </row>
    <row r="5550" spans="1:4" x14ac:dyDescent="0.25">
      <c r="A5550" s="45" t="s">
        <v>5577</v>
      </c>
      <c r="B5550" s="46" t="s">
        <v>20514</v>
      </c>
      <c r="C5550">
        <v>11</v>
      </c>
      <c r="D5550">
        <v>68</v>
      </c>
    </row>
    <row r="5551" spans="1:4" x14ac:dyDescent="0.25">
      <c r="A5551" s="45" t="s">
        <v>5578</v>
      </c>
      <c r="B5551" s="46" t="s">
        <v>16815</v>
      </c>
      <c r="C5551">
        <v>11</v>
      </c>
      <c r="D5551">
        <v>68</v>
      </c>
    </row>
    <row r="5552" spans="1:4" x14ac:dyDescent="0.25">
      <c r="A5552" s="45" t="s">
        <v>5579</v>
      </c>
      <c r="B5552" s="46" t="s">
        <v>20515</v>
      </c>
      <c r="C5552">
        <v>11</v>
      </c>
      <c r="D5552">
        <v>68</v>
      </c>
    </row>
    <row r="5553" spans="1:4" x14ac:dyDescent="0.25">
      <c r="A5553" s="45" t="s">
        <v>5580</v>
      </c>
      <c r="B5553" s="46" t="s">
        <v>20516</v>
      </c>
      <c r="C5553">
        <v>11</v>
      </c>
      <c r="D5553">
        <v>68</v>
      </c>
    </row>
    <row r="5554" spans="1:4" x14ac:dyDescent="0.25">
      <c r="A5554" s="45" t="s">
        <v>5581</v>
      </c>
      <c r="B5554" s="46" t="s">
        <v>20517</v>
      </c>
      <c r="C5554">
        <v>11</v>
      </c>
      <c r="D5554">
        <v>68</v>
      </c>
    </row>
    <row r="5555" spans="1:4" x14ac:dyDescent="0.25">
      <c r="A5555" s="45" t="s">
        <v>5582</v>
      </c>
      <c r="B5555" s="46" t="s">
        <v>20518</v>
      </c>
      <c r="C5555">
        <v>11</v>
      </c>
      <c r="D5555">
        <v>68</v>
      </c>
    </row>
    <row r="5556" spans="1:4" x14ac:dyDescent="0.25">
      <c r="A5556" s="45" t="s">
        <v>5583</v>
      </c>
      <c r="B5556" s="46" t="s">
        <v>20519</v>
      </c>
      <c r="C5556">
        <v>11</v>
      </c>
      <c r="D5556">
        <v>68</v>
      </c>
    </row>
    <row r="5557" spans="1:4" x14ac:dyDescent="0.25">
      <c r="A5557" s="45" t="s">
        <v>5584</v>
      </c>
      <c r="B5557" s="46" t="s">
        <v>20520</v>
      </c>
      <c r="C5557">
        <v>11</v>
      </c>
      <c r="D5557">
        <v>68</v>
      </c>
    </row>
    <row r="5558" spans="1:4" x14ac:dyDescent="0.25">
      <c r="A5558" s="45" t="s">
        <v>5585</v>
      </c>
      <c r="B5558" s="46" t="s">
        <v>20521</v>
      </c>
      <c r="C5558">
        <v>11</v>
      </c>
      <c r="D5558">
        <v>68</v>
      </c>
    </row>
    <row r="5559" spans="1:4" x14ac:dyDescent="0.25">
      <c r="A5559" s="45" t="s">
        <v>5586</v>
      </c>
      <c r="B5559" s="46" t="s">
        <v>20522</v>
      </c>
      <c r="C5559">
        <v>11</v>
      </c>
      <c r="D5559">
        <v>68</v>
      </c>
    </row>
    <row r="5560" spans="1:4" x14ac:dyDescent="0.25">
      <c r="A5560" s="45" t="s">
        <v>5587</v>
      </c>
      <c r="B5560" s="46" t="s">
        <v>16816</v>
      </c>
      <c r="C5560">
        <v>11</v>
      </c>
      <c r="D5560">
        <v>68</v>
      </c>
    </row>
    <row r="5561" spans="1:4" x14ac:dyDescent="0.25">
      <c r="A5561" s="45" t="s">
        <v>5588</v>
      </c>
      <c r="B5561" s="46" t="s">
        <v>20523</v>
      </c>
      <c r="C5561">
        <v>11</v>
      </c>
      <c r="D5561">
        <v>68</v>
      </c>
    </row>
    <row r="5562" spans="1:4" x14ac:dyDescent="0.25">
      <c r="A5562" s="45" t="s">
        <v>5589</v>
      </c>
      <c r="B5562" s="46" t="s">
        <v>20524</v>
      </c>
      <c r="C5562">
        <v>11</v>
      </c>
      <c r="D5562">
        <v>69</v>
      </c>
    </row>
    <row r="5563" spans="1:4" x14ac:dyDescent="0.25">
      <c r="A5563" s="45" t="s">
        <v>5590</v>
      </c>
      <c r="B5563" s="46" t="s">
        <v>20525</v>
      </c>
      <c r="C5563">
        <v>11</v>
      </c>
      <c r="D5563">
        <v>69</v>
      </c>
    </row>
    <row r="5564" spans="1:4" x14ac:dyDescent="0.25">
      <c r="A5564" s="45" t="s">
        <v>5591</v>
      </c>
      <c r="B5564" s="46" t="s">
        <v>20526</v>
      </c>
      <c r="C5564">
        <v>11</v>
      </c>
      <c r="D5564">
        <v>69</v>
      </c>
    </row>
    <row r="5565" spans="1:4" x14ac:dyDescent="0.25">
      <c r="A5565" s="45" t="s">
        <v>5592</v>
      </c>
      <c r="B5565" s="46" t="s">
        <v>20527</v>
      </c>
      <c r="C5565">
        <v>11</v>
      </c>
      <c r="D5565">
        <v>69</v>
      </c>
    </row>
    <row r="5566" spans="1:4" x14ac:dyDescent="0.25">
      <c r="A5566" s="45" t="s">
        <v>5593</v>
      </c>
      <c r="B5566" s="46" t="s">
        <v>20528</v>
      </c>
      <c r="C5566">
        <v>11</v>
      </c>
      <c r="D5566">
        <v>69</v>
      </c>
    </row>
    <row r="5567" spans="1:4" x14ac:dyDescent="0.25">
      <c r="A5567" s="45" t="s">
        <v>5594</v>
      </c>
      <c r="B5567" s="46" t="s">
        <v>20529</v>
      </c>
      <c r="C5567">
        <v>11</v>
      </c>
      <c r="D5567">
        <v>69</v>
      </c>
    </row>
    <row r="5568" spans="1:4" x14ac:dyDescent="0.25">
      <c r="A5568" s="45" t="s">
        <v>5595</v>
      </c>
      <c r="B5568" s="46" t="s">
        <v>20530</v>
      </c>
      <c r="C5568">
        <v>11</v>
      </c>
      <c r="D5568">
        <v>69</v>
      </c>
    </row>
    <row r="5569" spans="1:4" x14ac:dyDescent="0.25">
      <c r="A5569" s="45" t="s">
        <v>5596</v>
      </c>
      <c r="B5569" s="46" t="s">
        <v>20531</v>
      </c>
      <c r="C5569">
        <v>11</v>
      </c>
      <c r="D5569">
        <v>69</v>
      </c>
    </row>
    <row r="5570" spans="1:4" x14ac:dyDescent="0.25">
      <c r="A5570" s="45" t="s">
        <v>5597</v>
      </c>
      <c r="B5570" s="46" t="s">
        <v>20532</v>
      </c>
      <c r="C5570">
        <v>11</v>
      </c>
      <c r="D5570">
        <v>69</v>
      </c>
    </row>
    <row r="5571" spans="1:4" x14ac:dyDescent="0.25">
      <c r="A5571" s="45" t="s">
        <v>5598</v>
      </c>
      <c r="B5571" s="46" t="s">
        <v>20533</v>
      </c>
      <c r="C5571">
        <v>11</v>
      </c>
      <c r="D5571">
        <v>69</v>
      </c>
    </row>
    <row r="5572" spans="1:4" x14ac:dyDescent="0.25">
      <c r="A5572" s="45" t="s">
        <v>5599</v>
      </c>
      <c r="B5572" s="46" t="s">
        <v>20534</v>
      </c>
      <c r="C5572">
        <v>11</v>
      </c>
      <c r="D5572">
        <v>69</v>
      </c>
    </row>
    <row r="5573" spans="1:4" x14ac:dyDescent="0.25">
      <c r="A5573" s="45" t="s">
        <v>5600</v>
      </c>
      <c r="B5573" s="46" t="s">
        <v>16817</v>
      </c>
      <c r="C5573">
        <v>11</v>
      </c>
      <c r="D5573">
        <v>69</v>
      </c>
    </row>
    <row r="5574" spans="1:4" x14ac:dyDescent="0.25">
      <c r="A5574" s="45" t="s">
        <v>5601</v>
      </c>
      <c r="B5574" s="46" t="s">
        <v>16818</v>
      </c>
      <c r="C5574">
        <v>11</v>
      </c>
      <c r="D5574">
        <v>69</v>
      </c>
    </row>
    <row r="5575" spans="1:4" x14ac:dyDescent="0.25">
      <c r="A5575" s="45" t="s">
        <v>5602</v>
      </c>
      <c r="B5575" s="46" t="s">
        <v>16819</v>
      </c>
      <c r="C5575">
        <v>11</v>
      </c>
      <c r="D5575">
        <v>69</v>
      </c>
    </row>
    <row r="5576" spans="1:4" x14ac:dyDescent="0.25">
      <c r="A5576" s="45" t="s">
        <v>5603</v>
      </c>
      <c r="B5576" s="46" t="s">
        <v>16820</v>
      </c>
      <c r="C5576">
        <v>11</v>
      </c>
      <c r="D5576">
        <v>69</v>
      </c>
    </row>
    <row r="5577" spans="1:4" x14ac:dyDescent="0.25">
      <c r="A5577" s="45" t="s">
        <v>5604</v>
      </c>
      <c r="B5577" s="46" t="s">
        <v>20535</v>
      </c>
      <c r="C5577">
        <v>11</v>
      </c>
      <c r="D5577">
        <v>69</v>
      </c>
    </row>
    <row r="5578" spans="1:4" x14ac:dyDescent="0.25">
      <c r="A5578" s="45" t="s">
        <v>5605</v>
      </c>
      <c r="B5578" s="46" t="s">
        <v>16821</v>
      </c>
      <c r="C5578">
        <v>11</v>
      </c>
      <c r="D5578">
        <v>69</v>
      </c>
    </row>
    <row r="5579" spans="1:4" x14ac:dyDescent="0.25">
      <c r="A5579" s="45" t="s">
        <v>5606</v>
      </c>
      <c r="B5579" s="46" t="s">
        <v>16822</v>
      </c>
      <c r="C5579">
        <v>11</v>
      </c>
      <c r="D5579">
        <v>69</v>
      </c>
    </row>
    <row r="5580" spans="1:4" x14ac:dyDescent="0.25">
      <c r="A5580" s="45" t="s">
        <v>5607</v>
      </c>
      <c r="B5580" s="46" t="s">
        <v>16823</v>
      </c>
      <c r="C5580">
        <v>11</v>
      </c>
      <c r="D5580">
        <v>69</v>
      </c>
    </row>
    <row r="5581" spans="1:4" x14ac:dyDescent="0.25">
      <c r="A5581" s="45" t="s">
        <v>5608</v>
      </c>
      <c r="B5581" s="46" t="s">
        <v>20536</v>
      </c>
      <c r="C5581">
        <v>11</v>
      </c>
      <c r="D5581">
        <v>69</v>
      </c>
    </row>
    <row r="5582" spans="1:4" x14ac:dyDescent="0.25">
      <c r="A5582" s="45" t="s">
        <v>5609</v>
      </c>
      <c r="B5582" s="46" t="s">
        <v>20537</v>
      </c>
      <c r="C5582">
        <v>11</v>
      </c>
      <c r="D5582">
        <v>69</v>
      </c>
    </row>
    <row r="5583" spans="1:4" x14ac:dyDescent="0.25">
      <c r="A5583" s="45" t="s">
        <v>5610</v>
      </c>
      <c r="B5583" s="46" t="s">
        <v>20538</v>
      </c>
      <c r="C5583">
        <v>11</v>
      </c>
      <c r="D5583">
        <v>69</v>
      </c>
    </row>
    <row r="5584" spans="1:4" x14ac:dyDescent="0.25">
      <c r="A5584" s="45" t="s">
        <v>5611</v>
      </c>
      <c r="B5584" s="46" t="s">
        <v>20539</v>
      </c>
      <c r="C5584">
        <v>11</v>
      </c>
      <c r="D5584">
        <v>69</v>
      </c>
    </row>
    <row r="5585" spans="1:4" x14ac:dyDescent="0.25">
      <c r="A5585" s="45" t="s">
        <v>5612</v>
      </c>
      <c r="B5585" s="46" t="s">
        <v>16824</v>
      </c>
      <c r="C5585">
        <v>11</v>
      </c>
      <c r="D5585">
        <v>69</v>
      </c>
    </row>
    <row r="5586" spans="1:4" x14ac:dyDescent="0.25">
      <c r="A5586" s="45" t="s">
        <v>5613</v>
      </c>
      <c r="B5586" s="46" t="s">
        <v>16825</v>
      </c>
      <c r="C5586">
        <v>11</v>
      </c>
      <c r="D5586">
        <v>69</v>
      </c>
    </row>
    <row r="5587" spans="1:4" x14ac:dyDescent="0.25">
      <c r="A5587" s="45" t="s">
        <v>5614</v>
      </c>
      <c r="B5587" s="46" t="s">
        <v>16826</v>
      </c>
      <c r="C5587">
        <v>11</v>
      </c>
      <c r="D5587">
        <v>69</v>
      </c>
    </row>
    <row r="5588" spans="1:4" x14ac:dyDescent="0.25">
      <c r="A5588" s="45" t="s">
        <v>5615</v>
      </c>
      <c r="B5588" s="46" t="s">
        <v>16827</v>
      </c>
      <c r="C5588">
        <v>11</v>
      </c>
      <c r="D5588">
        <v>69</v>
      </c>
    </row>
    <row r="5589" spans="1:4" x14ac:dyDescent="0.25">
      <c r="A5589" s="45" t="s">
        <v>5616</v>
      </c>
      <c r="B5589" s="46" t="s">
        <v>16828</v>
      </c>
      <c r="C5589">
        <v>11</v>
      </c>
      <c r="D5589">
        <v>72</v>
      </c>
    </row>
    <row r="5590" spans="1:4" x14ac:dyDescent="0.25">
      <c r="A5590" s="45" t="s">
        <v>5617</v>
      </c>
      <c r="B5590" s="46" t="s">
        <v>16829</v>
      </c>
      <c r="C5590">
        <v>11</v>
      </c>
      <c r="D5590">
        <v>72</v>
      </c>
    </row>
    <row r="5591" spans="1:4" x14ac:dyDescent="0.25">
      <c r="A5591" s="45" t="s">
        <v>5618</v>
      </c>
      <c r="B5591" s="46" t="s">
        <v>16830</v>
      </c>
      <c r="C5591">
        <v>11</v>
      </c>
      <c r="D5591">
        <v>72</v>
      </c>
    </row>
    <row r="5592" spans="1:4" x14ac:dyDescent="0.25">
      <c r="A5592" s="45" t="s">
        <v>5619</v>
      </c>
      <c r="B5592" s="46" t="s">
        <v>16831</v>
      </c>
      <c r="C5592">
        <v>11</v>
      </c>
      <c r="D5592">
        <v>72</v>
      </c>
    </row>
    <row r="5593" spans="1:4" x14ac:dyDescent="0.25">
      <c r="A5593" s="45" t="s">
        <v>5620</v>
      </c>
      <c r="B5593" s="46" t="s">
        <v>20540</v>
      </c>
      <c r="C5593">
        <v>11</v>
      </c>
      <c r="D5593">
        <v>72</v>
      </c>
    </row>
    <row r="5594" spans="1:4" x14ac:dyDescent="0.25">
      <c r="A5594" s="45" t="s">
        <v>5621</v>
      </c>
      <c r="B5594" s="46" t="s">
        <v>16832</v>
      </c>
      <c r="C5594">
        <v>11</v>
      </c>
      <c r="D5594">
        <v>72</v>
      </c>
    </row>
    <row r="5595" spans="1:4" x14ac:dyDescent="0.25">
      <c r="A5595" s="45" t="s">
        <v>5622</v>
      </c>
      <c r="B5595" s="46" t="s">
        <v>16833</v>
      </c>
      <c r="C5595">
        <v>11</v>
      </c>
      <c r="D5595">
        <v>72</v>
      </c>
    </row>
    <row r="5596" spans="1:4" x14ac:dyDescent="0.25">
      <c r="A5596" s="45" t="s">
        <v>5623</v>
      </c>
      <c r="B5596" s="46" t="s">
        <v>20541</v>
      </c>
      <c r="C5596">
        <v>11</v>
      </c>
      <c r="D5596">
        <v>72</v>
      </c>
    </row>
    <row r="5597" spans="1:4" x14ac:dyDescent="0.25">
      <c r="A5597" s="45" t="s">
        <v>5624</v>
      </c>
      <c r="B5597" s="46" t="s">
        <v>16834</v>
      </c>
      <c r="C5597">
        <v>11</v>
      </c>
      <c r="D5597">
        <v>69</v>
      </c>
    </row>
    <row r="5598" spans="1:4" x14ac:dyDescent="0.25">
      <c r="A5598" s="45" t="s">
        <v>5625</v>
      </c>
      <c r="B5598" s="46" t="s">
        <v>16835</v>
      </c>
      <c r="C5598">
        <v>11</v>
      </c>
      <c r="D5598">
        <v>69</v>
      </c>
    </row>
    <row r="5599" spans="1:4" x14ac:dyDescent="0.25">
      <c r="A5599" s="45" t="s">
        <v>5626</v>
      </c>
      <c r="B5599" s="46" t="s">
        <v>16836</v>
      </c>
      <c r="C5599">
        <v>11</v>
      </c>
      <c r="D5599">
        <v>69</v>
      </c>
    </row>
    <row r="5600" spans="1:4" x14ac:dyDescent="0.25">
      <c r="A5600" s="45" t="s">
        <v>5627</v>
      </c>
      <c r="B5600" s="46" t="s">
        <v>16837</v>
      </c>
      <c r="C5600">
        <v>11</v>
      </c>
      <c r="D5600">
        <v>69</v>
      </c>
    </row>
    <row r="5601" spans="1:4" x14ac:dyDescent="0.25">
      <c r="A5601" s="45" t="s">
        <v>5628</v>
      </c>
      <c r="B5601" s="46" t="s">
        <v>16838</v>
      </c>
      <c r="C5601">
        <v>11</v>
      </c>
      <c r="D5601">
        <v>69</v>
      </c>
    </row>
    <row r="5602" spans="1:4" x14ac:dyDescent="0.25">
      <c r="A5602" s="45" t="s">
        <v>5629</v>
      </c>
      <c r="B5602" s="46" t="s">
        <v>16839</v>
      </c>
      <c r="C5602">
        <v>11</v>
      </c>
      <c r="D5602">
        <v>69</v>
      </c>
    </row>
    <row r="5603" spans="1:4" x14ac:dyDescent="0.25">
      <c r="A5603" s="45" t="s">
        <v>5630</v>
      </c>
      <c r="B5603" s="46" t="s">
        <v>16840</v>
      </c>
      <c r="C5603">
        <v>11</v>
      </c>
      <c r="D5603">
        <v>69</v>
      </c>
    </row>
    <row r="5604" spans="1:4" x14ac:dyDescent="0.25">
      <c r="A5604" s="45" t="s">
        <v>5631</v>
      </c>
      <c r="B5604" s="46" t="s">
        <v>16841</v>
      </c>
      <c r="C5604">
        <v>11</v>
      </c>
      <c r="D5604">
        <v>69</v>
      </c>
    </row>
    <row r="5605" spans="1:4" x14ac:dyDescent="0.25">
      <c r="A5605" s="45" t="s">
        <v>5632</v>
      </c>
      <c r="B5605" s="46" t="s">
        <v>16842</v>
      </c>
      <c r="C5605">
        <v>11</v>
      </c>
      <c r="D5605">
        <v>69</v>
      </c>
    </row>
    <row r="5606" spans="1:4" x14ac:dyDescent="0.25">
      <c r="A5606" s="45" t="s">
        <v>5633</v>
      </c>
      <c r="B5606" s="46" t="s">
        <v>16843</v>
      </c>
      <c r="C5606">
        <v>11</v>
      </c>
      <c r="D5606">
        <v>69</v>
      </c>
    </row>
    <row r="5607" spans="1:4" x14ac:dyDescent="0.25">
      <c r="A5607" s="45" t="s">
        <v>5634</v>
      </c>
      <c r="B5607" s="46" t="s">
        <v>16844</v>
      </c>
      <c r="C5607">
        <v>11</v>
      </c>
      <c r="D5607">
        <v>69</v>
      </c>
    </row>
    <row r="5608" spans="1:4" x14ac:dyDescent="0.25">
      <c r="A5608" s="45" t="s">
        <v>5635</v>
      </c>
      <c r="B5608" s="46" t="s">
        <v>20542</v>
      </c>
      <c r="C5608">
        <v>11</v>
      </c>
      <c r="D5608">
        <v>69</v>
      </c>
    </row>
    <row r="5609" spans="1:4" x14ac:dyDescent="0.25">
      <c r="A5609" s="45" t="s">
        <v>5636</v>
      </c>
      <c r="B5609" s="46" t="s">
        <v>16845</v>
      </c>
      <c r="C5609">
        <v>11</v>
      </c>
      <c r="D5609">
        <v>69</v>
      </c>
    </row>
    <row r="5610" spans="1:4" x14ac:dyDescent="0.25">
      <c r="A5610" s="45" t="s">
        <v>5637</v>
      </c>
      <c r="B5610" s="46" t="s">
        <v>16846</v>
      </c>
      <c r="C5610">
        <v>11</v>
      </c>
      <c r="D5610">
        <v>69</v>
      </c>
    </row>
    <row r="5611" spans="1:4" x14ac:dyDescent="0.25">
      <c r="A5611" s="45" t="s">
        <v>5638</v>
      </c>
      <c r="B5611" s="46" t="s">
        <v>20543</v>
      </c>
      <c r="C5611">
        <v>11</v>
      </c>
      <c r="D5611">
        <v>69</v>
      </c>
    </row>
    <row r="5612" spans="1:4" x14ac:dyDescent="0.25">
      <c r="A5612" s="45" t="s">
        <v>5639</v>
      </c>
      <c r="B5612" s="46" t="s">
        <v>20544</v>
      </c>
      <c r="C5612">
        <v>11</v>
      </c>
      <c r="D5612">
        <v>69</v>
      </c>
    </row>
    <row r="5613" spans="1:4" x14ac:dyDescent="0.25">
      <c r="A5613" s="45" t="s">
        <v>5640</v>
      </c>
      <c r="B5613" s="46" t="s">
        <v>20545</v>
      </c>
      <c r="C5613">
        <v>11</v>
      </c>
      <c r="D5613">
        <v>69</v>
      </c>
    </row>
    <row r="5614" spans="1:4" x14ac:dyDescent="0.25">
      <c r="A5614" s="45" t="s">
        <v>5641</v>
      </c>
      <c r="B5614" s="46" t="s">
        <v>16847</v>
      </c>
      <c r="C5614">
        <v>11</v>
      </c>
      <c r="D5614">
        <v>69</v>
      </c>
    </row>
    <row r="5615" spans="1:4" x14ac:dyDescent="0.25">
      <c r="A5615" s="45" t="s">
        <v>5642</v>
      </c>
      <c r="B5615" s="46" t="s">
        <v>16848</v>
      </c>
      <c r="C5615">
        <v>11</v>
      </c>
      <c r="D5615">
        <v>69</v>
      </c>
    </row>
    <row r="5616" spans="1:4" x14ac:dyDescent="0.25">
      <c r="A5616" s="45" t="s">
        <v>5643</v>
      </c>
      <c r="B5616" s="46" t="s">
        <v>16849</v>
      </c>
      <c r="C5616">
        <v>11</v>
      </c>
      <c r="D5616">
        <v>71</v>
      </c>
    </row>
    <row r="5617" spans="1:4" x14ac:dyDescent="0.25">
      <c r="A5617" s="45" t="s">
        <v>5644</v>
      </c>
      <c r="B5617" s="46" t="s">
        <v>16850</v>
      </c>
      <c r="C5617">
        <v>11</v>
      </c>
      <c r="D5617">
        <v>69</v>
      </c>
    </row>
    <row r="5618" spans="1:4" x14ac:dyDescent="0.25">
      <c r="A5618" s="45" t="s">
        <v>5645</v>
      </c>
      <c r="B5618" s="46" t="s">
        <v>16851</v>
      </c>
      <c r="C5618">
        <v>11</v>
      </c>
      <c r="D5618">
        <v>69</v>
      </c>
    </row>
    <row r="5619" spans="1:4" x14ac:dyDescent="0.25">
      <c r="A5619" s="45" t="s">
        <v>5646</v>
      </c>
      <c r="B5619" s="46" t="s">
        <v>16852</v>
      </c>
      <c r="C5619">
        <v>11</v>
      </c>
      <c r="D5619">
        <v>69</v>
      </c>
    </row>
    <row r="5620" spans="1:4" x14ac:dyDescent="0.25">
      <c r="A5620" s="45" t="s">
        <v>5647</v>
      </c>
      <c r="B5620" s="46" t="s">
        <v>16853</v>
      </c>
      <c r="C5620">
        <v>11</v>
      </c>
      <c r="D5620">
        <v>69</v>
      </c>
    </row>
    <row r="5621" spans="1:4" x14ac:dyDescent="0.25">
      <c r="A5621" s="45" t="s">
        <v>5648</v>
      </c>
      <c r="B5621" s="46" t="s">
        <v>16854</v>
      </c>
      <c r="C5621">
        <v>11</v>
      </c>
      <c r="D5621">
        <v>69</v>
      </c>
    </row>
    <row r="5622" spans="1:4" x14ac:dyDescent="0.25">
      <c r="A5622" s="45" t="s">
        <v>5649</v>
      </c>
      <c r="B5622" s="46" t="s">
        <v>20546</v>
      </c>
      <c r="C5622">
        <v>11</v>
      </c>
      <c r="D5622">
        <v>69</v>
      </c>
    </row>
    <row r="5623" spans="1:4" x14ac:dyDescent="0.25">
      <c r="A5623" s="45" t="s">
        <v>5650</v>
      </c>
      <c r="B5623" s="46" t="s">
        <v>20547</v>
      </c>
      <c r="C5623">
        <v>11</v>
      </c>
      <c r="D5623">
        <v>69</v>
      </c>
    </row>
    <row r="5624" spans="1:4" x14ac:dyDescent="0.25">
      <c r="A5624" s="45" t="s">
        <v>5651</v>
      </c>
      <c r="B5624" s="46" t="s">
        <v>16855</v>
      </c>
      <c r="C5624">
        <v>11</v>
      </c>
      <c r="D5624">
        <v>69</v>
      </c>
    </row>
    <row r="5625" spans="1:4" x14ac:dyDescent="0.25">
      <c r="A5625" s="45" t="s">
        <v>5652</v>
      </c>
      <c r="B5625" s="46" t="s">
        <v>16856</v>
      </c>
      <c r="C5625">
        <v>11</v>
      </c>
      <c r="D5625">
        <v>69</v>
      </c>
    </row>
    <row r="5626" spans="1:4" x14ac:dyDescent="0.25">
      <c r="A5626" s="45" t="s">
        <v>5653</v>
      </c>
      <c r="B5626" s="46" t="s">
        <v>16857</v>
      </c>
      <c r="C5626">
        <v>11</v>
      </c>
      <c r="D5626">
        <v>69</v>
      </c>
    </row>
    <row r="5627" spans="1:4" x14ac:dyDescent="0.25">
      <c r="A5627" s="45" t="s">
        <v>5654</v>
      </c>
      <c r="B5627" s="46" t="s">
        <v>16858</v>
      </c>
      <c r="C5627">
        <v>11</v>
      </c>
      <c r="D5627">
        <v>69</v>
      </c>
    </row>
    <row r="5628" spans="1:4" x14ac:dyDescent="0.25">
      <c r="A5628" s="45" t="s">
        <v>5655</v>
      </c>
      <c r="B5628" s="46" t="s">
        <v>16859</v>
      </c>
      <c r="C5628">
        <v>11</v>
      </c>
      <c r="D5628">
        <v>69</v>
      </c>
    </row>
    <row r="5629" spans="1:4" x14ac:dyDescent="0.25">
      <c r="A5629" s="45" t="s">
        <v>5656</v>
      </c>
      <c r="B5629" s="46" t="s">
        <v>16860</v>
      </c>
      <c r="C5629">
        <v>11</v>
      </c>
      <c r="D5629">
        <v>71</v>
      </c>
    </row>
    <row r="5630" spans="1:4" x14ac:dyDescent="0.25">
      <c r="A5630" s="45" t="s">
        <v>5657</v>
      </c>
      <c r="B5630" s="46" t="s">
        <v>16861</v>
      </c>
      <c r="C5630">
        <v>11</v>
      </c>
      <c r="D5630">
        <v>71</v>
      </c>
    </row>
    <row r="5631" spans="1:4" x14ac:dyDescent="0.25">
      <c r="A5631" s="45" t="s">
        <v>5658</v>
      </c>
      <c r="B5631" s="46" t="s">
        <v>20548</v>
      </c>
      <c r="C5631">
        <v>11</v>
      </c>
      <c r="D5631">
        <v>71</v>
      </c>
    </row>
    <row r="5632" spans="1:4" x14ac:dyDescent="0.25">
      <c r="A5632" s="45" t="s">
        <v>5659</v>
      </c>
      <c r="B5632" s="46" t="s">
        <v>16862</v>
      </c>
      <c r="C5632">
        <v>11</v>
      </c>
      <c r="D5632">
        <v>71</v>
      </c>
    </row>
    <row r="5633" spans="1:4" x14ac:dyDescent="0.25">
      <c r="A5633" s="45" t="s">
        <v>5660</v>
      </c>
      <c r="B5633" s="46" t="s">
        <v>16863</v>
      </c>
      <c r="C5633">
        <v>11</v>
      </c>
      <c r="D5633">
        <v>71</v>
      </c>
    </row>
    <row r="5634" spans="1:4" x14ac:dyDescent="0.25">
      <c r="A5634" s="45" t="s">
        <v>5661</v>
      </c>
      <c r="B5634" s="46" t="s">
        <v>20549</v>
      </c>
      <c r="C5634">
        <v>11</v>
      </c>
      <c r="D5634">
        <v>71</v>
      </c>
    </row>
    <row r="5635" spans="1:4" x14ac:dyDescent="0.25">
      <c r="A5635" s="45" t="s">
        <v>5662</v>
      </c>
      <c r="B5635" s="46" t="s">
        <v>20550</v>
      </c>
      <c r="C5635">
        <v>11</v>
      </c>
      <c r="D5635">
        <v>71</v>
      </c>
    </row>
    <row r="5636" spans="1:4" x14ac:dyDescent="0.25">
      <c r="A5636" s="45" t="s">
        <v>5663</v>
      </c>
      <c r="B5636" s="46" t="s">
        <v>20551</v>
      </c>
      <c r="C5636">
        <v>11</v>
      </c>
      <c r="D5636">
        <v>71</v>
      </c>
    </row>
    <row r="5637" spans="1:4" x14ac:dyDescent="0.25">
      <c r="A5637" s="45" t="s">
        <v>5664</v>
      </c>
      <c r="B5637" s="46" t="s">
        <v>16864</v>
      </c>
      <c r="C5637">
        <v>11</v>
      </c>
      <c r="D5637">
        <v>71</v>
      </c>
    </row>
    <row r="5638" spans="1:4" x14ac:dyDescent="0.25">
      <c r="A5638" s="45" t="s">
        <v>5665</v>
      </c>
      <c r="B5638" s="46" t="s">
        <v>20552</v>
      </c>
      <c r="C5638">
        <v>11</v>
      </c>
      <c r="D5638">
        <v>70</v>
      </c>
    </row>
    <row r="5639" spans="1:4" x14ac:dyDescent="0.25">
      <c r="A5639" s="45" t="s">
        <v>5666</v>
      </c>
      <c r="B5639" s="46" t="s">
        <v>20553</v>
      </c>
      <c r="C5639">
        <v>11</v>
      </c>
      <c r="D5639">
        <v>70</v>
      </c>
    </row>
    <row r="5640" spans="1:4" x14ac:dyDescent="0.25">
      <c r="A5640" s="45" t="s">
        <v>5667</v>
      </c>
      <c r="B5640" s="46" t="s">
        <v>16865</v>
      </c>
      <c r="C5640">
        <v>11</v>
      </c>
      <c r="D5640">
        <v>70</v>
      </c>
    </row>
    <row r="5641" spans="1:4" x14ac:dyDescent="0.25">
      <c r="A5641" s="45" t="s">
        <v>5668</v>
      </c>
      <c r="B5641" s="46" t="s">
        <v>16866</v>
      </c>
      <c r="C5641">
        <v>11</v>
      </c>
      <c r="D5641">
        <v>70</v>
      </c>
    </row>
    <row r="5642" spans="1:4" x14ac:dyDescent="0.25">
      <c r="A5642" s="45" t="s">
        <v>5669</v>
      </c>
      <c r="B5642" s="46" t="s">
        <v>20554</v>
      </c>
      <c r="C5642">
        <v>11</v>
      </c>
      <c r="D5642">
        <v>70</v>
      </c>
    </row>
    <row r="5643" spans="1:4" x14ac:dyDescent="0.25">
      <c r="A5643" s="45" t="s">
        <v>5670</v>
      </c>
      <c r="B5643" s="46" t="s">
        <v>16867</v>
      </c>
      <c r="C5643">
        <v>11</v>
      </c>
      <c r="D5643">
        <v>69</v>
      </c>
    </row>
    <row r="5644" spans="1:4" x14ac:dyDescent="0.25">
      <c r="A5644" s="45" t="s">
        <v>5671</v>
      </c>
      <c r="B5644" s="46" t="s">
        <v>16868</v>
      </c>
      <c r="C5644">
        <v>11</v>
      </c>
      <c r="D5644">
        <v>69</v>
      </c>
    </row>
    <row r="5645" spans="1:4" x14ac:dyDescent="0.25">
      <c r="A5645" s="45" t="s">
        <v>5672</v>
      </c>
      <c r="B5645" s="46" t="s">
        <v>16869</v>
      </c>
      <c r="C5645">
        <v>11</v>
      </c>
      <c r="D5645">
        <v>69</v>
      </c>
    </row>
    <row r="5646" spans="1:4" x14ac:dyDescent="0.25">
      <c r="A5646" s="45" t="s">
        <v>5673</v>
      </c>
      <c r="B5646" s="46" t="s">
        <v>16870</v>
      </c>
      <c r="C5646">
        <v>11</v>
      </c>
      <c r="D5646">
        <v>70</v>
      </c>
    </row>
    <row r="5647" spans="1:4" x14ac:dyDescent="0.25">
      <c r="A5647" s="45" t="s">
        <v>5674</v>
      </c>
      <c r="B5647" s="46" t="s">
        <v>16871</v>
      </c>
      <c r="C5647">
        <v>11</v>
      </c>
      <c r="D5647">
        <v>70</v>
      </c>
    </row>
    <row r="5648" spans="1:4" x14ac:dyDescent="0.25">
      <c r="A5648" s="45" t="s">
        <v>5675</v>
      </c>
      <c r="B5648" s="46" t="s">
        <v>16872</v>
      </c>
      <c r="C5648">
        <v>11</v>
      </c>
      <c r="D5648">
        <v>70</v>
      </c>
    </row>
    <row r="5649" spans="1:4" x14ac:dyDescent="0.25">
      <c r="A5649" s="45" t="s">
        <v>5676</v>
      </c>
      <c r="B5649" s="46" t="s">
        <v>16873</v>
      </c>
      <c r="C5649">
        <v>11</v>
      </c>
      <c r="D5649">
        <v>70</v>
      </c>
    </row>
    <row r="5650" spans="1:4" x14ac:dyDescent="0.25">
      <c r="A5650" s="45" t="s">
        <v>5677</v>
      </c>
      <c r="B5650" s="46" t="s">
        <v>20555</v>
      </c>
      <c r="C5650">
        <v>11</v>
      </c>
      <c r="D5650">
        <v>70</v>
      </c>
    </row>
    <row r="5651" spans="1:4" x14ac:dyDescent="0.25">
      <c r="A5651" s="45" t="s">
        <v>5678</v>
      </c>
      <c r="B5651" s="46" t="s">
        <v>20556</v>
      </c>
      <c r="C5651">
        <v>11</v>
      </c>
      <c r="D5651">
        <v>70</v>
      </c>
    </row>
    <row r="5652" spans="1:4" x14ac:dyDescent="0.25">
      <c r="A5652" s="45" t="s">
        <v>5679</v>
      </c>
      <c r="B5652" s="46" t="s">
        <v>16874</v>
      </c>
      <c r="C5652">
        <v>11</v>
      </c>
      <c r="D5652">
        <v>70</v>
      </c>
    </row>
    <row r="5653" spans="1:4" x14ac:dyDescent="0.25">
      <c r="A5653" s="45" t="s">
        <v>5680</v>
      </c>
      <c r="B5653" s="46" t="s">
        <v>16875</v>
      </c>
      <c r="C5653">
        <v>11</v>
      </c>
      <c r="D5653">
        <v>70</v>
      </c>
    </row>
    <row r="5654" spans="1:4" x14ac:dyDescent="0.25">
      <c r="A5654" s="45" t="s">
        <v>5681</v>
      </c>
      <c r="B5654" s="46" t="s">
        <v>16876</v>
      </c>
      <c r="C5654">
        <v>11</v>
      </c>
      <c r="D5654">
        <v>70</v>
      </c>
    </row>
    <row r="5655" spans="1:4" x14ac:dyDescent="0.25">
      <c r="A5655" s="45" t="s">
        <v>5682</v>
      </c>
      <c r="B5655" s="46" t="s">
        <v>16877</v>
      </c>
      <c r="C5655">
        <v>11</v>
      </c>
      <c r="D5655">
        <v>70</v>
      </c>
    </row>
    <row r="5656" spans="1:4" x14ac:dyDescent="0.25">
      <c r="A5656" s="45" t="s">
        <v>5683</v>
      </c>
      <c r="B5656" s="46" t="s">
        <v>16878</v>
      </c>
      <c r="C5656">
        <v>11</v>
      </c>
      <c r="D5656">
        <v>70</v>
      </c>
    </row>
    <row r="5657" spans="1:4" x14ac:dyDescent="0.25">
      <c r="A5657" s="45" t="s">
        <v>5684</v>
      </c>
      <c r="B5657" s="46" t="s">
        <v>20557</v>
      </c>
      <c r="C5657">
        <v>11</v>
      </c>
      <c r="D5657">
        <v>70</v>
      </c>
    </row>
    <row r="5658" spans="1:4" x14ac:dyDescent="0.25">
      <c r="A5658" s="45" t="s">
        <v>5685</v>
      </c>
      <c r="B5658" s="46" t="s">
        <v>16879</v>
      </c>
      <c r="C5658">
        <v>11</v>
      </c>
      <c r="D5658">
        <v>70</v>
      </c>
    </row>
    <row r="5659" spans="1:4" x14ac:dyDescent="0.25">
      <c r="A5659" s="45" t="s">
        <v>5686</v>
      </c>
      <c r="B5659" s="46" t="s">
        <v>16880</v>
      </c>
      <c r="C5659">
        <v>11</v>
      </c>
      <c r="D5659">
        <v>70</v>
      </c>
    </row>
    <row r="5660" spans="1:4" x14ac:dyDescent="0.25">
      <c r="A5660" s="45" t="s">
        <v>5687</v>
      </c>
      <c r="B5660" s="46" t="s">
        <v>16881</v>
      </c>
      <c r="C5660">
        <v>11</v>
      </c>
      <c r="D5660">
        <v>70</v>
      </c>
    </row>
    <row r="5661" spans="1:4" x14ac:dyDescent="0.25">
      <c r="A5661" s="45" t="s">
        <v>5688</v>
      </c>
      <c r="B5661" s="46" t="s">
        <v>20558</v>
      </c>
      <c r="C5661">
        <v>11</v>
      </c>
      <c r="D5661">
        <v>70</v>
      </c>
    </row>
    <row r="5662" spans="1:4" x14ac:dyDescent="0.25">
      <c r="A5662" s="45" t="s">
        <v>5689</v>
      </c>
      <c r="B5662" s="46" t="s">
        <v>20559</v>
      </c>
      <c r="C5662">
        <v>11</v>
      </c>
      <c r="D5662">
        <v>70</v>
      </c>
    </row>
    <row r="5663" spans="1:4" x14ac:dyDescent="0.25">
      <c r="A5663" s="45" t="s">
        <v>5690</v>
      </c>
      <c r="B5663" s="46" t="s">
        <v>20560</v>
      </c>
      <c r="C5663">
        <v>11</v>
      </c>
      <c r="D5663">
        <v>70</v>
      </c>
    </row>
    <row r="5664" spans="1:4" x14ac:dyDescent="0.25">
      <c r="A5664" s="45" t="s">
        <v>5691</v>
      </c>
      <c r="B5664" s="46" t="s">
        <v>20561</v>
      </c>
      <c r="C5664">
        <v>11</v>
      </c>
      <c r="D5664">
        <v>70</v>
      </c>
    </row>
    <row r="5665" spans="1:4" x14ac:dyDescent="0.25">
      <c r="A5665" s="45" t="s">
        <v>5692</v>
      </c>
      <c r="B5665" s="46" t="s">
        <v>20562</v>
      </c>
      <c r="C5665">
        <v>11</v>
      </c>
      <c r="D5665">
        <v>70</v>
      </c>
    </row>
    <row r="5666" spans="1:4" x14ac:dyDescent="0.25">
      <c r="A5666" s="45" t="s">
        <v>5693</v>
      </c>
      <c r="B5666" s="46" t="s">
        <v>16882</v>
      </c>
      <c r="C5666">
        <v>11</v>
      </c>
      <c r="D5666">
        <v>70</v>
      </c>
    </row>
    <row r="5667" spans="1:4" x14ac:dyDescent="0.25">
      <c r="A5667" s="45" t="s">
        <v>5694</v>
      </c>
      <c r="B5667" s="46" t="s">
        <v>16883</v>
      </c>
      <c r="C5667">
        <v>11</v>
      </c>
      <c r="D5667">
        <v>70</v>
      </c>
    </row>
    <row r="5668" spans="1:4" x14ac:dyDescent="0.25">
      <c r="A5668" s="45" t="s">
        <v>5695</v>
      </c>
      <c r="B5668" s="46" t="s">
        <v>16884</v>
      </c>
      <c r="C5668">
        <v>11</v>
      </c>
      <c r="D5668">
        <v>70</v>
      </c>
    </row>
    <row r="5669" spans="1:4" x14ac:dyDescent="0.25">
      <c r="A5669" s="45" t="s">
        <v>5696</v>
      </c>
      <c r="B5669" s="46" t="s">
        <v>16885</v>
      </c>
      <c r="C5669">
        <v>11</v>
      </c>
      <c r="D5669">
        <v>70</v>
      </c>
    </row>
    <row r="5670" spans="1:4" x14ac:dyDescent="0.25">
      <c r="A5670" s="45" t="s">
        <v>5697</v>
      </c>
      <c r="B5670" s="46" t="s">
        <v>16886</v>
      </c>
      <c r="C5670">
        <v>11</v>
      </c>
      <c r="D5670">
        <v>70</v>
      </c>
    </row>
    <row r="5671" spans="1:4" x14ac:dyDescent="0.25">
      <c r="A5671" s="45" t="s">
        <v>5698</v>
      </c>
      <c r="B5671" s="46" t="s">
        <v>16887</v>
      </c>
      <c r="C5671">
        <v>11</v>
      </c>
      <c r="D5671">
        <v>70</v>
      </c>
    </row>
    <row r="5672" spans="1:4" x14ac:dyDescent="0.25">
      <c r="A5672" s="45" t="s">
        <v>5699</v>
      </c>
      <c r="B5672" s="46" t="s">
        <v>16888</v>
      </c>
      <c r="C5672">
        <v>11</v>
      </c>
      <c r="D5672">
        <v>70</v>
      </c>
    </row>
    <row r="5673" spans="1:4" x14ac:dyDescent="0.25">
      <c r="A5673" s="45" t="s">
        <v>5700</v>
      </c>
      <c r="B5673" s="46" t="s">
        <v>16889</v>
      </c>
      <c r="C5673">
        <v>11</v>
      </c>
      <c r="D5673">
        <v>70</v>
      </c>
    </row>
    <row r="5674" spans="1:4" x14ac:dyDescent="0.25">
      <c r="A5674" s="45" t="s">
        <v>5701</v>
      </c>
      <c r="B5674" s="46" t="s">
        <v>16890</v>
      </c>
      <c r="C5674">
        <v>11</v>
      </c>
      <c r="D5674">
        <v>70</v>
      </c>
    </row>
    <row r="5675" spans="1:4" x14ac:dyDescent="0.25">
      <c r="A5675" s="45" t="s">
        <v>5702</v>
      </c>
      <c r="B5675" s="46" t="s">
        <v>16891</v>
      </c>
      <c r="C5675">
        <v>11</v>
      </c>
      <c r="D5675">
        <v>70</v>
      </c>
    </row>
    <row r="5676" spans="1:4" x14ac:dyDescent="0.25">
      <c r="A5676" s="45" t="s">
        <v>5703</v>
      </c>
      <c r="B5676" s="46" t="s">
        <v>16892</v>
      </c>
      <c r="C5676">
        <v>11</v>
      </c>
      <c r="D5676">
        <v>70</v>
      </c>
    </row>
    <row r="5677" spans="1:4" x14ac:dyDescent="0.25">
      <c r="A5677" s="45" t="s">
        <v>5704</v>
      </c>
      <c r="B5677" s="46" t="s">
        <v>16893</v>
      </c>
      <c r="C5677">
        <v>11</v>
      </c>
      <c r="D5677">
        <v>70</v>
      </c>
    </row>
    <row r="5678" spans="1:4" x14ac:dyDescent="0.25">
      <c r="A5678" s="45" t="s">
        <v>5705</v>
      </c>
      <c r="B5678" s="46" t="s">
        <v>16894</v>
      </c>
      <c r="C5678">
        <v>11</v>
      </c>
      <c r="D5678">
        <v>70</v>
      </c>
    </row>
    <row r="5679" spans="1:4" x14ac:dyDescent="0.25">
      <c r="A5679" s="45" t="s">
        <v>5706</v>
      </c>
      <c r="B5679" s="46" t="s">
        <v>20563</v>
      </c>
      <c r="C5679">
        <v>11</v>
      </c>
      <c r="D5679">
        <v>70</v>
      </c>
    </row>
    <row r="5680" spans="1:4" x14ac:dyDescent="0.25">
      <c r="A5680" s="45" t="s">
        <v>5707</v>
      </c>
      <c r="B5680" s="46" t="s">
        <v>16895</v>
      </c>
      <c r="C5680">
        <v>11</v>
      </c>
      <c r="D5680">
        <v>70</v>
      </c>
    </row>
    <row r="5681" spans="1:4" x14ac:dyDescent="0.25">
      <c r="A5681" s="45" t="s">
        <v>5708</v>
      </c>
      <c r="B5681" s="46" t="s">
        <v>20564</v>
      </c>
      <c r="C5681">
        <v>11</v>
      </c>
      <c r="D5681">
        <v>70</v>
      </c>
    </row>
    <row r="5682" spans="1:4" x14ac:dyDescent="0.25">
      <c r="A5682" s="45" t="s">
        <v>5709</v>
      </c>
      <c r="B5682" s="46" t="s">
        <v>16896</v>
      </c>
      <c r="C5682">
        <v>11</v>
      </c>
      <c r="D5682">
        <v>70</v>
      </c>
    </row>
    <row r="5683" spans="1:4" x14ac:dyDescent="0.25">
      <c r="A5683" s="45" t="s">
        <v>5710</v>
      </c>
      <c r="B5683" s="46" t="s">
        <v>16897</v>
      </c>
      <c r="C5683">
        <v>11</v>
      </c>
      <c r="D5683">
        <v>70</v>
      </c>
    </row>
    <row r="5684" spans="1:4" x14ac:dyDescent="0.25">
      <c r="A5684" s="45" t="s">
        <v>5711</v>
      </c>
      <c r="B5684" s="46" t="s">
        <v>20565</v>
      </c>
      <c r="C5684">
        <v>11</v>
      </c>
      <c r="D5684">
        <v>70</v>
      </c>
    </row>
    <row r="5685" spans="1:4" x14ac:dyDescent="0.25">
      <c r="A5685" s="45" t="s">
        <v>5712</v>
      </c>
      <c r="B5685" s="46" t="s">
        <v>16898</v>
      </c>
      <c r="C5685">
        <v>11</v>
      </c>
      <c r="D5685">
        <v>70</v>
      </c>
    </row>
    <row r="5686" spans="1:4" x14ac:dyDescent="0.25">
      <c r="A5686" s="45" t="s">
        <v>5713</v>
      </c>
      <c r="B5686" s="46" t="s">
        <v>16899</v>
      </c>
      <c r="C5686">
        <v>11</v>
      </c>
      <c r="D5686">
        <v>70</v>
      </c>
    </row>
    <row r="5687" spans="1:4" x14ac:dyDescent="0.25">
      <c r="A5687" s="45" t="s">
        <v>5714</v>
      </c>
      <c r="B5687" s="46" t="s">
        <v>16900</v>
      </c>
      <c r="C5687">
        <v>11</v>
      </c>
      <c r="D5687">
        <v>70</v>
      </c>
    </row>
    <row r="5688" spans="1:4" x14ac:dyDescent="0.25">
      <c r="A5688" s="45" t="s">
        <v>5715</v>
      </c>
      <c r="B5688" s="46" t="s">
        <v>20566</v>
      </c>
      <c r="C5688">
        <v>11</v>
      </c>
      <c r="D5688">
        <v>70</v>
      </c>
    </row>
    <row r="5689" spans="1:4" x14ac:dyDescent="0.25">
      <c r="A5689" s="45" t="s">
        <v>5716</v>
      </c>
      <c r="B5689" s="46" t="s">
        <v>20567</v>
      </c>
      <c r="C5689">
        <v>11</v>
      </c>
      <c r="D5689">
        <v>70</v>
      </c>
    </row>
    <row r="5690" spans="1:4" x14ac:dyDescent="0.25">
      <c r="A5690" s="45" t="s">
        <v>5717</v>
      </c>
      <c r="B5690" s="46" t="s">
        <v>20568</v>
      </c>
      <c r="C5690">
        <v>11</v>
      </c>
      <c r="D5690">
        <v>70</v>
      </c>
    </row>
    <row r="5691" spans="1:4" x14ac:dyDescent="0.25">
      <c r="A5691" s="45" t="s">
        <v>5718</v>
      </c>
      <c r="B5691" s="46" t="s">
        <v>16901</v>
      </c>
      <c r="C5691">
        <v>11</v>
      </c>
      <c r="D5691">
        <v>70</v>
      </c>
    </row>
    <row r="5692" spans="1:4" x14ac:dyDescent="0.25">
      <c r="A5692" s="45" t="s">
        <v>5719</v>
      </c>
      <c r="B5692" s="46" t="s">
        <v>16902</v>
      </c>
      <c r="C5692">
        <v>11</v>
      </c>
      <c r="D5692">
        <v>70</v>
      </c>
    </row>
    <row r="5693" spans="1:4" x14ac:dyDescent="0.25">
      <c r="A5693" s="45" t="s">
        <v>5720</v>
      </c>
      <c r="B5693" s="46" t="s">
        <v>16903</v>
      </c>
      <c r="C5693">
        <v>11</v>
      </c>
      <c r="D5693">
        <v>70</v>
      </c>
    </row>
    <row r="5694" spans="1:4" x14ac:dyDescent="0.25">
      <c r="A5694" s="45" t="s">
        <v>5721</v>
      </c>
      <c r="B5694" s="46" t="s">
        <v>16904</v>
      </c>
      <c r="C5694">
        <v>11</v>
      </c>
      <c r="D5694">
        <v>70</v>
      </c>
    </row>
    <row r="5695" spans="1:4" x14ac:dyDescent="0.25">
      <c r="A5695" s="45" t="s">
        <v>5722</v>
      </c>
      <c r="B5695" s="46" t="s">
        <v>16905</v>
      </c>
      <c r="C5695">
        <v>11</v>
      </c>
      <c r="D5695">
        <v>70</v>
      </c>
    </row>
    <row r="5696" spans="1:4" x14ac:dyDescent="0.25">
      <c r="A5696" s="45" t="s">
        <v>5723</v>
      </c>
      <c r="B5696" s="46" t="s">
        <v>16906</v>
      </c>
      <c r="C5696">
        <v>11</v>
      </c>
      <c r="D5696">
        <v>70</v>
      </c>
    </row>
    <row r="5697" spans="1:4" x14ac:dyDescent="0.25">
      <c r="A5697" s="45" t="s">
        <v>5724</v>
      </c>
      <c r="B5697" s="46" t="s">
        <v>16907</v>
      </c>
      <c r="C5697">
        <v>11</v>
      </c>
      <c r="D5697">
        <v>70</v>
      </c>
    </row>
    <row r="5698" spans="1:4" x14ac:dyDescent="0.25">
      <c r="A5698" s="45" t="s">
        <v>5725</v>
      </c>
      <c r="B5698" s="46" t="s">
        <v>16908</v>
      </c>
      <c r="C5698">
        <v>11</v>
      </c>
      <c r="D5698">
        <v>70</v>
      </c>
    </row>
    <row r="5699" spans="1:4" x14ac:dyDescent="0.25">
      <c r="A5699" s="45" t="s">
        <v>5726</v>
      </c>
      <c r="B5699" s="46" t="s">
        <v>16909</v>
      </c>
      <c r="C5699">
        <v>11</v>
      </c>
      <c r="D5699">
        <v>70</v>
      </c>
    </row>
    <row r="5700" spans="1:4" x14ac:dyDescent="0.25">
      <c r="A5700" s="45" t="s">
        <v>5727</v>
      </c>
      <c r="B5700" s="46" t="s">
        <v>20569</v>
      </c>
      <c r="C5700">
        <v>11</v>
      </c>
      <c r="D5700">
        <v>70</v>
      </c>
    </row>
    <row r="5701" spans="1:4" x14ac:dyDescent="0.25">
      <c r="A5701" s="45" t="s">
        <v>5728</v>
      </c>
      <c r="B5701" s="46" t="s">
        <v>16910</v>
      </c>
      <c r="C5701">
        <v>11</v>
      </c>
      <c r="D5701">
        <v>70</v>
      </c>
    </row>
    <row r="5702" spans="1:4" x14ac:dyDescent="0.25">
      <c r="A5702" s="45" t="s">
        <v>5729</v>
      </c>
      <c r="B5702" s="46" t="s">
        <v>16911</v>
      </c>
      <c r="C5702">
        <v>11</v>
      </c>
      <c r="D5702">
        <v>70</v>
      </c>
    </row>
    <row r="5703" spans="1:4" x14ac:dyDescent="0.25">
      <c r="A5703" s="45" t="s">
        <v>5730</v>
      </c>
      <c r="B5703" s="46" t="s">
        <v>16912</v>
      </c>
      <c r="C5703">
        <v>11</v>
      </c>
      <c r="D5703">
        <v>70</v>
      </c>
    </row>
    <row r="5704" spans="1:4" x14ac:dyDescent="0.25">
      <c r="A5704" s="45" t="s">
        <v>5731</v>
      </c>
      <c r="B5704" s="46" t="s">
        <v>20570</v>
      </c>
      <c r="C5704">
        <v>11</v>
      </c>
      <c r="D5704">
        <v>70</v>
      </c>
    </row>
    <row r="5705" spans="1:4" x14ac:dyDescent="0.25">
      <c r="A5705" s="45" t="s">
        <v>5732</v>
      </c>
      <c r="B5705" s="46" t="s">
        <v>16913</v>
      </c>
      <c r="C5705">
        <v>11</v>
      </c>
      <c r="D5705">
        <v>70</v>
      </c>
    </row>
    <row r="5706" spans="1:4" x14ac:dyDescent="0.25">
      <c r="A5706" s="45" t="s">
        <v>5733</v>
      </c>
      <c r="B5706" s="46" t="s">
        <v>20571</v>
      </c>
      <c r="C5706">
        <v>11</v>
      </c>
      <c r="D5706">
        <v>70</v>
      </c>
    </row>
    <row r="5707" spans="1:4" x14ac:dyDescent="0.25">
      <c r="A5707" s="45" t="s">
        <v>5734</v>
      </c>
      <c r="B5707" s="46" t="s">
        <v>20572</v>
      </c>
      <c r="C5707">
        <v>11</v>
      </c>
      <c r="D5707">
        <v>70</v>
      </c>
    </row>
    <row r="5708" spans="1:4" x14ac:dyDescent="0.25">
      <c r="A5708" s="45" t="s">
        <v>5735</v>
      </c>
      <c r="B5708" s="46" t="s">
        <v>20573</v>
      </c>
      <c r="C5708">
        <v>11</v>
      </c>
      <c r="D5708">
        <v>70</v>
      </c>
    </row>
    <row r="5709" spans="1:4" x14ac:dyDescent="0.25">
      <c r="A5709" s="45" t="s">
        <v>5736</v>
      </c>
      <c r="B5709" s="46" t="s">
        <v>16914</v>
      </c>
      <c r="C5709">
        <v>11</v>
      </c>
      <c r="D5709">
        <v>69</v>
      </c>
    </row>
    <row r="5710" spans="1:4" x14ac:dyDescent="0.25">
      <c r="A5710" s="45" t="s">
        <v>5737</v>
      </c>
      <c r="B5710" s="46" t="s">
        <v>20574</v>
      </c>
      <c r="C5710">
        <v>11</v>
      </c>
      <c r="D5710">
        <v>69</v>
      </c>
    </row>
    <row r="5711" spans="1:4" x14ac:dyDescent="0.25">
      <c r="A5711" s="45" t="s">
        <v>5738</v>
      </c>
      <c r="B5711" s="46" t="s">
        <v>16915</v>
      </c>
      <c r="C5711">
        <v>11</v>
      </c>
      <c r="D5711">
        <v>69</v>
      </c>
    </row>
    <row r="5712" spans="1:4" x14ac:dyDescent="0.25">
      <c r="A5712" s="45" t="s">
        <v>5739</v>
      </c>
      <c r="B5712" s="46" t="s">
        <v>16916</v>
      </c>
      <c r="C5712">
        <v>11</v>
      </c>
      <c r="D5712">
        <v>69</v>
      </c>
    </row>
    <row r="5713" spans="1:4" x14ac:dyDescent="0.25">
      <c r="A5713" s="45" t="s">
        <v>5740</v>
      </c>
      <c r="B5713" s="46" t="s">
        <v>16917</v>
      </c>
      <c r="C5713">
        <v>11</v>
      </c>
      <c r="D5713">
        <v>69</v>
      </c>
    </row>
    <row r="5714" spans="1:4" x14ac:dyDescent="0.25">
      <c r="A5714" s="45" t="s">
        <v>5741</v>
      </c>
      <c r="B5714" s="46" t="s">
        <v>16918</v>
      </c>
      <c r="C5714">
        <v>11</v>
      </c>
      <c r="D5714">
        <v>69</v>
      </c>
    </row>
    <row r="5715" spans="1:4" x14ac:dyDescent="0.25">
      <c r="A5715" s="45" t="s">
        <v>5742</v>
      </c>
      <c r="B5715" s="46" t="s">
        <v>16919</v>
      </c>
      <c r="C5715">
        <v>11</v>
      </c>
      <c r="D5715">
        <v>69</v>
      </c>
    </row>
    <row r="5716" spans="1:4" x14ac:dyDescent="0.25">
      <c r="A5716" s="45" t="s">
        <v>5743</v>
      </c>
      <c r="B5716" s="46" t="s">
        <v>16920</v>
      </c>
      <c r="C5716">
        <v>11</v>
      </c>
      <c r="D5716">
        <v>69</v>
      </c>
    </row>
    <row r="5717" spans="1:4" x14ac:dyDescent="0.25">
      <c r="A5717" s="45" t="s">
        <v>5744</v>
      </c>
      <c r="B5717" s="46" t="s">
        <v>16921</v>
      </c>
      <c r="C5717">
        <v>11</v>
      </c>
      <c r="D5717">
        <v>69</v>
      </c>
    </row>
    <row r="5718" spans="1:4" x14ac:dyDescent="0.25">
      <c r="A5718" s="45" t="s">
        <v>5745</v>
      </c>
      <c r="B5718" s="46" t="s">
        <v>16922</v>
      </c>
      <c r="C5718">
        <v>11</v>
      </c>
      <c r="D5718">
        <v>69</v>
      </c>
    </row>
    <row r="5719" spans="1:4" x14ac:dyDescent="0.25">
      <c r="A5719" s="45" t="s">
        <v>5746</v>
      </c>
      <c r="B5719" s="46" t="s">
        <v>20575</v>
      </c>
      <c r="C5719">
        <v>11</v>
      </c>
      <c r="D5719">
        <v>69</v>
      </c>
    </row>
    <row r="5720" spans="1:4" x14ac:dyDescent="0.25">
      <c r="A5720" s="45" t="s">
        <v>5747</v>
      </c>
      <c r="B5720" s="46" t="s">
        <v>16923</v>
      </c>
      <c r="C5720">
        <v>11</v>
      </c>
      <c r="D5720">
        <v>69</v>
      </c>
    </row>
    <row r="5721" spans="1:4" x14ac:dyDescent="0.25">
      <c r="A5721" s="45" t="s">
        <v>5748</v>
      </c>
      <c r="B5721" s="46" t="s">
        <v>16924</v>
      </c>
      <c r="C5721">
        <v>11</v>
      </c>
      <c r="D5721">
        <v>69</v>
      </c>
    </row>
    <row r="5722" spans="1:4" x14ac:dyDescent="0.25">
      <c r="A5722" s="45" t="s">
        <v>5749</v>
      </c>
      <c r="B5722" s="46" t="s">
        <v>20576</v>
      </c>
      <c r="C5722">
        <v>11</v>
      </c>
      <c r="D5722">
        <v>70</v>
      </c>
    </row>
    <row r="5723" spans="1:4" x14ac:dyDescent="0.25">
      <c r="A5723" s="45" t="s">
        <v>5750</v>
      </c>
      <c r="B5723" s="46" t="s">
        <v>20577</v>
      </c>
      <c r="C5723">
        <v>11</v>
      </c>
      <c r="D5723">
        <v>70</v>
      </c>
    </row>
    <row r="5724" spans="1:4" x14ac:dyDescent="0.25">
      <c r="A5724" s="45" t="s">
        <v>5751</v>
      </c>
      <c r="B5724" s="46" t="s">
        <v>20578</v>
      </c>
      <c r="C5724">
        <v>11</v>
      </c>
      <c r="D5724">
        <v>70</v>
      </c>
    </row>
    <row r="5725" spans="1:4" x14ac:dyDescent="0.25">
      <c r="A5725" s="45" t="s">
        <v>5752</v>
      </c>
      <c r="B5725" s="46" t="s">
        <v>16925</v>
      </c>
      <c r="C5725">
        <v>11</v>
      </c>
      <c r="D5725">
        <v>70</v>
      </c>
    </row>
    <row r="5726" spans="1:4" x14ac:dyDescent="0.25">
      <c r="A5726" s="45" t="s">
        <v>5753</v>
      </c>
      <c r="B5726" s="46" t="s">
        <v>16926</v>
      </c>
      <c r="C5726">
        <v>11</v>
      </c>
      <c r="D5726">
        <v>71</v>
      </c>
    </row>
    <row r="5727" spans="1:4" x14ac:dyDescent="0.25">
      <c r="A5727" s="45" t="s">
        <v>5754</v>
      </c>
      <c r="B5727" s="46" t="s">
        <v>16927</v>
      </c>
      <c r="C5727">
        <v>11</v>
      </c>
      <c r="D5727">
        <v>71</v>
      </c>
    </row>
    <row r="5728" spans="1:4" x14ac:dyDescent="0.25">
      <c r="A5728" s="45" t="s">
        <v>5755</v>
      </c>
      <c r="B5728" s="46" t="s">
        <v>16928</v>
      </c>
      <c r="C5728">
        <v>11</v>
      </c>
      <c r="D5728">
        <v>71</v>
      </c>
    </row>
    <row r="5729" spans="1:4" x14ac:dyDescent="0.25">
      <c r="A5729" s="45" t="s">
        <v>5756</v>
      </c>
      <c r="B5729" s="46" t="s">
        <v>16929</v>
      </c>
      <c r="C5729">
        <v>11</v>
      </c>
      <c r="D5729">
        <v>71</v>
      </c>
    </row>
    <row r="5730" spans="1:4" x14ac:dyDescent="0.25">
      <c r="A5730" s="45" t="s">
        <v>5757</v>
      </c>
      <c r="B5730" s="46" t="s">
        <v>16930</v>
      </c>
      <c r="C5730">
        <v>11</v>
      </c>
      <c r="D5730">
        <v>71</v>
      </c>
    </row>
    <row r="5731" spans="1:4" x14ac:dyDescent="0.25">
      <c r="A5731" s="45" t="s">
        <v>5758</v>
      </c>
      <c r="B5731" s="46" t="s">
        <v>16931</v>
      </c>
      <c r="C5731">
        <v>11</v>
      </c>
      <c r="D5731">
        <v>71</v>
      </c>
    </row>
    <row r="5732" spans="1:4" x14ac:dyDescent="0.25">
      <c r="A5732" s="45" t="s">
        <v>5759</v>
      </c>
      <c r="B5732" s="46" t="s">
        <v>16932</v>
      </c>
      <c r="C5732">
        <v>11</v>
      </c>
      <c r="D5732">
        <v>71</v>
      </c>
    </row>
    <row r="5733" spans="1:4" x14ac:dyDescent="0.25">
      <c r="A5733" s="45" t="s">
        <v>5760</v>
      </c>
      <c r="B5733" s="46" t="s">
        <v>16933</v>
      </c>
      <c r="C5733">
        <v>11</v>
      </c>
      <c r="D5733">
        <v>71</v>
      </c>
    </row>
    <row r="5734" spans="1:4" x14ac:dyDescent="0.25">
      <c r="A5734" s="45" t="s">
        <v>5761</v>
      </c>
      <c r="B5734" s="46" t="s">
        <v>16934</v>
      </c>
      <c r="C5734">
        <v>11</v>
      </c>
      <c r="D5734">
        <v>71</v>
      </c>
    </row>
    <row r="5735" spans="1:4" x14ac:dyDescent="0.25">
      <c r="A5735" s="45" t="s">
        <v>5762</v>
      </c>
      <c r="B5735" s="46" t="s">
        <v>16935</v>
      </c>
      <c r="C5735">
        <v>11</v>
      </c>
      <c r="D5735">
        <v>71</v>
      </c>
    </row>
    <row r="5736" spans="1:4" x14ac:dyDescent="0.25">
      <c r="A5736" s="45" t="s">
        <v>5763</v>
      </c>
      <c r="B5736" s="46" t="s">
        <v>16936</v>
      </c>
      <c r="C5736">
        <v>11</v>
      </c>
      <c r="D5736">
        <v>71</v>
      </c>
    </row>
    <row r="5737" spans="1:4" x14ac:dyDescent="0.25">
      <c r="A5737" s="45" t="s">
        <v>5764</v>
      </c>
      <c r="B5737" s="46" t="s">
        <v>16937</v>
      </c>
      <c r="C5737">
        <v>11</v>
      </c>
      <c r="D5737">
        <v>71</v>
      </c>
    </row>
    <row r="5738" spans="1:4" x14ac:dyDescent="0.25">
      <c r="A5738" s="45" t="s">
        <v>5765</v>
      </c>
      <c r="B5738" s="46" t="s">
        <v>16938</v>
      </c>
      <c r="C5738">
        <v>11</v>
      </c>
      <c r="D5738">
        <v>71</v>
      </c>
    </row>
    <row r="5739" spans="1:4" x14ac:dyDescent="0.25">
      <c r="A5739" s="45" t="s">
        <v>5766</v>
      </c>
      <c r="B5739" s="46" t="s">
        <v>16939</v>
      </c>
      <c r="C5739">
        <v>11</v>
      </c>
      <c r="D5739">
        <v>71</v>
      </c>
    </row>
    <row r="5740" spans="1:4" x14ac:dyDescent="0.25">
      <c r="A5740" s="45" t="s">
        <v>5767</v>
      </c>
      <c r="B5740" s="46" t="s">
        <v>20579</v>
      </c>
      <c r="C5740">
        <v>11</v>
      </c>
      <c r="D5740">
        <v>71</v>
      </c>
    </row>
    <row r="5741" spans="1:4" x14ac:dyDescent="0.25">
      <c r="A5741" s="45" t="s">
        <v>5768</v>
      </c>
      <c r="B5741" s="46" t="s">
        <v>16940</v>
      </c>
      <c r="C5741">
        <v>11</v>
      </c>
      <c r="D5741">
        <v>71</v>
      </c>
    </row>
    <row r="5742" spans="1:4" x14ac:dyDescent="0.25">
      <c r="A5742" s="45" t="s">
        <v>5769</v>
      </c>
      <c r="B5742" s="46" t="s">
        <v>20580</v>
      </c>
      <c r="C5742">
        <v>11</v>
      </c>
      <c r="D5742">
        <v>71</v>
      </c>
    </row>
    <row r="5743" spans="1:4" x14ac:dyDescent="0.25">
      <c r="A5743" s="45" t="s">
        <v>5770</v>
      </c>
      <c r="B5743" s="46" t="s">
        <v>16941</v>
      </c>
      <c r="C5743">
        <v>11</v>
      </c>
      <c r="D5743">
        <v>71</v>
      </c>
    </row>
    <row r="5744" spans="1:4" x14ac:dyDescent="0.25">
      <c r="A5744" s="45" t="s">
        <v>5771</v>
      </c>
      <c r="B5744" s="46" t="s">
        <v>16942</v>
      </c>
      <c r="C5744">
        <v>11</v>
      </c>
      <c r="D5744">
        <v>71</v>
      </c>
    </row>
    <row r="5745" spans="1:4" x14ac:dyDescent="0.25">
      <c r="A5745" s="45" t="s">
        <v>5772</v>
      </c>
      <c r="B5745" s="46" t="s">
        <v>16943</v>
      </c>
      <c r="C5745">
        <v>11</v>
      </c>
      <c r="D5745">
        <v>71</v>
      </c>
    </row>
    <row r="5746" spans="1:4" x14ac:dyDescent="0.25">
      <c r="A5746" s="45" t="s">
        <v>5773</v>
      </c>
      <c r="B5746" s="46" t="s">
        <v>16944</v>
      </c>
      <c r="C5746">
        <v>11</v>
      </c>
      <c r="D5746">
        <v>71</v>
      </c>
    </row>
    <row r="5747" spans="1:4" x14ac:dyDescent="0.25">
      <c r="A5747" s="45" t="s">
        <v>5774</v>
      </c>
      <c r="B5747" s="46" t="s">
        <v>16945</v>
      </c>
      <c r="C5747">
        <v>11</v>
      </c>
      <c r="D5747">
        <v>71</v>
      </c>
    </row>
    <row r="5748" spans="1:4" x14ac:dyDescent="0.25">
      <c r="A5748" s="45" t="s">
        <v>5775</v>
      </c>
      <c r="B5748" s="46" t="s">
        <v>20581</v>
      </c>
      <c r="C5748">
        <v>11</v>
      </c>
      <c r="D5748">
        <v>71</v>
      </c>
    </row>
    <row r="5749" spans="1:4" x14ac:dyDescent="0.25">
      <c r="A5749" s="45" t="s">
        <v>5776</v>
      </c>
      <c r="B5749" s="46" t="s">
        <v>20582</v>
      </c>
      <c r="C5749">
        <v>11</v>
      </c>
      <c r="D5749">
        <v>71</v>
      </c>
    </row>
    <row r="5750" spans="1:4" x14ac:dyDescent="0.25">
      <c r="A5750" s="45" t="s">
        <v>5777</v>
      </c>
      <c r="B5750" s="46" t="s">
        <v>16946</v>
      </c>
      <c r="C5750">
        <v>11</v>
      </c>
      <c r="D5750">
        <v>71</v>
      </c>
    </row>
    <row r="5751" spans="1:4" x14ac:dyDescent="0.25">
      <c r="A5751" s="45" t="s">
        <v>5778</v>
      </c>
      <c r="B5751" s="46" t="s">
        <v>16947</v>
      </c>
      <c r="C5751">
        <v>11</v>
      </c>
      <c r="D5751">
        <v>71</v>
      </c>
    </row>
    <row r="5752" spans="1:4" x14ac:dyDescent="0.25">
      <c r="A5752" s="45" t="s">
        <v>5779</v>
      </c>
      <c r="B5752" s="46" t="s">
        <v>20583</v>
      </c>
      <c r="C5752">
        <v>11</v>
      </c>
      <c r="D5752">
        <v>71</v>
      </c>
    </row>
    <row r="5753" spans="1:4" x14ac:dyDescent="0.25">
      <c r="A5753" s="45" t="s">
        <v>5780</v>
      </c>
      <c r="B5753" s="46" t="s">
        <v>20584</v>
      </c>
      <c r="C5753">
        <v>11</v>
      </c>
      <c r="D5753">
        <v>71</v>
      </c>
    </row>
    <row r="5754" spans="1:4" x14ac:dyDescent="0.25">
      <c r="A5754" s="45" t="s">
        <v>5781</v>
      </c>
      <c r="B5754" s="46" t="s">
        <v>20585</v>
      </c>
      <c r="C5754">
        <v>11</v>
      </c>
      <c r="D5754">
        <v>71</v>
      </c>
    </row>
    <row r="5755" spans="1:4" x14ac:dyDescent="0.25">
      <c r="A5755" s="45" t="s">
        <v>5782</v>
      </c>
      <c r="B5755" s="46" t="s">
        <v>20586</v>
      </c>
      <c r="C5755">
        <v>11</v>
      </c>
      <c r="D5755">
        <v>71</v>
      </c>
    </row>
    <row r="5756" spans="1:4" x14ac:dyDescent="0.25">
      <c r="A5756" s="45" t="s">
        <v>5783</v>
      </c>
      <c r="B5756" s="46" t="s">
        <v>16948</v>
      </c>
      <c r="C5756">
        <v>11</v>
      </c>
      <c r="D5756">
        <v>71</v>
      </c>
    </row>
    <row r="5757" spans="1:4" x14ac:dyDescent="0.25">
      <c r="A5757" s="45" t="s">
        <v>5784</v>
      </c>
      <c r="B5757" s="46" t="s">
        <v>16949</v>
      </c>
      <c r="C5757">
        <v>11</v>
      </c>
      <c r="D5757">
        <v>71</v>
      </c>
    </row>
    <row r="5758" spans="1:4" x14ac:dyDescent="0.25">
      <c r="A5758" s="45" t="s">
        <v>5785</v>
      </c>
      <c r="B5758" s="46" t="s">
        <v>16950</v>
      </c>
      <c r="C5758">
        <v>11</v>
      </c>
      <c r="D5758">
        <v>71</v>
      </c>
    </row>
    <row r="5759" spans="1:4" x14ac:dyDescent="0.25">
      <c r="A5759" s="45" t="s">
        <v>5786</v>
      </c>
      <c r="B5759" s="46" t="s">
        <v>16951</v>
      </c>
      <c r="C5759">
        <v>11</v>
      </c>
      <c r="D5759">
        <v>71</v>
      </c>
    </row>
    <row r="5760" spans="1:4" x14ac:dyDescent="0.25">
      <c r="A5760" s="45" t="s">
        <v>5787</v>
      </c>
      <c r="B5760" s="46" t="s">
        <v>20587</v>
      </c>
      <c r="C5760">
        <v>11</v>
      </c>
      <c r="D5760">
        <v>71</v>
      </c>
    </row>
    <row r="5761" spans="1:4" x14ac:dyDescent="0.25">
      <c r="A5761" s="45" t="s">
        <v>5788</v>
      </c>
      <c r="B5761" s="46" t="s">
        <v>16952</v>
      </c>
      <c r="C5761">
        <v>11</v>
      </c>
      <c r="D5761">
        <v>69</v>
      </c>
    </row>
    <row r="5762" spans="1:4" x14ac:dyDescent="0.25">
      <c r="A5762" s="45" t="s">
        <v>5789</v>
      </c>
      <c r="B5762" s="46" t="s">
        <v>16953</v>
      </c>
      <c r="C5762">
        <v>11</v>
      </c>
      <c r="D5762">
        <v>69</v>
      </c>
    </row>
    <row r="5763" spans="1:4" x14ac:dyDescent="0.25">
      <c r="A5763" s="45" t="s">
        <v>5790</v>
      </c>
      <c r="B5763" s="46" t="s">
        <v>20588</v>
      </c>
      <c r="C5763">
        <v>11</v>
      </c>
      <c r="D5763">
        <v>69</v>
      </c>
    </row>
    <row r="5764" spans="1:4" x14ac:dyDescent="0.25">
      <c r="A5764" s="45" t="s">
        <v>5791</v>
      </c>
      <c r="B5764" s="46" t="s">
        <v>16954</v>
      </c>
      <c r="C5764">
        <v>11</v>
      </c>
      <c r="D5764">
        <v>70</v>
      </c>
    </row>
    <row r="5765" spans="1:4" x14ac:dyDescent="0.25">
      <c r="A5765" s="45" t="s">
        <v>5792</v>
      </c>
      <c r="B5765" s="46" t="s">
        <v>16955</v>
      </c>
      <c r="C5765">
        <v>11</v>
      </c>
      <c r="D5765">
        <v>70</v>
      </c>
    </row>
    <row r="5766" spans="1:4" x14ac:dyDescent="0.25">
      <c r="A5766" s="45" t="s">
        <v>5793</v>
      </c>
      <c r="B5766" s="46" t="s">
        <v>16956</v>
      </c>
      <c r="C5766">
        <v>11</v>
      </c>
      <c r="D5766">
        <v>70</v>
      </c>
    </row>
    <row r="5767" spans="1:4" x14ac:dyDescent="0.25">
      <c r="A5767" s="45" t="s">
        <v>5794</v>
      </c>
      <c r="B5767" s="46" t="s">
        <v>16957</v>
      </c>
      <c r="C5767">
        <v>11</v>
      </c>
      <c r="D5767">
        <v>70</v>
      </c>
    </row>
    <row r="5768" spans="1:4" x14ac:dyDescent="0.25">
      <c r="A5768" s="45" t="s">
        <v>5795</v>
      </c>
      <c r="B5768" s="46" t="s">
        <v>16958</v>
      </c>
      <c r="C5768">
        <v>11</v>
      </c>
      <c r="D5768">
        <v>70</v>
      </c>
    </row>
    <row r="5769" spans="1:4" x14ac:dyDescent="0.25">
      <c r="A5769" s="45" t="s">
        <v>5796</v>
      </c>
      <c r="B5769" s="46" t="s">
        <v>20589</v>
      </c>
      <c r="C5769">
        <v>11</v>
      </c>
      <c r="D5769">
        <v>70</v>
      </c>
    </row>
    <row r="5770" spans="1:4" x14ac:dyDescent="0.25">
      <c r="A5770" s="45" t="s">
        <v>5797</v>
      </c>
      <c r="B5770" s="46" t="s">
        <v>20590</v>
      </c>
      <c r="C5770">
        <v>11</v>
      </c>
      <c r="D5770">
        <v>71</v>
      </c>
    </row>
    <row r="5771" spans="1:4" x14ac:dyDescent="0.25">
      <c r="A5771" s="45" t="s">
        <v>5798</v>
      </c>
      <c r="B5771" s="46" t="s">
        <v>20591</v>
      </c>
      <c r="C5771">
        <v>11</v>
      </c>
      <c r="D5771">
        <v>71</v>
      </c>
    </row>
    <row r="5772" spans="1:4" x14ac:dyDescent="0.25">
      <c r="A5772" s="45" t="s">
        <v>5799</v>
      </c>
      <c r="B5772" s="46" t="s">
        <v>20592</v>
      </c>
      <c r="C5772">
        <v>11</v>
      </c>
      <c r="D5772">
        <v>71</v>
      </c>
    </row>
    <row r="5773" spans="1:4" x14ac:dyDescent="0.25">
      <c r="A5773" s="45" t="s">
        <v>5800</v>
      </c>
      <c r="B5773" s="46" t="s">
        <v>20593</v>
      </c>
      <c r="C5773">
        <v>11</v>
      </c>
      <c r="D5773">
        <v>71</v>
      </c>
    </row>
    <row r="5774" spans="1:4" x14ac:dyDescent="0.25">
      <c r="A5774" s="45" t="s">
        <v>5801</v>
      </c>
      <c r="B5774" s="46" t="s">
        <v>20594</v>
      </c>
      <c r="C5774">
        <v>11</v>
      </c>
      <c r="D5774">
        <v>71</v>
      </c>
    </row>
    <row r="5775" spans="1:4" x14ac:dyDescent="0.25">
      <c r="A5775" s="45" t="s">
        <v>5802</v>
      </c>
      <c r="B5775" s="46" t="s">
        <v>16959</v>
      </c>
      <c r="C5775">
        <v>11</v>
      </c>
      <c r="D5775">
        <v>71</v>
      </c>
    </row>
    <row r="5776" spans="1:4" x14ac:dyDescent="0.25">
      <c r="A5776" s="45" t="s">
        <v>5803</v>
      </c>
      <c r="B5776" s="46" t="s">
        <v>20595</v>
      </c>
      <c r="C5776">
        <v>11</v>
      </c>
      <c r="D5776">
        <v>71</v>
      </c>
    </row>
    <row r="5777" spans="1:4" x14ac:dyDescent="0.25">
      <c r="A5777" s="45" t="s">
        <v>5804</v>
      </c>
      <c r="B5777" s="46" t="s">
        <v>16960</v>
      </c>
      <c r="C5777">
        <v>11</v>
      </c>
      <c r="D5777">
        <v>71</v>
      </c>
    </row>
    <row r="5778" spans="1:4" x14ac:dyDescent="0.25">
      <c r="A5778" s="45" t="s">
        <v>5805</v>
      </c>
      <c r="B5778" s="46" t="s">
        <v>16961</v>
      </c>
      <c r="C5778">
        <v>11</v>
      </c>
      <c r="D5778">
        <v>71</v>
      </c>
    </row>
    <row r="5779" spans="1:4" x14ac:dyDescent="0.25">
      <c r="A5779" s="45" t="s">
        <v>5806</v>
      </c>
      <c r="B5779" s="46" t="s">
        <v>16962</v>
      </c>
      <c r="C5779">
        <v>11</v>
      </c>
      <c r="D5779">
        <v>71</v>
      </c>
    </row>
    <row r="5780" spans="1:4" x14ac:dyDescent="0.25">
      <c r="A5780" s="45" t="s">
        <v>5807</v>
      </c>
      <c r="B5780" s="46" t="s">
        <v>16963</v>
      </c>
      <c r="C5780">
        <v>11</v>
      </c>
      <c r="D5780">
        <v>71</v>
      </c>
    </row>
    <row r="5781" spans="1:4" x14ac:dyDescent="0.25">
      <c r="A5781" s="45" t="s">
        <v>5808</v>
      </c>
      <c r="B5781" s="46" t="s">
        <v>20596</v>
      </c>
      <c r="C5781">
        <v>11</v>
      </c>
      <c r="D5781">
        <v>71</v>
      </c>
    </row>
    <row r="5782" spans="1:4" x14ac:dyDescent="0.25">
      <c r="A5782" s="45" t="s">
        <v>5809</v>
      </c>
      <c r="B5782" s="46" t="s">
        <v>20597</v>
      </c>
      <c r="C5782">
        <v>11</v>
      </c>
      <c r="D5782">
        <v>71</v>
      </c>
    </row>
    <row r="5783" spans="1:4" x14ac:dyDescent="0.25">
      <c r="A5783" s="45" t="s">
        <v>5810</v>
      </c>
      <c r="B5783" s="46" t="s">
        <v>16964</v>
      </c>
      <c r="C5783">
        <v>11</v>
      </c>
      <c r="D5783">
        <v>71</v>
      </c>
    </row>
    <row r="5784" spans="1:4" x14ac:dyDescent="0.25">
      <c r="A5784" s="45" t="s">
        <v>5811</v>
      </c>
      <c r="B5784" s="46" t="s">
        <v>16965</v>
      </c>
      <c r="C5784">
        <v>11</v>
      </c>
      <c r="D5784">
        <v>71</v>
      </c>
    </row>
    <row r="5785" spans="1:4" x14ac:dyDescent="0.25">
      <c r="A5785" s="45" t="s">
        <v>5812</v>
      </c>
      <c r="B5785" s="46" t="s">
        <v>16966</v>
      </c>
      <c r="C5785">
        <v>11</v>
      </c>
      <c r="D5785">
        <v>71</v>
      </c>
    </row>
    <row r="5786" spans="1:4" x14ac:dyDescent="0.25">
      <c r="A5786" s="45" t="s">
        <v>5813</v>
      </c>
      <c r="B5786" s="46" t="s">
        <v>16967</v>
      </c>
      <c r="C5786">
        <v>11</v>
      </c>
      <c r="D5786">
        <v>71</v>
      </c>
    </row>
    <row r="5787" spans="1:4" x14ac:dyDescent="0.25">
      <c r="A5787" s="45" t="s">
        <v>5814</v>
      </c>
      <c r="B5787" s="46" t="s">
        <v>16968</v>
      </c>
      <c r="C5787">
        <v>11</v>
      </c>
      <c r="D5787">
        <v>71</v>
      </c>
    </row>
    <row r="5788" spans="1:4" x14ac:dyDescent="0.25">
      <c r="A5788" s="45" t="s">
        <v>5815</v>
      </c>
      <c r="B5788" s="46" t="s">
        <v>16969</v>
      </c>
      <c r="C5788">
        <v>11</v>
      </c>
      <c r="D5788">
        <v>71</v>
      </c>
    </row>
    <row r="5789" spans="1:4" x14ac:dyDescent="0.25">
      <c r="A5789" s="45" t="s">
        <v>5816</v>
      </c>
      <c r="B5789" s="46" t="s">
        <v>16970</v>
      </c>
      <c r="C5789">
        <v>11</v>
      </c>
      <c r="D5789">
        <v>71</v>
      </c>
    </row>
    <row r="5790" spans="1:4" x14ac:dyDescent="0.25">
      <c r="A5790" s="45" t="s">
        <v>5817</v>
      </c>
      <c r="B5790" s="46" t="s">
        <v>16971</v>
      </c>
      <c r="C5790">
        <v>11</v>
      </c>
      <c r="D5790">
        <v>71</v>
      </c>
    </row>
    <row r="5791" spans="1:4" x14ac:dyDescent="0.25">
      <c r="A5791" s="45" t="s">
        <v>5818</v>
      </c>
      <c r="B5791" s="46" t="s">
        <v>16972</v>
      </c>
      <c r="C5791">
        <v>11</v>
      </c>
      <c r="D5791">
        <v>71</v>
      </c>
    </row>
    <row r="5792" spans="1:4" x14ac:dyDescent="0.25">
      <c r="A5792" s="45" t="s">
        <v>5819</v>
      </c>
      <c r="B5792" s="46" t="s">
        <v>16973</v>
      </c>
      <c r="C5792">
        <v>11</v>
      </c>
      <c r="D5792">
        <v>71</v>
      </c>
    </row>
    <row r="5793" spans="1:4" x14ac:dyDescent="0.25">
      <c r="A5793" s="45" t="s">
        <v>5820</v>
      </c>
      <c r="B5793" s="46" t="s">
        <v>16974</v>
      </c>
      <c r="C5793">
        <v>11</v>
      </c>
      <c r="D5793">
        <v>71</v>
      </c>
    </row>
    <row r="5794" spans="1:4" x14ac:dyDescent="0.25">
      <c r="A5794" s="45" t="s">
        <v>5821</v>
      </c>
      <c r="B5794" s="46" t="s">
        <v>20598</v>
      </c>
      <c r="C5794">
        <v>11</v>
      </c>
      <c r="D5794">
        <v>71</v>
      </c>
    </row>
    <row r="5795" spans="1:4" x14ac:dyDescent="0.25">
      <c r="A5795" s="45" t="s">
        <v>5822</v>
      </c>
      <c r="B5795" s="46" t="s">
        <v>16975</v>
      </c>
      <c r="C5795">
        <v>11</v>
      </c>
      <c r="D5795">
        <v>71</v>
      </c>
    </row>
    <row r="5796" spans="1:4" x14ac:dyDescent="0.25">
      <c r="A5796" s="45" t="s">
        <v>5823</v>
      </c>
      <c r="B5796" s="46" t="s">
        <v>16976</v>
      </c>
      <c r="C5796">
        <v>11</v>
      </c>
      <c r="D5796">
        <v>71</v>
      </c>
    </row>
    <row r="5797" spans="1:4" x14ac:dyDescent="0.25">
      <c r="A5797" s="45" t="s">
        <v>5824</v>
      </c>
      <c r="B5797" s="46" t="s">
        <v>16977</v>
      </c>
      <c r="C5797">
        <v>11</v>
      </c>
      <c r="D5797">
        <v>71</v>
      </c>
    </row>
    <row r="5798" spans="1:4" x14ac:dyDescent="0.25">
      <c r="A5798" s="45" t="s">
        <v>5825</v>
      </c>
      <c r="B5798" s="46" t="s">
        <v>16978</v>
      </c>
      <c r="C5798">
        <v>11</v>
      </c>
      <c r="D5798">
        <v>71</v>
      </c>
    </row>
    <row r="5799" spans="1:4" x14ac:dyDescent="0.25">
      <c r="A5799" s="45" t="s">
        <v>5826</v>
      </c>
      <c r="B5799" s="46" t="s">
        <v>16979</v>
      </c>
      <c r="C5799">
        <v>11</v>
      </c>
      <c r="D5799">
        <v>71</v>
      </c>
    </row>
    <row r="5800" spans="1:4" x14ac:dyDescent="0.25">
      <c r="A5800" s="45" t="s">
        <v>5827</v>
      </c>
      <c r="B5800" s="46" t="s">
        <v>16980</v>
      </c>
      <c r="C5800">
        <v>11</v>
      </c>
      <c r="D5800">
        <v>71</v>
      </c>
    </row>
    <row r="5801" spans="1:4" x14ac:dyDescent="0.25">
      <c r="A5801" s="45" t="s">
        <v>5828</v>
      </c>
      <c r="B5801" s="46" t="s">
        <v>20599</v>
      </c>
      <c r="C5801">
        <v>11</v>
      </c>
      <c r="D5801">
        <v>71</v>
      </c>
    </row>
    <row r="5802" spans="1:4" x14ac:dyDescent="0.25">
      <c r="A5802" s="45" t="s">
        <v>5829</v>
      </c>
      <c r="B5802" s="46" t="s">
        <v>16981</v>
      </c>
      <c r="C5802">
        <v>11</v>
      </c>
      <c r="D5802">
        <v>71</v>
      </c>
    </row>
    <row r="5803" spans="1:4" x14ac:dyDescent="0.25">
      <c r="A5803" s="45" t="s">
        <v>5830</v>
      </c>
      <c r="B5803" s="46" t="s">
        <v>20600</v>
      </c>
      <c r="C5803">
        <v>11</v>
      </c>
      <c r="D5803">
        <v>71</v>
      </c>
    </row>
    <row r="5804" spans="1:4" x14ac:dyDescent="0.25">
      <c r="A5804" s="45" t="s">
        <v>5831</v>
      </c>
      <c r="B5804" s="46" t="s">
        <v>20601</v>
      </c>
      <c r="C5804">
        <v>11</v>
      </c>
      <c r="D5804">
        <v>71</v>
      </c>
    </row>
    <row r="5805" spans="1:4" x14ac:dyDescent="0.25">
      <c r="A5805" s="45" t="s">
        <v>5832</v>
      </c>
      <c r="B5805" s="46" t="s">
        <v>20602</v>
      </c>
      <c r="C5805">
        <v>11</v>
      </c>
      <c r="D5805">
        <v>71</v>
      </c>
    </row>
    <row r="5806" spans="1:4" x14ac:dyDescent="0.25">
      <c r="A5806" s="45" t="s">
        <v>5833</v>
      </c>
      <c r="B5806" s="46" t="s">
        <v>20603</v>
      </c>
      <c r="C5806">
        <v>11</v>
      </c>
      <c r="D5806">
        <v>71</v>
      </c>
    </row>
    <row r="5807" spans="1:4" x14ac:dyDescent="0.25">
      <c r="A5807" s="45" t="s">
        <v>5834</v>
      </c>
      <c r="B5807" s="46" t="s">
        <v>20604</v>
      </c>
      <c r="C5807">
        <v>11</v>
      </c>
      <c r="D5807">
        <v>71</v>
      </c>
    </row>
    <row r="5808" spans="1:4" x14ac:dyDescent="0.25">
      <c r="A5808" s="45" t="s">
        <v>5835</v>
      </c>
      <c r="B5808" s="46" t="s">
        <v>20605</v>
      </c>
      <c r="C5808">
        <v>11</v>
      </c>
      <c r="D5808">
        <v>71</v>
      </c>
    </row>
    <row r="5809" spans="1:4" x14ac:dyDescent="0.25">
      <c r="A5809" s="45" t="s">
        <v>5836</v>
      </c>
      <c r="B5809" s="46" t="s">
        <v>20606</v>
      </c>
      <c r="C5809">
        <v>11</v>
      </c>
      <c r="D5809">
        <v>71</v>
      </c>
    </row>
    <row r="5810" spans="1:4" x14ac:dyDescent="0.25">
      <c r="A5810" s="45" t="s">
        <v>5837</v>
      </c>
      <c r="B5810" s="46" t="s">
        <v>20607</v>
      </c>
      <c r="C5810">
        <v>11</v>
      </c>
      <c r="D5810">
        <v>71</v>
      </c>
    </row>
    <row r="5811" spans="1:4" x14ac:dyDescent="0.25">
      <c r="A5811" s="45" t="s">
        <v>5838</v>
      </c>
      <c r="B5811" s="46" t="s">
        <v>20608</v>
      </c>
      <c r="C5811">
        <v>11</v>
      </c>
      <c r="D5811">
        <v>70</v>
      </c>
    </row>
    <row r="5812" spans="1:4" x14ac:dyDescent="0.25">
      <c r="A5812" s="45" t="s">
        <v>5839</v>
      </c>
      <c r="B5812" s="46" t="s">
        <v>20609</v>
      </c>
      <c r="C5812">
        <v>11</v>
      </c>
      <c r="D5812">
        <v>70</v>
      </c>
    </row>
    <row r="5813" spans="1:4" x14ac:dyDescent="0.25">
      <c r="A5813" s="45" t="s">
        <v>5840</v>
      </c>
      <c r="B5813" s="46" t="s">
        <v>20610</v>
      </c>
      <c r="C5813">
        <v>11</v>
      </c>
      <c r="D5813">
        <v>71</v>
      </c>
    </row>
    <row r="5814" spans="1:4" x14ac:dyDescent="0.25">
      <c r="A5814" s="45" t="s">
        <v>5841</v>
      </c>
      <c r="B5814" s="46" t="s">
        <v>16982</v>
      </c>
      <c r="C5814">
        <v>11</v>
      </c>
      <c r="D5814">
        <v>70</v>
      </c>
    </row>
    <row r="5815" spans="1:4" x14ac:dyDescent="0.25">
      <c r="A5815" s="45" t="s">
        <v>5842</v>
      </c>
      <c r="B5815" s="46" t="s">
        <v>16983</v>
      </c>
      <c r="C5815">
        <v>11</v>
      </c>
      <c r="D5815">
        <v>70</v>
      </c>
    </row>
    <row r="5816" spans="1:4" x14ac:dyDescent="0.25">
      <c r="A5816" s="45" t="s">
        <v>5843</v>
      </c>
      <c r="B5816" s="46" t="s">
        <v>20611</v>
      </c>
      <c r="C5816">
        <v>11</v>
      </c>
      <c r="D5816">
        <v>70</v>
      </c>
    </row>
    <row r="5817" spans="1:4" x14ac:dyDescent="0.25">
      <c r="A5817" s="45" t="s">
        <v>5844</v>
      </c>
      <c r="B5817" s="46" t="s">
        <v>16984</v>
      </c>
      <c r="C5817">
        <v>11</v>
      </c>
      <c r="D5817">
        <v>71</v>
      </c>
    </row>
    <row r="5818" spans="1:4" x14ac:dyDescent="0.25">
      <c r="A5818" s="45" t="s">
        <v>5845</v>
      </c>
      <c r="B5818" s="46" t="s">
        <v>20612</v>
      </c>
      <c r="C5818">
        <v>11</v>
      </c>
      <c r="D5818">
        <v>70</v>
      </c>
    </row>
    <row r="5819" spans="1:4" x14ac:dyDescent="0.25">
      <c r="A5819" s="45" t="s">
        <v>5846</v>
      </c>
      <c r="B5819" s="46" t="s">
        <v>16985</v>
      </c>
      <c r="C5819">
        <v>11</v>
      </c>
      <c r="D5819">
        <v>70</v>
      </c>
    </row>
    <row r="5820" spans="1:4" x14ac:dyDescent="0.25">
      <c r="A5820" s="45" t="s">
        <v>5847</v>
      </c>
      <c r="B5820" s="46" t="s">
        <v>20613</v>
      </c>
      <c r="C5820">
        <v>11</v>
      </c>
      <c r="D5820">
        <v>70</v>
      </c>
    </row>
    <row r="5821" spans="1:4" x14ac:dyDescent="0.25">
      <c r="A5821" s="45" t="s">
        <v>5848</v>
      </c>
      <c r="B5821" s="46" t="s">
        <v>16986</v>
      </c>
      <c r="C5821">
        <v>11</v>
      </c>
      <c r="D5821">
        <v>70</v>
      </c>
    </row>
    <row r="5822" spans="1:4" x14ac:dyDescent="0.25">
      <c r="A5822" s="45" t="s">
        <v>5849</v>
      </c>
      <c r="B5822" s="46" t="s">
        <v>16987</v>
      </c>
      <c r="C5822">
        <v>11</v>
      </c>
      <c r="D5822">
        <v>70</v>
      </c>
    </row>
    <row r="5823" spans="1:4" x14ac:dyDescent="0.25">
      <c r="A5823" s="45" t="s">
        <v>5850</v>
      </c>
      <c r="B5823" s="46" t="s">
        <v>16988</v>
      </c>
      <c r="C5823">
        <v>11</v>
      </c>
      <c r="D5823">
        <v>71</v>
      </c>
    </row>
    <row r="5824" spans="1:4" x14ac:dyDescent="0.25">
      <c r="A5824" s="45" t="s">
        <v>5851</v>
      </c>
      <c r="B5824" s="46" t="s">
        <v>16989</v>
      </c>
      <c r="C5824">
        <v>11</v>
      </c>
      <c r="D5824">
        <v>71</v>
      </c>
    </row>
    <row r="5825" spans="1:4" x14ac:dyDescent="0.25">
      <c r="A5825" s="45" t="s">
        <v>5852</v>
      </c>
      <c r="B5825" s="46" t="s">
        <v>16990</v>
      </c>
      <c r="C5825">
        <v>11</v>
      </c>
      <c r="D5825">
        <v>71</v>
      </c>
    </row>
    <row r="5826" spans="1:4" x14ac:dyDescent="0.25">
      <c r="A5826" s="45" t="s">
        <v>5853</v>
      </c>
      <c r="B5826" s="46" t="s">
        <v>16991</v>
      </c>
      <c r="C5826">
        <v>11</v>
      </c>
      <c r="D5826">
        <v>71</v>
      </c>
    </row>
    <row r="5827" spans="1:4" x14ac:dyDescent="0.25">
      <c r="A5827" s="45" t="s">
        <v>5854</v>
      </c>
      <c r="B5827" s="46" t="s">
        <v>16992</v>
      </c>
      <c r="C5827">
        <v>11</v>
      </c>
      <c r="D5827">
        <v>71</v>
      </c>
    </row>
    <row r="5828" spans="1:4" x14ac:dyDescent="0.25">
      <c r="A5828" s="45" t="s">
        <v>5855</v>
      </c>
      <c r="B5828" s="46" t="s">
        <v>16993</v>
      </c>
      <c r="C5828">
        <v>11</v>
      </c>
      <c r="D5828">
        <v>71</v>
      </c>
    </row>
    <row r="5829" spans="1:4" x14ac:dyDescent="0.25">
      <c r="A5829" s="45" t="s">
        <v>5856</v>
      </c>
      <c r="B5829" s="46" t="s">
        <v>16994</v>
      </c>
      <c r="C5829">
        <v>11</v>
      </c>
      <c r="D5829">
        <v>71</v>
      </c>
    </row>
    <row r="5830" spans="1:4" x14ac:dyDescent="0.25">
      <c r="A5830" s="45" t="s">
        <v>5857</v>
      </c>
      <c r="B5830" s="46" t="s">
        <v>16995</v>
      </c>
      <c r="C5830">
        <v>11</v>
      </c>
      <c r="D5830">
        <v>71</v>
      </c>
    </row>
    <row r="5831" spans="1:4" x14ac:dyDescent="0.25">
      <c r="A5831" s="45" t="s">
        <v>5858</v>
      </c>
      <c r="B5831" s="46" t="s">
        <v>16996</v>
      </c>
      <c r="C5831">
        <v>11</v>
      </c>
      <c r="D5831">
        <v>71</v>
      </c>
    </row>
    <row r="5832" spans="1:4" x14ac:dyDescent="0.25">
      <c r="A5832" s="45" t="s">
        <v>5859</v>
      </c>
      <c r="B5832" s="46" t="s">
        <v>16997</v>
      </c>
      <c r="C5832">
        <v>11</v>
      </c>
      <c r="D5832">
        <v>71</v>
      </c>
    </row>
    <row r="5833" spans="1:4" x14ac:dyDescent="0.25">
      <c r="A5833" s="45" t="s">
        <v>5860</v>
      </c>
      <c r="B5833" s="46" t="s">
        <v>16998</v>
      </c>
      <c r="C5833">
        <v>11</v>
      </c>
      <c r="D5833">
        <v>71</v>
      </c>
    </row>
    <row r="5834" spans="1:4" x14ac:dyDescent="0.25">
      <c r="A5834" s="45" t="s">
        <v>5861</v>
      </c>
      <c r="B5834" s="46" t="s">
        <v>16999</v>
      </c>
      <c r="C5834">
        <v>11</v>
      </c>
      <c r="D5834">
        <v>71</v>
      </c>
    </row>
    <row r="5835" spans="1:4" x14ac:dyDescent="0.25">
      <c r="A5835" s="45" t="s">
        <v>5862</v>
      </c>
      <c r="B5835" s="46" t="s">
        <v>17000</v>
      </c>
      <c r="C5835">
        <v>11</v>
      </c>
      <c r="D5835">
        <v>70</v>
      </c>
    </row>
    <row r="5836" spans="1:4" x14ac:dyDescent="0.25">
      <c r="A5836" s="45" t="s">
        <v>5863</v>
      </c>
      <c r="B5836" s="46" t="s">
        <v>17001</v>
      </c>
      <c r="C5836">
        <v>11</v>
      </c>
      <c r="D5836">
        <v>71</v>
      </c>
    </row>
    <row r="5837" spans="1:4" x14ac:dyDescent="0.25">
      <c r="A5837" s="45" t="s">
        <v>5864</v>
      </c>
      <c r="B5837" s="46" t="s">
        <v>17002</v>
      </c>
      <c r="C5837">
        <v>11</v>
      </c>
      <c r="D5837">
        <v>70</v>
      </c>
    </row>
    <row r="5838" spans="1:4" x14ac:dyDescent="0.25">
      <c r="A5838" s="45" t="s">
        <v>5865</v>
      </c>
      <c r="B5838" s="46" t="s">
        <v>17003</v>
      </c>
      <c r="C5838">
        <v>11</v>
      </c>
      <c r="D5838">
        <v>71</v>
      </c>
    </row>
    <row r="5839" spans="1:4" x14ac:dyDescent="0.25">
      <c r="A5839" s="45" t="s">
        <v>5866</v>
      </c>
      <c r="B5839" s="46" t="s">
        <v>17004</v>
      </c>
      <c r="C5839">
        <v>11</v>
      </c>
      <c r="D5839">
        <v>71</v>
      </c>
    </row>
    <row r="5840" spans="1:4" x14ac:dyDescent="0.25">
      <c r="A5840" s="45" t="s">
        <v>5867</v>
      </c>
      <c r="B5840" s="46" t="s">
        <v>17005</v>
      </c>
      <c r="C5840">
        <v>11</v>
      </c>
      <c r="D5840">
        <v>71</v>
      </c>
    </row>
    <row r="5841" spans="1:4" x14ac:dyDescent="0.25">
      <c r="A5841" s="45" t="s">
        <v>5868</v>
      </c>
      <c r="B5841" s="46" t="s">
        <v>17006</v>
      </c>
      <c r="C5841">
        <v>11</v>
      </c>
      <c r="D5841">
        <v>70</v>
      </c>
    </row>
    <row r="5842" spans="1:4" x14ac:dyDescent="0.25">
      <c r="A5842" s="45" t="s">
        <v>5869</v>
      </c>
      <c r="B5842" s="46" t="s">
        <v>17007</v>
      </c>
      <c r="C5842">
        <v>11</v>
      </c>
      <c r="D5842">
        <v>71</v>
      </c>
    </row>
    <row r="5843" spans="1:4" x14ac:dyDescent="0.25">
      <c r="A5843" s="45" t="s">
        <v>5870</v>
      </c>
      <c r="B5843" s="46" t="s">
        <v>17008</v>
      </c>
      <c r="C5843">
        <v>11</v>
      </c>
      <c r="D5843">
        <v>71</v>
      </c>
    </row>
    <row r="5844" spans="1:4" x14ac:dyDescent="0.25">
      <c r="A5844" s="45" t="s">
        <v>5871</v>
      </c>
      <c r="B5844" s="46" t="s">
        <v>17009</v>
      </c>
      <c r="C5844">
        <v>11</v>
      </c>
      <c r="D5844">
        <v>71</v>
      </c>
    </row>
    <row r="5845" spans="1:4" x14ac:dyDescent="0.25">
      <c r="A5845" s="45" t="s">
        <v>5872</v>
      </c>
      <c r="B5845" s="46" t="s">
        <v>17010</v>
      </c>
      <c r="C5845">
        <v>11</v>
      </c>
      <c r="D5845">
        <v>70</v>
      </c>
    </row>
    <row r="5846" spans="1:4" x14ac:dyDescent="0.25">
      <c r="A5846" s="45" t="s">
        <v>5873</v>
      </c>
      <c r="B5846" s="46" t="s">
        <v>17011</v>
      </c>
      <c r="C5846">
        <v>11</v>
      </c>
      <c r="D5846">
        <v>72</v>
      </c>
    </row>
    <row r="5847" spans="1:4" x14ac:dyDescent="0.25">
      <c r="A5847" s="45" t="s">
        <v>5874</v>
      </c>
      <c r="B5847" s="46" t="s">
        <v>20614</v>
      </c>
      <c r="C5847">
        <v>11</v>
      </c>
      <c r="D5847">
        <v>69</v>
      </c>
    </row>
    <row r="5848" spans="1:4" x14ac:dyDescent="0.25">
      <c r="A5848" s="45" t="s">
        <v>5875</v>
      </c>
      <c r="B5848" s="46" t="s">
        <v>17012</v>
      </c>
      <c r="C5848">
        <v>11</v>
      </c>
      <c r="D5848">
        <v>69</v>
      </c>
    </row>
    <row r="5849" spans="1:4" x14ac:dyDescent="0.25">
      <c r="A5849" s="45" t="s">
        <v>5876</v>
      </c>
      <c r="B5849" s="46" t="s">
        <v>17013</v>
      </c>
      <c r="C5849">
        <v>11</v>
      </c>
      <c r="D5849">
        <v>69</v>
      </c>
    </row>
    <row r="5850" spans="1:4" x14ac:dyDescent="0.25">
      <c r="A5850" s="45" t="s">
        <v>5877</v>
      </c>
      <c r="B5850" s="46" t="s">
        <v>17014</v>
      </c>
      <c r="C5850">
        <v>11</v>
      </c>
      <c r="D5850">
        <v>69</v>
      </c>
    </row>
    <row r="5851" spans="1:4" x14ac:dyDescent="0.25">
      <c r="A5851" s="45" t="s">
        <v>5878</v>
      </c>
      <c r="B5851" s="46" t="s">
        <v>17015</v>
      </c>
      <c r="C5851">
        <v>11</v>
      </c>
      <c r="D5851">
        <v>69</v>
      </c>
    </row>
    <row r="5852" spans="1:4" x14ac:dyDescent="0.25">
      <c r="A5852" s="45" t="s">
        <v>5879</v>
      </c>
      <c r="B5852" s="46" t="s">
        <v>17016</v>
      </c>
      <c r="C5852">
        <v>11</v>
      </c>
      <c r="D5852">
        <v>72</v>
      </c>
    </row>
    <row r="5853" spans="1:4" x14ac:dyDescent="0.25">
      <c r="A5853" s="45" t="s">
        <v>5880</v>
      </c>
      <c r="B5853" s="46" t="s">
        <v>17017</v>
      </c>
      <c r="C5853">
        <v>11</v>
      </c>
      <c r="D5853">
        <v>72</v>
      </c>
    </row>
    <row r="5854" spans="1:4" x14ac:dyDescent="0.25">
      <c r="A5854" s="45" t="s">
        <v>5881</v>
      </c>
      <c r="B5854" s="46" t="s">
        <v>17018</v>
      </c>
      <c r="C5854">
        <v>11</v>
      </c>
      <c r="D5854">
        <v>72</v>
      </c>
    </row>
    <row r="5855" spans="1:4" x14ac:dyDescent="0.25">
      <c r="A5855" s="45" t="s">
        <v>5882</v>
      </c>
      <c r="B5855" s="46" t="s">
        <v>17019</v>
      </c>
      <c r="C5855">
        <v>11</v>
      </c>
      <c r="D5855">
        <v>72</v>
      </c>
    </row>
    <row r="5856" spans="1:4" x14ac:dyDescent="0.25">
      <c r="A5856" s="45" t="s">
        <v>5883</v>
      </c>
      <c r="B5856" s="46" t="s">
        <v>20615</v>
      </c>
      <c r="C5856">
        <v>11</v>
      </c>
      <c r="D5856">
        <v>72</v>
      </c>
    </row>
    <row r="5857" spans="1:4" x14ac:dyDescent="0.25">
      <c r="A5857" s="45" t="s">
        <v>5884</v>
      </c>
      <c r="B5857" s="46" t="s">
        <v>17020</v>
      </c>
      <c r="C5857">
        <v>11</v>
      </c>
      <c r="D5857">
        <v>72</v>
      </c>
    </row>
    <row r="5858" spans="1:4" x14ac:dyDescent="0.25">
      <c r="A5858" s="45" t="s">
        <v>5885</v>
      </c>
      <c r="B5858" s="46" t="s">
        <v>17021</v>
      </c>
      <c r="C5858">
        <v>11</v>
      </c>
      <c r="D5858">
        <v>72</v>
      </c>
    </row>
    <row r="5859" spans="1:4" x14ac:dyDescent="0.25">
      <c r="A5859" s="45" t="s">
        <v>5886</v>
      </c>
      <c r="B5859" s="46" t="s">
        <v>17022</v>
      </c>
      <c r="C5859">
        <v>11</v>
      </c>
      <c r="D5859">
        <v>72</v>
      </c>
    </row>
    <row r="5860" spans="1:4" x14ac:dyDescent="0.25">
      <c r="A5860" s="45" t="s">
        <v>5887</v>
      </c>
      <c r="B5860" s="46" t="s">
        <v>17023</v>
      </c>
      <c r="C5860">
        <v>11</v>
      </c>
      <c r="D5860">
        <v>72</v>
      </c>
    </row>
    <row r="5861" spans="1:4" x14ac:dyDescent="0.25">
      <c r="A5861" s="45" t="s">
        <v>5888</v>
      </c>
      <c r="B5861" s="46" t="s">
        <v>20616</v>
      </c>
      <c r="C5861">
        <v>11</v>
      </c>
      <c r="D5861">
        <v>72</v>
      </c>
    </row>
    <row r="5862" spans="1:4" x14ac:dyDescent="0.25">
      <c r="A5862" s="45" t="s">
        <v>5889</v>
      </c>
      <c r="B5862" s="46" t="s">
        <v>17024</v>
      </c>
      <c r="C5862">
        <v>11</v>
      </c>
      <c r="D5862">
        <v>72</v>
      </c>
    </row>
    <row r="5863" spans="1:4" x14ac:dyDescent="0.25">
      <c r="A5863" s="45" t="s">
        <v>5890</v>
      </c>
      <c r="B5863" s="46" t="s">
        <v>17025</v>
      </c>
      <c r="C5863">
        <v>11</v>
      </c>
      <c r="D5863">
        <v>72</v>
      </c>
    </row>
    <row r="5864" spans="1:4" x14ac:dyDescent="0.25">
      <c r="A5864" s="45" t="s">
        <v>5891</v>
      </c>
      <c r="B5864" s="46" t="s">
        <v>17026</v>
      </c>
      <c r="C5864">
        <v>11</v>
      </c>
      <c r="D5864">
        <v>71</v>
      </c>
    </row>
    <row r="5865" spans="1:4" x14ac:dyDescent="0.25">
      <c r="A5865" s="45" t="s">
        <v>5892</v>
      </c>
      <c r="B5865" s="46" t="s">
        <v>17027</v>
      </c>
      <c r="C5865">
        <v>11</v>
      </c>
      <c r="D5865">
        <v>71</v>
      </c>
    </row>
    <row r="5866" spans="1:4" x14ac:dyDescent="0.25">
      <c r="A5866" s="45" t="s">
        <v>5893</v>
      </c>
      <c r="B5866" s="46" t="s">
        <v>17028</v>
      </c>
      <c r="C5866">
        <v>11</v>
      </c>
      <c r="D5866">
        <v>71</v>
      </c>
    </row>
    <row r="5867" spans="1:4" x14ac:dyDescent="0.25">
      <c r="A5867" s="45" t="s">
        <v>5894</v>
      </c>
      <c r="B5867" s="46" t="s">
        <v>17029</v>
      </c>
      <c r="C5867">
        <v>11</v>
      </c>
      <c r="D5867">
        <v>71</v>
      </c>
    </row>
    <row r="5868" spans="1:4" x14ac:dyDescent="0.25">
      <c r="A5868" s="45" t="s">
        <v>5895</v>
      </c>
      <c r="B5868" s="46" t="s">
        <v>17030</v>
      </c>
      <c r="C5868">
        <v>11</v>
      </c>
      <c r="D5868">
        <v>71</v>
      </c>
    </row>
    <row r="5869" spans="1:4" x14ac:dyDescent="0.25">
      <c r="A5869" s="45" t="s">
        <v>5896</v>
      </c>
      <c r="B5869" s="46" t="s">
        <v>20617</v>
      </c>
      <c r="C5869">
        <v>11</v>
      </c>
      <c r="D5869">
        <v>71</v>
      </c>
    </row>
    <row r="5870" spans="1:4" x14ac:dyDescent="0.25">
      <c r="A5870" s="45" t="s">
        <v>5897</v>
      </c>
      <c r="B5870" s="46" t="s">
        <v>20618</v>
      </c>
      <c r="C5870">
        <v>11</v>
      </c>
      <c r="D5870">
        <v>71</v>
      </c>
    </row>
    <row r="5871" spans="1:4" x14ac:dyDescent="0.25">
      <c r="A5871" s="45" t="s">
        <v>5898</v>
      </c>
      <c r="B5871" s="46" t="s">
        <v>20619</v>
      </c>
      <c r="C5871">
        <v>11</v>
      </c>
      <c r="D5871">
        <v>71</v>
      </c>
    </row>
    <row r="5872" spans="1:4" x14ac:dyDescent="0.25">
      <c r="A5872" s="45" t="s">
        <v>5899</v>
      </c>
      <c r="B5872" s="46" t="s">
        <v>17031</v>
      </c>
      <c r="C5872">
        <v>11</v>
      </c>
      <c r="D5872">
        <v>71</v>
      </c>
    </row>
    <row r="5873" spans="1:4" x14ac:dyDescent="0.25">
      <c r="A5873" s="45" t="s">
        <v>5900</v>
      </c>
      <c r="B5873" s="46" t="s">
        <v>20620</v>
      </c>
      <c r="C5873">
        <v>11</v>
      </c>
      <c r="D5873">
        <v>72</v>
      </c>
    </row>
    <row r="5874" spans="1:4" x14ac:dyDescent="0.25">
      <c r="A5874" s="45" t="s">
        <v>5901</v>
      </c>
      <c r="B5874" s="46" t="s">
        <v>20621</v>
      </c>
      <c r="C5874">
        <v>11</v>
      </c>
      <c r="D5874">
        <v>72</v>
      </c>
    </row>
    <row r="5875" spans="1:4" x14ac:dyDescent="0.25">
      <c r="A5875" s="45" t="s">
        <v>5902</v>
      </c>
      <c r="B5875" s="46" t="s">
        <v>20622</v>
      </c>
      <c r="C5875">
        <v>11</v>
      </c>
      <c r="D5875">
        <v>72</v>
      </c>
    </row>
    <row r="5876" spans="1:4" x14ac:dyDescent="0.25">
      <c r="A5876" s="45" t="s">
        <v>5903</v>
      </c>
      <c r="B5876" s="46" t="s">
        <v>17032</v>
      </c>
      <c r="C5876">
        <v>11</v>
      </c>
      <c r="D5876">
        <v>72</v>
      </c>
    </row>
    <row r="5877" spans="1:4" x14ac:dyDescent="0.25">
      <c r="A5877" s="45" t="s">
        <v>5904</v>
      </c>
      <c r="B5877" s="46" t="s">
        <v>20623</v>
      </c>
      <c r="C5877">
        <v>11</v>
      </c>
      <c r="D5877">
        <v>71</v>
      </c>
    </row>
    <row r="5878" spans="1:4" x14ac:dyDescent="0.25">
      <c r="A5878" s="45" t="s">
        <v>5905</v>
      </c>
      <c r="B5878" s="46" t="s">
        <v>17033</v>
      </c>
      <c r="C5878">
        <v>11</v>
      </c>
      <c r="D5878">
        <v>72</v>
      </c>
    </row>
    <row r="5879" spans="1:4" x14ac:dyDescent="0.25">
      <c r="A5879" s="45" t="s">
        <v>5906</v>
      </c>
      <c r="B5879" s="46" t="s">
        <v>20624</v>
      </c>
      <c r="C5879">
        <v>11</v>
      </c>
      <c r="D5879">
        <v>69</v>
      </c>
    </row>
    <row r="5880" spans="1:4" x14ac:dyDescent="0.25">
      <c r="A5880" s="45" t="s">
        <v>5907</v>
      </c>
      <c r="B5880" s="46" t="s">
        <v>20625</v>
      </c>
      <c r="C5880">
        <v>11</v>
      </c>
      <c r="D5880">
        <v>72</v>
      </c>
    </row>
    <row r="5881" spans="1:4" x14ac:dyDescent="0.25">
      <c r="A5881" s="45" t="s">
        <v>5908</v>
      </c>
      <c r="B5881" s="46" t="s">
        <v>17034</v>
      </c>
      <c r="C5881">
        <v>11</v>
      </c>
      <c r="D5881">
        <v>72</v>
      </c>
    </row>
    <row r="5882" spans="1:4" x14ac:dyDescent="0.25">
      <c r="A5882" s="45" t="s">
        <v>5909</v>
      </c>
      <c r="B5882" s="46" t="s">
        <v>17035</v>
      </c>
      <c r="C5882">
        <v>11</v>
      </c>
      <c r="D5882">
        <v>72</v>
      </c>
    </row>
    <row r="5883" spans="1:4" x14ac:dyDescent="0.25">
      <c r="A5883" s="45" t="s">
        <v>5910</v>
      </c>
      <c r="B5883" s="46" t="s">
        <v>17036</v>
      </c>
      <c r="C5883">
        <v>11</v>
      </c>
      <c r="D5883">
        <v>72</v>
      </c>
    </row>
    <row r="5884" spans="1:4" x14ac:dyDescent="0.25">
      <c r="A5884" s="45" t="s">
        <v>5911</v>
      </c>
      <c r="B5884" s="46" t="s">
        <v>17037</v>
      </c>
      <c r="C5884">
        <v>11</v>
      </c>
      <c r="D5884">
        <v>72</v>
      </c>
    </row>
    <row r="5885" spans="1:4" x14ac:dyDescent="0.25">
      <c r="A5885" s="45" t="s">
        <v>5912</v>
      </c>
      <c r="B5885" s="46" t="s">
        <v>20626</v>
      </c>
      <c r="C5885">
        <v>11</v>
      </c>
      <c r="D5885">
        <v>72</v>
      </c>
    </row>
    <row r="5886" spans="1:4" x14ac:dyDescent="0.25">
      <c r="A5886" s="45" t="s">
        <v>5913</v>
      </c>
      <c r="B5886" s="46" t="s">
        <v>17038</v>
      </c>
      <c r="C5886">
        <v>11</v>
      </c>
      <c r="D5886">
        <v>72</v>
      </c>
    </row>
    <row r="5887" spans="1:4" x14ac:dyDescent="0.25">
      <c r="A5887" s="45" t="s">
        <v>5914</v>
      </c>
      <c r="B5887" s="46" t="s">
        <v>17039</v>
      </c>
      <c r="C5887">
        <v>11</v>
      </c>
      <c r="D5887">
        <v>72</v>
      </c>
    </row>
    <row r="5888" spans="1:4" x14ac:dyDescent="0.25">
      <c r="A5888" s="45" t="s">
        <v>5915</v>
      </c>
      <c r="B5888" s="46" t="s">
        <v>17040</v>
      </c>
      <c r="C5888">
        <v>11</v>
      </c>
      <c r="D5888">
        <v>72</v>
      </c>
    </row>
    <row r="5889" spans="1:4" x14ac:dyDescent="0.25">
      <c r="A5889" s="45" t="s">
        <v>5916</v>
      </c>
      <c r="B5889" s="46" t="s">
        <v>17041</v>
      </c>
      <c r="C5889">
        <v>11</v>
      </c>
      <c r="D5889">
        <v>72</v>
      </c>
    </row>
    <row r="5890" spans="1:4" x14ac:dyDescent="0.25">
      <c r="A5890" s="45" t="s">
        <v>5917</v>
      </c>
      <c r="B5890" s="46" t="s">
        <v>17042</v>
      </c>
      <c r="C5890">
        <v>11</v>
      </c>
      <c r="D5890">
        <v>72</v>
      </c>
    </row>
    <row r="5891" spans="1:4" x14ac:dyDescent="0.25">
      <c r="A5891" s="45" t="s">
        <v>5918</v>
      </c>
      <c r="B5891" s="46" t="s">
        <v>20627</v>
      </c>
      <c r="C5891">
        <v>11</v>
      </c>
      <c r="D5891">
        <v>72</v>
      </c>
    </row>
    <row r="5892" spans="1:4" x14ac:dyDescent="0.25">
      <c r="A5892" s="45" t="s">
        <v>5919</v>
      </c>
      <c r="B5892" s="46" t="s">
        <v>17043</v>
      </c>
      <c r="C5892">
        <v>11</v>
      </c>
      <c r="D5892">
        <v>69</v>
      </c>
    </row>
    <row r="5893" spans="1:4" x14ac:dyDescent="0.25">
      <c r="A5893" s="45" t="s">
        <v>5920</v>
      </c>
      <c r="B5893" s="46" t="s">
        <v>17044</v>
      </c>
      <c r="C5893">
        <v>11</v>
      </c>
      <c r="D5893">
        <v>71</v>
      </c>
    </row>
    <row r="5894" spans="1:4" x14ac:dyDescent="0.25">
      <c r="A5894" s="45" t="s">
        <v>5921</v>
      </c>
      <c r="B5894" s="46" t="s">
        <v>17045</v>
      </c>
      <c r="C5894">
        <v>11</v>
      </c>
      <c r="D5894">
        <v>71</v>
      </c>
    </row>
    <row r="5895" spans="1:4" x14ac:dyDescent="0.25">
      <c r="A5895" s="45" t="s">
        <v>5922</v>
      </c>
      <c r="B5895" s="46" t="s">
        <v>17046</v>
      </c>
      <c r="C5895">
        <v>1</v>
      </c>
      <c r="D5895">
        <v>2</v>
      </c>
    </row>
    <row r="5896" spans="1:4" x14ac:dyDescent="0.25">
      <c r="A5896" s="45" t="s">
        <v>5923</v>
      </c>
      <c r="B5896" s="46" t="s">
        <v>17047</v>
      </c>
      <c r="C5896">
        <v>1</v>
      </c>
      <c r="D5896">
        <v>11</v>
      </c>
    </row>
    <row r="5897" spans="1:4" x14ac:dyDescent="0.25">
      <c r="A5897" s="45" t="s">
        <v>5924</v>
      </c>
      <c r="B5897" s="46" t="s">
        <v>20628</v>
      </c>
      <c r="C5897">
        <v>11</v>
      </c>
      <c r="D5897">
        <v>69</v>
      </c>
    </row>
    <row r="5898" spans="1:4" x14ac:dyDescent="0.25">
      <c r="A5898" s="45" t="s">
        <v>5925</v>
      </c>
      <c r="B5898" s="46" t="s">
        <v>17048</v>
      </c>
      <c r="C5898">
        <v>11</v>
      </c>
      <c r="D5898">
        <v>69</v>
      </c>
    </row>
    <row r="5899" spans="1:4" x14ac:dyDescent="0.25">
      <c r="A5899" s="45" t="s">
        <v>5926</v>
      </c>
      <c r="B5899" s="46" t="s">
        <v>20629</v>
      </c>
      <c r="C5899">
        <v>11</v>
      </c>
      <c r="D5899">
        <v>69</v>
      </c>
    </row>
    <row r="5900" spans="1:4" x14ac:dyDescent="0.25">
      <c r="A5900" s="45" t="s">
        <v>5927</v>
      </c>
      <c r="B5900" s="46" t="s">
        <v>17049</v>
      </c>
      <c r="C5900">
        <v>11</v>
      </c>
      <c r="D5900">
        <v>69</v>
      </c>
    </row>
    <row r="5901" spans="1:4" x14ac:dyDescent="0.25">
      <c r="A5901" s="45" t="s">
        <v>5928</v>
      </c>
      <c r="B5901" s="46" t="s">
        <v>17050</v>
      </c>
      <c r="C5901">
        <v>11</v>
      </c>
      <c r="D5901">
        <v>69</v>
      </c>
    </row>
    <row r="5902" spans="1:4" x14ac:dyDescent="0.25">
      <c r="A5902" s="45" t="s">
        <v>5929</v>
      </c>
      <c r="B5902" s="46" t="s">
        <v>17051</v>
      </c>
      <c r="C5902">
        <v>11</v>
      </c>
      <c r="D5902">
        <v>69</v>
      </c>
    </row>
    <row r="5903" spans="1:4" x14ac:dyDescent="0.25">
      <c r="A5903" s="45" t="s">
        <v>5930</v>
      </c>
      <c r="B5903" s="46" t="s">
        <v>20630</v>
      </c>
      <c r="C5903">
        <v>11</v>
      </c>
      <c r="D5903">
        <v>69</v>
      </c>
    </row>
    <row r="5904" spans="1:4" x14ac:dyDescent="0.25">
      <c r="A5904" s="45" t="s">
        <v>5931</v>
      </c>
      <c r="B5904" s="46" t="s">
        <v>20631</v>
      </c>
      <c r="C5904">
        <v>11</v>
      </c>
      <c r="D5904">
        <v>69</v>
      </c>
    </row>
    <row r="5905" spans="1:4" x14ac:dyDescent="0.25">
      <c r="A5905" s="45" t="s">
        <v>5932</v>
      </c>
      <c r="B5905" s="46" t="s">
        <v>17052</v>
      </c>
      <c r="C5905">
        <v>11</v>
      </c>
      <c r="D5905">
        <v>69</v>
      </c>
    </row>
    <row r="5906" spans="1:4" x14ac:dyDescent="0.25">
      <c r="A5906" s="45" t="s">
        <v>5933</v>
      </c>
      <c r="B5906" s="46" t="s">
        <v>20632</v>
      </c>
      <c r="C5906">
        <v>11</v>
      </c>
      <c r="D5906">
        <v>69</v>
      </c>
    </row>
    <row r="5907" spans="1:4" x14ac:dyDescent="0.25">
      <c r="A5907" s="45" t="s">
        <v>5934</v>
      </c>
      <c r="B5907" s="46" t="s">
        <v>20633</v>
      </c>
      <c r="C5907">
        <v>11</v>
      </c>
      <c r="D5907">
        <v>69</v>
      </c>
    </row>
    <row r="5908" spans="1:4" x14ac:dyDescent="0.25">
      <c r="A5908" s="45" t="s">
        <v>5935</v>
      </c>
      <c r="B5908" s="46" t="s">
        <v>20634</v>
      </c>
      <c r="C5908">
        <v>11</v>
      </c>
      <c r="D5908">
        <v>69</v>
      </c>
    </row>
    <row r="5909" spans="1:4" x14ac:dyDescent="0.25">
      <c r="A5909" s="45" t="s">
        <v>5936</v>
      </c>
      <c r="B5909" s="46" t="s">
        <v>20635</v>
      </c>
      <c r="C5909">
        <v>11</v>
      </c>
      <c r="D5909">
        <v>69</v>
      </c>
    </row>
    <row r="5910" spans="1:4" x14ac:dyDescent="0.25">
      <c r="A5910" s="45" t="s">
        <v>5937</v>
      </c>
      <c r="B5910" s="46" t="s">
        <v>17053</v>
      </c>
      <c r="C5910">
        <v>11</v>
      </c>
      <c r="D5910">
        <v>69</v>
      </c>
    </row>
    <row r="5911" spans="1:4" x14ac:dyDescent="0.25">
      <c r="A5911" s="45" t="s">
        <v>5938</v>
      </c>
      <c r="B5911" s="46" t="s">
        <v>20636</v>
      </c>
      <c r="C5911">
        <v>11</v>
      </c>
      <c r="D5911">
        <v>69</v>
      </c>
    </row>
    <row r="5912" spans="1:4" x14ac:dyDescent="0.25">
      <c r="A5912" s="45" t="s">
        <v>5939</v>
      </c>
      <c r="B5912" s="46" t="s">
        <v>20637</v>
      </c>
      <c r="C5912">
        <v>11</v>
      </c>
      <c r="D5912">
        <v>69</v>
      </c>
    </row>
    <row r="5913" spans="1:4" x14ac:dyDescent="0.25">
      <c r="A5913" s="45" t="s">
        <v>5940</v>
      </c>
      <c r="B5913" s="46" t="s">
        <v>20638</v>
      </c>
      <c r="C5913">
        <v>15</v>
      </c>
      <c r="D5913">
        <v>82</v>
      </c>
    </row>
    <row r="5914" spans="1:4" x14ac:dyDescent="0.25">
      <c r="A5914" s="45" t="s">
        <v>5941</v>
      </c>
      <c r="B5914" s="46" t="s">
        <v>20639</v>
      </c>
      <c r="C5914">
        <v>15</v>
      </c>
      <c r="D5914">
        <v>82</v>
      </c>
    </row>
    <row r="5915" spans="1:4" x14ac:dyDescent="0.25">
      <c r="A5915" s="45" t="s">
        <v>5942</v>
      </c>
      <c r="B5915" s="46" t="s">
        <v>20640</v>
      </c>
      <c r="C5915">
        <v>15</v>
      </c>
      <c r="D5915">
        <v>82</v>
      </c>
    </row>
    <row r="5916" spans="1:4" x14ac:dyDescent="0.25">
      <c r="A5916" s="45" t="s">
        <v>5943</v>
      </c>
      <c r="B5916" s="46" t="s">
        <v>20641</v>
      </c>
      <c r="C5916">
        <v>15</v>
      </c>
      <c r="D5916">
        <v>82</v>
      </c>
    </row>
    <row r="5917" spans="1:4" x14ac:dyDescent="0.25">
      <c r="A5917" s="45" t="s">
        <v>5944</v>
      </c>
      <c r="B5917" s="46" t="s">
        <v>20642</v>
      </c>
      <c r="C5917">
        <v>15</v>
      </c>
      <c r="D5917">
        <v>82</v>
      </c>
    </row>
    <row r="5918" spans="1:4" x14ac:dyDescent="0.25">
      <c r="A5918" s="45" t="s">
        <v>5945</v>
      </c>
      <c r="B5918" s="46" t="s">
        <v>20643</v>
      </c>
      <c r="C5918">
        <v>15</v>
      </c>
      <c r="D5918">
        <v>82</v>
      </c>
    </row>
    <row r="5919" spans="1:4" x14ac:dyDescent="0.25">
      <c r="A5919" s="45" t="s">
        <v>5946</v>
      </c>
      <c r="B5919" s="46" t="s">
        <v>20644</v>
      </c>
      <c r="C5919">
        <v>15</v>
      </c>
      <c r="D5919">
        <v>82</v>
      </c>
    </row>
    <row r="5920" spans="1:4" x14ac:dyDescent="0.25">
      <c r="A5920" s="45" t="s">
        <v>5947</v>
      </c>
      <c r="B5920" s="46" t="s">
        <v>20645</v>
      </c>
      <c r="C5920">
        <v>15</v>
      </c>
      <c r="D5920">
        <v>82</v>
      </c>
    </row>
    <row r="5921" spans="1:4" x14ac:dyDescent="0.25">
      <c r="A5921" s="45" t="s">
        <v>5948</v>
      </c>
      <c r="B5921" s="46" t="s">
        <v>20646</v>
      </c>
      <c r="C5921">
        <v>15</v>
      </c>
      <c r="D5921">
        <v>82</v>
      </c>
    </row>
    <row r="5922" spans="1:4" x14ac:dyDescent="0.25">
      <c r="A5922" s="45" t="s">
        <v>5949</v>
      </c>
      <c r="B5922" s="46" t="s">
        <v>20647</v>
      </c>
      <c r="C5922">
        <v>15</v>
      </c>
      <c r="D5922">
        <v>82</v>
      </c>
    </row>
    <row r="5923" spans="1:4" x14ac:dyDescent="0.25">
      <c r="A5923" s="45" t="s">
        <v>5950</v>
      </c>
      <c r="B5923" s="46" t="s">
        <v>20648</v>
      </c>
      <c r="C5923">
        <v>15</v>
      </c>
      <c r="D5923">
        <v>82</v>
      </c>
    </row>
    <row r="5924" spans="1:4" x14ac:dyDescent="0.25">
      <c r="A5924" s="45" t="s">
        <v>5951</v>
      </c>
      <c r="B5924" s="46" t="s">
        <v>17054</v>
      </c>
      <c r="C5924">
        <v>15</v>
      </c>
      <c r="D5924">
        <v>82</v>
      </c>
    </row>
    <row r="5925" spans="1:4" x14ac:dyDescent="0.25">
      <c r="A5925" s="45" t="s">
        <v>5952</v>
      </c>
      <c r="B5925" s="46" t="s">
        <v>20649</v>
      </c>
      <c r="C5925">
        <v>15</v>
      </c>
      <c r="D5925">
        <v>82</v>
      </c>
    </row>
    <row r="5926" spans="1:4" x14ac:dyDescent="0.25">
      <c r="A5926" s="45" t="s">
        <v>5953</v>
      </c>
      <c r="B5926" s="46" t="s">
        <v>20650</v>
      </c>
      <c r="C5926">
        <v>15</v>
      </c>
      <c r="D5926">
        <v>82</v>
      </c>
    </row>
    <row r="5927" spans="1:4" x14ac:dyDescent="0.25">
      <c r="A5927" s="45" t="s">
        <v>5954</v>
      </c>
      <c r="B5927" s="46" t="s">
        <v>17055</v>
      </c>
      <c r="C5927">
        <v>15</v>
      </c>
      <c r="D5927">
        <v>82</v>
      </c>
    </row>
    <row r="5928" spans="1:4" x14ac:dyDescent="0.25">
      <c r="A5928" s="45" t="s">
        <v>5955</v>
      </c>
      <c r="B5928" s="46" t="s">
        <v>17056</v>
      </c>
      <c r="C5928">
        <v>15</v>
      </c>
      <c r="D5928">
        <v>82</v>
      </c>
    </row>
    <row r="5929" spans="1:4" x14ac:dyDescent="0.25">
      <c r="A5929" s="45" t="s">
        <v>5956</v>
      </c>
      <c r="B5929" s="46" t="s">
        <v>17057</v>
      </c>
      <c r="C5929">
        <v>15</v>
      </c>
      <c r="D5929">
        <v>82</v>
      </c>
    </row>
    <row r="5930" spans="1:4" x14ac:dyDescent="0.25">
      <c r="A5930" s="45" t="s">
        <v>5957</v>
      </c>
      <c r="B5930" s="46" t="s">
        <v>17058</v>
      </c>
      <c r="C5930">
        <v>15</v>
      </c>
      <c r="D5930">
        <v>82</v>
      </c>
    </row>
    <row r="5931" spans="1:4" x14ac:dyDescent="0.25">
      <c r="A5931" s="45" t="s">
        <v>5958</v>
      </c>
      <c r="B5931" s="46" t="s">
        <v>17059</v>
      </c>
      <c r="C5931">
        <v>15</v>
      </c>
      <c r="D5931">
        <v>82</v>
      </c>
    </row>
    <row r="5932" spans="1:4" x14ac:dyDescent="0.25">
      <c r="A5932" s="45" t="s">
        <v>5959</v>
      </c>
      <c r="B5932" s="46" t="s">
        <v>17060</v>
      </c>
      <c r="C5932">
        <v>15</v>
      </c>
      <c r="D5932">
        <v>82</v>
      </c>
    </row>
    <row r="5933" spans="1:4" x14ac:dyDescent="0.25">
      <c r="A5933" s="45" t="s">
        <v>5960</v>
      </c>
      <c r="B5933" s="46" t="s">
        <v>17061</v>
      </c>
      <c r="C5933">
        <v>15</v>
      </c>
      <c r="D5933">
        <v>82</v>
      </c>
    </row>
    <row r="5934" spans="1:4" x14ac:dyDescent="0.25">
      <c r="A5934" s="45" t="s">
        <v>5961</v>
      </c>
      <c r="B5934" s="46" t="s">
        <v>17062</v>
      </c>
      <c r="C5934">
        <v>15</v>
      </c>
      <c r="D5934">
        <v>82</v>
      </c>
    </row>
    <row r="5935" spans="1:4" x14ac:dyDescent="0.25">
      <c r="A5935" s="45" t="s">
        <v>5962</v>
      </c>
      <c r="B5935" s="46" t="s">
        <v>17063</v>
      </c>
      <c r="C5935">
        <v>15</v>
      </c>
      <c r="D5935">
        <v>82</v>
      </c>
    </row>
    <row r="5936" spans="1:4" x14ac:dyDescent="0.25">
      <c r="A5936" s="45" t="s">
        <v>5963</v>
      </c>
      <c r="B5936" s="46" t="s">
        <v>20651</v>
      </c>
      <c r="C5936">
        <v>15</v>
      </c>
      <c r="D5936">
        <v>82</v>
      </c>
    </row>
    <row r="5937" spans="1:4" x14ac:dyDescent="0.25">
      <c r="A5937" s="45" t="s">
        <v>5964</v>
      </c>
      <c r="B5937" s="46" t="s">
        <v>20652</v>
      </c>
      <c r="C5937">
        <v>15</v>
      </c>
      <c r="D5937">
        <v>82</v>
      </c>
    </row>
    <row r="5938" spans="1:4" x14ac:dyDescent="0.25">
      <c r="A5938" s="45" t="s">
        <v>5965</v>
      </c>
      <c r="B5938" s="46" t="s">
        <v>20653</v>
      </c>
      <c r="C5938">
        <v>15</v>
      </c>
      <c r="D5938">
        <v>82</v>
      </c>
    </row>
    <row r="5939" spans="1:4" x14ac:dyDescent="0.25">
      <c r="A5939" s="45" t="s">
        <v>5966</v>
      </c>
      <c r="B5939" s="46" t="s">
        <v>17064</v>
      </c>
      <c r="C5939">
        <v>15</v>
      </c>
      <c r="D5939">
        <v>82</v>
      </c>
    </row>
    <row r="5940" spans="1:4" x14ac:dyDescent="0.25">
      <c r="A5940" s="45" t="s">
        <v>5967</v>
      </c>
      <c r="B5940" s="46" t="s">
        <v>20654</v>
      </c>
      <c r="C5940">
        <v>15</v>
      </c>
      <c r="D5940">
        <v>82</v>
      </c>
    </row>
    <row r="5941" spans="1:4" x14ac:dyDescent="0.25">
      <c r="A5941" s="45" t="s">
        <v>5968</v>
      </c>
      <c r="B5941" s="46" t="s">
        <v>20655</v>
      </c>
      <c r="C5941">
        <v>15</v>
      </c>
      <c r="D5941">
        <v>82</v>
      </c>
    </row>
    <row r="5942" spans="1:4" x14ac:dyDescent="0.25">
      <c r="A5942" s="45" t="s">
        <v>5969</v>
      </c>
      <c r="B5942" s="46" t="s">
        <v>20656</v>
      </c>
      <c r="C5942">
        <v>15</v>
      </c>
      <c r="D5942">
        <v>82</v>
      </c>
    </row>
    <row r="5943" spans="1:4" x14ac:dyDescent="0.25">
      <c r="A5943" s="45" t="s">
        <v>5970</v>
      </c>
      <c r="B5943" s="46" t="s">
        <v>17065</v>
      </c>
      <c r="C5943">
        <v>15</v>
      </c>
      <c r="D5943">
        <v>82</v>
      </c>
    </row>
    <row r="5944" spans="1:4" x14ac:dyDescent="0.25">
      <c r="A5944" s="45" t="s">
        <v>5971</v>
      </c>
      <c r="B5944" s="46" t="s">
        <v>20657</v>
      </c>
      <c r="C5944">
        <v>15</v>
      </c>
      <c r="D5944">
        <v>82</v>
      </c>
    </row>
    <row r="5945" spans="1:4" x14ac:dyDescent="0.25">
      <c r="A5945" s="45" t="s">
        <v>5972</v>
      </c>
      <c r="B5945" s="46" t="s">
        <v>20658</v>
      </c>
      <c r="C5945">
        <v>15</v>
      </c>
      <c r="D5945">
        <v>82</v>
      </c>
    </row>
    <row r="5946" spans="1:4" x14ac:dyDescent="0.25">
      <c r="A5946" s="45" t="s">
        <v>5973</v>
      </c>
      <c r="B5946" s="46" t="s">
        <v>17066</v>
      </c>
      <c r="C5946">
        <v>15</v>
      </c>
      <c r="D5946">
        <v>82</v>
      </c>
    </row>
    <row r="5947" spans="1:4" x14ac:dyDescent="0.25">
      <c r="A5947" s="45" t="s">
        <v>5974</v>
      </c>
      <c r="B5947" s="46" t="s">
        <v>20659</v>
      </c>
      <c r="C5947">
        <v>15</v>
      </c>
      <c r="D5947">
        <v>82</v>
      </c>
    </row>
    <row r="5948" spans="1:4" x14ac:dyDescent="0.25">
      <c r="A5948" s="45" t="s">
        <v>5975</v>
      </c>
      <c r="B5948" s="46" t="s">
        <v>20660</v>
      </c>
      <c r="C5948">
        <v>15</v>
      </c>
      <c r="D5948">
        <v>82</v>
      </c>
    </row>
    <row r="5949" spans="1:4" x14ac:dyDescent="0.25">
      <c r="A5949" s="45" t="s">
        <v>5976</v>
      </c>
      <c r="B5949" s="46" t="s">
        <v>17067</v>
      </c>
      <c r="C5949">
        <v>15</v>
      </c>
      <c r="D5949">
        <v>82</v>
      </c>
    </row>
    <row r="5950" spans="1:4" x14ac:dyDescent="0.25">
      <c r="A5950" s="45" t="s">
        <v>5977</v>
      </c>
      <c r="B5950" s="46" t="s">
        <v>20661</v>
      </c>
      <c r="C5950">
        <v>15</v>
      </c>
      <c r="D5950">
        <v>82</v>
      </c>
    </row>
    <row r="5951" spans="1:4" x14ac:dyDescent="0.25">
      <c r="A5951" s="45" t="s">
        <v>5978</v>
      </c>
      <c r="B5951" s="46" t="s">
        <v>17068</v>
      </c>
      <c r="C5951">
        <v>15</v>
      </c>
      <c r="D5951">
        <v>82</v>
      </c>
    </row>
    <row r="5952" spans="1:4" x14ac:dyDescent="0.25">
      <c r="A5952" s="45" t="s">
        <v>5979</v>
      </c>
      <c r="B5952" s="46" t="s">
        <v>17069</v>
      </c>
      <c r="C5952">
        <v>15</v>
      </c>
      <c r="D5952">
        <v>82</v>
      </c>
    </row>
    <row r="5953" spans="1:4" x14ac:dyDescent="0.25">
      <c r="A5953" s="45" t="s">
        <v>5980</v>
      </c>
      <c r="B5953" s="46" t="s">
        <v>17070</v>
      </c>
      <c r="C5953">
        <v>15</v>
      </c>
      <c r="D5953">
        <v>82</v>
      </c>
    </row>
    <row r="5954" spans="1:4" x14ac:dyDescent="0.25">
      <c r="A5954" s="45" t="s">
        <v>5981</v>
      </c>
      <c r="B5954" s="46" t="s">
        <v>17071</v>
      </c>
      <c r="C5954">
        <v>15</v>
      </c>
      <c r="D5954">
        <v>82</v>
      </c>
    </row>
    <row r="5955" spans="1:4" x14ac:dyDescent="0.25">
      <c r="A5955" s="45" t="s">
        <v>5982</v>
      </c>
      <c r="B5955" s="46" t="s">
        <v>17072</v>
      </c>
      <c r="C5955">
        <v>15</v>
      </c>
      <c r="D5955">
        <v>82</v>
      </c>
    </row>
    <row r="5956" spans="1:4" x14ac:dyDescent="0.25">
      <c r="A5956" s="45" t="s">
        <v>5983</v>
      </c>
      <c r="B5956" s="46" t="s">
        <v>20662</v>
      </c>
      <c r="C5956">
        <v>15</v>
      </c>
      <c r="D5956">
        <v>82</v>
      </c>
    </row>
    <row r="5957" spans="1:4" x14ac:dyDescent="0.25">
      <c r="A5957" s="45" t="s">
        <v>5984</v>
      </c>
      <c r="B5957" s="46" t="s">
        <v>20663</v>
      </c>
      <c r="C5957">
        <v>15</v>
      </c>
      <c r="D5957">
        <v>82</v>
      </c>
    </row>
    <row r="5958" spans="1:4" x14ac:dyDescent="0.25">
      <c r="A5958" s="45" t="s">
        <v>5985</v>
      </c>
      <c r="B5958" s="46" t="s">
        <v>20664</v>
      </c>
      <c r="C5958">
        <v>15</v>
      </c>
      <c r="D5958">
        <v>82</v>
      </c>
    </row>
    <row r="5959" spans="1:4" x14ac:dyDescent="0.25">
      <c r="A5959" s="45" t="s">
        <v>5986</v>
      </c>
      <c r="B5959" s="46" t="s">
        <v>17073</v>
      </c>
      <c r="C5959">
        <v>15</v>
      </c>
      <c r="D5959">
        <v>82</v>
      </c>
    </row>
    <row r="5960" spans="1:4" x14ac:dyDescent="0.25">
      <c r="A5960" s="45" t="s">
        <v>5987</v>
      </c>
      <c r="B5960" s="46" t="s">
        <v>17074</v>
      </c>
      <c r="C5960">
        <v>15</v>
      </c>
      <c r="D5960">
        <v>82</v>
      </c>
    </row>
    <row r="5961" spans="1:4" x14ac:dyDescent="0.25">
      <c r="A5961" s="45" t="s">
        <v>5988</v>
      </c>
      <c r="B5961" s="46" t="s">
        <v>17075</v>
      </c>
      <c r="C5961">
        <v>15</v>
      </c>
      <c r="D5961">
        <v>82</v>
      </c>
    </row>
    <row r="5962" spans="1:4" x14ac:dyDescent="0.25">
      <c r="A5962" s="45" t="s">
        <v>5989</v>
      </c>
      <c r="B5962" s="46" t="s">
        <v>20665</v>
      </c>
      <c r="C5962">
        <v>15</v>
      </c>
      <c r="D5962">
        <v>82</v>
      </c>
    </row>
    <row r="5963" spans="1:4" x14ac:dyDescent="0.25">
      <c r="A5963" s="45" t="s">
        <v>5990</v>
      </c>
      <c r="B5963" s="46" t="s">
        <v>20666</v>
      </c>
      <c r="C5963">
        <v>15</v>
      </c>
      <c r="D5963">
        <v>82</v>
      </c>
    </row>
    <row r="5964" spans="1:4" x14ac:dyDescent="0.25">
      <c r="A5964" s="45" t="s">
        <v>5991</v>
      </c>
      <c r="B5964" s="46" t="s">
        <v>20667</v>
      </c>
      <c r="C5964">
        <v>15</v>
      </c>
      <c r="D5964">
        <v>82</v>
      </c>
    </row>
    <row r="5965" spans="1:4" x14ac:dyDescent="0.25">
      <c r="A5965" s="45" t="s">
        <v>5992</v>
      </c>
      <c r="B5965" s="46" t="s">
        <v>20668</v>
      </c>
      <c r="C5965">
        <v>15</v>
      </c>
      <c r="D5965">
        <v>82</v>
      </c>
    </row>
    <row r="5966" spans="1:4" x14ac:dyDescent="0.25">
      <c r="A5966" s="45" t="s">
        <v>5993</v>
      </c>
      <c r="B5966" s="46" t="s">
        <v>20669</v>
      </c>
      <c r="C5966">
        <v>15</v>
      </c>
      <c r="D5966">
        <v>82</v>
      </c>
    </row>
    <row r="5967" spans="1:4" x14ac:dyDescent="0.25">
      <c r="A5967" s="45" t="s">
        <v>5994</v>
      </c>
      <c r="B5967" s="46" t="s">
        <v>17076</v>
      </c>
      <c r="C5967">
        <v>15</v>
      </c>
      <c r="D5967">
        <v>82</v>
      </c>
    </row>
    <row r="5968" spans="1:4" x14ac:dyDescent="0.25">
      <c r="A5968" s="45" t="s">
        <v>5995</v>
      </c>
      <c r="B5968" s="46" t="s">
        <v>20670</v>
      </c>
      <c r="C5968">
        <v>15</v>
      </c>
      <c r="D5968">
        <v>82</v>
      </c>
    </row>
    <row r="5969" spans="1:4" x14ac:dyDescent="0.25">
      <c r="A5969" s="45" t="s">
        <v>5996</v>
      </c>
      <c r="B5969" s="46" t="s">
        <v>20671</v>
      </c>
      <c r="C5969">
        <v>15</v>
      </c>
      <c r="D5969">
        <v>82</v>
      </c>
    </row>
    <row r="5970" spans="1:4" x14ac:dyDescent="0.25">
      <c r="A5970" s="45" t="s">
        <v>5997</v>
      </c>
      <c r="B5970" s="46" t="s">
        <v>17077</v>
      </c>
      <c r="C5970">
        <v>15</v>
      </c>
      <c r="D5970">
        <v>82</v>
      </c>
    </row>
    <row r="5971" spans="1:4" x14ac:dyDescent="0.25">
      <c r="A5971" s="45" t="s">
        <v>5998</v>
      </c>
      <c r="B5971" s="46" t="s">
        <v>17078</v>
      </c>
      <c r="C5971">
        <v>15</v>
      </c>
      <c r="D5971">
        <v>82</v>
      </c>
    </row>
    <row r="5972" spans="1:4" x14ac:dyDescent="0.25">
      <c r="A5972" s="45" t="s">
        <v>5999</v>
      </c>
      <c r="B5972" s="46" t="s">
        <v>17079</v>
      </c>
      <c r="C5972">
        <v>15</v>
      </c>
      <c r="D5972">
        <v>82</v>
      </c>
    </row>
    <row r="5973" spans="1:4" x14ac:dyDescent="0.25">
      <c r="A5973" s="45" t="s">
        <v>6000</v>
      </c>
      <c r="B5973" s="46" t="s">
        <v>17080</v>
      </c>
      <c r="C5973">
        <v>15</v>
      </c>
      <c r="D5973">
        <v>82</v>
      </c>
    </row>
    <row r="5974" spans="1:4" x14ac:dyDescent="0.25">
      <c r="A5974" s="45" t="s">
        <v>6001</v>
      </c>
      <c r="B5974" s="46" t="s">
        <v>17081</v>
      </c>
      <c r="C5974">
        <v>15</v>
      </c>
      <c r="D5974">
        <v>82</v>
      </c>
    </row>
    <row r="5975" spans="1:4" x14ac:dyDescent="0.25">
      <c r="A5975" s="45" t="s">
        <v>6002</v>
      </c>
      <c r="B5975" s="46" t="s">
        <v>17082</v>
      </c>
      <c r="C5975">
        <v>15</v>
      </c>
      <c r="D5975">
        <v>82</v>
      </c>
    </row>
    <row r="5976" spans="1:4" x14ac:dyDescent="0.25">
      <c r="A5976" s="45" t="s">
        <v>6003</v>
      </c>
      <c r="B5976" s="46" t="s">
        <v>17083</v>
      </c>
      <c r="C5976">
        <v>15</v>
      </c>
      <c r="D5976">
        <v>82</v>
      </c>
    </row>
    <row r="5977" spans="1:4" x14ac:dyDescent="0.25">
      <c r="A5977" s="45" t="s">
        <v>6004</v>
      </c>
      <c r="B5977" s="46" t="s">
        <v>17084</v>
      </c>
      <c r="C5977">
        <v>15</v>
      </c>
      <c r="D5977">
        <v>82</v>
      </c>
    </row>
    <row r="5978" spans="1:4" x14ac:dyDescent="0.25">
      <c r="A5978" s="45" t="s">
        <v>6005</v>
      </c>
      <c r="B5978" s="46" t="s">
        <v>17085</v>
      </c>
      <c r="C5978">
        <v>15</v>
      </c>
      <c r="D5978">
        <v>82</v>
      </c>
    </row>
    <row r="5979" spans="1:4" x14ac:dyDescent="0.25">
      <c r="A5979" s="45" t="s">
        <v>6006</v>
      </c>
      <c r="B5979" s="46" t="s">
        <v>17086</v>
      </c>
      <c r="C5979">
        <v>15</v>
      </c>
      <c r="D5979">
        <v>82</v>
      </c>
    </row>
    <row r="5980" spans="1:4" x14ac:dyDescent="0.25">
      <c r="A5980" s="45" t="s">
        <v>6007</v>
      </c>
      <c r="B5980" s="46" t="s">
        <v>17087</v>
      </c>
      <c r="C5980">
        <v>15</v>
      </c>
      <c r="D5980">
        <v>82</v>
      </c>
    </row>
    <row r="5981" spans="1:4" x14ac:dyDescent="0.25">
      <c r="A5981" s="45" t="s">
        <v>6008</v>
      </c>
      <c r="B5981" s="46" t="s">
        <v>17088</v>
      </c>
      <c r="C5981">
        <v>15</v>
      </c>
      <c r="D5981">
        <v>82</v>
      </c>
    </row>
    <row r="5982" spans="1:4" x14ac:dyDescent="0.25">
      <c r="A5982" s="45" t="s">
        <v>6009</v>
      </c>
      <c r="B5982" s="46" t="s">
        <v>17089</v>
      </c>
      <c r="C5982">
        <v>15</v>
      </c>
      <c r="D5982">
        <v>82</v>
      </c>
    </row>
    <row r="5983" spans="1:4" x14ac:dyDescent="0.25">
      <c r="A5983" s="45" t="s">
        <v>6010</v>
      </c>
      <c r="B5983" s="46" t="s">
        <v>20672</v>
      </c>
      <c r="C5983">
        <v>15</v>
      </c>
      <c r="D5983">
        <v>82</v>
      </c>
    </row>
    <row r="5984" spans="1:4" x14ac:dyDescent="0.25">
      <c r="A5984" s="45" t="s">
        <v>6011</v>
      </c>
      <c r="B5984" s="46" t="s">
        <v>20673</v>
      </c>
      <c r="C5984">
        <v>15</v>
      </c>
      <c r="D5984">
        <v>82</v>
      </c>
    </row>
    <row r="5985" spans="1:4" x14ac:dyDescent="0.25">
      <c r="A5985" s="45" t="s">
        <v>6012</v>
      </c>
      <c r="B5985" s="46" t="s">
        <v>17090</v>
      </c>
      <c r="C5985">
        <v>15</v>
      </c>
      <c r="D5985">
        <v>82</v>
      </c>
    </row>
    <row r="5986" spans="1:4" x14ac:dyDescent="0.25">
      <c r="A5986" s="45" t="s">
        <v>6013</v>
      </c>
      <c r="B5986" s="46" t="s">
        <v>20674</v>
      </c>
      <c r="C5986">
        <v>15</v>
      </c>
      <c r="D5986">
        <v>82</v>
      </c>
    </row>
    <row r="5987" spans="1:4" x14ac:dyDescent="0.25">
      <c r="A5987" s="45" t="s">
        <v>6014</v>
      </c>
      <c r="B5987" s="46" t="s">
        <v>20675</v>
      </c>
      <c r="C5987">
        <v>15</v>
      </c>
      <c r="D5987">
        <v>82</v>
      </c>
    </row>
    <row r="5988" spans="1:4" x14ac:dyDescent="0.25">
      <c r="A5988" s="45" t="s">
        <v>6015</v>
      </c>
      <c r="B5988" s="46" t="s">
        <v>17091</v>
      </c>
      <c r="C5988">
        <v>15</v>
      </c>
      <c r="D5988">
        <v>82</v>
      </c>
    </row>
    <row r="5989" spans="1:4" x14ac:dyDescent="0.25">
      <c r="A5989" s="45" t="s">
        <v>6016</v>
      </c>
      <c r="B5989" s="46" t="s">
        <v>17092</v>
      </c>
      <c r="C5989">
        <v>15</v>
      </c>
      <c r="D5989">
        <v>82</v>
      </c>
    </row>
    <row r="5990" spans="1:4" x14ac:dyDescent="0.25">
      <c r="A5990" s="45" t="s">
        <v>6017</v>
      </c>
      <c r="B5990" s="46" t="s">
        <v>20676</v>
      </c>
      <c r="C5990">
        <v>15</v>
      </c>
      <c r="D5990">
        <v>82</v>
      </c>
    </row>
    <row r="5991" spans="1:4" x14ac:dyDescent="0.25">
      <c r="A5991" s="45" t="s">
        <v>6018</v>
      </c>
      <c r="B5991" s="46" t="s">
        <v>20677</v>
      </c>
      <c r="C5991">
        <v>15</v>
      </c>
      <c r="D5991">
        <v>82</v>
      </c>
    </row>
    <row r="5992" spans="1:4" x14ac:dyDescent="0.25">
      <c r="A5992" s="45" t="s">
        <v>6019</v>
      </c>
      <c r="B5992" s="46" t="s">
        <v>17093</v>
      </c>
      <c r="C5992">
        <v>15</v>
      </c>
      <c r="D5992">
        <v>82</v>
      </c>
    </row>
    <row r="5993" spans="1:4" x14ac:dyDescent="0.25">
      <c r="A5993" s="45" t="s">
        <v>6020</v>
      </c>
      <c r="B5993" s="46" t="s">
        <v>17094</v>
      </c>
      <c r="C5993">
        <v>15</v>
      </c>
      <c r="D5993">
        <v>82</v>
      </c>
    </row>
    <row r="5994" spans="1:4" x14ac:dyDescent="0.25">
      <c r="A5994" s="45" t="s">
        <v>6021</v>
      </c>
      <c r="B5994" s="46" t="s">
        <v>20678</v>
      </c>
      <c r="C5994">
        <v>15</v>
      </c>
      <c r="D5994">
        <v>82</v>
      </c>
    </row>
    <row r="5995" spans="1:4" x14ac:dyDescent="0.25">
      <c r="A5995" s="45" t="s">
        <v>6022</v>
      </c>
      <c r="B5995" s="46" t="s">
        <v>17095</v>
      </c>
      <c r="C5995">
        <v>15</v>
      </c>
      <c r="D5995">
        <v>82</v>
      </c>
    </row>
    <row r="5996" spans="1:4" x14ac:dyDescent="0.25">
      <c r="A5996" s="45" t="s">
        <v>6023</v>
      </c>
      <c r="B5996" s="46" t="s">
        <v>20679</v>
      </c>
      <c r="C5996">
        <v>15</v>
      </c>
      <c r="D5996">
        <v>82</v>
      </c>
    </row>
    <row r="5997" spans="1:4" x14ac:dyDescent="0.25">
      <c r="A5997" s="45" t="s">
        <v>6024</v>
      </c>
      <c r="B5997" s="46" t="s">
        <v>17096</v>
      </c>
      <c r="C5997">
        <v>15</v>
      </c>
      <c r="D5997">
        <v>82</v>
      </c>
    </row>
    <row r="5998" spans="1:4" x14ac:dyDescent="0.25">
      <c r="A5998" s="45" t="s">
        <v>6025</v>
      </c>
      <c r="B5998" s="46" t="s">
        <v>17097</v>
      </c>
      <c r="C5998">
        <v>15</v>
      </c>
      <c r="D5998">
        <v>82</v>
      </c>
    </row>
    <row r="5999" spans="1:4" x14ac:dyDescent="0.25">
      <c r="A5999" s="45" t="s">
        <v>6026</v>
      </c>
      <c r="B5999" s="46" t="s">
        <v>17098</v>
      </c>
      <c r="C5999">
        <v>15</v>
      </c>
      <c r="D5999">
        <v>82</v>
      </c>
    </row>
    <row r="6000" spans="1:4" x14ac:dyDescent="0.25">
      <c r="A6000" s="45" t="s">
        <v>6027</v>
      </c>
      <c r="B6000" s="46" t="s">
        <v>17099</v>
      </c>
      <c r="C6000">
        <v>15</v>
      </c>
      <c r="D6000">
        <v>82</v>
      </c>
    </row>
    <row r="6001" spans="1:4" x14ac:dyDescent="0.25">
      <c r="A6001" s="45" t="s">
        <v>6028</v>
      </c>
      <c r="B6001" s="46" t="s">
        <v>17100</v>
      </c>
      <c r="C6001">
        <v>15</v>
      </c>
      <c r="D6001">
        <v>82</v>
      </c>
    </row>
    <row r="6002" spans="1:4" x14ac:dyDescent="0.25">
      <c r="A6002" s="45" t="s">
        <v>6029</v>
      </c>
      <c r="B6002" s="46" t="s">
        <v>17101</v>
      </c>
      <c r="C6002">
        <v>15</v>
      </c>
      <c r="D6002">
        <v>82</v>
      </c>
    </row>
    <row r="6003" spans="1:4" x14ac:dyDescent="0.25">
      <c r="A6003" s="45" t="s">
        <v>6030</v>
      </c>
      <c r="B6003" s="46" t="s">
        <v>17102</v>
      </c>
      <c r="C6003">
        <v>15</v>
      </c>
      <c r="D6003">
        <v>82</v>
      </c>
    </row>
    <row r="6004" spans="1:4" x14ac:dyDescent="0.25">
      <c r="A6004" s="45" t="s">
        <v>6031</v>
      </c>
      <c r="B6004" s="46" t="s">
        <v>17103</v>
      </c>
      <c r="C6004">
        <v>15</v>
      </c>
      <c r="D6004">
        <v>82</v>
      </c>
    </row>
    <row r="6005" spans="1:4" x14ac:dyDescent="0.25">
      <c r="A6005" s="45" t="s">
        <v>6032</v>
      </c>
      <c r="B6005" s="46" t="s">
        <v>17104</v>
      </c>
      <c r="C6005">
        <v>15</v>
      </c>
      <c r="D6005">
        <v>82</v>
      </c>
    </row>
    <row r="6006" spans="1:4" x14ac:dyDescent="0.25">
      <c r="A6006" s="45" t="s">
        <v>6033</v>
      </c>
      <c r="B6006" s="46" t="s">
        <v>17105</v>
      </c>
      <c r="C6006">
        <v>15</v>
      </c>
      <c r="D6006">
        <v>82</v>
      </c>
    </row>
    <row r="6007" spans="1:4" x14ac:dyDescent="0.25">
      <c r="A6007" s="45" t="s">
        <v>6034</v>
      </c>
      <c r="B6007" s="46" t="s">
        <v>20680</v>
      </c>
      <c r="C6007">
        <v>15</v>
      </c>
      <c r="D6007">
        <v>82</v>
      </c>
    </row>
    <row r="6008" spans="1:4" x14ac:dyDescent="0.25">
      <c r="A6008" s="45" t="s">
        <v>6035</v>
      </c>
      <c r="B6008" s="46" t="s">
        <v>17106</v>
      </c>
      <c r="C6008">
        <v>15</v>
      </c>
      <c r="D6008">
        <v>82</v>
      </c>
    </row>
    <row r="6009" spans="1:4" x14ac:dyDescent="0.25">
      <c r="A6009" s="45" t="s">
        <v>6036</v>
      </c>
      <c r="B6009" s="46" t="s">
        <v>17107</v>
      </c>
      <c r="C6009">
        <v>15</v>
      </c>
      <c r="D6009">
        <v>82</v>
      </c>
    </row>
    <row r="6010" spans="1:4" x14ac:dyDescent="0.25">
      <c r="A6010" s="45" t="s">
        <v>6037</v>
      </c>
      <c r="B6010" s="46" t="s">
        <v>20681</v>
      </c>
      <c r="C6010">
        <v>15</v>
      </c>
      <c r="D6010">
        <v>82</v>
      </c>
    </row>
    <row r="6011" spans="1:4" x14ac:dyDescent="0.25">
      <c r="A6011" s="45" t="s">
        <v>6038</v>
      </c>
      <c r="B6011" s="46" t="s">
        <v>20682</v>
      </c>
      <c r="C6011">
        <v>15</v>
      </c>
      <c r="D6011">
        <v>82</v>
      </c>
    </row>
    <row r="6012" spans="1:4" x14ac:dyDescent="0.25">
      <c r="A6012" s="45" t="s">
        <v>6039</v>
      </c>
      <c r="B6012" s="46" t="s">
        <v>17108</v>
      </c>
      <c r="C6012">
        <v>15</v>
      </c>
      <c r="D6012">
        <v>82</v>
      </c>
    </row>
    <row r="6013" spans="1:4" x14ac:dyDescent="0.25">
      <c r="A6013" s="45" t="s">
        <v>6040</v>
      </c>
      <c r="B6013" s="46" t="s">
        <v>17109</v>
      </c>
      <c r="C6013">
        <v>15</v>
      </c>
      <c r="D6013">
        <v>82</v>
      </c>
    </row>
    <row r="6014" spans="1:4" x14ac:dyDescent="0.25">
      <c r="A6014" s="45" t="s">
        <v>6041</v>
      </c>
      <c r="B6014" s="46" t="s">
        <v>20683</v>
      </c>
      <c r="C6014">
        <v>15</v>
      </c>
      <c r="D6014">
        <v>82</v>
      </c>
    </row>
    <row r="6015" spans="1:4" x14ac:dyDescent="0.25">
      <c r="A6015" s="45" t="s">
        <v>6042</v>
      </c>
      <c r="B6015" s="46" t="s">
        <v>17110</v>
      </c>
      <c r="C6015">
        <v>15</v>
      </c>
      <c r="D6015">
        <v>82</v>
      </c>
    </row>
    <row r="6016" spans="1:4" x14ac:dyDescent="0.25">
      <c r="A6016" s="45" t="s">
        <v>6043</v>
      </c>
      <c r="B6016" s="46" t="s">
        <v>17111</v>
      </c>
      <c r="C6016">
        <v>15</v>
      </c>
      <c r="D6016">
        <v>82</v>
      </c>
    </row>
    <row r="6017" spans="1:4" x14ac:dyDescent="0.25">
      <c r="A6017" s="45" t="s">
        <v>6044</v>
      </c>
      <c r="B6017" s="46" t="s">
        <v>17112</v>
      </c>
      <c r="C6017">
        <v>15</v>
      </c>
      <c r="D6017">
        <v>82</v>
      </c>
    </row>
    <row r="6018" spans="1:4" x14ac:dyDescent="0.25">
      <c r="A6018" s="45" t="s">
        <v>6045</v>
      </c>
      <c r="B6018" s="46" t="s">
        <v>17113</v>
      </c>
      <c r="C6018">
        <v>15</v>
      </c>
      <c r="D6018">
        <v>82</v>
      </c>
    </row>
    <row r="6019" spans="1:4" x14ac:dyDescent="0.25">
      <c r="A6019" s="45" t="s">
        <v>6046</v>
      </c>
      <c r="B6019" s="46" t="s">
        <v>17114</v>
      </c>
      <c r="C6019">
        <v>15</v>
      </c>
      <c r="D6019">
        <v>82</v>
      </c>
    </row>
    <row r="6020" spans="1:4" x14ac:dyDescent="0.25">
      <c r="A6020" s="45" t="s">
        <v>6047</v>
      </c>
      <c r="B6020" s="46" t="s">
        <v>17115</v>
      </c>
      <c r="C6020">
        <v>15</v>
      </c>
      <c r="D6020">
        <v>82</v>
      </c>
    </row>
    <row r="6021" spans="1:4" x14ac:dyDescent="0.25">
      <c r="A6021" s="45" t="s">
        <v>6048</v>
      </c>
      <c r="B6021" s="46" t="s">
        <v>20684</v>
      </c>
      <c r="C6021">
        <v>15</v>
      </c>
      <c r="D6021">
        <v>82</v>
      </c>
    </row>
    <row r="6022" spans="1:4" x14ac:dyDescent="0.25">
      <c r="A6022" s="45" t="s">
        <v>6049</v>
      </c>
      <c r="B6022" s="46" t="s">
        <v>20685</v>
      </c>
      <c r="C6022">
        <v>15</v>
      </c>
      <c r="D6022">
        <v>82</v>
      </c>
    </row>
    <row r="6023" spans="1:4" x14ac:dyDescent="0.25">
      <c r="A6023" s="45" t="s">
        <v>6050</v>
      </c>
      <c r="B6023" s="46" t="s">
        <v>17116</v>
      </c>
      <c r="C6023">
        <v>15</v>
      </c>
      <c r="D6023">
        <v>82</v>
      </c>
    </row>
    <row r="6024" spans="1:4" x14ac:dyDescent="0.25">
      <c r="A6024" s="45" t="s">
        <v>6051</v>
      </c>
      <c r="B6024" s="46" t="s">
        <v>17117</v>
      </c>
      <c r="C6024">
        <v>15</v>
      </c>
      <c r="D6024">
        <v>82</v>
      </c>
    </row>
    <row r="6025" spans="1:4" x14ac:dyDescent="0.25">
      <c r="A6025" s="45" t="s">
        <v>6052</v>
      </c>
      <c r="B6025" s="46" t="s">
        <v>17118</v>
      </c>
      <c r="C6025">
        <v>15</v>
      </c>
      <c r="D6025">
        <v>82</v>
      </c>
    </row>
    <row r="6026" spans="1:4" x14ac:dyDescent="0.25">
      <c r="A6026" s="45" t="s">
        <v>6053</v>
      </c>
      <c r="B6026" s="46" t="s">
        <v>17119</v>
      </c>
      <c r="C6026">
        <v>15</v>
      </c>
      <c r="D6026">
        <v>82</v>
      </c>
    </row>
    <row r="6027" spans="1:4" x14ac:dyDescent="0.25">
      <c r="A6027" s="45" t="s">
        <v>6054</v>
      </c>
      <c r="B6027" s="46" t="s">
        <v>17120</v>
      </c>
      <c r="C6027">
        <v>15</v>
      </c>
      <c r="D6027">
        <v>82</v>
      </c>
    </row>
    <row r="6028" spans="1:4" x14ac:dyDescent="0.25">
      <c r="A6028" s="45" t="s">
        <v>6055</v>
      </c>
      <c r="B6028" s="46" t="s">
        <v>17121</v>
      </c>
      <c r="C6028">
        <v>15</v>
      </c>
      <c r="D6028">
        <v>82</v>
      </c>
    </row>
    <row r="6029" spans="1:4" x14ac:dyDescent="0.25">
      <c r="A6029" s="45" t="s">
        <v>6056</v>
      </c>
      <c r="B6029" s="46" t="s">
        <v>17122</v>
      </c>
      <c r="C6029">
        <v>15</v>
      </c>
      <c r="D6029">
        <v>82</v>
      </c>
    </row>
    <row r="6030" spans="1:4" x14ac:dyDescent="0.25">
      <c r="A6030" s="45" t="s">
        <v>6057</v>
      </c>
      <c r="B6030" s="46" t="s">
        <v>17123</v>
      </c>
      <c r="C6030">
        <v>15</v>
      </c>
      <c r="D6030">
        <v>82</v>
      </c>
    </row>
    <row r="6031" spans="1:4" x14ac:dyDescent="0.25">
      <c r="A6031" s="45" t="s">
        <v>6058</v>
      </c>
      <c r="B6031" s="46" t="s">
        <v>17124</v>
      </c>
      <c r="C6031">
        <v>15</v>
      </c>
      <c r="D6031">
        <v>82</v>
      </c>
    </row>
    <row r="6032" spans="1:4" x14ac:dyDescent="0.25">
      <c r="A6032" s="45" t="s">
        <v>6059</v>
      </c>
      <c r="B6032" s="46" t="s">
        <v>17125</v>
      </c>
      <c r="C6032">
        <v>15</v>
      </c>
      <c r="D6032">
        <v>82</v>
      </c>
    </row>
    <row r="6033" spans="1:4" x14ac:dyDescent="0.25">
      <c r="A6033" s="45" t="s">
        <v>6060</v>
      </c>
      <c r="B6033" s="46" t="s">
        <v>17126</v>
      </c>
      <c r="C6033">
        <v>15</v>
      </c>
      <c r="D6033">
        <v>82</v>
      </c>
    </row>
    <row r="6034" spans="1:4" x14ac:dyDescent="0.25">
      <c r="A6034" s="45" t="s">
        <v>6061</v>
      </c>
      <c r="B6034" s="46" t="s">
        <v>17127</v>
      </c>
      <c r="C6034">
        <v>15</v>
      </c>
      <c r="D6034">
        <v>82</v>
      </c>
    </row>
    <row r="6035" spans="1:4" x14ac:dyDescent="0.25">
      <c r="A6035" s="45" t="s">
        <v>6062</v>
      </c>
      <c r="B6035" s="46" t="s">
        <v>17128</v>
      </c>
      <c r="C6035">
        <v>15</v>
      </c>
      <c r="D6035">
        <v>82</v>
      </c>
    </row>
    <row r="6036" spans="1:4" x14ac:dyDescent="0.25">
      <c r="A6036" s="45" t="s">
        <v>6063</v>
      </c>
      <c r="B6036" s="46" t="s">
        <v>17129</v>
      </c>
      <c r="C6036">
        <v>15</v>
      </c>
      <c r="D6036">
        <v>82</v>
      </c>
    </row>
    <row r="6037" spans="1:4" x14ac:dyDescent="0.25">
      <c r="A6037" s="45" t="s">
        <v>6064</v>
      </c>
      <c r="B6037" s="46" t="s">
        <v>17130</v>
      </c>
      <c r="C6037">
        <v>15</v>
      </c>
      <c r="D6037">
        <v>82</v>
      </c>
    </row>
    <row r="6038" spans="1:4" x14ac:dyDescent="0.25">
      <c r="A6038" s="45" t="s">
        <v>6065</v>
      </c>
      <c r="B6038" s="46" t="s">
        <v>17131</v>
      </c>
      <c r="C6038">
        <v>15</v>
      </c>
      <c r="D6038">
        <v>82</v>
      </c>
    </row>
    <row r="6039" spans="1:4" x14ac:dyDescent="0.25">
      <c r="A6039" s="45" t="s">
        <v>6066</v>
      </c>
      <c r="B6039" s="46" t="s">
        <v>17132</v>
      </c>
      <c r="C6039">
        <v>15</v>
      </c>
      <c r="D6039">
        <v>82</v>
      </c>
    </row>
    <row r="6040" spans="1:4" x14ac:dyDescent="0.25">
      <c r="A6040" s="45" t="s">
        <v>6067</v>
      </c>
      <c r="B6040" s="46" t="s">
        <v>17133</v>
      </c>
      <c r="C6040">
        <v>15</v>
      </c>
      <c r="D6040">
        <v>82</v>
      </c>
    </row>
    <row r="6041" spans="1:4" x14ac:dyDescent="0.25">
      <c r="A6041" s="45" t="s">
        <v>6068</v>
      </c>
      <c r="B6041" s="46" t="s">
        <v>20686</v>
      </c>
      <c r="C6041">
        <v>15</v>
      </c>
      <c r="D6041">
        <v>82</v>
      </c>
    </row>
    <row r="6042" spans="1:4" x14ac:dyDescent="0.25">
      <c r="A6042" s="45" t="s">
        <v>6069</v>
      </c>
      <c r="B6042" s="46" t="s">
        <v>17134</v>
      </c>
      <c r="C6042">
        <v>15</v>
      </c>
      <c r="D6042">
        <v>82</v>
      </c>
    </row>
    <row r="6043" spans="1:4" x14ac:dyDescent="0.25">
      <c r="A6043" s="45" t="s">
        <v>6070</v>
      </c>
      <c r="B6043" s="46" t="s">
        <v>17135</v>
      </c>
      <c r="C6043">
        <v>15</v>
      </c>
      <c r="D6043">
        <v>82</v>
      </c>
    </row>
    <row r="6044" spans="1:4" x14ac:dyDescent="0.25">
      <c r="A6044" s="45" t="s">
        <v>6071</v>
      </c>
      <c r="B6044" s="46" t="s">
        <v>17136</v>
      </c>
      <c r="C6044">
        <v>15</v>
      </c>
      <c r="D6044">
        <v>82</v>
      </c>
    </row>
    <row r="6045" spans="1:4" x14ac:dyDescent="0.25">
      <c r="A6045" s="45" t="s">
        <v>6072</v>
      </c>
      <c r="B6045" s="46" t="s">
        <v>17137</v>
      </c>
      <c r="C6045">
        <v>15</v>
      </c>
      <c r="D6045">
        <v>82</v>
      </c>
    </row>
    <row r="6046" spans="1:4" x14ac:dyDescent="0.25">
      <c r="A6046" s="45" t="s">
        <v>6073</v>
      </c>
      <c r="B6046" s="46" t="s">
        <v>17138</v>
      </c>
      <c r="C6046">
        <v>15</v>
      </c>
      <c r="D6046">
        <v>82</v>
      </c>
    </row>
    <row r="6047" spans="1:4" x14ac:dyDescent="0.25">
      <c r="A6047" s="45" t="s">
        <v>6074</v>
      </c>
      <c r="B6047" s="46" t="s">
        <v>17139</v>
      </c>
      <c r="C6047">
        <v>15</v>
      </c>
      <c r="D6047">
        <v>82</v>
      </c>
    </row>
    <row r="6048" spans="1:4" x14ac:dyDescent="0.25">
      <c r="A6048" s="45" t="s">
        <v>6075</v>
      </c>
      <c r="B6048" s="46" t="s">
        <v>17140</v>
      </c>
      <c r="C6048">
        <v>15</v>
      </c>
      <c r="D6048">
        <v>82</v>
      </c>
    </row>
    <row r="6049" spans="1:4" x14ac:dyDescent="0.25">
      <c r="A6049" s="45" t="s">
        <v>6076</v>
      </c>
      <c r="B6049" s="46" t="s">
        <v>17141</v>
      </c>
      <c r="C6049">
        <v>15</v>
      </c>
      <c r="D6049">
        <v>82</v>
      </c>
    </row>
    <row r="6050" spans="1:4" x14ac:dyDescent="0.25">
      <c r="A6050" s="45" t="s">
        <v>6077</v>
      </c>
      <c r="B6050" s="46" t="s">
        <v>20687</v>
      </c>
      <c r="C6050">
        <v>15</v>
      </c>
      <c r="D6050">
        <v>82</v>
      </c>
    </row>
    <row r="6051" spans="1:4" x14ac:dyDescent="0.25">
      <c r="A6051" s="45" t="s">
        <v>6078</v>
      </c>
      <c r="B6051" s="46" t="s">
        <v>17142</v>
      </c>
      <c r="C6051">
        <v>15</v>
      </c>
      <c r="D6051">
        <v>82</v>
      </c>
    </row>
    <row r="6052" spans="1:4" x14ac:dyDescent="0.25">
      <c r="A6052" s="45" t="s">
        <v>6079</v>
      </c>
      <c r="B6052" s="46" t="s">
        <v>17143</v>
      </c>
      <c r="C6052">
        <v>15</v>
      </c>
      <c r="D6052">
        <v>82</v>
      </c>
    </row>
    <row r="6053" spans="1:4" x14ac:dyDescent="0.25">
      <c r="A6053" s="45" t="s">
        <v>6080</v>
      </c>
      <c r="B6053" s="46" t="s">
        <v>17144</v>
      </c>
      <c r="C6053">
        <v>15</v>
      </c>
      <c r="D6053">
        <v>82</v>
      </c>
    </row>
    <row r="6054" spans="1:4" x14ac:dyDescent="0.25">
      <c r="A6054" s="45" t="s">
        <v>6081</v>
      </c>
      <c r="B6054" s="46" t="s">
        <v>17145</v>
      </c>
      <c r="C6054">
        <v>15</v>
      </c>
      <c r="D6054">
        <v>82</v>
      </c>
    </row>
    <row r="6055" spans="1:4" x14ac:dyDescent="0.25">
      <c r="A6055" s="45" t="s">
        <v>6082</v>
      </c>
      <c r="B6055" s="46" t="s">
        <v>17146</v>
      </c>
      <c r="C6055">
        <v>15</v>
      </c>
      <c r="D6055">
        <v>82</v>
      </c>
    </row>
    <row r="6056" spans="1:4" x14ac:dyDescent="0.25">
      <c r="A6056" s="45" t="s">
        <v>6083</v>
      </c>
      <c r="B6056" s="46" t="s">
        <v>17147</v>
      </c>
      <c r="C6056">
        <v>15</v>
      </c>
      <c r="D6056">
        <v>82</v>
      </c>
    </row>
    <row r="6057" spans="1:4" x14ac:dyDescent="0.25">
      <c r="A6057" s="45" t="s">
        <v>6084</v>
      </c>
      <c r="B6057" s="46" t="s">
        <v>20688</v>
      </c>
      <c r="C6057">
        <v>15</v>
      </c>
      <c r="D6057">
        <v>82</v>
      </c>
    </row>
    <row r="6058" spans="1:4" x14ac:dyDescent="0.25">
      <c r="A6058" s="45" t="s">
        <v>6085</v>
      </c>
      <c r="B6058" s="46" t="s">
        <v>20689</v>
      </c>
      <c r="C6058">
        <v>15</v>
      </c>
      <c r="D6058">
        <v>82</v>
      </c>
    </row>
    <row r="6059" spans="1:4" x14ac:dyDescent="0.25">
      <c r="A6059" s="45" t="s">
        <v>6086</v>
      </c>
      <c r="B6059" s="46" t="s">
        <v>17148</v>
      </c>
      <c r="C6059">
        <v>8</v>
      </c>
      <c r="D6059">
        <v>54</v>
      </c>
    </row>
    <row r="6060" spans="1:4" x14ac:dyDescent="0.25">
      <c r="A6060" s="45" t="s">
        <v>6087</v>
      </c>
      <c r="B6060" s="46" t="s">
        <v>17149</v>
      </c>
      <c r="C6060">
        <v>15</v>
      </c>
      <c r="D6060">
        <v>82</v>
      </c>
    </row>
    <row r="6061" spans="1:4" x14ac:dyDescent="0.25">
      <c r="A6061" s="45" t="s">
        <v>6088</v>
      </c>
      <c r="B6061" s="46" t="s">
        <v>17150</v>
      </c>
      <c r="C6061">
        <v>15</v>
      </c>
      <c r="D6061">
        <v>82</v>
      </c>
    </row>
    <row r="6062" spans="1:4" x14ac:dyDescent="0.25">
      <c r="A6062" s="45" t="s">
        <v>6089</v>
      </c>
      <c r="B6062" s="46" t="s">
        <v>17151</v>
      </c>
      <c r="C6062">
        <v>15</v>
      </c>
      <c r="D6062">
        <v>82</v>
      </c>
    </row>
    <row r="6063" spans="1:4" x14ac:dyDescent="0.25">
      <c r="A6063" s="45" t="s">
        <v>6090</v>
      </c>
      <c r="B6063" s="46" t="s">
        <v>17152</v>
      </c>
      <c r="C6063">
        <v>15</v>
      </c>
      <c r="D6063">
        <v>82</v>
      </c>
    </row>
    <row r="6064" spans="1:4" x14ac:dyDescent="0.25">
      <c r="A6064" s="45" t="s">
        <v>6091</v>
      </c>
      <c r="B6064" s="46" t="s">
        <v>17153</v>
      </c>
      <c r="C6064">
        <v>14</v>
      </c>
      <c r="D6064">
        <v>81</v>
      </c>
    </row>
    <row r="6065" spans="1:4" x14ac:dyDescent="0.25">
      <c r="A6065" s="45" t="s">
        <v>6092</v>
      </c>
      <c r="B6065" s="46" t="s">
        <v>17154</v>
      </c>
      <c r="C6065">
        <v>15</v>
      </c>
      <c r="D6065">
        <v>82</v>
      </c>
    </row>
    <row r="6066" spans="1:4" x14ac:dyDescent="0.25">
      <c r="A6066" s="45" t="s">
        <v>6093</v>
      </c>
      <c r="B6066" s="46" t="s">
        <v>17155</v>
      </c>
      <c r="C6066">
        <v>15</v>
      </c>
      <c r="D6066">
        <v>82</v>
      </c>
    </row>
    <row r="6067" spans="1:4" x14ac:dyDescent="0.25">
      <c r="A6067" s="45" t="s">
        <v>6094</v>
      </c>
      <c r="B6067" s="46" t="s">
        <v>17156</v>
      </c>
      <c r="C6067">
        <v>15</v>
      </c>
      <c r="D6067">
        <v>82</v>
      </c>
    </row>
    <row r="6068" spans="1:4" x14ac:dyDescent="0.25">
      <c r="A6068" s="45" t="s">
        <v>6095</v>
      </c>
      <c r="B6068" s="46" t="s">
        <v>17157</v>
      </c>
      <c r="C6068">
        <v>15</v>
      </c>
      <c r="D6068">
        <v>82</v>
      </c>
    </row>
    <row r="6069" spans="1:4" x14ac:dyDescent="0.25">
      <c r="A6069" s="45" t="s">
        <v>6096</v>
      </c>
      <c r="B6069" s="46" t="s">
        <v>17158</v>
      </c>
      <c r="C6069">
        <v>15</v>
      </c>
      <c r="D6069">
        <v>82</v>
      </c>
    </row>
    <row r="6070" spans="1:4" x14ac:dyDescent="0.25">
      <c r="A6070" s="45" t="s">
        <v>6097</v>
      </c>
      <c r="B6070" s="46" t="s">
        <v>17159</v>
      </c>
      <c r="C6070">
        <v>15</v>
      </c>
      <c r="D6070">
        <v>82</v>
      </c>
    </row>
    <row r="6071" spans="1:4" x14ac:dyDescent="0.25">
      <c r="A6071" s="45" t="s">
        <v>6098</v>
      </c>
      <c r="B6071" s="46" t="s">
        <v>17160</v>
      </c>
      <c r="C6071">
        <v>15</v>
      </c>
      <c r="D6071">
        <v>82</v>
      </c>
    </row>
    <row r="6072" spans="1:4" x14ac:dyDescent="0.25">
      <c r="A6072" s="45" t="s">
        <v>6099</v>
      </c>
      <c r="B6072" s="46" t="s">
        <v>17161</v>
      </c>
      <c r="C6072">
        <v>15</v>
      </c>
      <c r="D6072">
        <v>82</v>
      </c>
    </row>
    <row r="6073" spans="1:4" x14ac:dyDescent="0.25">
      <c r="A6073" s="45" t="s">
        <v>6100</v>
      </c>
      <c r="B6073" s="46" t="s">
        <v>20690</v>
      </c>
      <c r="C6073">
        <v>15</v>
      </c>
      <c r="D6073">
        <v>82</v>
      </c>
    </row>
    <row r="6074" spans="1:4" x14ac:dyDescent="0.25">
      <c r="A6074" s="45" t="s">
        <v>6101</v>
      </c>
      <c r="B6074" s="46" t="s">
        <v>17162</v>
      </c>
      <c r="C6074">
        <v>15</v>
      </c>
      <c r="D6074">
        <v>82</v>
      </c>
    </row>
    <row r="6075" spans="1:4" x14ac:dyDescent="0.25">
      <c r="A6075" s="45" t="s">
        <v>6102</v>
      </c>
      <c r="B6075" s="46" t="s">
        <v>17163</v>
      </c>
      <c r="C6075">
        <v>15</v>
      </c>
      <c r="D6075">
        <v>82</v>
      </c>
    </row>
    <row r="6076" spans="1:4" x14ac:dyDescent="0.25">
      <c r="A6076" s="45" t="s">
        <v>6103</v>
      </c>
      <c r="B6076" s="46" t="s">
        <v>17164</v>
      </c>
      <c r="C6076">
        <v>15</v>
      </c>
      <c r="D6076">
        <v>82</v>
      </c>
    </row>
    <row r="6077" spans="1:4" x14ac:dyDescent="0.25">
      <c r="A6077" s="45" t="s">
        <v>6104</v>
      </c>
      <c r="B6077" s="46" t="s">
        <v>17165</v>
      </c>
      <c r="C6077">
        <v>15</v>
      </c>
      <c r="D6077">
        <v>82</v>
      </c>
    </row>
    <row r="6078" spans="1:4" x14ac:dyDescent="0.25">
      <c r="A6078" s="45" t="s">
        <v>6105</v>
      </c>
      <c r="B6078" s="46" t="s">
        <v>17166</v>
      </c>
      <c r="C6078">
        <v>15</v>
      </c>
      <c r="D6078">
        <v>82</v>
      </c>
    </row>
    <row r="6079" spans="1:4" x14ac:dyDescent="0.25">
      <c r="A6079" s="45" t="s">
        <v>6106</v>
      </c>
      <c r="B6079" s="46" t="s">
        <v>20691</v>
      </c>
      <c r="C6079">
        <v>15</v>
      </c>
      <c r="D6079">
        <v>82</v>
      </c>
    </row>
    <row r="6080" spans="1:4" x14ac:dyDescent="0.25">
      <c r="A6080" s="45" t="s">
        <v>6107</v>
      </c>
      <c r="B6080" s="46" t="s">
        <v>17167</v>
      </c>
      <c r="C6080">
        <v>15</v>
      </c>
      <c r="D6080">
        <v>82</v>
      </c>
    </row>
    <row r="6081" spans="1:4" x14ac:dyDescent="0.25">
      <c r="A6081" s="45" t="s">
        <v>6108</v>
      </c>
      <c r="B6081" s="46" t="s">
        <v>20692</v>
      </c>
      <c r="C6081">
        <v>15</v>
      </c>
      <c r="D6081">
        <v>82</v>
      </c>
    </row>
    <row r="6082" spans="1:4" x14ac:dyDescent="0.25">
      <c r="A6082" s="45" t="s">
        <v>6109</v>
      </c>
      <c r="B6082" s="46" t="s">
        <v>17168</v>
      </c>
      <c r="C6082">
        <v>15</v>
      </c>
      <c r="D6082">
        <v>82</v>
      </c>
    </row>
    <row r="6083" spans="1:4" x14ac:dyDescent="0.25">
      <c r="A6083" s="45" t="s">
        <v>6110</v>
      </c>
      <c r="B6083" s="46" t="s">
        <v>20693</v>
      </c>
      <c r="C6083">
        <v>15</v>
      </c>
      <c r="D6083">
        <v>82</v>
      </c>
    </row>
    <row r="6084" spans="1:4" x14ac:dyDescent="0.25">
      <c r="A6084" s="45" t="s">
        <v>6111</v>
      </c>
      <c r="B6084" s="46" t="s">
        <v>17169</v>
      </c>
      <c r="C6084">
        <v>15</v>
      </c>
      <c r="D6084">
        <v>82</v>
      </c>
    </row>
    <row r="6085" spans="1:4" x14ac:dyDescent="0.25">
      <c r="A6085" s="45" t="s">
        <v>6112</v>
      </c>
      <c r="B6085" s="46" t="s">
        <v>17170</v>
      </c>
      <c r="C6085">
        <v>15</v>
      </c>
      <c r="D6085">
        <v>82</v>
      </c>
    </row>
    <row r="6086" spans="1:4" x14ac:dyDescent="0.25">
      <c r="A6086" s="45" t="s">
        <v>6113</v>
      </c>
      <c r="B6086" s="46" t="s">
        <v>17171</v>
      </c>
      <c r="C6086">
        <v>15</v>
      </c>
      <c r="D6086">
        <v>82</v>
      </c>
    </row>
    <row r="6087" spans="1:4" x14ac:dyDescent="0.25">
      <c r="A6087" s="45" t="s">
        <v>6114</v>
      </c>
      <c r="B6087" s="46" t="s">
        <v>17172</v>
      </c>
      <c r="C6087">
        <v>15</v>
      </c>
      <c r="D6087">
        <v>82</v>
      </c>
    </row>
    <row r="6088" spans="1:4" x14ac:dyDescent="0.25">
      <c r="A6088" s="45" t="s">
        <v>6115</v>
      </c>
      <c r="B6088" s="46" t="s">
        <v>17173</v>
      </c>
      <c r="C6088">
        <v>15</v>
      </c>
      <c r="D6088">
        <v>82</v>
      </c>
    </row>
    <row r="6089" spans="1:4" x14ac:dyDescent="0.25">
      <c r="A6089" s="45" t="s">
        <v>6116</v>
      </c>
      <c r="B6089" s="46" t="s">
        <v>17174</v>
      </c>
      <c r="C6089">
        <v>15</v>
      </c>
      <c r="D6089">
        <v>82</v>
      </c>
    </row>
    <row r="6090" spans="1:4" x14ac:dyDescent="0.25">
      <c r="A6090" s="45" t="s">
        <v>6117</v>
      </c>
      <c r="B6090" s="46" t="s">
        <v>17175</v>
      </c>
      <c r="C6090">
        <v>15</v>
      </c>
      <c r="D6090">
        <v>82</v>
      </c>
    </row>
    <row r="6091" spans="1:4" x14ac:dyDescent="0.25">
      <c r="A6091" s="45" t="s">
        <v>6118</v>
      </c>
      <c r="B6091" s="46" t="s">
        <v>17176</v>
      </c>
      <c r="C6091">
        <v>15</v>
      </c>
      <c r="D6091">
        <v>82</v>
      </c>
    </row>
    <row r="6092" spans="1:4" x14ac:dyDescent="0.25">
      <c r="A6092" s="45" t="s">
        <v>6119</v>
      </c>
      <c r="B6092" s="46" t="s">
        <v>17177</v>
      </c>
      <c r="C6092">
        <v>15</v>
      </c>
      <c r="D6092">
        <v>82</v>
      </c>
    </row>
    <row r="6093" spans="1:4" x14ac:dyDescent="0.25">
      <c r="A6093" s="45" t="s">
        <v>6120</v>
      </c>
      <c r="B6093" s="46" t="s">
        <v>17178</v>
      </c>
      <c r="C6093">
        <v>15</v>
      </c>
      <c r="D6093">
        <v>82</v>
      </c>
    </row>
    <row r="6094" spans="1:4" x14ac:dyDescent="0.25">
      <c r="A6094" s="45" t="s">
        <v>6121</v>
      </c>
      <c r="B6094" s="46" t="s">
        <v>17179</v>
      </c>
      <c r="C6094">
        <v>15</v>
      </c>
      <c r="D6094">
        <v>82</v>
      </c>
    </row>
    <row r="6095" spans="1:4" x14ac:dyDescent="0.25">
      <c r="A6095" s="45" t="s">
        <v>6122</v>
      </c>
      <c r="B6095" s="46" t="s">
        <v>20694</v>
      </c>
      <c r="C6095">
        <v>15</v>
      </c>
      <c r="D6095">
        <v>82</v>
      </c>
    </row>
    <row r="6096" spans="1:4" x14ac:dyDescent="0.25">
      <c r="A6096" s="45" t="s">
        <v>6123</v>
      </c>
      <c r="B6096" s="46" t="s">
        <v>17180</v>
      </c>
      <c r="C6096">
        <v>15</v>
      </c>
      <c r="D6096">
        <v>82</v>
      </c>
    </row>
    <row r="6097" spans="1:4" x14ac:dyDescent="0.25">
      <c r="A6097" s="45" t="s">
        <v>6124</v>
      </c>
      <c r="B6097" s="46" t="s">
        <v>17181</v>
      </c>
      <c r="C6097">
        <v>15</v>
      </c>
      <c r="D6097">
        <v>82</v>
      </c>
    </row>
    <row r="6098" spans="1:4" x14ac:dyDescent="0.25">
      <c r="A6098" s="45" t="s">
        <v>6125</v>
      </c>
      <c r="B6098" s="46" t="s">
        <v>17182</v>
      </c>
      <c r="C6098">
        <v>15</v>
      </c>
      <c r="D6098">
        <v>82</v>
      </c>
    </row>
    <row r="6099" spans="1:4" x14ac:dyDescent="0.25">
      <c r="A6099" s="45" t="s">
        <v>6126</v>
      </c>
      <c r="B6099" s="46" t="s">
        <v>17183</v>
      </c>
      <c r="C6099">
        <v>15</v>
      </c>
      <c r="D6099">
        <v>82</v>
      </c>
    </row>
    <row r="6100" spans="1:4" x14ac:dyDescent="0.25">
      <c r="A6100" s="45" t="s">
        <v>6127</v>
      </c>
      <c r="B6100" s="46" t="s">
        <v>17184</v>
      </c>
      <c r="C6100">
        <v>15</v>
      </c>
      <c r="D6100">
        <v>82</v>
      </c>
    </row>
    <row r="6101" spans="1:4" x14ac:dyDescent="0.25">
      <c r="A6101" s="45" t="s">
        <v>6128</v>
      </c>
      <c r="B6101" s="46" t="s">
        <v>17185</v>
      </c>
      <c r="C6101">
        <v>15</v>
      </c>
      <c r="D6101">
        <v>82</v>
      </c>
    </row>
    <row r="6102" spans="1:4" x14ac:dyDescent="0.25">
      <c r="A6102" s="45" t="s">
        <v>6129</v>
      </c>
      <c r="B6102" s="46" t="s">
        <v>17186</v>
      </c>
      <c r="C6102">
        <v>15</v>
      </c>
      <c r="D6102">
        <v>82</v>
      </c>
    </row>
    <row r="6103" spans="1:4" x14ac:dyDescent="0.25">
      <c r="A6103" s="45" t="s">
        <v>6130</v>
      </c>
      <c r="B6103" s="46" t="s">
        <v>17187</v>
      </c>
      <c r="C6103">
        <v>15</v>
      </c>
      <c r="D6103">
        <v>82</v>
      </c>
    </row>
    <row r="6104" spans="1:4" x14ac:dyDescent="0.25">
      <c r="A6104" s="45" t="s">
        <v>6131</v>
      </c>
      <c r="B6104" s="46" t="s">
        <v>17188</v>
      </c>
      <c r="C6104">
        <v>15</v>
      </c>
      <c r="D6104">
        <v>82</v>
      </c>
    </row>
    <row r="6105" spans="1:4" x14ac:dyDescent="0.25">
      <c r="A6105" s="45" t="s">
        <v>6132</v>
      </c>
      <c r="B6105" s="46" t="s">
        <v>17189</v>
      </c>
      <c r="C6105">
        <v>15</v>
      </c>
      <c r="D6105">
        <v>82</v>
      </c>
    </row>
    <row r="6106" spans="1:4" x14ac:dyDescent="0.25">
      <c r="A6106" s="45" t="s">
        <v>6133</v>
      </c>
      <c r="B6106" s="46" t="s">
        <v>17190</v>
      </c>
      <c r="C6106">
        <v>15</v>
      </c>
      <c r="D6106">
        <v>82</v>
      </c>
    </row>
    <row r="6107" spans="1:4" x14ac:dyDescent="0.25">
      <c r="A6107" s="45" t="s">
        <v>6134</v>
      </c>
      <c r="B6107" s="46" t="s">
        <v>20695</v>
      </c>
      <c r="C6107">
        <v>15</v>
      </c>
      <c r="D6107">
        <v>82</v>
      </c>
    </row>
    <row r="6108" spans="1:4" x14ac:dyDescent="0.25">
      <c r="A6108" s="45" t="s">
        <v>6135</v>
      </c>
      <c r="B6108" s="46" t="s">
        <v>17191</v>
      </c>
      <c r="C6108">
        <v>15</v>
      </c>
      <c r="D6108">
        <v>82</v>
      </c>
    </row>
    <row r="6109" spans="1:4" x14ac:dyDescent="0.25">
      <c r="A6109" s="45" t="s">
        <v>6136</v>
      </c>
      <c r="B6109" s="46" t="s">
        <v>20696</v>
      </c>
      <c r="C6109">
        <v>15</v>
      </c>
      <c r="D6109">
        <v>82</v>
      </c>
    </row>
    <row r="6110" spans="1:4" x14ac:dyDescent="0.25">
      <c r="A6110" s="45" t="s">
        <v>6137</v>
      </c>
      <c r="B6110" s="46" t="s">
        <v>17192</v>
      </c>
      <c r="C6110">
        <v>15</v>
      </c>
      <c r="D6110">
        <v>82</v>
      </c>
    </row>
    <row r="6111" spans="1:4" x14ac:dyDescent="0.25">
      <c r="A6111" s="45" t="s">
        <v>6138</v>
      </c>
      <c r="B6111" s="46" t="s">
        <v>20697</v>
      </c>
      <c r="C6111">
        <v>15</v>
      </c>
      <c r="D6111">
        <v>82</v>
      </c>
    </row>
    <row r="6112" spans="1:4" x14ac:dyDescent="0.25">
      <c r="A6112" s="45" t="s">
        <v>6139</v>
      </c>
      <c r="B6112" s="46" t="s">
        <v>17193</v>
      </c>
      <c r="C6112">
        <v>15</v>
      </c>
      <c r="D6112">
        <v>82</v>
      </c>
    </row>
    <row r="6113" spans="1:4" x14ac:dyDescent="0.25">
      <c r="A6113" s="45" t="s">
        <v>6140</v>
      </c>
      <c r="B6113" s="46" t="s">
        <v>17194</v>
      </c>
      <c r="C6113">
        <v>15</v>
      </c>
      <c r="D6113">
        <v>82</v>
      </c>
    </row>
    <row r="6114" spans="1:4" x14ac:dyDescent="0.25">
      <c r="A6114" s="45" t="s">
        <v>6141</v>
      </c>
      <c r="B6114" s="46" t="s">
        <v>17195</v>
      </c>
      <c r="C6114">
        <v>15</v>
      </c>
      <c r="D6114">
        <v>82</v>
      </c>
    </row>
    <row r="6115" spans="1:4" x14ac:dyDescent="0.25">
      <c r="A6115" s="45" t="s">
        <v>6142</v>
      </c>
      <c r="B6115" s="46" t="s">
        <v>20698</v>
      </c>
      <c r="C6115">
        <v>15</v>
      </c>
      <c r="D6115">
        <v>82</v>
      </c>
    </row>
    <row r="6116" spans="1:4" x14ac:dyDescent="0.25">
      <c r="A6116" s="45" t="s">
        <v>6143</v>
      </c>
      <c r="B6116" s="46" t="s">
        <v>20699</v>
      </c>
      <c r="C6116">
        <v>15</v>
      </c>
      <c r="D6116">
        <v>82</v>
      </c>
    </row>
    <row r="6117" spans="1:4" x14ac:dyDescent="0.25">
      <c r="A6117" s="45" t="s">
        <v>6144</v>
      </c>
      <c r="B6117" s="46" t="s">
        <v>20700</v>
      </c>
      <c r="C6117">
        <v>15</v>
      </c>
      <c r="D6117">
        <v>82</v>
      </c>
    </row>
    <row r="6118" spans="1:4" x14ac:dyDescent="0.25">
      <c r="A6118" s="45" t="s">
        <v>6145</v>
      </c>
      <c r="B6118" s="46" t="s">
        <v>20701</v>
      </c>
      <c r="C6118">
        <v>15</v>
      </c>
      <c r="D6118">
        <v>82</v>
      </c>
    </row>
    <row r="6119" spans="1:4" x14ac:dyDescent="0.25">
      <c r="A6119" s="45" t="s">
        <v>6146</v>
      </c>
      <c r="B6119" s="46" t="s">
        <v>17196</v>
      </c>
      <c r="C6119">
        <v>15</v>
      </c>
      <c r="D6119">
        <v>82</v>
      </c>
    </row>
    <row r="6120" spans="1:4" x14ac:dyDescent="0.25">
      <c r="A6120" s="45" t="s">
        <v>6147</v>
      </c>
      <c r="B6120" s="46" t="s">
        <v>17197</v>
      </c>
      <c r="C6120">
        <v>15</v>
      </c>
      <c r="D6120">
        <v>82</v>
      </c>
    </row>
    <row r="6121" spans="1:4" x14ac:dyDescent="0.25">
      <c r="A6121" s="45" t="s">
        <v>6148</v>
      </c>
      <c r="B6121" s="46" t="s">
        <v>20702</v>
      </c>
      <c r="C6121">
        <v>15</v>
      </c>
      <c r="D6121">
        <v>82</v>
      </c>
    </row>
    <row r="6122" spans="1:4" x14ac:dyDescent="0.25">
      <c r="A6122" s="45" t="s">
        <v>6149</v>
      </c>
      <c r="B6122" s="46" t="s">
        <v>20703</v>
      </c>
      <c r="C6122">
        <v>15</v>
      </c>
      <c r="D6122">
        <v>82</v>
      </c>
    </row>
    <row r="6123" spans="1:4" x14ac:dyDescent="0.25">
      <c r="A6123" s="45" t="s">
        <v>6150</v>
      </c>
      <c r="B6123" s="46" t="s">
        <v>20704</v>
      </c>
      <c r="C6123">
        <v>15</v>
      </c>
      <c r="D6123">
        <v>82</v>
      </c>
    </row>
    <row r="6124" spans="1:4" x14ac:dyDescent="0.25">
      <c r="A6124" s="45" t="s">
        <v>6151</v>
      </c>
      <c r="B6124" s="46" t="s">
        <v>17198</v>
      </c>
      <c r="C6124">
        <v>15</v>
      </c>
      <c r="D6124">
        <v>82</v>
      </c>
    </row>
    <row r="6125" spans="1:4" x14ac:dyDescent="0.25">
      <c r="A6125" s="45" t="s">
        <v>6152</v>
      </c>
      <c r="B6125" s="46" t="s">
        <v>17199</v>
      </c>
      <c r="C6125">
        <v>10</v>
      </c>
      <c r="D6125">
        <v>67</v>
      </c>
    </row>
    <row r="6126" spans="1:4" x14ac:dyDescent="0.25">
      <c r="A6126" s="45" t="s">
        <v>6153</v>
      </c>
      <c r="B6126" s="46" t="s">
        <v>17200</v>
      </c>
      <c r="C6126">
        <v>15</v>
      </c>
      <c r="D6126">
        <v>82</v>
      </c>
    </row>
    <row r="6127" spans="1:4" x14ac:dyDescent="0.25">
      <c r="A6127" s="45" t="s">
        <v>6154</v>
      </c>
      <c r="B6127" s="46" t="s">
        <v>17201</v>
      </c>
      <c r="C6127">
        <v>15</v>
      </c>
      <c r="D6127">
        <v>82</v>
      </c>
    </row>
    <row r="6128" spans="1:4" x14ac:dyDescent="0.25">
      <c r="A6128" s="45" t="s">
        <v>6155</v>
      </c>
      <c r="B6128" s="46" t="s">
        <v>17202</v>
      </c>
      <c r="C6128">
        <v>15</v>
      </c>
      <c r="D6128">
        <v>82</v>
      </c>
    </row>
    <row r="6129" spans="1:4" x14ac:dyDescent="0.25">
      <c r="A6129" s="45" t="s">
        <v>6156</v>
      </c>
      <c r="B6129" s="46" t="s">
        <v>17203</v>
      </c>
      <c r="C6129">
        <v>15</v>
      </c>
      <c r="D6129">
        <v>82</v>
      </c>
    </row>
    <row r="6130" spans="1:4" x14ac:dyDescent="0.25">
      <c r="A6130" s="45" t="s">
        <v>6157</v>
      </c>
      <c r="B6130" s="46" t="s">
        <v>17204</v>
      </c>
      <c r="C6130">
        <v>15</v>
      </c>
      <c r="D6130">
        <v>82</v>
      </c>
    </row>
    <row r="6131" spans="1:4" x14ac:dyDescent="0.25">
      <c r="A6131" s="45" t="s">
        <v>6158</v>
      </c>
      <c r="B6131" s="46" t="s">
        <v>17205</v>
      </c>
      <c r="C6131">
        <v>15</v>
      </c>
      <c r="D6131">
        <v>82</v>
      </c>
    </row>
    <row r="6132" spans="1:4" x14ac:dyDescent="0.25">
      <c r="A6132" s="45" t="s">
        <v>6159</v>
      </c>
      <c r="B6132" s="46" t="s">
        <v>17206</v>
      </c>
      <c r="C6132">
        <v>15</v>
      </c>
      <c r="D6132">
        <v>82</v>
      </c>
    </row>
    <row r="6133" spans="1:4" x14ac:dyDescent="0.25">
      <c r="A6133" s="45" t="s">
        <v>6160</v>
      </c>
      <c r="B6133" s="46" t="s">
        <v>20705</v>
      </c>
      <c r="C6133">
        <v>15</v>
      </c>
      <c r="D6133">
        <v>82</v>
      </c>
    </row>
    <row r="6134" spans="1:4" x14ac:dyDescent="0.25">
      <c r="A6134" s="45" t="s">
        <v>6161</v>
      </c>
      <c r="B6134" s="46" t="s">
        <v>17207</v>
      </c>
      <c r="C6134">
        <v>15</v>
      </c>
      <c r="D6134">
        <v>82</v>
      </c>
    </row>
    <row r="6135" spans="1:4" x14ac:dyDescent="0.25">
      <c r="A6135" s="45" t="s">
        <v>6162</v>
      </c>
      <c r="B6135" s="46" t="s">
        <v>17208</v>
      </c>
      <c r="C6135">
        <v>15</v>
      </c>
      <c r="D6135">
        <v>82</v>
      </c>
    </row>
    <row r="6136" spans="1:4" x14ac:dyDescent="0.25">
      <c r="A6136" s="45" t="s">
        <v>6163</v>
      </c>
      <c r="B6136" s="46" t="s">
        <v>17209</v>
      </c>
      <c r="C6136">
        <v>15</v>
      </c>
      <c r="D6136">
        <v>82</v>
      </c>
    </row>
    <row r="6137" spans="1:4" x14ac:dyDescent="0.25">
      <c r="A6137" s="45" t="s">
        <v>6164</v>
      </c>
      <c r="B6137" s="46" t="s">
        <v>17210</v>
      </c>
      <c r="C6137">
        <v>15</v>
      </c>
      <c r="D6137">
        <v>82</v>
      </c>
    </row>
    <row r="6138" spans="1:4" x14ac:dyDescent="0.25">
      <c r="A6138" s="45" t="s">
        <v>6165</v>
      </c>
      <c r="B6138" s="46" t="s">
        <v>17211</v>
      </c>
      <c r="C6138">
        <v>15</v>
      </c>
      <c r="D6138">
        <v>82</v>
      </c>
    </row>
    <row r="6139" spans="1:4" x14ac:dyDescent="0.25">
      <c r="A6139" s="45" t="s">
        <v>6166</v>
      </c>
      <c r="B6139" s="46" t="s">
        <v>20706</v>
      </c>
      <c r="C6139">
        <v>15</v>
      </c>
      <c r="D6139">
        <v>82</v>
      </c>
    </row>
    <row r="6140" spans="1:4" x14ac:dyDescent="0.25">
      <c r="A6140" s="45" t="s">
        <v>6167</v>
      </c>
      <c r="B6140" s="46" t="s">
        <v>17212</v>
      </c>
      <c r="C6140">
        <v>15</v>
      </c>
      <c r="D6140">
        <v>82</v>
      </c>
    </row>
    <row r="6141" spans="1:4" x14ac:dyDescent="0.25">
      <c r="A6141" s="45" t="s">
        <v>6168</v>
      </c>
      <c r="B6141" s="46" t="s">
        <v>17213</v>
      </c>
      <c r="C6141">
        <v>15</v>
      </c>
      <c r="D6141">
        <v>82</v>
      </c>
    </row>
    <row r="6142" spans="1:4" x14ac:dyDescent="0.25">
      <c r="A6142" s="45" t="s">
        <v>6169</v>
      </c>
      <c r="B6142" s="46" t="s">
        <v>17214</v>
      </c>
      <c r="C6142">
        <v>15</v>
      </c>
      <c r="D6142">
        <v>82</v>
      </c>
    </row>
    <row r="6143" spans="1:4" x14ac:dyDescent="0.25">
      <c r="A6143" s="45" t="s">
        <v>6170</v>
      </c>
      <c r="B6143" s="46" t="s">
        <v>17215</v>
      </c>
      <c r="C6143">
        <v>15</v>
      </c>
      <c r="D6143">
        <v>82</v>
      </c>
    </row>
    <row r="6144" spans="1:4" x14ac:dyDescent="0.25">
      <c r="A6144" s="45" t="s">
        <v>6171</v>
      </c>
      <c r="B6144" s="46" t="s">
        <v>17216</v>
      </c>
      <c r="C6144">
        <v>15</v>
      </c>
      <c r="D6144">
        <v>82</v>
      </c>
    </row>
    <row r="6145" spans="1:4" x14ac:dyDescent="0.25">
      <c r="A6145" s="45" t="s">
        <v>6172</v>
      </c>
      <c r="B6145" s="46" t="s">
        <v>17217</v>
      </c>
      <c r="C6145">
        <v>15</v>
      </c>
      <c r="D6145">
        <v>82</v>
      </c>
    </row>
    <row r="6146" spans="1:4" x14ac:dyDescent="0.25">
      <c r="A6146" s="45" t="s">
        <v>6173</v>
      </c>
      <c r="B6146" s="46" t="s">
        <v>17218</v>
      </c>
      <c r="C6146">
        <v>15</v>
      </c>
      <c r="D6146">
        <v>82</v>
      </c>
    </row>
    <row r="6147" spans="1:4" x14ac:dyDescent="0.25">
      <c r="A6147" s="45" t="s">
        <v>6174</v>
      </c>
      <c r="B6147" s="46" t="s">
        <v>20707</v>
      </c>
      <c r="C6147">
        <v>15</v>
      </c>
      <c r="D6147">
        <v>82</v>
      </c>
    </row>
    <row r="6148" spans="1:4" x14ac:dyDescent="0.25">
      <c r="A6148" s="45" t="s">
        <v>6175</v>
      </c>
      <c r="B6148" s="46" t="s">
        <v>17219</v>
      </c>
      <c r="C6148">
        <v>15</v>
      </c>
      <c r="D6148">
        <v>82</v>
      </c>
    </row>
    <row r="6149" spans="1:4" x14ac:dyDescent="0.25">
      <c r="A6149" s="45" t="s">
        <v>6176</v>
      </c>
      <c r="B6149" s="46" t="s">
        <v>17220</v>
      </c>
      <c r="C6149">
        <v>15</v>
      </c>
      <c r="D6149">
        <v>82</v>
      </c>
    </row>
    <row r="6150" spans="1:4" x14ac:dyDescent="0.25">
      <c r="A6150" s="45" t="s">
        <v>6177</v>
      </c>
      <c r="B6150" s="46" t="s">
        <v>20708</v>
      </c>
      <c r="C6150">
        <v>15</v>
      </c>
      <c r="D6150">
        <v>82</v>
      </c>
    </row>
    <row r="6151" spans="1:4" x14ac:dyDescent="0.25">
      <c r="A6151" s="45" t="s">
        <v>6178</v>
      </c>
      <c r="B6151" s="46" t="s">
        <v>17221</v>
      </c>
      <c r="C6151">
        <v>15</v>
      </c>
      <c r="D6151">
        <v>82</v>
      </c>
    </row>
    <row r="6152" spans="1:4" x14ac:dyDescent="0.25">
      <c r="A6152" s="45" t="s">
        <v>6179</v>
      </c>
      <c r="B6152" s="46" t="s">
        <v>17222</v>
      </c>
      <c r="C6152">
        <v>15</v>
      </c>
      <c r="D6152">
        <v>82</v>
      </c>
    </row>
    <row r="6153" spans="1:4" x14ac:dyDescent="0.25">
      <c r="A6153" s="45" t="s">
        <v>6180</v>
      </c>
      <c r="B6153" s="46" t="s">
        <v>17223</v>
      </c>
      <c r="C6153">
        <v>15</v>
      </c>
      <c r="D6153">
        <v>82</v>
      </c>
    </row>
    <row r="6154" spans="1:4" x14ac:dyDescent="0.25">
      <c r="A6154" s="45" t="s">
        <v>6181</v>
      </c>
      <c r="B6154" s="46" t="s">
        <v>17224</v>
      </c>
      <c r="C6154">
        <v>15</v>
      </c>
      <c r="D6154">
        <v>82</v>
      </c>
    </row>
    <row r="6155" spans="1:4" x14ac:dyDescent="0.25">
      <c r="A6155" s="45" t="s">
        <v>6182</v>
      </c>
      <c r="B6155" s="46" t="s">
        <v>17225</v>
      </c>
      <c r="C6155">
        <v>15</v>
      </c>
      <c r="D6155">
        <v>82</v>
      </c>
    </row>
    <row r="6156" spans="1:4" x14ac:dyDescent="0.25">
      <c r="A6156" s="45" t="s">
        <v>6183</v>
      </c>
      <c r="B6156" s="46" t="s">
        <v>17226</v>
      </c>
      <c r="C6156">
        <v>15</v>
      </c>
      <c r="D6156">
        <v>82</v>
      </c>
    </row>
    <row r="6157" spans="1:4" x14ac:dyDescent="0.25">
      <c r="A6157" s="45" t="s">
        <v>6184</v>
      </c>
      <c r="B6157" s="46" t="s">
        <v>17227</v>
      </c>
      <c r="C6157">
        <v>15</v>
      </c>
      <c r="D6157">
        <v>82</v>
      </c>
    </row>
    <row r="6158" spans="1:4" x14ac:dyDescent="0.25">
      <c r="A6158" s="45" t="s">
        <v>6185</v>
      </c>
      <c r="B6158" s="46" t="s">
        <v>17228</v>
      </c>
      <c r="C6158">
        <v>15</v>
      </c>
      <c r="D6158">
        <v>82</v>
      </c>
    </row>
    <row r="6159" spans="1:4" x14ac:dyDescent="0.25">
      <c r="A6159" s="45" t="s">
        <v>6186</v>
      </c>
      <c r="B6159" s="46" t="s">
        <v>17229</v>
      </c>
      <c r="C6159">
        <v>15</v>
      </c>
      <c r="D6159">
        <v>82</v>
      </c>
    </row>
    <row r="6160" spans="1:4" x14ac:dyDescent="0.25">
      <c r="A6160" s="45" t="s">
        <v>6187</v>
      </c>
      <c r="B6160" s="46" t="s">
        <v>17230</v>
      </c>
      <c r="C6160">
        <v>15</v>
      </c>
      <c r="D6160">
        <v>82</v>
      </c>
    </row>
    <row r="6161" spans="1:4" x14ac:dyDescent="0.25">
      <c r="A6161" s="45" t="s">
        <v>6188</v>
      </c>
      <c r="B6161" s="46" t="s">
        <v>17231</v>
      </c>
      <c r="C6161">
        <v>15</v>
      </c>
      <c r="D6161">
        <v>82</v>
      </c>
    </row>
    <row r="6162" spans="1:4" x14ac:dyDescent="0.25">
      <c r="A6162" s="45" t="s">
        <v>6189</v>
      </c>
      <c r="B6162" s="46" t="s">
        <v>17232</v>
      </c>
      <c r="C6162">
        <v>15</v>
      </c>
      <c r="D6162">
        <v>82</v>
      </c>
    </row>
    <row r="6163" spans="1:4" x14ac:dyDescent="0.25">
      <c r="A6163" s="45" t="s">
        <v>6190</v>
      </c>
      <c r="B6163" s="46" t="s">
        <v>17233</v>
      </c>
      <c r="C6163">
        <v>15</v>
      </c>
      <c r="D6163">
        <v>82</v>
      </c>
    </row>
    <row r="6164" spans="1:4" x14ac:dyDescent="0.25">
      <c r="A6164" s="45" t="s">
        <v>6191</v>
      </c>
      <c r="B6164" s="46" t="s">
        <v>20709</v>
      </c>
      <c r="C6164">
        <v>15</v>
      </c>
      <c r="D6164">
        <v>82</v>
      </c>
    </row>
    <row r="6165" spans="1:4" x14ac:dyDescent="0.25">
      <c r="A6165" s="45" t="s">
        <v>6192</v>
      </c>
      <c r="B6165" s="46" t="s">
        <v>17234</v>
      </c>
      <c r="C6165">
        <v>15</v>
      </c>
      <c r="D6165">
        <v>82</v>
      </c>
    </row>
    <row r="6166" spans="1:4" x14ac:dyDescent="0.25">
      <c r="A6166" s="45" t="s">
        <v>6193</v>
      </c>
      <c r="B6166" s="46" t="s">
        <v>17235</v>
      </c>
      <c r="C6166">
        <v>15</v>
      </c>
      <c r="D6166">
        <v>82</v>
      </c>
    </row>
    <row r="6167" spans="1:4" x14ac:dyDescent="0.25">
      <c r="A6167" s="45" t="s">
        <v>6194</v>
      </c>
      <c r="B6167" s="46" t="s">
        <v>17236</v>
      </c>
      <c r="C6167">
        <v>15</v>
      </c>
      <c r="D6167">
        <v>82</v>
      </c>
    </row>
    <row r="6168" spans="1:4" x14ac:dyDescent="0.25">
      <c r="A6168" s="45" t="s">
        <v>6195</v>
      </c>
      <c r="B6168" s="46" t="s">
        <v>20710</v>
      </c>
      <c r="C6168">
        <v>15</v>
      </c>
      <c r="D6168">
        <v>82</v>
      </c>
    </row>
    <row r="6169" spans="1:4" x14ac:dyDescent="0.25">
      <c r="A6169" s="45" t="s">
        <v>6196</v>
      </c>
      <c r="B6169" s="46" t="s">
        <v>17237</v>
      </c>
      <c r="C6169">
        <v>15</v>
      </c>
      <c r="D6169">
        <v>82</v>
      </c>
    </row>
    <row r="6170" spans="1:4" x14ac:dyDescent="0.25">
      <c r="A6170" s="45" t="s">
        <v>6197</v>
      </c>
      <c r="B6170" s="46" t="s">
        <v>17238</v>
      </c>
      <c r="C6170">
        <v>15</v>
      </c>
      <c r="D6170">
        <v>82</v>
      </c>
    </row>
    <row r="6171" spans="1:4" x14ac:dyDescent="0.25">
      <c r="A6171" s="45" t="s">
        <v>6198</v>
      </c>
      <c r="B6171" s="46" t="s">
        <v>17239</v>
      </c>
      <c r="C6171">
        <v>15</v>
      </c>
      <c r="D6171">
        <v>82</v>
      </c>
    </row>
    <row r="6172" spans="1:4" x14ac:dyDescent="0.25">
      <c r="A6172" s="45" t="s">
        <v>6199</v>
      </c>
      <c r="B6172" s="46" t="s">
        <v>20711</v>
      </c>
      <c r="C6172">
        <v>15</v>
      </c>
      <c r="D6172">
        <v>82</v>
      </c>
    </row>
    <row r="6173" spans="1:4" x14ac:dyDescent="0.25">
      <c r="A6173" s="45" t="s">
        <v>6200</v>
      </c>
      <c r="B6173" s="46" t="s">
        <v>20712</v>
      </c>
      <c r="C6173">
        <v>15</v>
      </c>
      <c r="D6173">
        <v>82</v>
      </c>
    </row>
    <row r="6174" spans="1:4" x14ac:dyDescent="0.25">
      <c r="A6174" s="45" t="s">
        <v>6201</v>
      </c>
      <c r="B6174" s="46" t="s">
        <v>17240</v>
      </c>
      <c r="C6174">
        <v>15</v>
      </c>
      <c r="D6174">
        <v>82</v>
      </c>
    </row>
    <row r="6175" spans="1:4" x14ac:dyDescent="0.25">
      <c r="A6175" s="45" t="s">
        <v>6202</v>
      </c>
      <c r="B6175" s="46" t="s">
        <v>17241</v>
      </c>
      <c r="C6175">
        <v>15</v>
      </c>
      <c r="D6175">
        <v>82</v>
      </c>
    </row>
    <row r="6176" spans="1:4" x14ac:dyDescent="0.25">
      <c r="A6176" s="45" t="s">
        <v>6203</v>
      </c>
      <c r="B6176" s="46" t="s">
        <v>17242</v>
      </c>
      <c r="C6176">
        <v>15</v>
      </c>
      <c r="D6176">
        <v>82</v>
      </c>
    </row>
    <row r="6177" spans="1:4" x14ac:dyDescent="0.25">
      <c r="A6177" s="45" t="s">
        <v>6204</v>
      </c>
      <c r="B6177" s="46" t="s">
        <v>17243</v>
      </c>
      <c r="C6177">
        <v>15</v>
      </c>
      <c r="D6177">
        <v>82</v>
      </c>
    </row>
    <row r="6178" spans="1:4" x14ac:dyDescent="0.25">
      <c r="A6178" s="45" t="s">
        <v>6205</v>
      </c>
      <c r="B6178" s="46" t="s">
        <v>17244</v>
      </c>
      <c r="C6178">
        <v>15</v>
      </c>
      <c r="D6178">
        <v>82</v>
      </c>
    </row>
    <row r="6179" spans="1:4" x14ac:dyDescent="0.25">
      <c r="A6179" s="45" t="s">
        <v>6206</v>
      </c>
      <c r="B6179" s="46" t="s">
        <v>20713</v>
      </c>
      <c r="C6179">
        <v>15</v>
      </c>
      <c r="D6179">
        <v>82</v>
      </c>
    </row>
    <row r="6180" spans="1:4" x14ac:dyDescent="0.25">
      <c r="A6180" s="45" t="s">
        <v>6207</v>
      </c>
      <c r="B6180" s="46" t="s">
        <v>20714</v>
      </c>
      <c r="C6180">
        <v>15</v>
      </c>
      <c r="D6180">
        <v>82</v>
      </c>
    </row>
    <row r="6181" spans="1:4" x14ac:dyDescent="0.25">
      <c r="A6181" s="45" t="s">
        <v>6208</v>
      </c>
      <c r="B6181" s="46" t="s">
        <v>17245</v>
      </c>
      <c r="C6181">
        <v>15</v>
      </c>
      <c r="D6181">
        <v>82</v>
      </c>
    </row>
    <row r="6182" spans="1:4" x14ac:dyDescent="0.25">
      <c r="A6182" s="45" t="s">
        <v>6209</v>
      </c>
      <c r="B6182" s="46" t="s">
        <v>17246</v>
      </c>
      <c r="C6182">
        <v>15</v>
      </c>
      <c r="D6182">
        <v>82</v>
      </c>
    </row>
    <row r="6183" spans="1:4" x14ac:dyDescent="0.25">
      <c r="A6183" s="45" t="s">
        <v>6210</v>
      </c>
      <c r="B6183" s="46" t="s">
        <v>20715</v>
      </c>
      <c r="C6183">
        <v>15</v>
      </c>
      <c r="D6183">
        <v>82</v>
      </c>
    </row>
    <row r="6184" spans="1:4" x14ac:dyDescent="0.25">
      <c r="A6184" s="45" t="s">
        <v>6211</v>
      </c>
      <c r="B6184" s="46" t="s">
        <v>17247</v>
      </c>
      <c r="C6184">
        <v>15</v>
      </c>
      <c r="D6184">
        <v>82</v>
      </c>
    </row>
    <row r="6185" spans="1:4" x14ac:dyDescent="0.25">
      <c r="A6185" s="45" t="s">
        <v>6212</v>
      </c>
      <c r="B6185" s="46" t="s">
        <v>17248</v>
      </c>
      <c r="C6185">
        <v>15</v>
      </c>
      <c r="D6185">
        <v>82</v>
      </c>
    </row>
    <row r="6186" spans="1:4" x14ac:dyDescent="0.25">
      <c r="A6186" s="45" t="s">
        <v>6213</v>
      </c>
      <c r="B6186" s="46" t="s">
        <v>17249</v>
      </c>
      <c r="C6186">
        <v>15</v>
      </c>
      <c r="D6186">
        <v>82</v>
      </c>
    </row>
    <row r="6187" spans="1:4" x14ac:dyDescent="0.25">
      <c r="A6187" s="45" t="s">
        <v>6214</v>
      </c>
      <c r="B6187" s="46" t="s">
        <v>17250</v>
      </c>
      <c r="C6187">
        <v>15</v>
      </c>
      <c r="D6187">
        <v>82</v>
      </c>
    </row>
    <row r="6188" spans="1:4" x14ac:dyDescent="0.25">
      <c r="A6188" s="45" t="s">
        <v>6215</v>
      </c>
      <c r="B6188" s="46" t="s">
        <v>17251</v>
      </c>
      <c r="C6188">
        <v>15</v>
      </c>
      <c r="D6188">
        <v>82</v>
      </c>
    </row>
    <row r="6189" spans="1:4" x14ac:dyDescent="0.25">
      <c r="A6189" s="45" t="s">
        <v>6216</v>
      </c>
      <c r="B6189" s="46" t="s">
        <v>17252</v>
      </c>
      <c r="C6189">
        <v>15</v>
      </c>
      <c r="D6189">
        <v>82</v>
      </c>
    </row>
    <row r="6190" spans="1:4" x14ac:dyDescent="0.25">
      <c r="A6190" s="45" t="s">
        <v>6217</v>
      </c>
      <c r="B6190" s="46" t="s">
        <v>17253</v>
      </c>
      <c r="C6190">
        <v>15</v>
      </c>
      <c r="D6190">
        <v>82</v>
      </c>
    </row>
    <row r="6191" spans="1:4" x14ac:dyDescent="0.25">
      <c r="A6191" s="45" t="s">
        <v>6218</v>
      </c>
      <c r="B6191" s="46" t="s">
        <v>17254</v>
      </c>
      <c r="C6191">
        <v>15</v>
      </c>
      <c r="D6191">
        <v>82</v>
      </c>
    </row>
    <row r="6192" spans="1:4" x14ac:dyDescent="0.25">
      <c r="A6192" s="45" t="s">
        <v>6219</v>
      </c>
      <c r="B6192" s="46" t="s">
        <v>17255</v>
      </c>
      <c r="C6192">
        <v>15</v>
      </c>
      <c r="D6192">
        <v>82</v>
      </c>
    </row>
    <row r="6193" spans="1:4" x14ac:dyDescent="0.25">
      <c r="A6193" s="45" t="s">
        <v>6220</v>
      </c>
      <c r="B6193" s="46" t="s">
        <v>17256</v>
      </c>
      <c r="C6193">
        <v>15</v>
      </c>
      <c r="D6193">
        <v>82</v>
      </c>
    </row>
    <row r="6194" spans="1:4" x14ac:dyDescent="0.25">
      <c r="A6194" s="45" t="s">
        <v>6221</v>
      </c>
      <c r="B6194" s="46" t="s">
        <v>20716</v>
      </c>
      <c r="C6194">
        <v>15</v>
      </c>
      <c r="D6194">
        <v>82</v>
      </c>
    </row>
    <row r="6195" spans="1:4" x14ac:dyDescent="0.25">
      <c r="A6195" s="45" t="s">
        <v>6222</v>
      </c>
      <c r="B6195" s="46" t="s">
        <v>17257</v>
      </c>
      <c r="C6195">
        <v>15</v>
      </c>
      <c r="D6195">
        <v>82</v>
      </c>
    </row>
    <row r="6196" spans="1:4" x14ac:dyDescent="0.25">
      <c r="A6196" s="45" t="s">
        <v>6223</v>
      </c>
      <c r="B6196" s="46" t="s">
        <v>17258</v>
      </c>
      <c r="C6196">
        <v>15</v>
      </c>
      <c r="D6196">
        <v>82</v>
      </c>
    </row>
    <row r="6197" spans="1:4" x14ac:dyDescent="0.25">
      <c r="A6197" s="45" t="s">
        <v>6224</v>
      </c>
      <c r="B6197" s="46" t="s">
        <v>17259</v>
      </c>
      <c r="C6197">
        <v>15</v>
      </c>
      <c r="D6197">
        <v>82</v>
      </c>
    </row>
    <row r="6198" spans="1:4" x14ac:dyDescent="0.25">
      <c r="A6198" s="45" t="s">
        <v>6225</v>
      </c>
      <c r="B6198" s="46" t="s">
        <v>17260</v>
      </c>
      <c r="C6198">
        <v>15</v>
      </c>
      <c r="D6198">
        <v>82</v>
      </c>
    </row>
    <row r="6199" spans="1:4" x14ac:dyDescent="0.25">
      <c r="A6199" s="45" t="s">
        <v>6226</v>
      </c>
      <c r="B6199" s="46" t="s">
        <v>17261</v>
      </c>
      <c r="C6199">
        <v>15</v>
      </c>
      <c r="D6199">
        <v>82</v>
      </c>
    </row>
    <row r="6200" spans="1:4" x14ac:dyDescent="0.25">
      <c r="A6200" s="45" t="s">
        <v>6227</v>
      </c>
      <c r="B6200" s="46" t="s">
        <v>17262</v>
      </c>
      <c r="C6200">
        <v>15</v>
      </c>
      <c r="D6200">
        <v>82</v>
      </c>
    </row>
    <row r="6201" spans="1:4" x14ac:dyDescent="0.25">
      <c r="A6201" s="45" t="s">
        <v>6228</v>
      </c>
      <c r="B6201" s="46" t="s">
        <v>17263</v>
      </c>
      <c r="C6201">
        <v>15</v>
      </c>
      <c r="D6201">
        <v>82</v>
      </c>
    </row>
    <row r="6202" spans="1:4" x14ac:dyDescent="0.25">
      <c r="A6202" s="45" t="s">
        <v>6229</v>
      </c>
      <c r="B6202" s="46" t="s">
        <v>17264</v>
      </c>
      <c r="C6202">
        <v>15</v>
      </c>
      <c r="D6202">
        <v>82</v>
      </c>
    </row>
    <row r="6203" spans="1:4" x14ac:dyDescent="0.25">
      <c r="A6203" s="45" t="s">
        <v>6230</v>
      </c>
      <c r="B6203" s="46" t="s">
        <v>20717</v>
      </c>
      <c r="C6203">
        <v>15</v>
      </c>
      <c r="D6203">
        <v>82</v>
      </c>
    </row>
    <row r="6204" spans="1:4" x14ac:dyDescent="0.25">
      <c r="A6204" s="45" t="s">
        <v>6231</v>
      </c>
      <c r="B6204" s="46" t="s">
        <v>17265</v>
      </c>
      <c r="C6204">
        <v>15</v>
      </c>
      <c r="D6204">
        <v>82</v>
      </c>
    </row>
    <row r="6205" spans="1:4" x14ac:dyDescent="0.25">
      <c r="A6205" s="45" t="s">
        <v>6232</v>
      </c>
      <c r="B6205" s="46" t="s">
        <v>17266</v>
      </c>
      <c r="C6205">
        <v>15</v>
      </c>
      <c r="D6205">
        <v>82</v>
      </c>
    </row>
    <row r="6206" spans="1:4" x14ac:dyDescent="0.25">
      <c r="A6206" s="45" t="s">
        <v>6233</v>
      </c>
      <c r="B6206" s="46" t="s">
        <v>17267</v>
      </c>
      <c r="C6206">
        <v>15</v>
      </c>
      <c r="D6206">
        <v>82</v>
      </c>
    </row>
    <row r="6207" spans="1:4" x14ac:dyDescent="0.25">
      <c r="A6207" s="45" t="s">
        <v>6234</v>
      </c>
      <c r="B6207" s="46" t="s">
        <v>20718</v>
      </c>
      <c r="C6207">
        <v>15</v>
      </c>
      <c r="D6207">
        <v>82</v>
      </c>
    </row>
    <row r="6208" spans="1:4" x14ac:dyDescent="0.25">
      <c r="A6208" s="45" t="s">
        <v>6235</v>
      </c>
      <c r="B6208" s="46" t="s">
        <v>17268</v>
      </c>
      <c r="C6208">
        <v>15</v>
      </c>
      <c r="D6208">
        <v>82</v>
      </c>
    </row>
    <row r="6209" spans="1:4" x14ac:dyDescent="0.25">
      <c r="A6209" s="45" t="s">
        <v>6236</v>
      </c>
      <c r="B6209" s="46" t="s">
        <v>17269</v>
      </c>
      <c r="C6209">
        <v>15</v>
      </c>
      <c r="D6209">
        <v>82</v>
      </c>
    </row>
    <row r="6210" spans="1:4" x14ac:dyDescent="0.25">
      <c r="A6210" s="45" t="s">
        <v>6237</v>
      </c>
      <c r="B6210" s="46" t="s">
        <v>17270</v>
      </c>
      <c r="C6210">
        <v>15</v>
      </c>
      <c r="D6210">
        <v>82</v>
      </c>
    </row>
    <row r="6211" spans="1:4" x14ac:dyDescent="0.25">
      <c r="A6211" s="45" t="s">
        <v>6238</v>
      </c>
      <c r="B6211" s="46" t="s">
        <v>20719</v>
      </c>
      <c r="C6211">
        <v>15</v>
      </c>
      <c r="D6211">
        <v>82</v>
      </c>
    </row>
    <row r="6212" spans="1:4" x14ac:dyDescent="0.25">
      <c r="A6212" s="45" t="s">
        <v>6239</v>
      </c>
      <c r="B6212" s="46" t="s">
        <v>20720</v>
      </c>
      <c r="C6212">
        <v>15</v>
      </c>
      <c r="D6212">
        <v>82</v>
      </c>
    </row>
    <row r="6213" spans="1:4" x14ac:dyDescent="0.25">
      <c r="A6213" s="45" t="s">
        <v>6240</v>
      </c>
      <c r="B6213" s="46" t="s">
        <v>17271</v>
      </c>
      <c r="C6213">
        <v>15</v>
      </c>
      <c r="D6213">
        <v>82</v>
      </c>
    </row>
    <row r="6214" spans="1:4" x14ac:dyDescent="0.25">
      <c r="A6214" s="45" t="s">
        <v>6241</v>
      </c>
      <c r="B6214" s="46" t="s">
        <v>17272</v>
      </c>
      <c r="C6214">
        <v>15</v>
      </c>
      <c r="D6214">
        <v>82</v>
      </c>
    </row>
    <row r="6215" spans="1:4" x14ac:dyDescent="0.25">
      <c r="A6215" s="45" t="s">
        <v>6242</v>
      </c>
      <c r="B6215" s="46" t="s">
        <v>17273</v>
      </c>
      <c r="C6215">
        <v>15</v>
      </c>
      <c r="D6215">
        <v>82</v>
      </c>
    </row>
    <row r="6216" spans="1:4" x14ac:dyDescent="0.25">
      <c r="A6216" s="45" t="s">
        <v>6243</v>
      </c>
      <c r="B6216" s="46" t="s">
        <v>20721</v>
      </c>
      <c r="C6216">
        <v>15</v>
      </c>
      <c r="D6216">
        <v>82</v>
      </c>
    </row>
    <row r="6217" spans="1:4" x14ac:dyDescent="0.25">
      <c r="A6217" s="45" t="s">
        <v>6244</v>
      </c>
      <c r="B6217" s="46" t="s">
        <v>17274</v>
      </c>
      <c r="C6217">
        <v>15</v>
      </c>
      <c r="D6217">
        <v>82</v>
      </c>
    </row>
    <row r="6218" spans="1:4" x14ac:dyDescent="0.25">
      <c r="A6218" s="45" t="s">
        <v>6245</v>
      </c>
      <c r="B6218" s="46" t="s">
        <v>17275</v>
      </c>
      <c r="C6218">
        <v>15</v>
      </c>
      <c r="D6218">
        <v>82</v>
      </c>
    </row>
    <row r="6219" spans="1:4" x14ac:dyDescent="0.25">
      <c r="A6219" s="45" t="s">
        <v>6246</v>
      </c>
      <c r="B6219" s="46" t="s">
        <v>17276</v>
      </c>
      <c r="C6219">
        <v>15</v>
      </c>
      <c r="D6219">
        <v>82</v>
      </c>
    </row>
    <row r="6220" spans="1:4" x14ac:dyDescent="0.25">
      <c r="A6220" s="45" t="s">
        <v>6247</v>
      </c>
      <c r="B6220" s="46" t="s">
        <v>20722</v>
      </c>
      <c r="C6220">
        <v>15</v>
      </c>
      <c r="D6220">
        <v>82</v>
      </c>
    </row>
    <row r="6221" spans="1:4" x14ac:dyDescent="0.25">
      <c r="A6221" s="45" t="s">
        <v>6248</v>
      </c>
      <c r="B6221" s="46" t="s">
        <v>20723</v>
      </c>
      <c r="C6221">
        <v>15</v>
      </c>
      <c r="D6221">
        <v>82</v>
      </c>
    </row>
    <row r="6222" spans="1:4" x14ac:dyDescent="0.25">
      <c r="A6222" s="45" t="s">
        <v>6249</v>
      </c>
      <c r="B6222" s="46" t="s">
        <v>17277</v>
      </c>
      <c r="C6222">
        <v>15</v>
      </c>
      <c r="D6222">
        <v>82</v>
      </c>
    </row>
    <row r="6223" spans="1:4" x14ac:dyDescent="0.25">
      <c r="A6223" s="45" t="s">
        <v>6250</v>
      </c>
      <c r="B6223" s="46" t="s">
        <v>17278</v>
      </c>
      <c r="C6223">
        <v>15</v>
      </c>
      <c r="D6223">
        <v>82</v>
      </c>
    </row>
    <row r="6224" spans="1:4" x14ac:dyDescent="0.25">
      <c r="A6224" s="45" t="s">
        <v>6251</v>
      </c>
      <c r="B6224" s="46" t="s">
        <v>17279</v>
      </c>
      <c r="C6224">
        <v>15</v>
      </c>
      <c r="D6224">
        <v>82</v>
      </c>
    </row>
    <row r="6225" spans="1:4" x14ac:dyDescent="0.25">
      <c r="A6225" s="45" t="s">
        <v>6252</v>
      </c>
      <c r="B6225" s="46" t="s">
        <v>20724</v>
      </c>
      <c r="C6225">
        <v>15</v>
      </c>
      <c r="D6225">
        <v>82</v>
      </c>
    </row>
    <row r="6226" spans="1:4" x14ac:dyDescent="0.25">
      <c r="A6226" s="45" t="s">
        <v>6253</v>
      </c>
      <c r="B6226" s="46" t="s">
        <v>17280</v>
      </c>
      <c r="C6226">
        <v>15</v>
      </c>
      <c r="D6226">
        <v>82</v>
      </c>
    </row>
    <row r="6227" spans="1:4" x14ac:dyDescent="0.25">
      <c r="A6227" s="45" t="s">
        <v>6254</v>
      </c>
      <c r="B6227" s="46" t="s">
        <v>17281</v>
      </c>
      <c r="C6227">
        <v>15</v>
      </c>
      <c r="D6227">
        <v>82</v>
      </c>
    </row>
    <row r="6228" spans="1:4" x14ac:dyDescent="0.25">
      <c r="A6228" s="45" t="s">
        <v>6255</v>
      </c>
      <c r="B6228" s="46" t="s">
        <v>17282</v>
      </c>
      <c r="C6228">
        <v>15</v>
      </c>
      <c r="D6228">
        <v>82</v>
      </c>
    </row>
    <row r="6229" spans="1:4" x14ac:dyDescent="0.25">
      <c r="A6229" s="45" t="s">
        <v>6256</v>
      </c>
      <c r="B6229" s="46" t="s">
        <v>17283</v>
      </c>
      <c r="C6229">
        <v>15</v>
      </c>
      <c r="D6229">
        <v>82</v>
      </c>
    </row>
    <row r="6230" spans="1:4" x14ac:dyDescent="0.25">
      <c r="A6230" s="45" t="s">
        <v>6257</v>
      </c>
      <c r="B6230" s="46" t="s">
        <v>17284</v>
      </c>
      <c r="C6230">
        <v>15</v>
      </c>
      <c r="D6230">
        <v>82</v>
      </c>
    </row>
    <row r="6231" spans="1:4" x14ac:dyDescent="0.25">
      <c r="A6231" s="45" t="s">
        <v>6258</v>
      </c>
      <c r="B6231" s="46" t="s">
        <v>17285</v>
      </c>
      <c r="C6231">
        <v>15</v>
      </c>
      <c r="D6231">
        <v>82</v>
      </c>
    </row>
    <row r="6232" spans="1:4" x14ac:dyDescent="0.25">
      <c r="A6232" s="45" t="s">
        <v>6259</v>
      </c>
      <c r="B6232" s="46" t="s">
        <v>17286</v>
      </c>
      <c r="C6232">
        <v>15</v>
      </c>
      <c r="D6232">
        <v>82</v>
      </c>
    </row>
    <row r="6233" spans="1:4" x14ac:dyDescent="0.25">
      <c r="A6233" s="45" t="s">
        <v>6260</v>
      </c>
      <c r="B6233" s="46" t="s">
        <v>17287</v>
      </c>
      <c r="C6233">
        <v>15</v>
      </c>
      <c r="D6233">
        <v>82</v>
      </c>
    </row>
    <row r="6234" spans="1:4" x14ac:dyDescent="0.25">
      <c r="A6234" s="45" t="s">
        <v>6261</v>
      </c>
      <c r="B6234" s="46" t="s">
        <v>17288</v>
      </c>
      <c r="C6234">
        <v>15</v>
      </c>
      <c r="D6234">
        <v>82</v>
      </c>
    </row>
    <row r="6235" spans="1:4" x14ac:dyDescent="0.25">
      <c r="A6235" s="45" t="s">
        <v>6262</v>
      </c>
      <c r="B6235" s="46" t="s">
        <v>17289</v>
      </c>
      <c r="C6235">
        <v>15</v>
      </c>
      <c r="D6235">
        <v>82</v>
      </c>
    </row>
    <row r="6236" spans="1:4" x14ac:dyDescent="0.25">
      <c r="A6236" s="45" t="s">
        <v>6263</v>
      </c>
      <c r="B6236" s="46" t="s">
        <v>17290</v>
      </c>
      <c r="C6236">
        <v>6</v>
      </c>
      <c r="D6236">
        <v>37</v>
      </c>
    </row>
    <row r="6237" spans="1:4" x14ac:dyDescent="0.25">
      <c r="A6237" s="45" t="s">
        <v>6264</v>
      </c>
      <c r="B6237" s="46" t="s">
        <v>17291</v>
      </c>
      <c r="C6237">
        <v>15</v>
      </c>
      <c r="D6237">
        <v>82</v>
      </c>
    </row>
    <row r="6238" spans="1:4" x14ac:dyDescent="0.25">
      <c r="A6238" s="45" t="s">
        <v>6265</v>
      </c>
      <c r="B6238" s="46" t="s">
        <v>17292</v>
      </c>
      <c r="C6238">
        <v>15</v>
      </c>
      <c r="D6238">
        <v>82</v>
      </c>
    </row>
    <row r="6239" spans="1:4" x14ac:dyDescent="0.25">
      <c r="A6239" s="45" t="s">
        <v>6266</v>
      </c>
      <c r="B6239" s="46" t="s">
        <v>20725</v>
      </c>
      <c r="C6239">
        <v>15</v>
      </c>
      <c r="D6239">
        <v>82</v>
      </c>
    </row>
    <row r="6240" spans="1:4" x14ac:dyDescent="0.25">
      <c r="A6240" s="45" t="s">
        <v>6267</v>
      </c>
      <c r="B6240" s="46" t="s">
        <v>17293</v>
      </c>
      <c r="C6240">
        <v>14</v>
      </c>
      <c r="D6240">
        <v>81</v>
      </c>
    </row>
    <row r="6241" spans="1:4" x14ac:dyDescent="0.25">
      <c r="A6241" s="45" t="s">
        <v>6268</v>
      </c>
      <c r="B6241" s="46" t="s">
        <v>17294</v>
      </c>
      <c r="C6241">
        <v>15</v>
      </c>
      <c r="D6241">
        <v>82</v>
      </c>
    </row>
    <row r="6242" spans="1:4" x14ac:dyDescent="0.25">
      <c r="A6242" s="45" t="s">
        <v>6269</v>
      </c>
      <c r="B6242" s="46" t="s">
        <v>17295</v>
      </c>
      <c r="C6242">
        <v>15</v>
      </c>
      <c r="D6242">
        <v>82</v>
      </c>
    </row>
    <row r="6243" spans="1:4" x14ac:dyDescent="0.25">
      <c r="A6243" s="45" t="s">
        <v>6270</v>
      </c>
      <c r="B6243" s="46" t="s">
        <v>17296</v>
      </c>
      <c r="C6243">
        <v>15</v>
      </c>
      <c r="D6243">
        <v>82</v>
      </c>
    </row>
    <row r="6244" spans="1:4" x14ac:dyDescent="0.25">
      <c r="A6244" s="45" t="s">
        <v>6271</v>
      </c>
      <c r="B6244" s="46" t="s">
        <v>17297</v>
      </c>
      <c r="C6244">
        <v>15</v>
      </c>
      <c r="D6244">
        <v>82</v>
      </c>
    </row>
    <row r="6245" spans="1:4" x14ac:dyDescent="0.25">
      <c r="A6245" s="45" t="s">
        <v>6272</v>
      </c>
      <c r="B6245" s="46" t="s">
        <v>17298</v>
      </c>
      <c r="C6245">
        <v>15</v>
      </c>
      <c r="D6245">
        <v>82</v>
      </c>
    </row>
    <row r="6246" spans="1:4" x14ac:dyDescent="0.25">
      <c r="A6246" s="45" t="s">
        <v>6273</v>
      </c>
      <c r="B6246" s="46" t="s">
        <v>17299</v>
      </c>
      <c r="C6246">
        <v>15</v>
      </c>
      <c r="D6246">
        <v>82</v>
      </c>
    </row>
    <row r="6247" spans="1:4" x14ac:dyDescent="0.25">
      <c r="A6247" s="45" t="s">
        <v>6274</v>
      </c>
      <c r="B6247" s="46" t="s">
        <v>17300</v>
      </c>
      <c r="C6247">
        <v>15</v>
      </c>
      <c r="D6247">
        <v>82</v>
      </c>
    </row>
    <row r="6248" spans="1:4" x14ac:dyDescent="0.25">
      <c r="A6248" s="45" t="s">
        <v>6275</v>
      </c>
      <c r="B6248" s="46" t="s">
        <v>20726</v>
      </c>
      <c r="C6248">
        <v>14</v>
      </c>
      <c r="D6248">
        <v>81</v>
      </c>
    </row>
    <row r="6249" spans="1:4" x14ac:dyDescent="0.25">
      <c r="A6249" s="45" t="s">
        <v>6276</v>
      </c>
      <c r="B6249" s="46" t="s">
        <v>20727</v>
      </c>
      <c r="C6249">
        <v>14</v>
      </c>
      <c r="D6249">
        <v>81</v>
      </c>
    </row>
    <row r="6250" spans="1:4" x14ac:dyDescent="0.25">
      <c r="A6250" s="45" t="s">
        <v>6277</v>
      </c>
      <c r="B6250" s="46" t="s">
        <v>20728</v>
      </c>
      <c r="C6250">
        <v>14</v>
      </c>
      <c r="D6250">
        <v>81</v>
      </c>
    </row>
    <row r="6251" spans="1:4" x14ac:dyDescent="0.25">
      <c r="A6251" s="45" t="s">
        <v>6278</v>
      </c>
      <c r="B6251" s="46" t="s">
        <v>20729</v>
      </c>
      <c r="C6251">
        <v>14</v>
      </c>
      <c r="D6251">
        <v>81</v>
      </c>
    </row>
    <row r="6252" spans="1:4" x14ac:dyDescent="0.25">
      <c r="A6252" s="45" t="s">
        <v>6279</v>
      </c>
      <c r="B6252" s="46" t="s">
        <v>17301</v>
      </c>
      <c r="C6252">
        <v>14</v>
      </c>
      <c r="D6252">
        <v>81</v>
      </c>
    </row>
    <row r="6253" spans="1:4" x14ac:dyDescent="0.25">
      <c r="A6253" s="45" t="s">
        <v>6280</v>
      </c>
      <c r="B6253" s="46" t="s">
        <v>17302</v>
      </c>
      <c r="C6253">
        <v>14</v>
      </c>
      <c r="D6253">
        <v>81</v>
      </c>
    </row>
    <row r="6254" spans="1:4" x14ac:dyDescent="0.25">
      <c r="A6254" s="45" t="s">
        <v>6281</v>
      </c>
      <c r="B6254" s="46" t="s">
        <v>17303</v>
      </c>
      <c r="C6254">
        <v>14</v>
      </c>
      <c r="D6254">
        <v>81</v>
      </c>
    </row>
    <row r="6255" spans="1:4" x14ac:dyDescent="0.25">
      <c r="A6255" s="45" t="s">
        <v>6282</v>
      </c>
      <c r="B6255" s="46" t="s">
        <v>17304</v>
      </c>
      <c r="C6255">
        <v>14</v>
      </c>
      <c r="D6255">
        <v>81</v>
      </c>
    </row>
    <row r="6256" spans="1:4" x14ac:dyDescent="0.25">
      <c r="A6256" s="45" t="s">
        <v>6283</v>
      </c>
      <c r="B6256" s="46" t="s">
        <v>17305</v>
      </c>
      <c r="C6256">
        <v>14</v>
      </c>
      <c r="D6256">
        <v>81</v>
      </c>
    </row>
    <row r="6257" spans="1:4" x14ac:dyDescent="0.25">
      <c r="A6257" s="45" t="s">
        <v>6284</v>
      </c>
      <c r="B6257" s="46" t="s">
        <v>17306</v>
      </c>
      <c r="C6257">
        <v>14</v>
      </c>
      <c r="D6257">
        <v>81</v>
      </c>
    </row>
    <row r="6258" spans="1:4" x14ac:dyDescent="0.25">
      <c r="A6258" s="45" t="s">
        <v>6285</v>
      </c>
      <c r="B6258" s="46" t="s">
        <v>17307</v>
      </c>
      <c r="C6258">
        <v>14</v>
      </c>
      <c r="D6258">
        <v>81</v>
      </c>
    </row>
    <row r="6259" spans="1:4" x14ac:dyDescent="0.25">
      <c r="A6259" s="45" t="s">
        <v>6286</v>
      </c>
      <c r="B6259" s="46" t="s">
        <v>17308</v>
      </c>
      <c r="C6259">
        <v>14</v>
      </c>
      <c r="D6259">
        <v>81</v>
      </c>
    </row>
    <row r="6260" spans="1:4" x14ac:dyDescent="0.25">
      <c r="A6260" s="45" t="s">
        <v>6287</v>
      </c>
      <c r="B6260" s="46" t="s">
        <v>17309</v>
      </c>
      <c r="C6260">
        <v>14</v>
      </c>
      <c r="D6260">
        <v>81</v>
      </c>
    </row>
    <row r="6261" spans="1:4" x14ac:dyDescent="0.25">
      <c r="A6261" s="45" t="s">
        <v>6288</v>
      </c>
      <c r="B6261" s="46" t="s">
        <v>17310</v>
      </c>
      <c r="C6261">
        <v>14</v>
      </c>
      <c r="D6261">
        <v>81</v>
      </c>
    </row>
    <row r="6262" spans="1:4" x14ac:dyDescent="0.25">
      <c r="A6262" s="45" t="s">
        <v>6289</v>
      </c>
      <c r="B6262" s="46" t="s">
        <v>17311</v>
      </c>
      <c r="C6262">
        <v>14</v>
      </c>
      <c r="D6262">
        <v>81</v>
      </c>
    </row>
    <row r="6263" spans="1:4" x14ac:dyDescent="0.25">
      <c r="A6263" s="45" t="s">
        <v>6290</v>
      </c>
      <c r="B6263" s="46" t="s">
        <v>17312</v>
      </c>
      <c r="C6263">
        <v>14</v>
      </c>
      <c r="D6263">
        <v>81</v>
      </c>
    </row>
    <row r="6264" spans="1:4" x14ac:dyDescent="0.25">
      <c r="A6264" s="45" t="s">
        <v>6291</v>
      </c>
      <c r="B6264" s="46" t="s">
        <v>17313</v>
      </c>
      <c r="C6264">
        <v>14</v>
      </c>
      <c r="D6264">
        <v>81</v>
      </c>
    </row>
    <row r="6265" spans="1:4" x14ac:dyDescent="0.25">
      <c r="A6265" s="45" t="s">
        <v>6292</v>
      </c>
      <c r="B6265" s="46" t="s">
        <v>17314</v>
      </c>
      <c r="C6265">
        <v>14</v>
      </c>
      <c r="D6265">
        <v>81</v>
      </c>
    </row>
    <row r="6266" spans="1:4" x14ac:dyDescent="0.25">
      <c r="A6266" s="45" t="s">
        <v>6293</v>
      </c>
      <c r="B6266" s="46" t="s">
        <v>17315</v>
      </c>
      <c r="C6266">
        <v>14</v>
      </c>
      <c r="D6266">
        <v>81</v>
      </c>
    </row>
    <row r="6267" spans="1:4" x14ac:dyDescent="0.25">
      <c r="A6267" s="45" t="s">
        <v>6294</v>
      </c>
      <c r="B6267" s="46" t="s">
        <v>17316</v>
      </c>
      <c r="C6267">
        <v>14</v>
      </c>
      <c r="D6267">
        <v>81</v>
      </c>
    </row>
    <row r="6268" spans="1:4" x14ac:dyDescent="0.25">
      <c r="A6268" s="45" t="s">
        <v>6295</v>
      </c>
      <c r="B6268" s="46" t="s">
        <v>17317</v>
      </c>
      <c r="C6268">
        <v>14</v>
      </c>
      <c r="D6268">
        <v>81</v>
      </c>
    </row>
    <row r="6269" spans="1:4" x14ac:dyDescent="0.25">
      <c r="A6269" s="45" t="s">
        <v>6296</v>
      </c>
      <c r="B6269" s="46" t="s">
        <v>17318</v>
      </c>
      <c r="C6269">
        <v>14</v>
      </c>
      <c r="D6269">
        <v>81</v>
      </c>
    </row>
    <row r="6270" spans="1:4" x14ac:dyDescent="0.25">
      <c r="A6270" s="45" t="s">
        <v>6297</v>
      </c>
      <c r="B6270" s="46" t="s">
        <v>17319</v>
      </c>
      <c r="C6270">
        <v>14</v>
      </c>
      <c r="D6270">
        <v>81</v>
      </c>
    </row>
    <row r="6271" spans="1:4" x14ac:dyDescent="0.25">
      <c r="A6271" s="45" t="s">
        <v>6298</v>
      </c>
      <c r="B6271" s="46" t="s">
        <v>17320</v>
      </c>
      <c r="C6271">
        <v>14</v>
      </c>
      <c r="D6271">
        <v>81</v>
      </c>
    </row>
    <row r="6272" spans="1:4" x14ac:dyDescent="0.25">
      <c r="A6272" s="45" t="s">
        <v>6299</v>
      </c>
      <c r="B6272" s="46" t="s">
        <v>17321</v>
      </c>
      <c r="C6272">
        <v>14</v>
      </c>
      <c r="D6272">
        <v>81</v>
      </c>
    </row>
    <row r="6273" spans="1:4" x14ac:dyDescent="0.25">
      <c r="A6273" s="45" t="s">
        <v>6300</v>
      </c>
      <c r="B6273" s="46" t="s">
        <v>17322</v>
      </c>
      <c r="C6273">
        <v>14</v>
      </c>
      <c r="D6273">
        <v>81</v>
      </c>
    </row>
    <row r="6274" spans="1:4" x14ac:dyDescent="0.25">
      <c r="A6274" s="45" t="s">
        <v>6301</v>
      </c>
      <c r="B6274" s="46" t="s">
        <v>17323</v>
      </c>
      <c r="C6274">
        <v>14</v>
      </c>
      <c r="D6274">
        <v>81</v>
      </c>
    </row>
    <row r="6275" spans="1:4" x14ac:dyDescent="0.25">
      <c r="A6275" s="45" t="s">
        <v>6302</v>
      </c>
      <c r="B6275" s="46" t="s">
        <v>17324</v>
      </c>
      <c r="C6275">
        <v>14</v>
      </c>
      <c r="D6275">
        <v>81</v>
      </c>
    </row>
    <row r="6276" spans="1:4" x14ac:dyDescent="0.25">
      <c r="A6276" s="45" t="s">
        <v>6303</v>
      </c>
      <c r="B6276" s="46" t="s">
        <v>17325</v>
      </c>
      <c r="C6276">
        <v>14</v>
      </c>
      <c r="D6276">
        <v>81</v>
      </c>
    </row>
    <row r="6277" spans="1:4" x14ac:dyDescent="0.25">
      <c r="A6277" s="45" t="s">
        <v>6304</v>
      </c>
      <c r="B6277" s="46" t="s">
        <v>17326</v>
      </c>
      <c r="C6277">
        <v>14</v>
      </c>
      <c r="D6277">
        <v>81</v>
      </c>
    </row>
    <row r="6278" spans="1:4" x14ac:dyDescent="0.25">
      <c r="A6278" s="45" t="s">
        <v>6305</v>
      </c>
      <c r="B6278" s="46" t="s">
        <v>17327</v>
      </c>
      <c r="C6278">
        <v>14</v>
      </c>
      <c r="D6278">
        <v>81</v>
      </c>
    </row>
    <row r="6279" spans="1:4" x14ac:dyDescent="0.25">
      <c r="A6279" s="45" t="s">
        <v>6306</v>
      </c>
      <c r="B6279" s="46" t="s">
        <v>17328</v>
      </c>
      <c r="C6279">
        <v>14</v>
      </c>
      <c r="D6279">
        <v>81</v>
      </c>
    </row>
    <row r="6280" spans="1:4" x14ac:dyDescent="0.25">
      <c r="A6280" s="45" t="s">
        <v>6307</v>
      </c>
      <c r="B6280" s="46" t="s">
        <v>17329</v>
      </c>
      <c r="C6280">
        <v>14</v>
      </c>
      <c r="D6280">
        <v>81</v>
      </c>
    </row>
    <row r="6281" spans="1:4" x14ac:dyDescent="0.25">
      <c r="A6281" s="45" t="s">
        <v>6308</v>
      </c>
      <c r="B6281" s="46" t="s">
        <v>17330</v>
      </c>
      <c r="C6281">
        <v>14</v>
      </c>
      <c r="D6281">
        <v>81</v>
      </c>
    </row>
    <row r="6282" spans="1:4" x14ac:dyDescent="0.25">
      <c r="A6282" s="45" t="s">
        <v>6309</v>
      </c>
      <c r="B6282" s="46" t="s">
        <v>17331</v>
      </c>
      <c r="C6282">
        <v>14</v>
      </c>
      <c r="D6282">
        <v>81</v>
      </c>
    </row>
    <row r="6283" spans="1:4" x14ac:dyDescent="0.25">
      <c r="A6283" s="45" t="s">
        <v>6310</v>
      </c>
      <c r="B6283" s="46" t="s">
        <v>17332</v>
      </c>
      <c r="C6283">
        <v>14</v>
      </c>
      <c r="D6283">
        <v>81</v>
      </c>
    </row>
    <row r="6284" spans="1:4" x14ac:dyDescent="0.25">
      <c r="A6284" s="45" t="s">
        <v>6311</v>
      </c>
      <c r="B6284" s="46" t="s">
        <v>17333</v>
      </c>
      <c r="C6284">
        <v>14</v>
      </c>
      <c r="D6284">
        <v>81</v>
      </c>
    </row>
    <row r="6285" spans="1:4" x14ac:dyDescent="0.25">
      <c r="A6285" s="45" t="s">
        <v>6312</v>
      </c>
      <c r="B6285" s="46" t="s">
        <v>17334</v>
      </c>
      <c r="C6285">
        <v>14</v>
      </c>
      <c r="D6285">
        <v>81</v>
      </c>
    </row>
    <row r="6286" spans="1:4" x14ac:dyDescent="0.25">
      <c r="A6286" s="45" t="s">
        <v>6313</v>
      </c>
      <c r="B6286" s="46" t="s">
        <v>17335</v>
      </c>
      <c r="C6286">
        <v>14</v>
      </c>
      <c r="D6286">
        <v>81</v>
      </c>
    </row>
    <row r="6287" spans="1:4" x14ac:dyDescent="0.25">
      <c r="A6287" s="45" t="s">
        <v>6314</v>
      </c>
      <c r="B6287" s="46" t="s">
        <v>17336</v>
      </c>
      <c r="C6287">
        <v>14</v>
      </c>
      <c r="D6287">
        <v>81</v>
      </c>
    </row>
    <row r="6288" spans="1:4" x14ac:dyDescent="0.25">
      <c r="A6288" s="45" t="s">
        <v>6315</v>
      </c>
      <c r="B6288" s="46" t="s">
        <v>17337</v>
      </c>
      <c r="C6288">
        <v>14</v>
      </c>
      <c r="D6288">
        <v>81</v>
      </c>
    </row>
    <row r="6289" spans="1:4" x14ac:dyDescent="0.25">
      <c r="A6289" s="45" t="s">
        <v>6316</v>
      </c>
      <c r="B6289" s="46" t="s">
        <v>17338</v>
      </c>
      <c r="C6289">
        <v>14</v>
      </c>
      <c r="D6289">
        <v>81</v>
      </c>
    </row>
    <row r="6290" spans="1:4" x14ac:dyDescent="0.25">
      <c r="A6290" s="45" t="s">
        <v>6317</v>
      </c>
      <c r="B6290" s="46" t="s">
        <v>17339</v>
      </c>
      <c r="C6290">
        <v>14</v>
      </c>
      <c r="D6290">
        <v>81</v>
      </c>
    </row>
    <row r="6291" spans="1:4" x14ac:dyDescent="0.25">
      <c r="A6291" s="45" t="s">
        <v>6318</v>
      </c>
      <c r="B6291" s="46" t="s">
        <v>17340</v>
      </c>
      <c r="C6291">
        <v>14</v>
      </c>
      <c r="D6291">
        <v>81</v>
      </c>
    </row>
    <row r="6292" spans="1:4" x14ac:dyDescent="0.25">
      <c r="A6292" s="45" t="s">
        <v>6319</v>
      </c>
      <c r="B6292" s="46" t="s">
        <v>17341</v>
      </c>
      <c r="C6292">
        <v>14</v>
      </c>
      <c r="D6292">
        <v>81</v>
      </c>
    </row>
    <row r="6293" spans="1:4" x14ac:dyDescent="0.25">
      <c r="A6293" s="45" t="s">
        <v>6320</v>
      </c>
      <c r="B6293" s="46" t="s">
        <v>17342</v>
      </c>
      <c r="C6293">
        <v>14</v>
      </c>
      <c r="D6293">
        <v>81</v>
      </c>
    </row>
    <row r="6294" spans="1:4" x14ac:dyDescent="0.25">
      <c r="A6294" s="45" t="s">
        <v>6321</v>
      </c>
      <c r="B6294" s="46" t="s">
        <v>17343</v>
      </c>
      <c r="C6294">
        <v>14</v>
      </c>
      <c r="D6294">
        <v>81</v>
      </c>
    </row>
    <row r="6295" spans="1:4" x14ac:dyDescent="0.25">
      <c r="A6295" s="45" t="s">
        <v>6322</v>
      </c>
      <c r="B6295" s="46" t="s">
        <v>17344</v>
      </c>
      <c r="C6295">
        <v>14</v>
      </c>
      <c r="D6295">
        <v>81</v>
      </c>
    </row>
    <row r="6296" spans="1:4" x14ac:dyDescent="0.25">
      <c r="A6296" s="45" t="s">
        <v>6323</v>
      </c>
      <c r="B6296" s="46" t="s">
        <v>17345</v>
      </c>
      <c r="C6296">
        <v>14</v>
      </c>
      <c r="D6296">
        <v>81</v>
      </c>
    </row>
    <row r="6297" spans="1:4" x14ac:dyDescent="0.25">
      <c r="A6297" s="45" t="s">
        <v>6324</v>
      </c>
      <c r="B6297" s="46" t="s">
        <v>17346</v>
      </c>
      <c r="C6297">
        <v>14</v>
      </c>
      <c r="D6297">
        <v>81</v>
      </c>
    </row>
    <row r="6298" spans="1:4" x14ac:dyDescent="0.25">
      <c r="A6298" s="45" t="s">
        <v>6325</v>
      </c>
      <c r="B6298" s="46" t="s">
        <v>17347</v>
      </c>
      <c r="C6298">
        <v>14</v>
      </c>
      <c r="D6298">
        <v>81</v>
      </c>
    </row>
    <row r="6299" spans="1:4" x14ac:dyDescent="0.25">
      <c r="A6299" s="45" t="s">
        <v>6326</v>
      </c>
      <c r="B6299" s="46" t="s">
        <v>17348</v>
      </c>
      <c r="C6299">
        <v>14</v>
      </c>
      <c r="D6299">
        <v>81</v>
      </c>
    </row>
    <row r="6300" spans="1:4" x14ac:dyDescent="0.25">
      <c r="A6300" s="45" t="s">
        <v>6327</v>
      </c>
      <c r="B6300" s="46" t="s">
        <v>17349</v>
      </c>
      <c r="C6300">
        <v>14</v>
      </c>
      <c r="D6300">
        <v>81</v>
      </c>
    </row>
    <row r="6301" spans="1:4" x14ac:dyDescent="0.25">
      <c r="A6301" s="45" t="s">
        <v>6328</v>
      </c>
      <c r="B6301" s="46" t="s">
        <v>17350</v>
      </c>
      <c r="C6301">
        <v>14</v>
      </c>
      <c r="D6301">
        <v>81</v>
      </c>
    </row>
    <row r="6302" spans="1:4" x14ac:dyDescent="0.25">
      <c r="A6302" s="45" t="s">
        <v>6329</v>
      </c>
      <c r="B6302" s="46" t="s">
        <v>17351</v>
      </c>
      <c r="C6302">
        <v>14</v>
      </c>
      <c r="D6302">
        <v>81</v>
      </c>
    </row>
    <row r="6303" spans="1:4" x14ac:dyDescent="0.25">
      <c r="A6303" s="45" t="s">
        <v>6330</v>
      </c>
      <c r="B6303" s="46" t="s">
        <v>17352</v>
      </c>
      <c r="C6303">
        <v>14</v>
      </c>
      <c r="D6303">
        <v>81</v>
      </c>
    </row>
    <row r="6304" spans="1:4" x14ac:dyDescent="0.25">
      <c r="A6304" s="45" t="s">
        <v>6331</v>
      </c>
      <c r="B6304" s="46" t="s">
        <v>17353</v>
      </c>
      <c r="C6304">
        <v>14</v>
      </c>
      <c r="D6304">
        <v>81</v>
      </c>
    </row>
    <row r="6305" spans="1:4" x14ac:dyDescent="0.25">
      <c r="A6305" s="45" t="s">
        <v>6332</v>
      </c>
      <c r="B6305" s="46" t="s">
        <v>17354</v>
      </c>
      <c r="C6305">
        <v>14</v>
      </c>
      <c r="D6305">
        <v>81</v>
      </c>
    </row>
    <row r="6306" spans="1:4" x14ac:dyDescent="0.25">
      <c r="A6306" s="45" t="s">
        <v>6333</v>
      </c>
      <c r="B6306" s="46" t="s">
        <v>17355</v>
      </c>
      <c r="C6306">
        <v>14</v>
      </c>
      <c r="D6306">
        <v>81</v>
      </c>
    </row>
    <row r="6307" spans="1:4" x14ac:dyDescent="0.25">
      <c r="A6307" s="45" t="s">
        <v>6334</v>
      </c>
      <c r="B6307" s="46" t="s">
        <v>17356</v>
      </c>
      <c r="C6307">
        <v>14</v>
      </c>
      <c r="D6307">
        <v>81</v>
      </c>
    </row>
    <row r="6308" spans="1:4" x14ac:dyDescent="0.25">
      <c r="A6308" s="45" t="s">
        <v>6335</v>
      </c>
      <c r="B6308" s="46" t="s">
        <v>17357</v>
      </c>
      <c r="C6308">
        <v>14</v>
      </c>
      <c r="D6308">
        <v>81</v>
      </c>
    </row>
    <row r="6309" spans="1:4" x14ac:dyDescent="0.25">
      <c r="A6309" s="45" t="s">
        <v>6336</v>
      </c>
      <c r="B6309" s="46" t="s">
        <v>17358</v>
      </c>
      <c r="C6309">
        <v>14</v>
      </c>
      <c r="D6309">
        <v>81</v>
      </c>
    </row>
    <row r="6310" spans="1:4" x14ac:dyDescent="0.25">
      <c r="A6310" s="45" t="s">
        <v>6337</v>
      </c>
      <c r="B6310" s="46" t="s">
        <v>17359</v>
      </c>
      <c r="C6310">
        <v>14</v>
      </c>
      <c r="D6310">
        <v>81</v>
      </c>
    </row>
    <row r="6311" spans="1:4" x14ac:dyDescent="0.25">
      <c r="A6311" s="45" t="s">
        <v>6338</v>
      </c>
      <c r="B6311" s="46" t="s">
        <v>17360</v>
      </c>
      <c r="C6311">
        <v>14</v>
      </c>
      <c r="D6311">
        <v>81</v>
      </c>
    </row>
    <row r="6312" spans="1:4" x14ac:dyDescent="0.25">
      <c r="A6312" s="45" t="s">
        <v>6339</v>
      </c>
      <c r="B6312" s="46" t="s">
        <v>17361</v>
      </c>
      <c r="C6312">
        <v>14</v>
      </c>
      <c r="D6312">
        <v>81</v>
      </c>
    </row>
    <row r="6313" spans="1:4" x14ac:dyDescent="0.25">
      <c r="A6313" s="45" t="s">
        <v>6340</v>
      </c>
      <c r="B6313" s="46" t="s">
        <v>17362</v>
      </c>
      <c r="C6313">
        <v>14</v>
      </c>
      <c r="D6313">
        <v>81</v>
      </c>
    </row>
    <row r="6314" spans="1:4" x14ac:dyDescent="0.25">
      <c r="A6314" s="45" t="s">
        <v>6341</v>
      </c>
      <c r="B6314" s="46" t="s">
        <v>17363</v>
      </c>
      <c r="C6314">
        <v>14</v>
      </c>
      <c r="D6314">
        <v>81</v>
      </c>
    </row>
    <row r="6315" spans="1:4" x14ac:dyDescent="0.25">
      <c r="A6315" s="45" t="s">
        <v>6342</v>
      </c>
      <c r="B6315" s="46" t="s">
        <v>17364</v>
      </c>
      <c r="C6315">
        <v>14</v>
      </c>
      <c r="D6315">
        <v>81</v>
      </c>
    </row>
    <row r="6316" spans="1:4" x14ac:dyDescent="0.25">
      <c r="A6316" s="45" t="s">
        <v>6343</v>
      </c>
      <c r="B6316" s="46" t="s">
        <v>17365</v>
      </c>
      <c r="C6316">
        <v>14</v>
      </c>
      <c r="D6316">
        <v>81</v>
      </c>
    </row>
    <row r="6317" spans="1:4" x14ac:dyDescent="0.25">
      <c r="A6317" s="45" t="s">
        <v>6344</v>
      </c>
      <c r="B6317" s="46" t="s">
        <v>20730</v>
      </c>
      <c r="C6317">
        <v>14</v>
      </c>
      <c r="D6317">
        <v>81</v>
      </c>
    </row>
    <row r="6318" spans="1:4" x14ac:dyDescent="0.25">
      <c r="A6318" s="45" t="s">
        <v>6345</v>
      </c>
      <c r="B6318" s="46" t="s">
        <v>17366</v>
      </c>
      <c r="C6318">
        <v>14</v>
      </c>
      <c r="D6318">
        <v>81</v>
      </c>
    </row>
    <row r="6319" spans="1:4" x14ac:dyDescent="0.25">
      <c r="A6319" s="45" t="s">
        <v>6346</v>
      </c>
      <c r="B6319" s="46" t="s">
        <v>17367</v>
      </c>
      <c r="C6319">
        <v>14</v>
      </c>
      <c r="D6319">
        <v>81</v>
      </c>
    </row>
    <row r="6320" spans="1:4" x14ac:dyDescent="0.25">
      <c r="A6320" s="45" t="s">
        <v>6347</v>
      </c>
      <c r="B6320" s="46" t="s">
        <v>17368</v>
      </c>
      <c r="C6320">
        <v>14</v>
      </c>
      <c r="D6320">
        <v>81</v>
      </c>
    </row>
    <row r="6321" spans="1:4" x14ac:dyDescent="0.25">
      <c r="A6321" s="45" t="s">
        <v>6348</v>
      </c>
      <c r="B6321" s="46" t="s">
        <v>17369</v>
      </c>
      <c r="C6321">
        <v>14</v>
      </c>
      <c r="D6321">
        <v>81</v>
      </c>
    </row>
    <row r="6322" spans="1:4" x14ac:dyDescent="0.25">
      <c r="A6322" s="45" t="s">
        <v>6349</v>
      </c>
      <c r="B6322" s="46" t="s">
        <v>17370</v>
      </c>
      <c r="C6322">
        <v>14</v>
      </c>
      <c r="D6322">
        <v>81</v>
      </c>
    </row>
    <row r="6323" spans="1:4" x14ac:dyDescent="0.25">
      <c r="A6323" s="45" t="s">
        <v>6350</v>
      </c>
      <c r="B6323" s="46" t="s">
        <v>17371</v>
      </c>
      <c r="C6323">
        <v>14</v>
      </c>
      <c r="D6323">
        <v>81</v>
      </c>
    </row>
    <row r="6324" spans="1:4" x14ac:dyDescent="0.25">
      <c r="A6324" s="45" t="s">
        <v>6351</v>
      </c>
      <c r="B6324" s="46" t="s">
        <v>17372</v>
      </c>
      <c r="C6324">
        <v>14</v>
      </c>
      <c r="D6324">
        <v>81</v>
      </c>
    </row>
    <row r="6325" spans="1:4" x14ac:dyDescent="0.25">
      <c r="A6325" s="45" t="s">
        <v>6352</v>
      </c>
      <c r="B6325" s="46" t="s">
        <v>17373</v>
      </c>
      <c r="C6325">
        <v>14</v>
      </c>
      <c r="D6325">
        <v>81</v>
      </c>
    </row>
    <row r="6326" spans="1:4" x14ac:dyDescent="0.25">
      <c r="A6326" s="45" t="s">
        <v>6353</v>
      </c>
      <c r="B6326" s="46" t="s">
        <v>17374</v>
      </c>
      <c r="C6326">
        <v>14</v>
      </c>
      <c r="D6326">
        <v>81</v>
      </c>
    </row>
    <row r="6327" spans="1:4" x14ac:dyDescent="0.25">
      <c r="A6327" s="45" t="s">
        <v>6354</v>
      </c>
      <c r="B6327" s="46" t="s">
        <v>17375</v>
      </c>
      <c r="C6327">
        <v>14</v>
      </c>
      <c r="D6327">
        <v>81</v>
      </c>
    </row>
    <row r="6328" spans="1:4" x14ac:dyDescent="0.25">
      <c r="A6328" s="45" t="s">
        <v>6355</v>
      </c>
      <c r="B6328" s="46" t="s">
        <v>17376</v>
      </c>
      <c r="C6328">
        <v>14</v>
      </c>
      <c r="D6328">
        <v>81</v>
      </c>
    </row>
    <row r="6329" spans="1:4" x14ac:dyDescent="0.25">
      <c r="A6329" s="45" t="s">
        <v>6356</v>
      </c>
      <c r="B6329" s="46" t="s">
        <v>17377</v>
      </c>
      <c r="C6329">
        <v>14</v>
      </c>
      <c r="D6329">
        <v>81</v>
      </c>
    </row>
    <row r="6330" spans="1:4" x14ac:dyDescent="0.25">
      <c r="A6330" s="45" t="s">
        <v>6357</v>
      </c>
      <c r="B6330" s="46" t="s">
        <v>17378</v>
      </c>
      <c r="C6330">
        <v>14</v>
      </c>
      <c r="D6330">
        <v>81</v>
      </c>
    </row>
    <row r="6331" spans="1:4" x14ac:dyDescent="0.25">
      <c r="A6331" s="45" t="s">
        <v>6358</v>
      </c>
      <c r="B6331" s="46" t="s">
        <v>17379</v>
      </c>
      <c r="C6331">
        <v>14</v>
      </c>
      <c r="D6331">
        <v>81</v>
      </c>
    </row>
    <row r="6332" spans="1:4" x14ac:dyDescent="0.25">
      <c r="A6332" s="45" t="s">
        <v>6359</v>
      </c>
      <c r="B6332" s="46" t="s">
        <v>17380</v>
      </c>
      <c r="C6332">
        <v>14</v>
      </c>
      <c r="D6332">
        <v>81</v>
      </c>
    </row>
    <row r="6333" spans="1:4" x14ac:dyDescent="0.25">
      <c r="A6333" s="45" t="s">
        <v>6360</v>
      </c>
      <c r="B6333" s="46" t="s">
        <v>20731</v>
      </c>
      <c r="C6333">
        <v>14</v>
      </c>
      <c r="D6333">
        <v>81</v>
      </c>
    </row>
    <row r="6334" spans="1:4" x14ac:dyDescent="0.25">
      <c r="A6334" s="45" t="s">
        <v>6361</v>
      </c>
      <c r="B6334" s="46" t="s">
        <v>17381</v>
      </c>
      <c r="C6334">
        <v>14</v>
      </c>
      <c r="D6334">
        <v>81</v>
      </c>
    </row>
    <row r="6335" spans="1:4" x14ac:dyDescent="0.25">
      <c r="A6335" s="45" t="s">
        <v>6362</v>
      </c>
      <c r="B6335" s="46" t="s">
        <v>20732</v>
      </c>
      <c r="C6335">
        <v>14</v>
      </c>
      <c r="D6335">
        <v>81</v>
      </c>
    </row>
    <row r="6336" spans="1:4" x14ac:dyDescent="0.25">
      <c r="A6336" s="45" t="s">
        <v>6363</v>
      </c>
      <c r="B6336" s="46" t="s">
        <v>17382</v>
      </c>
      <c r="C6336">
        <v>14</v>
      </c>
      <c r="D6336">
        <v>81</v>
      </c>
    </row>
    <row r="6337" spans="1:4" x14ac:dyDescent="0.25">
      <c r="A6337" s="45" t="s">
        <v>6364</v>
      </c>
      <c r="B6337" s="46" t="s">
        <v>17383</v>
      </c>
      <c r="C6337">
        <v>14</v>
      </c>
      <c r="D6337">
        <v>81</v>
      </c>
    </row>
    <row r="6338" spans="1:4" x14ac:dyDescent="0.25">
      <c r="A6338" s="45" t="s">
        <v>6365</v>
      </c>
      <c r="B6338" s="46" t="s">
        <v>20733</v>
      </c>
      <c r="C6338">
        <v>14</v>
      </c>
      <c r="D6338">
        <v>81</v>
      </c>
    </row>
    <row r="6339" spans="1:4" x14ac:dyDescent="0.25">
      <c r="A6339" s="45" t="s">
        <v>6366</v>
      </c>
      <c r="B6339" s="46" t="s">
        <v>17384</v>
      </c>
      <c r="C6339">
        <v>14</v>
      </c>
      <c r="D6339">
        <v>81</v>
      </c>
    </row>
    <row r="6340" spans="1:4" x14ac:dyDescent="0.25">
      <c r="A6340" s="45" t="s">
        <v>6367</v>
      </c>
      <c r="B6340" s="46" t="s">
        <v>17385</v>
      </c>
      <c r="C6340">
        <v>14</v>
      </c>
      <c r="D6340">
        <v>81</v>
      </c>
    </row>
    <row r="6341" spans="1:4" x14ac:dyDescent="0.25">
      <c r="A6341" s="45" t="s">
        <v>6368</v>
      </c>
      <c r="B6341" s="46" t="s">
        <v>17386</v>
      </c>
      <c r="C6341">
        <v>14</v>
      </c>
      <c r="D6341">
        <v>81</v>
      </c>
    </row>
    <row r="6342" spans="1:4" x14ac:dyDescent="0.25">
      <c r="A6342" s="45" t="s">
        <v>6369</v>
      </c>
      <c r="B6342" s="46" t="s">
        <v>17387</v>
      </c>
      <c r="C6342">
        <v>14</v>
      </c>
      <c r="D6342">
        <v>81</v>
      </c>
    </row>
    <row r="6343" spans="1:4" x14ac:dyDescent="0.25">
      <c r="A6343" s="45" t="s">
        <v>6370</v>
      </c>
      <c r="B6343" s="46" t="s">
        <v>17388</v>
      </c>
      <c r="C6343">
        <v>14</v>
      </c>
      <c r="D6343">
        <v>81</v>
      </c>
    </row>
    <row r="6344" spans="1:4" x14ac:dyDescent="0.25">
      <c r="A6344" s="45" t="s">
        <v>6371</v>
      </c>
      <c r="B6344" s="46" t="s">
        <v>17389</v>
      </c>
      <c r="C6344">
        <v>14</v>
      </c>
      <c r="D6344">
        <v>81</v>
      </c>
    </row>
    <row r="6345" spans="1:4" x14ac:dyDescent="0.25">
      <c r="A6345" s="45" t="s">
        <v>6372</v>
      </c>
      <c r="B6345" s="46" t="s">
        <v>17390</v>
      </c>
      <c r="C6345">
        <v>14</v>
      </c>
      <c r="D6345">
        <v>81</v>
      </c>
    </row>
    <row r="6346" spans="1:4" x14ac:dyDescent="0.25">
      <c r="A6346" s="45" t="s">
        <v>6373</v>
      </c>
      <c r="B6346" s="46" t="s">
        <v>17391</v>
      </c>
      <c r="C6346">
        <v>14</v>
      </c>
      <c r="D6346">
        <v>81</v>
      </c>
    </row>
    <row r="6347" spans="1:4" x14ac:dyDescent="0.25">
      <c r="A6347" s="45" t="s">
        <v>6374</v>
      </c>
      <c r="B6347" s="46" t="s">
        <v>17392</v>
      </c>
      <c r="C6347">
        <v>14</v>
      </c>
      <c r="D6347">
        <v>81</v>
      </c>
    </row>
    <row r="6348" spans="1:4" x14ac:dyDescent="0.25">
      <c r="A6348" s="45" t="s">
        <v>6375</v>
      </c>
      <c r="B6348" s="46" t="s">
        <v>17393</v>
      </c>
      <c r="C6348">
        <v>14</v>
      </c>
      <c r="D6348">
        <v>81</v>
      </c>
    </row>
    <row r="6349" spans="1:4" x14ac:dyDescent="0.25">
      <c r="A6349" s="45" t="s">
        <v>6376</v>
      </c>
      <c r="B6349" s="46" t="s">
        <v>17394</v>
      </c>
      <c r="C6349">
        <v>14</v>
      </c>
      <c r="D6349">
        <v>81</v>
      </c>
    </row>
    <row r="6350" spans="1:4" x14ac:dyDescent="0.25">
      <c r="A6350" s="45" t="s">
        <v>6377</v>
      </c>
      <c r="B6350" s="46" t="s">
        <v>17395</v>
      </c>
      <c r="C6350">
        <v>14</v>
      </c>
      <c r="D6350">
        <v>81</v>
      </c>
    </row>
    <row r="6351" spans="1:4" x14ac:dyDescent="0.25">
      <c r="A6351" s="45" t="s">
        <v>6378</v>
      </c>
      <c r="B6351" s="46" t="s">
        <v>17396</v>
      </c>
      <c r="C6351">
        <v>14</v>
      </c>
      <c r="D6351">
        <v>81</v>
      </c>
    </row>
    <row r="6352" spans="1:4" x14ac:dyDescent="0.25">
      <c r="A6352" s="45" t="s">
        <v>6379</v>
      </c>
      <c r="B6352" s="46" t="s">
        <v>17397</v>
      </c>
      <c r="C6352">
        <v>14</v>
      </c>
      <c r="D6352">
        <v>81</v>
      </c>
    </row>
    <row r="6353" spans="1:4" x14ac:dyDescent="0.25">
      <c r="A6353" s="45" t="s">
        <v>6380</v>
      </c>
      <c r="B6353" s="46" t="s">
        <v>17398</v>
      </c>
      <c r="C6353">
        <v>14</v>
      </c>
      <c r="D6353">
        <v>81</v>
      </c>
    </row>
    <row r="6354" spans="1:4" x14ac:dyDescent="0.25">
      <c r="A6354" s="45" t="s">
        <v>6381</v>
      </c>
      <c r="B6354" s="46" t="s">
        <v>17399</v>
      </c>
      <c r="C6354">
        <v>14</v>
      </c>
      <c r="D6354">
        <v>81</v>
      </c>
    </row>
    <row r="6355" spans="1:4" x14ac:dyDescent="0.25">
      <c r="A6355" s="45" t="s">
        <v>6382</v>
      </c>
      <c r="B6355" s="46" t="s">
        <v>17400</v>
      </c>
      <c r="C6355">
        <v>14</v>
      </c>
      <c r="D6355">
        <v>81</v>
      </c>
    </row>
    <row r="6356" spans="1:4" x14ac:dyDescent="0.25">
      <c r="A6356" s="45" t="s">
        <v>6383</v>
      </c>
      <c r="B6356" s="46" t="s">
        <v>17401</v>
      </c>
      <c r="C6356">
        <v>14</v>
      </c>
      <c r="D6356">
        <v>81</v>
      </c>
    </row>
    <row r="6357" spans="1:4" x14ac:dyDescent="0.25">
      <c r="A6357" s="45" t="s">
        <v>6384</v>
      </c>
      <c r="B6357" s="46" t="s">
        <v>17402</v>
      </c>
      <c r="C6357">
        <v>14</v>
      </c>
      <c r="D6357">
        <v>81</v>
      </c>
    </row>
    <row r="6358" spans="1:4" x14ac:dyDescent="0.25">
      <c r="A6358" s="45" t="s">
        <v>6385</v>
      </c>
      <c r="B6358" s="46" t="s">
        <v>20734</v>
      </c>
      <c r="C6358">
        <v>14</v>
      </c>
      <c r="D6358">
        <v>81</v>
      </c>
    </row>
    <row r="6359" spans="1:4" x14ac:dyDescent="0.25">
      <c r="A6359" s="45" t="s">
        <v>6386</v>
      </c>
      <c r="B6359" s="46" t="s">
        <v>20735</v>
      </c>
      <c r="C6359">
        <v>14</v>
      </c>
      <c r="D6359">
        <v>81</v>
      </c>
    </row>
    <row r="6360" spans="1:4" x14ac:dyDescent="0.25">
      <c r="A6360" s="45" t="s">
        <v>6387</v>
      </c>
      <c r="B6360" s="46" t="s">
        <v>20736</v>
      </c>
      <c r="C6360">
        <v>14</v>
      </c>
      <c r="D6360">
        <v>81</v>
      </c>
    </row>
    <row r="6361" spans="1:4" x14ac:dyDescent="0.25">
      <c r="A6361" s="45" t="s">
        <v>6388</v>
      </c>
      <c r="B6361" s="46" t="s">
        <v>17403</v>
      </c>
      <c r="C6361">
        <v>14</v>
      </c>
      <c r="D6361">
        <v>81</v>
      </c>
    </row>
    <row r="6362" spans="1:4" x14ac:dyDescent="0.25">
      <c r="A6362" s="45" t="s">
        <v>6389</v>
      </c>
      <c r="B6362" s="46" t="s">
        <v>20737</v>
      </c>
      <c r="C6362">
        <v>14</v>
      </c>
      <c r="D6362">
        <v>81</v>
      </c>
    </row>
    <row r="6363" spans="1:4" x14ac:dyDescent="0.25">
      <c r="A6363" s="45" t="s">
        <v>6390</v>
      </c>
      <c r="B6363" s="46" t="s">
        <v>17404</v>
      </c>
      <c r="C6363">
        <v>14</v>
      </c>
      <c r="D6363">
        <v>81</v>
      </c>
    </row>
    <row r="6364" spans="1:4" x14ac:dyDescent="0.25">
      <c r="A6364" s="45" t="s">
        <v>6391</v>
      </c>
      <c r="B6364" s="46" t="s">
        <v>20738</v>
      </c>
      <c r="C6364">
        <v>14</v>
      </c>
      <c r="D6364">
        <v>81</v>
      </c>
    </row>
    <row r="6365" spans="1:4" x14ac:dyDescent="0.25">
      <c r="A6365" s="45" t="s">
        <v>6392</v>
      </c>
      <c r="B6365" s="46" t="s">
        <v>20739</v>
      </c>
      <c r="C6365">
        <v>14</v>
      </c>
      <c r="D6365">
        <v>81</v>
      </c>
    </row>
    <row r="6366" spans="1:4" x14ac:dyDescent="0.25">
      <c r="A6366" s="45" t="s">
        <v>6393</v>
      </c>
      <c r="B6366" s="46" t="s">
        <v>17405</v>
      </c>
      <c r="C6366">
        <v>14</v>
      </c>
      <c r="D6366">
        <v>81</v>
      </c>
    </row>
    <row r="6367" spans="1:4" x14ac:dyDescent="0.25">
      <c r="A6367" s="45" t="s">
        <v>6394</v>
      </c>
      <c r="B6367" s="46" t="s">
        <v>17406</v>
      </c>
      <c r="C6367">
        <v>14</v>
      </c>
      <c r="D6367">
        <v>81</v>
      </c>
    </row>
    <row r="6368" spans="1:4" x14ac:dyDescent="0.25">
      <c r="A6368" s="45" t="s">
        <v>6395</v>
      </c>
      <c r="B6368" s="46" t="s">
        <v>17407</v>
      </c>
      <c r="C6368">
        <v>14</v>
      </c>
      <c r="D6368">
        <v>81</v>
      </c>
    </row>
    <row r="6369" spans="1:4" x14ac:dyDescent="0.25">
      <c r="A6369" s="45" t="s">
        <v>6396</v>
      </c>
      <c r="B6369" s="46" t="s">
        <v>17408</v>
      </c>
      <c r="C6369">
        <v>14</v>
      </c>
      <c r="D6369">
        <v>81</v>
      </c>
    </row>
    <row r="6370" spans="1:4" x14ac:dyDescent="0.25">
      <c r="A6370" s="45" t="s">
        <v>6397</v>
      </c>
      <c r="B6370" s="46" t="s">
        <v>17409</v>
      </c>
      <c r="C6370">
        <v>14</v>
      </c>
      <c r="D6370">
        <v>81</v>
      </c>
    </row>
    <row r="6371" spans="1:4" x14ac:dyDescent="0.25">
      <c r="A6371" s="45" t="s">
        <v>6398</v>
      </c>
      <c r="B6371" s="46" t="s">
        <v>17410</v>
      </c>
      <c r="C6371">
        <v>14</v>
      </c>
      <c r="D6371">
        <v>81</v>
      </c>
    </row>
    <row r="6372" spans="1:4" x14ac:dyDescent="0.25">
      <c r="A6372" s="45" t="s">
        <v>6399</v>
      </c>
      <c r="B6372" s="46" t="s">
        <v>17411</v>
      </c>
      <c r="C6372">
        <v>14</v>
      </c>
      <c r="D6372">
        <v>81</v>
      </c>
    </row>
    <row r="6373" spans="1:4" x14ac:dyDescent="0.25">
      <c r="A6373" s="45" t="s">
        <v>6400</v>
      </c>
      <c r="B6373" s="46" t="s">
        <v>17412</v>
      </c>
      <c r="C6373">
        <v>14</v>
      </c>
      <c r="D6373">
        <v>81</v>
      </c>
    </row>
    <row r="6374" spans="1:4" x14ac:dyDescent="0.25">
      <c r="A6374" s="45" t="s">
        <v>6401</v>
      </c>
      <c r="B6374" s="46" t="s">
        <v>17413</v>
      </c>
      <c r="C6374">
        <v>14</v>
      </c>
      <c r="D6374">
        <v>81</v>
      </c>
    </row>
    <row r="6375" spans="1:4" x14ac:dyDescent="0.25">
      <c r="A6375" s="45" t="s">
        <v>6402</v>
      </c>
      <c r="B6375" s="46" t="s">
        <v>17414</v>
      </c>
      <c r="C6375">
        <v>14</v>
      </c>
      <c r="D6375">
        <v>81</v>
      </c>
    </row>
    <row r="6376" spans="1:4" x14ac:dyDescent="0.25">
      <c r="A6376" s="45" t="s">
        <v>6403</v>
      </c>
      <c r="B6376" s="46" t="s">
        <v>17415</v>
      </c>
      <c r="C6376">
        <v>14</v>
      </c>
      <c r="D6376">
        <v>81</v>
      </c>
    </row>
    <row r="6377" spans="1:4" x14ac:dyDescent="0.25">
      <c r="A6377" s="45" t="s">
        <v>6404</v>
      </c>
      <c r="B6377" s="46" t="s">
        <v>17416</v>
      </c>
      <c r="C6377">
        <v>14</v>
      </c>
      <c r="D6377">
        <v>81</v>
      </c>
    </row>
    <row r="6378" spans="1:4" x14ac:dyDescent="0.25">
      <c r="A6378" s="45" t="s">
        <v>6405</v>
      </c>
      <c r="B6378" s="46" t="s">
        <v>17417</v>
      </c>
      <c r="C6378">
        <v>14</v>
      </c>
      <c r="D6378">
        <v>81</v>
      </c>
    </row>
    <row r="6379" spans="1:4" x14ac:dyDescent="0.25">
      <c r="A6379" s="45" t="s">
        <v>6406</v>
      </c>
      <c r="B6379" s="46" t="s">
        <v>17418</v>
      </c>
      <c r="C6379">
        <v>14</v>
      </c>
      <c r="D6379">
        <v>81</v>
      </c>
    </row>
    <row r="6380" spans="1:4" x14ac:dyDescent="0.25">
      <c r="A6380" s="45" t="s">
        <v>6407</v>
      </c>
      <c r="B6380" s="46" t="s">
        <v>17419</v>
      </c>
      <c r="C6380">
        <v>14</v>
      </c>
      <c r="D6380">
        <v>81</v>
      </c>
    </row>
    <row r="6381" spans="1:4" x14ac:dyDescent="0.25">
      <c r="A6381" s="45" t="s">
        <v>6408</v>
      </c>
      <c r="B6381" s="46" t="s">
        <v>17420</v>
      </c>
      <c r="C6381">
        <v>14</v>
      </c>
      <c r="D6381">
        <v>81</v>
      </c>
    </row>
    <row r="6382" spans="1:4" x14ac:dyDescent="0.25">
      <c r="A6382" s="45" t="s">
        <v>6409</v>
      </c>
      <c r="B6382" s="46" t="s">
        <v>17421</v>
      </c>
      <c r="C6382">
        <v>14</v>
      </c>
      <c r="D6382">
        <v>81</v>
      </c>
    </row>
    <row r="6383" spans="1:4" x14ac:dyDescent="0.25">
      <c r="A6383" s="45" t="s">
        <v>6410</v>
      </c>
      <c r="B6383" s="46" t="s">
        <v>17422</v>
      </c>
      <c r="C6383">
        <v>14</v>
      </c>
      <c r="D6383">
        <v>81</v>
      </c>
    </row>
    <row r="6384" spans="1:4" x14ac:dyDescent="0.25">
      <c r="A6384" s="45" t="s">
        <v>6411</v>
      </c>
      <c r="B6384" s="46" t="s">
        <v>17423</v>
      </c>
      <c r="C6384">
        <v>14</v>
      </c>
      <c r="D6384">
        <v>81</v>
      </c>
    </row>
    <row r="6385" spans="1:4" x14ac:dyDescent="0.25">
      <c r="A6385" s="45" t="s">
        <v>6412</v>
      </c>
      <c r="B6385" s="46" t="s">
        <v>17424</v>
      </c>
      <c r="C6385">
        <v>14</v>
      </c>
      <c r="D6385">
        <v>81</v>
      </c>
    </row>
    <row r="6386" spans="1:4" x14ac:dyDescent="0.25">
      <c r="A6386" s="45" t="s">
        <v>6413</v>
      </c>
      <c r="B6386" s="46" t="s">
        <v>17425</v>
      </c>
      <c r="C6386">
        <v>14</v>
      </c>
      <c r="D6386">
        <v>81</v>
      </c>
    </row>
    <row r="6387" spans="1:4" x14ac:dyDescent="0.25">
      <c r="A6387" s="45" t="s">
        <v>6414</v>
      </c>
      <c r="B6387" s="46" t="s">
        <v>17426</v>
      </c>
      <c r="C6387">
        <v>14</v>
      </c>
      <c r="D6387">
        <v>81</v>
      </c>
    </row>
    <row r="6388" spans="1:4" x14ac:dyDescent="0.25">
      <c r="A6388" s="45" t="s">
        <v>6415</v>
      </c>
      <c r="B6388" s="46" t="s">
        <v>20740</v>
      </c>
      <c r="C6388">
        <v>14</v>
      </c>
      <c r="D6388">
        <v>81</v>
      </c>
    </row>
    <row r="6389" spans="1:4" x14ac:dyDescent="0.25">
      <c r="A6389" s="45" t="s">
        <v>6416</v>
      </c>
      <c r="B6389" s="46" t="s">
        <v>17427</v>
      </c>
      <c r="C6389">
        <v>14</v>
      </c>
      <c r="D6389">
        <v>81</v>
      </c>
    </row>
    <row r="6390" spans="1:4" x14ac:dyDescent="0.25">
      <c r="A6390" s="45" t="s">
        <v>6417</v>
      </c>
      <c r="B6390" s="46" t="s">
        <v>17428</v>
      </c>
      <c r="C6390">
        <v>14</v>
      </c>
      <c r="D6390">
        <v>81</v>
      </c>
    </row>
    <row r="6391" spans="1:4" x14ac:dyDescent="0.25">
      <c r="A6391" s="45" t="s">
        <v>6418</v>
      </c>
      <c r="B6391" s="46" t="s">
        <v>17429</v>
      </c>
      <c r="C6391">
        <v>14</v>
      </c>
      <c r="D6391">
        <v>81</v>
      </c>
    </row>
    <row r="6392" spans="1:4" x14ac:dyDescent="0.25">
      <c r="A6392" s="45" t="s">
        <v>6419</v>
      </c>
      <c r="B6392" s="46" t="s">
        <v>17430</v>
      </c>
      <c r="C6392">
        <v>14</v>
      </c>
      <c r="D6392">
        <v>81</v>
      </c>
    </row>
    <row r="6393" spans="1:4" x14ac:dyDescent="0.25">
      <c r="A6393" s="45" t="s">
        <v>6420</v>
      </c>
      <c r="B6393" s="46" t="s">
        <v>17431</v>
      </c>
      <c r="C6393">
        <v>14</v>
      </c>
      <c r="D6393">
        <v>81</v>
      </c>
    </row>
    <row r="6394" spans="1:4" x14ac:dyDescent="0.25">
      <c r="A6394" s="45" t="s">
        <v>6421</v>
      </c>
      <c r="B6394" s="46" t="s">
        <v>17432</v>
      </c>
      <c r="C6394">
        <v>14</v>
      </c>
      <c r="D6394">
        <v>81</v>
      </c>
    </row>
    <row r="6395" spans="1:4" x14ac:dyDescent="0.25">
      <c r="A6395" s="45" t="s">
        <v>6422</v>
      </c>
      <c r="B6395" s="46" t="s">
        <v>17433</v>
      </c>
      <c r="C6395">
        <v>14</v>
      </c>
      <c r="D6395">
        <v>81</v>
      </c>
    </row>
    <row r="6396" spans="1:4" x14ac:dyDescent="0.25">
      <c r="A6396" s="45" t="s">
        <v>6423</v>
      </c>
      <c r="B6396" s="46" t="s">
        <v>17434</v>
      </c>
      <c r="C6396">
        <v>14</v>
      </c>
      <c r="D6396">
        <v>81</v>
      </c>
    </row>
    <row r="6397" spans="1:4" x14ac:dyDescent="0.25">
      <c r="A6397" s="45" t="s">
        <v>6424</v>
      </c>
      <c r="B6397" s="46" t="s">
        <v>17435</v>
      </c>
      <c r="C6397">
        <v>14</v>
      </c>
      <c r="D6397">
        <v>81</v>
      </c>
    </row>
    <row r="6398" spans="1:4" x14ac:dyDescent="0.25">
      <c r="A6398" s="45" t="s">
        <v>6425</v>
      </c>
      <c r="B6398" s="46" t="s">
        <v>17436</v>
      </c>
      <c r="C6398">
        <v>14</v>
      </c>
      <c r="D6398">
        <v>81</v>
      </c>
    </row>
    <row r="6399" spans="1:4" x14ac:dyDescent="0.25">
      <c r="A6399" s="45" t="s">
        <v>6426</v>
      </c>
      <c r="B6399" s="46" t="s">
        <v>17437</v>
      </c>
      <c r="C6399">
        <v>14</v>
      </c>
      <c r="D6399">
        <v>81</v>
      </c>
    </row>
    <row r="6400" spans="1:4" x14ac:dyDescent="0.25">
      <c r="A6400" s="45" t="s">
        <v>6427</v>
      </c>
      <c r="B6400" s="46" t="s">
        <v>17438</v>
      </c>
      <c r="C6400">
        <v>14</v>
      </c>
      <c r="D6400">
        <v>81</v>
      </c>
    </row>
    <row r="6401" spans="1:4" x14ac:dyDescent="0.25">
      <c r="A6401" s="45" t="s">
        <v>6428</v>
      </c>
      <c r="B6401" s="46" t="s">
        <v>17439</v>
      </c>
      <c r="C6401">
        <v>14</v>
      </c>
      <c r="D6401">
        <v>81</v>
      </c>
    </row>
    <row r="6402" spans="1:4" x14ac:dyDescent="0.25">
      <c r="A6402" s="45" t="s">
        <v>6429</v>
      </c>
      <c r="B6402" s="46" t="s">
        <v>17440</v>
      </c>
      <c r="C6402">
        <v>14</v>
      </c>
      <c r="D6402">
        <v>81</v>
      </c>
    </row>
    <row r="6403" spans="1:4" x14ac:dyDescent="0.25">
      <c r="A6403" s="45" t="s">
        <v>6430</v>
      </c>
      <c r="B6403" s="46" t="s">
        <v>17441</v>
      </c>
      <c r="C6403">
        <v>14</v>
      </c>
      <c r="D6403">
        <v>81</v>
      </c>
    </row>
    <row r="6404" spans="1:4" x14ac:dyDescent="0.25">
      <c r="A6404" s="45" t="s">
        <v>6431</v>
      </c>
      <c r="B6404" s="46" t="s">
        <v>17442</v>
      </c>
      <c r="C6404">
        <v>14</v>
      </c>
      <c r="D6404">
        <v>81</v>
      </c>
    </row>
    <row r="6405" spans="1:4" x14ac:dyDescent="0.25">
      <c r="A6405" s="45" t="s">
        <v>6432</v>
      </c>
      <c r="B6405" s="46" t="s">
        <v>17443</v>
      </c>
      <c r="C6405">
        <v>14</v>
      </c>
      <c r="D6405">
        <v>81</v>
      </c>
    </row>
    <row r="6406" spans="1:4" x14ac:dyDescent="0.25">
      <c r="A6406" s="45" t="s">
        <v>6433</v>
      </c>
      <c r="B6406" s="46" t="s">
        <v>17444</v>
      </c>
      <c r="C6406">
        <v>14</v>
      </c>
      <c r="D6406">
        <v>81</v>
      </c>
    </row>
    <row r="6407" spans="1:4" x14ac:dyDescent="0.25">
      <c r="A6407" s="45" t="s">
        <v>6434</v>
      </c>
      <c r="B6407" s="46" t="s">
        <v>17445</v>
      </c>
      <c r="C6407">
        <v>14</v>
      </c>
      <c r="D6407">
        <v>81</v>
      </c>
    </row>
    <row r="6408" spans="1:4" x14ac:dyDescent="0.25">
      <c r="A6408" s="45" t="s">
        <v>6435</v>
      </c>
      <c r="B6408" s="46" t="s">
        <v>17446</v>
      </c>
      <c r="C6408">
        <v>14</v>
      </c>
      <c r="D6408">
        <v>81</v>
      </c>
    </row>
    <row r="6409" spans="1:4" x14ac:dyDescent="0.25">
      <c r="A6409" s="45" t="s">
        <v>6436</v>
      </c>
      <c r="B6409" s="46" t="s">
        <v>17447</v>
      </c>
      <c r="C6409">
        <v>14</v>
      </c>
      <c r="D6409">
        <v>81</v>
      </c>
    </row>
    <row r="6410" spans="1:4" x14ac:dyDescent="0.25">
      <c r="A6410" s="45" t="s">
        <v>6437</v>
      </c>
      <c r="B6410" s="46" t="s">
        <v>20741</v>
      </c>
      <c r="C6410">
        <v>14</v>
      </c>
      <c r="D6410">
        <v>81</v>
      </c>
    </row>
    <row r="6411" spans="1:4" x14ac:dyDescent="0.25">
      <c r="A6411" s="45" t="s">
        <v>6438</v>
      </c>
      <c r="B6411" s="46" t="s">
        <v>20742</v>
      </c>
      <c r="C6411">
        <v>14</v>
      </c>
      <c r="D6411">
        <v>81</v>
      </c>
    </row>
    <row r="6412" spans="1:4" x14ac:dyDescent="0.25">
      <c r="A6412" s="45" t="s">
        <v>6439</v>
      </c>
      <c r="B6412" s="46" t="s">
        <v>20743</v>
      </c>
      <c r="C6412">
        <v>14</v>
      </c>
      <c r="D6412">
        <v>81</v>
      </c>
    </row>
    <row r="6413" spans="1:4" x14ac:dyDescent="0.25">
      <c r="A6413" s="45" t="s">
        <v>6440</v>
      </c>
      <c r="B6413" s="46" t="s">
        <v>20744</v>
      </c>
      <c r="C6413">
        <v>14</v>
      </c>
      <c r="D6413">
        <v>81</v>
      </c>
    </row>
    <row r="6414" spans="1:4" x14ac:dyDescent="0.25">
      <c r="A6414" s="45" t="s">
        <v>6441</v>
      </c>
      <c r="B6414" s="46" t="s">
        <v>17448</v>
      </c>
      <c r="C6414">
        <v>14</v>
      </c>
      <c r="D6414">
        <v>81</v>
      </c>
    </row>
    <row r="6415" spans="1:4" x14ac:dyDescent="0.25">
      <c r="A6415" s="45" t="s">
        <v>6442</v>
      </c>
      <c r="B6415" s="46" t="s">
        <v>17449</v>
      </c>
      <c r="C6415">
        <v>14</v>
      </c>
      <c r="D6415">
        <v>81</v>
      </c>
    </row>
    <row r="6416" spans="1:4" x14ac:dyDescent="0.25">
      <c r="A6416" s="45" t="s">
        <v>6443</v>
      </c>
      <c r="B6416" s="46" t="s">
        <v>17450</v>
      </c>
      <c r="C6416">
        <v>14</v>
      </c>
      <c r="D6416">
        <v>81</v>
      </c>
    </row>
    <row r="6417" spans="1:4" x14ac:dyDescent="0.25">
      <c r="A6417" s="45" t="s">
        <v>6444</v>
      </c>
      <c r="B6417" s="46" t="s">
        <v>20745</v>
      </c>
      <c r="C6417">
        <v>14</v>
      </c>
      <c r="D6417">
        <v>81</v>
      </c>
    </row>
    <row r="6418" spans="1:4" x14ac:dyDescent="0.25">
      <c r="A6418" s="45" t="s">
        <v>6445</v>
      </c>
      <c r="B6418" s="46" t="s">
        <v>17451</v>
      </c>
      <c r="C6418">
        <v>14</v>
      </c>
      <c r="D6418">
        <v>81</v>
      </c>
    </row>
    <row r="6419" spans="1:4" x14ac:dyDescent="0.25">
      <c r="A6419" s="45" t="s">
        <v>6446</v>
      </c>
      <c r="B6419" s="46" t="s">
        <v>17452</v>
      </c>
      <c r="C6419">
        <v>14</v>
      </c>
      <c r="D6419">
        <v>81</v>
      </c>
    </row>
    <row r="6420" spans="1:4" x14ac:dyDescent="0.25">
      <c r="A6420" s="45" t="s">
        <v>6447</v>
      </c>
      <c r="B6420" s="46" t="s">
        <v>17453</v>
      </c>
      <c r="C6420">
        <v>14</v>
      </c>
      <c r="D6420">
        <v>81</v>
      </c>
    </row>
    <row r="6421" spans="1:4" x14ac:dyDescent="0.25">
      <c r="A6421" s="45" t="s">
        <v>6448</v>
      </c>
      <c r="B6421" s="46" t="s">
        <v>17454</v>
      </c>
      <c r="C6421">
        <v>14</v>
      </c>
      <c r="D6421">
        <v>81</v>
      </c>
    </row>
    <row r="6422" spans="1:4" x14ac:dyDescent="0.25">
      <c r="A6422" s="45" t="s">
        <v>6449</v>
      </c>
      <c r="B6422" s="46" t="s">
        <v>20746</v>
      </c>
      <c r="C6422">
        <v>14</v>
      </c>
      <c r="D6422">
        <v>81</v>
      </c>
    </row>
    <row r="6423" spans="1:4" x14ac:dyDescent="0.25">
      <c r="A6423" s="45" t="s">
        <v>6450</v>
      </c>
      <c r="B6423" s="46" t="s">
        <v>20747</v>
      </c>
      <c r="C6423">
        <v>14</v>
      </c>
      <c r="D6423">
        <v>81</v>
      </c>
    </row>
    <row r="6424" spans="1:4" x14ac:dyDescent="0.25">
      <c r="A6424" s="45" t="s">
        <v>6451</v>
      </c>
      <c r="B6424" s="46" t="s">
        <v>17455</v>
      </c>
      <c r="C6424">
        <v>14</v>
      </c>
      <c r="D6424">
        <v>81</v>
      </c>
    </row>
    <row r="6425" spans="1:4" x14ac:dyDescent="0.25">
      <c r="A6425" s="45" t="s">
        <v>6452</v>
      </c>
      <c r="B6425" s="46" t="s">
        <v>17456</v>
      </c>
      <c r="C6425">
        <v>14</v>
      </c>
      <c r="D6425">
        <v>81</v>
      </c>
    </row>
    <row r="6426" spans="1:4" x14ac:dyDescent="0.25">
      <c r="A6426" s="45" t="s">
        <v>6453</v>
      </c>
      <c r="B6426" s="46" t="s">
        <v>17457</v>
      </c>
      <c r="C6426">
        <v>14</v>
      </c>
      <c r="D6426">
        <v>81</v>
      </c>
    </row>
    <row r="6427" spans="1:4" x14ac:dyDescent="0.25">
      <c r="A6427" s="45" t="s">
        <v>6454</v>
      </c>
      <c r="B6427" s="46" t="s">
        <v>17458</v>
      </c>
      <c r="C6427">
        <v>14</v>
      </c>
      <c r="D6427">
        <v>81</v>
      </c>
    </row>
    <row r="6428" spans="1:4" x14ac:dyDescent="0.25">
      <c r="A6428" s="45" t="s">
        <v>6455</v>
      </c>
      <c r="B6428" s="46" t="s">
        <v>20748</v>
      </c>
      <c r="C6428">
        <v>14</v>
      </c>
      <c r="D6428">
        <v>81</v>
      </c>
    </row>
    <row r="6429" spans="1:4" x14ac:dyDescent="0.25">
      <c r="A6429" s="45" t="s">
        <v>6456</v>
      </c>
      <c r="B6429" s="46" t="s">
        <v>20749</v>
      </c>
      <c r="C6429">
        <v>14</v>
      </c>
      <c r="D6429">
        <v>81</v>
      </c>
    </row>
    <row r="6430" spans="1:4" x14ac:dyDescent="0.25">
      <c r="A6430" s="45" t="s">
        <v>6457</v>
      </c>
      <c r="B6430" s="46" t="s">
        <v>17459</v>
      </c>
      <c r="C6430">
        <v>14</v>
      </c>
      <c r="D6430">
        <v>81</v>
      </c>
    </row>
    <row r="6431" spans="1:4" x14ac:dyDescent="0.25">
      <c r="A6431" s="45" t="s">
        <v>6458</v>
      </c>
      <c r="B6431" s="46" t="s">
        <v>17460</v>
      </c>
      <c r="C6431">
        <v>14</v>
      </c>
      <c r="D6431">
        <v>81</v>
      </c>
    </row>
    <row r="6432" spans="1:4" x14ac:dyDescent="0.25">
      <c r="A6432" s="45" t="s">
        <v>6459</v>
      </c>
      <c r="B6432" s="46" t="s">
        <v>17461</v>
      </c>
      <c r="C6432">
        <v>14</v>
      </c>
      <c r="D6432">
        <v>81</v>
      </c>
    </row>
    <row r="6433" spans="1:4" x14ac:dyDescent="0.25">
      <c r="A6433" s="45" t="s">
        <v>6460</v>
      </c>
      <c r="B6433" s="46" t="s">
        <v>17462</v>
      </c>
      <c r="C6433">
        <v>14</v>
      </c>
      <c r="D6433">
        <v>81</v>
      </c>
    </row>
    <row r="6434" spans="1:4" x14ac:dyDescent="0.25">
      <c r="A6434" s="45" t="s">
        <v>6461</v>
      </c>
      <c r="B6434" s="46" t="s">
        <v>17463</v>
      </c>
      <c r="C6434">
        <v>14</v>
      </c>
      <c r="D6434">
        <v>81</v>
      </c>
    </row>
    <row r="6435" spans="1:4" x14ac:dyDescent="0.25">
      <c r="A6435" s="45" t="s">
        <v>6462</v>
      </c>
      <c r="B6435" s="46" t="s">
        <v>17464</v>
      </c>
      <c r="C6435">
        <v>14</v>
      </c>
      <c r="D6435">
        <v>81</v>
      </c>
    </row>
    <row r="6436" spans="1:4" x14ac:dyDescent="0.25">
      <c r="A6436" s="45" t="s">
        <v>6463</v>
      </c>
      <c r="B6436" s="46" t="s">
        <v>17465</v>
      </c>
      <c r="C6436">
        <v>14</v>
      </c>
      <c r="D6436">
        <v>81</v>
      </c>
    </row>
    <row r="6437" spans="1:4" x14ac:dyDescent="0.25">
      <c r="A6437" s="45" t="s">
        <v>6464</v>
      </c>
      <c r="B6437" s="46" t="s">
        <v>17466</v>
      </c>
      <c r="C6437">
        <v>14</v>
      </c>
      <c r="D6437">
        <v>81</v>
      </c>
    </row>
    <row r="6438" spans="1:4" x14ac:dyDescent="0.25">
      <c r="A6438" s="45" t="s">
        <v>6465</v>
      </c>
      <c r="B6438" s="46" t="s">
        <v>17467</v>
      </c>
      <c r="C6438">
        <v>14</v>
      </c>
      <c r="D6438">
        <v>81</v>
      </c>
    </row>
    <row r="6439" spans="1:4" x14ac:dyDescent="0.25">
      <c r="A6439" s="45" t="s">
        <v>6466</v>
      </c>
      <c r="B6439" s="46" t="s">
        <v>17468</v>
      </c>
      <c r="C6439">
        <v>14</v>
      </c>
      <c r="D6439">
        <v>81</v>
      </c>
    </row>
    <row r="6440" spans="1:4" x14ac:dyDescent="0.25">
      <c r="A6440" s="45" t="s">
        <v>6467</v>
      </c>
      <c r="B6440" s="46" t="s">
        <v>20750</v>
      </c>
      <c r="C6440">
        <v>14</v>
      </c>
      <c r="D6440">
        <v>81</v>
      </c>
    </row>
    <row r="6441" spans="1:4" x14ac:dyDescent="0.25">
      <c r="A6441" s="45" t="s">
        <v>6468</v>
      </c>
      <c r="B6441" s="46" t="s">
        <v>17469</v>
      </c>
      <c r="C6441">
        <v>14</v>
      </c>
      <c r="D6441">
        <v>81</v>
      </c>
    </row>
    <row r="6442" spans="1:4" x14ac:dyDescent="0.25">
      <c r="A6442" s="45" t="s">
        <v>6469</v>
      </c>
      <c r="B6442" s="46" t="s">
        <v>17470</v>
      </c>
      <c r="C6442">
        <v>14</v>
      </c>
      <c r="D6442">
        <v>81</v>
      </c>
    </row>
    <row r="6443" spans="1:4" x14ac:dyDescent="0.25">
      <c r="A6443" s="45" t="s">
        <v>6470</v>
      </c>
      <c r="B6443" s="46" t="s">
        <v>17471</v>
      </c>
      <c r="C6443">
        <v>14</v>
      </c>
      <c r="D6443">
        <v>81</v>
      </c>
    </row>
    <row r="6444" spans="1:4" x14ac:dyDescent="0.25">
      <c r="A6444" s="45" t="s">
        <v>6471</v>
      </c>
      <c r="B6444" s="46" t="s">
        <v>17472</v>
      </c>
      <c r="C6444">
        <v>14</v>
      </c>
      <c r="D6444">
        <v>81</v>
      </c>
    </row>
    <row r="6445" spans="1:4" x14ac:dyDescent="0.25">
      <c r="A6445" s="45" t="s">
        <v>6472</v>
      </c>
      <c r="B6445" s="46" t="s">
        <v>17473</v>
      </c>
      <c r="C6445">
        <v>14</v>
      </c>
      <c r="D6445">
        <v>81</v>
      </c>
    </row>
    <row r="6446" spans="1:4" x14ac:dyDescent="0.25">
      <c r="A6446" s="45" t="s">
        <v>6473</v>
      </c>
      <c r="B6446" s="46" t="s">
        <v>17474</v>
      </c>
      <c r="C6446">
        <v>14</v>
      </c>
      <c r="D6446">
        <v>81</v>
      </c>
    </row>
    <row r="6447" spans="1:4" x14ac:dyDescent="0.25">
      <c r="A6447" s="45" t="s">
        <v>6474</v>
      </c>
      <c r="B6447" s="46" t="s">
        <v>17475</v>
      </c>
      <c r="C6447">
        <v>14</v>
      </c>
      <c r="D6447">
        <v>81</v>
      </c>
    </row>
    <row r="6448" spans="1:4" x14ac:dyDescent="0.25">
      <c r="A6448" s="45" t="s">
        <v>6475</v>
      </c>
      <c r="B6448" s="46" t="s">
        <v>17476</v>
      </c>
      <c r="C6448">
        <v>14</v>
      </c>
      <c r="D6448">
        <v>81</v>
      </c>
    </row>
    <row r="6449" spans="1:4" x14ac:dyDescent="0.25">
      <c r="A6449" s="45" t="s">
        <v>6476</v>
      </c>
      <c r="B6449" s="46" t="s">
        <v>17477</v>
      </c>
      <c r="C6449">
        <v>14</v>
      </c>
      <c r="D6449">
        <v>81</v>
      </c>
    </row>
    <row r="6450" spans="1:4" x14ac:dyDescent="0.25">
      <c r="A6450" s="45" t="s">
        <v>6477</v>
      </c>
      <c r="B6450" s="46" t="s">
        <v>17478</v>
      </c>
      <c r="C6450">
        <v>14</v>
      </c>
      <c r="D6450">
        <v>81</v>
      </c>
    </row>
    <row r="6451" spans="1:4" x14ac:dyDescent="0.25">
      <c r="A6451" s="45" t="s">
        <v>6478</v>
      </c>
      <c r="B6451" s="46" t="s">
        <v>17479</v>
      </c>
      <c r="C6451">
        <v>14</v>
      </c>
      <c r="D6451">
        <v>81</v>
      </c>
    </row>
    <row r="6452" spans="1:4" x14ac:dyDescent="0.25">
      <c r="A6452" s="45" t="s">
        <v>6479</v>
      </c>
      <c r="B6452" s="46" t="s">
        <v>17480</v>
      </c>
      <c r="C6452">
        <v>14</v>
      </c>
      <c r="D6452">
        <v>81</v>
      </c>
    </row>
    <row r="6453" spans="1:4" x14ac:dyDescent="0.25">
      <c r="A6453" s="45" t="s">
        <v>6480</v>
      </c>
      <c r="B6453" s="46" t="s">
        <v>17481</v>
      </c>
      <c r="C6453">
        <v>14</v>
      </c>
      <c r="D6453">
        <v>81</v>
      </c>
    </row>
    <row r="6454" spans="1:4" x14ac:dyDescent="0.25">
      <c r="A6454" s="45" t="s">
        <v>6481</v>
      </c>
      <c r="B6454" s="46" t="s">
        <v>17482</v>
      </c>
      <c r="C6454">
        <v>14</v>
      </c>
      <c r="D6454">
        <v>81</v>
      </c>
    </row>
    <row r="6455" spans="1:4" x14ac:dyDescent="0.25">
      <c r="A6455" s="45" t="s">
        <v>6482</v>
      </c>
      <c r="B6455" s="46" t="s">
        <v>17483</v>
      </c>
      <c r="C6455">
        <v>14</v>
      </c>
      <c r="D6455">
        <v>81</v>
      </c>
    </row>
    <row r="6456" spans="1:4" x14ac:dyDescent="0.25">
      <c r="A6456" s="45" t="s">
        <v>6483</v>
      </c>
      <c r="B6456" s="46" t="s">
        <v>17484</v>
      </c>
      <c r="C6456">
        <v>14</v>
      </c>
      <c r="D6456">
        <v>81</v>
      </c>
    </row>
    <row r="6457" spans="1:4" x14ac:dyDescent="0.25">
      <c r="A6457" s="45" t="s">
        <v>6484</v>
      </c>
      <c r="B6457" s="46" t="s">
        <v>17485</v>
      </c>
      <c r="C6457">
        <v>14</v>
      </c>
      <c r="D6457">
        <v>81</v>
      </c>
    </row>
    <row r="6458" spans="1:4" x14ac:dyDescent="0.25">
      <c r="A6458" s="45" t="s">
        <v>6485</v>
      </c>
      <c r="B6458" s="46" t="s">
        <v>17486</v>
      </c>
      <c r="C6458">
        <v>9</v>
      </c>
      <c r="D6458">
        <v>55</v>
      </c>
    </row>
    <row r="6459" spans="1:4" x14ac:dyDescent="0.25">
      <c r="A6459" s="45" t="s">
        <v>6486</v>
      </c>
      <c r="B6459" s="46" t="s">
        <v>17487</v>
      </c>
      <c r="C6459">
        <v>14</v>
      </c>
      <c r="D6459">
        <v>81</v>
      </c>
    </row>
    <row r="6460" spans="1:4" x14ac:dyDescent="0.25">
      <c r="A6460" s="45" t="s">
        <v>6487</v>
      </c>
      <c r="B6460" s="46" t="s">
        <v>17488</v>
      </c>
      <c r="C6460">
        <v>14</v>
      </c>
      <c r="D6460">
        <v>81</v>
      </c>
    </row>
    <row r="6461" spans="1:4" x14ac:dyDescent="0.25">
      <c r="A6461" s="45" t="s">
        <v>6488</v>
      </c>
      <c r="B6461" s="46" t="s">
        <v>20751</v>
      </c>
      <c r="C6461">
        <v>14</v>
      </c>
      <c r="D6461">
        <v>81</v>
      </c>
    </row>
    <row r="6462" spans="1:4" x14ac:dyDescent="0.25">
      <c r="A6462" s="45" t="s">
        <v>6489</v>
      </c>
      <c r="B6462" s="46" t="s">
        <v>20752</v>
      </c>
      <c r="C6462">
        <v>14</v>
      </c>
      <c r="D6462">
        <v>81</v>
      </c>
    </row>
    <row r="6463" spans="1:4" x14ac:dyDescent="0.25">
      <c r="A6463" s="45" t="s">
        <v>6490</v>
      </c>
      <c r="B6463" s="46" t="s">
        <v>20753</v>
      </c>
      <c r="C6463">
        <v>14</v>
      </c>
      <c r="D6463">
        <v>81</v>
      </c>
    </row>
    <row r="6464" spans="1:4" x14ac:dyDescent="0.25">
      <c r="A6464" s="45" t="s">
        <v>6491</v>
      </c>
      <c r="B6464" s="46" t="s">
        <v>17489</v>
      </c>
      <c r="C6464">
        <v>9</v>
      </c>
      <c r="D6464">
        <v>55</v>
      </c>
    </row>
    <row r="6465" spans="1:4" x14ac:dyDescent="0.25">
      <c r="A6465" s="45" t="s">
        <v>6492</v>
      </c>
      <c r="B6465" s="46" t="s">
        <v>20754</v>
      </c>
      <c r="C6465">
        <v>14</v>
      </c>
      <c r="D6465">
        <v>81</v>
      </c>
    </row>
    <row r="6466" spans="1:4" x14ac:dyDescent="0.25">
      <c r="A6466" s="45" t="s">
        <v>6493</v>
      </c>
      <c r="B6466" s="46" t="s">
        <v>17490</v>
      </c>
      <c r="C6466">
        <v>14</v>
      </c>
      <c r="D6466">
        <v>81</v>
      </c>
    </row>
    <row r="6467" spans="1:4" x14ac:dyDescent="0.25">
      <c r="A6467" s="45" t="s">
        <v>6494</v>
      </c>
      <c r="B6467" s="46" t="s">
        <v>17491</v>
      </c>
      <c r="C6467">
        <v>14</v>
      </c>
      <c r="D6467">
        <v>81</v>
      </c>
    </row>
    <row r="6468" spans="1:4" x14ac:dyDescent="0.25">
      <c r="A6468" s="45" t="s">
        <v>6495</v>
      </c>
      <c r="B6468" s="46" t="s">
        <v>17492</v>
      </c>
      <c r="C6468">
        <v>14</v>
      </c>
      <c r="D6468">
        <v>81</v>
      </c>
    </row>
    <row r="6469" spans="1:4" x14ac:dyDescent="0.25">
      <c r="A6469" s="45" t="s">
        <v>6496</v>
      </c>
      <c r="B6469" s="46" t="s">
        <v>20755</v>
      </c>
      <c r="C6469">
        <v>14</v>
      </c>
      <c r="D6469">
        <v>81</v>
      </c>
    </row>
    <row r="6470" spans="1:4" x14ac:dyDescent="0.25">
      <c r="A6470" s="45" t="s">
        <v>6497</v>
      </c>
      <c r="B6470" s="46" t="s">
        <v>20756</v>
      </c>
      <c r="C6470">
        <v>14</v>
      </c>
      <c r="D6470">
        <v>81</v>
      </c>
    </row>
    <row r="6471" spans="1:4" x14ac:dyDescent="0.25">
      <c r="A6471" s="45" t="s">
        <v>6498</v>
      </c>
      <c r="B6471" s="46" t="s">
        <v>20757</v>
      </c>
      <c r="C6471">
        <v>14</v>
      </c>
      <c r="D6471">
        <v>81</v>
      </c>
    </row>
    <row r="6472" spans="1:4" x14ac:dyDescent="0.25">
      <c r="A6472" s="45" t="s">
        <v>6499</v>
      </c>
      <c r="B6472" s="46" t="s">
        <v>20758</v>
      </c>
      <c r="C6472">
        <v>14</v>
      </c>
      <c r="D6472">
        <v>81</v>
      </c>
    </row>
    <row r="6473" spans="1:4" x14ac:dyDescent="0.25">
      <c r="A6473" s="45" t="s">
        <v>6500</v>
      </c>
      <c r="B6473" s="46" t="s">
        <v>20759</v>
      </c>
      <c r="C6473">
        <v>14</v>
      </c>
      <c r="D6473">
        <v>81</v>
      </c>
    </row>
    <row r="6474" spans="1:4" x14ac:dyDescent="0.25">
      <c r="A6474" s="45" t="s">
        <v>6501</v>
      </c>
      <c r="B6474" s="46" t="s">
        <v>20760</v>
      </c>
      <c r="C6474">
        <v>14</v>
      </c>
      <c r="D6474">
        <v>81</v>
      </c>
    </row>
    <row r="6475" spans="1:4" x14ac:dyDescent="0.25">
      <c r="A6475" s="45" t="s">
        <v>6502</v>
      </c>
      <c r="B6475" s="46" t="s">
        <v>20761</v>
      </c>
      <c r="C6475">
        <v>14</v>
      </c>
      <c r="D6475">
        <v>81</v>
      </c>
    </row>
    <row r="6476" spans="1:4" x14ac:dyDescent="0.25">
      <c r="A6476" s="45" t="s">
        <v>6503</v>
      </c>
      <c r="B6476" s="46" t="s">
        <v>20762</v>
      </c>
      <c r="C6476">
        <v>14</v>
      </c>
      <c r="D6476">
        <v>81</v>
      </c>
    </row>
    <row r="6477" spans="1:4" x14ac:dyDescent="0.25">
      <c r="A6477" s="45" t="s">
        <v>6504</v>
      </c>
      <c r="B6477" s="46" t="s">
        <v>17493</v>
      </c>
      <c r="C6477">
        <v>14</v>
      </c>
      <c r="D6477">
        <v>81</v>
      </c>
    </row>
    <row r="6478" spans="1:4" x14ac:dyDescent="0.25">
      <c r="A6478" s="45" t="s">
        <v>6505</v>
      </c>
      <c r="B6478" s="46" t="s">
        <v>17494</v>
      </c>
      <c r="C6478">
        <v>14</v>
      </c>
      <c r="D6478">
        <v>81</v>
      </c>
    </row>
    <row r="6479" spans="1:4" x14ac:dyDescent="0.25">
      <c r="A6479" s="45" t="s">
        <v>6506</v>
      </c>
      <c r="B6479" s="46" t="s">
        <v>17495</v>
      </c>
      <c r="C6479">
        <v>14</v>
      </c>
      <c r="D6479">
        <v>81</v>
      </c>
    </row>
    <row r="6480" spans="1:4" x14ac:dyDescent="0.25">
      <c r="A6480" s="45" t="s">
        <v>6507</v>
      </c>
      <c r="B6480" s="46" t="s">
        <v>17496</v>
      </c>
      <c r="C6480">
        <v>14</v>
      </c>
      <c r="D6480">
        <v>81</v>
      </c>
    </row>
    <row r="6481" spans="1:4" x14ac:dyDescent="0.25">
      <c r="A6481" s="45" t="s">
        <v>6508</v>
      </c>
      <c r="B6481" s="46" t="s">
        <v>20763</v>
      </c>
      <c r="C6481">
        <v>14</v>
      </c>
      <c r="D6481">
        <v>81</v>
      </c>
    </row>
    <row r="6482" spans="1:4" x14ac:dyDescent="0.25">
      <c r="A6482" s="45" t="s">
        <v>6509</v>
      </c>
      <c r="B6482" s="46" t="s">
        <v>17497</v>
      </c>
      <c r="C6482">
        <v>14</v>
      </c>
      <c r="D6482">
        <v>81</v>
      </c>
    </row>
    <row r="6483" spans="1:4" x14ac:dyDescent="0.25">
      <c r="A6483" s="45" t="s">
        <v>6510</v>
      </c>
      <c r="B6483" s="46" t="s">
        <v>17498</v>
      </c>
      <c r="C6483">
        <v>14</v>
      </c>
      <c r="D6483">
        <v>81</v>
      </c>
    </row>
    <row r="6484" spans="1:4" x14ac:dyDescent="0.25">
      <c r="A6484" s="45" t="s">
        <v>6511</v>
      </c>
      <c r="B6484" s="46" t="s">
        <v>17499</v>
      </c>
      <c r="C6484">
        <v>14</v>
      </c>
      <c r="D6484">
        <v>81</v>
      </c>
    </row>
    <row r="6485" spans="1:4" x14ac:dyDescent="0.25">
      <c r="A6485" s="45" t="s">
        <v>6512</v>
      </c>
      <c r="B6485" s="46" t="s">
        <v>17469</v>
      </c>
      <c r="C6485">
        <v>14</v>
      </c>
      <c r="D6485">
        <v>81</v>
      </c>
    </row>
    <row r="6486" spans="1:4" x14ac:dyDescent="0.25">
      <c r="A6486" s="45" t="s">
        <v>6513</v>
      </c>
      <c r="B6486" s="46" t="s">
        <v>17500</v>
      </c>
      <c r="C6486">
        <v>14</v>
      </c>
      <c r="D6486">
        <v>81</v>
      </c>
    </row>
    <row r="6487" spans="1:4" x14ac:dyDescent="0.25">
      <c r="A6487" s="45" t="s">
        <v>6514</v>
      </c>
      <c r="B6487" s="46" t="s">
        <v>17501</v>
      </c>
      <c r="C6487">
        <v>14</v>
      </c>
      <c r="D6487">
        <v>81</v>
      </c>
    </row>
    <row r="6488" spans="1:4" x14ac:dyDescent="0.25">
      <c r="A6488" s="45" t="s">
        <v>6515</v>
      </c>
      <c r="B6488" s="46" t="s">
        <v>17502</v>
      </c>
      <c r="C6488">
        <v>14</v>
      </c>
      <c r="D6488">
        <v>81</v>
      </c>
    </row>
    <row r="6489" spans="1:4" x14ac:dyDescent="0.25">
      <c r="A6489" s="45" t="s">
        <v>6516</v>
      </c>
      <c r="B6489" s="46" t="s">
        <v>17503</v>
      </c>
      <c r="C6489">
        <v>14</v>
      </c>
      <c r="D6489">
        <v>81</v>
      </c>
    </row>
    <row r="6490" spans="1:4" x14ac:dyDescent="0.25">
      <c r="A6490" s="45" t="s">
        <v>6517</v>
      </c>
      <c r="B6490" s="46" t="s">
        <v>17504</v>
      </c>
      <c r="C6490">
        <v>14</v>
      </c>
      <c r="D6490">
        <v>81</v>
      </c>
    </row>
    <row r="6491" spans="1:4" x14ac:dyDescent="0.25">
      <c r="A6491" s="45" t="s">
        <v>6518</v>
      </c>
      <c r="B6491" s="46" t="s">
        <v>17505</v>
      </c>
      <c r="C6491">
        <v>9</v>
      </c>
      <c r="D6491">
        <v>56</v>
      </c>
    </row>
    <row r="6492" spans="1:4" x14ac:dyDescent="0.25">
      <c r="A6492" s="45" t="s">
        <v>6519</v>
      </c>
      <c r="B6492" s="46" t="s">
        <v>17506</v>
      </c>
      <c r="C6492">
        <v>14</v>
      </c>
      <c r="D6492">
        <v>81</v>
      </c>
    </row>
    <row r="6493" spans="1:4" x14ac:dyDescent="0.25">
      <c r="A6493" s="45" t="s">
        <v>6520</v>
      </c>
      <c r="B6493" s="46" t="s">
        <v>17507</v>
      </c>
      <c r="C6493">
        <v>14</v>
      </c>
      <c r="D6493">
        <v>81</v>
      </c>
    </row>
    <row r="6494" spans="1:4" x14ac:dyDescent="0.25">
      <c r="A6494" s="45" t="s">
        <v>6521</v>
      </c>
      <c r="B6494" s="46" t="s">
        <v>17508</v>
      </c>
      <c r="C6494">
        <v>14</v>
      </c>
      <c r="D6494">
        <v>81</v>
      </c>
    </row>
    <row r="6495" spans="1:4" x14ac:dyDescent="0.25">
      <c r="A6495" s="45" t="s">
        <v>6522</v>
      </c>
      <c r="B6495" s="46" t="s">
        <v>17509</v>
      </c>
      <c r="C6495">
        <v>14</v>
      </c>
      <c r="D6495">
        <v>81</v>
      </c>
    </row>
    <row r="6496" spans="1:4" x14ac:dyDescent="0.25">
      <c r="A6496" s="45" t="s">
        <v>6523</v>
      </c>
      <c r="B6496" s="46" t="s">
        <v>17510</v>
      </c>
      <c r="C6496">
        <v>14</v>
      </c>
      <c r="D6496">
        <v>81</v>
      </c>
    </row>
    <row r="6497" spans="1:4" x14ac:dyDescent="0.25">
      <c r="A6497" s="45" t="s">
        <v>6524</v>
      </c>
      <c r="B6497" s="46" t="s">
        <v>17511</v>
      </c>
      <c r="C6497">
        <v>14</v>
      </c>
      <c r="D6497">
        <v>81</v>
      </c>
    </row>
    <row r="6498" spans="1:4" x14ac:dyDescent="0.25">
      <c r="A6498" s="45" t="s">
        <v>6525</v>
      </c>
      <c r="B6498" s="46" t="s">
        <v>17512</v>
      </c>
      <c r="C6498">
        <v>14</v>
      </c>
      <c r="D6498">
        <v>81</v>
      </c>
    </row>
    <row r="6499" spans="1:4" x14ac:dyDescent="0.25">
      <c r="A6499" s="45" t="s">
        <v>6526</v>
      </c>
      <c r="B6499" s="46" t="s">
        <v>20764</v>
      </c>
      <c r="C6499">
        <v>14</v>
      </c>
      <c r="D6499">
        <v>81</v>
      </c>
    </row>
    <row r="6500" spans="1:4" x14ac:dyDescent="0.25">
      <c r="A6500" s="45" t="s">
        <v>6527</v>
      </c>
      <c r="B6500" s="46" t="s">
        <v>20765</v>
      </c>
      <c r="C6500">
        <v>14</v>
      </c>
      <c r="D6500">
        <v>81</v>
      </c>
    </row>
    <row r="6501" spans="1:4" x14ac:dyDescent="0.25">
      <c r="A6501" s="45" t="s">
        <v>6528</v>
      </c>
      <c r="B6501" s="46" t="s">
        <v>17513</v>
      </c>
      <c r="C6501">
        <v>14</v>
      </c>
      <c r="D6501">
        <v>81</v>
      </c>
    </row>
    <row r="6502" spans="1:4" x14ac:dyDescent="0.25">
      <c r="A6502" s="45" t="s">
        <v>6529</v>
      </c>
      <c r="B6502" s="46" t="s">
        <v>17514</v>
      </c>
      <c r="C6502">
        <v>14</v>
      </c>
      <c r="D6502">
        <v>81</v>
      </c>
    </row>
    <row r="6503" spans="1:4" x14ac:dyDescent="0.25">
      <c r="A6503" s="45" t="s">
        <v>6530</v>
      </c>
      <c r="B6503" s="46" t="s">
        <v>17515</v>
      </c>
      <c r="C6503">
        <v>14</v>
      </c>
      <c r="D6503">
        <v>81</v>
      </c>
    </row>
    <row r="6504" spans="1:4" x14ac:dyDescent="0.25">
      <c r="A6504" s="45" t="s">
        <v>6531</v>
      </c>
      <c r="B6504" s="46" t="s">
        <v>20766</v>
      </c>
      <c r="C6504">
        <v>14</v>
      </c>
      <c r="D6504">
        <v>81</v>
      </c>
    </row>
    <row r="6505" spans="1:4" x14ac:dyDescent="0.25">
      <c r="A6505" s="45" t="s">
        <v>6532</v>
      </c>
      <c r="B6505" s="46" t="s">
        <v>20767</v>
      </c>
      <c r="C6505">
        <v>14</v>
      </c>
      <c r="D6505">
        <v>81</v>
      </c>
    </row>
    <row r="6506" spans="1:4" x14ac:dyDescent="0.25">
      <c r="A6506" s="45" t="s">
        <v>6533</v>
      </c>
      <c r="B6506" s="46" t="s">
        <v>17516</v>
      </c>
      <c r="C6506">
        <v>14</v>
      </c>
      <c r="D6506">
        <v>81</v>
      </c>
    </row>
    <row r="6507" spans="1:4" x14ac:dyDescent="0.25">
      <c r="A6507" s="45" t="s">
        <v>6534</v>
      </c>
      <c r="B6507" s="46" t="s">
        <v>17517</v>
      </c>
      <c r="C6507">
        <v>14</v>
      </c>
      <c r="D6507">
        <v>81</v>
      </c>
    </row>
    <row r="6508" spans="1:4" x14ac:dyDescent="0.25">
      <c r="A6508" s="45" t="s">
        <v>6535</v>
      </c>
      <c r="B6508" s="46" t="s">
        <v>17518</v>
      </c>
      <c r="C6508">
        <v>14</v>
      </c>
      <c r="D6508">
        <v>81</v>
      </c>
    </row>
    <row r="6509" spans="1:4" x14ac:dyDescent="0.25">
      <c r="A6509" s="45" t="s">
        <v>6536</v>
      </c>
      <c r="B6509" s="46" t="s">
        <v>17519</v>
      </c>
      <c r="C6509">
        <v>14</v>
      </c>
      <c r="D6509">
        <v>81</v>
      </c>
    </row>
    <row r="6510" spans="1:4" x14ac:dyDescent="0.25">
      <c r="A6510" s="45" t="s">
        <v>6537</v>
      </c>
      <c r="B6510" s="46" t="s">
        <v>20768</v>
      </c>
      <c r="C6510">
        <v>14</v>
      </c>
      <c r="D6510">
        <v>81</v>
      </c>
    </row>
    <row r="6511" spans="1:4" x14ac:dyDescent="0.25">
      <c r="A6511" s="45" t="s">
        <v>6538</v>
      </c>
      <c r="B6511" s="46" t="s">
        <v>20769</v>
      </c>
      <c r="C6511">
        <v>14</v>
      </c>
      <c r="D6511">
        <v>81</v>
      </c>
    </row>
    <row r="6512" spans="1:4" x14ac:dyDescent="0.25">
      <c r="A6512" s="45" t="s">
        <v>6539</v>
      </c>
      <c r="B6512" s="46" t="s">
        <v>17520</v>
      </c>
      <c r="C6512">
        <v>14</v>
      </c>
      <c r="D6512">
        <v>81</v>
      </c>
    </row>
    <row r="6513" spans="1:4" x14ac:dyDescent="0.25">
      <c r="A6513" s="45" t="s">
        <v>6540</v>
      </c>
      <c r="B6513" s="46" t="s">
        <v>17521</v>
      </c>
      <c r="C6513">
        <v>14</v>
      </c>
      <c r="D6513">
        <v>81</v>
      </c>
    </row>
    <row r="6514" spans="1:4" x14ac:dyDescent="0.25">
      <c r="A6514" s="45" t="s">
        <v>6541</v>
      </c>
      <c r="B6514" s="46" t="s">
        <v>17522</v>
      </c>
      <c r="C6514">
        <v>14</v>
      </c>
      <c r="D6514">
        <v>81</v>
      </c>
    </row>
    <row r="6515" spans="1:4" x14ac:dyDescent="0.25">
      <c r="A6515" s="45" t="s">
        <v>6542</v>
      </c>
      <c r="B6515" s="46" t="s">
        <v>17523</v>
      </c>
      <c r="C6515">
        <v>14</v>
      </c>
      <c r="D6515">
        <v>81</v>
      </c>
    </row>
    <row r="6516" spans="1:4" x14ac:dyDescent="0.25">
      <c r="A6516" s="45" t="s">
        <v>6543</v>
      </c>
      <c r="B6516" s="46" t="s">
        <v>17524</v>
      </c>
      <c r="C6516">
        <v>14</v>
      </c>
      <c r="D6516">
        <v>81</v>
      </c>
    </row>
    <row r="6517" spans="1:4" x14ac:dyDescent="0.25">
      <c r="A6517" s="45" t="s">
        <v>6544</v>
      </c>
      <c r="B6517" s="46" t="s">
        <v>17525</v>
      </c>
      <c r="C6517">
        <v>14</v>
      </c>
      <c r="D6517">
        <v>81</v>
      </c>
    </row>
    <row r="6518" spans="1:4" x14ac:dyDescent="0.25">
      <c r="A6518" s="45" t="s">
        <v>6545</v>
      </c>
      <c r="B6518" s="46" t="s">
        <v>17526</v>
      </c>
      <c r="C6518">
        <v>14</v>
      </c>
      <c r="D6518">
        <v>81</v>
      </c>
    </row>
    <row r="6519" spans="1:4" x14ac:dyDescent="0.25">
      <c r="A6519" s="45" t="s">
        <v>6546</v>
      </c>
      <c r="B6519" s="46" t="s">
        <v>17527</v>
      </c>
      <c r="C6519">
        <v>14</v>
      </c>
      <c r="D6519">
        <v>81</v>
      </c>
    </row>
    <row r="6520" spans="1:4" x14ac:dyDescent="0.25">
      <c r="A6520" s="45" t="s">
        <v>6547</v>
      </c>
      <c r="B6520" s="46" t="s">
        <v>20770</v>
      </c>
      <c r="C6520">
        <v>14</v>
      </c>
      <c r="D6520">
        <v>81</v>
      </c>
    </row>
    <row r="6521" spans="1:4" x14ac:dyDescent="0.25">
      <c r="A6521" s="45" t="s">
        <v>6548</v>
      </c>
      <c r="B6521" s="46" t="s">
        <v>17528</v>
      </c>
      <c r="C6521">
        <v>14</v>
      </c>
      <c r="D6521">
        <v>81</v>
      </c>
    </row>
    <row r="6522" spans="1:4" x14ac:dyDescent="0.25">
      <c r="A6522" s="45" t="s">
        <v>6549</v>
      </c>
      <c r="B6522" s="46" t="s">
        <v>17529</v>
      </c>
      <c r="C6522">
        <v>14</v>
      </c>
      <c r="D6522">
        <v>81</v>
      </c>
    </row>
    <row r="6523" spans="1:4" x14ac:dyDescent="0.25">
      <c r="A6523" s="45" t="s">
        <v>6550</v>
      </c>
      <c r="B6523" s="46" t="s">
        <v>17530</v>
      </c>
      <c r="C6523">
        <v>14</v>
      </c>
      <c r="D6523">
        <v>81</v>
      </c>
    </row>
    <row r="6524" spans="1:4" x14ac:dyDescent="0.25">
      <c r="A6524" s="45" t="s">
        <v>6551</v>
      </c>
      <c r="B6524" s="46" t="s">
        <v>17531</v>
      </c>
      <c r="C6524">
        <v>14</v>
      </c>
      <c r="D6524">
        <v>81</v>
      </c>
    </row>
    <row r="6525" spans="1:4" x14ac:dyDescent="0.25">
      <c r="A6525" s="45" t="s">
        <v>6552</v>
      </c>
      <c r="B6525" s="46" t="s">
        <v>17532</v>
      </c>
      <c r="C6525">
        <v>14</v>
      </c>
      <c r="D6525">
        <v>81</v>
      </c>
    </row>
    <row r="6526" spans="1:4" x14ac:dyDescent="0.25">
      <c r="A6526" s="45" t="s">
        <v>6553</v>
      </c>
      <c r="B6526" s="46" t="s">
        <v>17533</v>
      </c>
      <c r="C6526">
        <v>14</v>
      </c>
      <c r="D6526">
        <v>81</v>
      </c>
    </row>
    <row r="6527" spans="1:4" x14ac:dyDescent="0.25">
      <c r="A6527" s="45" t="s">
        <v>6554</v>
      </c>
      <c r="B6527" s="46" t="s">
        <v>17534</v>
      </c>
      <c r="C6527">
        <v>14</v>
      </c>
      <c r="D6527">
        <v>81</v>
      </c>
    </row>
    <row r="6528" spans="1:4" x14ac:dyDescent="0.25">
      <c r="A6528" s="45" t="s">
        <v>6555</v>
      </c>
      <c r="B6528" s="46" t="s">
        <v>17535</v>
      </c>
      <c r="C6528">
        <v>14</v>
      </c>
      <c r="D6528">
        <v>81</v>
      </c>
    </row>
    <row r="6529" spans="1:4" x14ac:dyDescent="0.25">
      <c r="A6529" s="45" t="s">
        <v>6556</v>
      </c>
      <c r="B6529" s="46" t="s">
        <v>17536</v>
      </c>
      <c r="C6529">
        <v>14</v>
      </c>
      <c r="D6529">
        <v>81</v>
      </c>
    </row>
    <row r="6530" spans="1:4" x14ac:dyDescent="0.25">
      <c r="A6530" s="45" t="s">
        <v>6557</v>
      </c>
      <c r="B6530" s="46" t="s">
        <v>17537</v>
      </c>
      <c r="C6530">
        <v>14</v>
      </c>
      <c r="D6530">
        <v>81</v>
      </c>
    </row>
    <row r="6531" spans="1:4" x14ac:dyDescent="0.25">
      <c r="A6531" s="45" t="s">
        <v>6558</v>
      </c>
      <c r="B6531" s="46" t="s">
        <v>17538</v>
      </c>
      <c r="C6531">
        <v>14</v>
      </c>
      <c r="D6531">
        <v>81</v>
      </c>
    </row>
    <row r="6532" spans="1:4" x14ac:dyDescent="0.25">
      <c r="A6532" s="45" t="s">
        <v>6559</v>
      </c>
      <c r="B6532" s="46" t="s">
        <v>17539</v>
      </c>
      <c r="C6532">
        <v>14</v>
      </c>
      <c r="D6532">
        <v>81</v>
      </c>
    </row>
    <row r="6533" spans="1:4" x14ac:dyDescent="0.25">
      <c r="A6533" s="45" t="s">
        <v>6560</v>
      </c>
      <c r="B6533" s="46" t="s">
        <v>20771</v>
      </c>
      <c r="C6533">
        <v>14</v>
      </c>
      <c r="D6533">
        <v>81</v>
      </c>
    </row>
    <row r="6534" spans="1:4" x14ac:dyDescent="0.25">
      <c r="A6534" s="45" t="s">
        <v>6561</v>
      </c>
      <c r="B6534" s="46" t="s">
        <v>17540</v>
      </c>
      <c r="C6534">
        <v>14</v>
      </c>
      <c r="D6534">
        <v>81</v>
      </c>
    </row>
    <row r="6535" spans="1:4" x14ac:dyDescent="0.25">
      <c r="A6535" s="45" t="s">
        <v>6562</v>
      </c>
      <c r="B6535" s="46" t="s">
        <v>17541</v>
      </c>
      <c r="C6535">
        <v>14</v>
      </c>
      <c r="D6535">
        <v>81</v>
      </c>
    </row>
    <row r="6536" spans="1:4" x14ac:dyDescent="0.25">
      <c r="A6536" s="45" t="s">
        <v>6563</v>
      </c>
      <c r="B6536" s="46" t="s">
        <v>20772</v>
      </c>
      <c r="C6536">
        <v>14</v>
      </c>
      <c r="D6536">
        <v>81</v>
      </c>
    </row>
    <row r="6537" spans="1:4" x14ac:dyDescent="0.25">
      <c r="A6537" s="45" t="s">
        <v>6564</v>
      </c>
      <c r="B6537" s="46" t="s">
        <v>17542</v>
      </c>
      <c r="C6537">
        <v>14</v>
      </c>
      <c r="D6537">
        <v>81</v>
      </c>
    </row>
    <row r="6538" spans="1:4" x14ac:dyDescent="0.25">
      <c r="A6538" s="45" t="s">
        <v>6565</v>
      </c>
      <c r="B6538" s="46" t="s">
        <v>17543</v>
      </c>
      <c r="C6538">
        <v>10</v>
      </c>
      <c r="D6538">
        <v>67</v>
      </c>
    </row>
    <row r="6539" spans="1:4" x14ac:dyDescent="0.25">
      <c r="A6539" s="45" t="s">
        <v>6566</v>
      </c>
      <c r="B6539" s="46" t="s">
        <v>17544</v>
      </c>
      <c r="C6539">
        <v>14</v>
      </c>
      <c r="D6539">
        <v>81</v>
      </c>
    </row>
    <row r="6540" spans="1:4" x14ac:dyDescent="0.25">
      <c r="A6540" s="45" t="s">
        <v>6567</v>
      </c>
      <c r="B6540" s="46" t="s">
        <v>17545</v>
      </c>
      <c r="C6540">
        <v>14</v>
      </c>
      <c r="D6540">
        <v>81</v>
      </c>
    </row>
    <row r="6541" spans="1:4" x14ac:dyDescent="0.25">
      <c r="A6541" s="45" t="s">
        <v>6568</v>
      </c>
      <c r="B6541" s="46" t="s">
        <v>17546</v>
      </c>
      <c r="C6541">
        <v>14</v>
      </c>
      <c r="D6541">
        <v>81</v>
      </c>
    </row>
    <row r="6542" spans="1:4" x14ac:dyDescent="0.25">
      <c r="A6542" s="45" t="s">
        <v>6569</v>
      </c>
      <c r="B6542" s="46" t="s">
        <v>20773</v>
      </c>
      <c r="C6542">
        <v>14</v>
      </c>
      <c r="D6542">
        <v>81</v>
      </c>
    </row>
    <row r="6543" spans="1:4" x14ac:dyDescent="0.25">
      <c r="A6543" s="45" t="s">
        <v>6570</v>
      </c>
      <c r="B6543" s="46" t="s">
        <v>17547</v>
      </c>
      <c r="C6543">
        <v>14</v>
      </c>
      <c r="D6543">
        <v>81</v>
      </c>
    </row>
    <row r="6544" spans="1:4" x14ac:dyDescent="0.25">
      <c r="A6544" s="45" t="s">
        <v>6571</v>
      </c>
      <c r="B6544" s="46" t="s">
        <v>20774</v>
      </c>
      <c r="C6544">
        <v>14</v>
      </c>
      <c r="D6544">
        <v>81</v>
      </c>
    </row>
    <row r="6545" spans="1:4" x14ac:dyDescent="0.25">
      <c r="A6545" s="45" t="s">
        <v>6572</v>
      </c>
      <c r="B6545" s="46" t="s">
        <v>17548</v>
      </c>
      <c r="C6545">
        <v>14</v>
      </c>
      <c r="D6545">
        <v>81</v>
      </c>
    </row>
    <row r="6546" spans="1:4" x14ac:dyDescent="0.25">
      <c r="A6546" s="45" t="s">
        <v>6573</v>
      </c>
      <c r="B6546" s="46" t="s">
        <v>17549</v>
      </c>
      <c r="C6546">
        <v>14</v>
      </c>
      <c r="D6546">
        <v>81</v>
      </c>
    </row>
    <row r="6547" spans="1:4" x14ac:dyDescent="0.25">
      <c r="A6547" s="45" t="s">
        <v>6574</v>
      </c>
      <c r="B6547" s="46" t="s">
        <v>17550</v>
      </c>
      <c r="C6547">
        <v>14</v>
      </c>
      <c r="D6547">
        <v>81</v>
      </c>
    </row>
    <row r="6548" spans="1:4" x14ac:dyDescent="0.25">
      <c r="A6548" s="45" t="s">
        <v>6575</v>
      </c>
      <c r="B6548" s="46" t="s">
        <v>17551</v>
      </c>
      <c r="C6548">
        <v>14</v>
      </c>
      <c r="D6548">
        <v>81</v>
      </c>
    </row>
    <row r="6549" spans="1:4" x14ac:dyDescent="0.25">
      <c r="A6549" s="45" t="s">
        <v>6576</v>
      </c>
      <c r="B6549" s="46" t="s">
        <v>20775</v>
      </c>
      <c r="C6549">
        <v>14</v>
      </c>
      <c r="D6549">
        <v>81</v>
      </c>
    </row>
    <row r="6550" spans="1:4" x14ac:dyDescent="0.25">
      <c r="A6550" s="45" t="s">
        <v>6577</v>
      </c>
      <c r="B6550" s="46" t="s">
        <v>17552</v>
      </c>
      <c r="C6550">
        <v>14</v>
      </c>
      <c r="D6550">
        <v>81</v>
      </c>
    </row>
    <row r="6551" spans="1:4" x14ac:dyDescent="0.25">
      <c r="A6551" s="45" t="s">
        <v>6578</v>
      </c>
      <c r="B6551" s="46" t="s">
        <v>20776</v>
      </c>
      <c r="C6551">
        <v>14</v>
      </c>
      <c r="D6551">
        <v>81</v>
      </c>
    </row>
    <row r="6552" spans="1:4" x14ac:dyDescent="0.25">
      <c r="A6552" s="45" t="s">
        <v>6579</v>
      </c>
      <c r="B6552" s="46" t="s">
        <v>17553</v>
      </c>
      <c r="C6552">
        <v>14</v>
      </c>
      <c r="D6552">
        <v>81</v>
      </c>
    </row>
    <row r="6553" spans="1:4" x14ac:dyDescent="0.25">
      <c r="A6553" s="45" t="s">
        <v>6580</v>
      </c>
      <c r="B6553" s="46" t="s">
        <v>17554</v>
      </c>
      <c r="C6553">
        <v>14</v>
      </c>
      <c r="D6553">
        <v>81</v>
      </c>
    </row>
    <row r="6554" spans="1:4" x14ac:dyDescent="0.25">
      <c r="A6554" s="45" t="s">
        <v>6581</v>
      </c>
      <c r="B6554" s="46" t="s">
        <v>17555</v>
      </c>
      <c r="C6554">
        <v>14</v>
      </c>
      <c r="D6554">
        <v>81</v>
      </c>
    </row>
    <row r="6555" spans="1:4" x14ac:dyDescent="0.25">
      <c r="A6555" s="45" t="s">
        <v>6582</v>
      </c>
      <c r="B6555" s="46" t="s">
        <v>17556</v>
      </c>
      <c r="C6555">
        <v>14</v>
      </c>
      <c r="D6555">
        <v>81</v>
      </c>
    </row>
    <row r="6556" spans="1:4" x14ac:dyDescent="0.25">
      <c r="A6556" s="45" t="s">
        <v>6583</v>
      </c>
      <c r="B6556" s="46" t="s">
        <v>17557</v>
      </c>
      <c r="C6556">
        <v>10</v>
      </c>
      <c r="D6556">
        <v>67</v>
      </c>
    </row>
    <row r="6557" spans="1:4" x14ac:dyDescent="0.25">
      <c r="A6557" s="45" t="s">
        <v>6584</v>
      </c>
      <c r="B6557" s="46" t="s">
        <v>17558</v>
      </c>
      <c r="C6557">
        <v>14</v>
      </c>
      <c r="D6557">
        <v>81</v>
      </c>
    </row>
    <row r="6558" spans="1:4" x14ac:dyDescent="0.25">
      <c r="A6558" s="45" t="s">
        <v>6585</v>
      </c>
      <c r="B6558" s="46" t="s">
        <v>17559</v>
      </c>
      <c r="C6558">
        <v>14</v>
      </c>
      <c r="D6558">
        <v>81</v>
      </c>
    </row>
    <row r="6559" spans="1:4" x14ac:dyDescent="0.25">
      <c r="A6559" s="45" t="s">
        <v>6586</v>
      </c>
      <c r="B6559" s="46" t="s">
        <v>17560</v>
      </c>
      <c r="C6559">
        <v>14</v>
      </c>
      <c r="D6559">
        <v>81</v>
      </c>
    </row>
    <row r="6560" spans="1:4" x14ac:dyDescent="0.25">
      <c r="A6560" s="45" t="s">
        <v>6587</v>
      </c>
      <c r="B6560" s="46" t="s">
        <v>17561</v>
      </c>
      <c r="C6560">
        <v>14</v>
      </c>
      <c r="D6560">
        <v>81</v>
      </c>
    </row>
    <row r="6561" spans="1:4" x14ac:dyDescent="0.25">
      <c r="A6561" s="45" t="s">
        <v>6588</v>
      </c>
      <c r="B6561" s="46" t="s">
        <v>20777</v>
      </c>
      <c r="C6561">
        <v>14</v>
      </c>
      <c r="D6561">
        <v>81</v>
      </c>
    </row>
    <row r="6562" spans="1:4" x14ac:dyDescent="0.25">
      <c r="A6562" s="45" t="s">
        <v>6589</v>
      </c>
      <c r="B6562" s="46" t="s">
        <v>17562</v>
      </c>
      <c r="C6562">
        <v>14</v>
      </c>
      <c r="D6562">
        <v>81</v>
      </c>
    </row>
    <row r="6563" spans="1:4" x14ac:dyDescent="0.25">
      <c r="A6563" s="45" t="s">
        <v>6590</v>
      </c>
      <c r="B6563" s="46" t="s">
        <v>17563</v>
      </c>
      <c r="C6563">
        <v>14</v>
      </c>
      <c r="D6563">
        <v>81</v>
      </c>
    </row>
    <row r="6564" spans="1:4" x14ac:dyDescent="0.25">
      <c r="A6564" s="45" t="s">
        <v>6591</v>
      </c>
      <c r="B6564" s="46" t="s">
        <v>17564</v>
      </c>
      <c r="C6564">
        <v>14</v>
      </c>
      <c r="D6564">
        <v>81</v>
      </c>
    </row>
    <row r="6565" spans="1:4" x14ac:dyDescent="0.25">
      <c r="A6565" s="45" t="s">
        <v>6592</v>
      </c>
      <c r="B6565" s="46" t="s">
        <v>17565</v>
      </c>
      <c r="C6565">
        <v>14</v>
      </c>
      <c r="D6565">
        <v>81</v>
      </c>
    </row>
    <row r="6566" spans="1:4" x14ac:dyDescent="0.25">
      <c r="A6566" s="45" t="s">
        <v>6593</v>
      </c>
      <c r="B6566" s="46" t="s">
        <v>17566</v>
      </c>
      <c r="C6566">
        <v>14</v>
      </c>
      <c r="D6566">
        <v>81</v>
      </c>
    </row>
    <row r="6567" spans="1:4" x14ac:dyDescent="0.25">
      <c r="A6567" s="45" t="s">
        <v>6594</v>
      </c>
      <c r="B6567" s="46" t="s">
        <v>17567</v>
      </c>
      <c r="C6567">
        <v>14</v>
      </c>
      <c r="D6567">
        <v>81</v>
      </c>
    </row>
    <row r="6568" spans="1:4" x14ac:dyDescent="0.25">
      <c r="A6568" s="45" t="s">
        <v>6595</v>
      </c>
      <c r="B6568" s="46" t="s">
        <v>17568</v>
      </c>
      <c r="C6568">
        <v>14</v>
      </c>
      <c r="D6568">
        <v>81</v>
      </c>
    </row>
    <row r="6569" spans="1:4" x14ac:dyDescent="0.25">
      <c r="A6569" s="45" t="s">
        <v>6596</v>
      </c>
      <c r="B6569" s="46" t="s">
        <v>17569</v>
      </c>
      <c r="C6569">
        <v>14</v>
      </c>
      <c r="D6569">
        <v>81</v>
      </c>
    </row>
    <row r="6570" spans="1:4" x14ac:dyDescent="0.25">
      <c r="A6570" s="45" t="s">
        <v>6597</v>
      </c>
      <c r="B6570" s="46" t="s">
        <v>17570</v>
      </c>
      <c r="C6570">
        <v>14</v>
      </c>
      <c r="D6570">
        <v>81</v>
      </c>
    </row>
    <row r="6571" spans="1:4" x14ac:dyDescent="0.25">
      <c r="A6571" s="45" t="s">
        <v>6598</v>
      </c>
      <c r="B6571" s="46" t="s">
        <v>17571</v>
      </c>
      <c r="C6571">
        <v>14</v>
      </c>
      <c r="D6571">
        <v>81</v>
      </c>
    </row>
    <row r="6572" spans="1:4" x14ac:dyDescent="0.25">
      <c r="A6572" s="45" t="s">
        <v>6599</v>
      </c>
      <c r="B6572" s="46" t="s">
        <v>17572</v>
      </c>
      <c r="C6572">
        <v>14</v>
      </c>
      <c r="D6572">
        <v>81</v>
      </c>
    </row>
    <row r="6573" spans="1:4" x14ac:dyDescent="0.25">
      <c r="A6573" s="45" t="s">
        <v>6600</v>
      </c>
      <c r="B6573" s="46" t="s">
        <v>17573</v>
      </c>
      <c r="C6573">
        <v>14</v>
      </c>
      <c r="D6573">
        <v>81</v>
      </c>
    </row>
    <row r="6574" spans="1:4" x14ac:dyDescent="0.25">
      <c r="A6574" s="45" t="s">
        <v>6601</v>
      </c>
      <c r="B6574" s="46" t="s">
        <v>17574</v>
      </c>
      <c r="C6574">
        <v>14</v>
      </c>
      <c r="D6574">
        <v>81</v>
      </c>
    </row>
    <row r="6575" spans="1:4" x14ac:dyDescent="0.25">
      <c r="A6575" s="45" t="s">
        <v>6602</v>
      </c>
      <c r="B6575" s="46" t="s">
        <v>17575</v>
      </c>
      <c r="C6575">
        <v>14</v>
      </c>
      <c r="D6575">
        <v>81</v>
      </c>
    </row>
    <row r="6576" spans="1:4" x14ac:dyDescent="0.25">
      <c r="A6576" s="45" t="s">
        <v>6603</v>
      </c>
      <c r="B6576" s="46" t="s">
        <v>17576</v>
      </c>
      <c r="C6576">
        <v>14</v>
      </c>
      <c r="D6576">
        <v>81</v>
      </c>
    </row>
    <row r="6577" spans="1:4" x14ac:dyDescent="0.25">
      <c r="A6577" s="45" t="s">
        <v>6604</v>
      </c>
      <c r="B6577" s="46" t="s">
        <v>17577</v>
      </c>
      <c r="C6577">
        <v>14</v>
      </c>
      <c r="D6577">
        <v>81</v>
      </c>
    </row>
    <row r="6578" spans="1:4" x14ac:dyDescent="0.25">
      <c r="A6578" s="45" t="s">
        <v>6605</v>
      </c>
      <c r="B6578" s="46" t="s">
        <v>20778</v>
      </c>
      <c r="C6578">
        <v>14</v>
      </c>
      <c r="D6578">
        <v>81</v>
      </c>
    </row>
    <row r="6579" spans="1:4" x14ac:dyDescent="0.25">
      <c r="A6579" s="45" t="s">
        <v>6606</v>
      </c>
      <c r="B6579" s="46" t="s">
        <v>17578</v>
      </c>
      <c r="C6579">
        <v>14</v>
      </c>
      <c r="D6579">
        <v>81</v>
      </c>
    </row>
    <row r="6580" spans="1:4" x14ac:dyDescent="0.25">
      <c r="A6580" s="45" t="s">
        <v>6607</v>
      </c>
      <c r="B6580" s="46" t="s">
        <v>17579</v>
      </c>
      <c r="C6580">
        <v>14</v>
      </c>
      <c r="D6580">
        <v>81</v>
      </c>
    </row>
    <row r="6581" spans="1:4" x14ac:dyDescent="0.25">
      <c r="A6581" s="45" t="s">
        <v>6608</v>
      </c>
      <c r="B6581" s="46" t="s">
        <v>20779</v>
      </c>
      <c r="C6581">
        <v>14</v>
      </c>
      <c r="D6581">
        <v>81</v>
      </c>
    </row>
    <row r="6582" spans="1:4" x14ac:dyDescent="0.25">
      <c r="A6582" s="45" t="s">
        <v>6609</v>
      </c>
      <c r="B6582" s="46" t="s">
        <v>20780</v>
      </c>
      <c r="C6582">
        <v>14</v>
      </c>
      <c r="D6582">
        <v>81</v>
      </c>
    </row>
    <row r="6583" spans="1:4" x14ac:dyDescent="0.25">
      <c r="A6583" s="45" t="s">
        <v>6610</v>
      </c>
      <c r="B6583" s="46" t="s">
        <v>17580</v>
      </c>
      <c r="C6583">
        <v>14</v>
      </c>
      <c r="D6583">
        <v>81</v>
      </c>
    </row>
    <row r="6584" spans="1:4" x14ac:dyDescent="0.25">
      <c r="A6584" s="45" t="s">
        <v>6611</v>
      </c>
      <c r="B6584" s="46" t="s">
        <v>17581</v>
      </c>
      <c r="C6584">
        <v>14</v>
      </c>
      <c r="D6584">
        <v>81</v>
      </c>
    </row>
    <row r="6585" spans="1:4" x14ac:dyDescent="0.25">
      <c r="A6585" s="45" t="s">
        <v>6612</v>
      </c>
      <c r="B6585" s="46" t="s">
        <v>17582</v>
      </c>
      <c r="C6585">
        <v>14</v>
      </c>
      <c r="D6585">
        <v>81</v>
      </c>
    </row>
    <row r="6586" spans="1:4" x14ac:dyDescent="0.25">
      <c r="A6586" s="45" t="s">
        <v>6613</v>
      </c>
      <c r="B6586" s="46" t="s">
        <v>17583</v>
      </c>
      <c r="C6586">
        <v>14</v>
      </c>
      <c r="D6586">
        <v>81</v>
      </c>
    </row>
    <row r="6587" spans="1:4" x14ac:dyDescent="0.25">
      <c r="A6587" s="45" t="s">
        <v>6614</v>
      </c>
      <c r="B6587" s="46" t="s">
        <v>17584</v>
      </c>
      <c r="C6587">
        <v>14</v>
      </c>
      <c r="D6587">
        <v>81</v>
      </c>
    </row>
    <row r="6588" spans="1:4" x14ac:dyDescent="0.25">
      <c r="A6588" s="45" t="s">
        <v>6615</v>
      </c>
      <c r="B6588" s="46" t="s">
        <v>17585</v>
      </c>
      <c r="C6588">
        <v>14</v>
      </c>
      <c r="D6588">
        <v>81</v>
      </c>
    </row>
    <row r="6589" spans="1:4" x14ac:dyDescent="0.25">
      <c r="A6589" s="45" t="s">
        <v>6616</v>
      </c>
      <c r="B6589" s="46" t="s">
        <v>17586</v>
      </c>
      <c r="C6589">
        <v>14</v>
      </c>
      <c r="D6589">
        <v>81</v>
      </c>
    </row>
    <row r="6590" spans="1:4" x14ac:dyDescent="0.25">
      <c r="A6590" s="45" t="s">
        <v>6617</v>
      </c>
      <c r="B6590" s="46" t="s">
        <v>20781</v>
      </c>
      <c r="C6590">
        <v>14</v>
      </c>
      <c r="D6590">
        <v>81</v>
      </c>
    </row>
    <row r="6591" spans="1:4" x14ac:dyDescent="0.25">
      <c r="A6591" s="45" t="s">
        <v>6618</v>
      </c>
      <c r="B6591" s="46" t="s">
        <v>17587</v>
      </c>
      <c r="C6591">
        <v>14</v>
      </c>
      <c r="D6591">
        <v>81</v>
      </c>
    </row>
    <row r="6592" spans="1:4" x14ac:dyDescent="0.25">
      <c r="A6592" s="45" t="s">
        <v>6619</v>
      </c>
      <c r="B6592" s="46" t="s">
        <v>17588</v>
      </c>
      <c r="C6592">
        <v>14</v>
      </c>
      <c r="D6592">
        <v>81</v>
      </c>
    </row>
    <row r="6593" spans="1:4" x14ac:dyDescent="0.25">
      <c r="A6593" s="45" t="s">
        <v>6620</v>
      </c>
      <c r="B6593" s="46" t="s">
        <v>17589</v>
      </c>
      <c r="C6593">
        <v>14</v>
      </c>
      <c r="D6593">
        <v>81</v>
      </c>
    </row>
    <row r="6594" spans="1:4" x14ac:dyDescent="0.25">
      <c r="A6594" s="45" t="s">
        <v>6621</v>
      </c>
      <c r="B6594" s="46" t="s">
        <v>17590</v>
      </c>
      <c r="C6594">
        <v>14</v>
      </c>
      <c r="D6594">
        <v>81</v>
      </c>
    </row>
    <row r="6595" spans="1:4" x14ac:dyDescent="0.25">
      <c r="A6595" s="45" t="s">
        <v>6622</v>
      </c>
      <c r="B6595" s="46" t="s">
        <v>17591</v>
      </c>
      <c r="C6595">
        <v>14</v>
      </c>
      <c r="D6595">
        <v>81</v>
      </c>
    </row>
    <row r="6596" spans="1:4" x14ac:dyDescent="0.25">
      <c r="A6596" s="45" t="s">
        <v>6623</v>
      </c>
      <c r="B6596" s="46" t="s">
        <v>20782</v>
      </c>
      <c r="C6596">
        <v>14</v>
      </c>
      <c r="D6596">
        <v>81</v>
      </c>
    </row>
    <row r="6597" spans="1:4" x14ac:dyDescent="0.25">
      <c r="A6597" s="45" t="s">
        <v>6624</v>
      </c>
      <c r="B6597" s="46" t="s">
        <v>20783</v>
      </c>
      <c r="C6597">
        <v>14</v>
      </c>
      <c r="D6597">
        <v>81</v>
      </c>
    </row>
    <row r="6598" spans="1:4" x14ac:dyDescent="0.25">
      <c r="A6598" s="45" t="s">
        <v>6625</v>
      </c>
      <c r="B6598" s="46" t="s">
        <v>17592</v>
      </c>
      <c r="C6598">
        <v>14</v>
      </c>
      <c r="D6598">
        <v>81</v>
      </c>
    </row>
    <row r="6599" spans="1:4" x14ac:dyDescent="0.25">
      <c r="A6599" s="45" t="s">
        <v>6626</v>
      </c>
      <c r="B6599" s="46" t="s">
        <v>17593</v>
      </c>
      <c r="C6599">
        <v>14</v>
      </c>
      <c r="D6599">
        <v>81</v>
      </c>
    </row>
    <row r="6600" spans="1:4" x14ac:dyDescent="0.25">
      <c r="A6600" s="45" t="s">
        <v>6627</v>
      </c>
      <c r="B6600" s="46" t="s">
        <v>17594</v>
      </c>
      <c r="C6600">
        <v>14</v>
      </c>
      <c r="D6600">
        <v>81</v>
      </c>
    </row>
    <row r="6601" spans="1:4" x14ac:dyDescent="0.25">
      <c r="A6601" s="45" t="s">
        <v>6628</v>
      </c>
      <c r="B6601" s="46" t="s">
        <v>17595</v>
      </c>
      <c r="C6601">
        <v>14</v>
      </c>
      <c r="D6601">
        <v>81</v>
      </c>
    </row>
    <row r="6602" spans="1:4" x14ac:dyDescent="0.25">
      <c r="A6602" s="45" t="s">
        <v>6629</v>
      </c>
      <c r="B6602" s="46" t="s">
        <v>17596</v>
      </c>
      <c r="C6602">
        <v>14</v>
      </c>
      <c r="D6602">
        <v>81</v>
      </c>
    </row>
    <row r="6603" spans="1:4" x14ac:dyDescent="0.25">
      <c r="A6603" s="45" t="s">
        <v>6630</v>
      </c>
      <c r="B6603" s="46" t="s">
        <v>17597</v>
      </c>
      <c r="C6603">
        <v>14</v>
      </c>
      <c r="D6603">
        <v>81</v>
      </c>
    </row>
    <row r="6604" spans="1:4" x14ac:dyDescent="0.25">
      <c r="A6604" s="45" t="s">
        <v>6631</v>
      </c>
      <c r="B6604" s="46" t="s">
        <v>17598</v>
      </c>
      <c r="C6604">
        <v>14</v>
      </c>
      <c r="D6604">
        <v>81</v>
      </c>
    </row>
    <row r="6605" spans="1:4" x14ac:dyDescent="0.25">
      <c r="A6605" s="45" t="s">
        <v>6632</v>
      </c>
      <c r="B6605" s="46" t="s">
        <v>17599</v>
      </c>
      <c r="C6605">
        <v>14</v>
      </c>
      <c r="D6605">
        <v>81</v>
      </c>
    </row>
    <row r="6606" spans="1:4" x14ac:dyDescent="0.25">
      <c r="A6606" s="45" t="s">
        <v>6633</v>
      </c>
      <c r="B6606" s="46" t="s">
        <v>17600</v>
      </c>
      <c r="C6606">
        <v>14</v>
      </c>
      <c r="D6606">
        <v>81</v>
      </c>
    </row>
    <row r="6607" spans="1:4" x14ac:dyDescent="0.25">
      <c r="A6607" s="45" t="s">
        <v>6634</v>
      </c>
      <c r="B6607" s="46" t="s">
        <v>17601</v>
      </c>
      <c r="C6607">
        <v>14</v>
      </c>
      <c r="D6607">
        <v>81</v>
      </c>
    </row>
    <row r="6608" spans="1:4" x14ac:dyDescent="0.25">
      <c r="A6608" s="45" t="s">
        <v>6635</v>
      </c>
      <c r="B6608" s="46" t="s">
        <v>17602</v>
      </c>
      <c r="C6608">
        <v>14</v>
      </c>
      <c r="D6608">
        <v>81</v>
      </c>
    </row>
    <row r="6609" spans="1:4" x14ac:dyDescent="0.25">
      <c r="A6609" s="45" t="s">
        <v>6636</v>
      </c>
      <c r="B6609" s="46" t="s">
        <v>17603</v>
      </c>
      <c r="C6609">
        <v>14</v>
      </c>
      <c r="D6609">
        <v>81</v>
      </c>
    </row>
    <row r="6610" spans="1:4" x14ac:dyDescent="0.25">
      <c r="A6610" s="45" t="s">
        <v>6637</v>
      </c>
      <c r="B6610" s="46" t="s">
        <v>17604</v>
      </c>
      <c r="C6610">
        <v>14</v>
      </c>
      <c r="D6610">
        <v>81</v>
      </c>
    </row>
    <row r="6611" spans="1:4" x14ac:dyDescent="0.25">
      <c r="A6611" s="45" t="s">
        <v>6638</v>
      </c>
      <c r="B6611" s="46" t="s">
        <v>17605</v>
      </c>
      <c r="C6611">
        <v>14</v>
      </c>
      <c r="D6611">
        <v>81</v>
      </c>
    </row>
    <row r="6612" spans="1:4" x14ac:dyDescent="0.25">
      <c r="A6612" s="45" t="s">
        <v>6639</v>
      </c>
      <c r="B6612" s="46" t="s">
        <v>17606</v>
      </c>
      <c r="C6612">
        <v>14</v>
      </c>
      <c r="D6612">
        <v>81</v>
      </c>
    </row>
    <row r="6613" spans="1:4" x14ac:dyDescent="0.25">
      <c r="A6613" s="45" t="s">
        <v>6640</v>
      </c>
      <c r="B6613" s="46" t="s">
        <v>17607</v>
      </c>
      <c r="C6613">
        <v>14</v>
      </c>
      <c r="D6613">
        <v>81</v>
      </c>
    </row>
    <row r="6614" spans="1:4" x14ac:dyDescent="0.25">
      <c r="A6614" s="45" t="s">
        <v>6641</v>
      </c>
      <c r="B6614" s="46" t="s">
        <v>17608</v>
      </c>
      <c r="C6614">
        <v>14</v>
      </c>
      <c r="D6614">
        <v>81</v>
      </c>
    </row>
    <row r="6615" spans="1:4" x14ac:dyDescent="0.25">
      <c r="A6615" s="45" t="s">
        <v>6642</v>
      </c>
      <c r="B6615" s="46" t="s">
        <v>17609</v>
      </c>
      <c r="C6615">
        <v>14</v>
      </c>
      <c r="D6615">
        <v>81</v>
      </c>
    </row>
    <row r="6616" spans="1:4" x14ac:dyDescent="0.25">
      <c r="A6616" s="45" t="s">
        <v>6643</v>
      </c>
      <c r="B6616" s="46" t="s">
        <v>17610</v>
      </c>
      <c r="C6616">
        <v>14</v>
      </c>
      <c r="D6616">
        <v>81</v>
      </c>
    </row>
    <row r="6617" spans="1:4" x14ac:dyDescent="0.25">
      <c r="A6617" s="45" t="s">
        <v>6644</v>
      </c>
      <c r="B6617" s="46" t="s">
        <v>17611</v>
      </c>
      <c r="C6617">
        <v>14</v>
      </c>
      <c r="D6617">
        <v>81</v>
      </c>
    </row>
    <row r="6618" spans="1:4" x14ac:dyDescent="0.25">
      <c r="A6618" s="45" t="s">
        <v>6645</v>
      </c>
      <c r="B6618" s="46" t="s">
        <v>17612</v>
      </c>
      <c r="C6618">
        <v>14</v>
      </c>
      <c r="D6618">
        <v>81</v>
      </c>
    </row>
    <row r="6619" spans="1:4" x14ac:dyDescent="0.25">
      <c r="A6619" s="45" t="s">
        <v>6646</v>
      </c>
      <c r="B6619" s="46" t="s">
        <v>17613</v>
      </c>
      <c r="C6619">
        <v>14</v>
      </c>
      <c r="D6619">
        <v>81</v>
      </c>
    </row>
    <row r="6620" spans="1:4" x14ac:dyDescent="0.25">
      <c r="A6620" s="45" t="s">
        <v>6647</v>
      </c>
      <c r="B6620" s="46" t="s">
        <v>17614</v>
      </c>
      <c r="C6620">
        <v>14</v>
      </c>
      <c r="D6620">
        <v>81</v>
      </c>
    </row>
    <row r="6621" spans="1:4" x14ac:dyDescent="0.25">
      <c r="A6621" s="45" t="s">
        <v>6648</v>
      </c>
      <c r="B6621" s="46" t="s">
        <v>17615</v>
      </c>
      <c r="C6621">
        <v>14</v>
      </c>
      <c r="D6621">
        <v>81</v>
      </c>
    </row>
    <row r="6622" spans="1:4" x14ac:dyDescent="0.25">
      <c r="A6622" s="45" t="s">
        <v>6649</v>
      </c>
      <c r="B6622" s="46" t="s">
        <v>17616</v>
      </c>
      <c r="C6622">
        <v>14</v>
      </c>
      <c r="D6622">
        <v>81</v>
      </c>
    </row>
    <row r="6623" spans="1:4" x14ac:dyDescent="0.25">
      <c r="A6623" s="45" t="s">
        <v>6650</v>
      </c>
      <c r="B6623" s="46" t="s">
        <v>17617</v>
      </c>
      <c r="C6623">
        <v>14</v>
      </c>
      <c r="D6623">
        <v>81</v>
      </c>
    </row>
    <row r="6624" spans="1:4" x14ac:dyDescent="0.25">
      <c r="A6624" s="45" t="s">
        <v>6651</v>
      </c>
      <c r="B6624" s="46" t="s">
        <v>17618</v>
      </c>
      <c r="C6624">
        <v>14</v>
      </c>
      <c r="D6624">
        <v>81</v>
      </c>
    </row>
    <row r="6625" spans="1:4" x14ac:dyDescent="0.25">
      <c r="A6625" s="45" t="s">
        <v>6652</v>
      </c>
      <c r="B6625" s="46" t="s">
        <v>17619</v>
      </c>
      <c r="C6625">
        <v>14</v>
      </c>
      <c r="D6625">
        <v>81</v>
      </c>
    </row>
    <row r="6626" spans="1:4" x14ac:dyDescent="0.25">
      <c r="A6626" s="45" t="s">
        <v>6653</v>
      </c>
      <c r="B6626" s="46" t="s">
        <v>17620</v>
      </c>
      <c r="C6626">
        <v>14</v>
      </c>
      <c r="D6626">
        <v>81</v>
      </c>
    </row>
    <row r="6627" spans="1:4" x14ac:dyDescent="0.25">
      <c r="A6627" s="45" t="s">
        <v>6654</v>
      </c>
      <c r="B6627" s="46" t="s">
        <v>17621</v>
      </c>
      <c r="C6627">
        <v>14</v>
      </c>
      <c r="D6627">
        <v>81</v>
      </c>
    </row>
    <row r="6628" spans="1:4" x14ac:dyDescent="0.25">
      <c r="A6628" s="45" t="s">
        <v>6655</v>
      </c>
      <c r="B6628" s="46" t="s">
        <v>17622</v>
      </c>
      <c r="C6628">
        <v>14</v>
      </c>
      <c r="D6628">
        <v>81</v>
      </c>
    </row>
    <row r="6629" spans="1:4" x14ac:dyDescent="0.25">
      <c r="A6629" s="45" t="s">
        <v>6656</v>
      </c>
      <c r="B6629" s="46" t="s">
        <v>17623</v>
      </c>
      <c r="C6629">
        <v>14</v>
      </c>
      <c r="D6629">
        <v>81</v>
      </c>
    </row>
    <row r="6630" spans="1:4" x14ac:dyDescent="0.25">
      <c r="A6630" s="45" t="s">
        <v>6657</v>
      </c>
      <c r="B6630" s="46" t="s">
        <v>17624</v>
      </c>
      <c r="C6630">
        <v>14</v>
      </c>
      <c r="D6630">
        <v>81</v>
      </c>
    </row>
    <row r="6631" spans="1:4" x14ac:dyDescent="0.25">
      <c r="A6631" s="45" t="s">
        <v>6658</v>
      </c>
      <c r="B6631" s="46" t="s">
        <v>17625</v>
      </c>
      <c r="C6631">
        <v>14</v>
      </c>
      <c r="D6631">
        <v>81</v>
      </c>
    </row>
    <row r="6632" spans="1:4" x14ac:dyDescent="0.25">
      <c r="A6632" s="45" t="s">
        <v>6659</v>
      </c>
      <c r="B6632" s="46" t="s">
        <v>17626</v>
      </c>
      <c r="C6632">
        <v>14</v>
      </c>
      <c r="D6632">
        <v>81</v>
      </c>
    </row>
    <row r="6633" spans="1:4" x14ac:dyDescent="0.25">
      <c r="A6633" s="45" t="s">
        <v>6660</v>
      </c>
      <c r="B6633" s="46" t="s">
        <v>17627</v>
      </c>
      <c r="C6633">
        <v>14</v>
      </c>
      <c r="D6633">
        <v>81</v>
      </c>
    </row>
    <row r="6634" spans="1:4" x14ac:dyDescent="0.25">
      <c r="A6634" s="45" t="s">
        <v>6661</v>
      </c>
      <c r="B6634" s="46" t="s">
        <v>17628</v>
      </c>
      <c r="C6634">
        <v>14</v>
      </c>
      <c r="D6634">
        <v>81</v>
      </c>
    </row>
    <row r="6635" spans="1:4" x14ac:dyDescent="0.25">
      <c r="A6635" s="45" t="s">
        <v>6662</v>
      </c>
      <c r="B6635" s="46" t="s">
        <v>17629</v>
      </c>
      <c r="C6635">
        <v>14</v>
      </c>
      <c r="D6635">
        <v>81</v>
      </c>
    </row>
    <row r="6636" spans="1:4" x14ac:dyDescent="0.25">
      <c r="A6636" s="45" t="s">
        <v>6663</v>
      </c>
      <c r="B6636" s="46" t="s">
        <v>17630</v>
      </c>
      <c r="C6636">
        <v>14</v>
      </c>
      <c r="D6636">
        <v>81</v>
      </c>
    </row>
    <row r="6637" spans="1:4" x14ac:dyDescent="0.25">
      <c r="A6637" s="45" t="s">
        <v>6664</v>
      </c>
      <c r="B6637" s="46" t="s">
        <v>17631</v>
      </c>
      <c r="C6637">
        <v>14</v>
      </c>
      <c r="D6637">
        <v>81</v>
      </c>
    </row>
    <row r="6638" spans="1:4" x14ac:dyDescent="0.25">
      <c r="A6638" s="45" t="s">
        <v>6665</v>
      </c>
      <c r="B6638" s="46" t="s">
        <v>17632</v>
      </c>
      <c r="C6638">
        <v>14</v>
      </c>
      <c r="D6638">
        <v>81</v>
      </c>
    </row>
    <row r="6639" spans="1:4" x14ac:dyDescent="0.25">
      <c r="A6639" s="45" t="s">
        <v>6666</v>
      </c>
      <c r="B6639" s="46" t="s">
        <v>17633</v>
      </c>
      <c r="C6639">
        <v>14</v>
      </c>
      <c r="D6639">
        <v>81</v>
      </c>
    </row>
    <row r="6640" spans="1:4" x14ac:dyDescent="0.25">
      <c r="A6640" s="45" t="s">
        <v>6667</v>
      </c>
      <c r="B6640" s="46" t="s">
        <v>17634</v>
      </c>
      <c r="C6640">
        <v>14</v>
      </c>
      <c r="D6640">
        <v>81</v>
      </c>
    </row>
    <row r="6641" spans="1:4" x14ac:dyDescent="0.25">
      <c r="A6641" s="45" t="s">
        <v>6668</v>
      </c>
      <c r="B6641" s="46" t="s">
        <v>17635</v>
      </c>
      <c r="C6641">
        <v>14</v>
      </c>
      <c r="D6641">
        <v>81</v>
      </c>
    </row>
    <row r="6642" spans="1:4" x14ac:dyDescent="0.25">
      <c r="A6642" s="45" t="s">
        <v>6669</v>
      </c>
      <c r="B6642" s="46" t="s">
        <v>17636</v>
      </c>
      <c r="C6642">
        <v>14</v>
      </c>
      <c r="D6642">
        <v>81</v>
      </c>
    </row>
    <row r="6643" spans="1:4" x14ac:dyDescent="0.25">
      <c r="A6643" s="45" t="s">
        <v>6670</v>
      </c>
      <c r="B6643" s="46" t="s">
        <v>17637</v>
      </c>
      <c r="C6643">
        <v>14</v>
      </c>
      <c r="D6643">
        <v>81</v>
      </c>
    </row>
    <row r="6644" spans="1:4" x14ac:dyDescent="0.25">
      <c r="A6644" s="45" t="s">
        <v>6671</v>
      </c>
      <c r="B6644" s="46" t="s">
        <v>17638</v>
      </c>
      <c r="C6644">
        <v>14</v>
      </c>
      <c r="D6644">
        <v>81</v>
      </c>
    </row>
    <row r="6645" spans="1:4" x14ac:dyDescent="0.25">
      <c r="A6645" s="45" t="s">
        <v>6672</v>
      </c>
      <c r="B6645" s="46" t="s">
        <v>17639</v>
      </c>
      <c r="C6645">
        <v>14</v>
      </c>
      <c r="D6645">
        <v>81</v>
      </c>
    </row>
    <row r="6646" spans="1:4" x14ac:dyDescent="0.25">
      <c r="A6646" s="45" t="s">
        <v>6673</v>
      </c>
      <c r="B6646" s="46" t="s">
        <v>17640</v>
      </c>
      <c r="C6646">
        <v>14</v>
      </c>
      <c r="D6646">
        <v>81</v>
      </c>
    </row>
    <row r="6647" spans="1:4" x14ac:dyDescent="0.25">
      <c r="A6647" s="45" t="s">
        <v>6674</v>
      </c>
      <c r="B6647" s="46" t="s">
        <v>17641</v>
      </c>
      <c r="C6647">
        <v>14</v>
      </c>
      <c r="D6647">
        <v>81</v>
      </c>
    </row>
    <row r="6648" spans="1:4" x14ac:dyDescent="0.25">
      <c r="A6648" s="45" t="s">
        <v>6675</v>
      </c>
      <c r="B6648" s="46" t="s">
        <v>17642</v>
      </c>
      <c r="C6648">
        <v>14</v>
      </c>
      <c r="D6648">
        <v>81</v>
      </c>
    </row>
    <row r="6649" spans="1:4" x14ac:dyDescent="0.25">
      <c r="A6649" s="45" t="s">
        <v>6676</v>
      </c>
      <c r="B6649" s="46" t="s">
        <v>17643</v>
      </c>
      <c r="C6649">
        <v>14</v>
      </c>
      <c r="D6649">
        <v>81</v>
      </c>
    </row>
    <row r="6650" spans="1:4" x14ac:dyDescent="0.25">
      <c r="A6650" s="45" t="s">
        <v>6677</v>
      </c>
      <c r="B6650" s="46" t="s">
        <v>17644</v>
      </c>
      <c r="C6650">
        <v>14</v>
      </c>
      <c r="D6650">
        <v>81</v>
      </c>
    </row>
    <row r="6651" spans="1:4" x14ac:dyDescent="0.25">
      <c r="A6651" s="45" t="s">
        <v>6678</v>
      </c>
      <c r="B6651" s="46" t="s">
        <v>17645</v>
      </c>
      <c r="C6651">
        <v>14</v>
      </c>
      <c r="D6651">
        <v>81</v>
      </c>
    </row>
    <row r="6652" spans="1:4" x14ac:dyDescent="0.25">
      <c r="A6652" s="45" t="s">
        <v>6679</v>
      </c>
      <c r="B6652" s="46" t="s">
        <v>17646</v>
      </c>
      <c r="C6652">
        <v>14</v>
      </c>
      <c r="D6652">
        <v>81</v>
      </c>
    </row>
    <row r="6653" spans="1:4" x14ac:dyDescent="0.25">
      <c r="A6653" s="45" t="s">
        <v>6680</v>
      </c>
      <c r="B6653" s="46" t="s">
        <v>17647</v>
      </c>
      <c r="C6653">
        <v>14</v>
      </c>
      <c r="D6653">
        <v>81</v>
      </c>
    </row>
    <row r="6654" spans="1:4" x14ac:dyDescent="0.25">
      <c r="A6654" s="45" t="s">
        <v>6681</v>
      </c>
      <c r="B6654" s="46" t="s">
        <v>17648</v>
      </c>
      <c r="C6654">
        <v>14</v>
      </c>
      <c r="D6654">
        <v>81</v>
      </c>
    </row>
    <row r="6655" spans="1:4" x14ac:dyDescent="0.25">
      <c r="A6655" s="45" t="s">
        <v>6682</v>
      </c>
      <c r="B6655" s="46" t="s">
        <v>17649</v>
      </c>
      <c r="C6655">
        <v>14</v>
      </c>
      <c r="D6655">
        <v>81</v>
      </c>
    </row>
    <row r="6656" spans="1:4" x14ac:dyDescent="0.25">
      <c r="A6656" s="45" t="s">
        <v>6683</v>
      </c>
      <c r="B6656" s="46" t="s">
        <v>17650</v>
      </c>
      <c r="C6656">
        <v>14</v>
      </c>
      <c r="D6656">
        <v>81</v>
      </c>
    </row>
    <row r="6657" spans="1:4" x14ac:dyDescent="0.25">
      <c r="A6657" s="45" t="s">
        <v>6684</v>
      </c>
      <c r="B6657" s="46" t="s">
        <v>17651</v>
      </c>
      <c r="C6657">
        <v>14</v>
      </c>
      <c r="D6657">
        <v>81</v>
      </c>
    </row>
    <row r="6658" spans="1:4" x14ac:dyDescent="0.25">
      <c r="A6658" s="45" t="s">
        <v>6685</v>
      </c>
      <c r="B6658" s="46" t="s">
        <v>17652</v>
      </c>
      <c r="C6658">
        <v>14</v>
      </c>
      <c r="D6658">
        <v>81</v>
      </c>
    </row>
    <row r="6659" spans="1:4" x14ac:dyDescent="0.25">
      <c r="A6659" s="45" t="s">
        <v>6686</v>
      </c>
      <c r="B6659" s="46" t="s">
        <v>17653</v>
      </c>
      <c r="C6659">
        <v>14</v>
      </c>
      <c r="D6659">
        <v>81</v>
      </c>
    </row>
    <row r="6660" spans="1:4" x14ac:dyDescent="0.25">
      <c r="A6660" s="45" t="s">
        <v>6687</v>
      </c>
      <c r="B6660" s="46" t="s">
        <v>20784</v>
      </c>
      <c r="C6660">
        <v>14</v>
      </c>
      <c r="D6660">
        <v>81</v>
      </c>
    </row>
    <row r="6661" spans="1:4" x14ac:dyDescent="0.25">
      <c r="A6661" s="45" t="s">
        <v>6688</v>
      </c>
      <c r="B6661" s="46" t="s">
        <v>20785</v>
      </c>
      <c r="C6661">
        <v>13</v>
      </c>
      <c r="D6661">
        <v>79</v>
      </c>
    </row>
    <row r="6662" spans="1:4" x14ac:dyDescent="0.25">
      <c r="A6662" s="45" t="s">
        <v>6689</v>
      </c>
      <c r="B6662" s="46" t="s">
        <v>17654</v>
      </c>
      <c r="C6662">
        <v>14</v>
      </c>
      <c r="D6662">
        <v>81</v>
      </c>
    </row>
    <row r="6663" spans="1:4" x14ac:dyDescent="0.25">
      <c r="A6663" s="45" t="s">
        <v>6690</v>
      </c>
      <c r="B6663" s="46" t="s">
        <v>17655</v>
      </c>
      <c r="C6663">
        <v>14</v>
      </c>
      <c r="D6663">
        <v>81</v>
      </c>
    </row>
    <row r="6664" spans="1:4" x14ac:dyDescent="0.25">
      <c r="A6664" s="45" t="s">
        <v>6691</v>
      </c>
      <c r="B6664" s="46" t="s">
        <v>17656</v>
      </c>
      <c r="C6664">
        <v>14</v>
      </c>
      <c r="D6664">
        <v>81</v>
      </c>
    </row>
    <row r="6665" spans="1:4" x14ac:dyDescent="0.25">
      <c r="A6665" s="45" t="s">
        <v>6692</v>
      </c>
      <c r="B6665" s="46" t="s">
        <v>17657</v>
      </c>
      <c r="C6665">
        <v>14</v>
      </c>
      <c r="D6665">
        <v>81</v>
      </c>
    </row>
    <row r="6666" spans="1:4" x14ac:dyDescent="0.25">
      <c r="A6666" s="45" t="s">
        <v>6693</v>
      </c>
      <c r="B6666" s="46" t="s">
        <v>17658</v>
      </c>
      <c r="C6666">
        <v>14</v>
      </c>
      <c r="D6666">
        <v>81</v>
      </c>
    </row>
    <row r="6667" spans="1:4" x14ac:dyDescent="0.25">
      <c r="A6667" s="45" t="s">
        <v>6694</v>
      </c>
      <c r="B6667" s="46" t="s">
        <v>17659</v>
      </c>
      <c r="C6667">
        <v>14</v>
      </c>
      <c r="D6667">
        <v>81</v>
      </c>
    </row>
    <row r="6668" spans="1:4" x14ac:dyDescent="0.25">
      <c r="A6668" s="45" t="s">
        <v>6695</v>
      </c>
      <c r="B6668" s="46" t="s">
        <v>17660</v>
      </c>
      <c r="C6668">
        <v>14</v>
      </c>
      <c r="D6668">
        <v>81</v>
      </c>
    </row>
    <row r="6669" spans="1:4" x14ac:dyDescent="0.25">
      <c r="A6669" s="45" t="s">
        <v>6696</v>
      </c>
      <c r="B6669" s="46" t="s">
        <v>17661</v>
      </c>
      <c r="C6669">
        <v>14</v>
      </c>
      <c r="D6669">
        <v>81</v>
      </c>
    </row>
    <row r="6670" spans="1:4" x14ac:dyDescent="0.25">
      <c r="A6670" s="45" t="s">
        <v>6697</v>
      </c>
      <c r="B6670" s="46" t="s">
        <v>17662</v>
      </c>
      <c r="C6670">
        <v>14</v>
      </c>
      <c r="D6670">
        <v>81</v>
      </c>
    </row>
    <row r="6671" spans="1:4" x14ac:dyDescent="0.25">
      <c r="A6671" s="45" t="s">
        <v>6698</v>
      </c>
      <c r="B6671" s="46" t="s">
        <v>17663</v>
      </c>
      <c r="C6671">
        <v>14</v>
      </c>
      <c r="D6671">
        <v>81</v>
      </c>
    </row>
    <row r="6672" spans="1:4" x14ac:dyDescent="0.25">
      <c r="A6672" s="45" t="s">
        <v>6699</v>
      </c>
      <c r="B6672" s="46" t="s">
        <v>17664</v>
      </c>
      <c r="C6672">
        <v>14</v>
      </c>
      <c r="D6672">
        <v>81</v>
      </c>
    </row>
    <row r="6673" spans="1:4" x14ac:dyDescent="0.25">
      <c r="A6673" s="45" t="s">
        <v>6700</v>
      </c>
      <c r="B6673" s="46" t="s">
        <v>17665</v>
      </c>
      <c r="C6673">
        <v>14</v>
      </c>
      <c r="D6673">
        <v>81</v>
      </c>
    </row>
    <row r="6674" spans="1:4" x14ac:dyDescent="0.25">
      <c r="A6674" s="45" t="s">
        <v>6701</v>
      </c>
      <c r="B6674" s="46" t="s">
        <v>17666</v>
      </c>
      <c r="C6674">
        <v>14</v>
      </c>
      <c r="D6674">
        <v>81</v>
      </c>
    </row>
    <row r="6675" spans="1:4" x14ac:dyDescent="0.25">
      <c r="A6675" s="45" t="s">
        <v>6702</v>
      </c>
      <c r="B6675" s="46" t="s">
        <v>17667</v>
      </c>
      <c r="C6675">
        <v>14</v>
      </c>
      <c r="D6675">
        <v>81</v>
      </c>
    </row>
    <row r="6676" spans="1:4" x14ac:dyDescent="0.25">
      <c r="A6676" s="45" t="s">
        <v>6703</v>
      </c>
      <c r="B6676" s="46" t="s">
        <v>17668</v>
      </c>
      <c r="C6676">
        <v>14</v>
      </c>
      <c r="D6676">
        <v>81</v>
      </c>
    </row>
    <row r="6677" spans="1:4" x14ac:dyDescent="0.25">
      <c r="A6677" s="45" t="s">
        <v>6704</v>
      </c>
      <c r="B6677" s="46" t="s">
        <v>17669</v>
      </c>
      <c r="C6677">
        <v>14</v>
      </c>
      <c r="D6677">
        <v>81</v>
      </c>
    </row>
    <row r="6678" spans="1:4" x14ac:dyDescent="0.25">
      <c r="A6678" s="45" t="s">
        <v>6705</v>
      </c>
      <c r="B6678" s="46" t="s">
        <v>17670</v>
      </c>
      <c r="C6678">
        <v>14</v>
      </c>
      <c r="D6678">
        <v>81</v>
      </c>
    </row>
    <row r="6679" spans="1:4" x14ac:dyDescent="0.25">
      <c r="A6679" s="45" t="s">
        <v>6706</v>
      </c>
      <c r="B6679" s="46" t="s">
        <v>17671</v>
      </c>
      <c r="C6679">
        <v>14</v>
      </c>
      <c r="D6679">
        <v>81</v>
      </c>
    </row>
    <row r="6680" spans="1:4" x14ac:dyDescent="0.25">
      <c r="A6680" s="45" t="s">
        <v>6707</v>
      </c>
      <c r="B6680" s="46" t="s">
        <v>17672</v>
      </c>
      <c r="C6680">
        <v>14</v>
      </c>
      <c r="D6680">
        <v>81</v>
      </c>
    </row>
    <row r="6681" spans="1:4" x14ac:dyDescent="0.25">
      <c r="A6681" s="45" t="s">
        <v>6708</v>
      </c>
      <c r="B6681" s="46" t="s">
        <v>17673</v>
      </c>
      <c r="C6681">
        <v>14</v>
      </c>
      <c r="D6681">
        <v>81</v>
      </c>
    </row>
    <row r="6682" spans="1:4" x14ac:dyDescent="0.25">
      <c r="A6682" s="45" t="s">
        <v>6709</v>
      </c>
      <c r="B6682" s="46" t="s">
        <v>17674</v>
      </c>
      <c r="C6682">
        <v>14</v>
      </c>
      <c r="D6682">
        <v>81</v>
      </c>
    </row>
    <row r="6683" spans="1:4" x14ac:dyDescent="0.25">
      <c r="A6683" s="45" t="s">
        <v>6710</v>
      </c>
      <c r="B6683" s="46" t="s">
        <v>17675</v>
      </c>
      <c r="C6683">
        <v>14</v>
      </c>
      <c r="D6683">
        <v>81</v>
      </c>
    </row>
    <row r="6684" spans="1:4" x14ac:dyDescent="0.25">
      <c r="A6684" s="45" t="s">
        <v>6711</v>
      </c>
      <c r="B6684" s="46" t="s">
        <v>17676</v>
      </c>
      <c r="C6684">
        <v>14</v>
      </c>
      <c r="D6684">
        <v>81</v>
      </c>
    </row>
    <row r="6685" spans="1:4" x14ac:dyDescent="0.25">
      <c r="A6685" s="45" t="s">
        <v>6712</v>
      </c>
      <c r="B6685" s="46" t="s">
        <v>17677</v>
      </c>
      <c r="C6685">
        <v>14</v>
      </c>
      <c r="D6685">
        <v>81</v>
      </c>
    </row>
    <row r="6686" spans="1:4" x14ac:dyDescent="0.25">
      <c r="A6686" s="45" t="s">
        <v>6713</v>
      </c>
      <c r="B6686" s="46" t="s">
        <v>17678</v>
      </c>
      <c r="C6686">
        <v>14</v>
      </c>
      <c r="D6686">
        <v>81</v>
      </c>
    </row>
    <row r="6687" spans="1:4" x14ac:dyDescent="0.25">
      <c r="A6687" s="45" t="s">
        <v>6714</v>
      </c>
      <c r="B6687" s="46" t="s">
        <v>17679</v>
      </c>
      <c r="C6687">
        <v>14</v>
      </c>
      <c r="D6687">
        <v>81</v>
      </c>
    </row>
    <row r="6688" spans="1:4" x14ac:dyDescent="0.25">
      <c r="A6688" s="45" t="s">
        <v>6715</v>
      </c>
      <c r="B6688" s="46" t="s">
        <v>17680</v>
      </c>
      <c r="C6688">
        <v>14</v>
      </c>
      <c r="D6688">
        <v>81</v>
      </c>
    </row>
    <row r="6689" spans="1:4" x14ac:dyDescent="0.25">
      <c r="A6689" s="45" t="s">
        <v>6716</v>
      </c>
      <c r="B6689" s="46" t="s">
        <v>17681</v>
      </c>
      <c r="C6689">
        <v>14</v>
      </c>
      <c r="D6689">
        <v>81</v>
      </c>
    </row>
    <row r="6690" spans="1:4" x14ac:dyDescent="0.25">
      <c r="A6690" s="45" t="s">
        <v>6717</v>
      </c>
      <c r="B6690" s="46" t="s">
        <v>17682</v>
      </c>
      <c r="C6690">
        <v>14</v>
      </c>
      <c r="D6690">
        <v>81</v>
      </c>
    </row>
    <row r="6691" spans="1:4" x14ac:dyDescent="0.25">
      <c r="A6691" s="45" t="s">
        <v>6718</v>
      </c>
      <c r="B6691" s="46" t="s">
        <v>17683</v>
      </c>
      <c r="C6691">
        <v>14</v>
      </c>
      <c r="D6691">
        <v>81</v>
      </c>
    </row>
    <row r="6692" spans="1:4" x14ac:dyDescent="0.25">
      <c r="A6692" s="45" t="s">
        <v>6719</v>
      </c>
      <c r="B6692" s="46" t="s">
        <v>17684</v>
      </c>
      <c r="C6692">
        <v>14</v>
      </c>
      <c r="D6692">
        <v>81</v>
      </c>
    </row>
    <row r="6693" spans="1:4" x14ac:dyDescent="0.25">
      <c r="A6693" s="45" t="s">
        <v>6720</v>
      </c>
      <c r="B6693" s="46" t="s">
        <v>17685</v>
      </c>
      <c r="C6693">
        <v>14</v>
      </c>
      <c r="D6693">
        <v>81</v>
      </c>
    </row>
    <row r="6694" spans="1:4" x14ac:dyDescent="0.25">
      <c r="A6694" s="45" t="s">
        <v>6721</v>
      </c>
      <c r="B6694" s="46" t="s">
        <v>17686</v>
      </c>
      <c r="C6694">
        <v>14</v>
      </c>
      <c r="D6694">
        <v>81</v>
      </c>
    </row>
    <row r="6695" spans="1:4" x14ac:dyDescent="0.25">
      <c r="A6695" s="45" t="s">
        <v>6722</v>
      </c>
      <c r="B6695" s="46" t="s">
        <v>20786</v>
      </c>
      <c r="C6695">
        <v>14</v>
      </c>
      <c r="D6695">
        <v>81</v>
      </c>
    </row>
    <row r="6696" spans="1:4" x14ac:dyDescent="0.25">
      <c r="A6696" s="45" t="s">
        <v>6723</v>
      </c>
      <c r="B6696" s="46" t="s">
        <v>17687</v>
      </c>
      <c r="C6696">
        <v>14</v>
      </c>
      <c r="D6696">
        <v>81</v>
      </c>
    </row>
    <row r="6697" spans="1:4" x14ac:dyDescent="0.25">
      <c r="A6697" s="45" t="s">
        <v>6724</v>
      </c>
      <c r="B6697" s="46" t="s">
        <v>20787</v>
      </c>
      <c r="C6697">
        <v>14</v>
      </c>
      <c r="D6697">
        <v>81</v>
      </c>
    </row>
    <row r="6698" spans="1:4" x14ac:dyDescent="0.25">
      <c r="A6698" s="45" t="s">
        <v>6725</v>
      </c>
      <c r="B6698" s="46" t="s">
        <v>17688</v>
      </c>
      <c r="C6698">
        <v>14</v>
      </c>
      <c r="D6698">
        <v>81</v>
      </c>
    </row>
    <row r="6699" spans="1:4" x14ac:dyDescent="0.25">
      <c r="A6699" s="45" t="s">
        <v>6726</v>
      </c>
      <c r="B6699" s="46" t="s">
        <v>17689</v>
      </c>
      <c r="C6699">
        <v>14</v>
      </c>
      <c r="D6699">
        <v>81</v>
      </c>
    </row>
    <row r="6700" spans="1:4" x14ac:dyDescent="0.25">
      <c r="A6700" s="45" t="s">
        <v>6727</v>
      </c>
      <c r="B6700" s="46" t="s">
        <v>17690</v>
      </c>
      <c r="C6700">
        <v>14</v>
      </c>
      <c r="D6700">
        <v>81</v>
      </c>
    </row>
    <row r="6701" spans="1:4" x14ac:dyDescent="0.25">
      <c r="A6701" s="45" t="s">
        <v>6728</v>
      </c>
      <c r="B6701" s="46" t="s">
        <v>17691</v>
      </c>
      <c r="C6701">
        <v>14</v>
      </c>
      <c r="D6701">
        <v>81</v>
      </c>
    </row>
    <row r="6702" spans="1:4" x14ac:dyDescent="0.25">
      <c r="A6702" s="45" t="s">
        <v>6729</v>
      </c>
      <c r="B6702" s="46" t="s">
        <v>17692</v>
      </c>
      <c r="C6702">
        <v>14</v>
      </c>
      <c r="D6702">
        <v>81</v>
      </c>
    </row>
    <row r="6703" spans="1:4" x14ac:dyDescent="0.25">
      <c r="A6703" s="45" t="s">
        <v>6730</v>
      </c>
      <c r="B6703" s="46" t="s">
        <v>17693</v>
      </c>
      <c r="C6703">
        <v>14</v>
      </c>
      <c r="D6703">
        <v>81</v>
      </c>
    </row>
    <row r="6704" spans="1:4" x14ac:dyDescent="0.25">
      <c r="A6704" s="45" t="s">
        <v>6731</v>
      </c>
      <c r="B6704" s="46" t="s">
        <v>17694</v>
      </c>
      <c r="C6704">
        <v>14</v>
      </c>
      <c r="D6704">
        <v>81</v>
      </c>
    </row>
    <row r="6705" spans="1:4" x14ac:dyDescent="0.25">
      <c r="A6705" s="45" t="s">
        <v>6732</v>
      </c>
      <c r="B6705" s="46" t="s">
        <v>17695</v>
      </c>
      <c r="C6705">
        <v>14</v>
      </c>
      <c r="D6705">
        <v>81</v>
      </c>
    </row>
    <row r="6706" spans="1:4" x14ac:dyDescent="0.25">
      <c r="A6706" s="45" t="s">
        <v>6733</v>
      </c>
      <c r="B6706" s="46" t="s">
        <v>17696</v>
      </c>
      <c r="C6706">
        <v>14</v>
      </c>
      <c r="D6706">
        <v>81</v>
      </c>
    </row>
    <row r="6707" spans="1:4" x14ac:dyDescent="0.25">
      <c r="A6707" s="45" t="s">
        <v>6734</v>
      </c>
      <c r="B6707" s="46" t="s">
        <v>20788</v>
      </c>
      <c r="C6707">
        <v>14</v>
      </c>
      <c r="D6707">
        <v>81</v>
      </c>
    </row>
    <row r="6708" spans="1:4" x14ac:dyDescent="0.25">
      <c r="A6708" s="45" t="s">
        <v>6735</v>
      </c>
      <c r="B6708" s="46" t="s">
        <v>20789</v>
      </c>
      <c r="C6708">
        <v>14</v>
      </c>
      <c r="D6708">
        <v>81</v>
      </c>
    </row>
    <row r="6709" spans="1:4" x14ac:dyDescent="0.25">
      <c r="A6709" s="45" t="s">
        <v>6736</v>
      </c>
      <c r="B6709" s="46" t="s">
        <v>17697</v>
      </c>
      <c r="C6709">
        <v>14</v>
      </c>
      <c r="D6709">
        <v>81</v>
      </c>
    </row>
    <row r="6710" spans="1:4" x14ac:dyDescent="0.25">
      <c r="A6710" s="45" t="s">
        <v>6737</v>
      </c>
      <c r="B6710" s="46" t="s">
        <v>17698</v>
      </c>
      <c r="C6710">
        <v>14</v>
      </c>
      <c r="D6710">
        <v>81</v>
      </c>
    </row>
    <row r="6711" spans="1:4" x14ac:dyDescent="0.25">
      <c r="A6711" s="45" t="s">
        <v>6738</v>
      </c>
      <c r="B6711" s="46" t="s">
        <v>17699</v>
      </c>
      <c r="C6711">
        <v>14</v>
      </c>
      <c r="D6711">
        <v>81</v>
      </c>
    </row>
    <row r="6712" spans="1:4" x14ac:dyDescent="0.25">
      <c r="A6712" s="45" t="s">
        <v>6739</v>
      </c>
      <c r="B6712" s="46" t="s">
        <v>17700</v>
      </c>
      <c r="C6712">
        <v>14</v>
      </c>
      <c r="D6712">
        <v>81</v>
      </c>
    </row>
    <row r="6713" spans="1:4" x14ac:dyDescent="0.25">
      <c r="A6713" s="45" t="s">
        <v>6740</v>
      </c>
      <c r="B6713" s="46" t="s">
        <v>20790</v>
      </c>
      <c r="C6713">
        <v>14</v>
      </c>
      <c r="D6713">
        <v>81</v>
      </c>
    </row>
    <row r="6714" spans="1:4" x14ac:dyDescent="0.25">
      <c r="A6714" s="45" t="s">
        <v>6741</v>
      </c>
      <c r="B6714" s="46" t="s">
        <v>17701</v>
      </c>
      <c r="C6714">
        <v>14</v>
      </c>
      <c r="D6714">
        <v>81</v>
      </c>
    </row>
    <row r="6715" spans="1:4" x14ac:dyDescent="0.25">
      <c r="A6715" s="45" t="s">
        <v>6742</v>
      </c>
      <c r="B6715" s="46" t="s">
        <v>17702</v>
      </c>
      <c r="C6715">
        <v>14</v>
      </c>
      <c r="D6715">
        <v>81</v>
      </c>
    </row>
    <row r="6716" spans="1:4" x14ac:dyDescent="0.25">
      <c r="A6716" s="45" t="s">
        <v>6743</v>
      </c>
      <c r="B6716" s="46" t="s">
        <v>17703</v>
      </c>
      <c r="C6716">
        <v>14</v>
      </c>
      <c r="D6716">
        <v>81</v>
      </c>
    </row>
    <row r="6717" spans="1:4" x14ac:dyDescent="0.25">
      <c r="A6717" s="45" t="s">
        <v>6744</v>
      </c>
      <c r="B6717" s="46" t="s">
        <v>17704</v>
      </c>
      <c r="C6717">
        <v>14</v>
      </c>
      <c r="D6717">
        <v>81</v>
      </c>
    </row>
    <row r="6718" spans="1:4" x14ac:dyDescent="0.25">
      <c r="A6718" s="45" t="s">
        <v>6745</v>
      </c>
      <c r="B6718" s="46" t="s">
        <v>17705</v>
      </c>
      <c r="C6718">
        <v>14</v>
      </c>
      <c r="D6718">
        <v>81</v>
      </c>
    </row>
    <row r="6719" spans="1:4" x14ac:dyDescent="0.25">
      <c r="A6719" s="45" t="s">
        <v>6746</v>
      </c>
      <c r="B6719" s="46" t="s">
        <v>17706</v>
      </c>
      <c r="C6719">
        <v>14</v>
      </c>
      <c r="D6719">
        <v>81</v>
      </c>
    </row>
    <row r="6720" spans="1:4" x14ac:dyDescent="0.25">
      <c r="A6720" s="45" t="s">
        <v>6747</v>
      </c>
      <c r="B6720" s="46" t="s">
        <v>17707</v>
      </c>
      <c r="C6720">
        <v>14</v>
      </c>
      <c r="D6720">
        <v>81</v>
      </c>
    </row>
    <row r="6721" spans="1:4" x14ac:dyDescent="0.25">
      <c r="A6721" s="45" t="s">
        <v>6748</v>
      </c>
      <c r="B6721" s="46" t="s">
        <v>17708</v>
      </c>
      <c r="C6721">
        <v>14</v>
      </c>
      <c r="D6721">
        <v>81</v>
      </c>
    </row>
    <row r="6722" spans="1:4" x14ac:dyDescent="0.25">
      <c r="A6722" s="45" t="s">
        <v>6749</v>
      </c>
      <c r="B6722" s="46" t="s">
        <v>17709</v>
      </c>
      <c r="C6722">
        <v>14</v>
      </c>
      <c r="D6722">
        <v>81</v>
      </c>
    </row>
    <row r="6723" spans="1:4" x14ac:dyDescent="0.25">
      <c r="A6723" s="45" t="s">
        <v>6750</v>
      </c>
      <c r="B6723" s="46" t="s">
        <v>17710</v>
      </c>
      <c r="C6723">
        <v>14</v>
      </c>
      <c r="D6723">
        <v>81</v>
      </c>
    </row>
    <row r="6724" spans="1:4" x14ac:dyDescent="0.25">
      <c r="A6724" s="45" t="s">
        <v>6751</v>
      </c>
      <c r="B6724" s="46" t="s">
        <v>17711</v>
      </c>
      <c r="C6724">
        <v>14</v>
      </c>
      <c r="D6724">
        <v>81</v>
      </c>
    </row>
    <row r="6725" spans="1:4" x14ac:dyDescent="0.25">
      <c r="A6725" s="45" t="s">
        <v>6752</v>
      </c>
      <c r="B6725" s="46" t="s">
        <v>17712</v>
      </c>
      <c r="C6725">
        <v>14</v>
      </c>
      <c r="D6725">
        <v>81</v>
      </c>
    </row>
    <row r="6726" spans="1:4" x14ac:dyDescent="0.25">
      <c r="A6726" s="45" t="s">
        <v>6753</v>
      </c>
      <c r="B6726" s="46" t="s">
        <v>17713</v>
      </c>
      <c r="C6726">
        <v>14</v>
      </c>
      <c r="D6726">
        <v>81</v>
      </c>
    </row>
    <row r="6727" spans="1:4" x14ac:dyDescent="0.25">
      <c r="A6727" s="45" t="s">
        <v>6754</v>
      </c>
      <c r="B6727" s="46" t="s">
        <v>20791</v>
      </c>
      <c r="C6727">
        <v>14</v>
      </c>
      <c r="D6727">
        <v>81</v>
      </c>
    </row>
    <row r="6728" spans="1:4" x14ac:dyDescent="0.25">
      <c r="A6728" s="45" t="s">
        <v>6755</v>
      </c>
      <c r="B6728" s="46" t="s">
        <v>20792</v>
      </c>
      <c r="C6728">
        <v>14</v>
      </c>
      <c r="D6728">
        <v>81</v>
      </c>
    </row>
    <row r="6729" spans="1:4" x14ac:dyDescent="0.25">
      <c r="A6729" s="45" t="s">
        <v>6756</v>
      </c>
      <c r="B6729" s="46" t="s">
        <v>17714</v>
      </c>
      <c r="C6729">
        <v>14</v>
      </c>
      <c r="D6729">
        <v>81</v>
      </c>
    </row>
    <row r="6730" spans="1:4" x14ac:dyDescent="0.25">
      <c r="A6730" s="45" t="s">
        <v>6757</v>
      </c>
      <c r="B6730" s="46" t="s">
        <v>17715</v>
      </c>
      <c r="C6730">
        <v>14</v>
      </c>
      <c r="D6730">
        <v>81</v>
      </c>
    </row>
    <row r="6731" spans="1:4" x14ac:dyDescent="0.25">
      <c r="A6731" s="45" t="s">
        <v>6758</v>
      </c>
      <c r="B6731" s="46" t="s">
        <v>17716</v>
      </c>
      <c r="C6731">
        <v>14</v>
      </c>
      <c r="D6731">
        <v>81</v>
      </c>
    </row>
    <row r="6732" spans="1:4" x14ac:dyDescent="0.25">
      <c r="A6732" s="45" t="s">
        <v>6759</v>
      </c>
      <c r="B6732" s="46" t="s">
        <v>17717</v>
      </c>
      <c r="C6732">
        <v>14</v>
      </c>
      <c r="D6732">
        <v>81</v>
      </c>
    </row>
    <row r="6733" spans="1:4" x14ac:dyDescent="0.25">
      <c r="A6733" s="45" t="s">
        <v>6760</v>
      </c>
      <c r="B6733" s="46" t="s">
        <v>17718</v>
      </c>
      <c r="C6733">
        <v>14</v>
      </c>
      <c r="D6733">
        <v>81</v>
      </c>
    </row>
    <row r="6734" spans="1:4" x14ac:dyDescent="0.25">
      <c r="A6734" s="45" t="s">
        <v>6761</v>
      </c>
      <c r="B6734" s="46" t="s">
        <v>17719</v>
      </c>
      <c r="C6734">
        <v>14</v>
      </c>
      <c r="D6734">
        <v>81</v>
      </c>
    </row>
    <row r="6735" spans="1:4" x14ac:dyDescent="0.25">
      <c r="A6735" s="45" t="s">
        <v>6762</v>
      </c>
      <c r="B6735" s="46" t="s">
        <v>17720</v>
      </c>
      <c r="C6735">
        <v>14</v>
      </c>
      <c r="D6735">
        <v>81</v>
      </c>
    </row>
    <row r="6736" spans="1:4" x14ac:dyDescent="0.25">
      <c r="A6736" s="45" t="s">
        <v>6763</v>
      </c>
      <c r="B6736" s="46" t="s">
        <v>17721</v>
      </c>
      <c r="C6736">
        <v>14</v>
      </c>
      <c r="D6736">
        <v>81</v>
      </c>
    </row>
    <row r="6737" spans="1:4" x14ac:dyDescent="0.25">
      <c r="A6737" s="45" t="s">
        <v>6764</v>
      </c>
      <c r="B6737" s="46" t="s">
        <v>17722</v>
      </c>
      <c r="C6737">
        <v>14</v>
      </c>
      <c r="D6737">
        <v>81</v>
      </c>
    </row>
    <row r="6738" spans="1:4" x14ac:dyDescent="0.25">
      <c r="A6738" s="45" t="s">
        <v>6765</v>
      </c>
      <c r="B6738" s="46" t="s">
        <v>17723</v>
      </c>
      <c r="C6738">
        <v>14</v>
      </c>
      <c r="D6738">
        <v>81</v>
      </c>
    </row>
    <row r="6739" spans="1:4" x14ac:dyDescent="0.25">
      <c r="A6739" s="45" t="s">
        <v>6766</v>
      </c>
      <c r="B6739" s="46" t="s">
        <v>17724</v>
      </c>
      <c r="C6739">
        <v>9</v>
      </c>
      <c r="D6739">
        <v>58</v>
      </c>
    </row>
    <row r="6740" spans="1:4" x14ac:dyDescent="0.25">
      <c r="A6740" s="45" t="s">
        <v>6767</v>
      </c>
      <c r="B6740" s="46" t="s">
        <v>17725</v>
      </c>
      <c r="C6740">
        <v>14</v>
      </c>
      <c r="D6740">
        <v>81</v>
      </c>
    </row>
    <row r="6741" spans="1:4" x14ac:dyDescent="0.25">
      <c r="A6741" s="45" t="s">
        <v>6768</v>
      </c>
      <c r="B6741" s="46" t="s">
        <v>17726</v>
      </c>
      <c r="C6741">
        <v>14</v>
      </c>
      <c r="D6741">
        <v>81</v>
      </c>
    </row>
    <row r="6742" spans="1:4" x14ac:dyDescent="0.25">
      <c r="A6742" s="45" t="s">
        <v>6769</v>
      </c>
      <c r="B6742" s="46" t="s">
        <v>17727</v>
      </c>
      <c r="C6742">
        <v>14</v>
      </c>
      <c r="D6742">
        <v>81</v>
      </c>
    </row>
    <row r="6743" spans="1:4" x14ac:dyDescent="0.25">
      <c r="A6743" s="45" t="s">
        <v>6770</v>
      </c>
      <c r="B6743" s="46" t="s">
        <v>17728</v>
      </c>
      <c r="C6743">
        <v>14</v>
      </c>
      <c r="D6743">
        <v>81</v>
      </c>
    </row>
    <row r="6744" spans="1:4" x14ac:dyDescent="0.25">
      <c r="A6744" s="45" t="s">
        <v>6771</v>
      </c>
      <c r="B6744" s="46" t="s">
        <v>17729</v>
      </c>
      <c r="C6744">
        <v>14</v>
      </c>
      <c r="D6744">
        <v>81</v>
      </c>
    </row>
    <row r="6745" spans="1:4" x14ac:dyDescent="0.25">
      <c r="A6745" s="45" t="s">
        <v>6772</v>
      </c>
      <c r="B6745" s="46" t="s">
        <v>17730</v>
      </c>
      <c r="C6745">
        <v>14</v>
      </c>
      <c r="D6745">
        <v>81</v>
      </c>
    </row>
    <row r="6746" spans="1:4" x14ac:dyDescent="0.25">
      <c r="A6746" s="45" t="s">
        <v>6773</v>
      </c>
      <c r="B6746" s="46" t="s">
        <v>17731</v>
      </c>
      <c r="C6746">
        <v>14</v>
      </c>
      <c r="D6746">
        <v>81</v>
      </c>
    </row>
    <row r="6747" spans="1:4" x14ac:dyDescent="0.25">
      <c r="A6747" s="45" t="s">
        <v>6774</v>
      </c>
      <c r="B6747" s="46" t="s">
        <v>17732</v>
      </c>
      <c r="C6747">
        <v>14</v>
      </c>
      <c r="D6747">
        <v>81</v>
      </c>
    </row>
    <row r="6748" spans="1:4" x14ac:dyDescent="0.25">
      <c r="A6748" s="45" t="s">
        <v>6775</v>
      </c>
      <c r="B6748" s="46" t="s">
        <v>17733</v>
      </c>
      <c r="C6748">
        <v>14</v>
      </c>
      <c r="D6748">
        <v>81</v>
      </c>
    </row>
    <row r="6749" spans="1:4" x14ac:dyDescent="0.25">
      <c r="A6749" s="45" t="s">
        <v>6776</v>
      </c>
      <c r="B6749" s="46" t="s">
        <v>17734</v>
      </c>
      <c r="C6749">
        <v>14</v>
      </c>
      <c r="D6749">
        <v>81</v>
      </c>
    </row>
    <row r="6750" spans="1:4" x14ac:dyDescent="0.25">
      <c r="A6750" s="45" t="s">
        <v>6777</v>
      </c>
      <c r="B6750" s="46" t="s">
        <v>17735</v>
      </c>
      <c r="C6750">
        <v>14</v>
      </c>
      <c r="D6750">
        <v>81</v>
      </c>
    </row>
    <row r="6751" spans="1:4" x14ac:dyDescent="0.25">
      <c r="A6751" s="45" t="s">
        <v>6778</v>
      </c>
      <c r="B6751" s="46" t="s">
        <v>20793</v>
      </c>
      <c r="C6751">
        <v>14</v>
      </c>
      <c r="D6751">
        <v>81</v>
      </c>
    </row>
    <row r="6752" spans="1:4" x14ac:dyDescent="0.25">
      <c r="A6752" s="45" t="s">
        <v>6779</v>
      </c>
      <c r="B6752" s="46" t="s">
        <v>17736</v>
      </c>
      <c r="C6752">
        <v>14</v>
      </c>
      <c r="D6752">
        <v>81</v>
      </c>
    </row>
    <row r="6753" spans="1:4" x14ac:dyDescent="0.25">
      <c r="A6753" s="45" t="s">
        <v>6780</v>
      </c>
      <c r="B6753" s="46" t="s">
        <v>17737</v>
      </c>
      <c r="C6753">
        <v>14</v>
      </c>
      <c r="D6753">
        <v>81</v>
      </c>
    </row>
    <row r="6754" spans="1:4" x14ac:dyDescent="0.25">
      <c r="A6754" s="45" t="s">
        <v>6781</v>
      </c>
      <c r="B6754" s="46" t="s">
        <v>17738</v>
      </c>
      <c r="C6754">
        <v>14</v>
      </c>
      <c r="D6754">
        <v>81</v>
      </c>
    </row>
    <row r="6755" spans="1:4" x14ac:dyDescent="0.25">
      <c r="A6755" s="45" t="s">
        <v>6782</v>
      </c>
      <c r="B6755" s="46" t="s">
        <v>17739</v>
      </c>
      <c r="C6755">
        <v>14</v>
      </c>
      <c r="D6755">
        <v>81</v>
      </c>
    </row>
    <row r="6756" spans="1:4" x14ac:dyDescent="0.25">
      <c r="A6756" s="45" t="s">
        <v>6783</v>
      </c>
      <c r="B6756" s="46" t="s">
        <v>17740</v>
      </c>
      <c r="C6756">
        <v>14</v>
      </c>
      <c r="D6756">
        <v>81</v>
      </c>
    </row>
    <row r="6757" spans="1:4" x14ac:dyDescent="0.25">
      <c r="A6757" s="45" t="s">
        <v>6784</v>
      </c>
      <c r="B6757" s="46" t="s">
        <v>17741</v>
      </c>
      <c r="C6757">
        <v>14</v>
      </c>
      <c r="D6757">
        <v>81</v>
      </c>
    </row>
    <row r="6758" spans="1:4" x14ac:dyDescent="0.25">
      <c r="A6758" s="45" t="s">
        <v>6785</v>
      </c>
      <c r="B6758" s="46" t="s">
        <v>17742</v>
      </c>
      <c r="C6758">
        <v>14</v>
      </c>
      <c r="D6758">
        <v>81</v>
      </c>
    </row>
    <row r="6759" spans="1:4" x14ac:dyDescent="0.25">
      <c r="A6759" s="45" t="s">
        <v>6786</v>
      </c>
      <c r="B6759" s="46" t="s">
        <v>17743</v>
      </c>
      <c r="C6759">
        <v>14</v>
      </c>
      <c r="D6759">
        <v>81</v>
      </c>
    </row>
    <row r="6760" spans="1:4" x14ac:dyDescent="0.25">
      <c r="A6760" s="45" t="s">
        <v>6787</v>
      </c>
      <c r="B6760" s="46" t="s">
        <v>17744</v>
      </c>
      <c r="C6760">
        <v>14</v>
      </c>
      <c r="D6760">
        <v>81</v>
      </c>
    </row>
    <row r="6761" spans="1:4" x14ac:dyDescent="0.25">
      <c r="A6761" s="45" t="s">
        <v>6788</v>
      </c>
      <c r="B6761" s="46" t="s">
        <v>17745</v>
      </c>
      <c r="C6761">
        <v>14</v>
      </c>
      <c r="D6761">
        <v>81</v>
      </c>
    </row>
    <row r="6762" spans="1:4" x14ac:dyDescent="0.25">
      <c r="A6762" s="45" t="s">
        <v>6789</v>
      </c>
      <c r="B6762" s="46" t="s">
        <v>17746</v>
      </c>
      <c r="C6762">
        <v>14</v>
      </c>
      <c r="D6762">
        <v>81</v>
      </c>
    </row>
    <row r="6763" spans="1:4" x14ac:dyDescent="0.25">
      <c r="A6763" s="45" t="s">
        <v>6790</v>
      </c>
      <c r="B6763" s="46" t="s">
        <v>17747</v>
      </c>
      <c r="C6763">
        <v>14</v>
      </c>
      <c r="D6763">
        <v>81</v>
      </c>
    </row>
    <row r="6764" spans="1:4" x14ac:dyDescent="0.25">
      <c r="A6764" s="45" t="s">
        <v>6791</v>
      </c>
      <c r="B6764" s="46" t="s">
        <v>17748</v>
      </c>
      <c r="C6764">
        <v>4</v>
      </c>
      <c r="D6764">
        <v>29</v>
      </c>
    </row>
    <row r="6765" spans="1:4" x14ac:dyDescent="0.25">
      <c r="A6765" s="45" t="s">
        <v>6792</v>
      </c>
      <c r="B6765" s="46" t="s">
        <v>17749</v>
      </c>
      <c r="C6765">
        <v>14</v>
      </c>
      <c r="D6765">
        <v>81</v>
      </c>
    </row>
    <row r="6766" spans="1:4" x14ac:dyDescent="0.25">
      <c r="A6766" s="45" t="s">
        <v>6793</v>
      </c>
      <c r="B6766" s="46" t="s">
        <v>17750</v>
      </c>
      <c r="C6766">
        <v>14</v>
      </c>
      <c r="D6766">
        <v>81</v>
      </c>
    </row>
    <row r="6767" spans="1:4" x14ac:dyDescent="0.25">
      <c r="A6767" s="45" t="s">
        <v>6794</v>
      </c>
      <c r="B6767" s="46" t="s">
        <v>17751</v>
      </c>
      <c r="C6767">
        <v>14</v>
      </c>
      <c r="D6767">
        <v>81</v>
      </c>
    </row>
    <row r="6768" spans="1:4" x14ac:dyDescent="0.25">
      <c r="A6768" s="45" t="s">
        <v>6795</v>
      </c>
      <c r="B6768" s="46" t="s">
        <v>17752</v>
      </c>
      <c r="C6768">
        <v>14</v>
      </c>
      <c r="D6768">
        <v>81</v>
      </c>
    </row>
    <row r="6769" spans="1:4" x14ac:dyDescent="0.25">
      <c r="A6769" s="45" t="s">
        <v>6796</v>
      </c>
      <c r="B6769" s="46" t="s">
        <v>20794</v>
      </c>
      <c r="C6769">
        <v>14</v>
      </c>
      <c r="D6769">
        <v>81</v>
      </c>
    </row>
    <row r="6770" spans="1:4" x14ac:dyDescent="0.25">
      <c r="A6770" s="45" t="s">
        <v>6797</v>
      </c>
      <c r="B6770" s="46" t="s">
        <v>17753</v>
      </c>
      <c r="C6770">
        <v>14</v>
      </c>
      <c r="D6770">
        <v>81</v>
      </c>
    </row>
    <row r="6771" spans="1:4" x14ac:dyDescent="0.25">
      <c r="A6771" s="45" t="s">
        <v>6798</v>
      </c>
      <c r="B6771" s="46" t="s">
        <v>17754</v>
      </c>
      <c r="C6771">
        <v>14</v>
      </c>
      <c r="D6771">
        <v>81</v>
      </c>
    </row>
    <row r="6772" spans="1:4" x14ac:dyDescent="0.25">
      <c r="A6772" s="45" t="s">
        <v>6799</v>
      </c>
      <c r="B6772" s="46" t="s">
        <v>17755</v>
      </c>
      <c r="C6772">
        <v>14</v>
      </c>
      <c r="D6772">
        <v>81</v>
      </c>
    </row>
    <row r="6773" spans="1:4" x14ac:dyDescent="0.25">
      <c r="A6773" s="45" t="s">
        <v>6800</v>
      </c>
      <c r="B6773" s="46" t="s">
        <v>17756</v>
      </c>
      <c r="C6773">
        <v>14</v>
      </c>
      <c r="D6773">
        <v>81</v>
      </c>
    </row>
    <row r="6774" spans="1:4" x14ac:dyDescent="0.25">
      <c r="A6774" s="45" t="s">
        <v>6801</v>
      </c>
      <c r="B6774" s="46" t="s">
        <v>20795</v>
      </c>
      <c r="C6774">
        <v>14</v>
      </c>
      <c r="D6774">
        <v>81</v>
      </c>
    </row>
    <row r="6775" spans="1:4" x14ac:dyDescent="0.25">
      <c r="A6775" s="45" t="s">
        <v>6802</v>
      </c>
      <c r="B6775" s="46" t="s">
        <v>17757</v>
      </c>
      <c r="C6775">
        <v>14</v>
      </c>
      <c r="D6775">
        <v>81</v>
      </c>
    </row>
    <row r="6776" spans="1:4" x14ac:dyDescent="0.25">
      <c r="A6776" s="45" t="s">
        <v>6803</v>
      </c>
      <c r="B6776" s="46" t="s">
        <v>17758</v>
      </c>
      <c r="C6776">
        <v>14</v>
      </c>
      <c r="D6776">
        <v>81</v>
      </c>
    </row>
    <row r="6777" spans="1:4" x14ac:dyDescent="0.25">
      <c r="A6777" s="45" t="s">
        <v>6804</v>
      </c>
      <c r="B6777" s="46" t="s">
        <v>17759</v>
      </c>
      <c r="C6777">
        <v>14</v>
      </c>
      <c r="D6777">
        <v>81</v>
      </c>
    </row>
    <row r="6778" spans="1:4" x14ac:dyDescent="0.25">
      <c r="A6778" s="45" t="s">
        <v>6805</v>
      </c>
      <c r="B6778" s="46" t="s">
        <v>17760</v>
      </c>
      <c r="C6778">
        <v>14</v>
      </c>
      <c r="D6778">
        <v>81</v>
      </c>
    </row>
    <row r="6779" spans="1:4" x14ac:dyDescent="0.25">
      <c r="A6779" s="45" t="s">
        <v>6806</v>
      </c>
      <c r="B6779" s="46" t="s">
        <v>17761</v>
      </c>
      <c r="C6779">
        <v>14</v>
      </c>
      <c r="D6779">
        <v>81</v>
      </c>
    </row>
    <row r="6780" spans="1:4" x14ac:dyDescent="0.25">
      <c r="A6780" s="45" t="s">
        <v>6807</v>
      </c>
      <c r="B6780" s="46" t="s">
        <v>17762</v>
      </c>
      <c r="C6780">
        <v>14</v>
      </c>
      <c r="D6780">
        <v>81</v>
      </c>
    </row>
    <row r="6781" spans="1:4" x14ac:dyDescent="0.25">
      <c r="A6781" s="45" t="s">
        <v>6808</v>
      </c>
      <c r="B6781" s="46" t="s">
        <v>17763</v>
      </c>
      <c r="C6781">
        <v>2</v>
      </c>
      <c r="D6781">
        <v>23</v>
      </c>
    </row>
    <row r="6782" spans="1:4" x14ac:dyDescent="0.25">
      <c r="A6782" s="45" t="s">
        <v>6809</v>
      </c>
      <c r="B6782" s="46" t="s">
        <v>17764</v>
      </c>
      <c r="C6782">
        <v>14</v>
      </c>
      <c r="D6782">
        <v>81</v>
      </c>
    </row>
    <row r="6783" spans="1:4" x14ac:dyDescent="0.25">
      <c r="A6783" s="45" t="s">
        <v>6810</v>
      </c>
      <c r="B6783" s="46" t="s">
        <v>17765</v>
      </c>
      <c r="C6783">
        <v>14</v>
      </c>
      <c r="D6783">
        <v>81</v>
      </c>
    </row>
    <row r="6784" spans="1:4" x14ac:dyDescent="0.25">
      <c r="A6784" s="45" t="s">
        <v>6811</v>
      </c>
      <c r="B6784" s="46" t="s">
        <v>17766</v>
      </c>
      <c r="C6784">
        <v>14</v>
      </c>
      <c r="D6784">
        <v>81</v>
      </c>
    </row>
    <row r="6785" spans="1:4" x14ac:dyDescent="0.25">
      <c r="A6785" s="45" t="s">
        <v>6812</v>
      </c>
      <c r="B6785" s="46" t="s">
        <v>17767</v>
      </c>
      <c r="C6785">
        <v>14</v>
      </c>
      <c r="D6785">
        <v>81</v>
      </c>
    </row>
    <row r="6786" spans="1:4" x14ac:dyDescent="0.25">
      <c r="A6786" s="45" t="s">
        <v>6813</v>
      </c>
      <c r="B6786" s="46" t="s">
        <v>17768</v>
      </c>
      <c r="C6786">
        <v>14</v>
      </c>
      <c r="D6786">
        <v>81</v>
      </c>
    </row>
    <row r="6787" spans="1:4" x14ac:dyDescent="0.25">
      <c r="A6787" s="45" t="s">
        <v>6814</v>
      </c>
      <c r="B6787" s="46" t="s">
        <v>17769</v>
      </c>
      <c r="C6787">
        <v>14</v>
      </c>
      <c r="D6787">
        <v>81</v>
      </c>
    </row>
    <row r="6788" spans="1:4" x14ac:dyDescent="0.25">
      <c r="A6788" s="45" t="s">
        <v>6815</v>
      </c>
      <c r="B6788" s="46" t="s">
        <v>17770</v>
      </c>
      <c r="C6788">
        <v>14</v>
      </c>
      <c r="D6788">
        <v>81</v>
      </c>
    </row>
    <row r="6789" spans="1:4" x14ac:dyDescent="0.25">
      <c r="A6789" s="45" t="s">
        <v>6816</v>
      </c>
      <c r="B6789" s="46" t="s">
        <v>20796</v>
      </c>
      <c r="C6789">
        <v>6</v>
      </c>
      <c r="D6789">
        <v>37</v>
      </c>
    </row>
    <row r="6790" spans="1:4" x14ac:dyDescent="0.25">
      <c r="A6790" s="45" t="s">
        <v>6817</v>
      </c>
      <c r="B6790" s="46" t="s">
        <v>20797</v>
      </c>
      <c r="C6790">
        <v>14</v>
      </c>
      <c r="D6790">
        <v>81</v>
      </c>
    </row>
    <row r="6791" spans="1:4" x14ac:dyDescent="0.25">
      <c r="A6791" s="45" t="s">
        <v>6818</v>
      </c>
      <c r="B6791" s="46" t="s">
        <v>20798</v>
      </c>
      <c r="C6791">
        <v>14</v>
      </c>
      <c r="D6791">
        <v>81</v>
      </c>
    </row>
    <row r="6792" spans="1:4" x14ac:dyDescent="0.25">
      <c r="A6792" s="45" t="s">
        <v>6819</v>
      </c>
      <c r="B6792" s="46" t="s">
        <v>20799</v>
      </c>
      <c r="C6792">
        <v>14</v>
      </c>
      <c r="D6792">
        <v>81</v>
      </c>
    </row>
    <row r="6793" spans="1:4" x14ac:dyDescent="0.25">
      <c r="A6793" s="45" t="s">
        <v>6820</v>
      </c>
      <c r="B6793" s="46" t="s">
        <v>20800</v>
      </c>
      <c r="C6793">
        <v>14</v>
      </c>
      <c r="D6793">
        <v>81</v>
      </c>
    </row>
    <row r="6794" spans="1:4" x14ac:dyDescent="0.25">
      <c r="A6794" s="45" t="s">
        <v>6821</v>
      </c>
      <c r="B6794" s="46" t="s">
        <v>17771</v>
      </c>
      <c r="C6794">
        <v>14</v>
      </c>
      <c r="D6794">
        <v>81</v>
      </c>
    </row>
    <row r="6795" spans="1:4" x14ac:dyDescent="0.25">
      <c r="A6795" s="45" t="s">
        <v>6822</v>
      </c>
      <c r="B6795" s="46" t="s">
        <v>20801</v>
      </c>
      <c r="C6795">
        <v>14</v>
      </c>
      <c r="D6795">
        <v>81</v>
      </c>
    </row>
    <row r="6796" spans="1:4" x14ac:dyDescent="0.25">
      <c r="A6796" s="45" t="s">
        <v>6823</v>
      </c>
      <c r="B6796" s="46" t="s">
        <v>20802</v>
      </c>
      <c r="C6796">
        <v>14</v>
      </c>
      <c r="D6796">
        <v>81</v>
      </c>
    </row>
    <row r="6797" spans="1:4" x14ac:dyDescent="0.25">
      <c r="A6797" s="45" t="s">
        <v>6824</v>
      </c>
      <c r="B6797" s="46" t="s">
        <v>17772</v>
      </c>
      <c r="C6797">
        <v>14</v>
      </c>
      <c r="D6797">
        <v>81</v>
      </c>
    </row>
    <row r="6798" spans="1:4" x14ac:dyDescent="0.25">
      <c r="A6798" s="45" t="s">
        <v>6825</v>
      </c>
      <c r="B6798" s="46" t="s">
        <v>17773</v>
      </c>
      <c r="C6798">
        <v>14</v>
      </c>
      <c r="D6798">
        <v>81</v>
      </c>
    </row>
    <row r="6799" spans="1:4" x14ac:dyDescent="0.25">
      <c r="A6799" s="45" t="s">
        <v>6826</v>
      </c>
      <c r="B6799" s="46" t="s">
        <v>20803</v>
      </c>
      <c r="C6799">
        <v>14</v>
      </c>
      <c r="D6799">
        <v>81</v>
      </c>
    </row>
    <row r="6800" spans="1:4" x14ac:dyDescent="0.25">
      <c r="A6800" s="45" t="s">
        <v>6827</v>
      </c>
      <c r="B6800" s="46" t="s">
        <v>17774</v>
      </c>
      <c r="C6800">
        <v>14</v>
      </c>
      <c r="D6800">
        <v>81</v>
      </c>
    </row>
    <row r="6801" spans="1:4" x14ac:dyDescent="0.25">
      <c r="A6801" s="45" t="s">
        <v>6828</v>
      </c>
      <c r="B6801" s="46" t="s">
        <v>17775</v>
      </c>
      <c r="C6801">
        <v>14</v>
      </c>
      <c r="D6801">
        <v>81</v>
      </c>
    </row>
    <row r="6802" spans="1:4" x14ac:dyDescent="0.25">
      <c r="A6802" s="45" t="s">
        <v>6829</v>
      </c>
      <c r="B6802" s="46" t="s">
        <v>17776</v>
      </c>
      <c r="C6802">
        <v>14</v>
      </c>
      <c r="D6802">
        <v>81</v>
      </c>
    </row>
    <row r="6803" spans="1:4" x14ac:dyDescent="0.25">
      <c r="A6803" s="45" t="s">
        <v>6830</v>
      </c>
      <c r="B6803" s="46" t="s">
        <v>17777</v>
      </c>
      <c r="C6803">
        <v>14</v>
      </c>
      <c r="D6803">
        <v>81</v>
      </c>
    </row>
    <row r="6804" spans="1:4" x14ac:dyDescent="0.25">
      <c r="A6804" s="45" t="s">
        <v>6831</v>
      </c>
      <c r="B6804" s="46" t="s">
        <v>17778</v>
      </c>
      <c r="C6804">
        <v>14</v>
      </c>
      <c r="D6804">
        <v>81</v>
      </c>
    </row>
    <row r="6805" spans="1:4" x14ac:dyDescent="0.25">
      <c r="A6805" s="45" t="s">
        <v>6832</v>
      </c>
      <c r="B6805" s="46" t="s">
        <v>17779</v>
      </c>
      <c r="C6805">
        <v>14</v>
      </c>
      <c r="D6805">
        <v>81</v>
      </c>
    </row>
    <row r="6806" spans="1:4" x14ac:dyDescent="0.25">
      <c r="A6806" s="45" t="s">
        <v>6833</v>
      </c>
      <c r="B6806" s="46" t="s">
        <v>17780</v>
      </c>
      <c r="C6806">
        <v>14</v>
      </c>
      <c r="D6806">
        <v>81</v>
      </c>
    </row>
    <row r="6807" spans="1:4" x14ac:dyDescent="0.25">
      <c r="A6807" s="45" t="s">
        <v>6834</v>
      </c>
      <c r="B6807" s="46" t="s">
        <v>17781</v>
      </c>
      <c r="C6807">
        <v>14</v>
      </c>
      <c r="D6807">
        <v>81</v>
      </c>
    </row>
    <row r="6808" spans="1:4" x14ac:dyDescent="0.25">
      <c r="A6808" s="45" t="s">
        <v>6835</v>
      </c>
      <c r="B6808" s="46" t="s">
        <v>17782</v>
      </c>
      <c r="C6808">
        <v>14</v>
      </c>
      <c r="D6808">
        <v>81</v>
      </c>
    </row>
    <row r="6809" spans="1:4" x14ac:dyDescent="0.25">
      <c r="A6809" s="45" t="s">
        <v>6836</v>
      </c>
      <c r="B6809" s="46" t="s">
        <v>17783</v>
      </c>
      <c r="C6809">
        <v>14</v>
      </c>
      <c r="D6809">
        <v>81</v>
      </c>
    </row>
    <row r="6810" spans="1:4" x14ac:dyDescent="0.25">
      <c r="A6810" s="45" t="s">
        <v>6837</v>
      </c>
      <c r="B6810" s="46" t="s">
        <v>17784</v>
      </c>
      <c r="C6810">
        <v>14</v>
      </c>
      <c r="D6810">
        <v>81</v>
      </c>
    </row>
    <row r="6811" spans="1:4" x14ac:dyDescent="0.25">
      <c r="A6811" s="45" t="s">
        <v>6838</v>
      </c>
      <c r="B6811" s="46" t="s">
        <v>17785</v>
      </c>
      <c r="C6811">
        <v>14</v>
      </c>
      <c r="D6811">
        <v>81</v>
      </c>
    </row>
    <row r="6812" spans="1:4" x14ac:dyDescent="0.25">
      <c r="A6812" s="45" t="s">
        <v>6839</v>
      </c>
      <c r="B6812" s="46" t="s">
        <v>17786</v>
      </c>
      <c r="C6812">
        <v>14</v>
      </c>
      <c r="D6812">
        <v>81</v>
      </c>
    </row>
    <row r="6813" spans="1:4" x14ac:dyDescent="0.25">
      <c r="A6813" s="45" t="s">
        <v>6840</v>
      </c>
      <c r="B6813" s="46" t="s">
        <v>17787</v>
      </c>
      <c r="C6813">
        <v>14</v>
      </c>
      <c r="D6813">
        <v>81</v>
      </c>
    </row>
    <row r="6814" spans="1:4" x14ac:dyDescent="0.25">
      <c r="A6814" s="45" t="s">
        <v>6841</v>
      </c>
      <c r="B6814" s="46" t="s">
        <v>17788</v>
      </c>
      <c r="C6814">
        <v>14</v>
      </c>
      <c r="D6814">
        <v>81</v>
      </c>
    </row>
    <row r="6815" spans="1:4" x14ac:dyDescent="0.25">
      <c r="A6815" s="45" t="s">
        <v>6842</v>
      </c>
      <c r="B6815" s="46" t="s">
        <v>17789</v>
      </c>
      <c r="C6815">
        <v>14</v>
      </c>
      <c r="D6815">
        <v>81</v>
      </c>
    </row>
    <row r="6816" spans="1:4" x14ac:dyDescent="0.25">
      <c r="A6816" s="45" t="s">
        <v>6843</v>
      </c>
      <c r="B6816" s="46" t="s">
        <v>17790</v>
      </c>
      <c r="C6816">
        <v>14</v>
      </c>
      <c r="D6816">
        <v>81</v>
      </c>
    </row>
    <row r="6817" spans="1:4" x14ac:dyDescent="0.25">
      <c r="A6817" s="45" t="s">
        <v>6844</v>
      </c>
      <c r="B6817" s="46" t="s">
        <v>17791</v>
      </c>
      <c r="C6817">
        <v>14</v>
      </c>
      <c r="D6817">
        <v>81</v>
      </c>
    </row>
    <row r="6818" spans="1:4" x14ac:dyDescent="0.25">
      <c r="A6818" s="45" t="s">
        <v>6845</v>
      </c>
      <c r="B6818" s="46" t="s">
        <v>20804</v>
      </c>
      <c r="C6818">
        <v>14</v>
      </c>
      <c r="D6818">
        <v>81</v>
      </c>
    </row>
    <row r="6819" spans="1:4" x14ac:dyDescent="0.25">
      <c r="A6819" s="45" t="s">
        <v>6846</v>
      </c>
      <c r="B6819" s="46" t="s">
        <v>17792</v>
      </c>
      <c r="C6819">
        <v>14</v>
      </c>
      <c r="D6819">
        <v>81</v>
      </c>
    </row>
    <row r="6820" spans="1:4" x14ac:dyDescent="0.25">
      <c r="A6820" s="45" t="s">
        <v>6847</v>
      </c>
      <c r="B6820" s="46" t="s">
        <v>17793</v>
      </c>
      <c r="C6820">
        <v>14</v>
      </c>
      <c r="D6820">
        <v>81</v>
      </c>
    </row>
    <row r="6821" spans="1:4" x14ac:dyDescent="0.25">
      <c r="A6821" s="45" t="s">
        <v>6848</v>
      </c>
      <c r="B6821" s="46" t="s">
        <v>17794</v>
      </c>
      <c r="C6821">
        <v>14</v>
      </c>
      <c r="D6821">
        <v>81</v>
      </c>
    </row>
    <row r="6822" spans="1:4" x14ac:dyDescent="0.25">
      <c r="A6822" s="45" t="s">
        <v>6849</v>
      </c>
      <c r="B6822" s="46" t="s">
        <v>17795</v>
      </c>
      <c r="C6822">
        <v>14</v>
      </c>
      <c r="D6822">
        <v>81</v>
      </c>
    </row>
    <row r="6823" spans="1:4" x14ac:dyDescent="0.25">
      <c r="A6823" s="45" t="s">
        <v>6850</v>
      </c>
      <c r="B6823" s="46" t="s">
        <v>17796</v>
      </c>
      <c r="C6823">
        <v>14</v>
      </c>
      <c r="D6823">
        <v>81</v>
      </c>
    </row>
    <row r="6824" spans="1:4" x14ac:dyDescent="0.25">
      <c r="A6824" s="45" t="s">
        <v>6851</v>
      </c>
      <c r="B6824" s="46" t="s">
        <v>17797</v>
      </c>
      <c r="C6824">
        <v>14</v>
      </c>
      <c r="D6824">
        <v>81</v>
      </c>
    </row>
    <row r="6825" spans="1:4" x14ac:dyDescent="0.25">
      <c r="A6825" s="45" t="s">
        <v>6852</v>
      </c>
      <c r="B6825" s="46" t="s">
        <v>17798</v>
      </c>
      <c r="C6825">
        <v>14</v>
      </c>
      <c r="D6825">
        <v>81</v>
      </c>
    </row>
    <row r="6826" spans="1:4" x14ac:dyDescent="0.25">
      <c r="A6826" s="45" t="s">
        <v>6853</v>
      </c>
      <c r="B6826" s="46" t="s">
        <v>17799</v>
      </c>
      <c r="C6826">
        <v>14</v>
      </c>
      <c r="D6826">
        <v>81</v>
      </c>
    </row>
    <row r="6827" spans="1:4" x14ac:dyDescent="0.25">
      <c r="A6827" s="45" t="s">
        <v>6854</v>
      </c>
      <c r="B6827" s="46" t="s">
        <v>17800</v>
      </c>
      <c r="C6827">
        <v>14</v>
      </c>
      <c r="D6827">
        <v>81</v>
      </c>
    </row>
    <row r="6828" spans="1:4" x14ac:dyDescent="0.25">
      <c r="A6828" s="45" t="s">
        <v>6855</v>
      </c>
      <c r="B6828" s="46" t="s">
        <v>20805</v>
      </c>
      <c r="C6828">
        <v>14</v>
      </c>
      <c r="D6828">
        <v>81</v>
      </c>
    </row>
    <row r="6829" spans="1:4" x14ac:dyDescent="0.25">
      <c r="A6829" s="45" t="s">
        <v>6856</v>
      </c>
      <c r="B6829" s="46" t="s">
        <v>17801</v>
      </c>
      <c r="C6829">
        <v>14</v>
      </c>
      <c r="D6829">
        <v>81</v>
      </c>
    </row>
    <row r="6830" spans="1:4" x14ac:dyDescent="0.25">
      <c r="A6830" s="45" t="s">
        <v>6857</v>
      </c>
      <c r="B6830" s="46" t="s">
        <v>17802</v>
      </c>
      <c r="C6830">
        <v>14</v>
      </c>
      <c r="D6830">
        <v>81</v>
      </c>
    </row>
    <row r="6831" spans="1:4" x14ac:dyDescent="0.25">
      <c r="A6831" s="45" t="s">
        <v>6858</v>
      </c>
      <c r="B6831" s="46" t="s">
        <v>17803</v>
      </c>
      <c r="C6831">
        <v>14</v>
      </c>
      <c r="D6831">
        <v>81</v>
      </c>
    </row>
    <row r="6832" spans="1:4" x14ac:dyDescent="0.25">
      <c r="A6832" s="45" t="s">
        <v>6859</v>
      </c>
      <c r="B6832" s="46" t="s">
        <v>17804</v>
      </c>
      <c r="C6832">
        <v>14</v>
      </c>
      <c r="D6832">
        <v>81</v>
      </c>
    </row>
    <row r="6833" spans="1:4" x14ac:dyDescent="0.25">
      <c r="A6833" s="45" t="s">
        <v>6860</v>
      </c>
      <c r="B6833" s="46" t="s">
        <v>17805</v>
      </c>
      <c r="C6833">
        <v>14</v>
      </c>
      <c r="D6833">
        <v>81</v>
      </c>
    </row>
    <row r="6834" spans="1:4" x14ac:dyDescent="0.25">
      <c r="A6834" s="45" t="s">
        <v>6861</v>
      </c>
      <c r="B6834" s="46" t="s">
        <v>17806</v>
      </c>
      <c r="C6834">
        <v>14</v>
      </c>
      <c r="D6834">
        <v>81</v>
      </c>
    </row>
    <row r="6835" spans="1:4" x14ac:dyDescent="0.25">
      <c r="A6835" s="45" t="s">
        <v>6862</v>
      </c>
      <c r="B6835" s="46" t="s">
        <v>17807</v>
      </c>
      <c r="C6835">
        <v>14</v>
      </c>
      <c r="D6835">
        <v>81</v>
      </c>
    </row>
    <row r="6836" spans="1:4" x14ac:dyDescent="0.25">
      <c r="A6836" s="45" t="s">
        <v>6863</v>
      </c>
      <c r="B6836" s="46" t="s">
        <v>17808</v>
      </c>
      <c r="C6836">
        <v>14</v>
      </c>
      <c r="D6836">
        <v>81</v>
      </c>
    </row>
    <row r="6837" spans="1:4" x14ac:dyDescent="0.25">
      <c r="A6837" s="45" t="s">
        <v>6864</v>
      </c>
      <c r="B6837" s="46" t="s">
        <v>17809</v>
      </c>
      <c r="C6837">
        <v>14</v>
      </c>
      <c r="D6837">
        <v>81</v>
      </c>
    </row>
    <row r="6838" spans="1:4" x14ac:dyDescent="0.25">
      <c r="A6838" s="45" t="s">
        <v>6865</v>
      </c>
      <c r="B6838" s="46" t="s">
        <v>17810</v>
      </c>
      <c r="C6838">
        <v>14</v>
      </c>
      <c r="D6838">
        <v>81</v>
      </c>
    </row>
    <row r="6839" spans="1:4" x14ac:dyDescent="0.25">
      <c r="A6839" s="45" t="s">
        <v>6866</v>
      </c>
      <c r="B6839" s="46" t="s">
        <v>17811</v>
      </c>
      <c r="C6839">
        <v>14</v>
      </c>
      <c r="D6839">
        <v>81</v>
      </c>
    </row>
    <row r="6840" spans="1:4" x14ac:dyDescent="0.25">
      <c r="A6840" s="45" t="s">
        <v>6867</v>
      </c>
      <c r="B6840" s="46" t="s">
        <v>17812</v>
      </c>
      <c r="C6840">
        <v>14</v>
      </c>
      <c r="D6840">
        <v>81</v>
      </c>
    </row>
    <row r="6841" spans="1:4" x14ac:dyDescent="0.25">
      <c r="A6841" s="45" t="s">
        <v>6868</v>
      </c>
      <c r="B6841" s="46" t="s">
        <v>17813</v>
      </c>
      <c r="C6841">
        <v>14</v>
      </c>
      <c r="D6841">
        <v>81</v>
      </c>
    </row>
    <row r="6842" spans="1:4" x14ac:dyDescent="0.25">
      <c r="A6842" s="45" t="s">
        <v>6869</v>
      </c>
      <c r="B6842" s="46" t="s">
        <v>17814</v>
      </c>
      <c r="C6842">
        <v>14</v>
      </c>
      <c r="D6842">
        <v>81</v>
      </c>
    </row>
    <row r="6843" spans="1:4" x14ac:dyDescent="0.25">
      <c r="A6843" s="45" t="s">
        <v>6870</v>
      </c>
      <c r="B6843" s="46" t="s">
        <v>17815</v>
      </c>
      <c r="C6843">
        <v>14</v>
      </c>
      <c r="D6843">
        <v>81</v>
      </c>
    </row>
    <row r="6844" spans="1:4" x14ac:dyDescent="0.25">
      <c r="A6844" s="45" t="s">
        <v>6871</v>
      </c>
      <c r="B6844" s="46" t="s">
        <v>20806</v>
      </c>
      <c r="C6844">
        <v>14</v>
      </c>
      <c r="D6844">
        <v>81</v>
      </c>
    </row>
    <row r="6845" spans="1:4" x14ac:dyDescent="0.25">
      <c r="A6845" s="45" t="s">
        <v>6872</v>
      </c>
      <c r="B6845" s="46" t="s">
        <v>17816</v>
      </c>
      <c r="C6845">
        <v>14</v>
      </c>
      <c r="D6845">
        <v>81</v>
      </c>
    </row>
    <row r="6846" spans="1:4" x14ac:dyDescent="0.25">
      <c r="A6846" s="45" t="s">
        <v>6873</v>
      </c>
      <c r="B6846" s="46" t="s">
        <v>17817</v>
      </c>
      <c r="C6846">
        <v>14</v>
      </c>
      <c r="D6846">
        <v>81</v>
      </c>
    </row>
    <row r="6847" spans="1:4" x14ac:dyDescent="0.25">
      <c r="A6847" s="45" t="s">
        <v>6874</v>
      </c>
      <c r="B6847" s="46" t="s">
        <v>17818</v>
      </c>
      <c r="C6847">
        <v>14</v>
      </c>
      <c r="D6847">
        <v>81</v>
      </c>
    </row>
    <row r="6848" spans="1:4" x14ac:dyDescent="0.25">
      <c r="A6848" s="45" t="s">
        <v>6875</v>
      </c>
      <c r="B6848" s="46" t="s">
        <v>17819</v>
      </c>
      <c r="C6848">
        <v>14</v>
      </c>
      <c r="D6848">
        <v>81</v>
      </c>
    </row>
    <row r="6849" spans="1:4" x14ac:dyDescent="0.25">
      <c r="A6849" s="45" t="s">
        <v>6876</v>
      </c>
      <c r="B6849" s="46" t="s">
        <v>17820</v>
      </c>
      <c r="C6849">
        <v>14</v>
      </c>
      <c r="D6849">
        <v>81</v>
      </c>
    </row>
    <row r="6850" spans="1:4" x14ac:dyDescent="0.25">
      <c r="A6850" s="45" t="s">
        <v>6877</v>
      </c>
      <c r="B6850" s="46" t="s">
        <v>17821</v>
      </c>
      <c r="C6850">
        <v>14</v>
      </c>
      <c r="D6850">
        <v>81</v>
      </c>
    </row>
    <row r="6851" spans="1:4" x14ac:dyDescent="0.25">
      <c r="A6851" s="45" t="s">
        <v>6878</v>
      </c>
      <c r="B6851" s="46" t="s">
        <v>17822</v>
      </c>
      <c r="C6851">
        <v>14</v>
      </c>
      <c r="D6851">
        <v>81</v>
      </c>
    </row>
    <row r="6852" spans="1:4" x14ac:dyDescent="0.25">
      <c r="A6852" s="45" t="s">
        <v>6879</v>
      </c>
      <c r="B6852" s="46" t="s">
        <v>17823</v>
      </c>
      <c r="C6852">
        <v>14</v>
      </c>
      <c r="D6852">
        <v>81</v>
      </c>
    </row>
    <row r="6853" spans="1:4" x14ac:dyDescent="0.25">
      <c r="A6853" s="45" t="s">
        <v>6880</v>
      </c>
      <c r="B6853" s="46" t="s">
        <v>17824</v>
      </c>
      <c r="C6853">
        <v>14</v>
      </c>
      <c r="D6853">
        <v>81</v>
      </c>
    </row>
    <row r="6854" spans="1:4" x14ac:dyDescent="0.25">
      <c r="A6854" s="45" t="s">
        <v>6881</v>
      </c>
      <c r="B6854" s="46" t="s">
        <v>17825</v>
      </c>
      <c r="C6854">
        <v>14</v>
      </c>
      <c r="D6854">
        <v>81</v>
      </c>
    </row>
    <row r="6855" spans="1:4" x14ac:dyDescent="0.25">
      <c r="A6855" s="45" t="s">
        <v>6882</v>
      </c>
      <c r="B6855" s="46" t="s">
        <v>17826</v>
      </c>
      <c r="C6855">
        <v>14</v>
      </c>
      <c r="D6855">
        <v>81</v>
      </c>
    </row>
    <row r="6856" spans="1:4" x14ac:dyDescent="0.25">
      <c r="A6856" s="45" t="s">
        <v>6883</v>
      </c>
      <c r="B6856" s="46" t="s">
        <v>20807</v>
      </c>
      <c r="C6856">
        <v>14</v>
      </c>
      <c r="D6856">
        <v>81</v>
      </c>
    </row>
    <row r="6857" spans="1:4" x14ac:dyDescent="0.25">
      <c r="A6857" s="45" t="s">
        <v>6884</v>
      </c>
      <c r="B6857" s="46" t="s">
        <v>20808</v>
      </c>
      <c r="C6857">
        <v>14</v>
      </c>
      <c r="D6857">
        <v>81</v>
      </c>
    </row>
    <row r="6858" spans="1:4" x14ac:dyDescent="0.25">
      <c r="A6858" s="45" t="s">
        <v>6885</v>
      </c>
      <c r="B6858" s="46" t="s">
        <v>17827</v>
      </c>
      <c r="C6858">
        <v>14</v>
      </c>
      <c r="D6858">
        <v>81</v>
      </c>
    </row>
    <row r="6859" spans="1:4" x14ac:dyDescent="0.25">
      <c r="A6859" s="45" t="s">
        <v>6886</v>
      </c>
      <c r="B6859" s="46" t="s">
        <v>17828</v>
      </c>
      <c r="C6859">
        <v>14</v>
      </c>
      <c r="D6859">
        <v>81</v>
      </c>
    </row>
    <row r="6860" spans="1:4" x14ac:dyDescent="0.25">
      <c r="A6860" s="45" t="s">
        <v>6887</v>
      </c>
      <c r="B6860" s="46" t="s">
        <v>17829</v>
      </c>
      <c r="C6860">
        <v>14</v>
      </c>
      <c r="D6860">
        <v>81</v>
      </c>
    </row>
    <row r="6861" spans="1:4" x14ac:dyDescent="0.25">
      <c r="A6861" s="45" t="s">
        <v>6888</v>
      </c>
      <c r="B6861" s="46" t="s">
        <v>17830</v>
      </c>
      <c r="C6861">
        <v>14</v>
      </c>
      <c r="D6861">
        <v>81</v>
      </c>
    </row>
    <row r="6862" spans="1:4" x14ac:dyDescent="0.25">
      <c r="A6862" s="45" t="s">
        <v>6889</v>
      </c>
      <c r="B6862" s="46" t="s">
        <v>17831</v>
      </c>
      <c r="C6862">
        <v>14</v>
      </c>
      <c r="D6862">
        <v>81</v>
      </c>
    </row>
    <row r="6863" spans="1:4" x14ac:dyDescent="0.25">
      <c r="A6863" s="45" t="s">
        <v>6890</v>
      </c>
      <c r="B6863" s="46" t="s">
        <v>17832</v>
      </c>
      <c r="C6863">
        <v>14</v>
      </c>
      <c r="D6863">
        <v>81</v>
      </c>
    </row>
    <row r="6864" spans="1:4" x14ac:dyDescent="0.25">
      <c r="A6864" s="45" t="s">
        <v>6891</v>
      </c>
      <c r="B6864" s="46" t="s">
        <v>17833</v>
      </c>
      <c r="C6864">
        <v>14</v>
      </c>
      <c r="D6864">
        <v>81</v>
      </c>
    </row>
    <row r="6865" spans="1:4" x14ac:dyDescent="0.25">
      <c r="A6865" s="45" t="s">
        <v>6892</v>
      </c>
      <c r="B6865" s="46" t="s">
        <v>17834</v>
      </c>
      <c r="C6865">
        <v>14</v>
      </c>
      <c r="D6865">
        <v>81</v>
      </c>
    </row>
    <row r="6866" spans="1:4" x14ac:dyDescent="0.25">
      <c r="A6866" s="45" t="s">
        <v>6893</v>
      </c>
      <c r="B6866" s="46" t="s">
        <v>20809</v>
      </c>
      <c r="C6866">
        <v>14</v>
      </c>
      <c r="D6866">
        <v>81</v>
      </c>
    </row>
    <row r="6867" spans="1:4" x14ac:dyDescent="0.25">
      <c r="A6867" s="45" t="s">
        <v>6894</v>
      </c>
      <c r="B6867" s="46" t="s">
        <v>20810</v>
      </c>
      <c r="C6867">
        <v>14</v>
      </c>
      <c r="D6867">
        <v>81</v>
      </c>
    </row>
    <row r="6868" spans="1:4" x14ac:dyDescent="0.25">
      <c r="A6868" s="45" t="s">
        <v>6895</v>
      </c>
      <c r="B6868" s="46" t="s">
        <v>17835</v>
      </c>
      <c r="C6868">
        <v>14</v>
      </c>
      <c r="D6868">
        <v>81</v>
      </c>
    </row>
    <row r="6869" spans="1:4" x14ac:dyDescent="0.25">
      <c r="A6869" s="45" t="s">
        <v>6896</v>
      </c>
      <c r="B6869" s="46" t="s">
        <v>17836</v>
      </c>
      <c r="C6869">
        <v>14</v>
      </c>
      <c r="D6869">
        <v>81</v>
      </c>
    </row>
    <row r="6870" spans="1:4" x14ac:dyDescent="0.25">
      <c r="A6870" s="45" t="s">
        <v>6897</v>
      </c>
      <c r="B6870" s="46" t="s">
        <v>17837</v>
      </c>
      <c r="C6870">
        <v>14</v>
      </c>
      <c r="D6870">
        <v>81</v>
      </c>
    </row>
    <row r="6871" spans="1:4" x14ac:dyDescent="0.25">
      <c r="A6871" s="45" t="s">
        <v>6898</v>
      </c>
      <c r="B6871" s="46" t="s">
        <v>20811</v>
      </c>
      <c r="C6871">
        <v>14</v>
      </c>
      <c r="D6871">
        <v>81</v>
      </c>
    </row>
    <row r="6872" spans="1:4" x14ac:dyDescent="0.25">
      <c r="A6872" s="45" t="s">
        <v>6899</v>
      </c>
      <c r="B6872" s="46" t="s">
        <v>17838</v>
      </c>
      <c r="C6872">
        <v>16</v>
      </c>
      <c r="D6872">
        <v>83</v>
      </c>
    </row>
    <row r="6873" spans="1:4" x14ac:dyDescent="0.25">
      <c r="A6873" s="45" t="s">
        <v>6900</v>
      </c>
      <c r="B6873" s="46" t="s">
        <v>17839</v>
      </c>
      <c r="C6873">
        <v>7</v>
      </c>
      <c r="D6873">
        <v>45</v>
      </c>
    </row>
    <row r="6874" spans="1:4" x14ac:dyDescent="0.25">
      <c r="A6874" s="45" t="s">
        <v>6901</v>
      </c>
      <c r="B6874" s="46" t="s">
        <v>17840</v>
      </c>
      <c r="C6874">
        <v>16</v>
      </c>
      <c r="D6874">
        <v>83</v>
      </c>
    </row>
    <row r="6875" spans="1:4" x14ac:dyDescent="0.25">
      <c r="A6875" s="45" t="s">
        <v>6902</v>
      </c>
      <c r="B6875" s="46" t="s">
        <v>17841</v>
      </c>
      <c r="C6875">
        <v>7</v>
      </c>
      <c r="D6875">
        <v>45</v>
      </c>
    </row>
    <row r="6876" spans="1:4" x14ac:dyDescent="0.25">
      <c r="A6876" s="45" t="s">
        <v>6903</v>
      </c>
      <c r="B6876" s="46" t="s">
        <v>17842</v>
      </c>
      <c r="C6876">
        <v>16</v>
      </c>
      <c r="D6876">
        <v>83</v>
      </c>
    </row>
    <row r="6877" spans="1:4" x14ac:dyDescent="0.25">
      <c r="A6877" s="45" t="s">
        <v>6904</v>
      </c>
      <c r="B6877" s="46" t="s">
        <v>17843</v>
      </c>
      <c r="C6877">
        <v>16</v>
      </c>
      <c r="D6877">
        <v>83</v>
      </c>
    </row>
    <row r="6878" spans="1:4" x14ac:dyDescent="0.25">
      <c r="A6878" s="45" t="s">
        <v>6905</v>
      </c>
      <c r="B6878" s="46" t="s">
        <v>17844</v>
      </c>
      <c r="C6878">
        <v>7</v>
      </c>
      <c r="D6878">
        <v>45</v>
      </c>
    </row>
    <row r="6879" spans="1:4" x14ac:dyDescent="0.25">
      <c r="A6879" s="45" t="s">
        <v>6906</v>
      </c>
      <c r="B6879" s="46" t="s">
        <v>17845</v>
      </c>
      <c r="C6879">
        <v>12</v>
      </c>
      <c r="D6879">
        <v>74</v>
      </c>
    </row>
    <row r="6880" spans="1:4" x14ac:dyDescent="0.25">
      <c r="A6880" s="45" t="s">
        <v>6907</v>
      </c>
      <c r="B6880" s="46" t="s">
        <v>17846</v>
      </c>
      <c r="C6880">
        <v>16</v>
      </c>
      <c r="D6880">
        <v>84</v>
      </c>
    </row>
    <row r="6881" spans="1:4" x14ac:dyDescent="0.25">
      <c r="A6881" s="45" t="s">
        <v>6908</v>
      </c>
      <c r="B6881" s="46" t="s">
        <v>20812</v>
      </c>
      <c r="C6881">
        <v>16</v>
      </c>
      <c r="D6881">
        <v>84</v>
      </c>
    </row>
    <row r="6882" spans="1:4" x14ac:dyDescent="0.25">
      <c r="A6882" s="45" t="s">
        <v>6909</v>
      </c>
      <c r="B6882" s="46" t="s">
        <v>17847</v>
      </c>
      <c r="C6882">
        <v>16</v>
      </c>
      <c r="D6882">
        <v>83</v>
      </c>
    </row>
    <row r="6883" spans="1:4" x14ac:dyDescent="0.25">
      <c r="A6883" s="45" t="s">
        <v>6910</v>
      </c>
      <c r="B6883" s="46" t="s">
        <v>17848</v>
      </c>
      <c r="C6883">
        <v>16</v>
      </c>
      <c r="D6883">
        <v>83</v>
      </c>
    </row>
    <row r="6884" spans="1:4" x14ac:dyDescent="0.25">
      <c r="A6884" s="45" t="s">
        <v>6911</v>
      </c>
      <c r="B6884" s="46" t="s">
        <v>17849</v>
      </c>
      <c r="C6884">
        <v>16</v>
      </c>
      <c r="D6884">
        <v>83</v>
      </c>
    </row>
    <row r="6885" spans="1:4" x14ac:dyDescent="0.25">
      <c r="A6885" s="45" t="s">
        <v>6912</v>
      </c>
      <c r="B6885" s="46" t="s">
        <v>17850</v>
      </c>
      <c r="C6885">
        <v>16</v>
      </c>
      <c r="D6885">
        <v>83</v>
      </c>
    </row>
    <row r="6886" spans="1:4" x14ac:dyDescent="0.25">
      <c r="A6886" s="45" t="s">
        <v>6913</v>
      </c>
      <c r="B6886" s="46" t="s">
        <v>17851</v>
      </c>
      <c r="C6886">
        <v>16</v>
      </c>
      <c r="D6886">
        <v>83</v>
      </c>
    </row>
    <row r="6887" spans="1:4" x14ac:dyDescent="0.25">
      <c r="A6887" s="45" t="s">
        <v>6914</v>
      </c>
      <c r="B6887" s="46" t="s">
        <v>17852</v>
      </c>
      <c r="C6887">
        <v>16</v>
      </c>
      <c r="D6887">
        <v>83</v>
      </c>
    </row>
    <row r="6888" spans="1:4" x14ac:dyDescent="0.25">
      <c r="A6888" s="45" t="s">
        <v>6915</v>
      </c>
      <c r="B6888" s="46" t="s">
        <v>17853</v>
      </c>
      <c r="C6888">
        <v>16</v>
      </c>
      <c r="D6888">
        <v>83</v>
      </c>
    </row>
    <row r="6889" spans="1:4" x14ac:dyDescent="0.25">
      <c r="A6889" s="45" t="s">
        <v>6916</v>
      </c>
      <c r="B6889" s="46" t="s">
        <v>17854</v>
      </c>
      <c r="C6889">
        <v>16</v>
      </c>
      <c r="D6889">
        <v>83</v>
      </c>
    </row>
    <row r="6890" spans="1:4" x14ac:dyDescent="0.25">
      <c r="A6890" s="45" t="s">
        <v>6917</v>
      </c>
      <c r="B6890" s="46" t="s">
        <v>17855</v>
      </c>
      <c r="C6890">
        <v>16</v>
      </c>
      <c r="D6890">
        <v>83</v>
      </c>
    </row>
    <row r="6891" spans="1:4" x14ac:dyDescent="0.25">
      <c r="A6891" s="45" t="s">
        <v>6918</v>
      </c>
      <c r="B6891" s="46" t="s">
        <v>17856</v>
      </c>
      <c r="C6891">
        <v>16</v>
      </c>
      <c r="D6891">
        <v>83</v>
      </c>
    </row>
    <row r="6892" spans="1:4" x14ac:dyDescent="0.25">
      <c r="A6892" s="45" t="s">
        <v>6919</v>
      </c>
      <c r="B6892" s="46" t="s">
        <v>17857</v>
      </c>
      <c r="C6892">
        <v>16</v>
      </c>
      <c r="D6892">
        <v>83</v>
      </c>
    </row>
    <row r="6893" spans="1:4" x14ac:dyDescent="0.25">
      <c r="A6893" s="45" t="s">
        <v>6920</v>
      </c>
      <c r="B6893" s="46" t="s">
        <v>17858</v>
      </c>
      <c r="C6893">
        <v>8</v>
      </c>
      <c r="D6893">
        <v>49</v>
      </c>
    </row>
    <row r="6894" spans="1:4" x14ac:dyDescent="0.25">
      <c r="A6894" s="45" t="s">
        <v>6921</v>
      </c>
      <c r="B6894" s="46" t="s">
        <v>17859</v>
      </c>
      <c r="C6894">
        <v>16</v>
      </c>
      <c r="D6894">
        <v>83</v>
      </c>
    </row>
    <row r="6895" spans="1:4" x14ac:dyDescent="0.25">
      <c r="A6895" s="45" t="s">
        <v>6922</v>
      </c>
      <c r="B6895" s="46" t="s">
        <v>17860</v>
      </c>
      <c r="C6895">
        <v>16</v>
      </c>
      <c r="D6895">
        <v>83</v>
      </c>
    </row>
    <row r="6896" spans="1:4" x14ac:dyDescent="0.25">
      <c r="A6896" s="45" t="s">
        <v>6923</v>
      </c>
      <c r="B6896" s="46" t="s">
        <v>17861</v>
      </c>
      <c r="C6896">
        <v>5</v>
      </c>
      <c r="D6896">
        <v>32</v>
      </c>
    </row>
    <row r="6897" spans="1:4" x14ac:dyDescent="0.25">
      <c r="A6897" s="45" t="s">
        <v>6924</v>
      </c>
      <c r="B6897" s="46" t="s">
        <v>17862</v>
      </c>
      <c r="C6897">
        <v>16</v>
      </c>
      <c r="D6897">
        <v>83</v>
      </c>
    </row>
    <row r="6898" spans="1:4" x14ac:dyDescent="0.25">
      <c r="A6898" s="45" t="s">
        <v>6925</v>
      </c>
      <c r="B6898" s="46" t="s">
        <v>17863</v>
      </c>
      <c r="C6898">
        <v>16</v>
      </c>
      <c r="D6898">
        <v>83</v>
      </c>
    </row>
    <row r="6899" spans="1:4" x14ac:dyDescent="0.25">
      <c r="A6899" s="45" t="s">
        <v>6926</v>
      </c>
      <c r="B6899" s="46" t="s">
        <v>17864</v>
      </c>
      <c r="C6899">
        <v>16</v>
      </c>
      <c r="D6899">
        <v>83</v>
      </c>
    </row>
    <row r="6900" spans="1:4" x14ac:dyDescent="0.25">
      <c r="A6900" s="45" t="s">
        <v>6927</v>
      </c>
      <c r="B6900" s="46" t="s">
        <v>17865</v>
      </c>
      <c r="C6900">
        <v>16</v>
      </c>
      <c r="D6900">
        <v>83</v>
      </c>
    </row>
    <row r="6901" spans="1:4" x14ac:dyDescent="0.25">
      <c r="A6901" s="45" t="s">
        <v>6928</v>
      </c>
      <c r="B6901" s="46" t="s">
        <v>17866</v>
      </c>
      <c r="C6901">
        <v>16</v>
      </c>
      <c r="D6901">
        <v>83</v>
      </c>
    </row>
    <row r="6902" spans="1:4" x14ac:dyDescent="0.25">
      <c r="A6902" s="45" t="s">
        <v>6929</v>
      </c>
      <c r="B6902" s="46" t="s">
        <v>17867</v>
      </c>
      <c r="C6902">
        <v>16</v>
      </c>
      <c r="D6902">
        <v>85</v>
      </c>
    </row>
    <row r="6903" spans="1:4" x14ac:dyDescent="0.25">
      <c r="A6903" s="45" t="s">
        <v>6930</v>
      </c>
      <c r="B6903" s="46" t="s">
        <v>17868</v>
      </c>
      <c r="C6903">
        <v>8</v>
      </c>
      <c r="D6903">
        <v>54</v>
      </c>
    </row>
    <row r="6904" spans="1:4" x14ac:dyDescent="0.25">
      <c r="A6904" s="45" t="s">
        <v>6931</v>
      </c>
      <c r="B6904" s="46" t="s">
        <v>17869</v>
      </c>
      <c r="C6904">
        <v>16</v>
      </c>
      <c r="D6904">
        <v>85</v>
      </c>
    </row>
    <row r="6905" spans="1:4" x14ac:dyDescent="0.25">
      <c r="A6905" s="45" t="s">
        <v>6932</v>
      </c>
      <c r="B6905" s="46" t="s">
        <v>17870</v>
      </c>
      <c r="C6905">
        <v>16</v>
      </c>
      <c r="D6905">
        <v>83</v>
      </c>
    </row>
    <row r="6906" spans="1:4" x14ac:dyDescent="0.25">
      <c r="A6906" s="45" t="s">
        <v>6933</v>
      </c>
      <c r="B6906" s="46" t="s">
        <v>17871</v>
      </c>
      <c r="C6906">
        <v>16</v>
      </c>
      <c r="D6906">
        <v>83</v>
      </c>
    </row>
    <row r="6907" spans="1:4" x14ac:dyDescent="0.25">
      <c r="A6907" s="45" t="s">
        <v>6934</v>
      </c>
      <c r="B6907" s="46" t="s">
        <v>20813</v>
      </c>
      <c r="C6907">
        <v>16</v>
      </c>
      <c r="D6907">
        <v>83</v>
      </c>
    </row>
    <row r="6908" spans="1:4" x14ac:dyDescent="0.25">
      <c r="A6908" s="45" t="s">
        <v>6935</v>
      </c>
      <c r="B6908" s="46" t="s">
        <v>17872</v>
      </c>
      <c r="C6908">
        <v>9</v>
      </c>
      <c r="D6908">
        <v>56</v>
      </c>
    </row>
    <row r="6909" spans="1:4" x14ac:dyDescent="0.25">
      <c r="A6909" s="45" t="s">
        <v>6936</v>
      </c>
      <c r="B6909" s="46" t="s">
        <v>17873</v>
      </c>
      <c r="C6909">
        <v>16</v>
      </c>
      <c r="D6909">
        <v>83</v>
      </c>
    </row>
    <row r="6910" spans="1:4" x14ac:dyDescent="0.25">
      <c r="A6910" s="45" t="s">
        <v>6937</v>
      </c>
      <c r="B6910" s="46" t="s">
        <v>17874</v>
      </c>
      <c r="C6910">
        <v>16</v>
      </c>
      <c r="D6910">
        <v>83</v>
      </c>
    </row>
    <row r="6911" spans="1:4" x14ac:dyDescent="0.25">
      <c r="A6911" s="45" t="s">
        <v>6938</v>
      </c>
      <c r="B6911" s="46" t="s">
        <v>17875</v>
      </c>
      <c r="C6911">
        <v>9</v>
      </c>
      <c r="D6911">
        <v>61</v>
      </c>
    </row>
    <row r="6912" spans="1:4" x14ac:dyDescent="0.25">
      <c r="A6912" s="45" t="s">
        <v>6939</v>
      </c>
      <c r="B6912" s="46" t="s">
        <v>17876</v>
      </c>
      <c r="C6912">
        <v>9</v>
      </c>
      <c r="D6912">
        <v>56</v>
      </c>
    </row>
    <row r="6913" spans="1:4" x14ac:dyDescent="0.25">
      <c r="A6913" s="45" t="s">
        <v>6940</v>
      </c>
      <c r="B6913" s="46" t="s">
        <v>17877</v>
      </c>
      <c r="C6913">
        <v>16</v>
      </c>
      <c r="D6913">
        <v>83</v>
      </c>
    </row>
    <row r="6914" spans="1:4" x14ac:dyDescent="0.25">
      <c r="A6914" s="45" t="s">
        <v>6941</v>
      </c>
      <c r="B6914" s="46" t="s">
        <v>17878</v>
      </c>
      <c r="C6914">
        <v>16</v>
      </c>
      <c r="D6914">
        <v>83</v>
      </c>
    </row>
    <row r="6915" spans="1:4" x14ac:dyDescent="0.25">
      <c r="A6915" s="45" t="s">
        <v>6942</v>
      </c>
      <c r="B6915" s="46" t="s">
        <v>17879</v>
      </c>
      <c r="C6915">
        <v>16</v>
      </c>
      <c r="D6915">
        <v>83</v>
      </c>
    </row>
    <row r="6916" spans="1:4" x14ac:dyDescent="0.25">
      <c r="A6916" s="45" t="s">
        <v>6943</v>
      </c>
      <c r="B6916" s="46" t="s">
        <v>17880</v>
      </c>
      <c r="C6916">
        <v>16</v>
      </c>
      <c r="D6916">
        <v>83</v>
      </c>
    </row>
    <row r="6917" spans="1:4" x14ac:dyDescent="0.25">
      <c r="A6917" s="45" t="s">
        <v>6944</v>
      </c>
      <c r="B6917" s="46" t="s">
        <v>17881</v>
      </c>
      <c r="C6917">
        <v>16</v>
      </c>
      <c r="D6917">
        <v>83</v>
      </c>
    </row>
    <row r="6918" spans="1:4" x14ac:dyDescent="0.25">
      <c r="A6918" s="45" t="s">
        <v>6945</v>
      </c>
      <c r="B6918" s="46" t="s">
        <v>17882</v>
      </c>
      <c r="C6918">
        <v>16</v>
      </c>
      <c r="D6918">
        <v>83</v>
      </c>
    </row>
    <row r="6919" spans="1:4" x14ac:dyDescent="0.25">
      <c r="A6919" s="45" t="s">
        <v>6946</v>
      </c>
      <c r="B6919" s="46" t="s">
        <v>17883</v>
      </c>
      <c r="C6919">
        <v>9</v>
      </c>
      <c r="D6919">
        <v>61</v>
      </c>
    </row>
    <row r="6920" spans="1:4" x14ac:dyDescent="0.25">
      <c r="A6920" s="45" t="s">
        <v>6947</v>
      </c>
      <c r="B6920" s="46" t="s">
        <v>17884</v>
      </c>
      <c r="C6920">
        <v>16</v>
      </c>
      <c r="D6920">
        <v>83</v>
      </c>
    </row>
    <row r="6921" spans="1:4" x14ac:dyDescent="0.25">
      <c r="A6921" s="45" t="s">
        <v>6948</v>
      </c>
      <c r="B6921" s="46" t="s">
        <v>17885</v>
      </c>
      <c r="C6921">
        <v>9</v>
      </c>
      <c r="D6921">
        <v>60</v>
      </c>
    </row>
    <row r="6922" spans="1:4" x14ac:dyDescent="0.25">
      <c r="A6922" s="45" t="s">
        <v>6949</v>
      </c>
      <c r="B6922" s="46" t="s">
        <v>17886</v>
      </c>
      <c r="C6922">
        <v>16</v>
      </c>
      <c r="D6922">
        <v>83</v>
      </c>
    </row>
    <row r="6923" spans="1:4" x14ac:dyDescent="0.25">
      <c r="A6923" s="45" t="s">
        <v>6950</v>
      </c>
      <c r="B6923" s="46" t="s">
        <v>17887</v>
      </c>
      <c r="C6923">
        <v>16</v>
      </c>
      <c r="D6923">
        <v>83</v>
      </c>
    </row>
    <row r="6924" spans="1:4" x14ac:dyDescent="0.25">
      <c r="A6924" s="45" t="s">
        <v>6951</v>
      </c>
      <c r="B6924" s="46" t="s">
        <v>17888</v>
      </c>
      <c r="C6924">
        <v>16</v>
      </c>
      <c r="D6924">
        <v>83</v>
      </c>
    </row>
    <row r="6925" spans="1:4" x14ac:dyDescent="0.25">
      <c r="A6925" s="45" t="s">
        <v>6952</v>
      </c>
      <c r="B6925" s="46" t="s">
        <v>17889</v>
      </c>
      <c r="C6925">
        <v>16</v>
      </c>
      <c r="D6925">
        <v>83</v>
      </c>
    </row>
    <row r="6926" spans="1:4" x14ac:dyDescent="0.25">
      <c r="A6926" s="45" t="s">
        <v>6953</v>
      </c>
      <c r="B6926" s="46" t="s">
        <v>17890</v>
      </c>
      <c r="C6926">
        <v>16</v>
      </c>
      <c r="D6926">
        <v>83</v>
      </c>
    </row>
    <row r="6927" spans="1:4" x14ac:dyDescent="0.25">
      <c r="A6927" s="45" t="s">
        <v>6954</v>
      </c>
      <c r="B6927" s="46" t="s">
        <v>17891</v>
      </c>
      <c r="C6927">
        <v>16</v>
      </c>
      <c r="D6927">
        <v>83</v>
      </c>
    </row>
    <row r="6928" spans="1:4" x14ac:dyDescent="0.25">
      <c r="A6928" s="45" t="s">
        <v>6955</v>
      </c>
      <c r="B6928" s="46" t="s">
        <v>17892</v>
      </c>
      <c r="C6928">
        <v>16</v>
      </c>
      <c r="D6928">
        <v>83</v>
      </c>
    </row>
    <row r="6929" spans="1:4" x14ac:dyDescent="0.25">
      <c r="A6929" s="45" t="s">
        <v>6956</v>
      </c>
      <c r="B6929" s="46" t="s">
        <v>17893</v>
      </c>
      <c r="C6929">
        <v>9</v>
      </c>
      <c r="D6929">
        <v>60</v>
      </c>
    </row>
    <row r="6930" spans="1:4" x14ac:dyDescent="0.25">
      <c r="A6930" s="45" t="s">
        <v>6957</v>
      </c>
      <c r="B6930" s="46" t="s">
        <v>20814</v>
      </c>
      <c r="C6930">
        <v>16</v>
      </c>
      <c r="D6930">
        <v>83</v>
      </c>
    </row>
    <row r="6931" spans="1:4" x14ac:dyDescent="0.25">
      <c r="A6931" s="45" t="s">
        <v>6958</v>
      </c>
      <c r="B6931" s="46" t="s">
        <v>17894</v>
      </c>
      <c r="C6931">
        <v>16</v>
      </c>
      <c r="D6931">
        <v>83</v>
      </c>
    </row>
    <row r="6932" spans="1:4" x14ac:dyDescent="0.25">
      <c r="A6932" s="45" t="s">
        <v>6959</v>
      </c>
      <c r="B6932" s="46" t="s">
        <v>17895</v>
      </c>
      <c r="C6932">
        <v>16</v>
      </c>
      <c r="D6932">
        <v>83</v>
      </c>
    </row>
    <row r="6933" spans="1:4" x14ac:dyDescent="0.25">
      <c r="A6933" s="45" t="s">
        <v>6960</v>
      </c>
      <c r="B6933" s="46" t="s">
        <v>17896</v>
      </c>
      <c r="C6933">
        <v>16</v>
      </c>
      <c r="D6933">
        <v>83</v>
      </c>
    </row>
    <row r="6934" spans="1:4" x14ac:dyDescent="0.25">
      <c r="A6934" s="45" t="s">
        <v>6961</v>
      </c>
      <c r="B6934" s="46" t="s">
        <v>17897</v>
      </c>
      <c r="C6934">
        <v>16</v>
      </c>
      <c r="D6934">
        <v>83</v>
      </c>
    </row>
    <row r="6935" spans="1:4" x14ac:dyDescent="0.25">
      <c r="A6935" s="45" t="s">
        <v>6962</v>
      </c>
      <c r="B6935" s="46" t="s">
        <v>17898</v>
      </c>
      <c r="C6935">
        <v>16</v>
      </c>
      <c r="D6935">
        <v>83</v>
      </c>
    </row>
    <row r="6936" spans="1:4" x14ac:dyDescent="0.25">
      <c r="A6936" s="45" t="s">
        <v>6963</v>
      </c>
      <c r="B6936" s="46" t="s">
        <v>17899</v>
      </c>
      <c r="C6936">
        <v>16</v>
      </c>
      <c r="D6936">
        <v>83</v>
      </c>
    </row>
    <row r="6937" spans="1:4" x14ac:dyDescent="0.25">
      <c r="A6937" s="45" t="s">
        <v>6964</v>
      </c>
      <c r="B6937" s="46" t="s">
        <v>17900</v>
      </c>
      <c r="C6937">
        <v>16</v>
      </c>
      <c r="D6937">
        <v>83</v>
      </c>
    </row>
    <row r="6938" spans="1:4" x14ac:dyDescent="0.25">
      <c r="A6938" s="45" t="s">
        <v>6965</v>
      </c>
      <c r="B6938" s="46" t="s">
        <v>17901</v>
      </c>
      <c r="C6938">
        <v>16</v>
      </c>
      <c r="D6938">
        <v>83</v>
      </c>
    </row>
    <row r="6939" spans="1:4" x14ac:dyDescent="0.25">
      <c r="A6939" s="45" t="s">
        <v>6966</v>
      </c>
      <c r="B6939" s="46" t="s">
        <v>17902</v>
      </c>
      <c r="C6939">
        <v>16</v>
      </c>
      <c r="D6939">
        <v>83</v>
      </c>
    </row>
    <row r="6940" spans="1:4" x14ac:dyDescent="0.25">
      <c r="A6940" s="45" t="s">
        <v>6967</v>
      </c>
      <c r="B6940" s="46" t="s">
        <v>17903</v>
      </c>
      <c r="C6940">
        <v>16</v>
      </c>
      <c r="D6940">
        <v>83</v>
      </c>
    </row>
    <row r="6941" spans="1:4" x14ac:dyDescent="0.25">
      <c r="A6941" s="45" t="s">
        <v>6968</v>
      </c>
      <c r="B6941" s="46" t="s">
        <v>17904</v>
      </c>
      <c r="C6941">
        <v>16</v>
      </c>
      <c r="D6941">
        <v>83</v>
      </c>
    </row>
    <row r="6942" spans="1:4" x14ac:dyDescent="0.25">
      <c r="A6942" s="45" t="s">
        <v>6969</v>
      </c>
      <c r="B6942" s="46" t="s">
        <v>17905</v>
      </c>
      <c r="C6942">
        <v>16</v>
      </c>
      <c r="D6942">
        <v>83</v>
      </c>
    </row>
    <row r="6943" spans="1:4" x14ac:dyDescent="0.25">
      <c r="A6943" s="45" t="s">
        <v>6970</v>
      </c>
      <c r="B6943" s="46" t="s">
        <v>17906</v>
      </c>
      <c r="C6943">
        <v>16</v>
      </c>
      <c r="D6943">
        <v>83</v>
      </c>
    </row>
    <row r="6944" spans="1:4" x14ac:dyDescent="0.25">
      <c r="A6944" s="45" t="s">
        <v>6971</v>
      </c>
      <c r="B6944" s="46" t="s">
        <v>17907</v>
      </c>
      <c r="C6944">
        <v>16</v>
      </c>
      <c r="D6944">
        <v>83</v>
      </c>
    </row>
    <row r="6945" spans="1:4" x14ac:dyDescent="0.25">
      <c r="A6945" s="45" t="s">
        <v>6972</v>
      </c>
      <c r="B6945" s="46" t="s">
        <v>17908</v>
      </c>
      <c r="C6945">
        <v>16</v>
      </c>
      <c r="D6945">
        <v>83</v>
      </c>
    </row>
    <row r="6946" spans="1:4" x14ac:dyDescent="0.25">
      <c r="A6946" s="45" t="s">
        <v>6973</v>
      </c>
      <c r="B6946" s="46" t="s">
        <v>17909</v>
      </c>
      <c r="C6946">
        <v>4</v>
      </c>
      <c r="D6946">
        <v>29</v>
      </c>
    </row>
    <row r="6947" spans="1:4" x14ac:dyDescent="0.25">
      <c r="A6947" s="45" t="s">
        <v>6974</v>
      </c>
      <c r="B6947" s="46" t="s">
        <v>17910</v>
      </c>
      <c r="C6947">
        <v>12</v>
      </c>
      <c r="D6947">
        <v>75</v>
      </c>
    </row>
    <row r="6948" spans="1:4" x14ac:dyDescent="0.25">
      <c r="A6948" s="45" t="s">
        <v>6975</v>
      </c>
      <c r="B6948" s="46" t="s">
        <v>17911</v>
      </c>
      <c r="C6948">
        <v>12</v>
      </c>
      <c r="D6948">
        <v>75</v>
      </c>
    </row>
    <row r="6949" spans="1:4" x14ac:dyDescent="0.25">
      <c r="A6949" s="45" t="s">
        <v>6976</v>
      </c>
      <c r="B6949" s="46" t="s">
        <v>17912</v>
      </c>
      <c r="C6949">
        <v>16</v>
      </c>
      <c r="D6949">
        <v>83</v>
      </c>
    </row>
    <row r="6950" spans="1:4" x14ac:dyDescent="0.25">
      <c r="A6950" s="45" t="s">
        <v>6977</v>
      </c>
      <c r="B6950" s="46" t="s">
        <v>17913</v>
      </c>
      <c r="C6950">
        <v>16</v>
      </c>
      <c r="D6950">
        <v>83</v>
      </c>
    </row>
    <row r="6951" spans="1:4" x14ac:dyDescent="0.25">
      <c r="A6951" s="45" t="s">
        <v>6978</v>
      </c>
      <c r="B6951" s="46" t="s">
        <v>17914</v>
      </c>
      <c r="C6951">
        <v>13</v>
      </c>
      <c r="D6951">
        <v>79</v>
      </c>
    </row>
    <row r="6952" spans="1:4" x14ac:dyDescent="0.25">
      <c r="A6952" s="45" t="s">
        <v>6979</v>
      </c>
      <c r="B6952" s="46" t="s">
        <v>17915</v>
      </c>
      <c r="C6952">
        <v>16</v>
      </c>
      <c r="D6952">
        <v>83</v>
      </c>
    </row>
    <row r="6953" spans="1:4" x14ac:dyDescent="0.25">
      <c r="A6953" s="45" t="s">
        <v>6980</v>
      </c>
      <c r="B6953" s="46" t="s">
        <v>17916</v>
      </c>
      <c r="C6953">
        <v>16</v>
      </c>
      <c r="D6953">
        <v>83</v>
      </c>
    </row>
    <row r="6954" spans="1:4" x14ac:dyDescent="0.25">
      <c r="A6954" s="45" t="s">
        <v>6981</v>
      </c>
      <c r="B6954" s="46" t="s">
        <v>17917</v>
      </c>
      <c r="C6954">
        <v>16</v>
      </c>
      <c r="D6954">
        <v>83</v>
      </c>
    </row>
    <row r="6955" spans="1:4" x14ac:dyDescent="0.25">
      <c r="A6955" s="45" t="s">
        <v>6982</v>
      </c>
      <c r="B6955" s="46" t="s">
        <v>17918</v>
      </c>
      <c r="C6955">
        <v>16</v>
      </c>
      <c r="D6955">
        <v>83</v>
      </c>
    </row>
    <row r="6956" spans="1:4" x14ac:dyDescent="0.25">
      <c r="A6956" s="45" t="s">
        <v>6983</v>
      </c>
      <c r="B6956" s="46" t="s">
        <v>17919</v>
      </c>
      <c r="C6956">
        <v>13</v>
      </c>
      <c r="D6956">
        <v>77</v>
      </c>
    </row>
    <row r="6957" spans="1:4" x14ac:dyDescent="0.25">
      <c r="A6957" s="45" t="s">
        <v>6984</v>
      </c>
      <c r="B6957" s="46" t="s">
        <v>17920</v>
      </c>
      <c r="C6957">
        <v>16</v>
      </c>
      <c r="D6957">
        <v>83</v>
      </c>
    </row>
    <row r="6958" spans="1:4" x14ac:dyDescent="0.25">
      <c r="A6958" s="45" t="s">
        <v>6985</v>
      </c>
      <c r="B6958" s="46" t="s">
        <v>20815</v>
      </c>
      <c r="C6958">
        <v>16</v>
      </c>
      <c r="D6958">
        <v>83</v>
      </c>
    </row>
    <row r="6959" spans="1:4" x14ac:dyDescent="0.25">
      <c r="A6959" s="45" t="s">
        <v>6986</v>
      </c>
      <c r="B6959" s="46" t="s">
        <v>17921</v>
      </c>
      <c r="C6959">
        <v>16</v>
      </c>
      <c r="D6959">
        <v>83</v>
      </c>
    </row>
    <row r="6960" spans="1:4" x14ac:dyDescent="0.25">
      <c r="A6960" s="45" t="s">
        <v>6987</v>
      </c>
      <c r="B6960" s="46" t="s">
        <v>17922</v>
      </c>
      <c r="C6960">
        <v>16</v>
      </c>
      <c r="D6960">
        <v>83</v>
      </c>
    </row>
    <row r="6961" spans="1:4" x14ac:dyDescent="0.25">
      <c r="A6961" s="45" t="s">
        <v>6988</v>
      </c>
      <c r="B6961" s="46" t="s">
        <v>17923</v>
      </c>
      <c r="C6961">
        <v>6</v>
      </c>
      <c r="D6961">
        <v>34</v>
      </c>
    </row>
    <row r="6962" spans="1:4" x14ac:dyDescent="0.25">
      <c r="A6962" s="45" t="s">
        <v>6989</v>
      </c>
      <c r="B6962" s="46" t="s">
        <v>17924</v>
      </c>
      <c r="C6962">
        <v>16</v>
      </c>
      <c r="D6962">
        <v>84</v>
      </c>
    </row>
    <row r="6963" spans="1:4" x14ac:dyDescent="0.25">
      <c r="A6963" s="45" t="s">
        <v>6990</v>
      </c>
      <c r="B6963" s="46" t="s">
        <v>17925</v>
      </c>
      <c r="C6963">
        <v>13</v>
      </c>
      <c r="D6963">
        <v>79</v>
      </c>
    </row>
    <row r="6964" spans="1:4" x14ac:dyDescent="0.25">
      <c r="A6964" s="45" t="s">
        <v>6991</v>
      </c>
      <c r="B6964" s="46" t="s">
        <v>17926</v>
      </c>
      <c r="C6964">
        <v>14</v>
      </c>
      <c r="D6964">
        <v>81</v>
      </c>
    </row>
    <row r="6965" spans="1:4" x14ac:dyDescent="0.25">
      <c r="A6965" s="45" t="s">
        <v>6992</v>
      </c>
      <c r="B6965" s="46" t="s">
        <v>17927</v>
      </c>
      <c r="C6965">
        <v>6</v>
      </c>
      <c r="D6965">
        <v>35</v>
      </c>
    </row>
    <row r="6966" spans="1:4" x14ac:dyDescent="0.25">
      <c r="A6966" s="45" t="s">
        <v>6993</v>
      </c>
      <c r="B6966" s="46" t="s">
        <v>20816</v>
      </c>
      <c r="C6966">
        <v>16</v>
      </c>
      <c r="D6966">
        <v>83</v>
      </c>
    </row>
    <row r="6967" spans="1:4" x14ac:dyDescent="0.25">
      <c r="A6967" s="45" t="s">
        <v>6994</v>
      </c>
      <c r="B6967" s="46" t="s">
        <v>17928</v>
      </c>
      <c r="C6967">
        <v>16</v>
      </c>
      <c r="D6967">
        <v>83</v>
      </c>
    </row>
    <row r="6968" spans="1:4" x14ac:dyDescent="0.25">
      <c r="A6968" s="45" t="s">
        <v>6995</v>
      </c>
      <c r="B6968" s="46" t="s">
        <v>17929</v>
      </c>
      <c r="C6968">
        <v>16</v>
      </c>
      <c r="D6968">
        <v>83</v>
      </c>
    </row>
    <row r="6969" spans="1:4" x14ac:dyDescent="0.25">
      <c r="A6969" s="45" t="s">
        <v>6996</v>
      </c>
      <c r="B6969" s="46" t="s">
        <v>17930</v>
      </c>
      <c r="C6969">
        <v>10</v>
      </c>
      <c r="D6969">
        <v>63</v>
      </c>
    </row>
    <row r="6970" spans="1:4" x14ac:dyDescent="0.25">
      <c r="A6970" s="45" t="s">
        <v>6997</v>
      </c>
      <c r="B6970" s="46" t="s">
        <v>17931</v>
      </c>
      <c r="C6970">
        <v>16</v>
      </c>
      <c r="D6970">
        <v>83</v>
      </c>
    </row>
    <row r="6971" spans="1:4" x14ac:dyDescent="0.25">
      <c r="A6971" s="45" t="s">
        <v>6998</v>
      </c>
      <c r="B6971" s="46" t="s">
        <v>17932</v>
      </c>
      <c r="C6971">
        <v>16</v>
      </c>
      <c r="D6971">
        <v>83</v>
      </c>
    </row>
    <row r="6972" spans="1:4" x14ac:dyDescent="0.25">
      <c r="A6972" s="45" t="s">
        <v>6999</v>
      </c>
      <c r="B6972" s="46" t="s">
        <v>17933</v>
      </c>
      <c r="C6972">
        <v>16</v>
      </c>
      <c r="D6972">
        <v>83</v>
      </c>
    </row>
    <row r="6973" spans="1:4" x14ac:dyDescent="0.25">
      <c r="A6973" s="45" t="s">
        <v>7000</v>
      </c>
      <c r="B6973" s="46" t="s">
        <v>17934</v>
      </c>
      <c r="C6973">
        <v>16</v>
      </c>
      <c r="D6973">
        <v>83</v>
      </c>
    </row>
    <row r="6974" spans="1:4" x14ac:dyDescent="0.25">
      <c r="A6974" s="45" t="s">
        <v>7001</v>
      </c>
      <c r="B6974" s="46" t="s">
        <v>17935</v>
      </c>
      <c r="C6974">
        <v>16</v>
      </c>
      <c r="D6974">
        <v>83</v>
      </c>
    </row>
    <row r="6975" spans="1:4" x14ac:dyDescent="0.25">
      <c r="A6975" s="45" t="s">
        <v>7002</v>
      </c>
      <c r="B6975" s="46" t="s">
        <v>17936</v>
      </c>
      <c r="C6975">
        <v>16</v>
      </c>
      <c r="D6975">
        <v>83</v>
      </c>
    </row>
    <row r="6976" spans="1:4" x14ac:dyDescent="0.25">
      <c r="A6976" s="45" t="s">
        <v>7003</v>
      </c>
      <c r="B6976" s="46" t="s">
        <v>17937</v>
      </c>
      <c r="C6976">
        <v>16</v>
      </c>
      <c r="D6976">
        <v>83</v>
      </c>
    </row>
    <row r="6977" spans="1:4" x14ac:dyDescent="0.25">
      <c r="A6977" s="45" t="s">
        <v>7004</v>
      </c>
      <c r="B6977" s="46" t="s">
        <v>17938</v>
      </c>
      <c r="C6977">
        <v>16</v>
      </c>
      <c r="D6977">
        <v>83</v>
      </c>
    </row>
    <row r="6978" spans="1:4" x14ac:dyDescent="0.25">
      <c r="A6978" s="45" t="s">
        <v>7005</v>
      </c>
      <c r="B6978" s="46" t="s">
        <v>17939</v>
      </c>
      <c r="C6978">
        <v>10</v>
      </c>
      <c r="D6978">
        <v>63</v>
      </c>
    </row>
    <row r="6979" spans="1:4" x14ac:dyDescent="0.25">
      <c r="A6979" s="45" t="s">
        <v>7006</v>
      </c>
      <c r="B6979" s="46" t="s">
        <v>20817</v>
      </c>
      <c r="C6979">
        <v>16</v>
      </c>
      <c r="D6979">
        <v>83</v>
      </c>
    </row>
    <row r="6980" spans="1:4" x14ac:dyDescent="0.25">
      <c r="A6980" s="45" t="s">
        <v>7007</v>
      </c>
      <c r="B6980" s="46" t="s">
        <v>17940</v>
      </c>
      <c r="C6980">
        <v>16</v>
      </c>
      <c r="D6980">
        <v>83</v>
      </c>
    </row>
    <row r="6981" spans="1:4" x14ac:dyDescent="0.25">
      <c r="A6981" s="45" t="s">
        <v>7008</v>
      </c>
      <c r="B6981" s="46" t="s">
        <v>17941</v>
      </c>
      <c r="C6981">
        <v>16</v>
      </c>
      <c r="D6981">
        <v>83</v>
      </c>
    </row>
    <row r="6982" spans="1:4" x14ac:dyDescent="0.25">
      <c r="A6982" s="45" t="s">
        <v>7009</v>
      </c>
      <c r="B6982" s="46" t="s">
        <v>17942</v>
      </c>
      <c r="C6982">
        <v>5</v>
      </c>
      <c r="D6982">
        <v>31</v>
      </c>
    </row>
    <row r="6983" spans="1:4" x14ac:dyDescent="0.25">
      <c r="A6983" s="45" t="s">
        <v>7010</v>
      </c>
      <c r="B6983" s="46" t="s">
        <v>17943</v>
      </c>
      <c r="C6983">
        <v>16</v>
      </c>
      <c r="D6983">
        <v>83</v>
      </c>
    </row>
    <row r="6984" spans="1:4" x14ac:dyDescent="0.25">
      <c r="A6984" s="45" t="s">
        <v>7011</v>
      </c>
      <c r="B6984" s="46" t="s">
        <v>17944</v>
      </c>
      <c r="C6984">
        <v>16</v>
      </c>
      <c r="D6984">
        <v>83</v>
      </c>
    </row>
    <row r="6985" spans="1:4" x14ac:dyDescent="0.25">
      <c r="A6985" s="45" t="s">
        <v>7012</v>
      </c>
      <c r="B6985" s="46" t="s">
        <v>17945</v>
      </c>
      <c r="C6985">
        <v>16</v>
      </c>
      <c r="D6985">
        <v>83</v>
      </c>
    </row>
    <row r="6986" spans="1:4" x14ac:dyDescent="0.25">
      <c r="A6986" s="45" t="s">
        <v>7013</v>
      </c>
      <c r="B6986" s="46" t="s">
        <v>17946</v>
      </c>
      <c r="C6986">
        <v>5</v>
      </c>
      <c r="D6986">
        <v>33</v>
      </c>
    </row>
    <row r="6987" spans="1:4" x14ac:dyDescent="0.25">
      <c r="A6987" s="45" t="s">
        <v>7014</v>
      </c>
      <c r="B6987" s="46" t="s">
        <v>20818</v>
      </c>
      <c r="C6987">
        <v>16</v>
      </c>
      <c r="D6987">
        <v>83</v>
      </c>
    </row>
    <row r="6988" spans="1:4" x14ac:dyDescent="0.25">
      <c r="A6988" s="45" t="s">
        <v>7015</v>
      </c>
      <c r="B6988" s="46" t="s">
        <v>17947</v>
      </c>
      <c r="C6988">
        <v>16</v>
      </c>
      <c r="D6988">
        <v>83</v>
      </c>
    </row>
    <row r="6989" spans="1:4" x14ac:dyDescent="0.25">
      <c r="A6989" s="45" t="s">
        <v>7016</v>
      </c>
      <c r="B6989" s="46" t="s">
        <v>17948</v>
      </c>
      <c r="C6989">
        <v>16</v>
      </c>
      <c r="D6989">
        <v>83</v>
      </c>
    </row>
    <row r="6990" spans="1:4" x14ac:dyDescent="0.25">
      <c r="A6990" s="45" t="s">
        <v>7017</v>
      </c>
      <c r="B6990" s="46" t="s">
        <v>17949</v>
      </c>
      <c r="C6990">
        <v>16</v>
      </c>
      <c r="D6990">
        <v>83</v>
      </c>
    </row>
    <row r="6991" spans="1:4" x14ac:dyDescent="0.25">
      <c r="A6991" s="45" t="s">
        <v>7018</v>
      </c>
      <c r="B6991" s="46" t="s">
        <v>17950</v>
      </c>
      <c r="C6991">
        <v>16</v>
      </c>
      <c r="D6991">
        <v>83</v>
      </c>
    </row>
    <row r="6992" spans="1:4" x14ac:dyDescent="0.25">
      <c r="A6992" s="45" t="s">
        <v>7019</v>
      </c>
      <c r="B6992" s="46" t="s">
        <v>17951</v>
      </c>
      <c r="C6992">
        <v>16</v>
      </c>
      <c r="D6992">
        <v>83</v>
      </c>
    </row>
    <row r="6993" spans="1:4" x14ac:dyDescent="0.25">
      <c r="A6993" s="45" t="s">
        <v>7020</v>
      </c>
      <c r="B6993" s="46" t="s">
        <v>17952</v>
      </c>
      <c r="C6993">
        <v>6</v>
      </c>
      <c r="D6993">
        <v>38</v>
      </c>
    </row>
    <row r="6994" spans="1:4" x14ac:dyDescent="0.25">
      <c r="A6994" s="45" t="s">
        <v>7021</v>
      </c>
      <c r="B6994" s="46" t="s">
        <v>17953</v>
      </c>
      <c r="C6994">
        <v>16</v>
      </c>
      <c r="D6994">
        <v>83</v>
      </c>
    </row>
    <row r="6995" spans="1:4" x14ac:dyDescent="0.25">
      <c r="A6995" s="45" t="s">
        <v>7022</v>
      </c>
      <c r="B6995" s="46" t="s">
        <v>17954</v>
      </c>
      <c r="C6995">
        <v>16</v>
      </c>
      <c r="D6995">
        <v>83</v>
      </c>
    </row>
    <row r="6996" spans="1:4" x14ac:dyDescent="0.25">
      <c r="A6996" s="45" t="s">
        <v>7023</v>
      </c>
      <c r="B6996" s="46" t="s">
        <v>17955</v>
      </c>
      <c r="C6996">
        <v>16</v>
      </c>
      <c r="D6996">
        <v>83</v>
      </c>
    </row>
    <row r="6997" spans="1:4" x14ac:dyDescent="0.25">
      <c r="A6997" s="45" t="s">
        <v>7024</v>
      </c>
      <c r="B6997" s="46" t="s">
        <v>20819</v>
      </c>
      <c r="C6997">
        <v>16</v>
      </c>
      <c r="D6997">
        <v>85</v>
      </c>
    </row>
    <row r="6998" spans="1:4" x14ac:dyDescent="0.25">
      <c r="A6998" s="45" t="s">
        <v>7025</v>
      </c>
      <c r="B6998" s="46" t="s">
        <v>17956</v>
      </c>
      <c r="C6998">
        <v>5</v>
      </c>
      <c r="D6998">
        <v>32</v>
      </c>
    </row>
    <row r="6999" spans="1:4" x14ac:dyDescent="0.25">
      <c r="A6999" s="45" t="s">
        <v>7026</v>
      </c>
      <c r="B6999" s="46" t="s">
        <v>17957</v>
      </c>
      <c r="C6999">
        <v>16</v>
      </c>
      <c r="D6999">
        <v>85</v>
      </c>
    </row>
    <row r="7000" spans="1:4" x14ac:dyDescent="0.25">
      <c r="A7000" s="45" t="s">
        <v>7027</v>
      </c>
      <c r="B7000" s="46" t="s">
        <v>17958</v>
      </c>
      <c r="C7000">
        <v>16</v>
      </c>
      <c r="D7000">
        <v>85</v>
      </c>
    </row>
    <row r="7001" spans="1:4" x14ac:dyDescent="0.25">
      <c r="A7001" s="45" t="s">
        <v>7028</v>
      </c>
      <c r="B7001" s="46" t="s">
        <v>17959</v>
      </c>
      <c r="C7001">
        <v>16</v>
      </c>
      <c r="D7001">
        <v>85</v>
      </c>
    </row>
    <row r="7002" spans="1:4" x14ac:dyDescent="0.25">
      <c r="A7002" s="45" t="s">
        <v>7029</v>
      </c>
      <c r="B7002" s="46" t="s">
        <v>17960</v>
      </c>
      <c r="C7002">
        <v>16</v>
      </c>
      <c r="D7002">
        <v>85</v>
      </c>
    </row>
    <row r="7003" spans="1:4" x14ac:dyDescent="0.25">
      <c r="A7003" s="45" t="s">
        <v>7030</v>
      </c>
      <c r="B7003" s="46" t="s">
        <v>17961</v>
      </c>
      <c r="C7003">
        <v>16</v>
      </c>
      <c r="D7003">
        <v>85</v>
      </c>
    </row>
    <row r="7004" spans="1:4" x14ac:dyDescent="0.25">
      <c r="A7004" s="45" t="s">
        <v>7031</v>
      </c>
      <c r="B7004" s="46" t="s">
        <v>17962</v>
      </c>
      <c r="C7004">
        <v>5</v>
      </c>
      <c r="D7004">
        <v>32</v>
      </c>
    </row>
    <row r="7005" spans="1:4" x14ac:dyDescent="0.25">
      <c r="A7005" s="45" t="s">
        <v>7032</v>
      </c>
      <c r="B7005" s="46" t="s">
        <v>17963</v>
      </c>
      <c r="C7005">
        <v>16</v>
      </c>
      <c r="D7005">
        <v>85</v>
      </c>
    </row>
    <row r="7006" spans="1:4" x14ac:dyDescent="0.25">
      <c r="A7006" s="45" t="s">
        <v>7033</v>
      </c>
      <c r="B7006" s="46" t="s">
        <v>17964</v>
      </c>
      <c r="C7006">
        <v>16</v>
      </c>
      <c r="D7006">
        <v>85</v>
      </c>
    </row>
    <row r="7007" spans="1:4" x14ac:dyDescent="0.25">
      <c r="A7007" s="45" t="s">
        <v>7034</v>
      </c>
      <c r="B7007" s="46" t="s">
        <v>17965</v>
      </c>
      <c r="C7007">
        <v>16</v>
      </c>
      <c r="D7007">
        <v>85</v>
      </c>
    </row>
    <row r="7008" spans="1:4" x14ac:dyDescent="0.25">
      <c r="A7008" s="45" t="s">
        <v>7035</v>
      </c>
      <c r="B7008" s="46" t="s">
        <v>17966</v>
      </c>
      <c r="C7008">
        <v>16</v>
      </c>
      <c r="D7008">
        <v>85</v>
      </c>
    </row>
    <row r="7009" spans="1:4" x14ac:dyDescent="0.25">
      <c r="A7009" s="45" t="s">
        <v>7036</v>
      </c>
      <c r="B7009" s="46" t="s">
        <v>17967</v>
      </c>
      <c r="C7009">
        <v>16</v>
      </c>
      <c r="D7009">
        <v>85</v>
      </c>
    </row>
    <row r="7010" spans="1:4" x14ac:dyDescent="0.25">
      <c r="A7010" s="45" t="s">
        <v>7037</v>
      </c>
      <c r="B7010" s="46" t="s">
        <v>17968</v>
      </c>
      <c r="C7010">
        <v>16</v>
      </c>
      <c r="D7010">
        <v>83</v>
      </c>
    </row>
    <row r="7011" spans="1:4" x14ac:dyDescent="0.25">
      <c r="A7011" s="45" t="s">
        <v>7038</v>
      </c>
      <c r="B7011" s="46" t="s">
        <v>17969</v>
      </c>
      <c r="C7011">
        <v>16</v>
      </c>
      <c r="D7011">
        <v>85</v>
      </c>
    </row>
    <row r="7012" spans="1:4" x14ac:dyDescent="0.25">
      <c r="A7012" s="45" t="s">
        <v>7039</v>
      </c>
      <c r="B7012" s="46" t="s">
        <v>17970</v>
      </c>
      <c r="C7012">
        <v>16</v>
      </c>
      <c r="D7012">
        <v>85</v>
      </c>
    </row>
    <row r="7013" spans="1:4" x14ac:dyDescent="0.25">
      <c r="A7013" s="45" t="s">
        <v>7040</v>
      </c>
      <c r="B7013" s="46" t="s">
        <v>17971</v>
      </c>
      <c r="C7013">
        <v>16</v>
      </c>
      <c r="D7013">
        <v>85</v>
      </c>
    </row>
    <row r="7014" spans="1:4" x14ac:dyDescent="0.25">
      <c r="A7014" s="45" t="s">
        <v>7041</v>
      </c>
      <c r="B7014" s="46" t="s">
        <v>20820</v>
      </c>
      <c r="C7014">
        <v>5</v>
      </c>
      <c r="D7014">
        <v>32</v>
      </c>
    </row>
    <row r="7015" spans="1:4" x14ac:dyDescent="0.25">
      <c r="A7015" s="45" t="s">
        <v>7042</v>
      </c>
      <c r="B7015" s="46" t="s">
        <v>20821</v>
      </c>
      <c r="C7015">
        <v>16</v>
      </c>
      <c r="D7015">
        <v>83</v>
      </c>
    </row>
    <row r="7016" spans="1:4" x14ac:dyDescent="0.25">
      <c r="A7016" s="45" t="s">
        <v>7043</v>
      </c>
      <c r="B7016" s="46" t="s">
        <v>17972</v>
      </c>
      <c r="C7016">
        <v>16</v>
      </c>
      <c r="D7016">
        <v>83</v>
      </c>
    </row>
    <row r="7017" spans="1:4" x14ac:dyDescent="0.25">
      <c r="A7017" s="45" t="s">
        <v>7044</v>
      </c>
      <c r="B7017" s="46" t="s">
        <v>17973</v>
      </c>
      <c r="C7017">
        <v>16</v>
      </c>
      <c r="D7017">
        <v>83</v>
      </c>
    </row>
    <row r="7018" spans="1:4" x14ac:dyDescent="0.25">
      <c r="A7018" s="45" t="s">
        <v>7045</v>
      </c>
      <c r="B7018" s="46" t="s">
        <v>17974</v>
      </c>
      <c r="C7018">
        <v>16</v>
      </c>
      <c r="D7018">
        <v>83</v>
      </c>
    </row>
    <row r="7019" spans="1:4" x14ac:dyDescent="0.25">
      <c r="A7019" s="45" t="s">
        <v>7046</v>
      </c>
      <c r="B7019" s="46" t="s">
        <v>17975</v>
      </c>
      <c r="C7019">
        <v>16</v>
      </c>
      <c r="D7019">
        <v>83</v>
      </c>
    </row>
    <row r="7020" spans="1:4" x14ac:dyDescent="0.25">
      <c r="A7020" s="45" t="s">
        <v>7047</v>
      </c>
      <c r="B7020" s="46" t="s">
        <v>17976</v>
      </c>
      <c r="C7020">
        <v>16</v>
      </c>
      <c r="D7020">
        <v>83</v>
      </c>
    </row>
    <row r="7021" spans="1:4" x14ac:dyDescent="0.25">
      <c r="A7021" s="45" t="s">
        <v>7048</v>
      </c>
      <c r="B7021" s="46" t="s">
        <v>17977</v>
      </c>
      <c r="C7021">
        <v>5</v>
      </c>
      <c r="D7021">
        <v>32</v>
      </c>
    </row>
    <row r="7022" spans="1:4" x14ac:dyDescent="0.25">
      <c r="A7022" s="45" t="s">
        <v>7049</v>
      </c>
      <c r="B7022" s="46" t="s">
        <v>17978</v>
      </c>
      <c r="C7022">
        <v>16</v>
      </c>
      <c r="D7022">
        <v>83</v>
      </c>
    </row>
    <row r="7023" spans="1:4" x14ac:dyDescent="0.25">
      <c r="A7023" s="45" t="s">
        <v>7050</v>
      </c>
      <c r="B7023" s="46" t="s">
        <v>17979</v>
      </c>
      <c r="C7023">
        <v>16</v>
      </c>
      <c r="D7023">
        <v>83</v>
      </c>
    </row>
    <row r="7024" spans="1:4" x14ac:dyDescent="0.25">
      <c r="A7024" s="45" t="s">
        <v>7051</v>
      </c>
      <c r="B7024" s="46" t="s">
        <v>17980</v>
      </c>
      <c r="C7024">
        <v>16</v>
      </c>
      <c r="D7024">
        <v>83</v>
      </c>
    </row>
    <row r="7025" spans="1:4" x14ac:dyDescent="0.25">
      <c r="A7025" s="45" t="s">
        <v>7052</v>
      </c>
      <c r="B7025" s="46" t="s">
        <v>17981</v>
      </c>
      <c r="C7025">
        <v>16</v>
      </c>
      <c r="D7025">
        <v>83</v>
      </c>
    </row>
    <row r="7026" spans="1:4" x14ac:dyDescent="0.25">
      <c r="A7026" s="45" t="s">
        <v>7053</v>
      </c>
      <c r="B7026" s="46" t="s">
        <v>17982</v>
      </c>
      <c r="C7026">
        <v>16</v>
      </c>
      <c r="D7026">
        <v>83</v>
      </c>
    </row>
    <row r="7027" spans="1:4" x14ac:dyDescent="0.25">
      <c r="A7027" s="45" t="s">
        <v>7054</v>
      </c>
      <c r="B7027" s="46" t="s">
        <v>17983</v>
      </c>
      <c r="C7027">
        <v>16</v>
      </c>
      <c r="D7027">
        <v>83</v>
      </c>
    </row>
    <row r="7028" spans="1:4" x14ac:dyDescent="0.25">
      <c r="A7028" s="45" t="s">
        <v>7055</v>
      </c>
      <c r="B7028" s="46" t="s">
        <v>17984</v>
      </c>
      <c r="C7028">
        <v>16</v>
      </c>
      <c r="D7028">
        <v>83</v>
      </c>
    </row>
    <row r="7029" spans="1:4" x14ac:dyDescent="0.25">
      <c r="A7029" s="45" t="s">
        <v>7056</v>
      </c>
      <c r="B7029" s="46" t="s">
        <v>17985</v>
      </c>
      <c r="C7029">
        <v>16</v>
      </c>
      <c r="D7029">
        <v>83</v>
      </c>
    </row>
    <row r="7030" spans="1:4" x14ac:dyDescent="0.25">
      <c r="A7030" s="45" t="s">
        <v>7057</v>
      </c>
      <c r="B7030" s="46" t="s">
        <v>17986</v>
      </c>
      <c r="C7030">
        <v>16</v>
      </c>
      <c r="D7030">
        <v>83</v>
      </c>
    </row>
    <row r="7031" spans="1:4" x14ac:dyDescent="0.25">
      <c r="A7031" s="45" t="s">
        <v>7058</v>
      </c>
      <c r="B7031" s="46" t="s">
        <v>17987</v>
      </c>
      <c r="C7031">
        <v>16</v>
      </c>
      <c r="D7031">
        <v>83</v>
      </c>
    </row>
    <row r="7032" spans="1:4" x14ac:dyDescent="0.25">
      <c r="A7032" s="45" t="s">
        <v>7059</v>
      </c>
      <c r="B7032" s="46" t="s">
        <v>17988</v>
      </c>
      <c r="C7032">
        <v>16</v>
      </c>
      <c r="D7032">
        <v>83</v>
      </c>
    </row>
    <row r="7033" spans="1:4" x14ac:dyDescent="0.25">
      <c r="A7033" s="45" t="s">
        <v>7060</v>
      </c>
      <c r="B7033" s="46" t="s">
        <v>17989</v>
      </c>
      <c r="C7033">
        <v>16</v>
      </c>
      <c r="D7033">
        <v>83</v>
      </c>
    </row>
    <row r="7034" spans="1:4" x14ac:dyDescent="0.25">
      <c r="A7034" s="45" t="s">
        <v>7061</v>
      </c>
      <c r="B7034" s="46" t="s">
        <v>17990</v>
      </c>
      <c r="C7034">
        <v>16</v>
      </c>
      <c r="D7034">
        <v>83</v>
      </c>
    </row>
    <row r="7035" spans="1:4" x14ac:dyDescent="0.25">
      <c r="A7035" s="45" t="s">
        <v>7062</v>
      </c>
      <c r="B7035" s="46" t="s">
        <v>17991</v>
      </c>
      <c r="C7035">
        <v>16</v>
      </c>
      <c r="D7035">
        <v>85</v>
      </c>
    </row>
    <row r="7036" spans="1:4" x14ac:dyDescent="0.25">
      <c r="A7036" s="45" t="s">
        <v>7063</v>
      </c>
      <c r="B7036" s="46" t="s">
        <v>17992</v>
      </c>
      <c r="C7036">
        <v>16</v>
      </c>
      <c r="D7036">
        <v>83</v>
      </c>
    </row>
    <row r="7037" spans="1:4" x14ac:dyDescent="0.25">
      <c r="A7037" s="45" t="s">
        <v>7064</v>
      </c>
      <c r="B7037" s="46" t="s">
        <v>17993</v>
      </c>
      <c r="C7037">
        <v>16</v>
      </c>
      <c r="D7037">
        <v>83</v>
      </c>
    </row>
    <row r="7038" spans="1:4" x14ac:dyDescent="0.25">
      <c r="A7038" s="45" t="s">
        <v>7065</v>
      </c>
      <c r="B7038" s="46" t="s">
        <v>17994</v>
      </c>
      <c r="C7038">
        <v>16</v>
      </c>
      <c r="D7038">
        <v>83</v>
      </c>
    </row>
    <row r="7039" spans="1:4" x14ac:dyDescent="0.25">
      <c r="A7039" s="45" t="s">
        <v>7066</v>
      </c>
      <c r="B7039" s="46" t="s">
        <v>17995</v>
      </c>
      <c r="C7039">
        <v>16</v>
      </c>
      <c r="D7039">
        <v>83</v>
      </c>
    </row>
    <row r="7040" spans="1:4" x14ac:dyDescent="0.25">
      <c r="A7040" s="45" t="s">
        <v>7067</v>
      </c>
      <c r="B7040" s="46" t="s">
        <v>17996</v>
      </c>
      <c r="C7040">
        <v>16</v>
      </c>
      <c r="D7040">
        <v>83</v>
      </c>
    </row>
    <row r="7041" spans="1:4" x14ac:dyDescent="0.25">
      <c r="A7041" s="45" t="s">
        <v>7068</v>
      </c>
      <c r="B7041" s="46" t="s">
        <v>17997</v>
      </c>
      <c r="C7041">
        <v>16</v>
      </c>
      <c r="D7041">
        <v>83</v>
      </c>
    </row>
    <row r="7042" spans="1:4" x14ac:dyDescent="0.25">
      <c r="A7042" s="45" t="s">
        <v>7069</v>
      </c>
      <c r="B7042" s="46" t="s">
        <v>17998</v>
      </c>
      <c r="C7042">
        <v>16</v>
      </c>
      <c r="D7042">
        <v>83</v>
      </c>
    </row>
    <row r="7043" spans="1:4" x14ac:dyDescent="0.25">
      <c r="A7043" s="45" t="s">
        <v>7070</v>
      </c>
      <c r="B7043" s="46" t="s">
        <v>20822</v>
      </c>
      <c r="C7043">
        <v>7</v>
      </c>
      <c r="D7043">
        <v>48</v>
      </c>
    </row>
    <row r="7044" spans="1:4" x14ac:dyDescent="0.25">
      <c r="A7044" s="45" t="s">
        <v>7071</v>
      </c>
      <c r="B7044" s="46" t="s">
        <v>17999</v>
      </c>
      <c r="C7044">
        <v>16</v>
      </c>
      <c r="D7044">
        <v>83</v>
      </c>
    </row>
    <row r="7045" spans="1:4" x14ac:dyDescent="0.25">
      <c r="A7045" s="45" t="s">
        <v>7072</v>
      </c>
      <c r="B7045" s="46" t="s">
        <v>18000</v>
      </c>
      <c r="C7045">
        <v>16</v>
      </c>
      <c r="D7045">
        <v>83</v>
      </c>
    </row>
    <row r="7046" spans="1:4" x14ac:dyDescent="0.25">
      <c r="A7046" s="45" t="s">
        <v>7073</v>
      </c>
      <c r="B7046" s="46" t="s">
        <v>18001</v>
      </c>
      <c r="C7046">
        <v>16</v>
      </c>
      <c r="D7046">
        <v>83</v>
      </c>
    </row>
    <row r="7047" spans="1:4" x14ac:dyDescent="0.25">
      <c r="A7047" s="45" t="s">
        <v>7074</v>
      </c>
      <c r="B7047" s="46" t="s">
        <v>18002</v>
      </c>
      <c r="C7047">
        <v>16</v>
      </c>
      <c r="D7047">
        <v>83</v>
      </c>
    </row>
    <row r="7048" spans="1:4" x14ac:dyDescent="0.25">
      <c r="A7048" s="45" t="s">
        <v>7075</v>
      </c>
      <c r="B7048" s="46" t="s">
        <v>18003</v>
      </c>
      <c r="C7048">
        <v>16</v>
      </c>
      <c r="D7048">
        <v>83</v>
      </c>
    </row>
    <row r="7049" spans="1:4" x14ac:dyDescent="0.25">
      <c r="A7049" s="45" t="s">
        <v>7076</v>
      </c>
      <c r="B7049" s="46" t="s">
        <v>18004</v>
      </c>
      <c r="C7049">
        <v>3</v>
      </c>
      <c r="D7049">
        <v>28</v>
      </c>
    </row>
    <row r="7050" spans="1:4" x14ac:dyDescent="0.25">
      <c r="A7050" s="45" t="s">
        <v>7077</v>
      </c>
      <c r="B7050" s="46" t="s">
        <v>18005</v>
      </c>
      <c r="C7050">
        <v>16</v>
      </c>
      <c r="D7050">
        <v>83</v>
      </c>
    </row>
    <row r="7051" spans="1:4" x14ac:dyDescent="0.25">
      <c r="A7051" s="45" t="s">
        <v>7078</v>
      </c>
      <c r="B7051" s="46" t="s">
        <v>18006</v>
      </c>
      <c r="C7051">
        <v>16</v>
      </c>
      <c r="D7051">
        <v>83</v>
      </c>
    </row>
    <row r="7052" spans="1:4" x14ac:dyDescent="0.25">
      <c r="A7052" s="45" t="s">
        <v>7079</v>
      </c>
      <c r="B7052" s="46" t="s">
        <v>18007</v>
      </c>
      <c r="C7052">
        <v>16</v>
      </c>
      <c r="D7052">
        <v>83</v>
      </c>
    </row>
    <row r="7053" spans="1:4" x14ac:dyDescent="0.25">
      <c r="A7053" s="45" t="s">
        <v>7080</v>
      </c>
      <c r="B7053" s="46" t="s">
        <v>18008</v>
      </c>
      <c r="C7053">
        <v>16</v>
      </c>
      <c r="D7053">
        <v>83</v>
      </c>
    </row>
    <row r="7054" spans="1:4" x14ac:dyDescent="0.25">
      <c r="A7054" s="45" t="s">
        <v>7081</v>
      </c>
      <c r="B7054" s="46" t="s">
        <v>20823</v>
      </c>
      <c r="C7054">
        <v>3</v>
      </c>
      <c r="D7054">
        <v>26</v>
      </c>
    </row>
    <row r="7055" spans="1:4" x14ac:dyDescent="0.25">
      <c r="A7055" s="45" t="s">
        <v>7082</v>
      </c>
      <c r="B7055" s="46" t="s">
        <v>18009</v>
      </c>
      <c r="C7055">
        <v>16</v>
      </c>
      <c r="D7055">
        <v>83</v>
      </c>
    </row>
    <row r="7056" spans="1:4" x14ac:dyDescent="0.25">
      <c r="A7056" s="45" t="s">
        <v>7083</v>
      </c>
      <c r="B7056" s="46" t="s">
        <v>20824</v>
      </c>
      <c r="C7056">
        <v>16</v>
      </c>
      <c r="D7056">
        <v>83</v>
      </c>
    </row>
    <row r="7057" spans="1:4" x14ac:dyDescent="0.25">
      <c r="A7057" s="45" t="s">
        <v>7084</v>
      </c>
      <c r="B7057" s="46" t="s">
        <v>18010</v>
      </c>
      <c r="C7057">
        <v>16</v>
      </c>
      <c r="D7057">
        <v>83</v>
      </c>
    </row>
    <row r="7058" spans="1:4" x14ac:dyDescent="0.25">
      <c r="A7058" s="45" t="s">
        <v>7085</v>
      </c>
      <c r="B7058" s="46" t="s">
        <v>18011</v>
      </c>
      <c r="C7058">
        <v>16</v>
      </c>
      <c r="D7058">
        <v>83</v>
      </c>
    </row>
    <row r="7059" spans="1:4" x14ac:dyDescent="0.25">
      <c r="A7059" s="45" t="s">
        <v>7086</v>
      </c>
      <c r="B7059" s="46" t="s">
        <v>18012</v>
      </c>
      <c r="C7059">
        <v>16</v>
      </c>
      <c r="D7059">
        <v>83</v>
      </c>
    </row>
    <row r="7060" spans="1:4" x14ac:dyDescent="0.25">
      <c r="A7060" s="45" t="s">
        <v>7087</v>
      </c>
      <c r="B7060" s="46" t="s">
        <v>18013</v>
      </c>
      <c r="C7060">
        <v>16</v>
      </c>
      <c r="D7060">
        <v>83</v>
      </c>
    </row>
    <row r="7061" spans="1:4" x14ac:dyDescent="0.25">
      <c r="A7061" s="45" t="s">
        <v>7088</v>
      </c>
      <c r="B7061" s="46" t="s">
        <v>18014</v>
      </c>
      <c r="C7061">
        <v>16</v>
      </c>
      <c r="D7061">
        <v>83</v>
      </c>
    </row>
    <row r="7062" spans="1:4" x14ac:dyDescent="0.25">
      <c r="A7062" s="45" t="s">
        <v>7089</v>
      </c>
      <c r="B7062" s="46" t="s">
        <v>18015</v>
      </c>
      <c r="C7062">
        <v>16</v>
      </c>
      <c r="D7062">
        <v>83</v>
      </c>
    </row>
    <row r="7063" spans="1:4" x14ac:dyDescent="0.25">
      <c r="A7063" s="45" t="s">
        <v>7090</v>
      </c>
      <c r="B7063" s="46" t="s">
        <v>20825</v>
      </c>
      <c r="C7063">
        <v>3</v>
      </c>
      <c r="D7063">
        <v>27</v>
      </c>
    </row>
    <row r="7064" spans="1:4" x14ac:dyDescent="0.25">
      <c r="A7064" s="45" t="s">
        <v>7091</v>
      </c>
      <c r="B7064" s="46" t="s">
        <v>18016</v>
      </c>
      <c r="C7064">
        <v>16</v>
      </c>
      <c r="D7064">
        <v>83</v>
      </c>
    </row>
    <row r="7065" spans="1:4" x14ac:dyDescent="0.25">
      <c r="A7065" s="45" t="s">
        <v>7092</v>
      </c>
      <c r="B7065" s="46" t="s">
        <v>18017</v>
      </c>
      <c r="C7065">
        <v>16</v>
      </c>
      <c r="D7065">
        <v>85</v>
      </c>
    </row>
    <row r="7066" spans="1:4" x14ac:dyDescent="0.25">
      <c r="A7066" s="45" t="s">
        <v>7093</v>
      </c>
      <c r="B7066" s="46" t="s">
        <v>18018</v>
      </c>
      <c r="C7066">
        <v>9</v>
      </c>
      <c r="D7066">
        <v>55</v>
      </c>
    </row>
    <row r="7067" spans="1:4" x14ac:dyDescent="0.25">
      <c r="A7067" s="45" t="s">
        <v>7094</v>
      </c>
      <c r="B7067" s="46" t="s">
        <v>18019</v>
      </c>
      <c r="C7067">
        <v>12</v>
      </c>
      <c r="D7067">
        <v>76</v>
      </c>
    </row>
    <row r="7068" spans="1:4" x14ac:dyDescent="0.25">
      <c r="A7068" s="45" t="s">
        <v>7095</v>
      </c>
      <c r="B7068" s="46" t="s">
        <v>18020</v>
      </c>
      <c r="C7068">
        <v>16</v>
      </c>
      <c r="D7068">
        <v>83</v>
      </c>
    </row>
    <row r="7069" spans="1:4" x14ac:dyDescent="0.25">
      <c r="A7069" s="45" t="s">
        <v>7096</v>
      </c>
      <c r="B7069" s="46" t="s">
        <v>18021</v>
      </c>
      <c r="C7069">
        <v>16</v>
      </c>
      <c r="D7069">
        <v>85</v>
      </c>
    </row>
    <row r="7070" spans="1:4" x14ac:dyDescent="0.25">
      <c r="A7070" s="45" t="s">
        <v>7097</v>
      </c>
      <c r="B7070" s="46" t="s">
        <v>18022</v>
      </c>
      <c r="C7070">
        <v>16</v>
      </c>
      <c r="D7070">
        <v>84</v>
      </c>
    </row>
    <row r="7071" spans="1:4" x14ac:dyDescent="0.25">
      <c r="A7071" s="45" t="s">
        <v>7098</v>
      </c>
      <c r="B7071" s="46" t="s">
        <v>18023</v>
      </c>
      <c r="C7071">
        <v>16</v>
      </c>
      <c r="D7071">
        <v>84</v>
      </c>
    </row>
    <row r="7072" spans="1:4" x14ac:dyDescent="0.25">
      <c r="A7072" s="45" t="s">
        <v>7099</v>
      </c>
      <c r="B7072" s="46" t="s">
        <v>18024</v>
      </c>
      <c r="C7072">
        <v>16</v>
      </c>
      <c r="D7072">
        <v>84</v>
      </c>
    </row>
    <row r="7073" spans="1:4" x14ac:dyDescent="0.25">
      <c r="A7073" s="45" t="s">
        <v>7100</v>
      </c>
      <c r="B7073" s="46" t="s">
        <v>18025</v>
      </c>
      <c r="C7073">
        <v>4</v>
      </c>
      <c r="D7073">
        <v>29</v>
      </c>
    </row>
    <row r="7074" spans="1:4" x14ac:dyDescent="0.25">
      <c r="A7074" s="45" t="s">
        <v>7101</v>
      </c>
      <c r="B7074" s="46" t="s">
        <v>18026</v>
      </c>
      <c r="C7074">
        <v>16</v>
      </c>
      <c r="D7074">
        <v>84</v>
      </c>
    </row>
    <row r="7075" spans="1:4" x14ac:dyDescent="0.25">
      <c r="A7075" s="45" t="s">
        <v>7102</v>
      </c>
      <c r="B7075" s="46" t="s">
        <v>18027</v>
      </c>
      <c r="C7075">
        <v>16</v>
      </c>
      <c r="D7075">
        <v>84</v>
      </c>
    </row>
    <row r="7076" spans="1:4" x14ac:dyDescent="0.25">
      <c r="A7076" s="45" t="s">
        <v>7103</v>
      </c>
      <c r="B7076" s="46" t="s">
        <v>18028</v>
      </c>
      <c r="C7076">
        <v>16</v>
      </c>
      <c r="D7076">
        <v>84</v>
      </c>
    </row>
    <row r="7077" spans="1:4" x14ac:dyDescent="0.25">
      <c r="A7077" s="45" t="s">
        <v>7104</v>
      </c>
      <c r="B7077" s="46" t="s">
        <v>20826</v>
      </c>
      <c r="C7077">
        <v>16</v>
      </c>
      <c r="D7077">
        <v>84</v>
      </c>
    </row>
    <row r="7078" spans="1:4" x14ac:dyDescent="0.25">
      <c r="A7078" s="45" t="s">
        <v>7105</v>
      </c>
      <c r="B7078" s="46" t="s">
        <v>18029</v>
      </c>
      <c r="C7078">
        <v>16</v>
      </c>
      <c r="D7078">
        <v>84</v>
      </c>
    </row>
    <row r="7079" spans="1:4" x14ac:dyDescent="0.25">
      <c r="A7079" s="45" t="s">
        <v>7106</v>
      </c>
      <c r="B7079" s="46" t="s">
        <v>18030</v>
      </c>
      <c r="C7079">
        <v>16</v>
      </c>
      <c r="D7079">
        <v>84</v>
      </c>
    </row>
    <row r="7080" spans="1:4" x14ac:dyDescent="0.25">
      <c r="A7080" s="45" t="s">
        <v>7107</v>
      </c>
      <c r="B7080" s="46" t="s">
        <v>20827</v>
      </c>
      <c r="C7080">
        <v>16</v>
      </c>
      <c r="D7080">
        <v>84</v>
      </c>
    </row>
    <row r="7081" spans="1:4" x14ac:dyDescent="0.25">
      <c r="A7081" s="45" t="s">
        <v>7108</v>
      </c>
      <c r="B7081" s="46" t="s">
        <v>18031</v>
      </c>
      <c r="C7081">
        <v>16</v>
      </c>
      <c r="D7081">
        <v>84</v>
      </c>
    </row>
    <row r="7082" spans="1:4" x14ac:dyDescent="0.25">
      <c r="A7082" s="45" t="s">
        <v>7109</v>
      </c>
      <c r="B7082" s="46" t="s">
        <v>18032</v>
      </c>
      <c r="C7082">
        <v>16</v>
      </c>
      <c r="D7082">
        <v>84</v>
      </c>
    </row>
    <row r="7083" spans="1:4" x14ac:dyDescent="0.25">
      <c r="A7083" s="45" t="s">
        <v>7110</v>
      </c>
      <c r="B7083" s="46" t="s">
        <v>18033</v>
      </c>
      <c r="C7083">
        <v>16</v>
      </c>
      <c r="D7083">
        <v>84</v>
      </c>
    </row>
    <row r="7084" spans="1:4" x14ac:dyDescent="0.25">
      <c r="A7084" s="45" t="s">
        <v>7111</v>
      </c>
      <c r="B7084" s="46" t="s">
        <v>18034</v>
      </c>
      <c r="C7084">
        <v>16</v>
      </c>
      <c r="D7084">
        <v>84</v>
      </c>
    </row>
    <row r="7085" spans="1:4" x14ac:dyDescent="0.25">
      <c r="A7085" s="45" t="s">
        <v>7112</v>
      </c>
      <c r="B7085" s="46" t="s">
        <v>20828</v>
      </c>
      <c r="C7085">
        <v>16</v>
      </c>
      <c r="D7085">
        <v>84</v>
      </c>
    </row>
    <row r="7086" spans="1:4" x14ac:dyDescent="0.25">
      <c r="A7086" s="45" t="s">
        <v>7113</v>
      </c>
      <c r="B7086" s="46" t="s">
        <v>18035</v>
      </c>
      <c r="C7086">
        <v>3</v>
      </c>
      <c r="D7086">
        <v>28</v>
      </c>
    </row>
    <row r="7087" spans="1:4" x14ac:dyDescent="0.25">
      <c r="A7087" s="45" t="s">
        <v>7114</v>
      </c>
      <c r="B7087" s="46" t="s">
        <v>18036</v>
      </c>
      <c r="C7087">
        <v>16</v>
      </c>
      <c r="D7087">
        <v>84</v>
      </c>
    </row>
    <row r="7088" spans="1:4" x14ac:dyDescent="0.25">
      <c r="A7088" s="45" t="s">
        <v>7115</v>
      </c>
      <c r="B7088" s="46" t="s">
        <v>18037</v>
      </c>
      <c r="C7088">
        <v>16</v>
      </c>
      <c r="D7088">
        <v>84</v>
      </c>
    </row>
    <row r="7089" spans="1:4" x14ac:dyDescent="0.25">
      <c r="A7089" s="45" t="s">
        <v>7116</v>
      </c>
      <c r="B7089" s="46" t="s">
        <v>18038</v>
      </c>
      <c r="C7089">
        <v>16</v>
      </c>
      <c r="D7089">
        <v>84</v>
      </c>
    </row>
    <row r="7090" spans="1:4" x14ac:dyDescent="0.25">
      <c r="A7090" s="45" t="s">
        <v>7117</v>
      </c>
      <c r="B7090" s="46" t="s">
        <v>18039</v>
      </c>
      <c r="C7090">
        <v>16</v>
      </c>
      <c r="D7090">
        <v>84</v>
      </c>
    </row>
    <row r="7091" spans="1:4" x14ac:dyDescent="0.25">
      <c r="A7091" s="45" t="s">
        <v>7118</v>
      </c>
      <c r="B7091" s="46" t="s">
        <v>18040</v>
      </c>
      <c r="C7091">
        <v>16</v>
      </c>
      <c r="D7091">
        <v>84</v>
      </c>
    </row>
    <row r="7092" spans="1:4" x14ac:dyDescent="0.25">
      <c r="A7092" s="45" t="s">
        <v>7119</v>
      </c>
      <c r="B7092" s="46" t="s">
        <v>18041</v>
      </c>
      <c r="C7092">
        <v>16</v>
      </c>
      <c r="D7092">
        <v>84</v>
      </c>
    </row>
    <row r="7093" spans="1:4" x14ac:dyDescent="0.25">
      <c r="A7093" s="45" t="s">
        <v>7120</v>
      </c>
      <c r="B7093" s="46" t="s">
        <v>18042</v>
      </c>
      <c r="C7093">
        <v>16</v>
      </c>
      <c r="D7093">
        <v>84</v>
      </c>
    </row>
    <row r="7094" spans="1:4" x14ac:dyDescent="0.25">
      <c r="A7094" s="45" t="s">
        <v>7121</v>
      </c>
      <c r="B7094" s="46" t="s">
        <v>18043</v>
      </c>
      <c r="C7094">
        <v>16</v>
      </c>
      <c r="D7094">
        <v>84</v>
      </c>
    </row>
    <row r="7095" spans="1:4" x14ac:dyDescent="0.25">
      <c r="A7095" s="45" t="s">
        <v>7122</v>
      </c>
      <c r="B7095" s="46" t="s">
        <v>18044</v>
      </c>
      <c r="C7095">
        <v>16</v>
      </c>
      <c r="D7095">
        <v>84</v>
      </c>
    </row>
    <row r="7096" spans="1:4" x14ac:dyDescent="0.25">
      <c r="A7096" s="45" t="s">
        <v>7123</v>
      </c>
      <c r="B7096" s="46" t="s">
        <v>18045</v>
      </c>
      <c r="C7096">
        <v>16</v>
      </c>
      <c r="D7096">
        <v>84</v>
      </c>
    </row>
    <row r="7097" spans="1:4" x14ac:dyDescent="0.25">
      <c r="A7097" s="45" t="s">
        <v>7124</v>
      </c>
      <c r="B7097" s="46" t="s">
        <v>18046</v>
      </c>
      <c r="C7097">
        <v>16</v>
      </c>
      <c r="D7097">
        <v>84</v>
      </c>
    </row>
    <row r="7098" spans="1:4" x14ac:dyDescent="0.25">
      <c r="A7098" s="45" t="s">
        <v>7125</v>
      </c>
      <c r="B7098" s="46" t="s">
        <v>18047</v>
      </c>
      <c r="C7098">
        <v>16</v>
      </c>
      <c r="D7098">
        <v>84</v>
      </c>
    </row>
    <row r="7099" spans="1:4" x14ac:dyDescent="0.25">
      <c r="A7099" s="45" t="s">
        <v>7126</v>
      </c>
      <c r="B7099" s="46" t="s">
        <v>20829</v>
      </c>
      <c r="C7099">
        <v>16</v>
      </c>
      <c r="D7099">
        <v>84</v>
      </c>
    </row>
    <row r="7100" spans="1:4" x14ac:dyDescent="0.25">
      <c r="A7100" s="45" t="s">
        <v>7127</v>
      </c>
      <c r="B7100" s="46" t="s">
        <v>20830</v>
      </c>
      <c r="C7100">
        <v>16</v>
      </c>
      <c r="D7100">
        <v>84</v>
      </c>
    </row>
    <row r="7101" spans="1:4" x14ac:dyDescent="0.25">
      <c r="A7101" s="45" t="s">
        <v>7128</v>
      </c>
      <c r="B7101" s="46" t="s">
        <v>18048</v>
      </c>
      <c r="C7101">
        <v>3</v>
      </c>
      <c r="D7101">
        <v>28</v>
      </c>
    </row>
    <row r="7102" spans="1:4" x14ac:dyDescent="0.25">
      <c r="A7102" s="45" t="s">
        <v>7129</v>
      </c>
      <c r="B7102" s="46" t="s">
        <v>18049</v>
      </c>
      <c r="C7102">
        <v>16</v>
      </c>
      <c r="D7102">
        <v>84</v>
      </c>
    </row>
    <row r="7103" spans="1:4" x14ac:dyDescent="0.25">
      <c r="A7103" s="45" t="s">
        <v>7130</v>
      </c>
      <c r="B7103" s="46" t="s">
        <v>18050</v>
      </c>
      <c r="C7103">
        <v>16</v>
      </c>
      <c r="D7103">
        <v>84</v>
      </c>
    </row>
    <row r="7104" spans="1:4" x14ac:dyDescent="0.25">
      <c r="A7104" s="45" t="s">
        <v>7131</v>
      </c>
      <c r="B7104" s="46" t="s">
        <v>18051</v>
      </c>
      <c r="C7104">
        <v>16</v>
      </c>
      <c r="D7104">
        <v>84</v>
      </c>
    </row>
    <row r="7105" spans="1:4" x14ac:dyDescent="0.25">
      <c r="A7105" s="45" t="s">
        <v>7132</v>
      </c>
      <c r="B7105" s="46" t="s">
        <v>18052</v>
      </c>
      <c r="C7105">
        <v>16</v>
      </c>
      <c r="D7105">
        <v>84</v>
      </c>
    </row>
    <row r="7106" spans="1:4" x14ac:dyDescent="0.25">
      <c r="A7106" s="45" t="s">
        <v>7133</v>
      </c>
      <c r="B7106" s="46" t="s">
        <v>18053</v>
      </c>
      <c r="C7106">
        <v>16</v>
      </c>
      <c r="D7106">
        <v>84</v>
      </c>
    </row>
    <row r="7107" spans="1:4" x14ac:dyDescent="0.25">
      <c r="A7107" s="45" t="s">
        <v>7134</v>
      </c>
      <c r="B7107" s="46" t="s">
        <v>18054</v>
      </c>
      <c r="C7107">
        <v>16</v>
      </c>
      <c r="D7107">
        <v>84</v>
      </c>
    </row>
    <row r="7108" spans="1:4" x14ac:dyDescent="0.25">
      <c r="A7108" s="45" t="s">
        <v>7135</v>
      </c>
      <c r="B7108" s="46" t="s">
        <v>18055</v>
      </c>
      <c r="C7108">
        <v>16</v>
      </c>
      <c r="D7108">
        <v>84</v>
      </c>
    </row>
    <row r="7109" spans="1:4" x14ac:dyDescent="0.25">
      <c r="A7109" s="45" t="s">
        <v>7136</v>
      </c>
      <c r="B7109" s="46" t="s">
        <v>18056</v>
      </c>
      <c r="C7109">
        <v>16</v>
      </c>
      <c r="D7109">
        <v>84</v>
      </c>
    </row>
    <row r="7110" spans="1:4" x14ac:dyDescent="0.25">
      <c r="A7110" s="45" t="s">
        <v>7137</v>
      </c>
      <c r="B7110" s="46" t="s">
        <v>18057</v>
      </c>
      <c r="C7110">
        <v>16</v>
      </c>
      <c r="D7110">
        <v>84</v>
      </c>
    </row>
    <row r="7111" spans="1:4" x14ac:dyDescent="0.25">
      <c r="A7111" s="45" t="s">
        <v>7138</v>
      </c>
      <c r="B7111" s="46" t="s">
        <v>20831</v>
      </c>
      <c r="C7111">
        <v>16</v>
      </c>
      <c r="D7111">
        <v>84</v>
      </c>
    </row>
    <row r="7112" spans="1:4" x14ac:dyDescent="0.25">
      <c r="A7112" s="45" t="s">
        <v>7139</v>
      </c>
      <c r="B7112" s="46" t="s">
        <v>20832</v>
      </c>
      <c r="C7112">
        <v>16</v>
      </c>
      <c r="D7112">
        <v>84</v>
      </c>
    </row>
    <row r="7113" spans="1:4" x14ac:dyDescent="0.25">
      <c r="A7113" s="45" t="s">
        <v>7140</v>
      </c>
      <c r="B7113" s="46" t="s">
        <v>18058</v>
      </c>
      <c r="C7113">
        <v>16</v>
      </c>
      <c r="D7113">
        <v>84</v>
      </c>
    </row>
    <row r="7114" spans="1:4" x14ac:dyDescent="0.25">
      <c r="A7114" s="45" t="s">
        <v>7141</v>
      </c>
      <c r="B7114" s="46" t="s">
        <v>18059</v>
      </c>
      <c r="C7114">
        <v>16</v>
      </c>
      <c r="D7114">
        <v>84</v>
      </c>
    </row>
    <row r="7115" spans="1:4" x14ac:dyDescent="0.25">
      <c r="A7115" s="45" t="s">
        <v>7142</v>
      </c>
      <c r="B7115" s="46" t="s">
        <v>18060</v>
      </c>
      <c r="C7115">
        <v>16</v>
      </c>
      <c r="D7115">
        <v>84</v>
      </c>
    </row>
    <row r="7116" spans="1:4" x14ac:dyDescent="0.25">
      <c r="A7116" s="45" t="s">
        <v>7143</v>
      </c>
      <c r="B7116" s="46" t="s">
        <v>20833</v>
      </c>
      <c r="C7116">
        <v>16</v>
      </c>
      <c r="D7116">
        <v>84</v>
      </c>
    </row>
    <row r="7117" spans="1:4" x14ac:dyDescent="0.25">
      <c r="A7117" s="45" t="s">
        <v>7144</v>
      </c>
      <c r="B7117" s="46" t="s">
        <v>20834</v>
      </c>
      <c r="C7117">
        <v>16</v>
      </c>
      <c r="D7117">
        <v>84</v>
      </c>
    </row>
    <row r="7118" spans="1:4" x14ac:dyDescent="0.25">
      <c r="A7118" s="45" t="s">
        <v>7145</v>
      </c>
      <c r="B7118" s="46" t="s">
        <v>20835</v>
      </c>
      <c r="C7118">
        <v>16</v>
      </c>
      <c r="D7118">
        <v>84</v>
      </c>
    </row>
    <row r="7119" spans="1:4" x14ac:dyDescent="0.25">
      <c r="A7119" s="45" t="s">
        <v>7146</v>
      </c>
      <c r="B7119" s="46" t="s">
        <v>20836</v>
      </c>
      <c r="C7119">
        <v>16</v>
      </c>
      <c r="D7119">
        <v>84</v>
      </c>
    </row>
    <row r="7120" spans="1:4" x14ac:dyDescent="0.25">
      <c r="A7120" s="45" t="s">
        <v>7147</v>
      </c>
      <c r="B7120" s="46" t="s">
        <v>20837</v>
      </c>
      <c r="C7120">
        <v>16</v>
      </c>
      <c r="D7120">
        <v>84</v>
      </c>
    </row>
    <row r="7121" spans="1:4" x14ac:dyDescent="0.25">
      <c r="A7121" s="45" t="s">
        <v>7148</v>
      </c>
      <c r="B7121" s="46" t="s">
        <v>20838</v>
      </c>
      <c r="C7121">
        <v>16</v>
      </c>
      <c r="D7121">
        <v>84</v>
      </c>
    </row>
    <row r="7122" spans="1:4" x14ac:dyDescent="0.25">
      <c r="A7122" s="45" t="s">
        <v>7149</v>
      </c>
      <c r="B7122" s="46" t="s">
        <v>20839</v>
      </c>
      <c r="C7122">
        <v>16</v>
      </c>
      <c r="D7122">
        <v>84</v>
      </c>
    </row>
    <row r="7123" spans="1:4" x14ac:dyDescent="0.25">
      <c r="A7123" s="45" t="s">
        <v>7150</v>
      </c>
      <c r="B7123" s="46" t="s">
        <v>20840</v>
      </c>
      <c r="C7123">
        <v>16</v>
      </c>
      <c r="D7123">
        <v>84</v>
      </c>
    </row>
    <row r="7124" spans="1:4" x14ac:dyDescent="0.25">
      <c r="A7124" s="45" t="s">
        <v>7151</v>
      </c>
      <c r="B7124" s="46" t="s">
        <v>20841</v>
      </c>
      <c r="C7124">
        <v>16</v>
      </c>
      <c r="D7124">
        <v>84</v>
      </c>
    </row>
    <row r="7125" spans="1:4" x14ac:dyDescent="0.25">
      <c r="A7125" s="45" t="s">
        <v>7152</v>
      </c>
      <c r="B7125" s="46" t="s">
        <v>20842</v>
      </c>
      <c r="C7125">
        <v>16</v>
      </c>
      <c r="D7125">
        <v>84</v>
      </c>
    </row>
    <row r="7126" spans="1:4" x14ac:dyDescent="0.25">
      <c r="A7126" s="45" t="s">
        <v>7153</v>
      </c>
      <c r="B7126" s="46" t="s">
        <v>20843</v>
      </c>
      <c r="C7126">
        <v>16</v>
      </c>
      <c r="D7126">
        <v>84</v>
      </c>
    </row>
    <row r="7127" spans="1:4" x14ac:dyDescent="0.25">
      <c r="A7127" s="45" t="s">
        <v>7154</v>
      </c>
      <c r="B7127" s="46" t="s">
        <v>20844</v>
      </c>
      <c r="C7127">
        <v>16</v>
      </c>
      <c r="D7127">
        <v>84</v>
      </c>
    </row>
    <row r="7128" spans="1:4" x14ac:dyDescent="0.25">
      <c r="A7128" s="45" t="s">
        <v>7155</v>
      </c>
      <c r="B7128" s="46" t="s">
        <v>20845</v>
      </c>
      <c r="C7128">
        <v>16</v>
      </c>
      <c r="D7128">
        <v>84</v>
      </c>
    </row>
    <row r="7129" spans="1:4" x14ac:dyDescent="0.25">
      <c r="A7129" s="45" t="s">
        <v>7156</v>
      </c>
      <c r="B7129" s="46" t="s">
        <v>20846</v>
      </c>
      <c r="C7129">
        <v>16</v>
      </c>
      <c r="D7129">
        <v>84</v>
      </c>
    </row>
    <row r="7130" spans="1:4" x14ac:dyDescent="0.25">
      <c r="A7130" s="45" t="s">
        <v>7157</v>
      </c>
      <c r="B7130" s="46" t="s">
        <v>20847</v>
      </c>
      <c r="C7130">
        <v>16</v>
      </c>
      <c r="D7130">
        <v>84</v>
      </c>
    </row>
    <row r="7131" spans="1:4" x14ac:dyDescent="0.25">
      <c r="A7131" s="45" t="s">
        <v>7158</v>
      </c>
      <c r="B7131" s="46" t="s">
        <v>20848</v>
      </c>
      <c r="C7131">
        <v>16</v>
      </c>
      <c r="D7131">
        <v>84</v>
      </c>
    </row>
    <row r="7132" spans="1:4" x14ac:dyDescent="0.25">
      <c r="A7132" s="45" t="s">
        <v>7159</v>
      </c>
      <c r="B7132" s="46" t="s">
        <v>20849</v>
      </c>
      <c r="C7132">
        <v>16</v>
      </c>
      <c r="D7132">
        <v>84</v>
      </c>
    </row>
    <row r="7133" spans="1:4" x14ac:dyDescent="0.25">
      <c r="A7133" s="45" t="s">
        <v>7160</v>
      </c>
      <c r="B7133" s="46" t="s">
        <v>20850</v>
      </c>
      <c r="C7133">
        <v>16</v>
      </c>
      <c r="D7133">
        <v>84</v>
      </c>
    </row>
    <row r="7134" spans="1:4" x14ac:dyDescent="0.25">
      <c r="A7134" s="45" t="s">
        <v>7161</v>
      </c>
      <c r="B7134" s="46" t="s">
        <v>20851</v>
      </c>
      <c r="C7134">
        <v>16</v>
      </c>
      <c r="D7134">
        <v>84</v>
      </c>
    </row>
    <row r="7135" spans="1:4" x14ac:dyDescent="0.25">
      <c r="A7135" s="45" t="s">
        <v>7162</v>
      </c>
      <c r="B7135" s="46" t="s">
        <v>20852</v>
      </c>
      <c r="C7135">
        <v>16</v>
      </c>
      <c r="D7135">
        <v>84</v>
      </c>
    </row>
    <row r="7136" spans="1:4" x14ac:dyDescent="0.25">
      <c r="A7136" s="45" t="s">
        <v>7163</v>
      </c>
      <c r="B7136" s="46" t="s">
        <v>20853</v>
      </c>
      <c r="C7136">
        <v>16</v>
      </c>
      <c r="D7136">
        <v>84</v>
      </c>
    </row>
    <row r="7137" spans="1:4" x14ac:dyDescent="0.25">
      <c r="A7137" s="45" t="s">
        <v>7164</v>
      </c>
      <c r="B7137" s="46" t="s">
        <v>20854</v>
      </c>
      <c r="C7137">
        <v>16</v>
      </c>
      <c r="D7137">
        <v>84</v>
      </c>
    </row>
    <row r="7138" spans="1:4" x14ac:dyDescent="0.25">
      <c r="A7138" s="45" t="s">
        <v>7165</v>
      </c>
      <c r="B7138" s="46" t="s">
        <v>20855</v>
      </c>
      <c r="C7138">
        <v>16</v>
      </c>
      <c r="D7138">
        <v>84</v>
      </c>
    </row>
    <row r="7139" spans="1:4" x14ac:dyDescent="0.25">
      <c r="A7139" s="45" t="s">
        <v>7166</v>
      </c>
      <c r="B7139" s="46" t="s">
        <v>20856</v>
      </c>
      <c r="C7139">
        <v>16</v>
      </c>
      <c r="D7139">
        <v>84</v>
      </c>
    </row>
    <row r="7140" spans="1:4" x14ac:dyDescent="0.25">
      <c r="A7140" s="45" t="s">
        <v>7167</v>
      </c>
      <c r="B7140" s="46" t="s">
        <v>20857</v>
      </c>
      <c r="C7140">
        <v>16</v>
      </c>
      <c r="D7140">
        <v>84</v>
      </c>
    </row>
    <row r="7141" spans="1:4" x14ac:dyDescent="0.25">
      <c r="A7141" s="45" t="s">
        <v>7168</v>
      </c>
      <c r="B7141" s="46" t="s">
        <v>20858</v>
      </c>
      <c r="C7141">
        <v>16</v>
      </c>
      <c r="D7141">
        <v>84</v>
      </c>
    </row>
    <row r="7142" spans="1:4" x14ac:dyDescent="0.25">
      <c r="A7142" s="45" t="s">
        <v>7169</v>
      </c>
      <c r="B7142" s="46" t="s">
        <v>20859</v>
      </c>
      <c r="C7142">
        <v>16</v>
      </c>
      <c r="D7142">
        <v>84</v>
      </c>
    </row>
    <row r="7143" spans="1:4" x14ac:dyDescent="0.25">
      <c r="A7143" s="45" t="s">
        <v>7170</v>
      </c>
      <c r="B7143" s="46" t="s">
        <v>20860</v>
      </c>
      <c r="C7143">
        <v>16</v>
      </c>
      <c r="D7143">
        <v>84</v>
      </c>
    </row>
    <row r="7144" spans="1:4" x14ac:dyDescent="0.25">
      <c r="A7144" s="45" t="s">
        <v>7171</v>
      </c>
      <c r="B7144" s="46" t="s">
        <v>20861</v>
      </c>
      <c r="C7144">
        <v>16</v>
      </c>
      <c r="D7144">
        <v>84</v>
      </c>
    </row>
    <row r="7145" spans="1:4" x14ac:dyDescent="0.25">
      <c r="A7145" s="45" t="s">
        <v>7172</v>
      </c>
      <c r="B7145" s="46" t="s">
        <v>20862</v>
      </c>
      <c r="C7145">
        <v>16</v>
      </c>
      <c r="D7145">
        <v>84</v>
      </c>
    </row>
    <row r="7146" spans="1:4" x14ac:dyDescent="0.25">
      <c r="A7146" s="45" t="s">
        <v>7173</v>
      </c>
      <c r="B7146" s="46" t="s">
        <v>20863</v>
      </c>
      <c r="C7146">
        <v>16</v>
      </c>
      <c r="D7146">
        <v>84</v>
      </c>
    </row>
    <row r="7147" spans="1:4" x14ac:dyDescent="0.25">
      <c r="A7147" s="45" t="s">
        <v>7174</v>
      </c>
      <c r="B7147" s="46" t="s">
        <v>20864</v>
      </c>
      <c r="C7147">
        <v>16</v>
      </c>
      <c r="D7147">
        <v>84</v>
      </c>
    </row>
    <row r="7148" spans="1:4" x14ac:dyDescent="0.25">
      <c r="A7148" s="45" t="s">
        <v>7175</v>
      </c>
      <c r="B7148" s="46" t="s">
        <v>20865</v>
      </c>
      <c r="C7148">
        <v>16</v>
      </c>
      <c r="D7148">
        <v>84</v>
      </c>
    </row>
    <row r="7149" spans="1:4" x14ac:dyDescent="0.25">
      <c r="A7149" s="45" t="s">
        <v>7176</v>
      </c>
      <c r="B7149" s="46" t="s">
        <v>20866</v>
      </c>
      <c r="C7149">
        <v>16</v>
      </c>
      <c r="D7149">
        <v>84</v>
      </c>
    </row>
    <row r="7150" spans="1:4" x14ac:dyDescent="0.25">
      <c r="A7150" s="45" t="s">
        <v>7177</v>
      </c>
      <c r="B7150" s="46" t="s">
        <v>20867</v>
      </c>
      <c r="C7150">
        <v>16</v>
      </c>
      <c r="D7150">
        <v>84</v>
      </c>
    </row>
    <row r="7151" spans="1:4" x14ac:dyDescent="0.25">
      <c r="A7151" s="45" t="s">
        <v>7178</v>
      </c>
      <c r="B7151" s="46" t="s">
        <v>20868</v>
      </c>
      <c r="C7151">
        <v>16</v>
      </c>
      <c r="D7151">
        <v>84</v>
      </c>
    </row>
    <row r="7152" spans="1:4" x14ac:dyDescent="0.25">
      <c r="A7152" s="45" t="s">
        <v>7179</v>
      </c>
      <c r="B7152" s="46" t="s">
        <v>20869</v>
      </c>
      <c r="C7152">
        <v>16</v>
      </c>
      <c r="D7152">
        <v>84</v>
      </c>
    </row>
    <row r="7153" spans="1:4" x14ac:dyDescent="0.25">
      <c r="A7153" s="45" t="s">
        <v>7180</v>
      </c>
      <c r="B7153" s="46" t="s">
        <v>20870</v>
      </c>
      <c r="C7153">
        <v>16</v>
      </c>
      <c r="D7153">
        <v>84</v>
      </c>
    </row>
    <row r="7154" spans="1:4" x14ac:dyDescent="0.25">
      <c r="A7154" s="45" t="s">
        <v>7181</v>
      </c>
      <c r="B7154" s="46" t="s">
        <v>20871</v>
      </c>
      <c r="C7154">
        <v>16</v>
      </c>
      <c r="D7154">
        <v>84</v>
      </c>
    </row>
    <row r="7155" spans="1:4" x14ac:dyDescent="0.25">
      <c r="A7155" s="45" t="s">
        <v>7182</v>
      </c>
      <c r="B7155" s="46" t="s">
        <v>20872</v>
      </c>
      <c r="C7155">
        <v>16</v>
      </c>
      <c r="D7155">
        <v>84</v>
      </c>
    </row>
    <row r="7156" spans="1:4" x14ac:dyDescent="0.25">
      <c r="A7156" s="45" t="s">
        <v>7183</v>
      </c>
      <c r="B7156" s="46" t="s">
        <v>20873</v>
      </c>
      <c r="C7156">
        <v>16</v>
      </c>
      <c r="D7156">
        <v>84</v>
      </c>
    </row>
    <row r="7157" spans="1:4" x14ac:dyDescent="0.25">
      <c r="A7157" s="45" t="s">
        <v>7184</v>
      </c>
      <c r="B7157" s="46" t="s">
        <v>20874</v>
      </c>
      <c r="C7157">
        <v>16</v>
      </c>
      <c r="D7157">
        <v>84</v>
      </c>
    </row>
    <row r="7158" spans="1:4" x14ac:dyDescent="0.25">
      <c r="A7158" s="45" t="s">
        <v>7185</v>
      </c>
      <c r="B7158" s="46" t="s">
        <v>20875</v>
      </c>
      <c r="C7158">
        <v>16</v>
      </c>
      <c r="D7158">
        <v>84</v>
      </c>
    </row>
    <row r="7159" spans="1:4" x14ac:dyDescent="0.25">
      <c r="A7159" s="45" t="s">
        <v>7186</v>
      </c>
      <c r="B7159" s="46" t="s">
        <v>20876</v>
      </c>
      <c r="C7159">
        <v>16</v>
      </c>
      <c r="D7159">
        <v>84</v>
      </c>
    </row>
    <row r="7160" spans="1:4" x14ac:dyDescent="0.25">
      <c r="A7160" s="45" t="s">
        <v>7187</v>
      </c>
      <c r="B7160" s="46" t="s">
        <v>20877</v>
      </c>
      <c r="C7160">
        <v>16</v>
      </c>
      <c r="D7160">
        <v>84</v>
      </c>
    </row>
    <row r="7161" spans="1:4" x14ac:dyDescent="0.25">
      <c r="A7161" s="45" t="s">
        <v>7188</v>
      </c>
      <c r="B7161" s="46" t="s">
        <v>20878</v>
      </c>
      <c r="C7161">
        <v>16</v>
      </c>
      <c r="D7161">
        <v>84</v>
      </c>
    </row>
    <row r="7162" spans="1:4" x14ac:dyDescent="0.25">
      <c r="A7162" s="45" t="s">
        <v>7189</v>
      </c>
      <c r="B7162" s="46" t="s">
        <v>20879</v>
      </c>
      <c r="C7162">
        <v>16</v>
      </c>
      <c r="D7162">
        <v>84</v>
      </c>
    </row>
    <row r="7163" spans="1:4" x14ac:dyDescent="0.25">
      <c r="A7163" s="45" t="s">
        <v>7190</v>
      </c>
      <c r="B7163" s="46" t="s">
        <v>20880</v>
      </c>
      <c r="C7163">
        <v>16</v>
      </c>
      <c r="D7163">
        <v>84</v>
      </c>
    </row>
    <row r="7164" spans="1:4" x14ac:dyDescent="0.25">
      <c r="A7164" s="45" t="s">
        <v>7191</v>
      </c>
      <c r="B7164" s="46" t="s">
        <v>20881</v>
      </c>
      <c r="C7164">
        <v>16</v>
      </c>
      <c r="D7164">
        <v>84</v>
      </c>
    </row>
    <row r="7165" spans="1:4" x14ac:dyDescent="0.25">
      <c r="A7165" s="45" t="s">
        <v>7192</v>
      </c>
      <c r="B7165" s="46" t="s">
        <v>20882</v>
      </c>
      <c r="C7165">
        <v>16</v>
      </c>
      <c r="D7165">
        <v>84</v>
      </c>
    </row>
    <row r="7166" spans="1:4" x14ac:dyDescent="0.25">
      <c r="A7166" s="45" t="s">
        <v>7193</v>
      </c>
      <c r="B7166" s="46" t="s">
        <v>20883</v>
      </c>
      <c r="C7166">
        <v>16</v>
      </c>
      <c r="D7166">
        <v>84</v>
      </c>
    </row>
    <row r="7167" spans="1:4" x14ac:dyDescent="0.25">
      <c r="A7167" s="45" t="s">
        <v>7194</v>
      </c>
      <c r="B7167" s="46" t="s">
        <v>20884</v>
      </c>
      <c r="C7167">
        <v>16</v>
      </c>
      <c r="D7167">
        <v>84</v>
      </c>
    </row>
    <row r="7168" spans="1:4" x14ac:dyDescent="0.25">
      <c r="A7168" s="45" t="s">
        <v>7195</v>
      </c>
      <c r="B7168" s="46" t="s">
        <v>20885</v>
      </c>
      <c r="C7168">
        <v>16</v>
      </c>
      <c r="D7168">
        <v>84</v>
      </c>
    </row>
    <row r="7169" spans="1:4" x14ac:dyDescent="0.25">
      <c r="A7169" s="45" t="s">
        <v>7196</v>
      </c>
      <c r="B7169" s="46" t="s">
        <v>20886</v>
      </c>
      <c r="C7169">
        <v>16</v>
      </c>
      <c r="D7169">
        <v>84</v>
      </c>
    </row>
    <row r="7170" spans="1:4" x14ac:dyDescent="0.25">
      <c r="A7170" s="45" t="s">
        <v>7197</v>
      </c>
      <c r="B7170" s="46" t="s">
        <v>20887</v>
      </c>
      <c r="C7170">
        <v>16</v>
      </c>
      <c r="D7170">
        <v>84</v>
      </c>
    </row>
    <row r="7171" spans="1:4" x14ac:dyDescent="0.25">
      <c r="A7171" s="45" t="s">
        <v>7198</v>
      </c>
      <c r="B7171" s="46" t="s">
        <v>20888</v>
      </c>
      <c r="C7171">
        <v>16</v>
      </c>
      <c r="D7171">
        <v>84</v>
      </c>
    </row>
    <row r="7172" spans="1:4" x14ac:dyDescent="0.25">
      <c r="A7172" s="45" t="s">
        <v>7199</v>
      </c>
      <c r="B7172" s="46" t="s">
        <v>20889</v>
      </c>
      <c r="C7172">
        <v>1</v>
      </c>
      <c r="D7172">
        <v>4</v>
      </c>
    </row>
    <row r="7173" spans="1:4" x14ac:dyDescent="0.25">
      <c r="A7173" s="45" t="s">
        <v>7200</v>
      </c>
      <c r="B7173" s="46" t="s">
        <v>20890</v>
      </c>
      <c r="C7173">
        <v>16</v>
      </c>
      <c r="D7173">
        <v>84</v>
      </c>
    </row>
    <row r="7174" spans="1:4" x14ac:dyDescent="0.25">
      <c r="A7174" s="45" t="s">
        <v>7201</v>
      </c>
      <c r="B7174" s="46" t="s">
        <v>20891</v>
      </c>
      <c r="C7174">
        <v>16</v>
      </c>
      <c r="D7174">
        <v>84</v>
      </c>
    </row>
    <row r="7175" spans="1:4" x14ac:dyDescent="0.25">
      <c r="A7175" s="45" t="s">
        <v>7202</v>
      </c>
      <c r="B7175" s="46" t="s">
        <v>20892</v>
      </c>
      <c r="C7175">
        <v>16</v>
      </c>
      <c r="D7175">
        <v>83</v>
      </c>
    </row>
    <row r="7176" spans="1:4" x14ac:dyDescent="0.25">
      <c r="A7176" s="45" t="s">
        <v>7203</v>
      </c>
      <c r="B7176" s="46" t="s">
        <v>18061</v>
      </c>
      <c r="C7176">
        <v>16</v>
      </c>
      <c r="D7176">
        <v>84</v>
      </c>
    </row>
    <row r="7177" spans="1:4" x14ac:dyDescent="0.25">
      <c r="A7177" s="45" t="s">
        <v>7204</v>
      </c>
      <c r="B7177" s="46" t="s">
        <v>20893</v>
      </c>
      <c r="C7177">
        <v>16</v>
      </c>
      <c r="D7177">
        <v>84</v>
      </c>
    </row>
    <row r="7178" spans="1:4" x14ac:dyDescent="0.25">
      <c r="A7178" s="45" t="s">
        <v>7205</v>
      </c>
      <c r="B7178" s="46" t="s">
        <v>18062</v>
      </c>
      <c r="C7178">
        <v>16</v>
      </c>
      <c r="D7178">
        <v>84</v>
      </c>
    </row>
    <row r="7179" spans="1:4" x14ac:dyDescent="0.25">
      <c r="A7179" s="45" t="s">
        <v>7206</v>
      </c>
      <c r="B7179" s="46" t="s">
        <v>18063</v>
      </c>
      <c r="C7179">
        <v>16</v>
      </c>
      <c r="D7179">
        <v>84</v>
      </c>
    </row>
    <row r="7180" spans="1:4" x14ac:dyDescent="0.25">
      <c r="A7180" s="45" t="s">
        <v>7207</v>
      </c>
      <c r="B7180" s="46" t="s">
        <v>20894</v>
      </c>
      <c r="C7180">
        <v>16</v>
      </c>
      <c r="D7180">
        <v>84</v>
      </c>
    </row>
    <row r="7181" spans="1:4" x14ac:dyDescent="0.25">
      <c r="A7181" s="45" t="s">
        <v>7208</v>
      </c>
      <c r="B7181" s="46" t="s">
        <v>20895</v>
      </c>
      <c r="C7181">
        <v>16</v>
      </c>
      <c r="D7181">
        <v>84</v>
      </c>
    </row>
    <row r="7182" spans="1:4" x14ac:dyDescent="0.25">
      <c r="A7182" s="45" t="s">
        <v>7209</v>
      </c>
      <c r="B7182" s="46" t="s">
        <v>20896</v>
      </c>
      <c r="C7182">
        <v>16</v>
      </c>
      <c r="D7182">
        <v>84</v>
      </c>
    </row>
    <row r="7183" spans="1:4" x14ac:dyDescent="0.25">
      <c r="A7183" s="45" t="s">
        <v>7210</v>
      </c>
      <c r="B7183" s="46" t="s">
        <v>20897</v>
      </c>
      <c r="C7183">
        <v>16</v>
      </c>
      <c r="D7183">
        <v>84</v>
      </c>
    </row>
    <row r="7184" spans="1:4" x14ac:dyDescent="0.25">
      <c r="A7184" s="45" t="s">
        <v>7211</v>
      </c>
      <c r="B7184" s="46" t="s">
        <v>18064</v>
      </c>
      <c r="C7184">
        <v>16</v>
      </c>
      <c r="D7184">
        <v>84</v>
      </c>
    </row>
    <row r="7185" spans="1:4" x14ac:dyDescent="0.25">
      <c r="A7185" s="45" t="s">
        <v>7212</v>
      </c>
      <c r="B7185" s="46" t="s">
        <v>20898</v>
      </c>
      <c r="C7185">
        <v>16</v>
      </c>
      <c r="D7185">
        <v>84</v>
      </c>
    </row>
    <row r="7186" spans="1:4" x14ac:dyDescent="0.25">
      <c r="A7186" s="45" t="s">
        <v>7213</v>
      </c>
      <c r="B7186" s="46" t="s">
        <v>18065</v>
      </c>
      <c r="C7186">
        <v>16</v>
      </c>
      <c r="D7186">
        <v>84</v>
      </c>
    </row>
    <row r="7187" spans="1:4" x14ac:dyDescent="0.25">
      <c r="A7187" s="45" t="s">
        <v>7214</v>
      </c>
      <c r="B7187" s="46" t="s">
        <v>20899</v>
      </c>
      <c r="C7187">
        <v>16</v>
      </c>
      <c r="D7187">
        <v>84</v>
      </c>
    </row>
    <row r="7188" spans="1:4" x14ac:dyDescent="0.25">
      <c r="A7188" s="45" t="s">
        <v>7215</v>
      </c>
      <c r="B7188" s="46" t="s">
        <v>20900</v>
      </c>
      <c r="C7188">
        <v>16</v>
      </c>
      <c r="D7188">
        <v>84</v>
      </c>
    </row>
    <row r="7189" spans="1:4" x14ac:dyDescent="0.25">
      <c r="A7189" s="45" t="s">
        <v>7216</v>
      </c>
      <c r="B7189" s="46" t="s">
        <v>20901</v>
      </c>
      <c r="C7189">
        <v>16</v>
      </c>
      <c r="D7189">
        <v>84</v>
      </c>
    </row>
    <row r="7190" spans="1:4" x14ac:dyDescent="0.25">
      <c r="A7190" s="45" t="s">
        <v>7217</v>
      </c>
      <c r="B7190" s="46" t="s">
        <v>20902</v>
      </c>
      <c r="C7190">
        <v>16</v>
      </c>
      <c r="D7190">
        <v>84</v>
      </c>
    </row>
    <row r="7191" spans="1:4" x14ac:dyDescent="0.25">
      <c r="A7191" s="45" t="s">
        <v>7218</v>
      </c>
      <c r="B7191" s="46" t="s">
        <v>18066</v>
      </c>
      <c r="C7191">
        <v>16</v>
      </c>
      <c r="D7191">
        <v>84</v>
      </c>
    </row>
    <row r="7192" spans="1:4" x14ac:dyDescent="0.25">
      <c r="A7192" s="45" t="s">
        <v>7219</v>
      </c>
      <c r="B7192" s="46" t="s">
        <v>18067</v>
      </c>
      <c r="C7192">
        <v>16</v>
      </c>
      <c r="D7192">
        <v>84</v>
      </c>
    </row>
    <row r="7193" spans="1:4" x14ac:dyDescent="0.25">
      <c r="A7193" s="45" t="s">
        <v>7220</v>
      </c>
      <c r="B7193" s="46" t="s">
        <v>18068</v>
      </c>
      <c r="C7193">
        <v>16</v>
      </c>
      <c r="D7193">
        <v>84</v>
      </c>
    </row>
    <row r="7194" spans="1:4" x14ac:dyDescent="0.25">
      <c r="A7194" s="45" t="s">
        <v>7221</v>
      </c>
      <c r="B7194" s="46" t="s">
        <v>18069</v>
      </c>
      <c r="C7194">
        <v>16</v>
      </c>
      <c r="D7194">
        <v>84</v>
      </c>
    </row>
    <row r="7195" spans="1:4" x14ac:dyDescent="0.25">
      <c r="A7195" s="45" t="s">
        <v>7222</v>
      </c>
      <c r="B7195" s="46" t="s">
        <v>18070</v>
      </c>
      <c r="C7195">
        <v>16</v>
      </c>
      <c r="D7195">
        <v>84</v>
      </c>
    </row>
    <row r="7196" spans="1:4" x14ac:dyDescent="0.25">
      <c r="A7196" s="45" t="s">
        <v>7223</v>
      </c>
      <c r="B7196" s="46" t="s">
        <v>18071</v>
      </c>
      <c r="C7196">
        <v>16</v>
      </c>
      <c r="D7196">
        <v>84</v>
      </c>
    </row>
    <row r="7197" spans="1:4" x14ac:dyDescent="0.25">
      <c r="A7197" s="45" t="s">
        <v>7224</v>
      </c>
      <c r="B7197" s="46" t="s">
        <v>20903</v>
      </c>
      <c r="C7197">
        <v>16</v>
      </c>
      <c r="D7197">
        <v>85</v>
      </c>
    </row>
    <row r="7198" spans="1:4" x14ac:dyDescent="0.25">
      <c r="A7198" s="45" t="s">
        <v>7225</v>
      </c>
      <c r="B7198" s="46" t="s">
        <v>18072</v>
      </c>
      <c r="C7198">
        <v>16</v>
      </c>
      <c r="D7198">
        <v>85</v>
      </c>
    </row>
    <row r="7199" spans="1:4" x14ac:dyDescent="0.25">
      <c r="A7199" s="45" t="s">
        <v>7226</v>
      </c>
      <c r="B7199" s="46" t="s">
        <v>18073</v>
      </c>
      <c r="C7199">
        <v>16</v>
      </c>
      <c r="D7199">
        <v>85</v>
      </c>
    </row>
    <row r="7200" spans="1:4" x14ac:dyDescent="0.25">
      <c r="A7200" s="45" t="s">
        <v>7227</v>
      </c>
      <c r="B7200" s="46" t="s">
        <v>20904</v>
      </c>
      <c r="C7200">
        <v>16</v>
      </c>
      <c r="D7200">
        <v>85</v>
      </c>
    </row>
    <row r="7201" spans="1:4" x14ac:dyDescent="0.25">
      <c r="A7201" s="45" t="s">
        <v>7228</v>
      </c>
      <c r="B7201" s="46" t="s">
        <v>18074</v>
      </c>
      <c r="C7201">
        <v>16</v>
      </c>
      <c r="D7201">
        <v>85</v>
      </c>
    </row>
    <row r="7202" spans="1:4" x14ac:dyDescent="0.25">
      <c r="A7202" s="45" t="s">
        <v>7229</v>
      </c>
      <c r="B7202" s="46" t="s">
        <v>18075</v>
      </c>
      <c r="C7202">
        <v>17</v>
      </c>
      <c r="D7202">
        <v>96</v>
      </c>
    </row>
    <row r="7203" spans="1:4" x14ac:dyDescent="0.25">
      <c r="A7203" s="45" t="s">
        <v>7230</v>
      </c>
      <c r="B7203" s="46" t="s">
        <v>18076</v>
      </c>
      <c r="C7203">
        <v>17</v>
      </c>
      <c r="D7203">
        <v>97</v>
      </c>
    </row>
    <row r="7204" spans="1:4" x14ac:dyDescent="0.25">
      <c r="A7204" s="45" t="s">
        <v>7231</v>
      </c>
      <c r="B7204" s="46" t="s">
        <v>18077</v>
      </c>
      <c r="C7204">
        <v>17</v>
      </c>
      <c r="D7204">
        <v>96</v>
      </c>
    </row>
    <row r="7205" spans="1:4" x14ac:dyDescent="0.25">
      <c r="A7205" s="45" t="s">
        <v>7232</v>
      </c>
      <c r="B7205" s="46" t="s">
        <v>18078</v>
      </c>
      <c r="C7205">
        <v>17</v>
      </c>
      <c r="D7205">
        <v>96</v>
      </c>
    </row>
    <row r="7206" spans="1:4" x14ac:dyDescent="0.25">
      <c r="A7206" s="45" t="s">
        <v>7233</v>
      </c>
      <c r="B7206" s="46" t="s">
        <v>18079</v>
      </c>
      <c r="C7206">
        <v>6</v>
      </c>
      <c r="D7206">
        <v>39</v>
      </c>
    </row>
    <row r="7207" spans="1:4" x14ac:dyDescent="0.25">
      <c r="A7207" s="45" t="s">
        <v>7234</v>
      </c>
      <c r="B7207" s="46" t="s">
        <v>18080</v>
      </c>
      <c r="C7207">
        <v>9</v>
      </c>
      <c r="D7207">
        <v>55</v>
      </c>
    </row>
    <row r="7208" spans="1:4" x14ac:dyDescent="0.25">
      <c r="A7208" s="45" t="s">
        <v>7235</v>
      </c>
      <c r="B7208" s="46" t="s">
        <v>18081</v>
      </c>
      <c r="C7208">
        <v>17</v>
      </c>
      <c r="D7208">
        <v>96</v>
      </c>
    </row>
    <row r="7209" spans="1:4" x14ac:dyDescent="0.25">
      <c r="A7209" s="45" t="s">
        <v>7236</v>
      </c>
      <c r="B7209" s="46" t="s">
        <v>18082</v>
      </c>
      <c r="C7209">
        <v>17</v>
      </c>
      <c r="D7209">
        <v>96</v>
      </c>
    </row>
    <row r="7210" spans="1:4" x14ac:dyDescent="0.25">
      <c r="A7210" s="45" t="s">
        <v>7237</v>
      </c>
      <c r="B7210" s="46" t="s">
        <v>18083</v>
      </c>
      <c r="C7210">
        <v>17</v>
      </c>
      <c r="D7210">
        <v>96</v>
      </c>
    </row>
    <row r="7211" spans="1:4" x14ac:dyDescent="0.25">
      <c r="A7211" s="45" t="s">
        <v>7238</v>
      </c>
      <c r="B7211" s="46" t="s">
        <v>18084</v>
      </c>
      <c r="C7211">
        <v>17</v>
      </c>
      <c r="D7211">
        <v>91</v>
      </c>
    </row>
    <row r="7212" spans="1:4" x14ac:dyDescent="0.25">
      <c r="A7212" s="45" t="s">
        <v>7239</v>
      </c>
      <c r="B7212" s="46" t="s">
        <v>18085</v>
      </c>
      <c r="C7212">
        <v>17</v>
      </c>
      <c r="D7212">
        <v>91</v>
      </c>
    </row>
    <row r="7213" spans="1:4" x14ac:dyDescent="0.25">
      <c r="A7213" s="45" t="s">
        <v>7240</v>
      </c>
      <c r="B7213" s="46" t="s">
        <v>18086</v>
      </c>
      <c r="C7213">
        <v>17</v>
      </c>
      <c r="D7213">
        <v>91</v>
      </c>
    </row>
    <row r="7214" spans="1:4" x14ac:dyDescent="0.25">
      <c r="A7214" s="45" t="s">
        <v>7241</v>
      </c>
      <c r="B7214" s="46" t="s">
        <v>18087</v>
      </c>
      <c r="C7214">
        <v>17</v>
      </c>
      <c r="D7214">
        <v>91</v>
      </c>
    </row>
    <row r="7215" spans="1:4" x14ac:dyDescent="0.25">
      <c r="A7215" s="45" t="s">
        <v>7242</v>
      </c>
      <c r="B7215" s="46" t="s">
        <v>18088</v>
      </c>
      <c r="C7215">
        <v>17</v>
      </c>
      <c r="D7215">
        <v>91</v>
      </c>
    </row>
    <row r="7216" spans="1:4" x14ac:dyDescent="0.25">
      <c r="A7216" s="45" t="s">
        <v>7243</v>
      </c>
      <c r="B7216" s="46" t="s">
        <v>18089</v>
      </c>
      <c r="C7216">
        <v>17</v>
      </c>
      <c r="D7216">
        <v>91</v>
      </c>
    </row>
    <row r="7217" spans="1:4" x14ac:dyDescent="0.25">
      <c r="A7217" s="45" t="s">
        <v>7244</v>
      </c>
      <c r="B7217" s="46" t="s">
        <v>18090</v>
      </c>
      <c r="C7217">
        <v>17</v>
      </c>
      <c r="D7217">
        <v>91</v>
      </c>
    </row>
    <row r="7218" spans="1:4" x14ac:dyDescent="0.25">
      <c r="A7218" s="45" t="s">
        <v>7245</v>
      </c>
      <c r="B7218" s="46" t="s">
        <v>18091</v>
      </c>
      <c r="C7218">
        <v>17</v>
      </c>
      <c r="D7218">
        <v>89</v>
      </c>
    </row>
    <row r="7219" spans="1:4" x14ac:dyDescent="0.25">
      <c r="A7219" s="45" t="s">
        <v>7246</v>
      </c>
      <c r="B7219" s="46" t="s">
        <v>18092</v>
      </c>
      <c r="C7219">
        <v>17</v>
      </c>
      <c r="D7219">
        <v>91</v>
      </c>
    </row>
    <row r="7220" spans="1:4" x14ac:dyDescent="0.25">
      <c r="A7220" s="45" t="s">
        <v>7247</v>
      </c>
      <c r="B7220" s="46" t="s">
        <v>18093</v>
      </c>
      <c r="C7220">
        <v>17</v>
      </c>
      <c r="D7220">
        <v>86</v>
      </c>
    </row>
    <row r="7221" spans="1:4" x14ac:dyDescent="0.25">
      <c r="A7221" s="45" t="s">
        <v>7248</v>
      </c>
      <c r="B7221" s="46" t="s">
        <v>18094</v>
      </c>
      <c r="C7221">
        <v>17</v>
      </c>
      <c r="D7221">
        <v>86</v>
      </c>
    </row>
    <row r="7222" spans="1:4" x14ac:dyDescent="0.25">
      <c r="A7222" s="45" t="s">
        <v>7249</v>
      </c>
      <c r="B7222" s="46" t="s">
        <v>18095</v>
      </c>
      <c r="C7222">
        <v>17</v>
      </c>
      <c r="D7222">
        <v>86</v>
      </c>
    </row>
    <row r="7223" spans="1:4" x14ac:dyDescent="0.25">
      <c r="A7223" s="45" t="s">
        <v>7250</v>
      </c>
      <c r="B7223" s="46" t="s">
        <v>18096</v>
      </c>
      <c r="C7223">
        <v>17</v>
      </c>
      <c r="D7223">
        <v>86</v>
      </c>
    </row>
    <row r="7224" spans="1:4" x14ac:dyDescent="0.25">
      <c r="A7224" s="45" t="s">
        <v>7251</v>
      </c>
      <c r="B7224" s="46" t="s">
        <v>18097</v>
      </c>
      <c r="C7224">
        <v>17</v>
      </c>
      <c r="D7224">
        <v>86</v>
      </c>
    </row>
    <row r="7225" spans="1:4" x14ac:dyDescent="0.25">
      <c r="A7225" s="45" t="s">
        <v>7252</v>
      </c>
      <c r="B7225" s="46" t="s">
        <v>18098</v>
      </c>
      <c r="C7225">
        <v>17</v>
      </c>
      <c r="D7225">
        <v>91</v>
      </c>
    </row>
    <row r="7226" spans="1:4" x14ac:dyDescent="0.25">
      <c r="A7226" s="45" t="s">
        <v>7253</v>
      </c>
      <c r="B7226" s="46" t="s">
        <v>18099</v>
      </c>
      <c r="C7226">
        <v>17</v>
      </c>
      <c r="D7226">
        <v>86</v>
      </c>
    </row>
    <row r="7227" spans="1:4" x14ac:dyDescent="0.25">
      <c r="A7227" s="45" t="s">
        <v>7254</v>
      </c>
      <c r="B7227" s="46" t="s">
        <v>18100</v>
      </c>
      <c r="C7227">
        <v>17</v>
      </c>
      <c r="D7227">
        <v>86</v>
      </c>
    </row>
    <row r="7228" spans="1:4" x14ac:dyDescent="0.25">
      <c r="A7228" s="45" t="s">
        <v>7255</v>
      </c>
      <c r="B7228" s="46" t="s">
        <v>18101</v>
      </c>
      <c r="C7228">
        <v>17</v>
      </c>
      <c r="D7228">
        <v>86</v>
      </c>
    </row>
    <row r="7229" spans="1:4" x14ac:dyDescent="0.25">
      <c r="A7229" s="45" t="s">
        <v>7256</v>
      </c>
      <c r="B7229" s="46" t="s">
        <v>18102</v>
      </c>
      <c r="C7229">
        <v>17</v>
      </c>
      <c r="D7229">
        <v>86</v>
      </c>
    </row>
    <row r="7230" spans="1:4" x14ac:dyDescent="0.25">
      <c r="A7230" s="45" t="s">
        <v>7257</v>
      </c>
      <c r="B7230" s="46" t="s">
        <v>20905</v>
      </c>
      <c r="C7230">
        <v>17</v>
      </c>
      <c r="D7230">
        <v>87</v>
      </c>
    </row>
    <row r="7231" spans="1:4" x14ac:dyDescent="0.25">
      <c r="A7231" s="45" t="s">
        <v>7258</v>
      </c>
      <c r="B7231" s="46" t="s">
        <v>18103</v>
      </c>
      <c r="C7231">
        <v>17</v>
      </c>
      <c r="D7231">
        <v>87</v>
      </c>
    </row>
    <row r="7232" spans="1:4" x14ac:dyDescent="0.25">
      <c r="A7232" s="45" t="s">
        <v>7259</v>
      </c>
      <c r="B7232" s="46" t="s">
        <v>18104</v>
      </c>
      <c r="C7232">
        <v>17</v>
      </c>
      <c r="D7232">
        <v>91</v>
      </c>
    </row>
    <row r="7233" spans="1:4" x14ac:dyDescent="0.25">
      <c r="A7233" s="45" t="s">
        <v>7260</v>
      </c>
      <c r="B7233" s="46" t="s">
        <v>18105</v>
      </c>
      <c r="C7233">
        <v>17</v>
      </c>
      <c r="D7233">
        <v>87</v>
      </c>
    </row>
    <row r="7234" spans="1:4" x14ac:dyDescent="0.25">
      <c r="A7234" s="45" t="s">
        <v>7261</v>
      </c>
      <c r="B7234" s="46" t="s">
        <v>18106</v>
      </c>
      <c r="C7234">
        <v>17</v>
      </c>
      <c r="D7234">
        <v>88</v>
      </c>
    </row>
    <row r="7235" spans="1:4" x14ac:dyDescent="0.25">
      <c r="A7235" s="45" t="s">
        <v>7262</v>
      </c>
      <c r="B7235" s="46" t="s">
        <v>18107</v>
      </c>
      <c r="C7235">
        <v>17</v>
      </c>
      <c r="D7235">
        <v>87</v>
      </c>
    </row>
    <row r="7236" spans="1:4" x14ac:dyDescent="0.25">
      <c r="A7236" s="45" t="s">
        <v>7263</v>
      </c>
      <c r="B7236" s="46" t="s">
        <v>20906</v>
      </c>
      <c r="C7236">
        <v>17</v>
      </c>
      <c r="D7236">
        <v>101</v>
      </c>
    </row>
    <row r="7237" spans="1:4" x14ac:dyDescent="0.25">
      <c r="A7237" s="45" t="s">
        <v>7264</v>
      </c>
      <c r="B7237" s="46" t="s">
        <v>18108</v>
      </c>
      <c r="C7237">
        <v>17</v>
      </c>
      <c r="D7237">
        <v>101</v>
      </c>
    </row>
    <row r="7238" spans="1:4" x14ac:dyDescent="0.25">
      <c r="A7238" s="45" t="s">
        <v>7265</v>
      </c>
      <c r="B7238" s="46" t="s">
        <v>20907</v>
      </c>
      <c r="C7238">
        <v>17</v>
      </c>
      <c r="D7238">
        <v>101</v>
      </c>
    </row>
    <row r="7239" spans="1:4" x14ac:dyDescent="0.25">
      <c r="A7239" s="45" t="s">
        <v>7266</v>
      </c>
      <c r="B7239" s="46" t="s">
        <v>20908</v>
      </c>
      <c r="C7239">
        <v>17</v>
      </c>
      <c r="D7239">
        <v>101</v>
      </c>
    </row>
    <row r="7240" spans="1:4" x14ac:dyDescent="0.25">
      <c r="A7240" s="45" t="s">
        <v>7267</v>
      </c>
      <c r="B7240" s="46" t="s">
        <v>20909</v>
      </c>
      <c r="C7240">
        <v>17</v>
      </c>
      <c r="D7240">
        <v>101</v>
      </c>
    </row>
    <row r="7241" spans="1:4" x14ac:dyDescent="0.25">
      <c r="A7241" s="45" t="s">
        <v>7268</v>
      </c>
      <c r="B7241" s="46" t="s">
        <v>20910</v>
      </c>
      <c r="C7241">
        <v>17</v>
      </c>
      <c r="D7241">
        <v>101</v>
      </c>
    </row>
    <row r="7242" spans="1:4" x14ac:dyDescent="0.25">
      <c r="A7242" s="45" t="s">
        <v>7269</v>
      </c>
      <c r="B7242" s="46" t="s">
        <v>20911</v>
      </c>
      <c r="C7242">
        <v>17</v>
      </c>
      <c r="D7242">
        <v>101</v>
      </c>
    </row>
    <row r="7243" spans="1:4" x14ac:dyDescent="0.25">
      <c r="A7243" s="45" t="s">
        <v>7270</v>
      </c>
      <c r="B7243" s="46" t="s">
        <v>20912</v>
      </c>
      <c r="C7243">
        <v>17</v>
      </c>
      <c r="D7243">
        <v>101</v>
      </c>
    </row>
    <row r="7244" spans="1:4" x14ac:dyDescent="0.25">
      <c r="A7244" s="45" t="s">
        <v>7271</v>
      </c>
      <c r="B7244" s="46" t="s">
        <v>20913</v>
      </c>
      <c r="C7244">
        <v>17</v>
      </c>
      <c r="D7244">
        <v>101</v>
      </c>
    </row>
    <row r="7245" spans="1:4" x14ac:dyDescent="0.25">
      <c r="A7245" s="45" t="s">
        <v>7272</v>
      </c>
      <c r="B7245" s="46" t="s">
        <v>18109</v>
      </c>
      <c r="C7245">
        <v>17</v>
      </c>
      <c r="D7245">
        <v>101</v>
      </c>
    </row>
    <row r="7246" spans="1:4" x14ac:dyDescent="0.25">
      <c r="A7246" s="45" t="s">
        <v>7273</v>
      </c>
      <c r="B7246" s="46" t="s">
        <v>20914</v>
      </c>
      <c r="C7246">
        <v>17</v>
      </c>
      <c r="D7246">
        <v>91</v>
      </c>
    </row>
    <row r="7247" spans="1:4" x14ac:dyDescent="0.25">
      <c r="A7247" s="45" t="s">
        <v>7274</v>
      </c>
      <c r="B7247" s="46" t="s">
        <v>20915</v>
      </c>
      <c r="C7247">
        <v>17</v>
      </c>
      <c r="D7247">
        <v>97</v>
      </c>
    </row>
    <row r="7248" spans="1:4" x14ac:dyDescent="0.25">
      <c r="A7248" s="45" t="s">
        <v>7275</v>
      </c>
      <c r="B7248" s="46" t="s">
        <v>18110</v>
      </c>
      <c r="C7248">
        <v>17</v>
      </c>
      <c r="D7248">
        <v>91</v>
      </c>
    </row>
    <row r="7249" spans="1:4" x14ac:dyDescent="0.25">
      <c r="A7249" s="45" t="s">
        <v>7276</v>
      </c>
      <c r="B7249" s="46" t="s">
        <v>20916</v>
      </c>
      <c r="C7249">
        <v>17</v>
      </c>
      <c r="D7249">
        <v>91</v>
      </c>
    </row>
    <row r="7250" spans="1:4" x14ac:dyDescent="0.25">
      <c r="A7250" s="45" t="s">
        <v>7277</v>
      </c>
      <c r="B7250" s="46" t="s">
        <v>18111</v>
      </c>
      <c r="C7250">
        <v>17</v>
      </c>
      <c r="D7250">
        <v>91</v>
      </c>
    </row>
    <row r="7251" spans="1:4" x14ac:dyDescent="0.25">
      <c r="A7251" s="45" t="s">
        <v>7278</v>
      </c>
      <c r="B7251" s="46" t="s">
        <v>18112</v>
      </c>
      <c r="C7251">
        <v>17</v>
      </c>
      <c r="D7251">
        <v>91</v>
      </c>
    </row>
    <row r="7252" spans="1:4" x14ac:dyDescent="0.25">
      <c r="A7252" s="45" t="s">
        <v>7279</v>
      </c>
      <c r="B7252" s="46" t="s">
        <v>18113</v>
      </c>
      <c r="C7252">
        <v>17</v>
      </c>
      <c r="D7252">
        <v>91</v>
      </c>
    </row>
    <row r="7253" spans="1:4" x14ac:dyDescent="0.25">
      <c r="A7253" s="45" t="s">
        <v>7280</v>
      </c>
      <c r="B7253" s="46" t="s">
        <v>18114</v>
      </c>
      <c r="C7253">
        <v>17</v>
      </c>
      <c r="D7253">
        <v>91</v>
      </c>
    </row>
    <row r="7254" spans="1:4" x14ac:dyDescent="0.25">
      <c r="A7254" s="45" t="s">
        <v>7281</v>
      </c>
      <c r="B7254" s="46" t="s">
        <v>20917</v>
      </c>
      <c r="C7254">
        <v>17</v>
      </c>
      <c r="D7254">
        <v>91</v>
      </c>
    </row>
    <row r="7255" spans="1:4" x14ac:dyDescent="0.25">
      <c r="A7255" s="45" t="s">
        <v>7282</v>
      </c>
      <c r="B7255" s="46" t="s">
        <v>18115</v>
      </c>
      <c r="C7255">
        <v>17</v>
      </c>
      <c r="D7255">
        <v>91</v>
      </c>
    </row>
    <row r="7256" spans="1:4" x14ac:dyDescent="0.25">
      <c r="A7256" s="45" t="s">
        <v>7283</v>
      </c>
      <c r="B7256" s="46" t="s">
        <v>18116</v>
      </c>
      <c r="C7256">
        <v>17</v>
      </c>
      <c r="D7256">
        <v>89</v>
      </c>
    </row>
    <row r="7257" spans="1:4" x14ac:dyDescent="0.25">
      <c r="A7257" s="45" t="s">
        <v>7284</v>
      </c>
      <c r="B7257" s="46" t="s">
        <v>20918</v>
      </c>
      <c r="C7257">
        <v>17</v>
      </c>
      <c r="D7257">
        <v>89</v>
      </c>
    </row>
    <row r="7258" spans="1:4" x14ac:dyDescent="0.25">
      <c r="A7258" s="45" t="s">
        <v>7285</v>
      </c>
      <c r="B7258" s="46" t="s">
        <v>18117</v>
      </c>
      <c r="C7258">
        <v>17</v>
      </c>
      <c r="D7258">
        <v>89</v>
      </c>
    </row>
    <row r="7259" spans="1:4" x14ac:dyDescent="0.25">
      <c r="A7259" s="45" t="s">
        <v>7286</v>
      </c>
      <c r="B7259" s="46" t="s">
        <v>18118</v>
      </c>
      <c r="C7259">
        <v>17</v>
      </c>
      <c r="D7259">
        <v>89</v>
      </c>
    </row>
    <row r="7260" spans="1:4" x14ac:dyDescent="0.25">
      <c r="A7260" s="45" t="s">
        <v>7287</v>
      </c>
      <c r="B7260" s="46" t="s">
        <v>18119</v>
      </c>
      <c r="C7260">
        <v>17</v>
      </c>
      <c r="D7260">
        <v>89</v>
      </c>
    </row>
    <row r="7261" spans="1:4" x14ac:dyDescent="0.25">
      <c r="A7261" s="45" t="s">
        <v>7288</v>
      </c>
      <c r="B7261" s="46" t="s">
        <v>18120</v>
      </c>
      <c r="C7261">
        <v>17</v>
      </c>
      <c r="D7261">
        <v>89</v>
      </c>
    </row>
    <row r="7262" spans="1:4" x14ac:dyDescent="0.25">
      <c r="A7262" s="45" t="s">
        <v>7289</v>
      </c>
      <c r="B7262" s="46" t="s">
        <v>18121</v>
      </c>
      <c r="C7262">
        <v>17</v>
      </c>
      <c r="D7262">
        <v>89</v>
      </c>
    </row>
    <row r="7263" spans="1:4" x14ac:dyDescent="0.25">
      <c r="A7263" s="45" t="s">
        <v>7290</v>
      </c>
      <c r="B7263" s="46" t="s">
        <v>18122</v>
      </c>
      <c r="C7263">
        <v>17</v>
      </c>
      <c r="D7263">
        <v>89</v>
      </c>
    </row>
    <row r="7264" spans="1:4" x14ac:dyDescent="0.25">
      <c r="A7264" s="45" t="s">
        <v>7291</v>
      </c>
      <c r="B7264" s="46" t="s">
        <v>18123</v>
      </c>
      <c r="C7264">
        <v>17</v>
      </c>
      <c r="D7264">
        <v>89</v>
      </c>
    </row>
    <row r="7265" spans="1:4" x14ac:dyDescent="0.25">
      <c r="A7265" s="45" t="s">
        <v>7292</v>
      </c>
      <c r="B7265" s="46" t="s">
        <v>18124</v>
      </c>
      <c r="C7265">
        <v>17</v>
      </c>
      <c r="D7265">
        <v>89</v>
      </c>
    </row>
    <row r="7266" spans="1:4" x14ac:dyDescent="0.25">
      <c r="A7266" s="45" t="s">
        <v>7293</v>
      </c>
      <c r="B7266" s="46" t="s">
        <v>18125</v>
      </c>
      <c r="C7266">
        <v>17</v>
      </c>
      <c r="D7266">
        <v>86</v>
      </c>
    </row>
    <row r="7267" spans="1:4" x14ac:dyDescent="0.25">
      <c r="A7267" s="45" t="s">
        <v>7294</v>
      </c>
      <c r="B7267" s="46" t="s">
        <v>18126</v>
      </c>
      <c r="C7267">
        <v>17</v>
      </c>
      <c r="D7267">
        <v>86</v>
      </c>
    </row>
    <row r="7268" spans="1:4" x14ac:dyDescent="0.25">
      <c r="A7268" s="45" t="s">
        <v>7295</v>
      </c>
      <c r="B7268" s="46" t="s">
        <v>18127</v>
      </c>
      <c r="C7268">
        <v>17</v>
      </c>
      <c r="D7268">
        <v>86</v>
      </c>
    </row>
    <row r="7269" spans="1:4" x14ac:dyDescent="0.25">
      <c r="A7269" s="45" t="s">
        <v>7296</v>
      </c>
      <c r="B7269" s="46" t="s">
        <v>18128</v>
      </c>
      <c r="C7269">
        <v>17</v>
      </c>
      <c r="D7269">
        <v>86</v>
      </c>
    </row>
    <row r="7270" spans="1:4" x14ac:dyDescent="0.25">
      <c r="A7270" s="45" t="s">
        <v>7297</v>
      </c>
      <c r="B7270" s="46" t="s">
        <v>18129</v>
      </c>
      <c r="C7270">
        <v>17</v>
      </c>
      <c r="D7270">
        <v>91</v>
      </c>
    </row>
    <row r="7271" spans="1:4" x14ac:dyDescent="0.25">
      <c r="A7271" s="45" t="s">
        <v>7298</v>
      </c>
      <c r="B7271" s="46" t="s">
        <v>18130</v>
      </c>
      <c r="C7271">
        <v>17</v>
      </c>
      <c r="D7271">
        <v>91</v>
      </c>
    </row>
    <row r="7272" spans="1:4" x14ac:dyDescent="0.25">
      <c r="A7272" s="45" t="s">
        <v>7299</v>
      </c>
      <c r="B7272" s="46" t="s">
        <v>18131</v>
      </c>
      <c r="C7272">
        <v>17</v>
      </c>
      <c r="D7272">
        <v>91</v>
      </c>
    </row>
    <row r="7273" spans="1:4" x14ac:dyDescent="0.25">
      <c r="A7273" s="45" t="s">
        <v>7300</v>
      </c>
      <c r="B7273" s="46" t="s">
        <v>18132</v>
      </c>
      <c r="C7273">
        <v>17</v>
      </c>
      <c r="D7273">
        <v>91</v>
      </c>
    </row>
    <row r="7274" spans="1:4" x14ac:dyDescent="0.25">
      <c r="A7274" s="45" t="s">
        <v>7301</v>
      </c>
      <c r="B7274" s="46" t="s">
        <v>18133</v>
      </c>
      <c r="C7274">
        <v>17</v>
      </c>
      <c r="D7274">
        <v>94</v>
      </c>
    </row>
    <row r="7275" spans="1:4" x14ac:dyDescent="0.25">
      <c r="A7275" s="45" t="s">
        <v>7302</v>
      </c>
      <c r="B7275" s="46" t="s">
        <v>20919</v>
      </c>
      <c r="C7275">
        <v>17</v>
      </c>
      <c r="D7275">
        <v>102</v>
      </c>
    </row>
    <row r="7276" spans="1:4" x14ac:dyDescent="0.25">
      <c r="A7276" s="45" t="s">
        <v>7303</v>
      </c>
      <c r="B7276" s="46" t="s">
        <v>18134</v>
      </c>
      <c r="C7276">
        <v>17</v>
      </c>
      <c r="D7276">
        <v>91</v>
      </c>
    </row>
    <row r="7277" spans="1:4" x14ac:dyDescent="0.25">
      <c r="A7277" s="45" t="s">
        <v>7304</v>
      </c>
      <c r="B7277" s="46" t="s">
        <v>18135</v>
      </c>
      <c r="C7277">
        <v>17</v>
      </c>
      <c r="D7277">
        <v>89</v>
      </c>
    </row>
    <row r="7278" spans="1:4" x14ac:dyDescent="0.25">
      <c r="A7278" s="45" t="s">
        <v>7305</v>
      </c>
      <c r="B7278" s="46" t="s">
        <v>18136</v>
      </c>
      <c r="C7278">
        <v>17</v>
      </c>
      <c r="D7278">
        <v>97</v>
      </c>
    </row>
    <row r="7279" spans="1:4" x14ac:dyDescent="0.25">
      <c r="A7279" s="45" t="s">
        <v>7306</v>
      </c>
      <c r="B7279" s="46" t="s">
        <v>18137</v>
      </c>
      <c r="C7279">
        <v>17</v>
      </c>
      <c r="D7279">
        <v>86</v>
      </c>
    </row>
    <row r="7280" spans="1:4" x14ac:dyDescent="0.25">
      <c r="A7280" s="45" t="s">
        <v>7307</v>
      </c>
      <c r="B7280" s="46" t="s">
        <v>18138</v>
      </c>
      <c r="C7280">
        <v>17</v>
      </c>
      <c r="D7280">
        <v>97</v>
      </c>
    </row>
    <row r="7281" spans="1:4" x14ac:dyDescent="0.25">
      <c r="A7281" s="45" t="s">
        <v>7308</v>
      </c>
      <c r="B7281" s="46" t="s">
        <v>18139</v>
      </c>
      <c r="C7281">
        <v>17</v>
      </c>
      <c r="D7281">
        <v>96</v>
      </c>
    </row>
    <row r="7282" spans="1:4" x14ac:dyDescent="0.25">
      <c r="A7282" s="45" t="s">
        <v>7309</v>
      </c>
      <c r="B7282" s="46" t="s">
        <v>18140</v>
      </c>
      <c r="C7282">
        <v>17</v>
      </c>
      <c r="D7282">
        <v>96</v>
      </c>
    </row>
    <row r="7283" spans="1:4" x14ac:dyDescent="0.25">
      <c r="A7283" s="45" t="s">
        <v>7310</v>
      </c>
      <c r="B7283" s="46" t="s">
        <v>18141</v>
      </c>
      <c r="C7283">
        <v>17</v>
      </c>
      <c r="D7283">
        <v>96</v>
      </c>
    </row>
    <row r="7284" spans="1:4" x14ac:dyDescent="0.25">
      <c r="A7284" s="45" t="s">
        <v>7311</v>
      </c>
      <c r="B7284" s="46" t="s">
        <v>18142</v>
      </c>
      <c r="C7284">
        <v>17</v>
      </c>
      <c r="D7284">
        <v>96</v>
      </c>
    </row>
    <row r="7285" spans="1:4" x14ac:dyDescent="0.25">
      <c r="A7285" s="45" t="s">
        <v>7312</v>
      </c>
      <c r="B7285" s="46" t="s">
        <v>18143</v>
      </c>
      <c r="C7285">
        <v>17</v>
      </c>
      <c r="D7285">
        <v>91</v>
      </c>
    </row>
    <row r="7286" spans="1:4" x14ac:dyDescent="0.25">
      <c r="A7286" s="45" t="s">
        <v>7313</v>
      </c>
      <c r="B7286" s="46" t="s">
        <v>18144</v>
      </c>
      <c r="C7286">
        <v>17</v>
      </c>
      <c r="D7286">
        <v>91</v>
      </c>
    </row>
    <row r="7287" spans="1:4" x14ac:dyDescent="0.25">
      <c r="A7287" s="45" t="s">
        <v>7314</v>
      </c>
      <c r="B7287" s="46" t="s">
        <v>18145</v>
      </c>
      <c r="C7287">
        <v>17</v>
      </c>
      <c r="D7287">
        <v>91</v>
      </c>
    </row>
    <row r="7288" spans="1:4" x14ac:dyDescent="0.25">
      <c r="A7288" s="45" t="s">
        <v>7315</v>
      </c>
      <c r="B7288" s="46" t="s">
        <v>18146</v>
      </c>
      <c r="C7288">
        <v>17</v>
      </c>
      <c r="D7288">
        <v>91</v>
      </c>
    </row>
    <row r="7289" spans="1:4" x14ac:dyDescent="0.25">
      <c r="A7289" s="45" t="s">
        <v>7316</v>
      </c>
      <c r="B7289" s="46" t="s">
        <v>18147</v>
      </c>
      <c r="C7289">
        <v>17</v>
      </c>
      <c r="D7289">
        <v>91</v>
      </c>
    </row>
    <row r="7290" spans="1:4" x14ac:dyDescent="0.25">
      <c r="A7290" s="45" t="s">
        <v>7317</v>
      </c>
      <c r="B7290" s="46" t="s">
        <v>18148</v>
      </c>
      <c r="C7290">
        <v>17</v>
      </c>
      <c r="D7290">
        <v>91</v>
      </c>
    </row>
    <row r="7291" spans="1:4" x14ac:dyDescent="0.25">
      <c r="A7291" s="45" t="s">
        <v>7318</v>
      </c>
      <c r="B7291" s="46" t="s">
        <v>18149</v>
      </c>
      <c r="C7291">
        <v>17</v>
      </c>
      <c r="D7291">
        <v>86</v>
      </c>
    </row>
    <row r="7292" spans="1:4" x14ac:dyDescent="0.25">
      <c r="A7292" s="45" t="s">
        <v>7319</v>
      </c>
      <c r="B7292" s="46" t="s">
        <v>18150</v>
      </c>
      <c r="C7292">
        <v>17</v>
      </c>
      <c r="D7292">
        <v>86</v>
      </c>
    </row>
    <row r="7293" spans="1:4" x14ac:dyDescent="0.25">
      <c r="A7293" s="45" t="s">
        <v>7320</v>
      </c>
      <c r="B7293" s="46" t="s">
        <v>18151</v>
      </c>
      <c r="C7293">
        <v>17</v>
      </c>
      <c r="D7293">
        <v>86</v>
      </c>
    </row>
    <row r="7294" spans="1:4" x14ac:dyDescent="0.25">
      <c r="A7294" s="45" t="s">
        <v>7321</v>
      </c>
      <c r="B7294" s="46" t="s">
        <v>18152</v>
      </c>
      <c r="C7294">
        <v>17</v>
      </c>
      <c r="D7294">
        <v>86</v>
      </c>
    </row>
    <row r="7295" spans="1:4" x14ac:dyDescent="0.25">
      <c r="A7295" s="45" t="s">
        <v>7322</v>
      </c>
      <c r="B7295" s="46" t="s">
        <v>18153</v>
      </c>
      <c r="C7295">
        <v>17</v>
      </c>
      <c r="D7295">
        <v>86</v>
      </c>
    </row>
    <row r="7296" spans="1:4" x14ac:dyDescent="0.25">
      <c r="A7296" s="45" t="s">
        <v>7323</v>
      </c>
      <c r="B7296" s="46" t="s">
        <v>18154</v>
      </c>
      <c r="C7296">
        <v>17</v>
      </c>
      <c r="D7296">
        <v>86</v>
      </c>
    </row>
    <row r="7297" spans="1:4" x14ac:dyDescent="0.25">
      <c r="A7297" s="45" t="s">
        <v>7324</v>
      </c>
      <c r="B7297" s="46" t="s">
        <v>18155</v>
      </c>
      <c r="C7297">
        <v>17</v>
      </c>
      <c r="D7297">
        <v>87</v>
      </c>
    </row>
    <row r="7298" spans="1:4" x14ac:dyDescent="0.25">
      <c r="A7298" s="45" t="s">
        <v>7325</v>
      </c>
      <c r="B7298" s="46" t="s">
        <v>18156</v>
      </c>
      <c r="C7298">
        <v>17</v>
      </c>
      <c r="D7298">
        <v>87</v>
      </c>
    </row>
    <row r="7299" spans="1:4" x14ac:dyDescent="0.25">
      <c r="A7299" s="45" t="s">
        <v>7326</v>
      </c>
      <c r="B7299" s="46" t="s">
        <v>18157</v>
      </c>
      <c r="C7299">
        <v>17</v>
      </c>
      <c r="D7299">
        <v>87</v>
      </c>
    </row>
    <row r="7300" spans="1:4" x14ac:dyDescent="0.25">
      <c r="A7300" s="45" t="s">
        <v>7327</v>
      </c>
      <c r="B7300" s="46" t="s">
        <v>18158</v>
      </c>
      <c r="C7300">
        <v>17</v>
      </c>
      <c r="D7300">
        <v>87</v>
      </c>
    </row>
    <row r="7301" spans="1:4" x14ac:dyDescent="0.25">
      <c r="A7301" s="45" t="s">
        <v>7328</v>
      </c>
      <c r="B7301" s="46" t="s">
        <v>18159</v>
      </c>
      <c r="C7301">
        <v>17</v>
      </c>
      <c r="D7301">
        <v>88</v>
      </c>
    </row>
    <row r="7302" spans="1:4" x14ac:dyDescent="0.25">
      <c r="A7302" s="45" t="s">
        <v>7329</v>
      </c>
      <c r="B7302" s="46" t="s">
        <v>18160</v>
      </c>
      <c r="C7302">
        <v>17</v>
      </c>
      <c r="D7302">
        <v>88</v>
      </c>
    </row>
    <row r="7303" spans="1:4" x14ac:dyDescent="0.25">
      <c r="A7303" s="45" t="s">
        <v>7330</v>
      </c>
      <c r="B7303" s="46" t="s">
        <v>18161</v>
      </c>
      <c r="C7303">
        <v>17</v>
      </c>
      <c r="D7303">
        <v>88</v>
      </c>
    </row>
    <row r="7304" spans="1:4" x14ac:dyDescent="0.25">
      <c r="A7304" s="45" t="s">
        <v>7331</v>
      </c>
      <c r="B7304" s="46" t="s">
        <v>20920</v>
      </c>
      <c r="C7304">
        <v>17</v>
      </c>
      <c r="D7304">
        <v>101</v>
      </c>
    </row>
    <row r="7305" spans="1:4" x14ac:dyDescent="0.25">
      <c r="A7305" s="45" t="s">
        <v>7332</v>
      </c>
      <c r="B7305" s="46" t="s">
        <v>18162</v>
      </c>
      <c r="C7305">
        <v>17</v>
      </c>
      <c r="D7305">
        <v>101</v>
      </c>
    </row>
    <row r="7306" spans="1:4" x14ac:dyDescent="0.25">
      <c r="A7306" s="45" t="s">
        <v>7333</v>
      </c>
      <c r="B7306" s="46" t="s">
        <v>20921</v>
      </c>
      <c r="C7306">
        <v>17</v>
      </c>
      <c r="D7306">
        <v>99</v>
      </c>
    </row>
    <row r="7307" spans="1:4" x14ac:dyDescent="0.25">
      <c r="A7307" s="45" t="s">
        <v>7334</v>
      </c>
      <c r="B7307" s="46" t="s">
        <v>18163</v>
      </c>
      <c r="C7307">
        <v>17</v>
      </c>
      <c r="D7307">
        <v>101</v>
      </c>
    </row>
    <row r="7308" spans="1:4" x14ac:dyDescent="0.25">
      <c r="A7308" s="45" t="s">
        <v>7335</v>
      </c>
      <c r="B7308" s="46" t="s">
        <v>20922</v>
      </c>
      <c r="C7308">
        <v>17</v>
      </c>
      <c r="D7308">
        <v>101</v>
      </c>
    </row>
    <row r="7309" spans="1:4" x14ac:dyDescent="0.25">
      <c r="A7309" s="45" t="s">
        <v>7336</v>
      </c>
      <c r="B7309" s="46" t="s">
        <v>18164</v>
      </c>
      <c r="C7309">
        <v>17</v>
      </c>
      <c r="D7309">
        <v>101</v>
      </c>
    </row>
    <row r="7310" spans="1:4" x14ac:dyDescent="0.25">
      <c r="A7310" s="45" t="s">
        <v>7337</v>
      </c>
      <c r="B7310" s="46" t="s">
        <v>18165</v>
      </c>
      <c r="C7310">
        <v>17</v>
      </c>
      <c r="D7310">
        <v>101</v>
      </c>
    </row>
    <row r="7311" spans="1:4" x14ac:dyDescent="0.25">
      <c r="A7311" s="45" t="s">
        <v>7338</v>
      </c>
      <c r="B7311" s="46" t="s">
        <v>18166</v>
      </c>
      <c r="C7311">
        <v>17</v>
      </c>
      <c r="D7311">
        <v>94</v>
      </c>
    </row>
    <row r="7312" spans="1:4" x14ac:dyDescent="0.25">
      <c r="A7312" s="45" t="s">
        <v>7339</v>
      </c>
      <c r="B7312" s="46" t="s">
        <v>18167</v>
      </c>
      <c r="C7312">
        <v>17</v>
      </c>
      <c r="D7312">
        <v>94</v>
      </c>
    </row>
    <row r="7313" spans="1:4" x14ac:dyDescent="0.25">
      <c r="A7313" s="45" t="s">
        <v>7340</v>
      </c>
      <c r="B7313" s="46" t="s">
        <v>18168</v>
      </c>
      <c r="C7313">
        <v>17</v>
      </c>
      <c r="D7313">
        <v>94</v>
      </c>
    </row>
    <row r="7314" spans="1:4" x14ac:dyDescent="0.25">
      <c r="A7314" s="45" t="s">
        <v>7341</v>
      </c>
      <c r="B7314" s="46" t="s">
        <v>18169</v>
      </c>
      <c r="C7314">
        <v>17</v>
      </c>
      <c r="D7314">
        <v>94</v>
      </c>
    </row>
    <row r="7315" spans="1:4" x14ac:dyDescent="0.25">
      <c r="A7315" s="45" t="s">
        <v>7342</v>
      </c>
      <c r="B7315" s="46" t="s">
        <v>18170</v>
      </c>
      <c r="C7315">
        <v>17</v>
      </c>
      <c r="D7315">
        <v>94</v>
      </c>
    </row>
    <row r="7316" spans="1:4" x14ac:dyDescent="0.25">
      <c r="A7316" s="45" t="s">
        <v>7343</v>
      </c>
      <c r="B7316" s="46" t="s">
        <v>18171</v>
      </c>
      <c r="C7316">
        <v>17</v>
      </c>
      <c r="D7316">
        <v>94</v>
      </c>
    </row>
    <row r="7317" spans="1:4" x14ac:dyDescent="0.25">
      <c r="A7317" s="45" t="s">
        <v>7344</v>
      </c>
      <c r="B7317" s="46" t="s">
        <v>18172</v>
      </c>
      <c r="C7317">
        <v>17</v>
      </c>
      <c r="D7317">
        <v>94</v>
      </c>
    </row>
    <row r="7318" spans="1:4" x14ac:dyDescent="0.25">
      <c r="A7318" s="45" t="s">
        <v>7345</v>
      </c>
      <c r="B7318" s="46" t="s">
        <v>18173</v>
      </c>
      <c r="C7318">
        <v>17</v>
      </c>
      <c r="D7318">
        <v>102</v>
      </c>
    </row>
    <row r="7319" spans="1:4" x14ac:dyDescent="0.25">
      <c r="A7319" s="45" t="s">
        <v>7346</v>
      </c>
      <c r="B7319" s="46" t="s">
        <v>18174</v>
      </c>
      <c r="C7319">
        <v>17</v>
      </c>
      <c r="D7319">
        <v>98</v>
      </c>
    </row>
    <row r="7320" spans="1:4" x14ac:dyDescent="0.25">
      <c r="A7320" s="45" t="s">
        <v>7347</v>
      </c>
      <c r="B7320" s="46" t="s">
        <v>18175</v>
      </c>
      <c r="C7320">
        <v>17</v>
      </c>
      <c r="D7320">
        <v>98</v>
      </c>
    </row>
    <row r="7321" spans="1:4" x14ac:dyDescent="0.25">
      <c r="A7321" s="45" t="s">
        <v>7348</v>
      </c>
      <c r="B7321" s="46" t="s">
        <v>18176</v>
      </c>
      <c r="C7321">
        <v>17</v>
      </c>
      <c r="D7321">
        <v>98</v>
      </c>
    </row>
    <row r="7322" spans="1:4" x14ac:dyDescent="0.25">
      <c r="A7322" s="45" t="s">
        <v>7349</v>
      </c>
      <c r="B7322" s="46" t="s">
        <v>18177</v>
      </c>
      <c r="C7322">
        <v>17</v>
      </c>
      <c r="D7322">
        <v>91</v>
      </c>
    </row>
    <row r="7323" spans="1:4" x14ac:dyDescent="0.25">
      <c r="A7323" s="45" t="s">
        <v>7350</v>
      </c>
      <c r="B7323" s="46" t="s">
        <v>18178</v>
      </c>
      <c r="C7323">
        <v>17</v>
      </c>
      <c r="D7323">
        <v>102</v>
      </c>
    </row>
    <row r="7324" spans="1:4" x14ac:dyDescent="0.25">
      <c r="A7324" s="45" t="s">
        <v>7351</v>
      </c>
      <c r="B7324" s="46" t="s">
        <v>18179</v>
      </c>
      <c r="C7324">
        <v>17</v>
      </c>
      <c r="D7324">
        <v>91</v>
      </c>
    </row>
    <row r="7325" spans="1:4" x14ac:dyDescent="0.25">
      <c r="A7325" s="45" t="s">
        <v>7352</v>
      </c>
      <c r="B7325" s="46" t="s">
        <v>18180</v>
      </c>
      <c r="C7325">
        <v>17</v>
      </c>
      <c r="D7325">
        <v>102</v>
      </c>
    </row>
    <row r="7326" spans="1:4" x14ac:dyDescent="0.25">
      <c r="A7326" s="45" t="s">
        <v>7353</v>
      </c>
      <c r="B7326" s="46" t="s">
        <v>18181</v>
      </c>
      <c r="C7326">
        <v>17</v>
      </c>
      <c r="D7326">
        <v>97</v>
      </c>
    </row>
    <row r="7327" spans="1:4" x14ac:dyDescent="0.25">
      <c r="A7327" s="45" t="s">
        <v>7354</v>
      </c>
      <c r="B7327" s="46" t="s">
        <v>18182</v>
      </c>
      <c r="C7327">
        <v>17</v>
      </c>
      <c r="D7327">
        <v>96</v>
      </c>
    </row>
    <row r="7328" spans="1:4" x14ac:dyDescent="0.25">
      <c r="A7328" s="45" t="s">
        <v>7355</v>
      </c>
      <c r="B7328" s="46" t="s">
        <v>18183</v>
      </c>
      <c r="C7328">
        <v>17</v>
      </c>
      <c r="D7328">
        <v>97</v>
      </c>
    </row>
    <row r="7329" spans="1:4" x14ac:dyDescent="0.25">
      <c r="A7329" s="45" t="s">
        <v>7356</v>
      </c>
      <c r="B7329" s="46" t="s">
        <v>18184</v>
      </c>
      <c r="C7329">
        <v>17</v>
      </c>
      <c r="D7329">
        <v>96</v>
      </c>
    </row>
    <row r="7330" spans="1:4" x14ac:dyDescent="0.25">
      <c r="A7330" s="45" t="s">
        <v>7357</v>
      </c>
      <c r="B7330" s="46" t="s">
        <v>18185</v>
      </c>
      <c r="C7330">
        <v>17</v>
      </c>
      <c r="D7330">
        <v>96</v>
      </c>
    </row>
    <row r="7331" spans="1:4" x14ac:dyDescent="0.25">
      <c r="A7331" s="45" t="s">
        <v>7358</v>
      </c>
      <c r="B7331" s="46" t="s">
        <v>18186</v>
      </c>
      <c r="C7331">
        <v>17</v>
      </c>
      <c r="D7331">
        <v>96</v>
      </c>
    </row>
    <row r="7332" spans="1:4" x14ac:dyDescent="0.25">
      <c r="A7332" s="45" t="s">
        <v>7359</v>
      </c>
      <c r="B7332" s="46" t="s">
        <v>18187</v>
      </c>
      <c r="C7332">
        <v>17</v>
      </c>
      <c r="D7332">
        <v>96</v>
      </c>
    </row>
    <row r="7333" spans="1:4" x14ac:dyDescent="0.25">
      <c r="A7333" s="45" t="s">
        <v>7360</v>
      </c>
      <c r="B7333" s="46" t="s">
        <v>20923</v>
      </c>
      <c r="C7333">
        <v>17</v>
      </c>
      <c r="D7333">
        <v>91</v>
      </c>
    </row>
    <row r="7334" spans="1:4" x14ac:dyDescent="0.25">
      <c r="A7334" s="45" t="s">
        <v>7361</v>
      </c>
      <c r="B7334" s="46" t="s">
        <v>18188</v>
      </c>
      <c r="C7334">
        <v>17</v>
      </c>
      <c r="D7334">
        <v>91</v>
      </c>
    </row>
    <row r="7335" spans="1:4" x14ac:dyDescent="0.25">
      <c r="A7335" s="45" t="s">
        <v>7362</v>
      </c>
      <c r="B7335" s="46" t="s">
        <v>18189</v>
      </c>
      <c r="C7335">
        <v>17</v>
      </c>
      <c r="D7335">
        <v>91</v>
      </c>
    </row>
    <row r="7336" spans="1:4" x14ac:dyDescent="0.25">
      <c r="A7336" s="45" t="s">
        <v>7363</v>
      </c>
      <c r="B7336" s="46" t="s">
        <v>18190</v>
      </c>
      <c r="C7336">
        <v>17</v>
      </c>
      <c r="D7336">
        <v>91</v>
      </c>
    </row>
    <row r="7337" spans="1:4" x14ac:dyDescent="0.25">
      <c r="A7337" s="45" t="s">
        <v>7364</v>
      </c>
      <c r="B7337" s="46" t="s">
        <v>18191</v>
      </c>
      <c r="C7337">
        <v>17</v>
      </c>
      <c r="D7337">
        <v>91</v>
      </c>
    </row>
    <row r="7338" spans="1:4" x14ac:dyDescent="0.25">
      <c r="A7338" s="45" t="s">
        <v>7365</v>
      </c>
      <c r="B7338" s="46" t="s">
        <v>20924</v>
      </c>
      <c r="C7338">
        <v>17</v>
      </c>
      <c r="D7338">
        <v>91</v>
      </c>
    </row>
    <row r="7339" spans="1:4" x14ac:dyDescent="0.25">
      <c r="A7339" s="45" t="s">
        <v>7366</v>
      </c>
      <c r="B7339" s="46" t="s">
        <v>20925</v>
      </c>
      <c r="C7339">
        <v>17</v>
      </c>
      <c r="D7339">
        <v>86</v>
      </c>
    </row>
    <row r="7340" spans="1:4" x14ac:dyDescent="0.25">
      <c r="A7340" s="45" t="s">
        <v>7367</v>
      </c>
      <c r="B7340" s="46" t="s">
        <v>18192</v>
      </c>
      <c r="C7340">
        <v>17</v>
      </c>
      <c r="D7340">
        <v>86</v>
      </c>
    </row>
    <row r="7341" spans="1:4" x14ac:dyDescent="0.25">
      <c r="A7341" s="45" t="s">
        <v>7368</v>
      </c>
      <c r="B7341" s="46" t="s">
        <v>18193</v>
      </c>
      <c r="C7341">
        <v>17</v>
      </c>
      <c r="D7341">
        <v>86</v>
      </c>
    </row>
    <row r="7342" spans="1:4" x14ac:dyDescent="0.25">
      <c r="A7342" s="45" t="s">
        <v>7369</v>
      </c>
      <c r="B7342" s="46" t="s">
        <v>20926</v>
      </c>
      <c r="C7342">
        <v>17</v>
      </c>
      <c r="D7342">
        <v>86</v>
      </c>
    </row>
    <row r="7343" spans="1:4" x14ac:dyDescent="0.25">
      <c r="A7343" s="45" t="s">
        <v>7370</v>
      </c>
      <c r="B7343" s="46" t="s">
        <v>18194</v>
      </c>
      <c r="C7343">
        <v>17</v>
      </c>
      <c r="D7343">
        <v>86</v>
      </c>
    </row>
    <row r="7344" spans="1:4" x14ac:dyDescent="0.25">
      <c r="A7344" s="45" t="s">
        <v>7371</v>
      </c>
      <c r="B7344" s="46" t="s">
        <v>20927</v>
      </c>
      <c r="C7344">
        <v>17</v>
      </c>
      <c r="D7344">
        <v>86</v>
      </c>
    </row>
    <row r="7345" spans="1:4" x14ac:dyDescent="0.25">
      <c r="A7345" s="45" t="s">
        <v>7372</v>
      </c>
      <c r="B7345" s="46" t="s">
        <v>18195</v>
      </c>
      <c r="C7345">
        <v>17</v>
      </c>
      <c r="D7345">
        <v>86</v>
      </c>
    </row>
    <row r="7346" spans="1:4" x14ac:dyDescent="0.25">
      <c r="A7346" s="45" t="s">
        <v>7373</v>
      </c>
      <c r="B7346" s="46" t="s">
        <v>18196</v>
      </c>
      <c r="C7346">
        <v>17</v>
      </c>
      <c r="D7346">
        <v>86</v>
      </c>
    </row>
    <row r="7347" spans="1:4" x14ac:dyDescent="0.25">
      <c r="A7347" s="45" t="s">
        <v>7374</v>
      </c>
      <c r="B7347" s="46" t="s">
        <v>18197</v>
      </c>
      <c r="C7347">
        <v>17</v>
      </c>
      <c r="D7347">
        <v>87</v>
      </c>
    </row>
    <row r="7348" spans="1:4" x14ac:dyDescent="0.25">
      <c r="A7348" s="45" t="s">
        <v>7375</v>
      </c>
      <c r="B7348" s="46" t="s">
        <v>18198</v>
      </c>
      <c r="C7348">
        <v>17</v>
      </c>
      <c r="D7348">
        <v>87</v>
      </c>
    </row>
    <row r="7349" spans="1:4" x14ac:dyDescent="0.25">
      <c r="A7349" s="45" t="s">
        <v>7376</v>
      </c>
      <c r="B7349" s="46" t="s">
        <v>18199</v>
      </c>
      <c r="C7349">
        <v>17</v>
      </c>
      <c r="D7349">
        <v>87</v>
      </c>
    </row>
    <row r="7350" spans="1:4" x14ac:dyDescent="0.25">
      <c r="A7350" s="45" t="s">
        <v>7377</v>
      </c>
      <c r="B7350" s="46" t="s">
        <v>18200</v>
      </c>
      <c r="C7350">
        <v>17</v>
      </c>
      <c r="D7350">
        <v>88</v>
      </c>
    </row>
    <row r="7351" spans="1:4" x14ac:dyDescent="0.25">
      <c r="A7351" s="45" t="s">
        <v>7378</v>
      </c>
      <c r="B7351" s="46" t="s">
        <v>18201</v>
      </c>
      <c r="C7351">
        <v>17</v>
      </c>
      <c r="D7351">
        <v>88</v>
      </c>
    </row>
    <row r="7352" spans="1:4" x14ac:dyDescent="0.25">
      <c r="A7352" s="45" t="s">
        <v>7379</v>
      </c>
      <c r="B7352" s="46" t="s">
        <v>18202</v>
      </c>
      <c r="C7352">
        <v>17</v>
      </c>
      <c r="D7352">
        <v>88</v>
      </c>
    </row>
    <row r="7353" spans="1:4" x14ac:dyDescent="0.25">
      <c r="A7353" s="45" t="s">
        <v>7380</v>
      </c>
      <c r="B7353" s="46" t="s">
        <v>20928</v>
      </c>
      <c r="C7353">
        <v>17</v>
      </c>
      <c r="D7353">
        <v>101</v>
      </c>
    </row>
    <row r="7354" spans="1:4" x14ac:dyDescent="0.25">
      <c r="A7354" s="45" t="s">
        <v>7381</v>
      </c>
      <c r="B7354" s="46" t="s">
        <v>18203</v>
      </c>
      <c r="C7354">
        <v>17</v>
      </c>
      <c r="D7354">
        <v>101</v>
      </c>
    </row>
    <row r="7355" spans="1:4" x14ac:dyDescent="0.25">
      <c r="A7355" s="45" t="s">
        <v>7382</v>
      </c>
      <c r="B7355" s="46" t="s">
        <v>20929</v>
      </c>
      <c r="C7355">
        <v>17</v>
      </c>
      <c r="D7355">
        <v>101</v>
      </c>
    </row>
    <row r="7356" spans="1:4" x14ac:dyDescent="0.25">
      <c r="A7356" s="45" t="s">
        <v>7383</v>
      </c>
      <c r="B7356" s="46" t="s">
        <v>18204</v>
      </c>
      <c r="C7356">
        <v>17</v>
      </c>
      <c r="D7356">
        <v>101</v>
      </c>
    </row>
    <row r="7357" spans="1:4" x14ac:dyDescent="0.25">
      <c r="A7357" s="45" t="s">
        <v>7384</v>
      </c>
      <c r="B7357" s="46" t="s">
        <v>18205</v>
      </c>
      <c r="C7357">
        <v>17</v>
      </c>
      <c r="D7357">
        <v>101</v>
      </c>
    </row>
    <row r="7358" spans="1:4" x14ac:dyDescent="0.25">
      <c r="A7358" s="45" t="s">
        <v>7385</v>
      </c>
      <c r="B7358" s="46" t="s">
        <v>18206</v>
      </c>
      <c r="C7358">
        <v>17</v>
      </c>
      <c r="D7358">
        <v>101</v>
      </c>
    </row>
    <row r="7359" spans="1:4" x14ac:dyDescent="0.25">
      <c r="A7359" s="45" t="s">
        <v>7386</v>
      </c>
      <c r="B7359" s="46" t="s">
        <v>18207</v>
      </c>
      <c r="C7359">
        <v>17</v>
      </c>
      <c r="D7359">
        <v>101</v>
      </c>
    </row>
    <row r="7360" spans="1:4" x14ac:dyDescent="0.25">
      <c r="A7360" s="45" t="s">
        <v>7387</v>
      </c>
      <c r="B7360" s="46" t="s">
        <v>18208</v>
      </c>
      <c r="C7360">
        <v>17</v>
      </c>
      <c r="D7360">
        <v>94</v>
      </c>
    </row>
    <row r="7361" spans="1:4" x14ac:dyDescent="0.25">
      <c r="A7361" s="45" t="s">
        <v>7388</v>
      </c>
      <c r="B7361" s="46" t="s">
        <v>18209</v>
      </c>
      <c r="C7361">
        <v>17</v>
      </c>
      <c r="D7361">
        <v>94</v>
      </c>
    </row>
    <row r="7362" spans="1:4" x14ac:dyDescent="0.25">
      <c r="A7362" s="45" t="s">
        <v>7389</v>
      </c>
      <c r="B7362" s="46" t="s">
        <v>18210</v>
      </c>
      <c r="C7362">
        <v>17</v>
      </c>
      <c r="D7362">
        <v>94</v>
      </c>
    </row>
    <row r="7363" spans="1:4" x14ac:dyDescent="0.25">
      <c r="A7363" s="45" t="s">
        <v>7390</v>
      </c>
      <c r="B7363" s="46" t="s">
        <v>20930</v>
      </c>
      <c r="C7363">
        <v>17</v>
      </c>
      <c r="D7363">
        <v>94</v>
      </c>
    </row>
    <row r="7364" spans="1:4" x14ac:dyDescent="0.25">
      <c r="A7364" s="45" t="s">
        <v>7391</v>
      </c>
      <c r="B7364" s="46" t="s">
        <v>18211</v>
      </c>
      <c r="C7364">
        <v>17</v>
      </c>
      <c r="D7364">
        <v>94</v>
      </c>
    </row>
    <row r="7365" spans="1:4" x14ac:dyDescent="0.25">
      <c r="A7365" s="45" t="s">
        <v>7392</v>
      </c>
      <c r="B7365" s="46" t="s">
        <v>18212</v>
      </c>
      <c r="C7365">
        <v>17</v>
      </c>
      <c r="D7365">
        <v>94</v>
      </c>
    </row>
    <row r="7366" spans="1:4" x14ac:dyDescent="0.25">
      <c r="A7366" s="45" t="s">
        <v>7393</v>
      </c>
      <c r="B7366" s="46" t="s">
        <v>18213</v>
      </c>
      <c r="C7366">
        <v>17</v>
      </c>
      <c r="D7366">
        <v>94</v>
      </c>
    </row>
    <row r="7367" spans="1:4" x14ac:dyDescent="0.25">
      <c r="A7367" s="45" t="s">
        <v>7394</v>
      </c>
      <c r="B7367" s="46" t="s">
        <v>18214</v>
      </c>
      <c r="C7367">
        <v>17</v>
      </c>
      <c r="D7367">
        <v>94</v>
      </c>
    </row>
    <row r="7368" spans="1:4" x14ac:dyDescent="0.25">
      <c r="A7368" s="45" t="s">
        <v>7395</v>
      </c>
      <c r="B7368" s="46" t="s">
        <v>18215</v>
      </c>
      <c r="C7368">
        <v>17</v>
      </c>
      <c r="D7368">
        <v>94</v>
      </c>
    </row>
    <row r="7369" spans="1:4" x14ac:dyDescent="0.25">
      <c r="A7369" s="45" t="s">
        <v>7396</v>
      </c>
      <c r="B7369" s="46" t="s">
        <v>18216</v>
      </c>
      <c r="C7369">
        <v>17</v>
      </c>
      <c r="D7369">
        <v>90</v>
      </c>
    </row>
    <row r="7370" spans="1:4" x14ac:dyDescent="0.25">
      <c r="A7370" s="45" t="s">
        <v>7397</v>
      </c>
      <c r="B7370" s="46" t="s">
        <v>18217</v>
      </c>
      <c r="C7370">
        <v>17</v>
      </c>
      <c r="D7370">
        <v>90</v>
      </c>
    </row>
    <row r="7371" spans="1:4" x14ac:dyDescent="0.25">
      <c r="A7371" s="45" t="s">
        <v>7398</v>
      </c>
      <c r="B7371" s="46" t="s">
        <v>18218</v>
      </c>
      <c r="C7371">
        <v>17</v>
      </c>
      <c r="D7371">
        <v>90</v>
      </c>
    </row>
    <row r="7372" spans="1:4" x14ac:dyDescent="0.25">
      <c r="A7372" s="45" t="s">
        <v>7399</v>
      </c>
      <c r="B7372" s="46" t="s">
        <v>20931</v>
      </c>
      <c r="C7372">
        <v>17</v>
      </c>
      <c r="D7372">
        <v>90</v>
      </c>
    </row>
    <row r="7373" spans="1:4" x14ac:dyDescent="0.25">
      <c r="A7373" s="45" t="s">
        <v>7400</v>
      </c>
      <c r="B7373" s="46" t="s">
        <v>18219</v>
      </c>
      <c r="C7373">
        <v>17</v>
      </c>
      <c r="D7373">
        <v>90</v>
      </c>
    </row>
    <row r="7374" spans="1:4" x14ac:dyDescent="0.25">
      <c r="A7374" s="45" t="s">
        <v>7401</v>
      </c>
      <c r="B7374" s="46" t="s">
        <v>18220</v>
      </c>
      <c r="C7374">
        <v>17</v>
      </c>
      <c r="D7374">
        <v>90</v>
      </c>
    </row>
    <row r="7375" spans="1:4" x14ac:dyDescent="0.25">
      <c r="A7375" s="45" t="s">
        <v>7402</v>
      </c>
      <c r="B7375" s="46" t="s">
        <v>18221</v>
      </c>
      <c r="C7375">
        <v>17</v>
      </c>
      <c r="D7375">
        <v>90</v>
      </c>
    </row>
    <row r="7376" spans="1:4" x14ac:dyDescent="0.25">
      <c r="A7376" s="45" t="s">
        <v>7403</v>
      </c>
      <c r="B7376" s="46" t="s">
        <v>18222</v>
      </c>
      <c r="C7376">
        <v>17</v>
      </c>
      <c r="D7376">
        <v>90</v>
      </c>
    </row>
    <row r="7377" spans="1:4" x14ac:dyDescent="0.25">
      <c r="A7377" s="45" t="s">
        <v>7404</v>
      </c>
      <c r="B7377" s="46" t="s">
        <v>18223</v>
      </c>
      <c r="C7377">
        <v>17</v>
      </c>
      <c r="D7377">
        <v>90</v>
      </c>
    </row>
    <row r="7378" spans="1:4" x14ac:dyDescent="0.25">
      <c r="A7378" s="45" t="s">
        <v>7405</v>
      </c>
      <c r="B7378" s="46" t="s">
        <v>18224</v>
      </c>
      <c r="C7378">
        <v>17</v>
      </c>
      <c r="D7378">
        <v>90</v>
      </c>
    </row>
    <row r="7379" spans="1:4" x14ac:dyDescent="0.25">
      <c r="A7379" s="45" t="s">
        <v>7406</v>
      </c>
      <c r="B7379" s="46" t="s">
        <v>18225</v>
      </c>
      <c r="C7379">
        <v>17</v>
      </c>
      <c r="D7379">
        <v>90</v>
      </c>
    </row>
    <row r="7380" spans="1:4" x14ac:dyDescent="0.25">
      <c r="A7380" s="45" t="s">
        <v>7407</v>
      </c>
      <c r="B7380" s="46" t="s">
        <v>20932</v>
      </c>
      <c r="C7380">
        <v>17</v>
      </c>
      <c r="D7380">
        <v>90</v>
      </c>
    </row>
    <row r="7381" spans="1:4" x14ac:dyDescent="0.25">
      <c r="A7381" s="45" t="s">
        <v>7408</v>
      </c>
      <c r="B7381" s="46" t="s">
        <v>18226</v>
      </c>
      <c r="C7381">
        <v>17</v>
      </c>
      <c r="D7381">
        <v>90</v>
      </c>
    </row>
    <row r="7382" spans="1:4" x14ac:dyDescent="0.25">
      <c r="A7382" s="45" t="s">
        <v>7409</v>
      </c>
      <c r="B7382" s="46" t="s">
        <v>20933</v>
      </c>
      <c r="C7382">
        <v>17</v>
      </c>
      <c r="D7382">
        <v>90</v>
      </c>
    </row>
    <row r="7383" spans="1:4" x14ac:dyDescent="0.25">
      <c r="A7383" s="45" t="s">
        <v>7410</v>
      </c>
      <c r="B7383" s="46" t="s">
        <v>18227</v>
      </c>
      <c r="C7383">
        <v>17</v>
      </c>
      <c r="D7383">
        <v>90</v>
      </c>
    </row>
    <row r="7384" spans="1:4" x14ac:dyDescent="0.25">
      <c r="A7384" s="45" t="s">
        <v>7411</v>
      </c>
      <c r="B7384" s="46" t="s">
        <v>18228</v>
      </c>
      <c r="C7384">
        <v>17</v>
      </c>
      <c r="D7384">
        <v>88</v>
      </c>
    </row>
    <row r="7385" spans="1:4" x14ac:dyDescent="0.25">
      <c r="A7385" s="45" t="s">
        <v>7412</v>
      </c>
      <c r="B7385" s="46" t="s">
        <v>20934</v>
      </c>
      <c r="C7385">
        <v>17</v>
      </c>
      <c r="D7385">
        <v>90</v>
      </c>
    </row>
    <row r="7386" spans="1:4" x14ac:dyDescent="0.25">
      <c r="A7386" s="45" t="s">
        <v>7413</v>
      </c>
      <c r="B7386" s="46" t="s">
        <v>18229</v>
      </c>
      <c r="C7386">
        <v>17</v>
      </c>
      <c r="D7386">
        <v>102</v>
      </c>
    </row>
    <row r="7387" spans="1:4" x14ac:dyDescent="0.25">
      <c r="A7387" s="45" t="s">
        <v>7414</v>
      </c>
      <c r="B7387" s="46" t="s">
        <v>18230</v>
      </c>
      <c r="C7387">
        <v>17</v>
      </c>
      <c r="D7387">
        <v>102</v>
      </c>
    </row>
    <row r="7388" spans="1:4" x14ac:dyDescent="0.25">
      <c r="A7388" s="45" t="s">
        <v>7415</v>
      </c>
      <c r="B7388" s="46" t="s">
        <v>18231</v>
      </c>
      <c r="C7388">
        <v>17</v>
      </c>
      <c r="D7388">
        <v>97</v>
      </c>
    </row>
    <row r="7389" spans="1:4" x14ac:dyDescent="0.25">
      <c r="A7389" s="45" t="s">
        <v>7416</v>
      </c>
      <c r="B7389" s="46" t="s">
        <v>18232</v>
      </c>
      <c r="C7389">
        <v>17</v>
      </c>
      <c r="D7389">
        <v>97</v>
      </c>
    </row>
    <row r="7390" spans="1:4" x14ac:dyDescent="0.25">
      <c r="A7390" s="45" t="s">
        <v>7417</v>
      </c>
      <c r="B7390" s="46" t="s">
        <v>18233</v>
      </c>
      <c r="C7390">
        <v>17</v>
      </c>
      <c r="D7390">
        <v>97</v>
      </c>
    </row>
    <row r="7391" spans="1:4" x14ac:dyDescent="0.25">
      <c r="A7391" s="45" t="s">
        <v>7418</v>
      </c>
      <c r="B7391" s="46" t="s">
        <v>20935</v>
      </c>
      <c r="C7391">
        <v>17</v>
      </c>
      <c r="D7391">
        <v>96</v>
      </c>
    </row>
    <row r="7392" spans="1:4" x14ac:dyDescent="0.25">
      <c r="A7392" s="45" t="s">
        <v>7419</v>
      </c>
      <c r="B7392" s="46" t="s">
        <v>20936</v>
      </c>
      <c r="C7392">
        <v>17</v>
      </c>
      <c r="D7392">
        <v>96</v>
      </c>
    </row>
    <row r="7393" spans="1:4" x14ac:dyDescent="0.25">
      <c r="A7393" s="45" t="s">
        <v>7420</v>
      </c>
      <c r="B7393" s="46" t="s">
        <v>20937</v>
      </c>
      <c r="C7393">
        <v>17</v>
      </c>
      <c r="D7393">
        <v>96</v>
      </c>
    </row>
    <row r="7394" spans="1:4" x14ac:dyDescent="0.25">
      <c r="A7394" s="45" t="s">
        <v>7421</v>
      </c>
      <c r="B7394" s="46" t="s">
        <v>20938</v>
      </c>
      <c r="C7394">
        <v>17</v>
      </c>
      <c r="D7394">
        <v>91</v>
      </c>
    </row>
    <row r="7395" spans="1:4" x14ac:dyDescent="0.25">
      <c r="A7395" s="45" t="s">
        <v>7422</v>
      </c>
      <c r="B7395" s="46" t="s">
        <v>18234</v>
      </c>
      <c r="C7395">
        <v>17</v>
      </c>
      <c r="D7395">
        <v>91</v>
      </c>
    </row>
    <row r="7396" spans="1:4" x14ac:dyDescent="0.25">
      <c r="A7396" s="45" t="s">
        <v>7423</v>
      </c>
      <c r="B7396" s="46" t="s">
        <v>18235</v>
      </c>
      <c r="C7396">
        <v>17</v>
      </c>
      <c r="D7396">
        <v>91</v>
      </c>
    </row>
    <row r="7397" spans="1:4" x14ac:dyDescent="0.25">
      <c r="A7397" s="45" t="s">
        <v>7424</v>
      </c>
      <c r="B7397" s="46" t="s">
        <v>18236</v>
      </c>
      <c r="C7397">
        <v>17</v>
      </c>
      <c r="D7397">
        <v>91</v>
      </c>
    </row>
    <row r="7398" spans="1:4" x14ac:dyDescent="0.25">
      <c r="A7398" s="45" t="s">
        <v>7425</v>
      </c>
      <c r="B7398" s="46" t="s">
        <v>18237</v>
      </c>
      <c r="C7398">
        <v>17</v>
      </c>
      <c r="D7398">
        <v>91</v>
      </c>
    </row>
    <row r="7399" spans="1:4" x14ac:dyDescent="0.25">
      <c r="A7399" s="45" t="s">
        <v>7426</v>
      </c>
      <c r="B7399" s="46" t="s">
        <v>18238</v>
      </c>
      <c r="C7399">
        <v>17</v>
      </c>
      <c r="D7399">
        <v>91</v>
      </c>
    </row>
    <row r="7400" spans="1:4" x14ac:dyDescent="0.25">
      <c r="A7400" s="45" t="s">
        <v>7427</v>
      </c>
      <c r="B7400" s="46" t="s">
        <v>18239</v>
      </c>
      <c r="C7400">
        <v>17</v>
      </c>
      <c r="D7400">
        <v>91</v>
      </c>
    </row>
    <row r="7401" spans="1:4" x14ac:dyDescent="0.25">
      <c r="A7401" s="45" t="s">
        <v>7428</v>
      </c>
      <c r="B7401" s="46" t="s">
        <v>18240</v>
      </c>
      <c r="C7401">
        <v>17</v>
      </c>
      <c r="D7401">
        <v>90</v>
      </c>
    </row>
    <row r="7402" spans="1:4" x14ac:dyDescent="0.25">
      <c r="A7402" s="45" t="s">
        <v>7429</v>
      </c>
      <c r="B7402" s="46" t="s">
        <v>18241</v>
      </c>
      <c r="C7402">
        <v>17</v>
      </c>
      <c r="D7402">
        <v>86</v>
      </c>
    </row>
    <row r="7403" spans="1:4" x14ac:dyDescent="0.25">
      <c r="A7403" s="45" t="s">
        <v>7430</v>
      </c>
      <c r="B7403" s="46" t="s">
        <v>18242</v>
      </c>
      <c r="C7403">
        <v>17</v>
      </c>
      <c r="D7403">
        <v>86</v>
      </c>
    </row>
    <row r="7404" spans="1:4" x14ac:dyDescent="0.25">
      <c r="A7404" s="45" t="s">
        <v>7431</v>
      </c>
      <c r="B7404" s="46" t="s">
        <v>18243</v>
      </c>
      <c r="C7404">
        <v>17</v>
      </c>
      <c r="D7404">
        <v>86</v>
      </c>
    </row>
    <row r="7405" spans="1:4" x14ac:dyDescent="0.25">
      <c r="A7405" s="45" t="s">
        <v>7432</v>
      </c>
      <c r="B7405" s="46" t="s">
        <v>18244</v>
      </c>
      <c r="C7405">
        <v>17</v>
      </c>
      <c r="D7405">
        <v>86</v>
      </c>
    </row>
    <row r="7406" spans="1:4" x14ac:dyDescent="0.25">
      <c r="A7406" s="45" t="s">
        <v>7433</v>
      </c>
      <c r="B7406" s="46" t="s">
        <v>18245</v>
      </c>
      <c r="C7406">
        <v>17</v>
      </c>
      <c r="D7406">
        <v>86</v>
      </c>
    </row>
    <row r="7407" spans="1:4" x14ac:dyDescent="0.25">
      <c r="A7407" s="45" t="s">
        <v>7434</v>
      </c>
      <c r="B7407" s="46" t="s">
        <v>18246</v>
      </c>
      <c r="C7407">
        <v>17</v>
      </c>
      <c r="D7407">
        <v>86</v>
      </c>
    </row>
    <row r="7408" spans="1:4" x14ac:dyDescent="0.25">
      <c r="A7408" s="45" t="s">
        <v>7435</v>
      </c>
      <c r="B7408" s="46" t="s">
        <v>18247</v>
      </c>
      <c r="C7408">
        <v>17</v>
      </c>
      <c r="D7408">
        <v>86</v>
      </c>
    </row>
    <row r="7409" spans="1:4" x14ac:dyDescent="0.25">
      <c r="A7409" s="45" t="s">
        <v>7436</v>
      </c>
      <c r="B7409" s="46" t="s">
        <v>18248</v>
      </c>
      <c r="C7409">
        <v>17</v>
      </c>
      <c r="D7409">
        <v>86</v>
      </c>
    </row>
    <row r="7410" spans="1:4" x14ac:dyDescent="0.25">
      <c r="A7410" s="45" t="s">
        <v>7437</v>
      </c>
      <c r="B7410" s="46" t="s">
        <v>20939</v>
      </c>
      <c r="C7410">
        <v>17</v>
      </c>
      <c r="D7410">
        <v>87</v>
      </c>
    </row>
    <row r="7411" spans="1:4" x14ac:dyDescent="0.25">
      <c r="A7411" s="45" t="s">
        <v>7438</v>
      </c>
      <c r="B7411" s="46" t="s">
        <v>18249</v>
      </c>
      <c r="C7411">
        <v>17</v>
      </c>
      <c r="D7411">
        <v>87</v>
      </c>
    </row>
    <row r="7412" spans="1:4" x14ac:dyDescent="0.25">
      <c r="A7412" s="45" t="s">
        <v>7439</v>
      </c>
      <c r="B7412" s="46" t="s">
        <v>18250</v>
      </c>
      <c r="C7412">
        <v>17</v>
      </c>
      <c r="D7412">
        <v>87</v>
      </c>
    </row>
    <row r="7413" spans="1:4" x14ac:dyDescent="0.25">
      <c r="A7413" s="45" t="s">
        <v>7440</v>
      </c>
      <c r="B7413" s="46" t="s">
        <v>18251</v>
      </c>
      <c r="C7413">
        <v>17</v>
      </c>
      <c r="D7413">
        <v>87</v>
      </c>
    </row>
    <row r="7414" spans="1:4" x14ac:dyDescent="0.25">
      <c r="A7414" s="45" t="s">
        <v>7441</v>
      </c>
      <c r="B7414" s="46" t="s">
        <v>20940</v>
      </c>
      <c r="C7414">
        <v>17</v>
      </c>
      <c r="D7414">
        <v>87</v>
      </c>
    </row>
    <row r="7415" spans="1:4" x14ac:dyDescent="0.25">
      <c r="A7415" s="45" t="s">
        <v>7442</v>
      </c>
      <c r="B7415" s="46" t="s">
        <v>18252</v>
      </c>
      <c r="C7415">
        <v>17</v>
      </c>
      <c r="D7415">
        <v>88</v>
      </c>
    </row>
    <row r="7416" spans="1:4" x14ac:dyDescent="0.25">
      <c r="A7416" s="45" t="s">
        <v>7443</v>
      </c>
      <c r="B7416" s="46" t="s">
        <v>18253</v>
      </c>
      <c r="C7416">
        <v>17</v>
      </c>
      <c r="D7416">
        <v>88</v>
      </c>
    </row>
    <row r="7417" spans="1:4" x14ac:dyDescent="0.25">
      <c r="A7417" s="45" t="s">
        <v>7444</v>
      </c>
      <c r="B7417" s="46" t="s">
        <v>18254</v>
      </c>
      <c r="C7417">
        <v>17</v>
      </c>
      <c r="D7417">
        <v>88</v>
      </c>
    </row>
    <row r="7418" spans="1:4" x14ac:dyDescent="0.25">
      <c r="A7418" s="45" t="s">
        <v>7445</v>
      </c>
      <c r="B7418" s="46" t="s">
        <v>20941</v>
      </c>
      <c r="C7418">
        <v>17</v>
      </c>
      <c r="D7418">
        <v>101</v>
      </c>
    </row>
    <row r="7419" spans="1:4" x14ac:dyDescent="0.25">
      <c r="A7419" s="45" t="s">
        <v>7446</v>
      </c>
      <c r="B7419" s="46" t="s">
        <v>18255</v>
      </c>
      <c r="C7419">
        <v>17</v>
      </c>
      <c r="D7419">
        <v>101</v>
      </c>
    </row>
    <row r="7420" spans="1:4" x14ac:dyDescent="0.25">
      <c r="A7420" s="45" t="s">
        <v>7447</v>
      </c>
      <c r="B7420" s="46" t="s">
        <v>18256</v>
      </c>
      <c r="C7420">
        <v>17</v>
      </c>
      <c r="D7420">
        <v>101</v>
      </c>
    </row>
    <row r="7421" spans="1:4" x14ac:dyDescent="0.25">
      <c r="A7421" s="45" t="s">
        <v>7448</v>
      </c>
      <c r="B7421" s="46" t="s">
        <v>18257</v>
      </c>
      <c r="C7421">
        <v>17</v>
      </c>
      <c r="D7421">
        <v>101</v>
      </c>
    </row>
    <row r="7422" spans="1:4" x14ac:dyDescent="0.25">
      <c r="A7422" s="45" t="s">
        <v>7449</v>
      </c>
      <c r="B7422" s="46" t="s">
        <v>18258</v>
      </c>
      <c r="C7422">
        <v>17</v>
      </c>
      <c r="D7422">
        <v>101</v>
      </c>
    </row>
    <row r="7423" spans="1:4" x14ac:dyDescent="0.25">
      <c r="A7423" s="45" t="s">
        <v>7450</v>
      </c>
      <c r="B7423" s="46" t="s">
        <v>18259</v>
      </c>
      <c r="C7423">
        <v>17</v>
      </c>
      <c r="D7423">
        <v>101</v>
      </c>
    </row>
    <row r="7424" spans="1:4" x14ac:dyDescent="0.25">
      <c r="A7424" s="45" t="s">
        <v>7451</v>
      </c>
      <c r="B7424" s="46" t="s">
        <v>20942</v>
      </c>
      <c r="C7424">
        <v>17</v>
      </c>
      <c r="D7424">
        <v>101</v>
      </c>
    </row>
    <row r="7425" spans="1:4" x14ac:dyDescent="0.25">
      <c r="A7425" s="45" t="s">
        <v>7452</v>
      </c>
      <c r="B7425" s="46" t="s">
        <v>20943</v>
      </c>
      <c r="C7425">
        <v>17</v>
      </c>
      <c r="D7425">
        <v>101</v>
      </c>
    </row>
    <row r="7426" spans="1:4" x14ac:dyDescent="0.25">
      <c r="A7426" s="45" t="s">
        <v>7453</v>
      </c>
      <c r="B7426" s="46" t="s">
        <v>20944</v>
      </c>
      <c r="C7426">
        <v>17</v>
      </c>
      <c r="D7426">
        <v>94</v>
      </c>
    </row>
    <row r="7427" spans="1:4" x14ac:dyDescent="0.25">
      <c r="A7427" s="45" t="s">
        <v>7454</v>
      </c>
      <c r="B7427" s="46" t="s">
        <v>18260</v>
      </c>
      <c r="C7427">
        <v>17</v>
      </c>
      <c r="D7427">
        <v>94</v>
      </c>
    </row>
    <row r="7428" spans="1:4" x14ac:dyDescent="0.25">
      <c r="A7428" s="45" t="s">
        <v>7455</v>
      </c>
      <c r="B7428" s="46" t="s">
        <v>18261</v>
      </c>
      <c r="C7428">
        <v>17</v>
      </c>
      <c r="D7428">
        <v>94</v>
      </c>
    </row>
    <row r="7429" spans="1:4" x14ac:dyDescent="0.25">
      <c r="A7429" s="45" t="s">
        <v>7456</v>
      </c>
      <c r="B7429" s="46" t="s">
        <v>20945</v>
      </c>
      <c r="C7429">
        <v>17</v>
      </c>
      <c r="D7429">
        <v>94</v>
      </c>
    </row>
    <row r="7430" spans="1:4" x14ac:dyDescent="0.25">
      <c r="A7430" s="45" t="s">
        <v>7457</v>
      </c>
      <c r="B7430" s="46" t="s">
        <v>18262</v>
      </c>
      <c r="C7430">
        <v>17</v>
      </c>
      <c r="D7430">
        <v>94</v>
      </c>
    </row>
    <row r="7431" spans="1:4" x14ac:dyDescent="0.25">
      <c r="A7431" s="45" t="s">
        <v>7458</v>
      </c>
      <c r="B7431" s="46" t="s">
        <v>18263</v>
      </c>
      <c r="C7431">
        <v>17</v>
      </c>
      <c r="D7431">
        <v>94</v>
      </c>
    </row>
    <row r="7432" spans="1:4" x14ac:dyDescent="0.25">
      <c r="A7432" s="45" t="s">
        <v>7459</v>
      </c>
      <c r="B7432" s="46" t="s">
        <v>18264</v>
      </c>
      <c r="C7432">
        <v>17</v>
      </c>
      <c r="D7432">
        <v>94</v>
      </c>
    </row>
    <row r="7433" spans="1:4" x14ac:dyDescent="0.25">
      <c r="A7433" s="45" t="s">
        <v>7460</v>
      </c>
      <c r="B7433" s="46" t="s">
        <v>20946</v>
      </c>
      <c r="C7433">
        <v>17</v>
      </c>
      <c r="D7433">
        <v>94</v>
      </c>
    </row>
    <row r="7434" spans="1:4" x14ac:dyDescent="0.25">
      <c r="A7434" s="45" t="s">
        <v>7461</v>
      </c>
      <c r="B7434" s="46" t="s">
        <v>20947</v>
      </c>
      <c r="C7434">
        <v>17</v>
      </c>
      <c r="D7434">
        <v>94</v>
      </c>
    </row>
    <row r="7435" spans="1:4" x14ac:dyDescent="0.25">
      <c r="A7435" s="45" t="s">
        <v>7462</v>
      </c>
      <c r="B7435" s="46" t="s">
        <v>20948</v>
      </c>
      <c r="C7435">
        <v>3</v>
      </c>
      <c r="D7435">
        <v>27</v>
      </c>
    </row>
    <row r="7436" spans="1:4" x14ac:dyDescent="0.25">
      <c r="A7436" s="45" t="s">
        <v>7463</v>
      </c>
      <c r="B7436" s="46" t="s">
        <v>18265</v>
      </c>
      <c r="C7436">
        <v>17</v>
      </c>
      <c r="D7436">
        <v>90</v>
      </c>
    </row>
    <row r="7437" spans="1:4" x14ac:dyDescent="0.25">
      <c r="A7437" s="45" t="s">
        <v>7464</v>
      </c>
      <c r="B7437" s="46" t="s">
        <v>18266</v>
      </c>
      <c r="C7437">
        <v>17</v>
      </c>
      <c r="D7437">
        <v>90</v>
      </c>
    </row>
    <row r="7438" spans="1:4" x14ac:dyDescent="0.25">
      <c r="A7438" s="45" t="s">
        <v>7465</v>
      </c>
      <c r="B7438" s="46" t="s">
        <v>18267</v>
      </c>
      <c r="C7438">
        <v>17</v>
      </c>
      <c r="D7438">
        <v>90</v>
      </c>
    </row>
    <row r="7439" spans="1:4" x14ac:dyDescent="0.25">
      <c r="A7439" s="45" t="s">
        <v>7466</v>
      </c>
      <c r="B7439" s="46" t="s">
        <v>18268</v>
      </c>
      <c r="C7439">
        <v>17</v>
      </c>
      <c r="D7439">
        <v>90</v>
      </c>
    </row>
    <row r="7440" spans="1:4" x14ac:dyDescent="0.25">
      <c r="A7440" s="45" t="s">
        <v>7467</v>
      </c>
      <c r="B7440" s="46" t="s">
        <v>18269</v>
      </c>
      <c r="C7440">
        <v>17</v>
      </c>
      <c r="D7440">
        <v>90</v>
      </c>
    </row>
    <row r="7441" spans="1:4" x14ac:dyDescent="0.25">
      <c r="A7441" s="45" t="s">
        <v>7468</v>
      </c>
      <c r="B7441" s="46" t="s">
        <v>18270</v>
      </c>
      <c r="C7441">
        <v>17</v>
      </c>
      <c r="D7441">
        <v>90</v>
      </c>
    </row>
    <row r="7442" spans="1:4" x14ac:dyDescent="0.25">
      <c r="A7442" s="45" t="s">
        <v>7469</v>
      </c>
      <c r="B7442" s="46" t="s">
        <v>18271</v>
      </c>
      <c r="C7442">
        <v>17</v>
      </c>
      <c r="D7442">
        <v>90</v>
      </c>
    </row>
    <row r="7443" spans="1:4" x14ac:dyDescent="0.25">
      <c r="A7443" s="45" t="s">
        <v>7470</v>
      </c>
      <c r="B7443" s="46" t="s">
        <v>18272</v>
      </c>
      <c r="C7443">
        <v>17</v>
      </c>
      <c r="D7443">
        <v>90</v>
      </c>
    </row>
    <row r="7444" spans="1:4" x14ac:dyDescent="0.25">
      <c r="A7444" s="45" t="s">
        <v>7471</v>
      </c>
      <c r="B7444" s="46" t="s">
        <v>18273</v>
      </c>
      <c r="C7444">
        <v>17</v>
      </c>
      <c r="D7444">
        <v>90</v>
      </c>
    </row>
    <row r="7445" spans="1:4" x14ac:dyDescent="0.25">
      <c r="A7445" s="45" t="s">
        <v>7472</v>
      </c>
      <c r="B7445" s="46" t="s">
        <v>18274</v>
      </c>
      <c r="C7445">
        <v>17</v>
      </c>
      <c r="D7445">
        <v>90</v>
      </c>
    </row>
    <row r="7446" spans="1:4" x14ac:dyDescent="0.25">
      <c r="A7446" s="45" t="s">
        <v>7473</v>
      </c>
      <c r="B7446" s="46" t="s">
        <v>18275</v>
      </c>
      <c r="C7446">
        <v>17</v>
      </c>
      <c r="D7446">
        <v>90</v>
      </c>
    </row>
    <row r="7447" spans="1:4" x14ac:dyDescent="0.25">
      <c r="A7447" s="45" t="s">
        <v>7474</v>
      </c>
      <c r="B7447" s="46" t="s">
        <v>18276</v>
      </c>
      <c r="C7447">
        <v>17</v>
      </c>
      <c r="D7447">
        <v>90</v>
      </c>
    </row>
    <row r="7448" spans="1:4" x14ac:dyDescent="0.25">
      <c r="A7448" s="45" t="s">
        <v>7475</v>
      </c>
      <c r="B7448" s="46" t="s">
        <v>18277</v>
      </c>
      <c r="C7448">
        <v>17</v>
      </c>
      <c r="D7448">
        <v>90</v>
      </c>
    </row>
    <row r="7449" spans="1:4" x14ac:dyDescent="0.25">
      <c r="A7449" s="45" t="s">
        <v>7476</v>
      </c>
      <c r="B7449" s="46" t="s">
        <v>18278</v>
      </c>
      <c r="C7449">
        <v>17</v>
      </c>
      <c r="D7449">
        <v>90</v>
      </c>
    </row>
    <row r="7450" spans="1:4" x14ac:dyDescent="0.25">
      <c r="A7450" s="45" t="s">
        <v>7477</v>
      </c>
      <c r="B7450" s="46" t="s">
        <v>18279</v>
      </c>
      <c r="C7450">
        <v>17</v>
      </c>
      <c r="D7450">
        <v>90</v>
      </c>
    </row>
    <row r="7451" spans="1:4" x14ac:dyDescent="0.25">
      <c r="A7451" s="45" t="s">
        <v>7478</v>
      </c>
      <c r="B7451" s="46" t="s">
        <v>18280</v>
      </c>
      <c r="C7451">
        <v>17</v>
      </c>
      <c r="D7451">
        <v>90</v>
      </c>
    </row>
    <row r="7452" spans="1:4" x14ac:dyDescent="0.25">
      <c r="A7452" s="45" t="s">
        <v>7479</v>
      </c>
      <c r="B7452" s="46" t="s">
        <v>18281</v>
      </c>
      <c r="C7452">
        <v>17</v>
      </c>
      <c r="D7452">
        <v>90</v>
      </c>
    </row>
    <row r="7453" spans="1:4" x14ac:dyDescent="0.25">
      <c r="A7453" s="45" t="s">
        <v>7480</v>
      </c>
      <c r="B7453" s="46" t="s">
        <v>18282</v>
      </c>
      <c r="C7453">
        <v>17</v>
      </c>
      <c r="D7453">
        <v>90</v>
      </c>
    </row>
    <row r="7454" spans="1:4" x14ac:dyDescent="0.25">
      <c r="A7454" s="45" t="s">
        <v>7481</v>
      </c>
      <c r="B7454" s="46" t="s">
        <v>18283</v>
      </c>
      <c r="C7454">
        <v>17</v>
      </c>
      <c r="D7454">
        <v>90</v>
      </c>
    </row>
    <row r="7455" spans="1:4" x14ac:dyDescent="0.25">
      <c r="A7455" s="45" t="s">
        <v>7482</v>
      </c>
      <c r="B7455" s="46" t="s">
        <v>18284</v>
      </c>
      <c r="C7455">
        <v>17</v>
      </c>
      <c r="D7455">
        <v>98</v>
      </c>
    </row>
    <row r="7456" spans="1:4" x14ac:dyDescent="0.25">
      <c r="A7456" s="45" t="s">
        <v>7483</v>
      </c>
      <c r="B7456" s="46" t="s">
        <v>18285</v>
      </c>
      <c r="C7456">
        <v>17</v>
      </c>
      <c r="D7456">
        <v>98</v>
      </c>
    </row>
    <row r="7457" spans="1:4" x14ac:dyDescent="0.25">
      <c r="A7457" s="45" t="s">
        <v>7484</v>
      </c>
      <c r="B7457" s="46" t="s">
        <v>20949</v>
      </c>
      <c r="C7457">
        <v>17</v>
      </c>
      <c r="D7457">
        <v>91</v>
      </c>
    </row>
    <row r="7458" spans="1:4" x14ac:dyDescent="0.25">
      <c r="A7458" s="45" t="s">
        <v>7485</v>
      </c>
      <c r="B7458" s="46" t="s">
        <v>18286</v>
      </c>
      <c r="C7458">
        <v>17</v>
      </c>
      <c r="D7458">
        <v>91</v>
      </c>
    </row>
    <row r="7459" spans="1:4" x14ac:dyDescent="0.25">
      <c r="A7459" s="45" t="s">
        <v>7486</v>
      </c>
      <c r="B7459" s="46" t="s">
        <v>20950</v>
      </c>
      <c r="C7459">
        <v>17</v>
      </c>
      <c r="D7459">
        <v>102</v>
      </c>
    </row>
    <row r="7460" spans="1:4" x14ac:dyDescent="0.25">
      <c r="A7460" s="45" t="s">
        <v>7487</v>
      </c>
      <c r="B7460" s="46" t="s">
        <v>20951</v>
      </c>
      <c r="C7460">
        <v>17</v>
      </c>
      <c r="D7460">
        <v>90</v>
      </c>
    </row>
    <row r="7461" spans="1:4" x14ac:dyDescent="0.25">
      <c r="A7461" s="45" t="s">
        <v>7488</v>
      </c>
      <c r="B7461" s="46" t="s">
        <v>18287</v>
      </c>
      <c r="C7461">
        <v>17</v>
      </c>
      <c r="D7461">
        <v>90</v>
      </c>
    </row>
    <row r="7462" spans="1:4" x14ac:dyDescent="0.25">
      <c r="A7462" s="45" t="s">
        <v>7489</v>
      </c>
      <c r="B7462" s="46" t="s">
        <v>20952</v>
      </c>
      <c r="C7462">
        <v>17</v>
      </c>
      <c r="D7462">
        <v>90</v>
      </c>
    </row>
    <row r="7463" spans="1:4" x14ac:dyDescent="0.25">
      <c r="A7463" s="45" t="s">
        <v>7490</v>
      </c>
      <c r="B7463" s="46" t="s">
        <v>20953</v>
      </c>
      <c r="C7463">
        <v>17</v>
      </c>
      <c r="D7463">
        <v>90</v>
      </c>
    </row>
    <row r="7464" spans="1:4" x14ac:dyDescent="0.25">
      <c r="A7464" s="45" t="s">
        <v>7491</v>
      </c>
      <c r="B7464" s="46" t="s">
        <v>20954</v>
      </c>
      <c r="C7464">
        <v>17</v>
      </c>
      <c r="D7464">
        <v>97</v>
      </c>
    </row>
    <row r="7465" spans="1:4" x14ac:dyDescent="0.25">
      <c r="A7465" s="45" t="s">
        <v>7492</v>
      </c>
      <c r="B7465" s="46" t="s">
        <v>18288</v>
      </c>
      <c r="C7465">
        <v>17</v>
      </c>
      <c r="D7465">
        <v>96</v>
      </c>
    </row>
    <row r="7466" spans="1:4" x14ac:dyDescent="0.25">
      <c r="A7466" s="45" t="s">
        <v>7493</v>
      </c>
      <c r="B7466" s="46" t="s">
        <v>18289</v>
      </c>
      <c r="C7466">
        <v>17</v>
      </c>
      <c r="D7466">
        <v>96</v>
      </c>
    </row>
    <row r="7467" spans="1:4" x14ac:dyDescent="0.25">
      <c r="A7467" s="45" t="s">
        <v>7494</v>
      </c>
      <c r="B7467" s="46" t="s">
        <v>18290</v>
      </c>
      <c r="C7467">
        <v>17</v>
      </c>
      <c r="D7467">
        <v>96</v>
      </c>
    </row>
    <row r="7468" spans="1:4" x14ac:dyDescent="0.25">
      <c r="A7468" s="45" t="s">
        <v>7495</v>
      </c>
      <c r="B7468" s="46" t="s">
        <v>18291</v>
      </c>
      <c r="C7468">
        <v>17</v>
      </c>
      <c r="D7468">
        <v>92</v>
      </c>
    </row>
    <row r="7469" spans="1:4" x14ac:dyDescent="0.25">
      <c r="A7469" s="45" t="s">
        <v>7496</v>
      </c>
      <c r="B7469" s="46" t="s">
        <v>18292</v>
      </c>
      <c r="C7469">
        <v>17</v>
      </c>
      <c r="D7469">
        <v>92</v>
      </c>
    </row>
    <row r="7470" spans="1:4" x14ac:dyDescent="0.25">
      <c r="A7470" s="45" t="s">
        <v>7497</v>
      </c>
      <c r="B7470" s="46" t="s">
        <v>18293</v>
      </c>
      <c r="C7470">
        <v>17</v>
      </c>
      <c r="D7470">
        <v>92</v>
      </c>
    </row>
    <row r="7471" spans="1:4" x14ac:dyDescent="0.25">
      <c r="A7471" s="45" t="s">
        <v>7498</v>
      </c>
      <c r="B7471" s="46" t="s">
        <v>18294</v>
      </c>
      <c r="C7471">
        <v>17</v>
      </c>
      <c r="D7471">
        <v>92</v>
      </c>
    </row>
    <row r="7472" spans="1:4" x14ac:dyDescent="0.25">
      <c r="A7472" s="45" t="s">
        <v>7499</v>
      </c>
      <c r="B7472" s="46" t="s">
        <v>20955</v>
      </c>
      <c r="C7472">
        <v>17</v>
      </c>
      <c r="D7472">
        <v>86</v>
      </c>
    </row>
    <row r="7473" spans="1:4" x14ac:dyDescent="0.25">
      <c r="A7473" s="45" t="s">
        <v>7500</v>
      </c>
      <c r="B7473" s="46" t="s">
        <v>18295</v>
      </c>
      <c r="C7473">
        <v>17</v>
      </c>
      <c r="D7473">
        <v>86</v>
      </c>
    </row>
    <row r="7474" spans="1:4" x14ac:dyDescent="0.25">
      <c r="A7474" s="45" t="s">
        <v>7501</v>
      </c>
      <c r="B7474" s="46" t="s">
        <v>18296</v>
      </c>
      <c r="C7474">
        <v>17</v>
      </c>
      <c r="D7474">
        <v>86</v>
      </c>
    </row>
    <row r="7475" spans="1:4" x14ac:dyDescent="0.25">
      <c r="A7475" s="45" t="s">
        <v>7502</v>
      </c>
      <c r="B7475" s="46" t="s">
        <v>18297</v>
      </c>
      <c r="C7475">
        <v>17</v>
      </c>
      <c r="D7475">
        <v>86</v>
      </c>
    </row>
    <row r="7476" spans="1:4" x14ac:dyDescent="0.25">
      <c r="A7476" s="45" t="s">
        <v>7503</v>
      </c>
      <c r="B7476" s="46" t="s">
        <v>18298</v>
      </c>
      <c r="C7476">
        <v>17</v>
      </c>
      <c r="D7476">
        <v>86</v>
      </c>
    </row>
    <row r="7477" spans="1:4" x14ac:dyDescent="0.25">
      <c r="A7477" s="45" t="s">
        <v>7504</v>
      </c>
      <c r="B7477" s="46" t="s">
        <v>18299</v>
      </c>
      <c r="C7477">
        <v>17</v>
      </c>
      <c r="D7477">
        <v>86</v>
      </c>
    </row>
    <row r="7478" spans="1:4" x14ac:dyDescent="0.25">
      <c r="A7478" s="45" t="s">
        <v>7505</v>
      </c>
      <c r="B7478" s="46" t="s">
        <v>18300</v>
      </c>
      <c r="C7478">
        <v>17</v>
      </c>
      <c r="D7478">
        <v>86</v>
      </c>
    </row>
    <row r="7479" spans="1:4" x14ac:dyDescent="0.25">
      <c r="A7479" s="45" t="s">
        <v>7506</v>
      </c>
      <c r="B7479" s="46" t="s">
        <v>18301</v>
      </c>
      <c r="C7479">
        <v>17</v>
      </c>
      <c r="D7479">
        <v>86</v>
      </c>
    </row>
    <row r="7480" spans="1:4" x14ac:dyDescent="0.25">
      <c r="A7480" s="45" t="s">
        <v>7507</v>
      </c>
      <c r="B7480" s="46" t="s">
        <v>18302</v>
      </c>
      <c r="C7480">
        <v>17</v>
      </c>
      <c r="D7480">
        <v>87</v>
      </c>
    </row>
    <row r="7481" spans="1:4" x14ac:dyDescent="0.25">
      <c r="A7481" s="45" t="s">
        <v>7508</v>
      </c>
      <c r="B7481" s="46" t="s">
        <v>18303</v>
      </c>
      <c r="C7481">
        <v>17</v>
      </c>
      <c r="D7481">
        <v>87</v>
      </c>
    </row>
    <row r="7482" spans="1:4" x14ac:dyDescent="0.25">
      <c r="A7482" s="45" t="s">
        <v>7509</v>
      </c>
      <c r="B7482" s="46" t="s">
        <v>18304</v>
      </c>
      <c r="C7482">
        <v>17</v>
      </c>
      <c r="D7482">
        <v>87</v>
      </c>
    </row>
    <row r="7483" spans="1:4" x14ac:dyDescent="0.25">
      <c r="A7483" s="45" t="s">
        <v>7510</v>
      </c>
      <c r="B7483" s="46" t="s">
        <v>18305</v>
      </c>
      <c r="C7483">
        <v>17</v>
      </c>
      <c r="D7483">
        <v>87</v>
      </c>
    </row>
    <row r="7484" spans="1:4" x14ac:dyDescent="0.25">
      <c r="A7484" s="45" t="s">
        <v>7511</v>
      </c>
      <c r="B7484" s="46" t="s">
        <v>20956</v>
      </c>
      <c r="C7484">
        <v>17</v>
      </c>
      <c r="D7484">
        <v>88</v>
      </c>
    </row>
    <row r="7485" spans="1:4" x14ac:dyDescent="0.25">
      <c r="A7485" s="45" t="s">
        <v>7512</v>
      </c>
      <c r="B7485" s="46" t="s">
        <v>18306</v>
      </c>
      <c r="C7485">
        <v>17</v>
      </c>
      <c r="D7485">
        <v>88</v>
      </c>
    </row>
    <row r="7486" spans="1:4" x14ac:dyDescent="0.25">
      <c r="A7486" s="45" t="s">
        <v>7513</v>
      </c>
      <c r="B7486" s="46" t="s">
        <v>18307</v>
      </c>
      <c r="C7486">
        <v>17</v>
      </c>
      <c r="D7486">
        <v>88</v>
      </c>
    </row>
    <row r="7487" spans="1:4" x14ac:dyDescent="0.25">
      <c r="A7487" s="45" t="s">
        <v>7514</v>
      </c>
      <c r="B7487" s="46" t="s">
        <v>18308</v>
      </c>
      <c r="C7487">
        <v>17</v>
      </c>
      <c r="D7487">
        <v>88</v>
      </c>
    </row>
    <row r="7488" spans="1:4" x14ac:dyDescent="0.25">
      <c r="A7488" s="45" t="s">
        <v>7515</v>
      </c>
      <c r="B7488" s="46" t="s">
        <v>20957</v>
      </c>
      <c r="C7488">
        <v>17</v>
      </c>
      <c r="D7488">
        <v>101</v>
      </c>
    </row>
    <row r="7489" spans="1:4" x14ac:dyDescent="0.25">
      <c r="A7489" s="45" t="s">
        <v>7516</v>
      </c>
      <c r="B7489" s="46" t="s">
        <v>18309</v>
      </c>
      <c r="C7489">
        <v>17</v>
      </c>
      <c r="D7489">
        <v>101</v>
      </c>
    </row>
    <row r="7490" spans="1:4" x14ac:dyDescent="0.25">
      <c r="A7490" s="45" t="s">
        <v>7517</v>
      </c>
      <c r="B7490" s="46" t="s">
        <v>18310</v>
      </c>
      <c r="C7490">
        <v>17</v>
      </c>
      <c r="D7490">
        <v>101</v>
      </c>
    </row>
    <row r="7491" spans="1:4" x14ac:dyDescent="0.25">
      <c r="A7491" s="45" t="s">
        <v>7518</v>
      </c>
      <c r="B7491" s="46" t="s">
        <v>18311</v>
      </c>
      <c r="C7491">
        <v>17</v>
      </c>
      <c r="D7491">
        <v>101</v>
      </c>
    </row>
    <row r="7492" spans="1:4" x14ac:dyDescent="0.25">
      <c r="A7492" s="45" t="s">
        <v>7519</v>
      </c>
      <c r="B7492" s="46" t="s">
        <v>18312</v>
      </c>
      <c r="C7492">
        <v>17</v>
      </c>
      <c r="D7492">
        <v>101</v>
      </c>
    </row>
    <row r="7493" spans="1:4" x14ac:dyDescent="0.25">
      <c r="A7493" s="45" t="s">
        <v>7520</v>
      </c>
      <c r="B7493" s="46" t="s">
        <v>18313</v>
      </c>
      <c r="C7493">
        <v>17</v>
      </c>
      <c r="D7493">
        <v>101</v>
      </c>
    </row>
    <row r="7494" spans="1:4" x14ac:dyDescent="0.25">
      <c r="A7494" s="45" t="s">
        <v>7521</v>
      </c>
      <c r="B7494" s="46" t="s">
        <v>20958</v>
      </c>
      <c r="C7494">
        <v>17</v>
      </c>
      <c r="D7494">
        <v>101</v>
      </c>
    </row>
    <row r="7495" spans="1:4" x14ac:dyDescent="0.25">
      <c r="A7495" s="45" t="s">
        <v>7522</v>
      </c>
      <c r="B7495" s="46" t="s">
        <v>20959</v>
      </c>
      <c r="C7495">
        <v>17</v>
      </c>
      <c r="D7495">
        <v>101</v>
      </c>
    </row>
    <row r="7496" spans="1:4" x14ac:dyDescent="0.25">
      <c r="A7496" s="45" t="s">
        <v>7523</v>
      </c>
      <c r="B7496" s="46" t="s">
        <v>18314</v>
      </c>
      <c r="C7496">
        <v>17</v>
      </c>
      <c r="D7496">
        <v>101</v>
      </c>
    </row>
    <row r="7497" spans="1:4" x14ac:dyDescent="0.25">
      <c r="A7497" s="45" t="s">
        <v>7524</v>
      </c>
      <c r="B7497" s="46" t="s">
        <v>18315</v>
      </c>
      <c r="C7497">
        <v>17</v>
      </c>
      <c r="D7497">
        <v>94</v>
      </c>
    </row>
    <row r="7498" spans="1:4" x14ac:dyDescent="0.25">
      <c r="A7498" s="45" t="s">
        <v>7525</v>
      </c>
      <c r="B7498" s="46" t="s">
        <v>18316</v>
      </c>
      <c r="C7498">
        <v>17</v>
      </c>
      <c r="D7498">
        <v>94</v>
      </c>
    </row>
    <row r="7499" spans="1:4" x14ac:dyDescent="0.25">
      <c r="A7499" s="45" t="s">
        <v>7526</v>
      </c>
      <c r="B7499" s="46" t="s">
        <v>18317</v>
      </c>
      <c r="C7499">
        <v>17</v>
      </c>
      <c r="D7499">
        <v>94</v>
      </c>
    </row>
    <row r="7500" spans="1:4" x14ac:dyDescent="0.25">
      <c r="A7500" s="45" t="s">
        <v>7527</v>
      </c>
      <c r="B7500" s="46" t="s">
        <v>18318</v>
      </c>
      <c r="C7500">
        <v>17</v>
      </c>
      <c r="D7500">
        <v>94</v>
      </c>
    </row>
    <row r="7501" spans="1:4" x14ac:dyDescent="0.25">
      <c r="A7501" s="45" t="s">
        <v>7528</v>
      </c>
      <c r="B7501" s="46" t="s">
        <v>20960</v>
      </c>
      <c r="C7501">
        <v>17</v>
      </c>
      <c r="D7501">
        <v>94</v>
      </c>
    </row>
    <row r="7502" spans="1:4" x14ac:dyDescent="0.25">
      <c r="A7502" s="45" t="s">
        <v>7529</v>
      </c>
      <c r="B7502" s="46" t="s">
        <v>20961</v>
      </c>
      <c r="C7502">
        <v>17</v>
      </c>
      <c r="D7502">
        <v>94</v>
      </c>
    </row>
    <row r="7503" spans="1:4" x14ac:dyDescent="0.25">
      <c r="A7503" s="45" t="s">
        <v>7530</v>
      </c>
      <c r="B7503" s="46" t="s">
        <v>18319</v>
      </c>
      <c r="C7503">
        <v>17</v>
      </c>
      <c r="D7503">
        <v>94</v>
      </c>
    </row>
    <row r="7504" spans="1:4" x14ac:dyDescent="0.25">
      <c r="A7504" s="45" t="s">
        <v>7531</v>
      </c>
      <c r="B7504" s="46" t="s">
        <v>20962</v>
      </c>
      <c r="C7504">
        <v>17</v>
      </c>
      <c r="D7504">
        <v>102</v>
      </c>
    </row>
    <row r="7505" spans="1:4" x14ac:dyDescent="0.25">
      <c r="A7505" s="45" t="s">
        <v>7532</v>
      </c>
      <c r="B7505" s="46" t="s">
        <v>20963</v>
      </c>
      <c r="C7505">
        <v>17</v>
      </c>
      <c r="D7505">
        <v>102</v>
      </c>
    </row>
    <row r="7506" spans="1:4" x14ac:dyDescent="0.25">
      <c r="A7506" s="45" t="s">
        <v>7533</v>
      </c>
      <c r="B7506" s="46" t="s">
        <v>20964</v>
      </c>
      <c r="C7506">
        <v>17</v>
      </c>
      <c r="D7506">
        <v>102</v>
      </c>
    </row>
    <row r="7507" spans="1:4" x14ac:dyDescent="0.25">
      <c r="A7507" s="45" t="s">
        <v>7534</v>
      </c>
      <c r="B7507" s="46" t="s">
        <v>20965</v>
      </c>
      <c r="C7507">
        <v>17</v>
      </c>
      <c r="D7507">
        <v>102</v>
      </c>
    </row>
    <row r="7508" spans="1:4" x14ac:dyDescent="0.25">
      <c r="A7508" s="45" t="s">
        <v>7535</v>
      </c>
      <c r="B7508" s="46" t="s">
        <v>20966</v>
      </c>
      <c r="C7508">
        <v>17</v>
      </c>
      <c r="D7508">
        <v>102</v>
      </c>
    </row>
    <row r="7509" spans="1:4" x14ac:dyDescent="0.25">
      <c r="A7509" s="45" t="s">
        <v>7536</v>
      </c>
      <c r="B7509" s="46" t="s">
        <v>20967</v>
      </c>
      <c r="C7509">
        <v>17</v>
      </c>
      <c r="D7509">
        <v>102</v>
      </c>
    </row>
    <row r="7510" spans="1:4" x14ac:dyDescent="0.25">
      <c r="A7510" s="45" t="s">
        <v>7537</v>
      </c>
      <c r="B7510" s="46" t="s">
        <v>20968</v>
      </c>
      <c r="C7510">
        <v>17</v>
      </c>
      <c r="D7510">
        <v>102</v>
      </c>
    </row>
    <row r="7511" spans="1:4" x14ac:dyDescent="0.25">
      <c r="A7511" s="45" t="s">
        <v>7538</v>
      </c>
      <c r="B7511" s="46" t="s">
        <v>20969</v>
      </c>
      <c r="C7511">
        <v>17</v>
      </c>
      <c r="D7511">
        <v>98</v>
      </c>
    </row>
    <row r="7512" spans="1:4" x14ac:dyDescent="0.25">
      <c r="A7512" s="45" t="s">
        <v>7539</v>
      </c>
      <c r="B7512" s="46" t="s">
        <v>18320</v>
      </c>
      <c r="C7512">
        <v>17</v>
      </c>
      <c r="D7512">
        <v>92</v>
      </c>
    </row>
    <row r="7513" spans="1:4" x14ac:dyDescent="0.25">
      <c r="A7513" s="45" t="s">
        <v>7540</v>
      </c>
      <c r="B7513" s="46" t="s">
        <v>20970</v>
      </c>
      <c r="C7513">
        <v>17</v>
      </c>
      <c r="D7513">
        <v>92</v>
      </c>
    </row>
    <row r="7514" spans="1:4" x14ac:dyDescent="0.25">
      <c r="A7514" s="45" t="s">
        <v>7541</v>
      </c>
      <c r="B7514" s="46" t="s">
        <v>18321</v>
      </c>
      <c r="C7514">
        <v>17</v>
      </c>
      <c r="D7514">
        <v>92</v>
      </c>
    </row>
    <row r="7515" spans="1:4" x14ac:dyDescent="0.25">
      <c r="A7515" s="45" t="s">
        <v>7542</v>
      </c>
      <c r="B7515" s="46" t="s">
        <v>18322</v>
      </c>
      <c r="C7515">
        <v>17</v>
      </c>
      <c r="D7515">
        <v>102</v>
      </c>
    </row>
    <row r="7516" spans="1:4" x14ac:dyDescent="0.25">
      <c r="A7516" s="45" t="s">
        <v>7543</v>
      </c>
      <c r="B7516" s="46" t="s">
        <v>18323</v>
      </c>
      <c r="C7516">
        <v>17</v>
      </c>
      <c r="D7516">
        <v>102</v>
      </c>
    </row>
    <row r="7517" spans="1:4" x14ac:dyDescent="0.25">
      <c r="A7517" s="45" t="s">
        <v>7544</v>
      </c>
      <c r="B7517" s="46" t="s">
        <v>18324</v>
      </c>
      <c r="C7517">
        <v>17</v>
      </c>
      <c r="D7517">
        <v>102</v>
      </c>
    </row>
    <row r="7518" spans="1:4" x14ac:dyDescent="0.25">
      <c r="A7518" s="45" t="s">
        <v>7545</v>
      </c>
      <c r="B7518" s="46" t="s">
        <v>18325</v>
      </c>
      <c r="C7518">
        <v>17</v>
      </c>
      <c r="D7518">
        <v>97</v>
      </c>
    </row>
    <row r="7519" spans="1:4" x14ac:dyDescent="0.25">
      <c r="A7519" s="45" t="s">
        <v>7546</v>
      </c>
      <c r="B7519" s="46" t="s">
        <v>18326</v>
      </c>
      <c r="C7519">
        <v>17</v>
      </c>
      <c r="D7519">
        <v>97</v>
      </c>
    </row>
    <row r="7520" spans="1:4" x14ac:dyDescent="0.25">
      <c r="A7520" s="45" t="s">
        <v>7547</v>
      </c>
      <c r="B7520" s="46" t="s">
        <v>18327</v>
      </c>
      <c r="C7520">
        <v>17</v>
      </c>
      <c r="D7520">
        <v>96</v>
      </c>
    </row>
    <row r="7521" spans="1:4" x14ac:dyDescent="0.25">
      <c r="A7521" s="45" t="s">
        <v>7548</v>
      </c>
      <c r="B7521" s="46" t="s">
        <v>18328</v>
      </c>
      <c r="C7521">
        <v>17</v>
      </c>
      <c r="D7521">
        <v>96</v>
      </c>
    </row>
    <row r="7522" spans="1:4" x14ac:dyDescent="0.25">
      <c r="A7522" s="45" t="s">
        <v>7549</v>
      </c>
      <c r="B7522" s="46" t="s">
        <v>18329</v>
      </c>
      <c r="C7522">
        <v>17</v>
      </c>
      <c r="D7522">
        <v>96</v>
      </c>
    </row>
    <row r="7523" spans="1:4" x14ac:dyDescent="0.25">
      <c r="A7523" s="45" t="s">
        <v>7550</v>
      </c>
      <c r="B7523" s="46" t="s">
        <v>18330</v>
      </c>
      <c r="C7523">
        <v>17</v>
      </c>
      <c r="D7523">
        <v>92</v>
      </c>
    </row>
    <row r="7524" spans="1:4" x14ac:dyDescent="0.25">
      <c r="A7524" s="45" t="s">
        <v>7551</v>
      </c>
      <c r="B7524" s="46" t="s">
        <v>18331</v>
      </c>
      <c r="C7524">
        <v>17</v>
      </c>
      <c r="D7524">
        <v>92</v>
      </c>
    </row>
    <row r="7525" spans="1:4" x14ac:dyDescent="0.25">
      <c r="A7525" s="45" t="s">
        <v>7552</v>
      </c>
      <c r="B7525" s="46" t="s">
        <v>18332</v>
      </c>
      <c r="C7525">
        <v>17</v>
      </c>
      <c r="D7525">
        <v>92</v>
      </c>
    </row>
    <row r="7526" spans="1:4" x14ac:dyDescent="0.25">
      <c r="A7526" s="45" t="s">
        <v>7553</v>
      </c>
      <c r="B7526" s="46" t="s">
        <v>20971</v>
      </c>
      <c r="C7526">
        <v>17</v>
      </c>
      <c r="D7526">
        <v>92</v>
      </c>
    </row>
    <row r="7527" spans="1:4" x14ac:dyDescent="0.25">
      <c r="A7527" s="45" t="s">
        <v>7554</v>
      </c>
      <c r="B7527" s="46" t="s">
        <v>20972</v>
      </c>
      <c r="C7527">
        <v>17</v>
      </c>
      <c r="D7527">
        <v>86</v>
      </c>
    </row>
    <row r="7528" spans="1:4" x14ac:dyDescent="0.25">
      <c r="A7528" s="45" t="s">
        <v>7555</v>
      </c>
      <c r="B7528" s="46" t="s">
        <v>18333</v>
      </c>
      <c r="C7528">
        <v>17</v>
      </c>
      <c r="D7528">
        <v>86</v>
      </c>
    </row>
    <row r="7529" spans="1:4" x14ac:dyDescent="0.25">
      <c r="A7529" s="45" t="s">
        <v>7556</v>
      </c>
      <c r="B7529" s="46" t="s">
        <v>18334</v>
      </c>
      <c r="C7529">
        <v>17</v>
      </c>
      <c r="D7529">
        <v>86</v>
      </c>
    </row>
    <row r="7530" spans="1:4" x14ac:dyDescent="0.25">
      <c r="A7530" s="45" t="s">
        <v>7557</v>
      </c>
      <c r="B7530" s="46" t="s">
        <v>18335</v>
      </c>
      <c r="C7530">
        <v>17</v>
      </c>
      <c r="D7530">
        <v>86</v>
      </c>
    </row>
    <row r="7531" spans="1:4" x14ac:dyDescent="0.25">
      <c r="A7531" s="45" t="s">
        <v>7558</v>
      </c>
      <c r="B7531" s="46" t="s">
        <v>18336</v>
      </c>
      <c r="C7531">
        <v>17</v>
      </c>
      <c r="D7531">
        <v>86</v>
      </c>
    </row>
    <row r="7532" spans="1:4" x14ac:dyDescent="0.25">
      <c r="A7532" s="45" t="s">
        <v>7559</v>
      </c>
      <c r="B7532" s="46" t="s">
        <v>18337</v>
      </c>
      <c r="C7532">
        <v>17</v>
      </c>
      <c r="D7532">
        <v>86</v>
      </c>
    </row>
    <row r="7533" spans="1:4" x14ac:dyDescent="0.25">
      <c r="A7533" s="45" t="s">
        <v>7560</v>
      </c>
      <c r="B7533" s="46" t="s">
        <v>18338</v>
      </c>
      <c r="C7533">
        <v>17</v>
      </c>
      <c r="D7533">
        <v>86</v>
      </c>
    </row>
    <row r="7534" spans="1:4" x14ac:dyDescent="0.25">
      <c r="A7534" s="45" t="s">
        <v>7561</v>
      </c>
      <c r="B7534" s="46" t="s">
        <v>18339</v>
      </c>
      <c r="C7534">
        <v>17</v>
      </c>
      <c r="D7534">
        <v>86</v>
      </c>
    </row>
    <row r="7535" spans="1:4" x14ac:dyDescent="0.25">
      <c r="A7535" s="45" t="s">
        <v>7562</v>
      </c>
      <c r="B7535" s="46" t="s">
        <v>18340</v>
      </c>
      <c r="C7535">
        <v>17</v>
      </c>
      <c r="D7535">
        <v>86</v>
      </c>
    </row>
    <row r="7536" spans="1:4" x14ac:dyDescent="0.25">
      <c r="A7536" s="45" t="s">
        <v>7563</v>
      </c>
      <c r="B7536" s="46" t="s">
        <v>18341</v>
      </c>
      <c r="C7536">
        <v>17</v>
      </c>
      <c r="D7536">
        <v>86</v>
      </c>
    </row>
    <row r="7537" spans="1:4" x14ac:dyDescent="0.25">
      <c r="A7537" s="45" t="s">
        <v>7564</v>
      </c>
      <c r="B7537" s="46" t="s">
        <v>18342</v>
      </c>
      <c r="C7537">
        <v>17</v>
      </c>
      <c r="D7537">
        <v>87</v>
      </c>
    </row>
    <row r="7538" spans="1:4" x14ac:dyDescent="0.25">
      <c r="A7538" s="45" t="s">
        <v>7565</v>
      </c>
      <c r="B7538" s="46" t="s">
        <v>18343</v>
      </c>
      <c r="C7538">
        <v>17</v>
      </c>
      <c r="D7538">
        <v>87</v>
      </c>
    </row>
    <row r="7539" spans="1:4" x14ac:dyDescent="0.25">
      <c r="A7539" s="45" t="s">
        <v>7566</v>
      </c>
      <c r="B7539" s="46" t="s">
        <v>18344</v>
      </c>
      <c r="C7539">
        <v>17</v>
      </c>
      <c r="D7539">
        <v>88</v>
      </c>
    </row>
    <row r="7540" spans="1:4" x14ac:dyDescent="0.25">
      <c r="A7540" s="45" t="s">
        <v>7567</v>
      </c>
      <c r="B7540" s="46" t="s">
        <v>18345</v>
      </c>
      <c r="C7540">
        <v>17</v>
      </c>
      <c r="D7540">
        <v>88</v>
      </c>
    </row>
    <row r="7541" spans="1:4" x14ac:dyDescent="0.25">
      <c r="A7541" s="45" t="s">
        <v>7568</v>
      </c>
      <c r="B7541" s="46" t="s">
        <v>18346</v>
      </c>
      <c r="C7541">
        <v>17</v>
      </c>
      <c r="D7541">
        <v>88</v>
      </c>
    </row>
    <row r="7542" spans="1:4" x14ac:dyDescent="0.25">
      <c r="A7542" s="45" t="s">
        <v>7569</v>
      </c>
      <c r="B7542" s="46" t="s">
        <v>18347</v>
      </c>
      <c r="C7542">
        <v>17</v>
      </c>
      <c r="D7542">
        <v>101</v>
      </c>
    </row>
    <row r="7543" spans="1:4" x14ac:dyDescent="0.25">
      <c r="A7543" s="45" t="s">
        <v>7570</v>
      </c>
      <c r="B7543" s="46" t="s">
        <v>18348</v>
      </c>
      <c r="C7543">
        <v>17</v>
      </c>
      <c r="D7543">
        <v>101</v>
      </c>
    </row>
    <row r="7544" spans="1:4" x14ac:dyDescent="0.25">
      <c r="A7544" s="45" t="s">
        <v>7571</v>
      </c>
      <c r="B7544" s="46" t="s">
        <v>18349</v>
      </c>
      <c r="C7544">
        <v>17</v>
      </c>
      <c r="D7544">
        <v>101</v>
      </c>
    </row>
    <row r="7545" spans="1:4" x14ac:dyDescent="0.25">
      <c r="A7545" s="45" t="s">
        <v>7572</v>
      </c>
      <c r="B7545" s="46" t="s">
        <v>18350</v>
      </c>
      <c r="C7545">
        <v>17</v>
      </c>
      <c r="D7545">
        <v>101</v>
      </c>
    </row>
    <row r="7546" spans="1:4" x14ac:dyDescent="0.25">
      <c r="A7546" s="45" t="s">
        <v>7573</v>
      </c>
      <c r="B7546" s="46" t="s">
        <v>18351</v>
      </c>
      <c r="C7546">
        <v>17</v>
      </c>
      <c r="D7546">
        <v>101</v>
      </c>
    </row>
    <row r="7547" spans="1:4" x14ac:dyDescent="0.25">
      <c r="A7547" s="45" t="s">
        <v>7574</v>
      </c>
      <c r="B7547" s="46" t="s">
        <v>20973</v>
      </c>
      <c r="C7547">
        <v>17</v>
      </c>
      <c r="D7547">
        <v>101</v>
      </c>
    </row>
    <row r="7548" spans="1:4" x14ac:dyDescent="0.25">
      <c r="A7548" s="45" t="s">
        <v>7575</v>
      </c>
      <c r="B7548" s="46" t="s">
        <v>18352</v>
      </c>
      <c r="C7548">
        <v>17</v>
      </c>
      <c r="D7548">
        <v>101</v>
      </c>
    </row>
    <row r="7549" spans="1:4" x14ac:dyDescent="0.25">
      <c r="A7549" s="45" t="s">
        <v>7576</v>
      </c>
      <c r="B7549" s="46" t="s">
        <v>18353</v>
      </c>
      <c r="C7549">
        <v>17</v>
      </c>
      <c r="D7549">
        <v>94</v>
      </c>
    </row>
    <row r="7550" spans="1:4" x14ac:dyDescent="0.25">
      <c r="A7550" s="45" t="s">
        <v>7577</v>
      </c>
      <c r="B7550" s="46" t="s">
        <v>18354</v>
      </c>
      <c r="C7550">
        <v>17</v>
      </c>
      <c r="D7550">
        <v>94</v>
      </c>
    </row>
    <row r="7551" spans="1:4" x14ac:dyDescent="0.25">
      <c r="A7551" s="45" t="s">
        <v>7578</v>
      </c>
      <c r="B7551" s="46" t="s">
        <v>18355</v>
      </c>
      <c r="C7551">
        <v>17</v>
      </c>
      <c r="D7551">
        <v>94</v>
      </c>
    </row>
    <row r="7552" spans="1:4" x14ac:dyDescent="0.25">
      <c r="A7552" s="45" t="s">
        <v>7579</v>
      </c>
      <c r="B7552" s="46" t="s">
        <v>18356</v>
      </c>
      <c r="C7552">
        <v>17</v>
      </c>
      <c r="D7552">
        <v>94</v>
      </c>
    </row>
    <row r="7553" spans="1:4" x14ac:dyDescent="0.25">
      <c r="A7553" s="45" t="s">
        <v>7580</v>
      </c>
      <c r="B7553" s="46" t="s">
        <v>18357</v>
      </c>
      <c r="C7553">
        <v>17</v>
      </c>
      <c r="D7553">
        <v>94</v>
      </c>
    </row>
    <row r="7554" spans="1:4" x14ac:dyDescent="0.25">
      <c r="A7554" s="45" t="s">
        <v>7581</v>
      </c>
      <c r="B7554" s="46" t="s">
        <v>18358</v>
      </c>
      <c r="C7554">
        <v>17</v>
      </c>
      <c r="D7554">
        <v>94</v>
      </c>
    </row>
    <row r="7555" spans="1:4" x14ac:dyDescent="0.25">
      <c r="A7555" s="45" t="s">
        <v>7582</v>
      </c>
      <c r="B7555" s="46" t="s">
        <v>18359</v>
      </c>
      <c r="C7555">
        <v>17</v>
      </c>
      <c r="D7555">
        <v>102</v>
      </c>
    </row>
    <row r="7556" spans="1:4" x14ac:dyDescent="0.25">
      <c r="A7556" s="45" t="s">
        <v>7583</v>
      </c>
      <c r="B7556" s="46" t="s">
        <v>20974</v>
      </c>
      <c r="C7556">
        <v>17</v>
      </c>
      <c r="D7556">
        <v>102</v>
      </c>
    </row>
    <row r="7557" spans="1:4" x14ac:dyDescent="0.25">
      <c r="A7557" s="45" t="s">
        <v>7584</v>
      </c>
      <c r="B7557" s="46" t="s">
        <v>20975</v>
      </c>
      <c r="C7557">
        <v>17</v>
      </c>
      <c r="D7557">
        <v>102</v>
      </c>
    </row>
    <row r="7558" spans="1:4" x14ac:dyDescent="0.25">
      <c r="A7558" s="45" t="s">
        <v>7585</v>
      </c>
      <c r="B7558" s="46" t="s">
        <v>20976</v>
      </c>
      <c r="C7558">
        <v>17</v>
      </c>
      <c r="D7558">
        <v>102</v>
      </c>
    </row>
    <row r="7559" spans="1:4" x14ac:dyDescent="0.25">
      <c r="A7559" s="45" t="s">
        <v>7586</v>
      </c>
      <c r="B7559" s="46" t="s">
        <v>20977</v>
      </c>
      <c r="C7559">
        <v>17</v>
      </c>
      <c r="D7559">
        <v>102</v>
      </c>
    </row>
    <row r="7560" spans="1:4" x14ac:dyDescent="0.25">
      <c r="A7560" s="45" t="s">
        <v>7587</v>
      </c>
      <c r="B7560" s="46" t="s">
        <v>20978</v>
      </c>
      <c r="C7560">
        <v>17</v>
      </c>
      <c r="D7560">
        <v>102</v>
      </c>
    </row>
    <row r="7561" spans="1:4" x14ac:dyDescent="0.25">
      <c r="A7561" s="45" t="s">
        <v>7588</v>
      </c>
      <c r="B7561" s="46" t="s">
        <v>18360</v>
      </c>
      <c r="C7561">
        <v>17</v>
      </c>
      <c r="D7561">
        <v>102</v>
      </c>
    </row>
    <row r="7562" spans="1:4" x14ac:dyDescent="0.25">
      <c r="A7562" s="45" t="s">
        <v>7589</v>
      </c>
      <c r="B7562" s="46" t="s">
        <v>18361</v>
      </c>
      <c r="C7562">
        <v>17</v>
      </c>
      <c r="D7562">
        <v>102</v>
      </c>
    </row>
    <row r="7563" spans="1:4" x14ac:dyDescent="0.25">
      <c r="A7563" s="45" t="s">
        <v>7590</v>
      </c>
      <c r="B7563" s="46" t="s">
        <v>20979</v>
      </c>
      <c r="C7563">
        <v>17</v>
      </c>
      <c r="D7563">
        <v>98</v>
      </c>
    </row>
    <row r="7564" spans="1:4" x14ac:dyDescent="0.25">
      <c r="A7564" s="45" t="s">
        <v>7591</v>
      </c>
      <c r="B7564" s="46" t="s">
        <v>18362</v>
      </c>
      <c r="C7564">
        <v>17</v>
      </c>
      <c r="D7564">
        <v>98</v>
      </c>
    </row>
    <row r="7565" spans="1:4" x14ac:dyDescent="0.25">
      <c r="A7565" s="45" t="s">
        <v>7592</v>
      </c>
      <c r="B7565" s="46" t="s">
        <v>18363</v>
      </c>
      <c r="C7565">
        <v>17</v>
      </c>
      <c r="D7565">
        <v>98</v>
      </c>
    </row>
    <row r="7566" spans="1:4" x14ac:dyDescent="0.25">
      <c r="A7566" s="45" t="s">
        <v>7593</v>
      </c>
      <c r="B7566" s="46" t="s">
        <v>18364</v>
      </c>
      <c r="C7566">
        <v>17</v>
      </c>
      <c r="D7566">
        <v>92</v>
      </c>
    </row>
    <row r="7567" spans="1:4" x14ac:dyDescent="0.25">
      <c r="A7567" s="45" t="s">
        <v>7594</v>
      </c>
      <c r="B7567" s="46" t="s">
        <v>18365</v>
      </c>
      <c r="C7567">
        <v>17</v>
      </c>
      <c r="D7567">
        <v>92</v>
      </c>
    </row>
    <row r="7568" spans="1:4" x14ac:dyDescent="0.25">
      <c r="A7568" s="45" t="s">
        <v>7595</v>
      </c>
      <c r="B7568" s="46" t="s">
        <v>20980</v>
      </c>
      <c r="C7568">
        <v>17</v>
      </c>
      <c r="D7568">
        <v>92</v>
      </c>
    </row>
    <row r="7569" spans="1:4" x14ac:dyDescent="0.25">
      <c r="A7569" s="45" t="s">
        <v>7596</v>
      </c>
      <c r="B7569" s="46" t="s">
        <v>18366</v>
      </c>
      <c r="C7569">
        <v>17</v>
      </c>
      <c r="D7569">
        <v>102</v>
      </c>
    </row>
    <row r="7570" spans="1:4" x14ac:dyDescent="0.25">
      <c r="A7570" s="45" t="s">
        <v>7597</v>
      </c>
      <c r="B7570" s="46" t="s">
        <v>18367</v>
      </c>
      <c r="C7570">
        <v>17</v>
      </c>
      <c r="D7570">
        <v>102</v>
      </c>
    </row>
    <row r="7571" spans="1:4" x14ac:dyDescent="0.25">
      <c r="A7571" s="45" t="s">
        <v>7598</v>
      </c>
      <c r="B7571" s="46" t="s">
        <v>18368</v>
      </c>
      <c r="C7571">
        <v>17</v>
      </c>
      <c r="D7571">
        <v>102</v>
      </c>
    </row>
    <row r="7572" spans="1:4" x14ac:dyDescent="0.25">
      <c r="A7572" s="45" t="s">
        <v>7599</v>
      </c>
      <c r="B7572" s="46" t="s">
        <v>20981</v>
      </c>
      <c r="C7572">
        <v>17</v>
      </c>
      <c r="D7572">
        <v>97</v>
      </c>
    </row>
    <row r="7573" spans="1:4" x14ac:dyDescent="0.25">
      <c r="A7573" s="45" t="s">
        <v>7600</v>
      </c>
      <c r="B7573" s="46" t="s">
        <v>18369</v>
      </c>
      <c r="C7573">
        <v>17</v>
      </c>
      <c r="D7573">
        <v>97</v>
      </c>
    </row>
    <row r="7574" spans="1:4" x14ac:dyDescent="0.25">
      <c r="A7574" s="45" t="s">
        <v>7601</v>
      </c>
      <c r="B7574" s="46" t="s">
        <v>20982</v>
      </c>
      <c r="C7574">
        <v>17</v>
      </c>
      <c r="D7574">
        <v>97</v>
      </c>
    </row>
    <row r="7575" spans="1:4" x14ac:dyDescent="0.25">
      <c r="A7575" s="45" t="s">
        <v>7602</v>
      </c>
      <c r="B7575" s="46" t="s">
        <v>18370</v>
      </c>
      <c r="C7575">
        <v>17</v>
      </c>
      <c r="D7575">
        <v>97</v>
      </c>
    </row>
    <row r="7576" spans="1:4" x14ac:dyDescent="0.25">
      <c r="A7576" s="45" t="s">
        <v>7603</v>
      </c>
      <c r="B7576" s="46" t="s">
        <v>18371</v>
      </c>
      <c r="C7576">
        <v>17</v>
      </c>
      <c r="D7576">
        <v>96</v>
      </c>
    </row>
    <row r="7577" spans="1:4" x14ac:dyDescent="0.25">
      <c r="A7577" s="45" t="s">
        <v>7604</v>
      </c>
      <c r="B7577" s="46" t="s">
        <v>18372</v>
      </c>
      <c r="C7577">
        <v>17</v>
      </c>
      <c r="D7577">
        <v>96</v>
      </c>
    </row>
    <row r="7578" spans="1:4" x14ac:dyDescent="0.25">
      <c r="A7578" s="45" t="s">
        <v>7605</v>
      </c>
      <c r="B7578" s="46" t="s">
        <v>18373</v>
      </c>
      <c r="C7578">
        <v>17</v>
      </c>
      <c r="D7578">
        <v>92</v>
      </c>
    </row>
    <row r="7579" spans="1:4" x14ac:dyDescent="0.25">
      <c r="A7579" s="45" t="s">
        <v>7606</v>
      </c>
      <c r="B7579" s="46" t="s">
        <v>18374</v>
      </c>
      <c r="C7579">
        <v>17</v>
      </c>
      <c r="D7579">
        <v>92</v>
      </c>
    </row>
    <row r="7580" spans="1:4" x14ac:dyDescent="0.25">
      <c r="A7580" s="45" t="s">
        <v>7607</v>
      </c>
      <c r="B7580" s="46" t="s">
        <v>18375</v>
      </c>
      <c r="C7580">
        <v>17</v>
      </c>
      <c r="D7580">
        <v>92</v>
      </c>
    </row>
    <row r="7581" spans="1:4" x14ac:dyDescent="0.25">
      <c r="A7581" s="45" t="s">
        <v>7608</v>
      </c>
      <c r="B7581" s="46" t="s">
        <v>18376</v>
      </c>
      <c r="C7581">
        <v>17</v>
      </c>
      <c r="D7581">
        <v>92</v>
      </c>
    </row>
    <row r="7582" spans="1:4" x14ac:dyDescent="0.25">
      <c r="A7582" s="45" t="s">
        <v>7609</v>
      </c>
      <c r="B7582" s="46" t="s">
        <v>20983</v>
      </c>
      <c r="C7582">
        <v>17</v>
      </c>
      <c r="D7582">
        <v>92</v>
      </c>
    </row>
    <row r="7583" spans="1:4" x14ac:dyDescent="0.25">
      <c r="A7583" s="45" t="s">
        <v>7610</v>
      </c>
      <c r="B7583" s="46" t="s">
        <v>18377</v>
      </c>
      <c r="C7583">
        <v>17</v>
      </c>
      <c r="D7583">
        <v>86</v>
      </c>
    </row>
    <row r="7584" spans="1:4" x14ac:dyDescent="0.25">
      <c r="A7584" s="45" t="s">
        <v>7611</v>
      </c>
      <c r="B7584" s="46" t="s">
        <v>20984</v>
      </c>
      <c r="C7584">
        <v>17</v>
      </c>
      <c r="D7584">
        <v>86</v>
      </c>
    </row>
    <row r="7585" spans="1:4" x14ac:dyDescent="0.25">
      <c r="A7585" s="45" t="s">
        <v>7612</v>
      </c>
      <c r="B7585" s="46" t="s">
        <v>18378</v>
      </c>
      <c r="C7585">
        <v>17</v>
      </c>
      <c r="D7585">
        <v>86</v>
      </c>
    </row>
    <row r="7586" spans="1:4" x14ac:dyDescent="0.25">
      <c r="A7586" s="45" t="s">
        <v>7613</v>
      </c>
      <c r="B7586" s="46" t="s">
        <v>18379</v>
      </c>
      <c r="C7586">
        <v>17</v>
      </c>
      <c r="D7586">
        <v>86</v>
      </c>
    </row>
    <row r="7587" spans="1:4" x14ac:dyDescent="0.25">
      <c r="A7587" s="45" t="s">
        <v>7614</v>
      </c>
      <c r="B7587" s="46" t="s">
        <v>18380</v>
      </c>
      <c r="C7587">
        <v>17</v>
      </c>
      <c r="D7587">
        <v>86</v>
      </c>
    </row>
    <row r="7588" spans="1:4" x14ac:dyDescent="0.25">
      <c r="A7588" s="45" t="s">
        <v>7615</v>
      </c>
      <c r="B7588" s="46" t="s">
        <v>18381</v>
      </c>
      <c r="C7588">
        <v>17</v>
      </c>
      <c r="D7588">
        <v>86</v>
      </c>
    </row>
    <row r="7589" spans="1:4" x14ac:dyDescent="0.25">
      <c r="A7589" s="45" t="s">
        <v>7616</v>
      </c>
      <c r="B7589" s="46" t="s">
        <v>18382</v>
      </c>
      <c r="C7589">
        <v>17</v>
      </c>
      <c r="D7589">
        <v>86</v>
      </c>
    </row>
    <row r="7590" spans="1:4" x14ac:dyDescent="0.25">
      <c r="A7590" s="45" t="s">
        <v>7617</v>
      </c>
      <c r="B7590" s="46" t="s">
        <v>18383</v>
      </c>
      <c r="C7590">
        <v>17</v>
      </c>
      <c r="D7590">
        <v>86</v>
      </c>
    </row>
    <row r="7591" spans="1:4" x14ac:dyDescent="0.25">
      <c r="A7591" s="45" t="s">
        <v>7618</v>
      </c>
      <c r="B7591" s="46" t="s">
        <v>18384</v>
      </c>
      <c r="C7591">
        <v>17</v>
      </c>
      <c r="D7591">
        <v>86</v>
      </c>
    </row>
    <row r="7592" spans="1:4" x14ac:dyDescent="0.25">
      <c r="A7592" s="45" t="s">
        <v>7619</v>
      </c>
      <c r="B7592" s="46" t="s">
        <v>20985</v>
      </c>
      <c r="C7592">
        <v>17</v>
      </c>
      <c r="D7592">
        <v>87</v>
      </c>
    </row>
    <row r="7593" spans="1:4" x14ac:dyDescent="0.25">
      <c r="A7593" s="45" t="s">
        <v>7620</v>
      </c>
      <c r="B7593" s="46" t="s">
        <v>18385</v>
      </c>
      <c r="C7593">
        <v>17</v>
      </c>
      <c r="D7593">
        <v>87</v>
      </c>
    </row>
    <row r="7594" spans="1:4" x14ac:dyDescent="0.25">
      <c r="A7594" s="45" t="s">
        <v>7621</v>
      </c>
      <c r="B7594" s="46" t="s">
        <v>18386</v>
      </c>
      <c r="C7594">
        <v>17</v>
      </c>
      <c r="D7594">
        <v>87</v>
      </c>
    </row>
    <row r="7595" spans="1:4" x14ac:dyDescent="0.25">
      <c r="A7595" s="45" t="s">
        <v>7622</v>
      </c>
      <c r="B7595" s="46" t="s">
        <v>18387</v>
      </c>
      <c r="C7595">
        <v>17</v>
      </c>
      <c r="D7595">
        <v>88</v>
      </c>
    </row>
    <row r="7596" spans="1:4" x14ac:dyDescent="0.25">
      <c r="A7596" s="45" t="s">
        <v>7623</v>
      </c>
      <c r="B7596" s="46" t="s">
        <v>18388</v>
      </c>
      <c r="C7596">
        <v>17</v>
      </c>
      <c r="D7596">
        <v>88</v>
      </c>
    </row>
    <row r="7597" spans="1:4" x14ac:dyDescent="0.25">
      <c r="A7597" s="45" t="s">
        <v>7624</v>
      </c>
      <c r="B7597" s="46" t="s">
        <v>20986</v>
      </c>
      <c r="C7597">
        <v>17</v>
      </c>
      <c r="D7597">
        <v>88</v>
      </c>
    </row>
    <row r="7598" spans="1:4" x14ac:dyDescent="0.25">
      <c r="A7598" s="45" t="s">
        <v>7625</v>
      </c>
      <c r="B7598" s="46" t="s">
        <v>20987</v>
      </c>
      <c r="C7598">
        <v>17</v>
      </c>
      <c r="D7598">
        <v>88</v>
      </c>
    </row>
    <row r="7599" spans="1:4" x14ac:dyDescent="0.25">
      <c r="A7599" s="45" t="s">
        <v>7626</v>
      </c>
      <c r="B7599" s="46" t="s">
        <v>18389</v>
      </c>
      <c r="C7599">
        <v>17</v>
      </c>
      <c r="D7599">
        <v>88</v>
      </c>
    </row>
    <row r="7600" spans="1:4" x14ac:dyDescent="0.25">
      <c r="A7600" s="45" t="s">
        <v>7627</v>
      </c>
      <c r="B7600" s="46" t="s">
        <v>20988</v>
      </c>
      <c r="C7600">
        <v>17</v>
      </c>
      <c r="D7600">
        <v>101</v>
      </c>
    </row>
    <row r="7601" spans="1:4" x14ac:dyDescent="0.25">
      <c r="A7601" s="45" t="s">
        <v>7628</v>
      </c>
      <c r="B7601" s="46" t="s">
        <v>18390</v>
      </c>
      <c r="C7601">
        <v>17</v>
      </c>
      <c r="D7601">
        <v>101</v>
      </c>
    </row>
    <row r="7602" spans="1:4" x14ac:dyDescent="0.25">
      <c r="A7602" s="45" t="s">
        <v>7629</v>
      </c>
      <c r="B7602" s="46" t="s">
        <v>18391</v>
      </c>
      <c r="C7602">
        <v>17</v>
      </c>
      <c r="D7602">
        <v>101</v>
      </c>
    </row>
    <row r="7603" spans="1:4" x14ac:dyDescent="0.25">
      <c r="A7603" s="45" t="s">
        <v>7630</v>
      </c>
      <c r="B7603" s="46" t="s">
        <v>18392</v>
      </c>
      <c r="C7603">
        <v>17</v>
      </c>
      <c r="D7603">
        <v>101</v>
      </c>
    </row>
    <row r="7604" spans="1:4" x14ac:dyDescent="0.25">
      <c r="A7604" s="45" t="s">
        <v>7631</v>
      </c>
      <c r="B7604" s="46" t="s">
        <v>18393</v>
      </c>
      <c r="C7604">
        <v>17</v>
      </c>
      <c r="D7604">
        <v>101</v>
      </c>
    </row>
    <row r="7605" spans="1:4" x14ac:dyDescent="0.25">
      <c r="A7605" s="45" t="s">
        <v>7632</v>
      </c>
      <c r="B7605" s="46" t="s">
        <v>18394</v>
      </c>
      <c r="C7605">
        <v>17</v>
      </c>
      <c r="D7605">
        <v>101</v>
      </c>
    </row>
    <row r="7606" spans="1:4" x14ac:dyDescent="0.25">
      <c r="A7606" s="45" t="s">
        <v>7633</v>
      </c>
      <c r="B7606" s="46" t="s">
        <v>18395</v>
      </c>
      <c r="C7606">
        <v>17</v>
      </c>
      <c r="D7606">
        <v>101</v>
      </c>
    </row>
    <row r="7607" spans="1:4" x14ac:dyDescent="0.25">
      <c r="A7607" s="45" t="s">
        <v>7634</v>
      </c>
      <c r="B7607" s="46" t="s">
        <v>18396</v>
      </c>
      <c r="C7607">
        <v>17</v>
      </c>
      <c r="D7607">
        <v>101</v>
      </c>
    </row>
    <row r="7608" spans="1:4" x14ac:dyDescent="0.25">
      <c r="A7608" s="45" t="s">
        <v>7635</v>
      </c>
      <c r="B7608" s="46" t="s">
        <v>20989</v>
      </c>
      <c r="C7608">
        <v>17</v>
      </c>
      <c r="D7608">
        <v>94</v>
      </c>
    </row>
    <row r="7609" spans="1:4" x14ac:dyDescent="0.25">
      <c r="A7609" s="45" t="s">
        <v>7636</v>
      </c>
      <c r="B7609" s="46" t="s">
        <v>18397</v>
      </c>
      <c r="C7609">
        <v>17</v>
      </c>
      <c r="D7609">
        <v>94</v>
      </c>
    </row>
    <row r="7610" spans="1:4" x14ac:dyDescent="0.25">
      <c r="A7610" s="45" t="s">
        <v>7637</v>
      </c>
      <c r="B7610" s="46" t="s">
        <v>18398</v>
      </c>
      <c r="C7610">
        <v>17</v>
      </c>
      <c r="D7610">
        <v>94</v>
      </c>
    </row>
    <row r="7611" spans="1:4" x14ac:dyDescent="0.25">
      <c r="A7611" s="45" t="s">
        <v>7638</v>
      </c>
      <c r="B7611" s="46" t="s">
        <v>18399</v>
      </c>
      <c r="C7611">
        <v>17</v>
      </c>
      <c r="D7611">
        <v>94</v>
      </c>
    </row>
    <row r="7612" spans="1:4" x14ac:dyDescent="0.25">
      <c r="A7612" s="45" t="s">
        <v>7639</v>
      </c>
      <c r="B7612" s="46" t="s">
        <v>18400</v>
      </c>
      <c r="C7612">
        <v>17</v>
      </c>
      <c r="D7612">
        <v>94</v>
      </c>
    </row>
    <row r="7613" spans="1:4" x14ac:dyDescent="0.25">
      <c r="A7613" s="45" t="s">
        <v>7640</v>
      </c>
      <c r="B7613" s="46" t="s">
        <v>18401</v>
      </c>
      <c r="C7613">
        <v>17</v>
      </c>
      <c r="D7613">
        <v>94</v>
      </c>
    </row>
    <row r="7614" spans="1:4" x14ac:dyDescent="0.25">
      <c r="A7614" s="45" t="s">
        <v>7641</v>
      </c>
      <c r="B7614" s="46" t="s">
        <v>18402</v>
      </c>
      <c r="C7614">
        <v>17</v>
      </c>
      <c r="D7614">
        <v>94</v>
      </c>
    </row>
    <row r="7615" spans="1:4" x14ac:dyDescent="0.25">
      <c r="A7615" s="45" t="s">
        <v>7642</v>
      </c>
      <c r="B7615" s="46" t="s">
        <v>20990</v>
      </c>
      <c r="C7615">
        <v>17</v>
      </c>
      <c r="D7615">
        <v>94</v>
      </c>
    </row>
    <row r="7616" spans="1:4" x14ac:dyDescent="0.25">
      <c r="A7616" s="45" t="s">
        <v>7643</v>
      </c>
      <c r="B7616" s="46" t="s">
        <v>20991</v>
      </c>
      <c r="C7616">
        <v>17</v>
      </c>
      <c r="D7616">
        <v>94</v>
      </c>
    </row>
    <row r="7617" spans="1:4" x14ac:dyDescent="0.25">
      <c r="A7617" s="45" t="s">
        <v>7644</v>
      </c>
      <c r="B7617" s="46" t="s">
        <v>20992</v>
      </c>
      <c r="C7617">
        <v>17</v>
      </c>
      <c r="D7617">
        <v>102</v>
      </c>
    </row>
    <row r="7618" spans="1:4" x14ac:dyDescent="0.25">
      <c r="A7618" s="45" t="s">
        <v>7645</v>
      </c>
      <c r="B7618" s="46" t="s">
        <v>20993</v>
      </c>
      <c r="C7618">
        <v>17</v>
      </c>
      <c r="D7618">
        <v>102</v>
      </c>
    </row>
    <row r="7619" spans="1:4" x14ac:dyDescent="0.25">
      <c r="A7619" s="45" t="s">
        <v>7646</v>
      </c>
      <c r="B7619" s="46" t="s">
        <v>20994</v>
      </c>
      <c r="C7619">
        <v>17</v>
      </c>
      <c r="D7619">
        <v>102</v>
      </c>
    </row>
    <row r="7620" spans="1:4" x14ac:dyDescent="0.25">
      <c r="A7620" s="45" t="s">
        <v>7647</v>
      </c>
      <c r="B7620" s="46" t="s">
        <v>20995</v>
      </c>
      <c r="C7620">
        <v>17</v>
      </c>
      <c r="D7620">
        <v>102</v>
      </c>
    </row>
    <row r="7621" spans="1:4" x14ac:dyDescent="0.25">
      <c r="A7621" s="45" t="s">
        <v>7648</v>
      </c>
      <c r="B7621" s="46" t="s">
        <v>20996</v>
      </c>
      <c r="C7621">
        <v>17</v>
      </c>
      <c r="D7621">
        <v>102</v>
      </c>
    </row>
    <row r="7622" spans="1:4" x14ac:dyDescent="0.25">
      <c r="A7622" s="45" t="s">
        <v>7649</v>
      </c>
      <c r="B7622" s="46" t="s">
        <v>20997</v>
      </c>
      <c r="C7622">
        <v>17</v>
      </c>
      <c r="D7622">
        <v>102</v>
      </c>
    </row>
    <row r="7623" spans="1:4" x14ac:dyDescent="0.25">
      <c r="A7623" s="45" t="s">
        <v>7650</v>
      </c>
      <c r="B7623" s="46" t="s">
        <v>20998</v>
      </c>
      <c r="C7623">
        <v>17</v>
      </c>
      <c r="D7623">
        <v>102</v>
      </c>
    </row>
    <row r="7624" spans="1:4" x14ac:dyDescent="0.25">
      <c r="A7624" s="45" t="s">
        <v>7651</v>
      </c>
      <c r="B7624" s="46" t="s">
        <v>20999</v>
      </c>
      <c r="C7624">
        <v>17</v>
      </c>
      <c r="D7624">
        <v>102</v>
      </c>
    </row>
    <row r="7625" spans="1:4" x14ac:dyDescent="0.25">
      <c r="A7625" s="45" t="s">
        <v>7652</v>
      </c>
      <c r="B7625" s="46" t="s">
        <v>21000</v>
      </c>
      <c r="C7625">
        <v>17</v>
      </c>
      <c r="D7625">
        <v>102</v>
      </c>
    </row>
    <row r="7626" spans="1:4" x14ac:dyDescent="0.25">
      <c r="A7626" s="45" t="s">
        <v>7653</v>
      </c>
      <c r="B7626" s="46" t="s">
        <v>21001</v>
      </c>
      <c r="C7626">
        <v>17</v>
      </c>
      <c r="D7626">
        <v>102</v>
      </c>
    </row>
    <row r="7627" spans="1:4" x14ac:dyDescent="0.25">
      <c r="A7627" s="45" t="s">
        <v>7654</v>
      </c>
      <c r="B7627" s="46" t="s">
        <v>21002</v>
      </c>
      <c r="C7627">
        <v>17</v>
      </c>
      <c r="D7627">
        <v>98</v>
      </c>
    </row>
    <row r="7628" spans="1:4" x14ac:dyDescent="0.25">
      <c r="A7628" s="45" t="s">
        <v>7655</v>
      </c>
      <c r="B7628" s="46" t="s">
        <v>18403</v>
      </c>
      <c r="C7628">
        <v>17</v>
      </c>
      <c r="D7628">
        <v>98</v>
      </c>
    </row>
    <row r="7629" spans="1:4" x14ac:dyDescent="0.25">
      <c r="A7629" s="45" t="s">
        <v>7656</v>
      </c>
      <c r="B7629" s="46" t="s">
        <v>21003</v>
      </c>
      <c r="C7629">
        <v>17</v>
      </c>
      <c r="D7629">
        <v>92</v>
      </c>
    </row>
    <row r="7630" spans="1:4" x14ac:dyDescent="0.25">
      <c r="A7630" s="45" t="s">
        <v>7657</v>
      </c>
      <c r="B7630" s="46" t="s">
        <v>18404</v>
      </c>
      <c r="C7630">
        <v>17</v>
      </c>
      <c r="D7630">
        <v>92</v>
      </c>
    </row>
    <row r="7631" spans="1:4" x14ac:dyDescent="0.25">
      <c r="A7631" s="45" t="s">
        <v>7658</v>
      </c>
      <c r="B7631" s="46" t="s">
        <v>18405</v>
      </c>
      <c r="C7631">
        <v>17</v>
      </c>
      <c r="D7631">
        <v>92</v>
      </c>
    </row>
    <row r="7632" spans="1:4" x14ac:dyDescent="0.25">
      <c r="A7632" s="45" t="s">
        <v>7659</v>
      </c>
      <c r="B7632" s="46" t="s">
        <v>21004</v>
      </c>
      <c r="C7632">
        <v>17</v>
      </c>
      <c r="D7632">
        <v>92</v>
      </c>
    </row>
    <row r="7633" spans="1:4" x14ac:dyDescent="0.25">
      <c r="A7633" s="45" t="s">
        <v>7660</v>
      </c>
      <c r="B7633" s="46" t="s">
        <v>21005</v>
      </c>
      <c r="C7633">
        <v>17</v>
      </c>
      <c r="D7633">
        <v>92</v>
      </c>
    </row>
    <row r="7634" spans="1:4" x14ac:dyDescent="0.25">
      <c r="A7634" s="45" t="s">
        <v>7661</v>
      </c>
      <c r="B7634" s="46" t="s">
        <v>18406</v>
      </c>
      <c r="C7634">
        <v>17</v>
      </c>
      <c r="D7634">
        <v>92</v>
      </c>
    </row>
    <row r="7635" spans="1:4" x14ac:dyDescent="0.25">
      <c r="A7635" s="45" t="s">
        <v>7662</v>
      </c>
      <c r="B7635" s="46" t="s">
        <v>18407</v>
      </c>
      <c r="C7635">
        <v>17</v>
      </c>
      <c r="D7635">
        <v>92</v>
      </c>
    </row>
    <row r="7636" spans="1:4" x14ac:dyDescent="0.25">
      <c r="A7636" s="45" t="s">
        <v>7663</v>
      </c>
      <c r="B7636" s="46" t="s">
        <v>18408</v>
      </c>
      <c r="C7636">
        <v>17</v>
      </c>
      <c r="D7636">
        <v>102</v>
      </c>
    </row>
    <row r="7637" spans="1:4" x14ac:dyDescent="0.25">
      <c r="A7637" s="45" t="s">
        <v>7664</v>
      </c>
      <c r="B7637" s="46" t="s">
        <v>18409</v>
      </c>
      <c r="C7637">
        <v>17</v>
      </c>
      <c r="D7637">
        <v>102</v>
      </c>
    </row>
    <row r="7638" spans="1:4" x14ac:dyDescent="0.25">
      <c r="A7638" s="45" t="s">
        <v>7665</v>
      </c>
      <c r="B7638" s="46" t="s">
        <v>18410</v>
      </c>
      <c r="C7638">
        <v>17</v>
      </c>
      <c r="D7638">
        <v>102</v>
      </c>
    </row>
    <row r="7639" spans="1:4" x14ac:dyDescent="0.25">
      <c r="A7639" s="45" t="s">
        <v>7666</v>
      </c>
      <c r="B7639" s="46" t="s">
        <v>18411</v>
      </c>
      <c r="C7639">
        <v>17</v>
      </c>
      <c r="D7639">
        <v>97</v>
      </c>
    </row>
    <row r="7640" spans="1:4" x14ac:dyDescent="0.25">
      <c r="A7640" s="45" t="s">
        <v>7667</v>
      </c>
      <c r="B7640" s="46" t="s">
        <v>18412</v>
      </c>
      <c r="C7640">
        <v>17</v>
      </c>
      <c r="D7640">
        <v>97</v>
      </c>
    </row>
    <row r="7641" spans="1:4" x14ac:dyDescent="0.25">
      <c r="A7641" s="45" t="s">
        <v>7668</v>
      </c>
      <c r="B7641" s="46" t="s">
        <v>18413</v>
      </c>
      <c r="C7641">
        <v>17</v>
      </c>
      <c r="D7641">
        <v>96</v>
      </c>
    </row>
    <row r="7642" spans="1:4" x14ac:dyDescent="0.25">
      <c r="A7642" s="45" t="s">
        <v>7669</v>
      </c>
      <c r="B7642" s="46" t="s">
        <v>18414</v>
      </c>
      <c r="C7642">
        <v>17</v>
      </c>
      <c r="D7642">
        <v>96</v>
      </c>
    </row>
    <row r="7643" spans="1:4" x14ac:dyDescent="0.25">
      <c r="A7643" s="45" t="s">
        <v>7670</v>
      </c>
      <c r="B7643" s="46" t="s">
        <v>18415</v>
      </c>
      <c r="C7643">
        <v>17</v>
      </c>
      <c r="D7643">
        <v>96</v>
      </c>
    </row>
    <row r="7644" spans="1:4" x14ac:dyDescent="0.25">
      <c r="A7644" s="45" t="s">
        <v>7671</v>
      </c>
      <c r="B7644" s="46" t="s">
        <v>18416</v>
      </c>
      <c r="C7644">
        <v>17</v>
      </c>
      <c r="D7644">
        <v>93</v>
      </c>
    </row>
    <row r="7645" spans="1:4" x14ac:dyDescent="0.25">
      <c r="A7645" s="45" t="s">
        <v>7672</v>
      </c>
      <c r="B7645" s="46" t="s">
        <v>18417</v>
      </c>
      <c r="C7645">
        <v>17</v>
      </c>
      <c r="D7645">
        <v>93</v>
      </c>
    </row>
    <row r="7646" spans="1:4" x14ac:dyDescent="0.25">
      <c r="A7646" s="45" t="s">
        <v>7673</v>
      </c>
      <c r="B7646" s="46" t="s">
        <v>18418</v>
      </c>
      <c r="C7646">
        <v>17</v>
      </c>
      <c r="D7646">
        <v>93</v>
      </c>
    </row>
    <row r="7647" spans="1:4" x14ac:dyDescent="0.25">
      <c r="A7647" s="45" t="s">
        <v>7674</v>
      </c>
      <c r="B7647" s="46" t="s">
        <v>18419</v>
      </c>
      <c r="C7647">
        <v>17</v>
      </c>
      <c r="D7647">
        <v>93</v>
      </c>
    </row>
    <row r="7648" spans="1:4" x14ac:dyDescent="0.25">
      <c r="A7648" s="45" t="s">
        <v>7675</v>
      </c>
      <c r="B7648" s="46" t="s">
        <v>21006</v>
      </c>
      <c r="C7648">
        <v>17</v>
      </c>
      <c r="D7648">
        <v>86</v>
      </c>
    </row>
    <row r="7649" spans="1:4" x14ac:dyDescent="0.25">
      <c r="A7649" s="45" t="s">
        <v>7676</v>
      </c>
      <c r="B7649" s="46" t="s">
        <v>21007</v>
      </c>
      <c r="C7649">
        <v>17</v>
      </c>
      <c r="D7649">
        <v>86</v>
      </c>
    </row>
    <row r="7650" spans="1:4" x14ac:dyDescent="0.25">
      <c r="A7650" s="45" t="s">
        <v>7677</v>
      </c>
      <c r="B7650" s="46" t="s">
        <v>18420</v>
      </c>
      <c r="C7650">
        <v>17</v>
      </c>
      <c r="D7650">
        <v>86</v>
      </c>
    </row>
    <row r="7651" spans="1:4" x14ac:dyDescent="0.25">
      <c r="A7651" s="45" t="s">
        <v>7678</v>
      </c>
      <c r="B7651" s="46" t="s">
        <v>18421</v>
      </c>
      <c r="C7651">
        <v>17</v>
      </c>
      <c r="D7651">
        <v>86</v>
      </c>
    </row>
    <row r="7652" spans="1:4" x14ac:dyDescent="0.25">
      <c r="A7652" s="45" t="s">
        <v>7679</v>
      </c>
      <c r="B7652" s="46" t="s">
        <v>18422</v>
      </c>
      <c r="C7652">
        <v>17</v>
      </c>
      <c r="D7652">
        <v>86</v>
      </c>
    </row>
    <row r="7653" spans="1:4" x14ac:dyDescent="0.25">
      <c r="A7653" s="45" t="s">
        <v>7680</v>
      </c>
      <c r="B7653" s="46" t="s">
        <v>18423</v>
      </c>
      <c r="C7653">
        <v>17</v>
      </c>
      <c r="D7653">
        <v>86</v>
      </c>
    </row>
    <row r="7654" spans="1:4" x14ac:dyDescent="0.25">
      <c r="A7654" s="45" t="s">
        <v>7681</v>
      </c>
      <c r="B7654" s="46" t="s">
        <v>18424</v>
      </c>
      <c r="C7654">
        <v>17</v>
      </c>
      <c r="D7654">
        <v>86</v>
      </c>
    </row>
    <row r="7655" spans="1:4" x14ac:dyDescent="0.25">
      <c r="A7655" s="45" t="s">
        <v>7682</v>
      </c>
      <c r="B7655" s="46" t="s">
        <v>21008</v>
      </c>
      <c r="C7655">
        <v>17</v>
      </c>
      <c r="D7655">
        <v>86</v>
      </c>
    </row>
    <row r="7656" spans="1:4" x14ac:dyDescent="0.25">
      <c r="A7656" s="45" t="s">
        <v>7683</v>
      </c>
      <c r="B7656" s="46" t="s">
        <v>18425</v>
      </c>
      <c r="C7656">
        <v>17</v>
      </c>
      <c r="D7656">
        <v>87</v>
      </c>
    </row>
    <row r="7657" spans="1:4" x14ac:dyDescent="0.25">
      <c r="A7657" s="45" t="s">
        <v>7684</v>
      </c>
      <c r="B7657" s="46" t="s">
        <v>21009</v>
      </c>
      <c r="C7657">
        <v>17</v>
      </c>
      <c r="D7657">
        <v>88</v>
      </c>
    </row>
    <row r="7658" spans="1:4" x14ac:dyDescent="0.25">
      <c r="A7658" s="45" t="s">
        <v>7685</v>
      </c>
      <c r="B7658" s="46" t="s">
        <v>18426</v>
      </c>
      <c r="C7658">
        <v>17</v>
      </c>
      <c r="D7658">
        <v>101</v>
      </c>
    </row>
    <row r="7659" spans="1:4" x14ac:dyDescent="0.25">
      <c r="A7659" s="45" t="s">
        <v>7686</v>
      </c>
      <c r="B7659" s="46" t="s">
        <v>18427</v>
      </c>
      <c r="C7659">
        <v>17</v>
      </c>
      <c r="D7659">
        <v>101</v>
      </c>
    </row>
    <row r="7660" spans="1:4" x14ac:dyDescent="0.25">
      <c r="A7660" s="45" t="s">
        <v>7687</v>
      </c>
      <c r="B7660" s="46" t="s">
        <v>18428</v>
      </c>
      <c r="C7660">
        <v>17</v>
      </c>
      <c r="D7660">
        <v>101</v>
      </c>
    </row>
    <row r="7661" spans="1:4" x14ac:dyDescent="0.25">
      <c r="A7661" s="45" t="s">
        <v>7688</v>
      </c>
      <c r="B7661" s="46" t="s">
        <v>21010</v>
      </c>
      <c r="C7661">
        <v>17</v>
      </c>
      <c r="D7661">
        <v>101</v>
      </c>
    </row>
    <row r="7662" spans="1:4" x14ac:dyDescent="0.25">
      <c r="A7662" s="45" t="s">
        <v>7689</v>
      </c>
      <c r="B7662" s="46" t="s">
        <v>18429</v>
      </c>
      <c r="C7662">
        <v>17</v>
      </c>
      <c r="D7662">
        <v>101</v>
      </c>
    </row>
    <row r="7663" spans="1:4" x14ac:dyDescent="0.25">
      <c r="A7663" s="45" t="s">
        <v>7690</v>
      </c>
      <c r="B7663" s="46" t="s">
        <v>18430</v>
      </c>
      <c r="C7663">
        <v>17</v>
      </c>
      <c r="D7663">
        <v>101</v>
      </c>
    </row>
    <row r="7664" spans="1:4" x14ac:dyDescent="0.25">
      <c r="A7664" s="45" t="s">
        <v>7691</v>
      </c>
      <c r="B7664" s="46" t="s">
        <v>18431</v>
      </c>
      <c r="C7664">
        <v>17</v>
      </c>
      <c r="D7664">
        <v>94</v>
      </c>
    </row>
    <row r="7665" spans="1:4" x14ac:dyDescent="0.25">
      <c r="A7665" s="45" t="s">
        <v>7692</v>
      </c>
      <c r="B7665" s="46" t="s">
        <v>18432</v>
      </c>
      <c r="C7665">
        <v>17</v>
      </c>
      <c r="D7665">
        <v>94</v>
      </c>
    </row>
    <row r="7666" spans="1:4" x14ac:dyDescent="0.25">
      <c r="A7666" s="45" t="s">
        <v>7693</v>
      </c>
      <c r="B7666" s="46" t="s">
        <v>18433</v>
      </c>
      <c r="C7666">
        <v>17</v>
      </c>
      <c r="D7666">
        <v>94</v>
      </c>
    </row>
    <row r="7667" spans="1:4" x14ac:dyDescent="0.25">
      <c r="A7667" s="45" t="s">
        <v>7694</v>
      </c>
      <c r="B7667" s="46" t="s">
        <v>18434</v>
      </c>
      <c r="C7667">
        <v>17</v>
      </c>
      <c r="D7667">
        <v>94</v>
      </c>
    </row>
    <row r="7668" spans="1:4" x14ac:dyDescent="0.25">
      <c r="A7668" s="45" t="s">
        <v>7695</v>
      </c>
      <c r="B7668" s="46" t="s">
        <v>21011</v>
      </c>
      <c r="C7668">
        <v>17</v>
      </c>
      <c r="D7668">
        <v>94</v>
      </c>
    </row>
    <row r="7669" spans="1:4" x14ac:dyDescent="0.25">
      <c r="A7669" s="45" t="s">
        <v>7696</v>
      </c>
      <c r="B7669" s="46" t="s">
        <v>18435</v>
      </c>
      <c r="C7669">
        <v>17</v>
      </c>
      <c r="D7669">
        <v>94</v>
      </c>
    </row>
    <row r="7670" spans="1:4" x14ac:dyDescent="0.25">
      <c r="A7670" s="45" t="s">
        <v>7697</v>
      </c>
      <c r="B7670" s="46" t="s">
        <v>21012</v>
      </c>
      <c r="C7670">
        <v>17</v>
      </c>
      <c r="D7670">
        <v>102</v>
      </c>
    </row>
    <row r="7671" spans="1:4" x14ac:dyDescent="0.25">
      <c r="A7671" s="45" t="s">
        <v>7698</v>
      </c>
      <c r="B7671" s="46" t="s">
        <v>18436</v>
      </c>
      <c r="C7671">
        <v>17</v>
      </c>
      <c r="D7671">
        <v>88</v>
      </c>
    </row>
    <row r="7672" spans="1:4" x14ac:dyDescent="0.25">
      <c r="A7672" s="45" t="s">
        <v>7699</v>
      </c>
      <c r="B7672" s="46" t="s">
        <v>18437</v>
      </c>
      <c r="C7672">
        <v>17</v>
      </c>
      <c r="D7672">
        <v>102</v>
      </c>
    </row>
    <row r="7673" spans="1:4" x14ac:dyDescent="0.25">
      <c r="A7673" s="45" t="s">
        <v>7700</v>
      </c>
      <c r="B7673" s="46" t="s">
        <v>18438</v>
      </c>
      <c r="C7673">
        <v>17</v>
      </c>
      <c r="D7673">
        <v>102</v>
      </c>
    </row>
    <row r="7674" spans="1:4" x14ac:dyDescent="0.25">
      <c r="A7674" s="45" t="s">
        <v>7701</v>
      </c>
      <c r="B7674" s="46" t="s">
        <v>21013</v>
      </c>
      <c r="C7674">
        <v>17</v>
      </c>
      <c r="D7674">
        <v>102</v>
      </c>
    </row>
    <row r="7675" spans="1:4" x14ac:dyDescent="0.25">
      <c r="A7675" s="45" t="s">
        <v>7702</v>
      </c>
      <c r="B7675" s="46" t="s">
        <v>21014</v>
      </c>
      <c r="C7675">
        <v>17</v>
      </c>
      <c r="D7675">
        <v>102</v>
      </c>
    </row>
    <row r="7676" spans="1:4" x14ac:dyDescent="0.25">
      <c r="A7676" s="45" t="s">
        <v>7703</v>
      </c>
      <c r="B7676" s="46" t="s">
        <v>21015</v>
      </c>
      <c r="C7676">
        <v>17</v>
      </c>
      <c r="D7676">
        <v>98</v>
      </c>
    </row>
    <row r="7677" spans="1:4" x14ac:dyDescent="0.25">
      <c r="A7677" s="45" t="s">
        <v>7704</v>
      </c>
      <c r="B7677" s="46" t="s">
        <v>18439</v>
      </c>
      <c r="C7677">
        <v>17</v>
      </c>
      <c r="D7677">
        <v>98</v>
      </c>
    </row>
    <row r="7678" spans="1:4" x14ac:dyDescent="0.25">
      <c r="A7678" s="45" t="s">
        <v>7705</v>
      </c>
      <c r="B7678" s="46" t="s">
        <v>18440</v>
      </c>
      <c r="C7678">
        <v>17</v>
      </c>
      <c r="D7678">
        <v>98</v>
      </c>
    </row>
    <row r="7679" spans="1:4" x14ac:dyDescent="0.25">
      <c r="A7679" s="45" t="s">
        <v>7706</v>
      </c>
      <c r="B7679" s="46" t="s">
        <v>18441</v>
      </c>
      <c r="C7679">
        <v>17</v>
      </c>
      <c r="D7679">
        <v>93</v>
      </c>
    </row>
    <row r="7680" spans="1:4" x14ac:dyDescent="0.25">
      <c r="A7680" s="45" t="s">
        <v>7707</v>
      </c>
      <c r="B7680" s="46" t="s">
        <v>18442</v>
      </c>
      <c r="C7680">
        <v>17</v>
      </c>
      <c r="D7680">
        <v>93</v>
      </c>
    </row>
    <row r="7681" spans="1:4" x14ac:dyDescent="0.25">
      <c r="A7681" s="45" t="s">
        <v>7708</v>
      </c>
      <c r="B7681" s="46" t="s">
        <v>18443</v>
      </c>
      <c r="C7681">
        <v>17</v>
      </c>
      <c r="D7681">
        <v>93</v>
      </c>
    </row>
    <row r="7682" spans="1:4" x14ac:dyDescent="0.25">
      <c r="A7682" s="45" t="s">
        <v>7709</v>
      </c>
      <c r="B7682" s="46" t="s">
        <v>18444</v>
      </c>
      <c r="C7682">
        <v>17</v>
      </c>
      <c r="D7682">
        <v>102</v>
      </c>
    </row>
    <row r="7683" spans="1:4" x14ac:dyDescent="0.25">
      <c r="A7683" s="45" t="s">
        <v>7710</v>
      </c>
      <c r="B7683" s="46" t="s">
        <v>18445</v>
      </c>
      <c r="C7683">
        <v>17</v>
      </c>
      <c r="D7683">
        <v>102</v>
      </c>
    </row>
    <row r="7684" spans="1:4" x14ac:dyDescent="0.25">
      <c r="A7684" s="45" t="s">
        <v>7711</v>
      </c>
      <c r="B7684" s="46" t="s">
        <v>18446</v>
      </c>
      <c r="C7684">
        <v>17</v>
      </c>
      <c r="D7684">
        <v>102</v>
      </c>
    </row>
    <row r="7685" spans="1:4" x14ac:dyDescent="0.25">
      <c r="A7685" s="45" t="s">
        <v>7712</v>
      </c>
      <c r="B7685" s="46" t="s">
        <v>18447</v>
      </c>
      <c r="C7685">
        <v>17</v>
      </c>
      <c r="D7685">
        <v>97</v>
      </c>
    </row>
    <row r="7686" spans="1:4" x14ac:dyDescent="0.25">
      <c r="A7686" s="45" t="s">
        <v>7713</v>
      </c>
      <c r="B7686" s="46" t="s">
        <v>18448</v>
      </c>
      <c r="C7686">
        <v>17</v>
      </c>
      <c r="D7686">
        <v>97</v>
      </c>
    </row>
    <row r="7687" spans="1:4" x14ac:dyDescent="0.25">
      <c r="A7687" s="45" t="s">
        <v>7714</v>
      </c>
      <c r="B7687" s="46" t="s">
        <v>18449</v>
      </c>
      <c r="C7687">
        <v>17</v>
      </c>
      <c r="D7687">
        <v>96</v>
      </c>
    </row>
    <row r="7688" spans="1:4" x14ac:dyDescent="0.25">
      <c r="A7688" s="45" t="s">
        <v>7715</v>
      </c>
      <c r="B7688" s="46" t="s">
        <v>18450</v>
      </c>
      <c r="C7688">
        <v>17</v>
      </c>
      <c r="D7688">
        <v>96</v>
      </c>
    </row>
    <row r="7689" spans="1:4" x14ac:dyDescent="0.25">
      <c r="A7689" s="45" t="s">
        <v>7716</v>
      </c>
      <c r="B7689" s="46" t="s">
        <v>18451</v>
      </c>
      <c r="C7689">
        <v>17</v>
      </c>
      <c r="D7689">
        <v>96</v>
      </c>
    </row>
    <row r="7690" spans="1:4" x14ac:dyDescent="0.25">
      <c r="A7690" s="45" t="s">
        <v>7717</v>
      </c>
      <c r="B7690" s="46" t="s">
        <v>18452</v>
      </c>
      <c r="C7690">
        <v>17</v>
      </c>
      <c r="D7690">
        <v>93</v>
      </c>
    </row>
    <row r="7691" spans="1:4" x14ac:dyDescent="0.25">
      <c r="A7691" s="45" t="s">
        <v>7718</v>
      </c>
      <c r="B7691" s="46" t="s">
        <v>18453</v>
      </c>
      <c r="C7691">
        <v>17</v>
      </c>
      <c r="D7691">
        <v>93</v>
      </c>
    </row>
    <row r="7692" spans="1:4" x14ac:dyDescent="0.25">
      <c r="A7692" s="45" t="s">
        <v>7719</v>
      </c>
      <c r="B7692" s="46" t="s">
        <v>18454</v>
      </c>
      <c r="C7692">
        <v>17</v>
      </c>
      <c r="D7692">
        <v>93</v>
      </c>
    </row>
    <row r="7693" spans="1:4" x14ac:dyDescent="0.25">
      <c r="A7693" s="45" t="s">
        <v>7720</v>
      </c>
      <c r="B7693" s="46" t="s">
        <v>18455</v>
      </c>
      <c r="C7693">
        <v>17</v>
      </c>
      <c r="D7693">
        <v>93</v>
      </c>
    </row>
    <row r="7694" spans="1:4" x14ac:dyDescent="0.25">
      <c r="A7694" s="45" t="s">
        <v>7721</v>
      </c>
      <c r="B7694" s="46" t="s">
        <v>18456</v>
      </c>
      <c r="C7694">
        <v>17</v>
      </c>
      <c r="D7694">
        <v>86</v>
      </c>
    </row>
    <row r="7695" spans="1:4" x14ac:dyDescent="0.25">
      <c r="A7695" s="45" t="s">
        <v>7722</v>
      </c>
      <c r="B7695" s="46" t="s">
        <v>18457</v>
      </c>
      <c r="C7695">
        <v>17</v>
      </c>
      <c r="D7695">
        <v>86</v>
      </c>
    </row>
    <row r="7696" spans="1:4" x14ac:dyDescent="0.25">
      <c r="A7696" s="45" t="s">
        <v>7723</v>
      </c>
      <c r="B7696" s="46" t="s">
        <v>18458</v>
      </c>
      <c r="C7696">
        <v>17</v>
      </c>
      <c r="D7696">
        <v>86</v>
      </c>
    </row>
    <row r="7697" spans="1:4" x14ac:dyDescent="0.25">
      <c r="A7697" s="45" t="s">
        <v>7724</v>
      </c>
      <c r="B7697" s="46" t="s">
        <v>18459</v>
      </c>
      <c r="C7697">
        <v>17</v>
      </c>
      <c r="D7697">
        <v>86</v>
      </c>
    </row>
    <row r="7698" spans="1:4" x14ac:dyDescent="0.25">
      <c r="A7698" s="45" t="s">
        <v>7725</v>
      </c>
      <c r="B7698" s="46" t="s">
        <v>18460</v>
      </c>
      <c r="C7698">
        <v>17</v>
      </c>
      <c r="D7698">
        <v>86</v>
      </c>
    </row>
    <row r="7699" spans="1:4" x14ac:dyDescent="0.25">
      <c r="A7699" s="45" t="s">
        <v>7726</v>
      </c>
      <c r="B7699" s="46" t="s">
        <v>18461</v>
      </c>
      <c r="C7699">
        <v>17</v>
      </c>
      <c r="D7699">
        <v>86</v>
      </c>
    </row>
    <row r="7700" spans="1:4" x14ac:dyDescent="0.25">
      <c r="A7700" s="45" t="s">
        <v>7727</v>
      </c>
      <c r="B7700" s="46" t="s">
        <v>18462</v>
      </c>
      <c r="C7700">
        <v>17</v>
      </c>
      <c r="D7700">
        <v>86</v>
      </c>
    </row>
    <row r="7701" spans="1:4" x14ac:dyDescent="0.25">
      <c r="A7701" s="45" t="s">
        <v>7728</v>
      </c>
      <c r="B7701" s="46" t="s">
        <v>18463</v>
      </c>
      <c r="C7701">
        <v>17</v>
      </c>
      <c r="D7701">
        <v>86</v>
      </c>
    </row>
    <row r="7702" spans="1:4" x14ac:dyDescent="0.25">
      <c r="A7702" s="45" t="s">
        <v>7729</v>
      </c>
      <c r="B7702" s="46" t="s">
        <v>18464</v>
      </c>
      <c r="C7702">
        <v>17</v>
      </c>
      <c r="D7702">
        <v>86</v>
      </c>
    </row>
    <row r="7703" spans="1:4" x14ac:dyDescent="0.25">
      <c r="A7703" s="45" t="s">
        <v>7730</v>
      </c>
      <c r="B7703" s="46" t="s">
        <v>18465</v>
      </c>
      <c r="C7703">
        <v>17</v>
      </c>
      <c r="D7703">
        <v>86</v>
      </c>
    </row>
    <row r="7704" spans="1:4" x14ac:dyDescent="0.25">
      <c r="A7704" s="45" t="s">
        <v>7731</v>
      </c>
      <c r="B7704" s="46" t="s">
        <v>18466</v>
      </c>
      <c r="C7704">
        <v>17</v>
      </c>
      <c r="D7704">
        <v>87</v>
      </c>
    </row>
    <row r="7705" spans="1:4" x14ac:dyDescent="0.25">
      <c r="A7705" s="45" t="s">
        <v>7732</v>
      </c>
      <c r="B7705" s="46" t="s">
        <v>18467</v>
      </c>
      <c r="C7705">
        <v>17</v>
      </c>
      <c r="D7705">
        <v>87</v>
      </c>
    </row>
    <row r="7706" spans="1:4" x14ac:dyDescent="0.25">
      <c r="A7706" s="45" t="s">
        <v>7733</v>
      </c>
      <c r="B7706" s="46" t="s">
        <v>18468</v>
      </c>
      <c r="C7706">
        <v>13</v>
      </c>
      <c r="D7706">
        <v>77</v>
      </c>
    </row>
    <row r="7707" spans="1:4" x14ac:dyDescent="0.25">
      <c r="A7707" s="45" t="s">
        <v>7734</v>
      </c>
      <c r="B7707" s="46" t="s">
        <v>18469</v>
      </c>
      <c r="C7707">
        <v>17</v>
      </c>
      <c r="D7707">
        <v>87</v>
      </c>
    </row>
    <row r="7708" spans="1:4" x14ac:dyDescent="0.25">
      <c r="A7708" s="45" t="s">
        <v>7735</v>
      </c>
      <c r="B7708" s="46" t="s">
        <v>18470</v>
      </c>
      <c r="C7708">
        <v>17</v>
      </c>
      <c r="D7708">
        <v>88</v>
      </c>
    </row>
    <row r="7709" spans="1:4" x14ac:dyDescent="0.25">
      <c r="A7709" s="45" t="s">
        <v>7736</v>
      </c>
      <c r="B7709" s="46" t="s">
        <v>21016</v>
      </c>
      <c r="C7709">
        <v>17</v>
      </c>
      <c r="D7709">
        <v>88</v>
      </c>
    </row>
    <row r="7710" spans="1:4" x14ac:dyDescent="0.25">
      <c r="A7710" s="45" t="s">
        <v>7737</v>
      </c>
      <c r="B7710" s="46" t="s">
        <v>21017</v>
      </c>
      <c r="C7710">
        <v>17</v>
      </c>
      <c r="D7710">
        <v>88</v>
      </c>
    </row>
    <row r="7711" spans="1:4" x14ac:dyDescent="0.25">
      <c r="A7711" s="45" t="s">
        <v>7738</v>
      </c>
      <c r="B7711" s="46" t="s">
        <v>21018</v>
      </c>
      <c r="C7711">
        <v>17</v>
      </c>
      <c r="D7711">
        <v>88</v>
      </c>
    </row>
    <row r="7712" spans="1:4" x14ac:dyDescent="0.25">
      <c r="A7712" s="45" t="s">
        <v>7739</v>
      </c>
      <c r="B7712" s="46" t="s">
        <v>18471</v>
      </c>
      <c r="C7712">
        <v>17</v>
      </c>
      <c r="D7712">
        <v>101</v>
      </c>
    </row>
    <row r="7713" spans="1:4" x14ac:dyDescent="0.25">
      <c r="A7713" s="45" t="s">
        <v>7740</v>
      </c>
      <c r="B7713" s="46" t="s">
        <v>18472</v>
      </c>
      <c r="C7713">
        <v>17</v>
      </c>
      <c r="D7713">
        <v>101</v>
      </c>
    </row>
    <row r="7714" spans="1:4" x14ac:dyDescent="0.25">
      <c r="A7714" s="45" t="s">
        <v>7741</v>
      </c>
      <c r="B7714" s="46" t="s">
        <v>18473</v>
      </c>
      <c r="C7714">
        <v>17</v>
      </c>
      <c r="D7714">
        <v>101</v>
      </c>
    </row>
    <row r="7715" spans="1:4" x14ac:dyDescent="0.25">
      <c r="A7715" s="45" t="s">
        <v>7742</v>
      </c>
      <c r="B7715" s="46" t="s">
        <v>18474</v>
      </c>
      <c r="C7715">
        <v>17</v>
      </c>
      <c r="D7715">
        <v>101</v>
      </c>
    </row>
    <row r="7716" spans="1:4" x14ac:dyDescent="0.25">
      <c r="A7716" s="45" t="s">
        <v>7743</v>
      </c>
      <c r="B7716" s="46" t="s">
        <v>18475</v>
      </c>
      <c r="C7716">
        <v>17</v>
      </c>
      <c r="D7716">
        <v>101</v>
      </c>
    </row>
    <row r="7717" spans="1:4" x14ac:dyDescent="0.25">
      <c r="A7717" s="45" t="s">
        <v>7744</v>
      </c>
      <c r="B7717" s="46" t="s">
        <v>18476</v>
      </c>
      <c r="C7717">
        <v>17</v>
      </c>
      <c r="D7717">
        <v>101</v>
      </c>
    </row>
    <row r="7718" spans="1:4" x14ac:dyDescent="0.25">
      <c r="A7718" s="45" t="s">
        <v>7745</v>
      </c>
      <c r="B7718" s="46" t="s">
        <v>18477</v>
      </c>
      <c r="C7718">
        <v>17</v>
      </c>
      <c r="D7718">
        <v>94</v>
      </c>
    </row>
    <row r="7719" spans="1:4" x14ac:dyDescent="0.25">
      <c r="A7719" s="45" t="s">
        <v>7746</v>
      </c>
      <c r="B7719" s="46" t="s">
        <v>18478</v>
      </c>
      <c r="C7719">
        <v>17</v>
      </c>
      <c r="D7719">
        <v>94</v>
      </c>
    </row>
    <row r="7720" spans="1:4" x14ac:dyDescent="0.25">
      <c r="A7720" s="45" t="s">
        <v>7747</v>
      </c>
      <c r="B7720" s="46" t="s">
        <v>18479</v>
      </c>
      <c r="C7720">
        <v>17</v>
      </c>
      <c r="D7720">
        <v>94</v>
      </c>
    </row>
    <row r="7721" spans="1:4" x14ac:dyDescent="0.25">
      <c r="A7721" s="45" t="s">
        <v>7748</v>
      </c>
      <c r="B7721" s="46" t="s">
        <v>18480</v>
      </c>
      <c r="C7721">
        <v>17</v>
      </c>
      <c r="D7721">
        <v>94</v>
      </c>
    </row>
    <row r="7722" spans="1:4" x14ac:dyDescent="0.25">
      <c r="A7722" s="45" t="s">
        <v>7749</v>
      </c>
      <c r="B7722" s="46" t="s">
        <v>18481</v>
      </c>
      <c r="C7722">
        <v>17</v>
      </c>
      <c r="D7722">
        <v>94</v>
      </c>
    </row>
    <row r="7723" spans="1:4" x14ac:dyDescent="0.25">
      <c r="A7723" s="45" t="s">
        <v>7750</v>
      </c>
      <c r="B7723" s="46" t="s">
        <v>21019</v>
      </c>
      <c r="C7723">
        <v>17</v>
      </c>
      <c r="D7723">
        <v>94</v>
      </c>
    </row>
    <row r="7724" spans="1:4" x14ac:dyDescent="0.25">
      <c r="A7724" s="45" t="s">
        <v>7751</v>
      </c>
      <c r="B7724" s="46" t="s">
        <v>18482</v>
      </c>
      <c r="C7724">
        <v>17</v>
      </c>
      <c r="D7724">
        <v>94</v>
      </c>
    </row>
    <row r="7725" spans="1:4" x14ac:dyDescent="0.25">
      <c r="A7725" s="45" t="s">
        <v>7752</v>
      </c>
      <c r="B7725" s="46" t="s">
        <v>18483</v>
      </c>
      <c r="C7725">
        <v>17</v>
      </c>
      <c r="D7725">
        <v>94</v>
      </c>
    </row>
    <row r="7726" spans="1:4" x14ac:dyDescent="0.25">
      <c r="A7726" s="45" t="s">
        <v>7753</v>
      </c>
      <c r="B7726" s="46" t="s">
        <v>18484</v>
      </c>
      <c r="C7726">
        <v>17</v>
      </c>
      <c r="D7726">
        <v>94</v>
      </c>
    </row>
    <row r="7727" spans="1:4" x14ac:dyDescent="0.25">
      <c r="A7727" s="45" t="s">
        <v>7754</v>
      </c>
      <c r="B7727" s="46" t="s">
        <v>18485</v>
      </c>
      <c r="C7727">
        <v>17</v>
      </c>
      <c r="D7727">
        <v>88</v>
      </c>
    </row>
    <row r="7728" spans="1:4" x14ac:dyDescent="0.25">
      <c r="A7728" s="45" t="s">
        <v>7755</v>
      </c>
      <c r="B7728" s="46" t="s">
        <v>18486</v>
      </c>
      <c r="C7728">
        <v>17</v>
      </c>
      <c r="D7728">
        <v>102</v>
      </c>
    </row>
    <row r="7729" spans="1:4" x14ac:dyDescent="0.25">
      <c r="A7729" s="45" t="s">
        <v>7756</v>
      </c>
      <c r="B7729" s="46" t="s">
        <v>21020</v>
      </c>
      <c r="C7729">
        <v>17</v>
      </c>
      <c r="D7729">
        <v>102</v>
      </c>
    </row>
    <row r="7730" spans="1:4" x14ac:dyDescent="0.25">
      <c r="A7730" s="45" t="s">
        <v>7757</v>
      </c>
      <c r="B7730" s="46" t="s">
        <v>21021</v>
      </c>
      <c r="C7730">
        <v>17</v>
      </c>
      <c r="D7730">
        <v>102</v>
      </c>
    </row>
    <row r="7731" spans="1:4" x14ac:dyDescent="0.25">
      <c r="A7731" s="45" t="s">
        <v>7758</v>
      </c>
      <c r="B7731" s="46" t="s">
        <v>21022</v>
      </c>
      <c r="C7731">
        <v>17</v>
      </c>
      <c r="D7731">
        <v>102</v>
      </c>
    </row>
    <row r="7732" spans="1:4" x14ac:dyDescent="0.25">
      <c r="A7732" s="45" t="s">
        <v>7759</v>
      </c>
      <c r="B7732" s="46" t="s">
        <v>18487</v>
      </c>
      <c r="C7732">
        <v>17</v>
      </c>
      <c r="D7732">
        <v>102</v>
      </c>
    </row>
    <row r="7733" spans="1:4" x14ac:dyDescent="0.25">
      <c r="A7733" s="45" t="s">
        <v>7760</v>
      </c>
      <c r="B7733" s="46" t="s">
        <v>18488</v>
      </c>
      <c r="C7733">
        <v>17</v>
      </c>
      <c r="D7733">
        <v>102</v>
      </c>
    </row>
    <row r="7734" spans="1:4" x14ac:dyDescent="0.25">
      <c r="A7734" s="45" t="s">
        <v>7761</v>
      </c>
      <c r="B7734" s="46" t="s">
        <v>21023</v>
      </c>
      <c r="C7734">
        <v>17</v>
      </c>
      <c r="D7734">
        <v>98</v>
      </c>
    </row>
    <row r="7735" spans="1:4" x14ac:dyDescent="0.25">
      <c r="A7735" s="45" t="s">
        <v>7762</v>
      </c>
      <c r="B7735" s="46" t="s">
        <v>18489</v>
      </c>
      <c r="C7735">
        <v>17</v>
      </c>
      <c r="D7735">
        <v>98</v>
      </c>
    </row>
    <row r="7736" spans="1:4" x14ac:dyDescent="0.25">
      <c r="A7736" s="45" t="s">
        <v>7763</v>
      </c>
      <c r="B7736" s="46" t="s">
        <v>21024</v>
      </c>
      <c r="C7736">
        <v>17</v>
      </c>
      <c r="D7736">
        <v>93</v>
      </c>
    </row>
    <row r="7737" spans="1:4" x14ac:dyDescent="0.25">
      <c r="A7737" s="45" t="s">
        <v>7764</v>
      </c>
      <c r="B7737" s="46" t="s">
        <v>18490</v>
      </c>
      <c r="C7737">
        <v>17</v>
      </c>
      <c r="D7737">
        <v>93</v>
      </c>
    </row>
    <row r="7738" spans="1:4" x14ac:dyDescent="0.25">
      <c r="A7738" s="45" t="s">
        <v>7765</v>
      </c>
      <c r="B7738" s="46" t="s">
        <v>18491</v>
      </c>
      <c r="C7738">
        <v>17</v>
      </c>
      <c r="D7738">
        <v>93</v>
      </c>
    </row>
    <row r="7739" spans="1:4" x14ac:dyDescent="0.25">
      <c r="A7739" s="45" t="s">
        <v>7766</v>
      </c>
      <c r="B7739" s="46" t="s">
        <v>18492</v>
      </c>
      <c r="C7739">
        <v>17</v>
      </c>
      <c r="D7739">
        <v>102</v>
      </c>
    </row>
    <row r="7740" spans="1:4" x14ac:dyDescent="0.25">
      <c r="A7740" s="45" t="s">
        <v>7767</v>
      </c>
      <c r="B7740" s="46" t="s">
        <v>18493</v>
      </c>
      <c r="C7740">
        <v>17</v>
      </c>
      <c r="D7740">
        <v>102</v>
      </c>
    </row>
    <row r="7741" spans="1:4" x14ac:dyDescent="0.25">
      <c r="A7741" s="45" t="s">
        <v>7768</v>
      </c>
      <c r="B7741" s="46" t="s">
        <v>18494</v>
      </c>
      <c r="C7741">
        <v>17</v>
      </c>
      <c r="D7741">
        <v>102</v>
      </c>
    </row>
    <row r="7742" spans="1:4" x14ac:dyDescent="0.25">
      <c r="A7742" s="45" t="s">
        <v>7769</v>
      </c>
      <c r="B7742" s="46" t="s">
        <v>18495</v>
      </c>
      <c r="C7742">
        <v>17</v>
      </c>
      <c r="D7742">
        <v>97</v>
      </c>
    </row>
    <row r="7743" spans="1:4" x14ac:dyDescent="0.25">
      <c r="A7743" s="45" t="s">
        <v>7770</v>
      </c>
      <c r="B7743" s="46" t="s">
        <v>18496</v>
      </c>
      <c r="C7743">
        <v>17</v>
      </c>
      <c r="D7743">
        <v>97</v>
      </c>
    </row>
    <row r="7744" spans="1:4" x14ac:dyDescent="0.25">
      <c r="A7744" s="45" t="s">
        <v>7771</v>
      </c>
      <c r="B7744" s="46" t="s">
        <v>21025</v>
      </c>
      <c r="C7744">
        <v>17</v>
      </c>
      <c r="D7744">
        <v>97</v>
      </c>
    </row>
    <row r="7745" spans="1:4" x14ac:dyDescent="0.25">
      <c r="A7745" s="45" t="s">
        <v>7772</v>
      </c>
      <c r="B7745" s="46" t="s">
        <v>21026</v>
      </c>
      <c r="C7745">
        <v>17</v>
      </c>
      <c r="D7745">
        <v>97</v>
      </c>
    </row>
    <row r="7746" spans="1:4" x14ac:dyDescent="0.25">
      <c r="A7746" s="45" t="s">
        <v>7773</v>
      </c>
      <c r="B7746" s="46" t="s">
        <v>18497</v>
      </c>
      <c r="C7746">
        <v>17</v>
      </c>
      <c r="D7746">
        <v>96</v>
      </c>
    </row>
    <row r="7747" spans="1:4" x14ac:dyDescent="0.25">
      <c r="A7747" s="45" t="s">
        <v>7774</v>
      </c>
      <c r="B7747" s="46" t="s">
        <v>18498</v>
      </c>
      <c r="C7747">
        <v>17</v>
      </c>
      <c r="D7747">
        <v>96</v>
      </c>
    </row>
    <row r="7748" spans="1:4" x14ac:dyDescent="0.25">
      <c r="A7748" s="45" t="s">
        <v>7775</v>
      </c>
      <c r="B7748" s="46" t="s">
        <v>18499</v>
      </c>
      <c r="C7748">
        <v>17</v>
      </c>
      <c r="D7748">
        <v>96</v>
      </c>
    </row>
    <row r="7749" spans="1:4" x14ac:dyDescent="0.25">
      <c r="A7749" s="45" t="s">
        <v>7776</v>
      </c>
      <c r="B7749" s="46" t="s">
        <v>18500</v>
      </c>
      <c r="C7749">
        <v>17</v>
      </c>
      <c r="D7749">
        <v>93</v>
      </c>
    </row>
    <row r="7750" spans="1:4" x14ac:dyDescent="0.25">
      <c r="A7750" s="45" t="s">
        <v>7777</v>
      </c>
      <c r="B7750" s="46" t="s">
        <v>18501</v>
      </c>
      <c r="C7750">
        <v>17</v>
      </c>
      <c r="D7750">
        <v>93</v>
      </c>
    </row>
    <row r="7751" spans="1:4" x14ac:dyDescent="0.25">
      <c r="A7751" s="45" t="s">
        <v>7778</v>
      </c>
      <c r="B7751" s="46" t="s">
        <v>18502</v>
      </c>
      <c r="C7751">
        <v>17</v>
      </c>
      <c r="D7751">
        <v>93</v>
      </c>
    </row>
    <row r="7752" spans="1:4" x14ac:dyDescent="0.25">
      <c r="A7752" s="45" t="s">
        <v>7779</v>
      </c>
      <c r="B7752" s="46" t="s">
        <v>18503</v>
      </c>
      <c r="C7752">
        <v>17</v>
      </c>
      <c r="D7752">
        <v>93</v>
      </c>
    </row>
    <row r="7753" spans="1:4" x14ac:dyDescent="0.25">
      <c r="A7753" s="45" t="s">
        <v>7780</v>
      </c>
      <c r="B7753" s="46" t="s">
        <v>21027</v>
      </c>
      <c r="C7753">
        <v>17</v>
      </c>
      <c r="D7753">
        <v>93</v>
      </c>
    </row>
    <row r="7754" spans="1:4" x14ac:dyDescent="0.25">
      <c r="A7754" s="45" t="s">
        <v>7781</v>
      </c>
      <c r="B7754" s="46" t="s">
        <v>18504</v>
      </c>
      <c r="C7754">
        <v>17</v>
      </c>
      <c r="D7754">
        <v>86</v>
      </c>
    </row>
    <row r="7755" spans="1:4" x14ac:dyDescent="0.25">
      <c r="A7755" s="45" t="s">
        <v>7782</v>
      </c>
      <c r="B7755" s="46" t="s">
        <v>18505</v>
      </c>
      <c r="C7755">
        <v>17</v>
      </c>
      <c r="D7755">
        <v>86</v>
      </c>
    </row>
    <row r="7756" spans="1:4" x14ac:dyDescent="0.25">
      <c r="A7756" s="45" t="s">
        <v>7783</v>
      </c>
      <c r="B7756" s="46" t="s">
        <v>18506</v>
      </c>
      <c r="C7756">
        <v>17</v>
      </c>
      <c r="D7756">
        <v>86</v>
      </c>
    </row>
    <row r="7757" spans="1:4" x14ac:dyDescent="0.25">
      <c r="A7757" s="45" t="s">
        <v>7784</v>
      </c>
      <c r="B7757" s="46" t="s">
        <v>18507</v>
      </c>
      <c r="C7757">
        <v>17</v>
      </c>
      <c r="D7757">
        <v>86</v>
      </c>
    </row>
    <row r="7758" spans="1:4" x14ac:dyDescent="0.25">
      <c r="A7758" s="45" t="s">
        <v>7785</v>
      </c>
      <c r="B7758" s="46" t="s">
        <v>18508</v>
      </c>
      <c r="C7758">
        <v>17</v>
      </c>
      <c r="D7758">
        <v>86</v>
      </c>
    </row>
    <row r="7759" spans="1:4" x14ac:dyDescent="0.25">
      <c r="A7759" s="45" t="s">
        <v>7786</v>
      </c>
      <c r="B7759" s="46" t="s">
        <v>18509</v>
      </c>
      <c r="C7759">
        <v>17</v>
      </c>
      <c r="D7759">
        <v>86</v>
      </c>
    </row>
    <row r="7760" spans="1:4" x14ac:dyDescent="0.25">
      <c r="A7760" s="45" t="s">
        <v>7787</v>
      </c>
      <c r="B7760" s="46" t="s">
        <v>18510</v>
      </c>
      <c r="C7760">
        <v>17</v>
      </c>
      <c r="D7760">
        <v>86</v>
      </c>
    </row>
    <row r="7761" spans="1:4" x14ac:dyDescent="0.25">
      <c r="A7761" s="45" t="s">
        <v>7788</v>
      </c>
      <c r="B7761" s="46" t="s">
        <v>18511</v>
      </c>
      <c r="C7761">
        <v>17</v>
      </c>
      <c r="D7761">
        <v>86</v>
      </c>
    </row>
    <row r="7762" spans="1:4" x14ac:dyDescent="0.25">
      <c r="A7762" s="45" t="s">
        <v>7789</v>
      </c>
      <c r="B7762" s="46" t="s">
        <v>18512</v>
      </c>
      <c r="C7762">
        <v>17</v>
      </c>
      <c r="D7762">
        <v>87</v>
      </c>
    </row>
    <row r="7763" spans="1:4" x14ac:dyDescent="0.25">
      <c r="A7763" s="45" t="s">
        <v>7790</v>
      </c>
      <c r="B7763" s="46" t="s">
        <v>18513</v>
      </c>
      <c r="C7763">
        <v>17</v>
      </c>
      <c r="D7763">
        <v>87</v>
      </c>
    </row>
    <row r="7764" spans="1:4" x14ac:dyDescent="0.25">
      <c r="A7764" s="45" t="s">
        <v>7791</v>
      </c>
      <c r="B7764" s="46" t="s">
        <v>18514</v>
      </c>
      <c r="C7764">
        <v>17</v>
      </c>
      <c r="D7764">
        <v>88</v>
      </c>
    </row>
    <row r="7765" spans="1:4" x14ac:dyDescent="0.25">
      <c r="A7765" s="45" t="s">
        <v>7792</v>
      </c>
      <c r="B7765" s="46" t="s">
        <v>18515</v>
      </c>
      <c r="C7765">
        <v>17</v>
      </c>
      <c r="D7765">
        <v>87</v>
      </c>
    </row>
    <row r="7766" spans="1:4" x14ac:dyDescent="0.25">
      <c r="A7766" s="45" t="s">
        <v>7793</v>
      </c>
      <c r="B7766" s="46" t="s">
        <v>18516</v>
      </c>
      <c r="C7766">
        <v>17</v>
      </c>
      <c r="D7766">
        <v>88</v>
      </c>
    </row>
    <row r="7767" spans="1:4" x14ac:dyDescent="0.25">
      <c r="A7767" s="45" t="s">
        <v>7794</v>
      </c>
      <c r="B7767" s="46" t="s">
        <v>18517</v>
      </c>
      <c r="C7767">
        <v>17</v>
      </c>
      <c r="D7767">
        <v>88</v>
      </c>
    </row>
    <row r="7768" spans="1:4" x14ac:dyDescent="0.25">
      <c r="A7768" s="45" t="s">
        <v>7795</v>
      </c>
      <c r="B7768" s="46" t="s">
        <v>18518</v>
      </c>
      <c r="C7768">
        <v>17</v>
      </c>
      <c r="D7768">
        <v>88</v>
      </c>
    </row>
    <row r="7769" spans="1:4" x14ac:dyDescent="0.25">
      <c r="A7769" s="45" t="s">
        <v>7796</v>
      </c>
      <c r="B7769" s="46" t="s">
        <v>21028</v>
      </c>
      <c r="C7769">
        <v>17</v>
      </c>
      <c r="D7769">
        <v>101</v>
      </c>
    </row>
    <row r="7770" spans="1:4" x14ac:dyDescent="0.25">
      <c r="A7770" s="45" t="s">
        <v>7797</v>
      </c>
      <c r="B7770" s="46" t="s">
        <v>18519</v>
      </c>
      <c r="C7770">
        <v>17</v>
      </c>
      <c r="D7770">
        <v>101</v>
      </c>
    </row>
    <row r="7771" spans="1:4" x14ac:dyDescent="0.25">
      <c r="A7771" s="45" t="s">
        <v>7798</v>
      </c>
      <c r="B7771" s="46" t="s">
        <v>18520</v>
      </c>
      <c r="C7771">
        <v>17</v>
      </c>
      <c r="D7771">
        <v>101</v>
      </c>
    </row>
    <row r="7772" spans="1:4" x14ac:dyDescent="0.25">
      <c r="A7772" s="45" t="s">
        <v>7799</v>
      </c>
      <c r="B7772" s="46" t="s">
        <v>18521</v>
      </c>
      <c r="C7772">
        <v>17</v>
      </c>
      <c r="D7772">
        <v>101</v>
      </c>
    </row>
    <row r="7773" spans="1:4" x14ac:dyDescent="0.25">
      <c r="A7773" s="45" t="s">
        <v>7800</v>
      </c>
      <c r="B7773" s="46" t="s">
        <v>21029</v>
      </c>
      <c r="C7773">
        <v>17</v>
      </c>
      <c r="D7773">
        <v>101</v>
      </c>
    </row>
    <row r="7774" spans="1:4" x14ac:dyDescent="0.25">
      <c r="A7774" s="45" t="s">
        <v>7801</v>
      </c>
      <c r="B7774" s="46" t="s">
        <v>18522</v>
      </c>
      <c r="C7774">
        <v>17</v>
      </c>
      <c r="D7774">
        <v>101</v>
      </c>
    </row>
    <row r="7775" spans="1:4" x14ac:dyDescent="0.25">
      <c r="A7775" s="45" t="s">
        <v>7802</v>
      </c>
      <c r="B7775" s="46" t="s">
        <v>18523</v>
      </c>
      <c r="C7775">
        <v>17</v>
      </c>
      <c r="D7775">
        <v>101</v>
      </c>
    </row>
    <row r="7776" spans="1:4" x14ac:dyDescent="0.25">
      <c r="A7776" s="45" t="s">
        <v>7803</v>
      </c>
      <c r="B7776" s="46" t="s">
        <v>18524</v>
      </c>
      <c r="C7776">
        <v>17</v>
      </c>
      <c r="D7776">
        <v>94</v>
      </c>
    </row>
    <row r="7777" spans="1:4" x14ac:dyDescent="0.25">
      <c r="A7777" s="45" t="s">
        <v>7804</v>
      </c>
      <c r="B7777" s="46" t="s">
        <v>18525</v>
      </c>
      <c r="C7777">
        <v>17</v>
      </c>
      <c r="D7777">
        <v>94</v>
      </c>
    </row>
    <row r="7778" spans="1:4" x14ac:dyDescent="0.25">
      <c r="A7778" s="45" t="s">
        <v>7805</v>
      </c>
      <c r="B7778" s="46" t="s">
        <v>18526</v>
      </c>
      <c r="C7778">
        <v>17</v>
      </c>
      <c r="D7778">
        <v>94</v>
      </c>
    </row>
    <row r="7779" spans="1:4" x14ac:dyDescent="0.25">
      <c r="A7779" s="45" t="s">
        <v>7806</v>
      </c>
      <c r="B7779" s="46" t="s">
        <v>18527</v>
      </c>
      <c r="C7779">
        <v>17</v>
      </c>
      <c r="D7779">
        <v>94</v>
      </c>
    </row>
    <row r="7780" spans="1:4" x14ac:dyDescent="0.25">
      <c r="A7780" s="45" t="s">
        <v>7807</v>
      </c>
      <c r="B7780" s="46" t="s">
        <v>21030</v>
      </c>
      <c r="C7780">
        <v>17</v>
      </c>
      <c r="D7780">
        <v>94</v>
      </c>
    </row>
    <row r="7781" spans="1:4" x14ac:dyDescent="0.25">
      <c r="A7781" s="45" t="s">
        <v>7808</v>
      </c>
      <c r="B7781" s="46" t="s">
        <v>18528</v>
      </c>
      <c r="C7781">
        <v>17</v>
      </c>
      <c r="D7781">
        <v>94</v>
      </c>
    </row>
    <row r="7782" spans="1:4" x14ac:dyDescent="0.25">
      <c r="A7782" s="45" t="s">
        <v>7809</v>
      </c>
      <c r="B7782" s="46" t="s">
        <v>21031</v>
      </c>
      <c r="C7782">
        <v>17</v>
      </c>
      <c r="D7782">
        <v>102</v>
      </c>
    </row>
    <row r="7783" spans="1:4" x14ac:dyDescent="0.25">
      <c r="A7783" s="45" t="s">
        <v>7810</v>
      </c>
      <c r="B7783" s="46" t="s">
        <v>21032</v>
      </c>
      <c r="C7783">
        <v>17</v>
      </c>
      <c r="D7783">
        <v>102</v>
      </c>
    </row>
    <row r="7784" spans="1:4" x14ac:dyDescent="0.25">
      <c r="A7784" s="45" t="s">
        <v>7811</v>
      </c>
      <c r="B7784" s="46" t="s">
        <v>21033</v>
      </c>
      <c r="C7784">
        <v>17</v>
      </c>
      <c r="D7784">
        <v>102</v>
      </c>
    </row>
    <row r="7785" spans="1:4" x14ac:dyDescent="0.25">
      <c r="A7785" s="45" t="s">
        <v>7812</v>
      </c>
      <c r="B7785" s="46" t="s">
        <v>21034</v>
      </c>
      <c r="C7785">
        <v>17</v>
      </c>
      <c r="D7785">
        <v>102</v>
      </c>
    </row>
    <row r="7786" spans="1:4" x14ac:dyDescent="0.25">
      <c r="A7786" s="45" t="s">
        <v>7813</v>
      </c>
      <c r="B7786" s="46" t="s">
        <v>21035</v>
      </c>
      <c r="C7786">
        <v>17</v>
      </c>
      <c r="D7786">
        <v>102</v>
      </c>
    </row>
    <row r="7787" spans="1:4" x14ac:dyDescent="0.25">
      <c r="A7787" s="45" t="s">
        <v>7814</v>
      </c>
      <c r="B7787" s="46" t="s">
        <v>18529</v>
      </c>
      <c r="C7787">
        <v>17</v>
      </c>
      <c r="D7787">
        <v>102</v>
      </c>
    </row>
    <row r="7788" spans="1:4" x14ac:dyDescent="0.25">
      <c r="A7788" s="45" t="s">
        <v>7815</v>
      </c>
      <c r="B7788" s="46" t="s">
        <v>21036</v>
      </c>
      <c r="C7788">
        <v>17</v>
      </c>
      <c r="D7788">
        <v>98</v>
      </c>
    </row>
    <row r="7789" spans="1:4" x14ac:dyDescent="0.25">
      <c r="A7789" s="45" t="s">
        <v>7816</v>
      </c>
      <c r="B7789" s="46" t="s">
        <v>18530</v>
      </c>
      <c r="C7789">
        <v>17</v>
      </c>
      <c r="D7789">
        <v>98</v>
      </c>
    </row>
    <row r="7790" spans="1:4" x14ac:dyDescent="0.25">
      <c r="A7790" s="45" t="s">
        <v>7817</v>
      </c>
      <c r="B7790" s="46" t="s">
        <v>18531</v>
      </c>
      <c r="C7790">
        <v>17</v>
      </c>
      <c r="D7790">
        <v>98</v>
      </c>
    </row>
    <row r="7791" spans="1:4" x14ac:dyDescent="0.25">
      <c r="A7791" s="45" t="s">
        <v>7818</v>
      </c>
      <c r="B7791" s="46" t="s">
        <v>18532</v>
      </c>
      <c r="C7791">
        <v>17</v>
      </c>
      <c r="D7791">
        <v>93</v>
      </c>
    </row>
    <row r="7792" spans="1:4" x14ac:dyDescent="0.25">
      <c r="A7792" s="45" t="s">
        <v>7819</v>
      </c>
      <c r="B7792" s="46" t="s">
        <v>18533</v>
      </c>
      <c r="C7792">
        <v>17</v>
      </c>
      <c r="D7792">
        <v>93</v>
      </c>
    </row>
    <row r="7793" spans="1:4" x14ac:dyDescent="0.25">
      <c r="A7793" s="45" t="s">
        <v>7820</v>
      </c>
      <c r="B7793" s="46" t="s">
        <v>18534</v>
      </c>
      <c r="C7793">
        <v>17</v>
      </c>
      <c r="D7793">
        <v>93</v>
      </c>
    </row>
    <row r="7794" spans="1:4" x14ac:dyDescent="0.25">
      <c r="A7794" s="45" t="s">
        <v>7821</v>
      </c>
      <c r="B7794" s="46" t="s">
        <v>18535</v>
      </c>
      <c r="C7794">
        <v>17</v>
      </c>
      <c r="D7794">
        <v>93</v>
      </c>
    </row>
    <row r="7795" spans="1:4" x14ac:dyDescent="0.25">
      <c r="A7795" s="45" t="s">
        <v>7822</v>
      </c>
      <c r="B7795" s="46" t="s">
        <v>18536</v>
      </c>
      <c r="C7795">
        <v>17</v>
      </c>
      <c r="D7795">
        <v>93</v>
      </c>
    </row>
    <row r="7796" spans="1:4" x14ac:dyDescent="0.25">
      <c r="A7796" s="45" t="s">
        <v>7823</v>
      </c>
      <c r="B7796" s="46" t="s">
        <v>18537</v>
      </c>
      <c r="C7796">
        <v>17</v>
      </c>
      <c r="D7796">
        <v>102</v>
      </c>
    </row>
    <row r="7797" spans="1:4" x14ac:dyDescent="0.25">
      <c r="A7797" s="45" t="s">
        <v>7824</v>
      </c>
      <c r="B7797" s="46" t="s">
        <v>18538</v>
      </c>
      <c r="C7797">
        <v>17</v>
      </c>
      <c r="D7797">
        <v>102</v>
      </c>
    </row>
    <row r="7798" spans="1:4" x14ac:dyDescent="0.25">
      <c r="A7798" s="45" t="s">
        <v>7825</v>
      </c>
      <c r="B7798" s="46" t="s">
        <v>18539</v>
      </c>
      <c r="C7798">
        <v>17</v>
      </c>
      <c r="D7798">
        <v>102</v>
      </c>
    </row>
    <row r="7799" spans="1:4" x14ac:dyDescent="0.25">
      <c r="A7799" s="45" t="s">
        <v>7826</v>
      </c>
      <c r="B7799" s="46" t="s">
        <v>18540</v>
      </c>
      <c r="C7799">
        <v>17</v>
      </c>
      <c r="D7799">
        <v>96</v>
      </c>
    </row>
    <row r="7800" spans="1:4" x14ac:dyDescent="0.25">
      <c r="A7800" s="45" t="s">
        <v>7827</v>
      </c>
      <c r="B7800" s="46" t="s">
        <v>18541</v>
      </c>
      <c r="C7800">
        <v>17</v>
      </c>
      <c r="D7800">
        <v>96</v>
      </c>
    </row>
    <row r="7801" spans="1:4" x14ac:dyDescent="0.25">
      <c r="A7801" s="45" t="s">
        <v>7828</v>
      </c>
      <c r="B7801" s="46" t="s">
        <v>21037</v>
      </c>
      <c r="C7801">
        <v>17</v>
      </c>
      <c r="D7801">
        <v>96</v>
      </c>
    </row>
    <row r="7802" spans="1:4" x14ac:dyDescent="0.25">
      <c r="A7802" s="45" t="s">
        <v>7829</v>
      </c>
      <c r="B7802" s="46" t="s">
        <v>21038</v>
      </c>
      <c r="C7802">
        <v>17</v>
      </c>
      <c r="D7802">
        <v>96</v>
      </c>
    </row>
    <row r="7803" spans="1:4" x14ac:dyDescent="0.25">
      <c r="A7803" s="45" t="s">
        <v>7830</v>
      </c>
      <c r="B7803" s="46" t="s">
        <v>21039</v>
      </c>
      <c r="C7803">
        <v>17</v>
      </c>
      <c r="D7803">
        <v>96</v>
      </c>
    </row>
    <row r="7804" spans="1:4" x14ac:dyDescent="0.25">
      <c r="A7804" s="45" t="s">
        <v>7831</v>
      </c>
      <c r="B7804" s="46" t="s">
        <v>21040</v>
      </c>
      <c r="C7804">
        <v>17</v>
      </c>
      <c r="D7804">
        <v>96</v>
      </c>
    </row>
    <row r="7805" spans="1:4" x14ac:dyDescent="0.25">
      <c r="A7805" s="45" t="s">
        <v>7832</v>
      </c>
      <c r="B7805" s="46" t="s">
        <v>21041</v>
      </c>
      <c r="C7805">
        <v>17</v>
      </c>
      <c r="D7805">
        <v>96</v>
      </c>
    </row>
    <row r="7806" spans="1:4" x14ac:dyDescent="0.25">
      <c r="A7806" s="45" t="s">
        <v>7833</v>
      </c>
      <c r="B7806" s="46" t="s">
        <v>18542</v>
      </c>
      <c r="C7806">
        <v>17</v>
      </c>
      <c r="D7806">
        <v>91</v>
      </c>
    </row>
    <row r="7807" spans="1:4" x14ac:dyDescent="0.25">
      <c r="A7807" s="45" t="s">
        <v>7834</v>
      </c>
      <c r="B7807" s="46" t="s">
        <v>18543</v>
      </c>
      <c r="C7807">
        <v>17</v>
      </c>
      <c r="D7807">
        <v>91</v>
      </c>
    </row>
    <row r="7808" spans="1:4" x14ac:dyDescent="0.25">
      <c r="A7808" s="45" t="s">
        <v>7835</v>
      </c>
      <c r="B7808" s="46" t="s">
        <v>21042</v>
      </c>
      <c r="C7808">
        <v>17</v>
      </c>
      <c r="D7808">
        <v>92</v>
      </c>
    </row>
    <row r="7809" spans="1:4" x14ac:dyDescent="0.25">
      <c r="A7809" s="45" t="s">
        <v>7836</v>
      </c>
      <c r="B7809" s="46" t="s">
        <v>21043</v>
      </c>
      <c r="C7809">
        <v>17</v>
      </c>
      <c r="D7809">
        <v>93</v>
      </c>
    </row>
    <row r="7810" spans="1:4" x14ac:dyDescent="0.25">
      <c r="A7810" s="45" t="s">
        <v>7837</v>
      </c>
      <c r="B7810" s="46" t="s">
        <v>21044</v>
      </c>
      <c r="C7810">
        <v>17</v>
      </c>
      <c r="D7810">
        <v>91</v>
      </c>
    </row>
    <row r="7811" spans="1:4" x14ac:dyDescent="0.25">
      <c r="A7811" s="45" t="s">
        <v>7838</v>
      </c>
      <c r="B7811" s="46" t="s">
        <v>21045</v>
      </c>
      <c r="C7811">
        <v>17</v>
      </c>
      <c r="D7811">
        <v>91</v>
      </c>
    </row>
    <row r="7812" spans="1:4" x14ac:dyDescent="0.25">
      <c r="A7812" s="45" t="s">
        <v>7839</v>
      </c>
      <c r="B7812" s="46" t="s">
        <v>21046</v>
      </c>
      <c r="C7812">
        <v>17</v>
      </c>
      <c r="D7812">
        <v>91</v>
      </c>
    </row>
    <row r="7813" spans="1:4" x14ac:dyDescent="0.25">
      <c r="A7813" s="45" t="s">
        <v>7840</v>
      </c>
      <c r="B7813" s="46" t="s">
        <v>21047</v>
      </c>
      <c r="C7813">
        <v>17</v>
      </c>
      <c r="D7813">
        <v>86</v>
      </c>
    </row>
    <row r="7814" spans="1:4" x14ac:dyDescent="0.25">
      <c r="A7814" s="45" t="s">
        <v>7841</v>
      </c>
      <c r="B7814" s="46" t="s">
        <v>18544</v>
      </c>
      <c r="C7814">
        <v>17</v>
      </c>
      <c r="D7814">
        <v>86</v>
      </c>
    </row>
    <row r="7815" spans="1:4" x14ac:dyDescent="0.25">
      <c r="A7815" s="45" t="s">
        <v>7842</v>
      </c>
      <c r="B7815" s="46" t="s">
        <v>21048</v>
      </c>
      <c r="C7815">
        <v>17</v>
      </c>
      <c r="D7815">
        <v>86</v>
      </c>
    </row>
    <row r="7816" spans="1:4" x14ac:dyDescent="0.25">
      <c r="A7816" s="45" t="s">
        <v>7843</v>
      </c>
      <c r="B7816" s="46" t="s">
        <v>18545</v>
      </c>
      <c r="C7816">
        <v>17</v>
      </c>
      <c r="D7816">
        <v>86</v>
      </c>
    </row>
    <row r="7817" spans="1:4" x14ac:dyDescent="0.25">
      <c r="A7817" s="45" t="s">
        <v>7844</v>
      </c>
      <c r="B7817" s="46" t="s">
        <v>18546</v>
      </c>
      <c r="C7817">
        <v>17</v>
      </c>
      <c r="D7817">
        <v>86</v>
      </c>
    </row>
    <row r="7818" spans="1:4" x14ac:dyDescent="0.25">
      <c r="A7818" s="45" t="s">
        <v>7845</v>
      </c>
      <c r="B7818" s="46" t="s">
        <v>18547</v>
      </c>
      <c r="C7818">
        <v>17</v>
      </c>
      <c r="D7818">
        <v>86</v>
      </c>
    </row>
    <row r="7819" spans="1:4" x14ac:dyDescent="0.25">
      <c r="A7819" s="45" t="s">
        <v>7846</v>
      </c>
      <c r="B7819" s="46" t="s">
        <v>18548</v>
      </c>
      <c r="C7819">
        <v>17</v>
      </c>
      <c r="D7819">
        <v>86</v>
      </c>
    </row>
    <row r="7820" spans="1:4" x14ac:dyDescent="0.25">
      <c r="A7820" s="45" t="s">
        <v>7847</v>
      </c>
      <c r="B7820" s="46" t="s">
        <v>21049</v>
      </c>
      <c r="C7820">
        <v>17</v>
      </c>
      <c r="D7820">
        <v>86</v>
      </c>
    </row>
    <row r="7821" spans="1:4" x14ac:dyDescent="0.25">
      <c r="A7821" s="45" t="s">
        <v>7848</v>
      </c>
      <c r="B7821" s="46" t="s">
        <v>21050</v>
      </c>
      <c r="C7821">
        <v>17</v>
      </c>
      <c r="D7821">
        <v>86</v>
      </c>
    </row>
    <row r="7822" spans="1:4" x14ac:dyDescent="0.25">
      <c r="A7822" s="45" t="s">
        <v>7849</v>
      </c>
      <c r="B7822" s="46" t="s">
        <v>21051</v>
      </c>
      <c r="C7822">
        <v>17</v>
      </c>
      <c r="D7822">
        <v>86</v>
      </c>
    </row>
    <row r="7823" spans="1:4" x14ac:dyDescent="0.25">
      <c r="A7823" s="45" t="s">
        <v>7850</v>
      </c>
      <c r="B7823" s="46" t="s">
        <v>21052</v>
      </c>
      <c r="C7823">
        <v>17</v>
      </c>
      <c r="D7823">
        <v>88</v>
      </c>
    </row>
    <row r="7824" spans="1:4" x14ac:dyDescent="0.25">
      <c r="A7824" s="45" t="s">
        <v>7851</v>
      </c>
      <c r="B7824" s="46" t="s">
        <v>18549</v>
      </c>
      <c r="C7824">
        <v>17</v>
      </c>
      <c r="D7824">
        <v>87</v>
      </c>
    </row>
    <row r="7825" spans="1:4" x14ac:dyDescent="0.25">
      <c r="A7825" s="45" t="s">
        <v>7852</v>
      </c>
      <c r="B7825" s="46" t="s">
        <v>21053</v>
      </c>
      <c r="C7825">
        <v>17</v>
      </c>
      <c r="D7825">
        <v>87</v>
      </c>
    </row>
    <row r="7826" spans="1:4" x14ac:dyDescent="0.25">
      <c r="A7826" s="45" t="s">
        <v>7853</v>
      </c>
      <c r="B7826" s="46" t="s">
        <v>21054</v>
      </c>
      <c r="C7826">
        <v>17</v>
      </c>
      <c r="D7826">
        <v>87</v>
      </c>
    </row>
    <row r="7827" spans="1:4" x14ac:dyDescent="0.25">
      <c r="A7827" s="45" t="s">
        <v>7854</v>
      </c>
      <c r="B7827" s="46" t="s">
        <v>21055</v>
      </c>
      <c r="C7827">
        <v>17</v>
      </c>
      <c r="D7827">
        <v>87</v>
      </c>
    </row>
    <row r="7828" spans="1:4" x14ac:dyDescent="0.25">
      <c r="A7828" s="45" t="s">
        <v>7855</v>
      </c>
      <c r="B7828" s="46" t="s">
        <v>21056</v>
      </c>
      <c r="C7828">
        <v>17</v>
      </c>
      <c r="D7828">
        <v>87</v>
      </c>
    </row>
    <row r="7829" spans="1:4" x14ac:dyDescent="0.25">
      <c r="A7829" s="45" t="s">
        <v>7856</v>
      </c>
      <c r="B7829" s="46" t="s">
        <v>21057</v>
      </c>
      <c r="C7829">
        <v>17</v>
      </c>
      <c r="D7829">
        <v>87</v>
      </c>
    </row>
    <row r="7830" spans="1:4" x14ac:dyDescent="0.25">
      <c r="A7830" s="45" t="s">
        <v>7857</v>
      </c>
      <c r="B7830" s="46" t="s">
        <v>18550</v>
      </c>
      <c r="C7830">
        <v>17</v>
      </c>
      <c r="D7830">
        <v>86</v>
      </c>
    </row>
    <row r="7831" spans="1:4" x14ac:dyDescent="0.25">
      <c r="A7831" s="45" t="s">
        <v>7858</v>
      </c>
      <c r="B7831" s="46" t="s">
        <v>18551</v>
      </c>
      <c r="C7831">
        <v>17</v>
      </c>
      <c r="D7831">
        <v>98</v>
      </c>
    </row>
    <row r="7832" spans="1:4" x14ac:dyDescent="0.25">
      <c r="A7832" s="45" t="s">
        <v>7859</v>
      </c>
      <c r="B7832" s="46" t="s">
        <v>21058</v>
      </c>
      <c r="C7832">
        <v>17</v>
      </c>
      <c r="D7832">
        <v>98</v>
      </c>
    </row>
    <row r="7833" spans="1:4" x14ac:dyDescent="0.25">
      <c r="A7833" s="45" t="s">
        <v>7860</v>
      </c>
      <c r="B7833" s="46" t="s">
        <v>21059</v>
      </c>
      <c r="C7833">
        <v>17</v>
      </c>
      <c r="D7833">
        <v>98</v>
      </c>
    </row>
    <row r="7834" spans="1:4" x14ac:dyDescent="0.25">
      <c r="A7834" s="45" t="s">
        <v>7861</v>
      </c>
      <c r="B7834" s="46" t="s">
        <v>21060</v>
      </c>
      <c r="C7834">
        <v>17</v>
      </c>
      <c r="D7834">
        <v>98</v>
      </c>
    </row>
    <row r="7835" spans="1:4" x14ac:dyDescent="0.25">
      <c r="A7835" s="45" t="s">
        <v>7862</v>
      </c>
      <c r="B7835" s="46" t="s">
        <v>21061</v>
      </c>
      <c r="C7835">
        <v>17</v>
      </c>
      <c r="D7835">
        <v>98</v>
      </c>
    </row>
    <row r="7836" spans="1:4" x14ac:dyDescent="0.25">
      <c r="A7836" s="45" t="s">
        <v>7863</v>
      </c>
      <c r="B7836" s="46" t="s">
        <v>21062</v>
      </c>
      <c r="C7836">
        <v>17</v>
      </c>
      <c r="D7836">
        <v>86</v>
      </c>
    </row>
    <row r="7837" spans="1:4" x14ac:dyDescent="0.25">
      <c r="A7837" s="45" t="s">
        <v>7864</v>
      </c>
      <c r="B7837" s="46" t="s">
        <v>21063</v>
      </c>
      <c r="C7837">
        <v>17</v>
      </c>
      <c r="D7837">
        <v>98</v>
      </c>
    </row>
    <row r="7838" spans="1:4" x14ac:dyDescent="0.25">
      <c r="A7838" s="45" t="s">
        <v>7865</v>
      </c>
      <c r="B7838" s="46" t="s">
        <v>21064</v>
      </c>
      <c r="C7838">
        <v>17</v>
      </c>
      <c r="D7838">
        <v>92</v>
      </c>
    </row>
    <row r="7839" spans="1:4" x14ac:dyDescent="0.25">
      <c r="A7839" s="45" t="s">
        <v>7866</v>
      </c>
      <c r="B7839" s="46" t="s">
        <v>18552</v>
      </c>
      <c r="C7839">
        <v>17</v>
      </c>
      <c r="D7839">
        <v>92</v>
      </c>
    </row>
    <row r="7840" spans="1:4" x14ac:dyDescent="0.25">
      <c r="A7840" s="45" t="s">
        <v>7867</v>
      </c>
      <c r="B7840" s="46" t="s">
        <v>21065</v>
      </c>
      <c r="C7840">
        <v>17</v>
      </c>
      <c r="D7840">
        <v>92</v>
      </c>
    </row>
    <row r="7841" spans="1:4" x14ac:dyDescent="0.25">
      <c r="A7841" s="45" t="s">
        <v>7868</v>
      </c>
      <c r="B7841" s="46" t="s">
        <v>21066</v>
      </c>
      <c r="C7841">
        <v>17</v>
      </c>
      <c r="D7841">
        <v>93</v>
      </c>
    </row>
    <row r="7842" spans="1:4" x14ac:dyDescent="0.25">
      <c r="A7842" s="45" t="s">
        <v>7869</v>
      </c>
      <c r="B7842" s="46" t="s">
        <v>18553</v>
      </c>
      <c r="C7842">
        <v>17</v>
      </c>
      <c r="D7842">
        <v>93</v>
      </c>
    </row>
    <row r="7843" spans="1:4" x14ac:dyDescent="0.25">
      <c r="A7843" s="45" t="s">
        <v>7870</v>
      </c>
      <c r="B7843" s="46" t="s">
        <v>21067</v>
      </c>
      <c r="C7843">
        <v>17</v>
      </c>
      <c r="D7843">
        <v>93</v>
      </c>
    </row>
    <row r="7844" spans="1:4" x14ac:dyDescent="0.25">
      <c r="A7844" s="45" t="s">
        <v>7871</v>
      </c>
      <c r="B7844" s="46" t="s">
        <v>21068</v>
      </c>
      <c r="C7844">
        <v>17</v>
      </c>
      <c r="D7844">
        <v>91</v>
      </c>
    </row>
    <row r="7845" spans="1:4" x14ac:dyDescent="0.25">
      <c r="A7845" s="45" t="s">
        <v>7872</v>
      </c>
      <c r="B7845" s="46" t="s">
        <v>21069</v>
      </c>
      <c r="C7845">
        <v>17</v>
      </c>
      <c r="D7845">
        <v>91</v>
      </c>
    </row>
    <row r="7846" spans="1:4" x14ac:dyDescent="0.25">
      <c r="A7846" s="45" t="s">
        <v>7873</v>
      </c>
      <c r="B7846" s="46" t="s">
        <v>21070</v>
      </c>
      <c r="C7846">
        <v>17</v>
      </c>
      <c r="D7846">
        <v>91</v>
      </c>
    </row>
    <row r="7847" spans="1:4" x14ac:dyDescent="0.25">
      <c r="A7847" s="45" t="s">
        <v>7874</v>
      </c>
      <c r="B7847" s="46" t="s">
        <v>21071</v>
      </c>
      <c r="C7847">
        <v>17</v>
      </c>
      <c r="D7847">
        <v>102</v>
      </c>
    </row>
    <row r="7848" spans="1:4" x14ac:dyDescent="0.25">
      <c r="A7848" s="45" t="s">
        <v>7875</v>
      </c>
      <c r="B7848" s="46" t="s">
        <v>21072</v>
      </c>
      <c r="C7848">
        <v>17</v>
      </c>
      <c r="D7848">
        <v>101</v>
      </c>
    </row>
    <row r="7849" spans="1:4" x14ac:dyDescent="0.25">
      <c r="A7849" s="45" t="s">
        <v>7876</v>
      </c>
      <c r="B7849" s="46" t="s">
        <v>21073</v>
      </c>
      <c r="C7849">
        <v>17</v>
      </c>
      <c r="D7849">
        <v>101</v>
      </c>
    </row>
    <row r="7850" spans="1:4" x14ac:dyDescent="0.25">
      <c r="A7850" s="45" t="s">
        <v>7877</v>
      </c>
      <c r="B7850" s="46" t="s">
        <v>18554</v>
      </c>
      <c r="C7850">
        <v>17</v>
      </c>
      <c r="D7850">
        <v>93</v>
      </c>
    </row>
    <row r="7851" spans="1:4" x14ac:dyDescent="0.25">
      <c r="A7851" s="45" t="s">
        <v>7878</v>
      </c>
      <c r="B7851" s="46" t="s">
        <v>21074</v>
      </c>
      <c r="C7851">
        <v>17</v>
      </c>
      <c r="D7851">
        <v>102</v>
      </c>
    </row>
    <row r="7852" spans="1:4" x14ac:dyDescent="0.25">
      <c r="A7852" s="45" t="s">
        <v>7879</v>
      </c>
      <c r="B7852" s="46" t="s">
        <v>21075</v>
      </c>
      <c r="C7852">
        <v>17</v>
      </c>
      <c r="D7852">
        <v>90</v>
      </c>
    </row>
    <row r="7853" spans="1:4" x14ac:dyDescent="0.25">
      <c r="A7853" s="45" t="s">
        <v>7880</v>
      </c>
      <c r="B7853" s="46" t="s">
        <v>21076</v>
      </c>
      <c r="C7853">
        <v>17</v>
      </c>
      <c r="D7853">
        <v>102</v>
      </c>
    </row>
    <row r="7854" spans="1:4" x14ac:dyDescent="0.25">
      <c r="A7854" s="45" t="s">
        <v>7881</v>
      </c>
      <c r="B7854" s="46" t="s">
        <v>21077</v>
      </c>
      <c r="C7854">
        <v>17</v>
      </c>
      <c r="D7854">
        <v>102</v>
      </c>
    </row>
    <row r="7855" spans="1:4" x14ac:dyDescent="0.25">
      <c r="A7855" s="45" t="s">
        <v>7882</v>
      </c>
      <c r="B7855" s="46" t="s">
        <v>18555</v>
      </c>
      <c r="C7855">
        <v>17</v>
      </c>
      <c r="D7855">
        <v>86</v>
      </c>
    </row>
    <row r="7856" spans="1:4" x14ac:dyDescent="0.25">
      <c r="A7856" s="45" t="s">
        <v>7883</v>
      </c>
      <c r="B7856" s="46" t="s">
        <v>18556</v>
      </c>
      <c r="C7856">
        <v>17</v>
      </c>
      <c r="D7856">
        <v>96</v>
      </c>
    </row>
    <row r="7857" spans="1:4" x14ac:dyDescent="0.25">
      <c r="A7857" s="45" t="s">
        <v>7884</v>
      </c>
      <c r="B7857" s="46" t="s">
        <v>21078</v>
      </c>
      <c r="C7857">
        <v>17</v>
      </c>
      <c r="D7857">
        <v>91</v>
      </c>
    </row>
    <row r="7858" spans="1:4" x14ac:dyDescent="0.25">
      <c r="A7858" s="45" t="s">
        <v>7885</v>
      </c>
      <c r="B7858" s="46" t="s">
        <v>18557</v>
      </c>
      <c r="C7858">
        <v>17</v>
      </c>
      <c r="D7858">
        <v>87</v>
      </c>
    </row>
    <row r="7859" spans="1:4" x14ac:dyDescent="0.25">
      <c r="A7859" s="45" t="s">
        <v>7886</v>
      </c>
      <c r="B7859" s="46" t="s">
        <v>21079</v>
      </c>
      <c r="C7859">
        <v>17</v>
      </c>
      <c r="D7859">
        <v>101</v>
      </c>
    </row>
    <row r="7860" spans="1:4" x14ac:dyDescent="0.25">
      <c r="A7860" s="45" t="s">
        <v>7887</v>
      </c>
      <c r="B7860" s="46" t="s">
        <v>18558</v>
      </c>
      <c r="C7860">
        <v>17</v>
      </c>
      <c r="D7860">
        <v>101</v>
      </c>
    </row>
    <row r="7861" spans="1:4" x14ac:dyDescent="0.25">
      <c r="A7861" s="45" t="s">
        <v>7888</v>
      </c>
      <c r="B7861" s="46" t="s">
        <v>21080</v>
      </c>
      <c r="C7861">
        <v>17</v>
      </c>
      <c r="D7861">
        <v>102</v>
      </c>
    </row>
    <row r="7862" spans="1:4" x14ac:dyDescent="0.25">
      <c r="A7862" s="45" t="s">
        <v>7889</v>
      </c>
      <c r="B7862" s="46" t="s">
        <v>18559</v>
      </c>
      <c r="C7862">
        <v>17</v>
      </c>
      <c r="D7862">
        <v>91</v>
      </c>
    </row>
    <row r="7863" spans="1:4" x14ac:dyDescent="0.25">
      <c r="A7863" s="45" t="s">
        <v>7890</v>
      </c>
      <c r="B7863" s="46" t="s">
        <v>18560</v>
      </c>
      <c r="C7863">
        <v>17</v>
      </c>
      <c r="D7863">
        <v>102</v>
      </c>
    </row>
    <row r="7864" spans="1:4" x14ac:dyDescent="0.25">
      <c r="A7864" s="45" t="s">
        <v>7891</v>
      </c>
      <c r="B7864" s="46" t="s">
        <v>18561</v>
      </c>
      <c r="C7864">
        <v>17</v>
      </c>
      <c r="D7864">
        <v>102</v>
      </c>
    </row>
    <row r="7865" spans="1:4" x14ac:dyDescent="0.25">
      <c r="A7865" s="45" t="s">
        <v>7892</v>
      </c>
      <c r="B7865" s="46" t="s">
        <v>18562</v>
      </c>
      <c r="C7865">
        <v>17</v>
      </c>
      <c r="D7865">
        <v>86</v>
      </c>
    </row>
    <row r="7866" spans="1:4" x14ac:dyDescent="0.25">
      <c r="A7866" s="45" t="s">
        <v>7893</v>
      </c>
      <c r="B7866" s="46" t="s">
        <v>18563</v>
      </c>
      <c r="C7866">
        <v>17</v>
      </c>
      <c r="D7866">
        <v>96</v>
      </c>
    </row>
    <row r="7867" spans="1:4" x14ac:dyDescent="0.25">
      <c r="A7867" s="45" t="s">
        <v>7894</v>
      </c>
      <c r="B7867" s="46" t="s">
        <v>21081</v>
      </c>
      <c r="C7867">
        <v>17</v>
      </c>
      <c r="D7867">
        <v>92</v>
      </c>
    </row>
    <row r="7868" spans="1:4" x14ac:dyDescent="0.25">
      <c r="A7868" s="45" t="s">
        <v>7895</v>
      </c>
      <c r="B7868" s="46" t="s">
        <v>18564</v>
      </c>
      <c r="C7868">
        <v>17</v>
      </c>
      <c r="D7868">
        <v>87</v>
      </c>
    </row>
    <row r="7869" spans="1:4" x14ac:dyDescent="0.25">
      <c r="A7869" s="45" t="s">
        <v>7896</v>
      </c>
      <c r="B7869" s="46" t="s">
        <v>21082</v>
      </c>
      <c r="C7869">
        <v>17</v>
      </c>
      <c r="D7869">
        <v>101</v>
      </c>
    </row>
    <row r="7870" spans="1:4" x14ac:dyDescent="0.25">
      <c r="A7870" s="45" t="s">
        <v>7897</v>
      </c>
      <c r="B7870" s="46" t="s">
        <v>21083</v>
      </c>
      <c r="C7870">
        <v>17</v>
      </c>
      <c r="D7870">
        <v>94</v>
      </c>
    </row>
    <row r="7871" spans="1:4" x14ac:dyDescent="0.25">
      <c r="A7871" s="45" t="s">
        <v>7898</v>
      </c>
      <c r="B7871" s="46" t="s">
        <v>21084</v>
      </c>
      <c r="C7871">
        <v>17</v>
      </c>
      <c r="D7871">
        <v>102</v>
      </c>
    </row>
    <row r="7872" spans="1:4" x14ac:dyDescent="0.25">
      <c r="A7872" s="45" t="s">
        <v>7899</v>
      </c>
      <c r="B7872" s="46" t="s">
        <v>21085</v>
      </c>
      <c r="C7872">
        <v>17</v>
      </c>
      <c r="D7872">
        <v>92</v>
      </c>
    </row>
    <row r="7873" spans="1:4" x14ac:dyDescent="0.25">
      <c r="A7873" s="45" t="s">
        <v>7900</v>
      </c>
      <c r="B7873" s="46" t="s">
        <v>18565</v>
      </c>
      <c r="C7873">
        <v>17</v>
      </c>
      <c r="D7873">
        <v>102</v>
      </c>
    </row>
    <row r="7874" spans="1:4" x14ac:dyDescent="0.25">
      <c r="A7874" s="45" t="s">
        <v>7901</v>
      </c>
      <c r="B7874" s="46" t="s">
        <v>21086</v>
      </c>
      <c r="C7874">
        <v>17</v>
      </c>
      <c r="D7874">
        <v>102</v>
      </c>
    </row>
    <row r="7875" spans="1:4" x14ac:dyDescent="0.25">
      <c r="A7875" s="45" t="s">
        <v>7902</v>
      </c>
      <c r="B7875" s="46" t="s">
        <v>18566</v>
      </c>
      <c r="C7875">
        <v>17</v>
      </c>
      <c r="D7875">
        <v>86</v>
      </c>
    </row>
    <row r="7876" spans="1:4" x14ac:dyDescent="0.25">
      <c r="A7876" s="45" t="s">
        <v>7903</v>
      </c>
      <c r="B7876" s="46" t="s">
        <v>18567</v>
      </c>
      <c r="C7876">
        <v>17</v>
      </c>
      <c r="D7876">
        <v>97</v>
      </c>
    </row>
    <row r="7877" spans="1:4" x14ac:dyDescent="0.25">
      <c r="A7877" s="45" t="s">
        <v>7904</v>
      </c>
      <c r="B7877" s="46" t="s">
        <v>18568</v>
      </c>
      <c r="C7877">
        <v>17</v>
      </c>
      <c r="D7877">
        <v>93</v>
      </c>
    </row>
    <row r="7878" spans="1:4" x14ac:dyDescent="0.25">
      <c r="A7878" s="45" t="s">
        <v>7905</v>
      </c>
      <c r="B7878" s="46" t="s">
        <v>18569</v>
      </c>
      <c r="C7878">
        <v>17</v>
      </c>
      <c r="D7878">
        <v>87</v>
      </c>
    </row>
    <row r="7879" spans="1:4" x14ac:dyDescent="0.25">
      <c r="A7879" s="45" t="s">
        <v>7906</v>
      </c>
      <c r="B7879" s="46" t="s">
        <v>21087</v>
      </c>
      <c r="C7879">
        <v>17</v>
      </c>
      <c r="D7879">
        <v>101</v>
      </c>
    </row>
    <row r="7880" spans="1:4" x14ac:dyDescent="0.25">
      <c r="A7880" s="45" t="s">
        <v>7907</v>
      </c>
      <c r="B7880" s="46" t="s">
        <v>21088</v>
      </c>
      <c r="C7880">
        <v>17</v>
      </c>
      <c r="D7880">
        <v>94</v>
      </c>
    </row>
    <row r="7881" spans="1:4" x14ac:dyDescent="0.25">
      <c r="A7881" s="45" t="s">
        <v>7908</v>
      </c>
      <c r="B7881" s="46" t="s">
        <v>21089</v>
      </c>
      <c r="C7881">
        <v>17</v>
      </c>
      <c r="D7881">
        <v>102</v>
      </c>
    </row>
    <row r="7882" spans="1:4" x14ac:dyDescent="0.25">
      <c r="A7882" s="45" t="s">
        <v>7909</v>
      </c>
      <c r="B7882" s="46" t="s">
        <v>21090</v>
      </c>
      <c r="C7882">
        <v>17</v>
      </c>
      <c r="D7882">
        <v>93</v>
      </c>
    </row>
    <row r="7883" spans="1:4" x14ac:dyDescent="0.25">
      <c r="A7883" s="45" t="s">
        <v>7910</v>
      </c>
      <c r="B7883" s="46" t="s">
        <v>18570</v>
      </c>
      <c r="C7883">
        <v>17</v>
      </c>
      <c r="D7883">
        <v>102</v>
      </c>
    </row>
    <row r="7884" spans="1:4" x14ac:dyDescent="0.25">
      <c r="A7884" s="45" t="s">
        <v>7911</v>
      </c>
      <c r="B7884" s="46" t="s">
        <v>21091</v>
      </c>
      <c r="C7884">
        <v>17</v>
      </c>
      <c r="D7884">
        <v>102</v>
      </c>
    </row>
    <row r="7885" spans="1:4" x14ac:dyDescent="0.25">
      <c r="A7885" s="45" t="s">
        <v>7912</v>
      </c>
      <c r="B7885" s="46" t="s">
        <v>18571</v>
      </c>
      <c r="C7885">
        <v>17</v>
      </c>
      <c r="D7885">
        <v>96</v>
      </c>
    </row>
    <row r="7886" spans="1:4" x14ac:dyDescent="0.25">
      <c r="A7886" s="45" t="s">
        <v>7913</v>
      </c>
      <c r="B7886" s="46" t="s">
        <v>21092</v>
      </c>
      <c r="C7886">
        <v>17</v>
      </c>
      <c r="D7886">
        <v>91</v>
      </c>
    </row>
    <row r="7887" spans="1:4" x14ac:dyDescent="0.25">
      <c r="A7887" s="45" t="s">
        <v>7914</v>
      </c>
      <c r="B7887" s="46" t="s">
        <v>18572</v>
      </c>
      <c r="C7887">
        <v>10</v>
      </c>
      <c r="D7887">
        <v>67</v>
      </c>
    </row>
    <row r="7888" spans="1:4" x14ac:dyDescent="0.25">
      <c r="A7888" s="45" t="s">
        <v>7915</v>
      </c>
      <c r="B7888" s="46" t="s">
        <v>18573</v>
      </c>
      <c r="C7888">
        <v>17</v>
      </c>
      <c r="D7888">
        <v>87</v>
      </c>
    </row>
    <row r="7889" spans="1:4" x14ac:dyDescent="0.25">
      <c r="A7889" s="45" t="s">
        <v>7916</v>
      </c>
      <c r="B7889" s="46" t="s">
        <v>21093</v>
      </c>
      <c r="C7889">
        <v>17</v>
      </c>
      <c r="D7889">
        <v>101</v>
      </c>
    </row>
    <row r="7890" spans="1:4" x14ac:dyDescent="0.25">
      <c r="A7890" s="45" t="s">
        <v>7917</v>
      </c>
      <c r="B7890" s="46" t="s">
        <v>18574</v>
      </c>
      <c r="C7890">
        <v>17</v>
      </c>
      <c r="D7890">
        <v>94</v>
      </c>
    </row>
    <row r="7891" spans="1:4" x14ac:dyDescent="0.25">
      <c r="A7891" s="45" t="s">
        <v>7918</v>
      </c>
      <c r="B7891" s="46" t="s">
        <v>21094</v>
      </c>
      <c r="C7891">
        <v>17</v>
      </c>
      <c r="D7891">
        <v>88</v>
      </c>
    </row>
    <row r="7892" spans="1:4" x14ac:dyDescent="0.25">
      <c r="A7892" s="45" t="s">
        <v>7919</v>
      </c>
      <c r="B7892" s="46" t="s">
        <v>21095</v>
      </c>
      <c r="C7892">
        <v>17</v>
      </c>
      <c r="D7892">
        <v>90</v>
      </c>
    </row>
    <row r="7893" spans="1:4" x14ac:dyDescent="0.25">
      <c r="A7893" s="45" t="s">
        <v>7920</v>
      </c>
      <c r="B7893" s="46" t="s">
        <v>21096</v>
      </c>
      <c r="C7893">
        <v>17</v>
      </c>
      <c r="D7893">
        <v>90</v>
      </c>
    </row>
    <row r="7894" spans="1:4" x14ac:dyDescent="0.25">
      <c r="A7894" s="45" t="s">
        <v>7921</v>
      </c>
      <c r="B7894" s="46" t="s">
        <v>18575</v>
      </c>
      <c r="C7894">
        <v>17</v>
      </c>
      <c r="D7894">
        <v>102</v>
      </c>
    </row>
    <row r="7895" spans="1:4" x14ac:dyDescent="0.25">
      <c r="A7895" s="45" t="s">
        <v>7922</v>
      </c>
      <c r="B7895" s="46" t="s">
        <v>18576</v>
      </c>
      <c r="C7895">
        <v>17</v>
      </c>
      <c r="D7895">
        <v>99</v>
      </c>
    </row>
    <row r="7896" spans="1:4" x14ac:dyDescent="0.25">
      <c r="A7896" s="45" t="s">
        <v>7923</v>
      </c>
      <c r="B7896" s="46" t="s">
        <v>18577</v>
      </c>
      <c r="C7896">
        <v>17</v>
      </c>
      <c r="D7896">
        <v>99</v>
      </c>
    </row>
    <row r="7897" spans="1:4" x14ac:dyDescent="0.25">
      <c r="A7897" s="45" t="s">
        <v>7924</v>
      </c>
      <c r="B7897" s="46" t="s">
        <v>18578</v>
      </c>
      <c r="C7897">
        <v>17</v>
      </c>
      <c r="D7897">
        <v>99</v>
      </c>
    </row>
    <row r="7898" spans="1:4" x14ac:dyDescent="0.25">
      <c r="A7898" s="45" t="s">
        <v>7925</v>
      </c>
      <c r="B7898" s="46" t="s">
        <v>21097</v>
      </c>
      <c r="C7898">
        <v>17</v>
      </c>
      <c r="D7898">
        <v>99</v>
      </c>
    </row>
    <row r="7899" spans="1:4" x14ac:dyDescent="0.25">
      <c r="A7899" s="45" t="s">
        <v>7926</v>
      </c>
      <c r="B7899" s="46" t="s">
        <v>18579</v>
      </c>
      <c r="C7899">
        <v>17</v>
      </c>
      <c r="D7899">
        <v>99</v>
      </c>
    </row>
    <row r="7900" spans="1:4" x14ac:dyDescent="0.25">
      <c r="A7900" s="45" t="s">
        <v>7927</v>
      </c>
      <c r="B7900" s="46" t="s">
        <v>18580</v>
      </c>
      <c r="C7900">
        <v>17</v>
      </c>
      <c r="D7900">
        <v>99</v>
      </c>
    </row>
    <row r="7901" spans="1:4" x14ac:dyDescent="0.25">
      <c r="A7901" s="45" t="s">
        <v>7928</v>
      </c>
      <c r="B7901" s="46" t="s">
        <v>18581</v>
      </c>
      <c r="C7901">
        <v>17</v>
      </c>
      <c r="D7901">
        <v>99</v>
      </c>
    </row>
    <row r="7902" spans="1:4" x14ac:dyDescent="0.25">
      <c r="A7902" s="45" t="s">
        <v>7929</v>
      </c>
      <c r="B7902" s="46" t="s">
        <v>18582</v>
      </c>
      <c r="C7902">
        <v>17</v>
      </c>
      <c r="D7902">
        <v>99</v>
      </c>
    </row>
    <row r="7903" spans="1:4" x14ac:dyDescent="0.25">
      <c r="A7903" s="45" t="s">
        <v>7930</v>
      </c>
      <c r="B7903" s="46" t="s">
        <v>18583</v>
      </c>
      <c r="C7903">
        <v>17</v>
      </c>
      <c r="D7903">
        <v>99</v>
      </c>
    </row>
    <row r="7904" spans="1:4" x14ac:dyDescent="0.25">
      <c r="A7904" s="45" t="s">
        <v>7931</v>
      </c>
      <c r="B7904" s="46" t="s">
        <v>18584</v>
      </c>
      <c r="C7904">
        <v>17</v>
      </c>
      <c r="D7904">
        <v>99</v>
      </c>
    </row>
    <row r="7905" spans="1:4" x14ac:dyDescent="0.25">
      <c r="A7905" s="45" t="s">
        <v>7932</v>
      </c>
      <c r="B7905" s="46" t="s">
        <v>18585</v>
      </c>
      <c r="C7905">
        <v>17</v>
      </c>
      <c r="D7905">
        <v>99</v>
      </c>
    </row>
    <row r="7906" spans="1:4" x14ac:dyDescent="0.25">
      <c r="A7906" s="45" t="s">
        <v>7933</v>
      </c>
      <c r="B7906" s="46" t="s">
        <v>18586</v>
      </c>
      <c r="C7906">
        <v>17</v>
      </c>
      <c r="D7906">
        <v>99</v>
      </c>
    </row>
    <row r="7907" spans="1:4" x14ac:dyDescent="0.25">
      <c r="A7907" s="45" t="s">
        <v>7934</v>
      </c>
      <c r="B7907" s="46" t="s">
        <v>21098</v>
      </c>
      <c r="C7907">
        <v>17</v>
      </c>
      <c r="D7907">
        <v>99</v>
      </c>
    </row>
    <row r="7908" spans="1:4" x14ac:dyDescent="0.25">
      <c r="A7908" s="45" t="s">
        <v>7935</v>
      </c>
      <c r="B7908" s="46" t="s">
        <v>18587</v>
      </c>
      <c r="C7908">
        <v>17</v>
      </c>
      <c r="D7908">
        <v>99</v>
      </c>
    </row>
    <row r="7909" spans="1:4" x14ac:dyDescent="0.25">
      <c r="A7909" s="45" t="s">
        <v>7936</v>
      </c>
      <c r="B7909" s="46" t="s">
        <v>18588</v>
      </c>
      <c r="C7909">
        <v>17</v>
      </c>
      <c r="D7909">
        <v>99</v>
      </c>
    </row>
    <row r="7910" spans="1:4" x14ac:dyDescent="0.25">
      <c r="A7910" s="45" t="s">
        <v>7937</v>
      </c>
      <c r="B7910" s="46" t="s">
        <v>18589</v>
      </c>
      <c r="C7910">
        <v>17</v>
      </c>
      <c r="D7910">
        <v>99</v>
      </c>
    </row>
    <row r="7911" spans="1:4" x14ac:dyDescent="0.25">
      <c r="A7911" s="45" t="s">
        <v>7938</v>
      </c>
      <c r="B7911" s="46" t="s">
        <v>18590</v>
      </c>
      <c r="C7911">
        <v>17</v>
      </c>
      <c r="D7911">
        <v>99</v>
      </c>
    </row>
    <row r="7912" spans="1:4" x14ac:dyDescent="0.25">
      <c r="A7912" s="45" t="s">
        <v>7939</v>
      </c>
      <c r="B7912" s="46" t="s">
        <v>18591</v>
      </c>
      <c r="C7912">
        <v>17</v>
      </c>
      <c r="D7912">
        <v>99</v>
      </c>
    </row>
    <row r="7913" spans="1:4" x14ac:dyDescent="0.25">
      <c r="A7913" s="45" t="s">
        <v>7940</v>
      </c>
      <c r="B7913" s="46" t="s">
        <v>18592</v>
      </c>
      <c r="C7913">
        <v>17</v>
      </c>
      <c r="D7913">
        <v>99</v>
      </c>
    </row>
    <row r="7914" spans="1:4" x14ac:dyDescent="0.25">
      <c r="A7914" s="45" t="s">
        <v>7941</v>
      </c>
      <c r="B7914" s="46" t="s">
        <v>18593</v>
      </c>
      <c r="C7914">
        <v>17</v>
      </c>
      <c r="D7914">
        <v>99</v>
      </c>
    </row>
    <row r="7915" spans="1:4" x14ac:dyDescent="0.25">
      <c r="A7915" s="45" t="s">
        <v>7942</v>
      </c>
      <c r="B7915" s="46" t="s">
        <v>18594</v>
      </c>
      <c r="C7915">
        <v>17</v>
      </c>
      <c r="D7915">
        <v>99</v>
      </c>
    </row>
    <row r="7916" spans="1:4" x14ac:dyDescent="0.25">
      <c r="A7916" s="45" t="s">
        <v>7943</v>
      </c>
      <c r="B7916" s="46" t="s">
        <v>18595</v>
      </c>
      <c r="C7916">
        <v>17</v>
      </c>
      <c r="D7916">
        <v>99</v>
      </c>
    </row>
    <row r="7917" spans="1:4" x14ac:dyDescent="0.25">
      <c r="A7917" s="45" t="s">
        <v>7944</v>
      </c>
      <c r="B7917" s="46" t="s">
        <v>18596</v>
      </c>
      <c r="C7917">
        <v>17</v>
      </c>
      <c r="D7917">
        <v>99</v>
      </c>
    </row>
    <row r="7918" spans="1:4" x14ac:dyDescent="0.25">
      <c r="A7918" s="45" t="s">
        <v>7945</v>
      </c>
      <c r="B7918" s="46" t="s">
        <v>18597</v>
      </c>
      <c r="C7918">
        <v>17</v>
      </c>
      <c r="D7918">
        <v>99</v>
      </c>
    </row>
    <row r="7919" spans="1:4" x14ac:dyDescent="0.25">
      <c r="A7919" s="45" t="s">
        <v>7946</v>
      </c>
      <c r="B7919" s="46" t="s">
        <v>18598</v>
      </c>
      <c r="C7919">
        <v>17</v>
      </c>
      <c r="D7919">
        <v>99</v>
      </c>
    </row>
    <row r="7920" spans="1:4" x14ac:dyDescent="0.25">
      <c r="A7920" s="45" t="s">
        <v>7947</v>
      </c>
      <c r="B7920" s="46" t="s">
        <v>21099</v>
      </c>
      <c r="C7920">
        <v>17</v>
      </c>
      <c r="D7920">
        <v>99</v>
      </c>
    </row>
    <row r="7921" spans="1:4" x14ac:dyDescent="0.25">
      <c r="A7921" s="45" t="s">
        <v>7948</v>
      </c>
      <c r="B7921" s="46" t="s">
        <v>21100</v>
      </c>
      <c r="C7921">
        <v>17</v>
      </c>
      <c r="D7921">
        <v>99</v>
      </c>
    </row>
    <row r="7922" spans="1:4" x14ac:dyDescent="0.25">
      <c r="A7922" s="45" t="s">
        <v>7949</v>
      </c>
      <c r="B7922" s="46" t="s">
        <v>18599</v>
      </c>
      <c r="C7922">
        <v>17</v>
      </c>
      <c r="D7922">
        <v>96</v>
      </c>
    </row>
    <row r="7923" spans="1:4" x14ac:dyDescent="0.25">
      <c r="A7923" s="45" t="s">
        <v>7950</v>
      </c>
      <c r="B7923" s="46" t="s">
        <v>18600</v>
      </c>
      <c r="C7923">
        <v>17</v>
      </c>
      <c r="D7923">
        <v>100</v>
      </c>
    </row>
    <row r="7924" spans="1:4" x14ac:dyDescent="0.25">
      <c r="A7924" s="45" t="s">
        <v>7951</v>
      </c>
      <c r="B7924" s="46" t="s">
        <v>18601</v>
      </c>
      <c r="C7924">
        <v>17</v>
      </c>
      <c r="D7924">
        <v>100</v>
      </c>
    </row>
    <row r="7925" spans="1:4" x14ac:dyDescent="0.25">
      <c r="A7925" s="45" t="s">
        <v>7952</v>
      </c>
      <c r="B7925" s="46" t="s">
        <v>18602</v>
      </c>
      <c r="C7925">
        <v>17</v>
      </c>
      <c r="D7925">
        <v>100</v>
      </c>
    </row>
    <row r="7926" spans="1:4" x14ac:dyDescent="0.25">
      <c r="A7926" s="45" t="s">
        <v>7953</v>
      </c>
      <c r="B7926" s="46" t="s">
        <v>18603</v>
      </c>
      <c r="C7926">
        <v>17</v>
      </c>
      <c r="D7926">
        <v>100</v>
      </c>
    </row>
    <row r="7927" spans="1:4" x14ac:dyDescent="0.25">
      <c r="A7927" s="45" t="s">
        <v>7954</v>
      </c>
      <c r="B7927" s="46" t="s">
        <v>18604</v>
      </c>
      <c r="C7927">
        <v>17</v>
      </c>
      <c r="D7927">
        <v>100</v>
      </c>
    </row>
    <row r="7928" spans="1:4" x14ac:dyDescent="0.25">
      <c r="A7928" s="45" t="s">
        <v>7955</v>
      </c>
      <c r="B7928" s="46" t="s">
        <v>18605</v>
      </c>
      <c r="C7928">
        <v>17</v>
      </c>
      <c r="D7928">
        <v>100</v>
      </c>
    </row>
    <row r="7929" spans="1:4" x14ac:dyDescent="0.25">
      <c r="A7929" s="45" t="s">
        <v>7956</v>
      </c>
      <c r="B7929" s="46" t="s">
        <v>18606</v>
      </c>
      <c r="C7929">
        <v>17</v>
      </c>
      <c r="D7929">
        <v>100</v>
      </c>
    </row>
    <row r="7930" spans="1:4" x14ac:dyDescent="0.25">
      <c r="A7930" s="45" t="s">
        <v>7957</v>
      </c>
      <c r="B7930" s="46" t="s">
        <v>18607</v>
      </c>
      <c r="C7930">
        <v>17</v>
      </c>
      <c r="D7930">
        <v>100</v>
      </c>
    </row>
    <row r="7931" spans="1:4" x14ac:dyDescent="0.25">
      <c r="A7931" s="45" t="s">
        <v>7958</v>
      </c>
      <c r="B7931" s="46" t="s">
        <v>18608</v>
      </c>
      <c r="C7931">
        <v>17</v>
      </c>
      <c r="D7931">
        <v>100</v>
      </c>
    </row>
    <row r="7932" spans="1:4" x14ac:dyDescent="0.25">
      <c r="A7932" s="45" t="s">
        <v>7959</v>
      </c>
      <c r="B7932" s="46" t="s">
        <v>18609</v>
      </c>
      <c r="C7932">
        <v>17</v>
      </c>
      <c r="D7932">
        <v>100</v>
      </c>
    </row>
    <row r="7933" spans="1:4" x14ac:dyDescent="0.25">
      <c r="A7933" s="45" t="s">
        <v>7960</v>
      </c>
      <c r="B7933" s="46" t="s">
        <v>18610</v>
      </c>
      <c r="C7933">
        <v>17</v>
      </c>
      <c r="D7933">
        <v>100</v>
      </c>
    </row>
    <row r="7934" spans="1:4" x14ac:dyDescent="0.25">
      <c r="A7934" s="45" t="s">
        <v>7961</v>
      </c>
      <c r="B7934" s="46" t="s">
        <v>18611</v>
      </c>
      <c r="C7934">
        <v>17</v>
      </c>
      <c r="D7934">
        <v>100</v>
      </c>
    </row>
    <row r="7935" spans="1:4" x14ac:dyDescent="0.25">
      <c r="A7935" s="45" t="s">
        <v>7962</v>
      </c>
      <c r="B7935" s="46" t="s">
        <v>18612</v>
      </c>
      <c r="C7935">
        <v>17</v>
      </c>
      <c r="D7935">
        <v>100</v>
      </c>
    </row>
    <row r="7936" spans="1:4" x14ac:dyDescent="0.25">
      <c r="A7936" s="45" t="s">
        <v>7963</v>
      </c>
      <c r="B7936" s="46" t="s">
        <v>18613</v>
      </c>
      <c r="C7936">
        <v>17</v>
      </c>
      <c r="D7936">
        <v>100</v>
      </c>
    </row>
    <row r="7937" spans="1:4" x14ac:dyDescent="0.25">
      <c r="A7937" s="45" t="s">
        <v>7964</v>
      </c>
      <c r="B7937" s="46" t="s">
        <v>18614</v>
      </c>
      <c r="C7937">
        <v>17</v>
      </c>
      <c r="D7937">
        <v>100</v>
      </c>
    </row>
    <row r="7938" spans="1:4" x14ac:dyDescent="0.25">
      <c r="A7938" s="45" t="s">
        <v>7965</v>
      </c>
      <c r="B7938" s="46" t="s">
        <v>18615</v>
      </c>
      <c r="C7938">
        <v>17</v>
      </c>
      <c r="D7938">
        <v>100</v>
      </c>
    </row>
    <row r="7939" spans="1:4" x14ac:dyDescent="0.25">
      <c r="A7939" s="45" t="s">
        <v>7966</v>
      </c>
      <c r="B7939" s="46" t="s">
        <v>21101</v>
      </c>
      <c r="C7939">
        <v>17</v>
      </c>
      <c r="D7939">
        <v>100</v>
      </c>
    </row>
    <row r="7940" spans="1:4" x14ac:dyDescent="0.25">
      <c r="A7940" s="45" t="s">
        <v>7967</v>
      </c>
      <c r="B7940" s="46" t="s">
        <v>21102</v>
      </c>
      <c r="C7940">
        <v>17</v>
      </c>
      <c r="D7940">
        <v>100</v>
      </c>
    </row>
    <row r="7941" spans="1:4" x14ac:dyDescent="0.25">
      <c r="A7941" s="45" t="s">
        <v>7968</v>
      </c>
      <c r="B7941" s="46" t="s">
        <v>21103</v>
      </c>
      <c r="C7941">
        <v>17</v>
      </c>
      <c r="D7941">
        <v>100</v>
      </c>
    </row>
    <row r="7942" spans="1:4" x14ac:dyDescent="0.25">
      <c r="A7942" s="45" t="s">
        <v>7969</v>
      </c>
      <c r="B7942" s="46" t="s">
        <v>21104</v>
      </c>
      <c r="C7942">
        <v>17</v>
      </c>
      <c r="D7942">
        <v>100</v>
      </c>
    </row>
    <row r="7943" spans="1:4" x14ac:dyDescent="0.25">
      <c r="A7943" s="45" t="s">
        <v>7970</v>
      </c>
      <c r="B7943" s="46" t="s">
        <v>21105</v>
      </c>
      <c r="C7943">
        <v>17</v>
      </c>
      <c r="D7943">
        <v>100</v>
      </c>
    </row>
    <row r="7944" spans="1:4" x14ac:dyDescent="0.25">
      <c r="A7944" s="45" t="s">
        <v>7971</v>
      </c>
      <c r="B7944" s="46" t="s">
        <v>21106</v>
      </c>
      <c r="C7944">
        <v>17</v>
      </c>
      <c r="D7944">
        <v>100</v>
      </c>
    </row>
    <row r="7945" spans="1:4" x14ac:dyDescent="0.25">
      <c r="A7945" s="45" t="s">
        <v>7972</v>
      </c>
      <c r="B7945" s="46" t="s">
        <v>21107</v>
      </c>
      <c r="C7945">
        <v>17</v>
      </c>
      <c r="D7945">
        <v>100</v>
      </c>
    </row>
    <row r="7946" spans="1:4" x14ac:dyDescent="0.25">
      <c r="A7946" s="45" t="s">
        <v>7973</v>
      </c>
      <c r="B7946" s="46" t="s">
        <v>21108</v>
      </c>
      <c r="C7946">
        <v>17</v>
      </c>
      <c r="D7946">
        <v>100</v>
      </c>
    </row>
    <row r="7947" spans="1:4" x14ac:dyDescent="0.25">
      <c r="A7947" s="45" t="s">
        <v>7974</v>
      </c>
      <c r="B7947" s="46" t="s">
        <v>18616</v>
      </c>
      <c r="C7947">
        <v>17</v>
      </c>
      <c r="D7947">
        <v>100</v>
      </c>
    </row>
    <row r="7948" spans="1:4" x14ac:dyDescent="0.25">
      <c r="A7948" s="45" t="s">
        <v>7975</v>
      </c>
      <c r="B7948" s="46" t="s">
        <v>18617</v>
      </c>
      <c r="C7948">
        <v>17</v>
      </c>
      <c r="D7948">
        <v>100</v>
      </c>
    </row>
    <row r="7949" spans="1:4" x14ac:dyDescent="0.25">
      <c r="A7949" s="45" t="s">
        <v>7976</v>
      </c>
      <c r="B7949" s="46" t="s">
        <v>18618</v>
      </c>
      <c r="C7949">
        <v>17</v>
      </c>
      <c r="D7949">
        <v>100</v>
      </c>
    </row>
    <row r="7950" spans="1:4" x14ac:dyDescent="0.25">
      <c r="A7950" s="45" t="s">
        <v>7977</v>
      </c>
      <c r="B7950" s="46" t="s">
        <v>18619</v>
      </c>
      <c r="C7950">
        <v>17</v>
      </c>
      <c r="D7950">
        <v>100</v>
      </c>
    </row>
    <row r="7951" spans="1:4" x14ac:dyDescent="0.25">
      <c r="A7951" s="45" t="s">
        <v>7978</v>
      </c>
      <c r="B7951" s="46" t="s">
        <v>18620</v>
      </c>
      <c r="C7951">
        <v>17</v>
      </c>
      <c r="D7951">
        <v>100</v>
      </c>
    </row>
    <row r="7952" spans="1:4" x14ac:dyDescent="0.25">
      <c r="A7952" s="45" t="s">
        <v>7979</v>
      </c>
      <c r="B7952" s="46" t="s">
        <v>18621</v>
      </c>
      <c r="C7952">
        <v>17</v>
      </c>
      <c r="D7952">
        <v>100</v>
      </c>
    </row>
    <row r="7953" spans="1:4" x14ac:dyDescent="0.25">
      <c r="A7953" s="45" t="s">
        <v>7980</v>
      </c>
      <c r="B7953" s="46" t="s">
        <v>18622</v>
      </c>
      <c r="C7953">
        <v>17</v>
      </c>
      <c r="D7953">
        <v>100</v>
      </c>
    </row>
    <row r="7954" spans="1:4" x14ac:dyDescent="0.25">
      <c r="A7954" s="45" t="s">
        <v>7981</v>
      </c>
      <c r="B7954" s="46" t="s">
        <v>18623</v>
      </c>
      <c r="C7954">
        <v>17</v>
      </c>
      <c r="D7954">
        <v>100</v>
      </c>
    </row>
    <row r="7955" spans="1:4" x14ac:dyDescent="0.25">
      <c r="A7955" s="45" t="s">
        <v>7982</v>
      </c>
      <c r="B7955" s="46" t="s">
        <v>21109</v>
      </c>
      <c r="C7955">
        <v>17</v>
      </c>
      <c r="D7955">
        <v>100</v>
      </c>
    </row>
    <row r="7956" spans="1:4" x14ac:dyDescent="0.25">
      <c r="A7956" s="45" t="s">
        <v>7983</v>
      </c>
      <c r="B7956" s="46" t="s">
        <v>21110</v>
      </c>
      <c r="C7956">
        <v>17</v>
      </c>
      <c r="D7956">
        <v>100</v>
      </c>
    </row>
    <row r="7957" spans="1:4" x14ac:dyDescent="0.25">
      <c r="A7957" s="45" t="s">
        <v>7984</v>
      </c>
      <c r="B7957" s="46" t="s">
        <v>21111</v>
      </c>
      <c r="C7957">
        <v>17</v>
      </c>
      <c r="D7957">
        <v>100</v>
      </c>
    </row>
    <row r="7958" spans="1:4" x14ac:dyDescent="0.25">
      <c r="A7958" s="45" t="s">
        <v>7985</v>
      </c>
      <c r="B7958" s="46" t="s">
        <v>21112</v>
      </c>
      <c r="C7958">
        <v>17</v>
      </c>
      <c r="D7958">
        <v>100</v>
      </c>
    </row>
    <row r="7959" spans="1:4" x14ac:dyDescent="0.25">
      <c r="A7959" s="45" t="s">
        <v>7986</v>
      </c>
      <c r="B7959" s="46" t="s">
        <v>21113</v>
      </c>
      <c r="C7959">
        <v>17</v>
      </c>
      <c r="D7959">
        <v>100</v>
      </c>
    </row>
    <row r="7960" spans="1:4" x14ac:dyDescent="0.25">
      <c r="A7960" s="45" t="s">
        <v>7987</v>
      </c>
      <c r="B7960" s="46" t="s">
        <v>21114</v>
      </c>
      <c r="C7960">
        <v>17</v>
      </c>
      <c r="D7960">
        <v>100</v>
      </c>
    </row>
    <row r="7961" spans="1:4" x14ac:dyDescent="0.25">
      <c r="A7961" s="45" t="s">
        <v>7988</v>
      </c>
      <c r="B7961" s="46" t="s">
        <v>21115</v>
      </c>
      <c r="C7961">
        <v>17</v>
      </c>
      <c r="D7961">
        <v>100</v>
      </c>
    </row>
    <row r="7962" spans="1:4" x14ac:dyDescent="0.25">
      <c r="A7962" s="45" t="s">
        <v>7989</v>
      </c>
      <c r="B7962" s="46" t="s">
        <v>21116</v>
      </c>
      <c r="C7962">
        <v>17</v>
      </c>
      <c r="D7962">
        <v>100</v>
      </c>
    </row>
    <row r="7963" spans="1:4" x14ac:dyDescent="0.25">
      <c r="A7963" s="45" t="s">
        <v>7990</v>
      </c>
      <c r="B7963" s="46" t="s">
        <v>18624</v>
      </c>
      <c r="C7963">
        <v>17</v>
      </c>
      <c r="D7963">
        <v>100</v>
      </c>
    </row>
    <row r="7964" spans="1:4" x14ac:dyDescent="0.25">
      <c r="A7964" s="45" t="s">
        <v>7991</v>
      </c>
      <c r="B7964" s="46" t="s">
        <v>18625</v>
      </c>
      <c r="C7964">
        <v>17</v>
      </c>
      <c r="D7964">
        <v>100</v>
      </c>
    </row>
    <row r="7965" spans="1:4" x14ac:dyDescent="0.25">
      <c r="A7965" s="45" t="s">
        <v>7992</v>
      </c>
      <c r="B7965" s="46" t="s">
        <v>18626</v>
      </c>
      <c r="C7965">
        <v>17</v>
      </c>
      <c r="D7965">
        <v>100</v>
      </c>
    </row>
    <row r="7966" spans="1:4" x14ac:dyDescent="0.25">
      <c r="A7966" s="45" t="s">
        <v>7993</v>
      </c>
      <c r="B7966" s="46" t="s">
        <v>18627</v>
      </c>
      <c r="C7966">
        <v>17</v>
      </c>
      <c r="D7966">
        <v>100</v>
      </c>
    </row>
    <row r="7967" spans="1:4" x14ac:dyDescent="0.25">
      <c r="A7967" s="45" t="s">
        <v>7994</v>
      </c>
      <c r="B7967" s="46" t="s">
        <v>18628</v>
      </c>
      <c r="C7967">
        <v>17</v>
      </c>
      <c r="D7967">
        <v>100</v>
      </c>
    </row>
    <row r="7968" spans="1:4" x14ac:dyDescent="0.25">
      <c r="A7968" s="45" t="s">
        <v>7995</v>
      </c>
      <c r="B7968" s="46" t="s">
        <v>18629</v>
      </c>
      <c r="C7968">
        <v>17</v>
      </c>
      <c r="D7968">
        <v>100</v>
      </c>
    </row>
    <row r="7969" spans="1:4" x14ac:dyDescent="0.25">
      <c r="A7969" s="45" t="s">
        <v>7996</v>
      </c>
      <c r="B7969" s="46" t="s">
        <v>18630</v>
      </c>
      <c r="C7969">
        <v>17</v>
      </c>
      <c r="D7969">
        <v>100</v>
      </c>
    </row>
    <row r="7970" spans="1:4" x14ac:dyDescent="0.25">
      <c r="A7970" s="45" t="s">
        <v>7997</v>
      </c>
      <c r="B7970" s="46" t="s">
        <v>18631</v>
      </c>
      <c r="C7970">
        <v>17</v>
      </c>
      <c r="D7970">
        <v>100</v>
      </c>
    </row>
    <row r="7971" spans="1:4" x14ac:dyDescent="0.25">
      <c r="A7971" s="45" t="s">
        <v>7998</v>
      </c>
      <c r="B7971" s="46" t="s">
        <v>18632</v>
      </c>
      <c r="C7971">
        <v>17</v>
      </c>
      <c r="D7971">
        <v>100</v>
      </c>
    </row>
    <row r="7972" spans="1:4" x14ac:dyDescent="0.25">
      <c r="A7972" s="45" t="s">
        <v>7999</v>
      </c>
      <c r="B7972" s="46" t="s">
        <v>18633</v>
      </c>
      <c r="C7972">
        <v>17</v>
      </c>
      <c r="D7972">
        <v>100</v>
      </c>
    </row>
    <row r="7973" spans="1:4" x14ac:dyDescent="0.25">
      <c r="A7973" s="45" t="s">
        <v>8000</v>
      </c>
      <c r="B7973" s="46" t="s">
        <v>18634</v>
      </c>
      <c r="C7973">
        <v>17</v>
      </c>
      <c r="D7973">
        <v>100</v>
      </c>
    </row>
    <row r="7974" spans="1:4" x14ac:dyDescent="0.25">
      <c r="A7974" s="45" t="s">
        <v>8001</v>
      </c>
      <c r="B7974" s="46" t="s">
        <v>18635</v>
      </c>
      <c r="C7974">
        <v>17</v>
      </c>
      <c r="D7974">
        <v>100</v>
      </c>
    </row>
    <row r="7975" spans="1:4" x14ac:dyDescent="0.25">
      <c r="A7975" s="45" t="s">
        <v>8002</v>
      </c>
      <c r="B7975" s="46" t="s">
        <v>18636</v>
      </c>
      <c r="C7975">
        <v>17</v>
      </c>
      <c r="D7975">
        <v>100</v>
      </c>
    </row>
    <row r="7976" spans="1:4" x14ac:dyDescent="0.25">
      <c r="A7976" s="45" t="s">
        <v>8003</v>
      </c>
      <c r="B7976" s="46" t="s">
        <v>18637</v>
      </c>
      <c r="C7976">
        <v>17</v>
      </c>
      <c r="D7976">
        <v>100</v>
      </c>
    </row>
    <row r="7977" spans="1:4" x14ac:dyDescent="0.25">
      <c r="A7977" s="45" t="s">
        <v>8004</v>
      </c>
      <c r="B7977" s="46" t="s">
        <v>18638</v>
      </c>
      <c r="C7977">
        <v>17</v>
      </c>
      <c r="D7977">
        <v>100</v>
      </c>
    </row>
    <row r="7978" spans="1:4" x14ac:dyDescent="0.25">
      <c r="A7978" s="45" t="s">
        <v>8005</v>
      </c>
      <c r="B7978" s="46" t="s">
        <v>18639</v>
      </c>
      <c r="C7978">
        <v>17</v>
      </c>
      <c r="D7978">
        <v>100</v>
      </c>
    </row>
    <row r="7979" spans="1:4" x14ac:dyDescent="0.25">
      <c r="A7979" s="45" t="s">
        <v>8006</v>
      </c>
      <c r="B7979" s="46" t="s">
        <v>18640</v>
      </c>
      <c r="C7979">
        <v>17</v>
      </c>
      <c r="D7979">
        <v>100</v>
      </c>
    </row>
    <row r="7980" spans="1:4" x14ac:dyDescent="0.25">
      <c r="A7980" s="45" t="s">
        <v>8007</v>
      </c>
      <c r="B7980" s="46" t="s">
        <v>21117</v>
      </c>
      <c r="C7980">
        <v>17</v>
      </c>
      <c r="D7980">
        <v>100</v>
      </c>
    </row>
    <row r="7981" spans="1:4" x14ac:dyDescent="0.25">
      <c r="A7981" s="45" t="s">
        <v>8008</v>
      </c>
      <c r="B7981" s="46" t="s">
        <v>21118</v>
      </c>
      <c r="C7981">
        <v>17</v>
      </c>
      <c r="D7981">
        <v>100</v>
      </c>
    </row>
    <row r="7982" spans="1:4" x14ac:dyDescent="0.25">
      <c r="A7982" s="45" t="s">
        <v>8009</v>
      </c>
      <c r="B7982" s="46" t="s">
        <v>18641</v>
      </c>
      <c r="C7982">
        <v>17</v>
      </c>
      <c r="D7982">
        <v>100</v>
      </c>
    </row>
    <row r="7983" spans="1:4" x14ac:dyDescent="0.25">
      <c r="A7983" s="45" t="s">
        <v>8010</v>
      </c>
      <c r="B7983" s="46" t="s">
        <v>18642</v>
      </c>
      <c r="C7983">
        <v>17</v>
      </c>
      <c r="D7983">
        <v>100</v>
      </c>
    </row>
    <row r="7984" spans="1:4" x14ac:dyDescent="0.25">
      <c r="A7984" s="45" t="s">
        <v>8011</v>
      </c>
      <c r="B7984" s="46" t="s">
        <v>18643</v>
      </c>
      <c r="C7984">
        <v>17</v>
      </c>
      <c r="D7984">
        <v>100</v>
      </c>
    </row>
    <row r="7985" spans="1:4" x14ac:dyDescent="0.25">
      <c r="A7985" s="45" t="s">
        <v>8012</v>
      </c>
      <c r="B7985" s="46" t="s">
        <v>18644</v>
      </c>
      <c r="C7985">
        <v>17</v>
      </c>
      <c r="D7985">
        <v>100</v>
      </c>
    </row>
    <row r="7986" spans="1:4" x14ac:dyDescent="0.25">
      <c r="A7986" s="45" t="s">
        <v>8013</v>
      </c>
      <c r="B7986" s="46" t="s">
        <v>18645</v>
      </c>
      <c r="C7986">
        <v>17</v>
      </c>
      <c r="D7986">
        <v>100</v>
      </c>
    </row>
    <row r="7987" spans="1:4" x14ac:dyDescent="0.25">
      <c r="A7987" s="45" t="s">
        <v>8014</v>
      </c>
      <c r="B7987" s="46" t="s">
        <v>18646</v>
      </c>
      <c r="C7987">
        <v>17</v>
      </c>
      <c r="D7987">
        <v>100</v>
      </c>
    </row>
    <row r="7988" spans="1:4" x14ac:dyDescent="0.25">
      <c r="A7988" s="45" t="s">
        <v>8015</v>
      </c>
      <c r="B7988" s="46" t="s">
        <v>18647</v>
      </c>
      <c r="C7988">
        <v>17</v>
      </c>
      <c r="D7988">
        <v>100</v>
      </c>
    </row>
    <row r="7989" spans="1:4" x14ac:dyDescent="0.25">
      <c r="A7989" s="45" t="s">
        <v>8016</v>
      </c>
      <c r="B7989" s="46" t="s">
        <v>18648</v>
      </c>
      <c r="C7989">
        <v>17</v>
      </c>
      <c r="D7989">
        <v>100</v>
      </c>
    </row>
    <row r="7990" spans="1:4" x14ac:dyDescent="0.25">
      <c r="A7990" s="45" t="s">
        <v>8017</v>
      </c>
      <c r="B7990" s="46" t="s">
        <v>18649</v>
      </c>
      <c r="C7990">
        <v>17</v>
      </c>
      <c r="D7990">
        <v>100</v>
      </c>
    </row>
    <row r="7991" spans="1:4" x14ac:dyDescent="0.25">
      <c r="A7991" s="45" t="s">
        <v>8018</v>
      </c>
      <c r="B7991" s="46" t="s">
        <v>18650</v>
      </c>
      <c r="C7991">
        <v>17</v>
      </c>
      <c r="D7991">
        <v>100</v>
      </c>
    </row>
    <row r="7992" spans="1:4" x14ac:dyDescent="0.25">
      <c r="A7992" s="45" t="s">
        <v>8019</v>
      </c>
      <c r="B7992" s="46" t="s">
        <v>18651</v>
      </c>
      <c r="C7992">
        <v>17</v>
      </c>
      <c r="D7992">
        <v>100</v>
      </c>
    </row>
    <row r="7993" spans="1:4" x14ac:dyDescent="0.25">
      <c r="A7993" s="45" t="s">
        <v>8020</v>
      </c>
      <c r="B7993" s="46" t="s">
        <v>18652</v>
      </c>
      <c r="C7993">
        <v>17</v>
      </c>
      <c r="D7993">
        <v>100</v>
      </c>
    </row>
    <row r="7994" spans="1:4" x14ac:dyDescent="0.25">
      <c r="A7994" s="45" t="s">
        <v>8021</v>
      </c>
      <c r="B7994" s="46" t="s">
        <v>18653</v>
      </c>
      <c r="C7994">
        <v>17</v>
      </c>
      <c r="D7994">
        <v>100</v>
      </c>
    </row>
    <row r="7995" spans="1:4" x14ac:dyDescent="0.25">
      <c r="A7995" s="45" t="s">
        <v>8022</v>
      </c>
      <c r="B7995" s="46" t="s">
        <v>18654</v>
      </c>
      <c r="C7995">
        <v>17</v>
      </c>
      <c r="D7995">
        <v>100</v>
      </c>
    </row>
    <row r="7996" spans="1:4" x14ac:dyDescent="0.25">
      <c r="A7996" s="45" t="s">
        <v>8023</v>
      </c>
      <c r="B7996" s="46" t="s">
        <v>18655</v>
      </c>
      <c r="C7996">
        <v>17</v>
      </c>
      <c r="D7996">
        <v>100</v>
      </c>
    </row>
    <row r="7997" spans="1:4" x14ac:dyDescent="0.25">
      <c r="A7997" s="45" t="s">
        <v>8024</v>
      </c>
      <c r="B7997" s="46" t="s">
        <v>18656</v>
      </c>
      <c r="C7997">
        <v>17</v>
      </c>
      <c r="D7997">
        <v>100</v>
      </c>
    </row>
    <row r="7998" spans="1:4" x14ac:dyDescent="0.25">
      <c r="A7998" s="45" t="s">
        <v>8025</v>
      </c>
      <c r="B7998" s="46" t="s">
        <v>18657</v>
      </c>
      <c r="C7998">
        <v>17</v>
      </c>
      <c r="D7998">
        <v>100</v>
      </c>
    </row>
    <row r="7999" spans="1:4" x14ac:dyDescent="0.25">
      <c r="A7999" s="45" t="s">
        <v>8026</v>
      </c>
      <c r="B7999" s="46" t="s">
        <v>18658</v>
      </c>
      <c r="C7999">
        <v>17</v>
      </c>
      <c r="D7999">
        <v>100</v>
      </c>
    </row>
    <row r="8000" spans="1:4" x14ac:dyDescent="0.25">
      <c r="A8000" s="45" t="s">
        <v>8027</v>
      </c>
      <c r="B8000" s="46" t="s">
        <v>21119</v>
      </c>
      <c r="C8000">
        <v>17</v>
      </c>
      <c r="D8000">
        <v>100</v>
      </c>
    </row>
    <row r="8001" spans="1:4" x14ac:dyDescent="0.25">
      <c r="A8001" s="45" t="s">
        <v>8028</v>
      </c>
      <c r="B8001" s="46" t="s">
        <v>21120</v>
      </c>
      <c r="C8001">
        <v>17</v>
      </c>
      <c r="D8001">
        <v>100</v>
      </c>
    </row>
    <row r="8002" spans="1:4" x14ac:dyDescent="0.25">
      <c r="A8002" s="45" t="s">
        <v>8029</v>
      </c>
      <c r="B8002" s="46" t="s">
        <v>21121</v>
      </c>
      <c r="C8002">
        <v>17</v>
      </c>
      <c r="D8002">
        <v>100</v>
      </c>
    </row>
    <row r="8003" spans="1:4" x14ac:dyDescent="0.25">
      <c r="A8003" s="45" t="s">
        <v>8030</v>
      </c>
      <c r="B8003" s="46" t="s">
        <v>18659</v>
      </c>
      <c r="C8003">
        <v>17</v>
      </c>
      <c r="D8003">
        <v>100</v>
      </c>
    </row>
    <row r="8004" spans="1:4" x14ac:dyDescent="0.25">
      <c r="A8004" s="45" t="s">
        <v>8031</v>
      </c>
      <c r="B8004" s="46" t="s">
        <v>18660</v>
      </c>
      <c r="C8004">
        <v>17</v>
      </c>
      <c r="D8004">
        <v>100</v>
      </c>
    </row>
    <row r="8005" spans="1:4" x14ac:dyDescent="0.25">
      <c r="A8005" s="45" t="s">
        <v>8032</v>
      </c>
      <c r="B8005" s="46" t="s">
        <v>18661</v>
      </c>
      <c r="C8005">
        <v>17</v>
      </c>
      <c r="D8005">
        <v>100</v>
      </c>
    </row>
    <row r="8006" spans="1:4" x14ac:dyDescent="0.25">
      <c r="A8006" s="45" t="s">
        <v>8033</v>
      </c>
      <c r="B8006" s="46" t="s">
        <v>21122</v>
      </c>
      <c r="C8006">
        <v>17</v>
      </c>
      <c r="D8006">
        <v>96</v>
      </c>
    </row>
    <row r="8007" spans="1:4" x14ac:dyDescent="0.25">
      <c r="A8007" s="45" t="s">
        <v>8034</v>
      </c>
      <c r="B8007" s="46" t="s">
        <v>18662</v>
      </c>
      <c r="C8007">
        <v>17</v>
      </c>
      <c r="D8007">
        <v>100</v>
      </c>
    </row>
    <row r="8008" spans="1:4" x14ac:dyDescent="0.25">
      <c r="A8008" s="45" t="s">
        <v>8035</v>
      </c>
      <c r="B8008" s="46" t="s">
        <v>18663</v>
      </c>
      <c r="C8008">
        <v>17</v>
      </c>
      <c r="D8008">
        <v>100</v>
      </c>
    </row>
    <row r="8009" spans="1:4" x14ac:dyDescent="0.25">
      <c r="A8009" s="45" t="s">
        <v>8036</v>
      </c>
      <c r="B8009" s="46" t="s">
        <v>18664</v>
      </c>
      <c r="C8009">
        <v>17</v>
      </c>
      <c r="D8009">
        <v>100</v>
      </c>
    </row>
    <row r="8010" spans="1:4" x14ac:dyDescent="0.25">
      <c r="A8010" s="45" t="s">
        <v>8037</v>
      </c>
      <c r="B8010" s="46" t="s">
        <v>18665</v>
      </c>
      <c r="C8010">
        <v>17</v>
      </c>
      <c r="D8010">
        <v>100</v>
      </c>
    </row>
    <row r="8011" spans="1:4" x14ac:dyDescent="0.25">
      <c r="A8011" s="45" t="s">
        <v>8038</v>
      </c>
      <c r="B8011" s="46" t="s">
        <v>18666</v>
      </c>
      <c r="C8011">
        <v>17</v>
      </c>
      <c r="D8011">
        <v>100</v>
      </c>
    </row>
    <row r="8012" spans="1:4" x14ac:dyDescent="0.25">
      <c r="A8012" s="45" t="s">
        <v>8039</v>
      </c>
      <c r="B8012" s="46" t="s">
        <v>18667</v>
      </c>
      <c r="C8012">
        <v>17</v>
      </c>
      <c r="D8012">
        <v>100</v>
      </c>
    </row>
    <row r="8013" spans="1:4" x14ac:dyDescent="0.25">
      <c r="A8013" s="45" t="s">
        <v>8040</v>
      </c>
      <c r="B8013" s="46" t="s">
        <v>18668</v>
      </c>
      <c r="C8013">
        <v>17</v>
      </c>
      <c r="D8013">
        <v>100</v>
      </c>
    </row>
    <row r="8014" spans="1:4" x14ac:dyDescent="0.25">
      <c r="A8014" s="45" t="s">
        <v>8041</v>
      </c>
      <c r="B8014" s="46" t="s">
        <v>18669</v>
      </c>
      <c r="C8014">
        <v>17</v>
      </c>
      <c r="D8014">
        <v>100</v>
      </c>
    </row>
    <row r="8015" spans="1:4" x14ac:dyDescent="0.25">
      <c r="A8015" s="45" t="s">
        <v>8042</v>
      </c>
      <c r="B8015" s="46" t="s">
        <v>21123</v>
      </c>
      <c r="C8015">
        <v>17</v>
      </c>
      <c r="D8015">
        <v>100</v>
      </c>
    </row>
    <row r="8016" spans="1:4" x14ac:dyDescent="0.25">
      <c r="A8016" s="45" t="s">
        <v>8043</v>
      </c>
      <c r="B8016" s="46" t="s">
        <v>21124</v>
      </c>
      <c r="C8016">
        <v>17</v>
      </c>
      <c r="D8016">
        <v>100</v>
      </c>
    </row>
    <row r="8017" spans="1:4" x14ac:dyDescent="0.25">
      <c r="A8017" s="45" t="s">
        <v>8044</v>
      </c>
      <c r="B8017" s="46" t="s">
        <v>21125</v>
      </c>
      <c r="C8017">
        <v>17</v>
      </c>
      <c r="D8017">
        <v>100</v>
      </c>
    </row>
    <row r="8018" spans="1:4" x14ac:dyDescent="0.25">
      <c r="A8018" s="45" t="s">
        <v>8045</v>
      </c>
      <c r="B8018" s="46" t="s">
        <v>21126</v>
      </c>
      <c r="C8018">
        <v>17</v>
      </c>
      <c r="D8018">
        <v>100</v>
      </c>
    </row>
    <row r="8019" spans="1:4" x14ac:dyDescent="0.25">
      <c r="A8019" s="45" t="s">
        <v>8046</v>
      </c>
      <c r="B8019" s="46" t="s">
        <v>21127</v>
      </c>
      <c r="C8019">
        <v>17</v>
      </c>
      <c r="D8019">
        <v>100</v>
      </c>
    </row>
    <row r="8020" spans="1:4" x14ac:dyDescent="0.25">
      <c r="A8020" s="45" t="s">
        <v>8047</v>
      </c>
      <c r="B8020" s="46" t="s">
        <v>21128</v>
      </c>
      <c r="C8020">
        <v>17</v>
      </c>
      <c r="D8020">
        <v>100</v>
      </c>
    </row>
    <row r="8021" spans="1:4" x14ac:dyDescent="0.25">
      <c r="A8021" s="45" t="s">
        <v>8048</v>
      </c>
      <c r="B8021" s="46" t="s">
        <v>21129</v>
      </c>
      <c r="C8021">
        <v>17</v>
      </c>
      <c r="D8021">
        <v>100</v>
      </c>
    </row>
    <row r="8022" spans="1:4" x14ac:dyDescent="0.25">
      <c r="A8022" s="45" t="s">
        <v>8049</v>
      </c>
      <c r="B8022" s="46" t="s">
        <v>21130</v>
      </c>
      <c r="C8022">
        <v>17</v>
      </c>
      <c r="D8022">
        <v>100</v>
      </c>
    </row>
    <row r="8023" spans="1:4" x14ac:dyDescent="0.25">
      <c r="A8023" s="45" t="s">
        <v>8050</v>
      </c>
      <c r="B8023" s="46" t="s">
        <v>21131</v>
      </c>
      <c r="C8023">
        <v>17</v>
      </c>
      <c r="D8023">
        <v>100</v>
      </c>
    </row>
    <row r="8024" spans="1:4" x14ac:dyDescent="0.25">
      <c r="A8024" s="45" t="s">
        <v>8051</v>
      </c>
      <c r="B8024" s="46" t="s">
        <v>21132</v>
      </c>
      <c r="C8024">
        <v>17</v>
      </c>
      <c r="D8024">
        <v>100</v>
      </c>
    </row>
    <row r="8025" spans="1:4" x14ac:dyDescent="0.25">
      <c r="A8025" s="45" t="s">
        <v>8052</v>
      </c>
      <c r="B8025" s="46" t="s">
        <v>18670</v>
      </c>
      <c r="C8025">
        <v>17</v>
      </c>
      <c r="D8025">
        <v>100</v>
      </c>
    </row>
    <row r="8026" spans="1:4" x14ac:dyDescent="0.25">
      <c r="A8026" s="45" t="s">
        <v>8053</v>
      </c>
      <c r="B8026" s="46" t="s">
        <v>21133</v>
      </c>
      <c r="C8026">
        <v>17</v>
      </c>
      <c r="D8026">
        <v>100</v>
      </c>
    </row>
    <row r="8027" spans="1:4" x14ac:dyDescent="0.25">
      <c r="A8027" s="45" t="s">
        <v>8054</v>
      </c>
      <c r="B8027" s="46" t="s">
        <v>21134</v>
      </c>
      <c r="C8027">
        <v>17</v>
      </c>
      <c r="D8027">
        <v>100</v>
      </c>
    </row>
    <row r="8028" spans="1:4" x14ac:dyDescent="0.25">
      <c r="A8028" s="45" t="s">
        <v>8055</v>
      </c>
      <c r="B8028" s="46" t="s">
        <v>21135</v>
      </c>
      <c r="C8028">
        <v>17</v>
      </c>
      <c r="D8028">
        <v>100</v>
      </c>
    </row>
    <row r="8029" spans="1:4" x14ac:dyDescent="0.25">
      <c r="A8029" s="45" t="s">
        <v>8056</v>
      </c>
      <c r="B8029" s="46" t="s">
        <v>21136</v>
      </c>
      <c r="C8029">
        <v>17</v>
      </c>
      <c r="D8029">
        <v>100</v>
      </c>
    </row>
    <row r="8030" spans="1:4" x14ac:dyDescent="0.25">
      <c r="A8030" s="45" t="s">
        <v>8057</v>
      </c>
      <c r="B8030" s="46" t="s">
        <v>21137</v>
      </c>
      <c r="C8030">
        <v>17</v>
      </c>
      <c r="D8030">
        <v>100</v>
      </c>
    </row>
    <row r="8031" spans="1:4" x14ac:dyDescent="0.25">
      <c r="A8031" s="45" t="s">
        <v>8058</v>
      </c>
      <c r="B8031" s="46" t="s">
        <v>21138</v>
      </c>
      <c r="C8031">
        <v>17</v>
      </c>
      <c r="D8031">
        <v>100</v>
      </c>
    </row>
    <row r="8032" spans="1:4" x14ac:dyDescent="0.25">
      <c r="A8032" s="45" t="s">
        <v>8059</v>
      </c>
      <c r="B8032" s="46" t="s">
        <v>21139</v>
      </c>
      <c r="C8032">
        <v>17</v>
      </c>
      <c r="D8032">
        <v>100</v>
      </c>
    </row>
    <row r="8033" spans="1:4" x14ac:dyDescent="0.25">
      <c r="A8033" s="45" t="s">
        <v>8060</v>
      </c>
      <c r="B8033" s="46" t="s">
        <v>21140</v>
      </c>
      <c r="C8033">
        <v>17</v>
      </c>
      <c r="D8033">
        <v>100</v>
      </c>
    </row>
    <row r="8034" spans="1:4" x14ac:dyDescent="0.25">
      <c r="A8034" s="45" t="s">
        <v>8061</v>
      </c>
      <c r="B8034" s="46" t="s">
        <v>21141</v>
      </c>
      <c r="C8034">
        <v>17</v>
      </c>
      <c r="D8034">
        <v>105</v>
      </c>
    </row>
    <row r="8035" spans="1:4" x14ac:dyDescent="0.25">
      <c r="A8035" s="45" t="s">
        <v>8062</v>
      </c>
      <c r="B8035" s="46" t="s">
        <v>18671</v>
      </c>
      <c r="C8035">
        <v>17</v>
      </c>
      <c r="D8035">
        <v>105</v>
      </c>
    </row>
    <row r="8036" spans="1:4" x14ac:dyDescent="0.25">
      <c r="A8036" s="45" t="s">
        <v>8063</v>
      </c>
      <c r="B8036" s="46" t="s">
        <v>18672</v>
      </c>
      <c r="C8036">
        <v>17</v>
      </c>
      <c r="D8036">
        <v>105</v>
      </c>
    </row>
    <row r="8037" spans="1:4" x14ac:dyDescent="0.25">
      <c r="A8037" s="45" t="s">
        <v>8064</v>
      </c>
      <c r="B8037" s="46" t="s">
        <v>18673</v>
      </c>
      <c r="C8037">
        <v>17</v>
      </c>
      <c r="D8037">
        <v>105</v>
      </c>
    </row>
    <row r="8038" spans="1:4" x14ac:dyDescent="0.25">
      <c r="A8038" s="45" t="s">
        <v>8065</v>
      </c>
      <c r="B8038" s="46" t="s">
        <v>21142</v>
      </c>
      <c r="C8038">
        <v>17</v>
      </c>
      <c r="D8038">
        <v>105</v>
      </c>
    </row>
    <row r="8039" spans="1:4" x14ac:dyDescent="0.25">
      <c r="A8039" s="45" t="s">
        <v>8066</v>
      </c>
      <c r="B8039" s="46" t="s">
        <v>18674</v>
      </c>
      <c r="C8039">
        <v>17</v>
      </c>
      <c r="D8039">
        <v>105</v>
      </c>
    </row>
    <row r="8040" spans="1:4" x14ac:dyDescent="0.25">
      <c r="A8040" s="45" t="s">
        <v>8067</v>
      </c>
      <c r="B8040" s="46" t="s">
        <v>18675</v>
      </c>
      <c r="C8040">
        <v>17</v>
      </c>
      <c r="D8040">
        <v>105</v>
      </c>
    </row>
    <row r="8041" spans="1:4" x14ac:dyDescent="0.25">
      <c r="A8041" s="45" t="s">
        <v>8068</v>
      </c>
      <c r="B8041" s="46" t="s">
        <v>18676</v>
      </c>
      <c r="C8041">
        <v>17</v>
      </c>
      <c r="D8041">
        <v>105</v>
      </c>
    </row>
    <row r="8042" spans="1:4" x14ac:dyDescent="0.25">
      <c r="A8042" s="45" t="s">
        <v>8069</v>
      </c>
      <c r="B8042" s="46" t="s">
        <v>18677</v>
      </c>
      <c r="C8042">
        <v>17</v>
      </c>
      <c r="D8042">
        <v>105</v>
      </c>
    </row>
    <row r="8043" spans="1:4" x14ac:dyDescent="0.25">
      <c r="A8043" s="45" t="s">
        <v>8070</v>
      </c>
      <c r="B8043" s="46" t="s">
        <v>18678</v>
      </c>
      <c r="C8043">
        <v>17</v>
      </c>
      <c r="D8043">
        <v>105</v>
      </c>
    </row>
    <row r="8044" spans="1:4" x14ac:dyDescent="0.25">
      <c r="A8044" s="45" t="s">
        <v>8071</v>
      </c>
      <c r="B8044" s="46" t="s">
        <v>18679</v>
      </c>
      <c r="C8044">
        <v>17</v>
      </c>
      <c r="D8044">
        <v>105</v>
      </c>
    </row>
    <row r="8045" spans="1:4" x14ac:dyDescent="0.25">
      <c r="A8045" s="45" t="s">
        <v>8072</v>
      </c>
      <c r="B8045" s="46" t="s">
        <v>18680</v>
      </c>
      <c r="C8045">
        <v>17</v>
      </c>
      <c r="D8045">
        <v>105</v>
      </c>
    </row>
    <row r="8046" spans="1:4" x14ac:dyDescent="0.25">
      <c r="A8046" s="45" t="s">
        <v>8073</v>
      </c>
      <c r="B8046" s="46" t="s">
        <v>18681</v>
      </c>
      <c r="C8046">
        <v>17</v>
      </c>
      <c r="D8046">
        <v>105</v>
      </c>
    </row>
    <row r="8047" spans="1:4" x14ac:dyDescent="0.25">
      <c r="A8047" s="45" t="s">
        <v>8074</v>
      </c>
      <c r="B8047" s="46" t="s">
        <v>18682</v>
      </c>
      <c r="C8047">
        <v>17</v>
      </c>
      <c r="D8047">
        <v>105</v>
      </c>
    </row>
    <row r="8048" spans="1:4" x14ac:dyDescent="0.25">
      <c r="A8048" s="45" t="s">
        <v>8075</v>
      </c>
      <c r="B8048" s="46" t="s">
        <v>21143</v>
      </c>
      <c r="C8048">
        <v>17</v>
      </c>
      <c r="D8048">
        <v>105</v>
      </c>
    </row>
    <row r="8049" spans="1:4" x14ac:dyDescent="0.25">
      <c r="A8049" s="45" t="s">
        <v>8076</v>
      </c>
      <c r="B8049" s="46" t="s">
        <v>18683</v>
      </c>
      <c r="C8049">
        <v>17</v>
      </c>
      <c r="D8049">
        <v>105</v>
      </c>
    </row>
    <row r="8050" spans="1:4" x14ac:dyDescent="0.25">
      <c r="A8050" s="45" t="s">
        <v>8077</v>
      </c>
      <c r="B8050" s="46" t="s">
        <v>18684</v>
      </c>
      <c r="C8050">
        <v>17</v>
      </c>
      <c r="D8050">
        <v>105</v>
      </c>
    </row>
    <row r="8051" spans="1:4" x14ac:dyDescent="0.25">
      <c r="A8051" s="45" t="s">
        <v>8078</v>
      </c>
      <c r="B8051" s="46" t="s">
        <v>18685</v>
      </c>
      <c r="C8051">
        <v>17</v>
      </c>
      <c r="D8051">
        <v>105</v>
      </c>
    </row>
    <row r="8052" spans="1:4" x14ac:dyDescent="0.25">
      <c r="A8052" s="45" t="s">
        <v>8079</v>
      </c>
      <c r="B8052" s="46" t="s">
        <v>18686</v>
      </c>
      <c r="C8052">
        <v>17</v>
      </c>
      <c r="D8052">
        <v>105</v>
      </c>
    </row>
    <row r="8053" spans="1:4" x14ac:dyDescent="0.25">
      <c r="A8053" s="45" t="s">
        <v>8080</v>
      </c>
      <c r="B8053" s="46" t="s">
        <v>18687</v>
      </c>
      <c r="C8053">
        <v>17</v>
      </c>
      <c r="D8053">
        <v>105</v>
      </c>
    </row>
    <row r="8054" spans="1:4" x14ac:dyDescent="0.25">
      <c r="A8054" s="45" t="s">
        <v>8081</v>
      </c>
      <c r="B8054" s="46" t="s">
        <v>21144</v>
      </c>
      <c r="C8054">
        <v>17</v>
      </c>
      <c r="D8054">
        <v>105</v>
      </c>
    </row>
    <row r="8055" spans="1:4" x14ac:dyDescent="0.25">
      <c r="A8055" s="45" t="s">
        <v>8082</v>
      </c>
      <c r="B8055" s="46" t="s">
        <v>18688</v>
      </c>
      <c r="C8055">
        <v>17</v>
      </c>
      <c r="D8055">
        <v>105</v>
      </c>
    </row>
    <row r="8056" spans="1:4" x14ac:dyDescent="0.25">
      <c r="A8056" s="45" t="s">
        <v>8083</v>
      </c>
      <c r="B8056" s="46" t="s">
        <v>21145</v>
      </c>
      <c r="C8056">
        <v>17</v>
      </c>
      <c r="D8056">
        <v>105</v>
      </c>
    </row>
    <row r="8057" spans="1:4" x14ac:dyDescent="0.25">
      <c r="A8057" s="45" t="s">
        <v>8084</v>
      </c>
      <c r="B8057" s="46" t="s">
        <v>18689</v>
      </c>
      <c r="C8057">
        <v>17</v>
      </c>
      <c r="D8057">
        <v>105</v>
      </c>
    </row>
    <row r="8058" spans="1:4" x14ac:dyDescent="0.25">
      <c r="A8058" s="45" t="s">
        <v>8085</v>
      </c>
      <c r="B8058" s="46" t="s">
        <v>21146</v>
      </c>
      <c r="C8058">
        <v>17</v>
      </c>
      <c r="D8058">
        <v>105</v>
      </c>
    </row>
    <row r="8059" spans="1:4" x14ac:dyDescent="0.25">
      <c r="A8059" s="45" t="s">
        <v>8086</v>
      </c>
      <c r="B8059" s="46" t="s">
        <v>18690</v>
      </c>
      <c r="C8059">
        <v>17</v>
      </c>
      <c r="D8059">
        <v>105</v>
      </c>
    </row>
    <row r="8060" spans="1:4" x14ac:dyDescent="0.25">
      <c r="A8060" s="45" t="s">
        <v>8087</v>
      </c>
      <c r="B8060" s="46" t="s">
        <v>18691</v>
      </c>
      <c r="C8060">
        <v>17</v>
      </c>
      <c r="D8060">
        <v>105</v>
      </c>
    </row>
    <row r="8061" spans="1:4" x14ac:dyDescent="0.25">
      <c r="A8061" s="45" t="s">
        <v>8088</v>
      </c>
      <c r="B8061" s="46" t="s">
        <v>18692</v>
      </c>
      <c r="C8061">
        <v>17</v>
      </c>
      <c r="D8061">
        <v>105</v>
      </c>
    </row>
    <row r="8062" spans="1:4" x14ac:dyDescent="0.25">
      <c r="A8062" s="45" t="s">
        <v>8089</v>
      </c>
      <c r="B8062" s="46" t="s">
        <v>18693</v>
      </c>
      <c r="C8062">
        <v>17</v>
      </c>
      <c r="D8062">
        <v>103</v>
      </c>
    </row>
    <row r="8063" spans="1:4" x14ac:dyDescent="0.25">
      <c r="A8063" s="45" t="s">
        <v>8090</v>
      </c>
      <c r="B8063" s="46" t="s">
        <v>21147</v>
      </c>
      <c r="C8063">
        <v>17</v>
      </c>
      <c r="D8063">
        <v>103</v>
      </c>
    </row>
    <row r="8064" spans="1:4" x14ac:dyDescent="0.25">
      <c r="A8064" s="45" t="s">
        <v>8091</v>
      </c>
      <c r="B8064" s="46" t="s">
        <v>21148</v>
      </c>
      <c r="C8064">
        <v>17</v>
      </c>
      <c r="D8064">
        <v>103</v>
      </c>
    </row>
    <row r="8065" spans="1:4" x14ac:dyDescent="0.25">
      <c r="A8065" s="45" t="s">
        <v>8092</v>
      </c>
      <c r="B8065" s="46" t="s">
        <v>21149</v>
      </c>
      <c r="C8065">
        <v>17</v>
      </c>
      <c r="D8065">
        <v>103</v>
      </c>
    </row>
    <row r="8066" spans="1:4" x14ac:dyDescent="0.25">
      <c r="A8066" s="45" t="s">
        <v>8093</v>
      </c>
      <c r="B8066" s="46" t="s">
        <v>21150</v>
      </c>
      <c r="C8066">
        <v>17</v>
      </c>
      <c r="D8066">
        <v>103</v>
      </c>
    </row>
    <row r="8067" spans="1:4" x14ac:dyDescent="0.25">
      <c r="A8067" s="45" t="s">
        <v>8094</v>
      </c>
      <c r="B8067" s="46" t="s">
        <v>21151</v>
      </c>
      <c r="C8067">
        <v>17</v>
      </c>
      <c r="D8067">
        <v>103</v>
      </c>
    </row>
    <row r="8068" spans="1:4" x14ac:dyDescent="0.25">
      <c r="A8068" s="45" t="s">
        <v>8095</v>
      </c>
      <c r="B8068" s="46" t="s">
        <v>21152</v>
      </c>
      <c r="C8068">
        <v>17</v>
      </c>
      <c r="D8068">
        <v>103</v>
      </c>
    </row>
    <row r="8069" spans="1:4" x14ac:dyDescent="0.25">
      <c r="A8069" s="45" t="s">
        <v>8096</v>
      </c>
      <c r="B8069" s="46" t="s">
        <v>21153</v>
      </c>
      <c r="C8069">
        <v>17</v>
      </c>
      <c r="D8069">
        <v>103</v>
      </c>
    </row>
    <row r="8070" spans="1:4" x14ac:dyDescent="0.25">
      <c r="A8070" s="45" t="s">
        <v>8097</v>
      </c>
      <c r="B8070" s="46" t="s">
        <v>21154</v>
      </c>
      <c r="C8070">
        <v>17</v>
      </c>
      <c r="D8070">
        <v>103</v>
      </c>
    </row>
    <row r="8071" spans="1:4" x14ac:dyDescent="0.25">
      <c r="A8071" s="45" t="s">
        <v>8098</v>
      </c>
      <c r="B8071" s="46" t="s">
        <v>21155</v>
      </c>
      <c r="C8071">
        <v>17</v>
      </c>
      <c r="D8071">
        <v>103</v>
      </c>
    </row>
    <row r="8072" spans="1:4" x14ac:dyDescent="0.25">
      <c r="A8072" s="45" t="s">
        <v>8099</v>
      </c>
      <c r="B8072" s="46" t="s">
        <v>21156</v>
      </c>
      <c r="C8072">
        <v>17</v>
      </c>
      <c r="D8072">
        <v>103</v>
      </c>
    </row>
    <row r="8073" spans="1:4" x14ac:dyDescent="0.25">
      <c r="A8073" s="45" t="s">
        <v>8100</v>
      </c>
      <c r="B8073" s="46" t="s">
        <v>21157</v>
      </c>
      <c r="C8073">
        <v>17</v>
      </c>
      <c r="D8073">
        <v>103</v>
      </c>
    </row>
    <row r="8074" spans="1:4" x14ac:dyDescent="0.25">
      <c r="A8074" s="45" t="s">
        <v>8101</v>
      </c>
      <c r="B8074" s="46" t="s">
        <v>21158</v>
      </c>
      <c r="C8074">
        <v>17</v>
      </c>
      <c r="D8074">
        <v>103</v>
      </c>
    </row>
    <row r="8075" spans="1:4" x14ac:dyDescent="0.25">
      <c r="A8075" s="45" t="s">
        <v>8102</v>
      </c>
      <c r="B8075" s="46" t="s">
        <v>21159</v>
      </c>
      <c r="C8075">
        <v>17</v>
      </c>
      <c r="D8075">
        <v>103</v>
      </c>
    </row>
    <row r="8076" spans="1:4" x14ac:dyDescent="0.25">
      <c r="A8076" s="45" t="s">
        <v>8103</v>
      </c>
      <c r="B8076" s="46" t="s">
        <v>21160</v>
      </c>
      <c r="C8076">
        <v>17</v>
      </c>
      <c r="D8076">
        <v>103</v>
      </c>
    </row>
    <row r="8077" spans="1:4" x14ac:dyDescent="0.25">
      <c r="A8077" s="45" t="s">
        <v>8104</v>
      </c>
      <c r="B8077" s="46" t="s">
        <v>21161</v>
      </c>
      <c r="C8077">
        <v>17</v>
      </c>
      <c r="D8077">
        <v>103</v>
      </c>
    </row>
    <row r="8078" spans="1:4" x14ac:dyDescent="0.25">
      <c r="A8078" s="45" t="s">
        <v>8105</v>
      </c>
      <c r="B8078" s="46" t="s">
        <v>21162</v>
      </c>
      <c r="C8078">
        <v>17</v>
      </c>
      <c r="D8078">
        <v>103</v>
      </c>
    </row>
    <row r="8079" spans="1:4" x14ac:dyDescent="0.25">
      <c r="A8079" s="45" t="s">
        <v>8106</v>
      </c>
      <c r="B8079" s="46" t="s">
        <v>21163</v>
      </c>
      <c r="C8079">
        <v>17</v>
      </c>
      <c r="D8079">
        <v>103</v>
      </c>
    </row>
    <row r="8080" spans="1:4" x14ac:dyDescent="0.25">
      <c r="A8080" s="45" t="s">
        <v>8107</v>
      </c>
      <c r="B8080" s="46" t="s">
        <v>21164</v>
      </c>
      <c r="C8080">
        <v>17</v>
      </c>
      <c r="D8080">
        <v>103</v>
      </c>
    </row>
    <row r="8081" spans="1:4" x14ac:dyDescent="0.25">
      <c r="A8081" s="45" t="s">
        <v>8108</v>
      </c>
      <c r="B8081" s="46" t="s">
        <v>21165</v>
      </c>
      <c r="C8081">
        <v>17</v>
      </c>
      <c r="D8081">
        <v>103</v>
      </c>
    </row>
    <row r="8082" spans="1:4" x14ac:dyDescent="0.25">
      <c r="A8082" s="45" t="s">
        <v>8109</v>
      </c>
      <c r="B8082" s="46" t="s">
        <v>21166</v>
      </c>
      <c r="C8082">
        <v>17</v>
      </c>
      <c r="D8082">
        <v>103</v>
      </c>
    </row>
    <row r="8083" spans="1:4" x14ac:dyDescent="0.25">
      <c r="A8083" s="45" t="s">
        <v>8110</v>
      </c>
      <c r="B8083" s="46" t="s">
        <v>21167</v>
      </c>
      <c r="C8083">
        <v>17</v>
      </c>
      <c r="D8083">
        <v>103</v>
      </c>
    </row>
    <row r="8084" spans="1:4" x14ac:dyDescent="0.25">
      <c r="A8084" s="45" t="s">
        <v>8111</v>
      </c>
      <c r="B8084" s="46" t="s">
        <v>21168</v>
      </c>
      <c r="C8084">
        <v>17</v>
      </c>
      <c r="D8084">
        <v>103</v>
      </c>
    </row>
    <row r="8085" spans="1:4" x14ac:dyDescent="0.25">
      <c r="A8085" s="45" t="s">
        <v>8112</v>
      </c>
      <c r="B8085" s="46" t="s">
        <v>21169</v>
      </c>
      <c r="C8085">
        <v>17</v>
      </c>
      <c r="D8085">
        <v>103</v>
      </c>
    </row>
    <row r="8086" spans="1:4" x14ac:dyDescent="0.25">
      <c r="A8086" s="45" t="s">
        <v>8113</v>
      </c>
      <c r="B8086" s="46" t="s">
        <v>21170</v>
      </c>
      <c r="C8086">
        <v>17</v>
      </c>
      <c r="D8086">
        <v>103</v>
      </c>
    </row>
    <row r="8087" spans="1:4" x14ac:dyDescent="0.25">
      <c r="A8087" s="45" t="s">
        <v>8114</v>
      </c>
      <c r="B8087" s="46" t="s">
        <v>21171</v>
      </c>
      <c r="C8087">
        <v>17</v>
      </c>
      <c r="D8087">
        <v>103</v>
      </c>
    </row>
    <row r="8088" spans="1:4" x14ac:dyDescent="0.25">
      <c r="A8088" s="45" t="s">
        <v>8115</v>
      </c>
      <c r="B8088" s="46" t="s">
        <v>21172</v>
      </c>
      <c r="C8088">
        <v>17</v>
      </c>
      <c r="D8088">
        <v>103</v>
      </c>
    </row>
    <row r="8089" spans="1:4" x14ac:dyDescent="0.25">
      <c r="A8089" s="45" t="s">
        <v>8116</v>
      </c>
      <c r="B8089" s="46" t="s">
        <v>21173</v>
      </c>
      <c r="C8089">
        <v>17</v>
      </c>
      <c r="D8089">
        <v>103</v>
      </c>
    </row>
    <row r="8090" spans="1:4" x14ac:dyDescent="0.25">
      <c r="A8090" s="45" t="s">
        <v>8117</v>
      </c>
      <c r="B8090" s="46" t="s">
        <v>21174</v>
      </c>
      <c r="C8090">
        <v>17</v>
      </c>
      <c r="D8090">
        <v>103</v>
      </c>
    </row>
    <row r="8091" spans="1:4" x14ac:dyDescent="0.25">
      <c r="A8091" s="45" t="s">
        <v>8118</v>
      </c>
      <c r="B8091" s="46" t="s">
        <v>21175</v>
      </c>
      <c r="C8091">
        <v>17</v>
      </c>
      <c r="D8091">
        <v>103</v>
      </c>
    </row>
    <row r="8092" spans="1:4" x14ac:dyDescent="0.25">
      <c r="A8092" s="45" t="s">
        <v>8119</v>
      </c>
      <c r="B8092" s="46" t="s">
        <v>21176</v>
      </c>
      <c r="C8092">
        <v>17</v>
      </c>
      <c r="D8092">
        <v>103</v>
      </c>
    </row>
    <row r="8093" spans="1:4" x14ac:dyDescent="0.25">
      <c r="A8093" s="45" t="s">
        <v>8120</v>
      </c>
      <c r="B8093" s="46" t="s">
        <v>21177</v>
      </c>
      <c r="C8093">
        <v>17</v>
      </c>
      <c r="D8093">
        <v>103</v>
      </c>
    </row>
    <row r="8094" spans="1:4" x14ac:dyDescent="0.25">
      <c r="A8094" s="45" t="s">
        <v>8121</v>
      </c>
      <c r="B8094" s="46" t="s">
        <v>21178</v>
      </c>
      <c r="C8094">
        <v>17</v>
      </c>
      <c r="D8094">
        <v>103</v>
      </c>
    </row>
    <row r="8095" spans="1:4" x14ac:dyDescent="0.25">
      <c r="A8095" s="45" t="s">
        <v>8122</v>
      </c>
      <c r="B8095" s="46" t="s">
        <v>21179</v>
      </c>
      <c r="C8095">
        <v>17</v>
      </c>
      <c r="D8095">
        <v>103</v>
      </c>
    </row>
    <row r="8096" spans="1:4" x14ac:dyDescent="0.25">
      <c r="A8096" s="45" t="s">
        <v>8123</v>
      </c>
      <c r="B8096" s="46" t="s">
        <v>21180</v>
      </c>
      <c r="C8096">
        <v>17</v>
      </c>
      <c r="D8096">
        <v>103</v>
      </c>
    </row>
    <row r="8097" spans="1:4" x14ac:dyDescent="0.25">
      <c r="A8097" s="45" t="s">
        <v>8124</v>
      </c>
      <c r="B8097" s="46" t="s">
        <v>21181</v>
      </c>
      <c r="C8097">
        <v>17</v>
      </c>
      <c r="D8097">
        <v>103</v>
      </c>
    </row>
    <row r="8098" spans="1:4" x14ac:dyDescent="0.25">
      <c r="A8098" s="45" t="s">
        <v>8125</v>
      </c>
      <c r="B8098" s="46" t="s">
        <v>21182</v>
      </c>
      <c r="C8098">
        <v>17</v>
      </c>
      <c r="D8098">
        <v>103</v>
      </c>
    </row>
    <row r="8099" spans="1:4" x14ac:dyDescent="0.25">
      <c r="A8099" s="45" t="s">
        <v>8126</v>
      </c>
      <c r="B8099" s="46" t="s">
        <v>21183</v>
      </c>
      <c r="C8099">
        <v>17</v>
      </c>
      <c r="D8099">
        <v>103</v>
      </c>
    </row>
    <row r="8100" spans="1:4" x14ac:dyDescent="0.25">
      <c r="A8100" s="45" t="s">
        <v>8127</v>
      </c>
      <c r="B8100" s="46" t="s">
        <v>21184</v>
      </c>
      <c r="C8100">
        <v>17</v>
      </c>
      <c r="D8100">
        <v>103</v>
      </c>
    </row>
    <row r="8101" spans="1:4" x14ac:dyDescent="0.25">
      <c r="A8101" s="45" t="s">
        <v>8128</v>
      </c>
      <c r="B8101" s="46" t="s">
        <v>21185</v>
      </c>
      <c r="C8101">
        <v>17</v>
      </c>
      <c r="D8101">
        <v>103</v>
      </c>
    </row>
    <row r="8102" spans="1:4" x14ac:dyDescent="0.25">
      <c r="A8102" s="45" t="s">
        <v>8129</v>
      </c>
      <c r="B8102" s="46" t="s">
        <v>21186</v>
      </c>
      <c r="C8102">
        <v>17</v>
      </c>
      <c r="D8102">
        <v>103</v>
      </c>
    </row>
    <row r="8103" spans="1:4" x14ac:dyDescent="0.25">
      <c r="A8103" s="45" t="s">
        <v>8130</v>
      </c>
      <c r="B8103" s="46" t="s">
        <v>21187</v>
      </c>
      <c r="C8103">
        <v>17</v>
      </c>
      <c r="D8103">
        <v>103</v>
      </c>
    </row>
    <row r="8104" spans="1:4" x14ac:dyDescent="0.25">
      <c r="A8104" s="45" t="s">
        <v>8131</v>
      </c>
      <c r="B8104" s="46" t="s">
        <v>21188</v>
      </c>
      <c r="C8104">
        <v>17</v>
      </c>
      <c r="D8104">
        <v>103</v>
      </c>
    </row>
    <row r="8105" spans="1:4" x14ac:dyDescent="0.25">
      <c r="A8105" s="45" t="s">
        <v>8132</v>
      </c>
      <c r="B8105" s="46" t="s">
        <v>21189</v>
      </c>
      <c r="C8105">
        <v>17</v>
      </c>
      <c r="D8105">
        <v>103</v>
      </c>
    </row>
    <row r="8106" spans="1:4" x14ac:dyDescent="0.25">
      <c r="A8106" s="45" t="s">
        <v>8133</v>
      </c>
      <c r="B8106" s="46" t="s">
        <v>21190</v>
      </c>
      <c r="C8106">
        <v>17</v>
      </c>
      <c r="D8106">
        <v>103</v>
      </c>
    </row>
    <row r="8107" spans="1:4" x14ac:dyDescent="0.25">
      <c r="A8107" s="45" t="s">
        <v>8134</v>
      </c>
      <c r="B8107" s="46" t="s">
        <v>21191</v>
      </c>
      <c r="C8107">
        <v>17</v>
      </c>
      <c r="D8107">
        <v>103</v>
      </c>
    </row>
    <row r="8108" spans="1:4" x14ac:dyDescent="0.25">
      <c r="A8108" s="45" t="s">
        <v>8135</v>
      </c>
      <c r="B8108" s="46" t="s">
        <v>21192</v>
      </c>
      <c r="C8108">
        <v>17</v>
      </c>
      <c r="D8108">
        <v>103</v>
      </c>
    </row>
    <row r="8109" spans="1:4" x14ac:dyDescent="0.25">
      <c r="A8109" s="45" t="s">
        <v>8136</v>
      </c>
      <c r="B8109" s="46" t="s">
        <v>21193</v>
      </c>
      <c r="C8109">
        <v>17</v>
      </c>
      <c r="D8109">
        <v>103</v>
      </c>
    </row>
    <row r="8110" spans="1:4" x14ac:dyDescent="0.25">
      <c r="A8110" s="45" t="s">
        <v>8137</v>
      </c>
      <c r="B8110" s="46" t="s">
        <v>21194</v>
      </c>
      <c r="C8110">
        <v>17</v>
      </c>
      <c r="D8110">
        <v>103</v>
      </c>
    </row>
    <row r="8111" spans="1:4" x14ac:dyDescent="0.25">
      <c r="A8111" s="45" t="s">
        <v>8138</v>
      </c>
      <c r="B8111" s="46" t="s">
        <v>21195</v>
      </c>
      <c r="C8111">
        <v>17</v>
      </c>
      <c r="D8111">
        <v>103</v>
      </c>
    </row>
    <row r="8112" spans="1:4" x14ac:dyDescent="0.25">
      <c r="A8112" s="45" t="s">
        <v>8139</v>
      </c>
      <c r="B8112" s="46" t="s">
        <v>21196</v>
      </c>
      <c r="C8112">
        <v>17</v>
      </c>
      <c r="D8112">
        <v>103</v>
      </c>
    </row>
    <row r="8113" spans="1:4" x14ac:dyDescent="0.25">
      <c r="A8113" s="45" t="s">
        <v>8140</v>
      </c>
      <c r="B8113" s="46" t="s">
        <v>21197</v>
      </c>
      <c r="C8113">
        <v>17</v>
      </c>
      <c r="D8113">
        <v>103</v>
      </c>
    </row>
    <row r="8114" spans="1:4" x14ac:dyDescent="0.25">
      <c r="A8114" s="45" t="s">
        <v>8141</v>
      </c>
      <c r="B8114" s="46" t="s">
        <v>21198</v>
      </c>
      <c r="C8114">
        <v>17</v>
      </c>
      <c r="D8114">
        <v>103</v>
      </c>
    </row>
    <row r="8115" spans="1:4" x14ac:dyDescent="0.25">
      <c r="A8115" s="45" t="s">
        <v>8142</v>
      </c>
      <c r="B8115" s="46" t="s">
        <v>21199</v>
      </c>
      <c r="C8115">
        <v>17</v>
      </c>
      <c r="D8115">
        <v>103</v>
      </c>
    </row>
    <row r="8116" spans="1:4" x14ac:dyDescent="0.25">
      <c r="A8116" s="45" t="s">
        <v>8143</v>
      </c>
      <c r="B8116" s="46" t="s">
        <v>21200</v>
      </c>
      <c r="C8116">
        <v>17</v>
      </c>
      <c r="D8116">
        <v>103</v>
      </c>
    </row>
    <row r="8117" spans="1:4" x14ac:dyDescent="0.25">
      <c r="A8117" s="45" t="s">
        <v>8144</v>
      </c>
      <c r="B8117" s="46" t="s">
        <v>21201</v>
      </c>
      <c r="C8117">
        <v>17</v>
      </c>
      <c r="D8117">
        <v>103</v>
      </c>
    </row>
    <row r="8118" spans="1:4" x14ac:dyDescent="0.25">
      <c r="A8118" s="45" t="s">
        <v>8145</v>
      </c>
      <c r="B8118" s="46" t="s">
        <v>21202</v>
      </c>
      <c r="C8118">
        <v>17</v>
      </c>
      <c r="D8118">
        <v>103</v>
      </c>
    </row>
    <row r="8119" spans="1:4" x14ac:dyDescent="0.25">
      <c r="A8119" s="45" t="s">
        <v>8146</v>
      </c>
      <c r="B8119" s="46" t="s">
        <v>21203</v>
      </c>
      <c r="C8119">
        <v>17</v>
      </c>
      <c r="D8119">
        <v>103</v>
      </c>
    </row>
    <row r="8120" spans="1:4" x14ac:dyDescent="0.25">
      <c r="A8120" s="45" t="s">
        <v>8147</v>
      </c>
      <c r="B8120" s="46" t="s">
        <v>21204</v>
      </c>
      <c r="C8120">
        <v>17</v>
      </c>
      <c r="D8120">
        <v>103</v>
      </c>
    </row>
    <row r="8121" spans="1:4" x14ac:dyDescent="0.25">
      <c r="A8121" s="45" t="s">
        <v>8148</v>
      </c>
      <c r="B8121" s="46" t="s">
        <v>21205</v>
      </c>
      <c r="C8121">
        <v>17</v>
      </c>
      <c r="D8121">
        <v>103</v>
      </c>
    </row>
    <row r="8122" spans="1:4" x14ac:dyDescent="0.25">
      <c r="A8122" s="45" t="s">
        <v>8149</v>
      </c>
      <c r="B8122" s="46" t="s">
        <v>21206</v>
      </c>
      <c r="C8122">
        <v>17</v>
      </c>
      <c r="D8122">
        <v>103</v>
      </c>
    </row>
    <row r="8123" spans="1:4" x14ac:dyDescent="0.25">
      <c r="A8123" s="45" t="s">
        <v>8150</v>
      </c>
      <c r="B8123" s="46" t="s">
        <v>21207</v>
      </c>
      <c r="C8123">
        <v>17</v>
      </c>
      <c r="D8123">
        <v>103</v>
      </c>
    </row>
    <row r="8124" spans="1:4" x14ac:dyDescent="0.25">
      <c r="A8124" s="45" t="s">
        <v>8151</v>
      </c>
      <c r="B8124" s="46" t="s">
        <v>21208</v>
      </c>
      <c r="C8124">
        <v>17</v>
      </c>
      <c r="D8124">
        <v>103</v>
      </c>
    </row>
    <row r="8125" spans="1:4" x14ac:dyDescent="0.25">
      <c r="A8125" s="45" t="s">
        <v>8152</v>
      </c>
      <c r="B8125" s="46" t="s">
        <v>21209</v>
      </c>
      <c r="C8125">
        <v>17</v>
      </c>
      <c r="D8125">
        <v>103</v>
      </c>
    </row>
    <row r="8126" spans="1:4" x14ac:dyDescent="0.25">
      <c r="A8126" s="45" t="s">
        <v>8153</v>
      </c>
      <c r="B8126" s="46" t="s">
        <v>21210</v>
      </c>
      <c r="C8126">
        <v>17</v>
      </c>
      <c r="D8126">
        <v>103</v>
      </c>
    </row>
    <row r="8127" spans="1:4" x14ac:dyDescent="0.25">
      <c r="A8127" s="45" t="s">
        <v>8154</v>
      </c>
      <c r="B8127" s="46" t="s">
        <v>21211</v>
      </c>
      <c r="C8127">
        <v>17</v>
      </c>
      <c r="D8127">
        <v>103</v>
      </c>
    </row>
    <row r="8128" spans="1:4" x14ac:dyDescent="0.25">
      <c r="A8128" s="45" t="s">
        <v>8155</v>
      </c>
      <c r="B8128" s="46" t="s">
        <v>21212</v>
      </c>
      <c r="C8128">
        <v>17</v>
      </c>
      <c r="D8128">
        <v>103</v>
      </c>
    </row>
    <row r="8129" spans="1:4" x14ac:dyDescent="0.25">
      <c r="A8129" s="45" t="s">
        <v>8156</v>
      </c>
      <c r="B8129" s="46" t="s">
        <v>21213</v>
      </c>
      <c r="C8129">
        <v>17</v>
      </c>
      <c r="D8129">
        <v>103</v>
      </c>
    </row>
    <row r="8130" spans="1:4" x14ac:dyDescent="0.25">
      <c r="A8130" s="45" t="s">
        <v>8157</v>
      </c>
      <c r="B8130" s="46" t="s">
        <v>21214</v>
      </c>
      <c r="C8130">
        <v>17</v>
      </c>
      <c r="D8130">
        <v>103</v>
      </c>
    </row>
    <row r="8131" spans="1:4" x14ac:dyDescent="0.25">
      <c r="A8131" s="45" t="s">
        <v>8158</v>
      </c>
      <c r="B8131" s="46" t="s">
        <v>21215</v>
      </c>
      <c r="C8131">
        <v>17</v>
      </c>
      <c r="D8131">
        <v>103</v>
      </c>
    </row>
    <row r="8132" spans="1:4" x14ac:dyDescent="0.25">
      <c r="A8132" s="45" t="s">
        <v>8159</v>
      </c>
      <c r="B8132" s="46" t="s">
        <v>21216</v>
      </c>
      <c r="C8132">
        <v>17</v>
      </c>
      <c r="D8132">
        <v>103</v>
      </c>
    </row>
    <row r="8133" spans="1:4" x14ac:dyDescent="0.25">
      <c r="A8133" s="45" t="s">
        <v>8160</v>
      </c>
      <c r="B8133" s="46" t="s">
        <v>21217</v>
      </c>
      <c r="C8133">
        <v>17</v>
      </c>
      <c r="D8133">
        <v>103</v>
      </c>
    </row>
    <row r="8134" spans="1:4" x14ac:dyDescent="0.25">
      <c r="A8134" s="45" t="s">
        <v>8161</v>
      </c>
      <c r="B8134" s="46" t="s">
        <v>21218</v>
      </c>
      <c r="C8134">
        <v>17</v>
      </c>
      <c r="D8134">
        <v>103</v>
      </c>
    </row>
    <row r="8135" spans="1:4" x14ac:dyDescent="0.25">
      <c r="A8135" s="45" t="s">
        <v>8162</v>
      </c>
      <c r="B8135" s="46" t="s">
        <v>21219</v>
      </c>
      <c r="C8135">
        <v>17</v>
      </c>
      <c r="D8135">
        <v>103</v>
      </c>
    </row>
    <row r="8136" spans="1:4" x14ac:dyDescent="0.25">
      <c r="A8136" s="45" t="s">
        <v>8163</v>
      </c>
      <c r="B8136" s="46" t="s">
        <v>21220</v>
      </c>
      <c r="C8136">
        <v>17</v>
      </c>
      <c r="D8136">
        <v>103</v>
      </c>
    </row>
    <row r="8137" spans="1:4" x14ac:dyDescent="0.25">
      <c r="A8137" s="45" t="s">
        <v>8164</v>
      </c>
      <c r="B8137" s="46" t="s">
        <v>21221</v>
      </c>
      <c r="C8137">
        <v>17</v>
      </c>
      <c r="D8137">
        <v>103</v>
      </c>
    </row>
    <row r="8138" spans="1:4" x14ac:dyDescent="0.25">
      <c r="A8138" s="45" t="s">
        <v>8165</v>
      </c>
      <c r="B8138" s="46" t="s">
        <v>21222</v>
      </c>
      <c r="C8138">
        <v>17</v>
      </c>
      <c r="D8138">
        <v>103</v>
      </c>
    </row>
    <row r="8139" spans="1:4" x14ac:dyDescent="0.25">
      <c r="A8139" s="45" t="s">
        <v>8166</v>
      </c>
      <c r="B8139" s="46" t="s">
        <v>21223</v>
      </c>
      <c r="C8139">
        <v>17</v>
      </c>
      <c r="D8139">
        <v>103</v>
      </c>
    </row>
    <row r="8140" spans="1:4" x14ac:dyDescent="0.25">
      <c r="A8140" s="45" t="s">
        <v>8167</v>
      </c>
      <c r="B8140" s="46" t="s">
        <v>21224</v>
      </c>
      <c r="C8140">
        <v>17</v>
      </c>
      <c r="D8140">
        <v>103</v>
      </c>
    </row>
    <row r="8141" spans="1:4" x14ac:dyDescent="0.25">
      <c r="A8141" s="45" t="s">
        <v>8168</v>
      </c>
      <c r="B8141" s="46" t="s">
        <v>21225</v>
      </c>
      <c r="C8141">
        <v>17</v>
      </c>
      <c r="D8141">
        <v>103</v>
      </c>
    </row>
    <row r="8142" spans="1:4" x14ac:dyDescent="0.25">
      <c r="A8142" s="45" t="s">
        <v>8169</v>
      </c>
      <c r="B8142" s="46" t="s">
        <v>21226</v>
      </c>
      <c r="C8142">
        <v>17</v>
      </c>
      <c r="D8142">
        <v>103</v>
      </c>
    </row>
    <row r="8143" spans="1:4" x14ac:dyDescent="0.25">
      <c r="A8143" s="45" t="s">
        <v>8170</v>
      </c>
      <c r="B8143" s="46" t="s">
        <v>21227</v>
      </c>
      <c r="C8143">
        <v>17</v>
      </c>
      <c r="D8143">
        <v>103</v>
      </c>
    </row>
    <row r="8144" spans="1:4" x14ac:dyDescent="0.25">
      <c r="A8144" s="45" t="s">
        <v>8171</v>
      </c>
      <c r="B8144" s="46" t="s">
        <v>21228</v>
      </c>
      <c r="C8144">
        <v>17</v>
      </c>
      <c r="D8144">
        <v>103</v>
      </c>
    </row>
    <row r="8145" spans="1:4" x14ac:dyDescent="0.25">
      <c r="A8145" s="45" t="s">
        <v>8172</v>
      </c>
      <c r="B8145" s="46" t="s">
        <v>21229</v>
      </c>
      <c r="C8145">
        <v>17</v>
      </c>
      <c r="D8145">
        <v>103</v>
      </c>
    </row>
    <row r="8146" spans="1:4" x14ac:dyDescent="0.25">
      <c r="A8146" s="45" t="s">
        <v>8173</v>
      </c>
      <c r="B8146" s="46" t="s">
        <v>21230</v>
      </c>
      <c r="C8146">
        <v>17</v>
      </c>
      <c r="D8146">
        <v>103</v>
      </c>
    </row>
    <row r="8147" spans="1:4" x14ac:dyDescent="0.25">
      <c r="A8147" s="45" t="s">
        <v>8174</v>
      </c>
      <c r="B8147" s="46" t="s">
        <v>21231</v>
      </c>
      <c r="C8147">
        <v>17</v>
      </c>
      <c r="D8147">
        <v>103</v>
      </c>
    </row>
    <row r="8148" spans="1:4" x14ac:dyDescent="0.25">
      <c r="A8148" s="45" t="s">
        <v>8175</v>
      </c>
      <c r="B8148" s="46" t="s">
        <v>21232</v>
      </c>
      <c r="C8148">
        <v>17</v>
      </c>
      <c r="D8148">
        <v>103</v>
      </c>
    </row>
    <row r="8149" spans="1:4" x14ac:dyDescent="0.25">
      <c r="A8149" s="45" t="s">
        <v>8176</v>
      </c>
      <c r="B8149" s="46" t="s">
        <v>21233</v>
      </c>
      <c r="C8149">
        <v>17</v>
      </c>
      <c r="D8149">
        <v>103</v>
      </c>
    </row>
    <row r="8150" spans="1:4" x14ac:dyDescent="0.25">
      <c r="A8150" s="45" t="s">
        <v>8177</v>
      </c>
      <c r="B8150" s="46" t="s">
        <v>21234</v>
      </c>
      <c r="C8150">
        <v>17</v>
      </c>
      <c r="D8150">
        <v>103</v>
      </c>
    </row>
    <row r="8151" spans="1:4" x14ac:dyDescent="0.25">
      <c r="A8151" s="45" t="s">
        <v>8178</v>
      </c>
      <c r="B8151" s="46" t="s">
        <v>21235</v>
      </c>
      <c r="C8151">
        <v>17</v>
      </c>
      <c r="D8151">
        <v>103</v>
      </c>
    </row>
    <row r="8152" spans="1:4" x14ac:dyDescent="0.25">
      <c r="A8152" s="45" t="s">
        <v>8179</v>
      </c>
      <c r="B8152" s="46" t="s">
        <v>21236</v>
      </c>
      <c r="C8152">
        <v>17</v>
      </c>
      <c r="D8152">
        <v>103</v>
      </c>
    </row>
    <row r="8153" spans="1:4" x14ac:dyDescent="0.25">
      <c r="A8153" s="45" t="s">
        <v>8180</v>
      </c>
      <c r="B8153" s="46" t="s">
        <v>21237</v>
      </c>
      <c r="C8153">
        <v>17</v>
      </c>
      <c r="D8153">
        <v>103</v>
      </c>
    </row>
    <row r="8154" spans="1:4" x14ac:dyDescent="0.25">
      <c r="A8154" s="45" t="s">
        <v>8181</v>
      </c>
      <c r="B8154" s="46" t="s">
        <v>21238</v>
      </c>
      <c r="C8154">
        <v>17</v>
      </c>
      <c r="D8154">
        <v>103</v>
      </c>
    </row>
    <row r="8155" spans="1:4" x14ac:dyDescent="0.25">
      <c r="A8155" s="45" t="s">
        <v>8182</v>
      </c>
      <c r="B8155" s="46" t="s">
        <v>21239</v>
      </c>
      <c r="C8155">
        <v>17</v>
      </c>
      <c r="D8155">
        <v>103</v>
      </c>
    </row>
    <row r="8156" spans="1:4" x14ac:dyDescent="0.25">
      <c r="A8156" s="45" t="s">
        <v>8183</v>
      </c>
      <c r="B8156" s="46" t="s">
        <v>21240</v>
      </c>
      <c r="C8156">
        <v>17</v>
      </c>
      <c r="D8156">
        <v>103</v>
      </c>
    </row>
    <row r="8157" spans="1:4" x14ac:dyDescent="0.25">
      <c r="A8157" s="45" t="s">
        <v>8184</v>
      </c>
      <c r="B8157" s="46" t="s">
        <v>21241</v>
      </c>
      <c r="C8157">
        <v>17</v>
      </c>
      <c r="D8157">
        <v>103</v>
      </c>
    </row>
    <row r="8158" spans="1:4" x14ac:dyDescent="0.25">
      <c r="A8158" s="45" t="s">
        <v>8185</v>
      </c>
      <c r="B8158" s="46" t="s">
        <v>21242</v>
      </c>
      <c r="C8158">
        <v>17</v>
      </c>
      <c r="D8158">
        <v>103</v>
      </c>
    </row>
    <row r="8159" spans="1:4" x14ac:dyDescent="0.25">
      <c r="A8159" s="45" t="s">
        <v>8186</v>
      </c>
      <c r="B8159" s="46" t="s">
        <v>21243</v>
      </c>
      <c r="C8159">
        <v>17</v>
      </c>
      <c r="D8159">
        <v>103</v>
      </c>
    </row>
    <row r="8160" spans="1:4" x14ac:dyDescent="0.25">
      <c r="A8160" s="45" t="s">
        <v>8187</v>
      </c>
      <c r="B8160" s="46" t="s">
        <v>21244</v>
      </c>
      <c r="C8160">
        <v>17</v>
      </c>
      <c r="D8160">
        <v>103</v>
      </c>
    </row>
    <row r="8161" spans="1:4" x14ac:dyDescent="0.25">
      <c r="A8161" s="45" t="s">
        <v>8188</v>
      </c>
      <c r="B8161" s="46" t="s">
        <v>21245</v>
      </c>
      <c r="C8161">
        <v>17</v>
      </c>
      <c r="D8161">
        <v>103</v>
      </c>
    </row>
    <row r="8162" spans="1:4" x14ac:dyDescent="0.25">
      <c r="A8162" s="45" t="s">
        <v>8189</v>
      </c>
      <c r="B8162" s="46" t="s">
        <v>21246</v>
      </c>
      <c r="C8162">
        <v>17</v>
      </c>
      <c r="D8162">
        <v>103</v>
      </c>
    </row>
    <row r="8163" spans="1:4" x14ac:dyDescent="0.25">
      <c r="A8163" s="45" t="s">
        <v>8190</v>
      </c>
      <c r="B8163" s="46" t="s">
        <v>21247</v>
      </c>
      <c r="C8163">
        <v>17</v>
      </c>
      <c r="D8163">
        <v>103</v>
      </c>
    </row>
    <row r="8164" spans="1:4" x14ac:dyDescent="0.25">
      <c r="A8164" s="45" t="s">
        <v>8191</v>
      </c>
      <c r="B8164" s="46" t="s">
        <v>21248</v>
      </c>
      <c r="C8164">
        <v>17</v>
      </c>
      <c r="D8164">
        <v>103</v>
      </c>
    </row>
    <row r="8165" spans="1:4" x14ac:dyDescent="0.25">
      <c r="A8165" s="45" t="s">
        <v>8192</v>
      </c>
      <c r="B8165" s="46" t="s">
        <v>21249</v>
      </c>
      <c r="C8165">
        <v>17</v>
      </c>
      <c r="D8165">
        <v>103</v>
      </c>
    </row>
    <row r="8166" spans="1:4" x14ac:dyDescent="0.25">
      <c r="A8166" s="45" t="s">
        <v>8193</v>
      </c>
      <c r="B8166" s="46" t="s">
        <v>21250</v>
      </c>
      <c r="C8166">
        <v>17</v>
      </c>
      <c r="D8166">
        <v>103</v>
      </c>
    </row>
    <row r="8167" spans="1:4" x14ac:dyDescent="0.25">
      <c r="A8167" s="45" t="s">
        <v>8194</v>
      </c>
      <c r="B8167" s="46" t="s">
        <v>21251</v>
      </c>
      <c r="C8167">
        <v>17</v>
      </c>
      <c r="D8167">
        <v>103</v>
      </c>
    </row>
    <row r="8168" spans="1:4" x14ac:dyDescent="0.25">
      <c r="A8168" s="45" t="s">
        <v>8195</v>
      </c>
      <c r="B8168" s="46" t="s">
        <v>21252</v>
      </c>
      <c r="C8168">
        <v>17</v>
      </c>
      <c r="D8168">
        <v>103</v>
      </c>
    </row>
    <row r="8169" spans="1:4" x14ac:dyDescent="0.25">
      <c r="A8169" s="45" t="s">
        <v>8196</v>
      </c>
      <c r="B8169" s="46" t="s">
        <v>21253</v>
      </c>
      <c r="C8169">
        <v>17</v>
      </c>
      <c r="D8169">
        <v>103</v>
      </c>
    </row>
    <row r="8170" spans="1:4" x14ac:dyDescent="0.25">
      <c r="A8170" s="45" t="s">
        <v>8197</v>
      </c>
      <c r="B8170" s="46" t="s">
        <v>21254</v>
      </c>
      <c r="C8170">
        <v>17</v>
      </c>
      <c r="D8170">
        <v>103</v>
      </c>
    </row>
    <row r="8171" spans="1:4" x14ac:dyDescent="0.25">
      <c r="A8171" s="45" t="s">
        <v>8198</v>
      </c>
      <c r="B8171" s="46" t="s">
        <v>21255</v>
      </c>
      <c r="C8171">
        <v>17</v>
      </c>
      <c r="D8171">
        <v>103</v>
      </c>
    </row>
    <row r="8172" spans="1:4" x14ac:dyDescent="0.25">
      <c r="A8172" s="45" t="s">
        <v>8199</v>
      </c>
      <c r="B8172" s="46" t="s">
        <v>21256</v>
      </c>
      <c r="C8172">
        <v>17</v>
      </c>
      <c r="D8172">
        <v>103</v>
      </c>
    </row>
    <row r="8173" spans="1:4" x14ac:dyDescent="0.25">
      <c r="A8173" s="45" t="s">
        <v>8200</v>
      </c>
      <c r="B8173" s="46" t="s">
        <v>21257</v>
      </c>
      <c r="C8173">
        <v>17</v>
      </c>
      <c r="D8173">
        <v>103</v>
      </c>
    </row>
    <row r="8174" spans="1:4" x14ac:dyDescent="0.25">
      <c r="A8174" s="45" t="s">
        <v>8201</v>
      </c>
      <c r="B8174" s="46" t="s">
        <v>21258</v>
      </c>
      <c r="C8174">
        <v>17</v>
      </c>
      <c r="D8174">
        <v>103</v>
      </c>
    </row>
    <row r="8175" spans="1:4" x14ac:dyDescent="0.25">
      <c r="A8175" s="45" t="s">
        <v>8202</v>
      </c>
      <c r="B8175" s="46" t="s">
        <v>21259</v>
      </c>
      <c r="C8175">
        <v>17</v>
      </c>
      <c r="D8175">
        <v>103</v>
      </c>
    </row>
    <row r="8176" spans="1:4" x14ac:dyDescent="0.25">
      <c r="A8176" s="45" t="s">
        <v>8203</v>
      </c>
      <c r="B8176" s="46" t="s">
        <v>21260</v>
      </c>
      <c r="C8176">
        <v>17</v>
      </c>
      <c r="D8176">
        <v>103</v>
      </c>
    </row>
    <row r="8177" spans="1:4" x14ac:dyDescent="0.25">
      <c r="A8177" s="45" t="s">
        <v>8204</v>
      </c>
      <c r="B8177" s="46" t="s">
        <v>21261</v>
      </c>
      <c r="C8177">
        <v>17</v>
      </c>
      <c r="D8177">
        <v>103</v>
      </c>
    </row>
    <row r="8178" spans="1:4" x14ac:dyDescent="0.25">
      <c r="A8178" s="45" t="s">
        <v>8205</v>
      </c>
      <c r="B8178" s="46" t="s">
        <v>21262</v>
      </c>
      <c r="C8178">
        <v>17</v>
      </c>
      <c r="D8178">
        <v>103</v>
      </c>
    </row>
    <row r="8179" spans="1:4" x14ac:dyDescent="0.25">
      <c r="A8179" s="45" t="s">
        <v>8206</v>
      </c>
      <c r="B8179" s="46" t="s">
        <v>21263</v>
      </c>
      <c r="C8179">
        <v>17</v>
      </c>
      <c r="D8179">
        <v>103</v>
      </c>
    </row>
    <row r="8180" spans="1:4" x14ac:dyDescent="0.25">
      <c r="A8180" s="45" t="s">
        <v>8207</v>
      </c>
      <c r="B8180" s="46" t="s">
        <v>21264</v>
      </c>
      <c r="C8180">
        <v>17</v>
      </c>
      <c r="D8180">
        <v>103</v>
      </c>
    </row>
    <row r="8181" spans="1:4" x14ac:dyDescent="0.25">
      <c r="A8181" s="45" t="s">
        <v>8208</v>
      </c>
      <c r="B8181" s="46" t="s">
        <v>21265</v>
      </c>
      <c r="C8181">
        <v>17</v>
      </c>
      <c r="D8181">
        <v>103</v>
      </c>
    </row>
    <row r="8182" spans="1:4" x14ac:dyDescent="0.25">
      <c r="A8182" s="45" t="s">
        <v>8209</v>
      </c>
      <c r="B8182" s="46" t="s">
        <v>21266</v>
      </c>
      <c r="C8182">
        <v>17</v>
      </c>
      <c r="D8182">
        <v>103</v>
      </c>
    </row>
    <row r="8183" spans="1:4" x14ac:dyDescent="0.25">
      <c r="A8183" s="45" t="s">
        <v>8210</v>
      </c>
      <c r="B8183" s="46" t="s">
        <v>21267</v>
      </c>
      <c r="C8183">
        <v>17</v>
      </c>
      <c r="D8183">
        <v>103</v>
      </c>
    </row>
    <row r="8184" spans="1:4" x14ac:dyDescent="0.25">
      <c r="A8184" s="45" t="s">
        <v>8211</v>
      </c>
      <c r="B8184" s="46" t="s">
        <v>21268</v>
      </c>
      <c r="C8184">
        <v>17</v>
      </c>
      <c r="D8184">
        <v>103</v>
      </c>
    </row>
    <row r="8185" spans="1:4" x14ac:dyDescent="0.25">
      <c r="A8185" s="45" t="s">
        <v>8212</v>
      </c>
      <c r="B8185" s="46" t="s">
        <v>21269</v>
      </c>
      <c r="C8185">
        <v>17</v>
      </c>
      <c r="D8185">
        <v>103</v>
      </c>
    </row>
    <row r="8186" spans="1:4" x14ac:dyDescent="0.25">
      <c r="A8186" s="45" t="s">
        <v>8213</v>
      </c>
      <c r="B8186" s="46" t="s">
        <v>21270</v>
      </c>
      <c r="C8186">
        <v>17</v>
      </c>
      <c r="D8186">
        <v>103</v>
      </c>
    </row>
    <row r="8187" spans="1:4" x14ac:dyDescent="0.25">
      <c r="A8187" s="45" t="s">
        <v>8214</v>
      </c>
      <c r="B8187" s="46" t="s">
        <v>21271</v>
      </c>
      <c r="C8187">
        <v>17</v>
      </c>
      <c r="D8187">
        <v>103</v>
      </c>
    </row>
    <row r="8188" spans="1:4" x14ac:dyDescent="0.25">
      <c r="A8188" s="45" t="s">
        <v>8215</v>
      </c>
      <c r="B8188" s="46" t="s">
        <v>21272</v>
      </c>
      <c r="C8188">
        <v>17</v>
      </c>
      <c r="D8188">
        <v>103</v>
      </c>
    </row>
    <row r="8189" spans="1:4" x14ac:dyDescent="0.25">
      <c r="A8189" s="45" t="s">
        <v>8216</v>
      </c>
      <c r="B8189" s="46" t="s">
        <v>21273</v>
      </c>
      <c r="C8189">
        <v>17</v>
      </c>
      <c r="D8189">
        <v>103</v>
      </c>
    </row>
    <row r="8190" spans="1:4" x14ac:dyDescent="0.25">
      <c r="A8190" s="45" t="s">
        <v>8217</v>
      </c>
      <c r="B8190" s="46" t="s">
        <v>21274</v>
      </c>
      <c r="C8190">
        <v>17</v>
      </c>
      <c r="D8190">
        <v>103</v>
      </c>
    </row>
    <row r="8191" spans="1:4" x14ac:dyDescent="0.25">
      <c r="A8191" s="45" t="s">
        <v>8218</v>
      </c>
      <c r="B8191" s="46" t="s">
        <v>21275</v>
      </c>
      <c r="C8191">
        <v>17</v>
      </c>
      <c r="D8191">
        <v>103</v>
      </c>
    </row>
    <row r="8192" spans="1:4" x14ac:dyDescent="0.25">
      <c r="A8192" s="45" t="s">
        <v>8219</v>
      </c>
      <c r="B8192" s="46" t="s">
        <v>21276</v>
      </c>
      <c r="C8192">
        <v>17</v>
      </c>
      <c r="D8192">
        <v>103</v>
      </c>
    </row>
    <row r="8193" spans="1:4" x14ac:dyDescent="0.25">
      <c r="A8193" s="45" t="s">
        <v>8220</v>
      </c>
      <c r="B8193" s="46" t="s">
        <v>21277</v>
      </c>
      <c r="C8193">
        <v>17</v>
      </c>
      <c r="D8193">
        <v>103</v>
      </c>
    </row>
    <row r="8194" spans="1:4" x14ac:dyDescent="0.25">
      <c r="A8194" s="45" t="s">
        <v>8221</v>
      </c>
      <c r="B8194" s="46" t="s">
        <v>21278</v>
      </c>
      <c r="C8194">
        <v>17</v>
      </c>
      <c r="D8194">
        <v>103</v>
      </c>
    </row>
    <row r="8195" spans="1:4" x14ac:dyDescent="0.25">
      <c r="A8195" s="45" t="s">
        <v>8222</v>
      </c>
      <c r="B8195" s="46" t="s">
        <v>21279</v>
      </c>
      <c r="C8195">
        <v>17</v>
      </c>
      <c r="D8195">
        <v>103</v>
      </c>
    </row>
    <row r="8196" spans="1:4" x14ac:dyDescent="0.25">
      <c r="A8196" s="45" t="s">
        <v>8223</v>
      </c>
      <c r="B8196" s="46" t="s">
        <v>21280</v>
      </c>
      <c r="C8196">
        <v>17</v>
      </c>
      <c r="D8196">
        <v>103</v>
      </c>
    </row>
    <row r="8197" spans="1:4" x14ac:dyDescent="0.25">
      <c r="A8197" s="45" t="s">
        <v>8224</v>
      </c>
      <c r="B8197" s="46" t="s">
        <v>21281</v>
      </c>
      <c r="C8197">
        <v>17</v>
      </c>
      <c r="D8197">
        <v>103</v>
      </c>
    </row>
    <row r="8198" spans="1:4" x14ac:dyDescent="0.25">
      <c r="A8198" s="45" t="s">
        <v>8225</v>
      </c>
      <c r="B8198" s="46" t="s">
        <v>21282</v>
      </c>
      <c r="C8198">
        <v>17</v>
      </c>
      <c r="D8198">
        <v>103</v>
      </c>
    </row>
    <row r="8199" spans="1:4" x14ac:dyDescent="0.25">
      <c r="A8199" s="45" t="s">
        <v>8226</v>
      </c>
      <c r="B8199" s="46" t="s">
        <v>21283</v>
      </c>
      <c r="C8199">
        <v>17</v>
      </c>
      <c r="D8199">
        <v>104</v>
      </c>
    </row>
    <row r="8200" spans="1:4" x14ac:dyDescent="0.25">
      <c r="A8200" s="45" t="s">
        <v>8227</v>
      </c>
      <c r="B8200" s="46" t="s">
        <v>21284</v>
      </c>
      <c r="C8200">
        <v>17</v>
      </c>
      <c r="D8200">
        <v>104</v>
      </c>
    </row>
    <row r="8201" spans="1:4" x14ac:dyDescent="0.25">
      <c r="A8201" s="45" t="s">
        <v>8228</v>
      </c>
      <c r="B8201" s="46" t="s">
        <v>21285</v>
      </c>
      <c r="C8201">
        <v>17</v>
      </c>
      <c r="D8201">
        <v>104</v>
      </c>
    </row>
    <row r="8202" spans="1:4" x14ac:dyDescent="0.25">
      <c r="A8202" s="45" t="s">
        <v>8229</v>
      </c>
      <c r="B8202" s="46" t="s">
        <v>21286</v>
      </c>
      <c r="C8202">
        <v>17</v>
      </c>
      <c r="D8202">
        <v>104</v>
      </c>
    </row>
    <row r="8203" spans="1:4" x14ac:dyDescent="0.25">
      <c r="A8203" s="45" t="s">
        <v>8230</v>
      </c>
      <c r="B8203" s="46" t="s">
        <v>21287</v>
      </c>
      <c r="C8203">
        <v>17</v>
      </c>
      <c r="D8203">
        <v>104</v>
      </c>
    </row>
    <row r="8204" spans="1:4" x14ac:dyDescent="0.25">
      <c r="A8204" s="45" t="s">
        <v>8231</v>
      </c>
      <c r="B8204" s="46" t="s">
        <v>21288</v>
      </c>
      <c r="C8204">
        <v>17</v>
      </c>
      <c r="D8204">
        <v>104</v>
      </c>
    </row>
    <row r="8205" spans="1:4" x14ac:dyDescent="0.25">
      <c r="A8205" s="45" t="s">
        <v>8232</v>
      </c>
      <c r="B8205" s="46" t="s">
        <v>21289</v>
      </c>
      <c r="C8205">
        <v>17</v>
      </c>
      <c r="D8205">
        <v>104</v>
      </c>
    </row>
    <row r="8206" spans="1:4" x14ac:dyDescent="0.25">
      <c r="A8206" s="45" t="s">
        <v>8233</v>
      </c>
      <c r="B8206" s="46" t="s">
        <v>21290</v>
      </c>
      <c r="C8206">
        <v>17</v>
      </c>
      <c r="D8206">
        <v>104</v>
      </c>
    </row>
    <row r="8207" spans="1:4" x14ac:dyDescent="0.25">
      <c r="A8207" s="45" t="s">
        <v>8234</v>
      </c>
      <c r="B8207" s="46" t="s">
        <v>21291</v>
      </c>
      <c r="C8207">
        <v>17</v>
      </c>
      <c r="D8207">
        <v>104</v>
      </c>
    </row>
    <row r="8208" spans="1:4" x14ac:dyDescent="0.25">
      <c r="A8208" s="45" t="s">
        <v>8235</v>
      </c>
      <c r="B8208" s="46" t="s">
        <v>21292</v>
      </c>
      <c r="C8208">
        <v>17</v>
      </c>
      <c r="D8208">
        <v>104</v>
      </c>
    </row>
    <row r="8209" spans="1:4" x14ac:dyDescent="0.25">
      <c r="A8209" s="45" t="s">
        <v>8236</v>
      </c>
      <c r="B8209" s="46" t="s">
        <v>21293</v>
      </c>
      <c r="C8209">
        <v>17</v>
      </c>
      <c r="D8209">
        <v>104</v>
      </c>
    </row>
    <row r="8210" spans="1:4" x14ac:dyDescent="0.25">
      <c r="A8210" s="45" t="s">
        <v>8237</v>
      </c>
      <c r="B8210" s="46" t="s">
        <v>21294</v>
      </c>
      <c r="C8210">
        <v>17</v>
      </c>
      <c r="D8210">
        <v>104</v>
      </c>
    </row>
    <row r="8211" spans="1:4" x14ac:dyDescent="0.25">
      <c r="A8211" s="45" t="s">
        <v>8238</v>
      </c>
      <c r="B8211" s="46" t="s">
        <v>21295</v>
      </c>
      <c r="C8211">
        <v>17</v>
      </c>
      <c r="D8211">
        <v>104</v>
      </c>
    </row>
    <row r="8212" spans="1:4" x14ac:dyDescent="0.25">
      <c r="A8212" s="45" t="s">
        <v>8239</v>
      </c>
      <c r="B8212" s="46" t="s">
        <v>21296</v>
      </c>
      <c r="C8212">
        <v>17</v>
      </c>
      <c r="D8212">
        <v>104</v>
      </c>
    </row>
    <row r="8213" spans="1:4" x14ac:dyDescent="0.25">
      <c r="A8213" s="45" t="s">
        <v>8240</v>
      </c>
      <c r="B8213" s="46" t="s">
        <v>21297</v>
      </c>
      <c r="C8213">
        <v>17</v>
      </c>
      <c r="D8213">
        <v>104</v>
      </c>
    </row>
    <row r="8214" spans="1:4" x14ac:dyDescent="0.25">
      <c r="A8214" s="45" t="s">
        <v>8241</v>
      </c>
      <c r="B8214" s="46" t="s">
        <v>21298</v>
      </c>
      <c r="C8214">
        <v>17</v>
      </c>
      <c r="D8214">
        <v>104</v>
      </c>
    </row>
    <row r="8215" spans="1:4" x14ac:dyDescent="0.25">
      <c r="A8215" s="45" t="s">
        <v>8242</v>
      </c>
      <c r="B8215" s="46" t="s">
        <v>21299</v>
      </c>
      <c r="C8215">
        <v>17</v>
      </c>
      <c r="D8215">
        <v>104</v>
      </c>
    </row>
    <row r="8216" spans="1:4" x14ac:dyDescent="0.25">
      <c r="A8216" s="45" t="s">
        <v>8243</v>
      </c>
      <c r="B8216" s="46" t="s">
        <v>21300</v>
      </c>
      <c r="C8216">
        <v>17</v>
      </c>
      <c r="D8216">
        <v>104</v>
      </c>
    </row>
    <row r="8217" spans="1:4" x14ac:dyDescent="0.25">
      <c r="A8217" s="45" t="s">
        <v>8244</v>
      </c>
      <c r="B8217" s="46" t="s">
        <v>21301</v>
      </c>
      <c r="C8217">
        <v>17</v>
      </c>
      <c r="D8217">
        <v>104</v>
      </c>
    </row>
    <row r="8218" spans="1:4" x14ac:dyDescent="0.25">
      <c r="A8218" s="45" t="s">
        <v>8245</v>
      </c>
      <c r="B8218" s="46" t="s">
        <v>21302</v>
      </c>
      <c r="C8218">
        <v>17</v>
      </c>
      <c r="D8218">
        <v>104</v>
      </c>
    </row>
    <row r="8219" spans="1:4" x14ac:dyDescent="0.25">
      <c r="A8219" s="45" t="s">
        <v>8246</v>
      </c>
      <c r="B8219" s="46" t="s">
        <v>21303</v>
      </c>
      <c r="C8219">
        <v>17</v>
      </c>
      <c r="D8219">
        <v>104</v>
      </c>
    </row>
    <row r="8220" spans="1:4" x14ac:dyDescent="0.25">
      <c r="A8220" s="45" t="s">
        <v>8247</v>
      </c>
      <c r="B8220" s="46" t="s">
        <v>21304</v>
      </c>
      <c r="C8220">
        <v>17</v>
      </c>
      <c r="D8220">
        <v>104</v>
      </c>
    </row>
    <row r="8221" spans="1:4" x14ac:dyDescent="0.25">
      <c r="A8221" s="45" t="s">
        <v>8248</v>
      </c>
      <c r="B8221" s="46" t="s">
        <v>21305</v>
      </c>
      <c r="C8221">
        <v>17</v>
      </c>
      <c r="D8221">
        <v>104</v>
      </c>
    </row>
    <row r="8222" spans="1:4" x14ac:dyDescent="0.25">
      <c r="A8222" s="45" t="s">
        <v>8249</v>
      </c>
      <c r="B8222" s="46" t="s">
        <v>21306</v>
      </c>
      <c r="C8222">
        <v>17</v>
      </c>
      <c r="D8222">
        <v>104</v>
      </c>
    </row>
    <row r="8223" spans="1:4" x14ac:dyDescent="0.25">
      <c r="A8223" s="45" t="s">
        <v>8250</v>
      </c>
      <c r="B8223" s="46" t="s">
        <v>21307</v>
      </c>
      <c r="C8223">
        <v>17</v>
      </c>
      <c r="D8223">
        <v>104</v>
      </c>
    </row>
    <row r="8224" spans="1:4" x14ac:dyDescent="0.25">
      <c r="A8224" s="45" t="s">
        <v>8251</v>
      </c>
      <c r="B8224" s="46" t="s">
        <v>21308</v>
      </c>
      <c r="C8224">
        <v>17</v>
      </c>
      <c r="D8224">
        <v>104</v>
      </c>
    </row>
    <row r="8225" spans="1:4" x14ac:dyDescent="0.25">
      <c r="A8225" s="45" t="s">
        <v>8252</v>
      </c>
      <c r="B8225" s="46" t="s">
        <v>21309</v>
      </c>
      <c r="C8225">
        <v>17</v>
      </c>
      <c r="D8225">
        <v>104</v>
      </c>
    </row>
    <row r="8226" spans="1:4" x14ac:dyDescent="0.25">
      <c r="A8226" s="45" t="s">
        <v>8253</v>
      </c>
      <c r="B8226" s="46" t="s">
        <v>21310</v>
      </c>
      <c r="C8226">
        <v>17</v>
      </c>
      <c r="D8226">
        <v>103</v>
      </c>
    </row>
    <row r="8227" spans="1:4" x14ac:dyDescent="0.25">
      <c r="A8227" s="45" t="s">
        <v>8254</v>
      </c>
      <c r="B8227" s="46" t="s">
        <v>18694</v>
      </c>
      <c r="C8227">
        <v>17</v>
      </c>
      <c r="D8227">
        <v>104</v>
      </c>
    </row>
    <row r="8228" spans="1:4" x14ac:dyDescent="0.25">
      <c r="A8228" s="45" t="s">
        <v>8255</v>
      </c>
      <c r="B8228" s="46" t="s">
        <v>21311</v>
      </c>
      <c r="C8228">
        <v>17</v>
      </c>
      <c r="D8228">
        <v>104</v>
      </c>
    </row>
    <row r="8229" spans="1:4" x14ac:dyDescent="0.25">
      <c r="A8229" s="45" t="s">
        <v>8256</v>
      </c>
      <c r="B8229" s="46" t="s">
        <v>21312</v>
      </c>
      <c r="C8229">
        <v>17</v>
      </c>
      <c r="D8229">
        <v>104</v>
      </c>
    </row>
    <row r="8230" spans="1:4" x14ac:dyDescent="0.25">
      <c r="A8230" s="45" t="s">
        <v>8257</v>
      </c>
      <c r="B8230" s="46" t="s">
        <v>21313</v>
      </c>
      <c r="C8230">
        <v>17</v>
      </c>
      <c r="D8230">
        <v>104</v>
      </c>
    </row>
    <row r="8231" spans="1:4" x14ac:dyDescent="0.25">
      <c r="A8231" s="45" t="s">
        <v>8258</v>
      </c>
      <c r="B8231" s="46" t="s">
        <v>21314</v>
      </c>
      <c r="C8231">
        <v>17</v>
      </c>
      <c r="D8231">
        <v>104</v>
      </c>
    </row>
    <row r="8232" spans="1:4" x14ac:dyDescent="0.25">
      <c r="A8232" s="45" t="s">
        <v>8259</v>
      </c>
      <c r="B8232" s="46" t="s">
        <v>21315</v>
      </c>
      <c r="C8232">
        <v>17</v>
      </c>
      <c r="D8232">
        <v>104</v>
      </c>
    </row>
    <row r="8233" spans="1:4" x14ac:dyDescent="0.25">
      <c r="A8233" s="45" t="s">
        <v>8260</v>
      </c>
      <c r="B8233" s="46" t="s">
        <v>21316</v>
      </c>
      <c r="C8233">
        <v>17</v>
      </c>
      <c r="D8233">
        <v>104</v>
      </c>
    </row>
    <row r="8234" spans="1:4" x14ac:dyDescent="0.25">
      <c r="A8234" s="45" t="s">
        <v>8261</v>
      </c>
      <c r="B8234" s="46" t="s">
        <v>21317</v>
      </c>
      <c r="C8234">
        <v>17</v>
      </c>
      <c r="D8234">
        <v>104</v>
      </c>
    </row>
    <row r="8235" spans="1:4" x14ac:dyDescent="0.25">
      <c r="A8235" s="45" t="s">
        <v>8262</v>
      </c>
      <c r="B8235" s="46" t="s">
        <v>21318</v>
      </c>
      <c r="C8235">
        <v>17</v>
      </c>
      <c r="D8235">
        <v>104</v>
      </c>
    </row>
    <row r="8236" spans="1:4" x14ac:dyDescent="0.25">
      <c r="A8236" s="45" t="s">
        <v>8263</v>
      </c>
      <c r="B8236" s="46" t="s">
        <v>21319</v>
      </c>
      <c r="C8236">
        <v>17</v>
      </c>
      <c r="D8236">
        <v>104</v>
      </c>
    </row>
    <row r="8237" spans="1:4" x14ac:dyDescent="0.25">
      <c r="A8237" s="45" t="s">
        <v>8264</v>
      </c>
      <c r="B8237" s="46" t="s">
        <v>21320</v>
      </c>
      <c r="C8237">
        <v>17</v>
      </c>
      <c r="D8237">
        <v>104</v>
      </c>
    </row>
    <row r="8238" spans="1:4" x14ac:dyDescent="0.25">
      <c r="A8238" s="45" t="s">
        <v>8265</v>
      </c>
      <c r="B8238" s="46" t="s">
        <v>21321</v>
      </c>
      <c r="C8238">
        <v>17</v>
      </c>
      <c r="D8238">
        <v>104</v>
      </c>
    </row>
    <row r="8239" spans="1:4" x14ac:dyDescent="0.25">
      <c r="A8239" s="45" t="s">
        <v>8266</v>
      </c>
      <c r="B8239" s="46" t="s">
        <v>21322</v>
      </c>
      <c r="C8239">
        <v>17</v>
      </c>
      <c r="D8239">
        <v>104</v>
      </c>
    </row>
    <row r="8240" spans="1:4" x14ac:dyDescent="0.25">
      <c r="A8240" s="45" t="s">
        <v>8267</v>
      </c>
      <c r="B8240" s="46" t="s">
        <v>21323</v>
      </c>
      <c r="C8240">
        <v>17</v>
      </c>
      <c r="D8240">
        <v>104</v>
      </c>
    </row>
    <row r="8241" spans="1:4" x14ac:dyDescent="0.25">
      <c r="A8241" s="45" t="s">
        <v>8268</v>
      </c>
      <c r="B8241" s="46" t="s">
        <v>21324</v>
      </c>
      <c r="C8241">
        <v>17</v>
      </c>
      <c r="D8241">
        <v>103</v>
      </c>
    </row>
    <row r="8242" spans="1:4" x14ac:dyDescent="0.25">
      <c r="A8242" s="45" t="s">
        <v>8269</v>
      </c>
      <c r="B8242" s="46" t="s">
        <v>21325</v>
      </c>
      <c r="C8242">
        <v>17</v>
      </c>
      <c r="D8242">
        <v>104</v>
      </c>
    </row>
    <row r="8243" spans="1:4" x14ac:dyDescent="0.25">
      <c r="A8243" s="45" t="s">
        <v>8270</v>
      </c>
      <c r="B8243" s="46" t="s">
        <v>21326</v>
      </c>
      <c r="C8243">
        <v>17</v>
      </c>
      <c r="D8243">
        <v>104</v>
      </c>
    </row>
    <row r="8244" spans="1:4" x14ac:dyDescent="0.25">
      <c r="A8244" s="45" t="s">
        <v>8271</v>
      </c>
      <c r="B8244" s="46" t="s">
        <v>18695</v>
      </c>
      <c r="C8244">
        <v>17</v>
      </c>
      <c r="D8244">
        <v>104</v>
      </c>
    </row>
    <row r="8245" spans="1:4" x14ac:dyDescent="0.25">
      <c r="A8245" s="45" t="s">
        <v>8272</v>
      </c>
      <c r="B8245" s="46" t="s">
        <v>21327</v>
      </c>
      <c r="C8245">
        <v>17</v>
      </c>
      <c r="D8245">
        <v>104</v>
      </c>
    </row>
    <row r="8246" spans="1:4" x14ac:dyDescent="0.25">
      <c r="A8246" s="45" t="s">
        <v>8273</v>
      </c>
      <c r="B8246" s="46" t="s">
        <v>21328</v>
      </c>
      <c r="C8246">
        <v>17</v>
      </c>
      <c r="D8246">
        <v>104</v>
      </c>
    </row>
    <row r="8247" spans="1:4" x14ac:dyDescent="0.25">
      <c r="A8247" s="45" t="s">
        <v>8274</v>
      </c>
      <c r="B8247" s="46" t="s">
        <v>21329</v>
      </c>
      <c r="C8247">
        <v>17</v>
      </c>
      <c r="D8247">
        <v>104</v>
      </c>
    </row>
    <row r="8248" spans="1:4" x14ac:dyDescent="0.25">
      <c r="A8248" s="45" t="s">
        <v>8275</v>
      </c>
      <c r="B8248" s="46" t="s">
        <v>21330</v>
      </c>
      <c r="C8248">
        <v>17</v>
      </c>
      <c r="D8248">
        <v>104</v>
      </c>
    </row>
    <row r="8249" spans="1:4" x14ac:dyDescent="0.25">
      <c r="A8249" s="45" t="s">
        <v>8276</v>
      </c>
      <c r="B8249" s="46" t="s">
        <v>21331</v>
      </c>
      <c r="C8249">
        <v>17</v>
      </c>
      <c r="D8249">
        <v>104</v>
      </c>
    </row>
    <row r="8250" spans="1:4" x14ac:dyDescent="0.25">
      <c r="A8250" s="45" t="s">
        <v>8277</v>
      </c>
      <c r="B8250" s="46" t="s">
        <v>21332</v>
      </c>
      <c r="C8250">
        <v>17</v>
      </c>
      <c r="D8250">
        <v>104</v>
      </c>
    </row>
    <row r="8251" spans="1:4" x14ac:dyDescent="0.25">
      <c r="A8251" s="45" t="s">
        <v>8278</v>
      </c>
      <c r="B8251" s="46" t="s">
        <v>21333</v>
      </c>
      <c r="C8251">
        <v>17</v>
      </c>
      <c r="D8251">
        <v>103</v>
      </c>
    </row>
    <row r="8252" spans="1:4" x14ac:dyDescent="0.25">
      <c r="A8252" s="45" t="s">
        <v>8279</v>
      </c>
      <c r="B8252" s="46" t="s">
        <v>21334</v>
      </c>
      <c r="C8252">
        <v>17</v>
      </c>
      <c r="D8252">
        <v>104</v>
      </c>
    </row>
    <row r="8253" spans="1:4" x14ac:dyDescent="0.25">
      <c r="A8253" s="45" t="s">
        <v>8280</v>
      </c>
      <c r="B8253" s="46" t="s">
        <v>21335</v>
      </c>
      <c r="C8253">
        <v>17</v>
      </c>
      <c r="D8253">
        <v>104</v>
      </c>
    </row>
    <row r="8254" spans="1:4" x14ac:dyDescent="0.25">
      <c r="A8254" s="45" t="s">
        <v>8281</v>
      </c>
      <c r="B8254" s="46" t="s">
        <v>21336</v>
      </c>
      <c r="C8254">
        <v>17</v>
      </c>
      <c r="D8254">
        <v>104</v>
      </c>
    </row>
    <row r="8255" spans="1:4" x14ac:dyDescent="0.25">
      <c r="A8255" s="45" t="s">
        <v>8282</v>
      </c>
      <c r="B8255" s="46" t="s">
        <v>21337</v>
      </c>
      <c r="C8255">
        <v>17</v>
      </c>
      <c r="D8255">
        <v>104</v>
      </c>
    </row>
    <row r="8256" spans="1:4" x14ac:dyDescent="0.25">
      <c r="A8256" s="45" t="s">
        <v>8283</v>
      </c>
      <c r="B8256" s="46" t="s">
        <v>21338</v>
      </c>
      <c r="C8256">
        <v>17</v>
      </c>
      <c r="D8256">
        <v>104</v>
      </c>
    </row>
    <row r="8257" spans="1:4" x14ac:dyDescent="0.25">
      <c r="A8257" s="45" t="s">
        <v>8284</v>
      </c>
      <c r="B8257" s="46" t="s">
        <v>21339</v>
      </c>
      <c r="C8257">
        <v>17</v>
      </c>
      <c r="D8257">
        <v>104</v>
      </c>
    </row>
    <row r="8258" spans="1:4" x14ac:dyDescent="0.25">
      <c r="A8258" s="45" t="s">
        <v>8285</v>
      </c>
      <c r="B8258" s="46" t="s">
        <v>21340</v>
      </c>
      <c r="C8258">
        <v>17</v>
      </c>
      <c r="D8258">
        <v>104</v>
      </c>
    </row>
    <row r="8259" spans="1:4" x14ac:dyDescent="0.25">
      <c r="A8259" s="45" t="s">
        <v>8286</v>
      </c>
      <c r="B8259" s="46" t="s">
        <v>21341</v>
      </c>
      <c r="C8259">
        <v>17</v>
      </c>
      <c r="D8259">
        <v>104</v>
      </c>
    </row>
    <row r="8260" spans="1:4" x14ac:dyDescent="0.25">
      <c r="A8260" s="45" t="s">
        <v>8287</v>
      </c>
      <c r="B8260" s="46" t="s">
        <v>21342</v>
      </c>
      <c r="C8260">
        <v>17</v>
      </c>
      <c r="D8260">
        <v>104</v>
      </c>
    </row>
    <row r="8261" spans="1:4" x14ac:dyDescent="0.25">
      <c r="A8261" s="45" t="s">
        <v>8288</v>
      </c>
      <c r="B8261" s="46" t="s">
        <v>21343</v>
      </c>
      <c r="C8261">
        <v>17</v>
      </c>
      <c r="D8261">
        <v>104</v>
      </c>
    </row>
    <row r="8262" spans="1:4" x14ac:dyDescent="0.25">
      <c r="A8262" s="45" t="s">
        <v>8289</v>
      </c>
      <c r="B8262" s="46" t="s">
        <v>21344</v>
      </c>
      <c r="C8262">
        <v>17</v>
      </c>
      <c r="D8262">
        <v>104</v>
      </c>
    </row>
    <row r="8263" spans="1:4" x14ac:dyDescent="0.25">
      <c r="A8263" s="45" t="s">
        <v>8290</v>
      </c>
      <c r="B8263" s="46" t="s">
        <v>21345</v>
      </c>
      <c r="C8263">
        <v>17</v>
      </c>
      <c r="D8263">
        <v>104</v>
      </c>
    </row>
    <row r="8264" spans="1:4" x14ac:dyDescent="0.25">
      <c r="A8264" s="45" t="s">
        <v>8291</v>
      </c>
      <c r="B8264" s="46" t="s">
        <v>21346</v>
      </c>
      <c r="C8264">
        <v>17</v>
      </c>
      <c r="D8264">
        <v>104</v>
      </c>
    </row>
    <row r="8265" spans="1:4" x14ac:dyDescent="0.25">
      <c r="A8265" s="45" t="s">
        <v>8292</v>
      </c>
      <c r="B8265" s="46" t="s">
        <v>21347</v>
      </c>
      <c r="C8265">
        <v>17</v>
      </c>
      <c r="D8265">
        <v>104</v>
      </c>
    </row>
    <row r="8266" spans="1:4" x14ac:dyDescent="0.25">
      <c r="A8266" s="45" t="s">
        <v>8293</v>
      </c>
      <c r="B8266" s="46" t="s">
        <v>21348</v>
      </c>
      <c r="C8266">
        <v>17</v>
      </c>
      <c r="D8266">
        <v>104</v>
      </c>
    </row>
    <row r="8267" spans="1:4" x14ac:dyDescent="0.25">
      <c r="A8267" s="45" t="s">
        <v>8294</v>
      </c>
      <c r="B8267" s="46" t="s">
        <v>21349</v>
      </c>
      <c r="C8267">
        <v>17</v>
      </c>
      <c r="D8267">
        <v>104</v>
      </c>
    </row>
    <row r="8268" spans="1:4" x14ac:dyDescent="0.25">
      <c r="A8268" s="45" t="s">
        <v>8295</v>
      </c>
      <c r="B8268" s="46" t="s">
        <v>21350</v>
      </c>
      <c r="C8268">
        <v>17</v>
      </c>
      <c r="D8268">
        <v>104</v>
      </c>
    </row>
    <row r="8269" spans="1:4" x14ac:dyDescent="0.25">
      <c r="A8269" s="45" t="s">
        <v>8296</v>
      </c>
      <c r="B8269" s="46" t="s">
        <v>21351</v>
      </c>
      <c r="C8269">
        <v>17</v>
      </c>
      <c r="D8269">
        <v>104</v>
      </c>
    </row>
    <row r="8270" spans="1:4" x14ac:dyDescent="0.25">
      <c r="A8270" s="45" t="s">
        <v>8297</v>
      </c>
      <c r="B8270" s="46" t="s">
        <v>21352</v>
      </c>
      <c r="C8270">
        <v>1</v>
      </c>
      <c r="D8270">
        <v>1</v>
      </c>
    </row>
    <row r="8271" spans="1:4" x14ac:dyDescent="0.25">
      <c r="A8271" s="45" t="s">
        <v>8298</v>
      </c>
      <c r="B8271" s="46" t="s">
        <v>21353</v>
      </c>
      <c r="C8271">
        <v>17</v>
      </c>
      <c r="D8271">
        <v>104</v>
      </c>
    </row>
    <row r="8272" spans="1:4" x14ac:dyDescent="0.25">
      <c r="A8272" s="45" t="s">
        <v>8299</v>
      </c>
      <c r="B8272" s="46" t="s">
        <v>21354</v>
      </c>
      <c r="C8272">
        <v>17</v>
      </c>
      <c r="D8272">
        <v>104</v>
      </c>
    </row>
    <row r="8273" spans="1:4" x14ac:dyDescent="0.25">
      <c r="A8273" s="45" t="s">
        <v>8300</v>
      </c>
      <c r="B8273" s="46" t="s">
        <v>21355</v>
      </c>
      <c r="C8273">
        <v>17</v>
      </c>
      <c r="D8273">
        <v>104</v>
      </c>
    </row>
    <row r="8274" spans="1:4" x14ac:dyDescent="0.25">
      <c r="A8274" s="45" t="s">
        <v>8301</v>
      </c>
      <c r="B8274" s="46" t="s">
        <v>21356</v>
      </c>
      <c r="C8274">
        <v>17</v>
      </c>
      <c r="D8274">
        <v>104</v>
      </c>
    </row>
    <row r="8275" spans="1:4" x14ac:dyDescent="0.25">
      <c r="A8275" s="45" t="s">
        <v>8302</v>
      </c>
      <c r="B8275" s="46" t="s">
        <v>21357</v>
      </c>
      <c r="C8275">
        <v>17</v>
      </c>
      <c r="D8275">
        <v>104</v>
      </c>
    </row>
    <row r="8276" spans="1:4" x14ac:dyDescent="0.25">
      <c r="A8276" s="45" t="s">
        <v>8303</v>
      </c>
      <c r="B8276" s="46" t="s">
        <v>21358</v>
      </c>
      <c r="C8276">
        <v>17</v>
      </c>
      <c r="D8276">
        <v>104</v>
      </c>
    </row>
    <row r="8277" spans="1:4" x14ac:dyDescent="0.25">
      <c r="A8277" s="45" t="s">
        <v>8304</v>
      </c>
      <c r="B8277" s="46" t="s">
        <v>21359</v>
      </c>
      <c r="C8277">
        <v>17</v>
      </c>
      <c r="D8277">
        <v>104</v>
      </c>
    </row>
    <row r="8278" spans="1:4" x14ac:dyDescent="0.25">
      <c r="A8278" s="45" t="s">
        <v>8305</v>
      </c>
      <c r="B8278" s="46" t="s">
        <v>21360</v>
      </c>
      <c r="C8278">
        <v>17</v>
      </c>
      <c r="D8278">
        <v>104</v>
      </c>
    </row>
    <row r="8279" spans="1:4" x14ac:dyDescent="0.25">
      <c r="A8279" s="45" t="s">
        <v>8306</v>
      </c>
      <c r="B8279" s="46" t="s">
        <v>21361</v>
      </c>
      <c r="C8279">
        <v>17</v>
      </c>
      <c r="D8279">
        <v>104</v>
      </c>
    </row>
    <row r="8280" spans="1:4" x14ac:dyDescent="0.25">
      <c r="A8280" s="45" t="s">
        <v>8307</v>
      </c>
      <c r="B8280" s="46" t="s">
        <v>21362</v>
      </c>
      <c r="C8280">
        <v>17</v>
      </c>
      <c r="D8280">
        <v>104</v>
      </c>
    </row>
    <row r="8281" spans="1:4" x14ac:dyDescent="0.25">
      <c r="A8281" s="45" t="s">
        <v>8308</v>
      </c>
      <c r="B8281" s="46" t="s">
        <v>21363</v>
      </c>
      <c r="C8281">
        <v>17</v>
      </c>
      <c r="D8281">
        <v>104</v>
      </c>
    </row>
    <row r="8282" spans="1:4" x14ac:dyDescent="0.25">
      <c r="A8282" s="45" t="s">
        <v>8309</v>
      </c>
      <c r="B8282" s="46" t="s">
        <v>21364</v>
      </c>
      <c r="C8282">
        <v>17</v>
      </c>
      <c r="D8282">
        <v>104</v>
      </c>
    </row>
    <row r="8283" spans="1:4" x14ac:dyDescent="0.25">
      <c r="A8283" s="45" t="s">
        <v>8310</v>
      </c>
      <c r="B8283" s="46" t="s">
        <v>21365</v>
      </c>
      <c r="C8283">
        <v>17</v>
      </c>
      <c r="D8283">
        <v>104</v>
      </c>
    </row>
    <row r="8284" spans="1:4" x14ac:dyDescent="0.25">
      <c r="A8284" s="45" t="s">
        <v>8311</v>
      </c>
      <c r="B8284" s="46" t="s">
        <v>21366</v>
      </c>
      <c r="C8284">
        <v>17</v>
      </c>
      <c r="D8284">
        <v>104</v>
      </c>
    </row>
    <row r="8285" spans="1:4" x14ac:dyDescent="0.25">
      <c r="A8285" s="45" t="s">
        <v>8312</v>
      </c>
      <c r="B8285" s="46" t="s">
        <v>21367</v>
      </c>
      <c r="C8285">
        <v>17</v>
      </c>
      <c r="D8285">
        <v>104</v>
      </c>
    </row>
    <row r="8286" spans="1:4" x14ac:dyDescent="0.25">
      <c r="A8286" s="45" t="s">
        <v>8313</v>
      </c>
      <c r="B8286" s="46" t="s">
        <v>21368</v>
      </c>
      <c r="C8286">
        <v>17</v>
      </c>
      <c r="D8286">
        <v>104</v>
      </c>
    </row>
    <row r="8287" spans="1:4" x14ac:dyDescent="0.25">
      <c r="A8287" s="45" t="s">
        <v>8314</v>
      </c>
      <c r="B8287" s="46" t="s">
        <v>21369</v>
      </c>
      <c r="C8287">
        <v>17</v>
      </c>
      <c r="D8287">
        <v>104</v>
      </c>
    </row>
    <row r="8288" spans="1:4" x14ac:dyDescent="0.25">
      <c r="A8288" s="45" t="s">
        <v>8315</v>
      </c>
      <c r="B8288" s="46" t="s">
        <v>21370</v>
      </c>
      <c r="C8288">
        <v>17</v>
      </c>
      <c r="D8288">
        <v>104</v>
      </c>
    </row>
    <row r="8289" spans="1:4" x14ac:dyDescent="0.25">
      <c r="A8289" s="45" t="s">
        <v>8316</v>
      </c>
      <c r="B8289" s="46" t="s">
        <v>21371</v>
      </c>
      <c r="C8289">
        <v>5</v>
      </c>
      <c r="D8289">
        <v>30</v>
      </c>
    </row>
    <row r="8290" spans="1:4" x14ac:dyDescent="0.25">
      <c r="A8290" s="45" t="s">
        <v>8317</v>
      </c>
      <c r="B8290" s="46" t="s">
        <v>21372</v>
      </c>
      <c r="C8290">
        <v>17</v>
      </c>
      <c r="D8290">
        <v>105</v>
      </c>
    </row>
    <row r="8291" spans="1:4" x14ac:dyDescent="0.25">
      <c r="A8291" s="45" t="s">
        <v>8318</v>
      </c>
      <c r="B8291" s="46" t="s">
        <v>18696</v>
      </c>
      <c r="C8291">
        <v>17</v>
      </c>
      <c r="D8291">
        <v>105</v>
      </c>
    </row>
    <row r="8292" spans="1:4" x14ac:dyDescent="0.25">
      <c r="A8292" s="45" t="s">
        <v>8319</v>
      </c>
      <c r="B8292" s="46" t="s">
        <v>18697</v>
      </c>
      <c r="C8292">
        <v>17</v>
      </c>
      <c r="D8292">
        <v>105</v>
      </c>
    </row>
    <row r="8293" spans="1:4" x14ac:dyDescent="0.25">
      <c r="A8293" s="45" t="s">
        <v>8320</v>
      </c>
      <c r="B8293" s="46" t="s">
        <v>21373</v>
      </c>
      <c r="C8293">
        <v>17</v>
      </c>
      <c r="D8293">
        <v>105</v>
      </c>
    </row>
    <row r="8294" spans="1:4" x14ac:dyDescent="0.25">
      <c r="A8294" s="45" t="s">
        <v>8321</v>
      </c>
      <c r="B8294" s="46" t="s">
        <v>18698</v>
      </c>
      <c r="C8294">
        <v>17</v>
      </c>
      <c r="D8294">
        <v>105</v>
      </c>
    </row>
    <row r="8295" spans="1:4" x14ac:dyDescent="0.25">
      <c r="A8295" s="45" t="s">
        <v>8322</v>
      </c>
      <c r="B8295" s="46" t="s">
        <v>18699</v>
      </c>
      <c r="C8295">
        <v>17</v>
      </c>
      <c r="D8295">
        <v>105</v>
      </c>
    </row>
    <row r="8296" spans="1:4" x14ac:dyDescent="0.25">
      <c r="A8296" s="45" t="s">
        <v>8323</v>
      </c>
      <c r="B8296" s="46" t="s">
        <v>18700</v>
      </c>
      <c r="C8296">
        <v>17</v>
      </c>
      <c r="D8296">
        <v>105</v>
      </c>
    </row>
    <row r="8297" spans="1:4" x14ac:dyDescent="0.25">
      <c r="A8297" s="45" t="s">
        <v>8324</v>
      </c>
      <c r="B8297" s="46" t="s">
        <v>21374</v>
      </c>
      <c r="C8297">
        <v>17</v>
      </c>
      <c r="D8297">
        <v>105</v>
      </c>
    </row>
    <row r="8298" spans="1:4" x14ac:dyDescent="0.25">
      <c r="A8298" s="45" t="s">
        <v>8325</v>
      </c>
      <c r="B8298" s="46" t="s">
        <v>18701</v>
      </c>
      <c r="C8298">
        <v>17</v>
      </c>
      <c r="D8298">
        <v>105</v>
      </c>
    </row>
    <row r="8299" spans="1:4" x14ac:dyDescent="0.25">
      <c r="A8299" s="45" t="s">
        <v>8326</v>
      </c>
      <c r="B8299" s="46" t="s">
        <v>18702</v>
      </c>
      <c r="C8299">
        <v>17</v>
      </c>
      <c r="D8299">
        <v>105</v>
      </c>
    </row>
    <row r="8300" spans="1:4" x14ac:dyDescent="0.25">
      <c r="A8300" s="45" t="s">
        <v>8327</v>
      </c>
      <c r="B8300" s="46" t="s">
        <v>18703</v>
      </c>
      <c r="C8300">
        <v>17</v>
      </c>
      <c r="D8300">
        <v>105</v>
      </c>
    </row>
    <row r="8301" spans="1:4" x14ac:dyDescent="0.25">
      <c r="A8301" s="45" t="s">
        <v>8328</v>
      </c>
      <c r="B8301" s="46" t="s">
        <v>18704</v>
      </c>
      <c r="C8301">
        <v>17</v>
      </c>
      <c r="D8301">
        <v>105</v>
      </c>
    </row>
    <row r="8302" spans="1:4" x14ac:dyDescent="0.25">
      <c r="A8302" s="45" t="s">
        <v>8329</v>
      </c>
      <c r="B8302" s="46" t="s">
        <v>18705</v>
      </c>
      <c r="C8302">
        <v>17</v>
      </c>
      <c r="D8302">
        <v>105</v>
      </c>
    </row>
    <row r="8303" spans="1:4" x14ac:dyDescent="0.25">
      <c r="A8303" s="45" t="s">
        <v>8330</v>
      </c>
      <c r="B8303" s="46" t="s">
        <v>18706</v>
      </c>
      <c r="C8303">
        <v>17</v>
      </c>
      <c r="D8303">
        <v>105</v>
      </c>
    </row>
    <row r="8304" spans="1:4" x14ac:dyDescent="0.25">
      <c r="A8304" s="45" t="s">
        <v>8331</v>
      </c>
      <c r="B8304" s="46" t="s">
        <v>18707</v>
      </c>
      <c r="C8304">
        <v>12</v>
      </c>
      <c r="D8304">
        <v>76</v>
      </c>
    </row>
    <row r="8305" spans="1:4" x14ac:dyDescent="0.25">
      <c r="A8305" s="45" t="s">
        <v>8332</v>
      </c>
      <c r="B8305" s="46" t="s">
        <v>18708</v>
      </c>
      <c r="C8305">
        <v>17</v>
      </c>
      <c r="D8305">
        <v>105</v>
      </c>
    </row>
    <row r="8306" spans="1:4" x14ac:dyDescent="0.25">
      <c r="A8306" s="45" t="s">
        <v>8333</v>
      </c>
      <c r="B8306" s="46" t="s">
        <v>18709</v>
      </c>
      <c r="C8306">
        <v>17</v>
      </c>
      <c r="D8306">
        <v>105</v>
      </c>
    </row>
    <row r="8307" spans="1:4" x14ac:dyDescent="0.25">
      <c r="A8307" s="45" t="s">
        <v>8334</v>
      </c>
      <c r="B8307" s="46" t="s">
        <v>18710</v>
      </c>
      <c r="C8307">
        <v>17</v>
      </c>
      <c r="D8307">
        <v>105</v>
      </c>
    </row>
    <row r="8308" spans="1:4" x14ac:dyDescent="0.25">
      <c r="A8308" s="45" t="s">
        <v>8335</v>
      </c>
      <c r="B8308" s="46" t="s">
        <v>18711</v>
      </c>
      <c r="C8308">
        <v>17</v>
      </c>
      <c r="D8308">
        <v>105</v>
      </c>
    </row>
    <row r="8309" spans="1:4" x14ac:dyDescent="0.25">
      <c r="A8309" s="45" t="s">
        <v>8336</v>
      </c>
      <c r="B8309" s="46" t="s">
        <v>18712</v>
      </c>
      <c r="C8309">
        <v>17</v>
      </c>
      <c r="D8309">
        <v>105</v>
      </c>
    </row>
    <row r="8310" spans="1:4" x14ac:dyDescent="0.25">
      <c r="A8310" s="45" t="s">
        <v>8337</v>
      </c>
      <c r="B8310" s="46" t="s">
        <v>21375</v>
      </c>
      <c r="C8310">
        <v>17</v>
      </c>
      <c r="D8310">
        <v>102</v>
      </c>
    </row>
    <row r="8311" spans="1:4" x14ac:dyDescent="0.25">
      <c r="A8311" s="45" t="s">
        <v>8338</v>
      </c>
      <c r="B8311" s="46" t="s">
        <v>18713</v>
      </c>
      <c r="C8311">
        <v>17</v>
      </c>
      <c r="D8311">
        <v>90</v>
      </c>
    </row>
    <row r="8312" spans="1:4" x14ac:dyDescent="0.25">
      <c r="A8312" s="45" t="s">
        <v>8339</v>
      </c>
      <c r="B8312" s="46" t="s">
        <v>18714</v>
      </c>
      <c r="C8312">
        <v>17</v>
      </c>
      <c r="D8312">
        <v>105</v>
      </c>
    </row>
    <row r="8313" spans="1:4" x14ac:dyDescent="0.25">
      <c r="A8313" s="45" t="s">
        <v>8340</v>
      </c>
      <c r="B8313" s="46" t="s">
        <v>18715</v>
      </c>
      <c r="C8313">
        <v>17</v>
      </c>
      <c r="D8313">
        <v>105</v>
      </c>
    </row>
    <row r="8314" spans="1:4" x14ac:dyDescent="0.25">
      <c r="A8314" s="45" t="s">
        <v>8341</v>
      </c>
      <c r="B8314" s="46" t="s">
        <v>17868</v>
      </c>
      <c r="C8314">
        <v>17</v>
      </c>
      <c r="D8314">
        <v>105</v>
      </c>
    </row>
    <row r="8315" spans="1:4" x14ac:dyDescent="0.25">
      <c r="A8315" s="45" t="s">
        <v>8342</v>
      </c>
      <c r="B8315" s="46" t="s">
        <v>18716</v>
      </c>
      <c r="C8315">
        <v>17</v>
      </c>
      <c r="D8315">
        <v>105</v>
      </c>
    </row>
    <row r="8316" spans="1:4" x14ac:dyDescent="0.25">
      <c r="A8316" s="45" t="s">
        <v>8343</v>
      </c>
      <c r="B8316" s="46" t="s">
        <v>18717</v>
      </c>
      <c r="C8316">
        <v>17</v>
      </c>
      <c r="D8316">
        <v>105</v>
      </c>
    </row>
    <row r="8317" spans="1:4" x14ac:dyDescent="0.25">
      <c r="A8317" s="45" t="s">
        <v>8344</v>
      </c>
      <c r="B8317" s="46" t="s">
        <v>18718</v>
      </c>
      <c r="C8317">
        <v>17</v>
      </c>
      <c r="D8317">
        <v>105</v>
      </c>
    </row>
    <row r="8318" spans="1:4" x14ac:dyDescent="0.25">
      <c r="A8318" s="45" t="s">
        <v>8345</v>
      </c>
      <c r="B8318" s="46" t="s">
        <v>18719</v>
      </c>
      <c r="C8318">
        <v>17</v>
      </c>
      <c r="D8318">
        <v>105</v>
      </c>
    </row>
    <row r="8319" spans="1:4" x14ac:dyDescent="0.25">
      <c r="A8319" s="45" t="s">
        <v>8346</v>
      </c>
      <c r="B8319" s="46" t="s">
        <v>18720</v>
      </c>
      <c r="C8319">
        <v>17</v>
      </c>
      <c r="D8319">
        <v>105</v>
      </c>
    </row>
    <row r="8320" spans="1:4" x14ac:dyDescent="0.25">
      <c r="A8320" s="45" t="s">
        <v>8347</v>
      </c>
      <c r="B8320" s="46" t="s">
        <v>18721</v>
      </c>
      <c r="C8320">
        <v>17</v>
      </c>
      <c r="D8320">
        <v>105</v>
      </c>
    </row>
    <row r="8321" spans="1:4" x14ac:dyDescent="0.25">
      <c r="A8321" s="45" t="s">
        <v>8348</v>
      </c>
      <c r="B8321" s="46" t="s">
        <v>18722</v>
      </c>
      <c r="C8321">
        <v>17</v>
      </c>
      <c r="D8321">
        <v>102</v>
      </c>
    </row>
    <row r="8322" spans="1:4" x14ac:dyDescent="0.25">
      <c r="A8322" s="45" t="s">
        <v>8349</v>
      </c>
      <c r="B8322" s="46" t="s">
        <v>18723</v>
      </c>
      <c r="C8322">
        <v>17</v>
      </c>
      <c r="D8322">
        <v>102</v>
      </c>
    </row>
    <row r="8323" spans="1:4" x14ac:dyDescent="0.25">
      <c r="A8323" s="45" t="s">
        <v>8350</v>
      </c>
      <c r="B8323" s="46" t="s">
        <v>18724</v>
      </c>
      <c r="C8323">
        <v>17</v>
      </c>
      <c r="D8323">
        <v>102</v>
      </c>
    </row>
    <row r="8324" spans="1:4" x14ac:dyDescent="0.25">
      <c r="A8324" s="45" t="s">
        <v>8351</v>
      </c>
      <c r="B8324" s="46" t="s">
        <v>18725</v>
      </c>
      <c r="C8324">
        <v>17</v>
      </c>
      <c r="D8324">
        <v>105</v>
      </c>
    </row>
    <row r="8325" spans="1:4" x14ac:dyDescent="0.25">
      <c r="A8325" s="45" t="s">
        <v>8352</v>
      </c>
      <c r="B8325" s="46" t="s">
        <v>21376</v>
      </c>
      <c r="C8325">
        <v>17</v>
      </c>
      <c r="D8325">
        <v>102</v>
      </c>
    </row>
    <row r="8326" spans="1:4" x14ac:dyDescent="0.25">
      <c r="A8326" s="45" t="s">
        <v>8353</v>
      </c>
      <c r="B8326" s="46" t="s">
        <v>21377</v>
      </c>
      <c r="C8326">
        <v>17</v>
      </c>
      <c r="D8326">
        <v>105</v>
      </c>
    </row>
    <row r="8327" spans="1:4" x14ac:dyDescent="0.25">
      <c r="A8327" s="45" t="s">
        <v>8354</v>
      </c>
      <c r="B8327" s="46" t="s">
        <v>18726</v>
      </c>
      <c r="C8327">
        <v>17</v>
      </c>
      <c r="D8327">
        <v>105</v>
      </c>
    </row>
    <row r="8328" spans="1:4" x14ac:dyDescent="0.25">
      <c r="A8328" s="45" t="s">
        <v>8355</v>
      </c>
      <c r="B8328" s="46" t="s">
        <v>18727</v>
      </c>
      <c r="C8328">
        <v>7</v>
      </c>
      <c r="D8328">
        <v>47</v>
      </c>
    </row>
    <row r="8329" spans="1:4" x14ac:dyDescent="0.25">
      <c r="A8329" s="45" t="s">
        <v>8356</v>
      </c>
      <c r="B8329" s="46" t="s">
        <v>18728</v>
      </c>
      <c r="C8329">
        <v>17</v>
      </c>
      <c r="D8329">
        <v>105</v>
      </c>
    </row>
    <row r="8330" spans="1:4" x14ac:dyDescent="0.25">
      <c r="A8330" s="45" t="s">
        <v>8357</v>
      </c>
      <c r="B8330" s="46" t="s">
        <v>18729</v>
      </c>
      <c r="C8330">
        <v>17</v>
      </c>
      <c r="D8330">
        <v>105</v>
      </c>
    </row>
    <row r="8331" spans="1:4" x14ac:dyDescent="0.25">
      <c r="A8331" s="45" t="s">
        <v>8358</v>
      </c>
      <c r="B8331" s="46" t="s">
        <v>18730</v>
      </c>
      <c r="C8331">
        <v>17</v>
      </c>
      <c r="D8331">
        <v>105</v>
      </c>
    </row>
    <row r="8332" spans="1:4" x14ac:dyDescent="0.25">
      <c r="A8332" s="45" t="s">
        <v>8359</v>
      </c>
      <c r="B8332" s="46" t="s">
        <v>18731</v>
      </c>
      <c r="C8332">
        <v>17</v>
      </c>
      <c r="D8332">
        <v>105</v>
      </c>
    </row>
    <row r="8333" spans="1:4" x14ac:dyDescent="0.25">
      <c r="A8333" s="45" t="s">
        <v>8360</v>
      </c>
      <c r="B8333" s="46" t="s">
        <v>18732</v>
      </c>
      <c r="C8333">
        <v>12</v>
      </c>
      <c r="D8333">
        <v>75</v>
      </c>
    </row>
    <row r="8334" spans="1:4" x14ac:dyDescent="0.25">
      <c r="A8334" s="45" t="s">
        <v>8361</v>
      </c>
      <c r="B8334" s="46" t="s">
        <v>18733</v>
      </c>
      <c r="C8334">
        <v>17</v>
      </c>
      <c r="D8334">
        <v>105</v>
      </c>
    </row>
    <row r="8335" spans="1:4" x14ac:dyDescent="0.25">
      <c r="A8335" s="45" t="s">
        <v>8362</v>
      </c>
      <c r="B8335" s="46" t="s">
        <v>18734</v>
      </c>
      <c r="C8335">
        <v>17</v>
      </c>
      <c r="D8335">
        <v>105</v>
      </c>
    </row>
    <row r="8336" spans="1:4" x14ac:dyDescent="0.25">
      <c r="A8336" s="45" t="s">
        <v>8363</v>
      </c>
      <c r="B8336" s="46" t="s">
        <v>18735</v>
      </c>
      <c r="C8336">
        <v>17</v>
      </c>
      <c r="D8336">
        <v>105</v>
      </c>
    </row>
    <row r="8337" spans="1:4" x14ac:dyDescent="0.25">
      <c r="A8337" s="45" t="s">
        <v>8364</v>
      </c>
      <c r="B8337" s="46" t="s">
        <v>18736</v>
      </c>
      <c r="C8337">
        <v>17</v>
      </c>
      <c r="D8337">
        <v>105</v>
      </c>
    </row>
    <row r="8338" spans="1:4" x14ac:dyDescent="0.25">
      <c r="A8338" s="45" t="s">
        <v>8365</v>
      </c>
      <c r="B8338" s="46" t="s">
        <v>18737</v>
      </c>
      <c r="C8338">
        <v>17</v>
      </c>
      <c r="D8338">
        <v>105</v>
      </c>
    </row>
    <row r="8339" spans="1:4" x14ac:dyDescent="0.25">
      <c r="A8339" s="45" t="s">
        <v>8366</v>
      </c>
      <c r="B8339" s="46" t="s">
        <v>21378</v>
      </c>
      <c r="C8339">
        <v>17</v>
      </c>
      <c r="D8339">
        <v>102</v>
      </c>
    </row>
    <row r="8340" spans="1:4" x14ac:dyDescent="0.25">
      <c r="A8340" s="45" t="s">
        <v>8367</v>
      </c>
      <c r="B8340" s="46" t="s">
        <v>18738</v>
      </c>
      <c r="C8340">
        <v>17</v>
      </c>
      <c r="D8340">
        <v>102</v>
      </c>
    </row>
    <row r="8341" spans="1:4" x14ac:dyDescent="0.25">
      <c r="A8341" s="45" t="s">
        <v>8368</v>
      </c>
      <c r="B8341" s="46" t="s">
        <v>18739</v>
      </c>
      <c r="C8341">
        <v>17</v>
      </c>
      <c r="D8341">
        <v>102</v>
      </c>
    </row>
    <row r="8342" spans="1:4" x14ac:dyDescent="0.25">
      <c r="A8342" s="45" t="s">
        <v>8369</v>
      </c>
      <c r="B8342" s="46" t="s">
        <v>18740</v>
      </c>
      <c r="C8342">
        <v>17</v>
      </c>
      <c r="D8342">
        <v>102</v>
      </c>
    </row>
    <row r="8343" spans="1:4" x14ac:dyDescent="0.25">
      <c r="A8343" s="45" t="s">
        <v>8370</v>
      </c>
      <c r="B8343" s="46" t="s">
        <v>18741</v>
      </c>
      <c r="C8343">
        <v>17</v>
      </c>
      <c r="D8343">
        <v>102</v>
      </c>
    </row>
    <row r="8344" spans="1:4" x14ac:dyDescent="0.25">
      <c r="A8344" s="45" t="s">
        <v>8371</v>
      </c>
      <c r="B8344" s="46" t="s">
        <v>18742</v>
      </c>
      <c r="C8344">
        <v>17</v>
      </c>
      <c r="D8344">
        <v>102</v>
      </c>
    </row>
    <row r="8345" spans="1:4" x14ac:dyDescent="0.25">
      <c r="A8345" s="45" t="s">
        <v>8372</v>
      </c>
      <c r="B8345" s="46" t="s">
        <v>18743</v>
      </c>
      <c r="C8345">
        <v>17</v>
      </c>
      <c r="D8345">
        <v>88</v>
      </c>
    </row>
    <row r="8346" spans="1:4" x14ac:dyDescent="0.25">
      <c r="A8346" s="45" t="s">
        <v>8373</v>
      </c>
      <c r="B8346" s="46" t="s">
        <v>21379</v>
      </c>
      <c r="C8346">
        <v>17</v>
      </c>
      <c r="D8346">
        <v>102</v>
      </c>
    </row>
    <row r="8347" spans="1:4" x14ac:dyDescent="0.25">
      <c r="A8347" s="45" t="s">
        <v>8374</v>
      </c>
      <c r="B8347" s="46" t="s">
        <v>18744</v>
      </c>
      <c r="C8347">
        <v>17</v>
      </c>
      <c r="D8347">
        <v>102</v>
      </c>
    </row>
    <row r="8348" spans="1:4" x14ac:dyDescent="0.25">
      <c r="A8348" s="45" t="s">
        <v>8375</v>
      </c>
      <c r="B8348" s="46" t="s">
        <v>18745</v>
      </c>
      <c r="C8348">
        <v>17</v>
      </c>
      <c r="D8348">
        <v>102</v>
      </c>
    </row>
    <row r="8349" spans="1:4" x14ac:dyDescent="0.25">
      <c r="A8349" s="45" t="s">
        <v>8376</v>
      </c>
      <c r="B8349" s="46" t="s">
        <v>18746</v>
      </c>
      <c r="C8349">
        <v>17</v>
      </c>
      <c r="D8349">
        <v>106</v>
      </c>
    </row>
    <row r="8350" spans="1:4" x14ac:dyDescent="0.25">
      <c r="A8350" s="45" t="s">
        <v>8377</v>
      </c>
      <c r="B8350" s="46" t="s">
        <v>21380</v>
      </c>
      <c r="C8350">
        <v>17</v>
      </c>
      <c r="D8350">
        <v>106</v>
      </c>
    </row>
    <row r="8351" spans="1:4" x14ac:dyDescent="0.25">
      <c r="A8351" s="45" t="s">
        <v>8378</v>
      </c>
      <c r="B8351" s="46" t="s">
        <v>21381</v>
      </c>
      <c r="C8351">
        <v>17</v>
      </c>
      <c r="D8351">
        <v>106</v>
      </c>
    </row>
    <row r="8352" spans="1:4" x14ac:dyDescent="0.25">
      <c r="A8352" s="45" t="s">
        <v>8379</v>
      </c>
      <c r="B8352" s="46" t="s">
        <v>21382</v>
      </c>
      <c r="C8352">
        <v>17</v>
      </c>
      <c r="D8352">
        <v>106</v>
      </c>
    </row>
    <row r="8353" spans="1:4" x14ac:dyDescent="0.25">
      <c r="A8353" s="45" t="s">
        <v>8380</v>
      </c>
      <c r="B8353" s="46" t="s">
        <v>18747</v>
      </c>
      <c r="C8353">
        <v>17</v>
      </c>
      <c r="D8353">
        <v>106</v>
      </c>
    </row>
    <row r="8354" spans="1:4" x14ac:dyDescent="0.25">
      <c r="A8354" s="45" t="s">
        <v>8381</v>
      </c>
      <c r="B8354" s="46" t="s">
        <v>21383</v>
      </c>
      <c r="C8354">
        <v>17</v>
      </c>
      <c r="D8354">
        <v>106</v>
      </c>
    </row>
    <row r="8355" spans="1:4" x14ac:dyDescent="0.25">
      <c r="A8355" s="45" t="s">
        <v>8382</v>
      </c>
      <c r="B8355" s="46" t="s">
        <v>18748</v>
      </c>
      <c r="C8355">
        <v>17</v>
      </c>
      <c r="D8355">
        <v>106</v>
      </c>
    </row>
    <row r="8356" spans="1:4" x14ac:dyDescent="0.25">
      <c r="A8356" s="45" t="s">
        <v>8383</v>
      </c>
      <c r="B8356" s="46" t="s">
        <v>18749</v>
      </c>
      <c r="C8356">
        <v>17</v>
      </c>
      <c r="D8356">
        <v>106</v>
      </c>
    </row>
    <row r="8357" spans="1:4" x14ac:dyDescent="0.25">
      <c r="A8357" s="45" t="s">
        <v>8384</v>
      </c>
      <c r="B8357" s="46" t="s">
        <v>21384</v>
      </c>
      <c r="C8357">
        <v>17</v>
      </c>
      <c r="D8357">
        <v>106</v>
      </c>
    </row>
    <row r="8358" spans="1:4" x14ac:dyDescent="0.25">
      <c r="A8358" s="45" t="s">
        <v>8385</v>
      </c>
      <c r="B8358" s="46" t="s">
        <v>21385</v>
      </c>
      <c r="C8358">
        <v>17</v>
      </c>
      <c r="D8358">
        <v>106</v>
      </c>
    </row>
    <row r="8359" spans="1:4" x14ac:dyDescent="0.25">
      <c r="A8359" s="45" t="s">
        <v>8386</v>
      </c>
      <c r="B8359" s="46" t="s">
        <v>21386</v>
      </c>
      <c r="C8359">
        <v>17</v>
      </c>
      <c r="D8359">
        <v>106</v>
      </c>
    </row>
    <row r="8360" spans="1:4" x14ac:dyDescent="0.25">
      <c r="A8360" s="45" t="s">
        <v>8387</v>
      </c>
      <c r="B8360" s="46" t="s">
        <v>21387</v>
      </c>
      <c r="C8360">
        <v>17</v>
      </c>
      <c r="D8360">
        <v>106</v>
      </c>
    </row>
    <row r="8361" spans="1:4" x14ac:dyDescent="0.25">
      <c r="A8361" s="45" t="s">
        <v>8388</v>
      </c>
      <c r="B8361" s="46" t="s">
        <v>21388</v>
      </c>
      <c r="C8361">
        <v>17</v>
      </c>
      <c r="D8361">
        <v>106</v>
      </c>
    </row>
    <row r="8362" spans="1:4" x14ac:dyDescent="0.25">
      <c r="A8362" s="45" t="s">
        <v>8389</v>
      </c>
      <c r="B8362" s="46" t="s">
        <v>18750</v>
      </c>
      <c r="C8362">
        <v>17</v>
      </c>
      <c r="D8362">
        <v>106</v>
      </c>
    </row>
    <row r="8363" spans="1:4" x14ac:dyDescent="0.25">
      <c r="A8363" s="45" t="s">
        <v>8390</v>
      </c>
      <c r="B8363" s="46" t="s">
        <v>18751</v>
      </c>
      <c r="C8363">
        <v>17</v>
      </c>
      <c r="D8363">
        <v>106</v>
      </c>
    </row>
    <row r="8364" spans="1:4" x14ac:dyDescent="0.25">
      <c r="A8364" s="45" t="s">
        <v>8391</v>
      </c>
      <c r="B8364" s="46" t="s">
        <v>21389</v>
      </c>
      <c r="C8364">
        <v>17</v>
      </c>
      <c r="D8364">
        <v>106</v>
      </c>
    </row>
    <row r="8365" spans="1:4" x14ac:dyDescent="0.25">
      <c r="A8365" s="45" t="s">
        <v>8392</v>
      </c>
      <c r="B8365" s="46" t="s">
        <v>21390</v>
      </c>
      <c r="C8365">
        <v>17</v>
      </c>
      <c r="D8365">
        <v>102</v>
      </c>
    </row>
    <row r="8366" spans="1:4" x14ac:dyDescent="0.25">
      <c r="A8366" s="45" t="s">
        <v>8393</v>
      </c>
      <c r="B8366" s="46" t="s">
        <v>21391</v>
      </c>
      <c r="C8366">
        <v>17</v>
      </c>
      <c r="D8366">
        <v>105</v>
      </c>
    </row>
    <row r="8367" spans="1:4" x14ac:dyDescent="0.25">
      <c r="A8367" s="45" t="s">
        <v>8394</v>
      </c>
      <c r="B8367" s="46" t="s">
        <v>18752</v>
      </c>
      <c r="C8367">
        <v>17</v>
      </c>
      <c r="D8367">
        <v>106</v>
      </c>
    </row>
    <row r="8368" spans="1:4" x14ac:dyDescent="0.25">
      <c r="A8368" s="45" t="s">
        <v>8395</v>
      </c>
      <c r="B8368" s="46" t="s">
        <v>21392</v>
      </c>
      <c r="C8368">
        <v>17</v>
      </c>
      <c r="D8368">
        <v>106</v>
      </c>
    </row>
    <row r="8369" spans="1:4" x14ac:dyDescent="0.25">
      <c r="A8369" s="45" t="s">
        <v>8396</v>
      </c>
      <c r="B8369" s="46" t="s">
        <v>18753</v>
      </c>
      <c r="C8369">
        <v>17</v>
      </c>
      <c r="D8369">
        <v>106</v>
      </c>
    </row>
    <row r="8370" spans="1:4" x14ac:dyDescent="0.25">
      <c r="A8370" s="45" t="s">
        <v>8397</v>
      </c>
      <c r="B8370" s="46" t="s">
        <v>18754</v>
      </c>
      <c r="C8370">
        <v>17</v>
      </c>
      <c r="D8370">
        <v>106</v>
      </c>
    </row>
    <row r="8371" spans="1:4" x14ac:dyDescent="0.25">
      <c r="A8371" s="45" t="s">
        <v>8398</v>
      </c>
      <c r="B8371" s="46" t="s">
        <v>21393</v>
      </c>
      <c r="C8371">
        <v>17</v>
      </c>
      <c r="D8371">
        <v>106</v>
      </c>
    </row>
    <row r="8372" spans="1:4" x14ac:dyDescent="0.25">
      <c r="A8372" s="45" t="s">
        <v>8399</v>
      </c>
      <c r="B8372" s="46" t="s">
        <v>18755</v>
      </c>
      <c r="C8372">
        <v>17</v>
      </c>
      <c r="D8372">
        <v>106</v>
      </c>
    </row>
    <row r="8373" spans="1:4" x14ac:dyDescent="0.25">
      <c r="A8373" s="45" t="s">
        <v>8400</v>
      </c>
      <c r="B8373" s="46" t="s">
        <v>18756</v>
      </c>
      <c r="C8373">
        <v>17</v>
      </c>
      <c r="D8373">
        <v>106</v>
      </c>
    </row>
    <row r="8374" spans="1:4" x14ac:dyDescent="0.25">
      <c r="A8374" s="45" t="s">
        <v>8401</v>
      </c>
      <c r="B8374" s="46" t="s">
        <v>21394</v>
      </c>
      <c r="C8374">
        <v>17</v>
      </c>
      <c r="D8374">
        <v>106</v>
      </c>
    </row>
    <row r="8375" spans="1:4" x14ac:dyDescent="0.25">
      <c r="A8375" s="45" t="s">
        <v>8402</v>
      </c>
      <c r="B8375" s="46" t="s">
        <v>21395</v>
      </c>
      <c r="C8375">
        <v>17</v>
      </c>
      <c r="D8375">
        <v>106</v>
      </c>
    </row>
    <row r="8376" spans="1:4" x14ac:dyDescent="0.25">
      <c r="A8376" s="45" t="s">
        <v>8403</v>
      </c>
      <c r="B8376" s="46" t="s">
        <v>21396</v>
      </c>
      <c r="C8376">
        <v>17</v>
      </c>
      <c r="D8376">
        <v>106</v>
      </c>
    </row>
    <row r="8377" spans="1:4" x14ac:dyDescent="0.25">
      <c r="A8377" s="45" t="s">
        <v>8404</v>
      </c>
      <c r="B8377" s="46" t="s">
        <v>21397</v>
      </c>
      <c r="C8377">
        <v>17</v>
      </c>
      <c r="D8377">
        <v>106</v>
      </c>
    </row>
    <row r="8378" spans="1:4" x14ac:dyDescent="0.25">
      <c r="A8378" s="45" t="s">
        <v>8405</v>
      </c>
      <c r="B8378" s="46" t="s">
        <v>21398</v>
      </c>
      <c r="C8378">
        <v>17</v>
      </c>
      <c r="D8378">
        <v>106</v>
      </c>
    </row>
    <row r="8379" spans="1:4" x14ac:dyDescent="0.25">
      <c r="A8379" s="45" t="s">
        <v>8406</v>
      </c>
      <c r="B8379" s="46" t="s">
        <v>18757</v>
      </c>
      <c r="C8379">
        <v>17</v>
      </c>
      <c r="D8379">
        <v>106</v>
      </c>
    </row>
    <row r="8380" spans="1:4" x14ac:dyDescent="0.25">
      <c r="A8380" s="45" t="s">
        <v>8407</v>
      </c>
      <c r="B8380" s="46" t="s">
        <v>18758</v>
      </c>
      <c r="C8380">
        <v>17</v>
      </c>
      <c r="D8380">
        <v>106</v>
      </c>
    </row>
    <row r="8381" spans="1:4" x14ac:dyDescent="0.25">
      <c r="A8381" s="45" t="s">
        <v>8408</v>
      </c>
      <c r="B8381" s="46" t="s">
        <v>18759</v>
      </c>
      <c r="C8381">
        <v>17</v>
      </c>
      <c r="D8381">
        <v>106</v>
      </c>
    </row>
    <row r="8382" spans="1:4" x14ac:dyDescent="0.25">
      <c r="A8382" s="45" t="s">
        <v>8409</v>
      </c>
      <c r="B8382" s="46" t="s">
        <v>18760</v>
      </c>
      <c r="C8382">
        <v>17</v>
      </c>
      <c r="D8382">
        <v>106</v>
      </c>
    </row>
    <row r="8383" spans="1:4" x14ac:dyDescent="0.25">
      <c r="A8383" s="45" t="s">
        <v>8410</v>
      </c>
      <c r="B8383" s="46" t="s">
        <v>21399</v>
      </c>
      <c r="C8383">
        <v>17</v>
      </c>
      <c r="D8383">
        <v>106</v>
      </c>
    </row>
    <row r="8384" spans="1:4" x14ac:dyDescent="0.25">
      <c r="A8384" s="45" t="s">
        <v>8411</v>
      </c>
      <c r="B8384" s="46" t="s">
        <v>21400</v>
      </c>
      <c r="C8384">
        <v>17</v>
      </c>
      <c r="D8384">
        <v>106</v>
      </c>
    </row>
    <row r="8385" spans="1:4" x14ac:dyDescent="0.25">
      <c r="A8385" s="45" t="s">
        <v>8412</v>
      </c>
      <c r="B8385" s="46" t="s">
        <v>21401</v>
      </c>
      <c r="C8385">
        <v>17</v>
      </c>
      <c r="D8385">
        <v>106</v>
      </c>
    </row>
    <row r="8386" spans="1:4" x14ac:dyDescent="0.25">
      <c r="A8386" s="45" t="s">
        <v>8413</v>
      </c>
      <c r="B8386" s="46" t="s">
        <v>21402</v>
      </c>
      <c r="C8386">
        <v>17</v>
      </c>
      <c r="D8386">
        <v>106</v>
      </c>
    </row>
    <row r="8387" spans="1:4" x14ac:dyDescent="0.25">
      <c r="A8387" s="45" t="s">
        <v>8414</v>
      </c>
      <c r="B8387" s="46" t="s">
        <v>21403</v>
      </c>
      <c r="C8387">
        <v>17</v>
      </c>
      <c r="D8387">
        <v>106</v>
      </c>
    </row>
    <row r="8388" spans="1:4" x14ac:dyDescent="0.25">
      <c r="A8388" s="45" t="s">
        <v>8415</v>
      </c>
      <c r="B8388" s="46" t="s">
        <v>18761</v>
      </c>
      <c r="C8388">
        <v>17</v>
      </c>
      <c r="D8388">
        <v>106</v>
      </c>
    </row>
    <row r="8389" spans="1:4" x14ac:dyDescent="0.25">
      <c r="A8389" s="45" t="s">
        <v>8416</v>
      </c>
      <c r="B8389" s="46" t="s">
        <v>21404</v>
      </c>
      <c r="C8389">
        <v>17</v>
      </c>
      <c r="D8389">
        <v>106</v>
      </c>
    </row>
    <row r="8390" spans="1:4" x14ac:dyDescent="0.25">
      <c r="A8390" s="45" t="s">
        <v>8417</v>
      </c>
      <c r="B8390" s="46" t="s">
        <v>21405</v>
      </c>
      <c r="C8390">
        <v>17</v>
      </c>
      <c r="D8390">
        <v>106</v>
      </c>
    </row>
    <row r="8391" spans="1:4" x14ac:dyDescent="0.25">
      <c r="A8391" s="45" t="s">
        <v>8418</v>
      </c>
      <c r="B8391" s="46" t="s">
        <v>21406</v>
      </c>
      <c r="C8391">
        <v>17</v>
      </c>
      <c r="D8391">
        <v>106</v>
      </c>
    </row>
    <row r="8392" spans="1:4" x14ac:dyDescent="0.25">
      <c r="A8392" s="45" t="s">
        <v>8419</v>
      </c>
      <c r="B8392" s="46" t="s">
        <v>21407</v>
      </c>
      <c r="C8392">
        <v>17</v>
      </c>
      <c r="D8392">
        <v>106</v>
      </c>
    </row>
    <row r="8393" spans="1:4" x14ac:dyDescent="0.25">
      <c r="A8393" s="45" t="s">
        <v>8420</v>
      </c>
      <c r="B8393" s="46" t="s">
        <v>18762</v>
      </c>
      <c r="C8393">
        <v>17</v>
      </c>
      <c r="D8393">
        <v>106</v>
      </c>
    </row>
    <row r="8394" spans="1:4" x14ac:dyDescent="0.25">
      <c r="A8394" s="45" t="s">
        <v>8421</v>
      </c>
      <c r="B8394" s="46" t="s">
        <v>21408</v>
      </c>
      <c r="C8394">
        <v>17</v>
      </c>
      <c r="D8394">
        <v>106</v>
      </c>
    </row>
    <row r="8395" spans="1:4" x14ac:dyDescent="0.25">
      <c r="A8395" s="45" t="s">
        <v>8422</v>
      </c>
      <c r="B8395" s="46" t="s">
        <v>21409</v>
      </c>
      <c r="C8395">
        <v>17</v>
      </c>
      <c r="D8395">
        <v>106</v>
      </c>
    </row>
    <row r="8396" spans="1:4" x14ac:dyDescent="0.25">
      <c r="A8396" s="45" t="s">
        <v>8423</v>
      </c>
      <c r="B8396" s="46" t="s">
        <v>21410</v>
      </c>
      <c r="C8396">
        <v>17</v>
      </c>
      <c r="D8396">
        <v>106</v>
      </c>
    </row>
    <row r="8397" spans="1:4" x14ac:dyDescent="0.25">
      <c r="A8397" s="45" t="s">
        <v>8424</v>
      </c>
      <c r="B8397" s="46" t="s">
        <v>21411</v>
      </c>
      <c r="C8397">
        <v>17</v>
      </c>
      <c r="D8397">
        <v>106</v>
      </c>
    </row>
    <row r="8398" spans="1:4" x14ac:dyDescent="0.25">
      <c r="A8398" s="45" t="s">
        <v>8425</v>
      </c>
      <c r="B8398" s="46" t="s">
        <v>21412</v>
      </c>
      <c r="C8398">
        <v>17</v>
      </c>
      <c r="D8398">
        <v>106</v>
      </c>
    </row>
    <row r="8399" spans="1:4" x14ac:dyDescent="0.25">
      <c r="A8399" s="45" t="s">
        <v>8426</v>
      </c>
      <c r="B8399" s="46" t="s">
        <v>21413</v>
      </c>
      <c r="C8399">
        <v>17</v>
      </c>
      <c r="D8399">
        <v>106</v>
      </c>
    </row>
    <row r="8400" spans="1:4" x14ac:dyDescent="0.25">
      <c r="A8400" s="45" t="s">
        <v>8427</v>
      </c>
      <c r="B8400" s="46" t="s">
        <v>18763</v>
      </c>
      <c r="C8400">
        <v>17</v>
      </c>
      <c r="D8400">
        <v>106</v>
      </c>
    </row>
    <row r="8401" spans="1:4" x14ac:dyDescent="0.25">
      <c r="A8401" s="45" t="s">
        <v>8428</v>
      </c>
      <c r="B8401" s="46" t="s">
        <v>21414</v>
      </c>
      <c r="C8401">
        <v>17</v>
      </c>
      <c r="D8401">
        <v>106</v>
      </c>
    </row>
    <row r="8402" spans="1:4" x14ac:dyDescent="0.25">
      <c r="A8402" s="45" t="s">
        <v>8429</v>
      </c>
      <c r="B8402" s="46" t="s">
        <v>18764</v>
      </c>
      <c r="C8402">
        <v>17</v>
      </c>
      <c r="D8402">
        <v>106</v>
      </c>
    </row>
    <row r="8403" spans="1:4" x14ac:dyDescent="0.25">
      <c r="A8403" s="45" t="s">
        <v>8430</v>
      </c>
      <c r="B8403" s="46" t="s">
        <v>21415</v>
      </c>
      <c r="C8403">
        <v>17</v>
      </c>
      <c r="D8403">
        <v>106</v>
      </c>
    </row>
    <row r="8404" spans="1:4" x14ac:dyDescent="0.25">
      <c r="A8404" s="45" t="s">
        <v>8431</v>
      </c>
      <c r="B8404" s="46" t="s">
        <v>21416</v>
      </c>
      <c r="C8404">
        <v>17</v>
      </c>
      <c r="D8404">
        <v>106</v>
      </c>
    </row>
    <row r="8405" spans="1:4" x14ac:dyDescent="0.25">
      <c r="A8405" s="45" t="s">
        <v>8432</v>
      </c>
      <c r="B8405" s="46" t="s">
        <v>21417</v>
      </c>
      <c r="C8405">
        <v>17</v>
      </c>
      <c r="D8405">
        <v>106</v>
      </c>
    </row>
    <row r="8406" spans="1:4" x14ac:dyDescent="0.25">
      <c r="A8406" s="45" t="s">
        <v>8433</v>
      </c>
      <c r="B8406" s="46" t="s">
        <v>21418</v>
      </c>
      <c r="C8406">
        <v>17</v>
      </c>
      <c r="D8406">
        <v>106</v>
      </c>
    </row>
    <row r="8407" spans="1:4" x14ac:dyDescent="0.25">
      <c r="A8407" s="45" t="s">
        <v>8434</v>
      </c>
      <c r="B8407" s="46" t="s">
        <v>21419</v>
      </c>
      <c r="C8407">
        <v>17</v>
      </c>
      <c r="D8407">
        <v>106</v>
      </c>
    </row>
    <row r="8408" spans="1:4" x14ac:dyDescent="0.25">
      <c r="A8408" s="45" t="s">
        <v>8435</v>
      </c>
      <c r="B8408" s="46" t="s">
        <v>18765</v>
      </c>
      <c r="C8408">
        <v>17</v>
      </c>
      <c r="D8408">
        <v>106</v>
      </c>
    </row>
    <row r="8409" spans="1:4" x14ac:dyDescent="0.25">
      <c r="A8409" s="45" t="s">
        <v>8436</v>
      </c>
      <c r="B8409" s="46" t="s">
        <v>18766</v>
      </c>
      <c r="C8409">
        <v>17</v>
      </c>
      <c r="D8409">
        <v>106</v>
      </c>
    </row>
    <row r="8410" spans="1:4" x14ac:dyDescent="0.25">
      <c r="A8410" s="45" t="s">
        <v>8437</v>
      </c>
      <c r="B8410" s="46" t="s">
        <v>18767</v>
      </c>
      <c r="C8410">
        <v>17</v>
      </c>
      <c r="D8410">
        <v>106</v>
      </c>
    </row>
    <row r="8411" spans="1:4" x14ac:dyDescent="0.25">
      <c r="A8411" s="45" t="s">
        <v>8438</v>
      </c>
      <c r="B8411" s="46" t="s">
        <v>18768</v>
      </c>
      <c r="C8411">
        <v>17</v>
      </c>
      <c r="D8411">
        <v>106</v>
      </c>
    </row>
    <row r="8412" spans="1:4" x14ac:dyDescent="0.25">
      <c r="A8412" s="45" t="s">
        <v>8439</v>
      </c>
      <c r="B8412" s="46" t="s">
        <v>18769</v>
      </c>
      <c r="C8412">
        <v>17</v>
      </c>
      <c r="D8412">
        <v>106</v>
      </c>
    </row>
    <row r="8413" spans="1:4" x14ac:dyDescent="0.25">
      <c r="A8413" s="45" t="s">
        <v>8440</v>
      </c>
      <c r="B8413" s="46" t="s">
        <v>18770</v>
      </c>
      <c r="C8413">
        <v>17</v>
      </c>
      <c r="D8413">
        <v>106</v>
      </c>
    </row>
    <row r="8414" spans="1:4" x14ac:dyDescent="0.25">
      <c r="A8414" s="45" t="s">
        <v>8441</v>
      </c>
      <c r="B8414" s="46" t="s">
        <v>21420</v>
      </c>
      <c r="C8414">
        <v>17</v>
      </c>
      <c r="D8414">
        <v>106</v>
      </c>
    </row>
    <row r="8415" spans="1:4" x14ac:dyDescent="0.25">
      <c r="A8415" s="45" t="s">
        <v>8442</v>
      </c>
      <c r="B8415" s="46" t="s">
        <v>18771</v>
      </c>
      <c r="C8415">
        <v>17</v>
      </c>
      <c r="D8415">
        <v>106</v>
      </c>
    </row>
    <row r="8416" spans="1:4" x14ac:dyDescent="0.25">
      <c r="A8416" s="45" t="s">
        <v>8443</v>
      </c>
      <c r="B8416" s="46" t="s">
        <v>18772</v>
      </c>
      <c r="C8416">
        <v>17</v>
      </c>
      <c r="D8416">
        <v>106</v>
      </c>
    </row>
    <row r="8417" spans="1:4" x14ac:dyDescent="0.25">
      <c r="A8417" s="45" t="s">
        <v>8444</v>
      </c>
      <c r="B8417" s="46" t="s">
        <v>18773</v>
      </c>
      <c r="C8417">
        <v>17</v>
      </c>
      <c r="D8417">
        <v>101</v>
      </c>
    </row>
    <row r="8418" spans="1:4" x14ac:dyDescent="0.25">
      <c r="A8418" s="45" t="s">
        <v>8445</v>
      </c>
      <c r="B8418" s="46" t="s">
        <v>18774</v>
      </c>
      <c r="C8418">
        <v>17</v>
      </c>
      <c r="D8418">
        <v>106</v>
      </c>
    </row>
    <row r="8419" spans="1:4" x14ac:dyDescent="0.25">
      <c r="A8419" s="45" t="s">
        <v>8446</v>
      </c>
      <c r="B8419" s="46" t="s">
        <v>18775</v>
      </c>
      <c r="C8419">
        <v>17</v>
      </c>
      <c r="D8419">
        <v>106</v>
      </c>
    </row>
    <row r="8420" spans="1:4" x14ac:dyDescent="0.25">
      <c r="A8420" s="45" t="s">
        <v>8447</v>
      </c>
      <c r="B8420" s="46" t="s">
        <v>18776</v>
      </c>
      <c r="C8420">
        <v>17</v>
      </c>
      <c r="D8420">
        <v>106</v>
      </c>
    </row>
    <row r="8421" spans="1:4" x14ac:dyDescent="0.25">
      <c r="A8421" s="45" t="s">
        <v>8448</v>
      </c>
      <c r="B8421" s="46" t="s">
        <v>18777</v>
      </c>
      <c r="C8421">
        <v>17</v>
      </c>
      <c r="D8421">
        <v>106</v>
      </c>
    </row>
    <row r="8422" spans="1:4" x14ac:dyDescent="0.25">
      <c r="A8422" s="45" t="s">
        <v>8449</v>
      </c>
      <c r="B8422" s="46" t="s">
        <v>18778</v>
      </c>
      <c r="C8422">
        <v>17</v>
      </c>
      <c r="D8422">
        <v>106</v>
      </c>
    </row>
    <row r="8423" spans="1:4" x14ac:dyDescent="0.25">
      <c r="A8423" s="45" t="s">
        <v>8450</v>
      </c>
      <c r="B8423" s="46" t="s">
        <v>21421</v>
      </c>
      <c r="C8423">
        <v>17</v>
      </c>
      <c r="D8423">
        <v>105</v>
      </c>
    </row>
    <row r="8424" spans="1:4" x14ac:dyDescent="0.25">
      <c r="A8424" s="45" t="s">
        <v>8451</v>
      </c>
      <c r="B8424" s="46" t="s">
        <v>21422</v>
      </c>
      <c r="C8424">
        <v>17</v>
      </c>
      <c r="D8424">
        <v>105</v>
      </c>
    </row>
    <row r="8425" spans="1:4" x14ac:dyDescent="0.25">
      <c r="A8425" s="45" t="s">
        <v>8452</v>
      </c>
      <c r="B8425" s="46" t="s">
        <v>21423</v>
      </c>
      <c r="C8425">
        <v>17</v>
      </c>
      <c r="D8425">
        <v>106</v>
      </c>
    </row>
    <row r="8426" spans="1:4" x14ac:dyDescent="0.25">
      <c r="A8426" s="45" t="s">
        <v>8453</v>
      </c>
      <c r="B8426" s="46" t="s">
        <v>18779</v>
      </c>
      <c r="C8426">
        <v>17</v>
      </c>
      <c r="D8426">
        <v>105</v>
      </c>
    </row>
    <row r="8427" spans="1:4" x14ac:dyDescent="0.25">
      <c r="A8427" s="45" t="s">
        <v>8454</v>
      </c>
      <c r="B8427" s="46" t="s">
        <v>18780</v>
      </c>
      <c r="C8427">
        <v>17</v>
      </c>
      <c r="D8427">
        <v>105</v>
      </c>
    </row>
    <row r="8428" spans="1:4" x14ac:dyDescent="0.25">
      <c r="A8428" s="45" t="s">
        <v>8455</v>
      </c>
      <c r="B8428" s="46" t="s">
        <v>21424</v>
      </c>
      <c r="C8428">
        <v>17</v>
      </c>
      <c r="D8428">
        <v>105</v>
      </c>
    </row>
    <row r="8429" spans="1:4" x14ac:dyDescent="0.25">
      <c r="A8429" s="45" t="s">
        <v>8456</v>
      </c>
      <c r="B8429" s="46" t="s">
        <v>18781</v>
      </c>
      <c r="C8429">
        <v>17</v>
      </c>
      <c r="D8429">
        <v>106</v>
      </c>
    </row>
    <row r="8430" spans="1:4" x14ac:dyDescent="0.25">
      <c r="A8430" s="45" t="s">
        <v>8457</v>
      </c>
      <c r="B8430" s="46" t="s">
        <v>21425</v>
      </c>
      <c r="C8430">
        <v>17</v>
      </c>
      <c r="D8430">
        <v>106</v>
      </c>
    </row>
    <row r="8431" spans="1:4" x14ac:dyDescent="0.25">
      <c r="A8431" s="45" t="s">
        <v>8458</v>
      </c>
      <c r="B8431" s="46" t="s">
        <v>18782</v>
      </c>
      <c r="C8431">
        <v>17</v>
      </c>
      <c r="D8431">
        <v>95</v>
      </c>
    </row>
    <row r="8432" spans="1:4" x14ac:dyDescent="0.25">
      <c r="A8432" s="45" t="s">
        <v>8459</v>
      </c>
      <c r="B8432" s="46" t="s">
        <v>18783</v>
      </c>
      <c r="C8432">
        <v>17</v>
      </c>
      <c r="D8432">
        <v>95</v>
      </c>
    </row>
    <row r="8433" spans="1:4" x14ac:dyDescent="0.25">
      <c r="A8433" s="45" t="s">
        <v>8460</v>
      </c>
      <c r="B8433" s="46" t="s">
        <v>18784</v>
      </c>
      <c r="C8433">
        <v>17</v>
      </c>
      <c r="D8433">
        <v>95</v>
      </c>
    </row>
    <row r="8434" spans="1:4" x14ac:dyDescent="0.25">
      <c r="A8434" s="45" t="s">
        <v>8461</v>
      </c>
      <c r="B8434" s="46" t="s">
        <v>18785</v>
      </c>
      <c r="C8434">
        <v>17</v>
      </c>
      <c r="D8434">
        <v>95</v>
      </c>
    </row>
    <row r="8435" spans="1:4" x14ac:dyDescent="0.25">
      <c r="A8435" s="45" t="s">
        <v>8462</v>
      </c>
      <c r="B8435" s="46" t="s">
        <v>18786</v>
      </c>
      <c r="C8435">
        <v>17</v>
      </c>
      <c r="D8435">
        <v>95</v>
      </c>
    </row>
    <row r="8436" spans="1:4" x14ac:dyDescent="0.25">
      <c r="A8436" s="45" t="s">
        <v>8463</v>
      </c>
      <c r="B8436" s="46" t="s">
        <v>18787</v>
      </c>
      <c r="C8436">
        <v>17</v>
      </c>
      <c r="D8436">
        <v>95</v>
      </c>
    </row>
    <row r="8437" spans="1:4" x14ac:dyDescent="0.25">
      <c r="A8437" s="45" t="s">
        <v>8464</v>
      </c>
      <c r="B8437" s="46" t="s">
        <v>18788</v>
      </c>
      <c r="C8437">
        <v>17</v>
      </c>
      <c r="D8437">
        <v>95</v>
      </c>
    </row>
    <row r="8438" spans="1:4" x14ac:dyDescent="0.25">
      <c r="A8438" s="45" t="s">
        <v>8465</v>
      </c>
      <c r="B8438" s="46" t="s">
        <v>18789</v>
      </c>
      <c r="C8438">
        <v>17</v>
      </c>
      <c r="D8438">
        <v>95</v>
      </c>
    </row>
    <row r="8439" spans="1:4" x14ac:dyDescent="0.25">
      <c r="A8439" s="45" t="s">
        <v>8466</v>
      </c>
      <c r="B8439" s="46" t="s">
        <v>18790</v>
      </c>
      <c r="C8439">
        <v>17</v>
      </c>
      <c r="D8439">
        <v>95</v>
      </c>
    </row>
    <row r="8440" spans="1:4" x14ac:dyDescent="0.25">
      <c r="A8440" s="45" t="s">
        <v>8467</v>
      </c>
      <c r="B8440" s="46" t="s">
        <v>21426</v>
      </c>
      <c r="C8440">
        <v>17</v>
      </c>
      <c r="D8440">
        <v>95</v>
      </c>
    </row>
    <row r="8441" spans="1:4" x14ac:dyDescent="0.25">
      <c r="A8441" s="45" t="s">
        <v>8468</v>
      </c>
      <c r="B8441" s="46" t="s">
        <v>18791</v>
      </c>
      <c r="C8441">
        <v>17</v>
      </c>
      <c r="D8441">
        <v>95</v>
      </c>
    </row>
    <row r="8442" spans="1:4" x14ac:dyDescent="0.25">
      <c r="A8442" s="45" t="s">
        <v>8469</v>
      </c>
      <c r="B8442" s="46" t="s">
        <v>18792</v>
      </c>
      <c r="C8442">
        <v>17</v>
      </c>
      <c r="D8442">
        <v>95</v>
      </c>
    </row>
    <row r="8443" spans="1:4" x14ac:dyDescent="0.25">
      <c r="A8443" s="45" t="s">
        <v>8470</v>
      </c>
      <c r="B8443" s="46" t="s">
        <v>18793</v>
      </c>
      <c r="C8443">
        <v>17</v>
      </c>
      <c r="D8443">
        <v>95</v>
      </c>
    </row>
    <row r="8444" spans="1:4" x14ac:dyDescent="0.25">
      <c r="A8444" s="45" t="s">
        <v>8471</v>
      </c>
      <c r="B8444" s="46" t="s">
        <v>18794</v>
      </c>
      <c r="C8444">
        <v>17</v>
      </c>
      <c r="D8444">
        <v>95</v>
      </c>
    </row>
    <row r="8445" spans="1:4" x14ac:dyDescent="0.25">
      <c r="A8445" s="45" t="s">
        <v>8472</v>
      </c>
      <c r="B8445" s="46" t="s">
        <v>18795</v>
      </c>
      <c r="C8445">
        <v>17</v>
      </c>
      <c r="D8445">
        <v>95</v>
      </c>
    </row>
    <row r="8446" spans="1:4" x14ac:dyDescent="0.25">
      <c r="A8446" s="45" t="s">
        <v>8473</v>
      </c>
      <c r="B8446" s="46" t="s">
        <v>18796</v>
      </c>
      <c r="C8446">
        <v>17</v>
      </c>
      <c r="D8446">
        <v>95</v>
      </c>
    </row>
    <row r="8447" spans="1:4" x14ac:dyDescent="0.25">
      <c r="A8447" s="45" t="s">
        <v>8474</v>
      </c>
      <c r="B8447" s="46" t="s">
        <v>21427</v>
      </c>
      <c r="C8447">
        <v>17</v>
      </c>
      <c r="D8447">
        <v>95</v>
      </c>
    </row>
    <row r="8448" spans="1:4" x14ac:dyDescent="0.25">
      <c r="A8448" s="45" t="s">
        <v>8475</v>
      </c>
      <c r="B8448" s="46" t="s">
        <v>18797</v>
      </c>
      <c r="C8448">
        <v>17</v>
      </c>
      <c r="D8448">
        <v>95</v>
      </c>
    </row>
    <row r="8449" spans="1:4" x14ac:dyDescent="0.25">
      <c r="A8449" s="45" t="s">
        <v>8476</v>
      </c>
      <c r="B8449" s="46" t="s">
        <v>18798</v>
      </c>
      <c r="C8449">
        <v>17</v>
      </c>
      <c r="D8449">
        <v>95</v>
      </c>
    </row>
    <row r="8450" spans="1:4" x14ac:dyDescent="0.25">
      <c r="A8450" s="45" t="s">
        <v>8477</v>
      </c>
      <c r="B8450" s="46" t="s">
        <v>18799</v>
      </c>
      <c r="C8450">
        <v>17</v>
      </c>
      <c r="D8450">
        <v>95</v>
      </c>
    </row>
    <row r="8451" spans="1:4" x14ac:dyDescent="0.25">
      <c r="A8451" s="45" t="s">
        <v>8478</v>
      </c>
      <c r="B8451" s="46" t="s">
        <v>18800</v>
      </c>
      <c r="C8451">
        <v>17</v>
      </c>
      <c r="D8451">
        <v>95</v>
      </c>
    </row>
    <row r="8452" spans="1:4" x14ac:dyDescent="0.25">
      <c r="A8452" s="45" t="s">
        <v>8479</v>
      </c>
      <c r="B8452" s="46" t="s">
        <v>18801</v>
      </c>
      <c r="C8452">
        <v>17</v>
      </c>
      <c r="D8452">
        <v>95</v>
      </c>
    </row>
    <row r="8453" spans="1:4" x14ac:dyDescent="0.25">
      <c r="A8453" s="45" t="s">
        <v>8480</v>
      </c>
      <c r="B8453" s="46" t="s">
        <v>18802</v>
      </c>
      <c r="C8453">
        <v>17</v>
      </c>
      <c r="D8453">
        <v>95</v>
      </c>
    </row>
    <row r="8454" spans="1:4" x14ac:dyDescent="0.25">
      <c r="A8454" s="45" t="s">
        <v>8481</v>
      </c>
      <c r="B8454" s="46" t="s">
        <v>18803</v>
      </c>
      <c r="C8454">
        <v>17</v>
      </c>
      <c r="D8454">
        <v>95</v>
      </c>
    </row>
    <row r="8455" spans="1:4" x14ac:dyDescent="0.25">
      <c r="A8455" s="45" t="s">
        <v>8482</v>
      </c>
      <c r="B8455" s="46" t="s">
        <v>18804</v>
      </c>
      <c r="C8455">
        <v>17</v>
      </c>
      <c r="D8455">
        <v>95</v>
      </c>
    </row>
    <row r="8456" spans="1:4" x14ac:dyDescent="0.25">
      <c r="A8456" s="45" t="s">
        <v>8483</v>
      </c>
      <c r="B8456" s="46" t="s">
        <v>18805</v>
      </c>
      <c r="C8456">
        <v>17</v>
      </c>
      <c r="D8456">
        <v>95</v>
      </c>
    </row>
    <row r="8457" spans="1:4" x14ac:dyDescent="0.25">
      <c r="A8457" s="45" t="s">
        <v>8484</v>
      </c>
      <c r="B8457" s="46" t="s">
        <v>18806</v>
      </c>
      <c r="C8457">
        <v>17</v>
      </c>
      <c r="D8457">
        <v>95</v>
      </c>
    </row>
    <row r="8458" spans="1:4" x14ac:dyDescent="0.25">
      <c r="A8458" s="45" t="s">
        <v>8485</v>
      </c>
      <c r="B8458" s="46" t="s">
        <v>21428</v>
      </c>
      <c r="C8458">
        <v>17</v>
      </c>
      <c r="D8458">
        <v>95</v>
      </c>
    </row>
    <row r="8459" spans="1:4" x14ac:dyDescent="0.25">
      <c r="A8459" s="45" t="s">
        <v>8486</v>
      </c>
      <c r="B8459" s="46" t="s">
        <v>18807</v>
      </c>
      <c r="C8459">
        <v>17</v>
      </c>
      <c r="D8459">
        <v>95</v>
      </c>
    </row>
    <row r="8460" spans="1:4" x14ac:dyDescent="0.25">
      <c r="A8460" s="45" t="s">
        <v>8487</v>
      </c>
      <c r="B8460" s="46" t="s">
        <v>18808</v>
      </c>
      <c r="C8460">
        <v>17</v>
      </c>
      <c r="D8460">
        <v>95</v>
      </c>
    </row>
    <row r="8461" spans="1:4" x14ac:dyDescent="0.25">
      <c r="A8461" s="45" t="s">
        <v>8488</v>
      </c>
      <c r="B8461" s="46" t="s">
        <v>18809</v>
      </c>
      <c r="C8461">
        <v>17</v>
      </c>
      <c r="D8461">
        <v>95</v>
      </c>
    </row>
    <row r="8462" spans="1:4" x14ac:dyDescent="0.25">
      <c r="A8462" s="45" t="s">
        <v>8489</v>
      </c>
      <c r="B8462" s="46" t="s">
        <v>18810</v>
      </c>
      <c r="C8462">
        <v>17</v>
      </c>
      <c r="D8462">
        <v>95</v>
      </c>
    </row>
    <row r="8463" spans="1:4" x14ac:dyDescent="0.25">
      <c r="A8463" s="45" t="s">
        <v>8490</v>
      </c>
      <c r="B8463" s="46" t="s">
        <v>18811</v>
      </c>
      <c r="C8463">
        <v>17</v>
      </c>
      <c r="D8463">
        <v>95</v>
      </c>
    </row>
    <row r="8464" spans="1:4" x14ac:dyDescent="0.25">
      <c r="A8464" s="45" t="s">
        <v>8491</v>
      </c>
      <c r="B8464" s="46" t="s">
        <v>18812</v>
      </c>
      <c r="C8464">
        <v>17</v>
      </c>
      <c r="D8464">
        <v>95</v>
      </c>
    </row>
    <row r="8465" spans="1:4" x14ac:dyDescent="0.25">
      <c r="A8465" s="45" t="s">
        <v>8492</v>
      </c>
      <c r="B8465" s="46" t="s">
        <v>18813</v>
      </c>
      <c r="C8465">
        <v>17</v>
      </c>
      <c r="D8465">
        <v>95</v>
      </c>
    </row>
    <row r="8466" spans="1:4" x14ac:dyDescent="0.25">
      <c r="A8466" s="45" t="s">
        <v>8493</v>
      </c>
      <c r="B8466" s="46" t="s">
        <v>18814</v>
      </c>
      <c r="C8466">
        <v>17</v>
      </c>
      <c r="D8466">
        <v>95</v>
      </c>
    </row>
    <row r="8467" spans="1:4" x14ac:dyDescent="0.25">
      <c r="A8467" s="45" t="s">
        <v>8494</v>
      </c>
      <c r="B8467" s="46" t="s">
        <v>18815</v>
      </c>
      <c r="C8467">
        <v>17</v>
      </c>
      <c r="D8467">
        <v>95</v>
      </c>
    </row>
    <row r="8468" spans="1:4" x14ac:dyDescent="0.25">
      <c r="A8468" s="45" t="s">
        <v>8495</v>
      </c>
      <c r="B8468" s="46" t="s">
        <v>21429</v>
      </c>
      <c r="C8468">
        <v>17</v>
      </c>
      <c r="D8468">
        <v>95</v>
      </c>
    </row>
    <row r="8469" spans="1:4" x14ac:dyDescent="0.25">
      <c r="A8469" s="45" t="s">
        <v>8496</v>
      </c>
      <c r="B8469" s="46" t="s">
        <v>18816</v>
      </c>
      <c r="C8469">
        <v>17</v>
      </c>
      <c r="D8469">
        <v>95</v>
      </c>
    </row>
    <row r="8470" spans="1:4" x14ac:dyDescent="0.25">
      <c r="A8470" s="45" t="s">
        <v>8497</v>
      </c>
      <c r="B8470" s="46" t="s">
        <v>18817</v>
      </c>
      <c r="C8470">
        <v>17</v>
      </c>
      <c r="D8470">
        <v>95</v>
      </c>
    </row>
    <row r="8471" spans="1:4" x14ac:dyDescent="0.25">
      <c r="A8471" s="45" t="s">
        <v>8498</v>
      </c>
      <c r="B8471" s="46" t="s">
        <v>18818</v>
      </c>
      <c r="C8471">
        <v>17</v>
      </c>
      <c r="D8471">
        <v>95</v>
      </c>
    </row>
    <row r="8472" spans="1:4" x14ac:dyDescent="0.25">
      <c r="A8472" s="45" t="s">
        <v>8499</v>
      </c>
      <c r="B8472" s="46" t="s">
        <v>21430</v>
      </c>
      <c r="C8472">
        <v>17</v>
      </c>
      <c r="D8472">
        <v>95</v>
      </c>
    </row>
    <row r="8473" spans="1:4" x14ac:dyDescent="0.25">
      <c r="A8473" s="45" t="s">
        <v>8500</v>
      </c>
      <c r="B8473" s="46" t="s">
        <v>21431</v>
      </c>
      <c r="C8473">
        <v>17</v>
      </c>
      <c r="D8473">
        <v>95</v>
      </c>
    </row>
    <row r="8474" spans="1:4" x14ac:dyDescent="0.25">
      <c r="A8474" s="45" t="s">
        <v>8501</v>
      </c>
      <c r="B8474" s="46" t="s">
        <v>18819</v>
      </c>
      <c r="C8474">
        <v>17</v>
      </c>
      <c r="D8474">
        <v>95</v>
      </c>
    </row>
    <row r="8475" spans="1:4" x14ac:dyDescent="0.25">
      <c r="A8475" s="45" t="s">
        <v>8502</v>
      </c>
      <c r="B8475" s="46" t="s">
        <v>21432</v>
      </c>
      <c r="C8475">
        <v>17</v>
      </c>
      <c r="D8475">
        <v>95</v>
      </c>
    </row>
    <row r="8476" spans="1:4" x14ac:dyDescent="0.25">
      <c r="A8476" s="45" t="s">
        <v>8503</v>
      </c>
      <c r="B8476" s="46" t="s">
        <v>21433</v>
      </c>
      <c r="C8476">
        <v>17</v>
      </c>
      <c r="D8476">
        <v>95</v>
      </c>
    </row>
    <row r="8477" spans="1:4" x14ac:dyDescent="0.25">
      <c r="A8477" s="45" t="s">
        <v>8504</v>
      </c>
      <c r="B8477" s="46" t="s">
        <v>21434</v>
      </c>
      <c r="C8477">
        <v>17</v>
      </c>
      <c r="D8477">
        <v>95</v>
      </c>
    </row>
    <row r="8478" spans="1:4" x14ac:dyDescent="0.25">
      <c r="A8478" s="45" t="s">
        <v>8505</v>
      </c>
      <c r="B8478" s="46" t="s">
        <v>18820</v>
      </c>
      <c r="C8478">
        <v>17</v>
      </c>
      <c r="D8478">
        <v>95</v>
      </c>
    </row>
    <row r="8479" spans="1:4" x14ac:dyDescent="0.25">
      <c r="A8479" s="45" t="s">
        <v>8506</v>
      </c>
      <c r="B8479" s="46" t="s">
        <v>18821</v>
      </c>
      <c r="C8479">
        <v>17</v>
      </c>
      <c r="D8479">
        <v>95</v>
      </c>
    </row>
    <row r="8480" spans="1:4" x14ac:dyDescent="0.25">
      <c r="A8480" s="45" t="s">
        <v>8507</v>
      </c>
      <c r="B8480" s="46" t="s">
        <v>21435</v>
      </c>
      <c r="C8480">
        <v>16</v>
      </c>
      <c r="D8480">
        <v>84</v>
      </c>
    </row>
    <row r="8481" spans="1:4" x14ac:dyDescent="0.25">
      <c r="A8481" s="45" t="s">
        <v>19259</v>
      </c>
      <c r="B8481" s="46" t="s">
        <v>24974</v>
      </c>
    </row>
    <row r="8482" spans="1:4" x14ac:dyDescent="0.25">
      <c r="A8482" s="45" t="s">
        <v>19265</v>
      </c>
      <c r="B8482" s="46" t="s">
        <v>24975</v>
      </c>
    </row>
    <row r="8483" spans="1:4" x14ac:dyDescent="0.25">
      <c r="A8483" s="45" t="s">
        <v>8508</v>
      </c>
      <c r="B8483" s="46" t="s">
        <v>21436</v>
      </c>
      <c r="C8483">
        <v>11</v>
      </c>
      <c r="D8483">
        <v>70</v>
      </c>
    </row>
    <row r="8484" spans="1:4" x14ac:dyDescent="0.25">
      <c r="A8484" s="45" t="s">
        <v>8509</v>
      </c>
      <c r="B8484" s="46" t="s">
        <v>21437</v>
      </c>
      <c r="C8484">
        <v>11</v>
      </c>
      <c r="D8484">
        <v>70</v>
      </c>
    </row>
    <row r="8485" spans="1:4" x14ac:dyDescent="0.25">
      <c r="A8485" s="45" t="s">
        <v>8510</v>
      </c>
      <c r="B8485" s="46" t="s">
        <v>21438</v>
      </c>
      <c r="C8485">
        <v>11</v>
      </c>
      <c r="D8485">
        <v>70</v>
      </c>
    </row>
    <row r="8486" spans="1:4" x14ac:dyDescent="0.25">
      <c r="A8486" s="45" t="s">
        <v>8511</v>
      </c>
      <c r="B8486" s="46" t="s">
        <v>21439</v>
      </c>
      <c r="C8486">
        <v>16</v>
      </c>
      <c r="D8486">
        <v>85</v>
      </c>
    </row>
    <row r="8487" spans="1:4" x14ac:dyDescent="0.25">
      <c r="A8487" s="45" t="s">
        <v>8512</v>
      </c>
      <c r="B8487" s="46" t="s">
        <v>21440</v>
      </c>
      <c r="C8487">
        <v>13</v>
      </c>
      <c r="D8487">
        <v>80</v>
      </c>
    </row>
    <row r="8488" spans="1:4" x14ac:dyDescent="0.25">
      <c r="A8488" s="45" t="s">
        <v>8513</v>
      </c>
      <c r="B8488" s="46" t="s">
        <v>21441</v>
      </c>
      <c r="C8488">
        <v>13</v>
      </c>
      <c r="D8488">
        <v>80</v>
      </c>
    </row>
    <row r="8489" spans="1:4" x14ac:dyDescent="0.25">
      <c r="A8489" s="45" t="s">
        <v>8514</v>
      </c>
      <c r="B8489" s="46" t="s">
        <v>21442</v>
      </c>
      <c r="C8489">
        <v>13</v>
      </c>
      <c r="D8489">
        <v>80</v>
      </c>
    </row>
    <row r="8490" spans="1:4" x14ac:dyDescent="0.25">
      <c r="A8490" s="45" t="s">
        <v>8515</v>
      </c>
      <c r="B8490" s="46" t="s">
        <v>21443</v>
      </c>
      <c r="C8490">
        <v>13</v>
      </c>
      <c r="D8490">
        <v>80</v>
      </c>
    </row>
    <row r="8491" spans="1:4" x14ac:dyDescent="0.25">
      <c r="A8491" s="45" t="s">
        <v>8516</v>
      </c>
      <c r="B8491" s="46" t="s">
        <v>21444</v>
      </c>
      <c r="C8491">
        <v>13</v>
      </c>
      <c r="D8491">
        <v>80</v>
      </c>
    </row>
    <row r="8492" spans="1:4" x14ac:dyDescent="0.25">
      <c r="A8492" s="45" t="s">
        <v>8517</v>
      </c>
      <c r="B8492" s="46" t="s">
        <v>21445</v>
      </c>
      <c r="C8492">
        <v>13</v>
      </c>
      <c r="D8492">
        <v>80</v>
      </c>
    </row>
    <row r="8493" spans="1:4" x14ac:dyDescent="0.25">
      <c r="A8493" s="45" t="s">
        <v>8518</v>
      </c>
      <c r="B8493" s="46" t="s">
        <v>21446</v>
      </c>
      <c r="C8493">
        <v>13</v>
      </c>
      <c r="D8493">
        <v>80</v>
      </c>
    </row>
    <row r="8494" spans="1:4" x14ac:dyDescent="0.25">
      <c r="A8494" s="45" t="s">
        <v>8519</v>
      </c>
      <c r="B8494" s="46" t="s">
        <v>21447</v>
      </c>
      <c r="C8494">
        <v>13</v>
      </c>
      <c r="D8494">
        <v>80</v>
      </c>
    </row>
    <row r="8495" spans="1:4" x14ac:dyDescent="0.25">
      <c r="A8495" s="45" t="s">
        <v>8520</v>
      </c>
      <c r="B8495" s="46" t="s">
        <v>21448</v>
      </c>
      <c r="C8495">
        <v>13</v>
      </c>
      <c r="D8495">
        <v>80</v>
      </c>
    </row>
    <row r="8496" spans="1:4" x14ac:dyDescent="0.25">
      <c r="A8496" s="45" t="s">
        <v>8521</v>
      </c>
      <c r="B8496" s="46" t="s">
        <v>21449</v>
      </c>
      <c r="C8496">
        <v>13</v>
      </c>
      <c r="D8496">
        <v>80</v>
      </c>
    </row>
    <row r="8497" spans="1:4" x14ac:dyDescent="0.25">
      <c r="A8497" s="45" t="s">
        <v>8522</v>
      </c>
      <c r="B8497" s="46" t="s">
        <v>21450</v>
      </c>
      <c r="C8497">
        <v>6</v>
      </c>
      <c r="D8497">
        <v>38</v>
      </c>
    </row>
    <row r="8498" spans="1:4" x14ac:dyDescent="0.25">
      <c r="A8498" s="45" t="s">
        <v>8523</v>
      </c>
      <c r="B8498" s="46" t="s">
        <v>21451</v>
      </c>
      <c r="C8498">
        <v>10</v>
      </c>
      <c r="D8498">
        <v>65</v>
      </c>
    </row>
    <row r="8499" spans="1:4" x14ac:dyDescent="0.25">
      <c r="A8499" s="45" t="s">
        <v>8524</v>
      </c>
      <c r="B8499" s="46" t="s">
        <v>21452</v>
      </c>
      <c r="C8499">
        <v>8</v>
      </c>
      <c r="D8499">
        <v>54</v>
      </c>
    </row>
    <row r="8500" spans="1:4" x14ac:dyDescent="0.25">
      <c r="A8500" s="45" t="s">
        <v>8525</v>
      </c>
      <c r="B8500" s="46" t="s">
        <v>21453</v>
      </c>
      <c r="C8500">
        <v>9</v>
      </c>
      <c r="D8500">
        <v>60</v>
      </c>
    </row>
    <row r="8501" spans="1:4" x14ac:dyDescent="0.25">
      <c r="A8501" s="45" t="s">
        <v>8526</v>
      </c>
      <c r="B8501" s="46" t="s">
        <v>21454</v>
      </c>
      <c r="C8501">
        <v>9</v>
      </c>
      <c r="D8501">
        <v>56</v>
      </c>
    </row>
    <row r="8502" spans="1:4" x14ac:dyDescent="0.25">
      <c r="A8502" s="45" t="s">
        <v>8527</v>
      </c>
      <c r="B8502" s="46" t="s">
        <v>21455</v>
      </c>
      <c r="C8502">
        <v>10</v>
      </c>
      <c r="D8502">
        <v>63</v>
      </c>
    </row>
    <row r="8503" spans="1:4" x14ac:dyDescent="0.25">
      <c r="A8503" s="45" t="s">
        <v>8528</v>
      </c>
      <c r="B8503" s="46" t="s">
        <v>21456</v>
      </c>
      <c r="C8503">
        <v>10</v>
      </c>
      <c r="D8503">
        <v>63</v>
      </c>
    </row>
    <row r="8504" spans="1:4" x14ac:dyDescent="0.25">
      <c r="A8504" s="45" t="s">
        <v>8529</v>
      </c>
      <c r="B8504" s="46" t="s">
        <v>21457</v>
      </c>
      <c r="C8504">
        <v>10</v>
      </c>
      <c r="D8504">
        <v>64</v>
      </c>
    </row>
    <row r="8505" spans="1:4" x14ac:dyDescent="0.25">
      <c r="A8505" s="45" t="s">
        <v>8530</v>
      </c>
      <c r="B8505" s="46" t="s">
        <v>21458</v>
      </c>
      <c r="C8505">
        <v>13</v>
      </c>
      <c r="D8505">
        <v>80</v>
      </c>
    </row>
    <row r="8506" spans="1:4" x14ac:dyDescent="0.25">
      <c r="A8506" s="45" t="s">
        <v>8531</v>
      </c>
      <c r="B8506" s="46" t="s">
        <v>21459</v>
      </c>
      <c r="C8506">
        <v>5</v>
      </c>
      <c r="D8506">
        <v>32</v>
      </c>
    </row>
    <row r="8507" spans="1:4" x14ac:dyDescent="0.25">
      <c r="A8507" s="45" t="s">
        <v>8532</v>
      </c>
      <c r="B8507" s="46" t="s">
        <v>21460</v>
      </c>
      <c r="C8507">
        <v>5</v>
      </c>
      <c r="D8507">
        <v>32</v>
      </c>
    </row>
    <row r="8508" spans="1:4" x14ac:dyDescent="0.25">
      <c r="A8508" s="45" t="s">
        <v>8533</v>
      </c>
      <c r="B8508" s="46" t="s">
        <v>21461</v>
      </c>
      <c r="C8508">
        <v>17</v>
      </c>
      <c r="D8508">
        <v>103</v>
      </c>
    </row>
    <row r="8509" spans="1:4" x14ac:dyDescent="0.25">
      <c r="A8509" s="45" t="s">
        <v>8534</v>
      </c>
      <c r="B8509" s="46" t="s">
        <v>21462</v>
      </c>
      <c r="C8509">
        <v>17</v>
      </c>
      <c r="D8509">
        <v>103</v>
      </c>
    </row>
    <row r="8510" spans="1:4" x14ac:dyDescent="0.25">
      <c r="A8510" s="45" t="s">
        <v>8535</v>
      </c>
      <c r="B8510" s="46" t="s">
        <v>21463</v>
      </c>
      <c r="C8510">
        <v>17</v>
      </c>
      <c r="D8510">
        <v>103</v>
      </c>
    </row>
    <row r="8511" spans="1:4" x14ac:dyDescent="0.25">
      <c r="A8511" s="45" t="s">
        <v>8536</v>
      </c>
      <c r="B8511" s="46" t="s">
        <v>21464</v>
      </c>
      <c r="C8511">
        <v>17</v>
      </c>
      <c r="D8511">
        <v>103</v>
      </c>
    </row>
    <row r="8512" spans="1:4" x14ac:dyDescent="0.25">
      <c r="A8512" s="45" t="s">
        <v>8537</v>
      </c>
      <c r="B8512" s="46" t="s">
        <v>21465</v>
      </c>
      <c r="C8512">
        <v>17</v>
      </c>
      <c r="D8512">
        <v>103</v>
      </c>
    </row>
    <row r="8513" spans="1:4" x14ac:dyDescent="0.25">
      <c r="A8513" s="45" t="s">
        <v>8538</v>
      </c>
      <c r="B8513" s="46" t="s">
        <v>21466</v>
      </c>
      <c r="C8513">
        <v>17</v>
      </c>
      <c r="D8513">
        <v>103</v>
      </c>
    </row>
    <row r="8514" spans="1:4" x14ac:dyDescent="0.25">
      <c r="A8514" s="45" t="s">
        <v>8539</v>
      </c>
      <c r="B8514" s="46" t="s">
        <v>21467</v>
      </c>
      <c r="C8514">
        <v>17</v>
      </c>
      <c r="D8514">
        <v>103</v>
      </c>
    </row>
    <row r="8515" spans="1:4" x14ac:dyDescent="0.25">
      <c r="A8515" s="45" t="s">
        <v>8540</v>
      </c>
      <c r="B8515" s="46" t="s">
        <v>21468</v>
      </c>
      <c r="C8515">
        <v>17</v>
      </c>
      <c r="D8515">
        <v>103</v>
      </c>
    </row>
    <row r="8516" spans="1:4" x14ac:dyDescent="0.25">
      <c r="A8516" s="45" t="s">
        <v>8541</v>
      </c>
      <c r="B8516" s="46" t="s">
        <v>21469</v>
      </c>
      <c r="C8516">
        <v>17</v>
      </c>
      <c r="D8516">
        <v>103</v>
      </c>
    </row>
    <row r="8517" spans="1:4" x14ac:dyDescent="0.25">
      <c r="A8517" s="45" t="s">
        <v>8542</v>
      </c>
      <c r="B8517" s="46" t="s">
        <v>21470</v>
      </c>
      <c r="C8517">
        <v>17</v>
      </c>
      <c r="D8517">
        <v>103</v>
      </c>
    </row>
    <row r="8518" spans="1:4" x14ac:dyDescent="0.25">
      <c r="A8518" s="45" t="s">
        <v>8543</v>
      </c>
      <c r="B8518" s="46" t="s">
        <v>21471</v>
      </c>
      <c r="C8518">
        <v>17</v>
      </c>
      <c r="D8518">
        <v>103</v>
      </c>
    </row>
    <row r="8519" spans="1:4" x14ac:dyDescent="0.25">
      <c r="A8519" s="45" t="s">
        <v>8544</v>
      </c>
      <c r="B8519" s="46" t="s">
        <v>21472</v>
      </c>
      <c r="C8519">
        <v>17</v>
      </c>
      <c r="D8519">
        <v>103</v>
      </c>
    </row>
    <row r="8520" spans="1:4" x14ac:dyDescent="0.25">
      <c r="A8520" s="45" t="s">
        <v>8545</v>
      </c>
      <c r="B8520" s="46" t="s">
        <v>21473</v>
      </c>
      <c r="C8520">
        <v>17</v>
      </c>
      <c r="D8520">
        <v>103</v>
      </c>
    </row>
    <row r="8521" spans="1:4" x14ac:dyDescent="0.25">
      <c r="A8521" s="45" t="s">
        <v>8546</v>
      </c>
      <c r="B8521" s="46" t="s">
        <v>21474</v>
      </c>
      <c r="C8521">
        <v>17</v>
      </c>
      <c r="D8521">
        <v>103</v>
      </c>
    </row>
    <row r="8522" spans="1:4" x14ac:dyDescent="0.25">
      <c r="A8522" s="45" t="s">
        <v>8547</v>
      </c>
      <c r="B8522" s="46" t="s">
        <v>21475</v>
      </c>
      <c r="C8522">
        <v>17</v>
      </c>
      <c r="D8522">
        <v>103</v>
      </c>
    </row>
    <row r="8523" spans="1:4" x14ac:dyDescent="0.25">
      <c r="A8523" s="45" t="s">
        <v>8548</v>
      </c>
      <c r="B8523" s="46" t="s">
        <v>21476</v>
      </c>
      <c r="C8523">
        <v>17</v>
      </c>
      <c r="D8523">
        <v>103</v>
      </c>
    </row>
    <row r="8524" spans="1:4" x14ac:dyDescent="0.25">
      <c r="A8524" s="45" t="s">
        <v>8549</v>
      </c>
      <c r="B8524" s="46" t="s">
        <v>21477</v>
      </c>
      <c r="C8524">
        <v>17</v>
      </c>
      <c r="D8524">
        <v>103</v>
      </c>
    </row>
    <row r="8525" spans="1:4" x14ac:dyDescent="0.25">
      <c r="A8525" s="45" t="s">
        <v>8550</v>
      </c>
      <c r="B8525" s="46" t="s">
        <v>21478</v>
      </c>
      <c r="C8525">
        <v>17</v>
      </c>
      <c r="D8525">
        <v>103</v>
      </c>
    </row>
    <row r="8526" spans="1:4" x14ac:dyDescent="0.25">
      <c r="A8526" s="45" t="s">
        <v>8551</v>
      </c>
      <c r="B8526" s="46" t="s">
        <v>21479</v>
      </c>
      <c r="C8526">
        <v>17</v>
      </c>
      <c r="D8526">
        <v>103</v>
      </c>
    </row>
    <row r="8527" spans="1:4" x14ac:dyDescent="0.25">
      <c r="A8527" s="45" t="s">
        <v>8552</v>
      </c>
      <c r="B8527" s="46" t="s">
        <v>21480</v>
      </c>
      <c r="C8527">
        <v>17</v>
      </c>
      <c r="D8527">
        <v>103</v>
      </c>
    </row>
    <row r="8528" spans="1:4" x14ac:dyDescent="0.25">
      <c r="A8528" s="45" t="s">
        <v>8553</v>
      </c>
      <c r="B8528" s="46" t="s">
        <v>21481</v>
      </c>
      <c r="C8528">
        <v>17</v>
      </c>
      <c r="D8528">
        <v>103</v>
      </c>
    </row>
    <row r="8529" spans="1:4" x14ac:dyDescent="0.25">
      <c r="A8529" s="45" t="s">
        <v>8554</v>
      </c>
      <c r="B8529" s="46" t="s">
        <v>21482</v>
      </c>
      <c r="C8529">
        <v>17</v>
      </c>
      <c r="D8529">
        <v>103</v>
      </c>
    </row>
    <row r="8530" spans="1:4" x14ac:dyDescent="0.25">
      <c r="A8530" s="45" t="s">
        <v>8555</v>
      </c>
      <c r="B8530" s="46" t="s">
        <v>21483</v>
      </c>
      <c r="C8530">
        <v>17</v>
      </c>
      <c r="D8530">
        <v>103</v>
      </c>
    </row>
    <row r="8531" spans="1:4" x14ac:dyDescent="0.25">
      <c r="A8531" s="45" t="s">
        <v>8556</v>
      </c>
      <c r="B8531" s="46" t="s">
        <v>21484</v>
      </c>
      <c r="C8531">
        <v>17</v>
      </c>
      <c r="D8531">
        <v>103</v>
      </c>
    </row>
    <row r="8532" spans="1:4" x14ac:dyDescent="0.25">
      <c r="A8532" s="45" t="s">
        <v>8557</v>
      </c>
      <c r="B8532" s="46" t="s">
        <v>21485</v>
      </c>
      <c r="C8532">
        <v>17</v>
      </c>
      <c r="D8532">
        <v>103</v>
      </c>
    </row>
    <row r="8533" spans="1:4" x14ac:dyDescent="0.25">
      <c r="A8533" s="45" t="s">
        <v>8558</v>
      </c>
      <c r="B8533" s="46" t="s">
        <v>21486</v>
      </c>
      <c r="C8533">
        <v>17</v>
      </c>
      <c r="D8533">
        <v>103</v>
      </c>
    </row>
    <row r="8534" spans="1:4" x14ac:dyDescent="0.25">
      <c r="A8534" s="45" t="s">
        <v>8559</v>
      </c>
      <c r="B8534" s="46" t="s">
        <v>21487</v>
      </c>
      <c r="C8534">
        <v>17</v>
      </c>
      <c r="D8534">
        <v>103</v>
      </c>
    </row>
    <row r="8535" spans="1:4" x14ac:dyDescent="0.25">
      <c r="A8535" s="45" t="s">
        <v>8560</v>
      </c>
      <c r="B8535" s="46" t="s">
        <v>21488</v>
      </c>
      <c r="C8535">
        <v>17</v>
      </c>
      <c r="D8535">
        <v>103</v>
      </c>
    </row>
    <row r="8536" spans="1:4" x14ac:dyDescent="0.25">
      <c r="A8536" s="45" t="s">
        <v>8561</v>
      </c>
      <c r="B8536" s="46" t="s">
        <v>21489</v>
      </c>
      <c r="C8536">
        <v>17</v>
      </c>
      <c r="D8536">
        <v>103</v>
      </c>
    </row>
    <row r="8537" spans="1:4" x14ac:dyDescent="0.25">
      <c r="A8537" s="45" t="s">
        <v>8562</v>
      </c>
      <c r="B8537" s="46" t="s">
        <v>21490</v>
      </c>
      <c r="C8537">
        <v>17</v>
      </c>
      <c r="D8537">
        <v>103</v>
      </c>
    </row>
    <row r="8538" spans="1:4" x14ac:dyDescent="0.25">
      <c r="A8538" s="45" t="s">
        <v>8563</v>
      </c>
      <c r="B8538" s="46" t="s">
        <v>21491</v>
      </c>
      <c r="C8538">
        <v>17</v>
      </c>
      <c r="D8538">
        <v>103</v>
      </c>
    </row>
    <row r="8539" spans="1:4" x14ac:dyDescent="0.25">
      <c r="A8539" s="45" t="s">
        <v>8564</v>
      </c>
      <c r="B8539" s="46" t="s">
        <v>21492</v>
      </c>
      <c r="C8539">
        <v>17</v>
      </c>
      <c r="D8539">
        <v>103</v>
      </c>
    </row>
    <row r="8540" spans="1:4" x14ac:dyDescent="0.25">
      <c r="A8540" s="45" t="s">
        <v>8565</v>
      </c>
      <c r="B8540" s="46" t="s">
        <v>21493</v>
      </c>
      <c r="C8540">
        <v>17</v>
      </c>
      <c r="D8540">
        <v>103</v>
      </c>
    </row>
    <row r="8541" spans="1:4" x14ac:dyDescent="0.25">
      <c r="A8541" s="45" t="s">
        <v>8566</v>
      </c>
      <c r="B8541" s="46" t="s">
        <v>21494</v>
      </c>
      <c r="C8541">
        <v>17</v>
      </c>
      <c r="D8541">
        <v>103</v>
      </c>
    </row>
    <row r="8542" spans="1:4" x14ac:dyDescent="0.25">
      <c r="A8542" s="45" t="s">
        <v>8567</v>
      </c>
      <c r="B8542" s="46" t="s">
        <v>21495</v>
      </c>
      <c r="C8542">
        <v>17</v>
      </c>
      <c r="D8542">
        <v>103</v>
      </c>
    </row>
    <row r="8543" spans="1:4" x14ac:dyDescent="0.25">
      <c r="A8543" s="45" t="s">
        <v>8568</v>
      </c>
      <c r="B8543" s="46" t="s">
        <v>21496</v>
      </c>
      <c r="C8543">
        <v>17</v>
      </c>
      <c r="D8543">
        <v>103</v>
      </c>
    </row>
    <row r="8544" spans="1:4" x14ac:dyDescent="0.25">
      <c r="A8544" s="45" t="s">
        <v>8569</v>
      </c>
      <c r="B8544" s="46" t="s">
        <v>21497</v>
      </c>
      <c r="C8544">
        <v>17</v>
      </c>
      <c r="D8544">
        <v>103</v>
      </c>
    </row>
    <row r="8545" spans="1:4" x14ac:dyDescent="0.25">
      <c r="A8545" s="45" t="s">
        <v>8570</v>
      </c>
      <c r="B8545" s="46" t="s">
        <v>21498</v>
      </c>
      <c r="C8545">
        <v>17</v>
      </c>
      <c r="D8545">
        <v>103</v>
      </c>
    </row>
    <row r="8546" spans="1:4" x14ac:dyDescent="0.25">
      <c r="A8546" s="45" t="s">
        <v>8571</v>
      </c>
      <c r="B8546" s="46" t="s">
        <v>21499</v>
      </c>
      <c r="C8546">
        <v>17</v>
      </c>
      <c r="D8546">
        <v>103</v>
      </c>
    </row>
    <row r="8547" spans="1:4" x14ac:dyDescent="0.25">
      <c r="A8547" s="45" t="s">
        <v>8572</v>
      </c>
      <c r="B8547" s="46" t="s">
        <v>21500</v>
      </c>
      <c r="C8547">
        <v>17</v>
      </c>
      <c r="D8547">
        <v>103</v>
      </c>
    </row>
    <row r="8548" spans="1:4" x14ac:dyDescent="0.25">
      <c r="A8548" s="45" t="s">
        <v>8573</v>
      </c>
      <c r="B8548" s="46" t="s">
        <v>21501</v>
      </c>
      <c r="C8548">
        <v>17</v>
      </c>
      <c r="D8548">
        <v>103</v>
      </c>
    </row>
    <row r="8549" spans="1:4" x14ac:dyDescent="0.25">
      <c r="A8549" s="45" t="s">
        <v>8574</v>
      </c>
      <c r="B8549" s="46" t="s">
        <v>21502</v>
      </c>
      <c r="C8549">
        <v>17</v>
      </c>
      <c r="D8549">
        <v>103</v>
      </c>
    </row>
    <row r="8550" spans="1:4" x14ac:dyDescent="0.25">
      <c r="A8550" s="45" t="s">
        <v>8575</v>
      </c>
      <c r="B8550" s="46" t="s">
        <v>21503</v>
      </c>
      <c r="C8550">
        <v>17</v>
      </c>
      <c r="D8550">
        <v>103</v>
      </c>
    </row>
    <row r="8551" spans="1:4" x14ac:dyDescent="0.25">
      <c r="A8551" s="45" t="s">
        <v>8576</v>
      </c>
      <c r="B8551" s="46" t="s">
        <v>21504</v>
      </c>
      <c r="C8551">
        <v>17</v>
      </c>
      <c r="D8551">
        <v>103</v>
      </c>
    </row>
    <row r="8552" spans="1:4" x14ac:dyDescent="0.25">
      <c r="A8552" s="45" t="s">
        <v>8577</v>
      </c>
      <c r="B8552" s="46" t="s">
        <v>21505</v>
      </c>
      <c r="C8552">
        <v>17</v>
      </c>
      <c r="D8552">
        <v>103</v>
      </c>
    </row>
    <row r="8553" spans="1:4" x14ac:dyDescent="0.25">
      <c r="A8553" s="45" t="s">
        <v>8578</v>
      </c>
      <c r="B8553" s="46" t="s">
        <v>21506</v>
      </c>
      <c r="C8553">
        <v>17</v>
      </c>
      <c r="D8553">
        <v>103</v>
      </c>
    </row>
    <row r="8554" spans="1:4" x14ac:dyDescent="0.25">
      <c r="A8554" s="45" t="s">
        <v>8579</v>
      </c>
      <c r="B8554" s="46" t="s">
        <v>21507</v>
      </c>
      <c r="C8554">
        <v>17</v>
      </c>
      <c r="D8554">
        <v>103</v>
      </c>
    </row>
    <row r="8555" spans="1:4" x14ac:dyDescent="0.25">
      <c r="A8555" s="45" t="s">
        <v>8580</v>
      </c>
      <c r="B8555" s="46" t="s">
        <v>21508</v>
      </c>
      <c r="C8555">
        <v>17</v>
      </c>
      <c r="D8555">
        <v>103</v>
      </c>
    </row>
    <row r="8556" spans="1:4" x14ac:dyDescent="0.25">
      <c r="A8556" s="45" t="s">
        <v>8581</v>
      </c>
      <c r="B8556" s="46" t="s">
        <v>21509</v>
      </c>
      <c r="C8556">
        <v>17</v>
      </c>
      <c r="D8556">
        <v>103</v>
      </c>
    </row>
    <row r="8557" spans="1:4" x14ac:dyDescent="0.25">
      <c r="A8557" s="45" t="s">
        <v>8582</v>
      </c>
      <c r="B8557" s="46" t="s">
        <v>21510</v>
      </c>
      <c r="C8557">
        <v>17</v>
      </c>
      <c r="D8557">
        <v>103</v>
      </c>
    </row>
    <row r="8558" spans="1:4" x14ac:dyDescent="0.25">
      <c r="A8558" s="45" t="s">
        <v>8583</v>
      </c>
      <c r="B8558" s="46" t="s">
        <v>21511</v>
      </c>
      <c r="C8558">
        <v>17</v>
      </c>
      <c r="D8558">
        <v>104</v>
      </c>
    </row>
    <row r="8559" spans="1:4" x14ac:dyDescent="0.25">
      <c r="A8559" s="45" t="s">
        <v>8584</v>
      </c>
      <c r="B8559" s="46" t="s">
        <v>21512</v>
      </c>
      <c r="C8559">
        <v>17</v>
      </c>
      <c r="D8559">
        <v>104</v>
      </c>
    </row>
    <row r="8560" spans="1:4" x14ac:dyDescent="0.25">
      <c r="A8560" s="45" t="s">
        <v>8585</v>
      </c>
      <c r="B8560" s="46" t="s">
        <v>21513</v>
      </c>
      <c r="C8560">
        <v>17</v>
      </c>
      <c r="D8560">
        <v>104</v>
      </c>
    </row>
    <row r="8561" spans="1:4" x14ac:dyDescent="0.25">
      <c r="A8561" s="45" t="s">
        <v>8586</v>
      </c>
      <c r="B8561" s="46" t="s">
        <v>21514</v>
      </c>
      <c r="C8561">
        <v>17</v>
      </c>
      <c r="D8561">
        <v>104</v>
      </c>
    </row>
    <row r="8562" spans="1:4" x14ac:dyDescent="0.25">
      <c r="A8562" s="45" t="s">
        <v>8587</v>
      </c>
      <c r="B8562" s="46" t="s">
        <v>21515</v>
      </c>
      <c r="C8562">
        <v>17</v>
      </c>
      <c r="D8562">
        <v>104</v>
      </c>
    </row>
    <row r="8563" spans="1:4" x14ac:dyDescent="0.25">
      <c r="A8563" s="45" t="s">
        <v>8588</v>
      </c>
      <c r="B8563" s="46" t="s">
        <v>21516</v>
      </c>
      <c r="C8563">
        <v>17</v>
      </c>
      <c r="D8563">
        <v>104</v>
      </c>
    </row>
    <row r="8564" spans="1:4" x14ac:dyDescent="0.25">
      <c r="A8564" s="45" t="s">
        <v>8589</v>
      </c>
      <c r="B8564" s="46" t="s">
        <v>21517</v>
      </c>
      <c r="C8564">
        <v>17</v>
      </c>
      <c r="D8564">
        <v>104</v>
      </c>
    </row>
    <row r="8565" spans="1:4" x14ac:dyDescent="0.25">
      <c r="A8565" s="45" t="s">
        <v>8590</v>
      </c>
      <c r="B8565" s="46" t="s">
        <v>21518</v>
      </c>
      <c r="C8565">
        <v>17</v>
      </c>
      <c r="D8565">
        <v>104</v>
      </c>
    </row>
    <row r="8566" spans="1:4" x14ac:dyDescent="0.25">
      <c r="A8566" s="45" t="s">
        <v>8591</v>
      </c>
      <c r="B8566" s="46" t="s">
        <v>21519</v>
      </c>
      <c r="C8566">
        <v>17</v>
      </c>
      <c r="D8566">
        <v>104</v>
      </c>
    </row>
    <row r="8567" spans="1:4" x14ac:dyDescent="0.25">
      <c r="A8567" s="45" t="s">
        <v>8592</v>
      </c>
      <c r="B8567" s="46" t="s">
        <v>21520</v>
      </c>
      <c r="C8567">
        <v>17</v>
      </c>
      <c r="D8567">
        <v>104</v>
      </c>
    </row>
    <row r="8568" spans="1:4" x14ac:dyDescent="0.25">
      <c r="A8568" s="45" t="s">
        <v>8593</v>
      </c>
      <c r="B8568" s="46" t="s">
        <v>21521</v>
      </c>
      <c r="C8568">
        <v>17</v>
      </c>
      <c r="D8568">
        <v>104</v>
      </c>
    </row>
    <row r="8569" spans="1:4" x14ac:dyDescent="0.25">
      <c r="A8569" s="45" t="s">
        <v>8594</v>
      </c>
      <c r="B8569" s="46" t="s">
        <v>21522</v>
      </c>
      <c r="C8569">
        <v>17</v>
      </c>
      <c r="D8569">
        <v>104</v>
      </c>
    </row>
    <row r="8570" spans="1:4" x14ac:dyDescent="0.25">
      <c r="A8570" s="45" t="s">
        <v>8595</v>
      </c>
      <c r="B8570" s="46" t="s">
        <v>21523</v>
      </c>
      <c r="C8570">
        <v>17</v>
      </c>
      <c r="D8570">
        <v>104</v>
      </c>
    </row>
    <row r="8571" spans="1:4" x14ac:dyDescent="0.25">
      <c r="A8571" s="45" t="s">
        <v>8596</v>
      </c>
      <c r="B8571" s="46" t="s">
        <v>21524</v>
      </c>
      <c r="C8571">
        <v>17</v>
      </c>
      <c r="D8571">
        <v>104</v>
      </c>
    </row>
    <row r="8572" spans="1:4" x14ac:dyDescent="0.25">
      <c r="A8572" s="45" t="s">
        <v>8597</v>
      </c>
      <c r="B8572" s="46" t="s">
        <v>21525</v>
      </c>
      <c r="C8572">
        <v>17</v>
      </c>
      <c r="D8572">
        <v>104</v>
      </c>
    </row>
    <row r="8573" spans="1:4" x14ac:dyDescent="0.25">
      <c r="A8573" s="45" t="s">
        <v>8598</v>
      </c>
      <c r="B8573" s="46" t="s">
        <v>21526</v>
      </c>
      <c r="C8573">
        <v>17</v>
      </c>
      <c r="D8573">
        <v>104</v>
      </c>
    </row>
    <row r="8574" spans="1:4" x14ac:dyDescent="0.25">
      <c r="A8574" s="45" t="s">
        <v>8599</v>
      </c>
      <c r="B8574" s="46" t="s">
        <v>21527</v>
      </c>
      <c r="C8574">
        <v>17</v>
      </c>
      <c r="D8574">
        <v>104</v>
      </c>
    </row>
    <row r="8575" spans="1:4" x14ac:dyDescent="0.25">
      <c r="A8575" s="45" t="s">
        <v>8600</v>
      </c>
      <c r="B8575" s="46" t="s">
        <v>21528</v>
      </c>
      <c r="C8575">
        <v>17</v>
      </c>
      <c r="D8575">
        <v>104</v>
      </c>
    </row>
    <row r="8576" spans="1:4" x14ac:dyDescent="0.25">
      <c r="A8576" s="45" t="s">
        <v>8601</v>
      </c>
      <c r="B8576" s="46" t="s">
        <v>21529</v>
      </c>
      <c r="C8576">
        <v>17</v>
      </c>
      <c r="D8576">
        <v>104</v>
      </c>
    </row>
    <row r="8577" spans="1:4" x14ac:dyDescent="0.25">
      <c r="A8577" s="45" t="s">
        <v>8602</v>
      </c>
      <c r="B8577" s="46" t="s">
        <v>21530</v>
      </c>
      <c r="C8577">
        <v>17</v>
      </c>
      <c r="D8577">
        <v>104</v>
      </c>
    </row>
    <row r="8578" spans="1:4" x14ac:dyDescent="0.25">
      <c r="A8578" s="45" t="s">
        <v>8603</v>
      </c>
      <c r="B8578" s="46" t="s">
        <v>21531</v>
      </c>
      <c r="C8578">
        <v>17</v>
      </c>
      <c r="D8578">
        <v>104</v>
      </c>
    </row>
    <row r="8579" spans="1:4" x14ac:dyDescent="0.25">
      <c r="A8579" s="45" t="s">
        <v>8604</v>
      </c>
      <c r="B8579" s="46" t="s">
        <v>21532</v>
      </c>
      <c r="C8579">
        <v>17</v>
      </c>
      <c r="D8579">
        <v>104</v>
      </c>
    </row>
    <row r="8580" spans="1:4" x14ac:dyDescent="0.25">
      <c r="A8580" s="45" t="s">
        <v>8605</v>
      </c>
      <c r="B8580" s="46" t="s">
        <v>21533</v>
      </c>
      <c r="C8580">
        <v>17</v>
      </c>
      <c r="D8580">
        <v>104</v>
      </c>
    </row>
    <row r="8581" spans="1:4" x14ac:dyDescent="0.25">
      <c r="A8581" s="45" t="s">
        <v>8606</v>
      </c>
      <c r="B8581" s="46" t="s">
        <v>21534</v>
      </c>
      <c r="C8581">
        <v>17</v>
      </c>
      <c r="D8581">
        <v>104</v>
      </c>
    </row>
    <row r="8582" spans="1:4" x14ac:dyDescent="0.25">
      <c r="A8582" s="45" t="s">
        <v>8607</v>
      </c>
      <c r="B8582" s="46" t="s">
        <v>21535</v>
      </c>
      <c r="C8582">
        <v>17</v>
      </c>
      <c r="D8582">
        <v>104</v>
      </c>
    </row>
    <row r="8583" spans="1:4" x14ac:dyDescent="0.25">
      <c r="A8583" s="45" t="s">
        <v>8608</v>
      </c>
      <c r="B8583" s="46" t="s">
        <v>21536</v>
      </c>
      <c r="C8583">
        <v>17</v>
      </c>
      <c r="D8583">
        <v>104</v>
      </c>
    </row>
    <row r="8584" spans="1:4" x14ac:dyDescent="0.25">
      <c r="A8584" s="45" t="s">
        <v>8609</v>
      </c>
      <c r="B8584" s="46" t="s">
        <v>21537</v>
      </c>
      <c r="C8584">
        <v>17</v>
      </c>
      <c r="D8584">
        <v>104</v>
      </c>
    </row>
    <row r="8585" spans="1:4" x14ac:dyDescent="0.25">
      <c r="A8585" s="45" t="s">
        <v>8610</v>
      </c>
      <c r="B8585" s="46" t="s">
        <v>21538</v>
      </c>
      <c r="C8585">
        <v>17</v>
      </c>
      <c r="D8585">
        <v>104</v>
      </c>
    </row>
    <row r="8586" spans="1:4" x14ac:dyDescent="0.25">
      <c r="A8586" s="45" t="s">
        <v>8611</v>
      </c>
      <c r="B8586" s="46" t="s">
        <v>21539</v>
      </c>
      <c r="C8586">
        <v>17</v>
      </c>
      <c r="D8586">
        <v>104</v>
      </c>
    </row>
    <row r="8587" spans="1:4" x14ac:dyDescent="0.25">
      <c r="A8587" s="45" t="s">
        <v>8612</v>
      </c>
      <c r="B8587" s="46" t="s">
        <v>21540</v>
      </c>
      <c r="C8587">
        <v>17</v>
      </c>
      <c r="D8587">
        <v>104</v>
      </c>
    </row>
    <row r="8588" spans="1:4" x14ac:dyDescent="0.25">
      <c r="A8588" s="45" t="s">
        <v>8613</v>
      </c>
      <c r="B8588" s="46" t="s">
        <v>21541</v>
      </c>
      <c r="C8588">
        <v>17</v>
      </c>
      <c r="D8588">
        <v>104</v>
      </c>
    </row>
    <row r="8589" spans="1:4" x14ac:dyDescent="0.25">
      <c r="A8589" s="45" t="s">
        <v>8614</v>
      </c>
      <c r="B8589" s="46" t="s">
        <v>21542</v>
      </c>
      <c r="C8589">
        <v>17</v>
      </c>
      <c r="D8589">
        <v>104</v>
      </c>
    </row>
    <row r="8590" spans="1:4" x14ac:dyDescent="0.25">
      <c r="A8590" s="45" t="s">
        <v>8615</v>
      </c>
      <c r="B8590" s="46" t="s">
        <v>21543</v>
      </c>
      <c r="C8590">
        <v>17</v>
      </c>
      <c r="D8590">
        <v>104</v>
      </c>
    </row>
    <row r="8591" spans="1:4" x14ac:dyDescent="0.25">
      <c r="A8591" s="45" t="s">
        <v>8616</v>
      </c>
      <c r="B8591" s="46" t="s">
        <v>21544</v>
      </c>
      <c r="C8591">
        <v>17</v>
      </c>
      <c r="D8591">
        <v>104</v>
      </c>
    </row>
    <row r="8592" spans="1:4" x14ac:dyDescent="0.25">
      <c r="A8592" s="45" t="s">
        <v>8617</v>
      </c>
      <c r="B8592" s="46" t="s">
        <v>21545</v>
      </c>
      <c r="C8592">
        <v>17</v>
      </c>
      <c r="D8592">
        <v>104</v>
      </c>
    </row>
    <row r="8593" spans="1:4" x14ac:dyDescent="0.25">
      <c r="A8593" s="45" t="s">
        <v>8618</v>
      </c>
      <c r="B8593" s="46" t="s">
        <v>21546</v>
      </c>
      <c r="C8593">
        <v>17</v>
      </c>
      <c r="D8593">
        <v>104</v>
      </c>
    </row>
    <row r="8594" spans="1:4" x14ac:dyDescent="0.25">
      <c r="A8594" s="45" t="s">
        <v>8619</v>
      </c>
      <c r="B8594" s="46" t="s">
        <v>21547</v>
      </c>
      <c r="C8594">
        <v>17</v>
      </c>
      <c r="D8594">
        <v>104</v>
      </c>
    </row>
    <row r="8595" spans="1:4" x14ac:dyDescent="0.25">
      <c r="A8595" s="45" t="s">
        <v>8620</v>
      </c>
      <c r="B8595" s="46" t="s">
        <v>21548</v>
      </c>
      <c r="C8595">
        <v>17</v>
      </c>
      <c r="D8595">
        <v>104</v>
      </c>
    </row>
    <row r="8596" spans="1:4" x14ac:dyDescent="0.25">
      <c r="A8596" s="45" t="s">
        <v>8621</v>
      </c>
      <c r="B8596" s="46" t="s">
        <v>21549</v>
      </c>
      <c r="C8596">
        <v>17</v>
      </c>
      <c r="D8596">
        <v>104</v>
      </c>
    </row>
    <row r="8597" spans="1:4" x14ac:dyDescent="0.25">
      <c r="A8597" s="45" t="s">
        <v>8622</v>
      </c>
      <c r="B8597" s="46" t="s">
        <v>21550</v>
      </c>
      <c r="C8597">
        <v>17</v>
      </c>
      <c r="D8597">
        <v>104</v>
      </c>
    </row>
    <row r="8598" spans="1:4" x14ac:dyDescent="0.25">
      <c r="A8598" s="45" t="s">
        <v>8623</v>
      </c>
      <c r="B8598" s="46" t="s">
        <v>21551</v>
      </c>
      <c r="C8598">
        <v>17</v>
      </c>
      <c r="D8598">
        <v>104</v>
      </c>
    </row>
    <row r="8599" spans="1:4" x14ac:dyDescent="0.25">
      <c r="A8599" s="45" t="s">
        <v>8624</v>
      </c>
      <c r="B8599" s="46" t="s">
        <v>21552</v>
      </c>
      <c r="C8599">
        <v>17</v>
      </c>
      <c r="D8599">
        <v>104</v>
      </c>
    </row>
    <row r="8600" spans="1:4" x14ac:dyDescent="0.25">
      <c r="A8600" s="45" t="s">
        <v>8625</v>
      </c>
      <c r="B8600" s="46" t="s">
        <v>21553</v>
      </c>
      <c r="C8600">
        <v>17</v>
      </c>
      <c r="D8600">
        <v>104</v>
      </c>
    </row>
    <row r="8601" spans="1:4" x14ac:dyDescent="0.25">
      <c r="A8601" s="45" t="s">
        <v>8626</v>
      </c>
      <c r="B8601" s="46" t="s">
        <v>21554</v>
      </c>
      <c r="C8601">
        <v>17</v>
      </c>
      <c r="D8601">
        <v>104</v>
      </c>
    </row>
    <row r="8602" spans="1:4" x14ac:dyDescent="0.25">
      <c r="A8602" s="45" t="s">
        <v>8627</v>
      </c>
      <c r="B8602" s="46" t="s">
        <v>21555</v>
      </c>
      <c r="C8602">
        <v>17</v>
      </c>
      <c r="D8602">
        <v>104</v>
      </c>
    </row>
    <row r="8603" spans="1:4" x14ac:dyDescent="0.25">
      <c r="A8603" s="45" t="s">
        <v>8628</v>
      </c>
      <c r="B8603" s="46" t="s">
        <v>21556</v>
      </c>
      <c r="C8603">
        <v>17</v>
      </c>
      <c r="D8603">
        <v>104</v>
      </c>
    </row>
    <row r="8604" spans="1:4" x14ac:dyDescent="0.25">
      <c r="A8604" s="45" t="s">
        <v>8629</v>
      </c>
      <c r="B8604" s="46" t="s">
        <v>21557</v>
      </c>
      <c r="C8604">
        <v>17</v>
      </c>
      <c r="D8604">
        <v>104</v>
      </c>
    </row>
    <row r="8605" spans="1:4" x14ac:dyDescent="0.25">
      <c r="A8605" s="45" t="s">
        <v>8630</v>
      </c>
      <c r="B8605" s="46" t="s">
        <v>21558</v>
      </c>
      <c r="C8605">
        <v>17</v>
      </c>
      <c r="D8605">
        <v>104</v>
      </c>
    </row>
    <row r="8606" spans="1:4" x14ac:dyDescent="0.25">
      <c r="A8606" s="45" t="s">
        <v>8631</v>
      </c>
      <c r="B8606" s="46" t="s">
        <v>21559</v>
      </c>
      <c r="C8606">
        <v>17</v>
      </c>
      <c r="D8606">
        <v>104</v>
      </c>
    </row>
    <row r="8607" spans="1:4" x14ac:dyDescent="0.25">
      <c r="A8607" s="45" t="s">
        <v>8632</v>
      </c>
      <c r="B8607" s="46" t="s">
        <v>21560</v>
      </c>
      <c r="C8607">
        <v>17</v>
      </c>
      <c r="D8607">
        <v>104</v>
      </c>
    </row>
    <row r="8608" spans="1:4" x14ac:dyDescent="0.25">
      <c r="A8608" s="45" t="s">
        <v>8633</v>
      </c>
      <c r="B8608" s="46" t="s">
        <v>21561</v>
      </c>
      <c r="C8608">
        <v>17</v>
      </c>
      <c r="D8608">
        <v>103</v>
      </c>
    </row>
    <row r="8609" spans="1:4" x14ac:dyDescent="0.25">
      <c r="A8609" s="45" t="s">
        <v>8634</v>
      </c>
      <c r="B8609" s="46" t="s">
        <v>21562</v>
      </c>
      <c r="C8609">
        <v>17</v>
      </c>
      <c r="D8609">
        <v>103</v>
      </c>
    </row>
    <row r="8610" spans="1:4" x14ac:dyDescent="0.25">
      <c r="A8610" s="45" t="s">
        <v>8635</v>
      </c>
      <c r="B8610" s="46" t="s">
        <v>21563</v>
      </c>
      <c r="C8610">
        <v>17</v>
      </c>
      <c r="D8610">
        <v>103</v>
      </c>
    </row>
    <row r="8611" spans="1:4" x14ac:dyDescent="0.25">
      <c r="A8611" s="45" t="s">
        <v>8636</v>
      </c>
      <c r="B8611" s="46" t="s">
        <v>21564</v>
      </c>
      <c r="C8611">
        <v>17</v>
      </c>
      <c r="D8611">
        <v>103</v>
      </c>
    </row>
    <row r="8612" spans="1:4" x14ac:dyDescent="0.25">
      <c r="A8612" s="45" t="s">
        <v>8637</v>
      </c>
      <c r="B8612" s="46" t="s">
        <v>21565</v>
      </c>
      <c r="C8612">
        <v>17</v>
      </c>
      <c r="D8612">
        <v>103</v>
      </c>
    </row>
    <row r="8613" spans="1:4" x14ac:dyDescent="0.25">
      <c r="A8613" s="45" t="s">
        <v>8638</v>
      </c>
      <c r="B8613" s="46" t="s">
        <v>21566</v>
      </c>
      <c r="C8613">
        <v>17</v>
      </c>
      <c r="D8613">
        <v>103</v>
      </c>
    </row>
    <row r="8614" spans="1:4" x14ac:dyDescent="0.25">
      <c r="A8614" s="45" t="s">
        <v>8639</v>
      </c>
      <c r="B8614" s="46" t="s">
        <v>21567</v>
      </c>
      <c r="C8614">
        <v>17</v>
      </c>
      <c r="D8614">
        <v>103</v>
      </c>
    </row>
    <row r="8615" spans="1:4" x14ac:dyDescent="0.25">
      <c r="A8615" s="45" t="s">
        <v>8640</v>
      </c>
      <c r="B8615" s="46" t="s">
        <v>21568</v>
      </c>
      <c r="C8615">
        <v>17</v>
      </c>
      <c r="D8615">
        <v>103</v>
      </c>
    </row>
    <row r="8616" spans="1:4" x14ac:dyDescent="0.25">
      <c r="A8616" s="45" t="s">
        <v>8641</v>
      </c>
      <c r="B8616" s="46" t="s">
        <v>21569</v>
      </c>
      <c r="C8616">
        <v>17</v>
      </c>
      <c r="D8616">
        <v>103</v>
      </c>
    </row>
    <row r="8617" spans="1:4" x14ac:dyDescent="0.25">
      <c r="A8617" s="45" t="s">
        <v>8642</v>
      </c>
      <c r="B8617" s="46" t="s">
        <v>21570</v>
      </c>
      <c r="C8617">
        <v>17</v>
      </c>
      <c r="D8617">
        <v>103</v>
      </c>
    </row>
    <row r="8618" spans="1:4" x14ac:dyDescent="0.25">
      <c r="A8618" s="45" t="s">
        <v>8643</v>
      </c>
      <c r="B8618" s="46" t="s">
        <v>21571</v>
      </c>
      <c r="C8618">
        <v>17</v>
      </c>
      <c r="D8618">
        <v>103</v>
      </c>
    </row>
    <row r="8619" spans="1:4" x14ac:dyDescent="0.25">
      <c r="A8619" s="45" t="s">
        <v>8644</v>
      </c>
      <c r="B8619" s="46" t="s">
        <v>21572</v>
      </c>
      <c r="C8619">
        <v>17</v>
      </c>
      <c r="D8619">
        <v>103</v>
      </c>
    </row>
    <row r="8620" spans="1:4" x14ac:dyDescent="0.25">
      <c r="A8620" s="45" t="s">
        <v>8645</v>
      </c>
      <c r="B8620" s="46" t="s">
        <v>21573</v>
      </c>
      <c r="C8620">
        <v>17</v>
      </c>
      <c r="D8620">
        <v>103</v>
      </c>
    </row>
    <row r="8621" spans="1:4" x14ac:dyDescent="0.25">
      <c r="A8621" s="45" t="s">
        <v>8646</v>
      </c>
      <c r="B8621" s="46" t="s">
        <v>21574</v>
      </c>
      <c r="C8621">
        <v>17</v>
      </c>
      <c r="D8621">
        <v>103</v>
      </c>
    </row>
    <row r="8622" spans="1:4" x14ac:dyDescent="0.25">
      <c r="A8622" s="45" t="s">
        <v>8647</v>
      </c>
      <c r="B8622" s="46" t="s">
        <v>21575</v>
      </c>
      <c r="C8622">
        <v>17</v>
      </c>
      <c r="D8622">
        <v>103</v>
      </c>
    </row>
    <row r="8623" spans="1:4" x14ac:dyDescent="0.25">
      <c r="A8623" s="45" t="s">
        <v>8648</v>
      </c>
      <c r="B8623" s="46" t="s">
        <v>21576</v>
      </c>
      <c r="C8623">
        <v>17</v>
      </c>
      <c r="D8623">
        <v>103</v>
      </c>
    </row>
    <row r="8624" spans="1:4" x14ac:dyDescent="0.25">
      <c r="A8624" s="45" t="s">
        <v>8649</v>
      </c>
      <c r="B8624" s="46" t="s">
        <v>21577</v>
      </c>
      <c r="C8624">
        <v>17</v>
      </c>
      <c r="D8624">
        <v>103</v>
      </c>
    </row>
    <row r="8625" spans="1:4" x14ac:dyDescent="0.25">
      <c r="A8625" s="45" t="s">
        <v>8650</v>
      </c>
      <c r="B8625" s="46" t="s">
        <v>21578</v>
      </c>
      <c r="C8625">
        <v>17</v>
      </c>
      <c r="D8625">
        <v>103</v>
      </c>
    </row>
    <row r="8626" spans="1:4" x14ac:dyDescent="0.25">
      <c r="A8626" s="45" t="s">
        <v>8651</v>
      </c>
      <c r="B8626" s="46" t="s">
        <v>21579</v>
      </c>
      <c r="C8626">
        <v>17</v>
      </c>
      <c r="D8626">
        <v>103</v>
      </c>
    </row>
    <row r="8627" spans="1:4" x14ac:dyDescent="0.25">
      <c r="A8627" s="45" t="s">
        <v>8652</v>
      </c>
      <c r="B8627" s="46" t="s">
        <v>21580</v>
      </c>
      <c r="C8627">
        <v>17</v>
      </c>
      <c r="D8627">
        <v>103</v>
      </c>
    </row>
    <row r="8628" spans="1:4" x14ac:dyDescent="0.25">
      <c r="A8628" s="45" t="s">
        <v>8653</v>
      </c>
      <c r="B8628" s="46" t="s">
        <v>21581</v>
      </c>
      <c r="C8628">
        <v>17</v>
      </c>
      <c r="D8628">
        <v>103</v>
      </c>
    </row>
    <row r="8629" spans="1:4" x14ac:dyDescent="0.25">
      <c r="A8629" s="45" t="s">
        <v>8654</v>
      </c>
      <c r="B8629" s="46" t="s">
        <v>21582</v>
      </c>
      <c r="C8629">
        <v>17</v>
      </c>
      <c r="D8629">
        <v>103</v>
      </c>
    </row>
    <row r="8630" spans="1:4" x14ac:dyDescent="0.25">
      <c r="A8630" s="45" t="s">
        <v>8655</v>
      </c>
      <c r="B8630" s="46" t="s">
        <v>21583</v>
      </c>
      <c r="C8630">
        <v>17</v>
      </c>
      <c r="D8630">
        <v>103</v>
      </c>
    </row>
    <row r="8631" spans="1:4" x14ac:dyDescent="0.25">
      <c r="A8631" s="45" t="s">
        <v>8656</v>
      </c>
      <c r="B8631" s="46" t="s">
        <v>21584</v>
      </c>
      <c r="C8631">
        <v>17</v>
      </c>
      <c r="D8631">
        <v>103</v>
      </c>
    </row>
    <row r="8632" spans="1:4" x14ac:dyDescent="0.25">
      <c r="A8632" s="45" t="s">
        <v>8657</v>
      </c>
      <c r="B8632" s="46" t="s">
        <v>21585</v>
      </c>
      <c r="C8632">
        <v>17</v>
      </c>
      <c r="D8632">
        <v>103</v>
      </c>
    </row>
    <row r="8633" spans="1:4" x14ac:dyDescent="0.25">
      <c r="A8633" s="45" t="s">
        <v>8658</v>
      </c>
      <c r="B8633" s="46" t="s">
        <v>21586</v>
      </c>
      <c r="C8633">
        <v>17</v>
      </c>
      <c r="D8633">
        <v>103</v>
      </c>
    </row>
    <row r="8634" spans="1:4" x14ac:dyDescent="0.25">
      <c r="A8634" s="45" t="s">
        <v>8659</v>
      </c>
      <c r="B8634" s="46" t="s">
        <v>21587</v>
      </c>
      <c r="C8634">
        <v>17</v>
      </c>
      <c r="D8634">
        <v>103</v>
      </c>
    </row>
    <row r="8635" spans="1:4" x14ac:dyDescent="0.25">
      <c r="A8635" s="45" t="s">
        <v>8660</v>
      </c>
      <c r="B8635" s="46" t="s">
        <v>21588</v>
      </c>
      <c r="C8635">
        <v>17</v>
      </c>
      <c r="D8635">
        <v>103</v>
      </c>
    </row>
    <row r="8636" spans="1:4" x14ac:dyDescent="0.25">
      <c r="A8636" s="45" t="s">
        <v>8661</v>
      </c>
      <c r="B8636" s="46" t="s">
        <v>21589</v>
      </c>
      <c r="C8636">
        <v>17</v>
      </c>
      <c r="D8636">
        <v>103</v>
      </c>
    </row>
    <row r="8637" spans="1:4" x14ac:dyDescent="0.25">
      <c r="A8637" s="45" t="s">
        <v>8662</v>
      </c>
      <c r="B8637" s="46" t="s">
        <v>21590</v>
      </c>
      <c r="C8637">
        <v>17</v>
      </c>
      <c r="D8637">
        <v>103</v>
      </c>
    </row>
    <row r="8638" spans="1:4" x14ac:dyDescent="0.25">
      <c r="A8638" s="45" t="s">
        <v>8663</v>
      </c>
      <c r="B8638" s="46" t="s">
        <v>21591</v>
      </c>
      <c r="C8638">
        <v>17</v>
      </c>
      <c r="D8638">
        <v>103</v>
      </c>
    </row>
    <row r="8639" spans="1:4" x14ac:dyDescent="0.25">
      <c r="A8639" s="45" t="s">
        <v>8664</v>
      </c>
      <c r="B8639" s="46" t="s">
        <v>21592</v>
      </c>
      <c r="C8639">
        <v>17</v>
      </c>
      <c r="D8639">
        <v>103</v>
      </c>
    </row>
    <row r="8640" spans="1:4" x14ac:dyDescent="0.25">
      <c r="A8640" s="45" t="s">
        <v>8665</v>
      </c>
      <c r="B8640" s="46" t="s">
        <v>21593</v>
      </c>
      <c r="C8640">
        <v>17</v>
      </c>
      <c r="D8640">
        <v>103</v>
      </c>
    </row>
    <row r="8641" spans="1:4" x14ac:dyDescent="0.25">
      <c r="A8641" s="45" t="s">
        <v>8666</v>
      </c>
      <c r="B8641" s="46" t="s">
        <v>21594</v>
      </c>
      <c r="C8641">
        <v>17</v>
      </c>
      <c r="D8641">
        <v>103</v>
      </c>
    </row>
    <row r="8642" spans="1:4" x14ac:dyDescent="0.25">
      <c r="A8642" s="45" t="s">
        <v>8667</v>
      </c>
      <c r="B8642" s="46" t="s">
        <v>21595</v>
      </c>
      <c r="C8642">
        <v>17</v>
      </c>
      <c r="D8642">
        <v>103</v>
      </c>
    </row>
    <row r="8643" spans="1:4" x14ac:dyDescent="0.25">
      <c r="A8643" s="45" t="s">
        <v>8668</v>
      </c>
      <c r="B8643" s="46" t="s">
        <v>21596</v>
      </c>
      <c r="C8643">
        <v>17</v>
      </c>
      <c r="D8643">
        <v>103</v>
      </c>
    </row>
    <row r="8644" spans="1:4" x14ac:dyDescent="0.25">
      <c r="A8644" s="45" t="s">
        <v>8669</v>
      </c>
      <c r="B8644" s="46" t="s">
        <v>21597</v>
      </c>
      <c r="C8644">
        <v>17</v>
      </c>
      <c r="D8644">
        <v>103</v>
      </c>
    </row>
    <row r="8645" spans="1:4" x14ac:dyDescent="0.25">
      <c r="A8645" s="45" t="s">
        <v>8670</v>
      </c>
      <c r="B8645" s="46" t="s">
        <v>21598</v>
      </c>
      <c r="C8645">
        <v>17</v>
      </c>
      <c r="D8645">
        <v>103</v>
      </c>
    </row>
    <row r="8646" spans="1:4" x14ac:dyDescent="0.25">
      <c r="A8646" s="45" t="s">
        <v>8671</v>
      </c>
      <c r="B8646" s="46" t="s">
        <v>21599</v>
      </c>
      <c r="C8646">
        <v>17</v>
      </c>
      <c r="D8646">
        <v>103</v>
      </c>
    </row>
    <row r="8647" spans="1:4" x14ac:dyDescent="0.25">
      <c r="A8647" s="45" t="s">
        <v>8672</v>
      </c>
      <c r="B8647" s="46" t="s">
        <v>21600</v>
      </c>
      <c r="C8647">
        <v>17</v>
      </c>
      <c r="D8647">
        <v>103</v>
      </c>
    </row>
    <row r="8648" spans="1:4" x14ac:dyDescent="0.25">
      <c r="A8648" s="45" t="s">
        <v>8673</v>
      </c>
      <c r="B8648" s="46" t="s">
        <v>21601</v>
      </c>
      <c r="C8648">
        <v>17</v>
      </c>
      <c r="D8648">
        <v>103</v>
      </c>
    </row>
    <row r="8649" spans="1:4" x14ac:dyDescent="0.25">
      <c r="A8649" s="45" t="s">
        <v>8674</v>
      </c>
      <c r="B8649" s="46" t="s">
        <v>21602</v>
      </c>
      <c r="C8649">
        <v>17</v>
      </c>
      <c r="D8649">
        <v>103</v>
      </c>
    </row>
    <row r="8650" spans="1:4" x14ac:dyDescent="0.25">
      <c r="A8650" s="45" t="s">
        <v>8675</v>
      </c>
      <c r="B8650" s="46" t="s">
        <v>21603</v>
      </c>
      <c r="C8650">
        <v>17</v>
      </c>
      <c r="D8650">
        <v>103</v>
      </c>
    </row>
    <row r="8651" spans="1:4" x14ac:dyDescent="0.25">
      <c r="A8651" s="45" t="s">
        <v>8676</v>
      </c>
      <c r="B8651" s="46" t="s">
        <v>21604</v>
      </c>
      <c r="C8651">
        <v>17</v>
      </c>
      <c r="D8651">
        <v>103</v>
      </c>
    </row>
    <row r="8652" spans="1:4" x14ac:dyDescent="0.25">
      <c r="A8652" s="45" t="s">
        <v>8677</v>
      </c>
      <c r="B8652" s="46" t="s">
        <v>21605</v>
      </c>
      <c r="C8652">
        <v>17</v>
      </c>
      <c r="D8652">
        <v>103</v>
      </c>
    </row>
    <row r="8653" spans="1:4" x14ac:dyDescent="0.25">
      <c r="A8653" s="45" t="s">
        <v>8678</v>
      </c>
      <c r="B8653" s="46" t="s">
        <v>21606</v>
      </c>
      <c r="C8653">
        <v>17</v>
      </c>
      <c r="D8653">
        <v>103</v>
      </c>
    </row>
    <row r="8654" spans="1:4" x14ac:dyDescent="0.25">
      <c r="A8654" s="45" t="s">
        <v>8679</v>
      </c>
      <c r="B8654" s="46" t="s">
        <v>21607</v>
      </c>
      <c r="C8654">
        <v>17</v>
      </c>
      <c r="D8654">
        <v>103</v>
      </c>
    </row>
    <row r="8655" spans="1:4" x14ac:dyDescent="0.25">
      <c r="A8655" s="45" t="s">
        <v>8680</v>
      </c>
      <c r="B8655" s="46" t="s">
        <v>21608</v>
      </c>
      <c r="C8655">
        <v>17</v>
      </c>
      <c r="D8655">
        <v>103</v>
      </c>
    </row>
    <row r="8656" spans="1:4" x14ac:dyDescent="0.25">
      <c r="A8656" s="45" t="s">
        <v>8681</v>
      </c>
      <c r="B8656" s="46" t="s">
        <v>21609</v>
      </c>
      <c r="C8656">
        <v>17</v>
      </c>
      <c r="D8656">
        <v>103</v>
      </c>
    </row>
    <row r="8657" spans="1:4" x14ac:dyDescent="0.25">
      <c r="A8657" s="45" t="s">
        <v>8682</v>
      </c>
      <c r="B8657" s="46" t="s">
        <v>21610</v>
      </c>
      <c r="C8657">
        <v>17</v>
      </c>
      <c r="D8657">
        <v>103</v>
      </c>
    </row>
    <row r="8658" spans="1:4" x14ac:dyDescent="0.25">
      <c r="A8658" s="45" t="s">
        <v>8683</v>
      </c>
      <c r="B8658" s="46" t="s">
        <v>21611</v>
      </c>
      <c r="C8658">
        <v>17</v>
      </c>
      <c r="D8658">
        <v>104</v>
      </c>
    </row>
    <row r="8659" spans="1:4" x14ac:dyDescent="0.25">
      <c r="A8659" s="45" t="s">
        <v>8684</v>
      </c>
      <c r="B8659" s="46" t="s">
        <v>21612</v>
      </c>
      <c r="C8659">
        <v>17</v>
      </c>
      <c r="D8659">
        <v>104</v>
      </c>
    </row>
    <row r="8660" spans="1:4" x14ac:dyDescent="0.25">
      <c r="A8660" s="45" t="s">
        <v>8685</v>
      </c>
      <c r="B8660" s="46" t="s">
        <v>21613</v>
      </c>
      <c r="C8660">
        <v>17</v>
      </c>
      <c r="D8660">
        <v>104</v>
      </c>
    </row>
    <row r="8661" spans="1:4" x14ac:dyDescent="0.25">
      <c r="A8661" s="45" t="s">
        <v>8686</v>
      </c>
      <c r="B8661" s="46" t="s">
        <v>21614</v>
      </c>
      <c r="C8661">
        <v>17</v>
      </c>
      <c r="D8661">
        <v>104</v>
      </c>
    </row>
    <row r="8662" spans="1:4" x14ac:dyDescent="0.25">
      <c r="A8662" s="45" t="s">
        <v>8687</v>
      </c>
      <c r="B8662" s="46" t="s">
        <v>21615</v>
      </c>
      <c r="C8662">
        <v>17</v>
      </c>
      <c r="D8662">
        <v>104</v>
      </c>
    </row>
    <row r="8663" spans="1:4" x14ac:dyDescent="0.25">
      <c r="A8663" s="45" t="s">
        <v>8688</v>
      </c>
      <c r="B8663" s="46" t="s">
        <v>21616</v>
      </c>
      <c r="C8663">
        <v>17</v>
      </c>
      <c r="D8663">
        <v>104</v>
      </c>
    </row>
    <row r="8664" spans="1:4" x14ac:dyDescent="0.25">
      <c r="A8664" s="45" t="s">
        <v>8689</v>
      </c>
      <c r="B8664" s="46" t="s">
        <v>21617</v>
      </c>
      <c r="C8664">
        <v>17</v>
      </c>
      <c r="D8664">
        <v>104</v>
      </c>
    </row>
    <row r="8665" spans="1:4" x14ac:dyDescent="0.25">
      <c r="A8665" s="45" t="s">
        <v>8690</v>
      </c>
      <c r="B8665" s="46" t="s">
        <v>21618</v>
      </c>
      <c r="C8665">
        <v>17</v>
      </c>
      <c r="D8665">
        <v>104</v>
      </c>
    </row>
    <row r="8666" spans="1:4" x14ac:dyDescent="0.25">
      <c r="A8666" s="45" t="s">
        <v>8691</v>
      </c>
      <c r="B8666" s="46" t="s">
        <v>21619</v>
      </c>
      <c r="C8666">
        <v>17</v>
      </c>
      <c r="D8666">
        <v>104</v>
      </c>
    </row>
    <row r="8667" spans="1:4" x14ac:dyDescent="0.25">
      <c r="A8667" s="45" t="s">
        <v>8692</v>
      </c>
      <c r="B8667" s="46" t="s">
        <v>21620</v>
      </c>
      <c r="C8667">
        <v>17</v>
      </c>
      <c r="D8667">
        <v>104</v>
      </c>
    </row>
    <row r="8668" spans="1:4" x14ac:dyDescent="0.25">
      <c r="A8668" s="45" t="s">
        <v>8693</v>
      </c>
      <c r="B8668" s="46" t="s">
        <v>21621</v>
      </c>
      <c r="C8668">
        <v>17</v>
      </c>
      <c r="D8668">
        <v>104</v>
      </c>
    </row>
    <row r="8669" spans="1:4" x14ac:dyDescent="0.25">
      <c r="A8669" s="45" t="s">
        <v>8694</v>
      </c>
      <c r="B8669" s="46" t="s">
        <v>21622</v>
      </c>
      <c r="C8669">
        <v>17</v>
      </c>
      <c r="D8669">
        <v>104</v>
      </c>
    </row>
    <row r="8670" spans="1:4" x14ac:dyDescent="0.25">
      <c r="A8670" s="45" t="s">
        <v>8695</v>
      </c>
      <c r="B8670" s="46" t="s">
        <v>21623</v>
      </c>
      <c r="C8670">
        <v>17</v>
      </c>
      <c r="D8670">
        <v>104</v>
      </c>
    </row>
    <row r="8671" spans="1:4" x14ac:dyDescent="0.25">
      <c r="A8671" s="45" t="s">
        <v>8696</v>
      </c>
      <c r="B8671" s="46" t="s">
        <v>21624</v>
      </c>
      <c r="C8671">
        <v>17</v>
      </c>
      <c r="D8671">
        <v>104</v>
      </c>
    </row>
    <row r="8672" spans="1:4" x14ac:dyDescent="0.25">
      <c r="A8672" s="45" t="s">
        <v>8697</v>
      </c>
      <c r="B8672" s="46" t="s">
        <v>21625</v>
      </c>
      <c r="C8672">
        <v>17</v>
      </c>
      <c r="D8672">
        <v>104</v>
      </c>
    </row>
    <row r="8673" spans="1:4" x14ac:dyDescent="0.25">
      <c r="A8673" s="45" t="s">
        <v>8698</v>
      </c>
      <c r="B8673" s="46" t="s">
        <v>21626</v>
      </c>
      <c r="C8673">
        <v>17</v>
      </c>
      <c r="D8673">
        <v>104</v>
      </c>
    </row>
    <row r="8674" spans="1:4" x14ac:dyDescent="0.25">
      <c r="A8674" s="45" t="s">
        <v>8699</v>
      </c>
      <c r="B8674" s="46" t="s">
        <v>21627</v>
      </c>
      <c r="C8674">
        <v>17</v>
      </c>
      <c r="D8674">
        <v>104</v>
      </c>
    </row>
    <row r="8675" spans="1:4" x14ac:dyDescent="0.25">
      <c r="A8675" s="45" t="s">
        <v>8700</v>
      </c>
      <c r="B8675" s="46" t="s">
        <v>21628</v>
      </c>
      <c r="C8675">
        <v>17</v>
      </c>
      <c r="D8675">
        <v>104</v>
      </c>
    </row>
    <row r="8676" spans="1:4" x14ac:dyDescent="0.25">
      <c r="A8676" s="45" t="s">
        <v>8701</v>
      </c>
      <c r="B8676" s="46" t="s">
        <v>21629</v>
      </c>
      <c r="C8676">
        <v>17</v>
      </c>
      <c r="D8676">
        <v>104</v>
      </c>
    </row>
    <row r="8677" spans="1:4" x14ac:dyDescent="0.25">
      <c r="A8677" s="45" t="s">
        <v>8702</v>
      </c>
      <c r="B8677" s="46" t="s">
        <v>21630</v>
      </c>
      <c r="C8677">
        <v>17</v>
      </c>
      <c r="D8677">
        <v>104</v>
      </c>
    </row>
    <row r="8678" spans="1:4" x14ac:dyDescent="0.25">
      <c r="A8678" s="45" t="s">
        <v>8703</v>
      </c>
      <c r="B8678" s="46" t="s">
        <v>21631</v>
      </c>
      <c r="C8678">
        <v>17</v>
      </c>
      <c r="D8678">
        <v>104</v>
      </c>
    </row>
    <row r="8679" spans="1:4" x14ac:dyDescent="0.25">
      <c r="A8679" s="45" t="s">
        <v>8704</v>
      </c>
      <c r="B8679" s="46" t="s">
        <v>21632</v>
      </c>
      <c r="C8679">
        <v>17</v>
      </c>
      <c r="D8679">
        <v>104</v>
      </c>
    </row>
    <row r="8680" spans="1:4" x14ac:dyDescent="0.25">
      <c r="A8680" s="45" t="s">
        <v>8705</v>
      </c>
      <c r="B8680" s="46" t="s">
        <v>21633</v>
      </c>
      <c r="C8680">
        <v>17</v>
      </c>
      <c r="D8680">
        <v>104</v>
      </c>
    </row>
    <row r="8681" spans="1:4" x14ac:dyDescent="0.25">
      <c r="A8681" s="45" t="s">
        <v>8706</v>
      </c>
      <c r="B8681" s="46" t="s">
        <v>21634</v>
      </c>
      <c r="C8681">
        <v>17</v>
      </c>
      <c r="D8681">
        <v>104</v>
      </c>
    </row>
    <row r="8682" spans="1:4" x14ac:dyDescent="0.25">
      <c r="A8682" s="45" t="s">
        <v>8707</v>
      </c>
      <c r="B8682" s="46" t="s">
        <v>21635</v>
      </c>
      <c r="C8682">
        <v>17</v>
      </c>
      <c r="D8682">
        <v>104</v>
      </c>
    </row>
    <row r="8683" spans="1:4" x14ac:dyDescent="0.25">
      <c r="A8683" s="45" t="s">
        <v>8708</v>
      </c>
      <c r="B8683" s="46" t="s">
        <v>21636</v>
      </c>
      <c r="C8683">
        <v>17</v>
      </c>
      <c r="D8683">
        <v>104</v>
      </c>
    </row>
    <row r="8684" spans="1:4" x14ac:dyDescent="0.25">
      <c r="A8684" s="45" t="s">
        <v>8709</v>
      </c>
      <c r="B8684" s="46" t="s">
        <v>21637</v>
      </c>
      <c r="C8684">
        <v>17</v>
      </c>
      <c r="D8684">
        <v>104</v>
      </c>
    </row>
    <row r="8685" spans="1:4" x14ac:dyDescent="0.25">
      <c r="A8685" s="45" t="s">
        <v>8710</v>
      </c>
      <c r="B8685" s="46" t="s">
        <v>21638</v>
      </c>
      <c r="C8685">
        <v>17</v>
      </c>
      <c r="D8685">
        <v>104</v>
      </c>
    </row>
    <row r="8686" spans="1:4" x14ac:dyDescent="0.25">
      <c r="A8686" s="45" t="s">
        <v>8711</v>
      </c>
      <c r="B8686" s="46" t="s">
        <v>21639</v>
      </c>
      <c r="C8686">
        <v>17</v>
      </c>
      <c r="D8686">
        <v>104</v>
      </c>
    </row>
    <row r="8687" spans="1:4" x14ac:dyDescent="0.25">
      <c r="A8687" s="45" t="s">
        <v>8712</v>
      </c>
      <c r="B8687" s="46" t="s">
        <v>21640</v>
      </c>
      <c r="C8687">
        <v>17</v>
      </c>
      <c r="D8687">
        <v>104</v>
      </c>
    </row>
    <row r="8688" spans="1:4" x14ac:dyDescent="0.25">
      <c r="A8688" s="45" t="s">
        <v>8713</v>
      </c>
      <c r="B8688" s="46" t="s">
        <v>21641</v>
      </c>
      <c r="C8688">
        <v>17</v>
      </c>
      <c r="D8688">
        <v>104</v>
      </c>
    </row>
    <row r="8689" spans="1:4" x14ac:dyDescent="0.25">
      <c r="A8689" s="45" t="s">
        <v>8714</v>
      </c>
      <c r="B8689" s="46" t="s">
        <v>21642</v>
      </c>
      <c r="C8689">
        <v>17</v>
      </c>
      <c r="D8689">
        <v>104</v>
      </c>
    </row>
    <row r="8690" spans="1:4" x14ac:dyDescent="0.25">
      <c r="A8690" s="45" t="s">
        <v>8715</v>
      </c>
      <c r="B8690" s="46" t="s">
        <v>21643</v>
      </c>
      <c r="C8690">
        <v>17</v>
      </c>
      <c r="D8690">
        <v>104</v>
      </c>
    </row>
    <row r="8691" spans="1:4" x14ac:dyDescent="0.25">
      <c r="A8691" s="45" t="s">
        <v>8716</v>
      </c>
      <c r="B8691" s="46" t="s">
        <v>21644</v>
      </c>
      <c r="C8691">
        <v>17</v>
      </c>
      <c r="D8691">
        <v>104</v>
      </c>
    </row>
    <row r="8692" spans="1:4" x14ac:dyDescent="0.25">
      <c r="A8692" s="45" t="s">
        <v>8717</v>
      </c>
      <c r="B8692" s="46" t="s">
        <v>21645</v>
      </c>
      <c r="C8692">
        <v>17</v>
      </c>
      <c r="D8692">
        <v>104</v>
      </c>
    </row>
    <row r="8693" spans="1:4" x14ac:dyDescent="0.25">
      <c r="A8693" s="45" t="s">
        <v>8718</v>
      </c>
      <c r="B8693" s="46" t="s">
        <v>21646</v>
      </c>
      <c r="C8693">
        <v>17</v>
      </c>
      <c r="D8693">
        <v>104</v>
      </c>
    </row>
    <row r="8694" spans="1:4" x14ac:dyDescent="0.25">
      <c r="A8694" s="45" t="s">
        <v>8719</v>
      </c>
      <c r="B8694" s="46" t="s">
        <v>21647</v>
      </c>
      <c r="C8694">
        <v>17</v>
      </c>
      <c r="D8694">
        <v>104</v>
      </c>
    </row>
    <row r="8695" spans="1:4" x14ac:dyDescent="0.25">
      <c r="A8695" s="45" t="s">
        <v>8720</v>
      </c>
      <c r="B8695" s="46" t="s">
        <v>21648</v>
      </c>
      <c r="C8695">
        <v>17</v>
      </c>
      <c r="D8695">
        <v>104</v>
      </c>
    </row>
    <row r="8696" spans="1:4" x14ac:dyDescent="0.25">
      <c r="A8696" s="45" t="s">
        <v>8721</v>
      </c>
      <c r="B8696" s="46" t="s">
        <v>21649</v>
      </c>
      <c r="C8696">
        <v>17</v>
      </c>
      <c r="D8696">
        <v>104</v>
      </c>
    </row>
    <row r="8697" spans="1:4" x14ac:dyDescent="0.25">
      <c r="A8697" s="45" t="s">
        <v>8722</v>
      </c>
      <c r="B8697" s="46" t="s">
        <v>21650</v>
      </c>
      <c r="C8697">
        <v>17</v>
      </c>
      <c r="D8697">
        <v>104</v>
      </c>
    </row>
    <row r="8698" spans="1:4" x14ac:dyDescent="0.25">
      <c r="A8698" s="45" t="s">
        <v>8723</v>
      </c>
      <c r="B8698" s="46" t="s">
        <v>21651</v>
      </c>
      <c r="C8698">
        <v>17</v>
      </c>
      <c r="D8698">
        <v>104</v>
      </c>
    </row>
    <row r="8699" spans="1:4" x14ac:dyDescent="0.25">
      <c r="A8699" s="45" t="s">
        <v>8724</v>
      </c>
      <c r="B8699" s="46" t="s">
        <v>21652</v>
      </c>
      <c r="C8699">
        <v>17</v>
      </c>
      <c r="D8699">
        <v>104</v>
      </c>
    </row>
    <row r="8700" spans="1:4" x14ac:dyDescent="0.25">
      <c r="A8700" s="45" t="s">
        <v>8725</v>
      </c>
      <c r="B8700" s="46" t="s">
        <v>21653</v>
      </c>
      <c r="C8700">
        <v>17</v>
      </c>
      <c r="D8700">
        <v>104</v>
      </c>
    </row>
    <row r="8701" spans="1:4" x14ac:dyDescent="0.25">
      <c r="A8701" s="45" t="s">
        <v>8726</v>
      </c>
      <c r="B8701" s="46" t="s">
        <v>21654</v>
      </c>
      <c r="C8701">
        <v>17</v>
      </c>
      <c r="D8701">
        <v>104</v>
      </c>
    </row>
    <row r="8702" spans="1:4" x14ac:dyDescent="0.25">
      <c r="A8702" s="45" t="s">
        <v>8727</v>
      </c>
      <c r="B8702" s="46" t="s">
        <v>21655</v>
      </c>
      <c r="C8702">
        <v>17</v>
      </c>
      <c r="D8702">
        <v>104</v>
      </c>
    </row>
    <row r="8703" spans="1:4" x14ac:dyDescent="0.25">
      <c r="A8703" s="45" t="s">
        <v>8728</v>
      </c>
      <c r="B8703" s="46" t="s">
        <v>21656</v>
      </c>
      <c r="C8703">
        <v>17</v>
      </c>
      <c r="D8703">
        <v>104</v>
      </c>
    </row>
    <row r="8704" spans="1:4" x14ac:dyDescent="0.25">
      <c r="A8704" s="45" t="s">
        <v>8729</v>
      </c>
      <c r="B8704" s="46" t="s">
        <v>21657</v>
      </c>
      <c r="C8704">
        <v>17</v>
      </c>
      <c r="D8704">
        <v>104</v>
      </c>
    </row>
    <row r="8705" spans="1:4" x14ac:dyDescent="0.25">
      <c r="A8705" s="45" t="s">
        <v>8730</v>
      </c>
      <c r="B8705" s="46" t="s">
        <v>21658</v>
      </c>
      <c r="C8705">
        <v>17</v>
      </c>
      <c r="D8705">
        <v>104</v>
      </c>
    </row>
    <row r="8706" spans="1:4" x14ac:dyDescent="0.25">
      <c r="A8706" s="45" t="s">
        <v>8731</v>
      </c>
      <c r="B8706" s="46" t="s">
        <v>21659</v>
      </c>
      <c r="C8706">
        <v>17</v>
      </c>
      <c r="D8706">
        <v>104</v>
      </c>
    </row>
    <row r="8707" spans="1:4" x14ac:dyDescent="0.25">
      <c r="A8707" s="45" t="s">
        <v>8732</v>
      </c>
      <c r="B8707" s="46" t="s">
        <v>21660</v>
      </c>
      <c r="C8707">
        <v>17</v>
      </c>
      <c r="D8707">
        <v>104</v>
      </c>
    </row>
    <row r="8708" spans="1:4" x14ac:dyDescent="0.25">
      <c r="A8708" s="45" t="s">
        <v>8733</v>
      </c>
      <c r="B8708" s="46" t="s">
        <v>21661</v>
      </c>
      <c r="C8708">
        <v>17</v>
      </c>
      <c r="D8708">
        <v>105</v>
      </c>
    </row>
    <row r="8709" spans="1:4" x14ac:dyDescent="0.25">
      <c r="A8709" s="45" t="s">
        <v>8734</v>
      </c>
      <c r="B8709" s="46" t="s">
        <v>21662</v>
      </c>
      <c r="C8709">
        <v>17</v>
      </c>
      <c r="D8709">
        <v>105</v>
      </c>
    </row>
    <row r="8710" spans="1:4" x14ac:dyDescent="0.25">
      <c r="A8710" s="45" t="s">
        <v>8735</v>
      </c>
      <c r="B8710" s="46" t="s">
        <v>21663</v>
      </c>
      <c r="C8710">
        <v>17</v>
      </c>
      <c r="D8710">
        <v>105</v>
      </c>
    </row>
    <row r="8711" spans="1:4" x14ac:dyDescent="0.25">
      <c r="A8711" s="45" t="s">
        <v>8736</v>
      </c>
      <c r="B8711" s="46" t="s">
        <v>21664</v>
      </c>
      <c r="C8711">
        <v>17</v>
      </c>
      <c r="D8711">
        <v>105</v>
      </c>
    </row>
    <row r="8712" spans="1:4" x14ac:dyDescent="0.25">
      <c r="A8712" s="45" t="s">
        <v>8737</v>
      </c>
      <c r="B8712" s="46" t="s">
        <v>21665</v>
      </c>
      <c r="C8712">
        <v>17</v>
      </c>
      <c r="D8712">
        <v>105</v>
      </c>
    </row>
    <row r="8713" spans="1:4" x14ac:dyDescent="0.25">
      <c r="A8713" s="45" t="s">
        <v>8738</v>
      </c>
      <c r="B8713" s="46" t="s">
        <v>21666</v>
      </c>
      <c r="C8713">
        <v>17</v>
      </c>
      <c r="D8713">
        <v>105</v>
      </c>
    </row>
    <row r="8714" spans="1:4" x14ac:dyDescent="0.25">
      <c r="A8714" s="45" t="s">
        <v>8739</v>
      </c>
      <c r="B8714" s="46" t="s">
        <v>21667</v>
      </c>
      <c r="C8714">
        <v>17</v>
      </c>
      <c r="D8714">
        <v>105</v>
      </c>
    </row>
    <row r="8715" spans="1:4" x14ac:dyDescent="0.25">
      <c r="A8715" s="45" t="s">
        <v>8740</v>
      </c>
      <c r="B8715" s="46" t="s">
        <v>21668</v>
      </c>
      <c r="C8715">
        <v>17</v>
      </c>
      <c r="D8715">
        <v>105</v>
      </c>
    </row>
    <row r="8716" spans="1:4" x14ac:dyDescent="0.25">
      <c r="A8716" s="45" t="s">
        <v>8741</v>
      </c>
      <c r="B8716" s="46" t="s">
        <v>21669</v>
      </c>
      <c r="C8716">
        <v>17</v>
      </c>
      <c r="D8716">
        <v>105</v>
      </c>
    </row>
    <row r="8717" spans="1:4" x14ac:dyDescent="0.25">
      <c r="A8717" s="45" t="s">
        <v>8742</v>
      </c>
      <c r="B8717" s="46" t="s">
        <v>21670</v>
      </c>
      <c r="C8717">
        <v>17</v>
      </c>
      <c r="D8717">
        <v>105</v>
      </c>
    </row>
    <row r="8718" spans="1:4" x14ac:dyDescent="0.25">
      <c r="A8718" s="45" t="s">
        <v>8743</v>
      </c>
      <c r="B8718" s="46" t="s">
        <v>21671</v>
      </c>
      <c r="C8718">
        <v>17</v>
      </c>
      <c r="D8718">
        <v>105</v>
      </c>
    </row>
    <row r="8719" spans="1:4" x14ac:dyDescent="0.25">
      <c r="A8719" s="45" t="s">
        <v>8744</v>
      </c>
      <c r="B8719" s="46" t="s">
        <v>21672</v>
      </c>
      <c r="C8719">
        <v>17</v>
      </c>
      <c r="D8719">
        <v>105</v>
      </c>
    </row>
    <row r="8720" spans="1:4" x14ac:dyDescent="0.25">
      <c r="A8720" s="45" t="s">
        <v>8745</v>
      </c>
      <c r="B8720" s="46" t="s">
        <v>21673</v>
      </c>
      <c r="C8720">
        <v>17</v>
      </c>
      <c r="D8720">
        <v>105</v>
      </c>
    </row>
    <row r="8721" spans="1:4" x14ac:dyDescent="0.25">
      <c r="A8721" s="45" t="s">
        <v>8746</v>
      </c>
      <c r="B8721" s="46" t="s">
        <v>21674</v>
      </c>
      <c r="C8721">
        <v>17</v>
      </c>
      <c r="D8721">
        <v>105</v>
      </c>
    </row>
    <row r="8722" spans="1:4" x14ac:dyDescent="0.25">
      <c r="A8722" s="45" t="s">
        <v>8747</v>
      </c>
      <c r="B8722" s="46" t="s">
        <v>21675</v>
      </c>
      <c r="C8722">
        <v>17</v>
      </c>
      <c r="D8722">
        <v>105</v>
      </c>
    </row>
    <row r="8723" spans="1:4" x14ac:dyDescent="0.25">
      <c r="A8723" s="45" t="s">
        <v>8748</v>
      </c>
      <c r="B8723" s="46" t="s">
        <v>21676</v>
      </c>
      <c r="C8723">
        <v>17</v>
      </c>
      <c r="D8723">
        <v>105</v>
      </c>
    </row>
    <row r="8724" spans="1:4" x14ac:dyDescent="0.25">
      <c r="A8724" s="45" t="s">
        <v>8749</v>
      </c>
      <c r="B8724" s="46" t="s">
        <v>21677</v>
      </c>
      <c r="C8724">
        <v>17</v>
      </c>
      <c r="D8724">
        <v>105</v>
      </c>
    </row>
    <row r="8725" spans="1:4" x14ac:dyDescent="0.25">
      <c r="A8725" s="45" t="s">
        <v>8750</v>
      </c>
      <c r="B8725" s="46" t="s">
        <v>21678</v>
      </c>
      <c r="C8725">
        <v>17</v>
      </c>
      <c r="D8725">
        <v>105</v>
      </c>
    </row>
    <row r="8726" spans="1:4" x14ac:dyDescent="0.25">
      <c r="A8726" s="45" t="s">
        <v>8751</v>
      </c>
      <c r="B8726" s="46" t="s">
        <v>21679</v>
      </c>
      <c r="C8726">
        <v>17</v>
      </c>
      <c r="D8726">
        <v>105</v>
      </c>
    </row>
    <row r="8727" spans="1:4" x14ac:dyDescent="0.25">
      <c r="A8727" s="45" t="s">
        <v>8752</v>
      </c>
      <c r="B8727" s="46" t="s">
        <v>21680</v>
      </c>
      <c r="C8727">
        <v>17</v>
      </c>
      <c r="D8727">
        <v>105</v>
      </c>
    </row>
    <row r="8728" spans="1:4" x14ac:dyDescent="0.25">
      <c r="A8728" s="45" t="s">
        <v>8753</v>
      </c>
      <c r="B8728" s="46" t="s">
        <v>21681</v>
      </c>
      <c r="C8728">
        <v>17</v>
      </c>
      <c r="D8728">
        <v>105</v>
      </c>
    </row>
    <row r="8729" spans="1:4" x14ac:dyDescent="0.25">
      <c r="A8729" s="45" t="s">
        <v>8754</v>
      </c>
      <c r="B8729" s="46" t="s">
        <v>21682</v>
      </c>
      <c r="C8729">
        <v>17</v>
      </c>
      <c r="D8729">
        <v>105</v>
      </c>
    </row>
    <row r="8730" spans="1:4" x14ac:dyDescent="0.25">
      <c r="A8730" s="45" t="s">
        <v>8755</v>
      </c>
      <c r="B8730" s="46" t="s">
        <v>21683</v>
      </c>
      <c r="C8730">
        <v>17</v>
      </c>
      <c r="D8730">
        <v>105</v>
      </c>
    </row>
    <row r="8731" spans="1:4" x14ac:dyDescent="0.25">
      <c r="A8731" s="45" t="s">
        <v>8756</v>
      </c>
      <c r="B8731" s="46" t="s">
        <v>21684</v>
      </c>
      <c r="C8731">
        <v>17</v>
      </c>
      <c r="D8731">
        <v>105</v>
      </c>
    </row>
    <row r="8732" spans="1:4" x14ac:dyDescent="0.25">
      <c r="A8732" s="45" t="s">
        <v>8757</v>
      </c>
      <c r="B8732" s="46" t="s">
        <v>21685</v>
      </c>
      <c r="C8732">
        <v>17</v>
      </c>
      <c r="D8732">
        <v>105</v>
      </c>
    </row>
    <row r="8733" spans="1:4" x14ac:dyDescent="0.25">
      <c r="A8733" s="45" t="s">
        <v>8758</v>
      </c>
      <c r="B8733" s="46" t="s">
        <v>21686</v>
      </c>
      <c r="C8733">
        <v>17</v>
      </c>
      <c r="D8733">
        <v>105</v>
      </c>
    </row>
    <row r="8734" spans="1:4" x14ac:dyDescent="0.25">
      <c r="A8734" s="45" t="s">
        <v>8759</v>
      </c>
      <c r="B8734" s="46" t="s">
        <v>21687</v>
      </c>
      <c r="C8734">
        <v>17</v>
      </c>
      <c r="D8734">
        <v>105</v>
      </c>
    </row>
    <row r="8735" spans="1:4" x14ac:dyDescent="0.25">
      <c r="A8735" s="45" t="s">
        <v>8760</v>
      </c>
      <c r="B8735" s="46" t="s">
        <v>21688</v>
      </c>
      <c r="C8735">
        <v>17</v>
      </c>
      <c r="D8735">
        <v>105</v>
      </c>
    </row>
    <row r="8736" spans="1:4" x14ac:dyDescent="0.25">
      <c r="A8736" s="45" t="s">
        <v>8761</v>
      </c>
      <c r="B8736" s="46" t="s">
        <v>21689</v>
      </c>
      <c r="C8736">
        <v>17</v>
      </c>
      <c r="D8736">
        <v>105</v>
      </c>
    </row>
    <row r="8737" spans="1:4" x14ac:dyDescent="0.25">
      <c r="A8737" s="45" t="s">
        <v>8762</v>
      </c>
      <c r="B8737" s="46" t="s">
        <v>21690</v>
      </c>
      <c r="C8737">
        <v>17</v>
      </c>
      <c r="D8737">
        <v>105</v>
      </c>
    </row>
    <row r="8738" spans="1:4" x14ac:dyDescent="0.25">
      <c r="A8738" s="45" t="s">
        <v>8763</v>
      </c>
      <c r="B8738" s="46" t="s">
        <v>21691</v>
      </c>
      <c r="C8738">
        <v>17</v>
      </c>
      <c r="D8738">
        <v>105</v>
      </c>
    </row>
    <row r="8739" spans="1:4" x14ac:dyDescent="0.25">
      <c r="A8739" s="45" t="s">
        <v>8764</v>
      </c>
      <c r="B8739" s="46" t="s">
        <v>21692</v>
      </c>
      <c r="C8739">
        <v>17</v>
      </c>
      <c r="D8739">
        <v>105</v>
      </c>
    </row>
    <row r="8740" spans="1:4" x14ac:dyDescent="0.25">
      <c r="A8740" s="45" t="s">
        <v>8765</v>
      </c>
      <c r="B8740" s="46" t="s">
        <v>21693</v>
      </c>
      <c r="C8740">
        <v>17</v>
      </c>
      <c r="D8740">
        <v>105</v>
      </c>
    </row>
    <row r="8741" spans="1:4" x14ac:dyDescent="0.25">
      <c r="A8741" s="45" t="s">
        <v>8766</v>
      </c>
      <c r="B8741" s="46" t="s">
        <v>21694</v>
      </c>
      <c r="C8741">
        <v>17</v>
      </c>
      <c r="D8741">
        <v>105</v>
      </c>
    </row>
    <row r="8742" spans="1:4" x14ac:dyDescent="0.25">
      <c r="A8742" s="45" t="s">
        <v>8767</v>
      </c>
      <c r="B8742" s="46" t="s">
        <v>21695</v>
      </c>
      <c r="C8742">
        <v>17</v>
      </c>
      <c r="D8742">
        <v>105</v>
      </c>
    </row>
    <row r="8743" spans="1:4" x14ac:dyDescent="0.25">
      <c r="A8743" s="45" t="s">
        <v>8768</v>
      </c>
      <c r="B8743" s="46" t="s">
        <v>21696</v>
      </c>
      <c r="C8743">
        <v>17</v>
      </c>
      <c r="D8743">
        <v>105</v>
      </c>
    </row>
    <row r="8744" spans="1:4" x14ac:dyDescent="0.25">
      <c r="A8744" s="45" t="s">
        <v>8769</v>
      </c>
      <c r="B8744" s="46" t="s">
        <v>21697</v>
      </c>
      <c r="C8744">
        <v>17</v>
      </c>
      <c r="D8744">
        <v>105</v>
      </c>
    </row>
    <row r="8745" spans="1:4" x14ac:dyDescent="0.25">
      <c r="A8745" s="45" t="s">
        <v>8770</v>
      </c>
      <c r="B8745" s="46" t="s">
        <v>21698</v>
      </c>
      <c r="C8745">
        <v>17</v>
      </c>
      <c r="D8745">
        <v>105</v>
      </c>
    </row>
    <row r="8746" spans="1:4" x14ac:dyDescent="0.25">
      <c r="A8746" s="45" t="s">
        <v>8771</v>
      </c>
      <c r="B8746" s="46" t="s">
        <v>21699</v>
      </c>
      <c r="C8746">
        <v>17</v>
      </c>
      <c r="D8746">
        <v>105</v>
      </c>
    </row>
    <row r="8747" spans="1:4" x14ac:dyDescent="0.25">
      <c r="A8747" s="45" t="s">
        <v>8772</v>
      </c>
      <c r="B8747" s="46" t="s">
        <v>21700</v>
      </c>
      <c r="C8747">
        <v>17</v>
      </c>
      <c r="D8747">
        <v>105</v>
      </c>
    </row>
    <row r="8748" spans="1:4" x14ac:dyDescent="0.25">
      <c r="A8748" s="45" t="s">
        <v>8773</v>
      </c>
      <c r="B8748" s="46" t="s">
        <v>21701</v>
      </c>
      <c r="C8748">
        <v>17</v>
      </c>
      <c r="D8748">
        <v>105</v>
      </c>
    </row>
    <row r="8749" spans="1:4" x14ac:dyDescent="0.25">
      <c r="A8749" s="45" t="s">
        <v>8774</v>
      </c>
      <c r="B8749" s="46" t="s">
        <v>21702</v>
      </c>
      <c r="C8749">
        <v>17</v>
      </c>
      <c r="D8749">
        <v>105</v>
      </c>
    </row>
    <row r="8750" spans="1:4" x14ac:dyDescent="0.25">
      <c r="A8750" s="45" t="s">
        <v>8775</v>
      </c>
      <c r="B8750" s="46" t="s">
        <v>21703</v>
      </c>
      <c r="C8750">
        <v>17</v>
      </c>
      <c r="D8750">
        <v>105</v>
      </c>
    </row>
    <row r="8751" spans="1:4" x14ac:dyDescent="0.25">
      <c r="A8751" s="45" t="s">
        <v>8776</v>
      </c>
      <c r="B8751" s="46" t="s">
        <v>21704</v>
      </c>
      <c r="C8751">
        <v>17</v>
      </c>
      <c r="D8751">
        <v>105</v>
      </c>
    </row>
    <row r="8752" spans="1:4" x14ac:dyDescent="0.25">
      <c r="A8752" s="45" t="s">
        <v>8777</v>
      </c>
      <c r="B8752" s="46" t="s">
        <v>21705</v>
      </c>
      <c r="C8752">
        <v>17</v>
      </c>
      <c r="D8752">
        <v>105</v>
      </c>
    </row>
    <row r="8753" spans="1:4" x14ac:dyDescent="0.25">
      <c r="A8753" s="45" t="s">
        <v>8778</v>
      </c>
      <c r="B8753" s="46" t="s">
        <v>21706</v>
      </c>
      <c r="C8753">
        <v>17</v>
      </c>
      <c r="D8753">
        <v>105</v>
      </c>
    </row>
    <row r="8754" spans="1:4" x14ac:dyDescent="0.25">
      <c r="A8754" s="45" t="s">
        <v>8779</v>
      </c>
      <c r="B8754" s="46" t="s">
        <v>21707</v>
      </c>
      <c r="C8754">
        <v>17</v>
      </c>
      <c r="D8754">
        <v>105</v>
      </c>
    </row>
    <row r="8755" spans="1:4" x14ac:dyDescent="0.25">
      <c r="A8755" s="45" t="s">
        <v>8780</v>
      </c>
      <c r="B8755" s="46" t="s">
        <v>21708</v>
      </c>
      <c r="C8755">
        <v>17</v>
      </c>
      <c r="D8755">
        <v>105</v>
      </c>
    </row>
    <row r="8756" spans="1:4" x14ac:dyDescent="0.25">
      <c r="A8756" s="45" t="s">
        <v>8781</v>
      </c>
      <c r="B8756" s="46" t="s">
        <v>21709</v>
      </c>
      <c r="C8756">
        <v>17</v>
      </c>
      <c r="D8756">
        <v>105</v>
      </c>
    </row>
    <row r="8757" spans="1:4" x14ac:dyDescent="0.25">
      <c r="A8757" s="45" t="s">
        <v>8782</v>
      </c>
      <c r="B8757" s="46" t="s">
        <v>21710</v>
      </c>
      <c r="C8757">
        <v>17</v>
      </c>
      <c r="D8757">
        <v>105</v>
      </c>
    </row>
    <row r="8758" spans="1:4" x14ac:dyDescent="0.25">
      <c r="A8758" s="45" t="s">
        <v>8783</v>
      </c>
      <c r="B8758" s="46" t="s">
        <v>21711</v>
      </c>
      <c r="C8758">
        <v>17</v>
      </c>
      <c r="D8758">
        <v>105</v>
      </c>
    </row>
    <row r="8759" spans="1:4" x14ac:dyDescent="0.25">
      <c r="A8759" s="45" t="s">
        <v>8784</v>
      </c>
      <c r="B8759" s="46" t="s">
        <v>21712</v>
      </c>
      <c r="C8759">
        <v>17</v>
      </c>
      <c r="D8759">
        <v>105</v>
      </c>
    </row>
    <row r="8760" spans="1:4" x14ac:dyDescent="0.25">
      <c r="A8760" s="45" t="s">
        <v>8785</v>
      </c>
      <c r="B8760" s="46" t="s">
        <v>21713</v>
      </c>
      <c r="C8760">
        <v>17</v>
      </c>
      <c r="D8760">
        <v>105</v>
      </c>
    </row>
    <row r="8761" spans="1:4" x14ac:dyDescent="0.25">
      <c r="A8761" s="45" t="s">
        <v>8786</v>
      </c>
      <c r="B8761" s="46" t="s">
        <v>21714</v>
      </c>
      <c r="C8761">
        <v>17</v>
      </c>
      <c r="D8761">
        <v>105</v>
      </c>
    </row>
    <row r="8762" spans="1:4" x14ac:dyDescent="0.25">
      <c r="A8762" s="45" t="s">
        <v>8787</v>
      </c>
      <c r="B8762" s="46" t="s">
        <v>21715</v>
      </c>
      <c r="C8762">
        <v>17</v>
      </c>
      <c r="D8762">
        <v>105</v>
      </c>
    </row>
    <row r="8763" spans="1:4" x14ac:dyDescent="0.25">
      <c r="A8763" s="45" t="s">
        <v>8788</v>
      </c>
      <c r="B8763" s="46" t="s">
        <v>21716</v>
      </c>
      <c r="C8763">
        <v>17</v>
      </c>
      <c r="D8763">
        <v>105</v>
      </c>
    </row>
    <row r="8764" spans="1:4" x14ac:dyDescent="0.25">
      <c r="A8764" s="45" t="s">
        <v>8789</v>
      </c>
      <c r="B8764" s="46" t="s">
        <v>21717</v>
      </c>
      <c r="C8764">
        <v>17</v>
      </c>
      <c r="D8764">
        <v>105</v>
      </c>
    </row>
    <row r="8765" spans="1:4" x14ac:dyDescent="0.25">
      <c r="A8765" s="45" t="s">
        <v>8790</v>
      </c>
      <c r="B8765" s="46" t="s">
        <v>21718</v>
      </c>
      <c r="C8765">
        <v>17</v>
      </c>
      <c r="D8765">
        <v>105</v>
      </c>
    </row>
    <row r="8766" spans="1:4" x14ac:dyDescent="0.25">
      <c r="A8766" s="45" t="s">
        <v>8791</v>
      </c>
      <c r="B8766" s="46" t="s">
        <v>21719</v>
      </c>
      <c r="C8766">
        <v>17</v>
      </c>
      <c r="D8766">
        <v>105</v>
      </c>
    </row>
    <row r="8767" spans="1:4" x14ac:dyDescent="0.25">
      <c r="A8767" s="45" t="s">
        <v>8792</v>
      </c>
      <c r="B8767" s="46" t="s">
        <v>21720</v>
      </c>
      <c r="C8767">
        <v>17</v>
      </c>
      <c r="D8767">
        <v>105</v>
      </c>
    </row>
    <row r="8768" spans="1:4" x14ac:dyDescent="0.25">
      <c r="A8768" s="45" t="s">
        <v>8793</v>
      </c>
      <c r="B8768" s="46" t="s">
        <v>21721</v>
      </c>
      <c r="C8768">
        <v>17</v>
      </c>
      <c r="D8768">
        <v>105</v>
      </c>
    </row>
    <row r="8769" spans="1:4" x14ac:dyDescent="0.25">
      <c r="A8769" s="45" t="s">
        <v>8794</v>
      </c>
      <c r="B8769" s="46" t="s">
        <v>21722</v>
      </c>
      <c r="C8769">
        <v>17</v>
      </c>
      <c r="D8769">
        <v>105</v>
      </c>
    </row>
    <row r="8770" spans="1:4" x14ac:dyDescent="0.25">
      <c r="A8770" s="45" t="s">
        <v>8795</v>
      </c>
      <c r="B8770" s="46" t="s">
        <v>21723</v>
      </c>
      <c r="C8770">
        <v>17</v>
      </c>
      <c r="D8770">
        <v>105</v>
      </c>
    </row>
    <row r="8771" spans="1:4" x14ac:dyDescent="0.25">
      <c r="A8771" s="45" t="s">
        <v>8796</v>
      </c>
      <c r="B8771" s="46" t="s">
        <v>21724</v>
      </c>
      <c r="C8771">
        <v>17</v>
      </c>
      <c r="D8771">
        <v>105</v>
      </c>
    </row>
    <row r="8772" spans="1:4" x14ac:dyDescent="0.25">
      <c r="A8772" s="45" t="s">
        <v>8797</v>
      </c>
      <c r="B8772" s="46" t="s">
        <v>21725</v>
      </c>
      <c r="C8772">
        <v>17</v>
      </c>
      <c r="D8772">
        <v>105</v>
      </c>
    </row>
    <row r="8773" spans="1:4" x14ac:dyDescent="0.25">
      <c r="A8773" s="45" t="s">
        <v>8798</v>
      </c>
      <c r="B8773" s="46" t="s">
        <v>21726</v>
      </c>
      <c r="C8773">
        <v>17</v>
      </c>
      <c r="D8773">
        <v>105</v>
      </c>
    </row>
    <row r="8774" spans="1:4" x14ac:dyDescent="0.25">
      <c r="A8774" s="45" t="s">
        <v>8799</v>
      </c>
      <c r="B8774" s="46" t="s">
        <v>21727</v>
      </c>
      <c r="C8774">
        <v>17</v>
      </c>
      <c r="D8774">
        <v>105</v>
      </c>
    </row>
    <row r="8775" spans="1:4" x14ac:dyDescent="0.25">
      <c r="A8775" s="45" t="s">
        <v>8800</v>
      </c>
      <c r="B8775" s="46" t="s">
        <v>21728</v>
      </c>
      <c r="C8775">
        <v>17</v>
      </c>
      <c r="D8775">
        <v>105</v>
      </c>
    </row>
    <row r="8776" spans="1:4" x14ac:dyDescent="0.25">
      <c r="A8776" s="45" t="s">
        <v>8801</v>
      </c>
      <c r="B8776" s="46" t="s">
        <v>21729</v>
      </c>
      <c r="C8776">
        <v>17</v>
      </c>
      <c r="D8776">
        <v>105</v>
      </c>
    </row>
    <row r="8777" spans="1:4" x14ac:dyDescent="0.25">
      <c r="A8777" s="45" t="s">
        <v>8802</v>
      </c>
      <c r="B8777" s="46" t="s">
        <v>21730</v>
      </c>
      <c r="C8777">
        <v>17</v>
      </c>
      <c r="D8777">
        <v>105</v>
      </c>
    </row>
    <row r="8778" spans="1:4" x14ac:dyDescent="0.25">
      <c r="A8778" s="45" t="s">
        <v>8803</v>
      </c>
      <c r="B8778" s="46" t="s">
        <v>21731</v>
      </c>
      <c r="C8778">
        <v>17</v>
      </c>
      <c r="D8778">
        <v>105</v>
      </c>
    </row>
    <row r="8779" spans="1:4" x14ac:dyDescent="0.25">
      <c r="A8779" s="45" t="s">
        <v>8804</v>
      </c>
      <c r="B8779" s="46" t="s">
        <v>21732</v>
      </c>
      <c r="C8779">
        <v>17</v>
      </c>
      <c r="D8779">
        <v>105</v>
      </c>
    </row>
    <row r="8780" spans="1:4" x14ac:dyDescent="0.25">
      <c r="A8780" s="45" t="s">
        <v>8805</v>
      </c>
      <c r="B8780" s="46" t="s">
        <v>21733</v>
      </c>
      <c r="C8780">
        <v>17</v>
      </c>
      <c r="D8780">
        <v>105</v>
      </c>
    </row>
    <row r="8781" spans="1:4" x14ac:dyDescent="0.25">
      <c r="A8781" s="45" t="s">
        <v>8806</v>
      </c>
      <c r="B8781" s="46" t="s">
        <v>21734</v>
      </c>
      <c r="C8781">
        <v>17</v>
      </c>
      <c r="D8781">
        <v>105</v>
      </c>
    </row>
    <row r="8782" spans="1:4" x14ac:dyDescent="0.25">
      <c r="A8782" s="45" t="s">
        <v>8807</v>
      </c>
      <c r="B8782" s="46" t="s">
        <v>21735</v>
      </c>
      <c r="C8782">
        <v>17</v>
      </c>
      <c r="D8782">
        <v>105</v>
      </c>
    </row>
    <row r="8783" spans="1:4" x14ac:dyDescent="0.25">
      <c r="A8783" s="45" t="s">
        <v>8808</v>
      </c>
      <c r="B8783" s="46" t="s">
        <v>21736</v>
      </c>
      <c r="C8783">
        <v>17</v>
      </c>
      <c r="D8783">
        <v>105</v>
      </c>
    </row>
    <row r="8784" spans="1:4" x14ac:dyDescent="0.25">
      <c r="A8784" s="45" t="s">
        <v>8809</v>
      </c>
      <c r="B8784" s="46" t="s">
        <v>21737</v>
      </c>
      <c r="C8784">
        <v>17</v>
      </c>
      <c r="D8784">
        <v>105</v>
      </c>
    </row>
    <row r="8785" spans="1:4" x14ac:dyDescent="0.25">
      <c r="A8785" s="45" t="s">
        <v>8810</v>
      </c>
      <c r="B8785" s="46" t="s">
        <v>21738</v>
      </c>
      <c r="C8785">
        <v>17</v>
      </c>
      <c r="D8785">
        <v>105</v>
      </c>
    </row>
    <row r="8786" spans="1:4" x14ac:dyDescent="0.25">
      <c r="A8786" s="45" t="s">
        <v>8811</v>
      </c>
      <c r="B8786" s="46" t="s">
        <v>21739</v>
      </c>
      <c r="C8786">
        <v>17</v>
      </c>
      <c r="D8786">
        <v>105</v>
      </c>
    </row>
    <row r="8787" spans="1:4" x14ac:dyDescent="0.25">
      <c r="A8787" s="45" t="s">
        <v>8812</v>
      </c>
      <c r="B8787" s="46" t="s">
        <v>21740</v>
      </c>
      <c r="C8787">
        <v>17</v>
      </c>
      <c r="D8787">
        <v>105</v>
      </c>
    </row>
    <row r="8788" spans="1:4" x14ac:dyDescent="0.25">
      <c r="A8788" s="45" t="s">
        <v>8813</v>
      </c>
      <c r="B8788" s="46" t="s">
        <v>21741</v>
      </c>
      <c r="C8788">
        <v>17</v>
      </c>
      <c r="D8788">
        <v>105</v>
      </c>
    </row>
    <row r="8789" spans="1:4" x14ac:dyDescent="0.25">
      <c r="A8789" s="45" t="s">
        <v>8814</v>
      </c>
      <c r="B8789" s="46" t="s">
        <v>21742</v>
      </c>
      <c r="C8789">
        <v>17</v>
      </c>
      <c r="D8789">
        <v>105</v>
      </c>
    </row>
    <row r="8790" spans="1:4" x14ac:dyDescent="0.25">
      <c r="A8790" s="45" t="s">
        <v>8815</v>
      </c>
      <c r="B8790" s="46" t="s">
        <v>21743</v>
      </c>
      <c r="C8790">
        <v>17</v>
      </c>
      <c r="D8790">
        <v>105</v>
      </c>
    </row>
    <row r="8791" spans="1:4" x14ac:dyDescent="0.25">
      <c r="A8791" s="45" t="s">
        <v>8816</v>
      </c>
      <c r="B8791" s="46" t="s">
        <v>21744</v>
      </c>
      <c r="C8791">
        <v>17</v>
      </c>
      <c r="D8791">
        <v>105</v>
      </c>
    </row>
    <row r="8792" spans="1:4" x14ac:dyDescent="0.25">
      <c r="A8792" s="45" t="s">
        <v>8817</v>
      </c>
      <c r="B8792" s="46" t="s">
        <v>21745</v>
      </c>
      <c r="C8792">
        <v>17</v>
      </c>
      <c r="D8792">
        <v>105</v>
      </c>
    </row>
    <row r="8793" spans="1:4" x14ac:dyDescent="0.25">
      <c r="A8793" s="45" t="s">
        <v>8818</v>
      </c>
      <c r="B8793" s="46" t="s">
        <v>21746</v>
      </c>
      <c r="C8793">
        <v>17</v>
      </c>
      <c r="D8793">
        <v>105</v>
      </c>
    </row>
    <row r="8794" spans="1:4" x14ac:dyDescent="0.25">
      <c r="A8794" s="45" t="s">
        <v>8819</v>
      </c>
      <c r="B8794" s="46" t="s">
        <v>21747</v>
      </c>
      <c r="C8794">
        <v>17</v>
      </c>
      <c r="D8794">
        <v>105</v>
      </c>
    </row>
    <row r="8795" spans="1:4" x14ac:dyDescent="0.25">
      <c r="A8795" s="45" t="s">
        <v>8820</v>
      </c>
      <c r="B8795" s="46" t="s">
        <v>21748</v>
      </c>
      <c r="C8795">
        <v>17</v>
      </c>
      <c r="D8795">
        <v>105</v>
      </c>
    </row>
    <row r="8796" spans="1:4" x14ac:dyDescent="0.25">
      <c r="A8796" s="45" t="s">
        <v>8821</v>
      </c>
      <c r="B8796" s="46" t="s">
        <v>21749</v>
      </c>
      <c r="C8796">
        <v>17</v>
      </c>
      <c r="D8796">
        <v>105</v>
      </c>
    </row>
    <row r="8797" spans="1:4" x14ac:dyDescent="0.25">
      <c r="A8797" s="45" t="s">
        <v>8822</v>
      </c>
      <c r="B8797" s="46" t="s">
        <v>21750</v>
      </c>
      <c r="C8797">
        <v>17</v>
      </c>
      <c r="D8797">
        <v>105</v>
      </c>
    </row>
    <row r="8798" spans="1:4" x14ac:dyDescent="0.25">
      <c r="A8798" s="45" t="s">
        <v>8823</v>
      </c>
      <c r="B8798" s="46" t="s">
        <v>21751</v>
      </c>
      <c r="C8798">
        <v>17</v>
      </c>
      <c r="D8798">
        <v>105</v>
      </c>
    </row>
    <row r="8799" spans="1:4" x14ac:dyDescent="0.25">
      <c r="A8799" s="45" t="s">
        <v>8824</v>
      </c>
      <c r="B8799" s="46" t="s">
        <v>21752</v>
      </c>
      <c r="C8799">
        <v>17</v>
      </c>
      <c r="D8799">
        <v>105</v>
      </c>
    </row>
    <row r="8800" spans="1:4" x14ac:dyDescent="0.25">
      <c r="A8800" s="45" t="s">
        <v>8825</v>
      </c>
      <c r="B8800" s="46" t="s">
        <v>21753</v>
      </c>
      <c r="C8800">
        <v>17</v>
      </c>
      <c r="D8800">
        <v>105</v>
      </c>
    </row>
    <row r="8801" spans="1:4" x14ac:dyDescent="0.25">
      <c r="A8801" s="45" t="s">
        <v>8826</v>
      </c>
      <c r="B8801" s="46" t="s">
        <v>21754</v>
      </c>
      <c r="C8801">
        <v>17</v>
      </c>
      <c r="D8801">
        <v>105</v>
      </c>
    </row>
    <row r="8802" spans="1:4" x14ac:dyDescent="0.25">
      <c r="A8802" s="45" t="s">
        <v>8827</v>
      </c>
      <c r="B8802" s="46" t="s">
        <v>21755</v>
      </c>
      <c r="C8802">
        <v>17</v>
      </c>
      <c r="D8802">
        <v>105</v>
      </c>
    </row>
    <row r="8803" spans="1:4" x14ac:dyDescent="0.25">
      <c r="A8803" s="45" t="s">
        <v>8828</v>
      </c>
      <c r="B8803" s="46" t="s">
        <v>21756</v>
      </c>
      <c r="C8803">
        <v>17</v>
      </c>
      <c r="D8803">
        <v>105</v>
      </c>
    </row>
    <row r="8804" spans="1:4" x14ac:dyDescent="0.25">
      <c r="A8804" s="45" t="s">
        <v>8829</v>
      </c>
      <c r="B8804" s="46" t="s">
        <v>21757</v>
      </c>
      <c r="C8804">
        <v>17</v>
      </c>
      <c r="D8804">
        <v>105</v>
      </c>
    </row>
    <row r="8805" spans="1:4" x14ac:dyDescent="0.25">
      <c r="A8805" s="45" t="s">
        <v>8830</v>
      </c>
      <c r="B8805" s="46" t="s">
        <v>21758</v>
      </c>
      <c r="C8805">
        <v>17</v>
      </c>
      <c r="D8805">
        <v>105</v>
      </c>
    </row>
    <row r="8806" spans="1:4" x14ac:dyDescent="0.25">
      <c r="A8806" s="45" t="s">
        <v>8831</v>
      </c>
      <c r="B8806" s="46" t="s">
        <v>21759</v>
      </c>
      <c r="C8806">
        <v>17</v>
      </c>
      <c r="D8806">
        <v>105</v>
      </c>
    </row>
    <row r="8807" spans="1:4" x14ac:dyDescent="0.25">
      <c r="A8807" s="45" t="s">
        <v>8832</v>
      </c>
      <c r="B8807" s="46" t="s">
        <v>21760</v>
      </c>
      <c r="C8807">
        <v>17</v>
      </c>
      <c r="D8807">
        <v>105</v>
      </c>
    </row>
    <row r="8808" spans="1:4" x14ac:dyDescent="0.25">
      <c r="A8808" s="45" t="s">
        <v>8833</v>
      </c>
      <c r="B8808" s="46" t="s">
        <v>21761</v>
      </c>
      <c r="C8808">
        <v>17</v>
      </c>
      <c r="D8808">
        <v>105</v>
      </c>
    </row>
    <row r="8809" spans="1:4" x14ac:dyDescent="0.25">
      <c r="A8809" s="45" t="s">
        <v>8834</v>
      </c>
      <c r="B8809" s="46" t="s">
        <v>21762</v>
      </c>
      <c r="C8809">
        <v>17</v>
      </c>
      <c r="D8809">
        <v>105</v>
      </c>
    </row>
    <row r="8810" spans="1:4" x14ac:dyDescent="0.25">
      <c r="A8810" s="45" t="s">
        <v>8835</v>
      </c>
      <c r="B8810" s="46" t="s">
        <v>21763</v>
      </c>
      <c r="C8810">
        <v>17</v>
      </c>
      <c r="D8810">
        <v>105</v>
      </c>
    </row>
    <row r="8811" spans="1:4" x14ac:dyDescent="0.25">
      <c r="A8811" s="45" t="s">
        <v>8836</v>
      </c>
      <c r="B8811" s="46" t="s">
        <v>21764</v>
      </c>
      <c r="C8811">
        <v>17</v>
      </c>
      <c r="D8811">
        <v>105</v>
      </c>
    </row>
    <row r="8812" spans="1:4" x14ac:dyDescent="0.25">
      <c r="A8812" s="45" t="s">
        <v>8837</v>
      </c>
      <c r="B8812" s="46" t="s">
        <v>21765</v>
      </c>
      <c r="C8812">
        <v>17</v>
      </c>
      <c r="D8812">
        <v>105</v>
      </c>
    </row>
    <row r="8813" spans="1:4" x14ac:dyDescent="0.25">
      <c r="A8813" s="45" t="s">
        <v>8838</v>
      </c>
      <c r="B8813" s="46" t="s">
        <v>21766</v>
      </c>
      <c r="C8813">
        <v>17</v>
      </c>
      <c r="D8813">
        <v>105</v>
      </c>
    </row>
    <row r="8814" spans="1:4" x14ac:dyDescent="0.25">
      <c r="A8814" s="45" t="s">
        <v>8839</v>
      </c>
      <c r="B8814" s="46" t="s">
        <v>21767</v>
      </c>
      <c r="C8814">
        <v>17</v>
      </c>
      <c r="D8814">
        <v>105</v>
      </c>
    </row>
    <row r="8815" spans="1:4" x14ac:dyDescent="0.25">
      <c r="A8815" s="45" t="s">
        <v>8840</v>
      </c>
      <c r="B8815" s="46" t="s">
        <v>21768</v>
      </c>
      <c r="C8815">
        <v>17</v>
      </c>
      <c r="D8815">
        <v>105</v>
      </c>
    </row>
    <row r="8816" spans="1:4" x14ac:dyDescent="0.25">
      <c r="A8816" s="45" t="s">
        <v>8841</v>
      </c>
      <c r="B8816" s="46" t="s">
        <v>21769</v>
      </c>
      <c r="C8816">
        <v>17</v>
      </c>
      <c r="D8816">
        <v>105</v>
      </c>
    </row>
    <row r="8817" spans="1:4" x14ac:dyDescent="0.25">
      <c r="A8817" s="45" t="s">
        <v>8842</v>
      </c>
      <c r="B8817" s="46" t="s">
        <v>21770</v>
      </c>
      <c r="C8817">
        <v>17</v>
      </c>
      <c r="D8817">
        <v>105</v>
      </c>
    </row>
    <row r="8818" spans="1:4" x14ac:dyDescent="0.25">
      <c r="A8818" s="45" t="s">
        <v>8843</v>
      </c>
      <c r="B8818" s="46" t="s">
        <v>21771</v>
      </c>
      <c r="C8818">
        <v>17</v>
      </c>
      <c r="D8818">
        <v>105</v>
      </c>
    </row>
    <row r="8819" spans="1:4" x14ac:dyDescent="0.25">
      <c r="A8819" s="45" t="s">
        <v>8844</v>
      </c>
      <c r="B8819" s="46" t="s">
        <v>21772</v>
      </c>
      <c r="C8819">
        <v>17</v>
      </c>
      <c r="D8819">
        <v>105</v>
      </c>
    </row>
    <row r="8820" spans="1:4" x14ac:dyDescent="0.25">
      <c r="A8820" s="45" t="s">
        <v>8845</v>
      </c>
      <c r="B8820" s="46" t="s">
        <v>21773</v>
      </c>
      <c r="C8820">
        <v>17</v>
      </c>
      <c r="D8820">
        <v>105</v>
      </c>
    </row>
    <row r="8821" spans="1:4" x14ac:dyDescent="0.25">
      <c r="A8821" s="45" t="s">
        <v>8846</v>
      </c>
      <c r="B8821" s="46" t="s">
        <v>21774</v>
      </c>
      <c r="C8821">
        <v>17</v>
      </c>
      <c r="D8821">
        <v>105</v>
      </c>
    </row>
    <row r="8822" spans="1:4" x14ac:dyDescent="0.25">
      <c r="A8822" s="45" t="s">
        <v>8847</v>
      </c>
      <c r="B8822" s="46" t="s">
        <v>21775</v>
      </c>
      <c r="C8822">
        <v>17</v>
      </c>
      <c r="D8822">
        <v>105</v>
      </c>
    </row>
    <row r="8823" spans="1:4" x14ac:dyDescent="0.25">
      <c r="A8823" s="45" t="s">
        <v>8848</v>
      </c>
      <c r="B8823" s="46" t="s">
        <v>21776</v>
      </c>
      <c r="C8823">
        <v>17</v>
      </c>
      <c r="D8823">
        <v>105</v>
      </c>
    </row>
    <row r="8824" spans="1:4" x14ac:dyDescent="0.25">
      <c r="A8824" s="45" t="s">
        <v>8849</v>
      </c>
      <c r="B8824" s="46" t="s">
        <v>21777</v>
      </c>
      <c r="C8824">
        <v>17</v>
      </c>
      <c r="D8824">
        <v>105</v>
      </c>
    </row>
    <row r="8825" spans="1:4" x14ac:dyDescent="0.25">
      <c r="A8825" s="45" t="s">
        <v>8850</v>
      </c>
      <c r="B8825" s="46" t="s">
        <v>21778</v>
      </c>
      <c r="C8825">
        <v>17</v>
      </c>
      <c r="D8825">
        <v>105</v>
      </c>
    </row>
    <row r="8826" spans="1:4" x14ac:dyDescent="0.25">
      <c r="A8826" s="45" t="s">
        <v>8851</v>
      </c>
      <c r="B8826" s="46" t="s">
        <v>21779</v>
      </c>
      <c r="C8826">
        <v>17</v>
      </c>
      <c r="D8826">
        <v>105</v>
      </c>
    </row>
    <row r="8827" spans="1:4" x14ac:dyDescent="0.25">
      <c r="A8827" s="45" t="s">
        <v>8852</v>
      </c>
      <c r="B8827" s="46" t="s">
        <v>21780</v>
      </c>
      <c r="C8827">
        <v>17</v>
      </c>
      <c r="D8827">
        <v>105</v>
      </c>
    </row>
    <row r="8828" spans="1:4" x14ac:dyDescent="0.25">
      <c r="A8828" s="45" t="s">
        <v>8853</v>
      </c>
      <c r="B8828" s="46" t="s">
        <v>21781</v>
      </c>
      <c r="C8828">
        <v>17</v>
      </c>
      <c r="D8828">
        <v>105</v>
      </c>
    </row>
    <row r="8829" spans="1:4" x14ac:dyDescent="0.25">
      <c r="A8829" s="45" t="s">
        <v>8854</v>
      </c>
      <c r="B8829" s="46" t="s">
        <v>21782</v>
      </c>
      <c r="C8829">
        <v>17</v>
      </c>
      <c r="D8829">
        <v>105</v>
      </c>
    </row>
    <row r="8830" spans="1:4" x14ac:dyDescent="0.25">
      <c r="A8830" s="45" t="s">
        <v>8855</v>
      </c>
      <c r="B8830" s="46" t="s">
        <v>21783</v>
      </c>
      <c r="C8830">
        <v>17</v>
      </c>
      <c r="D8830">
        <v>105</v>
      </c>
    </row>
    <row r="8831" spans="1:4" x14ac:dyDescent="0.25">
      <c r="A8831" s="45" t="s">
        <v>8856</v>
      </c>
      <c r="B8831" s="46" t="s">
        <v>21784</v>
      </c>
      <c r="C8831">
        <v>17</v>
      </c>
      <c r="D8831">
        <v>105</v>
      </c>
    </row>
    <row r="8832" spans="1:4" x14ac:dyDescent="0.25">
      <c r="A8832" s="45" t="s">
        <v>8857</v>
      </c>
      <c r="B8832" s="46" t="s">
        <v>21785</v>
      </c>
      <c r="C8832">
        <v>17</v>
      </c>
      <c r="D8832">
        <v>105</v>
      </c>
    </row>
    <row r="8833" spans="1:4" x14ac:dyDescent="0.25">
      <c r="A8833" s="45" t="s">
        <v>8858</v>
      </c>
      <c r="B8833" s="46" t="s">
        <v>21786</v>
      </c>
      <c r="C8833">
        <v>17</v>
      </c>
      <c r="D8833">
        <v>105</v>
      </c>
    </row>
    <row r="8834" spans="1:4" x14ac:dyDescent="0.25">
      <c r="A8834" s="45" t="s">
        <v>8859</v>
      </c>
      <c r="B8834" s="46" t="s">
        <v>21787</v>
      </c>
      <c r="C8834">
        <v>17</v>
      </c>
      <c r="D8834">
        <v>105</v>
      </c>
    </row>
    <row r="8835" spans="1:4" x14ac:dyDescent="0.25">
      <c r="A8835" s="45" t="s">
        <v>8860</v>
      </c>
      <c r="B8835" s="46" t="s">
        <v>21788</v>
      </c>
      <c r="C8835">
        <v>17</v>
      </c>
      <c r="D8835">
        <v>105</v>
      </c>
    </row>
    <row r="8836" spans="1:4" x14ac:dyDescent="0.25">
      <c r="A8836" s="45" t="s">
        <v>8861</v>
      </c>
      <c r="B8836" s="46" t="s">
        <v>21789</v>
      </c>
      <c r="C8836">
        <v>17</v>
      </c>
      <c r="D8836">
        <v>105</v>
      </c>
    </row>
    <row r="8837" spans="1:4" x14ac:dyDescent="0.25">
      <c r="A8837" s="45" t="s">
        <v>8862</v>
      </c>
      <c r="B8837" s="46" t="s">
        <v>21790</v>
      </c>
      <c r="C8837">
        <v>17</v>
      </c>
      <c r="D8837">
        <v>105</v>
      </c>
    </row>
    <row r="8838" spans="1:4" x14ac:dyDescent="0.25">
      <c r="A8838" s="45" t="s">
        <v>8863</v>
      </c>
      <c r="B8838" s="46" t="s">
        <v>21791</v>
      </c>
      <c r="C8838">
        <v>17</v>
      </c>
      <c r="D8838">
        <v>105</v>
      </c>
    </row>
    <row r="8839" spans="1:4" x14ac:dyDescent="0.25">
      <c r="A8839" s="45" t="s">
        <v>8864</v>
      </c>
      <c r="B8839" s="46" t="s">
        <v>21792</v>
      </c>
      <c r="C8839">
        <v>17</v>
      </c>
      <c r="D8839">
        <v>105</v>
      </c>
    </row>
    <row r="8840" spans="1:4" x14ac:dyDescent="0.25">
      <c r="A8840" s="45" t="s">
        <v>8865</v>
      </c>
      <c r="B8840" s="46" t="s">
        <v>21793</v>
      </c>
      <c r="C8840">
        <v>17</v>
      </c>
      <c r="D8840">
        <v>105</v>
      </c>
    </row>
    <row r="8841" spans="1:4" x14ac:dyDescent="0.25">
      <c r="A8841" s="45" t="s">
        <v>8866</v>
      </c>
      <c r="B8841" s="46" t="s">
        <v>21794</v>
      </c>
      <c r="C8841">
        <v>17</v>
      </c>
      <c r="D8841">
        <v>105</v>
      </c>
    </row>
    <row r="8842" spans="1:4" x14ac:dyDescent="0.25">
      <c r="A8842" s="45" t="s">
        <v>8867</v>
      </c>
      <c r="B8842" s="46" t="s">
        <v>21795</v>
      </c>
      <c r="C8842">
        <v>17</v>
      </c>
      <c r="D8842">
        <v>105</v>
      </c>
    </row>
    <row r="8843" spans="1:4" x14ac:dyDescent="0.25">
      <c r="A8843" s="45" t="s">
        <v>8868</v>
      </c>
      <c r="B8843" s="46" t="s">
        <v>21796</v>
      </c>
      <c r="C8843">
        <v>17</v>
      </c>
      <c r="D8843">
        <v>105</v>
      </c>
    </row>
    <row r="8844" spans="1:4" x14ac:dyDescent="0.25">
      <c r="A8844" s="45" t="s">
        <v>8869</v>
      </c>
      <c r="B8844" s="46" t="s">
        <v>21797</v>
      </c>
      <c r="C8844">
        <v>17</v>
      </c>
      <c r="D8844">
        <v>105</v>
      </c>
    </row>
    <row r="8845" spans="1:4" x14ac:dyDescent="0.25">
      <c r="A8845" s="45" t="s">
        <v>8870</v>
      </c>
      <c r="B8845" s="46" t="s">
        <v>21798</v>
      </c>
      <c r="C8845">
        <v>17</v>
      </c>
      <c r="D8845">
        <v>105</v>
      </c>
    </row>
    <row r="8846" spans="1:4" x14ac:dyDescent="0.25">
      <c r="A8846" s="45" t="s">
        <v>8871</v>
      </c>
      <c r="B8846" s="46" t="s">
        <v>21799</v>
      </c>
      <c r="C8846">
        <v>17</v>
      </c>
      <c r="D8846">
        <v>105</v>
      </c>
    </row>
    <row r="8847" spans="1:4" x14ac:dyDescent="0.25">
      <c r="A8847" s="45" t="s">
        <v>8872</v>
      </c>
      <c r="B8847" s="46" t="s">
        <v>21800</v>
      </c>
      <c r="C8847">
        <v>17</v>
      </c>
      <c r="D8847">
        <v>105</v>
      </c>
    </row>
    <row r="8848" spans="1:4" x14ac:dyDescent="0.25">
      <c r="A8848" s="45" t="s">
        <v>8873</v>
      </c>
      <c r="B8848" s="46" t="s">
        <v>21801</v>
      </c>
      <c r="C8848">
        <v>17</v>
      </c>
      <c r="D8848">
        <v>105</v>
      </c>
    </row>
    <row r="8849" spans="1:4" x14ac:dyDescent="0.25">
      <c r="A8849" s="45" t="s">
        <v>8874</v>
      </c>
      <c r="B8849" s="46" t="s">
        <v>21802</v>
      </c>
      <c r="C8849">
        <v>17</v>
      </c>
      <c r="D8849">
        <v>105</v>
      </c>
    </row>
    <row r="8850" spans="1:4" x14ac:dyDescent="0.25">
      <c r="A8850" s="45" t="s">
        <v>8875</v>
      </c>
      <c r="B8850" s="46" t="s">
        <v>21803</v>
      </c>
      <c r="C8850">
        <v>17</v>
      </c>
      <c r="D8850">
        <v>105</v>
      </c>
    </row>
    <row r="8851" spans="1:4" x14ac:dyDescent="0.25">
      <c r="A8851" s="45" t="s">
        <v>8876</v>
      </c>
      <c r="B8851" s="46" t="s">
        <v>21804</v>
      </c>
      <c r="C8851">
        <v>17</v>
      </c>
      <c r="D8851">
        <v>105</v>
      </c>
    </row>
    <row r="8852" spans="1:4" x14ac:dyDescent="0.25">
      <c r="A8852" s="45" t="s">
        <v>8877</v>
      </c>
      <c r="B8852" s="46" t="s">
        <v>21805</v>
      </c>
      <c r="C8852">
        <v>17</v>
      </c>
      <c r="D8852">
        <v>105</v>
      </c>
    </row>
    <row r="8853" spans="1:4" x14ac:dyDescent="0.25">
      <c r="A8853" s="45" t="s">
        <v>8878</v>
      </c>
      <c r="B8853" s="46" t="s">
        <v>21806</v>
      </c>
      <c r="C8853">
        <v>17</v>
      </c>
      <c r="D8853">
        <v>105</v>
      </c>
    </row>
    <row r="8854" spans="1:4" x14ac:dyDescent="0.25">
      <c r="A8854" s="45" t="s">
        <v>8879</v>
      </c>
      <c r="B8854" s="46" t="s">
        <v>21807</v>
      </c>
      <c r="C8854">
        <v>17</v>
      </c>
      <c r="D8854">
        <v>105</v>
      </c>
    </row>
    <row r="8855" spans="1:4" x14ac:dyDescent="0.25">
      <c r="A8855" s="45" t="s">
        <v>8880</v>
      </c>
      <c r="B8855" s="46" t="s">
        <v>21808</v>
      </c>
      <c r="C8855">
        <v>17</v>
      </c>
      <c r="D8855">
        <v>105</v>
      </c>
    </row>
    <row r="8856" spans="1:4" x14ac:dyDescent="0.25">
      <c r="A8856" s="45" t="s">
        <v>8881</v>
      </c>
      <c r="B8856" s="46" t="s">
        <v>21809</v>
      </c>
      <c r="C8856">
        <v>17</v>
      </c>
      <c r="D8856">
        <v>105</v>
      </c>
    </row>
    <row r="8857" spans="1:4" x14ac:dyDescent="0.25">
      <c r="A8857" s="45" t="s">
        <v>8882</v>
      </c>
      <c r="B8857" s="46" t="s">
        <v>21810</v>
      </c>
      <c r="C8857">
        <v>17</v>
      </c>
      <c r="D8857">
        <v>105</v>
      </c>
    </row>
    <row r="8858" spans="1:4" x14ac:dyDescent="0.25">
      <c r="A8858" s="45" t="s">
        <v>8883</v>
      </c>
      <c r="B8858" s="46" t="s">
        <v>21811</v>
      </c>
      <c r="C8858">
        <v>17</v>
      </c>
      <c r="D8858">
        <v>105</v>
      </c>
    </row>
    <row r="8859" spans="1:4" x14ac:dyDescent="0.25">
      <c r="A8859" s="45" t="s">
        <v>8884</v>
      </c>
      <c r="B8859" s="46" t="s">
        <v>21812</v>
      </c>
      <c r="C8859">
        <v>17</v>
      </c>
      <c r="D8859">
        <v>105</v>
      </c>
    </row>
    <row r="8860" spans="1:4" x14ac:dyDescent="0.25">
      <c r="A8860" s="45" t="s">
        <v>8885</v>
      </c>
      <c r="B8860" s="46" t="s">
        <v>21813</v>
      </c>
      <c r="C8860">
        <v>17</v>
      </c>
      <c r="D8860">
        <v>105</v>
      </c>
    </row>
    <row r="8861" spans="1:4" x14ac:dyDescent="0.25">
      <c r="A8861" s="45" t="s">
        <v>8886</v>
      </c>
      <c r="B8861" s="46" t="s">
        <v>21814</v>
      </c>
      <c r="C8861">
        <v>17</v>
      </c>
      <c r="D8861">
        <v>105</v>
      </c>
    </row>
    <row r="8862" spans="1:4" x14ac:dyDescent="0.25">
      <c r="A8862" s="45" t="s">
        <v>8887</v>
      </c>
      <c r="B8862" s="46" t="s">
        <v>21815</v>
      </c>
      <c r="C8862">
        <v>17</v>
      </c>
      <c r="D8862">
        <v>105</v>
      </c>
    </row>
    <row r="8863" spans="1:4" x14ac:dyDescent="0.25">
      <c r="A8863" s="45" t="s">
        <v>8888</v>
      </c>
      <c r="B8863" s="46" t="s">
        <v>21816</v>
      </c>
      <c r="C8863">
        <v>17</v>
      </c>
      <c r="D8863">
        <v>105</v>
      </c>
    </row>
    <row r="8864" spans="1:4" x14ac:dyDescent="0.25">
      <c r="A8864" s="45" t="s">
        <v>8889</v>
      </c>
      <c r="B8864" s="46" t="s">
        <v>21817</v>
      </c>
      <c r="C8864">
        <v>17</v>
      </c>
      <c r="D8864">
        <v>105</v>
      </c>
    </row>
    <row r="8865" spans="1:4" x14ac:dyDescent="0.25">
      <c r="A8865" s="45" t="s">
        <v>8890</v>
      </c>
      <c r="B8865" s="46" t="s">
        <v>21818</v>
      </c>
      <c r="C8865">
        <v>17</v>
      </c>
      <c r="D8865">
        <v>105</v>
      </c>
    </row>
    <row r="8866" spans="1:4" x14ac:dyDescent="0.25">
      <c r="A8866" s="45" t="s">
        <v>8891</v>
      </c>
      <c r="B8866" s="46" t="s">
        <v>21819</v>
      </c>
      <c r="C8866">
        <v>17</v>
      </c>
      <c r="D8866">
        <v>105</v>
      </c>
    </row>
    <row r="8867" spans="1:4" x14ac:dyDescent="0.25">
      <c r="A8867" s="45" t="s">
        <v>8892</v>
      </c>
      <c r="B8867" s="46" t="s">
        <v>21820</v>
      </c>
      <c r="C8867">
        <v>17</v>
      </c>
      <c r="D8867">
        <v>105</v>
      </c>
    </row>
    <row r="8868" spans="1:4" x14ac:dyDescent="0.25">
      <c r="A8868" s="45" t="s">
        <v>8893</v>
      </c>
      <c r="B8868" s="46" t="s">
        <v>21821</v>
      </c>
      <c r="C8868">
        <v>17</v>
      </c>
      <c r="D8868">
        <v>105</v>
      </c>
    </row>
    <row r="8869" spans="1:4" x14ac:dyDescent="0.25">
      <c r="A8869" s="45" t="s">
        <v>8894</v>
      </c>
      <c r="B8869" s="46" t="s">
        <v>21822</v>
      </c>
      <c r="C8869">
        <v>17</v>
      </c>
      <c r="D8869">
        <v>105</v>
      </c>
    </row>
    <row r="8870" spans="1:4" x14ac:dyDescent="0.25">
      <c r="A8870" s="45" t="s">
        <v>8895</v>
      </c>
      <c r="B8870" s="46" t="s">
        <v>21823</v>
      </c>
      <c r="C8870">
        <v>17</v>
      </c>
      <c r="D8870">
        <v>105</v>
      </c>
    </row>
    <row r="8871" spans="1:4" x14ac:dyDescent="0.25">
      <c r="A8871" s="45" t="s">
        <v>8896</v>
      </c>
      <c r="B8871" s="46" t="s">
        <v>21824</v>
      </c>
      <c r="C8871">
        <v>17</v>
      </c>
      <c r="D8871">
        <v>105</v>
      </c>
    </row>
    <row r="8872" spans="1:4" x14ac:dyDescent="0.25">
      <c r="A8872" s="45" t="s">
        <v>8897</v>
      </c>
      <c r="B8872" s="46" t="s">
        <v>21825</v>
      </c>
      <c r="C8872">
        <v>17</v>
      </c>
      <c r="D8872">
        <v>105</v>
      </c>
    </row>
    <row r="8873" spans="1:4" x14ac:dyDescent="0.25">
      <c r="A8873" s="45" t="s">
        <v>8898</v>
      </c>
      <c r="B8873" s="46" t="s">
        <v>21826</v>
      </c>
      <c r="C8873">
        <v>17</v>
      </c>
      <c r="D8873">
        <v>105</v>
      </c>
    </row>
    <row r="8874" spans="1:4" x14ac:dyDescent="0.25">
      <c r="A8874" s="45" t="s">
        <v>8899</v>
      </c>
      <c r="B8874" s="46" t="s">
        <v>21827</v>
      </c>
      <c r="C8874">
        <v>17</v>
      </c>
      <c r="D8874">
        <v>105</v>
      </c>
    </row>
    <row r="8875" spans="1:4" x14ac:dyDescent="0.25">
      <c r="A8875" s="45" t="s">
        <v>8900</v>
      </c>
      <c r="B8875" s="46" t="s">
        <v>21828</v>
      </c>
      <c r="C8875">
        <v>17</v>
      </c>
      <c r="D8875">
        <v>105</v>
      </c>
    </row>
    <row r="8876" spans="1:4" x14ac:dyDescent="0.25">
      <c r="A8876" s="45" t="s">
        <v>8901</v>
      </c>
      <c r="B8876" s="46" t="s">
        <v>21829</v>
      </c>
      <c r="C8876">
        <v>17</v>
      </c>
      <c r="D8876">
        <v>105</v>
      </c>
    </row>
    <row r="8877" spans="1:4" x14ac:dyDescent="0.25">
      <c r="A8877" s="45" t="s">
        <v>8902</v>
      </c>
      <c r="B8877" s="46" t="s">
        <v>21830</v>
      </c>
      <c r="C8877">
        <v>17</v>
      </c>
      <c r="D8877">
        <v>105</v>
      </c>
    </row>
    <row r="8878" spans="1:4" x14ac:dyDescent="0.25">
      <c r="A8878" s="45" t="s">
        <v>8903</v>
      </c>
      <c r="B8878" s="46" t="s">
        <v>21831</v>
      </c>
      <c r="C8878">
        <v>17</v>
      </c>
      <c r="D8878">
        <v>105</v>
      </c>
    </row>
    <row r="8879" spans="1:4" x14ac:dyDescent="0.25">
      <c r="A8879" s="45" t="s">
        <v>8904</v>
      </c>
      <c r="B8879" s="46" t="s">
        <v>21832</v>
      </c>
      <c r="C8879">
        <v>17</v>
      </c>
      <c r="D8879">
        <v>105</v>
      </c>
    </row>
    <row r="8880" spans="1:4" x14ac:dyDescent="0.25">
      <c r="A8880" s="45" t="s">
        <v>8905</v>
      </c>
      <c r="B8880" s="46" t="s">
        <v>21833</v>
      </c>
      <c r="C8880">
        <v>17</v>
      </c>
      <c r="D8880">
        <v>105</v>
      </c>
    </row>
    <row r="8881" spans="1:4" x14ac:dyDescent="0.25">
      <c r="A8881" s="45" t="s">
        <v>8906</v>
      </c>
      <c r="B8881" s="46" t="s">
        <v>21834</v>
      </c>
      <c r="C8881">
        <v>17</v>
      </c>
      <c r="D8881">
        <v>105</v>
      </c>
    </row>
    <row r="8882" spans="1:4" x14ac:dyDescent="0.25">
      <c r="A8882" s="45" t="s">
        <v>8907</v>
      </c>
      <c r="B8882" s="46" t="s">
        <v>21835</v>
      </c>
      <c r="C8882">
        <v>17</v>
      </c>
      <c r="D8882">
        <v>105</v>
      </c>
    </row>
    <row r="8883" spans="1:4" x14ac:dyDescent="0.25">
      <c r="A8883" s="45" t="s">
        <v>8908</v>
      </c>
      <c r="B8883" s="46" t="s">
        <v>21836</v>
      </c>
      <c r="C8883">
        <v>18</v>
      </c>
      <c r="D8883">
        <v>999</v>
      </c>
    </row>
    <row r="8884" spans="1:4" x14ac:dyDescent="0.25">
      <c r="A8884" s="45" t="s">
        <v>8909</v>
      </c>
      <c r="B8884" s="46" t="s">
        <v>21837</v>
      </c>
      <c r="C8884">
        <v>18</v>
      </c>
      <c r="D8884">
        <v>999</v>
      </c>
    </row>
    <row r="8885" spans="1:4" x14ac:dyDescent="0.25">
      <c r="A8885" s="45" t="s">
        <v>8910</v>
      </c>
      <c r="B8885" s="46" t="s">
        <v>21838</v>
      </c>
      <c r="C8885">
        <v>18</v>
      </c>
      <c r="D8885">
        <v>999</v>
      </c>
    </row>
    <row r="8886" spans="1:4" x14ac:dyDescent="0.25">
      <c r="A8886" s="45" t="s">
        <v>8911</v>
      </c>
      <c r="B8886" s="46" t="s">
        <v>21839</v>
      </c>
      <c r="C8886">
        <v>18</v>
      </c>
      <c r="D8886">
        <v>999</v>
      </c>
    </row>
    <row r="8887" spans="1:4" x14ac:dyDescent="0.25">
      <c r="A8887" s="45" t="s">
        <v>8912</v>
      </c>
      <c r="B8887" s="46" t="s">
        <v>21840</v>
      </c>
      <c r="C8887">
        <v>18</v>
      </c>
      <c r="D8887">
        <v>999</v>
      </c>
    </row>
    <row r="8888" spans="1:4" x14ac:dyDescent="0.25">
      <c r="A8888" s="45" t="s">
        <v>8913</v>
      </c>
      <c r="B8888" s="46" t="s">
        <v>21841</v>
      </c>
      <c r="C8888">
        <v>18</v>
      </c>
      <c r="D8888">
        <v>999</v>
      </c>
    </row>
    <row r="8889" spans="1:4" x14ac:dyDescent="0.25">
      <c r="A8889" s="45" t="s">
        <v>8914</v>
      </c>
      <c r="B8889" s="46" t="s">
        <v>21842</v>
      </c>
      <c r="C8889">
        <v>18</v>
      </c>
      <c r="D8889">
        <v>999</v>
      </c>
    </row>
    <row r="8890" spans="1:4" x14ac:dyDescent="0.25">
      <c r="A8890" s="45" t="s">
        <v>8915</v>
      </c>
      <c r="B8890" s="46" t="s">
        <v>21843</v>
      </c>
      <c r="C8890">
        <v>18</v>
      </c>
      <c r="D8890">
        <v>999</v>
      </c>
    </row>
    <row r="8891" spans="1:4" x14ac:dyDescent="0.25">
      <c r="A8891" s="45" t="s">
        <v>8916</v>
      </c>
      <c r="B8891" s="46" t="s">
        <v>21844</v>
      </c>
      <c r="C8891">
        <v>18</v>
      </c>
      <c r="D8891">
        <v>999</v>
      </c>
    </row>
    <row r="8892" spans="1:4" x14ac:dyDescent="0.25">
      <c r="A8892" s="45" t="s">
        <v>8917</v>
      </c>
      <c r="B8892" s="46" t="s">
        <v>21845</v>
      </c>
      <c r="C8892">
        <v>18</v>
      </c>
      <c r="D8892">
        <v>999</v>
      </c>
    </row>
    <row r="8893" spans="1:4" x14ac:dyDescent="0.25">
      <c r="A8893" s="45" t="s">
        <v>8918</v>
      </c>
      <c r="B8893" s="46" t="s">
        <v>21846</v>
      </c>
      <c r="C8893">
        <v>18</v>
      </c>
      <c r="D8893">
        <v>999</v>
      </c>
    </row>
    <row r="8894" spans="1:4" x14ac:dyDescent="0.25">
      <c r="A8894" s="45" t="s">
        <v>8919</v>
      </c>
      <c r="B8894" s="46" t="s">
        <v>21847</v>
      </c>
      <c r="C8894">
        <v>18</v>
      </c>
      <c r="D8894">
        <v>999</v>
      </c>
    </row>
    <row r="8895" spans="1:4" x14ac:dyDescent="0.25">
      <c r="A8895" s="45" t="s">
        <v>8920</v>
      </c>
      <c r="B8895" s="46" t="s">
        <v>21848</v>
      </c>
      <c r="C8895">
        <v>18</v>
      </c>
      <c r="D8895">
        <v>999</v>
      </c>
    </row>
    <row r="8896" spans="1:4" x14ac:dyDescent="0.25">
      <c r="A8896" s="45" t="s">
        <v>8921</v>
      </c>
      <c r="B8896" s="46" t="s">
        <v>21849</v>
      </c>
      <c r="C8896">
        <v>18</v>
      </c>
      <c r="D8896">
        <v>999</v>
      </c>
    </row>
    <row r="8897" spans="1:4" x14ac:dyDescent="0.25">
      <c r="A8897" s="45" t="s">
        <v>8922</v>
      </c>
      <c r="B8897" s="46" t="s">
        <v>21850</v>
      </c>
      <c r="C8897">
        <v>18</v>
      </c>
      <c r="D8897">
        <v>999</v>
      </c>
    </row>
    <row r="8898" spans="1:4" x14ac:dyDescent="0.25">
      <c r="A8898" s="45" t="s">
        <v>8923</v>
      </c>
      <c r="B8898" s="46" t="s">
        <v>21851</v>
      </c>
      <c r="C8898">
        <v>18</v>
      </c>
      <c r="D8898">
        <v>999</v>
      </c>
    </row>
    <row r="8899" spans="1:4" x14ac:dyDescent="0.25">
      <c r="A8899" s="45" t="s">
        <v>8924</v>
      </c>
      <c r="B8899" s="46" t="s">
        <v>21852</v>
      </c>
      <c r="C8899">
        <v>18</v>
      </c>
      <c r="D8899">
        <v>999</v>
      </c>
    </row>
    <row r="8900" spans="1:4" x14ac:dyDescent="0.25">
      <c r="A8900" s="45" t="s">
        <v>8925</v>
      </c>
      <c r="B8900" s="46" t="s">
        <v>21853</v>
      </c>
      <c r="C8900">
        <v>18</v>
      </c>
      <c r="D8900">
        <v>999</v>
      </c>
    </row>
    <row r="8901" spans="1:4" x14ac:dyDescent="0.25">
      <c r="A8901" s="45" t="s">
        <v>8926</v>
      </c>
      <c r="B8901" s="46" t="s">
        <v>21854</v>
      </c>
      <c r="C8901">
        <v>18</v>
      </c>
      <c r="D8901">
        <v>999</v>
      </c>
    </row>
    <row r="8902" spans="1:4" x14ac:dyDescent="0.25">
      <c r="A8902" s="45" t="s">
        <v>8927</v>
      </c>
      <c r="B8902" s="46" t="s">
        <v>21855</v>
      </c>
      <c r="C8902">
        <v>18</v>
      </c>
      <c r="D8902">
        <v>999</v>
      </c>
    </row>
    <row r="8903" spans="1:4" x14ac:dyDescent="0.25">
      <c r="A8903" s="45" t="s">
        <v>8928</v>
      </c>
      <c r="B8903" s="46" t="s">
        <v>21856</v>
      </c>
      <c r="C8903">
        <v>18</v>
      </c>
      <c r="D8903">
        <v>999</v>
      </c>
    </row>
    <row r="8904" spans="1:4" x14ac:dyDescent="0.25">
      <c r="A8904" s="45" t="s">
        <v>8929</v>
      </c>
      <c r="B8904" s="46" t="s">
        <v>21857</v>
      </c>
      <c r="C8904">
        <v>18</v>
      </c>
      <c r="D8904">
        <v>999</v>
      </c>
    </row>
    <row r="8905" spans="1:4" x14ac:dyDescent="0.25">
      <c r="A8905" s="45" t="s">
        <v>8930</v>
      </c>
      <c r="B8905" s="46" t="s">
        <v>21858</v>
      </c>
      <c r="C8905">
        <v>18</v>
      </c>
      <c r="D8905">
        <v>999</v>
      </c>
    </row>
    <row r="8906" spans="1:4" x14ac:dyDescent="0.25">
      <c r="A8906" s="45" t="s">
        <v>8931</v>
      </c>
      <c r="B8906" s="46" t="s">
        <v>21859</v>
      </c>
      <c r="C8906">
        <v>18</v>
      </c>
      <c r="D8906">
        <v>999</v>
      </c>
    </row>
    <row r="8907" spans="1:4" x14ac:dyDescent="0.25">
      <c r="A8907" s="45" t="s">
        <v>8932</v>
      </c>
      <c r="B8907" s="46" t="s">
        <v>21860</v>
      </c>
      <c r="C8907">
        <v>18</v>
      </c>
      <c r="D8907">
        <v>999</v>
      </c>
    </row>
    <row r="8908" spans="1:4" x14ac:dyDescent="0.25">
      <c r="A8908" s="45" t="s">
        <v>8933</v>
      </c>
      <c r="B8908" s="46" t="s">
        <v>21861</v>
      </c>
      <c r="C8908">
        <v>18</v>
      </c>
      <c r="D8908">
        <v>999</v>
      </c>
    </row>
    <row r="8909" spans="1:4" x14ac:dyDescent="0.25">
      <c r="A8909" s="45" t="s">
        <v>8934</v>
      </c>
      <c r="B8909" s="46" t="s">
        <v>21862</v>
      </c>
      <c r="C8909">
        <v>18</v>
      </c>
      <c r="D8909">
        <v>999</v>
      </c>
    </row>
    <row r="8910" spans="1:4" x14ac:dyDescent="0.25">
      <c r="A8910" s="45" t="s">
        <v>8935</v>
      </c>
      <c r="B8910" s="46" t="s">
        <v>21863</v>
      </c>
      <c r="C8910">
        <v>18</v>
      </c>
      <c r="D8910">
        <v>999</v>
      </c>
    </row>
    <row r="8911" spans="1:4" x14ac:dyDescent="0.25">
      <c r="A8911" s="45" t="s">
        <v>8936</v>
      </c>
      <c r="B8911" s="46" t="s">
        <v>21864</v>
      </c>
      <c r="C8911">
        <v>18</v>
      </c>
      <c r="D8911">
        <v>999</v>
      </c>
    </row>
    <row r="8912" spans="1:4" x14ac:dyDescent="0.25">
      <c r="A8912" s="45" t="s">
        <v>8937</v>
      </c>
      <c r="B8912" s="46" t="s">
        <v>21865</v>
      </c>
      <c r="C8912">
        <v>18</v>
      </c>
      <c r="D8912">
        <v>999</v>
      </c>
    </row>
    <row r="8913" spans="1:4" x14ac:dyDescent="0.25">
      <c r="A8913" s="45" t="s">
        <v>8938</v>
      </c>
      <c r="B8913" s="46" t="s">
        <v>21866</v>
      </c>
      <c r="C8913">
        <v>18</v>
      </c>
      <c r="D8913">
        <v>999</v>
      </c>
    </row>
    <row r="8914" spans="1:4" x14ac:dyDescent="0.25">
      <c r="A8914" s="45" t="s">
        <v>8939</v>
      </c>
      <c r="B8914" s="46" t="s">
        <v>21867</v>
      </c>
      <c r="C8914">
        <v>18</v>
      </c>
      <c r="D8914">
        <v>999</v>
      </c>
    </row>
    <row r="8915" spans="1:4" x14ac:dyDescent="0.25">
      <c r="A8915" s="45" t="s">
        <v>8940</v>
      </c>
      <c r="B8915" s="46" t="s">
        <v>21868</v>
      </c>
      <c r="C8915">
        <v>18</v>
      </c>
      <c r="D8915">
        <v>999</v>
      </c>
    </row>
    <row r="8916" spans="1:4" x14ac:dyDescent="0.25">
      <c r="A8916" s="45" t="s">
        <v>8941</v>
      </c>
      <c r="B8916" s="46" t="s">
        <v>21869</v>
      </c>
      <c r="C8916">
        <v>18</v>
      </c>
      <c r="D8916">
        <v>999</v>
      </c>
    </row>
    <row r="8917" spans="1:4" x14ac:dyDescent="0.25">
      <c r="A8917" s="45" t="s">
        <v>8942</v>
      </c>
      <c r="B8917" s="46" t="s">
        <v>21870</v>
      </c>
      <c r="C8917">
        <v>18</v>
      </c>
      <c r="D8917">
        <v>999</v>
      </c>
    </row>
    <row r="8918" spans="1:4" x14ac:dyDescent="0.25">
      <c r="A8918" s="45" t="s">
        <v>8943</v>
      </c>
      <c r="B8918" s="46" t="s">
        <v>21871</v>
      </c>
      <c r="C8918">
        <v>18</v>
      </c>
      <c r="D8918">
        <v>999</v>
      </c>
    </row>
    <row r="8919" spans="1:4" x14ac:dyDescent="0.25">
      <c r="A8919" s="45" t="s">
        <v>8944</v>
      </c>
      <c r="B8919" s="46" t="s">
        <v>21872</v>
      </c>
      <c r="C8919">
        <v>18</v>
      </c>
      <c r="D8919">
        <v>999</v>
      </c>
    </row>
    <row r="8920" spans="1:4" x14ac:dyDescent="0.25">
      <c r="A8920" s="45" t="s">
        <v>8945</v>
      </c>
      <c r="B8920" s="46" t="s">
        <v>21873</v>
      </c>
      <c r="C8920">
        <v>18</v>
      </c>
      <c r="D8920">
        <v>999</v>
      </c>
    </row>
    <row r="8921" spans="1:4" x14ac:dyDescent="0.25">
      <c r="A8921" s="45" t="s">
        <v>8946</v>
      </c>
      <c r="B8921" s="46" t="s">
        <v>21874</v>
      </c>
      <c r="C8921">
        <v>18</v>
      </c>
      <c r="D8921">
        <v>999</v>
      </c>
    </row>
    <row r="8922" spans="1:4" x14ac:dyDescent="0.25">
      <c r="A8922" s="45" t="s">
        <v>8947</v>
      </c>
      <c r="B8922" s="46" t="s">
        <v>21875</v>
      </c>
      <c r="C8922">
        <v>18</v>
      </c>
      <c r="D8922">
        <v>999</v>
      </c>
    </row>
    <row r="8923" spans="1:4" x14ac:dyDescent="0.25">
      <c r="A8923" s="45" t="s">
        <v>8948</v>
      </c>
      <c r="B8923" s="46" t="s">
        <v>21876</v>
      </c>
      <c r="C8923">
        <v>18</v>
      </c>
      <c r="D8923">
        <v>999</v>
      </c>
    </row>
    <row r="8924" spans="1:4" x14ac:dyDescent="0.25">
      <c r="A8924" s="45" t="s">
        <v>8949</v>
      </c>
      <c r="B8924" s="46" t="s">
        <v>21877</v>
      </c>
      <c r="C8924">
        <v>18</v>
      </c>
      <c r="D8924">
        <v>999</v>
      </c>
    </row>
    <row r="8925" spans="1:4" x14ac:dyDescent="0.25">
      <c r="A8925" s="45" t="s">
        <v>8950</v>
      </c>
      <c r="B8925" s="46" t="s">
        <v>21878</v>
      </c>
      <c r="C8925">
        <v>18</v>
      </c>
      <c r="D8925">
        <v>999</v>
      </c>
    </row>
    <row r="8926" spans="1:4" x14ac:dyDescent="0.25">
      <c r="A8926" s="45" t="s">
        <v>8951</v>
      </c>
      <c r="B8926" s="46" t="s">
        <v>21879</v>
      </c>
      <c r="C8926">
        <v>18</v>
      </c>
      <c r="D8926">
        <v>999</v>
      </c>
    </row>
    <row r="8927" spans="1:4" x14ac:dyDescent="0.25">
      <c r="A8927" s="45" t="s">
        <v>8952</v>
      </c>
      <c r="B8927" s="46" t="s">
        <v>21880</v>
      </c>
      <c r="C8927">
        <v>18</v>
      </c>
      <c r="D8927">
        <v>999</v>
      </c>
    </row>
    <row r="8928" spans="1:4" x14ac:dyDescent="0.25">
      <c r="A8928" s="45" t="s">
        <v>8953</v>
      </c>
      <c r="B8928" s="46" t="s">
        <v>21881</v>
      </c>
      <c r="C8928">
        <v>18</v>
      </c>
      <c r="D8928">
        <v>999</v>
      </c>
    </row>
    <row r="8929" spans="1:4" x14ac:dyDescent="0.25">
      <c r="A8929" s="45" t="s">
        <v>8954</v>
      </c>
      <c r="B8929" s="46" t="s">
        <v>21882</v>
      </c>
      <c r="C8929">
        <v>18</v>
      </c>
      <c r="D8929">
        <v>999</v>
      </c>
    </row>
    <row r="8930" spans="1:4" x14ac:dyDescent="0.25">
      <c r="A8930" s="45" t="s">
        <v>8955</v>
      </c>
      <c r="B8930" s="46" t="s">
        <v>21883</v>
      </c>
      <c r="C8930">
        <v>18</v>
      </c>
      <c r="D8930">
        <v>999</v>
      </c>
    </row>
    <row r="8931" spans="1:4" x14ac:dyDescent="0.25">
      <c r="A8931" s="45" t="s">
        <v>8956</v>
      </c>
      <c r="B8931" s="46" t="s">
        <v>21884</v>
      </c>
      <c r="C8931">
        <v>18</v>
      </c>
      <c r="D8931">
        <v>999</v>
      </c>
    </row>
    <row r="8932" spans="1:4" x14ac:dyDescent="0.25">
      <c r="A8932" s="45" t="s">
        <v>8957</v>
      </c>
      <c r="B8932" s="46" t="s">
        <v>21885</v>
      </c>
      <c r="C8932">
        <v>18</v>
      </c>
      <c r="D8932">
        <v>999</v>
      </c>
    </row>
    <row r="8933" spans="1:4" x14ac:dyDescent="0.25">
      <c r="A8933" s="45" t="s">
        <v>8958</v>
      </c>
      <c r="B8933" s="46" t="s">
        <v>21886</v>
      </c>
      <c r="C8933">
        <v>18</v>
      </c>
      <c r="D8933">
        <v>999</v>
      </c>
    </row>
    <row r="8934" spans="1:4" x14ac:dyDescent="0.25">
      <c r="A8934" s="45" t="s">
        <v>8959</v>
      </c>
      <c r="B8934" s="46" t="s">
        <v>21887</v>
      </c>
      <c r="C8934">
        <v>18</v>
      </c>
      <c r="D8934">
        <v>999</v>
      </c>
    </row>
    <row r="8935" spans="1:4" x14ac:dyDescent="0.25">
      <c r="A8935" s="45" t="s">
        <v>8960</v>
      </c>
      <c r="B8935" s="46" t="s">
        <v>21888</v>
      </c>
      <c r="C8935">
        <v>18</v>
      </c>
      <c r="D8935">
        <v>999</v>
      </c>
    </row>
    <row r="8936" spans="1:4" x14ac:dyDescent="0.25">
      <c r="A8936" s="45" t="s">
        <v>8961</v>
      </c>
      <c r="B8936" s="46" t="s">
        <v>21889</v>
      </c>
      <c r="C8936">
        <v>18</v>
      </c>
      <c r="D8936">
        <v>999</v>
      </c>
    </row>
    <row r="8937" spans="1:4" x14ac:dyDescent="0.25">
      <c r="A8937" s="45" t="s">
        <v>8962</v>
      </c>
      <c r="B8937" s="46" t="s">
        <v>21890</v>
      </c>
      <c r="C8937">
        <v>18</v>
      </c>
      <c r="D8937">
        <v>999</v>
      </c>
    </row>
    <row r="8938" spans="1:4" x14ac:dyDescent="0.25">
      <c r="A8938" s="45" t="s">
        <v>8963</v>
      </c>
      <c r="B8938" s="46" t="s">
        <v>21891</v>
      </c>
      <c r="C8938">
        <v>18</v>
      </c>
      <c r="D8938">
        <v>999</v>
      </c>
    </row>
    <row r="8939" spans="1:4" x14ac:dyDescent="0.25">
      <c r="A8939" s="45" t="s">
        <v>8964</v>
      </c>
      <c r="B8939" s="46" t="s">
        <v>21892</v>
      </c>
      <c r="C8939">
        <v>18</v>
      </c>
      <c r="D8939">
        <v>999</v>
      </c>
    </row>
    <row r="8940" spans="1:4" x14ac:dyDescent="0.25">
      <c r="A8940" s="45" t="s">
        <v>8965</v>
      </c>
      <c r="B8940" s="46" t="s">
        <v>21893</v>
      </c>
      <c r="C8940">
        <v>18</v>
      </c>
      <c r="D8940">
        <v>999</v>
      </c>
    </row>
    <row r="8941" spans="1:4" x14ac:dyDescent="0.25">
      <c r="A8941" s="45" t="s">
        <v>8966</v>
      </c>
      <c r="B8941" s="46" t="s">
        <v>21894</v>
      </c>
      <c r="C8941">
        <v>18</v>
      </c>
      <c r="D8941">
        <v>999</v>
      </c>
    </row>
    <row r="8942" spans="1:4" x14ac:dyDescent="0.25">
      <c r="A8942" s="45" t="s">
        <v>8967</v>
      </c>
      <c r="B8942" s="46" t="s">
        <v>21895</v>
      </c>
      <c r="C8942">
        <v>18</v>
      </c>
      <c r="D8942">
        <v>999</v>
      </c>
    </row>
    <row r="8943" spans="1:4" x14ac:dyDescent="0.25">
      <c r="A8943" s="45" t="s">
        <v>8968</v>
      </c>
      <c r="B8943" s="46" t="s">
        <v>21896</v>
      </c>
      <c r="C8943">
        <v>18</v>
      </c>
      <c r="D8943">
        <v>999</v>
      </c>
    </row>
    <row r="8944" spans="1:4" x14ac:dyDescent="0.25">
      <c r="A8944" s="45" t="s">
        <v>8969</v>
      </c>
      <c r="B8944" s="46" t="s">
        <v>21897</v>
      </c>
      <c r="C8944">
        <v>18</v>
      </c>
      <c r="D8944">
        <v>999</v>
      </c>
    </row>
    <row r="8945" spans="1:4" x14ac:dyDescent="0.25">
      <c r="A8945" s="45" t="s">
        <v>8970</v>
      </c>
      <c r="B8945" s="46" t="s">
        <v>21898</v>
      </c>
      <c r="C8945">
        <v>18</v>
      </c>
      <c r="D8945">
        <v>999</v>
      </c>
    </row>
    <row r="8946" spans="1:4" x14ac:dyDescent="0.25">
      <c r="A8946" s="45" t="s">
        <v>8971</v>
      </c>
      <c r="B8946" s="46" t="s">
        <v>21899</v>
      </c>
      <c r="C8946">
        <v>18</v>
      </c>
      <c r="D8946">
        <v>999</v>
      </c>
    </row>
    <row r="8947" spans="1:4" x14ac:dyDescent="0.25">
      <c r="A8947" s="45" t="s">
        <v>8972</v>
      </c>
      <c r="B8947" s="46" t="s">
        <v>21900</v>
      </c>
      <c r="C8947">
        <v>18</v>
      </c>
      <c r="D8947">
        <v>999</v>
      </c>
    </row>
    <row r="8948" spans="1:4" x14ac:dyDescent="0.25">
      <c r="A8948" s="45" t="s">
        <v>8973</v>
      </c>
      <c r="B8948" s="46" t="s">
        <v>21901</v>
      </c>
      <c r="C8948">
        <v>18</v>
      </c>
      <c r="D8948">
        <v>999</v>
      </c>
    </row>
    <row r="8949" spans="1:4" x14ac:dyDescent="0.25">
      <c r="A8949" s="45" t="s">
        <v>8974</v>
      </c>
      <c r="B8949" s="46" t="s">
        <v>21902</v>
      </c>
      <c r="C8949">
        <v>18</v>
      </c>
      <c r="D8949">
        <v>999</v>
      </c>
    </row>
    <row r="8950" spans="1:4" x14ac:dyDescent="0.25">
      <c r="A8950" s="45" t="s">
        <v>8975</v>
      </c>
      <c r="B8950" s="46" t="s">
        <v>21903</v>
      </c>
      <c r="C8950">
        <v>18</v>
      </c>
      <c r="D8950">
        <v>999</v>
      </c>
    </row>
    <row r="8951" spans="1:4" x14ac:dyDescent="0.25">
      <c r="A8951" s="45" t="s">
        <v>8976</v>
      </c>
      <c r="B8951" s="46" t="s">
        <v>21904</v>
      </c>
      <c r="C8951">
        <v>18</v>
      </c>
      <c r="D8951">
        <v>999</v>
      </c>
    </row>
    <row r="8952" spans="1:4" x14ac:dyDescent="0.25">
      <c r="A8952" s="45" t="s">
        <v>8977</v>
      </c>
      <c r="B8952" s="46" t="s">
        <v>21905</v>
      </c>
      <c r="C8952">
        <v>18</v>
      </c>
      <c r="D8952">
        <v>999</v>
      </c>
    </row>
    <row r="8953" spans="1:4" x14ac:dyDescent="0.25">
      <c r="A8953" s="45" t="s">
        <v>8978</v>
      </c>
      <c r="B8953" s="46" t="s">
        <v>21906</v>
      </c>
      <c r="C8953">
        <v>18</v>
      </c>
      <c r="D8953">
        <v>999</v>
      </c>
    </row>
    <row r="8954" spans="1:4" x14ac:dyDescent="0.25">
      <c r="A8954" s="45" t="s">
        <v>8979</v>
      </c>
      <c r="B8954" s="46" t="s">
        <v>21907</v>
      </c>
      <c r="C8954">
        <v>18</v>
      </c>
      <c r="D8954">
        <v>999</v>
      </c>
    </row>
    <row r="8955" spans="1:4" x14ac:dyDescent="0.25">
      <c r="A8955" s="45" t="s">
        <v>8980</v>
      </c>
      <c r="B8955" s="46" t="s">
        <v>21908</v>
      </c>
      <c r="C8955">
        <v>18</v>
      </c>
      <c r="D8955">
        <v>999</v>
      </c>
    </row>
    <row r="8956" spans="1:4" x14ac:dyDescent="0.25">
      <c r="A8956" s="45" t="s">
        <v>8981</v>
      </c>
      <c r="B8956" s="46" t="s">
        <v>21909</v>
      </c>
      <c r="C8956">
        <v>18</v>
      </c>
      <c r="D8956">
        <v>999</v>
      </c>
    </row>
    <row r="8957" spans="1:4" x14ac:dyDescent="0.25">
      <c r="A8957" s="45" t="s">
        <v>8982</v>
      </c>
      <c r="B8957" s="46" t="s">
        <v>21910</v>
      </c>
      <c r="C8957">
        <v>18</v>
      </c>
      <c r="D8957">
        <v>999</v>
      </c>
    </row>
    <row r="8958" spans="1:4" x14ac:dyDescent="0.25">
      <c r="A8958" s="45" t="s">
        <v>8983</v>
      </c>
      <c r="B8958" s="46" t="s">
        <v>21911</v>
      </c>
      <c r="C8958">
        <v>18</v>
      </c>
      <c r="D8958">
        <v>999</v>
      </c>
    </row>
    <row r="8959" spans="1:4" x14ac:dyDescent="0.25">
      <c r="A8959" s="45" t="s">
        <v>8984</v>
      </c>
      <c r="B8959" s="46" t="s">
        <v>21912</v>
      </c>
      <c r="C8959">
        <v>18</v>
      </c>
      <c r="D8959">
        <v>999</v>
      </c>
    </row>
    <row r="8960" spans="1:4" x14ac:dyDescent="0.25">
      <c r="A8960" s="45" t="s">
        <v>8985</v>
      </c>
      <c r="B8960" s="46" t="s">
        <v>21913</v>
      </c>
    </row>
    <row r="8961" spans="1:2" x14ac:dyDescent="0.25">
      <c r="A8961" s="45" t="s">
        <v>8986</v>
      </c>
      <c r="B8961" s="46" t="s">
        <v>21914</v>
      </c>
    </row>
    <row r="8962" spans="1:2" x14ac:dyDescent="0.25">
      <c r="A8962" s="45" t="s">
        <v>8987</v>
      </c>
      <c r="B8962" s="46" t="s">
        <v>21915</v>
      </c>
    </row>
    <row r="8963" spans="1:2" x14ac:dyDescent="0.25">
      <c r="A8963" s="45" t="s">
        <v>8988</v>
      </c>
      <c r="B8963" s="46" t="s">
        <v>21916</v>
      </c>
    </row>
    <row r="8964" spans="1:2" x14ac:dyDescent="0.25">
      <c r="A8964" s="45" t="s">
        <v>8989</v>
      </c>
      <c r="B8964" s="46" t="s">
        <v>21917</v>
      </c>
    </row>
    <row r="8965" spans="1:2" x14ac:dyDescent="0.25">
      <c r="A8965" s="45" t="s">
        <v>8990</v>
      </c>
      <c r="B8965" s="46" t="s">
        <v>21918</v>
      </c>
    </row>
    <row r="8966" spans="1:2" x14ac:dyDescent="0.25">
      <c r="A8966" s="45" t="s">
        <v>8991</v>
      </c>
      <c r="B8966" s="46" t="s">
        <v>21919</v>
      </c>
    </row>
    <row r="8967" spans="1:2" x14ac:dyDescent="0.25">
      <c r="A8967" s="45" t="s">
        <v>8992</v>
      </c>
      <c r="B8967" s="46" t="s">
        <v>21920</v>
      </c>
    </row>
    <row r="8968" spans="1:2" x14ac:dyDescent="0.25">
      <c r="A8968" s="45" t="s">
        <v>8993</v>
      </c>
      <c r="B8968" s="46" t="s">
        <v>21921</v>
      </c>
    </row>
    <row r="8969" spans="1:2" x14ac:dyDescent="0.25">
      <c r="A8969" s="45" t="s">
        <v>8994</v>
      </c>
      <c r="B8969" s="46" t="s">
        <v>21922</v>
      </c>
    </row>
    <row r="8970" spans="1:2" x14ac:dyDescent="0.25">
      <c r="A8970" s="45" t="s">
        <v>8995</v>
      </c>
      <c r="B8970" s="46" t="s">
        <v>21923</v>
      </c>
    </row>
    <row r="8971" spans="1:2" x14ac:dyDescent="0.25">
      <c r="A8971" s="45" t="s">
        <v>8996</v>
      </c>
      <c r="B8971" s="46" t="s">
        <v>21924</v>
      </c>
    </row>
    <row r="8972" spans="1:2" x14ac:dyDescent="0.25">
      <c r="A8972" s="45" t="s">
        <v>8997</v>
      </c>
      <c r="B8972" s="46" t="s">
        <v>21925</v>
      </c>
    </row>
    <row r="8973" spans="1:2" x14ac:dyDescent="0.25">
      <c r="A8973" s="45" t="s">
        <v>8998</v>
      </c>
      <c r="B8973" s="46" t="s">
        <v>21926</v>
      </c>
    </row>
    <row r="8974" spans="1:2" x14ac:dyDescent="0.25">
      <c r="A8974" s="45" t="s">
        <v>8999</v>
      </c>
      <c r="B8974" s="46" t="s">
        <v>21927</v>
      </c>
    </row>
    <row r="8975" spans="1:2" x14ac:dyDescent="0.25">
      <c r="A8975" s="45" t="s">
        <v>9000</v>
      </c>
      <c r="B8975" s="46" t="s">
        <v>21928</v>
      </c>
    </row>
    <row r="8976" spans="1:2" x14ac:dyDescent="0.25">
      <c r="A8976" s="45" t="s">
        <v>9001</v>
      </c>
      <c r="B8976" s="46" t="s">
        <v>21929</v>
      </c>
    </row>
    <row r="8977" spans="1:2" x14ac:dyDescent="0.25">
      <c r="A8977" s="45" t="s">
        <v>9002</v>
      </c>
      <c r="B8977" s="46" t="s">
        <v>21930</v>
      </c>
    </row>
    <row r="8978" spans="1:2" x14ac:dyDescent="0.25">
      <c r="A8978" s="45" t="s">
        <v>9003</v>
      </c>
      <c r="B8978" s="46" t="s">
        <v>21931</v>
      </c>
    </row>
    <row r="8979" spans="1:2" x14ac:dyDescent="0.25">
      <c r="A8979" s="45" t="s">
        <v>9004</v>
      </c>
      <c r="B8979" s="46" t="s">
        <v>21932</v>
      </c>
    </row>
    <row r="8980" spans="1:2" x14ac:dyDescent="0.25">
      <c r="A8980" s="45" t="s">
        <v>9005</v>
      </c>
      <c r="B8980" s="46" t="s">
        <v>21933</v>
      </c>
    </row>
    <row r="8981" spans="1:2" x14ac:dyDescent="0.25">
      <c r="A8981" s="45" t="s">
        <v>9006</v>
      </c>
      <c r="B8981" s="46" t="s">
        <v>21934</v>
      </c>
    </row>
    <row r="8982" spans="1:2" x14ac:dyDescent="0.25">
      <c r="A8982" s="45" t="s">
        <v>9007</v>
      </c>
      <c r="B8982" s="46" t="s">
        <v>21935</v>
      </c>
    </row>
    <row r="8983" spans="1:2" x14ac:dyDescent="0.25">
      <c r="A8983" s="45" t="s">
        <v>9008</v>
      </c>
      <c r="B8983" s="46" t="s">
        <v>21936</v>
      </c>
    </row>
    <row r="8984" spans="1:2" x14ac:dyDescent="0.25">
      <c r="A8984" s="45" t="s">
        <v>9009</v>
      </c>
      <c r="B8984" s="46" t="s">
        <v>21937</v>
      </c>
    </row>
    <row r="8985" spans="1:2" x14ac:dyDescent="0.25">
      <c r="A8985" s="45" t="s">
        <v>9010</v>
      </c>
      <c r="B8985" s="46" t="s">
        <v>21938</v>
      </c>
    </row>
    <row r="8986" spans="1:2" x14ac:dyDescent="0.25">
      <c r="A8986" s="45" t="s">
        <v>9011</v>
      </c>
      <c r="B8986" s="46" t="s">
        <v>21939</v>
      </c>
    </row>
    <row r="8987" spans="1:2" x14ac:dyDescent="0.25">
      <c r="A8987" s="45" t="s">
        <v>9012</v>
      </c>
      <c r="B8987" s="46" t="s">
        <v>21940</v>
      </c>
    </row>
    <row r="8988" spans="1:2" x14ac:dyDescent="0.25">
      <c r="A8988" s="45" t="s">
        <v>9013</v>
      </c>
      <c r="B8988" s="46" t="s">
        <v>21941</v>
      </c>
    </row>
    <row r="8989" spans="1:2" x14ac:dyDescent="0.25">
      <c r="A8989" s="45" t="s">
        <v>9014</v>
      </c>
      <c r="B8989" s="46" t="s">
        <v>21942</v>
      </c>
    </row>
    <row r="8990" spans="1:2" x14ac:dyDescent="0.25">
      <c r="A8990" s="45" t="s">
        <v>9015</v>
      </c>
      <c r="B8990" s="46" t="s">
        <v>21943</v>
      </c>
    </row>
    <row r="8991" spans="1:2" x14ac:dyDescent="0.25">
      <c r="A8991" s="45" t="s">
        <v>9016</v>
      </c>
      <c r="B8991" s="46" t="s">
        <v>21944</v>
      </c>
    </row>
    <row r="8992" spans="1:2" x14ac:dyDescent="0.25">
      <c r="A8992" s="45" t="s">
        <v>9017</v>
      </c>
      <c r="B8992" s="46" t="s">
        <v>21945</v>
      </c>
    </row>
    <row r="8993" spans="1:2" x14ac:dyDescent="0.25">
      <c r="A8993" s="45" t="s">
        <v>9018</v>
      </c>
      <c r="B8993" s="46" t="s">
        <v>21946</v>
      </c>
    </row>
    <row r="8994" spans="1:2" x14ac:dyDescent="0.25">
      <c r="A8994" s="45" t="s">
        <v>9019</v>
      </c>
      <c r="B8994" s="46" t="s">
        <v>21947</v>
      </c>
    </row>
    <row r="8995" spans="1:2" x14ac:dyDescent="0.25">
      <c r="A8995" s="45" t="s">
        <v>9020</v>
      </c>
      <c r="B8995" s="46" t="s">
        <v>21948</v>
      </c>
    </row>
    <row r="8996" spans="1:2" x14ac:dyDescent="0.25">
      <c r="A8996" s="45" t="s">
        <v>9021</v>
      </c>
      <c r="B8996" s="46" t="s">
        <v>21949</v>
      </c>
    </row>
    <row r="8997" spans="1:2" x14ac:dyDescent="0.25">
      <c r="A8997" s="45" t="s">
        <v>9022</v>
      </c>
      <c r="B8997" s="46" t="s">
        <v>21950</v>
      </c>
    </row>
    <row r="8998" spans="1:2" x14ac:dyDescent="0.25">
      <c r="A8998" s="45" t="s">
        <v>9023</v>
      </c>
      <c r="B8998" s="46" t="s">
        <v>21951</v>
      </c>
    </row>
    <row r="8999" spans="1:2" x14ac:dyDescent="0.25">
      <c r="A8999" s="45" t="s">
        <v>9024</v>
      </c>
      <c r="B8999" s="46" t="s">
        <v>21952</v>
      </c>
    </row>
    <row r="9000" spans="1:2" x14ac:dyDescent="0.25">
      <c r="A9000" s="45" t="s">
        <v>9025</v>
      </c>
      <c r="B9000" s="46" t="s">
        <v>21953</v>
      </c>
    </row>
    <row r="9001" spans="1:2" x14ac:dyDescent="0.25">
      <c r="A9001" s="45" t="s">
        <v>9026</v>
      </c>
      <c r="B9001" s="46" t="s">
        <v>21954</v>
      </c>
    </row>
    <row r="9002" spans="1:2" x14ac:dyDescent="0.25">
      <c r="A9002" s="45" t="s">
        <v>9027</v>
      </c>
      <c r="B9002" s="46" t="s">
        <v>21955</v>
      </c>
    </row>
    <row r="9003" spans="1:2" x14ac:dyDescent="0.25">
      <c r="A9003" s="45" t="s">
        <v>9028</v>
      </c>
      <c r="B9003" s="46" t="s">
        <v>21956</v>
      </c>
    </row>
    <row r="9004" spans="1:2" x14ac:dyDescent="0.25">
      <c r="A9004" s="45" t="s">
        <v>9029</v>
      </c>
      <c r="B9004" s="46" t="s">
        <v>21957</v>
      </c>
    </row>
    <row r="9005" spans="1:2" x14ac:dyDescent="0.25">
      <c r="A9005" s="45" t="s">
        <v>9030</v>
      </c>
      <c r="B9005" s="46" t="s">
        <v>21958</v>
      </c>
    </row>
    <row r="9006" spans="1:2" x14ac:dyDescent="0.25">
      <c r="A9006" s="45" t="s">
        <v>9031</v>
      </c>
      <c r="B9006" s="46" t="s">
        <v>21959</v>
      </c>
    </row>
    <row r="9007" spans="1:2" x14ac:dyDescent="0.25">
      <c r="A9007" s="45" t="s">
        <v>9032</v>
      </c>
      <c r="B9007" s="46" t="s">
        <v>21960</v>
      </c>
    </row>
    <row r="9008" spans="1:2" x14ac:dyDescent="0.25">
      <c r="A9008" s="45" t="s">
        <v>9033</v>
      </c>
      <c r="B9008" s="46" t="s">
        <v>21961</v>
      </c>
    </row>
    <row r="9009" spans="1:2" x14ac:dyDescent="0.25">
      <c r="A9009" s="45" t="s">
        <v>9034</v>
      </c>
      <c r="B9009" s="46" t="s">
        <v>21962</v>
      </c>
    </row>
    <row r="9010" spans="1:2" x14ac:dyDescent="0.25">
      <c r="A9010" s="45" t="s">
        <v>9035</v>
      </c>
      <c r="B9010" s="46" t="s">
        <v>21963</v>
      </c>
    </row>
    <row r="9011" spans="1:2" x14ac:dyDescent="0.25">
      <c r="A9011" s="45" t="s">
        <v>9036</v>
      </c>
      <c r="B9011" s="46" t="s">
        <v>21964</v>
      </c>
    </row>
    <row r="9012" spans="1:2" x14ac:dyDescent="0.25">
      <c r="A9012" s="45" t="s">
        <v>9037</v>
      </c>
      <c r="B9012" s="46" t="s">
        <v>21965</v>
      </c>
    </row>
    <row r="9013" spans="1:2" x14ac:dyDescent="0.25">
      <c r="A9013" s="45" t="s">
        <v>9038</v>
      </c>
      <c r="B9013" s="46" t="s">
        <v>21966</v>
      </c>
    </row>
    <row r="9014" spans="1:2" x14ac:dyDescent="0.25">
      <c r="A9014" s="45" t="s">
        <v>9039</v>
      </c>
      <c r="B9014" s="46" t="s">
        <v>21967</v>
      </c>
    </row>
    <row r="9015" spans="1:2" x14ac:dyDescent="0.25">
      <c r="A9015" s="45" t="s">
        <v>9040</v>
      </c>
      <c r="B9015" s="46" t="s">
        <v>21968</v>
      </c>
    </row>
    <row r="9016" spans="1:2" x14ac:dyDescent="0.25">
      <c r="A9016" s="45" t="s">
        <v>9041</v>
      </c>
      <c r="B9016" s="46" t="s">
        <v>21969</v>
      </c>
    </row>
    <row r="9017" spans="1:2" x14ac:dyDescent="0.25">
      <c r="A9017" s="45" t="s">
        <v>9042</v>
      </c>
      <c r="B9017" s="46" t="s">
        <v>21970</v>
      </c>
    </row>
    <row r="9018" spans="1:2" x14ac:dyDescent="0.25">
      <c r="A9018" s="45" t="s">
        <v>9043</v>
      </c>
      <c r="B9018" s="46" t="s">
        <v>21971</v>
      </c>
    </row>
    <row r="9019" spans="1:2" x14ac:dyDescent="0.25">
      <c r="A9019" s="45" t="s">
        <v>9044</v>
      </c>
      <c r="B9019" s="46" t="s">
        <v>21972</v>
      </c>
    </row>
    <row r="9020" spans="1:2" x14ac:dyDescent="0.25">
      <c r="A9020" s="45" t="s">
        <v>9045</v>
      </c>
      <c r="B9020" s="46" t="s">
        <v>21973</v>
      </c>
    </row>
    <row r="9021" spans="1:2" x14ac:dyDescent="0.25">
      <c r="A9021" s="45" t="s">
        <v>9046</v>
      </c>
      <c r="B9021" s="46" t="s">
        <v>21974</v>
      </c>
    </row>
    <row r="9022" spans="1:2" x14ac:dyDescent="0.25">
      <c r="A9022" s="45" t="s">
        <v>9047</v>
      </c>
      <c r="B9022" s="46" t="s">
        <v>21975</v>
      </c>
    </row>
    <row r="9023" spans="1:2" x14ac:dyDescent="0.25">
      <c r="A9023" s="45" t="s">
        <v>9048</v>
      </c>
      <c r="B9023" s="46" t="s">
        <v>21976</v>
      </c>
    </row>
    <row r="9024" spans="1:2" x14ac:dyDescent="0.25">
      <c r="A9024" s="45" t="s">
        <v>9049</v>
      </c>
      <c r="B9024" s="46" t="s">
        <v>21977</v>
      </c>
    </row>
    <row r="9025" spans="1:2" x14ac:dyDescent="0.25">
      <c r="A9025" s="45" t="s">
        <v>9050</v>
      </c>
      <c r="B9025" s="46" t="s">
        <v>21978</v>
      </c>
    </row>
    <row r="9026" spans="1:2" x14ac:dyDescent="0.25">
      <c r="A9026" s="45" t="s">
        <v>9051</v>
      </c>
      <c r="B9026" s="46" t="s">
        <v>21979</v>
      </c>
    </row>
    <row r="9027" spans="1:2" x14ac:dyDescent="0.25">
      <c r="A9027" s="45" t="s">
        <v>9052</v>
      </c>
      <c r="B9027" s="46" t="s">
        <v>21980</v>
      </c>
    </row>
    <row r="9028" spans="1:2" x14ac:dyDescent="0.25">
      <c r="A9028" s="45" t="s">
        <v>9053</v>
      </c>
      <c r="B9028" s="46" t="s">
        <v>21981</v>
      </c>
    </row>
    <row r="9029" spans="1:2" x14ac:dyDescent="0.25">
      <c r="A9029" s="45" t="s">
        <v>9054</v>
      </c>
      <c r="B9029" s="46" t="s">
        <v>21982</v>
      </c>
    </row>
    <row r="9030" spans="1:2" x14ac:dyDescent="0.25">
      <c r="A9030" s="45" t="s">
        <v>9055</v>
      </c>
      <c r="B9030" s="46" t="s">
        <v>21983</v>
      </c>
    </row>
    <row r="9031" spans="1:2" x14ac:dyDescent="0.25">
      <c r="A9031" s="45" t="s">
        <v>9056</v>
      </c>
      <c r="B9031" s="46" t="s">
        <v>21984</v>
      </c>
    </row>
    <row r="9032" spans="1:2" x14ac:dyDescent="0.25">
      <c r="A9032" s="45" t="s">
        <v>9057</v>
      </c>
      <c r="B9032" s="46" t="s">
        <v>21985</v>
      </c>
    </row>
    <row r="9033" spans="1:2" x14ac:dyDescent="0.25">
      <c r="A9033" s="45" t="s">
        <v>9058</v>
      </c>
      <c r="B9033" s="46" t="s">
        <v>21986</v>
      </c>
    </row>
    <row r="9034" spans="1:2" x14ac:dyDescent="0.25">
      <c r="A9034" s="45" t="s">
        <v>9059</v>
      </c>
      <c r="B9034" s="46" t="s">
        <v>21987</v>
      </c>
    </row>
    <row r="9035" spans="1:2" x14ac:dyDescent="0.25">
      <c r="A9035" s="45" t="s">
        <v>9060</v>
      </c>
      <c r="B9035" s="46" t="s">
        <v>21988</v>
      </c>
    </row>
    <row r="9036" spans="1:2" x14ac:dyDescent="0.25">
      <c r="A9036" s="45" t="s">
        <v>9061</v>
      </c>
      <c r="B9036" s="46" t="s">
        <v>21989</v>
      </c>
    </row>
    <row r="9037" spans="1:2" x14ac:dyDescent="0.25">
      <c r="A9037" s="45" t="s">
        <v>9062</v>
      </c>
      <c r="B9037" s="46" t="s">
        <v>21990</v>
      </c>
    </row>
    <row r="9038" spans="1:2" x14ac:dyDescent="0.25">
      <c r="A9038" s="45" t="s">
        <v>9063</v>
      </c>
      <c r="B9038" s="46" t="s">
        <v>21991</v>
      </c>
    </row>
    <row r="9039" spans="1:2" x14ac:dyDescent="0.25">
      <c r="A9039" s="45" t="s">
        <v>9064</v>
      </c>
      <c r="B9039" s="46" t="s">
        <v>21992</v>
      </c>
    </row>
    <row r="9040" spans="1:2" x14ac:dyDescent="0.25">
      <c r="A9040" s="45" t="s">
        <v>9065</v>
      </c>
      <c r="B9040" s="46" t="s">
        <v>21993</v>
      </c>
    </row>
    <row r="9041" spans="1:2" x14ac:dyDescent="0.25">
      <c r="A9041" s="45" t="s">
        <v>9066</v>
      </c>
      <c r="B9041" s="46" t="s">
        <v>21994</v>
      </c>
    </row>
    <row r="9042" spans="1:2" x14ac:dyDescent="0.25">
      <c r="A9042" s="45" t="s">
        <v>9067</v>
      </c>
      <c r="B9042" s="46" t="s">
        <v>21995</v>
      </c>
    </row>
    <row r="9043" spans="1:2" x14ac:dyDescent="0.25">
      <c r="A9043" s="45" t="s">
        <v>9068</v>
      </c>
      <c r="B9043" s="46" t="s">
        <v>21996</v>
      </c>
    </row>
    <row r="9044" spans="1:2" x14ac:dyDescent="0.25">
      <c r="A9044" s="45" t="s">
        <v>9069</v>
      </c>
      <c r="B9044" s="46" t="s">
        <v>21997</v>
      </c>
    </row>
    <row r="9045" spans="1:2" x14ac:dyDescent="0.25">
      <c r="A9045" s="45" t="s">
        <v>9070</v>
      </c>
      <c r="B9045" s="46" t="s">
        <v>21998</v>
      </c>
    </row>
    <row r="9046" spans="1:2" x14ac:dyDescent="0.25">
      <c r="A9046" s="45" t="s">
        <v>9071</v>
      </c>
      <c r="B9046" s="46" t="s">
        <v>21999</v>
      </c>
    </row>
    <row r="9047" spans="1:2" x14ac:dyDescent="0.25">
      <c r="A9047" s="45" t="s">
        <v>9072</v>
      </c>
      <c r="B9047" s="46" t="s">
        <v>22000</v>
      </c>
    </row>
    <row r="9048" spans="1:2" x14ac:dyDescent="0.25">
      <c r="A9048" s="45" t="s">
        <v>9073</v>
      </c>
      <c r="B9048" s="46" t="s">
        <v>22001</v>
      </c>
    </row>
    <row r="9049" spans="1:2" x14ac:dyDescent="0.25">
      <c r="A9049" s="45" t="s">
        <v>9074</v>
      </c>
      <c r="B9049" s="46" t="s">
        <v>22002</v>
      </c>
    </row>
    <row r="9050" spans="1:2" x14ac:dyDescent="0.25">
      <c r="A9050" s="45" t="s">
        <v>9075</v>
      </c>
      <c r="B9050" s="46" t="s">
        <v>22003</v>
      </c>
    </row>
    <row r="9051" spans="1:2" x14ac:dyDescent="0.25">
      <c r="A9051" s="45" t="s">
        <v>9076</v>
      </c>
      <c r="B9051" s="46" t="s">
        <v>22004</v>
      </c>
    </row>
    <row r="9052" spans="1:2" x14ac:dyDescent="0.25">
      <c r="A9052" s="45" t="s">
        <v>9077</v>
      </c>
      <c r="B9052" s="46" t="s">
        <v>22005</v>
      </c>
    </row>
    <row r="9053" spans="1:2" x14ac:dyDescent="0.25">
      <c r="A9053" s="45" t="s">
        <v>9078</v>
      </c>
      <c r="B9053" s="46" t="s">
        <v>22006</v>
      </c>
    </row>
    <row r="9054" spans="1:2" x14ac:dyDescent="0.25">
      <c r="A9054" s="45" t="s">
        <v>9079</v>
      </c>
      <c r="B9054" s="46" t="s">
        <v>22007</v>
      </c>
    </row>
    <row r="9055" spans="1:2" x14ac:dyDescent="0.25">
      <c r="A9055" s="45" t="s">
        <v>9080</v>
      </c>
      <c r="B9055" s="46" t="s">
        <v>22008</v>
      </c>
    </row>
    <row r="9056" spans="1:2" x14ac:dyDescent="0.25">
      <c r="A9056" s="45" t="s">
        <v>9081</v>
      </c>
      <c r="B9056" s="46" t="s">
        <v>22009</v>
      </c>
    </row>
    <row r="9057" spans="1:2" x14ac:dyDescent="0.25">
      <c r="A9057" s="45" t="s">
        <v>9082</v>
      </c>
      <c r="B9057" s="46" t="s">
        <v>22010</v>
      </c>
    </row>
    <row r="9058" spans="1:2" x14ac:dyDescent="0.25">
      <c r="A9058" s="45" t="s">
        <v>9083</v>
      </c>
      <c r="B9058" s="46" t="s">
        <v>22011</v>
      </c>
    </row>
    <row r="9059" spans="1:2" x14ac:dyDescent="0.25">
      <c r="A9059" s="45" t="s">
        <v>9084</v>
      </c>
      <c r="B9059" s="46" t="s">
        <v>22012</v>
      </c>
    </row>
    <row r="9060" spans="1:2" x14ac:dyDescent="0.25">
      <c r="A9060" s="45" t="s">
        <v>9085</v>
      </c>
      <c r="B9060" s="46" t="s">
        <v>22013</v>
      </c>
    </row>
    <row r="9061" spans="1:2" x14ac:dyDescent="0.25">
      <c r="A9061" s="45" t="s">
        <v>9086</v>
      </c>
      <c r="B9061" s="46" t="s">
        <v>22014</v>
      </c>
    </row>
    <row r="9062" spans="1:2" x14ac:dyDescent="0.25">
      <c r="A9062" s="45" t="s">
        <v>9087</v>
      </c>
      <c r="B9062" s="46" t="s">
        <v>22015</v>
      </c>
    </row>
    <row r="9063" spans="1:2" x14ac:dyDescent="0.25">
      <c r="A9063" s="45" t="s">
        <v>9088</v>
      </c>
      <c r="B9063" s="46" t="s">
        <v>22016</v>
      </c>
    </row>
    <row r="9064" spans="1:2" x14ac:dyDescent="0.25">
      <c r="A9064" s="45" t="s">
        <v>9089</v>
      </c>
      <c r="B9064" s="46" t="s">
        <v>22017</v>
      </c>
    </row>
    <row r="9065" spans="1:2" x14ac:dyDescent="0.25">
      <c r="A9065" s="45" t="s">
        <v>9090</v>
      </c>
      <c r="B9065" s="46" t="s">
        <v>22018</v>
      </c>
    </row>
    <row r="9066" spans="1:2" x14ac:dyDescent="0.25">
      <c r="A9066" s="45" t="s">
        <v>9091</v>
      </c>
      <c r="B9066" s="46" t="s">
        <v>22019</v>
      </c>
    </row>
    <row r="9067" spans="1:2" x14ac:dyDescent="0.25">
      <c r="A9067" s="45" t="s">
        <v>9092</v>
      </c>
      <c r="B9067" s="46" t="s">
        <v>22020</v>
      </c>
    </row>
    <row r="9068" spans="1:2" x14ac:dyDescent="0.25">
      <c r="A9068" s="45" t="s">
        <v>9093</v>
      </c>
      <c r="B9068" s="46" t="s">
        <v>22021</v>
      </c>
    </row>
    <row r="9069" spans="1:2" x14ac:dyDescent="0.25">
      <c r="A9069" s="45" t="s">
        <v>9094</v>
      </c>
      <c r="B9069" s="46" t="s">
        <v>22022</v>
      </c>
    </row>
    <row r="9070" spans="1:2" x14ac:dyDescent="0.25">
      <c r="A9070" s="45" t="s">
        <v>9095</v>
      </c>
      <c r="B9070" s="46" t="s">
        <v>22023</v>
      </c>
    </row>
    <row r="9071" spans="1:2" x14ac:dyDescent="0.25">
      <c r="A9071" s="45" t="s">
        <v>9096</v>
      </c>
      <c r="B9071" s="46" t="s">
        <v>22024</v>
      </c>
    </row>
    <row r="9072" spans="1:2" x14ac:dyDescent="0.25">
      <c r="A9072" s="45" t="s">
        <v>9097</v>
      </c>
      <c r="B9072" s="46" t="s">
        <v>22025</v>
      </c>
    </row>
    <row r="9073" spans="1:2" x14ac:dyDescent="0.25">
      <c r="A9073" s="45" t="s">
        <v>9098</v>
      </c>
      <c r="B9073" s="46" t="s">
        <v>22026</v>
      </c>
    </row>
    <row r="9074" spans="1:2" x14ac:dyDescent="0.25">
      <c r="A9074" s="45" t="s">
        <v>9099</v>
      </c>
      <c r="B9074" s="46" t="s">
        <v>22027</v>
      </c>
    </row>
    <row r="9075" spans="1:2" x14ac:dyDescent="0.25">
      <c r="A9075" s="45" t="s">
        <v>9100</v>
      </c>
      <c r="B9075" s="46" t="s">
        <v>22028</v>
      </c>
    </row>
    <row r="9076" spans="1:2" x14ac:dyDescent="0.25">
      <c r="A9076" s="45" t="s">
        <v>9101</v>
      </c>
      <c r="B9076" s="46" t="s">
        <v>22029</v>
      </c>
    </row>
    <row r="9077" spans="1:2" x14ac:dyDescent="0.25">
      <c r="A9077" s="45" t="s">
        <v>9102</v>
      </c>
      <c r="B9077" s="46" t="s">
        <v>22030</v>
      </c>
    </row>
    <row r="9078" spans="1:2" x14ac:dyDescent="0.25">
      <c r="A9078" s="45" t="s">
        <v>9103</v>
      </c>
      <c r="B9078" s="46" t="s">
        <v>22031</v>
      </c>
    </row>
    <row r="9079" spans="1:2" x14ac:dyDescent="0.25">
      <c r="A9079" s="45" t="s">
        <v>9104</v>
      </c>
      <c r="B9079" s="46" t="s">
        <v>22032</v>
      </c>
    </row>
    <row r="9080" spans="1:2" x14ac:dyDescent="0.25">
      <c r="A9080" s="45" t="s">
        <v>9105</v>
      </c>
      <c r="B9080" s="46" t="s">
        <v>22033</v>
      </c>
    </row>
    <row r="9081" spans="1:2" x14ac:dyDescent="0.25">
      <c r="A9081" s="45" t="s">
        <v>9106</v>
      </c>
      <c r="B9081" s="46" t="s">
        <v>22034</v>
      </c>
    </row>
    <row r="9082" spans="1:2" x14ac:dyDescent="0.25">
      <c r="A9082" s="45" t="s">
        <v>9107</v>
      </c>
      <c r="B9082" s="46" t="s">
        <v>22035</v>
      </c>
    </row>
    <row r="9083" spans="1:2" x14ac:dyDescent="0.25">
      <c r="A9083" s="45" t="s">
        <v>9108</v>
      </c>
      <c r="B9083" s="46" t="s">
        <v>22036</v>
      </c>
    </row>
    <row r="9084" spans="1:2" x14ac:dyDescent="0.25">
      <c r="A9084" s="45" t="s">
        <v>9109</v>
      </c>
      <c r="B9084" s="46" t="s">
        <v>22037</v>
      </c>
    </row>
    <row r="9085" spans="1:2" x14ac:dyDescent="0.25">
      <c r="A9085" s="45" t="s">
        <v>9110</v>
      </c>
      <c r="B9085" s="46" t="s">
        <v>22038</v>
      </c>
    </row>
    <row r="9086" spans="1:2" x14ac:dyDescent="0.25">
      <c r="A9086" s="45" t="s">
        <v>9111</v>
      </c>
      <c r="B9086" s="46" t="s">
        <v>22039</v>
      </c>
    </row>
    <row r="9087" spans="1:2" x14ac:dyDescent="0.25">
      <c r="A9087" s="45" t="s">
        <v>9112</v>
      </c>
      <c r="B9087" s="46" t="s">
        <v>22040</v>
      </c>
    </row>
    <row r="9088" spans="1:2" x14ac:dyDescent="0.25">
      <c r="A9088" s="45" t="s">
        <v>9113</v>
      </c>
      <c r="B9088" s="46" t="s">
        <v>22041</v>
      </c>
    </row>
    <row r="9089" spans="1:2" x14ac:dyDescent="0.25">
      <c r="A9089" s="45" t="s">
        <v>9114</v>
      </c>
      <c r="B9089" s="46" t="s">
        <v>22042</v>
      </c>
    </row>
    <row r="9090" spans="1:2" x14ac:dyDescent="0.25">
      <c r="A9090" s="45" t="s">
        <v>9115</v>
      </c>
      <c r="B9090" s="46" t="s">
        <v>22043</v>
      </c>
    </row>
    <row r="9091" spans="1:2" x14ac:dyDescent="0.25">
      <c r="A9091" s="45" t="s">
        <v>9116</v>
      </c>
      <c r="B9091" s="46" t="s">
        <v>22044</v>
      </c>
    </row>
    <row r="9092" spans="1:2" x14ac:dyDescent="0.25">
      <c r="A9092" s="45" t="s">
        <v>9117</v>
      </c>
      <c r="B9092" s="46" t="s">
        <v>22045</v>
      </c>
    </row>
    <row r="9093" spans="1:2" x14ac:dyDescent="0.25">
      <c r="A9093" s="45" t="s">
        <v>9118</v>
      </c>
      <c r="B9093" s="46" t="s">
        <v>22046</v>
      </c>
    </row>
    <row r="9094" spans="1:2" x14ac:dyDescent="0.25">
      <c r="A9094" s="45" t="s">
        <v>9119</v>
      </c>
      <c r="B9094" s="46" t="s">
        <v>22047</v>
      </c>
    </row>
    <row r="9095" spans="1:2" x14ac:dyDescent="0.25">
      <c r="A9095" s="45" t="s">
        <v>9120</v>
      </c>
      <c r="B9095" s="46" t="s">
        <v>22048</v>
      </c>
    </row>
    <row r="9096" spans="1:2" x14ac:dyDescent="0.25">
      <c r="A9096" s="45" t="s">
        <v>9121</v>
      </c>
      <c r="B9096" s="46" t="s">
        <v>22049</v>
      </c>
    </row>
    <row r="9097" spans="1:2" x14ac:dyDescent="0.25">
      <c r="A9097" s="45" t="s">
        <v>9122</v>
      </c>
      <c r="B9097" s="46" t="s">
        <v>22050</v>
      </c>
    </row>
    <row r="9098" spans="1:2" x14ac:dyDescent="0.25">
      <c r="A9098" s="45" t="s">
        <v>9123</v>
      </c>
      <c r="B9098" s="46" t="s">
        <v>22051</v>
      </c>
    </row>
    <row r="9099" spans="1:2" x14ac:dyDescent="0.25">
      <c r="A9099" s="45" t="s">
        <v>9124</v>
      </c>
      <c r="B9099" s="46" t="s">
        <v>22052</v>
      </c>
    </row>
    <row r="9100" spans="1:2" x14ac:dyDescent="0.25">
      <c r="A9100" s="45" t="s">
        <v>9125</v>
      </c>
      <c r="B9100" s="46" t="s">
        <v>22053</v>
      </c>
    </row>
    <row r="9101" spans="1:2" x14ac:dyDescent="0.25">
      <c r="A9101" s="45" t="s">
        <v>9126</v>
      </c>
      <c r="B9101" s="46" t="s">
        <v>22054</v>
      </c>
    </row>
    <row r="9102" spans="1:2" x14ac:dyDescent="0.25">
      <c r="A9102" s="45" t="s">
        <v>9127</v>
      </c>
      <c r="B9102" s="46" t="s">
        <v>22055</v>
      </c>
    </row>
    <row r="9103" spans="1:2" x14ac:dyDescent="0.25">
      <c r="A9103" s="45" t="s">
        <v>9128</v>
      </c>
      <c r="B9103" s="46" t="s">
        <v>22056</v>
      </c>
    </row>
    <row r="9104" spans="1:2" x14ac:dyDescent="0.25">
      <c r="A9104" s="45" t="s">
        <v>9129</v>
      </c>
      <c r="B9104" s="46" t="s">
        <v>22057</v>
      </c>
    </row>
    <row r="9105" spans="1:2" x14ac:dyDescent="0.25">
      <c r="A9105" s="45" t="s">
        <v>9130</v>
      </c>
      <c r="B9105" s="46" t="s">
        <v>22058</v>
      </c>
    </row>
    <row r="9106" spans="1:2" x14ac:dyDescent="0.25">
      <c r="A9106" s="45" t="s">
        <v>9131</v>
      </c>
      <c r="B9106" s="46" t="s">
        <v>22059</v>
      </c>
    </row>
    <row r="9107" spans="1:2" x14ac:dyDescent="0.25">
      <c r="A9107" s="45" t="s">
        <v>9132</v>
      </c>
      <c r="B9107" s="46" t="s">
        <v>22060</v>
      </c>
    </row>
    <row r="9108" spans="1:2" x14ac:dyDescent="0.25">
      <c r="A9108" s="45" t="s">
        <v>9133</v>
      </c>
      <c r="B9108" s="46" t="s">
        <v>22061</v>
      </c>
    </row>
    <row r="9109" spans="1:2" x14ac:dyDescent="0.25">
      <c r="A9109" s="45" t="s">
        <v>9134</v>
      </c>
      <c r="B9109" s="46" t="s">
        <v>22062</v>
      </c>
    </row>
    <row r="9110" spans="1:2" x14ac:dyDescent="0.25">
      <c r="A9110" s="45" t="s">
        <v>9135</v>
      </c>
      <c r="B9110" s="46" t="s">
        <v>22063</v>
      </c>
    </row>
    <row r="9111" spans="1:2" x14ac:dyDescent="0.25">
      <c r="A9111" s="45" t="s">
        <v>9136</v>
      </c>
      <c r="B9111" s="46" t="s">
        <v>22064</v>
      </c>
    </row>
    <row r="9112" spans="1:2" x14ac:dyDescent="0.25">
      <c r="A9112" s="45" t="s">
        <v>9137</v>
      </c>
      <c r="B9112" s="46" t="s">
        <v>22065</v>
      </c>
    </row>
    <row r="9113" spans="1:2" x14ac:dyDescent="0.25">
      <c r="A9113" s="45" t="s">
        <v>9138</v>
      </c>
      <c r="B9113" s="46" t="s">
        <v>22066</v>
      </c>
    </row>
    <row r="9114" spans="1:2" x14ac:dyDescent="0.25">
      <c r="A9114" s="45" t="s">
        <v>9139</v>
      </c>
      <c r="B9114" s="46" t="s">
        <v>22067</v>
      </c>
    </row>
    <row r="9115" spans="1:2" x14ac:dyDescent="0.25">
      <c r="A9115" s="45" t="s">
        <v>9140</v>
      </c>
      <c r="B9115" s="46" t="s">
        <v>22068</v>
      </c>
    </row>
    <row r="9116" spans="1:2" x14ac:dyDescent="0.25">
      <c r="A9116" s="45" t="s">
        <v>9141</v>
      </c>
      <c r="B9116" s="46" t="s">
        <v>22069</v>
      </c>
    </row>
    <row r="9117" spans="1:2" x14ac:dyDescent="0.25">
      <c r="A9117" s="45" t="s">
        <v>9142</v>
      </c>
      <c r="B9117" s="46" t="s">
        <v>22070</v>
      </c>
    </row>
    <row r="9118" spans="1:2" x14ac:dyDescent="0.25">
      <c r="A9118" s="45" t="s">
        <v>9143</v>
      </c>
      <c r="B9118" s="46" t="s">
        <v>22071</v>
      </c>
    </row>
    <row r="9119" spans="1:2" x14ac:dyDescent="0.25">
      <c r="A9119" s="45" t="s">
        <v>9144</v>
      </c>
      <c r="B9119" s="46" t="s">
        <v>22072</v>
      </c>
    </row>
    <row r="9120" spans="1:2" x14ac:dyDescent="0.25">
      <c r="A9120" s="45" t="s">
        <v>9145</v>
      </c>
      <c r="B9120" s="46" t="s">
        <v>22073</v>
      </c>
    </row>
    <row r="9121" spans="1:2" x14ac:dyDescent="0.25">
      <c r="A9121" s="45" t="s">
        <v>9146</v>
      </c>
      <c r="B9121" s="46" t="s">
        <v>22074</v>
      </c>
    </row>
    <row r="9122" spans="1:2" x14ac:dyDescent="0.25">
      <c r="A9122" s="45" t="s">
        <v>9147</v>
      </c>
      <c r="B9122" s="46" t="s">
        <v>22075</v>
      </c>
    </row>
    <row r="9123" spans="1:2" x14ac:dyDescent="0.25">
      <c r="A9123" s="45" t="s">
        <v>9148</v>
      </c>
      <c r="B9123" s="46" t="s">
        <v>22076</v>
      </c>
    </row>
    <row r="9124" spans="1:2" x14ac:dyDescent="0.25">
      <c r="A9124" s="45" t="s">
        <v>9149</v>
      </c>
      <c r="B9124" s="46" t="s">
        <v>22077</v>
      </c>
    </row>
    <row r="9125" spans="1:2" x14ac:dyDescent="0.25">
      <c r="A9125" s="45" t="s">
        <v>9150</v>
      </c>
      <c r="B9125" s="46" t="s">
        <v>22078</v>
      </c>
    </row>
    <row r="9126" spans="1:2" x14ac:dyDescent="0.25">
      <c r="A9126" s="45" t="s">
        <v>9151</v>
      </c>
      <c r="B9126" s="46" t="s">
        <v>22079</v>
      </c>
    </row>
    <row r="9127" spans="1:2" x14ac:dyDescent="0.25">
      <c r="A9127" s="45" t="s">
        <v>9152</v>
      </c>
      <c r="B9127" s="46" t="s">
        <v>22080</v>
      </c>
    </row>
    <row r="9128" spans="1:2" x14ac:dyDescent="0.25">
      <c r="A9128" s="45" t="s">
        <v>9153</v>
      </c>
      <c r="B9128" s="46" t="s">
        <v>22081</v>
      </c>
    </row>
    <row r="9129" spans="1:2" x14ac:dyDescent="0.25">
      <c r="A9129" s="45" t="s">
        <v>9154</v>
      </c>
      <c r="B9129" s="46" t="s">
        <v>22082</v>
      </c>
    </row>
    <row r="9130" spans="1:2" x14ac:dyDescent="0.25">
      <c r="A9130" s="45" t="s">
        <v>9155</v>
      </c>
      <c r="B9130" s="46" t="s">
        <v>22083</v>
      </c>
    </row>
    <row r="9131" spans="1:2" x14ac:dyDescent="0.25">
      <c r="A9131" s="45" t="s">
        <v>9156</v>
      </c>
      <c r="B9131" s="46" t="s">
        <v>22084</v>
      </c>
    </row>
    <row r="9132" spans="1:2" x14ac:dyDescent="0.25">
      <c r="A9132" s="45" t="s">
        <v>9157</v>
      </c>
      <c r="B9132" s="46" t="s">
        <v>22085</v>
      </c>
    </row>
    <row r="9133" spans="1:2" x14ac:dyDescent="0.25">
      <c r="A9133" s="45" t="s">
        <v>9158</v>
      </c>
      <c r="B9133" s="46" t="s">
        <v>22086</v>
      </c>
    </row>
    <row r="9134" spans="1:2" x14ac:dyDescent="0.25">
      <c r="A9134" s="45" t="s">
        <v>9159</v>
      </c>
      <c r="B9134" s="46" t="s">
        <v>22087</v>
      </c>
    </row>
    <row r="9135" spans="1:2" x14ac:dyDescent="0.25">
      <c r="A9135" s="45" t="s">
        <v>9160</v>
      </c>
      <c r="B9135" s="46" t="s">
        <v>22088</v>
      </c>
    </row>
    <row r="9136" spans="1:2" x14ac:dyDescent="0.25">
      <c r="A9136" s="45" t="s">
        <v>9161</v>
      </c>
      <c r="B9136" s="46" t="s">
        <v>22089</v>
      </c>
    </row>
    <row r="9137" spans="1:2" x14ac:dyDescent="0.25">
      <c r="A9137" s="45" t="s">
        <v>9162</v>
      </c>
      <c r="B9137" s="46" t="s">
        <v>22090</v>
      </c>
    </row>
    <row r="9138" spans="1:2" x14ac:dyDescent="0.25">
      <c r="A9138" s="45" t="s">
        <v>9163</v>
      </c>
      <c r="B9138" s="46" t="s">
        <v>22091</v>
      </c>
    </row>
    <row r="9139" spans="1:2" x14ac:dyDescent="0.25">
      <c r="A9139" s="45" t="s">
        <v>9164</v>
      </c>
      <c r="B9139" s="46" t="s">
        <v>22092</v>
      </c>
    </row>
    <row r="9140" spans="1:2" x14ac:dyDescent="0.25">
      <c r="A9140" s="45" t="s">
        <v>9165</v>
      </c>
      <c r="B9140" s="46" t="s">
        <v>22093</v>
      </c>
    </row>
    <row r="9141" spans="1:2" x14ac:dyDescent="0.25">
      <c r="A9141" s="45" t="s">
        <v>9166</v>
      </c>
      <c r="B9141" s="46" t="s">
        <v>22094</v>
      </c>
    </row>
    <row r="9142" spans="1:2" x14ac:dyDescent="0.25">
      <c r="A9142" s="45" t="s">
        <v>9167</v>
      </c>
      <c r="B9142" s="46" t="s">
        <v>22095</v>
      </c>
    </row>
    <row r="9143" spans="1:2" x14ac:dyDescent="0.25">
      <c r="A9143" s="45" t="s">
        <v>9168</v>
      </c>
      <c r="B9143" s="46" t="s">
        <v>22096</v>
      </c>
    </row>
    <row r="9144" spans="1:2" x14ac:dyDescent="0.25">
      <c r="A9144" s="45" t="s">
        <v>9169</v>
      </c>
      <c r="B9144" s="46" t="s">
        <v>22097</v>
      </c>
    </row>
    <row r="9145" spans="1:2" x14ac:dyDescent="0.25">
      <c r="A9145" s="45" t="s">
        <v>9170</v>
      </c>
      <c r="B9145" s="46" t="s">
        <v>22098</v>
      </c>
    </row>
    <row r="9146" spans="1:2" x14ac:dyDescent="0.25">
      <c r="A9146" s="45" t="s">
        <v>9171</v>
      </c>
      <c r="B9146" s="46" t="s">
        <v>22099</v>
      </c>
    </row>
    <row r="9147" spans="1:2" x14ac:dyDescent="0.25">
      <c r="A9147" s="45" t="s">
        <v>9172</v>
      </c>
      <c r="B9147" s="46" t="s">
        <v>22100</v>
      </c>
    </row>
    <row r="9148" spans="1:2" x14ac:dyDescent="0.25">
      <c r="A9148" s="45" t="s">
        <v>9173</v>
      </c>
      <c r="B9148" s="46" t="s">
        <v>22101</v>
      </c>
    </row>
    <row r="9149" spans="1:2" x14ac:dyDescent="0.25">
      <c r="A9149" s="45" t="s">
        <v>9174</v>
      </c>
      <c r="B9149" s="46" t="s">
        <v>22102</v>
      </c>
    </row>
    <row r="9150" spans="1:2" x14ac:dyDescent="0.25">
      <c r="A9150" s="45" t="s">
        <v>9175</v>
      </c>
      <c r="B9150" s="46" t="s">
        <v>22103</v>
      </c>
    </row>
    <row r="9151" spans="1:2" x14ac:dyDescent="0.25">
      <c r="A9151" s="45" t="s">
        <v>9176</v>
      </c>
      <c r="B9151" s="46" t="s">
        <v>22104</v>
      </c>
    </row>
    <row r="9152" spans="1:2" x14ac:dyDescent="0.25">
      <c r="A9152" s="45" t="s">
        <v>9177</v>
      </c>
      <c r="B9152" s="46" t="s">
        <v>22105</v>
      </c>
    </row>
    <row r="9153" spans="1:2" x14ac:dyDescent="0.25">
      <c r="A9153" s="45" t="s">
        <v>9178</v>
      </c>
      <c r="B9153" s="46" t="s">
        <v>22106</v>
      </c>
    </row>
    <row r="9154" spans="1:2" x14ac:dyDescent="0.25">
      <c r="A9154" s="45" t="s">
        <v>9179</v>
      </c>
      <c r="B9154" s="46" t="s">
        <v>22107</v>
      </c>
    </row>
    <row r="9155" spans="1:2" x14ac:dyDescent="0.25">
      <c r="A9155" s="45" t="s">
        <v>9180</v>
      </c>
      <c r="B9155" s="46" t="s">
        <v>22108</v>
      </c>
    </row>
    <row r="9156" spans="1:2" x14ac:dyDescent="0.25">
      <c r="A9156" s="45" t="s">
        <v>9181</v>
      </c>
      <c r="B9156" s="46" t="s">
        <v>22109</v>
      </c>
    </row>
    <row r="9157" spans="1:2" x14ac:dyDescent="0.25">
      <c r="A9157" s="45" t="s">
        <v>9182</v>
      </c>
      <c r="B9157" s="46" t="s">
        <v>22110</v>
      </c>
    </row>
    <row r="9158" spans="1:2" x14ac:dyDescent="0.25">
      <c r="A9158" s="45" t="s">
        <v>9183</v>
      </c>
      <c r="B9158" s="46" t="s">
        <v>22111</v>
      </c>
    </row>
    <row r="9159" spans="1:2" x14ac:dyDescent="0.25">
      <c r="A9159" s="45" t="s">
        <v>9184</v>
      </c>
      <c r="B9159" s="46" t="s">
        <v>22112</v>
      </c>
    </row>
    <row r="9160" spans="1:2" x14ac:dyDescent="0.25">
      <c r="A9160" s="45" t="s">
        <v>9185</v>
      </c>
      <c r="B9160" s="46" t="s">
        <v>22113</v>
      </c>
    </row>
    <row r="9161" spans="1:2" x14ac:dyDescent="0.25">
      <c r="A9161" s="45" t="s">
        <v>9186</v>
      </c>
      <c r="B9161" s="46" t="s">
        <v>22114</v>
      </c>
    </row>
    <row r="9162" spans="1:2" x14ac:dyDescent="0.25">
      <c r="A9162" s="45" t="s">
        <v>9187</v>
      </c>
      <c r="B9162" s="46" t="s">
        <v>22115</v>
      </c>
    </row>
    <row r="9163" spans="1:2" x14ac:dyDescent="0.25">
      <c r="A9163" s="45" t="s">
        <v>9188</v>
      </c>
      <c r="B9163" s="46" t="s">
        <v>22116</v>
      </c>
    </row>
    <row r="9164" spans="1:2" x14ac:dyDescent="0.25">
      <c r="A9164" s="45" t="s">
        <v>9189</v>
      </c>
      <c r="B9164" s="46" t="s">
        <v>22117</v>
      </c>
    </row>
    <row r="9165" spans="1:2" x14ac:dyDescent="0.25">
      <c r="A9165" s="45" t="s">
        <v>9190</v>
      </c>
      <c r="B9165" s="46" t="s">
        <v>22118</v>
      </c>
    </row>
    <row r="9166" spans="1:2" x14ac:dyDescent="0.25">
      <c r="A9166" s="45" t="s">
        <v>9191</v>
      </c>
      <c r="B9166" s="46" t="s">
        <v>22119</v>
      </c>
    </row>
    <row r="9167" spans="1:2" x14ac:dyDescent="0.25">
      <c r="A9167" s="45" t="s">
        <v>9192</v>
      </c>
      <c r="B9167" s="46" t="s">
        <v>22120</v>
      </c>
    </row>
    <row r="9168" spans="1:2" x14ac:dyDescent="0.25">
      <c r="A9168" s="45" t="s">
        <v>9193</v>
      </c>
      <c r="B9168" s="46" t="s">
        <v>22121</v>
      </c>
    </row>
    <row r="9169" spans="1:2" x14ac:dyDescent="0.25">
      <c r="A9169" s="45" t="s">
        <v>9194</v>
      </c>
      <c r="B9169" s="46" t="s">
        <v>22122</v>
      </c>
    </row>
    <row r="9170" spans="1:2" x14ac:dyDescent="0.25">
      <c r="A9170" s="45" t="s">
        <v>9195</v>
      </c>
      <c r="B9170" s="46" t="s">
        <v>22123</v>
      </c>
    </row>
    <row r="9171" spans="1:2" x14ac:dyDescent="0.25">
      <c r="A9171" s="45" t="s">
        <v>9196</v>
      </c>
      <c r="B9171" s="46" t="s">
        <v>22124</v>
      </c>
    </row>
    <row r="9172" spans="1:2" x14ac:dyDescent="0.25">
      <c r="A9172" s="45" t="s">
        <v>9197</v>
      </c>
      <c r="B9172" s="46" t="s">
        <v>22125</v>
      </c>
    </row>
    <row r="9173" spans="1:2" x14ac:dyDescent="0.25">
      <c r="A9173" s="45" t="s">
        <v>9198</v>
      </c>
      <c r="B9173" s="46" t="s">
        <v>22126</v>
      </c>
    </row>
    <row r="9174" spans="1:2" x14ac:dyDescent="0.25">
      <c r="A9174" s="45" t="s">
        <v>9199</v>
      </c>
      <c r="B9174" s="46" t="s">
        <v>22127</v>
      </c>
    </row>
    <row r="9175" spans="1:2" x14ac:dyDescent="0.25">
      <c r="A9175" s="45" t="s">
        <v>9200</v>
      </c>
      <c r="B9175" s="46" t="s">
        <v>22128</v>
      </c>
    </row>
    <row r="9176" spans="1:2" x14ac:dyDescent="0.25">
      <c r="A9176" s="45" t="s">
        <v>9201</v>
      </c>
      <c r="B9176" s="46" t="s">
        <v>22129</v>
      </c>
    </row>
    <row r="9177" spans="1:2" x14ac:dyDescent="0.25">
      <c r="A9177" s="45" t="s">
        <v>9202</v>
      </c>
      <c r="B9177" s="46" t="s">
        <v>22130</v>
      </c>
    </row>
    <row r="9178" spans="1:2" x14ac:dyDescent="0.25">
      <c r="A9178" s="45" t="s">
        <v>9203</v>
      </c>
      <c r="B9178" s="46" t="s">
        <v>22131</v>
      </c>
    </row>
    <row r="9179" spans="1:2" x14ac:dyDescent="0.25">
      <c r="A9179" s="45" t="s">
        <v>9204</v>
      </c>
      <c r="B9179" s="46" t="s">
        <v>22132</v>
      </c>
    </row>
    <row r="9180" spans="1:2" x14ac:dyDescent="0.25">
      <c r="A9180" s="45" t="s">
        <v>9205</v>
      </c>
      <c r="B9180" s="46" t="s">
        <v>22133</v>
      </c>
    </row>
    <row r="9181" spans="1:2" x14ac:dyDescent="0.25">
      <c r="A9181" s="45" t="s">
        <v>9206</v>
      </c>
      <c r="B9181" s="46" t="s">
        <v>22134</v>
      </c>
    </row>
    <row r="9182" spans="1:2" x14ac:dyDescent="0.25">
      <c r="A9182" s="45" t="s">
        <v>9207</v>
      </c>
      <c r="B9182" s="46" t="s">
        <v>22135</v>
      </c>
    </row>
    <row r="9183" spans="1:2" x14ac:dyDescent="0.25">
      <c r="A9183" s="45" t="s">
        <v>9208</v>
      </c>
      <c r="B9183" s="46" t="s">
        <v>22136</v>
      </c>
    </row>
    <row r="9184" spans="1:2" x14ac:dyDescent="0.25">
      <c r="A9184" s="45" t="s">
        <v>9209</v>
      </c>
      <c r="B9184" s="46" t="s">
        <v>22137</v>
      </c>
    </row>
    <row r="9185" spans="1:2" x14ac:dyDescent="0.25">
      <c r="A9185" s="45" t="s">
        <v>9210</v>
      </c>
      <c r="B9185" s="46" t="s">
        <v>22138</v>
      </c>
    </row>
    <row r="9186" spans="1:2" x14ac:dyDescent="0.25">
      <c r="A9186" s="45" t="s">
        <v>9211</v>
      </c>
      <c r="B9186" s="46" t="s">
        <v>22139</v>
      </c>
    </row>
    <row r="9187" spans="1:2" x14ac:dyDescent="0.25">
      <c r="A9187" s="45" t="s">
        <v>9212</v>
      </c>
      <c r="B9187" s="46" t="s">
        <v>22140</v>
      </c>
    </row>
    <row r="9188" spans="1:2" x14ac:dyDescent="0.25">
      <c r="A9188" s="45" t="s">
        <v>9213</v>
      </c>
      <c r="B9188" s="46" t="s">
        <v>22141</v>
      </c>
    </row>
    <row r="9189" spans="1:2" x14ac:dyDescent="0.25">
      <c r="A9189" s="45" t="s">
        <v>9214</v>
      </c>
      <c r="B9189" s="46" t="s">
        <v>22142</v>
      </c>
    </row>
    <row r="9190" spans="1:2" x14ac:dyDescent="0.25">
      <c r="A9190" s="45" t="s">
        <v>9215</v>
      </c>
      <c r="B9190" s="46" t="s">
        <v>22143</v>
      </c>
    </row>
    <row r="9191" spans="1:2" x14ac:dyDescent="0.25">
      <c r="A9191" s="45" t="s">
        <v>9216</v>
      </c>
      <c r="B9191" s="46" t="s">
        <v>22144</v>
      </c>
    </row>
    <row r="9192" spans="1:2" x14ac:dyDescent="0.25">
      <c r="A9192" s="45" t="s">
        <v>9217</v>
      </c>
      <c r="B9192" s="46" t="s">
        <v>22145</v>
      </c>
    </row>
    <row r="9193" spans="1:2" x14ac:dyDescent="0.25">
      <c r="A9193" s="45" t="s">
        <v>9218</v>
      </c>
      <c r="B9193" s="46" t="s">
        <v>22146</v>
      </c>
    </row>
    <row r="9194" spans="1:2" x14ac:dyDescent="0.25">
      <c r="A9194" s="45" t="s">
        <v>9219</v>
      </c>
      <c r="B9194" s="46" t="s">
        <v>22147</v>
      </c>
    </row>
    <row r="9195" spans="1:2" x14ac:dyDescent="0.25">
      <c r="A9195" s="45" t="s">
        <v>9220</v>
      </c>
      <c r="B9195" s="46" t="s">
        <v>22148</v>
      </c>
    </row>
    <row r="9196" spans="1:2" x14ac:dyDescent="0.25">
      <c r="A9196" s="45" t="s">
        <v>9221</v>
      </c>
      <c r="B9196" s="46" t="s">
        <v>22149</v>
      </c>
    </row>
    <row r="9197" spans="1:2" x14ac:dyDescent="0.25">
      <c r="A9197" s="45" t="s">
        <v>9222</v>
      </c>
      <c r="B9197" s="46" t="s">
        <v>22150</v>
      </c>
    </row>
    <row r="9198" spans="1:2" x14ac:dyDescent="0.25">
      <c r="A9198" s="45" t="s">
        <v>9223</v>
      </c>
      <c r="B9198" s="46" t="s">
        <v>22151</v>
      </c>
    </row>
    <row r="9199" spans="1:2" x14ac:dyDescent="0.25">
      <c r="A9199" s="45" t="s">
        <v>9224</v>
      </c>
      <c r="B9199" s="46" t="s">
        <v>22152</v>
      </c>
    </row>
    <row r="9200" spans="1:2" x14ac:dyDescent="0.25">
      <c r="A9200" s="45" t="s">
        <v>9225</v>
      </c>
      <c r="B9200" s="46" t="s">
        <v>22153</v>
      </c>
    </row>
    <row r="9201" spans="1:2" x14ac:dyDescent="0.25">
      <c r="A9201" s="45" t="s">
        <v>9226</v>
      </c>
      <c r="B9201" s="46" t="s">
        <v>22154</v>
      </c>
    </row>
    <row r="9202" spans="1:2" x14ac:dyDescent="0.25">
      <c r="A9202" s="45" t="s">
        <v>9227</v>
      </c>
      <c r="B9202" s="46" t="s">
        <v>22155</v>
      </c>
    </row>
    <row r="9203" spans="1:2" x14ac:dyDescent="0.25">
      <c r="A9203" s="45" t="s">
        <v>9228</v>
      </c>
      <c r="B9203" s="46" t="s">
        <v>22156</v>
      </c>
    </row>
    <row r="9204" spans="1:2" x14ac:dyDescent="0.25">
      <c r="A9204" s="45" t="s">
        <v>9229</v>
      </c>
      <c r="B9204" s="46" t="s">
        <v>22157</v>
      </c>
    </row>
    <row r="9205" spans="1:2" x14ac:dyDescent="0.25">
      <c r="A9205" s="45" t="s">
        <v>9230</v>
      </c>
      <c r="B9205" s="46" t="s">
        <v>22158</v>
      </c>
    </row>
    <row r="9206" spans="1:2" x14ac:dyDescent="0.25">
      <c r="A9206" s="45" t="s">
        <v>9231</v>
      </c>
      <c r="B9206" s="46" t="s">
        <v>22159</v>
      </c>
    </row>
    <row r="9207" spans="1:2" x14ac:dyDescent="0.25">
      <c r="A9207" s="45" t="s">
        <v>9232</v>
      </c>
      <c r="B9207" s="46" t="s">
        <v>22160</v>
      </c>
    </row>
    <row r="9208" spans="1:2" x14ac:dyDescent="0.25">
      <c r="A9208" s="45" t="s">
        <v>9233</v>
      </c>
      <c r="B9208" s="46" t="s">
        <v>22161</v>
      </c>
    </row>
    <row r="9209" spans="1:2" x14ac:dyDescent="0.25">
      <c r="A9209" s="45" t="s">
        <v>9234</v>
      </c>
      <c r="B9209" s="46" t="s">
        <v>22162</v>
      </c>
    </row>
    <row r="9210" spans="1:2" x14ac:dyDescent="0.25">
      <c r="A9210" s="45" t="s">
        <v>9235</v>
      </c>
      <c r="B9210" s="46" t="s">
        <v>22163</v>
      </c>
    </row>
    <row r="9211" spans="1:2" x14ac:dyDescent="0.25">
      <c r="A9211" s="45" t="s">
        <v>9236</v>
      </c>
      <c r="B9211" s="46" t="s">
        <v>22164</v>
      </c>
    </row>
    <row r="9212" spans="1:2" x14ac:dyDescent="0.25">
      <c r="A9212" s="45" t="s">
        <v>9237</v>
      </c>
      <c r="B9212" s="46" t="s">
        <v>22165</v>
      </c>
    </row>
    <row r="9213" spans="1:2" x14ac:dyDescent="0.25">
      <c r="A9213" s="45" t="s">
        <v>9238</v>
      </c>
      <c r="B9213" s="46" t="s">
        <v>22166</v>
      </c>
    </row>
    <row r="9214" spans="1:2" x14ac:dyDescent="0.25">
      <c r="A9214" s="45" t="s">
        <v>9239</v>
      </c>
      <c r="B9214" s="46" t="s">
        <v>22167</v>
      </c>
    </row>
    <row r="9215" spans="1:2" x14ac:dyDescent="0.25">
      <c r="A9215" s="45" t="s">
        <v>9240</v>
      </c>
      <c r="B9215" s="46" t="s">
        <v>22168</v>
      </c>
    </row>
    <row r="9216" spans="1:2" x14ac:dyDescent="0.25">
      <c r="A9216" s="45" t="s">
        <v>9241</v>
      </c>
      <c r="B9216" s="46" t="s">
        <v>22169</v>
      </c>
    </row>
    <row r="9217" spans="1:2" x14ac:dyDescent="0.25">
      <c r="A9217" s="45" t="s">
        <v>9242</v>
      </c>
      <c r="B9217" s="46" t="s">
        <v>22170</v>
      </c>
    </row>
    <row r="9218" spans="1:2" x14ac:dyDescent="0.25">
      <c r="A9218" s="45" t="s">
        <v>9243</v>
      </c>
      <c r="B9218" s="46" t="s">
        <v>22171</v>
      </c>
    </row>
    <row r="9219" spans="1:2" x14ac:dyDescent="0.25">
      <c r="A9219" s="45" t="s">
        <v>9244</v>
      </c>
      <c r="B9219" s="46" t="s">
        <v>22172</v>
      </c>
    </row>
    <row r="9220" spans="1:2" x14ac:dyDescent="0.25">
      <c r="A9220" s="45" t="s">
        <v>9245</v>
      </c>
      <c r="B9220" s="46" t="s">
        <v>22173</v>
      </c>
    </row>
    <row r="9221" spans="1:2" x14ac:dyDescent="0.25">
      <c r="A9221" s="45" t="s">
        <v>9246</v>
      </c>
      <c r="B9221" s="46" t="s">
        <v>22174</v>
      </c>
    </row>
    <row r="9222" spans="1:2" x14ac:dyDescent="0.25">
      <c r="A9222" s="45" t="s">
        <v>9247</v>
      </c>
      <c r="B9222" s="46" t="s">
        <v>22175</v>
      </c>
    </row>
    <row r="9223" spans="1:2" x14ac:dyDescent="0.25">
      <c r="A9223" s="45" t="s">
        <v>9248</v>
      </c>
      <c r="B9223" s="46" t="s">
        <v>22176</v>
      </c>
    </row>
    <row r="9224" spans="1:2" x14ac:dyDescent="0.25">
      <c r="A9224" s="45" t="s">
        <v>9249</v>
      </c>
      <c r="B9224" s="46" t="s">
        <v>22177</v>
      </c>
    </row>
    <row r="9225" spans="1:2" x14ac:dyDescent="0.25">
      <c r="A9225" s="45" t="s">
        <v>9250</v>
      </c>
      <c r="B9225" s="46" t="s">
        <v>22178</v>
      </c>
    </row>
    <row r="9226" spans="1:2" x14ac:dyDescent="0.25">
      <c r="A9226" s="45" t="s">
        <v>9251</v>
      </c>
      <c r="B9226" s="46" t="s">
        <v>22179</v>
      </c>
    </row>
    <row r="9227" spans="1:2" x14ac:dyDescent="0.25">
      <c r="A9227" s="45" t="s">
        <v>9252</v>
      </c>
      <c r="B9227" s="46" t="s">
        <v>22180</v>
      </c>
    </row>
    <row r="9228" spans="1:2" x14ac:dyDescent="0.25">
      <c r="A9228" s="45" t="s">
        <v>9253</v>
      </c>
      <c r="B9228" s="46" t="s">
        <v>22181</v>
      </c>
    </row>
    <row r="9229" spans="1:2" x14ac:dyDescent="0.25">
      <c r="A9229" s="45" t="s">
        <v>9254</v>
      </c>
      <c r="B9229" s="46" t="s">
        <v>22182</v>
      </c>
    </row>
    <row r="9230" spans="1:2" x14ac:dyDescent="0.25">
      <c r="A9230" s="45" t="s">
        <v>9255</v>
      </c>
      <c r="B9230" s="46" t="s">
        <v>22183</v>
      </c>
    </row>
    <row r="9231" spans="1:2" x14ac:dyDescent="0.25">
      <c r="A9231" s="45" t="s">
        <v>9256</v>
      </c>
      <c r="B9231" s="46" t="s">
        <v>22184</v>
      </c>
    </row>
    <row r="9232" spans="1:2" x14ac:dyDescent="0.25">
      <c r="A9232" s="45" t="s">
        <v>9257</v>
      </c>
      <c r="B9232" s="46" t="s">
        <v>22185</v>
      </c>
    </row>
    <row r="9233" spans="1:2" x14ac:dyDescent="0.25">
      <c r="A9233" s="45" t="s">
        <v>9258</v>
      </c>
      <c r="B9233" s="46" t="s">
        <v>22186</v>
      </c>
    </row>
    <row r="9234" spans="1:2" x14ac:dyDescent="0.25">
      <c r="A9234" s="45" t="s">
        <v>9259</v>
      </c>
      <c r="B9234" s="46" t="s">
        <v>22187</v>
      </c>
    </row>
    <row r="9235" spans="1:2" x14ac:dyDescent="0.25">
      <c r="A9235" s="45" t="s">
        <v>9260</v>
      </c>
      <c r="B9235" s="46" t="s">
        <v>22188</v>
      </c>
    </row>
    <row r="9236" spans="1:2" x14ac:dyDescent="0.25">
      <c r="A9236" s="45" t="s">
        <v>9261</v>
      </c>
      <c r="B9236" s="46" t="s">
        <v>22189</v>
      </c>
    </row>
    <row r="9237" spans="1:2" x14ac:dyDescent="0.25">
      <c r="A9237" s="45" t="s">
        <v>9262</v>
      </c>
      <c r="B9237" s="46" t="s">
        <v>22190</v>
      </c>
    </row>
    <row r="9238" spans="1:2" x14ac:dyDescent="0.25">
      <c r="A9238" s="45" t="s">
        <v>9263</v>
      </c>
      <c r="B9238" s="46" t="s">
        <v>22191</v>
      </c>
    </row>
    <row r="9239" spans="1:2" x14ac:dyDescent="0.25">
      <c r="A9239" s="45" t="s">
        <v>9264</v>
      </c>
      <c r="B9239" s="46" t="s">
        <v>22192</v>
      </c>
    </row>
    <row r="9240" spans="1:2" x14ac:dyDescent="0.25">
      <c r="A9240" s="45" t="s">
        <v>9265</v>
      </c>
      <c r="B9240" s="46" t="s">
        <v>22193</v>
      </c>
    </row>
    <row r="9241" spans="1:2" x14ac:dyDescent="0.25">
      <c r="A9241" s="45" t="s">
        <v>9266</v>
      </c>
      <c r="B9241" s="46" t="s">
        <v>22194</v>
      </c>
    </row>
    <row r="9242" spans="1:2" x14ac:dyDescent="0.25">
      <c r="A9242" s="45" t="s">
        <v>9267</v>
      </c>
      <c r="B9242" s="46" t="s">
        <v>22195</v>
      </c>
    </row>
    <row r="9243" spans="1:2" x14ac:dyDescent="0.25">
      <c r="A9243" s="45" t="s">
        <v>9268</v>
      </c>
      <c r="B9243" s="46" t="s">
        <v>22196</v>
      </c>
    </row>
    <row r="9244" spans="1:2" x14ac:dyDescent="0.25">
      <c r="A9244" s="45" t="s">
        <v>9269</v>
      </c>
      <c r="B9244" s="46" t="s">
        <v>22197</v>
      </c>
    </row>
    <row r="9245" spans="1:2" x14ac:dyDescent="0.25">
      <c r="A9245" s="45" t="s">
        <v>9270</v>
      </c>
      <c r="B9245" s="46" t="s">
        <v>22198</v>
      </c>
    </row>
    <row r="9246" spans="1:2" x14ac:dyDescent="0.25">
      <c r="A9246" s="45" t="s">
        <v>9271</v>
      </c>
      <c r="B9246" s="46" t="s">
        <v>22199</v>
      </c>
    </row>
    <row r="9247" spans="1:2" x14ac:dyDescent="0.25">
      <c r="A9247" s="45" t="s">
        <v>9272</v>
      </c>
      <c r="B9247" s="46" t="s">
        <v>22200</v>
      </c>
    </row>
    <row r="9248" spans="1:2" x14ac:dyDescent="0.25">
      <c r="A9248" s="45" t="s">
        <v>9273</v>
      </c>
      <c r="B9248" s="46" t="s">
        <v>22201</v>
      </c>
    </row>
    <row r="9249" spans="1:2" x14ac:dyDescent="0.25">
      <c r="A9249" s="45" t="s">
        <v>9274</v>
      </c>
      <c r="B9249" s="46" t="s">
        <v>22202</v>
      </c>
    </row>
    <row r="9250" spans="1:2" x14ac:dyDescent="0.25">
      <c r="A9250" s="45" t="s">
        <v>9275</v>
      </c>
      <c r="B9250" s="46" t="s">
        <v>22203</v>
      </c>
    </row>
    <row r="9251" spans="1:2" x14ac:dyDescent="0.25">
      <c r="A9251" s="45" t="s">
        <v>9276</v>
      </c>
      <c r="B9251" s="46" t="s">
        <v>22204</v>
      </c>
    </row>
    <row r="9252" spans="1:2" x14ac:dyDescent="0.25">
      <c r="A9252" s="45" t="s">
        <v>9277</v>
      </c>
      <c r="B9252" s="46" t="s">
        <v>22205</v>
      </c>
    </row>
    <row r="9253" spans="1:2" x14ac:dyDescent="0.25">
      <c r="A9253" s="45" t="s">
        <v>9278</v>
      </c>
      <c r="B9253" s="46" t="s">
        <v>22206</v>
      </c>
    </row>
    <row r="9254" spans="1:2" x14ac:dyDescent="0.25">
      <c r="A9254" s="45" t="s">
        <v>9279</v>
      </c>
      <c r="B9254" s="46" t="s">
        <v>22207</v>
      </c>
    </row>
    <row r="9255" spans="1:2" x14ac:dyDescent="0.25">
      <c r="A9255" s="45" t="s">
        <v>9280</v>
      </c>
      <c r="B9255" s="46" t="s">
        <v>22208</v>
      </c>
    </row>
    <row r="9256" spans="1:2" x14ac:dyDescent="0.25">
      <c r="A9256" s="45" t="s">
        <v>9281</v>
      </c>
      <c r="B9256" s="46" t="s">
        <v>22209</v>
      </c>
    </row>
    <row r="9257" spans="1:2" x14ac:dyDescent="0.25">
      <c r="A9257" s="45" t="s">
        <v>9282</v>
      </c>
      <c r="B9257" s="46" t="s">
        <v>22210</v>
      </c>
    </row>
    <row r="9258" spans="1:2" x14ac:dyDescent="0.25">
      <c r="A9258" s="45" t="s">
        <v>9283</v>
      </c>
      <c r="B9258" s="46" t="s">
        <v>22211</v>
      </c>
    </row>
    <row r="9259" spans="1:2" x14ac:dyDescent="0.25">
      <c r="A9259" s="45" t="s">
        <v>9284</v>
      </c>
      <c r="B9259" s="46" t="s">
        <v>22212</v>
      </c>
    </row>
    <row r="9260" spans="1:2" x14ac:dyDescent="0.25">
      <c r="A9260" s="45" t="s">
        <v>9285</v>
      </c>
      <c r="B9260" s="46" t="s">
        <v>22213</v>
      </c>
    </row>
    <row r="9261" spans="1:2" x14ac:dyDescent="0.25">
      <c r="A9261" s="45" t="s">
        <v>9286</v>
      </c>
      <c r="B9261" s="46" t="s">
        <v>22214</v>
      </c>
    </row>
    <row r="9262" spans="1:2" x14ac:dyDescent="0.25">
      <c r="A9262" s="45" t="s">
        <v>9287</v>
      </c>
      <c r="B9262" s="46" t="s">
        <v>22215</v>
      </c>
    </row>
    <row r="9263" spans="1:2" x14ac:dyDescent="0.25">
      <c r="A9263" s="45" t="s">
        <v>9288</v>
      </c>
      <c r="B9263" s="46" t="s">
        <v>22216</v>
      </c>
    </row>
    <row r="9264" spans="1:2" x14ac:dyDescent="0.25">
      <c r="A9264" s="45" t="s">
        <v>9289</v>
      </c>
      <c r="B9264" s="46" t="s">
        <v>22217</v>
      </c>
    </row>
    <row r="9265" spans="1:2" x14ac:dyDescent="0.25">
      <c r="A9265" s="45" t="s">
        <v>9290</v>
      </c>
      <c r="B9265" s="46" t="s">
        <v>22218</v>
      </c>
    </row>
    <row r="9266" spans="1:2" x14ac:dyDescent="0.25">
      <c r="A9266" s="45" t="s">
        <v>9291</v>
      </c>
      <c r="B9266" s="46" t="s">
        <v>22219</v>
      </c>
    </row>
    <row r="9267" spans="1:2" x14ac:dyDescent="0.25">
      <c r="A9267" s="45" t="s">
        <v>9292</v>
      </c>
      <c r="B9267" s="46" t="s">
        <v>22220</v>
      </c>
    </row>
    <row r="9268" spans="1:2" x14ac:dyDescent="0.25">
      <c r="A9268" s="45" t="s">
        <v>9293</v>
      </c>
      <c r="B9268" s="46" t="s">
        <v>22221</v>
      </c>
    </row>
    <row r="9269" spans="1:2" x14ac:dyDescent="0.25">
      <c r="A9269" s="45" t="s">
        <v>9294</v>
      </c>
      <c r="B9269" s="46" t="s">
        <v>22222</v>
      </c>
    </row>
    <row r="9270" spans="1:2" x14ac:dyDescent="0.25">
      <c r="A9270" s="45" t="s">
        <v>9295</v>
      </c>
      <c r="B9270" s="46" t="s">
        <v>22223</v>
      </c>
    </row>
    <row r="9271" spans="1:2" x14ac:dyDescent="0.25">
      <c r="A9271" s="45" t="s">
        <v>9296</v>
      </c>
      <c r="B9271" s="46" t="s">
        <v>22224</v>
      </c>
    </row>
    <row r="9272" spans="1:2" x14ac:dyDescent="0.25">
      <c r="A9272" s="45" t="s">
        <v>9297</v>
      </c>
      <c r="B9272" s="46" t="s">
        <v>22225</v>
      </c>
    </row>
    <row r="9273" spans="1:2" x14ac:dyDescent="0.25">
      <c r="A9273" s="45" t="s">
        <v>9298</v>
      </c>
      <c r="B9273" s="46" t="s">
        <v>22226</v>
      </c>
    </row>
    <row r="9274" spans="1:2" x14ac:dyDescent="0.25">
      <c r="A9274" s="45" t="s">
        <v>9299</v>
      </c>
      <c r="B9274" s="46" t="s">
        <v>22227</v>
      </c>
    </row>
    <row r="9275" spans="1:2" x14ac:dyDescent="0.25">
      <c r="A9275" s="45" t="s">
        <v>9300</v>
      </c>
      <c r="B9275" s="46" t="s">
        <v>22228</v>
      </c>
    </row>
    <row r="9276" spans="1:2" x14ac:dyDescent="0.25">
      <c r="A9276" s="45" t="s">
        <v>9301</v>
      </c>
      <c r="B9276" s="46" t="s">
        <v>22229</v>
      </c>
    </row>
    <row r="9277" spans="1:2" x14ac:dyDescent="0.25">
      <c r="A9277" s="45" t="s">
        <v>9302</v>
      </c>
      <c r="B9277" s="46" t="s">
        <v>22230</v>
      </c>
    </row>
    <row r="9278" spans="1:2" x14ac:dyDescent="0.25">
      <c r="A9278" s="45" t="s">
        <v>9303</v>
      </c>
      <c r="B9278" s="46" t="s">
        <v>22231</v>
      </c>
    </row>
    <row r="9279" spans="1:2" x14ac:dyDescent="0.25">
      <c r="A9279" s="45" t="s">
        <v>9304</v>
      </c>
      <c r="B9279" s="46" t="s">
        <v>22232</v>
      </c>
    </row>
    <row r="9280" spans="1:2" x14ac:dyDescent="0.25">
      <c r="A9280" s="45" t="s">
        <v>9305</v>
      </c>
      <c r="B9280" s="46" t="s">
        <v>22233</v>
      </c>
    </row>
    <row r="9281" spans="1:2" x14ac:dyDescent="0.25">
      <c r="A9281" s="45" t="s">
        <v>9306</v>
      </c>
      <c r="B9281" s="46" t="s">
        <v>22234</v>
      </c>
    </row>
    <row r="9282" spans="1:2" x14ac:dyDescent="0.25">
      <c r="A9282" s="45" t="s">
        <v>9307</v>
      </c>
      <c r="B9282" s="46" t="s">
        <v>22235</v>
      </c>
    </row>
    <row r="9283" spans="1:2" x14ac:dyDescent="0.25">
      <c r="A9283" s="45" t="s">
        <v>9308</v>
      </c>
      <c r="B9283" s="46" t="s">
        <v>22236</v>
      </c>
    </row>
    <row r="9284" spans="1:2" x14ac:dyDescent="0.25">
      <c r="A9284" s="45" t="s">
        <v>9309</v>
      </c>
      <c r="B9284" s="46" t="s">
        <v>22237</v>
      </c>
    </row>
    <row r="9285" spans="1:2" x14ac:dyDescent="0.25">
      <c r="A9285" s="45" t="s">
        <v>9310</v>
      </c>
      <c r="B9285" s="46" t="s">
        <v>22238</v>
      </c>
    </row>
    <row r="9286" spans="1:2" x14ac:dyDescent="0.25">
      <c r="A9286" s="45" t="s">
        <v>9311</v>
      </c>
      <c r="B9286" s="46" t="s">
        <v>22239</v>
      </c>
    </row>
    <row r="9287" spans="1:2" x14ac:dyDescent="0.25">
      <c r="A9287" s="45" t="s">
        <v>9312</v>
      </c>
      <c r="B9287" s="46" t="s">
        <v>22240</v>
      </c>
    </row>
    <row r="9288" spans="1:2" x14ac:dyDescent="0.25">
      <c r="A9288" s="45" t="s">
        <v>9313</v>
      </c>
      <c r="B9288" s="46" t="s">
        <v>22241</v>
      </c>
    </row>
    <row r="9289" spans="1:2" x14ac:dyDescent="0.25">
      <c r="A9289" s="45" t="s">
        <v>9314</v>
      </c>
      <c r="B9289" s="46" t="s">
        <v>22242</v>
      </c>
    </row>
    <row r="9290" spans="1:2" x14ac:dyDescent="0.25">
      <c r="A9290" s="45" t="s">
        <v>9315</v>
      </c>
      <c r="B9290" s="46" t="s">
        <v>22243</v>
      </c>
    </row>
    <row r="9291" spans="1:2" x14ac:dyDescent="0.25">
      <c r="A9291" s="45" t="s">
        <v>9316</v>
      </c>
      <c r="B9291" s="46" t="s">
        <v>22244</v>
      </c>
    </row>
    <row r="9292" spans="1:2" x14ac:dyDescent="0.25">
      <c r="A9292" s="45" t="s">
        <v>9317</v>
      </c>
      <c r="B9292" s="46" t="s">
        <v>22245</v>
      </c>
    </row>
    <row r="9293" spans="1:2" x14ac:dyDescent="0.25">
      <c r="A9293" s="45" t="s">
        <v>9318</v>
      </c>
      <c r="B9293" s="46" t="s">
        <v>22246</v>
      </c>
    </row>
    <row r="9294" spans="1:2" x14ac:dyDescent="0.25">
      <c r="A9294" s="45" t="s">
        <v>9319</v>
      </c>
      <c r="B9294" s="46" t="s">
        <v>22247</v>
      </c>
    </row>
    <row r="9295" spans="1:2" x14ac:dyDescent="0.25">
      <c r="A9295" s="45" t="s">
        <v>9320</v>
      </c>
      <c r="B9295" s="46" t="s">
        <v>22248</v>
      </c>
    </row>
    <row r="9296" spans="1:2" x14ac:dyDescent="0.25">
      <c r="A9296" s="45" t="s">
        <v>9321</v>
      </c>
      <c r="B9296" s="46" t="s">
        <v>22249</v>
      </c>
    </row>
    <row r="9297" spans="1:2" x14ac:dyDescent="0.25">
      <c r="A9297" s="45" t="s">
        <v>9322</v>
      </c>
      <c r="B9297" s="46" t="s">
        <v>22250</v>
      </c>
    </row>
    <row r="9298" spans="1:2" x14ac:dyDescent="0.25">
      <c r="A9298" s="45" t="s">
        <v>9323</v>
      </c>
      <c r="B9298" s="46" t="s">
        <v>22251</v>
      </c>
    </row>
    <row r="9299" spans="1:2" x14ac:dyDescent="0.25">
      <c r="A9299" s="45" t="s">
        <v>9324</v>
      </c>
      <c r="B9299" s="46" t="s">
        <v>22252</v>
      </c>
    </row>
    <row r="9300" spans="1:2" x14ac:dyDescent="0.25">
      <c r="A9300" s="45" t="s">
        <v>9325</v>
      </c>
      <c r="B9300" s="46" t="s">
        <v>22253</v>
      </c>
    </row>
    <row r="9301" spans="1:2" x14ac:dyDescent="0.25">
      <c r="A9301" s="45" t="s">
        <v>9326</v>
      </c>
      <c r="B9301" s="46" t="s">
        <v>22254</v>
      </c>
    </row>
    <row r="9302" spans="1:2" x14ac:dyDescent="0.25">
      <c r="A9302" s="45" t="s">
        <v>9327</v>
      </c>
      <c r="B9302" s="46" t="s">
        <v>22255</v>
      </c>
    </row>
    <row r="9303" spans="1:2" x14ac:dyDescent="0.25">
      <c r="A9303" s="45" t="s">
        <v>9328</v>
      </c>
      <c r="B9303" s="46" t="s">
        <v>22256</v>
      </c>
    </row>
    <row r="9304" spans="1:2" x14ac:dyDescent="0.25">
      <c r="A9304" s="45" t="s">
        <v>9329</v>
      </c>
      <c r="B9304" s="46" t="s">
        <v>22257</v>
      </c>
    </row>
    <row r="9305" spans="1:2" x14ac:dyDescent="0.25">
      <c r="A9305" s="45" t="s">
        <v>9330</v>
      </c>
      <c r="B9305" s="46" t="s">
        <v>22258</v>
      </c>
    </row>
    <row r="9306" spans="1:2" x14ac:dyDescent="0.25">
      <c r="A9306" s="45" t="s">
        <v>9331</v>
      </c>
      <c r="B9306" s="46" t="s">
        <v>22259</v>
      </c>
    </row>
    <row r="9307" spans="1:2" x14ac:dyDescent="0.25">
      <c r="A9307" s="45" t="s">
        <v>9332</v>
      </c>
      <c r="B9307" s="46" t="s">
        <v>22260</v>
      </c>
    </row>
    <row r="9308" spans="1:2" x14ac:dyDescent="0.25">
      <c r="A9308" s="45" t="s">
        <v>9333</v>
      </c>
      <c r="B9308" s="46" t="s">
        <v>22261</v>
      </c>
    </row>
    <row r="9309" spans="1:2" x14ac:dyDescent="0.25">
      <c r="A9309" s="45" t="s">
        <v>9334</v>
      </c>
      <c r="B9309" s="46" t="s">
        <v>22262</v>
      </c>
    </row>
    <row r="9310" spans="1:2" x14ac:dyDescent="0.25">
      <c r="A9310" s="45" t="s">
        <v>9335</v>
      </c>
      <c r="B9310" s="46" t="s">
        <v>22263</v>
      </c>
    </row>
    <row r="9311" spans="1:2" x14ac:dyDescent="0.25">
      <c r="A9311" s="45" t="s">
        <v>9336</v>
      </c>
      <c r="B9311" s="46" t="s">
        <v>22264</v>
      </c>
    </row>
    <row r="9312" spans="1:2" x14ac:dyDescent="0.25">
      <c r="A9312" s="45" t="s">
        <v>9337</v>
      </c>
      <c r="B9312" s="46" t="s">
        <v>22265</v>
      </c>
    </row>
    <row r="9313" spans="1:2" x14ac:dyDescent="0.25">
      <c r="A9313" s="45" t="s">
        <v>9338</v>
      </c>
      <c r="B9313" s="46" t="s">
        <v>22266</v>
      </c>
    </row>
    <row r="9314" spans="1:2" x14ac:dyDescent="0.25">
      <c r="A9314" s="45" t="s">
        <v>9339</v>
      </c>
      <c r="B9314" s="46" t="s">
        <v>22267</v>
      </c>
    </row>
    <row r="9315" spans="1:2" x14ac:dyDescent="0.25">
      <c r="A9315" s="45" t="s">
        <v>9340</v>
      </c>
      <c r="B9315" s="46" t="s">
        <v>22268</v>
      </c>
    </row>
    <row r="9316" spans="1:2" x14ac:dyDescent="0.25">
      <c r="A9316" s="45" t="s">
        <v>9341</v>
      </c>
      <c r="B9316" s="46" t="s">
        <v>22269</v>
      </c>
    </row>
    <row r="9317" spans="1:2" x14ac:dyDescent="0.25">
      <c r="A9317" s="45" t="s">
        <v>9342</v>
      </c>
      <c r="B9317" s="46" t="s">
        <v>22270</v>
      </c>
    </row>
    <row r="9318" spans="1:2" x14ac:dyDescent="0.25">
      <c r="A9318" s="45" t="s">
        <v>9343</v>
      </c>
      <c r="B9318" s="46" t="s">
        <v>22271</v>
      </c>
    </row>
    <row r="9319" spans="1:2" x14ac:dyDescent="0.25">
      <c r="A9319" s="45" t="s">
        <v>9344</v>
      </c>
      <c r="B9319" s="46" t="s">
        <v>22272</v>
      </c>
    </row>
    <row r="9320" spans="1:2" x14ac:dyDescent="0.25">
      <c r="A9320" s="45" t="s">
        <v>9345</v>
      </c>
      <c r="B9320" s="46" t="s">
        <v>22273</v>
      </c>
    </row>
    <row r="9321" spans="1:2" x14ac:dyDescent="0.25">
      <c r="A9321" s="45" t="s">
        <v>9346</v>
      </c>
      <c r="B9321" s="46" t="s">
        <v>22274</v>
      </c>
    </row>
    <row r="9322" spans="1:2" x14ac:dyDescent="0.25">
      <c r="A9322" s="45" t="s">
        <v>9347</v>
      </c>
      <c r="B9322" s="46" t="s">
        <v>22275</v>
      </c>
    </row>
    <row r="9323" spans="1:2" x14ac:dyDescent="0.25">
      <c r="A9323" s="45" t="s">
        <v>9348</v>
      </c>
      <c r="B9323" s="46" t="s">
        <v>22276</v>
      </c>
    </row>
    <row r="9324" spans="1:2" x14ac:dyDescent="0.25">
      <c r="A9324" s="45" t="s">
        <v>9349</v>
      </c>
      <c r="B9324" s="46" t="s">
        <v>22277</v>
      </c>
    </row>
    <row r="9325" spans="1:2" x14ac:dyDescent="0.25">
      <c r="A9325" s="45" t="s">
        <v>9350</v>
      </c>
      <c r="B9325" s="46" t="s">
        <v>22278</v>
      </c>
    </row>
    <row r="9326" spans="1:2" x14ac:dyDescent="0.25">
      <c r="A9326" s="45" t="s">
        <v>9351</v>
      </c>
      <c r="B9326" s="46" t="s">
        <v>22279</v>
      </c>
    </row>
    <row r="9327" spans="1:2" x14ac:dyDescent="0.25">
      <c r="A9327" s="45" t="s">
        <v>9352</v>
      </c>
      <c r="B9327" s="46" t="s">
        <v>22280</v>
      </c>
    </row>
    <row r="9328" spans="1:2" x14ac:dyDescent="0.25">
      <c r="A9328" s="45" t="s">
        <v>9353</v>
      </c>
      <c r="B9328" s="46" t="s">
        <v>22281</v>
      </c>
    </row>
    <row r="9329" spans="1:2" x14ac:dyDescent="0.25">
      <c r="A9329" s="45" t="s">
        <v>9354</v>
      </c>
      <c r="B9329" s="46" t="s">
        <v>22282</v>
      </c>
    </row>
    <row r="9330" spans="1:2" x14ac:dyDescent="0.25">
      <c r="A9330" s="45" t="s">
        <v>9355</v>
      </c>
      <c r="B9330" s="46" t="s">
        <v>22283</v>
      </c>
    </row>
    <row r="9331" spans="1:2" x14ac:dyDescent="0.25">
      <c r="A9331" s="45" t="s">
        <v>9356</v>
      </c>
      <c r="B9331" s="46" t="s">
        <v>22284</v>
      </c>
    </row>
    <row r="9332" spans="1:2" x14ac:dyDescent="0.25">
      <c r="A9332" s="45" t="s">
        <v>9357</v>
      </c>
      <c r="B9332" s="46" t="s">
        <v>22285</v>
      </c>
    </row>
    <row r="9333" spans="1:2" x14ac:dyDescent="0.25">
      <c r="A9333" s="45" t="s">
        <v>9358</v>
      </c>
      <c r="B9333" s="46" t="s">
        <v>22286</v>
      </c>
    </row>
    <row r="9334" spans="1:2" x14ac:dyDescent="0.25">
      <c r="A9334" s="45" t="s">
        <v>9359</v>
      </c>
      <c r="B9334" s="46" t="s">
        <v>22287</v>
      </c>
    </row>
    <row r="9335" spans="1:2" x14ac:dyDescent="0.25">
      <c r="A9335" s="45" t="s">
        <v>9360</v>
      </c>
      <c r="B9335" s="46" t="s">
        <v>22288</v>
      </c>
    </row>
    <row r="9336" spans="1:2" x14ac:dyDescent="0.25">
      <c r="A9336" s="45" t="s">
        <v>9361</v>
      </c>
      <c r="B9336" s="46" t="s">
        <v>22289</v>
      </c>
    </row>
    <row r="9337" spans="1:2" x14ac:dyDescent="0.25">
      <c r="A9337" s="45" t="s">
        <v>9362</v>
      </c>
      <c r="B9337" s="46" t="s">
        <v>22290</v>
      </c>
    </row>
    <row r="9338" spans="1:2" x14ac:dyDescent="0.25">
      <c r="A9338" s="45" t="s">
        <v>9363</v>
      </c>
      <c r="B9338" s="46" t="s">
        <v>22291</v>
      </c>
    </row>
    <row r="9339" spans="1:2" x14ac:dyDescent="0.25">
      <c r="A9339" s="45" t="s">
        <v>9364</v>
      </c>
      <c r="B9339" s="46" t="s">
        <v>22292</v>
      </c>
    </row>
    <row r="9340" spans="1:2" x14ac:dyDescent="0.25">
      <c r="A9340" s="45" t="s">
        <v>9365</v>
      </c>
      <c r="B9340" s="46" t="s">
        <v>22293</v>
      </c>
    </row>
    <row r="9341" spans="1:2" x14ac:dyDescent="0.25">
      <c r="A9341" s="45" t="s">
        <v>9366</v>
      </c>
      <c r="B9341" s="46" t="s">
        <v>22294</v>
      </c>
    </row>
    <row r="9342" spans="1:2" x14ac:dyDescent="0.25">
      <c r="A9342" s="45" t="s">
        <v>9367</v>
      </c>
      <c r="B9342" s="46" t="s">
        <v>22295</v>
      </c>
    </row>
    <row r="9343" spans="1:2" x14ac:dyDescent="0.25">
      <c r="A9343" s="45" t="s">
        <v>9368</v>
      </c>
      <c r="B9343" s="46" t="s">
        <v>22296</v>
      </c>
    </row>
    <row r="9344" spans="1:2" x14ac:dyDescent="0.25">
      <c r="A9344" s="45" t="s">
        <v>9369</v>
      </c>
      <c r="B9344" s="46" t="s">
        <v>22297</v>
      </c>
    </row>
    <row r="9345" spans="1:2" x14ac:dyDescent="0.25">
      <c r="A9345" s="45" t="s">
        <v>9370</v>
      </c>
      <c r="B9345" s="46" t="s">
        <v>22298</v>
      </c>
    </row>
    <row r="9346" spans="1:2" x14ac:dyDescent="0.25">
      <c r="A9346" s="45" t="s">
        <v>9371</v>
      </c>
      <c r="B9346" s="46" t="s">
        <v>22299</v>
      </c>
    </row>
    <row r="9347" spans="1:2" x14ac:dyDescent="0.25">
      <c r="A9347" s="45" t="s">
        <v>9372</v>
      </c>
      <c r="B9347" s="46" t="s">
        <v>22300</v>
      </c>
    </row>
    <row r="9348" spans="1:2" x14ac:dyDescent="0.25">
      <c r="A9348" s="45" t="s">
        <v>9373</v>
      </c>
      <c r="B9348" s="46" t="s">
        <v>22301</v>
      </c>
    </row>
    <row r="9349" spans="1:2" x14ac:dyDescent="0.25">
      <c r="A9349" s="45" t="s">
        <v>9374</v>
      </c>
      <c r="B9349" s="46" t="s">
        <v>22302</v>
      </c>
    </row>
    <row r="9350" spans="1:2" x14ac:dyDescent="0.25">
      <c r="A9350" s="45" t="s">
        <v>9375</v>
      </c>
      <c r="B9350" s="46" t="s">
        <v>22303</v>
      </c>
    </row>
    <row r="9351" spans="1:2" x14ac:dyDescent="0.25">
      <c r="A9351" s="45" t="s">
        <v>9376</v>
      </c>
      <c r="B9351" s="46" t="s">
        <v>22304</v>
      </c>
    </row>
    <row r="9352" spans="1:2" x14ac:dyDescent="0.25">
      <c r="A9352" s="45" t="s">
        <v>9377</v>
      </c>
      <c r="B9352" s="46" t="s">
        <v>22305</v>
      </c>
    </row>
    <row r="9353" spans="1:2" x14ac:dyDescent="0.25">
      <c r="A9353" s="45" t="s">
        <v>9378</v>
      </c>
      <c r="B9353" s="46" t="s">
        <v>22306</v>
      </c>
    </row>
    <row r="9354" spans="1:2" x14ac:dyDescent="0.25">
      <c r="A9354" s="45" t="s">
        <v>9379</v>
      </c>
      <c r="B9354" s="46" t="s">
        <v>22307</v>
      </c>
    </row>
    <row r="9355" spans="1:2" x14ac:dyDescent="0.25">
      <c r="A9355" s="45" t="s">
        <v>9380</v>
      </c>
      <c r="B9355" s="46" t="s">
        <v>22308</v>
      </c>
    </row>
    <row r="9356" spans="1:2" x14ac:dyDescent="0.25">
      <c r="A9356" s="45" t="s">
        <v>9381</v>
      </c>
      <c r="B9356" s="46" t="s">
        <v>22309</v>
      </c>
    </row>
    <row r="9357" spans="1:2" x14ac:dyDescent="0.25">
      <c r="A9357" s="45" t="s">
        <v>9382</v>
      </c>
      <c r="B9357" s="46" t="s">
        <v>22310</v>
      </c>
    </row>
    <row r="9358" spans="1:2" x14ac:dyDescent="0.25">
      <c r="A9358" s="45" t="s">
        <v>9383</v>
      </c>
      <c r="B9358" s="46" t="s">
        <v>22311</v>
      </c>
    </row>
    <row r="9359" spans="1:2" x14ac:dyDescent="0.25">
      <c r="A9359" s="45" t="s">
        <v>9384</v>
      </c>
      <c r="B9359" s="46" t="s">
        <v>22312</v>
      </c>
    </row>
    <row r="9360" spans="1:2" x14ac:dyDescent="0.25">
      <c r="A9360" s="45" t="s">
        <v>9385</v>
      </c>
      <c r="B9360" s="46" t="s">
        <v>22313</v>
      </c>
    </row>
    <row r="9361" spans="1:2" x14ac:dyDescent="0.25">
      <c r="A9361" s="45" t="s">
        <v>9386</v>
      </c>
      <c r="B9361" s="46" t="s">
        <v>22314</v>
      </c>
    </row>
    <row r="9362" spans="1:2" x14ac:dyDescent="0.25">
      <c r="A9362" s="45" t="s">
        <v>9387</v>
      </c>
      <c r="B9362" s="46" t="s">
        <v>22315</v>
      </c>
    </row>
    <row r="9363" spans="1:2" x14ac:dyDescent="0.25">
      <c r="A9363" s="45" t="s">
        <v>9388</v>
      </c>
      <c r="B9363" s="46" t="s">
        <v>22316</v>
      </c>
    </row>
    <row r="9364" spans="1:2" x14ac:dyDescent="0.25">
      <c r="A9364" s="45" t="s">
        <v>9389</v>
      </c>
      <c r="B9364" s="46" t="s">
        <v>22317</v>
      </c>
    </row>
    <row r="9365" spans="1:2" x14ac:dyDescent="0.25">
      <c r="A9365" s="45" t="s">
        <v>9390</v>
      </c>
      <c r="B9365" s="46" t="s">
        <v>22318</v>
      </c>
    </row>
    <row r="9366" spans="1:2" x14ac:dyDescent="0.25">
      <c r="A9366" s="45" t="s">
        <v>9391</v>
      </c>
      <c r="B9366" s="46" t="s">
        <v>22319</v>
      </c>
    </row>
    <row r="9367" spans="1:2" x14ac:dyDescent="0.25">
      <c r="A9367" s="45" t="s">
        <v>9392</v>
      </c>
      <c r="B9367" s="46" t="s">
        <v>22320</v>
      </c>
    </row>
    <row r="9368" spans="1:2" x14ac:dyDescent="0.25">
      <c r="A9368" s="45" t="s">
        <v>9393</v>
      </c>
      <c r="B9368" s="46" t="s">
        <v>22321</v>
      </c>
    </row>
    <row r="9369" spans="1:2" x14ac:dyDescent="0.25">
      <c r="A9369" s="45" t="s">
        <v>9394</v>
      </c>
      <c r="B9369" s="46" t="s">
        <v>22322</v>
      </c>
    </row>
    <row r="9370" spans="1:2" x14ac:dyDescent="0.25">
      <c r="A9370" s="45" t="s">
        <v>9395</v>
      </c>
      <c r="B9370" s="46" t="s">
        <v>22323</v>
      </c>
    </row>
    <row r="9371" spans="1:2" x14ac:dyDescent="0.25">
      <c r="A9371" s="45" t="s">
        <v>9396</v>
      </c>
      <c r="B9371" s="46" t="s">
        <v>22324</v>
      </c>
    </row>
    <row r="9372" spans="1:2" x14ac:dyDescent="0.25">
      <c r="A9372" s="45" t="s">
        <v>9397</v>
      </c>
      <c r="B9372" s="46" t="s">
        <v>22325</v>
      </c>
    </row>
    <row r="9373" spans="1:2" x14ac:dyDescent="0.25">
      <c r="A9373" s="45" t="s">
        <v>9398</v>
      </c>
      <c r="B9373" s="46" t="s">
        <v>22326</v>
      </c>
    </row>
    <row r="9374" spans="1:2" x14ac:dyDescent="0.25">
      <c r="A9374" s="45" t="s">
        <v>9399</v>
      </c>
      <c r="B9374" s="46" t="s">
        <v>22327</v>
      </c>
    </row>
    <row r="9375" spans="1:2" x14ac:dyDescent="0.25">
      <c r="A9375" s="45" t="s">
        <v>9400</v>
      </c>
      <c r="B9375" s="46" t="s">
        <v>22328</v>
      </c>
    </row>
    <row r="9376" spans="1:2" x14ac:dyDescent="0.25">
      <c r="A9376" s="45" t="s">
        <v>9401</v>
      </c>
      <c r="B9376" s="46" t="s">
        <v>22329</v>
      </c>
    </row>
    <row r="9377" spans="1:2" x14ac:dyDescent="0.25">
      <c r="A9377" s="45" t="s">
        <v>9402</v>
      </c>
      <c r="B9377" s="46" t="s">
        <v>22330</v>
      </c>
    </row>
    <row r="9378" spans="1:2" x14ac:dyDescent="0.25">
      <c r="A9378" s="45" t="s">
        <v>9403</v>
      </c>
      <c r="B9378" s="46" t="s">
        <v>22331</v>
      </c>
    </row>
    <row r="9379" spans="1:2" x14ac:dyDescent="0.25">
      <c r="A9379" s="45" t="s">
        <v>9404</v>
      </c>
      <c r="B9379" s="46" t="s">
        <v>22332</v>
      </c>
    </row>
    <row r="9380" spans="1:2" x14ac:dyDescent="0.25">
      <c r="A9380" s="45" t="s">
        <v>9405</v>
      </c>
      <c r="B9380" s="46" t="s">
        <v>22333</v>
      </c>
    </row>
    <row r="9381" spans="1:2" x14ac:dyDescent="0.25">
      <c r="A9381" s="45" t="s">
        <v>9406</v>
      </c>
      <c r="B9381" s="46" t="s">
        <v>22334</v>
      </c>
    </row>
    <row r="9382" spans="1:2" x14ac:dyDescent="0.25">
      <c r="A9382" s="45" t="s">
        <v>9407</v>
      </c>
      <c r="B9382" s="46" t="s">
        <v>22335</v>
      </c>
    </row>
    <row r="9383" spans="1:2" x14ac:dyDescent="0.25">
      <c r="A9383" s="45" t="s">
        <v>9408</v>
      </c>
      <c r="B9383" s="46" t="s">
        <v>22336</v>
      </c>
    </row>
    <row r="9384" spans="1:2" x14ac:dyDescent="0.25">
      <c r="A9384" s="45" t="s">
        <v>9409</v>
      </c>
      <c r="B9384" s="46" t="s">
        <v>22337</v>
      </c>
    </row>
    <row r="9385" spans="1:2" x14ac:dyDescent="0.25">
      <c r="A9385" s="45" t="s">
        <v>9410</v>
      </c>
      <c r="B9385" s="46" t="s">
        <v>22338</v>
      </c>
    </row>
    <row r="9386" spans="1:2" x14ac:dyDescent="0.25">
      <c r="A9386" s="45" t="s">
        <v>9411</v>
      </c>
      <c r="B9386" s="46" t="s">
        <v>22339</v>
      </c>
    </row>
    <row r="9387" spans="1:2" x14ac:dyDescent="0.25">
      <c r="A9387" s="45" t="s">
        <v>9412</v>
      </c>
      <c r="B9387" s="46" t="s">
        <v>22340</v>
      </c>
    </row>
    <row r="9388" spans="1:2" x14ac:dyDescent="0.25">
      <c r="A9388" s="45" t="s">
        <v>9413</v>
      </c>
      <c r="B9388" s="46" t="s">
        <v>22341</v>
      </c>
    </row>
    <row r="9389" spans="1:2" x14ac:dyDescent="0.25">
      <c r="A9389" s="45" t="s">
        <v>9414</v>
      </c>
      <c r="B9389" s="46" t="s">
        <v>22342</v>
      </c>
    </row>
    <row r="9390" spans="1:2" x14ac:dyDescent="0.25">
      <c r="A9390" s="45" t="s">
        <v>9415</v>
      </c>
      <c r="B9390" s="46" t="s">
        <v>22343</v>
      </c>
    </row>
    <row r="9391" spans="1:2" x14ac:dyDescent="0.25">
      <c r="A9391" s="45" t="s">
        <v>9416</v>
      </c>
      <c r="B9391" s="46" t="s">
        <v>22344</v>
      </c>
    </row>
    <row r="9392" spans="1:2" x14ac:dyDescent="0.25">
      <c r="A9392" s="45" t="s">
        <v>9417</v>
      </c>
      <c r="B9392" s="46" t="s">
        <v>22345</v>
      </c>
    </row>
    <row r="9393" spans="1:2" x14ac:dyDescent="0.25">
      <c r="A9393" s="45" t="s">
        <v>9418</v>
      </c>
      <c r="B9393" s="46" t="s">
        <v>22346</v>
      </c>
    </row>
    <row r="9394" spans="1:2" x14ac:dyDescent="0.25">
      <c r="A9394" s="45" t="s">
        <v>9419</v>
      </c>
      <c r="B9394" s="46" t="s">
        <v>22347</v>
      </c>
    </row>
    <row r="9395" spans="1:2" x14ac:dyDescent="0.25">
      <c r="A9395" s="45" t="s">
        <v>9420</v>
      </c>
      <c r="B9395" s="46" t="s">
        <v>22348</v>
      </c>
    </row>
    <row r="9396" spans="1:2" x14ac:dyDescent="0.25">
      <c r="A9396" s="45" t="s">
        <v>9421</v>
      </c>
      <c r="B9396" s="46" t="s">
        <v>22349</v>
      </c>
    </row>
    <row r="9397" spans="1:2" x14ac:dyDescent="0.25">
      <c r="A9397" s="45" t="s">
        <v>9422</v>
      </c>
      <c r="B9397" s="46" t="s">
        <v>22350</v>
      </c>
    </row>
    <row r="9398" spans="1:2" x14ac:dyDescent="0.25">
      <c r="A9398" s="45" t="s">
        <v>9423</v>
      </c>
      <c r="B9398" s="46" t="s">
        <v>22351</v>
      </c>
    </row>
    <row r="9399" spans="1:2" x14ac:dyDescent="0.25">
      <c r="A9399" s="45" t="s">
        <v>9424</v>
      </c>
      <c r="B9399" s="46" t="s">
        <v>22352</v>
      </c>
    </row>
    <row r="9400" spans="1:2" x14ac:dyDescent="0.25">
      <c r="A9400" s="45" t="s">
        <v>9425</v>
      </c>
      <c r="B9400" s="46" t="s">
        <v>22353</v>
      </c>
    </row>
    <row r="9401" spans="1:2" x14ac:dyDescent="0.25">
      <c r="A9401" s="45" t="s">
        <v>9426</v>
      </c>
      <c r="B9401" s="46" t="s">
        <v>22354</v>
      </c>
    </row>
    <row r="9402" spans="1:2" x14ac:dyDescent="0.25">
      <c r="A9402" s="45" t="s">
        <v>9427</v>
      </c>
      <c r="B9402" s="46" t="s">
        <v>22355</v>
      </c>
    </row>
    <row r="9403" spans="1:2" x14ac:dyDescent="0.25">
      <c r="A9403" s="45" t="s">
        <v>9428</v>
      </c>
      <c r="B9403" s="46" t="s">
        <v>22356</v>
      </c>
    </row>
    <row r="9404" spans="1:2" x14ac:dyDescent="0.25">
      <c r="A9404" s="45" t="s">
        <v>9429</v>
      </c>
      <c r="B9404" s="46" t="s">
        <v>22357</v>
      </c>
    </row>
    <row r="9405" spans="1:2" x14ac:dyDescent="0.25">
      <c r="A9405" s="45" t="s">
        <v>9430</v>
      </c>
      <c r="B9405" s="46" t="s">
        <v>22358</v>
      </c>
    </row>
    <row r="9406" spans="1:2" x14ac:dyDescent="0.25">
      <c r="A9406" s="45" t="s">
        <v>9431</v>
      </c>
      <c r="B9406" s="46" t="s">
        <v>22359</v>
      </c>
    </row>
    <row r="9407" spans="1:2" x14ac:dyDescent="0.25">
      <c r="A9407" s="45" t="s">
        <v>9432</v>
      </c>
      <c r="B9407" s="46" t="s">
        <v>22360</v>
      </c>
    </row>
    <row r="9408" spans="1:2" x14ac:dyDescent="0.25">
      <c r="A9408" s="45" t="s">
        <v>9433</v>
      </c>
      <c r="B9408" s="46" t="s">
        <v>22361</v>
      </c>
    </row>
    <row r="9409" spans="1:2" x14ac:dyDescent="0.25">
      <c r="A9409" s="45" t="s">
        <v>9434</v>
      </c>
      <c r="B9409" s="46" t="s">
        <v>22362</v>
      </c>
    </row>
    <row r="9410" spans="1:2" x14ac:dyDescent="0.25">
      <c r="A9410" s="45" t="s">
        <v>9435</v>
      </c>
      <c r="B9410" s="46" t="s">
        <v>22363</v>
      </c>
    </row>
    <row r="9411" spans="1:2" x14ac:dyDescent="0.25">
      <c r="A9411" s="45" t="s">
        <v>9436</v>
      </c>
      <c r="B9411" s="46" t="s">
        <v>22364</v>
      </c>
    </row>
    <row r="9412" spans="1:2" x14ac:dyDescent="0.25">
      <c r="A9412" s="45" t="s">
        <v>9437</v>
      </c>
      <c r="B9412" s="46" t="s">
        <v>22365</v>
      </c>
    </row>
    <row r="9413" spans="1:2" x14ac:dyDescent="0.25">
      <c r="A9413" s="45" t="s">
        <v>9438</v>
      </c>
      <c r="B9413" s="46" t="s">
        <v>22366</v>
      </c>
    </row>
    <row r="9414" spans="1:2" x14ac:dyDescent="0.25">
      <c r="A9414" s="45" t="s">
        <v>9439</v>
      </c>
      <c r="B9414" s="46" t="s">
        <v>22367</v>
      </c>
    </row>
    <row r="9415" spans="1:2" x14ac:dyDescent="0.25">
      <c r="A9415" s="45" t="s">
        <v>9440</v>
      </c>
      <c r="B9415" s="46" t="s">
        <v>22368</v>
      </c>
    </row>
    <row r="9416" spans="1:2" x14ac:dyDescent="0.25">
      <c r="A9416" s="45" t="s">
        <v>9441</v>
      </c>
      <c r="B9416" s="46" t="s">
        <v>22369</v>
      </c>
    </row>
    <row r="9417" spans="1:2" x14ac:dyDescent="0.25">
      <c r="A9417" s="45" t="s">
        <v>9442</v>
      </c>
      <c r="B9417" s="46" t="s">
        <v>22370</v>
      </c>
    </row>
    <row r="9418" spans="1:2" x14ac:dyDescent="0.25">
      <c r="A9418" s="45" t="s">
        <v>9443</v>
      </c>
      <c r="B9418" s="46" t="s">
        <v>22371</v>
      </c>
    </row>
    <row r="9419" spans="1:2" x14ac:dyDescent="0.25">
      <c r="A9419" s="45" t="s">
        <v>9444</v>
      </c>
      <c r="B9419" s="46" t="s">
        <v>22372</v>
      </c>
    </row>
    <row r="9420" spans="1:2" x14ac:dyDescent="0.25">
      <c r="A9420" s="45" t="s">
        <v>9445</v>
      </c>
      <c r="B9420" s="46" t="s">
        <v>22373</v>
      </c>
    </row>
    <row r="9421" spans="1:2" x14ac:dyDescent="0.25">
      <c r="A9421" s="45" t="s">
        <v>9446</v>
      </c>
      <c r="B9421" s="46" t="s">
        <v>22374</v>
      </c>
    </row>
    <row r="9422" spans="1:2" x14ac:dyDescent="0.25">
      <c r="A9422" s="45" t="s">
        <v>9447</v>
      </c>
      <c r="B9422" s="46" t="s">
        <v>22375</v>
      </c>
    </row>
    <row r="9423" spans="1:2" x14ac:dyDescent="0.25">
      <c r="A9423" s="45" t="s">
        <v>9448</v>
      </c>
      <c r="B9423" s="46" t="s">
        <v>22376</v>
      </c>
    </row>
    <row r="9424" spans="1:2" x14ac:dyDescent="0.25">
      <c r="A9424" s="45" t="s">
        <v>9449</v>
      </c>
      <c r="B9424" s="46" t="s">
        <v>22377</v>
      </c>
    </row>
    <row r="9425" spans="1:2" x14ac:dyDescent="0.25">
      <c r="A9425" s="45" t="s">
        <v>9450</v>
      </c>
      <c r="B9425" s="46" t="s">
        <v>22378</v>
      </c>
    </row>
    <row r="9426" spans="1:2" x14ac:dyDescent="0.25">
      <c r="A9426" s="45" t="s">
        <v>9451</v>
      </c>
      <c r="B9426" s="46" t="s">
        <v>22379</v>
      </c>
    </row>
    <row r="9427" spans="1:2" x14ac:dyDescent="0.25">
      <c r="A9427" s="45" t="s">
        <v>9452</v>
      </c>
      <c r="B9427" s="46" t="s">
        <v>22380</v>
      </c>
    </row>
    <row r="9428" spans="1:2" x14ac:dyDescent="0.25">
      <c r="A9428" s="45" t="s">
        <v>9453</v>
      </c>
      <c r="B9428" s="46" t="s">
        <v>22381</v>
      </c>
    </row>
    <row r="9429" spans="1:2" x14ac:dyDescent="0.25">
      <c r="A9429" s="45" t="s">
        <v>9454</v>
      </c>
      <c r="B9429" s="46" t="s">
        <v>22382</v>
      </c>
    </row>
    <row r="9430" spans="1:2" x14ac:dyDescent="0.25">
      <c r="A9430" s="45" t="s">
        <v>9455</v>
      </c>
      <c r="B9430" s="46" t="s">
        <v>22383</v>
      </c>
    </row>
    <row r="9431" spans="1:2" x14ac:dyDescent="0.25">
      <c r="A9431" s="45" t="s">
        <v>9456</v>
      </c>
      <c r="B9431" s="46" t="s">
        <v>22384</v>
      </c>
    </row>
    <row r="9432" spans="1:2" x14ac:dyDescent="0.25">
      <c r="A9432" s="45" t="s">
        <v>9457</v>
      </c>
      <c r="B9432" s="46" t="s">
        <v>22385</v>
      </c>
    </row>
    <row r="9433" spans="1:2" x14ac:dyDescent="0.25">
      <c r="A9433" s="45" t="s">
        <v>9458</v>
      </c>
      <c r="B9433" s="46" t="s">
        <v>22386</v>
      </c>
    </row>
    <row r="9434" spans="1:2" x14ac:dyDescent="0.25">
      <c r="A9434" s="45" t="s">
        <v>9459</v>
      </c>
      <c r="B9434" s="46" t="s">
        <v>22387</v>
      </c>
    </row>
    <row r="9435" spans="1:2" x14ac:dyDescent="0.25">
      <c r="A9435" s="45" t="s">
        <v>9460</v>
      </c>
      <c r="B9435" s="46" t="s">
        <v>22388</v>
      </c>
    </row>
    <row r="9436" spans="1:2" x14ac:dyDescent="0.25">
      <c r="A9436" s="45" t="s">
        <v>9461</v>
      </c>
      <c r="B9436" s="46" t="s">
        <v>22389</v>
      </c>
    </row>
    <row r="9437" spans="1:2" x14ac:dyDescent="0.25">
      <c r="A9437" s="45" t="s">
        <v>9462</v>
      </c>
      <c r="B9437" s="46" t="s">
        <v>22390</v>
      </c>
    </row>
    <row r="9438" spans="1:2" x14ac:dyDescent="0.25">
      <c r="A9438" s="45" t="s">
        <v>9463</v>
      </c>
      <c r="B9438" s="46" t="s">
        <v>22391</v>
      </c>
    </row>
    <row r="9439" spans="1:2" x14ac:dyDescent="0.25">
      <c r="A9439" s="45" t="s">
        <v>9464</v>
      </c>
      <c r="B9439" s="46" t="s">
        <v>22392</v>
      </c>
    </row>
    <row r="9440" spans="1:2" x14ac:dyDescent="0.25">
      <c r="A9440" s="45" t="s">
        <v>9465</v>
      </c>
      <c r="B9440" s="46" t="s">
        <v>22393</v>
      </c>
    </row>
    <row r="9441" spans="1:2" x14ac:dyDescent="0.25">
      <c r="A9441" s="45" t="s">
        <v>9466</v>
      </c>
      <c r="B9441" s="46" t="s">
        <v>22394</v>
      </c>
    </row>
    <row r="9442" spans="1:2" x14ac:dyDescent="0.25">
      <c r="A9442" s="45" t="s">
        <v>9467</v>
      </c>
      <c r="B9442" s="46" t="s">
        <v>22395</v>
      </c>
    </row>
    <row r="9443" spans="1:2" x14ac:dyDescent="0.25">
      <c r="A9443" s="45" t="s">
        <v>9468</v>
      </c>
      <c r="B9443" s="46" t="s">
        <v>22396</v>
      </c>
    </row>
    <row r="9444" spans="1:2" x14ac:dyDescent="0.25">
      <c r="A9444" s="45" t="s">
        <v>9469</v>
      </c>
      <c r="B9444" s="46" t="s">
        <v>22397</v>
      </c>
    </row>
    <row r="9445" spans="1:2" x14ac:dyDescent="0.25">
      <c r="A9445" s="45" t="s">
        <v>9470</v>
      </c>
      <c r="B9445" s="46" t="s">
        <v>22398</v>
      </c>
    </row>
    <row r="9446" spans="1:2" x14ac:dyDescent="0.25">
      <c r="A9446" s="45" t="s">
        <v>9471</v>
      </c>
      <c r="B9446" s="46" t="s">
        <v>22399</v>
      </c>
    </row>
    <row r="9447" spans="1:2" x14ac:dyDescent="0.25">
      <c r="A9447" s="45" t="s">
        <v>9472</v>
      </c>
      <c r="B9447" s="46" t="s">
        <v>22400</v>
      </c>
    </row>
    <row r="9448" spans="1:2" x14ac:dyDescent="0.25">
      <c r="A9448" s="45" t="s">
        <v>9473</v>
      </c>
      <c r="B9448" s="46" t="s">
        <v>22401</v>
      </c>
    </row>
    <row r="9449" spans="1:2" x14ac:dyDescent="0.25">
      <c r="A9449" s="45" t="s">
        <v>9474</v>
      </c>
      <c r="B9449" s="46" t="s">
        <v>22402</v>
      </c>
    </row>
    <row r="9450" spans="1:2" x14ac:dyDescent="0.25">
      <c r="A9450" s="45" t="s">
        <v>9475</v>
      </c>
      <c r="B9450" s="46" t="s">
        <v>22403</v>
      </c>
    </row>
    <row r="9451" spans="1:2" x14ac:dyDescent="0.25">
      <c r="A9451" s="45" t="s">
        <v>9476</v>
      </c>
      <c r="B9451" s="46" t="s">
        <v>22404</v>
      </c>
    </row>
    <row r="9452" spans="1:2" x14ac:dyDescent="0.25">
      <c r="A9452" s="45" t="s">
        <v>9477</v>
      </c>
      <c r="B9452" s="46" t="s">
        <v>22405</v>
      </c>
    </row>
    <row r="9453" spans="1:2" x14ac:dyDescent="0.25">
      <c r="A9453" s="45" t="s">
        <v>9478</v>
      </c>
      <c r="B9453" s="46" t="s">
        <v>22406</v>
      </c>
    </row>
    <row r="9454" spans="1:2" x14ac:dyDescent="0.25">
      <c r="A9454" s="45" t="s">
        <v>9479</v>
      </c>
      <c r="B9454" s="46" t="s">
        <v>22407</v>
      </c>
    </row>
    <row r="9455" spans="1:2" x14ac:dyDescent="0.25">
      <c r="A9455" s="45" t="s">
        <v>9480</v>
      </c>
      <c r="B9455" s="46" t="s">
        <v>22408</v>
      </c>
    </row>
    <row r="9456" spans="1:2" x14ac:dyDescent="0.25">
      <c r="A9456" s="45" t="s">
        <v>9481</v>
      </c>
      <c r="B9456" s="46" t="s">
        <v>22409</v>
      </c>
    </row>
    <row r="9457" spans="1:2" x14ac:dyDescent="0.25">
      <c r="A9457" s="45" t="s">
        <v>9482</v>
      </c>
      <c r="B9457" s="46" t="s">
        <v>22410</v>
      </c>
    </row>
    <row r="9458" spans="1:2" x14ac:dyDescent="0.25">
      <c r="A9458" s="45" t="s">
        <v>9483</v>
      </c>
      <c r="B9458" s="46" t="s">
        <v>22411</v>
      </c>
    </row>
    <row r="9459" spans="1:2" x14ac:dyDescent="0.25">
      <c r="A9459" s="45" t="s">
        <v>9484</v>
      </c>
      <c r="B9459" s="46" t="s">
        <v>22412</v>
      </c>
    </row>
    <row r="9460" spans="1:2" x14ac:dyDescent="0.25">
      <c r="A9460" s="45" t="s">
        <v>9485</v>
      </c>
      <c r="B9460" s="46" t="s">
        <v>22413</v>
      </c>
    </row>
    <row r="9461" spans="1:2" x14ac:dyDescent="0.25">
      <c r="A9461" s="45" t="s">
        <v>9486</v>
      </c>
      <c r="B9461" s="46" t="s">
        <v>22414</v>
      </c>
    </row>
    <row r="9462" spans="1:2" x14ac:dyDescent="0.25">
      <c r="A9462" s="45" t="s">
        <v>9487</v>
      </c>
      <c r="B9462" s="46" t="s">
        <v>22415</v>
      </c>
    </row>
    <row r="9463" spans="1:2" x14ac:dyDescent="0.25">
      <c r="A9463" s="45" t="s">
        <v>9488</v>
      </c>
      <c r="B9463" s="46" t="s">
        <v>22416</v>
      </c>
    </row>
    <row r="9464" spans="1:2" x14ac:dyDescent="0.25">
      <c r="A9464" s="45" t="s">
        <v>9489</v>
      </c>
      <c r="B9464" s="46" t="s">
        <v>22417</v>
      </c>
    </row>
    <row r="9465" spans="1:2" x14ac:dyDescent="0.25">
      <c r="A9465" s="45" t="s">
        <v>9490</v>
      </c>
      <c r="B9465" s="46" t="s">
        <v>22418</v>
      </c>
    </row>
    <row r="9466" spans="1:2" x14ac:dyDescent="0.25">
      <c r="A9466" s="45" t="s">
        <v>9491</v>
      </c>
      <c r="B9466" s="46" t="s">
        <v>22419</v>
      </c>
    </row>
    <row r="9467" spans="1:2" x14ac:dyDescent="0.25">
      <c r="A9467" s="45" t="s">
        <v>9492</v>
      </c>
      <c r="B9467" s="46" t="s">
        <v>22420</v>
      </c>
    </row>
    <row r="9468" spans="1:2" x14ac:dyDescent="0.25">
      <c r="A9468" s="45" t="s">
        <v>9493</v>
      </c>
      <c r="B9468" s="46" t="s">
        <v>22421</v>
      </c>
    </row>
    <row r="9469" spans="1:2" x14ac:dyDescent="0.25">
      <c r="A9469" s="45" t="s">
        <v>9494</v>
      </c>
      <c r="B9469" s="46" t="s">
        <v>22422</v>
      </c>
    </row>
    <row r="9470" spans="1:2" x14ac:dyDescent="0.25">
      <c r="A9470" s="45" t="s">
        <v>9495</v>
      </c>
      <c r="B9470" s="46" t="s">
        <v>22423</v>
      </c>
    </row>
    <row r="9471" spans="1:2" x14ac:dyDescent="0.25">
      <c r="A9471" s="45" t="s">
        <v>9496</v>
      </c>
      <c r="B9471" s="46" t="s">
        <v>22424</v>
      </c>
    </row>
    <row r="9472" spans="1:2" x14ac:dyDescent="0.25">
      <c r="A9472" s="45" t="s">
        <v>9497</v>
      </c>
      <c r="B9472" s="46" t="s">
        <v>22425</v>
      </c>
    </row>
    <row r="9473" spans="1:2" x14ac:dyDescent="0.25">
      <c r="A9473" s="45" t="s">
        <v>9498</v>
      </c>
      <c r="B9473" s="46" t="s">
        <v>22426</v>
      </c>
    </row>
    <row r="9474" spans="1:2" x14ac:dyDescent="0.25">
      <c r="A9474" s="45" t="s">
        <v>9499</v>
      </c>
      <c r="B9474" s="46" t="s">
        <v>22427</v>
      </c>
    </row>
    <row r="9475" spans="1:2" x14ac:dyDescent="0.25">
      <c r="A9475" s="45" t="s">
        <v>9500</v>
      </c>
      <c r="B9475" s="46" t="s">
        <v>22428</v>
      </c>
    </row>
    <row r="9476" spans="1:2" x14ac:dyDescent="0.25">
      <c r="A9476" s="45" t="s">
        <v>9501</v>
      </c>
      <c r="B9476" s="46" t="s">
        <v>22429</v>
      </c>
    </row>
    <row r="9477" spans="1:2" x14ac:dyDescent="0.25">
      <c r="A9477" s="45" t="s">
        <v>9502</v>
      </c>
      <c r="B9477" s="46" t="s">
        <v>22430</v>
      </c>
    </row>
    <row r="9478" spans="1:2" x14ac:dyDescent="0.25">
      <c r="A9478" s="45" t="s">
        <v>9503</v>
      </c>
      <c r="B9478" s="46" t="s">
        <v>22431</v>
      </c>
    </row>
    <row r="9479" spans="1:2" x14ac:dyDescent="0.25">
      <c r="A9479" s="45" t="s">
        <v>9504</v>
      </c>
      <c r="B9479" s="46" t="s">
        <v>22432</v>
      </c>
    </row>
    <row r="9480" spans="1:2" x14ac:dyDescent="0.25">
      <c r="A9480" s="45" t="s">
        <v>9505</v>
      </c>
      <c r="B9480" s="46" t="s">
        <v>22433</v>
      </c>
    </row>
    <row r="9481" spans="1:2" x14ac:dyDescent="0.25">
      <c r="A9481" s="45" t="s">
        <v>9506</v>
      </c>
      <c r="B9481" s="46" t="s">
        <v>22434</v>
      </c>
    </row>
    <row r="9482" spans="1:2" x14ac:dyDescent="0.25">
      <c r="A9482" s="45" t="s">
        <v>9507</v>
      </c>
      <c r="B9482" s="46" t="s">
        <v>22435</v>
      </c>
    </row>
    <row r="9483" spans="1:2" x14ac:dyDescent="0.25">
      <c r="A9483" s="45" t="s">
        <v>9508</v>
      </c>
      <c r="B9483" s="46" t="s">
        <v>22436</v>
      </c>
    </row>
    <row r="9484" spans="1:2" x14ac:dyDescent="0.25">
      <c r="A9484" s="45" t="s">
        <v>9509</v>
      </c>
      <c r="B9484" s="46" t="s">
        <v>22437</v>
      </c>
    </row>
    <row r="9485" spans="1:2" x14ac:dyDescent="0.25">
      <c r="A9485" s="45" t="s">
        <v>9510</v>
      </c>
      <c r="B9485" s="46" t="s">
        <v>22438</v>
      </c>
    </row>
    <row r="9486" spans="1:2" x14ac:dyDescent="0.25">
      <c r="A9486" s="45" t="s">
        <v>9511</v>
      </c>
      <c r="B9486" s="46" t="s">
        <v>22439</v>
      </c>
    </row>
    <row r="9487" spans="1:2" x14ac:dyDescent="0.25">
      <c r="A9487" s="45" t="s">
        <v>9512</v>
      </c>
      <c r="B9487" s="46" t="s">
        <v>22440</v>
      </c>
    </row>
    <row r="9488" spans="1:2" x14ac:dyDescent="0.25">
      <c r="A9488" s="45" t="s">
        <v>9513</v>
      </c>
      <c r="B9488" s="46" t="s">
        <v>22441</v>
      </c>
    </row>
    <row r="9489" spans="1:2" x14ac:dyDescent="0.25">
      <c r="A9489" s="45" t="s">
        <v>9514</v>
      </c>
      <c r="B9489" s="46" t="s">
        <v>22442</v>
      </c>
    </row>
    <row r="9490" spans="1:2" x14ac:dyDescent="0.25">
      <c r="A9490" s="45" t="s">
        <v>9515</v>
      </c>
      <c r="B9490" s="46" t="s">
        <v>22443</v>
      </c>
    </row>
    <row r="9491" spans="1:2" x14ac:dyDescent="0.25">
      <c r="A9491" s="45" t="s">
        <v>9516</v>
      </c>
      <c r="B9491" s="46" t="s">
        <v>22444</v>
      </c>
    </row>
    <row r="9492" spans="1:2" x14ac:dyDescent="0.25">
      <c r="A9492" s="45" t="s">
        <v>9517</v>
      </c>
      <c r="B9492" s="46" t="s">
        <v>22445</v>
      </c>
    </row>
    <row r="9493" spans="1:2" x14ac:dyDescent="0.25">
      <c r="A9493" s="45" t="s">
        <v>9518</v>
      </c>
      <c r="B9493" s="46" t="s">
        <v>22446</v>
      </c>
    </row>
    <row r="9494" spans="1:2" x14ac:dyDescent="0.25">
      <c r="A9494" s="45" t="s">
        <v>9519</v>
      </c>
      <c r="B9494" s="46" t="s">
        <v>22447</v>
      </c>
    </row>
    <row r="9495" spans="1:2" x14ac:dyDescent="0.25">
      <c r="A9495" s="45" t="s">
        <v>9520</v>
      </c>
      <c r="B9495" s="46" t="s">
        <v>22448</v>
      </c>
    </row>
    <row r="9496" spans="1:2" x14ac:dyDescent="0.25">
      <c r="A9496" s="45" t="s">
        <v>9521</v>
      </c>
      <c r="B9496" s="46" t="s">
        <v>22449</v>
      </c>
    </row>
    <row r="9497" spans="1:2" x14ac:dyDescent="0.25">
      <c r="A9497" s="45" t="s">
        <v>9522</v>
      </c>
      <c r="B9497" s="46" t="s">
        <v>22450</v>
      </c>
    </row>
    <row r="9498" spans="1:2" x14ac:dyDescent="0.25">
      <c r="A9498" s="45" t="s">
        <v>9523</v>
      </c>
      <c r="B9498" s="46" t="s">
        <v>22451</v>
      </c>
    </row>
    <row r="9499" spans="1:2" x14ac:dyDescent="0.25">
      <c r="A9499" s="45" t="s">
        <v>9524</v>
      </c>
      <c r="B9499" s="46" t="s">
        <v>22452</v>
      </c>
    </row>
    <row r="9500" spans="1:2" x14ac:dyDescent="0.25">
      <c r="A9500" s="45" t="s">
        <v>9525</v>
      </c>
      <c r="B9500" s="46" t="s">
        <v>22453</v>
      </c>
    </row>
    <row r="9501" spans="1:2" x14ac:dyDescent="0.25">
      <c r="A9501" s="45" t="s">
        <v>9526</v>
      </c>
      <c r="B9501" s="46" t="s">
        <v>22454</v>
      </c>
    </row>
    <row r="9502" spans="1:2" x14ac:dyDescent="0.25">
      <c r="A9502" s="45" t="s">
        <v>9527</v>
      </c>
      <c r="B9502" s="46" t="s">
        <v>22455</v>
      </c>
    </row>
    <row r="9503" spans="1:2" x14ac:dyDescent="0.25">
      <c r="A9503" s="45" t="s">
        <v>9528</v>
      </c>
      <c r="B9503" s="46" t="s">
        <v>22456</v>
      </c>
    </row>
    <row r="9504" spans="1:2" x14ac:dyDescent="0.25">
      <c r="A9504" s="45" t="s">
        <v>9529</v>
      </c>
      <c r="B9504" s="46" t="s">
        <v>22457</v>
      </c>
    </row>
    <row r="9505" spans="1:2" x14ac:dyDescent="0.25">
      <c r="A9505" s="45" t="s">
        <v>9530</v>
      </c>
      <c r="B9505" s="46" t="s">
        <v>22458</v>
      </c>
    </row>
    <row r="9506" spans="1:2" x14ac:dyDescent="0.25">
      <c r="A9506" s="45" t="s">
        <v>9531</v>
      </c>
      <c r="B9506" s="46" t="s">
        <v>22459</v>
      </c>
    </row>
    <row r="9507" spans="1:2" x14ac:dyDescent="0.25">
      <c r="A9507" s="45" t="s">
        <v>9532</v>
      </c>
      <c r="B9507" s="46" t="s">
        <v>22460</v>
      </c>
    </row>
    <row r="9508" spans="1:2" x14ac:dyDescent="0.25">
      <c r="A9508" s="45" t="s">
        <v>9533</v>
      </c>
      <c r="B9508" s="46" t="s">
        <v>22461</v>
      </c>
    </row>
    <row r="9509" spans="1:2" x14ac:dyDescent="0.25">
      <c r="A9509" s="45" t="s">
        <v>9534</v>
      </c>
      <c r="B9509" s="46" t="s">
        <v>22462</v>
      </c>
    </row>
    <row r="9510" spans="1:2" x14ac:dyDescent="0.25">
      <c r="A9510" s="45" t="s">
        <v>9535</v>
      </c>
      <c r="B9510" s="46" t="s">
        <v>22463</v>
      </c>
    </row>
    <row r="9511" spans="1:2" x14ac:dyDescent="0.25">
      <c r="A9511" s="45" t="s">
        <v>9536</v>
      </c>
      <c r="B9511" s="46" t="s">
        <v>22464</v>
      </c>
    </row>
    <row r="9512" spans="1:2" x14ac:dyDescent="0.25">
      <c r="A9512" s="45" t="s">
        <v>9537</v>
      </c>
      <c r="B9512" s="46" t="s">
        <v>22465</v>
      </c>
    </row>
    <row r="9513" spans="1:2" x14ac:dyDescent="0.25">
      <c r="A9513" s="45" t="s">
        <v>9538</v>
      </c>
      <c r="B9513" s="46" t="s">
        <v>22466</v>
      </c>
    </row>
    <row r="9514" spans="1:2" x14ac:dyDescent="0.25">
      <c r="A9514" s="45" t="s">
        <v>9539</v>
      </c>
      <c r="B9514" s="46" t="s">
        <v>22467</v>
      </c>
    </row>
    <row r="9515" spans="1:2" x14ac:dyDescent="0.25">
      <c r="A9515" s="45" t="s">
        <v>9540</v>
      </c>
      <c r="B9515" s="46" t="s">
        <v>22468</v>
      </c>
    </row>
    <row r="9516" spans="1:2" x14ac:dyDescent="0.25">
      <c r="A9516" s="45" t="s">
        <v>9541</v>
      </c>
      <c r="B9516" s="46" t="s">
        <v>22469</v>
      </c>
    </row>
    <row r="9517" spans="1:2" x14ac:dyDescent="0.25">
      <c r="A9517" s="45" t="s">
        <v>9542</v>
      </c>
      <c r="B9517" s="46" t="s">
        <v>22470</v>
      </c>
    </row>
    <row r="9518" spans="1:2" x14ac:dyDescent="0.25">
      <c r="A9518" s="45" t="s">
        <v>9543</v>
      </c>
      <c r="B9518" s="46" t="s">
        <v>22471</v>
      </c>
    </row>
    <row r="9519" spans="1:2" x14ac:dyDescent="0.25">
      <c r="A9519" s="45" t="s">
        <v>9544</v>
      </c>
      <c r="B9519" s="46" t="s">
        <v>22472</v>
      </c>
    </row>
    <row r="9520" spans="1:2" x14ac:dyDescent="0.25">
      <c r="A9520" s="45" t="s">
        <v>9545</v>
      </c>
      <c r="B9520" s="46" t="s">
        <v>22473</v>
      </c>
    </row>
    <row r="9521" spans="1:2" x14ac:dyDescent="0.25">
      <c r="A9521" s="45" t="s">
        <v>9546</v>
      </c>
      <c r="B9521" s="46" t="s">
        <v>22474</v>
      </c>
    </row>
    <row r="9522" spans="1:2" x14ac:dyDescent="0.25">
      <c r="A9522" s="45" t="s">
        <v>9547</v>
      </c>
      <c r="B9522" s="46" t="s">
        <v>22475</v>
      </c>
    </row>
    <row r="9523" spans="1:2" x14ac:dyDescent="0.25">
      <c r="A9523" s="45" t="s">
        <v>9548</v>
      </c>
      <c r="B9523" s="46" t="s">
        <v>22476</v>
      </c>
    </row>
    <row r="9524" spans="1:2" x14ac:dyDescent="0.25">
      <c r="A9524" s="45" t="s">
        <v>9549</v>
      </c>
      <c r="B9524" s="46" t="s">
        <v>22477</v>
      </c>
    </row>
    <row r="9525" spans="1:2" x14ac:dyDescent="0.25">
      <c r="A9525" s="45" t="s">
        <v>9550</v>
      </c>
      <c r="B9525" s="46" t="s">
        <v>22478</v>
      </c>
    </row>
    <row r="9526" spans="1:2" x14ac:dyDescent="0.25">
      <c r="A9526" s="45" t="s">
        <v>9551</v>
      </c>
      <c r="B9526" s="46" t="s">
        <v>22479</v>
      </c>
    </row>
    <row r="9527" spans="1:2" x14ac:dyDescent="0.25">
      <c r="A9527" s="45" t="s">
        <v>9552</v>
      </c>
      <c r="B9527" s="46" t="s">
        <v>22480</v>
      </c>
    </row>
    <row r="9528" spans="1:2" x14ac:dyDescent="0.25">
      <c r="A9528" s="45" t="s">
        <v>9553</v>
      </c>
      <c r="B9528" s="46" t="s">
        <v>22481</v>
      </c>
    </row>
    <row r="9529" spans="1:2" x14ac:dyDescent="0.25">
      <c r="A9529" s="45" t="s">
        <v>9554</v>
      </c>
      <c r="B9529" s="46" t="s">
        <v>22482</v>
      </c>
    </row>
    <row r="9530" spans="1:2" x14ac:dyDescent="0.25">
      <c r="A9530" s="45" t="s">
        <v>9555</v>
      </c>
      <c r="B9530" s="46" t="s">
        <v>22483</v>
      </c>
    </row>
    <row r="9531" spans="1:2" x14ac:dyDescent="0.25">
      <c r="A9531" s="45" t="s">
        <v>9556</v>
      </c>
      <c r="B9531" s="46" t="s">
        <v>22484</v>
      </c>
    </row>
    <row r="9532" spans="1:2" x14ac:dyDescent="0.25">
      <c r="A9532" s="45" t="s">
        <v>9557</v>
      </c>
      <c r="B9532" s="46" t="s">
        <v>22485</v>
      </c>
    </row>
    <row r="9533" spans="1:2" x14ac:dyDescent="0.25">
      <c r="A9533" s="45" t="s">
        <v>9558</v>
      </c>
      <c r="B9533" s="46" t="s">
        <v>22486</v>
      </c>
    </row>
    <row r="9534" spans="1:2" x14ac:dyDescent="0.25">
      <c r="A9534" s="45" t="s">
        <v>9559</v>
      </c>
      <c r="B9534" s="46" t="s">
        <v>22487</v>
      </c>
    </row>
    <row r="9535" spans="1:2" x14ac:dyDescent="0.25">
      <c r="A9535" s="45" t="s">
        <v>9560</v>
      </c>
      <c r="B9535" s="46" t="s">
        <v>22488</v>
      </c>
    </row>
    <row r="9536" spans="1:2" x14ac:dyDescent="0.25">
      <c r="A9536" s="45" t="s">
        <v>9561</v>
      </c>
      <c r="B9536" s="46" t="s">
        <v>22489</v>
      </c>
    </row>
    <row r="9537" spans="1:2" x14ac:dyDescent="0.25">
      <c r="A9537" s="45" t="s">
        <v>9562</v>
      </c>
      <c r="B9537" s="46" t="s">
        <v>22490</v>
      </c>
    </row>
    <row r="9538" spans="1:2" x14ac:dyDescent="0.25">
      <c r="A9538" s="45" t="s">
        <v>9563</v>
      </c>
      <c r="B9538" s="46" t="s">
        <v>22491</v>
      </c>
    </row>
    <row r="9539" spans="1:2" x14ac:dyDescent="0.25">
      <c r="A9539" s="45" t="s">
        <v>9564</v>
      </c>
      <c r="B9539" s="46" t="s">
        <v>22492</v>
      </c>
    </row>
    <row r="9540" spans="1:2" x14ac:dyDescent="0.25">
      <c r="A9540" s="45" t="s">
        <v>9565</v>
      </c>
      <c r="B9540" s="46" t="s">
        <v>22493</v>
      </c>
    </row>
    <row r="9541" spans="1:2" x14ac:dyDescent="0.25">
      <c r="A9541" s="45" t="s">
        <v>9566</v>
      </c>
      <c r="B9541" s="46" t="s">
        <v>22494</v>
      </c>
    </row>
    <row r="9542" spans="1:2" x14ac:dyDescent="0.25">
      <c r="A9542" s="45" t="s">
        <v>9567</v>
      </c>
      <c r="B9542" s="46" t="s">
        <v>22495</v>
      </c>
    </row>
    <row r="9543" spans="1:2" x14ac:dyDescent="0.25">
      <c r="A9543" s="45" t="s">
        <v>9568</v>
      </c>
      <c r="B9543" s="46" t="s">
        <v>22496</v>
      </c>
    </row>
    <row r="9544" spans="1:2" x14ac:dyDescent="0.25">
      <c r="A9544" s="45" t="s">
        <v>9569</v>
      </c>
      <c r="B9544" s="46" t="s">
        <v>22497</v>
      </c>
    </row>
    <row r="9545" spans="1:2" x14ac:dyDescent="0.25">
      <c r="A9545" s="45" t="s">
        <v>9570</v>
      </c>
      <c r="B9545" s="46" t="s">
        <v>22498</v>
      </c>
    </row>
    <row r="9546" spans="1:2" x14ac:dyDescent="0.25">
      <c r="A9546" s="45" t="s">
        <v>9571</v>
      </c>
      <c r="B9546" s="46" t="s">
        <v>22499</v>
      </c>
    </row>
    <row r="9547" spans="1:2" x14ac:dyDescent="0.25">
      <c r="A9547" s="45" t="s">
        <v>9572</v>
      </c>
      <c r="B9547" s="46" t="s">
        <v>22500</v>
      </c>
    </row>
    <row r="9548" spans="1:2" x14ac:dyDescent="0.25">
      <c r="A9548" s="45" t="s">
        <v>9573</v>
      </c>
      <c r="B9548" s="46" t="s">
        <v>22501</v>
      </c>
    </row>
    <row r="9549" spans="1:2" x14ac:dyDescent="0.25">
      <c r="A9549" s="45" t="s">
        <v>9574</v>
      </c>
      <c r="B9549" s="46" t="s">
        <v>22502</v>
      </c>
    </row>
    <row r="9550" spans="1:2" x14ac:dyDescent="0.25">
      <c r="A9550" s="45" t="s">
        <v>9575</v>
      </c>
      <c r="B9550" s="46" t="s">
        <v>22503</v>
      </c>
    </row>
    <row r="9551" spans="1:2" x14ac:dyDescent="0.25">
      <c r="A9551" s="45" t="s">
        <v>9576</v>
      </c>
      <c r="B9551" s="46" t="s">
        <v>22504</v>
      </c>
    </row>
    <row r="9552" spans="1:2" x14ac:dyDescent="0.25">
      <c r="A9552" s="45" t="s">
        <v>9577</v>
      </c>
      <c r="B9552" s="46" t="s">
        <v>22505</v>
      </c>
    </row>
    <row r="9553" spans="1:2" x14ac:dyDescent="0.25">
      <c r="A9553" s="45" t="s">
        <v>9578</v>
      </c>
      <c r="B9553" s="46" t="s">
        <v>22506</v>
      </c>
    </row>
    <row r="9554" spans="1:2" x14ac:dyDescent="0.25">
      <c r="A9554" s="45" t="s">
        <v>9579</v>
      </c>
      <c r="B9554" s="46" t="s">
        <v>22507</v>
      </c>
    </row>
    <row r="9555" spans="1:2" x14ac:dyDescent="0.25">
      <c r="A9555" s="45" t="s">
        <v>9580</v>
      </c>
      <c r="B9555" s="46" t="s">
        <v>22508</v>
      </c>
    </row>
    <row r="9556" spans="1:2" x14ac:dyDescent="0.25">
      <c r="A9556" s="45" t="s">
        <v>9581</v>
      </c>
      <c r="B9556" s="46" t="s">
        <v>22509</v>
      </c>
    </row>
    <row r="9557" spans="1:2" x14ac:dyDescent="0.25">
      <c r="A9557" s="45" t="s">
        <v>9582</v>
      </c>
      <c r="B9557" s="46" t="s">
        <v>22510</v>
      </c>
    </row>
    <row r="9558" spans="1:2" x14ac:dyDescent="0.25">
      <c r="A9558" s="45" t="s">
        <v>9583</v>
      </c>
      <c r="B9558" s="46" t="s">
        <v>22511</v>
      </c>
    </row>
    <row r="9559" spans="1:2" x14ac:dyDescent="0.25">
      <c r="A9559" s="45" t="s">
        <v>9584</v>
      </c>
      <c r="B9559" s="46" t="s">
        <v>22512</v>
      </c>
    </row>
    <row r="9560" spans="1:2" x14ac:dyDescent="0.25">
      <c r="A9560" s="45" t="s">
        <v>9585</v>
      </c>
      <c r="B9560" s="46" t="s">
        <v>22513</v>
      </c>
    </row>
    <row r="9561" spans="1:2" x14ac:dyDescent="0.25">
      <c r="A9561" s="45" t="s">
        <v>9586</v>
      </c>
      <c r="B9561" s="46" t="s">
        <v>22514</v>
      </c>
    </row>
    <row r="9562" spans="1:2" x14ac:dyDescent="0.25">
      <c r="A9562" s="45" t="s">
        <v>9587</v>
      </c>
      <c r="B9562" s="46" t="s">
        <v>22515</v>
      </c>
    </row>
    <row r="9563" spans="1:2" x14ac:dyDescent="0.25">
      <c r="A9563" s="45" t="s">
        <v>9588</v>
      </c>
      <c r="B9563" s="46" t="s">
        <v>22516</v>
      </c>
    </row>
    <row r="9564" spans="1:2" x14ac:dyDescent="0.25">
      <c r="A9564" s="45" t="s">
        <v>9589</v>
      </c>
      <c r="B9564" s="46" t="s">
        <v>22517</v>
      </c>
    </row>
    <row r="9565" spans="1:2" x14ac:dyDescent="0.25">
      <c r="A9565" s="45" t="s">
        <v>9590</v>
      </c>
      <c r="B9565" s="46" t="s">
        <v>22518</v>
      </c>
    </row>
    <row r="9566" spans="1:2" x14ac:dyDescent="0.25">
      <c r="A9566" s="45" t="s">
        <v>9591</v>
      </c>
      <c r="B9566" s="46" t="s">
        <v>22519</v>
      </c>
    </row>
    <row r="9567" spans="1:2" x14ac:dyDescent="0.25">
      <c r="A9567" s="45" t="s">
        <v>9592</v>
      </c>
      <c r="B9567" s="46" t="s">
        <v>22520</v>
      </c>
    </row>
    <row r="9568" spans="1:2" x14ac:dyDescent="0.25">
      <c r="A9568" s="45" t="s">
        <v>9593</v>
      </c>
      <c r="B9568" s="46" t="s">
        <v>22521</v>
      </c>
    </row>
    <row r="9569" spans="1:2" x14ac:dyDescent="0.25">
      <c r="A9569" s="45" t="s">
        <v>9594</v>
      </c>
      <c r="B9569" s="46" t="s">
        <v>22522</v>
      </c>
    </row>
    <row r="9570" spans="1:2" x14ac:dyDescent="0.25">
      <c r="A9570" s="45" t="s">
        <v>9595</v>
      </c>
      <c r="B9570" s="46" t="s">
        <v>22523</v>
      </c>
    </row>
    <row r="9571" spans="1:2" x14ac:dyDescent="0.25">
      <c r="A9571" s="45" t="s">
        <v>9596</v>
      </c>
      <c r="B9571" s="46" t="s">
        <v>22524</v>
      </c>
    </row>
    <row r="9572" spans="1:2" x14ac:dyDescent="0.25">
      <c r="A9572" s="45" t="s">
        <v>9597</v>
      </c>
      <c r="B9572" s="46" t="s">
        <v>22525</v>
      </c>
    </row>
    <row r="9573" spans="1:2" x14ac:dyDescent="0.25">
      <c r="A9573" s="45" t="s">
        <v>9598</v>
      </c>
      <c r="B9573" s="46" t="s">
        <v>22526</v>
      </c>
    </row>
    <row r="9574" spans="1:2" x14ac:dyDescent="0.25">
      <c r="A9574" s="45" t="s">
        <v>9599</v>
      </c>
      <c r="B9574" s="46" t="s">
        <v>22527</v>
      </c>
    </row>
    <row r="9575" spans="1:2" x14ac:dyDescent="0.25">
      <c r="A9575" s="45" t="s">
        <v>9600</v>
      </c>
      <c r="B9575" s="46" t="s">
        <v>22528</v>
      </c>
    </row>
    <row r="9576" spans="1:2" x14ac:dyDescent="0.25">
      <c r="A9576" s="45" t="s">
        <v>9601</v>
      </c>
      <c r="B9576" s="46" t="s">
        <v>22529</v>
      </c>
    </row>
    <row r="9577" spans="1:2" x14ac:dyDescent="0.25">
      <c r="A9577" s="45" t="s">
        <v>9602</v>
      </c>
      <c r="B9577" s="46" t="s">
        <v>22530</v>
      </c>
    </row>
    <row r="9578" spans="1:2" x14ac:dyDescent="0.25">
      <c r="A9578" s="45" t="s">
        <v>9603</v>
      </c>
      <c r="B9578" s="46" t="s">
        <v>22531</v>
      </c>
    </row>
    <row r="9579" spans="1:2" x14ac:dyDescent="0.25">
      <c r="A9579" s="45" t="s">
        <v>9604</v>
      </c>
      <c r="B9579" s="46" t="s">
        <v>22532</v>
      </c>
    </row>
    <row r="9580" spans="1:2" x14ac:dyDescent="0.25">
      <c r="A9580" s="45" t="s">
        <v>9605</v>
      </c>
      <c r="B9580" s="46" t="s">
        <v>22533</v>
      </c>
    </row>
    <row r="9581" spans="1:2" x14ac:dyDescent="0.25">
      <c r="A9581" s="45" t="s">
        <v>9606</v>
      </c>
      <c r="B9581" s="46" t="s">
        <v>22534</v>
      </c>
    </row>
    <row r="9582" spans="1:2" x14ac:dyDescent="0.25">
      <c r="A9582" s="45" t="s">
        <v>9607</v>
      </c>
      <c r="B9582" s="46" t="s">
        <v>22535</v>
      </c>
    </row>
    <row r="9583" spans="1:2" x14ac:dyDescent="0.25">
      <c r="A9583" s="45" t="s">
        <v>9608</v>
      </c>
      <c r="B9583" s="46" t="s">
        <v>22536</v>
      </c>
    </row>
    <row r="9584" spans="1:2" x14ac:dyDescent="0.25">
      <c r="A9584" s="45" t="s">
        <v>9609</v>
      </c>
      <c r="B9584" s="46" t="s">
        <v>22537</v>
      </c>
    </row>
    <row r="9585" spans="1:2" x14ac:dyDescent="0.25">
      <c r="A9585" s="45" t="s">
        <v>9610</v>
      </c>
      <c r="B9585" s="46" t="s">
        <v>22538</v>
      </c>
    </row>
    <row r="9586" spans="1:2" x14ac:dyDescent="0.25">
      <c r="A9586" s="45" t="s">
        <v>9611</v>
      </c>
      <c r="B9586" s="46" t="s">
        <v>22539</v>
      </c>
    </row>
    <row r="9587" spans="1:2" x14ac:dyDescent="0.25">
      <c r="A9587" s="45" t="s">
        <v>9612</v>
      </c>
      <c r="B9587" s="46" t="s">
        <v>22540</v>
      </c>
    </row>
    <row r="9588" spans="1:2" x14ac:dyDescent="0.25">
      <c r="A9588" s="45" t="s">
        <v>9613</v>
      </c>
      <c r="B9588" s="46" t="s">
        <v>22541</v>
      </c>
    </row>
    <row r="9589" spans="1:2" x14ac:dyDescent="0.25">
      <c r="A9589" s="45" t="s">
        <v>9614</v>
      </c>
      <c r="B9589" s="46" t="s">
        <v>22542</v>
      </c>
    </row>
    <row r="9590" spans="1:2" x14ac:dyDescent="0.25">
      <c r="A9590" s="45" t="s">
        <v>9615</v>
      </c>
      <c r="B9590" s="46" t="s">
        <v>22543</v>
      </c>
    </row>
    <row r="9591" spans="1:2" x14ac:dyDescent="0.25">
      <c r="A9591" s="45" t="s">
        <v>9616</v>
      </c>
      <c r="B9591" s="46" t="s">
        <v>22544</v>
      </c>
    </row>
    <row r="9592" spans="1:2" x14ac:dyDescent="0.25">
      <c r="A9592" s="45" t="s">
        <v>9617</v>
      </c>
      <c r="B9592" s="46" t="s">
        <v>22545</v>
      </c>
    </row>
    <row r="9593" spans="1:2" x14ac:dyDescent="0.25">
      <c r="A9593" s="45" t="s">
        <v>9618</v>
      </c>
      <c r="B9593" s="46" t="s">
        <v>22546</v>
      </c>
    </row>
    <row r="9594" spans="1:2" x14ac:dyDescent="0.25">
      <c r="A9594" s="45" t="s">
        <v>9619</v>
      </c>
      <c r="B9594" s="46" t="s">
        <v>22547</v>
      </c>
    </row>
    <row r="9595" spans="1:2" x14ac:dyDescent="0.25">
      <c r="A9595" s="45" t="s">
        <v>9620</v>
      </c>
      <c r="B9595" s="46" t="s">
        <v>22548</v>
      </c>
    </row>
    <row r="9596" spans="1:2" x14ac:dyDescent="0.25">
      <c r="A9596" s="45" t="s">
        <v>9621</v>
      </c>
      <c r="B9596" s="46" t="s">
        <v>22549</v>
      </c>
    </row>
    <row r="9597" spans="1:2" x14ac:dyDescent="0.25">
      <c r="A9597" s="45" t="s">
        <v>9622</v>
      </c>
      <c r="B9597" s="46" t="s">
        <v>22550</v>
      </c>
    </row>
    <row r="9598" spans="1:2" x14ac:dyDescent="0.25">
      <c r="A9598" s="45" t="s">
        <v>9623</v>
      </c>
      <c r="B9598" s="46" t="s">
        <v>22551</v>
      </c>
    </row>
    <row r="9599" spans="1:2" x14ac:dyDescent="0.25">
      <c r="A9599" s="45" t="s">
        <v>9624</v>
      </c>
      <c r="B9599" s="46" t="s">
        <v>22552</v>
      </c>
    </row>
    <row r="9600" spans="1:2" x14ac:dyDescent="0.25">
      <c r="A9600" s="45" t="s">
        <v>9625</v>
      </c>
      <c r="B9600" s="46" t="s">
        <v>22553</v>
      </c>
    </row>
    <row r="9601" spans="1:2" x14ac:dyDescent="0.25">
      <c r="A9601" s="45" t="s">
        <v>9626</v>
      </c>
      <c r="B9601" s="46" t="s">
        <v>22554</v>
      </c>
    </row>
    <row r="9602" spans="1:2" x14ac:dyDescent="0.25">
      <c r="A9602" s="45" t="s">
        <v>9627</v>
      </c>
      <c r="B9602" s="46" t="s">
        <v>22555</v>
      </c>
    </row>
    <row r="9603" spans="1:2" x14ac:dyDescent="0.25">
      <c r="A9603" s="45" t="s">
        <v>9628</v>
      </c>
      <c r="B9603" s="46" t="s">
        <v>22556</v>
      </c>
    </row>
    <row r="9604" spans="1:2" x14ac:dyDescent="0.25">
      <c r="A9604" s="45" t="s">
        <v>9629</v>
      </c>
      <c r="B9604" s="46" t="s">
        <v>22557</v>
      </c>
    </row>
    <row r="9605" spans="1:2" x14ac:dyDescent="0.25">
      <c r="A9605" s="45" t="s">
        <v>9630</v>
      </c>
      <c r="B9605" s="46" t="s">
        <v>22558</v>
      </c>
    </row>
    <row r="9606" spans="1:2" x14ac:dyDescent="0.25">
      <c r="A9606" s="45" t="s">
        <v>9631</v>
      </c>
      <c r="B9606" s="46" t="s">
        <v>22559</v>
      </c>
    </row>
    <row r="9607" spans="1:2" x14ac:dyDescent="0.25">
      <c r="A9607" s="45" t="s">
        <v>9632</v>
      </c>
      <c r="B9607" s="46" t="s">
        <v>22560</v>
      </c>
    </row>
    <row r="9608" spans="1:2" x14ac:dyDescent="0.25">
      <c r="A9608" s="45" t="s">
        <v>9633</v>
      </c>
      <c r="B9608" s="46" t="s">
        <v>22561</v>
      </c>
    </row>
    <row r="9609" spans="1:2" x14ac:dyDescent="0.25">
      <c r="A9609" s="45" t="s">
        <v>9634</v>
      </c>
      <c r="B9609" s="46" t="s">
        <v>22562</v>
      </c>
    </row>
    <row r="9610" spans="1:2" x14ac:dyDescent="0.25">
      <c r="A9610" s="45" t="s">
        <v>9635</v>
      </c>
      <c r="B9610" s="46" t="s">
        <v>22563</v>
      </c>
    </row>
    <row r="9611" spans="1:2" x14ac:dyDescent="0.25">
      <c r="A9611" s="45" t="s">
        <v>9636</v>
      </c>
      <c r="B9611" s="46" t="s">
        <v>22564</v>
      </c>
    </row>
    <row r="9612" spans="1:2" x14ac:dyDescent="0.25">
      <c r="A9612" s="45" t="s">
        <v>9637</v>
      </c>
      <c r="B9612" s="46" t="s">
        <v>22565</v>
      </c>
    </row>
    <row r="9613" spans="1:2" x14ac:dyDescent="0.25">
      <c r="A9613" s="45" t="s">
        <v>9638</v>
      </c>
      <c r="B9613" s="46" t="s">
        <v>22566</v>
      </c>
    </row>
    <row r="9614" spans="1:2" x14ac:dyDescent="0.25">
      <c r="A9614" s="45" t="s">
        <v>9639</v>
      </c>
      <c r="B9614" s="46" t="s">
        <v>22567</v>
      </c>
    </row>
    <row r="9615" spans="1:2" x14ac:dyDescent="0.25">
      <c r="A9615" s="45" t="s">
        <v>9640</v>
      </c>
      <c r="B9615" s="46" t="s">
        <v>22568</v>
      </c>
    </row>
    <row r="9616" spans="1:2" x14ac:dyDescent="0.25">
      <c r="A9616" s="45" t="s">
        <v>9641</v>
      </c>
      <c r="B9616" s="46" t="s">
        <v>22569</v>
      </c>
    </row>
    <row r="9617" spans="1:2" x14ac:dyDescent="0.25">
      <c r="A9617" s="45" t="s">
        <v>9642</v>
      </c>
      <c r="B9617" s="46" t="s">
        <v>22570</v>
      </c>
    </row>
    <row r="9618" spans="1:2" x14ac:dyDescent="0.25">
      <c r="A9618" s="45" t="s">
        <v>9643</v>
      </c>
      <c r="B9618" s="46" t="s">
        <v>22571</v>
      </c>
    </row>
    <row r="9619" spans="1:2" x14ac:dyDescent="0.25">
      <c r="A9619" s="45" t="s">
        <v>9644</v>
      </c>
      <c r="B9619" s="46" t="s">
        <v>22572</v>
      </c>
    </row>
    <row r="9620" spans="1:2" x14ac:dyDescent="0.25">
      <c r="A9620" s="45" t="s">
        <v>9645</v>
      </c>
      <c r="B9620" s="46" t="s">
        <v>22573</v>
      </c>
    </row>
    <row r="9621" spans="1:2" x14ac:dyDescent="0.25">
      <c r="A9621" s="45" t="s">
        <v>9646</v>
      </c>
      <c r="B9621" s="46" t="s">
        <v>22574</v>
      </c>
    </row>
    <row r="9622" spans="1:2" x14ac:dyDescent="0.25">
      <c r="A9622" s="45" t="s">
        <v>9647</v>
      </c>
      <c r="B9622" s="46" t="s">
        <v>22575</v>
      </c>
    </row>
    <row r="9623" spans="1:2" x14ac:dyDescent="0.25">
      <c r="A9623" s="45" t="s">
        <v>9648</v>
      </c>
      <c r="B9623" s="46" t="s">
        <v>22576</v>
      </c>
    </row>
    <row r="9624" spans="1:2" x14ac:dyDescent="0.25">
      <c r="A9624" s="45" t="s">
        <v>9649</v>
      </c>
      <c r="B9624" s="46" t="s">
        <v>22577</v>
      </c>
    </row>
    <row r="9625" spans="1:2" x14ac:dyDescent="0.25">
      <c r="A9625" s="45" t="s">
        <v>9650</v>
      </c>
      <c r="B9625" s="46" t="s">
        <v>22578</v>
      </c>
    </row>
    <row r="9626" spans="1:2" x14ac:dyDescent="0.25">
      <c r="A9626" s="45" t="s">
        <v>9651</v>
      </c>
      <c r="B9626" s="46" t="s">
        <v>22579</v>
      </c>
    </row>
    <row r="9627" spans="1:2" x14ac:dyDescent="0.25">
      <c r="A9627" s="45" t="s">
        <v>9652</v>
      </c>
      <c r="B9627" s="46" t="s">
        <v>22580</v>
      </c>
    </row>
    <row r="9628" spans="1:2" x14ac:dyDescent="0.25">
      <c r="A9628" s="45" t="s">
        <v>9653</v>
      </c>
      <c r="B9628" s="46" t="s">
        <v>22581</v>
      </c>
    </row>
    <row r="9629" spans="1:2" x14ac:dyDescent="0.25">
      <c r="A9629" s="45" t="s">
        <v>9654</v>
      </c>
      <c r="B9629" s="46" t="s">
        <v>22582</v>
      </c>
    </row>
    <row r="9630" spans="1:2" x14ac:dyDescent="0.25">
      <c r="A9630" s="45" t="s">
        <v>9655</v>
      </c>
      <c r="B9630" s="46" t="s">
        <v>22583</v>
      </c>
    </row>
    <row r="9631" spans="1:2" x14ac:dyDescent="0.25">
      <c r="A9631" s="45" t="s">
        <v>9656</v>
      </c>
      <c r="B9631" s="46" t="s">
        <v>22584</v>
      </c>
    </row>
    <row r="9632" spans="1:2" x14ac:dyDescent="0.25">
      <c r="A9632" s="45" t="s">
        <v>9657</v>
      </c>
      <c r="B9632" s="46" t="s">
        <v>22585</v>
      </c>
    </row>
    <row r="9633" spans="1:2" x14ac:dyDescent="0.25">
      <c r="A9633" s="45" t="s">
        <v>9658</v>
      </c>
      <c r="B9633" s="46" t="s">
        <v>22586</v>
      </c>
    </row>
    <row r="9634" spans="1:2" x14ac:dyDescent="0.25">
      <c r="A9634" s="45" t="s">
        <v>9659</v>
      </c>
      <c r="B9634" s="46" t="s">
        <v>22587</v>
      </c>
    </row>
    <row r="9635" spans="1:2" x14ac:dyDescent="0.25">
      <c r="A9635" s="45" t="s">
        <v>9660</v>
      </c>
      <c r="B9635" s="46" t="s">
        <v>22588</v>
      </c>
    </row>
    <row r="9636" spans="1:2" x14ac:dyDescent="0.25">
      <c r="A9636" s="45" t="s">
        <v>9661</v>
      </c>
      <c r="B9636" s="46" t="s">
        <v>22589</v>
      </c>
    </row>
    <row r="9637" spans="1:2" x14ac:dyDescent="0.25">
      <c r="A9637" s="45" t="s">
        <v>9662</v>
      </c>
      <c r="B9637" s="46" t="s">
        <v>22590</v>
      </c>
    </row>
    <row r="9638" spans="1:2" x14ac:dyDescent="0.25">
      <c r="A9638" s="45" t="s">
        <v>9663</v>
      </c>
      <c r="B9638" s="46" t="s">
        <v>22591</v>
      </c>
    </row>
    <row r="9639" spans="1:2" x14ac:dyDescent="0.25">
      <c r="A9639" s="45" t="s">
        <v>9664</v>
      </c>
      <c r="B9639" s="46" t="s">
        <v>22592</v>
      </c>
    </row>
    <row r="9640" spans="1:2" x14ac:dyDescent="0.25">
      <c r="A9640" s="45" t="s">
        <v>9665</v>
      </c>
      <c r="B9640" s="46" t="s">
        <v>22593</v>
      </c>
    </row>
    <row r="9641" spans="1:2" x14ac:dyDescent="0.25">
      <c r="A9641" s="45" t="s">
        <v>9666</v>
      </c>
      <c r="B9641" s="46" t="s">
        <v>22594</v>
      </c>
    </row>
    <row r="9642" spans="1:2" x14ac:dyDescent="0.25">
      <c r="A9642" s="45" t="s">
        <v>9667</v>
      </c>
      <c r="B9642" s="46" t="s">
        <v>22595</v>
      </c>
    </row>
    <row r="9643" spans="1:2" x14ac:dyDescent="0.25">
      <c r="A9643" s="45" t="s">
        <v>9668</v>
      </c>
      <c r="B9643" s="46" t="s">
        <v>22596</v>
      </c>
    </row>
    <row r="9644" spans="1:2" x14ac:dyDescent="0.25">
      <c r="A9644" s="45" t="s">
        <v>9669</v>
      </c>
      <c r="B9644" s="46" t="s">
        <v>22597</v>
      </c>
    </row>
    <row r="9645" spans="1:2" x14ac:dyDescent="0.25">
      <c r="A9645" s="45" t="s">
        <v>9670</v>
      </c>
      <c r="B9645" s="46" t="s">
        <v>22598</v>
      </c>
    </row>
    <row r="9646" spans="1:2" x14ac:dyDescent="0.25">
      <c r="A9646" s="45" t="s">
        <v>9671</v>
      </c>
      <c r="B9646" s="46" t="s">
        <v>22599</v>
      </c>
    </row>
    <row r="9647" spans="1:2" x14ac:dyDescent="0.25">
      <c r="A9647" s="45" t="s">
        <v>9672</v>
      </c>
      <c r="B9647" s="46" t="s">
        <v>22600</v>
      </c>
    </row>
    <row r="9648" spans="1:2" x14ac:dyDescent="0.25">
      <c r="A9648" s="45" t="s">
        <v>9673</v>
      </c>
      <c r="B9648" s="46" t="s">
        <v>22601</v>
      </c>
    </row>
    <row r="9649" spans="1:2" x14ac:dyDescent="0.25">
      <c r="A9649" s="45" t="s">
        <v>9674</v>
      </c>
      <c r="B9649" s="46" t="s">
        <v>22602</v>
      </c>
    </row>
    <row r="9650" spans="1:2" x14ac:dyDescent="0.25">
      <c r="A9650" s="45" t="s">
        <v>9675</v>
      </c>
      <c r="B9650" s="46" t="s">
        <v>22603</v>
      </c>
    </row>
    <row r="9651" spans="1:2" x14ac:dyDescent="0.25">
      <c r="A9651" s="45" t="s">
        <v>9676</v>
      </c>
      <c r="B9651" s="46" t="s">
        <v>22604</v>
      </c>
    </row>
    <row r="9652" spans="1:2" x14ac:dyDescent="0.25">
      <c r="A9652" s="45" t="s">
        <v>9677</v>
      </c>
      <c r="B9652" s="46" t="s">
        <v>22605</v>
      </c>
    </row>
    <row r="9653" spans="1:2" x14ac:dyDescent="0.25">
      <c r="A9653" s="45" t="s">
        <v>9678</v>
      </c>
      <c r="B9653" s="46" t="s">
        <v>22606</v>
      </c>
    </row>
    <row r="9654" spans="1:2" x14ac:dyDescent="0.25">
      <c r="A9654" s="45" t="s">
        <v>9679</v>
      </c>
      <c r="B9654" s="46" t="s">
        <v>22607</v>
      </c>
    </row>
    <row r="9655" spans="1:2" x14ac:dyDescent="0.25">
      <c r="A9655" s="45" t="s">
        <v>9680</v>
      </c>
      <c r="B9655" s="46" t="s">
        <v>22608</v>
      </c>
    </row>
    <row r="9656" spans="1:2" x14ac:dyDescent="0.25">
      <c r="A9656" s="45" t="s">
        <v>9681</v>
      </c>
      <c r="B9656" s="46" t="s">
        <v>22609</v>
      </c>
    </row>
    <row r="9657" spans="1:2" x14ac:dyDescent="0.25">
      <c r="A9657" s="45" t="s">
        <v>9682</v>
      </c>
      <c r="B9657" s="46" t="s">
        <v>22610</v>
      </c>
    </row>
    <row r="9658" spans="1:2" x14ac:dyDescent="0.25">
      <c r="A9658" s="45" t="s">
        <v>9683</v>
      </c>
      <c r="B9658" s="46" t="s">
        <v>22611</v>
      </c>
    </row>
    <row r="9659" spans="1:2" x14ac:dyDescent="0.25">
      <c r="A9659" s="45" t="s">
        <v>9684</v>
      </c>
      <c r="B9659" s="46" t="s">
        <v>22612</v>
      </c>
    </row>
    <row r="9660" spans="1:2" x14ac:dyDescent="0.25">
      <c r="A9660" s="45" t="s">
        <v>9685</v>
      </c>
      <c r="B9660" s="46" t="s">
        <v>22613</v>
      </c>
    </row>
    <row r="9661" spans="1:2" x14ac:dyDescent="0.25">
      <c r="A9661" s="45" t="s">
        <v>9686</v>
      </c>
      <c r="B9661" s="46" t="s">
        <v>22614</v>
      </c>
    </row>
    <row r="9662" spans="1:2" x14ac:dyDescent="0.25">
      <c r="A9662" s="45" t="s">
        <v>9687</v>
      </c>
      <c r="B9662" s="46" t="s">
        <v>22615</v>
      </c>
    </row>
    <row r="9663" spans="1:2" x14ac:dyDescent="0.25">
      <c r="A9663" s="45" t="s">
        <v>9688</v>
      </c>
      <c r="B9663" s="46" t="s">
        <v>22616</v>
      </c>
    </row>
    <row r="9664" spans="1:2" x14ac:dyDescent="0.25">
      <c r="A9664" s="45" t="s">
        <v>9689</v>
      </c>
      <c r="B9664" s="46" t="s">
        <v>22617</v>
      </c>
    </row>
    <row r="9665" spans="1:2" x14ac:dyDescent="0.25">
      <c r="A9665" s="45" t="s">
        <v>9690</v>
      </c>
      <c r="B9665" s="46" t="s">
        <v>22618</v>
      </c>
    </row>
    <row r="9666" spans="1:2" x14ac:dyDescent="0.25">
      <c r="A9666" s="45" t="s">
        <v>9691</v>
      </c>
      <c r="B9666" s="46" t="s">
        <v>22619</v>
      </c>
    </row>
    <row r="9667" spans="1:2" x14ac:dyDescent="0.25">
      <c r="A9667" s="45" t="s">
        <v>9692</v>
      </c>
      <c r="B9667" s="46" t="s">
        <v>22620</v>
      </c>
    </row>
    <row r="9668" spans="1:2" x14ac:dyDescent="0.25">
      <c r="A9668" s="45" t="s">
        <v>9693</v>
      </c>
      <c r="B9668" s="46" t="s">
        <v>22621</v>
      </c>
    </row>
    <row r="9669" spans="1:2" x14ac:dyDescent="0.25">
      <c r="A9669" s="45" t="s">
        <v>9694</v>
      </c>
      <c r="B9669" s="46" t="s">
        <v>22622</v>
      </c>
    </row>
    <row r="9670" spans="1:2" x14ac:dyDescent="0.25">
      <c r="A9670" s="45" t="s">
        <v>9695</v>
      </c>
      <c r="B9670" s="46" t="s">
        <v>22623</v>
      </c>
    </row>
    <row r="9671" spans="1:2" x14ac:dyDescent="0.25">
      <c r="A9671" s="45" t="s">
        <v>9696</v>
      </c>
      <c r="B9671" s="46" t="s">
        <v>22624</v>
      </c>
    </row>
    <row r="9672" spans="1:2" x14ac:dyDescent="0.25">
      <c r="A9672" s="45" t="s">
        <v>9697</v>
      </c>
      <c r="B9672" s="46" t="s">
        <v>22625</v>
      </c>
    </row>
    <row r="9673" spans="1:2" x14ac:dyDescent="0.25">
      <c r="A9673" s="45" t="s">
        <v>9698</v>
      </c>
      <c r="B9673" s="46" t="s">
        <v>22626</v>
      </c>
    </row>
    <row r="9674" spans="1:2" x14ac:dyDescent="0.25">
      <c r="A9674" s="45" t="s">
        <v>9699</v>
      </c>
      <c r="B9674" s="46" t="s">
        <v>22627</v>
      </c>
    </row>
    <row r="9675" spans="1:2" x14ac:dyDescent="0.25">
      <c r="A9675" s="45" t="s">
        <v>9700</v>
      </c>
      <c r="B9675" s="46" t="s">
        <v>22628</v>
      </c>
    </row>
    <row r="9676" spans="1:2" x14ac:dyDescent="0.25">
      <c r="A9676" s="45" t="s">
        <v>9701</v>
      </c>
      <c r="B9676" s="46" t="s">
        <v>22629</v>
      </c>
    </row>
    <row r="9677" spans="1:2" x14ac:dyDescent="0.25">
      <c r="A9677" s="45" t="s">
        <v>9702</v>
      </c>
      <c r="B9677" s="46" t="s">
        <v>22630</v>
      </c>
    </row>
    <row r="9678" spans="1:2" x14ac:dyDescent="0.25">
      <c r="A9678" s="45" t="s">
        <v>9703</v>
      </c>
      <c r="B9678" s="46" t="s">
        <v>22631</v>
      </c>
    </row>
    <row r="9679" spans="1:2" x14ac:dyDescent="0.25">
      <c r="A9679" s="45" t="s">
        <v>9704</v>
      </c>
      <c r="B9679" s="46" t="s">
        <v>22632</v>
      </c>
    </row>
    <row r="9680" spans="1:2" x14ac:dyDescent="0.25">
      <c r="A9680" s="45" t="s">
        <v>9705</v>
      </c>
      <c r="B9680" s="46" t="s">
        <v>22633</v>
      </c>
    </row>
    <row r="9681" spans="1:2" x14ac:dyDescent="0.25">
      <c r="A9681" s="45" t="s">
        <v>9706</v>
      </c>
      <c r="B9681" s="46" t="s">
        <v>22634</v>
      </c>
    </row>
    <row r="9682" spans="1:2" x14ac:dyDescent="0.25">
      <c r="A9682" s="45" t="s">
        <v>9707</v>
      </c>
      <c r="B9682" s="46" t="s">
        <v>22635</v>
      </c>
    </row>
    <row r="9683" spans="1:2" x14ac:dyDescent="0.25">
      <c r="A9683" s="45" t="s">
        <v>9708</v>
      </c>
      <c r="B9683" s="46" t="s">
        <v>22636</v>
      </c>
    </row>
    <row r="9684" spans="1:2" x14ac:dyDescent="0.25">
      <c r="A9684" s="45" t="s">
        <v>9709</v>
      </c>
      <c r="B9684" s="46" t="s">
        <v>22637</v>
      </c>
    </row>
    <row r="9685" spans="1:2" x14ac:dyDescent="0.25">
      <c r="A9685" s="45" t="s">
        <v>9710</v>
      </c>
      <c r="B9685" s="46" t="s">
        <v>22638</v>
      </c>
    </row>
    <row r="9686" spans="1:2" x14ac:dyDescent="0.25">
      <c r="A9686" s="45" t="s">
        <v>9711</v>
      </c>
      <c r="B9686" s="46" t="s">
        <v>22639</v>
      </c>
    </row>
    <row r="9687" spans="1:2" x14ac:dyDescent="0.25">
      <c r="A9687" s="45" t="s">
        <v>9712</v>
      </c>
      <c r="B9687" s="46" t="s">
        <v>22640</v>
      </c>
    </row>
    <row r="9688" spans="1:2" x14ac:dyDescent="0.25">
      <c r="A9688" s="45" t="s">
        <v>9713</v>
      </c>
      <c r="B9688" s="46" t="s">
        <v>22641</v>
      </c>
    </row>
    <row r="9689" spans="1:2" x14ac:dyDescent="0.25">
      <c r="A9689" s="45" t="s">
        <v>9714</v>
      </c>
      <c r="B9689" s="46" t="s">
        <v>22642</v>
      </c>
    </row>
    <row r="9690" spans="1:2" x14ac:dyDescent="0.25">
      <c r="A9690" s="45" t="s">
        <v>9715</v>
      </c>
      <c r="B9690" s="46" t="s">
        <v>22643</v>
      </c>
    </row>
    <row r="9691" spans="1:2" x14ac:dyDescent="0.25">
      <c r="A9691" s="45" t="s">
        <v>9716</v>
      </c>
      <c r="B9691" s="46" t="s">
        <v>22644</v>
      </c>
    </row>
    <row r="9692" spans="1:2" x14ac:dyDescent="0.25">
      <c r="A9692" s="45" t="s">
        <v>9717</v>
      </c>
      <c r="B9692" s="46" t="s">
        <v>22645</v>
      </c>
    </row>
    <row r="9693" spans="1:2" x14ac:dyDescent="0.25">
      <c r="A9693" s="45" t="s">
        <v>9718</v>
      </c>
      <c r="B9693" s="46" t="s">
        <v>22646</v>
      </c>
    </row>
    <row r="9694" spans="1:2" x14ac:dyDescent="0.25">
      <c r="A9694" s="45" t="s">
        <v>9719</v>
      </c>
      <c r="B9694" s="46" t="s">
        <v>22647</v>
      </c>
    </row>
    <row r="9695" spans="1:2" x14ac:dyDescent="0.25">
      <c r="A9695" s="45" t="s">
        <v>9720</v>
      </c>
      <c r="B9695" s="46" t="s">
        <v>22648</v>
      </c>
    </row>
    <row r="9696" spans="1:2" x14ac:dyDescent="0.25">
      <c r="A9696" s="45" t="s">
        <v>9721</v>
      </c>
      <c r="B9696" s="46" t="s">
        <v>22649</v>
      </c>
    </row>
    <row r="9697" spans="1:2" x14ac:dyDescent="0.25">
      <c r="A9697" s="45" t="s">
        <v>9722</v>
      </c>
      <c r="B9697" s="46" t="s">
        <v>22650</v>
      </c>
    </row>
    <row r="9698" spans="1:2" x14ac:dyDescent="0.25">
      <c r="A9698" s="45" t="s">
        <v>9723</v>
      </c>
      <c r="B9698" s="46" t="s">
        <v>22651</v>
      </c>
    </row>
    <row r="9699" spans="1:2" x14ac:dyDescent="0.25">
      <c r="A9699" s="45" t="s">
        <v>9724</v>
      </c>
      <c r="B9699" s="46" t="s">
        <v>22652</v>
      </c>
    </row>
    <row r="9700" spans="1:2" x14ac:dyDescent="0.25">
      <c r="A9700" s="45" t="s">
        <v>9725</v>
      </c>
      <c r="B9700" s="46" t="s">
        <v>22653</v>
      </c>
    </row>
    <row r="9701" spans="1:2" x14ac:dyDescent="0.25">
      <c r="A9701" s="45" t="s">
        <v>9726</v>
      </c>
      <c r="B9701" s="46" t="s">
        <v>22654</v>
      </c>
    </row>
    <row r="9702" spans="1:2" x14ac:dyDescent="0.25">
      <c r="A9702" s="45" t="s">
        <v>9727</v>
      </c>
      <c r="B9702" s="46" t="s">
        <v>22655</v>
      </c>
    </row>
    <row r="9703" spans="1:2" x14ac:dyDescent="0.25">
      <c r="A9703" s="45" t="s">
        <v>9728</v>
      </c>
      <c r="B9703" s="46" t="s">
        <v>22656</v>
      </c>
    </row>
    <row r="9704" spans="1:2" x14ac:dyDescent="0.25">
      <c r="A9704" s="45" t="s">
        <v>9729</v>
      </c>
      <c r="B9704" s="46" t="s">
        <v>22657</v>
      </c>
    </row>
    <row r="9705" spans="1:2" x14ac:dyDescent="0.25">
      <c r="A9705" s="45" t="s">
        <v>9730</v>
      </c>
      <c r="B9705" s="46" t="s">
        <v>22658</v>
      </c>
    </row>
    <row r="9706" spans="1:2" x14ac:dyDescent="0.25">
      <c r="A9706" s="45" t="s">
        <v>9731</v>
      </c>
      <c r="B9706" s="46" t="s">
        <v>22659</v>
      </c>
    </row>
    <row r="9707" spans="1:2" x14ac:dyDescent="0.25">
      <c r="A9707" s="45" t="s">
        <v>9732</v>
      </c>
      <c r="B9707" s="46" t="s">
        <v>22660</v>
      </c>
    </row>
    <row r="9708" spans="1:2" x14ac:dyDescent="0.25">
      <c r="A9708" s="45" t="s">
        <v>9733</v>
      </c>
      <c r="B9708" s="46" t="s">
        <v>22661</v>
      </c>
    </row>
    <row r="9709" spans="1:2" x14ac:dyDescent="0.25">
      <c r="A9709" s="45" t="s">
        <v>9734</v>
      </c>
      <c r="B9709" s="46" t="s">
        <v>22662</v>
      </c>
    </row>
    <row r="9710" spans="1:2" x14ac:dyDescent="0.25">
      <c r="A9710" s="45" t="s">
        <v>9735</v>
      </c>
      <c r="B9710" s="46" t="s">
        <v>22663</v>
      </c>
    </row>
    <row r="9711" spans="1:2" x14ac:dyDescent="0.25">
      <c r="A9711" s="45" t="s">
        <v>9736</v>
      </c>
      <c r="B9711" s="46" t="s">
        <v>22664</v>
      </c>
    </row>
    <row r="9712" spans="1:2" x14ac:dyDescent="0.25">
      <c r="A9712" s="45" t="s">
        <v>9737</v>
      </c>
      <c r="B9712" s="46" t="s">
        <v>22665</v>
      </c>
    </row>
    <row r="9713" spans="1:2" x14ac:dyDescent="0.25">
      <c r="A9713" s="45" t="s">
        <v>9738</v>
      </c>
      <c r="B9713" s="46" t="s">
        <v>22666</v>
      </c>
    </row>
    <row r="9714" spans="1:2" x14ac:dyDescent="0.25">
      <c r="A9714" s="45" t="s">
        <v>9739</v>
      </c>
      <c r="B9714" s="46" t="s">
        <v>22667</v>
      </c>
    </row>
    <row r="9715" spans="1:2" x14ac:dyDescent="0.25">
      <c r="A9715" s="45" t="s">
        <v>9740</v>
      </c>
      <c r="B9715" s="46" t="s">
        <v>22668</v>
      </c>
    </row>
    <row r="9716" spans="1:2" x14ac:dyDescent="0.25">
      <c r="A9716" s="45" t="s">
        <v>9741</v>
      </c>
      <c r="B9716" s="46" t="s">
        <v>22669</v>
      </c>
    </row>
    <row r="9717" spans="1:2" x14ac:dyDescent="0.25">
      <c r="A9717" s="45" t="s">
        <v>9742</v>
      </c>
      <c r="B9717" s="46" t="s">
        <v>22670</v>
      </c>
    </row>
    <row r="9718" spans="1:2" x14ac:dyDescent="0.25">
      <c r="A9718" s="45" t="s">
        <v>9743</v>
      </c>
      <c r="B9718" s="46" t="s">
        <v>22671</v>
      </c>
    </row>
    <row r="9719" spans="1:2" x14ac:dyDescent="0.25">
      <c r="A9719" s="45" t="s">
        <v>9744</v>
      </c>
      <c r="B9719" s="46" t="s">
        <v>22672</v>
      </c>
    </row>
    <row r="9720" spans="1:2" x14ac:dyDescent="0.25">
      <c r="A9720" s="45" t="s">
        <v>9745</v>
      </c>
      <c r="B9720" s="46" t="s">
        <v>22673</v>
      </c>
    </row>
    <row r="9721" spans="1:2" x14ac:dyDescent="0.25">
      <c r="A9721" s="45" t="s">
        <v>9746</v>
      </c>
      <c r="B9721" s="46" t="s">
        <v>22674</v>
      </c>
    </row>
    <row r="9722" spans="1:2" x14ac:dyDescent="0.25">
      <c r="A9722" s="45" t="s">
        <v>9747</v>
      </c>
      <c r="B9722" s="46" t="s">
        <v>22675</v>
      </c>
    </row>
    <row r="9723" spans="1:2" x14ac:dyDescent="0.25">
      <c r="A9723" s="45" t="s">
        <v>9748</v>
      </c>
      <c r="B9723" s="46" t="s">
        <v>22676</v>
      </c>
    </row>
    <row r="9724" spans="1:2" x14ac:dyDescent="0.25">
      <c r="A9724" s="45" t="s">
        <v>9749</v>
      </c>
      <c r="B9724" s="46" t="s">
        <v>22677</v>
      </c>
    </row>
    <row r="9725" spans="1:2" x14ac:dyDescent="0.25">
      <c r="A9725" s="45" t="s">
        <v>9750</v>
      </c>
      <c r="B9725" s="46" t="s">
        <v>22678</v>
      </c>
    </row>
    <row r="9726" spans="1:2" x14ac:dyDescent="0.25">
      <c r="A9726" s="45" t="s">
        <v>9751</v>
      </c>
      <c r="B9726" s="46" t="s">
        <v>22679</v>
      </c>
    </row>
    <row r="9727" spans="1:2" x14ac:dyDescent="0.25">
      <c r="A9727" s="45" t="s">
        <v>9752</v>
      </c>
      <c r="B9727" s="46" t="s">
        <v>22680</v>
      </c>
    </row>
    <row r="9728" spans="1:2" x14ac:dyDescent="0.25">
      <c r="A9728" s="45" t="s">
        <v>9753</v>
      </c>
      <c r="B9728" s="46" t="s">
        <v>22681</v>
      </c>
    </row>
    <row r="9729" spans="1:2" x14ac:dyDescent="0.25">
      <c r="A9729" s="45" t="s">
        <v>9754</v>
      </c>
      <c r="B9729" s="46" t="s">
        <v>22682</v>
      </c>
    </row>
    <row r="9730" spans="1:2" x14ac:dyDescent="0.25">
      <c r="A9730" s="45" t="s">
        <v>9755</v>
      </c>
      <c r="B9730" s="46" t="s">
        <v>22683</v>
      </c>
    </row>
    <row r="9731" spans="1:2" x14ac:dyDescent="0.25">
      <c r="A9731" s="45" t="s">
        <v>9756</v>
      </c>
      <c r="B9731" s="46" t="s">
        <v>22684</v>
      </c>
    </row>
    <row r="9732" spans="1:2" x14ac:dyDescent="0.25">
      <c r="A9732" s="45" t="s">
        <v>9757</v>
      </c>
      <c r="B9732" s="46" t="s">
        <v>22685</v>
      </c>
    </row>
    <row r="9733" spans="1:2" x14ac:dyDescent="0.25">
      <c r="A9733" s="45" t="s">
        <v>9758</v>
      </c>
      <c r="B9733" s="46" t="s">
        <v>22686</v>
      </c>
    </row>
    <row r="9734" spans="1:2" x14ac:dyDescent="0.25">
      <c r="A9734" s="45" t="s">
        <v>9759</v>
      </c>
      <c r="B9734" s="46" t="s">
        <v>22687</v>
      </c>
    </row>
    <row r="9735" spans="1:2" x14ac:dyDescent="0.25">
      <c r="A9735" s="45" t="s">
        <v>9760</v>
      </c>
      <c r="B9735" s="46" t="s">
        <v>22688</v>
      </c>
    </row>
    <row r="9736" spans="1:2" x14ac:dyDescent="0.25">
      <c r="A9736" s="45" t="s">
        <v>9761</v>
      </c>
      <c r="B9736" s="46" t="s">
        <v>22689</v>
      </c>
    </row>
    <row r="9737" spans="1:2" x14ac:dyDescent="0.25">
      <c r="A9737" s="45" t="s">
        <v>9762</v>
      </c>
      <c r="B9737" s="46" t="s">
        <v>22690</v>
      </c>
    </row>
    <row r="9738" spans="1:2" x14ac:dyDescent="0.25">
      <c r="A9738" s="45" t="s">
        <v>9763</v>
      </c>
      <c r="B9738" s="46" t="s">
        <v>22691</v>
      </c>
    </row>
    <row r="9739" spans="1:2" x14ac:dyDescent="0.25">
      <c r="A9739" s="45" t="s">
        <v>9764</v>
      </c>
      <c r="B9739" s="46" t="s">
        <v>22692</v>
      </c>
    </row>
    <row r="9740" spans="1:2" x14ac:dyDescent="0.25">
      <c r="A9740" s="45" t="s">
        <v>9765</v>
      </c>
      <c r="B9740" s="46" t="s">
        <v>22693</v>
      </c>
    </row>
    <row r="9741" spans="1:2" x14ac:dyDescent="0.25">
      <c r="A9741" s="45" t="s">
        <v>9766</v>
      </c>
      <c r="B9741" s="46" t="s">
        <v>22694</v>
      </c>
    </row>
    <row r="9742" spans="1:2" x14ac:dyDescent="0.25">
      <c r="A9742" s="45" t="s">
        <v>9767</v>
      </c>
      <c r="B9742" s="46" t="s">
        <v>22695</v>
      </c>
    </row>
    <row r="9743" spans="1:2" x14ac:dyDescent="0.25">
      <c r="A9743" s="45" t="s">
        <v>9768</v>
      </c>
      <c r="B9743" s="46" t="s">
        <v>22696</v>
      </c>
    </row>
    <row r="9744" spans="1:2" x14ac:dyDescent="0.25">
      <c r="A9744" s="45" t="s">
        <v>9769</v>
      </c>
      <c r="B9744" s="46" t="s">
        <v>22697</v>
      </c>
    </row>
    <row r="9745" spans="1:2" x14ac:dyDescent="0.25">
      <c r="A9745" s="45" t="s">
        <v>9770</v>
      </c>
      <c r="B9745" s="46" t="s">
        <v>22698</v>
      </c>
    </row>
    <row r="9746" spans="1:2" x14ac:dyDescent="0.25">
      <c r="A9746" s="45" t="s">
        <v>9771</v>
      </c>
      <c r="B9746" s="46" t="s">
        <v>22699</v>
      </c>
    </row>
    <row r="9747" spans="1:2" x14ac:dyDescent="0.25">
      <c r="A9747" s="45" t="s">
        <v>9772</v>
      </c>
      <c r="B9747" s="46" t="s">
        <v>22700</v>
      </c>
    </row>
    <row r="9748" spans="1:2" x14ac:dyDescent="0.25">
      <c r="A9748" s="45" t="s">
        <v>9773</v>
      </c>
      <c r="B9748" s="46" t="s">
        <v>22701</v>
      </c>
    </row>
    <row r="9749" spans="1:2" x14ac:dyDescent="0.25">
      <c r="A9749" s="45" t="s">
        <v>9774</v>
      </c>
      <c r="B9749" s="46" t="s">
        <v>22702</v>
      </c>
    </row>
    <row r="9750" spans="1:2" x14ac:dyDescent="0.25">
      <c r="A9750" s="45" t="s">
        <v>9775</v>
      </c>
      <c r="B9750" s="46" t="s">
        <v>22703</v>
      </c>
    </row>
    <row r="9751" spans="1:2" x14ac:dyDescent="0.25">
      <c r="A9751" s="45" t="s">
        <v>9776</v>
      </c>
      <c r="B9751" s="46" t="s">
        <v>22704</v>
      </c>
    </row>
    <row r="9752" spans="1:2" x14ac:dyDescent="0.25">
      <c r="A9752" s="45" t="s">
        <v>9777</v>
      </c>
      <c r="B9752" s="46" t="s">
        <v>22705</v>
      </c>
    </row>
    <row r="9753" spans="1:2" x14ac:dyDescent="0.25">
      <c r="A9753" s="45" t="s">
        <v>9778</v>
      </c>
      <c r="B9753" s="46" t="s">
        <v>22706</v>
      </c>
    </row>
    <row r="9754" spans="1:2" x14ac:dyDescent="0.25">
      <c r="A9754" s="45" t="s">
        <v>9779</v>
      </c>
      <c r="B9754" s="46" t="s">
        <v>22707</v>
      </c>
    </row>
    <row r="9755" spans="1:2" x14ac:dyDescent="0.25">
      <c r="A9755" s="45" t="s">
        <v>9780</v>
      </c>
      <c r="B9755" s="46" t="s">
        <v>22708</v>
      </c>
    </row>
    <row r="9756" spans="1:2" x14ac:dyDescent="0.25">
      <c r="A9756" s="45" t="s">
        <v>9781</v>
      </c>
      <c r="B9756" s="46" t="s">
        <v>22709</v>
      </c>
    </row>
    <row r="9757" spans="1:2" x14ac:dyDescent="0.25">
      <c r="A9757" s="45" t="s">
        <v>9782</v>
      </c>
      <c r="B9757" s="46" t="s">
        <v>22710</v>
      </c>
    </row>
    <row r="9758" spans="1:2" x14ac:dyDescent="0.25">
      <c r="A9758" s="45" t="s">
        <v>9783</v>
      </c>
      <c r="B9758" s="46" t="s">
        <v>22711</v>
      </c>
    </row>
    <row r="9759" spans="1:2" x14ac:dyDescent="0.25">
      <c r="A9759" s="45" t="s">
        <v>9784</v>
      </c>
      <c r="B9759" s="46" t="s">
        <v>22712</v>
      </c>
    </row>
    <row r="9760" spans="1:2" x14ac:dyDescent="0.25">
      <c r="A9760" s="45" t="s">
        <v>9785</v>
      </c>
      <c r="B9760" s="46" t="s">
        <v>22713</v>
      </c>
    </row>
    <row r="9761" spans="1:2" x14ac:dyDescent="0.25">
      <c r="A9761" s="45" t="s">
        <v>9786</v>
      </c>
      <c r="B9761" s="46" t="s">
        <v>22714</v>
      </c>
    </row>
    <row r="9762" spans="1:2" x14ac:dyDescent="0.25">
      <c r="A9762" s="45" t="s">
        <v>9787</v>
      </c>
      <c r="B9762" s="46" t="s">
        <v>22715</v>
      </c>
    </row>
    <row r="9763" spans="1:2" x14ac:dyDescent="0.25">
      <c r="A9763" s="45" t="s">
        <v>9788</v>
      </c>
      <c r="B9763" s="46" t="s">
        <v>22716</v>
      </c>
    </row>
    <row r="9764" spans="1:2" x14ac:dyDescent="0.25">
      <c r="A9764" s="45" t="s">
        <v>9789</v>
      </c>
      <c r="B9764" s="46" t="s">
        <v>22717</v>
      </c>
    </row>
    <row r="9765" spans="1:2" x14ac:dyDescent="0.25">
      <c r="A9765" s="45" t="s">
        <v>9790</v>
      </c>
      <c r="B9765" s="46" t="s">
        <v>22718</v>
      </c>
    </row>
    <row r="9766" spans="1:2" x14ac:dyDescent="0.25">
      <c r="A9766" s="45" t="s">
        <v>9791</v>
      </c>
      <c r="B9766" s="46" t="s">
        <v>22719</v>
      </c>
    </row>
    <row r="9767" spans="1:2" x14ac:dyDescent="0.25">
      <c r="A9767" s="45" t="s">
        <v>9792</v>
      </c>
      <c r="B9767" s="46" t="s">
        <v>22720</v>
      </c>
    </row>
    <row r="9768" spans="1:2" x14ac:dyDescent="0.25">
      <c r="A9768" s="45" t="s">
        <v>9793</v>
      </c>
      <c r="B9768" s="46" t="s">
        <v>22721</v>
      </c>
    </row>
    <row r="9769" spans="1:2" x14ac:dyDescent="0.25">
      <c r="A9769" s="45" t="s">
        <v>9794</v>
      </c>
      <c r="B9769" s="46" t="s">
        <v>22722</v>
      </c>
    </row>
    <row r="9770" spans="1:2" x14ac:dyDescent="0.25">
      <c r="A9770" s="45" t="s">
        <v>9795</v>
      </c>
      <c r="B9770" s="46" t="s">
        <v>22723</v>
      </c>
    </row>
    <row r="9771" spans="1:2" x14ac:dyDescent="0.25">
      <c r="A9771" s="45" t="s">
        <v>9796</v>
      </c>
      <c r="B9771" s="46" t="s">
        <v>22724</v>
      </c>
    </row>
    <row r="9772" spans="1:2" x14ac:dyDescent="0.25">
      <c r="A9772" s="45" t="s">
        <v>9797</v>
      </c>
      <c r="B9772" s="46" t="s">
        <v>22725</v>
      </c>
    </row>
    <row r="9773" spans="1:2" x14ac:dyDescent="0.25">
      <c r="A9773" s="45" t="s">
        <v>9798</v>
      </c>
      <c r="B9773" s="46" t="s">
        <v>22726</v>
      </c>
    </row>
    <row r="9774" spans="1:2" x14ac:dyDescent="0.25">
      <c r="A9774" s="45" t="s">
        <v>9799</v>
      </c>
      <c r="B9774" s="46" t="s">
        <v>22727</v>
      </c>
    </row>
    <row r="9775" spans="1:2" x14ac:dyDescent="0.25">
      <c r="A9775" s="45" t="s">
        <v>9800</v>
      </c>
      <c r="B9775" s="46" t="s">
        <v>22728</v>
      </c>
    </row>
    <row r="9776" spans="1:2" x14ac:dyDescent="0.25">
      <c r="A9776" s="45" t="s">
        <v>9801</v>
      </c>
      <c r="B9776" s="46" t="s">
        <v>22729</v>
      </c>
    </row>
    <row r="9777" spans="1:2" x14ac:dyDescent="0.25">
      <c r="A9777" s="45" t="s">
        <v>9802</v>
      </c>
      <c r="B9777" s="46" t="s">
        <v>22730</v>
      </c>
    </row>
    <row r="9778" spans="1:2" x14ac:dyDescent="0.25">
      <c r="A9778" s="45" t="s">
        <v>9803</v>
      </c>
      <c r="B9778" s="46" t="s">
        <v>22731</v>
      </c>
    </row>
    <row r="9779" spans="1:2" x14ac:dyDescent="0.25">
      <c r="A9779" s="45" t="s">
        <v>9804</v>
      </c>
      <c r="B9779" s="46" t="s">
        <v>22732</v>
      </c>
    </row>
    <row r="9780" spans="1:2" x14ac:dyDescent="0.25">
      <c r="A9780" s="45" t="s">
        <v>9805</v>
      </c>
      <c r="B9780" s="46" t="s">
        <v>22733</v>
      </c>
    </row>
    <row r="9781" spans="1:2" x14ac:dyDescent="0.25">
      <c r="A9781" s="45" t="s">
        <v>9806</v>
      </c>
      <c r="B9781" s="46" t="s">
        <v>22734</v>
      </c>
    </row>
    <row r="9782" spans="1:2" x14ac:dyDescent="0.25">
      <c r="A9782" s="45" t="s">
        <v>9807</v>
      </c>
      <c r="B9782" s="46" t="s">
        <v>22735</v>
      </c>
    </row>
    <row r="9783" spans="1:2" x14ac:dyDescent="0.25">
      <c r="A9783" s="45" t="s">
        <v>9808</v>
      </c>
      <c r="B9783" s="46" t="s">
        <v>22736</v>
      </c>
    </row>
    <row r="9784" spans="1:2" x14ac:dyDescent="0.25">
      <c r="A9784" s="45" t="s">
        <v>9809</v>
      </c>
      <c r="B9784" s="46" t="s">
        <v>22737</v>
      </c>
    </row>
    <row r="9785" spans="1:2" x14ac:dyDescent="0.25">
      <c r="A9785" s="45" t="s">
        <v>9810</v>
      </c>
      <c r="B9785" s="46" t="s">
        <v>22738</v>
      </c>
    </row>
    <row r="9786" spans="1:2" x14ac:dyDescent="0.25">
      <c r="A9786" s="45" t="s">
        <v>9811</v>
      </c>
      <c r="B9786" s="46" t="s">
        <v>22739</v>
      </c>
    </row>
    <row r="9787" spans="1:2" x14ac:dyDescent="0.25">
      <c r="A9787" s="45" t="s">
        <v>9812</v>
      </c>
      <c r="B9787" s="46" t="s">
        <v>22740</v>
      </c>
    </row>
    <row r="9788" spans="1:2" x14ac:dyDescent="0.25">
      <c r="A9788" s="45" t="s">
        <v>9813</v>
      </c>
      <c r="B9788" s="46" t="s">
        <v>22741</v>
      </c>
    </row>
    <row r="9789" spans="1:2" x14ac:dyDescent="0.25">
      <c r="A9789" s="45" t="s">
        <v>9814</v>
      </c>
      <c r="B9789" s="46" t="s">
        <v>22742</v>
      </c>
    </row>
    <row r="9790" spans="1:2" x14ac:dyDescent="0.25">
      <c r="A9790" s="45" t="s">
        <v>9815</v>
      </c>
      <c r="B9790" s="46" t="s">
        <v>22743</v>
      </c>
    </row>
    <row r="9791" spans="1:2" x14ac:dyDescent="0.25">
      <c r="A9791" s="45" t="s">
        <v>9816</v>
      </c>
      <c r="B9791" s="46" t="s">
        <v>22744</v>
      </c>
    </row>
    <row r="9792" spans="1:2" x14ac:dyDescent="0.25">
      <c r="A9792" s="45" t="s">
        <v>9817</v>
      </c>
      <c r="B9792" s="46" t="s">
        <v>22745</v>
      </c>
    </row>
    <row r="9793" spans="1:2" x14ac:dyDescent="0.25">
      <c r="A9793" s="45" t="s">
        <v>9818</v>
      </c>
      <c r="B9793" s="46" t="s">
        <v>22746</v>
      </c>
    </row>
    <row r="9794" spans="1:2" x14ac:dyDescent="0.25">
      <c r="A9794" s="45" t="s">
        <v>9819</v>
      </c>
      <c r="B9794" s="46" t="s">
        <v>22747</v>
      </c>
    </row>
    <row r="9795" spans="1:2" x14ac:dyDescent="0.25">
      <c r="A9795" s="45" t="s">
        <v>9820</v>
      </c>
      <c r="B9795" s="46" t="s">
        <v>22748</v>
      </c>
    </row>
    <row r="9796" spans="1:2" x14ac:dyDescent="0.25">
      <c r="A9796" s="45" t="s">
        <v>9821</v>
      </c>
      <c r="B9796" s="46" t="s">
        <v>22749</v>
      </c>
    </row>
    <row r="9797" spans="1:2" x14ac:dyDescent="0.25">
      <c r="A9797" s="45" t="s">
        <v>9822</v>
      </c>
      <c r="B9797" s="46" t="s">
        <v>22750</v>
      </c>
    </row>
    <row r="9798" spans="1:2" x14ac:dyDescent="0.25">
      <c r="A9798" s="45" t="s">
        <v>9823</v>
      </c>
      <c r="B9798" s="46" t="s">
        <v>22751</v>
      </c>
    </row>
    <row r="9799" spans="1:2" x14ac:dyDescent="0.25">
      <c r="A9799" s="45" t="s">
        <v>9824</v>
      </c>
      <c r="B9799" s="46" t="s">
        <v>22752</v>
      </c>
    </row>
    <row r="9800" spans="1:2" x14ac:dyDescent="0.25">
      <c r="A9800" s="45" t="s">
        <v>9825</v>
      </c>
      <c r="B9800" s="46" t="s">
        <v>22753</v>
      </c>
    </row>
    <row r="9801" spans="1:2" x14ac:dyDescent="0.25">
      <c r="A9801" s="45" t="s">
        <v>9826</v>
      </c>
      <c r="B9801" s="46" t="s">
        <v>22754</v>
      </c>
    </row>
    <row r="9802" spans="1:2" x14ac:dyDescent="0.25">
      <c r="A9802" s="45" t="s">
        <v>9827</v>
      </c>
      <c r="B9802" s="46" t="s">
        <v>22755</v>
      </c>
    </row>
    <row r="9803" spans="1:2" x14ac:dyDescent="0.25">
      <c r="A9803" s="45" t="s">
        <v>9828</v>
      </c>
      <c r="B9803" s="46" t="s">
        <v>22756</v>
      </c>
    </row>
    <row r="9804" spans="1:2" x14ac:dyDescent="0.25">
      <c r="A9804" s="45" t="s">
        <v>9829</v>
      </c>
      <c r="B9804" s="46" t="s">
        <v>22757</v>
      </c>
    </row>
    <row r="9805" spans="1:2" x14ac:dyDescent="0.25">
      <c r="A9805" s="45" t="s">
        <v>9830</v>
      </c>
      <c r="B9805" s="46" t="s">
        <v>22758</v>
      </c>
    </row>
    <row r="9806" spans="1:2" x14ac:dyDescent="0.25">
      <c r="A9806" s="45" t="s">
        <v>9831</v>
      </c>
      <c r="B9806" s="46" t="s">
        <v>22759</v>
      </c>
    </row>
    <row r="9807" spans="1:2" x14ac:dyDescent="0.25">
      <c r="A9807" s="45" t="s">
        <v>9832</v>
      </c>
      <c r="B9807" s="46" t="s">
        <v>22760</v>
      </c>
    </row>
    <row r="9808" spans="1:2" x14ac:dyDescent="0.25">
      <c r="A9808" s="45" t="s">
        <v>9833</v>
      </c>
      <c r="B9808" s="46" t="s">
        <v>22761</v>
      </c>
    </row>
    <row r="9809" spans="1:2" x14ac:dyDescent="0.25">
      <c r="A9809" s="45" t="s">
        <v>9834</v>
      </c>
      <c r="B9809" s="46" t="s">
        <v>22762</v>
      </c>
    </row>
    <row r="9810" spans="1:2" x14ac:dyDescent="0.25">
      <c r="A9810" s="45" t="s">
        <v>9835</v>
      </c>
      <c r="B9810" s="46" t="s">
        <v>22763</v>
      </c>
    </row>
    <row r="9811" spans="1:2" x14ac:dyDescent="0.25">
      <c r="A9811" s="45" t="s">
        <v>9836</v>
      </c>
      <c r="B9811" s="46" t="s">
        <v>22764</v>
      </c>
    </row>
    <row r="9812" spans="1:2" x14ac:dyDescent="0.25">
      <c r="A9812" s="45" t="s">
        <v>9837</v>
      </c>
      <c r="B9812" s="46" t="s">
        <v>22765</v>
      </c>
    </row>
    <row r="9813" spans="1:2" x14ac:dyDescent="0.25">
      <c r="A9813" s="45" t="s">
        <v>9838</v>
      </c>
      <c r="B9813" s="46" t="s">
        <v>22766</v>
      </c>
    </row>
    <row r="9814" spans="1:2" x14ac:dyDescent="0.25">
      <c r="A9814" s="45" t="s">
        <v>9839</v>
      </c>
      <c r="B9814" s="46" t="s">
        <v>22767</v>
      </c>
    </row>
    <row r="9815" spans="1:2" x14ac:dyDescent="0.25">
      <c r="A9815" s="45" t="s">
        <v>9840</v>
      </c>
      <c r="B9815" s="46" t="s">
        <v>22768</v>
      </c>
    </row>
    <row r="9816" spans="1:2" x14ac:dyDescent="0.25">
      <c r="A9816" s="45" t="s">
        <v>9841</v>
      </c>
      <c r="B9816" s="46" t="s">
        <v>22769</v>
      </c>
    </row>
    <row r="9817" spans="1:2" x14ac:dyDescent="0.25">
      <c r="A9817" s="45" t="s">
        <v>9842</v>
      </c>
      <c r="B9817" s="46" t="s">
        <v>22770</v>
      </c>
    </row>
    <row r="9818" spans="1:2" x14ac:dyDescent="0.25">
      <c r="A9818" s="45" t="s">
        <v>9843</v>
      </c>
      <c r="B9818" s="46" t="s">
        <v>22771</v>
      </c>
    </row>
    <row r="9819" spans="1:2" x14ac:dyDescent="0.25">
      <c r="A9819" s="45" t="s">
        <v>9844</v>
      </c>
      <c r="B9819" s="46" t="s">
        <v>22772</v>
      </c>
    </row>
    <row r="9820" spans="1:2" x14ac:dyDescent="0.25">
      <c r="A9820" s="45" t="s">
        <v>9845</v>
      </c>
      <c r="B9820" s="46" t="s">
        <v>22773</v>
      </c>
    </row>
    <row r="9821" spans="1:2" x14ac:dyDescent="0.25">
      <c r="A9821" s="45" t="s">
        <v>9846</v>
      </c>
      <c r="B9821" s="46" t="s">
        <v>22774</v>
      </c>
    </row>
    <row r="9822" spans="1:2" x14ac:dyDescent="0.25">
      <c r="A9822" s="45" t="s">
        <v>9847</v>
      </c>
      <c r="B9822" s="46" t="s">
        <v>22775</v>
      </c>
    </row>
    <row r="9823" spans="1:2" x14ac:dyDescent="0.25">
      <c r="A9823" s="45" t="s">
        <v>9848</v>
      </c>
      <c r="B9823" s="46" t="s">
        <v>22776</v>
      </c>
    </row>
    <row r="9824" spans="1:2" x14ac:dyDescent="0.25">
      <c r="A9824" s="45" t="s">
        <v>9849</v>
      </c>
      <c r="B9824" s="46" t="s">
        <v>22777</v>
      </c>
    </row>
    <row r="9825" spans="1:2" x14ac:dyDescent="0.25">
      <c r="A9825" s="45" t="s">
        <v>9850</v>
      </c>
      <c r="B9825" s="46" t="s">
        <v>22778</v>
      </c>
    </row>
    <row r="9826" spans="1:2" x14ac:dyDescent="0.25">
      <c r="A9826" s="45" t="s">
        <v>9851</v>
      </c>
      <c r="B9826" s="46" t="s">
        <v>22779</v>
      </c>
    </row>
    <row r="9827" spans="1:2" x14ac:dyDescent="0.25">
      <c r="A9827" s="45" t="s">
        <v>9852</v>
      </c>
      <c r="B9827" s="46" t="s">
        <v>22780</v>
      </c>
    </row>
    <row r="9828" spans="1:2" x14ac:dyDescent="0.25">
      <c r="A9828" s="45" t="s">
        <v>9853</v>
      </c>
      <c r="B9828" s="46" t="s">
        <v>22781</v>
      </c>
    </row>
    <row r="9829" spans="1:2" x14ac:dyDescent="0.25">
      <c r="A9829" s="45" t="s">
        <v>9854</v>
      </c>
      <c r="B9829" s="46" t="s">
        <v>22782</v>
      </c>
    </row>
    <row r="9830" spans="1:2" x14ac:dyDescent="0.25">
      <c r="A9830" s="45" t="s">
        <v>9855</v>
      </c>
      <c r="B9830" s="46" t="s">
        <v>22783</v>
      </c>
    </row>
    <row r="9831" spans="1:2" x14ac:dyDescent="0.25">
      <c r="A9831" s="45" t="s">
        <v>9856</v>
      </c>
      <c r="B9831" s="46" t="s">
        <v>22784</v>
      </c>
    </row>
    <row r="9832" spans="1:2" x14ac:dyDescent="0.25">
      <c r="A9832" s="45" t="s">
        <v>9857</v>
      </c>
      <c r="B9832" s="46" t="s">
        <v>22785</v>
      </c>
    </row>
    <row r="9833" spans="1:2" x14ac:dyDescent="0.25">
      <c r="A9833" s="45" t="s">
        <v>9858</v>
      </c>
      <c r="B9833" s="46" t="s">
        <v>22786</v>
      </c>
    </row>
    <row r="9834" spans="1:2" x14ac:dyDescent="0.25">
      <c r="A9834" s="45" t="s">
        <v>9859</v>
      </c>
      <c r="B9834" s="46" t="s">
        <v>22787</v>
      </c>
    </row>
    <row r="9835" spans="1:2" x14ac:dyDescent="0.25">
      <c r="A9835" s="45" t="s">
        <v>9860</v>
      </c>
      <c r="B9835" s="46" t="s">
        <v>22788</v>
      </c>
    </row>
    <row r="9836" spans="1:2" x14ac:dyDescent="0.25">
      <c r="A9836" s="45" t="s">
        <v>9861</v>
      </c>
      <c r="B9836" s="46" t="s">
        <v>22789</v>
      </c>
    </row>
    <row r="9837" spans="1:2" x14ac:dyDescent="0.25">
      <c r="A9837" s="45" t="s">
        <v>9862</v>
      </c>
      <c r="B9837" s="46" t="s">
        <v>22790</v>
      </c>
    </row>
    <row r="9838" spans="1:2" x14ac:dyDescent="0.25">
      <c r="A9838" s="45" t="s">
        <v>9863</v>
      </c>
      <c r="B9838" s="46" t="s">
        <v>22791</v>
      </c>
    </row>
    <row r="9839" spans="1:2" x14ac:dyDescent="0.25">
      <c r="A9839" s="45" t="s">
        <v>9864</v>
      </c>
      <c r="B9839" s="46" t="s">
        <v>22792</v>
      </c>
    </row>
    <row r="9840" spans="1:2" x14ac:dyDescent="0.25">
      <c r="A9840" s="45" t="s">
        <v>9865</v>
      </c>
      <c r="B9840" s="46" t="s">
        <v>22793</v>
      </c>
    </row>
    <row r="9841" spans="1:2" x14ac:dyDescent="0.25">
      <c r="A9841" s="45" t="s">
        <v>9866</v>
      </c>
      <c r="B9841" s="46" t="s">
        <v>22794</v>
      </c>
    </row>
    <row r="9842" spans="1:2" x14ac:dyDescent="0.25">
      <c r="A9842" s="45" t="s">
        <v>9867</v>
      </c>
      <c r="B9842" s="46" t="s">
        <v>22795</v>
      </c>
    </row>
    <row r="9843" spans="1:2" x14ac:dyDescent="0.25">
      <c r="A9843" s="45" t="s">
        <v>9868</v>
      </c>
      <c r="B9843" s="46" t="s">
        <v>22796</v>
      </c>
    </row>
    <row r="9844" spans="1:2" x14ac:dyDescent="0.25">
      <c r="A9844" s="45" t="s">
        <v>9869</v>
      </c>
      <c r="B9844" s="46" t="s">
        <v>22797</v>
      </c>
    </row>
    <row r="9845" spans="1:2" x14ac:dyDescent="0.25">
      <c r="A9845" s="45" t="s">
        <v>9870</v>
      </c>
      <c r="B9845" s="46" t="s">
        <v>22798</v>
      </c>
    </row>
    <row r="9846" spans="1:2" x14ac:dyDescent="0.25">
      <c r="A9846" s="45" t="s">
        <v>9871</v>
      </c>
      <c r="B9846" s="46" t="s">
        <v>22799</v>
      </c>
    </row>
    <row r="9847" spans="1:2" x14ac:dyDescent="0.25">
      <c r="A9847" s="45" t="s">
        <v>9872</v>
      </c>
      <c r="B9847" s="46" t="s">
        <v>22800</v>
      </c>
    </row>
    <row r="9848" spans="1:2" x14ac:dyDescent="0.25">
      <c r="A9848" s="45" t="s">
        <v>9873</v>
      </c>
      <c r="B9848" s="46" t="s">
        <v>22801</v>
      </c>
    </row>
    <row r="9849" spans="1:2" x14ac:dyDescent="0.25">
      <c r="A9849" s="45" t="s">
        <v>9874</v>
      </c>
      <c r="B9849" s="46" t="s">
        <v>22802</v>
      </c>
    </row>
    <row r="9850" spans="1:2" x14ac:dyDescent="0.25">
      <c r="A9850" s="45" t="s">
        <v>9875</v>
      </c>
      <c r="B9850" s="46" t="s">
        <v>22803</v>
      </c>
    </row>
    <row r="9851" spans="1:2" x14ac:dyDescent="0.25">
      <c r="A9851" s="45" t="s">
        <v>9876</v>
      </c>
      <c r="B9851" s="46" t="s">
        <v>22804</v>
      </c>
    </row>
    <row r="9852" spans="1:2" x14ac:dyDescent="0.25">
      <c r="A9852" s="45" t="s">
        <v>9877</v>
      </c>
      <c r="B9852" s="46" t="s">
        <v>22805</v>
      </c>
    </row>
    <row r="9853" spans="1:2" x14ac:dyDescent="0.25">
      <c r="A9853" s="45" t="s">
        <v>9878</v>
      </c>
      <c r="B9853" s="46" t="s">
        <v>22806</v>
      </c>
    </row>
    <row r="9854" spans="1:2" x14ac:dyDescent="0.25">
      <c r="A9854" s="45" t="s">
        <v>9879</v>
      </c>
      <c r="B9854" s="46" t="s">
        <v>22807</v>
      </c>
    </row>
    <row r="9855" spans="1:2" x14ac:dyDescent="0.25">
      <c r="A9855" s="45" t="s">
        <v>9880</v>
      </c>
      <c r="B9855" s="46" t="s">
        <v>22808</v>
      </c>
    </row>
    <row r="9856" spans="1:2" x14ac:dyDescent="0.25">
      <c r="A9856" s="45" t="s">
        <v>9881</v>
      </c>
      <c r="B9856" s="46" t="s">
        <v>22809</v>
      </c>
    </row>
    <row r="9857" spans="1:2" x14ac:dyDescent="0.25">
      <c r="A9857" s="45" t="s">
        <v>9882</v>
      </c>
      <c r="B9857" s="46" t="s">
        <v>22810</v>
      </c>
    </row>
    <row r="9858" spans="1:2" x14ac:dyDescent="0.25">
      <c r="A9858" s="45" t="s">
        <v>9883</v>
      </c>
      <c r="B9858" s="46" t="s">
        <v>22811</v>
      </c>
    </row>
    <row r="9859" spans="1:2" x14ac:dyDescent="0.25">
      <c r="A9859" s="45" t="s">
        <v>9884</v>
      </c>
      <c r="B9859" s="46" t="s">
        <v>22812</v>
      </c>
    </row>
    <row r="9860" spans="1:2" x14ac:dyDescent="0.25">
      <c r="A9860" s="45" t="s">
        <v>9885</v>
      </c>
      <c r="B9860" s="46" t="s">
        <v>22813</v>
      </c>
    </row>
    <row r="9861" spans="1:2" x14ac:dyDescent="0.25">
      <c r="A9861" s="45" t="s">
        <v>9886</v>
      </c>
      <c r="B9861" s="46" t="s">
        <v>22814</v>
      </c>
    </row>
    <row r="9862" spans="1:2" x14ac:dyDescent="0.25">
      <c r="A9862" s="45" t="s">
        <v>9887</v>
      </c>
      <c r="B9862" s="46" t="s">
        <v>22815</v>
      </c>
    </row>
    <row r="9863" spans="1:2" x14ac:dyDescent="0.25">
      <c r="A9863" s="45" t="s">
        <v>9888</v>
      </c>
      <c r="B9863" s="46" t="s">
        <v>22816</v>
      </c>
    </row>
    <row r="9864" spans="1:2" x14ac:dyDescent="0.25">
      <c r="A9864" s="45" t="s">
        <v>9889</v>
      </c>
      <c r="B9864" s="46" t="s">
        <v>22817</v>
      </c>
    </row>
    <row r="9865" spans="1:2" x14ac:dyDescent="0.25">
      <c r="A9865" s="45" t="s">
        <v>9890</v>
      </c>
      <c r="B9865" s="46" t="s">
        <v>22818</v>
      </c>
    </row>
    <row r="9866" spans="1:2" x14ac:dyDescent="0.25">
      <c r="A9866" s="45" t="s">
        <v>9891</v>
      </c>
      <c r="B9866" s="46" t="s">
        <v>22819</v>
      </c>
    </row>
    <row r="9867" spans="1:2" x14ac:dyDescent="0.25">
      <c r="A9867" s="45" t="s">
        <v>9892</v>
      </c>
      <c r="B9867" s="46" t="s">
        <v>22820</v>
      </c>
    </row>
    <row r="9868" spans="1:2" x14ac:dyDescent="0.25">
      <c r="A9868" s="45" t="s">
        <v>9893</v>
      </c>
      <c r="B9868" s="46" t="s">
        <v>22821</v>
      </c>
    </row>
    <row r="9869" spans="1:2" x14ac:dyDescent="0.25">
      <c r="A9869" s="45" t="s">
        <v>9894</v>
      </c>
      <c r="B9869" s="46" t="s">
        <v>22822</v>
      </c>
    </row>
    <row r="9870" spans="1:2" x14ac:dyDescent="0.25">
      <c r="A9870" s="45" t="s">
        <v>9895</v>
      </c>
      <c r="B9870" s="46" t="s">
        <v>22823</v>
      </c>
    </row>
    <row r="9871" spans="1:2" x14ac:dyDescent="0.25">
      <c r="A9871" s="45" t="s">
        <v>9896</v>
      </c>
      <c r="B9871" s="46" t="s">
        <v>22824</v>
      </c>
    </row>
    <row r="9872" spans="1:2" x14ac:dyDescent="0.25">
      <c r="A9872" s="45" t="s">
        <v>9897</v>
      </c>
      <c r="B9872" s="46" t="s">
        <v>22825</v>
      </c>
    </row>
    <row r="9873" spans="1:2" x14ac:dyDescent="0.25">
      <c r="A9873" s="45" t="s">
        <v>9898</v>
      </c>
      <c r="B9873" s="46" t="s">
        <v>22826</v>
      </c>
    </row>
    <row r="9874" spans="1:2" x14ac:dyDescent="0.25">
      <c r="A9874" s="45" t="s">
        <v>9899</v>
      </c>
      <c r="B9874" s="46" t="s">
        <v>22827</v>
      </c>
    </row>
    <row r="9875" spans="1:2" x14ac:dyDescent="0.25">
      <c r="A9875" s="45" t="s">
        <v>9900</v>
      </c>
      <c r="B9875" s="46" t="s">
        <v>22828</v>
      </c>
    </row>
    <row r="9876" spans="1:2" x14ac:dyDescent="0.25">
      <c r="A9876" s="45" t="s">
        <v>9901</v>
      </c>
      <c r="B9876" s="46" t="s">
        <v>22829</v>
      </c>
    </row>
    <row r="9877" spans="1:2" x14ac:dyDescent="0.25">
      <c r="A9877" s="45" t="s">
        <v>9902</v>
      </c>
      <c r="B9877" s="46" t="s">
        <v>22830</v>
      </c>
    </row>
    <row r="9878" spans="1:2" x14ac:dyDescent="0.25">
      <c r="A9878" s="45" t="s">
        <v>9903</v>
      </c>
      <c r="B9878" s="46" t="s">
        <v>22831</v>
      </c>
    </row>
    <row r="9879" spans="1:2" x14ac:dyDescent="0.25">
      <c r="A9879" s="45" t="s">
        <v>9904</v>
      </c>
      <c r="B9879" s="46" t="s">
        <v>22832</v>
      </c>
    </row>
    <row r="9880" spans="1:2" x14ac:dyDescent="0.25">
      <c r="A9880" s="45" t="s">
        <v>9905</v>
      </c>
      <c r="B9880" s="46" t="s">
        <v>22833</v>
      </c>
    </row>
    <row r="9881" spans="1:2" x14ac:dyDescent="0.25">
      <c r="A9881" s="45" t="s">
        <v>9906</v>
      </c>
      <c r="B9881" s="46" t="s">
        <v>22834</v>
      </c>
    </row>
    <row r="9882" spans="1:2" x14ac:dyDescent="0.25">
      <c r="A9882" s="45" t="s">
        <v>9907</v>
      </c>
      <c r="B9882" s="46" t="s">
        <v>22835</v>
      </c>
    </row>
    <row r="9883" spans="1:2" x14ac:dyDescent="0.25">
      <c r="A9883" s="45" t="s">
        <v>9908</v>
      </c>
      <c r="B9883" s="46" t="s">
        <v>22836</v>
      </c>
    </row>
    <row r="9884" spans="1:2" x14ac:dyDescent="0.25">
      <c r="A9884" s="45" t="s">
        <v>9909</v>
      </c>
      <c r="B9884" s="46" t="s">
        <v>22837</v>
      </c>
    </row>
    <row r="9885" spans="1:2" x14ac:dyDescent="0.25">
      <c r="A9885" s="45" t="s">
        <v>9910</v>
      </c>
      <c r="B9885" s="46" t="s">
        <v>22838</v>
      </c>
    </row>
    <row r="9886" spans="1:2" x14ac:dyDescent="0.25">
      <c r="A9886" s="45" t="s">
        <v>9911</v>
      </c>
      <c r="B9886" s="46" t="s">
        <v>22839</v>
      </c>
    </row>
    <row r="9887" spans="1:2" x14ac:dyDescent="0.25">
      <c r="A9887" s="45" t="s">
        <v>9912</v>
      </c>
      <c r="B9887" s="46" t="s">
        <v>22840</v>
      </c>
    </row>
    <row r="9888" spans="1:2" x14ac:dyDescent="0.25">
      <c r="A9888" s="45" t="s">
        <v>9913</v>
      </c>
      <c r="B9888" s="46" t="s">
        <v>22841</v>
      </c>
    </row>
    <row r="9889" spans="1:2" x14ac:dyDescent="0.25">
      <c r="A9889" s="45" t="s">
        <v>9914</v>
      </c>
      <c r="B9889" s="46" t="s">
        <v>22842</v>
      </c>
    </row>
    <row r="9890" spans="1:2" x14ac:dyDescent="0.25">
      <c r="A9890" s="45" t="s">
        <v>9915</v>
      </c>
      <c r="B9890" s="46" t="s">
        <v>22843</v>
      </c>
    </row>
    <row r="9891" spans="1:2" x14ac:dyDescent="0.25">
      <c r="A9891" s="45" t="s">
        <v>9916</v>
      </c>
      <c r="B9891" s="46" t="s">
        <v>22844</v>
      </c>
    </row>
    <row r="9892" spans="1:2" x14ac:dyDescent="0.25">
      <c r="A9892" s="45" t="s">
        <v>9917</v>
      </c>
      <c r="B9892" s="46" t="s">
        <v>22845</v>
      </c>
    </row>
    <row r="9893" spans="1:2" x14ac:dyDescent="0.25">
      <c r="A9893" s="45" t="s">
        <v>9918</v>
      </c>
      <c r="B9893" s="46" t="s">
        <v>22846</v>
      </c>
    </row>
    <row r="9894" spans="1:2" x14ac:dyDescent="0.25">
      <c r="A9894" s="45" t="s">
        <v>9919</v>
      </c>
      <c r="B9894" s="46" t="s">
        <v>22847</v>
      </c>
    </row>
    <row r="9895" spans="1:2" x14ac:dyDescent="0.25">
      <c r="A9895" s="45" t="s">
        <v>9920</v>
      </c>
      <c r="B9895" s="46" t="s">
        <v>22848</v>
      </c>
    </row>
    <row r="9896" spans="1:2" x14ac:dyDescent="0.25">
      <c r="A9896" s="45" t="s">
        <v>9921</v>
      </c>
      <c r="B9896" s="46" t="s">
        <v>22849</v>
      </c>
    </row>
    <row r="9897" spans="1:2" x14ac:dyDescent="0.25">
      <c r="A9897" s="45" t="s">
        <v>9922</v>
      </c>
      <c r="B9897" s="46" t="s">
        <v>22850</v>
      </c>
    </row>
    <row r="9898" spans="1:2" x14ac:dyDescent="0.25">
      <c r="A9898" s="45" t="s">
        <v>9923</v>
      </c>
      <c r="B9898" s="46" t="s">
        <v>22851</v>
      </c>
    </row>
    <row r="9899" spans="1:2" x14ac:dyDescent="0.25">
      <c r="A9899" s="45" t="s">
        <v>9924</v>
      </c>
      <c r="B9899" s="46" t="s">
        <v>22852</v>
      </c>
    </row>
    <row r="9900" spans="1:2" x14ac:dyDescent="0.25">
      <c r="A9900" s="45" t="s">
        <v>9925</v>
      </c>
      <c r="B9900" s="46" t="s">
        <v>22853</v>
      </c>
    </row>
    <row r="9901" spans="1:2" x14ac:dyDescent="0.25">
      <c r="A9901" s="45" t="s">
        <v>9926</v>
      </c>
      <c r="B9901" s="46" t="s">
        <v>22854</v>
      </c>
    </row>
    <row r="9902" spans="1:2" x14ac:dyDescent="0.25">
      <c r="A9902" s="45" t="s">
        <v>9927</v>
      </c>
      <c r="B9902" s="46" t="s">
        <v>22855</v>
      </c>
    </row>
    <row r="9903" spans="1:2" x14ac:dyDescent="0.25">
      <c r="A9903" s="45" t="s">
        <v>9928</v>
      </c>
      <c r="B9903" s="46" t="s">
        <v>22856</v>
      </c>
    </row>
    <row r="9904" spans="1:2" x14ac:dyDescent="0.25">
      <c r="A9904" s="45" t="s">
        <v>9929</v>
      </c>
      <c r="B9904" s="46" t="s">
        <v>22857</v>
      </c>
    </row>
    <row r="9905" spans="1:2" x14ac:dyDescent="0.25">
      <c r="A9905" s="45" t="s">
        <v>9930</v>
      </c>
      <c r="B9905" s="46" t="s">
        <v>22858</v>
      </c>
    </row>
    <row r="9906" spans="1:2" x14ac:dyDescent="0.25">
      <c r="A9906" s="45" t="s">
        <v>9931</v>
      </c>
      <c r="B9906" s="46" t="s">
        <v>22859</v>
      </c>
    </row>
    <row r="9907" spans="1:2" x14ac:dyDescent="0.25">
      <c r="A9907" s="45" t="s">
        <v>9932</v>
      </c>
      <c r="B9907" s="46" t="s">
        <v>22860</v>
      </c>
    </row>
    <row r="9908" spans="1:2" x14ac:dyDescent="0.25">
      <c r="A9908" s="45" t="s">
        <v>9933</v>
      </c>
      <c r="B9908" s="46" t="s">
        <v>22861</v>
      </c>
    </row>
    <row r="9909" spans="1:2" x14ac:dyDescent="0.25">
      <c r="A9909" s="45" t="s">
        <v>9934</v>
      </c>
      <c r="B9909" s="46" t="s">
        <v>22862</v>
      </c>
    </row>
    <row r="9910" spans="1:2" x14ac:dyDescent="0.25">
      <c r="A9910" s="45" t="s">
        <v>9935</v>
      </c>
      <c r="B9910" s="46" t="s">
        <v>22863</v>
      </c>
    </row>
    <row r="9911" spans="1:2" x14ac:dyDescent="0.25">
      <c r="A9911" s="45" t="s">
        <v>9936</v>
      </c>
      <c r="B9911" s="46" t="s">
        <v>22864</v>
      </c>
    </row>
    <row r="9912" spans="1:2" x14ac:dyDescent="0.25">
      <c r="A9912" s="45" t="s">
        <v>9937</v>
      </c>
      <c r="B9912" s="46" t="s">
        <v>22865</v>
      </c>
    </row>
    <row r="9913" spans="1:2" x14ac:dyDescent="0.25">
      <c r="A9913" s="45" t="s">
        <v>9938</v>
      </c>
      <c r="B9913" s="46" t="s">
        <v>22866</v>
      </c>
    </row>
    <row r="9914" spans="1:2" x14ac:dyDescent="0.25">
      <c r="A9914" s="45" t="s">
        <v>9939</v>
      </c>
      <c r="B9914" s="46" t="s">
        <v>22867</v>
      </c>
    </row>
    <row r="9915" spans="1:2" x14ac:dyDescent="0.25">
      <c r="A9915" s="45" t="s">
        <v>9940</v>
      </c>
      <c r="B9915" s="46" t="s">
        <v>22868</v>
      </c>
    </row>
    <row r="9916" spans="1:2" x14ac:dyDescent="0.25">
      <c r="A9916" s="45" t="s">
        <v>9941</v>
      </c>
      <c r="B9916" s="46" t="s">
        <v>22869</v>
      </c>
    </row>
    <row r="9917" spans="1:2" x14ac:dyDescent="0.25">
      <c r="A9917" s="45" t="s">
        <v>9942</v>
      </c>
      <c r="B9917" s="46" t="s">
        <v>22870</v>
      </c>
    </row>
    <row r="9918" spans="1:2" x14ac:dyDescent="0.25">
      <c r="A9918" s="45" t="s">
        <v>9943</v>
      </c>
      <c r="B9918" s="46" t="s">
        <v>22871</v>
      </c>
    </row>
    <row r="9919" spans="1:2" x14ac:dyDescent="0.25">
      <c r="A9919" s="45" t="s">
        <v>9944</v>
      </c>
      <c r="B9919" s="46" t="s">
        <v>22872</v>
      </c>
    </row>
    <row r="9920" spans="1:2" x14ac:dyDescent="0.25">
      <c r="A9920" s="45" t="s">
        <v>9945</v>
      </c>
      <c r="B9920" s="46" t="s">
        <v>22873</v>
      </c>
    </row>
    <row r="9921" spans="1:2" x14ac:dyDescent="0.25">
      <c r="A9921" s="45" t="s">
        <v>9946</v>
      </c>
      <c r="B9921" s="46" t="s">
        <v>22874</v>
      </c>
    </row>
    <row r="9922" spans="1:2" x14ac:dyDescent="0.25">
      <c r="A9922" s="45" t="s">
        <v>9947</v>
      </c>
      <c r="B9922" s="46" t="s">
        <v>22875</v>
      </c>
    </row>
    <row r="9923" spans="1:2" x14ac:dyDescent="0.25">
      <c r="A9923" s="45" t="s">
        <v>9948</v>
      </c>
      <c r="B9923" s="46" t="s">
        <v>22876</v>
      </c>
    </row>
    <row r="9924" spans="1:2" x14ac:dyDescent="0.25">
      <c r="A9924" s="45" t="s">
        <v>9949</v>
      </c>
      <c r="B9924" s="46" t="s">
        <v>22877</v>
      </c>
    </row>
    <row r="9925" spans="1:2" x14ac:dyDescent="0.25">
      <c r="A9925" s="45" t="s">
        <v>9950</v>
      </c>
      <c r="B9925" s="46" t="s">
        <v>22878</v>
      </c>
    </row>
    <row r="9926" spans="1:2" x14ac:dyDescent="0.25">
      <c r="A9926" s="45" t="s">
        <v>9951</v>
      </c>
      <c r="B9926" s="46" t="s">
        <v>22879</v>
      </c>
    </row>
    <row r="9927" spans="1:2" x14ac:dyDescent="0.25">
      <c r="A9927" s="45" t="s">
        <v>9952</v>
      </c>
      <c r="B9927" s="46" t="s">
        <v>22880</v>
      </c>
    </row>
    <row r="9928" spans="1:2" x14ac:dyDescent="0.25">
      <c r="A9928" s="45" t="s">
        <v>9953</v>
      </c>
      <c r="B9928" s="46" t="s">
        <v>22881</v>
      </c>
    </row>
    <row r="9929" spans="1:2" x14ac:dyDescent="0.25">
      <c r="A9929" s="45" t="s">
        <v>9954</v>
      </c>
      <c r="B9929" s="46" t="s">
        <v>22882</v>
      </c>
    </row>
    <row r="9930" spans="1:2" x14ac:dyDescent="0.25">
      <c r="A9930" s="45" t="s">
        <v>9955</v>
      </c>
      <c r="B9930" s="46" t="s">
        <v>22883</v>
      </c>
    </row>
    <row r="9931" spans="1:2" x14ac:dyDescent="0.25">
      <c r="A9931" s="45" t="s">
        <v>9956</v>
      </c>
      <c r="B9931" s="46" t="s">
        <v>22884</v>
      </c>
    </row>
    <row r="9932" spans="1:2" x14ac:dyDescent="0.25">
      <c r="A9932" s="45" t="s">
        <v>9957</v>
      </c>
      <c r="B9932" s="46" t="s">
        <v>22885</v>
      </c>
    </row>
    <row r="9933" spans="1:2" x14ac:dyDescent="0.25">
      <c r="A9933" s="45" t="s">
        <v>9958</v>
      </c>
      <c r="B9933" s="46" t="s">
        <v>22886</v>
      </c>
    </row>
    <row r="9934" spans="1:2" x14ac:dyDescent="0.25">
      <c r="A9934" s="45" t="s">
        <v>9959</v>
      </c>
      <c r="B9934" s="46" t="s">
        <v>22887</v>
      </c>
    </row>
    <row r="9935" spans="1:2" x14ac:dyDescent="0.25">
      <c r="A9935" s="45" t="s">
        <v>9960</v>
      </c>
      <c r="B9935" s="46" t="s">
        <v>22888</v>
      </c>
    </row>
    <row r="9936" spans="1:2" x14ac:dyDescent="0.25">
      <c r="A9936" s="45" t="s">
        <v>9961</v>
      </c>
      <c r="B9936" s="46" t="s">
        <v>22889</v>
      </c>
    </row>
    <row r="9937" spans="1:2" x14ac:dyDescent="0.25">
      <c r="A9937" s="45" t="s">
        <v>9962</v>
      </c>
      <c r="B9937" s="46" t="s">
        <v>22890</v>
      </c>
    </row>
    <row r="9938" spans="1:2" x14ac:dyDescent="0.25">
      <c r="A9938" s="45" t="s">
        <v>9963</v>
      </c>
      <c r="B9938" s="46" t="s">
        <v>22891</v>
      </c>
    </row>
    <row r="9939" spans="1:2" x14ac:dyDescent="0.25">
      <c r="A9939" s="45" t="s">
        <v>9964</v>
      </c>
      <c r="B9939" s="46" t="s">
        <v>22892</v>
      </c>
    </row>
    <row r="9940" spans="1:2" x14ac:dyDescent="0.25">
      <c r="A9940" s="45" t="s">
        <v>9965</v>
      </c>
      <c r="B9940" s="46" t="s">
        <v>22893</v>
      </c>
    </row>
    <row r="9941" spans="1:2" x14ac:dyDescent="0.25">
      <c r="A9941" s="45" t="s">
        <v>9966</v>
      </c>
      <c r="B9941" s="46" t="s">
        <v>22894</v>
      </c>
    </row>
    <row r="9942" spans="1:2" x14ac:dyDescent="0.25">
      <c r="A9942" s="45" t="s">
        <v>9967</v>
      </c>
      <c r="B9942" s="46" t="s">
        <v>22895</v>
      </c>
    </row>
    <row r="9943" spans="1:2" x14ac:dyDescent="0.25">
      <c r="A9943" s="45" t="s">
        <v>9968</v>
      </c>
      <c r="B9943" s="46" t="s">
        <v>22896</v>
      </c>
    </row>
    <row r="9944" spans="1:2" x14ac:dyDescent="0.25">
      <c r="A9944" s="45" t="s">
        <v>9969</v>
      </c>
      <c r="B9944" s="46" t="s">
        <v>22897</v>
      </c>
    </row>
    <row r="9945" spans="1:2" x14ac:dyDescent="0.25">
      <c r="A9945" s="45" t="s">
        <v>9970</v>
      </c>
      <c r="B9945" s="46" t="s">
        <v>22898</v>
      </c>
    </row>
    <row r="9946" spans="1:2" x14ac:dyDescent="0.25">
      <c r="A9946" s="45" t="s">
        <v>9971</v>
      </c>
      <c r="B9946" s="46" t="s">
        <v>22899</v>
      </c>
    </row>
    <row r="9947" spans="1:2" x14ac:dyDescent="0.25">
      <c r="A9947" s="45" t="s">
        <v>9972</v>
      </c>
      <c r="B9947" s="46" t="s">
        <v>22900</v>
      </c>
    </row>
    <row r="9948" spans="1:2" x14ac:dyDescent="0.25">
      <c r="A9948" s="45" t="s">
        <v>9973</v>
      </c>
      <c r="B9948" s="46" t="s">
        <v>22901</v>
      </c>
    </row>
    <row r="9949" spans="1:2" x14ac:dyDescent="0.25">
      <c r="A9949" s="45" t="s">
        <v>9974</v>
      </c>
      <c r="B9949" s="46" t="s">
        <v>22902</v>
      </c>
    </row>
    <row r="9950" spans="1:2" x14ac:dyDescent="0.25">
      <c r="A9950" s="45" t="s">
        <v>9975</v>
      </c>
      <c r="B9950" s="46" t="s">
        <v>22903</v>
      </c>
    </row>
    <row r="9951" spans="1:2" x14ac:dyDescent="0.25">
      <c r="A9951" s="45" t="s">
        <v>9976</v>
      </c>
      <c r="B9951" s="46" t="s">
        <v>22904</v>
      </c>
    </row>
    <row r="9952" spans="1:2" x14ac:dyDescent="0.25">
      <c r="A9952" s="45" t="s">
        <v>9977</v>
      </c>
      <c r="B9952" s="46" t="s">
        <v>22905</v>
      </c>
    </row>
    <row r="9953" spans="1:2" x14ac:dyDescent="0.25">
      <c r="A9953" s="45" t="s">
        <v>9978</v>
      </c>
      <c r="B9953" s="46" t="s">
        <v>22906</v>
      </c>
    </row>
    <row r="9954" spans="1:2" x14ac:dyDescent="0.25">
      <c r="A9954" s="45" t="s">
        <v>9979</v>
      </c>
      <c r="B9954" s="46" t="s">
        <v>22907</v>
      </c>
    </row>
    <row r="9955" spans="1:2" x14ac:dyDescent="0.25">
      <c r="A9955" s="45" t="s">
        <v>9980</v>
      </c>
      <c r="B9955" s="46" t="s">
        <v>22908</v>
      </c>
    </row>
    <row r="9956" spans="1:2" x14ac:dyDescent="0.25">
      <c r="A9956" s="45" t="s">
        <v>9981</v>
      </c>
      <c r="B9956" s="46" t="s">
        <v>22909</v>
      </c>
    </row>
    <row r="9957" spans="1:2" x14ac:dyDescent="0.25">
      <c r="A9957" s="45" t="s">
        <v>9982</v>
      </c>
      <c r="B9957" s="46" t="s">
        <v>22910</v>
      </c>
    </row>
    <row r="9958" spans="1:2" x14ac:dyDescent="0.25">
      <c r="A9958" s="45" t="s">
        <v>9983</v>
      </c>
      <c r="B9958" s="46" t="s">
        <v>22911</v>
      </c>
    </row>
    <row r="9959" spans="1:2" x14ac:dyDescent="0.25">
      <c r="A9959" s="45" t="s">
        <v>9984</v>
      </c>
      <c r="B9959" s="46" t="s">
        <v>22912</v>
      </c>
    </row>
    <row r="9960" spans="1:2" x14ac:dyDescent="0.25">
      <c r="A9960" s="45" t="s">
        <v>9985</v>
      </c>
      <c r="B9960" s="46" t="s">
        <v>22913</v>
      </c>
    </row>
    <row r="9961" spans="1:2" x14ac:dyDescent="0.25">
      <c r="A9961" s="45" t="s">
        <v>9986</v>
      </c>
      <c r="B9961" s="46" t="s">
        <v>22914</v>
      </c>
    </row>
    <row r="9962" spans="1:2" x14ac:dyDescent="0.25">
      <c r="A9962" s="45" t="s">
        <v>9987</v>
      </c>
      <c r="B9962" s="46" t="s">
        <v>22915</v>
      </c>
    </row>
    <row r="9963" spans="1:2" x14ac:dyDescent="0.25">
      <c r="A9963" s="45" t="s">
        <v>9988</v>
      </c>
      <c r="B9963" s="46" t="s">
        <v>22916</v>
      </c>
    </row>
    <row r="9964" spans="1:2" x14ac:dyDescent="0.25">
      <c r="A9964" s="45" t="s">
        <v>9989</v>
      </c>
      <c r="B9964" s="46" t="s">
        <v>22917</v>
      </c>
    </row>
    <row r="9965" spans="1:2" x14ac:dyDescent="0.25">
      <c r="A9965" s="45" t="s">
        <v>9990</v>
      </c>
      <c r="B9965" s="46" t="s">
        <v>22918</v>
      </c>
    </row>
    <row r="9966" spans="1:2" x14ac:dyDescent="0.25">
      <c r="A9966" s="45" t="s">
        <v>9991</v>
      </c>
      <c r="B9966" s="46" t="s">
        <v>22919</v>
      </c>
    </row>
    <row r="9967" spans="1:2" x14ac:dyDescent="0.25">
      <c r="A9967" s="45" t="s">
        <v>9992</v>
      </c>
      <c r="B9967" s="46" t="s">
        <v>22920</v>
      </c>
    </row>
    <row r="9968" spans="1:2" x14ac:dyDescent="0.25">
      <c r="A9968" s="45" t="s">
        <v>9993</v>
      </c>
      <c r="B9968" s="46" t="s">
        <v>22921</v>
      </c>
    </row>
    <row r="9969" spans="1:2" x14ac:dyDescent="0.25">
      <c r="A9969" s="45" t="s">
        <v>9994</v>
      </c>
      <c r="B9969" s="46" t="s">
        <v>22922</v>
      </c>
    </row>
    <row r="9970" spans="1:2" x14ac:dyDescent="0.25">
      <c r="A9970" s="45" t="s">
        <v>9995</v>
      </c>
      <c r="B9970" s="46" t="s">
        <v>22923</v>
      </c>
    </row>
    <row r="9971" spans="1:2" x14ac:dyDescent="0.25">
      <c r="A9971" s="45" t="s">
        <v>9996</v>
      </c>
      <c r="B9971" s="46" t="s">
        <v>22924</v>
      </c>
    </row>
    <row r="9972" spans="1:2" x14ac:dyDescent="0.25">
      <c r="A9972" s="45" t="s">
        <v>9997</v>
      </c>
      <c r="B9972" s="46" t="s">
        <v>22925</v>
      </c>
    </row>
    <row r="9973" spans="1:2" x14ac:dyDescent="0.25">
      <c r="A9973" s="45" t="s">
        <v>9998</v>
      </c>
      <c r="B9973" s="46" t="s">
        <v>22926</v>
      </c>
    </row>
    <row r="9974" spans="1:2" x14ac:dyDescent="0.25">
      <c r="A9974" s="45" t="s">
        <v>9999</v>
      </c>
      <c r="B9974" s="46" t="s">
        <v>22927</v>
      </c>
    </row>
    <row r="9975" spans="1:2" x14ac:dyDescent="0.25">
      <c r="A9975" s="45" t="s">
        <v>10000</v>
      </c>
      <c r="B9975" s="46" t="s">
        <v>22928</v>
      </c>
    </row>
    <row r="9976" spans="1:2" x14ac:dyDescent="0.25">
      <c r="A9976" s="45" t="s">
        <v>10001</v>
      </c>
      <c r="B9976" s="46" t="s">
        <v>22929</v>
      </c>
    </row>
    <row r="9977" spans="1:2" x14ac:dyDescent="0.25">
      <c r="A9977" s="45" t="s">
        <v>10002</v>
      </c>
      <c r="B9977" s="46" t="s">
        <v>22930</v>
      </c>
    </row>
    <row r="9978" spans="1:2" x14ac:dyDescent="0.25">
      <c r="A9978" s="45" t="s">
        <v>10003</v>
      </c>
      <c r="B9978" s="46" t="s">
        <v>22931</v>
      </c>
    </row>
    <row r="9979" spans="1:2" x14ac:dyDescent="0.25">
      <c r="A9979" s="45" t="s">
        <v>10004</v>
      </c>
      <c r="B9979" s="46" t="s">
        <v>22932</v>
      </c>
    </row>
    <row r="9980" spans="1:2" x14ac:dyDescent="0.25">
      <c r="A9980" s="45" t="s">
        <v>10005</v>
      </c>
      <c r="B9980" s="46" t="s">
        <v>22933</v>
      </c>
    </row>
    <row r="9981" spans="1:2" x14ac:dyDescent="0.25">
      <c r="A9981" s="45" t="s">
        <v>10006</v>
      </c>
      <c r="B9981" s="46" t="s">
        <v>22934</v>
      </c>
    </row>
    <row r="9982" spans="1:2" x14ac:dyDescent="0.25">
      <c r="A9982" s="45" t="s">
        <v>10007</v>
      </c>
      <c r="B9982" s="46" t="s">
        <v>22935</v>
      </c>
    </row>
    <row r="9983" spans="1:2" x14ac:dyDescent="0.25">
      <c r="A9983" s="45" t="s">
        <v>10008</v>
      </c>
      <c r="B9983" s="46" t="s">
        <v>22936</v>
      </c>
    </row>
    <row r="9984" spans="1:2" x14ac:dyDescent="0.25">
      <c r="A9984" s="45" t="s">
        <v>10009</v>
      </c>
      <c r="B9984" s="46" t="s">
        <v>22937</v>
      </c>
    </row>
    <row r="9985" spans="1:2" x14ac:dyDescent="0.25">
      <c r="A9985" s="45" t="s">
        <v>10010</v>
      </c>
      <c r="B9985" s="46" t="s">
        <v>22938</v>
      </c>
    </row>
    <row r="9986" spans="1:2" x14ac:dyDescent="0.25">
      <c r="A9986" s="45" t="s">
        <v>10011</v>
      </c>
      <c r="B9986" s="46" t="s">
        <v>22939</v>
      </c>
    </row>
    <row r="9987" spans="1:2" x14ac:dyDescent="0.25">
      <c r="A9987" s="45" t="s">
        <v>10012</v>
      </c>
      <c r="B9987" s="46" t="s">
        <v>22940</v>
      </c>
    </row>
    <row r="9988" spans="1:2" x14ac:dyDescent="0.25">
      <c r="A9988" s="45" t="s">
        <v>10013</v>
      </c>
      <c r="B9988" s="46" t="s">
        <v>22941</v>
      </c>
    </row>
    <row r="9989" spans="1:2" x14ac:dyDescent="0.25">
      <c r="A9989" s="45" t="s">
        <v>10014</v>
      </c>
      <c r="B9989" s="46" t="s">
        <v>22942</v>
      </c>
    </row>
    <row r="9990" spans="1:2" x14ac:dyDescent="0.25">
      <c r="A9990" s="45" t="s">
        <v>10015</v>
      </c>
      <c r="B9990" s="46" t="s">
        <v>22943</v>
      </c>
    </row>
    <row r="9991" spans="1:2" x14ac:dyDescent="0.25">
      <c r="A9991" s="45" t="s">
        <v>10016</v>
      </c>
      <c r="B9991" s="46" t="s">
        <v>22944</v>
      </c>
    </row>
    <row r="9992" spans="1:2" x14ac:dyDescent="0.25">
      <c r="A9992" s="45" t="s">
        <v>10017</v>
      </c>
      <c r="B9992" s="46" t="s">
        <v>22945</v>
      </c>
    </row>
    <row r="9993" spans="1:2" x14ac:dyDescent="0.25">
      <c r="A9993" s="45" t="s">
        <v>10018</v>
      </c>
      <c r="B9993" s="46" t="s">
        <v>22946</v>
      </c>
    </row>
    <row r="9994" spans="1:2" x14ac:dyDescent="0.25">
      <c r="A9994" s="45" t="s">
        <v>10019</v>
      </c>
      <c r="B9994" s="46" t="s">
        <v>22947</v>
      </c>
    </row>
    <row r="9995" spans="1:2" x14ac:dyDescent="0.25">
      <c r="A9995" s="45" t="s">
        <v>10020</v>
      </c>
      <c r="B9995" s="46" t="s">
        <v>22948</v>
      </c>
    </row>
    <row r="9996" spans="1:2" x14ac:dyDescent="0.25">
      <c r="A9996" s="45" t="s">
        <v>10021</v>
      </c>
      <c r="B9996" s="46" t="s">
        <v>22949</v>
      </c>
    </row>
    <row r="9997" spans="1:2" x14ac:dyDescent="0.25">
      <c r="A9997" s="45" t="s">
        <v>10022</v>
      </c>
      <c r="B9997" s="46" t="s">
        <v>22950</v>
      </c>
    </row>
    <row r="9998" spans="1:2" x14ac:dyDescent="0.25">
      <c r="A9998" s="45" t="s">
        <v>10023</v>
      </c>
      <c r="B9998" s="46" t="s">
        <v>22951</v>
      </c>
    </row>
    <row r="9999" spans="1:2" x14ac:dyDescent="0.25">
      <c r="A9999" s="45" t="s">
        <v>10024</v>
      </c>
      <c r="B9999" s="46" t="s">
        <v>22952</v>
      </c>
    </row>
    <row r="10000" spans="1:2" x14ac:dyDescent="0.25">
      <c r="A10000" s="45" t="s">
        <v>10025</v>
      </c>
      <c r="B10000" s="46" t="s">
        <v>22953</v>
      </c>
    </row>
    <row r="10001" spans="1:2" x14ac:dyDescent="0.25">
      <c r="A10001" s="45" t="s">
        <v>10026</v>
      </c>
      <c r="B10001" s="46" t="s">
        <v>22954</v>
      </c>
    </row>
    <row r="10002" spans="1:2" x14ac:dyDescent="0.25">
      <c r="A10002" s="45" t="s">
        <v>10027</v>
      </c>
      <c r="B10002" s="46" t="s">
        <v>22955</v>
      </c>
    </row>
    <row r="10003" spans="1:2" x14ac:dyDescent="0.25">
      <c r="A10003" s="45" t="s">
        <v>10028</v>
      </c>
      <c r="B10003" s="46" t="s">
        <v>22956</v>
      </c>
    </row>
    <row r="10004" spans="1:2" x14ac:dyDescent="0.25">
      <c r="A10004" s="45" t="s">
        <v>10029</v>
      </c>
      <c r="B10004" s="46" t="s">
        <v>22957</v>
      </c>
    </row>
    <row r="10005" spans="1:2" x14ac:dyDescent="0.25">
      <c r="A10005" s="45" t="s">
        <v>10030</v>
      </c>
      <c r="B10005" s="46" t="s">
        <v>22958</v>
      </c>
    </row>
    <row r="10006" spans="1:2" x14ac:dyDescent="0.25">
      <c r="A10006" s="45" t="s">
        <v>10031</v>
      </c>
      <c r="B10006" s="46" t="s">
        <v>22959</v>
      </c>
    </row>
    <row r="10007" spans="1:2" x14ac:dyDescent="0.25">
      <c r="A10007" s="45" t="s">
        <v>10032</v>
      </c>
      <c r="B10007" s="46" t="s">
        <v>22960</v>
      </c>
    </row>
    <row r="10008" spans="1:2" x14ac:dyDescent="0.25">
      <c r="A10008" s="45" t="s">
        <v>10033</v>
      </c>
      <c r="B10008" s="46" t="s">
        <v>22961</v>
      </c>
    </row>
    <row r="10009" spans="1:2" x14ac:dyDescent="0.25">
      <c r="A10009" s="45" t="s">
        <v>10034</v>
      </c>
      <c r="B10009" s="46" t="s">
        <v>22962</v>
      </c>
    </row>
    <row r="10010" spans="1:2" x14ac:dyDescent="0.25">
      <c r="A10010" s="45" t="s">
        <v>10035</v>
      </c>
      <c r="B10010" s="46" t="s">
        <v>22963</v>
      </c>
    </row>
    <row r="10011" spans="1:2" x14ac:dyDescent="0.25">
      <c r="A10011" s="45" t="s">
        <v>10036</v>
      </c>
      <c r="B10011" s="46" t="s">
        <v>22964</v>
      </c>
    </row>
    <row r="10012" spans="1:2" x14ac:dyDescent="0.25">
      <c r="A10012" s="45" t="s">
        <v>10037</v>
      </c>
      <c r="B10012" s="46" t="s">
        <v>22965</v>
      </c>
    </row>
    <row r="10013" spans="1:2" x14ac:dyDescent="0.25">
      <c r="A10013" s="45" t="s">
        <v>10038</v>
      </c>
      <c r="B10013" s="46" t="s">
        <v>22966</v>
      </c>
    </row>
    <row r="10014" spans="1:2" x14ac:dyDescent="0.25">
      <c r="A10014" s="45" t="s">
        <v>10039</v>
      </c>
      <c r="B10014" s="46" t="s">
        <v>22967</v>
      </c>
    </row>
    <row r="10015" spans="1:2" x14ac:dyDescent="0.25">
      <c r="A10015" s="45" t="s">
        <v>10040</v>
      </c>
      <c r="B10015" s="46" t="s">
        <v>22968</v>
      </c>
    </row>
    <row r="10016" spans="1:2" x14ac:dyDescent="0.25">
      <c r="A10016" s="45" t="s">
        <v>10041</v>
      </c>
      <c r="B10016" s="46" t="s">
        <v>22969</v>
      </c>
    </row>
    <row r="10017" spans="1:2" x14ac:dyDescent="0.25">
      <c r="A10017" s="45" t="s">
        <v>10042</v>
      </c>
      <c r="B10017" s="46" t="s">
        <v>22970</v>
      </c>
    </row>
    <row r="10018" spans="1:2" x14ac:dyDescent="0.25">
      <c r="A10018" s="45" t="s">
        <v>10043</v>
      </c>
      <c r="B10018" s="46" t="s">
        <v>22971</v>
      </c>
    </row>
    <row r="10019" spans="1:2" x14ac:dyDescent="0.25">
      <c r="A10019" s="45" t="s">
        <v>10044</v>
      </c>
      <c r="B10019" s="46" t="s">
        <v>22972</v>
      </c>
    </row>
    <row r="10020" spans="1:2" x14ac:dyDescent="0.25">
      <c r="A10020" s="45" t="s">
        <v>10045</v>
      </c>
      <c r="B10020" s="46" t="s">
        <v>22973</v>
      </c>
    </row>
    <row r="10021" spans="1:2" x14ac:dyDescent="0.25">
      <c r="A10021" s="45" t="s">
        <v>10046</v>
      </c>
      <c r="B10021" s="46" t="s">
        <v>22974</v>
      </c>
    </row>
    <row r="10022" spans="1:2" x14ac:dyDescent="0.25">
      <c r="A10022" s="45" t="s">
        <v>10047</v>
      </c>
      <c r="B10022" s="46" t="s">
        <v>22975</v>
      </c>
    </row>
    <row r="10023" spans="1:2" x14ac:dyDescent="0.25">
      <c r="A10023" s="45" t="s">
        <v>10048</v>
      </c>
      <c r="B10023" s="46" t="s">
        <v>22976</v>
      </c>
    </row>
    <row r="10024" spans="1:2" x14ac:dyDescent="0.25">
      <c r="A10024" s="45" t="s">
        <v>10049</v>
      </c>
      <c r="B10024" s="46" t="s">
        <v>22977</v>
      </c>
    </row>
    <row r="10025" spans="1:2" x14ac:dyDescent="0.25">
      <c r="A10025" s="45" t="s">
        <v>10050</v>
      </c>
      <c r="B10025" s="46" t="s">
        <v>22978</v>
      </c>
    </row>
    <row r="10026" spans="1:2" x14ac:dyDescent="0.25">
      <c r="A10026" s="45" t="s">
        <v>10051</v>
      </c>
      <c r="B10026" s="46" t="s">
        <v>22979</v>
      </c>
    </row>
    <row r="10027" spans="1:2" x14ac:dyDescent="0.25">
      <c r="A10027" s="45" t="s">
        <v>10052</v>
      </c>
      <c r="B10027" s="46" t="s">
        <v>22980</v>
      </c>
    </row>
    <row r="10028" spans="1:2" x14ac:dyDescent="0.25">
      <c r="A10028" s="45" t="s">
        <v>10053</v>
      </c>
      <c r="B10028" s="46" t="s">
        <v>22981</v>
      </c>
    </row>
    <row r="10029" spans="1:2" x14ac:dyDescent="0.25">
      <c r="A10029" s="45" t="s">
        <v>10054</v>
      </c>
      <c r="B10029" s="46" t="s">
        <v>22982</v>
      </c>
    </row>
    <row r="10030" spans="1:2" x14ac:dyDescent="0.25">
      <c r="A10030" s="45" t="s">
        <v>10055</v>
      </c>
      <c r="B10030" s="46" t="s">
        <v>22983</v>
      </c>
    </row>
    <row r="10031" spans="1:2" x14ac:dyDescent="0.25">
      <c r="A10031" s="45" t="s">
        <v>10056</v>
      </c>
      <c r="B10031" s="46" t="s">
        <v>22984</v>
      </c>
    </row>
    <row r="10032" spans="1:2" x14ac:dyDescent="0.25">
      <c r="A10032" s="45" t="s">
        <v>10057</v>
      </c>
      <c r="B10032" s="46" t="s">
        <v>22985</v>
      </c>
    </row>
    <row r="10033" spans="1:2" x14ac:dyDescent="0.25">
      <c r="A10033" s="45" t="s">
        <v>10058</v>
      </c>
      <c r="B10033" s="46" t="s">
        <v>22986</v>
      </c>
    </row>
    <row r="10034" spans="1:2" x14ac:dyDescent="0.25">
      <c r="A10034" s="45" t="s">
        <v>10059</v>
      </c>
      <c r="B10034" s="46" t="s">
        <v>22987</v>
      </c>
    </row>
    <row r="10035" spans="1:2" x14ac:dyDescent="0.25">
      <c r="A10035" s="45" t="s">
        <v>10060</v>
      </c>
      <c r="B10035" s="46" t="s">
        <v>22988</v>
      </c>
    </row>
    <row r="10036" spans="1:2" x14ac:dyDescent="0.25">
      <c r="A10036" s="45" t="s">
        <v>10061</v>
      </c>
      <c r="B10036" s="46" t="s">
        <v>22989</v>
      </c>
    </row>
    <row r="10037" spans="1:2" x14ac:dyDescent="0.25">
      <c r="A10037" s="45" t="s">
        <v>10062</v>
      </c>
      <c r="B10037" s="46" t="s">
        <v>22990</v>
      </c>
    </row>
    <row r="10038" spans="1:2" x14ac:dyDescent="0.25">
      <c r="A10038" s="45" t="s">
        <v>10063</v>
      </c>
      <c r="B10038" s="46" t="s">
        <v>22991</v>
      </c>
    </row>
    <row r="10039" spans="1:2" x14ac:dyDescent="0.25">
      <c r="A10039" s="45" t="s">
        <v>10064</v>
      </c>
      <c r="B10039" s="46" t="s">
        <v>22992</v>
      </c>
    </row>
    <row r="10040" spans="1:2" x14ac:dyDescent="0.25">
      <c r="A10040" s="45" t="s">
        <v>10065</v>
      </c>
      <c r="B10040" s="46" t="s">
        <v>22993</v>
      </c>
    </row>
    <row r="10041" spans="1:2" x14ac:dyDescent="0.25">
      <c r="A10041" s="45" t="s">
        <v>10066</v>
      </c>
      <c r="B10041" s="46" t="s">
        <v>22994</v>
      </c>
    </row>
    <row r="10042" spans="1:2" x14ac:dyDescent="0.25">
      <c r="A10042" s="45" t="s">
        <v>10067</v>
      </c>
      <c r="B10042" s="46" t="s">
        <v>22995</v>
      </c>
    </row>
    <row r="10043" spans="1:2" x14ac:dyDescent="0.25">
      <c r="A10043" s="45" t="s">
        <v>10068</v>
      </c>
      <c r="B10043" s="46" t="s">
        <v>22996</v>
      </c>
    </row>
    <row r="10044" spans="1:2" x14ac:dyDescent="0.25">
      <c r="A10044" s="45" t="s">
        <v>10069</v>
      </c>
      <c r="B10044" s="46" t="s">
        <v>22997</v>
      </c>
    </row>
    <row r="10045" spans="1:2" x14ac:dyDescent="0.25">
      <c r="A10045" s="45" t="s">
        <v>10070</v>
      </c>
      <c r="B10045" s="46" t="s">
        <v>22998</v>
      </c>
    </row>
    <row r="10046" spans="1:2" x14ac:dyDescent="0.25">
      <c r="A10046" s="45" t="s">
        <v>10071</v>
      </c>
      <c r="B10046" s="46" t="s">
        <v>22999</v>
      </c>
    </row>
    <row r="10047" spans="1:2" x14ac:dyDescent="0.25">
      <c r="A10047" s="45" t="s">
        <v>10072</v>
      </c>
      <c r="B10047" s="46" t="s">
        <v>23000</v>
      </c>
    </row>
    <row r="10048" spans="1:2" x14ac:dyDescent="0.25">
      <c r="A10048" s="45" t="s">
        <v>10073</v>
      </c>
      <c r="B10048" s="46" t="s">
        <v>23001</v>
      </c>
    </row>
    <row r="10049" spans="1:2" x14ac:dyDescent="0.25">
      <c r="A10049" s="45" t="s">
        <v>10074</v>
      </c>
      <c r="B10049" s="46" t="s">
        <v>23002</v>
      </c>
    </row>
    <row r="10050" spans="1:2" x14ac:dyDescent="0.25">
      <c r="A10050" s="45" t="s">
        <v>10075</v>
      </c>
      <c r="B10050" s="46" t="s">
        <v>23003</v>
      </c>
    </row>
    <row r="10051" spans="1:2" x14ac:dyDescent="0.25">
      <c r="A10051" s="45" t="s">
        <v>10076</v>
      </c>
      <c r="B10051" s="46" t="s">
        <v>23004</v>
      </c>
    </row>
    <row r="10052" spans="1:2" x14ac:dyDescent="0.25">
      <c r="A10052" s="45" t="s">
        <v>10077</v>
      </c>
      <c r="B10052" s="46" t="s">
        <v>23005</v>
      </c>
    </row>
    <row r="10053" spans="1:2" x14ac:dyDescent="0.25">
      <c r="A10053" s="45" t="s">
        <v>10078</v>
      </c>
      <c r="B10053" s="46" t="s">
        <v>23006</v>
      </c>
    </row>
    <row r="10054" spans="1:2" x14ac:dyDescent="0.25">
      <c r="A10054" s="45" t="s">
        <v>10079</v>
      </c>
      <c r="B10054" s="46" t="s">
        <v>23007</v>
      </c>
    </row>
    <row r="10055" spans="1:2" x14ac:dyDescent="0.25">
      <c r="A10055" s="45" t="s">
        <v>10080</v>
      </c>
      <c r="B10055" s="46" t="s">
        <v>23008</v>
      </c>
    </row>
    <row r="10056" spans="1:2" x14ac:dyDescent="0.25">
      <c r="A10056" s="45" t="s">
        <v>10081</v>
      </c>
      <c r="B10056" s="46" t="s">
        <v>23009</v>
      </c>
    </row>
    <row r="10057" spans="1:2" x14ac:dyDescent="0.25">
      <c r="A10057" s="45" t="s">
        <v>10082</v>
      </c>
      <c r="B10057" s="46" t="s">
        <v>23010</v>
      </c>
    </row>
    <row r="10058" spans="1:2" x14ac:dyDescent="0.25">
      <c r="A10058" s="45" t="s">
        <v>10083</v>
      </c>
      <c r="B10058" s="46" t="s">
        <v>23011</v>
      </c>
    </row>
    <row r="10059" spans="1:2" x14ac:dyDescent="0.25">
      <c r="A10059" s="45" t="s">
        <v>10084</v>
      </c>
      <c r="B10059" s="46" t="s">
        <v>23012</v>
      </c>
    </row>
    <row r="10060" spans="1:2" x14ac:dyDescent="0.25">
      <c r="A10060" s="45" t="s">
        <v>10085</v>
      </c>
      <c r="B10060" s="46" t="s">
        <v>23013</v>
      </c>
    </row>
    <row r="10061" spans="1:2" x14ac:dyDescent="0.25">
      <c r="A10061" s="45" t="s">
        <v>10086</v>
      </c>
      <c r="B10061" s="46" t="s">
        <v>23014</v>
      </c>
    </row>
    <row r="10062" spans="1:2" x14ac:dyDescent="0.25">
      <c r="A10062" s="45" t="s">
        <v>10087</v>
      </c>
      <c r="B10062" s="46" t="s">
        <v>23015</v>
      </c>
    </row>
    <row r="10063" spans="1:2" x14ac:dyDescent="0.25">
      <c r="A10063" s="45" t="s">
        <v>10088</v>
      </c>
      <c r="B10063" s="46" t="s">
        <v>23016</v>
      </c>
    </row>
    <row r="10064" spans="1:2" x14ac:dyDescent="0.25">
      <c r="A10064" s="45" t="s">
        <v>10089</v>
      </c>
      <c r="B10064" s="46" t="s">
        <v>23017</v>
      </c>
    </row>
    <row r="10065" spans="1:2" x14ac:dyDescent="0.25">
      <c r="A10065" s="45" t="s">
        <v>10090</v>
      </c>
      <c r="B10065" s="46" t="s">
        <v>23018</v>
      </c>
    </row>
    <row r="10066" spans="1:2" x14ac:dyDescent="0.25">
      <c r="A10066" s="45" t="s">
        <v>10091</v>
      </c>
      <c r="B10066" s="46" t="s">
        <v>23019</v>
      </c>
    </row>
    <row r="10067" spans="1:2" x14ac:dyDescent="0.25">
      <c r="A10067" s="45" t="s">
        <v>10092</v>
      </c>
      <c r="B10067" s="46" t="s">
        <v>23020</v>
      </c>
    </row>
    <row r="10068" spans="1:2" x14ac:dyDescent="0.25">
      <c r="A10068" s="45" t="s">
        <v>10093</v>
      </c>
      <c r="B10068" s="46" t="s">
        <v>23021</v>
      </c>
    </row>
    <row r="10069" spans="1:2" x14ac:dyDescent="0.25">
      <c r="A10069" s="45" t="s">
        <v>10094</v>
      </c>
      <c r="B10069" s="46" t="s">
        <v>23022</v>
      </c>
    </row>
    <row r="10070" spans="1:2" x14ac:dyDescent="0.25">
      <c r="A10070" s="45" t="s">
        <v>10095</v>
      </c>
      <c r="B10070" s="46" t="s">
        <v>23023</v>
      </c>
    </row>
    <row r="10071" spans="1:2" x14ac:dyDescent="0.25">
      <c r="A10071" s="45" t="s">
        <v>10096</v>
      </c>
      <c r="B10071" s="46" t="s">
        <v>23024</v>
      </c>
    </row>
    <row r="10072" spans="1:2" x14ac:dyDescent="0.25">
      <c r="A10072" s="45" t="s">
        <v>10097</v>
      </c>
      <c r="B10072" s="46" t="s">
        <v>23025</v>
      </c>
    </row>
    <row r="10073" spans="1:2" x14ac:dyDescent="0.25">
      <c r="A10073" s="45" t="s">
        <v>10098</v>
      </c>
      <c r="B10073" s="46" t="s">
        <v>23026</v>
      </c>
    </row>
    <row r="10074" spans="1:2" x14ac:dyDescent="0.25">
      <c r="A10074" s="45" t="s">
        <v>10099</v>
      </c>
      <c r="B10074" s="46" t="s">
        <v>23027</v>
      </c>
    </row>
    <row r="10075" spans="1:2" x14ac:dyDescent="0.25">
      <c r="A10075" s="45" t="s">
        <v>10100</v>
      </c>
      <c r="B10075" s="46" t="s">
        <v>23028</v>
      </c>
    </row>
    <row r="10076" spans="1:2" x14ac:dyDescent="0.25">
      <c r="A10076" s="45" t="s">
        <v>10101</v>
      </c>
      <c r="B10076" s="46" t="s">
        <v>23029</v>
      </c>
    </row>
    <row r="10077" spans="1:2" x14ac:dyDescent="0.25">
      <c r="A10077" s="45" t="s">
        <v>10102</v>
      </c>
      <c r="B10077" s="46" t="s">
        <v>23030</v>
      </c>
    </row>
    <row r="10078" spans="1:2" x14ac:dyDescent="0.25">
      <c r="A10078" s="45" t="s">
        <v>10103</v>
      </c>
      <c r="B10078" s="46" t="s">
        <v>23031</v>
      </c>
    </row>
    <row r="10079" spans="1:2" x14ac:dyDescent="0.25">
      <c r="A10079" s="45" t="s">
        <v>10104</v>
      </c>
      <c r="B10079" s="46" t="s">
        <v>23032</v>
      </c>
    </row>
    <row r="10080" spans="1:2" x14ac:dyDescent="0.25">
      <c r="A10080" s="45" t="s">
        <v>10105</v>
      </c>
      <c r="B10080" s="46" t="s">
        <v>23033</v>
      </c>
    </row>
    <row r="10081" spans="1:2" x14ac:dyDescent="0.25">
      <c r="A10081" s="45" t="s">
        <v>10106</v>
      </c>
      <c r="B10081" s="46" t="s">
        <v>23034</v>
      </c>
    </row>
    <row r="10082" spans="1:2" x14ac:dyDescent="0.25">
      <c r="A10082" s="45" t="s">
        <v>10107</v>
      </c>
      <c r="B10082" s="46" t="s">
        <v>23035</v>
      </c>
    </row>
    <row r="10083" spans="1:2" x14ac:dyDescent="0.25">
      <c r="A10083" s="45" t="s">
        <v>10108</v>
      </c>
      <c r="B10083" s="46" t="s">
        <v>23036</v>
      </c>
    </row>
    <row r="10084" spans="1:2" x14ac:dyDescent="0.25">
      <c r="A10084" s="45" t="s">
        <v>10109</v>
      </c>
      <c r="B10084" s="46" t="s">
        <v>23037</v>
      </c>
    </row>
    <row r="10085" spans="1:2" x14ac:dyDescent="0.25">
      <c r="A10085" s="45" t="s">
        <v>10110</v>
      </c>
      <c r="B10085" s="46" t="s">
        <v>23038</v>
      </c>
    </row>
    <row r="10086" spans="1:2" x14ac:dyDescent="0.25">
      <c r="A10086" s="45" t="s">
        <v>10111</v>
      </c>
      <c r="B10086" s="46" t="s">
        <v>23039</v>
      </c>
    </row>
    <row r="10087" spans="1:2" x14ac:dyDescent="0.25">
      <c r="A10087" s="45" t="s">
        <v>10112</v>
      </c>
      <c r="B10087" s="46" t="s">
        <v>23040</v>
      </c>
    </row>
    <row r="10088" spans="1:2" x14ac:dyDescent="0.25">
      <c r="A10088" s="45" t="s">
        <v>10113</v>
      </c>
      <c r="B10088" s="46" t="s">
        <v>23041</v>
      </c>
    </row>
    <row r="10089" spans="1:2" x14ac:dyDescent="0.25">
      <c r="A10089" s="45" t="s">
        <v>10114</v>
      </c>
      <c r="B10089" s="46" t="s">
        <v>23042</v>
      </c>
    </row>
    <row r="10090" spans="1:2" x14ac:dyDescent="0.25">
      <c r="A10090" s="45" t="s">
        <v>10115</v>
      </c>
      <c r="B10090" s="46" t="s">
        <v>23043</v>
      </c>
    </row>
    <row r="10091" spans="1:2" x14ac:dyDescent="0.25">
      <c r="A10091" s="45" t="s">
        <v>10116</v>
      </c>
      <c r="B10091" s="46" t="s">
        <v>23044</v>
      </c>
    </row>
    <row r="10092" spans="1:2" x14ac:dyDescent="0.25">
      <c r="A10092" s="45" t="s">
        <v>10117</v>
      </c>
      <c r="B10092" s="46" t="s">
        <v>23045</v>
      </c>
    </row>
    <row r="10093" spans="1:2" x14ac:dyDescent="0.25">
      <c r="A10093" s="45" t="s">
        <v>10118</v>
      </c>
      <c r="B10093" s="46" t="s">
        <v>23046</v>
      </c>
    </row>
    <row r="10094" spans="1:2" x14ac:dyDescent="0.25">
      <c r="A10094" s="45" t="s">
        <v>10119</v>
      </c>
      <c r="B10094" s="46" t="s">
        <v>23047</v>
      </c>
    </row>
    <row r="10095" spans="1:2" x14ac:dyDescent="0.25">
      <c r="A10095" s="45" t="s">
        <v>10120</v>
      </c>
      <c r="B10095" s="46" t="s">
        <v>23048</v>
      </c>
    </row>
    <row r="10096" spans="1:2" x14ac:dyDescent="0.25">
      <c r="A10096" s="45" t="s">
        <v>10121</v>
      </c>
      <c r="B10096" s="46" t="s">
        <v>23049</v>
      </c>
    </row>
    <row r="10097" spans="1:2" x14ac:dyDescent="0.25">
      <c r="A10097" s="45" t="s">
        <v>10122</v>
      </c>
      <c r="B10097" s="46" t="s">
        <v>23050</v>
      </c>
    </row>
    <row r="10098" spans="1:2" x14ac:dyDescent="0.25">
      <c r="A10098" s="45" t="s">
        <v>10123</v>
      </c>
      <c r="B10098" s="46" t="s">
        <v>23051</v>
      </c>
    </row>
    <row r="10099" spans="1:2" x14ac:dyDescent="0.25">
      <c r="A10099" s="45" t="s">
        <v>10124</v>
      </c>
      <c r="B10099" s="46" t="s">
        <v>23052</v>
      </c>
    </row>
    <row r="10100" spans="1:2" x14ac:dyDescent="0.25">
      <c r="A10100" s="45" t="s">
        <v>10125</v>
      </c>
      <c r="B10100" s="46" t="s">
        <v>23053</v>
      </c>
    </row>
    <row r="10101" spans="1:2" x14ac:dyDescent="0.25">
      <c r="A10101" s="45" t="s">
        <v>10126</v>
      </c>
      <c r="B10101" s="46" t="s">
        <v>23054</v>
      </c>
    </row>
    <row r="10102" spans="1:2" x14ac:dyDescent="0.25">
      <c r="A10102" s="45" t="s">
        <v>10127</v>
      </c>
      <c r="B10102" s="46" t="s">
        <v>23055</v>
      </c>
    </row>
    <row r="10103" spans="1:2" x14ac:dyDescent="0.25">
      <c r="A10103" s="45" t="s">
        <v>10128</v>
      </c>
      <c r="B10103" s="46" t="s">
        <v>23056</v>
      </c>
    </row>
    <row r="10104" spans="1:2" x14ac:dyDescent="0.25">
      <c r="A10104" s="45" t="s">
        <v>10129</v>
      </c>
      <c r="B10104" s="46" t="s">
        <v>23057</v>
      </c>
    </row>
    <row r="10105" spans="1:2" x14ac:dyDescent="0.25">
      <c r="A10105" s="45" t="s">
        <v>10130</v>
      </c>
      <c r="B10105" s="46" t="s">
        <v>23058</v>
      </c>
    </row>
    <row r="10106" spans="1:2" x14ac:dyDescent="0.25">
      <c r="A10106" s="45" t="s">
        <v>10131</v>
      </c>
      <c r="B10106" s="46" t="s">
        <v>23059</v>
      </c>
    </row>
    <row r="10107" spans="1:2" x14ac:dyDescent="0.25">
      <c r="A10107" s="45" t="s">
        <v>10132</v>
      </c>
      <c r="B10107" s="46" t="s">
        <v>23060</v>
      </c>
    </row>
    <row r="10108" spans="1:2" x14ac:dyDescent="0.25">
      <c r="A10108" s="45" t="s">
        <v>10133</v>
      </c>
      <c r="B10108" s="46" t="s">
        <v>23061</v>
      </c>
    </row>
    <row r="10109" spans="1:2" x14ac:dyDescent="0.25">
      <c r="A10109" s="45" t="s">
        <v>10134</v>
      </c>
      <c r="B10109" s="46" t="s">
        <v>23062</v>
      </c>
    </row>
    <row r="10110" spans="1:2" x14ac:dyDescent="0.25">
      <c r="A10110" s="45" t="s">
        <v>10135</v>
      </c>
      <c r="B10110" s="46" t="s">
        <v>23063</v>
      </c>
    </row>
    <row r="10111" spans="1:2" x14ac:dyDescent="0.25">
      <c r="A10111" s="45" t="s">
        <v>10136</v>
      </c>
      <c r="B10111" s="46" t="s">
        <v>23064</v>
      </c>
    </row>
    <row r="10112" spans="1:2" x14ac:dyDescent="0.25">
      <c r="A10112" s="45" t="s">
        <v>10137</v>
      </c>
      <c r="B10112" s="46" t="s">
        <v>23065</v>
      </c>
    </row>
    <row r="10113" spans="1:2" x14ac:dyDescent="0.25">
      <c r="A10113" s="45" t="s">
        <v>10138</v>
      </c>
      <c r="B10113" s="46" t="s">
        <v>23066</v>
      </c>
    </row>
    <row r="10114" spans="1:2" x14ac:dyDescent="0.25">
      <c r="A10114" s="45" t="s">
        <v>10139</v>
      </c>
      <c r="B10114" s="46" t="s">
        <v>23067</v>
      </c>
    </row>
    <row r="10115" spans="1:2" x14ac:dyDescent="0.25">
      <c r="A10115" s="45" t="s">
        <v>10140</v>
      </c>
      <c r="B10115" s="46" t="s">
        <v>23068</v>
      </c>
    </row>
    <row r="10116" spans="1:2" x14ac:dyDescent="0.25">
      <c r="A10116" s="45" t="s">
        <v>10141</v>
      </c>
      <c r="B10116" s="46" t="s">
        <v>23069</v>
      </c>
    </row>
    <row r="10117" spans="1:2" x14ac:dyDescent="0.25">
      <c r="A10117" s="45" t="s">
        <v>10142</v>
      </c>
      <c r="B10117" s="46" t="s">
        <v>23070</v>
      </c>
    </row>
    <row r="10118" spans="1:2" x14ac:dyDescent="0.25">
      <c r="A10118" s="45" t="s">
        <v>10143</v>
      </c>
      <c r="B10118" s="46" t="s">
        <v>23071</v>
      </c>
    </row>
    <row r="10119" spans="1:2" x14ac:dyDescent="0.25">
      <c r="A10119" s="45" t="s">
        <v>10144</v>
      </c>
      <c r="B10119" s="46" t="s">
        <v>23072</v>
      </c>
    </row>
    <row r="10120" spans="1:2" x14ac:dyDescent="0.25">
      <c r="A10120" s="45" t="s">
        <v>10145</v>
      </c>
      <c r="B10120" s="46" t="s">
        <v>23073</v>
      </c>
    </row>
    <row r="10121" spans="1:2" x14ac:dyDescent="0.25">
      <c r="A10121" s="45" t="s">
        <v>10146</v>
      </c>
      <c r="B10121" s="46" t="s">
        <v>23074</v>
      </c>
    </row>
    <row r="10122" spans="1:2" x14ac:dyDescent="0.25">
      <c r="A10122" s="45" t="s">
        <v>10147</v>
      </c>
      <c r="B10122" s="46" t="s">
        <v>23075</v>
      </c>
    </row>
    <row r="10123" spans="1:2" x14ac:dyDescent="0.25">
      <c r="A10123" s="45" t="s">
        <v>10148</v>
      </c>
      <c r="B10123" s="46" t="s">
        <v>23076</v>
      </c>
    </row>
    <row r="10124" spans="1:2" x14ac:dyDescent="0.25">
      <c r="A10124" s="45" t="s">
        <v>10149</v>
      </c>
      <c r="B10124" s="46" t="s">
        <v>23077</v>
      </c>
    </row>
    <row r="10125" spans="1:2" x14ac:dyDescent="0.25">
      <c r="A10125" s="45" t="s">
        <v>10150</v>
      </c>
      <c r="B10125" s="46" t="s">
        <v>23078</v>
      </c>
    </row>
    <row r="10126" spans="1:2" x14ac:dyDescent="0.25">
      <c r="A10126" s="45" t="s">
        <v>10151</v>
      </c>
      <c r="B10126" s="46" t="s">
        <v>23079</v>
      </c>
    </row>
    <row r="10127" spans="1:2" x14ac:dyDescent="0.25">
      <c r="A10127" s="45" t="s">
        <v>10152</v>
      </c>
      <c r="B10127" s="46" t="s">
        <v>23080</v>
      </c>
    </row>
    <row r="10128" spans="1:2" x14ac:dyDescent="0.25">
      <c r="A10128" s="45" t="s">
        <v>10153</v>
      </c>
      <c r="B10128" s="46" t="s">
        <v>23081</v>
      </c>
    </row>
    <row r="10129" spans="1:2" x14ac:dyDescent="0.25">
      <c r="A10129" s="45" t="s">
        <v>10154</v>
      </c>
      <c r="B10129" s="46" t="s">
        <v>23082</v>
      </c>
    </row>
    <row r="10130" spans="1:2" x14ac:dyDescent="0.25">
      <c r="A10130" s="45" t="s">
        <v>10155</v>
      </c>
      <c r="B10130" s="46" t="s">
        <v>23083</v>
      </c>
    </row>
    <row r="10131" spans="1:2" x14ac:dyDescent="0.25">
      <c r="A10131" s="45" t="s">
        <v>10156</v>
      </c>
      <c r="B10131" s="46" t="s">
        <v>23084</v>
      </c>
    </row>
    <row r="10132" spans="1:2" x14ac:dyDescent="0.25">
      <c r="A10132" s="45" t="s">
        <v>10157</v>
      </c>
      <c r="B10132" s="46" t="s">
        <v>23085</v>
      </c>
    </row>
    <row r="10133" spans="1:2" x14ac:dyDescent="0.25">
      <c r="A10133" s="45" t="s">
        <v>10158</v>
      </c>
      <c r="B10133" s="46" t="s">
        <v>23086</v>
      </c>
    </row>
    <row r="10134" spans="1:2" x14ac:dyDescent="0.25">
      <c r="A10134" s="45" t="s">
        <v>10159</v>
      </c>
      <c r="B10134" s="46" t="s">
        <v>23087</v>
      </c>
    </row>
    <row r="10135" spans="1:2" x14ac:dyDescent="0.25">
      <c r="A10135" s="45" t="s">
        <v>10160</v>
      </c>
      <c r="B10135" s="46" t="s">
        <v>23088</v>
      </c>
    </row>
    <row r="10136" spans="1:2" x14ac:dyDescent="0.25">
      <c r="A10136" s="45" t="s">
        <v>10161</v>
      </c>
      <c r="B10136" s="46" t="s">
        <v>23089</v>
      </c>
    </row>
    <row r="10137" spans="1:2" x14ac:dyDescent="0.25">
      <c r="A10137" s="45" t="s">
        <v>10162</v>
      </c>
      <c r="B10137" s="46" t="s">
        <v>23090</v>
      </c>
    </row>
    <row r="10138" spans="1:2" x14ac:dyDescent="0.25">
      <c r="A10138" s="45" t="s">
        <v>10163</v>
      </c>
      <c r="B10138" s="46" t="s">
        <v>23091</v>
      </c>
    </row>
    <row r="10139" spans="1:2" x14ac:dyDescent="0.25">
      <c r="A10139" s="45" t="s">
        <v>10164</v>
      </c>
      <c r="B10139" s="46" t="s">
        <v>23092</v>
      </c>
    </row>
    <row r="10140" spans="1:2" x14ac:dyDescent="0.25">
      <c r="A10140" s="45" t="s">
        <v>10165</v>
      </c>
      <c r="B10140" s="46" t="s">
        <v>23093</v>
      </c>
    </row>
    <row r="10141" spans="1:2" x14ac:dyDescent="0.25">
      <c r="A10141" s="45" t="s">
        <v>10166</v>
      </c>
      <c r="B10141" s="46" t="s">
        <v>23094</v>
      </c>
    </row>
    <row r="10142" spans="1:2" x14ac:dyDescent="0.25">
      <c r="A10142" s="45" t="s">
        <v>10167</v>
      </c>
      <c r="B10142" s="46" t="s">
        <v>23095</v>
      </c>
    </row>
    <row r="10143" spans="1:2" x14ac:dyDescent="0.25">
      <c r="A10143" s="45" t="s">
        <v>10168</v>
      </c>
      <c r="B10143" s="46" t="s">
        <v>23096</v>
      </c>
    </row>
    <row r="10144" spans="1:2" x14ac:dyDescent="0.25">
      <c r="A10144" s="45" t="s">
        <v>10169</v>
      </c>
      <c r="B10144" s="46" t="s">
        <v>23097</v>
      </c>
    </row>
    <row r="10145" spans="1:2" x14ac:dyDescent="0.25">
      <c r="A10145" s="45" t="s">
        <v>10170</v>
      </c>
      <c r="B10145" s="46" t="s">
        <v>23098</v>
      </c>
    </row>
    <row r="10146" spans="1:2" x14ac:dyDescent="0.25">
      <c r="A10146" s="45" t="s">
        <v>10171</v>
      </c>
      <c r="B10146" s="46" t="s">
        <v>23099</v>
      </c>
    </row>
    <row r="10147" spans="1:2" x14ac:dyDescent="0.25">
      <c r="A10147" s="45" t="s">
        <v>10172</v>
      </c>
      <c r="B10147" s="46" t="s">
        <v>23100</v>
      </c>
    </row>
    <row r="10148" spans="1:2" x14ac:dyDescent="0.25">
      <c r="A10148" s="45" t="s">
        <v>10173</v>
      </c>
      <c r="B10148" s="46" t="s">
        <v>23101</v>
      </c>
    </row>
    <row r="10149" spans="1:2" x14ac:dyDescent="0.25">
      <c r="A10149" s="45" t="s">
        <v>10174</v>
      </c>
      <c r="B10149" s="46" t="s">
        <v>23102</v>
      </c>
    </row>
    <row r="10150" spans="1:2" x14ac:dyDescent="0.25">
      <c r="A10150" s="45" t="s">
        <v>10175</v>
      </c>
      <c r="B10150" s="46" t="s">
        <v>23103</v>
      </c>
    </row>
    <row r="10151" spans="1:2" x14ac:dyDescent="0.25">
      <c r="A10151" s="45" t="s">
        <v>10176</v>
      </c>
      <c r="B10151" s="46" t="s">
        <v>23104</v>
      </c>
    </row>
    <row r="10152" spans="1:2" x14ac:dyDescent="0.25">
      <c r="A10152" s="45" t="s">
        <v>10177</v>
      </c>
      <c r="B10152" s="46" t="s">
        <v>23105</v>
      </c>
    </row>
    <row r="10153" spans="1:2" x14ac:dyDescent="0.25">
      <c r="A10153" s="45" t="s">
        <v>10178</v>
      </c>
      <c r="B10153" s="46" t="s">
        <v>23106</v>
      </c>
    </row>
    <row r="10154" spans="1:2" x14ac:dyDescent="0.25">
      <c r="A10154" s="45" t="s">
        <v>10179</v>
      </c>
      <c r="B10154" s="46" t="s">
        <v>23107</v>
      </c>
    </row>
    <row r="10155" spans="1:2" x14ac:dyDescent="0.25">
      <c r="A10155" s="45" t="s">
        <v>10180</v>
      </c>
      <c r="B10155" s="46" t="s">
        <v>23108</v>
      </c>
    </row>
    <row r="10156" spans="1:2" x14ac:dyDescent="0.25">
      <c r="A10156" s="45" t="s">
        <v>10181</v>
      </c>
      <c r="B10156" s="46" t="s">
        <v>23109</v>
      </c>
    </row>
    <row r="10157" spans="1:2" x14ac:dyDescent="0.25">
      <c r="A10157" s="45" t="s">
        <v>10182</v>
      </c>
      <c r="B10157" s="46" t="s">
        <v>23110</v>
      </c>
    </row>
    <row r="10158" spans="1:2" x14ac:dyDescent="0.25">
      <c r="A10158" s="45" t="s">
        <v>10183</v>
      </c>
      <c r="B10158" s="46" t="s">
        <v>23111</v>
      </c>
    </row>
    <row r="10159" spans="1:2" x14ac:dyDescent="0.25">
      <c r="A10159" s="45" t="s">
        <v>10184</v>
      </c>
      <c r="B10159" s="46" t="s">
        <v>23112</v>
      </c>
    </row>
    <row r="10160" spans="1:2" x14ac:dyDescent="0.25">
      <c r="A10160" s="45" t="s">
        <v>10185</v>
      </c>
      <c r="B10160" s="46" t="s">
        <v>23113</v>
      </c>
    </row>
    <row r="10161" spans="1:2" x14ac:dyDescent="0.25">
      <c r="A10161" s="45" t="s">
        <v>10186</v>
      </c>
      <c r="B10161" s="46" t="s">
        <v>23114</v>
      </c>
    </row>
    <row r="10162" spans="1:2" x14ac:dyDescent="0.25">
      <c r="A10162" s="45" t="s">
        <v>10187</v>
      </c>
      <c r="B10162" s="46" t="s">
        <v>23115</v>
      </c>
    </row>
    <row r="10163" spans="1:2" x14ac:dyDescent="0.25">
      <c r="A10163" s="45" t="s">
        <v>10188</v>
      </c>
      <c r="B10163" s="46" t="s">
        <v>23116</v>
      </c>
    </row>
    <row r="10164" spans="1:2" x14ac:dyDescent="0.25">
      <c r="A10164" s="45" t="s">
        <v>10189</v>
      </c>
      <c r="B10164" s="46" t="s">
        <v>23117</v>
      </c>
    </row>
    <row r="10165" spans="1:2" x14ac:dyDescent="0.25">
      <c r="A10165" s="45" t="s">
        <v>10190</v>
      </c>
      <c r="B10165" s="46" t="s">
        <v>23118</v>
      </c>
    </row>
    <row r="10166" spans="1:2" x14ac:dyDescent="0.25">
      <c r="A10166" s="45" t="s">
        <v>10191</v>
      </c>
      <c r="B10166" s="46" t="s">
        <v>23119</v>
      </c>
    </row>
    <row r="10167" spans="1:2" x14ac:dyDescent="0.25">
      <c r="A10167" s="45" t="s">
        <v>10192</v>
      </c>
      <c r="B10167" s="46" t="s">
        <v>23120</v>
      </c>
    </row>
    <row r="10168" spans="1:2" x14ac:dyDescent="0.25">
      <c r="A10168" s="45" t="s">
        <v>10193</v>
      </c>
      <c r="B10168" s="46" t="s">
        <v>23121</v>
      </c>
    </row>
    <row r="10169" spans="1:2" x14ac:dyDescent="0.25">
      <c r="A10169" s="45" t="s">
        <v>10194</v>
      </c>
      <c r="B10169" s="46" t="s">
        <v>23122</v>
      </c>
    </row>
    <row r="10170" spans="1:2" x14ac:dyDescent="0.25">
      <c r="A10170" s="45" t="s">
        <v>10195</v>
      </c>
      <c r="B10170" s="46" t="s">
        <v>23123</v>
      </c>
    </row>
    <row r="10171" spans="1:2" x14ac:dyDescent="0.25">
      <c r="A10171" s="45" t="s">
        <v>10196</v>
      </c>
      <c r="B10171" s="46" t="s">
        <v>23124</v>
      </c>
    </row>
    <row r="10172" spans="1:2" x14ac:dyDescent="0.25">
      <c r="A10172" s="45" t="s">
        <v>10197</v>
      </c>
      <c r="B10172" s="46" t="s">
        <v>23125</v>
      </c>
    </row>
    <row r="10173" spans="1:2" x14ac:dyDescent="0.25">
      <c r="A10173" s="45" t="s">
        <v>10198</v>
      </c>
      <c r="B10173" s="46" t="s">
        <v>23126</v>
      </c>
    </row>
    <row r="10174" spans="1:2" x14ac:dyDescent="0.25">
      <c r="A10174" s="45" t="s">
        <v>10199</v>
      </c>
      <c r="B10174" s="46" t="s">
        <v>23127</v>
      </c>
    </row>
    <row r="10175" spans="1:2" x14ac:dyDescent="0.25">
      <c r="A10175" s="45" t="s">
        <v>10200</v>
      </c>
      <c r="B10175" s="46" t="s">
        <v>23128</v>
      </c>
    </row>
    <row r="10176" spans="1:2" x14ac:dyDescent="0.25">
      <c r="A10176" s="45" t="s">
        <v>10201</v>
      </c>
      <c r="B10176" s="46" t="s">
        <v>23129</v>
      </c>
    </row>
    <row r="10177" spans="1:2" x14ac:dyDescent="0.25">
      <c r="A10177" s="45" t="s">
        <v>10202</v>
      </c>
      <c r="B10177" s="46" t="s">
        <v>23130</v>
      </c>
    </row>
    <row r="10178" spans="1:2" x14ac:dyDescent="0.25">
      <c r="A10178" s="45" t="s">
        <v>10203</v>
      </c>
      <c r="B10178" s="46" t="s">
        <v>23131</v>
      </c>
    </row>
    <row r="10179" spans="1:2" x14ac:dyDescent="0.25">
      <c r="A10179" s="45" t="s">
        <v>10204</v>
      </c>
      <c r="B10179" s="46" t="s">
        <v>23132</v>
      </c>
    </row>
    <row r="10180" spans="1:2" x14ac:dyDescent="0.25">
      <c r="A10180" s="45" t="s">
        <v>10205</v>
      </c>
      <c r="B10180" s="46" t="s">
        <v>23133</v>
      </c>
    </row>
    <row r="10181" spans="1:2" x14ac:dyDescent="0.25">
      <c r="A10181" s="45" t="s">
        <v>10206</v>
      </c>
      <c r="B10181" s="46" t="s">
        <v>23134</v>
      </c>
    </row>
    <row r="10182" spans="1:2" x14ac:dyDescent="0.25">
      <c r="A10182" s="45" t="s">
        <v>10207</v>
      </c>
      <c r="B10182" s="46" t="s">
        <v>23135</v>
      </c>
    </row>
    <row r="10183" spans="1:2" x14ac:dyDescent="0.25">
      <c r="A10183" s="45" t="s">
        <v>10208</v>
      </c>
      <c r="B10183" s="46" t="s">
        <v>23136</v>
      </c>
    </row>
    <row r="10184" spans="1:2" x14ac:dyDescent="0.25">
      <c r="A10184" s="45" t="s">
        <v>10209</v>
      </c>
      <c r="B10184" s="46" t="s">
        <v>23137</v>
      </c>
    </row>
    <row r="10185" spans="1:2" x14ac:dyDescent="0.25">
      <c r="A10185" s="45" t="s">
        <v>10210</v>
      </c>
      <c r="B10185" s="46" t="s">
        <v>23138</v>
      </c>
    </row>
    <row r="10186" spans="1:2" x14ac:dyDescent="0.25">
      <c r="A10186" s="45" t="s">
        <v>10211</v>
      </c>
      <c r="B10186" s="46" t="s">
        <v>23139</v>
      </c>
    </row>
    <row r="10187" spans="1:2" x14ac:dyDescent="0.25">
      <c r="A10187" s="45" t="s">
        <v>10212</v>
      </c>
      <c r="B10187" s="46" t="s">
        <v>23140</v>
      </c>
    </row>
    <row r="10188" spans="1:2" x14ac:dyDescent="0.25">
      <c r="A10188" s="45" t="s">
        <v>10213</v>
      </c>
      <c r="B10188" s="46" t="s">
        <v>23141</v>
      </c>
    </row>
    <row r="10189" spans="1:2" x14ac:dyDescent="0.25">
      <c r="A10189" s="45" t="s">
        <v>10214</v>
      </c>
      <c r="B10189" s="46" t="s">
        <v>23142</v>
      </c>
    </row>
    <row r="10190" spans="1:2" x14ac:dyDescent="0.25">
      <c r="A10190" s="45" t="s">
        <v>10215</v>
      </c>
      <c r="B10190" s="46" t="s">
        <v>23143</v>
      </c>
    </row>
    <row r="10191" spans="1:2" x14ac:dyDescent="0.25">
      <c r="A10191" s="45" t="s">
        <v>10216</v>
      </c>
      <c r="B10191" s="46" t="s">
        <v>23144</v>
      </c>
    </row>
    <row r="10192" spans="1:2" x14ac:dyDescent="0.25">
      <c r="A10192" s="45" t="s">
        <v>10217</v>
      </c>
      <c r="B10192" s="46" t="s">
        <v>23145</v>
      </c>
    </row>
    <row r="10193" spans="1:2" x14ac:dyDescent="0.25">
      <c r="A10193" s="45" t="s">
        <v>10218</v>
      </c>
      <c r="B10193" s="46" t="s">
        <v>23146</v>
      </c>
    </row>
    <row r="10194" spans="1:2" x14ac:dyDescent="0.25">
      <c r="A10194" s="45" t="s">
        <v>10219</v>
      </c>
      <c r="B10194" s="46" t="s">
        <v>23147</v>
      </c>
    </row>
    <row r="10195" spans="1:2" x14ac:dyDescent="0.25">
      <c r="A10195" s="45" t="s">
        <v>10220</v>
      </c>
      <c r="B10195" s="46" t="s">
        <v>23148</v>
      </c>
    </row>
    <row r="10196" spans="1:2" x14ac:dyDescent="0.25">
      <c r="A10196" s="45" t="s">
        <v>10221</v>
      </c>
      <c r="B10196" s="46" t="s">
        <v>23149</v>
      </c>
    </row>
    <row r="10197" spans="1:2" x14ac:dyDescent="0.25">
      <c r="A10197" s="45" t="s">
        <v>10222</v>
      </c>
      <c r="B10197" s="46" t="s">
        <v>23150</v>
      </c>
    </row>
    <row r="10198" spans="1:2" x14ac:dyDescent="0.25">
      <c r="A10198" s="45" t="s">
        <v>10223</v>
      </c>
      <c r="B10198" s="46" t="s">
        <v>23151</v>
      </c>
    </row>
    <row r="10199" spans="1:2" x14ac:dyDescent="0.25">
      <c r="A10199" s="45" t="s">
        <v>10224</v>
      </c>
      <c r="B10199" s="46" t="s">
        <v>23152</v>
      </c>
    </row>
    <row r="10200" spans="1:2" x14ac:dyDescent="0.25">
      <c r="A10200" s="45" t="s">
        <v>10225</v>
      </c>
      <c r="B10200" s="46" t="s">
        <v>23153</v>
      </c>
    </row>
    <row r="10201" spans="1:2" x14ac:dyDescent="0.25">
      <c r="A10201" s="45" t="s">
        <v>10226</v>
      </c>
      <c r="B10201" s="46" t="s">
        <v>23154</v>
      </c>
    </row>
    <row r="10202" spans="1:2" x14ac:dyDescent="0.25">
      <c r="A10202" s="45" t="s">
        <v>10227</v>
      </c>
      <c r="B10202" s="46" t="s">
        <v>23155</v>
      </c>
    </row>
    <row r="10203" spans="1:2" x14ac:dyDescent="0.25">
      <c r="A10203" s="45" t="s">
        <v>10228</v>
      </c>
      <c r="B10203" s="46" t="s">
        <v>23156</v>
      </c>
    </row>
    <row r="10204" spans="1:2" x14ac:dyDescent="0.25">
      <c r="A10204" s="45" t="s">
        <v>10229</v>
      </c>
      <c r="B10204" s="46" t="s">
        <v>23157</v>
      </c>
    </row>
    <row r="10205" spans="1:2" x14ac:dyDescent="0.25">
      <c r="A10205" s="45" t="s">
        <v>10230</v>
      </c>
      <c r="B10205" s="46" t="s">
        <v>23158</v>
      </c>
    </row>
    <row r="10206" spans="1:2" x14ac:dyDescent="0.25">
      <c r="A10206" s="45" t="s">
        <v>10231</v>
      </c>
      <c r="B10206" s="46" t="s">
        <v>23159</v>
      </c>
    </row>
    <row r="10207" spans="1:2" x14ac:dyDescent="0.25">
      <c r="A10207" s="45" t="s">
        <v>10232</v>
      </c>
      <c r="B10207" s="46" t="s">
        <v>23160</v>
      </c>
    </row>
    <row r="10208" spans="1:2" x14ac:dyDescent="0.25">
      <c r="A10208" s="45" t="s">
        <v>10233</v>
      </c>
      <c r="B10208" s="46" t="s">
        <v>23161</v>
      </c>
    </row>
    <row r="10209" spans="1:2" x14ac:dyDescent="0.25">
      <c r="A10209" s="45" t="s">
        <v>10234</v>
      </c>
      <c r="B10209" s="46" t="s">
        <v>23162</v>
      </c>
    </row>
    <row r="10210" spans="1:2" x14ac:dyDescent="0.25">
      <c r="A10210" s="45" t="s">
        <v>10235</v>
      </c>
      <c r="B10210" s="46" t="s">
        <v>23163</v>
      </c>
    </row>
    <row r="10211" spans="1:2" x14ac:dyDescent="0.25">
      <c r="A10211" s="45" t="s">
        <v>10236</v>
      </c>
      <c r="B10211" s="46" t="s">
        <v>23164</v>
      </c>
    </row>
    <row r="10212" spans="1:2" x14ac:dyDescent="0.25">
      <c r="A10212" s="45" t="s">
        <v>10237</v>
      </c>
      <c r="B10212" s="46" t="s">
        <v>23165</v>
      </c>
    </row>
    <row r="10213" spans="1:2" x14ac:dyDescent="0.25">
      <c r="A10213" s="45" t="s">
        <v>10238</v>
      </c>
      <c r="B10213" s="46" t="s">
        <v>23166</v>
      </c>
    </row>
    <row r="10214" spans="1:2" x14ac:dyDescent="0.25">
      <c r="A10214" s="45" t="s">
        <v>10239</v>
      </c>
      <c r="B10214" s="46" t="s">
        <v>23167</v>
      </c>
    </row>
    <row r="10215" spans="1:2" x14ac:dyDescent="0.25">
      <c r="A10215" s="45" t="s">
        <v>10240</v>
      </c>
      <c r="B10215" s="46" t="s">
        <v>23168</v>
      </c>
    </row>
    <row r="10216" spans="1:2" x14ac:dyDescent="0.25">
      <c r="A10216" s="45" t="s">
        <v>10241</v>
      </c>
      <c r="B10216" s="46" t="s">
        <v>23169</v>
      </c>
    </row>
    <row r="10217" spans="1:2" x14ac:dyDescent="0.25">
      <c r="A10217" s="45" t="s">
        <v>10242</v>
      </c>
      <c r="B10217" s="46" t="s">
        <v>23170</v>
      </c>
    </row>
    <row r="10218" spans="1:2" x14ac:dyDescent="0.25">
      <c r="A10218" s="45" t="s">
        <v>10243</v>
      </c>
      <c r="B10218" s="46" t="s">
        <v>23171</v>
      </c>
    </row>
    <row r="10219" spans="1:2" x14ac:dyDescent="0.25">
      <c r="A10219" s="45" t="s">
        <v>10244</v>
      </c>
      <c r="B10219" s="46" t="s">
        <v>23172</v>
      </c>
    </row>
    <row r="10220" spans="1:2" x14ac:dyDescent="0.25">
      <c r="A10220" s="45" t="s">
        <v>10245</v>
      </c>
      <c r="B10220" s="46" t="s">
        <v>23173</v>
      </c>
    </row>
    <row r="10221" spans="1:2" x14ac:dyDescent="0.25">
      <c r="A10221" s="45" t="s">
        <v>10246</v>
      </c>
      <c r="B10221" s="46" t="s">
        <v>23174</v>
      </c>
    </row>
    <row r="10222" spans="1:2" x14ac:dyDescent="0.25">
      <c r="A10222" s="45" t="s">
        <v>10247</v>
      </c>
      <c r="B10222" s="46" t="s">
        <v>23175</v>
      </c>
    </row>
    <row r="10223" spans="1:2" x14ac:dyDescent="0.25">
      <c r="A10223" s="45" t="s">
        <v>10248</v>
      </c>
      <c r="B10223" s="46" t="s">
        <v>23176</v>
      </c>
    </row>
    <row r="10224" spans="1:2" x14ac:dyDescent="0.25">
      <c r="A10224" s="45" t="s">
        <v>10249</v>
      </c>
      <c r="B10224" s="46" t="s">
        <v>23177</v>
      </c>
    </row>
    <row r="10225" spans="1:2" x14ac:dyDescent="0.25">
      <c r="A10225" s="45" t="s">
        <v>10250</v>
      </c>
      <c r="B10225" s="46" t="s">
        <v>23178</v>
      </c>
    </row>
    <row r="10226" spans="1:2" x14ac:dyDescent="0.25">
      <c r="A10226" s="45" t="s">
        <v>10251</v>
      </c>
      <c r="B10226" s="46" t="s">
        <v>23179</v>
      </c>
    </row>
    <row r="10227" spans="1:2" x14ac:dyDescent="0.25">
      <c r="A10227" s="45" t="s">
        <v>10252</v>
      </c>
      <c r="B10227" s="46" t="s">
        <v>23180</v>
      </c>
    </row>
    <row r="10228" spans="1:2" x14ac:dyDescent="0.25">
      <c r="A10228" s="45" t="s">
        <v>10253</v>
      </c>
      <c r="B10228" s="46" t="s">
        <v>23181</v>
      </c>
    </row>
    <row r="10229" spans="1:2" x14ac:dyDescent="0.25">
      <c r="A10229" s="45" t="s">
        <v>10254</v>
      </c>
      <c r="B10229" s="46" t="s">
        <v>23182</v>
      </c>
    </row>
    <row r="10230" spans="1:2" x14ac:dyDescent="0.25">
      <c r="A10230" s="45" t="s">
        <v>10255</v>
      </c>
      <c r="B10230" s="46" t="s">
        <v>23183</v>
      </c>
    </row>
    <row r="10231" spans="1:2" x14ac:dyDescent="0.25">
      <c r="A10231" s="45" t="s">
        <v>10256</v>
      </c>
      <c r="B10231" s="46" t="s">
        <v>23184</v>
      </c>
    </row>
    <row r="10232" spans="1:2" x14ac:dyDescent="0.25">
      <c r="A10232" s="45" t="s">
        <v>10257</v>
      </c>
      <c r="B10232" s="46" t="s">
        <v>23185</v>
      </c>
    </row>
    <row r="10233" spans="1:2" x14ac:dyDescent="0.25">
      <c r="A10233" s="45" t="s">
        <v>10258</v>
      </c>
      <c r="B10233" s="46" t="s">
        <v>23186</v>
      </c>
    </row>
    <row r="10234" spans="1:2" x14ac:dyDescent="0.25">
      <c r="A10234" s="45" t="s">
        <v>10259</v>
      </c>
      <c r="B10234" s="46" t="s">
        <v>23187</v>
      </c>
    </row>
    <row r="10235" spans="1:2" x14ac:dyDescent="0.25">
      <c r="A10235" s="45" t="s">
        <v>10260</v>
      </c>
      <c r="B10235" s="46" t="s">
        <v>23188</v>
      </c>
    </row>
    <row r="10236" spans="1:2" x14ac:dyDescent="0.25">
      <c r="A10236" s="45" t="s">
        <v>10261</v>
      </c>
      <c r="B10236" s="46" t="s">
        <v>23189</v>
      </c>
    </row>
    <row r="10237" spans="1:2" x14ac:dyDescent="0.25">
      <c r="A10237" s="45" t="s">
        <v>10262</v>
      </c>
      <c r="B10237" s="46" t="s">
        <v>23190</v>
      </c>
    </row>
    <row r="10238" spans="1:2" x14ac:dyDescent="0.25">
      <c r="A10238" s="45" t="s">
        <v>10263</v>
      </c>
      <c r="B10238" s="46" t="s">
        <v>23191</v>
      </c>
    </row>
    <row r="10239" spans="1:2" x14ac:dyDescent="0.25">
      <c r="A10239" s="45" t="s">
        <v>10264</v>
      </c>
      <c r="B10239" s="46" t="s">
        <v>23192</v>
      </c>
    </row>
    <row r="10240" spans="1:2" x14ac:dyDescent="0.25">
      <c r="A10240" s="45" t="s">
        <v>10265</v>
      </c>
      <c r="B10240" s="46" t="s">
        <v>23193</v>
      </c>
    </row>
    <row r="10241" spans="1:2" x14ac:dyDescent="0.25">
      <c r="A10241" s="45" t="s">
        <v>10266</v>
      </c>
      <c r="B10241" s="46" t="s">
        <v>23194</v>
      </c>
    </row>
    <row r="10242" spans="1:2" x14ac:dyDescent="0.25">
      <c r="A10242" s="45" t="s">
        <v>10267</v>
      </c>
      <c r="B10242" s="46" t="s">
        <v>23195</v>
      </c>
    </row>
    <row r="10243" spans="1:2" x14ac:dyDescent="0.25">
      <c r="A10243" s="45" t="s">
        <v>10268</v>
      </c>
      <c r="B10243" s="46" t="s">
        <v>23196</v>
      </c>
    </row>
    <row r="10244" spans="1:2" x14ac:dyDescent="0.25">
      <c r="A10244" s="45" t="s">
        <v>10269</v>
      </c>
      <c r="B10244" s="46" t="s">
        <v>23197</v>
      </c>
    </row>
    <row r="10245" spans="1:2" x14ac:dyDescent="0.25">
      <c r="A10245" s="45" t="s">
        <v>10270</v>
      </c>
      <c r="B10245" s="46" t="s">
        <v>23198</v>
      </c>
    </row>
    <row r="10246" spans="1:2" x14ac:dyDescent="0.25">
      <c r="A10246" s="45" t="s">
        <v>10271</v>
      </c>
      <c r="B10246" s="46" t="s">
        <v>23199</v>
      </c>
    </row>
    <row r="10247" spans="1:2" x14ac:dyDescent="0.25">
      <c r="A10247" s="45" t="s">
        <v>10272</v>
      </c>
      <c r="B10247" s="46" t="s">
        <v>23200</v>
      </c>
    </row>
    <row r="10248" spans="1:2" x14ac:dyDescent="0.25">
      <c r="A10248" s="45" t="s">
        <v>10273</v>
      </c>
      <c r="B10248" s="46" t="s">
        <v>23201</v>
      </c>
    </row>
    <row r="10249" spans="1:2" x14ac:dyDescent="0.25">
      <c r="A10249" s="45" t="s">
        <v>10274</v>
      </c>
      <c r="B10249" s="46" t="s">
        <v>23202</v>
      </c>
    </row>
    <row r="10250" spans="1:2" x14ac:dyDescent="0.25">
      <c r="A10250" s="45" t="s">
        <v>10275</v>
      </c>
      <c r="B10250" s="46" t="s">
        <v>23203</v>
      </c>
    </row>
    <row r="10251" spans="1:2" x14ac:dyDescent="0.25">
      <c r="A10251" s="45" t="s">
        <v>10276</v>
      </c>
      <c r="B10251" s="46" t="s">
        <v>23204</v>
      </c>
    </row>
    <row r="10252" spans="1:2" x14ac:dyDescent="0.25">
      <c r="A10252" s="45" t="s">
        <v>10277</v>
      </c>
      <c r="B10252" s="46" t="s">
        <v>23205</v>
      </c>
    </row>
    <row r="10253" spans="1:2" x14ac:dyDescent="0.25">
      <c r="A10253" s="45" t="s">
        <v>10278</v>
      </c>
      <c r="B10253" s="46" t="s">
        <v>23206</v>
      </c>
    </row>
    <row r="10254" spans="1:2" x14ac:dyDescent="0.25">
      <c r="A10254" s="45" t="s">
        <v>10279</v>
      </c>
      <c r="B10254" s="46" t="s">
        <v>23207</v>
      </c>
    </row>
    <row r="10255" spans="1:2" x14ac:dyDescent="0.25">
      <c r="A10255" s="45" t="s">
        <v>10280</v>
      </c>
      <c r="B10255" s="46" t="s">
        <v>23208</v>
      </c>
    </row>
    <row r="10256" spans="1:2" x14ac:dyDescent="0.25">
      <c r="A10256" s="45" t="s">
        <v>10281</v>
      </c>
      <c r="B10256" s="46" t="s">
        <v>23209</v>
      </c>
    </row>
    <row r="10257" spans="1:2" x14ac:dyDescent="0.25">
      <c r="A10257" s="45" t="s">
        <v>10282</v>
      </c>
      <c r="B10257" s="46" t="s">
        <v>23210</v>
      </c>
    </row>
    <row r="10258" spans="1:2" x14ac:dyDescent="0.25">
      <c r="A10258" s="45" t="s">
        <v>10283</v>
      </c>
      <c r="B10258" s="46" t="s">
        <v>23211</v>
      </c>
    </row>
    <row r="10259" spans="1:2" x14ac:dyDescent="0.25">
      <c r="A10259" s="45" t="s">
        <v>10284</v>
      </c>
      <c r="B10259" s="46" t="s">
        <v>23212</v>
      </c>
    </row>
    <row r="10260" spans="1:2" x14ac:dyDescent="0.25">
      <c r="A10260" s="45" t="s">
        <v>10285</v>
      </c>
      <c r="B10260" s="46" t="s">
        <v>23213</v>
      </c>
    </row>
    <row r="10261" spans="1:2" x14ac:dyDescent="0.25">
      <c r="A10261" s="45" t="s">
        <v>10286</v>
      </c>
      <c r="B10261" s="46" t="s">
        <v>23214</v>
      </c>
    </row>
    <row r="10262" spans="1:2" x14ac:dyDescent="0.25">
      <c r="A10262" s="45" t="s">
        <v>10287</v>
      </c>
      <c r="B10262" s="46" t="s">
        <v>23215</v>
      </c>
    </row>
    <row r="10263" spans="1:2" x14ac:dyDescent="0.25">
      <c r="A10263" s="45" t="s">
        <v>10288</v>
      </c>
      <c r="B10263" s="46" t="s">
        <v>23216</v>
      </c>
    </row>
    <row r="10264" spans="1:2" x14ac:dyDescent="0.25">
      <c r="A10264" s="45" t="s">
        <v>10289</v>
      </c>
      <c r="B10264" s="46" t="s">
        <v>23217</v>
      </c>
    </row>
    <row r="10265" spans="1:2" x14ac:dyDescent="0.25">
      <c r="A10265" s="45" t="s">
        <v>10290</v>
      </c>
      <c r="B10265" s="46" t="s">
        <v>23218</v>
      </c>
    </row>
    <row r="10266" spans="1:2" x14ac:dyDescent="0.25">
      <c r="A10266" s="45" t="s">
        <v>10291</v>
      </c>
      <c r="B10266" s="46" t="s">
        <v>23219</v>
      </c>
    </row>
    <row r="10267" spans="1:2" x14ac:dyDescent="0.25">
      <c r="A10267" s="45" t="s">
        <v>10292</v>
      </c>
      <c r="B10267" s="46" t="s">
        <v>23220</v>
      </c>
    </row>
    <row r="10268" spans="1:2" x14ac:dyDescent="0.25">
      <c r="A10268" s="45" t="s">
        <v>10293</v>
      </c>
      <c r="B10268" s="46" t="s">
        <v>23221</v>
      </c>
    </row>
    <row r="10269" spans="1:2" x14ac:dyDescent="0.25">
      <c r="A10269" s="45" t="s">
        <v>10294</v>
      </c>
      <c r="B10269" s="46" t="s">
        <v>23222</v>
      </c>
    </row>
    <row r="10270" spans="1:2" x14ac:dyDescent="0.25">
      <c r="A10270" s="45" t="s">
        <v>10295</v>
      </c>
      <c r="B10270" s="46" t="s">
        <v>23223</v>
      </c>
    </row>
    <row r="10271" spans="1:2" x14ac:dyDescent="0.25">
      <c r="A10271" s="45" t="s">
        <v>10296</v>
      </c>
      <c r="B10271" s="46" t="s">
        <v>23224</v>
      </c>
    </row>
    <row r="10272" spans="1:2" x14ac:dyDescent="0.25">
      <c r="A10272" s="45" t="s">
        <v>10297</v>
      </c>
      <c r="B10272" s="46" t="s">
        <v>23225</v>
      </c>
    </row>
    <row r="10273" spans="1:2" x14ac:dyDescent="0.25">
      <c r="A10273" s="45" t="s">
        <v>10298</v>
      </c>
      <c r="B10273" s="46" t="s">
        <v>23226</v>
      </c>
    </row>
    <row r="10274" spans="1:2" x14ac:dyDescent="0.25">
      <c r="A10274" s="45" t="s">
        <v>10299</v>
      </c>
      <c r="B10274" s="46" t="s">
        <v>23227</v>
      </c>
    </row>
    <row r="10275" spans="1:2" x14ac:dyDescent="0.25">
      <c r="A10275" s="45" t="s">
        <v>10300</v>
      </c>
      <c r="B10275" s="46" t="s">
        <v>23228</v>
      </c>
    </row>
    <row r="10276" spans="1:2" x14ac:dyDescent="0.25">
      <c r="A10276" s="45" t="s">
        <v>10301</v>
      </c>
      <c r="B10276" s="46" t="s">
        <v>23229</v>
      </c>
    </row>
    <row r="10277" spans="1:2" x14ac:dyDescent="0.25">
      <c r="A10277" s="45" t="s">
        <v>10302</v>
      </c>
      <c r="B10277" s="46" t="s">
        <v>23230</v>
      </c>
    </row>
    <row r="10278" spans="1:2" x14ac:dyDescent="0.25">
      <c r="A10278" s="45" t="s">
        <v>10303</v>
      </c>
      <c r="B10278" s="46" t="s">
        <v>23231</v>
      </c>
    </row>
    <row r="10279" spans="1:2" x14ac:dyDescent="0.25">
      <c r="A10279" s="45" t="s">
        <v>10304</v>
      </c>
      <c r="B10279" s="46" t="s">
        <v>23232</v>
      </c>
    </row>
    <row r="10280" spans="1:2" x14ac:dyDescent="0.25">
      <c r="A10280" s="45" t="s">
        <v>10305</v>
      </c>
      <c r="B10280" s="46" t="s">
        <v>23233</v>
      </c>
    </row>
    <row r="10281" spans="1:2" x14ac:dyDescent="0.25">
      <c r="A10281" s="45" t="s">
        <v>10306</v>
      </c>
      <c r="B10281" s="46" t="s">
        <v>23234</v>
      </c>
    </row>
    <row r="10282" spans="1:2" x14ac:dyDescent="0.25">
      <c r="A10282" s="45" t="s">
        <v>10307</v>
      </c>
      <c r="B10282" s="46" t="s">
        <v>23235</v>
      </c>
    </row>
    <row r="10283" spans="1:2" x14ac:dyDescent="0.25">
      <c r="A10283" s="45" t="s">
        <v>10308</v>
      </c>
      <c r="B10283" s="46" t="s">
        <v>23236</v>
      </c>
    </row>
    <row r="10284" spans="1:2" x14ac:dyDescent="0.25">
      <c r="A10284" s="45" t="s">
        <v>10309</v>
      </c>
      <c r="B10284" s="46" t="s">
        <v>23237</v>
      </c>
    </row>
    <row r="10285" spans="1:2" x14ac:dyDescent="0.25">
      <c r="A10285" s="45" t="s">
        <v>10310</v>
      </c>
      <c r="B10285" s="46" t="s">
        <v>23238</v>
      </c>
    </row>
    <row r="10286" spans="1:2" x14ac:dyDescent="0.25">
      <c r="A10286" s="45" t="s">
        <v>10311</v>
      </c>
      <c r="B10286" s="46" t="s">
        <v>23239</v>
      </c>
    </row>
    <row r="10287" spans="1:2" x14ac:dyDescent="0.25">
      <c r="A10287" s="45" t="s">
        <v>10312</v>
      </c>
      <c r="B10287" s="46" t="s">
        <v>23240</v>
      </c>
    </row>
    <row r="10288" spans="1:2" x14ac:dyDescent="0.25">
      <c r="A10288" s="45" t="s">
        <v>10313</v>
      </c>
      <c r="B10288" s="46" t="s">
        <v>23241</v>
      </c>
    </row>
    <row r="10289" spans="1:2" x14ac:dyDescent="0.25">
      <c r="A10289" s="45" t="s">
        <v>10314</v>
      </c>
      <c r="B10289" s="46" t="s">
        <v>23242</v>
      </c>
    </row>
    <row r="10290" spans="1:2" x14ac:dyDescent="0.25">
      <c r="A10290" s="45" t="s">
        <v>10315</v>
      </c>
      <c r="B10290" s="46" t="s">
        <v>23243</v>
      </c>
    </row>
    <row r="10291" spans="1:2" x14ac:dyDescent="0.25">
      <c r="A10291" s="45" t="s">
        <v>10316</v>
      </c>
      <c r="B10291" s="46" t="s">
        <v>23244</v>
      </c>
    </row>
    <row r="10292" spans="1:2" x14ac:dyDescent="0.25">
      <c r="A10292" s="45" t="s">
        <v>10317</v>
      </c>
      <c r="B10292" s="46" t="s">
        <v>23245</v>
      </c>
    </row>
    <row r="10293" spans="1:2" x14ac:dyDescent="0.25">
      <c r="A10293" s="45" t="s">
        <v>10318</v>
      </c>
      <c r="B10293" s="46" t="s">
        <v>23246</v>
      </c>
    </row>
    <row r="10294" spans="1:2" x14ac:dyDescent="0.25">
      <c r="A10294" s="45" t="s">
        <v>10319</v>
      </c>
      <c r="B10294" s="46" t="s">
        <v>23247</v>
      </c>
    </row>
    <row r="10295" spans="1:2" x14ac:dyDescent="0.25">
      <c r="A10295" s="45" t="s">
        <v>10320</v>
      </c>
      <c r="B10295" s="46" t="s">
        <v>23248</v>
      </c>
    </row>
    <row r="10296" spans="1:2" x14ac:dyDescent="0.25">
      <c r="A10296" s="45" t="s">
        <v>10321</v>
      </c>
      <c r="B10296" s="46" t="s">
        <v>23249</v>
      </c>
    </row>
    <row r="10297" spans="1:2" x14ac:dyDescent="0.25">
      <c r="A10297" s="45" t="s">
        <v>10322</v>
      </c>
      <c r="B10297" s="46" t="s">
        <v>23250</v>
      </c>
    </row>
    <row r="10298" spans="1:2" x14ac:dyDescent="0.25">
      <c r="A10298" s="45" t="s">
        <v>10323</v>
      </c>
      <c r="B10298" s="46" t="s">
        <v>23251</v>
      </c>
    </row>
    <row r="10299" spans="1:2" x14ac:dyDescent="0.25">
      <c r="A10299" s="45" t="s">
        <v>10324</v>
      </c>
      <c r="B10299" s="46" t="s">
        <v>23252</v>
      </c>
    </row>
    <row r="10300" spans="1:2" x14ac:dyDescent="0.25">
      <c r="A10300" s="45" t="s">
        <v>10325</v>
      </c>
      <c r="B10300" s="46" t="s">
        <v>23253</v>
      </c>
    </row>
    <row r="10301" spans="1:2" x14ac:dyDescent="0.25">
      <c r="A10301" s="45" t="s">
        <v>10326</v>
      </c>
      <c r="B10301" s="46" t="s">
        <v>23254</v>
      </c>
    </row>
    <row r="10302" spans="1:2" x14ac:dyDescent="0.25">
      <c r="A10302" s="45" t="s">
        <v>10327</v>
      </c>
      <c r="B10302" s="46" t="s">
        <v>23255</v>
      </c>
    </row>
    <row r="10303" spans="1:2" x14ac:dyDescent="0.25">
      <c r="A10303" s="45" t="s">
        <v>10328</v>
      </c>
      <c r="B10303" s="46" t="s">
        <v>23256</v>
      </c>
    </row>
    <row r="10304" spans="1:2" x14ac:dyDescent="0.25">
      <c r="A10304" s="45" t="s">
        <v>10329</v>
      </c>
      <c r="B10304" s="46" t="s">
        <v>23257</v>
      </c>
    </row>
    <row r="10305" spans="1:2" x14ac:dyDescent="0.25">
      <c r="A10305" s="45" t="s">
        <v>10330</v>
      </c>
      <c r="B10305" s="46" t="s">
        <v>23258</v>
      </c>
    </row>
    <row r="10306" spans="1:2" x14ac:dyDescent="0.25">
      <c r="A10306" s="45" t="s">
        <v>10331</v>
      </c>
      <c r="B10306" s="46" t="s">
        <v>23259</v>
      </c>
    </row>
    <row r="10307" spans="1:2" x14ac:dyDescent="0.25">
      <c r="A10307" s="45" t="s">
        <v>10332</v>
      </c>
      <c r="B10307" s="46" t="s">
        <v>23260</v>
      </c>
    </row>
    <row r="10308" spans="1:2" x14ac:dyDescent="0.25">
      <c r="A10308" s="45" t="s">
        <v>10333</v>
      </c>
      <c r="B10308" s="46" t="s">
        <v>23261</v>
      </c>
    </row>
    <row r="10309" spans="1:2" x14ac:dyDescent="0.25">
      <c r="A10309" s="45" t="s">
        <v>10334</v>
      </c>
      <c r="B10309" s="46" t="s">
        <v>23262</v>
      </c>
    </row>
    <row r="10310" spans="1:2" x14ac:dyDescent="0.25">
      <c r="A10310" s="45" t="s">
        <v>10335</v>
      </c>
      <c r="B10310" s="46" t="s">
        <v>23263</v>
      </c>
    </row>
    <row r="10311" spans="1:2" x14ac:dyDescent="0.25">
      <c r="A10311" s="45" t="s">
        <v>10336</v>
      </c>
      <c r="B10311" s="46" t="s">
        <v>23264</v>
      </c>
    </row>
    <row r="10312" spans="1:2" x14ac:dyDescent="0.25">
      <c r="A10312" s="45" t="s">
        <v>10337</v>
      </c>
      <c r="B10312" s="46" t="s">
        <v>23265</v>
      </c>
    </row>
    <row r="10313" spans="1:2" x14ac:dyDescent="0.25">
      <c r="A10313" s="45" t="s">
        <v>10338</v>
      </c>
      <c r="B10313" s="46" t="s">
        <v>23266</v>
      </c>
    </row>
    <row r="10314" spans="1:2" x14ac:dyDescent="0.25">
      <c r="A10314" s="45" t="s">
        <v>10339</v>
      </c>
      <c r="B10314" s="46" t="s">
        <v>23267</v>
      </c>
    </row>
    <row r="10315" spans="1:2" x14ac:dyDescent="0.25">
      <c r="A10315" s="45" t="s">
        <v>10340</v>
      </c>
      <c r="B10315" s="46" t="s">
        <v>23268</v>
      </c>
    </row>
    <row r="10316" spans="1:2" x14ac:dyDescent="0.25">
      <c r="A10316" s="45" t="s">
        <v>10341</v>
      </c>
      <c r="B10316" s="46" t="s">
        <v>23269</v>
      </c>
    </row>
    <row r="10317" spans="1:2" x14ac:dyDescent="0.25">
      <c r="A10317" s="45" t="s">
        <v>10342</v>
      </c>
      <c r="B10317" s="46" t="s">
        <v>23270</v>
      </c>
    </row>
    <row r="10318" spans="1:2" x14ac:dyDescent="0.25">
      <c r="A10318" s="45" t="s">
        <v>10343</v>
      </c>
      <c r="B10318" s="46" t="s">
        <v>23271</v>
      </c>
    </row>
    <row r="10319" spans="1:2" x14ac:dyDescent="0.25">
      <c r="A10319" s="45" t="s">
        <v>10344</v>
      </c>
      <c r="B10319" s="46" t="s">
        <v>23272</v>
      </c>
    </row>
    <row r="10320" spans="1:2" x14ac:dyDescent="0.25">
      <c r="A10320" s="45" t="s">
        <v>10345</v>
      </c>
      <c r="B10320" s="46" t="s">
        <v>23273</v>
      </c>
    </row>
    <row r="10321" spans="1:2" x14ac:dyDescent="0.25">
      <c r="A10321" s="45" t="s">
        <v>10346</v>
      </c>
      <c r="B10321" s="46" t="s">
        <v>23274</v>
      </c>
    </row>
    <row r="10322" spans="1:2" x14ac:dyDescent="0.25">
      <c r="A10322" s="45" t="s">
        <v>10347</v>
      </c>
      <c r="B10322" s="46" t="s">
        <v>23275</v>
      </c>
    </row>
    <row r="10323" spans="1:2" x14ac:dyDescent="0.25">
      <c r="A10323" s="45" t="s">
        <v>10348</v>
      </c>
      <c r="B10323" s="46" t="s">
        <v>23276</v>
      </c>
    </row>
    <row r="10324" spans="1:2" x14ac:dyDescent="0.25">
      <c r="A10324" s="45" t="s">
        <v>10349</v>
      </c>
      <c r="B10324" s="46" t="s">
        <v>23277</v>
      </c>
    </row>
    <row r="10325" spans="1:2" x14ac:dyDescent="0.25">
      <c r="A10325" s="45" t="s">
        <v>10350</v>
      </c>
      <c r="B10325" s="46" t="s">
        <v>23278</v>
      </c>
    </row>
    <row r="10326" spans="1:2" x14ac:dyDescent="0.25">
      <c r="A10326" s="45" t="s">
        <v>10351</v>
      </c>
      <c r="B10326" s="46" t="s">
        <v>23279</v>
      </c>
    </row>
    <row r="10327" spans="1:2" x14ac:dyDescent="0.25">
      <c r="A10327" s="45" t="s">
        <v>10352</v>
      </c>
      <c r="B10327" s="46" t="s">
        <v>23280</v>
      </c>
    </row>
    <row r="10328" spans="1:2" x14ac:dyDescent="0.25">
      <c r="A10328" s="45" t="s">
        <v>10353</v>
      </c>
      <c r="B10328" s="46" t="s">
        <v>23281</v>
      </c>
    </row>
    <row r="10329" spans="1:2" x14ac:dyDescent="0.25">
      <c r="A10329" s="45" t="s">
        <v>10354</v>
      </c>
      <c r="B10329" s="46" t="s">
        <v>23282</v>
      </c>
    </row>
    <row r="10330" spans="1:2" x14ac:dyDescent="0.25">
      <c r="A10330" s="45" t="s">
        <v>10355</v>
      </c>
      <c r="B10330" s="46" t="s">
        <v>23283</v>
      </c>
    </row>
    <row r="10331" spans="1:2" x14ac:dyDescent="0.25">
      <c r="A10331" s="45" t="s">
        <v>10356</v>
      </c>
      <c r="B10331" s="46" t="s">
        <v>23284</v>
      </c>
    </row>
    <row r="10332" spans="1:2" x14ac:dyDescent="0.25">
      <c r="A10332" s="45" t="s">
        <v>10357</v>
      </c>
      <c r="B10332" s="46" t="s">
        <v>23285</v>
      </c>
    </row>
    <row r="10333" spans="1:2" x14ac:dyDescent="0.25">
      <c r="A10333" s="45" t="s">
        <v>10358</v>
      </c>
      <c r="B10333" s="46" t="s">
        <v>23286</v>
      </c>
    </row>
    <row r="10334" spans="1:2" x14ac:dyDescent="0.25">
      <c r="A10334" s="45" t="s">
        <v>10359</v>
      </c>
      <c r="B10334" s="46" t="s">
        <v>23287</v>
      </c>
    </row>
    <row r="10335" spans="1:2" x14ac:dyDescent="0.25">
      <c r="A10335" s="45" t="s">
        <v>10360</v>
      </c>
      <c r="B10335" s="46" t="s">
        <v>23288</v>
      </c>
    </row>
    <row r="10336" spans="1:2" x14ac:dyDescent="0.25">
      <c r="A10336" s="45" t="s">
        <v>10361</v>
      </c>
      <c r="B10336" s="46" t="s">
        <v>23289</v>
      </c>
    </row>
    <row r="10337" spans="1:2" x14ac:dyDescent="0.25">
      <c r="A10337" s="45" t="s">
        <v>10362</v>
      </c>
      <c r="B10337" s="46" t="s">
        <v>23290</v>
      </c>
    </row>
    <row r="10338" spans="1:2" x14ac:dyDescent="0.25">
      <c r="A10338" s="45" t="s">
        <v>10363</v>
      </c>
      <c r="B10338" s="46" t="s">
        <v>23291</v>
      </c>
    </row>
    <row r="10339" spans="1:2" x14ac:dyDescent="0.25">
      <c r="A10339" s="45" t="s">
        <v>10364</v>
      </c>
      <c r="B10339" s="46" t="s">
        <v>23292</v>
      </c>
    </row>
    <row r="10340" spans="1:2" x14ac:dyDescent="0.25">
      <c r="A10340" s="45" t="s">
        <v>10365</v>
      </c>
      <c r="B10340" s="46" t="s">
        <v>23293</v>
      </c>
    </row>
    <row r="10341" spans="1:2" x14ac:dyDescent="0.25">
      <c r="A10341" s="45" t="s">
        <v>10366</v>
      </c>
      <c r="B10341" s="46" t="s">
        <v>23294</v>
      </c>
    </row>
    <row r="10342" spans="1:2" x14ac:dyDescent="0.25">
      <c r="A10342" s="45" t="s">
        <v>10367</v>
      </c>
      <c r="B10342" s="46" t="s">
        <v>23295</v>
      </c>
    </row>
    <row r="10343" spans="1:2" x14ac:dyDescent="0.25">
      <c r="A10343" s="45" t="s">
        <v>10368</v>
      </c>
      <c r="B10343" s="46" t="s">
        <v>23296</v>
      </c>
    </row>
    <row r="10344" spans="1:2" x14ac:dyDescent="0.25">
      <c r="A10344" s="45" t="s">
        <v>10369</v>
      </c>
      <c r="B10344" s="46" t="s">
        <v>23297</v>
      </c>
    </row>
    <row r="10345" spans="1:2" x14ac:dyDescent="0.25">
      <c r="A10345" s="45" t="s">
        <v>10370</v>
      </c>
      <c r="B10345" s="46" t="s">
        <v>23298</v>
      </c>
    </row>
    <row r="10346" spans="1:2" x14ac:dyDescent="0.25">
      <c r="A10346" s="45" t="s">
        <v>10371</v>
      </c>
      <c r="B10346" s="46" t="s">
        <v>23299</v>
      </c>
    </row>
    <row r="10347" spans="1:2" x14ac:dyDescent="0.25">
      <c r="A10347" s="45" t="s">
        <v>10372</v>
      </c>
      <c r="B10347" s="46" t="s">
        <v>23300</v>
      </c>
    </row>
    <row r="10348" spans="1:2" x14ac:dyDescent="0.25">
      <c r="A10348" s="45" t="s">
        <v>10373</v>
      </c>
      <c r="B10348" s="46" t="s">
        <v>23301</v>
      </c>
    </row>
    <row r="10349" spans="1:2" x14ac:dyDescent="0.25">
      <c r="A10349" s="45" t="s">
        <v>10374</v>
      </c>
      <c r="B10349" s="46" t="s">
        <v>23302</v>
      </c>
    </row>
    <row r="10350" spans="1:2" x14ac:dyDescent="0.25">
      <c r="A10350" s="45" t="s">
        <v>10375</v>
      </c>
      <c r="B10350" s="46" t="s">
        <v>23303</v>
      </c>
    </row>
    <row r="10351" spans="1:2" x14ac:dyDescent="0.25">
      <c r="A10351" s="45" t="s">
        <v>10376</v>
      </c>
      <c r="B10351" s="46" t="s">
        <v>23304</v>
      </c>
    </row>
    <row r="10352" spans="1:2" x14ac:dyDescent="0.25">
      <c r="A10352" s="45" t="s">
        <v>10377</v>
      </c>
      <c r="B10352" s="46" t="s">
        <v>23305</v>
      </c>
    </row>
    <row r="10353" spans="1:2" x14ac:dyDescent="0.25">
      <c r="A10353" s="45" t="s">
        <v>10378</v>
      </c>
      <c r="B10353" s="46" t="s">
        <v>23306</v>
      </c>
    </row>
    <row r="10354" spans="1:2" x14ac:dyDescent="0.25">
      <c r="A10354" s="45" t="s">
        <v>10379</v>
      </c>
      <c r="B10354" s="46" t="s">
        <v>23307</v>
      </c>
    </row>
    <row r="10355" spans="1:2" x14ac:dyDescent="0.25">
      <c r="A10355" s="45" t="s">
        <v>10380</v>
      </c>
      <c r="B10355" s="46" t="s">
        <v>23308</v>
      </c>
    </row>
    <row r="10356" spans="1:2" x14ac:dyDescent="0.25">
      <c r="A10356" s="45" t="s">
        <v>10381</v>
      </c>
      <c r="B10356" s="46" t="s">
        <v>23309</v>
      </c>
    </row>
    <row r="10357" spans="1:2" x14ac:dyDescent="0.25">
      <c r="A10357" s="45" t="s">
        <v>10382</v>
      </c>
      <c r="B10357" s="46" t="s">
        <v>23310</v>
      </c>
    </row>
    <row r="10358" spans="1:2" x14ac:dyDescent="0.25">
      <c r="A10358" s="45" t="s">
        <v>10383</v>
      </c>
      <c r="B10358" s="46" t="s">
        <v>23311</v>
      </c>
    </row>
    <row r="10359" spans="1:2" x14ac:dyDescent="0.25">
      <c r="A10359" s="45" t="s">
        <v>10384</v>
      </c>
      <c r="B10359" s="46" t="s">
        <v>23312</v>
      </c>
    </row>
    <row r="10360" spans="1:2" x14ac:dyDescent="0.25">
      <c r="A10360" s="45" t="s">
        <v>10385</v>
      </c>
      <c r="B10360" s="46" t="s">
        <v>23313</v>
      </c>
    </row>
    <row r="10361" spans="1:2" x14ac:dyDescent="0.25">
      <c r="A10361" s="45" t="s">
        <v>10386</v>
      </c>
      <c r="B10361" s="46" t="s">
        <v>23314</v>
      </c>
    </row>
    <row r="10362" spans="1:2" x14ac:dyDescent="0.25">
      <c r="A10362" s="45" t="s">
        <v>10387</v>
      </c>
      <c r="B10362" s="46" t="s">
        <v>23315</v>
      </c>
    </row>
    <row r="10363" spans="1:2" x14ac:dyDescent="0.25">
      <c r="A10363" s="45" t="s">
        <v>10388</v>
      </c>
      <c r="B10363" s="46" t="s">
        <v>23316</v>
      </c>
    </row>
    <row r="10364" spans="1:2" x14ac:dyDescent="0.25">
      <c r="A10364" s="45" t="s">
        <v>10389</v>
      </c>
      <c r="B10364" s="46" t="s">
        <v>23317</v>
      </c>
    </row>
    <row r="10365" spans="1:2" x14ac:dyDescent="0.25">
      <c r="A10365" s="45" t="s">
        <v>10390</v>
      </c>
      <c r="B10365" s="46" t="s">
        <v>23318</v>
      </c>
    </row>
    <row r="10366" spans="1:2" x14ac:dyDescent="0.25">
      <c r="A10366" s="45" t="s">
        <v>10391</v>
      </c>
      <c r="B10366" s="46" t="s">
        <v>23319</v>
      </c>
    </row>
    <row r="10367" spans="1:2" x14ac:dyDescent="0.25">
      <c r="A10367" s="45" t="s">
        <v>10392</v>
      </c>
      <c r="B10367" s="46" t="s">
        <v>23320</v>
      </c>
    </row>
    <row r="10368" spans="1:2" x14ac:dyDescent="0.25">
      <c r="A10368" s="45" t="s">
        <v>10393</v>
      </c>
      <c r="B10368" s="46" t="s">
        <v>23321</v>
      </c>
    </row>
    <row r="10369" spans="1:2" x14ac:dyDescent="0.25">
      <c r="A10369" s="45" t="s">
        <v>10394</v>
      </c>
      <c r="B10369" s="46" t="s">
        <v>23322</v>
      </c>
    </row>
    <row r="10370" spans="1:2" x14ac:dyDescent="0.25">
      <c r="A10370" s="45" t="s">
        <v>10395</v>
      </c>
      <c r="B10370" s="46" t="s">
        <v>23323</v>
      </c>
    </row>
    <row r="10371" spans="1:2" x14ac:dyDescent="0.25">
      <c r="A10371" s="45" t="s">
        <v>10396</v>
      </c>
      <c r="B10371" s="46" t="s">
        <v>23324</v>
      </c>
    </row>
    <row r="10372" spans="1:2" x14ac:dyDescent="0.25">
      <c r="A10372" s="45" t="s">
        <v>10397</v>
      </c>
      <c r="B10372" s="46" t="s">
        <v>23325</v>
      </c>
    </row>
    <row r="10373" spans="1:2" x14ac:dyDescent="0.25">
      <c r="A10373" s="45" t="s">
        <v>10398</v>
      </c>
      <c r="B10373" s="46" t="s">
        <v>23326</v>
      </c>
    </row>
    <row r="10374" spans="1:2" x14ac:dyDescent="0.25">
      <c r="A10374" s="45" t="s">
        <v>10399</v>
      </c>
      <c r="B10374" s="46" t="s">
        <v>23327</v>
      </c>
    </row>
    <row r="10375" spans="1:2" x14ac:dyDescent="0.25">
      <c r="A10375" s="45" t="s">
        <v>10400</v>
      </c>
      <c r="B10375" s="46" t="s">
        <v>23328</v>
      </c>
    </row>
    <row r="10376" spans="1:2" x14ac:dyDescent="0.25">
      <c r="A10376" s="45" t="s">
        <v>10401</v>
      </c>
      <c r="B10376" s="46" t="s">
        <v>23329</v>
      </c>
    </row>
    <row r="10377" spans="1:2" x14ac:dyDescent="0.25">
      <c r="A10377" s="45" t="s">
        <v>10402</v>
      </c>
      <c r="B10377" s="46" t="s">
        <v>23330</v>
      </c>
    </row>
    <row r="10378" spans="1:2" x14ac:dyDescent="0.25">
      <c r="A10378" s="45" t="s">
        <v>10403</v>
      </c>
      <c r="B10378" s="46" t="s">
        <v>23331</v>
      </c>
    </row>
    <row r="10379" spans="1:2" x14ac:dyDescent="0.25">
      <c r="A10379" s="45" t="s">
        <v>10404</v>
      </c>
      <c r="B10379" s="46" t="s">
        <v>23332</v>
      </c>
    </row>
    <row r="10380" spans="1:2" x14ac:dyDescent="0.25">
      <c r="A10380" s="45" t="s">
        <v>10405</v>
      </c>
      <c r="B10380" s="46" t="s">
        <v>23333</v>
      </c>
    </row>
    <row r="10381" spans="1:2" x14ac:dyDescent="0.25">
      <c r="A10381" s="45" t="s">
        <v>10406</v>
      </c>
      <c r="B10381" s="46" t="s">
        <v>23334</v>
      </c>
    </row>
    <row r="10382" spans="1:2" x14ac:dyDescent="0.25">
      <c r="A10382" s="45" t="s">
        <v>10407</v>
      </c>
      <c r="B10382" s="46" t="s">
        <v>23335</v>
      </c>
    </row>
    <row r="10383" spans="1:2" x14ac:dyDescent="0.25">
      <c r="A10383" s="45" t="s">
        <v>10408</v>
      </c>
      <c r="B10383" s="46" t="s">
        <v>23336</v>
      </c>
    </row>
    <row r="10384" spans="1:2" x14ac:dyDescent="0.25">
      <c r="A10384" s="45" t="s">
        <v>10409</v>
      </c>
      <c r="B10384" s="46" t="s">
        <v>23337</v>
      </c>
    </row>
    <row r="10385" spans="1:2" x14ac:dyDescent="0.25">
      <c r="A10385" s="45" t="s">
        <v>10410</v>
      </c>
      <c r="B10385" s="46" t="s">
        <v>23338</v>
      </c>
    </row>
    <row r="10386" spans="1:2" x14ac:dyDescent="0.25">
      <c r="A10386" s="45" t="s">
        <v>10411</v>
      </c>
      <c r="B10386" s="46" t="s">
        <v>23339</v>
      </c>
    </row>
    <row r="10387" spans="1:2" x14ac:dyDescent="0.25">
      <c r="A10387" s="45" t="s">
        <v>10412</v>
      </c>
      <c r="B10387" s="46" t="s">
        <v>23340</v>
      </c>
    </row>
    <row r="10388" spans="1:2" x14ac:dyDescent="0.25">
      <c r="A10388" s="45" t="s">
        <v>10413</v>
      </c>
      <c r="B10388" s="46" t="s">
        <v>23341</v>
      </c>
    </row>
    <row r="10389" spans="1:2" x14ac:dyDescent="0.25">
      <c r="A10389" s="45" t="s">
        <v>10414</v>
      </c>
      <c r="B10389" s="46" t="s">
        <v>23342</v>
      </c>
    </row>
    <row r="10390" spans="1:2" x14ac:dyDescent="0.25">
      <c r="A10390" s="45" t="s">
        <v>10415</v>
      </c>
      <c r="B10390" s="46" t="s">
        <v>23343</v>
      </c>
    </row>
    <row r="10391" spans="1:2" x14ac:dyDescent="0.25">
      <c r="A10391" s="45" t="s">
        <v>10416</v>
      </c>
      <c r="B10391" s="46" t="s">
        <v>23344</v>
      </c>
    </row>
    <row r="10392" spans="1:2" x14ac:dyDescent="0.25">
      <c r="A10392" s="45" t="s">
        <v>10417</v>
      </c>
      <c r="B10392" s="46" t="s">
        <v>23345</v>
      </c>
    </row>
    <row r="10393" spans="1:2" x14ac:dyDescent="0.25">
      <c r="A10393" s="45" t="s">
        <v>10418</v>
      </c>
      <c r="B10393" s="46" t="s">
        <v>23346</v>
      </c>
    </row>
    <row r="10394" spans="1:2" x14ac:dyDescent="0.25">
      <c r="A10394" s="45" t="s">
        <v>10419</v>
      </c>
      <c r="B10394" s="46" t="s">
        <v>23347</v>
      </c>
    </row>
    <row r="10395" spans="1:2" x14ac:dyDescent="0.25">
      <c r="A10395" s="45" t="s">
        <v>10420</v>
      </c>
      <c r="B10395" s="46" t="s">
        <v>23348</v>
      </c>
    </row>
    <row r="10396" spans="1:2" x14ac:dyDescent="0.25">
      <c r="A10396" s="45" t="s">
        <v>10421</v>
      </c>
      <c r="B10396" s="46" t="s">
        <v>23349</v>
      </c>
    </row>
    <row r="10397" spans="1:2" x14ac:dyDescent="0.25">
      <c r="A10397" s="45" t="s">
        <v>10422</v>
      </c>
      <c r="B10397" s="46" t="s">
        <v>23350</v>
      </c>
    </row>
    <row r="10398" spans="1:2" x14ac:dyDescent="0.25">
      <c r="A10398" s="45" t="s">
        <v>10423</v>
      </c>
      <c r="B10398" s="46" t="s">
        <v>23351</v>
      </c>
    </row>
    <row r="10399" spans="1:2" x14ac:dyDescent="0.25">
      <c r="A10399" s="45" t="s">
        <v>10424</v>
      </c>
      <c r="B10399" s="46" t="s">
        <v>23352</v>
      </c>
    </row>
    <row r="10400" spans="1:2" x14ac:dyDescent="0.25">
      <c r="A10400" s="45" t="s">
        <v>10425</v>
      </c>
      <c r="B10400" s="46" t="s">
        <v>23353</v>
      </c>
    </row>
    <row r="10401" spans="1:2" x14ac:dyDescent="0.25">
      <c r="A10401" s="45" t="s">
        <v>10426</v>
      </c>
      <c r="B10401" s="46" t="s">
        <v>23354</v>
      </c>
    </row>
    <row r="10402" spans="1:2" x14ac:dyDescent="0.25">
      <c r="A10402" s="45" t="s">
        <v>10427</v>
      </c>
      <c r="B10402" s="46" t="s">
        <v>23355</v>
      </c>
    </row>
    <row r="10403" spans="1:2" x14ac:dyDescent="0.25">
      <c r="A10403" s="45" t="s">
        <v>10428</v>
      </c>
      <c r="B10403" s="46" t="s">
        <v>23356</v>
      </c>
    </row>
    <row r="10404" spans="1:2" x14ac:dyDescent="0.25">
      <c r="A10404" s="45" t="s">
        <v>10429</v>
      </c>
      <c r="B10404" s="46" t="s">
        <v>23357</v>
      </c>
    </row>
    <row r="10405" spans="1:2" x14ac:dyDescent="0.25">
      <c r="A10405" s="45" t="s">
        <v>10430</v>
      </c>
      <c r="B10405" s="46" t="s">
        <v>23358</v>
      </c>
    </row>
    <row r="10406" spans="1:2" x14ac:dyDescent="0.25">
      <c r="A10406" s="45" t="s">
        <v>10431</v>
      </c>
      <c r="B10406" s="46" t="s">
        <v>23359</v>
      </c>
    </row>
    <row r="10407" spans="1:2" x14ac:dyDescent="0.25">
      <c r="A10407" s="45" t="s">
        <v>10432</v>
      </c>
      <c r="B10407" s="46" t="s">
        <v>23360</v>
      </c>
    </row>
    <row r="10408" spans="1:2" x14ac:dyDescent="0.25">
      <c r="A10408" s="45" t="s">
        <v>10433</v>
      </c>
      <c r="B10408" s="46" t="s">
        <v>23361</v>
      </c>
    </row>
    <row r="10409" spans="1:2" x14ac:dyDescent="0.25">
      <c r="A10409" s="45" t="s">
        <v>10434</v>
      </c>
      <c r="B10409" s="46" t="s">
        <v>23362</v>
      </c>
    </row>
    <row r="10410" spans="1:2" x14ac:dyDescent="0.25">
      <c r="A10410" s="45" t="s">
        <v>10435</v>
      </c>
      <c r="B10410" s="46" t="s">
        <v>23363</v>
      </c>
    </row>
    <row r="10411" spans="1:2" x14ac:dyDescent="0.25">
      <c r="A10411" s="45" t="s">
        <v>10436</v>
      </c>
      <c r="B10411" s="46" t="s">
        <v>23364</v>
      </c>
    </row>
    <row r="10412" spans="1:2" x14ac:dyDescent="0.25">
      <c r="A10412" s="45" t="s">
        <v>10437</v>
      </c>
      <c r="B10412" s="46" t="s">
        <v>23365</v>
      </c>
    </row>
    <row r="10413" spans="1:2" x14ac:dyDescent="0.25">
      <c r="A10413" s="45" t="s">
        <v>10438</v>
      </c>
      <c r="B10413" s="46" t="s">
        <v>23366</v>
      </c>
    </row>
    <row r="10414" spans="1:2" x14ac:dyDescent="0.25">
      <c r="A10414" s="45" t="s">
        <v>10439</v>
      </c>
      <c r="B10414" s="46" t="s">
        <v>23367</v>
      </c>
    </row>
    <row r="10415" spans="1:2" x14ac:dyDescent="0.25">
      <c r="A10415" s="45" t="s">
        <v>10440</v>
      </c>
      <c r="B10415" s="46" t="s">
        <v>23368</v>
      </c>
    </row>
    <row r="10416" spans="1:2" x14ac:dyDescent="0.25">
      <c r="A10416" s="45" t="s">
        <v>10441</v>
      </c>
      <c r="B10416" s="46" t="s">
        <v>23369</v>
      </c>
    </row>
    <row r="10417" spans="1:2" x14ac:dyDescent="0.25">
      <c r="A10417" s="45" t="s">
        <v>10442</v>
      </c>
      <c r="B10417" s="46" t="s">
        <v>23370</v>
      </c>
    </row>
    <row r="10418" spans="1:2" x14ac:dyDescent="0.25">
      <c r="A10418" s="45" t="s">
        <v>10443</v>
      </c>
      <c r="B10418" s="46" t="s">
        <v>23371</v>
      </c>
    </row>
    <row r="10419" spans="1:2" x14ac:dyDescent="0.25">
      <c r="A10419" s="45" t="s">
        <v>10444</v>
      </c>
      <c r="B10419" s="46" t="s">
        <v>23372</v>
      </c>
    </row>
    <row r="10420" spans="1:2" x14ac:dyDescent="0.25">
      <c r="A10420" s="45" t="s">
        <v>10445</v>
      </c>
      <c r="B10420" s="46" t="s">
        <v>23373</v>
      </c>
    </row>
    <row r="10421" spans="1:2" x14ac:dyDescent="0.25">
      <c r="A10421" s="45" t="s">
        <v>10446</v>
      </c>
      <c r="B10421" s="46" t="s">
        <v>23374</v>
      </c>
    </row>
    <row r="10422" spans="1:2" x14ac:dyDescent="0.25">
      <c r="A10422" s="45" t="s">
        <v>10447</v>
      </c>
      <c r="B10422" s="46" t="s">
        <v>23375</v>
      </c>
    </row>
    <row r="10423" spans="1:2" x14ac:dyDescent="0.25">
      <c r="A10423" s="45" t="s">
        <v>10448</v>
      </c>
      <c r="B10423" s="46" t="s">
        <v>23376</v>
      </c>
    </row>
    <row r="10424" spans="1:2" x14ac:dyDescent="0.25">
      <c r="A10424" s="45" t="s">
        <v>10449</v>
      </c>
      <c r="B10424" s="46" t="s">
        <v>23377</v>
      </c>
    </row>
    <row r="10425" spans="1:2" x14ac:dyDescent="0.25">
      <c r="A10425" s="45" t="s">
        <v>10450</v>
      </c>
      <c r="B10425" s="46" t="s">
        <v>23378</v>
      </c>
    </row>
    <row r="10426" spans="1:2" x14ac:dyDescent="0.25">
      <c r="A10426" s="45" t="s">
        <v>10451</v>
      </c>
      <c r="B10426" s="46" t="s">
        <v>23379</v>
      </c>
    </row>
    <row r="10427" spans="1:2" x14ac:dyDescent="0.25">
      <c r="A10427" s="45" t="s">
        <v>10452</v>
      </c>
      <c r="B10427" s="46" t="s">
        <v>23380</v>
      </c>
    </row>
    <row r="10428" spans="1:2" x14ac:dyDescent="0.25">
      <c r="A10428" s="45" t="s">
        <v>10453</v>
      </c>
      <c r="B10428" s="46" t="s">
        <v>23381</v>
      </c>
    </row>
    <row r="10429" spans="1:2" x14ac:dyDescent="0.25">
      <c r="A10429" s="45" t="s">
        <v>10454</v>
      </c>
      <c r="B10429" s="46" t="s">
        <v>23382</v>
      </c>
    </row>
    <row r="10430" spans="1:2" x14ac:dyDescent="0.25">
      <c r="A10430" s="45" t="s">
        <v>10455</v>
      </c>
      <c r="B10430" s="46" t="s">
        <v>23383</v>
      </c>
    </row>
    <row r="10431" spans="1:2" x14ac:dyDescent="0.25">
      <c r="A10431" s="45" t="s">
        <v>10456</v>
      </c>
      <c r="B10431" s="46" t="s">
        <v>23384</v>
      </c>
    </row>
    <row r="10432" spans="1:2" x14ac:dyDescent="0.25">
      <c r="A10432" s="45" t="s">
        <v>10457</v>
      </c>
      <c r="B10432" s="46" t="s">
        <v>23385</v>
      </c>
    </row>
    <row r="10433" spans="1:2" x14ac:dyDescent="0.25">
      <c r="A10433" s="45" t="s">
        <v>10458</v>
      </c>
      <c r="B10433" s="46" t="s">
        <v>23386</v>
      </c>
    </row>
    <row r="10434" spans="1:2" x14ac:dyDescent="0.25">
      <c r="A10434" s="45" t="s">
        <v>10459</v>
      </c>
      <c r="B10434" s="46" t="s">
        <v>23387</v>
      </c>
    </row>
    <row r="10435" spans="1:2" x14ac:dyDescent="0.25">
      <c r="A10435" s="45" t="s">
        <v>10460</v>
      </c>
      <c r="B10435" s="46" t="s">
        <v>23388</v>
      </c>
    </row>
    <row r="10436" spans="1:2" x14ac:dyDescent="0.25">
      <c r="A10436" s="45" t="s">
        <v>10461</v>
      </c>
      <c r="B10436" s="46" t="s">
        <v>23389</v>
      </c>
    </row>
    <row r="10437" spans="1:2" x14ac:dyDescent="0.25">
      <c r="A10437" s="45" t="s">
        <v>10462</v>
      </c>
      <c r="B10437" s="46" t="s">
        <v>23390</v>
      </c>
    </row>
    <row r="10438" spans="1:2" x14ac:dyDescent="0.25">
      <c r="A10438" s="45" t="s">
        <v>10463</v>
      </c>
      <c r="B10438" s="46" t="s">
        <v>23391</v>
      </c>
    </row>
    <row r="10439" spans="1:2" x14ac:dyDescent="0.25">
      <c r="A10439" s="45" t="s">
        <v>10464</v>
      </c>
      <c r="B10439" s="46" t="s">
        <v>23392</v>
      </c>
    </row>
    <row r="10440" spans="1:2" x14ac:dyDescent="0.25">
      <c r="A10440" s="45" t="s">
        <v>10465</v>
      </c>
      <c r="B10440" s="46" t="s">
        <v>23393</v>
      </c>
    </row>
    <row r="10441" spans="1:2" x14ac:dyDescent="0.25">
      <c r="A10441" s="45" t="s">
        <v>10466</v>
      </c>
      <c r="B10441" s="46" t="s">
        <v>23394</v>
      </c>
    </row>
    <row r="10442" spans="1:2" x14ac:dyDescent="0.25">
      <c r="A10442" s="45" t="s">
        <v>10467</v>
      </c>
      <c r="B10442" s="46" t="s">
        <v>23395</v>
      </c>
    </row>
    <row r="10443" spans="1:2" x14ac:dyDescent="0.25">
      <c r="A10443" s="45" t="s">
        <v>10468</v>
      </c>
      <c r="B10443" s="46" t="s">
        <v>23396</v>
      </c>
    </row>
    <row r="10444" spans="1:2" x14ac:dyDescent="0.25">
      <c r="A10444" s="45" t="s">
        <v>10469</v>
      </c>
      <c r="B10444" s="46" t="s">
        <v>23397</v>
      </c>
    </row>
    <row r="10445" spans="1:2" x14ac:dyDescent="0.25">
      <c r="A10445" s="45" t="s">
        <v>10470</v>
      </c>
      <c r="B10445" s="46" t="s">
        <v>23398</v>
      </c>
    </row>
    <row r="10446" spans="1:2" x14ac:dyDescent="0.25">
      <c r="A10446" s="45" t="s">
        <v>10471</v>
      </c>
      <c r="B10446" s="46" t="s">
        <v>23399</v>
      </c>
    </row>
    <row r="10447" spans="1:2" x14ac:dyDescent="0.25">
      <c r="A10447" s="45" t="s">
        <v>10472</v>
      </c>
      <c r="B10447" s="46" t="s">
        <v>23400</v>
      </c>
    </row>
    <row r="10448" spans="1:2" x14ac:dyDescent="0.25">
      <c r="A10448" s="45" t="s">
        <v>10473</v>
      </c>
      <c r="B10448" s="46" t="s">
        <v>23401</v>
      </c>
    </row>
    <row r="10449" spans="1:2" x14ac:dyDescent="0.25">
      <c r="A10449" s="45" t="s">
        <v>10474</v>
      </c>
      <c r="B10449" s="46" t="s">
        <v>23402</v>
      </c>
    </row>
    <row r="10450" spans="1:2" x14ac:dyDescent="0.25">
      <c r="A10450" s="45" t="s">
        <v>10475</v>
      </c>
      <c r="B10450" s="46" t="s">
        <v>23403</v>
      </c>
    </row>
    <row r="10451" spans="1:2" x14ac:dyDescent="0.25">
      <c r="A10451" s="45" t="s">
        <v>10476</v>
      </c>
      <c r="B10451" s="46" t="s">
        <v>23404</v>
      </c>
    </row>
    <row r="10452" spans="1:2" x14ac:dyDescent="0.25">
      <c r="A10452" s="45" t="s">
        <v>10477</v>
      </c>
      <c r="B10452" s="46" t="s">
        <v>23405</v>
      </c>
    </row>
    <row r="10453" spans="1:2" x14ac:dyDescent="0.25">
      <c r="A10453" s="45" t="s">
        <v>10478</v>
      </c>
      <c r="B10453" s="46" t="s">
        <v>23406</v>
      </c>
    </row>
    <row r="10454" spans="1:2" x14ac:dyDescent="0.25">
      <c r="A10454" s="45" t="s">
        <v>10479</v>
      </c>
      <c r="B10454" s="46" t="s">
        <v>23407</v>
      </c>
    </row>
    <row r="10455" spans="1:2" x14ac:dyDescent="0.25">
      <c r="A10455" s="45" t="s">
        <v>10480</v>
      </c>
      <c r="B10455" s="46" t="s">
        <v>23408</v>
      </c>
    </row>
    <row r="10456" spans="1:2" x14ac:dyDescent="0.25">
      <c r="A10456" s="45" t="s">
        <v>10481</v>
      </c>
      <c r="B10456" s="46" t="s">
        <v>23409</v>
      </c>
    </row>
    <row r="10457" spans="1:2" x14ac:dyDescent="0.25">
      <c r="A10457" s="45" t="s">
        <v>10482</v>
      </c>
      <c r="B10457" s="46" t="s">
        <v>23410</v>
      </c>
    </row>
    <row r="10458" spans="1:2" x14ac:dyDescent="0.25">
      <c r="A10458" s="45" t="s">
        <v>10483</v>
      </c>
      <c r="B10458" s="46" t="s">
        <v>23411</v>
      </c>
    </row>
    <row r="10459" spans="1:2" x14ac:dyDescent="0.25">
      <c r="A10459" s="45" t="s">
        <v>10484</v>
      </c>
      <c r="B10459" s="46" t="s">
        <v>23412</v>
      </c>
    </row>
    <row r="10460" spans="1:2" x14ac:dyDescent="0.25">
      <c r="A10460" s="45" t="s">
        <v>10485</v>
      </c>
      <c r="B10460" s="46" t="s">
        <v>23413</v>
      </c>
    </row>
    <row r="10461" spans="1:2" x14ac:dyDescent="0.25">
      <c r="A10461" s="45" t="s">
        <v>10486</v>
      </c>
      <c r="B10461" s="46" t="s">
        <v>23414</v>
      </c>
    </row>
    <row r="10462" spans="1:2" x14ac:dyDescent="0.25">
      <c r="A10462" s="45" t="s">
        <v>10487</v>
      </c>
      <c r="B10462" s="46" t="s">
        <v>23415</v>
      </c>
    </row>
    <row r="10463" spans="1:2" x14ac:dyDescent="0.25">
      <c r="A10463" s="45" t="s">
        <v>10488</v>
      </c>
      <c r="B10463" s="46" t="s">
        <v>23416</v>
      </c>
    </row>
    <row r="10464" spans="1:2" x14ac:dyDescent="0.25">
      <c r="A10464" s="45" t="s">
        <v>10489</v>
      </c>
      <c r="B10464" s="46" t="s">
        <v>23417</v>
      </c>
    </row>
    <row r="10465" spans="1:2" x14ac:dyDescent="0.25">
      <c r="A10465" s="45" t="s">
        <v>10490</v>
      </c>
      <c r="B10465" s="46" t="s">
        <v>23418</v>
      </c>
    </row>
    <row r="10466" spans="1:2" x14ac:dyDescent="0.25">
      <c r="A10466" s="45" t="s">
        <v>10491</v>
      </c>
      <c r="B10466" s="46" t="s">
        <v>23419</v>
      </c>
    </row>
    <row r="10467" spans="1:2" x14ac:dyDescent="0.25">
      <c r="A10467" s="45" t="s">
        <v>10492</v>
      </c>
      <c r="B10467" s="46" t="s">
        <v>23420</v>
      </c>
    </row>
    <row r="10468" spans="1:2" x14ac:dyDescent="0.25">
      <c r="A10468" s="45" t="s">
        <v>10493</v>
      </c>
      <c r="B10468" s="46" t="s">
        <v>23421</v>
      </c>
    </row>
    <row r="10469" spans="1:2" x14ac:dyDescent="0.25">
      <c r="A10469" s="45" t="s">
        <v>10494</v>
      </c>
      <c r="B10469" s="46" t="s">
        <v>23422</v>
      </c>
    </row>
    <row r="10470" spans="1:2" x14ac:dyDescent="0.25">
      <c r="A10470" s="45" t="s">
        <v>10495</v>
      </c>
      <c r="B10470" s="46" t="s">
        <v>23423</v>
      </c>
    </row>
    <row r="10471" spans="1:2" x14ac:dyDescent="0.25">
      <c r="A10471" s="45" t="s">
        <v>10496</v>
      </c>
      <c r="B10471" s="46" t="s">
        <v>23424</v>
      </c>
    </row>
    <row r="10472" spans="1:2" x14ac:dyDescent="0.25">
      <c r="A10472" s="45" t="s">
        <v>10497</v>
      </c>
      <c r="B10472" s="46" t="s">
        <v>23425</v>
      </c>
    </row>
    <row r="10473" spans="1:2" x14ac:dyDescent="0.25">
      <c r="A10473" s="45" t="s">
        <v>10498</v>
      </c>
      <c r="B10473" s="46" t="s">
        <v>23426</v>
      </c>
    </row>
    <row r="10474" spans="1:2" x14ac:dyDescent="0.25">
      <c r="A10474" s="45" t="s">
        <v>10499</v>
      </c>
      <c r="B10474" s="46" t="s">
        <v>23427</v>
      </c>
    </row>
    <row r="10475" spans="1:2" x14ac:dyDescent="0.25">
      <c r="A10475" s="45" t="s">
        <v>10500</v>
      </c>
      <c r="B10475" s="46" t="s">
        <v>23428</v>
      </c>
    </row>
    <row r="10476" spans="1:2" x14ac:dyDescent="0.25">
      <c r="A10476" s="45" t="s">
        <v>10501</v>
      </c>
      <c r="B10476" s="46" t="s">
        <v>23429</v>
      </c>
    </row>
    <row r="10477" spans="1:2" x14ac:dyDescent="0.25">
      <c r="A10477" s="45" t="s">
        <v>10502</v>
      </c>
      <c r="B10477" s="46" t="s">
        <v>23430</v>
      </c>
    </row>
    <row r="10478" spans="1:2" x14ac:dyDescent="0.25">
      <c r="A10478" s="45" t="s">
        <v>10503</v>
      </c>
      <c r="B10478" s="46" t="s">
        <v>23431</v>
      </c>
    </row>
    <row r="10479" spans="1:2" x14ac:dyDescent="0.25">
      <c r="A10479" s="45" t="s">
        <v>10504</v>
      </c>
      <c r="B10479" s="46" t="s">
        <v>23432</v>
      </c>
    </row>
    <row r="10480" spans="1:2" x14ac:dyDescent="0.25">
      <c r="A10480" s="45" t="s">
        <v>10505</v>
      </c>
      <c r="B10480" s="46" t="s">
        <v>23433</v>
      </c>
    </row>
    <row r="10481" spans="1:2" x14ac:dyDescent="0.25">
      <c r="A10481" s="45" t="s">
        <v>10506</v>
      </c>
      <c r="B10481" s="46" t="s">
        <v>23434</v>
      </c>
    </row>
    <row r="10482" spans="1:2" x14ac:dyDescent="0.25">
      <c r="A10482" s="45" t="s">
        <v>10507</v>
      </c>
      <c r="B10482" s="46" t="s">
        <v>23435</v>
      </c>
    </row>
    <row r="10483" spans="1:2" x14ac:dyDescent="0.25">
      <c r="A10483" s="45" t="s">
        <v>10508</v>
      </c>
      <c r="B10483" s="46" t="s">
        <v>23436</v>
      </c>
    </row>
    <row r="10484" spans="1:2" x14ac:dyDescent="0.25">
      <c r="A10484" s="45" t="s">
        <v>10509</v>
      </c>
      <c r="B10484" s="46" t="s">
        <v>23437</v>
      </c>
    </row>
    <row r="10485" spans="1:2" x14ac:dyDescent="0.25">
      <c r="A10485" s="45" t="s">
        <v>10510</v>
      </c>
      <c r="B10485" s="46" t="s">
        <v>23438</v>
      </c>
    </row>
    <row r="10486" spans="1:2" x14ac:dyDescent="0.25">
      <c r="A10486" s="45" t="s">
        <v>10511</v>
      </c>
      <c r="B10486" s="46" t="s">
        <v>23439</v>
      </c>
    </row>
    <row r="10487" spans="1:2" x14ac:dyDescent="0.25">
      <c r="A10487" s="45" t="s">
        <v>10512</v>
      </c>
      <c r="B10487" s="46" t="s">
        <v>23440</v>
      </c>
    </row>
    <row r="10488" spans="1:2" x14ac:dyDescent="0.25">
      <c r="A10488" s="45" t="s">
        <v>10513</v>
      </c>
      <c r="B10488" s="46" t="s">
        <v>23441</v>
      </c>
    </row>
    <row r="10489" spans="1:2" x14ac:dyDescent="0.25">
      <c r="A10489" s="45" t="s">
        <v>10514</v>
      </c>
      <c r="B10489" s="46" t="s">
        <v>23442</v>
      </c>
    </row>
    <row r="10490" spans="1:2" x14ac:dyDescent="0.25">
      <c r="A10490" s="45" t="s">
        <v>10515</v>
      </c>
      <c r="B10490" s="46" t="s">
        <v>23443</v>
      </c>
    </row>
    <row r="10491" spans="1:2" x14ac:dyDescent="0.25">
      <c r="A10491" s="45" t="s">
        <v>10516</v>
      </c>
      <c r="B10491" s="46" t="s">
        <v>23444</v>
      </c>
    </row>
    <row r="10492" spans="1:2" x14ac:dyDescent="0.25">
      <c r="A10492" s="45" t="s">
        <v>10517</v>
      </c>
      <c r="B10492" s="46" t="s">
        <v>23445</v>
      </c>
    </row>
    <row r="10493" spans="1:2" x14ac:dyDescent="0.25">
      <c r="A10493" s="45" t="s">
        <v>10518</v>
      </c>
      <c r="B10493" s="46" t="s">
        <v>23446</v>
      </c>
    </row>
    <row r="10494" spans="1:2" x14ac:dyDescent="0.25">
      <c r="A10494" s="45" t="s">
        <v>10519</v>
      </c>
      <c r="B10494" s="46" t="s">
        <v>23447</v>
      </c>
    </row>
    <row r="10495" spans="1:2" x14ac:dyDescent="0.25">
      <c r="A10495" s="45" t="s">
        <v>10520</v>
      </c>
      <c r="B10495" s="46" t="s">
        <v>23448</v>
      </c>
    </row>
    <row r="10496" spans="1:2" x14ac:dyDescent="0.25">
      <c r="A10496" s="45" t="s">
        <v>10521</v>
      </c>
      <c r="B10496" s="46" t="s">
        <v>23449</v>
      </c>
    </row>
    <row r="10497" spans="1:2" x14ac:dyDescent="0.25">
      <c r="A10497" s="45" t="s">
        <v>10522</v>
      </c>
      <c r="B10497" s="46" t="s">
        <v>23450</v>
      </c>
    </row>
    <row r="10498" spans="1:2" x14ac:dyDescent="0.25">
      <c r="A10498" s="45" t="s">
        <v>10523</v>
      </c>
      <c r="B10498" s="46" t="s">
        <v>23451</v>
      </c>
    </row>
    <row r="10499" spans="1:2" x14ac:dyDescent="0.25">
      <c r="A10499" s="45" t="s">
        <v>10524</v>
      </c>
      <c r="B10499" s="46" t="s">
        <v>23452</v>
      </c>
    </row>
    <row r="10500" spans="1:2" x14ac:dyDescent="0.25">
      <c r="A10500" s="45" t="s">
        <v>10525</v>
      </c>
      <c r="B10500" s="46" t="s">
        <v>23453</v>
      </c>
    </row>
    <row r="10501" spans="1:2" x14ac:dyDescent="0.25">
      <c r="A10501" s="45" t="s">
        <v>10526</v>
      </c>
      <c r="B10501" s="46" t="s">
        <v>23454</v>
      </c>
    </row>
    <row r="10502" spans="1:2" x14ac:dyDescent="0.25">
      <c r="A10502" s="45" t="s">
        <v>10527</v>
      </c>
      <c r="B10502" s="46" t="s">
        <v>23455</v>
      </c>
    </row>
    <row r="10503" spans="1:2" x14ac:dyDescent="0.25">
      <c r="A10503" s="45" t="s">
        <v>10528</v>
      </c>
      <c r="B10503" s="46" t="s">
        <v>23456</v>
      </c>
    </row>
    <row r="10504" spans="1:2" x14ac:dyDescent="0.25">
      <c r="A10504" s="45" t="s">
        <v>10529</v>
      </c>
      <c r="B10504" s="46" t="s">
        <v>23457</v>
      </c>
    </row>
    <row r="10505" spans="1:2" x14ac:dyDescent="0.25">
      <c r="A10505" s="45" t="s">
        <v>10530</v>
      </c>
      <c r="B10505" s="46" t="s">
        <v>23458</v>
      </c>
    </row>
    <row r="10506" spans="1:2" x14ac:dyDescent="0.25">
      <c r="A10506" s="45" t="s">
        <v>10531</v>
      </c>
      <c r="B10506" s="46" t="s">
        <v>23459</v>
      </c>
    </row>
    <row r="10507" spans="1:2" x14ac:dyDescent="0.25">
      <c r="A10507" s="45" t="s">
        <v>10532</v>
      </c>
      <c r="B10507" s="46" t="s">
        <v>23460</v>
      </c>
    </row>
    <row r="10508" spans="1:2" x14ac:dyDescent="0.25">
      <c r="A10508" s="45" t="s">
        <v>10533</v>
      </c>
      <c r="B10508" s="46" t="s">
        <v>23461</v>
      </c>
    </row>
    <row r="10509" spans="1:2" x14ac:dyDescent="0.25">
      <c r="A10509" s="45" t="s">
        <v>10534</v>
      </c>
      <c r="B10509" s="46" t="s">
        <v>23462</v>
      </c>
    </row>
    <row r="10510" spans="1:2" x14ac:dyDescent="0.25">
      <c r="A10510" s="45" t="s">
        <v>10535</v>
      </c>
      <c r="B10510" s="46" t="s">
        <v>23463</v>
      </c>
    </row>
    <row r="10511" spans="1:2" x14ac:dyDescent="0.25">
      <c r="A10511" s="45" t="s">
        <v>10536</v>
      </c>
      <c r="B10511" s="46" t="s">
        <v>23464</v>
      </c>
    </row>
    <row r="10512" spans="1:2" x14ac:dyDescent="0.25">
      <c r="A10512" s="45" t="s">
        <v>10537</v>
      </c>
      <c r="B10512" s="46" t="s">
        <v>23465</v>
      </c>
    </row>
    <row r="10513" spans="1:2" x14ac:dyDescent="0.25">
      <c r="A10513" s="45" t="s">
        <v>10538</v>
      </c>
      <c r="B10513" s="46" t="s">
        <v>23466</v>
      </c>
    </row>
    <row r="10514" spans="1:2" x14ac:dyDescent="0.25">
      <c r="A10514" s="45" t="s">
        <v>10539</v>
      </c>
      <c r="B10514" s="46" t="s">
        <v>23467</v>
      </c>
    </row>
    <row r="10515" spans="1:2" x14ac:dyDescent="0.25">
      <c r="A10515" s="45" t="s">
        <v>10540</v>
      </c>
      <c r="B10515" s="46" t="s">
        <v>23468</v>
      </c>
    </row>
    <row r="10516" spans="1:2" x14ac:dyDescent="0.25">
      <c r="A10516" s="45" t="s">
        <v>10541</v>
      </c>
      <c r="B10516" s="46" t="s">
        <v>23469</v>
      </c>
    </row>
    <row r="10517" spans="1:2" x14ac:dyDescent="0.25">
      <c r="A10517" s="45" t="s">
        <v>10542</v>
      </c>
      <c r="B10517" s="46" t="s">
        <v>23470</v>
      </c>
    </row>
    <row r="10518" spans="1:2" x14ac:dyDescent="0.25">
      <c r="A10518" s="45" t="s">
        <v>10543</v>
      </c>
      <c r="B10518" s="46" t="s">
        <v>23471</v>
      </c>
    </row>
    <row r="10519" spans="1:2" x14ac:dyDescent="0.25">
      <c r="A10519" s="45" t="s">
        <v>10544</v>
      </c>
      <c r="B10519" s="46" t="s">
        <v>23472</v>
      </c>
    </row>
    <row r="10520" spans="1:2" x14ac:dyDescent="0.25">
      <c r="A10520" s="45" t="s">
        <v>10545</v>
      </c>
      <c r="B10520" s="46" t="s">
        <v>23473</v>
      </c>
    </row>
    <row r="10521" spans="1:2" x14ac:dyDescent="0.25">
      <c r="A10521" s="45" t="s">
        <v>10546</v>
      </c>
      <c r="B10521" s="46" t="s">
        <v>23474</v>
      </c>
    </row>
    <row r="10522" spans="1:2" x14ac:dyDescent="0.25">
      <c r="A10522" s="45" t="s">
        <v>10547</v>
      </c>
      <c r="B10522" s="46" t="s">
        <v>23475</v>
      </c>
    </row>
    <row r="10523" spans="1:2" x14ac:dyDescent="0.25">
      <c r="A10523" s="45" t="s">
        <v>10548</v>
      </c>
      <c r="B10523" s="46" t="s">
        <v>23476</v>
      </c>
    </row>
    <row r="10524" spans="1:2" x14ac:dyDescent="0.25">
      <c r="A10524" s="45" t="s">
        <v>10549</v>
      </c>
      <c r="B10524" s="46" t="s">
        <v>23477</v>
      </c>
    </row>
    <row r="10525" spans="1:2" x14ac:dyDescent="0.25">
      <c r="A10525" s="45" t="s">
        <v>10550</v>
      </c>
      <c r="B10525" s="46" t="s">
        <v>23478</v>
      </c>
    </row>
    <row r="10526" spans="1:2" x14ac:dyDescent="0.25">
      <c r="A10526" s="45" t="s">
        <v>10551</v>
      </c>
      <c r="B10526" s="46" t="s">
        <v>23479</v>
      </c>
    </row>
    <row r="10527" spans="1:2" x14ac:dyDescent="0.25">
      <c r="A10527" s="45" t="s">
        <v>10552</v>
      </c>
      <c r="B10527" s="46" t="s">
        <v>23480</v>
      </c>
    </row>
    <row r="10528" spans="1:2" x14ac:dyDescent="0.25">
      <c r="A10528" s="45" t="s">
        <v>10553</v>
      </c>
      <c r="B10528" s="46" t="s">
        <v>23481</v>
      </c>
    </row>
    <row r="10529" spans="1:2" x14ac:dyDescent="0.25">
      <c r="A10529" s="45" t="s">
        <v>10554</v>
      </c>
      <c r="B10529" s="46" t="s">
        <v>23482</v>
      </c>
    </row>
    <row r="10530" spans="1:2" x14ac:dyDescent="0.25">
      <c r="A10530" s="45" t="s">
        <v>10555</v>
      </c>
      <c r="B10530" s="46" t="s">
        <v>23483</v>
      </c>
    </row>
    <row r="10531" spans="1:2" x14ac:dyDescent="0.25">
      <c r="A10531" s="45" t="s">
        <v>10556</v>
      </c>
      <c r="B10531" s="46" t="s">
        <v>23484</v>
      </c>
    </row>
    <row r="10532" spans="1:2" x14ac:dyDescent="0.25">
      <c r="A10532" s="45" t="s">
        <v>10557</v>
      </c>
      <c r="B10532" s="46" t="s">
        <v>23485</v>
      </c>
    </row>
    <row r="10533" spans="1:2" x14ac:dyDescent="0.25">
      <c r="A10533" s="45" t="s">
        <v>10558</v>
      </c>
      <c r="B10533" s="46" t="s">
        <v>23486</v>
      </c>
    </row>
    <row r="10534" spans="1:2" x14ac:dyDescent="0.25">
      <c r="A10534" s="45" t="s">
        <v>10559</v>
      </c>
      <c r="B10534" s="46" t="s">
        <v>23487</v>
      </c>
    </row>
    <row r="10535" spans="1:2" x14ac:dyDescent="0.25">
      <c r="A10535" s="45" t="s">
        <v>10560</v>
      </c>
      <c r="B10535" s="46" t="s">
        <v>23488</v>
      </c>
    </row>
    <row r="10536" spans="1:2" x14ac:dyDescent="0.25">
      <c r="A10536" s="45" t="s">
        <v>10561</v>
      </c>
      <c r="B10536" s="46" t="s">
        <v>23489</v>
      </c>
    </row>
    <row r="10537" spans="1:2" x14ac:dyDescent="0.25">
      <c r="A10537" s="45" t="s">
        <v>10562</v>
      </c>
      <c r="B10537" s="46" t="s">
        <v>23490</v>
      </c>
    </row>
    <row r="10538" spans="1:2" x14ac:dyDescent="0.25">
      <c r="A10538" s="45" t="s">
        <v>10563</v>
      </c>
      <c r="B10538" s="46" t="s">
        <v>23491</v>
      </c>
    </row>
    <row r="10539" spans="1:2" x14ac:dyDescent="0.25">
      <c r="A10539" s="45" t="s">
        <v>10564</v>
      </c>
      <c r="B10539" s="46" t="s">
        <v>23492</v>
      </c>
    </row>
    <row r="10540" spans="1:2" x14ac:dyDescent="0.25">
      <c r="A10540" s="45" t="s">
        <v>10565</v>
      </c>
      <c r="B10540" s="46" t="s">
        <v>23493</v>
      </c>
    </row>
    <row r="10541" spans="1:2" x14ac:dyDescent="0.25">
      <c r="A10541" s="45" t="s">
        <v>10566</v>
      </c>
      <c r="B10541" s="46" t="s">
        <v>23494</v>
      </c>
    </row>
    <row r="10542" spans="1:2" x14ac:dyDescent="0.25">
      <c r="A10542" s="45" t="s">
        <v>10567</v>
      </c>
      <c r="B10542" s="46" t="s">
        <v>23495</v>
      </c>
    </row>
    <row r="10543" spans="1:2" x14ac:dyDescent="0.25">
      <c r="A10543" s="45" t="s">
        <v>10568</v>
      </c>
      <c r="B10543" s="46" t="s">
        <v>23496</v>
      </c>
    </row>
    <row r="10544" spans="1:2" x14ac:dyDescent="0.25">
      <c r="A10544" s="45" t="s">
        <v>10569</v>
      </c>
      <c r="B10544" s="46" t="s">
        <v>23497</v>
      </c>
    </row>
    <row r="10545" spans="1:2" x14ac:dyDescent="0.25">
      <c r="A10545" s="45" t="s">
        <v>10570</v>
      </c>
      <c r="B10545" s="46" t="s">
        <v>23498</v>
      </c>
    </row>
    <row r="10546" spans="1:2" x14ac:dyDescent="0.25">
      <c r="A10546" s="45" t="s">
        <v>10571</v>
      </c>
      <c r="B10546" s="46" t="s">
        <v>23499</v>
      </c>
    </row>
    <row r="10547" spans="1:2" x14ac:dyDescent="0.25">
      <c r="A10547" s="45" t="s">
        <v>10572</v>
      </c>
      <c r="B10547" s="46" t="s">
        <v>23500</v>
      </c>
    </row>
    <row r="10548" spans="1:2" x14ac:dyDescent="0.25">
      <c r="A10548" s="45" t="s">
        <v>10573</v>
      </c>
      <c r="B10548" s="46" t="s">
        <v>23501</v>
      </c>
    </row>
    <row r="10549" spans="1:2" x14ac:dyDescent="0.25">
      <c r="A10549" s="45" t="s">
        <v>10574</v>
      </c>
      <c r="B10549" s="46" t="s">
        <v>23502</v>
      </c>
    </row>
    <row r="10550" spans="1:2" x14ac:dyDescent="0.25">
      <c r="A10550" s="45" t="s">
        <v>10575</v>
      </c>
      <c r="B10550" s="46" t="s">
        <v>23503</v>
      </c>
    </row>
    <row r="10551" spans="1:2" x14ac:dyDescent="0.25">
      <c r="A10551" s="45" t="s">
        <v>10576</v>
      </c>
      <c r="B10551" s="46" t="s">
        <v>23504</v>
      </c>
    </row>
    <row r="10552" spans="1:2" x14ac:dyDescent="0.25">
      <c r="A10552" s="45" t="s">
        <v>10577</v>
      </c>
      <c r="B10552" s="46" t="s">
        <v>23505</v>
      </c>
    </row>
    <row r="10553" spans="1:2" x14ac:dyDescent="0.25">
      <c r="A10553" s="45" t="s">
        <v>10578</v>
      </c>
      <c r="B10553" s="46" t="s">
        <v>23506</v>
      </c>
    </row>
    <row r="10554" spans="1:2" x14ac:dyDescent="0.25">
      <c r="A10554" s="45" t="s">
        <v>10579</v>
      </c>
      <c r="B10554" s="46" t="s">
        <v>23507</v>
      </c>
    </row>
    <row r="10555" spans="1:2" x14ac:dyDescent="0.25">
      <c r="A10555" s="45" t="s">
        <v>10580</v>
      </c>
      <c r="B10555" s="46" t="s">
        <v>23508</v>
      </c>
    </row>
    <row r="10556" spans="1:2" x14ac:dyDescent="0.25">
      <c r="A10556" s="45" t="s">
        <v>10581</v>
      </c>
      <c r="B10556" s="46" t="s">
        <v>23509</v>
      </c>
    </row>
    <row r="10557" spans="1:2" x14ac:dyDescent="0.25">
      <c r="A10557" s="45" t="s">
        <v>10582</v>
      </c>
      <c r="B10557" s="46" t="s">
        <v>23510</v>
      </c>
    </row>
    <row r="10558" spans="1:2" x14ac:dyDescent="0.25">
      <c r="A10558" s="45" t="s">
        <v>10583</v>
      </c>
      <c r="B10558" s="46" t="s">
        <v>23511</v>
      </c>
    </row>
    <row r="10559" spans="1:2" x14ac:dyDescent="0.25">
      <c r="A10559" s="45" t="s">
        <v>10584</v>
      </c>
      <c r="B10559" s="46" t="s">
        <v>23512</v>
      </c>
    </row>
    <row r="10560" spans="1:2" x14ac:dyDescent="0.25">
      <c r="A10560" s="45" t="s">
        <v>10585</v>
      </c>
      <c r="B10560" s="46" t="s">
        <v>23513</v>
      </c>
    </row>
    <row r="10561" spans="1:2" x14ac:dyDescent="0.25">
      <c r="A10561" s="45" t="s">
        <v>10586</v>
      </c>
      <c r="B10561" s="46" t="s">
        <v>23514</v>
      </c>
    </row>
    <row r="10562" spans="1:2" x14ac:dyDescent="0.25">
      <c r="A10562" s="45" t="s">
        <v>10587</v>
      </c>
      <c r="B10562" s="46" t="s">
        <v>23515</v>
      </c>
    </row>
    <row r="10563" spans="1:2" x14ac:dyDescent="0.25">
      <c r="A10563" s="45" t="s">
        <v>10588</v>
      </c>
      <c r="B10563" s="46" t="s">
        <v>23516</v>
      </c>
    </row>
    <row r="10564" spans="1:2" x14ac:dyDescent="0.25">
      <c r="A10564" s="45" t="s">
        <v>10589</v>
      </c>
      <c r="B10564" s="46" t="s">
        <v>23517</v>
      </c>
    </row>
    <row r="10565" spans="1:2" x14ac:dyDescent="0.25">
      <c r="A10565" s="45" t="s">
        <v>10590</v>
      </c>
      <c r="B10565" s="46" t="s">
        <v>23518</v>
      </c>
    </row>
    <row r="10566" spans="1:2" x14ac:dyDescent="0.25">
      <c r="A10566" s="45" t="s">
        <v>10591</v>
      </c>
      <c r="B10566" s="46" t="s">
        <v>23519</v>
      </c>
    </row>
    <row r="10567" spans="1:2" x14ac:dyDescent="0.25">
      <c r="A10567" s="45" t="s">
        <v>10592</v>
      </c>
      <c r="B10567" s="46" t="s">
        <v>23520</v>
      </c>
    </row>
    <row r="10568" spans="1:2" x14ac:dyDescent="0.25">
      <c r="A10568" s="45" t="s">
        <v>10593</v>
      </c>
      <c r="B10568" s="46" t="s">
        <v>23521</v>
      </c>
    </row>
    <row r="10569" spans="1:2" x14ac:dyDescent="0.25">
      <c r="A10569" s="45" t="s">
        <v>10594</v>
      </c>
      <c r="B10569" s="46" t="s">
        <v>23522</v>
      </c>
    </row>
    <row r="10570" spans="1:2" x14ac:dyDescent="0.25">
      <c r="A10570" s="45" t="s">
        <v>10595</v>
      </c>
      <c r="B10570" s="46" t="s">
        <v>23523</v>
      </c>
    </row>
    <row r="10571" spans="1:2" x14ac:dyDescent="0.25">
      <c r="A10571" s="45" t="s">
        <v>10596</v>
      </c>
      <c r="B10571" s="46" t="s">
        <v>23524</v>
      </c>
    </row>
    <row r="10572" spans="1:2" x14ac:dyDescent="0.25">
      <c r="A10572" s="45" t="s">
        <v>10597</v>
      </c>
      <c r="B10572" s="46" t="s">
        <v>23525</v>
      </c>
    </row>
    <row r="10573" spans="1:2" x14ac:dyDescent="0.25">
      <c r="A10573" s="45" t="s">
        <v>10598</v>
      </c>
      <c r="B10573" s="46" t="s">
        <v>23526</v>
      </c>
    </row>
    <row r="10574" spans="1:2" x14ac:dyDescent="0.25">
      <c r="A10574" s="45" t="s">
        <v>10599</v>
      </c>
      <c r="B10574" s="46" t="s">
        <v>23527</v>
      </c>
    </row>
    <row r="10575" spans="1:2" x14ac:dyDescent="0.25">
      <c r="A10575" s="45" t="s">
        <v>10600</v>
      </c>
      <c r="B10575" s="46" t="s">
        <v>23528</v>
      </c>
    </row>
    <row r="10576" spans="1:2" x14ac:dyDescent="0.25">
      <c r="A10576" s="45" t="s">
        <v>10601</v>
      </c>
      <c r="B10576" s="46" t="s">
        <v>23529</v>
      </c>
    </row>
    <row r="10577" spans="1:2" x14ac:dyDescent="0.25">
      <c r="A10577" s="45" t="s">
        <v>10602</v>
      </c>
      <c r="B10577" s="46" t="s">
        <v>23530</v>
      </c>
    </row>
    <row r="10578" spans="1:2" x14ac:dyDescent="0.25">
      <c r="A10578" s="45" t="s">
        <v>10603</v>
      </c>
      <c r="B10578" s="46" t="s">
        <v>23531</v>
      </c>
    </row>
    <row r="10579" spans="1:2" x14ac:dyDescent="0.25">
      <c r="A10579" s="45" t="s">
        <v>10604</v>
      </c>
      <c r="B10579" s="46" t="s">
        <v>23532</v>
      </c>
    </row>
    <row r="10580" spans="1:2" x14ac:dyDescent="0.25">
      <c r="A10580" s="45" t="s">
        <v>10605</v>
      </c>
      <c r="B10580" s="46" t="s">
        <v>23533</v>
      </c>
    </row>
    <row r="10581" spans="1:2" x14ac:dyDescent="0.25">
      <c r="A10581" s="45" t="s">
        <v>10606</v>
      </c>
      <c r="B10581" s="46" t="s">
        <v>23534</v>
      </c>
    </row>
    <row r="10582" spans="1:2" x14ac:dyDescent="0.25">
      <c r="A10582" s="45" t="s">
        <v>10607</v>
      </c>
      <c r="B10582" s="46" t="s">
        <v>23535</v>
      </c>
    </row>
    <row r="10583" spans="1:2" x14ac:dyDescent="0.25">
      <c r="A10583" s="45" t="s">
        <v>10608</v>
      </c>
      <c r="B10583" s="46" t="s">
        <v>23536</v>
      </c>
    </row>
    <row r="10584" spans="1:2" x14ac:dyDescent="0.25">
      <c r="A10584" s="45" t="s">
        <v>10609</v>
      </c>
      <c r="B10584" s="46" t="s">
        <v>23537</v>
      </c>
    </row>
    <row r="10585" spans="1:2" x14ac:dyDescent="0.25">
      <c r="A10585" s="45" t="s">
        <v>10610</v>
      </c>
      <c r="B10585" s="46" t="s">
        <v>23538</v>
      </c>
    </row>
    <row r="10586" spans="1:2" x14ac:dyDescent="0.25">
      <c r="A10586" s="45" t="s">
        <v>10611</v>
      </c>
      <c r="B10586" s="46" t="s">
        <v>23539</v>
      </c>
    </row>
    <row r="10587" spans="1:2" x14ac:dyDescent="0.25">
      <c r="A10587" s="45" t="s">
        <v>10612</v>
      </c>
      <c r="B10587" s="46" t="s">
        <v>23540</v>
      </c>
    </row>
    <row r="10588" spans="1:2" x14ac:dyDescent="0.25">
      <c r="A10588" s="45" t="s">
        <v>10613</v>
      </c>
      <c r="B10588" s="46" t="s">
        <v>23541</v>
      </c>
    </row>
    <row r="10589" spans="1:2" x14ac:dyDescent="0.25">
      <c r="A10589" s="45" t="s">
        <v>10614</v>
      </c>
      <c r="B10589" s="46" t="s">
        <v>23542</v>
      </c>
    </row>
    <row r="10590" spans="1:2" x14ac:dyDescent="0.25">
      <c r="A10590" s="45" t="s">
        <v>10615</v>
      </c>
      <c r="B10590" s="46" t="s">
        <v>23543</v>
      </c>
    </row>
    <row r="10591" spans="1:2" x14ac:dyDescent="0.25">
      <c r="A10591" s="45" t="s">
        <v>10616</v>
      </c>
      <c r="B10591" s="46" t="s">
        <v>23544</v>
      </c>
    </row>
    <row r="10592" spans="1:2" x14ac:dyDescent="0.25">
      <c r="A10592" s="45" t="s">
        <v>10617</v>
      </c>
      <c r="B10592" s="46" t="s">
        <v>23545</v>
      </c>
    </row>
    <row r="10593" spans="1:2" x14ac:dyDescent="0.25">
      <c r="A10593" s="45" t="s">
        <v>10618</v>
      </c>
      <c r="B10593" s="46" t="s">
        <v>23546</v>
      </c>
    </row>
    <row r="10594" spans="1:2" x14ac:dyDescent="0.25">
      <c r="A10594" s="45" t="s">
        <v>10619</v>
      </c>
      <c r="B10594" s="46" t="s">
        <v>23547</v>
      </c>
    </row>
    <row r="10595" spans="1:2" x14ac:dyDescent="0.25">
      <c r="A10595" s="45" t="s">
        <v>10620</v>
      </c>
      <c r="B10595" s="46" t="s">
        <v>23548</v>
      </c>
    </row>
    <row r="10596" spans="1:2" x14ac:dyDescent="0.25">
      <c r="A10596" s="45" t="s">
        <v>10621</v>
      </c>
      <c r="B10596" s="46" t="s">
        <v>23549</v>
      </c>
    </row>
    <row r="10597" spans="1:2" x14ac:dyDescent="0.25">
      <c r="A10597" s="45" t="s">
        <v>10622</v>
      </c>
      <c r="B10597" s="46" t="s">
        <v>23550</v>
      </c>
    </row>
    <row r="10598" spans="1:2" x14ac:dyDescent="0.25">
      <c r="A10598" s="45" t="s">
        <v>10623</v>
      </c>
      <c r="B10598" s="46" t="s">
        <v>23551</v>
      </c>
    </row>
    <row r="10599" spans="1:2" x14ac:dyDescent="0.25">
      <c r="A10599" s="45" t="s">
        <v>10624</v>
      </c>
      <c r="B10599" s="46" t="s">
        <v>23552</v>
      </c>
    </row>
    <row r="10600" spans="1:2" x14ac:dyDescent="0.25">
      <c r="A10600" s="45" t="s">
        <v>10625</v>
      </c>
      <c r="B10600" s="46" t="s">
        <v>23553</v>
      </c>
    </row>
    <row r="10601" spans="1:2" x14ac:dyDescent="0.25">
      <c r="A10601" s="45" t="s">
        <v>10626</v>
      </c>
      <c r="B10601" s="46" t="s">
        <v>23554</v>
      </c>
    </row>
    <row r="10602" spans="1:2" x14ac:dyDescent="0.25">
      <c r="A10602" s="45" t="s">
        <v>10627</v>
      </c>
      <c r="B10602" s="46" t="s">
        <v>23555</v>
      </c>
    </row>
    <row r="10603" spans="1:2" x14ac:dyDescent="0.25">
      <c r="A10603" s="45" t="s">
        <v>10628</v>
      </c>
      <c r="B10603" s="46" t="s">
        <v>23556</v>
      </c>
    </row>
    <row r="10604" spans="1:2" x14ac:dyDescent="0.25">
      <c r="A10604" s="45" t="s">
        <v>10629</v>
      </c>
      <c r="B10604" s="46" t="s">
        <v>23557</v>
      </c>
    </row>
    <row r="10605" spans="1:2" x14ac:dyDescent="0.25">
      <c r="A10605" s="45" t="s">
        <v>10630</v>
      </c>
      <c r="B10605" s="46" t="s">
        <v>23558</v>
      </c>
    </row>
    <row r="10606" spans="1:2" x14ac:dyDescent="0.25">
      <c r="A10606" s="45" t="s">
        <v>10631</v>
      </c>
      <c r="B10606" s="46" t="s">
        <v>23559</v>
      </c>
    </row>
    <row r="10607" spans="1:2" x14ac:dyDescent="0.25">
      <c r="A10607" s="45" t="s">
        <v>10632</v>
      </c>
      <c r="B10607" s="46" t="s">
        <v>23560</v>
      </c>
    </row>
    <row r="10608" spans="1:2" x14ac:dyDescent="0.25">
      <c r="A10608" s="45" t="s">
        <v>10633</v>
      </c>
      <c r="B10608" s="46" t="s">
        <v>23561</v>
      </c>
    </row>
    <row r="10609" spans="1:2" x14ac:dyDescent="0.25">
      <c r="A10609" s="45" t="s">
        <v>10634</v>
      </c>
      <c r="B10609" s="46" t="s">
        <v>23562</v>
      </c>
    </row>
    <row r="10610" spans="1:2" x14ac:dyDescent="0.25">
      <c r="A10610" s="45" t="s">
        <v>10635</v>
      </c>
      <c r="B10610" s="46" t="s">
        <v>23563</v>
      </c>
    </row>
    <row r="10611" spans="1:2" x14ac:dyDescent="0.25">
      <c r="A10611" s="45" t="s">
        <v>10636</v>
      </c>
      <c r="B10611" s="46" t="s">
        <v>23564</v>
      </c>
    </row>
    <row r="10612" spans="1:2" x14ac:dyDescent="0.25">
      <c r="A10612" s="45" t="s">
        <v>10637</v>
      </c>
      <c r="B10612" s="46" t="s">
        <v>23565</v>
      </c>
    </row>
    <row r="10613" spans="1:2" x14ac:dyDescent="0.25">
      <c r="A10613" s="45" t="s">
        <v>10638</v>
      </c>
      <c r="B10613" s="46" t="s">
        <v>23566</v>
      </c>
    </row>
    <row r="10614" spans="1:2" x14ac:dyDescent="0.25">
      <c r="A10614" s="45" t="s">
        <v>10639</v>
      </c>
      <c r="B10614" s="46" t="s">
        <v>23567</v>
      </c>
    </row>
    <row r="10615" spans="1:2" x14ac:dyDescent="0.25">
      <c r="A10615" s="45" t="s">
        <v>10640</v>
      </c>
      <c r="B10615" s="46" t="s">
        <v>23568</v>
      </c>
    </row>
    <row r="10616" spans="1:2" x14ac:dyDescent="0.25">
      <c r="A10616" s="45" t="s">
        <v>10641</v>
      </c>
      <c r="B10616" s="46" t="s">
        <v>23569</v>
      </c>
    </row>
    <row r="10617" spans="1:2" x14ac:dyDescent="0.25">
      <c r="A10617" s="45" t="s">
        <v>10642</v>
      </c>
      <c r="B10617" s="46" t="s">
        <v>23570</v>
      </c>
    </row>
    <row r="10618" spans="1:2" x14ac:dyDescent="0.25">
      <c r="A10618" s="45" t="s">
        <v>10643</v>
      </c>
      <c r="B10618" s="46" t="s">
        <v>23571</v>
      </c>
    </row>
    <row r="10619" spans="1:2" x14ac:dyDescent="0.25">
      <c r="A10619" s="45" t="s">
        <v>10644</v>
      </c>
      <c r="B10619" s="46" t="s">
        <v>23572</v>
      </c>
    </row>
    <row r="10620" spans="1:2" x14ac:dyDescent="0.25">
      <c r="A10620" s="45" t="s">
        <v>10645</v>
      </c>
      <c r="B10620" s="46" t="s">
        <v>23573</v>
      </c>
    </row>
    <row r="10621" spans="1:2" x14ac:dyDescent="0.25">
      <c r="A10621" s="45" t="s">
        <v>10646</v>
      </c>
      <c r="B10621" s="46" t="s">
        <v>23574</v>
      </c>
    </row>
    <row r="10622" spans="1:2" x14ac:dyDescent="0.25">
      <c r="A10622" s="45" t="s">
        <v>10647</v>
      </c>
      <c r="B10622" s="46" t="s">
        <v>23575</v>
      </c>
    </row>
    <row r="10623" spans="1:2" x14ac:dyDescent="0.25">
      <c r="A10623" s="45" t="s">
        <v>10648</v>
      </c>
      <c r="B10623" s="46" t="s">
        <v>23576</v>
      </c>
    </row>
    <row r="10624" spans="1:2" x14ac:dyDescent="0.25">
      <c r="A10624" s="45" t="s">
        <v>10649</v>
      </c>
      <c r="B10624" s="46" t="s">
        <v>23577</v>
      </c>
    </row>
    <row r="10625" spans="1:2" x14ac:dyDescent="0.25">
      <c r="A10625" s="45" t="s">
        <v>10650</v>
      </c>
      <c r="B10625" s="46" t="s">
        <v>23578</v>
      </c>
    </row>
    <row r="10626" spans="1:2" x14ac:dyDescent="0.25">
      <c r="A10626" s="45" t="s">
        <v>10651</v>
      </c>
      <c r="B10626" s="46" t="s">
        <v>23579</v>
      </c>
    </row>
    <row r="10627" spans="1:2" x14ac:dyDescent="0.25">
      <c r="A10627" s="45" t="s">
        <v>10652</v>
      </c>
      <c r="B10627" s="46" t="s">
        <v>23580</v>
      </c>
    </row>
    <row r="10628" spans="1:2" x14ac:dyDescent="0.25">
      <c r="A10628" s="45" t="s">
        <v>10653</v>
      </c>
      <c r="B10628" s="46" t="s">
        <v>23581</v>
      </c>
    </row>
    <row r="10629" spans="1:2" x14ac:dyDescent="0.25">
      <c r="A10629" s="45" t="s">
        <v>10654</v>
      </c>
      <c r="B10629" s="46" t="s">
        <v>23582</v>
      </c>
    </row>
    <row r="10630" spans="1:2" x14ac:dyDescent="0.25">
      <c r="A10630" s="45" t="s">
        <v>10655</v>
      </c>
      <c r="B10630" s="46" t="s">
        <v>23583</v>
      </c>
    </row>
    <row r="10631" spans="1:2" x14ac:dyDescent="0.25">
      <c r="A10631" s="45" t="s">
        <v>10656</v>
      </c>
      <c r="B10631" s="46" t="s">
        <v>23584</v>
      </c>
    </row>
    <row r="10632" spans="1:2" x14ac:dyDescent="0.25">
      <c r="A10632" s="45" t="s">
        <v>10657</v>
      </c>
      <c r="B10632" s="46" t="s">
        <v>23585</v>
      </c>
    </row>
    <row r="10633" spans="1:2" x14ac:dyDescent="0.25">
      <c r="A10633" s="45" t="s">
        <v>10658</v>
      </c>
      <c r="B10633" s="46" t="s">
        <v>23586</v>
      </c>
    </row>
    <row r="10634" spans="1:2" x14ac:dyDescent="0.25">
      <c r="A10634" s="45" t="s">
        <v>10659</v>
      </c>
      <c r="B10634" s="46" t="s">
        <v>23587</v>
      </c>
    </row>
    <row r="10635" spans="1:2" x14ac:dyDescent="0.25">
      <c r="A10635" s="45" t="s">
        <v>10660</v>
      </c>
      <c r="B10635" s="46" t="s">
        <v>23588</v>
      </c>
    </row>
    <row r="10636" spans="1:2" x14ac:dyDescent="0.25">
      <c r="A10636" s="45" t="s">
        <v>10661</v>
      </c>
      <c r="B10636" s="46" t="s">
        <v>23589</v>
      </c>
    </row>
    <row r="10637" spans="1:2" x14ac:dyDescent="0.25">
      <c r="A10637" s="45" t="s">
        <v>10662</v>
      </c>
      <c r="B10637" s="46" t="s">
        <v>23590</v>
      </c>
    </row>
    <row r="10638" spans="1:2" x14ac:dyDescent="0.25">
      <c r="A10638" s="45" t="s">
        <v>10663</v>
      </c>
      <c r="B10638" s="46" t="s">
        <v>23591</v>
      </c>
    </row>
    <row r="10639" spans="1:2" x14ac:dyDescent="0.25">
      <c r="A10639" s="45" t="s">
        <v>10664</v>
      </c>
      <c r="B10639" s="46" t="s">
        <v>23592</v>
      </c>
    </row>
    <row r="10640" spans="1:2" x14ac:dyDescent="0.25">
      <c r="A10640" s="45" t="s">
        <v>10665</v>
      </c>
      <c r="B10640" s="46" t="s">
        <v>23593</v>
      </c>
    </row>
    <row r="10641" spans="1:2" x14ac:dyDescent="0.25">
      <c r="A10641" s="45" t="s">
        <v>10666</v>
      </c>
      <c r="B10641" s="46" t="s">
        <v>23594</v>
      </c>
    </row>
    <row r="10642" spans="1:2" x14ac:dyDescent="0.25">
      <c r="A10642" s="45" t="s">
        <v>10667</v>
      </c>
      <c r="B10642" s="46" t="s">
        <v>23595</v>
      </c>
    </row>
    <row r="10643" spans="1:2" x14ac:dyDescent="0.25">
      <c r="A10643" s="45" t="s">
        <v>10668</v>
      </c>
      <c r="B10643" s="46" t="s">
        <v>23596</v>
      </c>
    </row>
    <row r="10644" spans="1:2" x14ac:dyDescent="0.25">
      <c r="A10644" s="45" t="s">
        <v>10669</v>
      </c>
      <c r="B10644" s="46" t="s">
        <v>23597</v>
      </c>
    </row>
    <row r="10645" spans="1:2" x14ac:dyDescent="0.25">
      <c r="A10645" s="45" t="s">
        <v>10670</v>
      </c>
      <c r="B10645" s="46" t="s">
        <v>23598</v>
      </c>
    </row>
    <row r="10646" spans="1:2" x14ac:dyDescent="0.25">
      <c r="A10646" s="45" t="s">
        <v>10671</v>
      </c>
      <c r="B10646" s="46" t="s">
        <v>23599</v>
      </c>
    </row>
    <row r="10647" spans="1:2" x14ac:dyDescent="0.25">
      <c r="A10647" s="45" t="s">
        <v>10672</v>
      </c>
      <c r="B10647" s="46" t="s">
        <v>23600</v>
      </c>
    </row>
    <row r="10648" spans="1:2" x14ac:dyDescent="0.25">
      <c r="A10648" s="45" t="s">
        <v>10673</v>
      </c>
      <c r="B10648" s="46" t="s">
        <v>23601</v>
      </c>
    </row>
    <row r="10649" spans="1:2" x14ac:dyDescent="0.25">
      <c r="A10649" s="45" t="s">
        <v>10674</v>
      </c>
      <c r="B10649" s="46" t="s">
        <v>23602</v>
      </c>
    </row>
    <row r="10650" spans="1:2" x14ac:dyDescent="0.25">
      <c r="A10650" s="45" t="s">
        <v>10675</v>
      </c>
      <c r="B10650" s="46" t="s">
        <v>23603</v>
      </c>
    </row>
    <row r="10651" spans="1:2" x14ac:dyDescent="0.25">
      <c r="A10651" s="45" t="s">
        <v>10676</v>
      </c>
      <c r="B10651" s="46" t="s">
        <v>23604</v>
      </c>
    </row>
    <row r="10652" spans="1:2" x14ac:dyDescent="0.25">
      <c r="A10652" s="45" t="s">
        <v>10677</v>
      </c>
      <c r="B10652" s="46" t="s">
        <v>23605</v>
      </c>
    </row>
    <row r="10653" spans="1:2" x14ac:dyDescent="0.25">
      <c r="A10653" s="45" t="s">
        <v>10678</v>
      </c>
      <c r="B10653" s="46" t="s">
        <v>23606</v>
      </c>
    </row>
    <row r="10654" spans="1:2" x14ac:dyDescent="0.25">
      <c r="A10654" s="45" t="s">
        <v>10679</v>
      </c>
      <c r="B10654" s="46" t="s">
        <v>23607</v>
      </c>
    </row>
    <row r="10655" spans="1:2" x14ac:dyDescent="0.25">
      <c r="A10655" s="45" t="s">
        <v>10680</v>
      </c>
      <c r="B10655" s="46" t="s">
        <v>23608</v>
      </c>
    </row>
    <row r="10656" spans="1:2" x14ac:dyDescent="0.25">
      <c r="A10656" s="45" t="s">
        <v>10681</v>
      </c>
      <c r="B10656" s="46" t="s">
        <v>23609</v>
      </c>
    </row>
    <row r="10657" spans="1:2" x14ac:dyDescent="0.25">
      <c r="A10657" s="45" t="s">
        <v>10682</v>
      </c>
      <c r="B10657" s="46" t="s">
        <v>23610</v>
      </c>
    </row>
    <row r="10658" spans="1:2" x14ac:dyDescent="0.25">
      <c r="A10658" s="45" t="s">
        <v>10683</v>
      </c>
      <c r="B10658" s="46" t="s">
        <v>23611</v>
      </c>
    </row>
    <row r="10659" spans="1:2" x14ac:dyDescent="0.25">
      <c r="A10659" s="45" t="s">
        <v>10684</v>
      </c>
      <c r="B10659" s="46" t="s">
        <v>23612</v>
      </c>
    </row>
    <row r="10660" spans="1:2" x14ac:dyDescent="0.25">
      <c r="A10660" s="45" t="s">
        <v>10685</v>
      </c>
      <c r="B10660" s="46" t="s">
        <v>23613</v>
      </c>
    </row>
    <row r="10661" spans="1:2" x14ac:dyDescent="0.25">
      <c r="A10661" s="45" t="s">
        <v>10686</v>
      </c>
      <c r="B10661" s="46" t="s">
        <v>23614</v>
      </c>
    </row>
    <row r="10662" spans="1:2" x14ac:dyDescent="0.25">
      <c r="A10662" s="45" t="s">
        <v>10687</v>
      </c>
      <c r="B10662" s="46" t="s">
        <v>23615</v>
      </c>
    </row>
    <row r="10663" spans="1:2" x14ac:dyDescent="0.25">
      <c r="A10663" s="45" t="s">
        <v>10688</v>
      </c>
      <c r="B10663" s="46" t="s">
        <v>23616</v>
      </c>
    </row>
    <row r="10664" spans="1:2" x14ac:dyDescent="0.25">
      <c r="A10664" s="45" t="s">
        <v>10689</v>
      </c>
      <c r="B10664" s="46" t="s">
        <v>23617</v>
      </c>
    </row>
    <row r="10665" spans="1:2" x14ac:dyDescent="0.25">
      <c r="A10665" s="45" t="s">
        <v>10690</v>
      </c>
      <c r="B10665" s="46" t="s">
        <v>23618</v>
      </c>
    </row>
    <row r="10666" spans="1:2" x14ac:dyDescent="0.25">
      <c r="A10666" s="45" t="s">
        <v>10691</v>
      </c>
      <c r="B10666" s="46" t="s">
        <v>23619</v>
      </c>
    </row>
    <row r="10667" spans="1:2" x14ac:dyDescent="0.25">
      <c r="A10667" s="45" t="s">
        <v>10692</v>
      </c>
      <c r="B10667" s="46" t="s">
        <v>23620</v>
      </c>
    </row>
    <row r="10668" spans="1:2" x14ac:dyDescent="0.25">
      <c r="A10668" s="45" t="s">
        <v>10693</v>
      </c>
      <c r="B10668" s="46" t="s">
        <v>23621</v>
      </c>
    </row>
    <row r="10669" spans="1:2" x14ac:dyDescent="0.25">
      <c r="A10669" s="45" t="s">
        <v>10694</v>
      </c>
      <c r="B10669" s="46" t="s">
        <v>23622</v>
      </c>
    </row>
    <row r="10670" spans="1:2" x14ac:dyDescent="0.25">
      <c r="A10670" s="45" t="s">
        <v>10695</v>
      </c>
      <c r="B10670" s="46" t="s">
        <v>23623</v>
      </c>
    </row>
    <row r="10671" spans="1:2" x14ac:dyDescent="0.25">
      <c r="A10671" s="45" t="s">
        <v>10696</v>
      </c>
      <c r="B10671" s="46" t="s">
        <v>23624</v>
      </c>
    </row>
    <row r="10672" spans="1:2" x14ac:dyDescent="0.25">
      <c r="A10672" s="45" t="s">
        <v>10697</v>
      </c>
      <c r="B10672" s="46" t="s">
        <v>23625</v>
      </c>
    </row>
    <row r="10673" spans="1:2" x14ac:dyDescent="0.25">
      <c r="A10673" s="45" t="s">
        <v>10698</v>
      </c>
      <c r="B10673" s="46" t="s">
        <v>23626</v>
      </c>
    </row>
    <row r="10674" spans="1:2" x14ac:dyDescent="0.25">
      <c r="A10674" s="45" t="s">
        <v>10699</v>
      </c>
      <c r="B10674" s="46" t="s">
        <v>23627</v>
      </c>
    </row>
    <row r="10675" spans="1:2" x14ac:dyDescent="0.25">
      <c r="A10675" s="45" t="s">
        <v>10700</v>
      </c>
      <c r="B10675" s="46" t="s">
        <v>23628</v>
      </c>
    </row>
    <row r="10676" spans="1:2" x14ac:dyDescent="0.25">
      <c r="A10676" s="45" t="s">
        <v>10701</v>
      </c>
      <c r="B10676" s="46" t="s">
        <v>23629</v>
      </c>
    </row>
    <row r="10677" spans="1:2" x14ac:dyDescent="0.25">
      <c r="A10677" s="45" t="s">
        <v>10702</v>
      </c>
      <c r="B10677" s="46" t="s">
        <v>23630</v>
      </c>
    </row>
    <row r="10678" spans="1:2" x14ac:dyDescent="0.25">
      <c r="A10678" s="45" t="s">
        <v>10703</v>
      </c>
      <c r="B10678" s="46" t="s">
        <v>23631</v>
      </c>
    </row>
    <row r="10679" spans="1:2" x14ac:dyDescent="0.25">
      <c r="A10679" s="45" t="s">
        <v>10704</v>
      </c>
      <c r="B10679" s="46" t="s">
        <v>23632</v>
      </c>
    </row>
    <row r="10680" spans="1:2" x14ac:dyDescent="0.25">
      <c r="A10680" s="45" t="s">
        <v>10705</v>
      </c>
      <c r="B10680" s="46" t="s">
        <v>23633</v>
      </c>
    </row>
    <row r="10681" spans="1:2" x14ac:dyDescent="0.25">
      <c r="A10681" s="45" t="s">
        <v>10706</v>
      </c>
      <c r="B10681" s="46" t="s">
        <v>23634</v>
      </c>
    </row>
    <row r="10682" spans="1:2" x14ac:dyDescent="0.25">
      <c r="A10682" s="45" t="s">
        <v>10707</v>
      </c>
      <c r="B10682" s="46" t="s">
        <v>23635</v>
      </c>
    </row>
    <row r="10683" spans="1:2" x14ac:dyDescent="0.25">
      <c r="A10683" s="45" t="s">
        <v>10708</v>
      </c>
      <c r="B10683" s="46" t="s">
        <v>23636</v>
      </c>
    </row>
    <row r="10684" spans="1:2" x14ac:dyDescent="0.25">
      <c r="A10684" s="45" t="s">
        <v>10709</v>
      </c>
      <c r="B10684" s="46" t="s">
        <v>23637</v>
      </c>
    </row>
    <row r="10685" spans="1:2" x14ac:dyDescent="0.25">
      <c r="A10685" s="45" t="s">
        <v>10710</v>
      </c>
      <c r="B10685" s="46" t="s">
        <v>23638</v>
      </c>
    </row>
    <row r="10686" spans="1:2" x14ac:dyDescent="0.25">
      <c r="A10686" s="45" t="s">
        <v>10711</v>
      </c>
      <c r="B10686" s="46" t="s">
        <v>23639</v>
      </c>
    </row>
    <row r="10687" spans="1:2" x14ac:dyDescent="0.25">
      <c r="A10687" s="45" t="s">
        <v>10712</v>
      </c>
      <c r="B10687" s="46" t="s">
        <v>23640</v>
      </c>
    </row>
    <row r="10688" spans="1:2" x14ac:dyDescent="0.25">
      <c r="A10688" s="45" t="s">
        <v>10713</v>
      </c>
      <c r="B10688" s="46" t="s">
        <v>23641</v>
      </c>
    </row>
    <row r="10689" spans="1:2" x14ac:dyDescent="0.25">
      <c r="A10689" s="45" t="s">
        <v>10714</v>
      </c>
      <c r="B10689" s="46" t="s">
        <v>23642</v>
      </c>
    </row>
    <row r="10690" spans="1:2" x14ac:dyDescent="0.25">
      <c r="A10690" s="45" t="s">
        <v>10715</v>
      </c>
      <c r="B10690" s="46" t="s">
        <v>23643</v>
      </c>
    </row>
    <row r="10691" spans="1:2" x14ac:dyDescent="0.25">
      <c r="A10691" s="45" t="s">
        <v>10716</v>
      </c>
      <c r="B10691" s="46" t="s">
        <v>23644</v>
      </c>
    </row>
    <row r="10692" spans="1:2" x14ac:dyDescent="0.25">
      <c r="A10692" s="45" t="s">
        <v>10717</v>
      </c>
      <c r="B10692" s="46" t="s">
        <v>23645</v>
      </c>
    </row>
    <row r="10693" spans="1:2" x14ac:dyDescent="0.25">
      <c r="A10693" s="45" t="s">
        <v>10718</v>
      </c>
      <c r="B10693" s="46" t="s">
        <v>23646</v>
      </c>
    </row>
    <row r="10694" spans="1:2" x14ac:dyDescent="0.25">
      <c r="A10694" s="45" t="s">
        <v>10719</v>
      </c>
      <c r="B10694" s="46" t="s">
        <v>23647</v>
      </c>
    </row>
    <row r="10695" spans="1:2" x14ac:dyDescent="0.25">
      <c r="A10695" s="45" t="s">
        <v>10720</v>
      </c>
      <c r="B10695" s="46" t="s">
        <v>23648</v>
      </c>
    </row>
    <row r="10696" spans="1:2" x14ac:dyDescent="0.25">
      <c r="A10696" s="45" t="s">
        <v>10721</v>
      </c>
      <c r="B10696" s="46" t="s">
        <v>23649</v>
      </c>
    </row>
    <row r="10697" spans="1:2" x14ac:dyDescent="0.25">
      <c r="A10697" s="45" t="s">
        <v>10722</v>
      </c>
      <c r="B10697" s="46" t="s">
        <v>23650</v>
      </c>
    </row>
    <row r="10698" spans="1:2" x14ac:dyDescent="0.25">
      <c r="A10698" s="45" t="s">
        <v>10723</v>
      </c>
      <c r="B10698" s="46" t="s">
        <v>23651</v>
      </c>
    </row>
    <row r="10699" spans="1:2" x14ac:dyDescent="0.25">
      <c r="A10699" s="45" t="s">
        <v>10724</v>
      </c>
      <c r="B10699" s="46" t="s">
        <v>23652</v>
      </c>
    </row>
    <row r="10700" spans="1:2" x14ac:dyDescent="0.25">
      <c r="A10700" s="45" t="s">
        <v>10725</v>
      </c>
      <c r="B10700" s="46" t="s">
        <v>23653</v>
      </c>
    </row>
    <row r="10701" spans="1:2" x14ac:dyDescent="0.25">
      <c r="A10701" s="45" t="s">
        <v>10726</v>
      </c>
      <c r="B10701" s="46" t="s">
        <v>23654</v>
      </c>
    </row>
    <row r="10702" spans="1:2" x14ac:dyDescent="0.25">
      <c r="A10702" s="45" t="s">
        <v>10727</v>
      </c>
      <c r="B10702" s="46" t="s">
        <v>23655</v>
      </c>
    </row>
    <row r="10703" spans="1:2" x14ac:dyDescent="0.25">
      <c r="A10703" s="45" t="s">
        <v>10728</v>
      </c>
      <c r="B10703" s="46" t="s">
        <v>23656</v>
      </c>
    </row>
    <row r="10704" spans="1:2" x14ac:dyDescent="0.25">
      <c r="A10704" s="45" t="s">
        <v>10729</v>
      </c>
      <c r="B10704" s="46" t="s">
        <v>23657</v>
      </c>
    </row>
    <row r="10705" spans="1:2" x14ac:dyDescent="0.25">
      <c r="A10705" s="45" t="s">
        <v>10730</v>
      </c>
      <c r="B10705" s="46" t="s">
        <v>23658</v>
      </c>
    </row>
    <row r="10706" spans="1:2" x14ac:dyDescent="0.25">
      <c r="A10706" s="45" t="s">
        <v>10731</v>
      </c>
      <c r="B10706" s="46" t="s">
        <v>23659</v>
      </c>
    </row>
    <row r="10707" spans="1:2" x14ac:dyDescent="0.25">
      <c r="A10707" s="45" t="s">
        <v>10732</v>
      </c>
      <c r="B10707" s="46" t="s">
        <v>23660</v>
      </c>
    </row>
    <row r="10708" spans="1:2" x14ac:dyDescent="0.25">
      <c r="A10708" s="45" t="s">
        <v>10733</v>
      </c>
      <c r="B10708" s="46" t="s">
        <v>23661</v>
      </c>
    </row>
    <row r="10709" spans="1:2" x14ac:dyDescent="0.25">
      <c r="A10709" s="45" t="s">
        <v>10734</v>
      </c>
      <c r="B10709" s="46" t="s">
        <v>23662</v>
      </c>
    </row>
    <row r="10710" spans="1:2" x14ac:dyDescent="0.25">
      <c r="A10710" s="45" t="s">
        <v>10735</v>
      </c>
      <c r="B10710" s="46" t="s">
        <v>23663</v>
      </c>
    </row>
    <row r="10711" spans="1:2" x14ac:dyDescent="0.25">
      <c r="A10711" s="45" t="s">
        <v>10736</v>
      </c>
      <c r="B10711" s="46" t="s">
        <v>23664</v>
      </c>
    </row>
    <row r="10712" spans="1:2" x14ac:dyDescent="0.25">
      <c r="A10712" s="45" t="s">
        <v>10737</v>
      </c>
      <c r="B10712" s="46" t="s">
        <v>23665</v>
      </c>
    </row>
    <row r="10713" spans="1:2" x14ac:dyDescent="0.25">
      <c r="A10713" s="45" t="s">
        <v>10738</v>
      </c>
      <c r="B10713" s="46" t="s">
        <v>23666</v>
      </c>
    </row>
    <row r="10714" spans="1:2" x14ac:dyDescent="0.25">
      <c r="A10714" s="45" t="s">
        <v>10739</v>
      </c>
      <c r="B10714" s="46" t="s">
        <v>23667</v>
      </c>
    </row>
    <row r="10715" spans="1:2" x14ac:dyDescent="0.25">
      <c r="A10715" s="45" t="s">
        <v>10740</v>
      </c>
      <c r="B10715" s="46" t="s">
        <v>23668</v>
      </c>
    </row>
    <row r="10716" spans="1:2" x14ac:dyDescent="0.25">
      <c r="A10716" s="45" t="s">
        <v>10741</v>
      </c>
      <c r="B10716" s="46" t="s">
        <v>23669</v>
      </c>
    </row>
    <row r="10717" spans="1:2" x14ac:dyDescent="0.25">
      <c r="A10717" s="45" t="s">
        <v>10742</v>
      </c>
      <c r="B10717" s="46" t="s">
        <v>23670</v>
      </c>
    </row>
    <row r="10718" spans="1:2" x14ac:dyDescent="0.25">
      <c r="A10718" s="45" t="s">
        <v>10743</v>
      </c>
      <c r="B10718" s="46" t="s">
        <v>23671</v>
      </c>
    </row>
    <row r="10719" spans="1:2" x14ac:dyDescent="0.25">
      <c r="A10719" s="45" t="s">
        <v>10744</v>
      </c>
      <c r="B10719" s="46" t="s">
        <v>23672</v>
      </c>
    </row>
    <row r="10720" spans="1:2" x14ac:dyDescent="0.25">
      <c r="A10720" s="45" t="s">
        <v>10745</v>
      </c>
      <c r="B10720" s="46" t="s">
        <v>23673</v>
      </c>
    </row>
    <row r="10721" spans="1:2" x14ac:dyDescent="0.25">
      <c r="A10721" s="45" t="s">
        <v>10746</v>
      </c>
      <c r="B10721" s="46" t="s">
        <v>23674</v>
      </c>
    </row>
    <row r="10722" spans="1:2" x14ac:dyDescent="0.25">
      <c r="A10722" s="45" t="s">
        <v>10747</v>
      </c>
      <c r="B10722" s="46" t="s">
        <v>23675</v>
      </c>
    </row>
    <row r="10723" spans="1:2" x14ac:dyDescent="0.25">
      <c r="A10723" s="45" t="s">
        <v>10748</v>
      </c>
      <c r="B10723" s="46" t="s">
        <v>23676</v>
      </c>
    </row>
    <row r="10724" spans="1:2" x14ac:dyDescent="0.25">
      <c r="A10724" s="45" t="s">
        <v>10749</v>
      </c>
      <c r="B10724" s="46" t="s">
        <v>23677</v>
      </c>
    </row>
    <row r="10725" spans="1:2" x14ac:dyDescent="0.25">
      <c r="A10725" s="45" t="s">
        <v>10750</v>
      </c>
      <c r="B10725" s="46" t="s">
        <v>23678</v>
      </c>
    </row>
    <row r="10726" spans="1:2" x14ac:dyDescent="0.25">
      <c r="A10726" s="45" t="s">
        <v>10751</v>
      </c>
      <c r="B10726" s="46" t="s">
        <v>23679</v>
      </c>
    </row>
    <row r="10727" spans="1:2" x14ac:dyDescent="0.25">
      <c r="A10727" s="45" t="s">
        <v>10752</v>
      </c>
      <c r="B10727" s="46" t="s">
        <v>23680</v>
      </c>
    </row>
    <row r="10728" spans="1:2" x14ac:dyDescent="0.25">
      <c r="A10728" s="45" t="s">
        <v>10753</v>
      </c>
      <c r="B10728" s="46" t="s">
        <v>23681</v>
      </c>
    </row>
    <row r="10729" spans="1:2" x14ac:dyDescent="0.25">
      <c r="A10729" s="45" t="s">
        <v>10754</v>
      </c>
      <c r="B10729" s="46" t="s">
        <v>23682</v>
      </c>
    </row>
    <row r="10730" spans="1:2" x14ac:dyDescent="0.25">
      <c r="A10730" s="45" t="s">
        <v>10755</v>
      </c>
      <c r="B10730" s="46" t="s">
        <v>23683</v>
      </c>
    </row>
    <row r="10731" spans="1:2" x14ac:dyDescent="0.25">
      <c r="A10731" s="45" t="s">
        <v>10756</v>
      </c>
      <c r="B10731" s="46" t="s">
        <v>23684</v>
      </c>
    </row>
    <row r="10732" spans="1:2" x14ac:dyDescent="0.25">
      <c r="A10732" s="45" t="s">
        <v>10757</v>
      </c>
      <c r="B10732" s="46" t="s">
        <v>23685</v>
      </c>
    </row>
    <row r="10733" spans="1:2" x14ac:dyDescent="0.25">
      <c r="A10733" s="45" t="s">
        <v>10758</v>
      </c>
      <c r="B10733" s="46" t="s">
        <v>23686</v>
      </c>
    </row>
    <row r="10734" spans="1:2" x14ac:dyDescent="0.25">
      <c r="A10734" s="45" t="s">
        <v>10759</v>
      </c>
      <c r="B10734" s="46" t="s">
        <v>23687</v>
      </c>
    </row>
    <row r="10735" spans="1:2" x14ac:dyDescent="0.25">
      <c r="A10735" s="45" t="s">
        <v>10760</v>
      </c>
      <c r="B10735" s="46" t="s">
        <v>23688</v>
      </c>
    </row>
    <row r="10736" spans="1:2" x14ac:dyDescent="0.25">
      <c r="A10736" s="45" t="s">
        <v>10761</v>
      </c>
      <c r="B10736" s="46" t="s">
        <v>23689</v>
      </c>
    </row>
    <row r="10737" spans="1:2" x14ac:dyDescent="0.25">
      <c r="A10737" s="45" t="s">
        <v>10762</v>
      </c>
      <c r="B10737" s="46" t="s">
        <v>23690</v>
      </c>
    </row>
    <row r="10738" spans="1:2" x14ac:dyDescent="0.25">
      <c r="A10738" s="45" t="s">
        <v>10763</v>
      </c>
      <c r="B10738" s="46" t="s">
        <v>23691</v>
      </c>
    </row>
    <row r="10739" spans="1:2" x14ac:dyDescent="0.25">
      <c r="A10739" s="45" t="s">
        <v>10764</v>
      </c>
      <c r="B10739" s="46" t="s">
        <v>23692</v>
      </c>
    </row>
    <row r="10740" spans="1:2" x14ac:dyDescent="0.25">
      <c r="A10740" s="45" t="s">
        <v>10765</v>
      </c>
      <c r="B10740" s="46" t="s">
        <v>23693</v>
      </c>
    </row>
    <row r="10741" spans="1:2" x14ac:dyDescent="0.25">
      <c r="A10741" s="45" t="s">
        <v>10766</v>
      </c>
      <c r="B10741" s="46" t="s">
        <v>23694</v>
      </c>
    </row>
    <row r="10742" spans="1:2" x14ac:dyDescent="0.25">
      <c r="A10742" s="45" t="s">
        <v>10767</v>
      </c>
      <c r="B10742" s="46" t="s">
        <v>23695</v>
      </c>
    </row>
    <row r="10743" spans="1:2" x14ac:dyDescent="0.25">
      <c r="A10743" s="45" t="s">
        <v>10768</v>
      </c>
      <c r="B10743" s="46" t="s">
        <v>23696</v>
      </c>
    </row>
    <row r="10744" spans="1:2" x14ac:dyDescent="0.25">
      <c r="A10744" s="45" t="s">
        <v>10769</v>
      </c>
      <c r="B10744" s="46" t="s">
        <v>23697</v>
      </c>
    </row>
    <row r="10745" spans="1:2" x14ac:dyDescent="0.25">
      <c r="A10745" s="45" t="s">
        <v>10770</v>
      </c>
      <c r="B10745" s="46" t="s">
        <v>23698</v>
      </c>
    </row>
    <row r="10746" spans="1:2" x14ac:dyDescent="0.25">
      <c r="A10746" s="45" t="s">
        <v>10771</v>
      </c>
      <c r="B10746" s="46" t="s">
        <v>23699</v>
      </c>
    </row>
    <row r="10747" spans="1:2" x14ac:dyDescent="0.25">
      <c r="A10747" s="45" t="s">
        <v>10772</v>
      </c>
      <c r="B10747" s="46" t="s">
        <v>23700</v>
      </c>
    </row>
    <row r="10748" spans="1:2" x14ac:dyDescent="0.25">
      <c r="A10748" s="45" t="s">
        <v>10773</v>
      </c>
      <c r="B10748" s="46" t="s">
        <v>23701</v>
      </c>
    </row>
    <row r="10749" spans="1:2" x14ac:dyDescent="0.25">
      <c r="A10749" s="45" t="s">
        <v>10774</v>
      </c>
      <c r="B10749" s="46" t="s">
        <v>23702</v>
      </c>
    </row>
    <row r="10750" spans="1:2" x14ac:dyDescent="0.25">
      <c r="A10750" s="45" t="s">
        <v>10775</v>
      </c>
      <c r="B10750" s="46" t="s">
        <v>23703</v>
      </c>
    </row>
    <row r="10751" spans="1:2" x14ac:dyDescent="0.25">
      <c r="A10751" s="45" t="s">
        <v>10776</v>
      </c>
      <c r="B10751" s="46" t="s">
        <v>23704</v>
      </c>
    </row>
    <row r="10752" spans="1:2" x14ac:dyDescent="0.25">
      <c r="A10752" s="45" t="s">
        <v>10777</v>
      </c>
      <c r="B10752" s="46" t="s">
        <v>23705</v>
      </c>
    </row>
    <row r="10753" spans="1:2" x14ac:dyDescent="0.25">
      <c r="A10753" s="45" t="s">
        <v>10778</v>
      </c>
      <c r="B10753" s="46" t="s">
        <v>23706</v>
      </c>
    </row>
    <row r="10754" spans="1:2" x14ac:dyDescent="0.25">
      <c r="A10754" s="45" t="s">
        <v>10779</v>
      </c>
      <c r="B10754" s="46" t="s">
        <v>23707</v>
      </c>
    </row>
    <row r="10755" spans="1:2" x14ac:dyDescent="0.25">
      <c r="A10755" s="45" t="s">
        <v>10780</v>
      </c>
      <c r="B10755" s="46" t="s">
        <v>23708</v>
      </c>
    </row>
    <row r="10756" spans="1:2" x14ac:dyDescent="0.25">
      <c r="A10756" s="45" t="s">
        <v>10781</v>
      </c>
      <c r="B10756" s="46" t="s">
        <v>23709</v>
      </c>
    </row>
    <row r="10757" spans="1:2" x14ac:dyDescent="0.25">
      <c r="A10757" s="45" t="s">
        <v>10782</v>
      </c>
      <c r="B10757" s="46" t="s">
        <v>23710</v>
      </c>
    </row>
    <row r="10758" spans="1:2" x14ac:dyDescent="0.25">
      <c r="A10758" s="45" t="s">
        <v>10783</v>
      </c>
      <c r="B10758" s="46" t="s">
        <v>23711</v>
      </c>
    </row>
    <row r="10759" spans="1:2" x14ac:dyDescent="0.25">
      <c r="A10759" s="45" t="s">
        <v>10784</v>
      </c>
      <c r="B10759" s="46" t="s">
        <v>23712</v>
      </c>
    </row>
    <row r="10760" spans="1:2" x14ac:dyDescent="0.25">
      <c r="A10760" s="45" t="s">
        <v>10785</v>
      </c>
      <c r="B10760" s="46" t="s">
        <v>23713</v>
      </c>
    </row>
    <row r="10761" spans="1:2" x14ac:dyDescent="0.25">
      <c r="A10761" s="45" t="s">
        <v>10786</v>
      </c>
      <c r="B10761" s="46" t="s">
        <v>23714</v>
      </c>
    </row>
    <row r="10762" spans="1:2" x14ac:dyDescent="0.25">
      <c r="A10762" s="45" t="s">
        <v>10787</v>
      </c>
      <c r="B10762" s="46" t="s">
        <v>23715</v>
      </c>
    </row>
    <row r="10763" spans="1:2" x14ac:dyDescent="0.25">
      <c r="A10763" s="45" t="s">
        <v>10788</v>
      </c>
      <c r="B10763" s="46" t="s">
        <v>23716</v>
      </c>
    </row>
    <row r="10764" spans="1:2" x14ac:dyDescent="0.25">
      <c r="A10764" s="45" t="s">
        <v>10789</v>
      </c>
      <c r="B10764" s="46" t="s">
        <v>23717</v>
      </c>
    </row>
    <row r="10765" spans="1:2" x14ac:dyDescent="0.25">
      <c r="A10765" s="45" t="s">
        <v>10790</v>
      </c>
      <c r="B10765" s="46" t="s">
        <v>23718</v>
      </c>
    </row>
    <row r="10766" spans="1:2" x14ac:dyDescent="0.25">
      <c r="A10766" s="45" t="s">
        <v>10791</v>
      </c>
      <c r="B10766" s="46" t="s">
        <v>23719</v>
      </c>
    </row>
    <row r="10767" spans="1:2" x14ac:dyDescent="0.25">
      <c r="A10767" s="45" t="s">
        <v>10792</v>
      </c>
      <c r="B10767" s="46" t="s">
        <v>23720</v>
      </c>
    </row>
    <row r="10768" spans="1:2" x14ac:dyDescent="0.25">
      <c r="A10768" s="45" t="s">
        <v>10793</v>
      </c>
      <c r="B10768" s="46" t="s">
        <v>23721</v>
      </c>
    </row>
    <row r="10769" spans="1:2" x14ac:dyDescent="0.25">
      <c r="A10769" s="45" t="s">
        <v>10794</v>
      </c>
      <c r="B10769" s="46" t="s">
        <v>23722</v>
      </c>
    </row>
    <row r="10770" spans="1:2" x14ac:dyDescent="0.25">
      <c r="A10770" s="45" t="s">
        <v>10795</v>
      </c>
      <c r="B10770" s="46" t="s">
        <v>23723</v>
      </c>
    </row>
    <row r="10771" spans="1:2" x14ac:dyDescent="0.25">
      <c r="A10771" s="45" t="s">
        <v>10796</v>
      </c>
      <c r="B10771" s="46" t="s">
        <v>23724</v>
      </c>
    </row>
    <row r="10772" spans="1:2" x14ac:dyDescent="0.25">
      <c r="A10772" s="45" t="s">
        <v>10797</v>
      </c>
      <c r="B10772" s="46" t="s">
        <v>23725</v>
      </c>
    </row>
    <row r="10773" spans="1:2" x14ac:dyDescent="0.25">
      <c r="A10773" s="45" t="s">
        <v>10798</v>
      </c>
      <c r="B10773" s="46" t="s">
        <v>23726</v>
      </c>
    </row>
    <row r="10774" spans="1:2" x14ac:dyDescent="0.25">
      <c r="A10774" s="45" t="s">
        <v>10799</v>
      </c>
      <c r="B10774" s="46" t="s">
        <v>23727</v>
      </c>
    </row>
    <row r="10775" spans="1:2" x14ac:dyDescent="0.25">
      <c r="A10775" s="45" t="s">
        <v>10800</v>
      </c>
      <c r="B10775" s="46" t="s">
        <v>23728</v>
      </c>
    </row>
    <row r="10776" spans="1:2" x14ac:dyDescent="0.25">
      <c r="A10776" s="45" t="s">
        <v>10801</v>
      </c>
      <c r="B10776" s="46" t="s">
        <v>23729</v>
      </c>
    </row>
    <row r="10777" spans="1:2" x14ac:dyDescent="0.25">
      <c r="A10777" s="45" t="s">
        <v>10802</v>
      </c>
      <c r="B10777" s="46" t="s">
        <v>23730</v>
      </c>
    </row>
    <row r="10778" spans="1:2" x14ac:dyDescent="0.25">
      <c r="A10778" s="45" t="s">
        <v>10803</v>
      </c>
      <c r="B10778" s="46" t="s">
        <v>23731</v>
      </c>
    </row>
    <row r="10779" spans="1:2" x14ac:dyDescent="0.25">
      <c r="A10779" s="45" t="s">
        <v>10804</v>
      </c>
      <c r="B10779" s="46" t="s">
        <v>23732</v>
      </c>
    </row>
    <row r="10780" spans="1:2" x14ac:dyDescent="0.25">
      <c r="A10780" s="45" t="s">
        <v>10805</v>
      </c>
      <c r="B10780" s="46" t="s">
        <v>23733</v>
      </c>
    </row>
    <row r="10781" spans="1:2" x14ac:dyDescent="0.25">
      <c r="A10781" s="45" t="s">
        <v>10806</v>
      </c>
      <c r="B10781" s="46" t="s">
        <v>23734</v>
      </c>
    </row>
    <row r="10782" spans="1:2" x14ac:dyDescent="0.25">
      <c r="A10782" s="45" t="s">
        <v>10807</v>
      </c>
      <c r="B10782" s="46" t="s">
        <v>23735</v>
      </c>
    </row>
    <row r="10783" spans="1:2" x14ac:dyDescent="0.25">
      <c r="A10783" s="45" t="s">
        <v>10808</v>
      </c>
      <c r="B10783" s="46" t="s">
        <v>23736</v>
      </c>
    </row>
    <row r="10784" spans="1:2" x14ac:dyDescent="0.25">
      <c r="A10784" s="45" t="s">
        <v>10809</v>
      </c>
      <c r="B10784" s="46" t="s">
        <v>23737</v>
      </c>
    </row>
    <row r="10785" spans="1:2" x14ac:dyDescent="0.25">
      <c r="A10785" s="45" t="s">
        <v>10810</v>
      </c>
      <c r="B10785" s="46" t="s">
        <v>23738</v>
      </c>
    </row>
    <row r="10786" spans="1:2" x14ac:dyDescent="0.25">
      <c r="A10786" s="45" t="s">
        <v>10811</v>
      </c>
      <c r="B10786" s="46" t="s">
        <v>23739</v>
      </c>
    </row>
    <row r="10787" spans="1:2" x14ac:dyDescent="0.25">
      <c r="A10787" s="45" t="s">
        <v>10812</v>
      </c>
      <c r="B10787" s="46" t="s">
        <v>23740</v>
      </c>
    </row>
    <row r="10788" spans="1:2" x14ac:dyDescent="0.25">
      <c r="A10788" s="45" t="s">
        <v>10813</v>
      </c>
      <c r="B10788" s="46" t="s">
        <v>23741</v>
      </c>
    </row>
    <row r="10789" spans="1:2" x14ac:dyDescent="0.25">
      <c r="A10789" s="45" t="s">
        <v>10814</v>
      </c>
      <c r="B10789" s="46" t="s">
        <v>23742</v>
      </c>
    </row>
    <row r="10790" spans="1:2" x14ac:dyDescent="0.25">
      <c r="A10790" s="45" t="s">
        <v>10815</v>
      </c>
      <c r="B10790" s="46" t="s">
        <v>23743</v>
      </c>
    </row>
    <row r="10791" spans="1:2" x14ac:dyDescent="0.25">
      <c r="A10791" s="45" t="s">
        <v>10816</v>
      </c>
      <c r="B10791" s="46" t="s">
        <v>23744</v>
      </c>
    </row>
    <row r="10792" spans="1:2" x14ac:dyDescent="0.25">
      <c r="A10792" s="45" t="s">
        <v>10817</v>
      </c>
      <c r="B10792" s="46" t="s">
        <v>23745</v>
      </c>
    </row>
    <row r="10793" spans="1:2" x14ac:dyDescent="0.25">
      <c r="A10793" s="45" t="s">
        <v>10818</v>
      </c>
      <c r="B10793" s="46" t="s">
        <v>23746</v>
      </c>
    </row>
    <row r="10794" spans="1:2" x14ac:dyDescent="0.25">
      <c r="A10794" s="45" t="s">
        <v>10819</v>
      </c>
      <c r="B10794" s="46" t="s">
        <v>23747</v>
      </c>
    </row>
    <row r="10795" spans="1:2" x14ac:dyDescent="0.25">
      <c r="A10795" s="45" t="s">
        <v>10820</v>
      </c>
      <c r="B10795" s="46" t="s">
        <v>23748</v>
      </c>
    </row>
    <row r="10796" spans="1:2" x14ac:dyDescent="0.25">
      <c r="A10796" s="45" t="s">
        <v>10821</v>
      </c>
      <c r="B10796" s="46" t="s">
        <v>23749</v>
      </c>
    </row>
    <row r="10797" spans="1:2" x14ac:dyDescent="0.25">
      <c r="A10797" s="45" t="s">
        <v>10822</v>
      </c>
      <c r="B10797" s="46" t="s">
        <v>23750</v>
      </c>
    </row>
    <row r="10798" spans="1:2" x14ac:dyDescent="0.25">
      <c r="A10798" s="45" t="s">
        <v>10823</v>
      </c>
      <c r="B10798" s="46" t="s">
        <v>23751</v>
      </c>
    </row>
    <row r="10799" spans="1:2" x14ac:dyDescent="0.25">
      <c r="A10799" s="45" t="s">
        <v>10824</v>
      </c>
      <c r="B10799" s="46" t="s">
        <v>23752</v>
      </c>
    </row>
    <row r="10800" spans="1:2" x14ac:dyDescent="0.25">
      <c r="A10800" s="45" t="s">
        <v>10825</v>
      </c>
      <c r="B10800" s="46" t="s">
        <v>23753</v>
      </c>
    </row>
    <row r="10801" spans="1:2" x14ac:dyDescent="0.25">
      <c r="A10801" s="45" t="s">
        <v>10826</v>
      </c>
      <c r="B10801" s="46" t="s">
        <v>23754</v>
      </c>
    </row>
    <row r="10802" spans="1:2" x14ac:dyDescent="0.25">
      <c r="A10802" s="45" t="s">
        <v>10827</v>
      </c>
      <c r="B10802" s="46" t="s">
        <v>23755</v>
      </c>
    </row>
    <row r="10803" spans="1:2" x14ac:dyDescent="0.25">
      <c r="A10803" s="45" t="s">
        <v>10828</v>
      </c>
      <c r="B10803" s="46" t="s">
        <v>23756</v>
      </c>
    </row>
    <row r="10804" spans="1:2" x14ac:dyDescent="0.25">
      <c r="A10804" s="45" t="s">
        <v>10829</v>
      </c>
      <c r="B10804" s="46" t="s">
        <v>23757</v>
      </c>
    </row>
    <row r="10805" spans="1:2" x14ac:dyDescent="0.25">
      <c r="A10805" s="45" t="s">
        <v>10830</v>
      </c>
      <c r="B10805" s="46" t="s">
        <v>23758</v>
      </c>
    </row>
    <row r="10806" spans="1:2" x14ac:dyDescent="0.25">
      <c r="A10806" s="45" t="s">
        <v>10831</v>
      </c>
      <c r="B10806" s="46" t="s">
        <v>23759</v>
      </c>
    </row>
    <row r="10807" spans="1:2" x14ac:dyDescent="0.25">
      <c r="A10807" s="45" t="s">
        <v>10832</v>
      </c>
      <c r="B10807" s="46" t="s">
        <v>23760</v>
      </c>
    </row>
    <row r="10808" spans="1:2" x14ac:dyDescent="0.25">
      <c r="A10808" s="45" t="s">
        <v>10833</v>
      </c>
      <c r="B10808" s="46" t="s">
        <v>23761</v>
      </c>
    </row>
    <row r="10809" spans="1:2" x14ac:dyDescent="0.25">
      <c r="A10809" s="45" t="s">
        <v>10834</v>
      </c>
      <c r="B10809" s="46" t="s">
        <v>23762</v>
      </c>
    </row>
    <row r="10810" spans="1:2" x14ac:dyDescent="0.25">
      <c r="A10810" s="45" t="s">
        <v>10835</v>
      </c>
      <c r="B10810" s="46" t="s">
        <v>23763</v>
      </c>
    </row>
    <row r="10811" spans="1:2" x14ac:dyDescent="0.25">
      <c r="A10811" s="45" t="s">
        <v>10836</v>
      </c>
      <c r="B10811" s="46" t="s">
        <v>23764</v>
      </c>
    </row>
    <row r="10812" spans="1:2" x14ac:dyDescent="0.25">
      <c r="A10812" s="45" t="s">
        <v>10837</v>
      </c>
      <c r="B10812" s="46" t="s">
        <v>23765</v>
      </c>
    </row>
    <row r="10813" spans="1:2" x14ac:dyDescent="0.25">
      <c r="A10813" s="45" t="s">
        <v>10838</v>
      </c>
      <c r="B10813" s="46" t="s">
        <v>23766</v>
      </c>
    </row>
    <row r="10814" spans="1:2" x14ac:dyDescent="0.25">
      <c r="A10814" s="45" t="s">
        <v>10839</v>
      </c>
      <c r="B10814" s="46" t="s">
        <v>23767</v>
      </c>
    </row>
    <row r="10815" spans="1:2" x14ac:dyDescent="0.25">
      <c r="A10815" s="45" t="s">
        <v>10840</v>
      </c>
      <c r="B10815" s="46" t="s">
        <v>23768</v>
      </c>
    </row>
    <row r="10816" spans="1:2" x14ac:dyDescent="0.25">
      <c r="A10816" s="45" t="s">
        <v>10841</v>
      </c>
      <c r="B10816" s="46" t="s">
        <v>23769</v>
      </c>
    </row>
    <row r="10817" spans="1:2" x14ac:dyDescent="0.25">
      <c r="A10817" s="45" t="s">
        <v>10842</v>
      </c>
      <c r="B10817" s="46" t="s">
        <v>23770</v>
      </c>
    </row>
    <row r="10818" spans="1:2" x14ac:dyDescent="0.25">
      <c r="A10818" s="45" t="s">
        <v>10843</v>
      </c>
      <c r="B10818" s="46" t="s">
        <v>23771</v>
      </c>
    </row>
    <row r="10819" spans="1:2" x14ac:dyDescent="0.25">
      <c r="A10819" s="45" t="s">
        <v>10844</v>
      </c>
      <c r="B10819" s="46" t="s">
        <v>23772</v>
      </c>
    </row>
    <row r="10820" spans="1:2" x14ac:dyDescent="0.25">
      <c r="A10820" s="45" t="s">
        <v>10845</v>
      </c>
      <c r="B10820" s="46" t="s">
        <v>23773</v>
      </c>
    </row>
    <row r="10821" spans="1:2" x14ac:dyDescent="0.25">
      <c r="A10821" s="45" t="s">
        <v>10846</v>
      </c>
      <c r="B10821" s="46" t="s">
        <v>23774</v>
      </c>
    </row>
    <row r="10822" spans="1:2" x14ac:dyDescent="0.25">
      <c r="A10822" s="45" t="s">
        <v>10847</v>
      </c>
      <c r="B10822" s="46" t="s">
        <v>23775</v>
      </c>
    </row>
    <row r="10823" spans="1:2" x14ac:dyDescent="0.25">
      <c r="A10823" s="45" t="s">
        <v>10848</v>
      </c>
      <c r="B10823" s="46" t="s">
        <v>23776</v>
      </c>
    </row>
    <row r="10824" spans="1:2" x14ac:dyDescent="0.25">
      <c r="A10824" s="45" t="s">
        <v>10849</v>
      </c>
      <c r="B10824" s="46" t="s">
        <v>23777</v>
      </c>
    </row>
    <row r="10825" spans="1:2" x14ac:dyDescent="0.25">
      <c r="A10825" s="45" t="s">
        <v>10850</v>
      </c>
      <c r="B10825" s="46" t="s">
        <v>23778</v>
      </c>
    </row>
    <row r="10826" spans="1:2" x14ac:dyDescent="0.25">
      <c r="A10826" s="45" t="s">
        <v>10851</v>
      </c>
      <c r="B10826" s="46" t="s">
        <v>23779</v>
      </c>
    </row>
    <row r="10827" spans="1:2" x14ac:dyDescent="0.25">
      <c r="A10827" s="45" t="s">
        <v>10852</v>
      </c>
      <c r="B10827" s="46" t="s">
        <v>23780</v>
      </c>
    </row>
    <row r="10828" spans="1:2" x14ac:dyDescent="0.25">
      <c r="A10828" s="45" t="s">
        <v>10853</v>
      </c>
      <c r="B10828" s="46" t="s">
        <v>23781</v>
      </c>
    </row>
    <row r="10829" spans="1:2" x14ac:dyDescent="0.25">
      <c r="A10829" s="45" t="s">
        <v>10854</v>
      </c>
      <c r="B10829" s="46" t="s">
        <v>23782</v>
      </c>
    </row>
    <row r="10830" spans="1:2" x14ac:dyDescent="0.25">
      <c r="A10830" s="45" t="s">
        <v>10855</v>
      </c>
      <c r="B10830" s="46" t="s">
        <v>23783</v>
      </c>
    </row>
    <row r="10831" spans="1:2" x14ac:dyDescent="0.25">
      <c r="A10831" s="45" t="s">
        <v>10856</v>
      </c>
      <c r="B10831" s="46" t="s">
        <v>23784</v>
      </c>
    </row>
    <row r="10832" spans="1:2" x14ac:dyDescent="0.25">
      <c r="A10832" s="45" t="s">
        <v>10857</v>
      </c>
      <c r="B10832" s="46" t="s">
        <v>23785</v>
      </c>
    </row>
    <row r="10833" spans="1:2" x14ac:dyDescent="0.25">
      <c r="A10833" s="45" t="s">
        <v>10858</v>
      </c>
      <c r="B10833" s="46" t="s">
        <v>23786</v>
      </c>
    </row>
    <row r="10834" spans="1:2" x14ac:dyDescent="0.25">
      <c r="A10834" s="45" t="s">
        <v>10859</v>
      </c>
      <c r="B10834" s="46" t="s">
        <v>23787</v>
      </c>
    </row>
    <row r="10835" spans="1:2" x14ac:dyDescent="0.25">
      <c r="A10835" s="45" t="s">
        <v>10860</v>
      </c>
      <c r="B10835" s="46" t="s">
        <v>23788</v>
      </c>
    </row>
    <row r="10836" spans="1:2" x14ac:dyDescent="0.25">
      <c r="A10836" s="45" t="s">
        <v>10861</v>
      </c>
      <c r="B10836" s="46" t="s">
        <v>23789</v>
      </c>
    </row>
    <row r="10837" spans="1:2" x14ac:dyDescent="0.25">
      <c r="A10837" s="45" t="s">
        <v>10862</v>
      </c>
      <c r="B10837" s="46" t="s">
        <v>23790</v>
      </c>
    </row>
    <row r="10838" spans="1:2" x14ac:dyDescent="0.25">
      <c r="A10838" s="45" t="s">
        <v>10863</v>
      </c>
      <c r="B10838" s="46" t="s">
        <v>23791</v>
      </c>
    </row>
    <row r="10839" spans="1:2" x14ac:dyDescent="0.25">
      <c r="A10839" s="45" t="s">
        <v>10864</v>
      </c>
      <c r="B10839" s="46" t="s">
        <v>23792</v>
      </c>
    </row>
    <row r="10840" spans="1:2" x14ac:dyDescent="0.25">
      <c r="A10840" s="45" t="s">
        <v>10865</v>
      </c>
      <c r="B10840" s="46" t="s">
        <v>23793</v>
      </c>
    </row>
    <row r="10841" spans="1:2" x14ac:dyDescent="0.25">
      <c r="A10841" s="45" t="s">
        <v>10866</v>
      </c>
      <c r="B10841" s="46" t="s">
        <v>23794</v>
      </c>
    </row>
    <row r="10842" spans="1:2" x14ac:dyDescent="0.25">
      <c r="A10842" s="45" t="s">
        <v>10867</v>
      </c>
      <c r="B10842" s="46" t="s">
        <v>23795</v>
      </c>
    </row>
    <row r="10843" spans="1:2" x14ac:dyDescent="0.25">
      <c r="A10843" s="45" t="s">
        <v>10868</v>
      </c>
      <c r="B10843" s="46" t="s">
        <v>23796</v>
      </c>
    </row>
    <row r="10844" spans="1:2" x14ac:dyDescent="0.25">
      <c r="A10844" s="45" t="s">
        <v>10869</v>
      </c>
      <c r="B10844" s="46" t="s">
        <v>23797</v>
      </c>
    </row>
    <row r="10845" spans="1:2" x14ac:dyDescent="0.25">
      <c r="A10845" s="45" t="s">
        <v>10870</v>
      </c>
      <c r="B10845" s="46" t="s">
        <v>23798</v>
      </c>
    </row>
    <row r="10846" spans="1:2" x14ac:dyDescent="0.25">
      <c r="A10846" s="45" t="s">
        <v>10871</v>
      </c>
      <c r="B10846" s="46" t="s">
        <v>23799</v>
      </c>
    </row>
    <row r="10847" spans="1:2" x14ac:dyDescent="0.25">
      <c r="A10847" s="45" t="s">
        <v>10872</v>
      </c>
      <c r="B10847" s="46" t="s">
        <v>23800</v>
      </c>
    </row>
    <row r="10848" spans="1:2" x14ac:dyDescent="0.25">
      <c r="A10848" s="45" t="s">
        <v>10873</v>
      </c>
      <c r="B10848" s="46" t="s">
        <v>23801</v>
      </c>
    </row>
    <row r="10849" spans="1:2" x14ac:dyDescent="0.25">
      <c r="A10849" s="45" t="s">
        <v>10874</v>
      </c>
      <c r="B10849" s="46" t="s">
        <v>23802</v>
      </c>
    </row>
    <row r="10850" spans="1:2" x14ac:dyDescent="0.25">
      <c r="A10850" s="45" t="s">
        <v>10875</v>
      </c>
      <c r="B10850" s="46" t="s">
        <v>23803</v>
      </c>
    </row>
    <row r="10851" spans="1:2" x14ac:dyDescent="0.25">
      <c r="A10851" s="45" t="s">
        <v>10876</v>
      </c>
      <c r="B10851" s="46" t="s">
        <v>23804</v>
      </c>
    </row>
    <row r="10852" spans="1:2" x14ac:dyDescent="0.25">
      <c r="A10852" s="45" t="s">
        <v>10877</v>
      </c>
      <c r="B10852" s="46" t="s">
        <v>23805</v>
      </c>
    </row>
    <row r="10853" spans="1:2" x14ac:dyDescent="0.25">
      <c r="A10853" s="45" t="s">
        <v>10878</v>
      </c>
      <c r="B10853" s="46" t="s">
        <v>23806</v>
      </c>
    </row>
    <row r="10854" spans="1:2" x14ac:dyDescent="0.25">
      <c r="A10854" s="45" t="s">
        <v>10879</v>
      </c>
      <c r="B10854" s="46" t="s">
        <v>23807</v>
      </c>
    </row>
    <row r="10855" spans="1:2" x14ac:dyDescent="0.25">
      <c r="A10855" s="45" t="s">
        <v>10880</v>
      </c>
      <c r="B10855" s="46" t="s">
        <v>23808</v>
      </c>
    </row>
    <row r="10856" spans="1:2" x14ac:dyDescent="0.25">
      <c r="A10856" s="45" t="s">
        <v>10881</v>
      </c>
      <c r="B10856" s="46" t="s">
        <v>23809</v>
      </c>
    </row>
    <row r="10857" spans="1:2" x14ac:dyDescent="0.25">
      <c r="A10857" s="45" t="s">
        <v>10882</v>
      </c>
      <c r="B10857" s="46" t="s">
        <v>23810</v>
      </c>
    </row>
    <row r="10858" spans="1:2" x14ac:dyDescent="0.25">
      <c r="A10858" s="45" t="s">
        <v>10883</v>
      </c>
      <c r="B10858" s="46" t="s">
        <v>23811</v>
      </c>
    </row>
    <row r="10859" spans="1:2" x14ac:dyDescent="0.25">
      <c r="A10859" s="45" t="s">
        <v>10884</v>
      </c>
      <c r="B10859" s="46" t="s">
        <v>23812</v>
      </c>
    </row>
    <row r="10860" spans="1:2" x14ac:dyDescent="0.25">
      <c r="A10860" s="45" t="s">
        <v>10885</v>
      </c>
      <c r="B10860" s="46" t="s">
        <v>23813</v>
      </c>
    </row>
    <row r="10861" spans="1:2" x14ac:dyDescent="0.25">
      <c r="A10861" s="45" t="s">
        <v>10886</v>
      </c>
      <c r="B10861" s="46" t="s">
        <v>23814</v>
      </c>
    </row>
    <row r="10862" spans="1:2" x14ac:dyDescent="0.25">
      <c r="A10862" s="45" t="s">
        <v>10887</v>
      </c>
      <c r="B10862" s="46" t="s">
        <v>23815</v>
      </c>
    </row>
    <row r="10863" spans="1:2" x14ac:dyDescent="0.25">
      <c r="A10863" s="45" t="s">
        <v>10888</v>
      </c>
      <c r="B10863" s="46" t="s">
        <v>23816</v>
      </c>
    </row>
    <row r="10864" spans="1:2" x14ac:dyDescent="0.25">
      <c r="A10864" s="45" t="s">
        <v>10889</v>
      </c>
      <c r="B10864" s="46" t="s">
        <v>23817</v>
      </c>
    </row>
    <row r="10865" spans="1:2" x14ac:dyDescent="0.25">
      <c r="A10865" s="45" t="s">
        <v>10890</v>
      </c>
      <c r="B10865" s="46" t="s">
        <v>23818</v>
      </c>
    </row>
    <row r="10866" spans="1:2" x14ac:dyDescent="0.25">
      <c r="A10866" s="45" t="s">
        <v>10891</v>
      </c>
      <c r="B10866" s="46" t="s">
        <v>23819</v>
      </c>
    </row>
    <row r="10867" spans="1:2" x14ac:dyDescent="0.25">
      <c r="A10867" s="45" t="s">
        <v>10892</v>
      </c>
      <c r="B10867" s="46" t="s">
        <v>23820</v>
      </c>
    </row>
    <row r="10868" spans="1:2" x14ac:dyDescent="0.25">
      <c r="A10868" s="45" t="s">
        <v>10893</v>
      </c>
      <c r="B10868" s="46" t="s">
        <v>23821</v>
      </c>
    </row>
    <row r="10869" spans="1:2" x14ac:dyDescent="0.25">
      <c r="A10869" s="45" t="s">
        <v>10894</v>
      </c>
      <c r="B10869" s="46" t="s">
        <v>23822</v>
      </c>
    </row>
    <row r="10870" spans="1:2" x14ac:dyDescent="0.25">
      <c r="A10870" s="45" t="s">
        <v>10895</v>
      </c>
      <c r="B10870" s="46" t="s">
        <v>23823</v>
      </c>
    </row>
    <row r="10871" spans="1:2" x14ac:dyDescent="0.25">
      <c r="A10871" s="45" t="s">
        <v>10896</v>
      </c>
      <c r="B10871" s="46" t="s">
        <v>23824</v>
      </c>
    </row>
    <row r="10872" spans="1:2" x14ac:dyDescent="0.25">
      <c r="A10872" s="45" t="s">
        <v>10897</v>
      </c>
      <c r="B10872" s="46" t="s">
        <v>23825</v>
      </c>
    </row>
    <row r="10873" spans="1:2" x14ac:dyDescent="0.25">
      <c r="A10873" s="45" t="s">
        <v>10898</v>
      </c>
      <c r="B10873" s="46" t="s">
        <v>23826</v>
      </c>
    </row>
    <row r="10874" spans="1:2" x14ac:dyDescent="0.25">
      <c r="A10874" s="45" t="s">
        <v>10899</v>
      </c>
      <c r="B10874" s="46" t="s">
        <v>23827</v>
      </c>
    </row>
    <row r="10875" spans="1:2" x14ac:dyDescent="0.25">
      <c r="A10875" s="45" t="s">
        <v>10900</v>
      </c>
      <c r="B10875" s="46" t="s">
        <v>23828</v>
      </c>
    </row>
    <row r="10876" spans="1:2" x14ac:dyDescent="0.25">
      <c r="A10876" s="45" t="s">
        <v>10901</v>
      </c>
      <c r="B10876" s="46" t="s">
        <v>23829</v>
      </c>
    </row>
    <row r="10877" spans="1:2" x14ac:dyDescent="0.25">
      <c r="A10877" s="45" t="s">
        <v>10902</v>
      </c>
      <c r="B10877" s="46" t="s">
        <v>23830</v>
      </c>
    </row>
    <row r="10878" spans="1:2" x14ac:dyDescent="0.25">
      <c r="A10878" s="45" t="s">
        <v>10903</v>
      </c>
      <c r="B10878" s="46" t="s">
        <v>23831</v>
      </c>
    </row>
    <row r="10879" spans="1:2" x14ac:dyDescent="0.25">
      <c r="A10879" s="45" t="s">
        <v>10904</v>
      </c>
      <c r="B10879" s="46" t="s">
        <v>23832</v>
      </c>
    </row>
    <row r="10880" spans="1:2" x14ac:dyDescent="0.25">
      <c r="A10880" s="45" t="s">
        <v>10905</v>
      </c>
      <c r="B10880" s="46" t="s">
        <v>23833</v>
      </c>
    </row>
    <row r="10881" spans="1:2" x14ac:dyDescent="0.25">
      <c r="A10881" s="45" t="s">
        <v>10906</v>
      </c>
      <c r="B10881" s="46" t="s">
        <v>23834</v>
      </c>
    </row>
    <row r="10882" spans="1:2" x14ac:dyDescent="0.25">
      <c r="A10882" s="45" t="s">
        <v>10907</v>
      </c>
      <c r="B10882" s="46" t="s">
        <v>23835</v>
      </c>
    </row>
    <row r="10883" spans="1:2" x14ac:dyDescent="0.25">
      <c r="A10883" s="45" t="s">
        <v>10908</v>
      </c>
      <c r="B10883" s="46" t="s">
        <v>23836</v>
      </c>
    </row>
    <row r="10884" spans="1:2" x14ac:dyDescent="0.25">
      <c r="A10884" s="45" t="s">
        <v>10909</v>
      </c>
      <c r="B10884" s="46" t="s">
        <v>23837</v>
      </c>
    </row>
    <row r="10885" spans="1:2" x14ac:dyDescent="0.25">
      <c r="A10885" s="45" t="s">
        <v>10910</v>
      </c>
      <c r="B10885" s="46" t="s">
        <v>23838</v>
      </c>
    </row>
    <row r="10886" spans="1:2" x14ac:dyDescent="0.25">
      <c r="A10886" s="45" t="s">
        <v>10911</v>
      </c>
      <c r="B10886" s="46" t="s">
        <v>23839</v>
      </c>
    </row>
    <row r="10887" spans="1:2" x14ac:dyDescent="0.25">
      <c r="A10887" s="45" t="s">
        <v>10912</v>
      </c>
      <c r="B10887" s="46" t="s">
        <v>23840</v>
      </c>
    </row>
    <row r="10888" spans="1:2" x14ac:dyDescent="0.25">
      <c r="A10888" s="45" t="s">
        <v>10913</v>
      </c>
      <c r="B10888" s="46" t="s">
        <v>23841</v>
      </c>
    </row>
    <row r="10889" spans="1:2" x14ac:dyDescent="0.25">
      <c r="A10889" s="45" t="s">
        <v>10914</v>
      </c>
      <c r="B10889" s="46" t="s">
        <v>23842</v>
      </c>
    </row>
    <row r="10890" spans="1:2" x14ac:dyDescent="0.25">
      <c r="A10890" s="45" t="s">
        <v>10915</v>
      </c>
      <c r="B10890" s="46" t="s">
        <v>23843</v>
      </c>
    </row>
    <row r="10891" spans="1:2" x14ac:dyDescent="0.25">
      <c r="A10891" s="45" t="s">
        <v>10916</v>
      </c>
      <c r="B10891" s="46" t="s">
        <v>23844</v>
      </c>
    </row>
    <row r="10892" spans="1:2" x14ac:dyDescent="0.25">
      <c r="A10892" s="45" t="s">
        <v>10917</v>
      </c>
      <c r="B10892" s="46" t="s">
        <v>23845</v>
      </c>
    </row>
    <row r="10893" spans="1:2" x14ac:dyDescent="0.25">
      <c r="A10893" s="45" t="s">
        <v>10918</v>
      </c>
      <c r="B10893" s="46" t="s">
        <v>23846</v>
      </c>
    </row>
    <row r="10894" spans="1:2" x14ac:dyDescent="0.25">
      <c r="A10894" s="45" t="s">
        <v>10919</v>
      </c>
      <c r="B10894" s="46" t="s">
        <v>23847</v>
      </c>
    </row>
    <row r="10895" spans="1:2" x14ac:dyDescent="0.25">
      <c r="A10895" s="45" t="s">
        <v>10920</v>
      </c>
      <c r="B10895" s="46" t="s">
        <v>23848</v>
      </c>
    </row>
    <row r="10896" spans="1:2" x14ac:dyDescent="0.25">
      <c r="A10896" s="45" t="s">
        <v>10921</v>
      </c>
      <c r="B10896" s="46" t="s">
        <v>23849</v>
      </c>
    </row>
    <row r="10897" spans="1:2" x14ac:dyDescent="0.25">
      <c r="A10897" s="45" t="s">
        <v>10922</v>
      </c>
      <c r="B10897" s="46" t="s">
        <v>23850</v>
      </c>
    </row>
    <row r="10898" spans="1:2" x14ac:dyDescent="0.25">
      <c r="A10898" s="45" t="s">
        <v>10923</v>
      </c>
      <c r="B10898" s="46" t="s">
        <v>23851</v>
      </c>
    </row>
    <row r="10899" spans="1:2" x14ac:dyDescent="0.25">
      <c r="A10899" s="45" t="s">
        <v>10924</v>
      </c>
      <c r="B10899" s="46" t="s">
        <v>23852</v>
      </c>
    </row>
    <row r="10900" spans="1:2" x14ac:dyDescent="0.25">
      <c r="A10900" s="45" t="s">
        <v>10925</v>
      </c>
      <c r="B10900" s="46" t="s">
        <v>23853</v>
      </c>
    </row>
    <row r="10901" spans="1:2" x14ac:dyDescent="0.25">
      <c r="A10901" s="45" t="s">
        <v>10926</v>
      </c>
      <c r="B10901" s="46" t="s">
        <v>23854</v>
      </c>
    </row>
    <row r="10902" spans="1:2" x14ac:dyDescent="0.25">
      <c r="A10902" s="45" t="s">
        <v>10927</v>
      </c>
      <c r="B10902" s="46" t="s">
        <v>23855</v>
      </c>
    </row>
    <row r="10903" spans="1:2" x14ac:dyDescent="0.25">
      <c r="A10903" s="45" t="s">
        <v>10928</v>
      </c>
      <c r="B10903" s="46" t="s">
        <v>23856</v>
      </c>
    </row>
    <row r="10904" spans="1:2" x14ac:dyDescent="0.25">
      <c r="A10904" s="45" t="s">
        <v>10929</v>
      </c>
      <c r="B10904" s="46" t="s">
        <v>23857</v>
      </c>
    </row>
    <row r="10905" spans="1:2" x14ac:dyDescent="0.25">
      <c r="A10905" s="45" t="s">
        <v>10930</v>
      </c>
      <c r="B10905" s="46" t="s">
        <v>23858</v>
      </c>
    </row>
    <row r="10906" spans="1:2" x14ac:dyDescent="0.25">
      <c r="A10906" s="45" t="s">
        <v>10931</v>
      </c>
      <c r="B10906" s="46" t="s">
        <v>23859</v>
      </c>
    </row>
    <row r="10907" spans="1:2" x14ac:dyDescent="0.25">
      <c r="A10907" s="45" t="s">
        <v>10932</v>
      </c>
      <c r="B10907" s="46" t="s">
        <v>23860</v>
      </c>
    </row>
    <row r="10908" spans="1:2" x14ac:dyDescent="0.25">
      <c r="A10908" s="45" t="s">
        <v>10933</v>
      </c>
      <c r="B10908" s="46" t="s">
        <v>23861</v>
      </c>
    </row>
    <row r="10909" spans="1:2" x14ac:dyDescent="0.25">
      <c r="A10909" s="45" t="s">
        <v>10934</v>
      </c>
      <c r="B10909" s="46" t="s">
        <v>23862</v>
      </c>
    </row>
    <row r="10910" spans="1:2" x14ac:dyDescent="0.25">
      <c r="A10910" s="45" t="s">
        <v>10935</v>
      </c>
      <c r="B10910" s="46" t="s">
        <v>23863</v>
      </c>
    </row>
    <row r="10911" spans="1:2" x14ac:dyDescent="0.25">
      <c r="A10911" s="45" t="s">
        <v>10936</v>
      </c>
      <c r="B10911" s="46" t="s">
        <v>23864</v>
      </c>
    </row>
    <row r="10912" spans="1:2" x14ac:dyDescent="0.25">
      <c r="A10912" s="45" t="s">
        <v>10937</v>
      </c>
      <c r="B10912" s="46" t="s">
        <v>23865</v>
      </c>
    </row>
    <row r="10913" spans="1:2" x14ac:dyDescent="0.25">
      <c r="A10913" s="45" t="s">
        <v>10938</v>
      </c>
      <c r="B10913" s="46" t="s">
        <v>23866</v>
      </c>
    </row>
    <row r="10914" spans="1:2" x14ac:dyDescent="0.25">
      <c r="A10914" s="45" t="s">
        <v>10939</v>
      </c>
      <c r="B10914" s="46" t="s">
        <v>23867</v>
      </c>
    </row>
    <row r="10915" spans="1:2" x14ac:dyDescent="0.25">
      <c r="A10915" s="45" t="s">
        <v>10940</v>
      </c>
      <c r="B10915" s="46" t="s">
        <v>23868</v>
      </c>
    </row>
    <row r="10916" spans="1:2" x14ac:dyDescent="0.25">
      <c r="A10916" s="45" t="s">
        <v>10941</v>
      </c>
      <c r="B10916" s="46" t="s">
        <v>23869</v>
      </c>
    </row>
    <row r="10917" spans="1:2" x14ac:dyDescent="0.25">
      <c r="A10917" s="45" t="s">
        <v>10942</v>
      </c>
      <c r="B10917" s="46" t="s">
        <v>23870</v>
      </c>
    </row>
    <row r="10918" spans="1:2" x14ac:dyDescent="0.25">
      <c r="A10918" s="45" t="s">
        <v>10943</v>
      </c>
      <c r="B10918" s="46" t="s">
        <v>23871</v>
      </c>
    </row>
    <row r="10919" spans="1:2" x14ac:dyDescent="0.25">
      <c r="A10919" s="45" t="s">
        <v>10944</v>
      </c>
      <c r="B10919" s="46" t="s">
        <v>23872</v>
      </c>
    </row>
    <row r="10920" spans="1:2" x14ac:dyDescent="0.25">
      <c r="A10920" s="45" t="s">
        <v>10945</v>
      </c>
      <c r="B10920" s="46" t="s">
        <v>23873</v>
      </c>
    </row>
    <row r="10921" spans="1:2" x14ac:dyDescent="0.25">
      <c r="A10921" s="45" t="s">
        <v>10946</v>
      </c>
      <c r="B10921" s="46" t="s">
        <v>23874</v>
      </c>
    </row>
    <row r="10922" spans="1:2" x14ac:dyDescent="0.25">
      <c r="A10922" s="45" t="s">
        <v>10947</v>
      </c>
      <c r="B10922" s="46" t="s">
        <v>23875</v>
      </c>
    </row>
    <row r="10923" spans="1:2" x14ac:dyDescent="0.25">
      <c r="A10923" s="45" t="s">
        <v>10948</v>
      </c>
      <c r="B10923" s="46" t="s">
        <v>23876</v>
      </c>
    </row>
    <row r="10924" spans="1:2" x14ac:dyDescent="0.25">
      <c r="A10924" s="45" t="s">
        <v>10949</v>
      </c>
      <c r="B10924" s="46" t="s">
        <v>23877</v>
      </c>
    </row>
    <row r="10925" spans="1:2" x14ac:dyDescent="0.25">
      <c r="A10925" s="45" t="s">
        <v>10950</v>
      </c>
      <c r="B10925" s="46" t="s">
        <v>23878</v>
      </c>
    </row>
    <row r="10926" spans="1:2" x14ac:dyDescent="0.25">
      <c r="A10926" s="45" t="s">
        <v>10951</v>
      </c>
      <c r="B10926" s="46" t="s">
        <v>23879</v>
      </c>
    </row>
    <row r="10927" spans="1:2" x14ac:dyDescent="0.25">
      <c r="A10927" s="45" t="s">
        <v>10952</v>
      </c>
      <c r="B10927" s="46" t="s">
        <v>23880</v>
      </c>
    </row>
    <row r="10928" spans="1:2" x14ac:dyDescent="0.25">
      <c r="A10928" s="45" t="s">
        <v>10953</v>
      </c>
      <c r="B10928" s="46" t="s">
        <v>23881</v>
      </c>
    </row>
    <row r="10929" spans="1:2" x14ac:dyDescent="0.25">
      <c r="A10929" s="45" t="s">
        <v>10954</v>
      </c>
      <c r="B10929" s="46" t="s">
        <v>23882</v>
      </c>
    </row>
    <row r="10930" spans="1:2" x14ac:dyDescent="0.25">
      <c r="A10930" s="45" t="s">
        <v>10955</v>
      </c>
      <c r="B10930" s="46" t="s">
        <v>23883</v>
      </c>
    </row>
    <row r="10931" spans="1:2" x14ac:dyDescent="0.25">
      <c r="A10931" s="45" t="s">
        <v>10956</v>
      </c>
      <c r="B10931" s="46" t="s">
        <v>23884</v>
      </c>
    </row>
    <row r="10932" spans="1:2" x14ac:dyDescent="0.25">
      <c r="A10932" s="45" t="s">
        <v>10957</v>
      </c>
      <c r="B10932" s="46" t="s">
        <v>23885</v>
      </c>
    </row>
    <row r="10933" spans="1:2" x14ac:dyDescent="0.25">
      <c r="A10933" s="45" t="s">
        <v>10958</v>
      </c>
      <c r="B10933" s="46" t="s">
        <v>23886</v>
      </c>
    </row>
    <row r="10934" spans="1:2" x14ac:dyDescent="0.25">
      <c r="A10934" s="45" t="s">
        <v>10959</v>
      </c>
      <c r="B10934" s="46" t="s">
        <v>23887</v>
      </c>
    </row>
    <row r="10935" spans="1:2" x14ac:dyDescent="0.25">
      <c r="A10935" s="45" t="s">
        <v>10960</v>
      </c>
      <c r="B10935" s="46" t="s">
        <v>23888</v>
      </c>
    </row>
    <row r="10936" spans="1:2" x14ac:dyDescent="0.25">
      <c r="A10936" s="45" t="s">
        <v>10961</v>
      </c>
      <c r="B10936" s="46" t="s">
        <v>23889</v>
      </c>
    </row>
    <row r="10937" spans="1:2" x14ac:dyDescent="0.25">
      <c r="A10937" s="45" t="s">
        <v>10962</v>
      </c>
      <c r="B10937" s="46" t="s">
        <v>23890</v>
      </c>
    </row>
    <row r="10938" spans="1:2" x14ac:dyDescent="0.25">
      <c r="A10938" s="45" t="s">
        <v>10963</v>
      </c>
      <c r="B10938" s="46" t="s">
        <v>23891</v>
      </c>
    </row>
    <row r="10939" spans="1:2" x14ac:dyDescent="0.25">
      <c r="A10939" s="45" t="s">
        <v>10964</v>
      </c>
      <c r="B10939" s="46" t="s">
        <v>23892</v>
      </c>
    </row>
    <row r="10940" spans="1:2" x14ac:dyDescent="0.25">
      <c r="A10940" s="45" t="s">
        <v>10965</v>
      </c>
      <c r="B10940" s="46" t="s">
        <v>23893</v>
      </c>
    </row>
    <row r="10941" spans="1:2" x14ac:dyDescent="0.25">
      <c r="A10941" s="45" t="s">
        <v>10966</v>
      </c>
      <c r="B10941" s="46" t="s">
        <v>23894</v>
      </c>
    </row>
    <row r="10942" spans="1:2" x14ac:dyDescent="0.25">
      <c r="A10942" s="45" t="s">
        <v>10967</v>
      </c>
      <c r="B10942" s="46" t="s">
        <v>23895</v>
      </c>
    </row>
    <row r="10943" spans="1:2" x14ac:dyDescent="0.25">
      <c r="A10943" s="45" t="s">
        <v>10968</v>
      </c>
      <c r="B10943" s="46" t="s">
        <v>23896</v>
      </c>
    </row>
    <row r="10944" spans="1:2" x14ac:dyDescent="0.25">
      <c r="A10944" s="45" t="s">
        <v>10969</v>
      </c>
      <c r="B10944" s="46" t="s">
        <v>23897</v>
      </c>
    </row>
    <row r="10945" spans="1:2" x14ac:dyDescent="0.25">
      <c r="A10945" s="45" t="s">
        <v>10970</v>
      </c>
      <c r="B10945" s="46" t="s">
        <v>23898</v>
      </c>
    </row>
    <row r="10946" spans="1:2" x14ac:dyDescent="0.25">
      <c r="A10946" s="45" t="s">
        <v>10971</v>
      </c>
      <c r="B10946" s="46" t="s">
        <v>23899</v>
      </c>
    </row>
    <row r="10947" spans="1:2" x14ac:dyDescent="0.25">
      <c r="A10947" s="45" t="s">
        <v>10972</v>
      </c>
      <c r="B10947" s="46" t="s">
        <v>23900</v>
      </c>
    </row>
    <row r="10948" spans="1:2" x14ac:dyDescent="0.25">
      <c r="A10948" s="45" t="s">
        <v>10973</v>
      </c>
      <c r="B10948" s="46" t="s">
        <v>23901</v>
      </c>
    </row>
    <row r="10949" spans="1:2" x14ac:dyDescent="0.25">
      <c r="A10949" s="45" t="s">
        <v>10974</v>
      </c>
      <c r="B10949" s="46" t="s">
        <v>23902</v>
      </c>
    </row>
    <row r="10950" spans="1:2" x14ac:dyDescent="0.25">
      <c r="A10950" s="45" t="s">
        <v>10975</v>
      </c>
      <c r="B10950" s="46" t="s">
        <v>23903</v>
      </c>
    </row>
    <row r="10951" spans="1:2" x14ac:dyDescent="0.25">
      <c r="A10951" s="45" t="s">
        <v>10976</v>
      </c>
      <c r="B10951" s="46" t="s">
        <v>23904</v>
      </c>
    </row>
    <row r="10952" spans="1:2" x14ac:dyDescent="0.25">
      <c r="A10952" s="45" t="s">
        <v>10977</v>
      </c>
      <c r="B10952" s="46" t="s">
        <v>23905</v>
      </c>
    </row>
    <row r="10953" spans="1:2" x14ac:dyDescent="0.25">
      <c r="A10953" s="45" t="s">
        <v>10978</v>
      </c>
      <c r="B10953" s="46" t="s">
        <v>23906</v>
      </c>
    </row>
    <row r="10954" spans="1:2" x14ac:dyDescent="0.25">
      <c r="A10954" s="45" t="s">
        <v>10979</v>
      </c>
      <c r="B10954" s="46" t="s">
        <v>23907</v>
      </c>
    </row>
    <row r="10955" spans="1:2" x14ac:dyDescent="0.25">
      <c r="A10955" s="45" t="s">
        <v>10980</v>
      </c>
      <c r="B10955" s="46" t="s">
        <v>23908</v>
      </c>
    </row>
    <row r="10956" spans="1:2" x14ac:dyDescent="0.25">
      <c r="A10956" s="45" t="s">
        <v>10981</v>
      </c>
      <c r="B10956" s="46" t="s">
        <v>23909</v>
      </c>
    </row>
    <row r="10957" spans="1:2" x14ac:dyDescent="0.25">
      <c r="A10957" s="45" t="s">
        <v>10982</v>
      </c>
      <c r="B10957" s="46" t="s">
        <v>23910</v>
      </c>
    </row>
    <row r="10958" spans="1:2" x14ac:dyDescent="0.25">
      <c r="A10958" s="45" t="s">
        <v>10983</v>
      </c>
      <c r="B10958" s="46" t="s">
        <v>23911</v>
      </c>
    </row>
    <row r="10959" spans="1:2" x14ac:dyDescent="0.25">
      <c r="A10959" s="45" t="s">
        <v>10984</v>
      </c>
      <c r="B10959" s="46" t="s">
        <v>23912</v>
      </c>
    </row>
    <row r="10960" spans="1:2" x14ac:dyDescent="0.25">
      <c r="A10960" s="45" t="s">
        <v>10985</v>
      </c>
      <c r="B10960" s="46" t="s">
        <v>23913</v>
      </c>
    </row>
    <row r="10961" spans="1:2" x14ac:dyDescent="0.25">
      <c r="A10961" s="45" t="s">
        <v>10986</v>
      </c>
      <c r="B10961" s="46" t="s">
        <v>23914</v>
      </c>
    </row>
    <row r="10962" spans="1:2" x14ac:dyDescent="0.25">
      <c r="A10962" s="45" t="s">
        <v>10987</v>
      </c>
      <c r="B10962" s="46" t="s">
        <v>23915</v>
      </c>
    </row>
    <row r="10963" spans="1:2" x14ac:dyDescent="0.25">
      <c r="A10963" s="45" t="s">
        <v>10988</v>
      </c>
      <c r="B10963" s="46" t="s">
        <v>23916</v>
      </c>
    </row>
    <row r="10964" spans="1:2" x14ac:dyDescent="0.25">
      <c r="A10964" s="45" t="s">
        <v>10989</v>
      </c>
      <c r="B10964" s="46" t="s">
        <v>23917</v>
      </c>
    </row>
    <row r="10965" spans="1:2" x14ac:dyDescent="0.25">
      <c r="A10965" s="45" t="s">
        <v>10990</v>
      </c>
      <c r="B10965" s="46" t="s">
        <v>23918</v>
      </c>
    </row>
    <row r="10966" spans="1:2" x14ac:dyDescent="0.25">
      <c r="A10966" s="45" t="s">
        <v>10991</v>
      </c>
      <c r="B10966" s="46" t="s">
        <v>23919</v>
      </c>
    </row>
    <row r="10967" spans="1:2" x14ac:dyDescent="0.25">
      <c r="A10967" s="45" t="s">
        <v>10992</v>
      </c>
      <c r="B10967" s="46" t="s">
        <v>23920</v>
      </c>
    </row>
    <row r="10968" spans="1:2" x14ac:dyDescent="0.25">
      <c r="A10968" s="45" t="s">
        <v>10993</v>
      </c>
      <c r="B10968" s="46" t="s">
        <v>23921</v>
      </c>
    </row>
    <row r="10969" spans="1:2" x14ac:dyDescent="0.25">
      <c r="A10969" s="45" t="s">
        <v>10994</v>
      </c>
      <c r="B10969" s="46" t="s">
        <v>23922</v>
      </c>
    </row>
    <row r="10970" spans="1:2" x14ac:dyDescent="0.25">
      <c r="A10970" s="45" t="s">
        <v>10995</v>
      </c>
      <c r="B10970" s="46" t="s">
        <v>23923</v>
      </c>
    </row>
    <row r="10971" spans="1:2" x14ac:dyDescent="0.25">
      <c r="A10971" s="45" t="s">
        <v>10996</v>
      </c>
      <c r="B10971" s="46" t="s">
        <v>23924</v>
      </c>
    </row>
    <row r="10972" spans="1:2" x14ac:dyDescent="0.25">
      <c r="A10972" s="45" t="s">
        <v>10997</v>
      </c>
      <c r="B10972" s="46" t="s">
        <v>23925</v>
      </c>
    </row>
    <row r="10973" spans="1:2" x14ac:dyDescent="0.25">
      <c r="A10973" s="45" t="s">
        <v>10998</v>
      </c>
      <c r="B10973" s="46" t="s">
        <v>23926</v>
      </c>
    </row>
    <row r="10974" spans="1:2" x14ac:dyDescent="0.25">
      <c r="A10974" s="45" t="s">
        <v>10999</v>
      </c>
      <c r="B10974" s="46" t="s">
        <v>23927</v>
      </c>
    </row>
    <row r="10975" spans="1:2" x14ac:dyDescent="0.25">
      <c r="A10975" s="45" t="s">
        <v>11000</v>
      </c>
      <c r="B10975" s="46" t="s">
        <v>23928</v>
      </c>
    </row>
    <row r="10976" spans="1:2" x14ac:dyDescent="0.25">
      <c r="A10976" s="45" t="s">
        <v>11001</v>
      </c>
      <c r="B10976" s="46" t="s">
        <v>23929</v>
      </c>
    </row>
    <row r="10977" spans="1:2" x14ac:dyDescent="0.25">
      <c r="A10977" s="45" t="s">
        <v>11002</v>
      </c>
      <c r="B10977" s="46" t="s">
        <v>23930</v>
      </c>
    </row>
    <row r="10978" spans="1:2" x14ac:dyDescent="0.25">
      <c r="A10978" s="45" t="s">
        <v>11003</v>
      </c>
      <c r="B10978" s="46" t="s">
        <v>23931</v>
      </c>
    </row>
    <row r="10979" spans="1:2" x14ac:dyDescent="0.25">
      <c r="A10979" s="45" t="s">
        <v>11004</v>
      </c>
      <c r="B10979" s="46" t="s">
        <v>23932</v>
      </c>
    </row>
    <row r="10980" spans="1:2" x14ac:dyDescent="0.25">
      <c r="A10980" s="45" t="s">
        <v>11005</v>
      </c>
      <c r="B10980" s="46" t="s">
        <v>23933</v>
      </c>
    </row>
    <row r="10981" spans="1:2" x14ac:dyDescent="0.25">
      <c r="A10981" s="45" t="s">
        <v>11006</v>
      </c>
      <c r="B10981" s="46" t="s">
        <v>23934</v>
      </c>
    </row>
    <row r="10982" spans="1:2" x14ac:dyDescent="0.25">
      <c r="A10982" s="45" t="s">
        <v>11007</v>
      </c>
      <c r="B10982" s="46" t="s">
        <v>23935</v>
      </c>
    </row>
    <row r="10983" spans="1:2" x14ac:dyDescent="0.25">
      <c r="A10983" s="45" t="s">
        <v>11008</v>
      </c>
      <c r="B10983" s="46" t="s">
        <v>23936</v>
      </c>
    </row>
    <row r="10984" spans="1:2" x14ac:dyDescent="0.25">
      <c r="A10984" s="45" t="s">
        <v>11009</v>
      </c>
      <c r="B10984" s="46" t="s">
        <v>23937</v>
      </c>
    </row>
    <row r="10985" spans="1:2" x14ac:dyDescent="0.25">
      <c r="A10985" s="45" t="s">
        <v>11010</v>
      </c>
      <c r="B10985" s="46" t="s">
        <v>23938</v>
      </c>
    </row>
    <row r="10986" spans="1:2" x14ac:dyDescent="0.25">
      <c r="A10986" s="45" t="s">
        <v>11011</v>
      </c>
      <c r="B10986" s="46" t="s">
        <v>23939</v>
      </c>
    </row>
    <row r="10987" spans="1:2" x14ac:dyDescent="0.25">
      <c r="A10987" s="45" t="s">
        <v>11012</v>
      </c>
      <c r="B10987" s="46" t="s">
        <v>23940</v>
      </c>
    </row>
    <row r="10988" spans="1:2" x14ac:dyDescent="0.25">
      <c r="A10988" s="45" t="s">
        <v>11013</v>
      </c>
      <c r="B10988" s="46" t="s">
        <v>23941</v>
      </c>
    </row>
    <row r="10989" spans="1:2" x14ac:dyDescent="0.25">
      <c r="A10989" s="45" t="s">
        <v>11014</v>
      </c>
      <c r="B10989" s="46" t="s">
        <v>23942</v>
      </c>
    </row>
    <row r="10990" spans="1:2" x14ac:dyDescent="0.25">
      <c r="A10990" s="45" t="s">
        <v>11015</v>
      </c>
      <c r="B10990" s="46" t="s">
        <v>23943</v>
      </c>
    </row>
    <row r="10991" spans="1:2" x14ac:dyDescent="0.25">
      <c r="A10991" s="45" t="s">
        <v>11016</v>
      </c>
      <c r="B10991" s="46" t="s">
        <v>23944</v>
      </c>
    </row>
    <row r="10992" spans="1:2" x14ac:dyDescent="0.25">
      <c r="A10992" s="45" t="s">
        <v>11017</v>
      </c>
      <c r="B10992" s="46" t="s">
        <v>23945</v>
      </c>
    </row>
    <row r="10993" spans="1:2" x14ac:dyDescent="0.25">
      <c r="A10993" s="45" t="s">
        <v>11018</v>
      </c>
      <c r="B10993" s="46" t="s">
        <v>23946</v>
      </c>
    </row>
    <row r="10994" spans="1:2" x14ac:dyDescent="0.25">
      <c r="A10994" s="45" t="s">
        <v>11019</v>
      </c>
      <c r="B10994" s="46" t="s">
        <v>23947</v>
      </c>
    </row>
    <row r="10995" spans="1:2" x14ac:dyDescent="0.25">
      <c r="A10995" s="45" t="s">
        <v>11020</v>
      </c>
      <c r="B10995" s="46" t="s">
        <v>23948</v>
      </c>
    </row>
    <row r="10996" spans="1:2" x14ac:dyDescent="0.25">
      <c r="A10996" s="45" t="s">
        <v>11021</v>
      </c>
      <c r="B10996" s="46" t="s">
        <v>23949</v>
      </c>
    </row>
    <row r="10997" spans="1:2" x14ac:dyDescent="0.25">
      <c r="A10997" s="45" t="s">
        <v>11022</v>
      </c>
      <c r="B10997" s="46" t="s">
        <v>23950</v>
      </c>
    </row>
    <row r="10998" spans="1:2" x14ac:dyDescent="0.25">
      <c r="A10998" s="45" t="s">
        <v>11023</v>
      </c>
      <c r="B10998" s="46" t="s">
        <v>23951</v>
      </c>
    </row>
    <row r="10999" spans="1:2" x14ac:dyDescent="0.25">
      <c r="A10999" s="45" t="s">
        <v>11024</v>
      </c>
      <c r="B10999" s="46" t="s">
        <v>23952</v>
      </c>
    </row>
    <row r="11000" spans="1:2" x14ac:dyDescent="0.25">
      <c r="A11000" s="45" t="s">
        <v>11025</v>
      </c>
      <c r="B11000" s="46" t="s">
        <v>23953</v>
      </c>
    </row>
    <row r="11001" spans="1:2" x14ac:dyDescent="0.25">
      <c r="A11001" s="45" t="s">
        <v>11026</v>
      </c>
      <c r="B11001" s="46" t="s">
        <v>23954</v>
      </c>
    </row>
    <row r="11002" spans="1:2" x14ac:dyDescent="0.25">
      <c r="A11002" s="45" t="s">
        <v>11027</v>
      </c>
      <c r="B11002" s="46" t="s">
        <v>23955</v>
      </c>
    </row>
    <row r="11003" spans="1:2" x14ac:dyDescent="0.25">
      <c r="A11003" s="45" t="s">
        <v>11028</v>
      </c>
      <c r="B11003" s="46" t="s">
        <v>23956</v>
      </c>
    </row>
    <row r="11004" spans="1:2" x14ac:dyDescent="0.25">
      <c r="A11004" s="45" t="s">
        <v>11029</v>
      </c>
      <c r="B11004" s="46" t="s">
        <v>23957</v>
      </c>
    </row>
    <row r="11005" spans="1:2" x14ac:dyDescent="0.25">
      <c r="A11005" s="45" t="s">
        <v>11030</v>
      </c>
      <c r="B11005" s="46" t="s">
        <v>23958</v>
      </c>
    </row>
    <row r="11006" spans="1:2" x14ac:dyDescent="0.25">
      <c r="A11006" s="45" t="s">
        <v>11031</v>
      </c>
      <c r="B11006" s="46" t="s">
        <v>23959</v>
      </c>
    </row>
    <row r="11007" spans="1:2" x14ac:dyDescent="0.25">
      <c r="A11007" s="45" t="s">
        <v>11032</v>
      </c>
      <c r="B11007" s="46" t="s">
        <v>23960</v>
      </c>
    </row>
    <row r="11008" spans="1:2" x14ac:dyDescent="0.25">
      <c r="A11008" s="45" t="s">
        <v>11033</v>
      </c>
      <c r="B11008" s="46" t="s">
        <v>23961</v>
      </c>
    </row>
    <row r="11009" spans="1:2" x14ac:dyDescent="0.25">
      <c r="A11009" s="45" t="s">
        <v>11034</v>
      </c>
      <c r="B11009" s="46" t="s">
        <v>23962</v>
      </c>
    </row>
    <row r="11010" spans="1:2" x14ac:dyDescent="0.25">
      <c r="A11010" s="45" t="s">
        <v>11035</v>
      </c>
      <c r="B11010" s="46" t="s">
        <v>23963</v>
      </c>
    </row>
    <row r="11011" spans="1:2" x14ac:dyDescent="0.25">
      <c r="A11011" s="45" t="s">
        <v>11036</v>
      </c>
      <c r="B11011" s="46" t="s">
        <v>23964</v>
      </c>
    </row>
    <row r="11012" spans="1:2" x14ac:dyDescent="0.25">
      <c r="A11012" s="45" t="s">
        <v>11037</v>
      </c>
      <c r="B11012" s="46" t="s">
        <v>23965</v>
      </c>
    </row>
    <row r="11013" spans="1:2" x14ac:dyDescent="0.25">
      <c r="A11013" s="45" t="s">
        <v>11038</v>
      </c>
      <c r="B11013" s="46" t="s">
        <v>23966</v>
      </c>
    </row>
    <row r="11014" spans="1:2" x14ac:dyDescent="0.25">
      <c r="A11014" s="45" t="s">
        <v>11039</v>
      </c>
      <c r="B11014" s="46" t="s">
        <v>23967</v>
      </c>
    </row>
    <row r="11015" spans="1:2" x14ac:dyDescent="0.25">
      <c r="A11015" s="45" t="s">
        <v>11040</v>
      </c>
      <c r="B11015" s="46" t="s">
        <v>23968</v>
      </c>
    </row>
    <row r="11016" spans="1:2" x14ac:dyDescent="0.25">
      <c r="A11016" s="45" t="s">
        <v>11041</v>
      </c>
      <c r="B11016" s="46" t="s">
        <v>23969</v>
      </c>
    </row>
    <row r="11017" spans="1:2" x14ac:dyDescent="0.25">
      <c r="A11017" s="45" t="s">
        <v>11042</v>
      </c>
      <c r="B11017" s="46" t="s">
        <v>23970</v>
      </c>
    </row>
    <row r="11018" spans="1:2" x14ac:dyDescent="0.25">
      <c r="A11018" s="45" t="s">
        <v>11043</v>
      </c>
      <c r="B11018" s="46" t="s">
        <v>23971</v>
      </c>
    </row>
    <row r="11019" spans="1:2" x14ac:dyDescent="0.25">
      <c r="A11019" s="45" t="s">
        <v>11044</v>
      </c>
      <c r="B11019" s="46" t="s">
        <v>23972</v>
      </c>
    </row>
    <row r="11020" spans="1:2" x14ac:dyDescent="0.25">
      <c r="A11020" s="45" t="s">
        <v>11045</v>
      </c>
      <c r="B11020" s="46" t="s">
        <v>23973</v>
      </c>
    </row>
    <row r="11021" spans="1:2" x14ac:dyDescent="0.25">
      <c r="A11021" s="45" t="s">
        <v>11046</v>
      </c>
      <c r="B11021" s="46" t="s">
        <v>23974</v>
      </c>
    </row>
    <row r="11022" spans="1:2" x14ac:dyDescent="0.25">
      <c r="A11022" s="45" t="s">
        <v>11047</v>
      </c>
      <c r="B11022" s="46" t="s">
        <v>23975</v>
      </c>
    </row>
    <row r="11023" spans="1:2" x14ac:dyDescent="0.25">
      <c r="A11023" s="45" t="s">
        <v>11048</v>
      </c>
      <c r="B11023" s="46" t="s">
        <v>23976</v>
      </c>
    </row>
    <row r="11024" spans="1:2" x14ac:dyDescent="0.25">
      <c r="A11024" s="45" t="s">
        <v>11049</v>
      </c>
      <c r="B11024" s="46" t="s">
        <v>23977</v>
      </c>
    </row>
    <row r="11025" spans="1:2" x14ac:dyDescent="0.25">
      <c r="A11025" s="45" t="s">
        <v>11050</v>
      </c>
      <c r="B11025" s="46" t="s">
        <v>23978</v>
      </c>
    </row>
    <row r="11026" spans="1:2" x14ac:dyDescent="0.25">
      <c r="A11026" s="45" t="s">
        <v>11051</v>
      </c>
      <c r="B11026" s="46" t="s">
        <v>23979</v>
      </c>
    </row>
    <row r="11027" spans="1:2" x14ac:dyDescent="0.25">
      <c r="A11027" s="45" t="s">
        <v>11052</v>
      </c>
      <c r="B11027" s="46" t="s">
        <v>23980</v>
      </c>
    </row>
    <row r="11028" spans="1:2" x14ac:dyDescent="0.25">
      <c r="A11028" s="45" t="s">
        <v>11053</v>
      </c>
      <c r="B11028" s="46" t="s">
        <v>23981</v>
      </c>
    </row>
    <row r="11029" spans="1:2" x14ac:dyDescent="0.25">
      <c r="A11029" s="45" t="s">
        <v>11054</v>
      </c>
      <c r="B11029" s="46" t="s">
        <v>23982</v>
      </c>
    </row>
    <row r="11030" spans="1:2" x14ac:dyDescent="0.25">
      <c r="A11030" s="45" t="s">
        <v>11055</v>
      </c>
      <c r="B11030" s="46" t="s">
        <v>23983</v>
      </c>
    </row>
    <row r="11031" spans="1:2" x14ac:dyDescent="0.25">
      <c r="A11031" s="45" t="s">
        <v>11056</v>
      </c>
      <c r="B11031" s="46" t="s">
        <v>23984</v>
      </c>
    </row>
    <row r="11032" spans="1:2" x14ac:dyDescent="0.25">
      <c r="A11032" s="45" t="s">
        <v>11057</v>
      </c>
      <c r="B11032" s="46" t="s">
        <v>23985</v>
      </c>
    </row>
    <row r="11033" spans="1:2" x14ac:dyDescent="0.25">
      <c r="A11033" s="45" t="s">
        <v>11058</v>
      </c>
      <c r="B11033" s="46" t="s">
        <v>23986</v>
      </c>
    </row>
    <row r="11034" spans="1:2" x14ac:dyDescent="0.25">
      <c r="A11034" s="45" t="s">
        <v>11059</v>
      </c>
      <c r="B11034" s="46" t="s">
        <v>23987</v>
      </c>
    </row>
    <row r="11035" spans="1:2" x14ac:dyDescent="0.25">
      <c r="A11035" s="45" t="s">
        <v>11060</v>
      </c>
      <c r="B11035" s="46" t="s">
        <v>23988</v>
      </c>
    </row>
    <row r="11036" spans="1:2" x14ac:dyDescent="0.25">
      <c r="A11036" s="45" t="s">
        <v>11061</v>
      </c>
      <c r="B11036" s="46" t="s">
        <v>23989</v>
      </c>
    </row>
    <row r="11037" spans="1:2" x14ac:dyDescent="0.25">
      <c r="A11037" s="45" t="s">
        <v>11062</v>
      </c>
      <c r="B11037" s="46" t="s">
        <v>23990</v>
      </c>
    </row>
    <row r="11038" spans="1:2" x14ac:dyDescent="0.25">
      <c r="A11038" s="45" t="s">
        <v>11063</v>
      </c>
      <c r="B11038" s="46" t="s">
        <v>23991</v>
      </c>
    </row>
    <row r="11039" spans="1:2" x14ac:dyDescent="0.25">
      <c r="A11039" s="45" t="s">
        <v>11064</v>
      </c>
      <c r="B11039" s="46" t="s">
        <v>23992</v>
      </c>
    </row>
    <row r="11040" spans="1:2" x14ac:dyDescent="0.25">
      <c r="A11040" s="45" t="s">
        <v>11065</v>
      </c>
      <c r="B11040" s="46" t="s">
        <v>23993</v>
      </c>
    </row>
    <row r="11041" spans="1:2" x14ac:dyDescent="0.25">
      <c r="A11041" s="45" t="s">
        <v>11066</v>
      </c>
      <c r="B11041" s="46" t="s">
        <v>23994</v>
      </c>
    </row>
    <row r="11042" spans="1:2" x14ac:dyDescent="0.25">
      <c r="A11042" s="45" t="s">
        <v>11067</v>
      </c>
      <c r="B11042" s="46" t="s">
        <v>23995</v>
      </c>
    </row>
    <row r="11043" spans="1:2" x14ac:dyDescent="0.25">
      <c r="A11043" s="45" t="s">
        <v>11068</v>
      </c>
      <c r="B11043" s="46" t="s">
        <v>23996</v>
      </c>
    </row>
    <row r="11044" spans="1:2" x14ac:dyDescent="0.25">
      <c r="A11044" s="45" t="s">
        <v>11069</v>
      </c>
      <c r="B11044" s="46" t="s">
        <v>23997</v>
      </c>
    </row>
    <row r="11045" spans="1:2" x14ac:dyDescent="0.25">
      <c r="A11045" s="45" t="s">
        <v>11070</v>
      </c>
      <c r="B11045" s="46" t="s">
        <v>23998</v>
      </c>
    </row>
    <row r="11046" spans="1:2" x14ac:dyDescent="0.25">
      <c r="A11046" s="45" t="s">
        <v>11071</v>
      </c>
      <c r="B11046" s="46" t="s">
        <v>23999</v>
      </c>
    </row>
    <row r="11047" spans="1:2" x14ac:dyDescent="0.25">
      <c r="A11047" s="45" t="s">
        <v>11072</v>
      </c>
      <c r="B11047" s="46" t="s">
        <v>24000</v>
      </c>
    </row>
    <row r="11048" spans="1:2" x14ac:dyDescent="0.25">
      <c r="A11048" s="45" t="s">
        <v>11073</v>
      </c>
      <c r="B11048" s="46" t="s">
        <v>24001</v>
      </c>
    </row>
    <row r="11049" spans="1:2" x14ac:dyDescent="0.25">
      <c r="A11049" s="45" t="s">
        <v>11074</v>
      </c>
      <c r="B11049" s="46" t="s">
        <v>24002</v>
      </c>
    </row>
    <row r="11050" spans="1:2" x14ac:dyDescent="0.25">
      <c r="A11050" s="45" t="s">
        <v>11075</v>
      </c>
      <c r="B11050" s="46" t="s">
        <v>24003</v>
      </c>
    </row>
    <row r="11051" spans="1:2" x14ac:dyDescent="0.25">
      <c r="A11051" s="45" t="s">
        <v>11076</v>
      </c>
      <c r="B11051" s="46" t="s">
        <v>24004</v>
      </c>
    </row>
    <row r="11052" spans="1:2" x14ac:dyDescent="0.25">
      <c r="A11052" s="45" t="s">
        <v>11077</v>
      </c>
      <c r="B11052" s="46" t="s">
        <v>24005</v>
      </c>
    </row>
    <row r="11053" spans="1:2" x14ac:dyDescent="0.25">
      <c r="A11053" s="45" t="s">
        <v>11078</v>
      </c>
      <c r="B11053" s="46" t="s">
        <v>24006</v>
      </c>
    </row>
    <row r="11054" spans="1:2" x14ac:dyDescent="0.25">
      <c r="A11054" s="45" t="s">
        <v>11079</v>
      </c>
      <c r="B11054" s="46" t="s">
        <v>24007</v>
      </c>
    </row>
    <row r="11055" spans="1:2" x14ac:dyDescent="0.25">
      <c r="A11055" s="45" t="s">
        <v>11080</v>
      </c>
      <c r="B11055" s="46" t="s">
        <v>24008</v>
      </c>
    </row>
    <row r="11056" spans="1:2" x14ac:dyDescent="0.25">
      <c r="A11056" s="45" t="s">
        <v>11081</v>
      </c>
      <c r="B11056" s="46" t="s">
        <v>24009</v>
      </c>
    </row>
    <row r="11057" spans="1:2" x14ac:dyDescent="0.25">
      <c r="A11057" s="45" t="s">
        <v>11082</v>
      </c>
      <c r="B11057" s="46" t="s">
        <v>24010</v>
      </c>
    </row>
    <row r="11058" spans="1:2" x14ac:dyDescent="0.25">
      <c r="A11058" s="45" t="s">
        <v>11083</v>
      </c>
      <c r="B11058" s="46" t="s">
        <v>24011</v>
      </c>
    </row>
    <row r="11059" spans="1:2" x14ac:dyDescent="0.25">
      <c r="A11059" s="45" t="s">
        <v>11084</v>
      </c>
      <c r="B11059" s="46" t="s">
        <v>24012</v>
      </c>
    </row>
    <row r="11060" spans="1:2" x14ac:dyDescent="0.25">
      <c r="A11060" s="45" t="s">
        <v>11085</v>
      </c>
      <c r="B11060" s="46" t="s">
        <v>24013</v>
      </c>
    </row>
    <row r="11061" spans="1:2" x14ac:dyDescent="0.25">
      <c r="A11061" s="45" t="s">
        <v>11086</v>
      </c>
      <c r="B11061" s="46" t="s">
        <v>24014</v>
      </c>
    </row>
    <row r="11062" spans="1:2" x14ac:dyDescent="0.25">
      <c r="A11062" s="45" t="s">
        <v>11087</v>
      </c>
      <c r="B11062" s="46" t="s">
        <v>24015</v>
      </c>
    </row>
    <row r="11063" spans="1:2" x14ac:dyDescent="0.25">
      <c r="A11063" s="45" t="s">
        <v>11088</v>
      </c>
      <c r="B11063" s="46" t="s">
        <v>24016</v>
      </c>
    </row>
    <row r="11064" spans="1:2" x14ac:dyDescent="0.25">
      <c r="A11064" s="45" t="s">
        <v>11089</v>
      </c>
      <c r="B11064" s="46" t="s">
        <v>24017</v>
      </c>
    </row>
    <row r="11065" spans="1:2" x14ac:dyDescent="0.25">
      <c r="A11065" s="45" t="s">
        <v>11090</v>
      </c>
      <c r="B11065" s="46" t="s">
        <v>24018</v>
      </c>
    </row>
    <row r="11066" spans="1:2" x14ac:dyDescent="0.25">
      <c r="A11066" s="45" t="s">
        <v>11091</v>
      </c>
      <c r="B11066" s="46" t="s">
        <v>24019</v>
      </c>
    </row>
    <row r="11067" spans="1:2" x14ac:dyDescent="0.25">
      <c r="A11067" s="45" t="s">
        <v>11092</v>
      </c>
      <c r="B11067" s="46" t="s">
        <v>24020</v>
      </c>
    </row>
    <row r="11068" spans="1:2" x14ac:dyDescent="0.25">
      <c r="A11068" s="45" t="s">
        <v>11093</v>
      </c>
      <c r="B11068" s="46" t="s">
        <v>24021</v>
      </c>
    </row>
    <row r="11069" spans="1:2" x14ac:dyDescent="0.25">
      <c r="A11069" s="45" t="s">
        <v>11094</v>
      </c>
      <c r="B11069" s="46" t="s">
        <v>24022</v>
      </c>
    </row>
    <row r="11070" spans="1:2" x14ac:dyDescent="0.25">
      <c r="A11070" s="45" t="s">
        <v>11095</v>
      </c>
      <c r="B11070" s="46" t="s">
        <v>24023</v>
      </c>
    </row>
    <row r="11071" spans="1:2" x14ac:dyDescent="0.25">
      <c r="A11071" s="45" t="s">
        <v>11096</v>
      </c>
      <c r="B11071" s="46" t="s">
        <v>24024</v>
      </c>
    </row>
    <row r="11072" spans="1:2" x14ac:dyDescent="0.25">
      <c r="A11072" s="45" t="s">
        <v>11097</v>
      </c>
      <c r="B11072" s="46" t="s">
        <v>24025</v>
      </c>
    </row>
    <row r="11073" spans="1:2" x14ac:dyDescent="0.25">
      <c r="A11073" s="45" t="s">
        <v>11098</v>
      </c>
      <c r="B11073" s="46" t="s">
        <v>24026</v>
      </c>
    </row>
    <row r="11074" spans="1:2" x14ac:dyDescent="0.25">
      <c r="A11074" s="45" t="s">
        <v>11099</v>
      </c>
      <c r="B11074" s="46" t="s">
        <v>24027</v>
      </c>
    </row>
    <row r="11075" spans="1:2" x14ac:dyDescent="0.25">
      <c r="A11075" s="45" t="s">
        <v>11100</v>
      </c>
      <c r="B11075" s="46" t="s">
        <v>24028</v>
      </c>
    </row>
    <row r="11076" spans="1:2" x14ac:dyDescent="0.25">
      <c r="A11076" s="45" t="s">
        <v>11101</v>
      </c>
      <c r="B11076" s="46" t="s">
        <v>24029</v>
      </c>
    </row>
    <row r="11077" spans="1:2" x14ac:dyDescent="0.25">
      <c r="A11077" s="45" t="s">
        <v>11102</v>
      </c>
      <c r="B11077" s="46" t="s">
        <v>24030</v>
      </c>
    </row>
    <row r="11078" spans="1:2" x14ac:dyDescent="0.25">
      <c r="A11078" s="45" t="s">
        <v>11103</v>
      </c>
      <c r="B11078" s="46" t="s">
        <v>24031</v>
      </c>
    </row>
    <row r="11079" spans="1:2" x14ac:dyDescent="0.25">
      <c r="A11079" s="45" t="s">
        <v>11104</v>
      </c>
      <c r="B11079" s="46" t="s">
        <v>24032</v>
      </c>
    </row>
    <row r="11080" spans="1:2" x14ac:dyDescent="0.25">
      <c r="A11080" s="45" t="s">
        <v>11105</v>
      </c>
      <c r="B11080" s="46" t="s">
        <v>24033</v>
      </c>
    </row>
    <row r="11081" spans="1:2" x14ac:dyDescent="0.25">
      <c r="A11081" s="45" t="s">
        <v>11106</v>
      </c>
      <c r="B11081" s="46" t="s">
        <v>24034</v>
      </c>
    </row>
    <row r="11082" spans="1:2" x14ac:dyDescent="0.25">
      <c r="A11082" s="45" t="s">
        <v>11107</v>
      </c>
      <c r="B11082" s="46" t="s">
        <v>24035</v>
      </c>
    </row>
    <row r="11083" spans="1:2" x14ac:dyDescent="0.25">
      <c r="A11083" s="45" t="s">
        <v>11108</v>
      </c>
      <c r="B11083" s="46" t="s">
        <v>24036</v>
      </c>
    </row>
    <row r="11084" spans="1:2" x14ac:dyDescent="0.25">
      <c r="A11084" s="45" t="s">
        <v>11109</v>
      </c>
      <c r="B11084" s="46" t="s">
        <v>24037</v>
      </c>
    </row>
    <row r="11085" spans="1:2" x14ac:dyDescent="0.25">
      <c r="A11085" s="45" t="s">
        <v>11110</v>
      </c>
      <c r="B11085" s="46" t="s">
        <v>24038</v>
      </c>
    </row>
    <row r="11086" spans="1:2" x14ac:dyDescent="0.25">
      <c r="A11086" s="45" t="s">
        <v>11111</v>
      </c>
      <c r="B11086" s="46" t="s">
        <v>24039</v>
      </c>
    </row>
    <row r="11087" spans="1:2" x14ac:dyDescent="0.25">
      <c r="A11087" s="45" t="s">
        <v>11112</v>
      </c>
      <c r="B11087" s="46" t="s">
        <v>24040</v>
      </c>
    </row>
    <row r="11088" spans="1:2" x14ac:dyDescent="0.25">
      <c r="A11088" s="45" t="s">
        <v>11113</v>
      </c>
      <c r="B11088" s="46" t="s">
        <v>24041</v>
      </c>
    </row>
    <row r="11089" spans="1:2" x14ac:dyDescent="0.25">
      <c r="A11089" s="45" t="s">
        <v>11114</v>
      </c>
      <c r="B11089" s="46" t="s">
        <v>24042</v>
      </c>
    </row>
    <row r="11090" spans="1:2" x14ac:dyDescent="0.25">
      <c r="A11090" s="45" t="s">
        <v>11115</v>
      </c>
      <c r="B11090" s="46" t="s">
        <v>24043</v>
      </c>
    </row>
    <row r="11091" spans="1:2" x14ac:dyDescent="0.25">
      <c r="A11091" s="45" t="s">
        <v>11116</v>
      </c>
      <c r="B11091" s="46" t="s">
        <v>24044</v>
      </c>
    </row>
    <row r="11092" spans="1:2" x14ac:dyDescent="0.25">
      <c r="A11092" s="45" t="s">
        <v>11117</v>
      </c>
      <c r="B11092" s="46" t="s">
        <v>24045</v>
      </c>
    </row>
    <row r="11093" spans="1:2" x14ac:dyDescent="0.25">
      <c r="A11093" s="45" t="s">
        <v>11118</v>
      </c>
      <c r="B11093" s="46" t="s">
        <v>24046</v>
      </c>
    </row>
    <row r="11094" spans="1:2" x14ac:dyDescent="0.25">
      <c r="A11094" s="45" t="s">
        <v>11119</v>
      </c>
      <c r="B11094" s="46" t="s">
        <v>24047</v>
      </c>
    </row>
    <row r="11095" spans="1:2" x14ac:dyDescent="0.25">
      <c r="A11095" s="45" t="s">
        <v>11120</v>
      </c>
      <c r="B11095" s="46" t="s">
        <v>24048</v>
      </c>
    </row>
    <row r="11096" spans="1:2" x14ac:dyDescent="0.25">
      <c r="A11096" s="45" t="s">
        <v>11121</v>
      </c>
      <c r="B11096" s="46" t="s">
        <v>24049</v>
      </c>
    </row>
    <row r="11097" spans="1:2" x14ac:dyDescent="0.25">
      <c r="A11097" s="45" t="s">
        <v>11122</v>
      </c>
      <c r="B11097" s="46" t="s">
        <v>24050</v>
      </c>
    </row>
    <row r="11098" spans="1:2" x14ac:dyDescent="0.25">
      <c r="A11098" s="45" t="s">
        <v>11123</v>
      </c>
      <c r="B11098" s="46" t="s">
        <v>24051</v>
      </c>
    </row>
    <row r="11099" spans="1:2" x14ac:dyDescent="0.25">
      <c r="A11099" s="45" t="s">
        <v>11124</v>
      </c>
      <c r="B11099" s="46" t="s">
        <v>24052</v>
      </c>
    </row>
    <row r="11100" spans="1:2" x14ac:dyDescent="0.25">
      <c r="A11100" s="45" t="s">
        <v>11125</v>
      </c>
      <c r="B11100" s="46" t="s">
        <v>24053</v>
      </c>
    </row>
    <row r="11101" spans="1:2" x14ac:dyDescent="0.25">
      <c r="A11101" s="45" t="s">
        <v>11126</v>
      </c>
      <c r="B11101" s="46" t="s">
        <v>24054</v>
      </c>
    </row>
    <row r="11102" spans="1:2" x14ac:dyDescent="0.25">
      <c r="A11102" s="45" t="s">
        <v>11127</v>
      </c>
      <c r="B11102" s="46" t="s">
        <v>24055</v>
      </c>
    </row>
    <row r="11103" spans="1:2" x14ac:dyDescent="0.25">
      <c r="A11103" s="45" t="s">
        <v>11128</v>
      </c>
      <c r="B11103" s="46" t="s">
        <v>24056</v>
      </c>
    </row>
    <row r="11104" spans="1:2" x14ac:dyDescent="0.25">
      <c r="A11104" s="45" t="s">
        <v>11129</v>
      </c>
      <c r="B11104" s="46" t="s">
        <v>24057</v>
      </c>
    </row>
    <row r="11105" spans="1:2" x14ac:dyDescent="0.25">
      <c r="A11105" s="45" t="s">
        <v>11130</v>
      </c>
      <c r="B11105" s="46" t="s">
        <v>24058</v>
      </c>
    </row>
    <row r="11106" spans="1:2" x14ac:dyDescent="0.25">
      <c r="A11106" s="45" t="s">
        <v>11131</v>
      </c>
      <c r="B11106" s="46" t="s">
        <v>24059</v>
      </c>
    </row>
    <row r="11107" spans="1:2" x14ac:dyDescent="0.25">
      <c r="A11107" s="45" t="s">
        <v>11132</v>
      </c>
      <c r="B11107" s="46" t="s">
        <v>24060</v>
      </c>
    </row>
    <row r="11108" spans="1:2" x14ac:dyDescent="0.25">
      <c r="A11108" s="45" t="s">
        <v>11133</v>
      </c>
      <c r="B11108" s="46" t="s">
        <v>24061</v>
      </c>
    </row>
    <row r="11109" spans="1:2" x14ac:dyDescent="0.25">
      <c r="A11109" s="45" t="s">
        <v>11134</v>
      </c>
      <c r="B11109" s="46" t="s">
        <v>24062</v>
      </c>
    </row>
    <row r="11110" spans="1:2" x14ac:dyDescent="0.25">
      <c r="A11110" s="45" t="s">
        <v>11135</v>
      </c>
      <c r="B11110" s="46" t="s">
        <v>24063</v>
      </c>
    </row>
    <row r="11111" spans="1:2" x14ac:dyDescent="0.25">
      <c r="A11111" s="45" t="s">
        <v>11136</v>
      </c>
      <c r="B11111" s="46" t="s">
        <v>24064</v>
      </c>
    </row>
    <row r="11112" spans="1:2" x14ac:dyDescent="0.25">
      <c r="A11112" s="45" t="s">
        <v>11137</v>
      </c>
      <c r="B11112" s="46" t="s">
        <v>24065</v>
      </c>
    </row>
    <row r="11113" spans="1:2" x14ac:dyDescent="0.25">
      <c r="A11113" s="45" t="s">
        <v>11138</v>
      </c>
      <c r="B11113" s="46" t="s">
        <v>24066</v>
      </c>
    </row>
    <row r="11114" spans="1:2" x14ac:dyDescent="0.25">
      <c r="A11114" s="45" t="s">
        <v>11139</v>
      </c>
      <c r="B11114" s="46" t="s">
        <v>24067</v>
      </c>
    </row>
    <row r="11115" spans="1:2" x14ac:dyDescent="0.25">
      <c r="A11115" s="45" t="s">
        <v>11140</v>
      </c>
      <c r="B11115" s="46" t="s">
        <v>24068</v>
      </c>
    </row>
    <row r="11116" spans="1:2" x14ac:dyDescent="0.25">
      <c r="A11116" s="45" t="s">
        <v>11141</v>
      </c>
      <c r="B11116" s="46" t="s">
        <v>24069</v>
      </c>
    </row>
    <row r="11117" spans="1:2" x14ac:dyDescent="0.25">
      <c r="A11117" s="45" t="s">
        <v>11142</v>
      </c>
      <c r="B11117" s="46" t="s">
        <v>24070</v>
      </c>
    </row>
    <row r="11118" spans="1:2" x14ac:dyDescent="0.25">
      <c r="A11118" s="45" t="s">
        <v>11143</v>
      </c>
      <c r="B11118" s="46" t="s">
        <v>24071</v>
      </c>
    </row>
    <row r="11119" spans="1:2" x14ac:dyDescent="0.25">
      <c r="A11119" s="45" t="s">
        <v>11144</v>
      </c>
      <c r="B11119" s="46" t="s">
        <v>24072</v>
      </c>
    </row>
    <row r="11120" spans="1:2" x14ac:dyDescent="0.25">
      <c r="A11120" s="45" t="s">
        <v>11145</v>
      </c>
      <c r="B11120" s="46" t="s">
        <v>24073</v>
      </c>
    </row>
    <row r="11121" spans="1:2" x14ac:dyDescent="0.25">
      <c r="A11121" s="45" t="s">
        <v>11146</v>
      </c>
      <c r="B11121" s="46" t="s">
        <v>24074</v>
      </c>
    </row>
    <row r="11122" spans="1:2" x14ac:dyDescent="0.25">
      <c r="A11122" s="45" t="s">
        <v>11147</v>
      </c>
      <c r="B11122" s="46" t="s">
        <v>24075</v>
      </c>
    </row>
    <row r="11123" spans="1:2" x14ac:dyDescent="0.25">
      <c r="A11123" s="45" t="s">
        <v>11148</v>
      </c>
      <c r="B11123" s="46" t="s">
        <v>24076</v>
      </c>
    </row>
    <row r="11124" spans="1:2" x14ac:dyDescent="0.25">
      <c r="A11124" s="45" t="s">
        <v>11149</v>
      </c>
      <c r="B11124" s="46" t="s">
        <v>24077</v>
      </c>
    </row>
    <row r="11125" spans="1:2" x14ac:dyDescent="0.25">
      <c r="A11125" s="45" t="s">
        <v>11150</v>
      </c>
      <c r="B11125" s="46" t="s">
        <v>24078</v>
      </c>
    </row>
    <row r="11126" spans="1:2" x14ac:dyDescent="0.25">
      <c r="A11126" s="45" t="s">
        <v>11151</v>
      </c>
      <c r="B11126" s="46" t="s">
        <v>24079</v>
      </c>
    </row>
    <row r="11127" spans="1:2" x14ac:dyDescent="0.25">
      <c r="A11127" s="45" t="s">
        <v>11152</v>
      </c>
      <c r="B11127" s="46" t="s">
        <v>24080</v>
      </c>
    </row>
    <row r="11128" spans="1:2" x14ac:dyDescent="0.25">
      <c r="A11128" s="45" t="s">
        <v>11153</v>
      </c>
      <c r="B11128" s="46" t="s">
        <v>24081</v>
      </c>
    </row>
    <row r="11129" spans="1:2" x14ac:dyDescent="0.25">
      <c r="A11129" s="45" t="s">
        <v>11154</v>
      </c>
      <c r="B11129" s="46" t="s">
        <v>24082</v>
      </c>
    </row>
    <row r="11130" spans="1:2" x14ac:dyDescent="0.25">
      <c r="A11130" s="45" t="s">
        <v>11155</v>
      </c>
      <c r="B11130" s="46" t="s">
        <v>24083</v>
      </c>
    </row>
    <row r="11131" spans="1:2" x14ac:dyDescent="0.25">
      <c r="A11131" s="45" t="s">
        <v>11156</v>
      </c>
      <c r="B11131" s="46" t="s">
        <v>24084</v>
      </c>
    </row>
    <row r="11132" spans="1:2" x14ac:dyDescent="0.25">
      <c r="A11132" s="45" t="s">
        <v>11157</v>
      </c>
      <c r="B11132" s="46" t="s">
        <v>24085</v>
      </c>
    </row>
    <row r="11133" spans="1:2" x14ac:dyDescent="0.25">
      <c r="A11133" s="45" t="s">
        <v>11158</v>
      </c>
      <c r="B11133" s="46" t="s">
        <v>24086</v>
      </c>
    </row>
    <row r="11134" spans="1:2" x14ac:dyDescent="0.25">
      <c r="A11134" s="45" t="s">
        <v>11159</v>
      </c>
      <c r="B11134" s="46" t="s">
        <v>24087</v>
      </c>
    </row>
    <row r="11135" spans="1:2" x14ac:dyDescent="0.25">
      <c r="A11135" s="45" t="s">
        <v>11160</v>
      </c>
      <c r="B11135" s="46" t="s">
        <v>24088</v>
      </c>
    </row>
    <row r="11136" spans="1:2" x14ac:dyDescent="0.25">
      <c r="A11136" s="45" t="s">
        <v>11161</v>
      </c>
      <c r="B11136" s="46" t="s">
        <v>24089</v>
      </c>
    </row>
    <row r="11137" spans="1:2" x14ac:dyDescent="0.25">
      <c r="A11137" s="45" t="s">
        <v>11162</v>
      </c>
      <c r="B11137" s="46" t="s">
        <v>24090</v>
      </c>
    </row>
    <row r="11138" spans="1:2" x14ac:dyDescent="0.25">
      <c r="A11138" s="45" t="s">
        <v>11163</v>
      </c>
      <c r="B11138" s="46" t="s">
        <v>24091</v>
      </c>
    </row>
    <row r="11139" spans="1:2" x14ac:dyDescent="0.25">
      <c r="A11139" s="45" t="s">
        <v>11164</v>
      </c>
      <c r="B11139" s="46" t="s">
        <v>24092</v>
      </c>
    </row>
    <row r="11140" spans="1:2" x14ac:dyDescent="0.25">
      <c r="A11140" s="45" t="s">
        <v>11165</v>
      </c>
      <c r="B11140" s="46" t="s">
        <v>24093</v>
      </c>
    </row>
    <row r="11141" spans="1:2" x14ac:dyDescent="0.25">
      <c r="A11141" s="45" t="s">
        <v>11166</v>
      </c>
      <c r="B11141" s="46" t="s">
        <v>24094</v>
      </c>
    </row>
    <row r="11142" spans="1:2" x14ac:dyDescent="0.25">
      <c r="A11142" s="45" t="s">
        <v>11167</v>
      </c>
      <c r="B11142" s="46" t="s">
        <v>24095</v>
      </c>
    </row>
    <row r="11143" spans="1:2" x14ac:dyDescent="0.25">
      <c r="A11143" s="45" t="s">
        <v>11168</v>
      </c>
      <c r="B11143" s="46" t="s">
        <v>24096</v>
      </c>
    </row>
    <row r="11144" spans="1:2" x14ac:dyDescent="0.25">
      <c r="A11144" s="45" t="s">
        <v>11169</v>
      </c>
      <c r="B11144" s="46" t="s">
        <v>24097</v>
      </c>
    </row>
    <row r="11145" spans="1:2" x14ac:dyDescent="0.25">
      <c r="A11145" s="45" t="s">
        <v>11170</v>
      </c>
      <c r="B11145" s="46" t="s">
        <v>24098</v>
      </c>
    </row>
    <row r="11146" spans="1:2" x14ac:dyDescent="0.25">
      <c r="A11146" s="45" t="s">
        <v>11171</v>
      </c>
      <c r="B11146" s="46" t="s">
        <v>24099</v>
      </c>
    </row>
    <row r="11147" spans="1:2" x14ac:dyDescent="0.25">
      <c r="A11147" s="45" t="s">
        <v>11172</v>
      </c>
      <c r="B11147" s="46" t="s">
        <v>24100</v>
      </c>
    </row>
    <row r="11148" spans="1:2" x14ac:dyDescent="0.25">
      <c r="A11148" s="45" t="s">
        <v>11173</v>
      </c>
      <c r="B11148" s="46" t="s">
        <v>24101</v>
      </c>
    </row>
    <row r="11149" spans="1:2" x14ac:dyDescent="0.25">
      <c r="A11149" s="45" t="s">
        <v>11174</v>
      </c>
      <c r="B11149" s="46" t="s">
        <v>24102</v>
      </c>
    </row>
    <row r="11150" spans="1:2" x14ac:dyDescent="0.25">
      <c r="A11150" s="45" t="s">
        <v>11175</v>
      </c>
      <c r="B11150" s="46" t="s">
        <v>24103</v>
      </c>
    </row>
    <row r="11151" spans="1:2" x14ac:dyDescent="0.25">
      <c r="A11151" s="45" t="s">
        <v>11176</v>
      </c>
      <c r="B11151" s="46" t="s">
        <v>24104</v>
      </c>
    </row>
    <row r="11152" spans="1:2" x14ac:dyDescent="0.25">
      <c r="A11152" s="45" t="s">
        <v>11177</v>
      </c>
      <c r="B11152" s="46" t="s">
        <v>24105</v>
      </c>
    </row>
    <row r="11153" spans="1:2" x14ac:dyDescent="0.25">
      <c r="A11153" s="45" t="s">
        <v>11178</v>
      </c>
      <c r="B11153" s="46" t="s">
        <v>24106</v>
      </c>
    </row>
    <row r="11154" spans="1:2" x14ac:dyDescent="0.25">
      <c r="A11154" s="45" t="s">
        <v>11179</v>
      </c>
      <c r="B11154" s="46" t="s">
        <v>24107</v>
      </c>
    </row>
    <row r="11155" spans="1:2" x14ac:dyDescent="0.25">
      <c r="A11155" s="45" t="s">
        <v>11180</v>
      </c>
      <c r="B11155" s="46" t="s">
        <v>24108</v>
      </c>
    </row>
    <row r="11156" spans="1:2" x14ac:dyDescent="0.25">
      <c r="A11156" s="45" t="s">
        <v>11181</v>
      </c>
      <c r="B11156" s="46" t="s">
        <v>24109</v>
      </c>
    </row>
    <row r="11157" spans="1:2" x14ac:dyDescent="0.25">
      <c r="A11157" s="45" t="s">
        <v>11182</v>
      </c>
      <c r="B11157" s="46" t="s">
        <v>24110</v>
      </c>
    </row>
    <row r="11158" spans="1:2" x14ac:dyDescent="0.25">
      <c r="A11158" s="45" t="s">
        <v>11183</v>
      </c>
      <c r="B11158" s="46" t="s">
        <v>24111</v>
      </c>
    </row>
    <row r="11159" spans="1:2" x14ac:dyDescent="0.25">
      <c r="A11159" s="45" t="s">
        <v>11184</v>
      </c>
      <c r="B11159" s="46" t="s">
        <v>24112</v>
      </c>
    </row>
    <row r="11160" spans="1:2" x14ac:dyDescent="0.25">
      <c r="A11160" s="45" t="s">
        <v>11185</v>
      </c>
      <c r="B11160" s="46" t="s">
        <v>24113</v>
      </c>
    </row>
    <row r="11161" spans="1:2" x14ac:dyDescent="0.25">
      <c r="A11161" s="45" t="s">
        <v>11186</v>
      </c>
      <c r="B11161" s="46" t="s">
        <v>24114</v>
      </c>
    </row>
    <row r="11162" spans="1:2" x14ac:dyDescent="0.25">
      <c r="A11162" s="45" t="s">
        <v>11187</v>
      </c>
      <c r="B11162" s="46" t="s">
        <v>24115</v>
      </c>
    </row>
    <row r="11163" spans="1:2" x14ac:dyDescent="0.25">
      <c r="A11163" s="45" t="s">
        <v>11188</v>
      </c>
      <c r="B11163" s="46" t="s">
        <v>24116</v>
      </c>
    </row>
    <row r="11164" spans="1:2" x14ac:dyDescent="0.25">
      <c r="A11164" s="45" t="s">
        <v>11189</v>
      </c>
      <c r="B11164" s="46" t="s">
        <v>24117</v>
      </c>
    </row>
    <row r="11165" spans="1:2" x14ac:dyDescent="0.25">
      <c r="A11165" s="45" t="s">
        <v>11190</v>
      </c>
      <c r="B11165" s="46" t="s">
        <v>24118</v>
      </c>
    </row>
    <row r="11166" spans="1:2" x14ac:dyDescent="0.25">
      <c r="A11166" s="45" t="s">
        <v>11191</v>
      </c>
      <c r="B11166" s="46" t="s">
        <v>24119</v>
      </c>
    </row>
    <row r="11167" spans="1:2" x14ac:dyDescent="0.25">
      <c r="A11167" s="45" t="s">
        <v>11192</v>
      </c>
      <c r="B11167" s="46" t="s">
        <v>24120</v>
      </c>
    </row>
    <row r="11168" spans="1:2" x14ac:dyDescent="0.25">
      <c r="A11168" s="45" t="s">
        <v>11193</v>
      </c>
      <c r="B11168" s="46" t="s">
        <v>24121</v>
      </c>
    </row>
    <row r="11169" spans="1:2" x14ac:dyDescent="0.25">
      <c r="A11169" s="45" t="s">
        <v>11194</v>
      </c>
      <c r="B11169" s="46" t="s">
        <v>24122</v>
      </c>
    </row>
    <row r="11170" spans="1:2" x14ac:dyDescent="0.25">
      <c r="A11170" s="45" t="s">
        <v>11195</v>
      </c>
      <c r="B11170" s="46" t="s">
        <v>24123</v>
      </c>
    </row>
    <row r="11171" spans="1:2" x14ac:dyDescent="0.25">
      <c r="A11171" s="45" t="s">
        <v>11196</v>
      </c>
      <c r="B11171" s="46" t="s">
        <v>24124</v>
      </c>
    </row>
    <row r="11172" spans="1:2" x14ac:dyDescent="0.25">
      <c r="A11172" s="45" t="s">
        <v>11197</v>
      </c>
      <c r="B11172" s="46" t="s">
        <v>24125</v>
      </c>
    </row>
    <row r="11173" spans="1:2" x14ac:dyDescent="0.25">
      <c r="A11173" s="45" t="s">
        <v>11198</v>
      </c>
      <c r="B11173" s="46" t="s">
        <v>24126</v>
      </c>
    </row>
    <row r="11174" spans="1:2" x14ac:dyDescent="0.25">
      <c r="A11174" s="45" t="s">
        <v>11199</v>
      </c>
      <c r="B11174" s="46" t="s">
        <v>24127</v>
      </c>
    </row>
    <row r="11175" spans="1:2" x14ac:dyDescent="0.25">
      <c r="A11175" s="45" t="s">
        <v>11200</v>
      </c>
      <c r="B11175" s="46" t="s">
        <v>24128</v>
      </c>
    </row>
    <row r="11176" spans="1:2" x14ac:dyDescent="0.25">
      <c r="A11176" s="45" t="s">
        <v>11201</v>
      </c>
      <c r="B11176" s="46" t="s">
        <v>24129</v>
      </c>
    </row>
    <row r="11177" spans="1:2" x14ac:dyDescent="0.25">
      <c r="A11177" s="45" t="s">
        <v>11202</v>
      </c>
      <c r="B11177" s="46" t="s">
        <v>24130</v>
      </c>
    </row>
    <row r="11178" spans="1:2" x14ac:dyDescent="0.25">
      <c r="A11178" s="45" t="s">
        <v>11203</v>
      </c>
      <c r="B11178" s="46" t="s">
        <v>24131</v>
      </c>
    </row>
    <row r="11179" spans="1:2" x14ac:dyDescent="0.25">
      <c r="A11179" s="45" t="s">
        <v>11204</v>
      </c>
      <c r="B11179" s="46" t="s">
        <v>24132</v>
      </c>
    </row>
    <row r="11180" spans="1:2" x14ac:dyDescent="0.25">
      <c r="A11180" s="45" t="s">
        <v>11205</v>
      </c>
      <c r="B11180" s="46" t="s">
        <v>24133</v>
      </c>
    </row>
    <row r="11181" spans="1:2" x14ac:dyDescent="0.25">
      <c r="A11181" s="45" t="s">
        <v>11206</v>
      </c>
      <c r="B11181" s="46" t="s">
        <v>24134</v>
      </c>
    </row>
    <row r="11182" spans="1:2" x14ac:dyDescent="0.25">
      <c r="A11182" s="45" t="s">
        <v>11207</v>
      </c>
      <c r="B11182" s="46" t="s">
        <v>24135</v>
      </c>
    </row>
    <row r="11183" spans="1:2" x14ac:dyDescent="0.25">
      <c r="A11183" s="45" t="s">
        <v>11208</v>
      </c>
      <c r="B11183" s="46" t="s">
        <v>24136</v>
      </c>
    </row>
    <row r="11184" spans="1:2" x14ac:dyDescent="0.25">
      <c r="A11184" s="45" t="s">
        <v>11209</v>
      </c>
      <c r="B11184" s="46" t="s">
        <v>24137</v>
      </c>
    </row>
    <row r="11185" spans="1:2" x14ac:dyDescent="0.25">
      <c r="A11185" s="45" t="s">
        <v>11210</v>
      </c>
      <c r="B11185" s="46" t="s">
        <v>24138</v>
      </c>
    </row>
    <row r="11186" spans="1:2" x14ac:dyDescent="0.25">
      <c r="A11186" s="45" t="s">
        <v>11211</v>
      </c>
      <c r="B11186" s="46" t="s">
        <v>24139</v>
      </c>
    </row>
    <row r="11187" spans="1:2" x14ac:dyDescent="0.25">
      <c r="A11187" s="45" t="s">
        <v>11212</v>
      </c>
      <c r="B11187" s="46" t="s">
        <v>24140</v>
      </c>
    </row>
    <row r="11188" spans="1:2" x14ac:dyDescent="0.25">
      <c r="A11188" s="45" t="s">
        <v>11213</v>
      </c>
      <c r="B11188" s="46" t="s">
        <v>24141</v>
      </c>
    </row>
    <row r="11189" spans="1:2" x14ac:dyDescent="0.25">
      <c r="A11189" s="45" t="s">
        <v>11214</v>
      </c>
      <c r="B11189" s="46" t="s">
        <v>24142</v>
      </c>
    </row>
    <row r="11190" spans="1:2" x14ac:dyDescent="0.25">
      <c r="A11190" s="45" t="s">
        <v>11215</v>
      </c>
      <c r="B11190" s="46" t="s">
        <v>24143</v>
      </c>
    </row>
    <row r="11191" spans="1:2" x14ac:dyDescent="0.25">
      <c r="A11191" s="45" t="s">
        <v>11216</v>
      </c>
      <c r="B11191" s="46" t="s">
        <v>24144</v>
      </c>
    </row>
    <row r="11192" spans="1:2" x14ac:dyDescent="0.25">
      <c r="A11192" s="45" t="s">
        <v>11217</v>
      </c>
      <c r="B11192" s="46" t="s">
        <v>24145</v>
      </c>
    </row>
    <row r="11193" spans="1:2" x14ac:dyDescent="0.25">
      <c r="A11193" s="45" t="s">
        <v>11218</v>
      </c>
      <c r="B11193" s="46" t="s">
        <v>24146</v>
      </c>
    </row>
    <row r="11194" spans="1:2" x14ac:dyDescent="0.25">
      <c r="A11194" s="45" t="s">
        <v>11219</v>
      </c>
      <c r="B11194" s="46" t="s">
        <v>24147</v>
      </c>
    </row>
    <row r="11195" spans="1:2" x14ac:dyDescent="0.25">
      <c r="A11195" s="45" t="s">
        <v>11220</v>
      </c>
      <c r="B11195" s="46" t="s">
        <v>24148</v>
      </c>
    </row>
    <row r="11196" spans="1:2" x14ac:dyDescent="0.25">
      <c r="A11196" s="45" t="s">
        <v>11221</v>
      </c>
      <c r="B11196" s="46" t="s">
        <v>24149</v>
      </c>
    </row>
    <row r="11197" spans="1:2" x14ac:dyDescent="0.25">
      <c r="A11197" s="45" t="s">
        <v>11222</v>
      </c>
      <c r="B11197" s="46" t="s">
        <v>24150</v>
      </c>
    </row>
    <row r="11198" spans="1:2" x14ac:dyDescent="0.25">
      <c r="A11198" s="45" t="s">
        <v>11223</v>
      </c>
      <c r="B11198" s="46" t="s">
        <v>24151</v>
      </c>
    </row>
    <row r="11199" spans="1:2" x14ac:dyDescent="0.25">
      <c r="A11199" s="45" t="s">
        <v>11224</v>
      </c>
      <c r="B11199" s="46" t="s">
        <v>24152</v>
      </c>
    </row>
    <row r="11200" spans="1:2" x14ac:dyDescent="0.25">
      <c r="A11200" s="45" t="s">
        <v>11225</v>
      </c>
      <c r="B11200" s="46" t="s">
        <v>24153</v>
      </c>
    </row>
    <row r="11201" spans="1:2" x14ac:dyDescent="0.25">
      <c r="A11201" s="45" t="s">
        <v>11226</v>
      </c>
      <c r="B11201" s="46" t="s">
        <v>24154</v>
      </c>
    </row>
    <row r="11202" spans="1:2" x14ac:dyDescent="0.25">
      <c r="A11202" s="45" t="s">
        <v>11227</v>
      </c>
      <c r="B11202" s="46" t="s">
        <v>24155</v>
      </c>
    </row>
    <row r="11203" spans="1:2" x14ac:dyDescent="0.25">
      <c r="A11203" s="45" t="s">
        <v>11228</v>
      </c>
      <c r="B11203" s="46" t="s">
        <v>24156</v>
      </c>
    </row>
    <row r="11204" spans="1:2" x14ac:dyDescent="0.25">
      <c r="A11204" s="45" t="s">
        <v>11229</v>
      </c>
      <c r="B11204" s="46" t="s">
        <v>24157</v>
      </c>
    </row>
    <row r="11205" spans="1:2" x14ac:dyDescent="0.25">
      <c r="A11205" s="45" t="s">
        <v>11230</v>
      </c>
      <c r="B11205" s="46" t="s">
        <v>24158</v>
      </c>
    </row>
    <row r="11206" spans="1:2" x14ac:dyDescent="0.25">
      <c r="A11206" s="45" t="s">
        <v>11231</v>
      </c>
      <c r="B11206" s="46" t="s">
        <v>24159</v>
      </c>
    </row>
    <row r="11207" spans="1:2" x14ac:dyDescent="0.25">
      <c r="A11207" s="45" t="s">
        <v>11232</v>
      </c>
      <c r="B11207" s="46" t="s">
        <v>24160</v>
      </c>
    </row>
    <row r="11208" spans="1:2" x14ac:dyDescent="0.25">
      <c r="A11208" s="45" t="s">
        <v>11233</v>
      </c>
      <c r="B11208" s="46" t="s">
        <v>24161</v>
      </c>
    </row>
    <row r="11209" spans="1:2" x14ac:dyDescent="0.25">
      <c r="A11209" s="45" t="s">
        <v>11234</v>
      </c>
      <c r="B11209" s="46" t="s">
        <v>24162</v>
      </c>
    </row>
    <row r="11210" spans="1:2" x14ac:dyDescent="0.25">
      <c r="A11210" s="45" t="s">
        <v>11235</v>
      </c>
      <c r="B11210" s="46" t="s">
        <v>24163</v>
      </c>
    </row>
    <row r="11211" spans="1:2" x14ac:dyDescent="0.25">
      <c r="A11211" s="45" t="s">
        <v>11236</v>
      </c>
      <c r="B11211" s="46" t="s">
        <v>24164</v>
      </c>
    </row>
    <row r="11212" spans="1:2" x14ac:dyDescent="0.25">
      <c r="A11212" s="45" t="s">
        <v>11237</v>
      </c>
      <c r="B11212" s="46" t="s">
        <v>24165</v>
      </c>
    </row>
    <row r="11213" spans="1:2" x14ac:dyDescent="0.25">
      <c r="A11213" s="45" t="s">
        <v>11238</v>
      </c>
      <c r="B11213" s="46" t="s">
        <v>24166</v>
      </c>
    </row>
    <row r="11214" spans="1:2" x14ac:dyDescent="0.25">
      <c r="A11214" s="45" t="s">
        <v>11239</v>
      </c>
      <c r="B11214" s="46" t="s">
        <v>24167</v>
      </c>
    </row>
    <row r="11215" spans="1:2" x14ac:dyDescent="0.25">
      <c r="A11215" s="45" t="s">
        <v>11240</v>
      </c>
      <c r="B11215" s="46" t="s">
        <v>24168</v>
      </c>
    </row>
    <row r="11216" spans="1:2" x14ac:dyDescent="0.25">
      <c r="A11216" s="45" t="s">
        <v>11241</v>
      </c>
      <c r="B11216" s="46" t="s">
        <v>24169</v>
      </c>
    </row>
    <row r="11217" spans="1:2" x14ac:dyDescent="0.25">
      <c r="A11217" s="45" t="s">
        <v>11242</v>
      </c>
      <c r="B11217" s="46" t="s">
        <v>24170</v>
      </c>
    </row>
    <row r="11218" spans="1:2" x14ac:dyDescent="0.25">
      <c r="A11218" s="45" t="s">
        <v>11243</v>
      </c>
      <c r="B11218" s="46" t="s">
        <v>24171</v>
      </c>
    </row>
    <row r="11219" spans="1:2" x14ac:dyDescent="0.25">
      <c r="A11219" s="45" t="s">
        <v>11244</v>
      </c>
      <c r="B11219" s="46" t="s">
        <v>24172</v>
      </c>
    </row>
    <row r="11220" spans="1:2" x14ac:dyDescent="0.25">
      <c r="A11220" s="45" t="s">
        <v>11245</v>
      </c>
      <c r="B11220" s="46" t="s">
        <v>24173</v>
      </c>
    </row>
    <row r="11221" spans="1:2" x14ac:dyDescent="0.25">
      <c r="A11221" s="45" t="s">
        <v>11246</v>
      </c>
      <c r="B11221" s="46" t="s">
        <v>24174</v>
      </c>
    </row>
    <row r="11222" spans="1:2" x14ac:dyDescent="0.25">
      <c r="A11222" s="45" t="s">
        <v>11247</v>
      </c>
      <c r="B11222" s="46" t="s">
        <v>24175</v>
      </c>
    </row>
    <row r="11223" spans="1:2" x14ac:dyDescent="0.25">
      <c r="A11223" s="45" t="s">
        <v>11248</v>
      </c>
      <c r="B11223" s="46" t="s">
        <v>24176</v>
      </c>
    </row>
    <row r="11224" spans="1:2" x14ac:dyDescent="0.25">
      <c r="A11224" s="45" t="s">
        <v>11249</v>
      </c>
      <c r="B11224" s="46" t="s">
        <v>24177</v>
      </c>
    </row>
    <row r="11225" spans="1:2" x14ac:dyDescent="0.25">
      <c r="A11225" s="45" t="s">
        <v>11250</v>
      </c>
      <c r="B11225" s="46" t="s">
        <v>24178</v>
      </c>
    </row>
    <row r="11226" spans="1:2" x14ac:dyDescent="0.25">
      <c r="A11226" s="45" t="s">
        <v>11251</v>
      </c>
      <c r="B11226" s="46" t="s">
        <v>24179</v>
      </c>
    </row>
    <row r="11227" spans="1:2" x14ac:dyDescent="0.25">
      <c r="A11227" s="45" t="s">
        <v>11252</v>
      </c>
      <c r="B11227" s="46" t="s">
        <v>24180</v>
      </c>
    </row>
    <row r="11228" spans="1:2" x14ac:dyDescent="0.25">
      <c r="A11228" s="45" t="s">
        <v>11253</v>
      </c>
      <c r="B11228" s="46" t="s">
        <v>24181</v>
      </c>
    </row>
    <row r="11229" spans="1:2" x14ac:dyDescent="0.25">
      <c r="A11229" s="45" t="s">
        <v>11254</v>
      </c>
      <c r="B11229" s="46" t="s">
        <v>24182</v>
      </c>
    </row>
    <row r="11230" spans="1:2" x14ac:dyDescent="0.25">
      <c r="A11230" s="45" t="s">
        <v>11255</v>
      </c>
      <c r="B11230" s="46" t="s">
        <v>24183</v>
      </c>
    </row>
    <row r="11231" spans="1:2" x14ac:dyDescent="0.25">
      <c r="A11231" s="45" t="s">
        <v>11256</v>
      </c>
      <c r="B11231" s="46" t="s">
        <v>24184</v>
      </c>
    </row>
    <row r="11232" spans="1:2" x14ac:dyDescent="0.25">
      <c r="A11232" s="45" t="s">
        <v>11257</v>
      </c>
      <c r="B11232" s="46" t="s">
        <v>24185</v>
      </c>
    </row>
    <row r="11233" spans="1:2" x14ac:dyDescent="0.25">
      <c r="A11233" s="45" t="s">
        <v>11258</v>
      </c>
      <c r="B11233" s="46" t="s">
        <v>24186</v>
      </c>
    </row>
    <row r="11234" spans="1:2" x14ac:dyDescent="0.25">
      <c r="A11234" s="45" t="s">
        <v>11259</v>
      </c>
      <c r="B11234" s="46" t="s">
        <v>24187</v>
      </c>
    </row>
    <row r="11235" spans="1:2" x14ac:dyDescent="0.25">
      <c r="A11235" s="45" t="s">
        <v>11260</v>
      </c>
      <c r="B11235" s="46" t="s">
        <v>24188</v>
      </c>
    </row>
    <row r="11236" spans="1:2" x14ac:dyDescent="0.25">
      <c r="A11236" s="45" t="s">
        <v>11261</v>
      </c>
      <c r="B11236" s="46" t="s">
        <v>24189</v>
      </c>
    </row>
    <row r="11237" spans="1:2" x14ac:dyDescent="0.25">
      <c r="A11237" s="45" t="s">
        <v>11262</v>
      </c>
      <c r="B11237" s="46" t="s">
        <v>24190</v>
      </c>
    </row>
    <row r="11238" spans="1:2" x14ac:dyDescent="0.25">
      <c r="A11238" s="45" t="s">
        <v>11263</v>
      </c>
      <c r="B11238" s="46" t="s">
        <v>24191</v>
      </c>
    </row>
    <row r="11239" spans="1:2" x14ac:dyDescent="0.25">
      <c r="A11239" s="45" t="s">
        <v>11264</v>
      </c>
      <c r="B11239" s="46" t="s">
        <v>24192</v>
      </c>
    </row>
    <row r="11240" spans="1:2" x14ac:dyDescent="0.25">
      <c r="A11240" s="45" t="s">
        <v>11265</v>
      </c>
      <c r="B11240" s="46" t="s">
        <v>24193</v>
      </c>
    </row>
    <row r="11241" spans="1:2" x14ac:dyDescent="0.25">
      <c r="A11241" s="45" t="s">
        <v>11266</v>
      </c>
      <c r="B11241" s="46" t="s">
        <v>24194</v>
      </c>
    </row>
    <row r="11242" spans="1:2" x14ac:dyDescent="0.25">
      <c r="A11242" s="45" t="s">
        <v>11267</v>
      </c>
      <c r="B11242" s="46" t="s">
        <v>24195</v>
      </c>
    </row>
    <row r="11243" spans="1:2" x14ac:dyDescent="0.25">
      <c r="A11243" s="45" t="s">
        <v>11268</v>
      </c>
      <c r="B11243" s="46" t="s">
        <v>24196</v>
      </c>
    </row>
    <row r="11244" spans="1:2" x14ac:dyDescent="0.25">
      <c r="A11244" s="45" t="s">
        <v>11269</v>
      </c>
      <c r="B11244" s="46" t="s">
        <v>24197</v>
      </c>
    </row>
    <row r="11245" spans="1:2" x14ac:dyDescent="0.25">
      <c r="A11245" s="45" t="s">
        <v>11270</v>
      </c>
      <c r="B11245" s="46" t="s">
        <v>24198</v>
      </c>
    </row>
    <row r="11246" spans="1:2" x14ac:dyDescent="0.25">
      <c r="A11246" s="45" t="s">
        <v>11271</v>
      </c>
      <c r="B11246" s="46" t="s">
        <v>24199</v>
      </c>
    </row>
    <row r="11247" spans="1:2" x14ac:dyDescent="0.25">
      <c r="A11247" s="45" t="s">
        <v>11272</v>
      </c>
      <c r="B11247" s="46" t="s">
        <v>24200</v>
      </c>
    </row>
    <row r="11248" spans="1:2" x14ac:dyDescent="0.25">
      <c r="A11248" s="45" t="s">
        <v>11273</v>
      </c>
      <c r="B11248" s="46" t="s">
        <v>24201</v>
      </c>
    </row>
    <row r="11249" spans="1:2" x14ac:dyDescent="0.25">
      <c r="A11249" s="45" t="s">
        <v>11274</v>
      </c>
      <c r="B11249" s="46" t="s">
        <v>24202</v>
      </c>
    </row>
    <row r="11250" spans="1:2" x14ac:dyDescent="0.25">
      <c r="A11250" s="45" t="s">
        <v>11275</v>
      </c>
      <c r="B11250" s="46" t="s">
        <v>24203</v>
      </c>
    </row>
    <row r="11251" spans="1:2" x14ac:dyDescent="0.25">
      <c r="A11251" s="45" t="s">
        <v>11276</v>
      </c>
      <c r="B11251" s="46" t="s">
        <v>24204</v>
      </c>
    </row>
    <row r="11252" spans="1:2" x14ac:dyDescent="0.25">
      <c r="A11252" s="45" t="s">
        <v>11277</v>
      </c>
      <c r="B11252" s="46" t="s">
        <v>24205</v>
      </c>
    </row>
    <row r="11253" spans="1:2" x14ac:dyDescent="0.25">
      <c r="A11253" s="45" t="s">
        <v>11278</v>
      </c>
      <c r="B11253" s="46" t="s">
        <v>24206</v>
      </c>
    </row>
    <row r="11254" spans="1:2" x14ac:dyDescent="0.25">
      <c r="A11254" s="45" t="s">
        <v>11279</v>
      </c>
      <c r="B11254" s="46" t="s">
        <v>24207</v>
      </c>
    </row>
    <row r="11255" spans="1:2" x14ac:dyDescent="0.25">
      <c r="A11255" s="45" t="s">
        <v>11280</v>
      </c>
      <c r="B11255" s="46" t="s">
        <v>24208</v>
      </c>
    </row>
    <row r="11256" spans="1:2" x14ac:dyDescent="0.25">
      <c r="A11256" s="45" t="s">
        <v>11281</v>
      </c>
      <c r="B11256" s="46" t="s">
        <v>24209</v>
      </c>
    </row>
    <row r="11257" spans="1:2" x14ac:dyDescent="0.25">
      <c r="A11257" s="45" t="s">
        <v>11282</v>
      </c>
      <c r="B11257" s="46" t="s">
        <v>24210</v>
      </c>
    </row>
    <row r="11258" spans="1:2" x14ac:dyDescent="0.25">
      <c r="A11258" s="45" t="s">
        <v>11283</v>
      </c>
      <c r="B11258" s="46" t="s">
        <v>24211</v>
      </c>
    </row>
    <row r="11259" spans="1:2" x14ac:dyDescent="0.25">
      <c r="A11259" s="45" t="s">
        <v>11284</v>
      </c>
      <c r="B11259" s="46" t="s">
        <v>24212</v>
      </c>
    </row>
    <row r="11260" spans="1:2" x14ac:dyDescent="0.25">
      <c r="A11260" s="45" t="s">
        <v>11285</v>
      </c>
      <c r="B11260" s="46" t="s">
        <v>24213</v>
      </c>
    </row>
    <row r="11261" spans="1:2" x14ac:dyDescent="0.25">
      <c r="A11261" s="45" t="s">
        <v>11286</v>
      </c>
      <c r="B11261" s="46" t="s">
        <v>24214</v>
      </c>
    </row>
    <row r="11262" spans="1:2" x14ac:dyDescent="0.25">
      <c r="A11262" s="45" t="s">
        <v>11287</v>
      </c>
      <c r="B11262" s="46" t="s">
        <v>24215</v>
      </c>
    </row>
    <row r="11263" spans="1:2" x14ac:dyDescent="0.25">
      <c r="A11263" s="45" t="s">
        <v>11288</v>
      </c>
      <c r="B11263" s="46" t="s">
        <v>24216</v>
      </c>
    </row>
    <row r="11264" spans="1:2" x14ac:dyDescent="0.25">
      <c r="A11264" s="45" t="s">
        <v>11289</v>
      </c>
      <c r="B11264" s="46" t="s">
        <v>24217</v>
      </c>
    </row>
    <row r="11265" spans="1:2" x14ac:dyDescent="0.25">
      <c r="A11265" s="45" t="s">
        <v>11290</v>
      </c>
      <c r="B11265" s="46" t="s">
        <v>24218</v>
      </c>
    </row>
    <row r="11266" spans="1:2" x14ac:dyDescent="0.25">
      <c r="A11266" s="45" t="s">
        <v>11291</v>
      </c>
      <c r="B11266" s="46" t="s">
        <v>24219</v>
      </c>
    </row>
    <row r="11267" spans="1:2" x14ac:dyDescent="0.25">
      <c r="A11267" s="45" t="s">
        <v>11292</v>
      </c>
      <c r="B11267" s="46" t="s">
        <v>24220</v>
      </c>
    </row>
    <row r="11268" spans="1:2" x14ac:dyDescent="0.25">
      <c r="A11268" s="45" t="s">
        <v>11293</v>
      </c>
      <c r="B11268" s="46" t="s">
        <v>24221</v>
      </c>
    </row>
    <row r="11269" spans="1:2" x14ac:dyDescent="0.25">
      <c r="A11269" s="45" t="s">
        <v>11294</v>
      </c>
      <c r="B11269" s="46" t="s">
        <v>24222</v>
      </c>
    </row>
    <row r="11270" spans="1:2" x14ac:dyDescent="0.25">
      <c r="A11270" s="45" t="s">
        <v>11295</v>
      </c>
      <c r="B11270" s="46" t="s">
        <v>24223</v>
      </c>
    </row>
    <row r="11271" spans="1:2" x14ac:dyDescent="0.25">
      <c r="A11271" s="45" t="s">
        <v>11296</v>
      </c>
      <c r="B11271" s="46" t="s">
        <v>24224</v>
      </c>
    </row>
    <row r="11272" spans="1:2" x14ac:dyDescent="0.25">
      <c r="A11272" s="45" t="s">
        <v>11297</v>
      </c>
      <c r="B11272" s="46" t="s">
        <v>24225</v>
      </c>
    </row>
    <row r="11273" spans="1:2" x14ac:dyDescent="0.25">
      <c r="A11273" s="45" t="s">
        <v>11298</v>
      </c>
      <c r="B11273" s="46" t="s">
        <v>24226</v>
      </c>
    </row>
    <row r="11274" spans="1:2" x14ac:dyDescent="0.25">
      <c r="A11274" s="45" t="s">
        <v>11299</v>
      </c>
      <c r="B11274" s="46" t="s">
        <v>24227</v>
      </c>
    </row>
    <row r="11275" spans="1:2" x14ac:dyDescent="0.25">
      <c r="A11275" s="45" t="s">
        <v>11300</v>
      </c>
      <c r="B11275" s="46" t="s">
        <v>24228</v>
      </c>
    </row>
    <row r="11276" spans="1:2" x14ac:dyDescent="0.25">
      <c r="A11276" s="45" t="s">
        <v>11301</v>
      </c>
      <c r="B11276" s="46" t="s">
        <v>24229</v>
      </c>
    </row>
    <row r="11277" spans="1:2" x14ac:dyDescent="0.25">
      <c r="A11277" s="45" t="s">
        <v>11302</v>
      </c>
      <c r="B11277" s="46" t="s">
        <v>24230</v>
      </c>
    </row>
    <row r="11278" spans="1:2" x14ac:dyDescent="0.25">
      <c r="A11278" s="45" t="s">
        <v>11303</v>
      </c>
      <c r="B11278" s="46" t="s">
        <v>24231</v>
      </c>
    </row>
    <row r="11279" spans="1:2" x14ac:dyDescent="0.25">
      <c r="A11279" s="45" t="s">
        <v>11304</v>
      </c>
      <c r="B11279" s="46" t="s">
        <v>24232</v>
      </c>
    </row>
    <row r="11280" spans="1:2" x14ac:dyDescent="0.25">
      <c r="A11280" s="45" t="s">
        <v>11305</v>
      </c>
      <c r="B11280" s="46" t="s">
        <v>24233</v>
      </c>
    </row>
    <row r="11281" spans="1:2" x14ac:dyDescent="0.25">
      <c r="A11281" s="45" t="s">
        <v>11306</v>
      </c>
      <c r="B11281" s="46" t="s">
        <v>24234</v>
      </c>
    </row>
    <row r="11282" spans="1:2" x14ac:dyDescent="0.25">
      <c r="A11282" s="45" t="s">
        <v>11307</v>
      </c>
      <c r="B11282" s="46" t="s">
        <v>24235</v>
      </c>
    </row>
    <row r="11283" spans="1:2" x14ac:dyDescent="0.25">
      <c r="A11283" s="45" t="s">
        <v>11308</v>
      </c>
      <c r="B11283" s="46" t="s">
        <v>24236</v>
      </c>
    </row>
    <row r="11284" spans="1:2" x14ac:dyDescent="0.25">
      <c r="A11284" s="45" t="s">
        <v>11309</v>
      </c>
      <c r="B11284" s="46" t="s">
        <v>24237</v>
      </c>
    </row>
    <row r="11285" spans="1:2" x14ac:dyDescent="0.25">
      <c r="A11285" s="45" t="s">
        <v>11310</v>
      </c>
      <c r="B11285" s="46" t="s">
        <v>24238</v>
      </c>
    </row>
    <row r="11286" spans="1:2" x14ac:dyDescent="0.25">
      <c r="A11286" s="45" t="s">
        <v>11311</v>
      </c>
      <c r="B11286" s="46" t="s">
        <v>24239</v>
      </c>
    </row>
    <row r="11287" spans="1:2" x14ac:dyDescent="0.25">
      <c r="A11287" s="45" t="s">
        <v>11312</v>
      </c>
      <c r="B11287" s="46" t="s">
        <v>24240</v>
      </c>
    </row>
    <row r="11288" spans="1:2" x14ac:dyDescent="0.25">
      <c r="A11288" s="45" t="s">
        <v>11313</v>
      </c>
      <c r="B11288" s="46" t="s">
        <v>24241</v>
      </c>
    </row>
    <row r="11289" spans="1:2" x14ac:dyDescent="0.25">
      <c r="A11289" s="45" t="s">
        <v>11314</v>
      </c>
      <c r="B11289" s="46" t="s">
        <v>24242</v>
      </c>
    </row>
    <row r="11290" spans="1:2" x14ac:dyDescent="0.25">
      <c r="A11290" s="45" t="s">
        <v>11315</v>
      </c>
      <c r="B11290" s="46" t="s">
        <v>24243</v>
      </c>
    </row>
    <row r="11291" spans="1:2" x14ac:dyDescent="0.25">
      <c r="A11291" s="45" t="s">
        <v>11316</v>
      </c>
      <c r="B11291" s="46" t="s">
        <v>24244</v>
      </c>
    </row>
    <row r="11292" spans="1:2" x14ac:dyDescent="0.25">
      <c r="A11292" s="45" t="s">
        <v>11317</v>
      </c>
      <c r="B11292" s="46" t="s">
        <v>24245</v>
      </c>
    </row>
    <row r="11293" spans="1:2" x14ac:dyDescent="0.25">
      <c r="A11293" s="45" t="s">
        <v>11318</v>
      </c>
      <c r="B11293" s="46" t="s">
        <v>24246</v>
      </c>
    </row>
    <row r="11294" spans="1:2" x14ac:dyDescent="0.25">
      <c r="A11294" s="45" t="s">
        <v>11319</v>
      </c>
      <c r="B11294" s="46" t="s">
        <v>24247</v>
      </c>
    </row>
    <row r="11295" spans="1:2" x14ac:dyDescent="0.25">
      <c r="A11295" s="45" t="s">
        <v>11320</v>
      </c>
      <c r="B11295" s="46" t="s">
        <v>24248</v>
      </c>
    </row>
    <row r="11296" spans="1:2" x14ac:dyDescent="0.25">
      <c r="A11296" s="45" t="s">
        <v>11321</v>
      </c>
      <c r="B11296" s="46" t="s">
        <v>24249</v>
      </c>
    </row>
    <row r="11297" spans="1:2" x14ac:dyDescent="0.25">
      <c r="A11297" s="45" t="s">
        <v>11322</v>
      </c>
      <c r="B11297" s="46" t="s">
        <v>24250</v>
      </c>
    </row>
    <row r="11298" spans="1:2" x14ac:dyDescent="0.25">
      <c r="A11298" s="45" t="s">
        <v>11323</v>
      </c>
      <c r="B11298" s="46" t="s">
        <v>24251</v>
      </c>
    </row>
    <row r="11299" spans="1:2" x14ac:dyDescent="0.25">
      <c r="A11299" s="45" t="s">
        <v>11324</v>
      </c>
      <c r="B11299" s="46" t="s">
        <v>24252</v>
      </c>
    </row>
    <row r="11300" spans="1:2" x14ac:dyDescent="0.25">
      <c r="A11300" s="45" t="s">
        <v>11325</v>
      </c>
      <c r="B11300" s="46" t="s">
        <v>24253</v>
      </c>
    </row>
    <row r="11301" spans="1:2" x14ac:dyDescent="0.25">
      <c r="A11301" s="45" t="s">
        <v>11326</v>
      </c>
      <c r="B11301" s="46" t="s">
        <v>24254</v>
      </c>
    </row>
    <row r="11302" spans="1:2" x14ac:dyDescent="0.25">
      <c r="A11302" s="45" t="s">
        <v>11327</v>
      </c>
      <c r="B11302" s="46" t="s">
        <v>24255</v>
      </c>
    </row>
    <row r="11303" spans="1:2" x14ac:dyDescent="0.25">
      <c r="A11303" s="45" t="s">
        <v>11328</v>
      </c>
      <c r="B11303" s="46" t="s">
        <v>24256</v>
      </c>
    </row>
    <row r="11304" spans="1:2" x14ac:dyDescent="0.25">
      <c r="A11304" s="45" t="s">
        <v>11329</v>
      </c>
      <c r="B11304" s="46" t="s">
        <v>24257</v>
      </c>
    </row>
    <row r="11305" spans="1:2" x14ac:dyDescent="0.25">
      <c r="A11305" s="45" t="s">
        <v>11330</v>
      </c>
      <c r="B11305" s="46" t="s">
        <v>24258</v>
      </c>
    </row>
    <row r="11306" spans="1:2" x14ac:dyDescent="0.25">
      <c r="A11306" s="45" t="s">
        <v>11331</v>
      </c>
      <c r="B11306" s="46" t="s">
        <v>24259</v>
      </c>
    </row>
    <row r="11307" spans="1:2" x14ac:dyDescent="0.25">
      <c r="A11307" s="45" t="s">
        <v>11332</v>
      </c>
      <c r="B11307" s="46" t="s">
        <v>24260</v>
      </c>
    </row>
    <row r="11308" spans="1:2" x14ac:dyDescent="0.25">
      <c r="A11308" s="45" t="s">
        <v>11333</v>
      </c>
      <c r="B11308" s="46" t="s">
        <v>24261</v>
      </c>
    </row>
    <row r="11309" spans="1:2" x14ac:dyDescent="0.25">
      <c r="A11309" s="45" t="s">
        <v>11334</v>
      </c>
      <c r="B11309" s="46" t="s">
        <v>24262</v>
      </c>
    </row>
    <row r="11310" spans="1:2" x14ac:dyDescent="0.25">
      <c r="A11310" s="45" t="s">
        <v>11335</v>
      </c>
      <c r="B11310" s="46" t="s">
        <v>24263</v>
      </c>
    </row>
    <row r="11311" spans="1:2" x14ac:dyDescent="0.25">
      <c r="A11311" s="45" t="s">
        <v>11336</v>
      </c>
      <c r="B11311" s="46" t="s">
        <v>24264</v>
      </c>
    </row>
    <row r="11312" spans="1:2" x14ac:dyDescent="0.25">
      <c r="A11312" s="45" t="s">
        <v>11337</v>
      </c>
      <c r="B11312" s="46" t="s">
        <v>24265</v>
      </c>
    </row>
    <row r="11313" spans="1:2" x14ac:dyDescent="0.25">
      <c r="A11313" s="45" t="s">
        <v>11338</v>
      </c>
      <c r="B11313" s="46" t="s">
        <v>24266</v>
      </c>
    </row>
    <row r="11314" spans="1:2" x14ac:dyDescent="0.25">
      <c r="A11314" s="45" t="s">
        <v>11339</v>
      </c>
      <c r="B11314" s="46" t="s">
        <v>24267</v>
      </c>
    </row>
    <row r="11315" spans="1:2" x14ac:dyDescent="0.25">
      <c r="A11315" s="45" t="s">
        <v>11340</v>
      </c>
      <c r="B11315" s="46" t="s">
        <v>24268</v>
      </c>
    </row>
    <row r="11316" spans="1:2" x14ac:dyDescent="0.25">
      <c r="A11316" s="45" t="s">
        <v>11341</v>
      </c>
      <c r="B11316" s="46" t="s">
        <v>24269</v>
      </c>
    </row>
    <row r="11317" spans="1:2" x14ac:dyDescent="0.25">
      <c r="A11317" s="45" t="s">
        <v>11342</v>
      </c>
      <c r="B11317" s="46" t="s">
        <v>24270</v>
      </c>
    </row>
    <row r="11318" spans="1:2" x14ac:dyDescent="0.25">
      <c r="A11318" s="45" t="s">
        <v>11343</v>
      </c>
      <c r="B11318" s="46" t="s">
        <v>24271</v>
      </c>
    </row>
    <row r="11319" spans="1:2" x14ac:dyDescent="0.25">
      <c r="A11319" s="45" t="s">
        <v>11344</v>
      </c>
      <c r="B11319" s="46" t="s">
        <v>24272</v>
      </c>
    </row>
    <row r="11320" spans="1:2" x14ac:dyDescent="0.25">
      <c r="A11320" s="45" t="s">
        <v>11345</v>
      </c>
      <c r="B11320" s="46" t="s">
        <v>24273</v>
      </c>
    </row>
    <row r="11321" spans="1:2" x14ac:dyDescent="0.25">
      <c r="A11321" s="45" t="s">
        <v>11346</v>
      </c>
      <c r="B11321" s="46" t="s">
        <v>24274</v>
      </c>
    </row>
    <row r="11322" spans="1:2" x14ac:dyDescent="0.25">
      <c r="A11322" s="45" t="s">
        <v>11347</v>
      </c>
      <c r="B11322" s="46" t="s">
        <v>24275</v>
      </c>
    </row>
    <row r="11323" spans="1:2" x14ac:dyDescent="0.25">
      <c r="A11323" s="45" t="s">
        <v>11348</v>
      </c>
      <c r="B11323" s="46" t="s">
        <v>24276</v>
      </c>
    </row>
    <row r="11324" spans="1:2" x14ac:dyDescent="0.25">
      <c r="A11324" s="45" t="s">
        <v>11349</v>
      </c>
      <c r="B11324" s="46" t="s">
        <v>24277</v>
      </c>
    </row>
    <row r="11325" spans="1:2" x14ac:dyDescent="0.25">
      <c r="A11325" s="45" t="s">
        <v>11350</v>
      </c>
      <c r="B11325" s="46" t="s">
        <v>24278</v>
      </c>
    </row>
    <row r="11326" spans="1:2" x14ac:dyDescent="0.25">
      <c r="A11326" s="45" t="s">
        <v>11351</v>
      </c>
      <c r="B11326" s="46" t="s">
        <v>24279</v>
      </c>
    </row>
    <row r="11327" spans="1:2" x14ac:dyDescent="0.25">
      <c r="A11327" s="45" t="s">
        <v>11352</v>
      </c>
      <c r="B11327" s="46" t="s">
        <v>24280</v>
      </c>
    </row>
    <row r="11328" spans="1:2" x14ac:dyDescent="0.25">
      <c r="A11328" s="45" t="s">
        <v>11353</v>
      </c>
      <c r="B11328" s="46" t="s">
        <v>24281</v>
      </c>
    </row>
    <row r="11329" spans="1:2" x14ac:dyDescent="0.25">
      <c r="A11329" s="45" t="s">
        <v>11354</v>
      </c>
      <c r="B11329" s="46" t="s">
        <v>24282</v>
      </c>
    </row>
    <row r="11330" spans="1:2" x14ac:dyDescent="0.25">
      <c r="A11330" s="45" t="s">
        <v>11355</v>
      </c>
      <c r="B11330" s="46" t="s">
        <v>24283</v>
      </c>
    </row>
    <row r="11331" spans="1:2" x14ac:dyDescent="0.25">
      <c r="A11331" s="45" t="s">
        <v>11356</v>
      </c>
      <c r="B11331" s="46" t="s">
        <v>24284</v>
      </c>
    </row>
    <row r="11332" spans="1:2" x14ac:dyDescent="0.25">
      <c r="A11332" s="45" t="s">
        <v>11357</v>
      </c>
      <c r="B11332" s="46" t="s">
        <v>24285</v>
      </c>
    </row>
    <row r="11333" spans="1:2" x14ac:dyDescent="0.25">
      <c r="A11333" s="45" t="s">
        <v>11358</v>
      </c>
      <c r="B11333" s="46" t="s">
        <v>24286</v>
      </c>
    </row>
    <row r="11334" spans="1:2" x14ac:dyDescent="0.25">
      <c r="A11334" s="45" t="s">
        <v>11359</v>
      </c>
      <c r="B11334" s="46" t="s">
        <v>24287</v>
      </c>
    </row>
    <row r="11335" spans="1:2" x14ac:dyDescent="0.25">
      <c r="A11335" s="45" t="s">
        <v>11360</v>
      </c>
      <c r="B11335" s="46" t="s">
        <v>24288</v>
      </c>
    </row>
    <row r="11336" spans="1:2" x14ac:dyDescent="0.25">
      <c r="A11336" s="45" t="s">
        <v>11361</v>
      </c>
      <c r="B11336" s="46" t="s">
        <v>24289</v>
      </c>
    </row>
    <row r="11337" spans="1:2" x14ac:dyDescent="0.25">
      <c r="A11337" s="45" t="s">
        <v>11362</v>
      </c>
      <c r="B11337" s="46" t="s">
        <v>24290</v>
      </c>
    </row>
    <row r="11338" spans="1:2" x14ac:dyDescent="0.25">
      <c r="A11338" s="45" t="s">
        <v>11363</v>
      </c>
      <c r="B11338" s="46" t="s">
        <v>24291</v>
      </c>
    </row>
    <row r="11339" spans="1:2" x14ac:dyDescent="0.25">
      <c r="A11339" s="45" t="s">
        <v>11364</v>
      </c>
      <c r="B11339" s="46" t="s">
        <v>24292</v>
      </c>
    </row>
    <row r="11340" spans="1:2" x14ac:dyDescent="0.25">
      <c r="A11340" s="45" t="s">
        <v>11365</v>
      </c>
      <c r="B11340" s="46" t="s">
        <v>24293</v>
      </c>
    </row>
    <row r="11341" spans="1:2" x14ac:dyDescent="0.25">
      <c r="A11341" s="45" t="s">
        <v>11366</v>
      </c>
      <c r="B11341" s="46" t="s">
        <v>24294</v>
      </c>
    </row>
    <row r="11342" spans="1:2" x14ac:dyDescent="0.25">
      <c r="A11342" s="45" t="s">
        <v>11367</v>
      </c>
      <c r="B11342" s="46" t="s">
        <v>24295</v>
      </c>
    </row>
    <row r="11343" spans="1:2" x14ac:dyDescent="0.25">
      <c r="A11343" s="45" t="s">
        <v>11368</v>
      </c>
      <c r="B11343" s="46" t="s">
        <v>24296</v>
      </c>
    </row>
    <row r="11344" spans="1:2" x14ac:dyDescent="0.25">
      <c r="A11344" s="45" t="s">
        <v>11369</v>
      </c>
      <c r="B11344" s="46" t="s">
        <v>24297</v>
      </c>
    </row>
    <row r="11345" spans="1:2" x14ac:dyDescent="0.25">
      <c r="A11345" s="45" t="s">
        <v>11370</v>
      </c>
      <c r="B11345" s="46" t="s">
        <v>24298</v>
      </c>
    </row>
    <row r="11346" spans="1:2" x14ac:dyDescent="0.25">
      <c r="A11346" s="45" t="s">
        <v>11371</v>
      </c>
      <c r="B11346" s="46" t="s">
        <v>24299</v>
      </c>
    </row>
    <row r="11347" spans="1:2" x14ac:dyDescent="0.25">
      <c r="A11347" s="45" t="s">
        <v>11372</v>
      </c>
      <c r="B11347" s="46" t="s">
        <v>24300</v>
      </c>
    </row>
    <row r="11348" spans="1:2" x14ac:dyDescent="0.25">
      <c r="A11348" s="45" t="s">
        <v>11373</v>
      </c>
      <c r="B11348" s="46" t="s">
        <v>24301</v>
      </c>
    </row>
    <row r="11349" spans="1:2" x14ac:dyDescent="0.25">
      <c r="A11349" s="45" t="s">
        <v>11374</v>
      </c>
      <c r="B11349" s="46" t="s">
        <v>24302</v>
      </c>
    </row>
    <row r="11350" spans="1:2" x14ac:dyDescent="0.25">
      <c r="A11350" s="45" t="s">
        <v>11375</v>
      </c>
      <c r="B11350" s="46" t="s">
        <v>24303</v>
      </c>
    </row>
    <row r="11351" spans="1:2" x14ac:dyDescent="0.25">
      <c r="A11351" s="45" t="s">
        <v>11376</v>
      </c>
      <c r="B11351" s="46" t="s">
        <v>24304</v>
      </c>
    </row>
    <row r="11352" spans="1:2" x14ac:dyDescent="0.25">
      <c r="A11352" s="45" t="s">
        <v>11377</v>
      </c>
      <c r="B11352" s="46" t="s">
        <v>24305</v>
      </c>
    </row>
    <row r="11353" spans="1:2" x14ac:dyDescent="0.25">
      <c r="A11353" s="45" t="s">
        <v>11378</v>
      </c>
      <c r="B11353" s="46" t="s">
        <v>24306</v>
      </c>
    </row>
    <row r="11354" spans="1:2" x14ac:dyDescent="0.25">
      <c r="A11354" s="45" t="s">
        <v>11379</v>
      </c>
      <c r="B11354" s="46" t="s">
        <v>24307</v>
      </c>
    </row>
    <row r="11355" spans="1:2" x14ac:dyDescent="0.25">
      <c r="A11355" s="45" t="s">
        <v>11380</v>
      </c>
      <c r="B11355" s="46" t="s">
        <v>24308</v>
      </c>
    </row>
    <row r="11356" spans="1:2" x14ac:dyDescent="0.25">
      <c r="A11356" s="45" t="s">
        <v>11381</v>
      </c>
      <c r="B11356" s="46" t="s">
        <v>24309</v>
      </c>
    </row>
    <row r="11357" spans="1:2" x14ac:dyDescent="0.25">
      <c r="A11357" s="45" t="s">
        <v>11382</v>
      </c>
      <c r="B11357" s="46" t="s">
        <v>24310</v>
      </c>
    </row>
    <row r="11358" spans="1:2" x14ac:dyDescent="0.25">
      <c r="A11358" s="45" t="s">
        <v>11383</v>
      </c>
      <c r="B11358" s="46" t="s">
        <v>24311</v>
      </c>
    </row>
    <row r="11359" spans="1:2" x14ac:dyDescent="0.25">
      <c r="A11359" s="45" t="s">
        <v>11384</v>
      </c>
      <c r="B11359" s="46" t="s">
        <v>24312</v>
      </c>
    </row>
    <row r="11360" spans="1:2" x14ac:dyDescent="0.25">
      <c r="A11360" s="45" t="s">
        <v>11385</v>
      </c>
      <c r="B11360" s="46" t="s">
        <v>24313</v>
      </c>
    </row>
    <row r="11361" spans="1:2" x14ac:dyDescent="0.25">
      <c r="A11361" s="45" t="s">
        <v>11386</v>
      </c>
      <c r="B11361" s="46" t="s">
        <v>24314</v>
      </c>
    </row>
    <row r="11362" spans="1:2" x14ac:dyDescent="0.25">
      <c r="A11362" s="45" t="s">
        <v>11387</v>
      </c>
      <c r="B11362" s="46" t="s">
        <v>24315</v>
      </c>
    </row>
    <row r="11363" spans="1:2" x14ac:dyDescent="0.25">
      <c r="A11363" s="45" t="s">
        <v>11388</v>
      </c>
      <c r="B11363" s="46" t="s">
        <v>24316</v>
      </c>
    </row>
    <row r="11364" spans="1:2" x14ac:dyDescent="0.25">
      <c r="A11364" s="45" t="s">
        <v>11389</v>
      </c>
      <c r="B11364" s="46" t="s">
        <v>24317</v>
      </c>
    </row>
    <row r="11365" spans="1:2" x14ac:dyDescent="0.25">
      <c r="A11365" s="45" t="s">
        <v>11390</v>
      </c>
      <c r="B11365" s="46" t="s">
        <v>24318</v>
      </c>
    </row>
    <row r="11366" spans="1:2" x14ac:dyDescent="0.25">
      <c r="A11366" s="45" t="s">
        <v>11391</v>
      </c>
      <c r="B11366" s="46" t="s">
        <v>24319</v>
      </c>
    </row>
    <row r="11367" spans="1:2" x14ac:dyDescent="0.25">
      <c r="A11367" s="45" t="s">
        <v>11392</v>
      </c>
      <c r="B11367" s="46" t="s">
        <v>24320</v>
      </c>
    </row>
    <row r="11368" spans="1:2" x14ac:dyDescent="0.25">
      <c r="A11368" s="45" t="s">
        <v>11393</v>
      </c>
      <c r="B11368" s="46" t="s">
        <v>24321</v>
      </c>
    </row>
    <row r="11369" spans="1:2" x14ac:dyDescent="0.25">
      <c r="A11369" s="45" t="s">
        <v>11394</v>
      </c>
      <c r="B11369" s="46" t="s">
        <v>24322</v>
      </c>
    </row>
    <row r="11370" spans="1:2" x14ac:dyDescent="0.25">
      <c r="A11370" s="45" t="s">
        <v>11395</v>
      </c>
      <c r="B11370" s="46" t="s">
        <v>24323</v>
      </c>
    </row>
    <row r="11371" spans="1:2" x14ac:dyDescent="0.25">
      <c r="A11371" s="45" t="s">
        <v>11396</v>
      </c>
      <c r="B11371" s="46" t="s">
        <v>24324</v>
      </c>
    </row>
    <row r="11372" spans="1:2" x14ac:dyDescent="0.25">
      <c r="A11372" s="45" t="s">
        <v>11397</v>
      </c>
      <c r="B11372" s="46" t="s">
        <v>24325</v>
      </c>
    </row>
    <row r="11373" spans="1:2" x14ac:dyDescent="0.25">
      <c r="A11373" s="45" t="s">
        <v>11398</v>
      </c>
      <c r="B11373" s="46" t="s">
        <v>24326</v>
      </c>
    </row>
    <row r="11374" spans="1:2" x14ac:dyDescent="0.25">
      <c r="A11374" s="45" t="s">
        <v>11399</v>
      </c>
      <c r="B11374" s="46" t="s">
        <v>24327</v>
      </c>
    </row>
    <row r="11375" spans="1:2" x14ac:dyDescent="0.25">
      <c r="A11375" s="45" t="s">
        <v>11400</v>
      </c>
      <c r="B11375" s="46" t="s">
        <v>24328</v>
      </c>
    </row>
    <row r="11376" spans="1:2" x14ac:dyDescent="0.25">
      <c r="A11376" s="45" t="s">
        <v>11401</v>
      </c>
      <c r="B11376" s="46" t="s">
        <v>24329</v>
      </c>
    </row>
    <row r="11377" spans="1:2" x14ac:dyDescent="0.25">
      <c r="A11377" s="45" t="s">
        <v>11402</v>
      </c>
      <c r="B11377" s="46" t="s">
        <v>24330</v>
      </c>
    </row>
    <row r="11378" spans="1:2" x14ac:dyDescent="0.25">
      <c r="A11378" s="45" t="s">
        <v>11403</v>
      </c>
      <c r="B11378" s="46" t="s">
        <v>24331</v>
      </c>
    </row>
    <row r="11379" spans="1:2" x14ac:dyDescent="0.25">
      <c r="A11379" s="45" t="s">
        <v>11404</v>
      </c>
      <c r="B11379" s="46" t="s">
        <v>24332</v>
      </c>
    </row>
    <row r="11380" spans="1:2" x14ac:dyDescent="0.25">
      <c r="A11380" s="45" t="s">
        <v>11405</v>
      </c>
      <c r="B11380" s="46" t="s">
        <v>24333</v>
      </c>
    </row>
    <row r="11381" spans="1:2" x14ac:dyDescent="0.25">
      <c r="A11381" s="45" t="s">
        <v>11406</v>
      </c>
      <c r="B11381" s="46" t="s">
        <v>24334</v>
      </c>
    </row>
    <row r="11382" spans="1:2" x14ac:dyDescent="0.25">
      <c r="A11382" s="45" t="s">
        <v>11407</v>
      </c>
      <c r="B11382" s="46" t="s">
        <v>24335</v>
      </c>
    </row>
    <row r="11383" spans="1:2" x14ac:dyDescent="0.25">
      <c r="A11383" s="45" t="s">
        <v>11408</v>
      </c>
      <c r="B11383" s="46" t="s">
        <v>24336</v>
      </c>
    </row>
    <row r="11384" spans="1:2" x14ac:dyDescent="0.25">
      <c r="A11384" s="45" t="s">
        <v>11409</v>
      </c>
      <c r="B11384" s="46" t="s">
        <v>24337</v>
      </c>
    </row>
    <row r="11385" spans="1:2" x14ac:dyDescent="0.25">
      <c r="A11385" s="45" t="s">
        <v>11410</v>
      </c>
      <c r="B11385" s="46" t="s">
        <v>24338</v>
      </c>
    </row>
    <row r="11386" spans="1:2" x14ac:dyDescent="0.25">
      <c r="A11386" s="45" t="s">
        <v>11411</v>
      </c>
      <c r="B11386" s="46" t="s">
        <v>24339</v>
      </c>
    </row>
    <row r="11387" spans="1:2" x14ac:dyDescent="0.25">
      <c r="A11387" s="45" t="s">
        <v>11412</v>
      </c>
      <c r="B11387" s="46" t="s">
        <v>24340</v>
      </c>
    </row>
    <row r="11388" spans="1:2" x14ac:dyDescent="0.25">
      <c r="A11388" s="45" t="s">
        <v>11413</v>
      </c>
      <c r="B11388" s="46" t="s">
        <v>24341</v>
      </c>
    </row>
    <row r="11389" spans="1:2" x14ac:dyDescent="0.25">
      <c r="A11389" s="45" t="s">
        <v>11414</v>
      </c>
      <c r="B11389" s="46" t="s">
        <v>24342</v>
      </c>
    </row>
    <row r="11390" spans="1:2" x14ac:dyDescent="0.25">
      <c r="A11390" s="45" t="s">
        <v>11415</v>
      </c>
      <c r="B11390" s="46" t="s">
        <v>24343</v>
      </c>
    </row>
    <row r="11391" spans="1:2" x14ac:dyDescent="0.25">
      <c r="A11391" s="45" t="s">
        <v>11416</v>
      </c>
      <c r="B11391" s="46" t="s">
        <v>24344</v>
      </c>
    </row>
    <row r="11392" spans="1:2" x14ac:dyDescent="0.25">
      <c r="A11392" s="45" t="s">
        <v>11417</v>
      </c>
      <c r="B11392" s="46" t="s">
        <v>24345</v>
      </c>
    </row>
    <row r="11393" spans="1:2" x14ac:dyDescent="0.25">
      <c r="A11393" s="45" t="s">
        <v>11418</v>
      </c>
      <c r="B11393" s="46" t="s">
        <v>24346</v>
      </c>
    </row>
    <row r="11394" spans="1:2" x14ac:dyDescent="0.25">
      <c r="A11394" s="45" t="s">
        <v>11419</v>
      </c>
      <c r="B11394" s="46" t="s">
        <v>24347</v>
      </c>
    </row>
    <row r="11395" spans="1:2" x14ac:dyDescent="0.25">
      <c r="A11395" s="45" t="s">
        <v>11420</v>
      </c>
      <c r="B11395" s="46" t="s">
        <v>24348</v>
      </c>
    </row>
    <row r="11396" spans="1:2" x14ac:dyDescent="0.25">
      <c r="A11396" s="45" t="s">
        <v>11421</v>
      </c>
      <c r="B11396" s="46" t="s">
        <v>24349</v>
      </c>
    </row>
    <row r="11397" spans="1:2" x14ac:dyDescent="0.25">
      <c r="A11397" s="45" t="s">
        <v>11422</v>
      </c>
      <c r="B11397" s="46" t="s">
        <v>24350</v>
      </c>
    </row>
    <row r="11398" spans="1:2" x14ac:dyDescent="0.25">
      <c r="A11398" s="45" t="s">
        <v>11423</v>
      </c>
      <c r="B11398" s="46" t="s">
        <v>24351</v>
      </c>
    </row>
    <row r="11399" spans="1:2" x14ac:dyDescent="0.25">
      <c r="A11399" s="45" t="s">
        <v>11424</v>
      </c>
      <c r="B11399" s="46" t="s">
        <v>24352</v>
      </c>
    </row>
    <row r="11400" spans="1:2" x14ac:dyDescent="0.25">
      <c r="A11400" s="45" t="s">
        <v>11425</v>
      </c>
      <c r="B11400" s="46" t="s">
        <v>24353</v>
      </c>
    </row>
    <row r="11401" spans="1:2" x14ac:dyDescent="0.25">
      <c r="A11401" s="45" t="s">
        <v>11426</v>
      </c>
      <c r="B11401" s="46" t="s">
        <v>24354</v>
      </c>
    </row>
    <row r="11402" spans="1:2" x14ac:dyDescent="0.25">
      <c r="A11402" s="45" t="s">
        <v>11427</v>
      </c>
      <c r="B11402" s="46" t="s">
        <v>24355</v>
      </c>
    </row>
    <row r="11403" spans="1:2" x14ac:dyDescent="0.25">
      <c r="A11403" s="45" t="s">
        <v>11428</v>
      </c>
      <c r="B11403" s="46" t="s">
        <v>24356</v>
      </c>
    </row>
    <row r="11404" spans="1:2" x14ac:dyDescent="0.25">
      <c r="A11404" s="45" t="s">
        <v>11429</v>
      </c>
      <c r="B11404" s="46" t="s">
        <v>24357</v>
      </c>
    </row>
    <row r="11405" spans="1:2" x14ac:dyDescent="0.25">
      <c r="A11405" s="45" t="s">
        <v>11430</v>
      </c>
      <c r="B11405" s="46" t="s">
        <v>24358</v>
      </c>
    </row>
    <row r="11406" spans="1:2" x14ac:dyDescent="0.25">
      <c r="A11406" s="45" t="s">
        <v>11431</v>
      </c>
      <c r="B11406" s="46" t="s">
        <v>24359</v>
      </c>
    </row>
    <row r="11407" spans="1:2" x14ac:dyDescent="0.25">
      <c r="A11407" s="45" t="s">
        <v>11432</v>
      </c>
      <c r="B11407" s="46" t="s">
        <v>24360</v>
      </c>
    </row>
    <row r="11408" spans="1:2" x14ac:dyDescent="0.25">
      <c r="A11408" s="45" t="s">
        <v>11433</v>
      </c>
      <c r="B11408" s="46" t="s">
        <v>24361</v>
      </c>
    </row>
    <row r="11409" spans="1:2" x14ac:dyDescent="0.25">
      <c r="A11409" s="45" t="s">
        <v>11434</v>
      </c>
      <c r="B11409" s="46" t="s">
        <v>24362</v>
      </c>
    </row>
    <row r="11410" spans="1:2" x14ac:dyDescent="0.25">
      <c r="A11410" s="45" t="s">
        <v>11435</v>
      </c>
      <c r="B11410" s="46" t="s">
        <v>24363</v>
      </c>
    </row>
    <row r="11411" spans="1:2" x14ac:dyDescent="0.25">
      <c r="A11411" s="45" t="s">
        <v>11436</v>
      </c>
      <c r="B11411" s="46" t="s">
        <v>24364</v>
      </c>
    </row>
    <row r="11412" spans="1:2" x14ac:dyDescent="0.25">
      <c r="A11412" s="45" t="s">
        <v>11437</v>
      </c>
      <c r="B11412" s="46" t="s">
        <v>24365</v>
      </c>
    </row>
    <row r="11413" spans="1:2" x14ac:dyDescent="0.25">
      <c r="A11413" s="45" t="s">
        <v>11438</v>
      </c>
      <c r="B11413" s="46" t="s">
        <v>24366</v>
      </c>
    </row>
    <row r="11414" spans="1:2" x14ac:dyDescent="0.25">
      <c r="A11414" s="45" t="s">
        <v>11439</v>
      </c>
      <c r="B11414" s="46" t="s">
        <v>24367</v>
      </c>
    </row>
    <row r="11415" spans="1:2" x14ac:dyDescent="0.25">
      <c r="A11415" s="45" t="s">
        <v>11440</v>
      </c>
      <c r="B11415" s="46" t="s">
        <v>24368</v>
      </c>
    </row>
    <row r="11416" spans="1:2" x14ac:dyDescent="0.25">
      <c r="A11416" s="45" t="s">
        <v>11441</v>
      </c>
      <c r="B11416" s="46" t="s">
        <v>24369</v>
      </c>
    </row>
    <row r="11417" spans="1:2" x14ac:dyDescent="0.25">
      <c r="A11417" s="45" t="s">
        <v>11442</v>
      </c>
      <c r="B11417" s="46" t="s">
        <v>24370</v>
      </c>
    </row>
    <row r="11418" spans="1:2" x14ac:dyDescent="0.25">
      <c r="A11418" s="45" t="s">
        <v>11443</v>
      </c>
      <c r="B11418" s="46" t="s">
        <v>24371</v>
      </c>
    </row>
    <row r="11419" spans="1:2" x14ac:dyDescent="0.25">
      <c r="A11419" s="45" t="s">
        <v>11444</v>
      </c>
      <c r="B11419" s="46" t="s">
        <v>24372</v>
      </c>
    </row>
    <row r="11420" spans="1:2" x14ac:dyDescent="0.25">
      <c r="A11420" s="45" t="s">
        <v>11445</v>
      </c>
      <c r="B11420" s="46" t="s">
        <v>24373</v>
      </c>
    </row>
    <row r="11421" spans="1:2" x14ac:dyDescent="0.25">
      <c r="A11421" s="45" t="s">
        <v>11446</v>
      </c>
      <c r="B11421" s="46" t="s">
        <v>24374</v>
      </c>
    </row>
    <row r="11422" spans="1:2" x14ac:dyDescent="0.25">
      <c r="A11422" s="45" t="s">
        <v>11447</v>
      </c>
      <c r="B11422" s="46" t="s">
        <v>24375</v>
      </c>
    </row>
    <row r="11423" spans="1:2" x14ac:dyDescent="0.25">
      <c r="A11423" s="45" t="s">
        <v>11448</v>
      </c>
      <c r="B11423" s="46" t="s">
        <v>24376</v>
      </c>
    </row>
    <row r="11424" spans="1:2" x14ac:dyDescent="0.25">
      <c r="A11424" s="45" t="s">
        <v>11449</v>
      </c>
      <c r="B11424" s="46" t="s">
        <v>24377</v>
      </c>
    </row>
    <row r="11425" spans="1:2" x14ac:dyDescent="0.25">
      <c r="A11425" s="45" t="s">
        <v>11450</v>
      </c>
      <c r="B11425" s="46" t="s">
        <v>24378</v>
      </c>
    </row>
    <row r="11426" spans="1:2" x14ac:dyDescent="0.25">
      <c r="A11426" s="45" t="s">
        <v>11451</v>
      </c>
      <c r="B11426" s="46" t="s">
        <v>24379</v>
      </c>
    </row>
    <row r="11427" spans="1:2" x14ac:dyDescent="0.25">
      <c r="A11427" s="45" t="s">
        <v>11452</v>
      </c>
      <c r="B11427" s="46" t="s">
        <v>24380</v>
      </c>
    </row>
    <row r="11428" spans="1:2" x14ac:dyDescent="0.25">
      <c r="A11428" s="45" t="s">
        <v>11453</v>
      </c>
      <c r="B11428" s="46" t="s">
        <v>24381</v>
      </c>
    </row>
    <row r="11429" spans="1:2" x14ac:dyDescent="0.25">
      <c r="A11429" s="45" t="s">
        <v>11454</v>
      </c>
      <c r="B11429" s="46" t="s">
        <v>24382</v>
      </c>
    </row>
    <row r="11430" spans="1:2" x14ac:dyDescent="0.25">
      <c r="A11430" s="45" t="s">
        <v>11455</v>
      </c>
      <c r="B11430" s="46" t="s">
        <v>24383</v>
      </c>
    </row>
    <row r="11431" spans="1:2" x14ac:dyDescent="0.25">
      <c r="A11431" s="45" t="s">
        <v>11456</v>
      </c>
      <c r="B11431" s="46" t="s">
        <v>24384</v>
      </c>
    </row>
    <row r="11432" spans="1:2" x14ac:dyDescent="0.25">
      <c r="A11432" s="45" t="s">
        <v>11457</v>
      </c>
      <c r="B11432" s="46" t="s">
        <v>24385</v>
      </c>
    </row>
    <row r="11433" spans="1:2" x14ac:dyDescent="0.25">
      <c r="A11433" s="45" t="s">
        <v>11458</v>
      </c>
      <c r="B11433" s="46" t="s">
        <v>24386</v>
      </c>
    </row>
    <row r="11434" spans="1:2" x14ac:dyDescent="0.25">
      <c r="A11434" s="45" t="s">
        <v>11459</v>
      </c>
      <c r="B11434" s="46" t="s">
        <v>24387</v>
      </c>
    </row>
    <row r="11435" spans="1:2" x14ac:dyDescent="0.25">
      <c r="A11435" s="45" t="s">
        <v>11460</v>
      </c>
      <c r="B11435" s="46" t="s">
        <v>24388</v>
      </c>
    </row>
    <row r="11436" spans="1:2" x14ac:dyDescent="0.25">
      <c r="A11436" s="45" t="s">
        <v>11461</v>
      </c>
      <c r="B11436" s="46" t="s">
        <v>24389</v>
      </c>
    </row>
    <row r="11437" spans="1:2" x14ac:dyDescent="0.25">
      <c r="A11437" s="45" t="s">
        <v>11462</v>
      </c>
      <c r="B11437" s="46" t="s">
        <v>24390</v>
      </c>
    </row>
    <row r="11438" spans="1:2" x14ac:dyDescent="0.25">
      <c r="A11438" s="45" t="s">
        <v>11463</v>
      </c>
      <c r="B11438" s="46" t="s">
        <v>24391</v>
      </c>
    </row>
    <row r="11439" spans="1:2" x14ac:dyDescent="0.25">
      <c r="A11439" s="45" t="s">
        <v>11464</v>
      </c>
      <c r="B11439" s="46" t="s">
        <v>24392</v>
      </c>
    </row>
    <row r="11440" spans="1:2" x14ac:dyDescent="0.25">
      <c r="A11440" s="45" t="s">
        <v>11465</v>
      </c>
      <c r="B11440" s="46" t="s">
        <v>24393</v>
      </c>
    </row>
    <row r="11441" spans="1:2" x14ac:dyDescent="0.25">
      <c r="A11441" s="45" t="s">
        <v>11466</v>
      </c>
      <c r="B11441" s="46" t="s">
        <v>24394</v>
      </c>
    </row>
    <row r="11442" spans="1:2" x14ac:dyDescent="0.25">
      <c r="A11442" s="45" t="s">
        <v>11467</v>
      </c>
      <c r="B11442" s="46" t="s">
        <v>24395</v>
      </c>
    </row>
    <row r="11443" spans="1:2" x14ac:dyDescent="0.25">
      <c r="A11443" s="45" t="s">
        <v>11468</v>
      </c>
      <c r="B11443" s="46" t="s">
        <v>24396</v>
      </c>
    </row>
    <row r="11444" spans="1:2" x14ac:dyDescent="0.25">
      <c r="A11444" s="45" t="s">
        <v>11469</v>
      </c>
      <c r="B11444" s="46" t="s">
        <v>24397</v>
      </c>
    </row>
    <row r="11445" spans="1:2" x14ac:dyDescent="0.25">
      <c r="A11445" s="45" t="s">
        <v>11470</v>
      </c>
      <c r="B11445" s="46" t="s">
        <v>24398</v>
      </c>
    </row>
    <row r="11446" spans="1:2" x14ac:dyDescent="0.25">
      <c r="A11446" s="45" t="s">
        <v>11471</v>
      </c>
      <c r="B11446" s="46" t="s">
        <v>24399</v>
      </c>
    </row>
    <row r="11447" spans="1:2" x14ac:dyDescent="0.25">
      <c r="A11447" s="45" t="s">
        <v>11472</v>
      </c>
      <c r="B11447" s="46" t="s">
        <v>24400</v>
      </c>
    </row>
    <row r="11448" spans="1:2" x14ac:dyDescent="0.25">
      <c r="A11448" s="45" t="s">
        <v>11473</v>
      </c>
      <c r="B11448" s="46" t="s">
        <v>24401</v>
      </c>
    </row>
    <row r="11449" spans="1:2" x14ac:dyDescent="0.25">
      <c r="A11449" s="45" t="s">
        <v>11474</v>
      </c>
      <c r="B11449" s="46" t="s">
        <v>24402</v>
      </c>
    </row>
    <row r="11450" spans="1:2" x14ac:dyDescent="0.25">
      <c r="A11450" s="45" t="s">
        <v>11475</v>
      </c>
      <c r="B11450" s="46" t="s">
        <v>24403</v>
      </c>
    </row>
    <row r="11451" spans="1:2" x14ac:dyDescent="0.25">
      <c r="A11451" s="45" t="s">
        <v>11476</v>
      </c>
      <c r="B11451" s="46" t="s">
        <v>24404</v>
      </c>
    </row>
    <row r="11452" spans="1:2" x14ac:dyDescent="0.25">
      <c r="A11452" s="45" t="s">
        <v>11477</v>
      </c>
      <c r="B11452" s="46" t="s">
        <v>24405</v>
      </c>
    </row>
    <row r="11453" spans="1:2" x14ac:dyDescent="0.25">
      <c r="A11453" s="45" t="s">
        <v>11478</v>
      </c>
      <c r="B11453" s="46" t="s">
        <v>24406</v>
      </c>
    </row>
    <row r="11454" spans="1:2" x14ac:dyDescent="0.25">
      <c r="A11454" s="45" t="s">
        <v>11479</v>
      </c>
      <c r="B11454" s="46" t="s">
        <v>24407</v>
      </c>
    </row>
    <row r="11455" spans="1:2" x14ac:dyDescent="0.25">
      <c r="A11455" s="45" t="s">
        <v>11480</v>
      </c>
      <c r="B11455" s="46" t="s">
        <v>24408</v>
      </c>
    </row>
    <row r="11456" spans="1:2" x14ac:dyDescent="0.25">
      <c r="A11456" s="45" t="s">
        <v>11481</v>
      </c>
      <c r="B11456" s="46" t="s">
        <v>24409</v>
      </c>
    </row>
    <row r="11457" spans="1:2" x14ac:dyDescent="0.25">
      <c r="A11457" s="45" t="s">
        <v>11482</v>
      </c>
      <c r="B11457" s="46" t="s">
        <v>24410</v>
      </c>
    </row>
    <row r="11458" spans="1:2" x14ac:dyDescent="0.25">
      <c r="A11458" s="45" t="s">
        <v>11483</v>
      </c>
      <c r="B11458" s="46" t="s">
        <v>24411</v>
      </c>
    </row>
    <row r="11459" spans="1:2" x14ac:dyDescent="0.25">
      <c r="A11459" s="45" t="s">
        <v>11484</v>
      </c>
      <c r="B11459" s="46" t="s">
        <v>18843</v>
      </c>
    </row>
    <row r="11460" spans="1:2" x14ac:dyDescent="0.25">
      <c r="A11460" s="45" t="s">
        <v>11485</v>
      </c>
      <c r="B11460" s="46" t="s">
        <v>24412</v>
      </c>
    </row>
    <row r="11461" spans="1:2" x14ac:dyDescent="0.25">
      <c r="A11461" s="45" t="s">
        <v>11486</v>
      </c>
      <c r="B11461" s="46" t="s">
        <v>18844</v>
      </c>
    </row>
    <row r="11462" spans="1:2" x14ac:dyDescent="0.25">
      <c r="A11462" s="45" t="s">
        <v>11487</v>
      </c>
      <c r="B11462" s="46" t="s">
        <v>18845</v>
      </c>
    </row>
    <row r="11463" spans="1:2" x14ac:dyDescent="0.25">
      <c r="A11463" s="45" t="s">
        <v>11488</v>
      </c>
      <c r="B11463" s="46" t="s">
        <v>18846</v>
      </c>
    </row>
    <row r="11464" spans="1:2" x14ac:dyDescent="0.25">
      <c r="A11464" s="45" t="s">
        <v>11489</v>
      </c>
      <c r="B11464" s="46" t="s">
        <v>24413</v>
      </c>
    </row>
    <row r="11465" spans="1:2" x14ac:dyDescent="0.25">
      <c r="A11465" s="45" t="s">
        <v>11490</v>
      </c>
      <c r="B11465" s="46" t="s">
        <v>18847</v>
      </c>
    </row>
    <row r="11466" spans="1:2" x14ac:dyDescent="0.25">
      <c r="A11466" s="45" t="s">
        <v>11491</v>
      </c>
      <c r="B11466" s="46" t="s">
        <v>24414</v>
      </c>
    </row>
    <row r="11467" spans="1:2" x14ac:dyDescent="0.25">
      <c r="A11467" s="45" t="s">
        <v>11492</v>
      </c>
      <c r="B11467" s="46" t="s">
        <v>18848</v>
      </c>
    </row>
    <row r="11468" spans="1:2" x14ac:dyDescent="0.25">
      <c r="A11468" s="45" t="s">
        <v>11493</v>
      </c>
      <c r="B11468" s="46" t="s">
        <v>18849</v>
      </c>
    </row>
    <row r="11469" spans="1:2" x14ac:dyDescent="0.25">
      <c r="A11469" s="45" t="s">
        <v>11494</v>
      </c>
      <c r="B11469" s="46" t="s">
        <v>18850</v>
      </c>
    </row>
    <row r="11470" spans="1:2" x14ac:dyDescent="0.25">
      <c r="A11470" s="45" t="s">
        <v>11495</v>
      </c>
      <c r="B11470" s="46" t="s">
        <v>18851</v>
      </c>
    </row>
    <row r="11471" spans="1:2" x14ac:dyDescent="0.25">
      <c r="A11471" s="45" t="s">
        <v>11496</v>
      </c>
      <c r="B11471" s="46" t="s">
        <v>24415</v>
      </c>
    </row>
    <row r="11472" spans="1:2" x14ac:dyDescent="0.25">
      <c r="A11472" s="45" t="s">
        <v>11497</v>
      </c>
      <c r="B11472" s="46" t="s">
        <v>18852</v>
      </c>
    </row>
    <row r="11473" spans="1:2" x14ac:dyDescent="0.25">
      <c r="A11473" s="45" t="s">
        <v>11498</v>
      </c>
      <c r="B11473" s="46" t="s">
        <v>18853</v>
      </c>
    </row>
    <row r="11474" spans="1:2" x14ac:dyDescent="0.25">
      <c r="A11474" s="45" t="s">
        <v>11499</v>
      </c>
      <c r="B11474" s="46" t="s">
        <v>18854</v>
      </c>
    </row>
    <row r="11475" spans="1:2" x14ac:dyDescent="0.25">
      <c r="A11475" s="45" t="s">
        <v>11500</v>
      </c>
      <c r="B11475" s="46" t="s">
        <v>24416</v>
      </c>
    </row>
    <row r="11476" spans="1:2" x14ac:dyDescent="0.25">
      <c r="A11476" s="45" t="s">
        <v>11501</v>
      </c>
      <c r="B11476" s="46" t="s">
        <v>24417</v>
      </c>
    </row>
    <row r="11477" spans="1:2" x14ac:dyDescent="0.25">
      <c r="A11477" s="45" t="s">
        <v>11502</v>
      </c>
      <c r="B11477" s="46" t="s">
        <v>18855</v>
      </c>
    </row>
    <row r="11478" spans="1:2" x14ac:dyDescent="0.25">
      <c r="A11478" s="45" t="s">
        <v>11503</v>
      </c>
      <c r="B11478" s="46" t="s">
        <v>18856</v>
      </c>
    </row>
    <row r="11479" spans="1:2" x14ac:dyDescent="0.25">
      <c r="A11479" s="45" t="s">
        <v>11504</v>
      </c>
      <c r="B11479" s="46" t="s">
        <v>18857</v>
      </c>
    </row>
    <row r="11480" spans="1:2" x14ac:dyDescent="0.25">
      <c r="A11480" s="45" t="s">
        <v>11505</v>
      </c>
      <c r="B11480" s="46" t="s">
        <v>24418</v>
      </c>
    </row>
    <row r="11481" spans="1:2" x14ac:dyDescent="0.25">
      <c r="A11481" s="45" t="s">
        <v>11506</v>
      </c>
      <c r="B11481" s="46" t="s">
        <v>18858</v>
      </c>
    </row>
    <row r="11482" spans="1:2" x14ac:dyDescent="0.25">
      <c r="A11482" s="45" t="s">
        <v>11507</v>
      </c>
      <c r="B11482" s="46" t="s">
        <v>18859</v>
      </c>
    </row>
    <row r="11483" spans="1:2" x14ac:dyDescent="0.25">
      <c r="A11483" s="45" t="s">
        <v>11508</v>
      </c>
      <c r="B11483" s="46" t="s">
        <v>24419</v>
      </c>
    </row>
    <row r="11484" spans="1:2" x14ac:dyDescent="0.25">
      <c r="A11484" s="45" t="s">
        <v>11509</v>
      </c>
      <c r="B11484" s="46" t="s">
        <v>18860</v>
      </c>
    </row>
    <row r="11485" spans="1:2" x14ac:dyDescent="0.25">
      <c r="A11485" s="45" t="s">
        <v>11510</v>
      </c>
      <c r="B11485" s="46" t="s">
        <v>24420</v>
      </c>
    </row>
    <row r="11486" spans="1:2" x14ac:dyDescent="0.25">
      <c r="A11486" s="45" t="s">
        <v>11511</v>
      </c>
      <c r="B11486" s="46" t="s">
        <v>24421</v>
      </c>
    </row>
    <row r="11487" spans="1:2" x14ac:dyDescent="0.25">
      <c r="A11487" s="45" t="s">
        <v>11512</v>
      </c>
      <c r="B11487" s="46" t="s">
        <v>18861</v>
      </c>
    </row>
    <row r="11488" spans="1:2" x14ac:dyDescent="0.25">
      <c r="A11488" s="45" t="s">
        <v>11513</v>
      </c>
      <c r="B11488" s="46" t="s">
        <v>18862</v>
      </c>
    </row>
    <row r="11489" spans="1:2" x14ac:dyDescent="0.25">
      <c r="A11489" s="45" t="s">
        <v>11514</v>
      </c>
      <c r="B11489" s="46" t="s">
        <v>18863</v>
      </c>
    </row>
    <row r="11490" spans="1:2" x14ac:dyDescent="0.25">
      <c r="A11490" s="45" t="s">
        <v>11515</v>
      </c>
      <c r="B11490" s="46" t="s">
        <v>18864</v>
      </c>
    </row>
    <row r="11491" spans="1:2" x14ac:dyDescent="0.25">
      <c r="A11491" s="45" t="s">
        <v>11516</v>
      </c>
      <c r="B11491" s="46" t="s">
        <v>18865</v>
      </c>
    </row>
    <row r="11492" spans="1:2" x14ac:dyDescent="0.25">
      <c r="A11492" s="45" t="s">
        <v>11517</v>
      </c>
      <c r="B11492" s="46" t="s">
        <v>18866</v>
      </c>
    </row>
    <row r="11493" spans="1:2" x14ac:dyDescent="0.25">
      <c r="A11493" s="45" t="s">
        <v>11518</v>
      </c>
      <c r="B11493" s="46" t="s">
        <v>18867</v>
      </c>
    </row>
    <row r="11494" spans="1:2" x14ac:dyDescent="0.25">
      <c r="A11494" s="45" t="s">
        <v>11519</v>
      </c>
      <c r="B11494" s="46" t="s">
        <v>24422</v>
      </c>
    </row>
    <row r="11495" spans="1:2" x14ac:dyDescent="0.25">
      <c r="A11495" s="45" t="s">
        <v>11520</v>
      </c>
      <c r="B11495" s="46" t="s">
        <v>18868</v>
      </c>
    </row>
    <row r="11496" spans="1:2" x14ac:dyDescent="0.25">
      <c r="A11496" s="45" t="s">
        <v>11521</v>
      </c>
      <c r="B11496" s="46" t="s">
        <v>24423</v>
      </c>
    </row>
    <row r="11497" spans="1:2" x14ac:dyDescent="0.25">
      <c r="A11497" s="45" t="s">
        <v>11522</v>
      </c>
      <c r="B11497" s="46" t="s">
        <v>24424</v>
      </c>
    </row>
    <row r="11498" spans="1:2" x14ac:dyDescent="0.25">
      <c r="A11498" s="45" t="s">
        <v>11523</v>
      </c>
      <c r="B11498" s="46" t="s">
        <v>18869</v>
      </c>
    </row>
    <row r="11499" spans="1:2" x14ac:dyDescent="0.25">
      <c r="A11499" s="45" t="s">
        <v>11524</v>
      </c>
      <c r="B11499" s="46" t="s">
        <v>24425</v>
      </c>
    </row>
    <row r="11500" spans="1:2" x14ac:dyDescent="0.25">
      <c r="A11500" s="45" t="s">
        <v>11525</v>
      </c>
      <c r="B11500" s="46" t="s">
        <v>24426</v>
      </c>
    </row>
    <row r="11501" spans="1:2" x14ac:dyDescent="0.25">
      <c r="A11501" s="45" t="s">
        <v>11526</v>
      </c>
      <c r="B11501" s="46" t="s">
        <v>18870</v>
      </c>
    </row>
    <row r="11502" spans="1:2" x14ac:dyDescent="0.25">
      <c r="A11502" s="45" t="s">
        <v>11527</v>
      </c>
      <c r="B11502" s="46" t="s">
        <v>18871</v>
      </c>
    </row>
    <row r="11503" spans="1:2" x14ac:dyDescent="0.25">
      <c r="A11503" s="45" t="s">
        <v>11528</v>
      </c>
      <c r="B11503" s="46" t="s">
        <v>18872</v>
      </c>
    </row>
    <row r="11504" spans="1:2" x14ac:dyDescent="0.25">
      <c r="A11504" s="45" t="s">
        <v>11529</v>
      </c>
      <c r="B11504" s="46" t="s">
        <v>24427</v>
      </c>
    </row>
    <row r="11505" spans="1:2" x14ac:dyDescent="0.25">
      <c r="A11505" s="45" t="s">
        <v>11530</v>
      </c>
      <c r="B11505" s="46" t="s">
        <v>18873</v>
      </c>
    </row>
    <row r="11506" spans="1:2" x14ac:dyDescent="0.25">
      <c r="A11506" s="45" t="s">
        <v>11531</v>
      </c>
      <c r="B11506" s="46" t="s">
        <v>18874</v>
      </c>
    </row>
    <row r="11507" spans="1:2" x14ac:dyDescent="0.25">
      <c r="A11507" s="45" t="s">
        <v>11532</v>
      </c>
      <c r="B11507" s="46" t="s">
        <v>18875</v>
      </c>
    </row>
    <row r="11508" spans="1:2" x14ac:dyDescent="0.25">
      <c r="A11508" s="45" t="s">
        <v>11533</v>
      </c>
      <c r="B11508" s="46" t="s">
        <v>24428</v>
      </c>
    </row>
    <row r="11509" spans="1:2" x14ac:dyDescent="0.25">
      <c r="A11509" s="45" t="s">
        <v>11534</v>
      </c>
      <c r="B11509" s="46" t="s">
        <v>18876</v>
      </c>
    </row>
    <row r="11510" spans="1:2" x14ac:dyDescent="0.25">
      <c r="A11510" s="45" t="s">
        <v>11535</v>
      </c>
      <c r="B11510" s="46" t="s">
        <v>18877</v>
      </c>
    </row>
    <row r="11511" spans="1:2" x14ac:dyDescent="0.25">
      <c r="A11511" s="45" t="s">
        <v>11536</v>
      </c>
      <c r="B11511" s="46" t="s">
        <v>18878</v>
      </c>
    </row>
    <row r="11512" spans="1:2" x14ac:dyDescent="0.25">
      <c r="A11512" s="45" t="s">
        <v>11537</v>
      </c>
      <c r="B11512" s="46" t="s">
        <v>24429</v>
      </c>
    </row>
    <row r="11513" spans="1:2" x14ac:dyDescent="0.25">
      <c r="A11513" s="45" t="s">
        <v>11538</v>
      </c>
      <c r="B11513" s="46" t="s">
        <v>18879</v>
      </c>
    </row>
    <row r="11514" spans="1:2" x14ac:dyDescent="0.25">
      <c r="A11514" s="45" t="s">
        <v>11539</v>
      </c>
      <c r="B11514" s="46" t="s">
        <v>18880</v>
      </c>
    </row>
    <row r="11515" spans="1:2" x14ac:dyDescent="0.25">
      <c r="A11515" s="45" t="s">
        <v>11540</v>
      </c>
      <c r="B11515" s="46" t="s">
        <v>18881</v>
      </c>
    </row>
    <row r="11516" spans="1:2" x14ac:dyDescent="0.25">
      <c r="A11516" s="45" t="s">
        <v>11541</v>
      </c>
      <c r="B11516" s="46" t="s">
        <v>18882</v>
      </c>
    </row>
    <row r="11517" spans="1:2" x14ac:dyDescent="0.25">
      <c r="A11517" s="45" t="s">
        <v>11542</v>
      </c>
      <c r="B11517" s="46" t="s">
        <v>18883</v>
      </c>
    </row>
    <row r="11518" spans="1:2" x14ac:dyDescent="0.25">
      <c r="A11518" s="45" t="s">
        <v>11543</v>
      </c>
      <c r="B11518" s="46" t="s">
        <v>18884</v>
      </c>
    </row>
    <row r="11519" spans="1:2" x14ac:dyDescent="0.25">
      <c r="A11519" s="45" t="s">
        <v>11544</v>
      </c>
      <c r="B11519" s="46" t="s">
        <v>18885</v>
      </c>
    </row>
    <row r="11520" spans="1:2" x14ac:dyDescent="0.25">
      <c r="A11520" s="45" t="s">
        <v>11545</v>
      </c>
      <c r="B11520" s="46" t="s">
        <v>18886</v>
      </c>
    </row>
    <row r="11521" spans="1:2" x14ac:dyDescent="0.25">
      <c r="A11521" s="45" t="s">
        <v>11546</v>
      </c>
      <c r="B11521" s="46" t="s">
        <v>18887</v>
      </c>
    </row>
    <row r="11522" spans="1:2" x14ac:dyDescent="0.25">
      <c r="A11522" s="45" t="s">
        <v>11547</v>
      </c>
      <c r="B11522" s="46" t="s">
        <v>18888</v>
      </c>
    </row>
    <row r="11523" spans="1:2" x14ac:dyDescent="0.25">
      <c r="A11523" s="45" t="s">
        <v>11548</v>
      </c>
      <c r="B11523" s="46" t="s">
        <v>18889</v>
      </c>
    </row>
    <row r="11524" spans="1:2" x14ac:dyDescent="0.25">
      <c r="A11524" s="45" t="s">
        <v>11549</v>
      </c>
      <c r="B11524" s="46" t="s">
        <v>18890</v>
      </c>
    </row>
    <row r="11525" spans="1:2" x14ac:dyDescent="0.25">
      <c r="A11525" s="45" t="s">
        <v>11550</v>
      </c>
      <c r="B11525" s="46" t="s">
        <v>18891</v>
      </c>
    </row>
    <row r="11526" spans="1:2" x14ac:dyDescent="0.25">
      <c r="A11526" s="45" t="s">
        <v>11551</v>
      </c>
      <c r="B11526" s="46" t="s">
        <v>24430</v>
      </c>
    </row>
    <row r="11527" spans="1:2" x14ac:dyDescent="0.25">
      <c r="A11527" s="45" t="s">
        <v>11552</v>
      </c>
      <c r="B11527" s="46" t="s">
        <v>24431</v>
      </c>
    </row>
    <row r="11528" spans="1:2" x14ac:dyDescent="0.25">
      <c r="A11528" s="45" t="s">
        <v>11553</v>
      </c>
      <c r="B11528" s="46" t="s">
        <v>18892</v>
      </c>
    </row>
    <row r="11529" spans="1:2" x14ac:dyDescent="0.25">
      <c r="A11529" s="45" t="s">
        <v>11554</v>
      </c>
      <c r="B11529" s="46" t="s">
        <v>24432</v>
      </c>
    </row>
    <row r="11530" spans="1:2" x14ac:dyDescent="0.25">
      <c r="A11530" s="45" t="s">
        <v>11555</v>
      </c>
      <c r="B11530" s="46" t="s">
        <v>18893</v>
      </c>
    </row>
    <row r="11531" spans="1:2" x14ac:dyDescent="0.25">
      <c r="A11531" s="45" t="s">
        <v>11556</v>
      </c>
      <c r="B11531" s="46" t="s">
        <v>18894</v>
      </c>
    </row>
    <row r="11532" spans="1:2" x14ac:dyDescent="0.25">
      <c r="A11532" s="45" t="s">
        <v>11557</v>
      </c>
      <c r="B11532" s="46" t="s">
        <v>24433</v>
      </c>
    </row>
    <row r="11533" spans="1:2" x14ac:dyDescent="0.25">
      <c r="A11533" s="45" t="s">
        <v>11558</v>
      </c>
      <c r="B11533" s="46" t="s">
        <v>18895</v>
      </c>
    </row>
    <row r="11534" spans="1:2" x14ac:dyDescent="0.25">
      <c r="A11534" s="45" t="s">
        <v>11559</v>
      </c>
      <c r="B11534" s="46" t="s">
        <v>18896</v>
      </c>
    </row>
    <row r="11535" spans="1:2" x14ac:dyDescent="0.25">
      <c r="A11535" s="45" t="s">
        <v>11560</v>
      </c>
      <c r="B11535" s="46" t="s">
        <v>18897</v>
      </c>
    </row>
    <row r="11536" spans="1:2" x14ac:dyDescent="0.25">
      <c r="A11536" s="45" t="s">
        <v>11561</v>
      </c>
      <c r="B11536" s="46" t="s">
        <v>18898</v>
      </c>
    </row>
    <row r="11537" spans="1:2" x14ac:dyDescent="0.25">
      <c r="A11537" s="45" t="s">
        <v>11562</v>
      </c>
      <c r="B11537" s="46" t="s">
        <v>18899</v>
      </c>
    </row>
    <row r="11538" spans="1:2" x14ac:dyDescent="0.25">
      <c r="A11538" s="45" t="s">
        <v>11563</v>
      </c>
      <c r="B11538" s="46" t="s">
        <v>24434</v>
      </c>
    </row>
    <row r="11539" spans="1:2" x14ac:dyDescent="0.25">
      <c r="A11539" s="45" t="s">
        <v>11564</v>
      </c>
      <c r="B11539" s="46" t="s">
        <v>18900</v>
      </c>
    </row>
    <row r="11540" spans="1:2" x14ac:dyDescent="0.25">
      <c r="A11540" s="45" t="s">
        <v>11565</v>
      </c>
      <c r="B11540" s="46" t="s">
        <v>18901</v>
      </c>
    </row>
    <row r="11541" spans="1:2" x14ac:dyDescent="0.25">
      <c r="A11541" s="45" t="s">
        <v>11566</v>
      </c>
      <c r="B11541" s="46" t="s">
        <v>18902</v>
      </c>
    </row>
    <row r="11542" spans="1:2" x14ac:dyDescent="0.25">
      <c r="A11542" s="45" t="s">
        <v>11567</v>
      </c>
      <c r="B11542" s="46" t="s">
        <v>18903</v>
      </c>
    </row>
    <row r="11543" spans="1:2" x14ac:dyDescent="0.25">
      <c r="A11543" s="45" t="s">
        <v>11568</v>
      </c>
      <c r="B11543" s="46" t="s">
        <v>18904</v>
      </c>
    </row>
    <row r="11544" spans="1:2" x14ac:dyDescent="0.25">
      <c r="A11544" s="45" t="s">
        <v>11569</v>
      </c>
      <c r="B11544" s="46" t="s">
        <v>24435</v>
      </c>
    </row>
    <row r="11545" spans="1:2" x14ac:dyDescent="0.25">
      <c r="A11545" s="45" t="s">
        <v>11570</v>
      </c>
      <c r="B11545" s="46" t="s">
        <v>18905</v>
      </c>
    </row>
    <row r="11546" spans="1:2" x14ac:dyDescent="0.25">
      <c r="A11546" s="45" t="s">
        <v>11571</v>
      </c>
      <c r="B11546" s="46" t="s">
        <v>18906</v>
      </c>
    </row>
    <row r="11547" spans="1:2" x14ac:dyDescent="0.25">
      <c r="A11547" s="45" t="s">
        <v>11572</v>
      </c>
      <c r="B11547" s="46" t="s">
        <v>18907</v>
      </c>
    </row>
    <row r="11548" spans="1:2" x14ac:dyDescent="0.25">
      <c r="A11548" s="45" t="s">
        <v>11573</v>
      </c>
      <c r="B11548" s="46" t="s">
        <v>18908</v>
      </c>
    </row>
    <row r="11549" spans="1:2" x14ac:dyDescent="0.25">
      <c r="A11549" s="45" t="s">
        <v>11574</v>
      </c>
      <c r="B11549" s="46" t="s">
        <v>18909</v>
      </c>
    </row>
    <row r="11550" spans="1:2" x14ac:dyDescent="0.25">
      <c r="A11550" s="45" t="s">
        <v>11575</v>
      </c>
      <c r="B11550" s="46" t="s">
        <v>24436</v>
      </c>
    </row>
    <row r="11551" spans="1:2" x14ac:dyDescent="0.25">
      <c r="A11551" s="45" t="s">
        <v>11576</v>
      </c>
      <c r="B11551" s="46" t="s">
        <v>18910</v>
      </c>
    </row>
    <row r="11552" spans="1:2" x14ac:dyDescent="0.25">
      <c r="A11552" s="45" t="s">
        <v>11577</v>
      </c>
      <c r="B11552" s="46" t="s">
        <v>24437</v>
      </c>
    </row>
    <row r="11553" spans="1:2" x14ac:dyDescent="0.25">
      <c r="A11553" s="45" t="s">
        <v>11578</v>
      </c>
      <c r="B11553" s="46" t="s">
        <v>24438</v>
      </c>
    </row>
    <row r="11554" spans="1:2" x14ac:dyDescent="0.25">
      <c r="A11554" s="45" t="s">
        <v>11579</v>
      </c>
      <c r="B11554" s="46" t="s">
        <v>24439</v>
      </c>
    </row>
    <row r="11555" spans="1:2" x14ac:dyDescent="0.25">
      <c r="A11555" s="45" t="s">
        <v>11580</v>
      </c>
      <c r="B11555" s="46" t="s">
        <v>24440</v>
      </c>
    </row>
    <row r="11556" spans="1:2" x14ac:dyDescent="0.25">
      <c r="A11556" s="45" t="s">
        <v>11581</v>
      </c>
      <c r="B11556" s="46" t="s">
        <v>24441</v>
      </c>
    </row>
    <row r="11557" spans="1:2" x14ac:dyDescent="0.25">
      <c r="A11557" s="45" t="s">
        <v>11582</v>
      </c>
      <c r="B11557" s="46" t="s">
        <v>24442</v>
      </c>
    </row>
    <row r="11558" spans="1:2" x14ac:dyDescent="0.25">
      <c r="A11558" s="45" t="s">
        <v>11583</v>
      </c>
      <c r="B11558" s="46" t="s">
        <v>24443</v>
      </c>
    </row>
    <row r="11559" spans="1:2" x14ac:dyDescent="0.25">
      <c r="A11559" s="45" t="s">
        <v>11584</v>
      </c>
      <c r="B11559" s="46" t="s">
        <v>24444</v>
      </c>
    </row>
    <row r="11560" spans="1:2" x14ac:dyDescent="0.25">
      <c r="A11560" s="45" t="s">
        <v>11585</v>
      </c>
      <c r="B11560" s="46" t="s">
        <v>24445</v>
      </c>
    </row>
    <row r="11561" spans="1:2" x14ac:dyDescent="0.25">
      <c r="A11561" s="45" t="s">
        <v>11586</v>
      </c>
      <c r="B11561" s="46" t="s">
        <v>24446</v>
      </c>
    </row>
    <row r="11562" spans="1:2" x14ac:dyDescent="0.25">
      <c r="A11562" s="45" t="s">
        <v>11587</v>
      </c>
      <c r="B11562" s="46" t="s">
        <v>18911</v>
      </c>
    </row>
    <row r="11563" spans="1:2" x14ac:dyDescent="0.25">
      <c r="A11563" s="45" t="s">
        <v>11588</v>
      </c>
      <c r="B11563" s="46" t="s">
        <v>24447</v>
      </c>
    </row>
    <row r="11564" spans="1:2" x14ac:dyDescent="0.25">
      <c r="A11564" s="45" t="s">
        <v>11589</v>
      </c>
      <c r="B11564" s="46" t="s">
        <v>24448</v>
      </c>
    </row>
    <row r="11565" spans="1:2" x14ac:dyDescent="0.25">
      <c r="A11565" s="45" t="s">
        <v>11590</v>
      </c>
      <c r="B11565" s="46" t="s">
        <v>24449</v>
      </c>
    </row>
    <row r="11566" spans="1:2" x14ac:dyDescent="0.25">
      <c r="A11566" s="45" t="s">
        <v>11591</v>
      </c>
      <c r="B11566" s="46" t="s">
        <v>24450</v>
      </c>
    </row>
    <row r="11567" spans="1:2" x14ac:dyDescent="0.25">
      <c r="A11567" s="45" t="s">
        <v>11592</v>
      </c>
      <c r="B11567" s="46" t="s">
        <v>24451</v>
      </c>
    </row>
    <row r="11568" spans="1:2" x14ac:dyDescent="0.25">
      <c r="A11568" s="45" t="s">
        <v>11593</v>
      </c>
      <c r="B11568" s="46" t="s">
        <v>18912</v>
      </c>
    </row>
    <row r="11569" spans="1:2" x14ac:dyDescent="0.25">
      <c r="A11569" s="45" t="s">
        <v>11594</v>
      </c>
      <c r="B11569" s="46" t="s">
        <v>24452</v>
      </c>
    </row>
    <row r="11570" spans="1:2" x14ac:dyDescent="0.25">
      <c r="A11570" s="45" t="s">
        <v>11595</v>
      </c>
      <c r="B11570" s="46" t="s">
        <v>24453</v>
      </c>
    </row>
    <row r="11571" spans="1:2" x14ac:dyDescent="0.25">
      <c r="A11571" s="45" t="s">
        <v>11596</v>
      </c>
      <c r="B11571" s="46" t="s">
        <v>18913</v>
      </c>
    </row>
    <row r="11572" spans="1:2" x14ac:dyDescent="0.25">
      <c r="A11572" s="45" t="s">
        <v>11597</v>
      </c>
      <c r="B11572" s="46" t="s">
        <v>24454</v>
      </c>
    </row>
    <row r="11573" spans="1:2" x14ac:dyDescent="0.25">
      <c r="A11573" s="45" t="s">
        <v>11598</v>
      </c>
      <c r="B11573" s="46" t="s">
        <v>18914</v>
      </c>
    </row>
    <row r="11574" spans="1:2" x14ac:dyDescent="0.25">
      <c r="A11574" s="45" t="s">
        <v>11599</v>
      </c>
      <c r="B11574" s="46" t="s">
        <v>18915</v>
      </c>
    </row>
    <row r="11575" spans="1:2" x14ac:dyDescent="0.25">
      <c r="A11575" s="45" t="s">
        <v>11600</v>
      </c>
      <c r="B11575" s="46" t="s">
        <v>18916</v>
      </c>
    </row>
    <row r="11576" spans="1:2" x14ac:dyDescent="0.25">
      <c r="A11576" s="45" t="s">
        <v>11601</v>
      </c>
      <c r="B11576" s="46" t="s">
        <v>18917</v>
      </c>
    </row>
    <row r="11577" spans="1:2" x14ac:dyDescent="0.25">
      <c r="A11577" s="45" t="s">
        <v>11602</v>
      </c>
      <c r="B11577" s="46" t="s">
        <v>18918</v>
      </c>
    </row>
    <row r="11578" spans="1:2" x14ac:dyDescent="0.25">
      <c r="A11578" s="45" t="s">
        <v>11603</v>
      </c>
      <c r="B11578" s="46" t="s">
        <v>18919</v>
      </c>
    </row>
    <row r="11579" spans="1:2" x14ac:dyDescent="0.25">
      <c r="A11579" s="45" t="s">
        <v>11604</v>
      </c>
      <c r="B11579" s="46" t="s">
        <v>24455</v>
      </c>
    </row>
    <row r="11580" spans="1:2" x14ac:dyDescent="0.25">
      <c r="A11580" s="45" t="s">
        <v>11605</v>
      </c>
      <c r="B11580" s="46" t="s">
        <v>24456</v>
      </c>
    </row>
    <row r="11581" spans="1:2" x14ac:dyDescent="0.25">
      <c r="A11581" s="45" t="s">
        <v>11606</v>
      </c>
      <c r="B11581" s="46" t="s">
        <v>18920</v>
      </c>
    </row>
    <row r="11582" spans="1:2" x14ac:dyDescent="0.25">
      <c r="A11582" s="45" t="s">
        <v>11607</v>
      </c>
      <c r="B11582" s="46" t="s">
        <v>24457</v>
      </c>
    </row>
    <row r="11583" spans="1:2" x14ac:dyDescent="0.25">
      <c r="A11583" s="45" t="s">
        <v>11608</v>
      </c>
      <c r="B11583" s="46" t="s">
        <v>18921</v>
      </c>
    </row>
    <row r="11584" spans="1:2" x14ac:dyDescent="0.25">
      <c r="A11584" s="45" t="s">
        <v>11609</v>
      </c>
      <c r="B11584" s="46" t="s">
        <v>18922</v>
      </c>
    </row>
    <row r="11585" spans="1:2" x14ac:dyDescent="0.25">
      <c r="A11585" s="45" t="s">
        <v>11610</v>
      </c>
      <c r="B11585" s="46" t="s">
        <v>24458</v>
      </c>
    </row>
    <row r="11586" spans="1:2" x14ac:dyDescent="0.25">
      <c r="A11586" s="45" t="s">
        <v>11611</v>
      </c>
      <c r="B11586" s="46" t="s">
        <v>18923</v>
      </c>
    </row>
    <row r="11587" spans="1:2" x14ac:dyDescent="0.25">
      <c r="A11587" s="45" t="s">
        <v>11612</v>
      </c>
      <c r="B11587" s="46" t="s">
        <v>24459</v>
      </c>
    </row>
    <row r="11588" spans="1:2" x14ac:dyDescent="0.25">
      <c r="A11588" s="45" t="s">
        <v>11613</v>
      </c>
      <c r="B11588" s="46" t="s">
        <v>18924</v>
      </c>
    </row>
    <row r="11589" spans="1:2" x14ac:dyDescent="0.25">
      <c r="A11589" s="45" t="s">
        <v>11614</v>
      </c>
      <c r="B11589" s="46" t="s">
        <v>18925</v>
      </c>
    </row>
    <row r="11590" spans="1:2" x14ac:dyDescent="0.25">
      <c r="A11590" s="45" t="s">
        <v>11615</v>
      </c>
      <c r="B11590" s="46" t="s">
        <v>24460</v>
      </c>
    </row>
    <row r="11591" spans="1:2" x14ac:dyDescent="0.25">
      <c r="A11591" s="45" t="s">
        <v>11616</v>
      </c>
      <c r="B11591" s="46" t="s">
        <v>18926</v>
      </c>
    </row>
    <row r="11592" spans="1:2" x14ac:dyDescent="0.25">
      <c r="A11592" s="45" t="s">
        <v>11617</v>
      </c>
      <c r="B11592" s="46" t="s">
        <v>24461</v>
      </c>
    </row>
    <row r="11593" spans="1:2" x14ac:dyDescent="0.25">
      <c r="A11593" s="45" t="s">
        <v>11618</v>
      </c>
      <c r="B11593" s="46" t="s">
        <v>24462</v>
      </c>
    </row>
    <row r="11594" spans="1:2" x14ac:dyDescent="0.25">
      <c r="A11594" s="45" t="s">
        <v>11619</v>
      </c>
      <c r="B11594" s="46" t="s">
        <v>18927</v>
      </c>
    </row>
    <row r="11595" spans="1:2" x14ac:dyDescent="0.25">
      <c r="A11595" s="45" t="s">
        <v>11620</v>
      </c>
      <c r="B11595" s="46" t="s">
        <v>18928</v>
      </c>
    </row>
    <row r="11596" spans="1:2" x14ac:dyDescent="0.25">
      <c r="A11596" s="45" t="s">
        <v>11621</v>
      </c>
      <c r="B11596" s="46" t="s">
        <v>18929</v>
      </c>
    </row>
    <row r="11597" spans="1:2" x14ac:dyDescent="0.25">
      <c r="A11597" s="45" t="s">
        <v>11622</v>
      </c>
      <c r="B11597" s="46" t="s">
        <v>18930</v>
      </c>
    </row>
    <row r="11598" spans="1:2" x14ac:dyDescent="0.25">
      <c r="A11598" s="45" t="s">
        <v>11623</v>
      </c>
      <c r="B11598" s="46" t="s">
        <v>24463</v>
      </c>
    </row>
    <row r="11599" spans="1:2" x14ac:dyDescent="0.25">
      <c r="A11599" s="45" t="s">
        <v>11624</v>
      </c>
      <c r="B11599" s="46" t="s">
        <v>24464</v>
      </c>
    </row>
    <row r="11600" spans="1:2" x14ac:dyDescent="0.25">
      <c r="A11600" s="45" t="s">
        <v>11625</v>
      </c>
      <c r="B11600" s="46" t="s">
        <v>18931</v>
      </c>
    </row>
    <row r="11601" spans="1:2" x14ac:dyDescent="0.25">
      <c r="A11601" s="45" t="s">
        <v>11626</v>
      </c>
      <c r="B11601" s="46" t="s">
        <v>18932</v>
      </c>
    </row>
    <row r="11602" spans="1:2" x14ac:dyDescent="0.25">
      <c r="A11602" s="45" t="s">
        <v>11627</v>
      </c>
      <c r="B11602" s="46" t="s">
        <v>18933</v>
      </c>
    </row>
    <row r="11603" spans="1:2" x14ac:dyDescent="0.25">
      <c r="A11603" s="45" t="s">
        <v>11628</v>
      </c>
      <c r="B11603" s="46" t="s">
        <v>24465</v>
      </c>
    </row>
    <row r="11604" spans="1:2" x14ac:dyDescent="0.25">
      <c r="A11604" s="45" t="s">
        <v>11629</v>
      </c>
      <c r="B11604" s="46" t="s">
        <v>18934</v>
      </c>
    </row>
    <row r="11605" spans="1:2" x14ac:dyDescent="0.25">
      <c r="A11605" s="45" t="s">
        <v>11630</v>
      </c>
      <c r="B11605" s="46" t="s">
        <v>18935</v>
      </c>
    </row>
    <row r="11606" spans="1:2" x14ac:dyDescent="0.25">
      <c r="A11606" s="45" t="s">
        <v>11631</v>
      </c>
      <c r="B11606" s="46" t="s">
        <v>24466</v>
      </c>
    </row>
    <row r="11607" spans="1:2" x14ac:dyDescent="0.25">
      <c r="A11607" s="45" t="s">
        <v>11632</v>
      </c>
      <c r="B11607" s="46" t="s">
        <v>18936</v>
      </c>
    </row>
    <row r="11608" spans="1:2" x14ac:dyDescent="0.25">
      <c r="A11608" s="45" t="s">
        <v>11633</v>
      </c>
      <c r="B11608" s="46" t="s">
        <v>18937</v>
      </c>
    </row>
    <row r="11609" spans="1:2" x14ac:dyDescent="0.25">
      <c r="A11609" s="45" t="s">
        <v>11634</v>
      </c>
      <c r="B11609" s="46" t="s">
        <v>18938</v>
      </c>
    </row>
    <row r="11610" spans="1:2" x14ac:dyDescent="0.25">
      <c r="A11610" s="45" t="s">
        <v>11635</v>
      </c>
      <c r="B11610" s="46" t="s">
        <v>18939</v>
      </c>
    </row>
    <row r="11611" spans="1:2" x14ac:dyDescent="0.25">
      <c r="A11611" s="45" t="s">
        <v>11636</v>
      </c>
      <c r="B11611" s="46" t="s">
        <v>24467</v>
      </c>
    </row>
    <row r="11612" spans="1:2" x14ac:dyDescent="0.25">
      <c r="A11612" s="45" t="s">
        <v>11637</v>
      </c>
      <c r="B11612" s="46" t="s">
        <v>18940</v>
      </c>
    </row>
    <row r="11613" spans="1:2" x14ac:dyDescent="0.25">
      <c r="A11613" s="45" t="s">
        <v>11638</v>
      </c>
      <c r="B11613" s="46" t="s">
        <v>18941</v>
      </c>
    </row>
    <row r="11614" spans="1:2" x14ac:dyDescent="0.25">
      <c r="A11614" s="45" t="s">
        <v>11639</v>
      </c>
      <c r="B11614" s="46" t="s">
        <v>18942</v>
      </c>
    </row>
    <row r="11615" spans="1:2" x14ac:dyDescent="0.25">
      <c r="A11615" s="45" t="s">
        <v>11640</v>
      </c>
      <c r="B11615" s="46" t="s">
        <v>18943</v>
      </c>
    </row>
    <row r="11616" spans="1:2" x14ac:dyDescent="0.25">
      <c r="A11616" s="45" t="s">
        <v>11641</v>
      </c>
      <c r="B11616" s="46" t="s">
        <v>18944</v>
      </c>
    </row>
    <row r="11617" spans="1:2" x14ac:dyDescent="0.25">
      <c r="A11617" s="45" t="s">
        <v>11642</v>
      </c>
      <c r="B11617" s="46" t="s">
        <v>18945</v>
      </c>
    </row>
    <row r="11618" spans="1:2" x14ac:dyDescent="0.25">
      <c r="A11618" s="45" t="s">
        <v>11643</v>
      </c>
      <c r="B11618" s="46" t="s">
        <v>24468</v>
      </c>
    </row>
    <row r="11619" spans="1:2" x14ac:dyDescent="0.25">
      <c r="A11619" s="45" t="s">
        <v>11644</v>
      </c>
      <c r="B11619" s="46" t="s">
        <v>18946</v>
      </c>
    </row>
    <row r="11620" spans="1:2" x14ac:dyDescent="0.25">
      <c r="A11620" s="45" t="s">
        <v>11645</v>
      </c>
      <c r="B11620" s="46" t="s">
        <v>18947</v>
      </c>
    </row>
    <row r="11621" spans="1:2" x14ac:dyDescent="0.25">
      <c r="A11621" s="45" t="s">
        <v>11646</v>
      </c>
      <c r="B11621" s="46" t="s">
        <v>18948</v>
      </c>
    </row>
    <row r="11622" spans="1:2" x14ac:dyDescent="0.25">
      <c r="A11622" s="45" t="s">
        <v>11647</v>
      </c>
      <c r="B11622" s="46" t="s">
        <v>18949</v>
      </c>
    </row>
    <row r="11623" spans="1:2" x14ac:dyDescent="0.25">
      <c r="A11623" s="45" t="s">
        <v>11648</v>
      </c>
      <c r="B11623" s="46" t="s">
        <v>18950</v>
      </c>
    </row>
    <row r="11624" spans="1:2" x14ac:dyDescent="0.25">
      <c r="A11624" s="45" t="s">
        <v>11649</v>
      </c>
      <c r="B11624" s="46" t="s">
        <v>18951</v>
      </c>
    </row>
    <row r="11625" spans="1:2" x14ac:dyDescent="0.25">
      <c r="A11625" s="45" t="s">
        <v>11650</v>
      </c>
      <c r="B11625" s="46" t="s">
        <v>24469</v>
      </c>
    </row>
    <row r="11626" spans="1:2" x14ac:dyDescent="0.25">
      <c r="A11626" s="45" t="s">
        <v>11651</v>
      </c>
      <c r="B11626" s="46" t="s">
        <v>24470</v>
      </c>
    </row>
    <row r="11627" spans="1:2" x14ac:dyDescent="0.25">
      <c r="A11627" s="45" t="s">
        <v>11652</v>
      </c>
      <c r="B11627" s="46" t="s">
        <v>18952</v>
      </c>
    </row>
    <row r="11628" spans="1:2" x14ac:dyDescent="0.25">
      <c r="A11628" s="45" t="s">
        <v>11653</v>
      </c>
      <c r="B11628" s="46" t="s">
        <v>18953</v>
      </c>
    </row>
    <row r="11629" spans="1:2" x14ac:dyDescent="0.25">
      <c r="A11629" s="45" t="s">
        <v>11654</v>
      </c>
      <c r="B11629" s="46" t="s">
        <v>18954</v>
      </c>
    </row>
    <row r="11630" spans="1:2" x14ac:dyDescent="0.25">
      <c r="A11630" s="45" t="s">
        <v>11655</v>
      </c>
      <c r="B11630" s="46" t="s">
        <v>18955</v>
      </c>
    </row>
    <row r="11631" spans="1:2" x14ac:dyDescent="0.25">
      <c r="A11631" s="45" t="s">
        <v>11656</v>
      </c>
      <c r="B11631" s="46" t="s">
        <v>18956</v>
      </c>
    </row>
    <row r="11632" spans="1:2" x14ac:dyDescent="0.25">
      <c r="A11632" s="45" t="s">
        <v>11657</v>
      </c>
      <c r="B11632" s="46" t="s">
        <v>24471</v>
      </c>
    </row>
    <row r="11633" spans="1:2" x14ac:dyDescent="0.25">
      <c r="A11633" s="45" t="s">
        <v>11658</v>
      </c>
      <c r="B11633" s="46" t="s">
        <v>24472</v>
      </c>
    </row>
    <row r="11634" spans="1:2" x14ac:dyDescent="0.25">
      <c r="A11634" s="45" t="s">
        <v>11659</v>
      </c>
      <c r="B11634" s="46" t="s">
        <v>24473</v>
      </c>
    </row>
    <row r="11635" spans="1:2" x14ac:dyDescent="0.25">
      <c r="A11635" s="45" t="s">
        <v>11660</v>
      </c>
      <c r="B11635" s="46" t="s">
        <v>24474</v>
      </c>
    </row>
    <row r="11636" spans="1:2" x14ac:dyDescent="0.25">
      <c r="A11636" s="45" t="s">
        <v>11661</v>
      </c>
      <c r="B11636" s="46" t="s">
        <v>24475</v>
      </c>
    </row>
    <row r="11637" spans="1:2" x14ac:dyDescent="0.25">
      <c r="A11637" s="45" t="s">
        <v>11662</v>
      </c>
      <c r="B11637" s="46" t="s">
        <v>24476</v>
      </c>
    </row>
    <row r="11638" spans="1:2" x14ac:dyDescent="0.25">
      <c r="A11638" s="45" t="s">
        <v>11663</v>
      </c>
      <c r="B11638" s="46" t="s">
        <v>24477</v>
      </c>
    </row>
    <row r="11639" spans="1:2" x14ac:dyDescent="0.25">
      <c r="A11639" s="45" t="s">
        <v>11664</v>
      </c>
      <c r="B11639" s="46" t="s">
        <v>24478</v>
      </c>
    </row>
    <row r="11640" spans="1:2" x14ac:dyDescent="0.25">
      <c r="A11640" s="45" t="s">
        <v>11665</v>
      </c>
      <c r="B11640" s="46" t="s">
        <v>24479</v>
      </c>
    </row>
    <row r="11641" spans="1:2" x14ac:dyDescent="0.25">
      <c r="A11641" s="45" t="s">
        <v>11666</v>
      </c>
      <c r="B11641" s="46" t="s">
        <v>24480</v>
      </c>
    </row>
    <row r="11642" spans="1:2" x14ac:dyDescent="0.25">
      <c r="A11642" s="45" t="s">
        <v>11667</v>
      </c>
      <c r="B11642" s="46" t="s">
        <v>24481</v>
      </c>
    </row>
    <row r="11643" spans="1:2" x14ac:dyDescent="0.25">
      <c r="A11643" s="45" t="s">
        <v>11668</v>
      </c>
      <c r="B11643" s="46" t="s">
        <v>24482</v>
      </c>
    </row>
    <row r="11644" spans="1:2" x14ac:dyDescent="0.25">
      <c r="A11644" s="45" t="s">
        <v>11669</v>
      </c>
      <c r="B11644" s="46" t="s">
        <v>24483</v>
      </c>
    </row>
    <row r="11645" spans="1:2" x14ac:dyDescent="0.25">
      <c r="A11645" s="45" t="s">
        <v>11670</v>
      </c>
      <c r="B11645" s="46" t="s">
        <v>24484</v>
      </c>
    </row>
    <row r="11646" spans="1:2" x14ac:dyDescent="0.25">
      <c r="A11646" s="45" t="s">
        <v>11671</v>
      </c>
      <c r="B11646" s="46" t="s">
        <v>24485</v>
      </c>
    </row>
    <row r="11647" spans="1:2" x14ac:dyDescent="0.25">
      <c r="A11647" s="45" t="s">
        <v>11672</v>
      </c>
      <c r="B11647" s="46" t="s">
        <v>24486</v>
      </c>
    </row>
    <row r="11648" spans="1:2" x14ac:dyDescent="0.25">
      <c r="A11648" s="45" t="s">
        <v>11673</v>
      </c>
      <c r="B11648" s="46" t="s">
        <v>24487</v>
      </c>
    </row>
    <row r="11649" spans="1:2" x14ac:dyDescent="0.25">
      <c r="A11649" s="45" t="s">
        <v>11674</v>
      </c>
      <c r="B11649" s="46" t="s">
        <v>24488</v>
      </c>
    </row>
    <row r="11650" spans="1:2" x14ac:dyDescent="0.25">
      <c r="A11650" s="45" t="s">
        <v>11675</v>
      </c>
      <c r="B11650" s="46" t="s">
        <v>24489</v>
      </c>
    </row>
    <row r="11651" spans="1:2" x14ac:dyDescent="0.25">
      <c r="A11651" s="45" t="s">
        <v>11676</v>
      </c>
      <c r="B11651" s="46" t="s">
        <v>24490</v>
      </c>
    </row>
    <row r="11652" spans="1:2" x14ac:dyDescent="0.25">
      <c r="A11652" s="45" t="s">
        <v>11677</v>
      </c>
      <c r="B11652" s="46" t="s">
        <v>24491</v>
      </c>
    </row>
    <row r="11653" spans="1:2" x14ac:dyDescent="0.25">
      <c r="A11653" s="45" t="s">
        <v>11678</v>
      </c>
      <c r="B11653" s="46" t="s">
        <v>24492</v>
      </c>
    </row>
    <row r="11654" spans="1:2" x14ac:dyDescent="0.25">
      <c r="A11654" s="45" t="s">
        <v>11679</v>
      </c>
      <c r="B11654" s="46" t="s">
        <v>24493</v>
      </c>
    </row>
    <row r="11655" spans="1:2" x14ac:dyDescent="0.25">
      <c r="A11655" s="45" t="s">
        <v>11680</v>
      </c>
      <c r="B11655" s="46" t="s">
        <v>24494</v>
      </c>
    </row>
    <row r="11656" spans="1:2" x14ac:dyDescent="0.25">
      <c r="A11656" s="45" t="s">
        <v>11681</v>
      </c>
      <c r="B11656" s="46" t="s">
        <v>24495</v>
      </c>
    </row>
    <row r="11657" spans="1:2" x14ac:dyDescent="0.25">
      <c r="A11657" s="45" t="s">
        <v>11682</v>
      </c>
      <c r="B11657" s="46" t="s">
        <v>24496</v>
      </c>
    </row>
    <row r="11658" spans="1:2" x14ac:dyDescent="0.25">
      <c r="A11658" s="45" t="s">
        <v>11683</v>
      </c>
      <c r="B11658" s="46" t="s">
        <v>24497</v>
      </c>
    </row>
    <row r="11659" spans="1:2" x14ac:dyDescent="0.25">
      <c r="A11659" s="45" t="s">
        <v>11684</v>
      </c>
      <c r="B11659" s="46" t="s">
        <v>24498</v>
      </c>
    </row>
    <row r="11660" spans="1:2" x14ac:dyDescent="0.25">
      <c r="A11660" s="45" t="s">
        <v>11685</v>
      </c>
      <c r="B11660" s="46" t="s">
        <v>24499</v>
      </c>
    </row>
    <row r="11661" spans="1:2" x14ac:dyDescent="0.25">
      <c r="A11661" s="45" t="s">
        <v>11686</v>
      </c>
      <c r="B11661" s="46" t="s">
        <v>24500</v>
      </c>
    </row>
    <row r="11662" spans="1:2" x14ac:dyDescent="0.25">
      <c r="A11662" s="45" t="s">
        <v>11687</v>
      </c>
      <c r="B11662" s="46" t="s">
        <v>24501</v>
      </c>
    </row>
    <row r="11663" spans="1:2" x14ac:dyDescent="0.25">
      <c r="A11663" s="45" t="s">
        <v>11688</v>
      </c>
      <c r="B11663" s="46" t="s">
        <v>24502</v>
      </c>
    </row>
    <row r="11664" spans="1:2" x14ac:dyDescent="0.25">
      <c r="A11664" s="45" t="s">
        <v>11689</v>
      </c>
      <c r="B11664" s="46" t="s">
        <v>24503</v>
      </c>
    </row>
    <row r="11665" spans="1:2" x14ac:dyDescent="0.25">
      <c r="A11665" s="45" t="s">
        <v>11690</v>
      </c>
      <c r="B11665" s="46" t="s">
        <v>24504</v>
      </c>
    </row>
    <row r="11666" spans="1:2" x14ac:dyDescent="0.25">
      <c r="A11666" s="45" t="s">
        <v>11691</v>
      </c>
      <c r="B11666" s="46" t="s">
        <v>24505</v>
      </c>
    </row>
    <row r="11667" spans="1:2" x14ac:dyDescent="0.25">
      <c r="A11667" s="45" t="s">
        <v>11692</v>
      </c>
      <c r="B11667" s="46" t="s">
        <v>24506</v>
      </c>
    </row>
    <row r="11668" spans="1:2" x14ac:dyDescent="0.25">
      <c r="A11668" s="45" t="s">
        <v>11693</v>
      </c>
      <c r="B11668" s="46" t="s">
        <v>24507</v>
      </c>
    </row>
    <row r="11669" spans="1:2" x14ac:dyDescent="0.25">
      <c r="A11669" s="45" t="s">
        <v>11694</v>
      </c>
      <c r="B11669" s="46" t="s">
        <v>24508</v>
      </c>
    </row>
    <row r="11670" spans="1:2" x14ac:dyDescent="0.25">
      <c r="A11670" s="45" t="s">
        <v>11695</v>
      </c>
      <c r="B11670" s="46" t="s">
        <v>24509</v>
      </c>
    </row>
    <row r="11671" spans="1:2" x14ac:dyDescent="0.25">
      <c r="A11671" s="45" t="s">
        <v>11696</v>
      </c>
      <c r="B11671" s="46" t="s">
        <v>24510</v>
      </c>
    </row>
    <row r="11672" spans="1:2" x14ac:dyDescent="0.25">
      <c r="A11672" s="45" t="s">
        <v>11697</v>
      </c>
      <c r="B11672" s="46" t="s">
        <v>24511</v>
      </c>
    </row>
    <row r="11673" spans="1:2" x14ac:dyDescent="0.25">
      <c r="A11673" s="45" t="s">
        <v>11698</v>
      </c>
      <c r="B11673" s="46" t="s">
        <v>24512</v>
      </c>
    </row>
    <row r="11674" spans="1:2" x14ac:dyDescent="0.25">
      <c r="A11674" s="45" t="s">
        <v>11699</v>
      </c>
      <c r="B11674" s="46" t="s">
        <v>24513</v>
      </c>
    </row>
    <row r="11675" spans="1:2" x14ac:dyDescent="0.25">
      <c r="A11675" s="45" t="s">
        <v>11700</v>
      </c>
      <c r="B11675" s="46" t="s">
        <v>24514</v>
      </c>
    </row>
    <row r="11676" spans="1:2" x14ac:dyDescent="0.25">
      <c r="A11676" s="45" t="s">
        <v>11701</v>
      </c>
      <c r="B11676" s="46" t="s">
        <v>18958</v>
      </c>
    </row>
    <row r="11677" spans="1:2" x14ac:dyDescent="0.25">
      <c r="A11677" s="45" t="s">
        <v>11702</v>
      </c>
      <c r="B11677" s="46" t="s">
        <v>18959</v>
      </c>
    </row>
    <row r="11678" spans="1:2" x14ac:dyDescent="0.25">
      <c r="A11678" s="45" t="s">
        <v>11703</v>
      </c>
      <c r="B11678" s="46" t="s">
        <v>24515</v>
      </c>
    </row>
    <row r="11679" spans="1:2" x14ac:dyDescent="0.25">
      <c r="A11679" s="45" t="s">
        <v>11704</v>
      </c>
      <c r="B11679" s="46" t="s">
        <v>24516</v>
      </c>
    </row>
    <row r="11680" spans="1:2" x14ac:dyDescent="0.25">
      <c r="A11680" s="45" t="s">
        <v>11705</v>
      </c>
      <c r="B11680" s="46" t="s">
        <v>18960</v>
      </c>
    </row>
    <row r="11681" spans="1:2" x14ac:dyDescent="0.25">
      <c r="A11681" s="45" t="s">
        <v>11706</v>
      </c>
      <c r="B11681" s="46" t="s">
        <v>24517</v>
      </c>
    </row>
    <row r="11682" spans="1:2" x14ac:dyDescent="0.25">
      <c r="A11682" s="45" t="s">
        <v>11707</v>
      </c>
      <c r="B11682" s="46" t="s">
        <v>18961</v>
      </c>
    </row>
    <row r="11683" spans="1:2" x14ac:dyDescent="0.25">
      <c r="A11683" s="45" t="s">
        <v>11708</v>
      </c>
      <c r="B11683" s="46" t="s">
        <v>18962</v>
      </c>
    </row>
    <row r="11684" spans="1:2" x14ac:dyDescent="0.25">
      <c r="A11684" s="45" t="s">
        <v>11709</v>
      </c>
      <c r="B11684" s="46" t="s">
        <v>18963</v>
      </c>
    </row>
    <row r="11685" spans="1:2" x14ac:dyDescent="0.25">
      <c r="A11685" s="45" t="s">
        <v>11710</v>
      </c>
      <c r="B11685" s="46" t="s">
        <v>24518</v>
      </c>
    </row>
    <row r="11686" spans="1:2" x14ac:dyDescent="0.25">
      <c r="A11686" s="45" t="s">
        <v>11711</v>
      </c>
      <c r="B11686" s="46" t="s">
        <v>24519</v>
      </c>
    </row>
    <row r="11687" spans="1:2" x14ac:dyDescent="0.25">
      <c r="A11687" s="45" t="s">
        <v>11712</v>
      </c>
      <c r="B11687" s="46" t="s">
        <v>24520</v>
      </c>
    </row>
    <row r="11688" spans="1:2" x14ac:dyDescent="0.25">
      <c r="A11688" s="45" t="s">
        <v>11713</v>
      </c>
      <c r="B11688" s="46" t="s">
        <v>24521</v>
      </c>
    </row>
    <row r="11689" spans="1:2" x14ac:dyDescent="0.25">
      <c r="A11689" s="45" t="s">
        <v>11714</v>
      </c>
      <c r="B11689" s="46" t="s">
        <v>24522</v>
      </c>
    </row>
    <row r="11690" spans="1:2" x14ac:dyDescent="0.25">
      <c r="A11690" s="45" t="s">
        <v>11715</v>
      </c>
      <c r="B11690" s="46" t="s">
        <v>24523</v>
      </c>
    </row>
    <row r="11691" spans="1:2" x14ac:dyDescent="0.25">
      <c r="A11691" s="45" t="s">
        <v>11716</v>
      </c>
      <c r="B11691" s="46" t="s">
        <v>24524</v>
      </c>
    </row>
    <row r="11692" spans="1:2" x14ac:dyDescent="0.25">
      <c r="A11692" s="45" t="s">
        <v>11717</v>
      </c>
      <c r="B11692" s="46" t="s">
        <v>24525</v>
      </c>
    </row>
    <row r="11693" spans="1:2" x14ac:dyDescent="0.25">
      <c r="A11693" s="45" t="s">
        <v>11718</v>
      </c>
      <c r="B11693" s="46" t="s">
        <v>24526</v>
      </c>
    </row>
    <row r="11694" spans="1:2" x14ac:dyDescent="0.25">
      <c r="A11694" s="45" t="s">
        <v>11719</v>
      </c>
      <c r="B11694" s="46" t="s">
        <v>24527</v>
      </c>
    </row>
    <row r="11695" spans="1:2" x14ac:dyDescent="0.25">
      <c r="A11695" s="45" t="s">
        <v>11720</v>
      </c>
      <c r="B11695" s="46" t="s">
        <v>24528</v>
      </c>
    </row>
    <row r="11696" spans="1:2" x14ac:dyDescent="0.25">
      <c r="A11696" s="45" t="s">
        <v>11721</v>
      </c>
      <c r="B11696" s="46" t="s">
        <v>24529</v>
      </c>
    </row>
    <row r="11697" spans="1:2" x14ac:dyDescent="0.25">
      <c r="A11697" s="45" t="s">
        <v>11722</v>
      </c>
      <c r="B11697" s="46" t="s">
        <v>24530</v>
      </c>
    </row>
    <row r="11698" spans="1:2" x14ac:dyDescent="0.25">
      <c r="A11698" s="45" t="s">
        <v>11723</v>
      </c>
      <c r="B11698" s="46" t="s">
        <v>24531</v>
      </c>
    </row>
    <row r="11699" spans="1:2" x14ac:dyDescent="0.25">
      <c r="A11699" s="45" t="s">
        <v>11724</v>
      </c>
      <c r="B11699" s="46" t="s">
        <v>24532</v>
      </c>
    </row>
    <row r="11700" spans="1:2" x14ac:dyDescent="0.25">
      <c r="A11700" s="45" t="s">
        <v>11725</v>
      </c>
      <c r="B11700" s="46" t="s">
        <v>24533</v>
      </c>
    </row>
    <row r="11701" spans="1:2" x14ac:dyDescent="0.25">
      <c r="A11701" s="45" t="s">
        <v>11726</v>
      </c>
      <c r="B11701" s="46" t="s">
        <v>24534</v>
      </c>
    </row>
    <row r="11702" spans="1:2" x14ac:dyDescent="0.25">
      <c r="A11702" s="45" t="s">
        <v>11727</v>
      </c>
      <c r="B11702" s="46" t="s">
        <v>24535</v>
      </c>
    </row>
    <row r="11703" spans="1:2" x14ac:dyDescent="0.25">
      <c r="A11703" s="45" t="s">
        <v>11728</v>
      </c>
      <c r="B11703" s="46" t="s">
        <v>24536</v>
      </c>
    </row>
    <row r="11704" spans="1:2" x14ac:dyDescent="0.25">
      <c r="A11704" s="45" t="s">
        <v>11729</v>
      </c>
      <c r="B11704" s="46" t="s">
        <v>24537</v>
      </c>
    </row>
    <row r="11705" spans="1:2" x14ac:dyDescent="0.25">
      <c r="A11705" s="45" t="s">
        <v>11730</v>
      </c>
      <c r="B11705" s="46" t="s">
        <v>24538</v>
      </c>
    </row>
    <row r="11706" spans="1:2" x14ac:dyDescent="0.25">
      <c r="A11706" s="45" t="s">
        <v>11731</v>
      </c>
      <c r="B11706" s="46" t="s">
        <v>24539</v>
      </c>
    </row>
    <row r="11707" spans="1:2" x14ac:dyDescent="0.25">
      <c r="A11707" s="45" t="s">
        <v>11732</v>
      </c>
      <c r="B11707" s="46" t="s">
        <v>24540</v>
      </c>
    </row>
    <row r="11708" spans="1:2" x14ac:dyDescent="0.25">
      <c r="A11708" s="45" t="s">
        <v>11733</v>
      </c>
      <c r="B11708" s="46" t="s">
        <v>24541</v>
      </c>
    </row>
    <row r="11709" spans="1:2" x14ac:dyDescent="0.25">
      <c r="A11709" s="45" t="s">
        <v>11734</v>
      </c>
      <c r="B11709" s="46" t="s">
        <v>24542</v>
      </c>
    </row>
    <row r="11710" spans="1:2" x14ac:dyDescent="0.25">
      <c r="A11710" s="45" t="s">
        <v>11735</v>
      </c>
      <c r="B11710" s="46" t="s">
        <v>24543</v>
      </c>
    </row>
    <row r="11711" spans="1:2" x14ac:dyDescent="0.25">
      <c r="A11711" s="45" t="s">
        <v>11736</v>
      </c>
      <c r="B11711" s="46" t="s">
        <v>24544</v>
      </c>
    </row>
    <row r="11712" spans="1:2" x14ac:dyDescent="0.25">
      <c r="A11712" s="45" t="s">
        <v>11737</v>
      </c>
      <c r="B11712" s="46" t="s">
        <v>24545</v>
      </c>
    </row>
    <row r="11713" spans="1:2" x14ac:dyDescent="0.25">
      <c r="A11713" s="45" t="s">
        <v>11738</v>
      </c>
      <c r="B11713" s="46" t="s">
        <v>24546</v>
      </c>
    </row>
    <row r="11714" spans="1:2" x14ac:dyDescent="0.25">
      <c r="A11714" s="45" t="s">
        <v>11739</v>
      </c>
      <c r="B11714" s="46" t="s">
        <v>24547</v>
      </c>
    </row>
    <row r="11715" spans="1:2" x14ac:dyDescent="0.25">
      <c r="A11715" s="45" t="s">
        <v>11740</v>
      </c>
      <c r="B11715" s="46" t="s">
        <v>24548</v>
      </c>
    </row>
    <row r="11716" spans="1:2" x14ac:dyDescent="0.25">
      <c r="A11716" s="45" t="s">
        <v>11741</v>
      </c>
      <c r="B11716" s="46" t="s">
        <v>24549</v>
      </c>
    </row>
    <row r="11717" spans="1:2" x14ac:dyDescent="0.25">
      <c r="A11717" s="45" t="s">
        <v>11742</v>
      </c>
      <c r="B11717" s="46" t="s">
        <v>24550</v>
      </c>
    </row>
    <row r="11718" spans="1:2" x14ac:dyDescent="0.25">
      <c r="A11718" s="45" t="s">
        <v>11743</v>
      </c>
      <c r="B11718" s="46" t="s">
        <v>24551</v>
      </c>
    </row>
    <row r="11719" spans="1:2" x14ac:dyDescent="0.25">
      <c r="A11719" s="45" t="s">
        <v>11744</v>
      </c>
      <c r="B11719" s="46" t="s">
        <v>24552</v>
      </c>
    </row>
    <row r="11720" spans="1:2" x14ac:dyDescent="0.25">
      <c r="A11720" s="45" t="s">
        <v>11745</v>
      </c>
      <c r="B11720" s="46" t="s">
        <v>24553</v>
      </c>
    </row>
    <row r="11721" spans="1:2" x14ac:dyDescent="0.25">
      <c r="A11721" s="45" t="s">
        <v>11746</v>
      </c>
      <c r="B11721" s="46" t="s">
        <v>24554</v>
      </c>
    </row>
    <row r="11722" spans="1:2" x14ac:dyDescent="0.25">
      <c r="A11722" s="45" t="s">
        <v>11747</v>
      </c>
      <c r="B11722" s="46" t="s">
        <v>24555</v>
      </c>
    </row>
    <row r="11723" spans="1:2" x14ac:dyDescent="0.25">
      <c r="A11723" s="45" t="s">
        <v>11748</v>
      </c>
      <c r="B11723" s="46" t="s">
        <v>24556</v>
      </c>
    </row>
    <row r="11724" spans="1:2" x14ac:dyDescent="0.25">
      <c r="A11724" s="45" t="s">
        <v>11749</v>
      </c>
      <c r="B11724" s="46" t="s">
        <v>24557</v>
      </c>
    </row>
    <row r="11725" spans="1:2" x14ac:dyDescent="0.25">
      <c r="A11725" s="45" t="s">
        <v>11750</v>
      </c>
      <c r="B11725" s="46" t="s">
        <v>24558</v>
      </c>
    </row>
    <row r="11726" spans="1:2" x14ac:dyDescent="0.25">
      <c r="A11726" s="45" t="s">
        <v>11751</v>
      </c>
      <c r="B11726" s="46" t="s">
        <v>24559</v>
      </c>
    </row>
    <row r="11727" spans="1:2" x14ac:dyDescent="0.25">
      <c r="A11727" s="45" t="s">
        <v>11752</v>
      </c>
      <c r="B11727" s="46" t="s">
        <v>24560</v>
      </c>
    </row>
    <row r="11728" spans="1:2" x14ac:dyDescent="0.25">
      <c r="A11728" s="45" t="s">
        <v>11753</v>
      </c>
      <c r="B11728" s="46" t="s">
        <v>24561</v>
      </c>
    </row>
    <row r="11729" spans="1:2" x14ac:dyDescent="0.25">
      <c r="A11729" s="45" t="s">
        <v>11754</v>
      </c>
      <c r="B11729" s="46" t="s">
        <v>24562</v>
      </c>
    </row>
    <row r="11730" spans="1:2" x14ac:dyDescent="0.25">
      <c r="A11730" s="45" t="s">
        <v>11755</v>
      </c>
      <c r="B11730" s="46" t="s">
        <v>24563</v>
      </c>
    </row>
    <row r="11731" spans="1:2" x14ac:dyDescent="0.25">
      <c r="A11731" s="45" t="s">
        <v>11756</v>
      </c>
      <c r="B11731" s="46" t="s">
        <v>24564</v>
      </c>
    </row>
    <row r="11732" spans="1:2" x14ac:dyDescent="0.25">
      <c r="A11732" s="45" t="s">
        <v>11757</v>
      </c>
      <c r="B11732" s="46" t="s">
        <v>24565</v>
      </c>
    </row>
    <row r="11733" spans="1:2" x14ac:dyDescent="0.25">
      <c r="A11733" s="45" t="s">
        <v>11758</v>
      </c>
      <c r="B11733" s="46" t="s">
        <v>24566</v>
      </c>
    </row>
    <row r="11734" spans="1:2" x14ac:dyDescent="0.25">
      <c r="A11734" s="45" t="s">
        <v>11759</v>
      </c>
      <c r="B11734" s="46" t="s">
        <v>24567</v>
      </c>
    </row>
    <row r="11735" spans="1:2" x14ac:dyDescent="0.25">
      <c r="A11735" s="45" t="s">
        <v>11760</v>
      </c>
      <c r="B11735" s="46" t="s">
        <v>24568</v>
      </c>
    </row>
    <row r="11736" spans="1:2" x14ac:dyDescent="0.25">
      <c r="A11736" s="45" t="s">
        <v>11761</v>
      </c>
      <c r="B11736" s="46" t="s">
        <v>24569</v>
      </c>
    </row>
    <row r="11737" spans="1:2" x14ac:dyDescent="0.25">
      <c r="A11737" s="45" t="s">
        <v>11762</v>
      </c>
      <c r="B11737" s="46" t="s">
        <v>24570</v>
      </c>
    </row>
    <row r="11738" spans="1:2" x14ac:dyDescent="0.25">
      <c r="A11738" s="45" t="s">
        <v>11763</v>
      </c>
      <c r="B11738" s="46" t="s">
        <v>24571</v>
      </c>
    </row>
    <row r="11739" spans="1:2" x14ac:dyDescent="0.25">
      <c r="A11739" s="45" t="s">
        <v>11764</v>
      </c>
      <c r="B11739" s="46" t="s">
        <v>24572</v>
      </c>
    </row>
    <row r="11740" spans="1:2" x14ac:dyDescent="0.25">
      <c r="A11740" s="45" t="s">
        <v>11765</v>
      </c>
      <c r="B11740" s="46" t="s">
        <v>24573</v>
      </c>
    </row>
    <row r="11741" spans="1:2" x14ac:dyDescent="0.25">
      <c r="A11741" s="45" t="s">
        <v>11766</v>
      </c>
      <c r="B11741" s="46" t="s">
        <v>24574</v>
      </c>
    </row>
    <row r="11742" spans="1:2" x14ac:dyDescent="0.25">
      <c r="A11742" s="45" t="s">
        <v>11767</v>
      </c>
      <c r="B11742" s="46" t="s">
        <v>24575</v>
      </c>
    </row>
    <row r="11743" spans="1:2" x14ac:dyDescent="0.25">
      <c r="A11743" s="45" t="s">
        <v>11768</v>
      </c>
      <c r="B11743" s="46" t="s">
        <v>24576</v>
      </c>
    </row>
    <row r="11744" spans="1:2" x14ac:dyDescent="0.25">
      <c r="A11744" s="45" t="s">
        <v>11769</v>
      </c>
      <c r="B11744" s="46" t="s">
        <v>24577</v>
      </c>
    </row>
    <row r="11745" spans="1:2" x14ac:dyDescent="0.25">
      <c r="A11745" s="45" t="s">
        <v>11770</v>
      </c>
      <c r="B11745" s="46" t="s">
        <v>24578</v>
      </c>
    </row>
    <row r="11746" spans="1:2" x14ac:dyDescent="0.25">
      <c r="A11746" s="45" t="s">
        <v>11771</v>
      </c>
      <c r="B11746" s="46" t="s">
        <v>24579</v>
      </c>
    </row>
    <row r="11747" spans="1:2" x14ac:dyDescent="0.25">
      <c r="A11747" s="45" t="s">
        <v>11772</v>
      </c>
      <c r="B11747" s="46" t="s">
        <v>24580</v>
      </c>
    </row>
    <row r="11748" spans="1:2" x14ac:dyDescent="0.25">
      <c r="A11748" s="45" t="s">
        <v>11773</v>
      </c>
      <c r="B11748" s="46" t="s">
        <v>24581</v>
      </c>
    </row>
    <row r="11749" spans="1:2" x14ac:dyDescent="0.25">
      <c r="A11749" s="45" t="s">
        <v>11774</v>
      </c>
      <c r="B11749" s="46" t="s">
        <v>24582</v>
      </c>
    </row>
    <row r="11750" spans="1:2" x14ac:dyDescent="0.25">
      <c r="A11750" s="45" t="s">
        <v>11775</v>
      </c>
      <c r="B11750" s="46" t="s">
        <v>24583</v>
      </c>
    </row>
    <row r="11751" spans="1:2" x14ac:dyDescent="0.25">
      <c r="A11751" s="45" t="s">
        <v>11776</v>
      </c>
      <c r="B11751" s="46" t="s">
        <v>24584</v>
      </c>
    </row>
    <row r="11752" spans="1:2" x14ac:dyDescent="0.25">
      <c r="A11752" s="45" t="s">
        <v>11777</v>
      </c>
      <c r="B11752" s="46" t="s">
        <v>24585</v>
      </c>
    </row>
    <row r="11753" spans="1:2" x14ac:dyDescent="0.25">
      <c r="A11753" s="45" t="s">
        <v>11778</v>
      </c>
      <c r="B11753" s="46" t="s">
        <v>24586</v>
      </c>
    </row>
    <row r="11754" spans="1:2" x14ac:dyDescent="0.25">
      <c r="A11754" s="45" t="s">
        <v>11779</v>
      </c>
      <c r="B11754" s="46" t="s">
        <v>18964</v>
      </c>
    </row>
    <row r="11755" spans="1:2" x14ac:dyDescent="0.25">
      <c r="A11755" s="45" t="s">
        <v>11780</v>
      </c>
      <c r="B11755" s="46" t="s">
        <v>18965</v>
      </c>
    </row>
    <row r="11756" spans="1:2" x14ac:dyDescent="0.25">
      <c r="A11756" s="45" t="s">
        <v>11781</v>
      </c>
      <c r="B11756" s="46" t="s">
        <v>18966</v>
      </c>
    </row>
    <row r="11757" spans="1:2" x14ac:dyDescent="0.25">
      <c r="A11757" s="45" t="s">
        <v>11782</v>
      </c>
      <c r="B11757" s="46" t="s">
        <v>18967</v>
      </c>
    </row>
    <row r="11758" spans="1:2" x14ac:dyDescent="0.25">
      <c r="A11758" s="45" t="s">
        <v>11783</v>
      </c>
      <c r="B11758" s="46" t="s">
        <v>18968</v>
      </c>
    </row>
    <row r="11759" spans="1:2" x14ac:dyDescent="0.25">
      <c r="A11759" s="45" t="s">
        <v>11784</v>
      </c>
      <c r="B11759" s="46" t="s">
        <v>18969</v>
      </c>
    </row>
    <row r="11760" spans="1:2" x14ac:dyDescent="0.25">
      <c r="A11760" s="45" t="s">
        <v>11785</v>
      </c>
      <c r="B11760" s="46" t="s">
        <v>18970</v>
      </c>
    </row>
    <row r="11761" spans="1:2" x14ac:dyDescent="0.25">
      <c r="A11761" s="45" t="s">
        <v>11786</v>
      </c>
      <c r="B11761" s="46" t="s">
        <v>18971</v>
      </c>
    </row>
    <row r="11762" spans="1:2" x14ac:dyDescent="0.25">
      <c r="A11762" s="45" t="s">
        <v>11787</v>
      </c>
      <c r="B11762" s="46" t="s">
        <v>18972</v>
      </c>
    </row>
    <row r="11763" spans="1:2" x14ac:dyDescent="0.25">
      <c r="A11763" s="45" t="s">
        <v>11788</v>
      </c>
      <c r="B11763" s="46" t="s">
        <v>18973</v>
      </c>
    </row>
    <row r="11764" spans="1:2" x14ac:dyDescent="0.25">
      <c r="A11764" s="45" t="s">
        <v>11789</v>
      </c>
      <c r="B11764" s="46" t="s">
        <v>18974</v>
      </c>
    </row>
    <row r="11765" spans="1:2" x14ac:dyDescent="0.25">
      <c r="A11765" s="45" t="s">
        <v>11790</v>
      </c>
      <c r="B11765" s="46" t="s">
        <v>18975</v>
      </c>
    </row>
    <row r="11766" spans="1:2" x14ac:dyDescent="0.25">
      <c r="A11766" s="45" t="s">
        <v>11791</v>
      </c>
      <c r="B11766" s="46" t="s">
        <v>18976</v>
      </c>
    </row>
    <row r="11767" spans="1:2" x14ac:dyDescent="0.25">
      <c r="A11767" s="45" t="s">
        <v>11792</v>
      </c>
      <c r="B11767" s="46" t="s">
        <v>18977</v>
      </c>
    </row>
    <row r="11768" spans="1:2" x14ac:dyDescent="0.25">
      <c r="A11768" s="45" t="s">
        <v>11793</v>
      </c>
      <c r="B11768" s="46" t="s">
        <v>18978</v>
      </c>
    </row>
    <row r="11769" spans="1:2" x14ac:dyDescent="0.25">
      <c r="A11769" s="45" t="s">
        <v>11794</v>
      </c>
      <c r="B11769" s="46" t="s">
        <v>18979</v>
      </c>
    </row>
    <row r="11770" spans="1:2" x14ac:dyDescent="0.25">
      <c r="A11770" s="45" t="s">
        <v>11795</v>
      </c>
      <c r="B11770" s="46" t="s">
        <v>18980</v>
      </c>
    </row>
    <row r="11771" spans="1:2" x14ac:dyDescent="0.25">
      <c r="A11771" s="45" t="s">
        <v>11796</v>
      </c>
      <c r="B11771" s="46" t="s">
        <v>18981</v>
      </c>
    </row>
    <row r="11772" spans="1:2" x14ac:dyDescent="0.25">
      <c r="A11772" s="45" t="s">
        <v>11797</v>
      </c>
      <c r="B11772" s="46" t="s">
        <v>18982</v>
      </c>
    </row>
    <row r="11773" spans="1:2" x14ac:dyDescent="0.25">
      <c r="A11773" s="45" t="s">
        <v>11798</v>
      </c>
      <c r="B11773" s="46" t="s">
        <v>18983</v>
      </c>
    </row>
    <row r="11774" spans="1:2" x14ac:dyDescent="0.25">
      <c r="A11774" s="45" t="s">
        <v>11799</v>
      </c>
      <c r="B11774" s="46" t="s">
        <v>18984</v>
      </c>
    </row>
    <row r="11775" spans="1:2" x14ac:dyDescent="0.25">
      <c r="A11775" s="45" t="s">
        <v>11800</v>
      </c>
      <c r="B11775" s="46" t="s">
        <v>24587</v>
      </c>
    </row>
    <row r="11776" spans="1:2" x14ac:dyDescent="0.25">
      <c r="A11776" s="45" t="s">
        <v>11801</v>
      </c>
      <c r="B11776" s="46" t="s">
        <v>24588</v>
      </c>
    </row>
    <row r="11777" spans="1:2" x14ac:dyDescent="0.25">
      <c r="A11777" s="45" t="s">
        <v>11802</v>
      </c>
      <c r="B11777" s="46" t="s">
        <v>24589</v>
      </c>
    </row>
    <row r="11778" spans="1:2" x14ac:dyDescent="0.25">
      <c r="A11778" s="45" t="s">
        <v>11803</v>
      </c>
      <c r="B11778" s="46" t="s">
        <v>24590</v>
      </c>
    </row>
    <row r="11779" spans="1:2" x14ac:dyDescent="0.25">
      <c r="A11779" s="45" t="s">
        <v>11804</v>
      </c>
      <c r="B11779" s="46" t="s">
        <v>18985</v>
      </c>
    </row>
    <row r="11780" spans="1:2" x14ac:dyDescent="0.25">
      <c r="A11780" s="45" t="s">
        <v>11805</v>
      </c>
      <c r="B11780" s="46" t="s">
        <v>18986</v>
      </c>
    </row>
    <row r="11781" spans="1:2" x14ac:dyDescent="0.25">
      <c r="A11781" s="45" t="s">
        <v>11806</v>
      </c>
      <c r="B11781" s="46" t="s">
        <v>18987</v>
      </c>
    </row>
    <row r="11782" spans="1:2" x14ac:dyDescent="0.25">
      <c r="A11782" s="45" t="s">
        <v>11807</v>
      </c>
      <c r="B11782" s="46" t="s">
        <v>24591</v>
      </c>
    </row>
    <row r="11783" spans="1:2" x14ac:dyDescent="0.25">
      <c r="A11783" s="45" t="s">
        <v>11808</v>
      </c>
      <c r="B11783" s="46" t="s">
        <v>24592</v>
      </c>
    </row>
    <row r="11784" spans="1:2" x14ac:dyDescent="0.25">
      <c r="A11784" s="45" t="s">
        <v>11809</v>
      </c>
      <c r="B11784" s="46" t="s">
        <v>24593</v>
      </c>
    </row>
    <row r="11785" spans="1:2" x14ac:dyDescent="0.25">
      <c r="A11785" s="45" t="s">
        <v>11810</v>
      </c>
      <c r="B11785" s="46" t="s">
        <v>24594</v>
      </c>
    </row>
    <row r="11786" spans="1:2" x14ac:dyDescent="0.25">
      <c r="A11786" s="45" t="s">
        <v>11811</v>
      </c>
      <c r="B11786" s="46" t="s">
        <v>24595</v>
      </c>
    </row>
    <row r="11787" spans="1:2" x14ac:dyDescent="0.25">
      <c r="A11787" s="45" t="s">
        <v>11812</v>
      </c>
      <c r="B11787" s="46" t="s">
        <v>24596</v>
      </c>
    </row>
    <row r="11788" spans="1:2" x14ac:dyDescent="0.25">
      <c r="A11788" s="45" t="s">
        <v>11813</v>
      </c>
      <c r="B11788" s="46" t="s">
        <v>24597</v>
      </c>
    </row>
    <row r="11789" spans="1:2" x14ac:dyDescent="0.25">
      <c r="A11789" s="45" t="s">
        <v>11814</v>
      </c>
      <c r="B11789" s="46" t="s">
        <v>24598</v>
      </c>
    </row>
    <row r="11790" spans="1:2" x14ac:dyDescent="0.25">
      <c r="A11790" s="45" t="s">
        <v>11815</v>
      </c>
      <c r="B11790" s="46" t="s">
        <v>24599</v>
      </c>
    </row>
    <row r="11791" spans="1:2" x14ac:dyDescent="0.25">
      <c r="A11791" s="45" t="s">
        <v>11816</v>
      </c>
      <c r="B11791" s="46" t="s">
        <v>18988</v>
      </c>
    </row>
    <row r="11792" spans="1:2" x14ac:dyDescent="0.25">
      <c r="A11792" s="45" t="s">
        <v>11817</v>
      </c>
      <c r="B11792" s="46" t="s">
        <v>18989</v>
      </c>
    </row>
    <row r="11793" spans="1:2" x14ac:dyDescent="0.25">
      <c r="A11793" s="45" t="s">
        <v>11818</v>
      </c>
      <c r="B11793" s="46" t="s">
        <v>18990</v>
      </c>
    </row>
    <row r="11794" spans="1:2" x14ac:dyDescent="0.25">
      <c r="A11794" s="45" t="s">
        <v>11819</v>
      </c>
      <c r="B11794" s="46" t="s">
        <v>18991</v>
      </c>
    </row>
    <row r="11795" spans="1:2" x14ac:dyDescent="0.25">
      <c r="A11795" s="45" t="s">
        <v>11820</v>
      </c>
      <c r="B11795" s="46" t="s">
        <v>18992</v>
      </c>
    </row>
    <row r="11796" spans="1:2" x14ac:dyDescent="0.25">
      <c r="A11796" s="45" t="s">
        <v>11821</v>
      </c>
      <c r="B11796" s="46" t="s">
        <v>18993</v>
      </c>
    </row>
    <row r="11797" spans="1:2" x14ac:dyDescent="0.25">
      <c r="A11797" s="45" t="s">
        <v>11822</v>
      </c>
      <c r="B11797" s="46" t="s">
        <v>18994</v>
      </c>
    </row>
    <row r="11798" spans="1:2" x14ac:dyDescent="0.25">
      <c r="A11798" s="45" t="s">
        <v>11823</v>
      </c>
      <c r="B11798" s="46" t="s">
        <v>18995</v>
      </c>
    </row>
    <row r="11799" spans="1:2" x14ac:dyDescent="0.25">
      <c r="A11799" s="45" t="s">
        <v>11824</v>
      </c>
      <c r="B11799" s="46" t="s">
        <v>18996</v>
      </c>
    </row>
    <row r="11800" spans="1:2" x14ac:dyDescent="0.25">
      <c r="A11800" s="45" t="s">
        <v>11825</v>
      </c>
      <c r="B11800" s="46" t="s">
        <v>24600</v>
      </c>
    </row>
    <row r="11801" spans="1:2" x14ac:dyDescent="0.25">
      <c r="A11801" s="45" t="s">
        <v>11826</v>
      </c>
      <c r="B11801" s="46" t="s">
        <v>18997</v>
      </c>
    </row>
    <row r="11802" spans="1:2" x14ac:dyDescent="0.25">
      <c r="A11802" s="45" t="s">
        <v>11827</v>
      </c>
      <c r="B11802" s="46" t="s">
        <v>18998</v>
      </c>
    </row>
    <row r="11803" spans="1:2" x14ac:dyDescent="0.25">
      <c r="A11803" s="45" t="s">
        <v>11828</v>
      </c>
      <c r="B11803" s="46" t="s">
        <v>18999</v>
      </c>
    </row>
    <row r="11804" spans="1:2" x14ac:dyDescent="0.25">
      <c r="A11804" s="45" t="s">
        <v>11829</v>
      </c>
      <c r="B11804" s="46" t="s">
        <v>19000</v>
      </c>
    </row>
    <row r="11805" spans="1:2" x14ac:dyDescent="0.25">
      <c r="A11805" s="45" t="s">
        <v>11830</v>
      </c>
      <c r="B11805" s="46" t="s">
        <v>19001</v>
      </c>
    </row>
    <row r="11806" spans="1:2" x14ac:dyDescent="0.25">
      <c r="A11806" s="45" t="s">
        <v>11831</v>
      </c>
      <c r="B11806" s="46" t="s">
        <v>19002</v>
      </c>
    </row>
    <row r="11807" spans="1:2" x14ac:dyDescent="0.25">
      <c r="A11807" s="45" t="s">
        <v>11832</v>
      </c>
      <c r="B11807" s="46" t="s">
        <v>24601</v>
      </c>
    </row>
    <row r="11808" spans="1:2" x14ac:dyDescent="0.25">
      <c r="A11808" s="45" t="s">
        <v>11833</v>
      </c>
      <c r="B11808" s="46" t="s">
        <v>19003</v>
      </c>
    </row>
    <row r="11809" spans="1:2" x14ac:dyDescent="0.25">
      <c r="A11809" s="45" t="s">
        <v>11834</v>
      </c>
      <c r="B11809" s="46" t="s">
        <v>19004</v>
      </c>
    </row>
    <row r="11810" spans="1:2" x14ac:dyDescent="0.25">
      <c r="A11810" s="45" t="s">
        <v>11835</v>
      </c>
      <c r="B11810" s="46" t="s">
        <v>19005</v>
      </c>
    </row>
    <row r="11811" spans="1:2" x14ac:dyDescent="0.25">
      <c r="A11811" s="45" t="s">
        <v>11836</v>
      </c>
      <c r="B11811" s="46" t="s">
        <v>19006</v>
      </c>
    </row>
    <row r="11812" spans="1:2" x14ac:dyDescent="0.25">
      <c r="A11812" s="45" t="s">
        <v>11837</v>
      </c>
      <c r="B11812" s="46" t="s">
        <v>19007</v>
      </c>
    </row>
    <row r="11813" spans="1:2" x14ac:dyDescent="0.25">
      <c r="A11813" s="45" t="s">
        <v>11838</v>
      </c>
      <c r="B11813" s="46" t="s">
        <v>19008</v>
      </c>
    </row>
    <row r="11814" spans="1:2" x14ac:dyDescent="0.25">
      <c r="A11814" s="45" t="s">
        <v>11839</v>
      </c>
      <c r="B11814" s="46" t="s">
        <v>19009</v>
      </c>
    </row>
    <row r="11815" spans="1:2" x14ac:dyDescent="0.25">
      <c r="A11815" s="45" t="s">
        <v>11840</v>
      </c>
      <c r="B11815" s="46" t="s">
        <v>19010</v>
      </c>
    </row>
    <row r="11816" spans="1:2" x14ac:dyDescent="0.25">
      <c r="A11816" s="45" t="s">
        <v>11841</v>
      </c>
      <c r="B11816" s="46" t="s">
        <v>19011</v>
      </c>
    </row>
    <row r="11817" spans="1:2" x14ac:dyDescent="0.25">
      <c r="A11817" s="45" t="s">
        <v>11842</v>
      </c>
      <c r="B11817" s="46" t="s">
        <v>19012</v>
      </c>
    </row>
    <row r="11818" spans="1:2" x14ac:dyDescent="0.25">
      <c r="A11818" s="45" t="s">
        <v>11843</v>
      </c>
      <c r="B11818" s="46" t="s">
        <v>19013</v>
      </c>
    </row>
    <row r="11819" spans="1:2" x14ac:dyDescent="0.25">
      <c r="A11819" s="45" t="s">
        <v>11844</v>
      </c>
      <c r="B11819" s="46" t="s">
        <v>19014</v>
      </c>
    </row>
    <row r="11820" spans="1:2" x14ac:dyDescent="0.25">
      <c r="A11820" s="45" t="s">
        <v>11845</v>
      </c>
      <c r="B11820" s="46" t="s">
        <v>19015</v>
      </c>
    </row>
    <row r="11821" spans="1:2" x14ac:dyDescent="0.25">
      <c r="A11821" s="45" t="s">
        <v>11846</v>
      </c>
      <c r="B11821" s="46" t="s">
        <v>19016</v>
      </c>
    </row>
    <row r="11822" spans="1:2" x14ac:dyDescent="0.25">
      <c r="A11822" s="45" t="s">
        <v>11847</v>
      </c>
      <c r="B11822" s="46" t="s">
        <v>19017</v>
      </c>
    </row>
    <row r="11823" spans="1:2" x14ac:dyDescent="0.25">
      <c r="A11823" s="45" t="s">
        <v>11848</v>
      </c>
      <c r="B11823" s="46" t="s">
        <v>19018</v>
      </c>
    </row>
    <row r="11824" spans="1:2" x14ac:dyDescent="0.25">
      <c r="A11824" s="45" t="s">
        <v>11849</v>
      </c>
      <c r="B11824" s="46" t="s">
        <v>19019</v>
      </c>
    </row>
    <row r="11825" spans="1:2" x14ac:dyDescent="0.25">
      <c r="A11825" s="45" t="s">
        <v>11850</v>
      </c>
      <c r="B11825" s="46" t="s">
        <v>19020</v>
      </c>
    </row>
    <row r="11826" spans="1:2" x14ac:dyDescent="0.25">
      <c r="A11826" s="45" t="s">
        <v>11851</v>
      </c>
      <c r="B11826" s="46" t="s">
        <v>19021</v>
      </c>
    </row>
    <row r="11827" spans="1:2" x14ac:dyDescent="0.25">
      <c r="A11827" s="45" t="s">
        <v>11852</v>
      </c>
      <c r="B11827" s="46" t="s">
        <v>19022</v>
      </c>
    </row>
    <row r="11828" spans="1:2" x14ac:dyDescent="0.25">
      <c r="A11828" s="45" t="s">
        <v>11853</v>
      </c>
      <c r="B11828" s="46" t="s">
        <v>19023</v>
      </c>
    </row>
    <row r="11829" spans="1:2" x14ac:dyDescent="0.25">
      <c r="A11829" s="45" t="s">
        <v>11854</v>
      </c>
      <c r="B11829" s="46" t="s">
        <v>19024</v>
      </c>
    </row>
    <row r="11830" spans="1:2" x14ac:dyDescent="0.25">
      <c r="A11830" s="45" t="s">
        <v>11855</v>
      </c>
      <c r="B11830" s="46" t="s">
        <v>19025</v>
      </c>
    </row>
    <row r="11831" spans="1:2" x14ac:dyDescent="0.25">
      <c r="A11831" s="45" t="s">
        <v>11856</v>
      </c>
      <c r="B11831" s="46" t="s">
        <v>19026</v>
      </c>
    </row>
    <row r="11832" spans="1:2" x14ac:dyDescent="0.25">
      <c r="A11832" s="45" t="s">
        <v>11857</v>
      </c>
      <c r="B11832" s="46" t="s">
        <v>19027</v>
      </c>
    </row>
    <row r="11833" spans="1:2" x14ac:dyDescent="0.25">
      <c r="A11833" s="45" t="s">
        <v>11858</v>
      </c>
      <c r="B11833" s="46" t="s">
        <v>19028</v>
      </c>
    </row>
    <row r="11834" spans="1:2" x14ac:dyDescent="0.25">
      <c r="A11834" s="45" t="s">
        <v>11859</v>
      </c>
      <c r="B11834" s="46" t="s">
        <v>19029</v>
      </c>
    </row>
    <row r="11835" spans="1:2" x14ac:dyDescent="0.25">
      <c r="A11835" s="45" t="s">
        <v>11860</v>
      </c>
      <c r="B11835" s="46" t="s">
        <v>19030</v>
      </c>
    </row>
    <row r="11836" spans="1:2" x14ac:dyDescent="0.25">
      <c r="A11836" s="45" t="s">
        <v>11861</v>
      </c>
      <c r="B11836" s="46" t="s">
        <v>19031</v>
      </c>
    </row>
    <row r="11837" spans="1:2" x14ac:dyDescent="0.25">
      <c r="A11837" s="45" t="s">
        <v>11862</v>
      </c>
      <c r="B11837" s="46" t="s">
        <v>19032</v>
      </c>
    </row>
    <row r="11838" spans="1:2" x14ac:dyDescent="0.25">
      <c r="A11838" s="45" t="s">
        <v>11863</v>
      </c>
      <c r="B11838" s="46" t="s">
        <v>24602</v>
      </c>
    </row>
    <row r="11839" spans="1:2" x14ac:dyDescent="0.25">
      <c r="A11839" s="45" t="s">
        <v>11864</v>
      </c>
      <c r="B11839" s="46" t="s">
        <v>24603</v>
      </c>
    </row>
    <row r="11840" spans="1:2" x14ac:dyDescent="0.25">
      <c r="A11840" s="45" t="s">
        <v>11865</v>
      </c>
      <c r="B11840" s="46" t="s">
        <v>24604</v>
      </c>
    </row>
    <row r="11841" spans="1:2" x14ac:dyDescent="0.25">
      <c r="A11841" s="45" t="s">
        <v>11866</v>
      </c>
      <c r="B11841" s="46" t="s">
        <v>24605</v>
      </c>
    </row>
    <row r="11842" spans="1:2" x14ac:dyDescent="0.25">
      <c r="A11842" s="45" t="s">
        <v>11867</v>
      </c>
      <c r="B11842" s="46" t="s">
        <v>24606</v>
      </c>
    </row>
    <row r="11843" spans="1:2" x14ac:dyDescent="0.25">
      <c r="A11843" s="45" t="s">
        <v>11868</v>
      </c>
      <c r="B11843" s="46" t="s">
        <v>24607</v>
      </c>
    </row>
    <row r="11844" spans="1:2" x14ac:dyDescent="0.25">
      <c r="A11844" s="45" t="s">
        <v>11869</v>
      </c>
      <c r="B11844" s="46" t="s">
        <v>24608</v>
      </c>
    </row>
    <row r="11845" spans="1:2" x14ac:dyDescent="0.25">
      <c r="A11845" s="45" t="s">
        <v>11870</v>
      </c>
      <c r="B11845" s="46" t="s">
        <v>24609</v>
      </c>
    </row>
    <row r="11846" spans="1:2" x14ac:dyDescent="0.25">
      <c r="A11846" s="45" t="s">
        <v>11871</v>
      </c>
      <c r="B11846" s="46" t="s">
        <v>24610</v>
      </c>
    </row>
    <row r="11847" spans="1:2" x14ac:dyDescent="0.25">
      <c r="A11847" s="45" t="s">
        <v>11872</v>
      </c>
      <c r="B11847" s="46" t="s">
        <v>24611</v>
      </c>
    </row>
    <row r="11848" spans="1:2" x14ac:dyDescent="0.25">
      <c r="A11848" s="45" t="s">
        <v>11873</v>
      </c>
      <c r="B11848" s="46" t="s">
        <v>24612</v>
      </c>
    </row>
    <row r="11849" spans="1:2" x14ac:dyDescent="0.25">
      <c r="A11849" s="45" t="s">
        <v>11874</v>
      </c>
      <c r="B11849" s="46" t="s">
        <v>24613</v>
      </c>
    </row>
    <row r="11850" spans="1:2" x14ac:dyDescent="0.25">
      <c r="A11850" s="45" t="s">
        <v>11875</v>
      </c>
      <c r="B11850" s="46" t="s">
        <v>24614</v>
      </c>
    </row>
    <row r="11851" spans="1:2" x14ac:dyDescent="0.25">
      <c r="A11851" s="45" t="s">
        <v>11876</v>
      </c>
      <c r="B11851" s="46" t="s">
        <v>24615</v>
      </c>
    </row>
    <row r="11852" spans="1:2" x14ac:dyDescent="0.25">
      <c r="A11852" s="45" t="s">
        <v>11877</v>
      </c>
      <c r="B11852" s="46" t="s">
        <v>24616</v>
      </c>
    </row>
    <row r="11853" spans="1:2" x14ac:dyDescent="0.25">
      <c r="A11853" s="45" t="s">
        <v>11878</v>
      </c>
      <c r="B11853" s="46" t="s">
        <v>24617</v>
      </c>
    </row>
    <row r="11854" spans="1:2" x14ac:dyDescent="0.25">
      <c r="A11854" s="45" t="s">
        <v>11879</v>
      </c>
      <c r="B11854" s="46" t="s">
        <v>24618</v>
      </c>
    </row>
    <row r="11855" spans="1:2" x14ac:dyDescent="0.25">
      <c r="A11855" s="45" t="s">
        <v>11880</v>
      </c>
      <c r="B11855" s="46" t="s">
        <v>24619</v>
      </c>
    </row>
    <row r="11856" spans="1:2" x14ac:dyDescent="0.25">
      <c r="A11856" s="45" t="s">
        <v>11881</v>
      </c>
      <c r="B11856" s="46" t="s">
        <v>24620</v>
      </c>
    </row>
    <row r="11857" spans="1:2" x14ac:dyDescent="0.25">
      <c r="A11857" s="45" t="s">
        <v>11882</v>
      </c>
      <c r="B11857" s="46" t="s">
        <v>24621</v>
      </c>
    </row>
    <row r="11858" spans="1:2" x14ac:dyDescent="0.25">
      <c r="A11858" s="45" t="s">
        <v>11883</v>
      </c>
      <c r="B11858" s="46" t="s">
        <v>24622</v>
      </c>
    </row>
    <row r="11859" spans="1:2" x14ac:dyDescent="0.25">
      <c r="A11859" s="45" t="s">
        <v>11884</v>
      </c>
      <c r="B11859" s="46" t="s">
        <v>24623</v>
      </c>
    </row>
    <row r="11860" spans="1:2" x14ac:dyDescent="0.25">
      <c r="A11860" s="45" t="s">
        <v>11885</v>
      </c>
      <c r="B11860" s="46" t="s">
        <v>24624</v>
      </c>
    </row>
    <row r="11861" spans="1:2" x14ac:dyDescent="0.25">
      <c r="A11861" s="45" t="s">
        <v>11886</v>
      </c>
      <c r="B11861" s="46" t="s">
        <v>24625</v>
      </c>
    </row>
    <row r="11862" spans="1:2" x14ac:dyDescent="0.25">
      <c r="A11862" s="45" t="s">
        <v>11887</v>
      </c>
      <c r="B11862" s="46" t="s">
        <v>24626</v>
      </c>
    </row>
    <row r="11863" spans="1:2" x14ac:dyDescent="0.25">
      <c r="A11863" s="45" t="s">
        <v>11888</v>
      </c>
      <c r="B11863" s="46" t="s">
        <v>24627</v>
      </c>
    </row>
    <row r="11864" spans="1:2" x14ac:dyDescent="0.25">
      <c r="A11864" s="45" t="s">
        <v>11889</v>
      </c>
      <c r="B11864" s="46" t="s">
        <v>24628</v>
      </c>
    </row>
    <row r="11865" spans="1:2" x14ac:dyDescent="0.25">
      <c r="A11865" s="45" t="s">
        <v>11890</v>
      </c>
      <c r="B11865" s="46" t="s">
        <v>24629</v>
      </c>
    </row>
    <row r="11866" spans="1:2" x14ac:dyDescent="0.25">
      <c r="A11866" s="45" t="s">
        <v>11891</v>
      </c>
      <c r="B11866" s="46" t="s">
        <v>19033</v>
      </c>
    </row>
    <row r="11867" spans="1:2" x14ac:dyDescent="0.25">
      <c r="A11867" s="45" t="s">
        <v>11892</v>
      </c>
      <c r="B11867" s="46" t="s">
        <v>19034</v>
      </c>
    </row>
    <row r="11868" spans="1:2" x14ac:dyDescent="0.25">
      <c r="A11868" s="45" t="s">
        <v>11893</v>
      </c>
      <c r="B11868" s="46" t="s">
        <v>19035</v>
      </c>
    </row>
    <row r="11869" spans="1:2" x14ac:dyDescent="0.25">
      <c r="A11869" s="45" t="s">
        <v>11894</v>
      </c>
      <c r="B11869" s="46" t="s">
        <v>24630</v>
      </c>
    </row>
    <row r="11870" spans="1:2" x14ac:dyDescent="0.25">
      <c r="A11870" s="45" t="s">
        <v>11895</v>
      </c>
      <c r="B11870" s="46" t="s">
        <v>24631</v>
      </c>
    </row>
    <row r="11871" spans="1:2" x14ac:dyDescent="0.25">
      <c r="A11871" s="45" t="s">
        <v>11896</v>
      </c>
      <c r="B11871" s="46" t="s">
        <v>19036</v>
      </c>
    </row>
    <row r="11872" spans="1:2" x14ac:dyDescent="0.25">
      <c r="A11872" s="45" t="s">
        <v>11897</v>
      </c>
      <c r="B11872" s="46" t="s">
        <v>24632</v>
      </c>
    </row>
    <row r="11873" spans="1:2" x14ac:dyDescent="0.25">
      <c r="A11873" s="45" t="s">
        <v>11898</v>
      </c>
      <c r="B11873" s="46" t="s">
        <v>24633</v>
      </c>
    </row>
    <row r="11874" spans="1:2" x14ac:dyDescent="0.25">
      <c r="A11874" s="45" t="s">
        <v>11899</v>
      </c>
      <c r="B11874" s="46" t="s">
        <v>24634</v>
      </c>
    </row>
    <row r="11875" spans="1:2" x14ac:dyDescent="0.25">
      <c r="A11875" s="45" t="s">
        <v>11900</v>
      </c>
      <c r="B11875" s="46" t="s">
        <v>19037</v>
      </c>
    </row>
    <row r="11876" spans="1:2" x14ac:dyDescent="0.25">
      <c r="A11876" s="45" t="s">
        <v>11901</v>
      </c>
      <c r="B11876" s="46" t="s">
        <v>24635</v>
      </c>
    </row>
    <row r="11877" spans="1:2" x14ac:dyDescent="0.25">
      <c r="A11877" s="45" t="s">
        <v>11902</v>
      </c>
      <c r="B11877" s="46" t="s">
        <v>19038</v>
      </c>
    </row>
    <row r="11878" spans="1:2" x14ac:dyDescent="0.25">
      <c r="A11878" s="45" t="s">
        <v>11903</v>
      </c>
      <c r="B11878" s="46" t="s">
        <v>19039</v>
      </c>
    </row>
    <row r="11879" spans="1:2" x14ac:dyDescent="0.25">
      <c r="A11879" s="45" t="s">
        <v>11904</v>
      </c>
      <c r="B11879" s="46" t="s">
        <v>19040</v>
      </c>
    </row>
    <row r="11880" spans="1:2" x14ac:dyDescent="0.25">
      <c r="A11880" s="45" t="s">
        <v>11905</v>
      </c>
      <c r="B11880" s="46" t="s">
        <v>19041</v>
      </c>
    </row>
    <row r="11881" spans="1:2" x14ac:dyDescent="0.25">
      <c r="A11881" s="45" t="s">
        <v>11906</v>
      </c>
      <c r="B11881" s="46" t="s">
        <v>19042</v>
      </c>
    </row>
    <row r="11882" spans="1:2" x14ac:dyDescent="0.25">
      <c r="A11882" s="45" t="s">
        <v>11907</v>
      </c>
      <c r="B11882" s="46" t="s">
        <v>19043</v>
      </c>
    </row>
    <row r="11883" spans="1:2" x14ac:dyDescent="0.25">
      <c r="A11883" s="45" t="s">
        <v>11908</v>
      </c>
      <c r="B11883" s="46" t="s">
        <v>19044</v>
      </c>
    </row>
    <row r="11884" spans="1:2" x14ac:dyDescent="0.25">
      <c r="A11884" s="45" t="s">
        <v>11909</v>
      </c>
      <c r="B11884" s="46" t="s">
        <v>24636</v>
      </c>
    </row>
    <row r="11885" spans="1:2" x14ac:dyDescent="0.25">
      <c r="A11885" s="45" t="s">
        <v>11910</v>
      </c>
      <c r="B11885" s="46" t="s">
        <v>19045</v>
      </c>
    </row>
    <row r="11886" spans="1:2" x14ac:dyDescent="0.25">
      <c r="A11886" s="45" t="s">
        <v>11911</v>
      </c>
      <c r="B11886" s="46" t="s">
        <v>19046</v>
      </c>
    </row>
    <row r="11887" spans="1:2" x14ac:dyDescent="0.25">
      <c r="A11887" s="45" t="s">
        <v>11912</v>
      </c>
      <c r="B11887" s="46" t="s">
        <v>24637</v>
      </c>
    </row>
    <row r="11888" spans="1:2" x14ac:dyDescent="0.25">
      <c r="A11888" s="45" t="s">
        <v>11913</v>
      </c>
      <c r="B11888" s="46" t="s">
        <v>24638</v>
      </c>
    </row>
    <row r="11889" spans="1:2" x14ac:dyDescent="0.25">
      <c r="A11889" s="45" t="s">
        <v>11914</v>
      </c>
      <c r="B11889" s="46" t="s">
        <v>19047</v>
      </c>
    </row>
    <row r="11890" spans="1:2" x14ac:dyDescent="0.25">
      <c r="A11890" s="45" t="s">
        <v>11915</v>
      </c>
      <c r="B11890" s="46" t="s">
        <v>19048</v>
      </c>
    </row>
    <row r="11891" spans="1:2" x14ac:dyDescent="0.25">
      <c r="A11891" s="45" t="s">
        <v>11916</v>
      </c>
      <c r="B11891" s="46" t="s">
        <v>24639</v>
      </c>
    </row>
    <row r="11892" spans="1:2" x14ac:dyDescent="0.25">
      <c r="A11892" s="45" t="s">
        <v>11917</v>
      </c>
      <c r="B11892" s="46" t="s">
        <v>24640</v>
      </c>
    </row>
    <row r="11893" spans="1:2" x14ac:dyDescent="0.25">
      <c r="A11893" s="45" t="s">
        <v>11918</v>
      </c>
      <c r="B11893" s="46" t="s">
        <v>19049</v>
      </c>
    </row>
    <row r="11894" spans="1:2" x14ac:dyDescent="0.25">
      <c r="A11894" s="45" t="s">
        <v>11919</v>
      </c>
      <c r="B11894" s="46" t="s">
        <v>24641</v>
      </c>
    </row>
    <row r="11895" spans="1:2" x14ac:dyDescent="0.25">
      <c r="A11895" s="45" t="s">
        <v>11920</v>
      </c>
      <c r="B11895" s="46" t="s">
        <v>24642</v>
      </c>
    </row>
    <row r="11896" spans="1:2" x14ac:dyDescent="0.25">
      <c r="A11896" s="45" t="s">
        <v>11921</v>
      </c>
      <c r="B11896" s="46" t="s">
        <v>24643</v>
      </c>
    </row>
    <row r="11897" spans="1:2" x14ac:dyDescent="0.25">
      <c r="A11897" s="45" t="s">
        <v>11922</v>
      </c>
      <c r="B11897" s="46" t="s">
        <v>24644</v>
      </c>
    </row>
    <row r="11898" spans="1:2" x14ac:dyDescent="0.25">
      <c r="A11898" s="45" t="s">
        <v>11923</v>
      </c>
      <c r="B11898" s="46" t="s">
        <v>24645</v>
      </c>
    </row>
    <row r="11899" spans="1:2" x14ac:dyDescent="0.25">
      <c r="A11899" s="45" t="s">
        <v>11924</v>
      </c>
      <c r="B11899" s="46" t="s">
        <v>24646</v>
      </c>
    </row>
    <row r="11900" spans="1:2" x14ac:dyDescent="0.25">
      <c r="A11900" s="45" t="s">
        <v>11925</v>
      </c>
      <c r="B11900" s="46" t="s">
        <v>24647</v>
      </c>
    </row>
    <row r="11901" spans="1:2" x14ac:dyDescent="0.25">
      <c r="A11901" s="45" t="s">
        <v>11926</v>
      </c>
      <c r="B11901" s="46" t="s">
        <v>24648</v>
      </c>
    </row>
    <row r="11902" spans="1:2" x14ac:dyDescent="0.25">
      <c r="A11902" s="45" t="s">
        <v>11927</v>
      </c>
      <c r="B11902" s="46" t="s">
        <v>24649</v>
      </c>
    </row>
    <row r="11903" spans="1:2" x14ac:dyDescent="0.25">
      <c r="A11903" s="45" t="s">
        <v>11928</v>
      </c>
      <c r="B11903" s="46" t="s">
        <v>24650</v>
      </c>
    </row>
    <row r="11904" spans="1:2" x14ac:dyDescent="0.25">
      <c r="A11904" s="45" t="s">
        <v>11929</v>
      </c>
      <c r="B11904" s="46" t="s">
        <v>24651</v>
      </c>
    </row>
    <row r="11905" spans="1:2" x14ac:dyDescent="0.25">
      <c r="A11905" s="45" t="s">
        <v>11930</v>
      </c>
      <c r="B11905" s="46" t="s">
        <v>19050</v>
      </c>
    </row>
    <row r="11906" spans="1:2" x14ac:dyDescent="0.25">
      <c r="A11906" s="45" t="s">
        <v>11931</v>
      </c>
      <c r="B11906" s="46" t="s">
        <v>19051</v>
      </c>
    </row>
    <row r="11907" spans="1:2" x14ac:dyDescent="0.25">
      <c r="A11907" s="45" t="s">
        <v>11932</v>
      </c>
      <c r="B11907" s="46" t="s">
        <v>19052</v>
      </c>
    </row>
    <row r="11908" spans="1:2" x14ac:dyDescent="0.25">
      <c r="A11908" s="45" t="s">
        <v>11933</v>
      </c>
      <c r="B11908" s="46" t="s">
        <v>19053</v>
      </c>
    </row>
    <row r="11909" spans="1:2" x14ac:dyDescent="0.25">
      <c r="A11909" s="45" t="s">
        <v>11934</v>
      </c>
      <c r="B11909" s="46" t="s">
        <v>24652</v>
      </c>
    </row>
    <row r="11910" spans="1:2" x14ac:dyDescent="0.25">
      <c r="A11910" s="45" t="s">
        <v>11935</v>
      </c>
      <c r="B11910" s="46" t="s">
        <v>19054</v>
      </c>
    </row>
    <row r="11911" spans="1:2" x14ac:dyDescent="0.25">
      <c r="A11911" s="45" t="s">
        <v>11936</v>
      </c>
      <c r="B11911" s="46" t="s">
        <v>24653</v>
      </c>
    </row>
    <row r="11912" spans="1:2" x14ac:dyDescent="0.25">
      <c r="A11912" s="45" t="s">
        <v>11937</v>
      </c>
      <c r="B11912" s="46" t="s">
        <v>19055</v>
      </c>
    </row>
    <row r="11913" spans="1:2" x14ac:dyDescent="0.25">
      <c r="A11913" s="45" t="s">
        <v>11938</v>
      </c>
      <c r="B11913" s="46" t="s">
        <v>19056</v>
      </c>
    </row>
    <row r="11914" spans="1:2" x14ac:dyDescent="0.25">
      <c r="A11914" s="45" t="s">
        <v>11939</v>
      </c>
      <c r="B11914" s="46" t="s">
        <v>24654</v>
      </c>
    </row>
    <row r="11915" spans="1:2" x14ac:dyDescent="0.25">
      <c r="A11915" s="45" t="s">
        <v>11940</v>
      </c>
      <c r="B11915" s="46" t="s">
        <v>24655</v>
      </c>
    </row>
    <row r="11916" spans="1:2" x14ac:dyDescent="0.25">
      <c r="A11916" s="45" t="s">
        <v>11941</v>
      </c>
      <c r="B11916" s="46" t="s">
        <v>24656</v>
      </c>
    </row>
    <row r="11917" spans="1:2" x14ac:dyDescent="0.25">
      <c r="A11917" s="45" t="s">
        <v>11942</v>
      </c>
      <c r="B11917" s="46" t="s">
        <v>24657</v>
      </c>
    </row>
    <row r="11918" spans="1:2" x14ac:dyDescent="0.25">
      <c r="A11918" s="45" t="s">
        <v>11943</v>
      </c>
      <c r="B11918" s="46" t="s">
        <v>24658</v>
      </c>
    </row>
    <row r="11919" spans="1:2" x14ac:dyDescent="0.25">
      <c r="A11919" s="45" t="s">
        <v>11944</v>
      </c>
      <c r="B11919" s="46" t="s">
        <v>24659</v>
      </c>
    </row>
    <row r="11920" spans="1:2" x14ac:dyDescent="0.25">
      <c r="A11920" s="45" t="s">
        <v>11945</v>
      </c>
      <c r="B11920" s="46" t="s">
        <v>24660</v>
      </c>
    </row>
    <row r="11921" spans="1:2" x14ac:dyDescent="0.25">
      <c r="A11921" s="45" t="s">
        <v>11946</v>
      </c>
      <c r="B11921" s="46" t="s">
        <v>24661</v>
      </c>
    </row>
    <row r="11922" spans="1:2" x14ac:dyDescent="0.25">
      <c r="A11922" s="45" t="s">
        <v>11947</v>
      </c>
      <c r="B11922" s="46" t="s">
        <v>24662</v>
      </c>
    </row>
    <row r="11923" spans="1:2" x14ac:dyDescent="0.25">
      <c r="A11923" s="45" t="s">
        <v>11948</v>
      </c>
      <c r="B11923" s="46" t="s">
        <v>24663</v>
      </c>
    </row>
    <row r="11924" spans="1:2" x14ac:dyDescent="0.25">
      <c r="A11924" s="45" t="s">
        <v>11949</v>
      </c>
      <c r="B11924" s="46" t="s">
        <v>24664</v>
      </c>
    </row>
    <row r="11925" spans="1:2" x14ac:dyDescent="0.25">
      <c r="A11925" s="45" t="s">
        <v>11950</v>
      </c>
      <c r="B11925" s="46" t="s">
        <v>24665</v>
      </c>
    </row>
    <row r="11926" spans="1:2" x14ac:dyDescent="0.25">
      <c r="A11926" s="45" t="s">
        <v>11951</v>
      </c>
      <c r="B11926" s="46" t="s">
        <v>24666</v>
      </c>
    </row>
    <row r="11927" spans="1:2" x14ac:dyDescent="0.25">
      <c r="A11927" s="45" t="s">
        <v>11952</v>
      </c>
      <c r="B11927" s="46" t="s">
        <v>24667</v>
      </c>
    </row>
    <row r="11928" spans="1:2" x14ac:dyDescent="0.25">
      <c r="A11928" s="45" t="s">
        <v>11953</v>
      </c>
      <c r="B11928" s="46" t="s">
        <v>24668</v>
      </c>
    </row>
    <row r="11929" spans="1:2" x14ac:dyDescent="0.25">
      <c r="A11929" s="45" t="s">
        <v>11954</v>
      </c>
      <c r="B11929" s="46" t="s">
        <v>24669</v>
      </c>
    </row>
    <row r="11930" spans="1:2" x14ac:dyDescent="0.25">
      <c r="A11930" s="45" t="s">
        <v>11955</v>
      </c>
      <c r="B11930" s="46" t="s">
        <v>24670</v>
      </c>
    </row>
    <row r="11931" spans="1:2" x14ac:dyDescent="0.25">
      <c r="A11931" s="45" t="s">
        <v>11956</v>
      </c>
      <c r="B11931" s="46" t="s">
        <v>24671</v>
      </c>
    </row>
    <row r="11932" spans="1:2" x14ac:dyDescent="0.25">
      <c r="A11932" s="45" t="s">
        <v>11957</v>
      </c>
      <c r="B11932" s="46" t="s">
        <v>24672</v>
      </c>
    </row>
    <row r="11933" spans="1:2" x14ac:dyDescent="0.25">
      <c r="A11933" s="45" t="s">
        <v>11958</v>
      </c>
      <c r="B11933" s="46" t="s">
        <v>24673</v>
      </c>
    </row>
    <row r="11934" spans="1:2" x14ac:dyDescent="0.25">
      <c r="A11934" s="45" t="s">
        <v>11959</v>
      </c>
      <c r="B11934" s="46" t="s">
        <v>24674</v>
      </c>
    </row>
    <row r="11935" spans="1:2" x14ac:dyDescent="0.25">
      <c r="A11935" s="45" t="s">
        <v>11960</v>
      </c>
      <c r="B11935" s="46" t="s">
        <v>24675</v>
      </c>
    </row>
    <row r="11936" spans="1:2" x14ac:dyDescent="0.25">
      <c r="A11936" s="45" t="s">
        <v>11961</v>
      </c>
      <c r="B11936" s="46" t="s">
        <v>24676</v>
      </c>
    </row>
    <row r="11937" spans="1:2" x14ac:dyDescent="0.25">
      <c r="A11937" s="45" t="s">
        <v>11962</v>
      </c>
      <c r="B11937" s="46" t="s">
        <v>24677</v>
      </c>
    </row>
    <row r="11938" spans="1:2" x14ac:dyDescent="0.25">
      <c r="A11938" s="45" t="s">
        <v>11963</v>
      </c>
      <c r="B11938" s="46" t="s">
        <v>24678</v>
      </c>
    </row>
    <row r="11939" spans="1:2" x14ac:dyDescent="0.25">
      <c r="A11939" s="45" t="s">
        <v>11964</v>
      </c>
      <c r="B11939" s="46" t="s">
        <v>24679</v>
      </c>
    </row>
    <row r="11940" spans="1:2" x14ac:dyDescent="0.25">
      <c r="A11940" s="45" t="s">
        <v>11965</v>
      </c>
      <c r="B11940" s="46" t="s">
        <v>24680</v>
      </c>
    </row>
    <row r="11941" spans="1:2" x14ac:dyDescent="0.25">
      <c r="A11941" s="45" t="s">
        <v>11966</v>
      </c>
      <c r="B11941" s="46" t="s">
        <v>24681</v>
      </c>
    </row>
    <row r="11942" spans="1:2" x14ac:dyDescent="0.25">
      <c r="A11942" s="45" t="s">
        <v>11967</v>
      </c>
      <c r="B11942" s="46" t="s">
        <v>24682</v>
      </c>
    </row>
    <row r="11943" spans="1:2" x14ac:dyDescent="0.25">
      <c r="A11943" s="45" t="s">
        <v>11968</v>
      </c>
      <c r="B11943" s="46" t="s">
        <v>24683</v>
      </c>
    </row>
    <row r="11944" spans="1:2" x14ac:dyDescent="0.25">
      <c r="A11944" s="45" t="s">
        <v>11969</v>
      </c>
      <c r="B11944" s="46" t="s">
        <v>24684</v>
      </c>
    </row>
    <row r="11945" spans="1:2" x14ac:dyDescent="0.25">
      <c r="A11945" s="45" t="s">
        <v>11970</v>
      </c>
      <c r="B11945" s="46" t="s">
        <v>24685</v>
      </c>
    </row>
    <row r="11946" spans="1:2" x14ac:dyDescent="0.25">
      <c r="A11946" s="45" t="s">
        <v>11971</v>
      </c>
      <c r="B11946" s="46" t="s">
        <v>24686</v>
      </c>
    </row>
    <row r="11947" spans="1:2" x14ac:dyDescent="0.25">
      <c r="A11947" s="45" t="s">
        <v>11972</v>
      </c>
      <c r="B11947" s="46" t="s">
        <v>24687</v>
      </c>
    </row>
    <row r="11948" spans="1:2" x14ac:dyDescent="0.25">
      <c r="A11948" s="45" t="s">
        <v>11973</v>
      </c>
      <c r="B11948" s="46" t="s">
        <v>19057</v>
      </c>
    </row>
    <row r="11949" spans="1:2" x14ac:dyDescent="0.25">
      <c r="A11949" s="45" t="s">
        <v>11974</v>
      </c>
      <c r="B11949" s="46" t="s">
        <v>19058</v>
      </c>
    </row>
    <row r="11950" spans="1:2" x14ac:dyDescent="0.25">
      <c r="A11950" s="45" t="s">
        <v>11975</v>
      </c>
      <c r="B11950" s="46" t="s">
        <v>19059</v>
      </c>
    </row>
    <row r="11951" spans="1:2" x14ac:dyDescent="0.25">
      <c r="A11951" s="45" t="s">
        <v>11976</v>
      </c>
      <c r="B11951" s="46" t="s">
        <v>24688</v>
      </c>
    </row>
    <row r="11952" spans="1:2" x14ac:dyDescent="0.25">
      <c r="A11952" s="45" t="s">
        <v>11977</v>
      </c>
      <c r="B11952" s="46" t="s">
        <v>19060</v>
      </c>
    </row>
    <row r="11953" spans="1:2" x14ac:dyDescent="0.25">
      <c r="A11953" s="45" t="s">
        <v>11978</v>
      </c>
      <c r="B11953" s="46" t="s">
        <v>19061</v>
      </c>
    </row>
    <row r="11954" spans="1:2" x14ac:dyDescent="0.25">
      <c r="A11954" s="45" t="s">
        <v>11979</v>
      </c>
      <c r="B11954" s="46" t="s">
        <v>19062</v>
      </c>
    </row>
    <row r="11955" spans="1:2" x14ac:dyDescent="0.25">
      <c r="A11955" s="45" t="s">
        <v>11980</v>
      </c>
      <c r="B11955" s="46" t="s">
        <v>18957</v>
      </c>
    </row>
    <row r="11956" spans="1:2" x14ac:dyDescent="0.25">
      <c r="A11956" s="45" t="s">
        <v>11981</v>
      </c>
      <c r="B11956" s="46" t="s">
        <v>19063</v>
      </c>
    </row>
    <row r="11957" spans="1:2" x14ac:dyDescent="0.25">
      <c r="A11957" s="45" t="s">
        <v>11982</v>
      </c>
      <c r="B11957" s="46" t="s">
        <v>19064</v>
      </c>
    </row>
    <row r="11958" spans="1:2" x14ac:dyDescent="0.25">
      <c r="A11958" s="45" t="s">
        <v>11983</v>
      </c>
      <c r="B11958" s="46" t="s">
        <v>19065</v>
      </c>
    </row>
    <row r="11959" spans="1:2" x14ac:dyDescent="0.25">
      <c r="A11959" s="45" t="s">
        <v>11984</v>
      </c>
      <c r="B11959" s="46" t="s">
        <v>19066</v>
      </c>
    </row>
    <row r="11960" spans="1:2" x14ac:dyDescent="0.25">
      <c r="A11960" s="45" t="s">
        <v>11985</v>
      </c>
      <c r="B11960" s="46" t="s">
        <v>19067</v>
      </c>
    </row>
    <row r="11961" spans="1:2" x14ac:dyDescent="0.25">
      <c r="A11961" s="45" t="s">
        <v>11986</v>
      </c>
      <c r="B11961" s="46" t="s">
        <v>19068</v>
      </c>
    </row>
    <row r="11962" spans="1:2" x14ac:dyDescent="0.25">
      <c r="A11962" s="45" t="s">
        <v>11987</v>
      </c>
      <c r="B11962" s="46" t="s">
        <v>19069</v>
      </c>
    </row>
    <row r="11963" spans="1:2" x14ac:dyDescent="0.25">
      <c r="A11963" s="45" t="s">
        <v>11988</v>
      </c>
      <c r="B11963" s="46" t="s">
        <v>19070</v>
      </c>
    </row>
    <row r="11964" spans="1:2" x14ac:dyDescent="0.25">
      <c r="A11964" s="45" t="s">
        <v>11989</v>
      </c>
      <c r="B11964" s="46" t="s">
        <v>19071</v>
      </c>
    </row>
    <row r="11965" spans="1:2" x14ac:dyDescent="0.25">
      <c r="A11965" s="45" t="s">
        <v>11990</v>
      </c>
      <c r="B11965" s="46" t="s">
        <v>19072</v>
      </c>
    </row>
    <row r="11966" spans="1:2" x14ac:dyDescent="0.25">
      <c r="A11966" s="45" t="s">
        <v>11991</v>
      </c>
      <c r="B11966" s="46" t="s">
        <v>19073</v>
      </c>
    </row>
    <row r="11967" spans="1:2" x14ac:dyDescent="0.25">
      <c r="A11967" s="45" t="s">
        <v>11992</v>
      </c>
      <c r="B11967" s="46" t="s">
        <v>19074</v>
      </c>
    </row>
    <row r="11968" spans="1:2" x14ac:dyDescent="0.25">
      <c r="A11968" s="45" t="s">
        <v>11993</v>
      </c>
      <c r="B11968" s="46" t="s">
        <v>19075</v>
      </c>
    </row>
    <row r="11969" spans="1:2" x14ac:dyDescent="0.25">
      <c r="A11969" s="45" t="s">
        <v>11994</v>
      </c>
      <c r="B11969" s="46" t="s">
        <v>19076</v>
      </c>
    </row>
    <row r="11970" spans="1:2" x14ac:dyDescent="0.25">
      <c r="A11970" s="45" t="s">
        <v>11995</v>
      </c>
      <c r="B11970" s="46" t="s">
        <v>19077</v>
      </c>
    </row>
    <row r="11971" spans="1:2" x14ac:dyDescent="0.25">
      <c r="A11971" s="45" t="s">
        <v>11996</v>
      </c>
      <c r="B11971" s="46" t="s">
        <v>19078</v>
      </c>
    </row>
    <row r="11972" spans="1:2" x14ac:dyDescent="0.25">
      <c r="A11972" s="45" t="s">
        <v>11997</v>
      </c>
      <c r="B11972" s="46" t="s">
        <v>19079</v>
      </c>
    </row>
    <row r="11973" spans="1:2" x14ac:dyDescent="0.25">
      <c r="A11973" s="45" t="s">
        <v>11998</v>
      </c>
      <c r="B11973" s="46" t="s">
        <v>19080</v>
      </c>
    </row>
    <row r="11974" spans="1:2" x14ac:dyDescent="0.25">
      <c r="A11974" s="45" t="s">
        <v>11999</v>
      </c>
      <c r="B11974" s="46" t="s">
        <v>19081</v>
      </c>
    </row>
    <row r="11975" spans="1:2" x14ac:dyDescent="0.25">
      <c r="A11975" s="45" t="s">
        <v>12000</v>
      </c>
      <c r="B11975" s="46" t="s">
        <v>19082</v>
      </c>
    </row>
    <row r="11976" spans="1:2" x14ac:dyDescent="0.25">
      <c r="A11976" s="45" t="s">
        <v>12001</v>
      </c>
      <c r="B11976" s="46" t="s">
        <v>19083</v>
      </c>
    </row>
    <row r="11977" spans="1:2" x14ac:dyDescent="0.25">
      <c r="A11977" s="45" t="s">
        <v>12002</v>
      </c>
      <c r="B11977" s="46" t="s">
        <v>19084</v>
      </c>
    </row>
    <row r="11978" spans="1:2" x14ac:dyDescent="0.25">
      <c r="A11978" s="45" t="s">
        <v>12003</v>
      </c>
      <c r="B11978" s="46" t="s">
        <v>24689</v>
      </c>
    </row>
    <row r="11979" spans="1:2" x14ac:dyDescent="0.25">
      <c r="A11979" s="45" t="s">
        <v>12004</v>
      </c>
      <c r="B11979" s="46" t="s">
        <v>19085</v>
      </c>
    </row>
    <row r="11980" spans="1:2" x14ac:dyDescent="0.25">
      <c r="A11980" s="45" t="s">
        <v>12005</v>
      </c>
      <c r="B11980" s="46" t="s">
        <v>18822</v>
      </c>
    </row>
    <row r="11981" spans="1:2" x14ac:dyDescent="0.25">
      <c r="A11981" s="45" t="s">
        <v>12006</v>
      </c>
      <c r="B11981" s="46" t="s">
        <v>18823</v>
      </c>
    </row>
    <row r="11982" spans="1:2" x14ac:dyDescent="0.25">
      <c r="A11982" s="45" t="s">
        <v>12007</v>
      </c>
      <c r="B11982" s="46" t="s">
        <v>18824</v>
      </c>
    </row>
    <row r="11983" spans="1:2" x14ac:dyDescent="0.25">
      <c r="A11983" s="45" t="s">
        <v>12008</v>
      </c>
      <c r="B11983" s="46" t="s">
        <v>19086</v>
      </c>
    </row>
    <row r="11984" spans="1:2" x14ac:dyDescent="0.25">
      <c r="A11984" s="45" t="s">
        <v>12009</v>
      </c>
      <c r="B11984" s="46" t="s">
        <v>19087</v>
      </c>
    </row>
    <row r="11985" spans="1:2" x14ac:dyDescent="0.25">
      <c r="A11985" s="45" t="s">
        <v>12010</v>
      </c>
      <c r="B11985" s="46" t="s">
        <v>19088</v>
      </c>
    </row>
    <row r="11986" spans="1:2" x14ac:dyDescent="0.25">
      <c r="A11986" s="45" t="s">
        <v>12011</v>
      </c>
      <c r="B11986" s="46" t="s">
        <v>19089</v>
      </c>
    </row>
    <row r="11987" spans="1:2" x14ac:dyDescent="0.25">
      <c r="A11987" s="45" t="s">
        <v>12012</v>
      </c>
      <c r="B11987" s="46" t="s">
        <v>19090</v>
      </c>
    </row>
    <row r="11988" spans="1:2" x14ac:dyDescent="0.25">
      <c r="A11988" s="45" t="s">
        <v>12013</v>
      </c>
      <c r="B11988" s="46" t="s">
        <v>19091</v>
      </c>
    </row>
    <row r="11989" spans="1:2" x14ac:dyDescent="0.25">
      <c r="A11989" s="45" t="s">
        <v>12014</v>
      </c>
      <c r="B11989" s="46" t="s">
        <v>24690</v>
      </c>
    </row>
    <row r="11990" spans="1:2" x14ac:dyDescent="0.25">
      <c r="A11990" s="45" t="s">
        <v>12015</v>
      </c>
      <c r="B11990" s="46" t="s">
        <v>24691</v>
      </c>
    </row>
    <row r="11991" spans="1:2" x14ac:dyDescent="0.25">
      <c r="A11991" s="45" t="s">
        <v>12016</v>
      </c>
      <c r="B11991" s="46" t="s">
        <v>19092</v>
      </c>
    </row>
    <row r="11992" spans="1:2" x14ac:dyDescent="0.25">
      <c r="A11992" s="45" t="s">
        <v>12017</v>
      </c>
      <c r="B11992" s="46" t="s">
        <v>19093</v>
      </c>
    </row>
    <row r="11993" spans="1:2" x14ac:dyDescent="0.25">
      <c r="A11993" s="45" t="s">
        <v>12018</v>
      </c>
      <c r="B11993" s="46" t="s">
        <v>19094</v>
      </c>
    </row>
    <row r="11994" spans="1:2" x14ac:dyDescent="0.25">
      <c r="A11994" s="45" t="s">
        <v>12019</v>
      </c>
      <c r="B11994" s="46" t="s">
        <v>19095</v>
      </c>
    </row>
    <row r="11995" spans="1:2" x14ac:dyDescent="0.25">
      <c r="A11995" s="45" t="s">
        <v>12020</v>
      </c>
      <c r="B11995" s="46" t="s">
        <v>19096</v>
      </c>
    </row>
    <row r="11996" spans="1:2" x14ac:dyDescent="0.25">
      <c r="A11996" s="45" t="s">
        <v>12021</v>
      </c>
      <c r="B11996" s="46" t="s">
        <v>19097</v>
      </c>
    </row>
    <row r="11997" spans="1:2" x14ac:dyDescent="0.25">
      <c r="A11997" s="45" t="s">
        <v>12022</v>
      </c>
      <c r="B11997" s="46" t="s">
        <v>19098</v>
      </c>
    </row>
    <row r="11998" spans="1:2" x14ac:dyDescent="0.25">
      <c r="A11998" s="45" t="s">
        <v>12023</v>
      </c>
      <c r="B11998" s="46" t="s">
        <v>19099</v>
      </c>
    </row>
    <row r="11999" spans="1:2" x14ac:dyDescent="0.25">
      <c r="A11999" s="45" t="s">
        <v>12024</v>
      </c>
      <c r="B11999" s="46" t="s">
        <v>19100</v>
      </c>
    </row>
    <row r="12000" spans="1:2" x14ac:dyDescent="0.25">
      <c r="A12000" s="45" t="s">
        <v>12025</v>
      </c>
      <c r="B12000" s="46" t="s">
        <v>19101</v>
      </c>
    </row>
    <row r="12001" spans="1:2" x14ac:dyDescent="0.25">
      <c r="A12001" s="45" t="s">
        <v>12026</v>
      </c>
      <c r="B12001" s="46" t="s">
        <v>19102</v>
      </c>
    </row>
    <row r="12002" spans="1:2" x14ac:dyDescent="0.25">
      <c r="A12002" s="45" t="s">
        <v>12027</v>
      </c>
      <c r="B12002" s="46" t="s">
        <v>19103</v>
      </c>
    </row>
    <row r="12003" spans="1:2" x14ac:dyDescent="0.25">
      <c r="A12003" s="45" t="s">
        <v>12028</v>
      </c>
      <c r="B12003" s="46" t="s">
        <v>19104</v>
      </c>
    </row>
    <row r="12004" spans="1:2" x14ac:dyDescent="0.25">
      <c r="A12004" s="45" t="s">
        <v>12029</v>
      </c>
      <c r="B12004" s="46" t="s">
        <v>19105</v>
      </c>
    </row>
    <row r="12005" spans="1:2" x14ac:dyDescent="0.25">
      <c r="A12005" s="45" t="s">
        <v>12030</v>
      </c>
      <c r="B12005" s="46" t="s">
        <v>19106</v>
      </c>
    </row>
    <row r="12006" spans="1:2" x14ac:dyDescent="0.25">
      <c r="A12006" s="45" t="s">
        <v>12031</v>
      </c>
      <c r="B12006" s="46" t="s">
        <v>19107</v>
      </c>
    </row>
    <row r="12007" spans="1:2" x14ac:dyDescent="0.25">
      <c r="A12007" s="45" t="s">
        <v>12032</v>
      </c>
      <c r="B12007" s="46" t="s">
        <v>19108</v>
      </c>
    </row>
    <row r="12008" spans="1:2" x14ac:dyDescent="0.25">
      <c r="A12008" s="45" t="s">
        <v>12033</v>
      </c>
      <c r="B12008" s="46" t="s">
        <v>19109</v>
      </c>
    </row>
    <row r="12009" spans="1:2" x14ac:dyDescent="0.25">
      <c r="A12009" s="45" t="s">
        <v>12034</v>
      </c>
      <c r="B12009" s="46" t="s">
        <v>19110</v>
      </c>
    </row>
    <row r="12010" spans="1:2" x14ac:dyDescent="0.25">
      <c r="A12010" s="45" t="s">
        <v>12035</v>
      </c>
      <c r="B12010" s="46" t="s">
        <v>19111</v>
      </c>
    </row>
    <row r="12011" spans="1:2" x14ac:dyDescent="0.25">
      <c r="A12011" s="45" t="s">
        <v>12036</v>
      </c>
      <c r="B12011" s="46" t="s">
        <v>19112</v>
      </c>
    </row>
    <row r="12012" spans="1:2" x14ac:dyDescent="0.25">
      <c r="A12012" s="45" t="s">
        <v>12037</v>
      </c>
      <c r="B12012" s="46" t="s">
        <v>19113</v>
      </c>
    </row>
    <row r="12013" spans="1:2" x14ac:dyDescent="0.25">
      <c r="A12013" s="45" t="s">
        <v>12038</v>
      </c>
      <c r="B12013" s="46" t="s">
        <v>19114</v>
      </c>
    </row>
    <row r="12014" spans="1:2" x14ac:dyDescent="0.25">
      <c r="A12014" s="45" t="s">
        <v>12039</v>
      </c>
      <c r="B12014" s="46" t="s">
        <v>19115</v>
      </c>
    </row>
    <row r="12015" spans="1:2" x14ac:dyDescent="0.25">
      <c r="A12015" s="45" t="s">
        <v>12040</v>
      </c>
      <c r="B12015" s="46" t="s">
        <v>24692</v>
      </c>
    </row>
    <row r="12016" spans="1:2" x14ac:dyDescent="0.25">
      <c r="A12016" s="45" t="s">
        <v>12041</v>
      </c>
      <c r="B12016" s="46" t="s">
        <v>19116</v>
      </c>
    </row>
    <row r="12017" spans="1:2" x14ac:dyDescent="0.25">
      <c r="A12017" s="45" t="s">
        <v>12042</v>
      </c>
      <c r="B12017" s="46" t="s">
        <v>19117</v>
      </c>
    </row>
    <row r="12018" spans="1:2" x14ac:dyDescent="0.25">
      <c r="A12018" s="45" t="s">
        <v>12043</v>
      </c>
      <c r="B12018" s="46" t="s">
        <v>19118</v>
      </c>
    </row>
    <row r="12019" spans="1:2" x14ac:dyDescent="0.25">
      <c r="A12019" s="45" t="s">
        <v>12044</v>
      </c>
      <c r="B12019" s="46" t="s">
        <v>19119</v>
      </c>
    </row>
    <row r="12020" spans="1:2" x14ac:dyDescent="0.25">
      <c r="A12020" s="45" t="s">
        <v>12045</v>
      </c>
      <c r="B12020" s="46" t="s">
        <v>19120</v>
      </c>
    </row>
    <row r="12021" spans="1:2" x14ac:dyDescent="0.25">
      <c r="A12021" s="45" t="s">
        <v>12046</v>
      </c>
      <c r="B12021" s="46" t="s">
        <v>19121</v>
      </c>
    </row>
    <row r="12022" spans="1:2" x14ac:dyDescent="0.25">
      <c r="A12022" s="45" t="s">
        <v>12047</v>
      </c>
      <c r="B12022" s="46" t="s">
        <v>24693</v>
      </c>
    </row>
    <row r="12023" spans="1:2" x14ac:dyDescent="0.25">
      <c r="A12023" s="45" t="s">
        <v>12048</v>
      </c>
      <c r="B12023" s="46" t="s">
        <v>24694</v>
      </c>
    </row>
    <row r="12024" spans="1:2" x14ac:dyDescent="0.25">
      <c r="A12024" s="45" t="s">
        <v>12049</v>
      </c>
      <c r="B12024" s="46" t="s">
        <v>19122</v>
      </c>
    </row>
    <row r="12025" spans="1:2" x14ac:dyDescent="0.25">
      <c r="A12025" s="45" t="s">
        <v>12050</v>
      </c>
      <c r="B12025" s="46" t="s">
        <v>19123</v>
      </c>
    </row>
    <row r="12026" spans="1:2" x14ac:dyDescent="0.25">
      <c r="A12026" s="45" t="s">
        <v>12051</v>
      </c>
      <c r="B12026" s="46" t="s">
        <v>24695</v>
      </c>
    </row>
    <row r="12027" spans="1:2" x14ac:dyDescent="0.25">
      <c r="A12027" s="45" t="s">
        <v>12052</v>
      </c>
      <c r="B12027" s="46" t="s">
        <v>24696</v>
      </c>
    </row>
    <row r="12028" spans="1:2" x14ac:dyDescent="0.25">
      <c r="A12028" s="45" t="s">
        <v>12053</v>
      </c>
      <c r="B12028" s="46" t="s">
        <v>24697</v>
      </c>
    </row>
    <row r="12029" spans="1:2" x14ac:dyDescent="0.25">
      <c r="A12029" s="45" t="s">
        <v>12054</v>
      </c>
      <c r="B12029" s="46" t="s">
        <v>24698</v>
      </c>
    </row>
    <row r="12030" spans="1:2" x14ac:dyDescent="0.25">
      <c r="A12030" s="45" t="s">
        <v>12055</v>
      </c>
      <c r="B12030" s="46" t="s">
        <v>19124</v>
      </c>
    </row>
    <row r="12031" spans="1:2" x14ac:dyDescent="0.25">
      <c r="A12031" s="45" t="s">
        <v>12056</v>
      </c>
      <c r="B12031" s="46" t="s">
        <v>19125</v>
      </c>
    </row>
    <row r="12032" spans="1:2" x14ac:dyDescent="0.25">
      <c r="A12032" s="45" t="s">
        <v>12057</v>
      </c>
      <c r="B12032" s="46" t="s">
        <v>19126</v>
      </c>
    </row>
    <row r="12033" spans="1:2" x14ac:dyDescent="0.25">
      <c r="A12033" s="45" t="s">
        <v>12058</v>
      </c>
      <c r="B12033" s="46" t="s">
        <v>19127</v>
      </c>
    </row>
    <row r="12034" spans="1:2" x14ac:dyDescent="0.25">
      <c r="A12034" s="45" t="s">
        <v>12059</v>
      </c>
      <c r="B12034" s="46" t="s">
        <v>19128</v>
      </c>
    </row>
    <row r="12035" spans="1:2" x14ac:dyDescent="0.25">
      <c r="A12035" s="45" t="s">
        <v>12060</v>
      </c>
      <c r="B12035" s="46" t="s">
        <v>19129</v>
      </c>
    </row>
    <row r="12036" spans="1:2" x14ac:dyDescent="0.25">
      <c r="A12036" s="45" t="s">
        <v>12061</v>
      </c>
      <c r="B12036" s="46" t="s">
        <v>19130</v>
      </c>
    </row>
    <row r="12037" spans="1:2" x14ac:dyDescent="0.25">
      <c r="A12037" s="45" t="s">
        <v>12062</v>
      </c>
      <c r="B12037" s="46" t="s">
        <v>19131</v>
      </c>
    </row>
    <row r="12038" spans="1:2" x14ac:dyDescent="0.25">
      <c r="A12038" s="45" t="s">
        <v>12063</v>
      </c>
      <c r="B12038" s="46" t="s">
        <v>19132</v>
      </c>
    </row>
    <row r="12039" spans="1:2" x14ac:dyDescent="0.25">
      <c r="A12039" s="45" t="s">
        <v>12064</v>
      </c>
      <c r="B12039" s="46" t="s">
        <v>19133</v>
      </c>
    </row>
    <row r="12040" spans="1:2" x14ac:dyDescent="0.25">
      <c r="A12040" s="45" t="s">
        <v>12065</v>
      </c>
      <c r="B12040" s="46" t="s">
        <v>19134</v>
      </c>
    </row>
    <row r="12041" spans="1:2" x14ac:dyDescent="0.25">
      <c r="A12041" s="45" t="s">
        <v>12066</v>
      </c>
      <c r="B12041" s="46" t="s">
        <v>19135</v>
      </c>
    </row>
    <row r="12042" spans="1:2" x14ac:dyDescent="0.25">
      <c r="A12042" s="45" t="s">
        <v>12067</v>
      </c>
      <c r="B12042" s="46" t="s">
        <v>19136</v>
      </c>
    </row>
    <row r="12043" spans="1:2" x14ac:dyDescent="0.25">
      <c r="A12043" s="45" t="s">
        <v>12068</v>
      </c>
      <c r="B12043" s="46" t="s">
        <v>19137</v>
      </c>
    </row>
    <row r="12044" spans="1:2" x14ac:dyDescent="0.25">
      <c r="A12044" s="45" t="s">
        <v>12069</v>
      </c>
      <c r="B12044" s="46" t="s">
        <v>19138</v>
      </c>
    </row>
    <row r="12045" spans="1:2" x14ac:dyDescent="0.25">
      <c r="A12045" s="45" t="s">
        <v>12070</v>
      </c>
      <c r="B12045" s="46" t="s">
        <v>19139</v>
      </c>
    </row>
    <row r="12046" spans="1:2" x14ac:dyDescent="0.25">
      <c r="A12046" s="45" t="s">
        <v>12071</v>
      </c>
      <c r="B12046" s="46" t="s">
        <v>19140</v>
      </c>
    </row>
    <row r="12047" spans="1:2" x14ac:dyDescent="0.25">
      <c r="A12047" s="45" t="s">
        <v>12072</v>
      </c>
      <c r="B12047" s="46" t="s">
        <v>19141</v>
      </c>
    </row>
    <row r="12048" spans="1:2" x14ac:dyDescent="0.25">
      <c r="A12048" s="45" t="s">
        <v>12073</v>
      </c>
      <c r="B12048" s="46" t="s">
        <v>19142</v>
      </c>
    </row>
    <row r="12049" spans="1:2" x14ac:dyDescent="0.25">
      <c r="A12049" s="45" t="s">
        <v>12074</v>
      </c>
      <c r="B12049" s="46" t="s">
        <v>19143</v>
      </c>
    </row>
    <row r="12050" spans="1:2" x14ac:dyDescent="0.25">
      <c r="A12050" s="45" t="s">
        <v>12075</v>
      </c>
      <c r="B12050" s="46" t="s">
        <v>19144</v>
      </c>
    </row>
    <row r="12051" spans="1:2" x14ac:dyDescent="0.25">
      <c r="A12051" s="45" t="s">
        <v>12076</v>
      </c>
      <c r="B12051" s="46" t="s">
        <v>19145</v>
      </c>
    </row>
    <row r="12052" spans="1:2" x14ac:dyDescent="0.25">
      <c r="A12052" s="45" t="s">
        <v>12077</v>
      </c>
      <c r="B12052" s="46" t="s">
        <v>19146</v>
      </c>
    </row>
    <row r="12053" spans="1:2" x14ac:dyDescent="0.25">
      <c r="A12053" s="45" t="s">
        <v>12078</v>
      </c>
      <c r="B12053" s="46" t="s">
        <v>19147</v>
      </c>
    </row>
    <row r="12054" spans="1:2" x14ac:dyDescent="0.25">
      <c r="A12054" s="45" t="s">
        <v>12079</v>
      </c>
      <c r="B12054" s="46" t="s">
        <v>19148</v>
      </c>
    </row>
    <row r="12055" spans="1:2" x14ac:dyDescent="0.25">
      <c r="A12055" s="45" t="s">
        <v>12080</v>
      </c>
      <c r="B12055" s="46" t="s">
        <v>24699</v>
      </c>
    </row>
    <row r="12056" spans="1:2" x14ac:dyDescent="0.25">
      <c r="A12056" s="45" t="s">
        <v>12081</v>
      </c>
      <c r="B12056" s="46" t="s">
        <v>19149</v>
      </c>
    </row>
    <row r="12057" spans="1:2" x14ac:dyDescent="0.25">
      <c r="A12057" s="45" t="s">
        <v>12082</v>
      </c>
      <c r="B12057" s="46" t="s">
        <v>19150</v>
      </c>
    </row>
    <row r="12058" spans="1:2" x14ac:dyDescent="0.25">
      <c r="A12058" s="45" t="s">
        <v>12083</v>
      </c>
      <c r="B12058" s="46" t="s">
        <v>19151</v>
      </c>
    </row>
    <row r="12059" spans="1:2" x14ac:dyDescent="0.25">
      <c r="A12059" s="45" t="s">
        <v>12084</v>
      </c>
      <c r="B12059" s="46" t="s">
        <v>19152</v>
      </c>
    </row>
    <row r="12060" spans="1:2" x14ac:dyDescent="0.25">
      <c r="A12060" s="45" t="s">
        <v>12085</v>
      </c>
      <c r="B12060" s="46" t="s">
        <v>19153</v>
      </c>
    </row>
    <row r="12061" spans="1:2" x14ac:dyDescent="0.25">
      <c r="A12061" s="45" t="s">
        <v>12086</v>
      </c>
      <c r="B12061" s="46" t="s">
        <v>19154</v>
      </c>
    </row>
    <row r="12062" spans="1:2" x14ac:dyDescent="0.25">
      <c r="A12062" s="45" t="s">
        <v>12087</v>
      </c>
      <c r="B12062" s="46" t="s">
        <v>19155</v>
      </c>
    </row>
    <row r="12063" spans="1:2" x14ac:dyDescent="0.25">
      <c r="A12063" s="45" t="s">
        <v>12088</v>
      </c>
      <c r="B12063" s="46" t="s">
        <v>24700</v>
      </c>
    </row>
    <row r="12064" spans="1:2" x14ac:dyDescent="0.25">
      <c r="A12064" s="45" t="s">
        <v>12089</v>
      </c>
      <c r="B12064" s="46" t="s">
        <v>19156</v>
      </c>
    </row>
    <row r="12065" spans="1:2" x14ac:dyDescent="0.25">
      <c r="A12065" s="45" t="s">
        <v>12090</v>
      </c>
      <c r="B12065" s="46" t="s">
        <v>19157</v>
      </c>
    </row>
    <row r="12066" spans="1:2" x14ac:dyDescent="0.25">
      <c r="A12066" s="45" t="s">
        <v>12091</v>
      </c>
      <c r="B12066" s="46" t="s">
        <v>19158</v>
      </c>
    </row>
    <row r="12067" spans="1:2" x14ac:dyDescent="0.25">
      <c r="A12067" s="45" t="s">
        <v>12092</v>
      </c>
      <c r="B12067" s="46" t="s">
        <v>19159</v>
      </c>
    </row>
    <row r="12068" spans="1:2" x14ac:dyDescent="0.25">
      <c r="A12068" s="45" t="s">
        <v>12093</v>
      </c>
      <c r="B12068" s="46" t="s">
        <v>19160</v>
      </c>
    </row>
    <row r="12069" spans="1:2" x14ac:dyDescent="0.25">
      <c r="A12069" s="45" t="s">
        <v>12094</v>
      </c>
      <c r="B12069" s="46" t="s">
        <v>24701</v>
      </c>
    </row>
    <row r="12070" spans="1:2" x14ac:dyDescent="0.25">
      <c r="A12070" s="45" t="s">
        <v>12095</v>
      </c>
      <c r="B12070" s="46" t="s">
        <v>19161</v>
      </c>
    </row>
    <row r="12071" spans="1:2" x14ac:dyDescent="0.25">
      <c r="A12071" s="45" t="s">
        <v>12096</v>
      </c>
      <c r="B12071" s="46" t="s">
        <v>19162</v>
      </c>
    </row>
    <row r="12072" spans="1:2" x14ac:dyDescent="0.25">
      <c r="A12072" s="45" t="s">
        <v>12097</v>
      </c>
      <c r="B12072" s="46" t="s">
        <v>19163</v>
      </c>
    </row>
    <row r="12073" spans="1:2" x14ac:dyDescent="0.25">
      <c r="A12073" s="45" t="s">
        <v>12098</v>
      </c>
      <c r="B12073" s="46" t="s">
        <v>19164</v>
      </c>
    </row>
    <row r="12074" spans="1:2" x14ac:dyDescent="0.25">
      <c r="A12074" s="45" t="s">
        <v>12099</v>
      </c>
      <c r="B12074" s="46" t="s">
        <v>19165</v>
      </c>
    </row>
    <row r="12075" spans="1:2" x14ac:dyDescent="0.25">
      <c r="A12075" s="45" t="s">
        <v>12100</v>
      </c>
      <c r="B12075" s="46" t="s">
        <v>19166</v>
      </c>
    </row>
    <row r="12076" spans="1:2" x14ac:dyDescent="0.25">
      <c r="A12076" s="45" t="s">
        <v>12101</v>
      </c>
      <c r="B12076" s="46" t="s">
        <v>19167</v>
      </c>
    </row>
    <row r="12077" spans="1:2" x14ac:dyDescent="0.25">
      <c r="A12077" s="45" t="s">
        <v>12102</v>
      </c>
      <c r="B12077" s="46" t="s">
        <v>19168</v>
      </c>
    </row>
    <row r="12078" spans="1:2" x14ac:dyDescent="0.25">
      <c r="A12078" s="45" t="s">
        <v>12103</v>
      </c>
      <c r="B12078" s="46" t="s">
        <v>19169</v>
      </c>
    </row>
    <row r="12079" spans="1:2" x14ac:dyDescent="0.25">
      <c r="A12079" s="45" t="s">
        <v>12104</v>
      </c>
      <c r="B12079" s="46" t="s">
        <v>24702</v>
      </c>
    </row>
    <row r="12080" spans="1:2" x14ac:dyDescent="0.25">
      <c r="A12080" s="45" t="s">
        <v>12105</v>
      </c>
      <c r="B12080" s="46" t="s">
        <v>19170</v>
      </c>
    </row>
    <row r="12081" spans="1:2" x14ac:dyDescent="0.25">
      <c r="A12081" s="45" t="s">
        <v>12106</v>
      </c>
      <c r="B12081" s="46" t="s">
        <v>19171</v>
      </c>
    </row>
    <row r="12082" spans="1:2" x14ac:dyDescent="0.25">
      <c r="A12082" s="45" t="s">
        <v>12107</v>
      </c>
      <c r="B12082" s="46" t="s">
        <v>19172</v>
      </c>
    </row>
    <row r="12083" spans="1:2" x14ac:dyDescent="0.25">
      <c r="A12083" s="45" t="s">
        <v>12108</v>
      </c>
      <c r="B12083" s="46" t="s">
        <v>19173</v>
      </c>
    </row>
    <row r="12084" spans="1:2" x14ac:dyDescent="0.25">
      <c r="A12084" s="45" t="s">
        <v>12109</v>
      </c>
      <c r="B12084" s="46" t="s">
        <v>19174</v>
      </c>
    </row>
    <row r="12085" spans="1:2" x14ac:dyDescent="0.25">
      <c r="A12085" s="45" t="s">
        <v>12110</v>
      </c>
      <c r="B12085" s="46" t="s">
        <v>19175</v>
      </c>
    </row>
    <row r="12086" spans="1:2" x14ac:dyDescent="0.25">
      <c r="A12086" s="45" t="s">
        <v>12111</v>
      </c>
      <c r="B12086" s="46" t="s">
        <v>24703</v>
      </c>
    </row>
    <row r="12087" spans="1:2" x14ac:dyDescent="0.25">
      <c r="A12087" s="45" t="s">
        <v>12112</v>
      </c>
      <c r="B12087" s="46" t="s">
        <v>19176</v>
      </c>
    </row>
    <row r="12088" spans="1:2" x14ac:dyDescent="0.25">
      <c r="A12088" s="45" t="s">
        <v>12113</v>
      </c>
      <c r="B12088" s="46" t="s">
        <v>19177</v>
      </c>
    </row>
    <row r="12089" spans="1:2" x14ac:dyDescent="0.25">
      <c r="A12089" s="45" t="s">
        <v>12114</v>
      </c>
      <c r="B12089" s="46" t="s">
        <v>19178</v>
      </c>
    </row>
    <row r="12090" spans="1:2" x14ac:dyDescent="0.25">
      <c r="A12090" s="45" t="s">
        <v>12115</v>
      </c>
      <c r="B12090" s="46" t="s">
        <v>19179</v>
      </c>
    </row>
    <row r="12091" spans="1:2" x14ac:dyDescent="0.25">
      <c r="A12091" s="45" t="s">
        <v>12116</v>
      </c>
      <c r="B12091" s="46" t="s">
        <v>19180</v>
      </c>
    </row>
    <row r="12092" spans="1:2" x14ac:dyDescent="0.25">
      <c r="A12092" s="45" t="s">
        <v>12117</v>
      </c>
      <c r="B12092" s="46" t="s">
        <v>19181</v>
      </c>
    </row>
    <row r="12093" spans="1:2" x14ac:dyDescent="0.25">
      <c r="A12093" s="45" t="s">
        <v>12118</v>
      </c>
      <c r="B12093" s="46" t="s">
        <v>19182</v>
      </c>
    </row>
    <row r="12094" spans="1:2" x14ac:dyDescent="0.25">
      <c r="A12094" s="45" t="s">
        <v>12119</v>
      </c>
      <c r="B12094" s="46" t="s">
        <v>19183</v>
      </c>
    </row>
    <row r="12095" spans="1:2" x14ac:dyDescent="0.25">
      <c r="A12095" s="45" t="s">
        <v>12120</v>
      </c>
      <c r="B12095" s="46" t="s">
        <v>19184</v>
      </c>
    </row>
    <row r="12096" spans="1:2" x14ac:dyDescent="0.25">
      <c r="A12096" s="45" t="s">
        <v>12121</v>
      </c>
      <c r="B12096" s="46" t="s">
        <v>19185</v>
      </c>
    </row>
    <row r="12097" spans="1:2" x14ac:dyDescent="0.25">
      <c r="A12097" s="45" t="s">
        <v>12122</v>
      </c>
      <c r="B12097" s="46" t="s">
        <v>24704</v>
      </c>
    </row>
    <row r="12098" spans="1:2" x14ac:dyDescent="0.25">
      <c r="A12098" s="45" t="s">
        <v>12123</v>
      </c>
      <c r="B12098" s="46" t="s">
        <v>24705</v>
      </c>
    </row>
    <row r="12099" spans="1:2" x14ac:dyDescent="0.25">
      <c r="A12099" s="45" t="s">
        <v>12124</v>
      </c>
      <c r="B12099" s="46" t="s">
        <v>19186</v>
      </c>
    </row>
    <row r="12100" spans="1:2" x14ac:dyDescent="0.25">
      <c r="A12100" s="45" t="s">
        <v>12125</v>
      </c>
      <c r="B12100" s="46" t="s">
        <v>19187</v>
      </c>
    </row>
    <row r="12101" spans="1:2" x14ac:dyDescent="0.25">
      <c r="A12101" s="45" t="s">
        <v>12126</v>
      </c>
      <c r="B12101" s="46" t="s">
        <v>24706</v>
      </c>
    </row>
    <row r="12102" spans="1:2" x14ac:dyDescent="0.25">
      <c r="A12102" s="45" t="s">
        <v>12127</v>
      </c>
      <c r="B12102" s="46" t="s">
        <v>24707</v>
      </c>
    </row>
    <row r="12103" spans="1:2" x14ac:dyDescent="0.25">
      <c r="A12103" s="45" t="s">
        <v>12128</v>
      </c>
      <c r="B12103" s="46" t="s">
        <v>24708</v>
      </c>
    </row>
    <row r="12104" spans="1:2" x14ac:dyDescent="0.25">
      <c r="A12104" s="45" t="s">
        <v>12129</v>
      </c>
      <c r="B12104" s="46" t="s">
        <v>24709</v>
      </c>
    </row>
    <row r="12105" spans="1:2" x14ac:dyDescent="0.25">
      <c r="A12105" s="45" t="s">
        <v>12130</v>
      </c>
      <c r="B12105" s="46" t="s">
        <v>24710</v>
      </c>
    </row>
    <row r="12106" spans="1:2" x14ac:dyDescent="0.25">
      <c r="A12106" s="45" t="s">
        <v>12131</v>
      </c>
      <c r="B12106" s="46" t="s">
        <v>19188</v>
      </c>
    </row>
    <row r="12107" spans="1:2" x14ac:dyDescent="0.25">
      <c r="A12107" s="45" t="s">
        <v>12132</v>
      </c>
      <c r="B12107" s="46" t="s">
        <v>19189</v>
      </c>
    </row>
    <row r="12108" spans="1:2" x14ac:dyDescent="0.25">
      <c r="A12108" s="45" t="s">
        <v>12133</v>
      </c>
      <c r="B12108" s="46" t="s">
        <v>19190</v>
      </c>
    </row>
    <row r="12109" spans="1:2" x14ac:dyDescent="0.25">
      <c r="A12109" s="45" t="s">
        <v>12134</v>
      </c>
      <c r="B12109" s="46" t="s">
        <v>19191</v>
      </c>
    </row>
    <row r="12110" spans="1:2" x14ac:dyDescent="0.25">
      <c r="A12110" s="45" t="s">
        <v>12135</v>
      </c>
      <c r="B12110" s="46" t="s">
        <v>19192</v>
      </c>
    </row>
    <row r="12111" spans="1:2" x14ac:dyDescent="0.25">
      <c r="A12111" s="45" t="s">
        <v>12136</v>
      </c>
      <c r="B12111" s="46" t="s">
        <v>19193</v>
      </c>
    </row>
    <row r="12112" spans="1:2" x14ac:dyDescent="0.25">
      <c r="A12112" s="45" t="s">
        <v>12137</v>
      </c>
      <c r="B12112" s="46" t="s">
        <v>19194</v>
      </c>
    </row>
    <row r="12113" spans="1:2" x14ac:dyDescent="0.25">
      <c r="A12113" s="45" t="s">
        <v>12138</v>
      </c>
      <c r="B12113" s="46" t="s">
        <v>19195</v>
      </c>
    </row>
    <row r="12114" spans="1:2" x14ac:dyDescent="0.25">
      <c r="A12114" s="45" t="s">
        <v>12139</v>
      </c>
      <c r="B12114" s="46" t="s">
        <v>24711</v>
      </c>
    </row>
    <row r="12115" spans="1:2" x14ac:dyDescent="0.25">
      <c r="A12115" s="45" t="s">
        <v>12140</v>
      </c>
      <c r="B12115" s="46" t="s">
        <v>24712</v>
      </c>
    </row>
    <row r="12116" spans="1:2" x14ac:dyDescent="0.25">
      <c r="A12116" s="45" t="s">
        <v>12141</v>
      </c>
      <c r="B12116" s="46" t="s">
        <v>24713</v>
      </c>
    </row>
    <row r="12117" spans="1:2" x14ac:dyDescent="0.25">
      <c r="A12117" s="45" t="s">
        <v>12142</v>
      </c>
      <c r="B12117" s="46" t="s">
        <v>24714</v>
      </c>
    </row>
    <row r="12118" spans="1:2" x14ac:dyDescent="0.25">
      <c r="A12118" s="45" t="s">
        <v>12143</v>
      </c>
      <c r="B12118" s="46" t="s">
        <v>24715</v>
      </c>
    </row>
    <row r="12119" spans="1:2" x14ac:dyDescent="0.25">
      <c r="A12119" s="45" t="s">
        <v>12144</v>
      </c>
      <c r="B12119" s="46" t="s">
        <v>24716</v>
      </c>
    </row>
    <row r="12120" spans="1:2" x14ac:dyDescent="0.25">
      <c r="A12120" s="45" t="s">
        <v>12145</v>
      </c>
      <c r="B12120" s="46" t="s">
        <v>24717</v>
      </c>
    </row>
    <row r="12121" spans="1:2" x14ac:dyDescent="0.25">
      <c r="A12121" s="45" t="s">
        <v>12146</v>
      </c>
      <c r="B12121" s="46" t="s">
        <v>24718</v>
      </c>
    </row>
    <row r="12122" spans="1:2" x14ac:dyDescent="0.25">
      <c r="A12122" s="45" t="s">
        <v>12147</v>
      </c>
      <c r="B12122" s="46" t="s">
        <v>24719</v>
      </c>
    </row>
    <row r="12123" spans="1:2" x14ac:dyDescent="0.25">
      <c r="A12123" s="45" t="s">
        <v>12148</v>
      </c>
      <c r="B12123" s="46" t="s">
        <v>24720</v>
      </c>
    </row>
    <row r="12124" spans="1:2" x14ac:dyDescent="0.25">
      <c r="A12124" s="45" t="s">
        <v>12149</v>
      </c>
      <c r="B12124" s="46" t="s">
        <v>24721</v>
      </c>
    </row>
    <row r="12125" spans="1:2" x14ac:dyDescent="0.25">
      <c r="A12125" s="45" t="s">
        <v>12150</v>
      </c>
      <c r="B12125" s="46" t="s">
        <v>24722</v>
      </c>
    </row>
    <row r="12126" spans="1:2" x14ac:dyDescent="0.25">
      <c r="A12126" s="45" t="s">
        <v>12151</v>
      </c>
      <c r="B12126" s="46" t="s">
        <v>24723</v>
      </c>
    </row>
    <row r="12127" spans="1:2" x14ac:dyDescent="0.25">
      <c r="A12127" s="45" t="s">
        <v>12152</v>
      </c>
      <c r="B12127" s="46" t="s">
        <v>24724</v>
      </c>
    </row>
    <row r="12128" spans="1:2" x14ac:dyDescent="0.25">
      <c r="A12128" s="45" t="s">
        <v>12153</v>
      </c>
      <c r="B12128" s="46" t="s">
        <v>24725</v>
      </c>
    </row>
    <row r="12129" spans="1:2" x14ac:dyDescent="0.25">
      <c r="A12129" s="45" t="s">
        <v>12154</v>
      </c>
      <c r="B12129" s="46" t="s">
        <v>24726</v>
      </c>
    </row>
    <row r="12130" spans="1:2" x14ac:dyDescent="0.25">
      <c r="A12130" s="45" t="s">
        <v>12155</v>
      </c>
      <c r="B12130" s="46" t="s">
        <v>24727</v>
      </c>
    </row>
    <row r="12131" spans="1:2" x14ac:dyDescent="0.25">
      <c r="A12131" s="45" t="s">
        <v>12156</v>
      </c>
      <c r="B12131" s="46" t="s">
        <v>24728</v>
      </c>
    </row>
    <row r="12132" spans="1:2" x14ac:dyDescent="0.25">
      <c r="A12132" s="45" t="s">
        <v>12157</v>
      </c>
      <c r="B12132" s="46" t="s">
        <v>24729</v>
      </c>
    </row>
    <row r="12133" spans="1:2" x14ac:dyDescent="0.25">
      <c r="A12133" s="45" t="s">
        <v>12158</v>
      </c>
      <c r="B12133" s="46" t="s">
        <v>24730</v>
      </c>
    </row>
    <row r="12134" spans="1:2" x14ac:dyDescent="0.25">
      <c r="A12134" s="45" t="s">
        <v>12159</v>
      </c>
      <c r="B12134" s="46" t="s">
        <v>24731</v>
      </c>
    </row>
    <row r="12135" spans="1:2" x14ac:dyDescent="0.25">
      <c r="A12135" s="45" t="s">
        <v>12160</v>
      </c>
      <c r="B12135" s="46" t="s">
        <v>24732</v>
      </c>
    </row>
    <row r="12136" spans="1:2" x14ac:dyDescent="0.25">
      <c r="A12136" s="45" t="s">
        <v>12161</v>
      </c>
      <c r="B12136" s="46" t="s">
        <v>24733</v>
      </c>
    </row>
    <row r="12137" spans="1:2" x14ac:dyDescent="0.25">
      <c r="A12137" s="45" t="s">
        <v>12162</v>
      </c>
      <c r="B12137" s="46" t="s">
        <v>24734</v>
      </c>
    </row>
    <row r="12138" spans="1:2" x14ac:dyDescent="0.25">
      <c r="A12138" s="45" t="s">
        <v>12163</v>
      </c>
      <c r="B12138" s="46" t="s">
        <v>24735</v>
      </c>
    </row>
    <row r="12139" spans="1:2" x14ac:dyDescent="0.25">
      <c r="A12139" s="45" t="s">
        <v>12164</v>
      </c>
      <c r="B12139" s="46" t="s">
        <v>24736</v>
      </c>
    </row>
    <row r="12140" spans="1:2" x14ac:dyDescent="0.25">
      <c r="A12140" s="45" t="s">
        <v>12165</v>
      </c>
      <c r="B12140" s="46" t="s">
        <v>24737</v>
      </c>
    </row>
    <row r="12141" spans="1:2" x14ac:dyDescent="0.25">
      <c r="A12141" s="45" t="s">
        <v>12166</v>
      </c>
      <c r="B12141" s="46" t="s">
        <v>24738</v>
      </c>
    </row>
    <row r="12142" spans="1:2" x14ac:dyDescent="0.25">
      <c r="A12142" s="45" t="s">
        <v>12167</v>
      </c>
      <c r="B12142" s="46" t="s">
        <v>24739</v>
      </c>
    </row>
    <row r="12143" spans="1:2" x14ac:dyDescent="0.25">
      <c r="A12143" s="45" t="s">
        <v>12168</v>
      </c>
      <c r="B12143" s="46" t="s">
        <v>24740</v>
      </c>
    </row>
    <row r="12144" spans="1:2" x14ac:dyDescent="0.25">
      <c r="A12144" s="45" t="s">
        <v>12169</v>
      </c>
      <c r="B12144" s="46" t="s">
        <v>24741</v>
      </c>
    </row>
    <row r="12145" spans="1:2" x14ac:dyDescent="0.25">
      <c r="A12145" s="45" t="s">
        <v>12170</v>
      </c>
      <c r="B12145" s="46" t="s">
        <v>24742</v>
      </c>
    </row>
    <row r="12146" spans="1:2" x14ac:dyDescent="0.25">
      <c r="A12146" s="45" t="s">
        <v>12171</v>
      </c>
      <c r="B12146" s="46" t="s">
        <v>24743</v>
      </c>
    </row>
    <row r="12147" spans="1:2" x14ac:dyDescent="0.25">
      <c r="A12147" s="45" t="s">
        <v>12172</v>
      </c>
      <c r="B12147" s="46" t="s">
        <v>24744</v>
      </c>
    </row>
    <row r="12148" spans="1:2" x14ac:dyDescent="0.25">
      <c r="A12148" s="45" t="s">
        <v>12173</v>
      </c>
      <c r="B12148" s="46" t="s">
        <v>24745</v>
      </c>
    </row>
    <row r="12149" spans="1:2" x14ac:dyDescent="0.25">
      <c r="A12149" s="45" t="s">
        <v>12174</v>
      </c>
      <c r="B12149" s="46" t="s">
        <v>24746</v>
      </c>
    </row>
    <row r="12150" spans="1:2" x14ac:dyDescent="0.25">
      <c r="A12150" s="45" t="s">
        <v>12175</v>
      </c>
      <c r="B12150" s="46" t="s">
        <v>24747</v>
      </c>
    </row>
    <row r="12151" spans="1:2" x14ac:dyDescent="0.25">
      <c r="A12151" s="45" t="s">
        <v>12176</v>
      </c>
      <c r="B12151" s="46" t="s">
        <v>24748</v>
      </c>
    </row>
    <row r="12152" spans="1:2" x14ac:dyDescent="0.25">
      <c r="A12152" s="45" t="s">
        <v>12177</v>
      </c>
      <c r="B12152" s="46" t="s">
        <v>24749</v>
      </c>
    </row>
    <row r="12153" spans="1:2" x14ac:dyDescent="0.25">
      <c r="A12153" s="45" t="s">
        <v>12178</v>
      </c>
      <c r="B12153" s="46" t="s">
        <v>24750</v>
      </c>
    </row>
    <row r="12154" spans="1:2" x14ac:dyDescent="0.25">
      <c r="A12154" s="45" t="s">
        <v>12179</v>
      </c>
      <c r="B12154" s="46" t="s">
        <v>24751</v>
      </c>
    </row>
    <row r="12155" spans="1:2" x14ac:dyDescent="0.25">
      <c r="A12155" s="45" t="s">
        <v>12180</v>
      </c>
      <c r="B12155" s="46" t="s">
        <v>24752</v>
      </c>
    </row>
    <row r="12156" spans="1:2" x14ac:dyDescent="0.25">
      <c r="A12156" s="45" t="s">
        <v>12181</v>
      </c>
      <c r="B12156" s="46" t="s">
        <v>24753</v>
      </c>
    </row>
    <row r="12157" spans="1:2" x14ac:dyDescent="0.25">
      <c r="A12157" s="45" t="s">
        <v>12182</v>
      </c>
      <c r="B12157" s="46" t="s">
        <v>24754</v>
      </c>
    </row>
    <row r="12158" spans="1:2" x14ac:dyDescent="0.25">
      <c r="A12158" s="45" t="s">
        <v>12183</v>
      </c>
      <c r="B12158" s="46" t="s">
        <v>24755</v>
      </c>
    </row>
    <row r="12159" spans="1:2" x14ac:dyDescent="0.25">
      <c r="A12159" s="45" t="s">
        <v>12184</v>
      </c>
      <c r="B12159" s="46" t="s">
        <v>24756</v>
      </c>
    </row>
    <row r="12160" spans="1:2" x14ac:dyDescent="0.25">
      <c r="A12160" s="45" t="s">
        <v>12185</v>
      </c>
      <c r="B12160" s="46" t="s">
        <v>24757</v>
      </c>
    </row>
    <row r="12161" spans="1:2" x14ac:dyDescent="0.25">
      <c r="A12161" s="45" t="s">
        <v>12186</v>
      </c>
      <c r="B12161" s="46" t="s">
        <v>24758</v>
      </c>
    </row>
    <row r="12162" spans="1:2" x14ac:dyDescent="0.25">
      <c r="A12162" s="45" t="s">
        <v>12187</v>
      </c>
      <c r="B12162" s="46" t="s">
        <v>24759</v>
      </c>
    </row>
    <row r="12163" spans="1:2" x14ac:dyDescent="0.25">
      <c r="A12163" s="45" t="s">
        <v>12188</v>
      </c>
      <c r="B12163" s="46" t="s">
        <v>24760</v>
      </c>
    </row>
    <row r="12164" spans="1:2" x14ac:dyDescent="0.25">
      <c r="A12164" s="45" t="s">
        <v>12189</v>
      </c>
      <c r="B12164" s="46" t="s">
        <v>24761</v>
      </c>
    </row>
    <row r="12165" spans="1:2" x14ac:dyDescent="0.25">
      <c r="A12165" s="45" t="s">
        <v>12190</v>
      </c>
      <c r="B12165" s="46" t="s">
        <v>24762</v>
      </c>
    </row>
    <row r="12166" spans="1:2" x14ac:dyDescent="0.25">
      <c r="A12166" s="45" t="s">
        <v>12191</v>
      </c>
      <c r="B12166" s="46" t="s">
        <v>24763</v>
      </c>
    </row>
    <row r="12167" spans="1:2" x14ac:dyDescent="0.25">
      <c r="A12167" s="45" t="s">
        <v>12192</v>
      </c>
      <c r="B12167" s="46" t="s">
        <v>24764</v>
      </c>
    </row>
    <row r="12168" spans="1:2" x14ac:dyDescent="0.25">
      <c r="A12168" s="45" t="s">
        <v>12193</v>
      </c>
      <c r="B12168" s="46" t="s">
        <v>24765</v>
      </c>
    </row>
    <row r="12169" spans="1:2" x14ac:dyDescent="0.25">
      <c r="A12169" s="45" t="s">
        <v>12194</v>
      </c>
      <c r="B12169" s="46" t="s">
        <v>24766</v>
      </c>
    </row>
    <row r="12170" spans="1:2" x14ac:dyDescent="0.25">
      <c r="A12170" s="45" t="s">
        <v>12195</v>
      </c>
      <c r="B12170" s="46" t="s">
        <v>24767</v>
      </c>
    </row>
    <row r="12171" spans="1:2" x14ac:dyDescent="0.25">
      <c r="A12171" s="45" t="s">
        <v>12196</v>
      </c>
      <c r="B12171" s="46" t="s">
        <v>24768</v>
      </c>
    </row>
    <row r="12172" spans="1:2" x14ac:dyDescent="0.25">
      <c r="A12172" s="45" t="s">
        <v>12197</v>
      </c>
      <c r="B12172" s="46" t="s">
        <v>24769</v>
      </c>
    </row>
    <row r="12173" spans="1:2" x14ac:dyDescent="0.25">
      <c r="A12173" s="45" t="s">
        <v>12198</v>
      </c>
      <c r="B12173" s="46" t="s">
        <v>24770</v>
      </c>
    </row>
    <row r="12174" spans="1:2" x14ac:dyDescent="0.25">
      <c r="A12174" s="45" t="s">
        <v>12199</v>
      </c>
      <c r="B12174" s="46" t="s">
        <v>24771</v>
      </c>
    </row>
    <row r="12175" spans="1:2" x14ac:dyDescent="0.25">
      <c r="A12175" s="45" t="s">
        <v>12200</v>
      </c>
      <c r="B12175" s="46" t="s">
        <v>24772</v>
      </c>
    </row>
    <row r="12176" spans="1:2" x14ac:dyDescent="0.25">
      <c r="A12176" s="45" t="s">
        <v>12201</v>
      </c>
      <c r="B12176" s="46" t="s">
        <v>24773</v>
      </c>
    </row>
    <row r="12177" spans="1:2" x14ac:dyDescent="0.25">
      <c r="A12177" s="45" t="s">
        <v>12202</v>
      </c>
      <c r="B12177" s="46" t="s">
        <v>24774</v>
      </c>
    </row>
    <row r="12178" spans="1:2" x14ac:dyDescent="0.25">
      <c r="A12178" s="45" t="s">
        <v>12203</v>
      </c>
      <c r="B12178" s="46" t="s">
        <v>24775</v>
      </c>
    </row>
    <row r="12179" spans="1:2" x14ac:dyDescent="0.25">
      <c r="A12179" s="45" t="s">
        <v>12204</v>
      </c>
      <c r="B12179" s="46" t="s">
        <v>24776</v>
      </c>
    </row>
    <row r="12180" spans="1:2" x14ac:dyDescent="0.25">
      <c r="A12180" s="45" t="s">
        <v>12205</v>
      </c>
      <c r="B12180" s="46" t="s">
        <v>24777</v>
      </c>
    </row>
    <row r="12181" spans="1:2" x14ac:dyDescent="0.25">
      <c r="A12181" s="45" t="s">
        <v>12206</v>
      </c>
      <c r="B12181" s="46" t="s">
        <v>24778</v>
      </c>
    </row>
    <row r="12182" spans="1:2" x14ac:dyDescent="0.25">
      <c r="A12182" s="45" t="s">
        <v>12207</v>
      </c>
      <c r="B12182" s="46" t="s">
        <v>24779</v>
      </c>
    </row>
    <row r="12183" spans="1:2" x14ac:dyDescent="0.25">
      <c r="A12183" s="45" t="s">
        <v>12208</v>
      </c>
      <c r="B12183" s="46" t="s">
        <v>24780</v>
      </c>
    </row>
    <row r="12184" spans="1:2" x14ac:dyDescent="0.25">
      <c r="A12184" s="45" t="s">
        <v>12209</v>
      </c>
      <c r="B12184" s="46" t="s">
        <v>24781</v>
      </c>
    </row>
    <row r="12185" spans="1:2" x14ac:dyDescent="0.25">
      <c r="A12185" s="45" t="s">
        <v>12210</v>
      </c>
      <c r="B12185" s="46" t="s">
        <v>24782</v>
      </c>
    </row>
    <row r="12186" spans="1:2" x14ac:dyDescent="0.25">
      <c r="A12186" s="45" t="s">
        <v>12211</v>
      </c>
      <c r="B12186" s="46" t="s">
        <v>24783</v>
      </c>
    </row>
    <row r="12187" spans="1:2" x14ac:dyDescent="0.25">
      <c r="A12187" s="45" t="s">
        <v>12212</v>
      </c>
      <c r="B12187" s="46" t="s">
        <v>24784</v>
      </c>
    </row>
    <row r="12188" spans="1:2" x14ac:dyDescent="0.25">
      <c r="A12188" s="45" t="s">
        <v>12213</v>
      </c>
      <c r="B12188" s="46" t="s">
        <v>24785</v>
      </c>
    </row>
    <row r="12189" spans="1:2" x14ac:dyDescent="0.25">
      <c r="A12189" s="45" t="s">
        <v>12214</v>
      </c>
      <c r="B12189" s="46" t="s">
        <v>24786</v>
      </c>
    </row>
    <row r="12190" spans="1:2" x14ac:dyDescent="0.25">
      <c r="A12190" s="45" t="s">
        <v>12215</v>
      </c>
      <c r="B12190" s="46" t="s">
        <v>24787</v>
      </c>
    </row>
    <row r="12191" spans="1:2" x14ac:dyDescent="0.25">
      <c r="A12191" s="45" t="s">
        <v>12216</v>
      </c>
      <c r="B12191" s="46" t="s">
        <v>24788</v>
      </c>
    </row>
    <row r="12192" spans="1:2" x14ac:dyDescent="0.25">
      <c r="A12192" s="45" t="s">
        <v>12217</v>
      </c>
      <c r="B12192" s="46" t="s">
        <v>24789</v>
      </c>
    </row>
    <row r="12193" spans="1:2" x14ac:dyDescent="0.25">
      <c r="A12193" s="45" t="s">
        <v>12218</v>
      </c>
      <c r="B12193" s="46" t="s">
        <v>24790</v>
      </c>
    </row>
    <row r="12194" spans="1:2" x14ac:dyDescent="0.25">
      <c r="A12194" s="45" t="s">
        <v>12219</v>
      </c>
      <c r="B12194" s="46" t="s">
        <v>24791</v>
      </c>
    </row>
    <row r="12195" spans="1:2" x14ac:dyDescent="0.25">
      <c r="A12195" s="45" t="s">
        <v>12220</v>
      </c>
      <c r="B12195" s="46" t="s">
        <v>24792</v>
      </c>
    </row>
    <row r="12196" spans="1:2" x14ac:dyDescent="0.25">
      <c r="A12196" s="45" t="s">
        <v>12221</v>
      </c>
      <c r="B12196" s="46" t="s">
        <v>24793</v>
      </c>
    </row>
    <row r="12197" spans="1:2" x14ac:dyDescent="0.25">
      <c r="A12197" s="45" t="s">
        <v>12222</v>
      </c>
      <c r="B12197" s="46" t="s">
        <v>24794</v>
      </c>
    </row>
    <row r="12198" spans="1:2" x14ac:dyDescent="0.25">
      <c r="A12198" s="45" t="s">
        <v>12223</v>
      </c>
      <c r="B12198" s="46" t="s">
        <v>24795</v>
      </c>
    </row>
    <row r="12199" spans="1:2" x14ac:dyDescent="0.25">
      <c r="A12199" s="45" t="s">
        <v>12224</v>
      </c>
      <c r="B12199" s="46" t="s">
        <v>24796</v>
      </c>
    </row>
    <row r="12200" spans="1:2" x14ac:dyDescent="0.25">
      <c r="A12200" s="45" t="s">
        <v>12225</v>
      </c>
      <c r="B12200" s="46" t="s">
        <v>24797</v>
      </c>
    </row>
    <row r="12201" spans="1:2" x14ac:dyDescent="0.25">
      <c r="A12201" s="45" t="s">
        <v>12226</v>
      </c>
      <c r="B12201" s="46" t="s">
        <v>24798</v>
      </c>
    </row>
    <row r="12202" spans="1:2" x14ac:dyDescent="0.25">
      <c r="A12202" s="45" t="s">
        <v>12227</v>
      </c>
      <c r="B12202" s="46" t="s">
        <v>24799</v>
      </c>
    </row>
    <row r="12203" spans="1:2" x14ac:dyDescent="0.25">
      <c r="A12203" s="45" t="s">
        <v>12228</v>
      </c>
      <c r="B12203" s="46" t="s">
        <v>24800</v>
      </c>
    </row>
    <row r="12204" spans="1:2" x14ac:dyDescent="0.25">
      <c r="A12204" s="45" t="s">
        <v>12229</v>
      </c>
      <c r="B12204" s="46" t="s">
        <v>24801</v>
      </c>
    </row>
    <row r="12205" spans="1:2" x14ac:dyDescent="0.25">
      <c r="A12205" s="45" t="s">
        <v>12230</v>
      </c>
      <c r="B12205" s="46" t="s">
        <v>24802</v>
      </c>
    </row>
    <row r="12206" spans="1:2" x14ac:dyDescent="0.25">
      <c r="A12206" s="45" t="s">
        <v>12231</v>
      </c>
      <c r="B12206" s="46" t="s">
        <v>24803</v>
      </c>
    </row>
    <row r="12207" spans="1:2" x14ac:dyDescent="0.25">
      <c r="A12207" s="45" t="s">
        <v>12232</v>
      </c>
      <c r="B12207" s="46" t="s">
        <v>24804</v>
      </c>
    </row>
    <row r="12208" spans="1:2" x14ac:dyDescent="0.25">
      <c r="A12208" s="45" t="s">
        <v>12233</v>
      </c>
      <c r="B12208" s="46" t="s">
        <v>19196</v>
      </c>
    </row>
    <row r="12209" spans="1:2" x14ac:dyDescent="0.25">
      <c r="A12209" s="45" t="s">
        <v>12234</v>
      </c>
      <c r="B12209" s="46" t="s">
        <v>19197</v>
      </c>
    </row>
    <row r="12210" spans="1:2" x14ac:dyDescent="0.25">
      <c r="A12210" s="45" t="s">
        <v>12235</v>
      </c>
      <c r="B12210" s="46" t="s">
        <v>24805</v>
      </c>
    </row>
    <row r="12211" spans="1:2" x14ac:dyDescent="0.25">
      <c r="A12211" s="45" t="s">
        <v>12236</v>
      </c>
      <c r="B12211" s="46" t="s">
        <v>24806</v>
      </c>
    </row>
    <row r="12212" spans="1:2" x14ac:dyDescent="0.25">
      <c r="A12212" s="45" t="s">
        <v>12237</v>
      </c>
      <c r="B12212" s="46" t="s">
        <v>19198</v>
      </c>
    </row>
    <row r="12213" spans="1:2" x14ac:dyDescent="0.25">
      <c r="A12213" s="45" t="s">
        <v>12238</v>
      </c>
      <c r="B12213" s="46" t="s">
        <v>19199</v>
      </c>
    </row>
    <row r="12214" spans="1:2" x14ac:dyDescent="0.25">
      <c r="A12214" s="45" t="s">
        <v>12239</v>
      </c>
      <c r="B12214" s="46" t="s">
        <v>19200</v>
      </c>
    </row>
    <row r="12215" spans="1:2" x14ac:dyDescent="0.25">
      <c r="A12215" s="45" t="s">
        <v>12240</v>
      </c>
      <c r="B12215" s="46" t="s">
        <v>18825</v>
      </c>
    </row>
    <row r="12216" spans="1:2" x14ac:dyDescent="0.25">
      <c r="A12216" s="45" t="s">
        <v>12241</v>
      </c>
      <c r="B12216" s="46" t="s">
        <v>24807</v>
      </c>
    </row>
    <row r="12217" spans="1:2" x14ac:dyDescent="0.25">
      <c r="A12217" s="45" t="s">
        <v>12242</v>
      </c>
      <c r="B12217" s="46" t="s">
        <v>24808</v>
      </c>
    </row>
    <row r="12218" spans="1:2" x14ac:dyDescent="0.25">
      <c r="A12218" s="45" t="s">
        <v>12243</v>
      </c>
      <c r="B12218" s="46" t="s">
        <v>24809</v>
      </c>
    </row>
    <row r="12219" spans="1:2" x14ac:dyDescent="0.25">
      <c r="A12219" s="45" t="s">
        <v>12244</v>
      </c>
      <c r="B12219" s="46" t="s">
        <v>24810</v>
      </c>
    </row>
    <row r="12220" spans="1:2" x14ac:dyDescent="0.25">
      <c r="A12220" s="45" t="s">
        <v>12245</v>
      </c>
      <c r="B12220" s="46" t="s">
        <v>24811</v>
      </c>
    </row>
    <row r="12221" spans="1:2" x14ac:dyDescent="0.25">
      <c r="A12221" s="45" t="s">
        <v>12246</v>
      </c>
      <c r="B12221" s="46" t="s">
        <v>24812</v>
      </c>
    </row>
    <row r="12222" spans="1:2" x14ac:dyDescent="0.25">
      <c r="A12222" s="45" t="s">
        <v>12247</v>
      </c>
      <c r="B12222" s="46" t="s">
        <v>24813</v>
      </c>
    </row>
    <row r="12223" spans="1:2" x14ac:dyDescent="0.25">
      <c r="A12223" s="45" t="s">
        <v>12248</v>
      </c>
      <c r="B12223" s="46" t="s">
        <v>24814</v>
      </c>
    </row>
    <row r="12224" spans="1:2" x14ac:dyDescent="0.25">
      <c r="A12224" s="45" t="s">
        <v>12249</v>
      </c>
      <c r="B12224" s="46" t="s">
        <v>24815</v>
      </c>
    </row>
    <row r="12225" spans="1:2" x14ac:dyDescent="0.25">
      <c r="A12225" s="45" t="s">
        <v>12250</v>
      </c>
      <c r="B12225" s="46" t="s">
        <v>24816</v>
      </c>
    </row>
    <row r="12226" spans="1:2" x14ac:dyDescent="0.25">
      <c r="A12226" s="45" t="s">
        <v>12251</v>
      </c>
      <c r="B12226" s="46" t="s">
        <v>24817</v>
      </c>
    </row>
    <row r="12227" spans="1:2" x14ac:dyDescent="0.25">
      <c r="A12227" s="45" t="s">
        <v>12252</v>
      </c>
      <c r="B12227" s="46" t="s">
        <v>24818</v>
      </c>
    </row>
    <row r="12228" spans="1:2" x14ac:dyDescent="0.25">
      <c r="A12228" s="45" t="s">
        <v>12253</v>
      </c>
      <c r="B12228" s="46" t="s">
        <v>24819</v>
      </c>
    </row>
    <row r="12229" spans="1:2" x14ac:dyDescent="0.25">
      <c r="A12229" s="45" t="s">
        <v>12254</v>
      </c>
      <c r="B12229" s="46" t="s">
        <v>24820</v>
      </c>
    </row>
    <row r="12230" spans="1:2" x14ac:dyDescent="0.25">
      <c r="A12230" s="45" t="s">
        <v>12255</v>
      </c>
      <c r="B12230" s="46" t="s">
        <v>24821</v>
      </c>
    </row>
    <row r="12231" spans="1:2" x14ac:dyDescent="0.25">
      <c r="A12231" s="45" t="s">
        <v>12256</v>
      </c>
      <c r="B12231" s="46" t="s">
        <v>24822</v>
      </c>
    </row>
    <row r="12232" spans="1:2" x14ac:dyDescent="0.25">
      <c r="A12232" s="45" t="s">
        <v>12257</v>
      </c>
      <c r="B12232" s="46" t="s">
        <v>24823</v>
      </c>
    </row>
    <row r="12233" spans="1:2" x14ac:dyDescent="0.25">
      <c r="A12233" s="45" t="s">
        <v>12258</v>
      </c>
      <c r="B12233" s="46" t="s">
        <v>24824</v>
      </c>
    </row>
    <row r="12234" spans="1:2" x14ac:dyDescent="0.25">
      <c r="A12234" s="45" t="s">
        <v>12259</v>
      </c>
      <c r="B12234" s="46" t="s">
        <v>24825</v>
      </c>
    </row>
    <row r="12235" spans="1:2" x14ac:dyDescent="0.25">
      <c r="A12235" s="45" t="s">
        <v>12260</v>
      </c>
      <c r="B12235" s="46" t="s">
        <v>24826</v>
      </c>
    </row>
    <row r="12236" spans="1:2" x14ac:dyDescent="0.25">
      <c r="A12236" s="45" t="s">
        <v>12261</v>
      </c>
      <c r="B12236" s="46" t="s">
        <v>24827</v>
      </c>
    </row>
    <row r="12237" spans="1:2" x14ac:dyDescent="0.25">
      <c r="A12237" s="45" t="s">
        <v>12262</v>
      </c>
      <c r="B12237" s="46" t="s">
        <v>24828</v>
      </c>
    </row>
    <row r="12238" spans="1:2" x14ac:dyDescent="0.25">
      <c r="A12238" s="45" t="s">
        <v>12263</v>
      </c>
      <c r="B12238" s="46" t="s">
        <v>24829</v>
      </c>
    </row>
    <row r="12239" spans="1:2" x14ac:dyDescent="0.25">
      <c r="A12239" s="45" t="s">
        <v>12264</v>
      </c>
      <c r="B12239" s="46" t="s">
        <v>24830</v>
      </c>
    </row>
    <row r="12240" spans="1:2" x14ac:dyDescent="0.25">
      <c r="A12240" s="45" t="s">
        <v>12265</v>
      </c>
      <c r="B12240" s="46" t="s">
        <v>24831</v>
      </c>
    </row>
    <row r="12241" spans="1:2" x14ac:dyDescent="0.25">
      <c r="A12241" s="45" t="s">
        <v>12266</v>
      </c>
      <c r="B12241" s="46" t="s">
        <v>24832</v>
      </c>
    </row>
    <row r="12242" spans="1:2" x14ac:dyDescent="0.25">
      <c r="A12242" s="45" t="s">
        <v>12267</v>
      </c>
      <c r="B12242" s="46" t="s">
        <v>24833</v>
      </c>
    </row>
    <row r="12243" spans="1:2" x14ac:dyDescent="0.25">
      <c r="A12243" s="45" t="s">
        <v>12268</v>
      </c>
      <c r="B12243" s="46" t="s">
        <v>24834</v>
      </c>
    </row>
    <row r="12244" spans="1:2" x14ac:dyDescent="0.25">
      <c r="A12244" s="45" t="s">
        <v>12269</v>
      </c>
      <c r="B12244" s="46" t="s">
        <v>24835</v>
      </c>
    </row>
    <row r="12245" spans="1:2" x14ac:dyDescent="0.25">
      <c r="A12245" s="45" t="s">
        <v>12270</v>
      </c>
      <c r="B12245" s="46" t="s">
        <v>24836</v>
      </c>
    </row>
    <row r="12246" spans="1:2" x14ac:dyDescent="0.25">
      <c r="A12246" s="45" t="s">
        <v>12271</v>
      </c>
      <c r="B12246" s="46" t="s">
        <v>24837</v>
      </c>
    </row>
    <row r="12247" spans="1:2" x14ac:dyDescent="0.25">
      <c r="A12247" s="45" t="s">
        <v>12272</v>
      </c>
      <c r="B12247" s="46" t="s">
        <v>24838</v>
      </c>
    </row>
    <row r="12248" spans="1:2" x14ac:dyDescent="0.25">
      <c r="A12248" s="45" t="s">
        <v>12273</v>
      </c>
      <c r="B12248" s="46" t="s">
        <v>24839</v>
      </c>
    </row>
    <row r="12249" spans="1:2" x14ac:dyDescent="0.25">
      <c r="A12249" s="45" t="s">
        <v>12274</v>
      </c>
      <c r="B12249" s="46" t="s">
        <v>24840</v>
      </c>
    </row>
    <row r="12250" spans="1:2" x14ac:dyDescent="0.25">
      <c r="A12250" s="45" t="s">
        <v>12275</v>
      </c>
      <c r="B12250" s="46" t="s">
        <v>24841</v>
      </c>
    </row>
    <row r="12251" spans="1:2" x14ac:dyDescent="0.25">
      <c r="A12251" s="45" t="s">
        <v>12276</v>
      </c>
      <c r="B12251" s="46" t="s">
        <v>24842</v>
      </c>
    </row>
    <row r="12252" spans="1:2" x14ac:dyDescent="0.25">
      <c r="A12252" s="45" t="s">
        <v>12277</v>
      </c>
      <c r="B12252" s="46" t="s">
        <v>24843</v>
      </c>
    </row>
    <row r="12253" spans="1:2" x14ac:dyDescent="0.25">
      <c r="A12253" s="45" t="s">
        <v>12278</v>
      </c>
      <c r="B12253" s="46" t="s">
        <v>24844</v>
      </c>
    </row>
    <row r="12254" spans="1:2" x14ac:dyDescent="0.25">
      <c r="A12254" s="45" t="s">
        <v>12279</v>
      </c>
      <c r="B12254" s="46" t="s">
        <v>24845</v>
      </c>
    </row>
    <row r="12255" spans="1:2" x14ac:dyDescent="0.25">
      <c r="A12255" s="45" t="s">
        <v>12280</v>
      </c>
      <c r="B12255" s="46" t="s">
        <v>24846</v>
      </c>
    </row>
    <row r="12256" spans="1:2" x14ac:dyDescent="0.25">
      <c r="A12256" s="45" t="s">
        <v>12281</v>
      </c>
      <c r="B12256" s="46" t="s">
        <v>24847</v>
      </c>
    </row>
    <row r="12257" spans="1:2" x14ac:dyDescent="0.25">
      <c r="A12257" s="45" t="s">
        <v>12282</v>
      </c>
      <c r="B12257" s="46" t="s">
        <v>24848</v>
      </c>
    </row>
    <row r="12258" spans="1:2" x14ac:dyDescent="0.25">
      <c r="A12258" s="45" t="s">
        <v>12283</v>
      </c>
      <c r="B12258" s="46" t="s">
        <v>24849</v>
      </c>
    </row>
    <row r="12259" spans="1:2" x14ac:dyDescent="0.25">
      <c r="A12259" s="45" t="s">
        <v>12284</v>
      </c>
      <c r="B12259" s="46" t="s">
        <v>24850</v>
      </c>
    </row>
    <row r="12260" spans="1:2" x14ac:dyDescent="0.25">
      <c r="A12260" s="45" t="s">
        <v>12285</v>
      </c>
      <c r="B12260" s="46" t="s">
        <v>24851</v>
      </c>
    </row>
    <row r="12261" spans="1:2" x14ac:dyDescent="0.25">
      <c r="A12261" s="45" t="s">
        <v>12286</v>
      </c>
      <c r="B12261" s="46" t="s">
        <v>24852</v>
      </c>
    </row>
    <row r="12262" spans="1:2" x14ac:dyDescent="0.25">
      <c r="A12262" s="45" t="s">
        <v>12287</v>
      </c>
      <c r="B12262" s="46" t="s">
        <v>24853</v>
      </c>
    </row>
    <row r="12263" spans="1:2" x14ac:dyDescent="0.25">
      <c r="A12263" s="45" t="s">
        <v>12288</v>
      </c>
      <c r="B12263" s="46" t="s">
        <v>24854</v>
      </c>
    </row>
    <row r="12264" spans="1:2" x14ac:dyDescent="0.25">
      <c r="A12264" s="45" t="s">
        <v>12289</v>
      </c>
      <c r="B12264" s="46" t="s">
        <v>24855</v>
      </c>
    </row>
    <row r="12265" spans="1:2" x14ac:dyDescent="0.25">
      <c r="A12265" s="45" t="s">
        <v>12290</v>
      </c>
      <c r="B12265" s="46" t="s">
        <v>24856</v>
      </c>
    </row>
    <row r="12266" spans="1:2" x14ac:dyDescent="0.25">
      <c r="A12266" s="45" t="s">
        <v>12291</v>
      </c>
      <c r="B12266" s="46" t="s">
        <v>24857</v>
      </c>
    </row>
    <row r="12267" spans="1:2" x14ac:dyDescent="0.25">
      <c r="A12267" s="45" t="s">
        <v>12292</v>
      </c>
      <c r="B12267" s="46" t="s">
        <v>24858</v>
      </c>
    </row>
    <row r="12268" spans="1:2" x14ac:dyDescent="0.25">
      <c r="A12268" s="45" t="s">
        <v>12293</v>
      </c>
      <c r="B12268" s="46" t="s">
        <v>24859</v>
      </c>
    </row>
    <row r="12269" spans="1:2" x14ac:dyDescent="0.25">
      <c r="A12269" s="45" t="s">
        <v>12294</v>
      </c>
      <c r="B12269" s="46" t="s">
        <v>24860</v>
      </c>
    </row>
    <row r="12270" spans="1:2" x14ac:dyDescent="0.25">
      <c r="A12270" s="45" t="s">
        <v>12295</v>
      </c>
      <c r="B12270" s="46" t="s">
        <v>24861</v>
      </c>
    </row>
    <row r="12271" spans="1:2" x14ac:dyDescent="0.25">
      <c r="A12271" s="45" t="s">
        <v>12296</v>
      </c>
      <c r="B12271" s="46" t="s">
        <v>24862</v>
      </c>
    </row>
    <row r="12272" spans="1:2" x14ac:dyDescent="0.25">
      <c r="A12272" s="45" t="s">
        <v>12297</v>
      </c>
      <c r="B12272" s="46" t="s">
        <v>24863</v>
      </c>
    </row>
    <row r="12273" spans="1:2" x14ac:dyDescent="0.25">
      <c r="A12273" s="45" t="s">
        <v>12298</v>
      </c>
      <c r="B12273" s="46" t="s">
        <v>24864</v>
      </c>
    </row>
    <row r="12274" spans="1:2" x14ac:dyDescent="0.25">
      <c r="A12274" s="45" t="s">
        <v>12299</v>
      </c>
      <c r="B12274" s="46" t="s">
        <v>24865</v>
      </c>
    </row>
    <row r="12275" spans="1:2" x14ac:dyDescent="0.25">
      <c r="A12275" s="45" t="s">
        <v>12300</v>
      </c>
      <c r="B12275" s="46" t="s">
        <v>24866</v>
      </c>
    </row>
    <row r="12276" spans="1:2" x14ac:dyDescent="0.25">
      <c r="A12276" s="45" t="s">
        <v>12301</v>
      </c>
      <c r="B12276" s="46" t="s">
        <v>24867</v>
      </c>
    </row>
    <row r="12277" spans="1:2" x14ac:dyDescent="0.25">
      <c r="A12277" s="45" t="s">
        <v>12302</v>
      </c>
      <c r="B12277" s="46" t="s">
        <v>24868</v>
      </c>
    </row>
    <row r="12278" spans="1:2" x14ac:dyDescent="0.25">
      <c r="A12278" s="45" t="s">
        <v>12303</v>
      </c>
      <c r="B12278" s="46" t="s">
        <v>24869</v>
      </c>
    </row>
    <row r="12279" spans="1:2" x14ac:dyDescent="0.25">
      <c r="A12279" s="45" t="s">
        <v>12304</v>
      </c>
      <c r="B12279" s="46" t="s">
        <v>24870</v>
      </c>
    </row>
    <row r="12280" spans="1:2" x14ac:dyDescent="0.25">
      <c r="A12280" s="45" t="s">
        <v>12305</v>
      </c>
      <c r="B12280" s="46" t="s">
        <v>24871</v>
      </c>
    </row>
    <row r="12281" spans="1:2" x14ac:dyDescent="0.25">
      <c r="A12281" s="45" t="s">
        <v>12306</v>
      </c>
      <c r="B12281" s="46" t="s">
        <v>24872</v>
      </c>
    </row>
    <row r="12282" spans="1:2" x14ac:dyDescent="0.25">
      <c r="A12282" s="45" t="s">
        <v>12307</v>
      </c>
      <c r="B12282" s="46" t="s">
        <v>24873</v>
      </c>
    </row>
    <row r="12283" spans="1:2" x14ac:dyDescent="0.25">
      <c r="A12283" s="45" t="s">
        <v>12308</v>
      </c>
      <c r="B12283" s="46" t="s">
        <v>24874</v>
      </c>
    </row>
    <row r="12284" spans="1:2" x14ac:dyDescent="0.25">
      <c r="A12284" s="45" t="s">
        <v>12309</v>
      </c>
      <c r="B12284" s="46" t="s">
        <v>24875</v>
      </c>
    </row>
    <row r="12285" spans="1:2" x14ac:dyDescent="0.25">
      <c r="A12285" s="45" t="s">
        <v>12310</v>
      </c>
      <c r="B12285" s="46" t="s">
        <v>24876</v>
      </c>
    </row>
    <row r="12286" spans="1:2" x14ac:dyDescent="0.25">
      <c r="A12286" s="45" t="s">
        <v>12311</v>
      </c>
      <c r="B12286" s="46" t="s">
        <v>24877</v>
      </c>
    </row>
    <row r="12287" spans="1:2" x14ac:dyDescent="0.25">
      <c r="A12287" s="45" t="s">
        <v>12312</v>
      </c>
      <c r="B12287" s="46" t="s">
        <v>24878</v>
      </c>
    </row>
    <row r="12288" spans="1:2" x14ac:dyDescent="0.25">
      <c r="A12288" s="45" t="s">
        <v>12313</v>
      </c>
      <c r="B12288" s="46" t="s">
        <v>24879</v>
      </c>
    </row>
    <row r="12289" spans="1:2" x14ac:dyDescent="0.25">
      <c r="A12289" s="45" t="s">
        <v>12314</v>
      </c>
      <c r="B12289" s="46" t="s">
        <v>24880</v>
      </c>
    </row>
    <row r="12290" spans="1:2" x14ac:dyDescent="0.25">
      <c r="A12290" s="45" t="s">
        <v>12315</v>
      </c>
      <c r="B12290" s="46" t="s">
        <v>24881</v>
      </c>
    </row>
    <row r="12291" spans="1:2" x14ac:dyDescent="0.25">
      <c r="A12291" s="45" t="s">
        <v>12316</v>
      </c>
      <c r="B12291" s="46" t="s">
        <v>24882</v>
      </c>
    </row>
    <row r="12292" spans="1:2" x14ac:dyDescent="0.25">
      <c r="A12292" s="45" t="s">
        <v>12317</v>
      </c>
      <c r="B12292" s="46" t="s">
        <v>24883</v>
      </c>
    </row>
    <row r="12293" spans="1:2" x14ac:dyDescent="0.25">
      <c r="A12293" s="45" t="s">
        <v>12318</v>
      </c>
      <c r="B12293" s="46" t="s">
        <v>24884</v>
      </c>
    </row>
    <row r="12294" spans="1:2" x14ac:dyDescent="0.25">
      <c r="A12294" s="45" t="s">
        <v>12319</v>
      </c>
      <c r="B12294" s="46" t="s">
        <v>24885</v>
      </c>
    </row>
    <row r="12295" spans="1:2" x14ac:dyDescent="0.25">
      <c r="A12295" s="45" t="s">
        <v>12320</v>
      </c>
      <c r="B12295" s="46" t="s">
        <v>24886</v>
      </c>
    </row>
    <row r="12296" spans="1:2" x14ac:dyDescent="0.25">
      <c r="A12296" s="45" t="s">
        <v>12321</v>
      </c>
      <c r="B12296" s="46" t="s">
        <v>24887</v>
      </c>
    </row>
    <row r="12297" spans="1:2" x14ac:dyDescent="0.25">
      <c r="A12297" s="45" t="s">
        <v>12322</v>
      </c>
      <c r="B12297" s="46" t="s">
        <v>24888</v>
      </c>
    </row>
    <row r="12298" spans="1:2" x14ac:dyDescent="0.25">
      <c r="A12298" s="45" t="s">
        <v>12323</v>
      </c>
      <c r="B12298" s="46" t="s">
        <v>24889</v>
      </c>
    </row>
    <row r="12299" spans="1:2" x14ac:dyDescent="0.25">
      <c r="A12299" s="45" t="s">
        <v>12324</v>
      </c>
      <c r="B12299" s="46" t="s">
        <v>24890</v>
      </c>
    </row>
    <row r="12300" spans="1:2" x14ac:dyDescent="0.25">
      <c r="A12300" s="45" t="s">
        <v>12325</v>
      </c>
      <c r="B12300" s="46" t="s">
        <v>24891</v>
      </c>
    </row>
    <row r="12301" spans="1:2" x14ac:dyDescent="0.25">
      <c r="A12301" s="45" t="s">
        <v>12326</v>
      </c>
      <c r="B12301" s="46" t="s">
        <v>24892</v>
      </c>
    </row>
    <row r="12302" spans="1:2" x14ac:dyDescent="0.25">
      <c r="A12302" s="45" t="s">
        <v>12327</v>
      </c>
      <c r="B12302" s="46" t="s">
        <v>24893</v>
      </c>
    </row>
    <row r="12303" spans="1:2" x14ac:dyDescent="0.25">
      <c r="A12303" s="45" t="s">
        <v>12328</v>
      </c>
      <c r="B12303" s="46" t="s">
        <v>24894</v>
      </c>
    </row>
    <row r="12304" spans="1:2" x14ac:dyDescent="0.25">
      <c r="A12304" s="45" t="s">
        <v>12329</v>
      </c>
      <c r="B12304" s="46" t="s">
        <v>24895</v>
      </c>
    </row>
    <row r="12305" spans="1:2" x14ac:dyDescent="0.25">
      <c r="A12305" s="45" t="s">
        <v>12330</v>
      </c>
      <c r="B12305" s="46" t="s">
        <v>24896</v>
      </c>
    </row>
    <row r="12306" spans="1:2" x14ac:dyDescent="0.25">
      <c r="A12306" s="45" t="s">
        <v>12331</v>
      </c>
      <c r="B12306" s="46" t="s">
        <v>24897</v>
      </c>
    </row>
    <row r="12307" spans="1:2" x14ac:dyDescent="0.25">
      <c r="A12307" s="45" t="s">
        <v>12332</v>
      </c>
      <c r="B12307" s="46" t="s">
        <v>24898</v>
      </c>
    </row>
    <row r="12308" spans="1:2" x14ac:dyDescent="0.25">
      <c r="A12308" s="45" t="s">
        <v>12333</v>
      </c>
      <c r="B12308" s="46" t="s">
        <v>24899</v>
      </c>
    </row>
    <row r="12309" spans="1:2" x14ac:dyDescent="0.25">
      <c r="A12309" s="45" t="s">
        <v>12334</v>
      </c>
      <c r="B12309" s="46" t="s">
        <v>24900</v>
      </c>
    </row>
    <row r="12310" spans="1:2" x14ac:dyDescent="0.25">
      <c r="A12310" s="45" t="s">
        <v>12335</v>
      </c>
      <c r="B12310" s="46" t="s">
        <v>24901</v>
      </c>
    </row>
    <row r="12311" spans="1:2" x14ac:dyDescent="0.25">
      <c r="A12311" s="45" t="s">
        <v>12336</v>
      </c>
      <c r="B12311" s="46" t="s">
        <v>24902</v>
      </c>
    </row>
    <row r="12312" spans="1:2" x14ac:dyDescent="0.25">
      <c r="A12312" s="45" t="s">
        <v>12337</v>
      </c>
      <c r="B12312" s="46" t="s">
        <v>24903</v>
      </c>
    </row>
    <row r="12313" spans="1:2" x14ac:dyDescent="0.25">
      <c r="A12313" s="45" t="s">
        <v>12338</v>
      </c>
      <c r="B12313" s="46" t="s">
        <v>24904</v>
      </c>
    </row>
    <row r="12314" spans="1:2" x14ac:dyDescent="0.25">
      <c r="A12314" s="45" t="s">
        <v>12339</v>
      </c>
      <c r="B12314" s="46" t="s">
        <v>24905</v>
      </c>
    </row>
    <row r="12315" spans="1:2" x14ac:dyDescent="0.25">
      <c r="A12315" s="45" t="s">
        <v>12340</v>
      </c>
      <c r="B12315" s="46" t="s">
        <v>24906</v>
      </c>
    </row>
    <row r="12316" spans="1:2" x14ac:dyDescent="0.25">
      <c r="A12316" s="45" t="s">
        <v>12341</v>
      </c>
      <c r="B12316" s="46" t="s">
        <v>24907</v>
      </c>
    </row>
    <row r="12317" spans="1:2" x14ac:dyDescent="0.25">
      <c r="A12317" s="45" t="s">
        <v>12342</v>
      </c>
      <c r="B12317" s="46" t="s">
        <v>24908</v>
      </c>
    </row>
    <row r="12318" spans="1:2" x14ac:dyDescent="0.25">
      <c r="A12318" s="45" t="s">
        <v>12343</v>
      </c>
      <c r="B12318" s="46" t="s">
        <v>24909</v>
      </c>
    </row>
    <row r="12319" spans="1:2" x14ac:dyDescent="0.25">
      <c r="A12319" s="45" t="s">
        <v>12344</v>
      </c>
      <c r="B12319" s="46" t="s">
        <v>24910</v>
      </c>
    </row>
    <row r="12320" spans="1:2" x14ac:dyDescent="0.25">
      <c r="A12320" s="45" t="s">
        <v>12345</v>
      </c>
      <c r="B12320" s="46" t="s">
        <v>24911</v>
      </c>
    </row>
    <row r="12321" spans="1:2" x14ac:dyDescent="0.25">
      <c r="A12321" s="45" t="s">
        <v>12346</v>
      </c>
      <c r="B12321" s="46" t="s">
        <v>24912</v>
      </c>
    </row>
    <row r="12322" spans="1:2" x14ac:dyDescent="0.25">
      <c r="A12322" s="45" t="s">
        <v>12347</v>
      </c>
      <c r="B12322" s="46" t="s">
        <v>24913</v>
      </c>
    </row>
    <row r="12323" spans="1:2" x14ac:dyDescent="0.25">
      <c r="A12323" s="45" t="s">
        <v>12348</v>
      </c>
      <c r="B12323" s="46" t="s">
        <v>24914</v>
      </c>
    </row>
    <row r="12324" spans="1:2" x14ac:dyDescent="0.25">
      <c r="A12324" s="45" t="s">
        <v>12349</v>
      </c>
      <c r="B12324" s="46" t="s">
        <v>24915</v>
      </c>
    </row>
    <row r="12325" spans="1:2" x14ac:dyDescent="0.25">
      <c r="A12325" s="45" t="s">
        <v>12350</v>
      </c>
      <c r="B12325" s="46" t="s">
        <v>24916</v>
      </c>
    </row>
    <row r="12326" spans="1:2" x14ac:dyDescent="0.25">
      <c r="A12326" s="45" t="s">
        <v>12351</v>
      </c>
      <c r="B12326" s="46" t="s">
        <v>24917</v>
      </c>
    </row>
    <row r="12327" spans="1:2" x14ac:dyDescent="0.25">
      <c r="A12327" s="45" t="s">
        <v>12352</v>
      </c>
      <c r="B12327" s="46" t="s">
        <v>24918</v>
      </c>
    </row>
    <row r="12328" spans="1:2" x14ac:dyDescent="0.25">
      <c r="A12328" s="45" t="s">
        <v>12353</v>
      </c>
      <c r="B12328" s="46" t="s">
        <v>24919</v>
      </c>
    </row>
    <row r="12329" spans="1:2" x14ac:dyDescent="0.25">
      <c r="A12329" s="45" t="s">
        <v>12354</v>
      </c>
      <c r="B12329" s="46" t="s">
        <v>24920</v>
      </c>
    </row>
    <row r="12330" spans="1:2" x14ac:dyDescent="0.25">
      <c r="A12330" s="45" t="s">
        <v>12355</v>
      </c>
      <c r="B12330" s="46" t="s">
        <v>24921</v>
      </c>
    </row>
    <row r="12331" spans="1:2" x14ac:dyDescent="0.25">
      <c r="A12331" s="45" t="s">
        <v>12356</v>
      </c>
      <c r="B12331" s="46" t="s">
        <v>24922</v>
      </c>
    </row>
    <row r="12332" spans="1:2" x14ac:dyDescent="0.25">
      <c r="A12332" s="45" t="s">
        <v>12357</v>
      </c>
      <c r="B12332" s="46" t="s">
        <v>24923</v>
      </c>
    </row>
    <row r="12333" spans="1:2" x14ac:dyDescent="0.25">
      <c r="A12333" s="45" t="s">
        <v>12358</v>
      </c>
      <c r="B12333" s="46" t="s">
        <v>24924</v>
      </c>
    </row>
    <row r="12334" spans="1:2" x14ac:dyDescent="0.25">
      <c r="A12334" s="45" t="s">
        <v>12359</v>
      </c>
      <c r="B12334" s="46" t="s">
        <v>24925</v>
      </c>
    </row>
    <row r="12335" spans="1:2" x14ac:dyDescent="0.25">
      <c r="A12335" s="45" t="s">
        <v>12360</v>
      </c>
      <c r="B12335" s="46" t="s">
        <v>24926</v>
      </c>
    </row>
    <row r="12336" spans="1:2" x14ac:dyDescent="0.25">
      <c r="A12336" s="45" t="s">
        <v>12361</v>
      </c>
      <c r="B12336" s="46" t="s">
        <v>24927</v>
      </c>
    </row>
    <row r="12337" spans="1:2" x14ac:dyDescent="0.25">
      <c r="A12337" s="45" t="s">
        <v>12362</v>
      </c>
      <c r="B12337" s="46" t="s">
        <v>24928</v>
      </c>
    </row>
    <row r="12338" spans="1:2" x14ac:dyDescent="0.25">
      <c r="A12338" s="45" t="s">
        <v>12363</v>
      </c>
      <c r="B12338" s="46" t="s">
        <v>24929</v>
      </c>
    </row>
    <row r="12339" spans="1:2" x14ac:dyDescent="0.25">
      <c r="A12339" s="45" t="s">
        <v>12364</v>
      </c>
      <c r="B12339" s="46" t="s">
        <v>24930</v>
      </c>
    </row>
    <row r="12340" spans="1:2" x14ac:dyDescent="0.25">
      <c r="A12340" s="45" t="s">
        <v>12365</v>
      </c>
      <c r="B12340" s="46" t="s">
        <v>18826</v>
      </c>
    </row>
    <row r="12341" spans="1:2" x14ac:dyDescent="0.25">
      <c r="A12341" s="45" t="s">
        <v>12366</v>
      </c>
      <c r="B12341" s="46" t="s">
        <v>18827</v>
      </c>
    </row>
    <row r="12342" spans="1:2" x14ac:dyDescent="0.25">
      <c r="A12342" s="45" t="s">
        <v>12367</v>
      </c>
      <c r="B12342" s="46" t="s">
        <v>24931</v>
      </c>
    </row>
    <row r="12343" spans="1:2" x14ac:dyDescent="0.25">
      <c r="A12343" s="45" t="s">
        <v>12368</v>
      </c>
      <c r="B12343" s="46" t="s">
        <v>18828</v>
      </c>
    </row>
    <row r="12344" spans="1:2" x14ac:dyDescent="0.25">
      <c r="A12344" s="45" t="s">
        <v>12369</v>
      </c>
      <c r="B12344" s="46" t="s">
        <v>18829</v>
      </c>
    </row>
    <row r="12345" spans="1:2" x14ac:dyDescent="0.25">
      <c r="A12345" s="45" t="s">
        <v>12370</v>
      </c>
      <c r="B12345" s="46" t="s">
        <v>18830</v>
      </c>
    </row>
    <row r="12346" spans="1:2" x14ac:dyDescent="0.25">
      <c r="A12346" s="45" t="s">
        <v>12371</v>
      </c>
      <c r="B12346" s="46" t="s">
        <v>24932</v>
      </c>
    </row>
    <row r="12347" spans="1:2" x14ac:dyDescent="0.25">
      <c r="A12347" s="45" t="s">
        <v>12372</v>
      </c>
      <c r="B12347" s="46" t="s">
        <v>24933</v>
      </c>
    </row>
    <row r="12348" spans="1:2" x14ac:dyDescent="0.25">
      <c r="A12348" s="45" t="s">
        <v>12373</v>
      </c>
      <c r="B12348" s="46" t="s">
        <v>18831</v>
      </c>
    </row>
    <row r="12349" spans="1:2" x14ac:dyDescent="0.25">
      <c r="A12349" s="45" t="s">
        <v>12374</v>
      </c>
      <c r="B12349" s="46" t="s">
        <v>18832</v>
      </c>
    </row>
    <row r="12350" spans="1:2" x14ac:dyDescent="0.25">
      <c r="A12350" s="45" t="s">
        <v>12375</v>
      </c>
      <c r="B12350" s="46" t="s">
        <v>18833</v>
      </c>
    </row>
    <row r="12351" spans="1:2" x14ac:dyDescent="0.25">
      <c r="A12351" s="45" t="s">
        <v>12376</v>
      </c>
      <c r="B12351" s="46" t="s">
        <v>18834</v>
      </c>
    </row>
    <row r="12352" spans="1:2" x14ac:dyDescent="0.25">
      <c r="A12352" s="45" t="s">
        <v>12377</v>
      </c>
      <c r="B12352" s="46" t="s">
        <v>18835</v>
      </c>
    </row>
    <row r="12353" spans="1:2" x14ac:dyDescent="0.25">
      <c r="A12353" s="45" t="s">
        <v>12378</v>
      </c>
      <c r="B12353" s="46" t="s">
        <v>18836</v>
      </c>
    </row>
    <row r="12354" spans="1:2" x14ac:dyDescent="0.25">
      <c r="A12354" s="45" t="s">
        <v>12379</v>
      </c>
      <c r="B12354" s="46" t="s">
        <v>18837</v>
      </c>
    </row>
    <row r="12355" spans="1:2" x14ac:dyDescent="0.25">
      <c r="A12355" s="45" t="s">
        <v>12380</v>
      </c>
      <c r="B12355" s="46" t="s">
        <v>18838</v>
      </c>
    </row>
    <row r="12356" spans="1:2" x14ac:dyDescent="0.25">
      <c r="A12356" s="45" t="s">
        <v>12381</v>
      </c>
      <c r="B12356" s="46" t="s">
        <v>18839</v>
      </c>
    </row>
    <row r="12357" spans="1:2" x14ac:dyDescent="0.25">
      <c r="A12357" s="45" t="s">
        <v>12382</v>
      </c>
      <c r="B12357" s="46" t="s">
        <v>18840</v>
      </c>
    </row>
    <row r="12358" spans="1:2" x14ac:dyDescent="0.25">
      <c r="A12358" s="45" t="s">
        <v>12383</v>
      </c>
      <c r="B12358" s="46" t="s">
        <v>24934</v>
      </c>
    </row>
    <row r="12359" spans="1:2" x14ac:dyDescent="0.25">
      <c r="A12359" s="45" t="s">
        <v>12384</v>
      </c>
      <c r="B12359" s="46" t="s">
        <v>24935</v>
      </c>
    </row>
    <row r="12360" spans="1:2" x14ac:dyDescent="0.25">
      <c r="A12360" s="45" t="s">
        <v>12385</v>
      </c>
      <c r="B12360" s="46" t="s">
        <v>24936</v>
      </c>
    </row>
    <row r="12361" spans="1:2" x14ac:dyDescent="0.25">
      <c r="A12361" s="45" t="s">
        <v>12386</v>
      </c>
      <c r="B12361" s="46" t="s">
        <v>24937</v>
      </c>
    </row>
    <row r="12362" spans="1:2" x14ac:dyDescent="0.25">
      <c r="A12362" s="45" t="s">
        <v>12387</v>
      </c>
      <c r="B12362" s="46" t="s">
        <v>18841</v>
      </c>
    </row>
    <row r="12363" spans="1:2" x14ac:dyDescent="0.25">
      <c r="A12363" s="45" t="s">
        <v>12388</v>
      </c>
      <c r="B12363" s="46" t="s">
        <v>18842</v>
      </c>
    </row>
    <row r="12364" spans="1:2" x14ac:dyDescent="0.25">
      <c r="A12364" s="45" t="s">
        <v>12389</v>
      </c>
      <c r="B12364" s="46" t="s">
        <v>24938</v>
      </c>
    </row>
    <row r="12365" spans="1:2" x14ac:dyDescent="0.25">
      <c r="A12365" s="45" t="s">
        <v>12390</v>
      </c>
      <c r="B12365" s="46" t="s">
        <v>24939</v>
      </c>
    </row>
    <row r="12366" spans="1:2" x14ac:dyDescent="0.25">
      <c r="A12366" s="45" t="s">
        <v>12391</v>
      </c>
      <c r="B12366" s="46" t="s">
        <v>24940</v>
      </c>
    </row>
    <row r="12367" spans="1:2" x14ac:dyDescent="0.25">
      <c r="A12367" s="45" t="s">
        <v>12392</v>
      </c>
      <c r="B12367" s="46" t="s">
        <v>24941</v>
      </c>
    </row>
    <row r="12368" spans="1:2" x14ac:dyDescent="0.25">
      <c r="A12368" s="45" t="s">
        <v>12393</v>
      </c>
      <c r="B12368" s="46" t="s">
        <v>24942</v>
      </c>
    </row>
    <row r="12369" spans="1:2" x14ac:dyDescent="0.25">
      <c r="A12369" s="45" t="s">
        <v>12394</v>
      </c>
      <c r="B12369" s="46" t="s">
        <v>24943</v>
      </c>
    </row>
    <row r="12370" spans="1:2" x14ac:dyDescent="0.25">
      <c r="A12370" s="45" t="s">
        <v>12395</v>
      </c>
      <c r="B12370" s="46" t="s">
        <v>24944</v>
      </c>
    </row>
    <row r="12371" spans="1:2" x14ac:dyDescent="0.25">
      <c r="A12371" s="45" t="s">
        <v>12396</v>
      </c>
      <c r="B12371" s="46" t="s">
        <v>24945</v>
      </c>
    </row>
    <row r="12372" spans="1:2" x14ac:dyDescent="0.25">
      <c r="A12372" s="45" t="s">
        <v>12397</v>
      </c>
      <c r="B12372" s="46" t="s">
        <v>24946</v>
      </c>
    </row>
    <row r="12373" spans="1:2" x14ac:dyDescent="0.25">
      <c r="A12373" s="45" t="s">
        <v>12398</v>
      </c>
      <c r="B12373" s="46" t="s">
        <v>24947</v>
      </c>
    </row>
    <row r="12374" spans="1:2" x14ac:dyDescent="0.25">
      <c r="A12374" s="45" t="s">
        <v>12399</v>
      </c>
      <c r="B12374" s="46" t="s">
        <v>19201</v>
      </c>
    </row>
    <row r="12375" spans="1:2" x14ac:dyDescent="0.25">
      <c r="A12375" s="45" t="s">
        <v>12400</v>
      </c>
      <c r="B12375" s="46" t="s">
        <v>19202</v>
      </c>
    </row>
    <row r="12376" spans="1:2" x14ac:dyDescent="0.25">
      <c r="A12376" s="45" t="s">
        <v>12401</v>
      </c>
      <c r="B12376" s="46" t="s">
        <v>19203</v>
      </c>
    </row>
    <row r="12377" spans="1:2" x14ac:dyDescent="0.25">
      <c r="A12377" s="45" t="s">
        <v>12402</v>
      </c>
      <c r="B12377" s="46" t="s">
        <v>19204</v>
      </c>
    </row>
    <row r="12378" spans="1:2" x14ac:dyDescent="0.25">
      <c r="A12378" s="45" t="s">
        <v>12403</v>
      </c>
      <c r="B12378" s="46" t="s">
        <v>19205</v>
      </c>
    </row>
    <row r="12379" spans="1:2" x14ac:dyDescent="0.25">
      <c r="A12379" s="45" t="s">
        <v>12404</v>
      </c>
      <c r="B12379" s="46" t="s">
        <v>19206</v>
      </c>
    </row>
    <row r="12380" spans="1:2" x14ac:dyDescent="0.25">
      <c r="A12380" s="45" t="s">
        <v>12405</v>
      </c>
      <c r="B12380" s="46" t="s">
        <v>19207</v>
      </c>
    </row>
    <row r="12381" spans="1:2" x14ac:dyDescent="0.25">
      <c r="A12381" s="45" t="s">
        <v>12406</v>
      </c>
      <c r="B12381" s="46" t="s">
        <v>19208</v>
      </c>
    </row>
    <row r="12382" spans="1:2" x14ac:dyDescent="0.25">
      <c r="A12382" s="45" t="s">
        <v>12407</v>
      </c>
      <c r="B12382" s="46" t="s">
        <v>19209</v>
      </c>
    </row>
    <row r="12383" spans="1:2" x14ac:dyDescent="0.25">
      <c r="A12383" s="45" t="s">
        <v>12408</v>
      </c>
      <c r="B12383" s="46" t="s">
        <v>19210</v>
      </c>
    </row>
    <row r="12384" spans="1:2" x14ac:dyDescent="0.25">
      <c r="A12384" s="45" t="s">
        <v>12409</v>
      </c>
      <c r="B12384" s="46" t="s">
        <v>19211</v>
      </c>
    </row>
    <row r="12385" spans="1:2" x14ac:dyDescent="0.25">
      <c r="A12385" s="45" t="s">
        <v>12410</v>
      </c>
      <c r="B12385" s="46" t="s">
        <v>19212</v>
      </c>
    </row>
    <row r="12386" spans="1:2" x14ac:dyDescent="0.25">
      <c r="A12386" s="45" t="s">
        <v>12411</v>
      </c>
      <c r="B12386" s="46" t="s">
        <v>19213</v>
      </c>
    </row>
    <row r="12387" spans="1:2" x14ac:dyDescent="0.25">
      <c r="A12387" s="45" t="s">
        <v>12412</v>
      </c>
      <c r="B12387" s="46" t="s">
        <v>19214</v>
      </c>
    </row>
    <row r="12388" spans="1:2" x14ac:dyDescent="0.25">
      <c r="A12388" s="45" t="s">
        <v>12413</v>
      </c>
      <c r="B12388" s="46" t="s">
        <v>19215</v>
      </c>
    </row>
    <row r="12389" spans="1:2" x14ac:dyDescent="0.25">
      <c r="A12389" s="45" t="s">
        <v>12414</v>
      </c>
      <c r="B12389" s="46" t="s">
        <v>19216</v>
      </c>
    </row>
    <row r="12390" spans="1:2" x14ac:dyDescent="0.25">
      <c r="A12390" s="45" t="s">
        <v>12415</v>
      </c>
      <c r="B12390" s="46" t="s">
        <v>19217</v>
      </c>
    </row>
    <row r="12391" spans="1:2" x14ac:dyDescent="0.25">
      <c r="A12391" s="45" t="s">
        <v>12416</v>
      </c>
      <c r="B12391" s="46" t="s">
        <v>19218</v>
      </c>
    </row>
    <row r="12392" spans="1:2" x14ac:dyDescent="0.25">
      <c r="A12392" s="45" t="s">
        <v>12417</v>
      </c>
      <c r="B12392" s="46" t="s">
        <v>24948</v>
      </c>
    </row>
    <row r="12393" spans="1:2" x14ac:dyDescent="0.25">
      <c r="A12393" s="45" t="s">
        <v>12418</v>
      </c>
      <c r="B12393" s="46" t="s">
        <v>24949</v>
      </c>
    </row>
    <row r="12394" spans="1:2" x14ac:dyDescent="0.25">
      <c r="A12394" s="45" t="s">
        <v>12419</v>
      </c>
      <c r="B12394" s="46" t="s">
        <v>24950</v>
      </c>
    </row>
    <row r="12395" spans="1:2" x14ac:dyDescent="0.25">
      <c r="A12395" s="45" t="s">
        <v>12420</v>
      </c>
      <c r="B12395" s="46" t="s">
        <v>24951</v>
      </c>
    </row>
    <row r="12396" spans="1:2" x14ac:dyDescent="0.25">
      <c r="A12396" s="45" t="s">
        <v>12421</v>
      </c>
      <c r="B12396" s="46" t="s">
        <v>24952</v>
      </c>
    </row>
    <row r="12397" spans="1:2" x14ac:dyDescent="0.25">
      <c r="A12397" s="45" t="s">
        <v>12422</v>
      </c>
      <c r="B12397" s="46" t="s">
        <v>24953</v>
      </c>
    </row>
    <row r="12398" spans="1:2" x14ac:dyDescent="0.25">
      <c r="A12398" s="45" t="s">
        <v>12423</v>
      </c>
      <c r="B12398" s="46" t="s">
        <v>24954</v>
      </c>
    </row>
    <row r="12399" spans="1:2" x14ac:dyDescent="0.25">
      <c r="A12399" s="45" t="s">
        <v>12424</v>
      </c>
      <c r="B12399" s="46" t="s">
        <v>24955</v>
      </c>
    </row>
    <row r="12400" spans="1:2" x14ac:dyDescent="0.25">
      <c r="A12400" s="45" t="s">
        <v>12425</v>
      </c>
      <c r="B12400" s="46" t="s">
        <v>24956</v>
      </c>
    </row>
    <row r="12401" spans="1:2" x14ac:dyDescent="0.25">
      <c r="A12401" s="45" t="s">
        <v>12426</v>
      </c>
      <c r="B12401" s="46" t="s">
        <v>24957</v>
      </c>
    </row>
    <row r="12402" spans="1:2" x14ac:dyDescent="0.25">
      <c r="A12402" s="45" t="s">
        <v>12427</v>
      </c>
      <c r="B12402" s="46" t="s">
        <v>24958</v>
      </c>
    </row>
    <row r="12403" spans="1:2" x14ac:dyDescent="0.25">
      <c r="A12403" s="45" t="s">
        <v>12428</v>
      </c>
      <c r="B12403" s="46" t="s">
        <v>24959</v>
      </c>
    </row>
    <row r="12404" spans="1:2" x14ac:dyDescent="0.25">
      <c r="A12404" s="45" t="s">
        <v>12429</v>
      </c>
      <c r="B12404" s="46" t="s">
        <v>24960</v>
      </c>
    </row>
    <row r="12405" spans="1:2" x14ac:dyDescent="0.25">
      <c r="A12405" s="45" t="s">
        <v>12430</v>
      </c>
      <c r="B12405" s="46" t="s">
        <v>24961</v>
      </c>
    </row>
    <row r="12406" spans="1:2" x14ac:dyDescent="0.25">
      <c r="A12406" s="45" t="s">
        <v>12431</v>
      </c>
      <c r="B12406" s="46" t="s">
        <v>24962</v>
      </c>
    </row>
    <row r="12407" spans="1:2" x14ac:dyDescent="0.25">
      <c r="A12407" s="45" t="s">
        <v>12432</v>
      </c>
      <c r="B12407" s="46" t="s">
        <v>24963</v>
      </c>
    </row>
    <row r="12408" spans="1:2" x14ac:dyDescent="0.25">
      <c r="A12408" s="45" t="s">
        <v>12433</v>
      </c>
      <c r="B12408" s="46" t="s">
        <v>24964</v>
      </c>
    </row>
    <row r="12409" spans="1:2" x14ac:dyDescent="0.25">
      <c r="A12409" s="45" t="s">
        <v>12434</v>
      </c>
      <c r="B12409" s="46" t="s">
        <v>24965</v>
      </c>
    </row>
    <row r="12410" spans="1:2" x14ac:dyDescent="0.25">
      <c r="A12410" s="45" t="s">
        <v>12435</v>
      </c>
      <c r="B12410" s="46" t="s">
        <v>24966</v>
      </c>
    </row>
    <row r="12411" spans="1:2" x14ac:dyDescent="0.25">
      <c r="A12411" s="45" t="s">
        <v>12436</v>
      </c>
      <c r="B12411" s="46" t="s">
        <v>24967</v>
      </c>
    </row>
    <row r="12412" spans="1:2" x14ac:dyDescent="0.25">
      <c r="A12412" s="45" t="s">
        <v>12437</v>
      </c>
      <c r="B12412" s="46" t="s">
        <v>24968</v>
      </c>
    </row>
    <row r="12413" spans="1:2" x14ac:dyDescent="0.25">
      <c r="A12413" s="45" t="s">
        <v>12438</v>
      </c>
      <c r="B12413" s="46" t="s">
        <v>24969</v>
      </c>
    </row>
    <row r="12414" spans="1:2" x14ac:dyDescent="0.25">
      <c r="A12414" s="45" t="s">
        <v>12439</v>
      </c>
      <c r="B12414" s="46" t="s">
        <v>24970</v>
      </c>
    </row>
    <row r="12415" spans="1:2" x14ac:dyDescent="0.25">
      <c r="A12415" s="45" t="s">
        <v>12440</v>
      </c>
      <c r="B12415" s="46" t="s">
        <v>24971</v>
      </c>
    </row>
    <row r="12416" spans="1:2" x14ac:dyDescent="0.25">
      <c r="A12416" s="45" t="s">
        <v>12441</v>
      </c>
      <c r="B12416" s="46" t="s">
        <v>24972</v>
      </c>
    </row>
    <row r="12417" spans="1:4" x14ac:dyDescent="0.25">
      <c r="A12417" s="45" t="s">
        <v>12442</v>
      </c>
      <c r="B12417" s="46" t="s">
        <v>24973</v>
      </c>
    </row>
    <row r="12418" spans="1:4" x14ac:dyDescent="0.25">
      <c r="A12418" s="45" t="s">
        <v>12443</v>
      </c>
      <c r="B12418" s="46" t="s">
        <v>19219</v>
      </c>
    </row>
    <row r="12419" spans="1:4" x14ac:dyDescent="0.25">
      <c r="A12419" s="45" t="s">
        <v>12444</v>
      </c>
      <c r="B12419" s="46" t="s">
        <v>19220</v>
      </c>
    </row>
    <row r="12420" spans="1:4" x14ac:dyDescent="0.25">
      <c r="A12420" s="45" t="s">
        <v>12445</v>
      </c>
      <c r="B12420" s="46" t="s">
        <v>19221</v>
      </c>
    </row>
    <row r="12421" spans="1:4" x14ac:dyDescent="0.25">
      <c r="A12421" s="45" t="s">
        <v>12446</v>
      </c>
      <c r="B12421" s="46" t="s">
        <v>19222</v>
      </c>
    </row>
    <row r="12422" spans="1:4" x14ac:dyDescent="0.25">
      <c r="A12422" s="45" t="s">
        <v>12447</v>
      </c>
      <c r="B12422" s="46" t="s">
        <v>19223</v>
      </c>
    </row>
    <row r="12423" spans="1:4" x14ac:dyDescent="0.25">
      <c r="A12423" s="45" t="s">
        <v>12448</v>
      </c>
      <c r="B12423" s="46" t="s">
        <v>19224</v>
      </c>
    </row>
    <row r="12424" spans="1:4" x14ac:dyDescent="0.25">
      <c r="A12424" s="45" t="s">
        <v>12449</v>
      </c>
      <c r="B12424" s="46" t="s">
        <v>19225</v>
      </c>
    </row>
    <row r="12425" spans="1:4" x14ac:dyDescent="0.25">
      <c r="A12425" s="45" t="s">
        <v>12450</v>
      </c>
      <c r="B12425" s="46" t="s">
        <v>19226</v>
      </c>
    </row>
    <row r="12426" spans="1:4" x14ac:dyDescent="0.25">
      <c r="A12426" s="45" t="s">
        <v>12451</v>
      </c>
      <c r="B12426" s="46" t="s">
        <v>19227</v>
      </c>
    </row>
    <row r="12427" spans="1:4" x14ac:dyDescent="0.25">
      <c r="A12427" t="s">
        <v>12452</v>
      </c>
      <c r="B12427" t="s">
        <v>19228</v>
      </c>
      <c r="C12427">
        <v>18</v>
      </c>
      <c r="D12427">
        <v>999</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5"/>
  <dimension ref="B3:M43"/>
  <sheetViews>
    <sheetView workbookViewId="0">
      <selection activeCell="E21" sqref="E21"/>
    </sheetView>
  </sheetViews>
  <sheetFormatPr baseColWidth="10" defaultRowHeight="15" x14ac:dyDescent="0.25"/>
  <cols>
    <col min="2" max="2" width="26.140625" bestFit="1" customWidth="1"/>
    <col min="3" max="3" width="22.42578125" bestFit="1" customWidth="1"/>
    <col min="4" max="4" width="5" bestFit="1" customWidth="1"/>
    <col min="5" max="5" width="10.85546875" bestFit="1" customWidth="1"/>
    <col min="6" max="6" width="4.28515625" bestFit="1" customWidth="1"/>
    <col min="7" max="7" width="11" bestFit="1" customWidth="1"/>
    <col min="8" max="9" width="12.5703125" bestFit="1" customWidth="1"/>
  </cols>
  <sheetData>
    <row r="3" spans="2:8" x14ac:dyDescent="0.25">
      <c r="B3" s="16" t="s">
        <v>19284</v>
      </c>
      <c r="C3" s="16" t="s">
        <v>19275</v>
      </c>
    </row>
    <row r="4" spans="2:8" x14ac:dyDescent="0.25">
      <c r="B4" s="16" t="s">
        <v>19271</v>
      </c>
      <c r="C4" t="s">
        <v>19260</v>
      </c>
      <c r="D4" t="s">
        <v>19238</v>
      </c>
      <c r="E4" t="s">
        <v>19240</v>
      </c>
      <c r="F4" t="s">
        <v>19239</v>
      </c>
      <c r="G4" t="s">
        <v>19272</v>
      </c>
      <c r="H4" t="s">
        <v>19273</v>
      </c>
    </row>
    <row r="5" spans="2:8" x14ac:dyDescent="0.25">
      <c r="B5" s="17" t="s">
        <v>0</v>
      </c>
      <c r="D5">
        <v>302</v>
      </c>
      <c r="E5">
        <v>122</v>
      </c>
      <c r="F5">
        <v>53</v>
      </c>
      <c r="H5">
        <v>477</v>
      </c>
    </row>
    <row r="6" spans="2:8" x14ac:dyDescent="0.25">
      <c r="B6" s="17" t="s">
        <v>1</v>
      </c>
      <c r="D6">
        <v>655</v>
      </c>
      <c r="E6">
        <v>63</v>
      </c>
      <c r="F6">
        <v>67</v>
      </c>
      <c r="H6">
        <v>785</v>
      </c>
    </row>
    <row r="7" spans="2:8" x14ac:dyDescent="0.25">
      <c r="B7" s="17" t="s">
        <v>2</v>
      </c>
      <c r="D7">
        <v>686</v>
      </c>
      <c r="E7">
        <v>164</v>
      </c>
      <c r="F7">
        <v>78</v>
      </c>
      <c r="H7">
        <v>928</v>
      </c>
    </row>
    <row r="8" spans="2:8" x14ac:dyDescent="0.25">
      <c r="B8" s="17" t="s">
        <v>3</v>
      </c>
      <c r="D8">
        <v>923</v>
      </c>
      <c r="E8">
        <v>60</v>
      </c>
      <c r="F8">
        <v>36</v>
      </c>
      <c r="H8">
        <v>1019</v>
      </c>
    </row>
    <row r="9" spans="2:8" x14ac:dyDescent="0.25">
      <c r="B9" s="17" t="s">
        <v>4</v>
      </c>
      <c r="D9">
        <v>652</v>
      </c>
      <c r="E9">
        <v>55</v>
      </c>
      <c r="F9">
        <v>60</v>
      </c>
      <c r="H9">
        <v>767</v>
      </c>
    </row>
    <row r="10" spans="2:8" x14ac:dyDescent="0.25">
      <c r="B10" s="17" t="s">
        <v>5</v>
      </c>
      <c r="D10">
        <v>825</v>
      </c>
      <c r="E10">
        <v>42</v>
      </c>
      <c r="F10">
        <v>38</v>
      </c>
      <c r="H10">
        <v>905</v>
      </c>
    </row>
    <row r="11" spans="2:8" x14ac:dyDescent="0.25">
      <c r="B11" s="17" t="s">
        <v>6</v>
      </c>
      <c r="D11">
        <v>706</v>
      </c>
      <c r="E11">
        <v>82</v>
      </c>
      <c r="F11">
        <v>53</v>
      </c>
      <c r="H11">
        <v>841</v>
      </c>
    </row>
    <row r="12" spans="2:8" x14ac:dyDescent="0.25">
      <c r="B12" s="17" t="s">
        <v>7</v>
      </c>
      <c r="D12">
        <v>943</v>
      </c>
      <c r="E12">
        <v>125</v>
      </c>
      <c r="F12">
        <v>62</v>
      </c>
      <c r="H12">
        <v>1130</v>
      </c>
    </row>
    <row r="13" spans="2:8" x14ac:dyDescent="0.25">
      <c r="B13" s="17" t="s">
        <v>8</v>
      </c>
      <c r="D13">
        <v>864</v>
      </c>
      <c r="E13">
        <v>59</v>
      </c>
      <c r="F13">
        <v>79</v>
      </c>
      <c r="H13">
        <v>1002</v>
      </c>
    </row>
    <row r="14" spans="2:8" x14ac:dyDescent="0.25">
      <c r="B14" s="17" t="s">
        <v>9</v>
      </c>
      <c r="D14">
        <v>853</v>
      </c>
      <c r="E14">
        <v>104</v>
      </c>
      <c r="F14">
        <v>48</v>
      </c>
      <c r="H14">
        <v>1005</v>
      </c>
    </row>
    <row r="15" spans="2:8" x14ac:dyDescent="0.25">
      <c r="B15" s="17" t="s">
        <v>10</v>
      </c>
      <c r="D15">
        <v>387</v>
      </c>
      <c r="E15">
        <v>41</v>
      </c>
      <c r="F15">
        <v>41</v>
      </c>
      <c r="H15">
        <v>469</v>
      </c>
    </row>
    <row r="16" spans="2:8" x14ac:dyDescent="0.25">
      <c r="B16" s="17" t="s">
        <v>11</v>
      </c>
      <c r="E16">
        <v>15</v>
      </c>
      <c r="H16">
        <v>15</v>
      </c>
    </row>
    <row r="17" spans="2:8" x14ac:dyDescent="0.25">
      <c r="B17" s="17" t="s">
        <v>12</v>
      </c>
    </row>
    <row r="18" spans="2:8" x14ac:dyDescent="0.25">
      <c r="B18" s="17" t="s">
        <v>19272</v>
      </c>
      <c r="G18">
        <v>37</v>
      </c>
      <c r="H18">
        <v>37</v>
      </c>
    </row>
    <row r="19" spans="2:8" x14ac:dyDescent="0.25">
      <c r="B19" s="17" t="s">
        <v>19273</v>
      </c>
      <c r="D19">
        <v>7796</v>
      </c>
      <c r="E19">
        <v>932</v>
      </c>
      <c r="F19">
        <v>615</v>
      </c>
      <c r="G19">
        <v>37</v>
      </c>
      <c r="H19">
        <v>9380</v>
      </c>
    </row>
    <row r="39" spans="9:13" x14ac:dyDescent="0.25">
      <c r="I39" t="s">
        <v>10</v>
      </c>
      <c r="J39">
        <v>112</v>
      </c>
      <c r="L39" t="s">
        <v>9</v>
      </c>
      <c r="M39">
        <v>1005</v>
      </c>
    </row>
    <row r="40" spans="9:13" x14ac:dyDescent="0.25">
      <c r="I40" t="s">
        <v>19238</v>
      </c>
      <c r="J40">
        <v>95</v>
      </c>
      <c r="L40" t="s">
        <v>19238</v>
      </c>
      <c r="M40">
        <v>616</v>
      </c>
    </row>
    <row r="41" spans="9:13" x14ac:dyDescent="0.25">
      <c r="I41" t="s">
        <v>19240</v>
      </c>
      <c r="J41">
        <v>1</v>
      </c>
      <c r="L41" t="s">
        <v>19281</v>
      </c>
      <c r="M41">
        <v>237</v>
      </c>
    </row>
    <row r="42" spans="9:13" x14ac:dyDescent="0.25">
      <c r="I42" t="s">
        <v>19239</v>
      </c>
      <c r="J42">
        <v>16</v>
      </c>
      <c r="L42" t="s">
        <v>19240</v>
      </c>
      <c r="M42">
        <v>104</v>
      </c>
    </row>
    <row r="43" spans="9:13" x14ac:dyDescent="0.25">
      <c r="L43" t="s">
        <v>19239</v>
      </c>
      <c r="M43">
        <v>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6"/>
  <dimension ref="B1:J28"/>
  <sheetViews>
    <sheetView workbookViewId="0">
      <selection activeCell="E21" sqref="E21"/>
    </sheetView>
  </sheetViews>
  <sheetFormatPr baseColWidth="10" defaultRowHeight="15" x14ac:dyDescent="0.25"/>
  <cols>
    <col min="5" max="5" width="25.28515625" customWidth="1"/>
    <col min="10" max="10" width="26.140625" bestFit="1" customWidth="1"/>
  </cols>
  <sheetData>
    <row r="1" spans="2:10" ht="18.75" x14ac:dyDescent="0.3">
      <c r="J1" s="13" t="s">
        <v>19252</v>
      </c>
    </row>
    <row r="2" spans="2:10" ht="18.75" x14ac:dyDescent="0.3">
      <c r="B2" t="s">
        <v>19244</v>
      </c>
      <c r="E2" s="14" t="s">
        <v>19268</v>
      </c>
      <c r="J2" s="41" t="s">
        <v>19230</v>
      </c>
    </row>
    <row r="3" spans="2:10" ht="18.75" x14ac:dyDescent="0.3">
      <c r="B3">
        <v>1</v>
      </c>
      <c r="E3" s="15" t="s">
        <v>19269</v>
      </c>
      <c r="J3" s="41" t="s">
        <v>24976</v>
      </c>
    </row>
    <row r="4" spans="2:10" ht="18.75" x14ac:dyDescent="0.3">
      <c r="B4">
        <v>2</v>
      </c>
      <c r="E4" s="15" t="s">
        <v>19263</v>
      </c>
      <c r="J4" s="41" t="s">
        <v>19231</v>
      </c>
    </row>
    <row r="5" spans="2:10" ht="18.75" x14ac:dyDescent="0.3">
      <c r="B5" s="12">
        <v>3</v>
      </c>
      <c r="E5" s="15" t="s">
        <v>19270</v>
      </c>
      <c r="J5" s="41" t="s">
        <v>19232</v>
      </c>
    </row>
    <row r="6" spans="2:10" ht="18.75" x14ac:dyDescent="0.3">
      <c r="B6" s="12">
        <v>4</v>
      </c>
      <c r="E6" s="15" t="s">
        <v>19266</v>
      </c>
      <c r="J6" s="41" t="s">
        <v>19253</v>
      </c>
    </row>
    <row r="7" spans="2:10" ht="18.75" x14ac:dyDescent="0.3">
      <c r="B7" s="12">
        <v>5</v>
      </c>
      <c r="E7" s="15" t="s">
        <v>19264</v>
      </c>
      <c r="J7" s="41" t="s">
        <v>19289</v>
      </c>
    </row>
    <row r="8" spans="2:10" ht="18.75" x14ac:dyDescent="0.3">
      <c r="B8" s="12">
        <v>6</v>
      </c>
      <c r="J8" s="41" t="s">
        <v>24977</v>
      </c>
    </row>
    <row r="9" spans="2:10" ht="18.75" x14ac:dyDescent="0.3">
      <c r="B9" s="12">
        <v>7</v>
      </c>
      <c r="J9" s="41" t="s">
        <v>24978</v>
      </c>
    </row>
    <row r="10" spans="2:10" ht="18.75" x14ac:dyDescent="0.3">
      <c r="B10" s="12">
        <v>8</v>
      </c>
      <c r="J10" s="41" t="s">
        <v>19288</v>
      </c>
    </row>
    <row r="11" spans="2:10" ht="18.75" x14ac:dyDescent="0.3">
      <c r="B11" s="12">
        <v>9</v>
      </c>
      <c r="J11" s="41" t="s">
        <v>24989</v>
      </c>
    </row>
    <row r="12" spans="2:10" ht="18.75" x14ac:dyDescent="0.3">
      <c r="B12" s="12">
        <f>B11+1</f>
        <v>10</v>
      </c>
      <c r="J12" s="41" t="s">
        <v>24979</v>
      </c>
    </row>
    <row r="13" spans="2:10" ht="18.75" x14ac:dyDescent="0.3">
      <c r="B13">
        <f t="shared" ref="B13:B26" si="0">B12+1</f>
        <v>11</v>
      </c>
      <c r="J13" s="41" t="s">
        <v>19254</v>
      </c>
    </row>
    <row r="14" spans="2:10" x14ac:dyDescent="0.25">
      <c r="B14">
        <f t="shared" si="0"/>
        <v>12</v>
      </c>
    </row>
    <row r="15" spans="2:10" x14ac:dyDescent="0.25">
      <c r="B15">
        <f t="shared" si="0"/>
        <v>13</v>
      </c>
    </row>
    <row r="16" spans="2:10" x14ac:dyDescent="0.25">
      <c r="B16">
        <f t="shared" si="0"/>
        <v>14</v>
      </c>
    </row>
    <row r="17" spans="2:3" x14ac:dyDescent="0.25">
      <c r="B17">
        <f t="shared" si="0"/>
        <v>15</v>
      </c>
    </row>
    <row r="18" spans="2:3" x14ac:dyDescent="0.25">
      <c r="B18" s="12">
        <f t="shared" si="0"/>
        <v>16</v>
      </c>
    </row>
    <row r="19" spans="2:3" x14ac:dyDescent="0.25">
      <c r="B19" s="12">
        <f t="shared" si="0"/>
        <v>17</v>
      </c>
    </row>
    <row r="20" spans="2:3" x14ac:dyDescent="0.25">
      <c r="B20">
        <f t="shared" si="0"/>
        <v>18</v>
      </c>
    </row>
    <row r="21" spans="2:3" x14ac:dyDescent="0.25">
      <c r="B21">
        <f t="shared" si="0"/>
        <v>19</v>
      </c>
    </row>
    <row r="22" spans="2:3" x14ac:dyDescent="0.25">
      <c r="B22" s="12">
        <f t="shared" si="0"/>
        <v>20</v>
      </c>
    </row>
    <row r="23" spans="2:3" x14ac:dyDescent="0.25">
      <c r="B23" s="12">
        <f t="shared" si="0"/>
        <v>21</v>
      </c>
    </row>
    <row r="24" spans="2:3" x14ac:dyDescent="0.25">
      <c r="B24" s="12">
        <f t="shared" si="0"/>
        <v>22</v>
      </c>
    </row>
    <row r="25" spans="2:3" x14ac:dyDescent="0.25">
      <c r="B25" s="12">
        <f t="shared" si="0"/>
        <v>23</v>
      </c>
    </row>
    <row r="26" spans="2:3" x14ac:dyDescent="0.25">
      <c r="B26">
        <f t="shared" si="0"/>
        <v>24</v>
      </c>
    </row>
    <row r="28" spans="2:3" x14ac:dyDescent="0.25">
      <c r="B28" s="12"/>
      <c r="C28" t="s">
        <v>19246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412848-68CC-4C0E-9E14-A2A47BC341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6</vt:i4>
      </vt:variant>
    </vt:vector>
  </HeadingPairs>
  <TitlesOfParts>
    <vt:vector size="14" baseType="lpstr">
      <vt:lpstr>REG AUSENTISMO MED</vt:lpstr>
      <vt:lpstr>OTRO AUSENTISMO</vt:lpstr>
      <vt:lpstr>DIAS AUSENTISMO MEDICO</vt:lpstr>
      <vt:lpstr>Código del Diagnóstico</vt:lpstr>
      <vt:lpstr>INFORME INDICADOR</vt:lpstr>
      <vt:lpstr>CODIGOS</vt:lpstr>
      <vt:lpstr>INF. OTRO AUSENTISMO</vt:lpstr>
      <vt:lpstr>LISTA</vt:lpstr>
      <vt:lpstr>'DIAS AUSENTISMO MEDICO'!Área_de_impresión</vt:lpstr>
      <vt:lpstr>'OTRO AUSENTISMO'!Área_de_impresión</vt:lpstr>
      <vt:lpstr>CIE</vt:lpstr>
      <vt:lpstr>CODIGO_DIAGNOSTICO</vt:lpstr>
      <vt:lpstr>REGISTRO_MEDICO</vt:lpstr>
      <vt:lpstr>'OTRO AUSENTISMO'!Títulos_a_imprimir</vt:lpstr>
    </vt:vector>
  </TitlesOfParts>
  <Company>PERSONAL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Plantilla Análisis Estadistico de Ausentismo Laboral</dc:title>
  <dc:creator>Rodrigo Romero López</dc:creator>
  <cp:lastModifiedBy>Gerencia Coraza Seguridad Cta</cp:lastModifiedBy>
  <cp:lastPrinted>2025-08-21T12:51:11Z</cp:lastPrinted>
  <dcterms:created xsi:type="dcterms:W3CDTF">2012-05-07T13:03:22Z</dcterms:created>
  <dcterms:modified xsi:type="dcterms:W3CDTF">2026-07-09T20:05:41Z</dcterms:modified>
</cp:coreProperties>
</file>